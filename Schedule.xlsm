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M:\BHarding\Production\Plastics Revamp\"/>
    </mc:Choice>
  </mc:AlternateContent>
  <bookViews>
    <workbookView xWindow="0" yWindow="0" windowWidth="21390" windowHeight="11100"/>
  </bookViews>
  <sheets>
    <sheet name="home" sheetId="1" r:id="rId1"/>
    <sheet name="print" sheetId="5" r:id="rId2"/>
    <sheet name="query" sheetId="2" state="hidden" r:id="rId3"/>
    <sheet name="work" sheetId="3" state="hidden" r:id="rId4"/>
    <sheet name="kits to boards" sheetId="4" state="hidden" r:id="rId5"/>
  </sheets>
  <definedNames>
    <definedName name="ExternalData_1" localSheetId="2" hidden="1">query!$A$1:$G$5304</definedName>
  </definedNames>
  <calcPr calcId="162913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5" l="1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E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J2" i="3"/>
  <c r="J3" i="3" s="1"/>
  <c r="J4" i="3" s="1"/>
  <c r="J5" i="3" s="1"/>
  <c r="J6" i="3" s="1"/>
  <c r="J7" i="3" s="1"/>
  <c r="J8" i="3" s="1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J23" i="3" s="1"/>
  <c r="J24" i="3" s="1"/>
  <c r="J25" i="3" s="1"/>
  <c r="J26" i="3" s="1"/>
  <c r="J27" i="3" s="1"/>
  <c r="J28" i="3" s="1"/>
  <c r="J29" i="3" s="1"/>
  <c r="J30" i="3" s="1"/>
  <c r="J31" i="3" s="1"/>
  <c r="J32" i="3" s="1"/>
  <c r="J33" i="3" s="1"/>
  <c r="J34" i="3" s="1"/>
  <c r="J35" i="3" s="1"/>
  <c r="J36" i="3" s="1"/>
  <c r="J37" i="3" s="1"/>
  <c r="J38" i="3" s="1"/>
  <c r="J39" i="3" s="1"/>
  <c r="J40" i="3" s="1"/>
  <c r="J41" i="3" s="1"/>
  <c r="J42" i="3" s="1"/>
  <c r="J43" i="3" s="1"/>
  <c r="J44" i="3" s="1"/>
  <c r="J45" i="3" s="1"/>
  <c r="J46" i="3" s="1"/>
  <c r="J47" i="3" s="1"/>
  <c r="J48" i="3" s="1"/>
  <c r="J49" i="3" s="1"/>
  <c r="J50" i="3" s="1"/>
  <c r="J51" i="3" s="1"/>
  <c r="J52" i="3" s="1"/>
  <c r="J53" i="3" s="1"/>
  <c r="J54" i="3" s="1"/>
  <c r="J55" i="3" s="1"/>
  <c r="J56" i="3" s="1"/>
  <c r="J57" i="3" s="1"/>
  <c r="J58" i="3" s="1"/>
  <c r="J59" i="3" s="1"/>
  <c r="J60" i="3" s="1"/>
  <c r="J61" i="3" s="1"/>
  <c r="J62" i="3" s="1"/>
  <c r="J63" i="3" s="1"/>
  <c r="J64" i="3" s="1"/>
  <c r="J65" i="3" s="1"/>
  <c r="J66" i="3" s="1"/>
  <c r="J67" i="3" s="1"/>
  <c r="J68" i="3" s="1"/>
  <c r="J69" i="3" s="1"/>
  <c r="J70" i="3" s="1"/>
  <c r="J71" i="3" s="1"/>
  <c r="J72" i="3" s="1"/>
  <c r="J73" i="3" s="1"/>
  <c r="J74" i="3" s="1"/>
  <c r="J75" i="3" s="1"/>
  <c r="J76" i="3" s="1"/>
  <c r="J77" i="3" s="1"/>
  <c r="J78" i="3" s="1"/>
  <c r="J79" i="3" s="1"/>
  <c r="J80" i="3" s="1"/>
  <c r="J81" i="3" s="1"/>
  <c r="J82" i="3" s="1"/>
  <c r="J83" i="3" s="1"/>
  <c r="J84" i="3" s="1"/>
  <c r="J85" i="3" s="1"/>
  <c r="J86" i="3" s="1"/>
  <c r="J87" i="3" s="1"/>
  <c r="J88" i="3" s="1"/>
  <c r="J89" i="3" s="1"/>
  <c r="J90" i="3" s="1"/>
  <c r="J91" i="3" s="1"/>
  <c r="J92" i="3" s="1"/>
  <c r="J93" i="3" s="1"/>
  <c r="J94" i="3" s="1"/>
  <c r="J95" i="3" s="1"/>
  <c r="J96" i="3" s="1"/>
  <c r="J97" i="3" s="1"/>
  <c r="I3" i="3"/>
  <c r="K3" i="3" s="1"/>
  <c r="I2" i="3"/>
  <c r="K2" i="3" s="1"/>
  <c r="H97" i="3"/>
  <c r="H96" i="3"/>
  <c r="H95" i="3"/>
  <c r="H94" i="3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5" i="3"/>
  <c r="H54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3" i="3"/>
  <c r="H2" i="3"/>
  <c r="I4" i="3" l="1"/>
  <c r="J2" i="2"/>
  <c r="J3" i="2" s="1"/>
  <c r="J4" i="2" s="1"/>
  <c r="J5" i="2" s="1"/>
  <c r="J6" i="2" s="1"/>
  <c r="J7" i="2" s="1"/>
  <c r="J8" i="2" s="1"/>
  <c r="J9" i="2" s="1"/>
  <c r="J10" i="2" s="1"/>
  <c r="J11" i="2" s="1"/>
  <c r="J12" i="2" s="1"/>
  <c r="J13" i="2" s="1"/>
  <c r="J14" i="2" s="1"/>
  <c r="J15" i="2" s="1"/>
  <c r="J16" i="2" s="1"/>
  <c r="J17" i="2" s="1"/>
  <c r="J18" i="2" s="1"/>
  <c r="J19" i="2" s="1"/>
  <c r="J20" i="2" s="1"/>
  <c r="J21" i="2" s="1"/>
  <c r="J22" i="2" s="1"/>
  <c r="J23" i="2" s="1"/>
  <c r="J24" i="2" s="1"/>
  <c r="J25" i="2" s="1"/>
  <c r="J26" i="2" s="1"/>
  <c r="J27" i="2" s="1"/>
  <c r="J28" i="2" s="1"/>
  <c r="J29" i="2" s="1"/>
  <c r="J30" i="2" s="1"/>
  <c r="J31" i="2" s="1"/>
  <c r="J32" i="2" s="1"/>
  <c r="J33" i="2" s="1"/>
  <c r="J34" i="2" s="1"/>
  <c r="J35" i="2" s="1"/>
  <c r="J36" i="2" s="1"/>
  <c r="J37" i="2" s="1"/>
  <c r="J38" i="2" s="1"/>
  <c r="J39" i="2" s="1"/>
  <c r="J40" i="2" s="1"/>
  <c r="J41" i="2" s="1"/>
  <c r="J42" i="2" s="1"/>
  <c r="J43" i="2" s="1"/>
  <c r="J44" i="2" s="1"/>
  <c r="J45" i="2" s="1"/>
  <c r="J46" i="2" s="1"/>
  <c r="J47" i="2" s="1"/>
  <c r="J48" i="2" s="1"/>
  <c r="J49" i="2" s="1"/>
  <c r="J50" i="2" s="1"/>
  <c r="J51" i="2" s="1"/>
  <c r="J52" i="2" s="1"/>
  <c r="J53" i="2" s="1"/>
  <c r="J54" i="2" s="1"/>
  <c r="J55" i="2" s="1"/>
  <c r="J56" i="2" s="1"/>
  <c r="J57" i="2" s="1"/>
  <c r="J58" i="2" s="1"/>
  <c r="J59" i="2" s="1"/>
  <c r="J60" i="2" s="1"/>
  <c r="J61" i="2" s="1"/>
  <c r="J62" i="2" s="1"/>
  <c r="J63" i="2" s="1"/>
  <c r="J64" i="2" s="1"/>
  <c r="J65" i="2" s="1"/>
  <c r="J66" i="2" s="1"/>
  <c r="J67" i="2" s="1"/>
  <c r="J68" i="2" s="1"/>
  <c r="J69" i="2" s="1"/>
  <c r="J70" i="2" s="1"/>
  <c r="J71" i="2" s="1"/>
  <c r="J72" i="2" s="1"/>
  <c r="J73" i="2" s="1"/>
  <c r="J74" i="2" s="1"/>
  <c r="J75" i="2" s="1"/>
  <c r="J76" i="2" s="1"/>
  <c r="J77" i="2" s="1"/>
  <c r="J78" i="2" s="1"/>
  <c r="J79" i="2" s="1"/>
  <c r="J80" i="2" s="1"/>
  <c r="J81" i="2" s="1"/>
  <c r="J82" i="2" s="1"/>
  <c r="J83" i="2" s="1"/>
  <c r="J84" i="2" s="1"/>
  <c r="J85" i="2" s="1"/>
  <c r="J86" i="2" s="1"/>
  <c r="J87" i="2" s="1"/>
  <c r="J88" i="2" s="1"/>
  <c r="J89" i="2" s="1"/>
  <c r="J90" i="2" s="1"/>
  <c r="J91" i="2" s="1"/>
  <c r="J92" i="2" s="1"/>
  <c r="J93" i="2" s="1"/>
  <c r="J94" i="2" s="1"/>
  <c r="J95" i="2" s="1"/>
  <c r="J96" i="2" s="1"/>
  <c r="J97" i="2" s="1"/>
  <c r="J98" i="2" s="1"/>
  <c r="J99" i="2" s="1"/>
  <c r="J100" i="2" s="1"/>
  <c r="J101" i="2" s="1"/>
  <c r="J102" i="2" s="1"/>
  <c r="J103" i="2" s="1"/>
  <c r="J104" i="2" s="1"/>
  <c r="J105" i="2" s="1"/>
  <c r="J106" i="2" s="1"/>
  <c r="J107" i="2" s="1"/>
  <c r="J108" i="2" s="1"/>
  <c r="J109" i="2" s="1"/>
  <c r="J110" i="2" s="1"/>
  <c r="J111" i="2" s="1"/>
  <c r="J112" i="2" s="1"/>
  <c r="J113" i="2" s="1"/>
  <c r="J114" i="2" s="1"/>
  <c r="J115" i="2" s="1"/>
  <c r="J116" i="2" s="1"/>
  <c r="J117" i="2" s="1"/>
  <c r="J118" i="2" s="1"/>
  <c r="J119" i="2" s="1"/>
  <c r="J120" i="2" s="1"/>
  <c r="J121" i="2" s="1"/>
  <c r="J122" i="2" s="1"/>
  <c r="J123" i="2" s="1"/>
  <c r="J124" i="2" s="1"/>
  <c r="J125" i="2" s="1"/>
  <c r="J126" i="2" s="1"/>
  <c r="J127" i="2" s="1"/>
  <c r="J128" i="2" s="1"/>
  <c r="J129" i="2" s="1"/>
  <c r="J130" i="2" s="1"/>
  <c r="J131" i="2" s="1"/>
  <c r="J132" i="2" s="1"/>
  <c r="J133" i="2" s="1"/>
  <c r="J134" i="2" s="1"/>
  <c r="J135" i="2" s="1"/>
  <c r="J136" i="2" s="1"/>
  <c r="J137" i="2" s="1"/>
  <c r="J138" i="2" s="1"/>
  <c r="J139" i="2" s="1"/>
  <c r="J140" i="2" s="1"/>
  <c r="J141" i="2" s="1"/>
  <c r="J142" i="2" s="1"/>
  <c r="J143" i="2" s="1"/>
  <c r="J144" i="2" s="1"/>
  <c r="J145" i="2" s="1"/>
  <c r="J146" i="2" s="1"/>
  <c r="J147" i="2" s="1"/>
  <c r="J148" i="2" s="1"/>
  <c r="J149" i="2" s="1"/>
  <c r="J150" i="2" s="1"/>
  <c r="J151" i="2" s="1"/>
  <c r="J152" i="2" s="1"/>
  <c r="J153" i="2" s="1"/>
  <c r="J154" i="2" s="1"/>
  <c r="J155" i="2" s="1"/>
  <c r="J156" i="2" s="1"/>
  <c r="J157" i="2" s="1"/>
  <c r="J158" i="2" s="1"/>
  <c r="J159" i="2" s="1"/>
  <c r="J160" i="2" s="1"/>
  <c r="J161" i="2" s="1"/>
  <c r="J162" i="2" s="1"/>
  <c r="J163" i="2" s="1"/>
  <c r="J164" i="2" s="1"/>
  <c r="J165" i="2" s="1"/>
  <c r="J166" i="2" s="1"/>
  <c r="J167" i="2" s="1"/>
  <c r="J168" i="2" s="1"/>
  <c r="J169" i="2" s="1"/>
  <c r="J170" i="2" s="1"/>
  <c r="J171" i="2" s="1"/>
  <c r="J172" i="2" s="1"/>
  <c r="J173" i="2" s="1"/>
  <c r="J174" i="2" s="1"/>
  <c r="J175" i="2" s="1"/>
  <c r="J176" i="2" s="1"/>
  <c r="J177" i="2" s="1"/>
  <c r="J178" i="2" s="1"/>
  <c r="J179" i="2" s="1"/>
  <c r="J180" i="2" s="1"/>
  <c r="J181" i="2" s="1"/>
  <c r="J182" i="2" s="1"/>
  <c r="J183" i="2" s="1"/>
  <c r="J184" i="2" s="1"/>
  <c r="J185" i="2" s="1"/>
  <c r="J186" i="2" s="1"/>
  <c r="J187" i="2" s="1"/>
  <c r="J188" i="2" s="1"/>
  <c r="J189" i="2" s="1"/>
  <c r="J190" i="2" s="1"/>
  <c r="J191" i="2" s="1"/>
  <c r="J192" i="2" s="1"/>
  <c r="J193" i="2" s="1"/>
  <c r="J194" i="2" s="1"/>
  <c r="J195" i="2" s="1"/>
  <c r="J196" i="2" s="1"/>
  <c r="J197" i="2" s="1"/>
  <c r="J198" i="2" s="1"/>
  <c r="J199" i="2" s="1"/>
  <c r="J200" i="2" s="1"/>
  <c r="J201" i="2" s="1"/>
  <c r="J202" i="2" s="1"/>
  <c r="J203" i="2" s="1"/>
  <c r="J204" i="2" s="1"/>
  <c r="J205" i="2" s="1"/>
  <c r="J206" i="2" s="1"/>
  <c r="J207" i="2" s="1"/>
  <c r="J208" i="2" s="1"/>
  <c r="J209" i="2" s="1"/>
  <c r="J210" i="2" s="1"/>
  <c r="J211" i="2" s="1"/>
  <c r="J212" i="2" s="1"/>
  <c r="J213" i="2" s="1"/>
  <c r="J214" i="2" s="1"/>
  <c r="J215" i="2" s="1"/>
  <c r="J216" i="2" s="1"/>
  <c r="J217" i="2" s="1"/>
  <c r="J218" i="2" s="1"/>
  <c r="J219" i="2" s="1"/>
  <c r="J220" i="2" s="1"/>
  <c r="J221" i="2" s="1"/>
  <c r="J222" i="2" s="1"/>
  <c r="J223" i="2" s="1"/>
  <c r="J224" i="2" s="1"/>
  <c r="J225" i="2" s="1"/>
  <c r="J226" i="2" s="1"/>
  <c r="J227" i="2" s="1"/>
  <c r="J228" i="2" s="1"/>
  <c r="J229" i="2" s="1"/>
  <c r="J230" i="2" s="1"/>
  <c r="J231" i="2" s="1"/>
  <c r="J232" i="2" s="1"/>
  <c r="J233" i="2" s="1"/>
  <c r="J234" i="2" s="1"/>
  <c r="J235" i="2" s="1"/>
  <c r="J236" i="2" s="1"/>
  <c r="J237" i="2" s="1"/>
  <c r="J238" i="2" s="1"/>
  <c r="J239" i="2" s="1"/>
  <c r="J240" i="2" s="1"/>
  <c r="J241" i="2" s="1"/>
  <c r="J242" i="2" s="1"/>
  <c r="J243" i="2" s="1"/>
  <c r="J244" i="2" s="1"/>
  <c r="J245" i="2" s="1"/>
  <c r="J246" i="2" s="1"/>
  <c r="J247" i="2" s="1"/>
  <c r="J248" i="2" s="1"/>
  <c r="J249" i="2" s="1"/>
  <c r="J250" i="2" s="1"/>
  <c r="J251" i="2" s="1"/>
  <c r="J252" i="2" s="1"/>
  <c r="J253" i="2" s="1"/>
  <c r="J254" i="2" s="1"/>
  <c r="J255" i="2" s="1"/>
  <c r="J256" i="2" s="1"/>
  <c r="J257" i="2" s="1"/>
  <c r="J258" i="2" s="1"/>
  <c r="J259" i="2" s="1"/>
  <c r="J260" i="2" s="1"/>
  <c r="J261" i="2" s="1"/>
  <c r="J262" i="2" s="1"/>
  <c r="J263" i="2" s="1"/>
  <c r="J264" i="2" s="1"/>
  <c r="J265" i="2" s="1"/>
  <c r="J266" i="2" s="1"/>
  <c r="J267" i="2" s="1"/>
  <c r="J268" i="2" s="1"/>
  <c r="J269" i="2" s="1"/>
  <c r="J270" i="2" s="1"/>
  <c r="J271" i="2" s="1"/>
  <c r="J272" i="2" s="1"/>
  <c r="J273" i="2" s="1"/>
  <c r="J274" i="2" s="1"/>
  <c r="J275" i="2" s="1"/>
  <c r="J276" i="2" s="1"/>
  <c r="J277" i="2" s="1"/>
  <c r="J278" i="2" s="1"/>
  <c r="J279" i="2" s="1"/>
  <c r="J280" i="2" s="1"/>
  <c r="J281" i="2" s="1"/>
  <c r="J282" i="2" s="1"/>
  <c r="J283" i="2" s="1"/>
  <c r="J284" i="2" s="1"/>
  <c r="J285" i="2" s="1"/>
  <c r="J286" i="2" s="1"/>
  <c r="J287" i="2" s="1"/>
  <c r="J288" i="2" s="1"/>
  <c r="J289" i="2" s="1"/>
  <c r="J290" i="2" s="1"/>
  <c r="J291" i="2" s="1"/>
  <c r="J292" i="2" s="1"/>
  <c r="J293" i="2" s="1"/>
  <c r="J294" i="2" s="1"/>
  <c r="J295" i="2" s="1"/>
  <c r="J296" i="2" s="1"/>
  <c r="J297" i="2" s="1"/>
  <c r="J298" i="2" s="1"/>
  <c r="J299" i="2" s="1"/>
  <c r="J300" i="2" s="1"/>
  <c r="J301" i="2" s="1"/>
  <c r="J302" i="2" s="1"/>
  <c r="J303" i="2" s="1"/>
  <c r="J304" i="2" s="1"/>
  <c r="J305" i="2" s="1"/>
  <c r="J306" i="2" s="1"/>
  <c r="J307" i="2" s="1"/>
  <c r="J308" i="2" s="1"/>
  <c r="J309" i="2" s="1"/>
  <c r="J310" i="2" s="1"/>
  <c r="J311" i="2" s="1"/>
  <c r="J312" i="2" s="1"/>
  <c r="J313" i="2" s="1"/>
  <c r="J314" i="2" s="1"/>
  <c r="J315" i="2" s="1"/>
  <c r="J316" i="2" s="1"/>
  <c r="J317" i="2" s="1"/>
  <c r="J318" i="2" s="1"/>
  <c r="J319" i="2" s="1"/>
  <c r="J320" i="2" s="1"/>
  <c r="J321" i="2" s="1"/>
  <c r="J322" i="2" s="1"/>
  <c r="J323" i="2" s="1"/>
  <c r="J324" i="2" s="1"/>
  <c r="J325" i="2" s="1"/>
  <c r="J326" i="2" s="1"/>
  <c r="J327" i="2" s="1"/>
  <c r="J328" i="2" s="1"/>
  <c r="J329" i="2" s="1"/>
  <c r="J330" i="2" s="1"/>
  <c r="J331" i="2" s="1"/>
  <c r="J332" i="2" s="1"/>
  <c r="J333" i="2" s="1"/>
  <c r="J334" i="2" s="1"/>
  <c r="J335" i="2" s="1"/>
  <c r="J336" i="2" s="1"/>
  <c r="J337" i="2" s="1"/>
  <c r="J338" i="2" s="1"/>
  <c r="J339" i="2" s="1"/>
  <c r="J340" i="2" s="1"/>
  <c r="J341" i="2" s="1"/>
  <c r="J342" i="2" s="1"/>
  <c r="J343" i="2" s="1"/>
  <c r="J344" i="2" s="1"/>
  <c r="J345" i="2" s="1"/>
  <c r="J346" i="2" s="1"/>
  <c r="J347" i="2" s="1"/>
  <c r="J348" i="2" s="1"/>
  <c r="J349" i="2" s="1"/>
  <c r="J350" i="2" s="1"/>
  <c r="J351" i="2" s="1"/>
  <c r="J352" i="2" s="1"/>
  <c r="J353" i="2" s="1"/>
  <c r="J354" i="2" s="1"/>
  <c r="J355" i="2" s="1"/>
  <c r="J356" i="2" s="1"/>
  <c r="J357" i="2" s="1"/>
  <c r="J358" i="2" s="1"/>
  <c r="J359" i="2" s="1"/>
  <c r="J360" i="2" s="1"/>
  <c r="J361" i="2" s="1"/>
  <c r="J362" i="2" s="1"/>
  <c r="J363" i="2" s="1"/>
  <c r="J364" i="2" s="1"/>
  <c r="J365" i="2" s="1"/>
  <c r="J366" i="2" s="1"/>
  <c r="J367" i="2" s="1"/>
  <c r="J368" i="2" s="1"/>
  <c r="J369" i="2" s="1"/>
  <c r="J370" i="2" s="1"/>
  <c r="J371" i="2" s="1"/>
  <c r="J372" i="2" s="1"/>
  <c r="J373" i="2" s="1"/>
  <c r="J374" i="2" s="1"/>
  <c r="J375" i="2" s="1"/>
  <c r="J376" i="2" s="1"/>
  <c r="J377" i="2" s="1"/>
  <c r="J378" i="2" s="1"/>
  <c r="J379" i="2" s="1"/>
  <c r="J380" i="2" s="1"/>
  <c r="J381" i="2" s="1"/>
  <c r="J382" i="2" s="1"/>
  <c r="J383" i="2" s="1"/>
  <c r="J384" i="2" s="1"/>
  <c r="J385" i="2" s="1"/>
  <c r="J386" i="2" s="1"/>
  <c r="J387" i="2" s="1"/>
  <c r="J388" i="2" s="1"/>
  <c r="J389" i="2" s="1"/>
  <c r="J390" i="2" s="1"/>
  <c r="J391" i="2" s="1"/>
  <c r="J392" i="2" s="1"/>
  <c r="J393" i="2" s="1"/>
  <c r="J394" i="2" s="1"/>
  <c r="J395" i="2" s="1"/>
  <c r="J396" i="2" s="1"/>
  <c r="J397" i="2" s="1"/>
  <c r="J398" i="2" s="1"/>
  <c r="J399" i="2" s="1"/>
  <c r="J400" i="2" s="1"/>
  <c r="J401" i="2" s="1"/>
  <c r="J402" i="2" s="1"/>
  <c r="J403" i="2" s="1"/>
  <c r="J404" i="2" s="1"/>
  <c r="J405" i="2" s="1"/>
  <c r="J406" i="2" s="1"/>
  <c r="J407" i="2" s="1"/>
  <c r="J408" i="2" s="1"/>
  <c r="J409" i="2" s="1"/>
  <c r="J410" i="2" s="1"/>
  <c r="J411" i="2" s="1"/>
  <c r="J412" i="2" s="1"/>
  <c r="J413" i="2" s="1"/>
  <c r="J414" i="2" s="1"/>
  <c r="J415" i="2" s="1"/>
  <c r="J416" i="2" s="1"/>
  <c r="J417" i="2" s="1"/>
  <c r="J418" i="2" s="1"/>
  <c r="J419" i="2" s="1"/>
  <c r="J420" i="2" s="1"/>
  <c r="J421" i="2" s="1"/>
  <c r="J422" i="2" s="1"/>
  <c r="J423" i="2" s="1"/>
  <c r="J424" i="2" s="1"/>
  <c r="J425" i="2" s="1"/>
  <c r="J426" i="2" s="1"/>
  <c r="J427" i="2" s="1"/>
  <c r="J428" i="2" s="1"/>
  <c r="J429" i="2" s="1"/>
  <c r="J430" i="2" s="1"/>
  <c r="J431" i="2" s="1"/>
  <c r="J432" i="2" s="1"/>
  <c r="J433" i="2" s="1"/>
  <c r="J434" i="2" s="1"/>
  <c r="J435" i="2" s="1"/>
  <c r="J436" i="2" s="1"/>
  <c r="J437" i="2" s="1"/>
  <c r="J438" i="2" s="1"/>
  <c r="J439" i="2" s="1"/>
  <c r="J440" i="2" s="1"/>
  <c r="J441" i="2" s="1"/>
  <c r="J442" i="2" s="1"/>
  <c r="J443" i="2" s="1"/>
  <c r="J444" i="2" s="1"/>
  <c r="J445" i="2" s="1"/>
  <c r="J446" i="2" s="1"/>
  <c r="J447" i="2" s="1"/>
  <c r="J448" i="2" s="1"/>
  <c r="J449" i="2" s="1"/>
  <c r="J450" i="2" s="1"/>
  <c r="J451" i="2" s="1"/>
  <c r="J452" i="2" s="1"/>
  <c r="J453" i="2" s="1"/>
  <c r="J454" i="2" s="1"/>
  <c r="J455" i="2" s="1"/>
  <c r="J456" i="2" s="1"/>
  <c r="J457" i="2" s="1"/>
  <c r="J458" i="2" s="1"/>
  <c r="J459" i="2" s="1"/>
  <c r="J460" i="2" s="1"/>
  <c r="J461" i="2" s="1"/>
  <c r="J462" i="2" s="1"/>
  <c r="J463" i="2" s="1"/>
  <c r="J464" i="2" s="1"/>
  <c r="J465" i="2" s="1"/>
  <c r="J466" i="2" s="1"/>
  <c r="J467" i="2" s="1"/>
  <c r="J468" i="2" s="1"/>
  <c r="J469" i="2" s="1"/>
  <c r="J470" i="2" s="1"/>
  <c r="J471" i="2" s="1"/>
  <c r="J472" i="2" s="1"/>
  <c r="J473" i="2" s="1"/>
  <c r="J474" i="2" s="1"/>
  <c r="J475" i="2" s="1"/>
  <c r="J476" i="2" s="1"/>
  <c r="J477" i="2" s="1"/>
  <c r="J478" i="2" s="1"/>
  <c r="J479" i="2" s="1"/>
  <c r="J480" i="2" s="1"/>
  <c r="J481" i="2" s="1"/>
  <c r="J482" i="2" s="1"/>
  <c r="J483" i="2" s="1"/>
  <c r="J484" i="2" s="1"/>
  <c r="J485" i="2" s="1"/>
  <c r="J486" i="2" s="1"/>
  <c r="J487" i="2" s="1"/>
  <c r="J488" i="2" s="1"/>
  <c r="J489" i="2" s="1"/>
  <c r="J490" i="2" s="1"/>
  <c r="J491" i="2" s="1"/>
  <c r="J492" i="2" s="1"/>
  <c r="J493" i="2" s="1"/>
  <c r="J494" i="2" s="1"/>
  <c r="J495" i="2" s="1"/>
  <c r="J496" i="2" s="1"/>
  <c r="J497" i="2" s="1"/>
  <c r="J498" i="2" s="1"/>
  <c r="J499" i="2" s="1"/>
  <c r="J500" i="2" s="1"/>
  <c r="J501" i="2" s="1"/>
  <c r="J502" i="2" s="1"/>
  <c r="J503" i="2" s="1"/>
  <c r="J504" i="2" s="1"/>
  <c r="J505" i="2" s="1"/>
  <c r="J506" i="2" s="1"/>
  <c r="J507" i="2" s="1"/>
  <c r="J508" i="2" s="1"/>
  <c r="J509" i="2" s="1"/>
  <c r="J510" i="2" s="1"/>
  <c r="J511" i="2" s="1"/>
  <c r="J512" i="2" s="1"/>
  <c r="J513" i="2" s="1"/>
  <c r="J514" i="2" s="1"/>
  <c r="J515" i="2" s="1"/>
  <c r="J516" i="2" s="1"/>
  <c r="J517" i="2" s="1"/>
  <c r="J518" i="2" s="1"/>
  <c r="J519" i="2" s="1"/>
  <c r="J520" i="2" s="1"/>
  <c r="J521" i="2" s="1"/>
  <c r="J522" i="2" s="1"/>
  <c r="J523" i="2" s="1"/>
  <c r="J524" i="2" s="1"/>
  <c r="J525" i="2" s="1"/>
  <c r="J526" i="2" s="1"/>
  <c r="J527" i="2" s="1"/>
  <c r="J528" i="2" s="1"/>
  <c r="J529" i="2" s="1"/>
  <c r="J530" i="2" s="1"/>
  <c r="J531" i="2" s="1"/>
  <c r="J532" i="2" s="1"/>
  <c r="J533" i="2" s="1"/>
  <c r="J534" i="2" s="1"/>
  <c r="J535" i="2" s="1"/>
  <c r="J536" i="2" s="1"/>
  <c r="J537" i="2" s="1"/>
  <c r="J538" i="2" s="1"/>
  <c r="J539" i="2" s="1"/>
  <c r="J540" i="2" s="1"/>
  <c r="J541" i="2" s="1"/>
  <c r="J542" i="2" s="1"/>
  <c r="J543" i="2" s="1"/>
  <c r="J544" i="2" s="1"/>
  <c r="J545" i="2" s="1"/>
  <c r="J546" i="2" s="1"/>
  <c r="J547" i="2" s="1"/>
  <c r="J548" i="2" s="1"/>
  <c r="J549" i="2" s="1"/>
  <c r="J550" i="2" s="1"/>
  <c r="J551" i="2" s="1"/>
  <c r="J552" i="2" s="1"/>
  <c r="J553" i="2" s="1"/>
  <c r="J554" i="2" s="1"/>
  <c r="J555" i="2" s="1"/>
  <c r="J556" i="2" s="1"/>
  <c r="J557" i="2" s="1"/>
  <c r="J558" i="2" s="1"/>
  <c r="J559" i="2" s="1"/>
  <c r="J560" i="2" s="1"/>
  <c r="J561" i="2" s="1"/>
  <c r="J562" i="2" s="1"/>
  <c r="J563" i="2" s="1"/>
  <c r="J564" i="2" s="1"/>
  <c r="J565" i="2" s="1"/>
  <c r="J566" i="2" s="1"/>
  <c r="J567" i="2" s="1"/>
  <c r="J568" i="2" s="1"/>
  <c r="J569" i="2" s="1"/>
  <c r="J570" i="2" s="1"/>
  <c r="J571" i="2" s="1"/>
  <c r="J572" i="2" s="1"/>
  <c r="J573" i="2" s="1"/>
  <c r="J574" i="2" s="1"/>
  <c r="J575" i="2" s="1"/>
  <c r="J576" i="2" s="1"/>
  <c r="J577" i="2" s="1"/>
  <c r="J578" i="2" s="1"/>
  <c r="J579" i="2" s="1"/>
  <c r="J580" i="2" s="1"/>
  <c r="J581" i="2" s="1"/>
  <c r="J582" i="2" s="1"/>
  <c r="J583" i="2" s="1"/>
  <c r="J584" i="2" s="1"/>
  <c r="J585" i="2" s="1"/>
  <c r="J586" i="2" s="1"/>
  <c r="J587" i="2" s="1"/>
  <c r="J588" i="2" s="1"/>
  <c r="J589" i="2" s="1"/>
  <c r="J590" i="2" s="1"/>
  <c r="J591" i="2" s="1"/>
  <c r="J592" i="2" s="1"/>
  <c r="J593" i="2" s="1"/>
  <c r="J594" i="2" s="1"/>
  <c r="J595" i="2" s="1"/>
  <c r="J596" i="2" s="1"/>
  <c r="J597" i="2" s="1"/>
  <c r="J598" i="2" s="1"/>
  <c r="J599" i="2" s="1"/>
  <c r="J600" i="2" s="1"/>
  <c r="J601" i="2" s="1"/>
  <c r="J602" i="2" s="1"/>
  <c r="J603" i="2" s="1"/>
  <c r="J604" i="2" s="1"/>
  <c r="J605" i="2" s="1"/>
  <c r="J606" i="2" s="1"/>
  <c r="J607" i="2" s="1"/>
  <c r="J608" i="2" s="1"/>
  <c r="J609" i="2" s="1"/>
  <c r="J610" i="2" s="1"/>
  <c r="J611" i="2" s="1"/>
  <c r="J612" i="2" s="1"/>
  <c r="J613" i="2" s="1"/>
  <c r="J614" i="2" s="1"/>
  <c r="J615" i="2" s="1"/>
  <c r="J616" i="2" s="1"/>
  <c r="J617" i="2" s="1"/>
  <c r="J618" i="2" s="1"/>
  <c r="J619" i="2" s="1"/>
  <c r="J620" i="2" s="1"/>
  <c r="J621" i="2" s="1"/>
  <c r="J622" i="2" s="1"/>
  <c r="J623" i="2" s="1"/>
  <c r="J624" i="2" s="1"/>
  <c r="J625" i="2" s="1"/>
  <c r="J626" i="2" s="1"/>
  <c r="J627" i="2" s="1"/>
  <c r="J628" i="2" s="1"/>
  <c r="J629" i="2" s="1"/>
  <c r="J630" i="2" s="1"/>
  <c r="J631" i="2" s="1"/>
  <c r="J632" i="2" s="1"/>
  <c r="J633" i="2" s="1"/>
  <c r="J634" i="2" s="1"/>
  <c r="J635" i="2" s="1"/>
  <c r="J636" i="2" s="1"/>
  <c r="J637" i="2" s="1"/>
  <c r="J638" i="2" s="1"/>
  <c r="J639" i="2" s="1"/>
  <c r="J640" i="2" s="1"/>
  <c r="J641" i="2" s="1"/>
  <c r="J642" i="2" s="1"/>
  <c r="J643" i="2" s="1"/>
  <c r="J644" i="2" s="1"/>
  <c r="J645" i="2" s="1"/>
  <c r="J646" i="2" s="1"/>
  <c r="J647" i="2" s="1"/>
  <c r="J648" i="2" s="1"/>
  <c r="J649" i="2" s="1"/>
  <c r="J650" i="2" s="1"/>
  <c r="J651" i="2" s="1"/>
  <c r="J652" i="2" s="1"/>
  <c r="J653" i="2" s="1"/>
  <c r="J654" i="2" s="1"/>
  <c r="J655" i="2" s="1"/>
  <c r="J656" i="2" s="1"/>
  <c r="J657" i="2" s="1"/>
  <c r="J658" i="2" s="1"/>
  <c r="J659" i="2" s="1"/>
  <c r="J660" i="2" s="1"/>
  <c r="J661" i="2" s="1"/>
  <c r="J662" i="2" s="1"/>
  <c r="J663" i="2" s="1"/>
  <c r="J664" i="2" s="1"/>
  <c r="J665" i="2" s="1"/>
  <c r="J666" i="2" s="1"/>
  <c r="J667" i="2" s="1"/>
  <c r="J668" i="2" s="1"/>
  <c r="J669" i="2" s="1"/>
  <c r="J670" i="2" s="1"/>
  <c r="J671" i="2" s="1"/>
  <c r="J672" i="2" s="1"/>
  <c r="J673" i="2" s="1"/>
  <c r="J674" i="2" s="1"/>
  <c r="J675" i="2" s="1"/>
  <c r="J676" i="2" s="1"/>
  <c r="J677" i="2" s="1"/>
  <c r="J678" i="2" s="1"/>
  <c r="J679" i="2" s="1"/>
  <c r="J680" i="2" s="1"/>
  <c r="J681" i="2" s="1"/>
  <c r="J682" i="2" s="1"/>
  <c r="J683" i="2" s="1"/>
  <c r="J684" i="2" s="1"/>
  <c r="J685" i="2" s="1"/>
  <c r="J686" i="2" s="1"/>
  <c r="J687" i="2" s="1"/>
  <c r="J688" i="2" s="1"/>
  <c r="J689" i="2" s="1"/>
  <c r="J690" i="2" s="1"/>
  <c r="J691" i="2" s="1"/>
  <c r="J692" i="2" s="1"/>
  <c r="J693" i="2" s="1"/>
  <c r="J694" i="2" s="1"/>
  <c r="J695" i="2" s="1"/>
  <c r="J696" i="2" s="1"/>
  <c r="J697" i="2" s="1"/>
  <c r="J698" i="2" s="1"/>
  <c r="J699" i="2" s="1"/>
  <c r="J700" i="2" s="1"/>
  <c r="J701" i="2" s="1"/>
  <c r="J702" i="2" s="1"/>
  <c r="J703" i="2" s="1"/>
  <c r="J704" i="2" s="1"/>
  <c r="J705" i="2" s="1"/>
  <c r="J706" i="2" s="1"/>
  <c r="J707" i="2" s="1"/>
  <c r="J708" i="2" s="1"/>
  <c r="J709" i="2" s="1"/>
  <c r="J710" i="2" s="1"/>
  <c r="J711" i="2" s="1"/>
  <c r="J712" i="2" s="1"/>
  <c r="J713" i="2" s="1"/>
  <c r="J714" i="2" s="1"/>
  <c r="J715" i="2" s="1"/>
  <c r="J716" i="2" s="1"/>
  <c r="J717" i="2" s="1"/>
  <c r="J718" i="2" s="1"/>
  <c r="J719" i="2" s="1"/>
  <c r="J720" i="2" s="1"/>
  <c r="J721" i="2" s="1"/>
  <c r="J722" i="2" s="1"/>
  <c r="J723" i="2" s="1"/>
  <c r="J724" i="2" s="1"/>
  <c r="J725" i="2" s="1"/>
  <c r="J726" i="2" s="1"/>
  <c r="J727" i="2" s="1"/>
  <c r="J728" i="2" s="1"/>
  <c r="J729" i="2" s="1"/>
  <c r="J730" i="2" s="1"/>
  <c r="J731" i="2" s="1"/>
  <c r="J732" i="2" s="1"/>
  <c r="J733" i="2" s="1"/>
  <c r="J734" i="2" s="1"/>
  <c r="J735" i="2" s="1"/>
  <c r="J736" i="2" s="1"/>
  <c r="J737" i="2" s="1"/>
  <c r="J738" i="2" s="1"/>
  <c r="J739" i="2" s="1"/>
  <c r="J740" i="2" s="1"/>
  <c r="J741" i="2" s="1"/>
  <c r="J742" i="2" s="1"/>
  <c r="J743" i="2" s="1"/>
  <c r="J744" i="2" s="1"/>
  <c r="J745" i="2" s="1"/>
  <c r="J746" i="2" s="1"/>
  <c r="J747" i="2" s="1"/>
  <c r="J748" i="2" s="1"/>
  <c r="J749" i="2" s="1"/>
  <c r="J750" i="2" s="1"/>
  <c r="J751" i="2" s="1"/>
  <c r="J752" i="2" s="1"/>
  <c r="J753" i="2" s="1"/>
  <c r="J754" i="2" s="1"/>
  <c r="J755" i="2" s="1"/>
  <c r="J756" i="2" s="1"/>
  <c r="J757" i="2" s="1"/>
  <c r="J758" i="2" s="1"/>
  <c r="J759" i="2" s="1"/>
  <c r="J760" i="2" s="1"/>
  <c r="J761" i="2" s="1"/>
  <c r="J762" i="2" s="1"/>
  <c r="J763" i="2" s="1"/>
  <c r="J764" i="2" s="1"/>
  <c r="J765" i="2" s="1"/>
  <c r="J766" i="2" s="1"/>
  <c r="J767" i="2" s="1"/>
  <c r="J768" i="2" s="1"/>
  <c r="J769" i="2" s="1"/>
  <c r="J770" i="2" s="1"/>
  <c r="J771" i="2" s="1"/>
  <c r="J772" i="2" s="1"/>
  <c r="J773" i="2" s="1"/>
  <c r="J774" i="2" s="1"/>
  <c r="J775" i="2" s="1"/>
  <c r="J776" i="2" s="1"/>
  <c r="J777" i="2" s="1"/>
  <c r="J778" i="2" s="1"/>
  <c r="J779" i="2" s="1"/>
  <c r="J780" i="2" s="1"/>
  <c r="J781" i="2" s="1"/>
  <c r="J782" i="2" s="1"/>
  <c r="J783" i="2" s="1"/>
  <c r="J784" i="2" s="1"/>
  <c r="J785" i="2" s="1"/>
  <c r="J786" i="2" s="1"/>
  <c r="J787" i="2" s="1"/>
  <c r="J788" i="2" s="1"/>
  <c r="J789" i="2" s="1"/>
  <c r="J790" i="2" s="1"/>
  <c r="J791" i="2" s="1"/>
  <c r="J792" i="2" s="1"/>
  <c r="J793" i="2" s="1"/>
  <c r="J794" i="2" s="1"/>
  <c r="J795" i="2" s="1"/>
  <c r="J796" i="2" s="1"/>
  <c r="J797" i="2" s="1"/>
  <c r="J798" i="2" s="1"/>
  <c r="J799" i="2" s="1"/>
  <c r="J800" i="2" s="1"/>
  <c r="J801" i="2" s="1"/>
  <c r="J802" i="2" s="1"/>
  <c r="J803" i="2" s="1"/>
  <c r="J804" i="2" s="1"/>
  <c r="J805" i="2" s="1"/>
  <c r="J806" i="2" s="1"/>
  <c r="J807" i="2" s="1"/>
  <c r="J808" i="2" s="1"/>
  <c r="J809" i="2" s="1"/>
  <c r="J810" i="2" s="1"/>
  <c r="J811" i="2" s="1"/>
  <c r="J812" i="2" s="1"/>
  <c r="J813" i="2" s="1"/>
  <c r="J814" i="2" s="1"/>
  <c r="J815" i="2" s="1"/>
  <c r="J816" i="2" s="1"/>
  <c r="J817" i="2" s="1"/>
  <c r="J818" i="2" s="1"/>
  <c r="J819" i="2" s="1"/>
  <c r="J820" i="2" s="1"/>
  <c r="J821" i="2" s="1"/>
  <c r="J822" i="2" s="1"/>
  <c r="J823" i="2" s="1"/>
  <c r="J824" i="2" s="1"/>
  <c r="J825" i="2" s="1"/>
  <c r="J826" i="2" s="1"/>
  <c r="J827" i="2" s="1"/>
  <c r="J828" i="2" s="1"/>
  <c r="J829" i="2" s="1"/>
  <c r="J830" i="2" s="1"/>
  <c r="J831" i="2" s="1"/>
  <c r="J832" i="2" s="1"/>
  <c r="J833" i="2" s="1"/>
  <c r="J834" i="2" s="1"/>
  <c r="J835" i="2" s="1"/>
  <c r="J836" i="2" s="1"/>
  <c r="J837" i="2" s="1"/>
  <c r="J838" i="2" s="1"/>
  <c r="J839" i="2" s="1"/>
  <c r="J840" i="2" s="1"/>
  <c r="J841" i="2" s="1"/>
  <c r="J842" i="2" s="1"/>
  <c r="J843" i="2" s="1"/>
  <c r="J844" i="2" s="1"/>
  <c r="J845" i="2" s="1"/>
  <c r="J846" i="2" s="1"/>
  <c r="J847" i="2" s="1"/>
  <c r="J848" i="2" s="1"/>
  <c r="J849" i="2" s="1"/>
  <c r="J850" i="2" s="1"/>
  <c r="J851" i="2" s="1"/>
  <c r="J852" i="2" s="1"/>
  <c r="J853" i="2" s="1"/>
  <c r="J854" i="2" s="1"/>
  <c r="J855" i="2" s="1"/>
  <c r="J856" i="2" s="1"/>
  <c r="J857" i="2" s="1"/>
  <c r="J858" i="2" s="1"/>
  <c r="J859" i="2" s="1"/>
  <c r="J860" i="2" s="1"/>
  <c r="J861" i="2" s="1"/>
  <c r="J862" i="2" s="1"/>
  <c r="J863" i="2" s="1"/>
  <c r="J864" i="2" s="1"/>
  <c r="J865" i="2" s="1"/>
  <c r="J866" i="2" s="1"/>
  <c r="J867" i="2" s="1"/>
  <c r="J868" i="2" s="1"/>
  <c r="J869" i="2" s="1"/>
  <c r="J870" i="2" s="1"/>
  <c r="J871" i="2" s="1"/>
  <c r="J872" i="2" s="1"/>
  <c r="J873" i="2" s="1"/>
  <c r="J874" i="2" s="1"/>
  <c r="J875" i="2" s="1"/>
  <c r="J876" i="2" s="1"/>
  <c r="J877" i="2" s="1"/>
  <c r="J878" i="2" s="1"/>
  <c r="J879" i="2" s="1"/>
  <c r="J880" i="2" s="1"/>
  <c r="J881" i="2" s="1"/>
  <c r="J882" i="2" s="1"/>
  <c r="J883" i="2" s="1"/>
  <c r="J884" i="2" s="1"/>
  <c r="J885" i="2" s="1"/>
  <c r="J886" i="2" s="1"/>
  <c r="J887" i="2" s="1"/>
  <c r="J888" i="2" s="1"/>
  <c r="J889" i="2" s="1"/>
  <c r="J890" i="2" s="1"/>
  <c r="J891" i="2" s="1"/>
  <c r="J892" i="2" s="1"/>
  <c r="J893" i="2" s="1"/>
  <c r="J894" i="2" s="1"/>
  <c r="J895" i="2" s="1"/>
  <c r="J896" i="2" s="1"/>
  <c r="J897" i="2" s="1"/>
  <c r="J898" i="2" s="1"/>
  <c r="J899" i="2" s="1"/>
  <c r="J900" i="2" s="1"/>
  <c r="J901" i="2" s="1"/>
  <c r="J902" i="2" s="1"/>
  <c r="J903" i="2" s="1"/>
  <c r="J904" i="2" s="1"/>
  <c r="J905" i="2" s="1"/>
  <c r="J906" i="2" s="1"/>
  <c r="J907" i="2" s="1"/>
  <c r="J908" i="2" s="1"/>
  <c r="J909" i="2" s="1"/>
  <c r="J910" i="2" s="1"/>
  <c r="J911" i="2" s="1"/>
  <c r="J912" i="2" s="1"/>
  <c r="J913" i="2" s="1"/>
  <c r="J914" i="2" s="1"/>
  <c r="J915" i="2" s="1"/>
  <c r="J916" i="2" s="1"/>
  <c r="J917" i="2" s="1"/>
  <c r="J918" i="2" s="1"/>
  <c r="J919" i="2" s="1"/>
  <c r="J920" i="2" s="1"/>
  <c r="J921" i="2" s="1"/>
  <c r="J922" i="2" s="1"/>
  <c r="J923" i="2" s="1"/>
  <c r="J924" i="2" s="1"/>
  <c r="J925" i="2" s="1"/>
  <c r="J926" i="2" s="1"/>
  <c r="J927" i="2" s="1"/>
  <c r="J928" i="2" s="1"/>
  <c r="J929" i="2" s="1"/>
  <c r="J930" i="2" s="1"/>
  <c r="J931" i="2" s="1"/>
  <c r="J932" i="2" s="1"/>
  <c r="J933" i="2" s="1"/>
  <c r="J934" i="2" s="1"/>
  <c r="J935" i="2" s="1"/>
  <c r="J936" i="2" s="1"/>
  <c r="J937" i="2" s="1"/>
  <c r="J938" i="2" s="1"/>
  <c r="J939" i="2" s="1"/>
  <c r="J940" i="2" s="1"/>
  <c r="J941" i="2" s="1"/>
  <c r="J942" i="2" s="1"/>
  <c r="J943" i="2" s="1"/>
  <c r="J944" i="2" s="1"/>
  <c r="J945" i="2" s="1"/>
  <c r="J946" i="2" s="1"/>
  <c r="J947" i="2" s="1"/>
  <c r="J948" i="2" s="1"/>
  <c r="J949" i="2" s="1"/>
  <c r="J950" i="2" s="1"/>
  <c r="J951" i="2" s="1"/>
  <c r="J952" i="2" s="1"/>
  <c r="J953" i="2" s="1"/>
  <c r="J954" i="2" s="1"/>
  <c r="J955" i="2" s="1"/>
  <c r="J956" i="2" s="1"/>
  <c r="J957" i="2" s="1"/>
  <c r="J958" i="2" s="1"/>
  <c r="J959" i="2" s="1"/>
  <c r="J960" i="2" s="1"/>
  <c r="J961" i="2" s="1"/>
  <c r="J962" i="2" s="1"/>
  <c r="J963" i="2" s="1"/>
  <c r="J964" i="2" s="1"/>
  <c r="J965" i="2" s="1"/>
  <c r="J966" i="2" s="1"/>
  <c r="J967" i="2" s="1"/>
  <c r="J968" i="2" s="1"/>
  <c r="J969" i="2" s="1"/>
  <c r="J970" i="2" s="1"/>
  <c r="J971" i="2" s="1"/>
  <c r="J972" i="2" s="1"/>
  <c r="J973" i="2" s="1"/>
  <c r="J974" i="2" s="1"/>
  <c r="J975" i="2" s="1"/>
  <c r="J976" i="2" s="1"/>
  <c r="J977" i="2" s="1"/>
  <c r="J978" i="2" s="1"/>
  <c r="J979" i="2" s="1"/>
  <c r="J980" i="2" s="1"/>
  <c r="J981" i="2" s="1"/>
  <c r="J982" i="2" s="1"/>
  <c r="J983" i="2" s="1"/>
  <c r="J984" i="2" s="1"/>
  <c r="J985" i="2" s="1"/>
  <c r="J986" i="2" s="1"/>
  <c r="J987" i="2" s="1"/>
  <c r="J988" i="2" s="1"/>
  <c r="J989" i="2" s="1"/>
  <c r="J990" i="2" s="1"/>
  <c r="J991" i="2" s="1"/>
  <c r="J992" i="2" s="1"/>
  <c r="J993" i="2" s="1"/>
  <c r="J994" i="2" s="1"/>
  <c r="J995" i="2" s="1"/>
  <c r="J996" i="2" s="1"/>
  <c r="J997" i="2" s="1"/>
  <c r="J998" i="2" s="1"/>
  <c r="J999" i="2" s="1"/>
  <c r="J1000" i="2" s="1"/>
  <c r="J1001" i="2" s="1"/>
  <c r="J1002" i="2" s="1"/>
  <c r="J1003" i="2" s="1"/>
  <c r="J1004" i="2" s="1"/>
  <c r="J1005" i="2" s="1"/>
  <c r="J1006" i="2" s="1"/>
  <c r="J1007" i="2" s="1"/>
  <c r="J1008" i="2" s="1"/>
  <c r="J1009" i="2" s="1"/>
  <c r="J1010" i="2" s="1"/>
  <c r="J1011" i="2" s="1"/>
  <c r="J1012" i="2" s="1"/>
  <c r="J1013" i="2" s="1"/>
  <c r="J1014" i="2" s="1"/>
  <c r="J1015" i="2" s="1"/>
  <c r="J1016" i="2" s="1"/>
  <c r="J1017" i="2" s="1"/>
  <c r="J1018" i="2" s="1"/>
  <c r="J1019" i="2" s="1"/>
  <c r="J1020" i="2" s="1"/>
  <c r="J1021" i="2" s="1"/>
  <c r="J1022" i="2" s="1"/>
  <c r="J1023" i="2" s="1"/>
  <c r="J1024" i="2" s="1"/>
  <c r="J1025" i="2" s="1"/>
  <c r="J1026" i="2" s="1"/>
  <c r="J1027" i="2" s="1"/>
  <c r="J1028" i="2" s="1"/>
  <c r="J1029" i="2" s="1"/>
  <c r="J1030" i="2" s="1"/>
  <c r="J1031" i="2" s="1"/>
  <c r="J1032" i="2" s="1"/>
  <c r="J1033" i="2" s="1"/>
  <c r="J1034" i="2" s="1"/>
  <c r="J1035" i="2" s="1"/>
  <c r="J1036" i="2" s="1"/>
  <c r="J1037" i="2" s="1"/>
  <c r="J1038" i="2" s="1"/>
  <c r="J1039" i="2" s="1"/>
  <c r="J1040" i="2" s="1"/>
  <c r="J1041" i="2" s="1"/>
  <c r="J1042" i="2" s="1"/>
  <c r="J1043" i="2" s="1"/>
  <c r="J1044" i="2" s="1"/>
  <c r="J1045" i="2" s="1"/>
  <c r="J1046" i="2" s="1"/>
  <c r="J1047" i="2" s="1"/>
  <c r="J1048" i="2" s="1"/>
  <c r="J1049" i="2" s="1"/>
  <c r="J1050" i="2" s="1"/>
  <c r="J1051" i="2" s="1"/>
  <c r="J1052" i="2" s="1"/>
  <c r="J1053" i="2" s="1"/>
  <c r="J1054" i="2" s="1"/>
  <c r="J1055" i="2" s="1"/>
  <c r="J1056" i="2" s="1"/>
  <c r="J1057" i="2" s="1"/>
  <c r="J1058" i="2" s="1"/>
  <c r="J1059" i="2" s="1"/>
  <c r="J1060" i="2" s="1"/>
  <c r="J1061" i="2" s="1"/>
  <c r="J1062" i="2" s="1"/>
  <c r="J1063" i="2" s="1"/>
  <c r="J1064" i="2" s="1"/>
  <c r="J1065" i="2" s="1"/>
  <c r="J1066" i="2" s="1"/>
  <c r="J1067" i="2" s="1"/>
  <c r="J1068" i="2" s="1"/>
  <c r="J1069" i="2" s="1"/>
  <c r="J1070" i="2" s="1"/>
  <c r="J1071" i="2" s="1"/>
  <c r="J1072" i="2" s="1"/>
  <c r="J1073" i="2" s="1"/>
  <c r="J1074" i="2" s="1"/>
  <c r="J1075" i="2" s="1"/>
  <c r="J1076" i="2" s="1"/>
  <c r="J1077" i="2" s="1"/>
  <c r="J1078" i="2" s="1"/>
  <c r="J1079" i="2" s="1"/>
  <c r="J1080" i="2" s="1"/>
  <c r="J1081" i="2" s="1"/>
  <c r="J1082" i="2" s="1"/>
  <c r="J1083" i="2" s="1"/>
  <c r="J1084" i="2" s="1"/>
  <c r="J1085" i="2" s="1"/>
  <c r="J1086" i="2" s="1"/>
  <c r="J1087" i="2" s="1"/>
  <c r="J1088" i="2" s="1"/>
  <c r="J1089" i="2" s="1"/>
  <c r="J1090" i="2" s="1"/>
  <c r="J1091" i="2" s="1"/>
  <c r="J1092" i="2" s="1"/>
  <c r="J1093" i="2" s="1"/>
  <c r="J1094" i="2" s="1"/>
  <c r="J1095" i="2" s="1"/>
  <c r="J1096" i="2" s="1"/>
  <c r="J1097" i="2" s="1"/>
  <c r="J1098" i="2" s="1"/>
  <c r="J1099" i="2" s="1"/>
  <c r="J1100" i="2" s="1"/>
  <c r="J1101" i="2" s="1"/>
  <c r="J1102" i="2" s="1"/>
  <c r="J1103" i="2" s="1"/>
  <c r="J1104" i="2" s="1"/>
  <c r="J1105" i="2" s="1"/>
  <c r="J1106" i="2" s="1"/>
  <c r="J1107" i="2" s="1"/>
  <c r="J1108" i="2" s="1"/>
  <c r="J1109" i="2" s="1"/>
  <c r="J1110" i="2" s="1"/>
  <c r="J1111" i="2" s="1"/>
  <c r="J1112" i="2" s="1"/>
  <c r="J1113" i="2" s="1"/>
  <c r="J1114" i="2" s="1"/>
  <c r="J1115" i="2" s="1"/>
  <c r="J1116" i="2" s="1"/>
  <c r="J1117" i="2" s="1"/>
  <c r="J1118" i="2" s="1"/>
  <c r="J1119" i="2" s="1"/>
  <c r="J1120" i="2" s="1"/>
  <c r="J1121" i="2" s="1"/>
  <c r="J1122" i="2" s="1"/>
  <c r="J1123" i="2" s="1"/>
  <c r="J1124" i="2" s="1"/>
  <c r="J1125" i="2" s="1"/>
  <c r="J1126" i="2" s="1"/>
  <c r="J1127" i="2" s="1"/>
  <c r="J1128" i="2" s="1"/>
  <c r="J1129" i="2" s="1"/>
  <c r="J1130" i="2" s="1"/>
  <c r="J1131" i="2" s="1"/>
  <c r="J1132" i="2" s="1"/>
  <c r="J1133" i="2" s="1"/>
  <c r="J1134" i="2" s="1"/>
  <c r="J1135" i="2" s="1"/>
  <c r="J1136" i="2" s="1"/>
  <c r="J1137" i="2" s="1"/>
  <c r="J1138" i="2" s="1"/>
  <c r="J1139" i="2" s="1"/>
  <c r="J1140" i="2" s="1"/>
  <c r="J1141" i="2" s="1"/>
  <c r="J1142" i="2" s="1"/>
  <c r="J1143" i="2" s="1"/>
  <c r="J1144" i="2" s="1"/>
  <c r="J1145" i="2" s="1"/>
  <c r="J1146" i="2" s="1"/>
  <c r="J1147" i="2" s="1"/>
  <c r="J1148" i="2" s="1"/>
  <c r="J1149" i="2" s="1"/>
  <c r="J1150" i="2" s="1"/>
  <c r="J1151" i="2" s="1"/>
  <c r="J1152" i="2" s="1"/>
  <c r="J1153" i="2" s="1"/>
  <c r="J1154" i="2" s="1"/>
  <c r="J1155" i="2" s="1"/>
  <c r="J1156" i="2" s="1"/>
  <c r="J1157" i="2" s="1"/>
  <c r="J1158" i="2" s="1"/>
  <c r="J1159" i="2" s="1"/>
  <c r="J1160" i="2" s="1"/>
  <c r="J1161" i="2" s="1"/>
  <c r="J1162" i="2" s="1"/>
  <c r="J1163" i="2" s="1"/>
  <c r="J1164" i="2" s="1"/>
  <c r="J1165" i="2" s="1"/>
  <c r="J1166" i="2" s="1"/>
  <c r="J1167" i="2" s="1"/>
  <c r="J1168" i="2" s="1"/>
  <c r="J1169" i="2" s="1"/>
  <c r="J1170" i="2" s="1"/>
  <c r="J1171" i="2" s="1"/>
  <c r="J1172" i="2" s="1"/>
  <c r="J1173" i="2" s="1"/>
  <c r="J1174" i="2" s="1"/>
  <c r="J1175" i="2" s="1"/>
  <c r="J1176" i="2" s="1"/>
  <c r="J1177" i="2" s="1"/>
  <c r="J1178" i="2" s="1"/>
  <c r="J1179" i="2" s="1"/>
  <c r="J1180" i="2" s="1"/>
  <c r="J1181" i="2" s="1"/>
  <c r="J1182" i="2" s="1"/>
  <c r="J1183" i="2" s="1"/>
  <c r="J1184" i="2" s="1"/>
  <c r="J1185" i="2" s="1"/>
  <c r="J1186" i="2" s="1"/>
  <c r="J1187" i="2" s="1"/>
  <c r="J1188" i="2" s="1"/>
  <c r="J1189" i="2" s="1"/>
  <c r="J1190" i="2" s="1"/>
  <c r="J1191" i="2" s="1"/>
  <c r="J1192" i="2" s="1"/>
  <c r="J1193" i="2" s="1"/>
  <c r="J1194" i="2" s="1"/>
  <c r="J1195" i="2" s="1"/>
  <c r="J1196" i="2" s="1"/>
  <c r="J1197" i="2" s="1"/>
  <c r="J1198" i="2" s="1"/>
  <c r="J1199" i="2" s="1"/>
  <c r="J1200" i="2" s="1"/>
  <c r="J1201" i="2" s="1"/>
  <c r="J1202" i="2" s="1"/>
  <c r="J1203" i="2" s="1"/>
  <c r="J1204" i="2" s="1"/>
  <c r="J1205" i="2" s="1"/>
  <c r="J1206" i="2" s="1"/>
  <c r="J1207" i="2" s="1"/>
  <c r="J1208" i="2" s="1"/>
  <c r="J1209" i="2" s="1"/>
  <c r="J1210" i="2" s="1"/>
  <c r="J1211" i="2" s="1"/>
  <c r="J1212" i="2" s="1"/>
  <c r="J1213" i="2" s="1"/>
  <c r="J1214" i="2" s="1"/>
  <c r="J1215" i="2" s="1"/>
  <c r="J1216" i="2" s="1"/>
  <c r="J1217" i="2" s="1"/>
  <c r="J1218" i="2" s="1"/>
  <c r="J1219" i="2" s="1"/>
  <c r="J1220" i="2" s="1"/>
  <c r="J1221" i="2" s="1"/>
  <c r="J1222" i="2" s="1"/>
  <c r="J1223" i="2" s="1"/>
  <c r="J1224" i="2" s="1"/>
  <c r="J1225" i="2" s="1"/>
  <c r="J1226" i="2" s="1"/>
  <c r="J1227" i="2" s="1"/>
  <c r="J1228" i="2" s="1"/>
  <c r="J1229" i="2" s="1"/>
  <c r="J1230" i="2" s="1"/>
  <c r="J1231" i="2" s="1"/>
  <c r="J1232" i="2" s="1"/>
  <c r="J1233" i="2" s="1"/>
  <c r="J1234" i="2" s="1"/>
  <c r="J1235" i="2" s="1"/>
  <c r="J1236" i="2" s="1"/>
  <c r="J1237" i="2" s="1"/>
  <c r="J1238" i="2" s="1"/>
  <c r="J1239" i="2" s="1"/>
  <c r="J1240" i="2" s="1"/>
  <c r="J1241" i="2" s="1"/>
  <c r="J1242" i="2" s="1"/>
  <c r="J1243" i="2" s="1"/>
  <c r="J1244" i="2" s="1"/>
  <c r="J1245" i="2" s="1"/>
  <c r="J1246" i="2" s="1"/>
  <c r="J1247" i="2" s="1"/>
  <c r="J1248" i="2" s="1"/>
  <c r="J1249" i="2" s="1"/>
  <c r="J1250" i="2" s="1"/>
  <c r="J1251" i="2" s="1"/>
  <c r="J1252" i="2" s="1"/>
  <c r="J1253" i="2" s="1"/>
  <c r="J1254" i="2" s="1"/>
  <c r="J1255" i="2" s="1"/>
  <c r="J1256" i="2" s="1"/>
  <c r="J1257" i="2" s="1"/>
  <c r="J1258" i="2" s="1"/>
  <c r="J1259" i="2" s="1"/>
  <c r="J1260" i="2" s="1"/>
  <c r="J1261" i="2" s="1"/>
  <c r="J1262" i="2" s="1"/>
  <c r="J1263" i="2" s="1"/>
  <c r="J1264" i="2" s="1"/>
  <c r="J1265" i="2" s="1"/>
  <c r="J1266" i="2" s="1"/>
  <c r="J1267" i="2" s="1"/>
  <c r="J1268" i="2" s="1"/>
  <c r="J1269" i="2" s="1"/>
  <c r="J1270" i="2" s="1"/>
  <c r="J1271" i="2" s="1"/>
  <c r="J1272" i="2" s="1"/>
  <c r="J1273" i="2" s="1"/>
  <c r="J1274" i="2" s="1"/>
  <c r="J1275" i="2" s="1"/>
  <c r="J1276" i="2" s="1"/>
  <c r="J1277" i="2" s="1"/>
  <c r="J1278" i="2" s="1"/>
  <c r="J1279" i="2" s="1"/>
  <c r="J1280" i="2" s="1"/>
  <c r="J1281" i="2" s="1"/>
  <c r="J1282" i="2" s="1"/>
  <c r="J1283" i="2" s="1"/>
  <c r="J1284" i="2" s="1"/>
  <c r="J1285" i="2" s="1"/>
  <c r="J1286" i="2" s="1"/>
  <c r="J1287" i="2" s="1"/>
  <c r="J1288" i="2" s="1"/>
  <c r="J1289" i="2" s="1"/>
  <c r="J1290" i="2" s="1"/>
  <c r="J1291" i="2" s="1"/>
  <c r="J1292" i="2" s="1"/>
  <c r="J1293" i="2" s="1"/>
  <c r="J1294" i="2" s="1"/>
  <c r="J1295" i="2" s="1"/>
  <c r="J1296" i="2" s="1"/>
  <c r="J1297" i="2" s="1"/>
  <c r="J1298" i="2" s="1"/>
  <c r="J1299" i="2" s="1"/>
  <c r="J1300" i="2" s="1"/>
  <c r="J1301" i="2" s="1"/>
  <c r="J1302" i="2" s="1"/>
  <c r="J1303" i="2" s="1"/>
  <c r="J1304" i="2" s="1"/>
  <c r="J1305" i="2" s="1"/>
  <c r="J1306" i="2" s="1"/>
  <c r="J1307" i="2" s="1"/>
  <c r="J1308" i="2" s="1"/>
  <c r="J1309" i="2" s="1"/>
  <c r="J1310" i="2" s="1"/>
  <c r="J1311" i="2" s="1"/>
  <c r="J1312" i="2" s="1"/>
  <c r="J1313" i="2" s="1"/>
  <c r="J1314" i="2" s="1"/>
  <c r="J1315" i="2" s="1"/>
  <c r="J1316" i="2" s="1"/>
  <c r="J1317" i="2" s="1"/>
  <c r="J1318" i="2" s="1"/>
  <c r="J1319" i="2" s="1"/>
  <c r="J1320" i="2" s="1"/>
  <c r="J1321" i="2" s="1"/>
  <c r="J1322" i="2" s="1"/>
  <c r="J1323" i="2" s="1"/>
  <c r="J1324" i="2" s="1"/>
  <c r="J1325" i="2" s="1"/>
  <c r="J1326" i="2" s="1"/>
  <c r="J1327" i="2" s="1"/>
  <c r="J1328" i="2" s="1"/>
  <c r="J1329" i="2" s="1"/>
  <c r="J1330" i="2" s="1"/>
  <c r="J1331" i="2" s="1"/>
  <c r="J1332" i="2" s="1"/>
  <c r="J1333" i="2" s="1"/>
  <c r="J1334" i="2" s="1"/>
  <c r="J1335" i="2" s="1"/>
  <c r="J1336" i="2" s="1"/>
  <c r="J1337" i="2" s="1"/>
  <c r="J1338" i="2" s="1"/>
  <c r="J1339" i="2" s="1"/>
  <c r="J1340" i="2" s="1"/>
  <c r="J1341" i="2" s="1"/>
  <c r="J1342" i="2" s="1"/>
  <c r="J1343" i="2" s="1"/>
  <c r="J1344" i="2" s="1"/>
  <c r="J1345" i="2" s="1"/>
  <c r="J1346" i="2" s="1"/>
  <c r="J1347" i="2" s="1"/>
  <c r="J1348" i="2" s="1"/>
  <c r="J1349" i="2" s="1"/>
  <c r="J1350" i="2" s="1"/>
  <c r="J1351" i="2" s="1"/>
  <c r="J1352" i="2" s="1"/>
  <c r="J1353" i="2" s="1"/>
  <c r="J1354" i="2" s="1"/>
  <c r="J1355" i="2" s="1"/>
  <c r="J1356" i="2" s="1"/>
  <c r="J1357" i="2" s="1"/>
  <c r="J1358" i="2" s="1"/>
  <c r="J1359" i="2" s="1"/>
  <c r="J1360" i="2" s="1"/>
  <c r="J1361" i="2" s="1"/>
  <c r="J1362" i="2" s="1"/>
  <c r="J1363" i="2" s="1"/>
  <c r="J1364" i="2" s="1"/>
  <c r="J1365" i="2" s="1"/>
  <c r="J1366" i="2" s="1"/>
  <c r="J1367" i="2" s="1"/>
  <c r="J1368" i="2" s="1"/>
  <c r="J1369" i="2" s="1"/>
  <c r="J1370" i="2" s="1"/>
  <c r="J1371" i="2" s="1"/>
  <c r="J1372" i="2" s="1"/>
  <c r="J1373" i="2" s="1"/>
  <c r="J1374" i="2" s="1"/>
  <c r="J1375" i="2" s="1"/>
  <c r="J1376" i="2" s="1"/>
  <c r="J1377" i="2" s="1"/>
  <c r="J1378" i="2" s="1"/>
  <c r="J1379" i="2" s="1"/>
  <c r="J1380" i="2" s="1"/>
  <c r="J1381" i="2" s="1"/>
  <c r="J1382" i="2" s="1"/>
  <c r="J1383" i="2" s="1"/>
  <c r="J1384" i="2" s="1"/>
  <c r="J1385" i="2" s="1"/>
  <c r="J1386" i="2" s="1"/>
  <c r="J1387" i="2" s="1"/>
  <c r="J1388" i="2" s="1"/>
  <c r="J1389" i="2" s="1"/>
  <c r="J1390" i="2" s="1"/>
  <c r="J1391" i="2" s="1"/>
  <c r="J1392" i="2" s="1"/>
  <c r="J1393" i="2" s="1"/>
  <c r="J1394" i="2" s="1"/>
  <c r="J1395" i="2" s="1"/>
  <c r="J1396" i="2" s="1"/>
  <c r="J1397" i="2" s="1"/>
  <c r="J1398" i="2" s="1"/>
  <c r="J1399" i="2" s="1"/>
  <c r="J1400" i="2" s="1"/>
  <c r="J1401" i="2" s="1"/>
  <c r="J1402" i="2" s="1"/>
  <c r="J1403" i="2" s="1"/>
  <c r="J1404" i="2" s="1"/>
  <c r="J1405" i="2" s="1"/>
  <c r="J1406" i="2" s="1"/>
  <c r="J1407" i="2" s="1"/>
  <c r="J1408" i="2" s="1"/>
  <c r="J1409" i="2" s="1"/>
  <c r="J1410" i="2" s="1"/>
  <c r="J1411" i="2" s="1"/>
  <c r="J1412" i="2" s="1"/>
  <c r="J1413" i="2" s="1"/>
  <c r="J1414" i="2" s="1"/>
  <c r="J1415" i="2" s="1"/>
  <c r="J1416" i="2" s="1"/>
  <c r="J1417" i="2" s="1"/>
  <c r="J1418" i="2" s="1"/>
  <c r="J1419" i="2" s="1"/>
  <c r="J1420" i="2" s="1"/>
  <c r="J1421" i="2" s="1"/>
  <c r="J1422" i="2" s="1"/>
  <c r="J1423" i="2" s="1"/>
  <c r="J1424" i="2" s="1"/>
  <c r="J1425" i="2" s="1"/>
  <c r="J1426" i="2" s="1"/>
  <c r="J1427" i="2" s="1"/>
  <c r="J1428" i="2" s="1"/>
  <c r="J1429" i="2" s="1"/>
  <c r="J1430" i="2" s="1"/>
  <c r="J1431" i="2" s="1"/>
  <c r="J1432" i="2" s="1"/>
  <c r="J1433" i="2" s="1"/>
  <c r="J1434" i="2" s="1"/>
  <c r="J1435" i="2" s="1"/>
  <c r="J1436" i="2" s="1"/>
  <c r="J1437" i="2" s="1"/>
  <c r="J1438" i="2" s="1"/>
  <c r="J1439" i="2" s="1"/>
  <c r="J1440" i="2" s="1"/>
  <c r="J1441" i="2" s="1"/>
  <c r="J1442" i="2" s="1"/>
  <c r="J1443" i="2" s="1"/>
  <c r="J1444" i="2" s="1"/>
  <c r="J1445" i="2" s="1"/>
  <c r="J1446" i="2" s="1"/>
  <c r="J1447" i="2" s="1"/>
  <c r="J1448" i="2" s="1"/>
  <c r="J1449" i="2" s="1"/>
  <c r="J1450" i="2" s="1"/>
  <c r="J1451" i="2" s="1"/>
  <c r="J1452" i="2" s="1"/>
  <c r="J1453" i="2" s="1"/>
  <c r="J1454" i="2" s="1"/>
  <c r="J1455" i="2" s="1"/>
  <c r="J1456" i="2" s="1"/>
  <c r="J1457" i="2" s="1"/>
  <c r="J1458" i="2" s="1"/>
  <c r="J1459" i="2" s="1"/>
  <c r="J1460" i="2" s="1"/>
  <c r="J1461" i="2" s="1"/>
  <c r="J1462" i="2" s="1"/>
  <c r="J1463" i="2" s="1"/>
  <c r="J1464" i="2" s="1"/>
  <c r="J1465" i="2" s="1"/>
  <c r="J1466" i="2" s="1"/>
  <c r="J1467" i="2" s="1"/>
  <c r="J1468" i="2" s="1"/>
  <c r="J1469" i="2" s="1"/>
  <c r="J1470" i="2" s="1"/>
  <c r="J1471" i="2" s="1"/>
  <c r="J1472" i="2" s="1"/>
  <c r="J1473" i="2" s="1"/>
  <c r="J1474" i="2" s="1"/>
  <c r="J1475" i="2" s="1"/>
  <c r="J1476" i="2" s="1"/>
  <c r="J1477" i="2" s="1"/>
  <c r="J1478" i="2" s="1"/>
  <c r="J1479" i="2" s="1"/>
  <c r="J1480" i="2" s="1"/>
  <c r="J1481" i="2" s="1"/>
  <c r="J1482" i="2" s="1"/>
  <c r="J1483" i="2" s="1"/>
  <c r="J1484" i="2" s="1"/>
  <c r="J1485" i="2" s="1"/>
  <c r="J1486" i="2" s="1"/>
  <c r="J1487" i="2" s="1"/>
  <c r="J1488" i="2" s="1"/>
  <c r="J1489" i="2" s="1"/>
  <c r="J1490" i="2" s="1"/>
  <c r="J1491" i="2" s="1"/>
  <c r="J1492" i="2" s="1"/>
  <c r="J1493" i="2" s="1"/>
  <c r="J1494" i="2" s="1"/>
  <c r="J1495" i="2" s="1"/>
  <c r="J1496" i="2" s="1"/>
  <c r="J1497" i="2" s="1"/>
  <c r="J1498" i="2" s="1"/>
  <c r="J1499" i="2" s="1"/>
  <c r="J1500" i="2" s="1"/>
  <c r="J1501" i="2" s="1"/>
  <c r="J1502" i="2" s="1"/>
  <c r="J1503" i="2" s="1"/>
  <c r="J1504" i="2" s="1"/>
  <c r="J1505" i="2" s="1"/>
  <c r="J1506" i="2" s="1"/>
  <c r="J1507" i="2" s="1"/>
  <c r="J1508" i="2" s="1"/>
  <c r="J1509" i="2" s="1"/>
  <c r="J1510" i="2" s="1"/>
  <c r="J1511" i="2" s="1"/>
  <c r="J1512" i="2" s="1"/>
  <c r="J1513" i="2" s="1"/>
  <c r="J1514" i="2" s="1"/>
  <c r="J1515" i="2" s="1"/>
  <c r="J1516" i="2" s="1"/>
  <c r="J1517" i="2" s="1"/>
  <c r="J1518" i="2" s="1"/>
  <c r="J1519" i="2" s="1"/>
  <c r="J1520" i="2" s="1"/>
  <c r="J1521" i="2" s="1"/>
  <c r="J1522" i="2" s="1"/>
  <c r="J1523" i="2" s="1"/>
  <c r="J1524" i="2" s="1"/>
  <c r="J1525" i="2" s="1"/>
  <c r="J1526" i="2" s="1"/>
  <c r="J1527" i="2" s="1"/>
  <c r="J1528" i="2" s="1"/>
  <c r="J1529" i="2" s="1"/>
  <c r="J1530" i="2" s="1"/>
  <c r="J1531" i="2" s="1"/>
  <c r="J1532" i="2" s="1"/>
  <c r="J1533" i="2" s="1"/>
  <c r="J1534" i="2" s="1"/>
  <c r="J1535" i="2" s="1"/>
  <c r="J1536" i="2" s="1"/>
  <c r="J1537" i="2" s="1"/>
  <c r="J1538" i="2" s="1"/>
  <c r="J1539" i="2" s="1"/>
  <c r="J1540" i="2" s="1"/>
  <c r="J1541" i="2" s="1"/>
  <c r="J1542" i="2" s="1"/>
  <c r="J1543" i="2" s="1"/>
  <c r="J1544" i="2" s="1"/>
  <c r="J1545" i="2" s="1"/>
  <c r="J1546" i="2" s="1"/>
  <c r="J1547" i="2" s="1"/>
  <c r="J1548" i="2" s="1"/>
  <c r="J1549" i="2" s="1"/>
  <c r="J1550" i="2" s="1"/>
  <c r="J1551" i="2" s="1"/>
  <c r="J1552" i="2" s="1"/>
  <c r="J1553" i="2" s="1"/>
  <c r="J1554" i="2" s="1"/>
  <c r="J1555" i="2" s="1"/>
  <c r="J1556" i="2" s="1"/>
  <c r="J1557" i="2" s="1"/>
  <c r="J1558" i="2" s="1"/>
  <c r="J1559" i="2" s="1"/>
  <c r="J1560" i="2" s="1"/>
  <c r="J1561" i="2" s="1"/>
  <c r="J1562" i="2" s="1"/>
  <c r="J1563" i="2" s="1"/>
  <c r="J1564" i="2" s="1"/>
  <c r="J1565" i="2" s="1"/>
  <c r="J1566" i="2" s="1"/>
  <c r="J1567" i="2" s="1"/>
  <c r="J1568" i="2" s="1"/>
  <c r="J1569" i="2" s="1"/>
  <c r="J1570" i="2" s="1"/>
  <c r="J1571" i="2" s="1"/>
  <c r="J1572" i="2" s="1"/>
  <c r="J1573" i="2" s="1"/>
  <c r="J1574" i="2" s="1"/>
  <c r="J1575" i="2" s="1"/>
  <c r="J1576" i="2" s="1"/>
  <c r="J1577" i="2" s="1"/>
  <c r="J1578" i="2" s="1"/>
  <c r="J1579" i="2" s="1"/>
  <c r="J1580" i="2" s="1"/>
  <c r="J1581" i="2" s="1"/>
  <c r="J1582" i="2" s="1"/>
  <c r="J1583" i="2" s="1"/>
  <c r="J1584" i="2" s="1"/>
  <c r="J1585" i="2" s="1"/>
  <c r="J1586" i="2" s="1"/>
  <c r="J1587" i="2" s="1"/>
  <c r="J1588" i="2" s="1"/>
  <c r="J1589" i="2" s="1"/>
  <c r="J1590" i="2" s="1"/>
  <c r="J1591" i="2" s="1"/>
  <c r="J1592" i="2" s="1"/>
  <c r="J1593" i="2" s="1"/>
  <c r="J1594" i="2" s="1"/>
  <c r="J1595" i="2" s="1"/>
  <c r="J1596" i="2" s="1"/>
  <c r="J1597" i="2" s="1"/>
  <c r="J1598" i="2" s="1"/>
  <c r="J1599" i="2" s="1"/>
  <c r="J1600" i="2" s="1"/>
  <c r="J1601" i="2" s="1"/>
  <c r="J1602" i="2" s="1"/>
  <c r="J1603" i="2" s="1"/>
  <c r="J1604" i="2" s="1"/>
  <c r="J1605" i="2" s="1"/>
  <c r="J1606" i="2" s="1"/>
  <c r="J1607" i="2" s="1"/>
  <c r="J1608" i="2" s="1"/>
  <c r="J1609" i="2" s="1"/>
  <c r="J1610" i="2" s="1"/>
  <c r="J1611" i="2" s="1"/>
  <c r="J1612" i="2" s="1"/>
  <c r="J1613" i="2" s="1"/>
  <c r="J1614" i="2" s="1"/>
  <c r="J1615" i="2" s="1"/>
  <c r="J1616" i="2" s="1"/>
  <c r="J1617" i="2" s="1"/>
  <c r="J1618" i="2" s="1"/>
  <c r="J1619" i="2" s="1"/>
  <c r="J1620" i="2" s="1"/>
  <c r="J1621" i="2" s="1"/>
  <c r="J1622" i="2" s="1"/>
  <c r="J1623" i="2" s="1"/>
  <c r="J1624" i="2" s="1"/>
  <c r="J1625" i="2" s="1"/>
  <c r="J1626" i="2" s="1"/>
  <c r="J1627" i="2" s="1"/>
  <c r="J1628" i="2" s="1"/>
  <c r="J1629" i="2" s="1"/>
  <c r="J1630" i="2" s="1"/>
  <c r="J1631" i="2" s="1"/>
  <c r="J1632" i="2" s="1"/>
  <c r="J1633" i="2" s="1"/>
  <c r="J1634" i="2" s="1"/>
  <c r="J1635" i="2" s="1"/>
  <c r="J1636" i="2" s="1"/>
  <c r="J1637" i="2" s="1"/>
  <c r="J1638" i="2" s="1"/>
  <c r="J1639" i="2" s="1"/>
  <c r="J1640" i="2" s="1"/>
  <c r="J1641" i="2" s="1"/>
  <c r="J1642" i="2" s="1"/>
  <c r="J1643" i="2" s="1"/>
  <c r="J1644" i="2" s="1"/>
  <c r="J1645" i="2" s="1"/>
  <c r="J1646" i="2" s="1"/>
  <c r="J1647" i="2" s="1"/>
  <c r="J1648" i="2" s="1"/>
  <c r="J1649" i="2" s="1"/>
  <c r="J1650" i="2" s="1"/>
  <c r="J1651" i="2" s="1"/>
  <c r="J1652" i="2" s="1"/>
  <c r="J1653" i="2" s="1"/>
  <c r="J1654" i="2" s="1"/>
  <c r="J1655" i="2" s="1"/>
  <c r="J1656" i="2" s="1"/>
  <c r="J1657" i="2" s="1"/>
  <c r="J1658" i="2" s="1"/>
  <c r="J1659" i="2" s="1"/>
  <c r="J1660" i="2" s="1"/>
  <c r="J1661" i="2" s="1"/>
  <c r="J1662" i="2" s="1"/>
  <c r="J1663" i="2" s="1"/>
  <c r="J1664" i="2" s="1"/>
  <c r="J1665" i="2" s="1"/>
  <c r="J1666" i="2" s="1"/>
  <c r="J1667" i="2" s="1"/>
  <c r="J1668" i="2" s="1"/>
  <c r="J1669" i="2" s="1"/>
  <c r="J1670" i="2" s="1"/>
  <c r="J1671" i="2" s="1"/>
  <c r="J1672" i="2" s="1"/>
  <c r="J1673" i="2" s="1"/>
  <c r="J1674" i="2" s="1"/>
  <c r="J1675" i="2" s="1"/>
  <c r="J1676" i="2" s="1"/>
  <c r="J1677" i="2" s="1"/>
  <c r="J1678" i="2" s="1"/>
  <c r="J1679" i="2" s="1"/>
  <c r="J1680" i="2" s="1"/>
  <c r="J1681" i="2" s="1"/>
  <c r="J1682" i="2" s="1"/>
  <c r="J1683" i="2" s="1"/>
  <c r="J1684" i="2" s="1"/>
  <c r="J1685" i="2" s="1"/>
  <c r="J1686" i="2" s="1"/>
  <c r="J1687" i="2" s="1"/>
  <c r="J1688" i="2" s="1"/>
  <c r="J1689" i="2" s="1"/>
  <c r="J1690" i="2" s="1"/>
  <c r="J1691" i="2" s="1"/>
  <c r="J1692" i="2" s="1"/>
  <c r="J1693" i="2" s="1"/>
  <c r="J1694" i="2" s="1"/>
  <c r="J1695" i="2" s="1"/>
  <c r="J1696" i="2" s="1"/>
  <c r="J1697" i="2" s="1"/>
  <c r="J1698" i="2" s="1"/>
  <c r="J1699" i="2" s="1"/>
  <c r="J1700" i="2" s="1"/>
  <c r="J1701" i="2" s="1"/>
  <c r="J1702" i="2" s="1"/>
  <c r="J1703" i="2" s="1"/>
  <c r="J1704" i="2" s="1"/>
  <c r="J1705" i="2" s="1"/>
  <c r="J1706" i="2" s="1"/>
  <c r="J1707" i="2" s="1"/>
  <c r="J1708" i="2" s="1"/>
  <c r="J1709" i="2" s="1"/>
  <c r="J1710" i="2" s="1"/>
  <c r="J1711" i="2" s="1"/>
  <c r="J1712" i="2" s="1"/>
  <c r="J1713" i="2" s="1"/>
  <c r="J1714" i="2" s="1"/>
  <c r="J1715" i="2" s="1"/>
  <c r="J1716" i="2" s="1"/>
  <c r="J1717" i="2" s="1"/>
  <c r="J1718" i="2" s="1"/>
  <c r="J1719" i="2" s="1"/>
  <c r="J1720" i="2" s="1"/>
  <c r="J1721" i="2" s="1"/>
  <c r="J1722" i="2" s="1"/>
  <c r="J1723" i="2" s="1"/>
  <c r="J1724" i="2" s="1"/>
  <c r="J1725" i="2" s="1"/>
  <c r="J1726" i="2" s="1"/>
  <c r="J1727" i="2" s="1"/>
  <c r="J1728" i="2" s="1"/>
  <c r="J1729" i="2" s="1"/>
  <c r="J1730" i="2" s="1"/>
  <c r="J1731" i="2" s="1"/>
  <c r="J1732" i="2" s="1"/>
  <c r="J1733" i="2" s="1"/>
  <c r="J1734" i="2" s="1"/>
  <c r="J1735" i="2" s="1"/>
  <c r="J1736" i="2" s="1"/>
  <c r="J1737" i="2" s="1"/>
  <c r="J1738" i="2" s="1"/>
  <c r="J1739" i="2" s="1"/>
  <c r="J1740" i="2" s="1"/>
  <c r="J1741" i="2" s="1"/>
  <c r="J1742" i="2" s="1"/>
  <c r="J1743" i="2" s="1"/>
  <c r="J1744" i="2" s="1"/>
  <c r="J1745" i="2" s="1"/>
  <c r="J1746" i="2" s="1"/>
  <c r="J1747" i="2" s="1"/>
  <c r="J1748" i="2" s="1"/>
  <c r="J1749" i="2" s="1"/>
  <c r="J1750" i="2" s="1"/>
  <c r="J1751" i="2" s="1"/>
  <c r="J1752" i="2" s="1"/>
  <c r="J1753" i="2" s="1"/>
  <c r="J1754" i="2" s="1"/>
  <c r="J1755" i="2" s="1"/>
  <c r="J1756" i="2" s="1"/>
  <c r="J1757" i="2" s="1"/>
  <c r="J1758" i="2" s="1"/>
  <c r="J1759" i="2" s="1"/>
  <c r="J1760" i="2" s="1"/>
  <c r="J1761" i="2" s="1"/>
  <c r="J1762" i="2" s="1"/>
  <c r="J1763" i="2" s="1"/>
  <c r="J1764" i="2" s="1"/>
  <c r="J1765" i="2" s="1"/>
  <c r="J1766" i="2" s="1"/>
  <c r="J1767" i="2" s="1"/>
  <c r="J1768" i="2" s="1"/>
  <c r="J1769" i="2" s="1"/>
  <c r="J1770" i="2" s="1"/>
  <c r="J1771" i="2" s="1"/>
  <c r="J1772" i="2" s="1"/>
  <c r="J1773" i="2" s="1"/>
  <c r="J1774" i="2" s="1"/>
  <c r="J1775" i="2" s="1"/>
  <c r="J1776" i="2" s="1"/>
  <c r="J1777" i="2" s="1"/>
  <c r="J1778" i="2" s="1"/>
  <c r="J1779" i="2" s="1"/>
  <c r="J1780" i="2" s="1"/>
  <c r="J1781" i="2" s="1"/>
  <c r="J1782" i="2" s="1"/>
  <c r="J1783" i="2" s="1"/>
  <c r="J1784" i="2" s="1"/>
  <c r="J1785" i="2" s="1"/>
  <c r="J1786" i="2" s="1"/>
  <c r="J1787" i="2" s="1"/>
  <c r="J1788" i="2" s="1"/>
  <c r="J1789" i="2" s="1"/>
  <c r="J1790" i="2" s="1"/>
  <c r="J1791" i="2" s="1"/>
  <c r="J1792" i="2" s="1"/>
  <c r="J1793" i="2" s="1"/>
  <c r="J1794" i="2" s="1"/>
  <c r="J1795" i="2" s="1"/>
  <c r="J1796" i="2" s="1"/>
  <c r="J1797" i="2" s="1"/>
  <c r="J1798" i="2" s="1"/>
  <c r="J1799" i="2" s="1"/>
  <c r="J1800" i="2" s="1"/>
  <c r="J1801" i="2" s="1"/>
  <c r="J1802" i="2" s="1"/>
  <c r="J1803" i="2" s="1"/>
  <c r="J1804" i="2" s="1"/>
  <c r="J1805" i="2" s="1"/>
  <c r="J1806" i="2" s="1"/>
  <c r="J1807" i="2" s="1"/>
  <c r="J1808" i="2" s="1"/>
  <c r="J1809" i="2" s="1"/>
  <c r="J1810" i="2" s="1"/>
  <c r="J1811" i="2" s="1"/>
  <c r="J1812" i="2" s="1"/>
  <c r="J1813" i="2" s="1"/>
  <c r="J1814" i="2" s="1"/>
  <c r="J1815" i="2" s="1"/>
  <c r="J1816" i="2" s="1"/>
  <c r="J1817" i="2" s="1"/>
  <c r="J1818" i="2" s="1"/>
  <c r="J1819" i="2" s="1"/>
  <c r="J1820" i="2" s="1"/>
  <c r="J1821" i="2" s="1"/>
  <c r="J1822" i="2" s="1"/>
  <c r="J1823" i="2" s="1"/>
  <c r="J1824" i="2" s="1"/>
  <c r="J1825" i="2" s="1"/>
  <c r="J1826" i="2" s="1"/>
  <c r="J1827" i="2" s="1"/>
  <c r="J1828" i="2" s="1"/>
  <c r="J1829" i="2" s="1"/>
  <c r="J1830" i="2" s="1"/>
  <c r="J1831" i="2" s="1"/>
  <c r="J1832" i="2" s="1"/>
  <c r="J1833" i="2" s="1"/>
  <c r="J1834" i="2" s="1"/>
  <c r="J1835" i="2" s="1"/>
  <c r="J1836" i="2" s="1"/>
  <c r="J1837" i="2" s="1"/>
  <c r="J1838" i="2" s="1"/>
  <c r="J1839" i="2" s="1"/>
  <c r="J1840" i="2" s="1"/>
  <c r="J1841" i="2" s="1"/>
  <c r="J1842" i="2" s="1"/>
  <c r="J1843" i="2" s="1"/>
  <c r="J1844" i="2" s="1"/>
  <c r="J1845" i="2" s="1"/>
  <c r="J1846" i="2" s="1"/>
  <c r="J1847" i="2" s="1"/>
  <c r="J1848" i="2" s="1"/>
  <c r="J1849" i="2" s="1"/>
  <c r="J1850" i="2" s="1"/>
  <c r="J1851" i="2" s="1"/>
  <c r="J1852" i="2" s="1"/>
  <c r="J1853" i="2" s="1"/>
  <c r="J1854" i="2" s="1"/>
  <c r="J1855" i="2" s="1"/>
  <c r="J1856" i="2" s="1"/>
  <c r="J1857" i="2" s="1"/>
  <c r="J1858" i="2" s="1"/>
  <c r="J1859" i="2" s="1"/>
  <c r="J1860" i="2" s="1"/>
  <c r="J1861" i="2" s="1"/>
  <c r="J1862" i="2" s="1"/>
  <c r="J1863" i="2" s="1"/>
  <c r="J1864" i="2" s="1"/>
  <c r="J1865" i="2" s="1"/>
  <c r="J1866" i="2" s="1"/>
  <c r="J1867" i="2" s="1"/>
  <c r="J1868" i="2" s="1"/>
  <c r="J1869" i="2" s="1"/>
  <c r="J1870" i="2" s="1"/>
  <c r="J1871" i="2" s="1"/>
  <c r="J1872" i="2" s="1"/>
  <c r="J1873" i="2" s="1"/>
  <c r="J1874" i="2" s="1"/>
  <c r="J1875" i="2" s="1"/>
  <c r="J1876" i="2" s="1"/>
  <c r="J1877" i="2" s="1"/>
  <c r="J1878" i="2" s="1"/>
  <c r="J1879" i="2" s="1"/>
  <c r="J1880" i="2" s="1"/>
  <c r="J1881" i="2" s="1"/>
  <c r="J1882" i="2" s="1"/>
  <c r="J1883" i="2" s="1"/>
  <c r="J1884" i="2" s="1"/>
  <c r="J1885" i="2" s="1"/>
  <c r="J1886" i="2" s="1"/>
  <c r="J1887" i="2" s="1"/>
  <c r="J1888" i="2" s="1"/>
  <c r="J1889" i="2" s="1"/>
  <c r="J1890" i="2" s="1"/>
  <c r="J1891" i="2" s="1"/>
  <c r="J1892" i="2" s="1"/>
  <c r="J1893" i="2" s="1"/>
  <c r="J1894" i="2" s="1"/>
  <c r="J1895" i="2" s="1"/>
  <c r="J1896" i="2" s="1"/>
  <c r="J1897" i="2" s="1"/>
  <c r="J1898" i="2" s="1"/>
  <c r="J1899" i="2" s="1"/>
  <c r="J1900" i="2" s="1"/>
  <c r="J1901" i="2" s="1"/>
  <c r="J1902" i="2" s="1"/>
  <c r="J1903" i="2" s="1"/>
  <c r="J1904" i="2" s="1"/>
  <c r="J1905" i="2" s="1"/>
  <c r="J1906" i="2" s="1"/>
  <c r="J1907" i="2" s="1"/>
  <c r="J1908" i="2" s="1"/>
  <c r="J1909" i="2" s="1"/>
  <c r="J1910" i="2" s="1"/>
  <c r="J1911" i="2" s="1"/>
  <c r="J1912" i="2" s="1"/>
  <c r="J1913" i="2" s="1"/>
  <c r="J1914" i="2" s="1"/>
  <c r="J1915" i="2" s="1"/>
  <c r="J1916" i="2" s="1"/>
  <c r="J1917" i="2" s="1"/>
  <c r="J1918" i="2" s="1"/>
  <c r="J1919" i="2" s="1"/>
  <c r="J1920" i="2" s="1"/>
  <c r="J1921" i="2" s="1"/>
  <c r="J1922" i="2" s="1"/>
  <c r="J1923" i="2" s="1"/>
  <c r="J1924" i="2" s="1"/>
  <c r="J1925" i="2" s="1"/>
  <c r="J1926" i="2" s="1"/>
  <c r="J1927" i="2" s="1"/>
  <c r="J1928" i="2" s="1"/>
  <c r="J1929" i="2" s="1"/>
  <c r="J1930" i="2" s="1"/>
  <c r="J1931" i="2" s="1"/>
  <c r="J1932" i="2" s="1"/>
  <c r="J1933" i="2" s="1"/>
  <c r="J1934" i="2" s="1"/>
  <c r="J1935" i="2" s="1"/>
  <c r="J1936" i="2" s="1"/>
  <c r="J1937" i="2" s="1"/>
  <c r="J1938" i="2" s="1"/>
  <c r="J1939" i="2" s="1"/>
  <c r="J1940" i="2" s="1"/>
  <c r="J1941" i="2" s="1"/>
  <c r="J1942" i="2" s="1"/>
  <c r="J1943" i="2" s="1"/>
  <c r="J1944" i="2" s="1"/>
  <c r="J1945" i="2" s="1"/>
  <c r="J1946" i="2" s="1"/>
  <c r="J1947" i="2" s="1"/>
  <c r="J1948" i="2" s="1"/>
  <c r="J1949" i="2" s="1"/>
  <c r="J1950" i="2" s="1"/>
  <c r="J1951" i="2" s="1"/>
  <c r="J1952" i="2" s="1"/>
  <c r="J1953" i="2" s="1"/>
  <c r="J1954" i="2" s="1"/>
  <c r="J1955" i="2" s="1"/>
  <c r="J1956" i="2" s="1"/>
  <c r="J1957" i="2" s="1"/>
  <c r="J1958" i="2" s="1"/>
  <c r="J1959" i="2" s="1"/>
  <c r="J1960" i="2" s="1"/>
  <c r="J1961" i="2" s="1"/>
  <c r="J1962" i="2" s="1"/>
  <c r="J1963" i="2" s="1"/>
  <c r="J1964" i="2" s="1"/>
  <c r="J1965" i="2" s="1"/>
  <c r="J1966" i="2" s="1"/>
  <c r="J1967" i="2" s="1"/>
  <c r="J1968" i="2" s="1"/>
  <c r="J1969" i="2" s="1"/>
  <c r="J1970" i="2" s="1"/>
  <c r="J1971" i="2" s="1"/>
  <c r="J1972" i="2" s="1"/>
  <c r="J1973" i="2" s="1"/>
  <c r="J1974" i="2" s="1"/>
  <c r="J1975" i="2" s="1"/>
  <c r="J1976" i="2" s="1"/>
  <c r="J1977" i="2" s="1"/>
  <c r="J1978" i="2" s="1"/>
  <c r="J1979" i="2" s="1"/>
  <c r="J1980" i="2" s="1"/>
  <c r="J1981" i="2" s="1"/>
  <c r="J1982" i="2" s="1"/>
  <c r="J1983" i="2" s="1"/>
  <c r="J1984" i="2" s="1"/>
  <c r="J1985" i="2" s="1"/>
  <c r="J1986" i="2" s="1"/>
  <c r="J1987" i="2" s="1"/>
  <c r="J1988" i="2" s="1"/>
  <c r="J1989" i="2" s="1"/>
  <c r="J1990" i="2" s="1"/>
  <c r="J1991" i="2" s="1"/>
  <c r="J1992" i="2" s="1"/>
  <c r="J1993" i="2" s="1"/>
  <c r="J1994" i="2" s="1"/>
  <c r="J1995" i="2" s="1"/>
  <c r="J1996" i="2" s="1"/>
  <c r="J1997" i="2" s="1"/>
  <c r="J1998" i="2" s="1"/>
  <c r="J1999" i="2" s="1"/>
  <c r="J2000" i="2" s="1"/>
  <c r="J2001" i="2" s="1"/>
  <c r="J2002" i="2" s="1"/>
  <c r="J2003" i="2" s="1"/>
  <c r="J2004" i="2" s="1"/>
  <c r="J2005" i="2" s="1"/>
  <c r="J2006" i="2" s="1"/>
  <c r="J2007" i="2" s="1"/>
  <c r="J2008" i="2" s="1"/>
  <c r="J2009" i="2" s="1"/>
  <c r="J2010" i="2" s="1"/>
  <c r="J2011" i="2" s="1"/>
  <c r="J2012" i="2" s="1"/>
  <c r="J2013" i="2" s="1"/>
  <c r="J2014" i="2" s="1"/>
  <c r="J2015" i="2" s="1"/>
  <c r="J2016" i="2" s="1"/>
  <c r="J2017" i="2" s="1"/>
  <c r="J2018" i="2" s="1"/>
  <c r="J2019" i="2" s="1"/>
  <c r="J2020" i="2" s="1"/>
  <c r="J2021" i="2" s="1"/>
  <c r="J2022" i="2" s="1"/>
  <c r="J2023" i="2" s="1"/>
  <c r="J2024" i="2" s="1"/>
  <c r="J2025" i="2" s="1"/>
  <c r="J2026" i="2" s="1"/>
  <c r="J2027" i="2" s="1"/>
  <c r="J2028" i="2" s="1"/>
  <c r="J2029" i="2" s="1"/>
  <c r="J2030" i="2" s="1"/>
  <c r="J2031" i="2" s="1"/>
  <c r="J2032" i="2" s="1"/>
  <c r="J2033" i="2" s="1"/>
  <c r="J2034" i="2" s="1"/>
  <c r="J2035" i="2" s="1"/>
  <c r="J2036" i="2" s="1"/>
  <c r="J2037" i="2" s="1"/>
  <c r="J2038" i="2" s="1"/>
  <c r="J2039" i="2" s="1"/>
  <c r="J2040" i="2" s="1"/>
  <c r="J2041" i="2" s="1"/>
  <c r="J2042" i="2" s="1"/>
  <c r="J2043" i="2" s="1"/>
  <c r="J2044" i="2" s="1"/>
  <c r="J2045" i="2" s="1"/>
  <c r="J2046" i="2" s="1"/>
  <c r="J2047" i="2" s="1"/>
  <c r="J2048" i="2" s="1"/>
  <c r="J2049" i="2" s="1"/>
  <c r="J2050" i="2" s="1"/>
  <c r="J2051" i="2" s="1"/>
  <c r="J2052" i="2" s="1"/>
  <c r="J2053" i="2" s="1"/>
  <c r="J2054" i="2" s="1"/>
  <c r="J2055" i="2" s="1"/>
  <c r="J2056" i="2" s="1"/>
  <c r="J2057" i="2" s="1"/>
  <c r="J2058" i="2" s="1"/>
  <c r="J2059" i="2" s="1"/>
  <c r="J2060" i="2" s="1"/>
  <c r="J2061" i="2" s="1"/>
  <c r="J2062" i="2" s="1"/>
  <c r="J2063" i="2" s="1"/>
  <c r="J2064" i="2" s="1"/>
  <c r="J2065" i="2" s="1"/>
  <c r="J2066" i="2" s="1"/>
  <c r="J2067" i="2" s="1"/>
  <c r="J2068" i="2" s="1"/>
  <c r="J2069" i="2" s="1"/>
  <c r="J2070" i="2" s="1"/>
  <c r="J2071" i="2" s="1"/>
  <c r="J2072" i="2" s="1"/>
  <c r="J2073" i="2" s="1"/>
  <c r="J2074" i="2" s="1"/>
  <c r="J2075" i="2" s="1"/>
  <c r="J2076" i="2" s="1"/>
  <c r="J2077" i="2" s="1"/>
  <c r="J2078" i="2" s="1"/>
  <c r="J2079" i="2" s="1"/>
  <c r="J2080" i="2" s="1"/>
  <c r="J2081" i="2" s="1"/>
  <c r="J2082" i="2" s="1"/>
  <c r="J2083" i="2" s="1"/>
  <c r="J2084" i="2" s="1"/>
  <c r="J2085" i="2" s="1"/>
  <c r="J2086" i="2" s="1"/>
  <c r="J2087" i="2" s="1"/>
  <c r="J2088" i="2" s="1"/>
  <c r="J2089" i="2" s="1"/>
  <c r="J2090" i="2" s="1"/>
  <c r="J2091" i="2" s="1"/>
  <c r="J2092" i="2" s="1"/>
  <c r="J2093" i="2" s="1"/>
  <c r="J2094" i="2" s="1"/>
  <c r="J2095" i="2" s="1"/>
  <c r="J2096" i="2" s="1"/>
  <c r="J2097" i="2" s="1"/>
  <c r="J2098" i="2" s="1"/>
  <c r="J2099" i="2" s="1"/>
  <c r="J2100" i="2" s="1"/>
  <c r="J2101" i="2" s="1"/>
  <c r="J2102" i="2" s="1"/>
  <c r="J2103" i="2" s="1"/>
  <c r="J2104" i="2" s="1"/>
  <c r="J2105" i="2" s="1"/>
  <c r="J2106" i="2" s="1"/>
  <c r="J2107" i="2" s="1"/>
  <c r="J2108" i="2" s="1"/>
  <c r="J2109" i="2" s="1"/>
  <c r="J2110" i="2" s="1"/>
  <c r="J2111" i="2" s="1"/>
  <c r="J2112" i="2" s="1"/>
  <c r="J2113" i="2" s="1"/>
  <c r="J2114" i="2" s="1"/>
  <c r="J2115" i="2" s="1"/>
  <c r="J2116" i="2" s="1"/>
  <c r="J2117" i="2" s="1"/>
  <c r="J2118" i="2" s="1"/>
  <c r="J2119" i="2" s="1"/>
  <c r="J2120" i="2" s="1"/>
  <c r="J2121" i="2" s="1"/>
  <c r="J2122" i="2" s="1"/>
  <c r="J2123" i="2" s="1"/>
  <c r="J2124" i="2" s="1"/>
  <c r="J2125" i="2" s="1"/>
  <c r="J2126" i="2" s="1"/>
  <c r="J2127" i="2" s="1"/>
  <c r="J2128" i="2" s="1"/>
  <c r="J2129" i="2" s="1"/>
  <c r="J2130" i="2" s="1"/>
  <c r="J2131" i="2" s="1"/>
  <c r="J2132" i="2" s="1"/>
  <c r="J2133" i="2" s="1"/>
  <c r="J2134" i="2" s="1"/>
  <c r="J2135" i="2" s="1"/>
  <c r="J2136" i="2" s="1"/>
  <c r="J2137" i="2" s="1"/>
  <c r="J2138" i="2" s="1"/>
  <c r="J2139" i="2" s="1"/>
  <c r="J2140" i="2" s="1"/>
  <c r="J2141" i="2" s="1"/>
  <c r="J2142" i="2" s="1"/>
  <c r="J2143" i="2" s="1"/>
  <c r="J2144" i="2" s="1"/>
  <c r="J2145" i="2" s="1"/>
  <c r="J2146" i="2" s="1"/>
  <c r="J2147" i="2" s="1"/>
  <c r="J2148" i="2" s="1"/>
  <c r="J2149" i="2" s="1"/>
  <c r="J2150" i="2" s="1"/>
  <c r="J2151" i="2" s="1"/>
  <c r="J2152" i="2" s="1"/>
  <c r="J2153" i="2" s="1"/>
  <c r="J2154" i="2" s="1"/>
  <c r="J2155" i="2" s="1"/>
  <c r="J2156" i="2" s="1"/>
  <c r="J2157" i="2" s="1"/>
  <c r="J2158" i="2" s="1"/>
  <c r="J2159" i="2" s="1"/>
  <c r="J2160" i="2" s="1"/>
  <c r="J2161" i="2" s="1"/>
  <c r="J2162" i="2" s="1"/>
  <c r="J2163" i="2" s="1"/>
  <c r="J2164" i="2" s="1"/>
  <c r="J2165" i="2" s="1"/>
  <c r="J2166" i="2" s="1"/>
  <c r="J2167" i="2" s="1"/>
  <c r="J2168" i="2" s="1"/>
  <c r="J2169" i="2" s="1"/>
  <c r="J2170" i="2" s="1"/>
  <c r="J2171" i="2" s="1"/>
  <c r="J2172" i="2" s="1"/>
  <c r="J2173" i="2" s="1"/>
  <c r="J2174" i="2" s="1"/>
  <c r="J2175" i="2" s="1"/>
  <c r="J2176" i="2" s="1"/>
  <c r="J2177" i="2" s="1"/>
  <c r="J2178" i="2" s="1"/>
  <c r="J2179" i="2" s="1"/>
  <c r="J2180" i="2" s="1"/>
  <c r="J2181" i="2" s="1"/>
  <c r="J2182" i="2" s="1"/>
  <c r="J2183" i="2" s="1"/>
  <c r="J2184" i="2" s="1"/>
  <c r="J2185" i="2" s="1"/>
  <c r="J2186" i="2" s="1"/>
  <c r="J2187" i="2" s="1"/>
  <c r="J2188" i="2" s="1"/>
  <c r="J2189" i="2" s="1"/>
  <c r="J2190" i="2" s="1"/>
  <c r="J2191" i="2" s="1"/>
  <c r="J2192" i="2" s="1"/>
  <c r="J2193" i="2" s="1"/>
  <c r="J2194" i="2" s="1"/>
  <c r="J2195" i="2" s="1"/>
  <c r="J2196" i="2" s="1"/>
  <c r="J2197" i="2" s="1"/>
  <c r="J2198" i="2" s="1"/>
  <c r="J2199" i="2" s="1"/>
  <c r="J2200" i="2" s="1"/>
  <c r="J2201" i="2" s="1"/>
  <c r="J2202" i="2" s="1"/>
  <c r="J2203" i="2" s="1"/>
  <c r="J2204" i="2" s="1"/>
  <c r="J2205" i="2" s="1"/>
  <c r="J2206" i="2" s="1"/>
  <c r="J2207" i="2" s="1"/>
  <c r="J2208" i="2" s="1"/>
  <c r="J2209" i="2" s="1"/>
  <c r="J2210" i="2" s="1"/>
  <c r="J2211" i="2" s="1"/>
  <c r="J2212" i="2" s="1"/>
  <c r="J2213" i="2" s="1"/>
  <c r="J2214" i="2" s="1"/>
  <c r="J2215" i="2" s="1"/>
  <c r="J2216" i="2" s="1"/>
  <c r="J2217" i="2" s="1"/>
  <c r="J2218" i="2" s="1"/>
  <c r="J2219" i="2" s="1"/>
  <c r="J2220" i="2" s="1"/>
  <c r="J2221" i="2" s="1"/>
  <c r="J2222" i="2" s="1"/>
  <c r="J2223" i="2" s="1"/>
  <c r="J2224" i="2" s="1"/>
  <c r="J2225" i="2" s="1"/>
  <c r="J2226" i="2" s="1"/>
  <c r="J2227" i="2" s="1"/>
  <c r="J2228" i="2" s="1"/>
  <c r="J2229" i="2" s="1"/>
  <c r="J2230" i="2" s="1"/>
  <c r="J2231" i="2" s="1"/>
  <c r="J2232" i="2" s="1"/>
  <c r="J2233" i="2" s="1"/>
  <c r="J2234" i="2" s="1"/>
  <c r="J2235" i="2" s="1"/>
  <c r="J2236" i="2" s="1"/>
  <c r="J2237" i="2" s="1"/>
  <c r="J2238" i="2" s="1"/>
  <c r="J2239" i="2" s="1"/>
  <c r="J2240" i="2" s="1"/>
  <c r="J2241" i="2" s="1"/>
  <c r="J2242" i="2" s="1"/>
  <c r="J2243" i="2" s="1"/>
  <c r="J2244" i="2" s="1"/>
  <c r="J2245" i="2" s="1"/>
  <c r="J2246" i="2" s="1"/>
  <c r="J2247" i="2" s="1"/>
  <c r="J2248" i="2" s="1"/>
  <c r="J2249" i="2" s="1"/>
  <c r="J2250" i="2" s="1"/>
  <c r="J2251" i="2" s="1"/>
  <c r="J2252" i="2" s="1"/>
  <c r="J2253" i="2" s="1"/>
  <c r="J2254" i="2" s="1"/>
  <c r="J2255" i="2" s="1"/>
  <c r="J2256" i="2" s="1"/>
  <c r="J2257" i="2" s="1"/>
  <c r="J2258" i="2" s="1"/>
  <c r="J2259" i="2" s="1"/>
  <c r="J2260" i="2" s="1"/>
  <c r="J2261" i="2" s="1"/>
  <c r="J2262" i="2" s="1"/>
  <c r="J2263" i="2" s="1"/>
  <c r="J2264" i="2" s="1"/>
  <c r="J2265" i="2" s="1"/>
  <c r="J2266" i="2" s="1"/>
  <c r="J2267" i="2" s="1"/>
  <c r="J2268" i="2" s="1"/>
  <c r="J2269" i="2" s="1"/>
  <c r="J2270" i="2" s="1"/>
  <c r="J2271" i="2" s="1"/>
  <c r="J2272" i="2" s="1"/>
  <c r="J2273" i="2" s="1"/>
  <c r="J2274" i="2" s="1"/>
  <c r="J2275" i="2" s="1"/>
  <c r="J2276" i="2" s="1"/>
  <c r="J2277" i="2" s="1"/>
  <c r="J2278" i="2" s="1"/>
  <c r="J2279" i="2" s="1"/>
  <c r="J2280" i="2" s="1"/>
  <c r="J2281" i="2" s="1"/>
  <c r="J2282" i="2" s="1"/>
  <c r="J2283" i="2" s="1"/>
  <c r="J2284" i="2" s="1"/>
  <c r="J2285" i="2" s="1"/>
  <c r="J2286" i="2" s="1"/>
  <c r="J2287" i="2" s="1"/>
  <c r="J2288" i="2" s="1"/>
  <c r="J2289" i="2" s="1"/>
  <c r="J2290" i="2" s="1"/>
  <c r="J2291" i="2" s="1"/>
  <c r="J2292" i="2" s="1"/>
  <c r="J2293" i="2" s="1"/>
  <c r="J2294" i="2" s="1"/>
  <c r="J2295" i="2" s="1"/>
  <c r="J2296" i="2" s="1"/>
  <c r="J2297" i="2" s="1"/>
  <c r="J2298" i="2" s="1"/>
  <c r="J2299" i="2" s="1"/>
  <c r="J2300" i="2" s="1"/>
  <c r="J2301" i="2" s="1"/>
  <c r="J2302" i="2" s="1"/>
  <c r="J2303" i="2" s="1"/>
  <c r="J2304" i="2" s="1"/>
  <c r="J2305" i="2" s="1"/>
  <c r="J2306" i="2" s="1"/>
  <c r="J2307" i="2" s="1"/>
  <c r="J2308" i="2" s="1"/>
  <c r="J2309" i="2" s="1"/>
  <c r="J2310" i="2" s="1"/>
  <c r="J2311" i="2" s="1"/>
  <c r="J2312" i="2" s="1"/>
  <c r="J2313" i="2" s="1"/>
  <c r="J2314" i="2" s="1"/>
  <c r="J2315" i="2" s="1"/>
  <c r="J2316" i="2" s="1"/>
  <c r="J2317" i="2" s="1"/>
  <c r="J2318" i="2" s="1"/>
  <c r="J2319" i="2" s="1"/>
  <c r="J2320" i="2" s="1"/>
  <c r="J2321" i="2" s="1"/>
  <c r="J2322" i="2" s="1"/>
  <c r="J2323" i="2" s="1"/>
  <c r="J2324" i="2" s="1"/>
  <c r="J2325" i="2" s="1"/>
  <c r="J2326" i="2" s="1"/>
  <c r="J2327" i="2" s="1"/>
  <c r="J2328" i="2" s="1"/>
  <c r="J2329" i="2" s="1"/>
  <c r="J2330" i="2" s="1"/>
  <c r="J2331" i="2" s="1"/>
  <c r="J2332" i="2" s="1"/>
  <c r="J2333" i="2" s="1"/>
  <c r="J2334" i="2" s="1"/>
  <c r="J2335" i="2" s="1"/>
  <c r="J2336" i="2" s="1"/>
  <c r="J2337" i="2" s="1"/>
  <c r="J2338" i="2" s="1"/>
  <c r="J2339" i="2" s="1"/>
  <c r="J2340" i="2" s="1"/>
  <c r="J2341" i="2" s="1"/>
  <c r="J2342" i="2" s="1"/>
  <c r="J2343" i="2" s="1"/>
  <c r="J2344" i="2" s="1"/>
  <c r="J2345" i="2" s="1"/>
  <c r="J2346" i="2" s="1"/>
  <c r="J2347" i="2" s="1"/>
  <c r="J2348" i="2" s="1"/>
  <c r="J2349" i="2" s="1"/>
  <c r="J2350" i="2" s="1"/>
  <c r="J2351" i="2" s="1"/>
  <c r="J2352" i="2" s="1"/>
  <c r="J2353" i="2" s="1"/>
  <c r="J2354" i="2" s="1"/>
  <c r="J2355" i="2" s="1"/>
  <c r="J2356" i="2" s="1"/>
  <c r="J2357" i="2" s="1"/>
  <c r="J2358" i="2" s="1"/>
  <c r="J2359" i="2" s="1"/>
  <c r="J2360" i="2" s="1"/>
  <c r="J2361" i="2" s="1"/>
  <c r="J2362" i="2" s="1"/>
  <c r="J2363" i="2" s="1"/>
  <c r="J2364" i="2" s="1"/>
  <c r="J2365" i="2" s="1"/>
  <c r="J2366" i="2" s="1"/>
  <c r="J2367" i="2" s="1"/>
  <c r="J2368" i="2" s="1"/>
  <c r="J2369" i="2" s="1"/>
  <c r="J2370" i="2" s="1"/>
  <c r="J2371" i="2" s="1"/>
  <c r="J2372" i="2" s="1"/>
  <c r="J2373" i="2" s="1"/>
  <c r="J2374" i="2" s="1"/>
  <c r="J2375" i="2" s="1"/>
  <c r="J2376" i="2" s="1"/>
  <c r="J2377" i="2" s="1"/>
  <c r="J2378" i="2" s="1"/>
  <c r="J2379" i="2" s="1"/>
  <c r="J2380" i="2" s="1"/>
  <c r="J2381" i="2" s="1"/>
  <c r="J2382" i="2" s="1"/>
  <c r="J2383" i="2" s="1"/>
  <c r="J2384" i="2" s="1"/>
  <c r="J2385" i="2" s="1"/>
  <c r="J2386" i="2" s="1"/>
  <c r="J2387" i="2" s="1"/>
  <c r="J2388" i="2" s="1"/>
  <c r="J2389" i="2" s="1"/>
  <c r="J2390" i="2" s="1"/>
  <c r="J2391" i="2" s="1"/>
  <c r="J2392" i="2" s="1"/>
  <c r="J2393" i="2" s="1"/>
  <c r="J2394" i="2" s="1"/>
  <c r="J2395" i="2" s="1"/>
  <c r="J2396" i="2" s="1"/>
  <c r="J2397" i="2" s="1"/>
  <c r="J2398" i="2" s="1"/>
  <c r="J2399" i="2" s="1"/>
  <c r="J2400" i="2" s="1"/>
  <c r="J2401" i="2" s="1"/>
  <c r="J2402" i="2" s="1"/>
  <c r="J2403" i="2" s="1"/>
  <c r="J2404" i="2" s="1"/>
  <c r="J2405" i="2" s="1"/>
  <c r="J2406" i="2" s="1"/>
  <c r="J2407" i="2" s="1"/>
  <c r="J2408" i="2" s="1"/>
  <c r="J2409" i="2" s="1"/>
  <c r="J2410" i="2" s="1"/>
  <c r="J2411" i="2" s="1"/>
  <c r="J2412" i="2" s="1"/>
  <c r="J2413" i="2" s="1"/>
  <c r="J2414" i="2" s="1"/>
  <c r="J2415" i="2" s="1"/>
  <c r="J2416" i="2" s="1"/>
  <c r="J2417" i="2" s="1"/>
  <c r="J2418" i="2" s="1"/>
  <c r="J2419" i="2" s="1"/>
  <c r="J2420" i="2" s="1"/>
  <c r="J2421" i="2" s="1"/>
  <c r="J2422" i="2" s="1"/>
  <c r="J2423" i="2" s="1"/>
  <c r="J2424" i="2" s="1"/>
  <c r="J2425" i="2" s="1"/>
  <c r="J2426" i="2" s="1"/>
  <c r="J2427" i="2" s="1"/>
  <c r="J2428" i="2" s="1"/>
  <c r="J2429" i="2" s="1"/>
  <c r="J2430" i="2" s="1"/>
  <c r="J2431" i="2" s="1"/>
  <c r="J2432" i="2" s="1"/>
  <c r="J2433" i="2" s="1"/>
  <c r="J2434" i="2" s="1"/>
  <c r="J2435" i="2" s="1"/>
  <c r="J2436" i="2" s="1"/>
  <c r="J2437" i="2" s="1"/>
  <c r="J2438" i="2" s="1"/>
  <c r="J2439" i="2" s="1"/>
  <c r="J2440" i="2" s="1"/>
  <c r="J2441" i="2" s="1"/>
  <c r="J2442" i="2" s="1"/>
  <c r="J2443" i="2" s="1"/>
  <c r="J2444" i="2" s="1"/>
  <c r="J2445" i="2" s="1"/>
  <c r="J2446" i="2" s="1"/>
  <c r="J2447" i="2" s="1"/>
  <c r="J2448" i="2" s="1"/>
  <c r="J2449" i="2" s="1"/>
  <c r="J2450" i="2" s="1"/>
  <c r="J2451" i="2" s="1"/>
  <c r="J2452" i="2" s="1"/>
  <c r="J2453" i="2" s="1"/>
  <c r="J2454" i="2" s="1"/>
  <c r="J2455" i="2" s="1"/>
  <c r="J2456" i="2" s="1"/>
  <c r="J2457" i="2" s="1"/>
  <c r="J2458" i="2" s="1"/>
  <c r="J2459" i="2" s="1"/>
  <c r="J2460" i="2" s="1"/>
  <c r="J2461" i="2" s="1"/>
  <c r="J2462" i="2" s="1"/>
  <c r="J2463" i="2" s="1"/>
  <c r="J2464" i="2" s="1"/>
  <c r="J2465" i="2" s="1"/>
  <c r="J2466" i="2" s="1"/>
  <c r="J2467" i="2" s="1"/>
  <c r="J2468" i="2" s="1"/>
  <c r="J2469" i="2" s="1"/>
  <c r="J2470" i="2" s="1"/>
  <c r="J2471" i="2" s="1"/>
  <c r="J2472" i="2" s="1"/>
  <c r="J2473" i="2" s="1"/>
  <c r="J2474" i="2" s="1"/>
  <c r="J2475" i="2" s="1"/>
  <c r="J2476" i="2" s="1"/>
  <c r="J2477" i="2" s="1"/>
  <c r="J2478" i="2" s="1"/>
  <c r="J2479" i="2" s="1"/>
  <c r="J2480" i="2" s="1"/>
  <c r="J2481" i="2" s="1"/>
  <c r="J2482" i="2" s="1"/>
  <c r="J2483" i="2" s="1"/>
  <c r="J2484" i="2" s="1"/>
  <c r="J2485" i="2" s="1"/>
  <c r="J2486" i="2" s="1"/>
  <c r="J2487" i="2" s="1"/>
  <c r="J2488" i="2" s="1"/>
  <c r="J2489" i="2" s="1"/>
  <c r="J2490" i="2" s="1"/>
  <c r="J2491" i="2" s="1"/>
  <c r="J2492" i="2" s="1"/>
  <c r="J2493" i="2" s="1"/>
  <c r="J2494" i="2" s="1"/>
  <c r="J2495" i="2" s="1"/>
  <c r="J2496" i="2" s="1"/>
  <c r="J2497" i="2" s="1"/>
  <c r="J2498" i="2" s="1"/>
  <c r="J2499" i="2" s="1"/>
  <c r="J2500" i="2" s="1"/>
  <c r="J2501" i="2" s="1"/>
  <c r="J2502" i="2" s="1"/>
  <c r="J2503" i="2" s="1"/>
  <c r="J2504" i="2" s="1"/>
  <c r="J2505" i="2" s="1"/>
  <c r="J2506" i="2" s="1"/>
  <c r="J2507" i="2" s="1"/>
  <c r="J2508" i="2" s="1"/>
  <c r="J2509" i="2" s="1"/>
  <c r="J2510" i="2" s="1"/>
  <c r="J2511" i="2" s="1"/>
  <c r="J2512" i="2" s="1"/>
  <c r="J2513" i="2" s="1"/>
  <c r="J2514" i="2" s="1"/>
  <c r="J2515" i="2" s="1"/>
  <c r="J2516" i="2" s="1"/>
  <c r="J2517" i="2" s="1"/>
  <c r="J2518" i="2" s="1"/>
  <c r="J2519" i="2" s="1"/>
  <c r="J2520" i="2" s="1"/>
  <c r="J2521" i="2" s="1"/>
  <c r="J2522" i="2" s="1"/>
  <c r="J2523" i="2" s="1"/>
  <c r="J2524" i="2" s="1"/>
  <c r="J2525" i="2" s="1"/>
  <c r="J2526" i="2" s="1"/>
  <c r="J2527" i="2" s="1"/>
  <c r="J2528" i="2" s="1"/>
  <c r="J2529" i="2" s="1"/>
  <c r="J2530" i="2" s="1"/>
  <c r="J2531" i="2" s="1"/>
  <c r="J2532" i="2" s="1"/>
  <c r="J2533" i="2" s="1"/>
  <c r="J2534" i="2" s="1"/>
  <c r="J2535" i="2" s="1"/>
  <c r="J2536" i="2" s="1"/>
  <c r="J2537" i="2" s="1"/>
  <c r="J2538" i="2" s="1"/>
  <c r="J2539" i="2" s="1"/>
  <c r="J2540" i="2" s="1"/>
  <c r="J2541" i="2" s="1"/>
  <c r="J2542" i="2" s="1"/>
  <c r="J2543" i="2" s="1"/>
  <c r="J2544" i="2" s="1"/>
  <c r="J2545" i="2" s="1"/>
  <c r="J2546" i="2" s="1"/>
  <c r="J2547" i="2" s="1"/>
  <c r="J2548" i="2" s="1"/>
  <c r="J2549" i="2" s="1"/>
  <c r="J2550" i="2" s="1"/>
  <c r="J2551" i="2" s="1"/>
  <c r="J2552" i="2" s="1"/>
  <c r="J2553" i="2" s="1"/>
  <c r="J2554" i="2" s="1"/>
  <c r="J2555" i="2" s="1"/>
  <c r="J2556" i="2" s="1"/>
  <c r="J2557" i="2" s="1"/>
  <c r="J2558" i="2" s="1"/>
  <c r="J2559" i="2" s="1"/>
  <c r="J2560" i="2" s="1"/>
  <c r="J2561" i="2" s="1"/>
  <c r="J2562" i="2" s="1"/>
  <c r="J2563" i="2" s="1"/>
  <c r="J2564" i="2" s="1"/>
  <c r="J2565" i="2" s="1"/>
  <c r="J2566" i="2" s="1"/>
  <c r="J2567" i="2" s="1"/>
  <c r="J2568" i="2" s="1"/>
  <c r="J2569" i="2" s="1"/>
  <c r="J2570" i="2" s="1"/>
  <c r="J2571" i="2" s="1"/>
  <c r="J2572" i="2" s="1"/>
  <c r="J2573" i="2" s="1"/>
  <c r="J2574" i="2" s="1"/>
  <c r="J2575" i="2" s="1"/>
  <c r="J2576" i="2" s="1"/>
  <c r="J2577" i="2" s="1"/>
  <c r="J2578" i="2" s="1"/>
  <c r="J2579" i="2" s="1"/>
  <c r="J2580" i="2" s="1"/>
  <c r="J2581" i="2" s="1"/>
  <c r="J2582" i="2" s="1"/>
  <c r="J2583" i="2" s="1"/>
  <c r="J2584" i="2" s="1"/>
  <c r="J2585" i="2" s="1"/>
  <c r="J2586" i="2" s="1"/>
  <c r="J2587" i="2" s="1"/>
  <c r="J2588" i="2" s="1"/>
  <c r="J2589" i="2" s="1"/>
  <c r="J2590" i="2" s="1"/>
  <c r="J2591" i="2" s="1"/>
  <c r="J2592" i="2" s="1"/>
  <c r="J2593" i="2" s="1"/>
  <c r="J2594" i="2" s="1"/>
  <c r="J2595" i="2" s="1"/>
  <c r="J2596" i="2" s="1"/>
  <c r="J2597" i="2" s="1"/>
  <c r="J2598" i="2" s="1"/>
  <c r="J2599" i="2" s="1"/>
  <c r="J2600" i="2" s="1"/>
  <c r="J2601" i="2" s="1"/>
  <c r="J2602" i="2" s="1"/>
  <c r="J2603" i="2" s="1"/>
  <c r="J2604" i="2" s="1"/>
  <c r="J2605" i="2" s="1"/>
  <c r="J2606" i="2" s="1"/>
  <c r="J2607" i="2" s="1"/>
  <c r="J2608" i="2" s="1"/>
  <c r="J2609" i="2" s="1"/>
  <c r="J2610" i="2" s="1"/>
  <c r="J2611" i="2" s="1"/>
  <c r="J2612" i="2" s="1"/>
  <c r="J2613" i="2" s="1"/>
  <c r="J2614" i="2" s="1"/>
  <c r="J2615" i="2" s="1"/>
  <c r="J2616" i="2" s="1"/>
  <c r="J2617" i="2" s="1"/>
  <c r="J2618" i="2" s="1"/>
  <c r="J2619" i="2" s="1"/>
  <c r="J2620" i="2" s="1"/>
  <c r="J2621" i="2" s="1"/>
  <c r="J2622" i="2" s="1"/>
  <c r="J2623" i="2" s="1"/>
  <c r="J2624" i="2" s="1"/>
  <c r="J2625" i="2" s="1"/>
  <c r="J2626" i="2" s="1"/>
  <c r="J2627" i="2" s="1"/>
  <c r="J2628" i="2" s="1"/>
  <c r="J2629" i="2" s="1"/>
  <c r="J2630" i="2" s="1"/>
  <c r="J2631" i="2" s="1"/>
  <c r="J2632" i="2" s="1"/>
  <c r="J2633" i="2" s="1"/>
  <c r="J2634" i="2" s="1"/>
  <c r="J2635" i="2" s="1"/>
  <c r="J2636" i="2" s="1"/>
  <c r="J2637" i="2" s="1"/>
  <c r="J2638" i="2" s="1"/>
  <c r="J2639" i="2" s="1"/>
  <c r="J2640" i="2" s="1"/>
  <c r="J2641" i="2" s="1"/>
  <c r="J2642" i="2" s="1"/>
  <c r="J2643" i="2" s="1"/>
  <c r="J2644" i="2" s="1"/>
  <c r="J2645" i="2" s="1"/>
  <c r="J2646" i="2" s="1"/>
  <c r="J2647" i="2" s="1"/>
  <c r="J2648" i="2" s="1"/>
  <c r="J2649" i="2" s="1"/>
  <c r="J2650" i="2" s="1"/>
  <c r="J2651" i="2" s="1"/>
  <c r="J2652" i="2" s="1"/>
  <c r="J2653" i="2" s="1"/>
  <c r="J2654" i="2" s="1"/>
  <c r="J2655" i="2" s="1"/>
  <c r="J2656" i="2" s="1"/>
  <c r="J2657" i="2" s="1"/>
  <c r="J2658" i="2" s="1"/>
  <c r="J2659" i="2" s="1"/>
  <c r="J2660" i="2" s="1"/>
  <c r="J2661" i="2" s="1"/>
  <c r="J2662" i="2" s="1"/>
  <c r="J2663" i="2" s="1"/>
  <c r="J2664" i="2" s="1"/>
  <c r="J2665" i="2" s="1"/>
  <c r="J2666" i="2" s="1"/>
  <c r="J2667" i="2" s="1"/>
  <c r="J2668" i="2" s="1"/>
  <c r="J2669" i="2" s="1"/>
  <c r="J2670" i="2" s="1"/>
  <c r="J2671" i="2" s="1"/>
  <c r="J2672" i="2" s="1"/>
  <c r="J2673" i="2" s="1"/>
  <c r="J2674" i="2" s="1"/>
  <c r="J2675" i="2" s="1"/>
  <c r="J2676" i="2" s="1"/>
  <c r="J2677" i="2" s="1"/>
  <c r="J2678" i="2" s="1"/>
  <c r="J2679" i="2" s="1"/>
  <c r="J2680" i="2" s="1"/>
  <c r="J2681" i="2" s="1"/>
  <c r="J2682" i="2" s="1"/>
  <c r="J2683" i="2" s="1"/>
  <c r="J2684" i="2" s="1"/>
  <c r="J2685" i="2" s="1"/>
  <c r="J2686" i="2" s="1"/>
  <c r="J2687" i="2" s="1"/>
  <c r="J2688" i="2" s="1"/>
  <c r="J2689" i="2" s="1"/>
  <c r="J2690" i="2" s="1"/>
  <c r="J2691" i="2" s="1"/>
  <c r="J2692" i="2" s="1"/>
  <c r="J2693" i="2" s="1"/>
  <c r="J2694" i="2" s="1"/>
  <c r="J2695" i="2" s="1"/>
  <c r="J2696" i="2" s="1"/>
  <c r="J2697" i="2" s="1"/>
  <c r="J2698" i="2" s="1"/>
  <c r="J2699" i="2" s="1"/>
  <c r="J2700" i="2" s="1"/>
  <c r="J2701" i="2" s="1"/>
  <c r="J2702" i="2" s="1"/>
  <c r="J2703" i="2" s="1"/>
  <c r="J2704" i="2" s="1"/>
  <c r="J2705" i="2" s="1"/>
  <c r="J2706" i="2" s="1"/>
  <c r="J2707" i="2" s="1"/>
  <c r="J2708" i="2" s="1"/>
  <c r="J2709" i="2" s="1"/>
  <c r="J2710" i="2" s="1"/>
  <c r="J2711" i="2" s="1"/>
  <c r="J2712" i="2" s="1"/>
  <c r="J2713" i="2" s="1"/>
  <c r="J2714" i="2" s="1"/>
  <c r="J2715" i="2" s="1"/>
  <c r="J2716" i="2" s="1"/>
  <c r="J2717" i="2" s="1"/>
  <c r="J2718" i="2" s="1"/>
  <c r="J2719" i="2" s="1"/>
  <c r="J2720" i="2" s="1"/>
  <c r="J2721" i="2" s="1"/>
  <c r="J2722" i="2" s="1"/>
  <c r="J2723" i="2" s="1"/>
  <c r="J2724" i="2" s="1"/>
  <c r="J2725" i="2" s="1"/>
  <c r="J2726" i="2" s="1"/>
  <c r="J2727" i="2" s="1"/>
  <c r="J2728" i="2" s="1"/>
  <c r="J2729" i="2" s="1"/>
  <c r="J2730" i="2" s="1"/>
  <c r="J2731" i="2" s="1"/>
  <c r="J2732" i="2" s="1"/>
  <c r="J2733" i="2" s="1"/>
  <c r="J2734" i="2" s="1"/>
  <c r="J2735" i="2" s="1"/>
  <c r="J2736" i="2" s="1"/>
  <c r="J2737" i="2" s="1"/>
  <c r="J2738" i="2" s="1"/>
  <c r="J2739" i="2" s="1"/>
  <c r="J2740" i="2" s="1"/>
  <c r="J2741" i="2" s="1"/>
  <c r="J2742" i="2" s="1"/>
  <c r="J2743" i="2" s="1"/>
  <c r="J2744" i="2" s="1"/>
  <c r="J2745" i="2" s="1"/>
  <c r="J2746" i="2" s="1"/>
  <c r="J2747" i="2" s="1"/>
  <c r="J2748" i="2" s="1"/>
  <c r="J2749" i="2" s="1"/>
  <c r="J2750" i="2" s="1"/>
  <c r="J2751" i="2" s="1"/>
  <c r="J2752" i="2" s="1"/>
  <c r="J2753" i="2" s="1"/>
  <c r="J2754" i="2" s="1"/>
  <c r="J2755" i="2" s="1"/>
  <c r="J2756" i="2" s="1"/>
  <c r="J2757" i="2" s="1"/>
  <c r="J2758" i="2" s="1"/>
  <c r="J2759" i="2" s="1"/>
  <c r="J2760" i="2" s="1"/>
  <c r="J2761" i="2" s="1"/>
  <c r="J2762" i="2" s="1"/>
  <c r="J2763" i="2" s="1"/>
  <c r="J2764" i="2" s="1"/>
  <c r="J2765" i="2" s="1"/>
  <c r="J2766" i="2" s="1"/>
  <c r="J2767" i="2" s="1"/>
  <c r="J2768" i="2" s="1"/>
  <c r="J2769" i="2" s="1"/>
  <c r="J2770" i="2" s="1"/>
  <c r="J2771" i="2" s="1"/>
  <c r="J2772" i="2" s="1"/>
  <c r="J2773" i="2" s="1"/>
  <c r="J2774" i="2" s="1"/>
  <c r="J2775" i="2" s="1"/>
  <c r="J2776" i="2" s="1"/>
  <c r="J2777" i="2" s="1"/>
  <c r="J2778" i="2" s="1"/>
  <c r="J2779" i="2" s="1"/>
  <c r="J2780" i="2" s="1"/>
  <c r="J2781" i="2" s="1"/>
  <c r="J2782" i="2" s="1"/>
  <c r="J2783" i="2" s="1"/>
  <c r="J2784" i="2" s="1"/>
  <c r="J2785" i="2" s="1"/>
  <c r="J2786" i="2" s="1"/>
  <c r="J2787" i="2" s="1"/>
  <c r="J2788" i="2" s="1"/>
  <c r="J2789" i="2" s="1"/>
  <c r="J2790" i="2" s="1"/>
  <c r="J2791" i="2" s="1"/>
  <c r="J2792" i="2" s="1"/>
  <c r="J2793" i="2" s="1"/>
  <c r="J2794" i="2" s="1"/>
  <c r="J2795" i="2" s="1"/>
  <c r="J2796" i="2" s="1"/>
  <c r="J2797" i="2" s="1"/>
  <c r="J2798" i="2" s="1"/>
  <c r="J2799" i="2" s="1"/>
  <c r="J2800" i="2" s="1"/>
  <c r="J2801" i="2" s="1"/>
  <c r="J2802" i="2" s="1"/>
  <c r="J2803" i="2" s="1"/>
  <c r="J2804" i="2" s="1"/>
  <c r="J2805" i="2" s="1"/>
  <c r="J2806" i="2" s="1"/>
  <c r="J2807" i="2" s="1"/>
  <c r="J2808" i="2" s="1"/>
  <c r="J2809" i="2" s="1"/>
  <c r="J2810" i="2" s="1"/>
  <c r="J2811" i="2" s="1"/>
  <c r="J2812" i="2" s="1"/>
  <c r="J2813" i="2" s="1"/>
  <c r="J2814" i="2" s="1"/>
  <c r="J2815" i="2" s="1"/>
  <c r="J2816" i="2" s="1"/>
  <c r="J2817" i="2" s="1"/>
  <c r="J2818" i="2" s="1"/>
  <c r="J2819" i="2" s="1"/>
  <c r="J2820" i="2" s="1"/>
  <c r="J2821" i="2" s="1"/>
  <c r="J2822" i="2" s="1"/>
  <c r="J2823" i="2" s="1"/>
  <c r="J2824" i="2" s="1"/>
  <c r="J2825" i="2" s="1"/>
  <c r="J2826" i="2" s="1"/>
  <c r="J2827" i="2" s="1"/>
  <c r="J2828" i="2" s="1"/>
  <c r="J2829" i="2" s="1"/>
  <c r="J2830" i="2" s="1"/>
  <c r="J2831" i="2" s="1"/>
  <c r="J2832" i="2" s="1"/>
  <c r="J2833" i="2" s="1"/>
  <c r="J2834" i="2" s="1"/>
  <c r="J2835" i="2" s="1"/>
  <c r="J2836" i="2" s="1"/>
  <c r="J2837" i="2" s="1"/>
  <c r="J2838" i="2" s="1"/>
  <c r="J2839" i="2" s="1"/>
  <c r="J2840" i="2" s="1"/>
  <c r="J2841" i="2" s="1"/>
  <c r="J2842" i="2" s="1"/>
  <c r="J2843" i="2" s="1"/>
  <c r="J2844" i="2" s="1"/>
  <c r="J2845" i="2" s="1"/>
  <c r="J2846" i="2" s="1"/>
  <c r="J2847" i="2" s="1"/>
  <c r="J2848" i="2" s="1"/>
  <c r="J2849" i="2" s="1"/>
  <c r="J2850" i="2" s="1"/>
  <c r="J2851" i="2" s="1"/>
  <c r="J2852" i="2" s="1"/>
  <c r="J2853" i="2" s="1"/>
  <c r="J2854" i="2" s="1"/>
  <c r="J2855" i="2" s="1"/>
  <c r="J2856" i="2" s="1"/>
  <c r="J2857" i="2" s="1"/>
  <c r="J2858" i="2" s="1"/>
  <c r="J2859" i="2" s="1"/>
  <c r="J2860" i="2" s="1"/>
  <c r="J2861" i="2" s="1"/>
  <c r="J2862" i="2" s="1"/>
  <c r="J2863" i="2" s="1"/>
  <c r="J2864" i="2" s="1"/>
  <c r="J2865" i="2" s="1"/>
  <c r="J2866" i="2" s="1"/>
  <c r="J2867" i="2" s="1"/>
  <c r="J2868" i="2" s="1"/>
  <c r="J2869" i="2" s="1"/>
  <c r="J2870" i="2" s="1"/>
  <c r="J2871" i="2" s="1"/>
  <c r="J2872" i="2" s="1"/>
  <c r="J2873" i="2" s="1"/>
  <c r="J2874" i="2" s="1"/>
  <c r="J2875" i="2" s="1"/>
  <c r="J2876" i="2" s="1"/>
  <c r="J2877" i="2" s="1"/>
  <c r="J2878" i="2" s="1"/>
  <c r="J2879" i="2" s="1"/>
  <c r="J2880" i="2" s="1"/>
  <c r="J2881" i="2" s="1"/>
  <c r="J2882" i="2" s="1"/>
  <c r="J2883" i="2" s="1"/>
  <c r="J2884" i="2" s="1"/>
  <c r="J2885" i="2" s="1"/>
  <c r="J2886" i="2" s="1"/>
  <c r="J2887" i="2" s="1"/>
  <c r="J2888" i="2" s="1"/>
  <c r="J2889" i="2" s="1"/>
  <c r="J2890" i="2" s="1"/>
  <c r="J2891" i="2" s="1"/>
  <c r="J2892" i="2" s="1"/>
  <c r="J2893" i="2" s="1"/>
  <c r="J2894" i="2" s="1"/>
  <c r="J2895" i="2" s="1"/>
  <c r="J2896" i="2" s="1"/>
  <c r="J2897" i="2" s="1"/>
  <c r="J2898" i="2" s="1"/>
  <c r="J2899" i="2" s="1"/>
  <c r="J2900" i="2" s="1"/>
  <c r="J2901" i="2" s="1"/>
  <c r="J2902" i="2" s="1"/>
  <c r="J2903" i="2" s="1"/>
  <c r="J2904" i="2" s="1"/>
  <c r="J2905" i="2" s="1"/>
  <c r="J2906" i="2" s="1"/>
  <c r="J2907" i="2" s="1"/>
  <c r="J2908" i="2" s="1"/>
  <c r="J2909" i="2" s="1"/>
  <c r="J2910" i="2" s="1"/>
  <c r="J2911" i="2" s="1"/>
  <c r="J2912" i="2" s="1"/>
  <c r="J2913" i="2" s="1"/>
  <c r="J2914" i="2" s="1"/>
  <c r="J2915" i="2" s="1"/>
  <c r="J2916" i="2" s="1"/>
  <c r="J2917" i="2" s="1"/>
  <c r="J2918" i="2" s="1"/>
  <c r="J2919" i="2" s="1"/>
  <c r="J2920" i="2" s="1"/>
  <c r="J2921" i="2" s="1"/>
  <c r="J2922" i="2" s="1"/>
  <c r="J2923" i="2" s="1"/>
  <c r="J2924" i="2" s="1"/>
  <c r="J2925" i="2" s="1"/>
  <c r="J2926" i="2" s="1"/>
  <c r="J2927" i="2" s="1"/>
  <c r="J2928" i="2" s="1"/>
  <c r="J2929" i="2" s="1"/>
  <c r="J2930" i="2" s="1"/>
  <c r="J2931" i="2" s="1"/>
  <c r="J2932" i="2" s="1"/>
  <c r="J2933" i="2" s="1"/>
  <c r="J2934" i="2" s="1"/>
  <c r="J2935" i="2" s="1"/>
  <c r="J2936" i="2" s="1"/>
  <c r="J2937" i="2" s="1"/>
  <c r="J2938" i="2" s="1"/>
  <c r="J2939" i="2" s="1"/>
  <c r="J2940" i="2" s="1"/>
  <c r="J2941" i="2" s="1"/>
  <c r="J2942" i="2" s="1"/>
  <c r="J2943" i="2" s="1"/>
  <c r="J2944" i="2" s="1"/>
  <c r="J2945" i="2" s="1"/>
  <c r="J2946" i="2" s="1"/>
  <c r="J2947" i="2" s="1"/>
  <c r="J2948" i="2" s="1"/>
  <c r="J2949" i="2" s="1"/>
  <c r="J2950" i="2" s="1"/>
  <c r="J2951" i="2" s="1"/>
  <c r="J2952" i="2" s="1"/>
  <c r="J2953" i="2" s="1"/>
  <c r="J2954" i="2" s="1"/>
  <c r="J2955" i="2" s="1"/>
  <c r="J2956" i="2" s="1"/>
  <c r="J2957" i="2" s="1"/>
  <c r="J2958" i="2" s="1"/>
  <c r="J2959" i="2" s="1"/>
  <c r="J2960" i="2" s="1"/>
  <c r="J2961" i="2" s="1"/>
  <c r="J2962" i="2" s="1"/>
  <c r="J2963" i="2" s="1"/>
  <c r="J2964" i="2" s="1"/>
  <c r="J2965" i="2" s="1"/>
  <c r="J2966" i="2" s="1"/>
  <c r="J2967" i="2" s="1"/>
  <c r="J2968" i="2" s="1"/>
  <c r="J2969" i="2" s="1"/>
  <c r="J2970" i="2" s="1"/>
  <c r="J2971" i="2" s="1"/>
  <c r="J2972" i="2" s="1"/>
  <c r="J2973" i="2" s="1"/>
  <c r="J2974" i="2" s="1"/>
  <c r="J2975" i="2" s="1"/>
  <c r="J2976" i="2" s="1"/>
  <c r="J2977" i="2" s="1"/>
  <c r="J2978" i="2" s="1"/>
  <c r="J2979" i="2" s="1"/>
  <c r="J2980" i="2" s="1"/>
  <c r="J2981" i="2" s="1"/>
  <c r="J2982" i="2" s="1"/>
  <c r="J2983" i="2" s="1"/>
  <c r="J2984" i="2" s="1"/>
  <c r="J2985" i="2" s="1"/>
  <c r="J2986" i="2" s="1"/>
  <c r="J2987" i="2" s="1"/>
  <c r="J2988" i="2" s="1"/>
  <c r="J2989" i="2" s="1"/>
  <c r="J2990" i="2" s="1"/>
  <c r="J2991" i="2" s="1"/>
  <c r="J2992" i="2" s="1"/>
  <c r="J2993" i="2" s="1"/>
  <c r="J2994" i="2" s="1"/>
  <c r="J2995" i="2" s="1"/>
  <c r="J2996" i="2" s="1"/>
  <c r="J2997" i="2" s="1"/>
  <c r="J2998" i="2" s="1"/>
  <c r="J2999" i="2" s="1"/>
  <c r="J3000" i="2" s="1"/>
  <c r="J3001" i="2" s="1"/>
  <c r="J3002" i="2" s="1"/>
  <c r="J3003" i="2" s="1"/>
  <c r="J3004" i="2" s="1"/>
  <c r="J3005" i="2" s="1"/>
  <c r="J3006" i="2" s="1"/>
  <c r="J3007" i="2" s="1"/>
  <c r="J3008" i="2" s="1"/>
  <c r="J3009" i="2" s="1"/>
  <c r="J3010" i="2" s="1"/>
  <c r="J3011" i="2" s="1"/>
  <c r="J3012" i="2" s="1"/>
  <c r="J3013" i="2" s="1"/>
  <c r="J3014" i="2" s="1"/>
  <c r="J3015" i="2" s="1"/>
  <c r="J3016" i="2" s="1"/>
  <c r="J3017" i="2" s="1"/>
  <c r="J3018" i="2" s="1"/>
  <c r="J3019" i="2" s="1"/>
  <c r="J3020" i="2" s="1"/>
  <c r="J3021" i="2" s="1"/>
  <c r="J3022" i="2" s="1"/>
  <c r="J3023" i="2" s="1"/>
  <c r="J3024" i="2" s="1"/>
  <c r="J3025" i="2" s="1"/>
  <c r="J3026" i="2" s="1"/>
  <c r="J3027" i="2" s="1"/>
  <c r="J3028" i="2" s="1"/>
  <c r="J3029" i="2" s="1"/>
  <c r="J3030" i="2" s="1"/>
  <c r="J3031" i="2" s="1"/>
  <c r="J3032" i="2" s="1"/>
  <c r="J3033" i="2" s="1"/>
  <c r="J3034" i="2" s="1"/>
  <c r="J3035" i="2" s="1"/>
  <c r="J3036" i="2" s="1"/>
  <c r="J3037" i="2" s="1"/>
  <c r="J3038" i="2" s="1"/>
  <c r="J3039" i="2" s="1"/>
  <c r="J3040" i="2" s="1"/>
  <c r="J3041" i="2" s="1"/>
  <c r="J3042" i="2" s="1"/>
  <c r="J3043" i="2" s="1"/>
  <c r="J3044" i="2" s="1"/>
  <c r="J3045" i="2" s="1"/>
  <c r="J3046" i="2" s="1"/>
  <c r="J3047" i="2" s="1"/>
  <c r="J3048" i="2" s="1"/>
  <c r="J3049" i="2" s="1"/>
  <c r="J3050" i="2" s="1"/>
  <c r="J3051" i="2" s="1"/>
  <c r="J3052" i="2" s="1"/>
  <c r="J3053" i="2" s="1"/>
  <c r="J3054" i="2" s="1"/>
  <c r="J3055" i="2" s="1"/>
  <c r="J3056" i="2" s="1"/>
  <c r="J3057" i="2" s="1"/>
  <c r="J3058" i="2" s="1"/>
  <c r="J3059" i="2" s="1"/>
  <c r="J3060" i="2" s="1"/>
  <c r="J3061" i="2" s="1"/>
  <c r="J3062" i="2" s="1"/>
  <c r="J3063" i="2" s="1"/>
  <c r="J3064" i="2" s="1"/>
  <c r="J3065" i="2" s="1"/>
  <c r="J3066" i="2" s="1"/>
  <c r="J3067" i="2" s="1"/>
  <c r="J3068" i="2" s="1"/>
  <c r="J3069" i="2" s="1"/>
  <c r="J3070" i="2" s="1"/>
  <c r="J3071" i="2" s="1"/>
  <c r="J3072" i="2" s="1"/>
  <c r="J3073" i="2" s="1"/>
  <c r="J3074" i="2" s="1"/>
  <c r="J3075" i="2" s="1"/>
  <c r="J3076" i="2" s="1"/>
  <c r="J3077" i="2" s="1"/>
  <c r="J3078" i="2" s="1"/>
  <c r="J3079" i="2" s="1"/>
  <c r="J3080" i="2" s="1"/>
  <c r="J3081" i="2" s="1"/>
  <c r="J3082" i="2" s="1"/>
  <c r="J3083" i="2" s="1"/>
  <c r="J3084" i="2" s="1"/>
  <c r="J3085" i="2" s="1"/>
  <c r="J3086" i="2" s="1"/>
  <c r="J3087" i="2" s="1"/>
  <c r="J3088" i="2" s="1"/>
  <c r="J3089" i="2" s="1"/>
  <c r="J3090" i="2" s="1"/>
  <c r="J3091" i="2" s="1"/>
  <c r="J3092" i="2" s="1"/>
  <c r="J3093" i="2" s="1"/>
  <c r="J3094" i="2" s="1"/>
  <c r="J3095" i="2" s="1"/>
  <c r="J3096" i="2" s="1"/>
  <c r="J3097" i="2" s="1"/>
  <c r="J3098" i="2" s="1"/>
  <c r="J3099" i="2" s="1"/>
  <c r="J3100" i="2" s="1"/>
  <c r="J3101" i="2" s="1"/>
  <c r="J3102" i="2" s="1"/>
  <c r="J3103" i="2" s="1"/>
  <c r="J3104" i="2" s="1"/>
  <c r="J3105" i="2" s="1"/>
  <c r="J3106" i="2" s="1"/>
  <c r="J3107" i="2" s="1"/>
  <c r="J3108" i="2" s="1"/>
  <c r="J3109" i="2" s="1"/>
  <c r="J3110" i="2" s="1"/>
  <c r="J3111" i="2" s="1"/>
  <c r="J3112" i="2" s="1"/>
  <c r="J3113" i="2" s="1"/>
  <c r="J3114" i="2" s="1"/>
  <c r="J3115" i="2" s="1"/>
  <c r="J3116" i="2" s="1"/>
  <c r="J3117" i="2" s="1"/>
  <c r="J3118" i="2" s="1"/>
  <c r="J3119" i="2" s="1"/>
  <c r="J3120" i="2" s="1"/>
  <c r="J3121" i="2" s="1"/>
  <c r="J3122" i="2" s="1"/>
  <c r="J3123" i="2" s="1"/>
  <c r="J3124" i="2" s="1"/>
  <c r="J3125" i="2" s="1"/>
  <c r="J3126" i="2" s="1"/>
  <c r="J3127" i="2" s="1"/>
  <c r="J3128" i="2" s="1"/>
  <c r="J3129" i="2" s="1"/>
  <c r="J3130" i="2" s="1"/>
  <c r="J3131" i="2" s="1"/>
  <c r="J3132" i="2" s="1"/>
  <c r="J3133" i="2" s="1"/>
  <c r="J3134" i="2" s="1"/>
  <c r="J3135" i="2" s="1"/>
  <c r="J3136" i="2" s="1"/>
  <c r="J3137" i="2" s="1"/>
  <c r="J3138" i="2" s="1"/>
  <c r="J3139" i="2" s="1"/>
  <c r="J3140" i="2" s="1"/>
  <c r="J3141" i="2" s="1"/>
  <c r="J3142" i="2" s="1"/>
  <c r="J3143" i="2" s="1"/>
  <c r="J3144" i="2" s="1"/>
  <c r="J3145" i="2" s="1"/>
  <c r="J3146" i="2" s="1"/>
  <c r="J3147" i="2" s="1"/>
  <c r="J3148" i="2" s="1"/>
  <c r="J3149" i="2" s="1"/>
  <c r="J3150" i="2" s="1"/>
  <c r="J3151" i="2" s="1"/>
  <c r="J3152" i="2" s="1"/>
  <c r="J3153" i="2" s="1"/>
  <c r="J3154" i="2" s="1"/>
  <c r="J3155" i="2" s="1"/>
  <c r="J3156" i="2" s="1"/>
  <c r="J3157" i="2" s="1"/>
  <c r="J3158" i="2" s="1"/>
  <c r="J3159" i="2" s="1"/>
  <c r="J3160" i="2" s="1"/>
  <c r="J3161" i="2" s="1"/>
  <c r="J3162" i="2" s="1"/>
  <c r="J3163" i="2" s="1"/>
  <c r="J3164" i="2" s="1"/>
  <c r="J3165" i="2" s="1"/>
  <c r="J3166" i="2" s="1"/>
  <c r="J3167" i="2" s="1"/>
  <c r="J3168" i="2" s="1"/>
  <c r="J3169" i="2" s="1"/>
  <c r="J3170" i="2" s="1"/>
  <c r="J3171" i="2" s="1"/>
  <c r="J3172" i="2" s="1"/>
  <c r="J3173" i="2" s="1"/>
  <c r="J3174" i="2" s="1"/>
  <c r="J3175" i="2" s="1"/>
  <c r="J3176" i="2" s="1"/>
  <c r="J3177" i="2" s="1"/>
  <c r="J3178" i="2" s="1"/>
  <c r="J3179" i="2" s="1"/>
  <c r="J3180" i="2" s="1"/>
  <c r="J3181" i="2" s="1"/>
  <c r="J3182" i="2" s="1"/>
  <c r="J3183" i="2" s="1"/>
  <c r="J3184" i="2" s="1"/>
  <c r="J3185" i="2" s="1"/>
  <c r="J3186" i="2" s="1"/>
  <c r="J3187" i="2" s="1"/>
  <c r="J3188" i="2" s="1"/>
  <c r="J3189" i="2" s="1"/>
  <c r="J3190" i="2" s="1"/>
  <c r="J3191" i="2" s="1"/>
  <c r="J3192" i="2" s="1"/>
  <c r="J3193" i="2" s="1"/>
  <c r="J3194" i="2" s="1"/>
  <c r="J3195" i="2" s="1"/>
  <c r="J3196" i="2" s="1"/>
  <c r="J3197" i="2" s="1"/>
  <c r="J3198" i="2" s="1"/>
  <c r="J3199" i="2" s="1"/>
  <c r="J3200" i="2" s="1"/>
  <c r="J3201" i="2" s="1"/>
  <c r="J3202" i="2" s="1"/>
  <c r="J3203" i="2" s="1"/>
  <c r="J3204" i="2" s="1"/>
  <c r="J3205" i="2" s="1"/>
  <c r="J3206" i="2" s="1"/>
  <c r="J3207" i="2" s="1"/>
  <c r="J3208" i="2" s="1"/>
  <c r="J3209" i="2" s="1"/>
  <c r="J3210" i="2" s="1"/>
  <c r="J3211" i="2" s="1"/>
  <c r="J3212" i="2" s="1"/>
  <c r="J3213" i="2" s="1"/>
  <c r="J3214" i="2" s="1"/>
  <c r="J3215" i="2" s="1"/>
  <c r="J3216" i="2" s="1"/>
  <c r="J3217" i="2" s="1"/>
  <c r="J3218" i="2" s="1"/>
  <c r="J3219" i="2" s="1"/>
  <c r="J3220" i="2" s="1"/>
  <c r="J3221" i="2" s="1"/>
  <c r="J3222" i="2" s="1"/>
  <c r="J3223" i="2" s="1"/>
  <c r="J3224" i="2" s="1"/>
  <c r="J3225" i="2" s="1"/>
  <c r="J3226" i="2" s="1"/>
  <c r="J3227" i="2" s="1"/>
  <c r="J3228" i="2" s="1"/>
  <c r="J3229" i="2" s="1"/>
  <c r="J3230" i="2" s="1"/>
  <c r="J3231" i="2" s="1"/>
  <c r="J3232" i="2" s="1"/>
  <c r="J3233" i="2" s="1"/>
  <c r="J3234" i="2" s="1"/>
  <c r="J3235" i="2" s="1"/>
  <c r="J3236" i="2" s="1"/>
  <c r="J3237" i="2" s="1"/>
  <c r="J3238" i="2" s="1"/>
  <c r="J3239" i="2" s="1"/>
  <c r="J3240" i="2" s="1"/>
  <c r="J3241" i="2" s="1"/>
  <c r="J3242" i="2" s="1"/>
  <c r="J3243" i="2" s="1"/>
  <c r="J3244" i="2" s="1"/>
  <c r="J3245" i="2" s="1"/>
  <c r="J3246" i="2" s="1"/>
  <c r="J3247" i="2" s="1"/>
  <c r="J3248" i="2" s="1"/>
  <c r="J3249" i="2" s="1"/>
  <c r="J3250" i="2" s="1"/>
  <c r="J3251" i="2" s="1"/>
  <c r="J3252" i="2" s="1"/>
  <c r="J3253" i="2" s="1"/>
  <c r="J3254" i="2" s="1"/>
  <c r="J3255" i="2" s="1"/>
  <c r="J3256" i="2" s="1"/>
  <c r="J3257" i="2" s="1"/>
  <c r="J3258" i="2" s="1"/>
  <c r="J3259" i="2" s="1"/>
  <c r="J3260" i="2" s="1"/>
  <c r="J3261" i="2" s="1"/>
  <c r="J3262" i="2" s="1"/>
  <c r="J3263" i="2" s="1"/>
  <c r="J3264" i="2" s="1"/>
  <c r="J3265" i="2" s="1"/>
  <c r="J3266" i="2" s="1"/>
  <c r="J3267" i="2" s="1"/>
  <c r="J3268" i="2" s="1"/>
  <c r="J3269" i="2" s="1"/>
  <c r="J3270" i="2" s="1"/>
  <c r="J3271" i="2" s="1"/>
  <c r="J3272" i="2" s="1"/>
  <c r="J3273" i="2" s="1"/>
  <c r="J3274" i="2" s="1"/>
  <c r="J3275" i="2" s="1"/>
  <c r="J3276" i="2" s="1"/>
  <c r="J3277" i="2" s="1"/>
  <c r="J3278" i="2" s="1"/>
  <c r="J3279" i="2" s="1"/>
  <c r="J3280" i="2" s="1"/>
  <c r="J3281" i="2" s="1"/>
  <c r="J3282" i="2" s="1"/>
  <c r="J3283" i="2" s="1"/>
  <c r="J3284" i="2" s="1"/>
  <c r="J3285" i="2" s="1"/>
  <c r="J3286" i="2" s="1"/>
  <c r="J3287" i="2" s="1"/>
  <c r="J3288" i="2" s="1"/>
  <c r="J3289" i="2" s="1"/>
  <c r="J3290" i="2" s="1"/>
  <c r="J3291" i="2" s="1"/>
  <c r="J3292" i="2" s="1"/>
  <c r="J3293" i="2" s="1"/>
  <c r="J3294" i="2" s="1"/>
  <c r="J3295" i="2" s="1"/>
  <c r="J3296" i="2" s="1"/>
  <c r="J3297" i="2" s="1"/>
  <c r="J3298" i="2" s="1"/>
  <c r="J3299" i="2" s="1"/>
  <c r="J3300" i="2" s="1"/>
  <c r="J3301" i="2" s="1"/>
  <c r="J3302" i="2" s="1"/>
  <c r="J3303" i="2" s="1"/>
  <c r="J3304" i="2" s="1"/>
  <c r="J3305" i="2" s="1"/>
  <c r="J3306" i="2" s="1"/>
  <c r="J3307" i="2" s="1"/>
  <c r="J3308" i="2" s="1"/>
  <c r="J3309" i="2" s="1"/>
  <c r="J3310" i="2" s="1"/>
  <c r="J3311" i="2" s="1"/>
  <c r="J3312" i="2" s="1"/>
  <c r="J3313" i="2" s="1"/>
  <c r="J3314" i="2" s="1"/>
  <c r="J3315" i="2" s="1"/>
  <c r="J3316" i="2" s="1"/>
  <c r="J3317" i="2" s="1"/>
  <c r="J3318" i="2" s="1"/>
  <c r="J3319" i="2" s="1"/>
  <c r="J3320" i="2" s="1"/>
  <c r="J3321" i="2" s="1"/>
  <c r="J3322" i="2" s="1"/>
  <c r="J3323" i="2" s="1"/>
  <c r="J3324" i="2" s="1"/>
  <c r="J3325" i="2" s="1"/>
  <c r="J3326" i="2" s="1"/>
  <c r="J3327" i="2" s="1"/>
  <c r="J3328" i="2" s="1"/>
  <c r="J3329" i="2" s="1"/>
  <c r="J3330" i="2" s="1"/>
  <c r="J3331" i="2" s="1"/>
  <c r="J3332" i="2" s="1"/>
  <c r="J3333" i="2" s="1"/>
  <c r="J3334" i="2" s="1"/>
  <c r="J3335" i="2" s="1"/>
  <c r="J3336" i="2" s="1"/>
  <c r="J3337" i="2" s="1"/>
  <c r="J3338" i="2" s="1"/>
  <c r="J3339" i="2" s="1"/>
  <c r="J3340" i="2" s="1"/>
  <c r="J3341" i="2" s="1"/>
  <c r="J3342" i="2" s="1"/>
  <c r="J3343" i="2" s="1"/>
  <c r="J3344" i="2" s="1"/>
  <c r="J3345" i="2" s="1"/>
  <c r="J3346" i="2" s="1"/>
  <c r="J3347" i="2" s="1"/>
  <c r="J3348" i="2" s="1"/>
  <c r="J3349" i="2" s="1"/>
  <c r="J3350" i="2" s="1"/>
  <c r="J3351" i="2" s="1"/>
  <c r="J3352" i="2" s="1"/>
  <c r="J3353" i="2" s="1"/>
  <c r="J3354" i="2" s="1"/>
  <c r="J3355" i="2" s="1"/>
  <c r="J3356" i="2" s="1"/>
  <c r="J3357" i="2" s="1"/>
  <c r="J3358" i="2" s="1"/>
  <c r="J3359" i="2" s="1"/>
  <c r="J3360" i="2" s="1"/>
  <c r="J3361" i="2" s="1"/>
  <c r="J3362" i="2" s="1"/>
  <c r="J3363" i="2" s="1"/>
  <c r="J3364" i="2" s="1"/>
  <c r="J3365" i="2" s="1"/>
  <c r="J3366" i="2" s="1"/>
  <c r="J3367" i="2" s="1"/>
  <c r="J3368" i="2" s="1"/>
  <c r="J3369" i="2" s="1"/>
  <c r="J3370" i="2" s="1"/>
  <c r="J3371" i="2" s="1"/>
  <c r="J3372" i="2" s="1"/>
  <c r="J3373" i="2" s="1"/>
  <c r="J3374" i="2" s="1"/>
  <c r="J3375" i="2" s="1"/>
  <c r="J3376" i="2" s="1"/>
  <c r="J3377" i="2" s="1"/>
  <c r="J3378" i="2" s="1"/>
  <c r="J3379" i="2" s="1"/>
  <c r="J3380" i="2" s="1"/>
  <c r="J3381" i="2" s="1"/>
  <c r="J3382" i="2" s="1"/>
  <c r="J3383" i="2" s="1"/>
  <c r="J3384" i="2" s="1"/>
  <c r="J3385" i="2" s="1"/>
  <c r="J3386" i="2" s="1"/>
  <c r="J3387" i="2" s="1"/>
  <c r="J3388" i="2" s="1"/>
  <c r="J3389" i="2" s="1"/>
  <c r="J3390" i="2" s="1"/>
  <c r="J3391" i="2" s="1"/>
  <c r="J3392" i="2" s="1"/>
  <c r="J3393" i="2" s="1"/>
  <c r="J3394" i="2" s="1"/>
  <c r="J3395" i="2" s="1"/>
  <c r="J3396" i="2" s="1"/>
  <c r="J3397" i="2" s="1"/>
  <c r="J3398" i="2" s="1"/>
  <c r="J3399" i="2" s="1"/>
  <c r="J3400" i="2" s="1"/>
  <c r="J3401" i="2" s="1"/>
  <c r="J3402" i="2" s="1"/>
  <c r="J3403" i="2" s="1"/>
  <c r="J3404" i="2" s="1"/>
  <c r="J3405" i="2" s="1"/>
  <c r="J3406" i="2" s="1"/>
  <c r="J3407" i="2" s="1"/>
  <c r="J3408" i="2" s="1"/>
  <c r="J3409" i="2" s="1"/>
  <c r="J3410" i="2" s="1"/>
  <c r="J3411" i="2" s="1"/>
  <c r="J3412" i="2" s="1"/>
  <c r="J3413" i="2" s="1"/>
  <c r="J3414" i="2" s="1"/>
  <c r="J3415" i="2" s="1"/>
  <c r="J3416" i="2" s="1"/>
  <c r="J3417" i="2" s="1"/>
  <c r="J3418" i="2" s="1"/>
  <c r="J3419" i="2" s="1"/>
  <c r="J3420" i="2" s="1"/>
  <c r="J3421" i="2" s="1"/>
  <c r="J3422" i="2" s="1"/>
  <c r="J3423" i="2" s="1"/>
  <c r="J3424" i="2" s="1"/>
  <c r="J3425" i="2" s="1"/>
  <c r="J3426" i="2" s="1"/>
  <c r="J3427" i="2" s="1"/>
  <c r="J3428" i="2" s="1"/>
  <c r="J3429" i="2" s="1"/>
  <c r="J3430" i="2" s="1"/>
  <c r="J3431" i="2" s="1"/>
  <c r="J3432" i="2" s="1"/>
  <c r="J3433" i="2" s="1"/>
  <c r="J3434" i="2" s="1"/>
  <c r="J3435" i="2" s="1"/>
  <c r="J3436" i="2" s="1"/>
  <c r="J3437" i="2" s="1"/>
  <c r="J3438" i="2" s="1"/>
  <c r="J3439" i="2" s="1"/>
  <c r="J3440" i="2" s="1"/>
  <c r="J3441" i="2" s="1"/>
  <c r="J3442" i="2" s="1"/>
  <c r="J3443" i="2" s="1"/>
  <c r="J3444" i="2" s="1"/>
  <c r="J3445" i="2" s="1"/>
  <c r="J3446" i="2" s="1"/>
  <c r="J3447" i="2" s="1"/>
  <c r="J3448" i="2" s="1"/>
  <c r="J3449" i="2" s="1"/>
  <c r="J3450" i="2" s="1"/>
  <c r="J3451" i="2" s="1"/>
  <c r="J3452" i="2" s="1"/>
  <c r="J3453" i="2" s="1"/>
  <c r="J3454" i="2" s="1"/>
  <c r="J3455" i="2" s="1"/>
  <c r="J3456" i="2" s="1"/>
  <c r="J3457" i="2" s="1"/>
  <c r="J3458" i="2" s="1"/>
  <c r="J3459" i="2" s="1"/>
  <c r="J3460" i="2" s="1"/>
  <c r="J3461" i="2" s="1"/>
  <c r="J3462" i="2" s="1"/>
  <c r="J3463" i="2" s="1"/>
  <c r="J3464" i="2" s="1"/>
  <c r="J3465" i="2" s="1"/>
  <c r="J3466" i="2" s="1"/>
  <c r="J3467" i="2" s="1"/>
  <c r="J3468" i="2" s="1"/>
  <c r="J3469" i="2" s="1"/>
  <c r="J3470" i="2" s="1"/>
  <c r="J3471" i="2" s="1"/>
  <c r="J3472" i="2" s="1"/>
  <c r="J3473" i="2" s="1"/>
  <c r="J3474" i="2" s="1"/>
  <c r="J3475" i="2" s="1"/>
  <c r="J3476" i="2" s="1"/>
  <c r="J3477" i="2" s="1"/>
  <c r="J3478" i="2" s="1"/>
  <c r="J3479" i="2" s="1"/>
  <c r="J3480" i="2" s="1"/>
  <c r="J3481" i="2" s="1"/>
  <c r="J3482" i="2" s="1"/>
  <c r="J3483" i="2" s="1"/>
  <c r="J3484" i="2" s="1"/>
  <c r="J3485" i="2" s="1"/>
  <c r="J3486" i="2" s="1"/>
  <c r="J3487" i="2" s="1"/>
  <c r="J3488" i="2" s="1"/>
  <c r="J3489" i="2" s="1"/>
  <c r="J3490" i="2" s="1"/>
  <c r="J3491" i="2" s="1"/>
  <c r="J3492" i="2" s="1"/>
  <c r="J3493" i="2" s="1"/>
  <c r="J3494" i="2" s="1"/>
  <c r="J3495" i="2" s="1"/>
  <c r="J3496" i="2" s="1"/>
  <c r="J3497" i="2" s="1"/>
  <c r="J3498" i="2" s="1"/>
  <c r="J3499" i="2" s="1"/>
  <c r="J3500" i="2" s="1"/>
  <c r="J3501" i="2" s="1"/>
  <c r="J3502" i="2" s="1"/>
  <c r="J3503" i="2" s="1"/>
  <c r="J3504" i="2" s="1"/>
  <c r="J3505" i="2" s="1"/>
  <c r="J3506" i="2" s="1"/>
  <c r="J3507" i="2" s="1"/>
  <c r="J3508" i="2" s="1"/>
  <c r="J3509" i="2" s="1"/>
  <c r="J3510" i="2" s="1"/>
  <c r="J3511" i="2" s="1"/>
  <c r="J3512" i="2" s="1"/>
  <c r="J3513" i="2" s="1"/>
  <c r="J3514" i="2" s="1"/>
  <c r="J3515" i="2" s="1"/>
  <c r="J3516" i="2" s="1"/>
  <c r="J3517" i="2" s="1"/>
  <c r="J3518" i="2" s="1"/>
  <c r="J3519" i="2" s="1"/>
  <c r="J3520" i="2" s="1"/>
  <c r="J3521" i="2" s="1"/>
  <c r="J3522" i="2" s="1"/>
  <c r="J3523" i="2" s="1"/>
  <c r="J3524" i="2" s="1"/>
  <c r="J3525" i="2" s="1"/>
  <c r="J3526" i="2" s="1"/>
  <c r="J3527" i="2" s="1"/>
  <c r="J3528" i="2" s="1"/>
  <c r="J3529" i="2" s="1"/>
  <c r="J3530" i="2" s="1"/>
  <c r="J3531" i="2" s="1"/>
  <c r="J3532" i="2" s="1"/>
  <c r="J3533" i="2" s="1"/>
  <c r="J3534" i="2" s="1"/>
  <c r="J3535" i="2" s="1"/>
  <c r="J3536" i="2" s="1"/>
  <c r="J3537" i="2" s="1"/>
  <c r="J3538" i="2" s="1"/>
  <c r="J3539" i="2" s="1"/>
  <c r="J3540" i="2" s="1"/>
  <c r="J3541" i="2" s="1"/>
  <c r="J3542" i="2" s="1"/>
  <c r="J3543" i="2" s="1"/>
  <c r="J3544" i="2" s="1"/>
  <c r="J3545" i="2" s="1"/>
  <c r="J3546" i="2" s="1"/>
  <c r="J3547" i="2" s="1"/>
  <c r="J3548" i="2" s="1"/>
  <c r="J3549" i="2" s="1"/>
  <c r="J3550" i="2" s="1"/>
  <c r="J3551" i="2" s="1"/>
  <c r="J3552" i="2" s="1"/>
  <c r="J3553" i="2" s="1"/>
  <c r="J3554" i="2" s="1"/>
  <c r="J3555" i="2" s="1"/>
  <c r="J3556" i="2" s="1"/>
  <c r="J3557" i="2" s="1"/>
  <c r="J3558" i="2" s="1"/>
  <c r="J3559" i="2" s="1"/>
  <c r="J3560" i="2" s="1"/>
  <c r="J3561" i="2" s="1"/>
  <c r="J3562" i="2" s="1"/>
  <c r="J3563" i="2" s="1"/>
  <c r="J3564" i="2" s="1"/>
  <c r="J3565" i="2" s="1"/>
  <c r="J3566" i="2" s="1"/>
  <c r="J3567" i="2" s="1"/>
  <c r="J3568" i="2" s="1"/>
  <c r="J3569" i="2" s="1"/>
  <c r="J3570" i="2" s="1"/>
  <c r="J3571" i="2" s="1"/>
  <c r="J3572" i="2" s="1"/>
  <c r="J3573" i="2" s="1"/>
  <c r="J3574" i="2" s="1"/>
  <c r="J3575" i="2" s="1"/>
  <c r="J3576" i="2" s="1"/>
  <c r="J3577" i="2" s="1"/>
  <c r="J3578" i="2" s="1"/>
  <c r="J3579" i="2" s="1"/>
  <c r="J3580" i="2" s="1"/>
  <c r="J3581" i="2" s="1"/>
  <c r="J3582" i="2" s="1"/>
  <c r="J3583" i="2" s="1"/>
  <c r="J3584" i="2" s="1"/>
  <c r="J3585" i="2" s="1"/>
  <c r="J3586" i="2" s="1"/>
  <c r="J3587" i="2" s="1"/>
  <c r="J3588" i="2" s="1"/>
  <c r="J3589" i="2" s="1"/>
  <c r="J3590" i="2" s="1"/>
  <c r="J3591" i="2" s="1"/>
  <c r="J3592" i="2" s="1"/>
  <c r="J3593" i="2" s="1"/>
  <c r="J3594" i="2" s="1"/>
  <c r="J3595" i="2" s="1"/>
  <c r="J3596" i="2" s="1"/>
  <c r="J3597" i="2" s="1"/>
  <c r="J3598" i="2" s="1"/>
  <c r="J3599" i="2" s="1"/>
  <c r="J3600" i="2" s="1"/>
  <c r="J3601" i="2" s="1"/>
  <c r="J3602" i="2" s="1"/>
  <c r="J3603" i="2" s="1"/>
  <c r="J3604" i="2" s="1"/>
  <c r="J3605" i="2" s="1"/>
  <c r="J3606" i="2" s="1"/>
  <c r="J3607" i="2" s="1"/>
  <c r="J3608" i="2" s="1"/>
  <c r="J3609" i="2" s="1"/>
  <c r="J3610" i="2" s="1"/>
  <c r="J3611" i="2" s="1"/>
  <c r="J3612" i="2" s="1"/>
  <c r="J3613" i="2" s="1"/>
  <c r="J3614" i="2" s="1"/>
  <c r="J3615" i="2" s="1"/>
  <c r="J3616" i="2" s="1"/>
  <c r="J3617" i="2" s="1"/>
  <c r="J3618" i="2" s="1"/>
  <c r="J3619" i="2" s="1"/>
  <c r="J3620" i="2" s="1"/>
  <c r="J3621" i="2" s="1"/>
  <c r="J3622" i="2" s="1"/>
  <c r="J3623" i="2" s="1"/>
  <c r="J3624" i="2" s="1"/>
  <c r="J3625" i="2" s="1"/>
  <c r="J3626" i="2" s="1"/>
  <c r="J3627" i="2" s="1"/>
  <c r="J3628" i="2" s="1"/>
  <c r="J3629" i="2" s="1"/>
  <c r="J3630" i="2" s="1"/>
  <c r="J3631" i="2" s="1"/>
  <c r="J3632" i="2" s="1"/>
  <c r="J3633" i="2" s="1"/>
  <c r="J3634" i="2" s="1"/>
  <c r="J3635" i="2" s="1"/>
  <c r="J3636" i="2" s="1"/>
  <c r="J3637" i="2" s="1"/>
  <c r="J3638" i="2" s="1"/>
  <c r="J3639" i="2" s="1"/>
  <c r="J3640" i="2" s="1"/>
  <c r="J3641" i="2" s="1"/>
  <c r="J3642" i="2" s="1"/>
  <c r="J3643" i="2" s="1"/>
  <c r="J3644" i="2" s="1"/>
  <c r="J3645" i="2" s="1"/>
  <c r="J3646" i="2" s="1"/>
  <c r="J3647" i="2" s="1"/>
  <c r="J3648" i="2" s="1"/>
  <c r="J3649" i="2" s="1"/>
  <c r="J3650" i="2" s="1"/>
  <c r="J3651" i="2" s="1"/>
  <c r="J3652" i="2" s="1"/>
  <c r="J3653" i="2" s="1"/>
  <c r="J3654" i="2" s="1"/>
  <c r="J3655" i="2" s="1"/>
  <c r="J3656" i="2" s="1"/>
  <c r="J3657" i="2" s="1"/>
  <c r="J3658" i="2" s="1"/>
  <c r="J3659" i="2" s="1"/>
  <c r="J3660" i="2" s="1"/>
  <c r="J3661" i="2" s="1"/>
  <c r="J3662" i="2" s="1"/>
  <c r="J3663" i="2" s="1"/>
  <c r="J3664" i="2" s="1"/>
  <c r="J3665" i="2" s="1"/>
  <c r="J3666" i="2" s="1"/>
  <c r="J3667" i="2" s="1"/>
  <c r="J3668" i="2" s="1"/>
  <c r="J3669" i="2" s="1"/>
  <c r="J3670" i="2" s="1"/>
  <c r="J3671" i="2" s="1"/>
  <c r="J3672" i="2" s="1"/>
  <c r="J3673" i="2" s="1"/>
  <c r="J3674" i="2" s="1"/>
  <c r="J3675" i="2" s="1"/>
  <c r="J3676" i="2" s="1"/>
  <c r="J3677" i="2" s="1"/>
  <c r="J3678" i="2" s="1"/>
  <c r="J3679" i="2" s="1"/>
  <c r="J3680" i="2" s="1"/>
  <c r="J3681" i="2" s="1"/>
  <c r="J3682" i="2" s="1"/>
  <c r="J3683" i="2" s="1"/>
  <c r="J3684" i="2" s="1"/>
  <c r="J3685" i="2" s="1"/>
  <c r="J3686" i="2" s="1"/>
  <c r="J3687" i="2" s="1"/>
  <c r="J3688" i="2" s="1"/>
  <c r="J3689" i="2" s="1"/>
  <c r="J3690" i="2" s="1"/>
  <c r="J3691" i="2" s="1"/>
  <c r="J3692" i="2" s="1"/>
  <c r="J3693" i="2" s="1"/>
  <c r="J3694" i="2" s="1"/>
  <c r="J3695" i="2" s="1"/>
  <c r="J3696" i="2" s="1"/>
  <c r="J3697" i="2" s="1"/>
  <c r="J3698" i="2" s="1"/>
  <c r="J3699" i="2" s="1"/>
  <c r="J3700" i="2" s="1"/>
  <c r="J3701" i="2" s="1"/>
  <c r="J3702" i="2" s="1"/>
  <c r="J3703" i="2" s="1"/>
  <c r="J3704" i="2" s="1"/>
  <c r="J3705" i="2" s="1"/>
  <c r="J3706" i="2" s="1"/>
  <c r="J3707" i="2" s="1"/>
  <c r="J3708" i="2" s="1"/>
  <c r="J3709" i="2" s="1"/>
  <c r="J3710" i="2" s="1"/>
  <c r="J3711" i="2" s="1"/>
  <c r="J3712" i="2" s="1"/>
  <c r="J3713" i="2" s="1"/>
  <c r="J3714" i="2" s="1"/>
  <c r="J3715" i="2" s="1"/>
  <c r="J3716" i="2" s="1"/>
  <c r="J3717" i="2" s="1"/>
  <c r="J3718" i="2" s="1"/>
  <c r="J3719" i="2" s="1"/>
  <c r="J3720" i="2" s="1"/>
  <c r="J3721" i="2" s="1"/>
  <c r="J3722" i="2" s="1"/>
  <c r="J3723" i="2" s="1"/>
  <c r="J3724" i="2" s="1"/>
  <c r="J3725" i="2" s="1"/>
  <c r="J3726" i="2" s="1"/>
  <c r="J3727" i="2" s="1"/>
  <c r="J3728" i="2" s="1"/>
  <c r="J3729" i="2" s="1"/>
  <c r="J3730" i="2" s="1"/>
  <c r="J3731" i="2" s="1"/>
  <c r="J3732" i="2" s="1"/>
  <c r="J3733" i="2" s="1"/>
  <c r="J3734" i="2" s="1"/>
  <c r="J3735" i="2" s="1"/>
  <c r="J3736" i="2" s="1"/>
  <c r="J3737" i="2" s="1"/>
  <c r="J3738" i="2" s="1"/>
  <c r="J3739" i="2" s="1"/>
  <c r="J3740" i="2" s="1"/>
  <c r="J3741" i="2" s="1"/>
  <c r="J3742" i="2" s="1"/>
  <c r="J3743" i="2" s="1"/>
  <c r="J3744" i="2" s="1"/>
  <c r="J3745" i="2" s="1"/>
  <c r="J3746" i="2" s="1"/>
  <c r="J3747" i="2" s="1"/>
  <c r="J3748" i="2" s="1"/>
  <c r="J3749" i="2" s="1"/>
  <c r="J3750" i="2" s="1"/>
  <c r="J3751" i="2" s="1"/>
  <c r="J3752" i="2" s="1"/>
  <c r="J3753" i="2" s="1"/>
  <c r="J3754" i="2" s="1"/>
  <c r="J3755" i="2" s="1"/>
  <c r="J3756" i="2" s="1"/>
  <c r="J3757" i="2" s="1"/>
  <c r="J3758" i="2" s="1"/>
  <c r="J3759" i="2" s="1"/>
  <c r="J3760" i="2" s="1"/>
  <c r="J3761" i="2" s="1"/>
  <c r="J3762" i="2" s="1"/>
  <c r="J3763" i="2" s="1"/>
  <c r="J3764" i="2" s="1"/>
  <c r="J3765" i="2" s="1"/>
  <c r="J3766" i="2" s="1"/>
  <c r="J3767" i="2" s="1"/>
  <c r="J3768" i="2" s="1"/>
  <c r="J3769" i="2" s="1"/>
  <c r="J3770" i="2" s="1"/>
  <c r="J3771" i="2" s="1"/>
  <c r="J3772" i="2" s="1"/>
  <c r="J3773" i="2" s="1"/>
  <c r="J3774" i="2" s="1"/>
  <c r="J3775" i="2" s="1"/>
  <c r="J3776" i="2" s="1"/>
  <c r="J3777" i="2" s="1"/>
  <c r="J3778" i="2" s="1"/>
  <c r="J3779" i="2" s="1"/>
  <c r="J3780" i="2" s="1"/>
  <c r="J3781" i="2" s="1"/>
  <c r="J3782" i="2" s="1"/>
  <c r="J3783" i="2" s="1"/>
  <c r="J3784" i="2" s="1"/>
  <c r="J3785" i="2" s="1"/>
  <c r="J3786" i="2" s="1"/>
  <c r="J3787" i="2" s="1"/>
  <c r="J3788" i="2" s="1"/>
  <c r="J3789" i="2" s="1"/>
  <c r="J3790" i="2" s="1"/>
  <c r="J3791" i="2" s="1"/>
  <c r="J3792" i="2" s="1"/>
  <c r="J3793" i="2" s="1"/>
  <c r="J3794" i="2" s="1"/>
  <c r="J3795" i="2" s="1"/>
  <c r="J3796" i="2" s="1"/>
  <c r="J3797" i="2" s="1"/>
  <c r="J3798" i="2" s="1"/>
  <c r="J3799" i="2" s="1"/>
  <c r="J3800" i="2" s="1"/>
  <c r="J3801" i="2" s="1"/>
  <c r="J3802" i="2" s="1"/>
  <c r="J3803" i="2" s="1"/>
  <c r="J3804" i="2" s="1"/>
  <c r="J3805" i="2" s="1"/>
  <c r="J3806" i="2" s="1"/>
  <c r="J3807" i="2" s="1"/>
  <c r="J3808" i="2" s="1"/>
  <c r="J3809" i="2" s="1"/>
  <c r="J3810" i="2" s="1"/>
  <c r="J3811" i="2" s="1"/>
  <c r="J3812" i="2" s="1"/>
  <c r="J3813" i="2" s="1"/>
  <c r="J3814" i="2" s="1"/>
  <c r="J3815" i="2" s="1"/>
  <c r="J3816" i="2" s="1"/>
  <c r="J3817" i="2" s="1"/>
  <c r="J3818" i="2" s="1"/>
  <c r="J3819" i="2" s="1"/>
  <c r="J3820" i="2" s="1"/>
  <c r="J3821" i="2" s="1"/>
  <c r="J3822" i="2" s="1"/>
  <c r="J3823" i="2" s="1"/>
  <c r="J3824" i="2" s="1"/>
  <c r="J3825" i="2" s="1"/>
  <c r="J3826" i="2" s="1"/>
  <c r="J3827" i="2" s="1"/>
  <c r="J3828" i="2" s="1"/>
  <c r="J3829" i="2" s="1"/>
  <c r="J3830" i="2" s="1"/>
  <c r="J3831" i="2" s="1"/>
  <c r="J3832" i="2" s="1"/>
  <c r="J3833" i="2" s="1"/>
  <c r="J3834" i="2" s="1"/>
  <c r="J3835" i="2" s="1"/>
  <c r="J3836" i="2" s="1"/>
  <c r="J3837" i="2" s="1"/>
  <c r="J3838" i="2" s="1"/>
  <c r="J3839" i="2" s="1"/>
  <c r="J3840" i="2" s="1"/>
  <c r="J3841" i="2" s="1"/>
  <c r="J3842" i="2" s="1"/>
  <c r="J3843" i="2" s="1"/>
  <c r="J3844" i="2" s="1"/>
  <c r="J3845" i="2" s="1"/>
  <c r="J3846" i="2" s="1"/>
  <c r="J3847" i="2" s="1"/>
  <c r="J3848" i="2" s="1"/>
  <c r="J3849" i="2" s="1"/>
  <c r="J3850" i="2" s="1"/>
  <c r="J3851" i="2" s="1"/>
  <c r="J3852" i="2" s="1"/>
  <c r="J3853" i="2" s="1"/>
  <c r="J3854" i="2" s="1"/>
  <c r="J3855" i="2" s="1"/>
  <c r="J3856" i="2" s="1"/>
  <c r="J3857" i="2" s="1"/>
  <c r="J3858" i="2" s="1"/>
  <c r="J3859" i="2" s="1"/>
  <c r="J3860" i="2" s="1"/>
  <c r="J3861" i="2" s="1"/>
  <c r="J3862" i="2" s="1"/>
  <c r="J3863" i="2" s="1"/>
  <c r="J3864" i="2" s="1"/>
  <c r="J3865" i="2" s="1"/>
  <c r="J3866" i="2" s="1"/>
  <c r="J3867" i="2" s="1"/>
  <c r="J3868" i="2" s="1"/>
  <c r="J3869" i="2" s="1"/>
  <c r="J3870" i="2" s="1"/>
  <c r="J3871" i="2" s="1"/>
  <c r="J3872" i="2" s="1"/>
  <c r="J3873" i="2" s="1"/>
  <c r="J3874" i="2" s="1"/>
  <c r="J3875" i="2" s="1"/>
  <c r="J3876" i="2" s="1"/>
  <c r="J3877" i="2" s="1"/>
  <c r="J3878" i="2" s="1"/>
  <c r="J3879" i="2" s="1"/>
  <c r="J3880" i="2" s="1"/>
  <c r="J3881" i="2" s="1"/>
  <c r="J3882" i="2" s="1"/>
  <c r="J3883" i="2" s="1"/>
  <c r="J3884" i="2" s="1"/>
  <c r="J3885" i="2" s="1"/>
  <c r="J3886" i="2" s="1"/>
  <c r="J3887" i="2" s="1"/>
  <c r="J3888" i="2" s="1"/>
  <c r="J3889" i="2" s="1"/>
  <c r="J3890" i="2" s="1"/>
  <c r="J3891" i="2" s="1"/>
  <c r="J3892" i="2" s="1"/>
  <c r="J3893" i="2" s="1"/>
  <c r="J3894" i="2" s="1"/>
  <c r="J3895" i="2" s="1"/>
  <c r="J3896" i="2" s="1"/>
  <c r="J3897" i="2" s="1"/>
  <c r="J3898" i="2" s="1"/>
  <c r="J3899" i="2" s="1"/>
  <c r="J3900" i="2" s="1"/>
  <c r="J3901" i="2" s="1"/>
  <c r="J3902" i="2" s="1"/>
  <c r="J3903" i="2" s="1"/>
  <c r="J3904" i="2" s="1"/>
  <c r="J3905" i="2" s="1"/>
  <c r="J3906" i="2" s="1"/>
  <c r="J3907" i="2" s="1"/>
  <c r="J3908" i="2" s="1"/>
  <c r="J3909" i="2" s="1"/>
  <c r="J3910" i="2" s="1"/>
  <c r="J3911" i="2" s="1"/>
  <c r="J3912" i="2" s="1"/>
  <c r="J3913" i="2" s="1"/>
  <c r="J3914" i="2" s="1"/>
  <c r="J3915" i="2" s="1"/>
  <c r="J3916" i="2" s="1"/>
  <c r="J3917" i="2" s="1"/>
  <c r="J3918" i="2" s="1"/>
  <c r="J3919" i="2" s="1"/>
  <c r="J3920" i="2" s="1"/>
  <c r="J3921" i="2" s="1"/>
  <c r="J3922" i="2" s="1"/>
  <c r="J3923" i="2" s="1"/>
  <c r="J3924" i="2" s="1"/>
  <c r="J3925" i="2" s="1"/>
  <c r="J3926" i="2" s="1"/>
  <c r="J3927" i="2" s="1"/>
  <c r="J3928" i="2" s="1"/>
  <c r="J3929" i="2" s="1"/>
  <c r="J3930" i="2" s="1"/>
  <c r="J3931" i="2" s="1"/>
  <c r="J3932" i="2" s="1"/>
  <c r="J3933" i="2" s="1"/>
  <c r="J3934" i="2" s="1"/>
  <c r="J3935" i="2" s="1"/>
  <c r="J3936" i="2" s="1"/>
  <c r="J3937" i="2" s="1"/>
  <c r="J3938" i="2" s="1"/>
  <c r="J3939" i="2" s="1"/>
  <c r="J3940" i="2" s="1"/>
  <c r="J3941" i="2" s="1"/>
  <c r="J3942" i="2" s="1"/>
  <c r="J3943" i="2" s="1"/>
  <c r="J3944" i="2" s="1"/>
  <c r="J3945" i="2" s="1"/>
  <c r="J3946" i="2" s="1"/>
  <c r="J3947" i="2" s="1"/>
  <c r="J3948" i="2" s="1"/>
  <c r="J3949" i="2" s="1"/>
  <c r="J3950" i="2" s="1"/>
  <c r="J3951" i="2" s="1"/>
  <c r="J3952" i="2" s="1"/>
  <c r="J3953" i="2" s="1"/>
  <c r="J3954" i="2" s="1"/>
  <c r="J3955" i="2" s="1"/>
  <c r="J3956" i="2" s="1"/>
  <c r="J3957" i="2" s="1"/>
  <c r="J3958" i="2" s="1"/>
  <c r="J3959" i="2" s="1"/>
  <c r="J3960" i="2" s="1"/>
  <c r="J3961" i="2" s="1"/>
  <c r="J3962" i="2" s="1"/>
  <c r="J3963" i="2" s="1"/>
  <c r="J3964" i="2" s="1"/>
  <c r="J3965" i="2" s="1"/>
  <c r="J3966" i="2" s="1"/>
  <c r="J3967" i="2" s="1"/>
  <c r="J3968" i="2" s="1"/>
  <c r="J3969" i="2" s="1"/>
  <c r="J3970" i="2" s="1"/>
  <c r="J3971" i="2" s="1"/>
  <c r="J3972" i="2" s="1"/>
  <c r="J3973" i="2" s="1"/>
  <c r="J3974" i="2" s="1"/>
  <c r="J3975" i="2" s="1"/>
  <c r="J3976" i="2" s="1"/>
  <c r="J3977" i="2" s="1"/>
  <c r="J3978" i="2" s="1"/>
  <c r="J3979" i="2" s="1"/>
  <c r="J3980" i="2" s="1"/>
  <c r="J3981" i="2" s="1"/>
  <c r="J3982" i="2" s="1"/>
  <c r="J3983" i="2" s="1"/>
  <c r="J3984" i="2" s="1"/>
  <c r="J3985" i="2" s="1"/>
  <c r="J3986" i="2" s="1"/>
  <c r="J3987" i="2" s="1"/>
  <c r="J3988" i="2" s="1"/>
  <c r="J3989" i="2" s="1"/>
  <c r="J3990" i="2" s="1"/>
  <c r="J3991" i="2" s="1"/>
  <c r="J3992" i="2" s="1"/>
  <c r="J3993" i="2" s="1"/>
  <c r="J3994" i="2" s="1"/>
  <c r="J3995" i="2" s="1"/>
  <c r="J3996" i="2" s="1"/>
  <c r="J3997" i="2" s="1"/>
  <c r="J3998" i="2" s="1"/>
  <c r="J3999" i="2" s="1"/>
  <c r="J4000" i="2" s="1"/>
  <c r="J4001" i="2" s="1"/>
  <c r="J4002" i="2" s="1"/>
  <c r="J4003" i="2" s="1"/>
  <c r="J4004" i="2" s="1"/>
  <c r="J4005" i="2" s="1"/>
  <c r="J4006" i="2" s="1"/>
  <c r="J4007" i="2" s="1"/>
  <c r="J4008" i="2" s="1"/>
  <c r="J4009" i="2" s="1"/>
  <c r="J4010" i="2" s="1"/>
  <c r="J4011" i="2" s="1"/>
  <c r="J4012" i="2" s="1"/>
  <c r="J4013" i="2" s="1"/>
  <c r="J4014" i="2" s="1"/>
  <c r="J4015" i="2" s="1"/>
  <c r="J4016" i="2" s="1"/>
  <c r="J4017" i="2" s="1"/>
  <c r="J4018" i="2" s="1"/>
  <c r="J4019" i="2" s="1"/>
  <c r="J4020" i="2" s="1"/>
  <c r="J4021" i="2" s="1"/>
  <c r="J4022" i="2" s="1"/>
  <c r="J4023" i="2" s="1"/>
  <c r="J4024" i="2" s="1"/>
  <c r="J4025" i="2" s="1"/>
  <c r="J4026" i="2" s="1"/>
  <c r="J4027" i="2" s="1"/>
  <c r="J4028" i="2" s="1"/>
  <c r="J4029" i="2" s="1"/>
  <c r="J4030" i="2" s="1"/>
  <c r="J4031" i="2" s="1"/>
  <c r="J4032" i="2" s="1"/>
  <c r="J4033" i="2" s="1"/>
  <c r="J4034" i="2" s="1"/>
  <c r="J4035" i="2" s="1"/>
  <c r="J4036" i="2" s="1"/>
  <c r="J4037" i="2" s="1"/>
  <c r="J4038" i="2" s="1"/>
  <c r="J4039" i="2" s="1"/>
  <c r="J4040" i="2" s="1"/>
  <c r="J4041" i="2" s="1"/>
  <c r="J4042" i="2" s="1"/>
  <c r="J4043" i="2" s="1"/>
  <c r="J4044" i="2" s="1"/>
  <c r="J4045" i="2" s="1"/>
  <c r="J4046" i="2" s="1"/>
  <c r="J4047" i="2" s="1"/>
  <c r="J4048" i="2" s="1"/>
  <c r="J4049" i="2" s="1"/>
  <c r="J4050" i="2" s="1"/>
  <c r="J4051" i="2" s="1"/>
  <c r="J4052" i="2" s="1"/>
  <c r="J4053" i="2" s="1"/>
  <c r="J4054" i="2" s="1"/>
  <c r="J4055" i="2" s="1"/>
  <c r="J4056" i="2" s="1"/>
  <c r="J4057" i="2" s="1"/>
  <c r="J4058" i="2" s="1"/>
  <c r="J4059" i="2" s="1"/>
  <c r="J4060" i="2" s="1"/>
  <c r="J4061" i="2" s="1"/>
  <c r="J4062" i="2" s="1"/>
  <c r="J4063" i="2" s="1"/>
  <c r="J4064" i="2" s="1"/>
  <c r="J4065" i="2" s="1"/>
  <c r="J4066" i="2" s="1"/>
  <c r="J4067" i="2" s="1"/>
  <c r="J4068" i="2" s="1"/>
  <c r="J4069" i="2" s="1"/>
  <c r="J4070" i="2" s="1"/>
  <c r="J4071" i="2" s="1"/>
  <c r="J4072" i="2" s="1"/>
  <c r="J4073" i="2" s="1"/>
  <c r="J4074" i="2" s="1"/>
  <c r="J4075" i="2" s="1"/>
  <c r="J4076" i="2" s="1"/>
  <c r="J4077" i="2" s="1"/>
  <c r="J4078" i="2" s="1"/>
  <c r="J4079" i="2" s="1"/>
  <c r="J4080" i="2" s="1"/>
  <c r="J4081" i="2" s="1"/>
  <c r="J4082" i="2" s="1"/>
  <c r="J4083" i="2" s="1"/>
  <c r="J4084" i="2" s="1"/>
  <c r="J4085" i="2" s="1"/>
  <c r="J4086" i="2" s="1"/>
  <c r="J4087" i="2" s="1"/>
  <c r="J4088" i="2" s="1"/>
  <c r="J4089" i="2" s="1"/>
  <c r="J4090" i="2" s="1"/>
  <c r="J4091" i="2" s="1"/>
  <c r="J4092" i="2" s="1"/>
  <c r="J4093" i="2" s="1"/>
  <c r="J4094" i="2" s="1"/>
  <c r="J4095" i="2" s="1"/>
  <c r="J4096" i="2" s="1"/>
  <c r="J4097" i="2" s="1"/>
  <c r="J4098" i="2" s="1"/>
  <c r="J4099" i="2" s="1"/>
  <c r="J4100" i="2" s="1"/>
  <c r="J4101" i="2" s="1"/>
  <c r="J4102" i="2" s="1"/>
  <c r="J4103" i="2" s="1"/>
  <c r="J4104" i="2" s="1"/>
  <c r="J4105" i="2" s="1"/>
  <c r="J4106" i="2" s="1"/>
  <c r="J4107" i="2" s="1"/>
  <c r="J4108" i="2" s="1"/>
  <c r="J4109" i="2" s="1"/>
  <c r="J4110" i="2" s="1"/>
  <c r="J4111" i="2" s="1"/>
  <c r="J4112" i="2" s="1"/>
  <c r="J4113" i="2" s="1"/>
  <c r="J4114" i="2" s="1"/>
  <c r="J4115" i="2" s="1"/>
  <c r="J4116" i="2" s="1"/>
  <c r="J4117" i="2" s="1"/>
  <c r="J4118" i="2" s="1"/>
  <c r="J4119" i="2" s="1"/>
  <c r="J4120" i="2" s="1"/>
  <c r="J4121" i="2" s="1"/>
  <c r="J4122" i="2" s="1"/>
  <c r="J4123" i="2" s="1"/>
  <c r="J4124" i="2" s="1"/>
  <c r="J4125" i="2" s="1"/>
  <c r="J4126" i="2" s="1"/>
  <c r="J4127" i="2" s="1"/>
  <c r="J4128" i="2" s="1"/>
  <c r="J4129" i="2" s="1"/>
  <c r="J4130" i="2" s="1"/>
  <c r="J4131" i="2" s="1"/>
  <c r="J4132" i="2" s="1"/>
  <c r="J4133" i="2" s="1"/>
  <c r="J4134" i="2" s="1"/>
  <c r="J4135" i="2" s="1"/>
  <c r="J4136" i="2" s="1"/>
  <c r="J4137" i="2" s="1"/>
  <c r="J4138" i="2" s="1"/>
  <c r="J4139" i="2" s="1"/>
  <c r="J4140" i="2" s="1"/>
  <c r="J4141" i="2" s="1"/>
  <c r="J4142" i="2" s="1"/>
  <c r="J4143" i="2" s="1"/>
  <c r="J4144" i="2" s="1"/>
  <c r="J4145" i="2" s="1"/>
  <c r="J4146" i="2" s="1"/>
  <c r="J4147" i="2" s="1"/>
  <c r="J4148" i="2" s="1"/>
  <c r="J4149" i="2" s="1"/>
  <c r="J4150" i="2" s="1"/>
  <c r="J4151" i="2" s="1"/>
  <c r="J4152" i="2" s="1"/>
  <c r="J4153" i="2" s="1"/>
  <c r="J4154" i="2" s="1"/>
  <c r="J4155" i="2" s="1"/>
  <c r="J4156" i="2" s="1"/>
  <c r="J4157" i="2" s="1"/>
  <c r="J4158" i="2" s="1"/>
  <c r="J4159" i="2" s="1"/>
  <c r="J4160" i="2" s="1"/>
  <c r="J4161" i="2" s="1"/>
  <c r="J4162" i="2" s="1"/>
  <c r="J4163" i="2" s="1"/>
  <c r="J4164" i="2" s="1"/>
  <c r="J4165" i="2" s="1"/>
  <c r="J4166" i="2" s="1"/>
  <c r="J4167" i="2" s="1"/>
  <c r="J4168" i="2" s="1"/>
  <c r="J4169" i="2" s="1"/>
  <c r="J4170" i="2" s="1"/>
  <c r="J4171" i="2" s="1"/>
  <c r="J4172" i="2" s="1"/>
  <c r="J4173" i="2" s="1"/>
  <c r="J4174" i="2" s="1"/>
  <c r="J4175" i="2" s="1"/>
  <c r="J4176" i="2" s="1"/>
  <c r="J4177" i="2" s="1"/>
  <c r="J4178" i="2" s="1"/>
  <c r="J4179" i="2" s="1"/>
  <c r="J4180" i="2" s="1"/>
  <c r="J4181" i="2" s="1"/>
  <c r="J4182" i="2" s="1"/>
  <c r="J4183" i="2" s="1"/>
  <c r="J4184" i="2" s="1"/>
  <c r="J4185" i="2" s="1"/>
  <c r="J4186" i="2" s="1"/>
  <c r="J4187" i="2" s="1"/>
  <c r="J4188" i="2" s="1"/>
  <c r="J4189" i="2" s="1"/>
  <c r="J4190" i="2" s="1"/>
  <c r="J4191" i="2" s="1"/>
  <c r="J4192" i="2" s="1"/>
  <c r="J4193" i="2" s="1"/>
  <c r="J4194" i="2" s="1"/>
  <c r="J4195" i="2" s="1"/>
  <c r="J4196" i="2" s="1"/>
  <c r="J4197" i="2" s="1"/>
  <c r="J4198" i="2" s="1"/>
  <c r="J4199" i="2" s="1"/>
  <c r="J4200" i="2" s="1"/>
  <c r="J4201" i="2" s="1"/>
  <c r="J4202" i="2" s="1"/>
  <c r="J4203" i="2" s="1"/>
  <c r="J4204" i="2" s="1"/>
  <c r="J4205" i="2" s="1"/>
  <c r="J4206" i="2" s="1"/>
  <c r="J4207" i="2" s="1"/>
  <c r="J4208" i="2" s="1"/>
  <c r="J4209" i="2" s="1"/>
  <c r="J4210" i="2" s="1"/>
  <c r="J4211" i="2" s="1"/>
  <c r="J4212" i="2" s="1"/>
  <c r="J4213" i="2" s="1"/>
  <c r="J4214" i="2" s="1"/>
  <c r="J4215" i="2" s="1"/>
  <c r="J4216" i="2" s="1"/>
  <c r="J4217" i="2" s="1"/>
  <c r="J4218" i="2" s="1"/>
  <c r="J4219" i="2" s="1"/>
  <c r="J4220" i="2" s="1"/>
  <c r="J4221" i="2" s="1"/>
  <c r="J4222" i="2" s="1"/>
  <c r="J4223" i="2" s="1"/>
  <c r="J4224" i="2" s="1"/>
  <c r="J4225" i="2" s="1"/>
  <c r="J4226" i="2" s="1"/>
  <c r="J4227" i="2" s="1"/>
  <c r="J4228" i="2" s="1"/>
  <c r="J4229" i="2" s="1"/>
  <c r="J4230" i="2" s="1"/>
  <c r="J4231" i="2" s="1"/>
  <c r="J4232" i="2" s="1"/>
  <c r="J4233" i="2" s="1"/>
  <c r="J4234" i="2" s="1"/>
  <c r="J4235" i="2" s="1"/>
  <c r="J4236" i="2" s="1"/>
  <c r="J4237" i="2" s="1"/>
  <c r="J4238" i="2" s="1"/>
  <c r="J4239" i="2" s="1"/>
  <c r="J4240" i="2" s="1"/>
  <c r="J4241" i="2" s="1"/>
  <c r="J4242" i="2" s="1"/>
  <c r="J4243" i="2" s="1"/>
  <c r="J4244" i="2" s="1"/>
  <c r="J4245" i="2" s="1"/>
  <c r="J4246" i="2" s="1"/>
  <c r="J4247" i="2" s="1"/>
  <c r="J4248" i="2" s="1"/>
  <c r="J4249" i="2" s="1"/>
  <c r="J4250" i="2" s="1"/>
  <c r="J4251" i="2" s="1"/>
  <c r="J4252" i="2" s="1"/>
  <c r="J4253" i="2" s="1"/>
  <c r="J4254" i="2" s="1"/>
  <c r="J4255" i="2" s="1"/>
  <c r="J4256" i="2" s="1"/>
  <c r="J4257" i="2" s="1"/>
  <c r="J4258" i="2" s="1"/>
  <c r="J4259" i="2" s="1"/>
  <c r="J4260" i="2" s="1"/>
  <c r="J4261" i="2" s="1"/>
  <c r="J4262" i="2" s="1"/>
  <c r="J4263" i="2" s="1"/>
  <c r="J4264" i="2" s="1"/>
  <c r="J4265" i="2" s="1"/>
  <c r="J4266" i="2" s="1"/>
  <c r="J4267" i="2" s="1"/>
  <c r="J4268" i="2" s="1"/>
  <c r="J4269" i="2" s="1"/>
  <c r="J4270" i="2" s="1"/>
  <c r="J4271" i="2" s="1"/>
  <c r="J4272" i="2" s="1"/>
  <c r="J4273" i="2" s="1"/>
  <c r="J4274" i="2" s="1"/>
  <c r="J4275" i="2" s="1"/>
  <c r="J4276" i="2" s="1"/>
  <c r="J4277" i="2" s="1"/>
  <c r="J4278" i="2" s="1"/>
  <c r="J4279" i="2" s="1"/>
  <c r="J4280" i="2" s="1"/>
  <c r="J4281" i="2" s="1"/>
  <c r="J4282" i="2" s="1"/>
  <c r="J4283" i="2" s="1"/>
  <c r="J4284" i="2" s="1"/>
  <c r="J4285" i="2" s="1"/>
  <c r="J4286" i="2" s="1"/>
  <c r="J4287" i="2" s="1"/>
  <c r="J4288" i="2" s="1"/>
  <c r="J4289" i="2" s="1"/>
  <c r="J4290" i="2" s="1"/>
  <c r="J4291" i="2" s="1"/>
  <c r="J4292" i="2" s="1"/>
  <c r="J4293" i="2" s="1"/>
  <c r="J4294" i="2" s="1"/>
  <c r="J4295" i="2" s="1"/>
  <c r="J4296" i="2" s="1"/>
  <c r="J4297" i="2" s="1"/>
  <c r="J4298" i="2" s="1"/>
  <c r="J4299" i="2" s="1"/>
  <c r="J4300" i="2" s="1"/>
  <c r="J4301" i="2" s="1"/>
  <c r="J4302" i="2" s="1"/>
  <c r="J4303" i="2" s="1"/>
  <c r="J4304" i="2" s="1"/>
  <c r="J4305" i="2" s="1"/>
  <c r="J4306" i="2" s="1"/>
  <c r="J4307" i="2" s="1"/>
  <c r="J4308" i="2" s="1"/>
  <c r="J4309" i="2" s="1"/>
  <c r="J4310" i="2" s="1"/>
  <c r="J4311" i="2" s="1"/>
  <c r="J4312" i="2" s="1"/>
  <c r="J4313" i="2" s="1"/>
  <c r="J4314" i="2" s="1"/>
  <c r="J4315" i="2" s="1"/>
  <c r="J4316" i="2" s="1"/>
  <c r="J4317" i="2" s="1"/>
  <c r="J4318" i="2" s="1"/>
  <c r="J4319" i="2" s="1"/>
  <c r="J4320" i="2" s="1"/>
  <c r="J4321" i="2" s="1"/>
  <c r="J4322" i="2" s="1"/>
  <c r="J4323" i="2" s="1"/>
  <c r="J4324" i="2" s="1"/>
  <c r="J4325" i="2" s="1"/>
  <c r="J4326" i="2" s="1"/>
  <c r="J4327" i="2" s="1"/>
  <c r="J4328" i="2" s="1"/>
  <c r="J4329" i="2" s="1"/>
  <c r="J4330" i="2" s="1"/>
  <c r="J4331" i="2" s="1"/>
  <c r="J4332" i="2" s="1"/>
  <c r="J4333" i="2" s="1"/>
  <c r="J4334" i="2" s="1"/>
  <c r="J4335" i="2" s="1"/>
  <c r="J4336" i="2" s="1"/>
  <c r="J4337" i="2" s="1"/>
  <c r="J4338" i="2" s="1"/>
  <c r="J4339" i="2" s="1"/>
  <c r="J4340" i="2" s="1"/>
  <c r="J4341" i="2" s="1"/>
  <c r="J4342" i="2" s="1"/>
  <c r="J4343" i="2" s="1"/>
  <c r="J4344" i="2" s="1"/>
  <c r="J4345" i="2" s="1"/>
  <c r="J4346" i="2" s="1"/>
  <c r="J4347" i="2" s="1"/>
  <c r="J4348" i="2" s="1"/>
  <c r="J4349" i="2" s="1"/>
  <c r="J4350" i="2" s="1"/>
  <c r="J4351" i="2" s="1"/>
  <c r="J4352" i="2" s="1"/>
  <c r="J4353" i="2" s="1"/>
  <c r="J4354" i="2" s="1"/>
  <c r="J4355" i="2" s="1"/>
  <c r="J4356" i="2" s="1"/>
  <c r="J4357" i="2" s="1"/>
  <c r="J4358" i="2" s="1"/>
  <c r="J4359" i="2" s="1"/>
  <c r="J4360" i="2" s="1"/>
  <c r="J4361" i="2" s="1"/>
  <c r="J4362" i="2" s="1"/>
  <c r="J4363" i="2" s="1"/>
  <c r="J4364" i="2" s="1"/>
  <c r="J4365" i="2" s="1"/>
  <c r="J4366" i="2" s="1"/>
  <c r="J4367" i="2" s="1"/>
  <c r="J4368" i="2" s="1"/>
  <c r="J4369" i="2" s="1"/>
  <c r="J4370" i="2" s="1"/>
  <c r="J4371" i="2" s="1"/>
  <c r="J4372" i="2" s="1"/>
  <c r="J4373" i="2" s="1"/>
  <c r="J4374" i="2" s="1"/>
  <c r="J4375" i="2" s="1"/>
  <c r="J4376" i="2" s="1"/>
  <c r="J4377" i="2" s="1"/>
  <c r="J4378" i="2" s="1"/>
  <c r="J4379" i="2" s="1"/>
  <c r="J4380" i="2" s="1"/>
  <c r="J4381" i="2" s="1"/>
  <c r="J4382" i="2" s="1"/>
  <c r="J4383" i="2" s="1"/>
  <c r="J4384" i="2" s="1"/>
  <c r="J4385" i="2" s="1"/>
  <c r="J4386" i="2" s="1"/>
  <c r="J4387" i="2" s="1"/>
  <c r="J4388" i="2" s="1"/>
  <c r="J4389" i="2" s="1"/>
  <c r="J4390" i="2" s="1"/>
  <c r="J4391" i="2" s="1"/>
  <c r="J4392" i="2" s="1"/>
  <c r="J4393" i="2" s="1"/>
  <c r="J4394" i="2" s="1"/>
  <c r="J4395" i="2" s="1"/>
  <c r="J4396" i="2" s="1"/>
  <c r="J4397" i="2" s="1"/>
  <c r="J4398" i="2" s="1"/>
  <c r="J4399" i="2" s="1"/>
  <c r="J4400" i="2" s="1"/>
  <c r="J4401" i="2" s="1"/>
  <c r="J4402" i="2" s="1"/>
  <c r="J4403" i="2" s="1"/>
  <c r="J4404" i="2" s="1"/>
  <c r="J4405" i="2" s="1"/>
  <c r="J4406" i="2" s="1"/>
  <c r="J4407" i="2" s="1"/>
  <c r="J4408" i="2" s="1"/>
  <c r="J4409" i="2" s="1"/>
  <c r="J4410" i="2" s="1"/>
  <c r="J4411" i="2" s="1"/>
  <c r="J4412" i="2" s="1"/>
  <c r="J4413" i="2" s="1"/>
  <c r="J4414" i="2" s="1"/>
  <c r="J4415" i="2" s="1"/>
  <c r="J4416" i="2" s="1"/>
  <c r="J4417" i="2" s="1"/>
  <c r="J4418" i="2" s="1"/>
  <c r="J4419" i="2" s="1"/>
  <c r="J4420" i="2" s="1"/>
  <c r="J4421" i="2" s="1"/>
  <c r="J4422" i="2" s="1"/>
  <c r="J4423" i="2" s="1"/>
  <c r="J4424" i="2" s="1"/>
  <c r="J4425" i="2" s="1"/>
  <c r="J4426" i="2" s="1"/>
  <c r="J4427" i="2" s="1"/>
  <c r="J4428" i="2" s="1"/>
  <c r="J4429" i="2" s="1"/>
  <c r="J4430" i="2" s="1"/>
  <c r="J4431" i="2" s="1"/>
  <c r="J4432" i="2" s="1"/>
  <c r="J4433" i="2" s="1"/>
  <c r="J4434" i="2" s="1"/>
  <c r="J4435" i="2" s="1"/>
  <c r="J4436" i="2" s="1"/>
  <c r="J4437" i="2" s="1"/>
  <c r="J4438" i="2" s="1"/>
  <c r="J4439" i="2" s="1"/>
  <c r="J4440" i="2" s="1"/>
  <c r="J4441" i="2" s="1"/>
  <c r="J4442" i="2" s="1"/>
  <c r="J4443" i="2" s="1"/>
  <c r="J4444" i="2" s="1"/>
  <c r="J4445" i="2" s="1"/>
  <c r="J4446" i="2" s="1"/>
  <c r="J4447" i="2" s="1"/>
  <c r="J4448" i="2" s="1"/>
  <c r="J4449" i="2" s="1"/>
  <c r="J4450" i="2" s="1"/>
  <c r="J4451" i="2" s="1"/>
  <c r="J4452" i="2" s="1"/>
  <c r="J4453" i="2" s="1"/>
  <c r="J4454" i="2" s="1"/>
  <c r="J4455" i="2" s="1"/>
  <c r="J4456" i="2" s="1"/>
  <c r="J4457" i="2" s="1"/>
  <c r="J4458" i="2" s="1"/>
  <c r="J4459" i="2" s="1"/>
  <c r="J4460" i="2" s="1"/>
  <c r="J4461" i="2" s="1"/>
  <c r="J4462" i="2" s="1"/>
  <c r="J4463" i="2" s="1"/>
  <c r="J4464" i="2" s="1"/>
  <c r="J4465" i="2" s="1"/>
  <c r="J4466" i="2" s="1"/>
  <c r="J4467" i="2" s="1"/>
  <c r="J4468" i="2" s="1"/>
  <c r="J4469" i="2" s="1"/>
  <c r="J4470" i="2" s="1"/>
  <c r="J4471" i="2" s="1"/>
  <c r="J4472" i="2" s="1"/>
  <c r="J4473" i="2" s="1"/>
  <c r="J4474" i="2" s="1"/>
  <c r="J4475" i="2" s="1"/>
  <c r="J4476" i="2" s="1"/>
  <c r="J4477" i="2" s="1"/>
  <c r="J4478" i="2" s="1"/>
  <c r="J4479" i="2" s="1"/>
  <c r="J4480" i="2" s="1"/>
  <c r="J4481" i="2" s="1"/>
  <c r="J4482" i="2" s="1"/>
  <c r="J4483" i="2" s="1"/>
  <c r="J4484" i="2" s="1"/>
  <c r="J4485" i="2" s="1"/>
  <c r="J4486" i="2" s="1"/>
  <c r="J4487" i="2" s="1"/>
  <c r="J4488" i="2" s="1"/>
  <c r="J4489" i="2" s="1"/>
  <c r="J4490" i="2" s="1"/>
  <c r="J4491" i="2" s="1"/>
  <c r="J4492" i="2" s="1"/>
  <c r="J4493" i="2" s="1"/>
  <c r="J4494" i="2" s="1"/>
  <c r="J4495" i="2" s="1"/>
  <c r="J4496" i="2" s="1"/>
  <c r="J4497" i="2" s="1"/>
  <c r="J4498" i="2" s="1"/>
  <c r="J4499" i="2" s="1"/>
  <c r="J4500" i="2" s="1"/>
  <c r="J4501" i="2" s="1"/>
  <c r="J4502" i="2" s="1"/>
  <c r="J4503" i="2" s="1"/>
  <c r="J4504" i="2" s="1"/>
  <c r="J4505" i="2" s="1"/>
  <c r="J4506" i="2" s="1"/>
  <c r="J4507" i="2" s="1"/>
  <c r="J4508" i="2" s="1"/>
  <c r="J4509" i="2" s="1"/>
  <c r="J4510" i="2" s="1"/>
  <c r="J4511" i="2" s="1"/>
  <c r="J4512" i="2" s="1"/>
  <c r="J4513" i="2" s="1"/>
  <c r="J4514" i="2" s="1"/>
  <c r="J4515" i="2" s="1"/>
  <c r="J4516" i="2" s="1"/>
  <c r="J4517" i="2" s="1"/>
  <c r="J4518" i="2" s="1"/>
  <c r="J4519" i="2" s="1"/>
  <c r="J4520" i="2" s="1"/>
  <c r="J4521" i="2" s="1"/>
  <c r="J4522" i="2" s="1"/>
  <c r="J4523" i="2" s="1"/>
  <c r="J4524" i="2" s="1"/>
  <c r="J4525" i="2" s="1"/>
  <c r="J4526" i="2" s="1"/>
  <c r="J4527" i="2" s="1"/>
  <c r="J4528" i="2" s="1"/>
  <c r="J4529" i="2" s="1"/>
  <c r="J4530" i="2" s="1"/>
  <c r="J4531" i="2" s="1"/>
  <c r="J4532" i="2" s="1"/>
  <c r="J4533" i="2" s="1"/>
  <c r="J4534" i="2" s="1"/>
  <c r="J4535" i="2" s="1"/>
  <c r="J4536" i="2" s="1"/>
  <c r="J4537" i="2" s="1"/>
  <c r="J4538" i="2" s="1"/>
  <c r="J4539" i="2" s="1"/>
  <c r="J4540" i="2" s="1"/>
  <c r="J4541" i="2" s="1"/>
  <c r="J4542" i="2" s="1"/>
  <c r="J4543" i="2" s="1"/>
  <c r="J4544" i="2" s="1"/>
  <c r="J4545" i="2" s="1"/>
  <c r="J4546" i="2" s="1"/>
  <c r="J4547" i="2" s="1"/>
  <c r="J4548" i="2" s="1"/>
  <c r="J4549" i="2" s="1"/>
  <c r="J4550" i="2" s="1"/>
  <c r="J4551" i="2" s="1"/>
  <c r="J4552" i="2" s="1"/>
  <c r="J4553" i="2" s="1"/>
  <c r="J4554" i="2" s="1"/>
  <c r="J4555" i="2" s="1"/>
  <c r="J4556" i="2" s="1"/>
  <c r="J4557" i="2" s="1"/>
  <c r="J4558" i="2" s="1"/>
  <c r="J4559" i="2" s="1"/>
  <c r="J4560" i="2" s="1"/>
  <c r="J4561" i="2" s="1"/>
  <c r="J4562" i="2" s="1"/>
  <c r="J4563" i="2" s="1"/>
  <c r="J4564" i="2" s="1"/>
  <c r="J4565" i="2" s="1"/>
  <c r="J4566" i="2" s="1"/>
  <c r="J4567" i="2" s="1"/>
  <c r="J4568" i="2" s="1"/>
  <c r="J4569" i="2" s="1"/>
  <c r="J4570" i="2" s="1"/>
  <c r="J4571" i="2" s="1"/>
  <c r="J4572" i="2" s="1"/>
  <c r="J4573" i="2" s="1"/>
  <c r="J4574" i="2" s="1"/>
  <c r="J4575" i="2" s="1"/>
  <c r="J4576" i="2" s="1"/>
  <c r="J4577" i="2" s="1"/>
  <c r="J4578" i="2" s="1"/>
  <c r="J4579" i="2" s="1"/>
  <c r="J4580" i="2" s="1"/>
  <c r="J4581" i="2" s="1"/>
  <c r="J4582" i="2" s="1"/>
  <c r="J4583" i="2" s="1"/>
  <c r="J4584" i="2" s="1"/>
  <c r="J4585" i="2" s="1"/>
  <c r="J4586" i="2" s="1"/>
  <c r="J4587" i="2" s="1"/>
  <c r="J4588" i="2" s="1"/>
  <c r="J4589" i="2" s="1"/>
  <c r="J4590" i="2" s="1"/>
  <c r="J4591" i="2" s="1"/>
  <c r="J4592" i="2" s="1"/>
  <c r="J4593" i="2" s="1"/>
  <c r="J4594" i="2" s="1"/>
  <c r="J4595" i="2" s="1"/>
  <c r="J4596" i="2" s="1"/>
  <c r="J4597" i="2" s="1"/>
  <c r="J4598" i="2" s="1"/>
  <c r="J4599" i="2" s="1"/>
  <c r="J4600" i="2" s="1"/>
  <c r="J4601" i="2" s="1"/>
  <c r="J4602" i="2" s="1"/>
  <c r="J4603" i="2" s="1"/>
  <c r="J4604" i="2" s="1"/>
  <c r="J4605" i="2" s="1"/>
  <c r="J4606" i="2" s="1"/>
  <c r="J4607" i="2" s="1"/>
  <c r="J4608" i="2" s="1"/>
  <c r="J4609" i="2" s="1"/>
  <c r="J4610" i="2" s="1"/>
  <c r="J4611" i="2" s="1"/>
  <c r="J4612" i="2" s="1"/>
  <c r="J4613" i="2" s="1"/>
  <c r="J4614" i="2" s="1"/>
  <c r="J4615" i="2" s="1"/>
  <c r="J4616" i="2" s="1"/>
  <c r="J4617" i="2" s="1"/>
  <c r="J4618" i="2" s="1"/>
  <c r="J4619" i="2" s="1"/>
  <c r="J4620" i="2" s="1"/>
  <c r="J4621" i="2" s="1"/>
  <c r="J4622" i="2" s="1"/>
  <c r="J4623" i="2" s="1"/>
  <c r="J4624" i="2" s="1"/>
  <c r="J4625" i="2" s="1"/>
  <c r="J4626" i="2" s="1"/>
  <c r="J4627" i="2" s="1"/>
  <c r="J4628" i="2" s="1"/>
  <c r="J4629" i="2" s="1"/>
  <c r="J4630" i="2" s="1"/>
  <c r="J4631" i="2" s="1"/>
  <c r="J4632" i="2" s="1"/>
  <c r="J4633" i="2" s="1"/>
  <c r="J4634" i="2" s="1"/>
  <c r="J4635" i="2" s="1"/>
  <c r="J4636" i="2" s="1"/>
  <c r="J4637" i="2" s="1"/>
  <c r="J4638" i="2" s="1"/>
  <c r="J4639" i="2" s="1"/>
  <c r="J4640" i="2" s="1"/>
  <c r="J4641" i="2" s="1"/>
  <c r="J4642" i="2" s="1"/>
  <c r="J4643" i="2" s="1"/>
  <c r="J4644" i="2" s="1"/>
  <c r="J4645" i="2" s="1"/>
  <c r="J4646" i="2" s="1"/>
  <c r="J4647" i="2" s="1"/>
  <c r="J4648" i="2" s="1"/>
  <c r="J4649" i="2" s="1"/>
  <c r="J4650" i="2" s="1"/>
  <c r="J4651" i="2" s="1"/>
  <c r="J4652" i="2" s="1"/>
  <c r="J4653" i="2" s="1"/>
  <c r="J4654" i="2" s="1"/>
  <c r="J4655" i="2" s="1"/>
  <c r="J4656" i="2" s="1"/>
  <c r="J4657" i="2" s="1"/>
  <c r="J4658" i="2" s="1"/>
  <c r="J4659" i="2" s="1"/>
  <c r="J4660" i="2" s="1"/>
  <c r="J4661" i="2" s="1"/>
  <c r="J4662" i="2" s="1"/>
  <c r="J4663" i="2" s="1"/>
  <c r="J4664" i="2" s="1"/>
  <c r="J4665" i="2" s="1"/>
  <c r="J4666" i="2" s="1"/>
  <c r="J4667" i="2" s="1"/>
  <c r="J4668" i="2" s="1"/>
  <c r="J4669" i="2" s="1"/>
  <c r="J4670" i="2" s="1"/>
  <c r="J4671" i="2" s="1"/>
  <c r="J4672" i="2" s="1"/>
  <c r="J4673" i="2" s="1"/>
  <c r="J4674" i="2" s="1"/>
  <c r="J4675" i="2" s="1"/>
  <c r="J4676" i="2" s="1"/>
  <c r="J4677" i="2" s="1"/>
  <c r="J4678" i="2" s="1"/>
  <c r="J4679" i="2" s="1"/>
  <c r="J4680" i="2" s="1"/>
  <c r="J4681" i="2" s="1"/>
  <c r="J4682" i="2" s="1"/>
  <c r="J4683" i="2" s="1"/>
  <c r="J4684" i="2" s="1"/>
  <c r="J4685" i="2" s="1"/>
  <c r="J4686" i="2" s="1"/>
  <c r="J4687" i="2" s="1"/>
  <c r="J4688" i="2" s="1"/>
  <c r="J4689" i="2" s="1"/>
  <c r="J4690" i="2" s="1"/>
  <c r="J4691" i="2" s="1"/>
  <c r="J4692" i="2" s="1"/>
  <c r="J4693" i="2" s="1"/>
  <c r="J4694" i="2" s="1"/>
  <c r="J4695" i="2" s="1"/>
  <c r="J4696" i="2" s="1"/>
  <c r="J4697" i="2" s="1"/>
  <c r="J4698" i="2" s="1"/>
  <c r="J4699" i="2" s="1"/>
  <c r="J4700" i="2" s="1"/>
  <c r="J4701" i="2" s="1"/>
  <c r="J4702" i="2" s="1"/>
  <c r="J4703" i="2" s="1"/>
  <c r="J4704" i="2" s="1"/>
  <c r="J4705" i="2" s="1"/>
  <c r="J4706" i="2" s="1"/>
  <c r="J4707" i="2" s="1"/>
  <c r="J4708" i="2" s="1"/>
  <c r="J4709" i="2" s="1"/>
  <c r="J4710" i="2" s="1"/>
  <c r="J4711" i="2" s="1"/>
  <c r="J4712" i="2" s="1"/>
  <c r="J4713" i="2" s="1"/>
  <c r="J4714" i="2" s="1"/>
  <c r="J4715" i="2" s="1"/>
  <c r="J4716" i="2" s="1"/>
  <c r="J4717" i="2" s="1"/>
  <c r="J4718" i="2" s="1"/>
  <c r="J4719" i="2" s="1"/>
  <c r="J4720" i="2" s="1"/>
  <c r="J4721" i="2" s="1"/>
  <c r="J4722" i="2" s="1"/>
  <c r="J4723" i="2" s="1"/>
  <c r="J4724" i="2" s="1"/>
  <c r="J4725" i="2" s="1"/>
  <c r="J4726" i="2" s="1"/>
  <c r="J4727" i="2" s="1"/>
  <c r="J4728" i="2" s="1"/>
  <c r="J4729" i="2" s="1"/>
  <c r="J4730" i="2" s="1"/>
  <c r="J4731" i="2" s="1"/>
  <c r="J4732" i="2" s="1"/>
  <c r="J4733" i="2" s="1"/>
  <c r="J4734" i="2" s="1"/>
  <c r="J4735" i="2" s="1"/>
  <c r="J4736" i="2" s="1"/>
  <c r="J4737" i="2" s="1"/>
  <c r="J4738" i="2" s="1"/>
  <c r="J4739" i="2" s="1"/>
  <c r="J4740" i="2" s="1"/>
  <c r="J4741" i="2" s="1"/>
  <c r="J4742" i="2" s="1"/>
  <c r="J4743" i="2" s="1"/>
  <c r="J4744" i="2" s="1"/>
  <c r="J4745" i="2" s="1"/>
  <c r="J4746" i="2" s="1"/>
  <c r="J4747" i="2" s="1"/>
  <c r="J4748" i="2" s="1"/>
  <c r="J4749" i="2" s="1"/>
  <c r="J4750" i="2" s="1"/>
  <c r="J4751" i="2" s="1"/>
  <c r="J4752" i="2" s="1"/>
  <c r="J4753" i="2" s="1"/>
  <c r="J4754" i="2" s="1"/>
  <c r="J4755" i="2" s="1"/>
  <c r="J4756" i="2" s="1"/>
  <c r="J4757" i="2" s="1"/>
  <c r="J4758" i="2" s="1"/>
  <c r="J4759" i="2" s="1"/>
  <c r="J4760" i="2" s="1"/>
  <c r="J4761" i="2" s="1"/>
  <c r="J4762" i="2" s="1"/>
  <c r="J4763" i="2" s="1"/>
  <c r="J4764" i="2" s="1"/>
  <c r="J4765" i="2" s="1"/>
  <c r="J4766" i="2" s="1"/>
  <c r="J4767" i="2" s="1"/>
  <c r="J4768" i="2" s="1"/>
  <c r="J4769" i="2" s="1"/>
  <c r="J4770" i="2" s="1"/>
  <c r="J4771" i="2" s="1"/>
  <c r="J4772" i="2" s="1"/>
  <c r="J4773" i="2" s="1"/>
  <c r="J4774" i="2" s="1"/>
  <c r="J4775" i="2" s="1"/>
  <c r="J4776" i="2" s="1"/>
  <c r="J4777" i="2" s="1"/>
  <c r="J4778" i="2" s="1"/>
  <c r="J4779" i="2" s="1"/>
  <c r="J4780" i="2" s="1"/>
  <c r="J4781" i="2" s="1"/>
  <c r="J4782" i="2" s="1"/>
  <c r="J4783" i="2" s="1"/>
  <c r="J4784" i="2" s="1"/>
  <c r="J4785" i="2" s="1"/>
  <c r="J4786" i="2" s="1"/>
  <c r="J4787" i="2" s="1"/>
  <c r="J4788" i="2" s="1"/>
  <c r="J4789" i="2" s="1"/>
  <c r="J4790" i="2" s="1"/>
  <c r="J4791" i="2" s="1"/>
  <c r="J4792" i="2" s="1"/>
  <c r="J4793" i="2" s="1"/>
  <c r="J4794" i="2" s="1"/>
  <c r="J4795" i="2" s="1"/>
  <c r="J4796" i="2" s="1"/>
  <c r="J4797" i="2" s="1"/>
  <c r="J4798" i="2" s="1"/>
  <c r="J4799" i="2" s="1"/>
  <c r="J4800" i="2" s="1"/>
  <c r="J4801" i="2" s="1"/>
  <c r="J4802" i="2" s="1"/>
  <c r="J4803" i="2" s="1"/>
  <c r="J4804" i="2" s="1"/>
  <c r="J4805" i="2" s="1"/>
  <c r="J4806" i="2" s="1"/>
  <c r="J4807" i="2" s="1"/>
  <c r="J4808" i="2" s="1"/>
  <c r="J4809" i="2" s="1"/>
  <c r="J4810" i="2" s="1"/>
  <c r="J4811" i="2" s="1"/>
  <c r="J4812" i="2" s="1"/>
  <c r="J4813" i="2" s="1"/>
  <c r="J4814" i="2" s="1"/>
  <c r="J4815" i="2" s="1"/>
  <c r="J4816" i="2" s="1"/>
  <c r="J4817" i="2" s="1"/>
  <c r="J4818" i="2" s="1"/>
  <c r="J4819" i="2" s="1"/>
  <c r="J4820" i="2" s="1"/>
  <c r="J4821" i="2" s="1"/>
  <c r="J4822" i="2" s="1"/>
  <c r="J4823" i="2" s="1"/>
  <c r="J4824" i="2" s="1"/>
  <c r="J4825" i="2" s="1"/>
  <c r="J4826" i="2" s="1"/>
  <c r="J4827" i="2" s="1"/>
  <c r="J4828" i="2" s="1"/>
  <c r="J4829" i="2" s="1"/>
  <c r="J4830" i="2" s="1"/>
  <c r="J4831" i="2" s="1"/>
  <c r="J4832" i="2" s="1"/>
  <c r="J4833" i="2" s="1"/>
  <c r="J4834" i="2" s="1"/>
  <c r="J4835" i="2" s="1"/>
  <c r="J4836" i="2" s="1"/>
  <c r="J4837" i="2" s="1"/>
  <c r="J4838" i="2" s="1"/>
  <c r="J4839" i="2" s="1"/>
  <c r="J4840" i="2" s="1"/>
  <c r="J4841" i="2" s="1"/>
  <c r="J4842" i="2" s="1"/>
  <c r="J4843" i="2" s="1"/>
  <c r="J4844" i="2" s="1"/>
  <c r="J4845" i="2" s="1"/>
  <c r="J4846" i="2" s="1"/>
  <c r="J4847" i="2" s="1"/>
  <c r="J4848" i="2" s="1"/>
  <c r="J4849" i="2" s="1"/>
  <c r="J4850" i="2" s="1"/>
  <c r="J4851" i="2" s="1"/>
  <c r="J4852" i="2" s="1"/>
  <c r="J4853" i="2" s="1"/>
  <c r="J4854" i="2" s="1"/>
  <c r="J4855" i="2" s="1"/>
  <c r="J4856" i="2" s="1"/>
  <c r="J4857" i="2" s="1"/>
  <c r="J4858" i="2" s="1"/>
  <c r="J4859" i="2" s="1"/>
  <c r="J4860" i="2" s="1"/>
  <c r="J4861" i="2" s="1"/>
  <c r="J4862" i="2" s="1"/>
  <c r="J4863" i="2" s="1"/>
  <c r="J4864" i="2" s="1"/>
  <c r="J4865" i="2" s="1"/>
  <c r="J4866" i="2" s="1"/>
  <c r="J4867" i="2" s="1"/>
  <c r="J4868" i="2" s="1"/>
  <c r="J4869" i="2" s="1"/>
  <c r="J4870" i="2" s="1"/>
  <c r="J4871" i="2" s="1"/>
  <c r="J4872" i="2" s="1"/>
  <c r="J4873" i="2" s="1"/>
  <c r="J4874" i="2" s="1"/>
  <c r="J4875" i="2" s="1"/>
  <c r="J4876" i="2" s="1"/>
  <c r="J4877" i="2" s="1"/>
  <c r="J4878" i="2" s="1"/>
  <c r="J4879" i="2" s="1"/>
  <c r="J4880" i="2" s="1"/>
  <c r="J4881" i="2" s="1"/>
  <c r="J4882" i="2" s="1"/>
  <c r="J4883" i="2" s="1"/>
  <c r="J4884" i="2" s="1"/>
  <c r="J4885" i="2" s="1"/>
  <c r="J4886" i="2" s="1"/>
  <c r="J4887" i="2" s="1"/>
  <c r="J4888" i="2" s="1"/>
  <c r="J4889" i="2" s="1"/>
  <c r="J4890" i="2" s="1"/>
  <c r="J4891" i="2" s="1"/>
  <c r="J4892" i="2" s="1"/>
  <c r="J4893" i="2" s="1"/>
  <c r="J4894" i="2" s="1"/>
  <c r="J4895" i="2" s="1"/>
  <c r="J4896" i="2" s="1"/>
  <c r="J4897" i="2" s="1"/>
  <c r="J4898" i="2" s="1"/>
  <c r="J4899" i="2" s="1"/>
  <c r="J4900" i="2" s="1"/>
  <c r="J4901" i="2" s="1"/>
  <c r="J4902" i="2" s="1"/>
  <c r="J4903" i="2" s="1"/>
  <c r="J4904" i="2" s="1"/>
  <c r="J4905" i="2" s="1"/>
  <c r="J4906" i="2" s="1"/>
  <c r="J4907" i="2" s="1"/>
  <c r="J4908" i="2" s="1"/>
  <c r="J4909" i="2" s="1"/>
  <c r="J4910" i="2" s="1"/>
  <c r="J4911" i="2" s="1"/>
  <c r="J4912" i="2" s="1"/>
  <c r="J4913" i="2" s="1"/>
  <c r="J4914" i="2" s="1"/>
  <c r="J4915" i="2" s="1"/>
  <c r="J4916" i="2" s="1"/>
  <c r="J4917" i="2" s="1"/>
  <c r="J4918" i="2" s="1"/>
  <c r="J4919" i="2" s="1"/>
  <c r="J4920" i="2" s="1"/>
  <c r="J4921" i="2" s="1"/>
  <c r="J4922" i="2" s="1"/>
  <c r="J4923" i="2" s="1"/>
  <c r="J4924" i="2" s="1"/>
  <c r="J4925" i="2" s="1"/>
  <c r="J4926" i="2" s="1"/>
  <c r="J4927" i="2" s="1"/>
  <c r="J4928" i="2" s="1"/>
  <c r="J4929" i="2" s="1"/>
  <c r="J4930" i="2" s="1"/>
  <c r="J4931" i="2" s="1"/>
  <c r="J4932" i="2" s="1"/>
  <c r="J4933" i="2" s="1"/>
  <c r="J4934" i="2" s="1"/>
  <c r="J4935" i="2" s="1"/>
  <c r="J4936" i="2" s="1"/>
  <c r="J4937" i="2" s="1"/>
  <c r="J4938" i="2" s="1"/>
  <c r="J4939" i="2" s="1"/>
  <c r="J4940" i="2" s="1"/>
  <c r="J4941" i="2" s="1"/>
  <c r="J4942" i="2" s="1"/>
  <c r="J4943" i="2" s="1"/>
  <c r="J4944" i="2" s="1"/>
  <c r="J4945" i="2" s="1"/>
  <c r="J4946" i="2" s="1"/>
  <c r="J4947" i="2" s="1"/>
  <c r="J4948" i="2" s="1"/>
  <c r="J4949" i="2" s="1"/>
  <c r="J4950" i="2" s="1"/>
  <c r="J4951" i="2" s="1"/>
  <c r="J4952" i="2" s="1"/>
  <c r="J4953" i="2" s="1"/>
  <c r="J4954" i="2" s="1"/>
  <c r="J4955" i="2" s="1"/>
  <c r="J4956" i="2" s="1"/>
  <c r="J4957" i="2" s="1"/>
  <c r="J4958" i="2" s="1"/>
  <c r="J4959" i="2" s="1"/>
  <c r="J4960" i="2" s="1"/>
  <c r="J4961" i="2" s="1"/>
  <c r="J4962" i="2" s="1"/>
  <c r="J4963" i="2" s="1"/>
  <c r="J4964" i="2" s="1"/>
  <c r="J4965" i="2" s="1"/>
  <c r="J4966" i="2" s="1"/>
  <c r="J4967" i="2" s="1"/>
  <c r="J4968" i="2" s="1"/>
  <c r="J4969" i="2" s="1"/>
  <c r="J4970" i="2" s="1"/>
  <c r="J4971" i="2" s="1"/>
  <c r="J4972" i="2" s="1"/>
  <c r="J4973" i="2" s="1"/>
  <c r="J4974" i="2" s="1"/>
  <c r="J4975" i="2" s="1"/>
  <c r="J4976" i="2" s="1"/>
  <c r="J4977" i="2" s="1"/>
  <c r="J4978" i="2" s="1"/>
  <c r="J4979" i="2" s="1"/>
  <c r="J4980" i="2" s="1"/>
  <c r="J4981" i="2" s="1"/>
  <c r="J4982" i="2" s="1"/>
  <c r="J4983" i="2" s="1"/>
  <c r="J4984" i="2" s="1"/>
  <c r="J4985" i="2" s="1"/>
  <c r="J4986" i="2" s="1"/>
  <c r="J4987" i="2" s="1"/>
  <c r="J4988" i="2" s="1"/>
  <c r="J4989" i="2" s="1"/>
  <c r="J4990" i="2" s="1"/>
  <c r="J4991" i="2" s="1"/>
  <c r="J4992" i="2" s="1"/>
  <c r="J4993" i="2" s="1"/>
  <c r="J4994" i="2" s="1"/>
  <c r="J4995" i="2" s="1"/>
  <c r="J4996" i="2" s="1"/>
  <c r="J4997" i="2" s="1"/>
  <c r="J4998" i="2" s="1"/>
  <c r="J4999" i="2" s="1"/>
  <c r="J5000" i="2" s="1"/>
  <c r="J5001" i="2" s="1"/>
  <c r="J5002" i="2" s="1"/>
  <c r="J5003" i="2" s="1"/>
  <c r="J5004" i="2" s="1"/>
  <c r="J5005" i="2" s="1"/>
  <c r="J5006" i="2" s="1"/>
  <c r="J5007" i="2" s="1"/>
  <c r="J5008" i="2" s="1"/>
  <c r="J5009" i="2" s="1"/>
  <c r="J5010" i="2" s="1"/>
  <c r="J5011" i="2" s="1"/>
  <c r="J5012" i="2" s="1"/>
  <c r="J5013" i="2" s="1"/>
  <c r="J5014" i="2" s="1"/>
  <c r="J5015" i="2" s="1"/>
  <c r="J5016" i="2" s="1"/>
  <c r="J5017" i="2" s="1"/>
  <c r="J5018" i="2" s="1"/>
  <c r="J5019" i="2" s="1"/>
  <c r="J5020" i="2" s="1"/>
  <c r="J5021" i="2" s="1"/>
  <c r="J5022" i="2" s="1"/>
  <c r="J5023" i="2" s="1"/>
  <c r="J5024" i="2" s="1"/>
  <c r="J5025" i="2" s="1"/>
  <c r="J5026" i="2" s="1"/>
  <c r="J5027" i="2" s="1"/>
  <c r="J5028" i="2" s="1"/>
  <c r="J5029" i="2" s="1"/>
  <c r="J5030" i="2" s="1"/>
  <c r="J5031" i="2" s="1"/>
  <c r="J5032" i="2" s="1"/>
  <c r="J5033" i="2" s="1"/>
  <c r="J5034" i="2" s="1"/>
  <c r="J5035" i="2" s="1"/>
  <c r="J5036" i="2" s="1"/>
  <c r="J5037" i="2" s="1"/>
  <c r="J5038" i="2" s="1"/>
  <c r="J5039" i="2" s="1"/>
  <c r="J5040" i="2" s="1"/>
  <c r="J5041" i="2" s="1"/>
  <c r="J5042" i="2" s="1"/>
  <c r="J5043" i="2" s="1"/>
  <c r="J5044" i="2" s="1"/>
  <c r="J5045" i="2" s="1"/>
  <c r="J5046" i="2" s="1"/>
  <c r="J5047" i="2" s="1"/>
  <c r="J5048" i="2" s="1"/>
  <c r="J5049" i="2" s="1"/>
  <c r="J5050" i="2" s="1"/>
  <c r="J5051" i="2" s="1"/>
  <c r="J5052" i="2" s="1"/>
  <c r="J5053" i="2" s="1"/>
  <c r="J5054" i="2" s="1"/>
  <c r="J5055" i="2" s="1"/>
  <c r="J5056" i="2" s="1"/>
  <c r="J5057" i="2" s="1"/>
  <c r="J5058" i="2" s="1"/>
  <c r="J5059" i="2" s="1"/>
  <c r="J5060" i="2" s="1"/>
  <c r="J5061" i="2" s="1"/>
  <c r="J5062" i="2" s="1"/>
  <c r="J5063" i="2" s="1"/>
  <c r="J5064" i="2" s="1"/>
  <c r="J5065" i="2" s="1"/>
  <c r="J5066" i="2" s="1"/>
  <c r="J5067" i="2" s="1"/>
  <c r="J5068" i="2" s="1"/>
  <c r="J5069" i="2" s="1"/>
  <c r="J5070" i="2" s="1"/>
  <c r="J5071" i="2" s="1"/>
  <c r="J5072" i="2" s="1"/>
  <c r="J5073" i="2" s="1"/>
  <c r="J5074" i="2" s="1"/>
  <c r="J5075" i="2" s="1"/>
  <c r="J5076" i="2" s="1"/>
  <c r="J5077" i="2" s="1"/>
  <c r="J5078" i="2" s="1"/>
  <c r="J5079" i="2" s="1"/>
  <c r="J5080" i="2" s="1"/>
  <c r="J5081" i="2" s="1"/>
  <c r="J5082" i="2" s="1"/>
  <c r="J5083" i="2" s="1"/>
  <c r="J5084" i="2" s="1"/>
  <c r="J5085" i="2" s="1"/>
  <c r="J5086" i="2" s="1"/>
  <c r="J5087" i="2" s="1"/>
  <c r="J5088" i="2" s="1"/>
  <c r="J5089" i="2" s="1"/>
  <c r="J5090" i="2" s="1"/>
  <c r="J5091" i="2" s="1"/>
  <c r="J5092" i="2" s="1"/>
  <c r="J5093" i="2" s="1"/>
  <c r="J5094" i="2" s="1"/>
  <c r="J5095" i="2" s="1"/>
  <c r="J5096" i="2" s="1"/>
  <c r="J5097" i="2" s="1"/>
  <c r="J5098" i="2" s="1"/>
  <c r="J5099" i="2" s="1"/>
  <c r="J5100" i="2" s="1"/>
  <c r="J5101" i="2" s="1"/>
  <c r="J5102" i="2" s="1"/>
  <c r="J5103" i="2" s="1"/>
  <c r="J5104" i="2" s="1"/>
  <c r="J5105" i="2" s="1"/>
  <c r="J5106" i="2" s="1"/>
  <c r="J5107" i="2" s="1"/>
  <c r="J5108" i="2" s="1"/>
  <c r="J5109" i="2" s="1"/>
  <c r="J5110" i="2" s="1"/>
  <c r="J5111" i="2" s="1"/>
  <c r="J5112" i="2" s="1"/>
  <c r="J5113" i="2" s="1"/>
  <c r="J5114" i="2" s="1"/>
  <c r="J5115" i="2" s="1"/>
  <c r="J5116" i="2" s="1"/>
  <c r="J5117" i="2" s="1"/>
  <c r="J5118" i="2" s="1"/>
  <c r="J5119" i="2" s="1"/>
  <c r="J5120" i="2" s="1"/>
  <c r="J5121" i="2" s="1"/>
  <c r="J5122" i="2" s="1"/>
  <c r="J5123" i="2" s="1"/>
  <c r="J5124" i="2" s="1"/>
  <c r="J5125" i="2" s="1"/>
  <c r="J5126" i="2" s="1"/>
  <c r="J5127" i="2" s="1"/>
  <c r="J5128" i="2" s="1"/>
  <c r="J5129" i="2" s="1"/>
  <c r="J5130" i="2" s="1"/>
  <c r="J5131" i="2" s="1"/>
  <c r="J5132" i="2" s="1"/>
  <c r="J5133" i="2" s="1"/>
  <c r="J5134" i="2" s="1"/>
  <c r="J5135" i="2" s="1"/>
  <c r="J5136" i="2" s="1"/>
  <c r="J5137" i="2" s="1"/>
  <c r="J5138" i="2" s="1"/>
  <c r="J5139" i="2" s="1"/>
  <c r="J5140" i="2" s="1"/>
  <c r="J5141" i="2" s="1"/>
  <c r="J5142" i="2" s="1"/>
  <c r="J5143" i="2" s="1"/>
  <c r="J5144" i="2" s="1"/>
  <c r="J5145" i="2" s="1"/>
  <c r="J5146" i="2" s="1"/>
  <c r="J5147" i="2" s="1"/>
  <c r="J5148" i="2" s="1"/>
  <c r="J5149" i="2" s="1"/>
  <c r="J5150" i="2" s="1"/>
  <c r="J5151" i="2" s="1"/>
  <c r="J5152" i="2" s="1"/>
  <c r="J5153" i="2" s="1"/>
  <c r="J5154" i="2" s="1"/>
  <c r="J5155" i="2" s="1"/>
  <c r="J5156" i="2" s="1"/>
  <c r="J5157" i="2" s="1"/>
  <c r="J5158" i="2" s="1"/>
  <c r="J5159" i="2" s="1"/>
  <c r="J5160" i="2" s="1"/>
  <c r="J5161" i="2" s="1"/>
  <c r="J5162" i="2" s="1"/>
  <c r="J5163" i="2" s="1"/>
  <c r="J5164" i="2" s="1"/>
  <c r="J5165" i="2" s="1"/>
  <c r="J5166" i="2" s="1"/>
  <c r="J5167" i="2" s="1"/>
  <c r="J5168" i="2" s="1"/>
  <c r="J5169" i="2" s="1"/>
  <c r="J5170" i="2" s="1"/>
  <c r="J5171" i="2" s="1"/>
  <c r="J5172" i="2" s="1"/>
  <c r="J5173" i="2" s="1"/>
  <c r="J5174" i="2" s="1"/>
  <c r="J5175" i="2" s="1"/>
  <c r="J5176" i="2" s="1"/>
  <c r="J5177" i="2" s="1"/>
  <c r="J5178" i="2" s="1"/>
  <c r="J5179" i="2" s="1"/>
  <c r="J5180" i="2" s="1"/>
  <c r="J5181" i="2" s="1"/>
  <c r="J5182" i="2" s="1"/>
  <c r="J5183" i="2" s="1"/>
  <c r="J5184" i="2" s="1"/>
  <c r="J5185" i="2" s="1"/>
  <c r="J5186" i="2" s="1"/>
  <c r="J5187" i="2" s="1"/>
  <c r="J5188" i="2" s="1"/>
  <c r="J5189" i="2" s="1"/>
  <c r="J5190" i="2" s="1"/>
  <c r="J5191" i="2" s="1"/>
  <c r="J5192" i="2" s="1"/>
  <c r="J5193" i="2" s="1"/>
  <c r="J5194" i="2" s="1"/>
  <c r="J5195" i="2" s="1"/>
  <c r="J5196" i="2" s="1"/>
  <c r="J5197" i="2" s="1"/>
  <c r="J5198" i="2" s="1"/>
  <c r="J5199" i="2" s="1"/>
  <c r="J5200" i="2" s="1"/>
  <c r="J5201" i="2" s="1"/>
  <c r="J5202" i="2" s="1"/>
  <c r="J5203" i="2" s="1"/>
  <c r="J5204" i="2" s="1"/>
  <c r="J5205" i="2" s="1"/>
  <c r="J5206" i="2" s="1"/>
  <c r="J5207" i="2" s="1"/>
  <c r="J5208" i="2" s="1"/>
  <c r="J5209" i="2" s="1"/>
  <c r="J5210" i="2" s="1"/>
  <c r="J5211" i="2" s="1"/>
  <c r="J5212" i="2" s="1"/>
  <c r="J5213" i="2" s="1"/>
  <c r="J5214" i="2" s="1"/>
  <c r="J5215" i="2" s="1"/>
  <c r="J5216" i="2" s="1"/>
  <c r="J5217" i="2" s="1"/>
  <c r="J5218" i="2" s="1"/>
  <c r="J5219" i="2" s="1"/>
  <c r="J5220" i="2" s="1"/>
  <c r="J5221" i="2" s="1"/>
  <c r="J5222" i="2" s="1"/>
  <c r="J5223" i="2" s="1"/>
  <c r="J5224" i="2" s="1"/>
  <c r="J5225" i="2" s="1"/>
  <c r="J5226" i="2" s="1"/>
  <c r="J5227" i="2" s="1"/>
  <c r="J5228" i="2" s="1"/>
  <c r="J5229" i="2" s="1"/>
  <c r="J5230" i="2" s="1"/>
  <c r="J5231" i="2" s="1"/>
  <c r="J5232" i="2" s="1"/>
  <c r="J5233" i="2" s="1"/>
  <c r="J5234" i="2" s="1"/>
  <c r="J5235" i="2" s="1"/>
  <c r="J5236" i="2" s="1"/>
  <c r="J5304" i="2" s="1"/>
  <c r="I2" i="2"/>
  <c r="I5" i="3" l="1"/>
  <c r="K4" i="3"/>
  <c r="K2" i="2"/>
  <c r="I3" i="2"/>
  <c r="F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I6" i="3" l="1"/>
  <c r="K5" i="3"/>
  <c r="K3" i="2"/>
  <c r="I4" i="2"/>
  <c r="N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N1002" i="2"/>
  <c r="N1003" i="2"/>
  <c r="N1004" i="2"/>
  <c r="N1005" i="2"/>
  <c r="N1006" i="2"/>
  <c r="N1007" i="2"/>
  <c r="N1008" i="2"/>
  <c r="N1009" i="2"/>
  <c r="N1010" i="2"/>
  <c r="N1011" i="2"/>
  <c r="N1012" i="2"/>
  <c r="N1013" i="2"/>
  <c r="N1014" i="2"/>
  <c r="N1015" i="2"/>
  <c r="N1016" i="2"/>
  <c r="N1017" i="2"/>
  <c r="N1018" i="2"/>
  <c r="N1019" i="2"/>
  <c r="N1020" i="2"/>
  <c r="N1021" i="2"/>
  <c r="N1022" i="2"/>
  <c r="N1023" i="2"/>
  <c r="N1024" i="2"/>
  <c r="N1025" i="2"/>
  <c r="N1026" i="2"/>
  <c r="N1027" i="2"/>
  <c r="N1028" i="2"/>
  <c r="N1029" i="2"/>
  <c r="N1030" i="2"/>
  <c r="N1031" i="2"/>
  <c r="N1032" i="2"/>
  <c r="N1033" i="2"/>
  <c r="N1034" i="2"/>
  <c r="N1035" i="2"/>
  <c r="N1036" i="2"/>
  <c r="N1037" i="2"/>
  <c r="N1038" i="2"/>
  <c r="N1039" i="2"/>
  <c r="N1040" i="2"/>
  <c r="N1041" i="2"/>
  <c r="N1042" i="2"/>
  <c r="N1043" i="2"/>
  <c r="N1044" i="2"/>
  <c r="N1045" i="2"/>
  <c r="N1046" i="2"/>
  <c r="N1047" i="2"/>
  <c r="N1048" i="2"/>
  <c r="N1049" i="2"/>
  <c r="N1050" i="2"/>
  <c r="N1051" i="2"/>
  <c r="N1052" i="2"/>
  <c r="N1053" i="2"/>
  <c r="N1054" i="2"/>
  <c r="N1055" i="2"/>
  <c r="N1056" i="2"/>
  <c r="N1057" i="2"/>
  <c r="N1058" i="2"/>
  <c r="N1059" i="2"/>
  <c r="N1060" i="2"/>
  <c r="N1061" i="2"/>
  <c r="N1062" i="2"/>
  <c r="N1063" i="2"/>
  <c r="N1064" i="2"/>
  <c r="N1065" i="2"/>
  <c r="N1066" i="2"/>
  <c r="N1067" i="2"/>
  <c r="N1068" i="2"/>
  <c r="N1069" i="2"/>
  <c r="N1070" i="2"/>
  <c r="N1071" i="2"/>
  <c r="N1072" i="2"/>
  <c r="N1073" i="2"/>
  <c r="N1074" i="2"/>
  <c r="N1075" i="2"/>
  <c r="N1076" i="2"/>
  <c r="N1077" i="2"/>
  <c r="N1078" i="2"/>
  <c r="N1079" i="2"/>
  <c r="N1080" i="2"/>
  <c r="N1081" i="2"/>
  <c r="N1082" i="2"/>
  <c r="N1083" i="2"/>
  <c r="N1084" i="2"/>
  <c r="N1085" i="2"/>
  <c r="N1086" i="2"/>
  <c r="N1087" i="2"/>
  <c r="N1088" i="2"/>
  <c r="N1089" i="2"/>
  <c r="N1090" i="2"/>
  <c r="N1091" i="2"/>
  <c r="N1092" i="2"/>
  <c r="N1093" i="2"/>
  <c r="N1094" i="2"/>
  <c r="N1095" i="2"/>
  <c r="N1096" i="2"/>
  <c r="N1097" i="2"/>
  <c r="N1098" i="2"/>
  <c r="N1099" i="2"/>
  <c r="N1100" i="2"/>
  <c r="N1101" i="2"/>
  <c r="N1102" i="2"/>
  <c r="N1103" i="2"/>
  <c r="N1104" i="2"/>
  <c r="N1105" i="2"/>
  <c r="N1106" i="2"/>
  <c r="N1107" i="2"/>
  <c r="N1108" i="2"/>
  <c r="N1109" i="2"/>
  <c r="N1110" i="2"/>
  <c r="N1111" i="2"/>
  <c r="N1112" i="2"/>
  <c r="N1113" i="2"/>
  <c r="N1114" i="2"/>
  <c r="N1115" i="2"/>
  <c r="N1116" i="2"/>
  <c r="N1117" i="2"/>
  <c r="N1118" i="2"/>
  <c r="N1119" i="2"/>
  <c r="N1120" i="2"/>
  <c r="N1121" i="2"/>
  <c r="N1122" i="2"/>
  <c r="N1123" i="2"/>
  <c r="N1124" i="2"/>
  <c r="N1125" i="2"/>
  <c r="N1126" i="2"/>
  <c r="N1127" i="2"/>
  <c r="N1128" i="2"/>
  <c r="N1129" i="2"/>
  <c r="N1130" i="2"/>
  <c r="N1131" i="2"/>
  <c r="N1132" i="2"/>
  <c r="N1133" i="2"/>
  <c r="N1134" i="2"/>
  <c r="N1135" i="2"/>
  <c r="N1136" i="2"/>
  <c r="N1137" i="2"/>
  <c r="N1138" i="2"/>
  <c r="N1139" i="2"/>
  <c r="N1140" i="2"/>
  <c r="N1141" i="2"/>
  <c r="N1142" i="2"/>
  <c r="N1143" i="2"/>
  <c r="N1144" i="2"/>
  <c r="N1145" i="2"/>
  <c r="N1146" i="2"/>
  <c r="N1147" i="2"/>
  <c r="N1148" i="2"/>
  <c r="N1149" i="2"/>
  <c r="N1150" i="2"/>
  <c r="N1151" i="2"/>
  <c r="N1152" i="2"/>
  <c r="N1153" i="2"/>
  <c r="N1154" i="2"/>
  <c r="N1155" i="2"/>
  <c r="N1156" i="2"/>
  <c r="N1157" i="2"/>
  <c r="N1158" i="2"/>
  <c r="N1159" i="2"/>
  <c r="N1160" i="2"/>
  <c r="N1161" i="2"/>
  <c r="N1162" i="2"/>
  <c r="N1163" i="2"/>
  <c r="N1164" i="2"/>
  <c r="N1165" i="2"/>
  <c r="N1166" i="2"/>
  <c r="N1167" i="2"/>
  <c r="N1168" i="2"/>
  <c r="N1169" i="2"/>
  <c r="N1170" i="2"/>
  <c r="N1171" i="2"/>
  <c r="N1172" i="2"/>
  <c r="N1173" i="2"/>
  <c r="N1174" i="2"/>
  <c r="N1175" i="2"/>
  <c r="N1176" i="2"/>
  <c r="N1177" i="2"/>
  <c r="N1178" i="2"/>
  <c r="N1179" i="2"/>
  <c r="N1180" i="2"/>
  <c r="N1181" i="2"/>
  <c r="N1182" i="2"/>
  <c r="N1183" i="2"/>
  <c r="N1184" i="2"/>
  <c r="N1185" i="2"/>
  <c r="N1186" i="2"/>
  <c r="N1187" i="2"/>
  <c r="N1188" i="2"/>
  <c r="N1189" i="2"/>
  <c r="N1190" i="2"/>
  <c r="N1191" i="2"/>
  <c r="N1192" i="2"/>
  <c r="N1193" i="2"/>
  <c r="N1194" i="2"/>
  <c r="N1195" i="2"/>
  <c r="N1196" i="2"/>
  <c r="N1197" i="2"/>
  <c r="N1198" i="2"/>
  <c r="N1199" i="2"/>
  <c r="N1200" i="2"/>
  <c r="N1201" i="2"/>
  <c r="N1202" i="2"/>
  <c r="N1203" i="2"/>
  <c r="N1204" i="2"/>
  <c r="N1205" i="2"/>
  <c r="N1206" i="2"/>
  <c r="N1207" i="2"/>
  <c r="N1208" i="2"/>
  <c r="N1209" i="2"/>
  <c r="N1210" i="2"/>
  <c r="N1211" i="2"/>
  <c r="N1212" i="2"/>
  <c r="N1213" i="2"/>
  <c r="N1214" i="2"/>
  <c r="N1215" i="2"/>
  <c r="N1216" i="2"/>
  <c r="N1217" i="2"/>
  <c r="N1218" i="2"/>
  <c r="N1219" i="2"/>
  <c r="N1220" i="2"/>
  <c r="N1221" i="2"/>
  <c r="N1222" i="2"/>
  <c r="N1223" i="2"/>
  <c r="N1224" i="2"/>
  <c r="N1225" i="2"/>
  <c r="N1226" i="2"/>
  <c r="N1227" i="2"/>
  <c r="N1228" i="2"/>
  <c r="N1229" i="2"/>
  <c r="N1230" i="2"/>
  <c r="N1231" i="2"/>
  <c r="N1232" i="2"/>
  <c r="N1233" i="2"/>
  <c r="N1234" i="2"/>
  <c r="N1235" i="2"/>
  <c r="N1236" i="2"/>
  <c r="N1237" i="2"/>
  <c r="N1238" i="2"/>
  <c r="N1239" i="2"/>
  <c r="N1240" i="2"/>
  <c r="N1241" i="2"/>
  <c r="N1242" i="2"/>
  <c r="N1243" i="2"/>
  <c r="N1244" i="2"/>
  <c r="N1245" i="2"/>
  <c r="N1246" i="2"/>
  <c r="N1247" i="2"/>
  <c r="N1248" i="2"/>
  <c r="N1249" i="2"/>
  <c r="N1250" i="2"/>
  <c r="N1251" i="2"/>
  <c r="N1252" i="2"/>
  <c r="N1253" i="2"/>
  <c r="N1254" i="2"/>
  <c r="N1255" i="2"/>
  <c r="N1256" i="2"/>
  <c r="N1257" i="2"/>
  <c r="N1258" i="2"/>
  <c r="N1259" i="2"/>
  <c r="N1260" i="2"/>
  <c r="N1261" i="2"/>
  <c r="N1262" i="2"/>
  <c r="N1263" i="2"/>
  <c r="N1264" i="2"/>
  <c r="N1265" i="2"/>
  <c r="N1266" i="2"/>
  <c r="N1267" i="2"/>
  <c r="N1268" i="2"/>
  <c r="N1269" i="2"/>
  <c r="N1270" i="2"/>
  <c r="N1271" i="2"/>
  <c r="N1272" i="2"/>
  <c r="N1273" i="2"/>
  <c r="N1274" i="2"/>
  <c r="N1275" i="2"/>
  <c r="N1276" i="2"/>
  <c r="N1277" i="2"/>
  <c r="N1278" i="2"/>
  <c r="N1279" i="2"/>
  <c r="N1280" i="2"/>
  <c r="N1281" i="2"/>
  <c r="N1282" i="2"/>
  <c r="N1283" i="2"/>
  <c r="N1284" i="2"/>
  <c r="N1285" i="2"/>
  <c r="N1286" i="2"/>
  <c r="N1287" i="2"/>
  <c r="N1288" i="2"/>
  <c r="N1289" i="2"/>
  <c r="N1290" i="2"/>
  <c r="N1291" i="2"/>
  <c r="N1292" i="2"/>
  <c r="N1293" i="2"/>
  <c r="N1294" i="2"/>
  <c r="N1295" i="2"/>
  <c r="N1296" i="2"/>
  <c r="N1297" i="2"/>
  <c r="N1298" i="2"/>
  <c r="N1299" i="2"/>
  <c r="N1300" i="2"/>
  <c r="N1301" i="2"/>
  <c r="N1302" i="2"/>
  <c r="N1303" i="2"/>
  <c r="N1304" i="2"/>
  <c r="N1305" i="2"/>
  <c r="N1306" i="2"/>
  <c r="N1307" i="2"/>
  <c r="N1308" i="2"/>
  <c r="N1309" i="2"/>
  <c r="N1310" i="2"/>
  <c r="N1311" i="2"/>
  <c r="N1312" i="2"/>
  <c r="N1313" i="2"/>
  <c r="N1314" i="2"/>
  <c r="N1315" i="2"/>
  <c r="N1316" i="2"/>
  <c r="N1317" i="2"/>
  <c r="N1318" i="2"/>
  <c r="N1319" i="2"/>
  <c r="N1320" i="2"/>
  <c r="N1321" i="2"/>
  <c r="N1322" i="2"/>
  <c r="N1323" i="2"/>
  <c r="N1324" i="2"/>
  <c r="N1325" i="2"/>
  <c r="N1326" i="2"/>
  <c r="N1327" i="2"/>
  <c r="N1328" i="2"/>
  <c r="N1329" i="2"/>
  <c r="N1330" i="2"/>
  <c r="N1331" i="2"/>
  <c r="N1332" i="2"/>
  <c r="N1333" i="2"/>
  <c r="N1334" i="2"/>
  <c r="N1335" i="2"/>
  <c r="N1336" i="2"/>
  <c r="N1337" i="2"/>
  <c r="N1338" i="2"/>
  <c r="N1339" i="2"/>
  <c r="N1340" i="2"/>
  <c r="N1341" i="2"/>
  <c r="N1342" i="2"/>
  <c r="N1343" i="2"/>
  <c r="N1344" i="2"/>
  <c r="N1345" i="2"/>
  <c r="N1346" i="2"/>
  <c r="N1347" i="2"/>
  <c r="N1348" i="2"/>
  <c r="N1349" i="2"/>
  <c r="N1350" i="2"/>
  <c r="N1351" i="2"/>
  <c r="N1352" i="2"/>
  <c r="N1353" i="2"/>
  <c r="N1354" i="2"/>
  <c r="N1355" i="2"/>
  <c r="N1356" i="2"/>
  <c r="N1357" i="2"/>
  <c r="N1358" i="2"/>
  <c r="N1359" i="2"/>
  <c r="N1360" i="2"/>
  <c r="N1361" i="2"/>
  <c r="N1362" i="2"/>
  <c r="N1363" i="2"/>
  <c r="N1364" i="2"/>
  <c r="N1365" i="2"/>
  <c r="N1366" i="2"/>
  <c r="N1367" i="2"/>
  <c r="N1368" i="2"/>
  <c r="N1369" i="2"/>
  <c r="N1370" i="2"/>
  <c r="N1371" i="2"/>
  <c r="N1372" i="2"/>
  <c r="N1373" i="2"/>
  <c r="N1374" i="2"/>
  <c r="N1375" i="2"/>
  <c r="N1376" i="2"/>
  <c r="N1377" i="2"/>
  <c r="N1378" i="2"/>
  <c r="N1379" i="2"/>
  <c r="N1380" i="2"/>
  <c r="N1381" i="2"/>
  <c r="N1382" i="2"/>
  <c r="N1383" i="2"/>
  <c r="N1384" i="2"/>
  <c r="N1385" i="2"/>
  <c r="N1386" i="2"/>
  <c r="N1387" i="2"/>
  <c r="N1388" i="2"/>
  <c r="N1389" i="2"/>
  <c r="N1390" i="2"/>
  <c r="N1391" i="2"/>
  <c r="N1392" i="2"/>
  <c r="N1393" i="2"/>
  <c r="N1394" i="2"/>
  <c r="N1395" i="2"/>
  <c r="N1396" i="2"/>
  <c r="N1397" i="2"/>
  <c r="N1398" i="2"/>
  <c r="N1399" i="2"/>
  <c r="N1400" i="2"/>
  <c r="N1401" i="2"/>
  <c r="N1402" i="2"/>
  <c r="N1403" i="2"/>
  <c r="N1404" i="2"/>
  <c r="N1405" i="2"/>
  <c r="N1406" i="2"/>
  <c r="N1407" i="2"/>
  <c r="N1408" i="2"/>
  <c r="N1409" i="2"/>
  <c r="N1410" i="2"/>
  <c r="N1411" i="2"/>
  <c r="N1412" i="2"/>
  <c r="N1413" i="2"/>
  <c r="N1414" i="2"/>
  <c r="N1415" i="2"/>
  <c r="N1416" i="2"/>
  <c r="N1417" i="2"/>
  <c r="N1418" i="2"/>
  <c r="N1419" i="2"/>
  <c r="N1420" i="2"/>
  <c r="N1421" i="2"/>
  <c r="N1422" i="2"/>
  <c r="N1423" i="2"/>
  <c r="N1424" i="2"/>
  <c r="N1425" i="2"/>
  <c r="N1426" i="2"/>
  <c r="N1427" i="2"/>
  <c r="N1428" i="2"/>
  <c r="N1429" i="2"/>
  <c r="N1430" i="2"/>
  <c r="N1431" i="2"/>
  <c r="N1432" i="2"/>
  <c r="N1433" i="2"/>
  <c r="N1434" i="2"/>
  <c r="N1435" i="2"/>
  <c r="N1436" i="2"/>
  <c r="N1437" i="2"/>
  <c r="N1438" i="2"/>
  <c r="N1439" i="2"/>
  <c r="N1440" i="2"/>
  <c r="N1441" i="2"/>
  <c r="N1442" i="2"/>
  <c r="N1443" i="2"/>
  <c r="N1444" i="2"/>
  <c r="N1445" i="2"/>
  <c r="N1446" i="2"/>
  <c r="N1447" i="2"/>
  <c r="N1448" i="2"/>
  <c r="N1449" i="2"/>
  <c r="N1450" i="2"/>
  <c r="N1451" i="2"/>
  <c r="N1452" i="2"/>
  <c r="N1453" i="2"/>
  <c r="N1454" i="2"/>
  <c r="N1455" i="2"/>
  <c r="N1456" i="2"/>
  <c r="N1457" i="2"/>
  <c r="N1458" i="2"/>
  <c r="N1459" i="2"/>
  <c r="N1460" i="2"/>
  <c r="N1461" i="2"/>
  <c r="N1462" i="2"/>
  <c r="N1463" i="2"/>
  <c r="N1464" i="2"/>
  <c r="N1465" i="2"/>
  <c r="N1466" i="2"/>
  <c r="N1467" i="2"/>
  <c r="N1468" i="2"/>
  <c r="N1469" i="2"/>
  <c r="N1470" i="2"/>
  <c r="N1471" i="2"/>
  <c r="N1472" i="2"/>
  <c r="N1473" i="2"/>
  <c r="N1474" i="2"/>
  <c r="N1475" i="2"/>
  <c r="N1476" i="2"/>
  <c r="N1477" i="2"/>
  <c r="N1478" i="2"/>
  <c r="N1479" i="2"/>
  <c r="N1480" i="2"/>
  <c r="N1481" i="2"/>
  <c r="N1482" i="2"/>
  <c r="N1483" i="2"/>
  <c r="N1484" i="2"/>
  <c r="N1485" i="2"/>
  <c r="N1486" i="2"/>
  <c r="N1487" i="2"/>
  <c r="N1488" i="2"/>
  <c r="N1489" i="2"/>
  <c r="N1490" i="2"/>
  <c r="N1491" i="2"/>
  <c r="N1492" i="2"/>
  <c r="N1493" i="2"/>
  <c r="N1494" i="2"/>
  <c r="N1495" i="2"/>
  <c r="N1496" i="2"/>
  <c r="N1497" i="2"/>
  <c r="N1498" i="2"/>
  <c r="N1499" i="2"/>
  <c r="N1500" i="2"/>
  <c r="N1501" i="2"/>
  <c r="N1502" i="2"/>
  <c r="N1503" i="2"/>
  <c r="N1504" i="2"/>
  <c r="N1505" i="2"/>
  <c r="N1506" i="2"/>
  <c r="N1507" i="2"/>
  <c r="N1508" i="2"/>
  <c r="N1509" i="2"/>
  <c r="N1510" i="2"/>
  <c r="N1511" i="2"/>
  <c r="N1512" i="2"/>
  <c r="N1513" i="2"/>
  <c r="N1514" i="2"/>
  <c r="N1515" i="2"/>
  <c r="N1516" i="2"/>
  <c r="N1517" i="2"/>
  <c r="N1518" i="2"/>
  <c r="N1519" i="2"/>
  <c r="N1520" i="2"/>
  <c r="N1521" i="2"/>
  <c r="N1522" i="2"/>
  <c r="N1523" i="2"/>
  <c r="N1524" i="2"/>
  <c r="N1525" i="2"/>
  <c r="N1526" i="2"/>
  <c r="N1527" i="2"/>
  <c r="N1528" i="2"/>
  <c r="N1529" i="2"/>
  <c r="N1530" i="2"/>
  <c r="N1531" i="2"/>
  <c r="N1532" i="2"/>
  <c r="N1533" i="2"/>
  <c r="N1534" i="2"/>
  <c r="N1535" i="2"/>
  <c r="N1536" i="2"/>
  <c r="N1537" i="2"/>
  <c r="N1538" i="2"/>
  <c r="N1539" i="2"/>
  <c r="N1540" i="2"/>
  <c r="N1541" i="2"/>
  <c r="N1542" i="2"/>
  <c r="N1543" i="2"/>
  <c r="N1544" i="2"/>
  <c r="N1545" i="2"/>
  <c r="N1546" i="2"/>
  <c r="N1547" i="2"/>
  <c r="N1548" i="2"/>
  <c r="N1549" i="2"/>
  <c r="N1550" i="2"/>
  <c r="N1551" i="2"/>
  <c r="N1552" i="2"/>
  <c r="N1553" i="2"/>
  <c r="N1554" i="2"/>
  <c r="N1555" i="2"/>
  <c r="N1556" i="2"/>
  <c r="N1557" i="2"/>
  <c r="N1558" i="2"/>
  <c r="N1559" i="2"/>
  <c r="N1560" i="2"/>
  <c r="N1561" i="2"/>
  <c r="N1562" i="2"/>
  <c r="N1563" i="2"/>
  <c r="N1564" i="2"/>
  <c r="N1565" i="2"/>
  <c r="N1566" i="2"/>
  <c r="N1567" i="2"/>
  <c r="N1568" i="2"/>
  <c r="N1569" i="2"/>
  <c r="N1570" i="2"/>
  <c r="N1571" i="2"/>
  <c r="N1572" i="2"/>
  <c r="N1573" i="2"/>
  <c r="N1574" i="2"/>
  <c r="N1575" i="2"/>
  <c r="N1576" i="2"/>
  <c r="N1577" i="2"/>
  <c r="N1578" i="2"/>
  <c r="N1579" i="2"/>
  <c r="N1580" i="2"/>
  <c r="N1581" i="2"/>
  <c r="N1582" i="2"/>
  <c r="N1583" i="2"/>
  <c r="N1584" i="2"/>
  <c r="N1585" i="2"/>
  <c r="N1586" i="2"/>
  <c r="N1587" i="2"/>
  <c r="N1588" i="2"/>
  <c r="N1589" i="2"/>
  <c r="N1590" i="2"/>
  <c r="N1591" i="2"/>
  <c r="N1592" i="2"/>
  <c r="N1593" i="2"/>
  <c r="N1594" i="2"/>
  <c r="N1595" i="2"/>
  <c r="N1596" i="2"/>
  <c r="N1597" i="2"/>
  <c r="N1598" i="2"/>
  <c r="N1599" i="2"/>
  <c r="N1600" i="2"/>
  <c r="N1601" i="2"/>
  <c r="N1602" i="2"/>
  <c r="N1603" i="2"/>
  <c r="N1604" i="2"/>
  <c r="N1605" i="2"/>
  <c r="N1606" i="2"/>
  <c r="N1607" i="2"/>
  <c r="N1608" i="2"/>
  <c r="N1609" i="2"/>
  <c r="N1610" i="2"/>
  <c r="N1611" i="2"/>
  <c r="N1612" i="2"/>
  <c r="N1613" i="2"/>
  <c r="N1614" i="2"/>
  <c r="N1615" i="2"/>
  <c r="N1616" i="2"/>
  <c r="N1617" i="2"/>
  <c r="N1618" i="2"/>
  <c r="N1619" i="2"/>
  <c r="N1620" i="2"/>
  <c r="N1621" i="2"/>
  <c r="N1622" i="2"/>
  <c r="N1623" i="2"/>
  <c r="N1624" i="2"/>
  <c r="N1625" i="2"/>
  <c r="N1626" i="2"/>
  <c r="N1627" i="2"/>
  <c r="N1628" i="2"/>
  <c r="N1629" i="2"/>
  <c r="N1630" i="2"/>
  <c r="N1631" i="2"/>
  <c r="N1632" i="2"/>
  <c r="N1633" i="2"/>
  <c r="N1634" i="2"/>
  <c r="N1635" i="2"/>
  <c r="N1636" i="2"/>
  <c r="N1637" i="2"/>
  <c r="N1638" i="2"/>
  <c r="N1639" i="2"/>
  <c r="N1640" i="2"/>
  <c r="N1641" i="2"/>
  <c r="N1642" i="2"/>
  <c r="N1643" i="2"/>
  <c r="N1644" i="2"/>
  <c r="N1645" i="2"/>
  <c r="N1646" i="2"/>
  <c r="N1647" i="2"/>
  <c r="N1648" i="2"/>
  <c r="N1649" i="2"/>
  <c r="N1650" i="2"/>
  <c r="N1651" i="2"/>
  <c r="N1652" i="2"/>
  <c r="N1653" i="2"/>
  <c r="N1654" i="2"/>
  <c r="N1655" i="2"/>
  <c r="N1656" i="2"/>
  <c r="N1657" i="2"/>
  <c r="N1658" i="2"/>
  <c r="N1659" i="2"/>
  <c r="N1660" i="2"/>
  <c r="N1661" i="2"/>
  <c r="N1662" i="2"/>
  <c r="N1663" i="2"/>
  <c r="N1664" i="2"/>
  <c r="N1665" i="2"/>
  <c r="N1666" i="2"/>
  <c r="N1667" i="2"/>
  <c r="N1668" i="2"/>
  <c r="N1669" i="2"/>
  <c r="N1670" i="2"/>
  <c r="N1671" i="2"/>
  <c r="N1672" i="2"/>
  <c r="N1673" i="2"/>
  <c r="N1674" i="2"/>
  <c r="N1675" i="2"/>
  <c r="N1676" i="2"/>
  <c r="N1677" i="2"/>
  <c r="N1678" i="2"/>
  <c r="N1679" i="2"/>
  <c r="N1680" i="2"/>
  <c r="N1681" i="2"/>
  <c r="N1682" i="2"/>
  <c r="N1683" i="2"/>
  <c r="N1684" i="2"/>
  <c r="N1685" i="2"/>
  <c r="N1686" i="2"/>
  <c r="N1687" i="2"/>
  <c r="N1688" i="2"/>
  <c r="N1689" i="2"/>
  <c r="N1690" i="2"/>
  <c r="N1691" i="2"/>
  <c r="N1692" i="2"/>
  <c r="N1693" i="2"/>
  <c r="N1694" i="2"/>
  <c r="N1695" i="2"/>
  <c r="N1696" i="2"/>
  <c r="N1697" i="2"/>
  <c r="N1698" i="2"/>
  <c r="N1699" i="2"/>
  <c r="N1700" i="2"/>
  <c r="N1701" i="2"/>
  <c r="N1702" i="2"/>
  <c r="N1703" i="2"/>
  <c r="N1704" i="2"/>
  <c r="N1705" i="2"/>
  <c r="N1706" i="2"/>
  <c r="N1707" i="2"/>
  <c r="N1708" i="2"/>
  <c r="N1709" i="2"/>
  <c r="N1710" i="2"/>
  <c r="N1711" i="2"/>
  <c r="N1712" i="2"/>
  <c r="N1713" i="2"/>
  <c r="N1714" i="2"/>
  <c r="N1715" i="2"/>
  <c r="N1716" i="2"/>
  <c r="N1717" i="2"/>
  <c r="N1718" i="2"/>
  <c r="N1719" i="2"/>
  <c r="N1720" i="2"/>
  <c r="N1721" i="2"/>
  <c r="N1722" i="2"/>
  <c r="N1723" i="2"/>
  <c r="N1724" i="2"/>
  <c r="N1725" i="2"/>
  <c r="N1726" i="2"/>
  <c r="N1727" i="2"/>
  <c r="N1728" i="2"/>
  <c r="N1729" i="2"/>
  <c r="N1730" i="2"/>
  <c r="N1731" i="2"/>
  <c r="N1732" i="2"/>
  <c r="N1733" i="2"/>
  <c r="N1734" i="2"/>
  <c r="N1735" i="2"/>
  <c r="N1736" i="2"/>
  <c r="N1737" i="2"/>
  <c r="N1738" i="2"/>
  <c r="N1739" i="2"/>
  <c r="N1740" i="2"/>
  <c r="N1741" i="2"/>
  <c r="N1742" i="2"/>
  <c r="N1743" i="2"/>
  <c r="N1744" i="2"/>
  <c r="N1745" i="2"/>
  <c r="N1746" i="2"/>
  <c r="N1747" i="2"/>
  <c r="N1748" i="2"/>
  <c r="N1749" i="2"/>
  <c r="N1750" i="2"/>
  <c r="N1751" i="2"/>
  <c r="N1752" i="2"/>
  <c r="N1753" i="2"/>
  <c r="N1754" i="2"/>
  <c r="N1755" i="2"/>
  <c r="N1756" i="2"/>
  <c r="N1757" i="2"/>
  <c r="N1758" i="2"/>
  <c r="N1759" i="2"/>
  <c r="N1760" i="2"/>
  <c r="N1761" i="2"/>
  <c r="N1762" i="2"/>
  <c r="N1763" i="2"/>
  <c r="N1764" i="2"/>
  <c r="N1765" i="2"/>
  <c r="N1766" i="2"/>
  <c r="N1767" i="2"/>
  <c r="N1768" i="2"/>
  <c r="N1769" i="2"/>
  <c r="N1770" i="2"/>
  <c r="N1771" i="2"/>
  <c r="N1772" i="2"/>
  <c r="N1773" i="2"/>
  <c r="N1774" i="2"/>
  <c r="N1775" i="2"/>
  <c r="N1776" i="2"/>
  <c r="N1777" i="2"/>
  <c r="N1778" i="2"/>
  <c r="N1779" i="2"/>
  <c r="N1780" i="2"/>
  <c r="N1781" i="2"/>
  <c r="N1782" i="2"/>
  <c r="N1783" i="2"/>
  <c r="N1784" i="2"/>
  <c r="N1785" i="2"/>
  <c r="N1786" i="2"/>
  <c r="N1787" i="2"/>
  <c r="N1788" i="2"/>
  <c r="N1789" i="2"/>
  <c r="N1790" i="2"/>
  <c r="N1791" i="2"/>
  <c r="N1792" i="2"/>
  <c r="N1793" i="2"/>
  <c r="N1794" i="2"/>
  <c r="N1795" i="2"/>
  <c r="N1796" i="2"/>
  <c r="N1797" i="2"/>
  <c r="N1798" i="2"/>
  <c r="N1799" i="2"/>
  <c r="N1800" i="2"/>
  <c r="N1801" i="2"/>
  <c r="N1802" i="2"/>
  <c r="N1803" i="2"/>
  <c r="N1804" i="2"/>
  <c r="N1805" i="2"/>
  <c r="N1806" i="2"/>
  <c r="N1807" i="2"/>
  <c r="N1808" i="2"/>
  <c r="N1809" i="2"/>
  <c r="N1810" i="2"/>
  <c r="N1811" i="2"/>
  <c r="N1812" i="2"/>
  <c r="N1813" i="2"/>
  <c r="N1814" i="2"/>
  <c r="N1815" i="2"/>
  <c r="N1816" i="2"/>
  <c r="N1817" i="2"/>
  <c r="N1818" i="2"/>
  <c r="N1819" i="2"/>
  <c r="N1820" i="2"/>
  <c r="N1821" i="2"/>
  <c r="N1822" i="2"/>
  <c r="N1823" i="2"/>
  <c r="N1824" i="2"/>
  <c r="N1825" i="2"/>
  <c r="N1826" i="2"/>
  <c r="N1827" i="2"/>
  <c r="N1828" i="2"/>
  <c r="N1829" i="2"/>
  <c r="N1830" i="2"/>
  <c r="N1831" i="2"/>
  <c r="N1832" i="2"/>
  <c r="N1833" i="2"/>
  <c r="N1834" i="2"/>
  <c r="N1835" i="2"/>
  <c r="N1836" i="2"/>
  <c r="N1837" i="2"/>
  <c r="N1838" i="2"/>
  <c r="N1839" i="2"/>
  <c r="N1840" i="2"/>
  <c r="N1841" i="2"/>
  <c r="N1842" i="2"/>
  <c r="N1843" i="2"/>
  <c r="N1844" i="2"/>
  <c r="N1845" i="2"/>
  <c r="N1846" i="2"/>
  <c r="N1847" i="2"/>
  <c r="N1848" i="2"/>
  <c r="N1849" i="2"/>
  <c r="N1850" i="2"/>
  <c r="N1851" i="2"/>
  <c r="N1852" i="2"/>
  <c r="N1853" i="2"/>
  <c r="N1854" i="2"/>
  <c r="N1855" i="2"/>
  <c r="N1856" i="2"/>
  <c r="N1857" i="2"/>
  <c r="N1858" i="2"/>
  <c r="N1859" i="2"/>
  <c r="N1860" i="2"/>
  <c r="N1861" i="2"/>
  <c r="N1862" i="2"/>
  <c r="N1863" i="2"/>
  <c r="N1864" i="2"/>
  <c r="N1865" i="2"/>
  <c r="N1866" i="2"/>
  <c r="N1867" i="2"/>
  <c r="N1868" i="2"/>
  <c r="N1869" i="2"/>
  <c r="N1870" i="2"/>
  <c r="N1871" i="2"/>
  <c r="N1872" i="2"/>
  <c r="N1873" i="2"/>
  <c r="N1874" i="2"/>
  <c r="N1875" i="2"/>
  <c r="N1876" i="2"/>
  <c r="N1877" i="2"/>
  <c r="N1878" i="2"/>
  <c r="N1879" i="2"/>
  <c r="N1880" i="2"/>
  <c r="N1881" i="2"/>
  <c r="N1882" i="2"/>
  <c r="N1883" i="2"/>
  <c r="N1884" i="2"/>
  <c r="N1885" i="2"/>
  <c r="N1886" i="2"/>
  <c r="N1887" i="2"/>
  <c r="N1888" i="2"/>
  <c r="N1889" i="2"/>
  <c r="N1890" i="2"/>
  <c r="N1891" i="2"/>
  <c r="N1892" i="2"/>
  <c r="N1893" i="2"/>
  <c r="N1894" i="2"/>
  <c r="N1895" i="2"/>
  <c r="N1896" i="2"/>
  <c r="N1897" i="2"/>
  <c r="N1898" i="2"/>
  <c r="N1899" i="2"/>
  <c r="N1900" i="2"/>
  <c r="N1901" i="2"/>
  <c r="N1902" i="2"/>
  <c r="N1903" i="2"/>
  <c r="N1904" i="2"/>
  <c r="N1905" i="2"/>
  <c r="N1906" i="2"/>
  <c r="N1907" i="2"/>
  <c r="N1908" i="2"/>
  <c r="N1909" i="2"/>
  <c r="N1910" i="2"/>
  <c r="N1911" i="2"/>
  <c r="N1912" i="2"/>
  <c r="N1913" i="2"/>
  <c r="N1914" i="2"/>
  <c r="N1915" i="2"/>
  <c r="N1916" i="2"/>
  <c r="N1917" i="2"/>
  <c r="N1918" i="2"/>
  <c r="N1919" i="2"/>
  <c r="N1920" i="2"/>
  <c r="N1921" i="2"/>
  <c r="N1922" i="2"/>
  <c r="N1923" i="2"/>
  <c r="N1924" i="2"/>
  <c r="N1925" i="2"/>
  <c r="N1926" i="2"/>
  <c r="N1927" i="2"/>
  <c r="N1928" i="2"/>
  <c r="N1929" i="2"/>
  <c r="N1930" i="2"/>
  <c r="N1931" i="2"/>
  <c r="N1932" i="2"/>
  <c r="N1933" i="2"/>
  <c r="N1934" i="2"/>
  <c r="N1935" i="2"/>
  <c r="N1936" i="2"/>
  <c r="N1937" i="2"/>
  <c r="N1938" i="2"/>
  <c r="N1939" i="2"/>
  <c r="N1940" i="2"/>
  <c r="N1941" i="2"/>
  <c r="N1942" i="2"/>
  <c r="N1943" i="2"/>
  <c r="N1944" i="2"/>
  <c r="N1945" i="2"/>
  <c r="N1946" i="2"/>
  <c r="N1947" i="2"/>
  <c r="N1948" i="2"/>
  <c r="N1949" i="2"/>
  <c r="N1950" i="2"/>
  <c r="N1951" i="2"/>
  <c r="N1952" i="2"/>
  <c r="N1953" i="2"/>
  <c r="N1954" i="2"/>
  <c r="N1955" i="2"/>
  <c r="N1956" i="2"/>
  <c r="N1957" i="2"/>
  <c r="N1958" i="2"/>
  <c r="N1959" i="2"/>
  <c r="N1960" i="2"/>
  <c r="N1961" i="2"/>
  <c r="N1962" i="2"/>
  <c r="N1963" i="2"/>
  <c r="N1964" i="2"/>
  <c r="N1965" i="2"/>
  <c r="N1966" i="2"/>
  <c r="N1967" i="2"/>
  <c r="N1968" i="2"/>
  <c r="N1969" i="2"/>
  <c r="N1970" i="2"/>
  <c r="N1971" i="2"/>
  <c r="N1972" i="2"/>
  <c r="N1973" i="2"/>
  <c r="N1974" i="2"/>
  <c r="N1975" i="2"/>
  <c r="N1976" i="2"/>
  <c r="N1977" i="2"/>
  <c r="N1978" i="2"/>
  <c r="N1979" i="2"/>
  <c r="N1980" i="2"/>
  <c r="N1981" i="2"/>
  <c r="N1982" i="2"/>
  <c r="N1983" i="2"/>
  <c r="N1984" i="2"/>
  <c r="N1985" i="2"/>
  <c r="N1986" i="2"/>
  <c r="N1987" i="2"/>
  <c r="N1988" i="2"/>
  <c r="N1989" i="2"/>
  <c r="N1990" i="2"/>
  <c r="N1991" i="2"/>
  <c r="N1992" i="2"/>
  <c r="N1993" i="2"/>
  <c r="N1994" i="2"/>
  <c r="N1995" i="2"/>
  <c r="N1996" i="2"/>
  <c r="N1997" i="2"/>
  <c r="N1998" i="2"/>
  <c r="N1999" i="2"/>
  <c r="N2000" i="2"/>
  <c r="N2001" i="2"/>
  <c r="N2002" i="2"/>
  <c r="N2003" i="2"/>
  <c r="N2004" i="2"/>
  <c r="N2005" i="2"/>
  <c r="N2006" i="2"/>
  <c r="N2007" i="2"/>
  <c r="N2008" i="2"/>
  <c r="N2009" i="2"/>
  <c r="N2010" i="2"/>
  <c r="N2011" i="2"/>
  <c r="N2012" i="2"/>
  <c r="N2013" i="2"/>
  <c r="N2014" i="2"/>
  <c r="N2015" i="2"/>
  <c r="N2016" i="2"/>
  <c r="N2017" i="2"/>
  <c r="N2018" i="2"/>
  <c r="N2019" i="2"/>
  <c r="N2020" i="2"/>
  <c r="N2021" i="2"/>
  <c r="N2022" i="2"/>
  <c r="N2023" i="2"/>
  <c r="N2024" i="2"/>
  <c r="N2025" i="2"/>
  <c r="N2026" i="2"/>
  <c r="N2027" i="2"/>
  <c r="N2028" i="2"/>
  <c r="N2029" i="2"/>
  <c r="N2030" i="2"/>
  <c r="N2031" i="2"/>
  <c r="N2032" i="2"/>
  <c r="N2033" i="2"/>
  <c r="N2034" i="2"/>
  <c r="N2035" i="2"/>
  <c r="N2036" i="2"/>
  <c r="N2037" i="2"/>
  <c r="N2038" i="2"/>
  <c r="N2039" i="2"/>
  <c r="N2040" i="2"/>
  <c r="N2041" i="2"/>
  <c r="N2042" i="2"/>
  <c r="N2043" i="2"/>
  <c r="N2044" i="2"/>
  <c r="N2045" i="2"/>
  <c r="N2046" i="2"/>
  <c r="N2047" i="2"/>
  <c r="N2048" i="2"/>
  <c r="N2049" i="2"/>
  <c r="N2050" i="2"/>
  <c r="N2051" i="2"/>
  <c r="N2052" i="2"/>
  <c r="N2053" i="2"/>
  <c r="N2054" i="2"/>
  <c r="N2055" i="2"/>
  <c r="N2056" i="2"/>
  <c r="N2057" i="2"/>
  <c r="N2058" i="2"/>
  <c r="N2059" i="2"/>
  <c r="N2060" i="2"/>
  <c r="N2061" i="2"/>
  <c r="N2062" i="2"/>
  <c r="N2063" i="2"/>
  <c r="N2064" i="2"/>
  <c r="N2065" i="2"/>
  <c r="N2066" i="2"/>
  <c r="N2067" i="2"/>
  <c r="N2068" i="2"/>
  <c r="N2069" i="2"/>
  <c r="N2070" i="2"/>
  <c r="N2071" i="2"/>
  <c r="N2072" i="2"/>
  <c r="N2073" i="2"/>
  <c r="N2074" i="2"/>
  <c r="N2075" i="2"/>
  <c r="N2076" i="2"/>
  <c r="N2077" i="2"/>
  <c r="N2078" i="2"/>
  <c r="N2079" i="2"/>
  <c r="N2080" i="2"/>
  <c r="N2081" i="2"/>
  <c r="N2082" i="2"/>
  <c r="N2083" i="2"/>
  <c r="N2084" i="2"/>
  <c r="N2085" i="2"/>
  <c r="N2086" i="2"/>
  <c r="N2087" i="2"/>
  <c r="N2088" i="2"/>
  <c r="N2089" i="2"/>
  <c r="N2090" i="2"/>
  <c r="N2091" i="2"/>
  <c r="N2092" i="2"/>
  <c r="N2093" i="2"/>
  <c r="N2094" i="2"/>
  <c r="N2095" i="2"/>
  <c r="N2096" i="2"/>
  <c r="N2097" i="2"/>
  <c r="N2098" i="2"/>
  <c r="N2099" i="2"/>
  <c r="N2100" i="2"/>
  <c r="N2101" i="2"/>
  <c r="N2102" i="2"/>
  <c r="N2103" i="2"/>
  <c r="N2104" i="2"/>
  <c r="N2105" i="2"/>
  <c r="N2106" i="2"/>
  <c r="N2107" i="2"/>
  <c r="N2108" i="2"/>
  <c r="N2109" i="2"/>
  <c r="N2110" i="2"/>
  <c r="N2111" i="2"/>
  <c r="N2112" i="2"/>
  <c r="N2113" i="2"/>
  <c r="N2114" i="2"/>
  <c r="N2115" i="2"/>
  <c r="N2116" i="2"/>
  <c r="N2117" i="2"/>
  <c r="N2118" i="2"/>
  <c r="N2119" i="2"/>
  <c r="N2120" i="2"/>
  <c r="N2121" i="2"/>
  <c r="N2122" i="2"/>
  <c r="N2123" i="2"/>
  <c r="N2124" i="2"/>
  <c r="N2125" i="2"/>
  <c r="N2126" i="2"/>
  <c r="N2127" i="2"/>
  <c r="N2128" i="2"/>
  <c r="N2129" i="2"/>
  <c r="N2130" i="2"/>
  <c r="N2131" i="2"/>
  <c r="N2132" i="2"/>
  <c r="N2133" i="2"/>
  <c r="N2134" i="2"/>
  <c r="N2135" i="2"/>
  <c r="N2136" i="2"/>
  <c r="N2137" i="2"/>
  <c r="N2138" i="2"/>
  <c r="N2139" i="2"/>
  <c r="N2140" i="2"/>
  <c r="N2141" i="2"/>
  <c r="N2142" i="2"/>
  <c r="N2143" i="2"/>
  <c r="N2144" i="2"/>
  <c r="N2145" i="2"/>
  <c r="N2146" i="2"/>
  <c r="N2147" i="2"/>
  <c r="N2148" i="2"/>
  <c r="N2149" i="2"/>
  <c r="N2150" i="2"/>
  <c r="N2151" i="2"/>
  <c r="N2152" i="2"/>
  <c r="N2153" i="2"/>
  <c r="N2154" i="2"/>
  <c r="N2155" i="2"/>
  <c r="N2156" i="2"/>
  <c r="N2157" i="2"/>
  <c r="N2158" i="2"/>
  <c r="N2159" i="2"/>
  <c r="N2160" i="2"/>
  <c r="N2161" i="2"/>
  <c r="N2162" i="2"/>
  <c r="N2163" i="2"/>
  <c r="N2164" i="2"/>
  <c r="N2165" i="2"/>
  <c r="N2166" i="2"/>
  <c r="N2167" i="2"/>
  <c r="N2168" i="2"/>
  <c r="N2169" i="2"/>
  <c r="N2170" i="2"/>
  <c r="N2171" i="2"/>
  <c r="N2172" i="2"/>
  <c r="N2173" i="2"/>
  <c r="N2174" i="2"/>
  <c r="N2175" i="2"/>
  <c r="N2176" i="2"/>
  <c r="N2177" i="2"/>
  <c r="N2178" i="2"/>
  <c r="N2179" i="2"/>
  <c r="N2180" i="2"/>
  <c r="N2181" i="2"/>
  <c r="N2182" i="2"/>
  <c r="N2183" i="2"/>
  <c r="N2184" i="2"/>
  <c r="N2185" i="2"/>
  <c r="N2186" i="2"/>
  <c r="N2187" i="2"/>
  <c r="N2188" i="2"/>
  <c r="N2189" i="2"/>
  <c r="N2190" i="2"/>
  <c r="N2191" i="2"/>
  <c r="N2192" i="2"/>
  <c r="N2193" i="2"/>
  <c r="N2194" i="2"/>
  <c r="N2195" i="2"/>
  <c r="N2196" i="2"/>
  <c r="N2197" i="2"/>
  <c r="N2198" i="2"/>
  <c r="N2199" i="2"/>
  <c r="N2200" i="2"/>
  <c r="N2201" i="2"/>
  <c r="N2202" i="2"/>
  <c r="N2203" i="2"/>
  <c r="N2204" i="2"/>
  <c r="N2205" i="2"/>
  <c r="N2206" i="2"/>
  <c r="N2207" i="2"/>
  <c r="N2208" i="2"/>
  <c r="N2209" i="2"/>
  <c r="N2210" i="2"/>
  <c r="N2211" i="2"/>
  <c r="N2212" i="2"/>
  <c r="N2213" i="2"/>
  <c r="N2214" i="2"/>
  <c r="N2215" i="2"/>
  <c r="N2216" i="2"/>
  <c r="N2217" i="2"/>
  <c r="N2218" i="2"/>
  <c r="N2219" i="2"/>
  <c r="N2220" i="2"/>
  <c r="N2221" i="2"/>
  <c r="N2222" i="2"/>
  <c r="N2223" i="2"/>
  <c r="N2224" i="2"/>
  <c r="N2225" i="2"/>
  <c r="N2226" i="2"/>
  <c r="N2227" i="2"/>
  <c r="N2228" i="2"/>
  <c r="N2229" i="2"/>
  <c r="N2230" i="2"/>
  <c r="N2231" i="2"/>
  <c r="N2232" i="2"/>
  <c r="N2233" i="2"/>
  <c r="N2234" i="2"/>
  <c r="N2235" i="2"/>
  <c r="N2236" i="2"/>
  <c r="N2237" i="2"/>
  <c r="N2238" i="2"/>
  <c r="N2239" i="2"/>
  <c r="N2240" i="2"/>
  <c r="N2241" i="2"/>
  <c r="N2242" i="2"/>
  <c r="N2243" i="2"/>
  <c r="N2244" i="2"/>
  <c r="N2245" i="2"/>
  <c r="N2246" i="2"/>
  <c r="N2247" i="2"/>
  <c r="N2248" i="2"/>
  <c r="N2249" i="2"/>
  <c r="N2250" i="2"/>
  <c r="N2251" i="2"/>
  <c r="N2252" i="2"/>
  <c r="N2253" i="2"/>
  <c r="N2254" i="2"/>
  <c r="N2255" i="2"/>
  <c r="N2256" i="2"/>
  <c r="N2257" i="2"/>
  <c r="N2258" i="2"/>
  <c r="N2259" i="2"/>
  <c r="N2260" i="2"/>
  <c r="N2261" i="2"/>
  <c r="N2262" i="2"/>
  <c r="N2263" i="2"/>
  <c r="N2264" i="2"/>
  <c r="N2265" i="2"/>
  <c r="N2266" i="2"/>
  <c r="N2267" i="2"/>
  <c r="N2268" i="2"/>
  <c r="N2269" i="2"/>
  <c r="N2270" i="2"/>
  <c r="N2271" i="2"/>
  <c r="N2272" i="2"/>
  <c r="N2273" i="2"/>
  <c r="N2274" i="2"/>
  <c r="N2275" i="2"/>
  <c r="N2276" i="2"/>
  <c r="N2277" i="2"/>
  <c r="N2278" i="2"/>
  <c r="N2279" i="2"/>
  <c r="N2280" i="2"/>
  <c r="N2281" i="2"/>
  <c r="N2282" i="2"/>
  <c r="N2283" i="2"/>
  <c r="N2284" i="2"/>
  <c r="N2285" i="2"/>
  <c r="N2286" i="2"/>
  <c r="N2287" i="2"/>
  <c r="N2288" i="2"/>
  <c r="N2289" i="2"/>
  <c r="N2290" i="2"/>
  <c r="N2291" i="2"/>
  <c r="N2292" i="2"/>
  <c r="N2293" i="2"/>
  <c r="N2294" i="2"/>
  <c r="N2295" i="2"/>
  <c r="N2296" i="2"/>
  <c r="N2297" i="2"/>
  <c r="N2298" i="2"/>
  <c r="N2299" i="2"/>
  <c r="N2300" i="2"/>
  <c r="N2301" i="2"/>
  <c r="N2302" i="2"/>
  <c r="N2303" i="2"/>
  <c r="N2304" i="2"/>
  <c r="N2305" i="2"/>
  <c r="N2306" i="2"/>
  <c r="N2307" i="2"/>
  <c r="N2308" i="2"/>
  <c r="N2309" i="2"/>
  <c r="N2310" i="2"/>
  <c r="N2311" i="2"/>
  <c r="N2312" i="2"/>
  <c r="N2313" i="2"/>
  <c r="N2314" i="2"/>
  <c r="N2315" i="2"/>
  <c r="N2316" i="2"/>
  <c r="N2317" i="2"/>
  <c r="N2318" i="2"/>
  <c r="N2319" i="2"/>
  <c r="N2320" i="2"/>
  <c r="N2321" i="2"/>
  <c r="N2322" i="2"/>
  <c r="N2323" i="2"/>
  <c r="N2324" i="2"/>
  <c r="N2325" i="2"/>
  <c r="N2326" i="2"/>
  <c r="N2327" i="2"/>
  <c r="N2328" i="2"/>
  <c r="N2329" i="2"/>
  <c r="N2330" i="2"/>
  <c r="N2331" i="2"/>
  <c r="N2332" i="2"/>
  <c r="N2333" i="2"/>
  <c r="N2334" i="2"/>
  <c r="N2335" i="2"/>
  <c r="N2336" i="2"/>
  <c r="N2337" i="2"/>
  <c r="N2338" i="2"/>
  <c r="N2339" i="2"/>
  <c r="N2340" i="2"/>
  <c r="N2341" i="2"/>
  <c r="N2342" i="2"/>
  <c r="N2343" i="2"/>
  <c r="N2344" i="2"/>
  <c r="N2345" i="2"/>
  <c r="N2346" i="2"/>
  <c r="N2347" i="2"/>
  <c r="N2348" i="2"/>
  <c r="N2349" i="2"/>
  <c r="N2350" i="2"/>
  <c r="N2351" i="2"/>
  <c r="N2352" i="2"/>
  <c r="N2353" i="2"/>
  <c r="N2354" i="2"/>
  <c r="N2355" i="2"/>
  <c r="N2356" i="2"/>
  <c r="N2357" i="2"/>
  <c r="N2358" i="2"/>
  <c r="N2359" i="2"/>
  <c r="N2360" i="2"/>
  <c r="N2361" i="2"/>
  <c r="N2362" i="2"/>
  <c r="N2363" i="2"/>
  <c r="N2364" i="2"/>
  <c r="N2365" i="2"/>
  <c r="N2366" i="2"/>
  <c r="N2367" i="2"/>
  <c r="N2368" i="2"/>
  <c r="N2369" i="2"/>
  <c r="N2370" i="2"/>
  <c r="N2371" i="2"/>
  <c r="N2372" i="2"/>
  <c r="N2373" i="2"/>
  <c r="N2374" i="2"/>
  <c r="N2375" i="2"/>
  <c r="N2376" i="2"/>
  <c r="N2377" i="2"/>
  <c r="N2378" i="2"/>
  <c r="N2379" i="2"/>
  <c r="N2380" i="2"/>
  <c r="N2381" i="2"/>
  <c r="N2382" i="2"/>
  <c r="N2383" i="2"/>
  <c r="N2384" i="2"/>
  <c r="N2385" i="2"/>
  <c r="N2386" i="2"/>
  <c r="N2387" i="2"/>
  <c r="N2388" i="2"/>
  <c r="N2389" i="2"/>
  <c r="N2390" i="2"/>
  <c r="N2391" i="2"/>
  <c r="N2392" i="2"/>
  <c r="N2393" i="2"/>
  <c r="N2394" i="2"/>
  <c r="N2395" i="2"/>
  <c r="N2396" i="2"/>
  <c r="N2397" i="2"/>
  <c r="N2398" i="2"/>
  <c r="N2399" i="2"/>
  <c r="N2400" i="2"/>
  <c r="N2401" i="2"/>
  <c r="N2402" i="2"/>
  <c r="N2403" i="2"/>
  <c r="N2404" i="2"/>
  <c r="N2405" i="2"/>
  <c r="N2406" i="2"/>
  <c r="N2407" i="2"/>
  <c r="N2408" i="2"/>
  <c r="N2409" i="2"/>
  <c r="N2410" i="2"/>
  <c r="N2411" i="2"/>
  <c r="N2412" i="2"/>
  <c r="N2413" i="2"/>
  <c r="N2414" i="2"/>
  <c r="N2415" i="2"/>
  <c r="N2416" i="2"/>
  <c r="N2417" i="2"/>
  <c r="N2418" i="2"/>
  <c r="N2419" i="2"/>
  <c r="N2420" i="2"/>
  <c r="N2421" i="2"/>
  <c r="N2422" i="2"/>
  <c r="N2423" i="2"/>
  <c r="N2424" i="2"/>
  <c r="N2425" i="2"/>
  <c r="N2426" i="2"/>
  <c r="N2427" i="2"/>
  <c r="N2428" i="2"/>
  <c r="N2429" i="2"/>
  <c r="N2430" i="2"/>
  <c r="N2431" i="2"/>
  <c r="N2432" i="2"/>
  <c r="N2433" i="2"/>
  <c r="N2434" i="2"/>
  <c r="N2435" i="2"/>
  <c r="N2436" i="2"/>
  <c r="N2437" i="2"/>
  <c r="N2438" i="2"/>
  <c r="N2439" i="2"/>
  <c r="N2440" i="2"/>
  <c r="N2441" i="2"/>
  <c r="N2442" i="2"/>
  <c r="N2443" i="2"/>
  <c r="N2444" i="2"/>
  <c r="N2445" i="2"/>
  <c r="N2446" i="2"/>
  <c r="N2447" i="2"/>
  <c r="N2448" i="2"/>
  <c r="N2449" i="2"/>
  <c r="N2450" i="2"/>
  <c r="N2451" i="2"/>
  <c r="N2452" i="2"/>
  <c r="N2453" i="2"/>
  <c r="N2454" i="2"/>
  <c r="N2455" i="2"/>
  <c r="N2456" i="2"/>
  <c r="N2457" i="2"/>
  <c r="N2458" i="2"/>
  <c r="N2459" i="2"/>
  <c r="N2460" i="2"/>
  <c r="N2461" i="2"/>
  <c r="N2462" i="2"/>
  <c r="N2463" i="2"/>
  <c r="N2464" i="2"/>
  <c r="N2465" i="2"/>
  <c r="N2466" i="2"/>
  <c r="N2467" i="2"/>
  <c r="N2468" i="2"/>
  <c r="N2469" i="2"/>
  <c r="N2470" i="2"/>
  <c r="N2471" i="2"/>
  <c r="N2472" i="2"/>
  <c r="N2473" i="2"/>
  <c r="N2474" i="2"/>
  <c r="N2475" i="2"/>
  <c r="N2476" i="2"/>
  <c r="N2477" i="2"/>
  <c r="N2478" i="2"/>
  <c r="N2479" i="2"/>
  <c r="N2480" i="2"/>
  <c r="N2481" i="2"/>
  <c r="N2482" i="2"/>
  <c r="N2483" i="2"/>
  <c r="N2484" i="2"/>
  <c r="N2485" i="2"/>
  <c r="N2486" i="2"/>
  <c r="N2487" i="2"/>
  <c r="N2488" i="2"/>
  <c r="N2489" i="2"/>
  <c r="N2490" i="2"/>
  <c r="N2491" i="2"/>
  <c r="N2492" i="2"/>
  <c r="N2493" i="2"/>
  <c r="N2494" i="2"/>
  <c r="N2495" i="2"/>
  <c r="N2496" i="2"/>
  <c r="N2497" i="2"/>
  <c r="N2498" i="2"/>
  <c r="N2499" i="2"/>
  <c r="N2500" i="2"/>
  <c r="N2501" i="2"/>
  <c r="N2502" i="2"/>
  <c r="N2503" i="2"/>
  <c r="N2504" i="2"/>
  <c r="N2505" i="2"/>
  <c r="N2506" i="2"/>
  <c r="N2507" i="2"/>
  <c r="N2508" i="2"/>
  <c r="N2509" i="2"/>
  <c r="N2510" i="2"/>
  <c r="N2511" i="2"/>
  <c r="N2512" i="2"/>
  <c r="N2513" i="2"/>
  <c r="N2514" i="2"/>
  <c r="N2515" i="2"/>
  <c r="N2516" i="2"/>
  <c r="N2517" i="2"/>
  <c r="N2518" i="2"/>
  <c r="N2519" i="2"/>
  <c r="N2520" i="2"/>
  <c r="N2521" i="2"/>
  <c r="N2522" i="2"/>
  <c r="N2523" i="2"/>
  <c r="N2524" i="2"/>
  <c r="N2525" i="2"/>
  <c r="N2526" i="2"/>
  <c r="N2527" i="2"/>
  <c r="N2528" i="2"/>
  <c r="N2529" i="2"/>
  <c r="N2530" i="2"/>
  <c r="N2531" i="2"/>
  <c r="N2532" i="2"/>
  <c r="N2533" i="2"/>
  <c r="N2534" i="2"/>
  <c r="N2535" i="2"/>
  <c r="N2536" i="2"/>
  <c r="N2537" i="2"/>
  <c r="N2538" i="2"/>
  <c r="N2539" i="2"/>
  <c r="N2540" i="2"/>
  <c r="N2541" i="2"/>
  <c r="N2542" i="2"/>
  <c r="N2543" i="2"/>
  <c r="N2544" i="2"/>
  <c r="N2545" i="2"/>
  <c r="N2546" i="2"/>
  <c r="N2547" i="2"/>
  <c r="N2548" i="2"/>
  <c r="N2549" i="2"/>
  <c r="N2550" i="2"/>
  <c r="N2551" i="2"/>
  <c r="N2552" i="2"/>
  <c r="N2553" i="2"/>
  <c r="N2554" i="2"/>
  <c r="N2555" i="2"/>
  <c r="N2556" i="2"/>
  <c r="N2557" i="2"/>
  <c r="N2558" i="2"/>
  <c r="N2559" i="2"/>
  <c r="N2560" i="2"/>
  <c r="N2561" i="2"/>
  <c r="N2562" i="2"/>
  <c r="N2563" i="2"/>
  <c r="N2564" i="2"/>
  <c r="N2565" i="2"/>
  <c r="N2566" i="2"/>
  <c r="N2567" i="2"/>
  <c r="N2568" i="2"/>
  <c r="N2569" i="2"/>
  <c r="N2570" i="2"/>
  <c r="N2571" i="2"/>
  <c r="N2572" i="2"/>
  <c r="N2573" i="2"/>
  <c r="N2574" i="2"/>
  <c r="N2575" i="2"/>
  <c r="N2576" i="2"/>
  <c r="N2577" i="2"/>
  <c r="N2578" i="2"/>
  <c r="N2579" i="2"/>
  <c r="N2580" i="2"/>
  <c r="N2581" i="2"/>
  <c r="N2582" i="2"/>
  <c r="N2583" i="2"/>
  <c r="N2584" i="2"/>
  <c r="N2585" i="2"/>
  <c r="N2586" i="2"/>
  <c r="N2587" i="2"/>
  <c r="N2588" i="2"/>
  <c r="N2589" i="2"/>
  <c r="N2590" i="2"/>
  <c r="N2591" i="2"/>
  <c r="N2592" i="2"/>
  <c r="N2593" i="2"/>
  <c r="N2594" i="2"/>
  <c r="N2595" i="2"/>
  <c r="N2596" i="2"/>
  <c r="N2597" i="2"/>
  <c r="N2598" i="2"/>
  <c r="N2599" i="2"/>
  <c r="N2600" i="2"/>
  <c r="N2601" i="2"/>
  <c r="N2602" i="2"/>
  <c r="N2603" i="2"/>
  <c r="N2604" i="2"/>
  <c r="N2605" i="2"/>
  <c r="N2606" i="2"/>
  <c r="N2607" i="2"/>
  <c r="N2608" i="2"/>
  <c r="N2609" i="2"/>
  <c r="N2610" i="2"/>
  <c r="N2611" i="2"/>
  <c r="N2612" i="2"/>
  <c r="N2613" i="2"/>
  <c r="N2614" i="2"/>
  <c r="N2615" i="2"/>
  <c r="N2616" i="2"/>
  <c r="N2617" i="2"/>
  <c r="N2618" i="2"/>
  <c r="N2619" i="2"/>
  <c r="N2620" i="2"/>
  <c r="N2621" i="2"/>
  <c r="N2622" i="2"/>
  <c r="N2623" i="2"/>
  <c r="N2624" i="2"/>
  <c r="N2625" i="2"/>
  <c r="N2626" i="2"/>
  <c r="N2627" i="2"/>
  <c r="N2628" i="2"/>
  <c r="N2629" i="2"/>
  <c r="N2630" i="2"/>
  <c r="N2631" i="2"/>
  <c r="N2632" i="2"/>
  <c r="N2633" i="2"/>
  <c r="N2634" i="2"/>
  <c r="N2635" i="2"/>
  <c r="N2636" i="2"/>
  <c r="N2637" i="2"/>
  <c r="N2638" i="2"/>
  <c r="N2639" i="2"/>
  <c r="N2640" i="2"/>
  <c r="N2641" i="2"/>
  <c r="N2642" i="2"/>
  <c r="N2643" i="2"/>
  <c r="N2644" i="2"/>
  <c r="N2645" i="2"/>
  <c r="N2646" i="2"/>
  <c r="N2647" i="2"/>
  <c r="N2648" i="2"/>
  <c r="N2649" i="2"/>
  <c r="N2650" i="2"/>
  <c r="N2651" i="2"/>
  <c r="N2652" i="2"/>
  <c r="N2653" i="2"/>
  <c r="N2654" i="2"/>
  <c r="N2655" i="2"/>
  <c r="N2656" i="2"/>
  <c r="N2657" i="2"/>
  <c r="N2658" i="2"/>
  <c r="N2659" i="2"/>
  <c r="N2660" i="2"/>
  <c r="N2661" i="2"/>
  <c r="N2662" i="2"/>
  <c r="N2663" i="2"/>
  <c r="N2664" i="2"/>
  <c r="N2665" i="2"/>
  <c r="N2666" i="2"/>
  <c r="N2667" i="2"/>
  <c r="N2668" i="2"/>
  <c r="N2669" i="2"/>
  <c r="N2670" i="2"/>
  <c r="N2671" i="2"/>
  <c r="N2672" i="2"/>
  <c r="N2673" i="2"/>
  <c r="N2674" i="2"/>
  <c r="N2675" i="2"/>
  <c r="N2676" i="2"/>
  <c r="N2677" i="2"/>
  <c r="N2678" i="2"/>
  <c r="N2679" i="2"/>
  <c r="N2680" i="2"/>
  <c r="N2681" i="2"/>
  <c r="N2682" i="2"/>
  <c r="N2683" i="2"/>
  <c r="N2684" i="2"/>
  <c r="N2685" i="2"/>
  <c r="N2686" i="2"/>
  <c r="N2687" i="2"/>
  <c r="N2688" i="2"/>
  <c r="N2689" i="2"/>
  <c r="N2690" i="2"/>
  <c r="N2691" i="2"/>
  <c r="N2692" i="2"/>
  <c r="N2693" i="2"/>
  <c r="N2694" i="2"/>
  <c r="N2695" i="2"/>
  <c r="N2696" i="2"/>
  <c r="N2697" i="2"/>
  <c r="N2698" i="2"/>
  <c r="N2699" i="2"/>
  <c r="N2700" i="2"/>
  <c r="N2701" i="2"/>
  <c r="N2702" i="2"/>
  <c r="N2703" i="2"/>
  <c r="N2704" i="2"/>
  <c r="N2705" i="2"/>
  <c r="N2706" i="2"/>
  <c r="N2707" i="2"/>
  <c r="N2708" i="2"/>
  <c r="N2709" i="2"/>
  <c r="N2710" i="2"/>
  <c r="N2711" i="2"/>
  <c r="N2712" i="2"/>
  <c r="N2713" i="2"/>
  <c r="N2714" i="2"/>
  <c r="N2715" i="2"/>
  <c r="N2716" i="2"/>
  <c r="N2717" i="2"/>
  <c r="N2718" i="2"/>
  <c r="N2719" i="2"/>
  <c r="N2720" i="2"/>
  <c r="N2721" i="2"/>
  <c r="N2722" i="2"/>
  <c r="N2723" i="2"/>
  <c r="N2724" i="2"/>
  <c r="N2725" i="2"/>
  <c r="N2726" i="2"/>
  <c r="N2727" i="2"/>
  <c r="N2728" i="2"/>
  <c r="N2729" i="2"/>
  <c r="N2730" i="2"/>
  <c r="N2731" i="2"/>
  <c r="N2732" i="2"/>
  <c r="N2733" i="2"/>
  <c r="N2734" i="2"/>
  <c r="N2735" i="2"/>
  <c r="N2736" i="2"/>
  <c r="N2737" i="2"/>
  <c r="N2738" i="2"/>
  <c r="N2739" i="2"/>
  <c r="N2740" i="2"/>
  <c r="N2741" i="2"/>
  <c r="N2742" i="2"/>
  <c r="N2743" i="2"/>
  <c r="N2744" i="2"/>
  <c r="N2745" i="2"/>
  <c r="N2746" i="2"/>
  <c r="N2747" i="2"/>
  <c r="N2748" i="2"/>
  <c r="N2749" i="2"/>
  <c r="N2750" i="2"/>
  <c r="N2751" i="2"/>
  <c r="N2752" i="2"/>
  <c r="N2753" i="2"/>
  <c r="N2754" i="2"/>
  <c r="N2755" i="2"/>
  <c r="N2756" i="2"/>
  <c r="N2757" i="2"/>
  <c r="N2758" i="2"/>
  <c r="N2759" i="2"/>
  <c r="N2760" i="2"/>
  <c r="N2761" i="2"/>
  <c r="N2762" i="2"/>
  <c r="N2763" i="2"/>
  <c r="N2764" i="2"/>
  <c r="N2765" i="2"/>
  <c r="N2766" i="2"/>
  <c r="N2767" i="2"/>
  <c r="N2768" i="2"/>
  <c r="N2769" i="2"/>
  <c r="N2770" i="2"/>
  <c r="N2771" i="2"/>
  <c r="N2772" i="2"/>
  <c r="N2773" i="2"/>
  <c r="N2774" i="2"/>
  <c r="N2775" i="2"/>
  <c r="N2776" i="2"/>
  <c r="N2777" i="2"/>
  <c r="N2778" i="2"/>
  <c r="N2779" i="2"/>
  <c r="N2780" i="2"/>
  <c r="N2781" i="2"/>
  <c r="N2782" i="2"/>
  <c r="N2783" i="2"/>
  <c r="N2784" i="2"/>
  <c r="N2785" i="2"/>
  <c r="N2786" i="2"/>
  <c r="N2787" i="2"/>
  <c r="N2788" i="2"/>
  <c r="N2789" i="2"/>
  <c r="N2790" i="2"/>
  <c r="N2791" i="2"/>
  <c r="N2792" i="2"/>
  <c r="N2793" i="2"/>
  <c r="N2794" i="2"/>
  <c r="N2795" i="2"/>
  <c r="N2796" i="2"/>
  <c r="N2797" i="2"/>
  <c r="N2798" i="2"/>
  <c r="N2799" i="2"/>
  <c r="N2800" i="2"/>
  <c r="N2801" i="2"/>
  <c r="N2802" i="2"/>
  <c r="N2803" i="2"/>
  <c r="N2804" i="2"/>
  <c r="N2805" i="2"/>
  <c r="N2806" i="2"/>
  <c r="N2807" i="2"/>
  <c r="N2808" i="2"/>
  <c r="N2809" i="2"/>
  <c r="N2810" i="2"/>
  <c r="N2811" i="2"/>
  <c r="N2812" i="2"/>
  <c r="N2813" i="2"/>
  <c r="N2814" i="2"/>
  <c r="N2815" i="2"/>
  <c r="N2816" i="2"/>
  <c r="N2817" i="2"/>
  <c r="N2818" i="2"/>
  <c r="N2819" i="2"/>
  <c r="N2820" i="2"/>
  <c r="N2821" i="2"/>
  <c r="N2822" i="2"/>
  <c r="N2823" i="2"/>
  <c r="N2824" i="2"/>
  <c r="N2825" i="2"/>
  <c r="N2826" i="2"/>
  <c r="N2827" i="2"/>
  <c r="N2828" i="2"/>
  <c r="N2829" i="2"/>
  <c r="N2830" i="2"/>
  <c r="N2831" i="2"/>
  <c r="N2832" i="2"/>
  <c r="N2833" i="2"/>
  <c r="N2834" i="2"/>
  <c r="N2835" i="2"/>
  <c r="N2836" i="2"/>
  <c r="N2837" i="2"/>
  <c r="N2838" i="2"/>
  <c r="N2839" i="2"/>
  <c r="N2840" i="2"/>
  <c r="N2841" i="2"/>
  <c r="N2842" i="2"/>
  <c r="N2843" i="2"/>
  <c r="N2844" i="2"/>
  <c r="N2845" i="2"/>
  <c r="N2846" i="2"/>
  <c r="N2847" i="2"/>
  <c r="N2848" i="2"/>
  <c r="N2849" i="2"/>
  <c r="N2850" i="2"/>
  <c r="N2851" i="2"/>
  <c r="N2852" i="2"/>
  <c r="N2853" i="2"/>
  <c r="N2854" i="2"/>
  <c r="N2855" i="2"/>
  <c r="N2856" i="2"/>
  <c r="N2857" i="2"/>
  <c r="N2858" i="2"/>
  <c r="N2859" i="2"/>
  <c r="N2860" i="2"/>
  <c r="N2861" i="2"/>
  <c r="N2862" i="2"/>
  <c r="N2863" i="2"/>
  <c r="N2864" i="2"/>
  <c r="N2865" i="2"/>
  <c r="N2866" i="2"/>
  <c r="N2867" i="2"/>
  <c r="N2868" i="2"/>
  <c r="N2869" i="2"/>
  <c r="N2870" i="2"/>
  <c r="N2871" i="2"/>
  <c r="N2872" i="2"/>
  <c r="N2873" i="2"/>
  <c r="N2874" i="2"/>
  <c r="N2875" i="2"/>
  <c r="N2876" i="2"/>
  <c r="N2877" i="2"/>
  <c r="N2878" i="2"/>
  <c r="N2879" i="2"/>
  <c r="N2880" i="2"/>
  <c r="N2881" i="2"/>
  <c r="N2882" i="2"/>
  <c r="N2883" i="2"/>
  <c r="N2884" i="2"/>
  <c r="N2885" i="2"/>
  <c r="N2886" i="2"/>
  <c r="N2887" i="2"/>
  <c r="N2888" i="2"/>
  <c r="N2889" i="2"/>
  <c r="N2890" i="2"/>
  <c r="N2891" i="2"/>
  <c r="N2892" i="2"/>
  <c r="N2893" i="2"/>
  <c r="N2894" i="2"/>
  <c r="N2895" i="2"/>
  <c r="N2896" i="2"/>
  <c r="N2897" i="2"/>
  <c r="N2898" i="2"/>
  <c r="N2899" i="2"/>
  <c r="N2900" i="2"/>
  <c r="N2901" i="2"/>
  <c r="N2902" i="2"/>
  <c r="N2903" i="2"/>
  <c r="N2904" i="2"/>
  <c r="N2905" i="2"/>
  <c r="N2906" i="2"/>
  <c r="N2907" i="2"/>
  <c r="N2908" i="2"/>
  <c r="N2909" i="2"/>
  <c r="N2910" i="2"/>
  <c r="N2911" i="2"/>
  <c r="N2912" i="2"/>
  <c r="N2913" i="2"/>
  <c r="N2914" i="2"/>
  <c r="N2915" i="2"/>
  <c r="N2916" i="2"/>
  <c r="N2917" i="2"/>
  <c r="N2918" i="2"/>
  <c r="N2919" i="2"/>
  <c r="N2920" i="2"/>
  <c r="N2921" i="2"/>
  <c r="N2922" i="2"/>
  <c r="N2923" i="2"/>
  <c r="N2924" i="2"/>
  <c r="N2925" i="2"/>
  <c r="N2926" i="2"/>
  <c r="N2927" i="2"/>
  <c r="N2928" i="2"/>
  <c r="N2929" i="2"/>
  <c r="N2930" i="2"/>
  <c r="N2931" i="2"/>
  <c r="N2932" i="2"/>
  <c r="N2933" i="2"/>
  <c r="N2934" i="2"/>
  <c r="N2935" i="2"/>
  <c r="N2936" i="2"/>
  <c r="N2937" i="2"/>
  <c r="N2938" i="2"/>
  <c r="N2939" i="2"/>
  <c r="N2940" i="2"/>
  <c r="N2941" i="2"/>
  <c r="N2942" i="2"/>
  <c r="N2943" i="2"/>
  <c r="N2944" i="2"/>
  <c r="N2945" i="2"/>
  <c r="N2946" i="2"/>
  <c r="N2947" i="2"/>
  <c r="N2948" i="2"/>
  <c r="N2949" i="2"/>
  <c r="N2950" i="2"/>
  <c r="N2951" i="2"/>
  <c r="N2952" i="2"/>
  <c r="N2953" i="2"/>
  <c r="N2954" i="2"/>
  <c r="N2955" i="2"/>
  <c r="N2956" i="2"/>
  <c r="N2957" i="2"/>
  <c r="N2958" i="2"/>
  <c r="N2959" i="2"/>
  <c r="N2960" i="2"/>
  <c r="N2961" i="2"/>
  <c r="N2962" i="2"/>
  <c r="N2963" i="2"/>
  <c r="N2964" i="2"/>
  <c r="N2965" i="2"/>
  <c r="N2966" i="2"/>
  <c r="N2967" i="2"/>
  <c r="N2968" i="2"/>
  <c r="N2969" i="2"/>
  <c r="N2970" i="2"/>
  <c r="N2971" i="2"/>
  <c r="N2972" i="2"/>
  <c r="N2973" i="2"/>
  <c r="N2974" i="2"/>
  <c r="N2975" i="2"/>
  <c r="N2976" i="2"/>
  <c r="N2977" i="2"/>
  <c r="N2978" i="2"/>
  <c r="N2979" i="2"/>
  <c r="N2980" i="2"/>
  <c r="N2981" i="2"/>
  <c r="N2982" i="2"/>
  <c r="N2983" i="2"/>
  <c r="N2984" i="2"/>
  <c r="N2985" i="2"/>
  <c r="N2986" i="2"/>
  <c r="N2987" i="2"/>
  <c r="N2988" i="2"/>
  <c r="N2989" i="2"/>
  <c r="N2990" i="2"/>
  <c r="N2991" i="2"/>
  <c r="N2992" i="2"/>
  <c r="N2993" i="2"/>
  <c r="N2994" i="2"/>
  <c r="N2995" i="2"/>
  <c r="N2996" i="2"/>
  <c r="N2997" i="2"/>
  <c r="N2998" i="2"/>
  <c r="N2999" i="2"/>
  <c r="N3000" i="2"/>
  <c r="N3001" i="2"/>
  <c r="N3002" i="2"/>
  <c r="N3003" i="2"/>
  <c r="N3004" i="2"/>
  <c r="N3005" i="2"/>
  <c r="N3006" i="2"/>
  <c r="N3007" i="2"/>
  <c r="N3008" i="2"/>
  <c r="N3009" i="2"/>
  <c r="N3010" i="2"/>
  <c r="N3011" i="2"/>
  <c r="N3012" i="2"/>
  <c r="N3013" i="2"/>
  <c r="N3014" i="2"/>
  <c r="N3015" i="2"/>
  <c r="N3016" i="2"/>
  <c r="N3017" i="2"/>
  <c r="N3018" i="2"/>
  <c r="N3019" i="2"/>
  <c r="N3020" i="2"/>
  <c r="N3021" i="2"/>
  <c r="N3022" i="2"/>
  <c r="N3023" i="2"/>
  <c r="N3024" i="2"/>
  <c r="N3025" i="2"/>
  <c r="N3026" i="2"/>
  <c r="N3027" i="2"/>
  <c r="N3028" i="2"/>
  <c r="N3029" i="2"/>
  <c r="N3030" i="2"/>
  <c r="N3031" i="2"/>
  <c r="N3032" i="2"/>
  <c r="N3033" i="2"/>
  <c r="N3034" i="2"/>
  <c r="N3035" i="2"/>
  <c r="N3036" i="2"/>
  <c r="N3037" i="2"/>
  <c r="N3038" i="2"/>
  <c r="N3039" i="2"/>
  <c r="N3040" i="2"/>
  <c r="N3041" i="2"/>
  <c r="N3042" i="2"/>
  <c r="N3043" i="2"/>
  <c r="N3044" i="2"/>
  <c r="N3045" i="2"/>
  <c r="N3046" i="2"/>
  <c r="N3047" i="2"/>
  <c r="N3048" i="2"/>
  <c r="N3049" i="2"/>
  <c r="N3050" i="2"/>
  <c r="N3051" i="2"/>
  <c r="N3052" i="2"/>
  <c r="N3053" i="2"/>
  <c r="N3054" i="2"/>
  <c r="N3055" i="2"/>
  <c r="N3056" i="2"/>
  <c r="N3057" i="2"/>
  <c r="N3058" i="2"/>
  <c r="N3059" i="2"/>
  <c r="N3060" i="2"/>
  <c r="N3061" i="2"/>
  <c r="N3062" i="2"/>
  <c r="N3063" i="2"/>
  <c r="N3064" i="2"/>
  <c r="N3065" i="2"/>
  <c r="N3066" i="2"/>
  <c r="N3067" i="2"/>
  <c r="N3068" i="2"/>
  <c r="N3069" i="2"/>
  <c r="N3070" i="2"/>
  <c r="N3071" i="2"/>
  <c r="N3072" i="2"/>
  <c r="N3073" i="2"/>
  <c r="N3074" i="2"/>
  <c r="N3075" i="2"/>
  <c r="N3076" i="2"/>
  <c r="N3077" i="2"/>
  <c r="N3078" i="2"/>
  <c r="N3079" i="2"/>
  <c r="N3080" i="2"/>
  <c r="N3081" i="2"/>
  <c r="N3082" i="2"/>
  <c r="N3083" i="2"/>
  <c r="N3084" i="2"/>
  <c r="N3085" i="2"/>
  <c r="N3086" i="2"/>
  <c r="N3087" i="2"/>
  <c r="N3088" i="2"/>
  <c r="N3089" i="2"/>
  <c r="N3090" i="2"/>
  <c r="N3091" i="2"/>
  <c r="N3092" i="2"/>
  <c r="N3093" i="2"/>
  <c r="N3094" i="2"/>
  <c r="N3095" i="2"/>
  <c r="N3096" i="2"/>
  <c r="N3097" i="2"/>
  <c r="N3098" i="2"/>
  <c r="N3099" i="2"/>
  <c r="N3100" i="2"/>
  <c r="N3101" i="2"/>
  <c r="N3102" i="2"/>
  <c r="N3103" i="2"/>
  <c r="N3104" i="2"/>
  <c r="N3105" i="2"/>
  <c r="N3106" i="2"/>
  <c r="N3107" i="2"/>
  <c r="N3108" i="2"/>
  <c r="N3109" i="2"/>
  <c r="N3110" i="2"/>
  <c r="N3111" i="2"/>
  <c r="N3112" i="2"/>
  <c r="N3113" i="2"/>
  <c r="N3114" i="2"/>
  <c r="N3115" i="2"/>
  <c r="N3116" i="2"/>
  <c r="N3117" i="2"/>
  <c r="N3118" i="2"/>
  <c r="N3119" i="2"/>
  <c r="N3120" i="2"/>
  <c r="N3121" i="2"/>
  <c r="N3122" i="2"/>
  <c r="N3123" i="2"/>
  <c r="N3124" i="2"/>
  <c r="N3125" i="2"/>
  <c r="N3126" i="2"/>
  <c r="N3127" i="2"/>
  <c r="N3128" i="2"/>
  <c r="N3129" i="2"/>
  <c r="N3130" i="2"/>
  <c r="N3131" i="2"/>
  <c r="N3132" i="2"/>
  <c r="N3133" i="2"/>
  <c r="N3134" i="2"/>
  <c r="N3135" i="2"/>
  <c r="N3136" i="2"/>
  <c r="N3137" i="2"/>
  <c r="N3138" i="2"/>
  <c r="N3139" i="2"/>
  <c r="N3140" i="2"/>
  <c r="N3141" i="2"/>
  <c r="N3142" i="2"/>
  <c r="N3143" i="2"/>
  <c r="N3144" i="2"/>
  <c r="N3145" i="2"/>
  <c r="N3146" i="2"/>
  <c r="N3147" i="2"/>
  <c r="N3148" i="2"/>
  <c r="N3149" i="2"/>
  <c r="N3150" i="2"/>
  <c r="N3151" i="2"/>
  <c r="N3152" i="2"/>
  <c r="N3153" i="2"/>
  <c r="N3154" i="2"/>
  <c r="N3155" i="2"/>
  <c r="N3156" i="2"/>
  <c r="N3157" i="2"/>
  <c r="N3158" i="2"/>
  <c r="N3159" i="2"/>
  <c r="N3160" i="2"/>
  <c r="N3161" i="2"/>
  <c r="N3162" i="2"/>
  <c r="N3163" i="2"/>
  <c r="N3164" i="2"/>
  <c r="N3165" i="2"/>
  <c r="N3166" i="2"/>
  <c r="N3167" i="2"/>
  <c r="N3168" i="2"/>
  <c r="N3169" i="2"/>
  <c r="N3170" i="2"/>
  <c r="N3171" i="2"/>
  <c r="N3172" i="2"/>
  <c r="N3173" i="2"/>
  <c r="N3174" i="2"/>
  <c r="N3175" i="2"/>
  <c r="N3176" i="2"/>
  <c r="N3177" i="2"/>
  <c r="N3178" i="2"/>
  <c r="N3179" i="2"/>
  <c r="N3180" i="2"/>
  <c r="N3181" i="2"/>
  <c r="N3182" i="2"/>
  <c r="N3183" i="2"/>
  <c r="N3184" i="2"/>
  <c r="N3185" i="2"/>
  <c r="N3186" i="2"/>
  <c r="N3187" i="2"/>
  <c r="N3188" i="2"/>
  <c r="N3189" i="2"/>
  <c r="N3190" i="2"/>
  <c r="N3191" i="2"/>
  <c r="N3192" i="2"/>
  <c r="N3193" i="2"/>
  <c r="N3194" i="2"/>
  <c r="N3195" i="2"/>
  <c r="N3196" i="2"/>
  <c r="N3197" i="2"/>
  <c r="N3198" i="2"/>
  <c r="N3199" i="2"/>
  <c r="N3200" i="2"/>
  <c r="N3201" i="2"/>
  <c r="N3202" i="2"/>
  <c r="N3203" i="2"/>
  <c r="N3204" i="2"/>
  <c r="N3205" i="2"/>
  <c r="N3206" i="2"/>
  <c r="N3207" i="2"/>
  <c r="N3208" i="2"/>
  <c r="N3209" i="2"/>
  <c r="N3210" i="2"/>
  <c r="N3211" i="2"/>
  <c r="N3212" i="2"/>
  <c r="N3213" i="2"/>
  <c r="N3214" i="2"/>
  <c r="N3215" i="2"/>
  <c r="N3216" i="2"/>
  <c r="N3217" i="2"/>
  <c r="N3218" i="2"/>
  <c r="N3219" i="2"/>
  <c r="N3220" i="2"/>
  <c r="N3221" i="2"/>
  <c r="N3222" i="2"/>
  <c r="N3223" i="2"/>
  <c r="N3224" i="2"/>
  <c r="N3225" i="2"/>
  <c r="N3226" i="2"/>
  <c r="N3227" i="2"/>
  <c r="N3228" i="2"/>
  <c r="N3229" i="2"/>
  <c r="N3230" i="2"/>
  <c r="N3231" i="2"/>
  <c r="N3232" i="2"/>
  <c r="N3233" i="2"/>
  <c r="N3234" i="2"/>
  <c r="N3235" i="2"/>
  <c r="N3236" i="2"/>
  <c r="N3237" i="2"/>
  <c r="N3238" i="2"/>
  <c r="N3239" i="2"/>
  <c r="N3240" i="2"/>
  <c r="N3241" i="2"/>
  <c r="N3242" i="2"/>
  <c r="N3243" i="2"/>
  <c r="N3244" i="2"/>
  <c r="N3245" i="2"/>
  <c r="N3246" i="2"/>
  <c r="N3247" i="2"/>
  <c r="N3248" i="2"/>
  <c r="N3249" i="2"/>
  <c r="N3250" i="2"/>
  <c r="N3251" i="2"/>
  <c r="N3252" i="2"/>
  <c r="N3253" i="2"/>
  <c r="N3254" i="2"/>
  <c r="N3255" i="2"/>
  <c r="N3256" i="2"/>
  <c r="N3257" i="2"/>
  <c r="N3258" i="2"/>
  <c r="N3259" i="2"/>
  <c r="N3260" i="2"/>
  <c r="N3261" i="2"/>
  <c r="N3262" i="2"/>
  <c r="N3263" i="2"/>
  <c r="N3264" i="2"/>
  <c r="N3265" i="2"/>
  <c r="N3266" i="2"/>
  <c r="N3267" i="2"/>
  <c r="N3268" i="2"/>
  <c r="N3269" i="2"/>
  <c r="N3270" i="2"/>
  <c r="N3271" i="2"/>
  <c r="N3272" i="2"/>
  <c r="N3273" i="2"/>
  <c r="N3274" i="2"/>
  <c r="N3275" i="2"/>
  <c r="N3276" i="2"/>
  <c r="N3277" i="2"/>
  <c r="N3278" i="2"/>
  <c r="N3279" i="2"/>
  <c r="N3280" i="2"/>
  <c r="N3281" i="2"/>
  <c r="N3282" i="2"/>
  <c r="N3283" i="2"/>
  <c r="N3284" i="2"/>
  <c r="N3285" i="2"/>
  <c r="N3286" i="2"/>
  <c r="N3287" i="2"/>
  <c r="N3288" i="2"/>
  <c r="N3289" i="2"/>
  <c r="N3290" i="2"/>
  <c r="N3291" i="2"/>
  <c r="N3292" i="2"/>
  <c r="N3293" i="2"/>
  <c r="N3294" i="2"/>
  <c r="N3295" i="2"/>
  <c r="N3296" i="2"/>
  <c r="N3297" i="2"/>
  <c r="N3298" i="2"/>
  <c r="N3299" i="2"/>
  <c r="N3300" i="2"/>
  <c r="N3301" i="2"/>
  <c r="N3302" i="2"/>
  <c r="N3303" i="2"/>
  <c r="N3304" i="2"/>
  <c r="N3305" i="2"/>
  <c r="N3306" i="2"/>
  <c r="N3307" i="2"/>
  <c r="N3308" i="2"/>
  <c r="N3309" i="2"/>
  <c r="N3310" i="2"/>
  <c r="N3311" i="2"/>
  <c r="N3312" i="2"/>
  <c r="N3313" i="2"/>
  <c r="N3314" i="2"/>
  <c r="N3315" i="2"/>
  <c r="N3316" i="2"/>
  <c r="N3317" i="2"/>
  <c r="N3318" i="2"/>
  <c r="N3319" i="2"/>
  <c r="N3320" i="2"/>
  <c r="N3321" i="2"/>
  <c r="N3322" i="2"/>
  <c r="N3323" i="2"/>
  <c r="N3324" i="2"/>
  <c r="N3325" i="2"/>
  <c r="N3326" i="2"/>
  <c r="N3327" i="2"/>
  <c r="N3328" i="2"/>
  <c r="N3329" i="2"/>
  <c r="N3330" i="2"/>
  <c r="N3331" i="2"/>
  <c r="N3332" i="2"/>
  <c r="N3333" i="2"/>
  <c r="N3334" i="2"/>
  <c r="N3335" i="2"/>
  <c r="N3336" i="2"/>
  <c r="N3337" i="2"/>
  <c r="N3338" i="2"/>
  <c r="N3339" i="2"/>
  <c r="N3340" i="2"/>
  <c r="N3341" i="2"/>
  <c r="N3342" i="2"/>
  <c r="N3343" i="2"/>
  <c r="N3344" i="2"/>
  <c r="N3345" i="2"/>
  <c r="N3346" i="2"/>
  <c r="N3347" i="2"/>
  <c r="N3348" i="2"/>
  <c r="N3349" i="2"/>
  <c r="N3350" i="2"/>
  <c r="N3351" i="2"/>
  <c r="N3352" i="2"/>
  <c r="N3353" i="2"/>
  <c r="N3354" i="2"/>
  <c r="N3355" i="2"/>
  <c r="N3356" i="2"/>
  <c r="N3357" i="2"/>
  <c r="N3358" i="2"/>
  <c r="N3359" i="2"/>
  <c r="N3360" i="2"/>
  <c r="N3361" i="2"/>
  <c r="N3362" i="2"/>
  <c r="N3363" i="2"/>
  <c r="N3364" i="2"/>
  <c r="N3365" i="2"/>
  <c r="N3366" i="2"/>
  <c r="N3367" i="2"/>
  <c r="N3368" i="2"/>
  <c r="N3369" i="2"/>
  <c r="N3370" i="2"/>
  <c r="N3371" i="2"/>
  <c r="N3372" i="2"/>
  <c r="N3373" i="2"/>
  <c r="N3374" i="2"/>
  <c r="N3375" i="2"/>
  <c r="N3376" i="2"/>
  <c r="N3377" i="2"/>
  <c r="N3378" i="2"/>
  <c r="N3379" i="2"/>
  <c r="N3380" i="2"/>
  <c r="N3381" i="2"/>
  <c r="N3382" i="2"/>
  <c r="N3383" i="2"/>
  <c r="N3384" i="2"/>
  <c r="N3385" i="2"/>
  <c r="N3386" i="2"/>
  <c r="N3387" i="2"/>
  <c r="N3388" i="2"/>
  <c r="N3389" i="2"/>
  <c r="N3390" i="2"/>
  <c r="N3391" i="2"/>
  <c r="N3392" i="2"/>
  <c r="N3393" i="2"/>
  <c r="N3394" i="2"/>
  <c r="N3395" i="2"/>
  <c r="N3396" i="2"/>
  <c r="N3397" i="2"/>
  <c r="N3398" i="2"/>
  <c r="N3399" i="2"/>
  <c r="N3400" i="2"/>
  <c r="N3401" i="2"/>
  <c r="N3402" i="2"/>
  <c r="N3403" i="2"/>
  <c r="N3404" i="2"/>
  <c r="N3405" i="2"/>
  <c r="N3406" i="2"/>
  <c r="N3407" i="2"/>
  <c r="N3408" i="2"/>
  <c r="N3409" i="2"/>
  <c r="N3410" i="2"/>
  <c r="N3411" i="2"/>
  <c r="N3412" i="2"/>
  <c r="N3413" i="2"/>
  <c r="N3414" i="2"/>
  <c r="N3415" i="2"/>
  <c r="N3416" i="2"/>
  <c r="N3417" i="2"/>
  <c r="N3418" i="2"/>
  <c r="N3419" i="2"/>
  <c r="N3420" i="2"/>
  <c r="N3421" i="2"/>
  <c r="N3422" i="2"/>
  <c r="N3423" i="2"/>
  <c r="N3424" i="2"/>
  <c r="N3425" i="2"/>
  <c r="N3426" i="2"/>
  <c r="N3427" i="2"/>
  <c r="N3428" i="2"/>
  <c r="N3429" i="2"/>
  <c r="N3430" i="2"/>
  <c r="N3431" i="2"/>
  <c r="N3432" i="2"/>
  <c r="N3433" i="2"/>
  <c r="N3434" i="2"/>
  <c r="N3435" i="2"/>
  <c r="N3436" i="2"/>
  <c r="N3437" i="2"/>
  <c r="N3438" i="2"/>
  <c r="N3439" i="2"/>
  <c r="N3440" i="2"/>
  <c r="N3441" i="2"/>
  <c r="N3442" i="2"/>
  <c r="N3443" i="2"/>
  <c r="N3444" i="2"/>
  <c r="N3445" i="2"/>
  <c r="N3446" i="2"/>
  <c r="N3447" i="2"/>
  <c r="N3448" i="2"/>
  <c r="N3449" i="2"/>
  <c r="N3450" i="2"/>
  <c r="N3451" i="2"/>
  <c r="N3452" i="2"/>
  <c r="N3453" i="2"/>
  <c r="N3454" i="2"/>
  <c r="N3455" i="2"/>
  <c r="N3456" i="2"/>
  <c r="N3457" i="2"/>
  <c r="N3458" i="2"/>
  <c r="N3459" i="2"/>
  <c r="N3460" i="2"/>
  <c r="N3461" i="2"/>
  <c r="N3462" i="2"/>
  <c r="N3463" i="2"/>
  <c r="N3464" i="2"/>
  <c r="N3465" i="2"/>
  <c r="N3466" i="2"/>
  <c r="N3467" i="2"/>
  <c r="N3468" i="2"/>
  <c r="N3469" i="2"/>
  <c r="N3470" i="2"/>
  <c r="N3471" i="2"/>
  <c r="N3472" i="2"/>
  <c r="N3473" i="2"/>
  <c r="N3474" i="2"/>
  <c r="N3475" i="2"/>
  <c r="N3476" i="2"/>
  <c r="N3477" i="2"/>
  <c r="N3478" i="2"/>
  <c r="N3479" i="2"/>
  <c r="N3480" i="2"/>
  <c r="N3481" i="2"/>
  <c r="N3482" i="2"/>
  <c r="N3483" i="2"/>
  <c r="N3484" i="2"/>
  <c r="N3485" i="2"/>
  <c r="N3486" i="2"/>
  <c r="N3487" i="2"/>
  <c r="N3488" i="2"/>
  <c r="N3489" i="2"/>
  <c r="N3490" i="2"/>
  <c r="N3491" i="2"/>
  <c r="N3492" i="2"/>
  <c r="N3493" i="2"/>
  <c r="N3494" i="2"/>
  <c r="N3495" i="2"/>
  <c r="N3496" i="2"/>
  <c r="N3497" i="2"/>
  <c r="N3498" i="2"/>
  <c r="N3499" i="2"/>
  <c r="N3500" i="2"/>
  <c r="N3501" i="2"/>
  <c r="N3502" i="2"/>
  <c r="N3503" i="2"/>
  <c r="N3504" i="2"/>
  <c r="N3505" i="2"/>
  <c r="N3506" i="2"/>
  <c r="N3507" i="2"/>
  <c r="N3508" i="2"/>
  <c r="N3509" i="2"/>
  <c r="N3510" i="2"/>
  <c r="N3511" i="2"/>
  <c r="N3512" i="2"/>
  <c r="N3513" i="2"/>
  <c r="N3514" i="2"/>
  <c r="N3515" i="2"/>
  <c r="N3516" i="2"/>
  <c r="N3517" i="2"/>
  <c r="N3518" i="2"/>
  <c r="N3519" i="2"/>
  <c r="N3520" i="2"/>
  <c r="N3521" i="2"/>
  <c r="N3522" i="2"/>
  <c r="N3523" i="2"/>
  <c r="N3524" i="2"/>
  <c r="N3525" i="2"/>
  <c r="N3526" i="2"/>
  <c r="N3527" i="2"/>
  <c r="N3528" i="2"/>
  <c r="N3529" i="2"/>
  <c r="N3530" i="2"/>
  <c r="N3531" i="2"/>
  <c r="N3532" i="2"/>
  <c r="N3533" i="2"/>
  <c r="N3534" i="2"/>
  <c r="N3535" i="2"/>
  <c r="N3536" i="2"/>
  <c r="N3537" i="2"/>
  <c r="N3538" i="2"/>
  <c r="N3539" i="2"/>
  <c r="N3540" i="2"/>
  <c r="N3541" i="2"/>
  <c r="N3542" i="2"/>
  <c r="N3543" i="2"/>
  <c r="N3544" i="2"/>
  <c r="N3545" i="2"/>
  <c r="N3546" i="2"/>
  <c r="N3547" i="2"/>
  <c r="N3548" i="2"/>
  <c r="N3549" i="2"/>
  <c r="N3550" i="2"/>
  <c r="N3551" i="2"/>
  <c r="N3552" i="2"/>
  <c r="N3553" i="2"/>
  <c r="N3554" i="2"/>
  <c r="N3555" i="2"/>
  <c r="N3556" i="2"/>
  <c r="N3557" i="2"/>
  <c r="N3558" i="2"/>
  <c r="N3559" i="2"/>
  <c r="N3560" i="2"/>
  <c r="N3561" i="2"/>
  <c r="N3562" i="2"/>
  <c r="N3563" i="2"/>
  <c r="N3564" i="2"/>
  <c r="N3565" i="2"/>
  <c r="N3566" i="2"/>
  <c r="N3567" i="2"/>
  <c r="N3568" i="2"/>
  <c r="N3569" i="2"/>
  <c r="N3570" i="2"/>
  <c r="N3571" i="2"/>
  <c r="N3572" i="2"/>
  <c r="N3573" i="2"/>
  <c r="N3574" i="2"/>
  <c r="N3575" i="2"/>
  <c r="N3576" i="2"/>
  <c r="N3577" i="2"/>
  <c r="N3578" i="2"/>
  <c r="N3579" i="2"/>
  <c r="N3580" i="2"/>
  <c r="N3581" i="2"/>
  <c r="N3582" i="2"/>
  <c r="N3583" i="2"/>
  <c r="N3584" i="2"/>
  <c r="N3585" i="2"/>
  <c r="N3586" i="2"/>
  <c r="N3587" i="2"/>
  <c r="N3588" i="2"/>
  <c r="N3589" i="2"/>
  <c r="N3590" i="2"/>
  <c r="N3591" i="2"/>
  <c r="N3592" i="2"/>
  <c r="N3593" i="2"/>
  <c r="N3594" i="2"/>
  <c r="N3595" i="2"/>
  <c r="N3596" i="2"/>
  <c r="N3597" i="2"/>
  <c r="N3598" i="2"/>
  <c r="N3599" i="2"/>
  <c r="N3600" i="2"/>
  <c r="N3601" i="2"/>
  <c r="N3602" i="2"/>
  <c r="N3603" i="2"/>
  <c r="N3604" i="2"/>
  <c r="N3605" i="2"/>
  <c r="N3606" i="2"/>
  <c r="N3607" i="2"/>
  <c r="N3608" i="2"/>
  <c r="N3609" i="2"/>
  <c r="N3610" i="2"/>
  <c r="N3611" i="2"/>
  <c r="N3612" i="2"/>
  <c r="N3613" i="2"/>
  <c r="N3614" i="2"/>
  <c r="N3615" i="2"/>
  <c r="N3616" i="2"/>
  <c r="N3617" i="2"/>
  <c r="N3618" i="2"/>
  <c r="N3619" i="2"/>
  <c r="N3620" i="2"/>
  <c r="N3621" i="2"/>
  <c r="N3622" i="2"/>
  <c r="N3623" i="2"/>
  <c r="N3624" i="2"/>
  <c r="N3625" i="2"/>
  <c r="N3626" i="2"/>
  <c r="N3627" i="2"/>
  <c r="N3628" i="2"/>
  <c r="N3629" i="2"/>
  <c r="N3630" i="2"/>
  <c r="N3631" i="2"/>
  <c r="N3632" i="2"/>
  <c r="N3633" i="2"/>
  <c r="N3634" i="2"/>
  <c r="N3635" i="2"/>
  <c r="N3636" i="2"/>
  <c r="N3637" i="2"/>
  <c r="N3638" i="2"/>
  <c r="N3639" i="2"/>
  <c r="N3640" i="2"/>
  <c r="N3641" i="2"/>
  <c r="N3642" i="2"/>
  <c r="N3643" i="2"/>
  <c r="N3644" i="2"/>
  <c r="N3645" i="2"/>
  <c r="N3646" i="2"/>
  <c r="N3647" i="2"/>
  <c r="N3648" i="2"/>
  <c r="N3649" i="2"/>
  <c r="N3650" i="2"/>
  <c r="N3651" i="2"/>
  <c r="N3652" i="2"/>
  <c r="N3653" i="2"/>
  <c r="N3654" i="2"/>
  <c r="N3655" i="2"/>
  <c r="N3656" i="2"/>
  <c r="N3657" i="2"/>
  <c r="N3658" i="2"/>
  <c r="N3659" i="2"/>
  <c r="N3660" i="2"/>
  <c r="N3661" i="2"/>
  <c r="N3662" i="2"/>
  <c r="N3663" i="2"/>
  <c r="N3664" i="2"/>
  <c r="N3665" i="2"/>
  <c r="N3666" i="2"/>
  <c r="N3667" i="2"/>
  <c r="N3668" i="2"/>
  <c r="N3669" i="2"/>
  <c r="N3670" i="2"/>
  <c r="N3671" i="2"/>
  <c r="N3672" i="2"/>
  <c r="N3673" i="2"/>
  <c r="N3674" i="2"/>
  <c r="N3675" i="2"/>
  <c r="N3676" i="2"/>
  <c r="N3677" i="2"/>
  <c r="N3678" i="2"/>
  <c r="N3679" i="2"/>
  <c r="N3680" i="2"/>
  <c r="N3681" i="2"/>
  <c r="N3682" i="2"/>
  <c r="N3683" i="2"/>
  <c r="N3684" i="2"/>
  <c r="N3685" i="2"/>
  <c r="N3686" i="2"/>
  <c r="N3687" i="2"/>
  <c r="N3688" i="2"/>
  <c r="N3689" i="2"/>
  <c r="N3690" i="2"/>
  <c r="N3691" i="2"/>
  <c r="N3692" i="2"/>
  <c r="N3693" i="2"/>
  <c r="N3694" i="2"/>
  <c r="N3695" i="2"/>
  <c r="N3696" i="2"/>
  <c r="N3697" i="2"/>
  <c r="N3698" i="2"/>
  <c r="N3699" i="2"/>
  <c r="N3700" i="2"/>
  <c r="N3701" i="2"/>
  <c r="N3702" i="2"/>
  <c r="N3703" i="2"/>
  <c r="N3704" i="2"/>
  <c r="N3705" i="2"/>
  <c r="N3706" i="2"/>
  <c r="N3707" i="2"/>
  <c r="N3708" i="2"/>
  <c r="N3709" i="2"/>
  <c r="N3710" i="2"/>
  <c r="N3711" i="2"/>
  <c r="N3712" i="2"/>
  <c r="N3713" i="2"/>
  <c r="N3714" i="2"/>
  <c r="N3715" i="2"/>
  <c r="N3716" i="2"/>
  <c r="N3717" i="2"/>
  <c r="N3718" i="2"/>
  <c r="N3719" i="2"/>
  <c r="N3720" i="2"/>
  <c r="N3721" i="2"/>
  <c r="N3722" i="2"/>
  <c r="N3723" i="2"/>
  <c r="N3724" i="2"/>
  <c r="N3725" i="2"/>
  <c r="N3726" i="2"/>
  <c r="N3727" i="2"/>
  <c r="N3728" i="2"/>
  <c r="N3729" i="2"/>
  <c r="N3730" i="2"/>
  <c r="N3731" i="2"/>
  <c r="N3732" i="2"/>
  <c r="N3733" i="2"/>
  <c r="N3734" i="2"/>
  <c r="N3735" i="2"/>
  <c r="N3736" i="2"/>
  <c r="N3737" i="2"/>
  <c r="N3738" i="2"/>
  <c r="N3739" i="2"/>
  <c r="N3740" i="2"/>
  <c r="N3741" i="2"/>
  <c r="N3742" i="2"/>
  <c r="N3743" i="2"/>
  <c r="N3744" i="2"/>
  <c r="N3745" i="2"/>
  <c r="N3746" i="2"/>
  <c r="N3747" i="2"/>
  <c r="N3748" i="2"/>
  <c r="N3749" i="2"/>
  <c r="N3750" i="2"/>
  <c r="N3751" i="2"/>
  <c r="N3752" i="2"/>
  <c r="N3753" i="2"/>
  <c r="N3754" i="2"/>
  <c r="N3755" i="2"/>
  <c r="N3756" i="2"/>
  <c r="N3757" i="2"/>
  <c r="N3758" i="2"/>
  <c r="N3759" i="2"/>
  <c r="N3760" i="2"/>
  <c r="N3761" i="2"/>
  <c r="N3762" i="2"/>
  <c r="N3763" i="2"/>
  <c r="N3764" i="2"/>
  <c r="N3765" i="2"/>
  <c r="N3766" i="2"/>
  <c r="N3767" i="2"/>
  <c r="N3768" i="2"/>
  <c r="N3769" i="2"/>
  <c r="N3770" i="2"/>
  <c r="N3771" i="2"/>
  <c r="N3772" i="2"/>
  <c r="N3773" i="2"/>
  <c r="N3774" i="2"/>
  <c r="N3775" i="2"/>
  <c r="N3776" i="2"/>
  <c r="N3777" i="2"/>
  <c r="N3778" i="2"/>
  <c r="N3779" i="2"/>
  <c r="N3780" i="2"/>
  <c r="N3781" i="2"/>
  <c r="N3782" i="2"/>
  <c r="N3783" i="2"/>
  <c r="N3784" i="2"/>
  <c r="N3785" i="2"/>
  <c r="N3786" i="2"/>
  <c r="N3787" i="2"/>
  <c r="N3788" i="2"/>
  <c r="N3789" i="2"/>
  <c r="N3790" i="2"/>
  <c r="N3791" i="2"/>
  <c r="N3792" i="2"/>
  <c r="N3793" i="2"/>
  <c r="N3794" i="2"/>
  <c r="N3795" i="2"/>
  <c r="N3796" i="2"/>
  <c r="N3797" i="2"/>
  <c r="N3798" i="2"/>
  <c r="N3799" i="2"/>
  <c r="N3800" i="2"/>
  <c r="N3801" i="2"/>
  <c r="N3802" i="2"/>
  <c r="N3803" i="2"/>
  <c r="N3804" i="2"/>
  <c r="N3805" i="2"/>
  <c r="N3806" i="2"/>
  <c r="N3807" i="2"/>
  <c r="N3808" i="2"/>
  <c r="N3809" i="2"/>
  <c r="N3810" i="2"/>
  <c r="N3811" i="2"/>
  <c r="N3812" i="2"/>
  <c r="N3813" i="2"/>
  <c r="N3814" i="2"/>
  <c r="N3815" i="2"/>
  <c r="N3816" i="2"/>
  <c r="N3817" i="2"/>
  <c r="N3818" i="2"/>
  <c r="N3819" i="2"/>
  <c r="N3820" i="2"/>
  <c r="N3821" i="2"/>
  <c r="N3822" i="2"/>
  <c r="N3823" i="2"/>
  <c r="N3824" i="2"/>
  <c r="N3825" i="2"/>
  <c r="N3826" i="2"/>
  <c r="N3827" i="2"/>
  <c r="N3828" i="2"/>
  <c r="N3829" i="2"/>
  <c r="N3830" i="2"/>
  <c r="N3831" i="2"/>
  <c r="N3832" i="2"/>
  <c r="N3833" i="2"/>
  <c r="N3834" i="2"/>
  <c r="N3835" i="2"/>
  <c r="N3836" i="2"/>
  <c r="N3837" i="2"/>
  <c r="N3838" i="2"/>
  <c r="N3839" i="2"/>
  <c r="N3840" i="2"/>
  <c r="N3841" i="2"/>
  <c r="N3842" i="2"/>
  <c r="N3843" i="2"/>
  <c r="N3844" i="2"/>
  <c r="N3845" i="2"/>
  <c r="N3846" i="2"/>
  <c r="N3847" i="2"/>
  <c r="N3848" i="2"/>
  <c r="N3849" i="2"/>
  <c r="N3850" i="2"/>
  <c r="N3851" i="2"/>
  <c r="N3852" i="2"/>
  <c r="N3853" i="2"/>
  <c r="N3854" i="2"/>
  <c r="N3855" i="2"/>
  <c r="N3856" i="2"/>
  <c r="N3857" i="2"/>
  <c r="N3858" i="2"/>
  <c r="N3859" i="2"/>
  <c r="N3860" i="2"/>
  <c r="N3861" i="2"/>
  <c r="N3862" i="2"/>
  <c r="N3863" i="2"/>
  <c r="N3864" i="2"/>
  <c r="N3865" i="2"/>
  <c r="N3866" i="2"/>
  <c r="N3867" i="2"/>
  <c r="N3868" i="2"/>
  <c r="N3869" i="2"/>
  <c r="N3870" i="2"/>
  <c r="N3871" i="2"/>
  <c r="N3872" i="2"/>
  <c r="N3873" i="2"/>
  <c r="N3874" i="2"/>
  <c r="N3875" i="2"/>
  <c r="N3876" i="2"/>
  <c r="N3877" i="2"/>
  <c r="N3878" i="2"/>
  <c r="N3879" i="2"/>
  <c r="N3880" i="2"/>
  <c r="N3881" i="2"/>
  <c r="N3882" i="2"/>
  <c r="N3883" i="2"/>
  <c r="N3884" i="2"/>
  <c r="N3885" i="2"/>
  <c r="N3886" i="2"/>
  <c r="N3887" i="2"/>
  <c r="N3888" i="2"/>
  <c r="N3889" i="2"/>
  <c r="N3890" i="2"/>
  <c r="N3891" i="2"/>
  <c r="N3892" i="2"/>
  <c r="N3893" i="2"/>
  <c r="N3894" i="2"/>
  <c r="N3895" i="2"/>
  <c r="N3896" i="2"/>
  <c r="N3897" i="2"/>
  <c r="N3898" i="2"/>
  <c r="N3899" i="2"/>
  <c r="N3900" i="2"/>
  <c r="N3901" i="2"/>
  <c r="N3902" i="2"/>
  <c r="N3903" i="2"/>
  <c r="N3904" i="2"/>
  <c r="N3905" i="2"/>
  <c r="N3906" i="2"/>
  <c r="N3907" i="2"/>
  <c r="N3908" i="2"/>
  <c r="N3909" i="2"/>
  <c r="N3910" i="2"/>
  <c r="N3911" i="2"/>
  <c r="N3912" i="2"/>
  <c r="N3913" i="2"/>
  <c r="N3914" i="2"/>
  <c r="N3915" i="2"/>
  <c r="N3916" i="2"/>
  <c r="N3917" i="2"/>
  <c r="N3918" i="2"/>
  <c r="N3919" i="2"/>
  <c r="N3920" i="2"/>
  <c r="N3921" i="2"/>
  <c r="N3922" i="2"/>
  <c r="N3923" i="2"/>
  <c r="N3924" i="2"/>
  <c r="N3925" i="2"/>
  <c r="N3926" i="2"/>
  <c r="N3927" i="2"/>
  <c r="N3928" i="2"/>
  <c r="N3929" i="2"/>
  <c r="N3930" i="2"/>
  <c r="N3931" i="2"/>
  <c r="N3932" i="2"/>
  <c r="N3933" i="2"/>
  <c r="N3934" i="2"/>
  <c r="N3935" i="2"/>
  <c r="N3936" i="2"/>
  <c r="N3937" i="2"/>
  <c r="N3938" i="2"/>
  <c r="N3939" i="2"/>
  <c r="N3940" i="2"/>
  <c r="N3941" i="2"/>
  <c r="N3942" i="2"/>
  <c r="N3943" i="2"/>
  <c r="N3944" i="2"/>
  <c r="N3945" i="2"/>
  <c r="N3946" i="2"/>
  <c r="N3947" i="2"/>
  <c r="N3948" i="2"/>
  <c r="N3949" i="2"/>
  <c r="N3950" i="2"/>
  <c r="N3951" i="2"/>
  <c r="N3952" i="2"/>
  <c r="N3953" i="2"/>
  <c r="N3954" i="2"/>
  <c r="N3955" i="2"/>
  <c r="N3956" i="2"/>
  <c r="N3957" i="2"/>
  <c r="N3958" i="2"/>
  <c r="N3959" i="2"/>
  <c r="N3960" i="2"/>
  <c r="N3961" i="2"/>
  <c r="N3962" i="2"/>
  <c r="N3963" i="2"/>
  <c r="N3964" i="2"/>
  <c r="N3965" i="2"/>
  <c r="N3966" i="2"/>
  <c r="N3967" i="2"/>
  <c r="N3968" i="2"/>
  <c r="N3969" i="2"/>
  <c r="N3970" i="2"/>
  <c r="N3971" i="2"/>
  <c r="N3972" i="2"/>
  <c r="N3973" i="2"/>
  <c r="N3974" i="2"/>
  <c r="N3975" i="2"/>
  <c r="N3976" i="2"/>
  <c r="N3977" i="2"/>
  <c r="N3978" i="2"/>
  <c r="N3979" i="2"/>
  <c r="N3980" i="2"/>
  <c r="N3981" i="2"/>
  <c r="N3982" i="2"/>
  <c r="N3983" i="2"/>
  <c r="N3984" i="2"/>
  <c r="N3985" i="2"/>
  <c r="N3986" i="2"/>
  <c r="N3987" i="2"/>
  <c r="N3988" i="2"/>
  <c r="N3989" i="2"/>
  <c r="N3990" i="2"/>
  <c r="N3991" i="2"/>
  <c r="N3992" i="2"/>
  <c r="N3993" i="2"/>
  <c r="N3994" i="2"/>
  <c r="N3995" i="2"/>
  <c r="N3996" i="2"/>
  <c r="N3997" i="2"/>
  <c r="N3998" i="2"/>
  <c r="N3999" i="2"/>
  <c r="N4000" i="2"/>
  <c r="N4001" i="2"/>
  <c r="N4002" i="2"/>
  <c r="N4003" i="2"/>
  <c r="N4004" i="2"/>
  <c r="N4005" i="2"/>
  <c r="N4006" i="2"/>
  <c r="N4007" i="2"/>
  <c r="N4008" i="2"/>
  <c r="N4009" i="2"/>
  <c r="N4010" i="2"/>
  <c r="N4011" i="2"/>
  <c r="N4012" i="2"/>
  <c r="N4013" i="2"/>
  <c r="N4014" i="2"/>
  <c r="N4015" i="2"/>
  <c r="N4016" i="2"/>
  <c r="N4017" i="2"/>
  <c r="N4018" i="2"/>
  <c r="N4019" i="2"/>
  <c r="N4020" i="2"/>
  <c r="N4021" i="2"/>
  <c r="N4022" i="2"/>
  <c r="N4023" i="2"/>
  <c r="N4024" i="2"/>
  <c r="N4025" i="2"/>
  <c r="N4026" i="2"/>
  <c r="N4027" i="2"/>
  <c r="N4028" i="2"/>
  <c r="N4029" i="2"/>
  <c r="N4030" i="2"/>
  <c r="N4031" i="2"/>
  <c r="N4032" i="2"/>
  <c r="N4033" i="2"/>
  <c r="N4034" i="2"/>
  <c r="N4035" i="2"/>
  <c r="N4036" i="2"/>
  <c r="N4037" i="2"/>
  <c r="N4038" i="2"/>
  <c r="N4039" i="2"/>
  <c r="N4040" i="2"/>
  <c r="N4041" i="2"/>
  <c r="N4042" i="2"/>
  <c r="N4043" i="2"/>
  <c r="N4044" i="2"/>
  <c r="N4045" i="2"/>
  <c r="N4046" i="2"/>
  <c r="N4047" i="2"/>
  <c r="N4048" i="2"/>
  <c r="N4049" i="2"/>
  <c r="N4050" i="2"/>
  <c r="N4051" i="2"/>
  <c r="N4052" i="2"/>
  <c r="N4053" i="2"/>
  <c r="N4054" i="2"/>
  <c r="N4055" i="2"/>
  <c r="N4056" i="2"/>
  <c r="N4057" i="2"/>
  <c r="N4058" i="2"/>
  <c r="N4059" i="2"/>
  <c r="N4060" i="2"/>
  <c r="N4061" i="2"/>
  <c r="N4062" i="2"/>
  <c r="N4063" i="2"/>
  <c r="N4064" i="2"/>
  <c r="N4065" i="2"/>
  <c r="N4066" i="2"/>
  <c r="N4067" i="2"/>
  <c r="N4068" i="2"/>
  <c r="N4069" i="2"/>
  <c r="N4070" i="2"/>
  <c r="N4071" i="2"/>
  <c r="N4072" i="2"/>
  <c r="N4073" i="2"/>
  <c r="N4074" i="2"/>
  <c r="N4075" i="2"/>
  <c r="N4076" i="2"/>
  <c r="N4077" i="2"/>
  <c r="N4078" i="2"/>
  <c r="N4079" i="2"/>
  <c r="N4080" i="2"/>
  <c r="N4081" i="2"/>
  <c r="N4082" i="2"/>
  <c r="N4083" i="2"/>
  <c r="N4084" i="2"/>
  <c r="N4085" i="2"/>
  <c r="N4086" i="2"/>
  <c r="N4087" i="2"/>
  <c r="N4088" i="2"/>
  <c r="N4089" i="2"/>
  <c r="N4090" i="2"/>
  <c r="N4091" i="2"/>
  <c r="N4092" i="2"/>
  <c r="N4093" i="2"/>
  <c r="N4094" i="2"/>
  <c r="N4095" i="2"/>
  <c r="N4096" i="2"/>
  <c r="N4097" i="2"/>
  <c r="N4098" i="2"/>
  <c r="N4099" i="2"/>
  <c r="N4100" i="2"/>
  <c r="N4101" i="2"/>
  <c r="N4102" i="2"/>
  <c r="N4103" i="2"/>
  <c r="N4104" i="2"/>
  <c r="N4105" i="2"/>
  <c r="N4106" i="2"/>
  <c r="N4107" i="2"/>
  <c r="N4108" i="2"/>
  <c r="N4109" i="2"/>
  <c r="N4110" i="2"/>
  <c r="N4111" i="2"/>
  <c r="N4112" i="2"/>
  <c r="N4113" i="2"/>
  <c r="N4114" i="2"/>
  <c r="N4115" i="2"/>
  <c r="N4116" i="2"/>
  <c r="N4117" i="2"/>
  <c r="N4118" i="2"/>
  <c r="N4119" i="2"/>
  <c r="N4120" i="2"/>
  <c r="N4121" i="2"/>
  <c r="N4122" i="2"/>
  <c r="N4123" i="2"/>
  <c r="N4124" i="2"/>
  <c r="N4125" i="2"/>
  <c r="N4126" i="2"/>
  <c r="N4127" i="2"/>
  <c r="N4128" i="2"/>
  <c r="N4129" i="2"/>
  <c r="N4130" i="2"/>
  <c r="N4131" i="2"/>
  <c r="N4132" i="2"/>
  <c r="N4133" i="2"/>
  <c r="N4134" i="2"/>
  <c r="N4135" i="2"/>
  <c r="N4136" i="2"/>
  <c r="N4137" i="2"/>
  <c r="N4138" i="2"/>
  <c r="N4139" i="2"/>
  <c r="N4140" i="2"/>
  <c r="N4141" i="2"/>
  <c r="N4142" i="2"/>
  <c r="N4143" i="2"/>
  <c r="N4144" i="2"/>
  <c r="N4145" i="2"/>
  <c r="N4146" i="2"/>
  <c r="N4147" i="2"/>
  <c r="N4148" i="2"/>
  <c r="N4149" i="2"/>
  <c r="N4150" i="2"/>
  <c r="N4151" i="2"/>
  <c r="N4152" i="2"/>
  <c r="N4153" i="2"/>
  <c r="N4154" i="2"/>
  <c r="N4155" i="2"/>
  <c r="N4156" i="2"/>
  <c r="N4157" i="2"/>
  <c r="N4158" i="2"/>
  <c r="N4159" i="2"/>
  <c r="N4160" i="2"/>
  <c r="N4161" i="2"/>
  <c r="N4162" i="2"/>
  <c r="N4163" i="2"/>
  <c r="N4164" i="2"/>
  <c r="N4165" i="2"/>
  <c r="N4166" i="2"/>
  <c r="N4167" i="2"/>
  <c r="N4168" i="2"/>
  <c r="N4169" i="2"/>
  <c r="N4170" i="2"/>
  <c r="N4171" i="2"/>
  <c r="N4172" i="2"/>
  <c r="N4173" i="2"/>
  <c r="N4174" i="2"/>
  <c r="N4175" i="2"/>
  <c r="N4176" i="2"/>
  <c r="N4177" i="2"/>
  <c r="N4178" i="2"/>
  <c r="N4179" i="2"/>
  <c r="N4180" i="2"/>
  <c r="N4181" i="2"/>
  <c r="N4182" i="2"/>
  <c r="N4183" i="2"/>
  <c r="N4184" i="2"/>
  <c r="N4185" i="2"/>
  <c r="N4186" i="2"/>
  <c r="N4187" i="2"/>
  <c r="N4188" i="2"/>
  <c r="N4189" i="2"/>
  <c r="N4190" i="2"/>
  <c r="N4191" i="2"/>
  <c r="N4192" i="2"/>
  <c r="N4193" i="2"/>
  <c r="N4194" i="2"/>
  <c r="N4195" i="2"/>
  <c r="N4196" i="2"/>
  <c r="N4197" i="2"/>
  <c r="N4198" i="2"/>
  <c r="N4199" i="2"/>
  <c r="N4200" i="2"/>
  <c r="N4201" i="2"/>
  <c r="N4202" i="2"/>
  <c r="N4203" i="2"/>
  <c r="N4204" i="2"/>
  <c r="N4205" i="2"/>
  <c r="N4206" i="2"/>
  <c r="N4207" i="2"/>
  <c r="N4208" i="2"/>
  <c r="N4209" i="2"/>
  <c r="N4210" i="2"/>
  <c r="N4211" i="2"/>
  <c r="N4212" i="2"/>
  <c r="N4213" i="2"/>
  <c r="N4214" i="2"/>
  <c r="N4215" i="2"/>
  <c r="N4216" i="2"/>
  <c r="N4217" i="2"/>
  <c r="N4218" i="2"/>
  <c r="N4219" i="2"/>
  <c r="N4220" i="2"/>
  <c r="N4221" i="2"/>
  <c r="N4222" i="2"/>
  <c r="N4223" i="2"/>
  <c r="N4224" i="2"/>
  <c r="N4225" i="2"/>
  <c r="N4226" i="2"/>
  <c r="N4227" i="2"/>
  <c r="N4228" i="2"/>
  <c r="N4229" i="2"/>
  <c r="N4230" i="2"/>
  <c r="N4231" i="2"/>
  <c r="N4232" i="2"/>
  <c r="N4233" i="2"/>
  <c r="N4234" i="2"/>
  <c r="N4235" i="2"/>
  <c r="N4236" i="2"/>
  <c r="N4237" i="2"/>
  <c r="N4238" i="2"/>
  <c r="N4239" i="2"/>
  <c r="N4240" i="2"/>
  <c r="N4241" i="2"/>
  <c r="N4242" i="2"/>
  <c r="N4243" i="2"/>
  <c r="N4244" i="2"/>
  <c r="N4245" i="2"/>
  <c r="N4246" i="2"/>
  <c r="N4247" i="2"/>
  <c r="N4248" i="2"/>
  <c r="N4249" i="2"/>
  <c r="N4250" i="2"/>
  <c r="N4251" i="2"/>
  <c r="N4252" i="2"/>
  <c r="N4253" i="2"/>
  <c r="N4254" i="2"/>
  <c r="N4255" i="2"/>
  <c r="N4256" i="2"/>
  <c r="N4257" i="2"/>
  <c r="N4258" i="2"/>
  <c r="N4259" i="2"/>
  <c r="N4260" i="2"/>
  <c r="N4261" i="2"/>
  <c r="N4262" i="2"/>
  <c r="N4263" i="2"/>
  <c r="N4264" i="2"/>
  <c r="N4265" i="2"/>
  <c r="N4266" i="2"/>
  <c r="N4267" i="2"/>
  <c r="N4268" i="2"/>
  <c r="N4269" i="2"/>
  <c r="N4270" i="2"/>
  <c r="N4271" i="2"/>
  <c r="N4272" i="2"/>
  <c r="N4273" i="2"/>
  <c r="N4274" i="2"/>
  <c r="N4275" i="2"/>
  <c r="N4276" i="2"/>
  <c r="N4277" i="2"/>
  <c r="N4278" i="2"/>
  <c r="N4279" i="2"/>
  <c r="N4280" i="2"/>
  <c r="N4281" i="2"/>
  <c r="N4282" i="2"/>
  <c r="N4283" i="2"/>
  <c r="N4284" i="2"/>
  <c r="N4285" i="2"/>
  <c r="N4286" i="2"/>
  <c r="N4287" i="2"/>
  <c r="N4288" i="2"/>
  <c r="N4289" i="2"/>
  <c r="N4290" i="2"/>
  <c r="N4291" i="2"/>
  <c r="N4292" i="2"/>
  <c r="N4293" i="2"/>
  <c r="N4294" i="2"/>
  <c r="N4295" i="2"/>
  <c r="N4296" i="2"/>
  <c r="N4297" i="2"/>
  <c r="N4298" i="2"/>
  <c r="N4299" i="2"/>
  <c r="N4300" i="2"/>
  <c r="N4301" i="2"/>
  <c r="N4302" i="2"/>
  <c r="N4303" i="2"/>
  <c r="N4304" i="2"/>
  <c r="N4305" i="2"/>
  <c r="N4306" i="2"/>
  <c r="N4307" i="2"/>
  <c r="N4308" i="2"/>
  <c r="N4309" i="2"/>
  <c r="N4310" i="2"/>
  <c r="N4311" i="2"/>
  <c r="N4312" i="2"/>
  <c r="N4313" i="2"/>
  <c r="N4314" i="2"/>
  <c r="N4315" i="2"/>
  <c r="N4316" i="2"/>
  <c r="N4317" i="2"/>
  <c r="N4318" i="2"/>
  <c r="N4319" i="2"/>
  <c r="N4320" i="2"/>
  <c r="N4321" i="2"/>
  <c r="N4322" i="2"/>
  <c r="N4323" i="2"/>
  <c r="N4324" i="2"/>
  <c r="N4325" i="2"/>
  <c r="N4326" i="2"/>
  <c r="N4327" i="2"/>
  <c r="N4328" i="2"/>
  <c r="N4329" i="2"/>
  <c r="N4330" i="2"/>
  <c r="N4331" i="2"/>
  <c r="N4332" i="2"/>
  <c r="N4333" i="2"/>
  <c r="N4334" i="2"/>
  <c r="N4335" i="2"/>
  <c r="N4336" i="2"/>
  <c r="N4337" i="2"/>
  <c r="N4338" i="2"/>
  <c r="N4339" i="2"/>
  <c r="N4340" i="2"/>
  <c r="N4341" i="2"/>
  <c r="N4342" i="2"/>
  <c r="N4343" i="2"/>
  <c r="N4344" i="2"/>
  <c r="N4345" i="2"/>
  <c r="N4346" i="2"/>
  <c r="N4347" i="2"/>
  <c r="N4348" i="2"/>
  <c r="N4349" i="2"/>
  <c r="N4350" i="2"/>
  <c r="N4351" i="2"/>
  <c r="N4352" i="2"/>
  <c r="N4353" i="2"/>
  <c r="N4354" i="2"/>
  <c r="N4355" i="2"/>
  <c r="N4356" i="2"/>
  <c r="N4357" i="2"/>
  <c r="N4358" i="2"/>
  <c r="N4359" i="2"/>
  <c r="N4360" i="2"/>
  <c r="N4361" i="2"/>
  <c r="N4362" i="2"/>
  <c r="N4363" i="2"/>
  <c r="N4364" i="2"/>
  <c r="N4365" i="2"/>
  <c r="N4366" i="2"/>
  <c r="N4367" i="2"/>
  <c r="N4368" i="2"/>
  <c r="N4369" i="2"/>
  <c r="N4370" i="2"/>
  <c r="N4371" i="2"/>
  <c r="N4372" i="2"/>
  <c r="N4373" i="2"/>
  <c r="N4374" i="2"/>
  <c r="N4375" i="2"/>
  <c r="N4376" i="2"/>
  <c r="N4377" i="2"/>
  <c r="N4378" i="2"/>
  <c r="N4379" i="2"/>
  <c r="N4380" i="2"/>
  <c r="N4381" i="2"/>
  <c r="N4382" i="2"/>
  <c r="N4383" i="2"/>
  <c r="N4384" i="2"/>
  <c r="N4385" i="2"/>
  <c r="N4386" i="2"/>
  <c r="N4387" i="2"/>
  <c r="N4388" i="2"/>
  <c r="N4389" i="2"/>
  <c r="N4390" i="2"/>
  <c r="N4391" i="2"/>
  <c r="N4392" i="2"/>
  <c r="N4393" i="2"/>
  <c r="N4394" i="2"/>
  <c r="N4395" i="2"/>
  <c r="N4396" i="2"/>
  <c r="N4397" i="2"/>
  <c r="N4398" i="2"/>
  <c r="N4399" i="2"/>
  <c r="N4400" i="2"/>
  <c r="N4401" i="2"/>
  <c r="N4402" i="2"/>
  <c r="N4403" i="2"/>
  <c r="N4404" i="2"/>
  <c r="N4405" i="2"/>
  <c r="N4406" i="2"/>
  <c r="N4407" i="2"/>
  <c r="N4408" i="2"/>
  <c r="N4409" i="2"/>
  <c r="N4410" i="2"/>
  <c r="N4411" i="2"/>
  <c r="N4412" i="2"/>
  <c r="N4413" i="2"/>
  <c r="N4414" i="2"/>
  <c r="N4415" i="2"/>
  <c r="N4416" i="2"/>
  <c r="N4417" i="2"/>
  <c r="N4418" i="2"/>
  <c r="N4419" i="2"/>
  <c r="N4420" i="2"/>
  <c r="N4421" i="2"/>
  <c r="N4422" i="2"/>
  <c r="N4423" i="2"/>
  <c r="N4424" i="2"/>
  <c r="N4425" i="2"/>
  <c r="N4426" i="2"/>
  <c r="N4427" i="2"/>
  <c r="N4428" i="2"/>
  <c r="N4429" i="2"/>
  <c r="N4430" i="2"/>
  <c r="N4431" i="2"/>
  <c r="N4432" i="2"/>
  <c r="N4433" i="2"/>
  <c r="N4434" i="2"/>
  <c r="N4435" i="2"/>
  <c r="N4436" i="2"/>
  <c r="N4437" i="2"/>
  <c r="N4438" i="2"/>
  <c r="N4439" i="2"/>
  <c r="N4440" i="2"/>
  <c r="N4441" i="2"/>
  <c r="N4442" i="2"/>
  <c r="N4443" i="2"/>
  <c r="N4444" i="2"/>
  <c r="N4445" i="2"/>
  <c r="N4446" i="2"/>
  <c r="N4447" i="2"/>
  <c r="N4448" i="2"/>
  <c r="N4449" i="2"/>
  <c r="N4450" i="2"/>
  <c r="N4451" i="2"/>
  <c r="N4452" i="2"/>
  <c r="N4453" i="2"/>
  <c r="N4454" i="2"/>
  <c r="N4455" i="2"/>
  <c r="N4456" i="2"/>
  <c r="N4457" i="2"/>
  <c r="N4458" i="2"/>
  <c r="N4459" i="2"/>
  <c r="N4460" i="2"/>
  <c r="N4461" i="2"/>
  <c r="N4462" i="2"/>
  <c r="N4463" i="2"/>
  <c r="N4464" i="2"/>
  <c r="N4465" i="2"/>
  <c r="N4466" i="2"/>
  <c r="N4467" i="2"/>
  <c r="N4468" i="2"/>
  <c r="N4469" i="2"/>
  <c r="N4470" i="2"/>
  <c r="N4471" i="2"/>
  <c r="N4472" i="2"/>
  <c r="N4473" i="2"/>
  <c r="N4474" i="2"/>
  <c r="N4475" i="2"/>
  <c r="N4476" i="2"/>
  <c r="N4477" i="2"/>
  <c r="N4478" i="2"/>
  <c r="N4479" i="2"/>
  <c r="N4480" i="2"/>
  <c r="N4481" i="2"/>
  <c r="N4482" i="2"/>
  <c r="N4483" i="2"/>
  <c r="N4484" i="2"/>
  <c r="N4485" i="2"/>
  <c r="N4486" i="2"/>
  <c r="N4487" i="2"/>
  <c r="N4488" i="2"/>
  <c r="N4489" i="2"/>
  <c r="N4490" i="2"/>
  <c r="N4491" i="2"/>
  <c r="N4492" i="2"/>
  <c r="N4493" i="2"/>
  <c r="N4494" i="2"/>
  <c r="N4495" i="2"/>
  <c r="N4496" i="2"/>
  <c r="N4497" i="2"/>
  <c r="N4498" i="2"/>
  <c r="N4499" i="2"/>
  <c r="N4500" i="2"/>
  <c r="N4501" i="2"/>
  <c r="N4502" i="2"/>
  <c r="N4503" i="2"/>
  <c r="N4504" i="2"/>
  <c r="N4505" i="2"/>
  <c r="N4506" i="2"/>
  <c r="N4507" i="2"/>
  <c r="N4508" i="2"/>
  <c r="N4509" i="2"/>
  <c r="N4510" i="2"/>
  <c r="N4511" i="2"/>
  <c r="N4512" i="2"/>
  <c r="N4513" i="2"/>
  <c r="N4514" i="2"/>
  <c r="N4515" i="2"/>
  <c r="N4516" i="2"/>
  <c r="N4517" i="2"/>
  <c r="N4518" i="2"/>
  <c r="N4519" i="2"/>
  <c r="N4520" i="2"/>
  <c r="N4521" i="2"/>
  <c r="N4522" i="2"/>
  <c r="N4523" i="2"/>
  <c r="N4524" i="2"/>
  <c r="N4525" i="2"/>
  <c r="N4526" i="2"/>
  <c r="N4527" i="2"/>
  <c r="N4528" i="2"/>
  <c r="N4529" i="2"/>
  <c r="N4530" i="2"/>
  <c r="N4531" i="2"/>
  <c r="N4532" i="2"/>
  <c r="N4533" i="2"/>
  <c r="N4534" i="2"/>
  <c r="N4535" i="2"/>
  <c r="N4536" i="2"/>
  <c r="N4537" i="2"/>
  <c r="N4538" i="2"/>
  <c r="N4539" i="2"/>
  <c r="N4540" i="2"/>
  <c r="N4541" i="2"/>
  <c r="N4542" i="2"/>
  <c r="N4543" i="2"/>
  <c r="N4544" i="2"/>
  <c r="N4545" i="2"/>
  <c r="N4546" i="2"/>
  <c r="N4547" i="2"/>
  <c r="N4548" i="2"/>
  <c r="N4549" i="2"/>
  <c r="N4550" i="2"/>
  <c r="N4551" i="2"/>
  <c r="N4552" i="2"/>
  <c r="N4553" i="2"/>
  <c r="N4554" i="2"/>
  <c r="N4555" i="2"/>
  <c r="N4556" i="2"/>
  <c r="N4557" i="2"/>
  <c r="N4558" i="2"/>
  <c r="N4559" i="2"/>
  <c r="N4560" i="2"/>
  <c r="N4561" i="2"/>
  <c r="N4562" i="2"/>
  <c r="N4563" i="2"/>
  <c r="N4564" i="2"/>
  <c r="N4565" i="2"/>
  <c r="N4566" i="2"/>
  <c r="N4567" i="2"/>
  <c r="N4568" i="2"/>
  <c r="N4569" i="2"/>
  <c r="N4570" i="2"/>
  <c r="N4571" i="2"/>
  <c r="N4572" i="2"/>
  <c r="N4573" i="2"/>
  <c r="N4574" i="2"/>
  <c r="N4575" i="2"/>
  <c r="N4576" i="2"/>
  <c r="N4577" i="2"/>
  <c r="N4578" i="2"/>
  <c r="N4579" i="2"/>
  <c r="N4580" i="2"/>
  <c r="N4581" i="2"/>
  <c r="N4582" i="2"/>
  <c r="N4583" i="2"/>
  <c r="N4584" i="2"/>
  <c r="N4585" i="2"/>
  <c r="N4586" i="2"/>
  <c r="N4587" i="2"/>
  <c r="N4588" i="2"/>
  <c r="N4589" i="2"/>
  <c r="N4590" i="2"/>
  <c r="N4591" i="2"/>
  <c r="N4592" i="2"/>
  <c r="N4593" i="2"/>
  <c r="N4594" i="2"/>
  <c r="N4595" i="2"/>
  <c r="N4596" i="2"/>
  <c r="N4597" i="2"/>
  <c r="N4598" i="2"/>
  <c r="N4599" i="2"/>
  <c r="N4600" i="2"/>
  <c r="N4601" i="2"/>
  <c r="N4602" i="2"/>
  <c r="N4603" i="2"/>
  <c r="N4604" i="2"/>
  <c r="N4605" i="2"/>
  <c r="N4606" i="2"/>
  <c r="N4607" i="2"/>
  <c r="N4608" i="2"/>
  <c r="N4609" i="2"/>
  <c r="N4610" i="2"/>
  <c r="N4611" i="2"/>
  <c r="N4612" i="2"/>
  <c r="N4613" i="2"/>
  <c r="N4614" i="2"/>
  <c r="N4615" i="2"/>
  <c r="N4616" i="2"/>
  <c r="N4617" i="2"/>
  <c r="N4618" i="2"/>
  <c r="N4619" i="2"/>
  <c r="N4620" i="2"/>
  <c r="N4621" i="2"/>
  <c r="N4622" i="2"/>
  <c r="N4623" i="2"/>
  <c r="N4624" i="2"/>
  <c r="N4625" i="2"/>
  <c r="N4626" i="2"/>
  <c r="N4627" i="2"/>
  <c r="N4628" i="2"/>
  <c r="N4629" i="2"/>
  <c r="N4630" i="2"/>
  <c r="N4631" i="2"/>
  <c r="N4632" i="2"/>
  <c r="N4633" i="2"/>
  <c r="N4634" i="2"/>
  <c r="N4635" i="2"/>
  <c r="N4636" i="2"/>
  <c r="N4637" i="2"/>
  <c r="N4638" i="2"/>
  <c r="N4639" i="2"/>
  <c r="N4640" i="2"/>
  <c r="N4641" i="2"/>
  <c r="N4642" i="2"/>
  <c r="N4643" i="2"/>
  <c r="N4644" i="2"/>
  <c r="N4645" i="2"/>
  <c r="N4646" i="2"/>
  <c r="N4647" i="2"/>
  <c r="N4648" i="2"/>
  <c r="N4649" i="2"/>
  <c r="N4650" i="2"/>
  <c r="N4651" i="2"/>
  <c r="N4652" i="2"/>
  <c r="N4653" i="2"/>
  <c r="N4654" i="2"/>
  <c r="N4655" i="2"/>
  <c r="N4656" i="2"/>
  <c r="N4657" i="2"/>
  <c r="N4658" i="2"/>
  <c r="N4659" i="2"/>
  <c r="N4660" i="2"/>
  <c r="N4661" i="2"/>
  <c r="N4662" i="2"/>
  <c r="N4663" i="2"/>
  <c r="N4664" i="2"/>
  <c r="N4665" i="2"/>
  <c r="N4666" i="2"/>
  <c r="N4667" i="2"/>
  <c r="N4668" i="2"/>
  <c r="N4669" i="2"/>
  <c r="N4670" i="2"/>
  <c r="N4671" i="2"/>
  <c r="N4672" i="2"/>
  <c r="N4673" i="2"/>
  <c r="N4674" i="2"/>
  <c r="N4675" i="2"/>
  <c r="N4676" i="2"/>
  <c r="N4677" i="2"/>
  <c r="N4678" i="2"/>
  <c r="N4679" i="2"/>
  <c r="N4680" i="2"/>
  <c r="N4681" i="2"/>
  <c r="N4682" i="2"/>
  <c r="N4683" i="2"/>
  <c r="N4684" i="2"/>
  <c r="N4685" i="2"/>
  <c r="N4686" i="2"/>
  <c r="N4687" i="2"/>
  <c r="N4688" i="2"/>
  <c r="N4689" i="2"/>
  <c r="N4690" i="2"/>
  <c r="N4691" i="2"/>
  <c r="N4692" i="2"/>
  <c r="N4693" i="2"/>
  <c r="N4694" i="2"/>
  <c r="N4695" i="2"/>
  <c r="N4696" i="2"/>
  <c r="N4697" i="2"/>
  <c r="N4698" i="2"/>
  <c r="N4699" i="2"/>
  <c r="N4700" i="2"/>
  <c r="N4701" i="2"/>
  <c r="N4702" i="2"/>
  <c r="N4703" i="2"/>
  <c r="N4704" i="2"/>
  <c r="N4705" i="2"/>
  <c r="N4706" i="2"/>
  <c r="N4707" i="2"/>
  <c r="N4708" i="2"/>
  <c r="N4709" i="2"/>
  <c r="N4710" i="2"/>
  <c r="N4711" i="2"/>
  <c r="N4712" i="2"/>
  <c r="N4713" i="2"/>
  <c r="N4714" i="2"/>
  <c r="N4715" i="2"/>
  <c r="N4716" i="2"/>
  <c r="N4717" i="2"/>
  <c r="N4718" i="2"/>
  <c r="N4719" i="2"/>
  <c r="N4720" i="2"/>
  <c r="N4721" i="2"/>
  <c r="N4722" i="2"/>
  <c r="N4723" i="2"/>
  <c r="N4724" i="2"/>
  <c r="N4725" i="2"/>
  <c r="N4726" i="2"/>
  <c r="N4727" i="2"/>
  <c r="N4728" i="2"/>
  <c r="N4729" i="2"/>
  <c r="N4730" i="2"/>
  <c r="N4731" i="2"/>
  <c r="N4732" i="2"/>
  <c r="N4733" i="2"/>
  <c r="N4734" i="2"/>
  <c r="N4735" i="2"/>
  <c r="N4736" i="2"/>
  <c r="N4737" i="2"/>
  <c r="N4738" i="2"/>
  <c r="N4739" i="2"/>
  <c r="N4740" i="2"/>
  <c r="N4741" i="2"/>
  <c r="N4742" i="2"/>
  <c r="N4743" i="2"/>
  <c r="N4744" i="2"/>
  <c r="N4745" i="2"/>
  <c r="N4746" i="2"/>
  <c r="N4747" i="2"/>
  <c r="N4748" i="2"/>
  <c r="N4749" i="2"/>
  <c r="N4750" i="2"/>
  <c r="N4751" i="2"/>
  <c r="N4752" i="2"/>
  <c r="N4753" i="2"/>
  <c r="N4754" i="2"/>
  <c r="N4755" i="2"/>
  <c r="N4756" i="2"/>
  <c r="N4757" i="2"/>
  <c r="N4758" i="2"/>
  <c r="N4759" i="2"/>
  <c r="N4760" i="2"/>
  <c r="N4761" i="2"/>
  <c r="N4762" i="2"/>
  <c r="N4763" i="2"/>
  <c r="N4764" i="2"/>
  <c r="N4765" i="2"/>
  <c r="N4766" i="2"/>
  <c r="N4767" i="2"/>
  <c r="N4768" i="2"/>
  <c r="N4769" i="2"/>
  <c r="N4770" i="2"/>
  <c r="N4771" i="2"/>
  <c r="N4772" i="2"/>
  <c r="N4773" i="2"/>
  <c r="N4774" i="2"/>
  <c r="N4775" i="2"/>
  <c r="N4776" i="2"/>
  <c r="N4777" i="2"/>
  <c r="N4778" i="2"/>
  <c r="N4779" i="2"/>
  <c r="N4780" i="2"/>
  <c r="N4781" i="2"/>
  <c r="N4782" i="2"/>
  <c r="N4783" i="2"/>
  <c r="N4784" i="2"/>
  <c r="N4785" i="2"/>
  <c r="N4786" i="2"/>
  <c r="N4787" i="2"/>
  <c r="N4788" i="2"/>
  <c r="N4789" i="2"/>
  <c r="N4790" i="2"/>
  <c r="N4791" i="2"/>
  <c r="N4792" i="2"/>
  <c r="N4793" i="2"/>
  <c r="N4794" i="2"/>
  <c r="N4795" i="2"/>
  <c r="N4796" i="2"/>
  <c r="N4797" i="2"/>
  <c r="N4798" i="2"/>
  <c r="N4799" i="2"/>
  <c r="N4800" i="2"/>
  <c r="N4801" i="2"/>
  <c r="N4802" i="2"/>
  <c r="N4803" i="2"/>
  <c r="N4804" i="2"/>
  <c r="N4805" i="2"/>
  <c r="N4806" i="2"/>
  <c r="N4807" i="2"/>
  <c r="N4808" i="2"/>
  <c r="N4809" i="2"/>
  <c r="N4810" i="2"/>
  <c r="N4811" i="2"/>
  <c r="N4812" i="2"/>
  <c r="N4813" i="2"/>
  <c r="N4814" i="2"/>
  <c r="N4815" i="2"/>
  <c r="N4816" i="2"/>
  <c r="N4817" i="2"/>
  <c r="N4818" i="2"/>
  <c r="N4819" i="2"/>
  <c r="N4820" i="2"/>
  <c r="N4821" i="2"/>
  <c r="N4822" i="2"/>
  <c r="N4823" i="2"/>
  <c r="N4824" i="2"/>
  <c r="N4825" i="2"/>
  <c r="N4826" i="2"/>
  <c r="N4827" i="2"/>
  <c r="N4828" i="2"/>
  <c r="N4829" i="2"/>
  <c r="N4830" i="2"/>
  <c r="N4831" i="2"/>
  <c r="N4832" i="2"/>
  <c r="N4833" i="2"/>
  <c r="N4834" i="2"/>
  <c r="N4835" i="2"/>
  <c r="N4836" i="2"/>
  <c r="N4837" i="2"/>
  <c r="N4838" i="2"/>
  <c r="N4839" i="2"/>
  <c r="N4840" i="2"/>
  <c r="N4841" i="2"/>
  <c r="N4842" i="2"/>
  <c r="N4843" i="2"/>
  <c r="N4844" i="2"/>
  <c r="N4845" i="2"/>
  <c r="N4846" i="2"/>
  <c r="N4847" i="2"/>
  <c r="N4848" i="2"/>
  <c r="N4849" i="2"/>
  <c r="N4850" i="2"/>
  <c r="N4851" i="2"/>
  <c r="N4852" i="2"/>
  <c r="N4853" i="2"/>
  <c r="N4854" i="2"/>
  <c r="N4855" i="2"/>
  <c r="N4856" i="2"/>
  <c r="N4857" i="2"/>
  <c r="N4858" i="2"/>
  <c r="N4859" i="2"/>
  <c r="N4860" i="2"/>
  <c r="N4861" i="2"/>
  <c r="N4862" i="2"/>
  <c r="N4863" i="2"/>
  <c r="N4864" i="2"/>
  <c r="N4865" i="2"/>
  <c r="N4866" i="2"/>
  <c r="N4867" i="2"/>
  <c r="N4868" i="2"/>
  <c r="N4869" i="2"/>
  <c r="N4870" i="2"/>
  <c r="N4871" i="2"/>
  <c r="N4872" i="2"/>
  <c r="N4873" i="2"/>
  <c r="N4874" i="2"/>
  <c r="N4875" i="2"/>
  <c r="N4876" i="2"/>
  <c r="N4877" i="2"/>
  <c r="N4878" i="2"/>
  <c r="N4879" i="2"/>
  <c r="N4880" i="2"/>
  <c r="N4881" i="2"/>
  <c r="N4882" i="2"/>
  <c r="N4883" i="2"/>
  <c r="N4884" i="2"/>
  <c r="N4885" i="2"/>
  <c r="N4886" i="2"/>
  <c r="N4887" i="2"/>
  <c r="N4888" i="2"/>
  <c r="N4889" i="2"/>
  <c r="N4890" i="2"/>
  <c r="N4891" i="2"/>
  <c r="N4892" i="2"/>
  <c r="N4893" i="2"/>
  <c r="N4894" i="2"/>
  <c r="N4895" i="2"/>
  <c r="N4896" i="2"/>
  <c r="N4897" i="2"/>
  <c r="N4898" i="2"/>
  <c r="N4899" i="2"/>
  <c r="N4900" i="2"/>
  <c r="N4901" i="2"/>
  <c r="N4902" i="2"/>
  <c r="N4903" i="2"/>
  <c r="N4904" i="2"/>
  <c r="N4905" i="2"/>
  <c r="N4906" i="2"/>
  <c r="N4907" i="2"/>
  <c r="N4908" i="2"/>
  <c r="N4909" i="2"/>
  <c r="N4910" i="2"/>
  <c r="N4911" i="2"/>
  <c r="N4912" i="2"/>
  <c r="N4913" i="2"/>
  <c r="N4914" i="2"/>
  <c r="N4915" i="2"/>
  <c r="N4916" i="2"/>
  <c r="N4917" i="2"/>
  <c r="N4918" i="2"/>
  <c r="N4919" i="2"/>
  <c r="N4920" i="2"/>
  <c r="N4921" i="2"/>
  <c r="N4922" i="2"/>
  <c r="N4923" i="2"/>
  <c r="N4924" i="2"/>
  <c r="N4925" i="2"/>
  <c r="N4926" i="2"/>
  <c r="N4927" i="2"/>
  <c r="N4928" i="2"/>
  <c r="N4929" i="2"/>
  <c r="N4930" i="2"/>
  <c r="N4931" i="2"/>
  <c r="N4932" i="2"/>
  <c r="N4933" i="2"/>
  <c r="N4934" i="2"/>
  <c r="N4935" i="2"/>
  <c r="N4936" i="2"/>
  <c r="N4937" i="2"/>
  <c r="N4938" i="2"/>
  <c r="N4939" i="2"/>
  <c r="N4940" i="2"/>
  <c r="N4941" i="2"/>
  <c r="N4942" i="2"/>
  <c r="N4943" i="2"/>
  <c r="N4944" i="2"/>
  <c r="N4945" i="2"/>
  <c r="N4946" i="2"/>
  <c r="N4947" i="2"/>
  <c r="N4948" i="2"/>
  <c r="N4949" i="2"/>
  <c r="N4950" i="2"/>
  <c r="N4951" i="2"/>
  <c r="N4952" i="2"/>
  <c r="N4953" i="2"/>
  <c r="N4954" i="2"/>
  <c r="N4955" i="2"/>
  <c r="N4956" i="2"/>
  <c r="N4957" i="2"/>
  <c r="N4958" i="2"/>
  <c r="N4959" i="2"/>
  <c r="N4960" i="2"/>
  <c r="N4961" i="2"/>
  <c r="N4962" i="2"/>
  <c r="N4963" i="2"/>
  <c r="N4964" i="2"/>
  <c r="N4965" i="2"/>
  <c r="N4966" i="2"/>
  <c r="N4967" i="2"/>
  <c r="N4968" i="2"/>
  <c r="N4969" i="2"/>
  <c r="N4970" i="2"/>
  <c r="N4971" i="2"/>
  <c r="N4972" i="2"/>
  <c r="N4973" i="2"/>
  <c r="N4974" i="2"/>
  <c r="N4975" i="2"/>
  <c r="N4976" i="2"/>
  <c r="N4977" i="2"/>
  <c r="N4978" i="2"/>
  <c r="N4979" i="2"/>
  <c r="N4980" i="2"/>
  <c r="N4981" i="2"/>
  <c r="N4982" i="2"/>
  <c r="N4983" i="2"/>
  <c r="N4984" i="2"/>
  <c r="N4985" i="2"/>
  <c r="N4986" i="2"/>
  <c r="N4987" i="2"/>
  <c r="N4988" i="2"/>
  <c r="N4989" i="2"/>
  <c r="N4990" i="2"/>
  <c r="N4991" i="2"/>
  <c r="N4992" i="2"/>
  <c r="N4993" i="2"/>
  <c r="N4994" i="2"/>
  <c r="N4995" i="2"/>
  <c r="N4996" i="2"/>
  <c r="N4997" i="2"/>
  <c r="N4998" i="2"/>
  <c r="N4999" i="2"/>
  <c r="N5000" i="2"/>
  <c r="N5001" i="2"/>
  <c r="N5002" i="2"/>
  <c r="N5003" i="2"/>
  <c r="N5004" i="2"/>
  <c r="N5005" i="2"/>
  <c r="N5006" i="2"/>
  <c r="N5007" i="2"/>
  <c r="N5008" i="2"/>
  <c r="N5009" i="2"/>
  <c r="N5010" i="2"/>
  <c r="N5011" i="2"/>
  <c r="N5012" i="2"/>
  <c r="N5013" i="2"/>
  <c r="N5014" i="2"/>
  <c r="N5015" i="2"/>
  <c r="N5016" i="2"/>
  <c r="N5017" i="2"/>
  <c r="N5018" i="2"/>
  <c r="N5019" i="2"/>
  <c r="N5020" i="2"/>
  <c r="N5021" i="2"/>
  <c r="N5022" i="2"/>
  <c r="N5023" i="2"/>
  <c r="N5024" i="2"/>
  <c r="N5025" i="2"/>
  <c r="N5026" i="2"/>
  <c r="N5027" i="2"/>
  <c r="N5028" i="2"/>
  <c r="N5029" i="2"/>
  <c r="N5030" i="2"/>
  <c r="N5031" i="2"/>
  <c r="N5032" i="2"/>
  <c r="N5033" i="2"/>
  <c r="N5034" i="2"/>
  <c r="N5035" i="2"/>
  <c r="N5036" i="2"/>
  <c r="N5037" i="2"/>
  <c r="N5038" i="2"/>
  <c r="N5039" i="2"/>
  <c r="N5040" i="2"/>
  <c r="N5041" i="2"/>
  <c r="N5042" i="2"/>
  <c r="N5043" i="2"/>
  <c r="N5044" i="2"/>
  <c r="N5045" i="2"/>
  <c r="N5046" i="2"/>
  <c r="N5047" i="2"/>
  <c r="N5048" i="2"/>
  <c r="N5049" i="2"/>
  <c r="N5050" i="2"/>
  <c r="N5051" i="2"/>
  <c r="N5052" i="2"/>
  <c r="N5053" i="2"/>
  <c r="N5054" i="2"/>
  <c r="N5055" i="2"/>
  <c r="N5056" i="2"/>
  <c r="N5057" i="2"/>
  <c r="N5058" i="2"/>
  <c r="N5059" i="2"/>
  <c r="N5060" i="2"/>
  <c r="N5061" i="2"/>
  <c r="N5062" i="2"/>
  <c r="N5063" i="2"/>
  <c r="N5064" i="2"/>
  <c r="N5065" i="2"/>
  <c r="N5066" i="2"/>
  <c r="N5067" i="2"/>
  <c r="N5068" i="2"/>
  <c r="N5069" i="2"/>
  <c r="N5070" i="2"/>
  <c r="N5071" i="2"/>
  <c r="N5072" i="2"/>
  <c r="N5073" i="2"/>
  <c r="N5074" i="2"/>
  <c r="N5075" i="2"/>
  <c r="N5076" i="2"/>
  <c r="N5077" i="2"/>
  <c r="N5078" i="2"/>
  <c r="N5079" i="2"/>
  <c r="N5080" i="2"/>
  <c r="N5081" i="2"/>
  <c r="N5082" i="2"/>
  <c r="N5083" i="2"/>
  <c r="N5084" i="2"/>
  <c r="N5085" i="2"/>
  <c r="N5086" i="2"/>
  <c r="N5087" i="2"/>
  <c r="N5088" i="2"/>
  <c r="N5089" i="2"/>
  <c r="N5090" i="2"/>
  <c r="N5091" i="2"/>
  <c r="N5092" i="2"/>
  <c r="N5093" i="2"/>
  <c r="N5094" i="2"/>
  <c r="N5095" i="2"/>
  <c r="N5096" i="2"/>
  <c r="N5097" i="2"/>
  <c r="N5098" i="2"/>
  <c r="N5099" i="2"/>
  <c r="N5100" i="2"/>
  <c r="N5101" i="2"/>
  <c r="N5102" i="2"/>
  <c r="N5103" i="2"/>
  <c r="N5104" i="2"/>
  <c r="N5105" i="2"/>
  <c r="N5106" i="2"/>
  <c r="N5107" i="2"/>
  <c r="N5108" i="2"/>
  <c r="N5109" i="2"/>
  <c r="N5110" i="2"/>
  <c r="N5111" i="2"/>
  <c r="N5112" i="2"/>
  <c r="N5113" i="2"/>
  <c r="N5114" i="2"/>
  <c r="N5115" i="2"/>
  <c r="N5116" i="2"/>
  <c r="N5117" i="2"/>
  <c r="N5118" i="2"/>
  <c r="N5119" i="2"/>
  <c r="N5120" i="2"/>
  <c r="N5121" i="2"/>
  <c r="N5122" i="2"/>
  <c r="N5123" i="2"/>
  <c r="N5124" i="2"/>
  <c r="N5125" i="2"/>
  <c r="N5126" i="2"/>
  <c r="N5127" i="2"/>
  <c r="N5128" i="2"/>
  <c r="N5129" i="2"/>
  <c r="N5130" i="2"/>
  <c r="N5131" i="2"/>
  <c r="N5132" i="2"/>
  <c r="N5133" i="2"/>
  <c r="N5134" i="2"/>
  <c r="N5135" i="2"/>
  <c r="N5136" i="2"/>
  <c r="N5137" i="2"/>
  <c r="N5138" i="2"/>
  <c r="N5139" i="2"/>
  <c r="N5140" i="2"/>
  <c r="N5141" i="2"/>
  <c r="N5142" i="2"/>
  <c r="N5143" i="2"/>
  <c r="N5144" i="2"/>
  <c r="N5145" i="2"/>
  <c r="N5146" i="2"/>
  <c r="N5147" i="2"/>
  <c r="N5148" i="2"/>
  <c r="N5149" i="2"/>
  <c r="N5150" i="2"/>
  <c r="N5151" i="2"/>
  <c r="N5152" i="2"/>
  <c r="N5153" i="2"/>
  <c r="N5154" i="2"/>
  <c r="N5155" i="2"/>
  <c r="N5156" i="2"/>
  <c r="N5157" i="2"/>
  <c r="N5158" i="2"/>
  <c r="N5159" i="2"/>
  <c r="N5160" i="2"/>
  <c r="N5161" i="2"/>
  <c r="N5162" i="2"/>
  <c r="N5163" i="2"/>
  <c r="N5164" i="2"/>
  <c r="N5165" i="2"/>
  <c r="N5166" i="2"/>
  <c r="N5167" i="2"/>
  <c r="N5168" i="2"/>
  <c r="N5169" i="2"/>
  <c r="N5170" i="2"/>
  <c r="N5171" i="2"/>
  <c r="N5172" i="2"/>
  <c r="N5173" i="2"/>
  <c r="N5174" i="2"/>
  <c r="N5175" i="2"/>
  <c r="N5176" i="2"/>
  <c r="N5177" i="2"/>
  <c r="N5178" i="2"/>
  <c r="N5179" i="2"/>
  <c r="N5180" i="2"/>
  <c r="N5181" i="2"/>
  <c r="N5182" i="2"/>
  <c r="N5183" i="2"/>
  <c r="N5184" i="2"/>
  <c r="N5185" i="2"/>
  <c r="N5186" i="2"/>
  <c r="N5187" i="2"/>
  <c r="N5188" i="2"/>
  <c r="N5189" i="2"/>
  <c r="N5190" i="2"/>
  <c r="N5191" i="2"/>
  <c r="N5192" i="2"/>
  <c r="N5193" i="2"/>
  <c r="N5194" i="2"/>
  <c r="N5195" i="2"/>
  <c r="N5196" i="2"/>
  <c r="N5197" i="2"/>
  <c r="N5198" i="2"/>
  <c r="N5199" i="2"/>
  <c r="N5200" i="2"/>
  <c r="N5201" i="2"/>
  <c r="N5202" i="2"/>
  <c r="N5203" i="2"/>
  <c r="N5204" i="2"/>
  <c r="N5205" i="2"/>
  <c r="N5206" i="2"/>
  <c r="N5207" i="2"/>
  <c r="N5208" i="2"/>
  <c r="N5209" i="2"/>
  <c r="N5210" i="2"/>
  <c r="N5211" i="2"/>
  <c r="N5212" i="2"/>
  <c r="N5213" i="2"/>
  <c r="N5214" i="2"/>
  <c r="N5215" i="2"/>
  <c r="N5216" i="2"/>
  <c r="N5217" i="2"/>
  <c r="N5218" i="2"/>
  <c r="N5219" i="2"/>
  <c r="N5220" i="2"/>
  <c r="N5221" i="2"/>
  <c r="N5222" i="2"/>
  <c r="N5223" i="2"/>
  <c r="N5224" i="2"/>
  <c r="N5225" i="2"/>
  <c r="N5226" i="2"/>
  <c r="N5227" i="2"/>
  <c r="N5228" i="2"/>
  <c r="N5229" i="2"/>
  <c r="N5230" i="2"/>
  <c r="N5231" i="2"/>
  <c r="N5232" i="2"/>
  <c r="N5233" i="2"/>
  <c r="N5234" i="2"/>
  <c r="N5235" i="2"/>
  <c r="N5236" i="2"/>
  <c r="M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1502" i="2"/>
  <c r="M1503" i="2"/>
  <c r="M1504" i="2"/>
  <c r="M1505" i="2"/>
  <c r="M1506" i="2"/>
  <c r="M1507" i="2"/>
  <c r="M1508" i="2"/>
  <c r="M1509" i="2"/>
  <c r="M1510" i="2"/>
  <c r="M1511" i="2"/>
  <c r="M1512" i="2"/>
  <c r="M1513" i="2"/>
  <c r="M1514" i="2"/>
  <c r="M1515" i="2"/>
  <c r="M1516" i="2"/>
  <c r="M1517" i="2"/>
  <c r="M1518" i="2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1683" i="2"/>
  <c r="M1684" i="2"/>
  <c r="M1685" i="2"/>
  <c r="M1686" i="2"/>
  <c r="M1687" i="2"/>
  <c r="M1688" i="2"/>
  <c r="M1689" i="2"/>
  <c r="M1690" i="2"/>
  <c r="M1691" i="2"/>
  <c r="M1692" i="2"/>
  <c r="M1693" i="2"/>
  <c r="M1694" i="2"/>
  <c r="M1695" i="2"/>
  <c r="M1696" i="2"/>
  <c r="M1697" i="2"/>
  <c r="M1698" i="2"/>
  <c r="M1699" i="2"/>
  <c r="M1700" i="2"/>
  <c r="M1701" i="2"/>
  <c r="M1702" i="2"/>
  <c r="M1703" i="2"/>
  <c r="M1704" i="2"/>
  <c r="M1705" i="2"/>
  <c r="M1706" i="2"/>
  <c r="M1707" i="2"/>
  <c r="M1708" i="2"/>
  <c r="M1709" i="2"/>
  <c r="M1710" i="2"/>
  <c r="M1711" i="2"/>
  <c r="M1712" i="2"/>
  <c r="M1713" i="2"/>
  <c r="M1714" i="2"/>
  <c r="M1715" i="2"/>
  <c r="M1716" i="2"/>
  <c r="M1717" i="2"/>
  <c r="M1718" i="2"/>
  <c r="M1719" i="2"/>
  <c r="M1720" i="2"/>
  <c r="M1721" i="2"/>
  <c r="M1722" i="2"/>
  <c r="M1723" i="2"/>
  <c r="M1724" i="2"/>
  <c r="M1725" i="2"/>
  <c r="M1726" i="2"/>
  <c r="M1727" i="2"/>
  <c r="M1728" i="2"/>
  <c r="M1729" i="2"/>
  <c r="M1730" i="2"/>
  <c r="M1731" i="2"/>
  <c r="M1732" i="2"/>
  <c r="M1733" i="2"/>
  <c r="M1734" i="2"/>
  <c r="M1735" i="2"/>
  <c r="M1736" i="2"/>
  <c r="M1737" i="2"/>
  <c r="M1738" i="2"/>
  <c r="M1739" i="2"/>
  <c r="M1740" i="2"/>
  <c r="M1741" i="2"/>
  <c r="M1742" i="2"/>
  <c r="M1743" i="2"/>
  <c r="M1744" i="2"/>
  <c r="M1745" i="2"/>
  <c r="M1746" i="2"/>
  <c r="M1747" i="2"/>
  <c r="M1748" i="2"/>
  <c r="M1749" i="2"/>
  <c r="M1750" i="2"/>
  <c r="M1751" i="2"/>
  <c r="M1752" i="2"/>
  <c r="M1753" i="2"/>
  <c r="M1754" i="2"/>
  <c r="M1755" i="2"/>
  <c r="M1756" i="2"/>
  <c r="M1757" i="2"/>
  <c r="M1758" i="2"/>
  <c r="M1759" i="2"/>
  <c r="M1760" i="2"/>
  <c r="M1761" i="2"/>
  <c r="M1762" i="2"/>
  <c r="M1763" i="2"/>
  <c r="M1764" i="2"/>
  <c r="M1765" i="2"/>
  <c r="M1766" i="2"/>
  <c r="M1767" i="2"/>
  <c r="M1768" i="2"/>
  <c r="M1769" i="2"/>
  <c r="M1770" i="2"/>
  <c r="M1771" i="2"/>
  <c r="M1772" i="2"/>
  <c r="M1773" i="2"/>
  <c r="M1774" i="2"/>
  <c r="M1775" i="2"/>
  <c r="M1776" i="2"/>
  <c r="M1777" i="2"/>
  <c r="M1778" i="2"/>
  <c r="M1779" i="2"/>
  <c r="M1780" i="2"/>
  <c r="M1781" i="2"/>
  <c r="M1782" i="2"/>
  <c r="M1783" i="2"/>
  <c r="M1784" i="2"/>
  <c r="M1785" i="2"/>
  <c r="M1786" i="2"/>
  <c r="M1787" i="2"/>
  <c r="M1788" i="2"/>
  <c r="M1789" i="2"/>
  <c r="M1790" i="2"/>
  <c r="M1791" i="2"/>
  <c r="M1792" i="2"/>
  <c r="M1793" i="2"/>
  <c r="M1794" i="2"/>
  <c r="M1795" i="2"/>
  <c r="M1796" i="2"/>
  <c r="M1797" i="2"/>
  <c r="M1798" i="2"/>
  <c r="M1799" i="2"/>
  <c r="M1800" i="2"/>
  <c r="M1801" i="2"/>
  <c r="M1802" i="2"/>
  <c r="M1803" i="2"/>
  <c r="M1804" i="2"/>
  <c r="M1805" i="2"/>
  <c r="M1806" i="2"/>
  <c r="M1807" i="2"/>
  <c r="M1808" i="2"/>
  <c r="M1809" i="2"/>
  <c r="M1810" i="2"/>
  <c r="M1811" i="2"/>
  <c r="M1812" i="2"/>
  <c r="M1813" i="2"/>
  <c r="M1814" i="2"/>
  <c r="M1815" i="2"/>
  <c r="M1816" i="2"/>
  <c r="M1817" i="2"/>
  <c r="M1818" i="2"/>
  <c r="M1819" i="2"/>
  <c r="M1820" i="2"/>
  <c r="M1821" i="2"/>
  <c r="M1822" i="2"/>
  <c r="M1823" i="2"/>
  <c r="M1824" i="2"/>
  <c r="M1825" i="2"/>
  <c r="M1826" i="2"/>
  <c r="M1827" i="2"/>
  <c r="M1828" i="2"/>
  <c r="M1829" i="2"/>
  <c r="M1830" i="2"/>
  <c r="M1831" i="2"/>
  <c r="M1832" i="2"/>
  <c r="M1833" i="2"/>
  <c r="M1834" i="2"/>
  <c r="M1835" i="2"/>
  <c r="M1836" i="2"/>
  <c r="M1837" i="2"/>
  <c r="M1838" i="2"/>
  <c r="M1839" i="2"/>
  <c r="M1840" i="2"/>
  <c r="M1841" i="2"/>
  <c r="M1842" i="2"/>
  <c r="M1843" i="2"/>
  <c r="M1844" i="2"/>
  <c r="M1845" i="2"/>
  <c r="M1846" i="2"/>
  <c r="M1847" i="2"/>
  <c r="M1848" i="2"/>
  <c r="M1849" i="2"/>
  <c r="M1850" i="2"/>
  <c r="M1851" i="2"/>
  <c r="M1852" i="2"/>
  <c r="M1853" i="2"/>
  <c r="M1854" i="2"/>
  <c r="M1855" i="2"/>
  <c r="M1856" i="2"/>
  <c r="M1857" i="2"/>
  <c r="M1858" i="2"/>
  <c r="M1859" i="2"/>
  <c r="M1860" i="2"/>
  <c r="M1861" i="2"/>
  <c r="M1862" i="2"/>
  <c r="M1863" i="2"/>
  <c r="M1864" i="2"/>
  <c r="M1865" i="2"/>
  <c r="M1866" i="2"/>
  <c r="M1867" i="2"/>
  <c r="M1868" i="2"/>
  <c r="M1869" i="2"/>
  <c r="M1870" i="2"/>
  <c r="M1871" i="2"/>
  <c r="M1872" i="2"/>
  <c r="M1873" i="2"/>
  <c r="M1874" i="2"/>
  <c r="M1875" i="2"/>
  <c r="M1876" i="2"/>
  <c r="M1877" i="2"/>
  <c r="M1878" i="2"/>
  <c r="M1879" i="2"/>
  <c r="M1880" i="2"/>
  <c r="M1881" i="2"/>
  <c r="M1882" i="2"/>
  <c r="M1883" i="2"/>
  <c r="M1884" i="2"/>
  <c r="M1885" i="2"/>
  <c r="M1886" i="2"/>
  <c r="M1887" i="2"/>
  <c r="M1888" i="2"/>
  <c r="M1889" i="2"/>
  <c r="M1890" i="2"/>
  <c r="M1891" i="2"/>
  <c r="M1892" i="2"/>
  <c r="M1893" i="2"/>
  <c r="M1894" i="2"/>
  <c r="M1895" i="2"/>
  <c r="M1896" i="2"/>
  <c r="M1897" i="2"/>
  <c r="M1898" i="2"/>
  <c r="M1899" i="2"/>
  <c r="M1900" i="2"/>
  <c r="M1901" i="2"/>
  <c r="M1902" i="2"/>
  <c r="M1903" i="2"/>
  <c r="M1904" i="2"/>
  <c r="M1905" i="2"/>
  <c r="M1906" i="2"/>
  <c r="M1907" i="2"/>
  <c r="M1908" i="2"/>
  <c r="M1909" i="2"/>
  <c r="M1910" i="2"/>
  <c r="M1911" i="2"/>
  <c r="M1912" i="2"/>
  <c r="M1913" i="2"/>
  <c r="M1914" i="2"/>
  <c r="M1915" i="2"/>
  <c r="M1916" i="2"/>
  <c r="M1917" i="2"/>
  <c r="M1918" i="2"/>
  <c r="M1919" i="2"/>
  <c r="M1920" i="2"/>
  <c r="M1921" i="2"/>
  <c r="M1922" i="2"/>
  <c r="M1923" i="2"/>
  <c r="M1924" i="2"/>
  <c r="M1925" i="2"/>
  <c r="M1926" i="2"/>
  <c r="M1927" i="2"/>
  <c r="M1928" i="2"/>
  <c r="M1929" i="2"/>
  <c r="M1930" i="2"/>
  <c r="M1931" i="2"/>
  <c r="M1932" i="2"/>
  <c r="M1933" i="2"/>
  <c r="M1934" i="2"/>
  <c r="M1935" i="2"/>
  <c r="M1936" i="2"/>
  <c r="M1937" i="2"/>
  <c r="M1938" i="2"/>
  <c r="M1939" i="2"/>
  <c r="M1940" i="2"/>
  <c r="M1941" i="2"/>
  <c r="M1942" i="2"/>
  <c r="M1943" i="2"/>
  <c r="M1944" i="2"/>
  <c r="M1945" i="2"/>
  <c r="M1946" i="2"/>
  <c r="M1947" i="2"/>
  <c r="M1948" i="2"/>
  <c r="M1949" i="2"/>
  <c r="M1950" i="2"/>
  <c r="M1951" i="2"/>
  <c r="M1952" i="2"/>
  <c r="M1953" i="2"/>
  <c r="M1954" i="2"/>
  <c r="M1955" i="2"/>
  <c r="M1956" i="2"/>
  <c r="M1957" i="2"/>
  <c r="M1958" i="2"/>
  <c r="M1959" i="2"/>
  <c r="M1960" i="2"/>
  <c r="M1961" i="2"/>
  <c r="M1962" i="2"/>
  <c r="M1963" i="2"/>
  <c r="M1964" i="2"/>
  <c r="M1965" i="2"/>
  <c r="M1966" i="2"/>
  <c r="M1967" i="2"/>
  <c r="M1968" i="2"/>
  <c r="M1969" i="2"/>
  <c r="M1970" i="2"/>
  <c r="M1971" i="2"/>
  <c r="M1972" i="2"/>
  <c r="M1973" i="2"/>
  <c r="M1974" i="2"/>
  <c r="M1975" i="2"/>
  <c r="M1976" i="2"/>
  <c r="M1977" i="2"/>
  <c r="M1978" i="2"/>
  <c r="M1979" i="2"/>
  <c r="M1980" i="2"/>
  <c r="M1981" i="2"/>
  <c r="M1982" i="2"/>
  <c r="M1983" i="2"/>
  <c r="M1984" i="2"/>
  <c r="M1985" i="2"/>
  <c r="M1986" i="2"/>
  <c r="M1987" i="2"/>
  <c r="M1988" i="2"/>
  <c r="M1989" i="2"/>
  <c r="M1990" i="2"/>
  <c r="M1991" i="2"/>
  <c r="M1992" i="2"/>
  <c r="M1993" i="2"/>
  <c r="M1994" i="2"/>
  <c r="M1995" i="2"/>
  <c r="M1996" i="2"/>
  <c r="M1997" i="2"/>
  <c r="M1998" i="2"/>
  <c r="M1999" i="2"/>
  <c r="M2000" i="2"/>
  <c r="M2001" i="2"/>
  <c r="M2002" i="2"/>
  <c r="M2003" i="2"/>
  <c r="M2004" i="2"/>
  <c r="M2005" i="2"/>
  <c r="M2006" i="2"/>
  <c r="M2007" i="2"/>
  <c r="M2008" i="2"/>
  <c r="M2009" i="2"/>
  <c r="M2010" i="2"/>
  <c r="M2011" i="2"/>
  <c r="M2012" i="2"/>
  <c r="M2013" i="2"/>
  <c r="M2014" i="2"/>
  <c r="M2015" i="2"/>
  <c r="M2016" i="2"/>
  <c r="M2017" i="2"/>
  <c r="M2018" i="2"/>
  <c r="M2019" i="2"/>
  <c r="M2020" i="2"/>
  <c r="M2021" i="2"/>
  <c r="M2022" i="2"/>
  <c r="M2023" i="2"/>
  <c r="M2024" i="2"/>
  <c r="M2025" i="2"/>
  <c r="M2026" i="2"/>
  <c r="M2027" i="2"/>
  <c r="M2028" i="2"/>
  <c r="M2029" i="2"/>
  <c r="M2030" i="2"/>
  <c r="M2031" i="2"/>
  <c r="M2032" i="2"/>
  <c r="M2033" i="2"/>
  <c r="M2034" i="2"/>
  <c r="M2035" i="2"/>
  <c r="M2036" i="2"/>
  <c r="M2037" i="2"/>
  <c r="M2038" i="2"/>
  <c r="M2039" i="2"/>
  <c r="M2040" i="2"/>
  <c r="M2041" i="2"/>
  <c r="M2042" i="2"/>
  <c r="M2043" i="2"/>
  <c r="M2044" i="2"/>
  <c r="M2045" i="2"/>
  <c r="M2046" i="2"/>
  <c r="M2047" i="2"/>
  <c r="M2048" i="2"/>
  <c r="M2049" i="2"/>
  <c r="M2050" i="2"/>
  <c r="M2051" i="2"/>
  <c r="M2052" i="2"/>
  <c r="M2053" i="2"/>
  <c r="M2054" i="2"/>
  <c r="M2055" i="2"/>
  <c r="M2056" i="2"/>
  <c r="M2057" i="2"/>
  <c r="M2058" i="2"/>
  <c r="M2059" i="2"/>
  <c r="M2060" i="2"/>
  <c r="M2061" i="2"/>
  <c r="M2062" i="2"/>
  <c r="M2063" i="2"/>
  <c r="M2064" i="2"/>
  <c r="M2065" i="2"/>
  <c r="M2066" i="2"/>
  <c r="M2067" i="2"/>
  <c r="M2068" i="2"/>
  <c r="M2069" i="2"/>
  <c r="M2070" i="2"/>
  <c r="M2071" i="2"/>
  <c r="M2072" i="2"/>
  <c r="M2073" i="2"/>
  <c r="M2074" i="2"/>
  <c r="M2075" i="2"/>
  <c r="M2076" i="2"/>
  <c r="M2077" i="2"/>
  <c r="M2078" i="2"/>
  <c r="M2079" i="2"/>
  <c r="M2080" i="2"/>
  <c r="M2081" i="2"/>
  <c r="M2082" i="2"/>
  <c r="M2083" i="2"/>
  <c r="M2084" i="2"/>
  <c r="M2085" i="2"/>
  <c r="M2086" i="2"/>
  <c r="M2087" i="2"/>
  <c r="M2088" i="2"/>
  <c r="M2089" i="2"/>
  <c r="M2090" i="2"/>
  <c r="M2091" i="2"/>
  <c r="M2092" i="2"/>
  <c r="M2093" i="2"/>
  <c r="M2094" i="2"/>
  <c r="M2095" i="2"/>
  <c r="M2096" i="2"/>
  <c r="M2097" i="2"/>
  <c r="M2098" i="2"/>
  <c r="M2099" i="2"/>
  <c r="M2100" i="2"/>
  <c r="M2101" i="2"/>
  <c r="M2102" i="2"/>
  <c r="M2103" i="2"/>
  <c r="M2104" i="2"/>
  <c r="M2105" i="2"/>
  <c r="M2106" i="2"/>
  <c r="M2107" i="2"/>
  <c r="M2108" i="2"/>
  <c r="M2109" i="2"/>
  <c r="M2110" i="2"/>
  <c r="M2111" i="2"/>
  <c r="M2112" i="2"/>
  <c r="M2113" i="2"/>
  <c r="M2114" i="2"/>
  <c r="M2115" i="2"/>
  <c r="M2116" i="2"/>
  <c r="M2117" i="2"/>
  <c r="M2118" i="2"/>
  <c r="M2119" i="2"/>
  <c r="M2120" i="2"/>
  <c r="M2121" i="2"/>
  <c r="M2122" i="2"/>
  <c r="M2123" i="2"/>
  <c r="M2124" i="2"/>
  <c r="M2125" i="2"/>
  <c r="M2126" i="2"/>
  <c r="M2127" i="2"/>
  <c r="M2128" i="2"/>
  <c r="M2129" i="2"/>
  <c r="M2130" i="2"/>
  <c r="M2131" i="2"/>
  <c r="M2132" i="2"/>
  <c r="M2133" i="2"/>
  <c r="M2134" i="2"/>
  <c r="M2135" i="2"/>
  <c r="M2136" i="2"/>
  <c r="M2137" i="2"/>
  <c r="M2138" i="2"/>
  <c r="M2139" i="2"/>
  <c r="M2140" i="2"/>
  <c r="M2141" i="2"/>
  <c r="M2142" i="2"/>
  <c r="M2143" i="2"/>
  <c r="M2144" i="2"/>
  <c r="M2145" i="2"/>
  <c r="M2146" i="2"/>
  <c r="M2147" i="2"/>
  <c r="M2148" i="2"/>
  <c r="M2149" i="2"/>
  <c r="M2150" i="2"/>
  <c r="M2151" i="2"/>
  <c r="M2152" i="2"/>
  <c r="M2153" i="2"/>
  <c r="M2154" i="2"/>
  <c r="M2155" i="2"/>
  <c r="M2156" i="2"/>
  <c r="M2157" i="2"/>
  <c r="M2158" i="2"/>
  <c r="M2159" i="2"/>
  <c r="M2160" i="2"/>
  <c r="M2161" i="2"/>
  <c r="M2162" i="2"/>
  <c r="M2163" i="2"/>
  <c r="M2164" i="2"/>
  <c r="M2165" i="2"/>
  <c r="M2166" i="2"/>
  <c r="M2167" i="2"/>
  <c r="M2168" i="2"/>
  <c r="M2169" i="2"/>
  <c r="M2170" i="2"/>
  <c r="M2171" i="2"/>
  <c r="M2172" i="2"/>
  <c r="M2173" i="2"/>
  <c r="M2174" i="2"/>
  <c r="M2175" i="2"/>
  <c r="M2176" i="2"/>
  <c r="M2177" i="2"/>
  <c r="M2178" i="2"/>
  <c r="M2179" i="2"/>
  <c r="M2180" i="2"/>
  <c r="M2181" i="2"/>
  <c r="M2182" i="2"/>
  <c r="M2183" i="2"/>
  <c r="M2184" i="2"/>
  <c r="M2185" i="2"/>
  <c r="M2186" i="2"/>
  <c r="M2187" i="2"/>
  <c r="M2188" i="2"/>
  <c r="M2189" i="2"/>
  <c r="M2190" i="2"/>
  <c r="M2191" i="2"/>
  <c r="M2192" i="2"/>
  <c r="M2193" i="2"/>
  <c r="M2194" i="2"/>
  <c r="M2195" i="2"/>
  <c r="M2196" i="2"/>
  <c r="M2197" i="2"/>
  <c r="M2198" i="2"/>
  <c r="M2199" i="2"/>
  <c r="M2200" i="2"/>
  <c r="M2201" i="2"/>
  <c r="M2202" i="2"/>
  <c r="M2203" i="2"/>
  <c r="M2204" i="2"/>
  <c r="M2205" i="2"/>
  <c r="M2206" i="2"/>
  <c r="M2207" i="2"/>
  <c r="M2208" i="2"/>
  <c r="M2209" i="2"/>
  <c r="M2210" i="2"/>
  <c r="M2211" i="2"/>
  <c r="M2212" i="2"/>
  <c r="M2213" i="2"/>
  <c r="M2214" i="2"/>
  <c r="M2215" i="2"/>
  <c r="M2216" i="2"/>
  <c r="M2217" i="2"/>
  <c r="M2218" i="2"/>
  <c r="M2219" i="2"/>
  <c r="M2220" i="2"/>
  <c r="M2221" i="2"/>
  <c r="M2222" i="2"/>
  <c r="M2223" i="2"/>
  <c r="M2224" i="2"/>
  <c r="M2225" i="2"/>
  <c r="M2226" i="2"/>
  <c r="M2227" i="2"/>
  <c r="M2228" i="2"/>
  <c r="M2229" i="2"/>
  <c r="M2230" i="2"/>
  <c r="M2231" i="2"/>
  <c r="M2232" i="2"/>
  <c r="M2233" i="2"/>
  <c r="M2234" i="2"/>
  <c r="M2235" i="2"/>
  <c r="M2236" i="2"/>
  <c r="M2237" i="2"/>
  <c r="M2238" i="2"/>
  <c r="M2239" i="2"/>
  <c r="M2240" i="2"/>
  <c r="M2241" i="2"/>
  <c r="M2242" i="2"/>
  <c r="M2243" i="2"/>
  <c r="M2244" i="2"/>
  <c r="M2245" i="2"/>
  <c r="M2246" i="2"/>
  <c r="M2247" i="2"/>
  <c r="M2248" i="2"/>
  <c r="M2249" i="2"/>
  <c r="M2250" i="2"/>
  <c r="M2251" i="2"/>
  <c r="M2252" i="2"/>
  <c r="M2253" i="2"/>
  <c r="M2254" i="2"/>
  <c r="M2255" i="2"/>
  <c r="M2256" i="2"/>
  <c r="M2257" i="2"/>
  <c r="M2258" i="2"/>
  <c r="M2259" i="2"/>
  <c r="M2260" i="2"/>
  <c r="M2261" i="2"/>
  <c r="M2262" i="2"/>
  <c r="M2263" i="2"/>
  <c r="M2264" i="2"/>
  <c r="M2265" i="2"/>
  <c r="M2266" i="2"/>
  <c r="M2267" i="2"/>
  <c r="M2268" i="2"/>
  <c r="M2269" i="2"/>
  <c r="M2270" i="2"/>
  <c r="M2271" i="2"/>
  <c r="M2272" i="2"/>
  <c r="M2273" i="2"/>
  <c r="M2274" i="2"/>
  <c r="M2275" i="2"/>
  <c r="M2276" i="2"/>
  <c r="M2277" i="2"/>
  <c r="M2278" i="2"/>
  <c r="M2279" i="2"/>
  <c r="M2280" i="2"/>
  <c r="M2281" i="2"/>
  <c r="M2282" i="2"/>
  <c r="M2283" i="2"/>
  <c r="M2284" i="2"/>
  <c r="M2285" i="2"/>
  <c r="M2286" i="2"/>
  <c r="M2287" i="2"/>
  <c r="M2288" i="2"/>
  <c r="M2289" i="2"/>
  <c r="M2290" i="2"/>
  <c r="M2291" i="2"/>
  <c r="M2292" i="2"/>
  <c r="M2293" i="2"/>
  <c r="M2294" i="2"/>
  <c r="M2295" i="2"/>
  <c r="M2296" i="2"/>
  <c r="M2297" i="2"/>
  <c r="M2298" i="2"/>
  <c r="M2299" i="2"/>
  <c r="M2300" i="2"/>
  <c r="M2301" i="2"/>
  <c r="M2302" i="2"/>
  <c r="M2303" i="2"/>
  <c r="M2304" i="2"/>
  <c r="M2305" i="2"/>
  <c r="M2306" i="2"/>
  <c r="M2307" i="2"/>
  <c r="M2308" i="2"/>
  <c r="M2309" i="2"/>
  <c r="M2310" i="2"/>
  <c r="M2311" i="2"/>
  <c r="M2312" i="2"/>
  <c r="M2313" i="2"/>
  <c r="M2314" i="2"/>
  <c r="M2315" i="2"/>
  <c r="M2316" i="2"/>
  <c r="M2317" i="2"/>
  <c r="M2318" i="2"/>
  <c r="M2319" i="2"/>
  <c r="M2320" i="2"/>
  <c r="M2321" i="2"/>
  <c r="M2322" i="2"/>
  <c r="M2323" i="2"/>
  <c r="M2324" i="2"/>
  <c r="M2325" i="2"/>
  <c r="M2326" i="2"/>
  <c r="M2327" i="2"/>
  <c r="M2328" i="2"/>
  <c r="M2329" i="2"/>
  <c r="M2330" i="2"/>
  <c r="M2331" i="2"/>
  <c r="M2332" i="2"/>
  <c r="M2333" i="2"/>
  <c r="M2334" i="2"/>
  <c r="M2335" i="2"/>
  <c r="M2336" i="2"/>
  <c r="M2337" i="2"/>
  <c r="M2338" i="2"/>
  <c r="M2339" i="2"/>
  <c r="M2340" i="2"/>
  <c r="M2341" i="2"/>
  <c r="M2342" i="2"/>
  <c r="M2343" i="2"/>
  <c r="M2344" i="2"/>
  <c r="M2345" i="2"/>
  <c r="M2346" i="2"/>
  <c r="M2347" i="2"/>
  <c r="M2348" i="2"/>
  <c r="M2349" i="2"/>
  <c r="M2350" i="2"/>
  <c r="M2351" i="2"/>
  <c r="M2352" i="2"/>
  <c r="M2353" i="2"/>
  <c r="M2354" i="2"/>
  <c r="M2355" i="2"/>
  <c r="M2356" i="2"/>
  <c r="M2357" i="2"/>
  <c r="M2358" i="2"/>
  <c r="M2359" i="2"/>
  <c r="M2360" i="2"/>
  <c r="M2361" i="2"/>
  <c r="M2362" i="2"/>
  <c r="M2363" i="2"/>
  <c r="M2364" i="2"/>
  <c r="M2365" i="2"/>
  <c r="M2366" i="2"/>
  <c r="M2367" i="2"/>
  <c r="M2368" i="2"/>
  <c r="M2369" i="2"/>
  <c r="M2370" i="2"/>
  <c r="M2371" i="2"/>
  <c r="M2372" i="2"/>
  <c r="M2373" i="2"/>
  <c r="M2374" i="2"/>
  <c r="M2375" i="2"/>
  <c r="M2376" i="2"/>
  <c r="M2377" i="2"/>
  <c r="M2378" i="2"/>
  <c r="M2379" i="2"/>
  <c r="M2380" i="2"/>
  <c r="M2381" i="2"/>
  <c r="M2382" i="2"/>
  <c r="M2383" i="2"/>
  <c r="M2384" i="2"/>
  <c r="M2385" i="2"/>
  <c r="M2386" i="2"/>
  <c r="M2387" i="2"/>
  <c r="M2388" i="2"/>
  <c r="M2389" i="2"/>
  <c r="M2390" i="2"/>
  <c r="M2391" i="2"/>
  <c r="M2392" i="2"/>
  <c r="M2393" i="2"/>
  <c r="M2394" i="2"/>
  <c r="M2395" i="2"/>
  <c r="M2396" i="2"/>
  <c r="M2397" i="2"/>
  <c r="M2398" i="2"/>
  <c r="M2399" i="2"/>
  <c r="M2400" i="2"/>
  <c r="M2401" i="2"/>
  <c r="M2402" i="2"/>
  <c r="M2403" i="2"/>
  <c r="M2404" i="2"/>
  <c r="M2405" i="2"/>
  <c r="M2406" i="2"/>
  <c r="M2407" i="2"/>
  <c r="M2408" i="2"/>
  <c r="M2409" i="2"/>
  <c r="M2410" i="2"/>
  <c r="M2411" i="2"/>
  <c r="M2412" i="2"/>
  <c r="M2413" i="2"/>
  <c r="M2414" i="2"/>
  <c r="M2415" i="2"/>
  <c r="M2416" i="2"/>
  <c r="M2417" i="2"/>
  <c r="M2418" i="2"/>
  <c r="M2419" i="2"/>
  <c r="M2420" i="2"/>
  <c r="M2421" i="2"/>
  <c r="M2422" i="2"/>
  <c r="M2423" i="2"/>
  <c r="M2424" i="2"/>
  <c r="M2425" i="2"/>
  <c r="M2426" i="2"/>
  <c r="M2427" i="2"/>
  <c r="M2428" i="2"/>
  <c r="M2429" i="2"/>
  <c r="M2430" i="2"/>
  <c r="M2431" i="2"/>
  <c r="M2432" i="2"/>
  <c r="M2433" i="2"/>
  <c r="M2434" i="2"/>
  <c r="M2435" i="2"/>
  <c r="M2436" i="2"/>
  <c r="M2437" i="2"/>
  <c r="M2438" i="2"/>
  <c r="M2439" i="2"/>
  <c r="M2440" i="2"/>
  <c r="M2441" i="2"/>
  <c r="M2442" i="2"/>
  <c r="M2443" i="2"/>
  <c r="M2444" i="2"/>
  <c r="M2445" i="2"/>
  <c r="M2446" i="2"/>
  <c r="M2447" i="2"/>
  <c r="M2448" i="2"/>
  <c r="M2449" i="2"/>
  <c r="M2450" i="2"/>
  <c r="M2451" i="2"/>
  <c r="M2452" i="2"/>
  <c r="M2453" i="2"/>
  <c r="M2454" i="2"/>
  <c r="M2455" i="2"/>
  <c r="M2456" i="2"/>
  <c r="M2457" i="2"/>
  <c r="M2458" i="2"/>
  <c r="M2459" i="2"/>
  <c r="M2460" i="2"/>
  <c r="M2461" i="2"/>
  <c r="M2462" i="2"/>
  <c r="M2463" i="2"/>
  <c r="M2464" i="2"/>
  <c r="M2465" i="2"/>
  <c r="M2466" i="2"/>
  <c r="M2467" i="2"/>
  <c r="M2468" i="2"/>
  <c r="M2469" i="2"/>
  <c r="M2470" i="2"/>
  <c r="M2471" i="2"/>
  <c r="M2472" i="2"/>
  <c r="M2473" i="2"/>
  <c r="M2474" i="2"/>
  <c r="M2475" i="2"/>
  <c r="M2476" i="2"/>
  <c r="M2477" i="2"/>
  <c r="M2478" i="2"/>
  <c r="M2479" i="2"/>
  <c r="M2480" i="2"/>
  <c r="M2481" i="2"/>
  <c r="M2482" i="2"/>
  <c r="M2483" i="2"/>
  <c r="M2484" i="2"/>
  <c r="M2485" i="2"/>
  <c r="M2486" i="2"/>
  <c r="M2487" i="2"/>
  <c r="M2488" i="2"/>
  <c r="M2489" i="2"/>
  <c r="M2490" i="2"/>
  <c r="M2491" i="2"/>
  <c r="M2492" i="2"/>
  <c r="M2493" i="2"/>
  <c r="M2494" i="2"/>
  <c r="M2495" i="2"/>
  <c r="M2496" i="2"/>
  <c r="M2497" i="2"/>
  <c r="M2498" i="2"/>
  <c r="M2499" i="2"/>
  <c r="M2500" i="2"/>
  <c r="M2501" i="2"/>
  <c r="M2502" i="2"/>
  <c r="M2503" i="2"/>
  <c r="M2504" i="2"/>
  <c r="M2505" i="2"/>
  <c r="M2506" i="2"/>
  <c r="M2507" i="2"/>
  <c r="M2508" i="2"/>
  <c r="M2509" i="2"/>
  <c r="M2510" i="2"/>
  <c r="M2511" i="2"/>
  <c r="M2512" i="2"/>
  <c r="M2513" i="2"/>
  <c r="M2514" i="2"/>
  <c r="M2515" i="2"/>
  <c r="M2516" i="2"/>
  <c r="M2517" i="2"/>
  <c r="M2518" i="2"/>
  <c r="M2519" i="2"/>
  <c r="M2520" i="2"/>
  <c r="M2521" i="2"/>
  <c r="M2522" i="2"/>
  <c r="M2523" i="2"/>
  <c r="M2524" i="2"/>
  <c r="M2525" i="2"/>
  <c r="M2526" i="2"/>
  <c r="M2527" i="2"/>
  <c r="M2528" i="2"/>
  <c r="M2529" i="2"/>
  <c r="M2530" i="2"/>
  <c r="M2531" i="2"/>
  <c r="M2532" i="2"/>
  <c r="M2533" i="2"/>
  <c r="M2534" i="2"/>
  <c r="M2535" i="2"/>
  <c r="M2536" i="2"/>
  <c r="M2537" i="2"/>
  <c r="M2538" i="2"/>
  <c r="M2539" i="2"/>
  <c r="M2540" i="2"/>
  <c r="M2541" i="2"/>
  <c r="M2542" i="2"/>
  <c r="M2543" i="2"/>
  <c r="M2544" i="2"/>
  <c r="M2545" i="2"/>
  <c r="M2546" i="2"/>
  <c r="M2547" i="2"/>
  <c r="M2548" i="2"/>
  <c r="M2549" i="2"/>
  <c r="M2550" i="2"/>
  <c r="M2551" i="2"/>
  <c r="M2552" i="2"/>
  <c r="M2553" i="2"/>
  <c r="M2554" i="2"/>
  <c r="M2555" i="2"/>
  <c r="M2556" i="2"/>
  <c r="M2557" i="2"/>
  <c r="M2558" i="2"/>
  <c r="M2559" i="2"/>
  <c r="M2560" i="2"/>
  <c r="M2561" i="2"/>
  <c r="M2562" i="2"/>
  <c r="M2563" i="2"/>
  <c r="M2564" i="2"/>
  <c r="M2565" i="2"/>
  <c r="M2566" i="2"/>
  <c r="M2567" i="2"/>
  <c r="M2568" i="2"/>
  <c r="M2569" i="2"/>
  <c r="M2570" i="2"/>
  <c r="M2571" i="2"/>
  <c r="M2572" i="2"/>
  <c r="M2573" i="2"/>
  <c r="M2574" i="2"/>
  <c r="M2575" i="2"/>
  <c r="M2576" i="2"/>
  <c r="M2577" i="2"/>
  <c r="M2578" i="2"/>
  <c r="M2579" i="2"/>
  <c r="M2580" i="2"/>
  <c r="M2581" i="2"/>
  <c r="M2582" i="2"/>
  <c r="M2583" i="2"/>
  <c r="M2584" i="2"/>
  <c r="M2585" i="2"/>
  <c r="M2586" i="2"/>
  <c r="M2587" i="2"/>
  <c r="M2588" i="2"/>
  <c r="M2589" i="2"/>
  <c r="M2590" i="2"/>
  <c r="M2591" i="2"/>
  <c r="M2592" i="2"/>
  <c r="M2593" i="2"/>
  <c r="M2594" i="2"/>
  <c r="M2595" i="2"/>
  <c r="M2596" i="2"/>
  <c r="M2597" i="2"/>
  <c r="M2598" i="2"/>
  <c r="M2599" i="2"/>
  <c r="M2600" i="2"/>
  <c r="M2601" i="2"/>
  <c r="M2602" i="2"/>
  <c r="M2603" i="2"/>
  <c r="M2604" i="2"/>
  <c r="M2605" i="2"/>
  <c r="M2606" i="2"/>
  <c r="M2607" i="2"/>
  <c r="M2608" i="2"/>
  <c r="M2609" i="2"/>
  <c r="M2610" i="2"/>
  <c r="M2611" i="2"/>
  <c r="M2612" i="2"/>
  <c r="M2613" i="2"/>
  <c r="M2614" i="2"/>
  <c r="M2615" i="2"/>
  <c r="M2616" i="2"/>
  <c r="M2617" i="2"/>
  <c r="M2618" i="2"/>
  <c r="M2619" i="2"/>
  <c r="M2620" i="2"/>
  <c r="M2621" i="2"/>
  <c r="M2622" i="2"/>
  <c r="M2623" i="2"/>
  <c r="M2624" i="2"/>
  <c r="M2625" i="2"/>
  <c r="M2626" i="2"/>
  <c r="M2627" i="2"/>
  <c r="M2628" i="2"/>
  <c r="M2629" i="2"/>
  <c r="M2630" i="2"/>
  <c r="M2631" i="2"/>
  <c r="M2632" i="2"/>
  <c r="M2633" i="2"/>
  <c r="M2634" i="2"/>
  <c r="M2635" i="2"/>
  <c r="M2636" i="2"/>
  <c r="M2637" i="2"/>
  <c r="M2638" i="2"/>
  <c r="M2639" i="2"/>
  <c r="M2640" i="2"/>
  <c r="M2641" i="2"/>
  <c r="M2642" i="2"/>
  <c r="M2643" i="2"/>
  <c r="M2644" i="2"/>
  <c r="M2645" i="2"/>
  <c r="M2646" i="2"/>
  <c r="M2647" i="2"/>
  <c r="M2648" i="2"/>
  <c r="M2649" i="2"/>
  <c r="M2650" i="2"/>
  <c r="M2651" i="2"/>
  <c r="M2652" i="2"/>
  <c r="M2653" i="2"/>
  <c r="M2654" i="2"/>
  <c r="M2655" i="2"/>
  <c r="M2656" i="2"/>
  <c r="M2657" i="2"/>
  <c r="M2658" i="2"/>
  <c r="M2659" i="2"/>
  <c r="M2660" i="2"/>
  <c r="M2661" i="2"/>
  <c r="M2662" i="2"/>
  <c r="M2663" i="2"/>
  <c r="M2664" i="2"/>
  <c r="M2665" i="2"/>
  <c r="M2666" i="2"/>
  <c r="M2667" i="2"/>
  <c r="M2668" i="2"/>
  <c r="M2669" i="2"/>
  <c r="M2670" i="2"/>
  <c r="M2671" i="2"/>
  <c r="M2672" i="2"/>
  <c r="M2673" i="2"/>
  <c r="M2674" i="2"/>
  <c r="M2675" i="2"/>
  <c r="M2676" i="2"/>
  <c r="M2677" i="2"/>
  <c r="M2678" i="2"/>
  <c r="M2679" i="2"/>
  <c r="M2680" i="2"/>
  <c r="M2681" i="2"/>
  <c r="M2682" i="2"/>
  <c r="M2683" i="2"/>
  <c r="M2684" i="2"/>
  <c r="M2685" i="2"/>
  <c r="M2686" i="2"/>
  <c r="M2687" i="2"/>
  <c r="M2688" i="2"/>
  <c r="M2689" i="2"/>
  <c r="M2690" i="2"/>
  <c r="M2691" i="2"/>
  <c r="M2692" i="2"/>
  <c r="M2693" i="2"/>
  <c r="M2694" i="2"/>
  <c r="M2695" i="2"/>
  <c r="M2696" i="2"/>
  <c r="M2697" i="2"/>
  <c r="M2698" i="2"/>
  <c r="M2699" i="2"/>
  <c r="M2700" i="2"/>
  <c r="M2701" i="2"/>
  <c r="M2702" i="2"/>
  <c r="M2703" i="2"/>
  <c r="M2704" i="2"/>
  <c r="M2705" i="2"/>
  <c r="M2706" i="2"/>
  <c r="M2707" i="2"/>
  <c r="M2708" i="2"/>
  <c r="M2709" i="2"/>
  <c r="M2710" i="2"/>
  <c r="M2711" i="2"/>
  <c r="M2712" i="2"/>
  <c r="M2713" i="2"/>
  <c r="M2714" i="2"/>
  <c r="M2715" i="2"/>
  <c r="M2716" i="2"/>
  <c r="M2717" i="2"/>
  <c r="M2718" i="2"/>
  <c r="M2719" i="2"/>
  <c r="M2720" i="2"/>
  <c r="M2721" i="2"/>
  <c r="M2722" i="2"/>
  <c r="M2723" i="2"/>
  <c r="M2724" i="2"/>
  <c r="M2725" i="2"/>
  <c r="M2726" i="2"/>
  <c r="M2727" i="2"/>
  <c r="M2728" i="2"/>
  <c r="M2729" i="2"/>
  <c r="M2730" i="2"/>
  <c r="M2731" i="2"/>
  <c r="M2732" i="2"/>
  <c r="M2733" i="2"/>
  <c r="M2734" i="2"/>
  <c r="M2735" i="2"/>
  <c r="M2736" i="2"/>
  <c r="M2737" i="2"/>
  <c r="M2738" i="2"/>
  <c r="M2739" i="2"/>
  <c r="M2740" i="2"/>
  <c r="M2741" i="2"/>
  <c r="M2742" i="2"/>
  <c r="M2743" i="2"/>
  <c r="M2744" i="2"/>
  <c r="M2745" i="2"/>
  <c r="M2746" i="2"/>
  <c r="M2747" i="2"/>
  <c r="M2748" i="2"/>
  <c r="M2749" i="2"/>
  <c r="M2750" i="2"/>
  <c r="M2751" i="2"/>
  <c r="M2752" i="2"/>
  <c r="M2753" i="2"/>
  <c r="M2754" i="2"/>
  <c r="M2755" i="2"/>
  <c r="M2756" i="2"/>
  <c r="M2757" i="2"/>
  <c r="M2758" i="2"/>
  <c r="M2759" i="2"/>
  <c r="M2760" i="2"/>
  <c r="M2761" i="2"/>
  <c r="M2762" i="2"/>
  <c r="M2763" i="2"/>
  <c r="M2764" i="2"/>
  <c r="M2765" i="2"/>
  <c r="M2766" i="2"/>
  <c r="M2767" i="2"/>
  <c r="M2768" i="2"/>
  <c r="M2769" i="2"/>
  <c r="M2770" i="2"/>
  <c r="M2771" i="2"/>
  <c r="M2772" i="2"/>
  <c r="M2773" i="2"/>
  <c r="M2774" i="2"/>
  <c r="M2775" i="2"/>
  <c r="M2776" i="2"/>
  <c r="M2777" i="2"/>
  <c r="M2778" i="2"/>
  <c r="M2779" i="2"/>
  <c r="M2780" i="2"/>
  <c r="M2781" i="2"/>
  <c r="M2782" i="2"/>
  <c r="M2783" i="2"/>
  <c r="M2784" i="2"/>
  <c r="M2785" i="2"/>
  <c r="M2786" i="2"/>
  <c r="M2787" i="2"/>
  <c r="M2788" i="2"/>
  <c r="M2789" i="2"/>
  <c r="M2790" i="2"/>
  <c r="M2791" i="2"/>
  <c r="M2792" i="2"/>
  <c r="M2793" i="2"/>
  <c r="M2794" i="2"/>
  <c r="M2795" i="2"/>
  <c r="M2796" i="2"/>
  <c r="M2797" i="2"/>
  <c r="M2798" i="2"/>
  <c r="M2799" i="2"/>
  <c r="M2800" i="2"/>
  <c r="M2801" i="2"/>
  <c r="M2802" i="2"/>
  <c r="M2803" i="2"/>
  <c r="M2804" i="2"/>
  <c r="M2805" i="2"/>
  <c r="M2806" i="2"/>
  <c r="M2807" i="2"/>
  <c r="M2808" i="2"/>
  <c r="M2809" i="2"/>
  <c r="M2810" i="2"/>
  <c r="M2811" i="2"/>
  <c r="M2812" i="2"/>
  <c r="M2813" i="2"/>
  <c r="M2814" i="2"/>
  <c r="M2815" i="2"/>
  <c r="M2816" i="2"/>
  <c r="M2817" i="2"/>
  <c r="M2818" i="2"/>
  <c r="M2819" i="2"/>
  <c r="M2820" i="2"/>
  <c r="M2821" i="2"/>
  <c r="M2822" i="2"/>
  <c r="M2823" i="2"/>
  <c r="M2824" i="2"/>
  <c r="M2825" i="2"/>
  <c r="M2826" i="2"/>
  <c r="M2827" i="2"/>
  <c r="M2828" i="2"/>
  <c r="M2829" i="2"/>
  <c r="M2830" i="2"/>
  <c r="M2831" i="2"/>
  <c r="M2832" i="2"/>
  <c r="M2833" i="2"/>
  <c r="M2834" i="2"/>
  <c r="M2835" i="2"/>
  <c r="M2836" i="2"/>
  <c r="M2837" i="2"/>
  <c r="M2838" i="2"/>
  <c r="M2839" i="2"/>
  <c r="M2840" i="2"/>
  <c r="M2841" i="2"/>
  <c r="M2842" i="2"/>
  <c r="M2843" i="2"/>
  <c r="M2844" i="2"/>
  <c r="M2845" i="2"/>
  <c r="M2846" i="2"/>
  <c r="M2847" i="2"/>
  <c r="M2848" i="2"/>
  <c r="M2849" i="2"/>
  <c r="M2850" i="2"/>
  <c r="M2851" i="2"/>
  <c r="M2852" i="2"/>
  <c r="M2853" i="2"/>
  <c r="M2854" i="2"/>
  <c r="M2855" i="2"/>
  <c r="M2856" i="2"/>
  <c r="M2857" i="2"/>
  <c r="M2858" i="2"/>
  <c r="M2859" i="2"/>
  <c r="M2860" i="2"/>
  <c r="M2861" i="2"/>
  <c r="M2862" i="2"/>
  <c r="M2863" i="2"/>
  <c r="M2864" i="2"/>
  <c r="M2865" i="2"/>
  <c r="M2866" i="2"/>
  <c r="M2867" i="2"/>
  <c r="M2868" i="2"/>
  <c r="M2869" i="2"/>
  <c r="M2870" i="2"/>
  <c r="M2871" i="2"/>
  <c r="M2872" i="2"/>
  <c r="M2873" i="2"/>
  <c r="M2874" i="2"/>
  <c r="M2875" i="2"/>
  <c r="M2876" i="2"/>
  <c r="M2877" i="2"/>
  <c r="M2878" i="2"/>
  <c r="M2879" i="2"/>
  <c r="M2880" i="2"/>
  <c r="M2881" i="2"/>
  <c r="M2882" i="2"/>
  <c r="M2883" i="2"/>
  <c r="M2884" i="2"/>
  <c r="M2885" i="2"/>
  <c r="M2886" i="2"/>
  <c r="M2887" i="2"/>
  <c r="M2888" i="2"/>
  <c r="M2889" i="2"/>
  <c r="M2890" i="2"/>
  <c r="M2891" i="2"/>
  <c r="M2892" i="2"/>
  <c r="M2893" i="2"/>
  <c r="M2894" i="2"/>
  <c r="M2895" i="2"/>
  <c r="M2896" i="2"/>
  <c r="M2897" i="2"/>
  <c r="M2898" i="2"/>
  <c r="M2899" i="2"/>
  <c r="M2900" i="2"/>
  <c r="M2901" i="2"/>
  <c r="M2902" i="2"/>
  <c r="M2903" i="2"/>
  <c r="M2904" i="2"/>
  <c r="M2905" i="2"/>
  <c r="M2906" i="2"/>
  <c r="M2907" i="2"/>
  <c r="M2908" i="2"/>
  <c r="M2909" i="2"/>
  <c r="M2910" i="2"/>
  <c r="M2911" i="2"/>
  <c r="M2912" i="2"/>
  <c r="M2913" i="2"/>
  <c r="M2914" i="2"/>
  <c r="M2915" i="2"/>
  <c r="M2916" i="2"/>
  <c r="M2917" i="2"/>
  <c r="M2918" i="2"/>
  <c r="M2919" i="2"/>
  <c r="M2920" i="2"/>
  <c r="M2921" i="2"/>
  <c r="M2922" i="2"/>
  <c r="M2923" i="2"/>
  <c r="M2924" i="2"/>
  <c r="M2925" i="2"/>
  <c r="M2926" i="2"/>
  <c r="M2927" i="2"/>
  <c r="M2928" i="2"/>
  <c r="M2929" i="2"/>
  <c r="M2930" i="2"/>
  <c r="M2931" i="2"/>
  <c r="M2932" i="2"/>
  <c r="M2933" i="2"/>
  <c r="M2934" i="2"/>
  <c r="M2935" i="2"/>
  <c r="M2936" i="2"/>
  <c r="M2937" i="2"/>
  <c r="M2938" i="2"/>
  <c r="M2939" i="2"/>
  <c r="M2940" i="2"/>
  <c r="M2941" i="2"/>
  <c r="M2942" i="2"/>
  <c r="M2943" i="2"/>
  <c r="M2944" i="2"/>
  <c r="M2945" i="2"/>
  <c r="M2946" i="2"/>
  <c r="M2947" i="2"/>
  <c r="M2948" i="2"/>
  <c r="M2949" i="2"/>
  <c r="M2950" i="2"/>
  <c r="M2951" i="2"/>
  <c r="M2952" i="2"/>
  <c r="M2953" i="2"/>
  <c r="M2954" i="2"/>
  <c r="M2955" i="2"/>
  <c r="M2956" i="2"/>
  <c r="M2957" i="2"/>
  <c r="M2958" i="2"/>
  <c r="M2959" i="2"/>
  <c r="M2960" i="2"/>
  <c r="M2961" i="2"/>
  <c r="M2962" i="2"/>
  <c r="M2963" i="2"/>
  <c r="M2964" i="2"/>
  <c r="M2965" i="2"/>
  <c r="M2966" i="2"/>
  <c r="M2967" i="2"/>
  <c r="M2968" i="2"/>
  <c r="M2969" i="2"/>
  <c r="M2970" i="2"/>
  <c r="M2971" i="2"/>
  <c r="M2972" i="2"/>
  <c r="M2973" i="2"/>
  <c r="M2974" i="2"/>
  <c r="M2975" i="2"/>
  <c r="M2976" i="2"/>
  <c r="M2977" i="2"/>
  <c r="M2978" i="2"/>
  <c r="M2979" i="2"/>
  <c r="M2980" i="2"/>
  <c r="M2981" i="2"/>
  <c r="M2982" i="2"/>
  <c r="M2983" i="2"/>
  <c r="M2984" i="2"/>
  <c r="M2985" i="2"/>
  <c r="M2986" i="2"/>
  <c r="M2987" i="2"/>
  <c r="M2988" i="2"/>
  <c r="M2989" i="2"/>
  <c r="M2990" i="2"/>
  <c r="M2991" i="2"/>
  <c r="M2992" i="2"/>
  <c r="M2993" i="2"/>
  <c r="M2994" i="2"/>
  <c r="M2995" i="2"/>
  <c r="M2996" i="2"/>
  <c r="M2997" i="2"/>
  <c r="M2998" i="2"/>
  <c r="M2999" i="2"/>
  <c r="M3000" i="2"/>
  <c r="M3001" i="2"/>
  <c r="M3002" i="2"/>
  <c r="M3003" i="2"/>
  <c r="M3004" i="2"/>
  <c r="M3005" i="2"/>
  <c r="M3006" i="2"/>
  <c r="M3007" i="2"/>
  <c r="M3008" i="2"/>
  <c r="M3009" i="2"/>
  <c r="M3010" i="2"/>
  <c r="M3011" i="2"/>
  <c r="M3012" i="2"/>
  <c r="M3013" i="2"/>
  <c r="M3014" i="2"/>
  <c r="M3015" i="2"/>
  <c r="M3016" i="2"/>
  <c r="M3017" i="2"/>
  <c r="M3018" i="2"/>
  <c r="M3019" i="2"/>
  <c r="M3020" i="2"/>
  <c r="M3021" i="2"/>
  <c r="M3022" i="2"/>
  <c r="M3023" i="2"/>
  <c r="M3024" i="2"/>
  <c r="M3025" i="2"/>
  <c r="M3026" i="2"/>
  <c r="M3027" i="2"/>
  <c r="M3028" i="2"/>
  <c r="M3029" i="2"/>
  <c r="M3030" i="2"/>
  <c r="M3031" i="2"/>
  <c r="M3032" i="2"/>
  <c r="M3033" i="2"/>
  <c r="M3034" i="2"/>
  <c r="M3035" i="2"/>
  <c r="M3036" i="2"/>
  <c r="M3037" i="2"/>
  <c r="M3038" i="2"/>
  <c r="M3039" i="2"/>
  <c r="M3040" i="2"/>
  <c r="M3041" i="2"/>
  <c r="M3042" i="2"/>
  <c r="M3043" i="2"/>
  <c r="M3044" i="2"/>
  <c r="M3045" i="2"/>
  <c r="M3046" i="2"/>
  <c r="M3047" i="2"/>
  <c r="M3048" i="2"/>
  <c r="M3049" i="2"/>
  <c r="M3050" i="2"/>
  <c r="M3051" i="2"/>
  <c r="M3052" i="2"/>
  <c r="M3053" i="2"/>
  <c r="M3054" i="2"/>
  <c r="M3055" i="2"/>
  <c r="M3056" i="2"/>
  <c r="M3057" i="2"/>
  <c r="M3058" i="2"/>
  <c r="M3059" i="2"/>
  <c r="M3060" i="2"/>
  <c r="M3061" i="2"/>
  <c r="M3062" i="2"/>
  <c r="M3063" i="2"/>
  <c r="M3064" i="2"/>
  <c r="M3065" i="2"/>
  <c r="M3066" i="2"/>
  <c r="M3067" i="2"/>
  <c r="M3068" i="2"/>
  <c r="M3069" i="2"/>
  <c r="M3070" i="2"/>
  <c r="M3071" i="2"/>
  <c r="M3072" i="2"/>
  <c r="M3073" i="2"/>
  <c r="M3074" i="2"/>
  <c r="M3075" i="2"/>
  <c r="M3076" i="2"/>
  <c r="M3077" i="2"/>
  <c r="M3078" i="2"/>
  <c r="M3079" i="2"/>
  <c r="M3080" i="2"/>
  <c r="M3081" i="2"/>
  <c r="M3082" i="2"/>
  <c r="M3083" i="2"/>
  <c r="M3084" i="2"/>
  <c r="M3085" i="2"/>
  <c r="M3086" i="2"/>
  <c r="M3087" i="2"/>
  <c r="M3088" i="2"/>
  <c r="M3089" i="2"/>
  <c r="M3090" i="2"/>
  <c r="M3091" i="2"/>
  <c r="M3092" i="2"/>
  <c r="M3093" i="2"/>
  <c r="M3094" i="2"/>
  <c r="M3095" i="2"/>
  <c r="M3096" i="2"/>
  <c r="M3097" i="2"/>
  <c r="M3098" i="2"/>
  <c r="M3099" i="2"/>
  <c r="M3100" i="2"/>
  <c r="M3101" i="2"/>
  <c r="M3102" i="2"/>
  <c r="M3103" i="2"/>
  <c r="M3104" i="2"/>
  <c r="M3105" i="2"/>
  <c r="M3106" i="2"/>
  <c r="M3107" i="2"/>
  <c r="M3108" i="2"/>
  <c r="M3109" i="2"/>
  <c r="M3110" i="2"/>
  <c r="M3111" i="2"/>
  <c r="M3112" i="2"/>
  <c r="M3113" i="2"/>
  <c r="M3114" i="2"/>
  <c r="M3115" i="2"/>
  <c r="M3116" i="2"/>
  <c r="M3117" i="2"/>
  <c r="M3118" i="2"/>
  <c r="M3119" i="2"/>
  <c r="M3120" i="2"/>
  <c r="M3121" i="2"/>
  <c r="M3122" i="2"/>
  <c r="M3123" i="2"/>
  <c r="M3124" i="2"/>
  <c r="M3125" i="2"/>
  <c r="M3126" i="2"/>
  <c r="M3127" i="2"/>
  <c r="M3128" i="2"/>
  <c r="M3129" i="2"/>
  <c r="M3130" i="2"/>
  <c r="M3131" i="2"/>
  <c r="M3132" i="2"/>
  <c r="M3133" i="2"/>
  <c r="M3134" i="2"/>
  <c r="M3135" i="2"/>
  <c r="M3136" i="2"/>
  <c r="M3137" i="2"/>
  <c r="M3138" i="2"/>
  <c r="M3139" i="2"/>
  <c r="M3140" i="2"/>
  <c r="M3141" i="2"/>
  <c r="M3142" i="2"/>
  <c r="M3143" i="2"/>
  <c r="M3144" i="2"/>
  <c r="M3145" i="2"/>
  <c r="M3146" i="2"/>
  <c r="M3147" i="2"/>
  <c r="M3148" i="2"/>
  <c r="M3149" i="2"/>
  <c r="M3150" i="2"/>
  <c r="M3151" i="2"/>
  <c r="M3152" i="2"/>
  <c r="M3153" i="2"/>
  <c r="M3154" i="2"/>
  <c r="M3155" i="2"/>
  <c r="M3156" i="2"/>
  <c r="M3157" i="2"/>
  <c r="M3158" i="2"/>
  <c r="M3159" i="2"/>
  <c r="M3160" i="2"/>
  <c r="M3161" i="2"/>
  <c r="M3162" i="2"/>
  <c r="M3163" i="2"/>
  <c r="M3164" i="2"/>
  <c r="M3165" i="2"/>
  <c r="M3166" i="2"/>
  <c r="M3167" i="2"/>
  <c r="M3168" i="2"/>
  <c r="M3169" i="2"/>
  <c r="M3170" i="2"/>
  <c r="M3171" i="2"/>
  <c r="M3172" i="2"/>
  <c r="M3173" i="2"/>
  <c r="M3174" i="2"/>
  <c r="M3175" i="2"/>
  <c r="M3176" i="2"/>
  <c r="M3177" i="2"/>
  <c r="M3178" i="2"/>
  <c r="M3179" i="2"/>
  <c r="M3180" i="2"/>
  <c r="M3181" i="2"/>
  <c r="M3182" i="2"/>
  <c r="M3183" i="2"/>
  <c r="M3184" i="2"/>
  <c r="M3185" i="2"/>
  <c r="M3186" i="2"/>
  <c r="M3187" i="2"/>
  <c r="M3188" i="2"/>
  <c r="M3189" i="2"/>
  <c r="M3190" i="2"/>
  <c r="M3191" i="2"/>
  <c r="M3192" i="2"/>
  <c r="M3193" i="2"/>
  <c r="M3194" i="2"/>
  <c r="M3195" i="2"/>
  <c r="M3196" i="2"/>
  <c r="M3197" i="2"/>
  <c r="M3198" i="2"/>
  <c r="M3199" i="2"/>
  <c r="M3200" i="2"/>
  <c r="M3201" i="2"/>
  <c r="M3202" i="2"/>
  <c r="M3203" i="2"/>
  <c r="M3204" i="2"/>
  <c r="M3205" i="2"/>
  <c r="M3206" i="2"/>
  <c r="M3207" i="2"/>
  <c r="M3208" i="2"/>
  <c r="M3209" i="2"/>
  <c r="M3210" i="2"/>
  <c r="M3211" i="2"/>
  <c r="M3212" i="2"/>
  <c r="M3213" i="2"/>
  <c r="M3214" i="2"/>
  <c r="M3215" i="2"/>
  <c r="M3216" i="2"/>
  <c r="M3217" i="2"/>
  <c r="M3218" i="2"/>
  <c r="M3219" i="2"/>
  <c r="M3220" i="2"/>
  <c r="M3221" i="2"/>
  <c r="M3222" i="2"/>
  <c r="M3223" i="2"/>
  <c r="M3224" i="2"/>
  <c r="M3225" i="2"/>
  <c r="M3226" i="2"/>
  <c r="M3227" i="2"/>
  <c r="M3228" i="2"/>
  <c r="M3229" i="2"/>
  <c r="M3230" i="2"/>
  <c r="M3231" i="2"/>
  <c r="M3232" i="2"/>
  <c r="M3233" i="2"/>
  <c r="M3234" i="2"/>
  <c r="M3235" i="2"/>
  <c r="M3236" i="2"/>
  <c r="M3237" i="2"/>
  <c r="M3238" i="2"/>
  <c r="M3239" i="2"/>
  <c r="M3240" i="2"/>
  <c r="M3241" i="2"/>
  <c r="M3242" i="2"/>
  <c r="M3243" i="2"/>
  <c r="M3244" i="2"/>
  <c r="M3245" i="2"/>
  <c r="M3246" i="2"/>
  <c r="M3247" i="2"/>
  <c r="M3248" i="2"/>
  <c r="M3249" i="2"/>
  <c r="M3250" i="2"/>
  <c r="M3251" i="2"/>
  <c r="M3252" i="2"/>
  <c r="M3253" i="2"/>
  <c r="M3254" i="2"/>
  <c r="M3255" i="2"/>
  <c r="M3256" i="2"/>
  <c r="M3257" i="2"/>
  <c r="M3258" i="2"/>
  <c r="M3259" i="2"/>
  <c r="M3260" i="2"/>
  <c r="M3261" i="2"/>
  <c r="M3262" i="2"/>
  <c r="M3263" i="2"/>
  <c r="M3264" i="2"/>
  <c r="M3265" i="2"/>
  <c r="M3266" i="2"/>
  <c r="M3267" i="2"/>
  <c r="M3268" i="2"/>
  <c r="M3269" i="2"/>
  <c r="M3270" i="2"/>
  <c r="M3271" i="2"/>
  <c r="M3272" i="2"/>
  <c r="M3273" i="2"/>
  <c r="M3274" i="2"/>
  <c r="M3275" i="2"/>
  <c r="M3276" i="2"/>
  <c r="M3277" i="2"/>
  <c r="M3278" i="2"/>
  <c r="M3279" i="2"/>
  <c r="M3280" i="2"/>
  <c r="M3281" i="2"/>
  <c r="M3282" i="2"/>
  <c r="M3283" i="2"/>
  <c r="M3284" i="2"/>
  <c r="M3285" i="2"/>
  <c r="M3286" i="2"/>
  <c r="M3287" i="2"/>
  <c r="M3288" i="2"/>
  <c r="M3289" i="2"/>
  <c r="M3290" i="2"/>
  <c r="M3291" i="2"/>
  <c r="M3292" i="2"/>
  <c r="M3293" i="2"/>
  <c r="M3294" i="2"/>
  <c r="M3295" i="2"/>
  <c r="M3296" i="2"/>
  <c r="M3297" i="2"/>
  <c r="M3298" i="2"/>
  <c r="M3299" i="2"/>
  <c r="M3300" i="2"/>
  <c r="M3301" i="2"/>
  <c r="M3302" i="2"/>
  <c r="M3303" i="2"/>
  <c r="M3304" i="2"/>
  <c r="M3305" i="2"/>
  <c r="M3306" i="2"/>
  <c r="M3307" i="2"/>
  <c r="M3308" i="2"/>
  <c r="M3309" i="2"/>
  <c r="M3310" i="2"/>
  <c r="M3311" i="2"/>
  <c r="M3312" i="2"/>
  <c r="M3313" i="2"/>
  <c r="M3314" i="2"/>
  <c r="M3315" i="2"/>
  <c r="M3316" i="2"/>
  <c r="M3317" i="2"/>
  <c r="M3318" i="2"/>
  <c r="M3319" i="2"/>
  <c r="M3320" i="2"/>
  <c r="M3321" i="2"/>
  <c r="M3322" i="2"/>
  <c r="M3323" i="2"/>
  <c r="M3324" i="2"/>
  <c r="M3325" i="2"/>
  <c r="M3326" i="2"/>
  <c r="M3327" i="2"/>
  <c r="M3328" i="2"/>
  <c r="M3329" i="2"/>
  <c r="M3330" i="2"/>
  <c r="M3331" i="2"/>
  <c r="M3332" i="2"/>
  <c r="M3333" i="2"/>
  <c r="M3334" i="2"/>
  <c r="M3335" i="2"/>
  <c r="M3336" i="2"/>
  <c r="M3337" i="2"/>
  <c r="M3338" i="2"/>
  <c r="M3339" i="2"/>
  <c r="M3340" i="2"/>
  <c r="M3341" i="2"/>
  <c r="M3342" i="2"/>
  <c r="M3343" i="2"/>
  <c r="M3344" i="2"/>
  <c r="M3345" i="2"/>
  <c r="M3346" i="2"/>
  <c r="M3347" i="2"/>
  <c r="M3348" i="2"/>
  <c r="M3349" i="2"/>
  <c r="M3350" i="2"/>
  <c r="M3351" i="2"/>
  <c r="M3352" i="2"/>
  <c r="M3353" i="2"/>
  <c r="M3354" i="2"/>
  <c r="M3355" i="2"/>
  <c r="M3356" i="2"/>
  <c r="M3357" i="2"/>
  <c r="M3358" i="2"/>
  <c r="M3359" i="2"/>
  <c r="M3360" i="2"/>
  <c r="M3361" i="2"/>
  <c r="M3362" i="2"/>
  <c r="M3363" i="2"/>
  <c r="M3364" i="2"/>
  <c r="M3365" i="2"/>
  <c r="M3366" i="2"/>
  <c r="M3367" i="2"/>
  <c r="M3368" i="2"/>
  <c r="M3369" i="2"/>
  <c r="M3370" i="2"/>
  <c r="M3371" i="2"/>
  <c r="M3372" i="2"/>
  <c r="M3373" i="2"/>
  <c r="M3374" i="2"/>
  <c r="M3375" i="2"/>
  <c r="M3376" i="2"/>
  <c r="M3377" i="2"/>
  <c r="M3378" i="2"/>
  <c r="M3379" i="2"/>
  <c r="M3380" i="2"/>
  <c r="M3381" i="2"/>
  <c r="M3382" i="2"/>
  <c r="M3383" i="2"/>
  <c r="M3384" i="2"/>
  <c r="M3385" i="2"/>
  <c r="M3386" i="2"/>
  <c r="M3387" i="2"/>
  <c r="M3388" i="2"/>
  <c r="M3389" i="2"/>
  <c r="M3390" i="2"/>
  <c r="M3391" i="2"/>
  <c r="M3392" i="2"/>
  <c r="M3393" i="2"/>
  <c r="M3394" i="2"/>
  <c r="M3395" i="2"/>
  <c r="M3396" i="2"/>
  <c r="M3397" i="2"/>
  <c r="M3398" i="2"/>
  <c r="M3399" i="2"/>
  <c r="M3400" i="2"/>
  <c r="M3401" i="2"/>
  <c r="M3402" i="2"/>
  <c r="M3403" i="2"/>
  <c r="M3404" i="2"/>
  <c r="M3405" i="2"/>
  <c r="M3406" i="2"/>
  <c r="M3407" i="2"/>
  <c r="M3408" i="2"/>
  <c r="M3409" i="2"/>
  <c r="M3410" i="2"/>
  <c r="M3411" i="2"/>
  <c r="M3412" i="2"/>
  <c r="M3413" i="2"/>
  <c r="M3414" i="2"/>
  <c r="M3415" i="2"/>
  <c r="M3416" i="2"/>
  <c r="M3417" i="2"/>
  <c r="M3418" i="2"/>
  <c r="M3419" i="2"/>
  <c r="M3420" i="2"/>
  <c r="M3421" i="2"/>
  <c r="M3422" i="2"/>
  <c r="M3423" i="2"/>
  <c r="M3424" i="2"/>
  <c r="M3425" i="2"/>
  <c r="M3426" i="2"/>
  <c r="M3427" i="2"/>
  <c r="M3428" i="2"/>
  <c r="M3429" i="2"/>
  <c r="M3430" i="2"/>
  <c r="M3431" i="2"/>
  <c r="M3432" i="2"/>
  <c r="M3433" i="2"/>
  <c r="M3434" i="2"/>
  <c r="M3435" i="2"/>
  <c r="M3436" i="2"/>
  <c r="M3437" i="2"/>
  <c r="M3438" i="2"/>
  <c r="M3439" i="2"/>
  <c r="M3440" i="2"/>
  <c r="M3441" i="2"/>
  <c r="M3442" i="2"/>
  <c r="M3443" i="2"/>
  <c r="M3444" i="2"/>
  <c r="M3445" i="2"/>
  <c r="M3446" i="2"/>
  <c r="M3447" i="2"/>
  <c r="M3448" i="2"/>
  <c r="M3449" i="2"/>
  <c r="M3450" i="2"/>
  <c r="M3451" i="2"/>
  <c r="M3452" i="2"/>
  <c r="M3453" i="2"/>
  <c r="M3454" i="2"/>
  <c r="M3455" i="2"/>
  <c r="M3456" i="2"/>
  <c r="M3457" i="2"/>
  <c r="M3458" i="2"/>
  <c r="M3459" i="2"/>
  <c r="M3460" i="2"/>
  <c r="M3461" i="2"/>
  <c r="M3462" i="2"/>
  <c r="M3463" i="2"/>
  <c r="M3464" i="2"/>
  <c r="M3465" i="2"/>
  <c r="M3466" i="2"/>
  <c r="M3467" i="2"/>
  <c r="M3468" i="2"/>
  <c r="M3469" i="2"/>
  <c r="M3470" i="2"/>
  <c r="M3471" i="2"/>
  <c r="M3472" i="2"/>
  <c r="M3473" i="2"/>
  <c r="M3474" i="2"/>
  <c r="M3475" i="2"/>
  <c r="M3476" i="2"/>
  <c r="M3477" i="2"/>
  <c r="M3478" i="2"/>
  <c r="M3479" i="2"/>
  <c r="M3480" i="2"/>
  <c r="M3481" i="2"/>
  <c r="M3482" i="2"/>
  <c r="M3483" i="2"/>
  <c r="M3484" i="2"/>
  <c r="M3485" i="2"/>
  <c r="M3486" i="2"/>
  <c r="M3487" i="2"/>
  <c r="M3488" i="2"/>
  <c r="M3489" i="2"/>
  <c r="M3490" i="2"/>
  <c r="M3491" i="2"/>
  <c r="M3492" i="2"/>
  <c r="M3493" i="2"/>
  <c r="M3494" i="2"/>
  <c r="M3495" i="2"/>
  <c r="M3496" i="2"/>
  <c r="M3497" i="2"/>
  <c r="M3498" i="2"/>
  <c r="M3499" i="2"/>
  <c r="M3500" i="2"/>
  <c r="M3501" i="2"/>
  <c r="M3502" i="2"/>
  <c r="M3503" i="2"/>
  <c r="M3504" i="2"/>
  <c r="M3505" i="2"/>
  <c r="M3506" i="2"/>
  <c r="M3507" i="2"/>
  <c r="M3508" i="2"/>
  <c r="M3509" i="2"/>
  <c r="M3510" i="2"/>
  <c r="M3511" i="2"/>
  <c r="M3512" i="2"/>
  <c r="M3513" i="2"/>
  <c r="M3514" i="2"/>
  <c r="M3515" i="2"/>
  <c r="M3516" i="2"/>
  <c r="M3517" i="2"/>
  <c r="M3518" i="2"/>
  <c r="M3519" i="2"/>
  <c r="M3520" i="2"/>
  <c r="M3521" i="2"/>
  <c r="M3522" i="2"/>
  <c r="M3523" i="2"/>
  <c r="M3524" i="2"/>
  <c r="M3525" i="2"/>
  <c r="M3526" i="2"/>
  <c r="M3527" i="2"/>
  <c r="M3528" i="2"/>
  <c r="M3529" i="2"/>
  <c r="M3530" i="2"/>
  <c r="M3531" i="2"/>
  <c r="M3532" i="2"/>
  <c r="M3533" i="2"/>
  <c r="M3534" i="2"/>
  <c r="M3535" i="2"/>
  <c r="M3536" i="2"/>
  <c r="M3537" i="2"/>
  <c r="M3538" i="2"/>
  <c r="M3539" i="2"/>
  <c r="M3540" i="2"/>
  <c r="M3541" i="2"/>
  <c r="M3542" i="2"/>
  <c r="M3543" i="2"/>
  <c r="M3544" i="2"/>
  <c r="M3545" i="2"/>
  <c r="M3546" i="2"/>
  <c r="M3547" i="2"/>
  <c r="M3548" i="2"/>
  <c r="M3549" i="2"/>
  <c r="M3550" i="2"/>
  <c r="M3551" i="2"/>
  <c r="M3552" i="2"/>
  <c r="M3553" i="2"/>
  <c r="M3554" i="2"/>
  <c r="M3555" i="2"/>
  <c r="M3556" i="2"/>
  <c r="M3557" i="2"/>
  <c r="M3558" i="2"/>
  <c r="M3559" i="2"/>
  <c r="M3560" i="2"/>
  <c r="M3561" i="2"/>
  <c r="M3562" i="2"/>
  <c r="M3563" i="2"/>
  <c r="M3564" i="2"/>
  <c r="M3565" i="2"/>
  <c r="M3566" i="2"/>
  <c r="M3567" i="2"/>
  <c r="M3568" i="2"/>
  <c r="M3569" i="2"/>
  <c r="M3570" i="2"/>
  <c r="M3571" i="2"/>
  <c r="M3572" i="2"/>
  <c r="M3573" i="2"/>
  <c r="M3574" i="2"/>
  <c r="M3575" i="2"/>
  <c r="M3576" i="2"/>
  <c r="M3577" i="2"/>
  <c r="M3578" i="2"/>
  <c r="M3579" i="2"/>
  <c r="M3580" i="2"/>
  <c r="M3581" i="2"/>
  <c r="M3582" i="2"/>
  <c r="M3583" i="2"/>
  <c r="M3584" i="2"/>
  <c r="M3585" i="2"/>
  <c r="M3586" i="2"/>
  <c r="M3587" i="2"/>
  <c r="M3588" i="2"/>
  <c r="M3589" i="2"/>
  <c r="M3590" i="2"/>
  <c r="M3591" i="2"/>
  <c r="M3592" i="2"/>
  <c r="M3593" i="2"/>
  <c r="M3594" i="2"/>
  <c r="M3595" i="2"/>
  <c r="M3596" i="2"/>
  <c r="M3597" i="2"/>
  <c r="M3598" i="2"/>
  <c r="M3599" i="2"/>
  <c r="M3600" i="2"/>
  <c r="M3601" i="2"/>
  <c r="M3602" i="2"/>
  <c r="M3603" i="2"/>
  <c r="M3604" i="2"/>
  <c r="M3605" i="2"/>
  <c r="M3606" i="2"/>
  <c r="M3607" i="2"/>
  <c r="M3608" i="2"/>
  <c r="M3609" i="2"/>
  <c r="M3610" i="2"/>
  <c r="M3611" i="2"/>
  <c r="M3612" i="2"/>
  <c r="M3613" i="2"/>
  <c r="M3614" i="2"/>
  <c r="M3615" i="2"/>
  <c r="M3616" i="2"/>
  <c r="M3617" i="2"/>
  <c r="M3618" i="2"/>
  <c r="M3619" i="2"/>
  <c r="M3620" i="2"/>
  <c r="M3621" i="2"/>
  <c r="M3622" i="2"/>
  <c r="M3623" i="2"/>
  <c r="M3624" i="2"/>
  <c r="M3625" i="2"/>
  <c r="M3626" i="2"/>
  <c r="M3627" i="2"/>
  <c r="M3628" i="2"/>
  <c r="M3629" i="2"/>
  <c r="M3630" i="2"/>
  <c r="M3631" i="2"/>
  <c r="M3632" i="2"/>
  <c r="M3633" i="2"/>
  <c r="M3634" i="2"/>
  <c r="M3635" i="2"/>
  <c r="M3636" i="2"/>
  <c r="M3637" i="2"/>
  <c r="M3638" i="2"/>
  <c r="M3639" i="2"/>
  <c r="M3640" i="2"/>
  <c r="M3641" i="2"/>
  <c r="M3642" i="2"/>
  <c r="M3643" i="2"/>
  <c r="M3644" i="2"/>
  <c r="M3645" i="2"/>
  <c r="M3646" i="2"/>
  <c r="M3647" i="2"/>
  <c r="M3648" i="2"/>
  <c r="M3649" i="2"/>
  <c r="M3650" i="2"/>
  <c r="M3651" i="2"/>
  <c r="M3652" i="2"/>
  <c r="M3653" i="2"/>
  <c r="M3654" i="2"/>
  <c r="M3655" i="2"/>
  <c r="M3656" i="2"/>
  <c r="M3657" i="2"/>
  <c r="M3658" i="2"/>
  <c r="M3659" i="2"/>
  <c r="M3660" i="2"/>
  <c r="M3661" i="2"/>
  <c r="M3662" i="2"/>
  <c r="M3663" i="2"/>
  <c r="M3664" i="2"/>
  <c r="M3665" i="2"/>
  <c r="M3666" i="2"/>
  <c r="M3667" i="2"/>
  <c r="M3668" i="2"/>
  <c r="M3669" i="2"/>
  <c r="M3670" i="2"/>
  <c r="M3671" i="2"/>
  <c r="M3672" i="2"/>
  <c r="M3673" i="2"/>
  <c r="M3674" i="2"/>
  <c r="M3675" i="2"/>
  <c r="M3676" i="2"/>
  <c r="M3677" i="2"/>
  <c r="M3678" i="2"/>
  <c r="M3679" i="2"/>
  <c r="M3680" i="2"/>
  <c r="M3681" i="2"/>
  <c r="M3682" i="2"/>
  <c r="M3683" i="2"/>
  <c r="M3684" i="2"/>
  <c r="M3685" i="2"/>
  <c r="M3686" i="2"/>
  <c r="M3687" i="2"/>
  <c r="M3688" i="2"/>
  <c r="M3689" i="2"/>
  <c r="M3690" i="2"/>
  <c r="M3691" i="2"/>
  <c r="M3692" i="2"/>
  <c r="M3693" i="2"/>
  <c r="M3694" i="2"/>
  <c r="M3695" i="2"/>
  <c r="M3696" i="2"/>
  <c r="M3697" i="2"/>
  <c r="M3698" i="2"/>
  <c r="M3699" i="2"/>
  <c r="M3700" i="2"/>
  <c r="M3701" i="2"/>
  <c r="M3702" i="2"/>
  <c r="M3703" i="2"/>
  <c r="M3704" i="2"/>
  <c r="M3705" i="2"/>
  <c r="M3706" i="2"/>
  <c r="M3707" i="2"/>
  <c r="M3708" i="2"/>
  <c r="M3709" i="2"/>
  <c r="M3710" i="2"/>
  <c r="M3711" i="2"/>
  <c r="M3712" i="2"/>
  <c r="M3713" i="2"/>
  <c r="M3714" i="2"/>
  <c r="M3715" i="2"/>
  <c r="M3716" i="2"/>
  <c r="M3717" i="2"/>
  <c r="M3718" i="2"/>
  <c r="M3719" i="2"/>
  <c r="M3720" i="2"/>
  <c r="M3721" i="2"/>
  <c r="M3722" i="2"/>
  <c r="M3723" i="2"/>
  <c r="M3724" i="2"/>
  <c r="M3725" i="2"/>
  <c r="M3726" i="2"/>
  <c r="M3727" i="2"/>
  <c r="M3728" i="2"/>
  <c r="M3729" i="2"/>
  <c r="M3730" i="2"/>
  <c r="M3731" i="2"/>
  <c r="M3732" i="2"/>
  <c r="M3733" i="2"/>
  <c r="M3734" i="2"/>
  <c r="M3735" i="2"/>
  <c r="M3736" i="2"/>
  <c r="M3737" i="2"/>
  <c r="M3738" i="2"/>
  <c r="M3739" i="2"/>
  <c r="M3740" i="2"/>
  <c r="M3741" i="2"/>
  <c r="M3742" i="2"/>
  <c r="M3743" i="2"/>
  <c r="M3744" i="2"/>
  <c r="M3745" i="2"/>
  <c r="M3746" i="2"/>
  <c r="M3747" i="2"/>
  <c r="M3748" i="2"/>
  <c r="M3749" i="2"/>
  <c r="M3750" i="2"/>
  <c r="M3751" i="2"/>
  <c r="M3752" i="2"/>
  <c r="M3753" i="2"/>
  <c r="M3754" i="2"/>
  <c r="M3755" i="2"/>
  <c r="M3756" i="2"/>
  <c r="M3757" i="2"/>
  <c r="M3758" i="2"/>
  <c r="M3759" i="2"/>
  <c r="M3760" i="2"/>
  <c r="M3761" i="2"/>
  <c r="M3762" i="2"/>
  <c r="M3763" i="2"/>
  <c r="M3764" i="2"/>
  <c r="M3765" i="2"/>
  <c r="M3766" i="2"/>
  <c r="M3767" i="2"/>
  <c r="M3768" i="2"/>
  <c r="M3769" i="2"/>
  <c r="M3770" i="2"/>
  <c r="M3771" i="2"/>
  <c r="M3772" i="2"/>
  <c r="M3773" i="2"/>
  <c r="M3774" i="2"/>
  <c r="M3775" i="2"/>
  <c r="M3776" i="2"/>
  <c r="M3777" i="2"/>
  <c r="M3778" i="2"/>
  <c r="M3779" i="2"/>
  <c r="M3780" i="2"/>
  <c r="M3781" i="2"/>
  <c r="M3782" i="2"/>
  <c r="M3783" i="2"/>
  <c r="M3784" i="2"/>
  <c r="M3785" i="2"/>
  <c r="M3786" i="2"/>
  <c r="M3787" i="2"/>
  <c r="M3788" i="2"/>
  <c r="M3789" i="2"/>
  <c r="M3790" i="2"/>
  <c r="M3791" i="2"/>
  <c r="M3792" i="2"/>
  <c r="M3793" i="2"/>
  <c r="M3794" i="2"/>
  <c r="M3795" i="2"/>
  <c r="M3796" i="2"/>
  <c r="M3797" i="2"/>
  <c r="M3798" i="2"/>
  <c r="M3799" i="2"/>
  <c r="M3800" i="2"/>
  <c r="M3801" i="2"/>
  <c r="M3802" i="2"/>
  <c r="M3803" i="2"/>
  <c r="M3804" i="2"/>
  <c r="M3805" i="2"/>
  <c r="M3806" i="2"/>
  <c r="M3807" i="2"/>
  <c r="M3808" i="2"/>
  <c r="M3809" i="2"/>
  <c r="M3810" i="2"/>
  <c r="M3811" i="2"/>
  <c r="M3812" i="2"/>
  <c r="M3813" i="2"/>
  <c r="M3814" i="2"/>
  <c r="M3815" i="2"/>
  <c r="M3816" i="2"/>
  <c r="M3817" i="2"/>
  <c r="M3818" i="2"/>
  <c r="M3819" i="2"/>
  <c r="M3820" i="2"/>
  <c r="M3821" i="2"/>
  <c r="M3822" i="2"/>
  <c r="M3823" i="2"/>
  <c r="M3824" i="2"/>
  <c r="M3825" i="2"/>
  <c r="M3826" i="2"/>
  <c r="M3827" i="2"/>
  <c r="M3828" i="2"/>
  <c r="M3829" i="2"/>
  <c r="M3830" i="2"/>
  <c r="M3831" i="2"/>
  <c r="M3832" i="2"/>
  <c r="M3833" i="2"/>
  <c r="M3834" i="2"/>
  <c r="M3835" i="2"/>
  <c r="M3836" i="2"/>
  <c r="M3837" i="2"/>
  <c r="M3838" i="2"/>
  <c r="M3839" i="2"/>
  <c r="M3840" i="2"/>
  <c r="M3841" i="2"/>
  <c r="M3842" i="2"/>
  <c r="M3843" i="2"/>
  <c r="M3844" i="2"/>
  <c r="M3845" i="2"/>
  <c r="M3846" i="2"/>
  <c r="M3847" i="2"/>
  <c r="M3848" i="2"/>
  <c r="M3849" i="2"/>
  <c r="M3850" i="2"/>
  <c r="M3851" i="2"/>
  <c r="M3852" i="2"/>
  <c r="M3853" i="2"/>
  <c r="M3854" i="2"/>
  <c r="M3855" i="2"/>
  <c r="M3856" i="2"/>
  <c r="M3857" i="2"/>
  <c r="M3858" i="2"/>
  <c r="M3859" i="2"/>
  <c r="M3860" i="2"/>
  <c r="M3861" i="2"/>
  <c r="M3862" i="2"/>
  <c r="M3863" i="2"/>
  <c r="M3864" i="2"/>
  <c r="M3865" i="2"/>
  <c r="M3866" i="2"/>
  <c r="M3867" i="2"/>
  <c r="M3868" i="2"/>
  <c r="M3869" i="2"/>
  <c r="M3870" i="2"/>
  <c r="M3871" i="2"/>
  <c r="M3872" i="2"/>
  <c r="M3873" i="2"/>
  <c r="M3874" i="2"/>
  <c r="M3875" i="2"/>
  <c r="M3876" i="2"/>
  <c r="M3877" i="2"/>
  <c r="M3878" i="2"/>
  <c r="M3879" i="2"/>
  <c r="M3880" i="2"/>
  <c r="M3881" i="2"/>
  <c r="M3882" i="2"/>
  <c r="M3883" i="2"/>
  <c r="M3884" i="2"/>
  <c r="M3885" i="2"/>
  <c r="M3886" i="2"/>
  <c r="M3887" i="2"/>
  <c r="M3888" i="2"/>
  <c r="M3889" i="2"/>
  <c r="M3890" i="2"/>
  <c r="M3891" i="2"/>
  <c r="M3892" i="2"/>
  <c r="M3893" i="2"/>
  <c r="M3894" i="2"/>
  <c r="M3895" i="2"/>
  <c r="M3896" i="2"/>
  <c r="M3897" i="2"/>
  <c r="M3898" i="2"/>
  <c r="M3899" i="2"/>
  <c r="M3900" i="2"/>
  <c r="M3901" i="2"/>
  <c r="M3902" i="2"/>
  <c r="M3903" i="2"/>
  <c r="M3904" i="2"/>
  <c r="M3905" i="2"/>
  <c r="M3906" i="2"/>
  <c r="M3907" i="2"/>
  <c r="M3908" i="2"/>
  <c r="M3909" i="2"/>
  <c r="M3910" i="2"/>
  <c r="M3911" i="2"/>
  <c r="M3912" i="2"/>
  <c r="M3913" i="2"/>
  <c r="M3914" i="2"/>
  <c r="M3915" i="2"/>
  <c r="M3916" i="2"/>
  <c r="M3917" i="2"/>
  <c r="M3918" i="2"/>
  <c r="M3919" i="2"/>
  <c r="M3920" i="2"/>
  <c r="M3921" i="2"/>
  <c r="M3922" i="2"/>
  <c r="M3923" i="2"/>
  <c r="M3924" i="2"/>
  <c r="M3925" i="2"/>
  <c r="M3926" i="2"/>
  <c r="M3927" i="2"/>
  <c r="M3928" i="2"/>
  <c r="M3929" i="2"/>
  <c r="M3930" i="2"/>
  <c r="M3931" i="2"/>
  <c r="M3932" i="2"/>
  <c r="M3933" i="2"/>
  <c r="M3934" i="2"/>
  <c r="M3935" i="2"/>
  <c r="M3936" i="2"/>
  <c r="M3937" i="2"/>
  <c r="M3938" i="2"/>
  <c r="M3939" i="2"/>
  <c r="M3940" i="2"/>
  <c r="M3941" i="2"/>
  <c r="M3942" i="2"/>
  <c r="M3943" i="2"/>
  <c r="M3944" i="2"/>
  <c r="M3945" i="2"/>
  <c r="M3946" i="2"/>
  <c r="M3947" i="2"/>
  <c r="M3948" i="2"/>
  <c r="M3949" i="2"/>
  <c r="M3950" i="2"/>
  <c r="M3951" i="2"/>
  <c r="M3952" i="2"/>
  <c r="M3953" i="2"/>
  <c r="M3954" i="2"/>
  <c r="M3955" i="2"/>
  <c r="M3956" i="2"/>
  <c r="M3957" i="2"/>
  <c r="M3958" i="2"/>
  <c r="M3959" i="2"/>
  <c r="M3960" i="2"/>
  <c r="M3961" i="2"/>
  <c r="M3962" i="2"/>
  <c r="M3963" i="2"/>
  <c r="M3964" i="2"/>
  <c r="M3965" i="2"/>
  <c r="M3966" i="2"/>
  <c r="M3967" i="2"/>
  <c r="M3968" i="2"/>
  <c r="M3969" i="2"/>
  <c r="M3970" i="2"/>
  <c r="M3971" i="2"/>
  <c r="M3972" i="2"/>
  <c r="M3973" i="2"/>
  <c r="M3974" i="2"/>
  <c r="M3975" i="2"/>
  <c r="M3976" i="2"/>
  <c r="M3977" i="2"/>
  <c r="M3978" i="2"/>
  <c r="M3979" i="2"/>
  <c r="M3980" i="2"/>
  <c r="M3981" i="2"/>
  <c r="M3982" i="2"/>
  <c r="M3983" i="2"/>
  <c r="M3984" i="2"/>
  <c r="M3985" i="2"/>
  <c r="M3986" i="2"/>
  <c r="M3987" i="2"/>
  <c r="M3988" i="2"/>
  <c r="M3989" i="2"/>
  <c r="M3990" i="2"/>
  <c r="M3991" i="2"/>
  <c r="M3992" i="2"/>
  <c r="M3993" i="2"/>
  <c r="M3994" i="2"/>
  <c r="M3995" i="2"/>
  <c r="M3996" i="2"/>
  <c r="M3997" i="2"/>
  <c r="M3998" i="2"/>
  <c r="M3999" i="2"/>
  <c r="M4000" i="2"/>
  <c r="M4001" i="2"/>
  <c r="M4002" i="2"/>
  <c r="M4003" i="2"/>
  <c r="M4004" i="2"/>
  <c r="M4005" i="2"/>
  <c r="M4006" i="2"/>
  <c r="M4007" i="2"/>
  <c r="M4008" i="2"/>
  <c r="M4009" i="2"/>
  <c r="M4010" i="2"/>
  <c r="M4011" i="2"/>
  <c r="M4012" i="2"/>
  <c r="M4013" i="2"/>
  <c r="M4014" i="2"/>
  <c r="M4015" i="2"/>
  <c r="M4016" i="2"/>
  <c r="M4017" i="2"/>
  <c r="M4018" i="2"/>
  <c r="M4019" i="2"/>
  <c r="M4020" i="2"/>
  <c r="M4021" i="2"/>
  <c r="M4022" i="2"/>
  <c r="M4023" i="2"/>
  <c r="M4024" i="2"/>
  <c r="M4025" i="2"/>
  <c r="M4026" i="2"/>
  <c r="M4027" i="2"/>
  <c r="M4028" i="2"/>
  <c r="M4029" i="2"/>
  <c r="M4030" i="2"/>
  <c r="M4031" i="2"/>
  <c r="M4032" i="2"/>
  <c r="M4033" i="2"/>
  <c r="M4034" i="2"/>
  <c r="M4035" i="2"/>
  <c r="M4036" i="2"/>
  <c r="M4037" i="2"/>
  <c r="M4038" i="2"/>
  <c r="M4039" i="2"/>
  <c r="M4040" i="2"/>
  <c r="M4041" i="2"/>
  <c r="M4042" i="2"/>
  <c r="M4043" i="2"/>
  <c r="M4044" i="2"/>
  <c r="M4045" i="2"/>
  <c r="M4046" i="2"/>
  <c r="M4047" i="2"/>
  <c r="M4048" i="2"/>
  <c r="M4049" i="2"/>
  <c r="M4050" i="2"/>
  <c r="M4051" i="2"/>
  <c r="M4052" i="2"/>
  <c r="M4053" i="2"/>
  <c r="M4054" i="2"/>
  <c r="M4055" i="2"/>
  <c r="M4056" i="2"/>
  <c r="M4057" i="2"/>
  <c r="M4058" i="2"/>
  <c r="M4059" i="2"/>
  <c r="M4060" i="2"/>
  <c r="M4061" i="2"/>
  <c r="M4062" i="2"/>
  <c r="M4063" i="2"/>
  <c r="M4064" i="2"/>
  <c r="M4065" i="2"/>
  <c r="M4066" i="2"/>
  <c r="M4067" i="2"/>
  <c r="M4068" i="2"/>
  <c r="M4069" i="2"/>
  <c r="M4070" i="2"/>
  <c r="M4071" i="2"/>
  <c r="M4072" i="2"/>
  <c r="M4073" i="2"/>
  <c r="M4074" i="2"/>
  <c r="M4075" i="2"/>
  <c r="M4076" i="2"/>
  <c r="M4077" i="2"/>
  <c r="M4078" i="2"/>
  <c r="M4079" i="2"/>
  <c r="M4080" i="2"/>
  <c r="M4081" i="2"/>
  <c r="M4082" i="2"/>
  <c r="M4083" i="2"/>
  <c r="M4084" i="2"/>
  <c r="M4085" i="2"/>
  <c r="M4086" i="2"/>
  <c r="M4087" i="2"/>
  <c r="M4088" i="2"/>
  <c r="M4089" i="2"/>
  <c r="M4090" i="2"/>
  <c r="M4091" i="2"/>
  <c r="M4092" i="2"/>
  <c r="M4093" i="2"/>
  <c r="M4094" i="2"/>
  <c r="M4095" i="2"/>
  <c r="M4096" i="2"/>
  <c r="M4097" i="2"/>
  <c r="M4098" i="2"/>
  <c r="M4099" i="2"/>
  <c r="M4100" i="2"/>
  <c r="M4101" i="2"/>
  <c r="M4102" i="2"/>
  <c r="M4103" i="2"/>
  <c r="M4104" i="2"/>
  <c r="M4105" i="2"/>
  <c r="M4106" i="2"/>
  <c r="M4107" i="2"/>
  <c r="M4108" i="2"/>
  <c r="M4109" i="2"/>
  <c r="M4110" i="2"/>
  <c r="M4111" i="2"/>
  <c r="M4112" i="2"/>
  <c r="M4113" i="2"/>
  <c r="M4114" i="2"/>
  <c r="M4115" i="2"/>
  <c r="M4116" i="2"/>
  <c r="M4117" i="2"/>
  <c r="M4118" i="2"/>
  <c r="M4119" i="2"/>
  <c r="M4120" i="2"/>
  <c r="M4121" i="2"/>
  <c r="M4122" i="2"/>
  <c r="M4123" i="2"/>
  <c r="M4124" i="2"/>
  <c r="M4125" i="2"/>
  <c r="M4126" i="2"/>
  <c r="M4127" i="2"/>
  <c r="M4128" i="2"/>
  <c r="M4129" i="2"/>
  <c r="M4130" i="2"/>
  <c r="M4131" i="2"/>
  <c r="M4132" i="2"/>
  <c r="M4133" i="2"/>
  <c r="M4134" i="2"/>
  <c r="M4135" i="2"/>
  <c r="M4136" i="2"/>
  <c r="M4137" i="2"/>
  <c r="M4138" i="2"/>
  <c r="M4139" i="2"/>
  <c r="M4140" i="2"/>
  <c r="M4141" i="2"/>
  <c r="M4142" i="2"/>
  <c r="M4143" i="2"/>
  <c r="M4144" i="2"/>
  <c r="M4145" i="2"/>
  <c r="M4146" i="2"/>
  <c r="M4147" i="2"/>
  <c r="M4148" i="2"/>
  <c r="M4149" i="2"/>
  <c r="M4150" i="2"/>
  <c r="M4151" i="2"/>
  <c r="M4152" i="2"/>
  <c r="M4153" i="2"/>
  <c r="M4154" i="2"/>
  <c r="M4155" i="2"/>
  <c r="M4156" i="2"/>
  <c r="M4157" i="2"/>
  <c r="M4158" i="2"/>
  <c r="M4159" i="2"/>
  <c r="M4160" i="2"/>
  <c r="M4161" i="2"/>
  <c r="M4162" i="2"/>
  <c r="M4163" i="2"/>
  <c r="M4164" i="2"/>
  <c r="M4165" i="2"/>
  <c r="M4166" i="2"/>
  <c r="M4167" i="2"/>
  <c r="M4168" i="2"/>
  <c r="M4169" i="2"/>
  <c r="M4170" i="2"/>
  <c r="M4171" i="2"/>
  <c r="M4172" i="2"/>
  <c r="M4173" i="2"/>
  <c r="M4174" i="2"/>
  <c r="M4175" i="2"/>
  <c r="M4176" i="2"/>
  <c r="M4177" i="2"/>
  <c r="M4178" i="2"/>
  <c r="M4179" i="2"/>
  <c r="M4180" i="2"/>
  <c r="M4181" i="2"/>
  <c r="M4182" i="2"/>
  <c r="M4183" i="2"/>
  <c r="M4184" i="2"/>
  <c r="M4185" i="2"/>
  <c r="M4186" i="2"/>
  <c r="M4187" i="2"/>
  <c r="M4188" i="2"/>
  <c r="M4189" i="2"/>
  <c r="M4190" i="2"/>
  <c r="M4191" i="2"/>
  <c r="M4192" i="2"/>
  <c r="M4193" i="2"/>
  <c r="M4194" i="2"/>
  <c r="M4195" i="2"/>
  <c r="M4196" i="2"/>
  <c r="M4197" i="2"/>
  <c r="M4198" i="2"/>
  <c r="M4199" i="2"/>
  <c r="M4200" i="2"/>
  <c r="M4201" i="2"/>
  <c r="M4202" i="2"/>
  <c r="M4203" i="2"/>
  <c r="M4204" i="2"/>
  <c r="M4205" i="2"/>
  <c r="M4206" i="2"/>
  <c r="M4207" i="2"/>
  <c r="M4208" i="2"/>
  <c r="M4209" i="2"/>
  <c r="M4210" i="2"/>
  <c r="M4211" i="2"/>
  <c r="M4212" i="2"/>
  <c r="M4213" i="2"/>
  <c r="M4214" i="2"/>
  <c r="M4215" i="2"/>
  <c r="M4216" i="2"/>
  <c r="M4217" i="2"/>
  <c r="M4218" i="2"/>
  <c r="M4219" i="2"/>
  <c r="M4220" i="2"/>
  <c r="M4221" i="2"/>
  <c r="M4222" i="2"/>
  <c r="M4223" i="2"/>
  <c r="M4224" i="2"/>
  <c r="M4225" i="2"/>
  <c r="M4226" i="2"/>
  <c r="M4227" i="2"/>
  <c r="M4228" i="2"/>
  <c r="M4229" i="2"/>
  <c r="M4230" i="2"/>
  <c r="M4231" i="2"/>
  <c r="M4232" i="2"/>
  <c r="M4233" i="2"/>
  <c r="M4234" i="2"/>
  <c r="M4235" i="2"/>
  <c r="M4236" i="2"/>
  <c r="M4237" i="2"/>
  <c r="M4238" i="2"/>
  <c r="M4239" i="2"/>
  <c r="M4240" i="2"/>
  <c r="M4241" i="2"/>
  <c r="M4242" i="2"/>
  <c r="M4243" i="2"/>
  <c r="M4244" i="2"/>
  <c r="M4245" i="2"/>
  <c r="M4246" i="2"/>
  <c r="M4247" i="2"/>
  <c r="M4248" i="2"/>
  <c r="M4249" i="2"/>
  <c r="M4250" i="2"/>
  <c r="M4251" i="2"/>
  <c r="M4252" i="2"/>
  <c r="M4253" i="2"/>
  <c r="M4254" i="2"/>
  <c r="M4255" i="2"/>
  <c r="M4256" i="2"/>
  <c r="M4257" i="2"/>
  <c r="M4258" i="2"/>
  <c r="M4259" i="2"/>
  <c r="M4260" i="2"/>
  <c r="M4261" i="2"/>
  <c r="M4262" i="2"/>
  <c r="M4263" i="2"/>
  <c r="M4264" i="2"/>
  <c r="M4265" i="2"/>
  <c r="M4266" i="2"/>
  <c r="M4267" i="2"/>
  <c r="M4268" i="2"/>
  <c r="M4269" i="2"/>
  <c r="M4270" i="2"/>
  <c r="M4271" i="2"/>
  <c r="M4272" i="2"/>
  <c r="M4273" i="2"/>
  <c r="M4274" i="2"/>
  <c r="M4275" i="2"/>
  <c r="M4276" i="2"/>
  <c r="M4277" i="2"/>
  <c r="M4278" i="2"/>
  <c r="M4279" i="2"/>
  <c r="M4280" i="2"/>
  <c r="M4281" i="2"/>
  <c r="M4282" i="2"/>
  <c r="M4283" i="2"/>
  <c r="M4284" i="2"/>
  <c r="M4285" i="2"/>
  <c r="M4286" i="2"/>
  <c r="M4287" i="2"/>
  <c r="M4288" i="2"/>
  <c r="M4289" i="2"/>
  <c r="M4290" i="2"/>
  <c r="M4291" i="2"/>
  <c r="M4292" i="2"/>
  <c r="M4293" i="2"/>
  <c r="M4294" i="2"/>
  <c r="M4295" i="2"/>
  <c r="M4296" i="2"/>
  <c r="M4297" i="2"/>
  <c r="M4298" i="2"/>
  <c r="M4299" i="2"/>
  <c r="M4300" i="2"/>
  <c r="M4301" i="2"/>
  <c r="M4302" i="2"/>
  <c r="M4303" i="2"/>
  <c r="M4304" i="2"/>
  <c r="M4305" i="2"/>
  <c r="M4306" i="2"/>
  <c r="M4307" i="2"/>
  <c r="M4308" i="2"/>
  <c r="M4309" i="2"/>
  <c r="M4310" i="2"/>
  <c r="M4311" i="2"/>
  <c r="M4312" i="2"/>
  <c r="M4313" i="2"/>
  <c r="M4314" i="2"/>
  <c r="M4315" i="2"/>
  <c r="M4316" i="2"/>
  <c r="M4317" i="2"/>
  <c r="M4318" i="2"/>
  <c r="M4319" i="2"/>
  <c r="M4320" i="2"/>
  <c r="M4321" i="2"/>
  <c r="M4322" i="2"/>
  <c r="M4323" i="2"/>
  <c r="M4324" i="2"/>
  <c r="M4325" i="2"/>
  <c r="M4326" i="2"/>
  <c r="M4327" i="2"/>
  <c r="M4328" i="2"/>
  <c r="M4329" i="2"/>
  <c r="M4330" i="2"/>
  <c r="M4331" i="2"/>
  <c r="M4332" i="2"/>
  <c r="M4333" i="2"/>
  <c r="M4334" i="2"/>
  <c r="M4335" i="2"/>
  <c r="M4336" i="2"/>
  <c r="M4337" i="2"/>
  <c r="M4338" i="2"/>
  <c r="M4339" i="2"/>
  <c r="M4340" i="2"/>
  <c r="M4341" i="2"/>
  <c r="M4342" i="2"/>
  <c r="M4343" i="2"/>
  <c r="M4344" i="2"/>
  <c r="M4345" i="2"/>
  <c r="M4346" i="2"/>
  <c r="M4347" i="2"/>
  <c r="M4348" i="2"/>
  <c r="M4349" i="2"/>
  <c r="M4350" i="2"/>
  <c r="M4351" i="2"/>
  <c r="M4352" i="2"/>
  <c r="M4353" i="2"/>
  <c r="M4354" i="2"/>
  <c r="M4355" i="2"/>
  <c r="M4356" i="2"/>
  <c r="M4357" i="2"/>
  <c r="M4358" i="2"/>
  <c r="M4359" i="2"/>
  <c r="M4360" i="2"/>
  <c r="M4361" i="2"/>
  <c r="M4362" i="2"/>
  <c r="M4363" i="2"/>
  <c r="M4364" i="2"/>
  <c r="M4365" i="2"/>
  <c r="M4366" i="2"/>
  <c r="M4367" i="2"/>
  <c r="M4368" i="2"/>
  <c r="M4369" i="2"/>
  <c r="M4370" i="2"/>
  <c r="M4371" i="2"/>
  <c r="M4372" i="2"/>
  <c r="M4373" i="2"/>
  <c r="M4374" i="2"/>
  <c r="M4375" i="2"/>
  <c r="M4376" i="2"/>
  <c r="M4377" i="2"/>
  <c r="M4378" i="2"/>
  <c r="M4379" i="2"/>
  <c r="M4380" i="2"/>
  <c r="M4381" i="2"/>
  <c r="M4382" i="2"/>
  <c r="M4383" i="2"/>
  <c r="M4384" i="2"/>
  <c r="M4385" i="2"/>
  <c r="M4386" i="2"/>
  <c r="M4387" i="2"/>
  <c r="M4388" i="2"/>
  <c r="M4389" i="2"/>
  <c r="M4390" i="2"/>
  <c r="M4391" i="2"/>
  <c r="M4392" i="2"/>
  <c r="M4393" i="2"/>
  <c r="M4394" i="2"/>
  <c r="M4395" i="2"/>
  <c r="M4396" i="2"/>
  <c r="M4397" i="2"/>
  <c r="M4398" i="2"/>
  <c r="M4399" i="2"/>
  <c r="M4400" i="2"/>
  <c r="M4401" i="2"/>
  <c r="M4402" i="2"/>
  <c r="M4403" i="2"/>
  <c r="M4404" i="2"/>
  <c r="M4405" i="2"/>
  <c r="M4406" i="2"/>
  <c r="M4407" i="2"/>
  <c r="M4408" i="2"/>
  <c r="M4409" i="2"/>
  <c r="M4410" i="2"/>
  <c r="M4411" i="2"/>
  <c r="M4412" i="2"/>
  <c r="M4413" i="2"/>
  <c r="M4414" i="2"/>
  <c r="M4415" i="2"/>
  <c r="M4416" i="2"/>
  <c r="M4417" i="2"/>
  <c r="M4418" i="2"/>
  <c r="M4419" i="2"/>
  <c r="M4420" i="2"/>
  <c r="M4421" i="2"/>
  <c r="M4422" i="2"/>
  <c r="M4423" i="2"/>
  <c r="M4424" i="2"/>
  <c r="M4425" i="2"/>
  <c r="M4426" i="2"/>
  <c r="M4427" i="2"/>
  <c r="M4428" i="2"/>
  <c r="M4429" i="2"/>
  <c r="M4430" i="2"/>
  <c r="M4431" i="2"/>
  <c r="M4432" i="2"/>
  <c r="M4433" i="2"/>
  <c r="M4434" i="2"/>
  <c r="M4435" i="2"/>
  <c r="M4436" i="2"/>
  <c r="M4437" i="2"/>
  <c r="M4438" i="2"/>
  <c r="M4439" i="2"/>
  <c r="M4440" i="2"/>
  <c r="M4441" i="2"/>
  <c r="M4442" i="2"/>
  <c r="M4443" i="2"/>
  <c r="M4444" i="2"/>
  <c r="M4445" i="2"/>
  <c r="M4446" i="2"/>
  <c r="M4447" i="2"/>
  <c r="M4448" i="2"/>
  <c r="M4449" i="2"/>
  <c r="M4450" i="2"/>
  <c r="M4451" i="2"/>
  <c r="M4452" i="2"/>
  <c r="M4453" i="2"/>
  <c r="M4454" i="2"/>
  <c r="M4455" i="2"/>
  <c r="M4456" i="2"/>
  <c r="M4457" i="2"/>
  <c r="M4458" i="2"/>
  <c r="M4459" i="2"/>
  <c r="M4460" i="2"/>
  <c r="M4461" i="2"/>
  <c r="M4462" i="2"/>
  <c r="M4463" i="2"/>
  <c r="M4464" i="2"/>
  <c r="M4465" i="2"/>
  <c r="M4466" i="2"/>
  <c r="M4467" i="2"/>
  <c r="M4468" i="2"/>
  <c r="M4469" i="2"/>
  <c r="M4470" i="2"/>
  <c r="M4471" i="2"/>
  <c r="M4472" i="2"/>
  <c r="M4473" i="2"/>
  <c r="M4474" i="2"/>
  <c r="M4475" i="2"/>
  <c r="M4476" i="2"/>
  <c r="M4477" i="2"/>
  <c r="M4478" i="2"/>
  <c r="M4479" i="2"/>
  <c r="M4480" i="2"/>
  <c r="M4481" i="2"/>
  <c r="M4482" i="2"/>
  <c r="M4483" i="2"/>
  <c r="M4484" i="2"/>
  <c r="M4485" i="2"/>
  <c r="M4486" i="2"/>
  <c r="M4487" i="2"/>
  <c r="M4488" i="2"/>
  <c r="M4489" i="2"/>
  <c r="M4490" i="2"/>
  <c r="M4491" i="2"/>
  <c r="M4492" i="2"/>
  <c r="M4493" i="2"/>
  <c r="M4494" i="2"/>
  <c r="M4495" i="2"/>
  <c r="M4496" i="2"/>
  <c r="M4497" i="2"/>
  <c r="M4498" i="2"/>
  <c r="M4499" i="2"/>
  <c r="M4500" i="2"/>
  <c r="M4501" i="2"/>
  <c r="M4502" i="2"/>
  <c r="M4503" i="2"/>
  <c r="M4504" i="2"/>
  <c r="M4505" i="2"/>
  <c r="M4506" i="2"/>
  <c r="M4507" i="2"/>
  <c r="M4508" i="2"/>
  <c r="M4509" i="2"/>
  <c r="M4510" i="2"/>
  <c r="M4511" i="2"/>
  <c r="M4512" i="2"/>
  <c r="M4513" i="2"/>
  <c r="M4514" i="2"/>
  <c r="M4515" i="2"/>
  <c r="M4516" i="2"/>
  <c r="M4517" i="2"/>
  <c r="M4518" i="2"/>
  <c r="M4519" i="2"/>
  <c r="M4520" i="2"/>
  <c r="M4521" i="2"/>
  <c r="M4522" i="2"/>
  <c r="M4523" i="2"/>
  <c r="M4524" i="2"/>
  <c r="M4525" i="2"/>
  <c r="M4526" i="2"/>
  <c r="M4527" i="2"/>
  <c r="M4528" i="2"/>
  <c r="M4529" i="2"/>
  <c r="M4530" i="2"/>
  <c r="M4531" i="2"/>
  <c r="M4532" i="2"/>
  <c r="M4533" i="2"/>
  <c r="M4534" i="2"/>
  <c r="M4535" i="2"/>
  <c r="M4536" i="2"/>
  <c r="M4537" i="2"/>
  <c r="M4538" i="2"/>
  <c r="M4539" i="2"/>
  <c r="M4540" i="2"/>
  <c r="M4541" i="2"/>
  <c r="M4542" i="2"/>
  <c r="M4543" i="2"/>
  <c r="M4544" i="2"/>
  <c r="M4545" i="2"/>
  <c r="M4546" i="2"/>
  <c r="M4547" i="2"/>
  <c r="M4548" i="2"/>
  <c r="M4549" i="2"/>
  <c r="M4550" i="2"/>
  <c r="M4551" i="2"/>
  <c r="M4552" i="2"/>
  <c r="M4553" i="2"/>
  <c r="M4554" i="2"/>
  <c r="M4555" i="2"/>
  <c r="M4556" i="2"/>
  <c r="M4557" i="2"/>
  <c r="M4558" i="2"/>
  <c r="M4559" i="2"/>
  <c r="M4560" i="2"/>
  <c r="M4561" i="2"/>
  <c r="M4562" i="2"/>
  <c r="M4563" i="2"/>
  <c r="M4564" i="2"/>
  <c r="M4565" i="2"/>
  <c r="M4566" i="2"/>
  <c r="M4567" i="2"/>
  <c r="M4568" i="2"/>
  <c r="M4569" i="2"/>
  <c r="M4570" i="2"/>
  <c r="M4571" i="2"/>
  <c r="M4572" i="2"/>
  <c r="M4573" i="2"/>
  <c r="M4574" i="2"/>
  <c r="M4575" i="2"/>
  <c r="M4576" i="2"/>
  <c r="M4577" i="2"/>
  <c r="M4578" i="2"/>
  <c r="M4579" i="2"/>
  <c r="M4580" i="2"/>
  <c r="M4581" i="2"/>
  <c r="M4582" i="2"/>
  <c r="M4583" i="2"/>
  <c r="M4584" i="2"/>
  <c r="M4585" i="2"/>
  <c r="M4586" i="2"/>
  <c r="M4587" i="2"/>
  <c r="M4588" i="2"/>
  <c r="M4589" i="2"/>
  <c r="M4590" i="2"/>
  <c r="M4591" i="2"/>
  <c r="M4592" i="2"/>
  <c r="M4593" i="2"/>
  <c r="M4594" i="2"/>
  <c r="M4595" i="2"/>
  <c r="M4596" i="2"/>
  <c r="M4597" i="2"/>
  <c r="M4598" i="2"/>
  <c r="M4599" i="2"/>
  <c r="M4600" i="2"/>
  <c r="M4601" i="2"/>
  <c r="M4602" i="2"/>
  <c r="M4603" i="2"/>
  <c r="M4604" i="2"/>
  <c r="M4605" i="2"/>
  <c r="M4606" i="2"/>
  <c r="M4607" i="2"/>
  <c r="M4608" i="2"/>
  <c r="M4609" i="2"/>
  <c r="M4610" i="2"/>
  <c r="M4611" i="2"/>
  <c r="M4612" i="2"/>
  <c r="M4613" i="2"/>
  <c r="M4614" i="2"/>
  <c r="M4615" i="2"/>
  <c r="M4616" i="2"/>
  <c r="M4617" i="2"/>
  <c r="M4618" i="2"/>
  <c r="M4619" i="2"/>
  <c r="M4620" i="2"/>
  <c r="M4621" i="2"/>
  <c r="M4622" i="2"/>
  <c r="M4623" i="2"/>
  <c r="M4624" i="2"/>
  <c r="M4625" i="2"/>
  <c r="M4626" i="2"/>
  <c r="M4627" i="2"/>
  <c r="M4628" i="2"/>
  <c r="M4629" i="2"/>
  <c r="M4630" i="2"/>
  <c r="M4631" i="2"/>
  <c r="M4632" i="2"/>
  <c r="M4633" i="2"/>
  <c r="M4634" i="2"/>
  <c r="M4635" i="2"/>
  <c r="M4636" i="2"/>
  <c r="M4637" i="2"/>
  <c r="M4638" i="2"/>
  <c r="M4639" i="2"/>
  <c r="M4640" i="2"/>
  <c r="M4641" i="2"/>
  <c r="M4642" i="2"/>
  <c r="M4643" i="2"/>
  <c r="M4644" i="2"/>
  <c r="M4645" i="2"/>
  <c r="M4646" i="2"/>
  <c r="M4647" i="2"/>
  <c r="M4648" i="2"/>
  <c r="M4649" i="2"/>
  <c r="M4650" i="2"/>
  <c r="M4651" i="2"/>
  <c r="M4652" i="2"/>
  <c r="M4653" i="2"/>
  <c r="M4654" i="2"/>
  <c r="M4655" i="2"/>
  <c r="M4656" i="2"/>
  <c r="M4657" i="2"/>
  <c r="M4658" i="2"/>
  <c r="M4659" i="2"/>
  <c r="M4660" i="2"/>
  <c r="M4661" i="2"/>
  <c r="M4662" i="2"/>
  <c r="M4663" i="2"/>
  <c r="M4664" i="2"/>
  <c r="M4665" i="2"/>
  <c r="M4666" i="2"/>
  <c r="M4667" i="2"/>
  <c r="M4668" i="2"/>
  <c r="M4669" i="2"/>
  <c r="M4670" i="2"/>
  <c r="M4671" i="2"/>
  <c r="M4672" i="2"/>
  <c r="M4673" i="2"/>
  <c r="M4674" i="2"/>
  <c r="M4675" i="2"/>
  <c r="M4676" i="2"/>
  <c r="M4677" i="2"/>
  <c r="M4678" i="2"/>
  <c r="M4679" i="2"/>
  <c r="M4680" i="2"/>
  <c r="M4681" i="2"/>
  <c r="M4682" i="2"/>
  <c r="M4683" i="2"/>
  <c r="M4684" i="2"/>
  <c r="M4685" i="2"/>
  <c r="M4686" i="2"/>
  <c r="M4687" i="2"/>
  <c r="M4688" i="2"/>
  <c r="M4689" i="2"/>
  <c r="M4690" i="2"/>
  <c r="M4691" i="2"/>
  <c r="M4692" i="2"/>
  <c r="M4693" i="2"/>
  <c r="M4694" i="2"/>
  <c r="M4695" i="2"/>
  <c r="M4696" i="2"/>
  <c r="M4697" i="2"/>
  <c r="M4698" i="2"/>
  <c r="M4699" i="2"/>
  <c r="M4700" i="2"/>
  <c r="M4701" i="2"/>
  <c r="M4702" i="2"/>
  <c r="M4703" i="2"/>
  <c r="M4704" i="2"/>
  <c r="M4705" i="2"/>
  <c r="M4706" i="2"/>
  <c r="M4707" i="2"/>
  <c r="M4708" i="2"/>
  <c r="M4709" i="2"/>
  <c r="M4710" i="2"/>
  <c r="M4711" i="2"/>
  <c r="M4712" i="2"/>
  <c r="M4713" i="2"/>
  <c r="M4714" i="2"/>
  <c r="M4715" i="2"/>
  <c r="M4716" i="2"/>
  <c r="M4717" i="2"/>
  <c r="M4718" i="2"/>
  <c r="M4719" i="2"/>
  <c r="M4720" i="2"/>
  <c r="M4721" i="2"/>
  <c r="M4722" i="2"/>
  <c r="M4723" i="2"/>
  <c r="M4724" i="2"/>
  <c r="M4725" i="2"/>
  <c r="M4726" i="2"/>
  <c r="M4727" i="2"/>
  <c r="M4728" i="2"/>
  <c r="M4729" i="2"/>
  <c r="M4730" i="2"/>
  <c r="M4731" i="2"/>
  <c r="M4732" i="2"/>
  <c r="M4733" i="2"/>
  <c r="M4734" i="2"/>
  <c r="M4735" i="2"/>
  <c r="M4736" i="2"/>
  <c r="M4737" i="2"/>
  <c r="M4738" i="2"/>
  <c r="M4739" i="2"/>
  <c r="M4740" i="2"/>
  <c r="M4741" i="2"/>
  <c r="M4742" i="2"/>
  <c r="M4743" i="2"/>
  <c r="M4744" i="2"/>
  <c r="M4745" i="2"/>
  <c r="M4746" i="2"/>
  <c r="M4747" i="2"/>
  <c r="M4748" i="2"/>
  <c r="M4749" i="2"/>
  <c r="M4750" i="2"/>
  <c r="M4751" i="2"/>
  <c r="M4752" i="2"/>
  <c r="M4753" i="2"/>
  <c r="M4754" i="2"/>
  <c r="M4755" i="2"/>
  <c r="M4756" i="2"/>
  <c r="M4757" i="2"/>
  <c r="M4758" i="2"/>
  <c r="M4759" i="2"/>
  <c r="M4760" i="2"/>
  <c r="M4761" i="2"/>
  <c r="M4762" i="2"/>
  <c r="M4763" i="2"/>
  <c r="M4764" i="2"/>
  <c r="M4765" i="2"/>
  <c r="M4766" i="2"/>
  <c r="M4767" i="2"/>
  <c r="M4768" i="2"/>
  <c r="M4769" i="2"/>
  <c r="M4770" i="2"/>
  <c r="M4771" i="2"/>
  <c r="M4772" i="2"/>
  <c r="M4773" i="2"/>
  <c r="M4774" i="2"/>
  <c r="M4775" i="2"/>
  <c r="M4776" i="2"/>
  <c r="M4777" i="2"/>
  <c r="M4778" i="2"/>
  <c r="M4779" i="2"/>
  <c r="M4780" i="2"/>
  <c r="M4781" i="2"/>
  <c r="M4782" i="2"/>
  <c r="M4783" i="2"/>
  <c r="M4784" i="2"/>
  <c r="M4785" i="2"/>
  <c r="M4786" i="2"/>
  <c r="M4787" i="2"/>
  <c r="M4788" i="2"/>
  <c r="M4789" i="2"/>
  <c r="M4790" i="2"/>
  <c r="M4791" i="2"/>
  <c r="M4792" i="2"/>
  <c r="M4793" i="2"/>
  <c r="M4794" i="2"/>
  <c r="M4795" i="2"/>
  <c r="M4796" i="2"/>
  <c r="M4797" i="2"/>
  <c r="M4798" i="2"/>
  <c r="M4799" i="2"/>
  <c r="M4800" i="2"/>
  <c r="M4801" i="2"/>
  <c r="M4802" i="2"/>
  <c r="M4803" i="2"/>
  <c r="M4804" i="2"/>
  <c r="M4805" i="2"/>
  <c r="M4806" i="2"/>
  <c r="M4807" i="2"/>
  <c r="M4808" i="2"/>
  <c r="M4809" i="2"/>
  <c r="M4810" i="2"/>
  <c r="M4811" i="2"/>
  <c r="M4812" i="2"/>
  <c r="M4813" i="2"/>
  <c r="M4814" i="2"/>
  <c r="M4815" i="2"/>
  <c r="M4816" i="2"/>
  <c r="M4817" i="2"/>
  <c r="M4818" i="2"/>
  <c r="M4819" i="2"/>
  <c r="M4820" i="2"/>
  <c r="M4821" i="2"/>
  <c r="M4822" i="2"/>
  <c r="M4823" i="2"/>
  <c r="M4824" i="2"/>
  <c r="M4825" i="2"/>
  <c r="M4826" i="2"/>
  <c r="M4827" i="2"/>
  <c r="M4828" i="2"/>
  <c r="M4829" i="2"/>
  <c r="M4830" i="2"/>
  <c r="M4831" i="2"/>
  <c r="M4832" i="2"/>
  <c r="M4833" i="2"/>
  <c r="M4834" i="2"/>
  <c r="M4835" i="2"/>
  <c r="M4836" i="2"/>
  <c r="M4837" i="2"/>
  <c r="M4838" i="2"/>
  <c r="M4839" i="2"/>
  <c r="M4840" i="2"/>
  <c r="M4841" i="2"/>
  <c r="M4842" i="2"/>
  <c r="M4843" i="2"/>
  <c r="M4844" i="2"/>
  <c r="M4845" i="2"/>
  <c r="M4846" i="2"/>
  <c r="M4847" i="2"/>
  <c r="M4848" i="2"/>
  <c r="M4849" i="2"/>
  <c r="M4850" i="2"/>
  <c r="M4851" i="2"/>
  <c r="M4852" i="2"/>
  <c r="M4853" i="2"/>
  <c r="M4854" i="2"/>
  <c r="M4855" i="2"/>
  <c r="M4856" i="2"/>
  <c r="M4857" i="2"/>
  <c r="M4858" i="2"/>
  <c r="M4859" i="2"/>
  <c r="M4860" i="2"/>
  <c r="M4861" i="2"/>
  <c r="M4862" i="2"/>
  <c r="M4863" i="2"/>
  <c r="M4864" i="2"/>
  <c r="M4865" i="2"/>
  <c r="M4866" i="2"/>
  <c r="M4867" i="2"/>
  <c r="M4868" i="2"/>
  <c r="M4869" i="2"/>
  <c r="M4870" i="2"/>
  <c r="M4871" i="2"/>
  <c r="M4872" i="2"/>
  <c r="M4873" i="2"/>
  <c r="M4874" i="2"/>
  <c r="M4875" i="2"/>
  <c r="M4876" i="2"/>
  <c r="M4877" i="2"/>
  <c r="M4878" i="2"/>
  <c r="M4879" i="2"/>
  <c r="M4880" i="2"/>
  <c r="M4881" i="2"/>
  <c r="M4882" i="2"/>
  <c r="M4883" i="2"/>
  <c r="M4884" i="2"/>
  <c r="M4885" i="2"/>
  <c r="M4886" i="2"/>
  <c r="M4887" i="2"/>
  <c r="M4888" i="2"/>
  <c r="M4889" i="2"/>
  <c r="M4890" i="2"/>
  <c r="M4891" i="2"/>
  <c r="M4892" i="2"/>
  <c r="M4893" i="2"/>
  <c r="M4894" i="2"/>
  <c r="M4895" i="2"/>
  <c r="M4896" i="2"/>
  <c r="M4897" i="2"/>
  <c r="M4898" i="2"/>
  <c r="M4899" i="2"/>
  <c r="M4900" i="2"/>
  <c r="M4901" i="2"/>
  <c r="M4902" i="2"/>
  <c r="M4903" i="2"/>
  <c r="M4904" i="2"/>
  <c r="M4905" i="2"/>
  <c r="M4906" i="2"/>
  <c r="M4907" i="2"/>
  <c r="M4908" i="2"/>
  <c r="M4909" i="2"/>
  <c r="M4910" i="2"/>
  <c r="M4911" i="2"/>
  <c r="M4912" i="2"/>
  <c r="M4913" i="2"/>
  <c r="M4914" i="2"/>
  <c r="M4915" i="2"/>
  <c r="M4916" i="2"/>
  <c r="M4917" i="2"/>
  <c r="M4918" i="2"/>
  <c r="M4919" i="2"/>
  <c r="M4920" i="2"/>
  <c r="M4921" i="2"/>
  <c r="M4922" i="2"/>
  <c r="M4923" i="2"/>
  <c r="M4924" i="2"/>
  <c r="M4925" i="2"/>
  <c r="M4926" i="2"/>
  <c r="M4927" i="2"/>
  <c r="M4928" i="2"/>
  <c r="M4929" i="2"/>
  <c r="M4930" i="2"/>
  <c r="M4931" i="2"/>
  <c r="M4932" i="2"/>
  <c r="M4933" i="2"/>
  <c r="M4934" i="2"/>
  <c r="M4935" i="2"/>
  <c r="M4936" i="2"/>
  <c r="M4937" i="2"/>
  <c r="M4938" i="2"/>
  <c r="M4939" i="2"/>
  <c r="M4940" i="2"/>
  <c r="M4941" i="2"/>
  <c r="M4942" i="2"/>
  <c r="M4943" i="2"/>
  <c r="M4944" i="2"/>
  <c r="M4945" i="2"/>
  <c r="M4946" i="2"/>
  <c r="M4947" i="2"/>
  <c r="M4948" i="2"/>
  <c r="M4949" i="2"/>
  <c r="M4950" i="2"/>
  <c r="M4951" i="2"/>
  <c r="M4952" i="2"/>
  <c r="M4953" i="2"/>
  <c r="M4954" i="2"/>
  <c r="M4955" i="2"/>
  <c r="M4956" i="2"/>
  <c r="M4957" i="2"/>
  <c r="M4958" i="2"/>
  <c r="M4959" i="2"/>
  <c r="M4960" i="2"/>
  <c r="M4961" i="2"/>
  <c r="M4962" i="2"/>
  <c r="M4963" i="2"/>
  <c r="M4964" i="2"/>
  <c r="M4965" i="2"/>
  <c r="M4966" i="2"/>
  <c r="M4967" i="2"/>
  <c r="M4968" i="2"/>
  <c r="M4969" i="2"/>
  <c r="M4970" i="2"/>
  <c r="M4971" i="2"/>
  <c r="M4972" i="2"/>
  <c r="M4973" i="2"/>
  <c r="M4974" i="2"/>
  <c r="M4975" i="2"/>
  <c r="M4976" i="2"/>
  <c r="M4977" i="2"/>
  <c r="M4978" i="2"/>
  <c r="M4979" i="2"/>
  <c r="M4980" i="2"/>
  <c r="M4981" i="2"/>
  <c r="M4982" i="2"/>
  <c r="M4983" i="2"/>
  <c r="M4984" i="2"/>
  <c r="M4985" i="2"/>
  <c r="M4986" i="2"/>
  <c r="M4987" i="2"/>
  <c r="M4988" i="2"/>
  <c r="M4989" i="2"/>
  <c r="M4990" i="2"/>
  <c r="M4991" i="2"/>
  <c r="M4992" i="2"/>
  <c r="M4993" i="2"/>
  <c r="M4994" i="2"/>
  <c r="M4995" i="2"/>
  <c r="M4996" i="2"/>
  <c r="M4997" i="2"/>
  <c r="M4998" i="2"/>
  <c r="M4999" i="2"/>
  <c r="M5000" i="2"/>
  <c r="M5001" i="2"/>
  <c r="M5002" i="2"/>
  <c r="M5003" i="2"/>
  <c r="M5004" i="2"/>
  <c r="M5005" i="2"/>
  <c r="M5006" i="2"/>
  <c r="M5007" i="2"/>
  <c r="M5008" i="2"/>
  <c r="M5009" i="2"/>
  <c r="M5010" i="2"/>
  <c r="M5011" i="2"/>
  <c r="M5012" i="2"/>
  <c r="M5013" i="2"/>
  <c r="M5014" i="2"/>
  <c r="M5015" i="2"/>
  <c r="M5016" i="2"/>
  <c r="M5017" i="2"/>
  <c r="M5018" i="2"/>
  <c r="M5019" i="2"/>
  <c r="M5020" i="2"/>
  <c r="M5021" i="2"/>
  <c r="M5022" i="2"/>
  <c r="M5023" i="2"/>
  <c r="M5024" i="2"/>
  <c r="M5025" i="2"/>
  <c r="M5026" i="2"/>
  <c r="M5027" i="2"/>
  <c r="M5028" i="2"/>
  <c r="M5029" i="2"/>
  <c r="M5030" i="2"/>
  <c r="M5031" i="2"/>
  <c r="M5032" i="2"/>
  <c r="M5033" i="2"/>
  <c r="M5034" i="2"/>
  <c r="M5035" i="2"/>
  <c r="M5036" i="2"/>
  <c r="M5037" i="2"/>
  <c r="M5038" i="2"/>
  <c r="M5039" i="2"/>
  <c r="M5040" i="2"/>
  <c r="M5041" i="2"/>
  <c r="M5042" i="2"/>
  <c r="M5043" i="2"/>
  <c r="M5044" i="2"/>
  <c r="M5045" i="2"/>
  <c r="M5046" i="2"/>
  <c r="M5047" i="2"/>
  <c r="M5048" i="2"/>
  <c r="M5049" i="2"/>
  <c r="M5050" i="2"/>
  <c r="M5051" i="2"/>
  <c r="M5052" i="2"/>
  <c r="M5053" i="2"/>
  <c r="M5054" i="2"/>
  <c r="M5055" i="2"/>
  <c r="M5056" i="2"/>
  <c r="M5057" i="2"/>
  <c r="M5058" i="2"/>
  <c r="M5059" i="2"/>
  <c r="M5060" i="2"/>
  <c r="M5061" i="2"/>
  <c r="M5062" i="2"/>
  <c r="M5063" i="2"/>
  <c r="M5064" i="2"/>
  <c r="M5065" i="2"/>
  <c r="M5066" i="2"/>
  <c r="M5067" i="2"/>
  <c r="M5068" i="2"/>
  <c r="M5069" i="2"/>
  <c r="M5070" i="2"/>
  <c r="M5071" i="2"/>
  <c r="M5072" i="2"/>
  <c r="M5073" i="2"/>
  <c r="M5074" i="2"/>
  <c r="M5075" i="2"/>
  <c r="M5076" i="2"/>
  <c r="M5077" i="2"/>
  <c r="M5078" i="2"/>
  <c r="M5079" i="2"/>
  <c r="M5080" i="2"/>
  <c r="M5081" i="2"/>
  <c r="M5082" i="2"/>
  <c r="M5083" i="2"/>
  <c r="M5084" i="2"/>
  <c r="M5085" i="2"/>
  <c r="M5086" i="2"/>
  <c r="M5087" i="2"/>
  <c r="M5088" i="2"/>
  <c r="M5089" i="2"/>
  <c r="M5090" i="2"/>
  <c r="M5091" i="2"/>
  <c r="M5092" i="2"/>
  <c r="M5093" i="2"/>
  <c r="M5094" i="2"/>
  <c r="M5095" i="2"/>
  <c r="M5096" i="2"/>
  <c r="M5097" i="2"/>
  <c r="M5098" i="2"/>
  <c r="M5099" i="2"/>
  <c r="M5100" i="2"/>
  <c r="M5101" i="2"/>
  <c r="M5102" i="2"/>
  <c r="M5103" i="2"/>
  <c r="M5104" i="2"/>
  <c r="M5105" i="2"/>
  <c r="M5106" i="2"/>
  <c r="M5107" i="2"/>
  <c r="M5108" i="2"/>
  <c r="M5109" i="2"/>
  <c r="M5110" i="2"/>
  <c r="M5111" i="2"/>
  <c r="M5112" i="2"/>
  <c r="M5113" i="2"/>
  <c r="M5114" i="2"/>
  <c r="M5115" i="2"/>
  <c r="M5116" i="2"/>
  <c r="M5117" i="2"/>
  <c r="M5118" i="2"/>
  <c r="M5119" i="2"/>
  <c r="M5120" i="2"/>
  <c r="M5121" i="2"/>
  <c r="M5122" i="2"/>
  <c r="M5123" i="2"/>
  <c r="M5124" i="2"/>
  <c r="M5125" i="2"/>
  <c r="M5126" i="2"/>
  <c r="M5127" i="2"/>
  <c r="M5128" i="2"/>
  <c r="M5129" i="2"/>
  <c r="M5130" i="2"/>
  <c r="M5131" i="2"/>
  <c r="M5132" i="2"/>
  <c r="M5133" i="2"/>
  <c r="M5134" i="2"/>
  <c r="M5135" i="2"/>
  <c r="M5136" i="2"/>
  <c r="M5137" i="2"/>
  <c r="M5138" i="2"/>
  <c r="M5139" i="2"/>
  <c r="M5140" i="2"/>
  <c r="M5141" i="2"/>
  <c r="M5142" i="2"/>
  <c r="M5143" i="2"/>
  <c r="M5144" i="2"/>
  <c r="M5145" i="2"/>
  <c r="M5146" i="2"/>
  <c r="M5147" i="2"/>
  <c r="M5148" i="2"/>
  <c r="M5149" i="2"/>
  <c r="M5150" i="2"/>
  <c r="M5151" i="2"/>
  <c r="M5152" i="2"/>
  <c r="M5153" i="2"/>
  <c r="M5154" i="2"/>
  <c r="M5155" i="2"/>
  <c r="M5156" i="2"/>
  <c r="M5157" i="2"/>
  <c r="M5158" i="2"/>
  <c r="M5159" i="2"/>
  <c r="M5160" i="2"/>
  <c r="M5161" i="2"/>
  <c r="M5162" i="2"/>
  <c r="M5163" i="2"/>
  <c r="M5164" i="2"/>
  <c r="M5165" i="2"/>
  <c r="M5166" i="2"/>
  <c r="M5167" i="2"/>
  <c r="M5168" i="2"/>
  <c r="M5169" i="2"/>
  <c r="M5170" i="2"/>
  <c r="M5171" i="2"/>
  <c r="M5172" i="2"/>
  <c r="M5173" i="2"/>
  <c r="M5174" i="2"/>
  <c r="M5175" i="2"/>
  <c r="M5176" i="2"/>
  <c r="M5177" i="2"/>
  <c r="M5178" i="2"/>
  <c r="M5179" i="2"/>
  <c r="M5180" i="2"/>
  <c r="M5181" i="2"/>
  <c r="M5182" i="2"/>
  <c r="M5183" i="2"/>
  <c r="M5184" i="2"/>
  <c r="M5185" i="2"/>
  <c r="M5186" i="2"/>
  <c r="M5187" i="2"/>
  <c r="M5188" i="2"/>
  <c r="M5189" i="2"/>
  <c r="M5190" i="2"/>
  <c r="M5191" i="2"/>
  <c r="M5192" i="2"/>
  <c r="M5193" i="2"/>
  <c r="M5194" i="2"/>
  <c r="M5195" i="2"/>
  <c r="M5196" i="2"/>
  <c r="M5197" i="2"/>
  <c r="M5198" i="2"/>
  <c r="M5199" i="2"/>
  <c r="M5200" i="2"/>
  <c r="M5201" i="2"/>
  <c r="M5202" i="2"/>
  <c r="M5203" i="2"/>
  <c r="M5204" i="2"/>
  <c r="M5205" i="2"/>
  <c r="M5206" i="2"/>
  <c r="M5207" i="2"/>
  <c r="M5208" i="2"/>
  <c r="M5209" i="2"/>
  <c r="M5210" i="2"/>
  <c r="M5211" i="2"/>
  <c r="M5212" i="2"/>
  <c r="M5213" i="2"/>
  <c r="M5214" i="2"/>
  <c r="M5215" i="2"/>
  <c r="M5216" i="2"/>
  <c r="M5217" i="2"/>
  <c r="M5218" i="2"/>
  <c r="M5219" i="2"/>
  <c r="M5220" i="2"/>
  <c r="M5221" i="2"/>
  <c r="M5222" i="2"/>
  <c r="M5223" i="2"/>
  <c r="M5224" i="2"/>
  <c r="M5225" i="2"/>
  <c r="M5226" i="2"/>
  <c r="M5227" i="2"/>
  <c r="M5228" i="2"/>
  <c r="M5229" i="2"/>
  <c r="M5230" i="2"/>
  <c r="M5231" i="2"/>
  <c r="M5232" i="2"/>
  <c r="M5233" i="2"/>
  <c r="M5234" i="2"/>
  <c r="M5235" i="2"/>
  <c r="M5236" i="2"/>
  <c r="L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018" i="2"/>
  <c r="L1019" i="2"/>
  <c r="L1020" i="2"/>
  <c r="L1021" i="2"/>
  <c r="L1022" i="2"/>
  <c r="L1023" i="2"/>
  <c r="L1024" i="2"/>
  <c r="L1025" i="2"/>
  <c r="L1026" i="2"/>
  <c r="L1027" i="2"/>
  <c r="L1028" i="2"/>
  <c r="L1029" i="2"/>
  <c r="L1030" i="2"/>
  <c r="L1031" i="2"/>
  <c r="L1032" i="2"/>
  <c r="L1033" i="2"/>
  <c r="L1034" i="2"/>
  <c r="L1035" i="2"/>
  <c r="L1036" i="2"/>
  <c r="L1037" i="2"/>
  <c r="L1038" i="2"/>
  <c r="L1039" i="2"/>
  <c r="L1040" i="2"/>
  <c r="L1041" i="2"/>
  <c r="L1042" i="2"/>
  <c r="L1043" i="2"/>
  <c r="L1044" i="2"/>
  <c r="L1045" i="2"/>
  <c r="L1046" i="2"/>
  <c r="L1047" i="2"/>
  <c r="L1048" i="2"/>
  <c r="L1049" i="2"/>
  <c r="L1050" i="2"/>
  <c r="L1051" i="2"/>
  <c r="L1052" i="2"/>
  <c r="L1053" i="2"/>
  <c r="L1054" i="2"/>
  <c r="L1055" i="2"/>
  <c r="L1056" i="2"/>
  <c r="L1057" i="2"/>
  <c r="L1058" i="2"/>
  <c r="L1059" i="2"/>
  <c r="L1060" i="2"/>
  <c r="L1061" i="2"/>
  <c r="L1062" i="2"/>
  <c r="L1063" i="2"/>
  <c r="L1064" i="2"/>
  <c r="L1065" i="2"/>
  <c r="L1066" i="2"/>
  <c r="L1067" i="2"/>
  <c r="L1068" i="2"/>
  <c r="L1069" i="2"/>
  <c r="L1070" i="2"/>
  <c r="L1071" i="2"/>
  <c r="L1072" i="2"/>
  <c r="L1073" i="2"/>
  <c r="L1074" i="2"/>
  <c r="L1075" i="2"/>
  <c r="L1076" i="2"/>
  <c r="L1077" i="2"/>
  <c r="L1078" i="2"/>
  <c r="L1079" i="2"/>
  <c r="L1080" i="2"/>
  <c r="L1081" i="2"/>
  <c r="L1082" i="2"/>
  <c r="L1083" i="2"/>
  <c r="L1084" i="2"/>
  <c r="L1085" i="2"/>
  <c r="L1086" i="2"/>
  <c r="L1087" i="2"/>
  <c r="L1088" i="2"/>
  <c r="L1089" i="2"/>
  <c r="L1090" i="2"/>
  <c r="L1091" i="2"/>
  <c r="L1092" i="2"/>
  <c r="L1093" i="2"/>
  <c r="L1094" i="2"/>
  <c r="L1095" i="2"/>
  <c r="L1096" i="2"/>
  <c r="L1097" i="2"/>
  <c r="L1098" i="2"/>
  <c r="L1099" i="2"/>
  <c r="L1100" i="2"/>
  <c r="L1101" i="2"/>
  <c r="L1102" i="2"/>
  <c r="L1103" i="2"/>
  <c r="L1104" i="2"/>
  <c r="L1105" i="2"/>
  <c r="L1106" i="2"/>
  <c r="L1107" i="2"/>
  <c r="L1108" i="2"/>
  <c r="L1109" i="2"/>
  <c r="L1110" i="2"/>
  <c r="L1111" i="2"/>
  <c r="L1112" i="2"/>
  <c r="L1113" i="2"/>
  <c r="L1114" i="2"/>
  <c r="L1115" i="2"/>
  <c r="L1116" i="2"/>
  <c r="L1117" i="2"/>
  <c r="L1118" i="2"/>
  <c r="L1119" i="2"/>
  <c r="L1120" i="2"/>
  <c r="L1121" i="2"/>
  <c r="L1122" i="2"/>
  <c r="L1123" i="2"/>
  <c r="L1124" i="2"/>
  <c r="L1125" i="2"/>
  <c r="L1126" i="2"/>
  <c r="L1127" i="2"/>
  <c r="L1128" i="2"/>
  <c r="L1129" i="2"/>
  <c r="L1130" i="2"/>
  <c r="L1131" i="2"/>
  <c r="L1132" i="2"/>
  <c r="L1133" i="2"/>
  <c r="L1134" i="2"/>
  <c r="L1135" i="2"/>
  <c r="L1136" i="2"/>
  <c r="L1137" i="2"/>
  <c r="L1138" i="2"/>
  <c r="L1139" i="2"/>
  <c r="L1140" i="2"/>
  <c r="L1141" i="2"/>
  <c r="L1142" i="2"/>
  <c r="L1143" i="2"/>
  <c r="L1144" i="2"/>
  <c r="L1145" i="2"/>
  <c r="L1146" i="2"/>
  <c r="L1147" i="2"/>
  <c r="L1148" i="2"/>
  <c r="L1149" i="2"/>
  <c r="L1150" i="2"/>
  <c r="L1151" i="2"/>
  <c r="L1152" i="2"/>
  <c r="L1153" i="2"/>
  <c r="L1154" i="2"/>
  <c r="L1155" i="2"/>
  <c r="L1156" i="2"/>
  <c r="L1157" i="2"/>
  <c r="L1158" i="2"/>
  <c r="L1159" i="2"/>
  <c r="L1160" i="2"/>
  <c r="L1161" i="2"/>
  <c r="L1162" i="2"/>
  <c r="L1163" i="2"/>
  <c r="L1164" i="2"/>
  <c r="L1165" i="2"/>
  <c r="L1166" i="2"/>
  <c r="L1167" i="2"/>
  <c r="L1168" i="2"/>
  <c r="L1169" i="2"/>
  <c r="L1170" i="2"/>
  <c r="L1171" i="2"/>
  <c r="L1172" i="2"/>
  <c r="L1173" i="2"/>
  <c r="L1174" i="2"/>
  <c r="L1175" i="2"/>
  <c r="L1176" i="2"/>
  <c r="L1177" i="2"/>
  <c r="L1178" i="2"/>
  <c r="L1179" i="2"/>
  <c r="L1180" i="2"/>
  <c r="L1181" i="2"/>
  <c r="L1182" i="2"/>
  <c r="L1183" i="2"/>
  <c r="L1184" i="2"/>
  <c r="L1185" i="2"/>
  <c r="L1186" i="2"/>
  <c r="L1187" i="2"/>
  <c r="L1188" i="2"/>
  <c r="L1189" i="2"/>
  <c r="L1190" i="2"/>
  <c r="L1191" i="2"/>
  <c r="L1192" i="2"/>
  <c r="L1193" i="2"/>
  <c r="L1194" i="2"/>
  <c r="L1195" i="2"/>
  <c r="L1196" i="2"/>
  <c r="L1197" i="2"/>
  <c r="L1198" i="2"/>
  <c r="L1199" i="2"/>
  <c r="L1200" i="2"/>
  <c r="L1201" i="2"/>
  <c r="L1202" i="2"/>
  <c r="L1203" i="2"/>
  <c r="L1204" i="2"/>
  <c r="L1205" i="2"/>
  <c r="L1206" i="2"/>
  <c r="L1207" i="2"/>
  <c r="L1208" i="2"/>
  <c r="L1209" i="2"/>
  <c r="L1210" i="2"/>
  <c r="L1211" i="2"/>
  <c r="L1212" i="2"/>
  <c r="L1213" i="2"/>
  <c r="L1214" i="2"/>
  <c r="L1215" i="2"/>
  <c r="L1216" i="2"/>
  <c r="L1217" i="2"/>
  <c r="L1218" i="2"/>
  <c r="L1219" i="2"/>
  <c r="L1220" i="2"/>
  <c r="L1221" i="2"/>
  <c r="L1222" i="2"/>
  <c r="L1223" i="2"/>
  <c r="L1224" i="2"/>
  <c r="L1225" i="2"/>
  <c r="L1226" i="2"/>
  <c r="L1227" i="2"/>
  <c r="L1228" i="2"/>
  <c r="L1229" i="2"/>
  <c r="L1230" i="2"/>
  <c r="L1231" i="2"/>
  <c r="L1232" i="2"/>
  <c r="L1233" i="2"/>
  <c r="L1234" i="2"/>
  <c r="L1235" i="2"/>
  <c r="L1236" i="2"/>
  <c r="L1237" i="2"/>
  <c r="L1238" i="2"/>
  <c r="L1239" i="2"/>
  <c r="L1240" i="2"/>
  <c r="L1241" i="2"/>
  <c r="L1242" i="2"/>
  <c r="L1243" i="2"/>
  <c r="L1244" i="2"/>
  <c r="L1245" i="2"/>
  <c r="L1246" i="2"/>
  <c r="L1247" i="2"/>
  <c r="L1248" i="2"/>
  <c r="L1249" i="2"/>
  <c r="L1250" i="2"/>
  <c r="L1251" i="2"/>
  <c r="L1252" i="2"/>
  <c r="L1253" i="2"/>
  <c r="L1254" i="2"/>
  <c r="L1255" i="2"/>
  <c r="L1256" i="2"/>
  <c r="L1257" i="2"/>
  <c r="L1258" i="2"/>
  <c r="L1259" i="2"/>
  <c r="L1260" i="2"/>
  <c r="L1261" i="2"/>
  <c r="L1262" i="2"/>
  <c r="L1263" i="2"/>
  <c r="L1264" i="2"/>
  <c r="L1265" i="2"/>
  <c r="L1266" i="2"/>
  <c r="L1267" i="2"/>
  <c r="L1268" i="2"/>
  <c r="L1269" i="2"/>
  <c r="L1270" i="2"/>
  <c r="L1271" i="2"/>
  <c r="L1272" i="2"/>
  <c r="L1273" i="2"/>
  <c r="L1274" i="2"/>
  <c r="L1275" i="2"/>
  <c r="L1276" i="2"/>
  <c r="L1277" i="2"/>
  <c r="L1278" i="2"/>
  <c r="L1279" i="2"/>
  <c r="L1280" i="2"/>
  <c r="L1281" i="2"/>
  <c r="L1282" i="2"/>
  <c r="L1283" i="2"/>
  <c r="L1284" i="2"/>
  <c r="L1285" i="2"/>
  <c r="L1286" i="2"/>
  <c r="L1287" i="2"/>
  <c r="L1288" i="2"/>
  <c r="L1289" i="2"/>
  <c r="L1290" i="2"/>
  <c r="L1291" i="2"/>
  <c r="L1292" i="2"/>
  <c r="L1293" i="2"/>
  <c r="L1294" i="2"/>
  <c r="L1295" i="2"/>
  <c r="L1296" i="2"/>
  <c r="L1297" i="2"/>
  <c r="L1298" i="2"/>
  <c r="L1299" i="2"/>
  <c r="L1300" i="2"/>
  <c r="L1301" i="2"/>
  <c r="L1302" i="2"/>
  <c r="L1303" i="2"/>
  <c r="L1304" i="2"/>
  <c r="L1305" i="2"/>
  <c r="L1306" i="2"/>
  <c r="L1307" i="2"/>
  <c r="L1308" i="2"/>
  <c r="L1309" i="2"/>
  <c r="L1310" i="2"/>
  <c r="L1311" i="2"/>
  <c r="L1312" i="2"/>
  <c r="L1313" i="2"/>
  <c r="L1314" i="2"/>
  <c r="L1315" i="2"/>
  <c r="L1316" i="2"/>
  <c r="L1317" i="2"/>
  <c r="L1318" i="2"/>
  <c r="L1319" i="2"/>
  <c r="L1320" i="2"/>
  <c r="L1321" i="2"/>
  <c r="L1322" i="2"/>
  <c r="L1323" i="2"/>
  <c r="L1324" i="2"/>
  <c r="L1325" i="2"/>
  <c r="L1326" i="2"/>
  <c r="L1327" i="2"/>
  <c r="L1328" i="2"/>
  <c r="L1329" i="2"/>
  <c r="L1330" i="2"/>
  <c r="L1331" i="2"/>
  <c r="L1332" i="2"/>
  <c r="L1333" i="2"/>
  <c r="L1334" i="2"/>
  <c r="L1335" i="2"/>
  <c r="L1336" i="2"/>
  <c r="L1337" i="2"/>
  <c r="L1338" i="2"/>
  <c r="L1339" i="2"/>
  <c r="L1340" i="2"/>
  <c r="L1341" i="2"/>
  <c r="L1342" i="2"/>
  <c r="L1343" i="2"/>
  <c r="L1344" i="2"/>
  <c r="L1345" i="2"/>
  <c r="L1346" i="2"/>
  <c r="L1347" i="2"/>
  <c r="L1348" i="2"/>
  <c r="L1349" i="2"/>
  <c r="L1350" i="2"/>
  <c r="L1351" i="2"/>
  <c r="L1352" i="2"/>
  <c r="L1353" i="2"/>
  <c r="L1354" i="2"/>
  <c r="L1355" i="2"/>
  <c r="L1356" i="2"/>
  <c r="L1357" i="2"/>
  <c r="L1358" i="2"/>
  <c r="L1359" i="2"/>
  <c r="L1360" i="2"/>
  <c r="L1361" i="2"/>
  <c r="L1362" i="2"/>
  <c r="L1363" i="2"/>
  <c r="L1364" i="2"/>
  <c r="L1365" i="2"/>
  <c r="L1366" i="2"/>
  <c r="L1367" i="2"/>
  <c r="L1368" i="2"/>
  <c r="L1369" i="2"/>
  <c r="L1370" i="2"/>
  <c r="L1371" i="2"/>
  <c r="L1372" i="2"/>
  <c r="L1373" i="2"/>
  <c r="L1374" i="2"/>
  <c r="L1375" i="2"/>
  <c r="L1376" i="2"/>
  <c r="L1377" i="2"/>
  <c r="L1378" i="2"/>
  <c r="L1379" i="2"/>
  <c r="L1380" i="2"/>
  <c r="L1381" i="2"/>
  <c r="L1382" i="2"/>
  <c r="L1383" i="2"/>
  <c r="L1384" i="2"/>
  <c r="L1385" i="2"/>
  <c r="L1386" i="2"/>
  <c r="L1387" i="2"/>
  <c r="L1388" i="2"/>
  <c r="L1389" i="2"/>
  <c r="L1390" i="2"/>
  <c r="L1391" i="2"/>
  <c r="L1392" i="2"/>
  <c r="L1393" i="2"/>
  <c r="L1394" i="2"/>
  <c r="L1395" i="2"/>
  <c r="L1396" i="2"/>
  <c r="L1397" i="2"/>
  <c r="L1398" i="2"/>
  <c r="L1399" i="2"/>
  <c r="L1400" i="2"/>
  <c r="L1401" i="2"/>
  <c r="L1402" i="2"/>
  <c r="L1403" i="2"/>
  <c r="L1404" i="2"/>
  <c r="L1405" i="2"/>
  <c r="L1406" i="2"/>
  <c r="L1407" i="2"/>
  <c r="L1408" i="2"/>
  <c r="L1409" i="2"/>
  <c r="L1410" i="2"/>
  <c r="L1411" i="2"/>
  <c r="L1412" i="2"/>
  <c r="L1413" i="2"/>
  <c r="L1414" i="2"/>
  <c r="L1415" i="2"/>
  <c r="L1416" i="2"/>
  <c r="L1417" i="2"/>
  <c r="L1418" i="2"/>
  <c r="L1419" i="2"/>
  <c r="L1420" i="2"/>
  <c r="L1421" i="2"/>
  <c r="L1422" i="2"/>
  <c r="L1423" i="2"/>
  <c r="L1424" i="2"/>
  <c r="L1425" i="2"/>
  <c r="L1426" i="2"/>
  <c r="L1427" i="2"/>
  <c r="L1428" i="2"/>
  <c r="L1429" i="2"/>
  <c r="L1430" i="2"/>
  <c r="L1431" i="2"/>
  <c r="L1432" i="2"/>
  <c r="L1433" i="2"/>
  <c r="L1434" i="2"/>
  <c r="L1435" i="2"/>
  <c r="L1436" i="2"/>
  <c r="L1437" i="2"/>
  <c r="L1438" i="2"/>
  <c r="L1439" i="2"/>
  <c r="L1440" i="2"/>
  <c r="L1441" i="2"/>
  <c r="L1442" i="2"/>
  <c r="L1443" i="2"/>
  <c r="L1444" i="2"/>
  <c r="L1445" i="2"/>
  <c r="L1446" i="2"/>
  <c r="L1447" i="2"/>
  <c r="L1448" i="2"/>
  <c r="L1449" i="2"/>
  <c r="L1450" i="2"/>
  <c r="L1451" i="2"/>
  <c r="L1452" i="2"/>
  <c r="L1453" i="2"/>
  <c r="L1454" i="2"/>
  <c r="L1455" i="2"/>
  <c r="L1456" i="2"/>
  <c r="L1457" i="2"/>
  <c r="L1458" i="2"/>
  <c r="L1459" i="2"/>
  <c r="L1460" i="2"/>
  <c r="L1461" i="2"/>
  <c r="L1462" i="2"/>
  <c r="L1463" i="2"/>
  <c r="L1464" i="2"/>
  <c r="L1465" i="2"/>
  <c r="L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L1484" i="2"/>
  <c r="L1485" i="2"/>
  <c r="L1486" i="2"/>
  <c r="L1487" i="2"/>
  <c r="L1488" i="2"/>
  <c r="L1489" i="2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L1539" i="2"/>
  <c r="L1540" i="2"/>
  <c r="L1541" i="2"/>
  <c r="L1542" i="2"/>
  <c r="L1543" i="2"/>
  <c r="L1544" i="2"/>
  <c r="L1545" i="2"/>
  <c r="L1546" i="2"/>
  <c r="L1547" i="2"/>
  <c r="L1548" i="2"/>
  <c r="L1549" i="2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L1600" i="2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L1627" i="2"/>
  <c r="L1628" i="2"/>
  <c r="L1629" i="2"/>
  <c r="L1630" i="2"/>
  <c r="L1631" i="2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L1763" i="2"/>
  <c r="L1764" i="2"/>
  <c r="L1765" i="2"/>
  <c r="L1766" i="2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L1823" i="2"/>
  <c r="L1824" i="2"/>
  <c r="L1825" i="2"/>
  <c r="L1826" i="2"/>
  <c r="L1827" i="2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L1863" i="2"/>
  <c r="L1864" i="2"/>
  <c r="L1865" i="2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L1883" i="2"/>
  <c r="L1884" i="2"/>
  <c r="L1885" i="2"/>
  <c r="L1886" i="2"/>
  <c r="L188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L1923" i="2"/>
  <c r="L1924" i="2"/>
  <c r="L1925" i="2"/>
  <c r="L1926" i="2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L1969" i="2"/>
  <c r="L1970" i="2"/>
  <c r="L1971" i="2"/>
  <c r="L1972" i="2"/>
  <c r="L1973" i="2"/>
  <c r="L1974" i="2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L2002" i="2"/>
  <c r="L2003" i="2"/>
  <c r="L2004" i="2"/>
  <c r="L2005" i="2"/>
  <c r="L2006" i="2"/>
  <c r="L2007" i="2"/>
  <c r="L2008" i="2"/>
  <c r="L2009" i="2"/>
  <c r="L2010" i="2"/>
  <c r="L2011" i="2"/>
  <c r="L2012" i="2"/>
  <c r="L2013" i="2"/>
  <c r="L2014" i="2"/>
  <c r="L2015" i="2"/>
  <c r="L2016" i="2"/>
  <c r="L2017" i="2"/>
  <c r="L2018" i="2"/>
  <c r="L2019" i="2"/>
  <c r="L2020" i="2"/>
  <c r="L2021" i="2"/>
  <c r="L2022" i="2"/>
  <c r="L2023" i="2"/>
  <c r="L2024" i="2"/>
  <c r="L2025" i="2"/>
  <c r="L2026" i="2"/>
  <c r="L2027" i="2"/>
  <c r="L2028" i="2"/>
  <c r="L2029" i="2"/>
  <c r="L2030" i="2"/>
  <c r="L2031" i="2"/>
  <c r="L2032" i="2"/>
  <c r="L2033" i="2"/>
  <c r="L2034" i="2"/>
  <c r="L2035" i="2"/>
  <c r="L2036" i="2"/>
  <c r="L2037" i="2"/>
  <c r="L2038" i="2"/>
  <c r="L2039" i="2"/>
  <c r="L2040" i="2"/>
  <c r="L2041" i="2"/>
  <c r="L2042" i="2"/>
  <c r="L2043" i="2"/>
  <c r="L2044" i="2"/>
  <c r="L2045" i="2"/>
  <c r="L2046" i="2"/>
  <c r="L2047" i="2"/>
  <c r="L2048" i="2"/>
  <c r="L2049" i="2"/>
  <c r="L2050" i="2"/>
  <c r="L2051" i="2"/>
  <c r="L2052" i="2"/>
  <c r="L2053" i="2"/>
  <c r="L2054" i="2"/>
  <c r="L2055" i="2"/>
  <c r="L2056" i="2"/>
  <c r="L2057" i="2"/>
  <c r="L2058" i="2"/>
  <c r="L2059" i="2"/>
  <c r="L2060" i="2"/>
  <c r="L2061" i="2"/>
  <c r="L2062" i="2"/>
  <c r="L2063" i="2"/>
  <c r="L2064" i="2"/>
  <c r="L2065" i="2"/>
  <c r="L2066" i="2"/>
  <c r="L2067" i="2"/>
  <c r="L2068" i="2"/>
  <c r="L2069" i="2"/>
  <c r="L2070" i="2"/>
  <c r="L2071" i="2"/>
  <c r="L2072" i="2"/>
  <c r="L2073" i="2"/>
  <c r="L2074" i="2"/>
  <c r="L2075" i="2"/>
  <c r="L2076" i="2"/>
  <c r="L2077" i="2"/>
  <c r="L2078" i="2"/>
  <c r="L2079" i="2"/>
  <c r="L2080" i="2"/>
  <c r="L2081" i="2"/>
  <c r="L2082" i="2"/>
  <c r="L2083" i="2"/>
  <c r="L2084" i="2"/>
  <c r="L2085" i="2"/>
  <c r="L2086" i="2"/>
  <c r="L2087" i="2"/>
  <c r="L2088" i="2"/>
  <c r="L2089" i="2"/>
  <c r="L2090" i="2"/>
  <c r="L2091" i="2"/>
  <c r="L2092" i="2"/>
  <c r="L2093" i="2"/>
  <c r="L2094" i="2"/>
  <c r="L2095" i="2"/>
  <c r="L2096" i="2"/>
  <c r="L2097" i="2"/>
  <c r="L2098" i="2"/>
  <c r="L2099" i="2"/>
  <c r="L2100" i="2"/>
  <c r="L2101" i="2"/>
  <c r="L2102" i="2"/>
  <c r="L2103" i="2"/>
  <c r="L2104" i="2"/>
  <c r="L2105" i="2"/>
  <c r="L2106" i="2"/>
  <c r="L2107" i="2"/>
  <c r="L2108" i="2"/>
  <c r="L2109" i="2"/>
  <c r="L2110" i="2"/>
  <c r="L2111" i="2"/>
  <c r="L2112" i="2"/>
  <c r="L2113" i="2"/>
  <c r="L2114" i="2"/>
  <c r="L2115" i="2"/>
  <c r="L2116" i="2"/>
  <c r="L2117" i="2"/>
  <c r="L2118" i="2"/>
  <c r="L2119" i="2"/>
  <c r="L2120" i="2"/>
  <c r="L2121" i="2"/>
  <c r="L2122" i="2"/>
  <c r="L2123" i="2"/>
  <c r="L2124" i="2"/>
  <c r="L2125" i="2"/>
  <c r="L2126" i="2"/>
  <c r="L2127" i="2"/>
  <c r="L2128" i="2"/>
  <c r="L2129" i="2"/>
  <c r="L2130" i="2"/>
  <c r="L2131" i="2"/>
  <c r="L2132" i="2"/>
  <c r="L2133" i="2"/>
  <c r="L2134" i="2"/>
  <c r="L2135" i="2"/>
  <c r="L2136" i="2"/>
  <c r="L2137" i="2"/>
  <c r="L2138" i="2"/>
  <c r="L2139" i="2"/>
  <c r="L2140" i="2"/>
  <c r="L2141" i="2"/>
  <c r="L2142" i="2"/>
  <c r="L2143" i="2"/>
  <c r="L2144" i="2"/>
  <c r="L2145" i="2"/>
  <c r="L2146" i="2"/>
  <c r="L2147" i="2"/>
  <c r="L2148" i="2"/>
  <c r="L2149" i="2"/>
  <c r="L2150" i="2"/>
  <c r="L2151" i="2"/>
  <c r="L2152" i="2"/>
  <c r="L2153" i="2"/>
  <c r="L2154" i="2"/>
  <c r="L2155" i="2"/>
  <c r="L2156" i="2"/>
  <c r="L2157" i="2"/>
  <c r="L2158" i="2"/>
  <c r="L2159" i="2"/>
  <c r="L2160" i="2"/>
  <c r="L2161" i="2"/>
  <c r="L2162" i="2"/>
  <c r="L2163" i="2"/>
  <c r="L2164" i="2"/>
  <c r="L2165" i="2"/>
  <c r="L2166" i="2"/>
  <c r="L2167" i="2"/>
  <c r="L2168" i="2"/>
  <c r="L2169" i="2"/>
  <c r="L2170" i="2"/>
  <c r="L2171" i="2"/>
  <c r="L2172" i="2"/>
  <c r="L2173" i="2"/>
  <c r="L2174" i="2"/>
  <c r="L2175" i="2"/>
  <c r="L2176" i="2"/>
  <c r="L2177" i="2"/>
  <c r="L2178" i="2"/>
  <c r="L2179" i="2"/>
  <c r="L2180" i="2"/>
  <c r="L2181" i="2"/>
  <c r="L2182" i="2"/>
  <c r="L2183" i="2"/>
  <c r="L2184" i="2"/>
  <c r="L2185" i="2"/>
  <c r="L2186" i="2"/>
  <c r="L2187" i="2"/>
  <c r="L2188" i="2"/>
  <c r="L2189" i="2"/>
  <c r="L2190" i="2"/>
  <c r="L2191" i="2"/>
  <c r="L2192" i="2"/>
  <c r="L2193" i="2"/>
  <c r="L2194" i="2"/>
  <c r="L2195" i="2"/>
  <c r="L2196" i="2"/>
  <c r="L2197" i="2"/>
  <c r="L2198" i="2"/>
  <c r="L2199" i="2"/>
  <c r="L2200" i="2"/>
  <c r="L2201" i="2"/>
  <c r="L2202" i="2"/>
  <c r="L2203" i="2"/>
  <c r="L2204" i="2"/>
  <c r="L2205" i="2"/>
  <c r="L2206" i="2"/>
  <c r="L2207" i="2"/>
  <c r="L2208" i="2"/>
  <c r="L2209" i="2"/>
  <c r="L2210" i="2"/>
  <c r="L2211" i="2"/>
  <c r="L2212" i="2"/>
  <c r="L2213" i="2"/>
  <c r="L2214" i="2"/>
  <c r="L2215" i="2"/>
  <c r="L2216" i="2"/>
  <c r="L2217" i="2"/>
  <c r="L2218" i="2"/>
  <c r="L2219" i="2"/>
  <c r="L2220" i="2"/>
  <c r="L2221" i="2"/>
  <c r="L2222" i="2"/>
  <c r="L2223" i="2"/>
  <c r="L2224" i="2"/>
  <c r="L2225" i="2"/>
  <c r="L2226" i="2"/>
  <c r="L2227" i="2"/>
  <c r="L2228" i="2"/>
  <c r="L2229" i="2"/>
  <c r="L2230" i="2"/>
  <c r="L2231" i="2"/>
  <c r="L2232" i="2"/>
  <c r="L2233" i="2"/>
  <c r="L2234" i="2"/>
  <c r="L2235" i="2"/>
  <c r="L2236" i="2"/>
  <c r="L2237" i="2"/>
  <c r="L2238" i="2"/>
  <c r="L2239" i="2"/>
  <c r="L2240" i="2"/>
  <c r="L2241" i="2"/>
  <c r="L2242" i="2"/>
  <c r="L2243" i="2"/>
  <c r="L2244" i="2"/>
  <c r="L2245" i="2"/>
  <c r="L2246" i="2"/>
  <c r="L2247" i="2"/>
  <c r="L2248" i="2"/>
  <c r="L2249" i="2"/>
  <c r="L2250" i="2"/>
  <c r="L2251" i="2"/>
  <c r="L2252" i="2"/>
  <c r="L2253" i="2"/>
  <c r="L2254" i="2"/>
  <c r="L2255" i="2"/>
  <c r="L2256" i="2"/>
  <c r="L2257" i="2"/>
  <c r="L2258" i="2"/>
  <c r="L2259" i="2"/>
  <c r="L2260" i="2"/>
  <c r="L2261" i="2"/>
  <c r="L2262" i="2"/>
  <c r="L2263" i="2"/>
  <c r="L2264" i="2"/>
  <c r="L2265" i="2"/>
  <c r="L2266" i="2"/>
  <c r="L2267" i="2"/>
  <c r="L2268" i="2"/>
  <c r="L2269" i="2"/>
  <c r="L2270" i="2"/>
  <c r="L2271" i="2"/>
  <c r="L2272" i="2"/>
  <c r="L2273" i="2"/>
  <c r="L2274" i="2"/>
  <c r="L2275" i="2"/>
  <c r="L2276" i="2"/>
  <c r="L2277" i="2"/>
  <c r="L2278" i="2"/>
  <c r="L2279" i="2"/>
  <c r="L2280" i="2"/>
  <c r="L2281" i="2"/>
  <c r="L2282" i="2"/>
  <c r="L2283" i="2"/>
  <c r="L2284" i="2"/>
  <c r="L2285" i="2"/>
  <c r="L2286" i="2"/>
  <c r="L2287" i="2"/>
  <c r="L2288" i="2"/>
  <c r="L2289" i="2"/>
  <c r="L2290" i="2"/>
  <c r="L2291" i="2"/>
  <c r="L2292" i="2"/>
  <c r="L2293" i="2"/>
  <c r="L2294" i="2"/>
  <c r="L2295" i="2"/>
  <c r="L2296" i="2"/>
  <c r="L2297" i="2"/>
  <c r="L2298" i="2"/>
  <c r="L2299" i="2"/>
  <c r="L2300" i="2"/>
  <c r="L2301" i="2"/>
  <c r="L2302" i="2"/>
  <c r="L2303" i="2"/>
  <c r="L2304" i="2"/>
  <c r="L2305" i="2"/>
  <c r="L2306" i="2"/>
  <c r="L2307" i="2"/>
  <c r="L2308" i="2"/>
  <c r="L2309" i="2"/>
  <c r="L2310" i="2"/>
  <c r="L2311" i="2"/>
  <c r="L2312" i="2"/>
  <c r="L2313" i="2"/>
  <c r="L2314" i="2"/>
  <c r="L2315" i="2"/>
  <c r="L2316" i="2"/>
  <c r="L2317" i="2"/>
  <c r="L2318" i="2"/>
  <c r="L2319" i="2"/>
  <c r="L2320" i="2"/>
  <c r="L2321" i="2"/>
  <c r="L2322" i="2"/>
  <c r="L2323" i="2"/>
  <c r="L2324" i="2"/>
  <c r="L2325" i="2"/>
  <c r="L2326" i="2"/>
  <c r="L2327" i="2"/>
  <c r="L2328" i="2"/>
  <c r="L2329" i="2"/>
  <c r="L2330" i="2"/>
  <c r="L2331" i="2"/>
  <c r="L2332" i="2"/>
  <c r="L2333" i="2"/>
  <c r="L2334" i="2"/>
  <c r="L2335" i="2"/>
  <c r="L2336" i="2"/>
  <c r="L2337" i="2"/>
  <c r="L2338" i="2"/>
  <c r="L2339" i="2"/>
  <c r="L2340" i="2"/>
  <c r="L2341" i="2"/>
  <c r="L2342" i="2"/>
  <c r="L2343" i="2"/>
  <c r="L2344" i="2"/>
  <c r="L2345" i="2"/>
  <c r="L2346" i="2"/>
  <c r="L2347" i="2"/>
  <c r="L2348" i="2"/>
  <c r="L2349" i="2"/>
  <c r="L2350" i="2"/>
  <c r="L2351" i="2"/>
  <c r="L2352" i="2"/>
  <c r="L2353" i="2"/>
  <c r="L2354" i="2"/>
  <c r="L2355" i="2"/>
  <c r="L2356" i="2"/>
  <c r="L2357" i="2"/>
  <c r="L2358" i="2"/>
  <c r="L2359" i="2"/>
  <c r="L2360" i="2"/>
  <c r="L2361" i="2"/>
  <c r="L2362" i="2"/>
  <c r="L2363" i="2"/>
  <c r="L2364" i="2"/>
  <c r="L2365" i="2"/>
  <c r="L2366" i="2"/>
  <c r="L2367" i="2"/>
  <c r="L2368" i="2"/>
  <c r="L2369" i="2"/>
  <c r="L2370" i="2"/>
  <c r="L2371" i="2"/>
  <c r="L2372" i="2"/>
  <c r="L2373" i="2"/>
  <c r="L2374" i="2"/>
  <c r="L2375" i="2"/>
  <c r="L2376" i="2"/>
  <c r="L2377" i="2"/>
  <c r="L2378" i="2"/>
  <c r="L2379" i="2"/>
  <c r="L2380" i="2"/>
  <c r="L2381" i="2"/>
  <c r="L2382" i="2"/>
  <c r="L2383" i="2"/>
  <c r="L2384" i="2"/>
  <c r="L2385" i="2"/>
  <c r="L2386" i="2"/>
  <c r="L2387" i="2"/>
  <c r="L2388" i="2"/>
  <c r="L2389" i="2"/>
  <c r="L2390" i="2"/>
  <c r="L2391" i="2"/>
  <c r="L2392" i="2"/>
  <c r="L2393" i="2"/>
  <c r="L2394" i="2"/>
  <c r="L2395" i="2"/>
  <c r="L2396" i="2"/>
  <c r="L2397" i="2"/>
  <c r="L2398" i="2"/>
  <c r="L2399" i="2"/>
  <c r="L2400" i="2"/>
  <c r="L2401" i="2"/>
  <c r="L2402" i="2"/>
  <c r="L2403" i="2"/>
  <c r="L2404" i="2"/>
  <c r="L2405" i="2"/>
  <c r="L2406" i="2"/>
  <c r="L2407" i="2"/>
  <c r="L2408" i="2"/>
  <c r="L2409" i="2"/>
  <c r="L2410" i="2"/>
  <c r="L2411" i="2"/>
  <c r="L2412" i="2"/>
  <c r="L2413" i="2"/>
  <c r="L2414" i="2"/>
  <c r="L2415" i="2"/>
  <c r="L2416" i="2"/>
  <c r="L2417" i="2"/>
  <c r="L2418" i="2"/>
  <c r="L2419" i="2"/>
  <c r="L2420" i="2"/>
  <c r="L2421" i="2"/>
  <c r="L2422" i="2"/>
  <c r="L2423" i="2"/>
  <c r="L2424" i="2"/>
  <c r="L2425" i="2"/>
  <c r="L2426" i="2"/>
  <c r="L2427" i="2"/>
  <c r="L2428" i="2"/>
  <c r="L2429" i="2"/>
  <c r="L2430" i="2"/>
  <c r="L2431" i="2"/>
  <c r="L2432" i="2"/>
  <c r="L2433" i="2"/>
  <c r="L2434" i="2"/>
  <c r="L2435" i="2"/>
  <c r="L2436" i="2"/>
  <c r="L2437" i="2"/>
  <c r="L2438" i="2"/>
  <c r="L2439" i="2"/>
  <c r="L2440" i="2"/>
  <c r="L2441" i="2"/>
  <c r="L2442" i="2"/>
  <c r="L2443" i="2"/>
  <c r="L2444" i="2"/>
  <c r="L2445" i="2"/>
  <c r="L2446" i="2"/>
  <c r="L2447" i="2"/>
  <c r="L2448" i="2"/>
  <c r="L2449" i="2"/>
  <c r="L2450" i="2"/>
  <c r="L2451" i="2"/>
  <c r="L2452" i="2"/>
  <c r="L2453" i="2"/>
  <c r="L2454" i="2"/>
  <c r="L2455" i="2"/>
  <c r="L2456" i="2"/>
  <c r="L2457" i="2"/>
  <c r="L2458" i="2"/>
  <c r="L2459" i="2"/>
  <c r="L2460" i="2"/>
  <c r="L2461" i="2"/>
  <c r="L2462" i="2"/>
  <c r="L2463" i="2"/>
  <c r="L2464" i="2"/>
  <c r="L2465" i="2"/>
  <c r="L2466" i="2"/>
  <c r="L2467" i="2"/>
  <c r="L2468" i="2"/>
  <c r="L2469" i="2"/>
  <c r="L2470" i="2"/>
  <c r="L2471" i="2"/>
  <c r="L2472" i="2"/>
  <c r="L2473" i="2"/>
  <c r="L2474" i="2"/>
  <c r="L2475" i="2"/>
  <c r="L2476" i="2"/>
  <c r="L2477" i="2"/>
  <c r="L2478" i="2"/>
  <c r="L2479" i="2"/>
  <c r="L2480" i="2"/>
  <c r="L2481" i="2"/>
  <c r="L2482" i="2"/>
  <c r="L2483" i="2"/>
  <c r="L2484" i="2"/>
  <c r="L2485" i="2"/>
  <c r="L2486" i="2"/>
  <c r="L2487" i="2"/>
  <c r="L2488" i="2"/>
  <c r="L2489" i="2"/>
  <c r="L2490" i="2"/>
  <c r="L2491" i="2"/>
  <c r="L2492" i="2"/>
  <c r="L2493" i="2"/>
  <c r="L2494" i="2"/>
  <c r="L2495" i="2"/>
  <c r="L2496" i="2"/>
  <c r="L2497" i="2"/>
  <c r="L2498" i="2"/>
  <c r="L2499" i="2"/>
  <c r="L2500" i="2"/>
  <c r="L2501" i="2"/>
  <c r="L2502" i="2"/>
  <c r="L2503" i="2"/>
  <c r="L2504" i="2"/>
  <c r="L2505" i="2"/>
  <c r="L2506" i="2"/>
  <c r="L2507" i="2"/>
  <c r="L2508" i="2"/>
  <c r="L2509" i="2"/>
  <c r="L2510" i="2"/>
  <c r="L2511" i="2"/>
  <c r="L2512" i="2"/>
  <c r="L2513" i="2"/>
  <c r="L2514" i="2"/>
  <c r="L2515" i="2"/>
  <c r="L2516" i="2"/>
  <c r="L2517" i="2"/>
  <c r="L2518" i="2"/>
  <c r="L2519" i="2"/>
  <c r="L2520" i="2"/>
  <c r="L2521" i="2"/>
  <c r="L2522" i="2"/>
  <c r="L2523" i="2"/>
  <c r="L2524" i="2"/>
  <c r="L2525" i="2"/>
  <c r="L2526" i="2"/>
  <c r="L2527" i="2"/>
  <c r="L2528" i="2"/>
  <c r="L2529" i="2"/>
  <c r="L2530" i="2"/>
  <c r="L2531" i="2"/>
  <c r="L2532" i="2"/>
  <c r="L2533" i="2"/>
  <c r="L2534" i="2"/>
  <c r="L2535" i="2"/>
  <c r="L2536" i="2"/>
  <c r="L2537" i="2"/>
  <c r="L2538" i="2"/>
  <c r="L2539" i="2"/>
  <c r="L2540" i="2"/>
  <c r="L2541" i="2"/>
  <c r="L2542" i="2"/>
  <c r="L2543" i="2"/>
  <c r="L2544" i="2"/>
  <c r="L2545" i="2"/>
  <c r="L2546" i="2"/>
  <c r="L2547" i="2"/>
  <c r="L2548" i="2"/>
  <c r="L2549" i="2"/>
  <c r="L2550" i="2"/>
  <c r="L2551" i="2"/>
  <c r="L2552" i="2"/>
  <c r="L2553" i="2"/>
  <c r="L2554" i="2"/>
  <c r="L2555" i="2"/>
  <c r="L2556" i="2"/>
  <c r="L2557" i="2"/>
  <c r="L2558" i="2"/>
  <c r="L2559" i="2"/>
  <c r="L2560" i="2"/>
  <c r="L2561" i="2"/>
  <c r="L2562" i="2"/>
  <c r="L2563" i="2"/>
  <c r="L2564" i="2"/>
  <c r="L2565" i="2"/>
  <c r="L2566" i="2"/>
  <c r="L2567" i="2"/>
  <c r="L2568" i="2"/>
  <c r="L2569" i="2"/>
  <c r="L2570" i="2"/>
  <c r="L2571" i="2"/>
  <c r="L2572" i="2"/>
  <c r="L2573" i="2"/>
  <c r="L2574" i="2"/>
  <c r="L2575" i="2"/>
  <c r="L2576" i="2"/>
  <c r="L2577" i="2"/>
  <c r="L2578" i="2"/>
  <c r="L2579" i="2"/>
  <c r="L2580" i="2"/>
  <c r="L2581" i="2"/>
  <c r="L2582" i="2"/>
  <c r="L2583" i="2"/>
  <c r="L2584" i="2"/>
  <c r="L2585" i="2"/>
  <c r="L2586" i="2"/>
  <c r="L2587" i="2"/>
  <c r="L2588" i="2"/>
  <c r="L2589" i="2"/>
  <c r="L2590" i="2"/>
  <c r="L2591" i="2"/>
  <c r="L2592" i="2"/>
  <c r="L2593" i="2"/>
  <c r="L2594" i="2"/>
  <c r="L2595" i="2"/>
  <c r="L2596" i="2"/>
  <c r="L2597" i="2"/>
  <c r="L2598" i="2"/>
  <c r="L2599" i="2"/>
  <c r="L2600" i="2"/>
  <c r="L2601" i="2"/>
  <c r="L2602" i="2"/>
  <c r="L2603" i="2"/>
  <c r="L2604" i="2"/>
  <c r="L2605" i="2"/>
  <c r="L2606" i="2"/>
  <c r="L2607" i="2"/>
  <c r="L2608" i="2"/>
  <c r="L2609" i="2"/>
  <c r="L2610" i="2"/>
  <c r="L2611" i="2"/>
  <c r="L2612" i="2"/>
  <c r="L2613" i="2"/>
  <c r="L2614" i="2"/>
  <c r="L2615" i="2"/>
  <c r="L2616" i="2"/>
  <c r="L2617" i="2"/>
  <c r="L2618" i="2"/>
  <c r="L2619" i="2"/>
  <c r="L2620" i="2"/>
  <c r="L2621" i="2"/>
  <c r="L2622" i="2"/>
  <c r="L2623" i="2"/>
  <c r="L2624" i="2"/>
  <c r="L2625" i="2"/>
  <c r="L2626" i="2"/>
  <c r="L2627" i="2"/>
  <c r="L2628" i="2"/>
  <c r="L2629" i="2"/>
  <c r="L2630" i="2"/>
  <c r="L2631" i="2"/>
  <c r="L2632" i="2"/>
  <c r="L2633" i="2"/>
  <c r="L2634" i="2"/>
  <c r="L2635" i="2"/>
  <c r="L2636" i="2"/>
  <c r="L2637" i="2"/>
  <c r="L2638" i="2"/>
  <c r="L2639" i="2"/>
  <c r="L2640" i="2"/>
  <c r="L2641" i="2"/>
  <c r="L2642" i="2"/>
  <c r="L2643" i="2"/>
  <c r="L2644" i="2"/>
  <c r="L2645" i="2"/>
  <c r="L2646" i="2"/>
  <c r="L2647" i="2"/>
  <c r="L2648" i="2"/>
  <c r="L2649" i="2"/>
  <c r="L2650" i="2"/>
  <c r="L2651" i="2"/>
  <c r="L2652" i="2"/>
  <c r="L2653" i="2"/>
  <c r="L2654" i="2"/>
  <c r="L2655" i="2"/>
  <c r="L2656" i="2"/>
  <c r="L2657" i="2"/>
  <c r="L2658" i="2"/>
  <c r="L2659" i="2"/>
  <c r="L2660" i="2"/>
  <c r="L2661" i="2"/>
  <c r="L2662" i="2"/>
  <c r="L2663" i="2"/>
  <c r="L2664" i="2"/>
  <c r="L2665" i="2"/>
  <c r="L2666" i="2"/>
  <c r="L2667" i="2"/>
  <c r="L2668" i="2"/>
  <c r="L2669" i="2"/>
  <c r="L2670" i="2"/>
  <c r="L2671" i="2"/>
  <c r="L2672" i="2"/>
  <c r="L2673" i="2"/>
  <c r="L2674" i="2"/>
  <c r="L2675" i="2"/>
  <c r="L2676" i="2"/>
  <c r="L2677" i="2"/>
  <c r="L2678" i="2"/>
  <c r="L2679" i="2"/>
  <c r="L2680" i="2"/>
  <c r="L2681" i="2"/>
  <c r="L2682" i="2"/>
  <c r="L2683" i="2"/>
  <c r="L2684" i="2"/>
  <c r="L2685" i="2"/>
  <c r="L2686" i="2"/>
  <c r="L2687" i="2"/>
  <c r="L2688" i="2"/>
  <c r="L2689" i="2"/>
  <c r="L2690" i="2"/>
  <c r="L2691" i="2"/>
  <c r="L2692" i="2"/>
  <c r="L2693" i="2"/>
  <c r="L2694" i="2"/>
  <c r="L2695" i="2"/>
  <c r="L2696" i="2"/>
  <c r="L2697" i="2"/>
  <c r="L2698" i="2"/>
  <c r="L2699" i="2"/>
  <c r="L2700" i="2"/>
  <c r="L2701" i="2"/>
  <c r="L2702" i="2"/>
  <c r="L2703" i="2"/>
  <c r="L2704" i="2"/>
  <c r="L2705" i="2"/>
  <c r="L2706" i="2"/>
  <c r="L2707" i="2"/>
  <c r="L2708" i="2"/>
  <c r="L2709" i="2"/>
  <c r="L2710" i="2"/>
  <c r="L2711" i="2"/>
  <c r="L2712" i="2"/>
  <c r="L2713" i="2"/>
  <c r="L2714" i="2"/>
  <c r="L2715" i="2"/>
  <c r="L2716" i="2"/>
  <c r="L2717" i="2"/>
  <c r="L2718" i="2"/>
  <c r="L2719" i="2"/>
  <c r="L2720" i="2"/>
  <c r="L2721" i="2"/>
  <c r="L2722" i="2"/>
  <c r="L2723" i="2"/>
  <c r="L2724" i="2"/>
  <c r="L2725" i="2"/>
  <c r="L2726" i="2"/>
  <c r="L2727" i="2"/>
  <c r="L2728" i="2"/>
  <c r="L2729" i="2"/>
  <c r="L2730" i="2"/>
  <c r="L2731" i="2"/>
  <c r="L2732" i="2"/>
  <c r="L2733" i="2"/>
  <c r="L2734" i="2"/>
  <c r="L2735" i="2"/>
  <c r="L2736" i="2"/>
  <c r="L2737" i="2"/>
  <c r="L2738" i="2"/>
  <c r="L2739" i="2"/>
  <c r="L2740" i="2"/>
  <c r="L2741" i="2"/>
  <c r="L2742" i="2"/>
  <c r="L2743" i="2"/>
  <c r="L2744" i="2"/>
  <c r="L2745" i="2"/>
  <c r="L2746" i="2"/>
  <c r="L2747" i="2"/>
  <c r="L2748" i="2"/>
  <c r="L2749" i="2"/>
  <c r="L2750" i="2"/>
  <c r="L2751" i="2"/>
  <c r="L2752" i="2"/>
  <c r="L2753" i="2"/>
  <c r="L2754" i="2"/>
  <c r="L2755" i="2"/>
  <c r="L2756" i="2"/>
  <c r="L2757" i="2"/>
  <c r="L2758" i="2"/>
  <c r="L2759" i="2"/>
  <c r="L2760" i="2"/>
  <c r="L2761" i="2"/>
  <c r="L2762" i="2"/>
  <c r="L2763" i="2"/>
  <c r="L2764" i="2"/>
  <c r="L2765" i="2"/>
  <c r="L2766" i="2"/>
  <c r="L2767" i="2"/>
  <c r="L2768" i="2"/>
  <c r="L2769" i="2"/>
  <c r="L2770" i="2"/>
  <c r="L2771" i="2"/>
  <c r="L2772" i="2"/>
  <c r="L2773" i="2"/>
  <c r="L2774" i="2"/>
  <c r="L2775" i="2"/>
  <c r="L2776" i="2"/>
  <c r="L2777" i="2"/>
  <c r="L2778" i="2"/>
  <c r="L2779" i="2"/>
  <c r="L2780" i="2"/>
  <c r="L2781" i="2"/>
  <c r="L2782" i="2"/>
  <c r="L2783" i="2"/>
  <c r="L2784" i="2"/>
  <c r="L2785" i="2"/>
  <c r="L2786" i="2"/>
  <c r="L2787" i="2"/>
  <c r="L2788" i="2"/>
  <c r="L2789" i="2"/>
  <c r="L2790" i="2"/>
  <c r="L2791" i="2"/>
  <c r="L2792" i="2"/>
  <c r="L2793" i="2"/>
  <c r="L2794" i="2"/>
  <c r="L2795" i="2"/>
  <c r="L2796" i="2"/>
  <c r="L2797" i="2"/>
  <c r="L2798" i="2"/>
  <c r="L2799" i="2"/>
  <c r="L2800" i="2"/>
  <c r="L2801" i="2"/>
  <c r="L2802" i="2"/>
  <c r="L2803" i="2"/>
  <c r="L2804" i="2"/>
  <c r="L2805" i="2"/>
  <c r="L2806" i="2"/>
  <c r="L2807" i="2"/>
  <c r="L2808" i="2"/>
  <c r="L2809" i="2"/>
  <c r="L2810" i="2"/>
  <c r="L2811" i="2"/>
  <c r="L2812" i="2"/>
  <c r="L2813" i="2"/>
  <c r="L2814" i="2"/>
  <c r="L2815" i="2"/>
  <c r="L2816" i="2"/>
  <c r="L2817" i="2"/>
  <c r="L2818" i="2"/>
  <c r="L2819" i="2"/>
  <c r="L2820" i="2"/>
  <c r="L2821" i="2"/>
  <c r="L2822" i="2"/>
  <c r="L2823" i="2"/>
  <c r="L2824" i="2"/>
  <c r="L2825" i="2"/>
  <c r="L2826" i="2"/>
  <c r="L2827" i="2"/>
  <c r="L2828" i="2"/>
  <c r="L2829" i="2"/>
  <c r="L2830" i="2"/>
  <c r="L2831" i="2"/>
  <c r="L2832" i="2"/>
  <c r="L2833" i="2"/>
  <c r="L2834" i="2"/>
  <c r="L2835" i="2"/>
  <c r="L2836" i="2"/>
  <c r="L2837" i="2"/>
  <c r="L2838" i="2"/>
  <c r="L2839" i="2"/>
  <c r="L2840" i="2"/>
  <c r="L2841" i="2"/>
  <c r="L2842" i="2"/>
  <c r="L2843" i="2"/>
  <c r="L2844" i="2"/>
  <c r="L2845" i="2"/>
  <c r="L2846" i="2"/>
  <c r="L2847" i="2"/>
  <c r="L2848" i="2"/>
  <c r="L2849" i="2"/>
  <c r="L2850" i="2"/>
  <c r="L2851" i="2"/>
  <c r="L2852" i="2"/>
  <c r="L2853" i="2"/>
  <c r="L2854" i="2"/>
  <c r="L2855" i="2"/>
  <c r="L2856" i="2"/>
  <c r="L2857" i="2"/>
  <c r="L2858" i="2"/>
  <c r="L2859" i="2"/>
  <c r="L2860" i="2"/>
  <c r="L2861" i="2"/>
  <c r="L2862" i="2"/>
  <c r="L2863" i="2"/>
  <c r="L2864" i="2"/>
  <c r="L2865" i="2"/>
  <c r="L2866" i="2"/>
  <c r="L2867" i="2"/>
  <c r="L2868" i="2"/>
  <c r="L2869" i="2"/>
  <c r="L2870" i="2"/>
  <c r="L2871" i="2"/>
  <c r="L2872" i="2"/>
  <c r="L2873" i="2"/>
  <c r="L2874" i="2"/>
  <c r="L2875" i="2"/>
  <c r="L2876" i="2"/>
  <c r="L2877" i="2"/>
  <c r="L2878" i="2"/>
  <c r="L2879" i="2"/>
  <c r="L2880" i="2"/>
  <c r="L2881" i="2"/>
  <c r="L2882" i="2"/>
  <c r="L2883" i="2"/>
  <c r="L2884" i="2"/>
  <c r="L2885" i="2"/>
  <c r="L2886" i="2"/>
  <c r="L2887" i="2"/>
  <c r="L2888" i="2"/>
  <c r="L2889" i="2"/>
  <c r="L2890" i="2"/>
  <c r="L2891" i="2"/>
  <c r="L2892" i="2"/>
  <c r="L2893" i="2"/>
  <c r="L2894" i="2"/>
  <c r="L2895" i="2"/>
  <c r="L2896" i="2"/>
  <c r="L2897" i="2"/>
  <c r="L2898" i="2"/>
  <c r="L2899" i="2"/>
  <c r="L2900" i="2"/>
  <c r="L2901" i="2"/>
  <c r="L2902" i="2"/>
  <c r="L2903" i="2"/>
  <c r="L2904" i="2"/>
  <c r="L2905" i="2"/>
  <c r="L2906" i="2"/>
  <c r="L2907" i="2"/>
  <c r="L2908" i="2"/>
  <c r="L2909" i="2"/>
  <c r="L2910" i="2"/>
  <c r="L2911" i="2"/>
  <c r="L2912" i="2"/>
  <c r="L2913" i="2"/>
  <c r="L2914" i="2"/>
  <c r="L2915" i="2"/>
  <c r="L2916" i="2"/>
  <c r="L2917" i="2"/>
  <c r="L2918" i="2"/>
  <c r="L2919" i="2"/>
  <c r="L2920" i="2"/>
  <c r="L2921" i="2"/>
  <c r="L2922" i="2"/>
  <c r="L2923" i="2"/>
  <c r="L2924" i="2"/>
  <c r="L2925" i="2"/>
  <c r="L2926" i="2"/>
  <c r="L2927" i="2"/>
  <c r="L2928" i="2"/>
  <c r="L2929" i="2"/>
  <c r="L2930" i="2"/>
  <c r="L2931" i="2"/>
  <c r="L2932" i="2"/>
  <c r="L2933" i="2"/>
  <c r="L2934" i="2"/>
  <c r="L2935" i="2"/>
  <c r="L2936" i="2"/>
  <c r="L2937" i="2"/>
  <c r="L2938" i="2"/>
  <c r="L2939" i="2"/>
  <c r="L2940" i="2"/>
  <c r="L2941" i="2"/>
  <c r="L2942" i="2"/>
  <c r="L2943" i="2"/>
  <c r="L2944" i="2"/>
  <c r="L2945" i="2"/>
  <c r="L2946" i="2"/>
  <c r="L2947" i="2"/>
  <c r="L2948" i="2"/>
  <c r="L2949" i="2"/>
  <c r="L2950" i="2"/>
  <c r="L2951" i="2"/>
  <c r="L2952" i="2"/>
  <c r="L2953" i="2"/>
  <c r="L2954" i="2"/>
  <c r="L2955" i="2"/>
  <c r="L2956" i="2"/>
  <c r="L2957" i="2"/>
  <c r="L2958" i="2"/>
  <c r="L2959" i="2"/>
  <c r="L2960" i="2"/>
  <c r="L2961" i="2"/>
  <c r="L2962" i="2"/>
  <c r="L2963" i="2"/>
  <c r="L2964" i="2"/>
  <c r="L2965" i="2"/>
  <c r="L2966" i="2"/>
  <c r="L2967" i="2"/>
  <c r="L2968" i="2"/>
  <c r="L2969" i="2"/>
  <c r="L2970" i="2"/>
  <c r="L2971" i="2"/>
  <c r="L2972" i="2"/>
  <c r="L2973" i="2"/>
  <c r="L2974" i="2"/>
  <c r="L2975" i="2"/>
  <c r="L2976" i="2"/>
  <c r="L2977" i="2"/>
  <c r="L2978" i="2"/>
  <c r="L2979" i="2"/>
  <c r="L2980" i="2"/>
  <c r="L2981" i="2"/>
  <c r="L2982" i="2"/>
  <c r="L2983" i="2"/>
  <c r="L2984" i="2"/>
  <c r="L2985" i="2"/>
  <c r="L2986" i="2"/>
  <c r="L2987" i="2"/>
  <c r="L2988" i="2"/>
  <c r="L2989" i="2"/>
  <c r="L2990" i="2"/>
  <c r="L2991" i="2"/>
  <c r="L2992" i="2"/>
  <c r="L2993" i="2"/>
  <c r="L2994" i="2"/>
  <c r="L2995" i="2"/>
  <c r="L2996" i="2"/>
  <c r="L2997" i="2"/>
  <c r="L2998" i="2"/>
  <c r="L2999" i="2"/>
  <c r="L3000" i="2"/>
  <c r="L3001" i="2"/>
  <c r="L3002" i="2"/>
  <c r="L3003" i="2"/>
  <c r="L3004" i="2"/>
  <c r="L3005" i="2"/>
  <c r="L3006" i="2"/>
  <c r="L3007" i="2"/>
  <c r="L3008" i="2"/>
  <c r="L3009" i="2"/>
  <c r="L3010" i="2"/>
  <c r="L3011" i="2"/>
  <c r="L3012" i="2"/>
  <c r="L3013" i="2"/>
  <c r="L3014" i="2"/>
  <c r="L3015" i="2"/>
  <c r="L3016" i="2"/>
  <c r="L3017" i="2"/>
  <c r="L3018" i="2"/>
  <c r="L3019" i="2"/>
  <c r="L3020" i="2"/>
  <c r="L3021" i="2"/>
  <c r="L3022" i="2"/>
  <c r="L3023" i="2"/>
  <c r="L3024" i="2"/>
  <c r="L3025" i="2"/>
  <c r="L3026" i="2"/>
  <c r="L3027" i="2"/>
  <c r="L3028" i="2"/>
  <c r="L3029" i="2"/>
  <c r="L3030" i="2"/>
  <c r="L3031" i="2"/>
  <c r="L3032" i="2"/>
  <c r="L3033" i="2"/>
  <c r="L3034" i="2"/>
  <c r="L3035" i="2"/>
  <c r="L3036" i="2"/>
  <c r="L3037" i="2"/>
  <c r="L3038" i="2"/>
  <c r="L3039" i="2"/>
  <c r="L3040" i="2"/>
  <c r="L3041" i="2"/>
  <c r="L3042" i="2"/>
  <c r="L3043" i="2"/>
  <c r="L3044" i="2"/>
  <c r="L3045" i="2"/>
  <c r="L3046" i="2"/>
  <c r="L3047" i="2"/>
  <c r="L3048" i="2"/>
  <c r="L3049" i="2"/>
  <c r="L3050" i="2"/>
  <c r="L3051" i="2"/>
  <c r="L3052" i="2"/>
  <c r="L3053" i="2"/>
  <c r="L3054" i="2"/>
  <c r="L3055" i="2"/>
  <c r="L3056" i="2"/>
  <c r="L3057" i="2"/>
  <c r="L3058" i="2"/>
  <c r="L3059" i="2"/>
  <c r="L3060" i="2"/>
  <c r="L3061" i="2"/>
  <c r="L3062" i="2"/>
  <c r="L3063" i="2"/>
  <c r="L3064" i="2"/>
  <c r="L3065" i="2"/>
  <c r="L3066" i="2"/>
  <c r="L3067" i="2"/>
  <c r="L3068" i="2"/>
  <c r="L3069" i="2"/>
  <c r="L3070" i="2"/>
  <c r="L3071" i="2"/>
  <c r="L3072" i="2"/>
  <c r="L3073" i="2"/>
  <c r="L3074" i="2"/>
  <c r="L3075" i="2"/>
  <c r="L3076" i="2"/>
  <c r="L3077" i="2"/>
  <c r="L3078" i="2"/>
  <c r="L3079" i="2"/>
  <c r="L3080" i="2"/>
  <c r="L3081" i="2"/>
  <c r="L3082" i="2"/>
  <c r="L3083" i="2"/>
  <c r="L3084" i="2"/>
  <c r="L3085" i="2"/>
  <c r="L3086" i="2"/>
  <c r="L3087" i="2"/>
  <c r="L3088" i="2"/>
  <c r="L3089" i="2"/>
  <c r="L3090" i="2"/>
  <c r="L3091" i="2"/>
  <c r="L3092" i="2"/>
  <c r="L3093" i="2"/>
  <c r="L3094" i="2"/>
  <c r="L3095" i="2"/>
  <c r="L3096" i="2"/>
  <c r="L3097" i="2"/>
  <c r="L3098" i="2"/>
  <c r="L3099" i="2"/>
  <c r="L3100" i="2"/>
  <c r="L3101" i="2"/>
  <c r="L3102" i="2"/>
  <c r="L3103" i="2"/>
  <c r="L3104" i="2"/>
  <c r="L3105" i="2"/>
  <c r="L3106" i="2"/>
  <c r="L3107" i="2"/>
  <c r="L3108" i="2"/>
  <c r="L3109" i="2"/>
  <c r="L3110" i="2"/>
  <c r="L3111" i="2"/>
  <c r="L3112" i="2"/>
  <c r="L3113" i="2"/>
  <c r="L3114" i="2"/>
  <c r="L3115" i="2"/>
  <c r="L3116" i="2"/>
  <c r="L3117" i="2"/>
  <c r="L3118" i="2"/>
  <c r="L3119" i="2"/>
  <c r="L3120" i="2"/>
  <c r="L3121" i="2"/>
  <c r="L3122" i="2"/>
  <c r="L3123" i="2"/>
  <c r="L3124" i="2"/>
  <c r="L3125" i="2"/>
  <c r="L3126" i="2"/>
  <c r="L3127" i="2"/>
  <c r="L3128" i="2"/>
  <c r="L3129" i="2"/>
  <c r="L3130" i="2"/>
  <c r="L3131" i="2"/>
  <c r="L3132" i="2"/>
  <c r="L3133" i="2"/>
  <c r="L3134" i="2"/>
  <c r="L3135" i="2"/>
  <c r="L3136" i="2"/>
  <c r="L3137" i="2"/>
  <c r="L3138" i="2"/>
  <c r="L3139" i="2"/>
  <c r="L3140" i="2"/>
  <c r="L3141" i="2"/>
  <c r="L3142" i="2"/>
  <c r="L3143" i="2"/>
  <c r="L3144" i="2"/>
  <c r="L3145" i="2"/>
  <c r="L3146" i="2"/>
  <c r="L3147" i="2"/>
  <c r="L3148" i="2"/>
  <c r="L3149" i="2"/>
  <c r="L3150" i="2"/>
  <c r="L3151" i="2"/>
  <c r="L3152" i="2"/>
  <c r="L3153" i="2"/>
  <c r="L3154" i="2"/>
  <c r="L3155" i="2"/>
  <c r="L3156" i="2"/>
  <c r="L3157" i="2"/>
  <c r="L3158" i="2"/>
  <c r="L3159" i="2"/>
  <c r="L3160" i="2"/>
  <c r="L3161" i="2"/>
  <c r="L3162" i="2"/>
  <c r="L3163" i="2"/>
  <c r="L3164" i="2"/>
  <c r="L3165" i="2"/>
  <c r="L3166" i="2"/>
  <c r="L3167" i="2"/>
  <c r="L3168" i="2"/>
  <c r="L3169" i="2"/>
  <c r="L3170" i="2"/>
  <c r="L3171" i="2"/>
  <c r="L3172" i="2"/>
  <c r="L3173" i="2"/>
  <c r="L3174" i="2"/>
  <c r="L3175" i="2"/>
  <c r="L3176" i="2"/>
  <c r="L3177" i="2"/>
  <c r="L3178" i="2"/>
  <c r="L3179" i="2"/>
  <c r="L3180" i="2"/>
  <c r="L3181" i="2"/>
  <c r="L3182" i="2"/>
  <c r="L3183" i="2"/>
  <c r="L3184" i="2"/>
  <c r="L3185" i="2"/>
  <c r="L3186" i="2"/>
  <c r="L3187" i="2"/>
  <c r="L3188" i="2"/>
  <c r="L3189" i="2"/>
  <c r="L3190" i="2"/>
  <c r="L3191" i="2"/>
  <c r="L3192" i="2"/>
  <c r="L3193" i="2"/>
  <c r="L3194" i="2"/>
  <c r="L3195" i="2"/>
  <c r="L3196" i="2"/>
  <c r="L3197" i="2"/>
  <c r="L3198" i="2"/>
  <c r="L3199" i="2"/>
  <c r="L3200" i="2"/>
  <c r="L3201" i="2"/>
  <c r="L3202" i="2"/>
  <c r="L3203" i="2"/>
  <c r="L3204" i="2"/>
  <c r="L3205" i="2"/>
  <c r="L3206" i="2"/>
  <c r="L3207" i="2"/>
  <c r="L3208" i="2"/>
  <c r="L3209" i="2"/>
  <c r="L3210" i="2"/>
  <c r="L3211" i="2"/>
  <c r="L3212" i="2"/>
  <c r="L3213" i="2"/>
  <c r="L3214" i="2"/>
  <c r="L3215" i="2"/>
  <c r="L3216" i="2"/>
  <c r="L3217" i="2"/>
  <c r="L3218" i="2"/>
  <c r="L3219" i="2"/>
  <c r="L3220" i="2"/>
  <c r="L3221" i="2"/>
  <c r="L3222" i="2"/>
  <c r="L3223" i="2"/>
  <c r="L3224" i="2"/>
  <c r="L3225" i="2"/>
  <c r="L3226" i="2"/>
  <c r="L3227" i="2"/>
  <c r="L3228" i="2"/>
  <c r="L3229" i="2"/>
  <c r="L3230" i="2"/>
  <c r="L3231" i="2"/>
  <c r="L3232" i="2"/>
  <c r="L3233" i="2"/>
  <c r="L3234" i="2"/>
  <c r="L3235" i="2"/>
  <c r="L3236" i="2"/>
  <c r="L3237" i="2"/>
  <c r="L3238" i="2"/>
  <c r="L3239" i="2"/>
  <c r="L3240" i="2"/>
  <c r="L3241" i="2"/>
  <c r="L3242" i="2"/>
  <c r="L3243" i="2"/>
  <c r="L3244" i="2"/>
  <c r="L3245" i="2"/>
  <c r="L3246" i="2"/>
  <c r="L3247" i="2"/>
  <c r="L3248" i="2"/>
  <c r="L3249" i="2"/>
  <c r="L3250" i="2"/>
  <c r="L3251" i="2"/>
  <c r="L3252" i="2"/>
  <c r="L3253" i="2"/>
  <c r="L3254" i="2"/>
  <c r="L3255" i="2"/>
  <c r="L3256" i="2"/>
  <c r="L3257" i="2"/>
  <c r="L3258" i="2"/>
  <c r="L3259" i="2"/>
  <c r="L3260" i="2"/>
  <c r="L3261" i="2"/>
  <c r="L3262" i="2"/>
  <c r="L3263" i="2"/>
  <c r="L3264" i="2"/>
  <c r="L3265" i="2"/>
  <c r="L3266" i="2"/>
  <c r="L3267" i="2"/>
  <c r="L3268" i="2"/>
  <c r="L3269" i="2"/>
  <c r="L3270" i="2"/>
  <c r="L3271" i="2"/>
  <c r="L3272" i="2"/>
  <c r="L3273" i="2"/>
  <c r="L3274" i="2"/>
  <c r="L3275" i="2"/>
  <c r="L3276" i="2"/>
  <c r="L3277" i="2"/>
  <c r="L3278" i="2"/>
  <c r="L3279" i="2"/>
  <c r="L3280" i="2"/>
  <c r="L3281" i="2"/>
  <c r="L3282" i="2"/>
  <c r="L3283" i="2"/>
  <c r="L3284" i="2"/>
  <c r="L3285" i="2"/>
  <c r="L3286" i="2"/>
  <c r="L3287" i="2"/>
  <c r="L3288" i="2"/>
  <c r="L3289" i="2"/>
  <c r="L3290" i="2"/>
  <c r="L3291" i="2"/>
  <c r="L3292" i="2"/>
  <c r="L3293" i="2"/>
  <c r="L3294" i="2"/>
  <c r="L3295" i="2"/>
  <c r="L3296" i="2"/>
  <c r="L3297" i="2"/>
  <c r="L3298" i="2"/>
  <c r="L3299" i="2"/>
  <c r="L3300" i="2"/>
  <c r="L3301" i="2"/>
  <c r="L3302" i="2"/>
  <c r="L3303" i="2"/>
  <c r="L3304" i="2"/>
  <c r="L3305" i="2"/>
  <c r="L3306" i="2"/>
  <c r="L3307" i="2"/>
  <c r="L3308" i="2"/>
  <c r="L3309" i="2"/>
  <c r="L3310" i="2"/>
  <c r="L3311" i="2"/>
  <c r="L3312" i="2"/>
  <c r="L3313" i="2"/>
  <c r="L3314" i="2"/>
  <c r="L3315" i="2"/>
  <c r="L3316" i="2"/>
  <c r="L3317" i="2"/>
  <c r="L3318" i="2"/>
  <c r="L3319" i="2"/>
  <c r="L3320" i="2"/>
  <c r="L3321" i="2"/>
  <c r="L3322" i="2"/>
  <c r="L3323" i="2"/>
  <c r="L3324" i="2"/>
  <c r="L3325" i="2"/>
  <c r="L3326" i="2"/>
  <c r="L3327" i="2"/>
  <c r="L3328" i="2"/>
  <c r="L3329" i="2"/>
  <c r="L3330" i="2"/>
  <c r="L3331" i="2"/>
  <c r="L3332" i="2"/>
  <c r="L3333" i="2"/>
  <c r="L3334" i="2"/>
  <c r="L3335" i="2"/>
  <c r="L3336" i="2"/>
  <c r="L3337" i="2"/>
  <c r="L3338" i="2"/>
  <c r="L3339" i="2"/>
  <c r="L3340" i="2"/>
  <c r="L3341" i="2"/>
  <c r="L3342" i="2"/>
  <c r="L3343" i="2"/>
  <c r="L3344" i="2"/>
  <c r="L3345" i="2"/>
  <c r="L3346" i="2"/>
  <c r="L3347" i="2"/>
  <c r="L3348" i="2"/>
  <c r="L3349" i="2"/>
  <c r="L3350" i="2"/>
  <c r="L3351" i="2"/>
  <c r="L3352" i="2"/>
  <c r="L3353" i="2"/>
  <c r="L3354" i="2"/>
  <c r="L3355" i="2"/>
  <c r="L3356" i="2"/>
  <c r="L3357" i="2"/>
  <c r="L3358" i="2"/>
  <c r="L3359" i="2"/>
  <c r="L3360" i="2"/>
  <c r="L3361" i="2"/>
  <c r="L3362" i="2"/>
  <c r="L3363" i="2"/>
  <c r="L3364" i="2"/>
  <c r="L3365" i="2"/>
  <c r="L3366" i="2"/>
  <c r="L3367" i="2"/>
  <c r="L3368" i="2"/>
  <c r="L3369" i="2"/>
  <c r="L3370" i="2"/>
  <c r="L3371" i="2"/>
  <c r="L3372" i="2"/>
  <c r="L3373" i="2"/>
  <c r="L3374" i="2"/>
  <c r="L3375" i="2"/>
  <c r="L3376" i="2"/>
  <c r="L3377" i="2"/>
  <c r="L3378" i="2"/>
  <c r="L3379" i="2"/>
  <c r="L3380" i="2"/>
  <c r="L3381" i="2"/>
  <c r="L3382" i="2"/>
  <c r="L3383" i="2"/>
  <c r="L3384" i="2"/>
  <c r="L3385" i="2"/>
  <c r="L3386" i="2"/>
  <c r="L3387" i="2"/>
  <c r="L3388" i="2"/>
  <c r="L3389" i="2"/>
  <c r="L3390" i="2"/>
  <c r="L3391" i="2"/>
  <c r="L3392" i="2"/>
  <c r="L3393" i="2"/>
  <c r="L3394" i="2"/>
  <c r="L3395" i="2"/>
  <c r="L3396" i="2"/>
  <c r="L3397" i="2"/>
  <c r="L3398" i="2"/>
  <c r="L3399" i="2"/>
  <c r="L3400" i="2"/>
  <c r="L3401" i="2"/>
  <c r="L3402" i="2"/>
  <c r="L3403" i="2"/>
  <c r="L3404" i="2"/>
  <c r="L3405" i="2"/>
  <c r="L3406" i="2"/>
  <c r="L3407" i="2"/>
  <c r="L3408" i="2"/>
  <c r="L3409" i="2"/>
  <c r="L3410" i="2"/>
  <c r="L3411" i="2"/>
  <c r="L3412" i="2"/>
  <c r="L3413" i="2"/>
  <c r="L3414" i="2"/>
  <c r="L3415" i="2"/>
  <c r="L3416" i="2"/>
  <c r="L3417" i="2"/>
  <c r="L3418" i="2"/>
  <c r="L3419" i="2"/>
  <c r="L3420" i="2"/>
  <c r="L3421" i="2"/>
  <c r="L3422" i="2"/>
  <c r="L3423" i="2"/>
  <c r="L3424" i="2"/>
  <c r="L3425" i="2"/>
  <c r="L3426" i="2"/>
  <c r="L3427" i="2"/>
  <c r="L3428" i="2"/>
  <c r="L3429" i="2"/>
  <c r="L3430" i="2"/>
  <c r="L3431" i="2"/>
  <c r="L3432" i="2"/>
  <c r="L3433" i="2"/>
  <c r="L3434" i="2"/>
  <c r="L3435" i="2"/>
  <c r="L3436" i="2"/>
  <c r="L3437" i="2"/>
  <c r="L3438" i="2"/>
  <c r="L3439" i="2"/>
  <c r="L3440" i="2"/>
  <c r="L3441" i="2"/>
  <c r="L3442" i="2"/>
  <c r="L3443" i="2"/>
  <c r="L3444" i="2"/>
  <c r="L3445" i="2"/>
  <c r="L3446" i="2"/>
  <c r="L3447" i="2"/>
  <c r="L3448" i="2"/>
  <c r="L3449" i="2"/>
  <c r="L3450" i="2"/>
  <c r="L3451" i="2"/>
  <c r="L3452" i="2"/>
  <c r="L3453" i="2"/>
  <c r="L3454" i="2"/>
  <c r="L3455" i="2"/>
  <c r="L3456" i="2"/>
  <c r="L3457" i="2"/>
  <c r="L3458" i="2"/>
  <c r="L3459" i="2"/>
  <c r="L3460" i="2"/>
  <c r="L3461" i="2"/>
  <c r="L3462" i="2"/>
  <c r="L3463" i="2"/>
  <c r="L3464" i="2"/>
  <c r="L3465" i="2"/>
  <c r="L3466" i="2"/>
  <c r="L3467" i="2"/>
  <c r="L3468" i="2"/>
  <c r="L3469" i="2"/>
  <c r="L3470" i="2"/>
  <c r="L3471" i="2"/>
  <c r="L3472" i="2"/>
  <c r="L3473" i="2"/>
  <c r="L3474" i="2"/>
  <c r="L3475" i="2"/>
  <c r="L3476" i="2"/>
  <c r="L3477" i="2"/>
  <c r="L3478" i="2"/>
  <c r="L3479" i="2"/>
  <c r="L3480" i="2"/>
  <c r="L3481" i="2"/>
  <c r="L3482" i="2"/>
  <c r="L3483" i="2"/>
  <c r="L3484" i="2"/>
  <c r="L3485" i="2"/>
  <c r="L3486" i="2"/>
  <c r="L3487" i="2"/>
  <c r="L3488" i="2"/>
  <c r="L3489" i="2"/>
  <c r="L3490" i="2"/>
  <c r="L3491" i="2"/>
  <c r="L3492" i="2"/>
  <c r="L3493" i="2"/>
  <c r="L3494" i="2"/>
  <c r="L3495" i="2"/>
  <c r="L3496" i="2"/>
  <c r="L3497" i="2"/>
  <c r="L3498" i="2"/>
  <c r="L3499" i="2"/>
  <c r="L3500" i="2"/>
  <c r="L3501" i="2"/>
  <c r="L3502" i="2"/>
  <c r="L3503" i="2"/>
  <c r="L3504" i="2"/>
  <c r="L3505" i="2"/>
  <c r="L3506" i="2"/>
  <c r="L3507" i="2"/>
  <c r="L3508" i="2"/>
  <c r="L3509" i="2"/>
  <c r="L3510" i="2"/>
  <c r="L3511" i="2"/>
  <c r="L3512" i="2"/>
  <c r="L3513" i="2"/>
  <c r="L3514" i="2"/>
  <c r="L3515" i="2"/>
  <c r="L3516" i="2"/>
  <c r="L3517" i="2"/>
  <c r="L3518" i="2"/>
  <c r="L3519" i="2"/>
  <c r="L3520" i="2"/>
  <c r="L3521" i="2"/>
  <c r="L3522" i="2"/>
  <c r="L3523" i="2"/>
  <c r="L3524" i="2"/>
  <c r="L3525" i="2"/>
  <c r="L3526" i="2"/>
  <c r="L3527" i="2"/>
  <c r="L3528" i="2"/>
  <c r="L3529" i="2"/>
  <c r="L3530" i="2"/>
  <c r="L3531" i="2"/>
  <c r="L3532" i="2"/>
  <c r="L3533" i="2"/>
  <c r="L3534" i="2"/>
  <c r="L3535" i="2"/>
  <c r="L3536" i="2"/>
  <c r="L3537" i="2"/>
  <c r="L3538" i="2"/>
  <c r="L3539" i="2"/>
  <c r="L3540" i="2"/>
  <c r="L3541" i="2"/>
  <c r="L3542" i="2"/>
  <c r="L3543" i="2"/>
  <c r="L3544" i="2"/>
  <c r="L3545" i="2"/>
  <c r="L3546" i="2"/>
  <c r="L3547" i="2"/>
  <c r="L3548" i="2"/>
  <c r="L3549" i="2"/>
  <c r="L3550" i="2"/>
  <c r="L3551" i="2"/>
  <c r="L3552" i="2"/>
  <c r="L3553" i="2"/>
  <c r="L3554" i="2"/>
  <c r="L3555" i="2"/>
  <c r="L3556" i="2"/>
  <c r="L3557" i="2"/>
  <c r="L3558" i="2"/>
  <c r="L3559" i="2"/>
  <c r="L3560" i="2"/>
  <c r="L3561" i="2"/>
  <c r="L3562" i="2"/>
  <c r="L3563" i="2"/>
  <c r="L3564" i="2"/>
  <c r="L3565" i="2"/>
  <c r="L3566" i="2"/>
  <c r="L3567" i="2"/>
  <c r="L3568" i="2"/>
  <c r="L3569" i="2"/>
  <c r="L3570" i="2"/>
  <c r="L3571" i="2"/>
  <c r="L3572" i="2"/>
  <c r="L3573" i="2"/>
  <c r="L3574" i="2"/>
  <c r="L3575" i="2"/>
  <c r="L3576" i="2"/>
  <c r="L3577" i="2"/>
  <c r="L3578" i="2"/>
  <c r="L3579" i="2"/>
  <c r="L3580" i="2"/>
  <c r="L3581" i="2"/>
  <c r="L3582" i="2"/>
  <c r="L3583" i="2"/>
  <c r="L3584" i="2"/>
  <c r="L3585" i="2"/>
  <c r="L3586" i="2"/>
  <c r="L3587" i="2"/>
  <c r="L3588" i="2"/>
  <c r="L3589" i="2"/>
  <c r="L3590" i="2"/>
  <c r="L3591" i="2"/>
  <c r="L3592" i="2"/>
  <c r="L3593" i="2"/>
  <c r="L3594" i="2"/>
  <c r="L3595" i="2"/>
  <c r="L3596" i="2"/>
  <c r="L3597" i="2"/>
  <c r="L3598" i="2"/>
  <c r="L3599" i="2"/>
  <c r="L3600" i="2"/>
  <c r="L3601" i="2"/>
  <c r="L3602" i="2"/>
  <c r="L3603" i="2"/>
  <c r="L3604" i="2"/>
  <c r="L3605" i="2"/>
  <c r="L3606" i="2"/>
  <c r="L3607" i="2"/>
  <c r="L3608" i="2"/>
  <c r="L3609" i="2"/>
  <c r="L3610" i="2"/>
  <c r="L3611" i="2"/>
  <c r="L3612" i="2"/>
  <c r="L3613" i="2"/>
  <c r="L3614" i="2"/>
  <c r="L3615" i="2"/>
  <c r="L3616" i="2"/>
  <c r="L3617" i="2"/>
  <c r="L3618" i="2"/>
  <c r="L3619" i="2"/>
  <c r="L3620" i="2"/>
  <c r="L3621" i="2"/>
  <c r="L3622" i="2"/>
  <c r="L3623" i="2"/>
  <c r="L3624" i="2"/>
  <c r="L3625" i="2"/>
  <c r="L3626" i="2"/>
  <c r="L3627" i="2"/>
  <c r="L3628" i="2"/>
  <c r="L3629" i="2"/>
  <c r="L3630" i="2"/>
  <c r="L3631" i="2"/>
  <c r="L3632" i="2"/>
  <c r="L3633" i="2"/>
  <c r="L3634" i="2"/>
  <c r="L3635" i="2"/>
  <c r="L3636" i="2"/>
  <c r="L3637" i="2"/>
  <c r="L3638" i="2"/>
  <c r="L3639" i="2"/>
  <c r="L3640" i="2"/>
  <c r="L3641" i="2"/>
  <c r="L3642" i="2"/>
  <c r="L3643" i="2"/>
  <c r="L3644" i="2"/>
  <c r="L3645" i="2"/>
  <c r="L3646" i="2"/>
  <c r="L3647" i="2"/>
  <c r="L3648" i="2"/>
  <c r="L3649" i="2"/>
  <c r="L3650" i="2"/>
  <c r="L3651" i="2"/>
  <c r="L3652" i="2"/>
  <c r="L3653" i="2"/>
  <c r="L3654" i="2"/>
  <c r="L3655" i="2"/>
  <c r="L3656" i="2"/>
  <c r="L3657" i="2"/>
  <c r="L3658" i="2"/>
  <c r="L3659" i="2"/>
  <c r="L3660" i="2"/>
  <c r="L3661" i="2"/>
  <c r="L3662" i="2"/>
  <c r="L3663" i="2"/>
  <c r="L3664" i="2"/>
  <c r="L3665" i="2"/>
  <c r="L3666" i="2"/>
  <c r="L3667" i="2"/>
  <c r="L3668" i="2"/>
  <c r="L3669" i="2"/>
  <c r="L3670" i="2"/>
  <c r="L3671" i="2"/>
  <c r="L3672" i="2"/>
  <c r="L3673" i="2"/>
  <c r="L3674" i="2"/>
  <c r="L3675" i="2"/>
  <c r="L3676" i="2"/>
  <c r="L3677" i="2"/>
  <c r="L3678" i="2"/>
  <c r="L3679" i="2"/>
  <c r="L3680" i="2"/>
  <c r="L3681" i="2"/>
  <c r="L3682" i="2"/>
  <c r="L3683" i="2"/>
  <c r="L3684" i="2"/>
  <c r="L3685" i="2"/>
  <c r="L3686" i="2"/>
  <c r="L3687" i="2"/>
  <c r="L3688" i="2"/>
  <c r="L3689" i="2"/>
  <c r="L3690" i="2"/>
  <c r="L3691" i="2"/>
  <c r="L3692" i="2"/>
  <c r="L3693" i="2"/>
  <c r="L3694" i="2"/>
  <c r="L3695" i="2"/>
  <c r="L3696" i="2"/>
  <c r="L3697" i="2"/>
  <c r="L3698" i="2"/>
  <c r="L3699" i="2"/>
  <c r="L3700" i="2"/>
  <c r="L3701" i="2"/>
  <c r="L3702" i="2"/>
  <c r="L3703" i="2"/>
  <c r="L3704" i="2"/>
  <c r="L3705" i="2"/>
  <c r="L3706" i="2"/>
  <c r="L3707" i="2"/>
  <c r="L3708" i="2"/>
  <c r="L3709" i="2"/>
  <c r="L3710" i="2"/>
  <c r="L3711" i="2"/>
  <c r="L3712" i="2"/>
  <c r="L3713" i="2"/>
  <c r="L3714" i="2"/>
  <c r="L3715" i="2"/>
  <c r="L3716" i="2"/>
  <c r="L3717" i="2"/>
  <c r="L3718" i="2"/>
  <c r="L3719" i="2"/>
  <c r="L3720" i="2"/>
  <c r="L3721" i="2"/>
  <c r="L3722" i="2"/>
  <c r="L3723" i="2"/>
  <c r="L3724" i="2"/>
  <c r="L3725" i="2"/>
  <c r="L3726" i="2"/>
  <c r="L3727" i="2"/>
  <c r="L3728" i="2"/>
  <c r="L3729" i="2"/>
  <c r="L3730" i="2"/>
  <c r="L3731" i="2"/>
  <c r="L3732" i="2"/>
  <c r="L3733" i="2"/>
  <c r="L3734" i="2"/>
  <c r="L3735" i="2"/>
  <c r="L3736" i="2"/>
  <c r="L3737" i="2"/>
  <c r="L3738" i="2"/>
  <c r="L3739" i="2"/>
  <c r="L3740" i="2"/>
  <c r="L3741" i="2"/>
  <c r="L3742" i="2"/>
  <c r="L3743" i="2"/>
  <c r="L3744" i="2"/>
  <c r="L3745" i="2"/>
  <c r="L3746" i="2"/>
  <c r="L3747" i="2"/>
  <c r="L3748" i="2"/>
  <c r="L3749" i="2"/>
  <c r="L3750" i="2"/>
  <c r="L3751" i="2"/>
  <c r="L3752" i="2"/>
  <c r="L3753" i="2"/>
  <c r="L3754" i="2"/>
  <c r="L3755" i="2"/>
  <c r="L3756" i="2"/>
  <c r="L3757" i="2"/>
  <c r="L3758" i="2"/>
  <c r="L3759" i="2"/>
  <c r="L3760" i="2"/>
  <c r="L3761" i="2"/>
  <c r="L3762" i="2"/>
  <c r="L3763" i="2"/>
  <c r="L3764" i="2"/>
  <c r="L3765" i="2"/>
  <c r="L3766" i="2"/>
  <c r="L3767" i="2"/>
  <c r="L3768" i="2"/>
  <c r="L3769" i="2"/>
  <c r="L3770" i="2"/>
  <c r="L3771" i="2"/>
  <c r="L3772" i="2"/>
  <c r="L3773" i="2"/>
  <c r="L3774" i="2"/>
  <c r="L3775" i="2"/>
  <c r="L3776" i="2"/>
  <c r="L3777" i="2"/>
  <c r="L3778" i="2"/>
  <c r="L3779" i="2"/>
  <c r="L3780" i="2"/>
  <c r="L3781" i="2"/>
  <c r="L3782" i="2"/>
  <c r="L3783" i="2"/>
  <c r="L3784" i="2"/>
  <c r="L3785" i="2"/>
  <c r="L3786" i="2"/>
  <c r="L3787" i="2"/>
  <c r="L3788" i="2"/>
  <c r="L3789" i="2"/>
  <c r="L3790" i="2"/>
  <c r="L3791" i="2"/>
  <c r="L3792" i="2"/>
  <c r="L3793" i="2"/>
  <c r="L3794" i="2"/>
  <c r="L3795" i="2"/>
  <c r="L3796" i="2"/>
  <c r="L3797" i="2"/>
  <c r="L3798" i="2"/>
  <c r="L3799" i="2"/>
  <c r="L3800" i="2"/>
  <c r="L3801" i="2"/>
  <c r="L3802" i="2"/>
  <c r="L3803" i="2"/>
  <c r="L3804" i="2"/>
  <c r="L3805" i="2"/>
  <c r="L3806" i="2"/>
  <c r="L3807" i="2"/>
  <c r="L3808" i="2"/>
  <c r="L3809" i="2"/>
  <c r="L3810" i="2"/>
  <c r="L3811" i="2"/>
  <c r="L3812" i="2"/>
  <c r="L3813" i="2"/>
  <c r="L3814" i="2"/>
  <c r="L3815" i="2"/>
  <c r="L3816" i="2"/>
  <c r="L3817" i="2"/>
  <c r="L3818" i="2"/>
  <c r="L3819" i="2"/>
  <c r="L3820" i="2"/>
  <c r="L3821" i="2"/>
  <c r="L3822" i="2"/>
  <c r="L3823" i="2"/>
  <c r="L3824" i="2"/>
  <c r="L3825" i="2"/>
  <c r="L3826" i="2"/>
  <c r="L3827" i="2"/>
  <c r="L3828" i="2"/>
  <c r="L3829" i="2"/>
  <c r="L3830" i="2"/>
  <c r="L3831" i="2"/>
  <c r="L3832" i="2"/>
  <c r="L3833" i="2"/>
  <c r="L3834" i="2"/>
  <c r="L3835" i="2"/>
  <c r="L3836" i="2"/>
  <c r="L3837" i="2"/>
  <c r="L3838" i="2"/>
  <c r="L3839" i="2"/>
  <c r="L3840" i="2"/>
  <c r="L3841" i="2"/>
  <c r="L3842" i="2"/>
  <c r="L3843" i="2"/>
  <c r="L3844" i="2"/>
  <c r="L3845" i="2"/>
  <c r="L3846" i="2"/>
  <c r="L3847" i="2"/>
  <c r="L3848" i="2"/>
  <c r="L3849" i="2"/>
  <c r="L3850" i="2"/>
  <c r="L3851" i="2"/>
  <c r="L3852" i="2"/>
  <c r="L3853" i="2"/>
  <c r="L3854" i="2"/>
  <c r="L3855" i="2"/>
  <c r="L3856" i="2"/>
  <c r="L3857" i="2"/>
  <c r="L3858" i="2"/>
  <c r="L3859" i="2"/>
  <c r="L3860" i="2"/>
  <c r="L3861" i="2"/>
  <c r="L3862" i="2"/>
  <c r="L3863" i="2"/>
  <c r="L3864" i="2"/>
  <c r="L3865" i="2"/>
  <c r="L3866" i="2"/>
  <c r="L3867" i="2"/>
  <c r="L3868" i="2"/>
  <c r="L3869" i="2"/>
  <c r="L3870" i="2"/>
  <c r="L3871" i="2"/>
  <c r="L3872" i="2"/>
  <c r="L3873" i="2"/>
  <c r="L3874" i="2"/>
  <c r="L3875" i="2"/>
  <c r="L3876" i="2"/>
  <c r="L3877" i="2"/>
  <c r="L3878" i="2"/>
  <c r="L3879" i="2"/>
  <c r="L3880" i="2"/>
  <c r="L3881" i="2"/>
  <c r="L3882" i="2"/>
  <c r="L3883" i="2"/>
  <c r="L3884" i="2"/>
  <c r="L3885" i="2"/>
  <c r="L3886" i="2"/>
  <c r="L3887" i="2"/>
  <c r="L3888" i="2"/>
  <c r="L3889" i="2"/>
  <c r="L3890" i="2"/>
  <c r="L3891" i="2"/>
  <c r="L3892" i="2"/>
  <c r="L3893" i="2"/>
  <c r="L3894" i="2"/>
  <c r="L3895" i="2"/>
  <c r="L3896" i="2"/>
  <c r="L3897" i="2"/>
  <c r="L3898" i="2"/>
  <c r="L3899" i="2"/>
  <c r="L3900" i="2"/>
  <c r="L3901" i="2"/>
  <c r="L3902" i="2"/>
  <c r="L3903" i="2"/>
  <c r="L3904" i="2"/>
  <c r="L3905" i="2"/>
  <c r="L3906" i="2"/>
  <c r="L3907" i="2"/>
  <c r="L3908" i="2"/>
  <c r="L3909" i="2"/>
  <c r="L3910" i="2"/>
  <c r="L3911" i="2"/>
  <c r="L3912" i="2"/>
  <c r="L3913" i="2"/>
  <c r="L3914" i="2"/>
  <c r="L3915" i="2"/>
  <c r="L3916" i="2"/>
  <c r="L3917" i="2"/>
  <c r="L3918" i="2"/>
  <c r="L3919" i="2"/>
  <c r="L3920" i="2"/>
  <c r="L3921" i="2"/>
  <c r="L3922" i="2"/>
  <c r="L3923" i="2"/>
  <c r="L3924" i="2"/>
  <c r="L3925" i="2"/>
  <c r="L3926" i="2"/>
  <c r="L3927" i="2"/>
  <c r="L3928" i="2"/>
  <c r="L3929" i="2"/>
  <c r="L3930" i="2"/>
  <c r="L3931" i="2"/>
  <c r="L3932" i="2"/>
  <c r="L3933" i="2"/>
  <c r="L3934" i="2"/>
  <c r="L3935" i="2"/>
  <c r="L3936" i="2"/>
  <c r="L3937" i="2"/>
  <c r="L3938" i="2"/>
  <c r="L3939" i="2"/>
  <c r="L3940" i="2"/>
  <c r="L3941" i="2"/>
  <c r="L3942" i="2"/>
  <c r="L3943" i="2"/>
  <c r="L3944" i="2"/>
  <c r="L3945" i="2"/>
  <c r="L3946" i="2"/>
  <c r="L3947" i="2"/>
  <c r="L3948" i="2"/>
  <c r="L3949" i="2"/>
  <c r="L3950" i="2"/>
  <c r="L3951" i="2"/>
  <c r="L3952" i="2"/>
  <c r="L3953" i="2"/>
  <c r="L3954" i="2"/>
  <c r="L3955" i="2"/>
  <c r="L3956" i="2"/>
  <c r="L3957" i="2"/>
  <c r="L3958" i="2"/>
  <c r="L3959" i="2"/>
  <c r="L3960" i="2"/>
  <c r="L3961" i="2"/>
  <c r="L3962" i="2"/>
  <c r="L3963" i="2"/>
  <c r="L3964" i="2"/>
  <c r="L3965" i="2"/>
  <c r="L3966" i="2"/>
  <c r="L3967" i="2"/>
  <c r="L3968" i="2"/>
  <c r="L3969" i="2"/>
  <c r="L3970" i="2"/>
  <c r="L3971" i="2"/>
  <c r="L3972" i="2"/>
  <c r="L3973" i="2"/>
  <c r="L3974" i="2"/>
  <c r="L3975" i="2"/>
  <c r="L3976" i="2"/>
  <c r="L3977" i="2"/>
  <c r="L3978" i="2"/>
  <c r="L3979" i="2"/>
  <c r="L3980" i="2"/>
  <c r="L3981" i="2"/>
  <c r="L3982" i="2"/>
  <c r="L3983" i="2"/>
  <c r="L3984" i="2"/>
  <c r="L3985" i="2"/>
  <c r="L3986" i="2"/>
  <c r="L3987" i="2"/>
  <c r="L3988" i="2"/>
  <c r="L3989" i="2"/>
  <c r="L3990" i="2"/>
  <c r="L3991" i="2"/>
  <c r="L3992" i="2"/>
  <c r="L3993" i="2"/>
  <c r="L3994" i="2"/>
  <c r="L3995" i="2"/>
  <c r="L3996" i="2"/>
  <c r="L3997" i="2"/>
  <c r="L3998" i="2"/>
  <c r="L3999" i="2"/>
  <c r="L4000" i="2"/>
  <c r="L4001" i="2"/>
  <c r="L4002" i="2"/>
  <c r="L4003" i="2"/>
  <c r="L4004" i="2"/>
  <c r="L4005" i="2"/>
  <c r="L4006" i="2"/>
  <c r="L4007" i="2"/>
  <c r="L4008" i="2"/>
  <c r="L4009" i="2"/>
  <c r="L4010" i="2"/>
  <c r="L4011" i="2"/>
  <c r="L4012" i="2"/>
  <c r="L4013" i="2"/>
  <c r="L4014" i="2"/>
  <c r="L4015" i="2"/>
  <c r="L4016" i="2"/>
  <c r="L4017" i="2"/>
  <c r="L4018" i="2"/>
  <c r="L4019" i="2"/>
  <c r="L4020" i="2"/>
  <c r="L4021" i="2"/>
  <c r="L4022" i="2"/>
  <c r="L4023" i="2"/>
  <c r="L4024" i="2"/>
  <c r="L4025" i="2"/>
  <c r="L4026" i="2"/>
  <c r="L4027" i="2"/>
  <c r="L4028" i="2"/>
  <c r="L4029" i="2"/>
  <c r="L4030" i="2"/>
  <c r="L4031" i="2"/>
  <c r="L4032" i="2"/>
  <c r="L4033" i="2"/>
  <c r="L4034" i="2"/>
  <c r="L4035" i="2"/>
  <c r="L4036" i="2"/>
  <c r="L4037" i="2"/>
  <c r="L4038" i="2"/>
  <c r="L4039" i="2"/>
  <c r="L4040" i="2"/>
  <c r="L4041" i="2"/>
  <c r="L4042" i="2"/>
  <c r="L4043" i="2"/>
  <c r="L4044" i="2"/>
  <c r="L4045" i="2"/>
  <c r="L4046" i="2"/>
  <c r="L4047" i="2"/>
  <c r="L4048" i="2"/>
  <c r="L4049" i="2"/>
  <c r="L4050" i="2"/>
  <c r="L4051" i="2"/>
  <c r="L4052" i="2"/>
  <c r="L4053" i="2"/>
  <c r="L4054" i="2"/>
  <c r="L4055" i="2"/>
  <c r="L4056" i="2"/>
  <c r="L4057" i="2"/>
  <c r="L4058" i="2"/>
  <c r="L4059" i="2"/>
  <c r="L4060" i="2"/>
  <c r="L4061" i="2"/>
  <c r="L4062" i="2"/>
  <c r="L4063" i="2"/>
  <c r="L4064" i="2"/>
  <c r="L4065" i="2"/>
  <c r="L4066" i="2"/>
  <c r="L4067" i="2"/>
  <c r="L4068" i="2"/>
  <c r="L4069" i="2"/>
  <c r="L4070" i="2"/>
  <c r="L4071" i="2"/>
  <c r="L4072" i="2"/>
  <c r="L4073" i="2"/>
  <c r="L4074" i="2"/>
  <c r="L4075" i="2"/>
  <c r="L4076" i="2"/>
  <c r="L4077" i="2"/>
  <c r="L4078" i="2"/>
  <c r="L4079" i="2"/>
  <c r="L4080" i="2"/>
  <c r="L4081" i="2"/>
  <c r="L4082" i="2"/>
  <c r="L4083" i="2"/>
  <c r="L4084" i="2"/>
  <c r="L4085" i="2"/>
  <c r="L4086" i="2"/>
  <c r="L4087" i="2"/>
  <c r="L4088" i="2"/>
  <c r="L4089" i="2"/>
  <c r="L4090" i="2"/>
  <c r="L4091" i="2"/>
  <c r="L4092" i="2"/>
  <c r="L4093" i="2"/>
  <c r="L4094" i="2"/>
  <c r="L4095" i="2"/>
  <c r="L4096" i="2"/>
  <c r="L4097" i="2"/>
  <c r="L4098" i="2"/>
  <c r="L4099" i="2"/>
  <c r="L4100" i="2"/>
  <c r="L4101" i="2"/>
  <c r="L4102" i="2"/>
  <c r="L4103" i="2"/>
  <c r="L4104" i="2"/>
  <c r="L4105" i="2"/>
  <c r="L4106" i="2"/>
  <c r="L4107" i="2"/>
  <c r="L4108" i="2"/>
  <c r="L4109" i="2"/>
  <c r="L4110" i="2"/>
  <c r="L4111" i="2"/>
  <c r="L4112" i="2"/>
  <c r="L4113" i="2"/>
  <c r="L4114" i="2"/>
  <c r="L4115" i="2"/>
  <c r="L4116" i="2"/>
  <c r="L4117" i="2"/>
  <c r="L4118" i="2"/>
  <c r="L4119" i="2"/>
  <c r="L4120" i="2"/>
  <c r="L4121" i="2"/>
  <c r="L4122" i="2"/>
  <c r="L4123" i="2"/>
  <c r="L4124" i="2"/>
  <c r="L4125" i="2"/>
  <c r="L4126" i="2"/>
  <c r="L4127" i="2"/>
  <c r="L4128" i="2"/>
  <c r="L4129" i="2"/>
  <c r="L4130" i="2"/>
  <c r="L4131" i="2"/>
  <c r="L4132" i="2"/>
  <c r="L4133" i="2"/>
  <c r="L4134" i="2"/>
  <c r="L4135" i="2"/>
  <c r="L4136" i="2"/>
  <c r="L4137" i="2"/>
  <c r="L4138" i="2"/>
  <c r="L4139" i="2"/>
  <c r="L4140" i="2"/>
  <c r="L4141" i="2"/>
  <c r="L4142" i="2"/>
  <c r="L4143" i="2"/>
  <c r="L4144" i="2"/>
  <c r="L4145" i="2"/>
  <c r="L4146" i="2"/>
  <c r="L4147" i="2"/>
  <c r="L4148" i="2"/>
  <c r="L4149" i="2"/>
  <c r="L4150" i="2"/>
  <c r="L4151" i="2"/>
  <c r="L4152" i="2"/>
  <c r="L4153" i="2"/>
  <c r="L4154" i="2"/>
  <c r="L4155" i="2"/>
  <c r="L4156" i="2"/>
  <c r="L4157" i="2"/>
  <c r="L4158" i="2"/>
  <c r="L4159" i="2"/>
  <c r="L4160" i="2"/>
  <c r="L4161" i="2"/>
  <c r="L4162" i="2"/>
  <c r="L4163" i="2"/>
  <c r="L4164" i="2"/>
  <c r="L4165" i="2"/>
  <c r="L4166" i="2"/>
  <c r="L4167" i="2"/>
  <c r="L4168" i="2"/>
  <c r="L4169" i="2"/>
  <c r="L4170" i="2"/>
  <c r="L4171" i="2"/>
  <c r="L4172" i="2"/>
  <c r="L4173" i="2"/>
  <c r="L4174" i="2"/>
  <c r="L4175" i="2"/>
  <c r="L4176" i="2"/>
  <c r="L4177" i="2"/>
  <c r="L4178" i="2"/>
  <c r="L4179" i="2"/>
  <c r="L4180" i="2"/>
  <c r="L4181" i="2"/>
  <c r="L4182" i="2"/>
  <c r="L4183" i="2"/>
  <c r="L4184" i="2"/>
  <c r="L4185" i="2"/>
  <c r="L4186" i="2"/>
  <c r="L4187" i="2"/>
  <c r="L4188" i="2"/>
  <c r="L4189" i="2"/>
  <c r="L4190" i="2"/>
  <c r="L4191" i="2"/>
  <c r="L4192" i="2"/>
  <c r="L4193" i="2"/>
  <c r="L4194" i="2"/>
  <c r="L4195" i="2"/>
  <c r="L4196" i="2"/>
  <c r="L4197" i="2"/>
  <c r="L4198" i="2"/>
  <c r="L4199" i="2"/>
  <c r="L4200" i="2"/>
  <c r="L4201" i="2"/>
  <c r="L4202" i="2"/>
  <c r="L4203" i="2"/>
  <c r="L4204" i="2"/>
  <c r="L4205" i="2"/>
  <c r="L4206" i="2"/>
  <c r="L4207" i="2"/>
  <c r="L4208" i="2"/>
  <c r="L4209" i="2"/>
  <c r="L4210" i="2"/>
  <c r="L4211" i="2"/>
  <c r="L4212" i="2"/>
  <c r="L4213" i="2"/>
  <c r="L4214" i="2"/>
  <c r="L4215" i="2"/>
  <c r="L4216" i="2"/>
  <c r="L4217" i="2"/>
  <c r="L4218" i="2"/>
  <c r="L4219" i="2"/>
  <c r="L4220" i="2"/>
  <c r="L4221" i="2"/>
  <c r="L4222" i="2"/>
  <c r="L4223" i="2"/>
  <c r="L4224" i="2"/>
  <c r="L4225" i="2"/>
  <c r="L4226" i="2"/>
  <c r="L4227" i="2"/>
  <c r="L4228" i="2"/>
  <c r="L4229" i="2"/>
  <c r="L4230" i="2"/>
  <c r="L4231" i="2"/>
  <c r="L4232" i="2"/>
  <c r="L4233" i="2"/>
  <c r="L4234" i="2"/>
  <c r="L4235" i="2"/>
  <c r="L4236" i="2"/>
  <c r="L4237" i="2"/>
  <c r="L4238" i="2"/>
  <c r="L4239" i="2"/>
  <c r="L4240" i="2"/>
  <c r="L4241" i="2"/>
  <c r="L4242" i="2"/>
  <c r="L4243" i="2"/>
  <c r="L4244" i="2"/>
  <c r="L4245" i="2"/>
  <c r="L4246" i="2"/>
  <c r="L4247" i="2"/>
  <c r="L4248" i="2"/>
  <c r="L4249" i="2"/>
  <c r="L4250" i="2"/>
  <c r="L4251" i="2"/>
  <c r="L4252" i="2"/>
  <c r="L4253" i="2"/>
  <c r="L4254" i="2"/>
  <c r="L4255" i="2"/>
  <c r="L4256" i="2"/>
  <c r="L4257" i="2"/>
  <c r="L4258" i="2"/>
  <c r="L4259" i="2"/>
  <c r="L4260" i="2"/>
  <c r="L4261" i="2"/>
  <c r="L4262" i="2"/>
  <c r="L4263" i="2"/>
  <c r="L4264" i="2"/>
  <c r="L4265" i="2"/>
  <c r="L4266" i="2"/>
  <c r="L4267" i="2"/>
  <c r="L4268" i="2"/>
  <c r="L4269" i="2"/>
  <c r="L4270" i="2"/>
  <c r="L4271" i="2"/>
  <c r="L4272" i="2"/>
  <c r="L4273" i="2"/>
  <c r="L4274" i="2"/>
  <c r="L4275" i="2"/>
  <c r="L4276" i="2"/>
  <c r="L4277" i="2"/>
  <c r="L4278" i="2"/>
  <c r="L4279" i="2"/>
  <c r="L4280" i="2"/>
  <c r="L4281" i="2"/>
  <c r="L4282" i="2"/>
  <c r="L4283" i="2"/>
  <c r="L4284" i="2"/>
  <c r="L4285" i="2"/>
  <c r="L4286" i="2"/>
  <c r="L4287" i="2"/>
  <c r="L4288" i="2"/>
  <c r="L4289" i="2"/>
  <c r="L4290" i="2"/>
  <c r="L4291" i="2"/>
  <c r="L4292" i="2"/>
  <c r="L4293" i="2"/>
  <c r="L4294" i="2"/>
  <c r="L4295" i="2"/>
  <c r="L4296" i="2"/>
  <c r="L4297" i="2"/>
  <c r="L4298" i="2"/>
  <c r="L4299" i="2"/>
  <c r="L4300" i="2"/>
  <c r="L4301" i="2"/>
  <c r="L4302" i="2"/>
  <c r="L4303" i="2"/>
  <c r="L4304" i="2"/>
  <c r="L4305" i="2"/>
  <c r="L4306" i="2"/>
  <c r="L4307" i="2"/>
  <c r="L4308" i="2"/>
  <c r="L4309" i="2"/>
  <c r="L4310" i="2"/>
  <c r="L4311" i="2"/>
  <c r="L4312" i="2"/>
  <c r="L4313" i="2"/>
  <c r="L4314" i="2"/>
  <c r="L4315" i="2"/>
  <c r="L4316" i="2"/>
  <c r="L4317" i="2"/>
  <c r="L4318" i="2"/>
  <c r="L4319" i="2"/>
  <c r="L4320" i="2"/>
  <c r="L4321" i="2"/>
  <c r="L4322" i="2"/>
  <c r="L4323" i="2"/>
  <c r="L4324" i="2"/>
  <c r="L4325" i="2"/>
  <c r="L4326" i="2"/>
  <c r="L4327" i="2"/>
  <c r="L4328" i="2"/>
  <c r="L4329" i="2"/>
  <c r="L4330" i="2"/>
  <c r="L4331" i="2"/>
  <c r="L4332" i="2"/>
  <c r="L4333" i="2"/>
  <c r="L4334" i="2"/>
  <c r="L4335" i="2"/>
  <c r="L4336" i="2"/>
  <c r="L4337" i="2"/>
  <c r="L4338" i="2"/>
  <c r="L4339" i="2"/>
  <c r="L4340" i="2"/>
  <c r="L4341" i="2"/>
  <c r="L4342" i="2"/>
  <c r="L4343" i="2"/>
  <c r="L4344" i="2"/>
  <c r="L4345" i="2"/>
  <c r="L4346" i="2"/>
  <c r="L4347" i="2"/>
  <c r="L4348" i="2"/>
  <c r="L4349" i="2"/>
  <c r="L4350" i="2"/>
  <c r="L4351" i="2"/>
  <c r="L4352" i="2"/>
  <c r="L4353" i="2"/>
  <c r="L4354" i="2"/>
  <c r="L4355" i="2"/>
  <c r="L4356" i="2"/>
  <c r="L4357" i="2"/>
  <c r="L4358" i="2"/>
  <c r="L4359" i="2"/>
  <c r="L4360" i="2"/>
  <c r="L4361" i="2"/>
  <c r="L4362" i="2"/>
  <c r="L4363" i="2"/>
  <c r="L4364" i="2"/>
  <c r="L4365" i="2"/>
  <c r="L4366" i="2"/>
  <c r="L4367" i="2"/>
  <c r="L4368" i="2"/>
  <c r="L4369" i="2"/>
  <c r="L4370" i="2"/>
  <c r="L4371" i="2"/>
  <c r="L4372" i="2"/>
  <c r="L4373" i="2"/>
  <c r="L4374" i="2"/>
  <c r="L4375" i="2"/>
  <c r="L4376" i="2"/>
  <c r="L4377" i="2"/>
  <c r="L4378" i="2"/>
  <c r="L4379" i="2"/>
  <c r="L4380" i="2"/>
  <c r="L4381" i="2"/>
  <c r="L4382" i="2"/>
  <c r="L4383" i="2"/>
  <c r="L4384" i="2"/>
  <c r="L4385" i="2"/>
  <c r="L4386" i="2"/>
  <c r="L4387" i="2"/>
  <c r="L4388" i="2"/>
  <c r="L4389" i="2"/>
  <c r="L4390" i="2"/>
  <c r="L4391" i="2"/>
  <c r="L4392" i="2"/>
  <c r="L4393" i="2"/>
  <c r="L4394" i="2"/>
  <c r="L4395" i="2"/>
  <c r="L4396" i="2"/>
  <c r="L4397" i="2"/>
  <c r="L4398" i="2"/>
  <c r="L4399" i="2"/>
  <c r="L4400" i="2"/>
  <c r="L4401" i="2"/>
  <c r="L4402" i="2"/>
  <c r="L4403" i="2"/>
  <c r="L4404" i="2"/>
  <c r="L4405" i="2"/>
  <c r="L4406" i="2"/>
  <c r="L4407" i="2"/>
  <c r="L4408" i="2"/>
  <c r="L4409" i="2"/>
  <c r="L4410" i="2"/>
  <c r="L4411" i="2"/>
  <c r="L4412" i="2"/>
  <c r="L4413" i="2"/>
  <c r="L4414" i="2"/>
  <c r="L4415" i="2"/>
  <c r="L4416" i="2"/>
  <c r="L4417" i="2"/>
  <c r="L4418" i="2"/>
  <c r="L4419" i="2"/>
  <c r="L4420" i="2"/>
  <c r="L4421" i="2"/>
  <c r="L4422" i="2"/>
  <c r="L4423" i="2"/>
  <c r="L4424" i="2"/>
  <c r="L4425" i="2"/>
  <c r="L4426" i="2"/>
  <c r="L4427" i="2"/>
  <c r="L4428" i="2"/>
  <c r="L4429" i="2"/>
  <c r="L4430" i="2"/>
  <c r="L4431" i="2"/>
  <c r="L4432" i="2"/>
  <c r="L4433" i="2"/>
  <c r="L4434" i="2"/>
  <c r="L4435" i="2"/>
  <c r="L4436" i="2"/>
  <c r="L4437" i="2"/>
  <c r="L4438" i="2"/>
  <c r="L4439" i="2"/>
  <c r="L4440" i="2"/>
  <c r="L4441" i="2"/>
  <c r="L4442" i="2"/>
  <c r="L4443" i="2"/>
  <c r="L4444" i="2"/>
  <c r="L4445" i="2"/>
  <c r="L4446" i="2"/>
  <c r="L4447" i="2"/>
  <c r="L4448" i="2"/>
  <c r="L4449" i="2"/>
  <c r="L4450" i="2"/>
  <c r="L4451" i="2"/>
  <c r="L4452" i="2"/>
  <c r="L4453" i="2"/>
  <c r="L4454" i="2"/>
  <c r="L4455" i="2"/>
  <c r="L4456" i="2"/>
  <c r="L4457" i="2"/>
  <c r="L4458" i="2"/>
  <c r="L4459" i="2"/>
  <c r="L4460" i="2"/>
  <c r="L4461" i="2"/>
  <c r="L4462" i="2"/>
  <c r="L4463" i="2"/>
  <c r="L4464" i="2"/>
  <c r="L4465" i="2"/>
  <c r="L4466" i="2"/>
  <c r="L4467" i="2"/>
  <c r="L4468" i="2"/>
  <c r="L4469" i="2"/>
  <c r="L4470" i="2"/>
  <c r="L4471" i="2"/>
  <c r="L4472" i="2"/>
  <c r="L4473" i="2"/>
  <c r="L4474" i="2"/>
  <c r="L4475" i="2"/>
  <c r="L4476" i="2"/>
  <c r="L4477" i="2"/>
  <c r="L4478" i="2"/>
  <c r="L4479" i="2"/>
  <c r="L4480" i="2"/>
  <c r="L4481" i="2"/>
  <c r="L4482" i="2"/>
  <c r="L4483" i="2"/>
  <c r="L4484" i="2"/>
  <c r="L4485" i="2"/>
  <c r="L4486" i="2"/>
  <c r="L4487" i="2"/>
  <c r="L4488" i="2"/>
  <c r="L4489" i="2"/>
  <c r="L4490" i="2"/>
  <c r="L4491" i="2"/>
  <c r="L4492" i="2"/>
  <c r="L4493" i="2"/>
  <c r="L4494" i="2"/>
  <c r="L4495" i="2"/>
  <c r="L4496" i="2"/>
  <c r="L4497" i="2"/>
  <c r="L4498" i="2"/>
  <c r="L4499" i="2"/>
  <c r="L4500" i="2"/>
  <c r="L4501" i="2"/>
  <c r="L4502" i="2"/>
  <c r="L4503" i="2"/>
  <c r="L4504" i="2"/>
  <c r="L4505" i="2"/>
  <c r="L4506" i="2"/>
  <c r="L4507" i="2"/>
  <c r="L4508" i="2"/>
  <c r="L4509" i="2"/>
  <c r="L4510" i="2"/>
  <c r="L4511" i="2"/>
  <c r="L4512" i="2"/>
  <c r="L4513" i="2"/>
  <c r="L4514" i="2"/>
  <c r="L4515" i="2"/>
  <c r="L4516" i="2"/>
  <c r="L4517" i="2"/>
  <c r="L4518" i="2"/>
  <c r="L4519" i="2"/>
  <c r="L4520" i="2"/>
  <c r="L4521" i="2"/>
  <c r="L4522" i="2"/>
  <c r="L4523" i="2"/>
  <c r="L4524" i="2"/>
  <c r="L4525" i="2"/>
  <c r="L4526" i="2"/>
  <c r="L4527" i="2"/>
  <c r="L4528" i="2"/>
  <c r="L4529" i="2"/>
  <c r="L4530" i="2"/>
  <c r="L4531" i="2"/>
  <c r="L4532" i="2"/>
  <c r="L4533" i="2"/>
  <c r="L4534" i="2"/>
  <c r="L4535" i="2"/>
  <c r="L4536" i="2"/>
  <c r="L4537" i="2"/>
  <c r="L4538" i="2"/>
  <c r="L4539" i="2"/>
  <c r="L4540" i="2"/>
  <c r="L4541" i="2"/>
  <c r="L4542" i="2"/>
  <c r="L4543" i="2"/>
  <c r="L4544" i="2"/>
  <c r="L4545" i="2"/>
  <c r="L4546" i="2"/>
  <c r="L4547" i="2"/>
  <c r="L4548" i="2"/>
  <c r="L4549" i="2"/>
  <c r="L4550" i="2"/>
  <c r="L4551" i="2"/>
  <c r="L4552" i="2"/>
  <c r="L4553" i="2"/>
  <c r="L4554" i="2"/>
  <c r="L4555" i="2"/>
  <c r="L4556" i="2"/>
  <c r="L4557" i="2"/>
  <c r="L4558" i="2"/>
  <c r="L4559" i="2"/>
  <c r="L4560" i="2"/>
  <c r="L4561" i="2"/>
  <c r="L4562" i="2"/>
  <c r="L4563" i="2"/>
  <c r="L4564" i="2"/>
  <c r="L4565" i="2"/>
  <c r="L4566" i="2"/>
  <c r="L4567" i="2"/>
  <c r="L4568" i="2"/>
  <c r="L4569" i="2"/>
  <c r="L4570" i="2"/>
  <c r="L4571" i="2"/>
  <c r="L4572" i="2"/>
  <c r="L4573" i="2"/>
  <c r="L4574" i="2"/>
  <c r="L4575" i="2"/>
  <c r="L4576" i="2"/>
  <c r="L4577" i="2"/>
  <c r="L4578" i="2"/>
  <c r="L4579" i="2"/>
  <c r="L4580" i="2"/>
  <c r="L4581" i="2"/>
  <c r="L4582" i="2"/>
  <c r="L4583" i="2"/>
  <c r="L4584" i="2"/>
  <c r="L4585" i="2"/>
  <c r="L4586" i="2"/>
  <c r="L4587" i="2"/>
  <c r="L4588" i="2"/>
  <c r="L4589" i="2"/>
  <c r="L4590" i="2"/>
  <c r="L4591" i="2"/>
  <c r="L4592" i="2"/>
  <c r="L4593" i="2"/>
  <c r="L4594" i="2"/>
  <c r="L4595" i="2"/>
  <c r="L4596" i="2"/>
  <c r="L4597" i="2"/>
  <c r="L4598" i="2"/>
  <c r="L4599" i="2"/>
  <c r="L4600" i="2"/>
  <c r="L4601" i="2"/>
  <c r="L4602" i="2"/>
  <c r="L4603" i="2"/>
  <c r="L4604" i="2"/>
  <c r="L4605" i="2"/>
  <c r="L4606" i="2"/>
  <c r="L4607" i="2"/>
  <c r="L4608" i="2"/>
  <c r="L4609" i="2"/>
  <c r="L4610" i="2"/>
  <c r="L4611" i="2"/>
  <c r="L4612" i="2"/>
  <c r="L4613" i="2"/>
  <c r="L4614" i="2"/>
  <c r="L4615" i="2"/>
  <c r="L4616" i="2"/>
  <c r="L4617" i="2"/>
  <c r="L4618" i="2"/>
  <c r="L4619" i="2"/>
  <c r="L4620" i="2"/>
  <c r="L4621" i="2"/>
  <c r="L4622" i="2"/>
  <c r="L4623" i="2"/>
  <c r="L4624" i="2"/>
  <c r="L4625" i="2"/>
  <c r="L4626" i="2"/>
  <c r="L4627" i="2"/>
  <c r="L4628" i="2"/>
  <c r="L4629" i="2"/>
  <c r="L4630" i="2"/>
  <c r="L4631" i="2"/>
  <c r="L4632" i="2"/>
  <c r="L4633" i="2"/>
  <c r="L4634" i="2"/>
  <c r="L4635" i="2"/>
  <c r="L4636" i="2"/>
  <c r="L4637" i="2"/>
  <c r="L4638" i="2"/>
  <c r="L4639" i="2"/>
  <c r="L4640" i="2"/>
  <c r="L4641" i="2"/>
  <c r="L4642" i="2"/>
  <c r="L4643" i="2"/>
  <c r="L4644" i="2"/>
  <c r="L4645" i="2"/>
  <c r="L4646" i="2"/>
  <c r="L4647" i="2"/>
  <c r="L4648" i="2"/>
  <c r="L4649" i="2"/>
  <c r="L4650" i="2"/>
  <c r="L4651" i="2"/>
  <c r="L4652" i="2"/>
  <c r="L4653" i="2"/>
  <c r="L4654" i="2"/>
  <c r="L4655" i="2"/>
  <c r="L4656" i="2"/>
  <c r="L4657" i="2"/>
  <c r="L4658" i="2"/>
  <c r="L4659" i="2"/>
  <c r="L4660" i="2"/>
  <c r="L4661" i="2"/>
  <c r="L4662" i="2"/>
  <c r="L4663" i="2"/>
  <c r="L4664" i="2"/>
  <c r="L4665" i="2"/>
  <c r="L4666" i="2"/>
  <c r="L4667" i="2"/>
  <c r="L4668" i="2"/>
  <c r="L4669" i="2"/>
  <c r="L4670" i="2"/>
  <c r="L4671" i="2"/>
  <c r="L4672" i="2"/>
  <c r="L4673" i="2"/>
  <c r="L4674" i="2"/>
  <c r="L4675" i="2"/>
  <c r="L4676" i="2"/>
  <c r="L4677" i="2"/>
  <c r="L4678" i="2"/>
  <c r="L4679" i="2"/>
  <c r="L4680" i="2"/>
  <c r="L4681" i="2"/>
  <c r="L4682" i="2"/>
  <c r="L4683" i="2"/>
  <c r="L4684" i="2"/>
  <c r="L4685" i="2"/>
  <c r="L4686" i="2"/>
  <c r="L4687" i="2"/>
  <c r="L4688" i="2"/>
  <c r="L4689" i="2"/>
  <c r="L4690" i="2"/>
  <c r="L4691" i="2"/>
  <c r="L4692" i="2"/>
  <c r="L4693" i="2"/>
  <c r="L4694" i="2"/>
  <c r="L4695" i="2"/>
  <c r="L4696" i="2"/>
  <c r="L4697" i="2"/>
  <c r="L4698" i="2"/>
  <c r="L4699" i="2"/>
  <c r="L4700" i="2"/>
  <c r="L4701" i="2"/>
  <c r="L4702" i="2"/>
  <c r="L4703" i="2"/>
  <c r="L4704" i="2"/>
  <c r="L4705" i="2"/>
  <c r="L4706" i="2"/>
  <c r="L4707" i="2"/>
  <c r="L4708" i="2"/>
  <c r="L4709" i="2"/>
  <c r="L4710" i="2"/>
  <c r="L4711" i="2"/>
  <c r="L4712" i="2"/>
  <c r="L4713" i="2"/>
  <c r="L4714" i="2"/>
  <c r="L4715" i="2"/>
  <c r="L4716" i="2"/>
  <c r="L4717" i="2"/>
  <c r="L4718" i="2"/>
  <c r="L4719" i="2"/>
  <c r="L4720" i="2"/>
  <c r="L4721" i="2"/>
  <c r="L4722" i="2"/>
  <c r="L4723" i="2"/>
  <c r="L4724" i="2"/>
  <c r="L4725" i="2"/>
  <c r="L4726" i="2"/>
  <c r="L4727" i="2"/>
  <c r="L4728" i="2"/>
  <c r="L4729" i="2"/>
  <c r="L4730" i="2"/>
  <c r="L4731" i="2"/>
  <c r="L4732" i="2"/>
  <c r="L4733" i="2"/>
  <c r="L4734" i="2"/>
  <c r="L4735" i="2"/>
  <c r="L4736" i="2"/>
  <c r="L4737" i="2"/>
  <c r="L4738" i="2"/>
  <c r="L4739" i="2"/>
  <c r="L4740" i="2"/>
  <c r="L4741" i="2"/>
  <c r="L4742" i="2"/>
  <c r="L4743" i="2"/>
  <c r="L4744" i="2"/>
  <c r="L4745" i="2"/>
  <c r="L4746" i="2"/>
  <c r="L4747" i="2"/>
  <c r="L4748" i="2"/>
  <c r="L4749" i="2"/>
  <c r="L4750" i="2"/>
  <c r="L4751" i="2"/>
  <c r="L4752" i="2"/>
  <c r="L4753" i="2"/>
  <c r="L4754" i="2"/>
  <c r="L4755" i="2"/>
  <c r="L4756" i="2"/>
  <c r="L4757" i="2"/>
  <c r="L4758" i="2"/>
  <c r="L4759" i="2"/>
  <c r="L4760" i="2"/>
  <c r="L4761" i="2"/>
  <c r="L4762" i="2"/>
  <c r="L4763" i="2"/>
  <c r="L4764" i="2"/>
  <c r="L4765" i="2"/>
  <c r="L4766" i="2"/>
  <c r="L4767" i="2"/>
  <c r="L4768" i="2"/>
  <c r="L4769" i="2"/>
  <c r="L4770" i="2"/>
  <c r="L4771" i="2"/>
  <c r="L4772" i="2"/>
  <c r="L4773" i="2"/>
  <c r="L4774" i="2"/>
  <c r="L4775" i="2"/>
  <c r="L4776" i="2"/>
  <c r="L4777" i="2"/>
  <c r="L4778" i="2"/>
  <c r="L4779" i="2"/>
  <c r="L4780" i="2"/>
  <c r="L4781" i="2"/>
  <c r="L4782" i="2"/>
  <c r="L4783" i="2"/>
  <c r="L4784" i="2"/>
  <c r="L4785" i="2"/>
  <c r="L4786" i="2"/>
  <c r="L4787" i="2"/>
  <c r="L4788" i="2"/>
  <c r="L4789" i="2"/>
  <c r="L4790" i="2"/>
  <c r="L4791" i="2"/>
  <c r="L4792" i="2"/>
  <c r="L4793" i="2"/>
  <c r="L4794" i="2"/>
  <c r="L4795" i="2"/>
  <c r="L4796" i="2"/>
  <c r="L4797" i="2"/>
  <c r="L4798" i="2"/>
  <c r="L4799" i="2"/>
  <c r="L4800" i="2"/>
  <c r="L4801" i="2"/>
  <c r="L4802" i="2"/>
  <c r="L4803" i="2"/>
  <c r="L4804" i="2"/>
  <c r="L4805" i="2"/>
  <c r="L4806" i="2"/>
  <c r="L4807" i="2"/>
  <c r="L4808" i="2"/>
  <c r="L4809" i="2"/>
  <c r="L4810" i="2"/>
  <c r="L4811" i="2"/>
  <c r="L4812" i="2"/>
  <c r="L4813" i="2"/>
  <c r="L4814" i="2"/>
  <c r="L4815" i="2"/>
  <c r="L4816" i="2"/>
  <c r="L4817" i="2"/>
  <c r="L4818" i="2"/>
  <c r="L4819" i="2"/>
  <c r="L4820" i="2"/>
  <c r="L4821" i="2"/>
  <c r="L4822" i="2"/>
  <c r="L4823" i="2"/>
  <c r="L4824" i="2"/>
  <c r="L4825" i="2"/>
  <c r="L4826" i="2"/>
  <c r="L4827" i="2"/>
  <c r="L4828" i="2"/>
  <c r="L4829" i="2"/>
  <c r="L4830" i="2"/>
  <c r="L4831" i="2"/>
  <c r="L4832" i="2"/>
  <c r="L4833" i="2"/>
  <c r="L4834" i="2"/>
  <c r="L4835" i="2"/>
  <c r="L4836" i="2"/>
  <c r="L4837" i="2"/>
  <c r="L4838" i="2"/>
  <c r="L4839" i="2"/>
  <c r="L4840" i="2"/>
  <c r="L4841" i="2"/>
  <c r="L4842" i="2"/>
  <c r="L4843" i="2"/>
  <c r="L4844" i="2"/>
  <c r="L4845" i="2"/>
  <c r="L4846" i="2"/>
  <c r="L4847" i="2"/>
  <c r="L4848" i="2"/>
  <c r="L4849" i="2"/>
  <c r="L4850" i="2"/>
  <c r="L4851" i="2"/>
  <c r="L4852" i="2"/>
  <c r="L4853" i="2"/>
  <c r="L4854" i="2"/>
  <c r="L4855" i="2"/>
  <c r="L4856" i="2"/>
  <c r="L4857" i="2"/>
  <c r="L4858" i="2"/>
  <c r="L4859" i="2"/>
  <c r="L4860" i="2"/>
  <c r="L4861" i="2"/>
  <c r="L4862" i="2"/>
  <c r="L4863" i="2"/>
  <c r="L4864" i="2"/>
  <c r="L4865" i="2"/>
  <c r="L4866" i="2"/>
  <c r="L4867" i="2"/>
  <c r="L4868" i="2"/>
  <c r="L4869" i="2"/>
  <c r="L4870" i="2"/>
  <c r="L4871" i="2"/>
  <c r="L4872" i="2"/>
  <c r="L4873" i="2"/>
  <c r="L4874" i="2"/>
  <c r="L4875" i="2"/>
  <c r="L4876" i="2"/>
  <c r="L4877" i="2"/>
  <c r="L4878" i="2"/>
  <c r="L4879" i="2"/>
  <c r="L4880" i="2"/>
  <c r="L4881" i="2"/>
  <c r="L4882" i="2"/>
  <c r="L4883" i="2"/>
  <c r="L4884" i="2"/>
  <c r="L4885" i="2"/>
  <c r="L4886" i="2"/>
  <c r="L4887" i="2"/>
  <c r="L4888" i="2"/>
  <c r="L4889" i="2"/>
  <c r="L4890" i="2"/>
  <c r="L4891" i="2"/>
  <c r="L4892" i="2"/>
  <c r="L4893" i="2"/>
  <c r="L4894" i="2"/>
  <c r="L4895" i="2"/>
  <c r="L4896" i="2"/>
  <c r="L4897" i="2"/>
  <c r="L4898" i="2"/>
  <c r="L4899" i="2"/>
  <c r="L4900" i="2"/>
  <c r="L4901" i="2"/>
  <c r="L4902" i="2"/>
  <c r="L4903" i="2"/>
  <c r="L4904" i="2"/>
  <c r="L4905" i="2"/>
  <c r="L4906" i="2"/>
  <c r="L4907" i="2"/>
  <c r="L4908" i="2"/>
  <c r="L4909" i="2"/>
  <c r="L4910" i="2"/>
  <c r="L4911" i="2"/>
  <c r="L4912" i="2"/>
  <c r="L4913" i="2"/>
  <c r="L4914" i="2"/>
  <c r="L4915" i="2"/>
  <c r="L4916" i="2"/>
  <c r="L4917" i="2"/>
  <c r="L4918" i="2"/>
  <c r="L4919" i="2"/>
  <c r="L4920" i="2"/>
  <c r="L4921" i="2"/>
  <c r="L4922" i="2"/>
  <c r="L4923" i="2"/>
  <c r="L4924" i="2"/>
  <c r="L4925" i="2"/>
  <c r="L4926" i="2"/>
  <c r="L4927" i="2"/>
  <c r="L4928" i="2"/>
  <c r="L4929" i="2"/>
  <c r="L4930" i="2"/>
  <c r="L4931" i="2"/>
  <c r="L4932" i="2"/>
  <c r="L4933" i="2"/>
  <c r="L4934" i="2"/>
  <c r="L4935" i="2"/>
  <c r="L4936" i="2"/>
  <c r="L4937" i="2"/>
  <c r="L4938" i="2"/>
  <c r="L4939" i="2"/>
  <c r="L4940" i="2"/>
  <c r="L4941" i="2"/>
  <c r="L4942" i="2"/>
  <c r="L4943" i="2"/>
  <c r="L4944" i="2"/>
  <c r="L4945" i="2"/>
  <c r="L4946" i="2"/>
  <c r="L4947" i="2"/>
  <c r="L4948" i="2"/>
  <c r="L4949" i="2"/>
  <c r="L4950" i="2"/>
  <c r="L4951" i="2"/>
  <c r="L4952" i="2"/>
  <c r="L4953" i="2"/>
  <c r="L4954" i="2"/>
  <c r="L4955" i="2"/>
  <c r="L4956" i="2"/>
  <c r="L4957" i="2"/>
  <c r="L4958" i="2"/>
  <c r="L4959" i="2"/>
  <c r="L4960" i="2"/>
  <c r="L4961" i="2"/>
  <c r="L4962" i="2"/>
  <c r="L4963" i="2"/>
  <c r="L4964" i="2"/>
  <c r="L4965" i="2"/>
  <c r="L4966" i="2"/>
  <c r="L4967" i="2"/>
  <c r="L4968" i="2"/>
  <c r="L4969" i="2"/>
  <c r="L4970" i="2"/>
  <c r="L4971" i="2"/>
  <c r="L4972" i="2"/>
  <c r="L4973" i="2"/>
  <c r="L4974" i="2"/>
  <c r="L4975" i="2"/>
  <c r="L4976" i="2"/>
  <c r="L4977" i="2"/>
  <c r="L4978" i="2"/>
  <c r="L4979" i="2"/>
  <c r="L4980" i="2"/>
  <c r="L4981" i="2"/>
  <c r="L4982" i="2"/>
  <c r="L4983" i="2"/>
  <c r="L4984" i="2"/>
  <c r="L4985" i="2"/>
  <c r="L4986" i="2"/>
  <c r="L4987" i="2"/>
  <c r="L4988" i="2"/>
  <c r="L4989" i="2"/>
  <c r="L4990" i="2"/>
  <c r="L4991" i="2"/>
  <c r="L4992" i="2"/>
  <c r="L4993" i="2"/>
  <c r="L4994" i="2"/>
  <c r="L4995" i="2"/>
  <c r="L4996" i="2"/>
  <c r="L4997" i="2"/>
  <c r="L4998" i="2"/>
  <c r="L4999" i="2"/>
  <c r="L5000" i="2"/>
  <c r="L5001" i="2"/>
  <c r="L5002" i="2"/>
  <c r="L5003" i="2"/>
  <c r="L5004" i="2"/>
  <c r="L5005" i="2"/>
  <c r="L5006" i="2"/>
  <c r="L5007" i="2"/>
  <c r="L5008" i="2"/>
  <c r="L5009" i="2"/>
  <c r="L5010" i="2"/>
  <c r="L5011" i="2"/>
  <c r="L5012" i="2"/>
  <c r="L5013" i="2"/>
  <c r="L5014" i="2"/>
  <c r="L5015" i="2"/>
  <c r="L5016" i="2"/>
  <c r="L5017" i="2"/>
  <c r="L5018" i="2"/>
  <c r="L5019" i="2"/>
  <c r="L5020" i="2"/>
  <c r="L5021" i="2"/>
  <c r="L5022" i="2"/>
  <c r="L5023" i="2"/>
  <c r="L5024" i="2"/>
  <c r="L5025" i="2"/>
  <c r="L5026" i="2"/>
  <c r="L5027" i="2"/>
  <c r="L5028" i="2"/>
  <c r="L5029" i="2"/>
  <c r="L5030" i="2"/>
  <c r="L5031" i="2"/>
  <c r="L5032" i="2"/>
  <c r="L5033" i="2"/>
  <c r="L5034" i="2"/>
  <c r="L5035" i="2"/>
  <c r="L5036" i="2"/>
  <c r="L5037" i="2"/>
  <c r="L5038" i="2"/>
  <c r="L5039" i="2"/>
  <c r="L5040" i="2"/>
  <c r="L5041" i="2"/>
  <c r="L5042" i="2"/>
  <c r="L5043" i="2"/>
  <c r="L5044" i="2"/>
  <c r="L5045" i="2"/>
  <c r="L5046" i="2"/>
  <c r="L5047" i="2"/>
  <c r="L5048" i="2"/>
  <c r="L5049" i="2"/>
  <c r="L5050" i="2"/>
  <c r="L5051" i="2"/>
  <c r="L5052" i="2"/>
  <c r="L5053" i="2"/>
  <c r="L5054" i="2"/>
  <c r="L5055" i="2"/>
  <c r="L5056" i="2"/>
  <c r="L5057" i="2"/>
  <c r="L5058" i="2"/>
  <c r="L5059" i="2"/>
  <c r="L5060" i="2"/>
  <c r="L5061" i="2"/>
  <c r="L5062" i="2"/>
  <c r="L5063" i="2"/>
  <c r="L5064" i="2"/>
  <c r="L5065" i="2"/>
  <c r="L5066" i="2"/>
  <c r="L5067" i="2"/>
  <c r="L5068" i="2"/>
  <c r="L5069" i="2"/>
  <c r="L5070" i="2"/>
  <c r="L5071" i="2"/>
  <c r="L5072" i="2"/>
  <c r="L5073" i="2"/>
  <c r="L5074" i="2"/>
  <c r="L5075" i="2"/>
  <c r="L5076" i="2"/>
  <c r="L5077" i="2"/>
  <c r="L5078" i="2"/>
  <c r="L5079" i="2"/>
  <c r="L5080" i="2"/>
  <c r="L5081" i="2"/>
  <c r="L5082" i="2"/>
  <c r="L5083" i="2"/>
  <c r="L5084" i="2"/>
  <c r="L5085" i="2"/>
  <c r="L5086" i="2"/>
  <c r="L5087" i="2"/>
  <c r="L5088" i="2"/>
  <c r="L5089" i="2"/>
  <c r="L5090" i="2"/>
  <c r="L5091" i="2"/>
  <c r="L5092" i="2"/>
  <c r="L5093" i="2"/>
  <c r="L5094" i="2"/>
  <c r="L5095" i="2"/>
  <c r="L5096" i="2"/>
  <c r="L5097" i="2"/>
  <c r="L5098" i="2"/>
  <c r="L5099" i="2"/>
  <c r="L5100" i="2"/>
  <c r="L5101" i="2"/>
  <c r="L5102" i="2"/>
  <c r="L5103" i="2"/>
  <c r="L5104" i="2"/>
  <c r="L5105" i="2"/>
  <c r="L5106" i="2"/>
  <c r="L5107" i="2"/>
  <c r="L5108" i="2"/>
  <c r="L5109" i="2"/>
  <c r="L5110" i="2"/>
  <c r="L5111" i="2"/>
  <c r="L5112" i="2"/>
  <c r="L5113" i="2"/>
  <c r="L5114" i="2"/>
  <c r="L5115" i="2"/>
  <c r="L5116" i="2"/>
  <c r="L5117" i="2"/>
  <c r="L5118" i="2"/>
  <c r="L5119" i="2"/>
  <c r="L5120" i="2"/>
  <c r="L5121" i="2"/>
  <c r="L5122" i="2"/>
  <c r="L5123" i="2"/>
  <c r="L5124" i="2"/>
  <c r="L5125" i="2"/>
  <c r="L5126" i="2"/>
  <c r="L5127" i="2"/>
  <c r="L5128" i="2"/>
  <c r="L5129" i="2"/>
  <c r="L5130" i="2"/>
  <c r="L5131" i="2"/>
  <c r="L5132" i="2"/>
  <c r="L5133" i="2"/>
  <c r="L5134" i="2"/>
  <c r="L5135" i="2"/>
  <c r="L5136" i="2"/>
  <c r="L5137" i="2"/>
  <c r="L5138" i="2"/>
  <c r="L5139" i="2"/>
  <c r="L5140" i="2"/>
  <c r="L5141" i="2"/>
  <c r="L5142" i="2"/>
  <c r="L5143" i="2"/>
  <c r="L5144" i="2"/>
  <c r="L5145" i="2"/>
  <c r="L5146" i="2"/>
  <c r="L5147" i="2"/>
  <c r="L5148" i="2"/>
  <c r="L5149" i="2"/>
  <c r="L5150" i="2"/>
  <c r="L5151" i="2"/>
  <c r="L5152" i="2"/>
  <c r="L5153" i="2"/>
  <c r="L5154" i="2"/>
  <c r="L5155" i="2"/>
  <c r="L5156" i="2"/>
  <c r="L5157" i="2"/>
  <c r="L5158" i="2"/>
  <c r="L5159" i="2"/>
  <c r="L5160" i="2"/>
  <c r="L5161" i="2"/>
  <c r="L5162" i="2"/>
  <c r="L5163" i="2"/>
  <c r="L5164" i="2"/>
  <c r="L5165" i="2"/>
  <c r="L5166" i="2"/>
  <c r="L5167" i="2"/>
  <c r="L5168" i="2"/>
  <c r="L5169" i="2"/>
  <c r="L5170" i="2"/>
  <c r="L5171" i="2"/>
  <c r="L5172" i="2"/>
  <c r="L5173" i="2"/>
  <c r="L5174" i="2"/>
  <c r="L5175" i="2"/>
  <c r="L5176" i="2"/>
  <c r="L5177" i="2"/>
  <c r="L5178" i="2"/>
  <c r="L5179" i="2"/>
  <c r="L5180" i="2"/>
  <c r="L5181" i="2"/>
  <c r="L5182" i="2"/>
  <c r="L5183" i="2"/>
  <c r="L5184" i="2"/>
  <c r="L5185" i="2"/>
  <c r="L5186" i="2"/>
  <c r="L5187" i="2"/>
  <c r="L5188" i="2"/>
  <c r="L5189" i="2"/>
  <c r="L5190" i="2"/>
  <c r="L5191" i="2"/>
  <c r="L5192" i="2"/>
  <c r="L5193" i="2"/>
  <c r="L5194" i="2"/>
  <c r="L5195" i="2"/>
  <c r="L5196" i="2"/>
  <c r="L5197" i="2"/>
  <c r="L5198" i="2"/>
  <c r="L5199" i="2"/>
  <c r="L5200" i="2"/>
  <c r="L5201" i="2"/>
  <c r="L5202" i="2"/>
  <c r="L5203" i="2"/>
  <c r="L5204" i="2"/>
  <c r="L5205" i="2"/>
  <c r="L5206" i="2"/>
  <c r="L5207" i="2"/>
  <c r="L5208" i="2"/>
  <c r="L5209" i="2"/>
  <c r="L5210" i="2"/>
  <c r="L5211" i="2"/>
  <c r="L5212" i="2"/>
  <c r="L5213" i="2"/>
  <c r="L5214" i="2"/>
  <c r="L5215" i="2"/>
  <c r="L5216" i="2"/>
  <c r="L5217" i="2"/>
  <c r="L5218" i="2"/>
  <c r="L5219" i="2"/>
  <c r="L5220" i="2"/>
  <c r="L5221" i="2"/>
  <c r="L5222" i="2"/>
  <c r="L5223" i="2"/>
  <c r="L5224" i="2"/>
  <c r="L5225" i="2"/>
  <c r="L5226" i="2"/>
  <c r="L5227" i="2"/>
  <c r="L5228" i="2"/>
  <c r="L5229" i="2"/>
  <c r="L5230" i="2"/>
  <c r="L5231" i="2"/>
  <c r="L5232" i="2"/>
  <c r="L5233" i="2"/>
  <c r="L5234" i="2"/>
  <c r="L5235" i="2"/>
  <c r="L5236" i="2"/>
  <c r="I7" i="3" l="1"/>
  <c r="K6" i="3"/>
  <c r="O5218" i="2"/>
  <c r="O5194" i="2"/>
  <c r="O5158" i="2"/>
  <c r="O5122" i="2"/>
  <c r="O5110" i="2"/>
  <c r="O5074" i="2"/>
  <c r="O5038" i="2"/>
  <c r="O5002" i="2"/>
  <c r="O4990" i="2"/>
  <c r="O4954" i="2"/>
  <c r="O4918" i="2"/>
  <c r="O4894" i="2"/>
  <c r="O4846" i="2"/>
  <c r="O4810" i="2"/>
  <c r="O4762" i="2"/>
  <c r="O4738" i="2"/>
  <c r="O4714" i="2"/>
  <c r="O4702" i="2"/>
  <c r="O4666" i="2"/>
  <c r="O4654" i="2"/>
  <c r="O4618" i="2"/>
  <c r="O4582" i="2"/>
  <c r="O4546" i="2"/>
  <c r="O4534" i="2"/>
  <c r="O4510" i="2"/>
  <c r="O4486" i="2"/>
  <c r="O4474" i="2"/>
  <c r="O4462" i="2"/>
  <c r="O4450" i="2"/>
  <c r="O4438" i="2"/>
  <c r="O4426" i="2"/>
  <c r="O4414" i="2"/>
  <c r="O4402" i="2"/>
  <c r="O4390" i="2"/>
  <c r="O4378" i="2"/>
  <c r="O4366" i="2"/>
  <c r="O4354" i="2"/>
  <c r="O4342" i="2"/>
  <c r="O4330" i="2"/>
  <c r="O4318" i="2"/>
  <c r="O4306" i="2"/>
  <c r="O4294" i="2"/>
  <c r="O4282" i="2"/>
  <c r="O4270" i="2"/>
  <c r="O4258" i="2"/>
  <c r="O4246" i="2"/>
  <c r="O4234" i="2"/>
  <c r="O4222" i="2"/>
  <c r="O4210" i="2"/>
  <c r="O4198" i="2"/>
  <c r="O4186" i="2"/>
  <c r="O4174" i="2"/>
  <c r="O4162" i="2"/>
  <c r="O4150" i="2"/>
  <c r="O4138" i="2"/>
  <c r="O4126" i="2"/>
  <c r="O4114" i="2"/>
  <c r="O4102" i="2"/>
  <c r="O4090" i="2"/>
  <c r="O4078" i="2"/>
  <c r="O4066" i="2"/>
  <c r="O4054" i="2"/>
  <c r="O4042" i="2"/>
  <c r="O4030" i="2"/>
  <c r="O4018" i="2"/>
  <c r="O4006" i="2"/>
  <c r="O3994" i="2"/>
  <c r="O3982" i="2"/>
  <c r="O3970" i="2"/>
  <c r="O3958" i="2"/>
  <c r="O3946" i="2"/>
  <c r="O3934" i="2"/>
  <c r="O3922" i="2"/>
  <c r="O3910" i="2"/>
  <c r="O3898" i="2"/>
  <c r="O3886" i="2"/>
  <c r="O3874" i="2"/>
  <c r="O3862" i="2"/>
  <c r="O3850" i="2"/>
  <c r="O3838" i="2"/>
  <c r="O3826" i="2"/>
  <c r="O3814" i="2"/>
  <c r="O3802" i="2"/>
  <c r="O3790" i="2"/>
  <c r="O3778" i="2"/>
  <c r="O3766" i="2"/>
  <c r="O3754" i="2"/>
  <c r="O3742" i="2"/>
  <c r="O3730" i="2"/>
  <c r="O3718" i="2"/>
  <c r="O3706" i="2"/>
  <c r="O3694" i="2"/>
  <c r="O3682" i="2"/>
  <c r="O3670" i="2"/>
  <c r="O3658" i="2"/>
  <c r="O3646" i="2"/>
  <c r="O3634" i="2"/>
  <c r="O5230" i="2"/>
  <c r="O5170" i="2"/>
  <c r="O5134" i="2"/>
  <c r="O5098" i="2"/>
  <c r="O5050" i="2"/>
  <c r="O5014" i="2"/>
  <c r="O4966" i="2"/>
  <c r="O4930" i="2"/>
  <c r="O4882" i="2"/>
  <c r="O4858" i="2"/>
  <c r="O4822" i="2"/>
  <c r="O4774" i="2"/>
  <c r="O4726" i="2"/>
  <c r="O4690" i="2"/>
  <c r="O4630" i="2"/>
  <c r="O4606" i="2"/>
  <c r="O4558" i="2"/>
  <c r="O4498" i="2"/>
  <c r="O5206" i="2"/>
  <c r="O5182" i="2"/>
  <c r="O5146" i="2"/>
  <c r="O5086" i="2"/>
  <c r="O5062" i="2"/>
  <c r="O5026" i="2"/>
  <c r="O4978" i="2"/>
  <c r="O4942" i="2"/>
  <c r="O4906" i="2"/>
  <c r="O4870" i="2"/>
  <c r="O4834" i="2"/>
  <c r="O4798" i="2"/>
  <c r="O4786" i="2"/>
  <c r="O4750" i="2"/>
  <c r="O4678" i="2"/>
  <c r="O4642" i="2"/>
  <c r="O4594" i="2"/>
  <c r="O4570" i="2"/>
  <c r="O4522" i="2"/>
  <c r="O3622" i="2"/>
  <c r="O3610" i="2"/>
  <c r="O3598" i="2"/>
  <c r="O3586" i="2"/>
  <c r="O3574" i="2"/>
  <c r="O3562" i="2"/>
  <c r="O3550" i="2"/>
  <c r="O3538" i="2"/>
  <c r="O3526" i="2"/>
  <c r="O3514" i="2"/>
  <c r="O3502" i="2"/>
  <c r="O3490" i="2"/>
  <c r="O3478" i="2"/>
  <c r="O3466" i="2"/>
  <c r="O3454" i="2"/>
  <c r="O3442" i="2"/>
  <c r="O3430" i="2"/>
  <c r="O3418" i="2"/>
  <c r="O3406" i="2"/>
  <c r="O3394" i="2"/>
  <c r="O3382" i="2"/>
  <c r="O3370" i="2"/>
  <c r="O3358" i="2"/>
  <c r="O3346" i="2"/>
  <c r="O3334" i="2"/>
  <c r="O3322" i="2"/>
  <c r="O3310" i="2"/>
  <c r="O3298" i="2"/>
  <c r="O3286" i="2"/>
  <c r="O3274" i="2"/>
  <c r="O3262" i="2"/>
  <c r="O3250" i="2"/>
  <c r="O3238" i="2"/>
  <c r="O3226" i="2"/>
  <c r="O3214" i="2"/>
  <c r="O3202" i="2"/>
  <c r="O3190" i="2"/>
  <c r="O3178" i="2"/>
  <c r="O3166" i="2"/>
  <c r="O3154" i="2"/>
  <c r="O3142" i="2"/>
  <c r="O3130" i="2"/>
  <c r="O3118" i="2"/>
  <c r="O3106" i="2"/>
  <c r="O3094" i="2"/>
  <c r="O3082" i="2"/>
  <c r="O3070" i="2"/>
  <c r="O3058" i="2"/>
  <c r="O3046" i="2"/>
  <c r="O3034" i="2"/>
  <c r="O3022" i="2"/>
  <c r="O3010" i="2"/>
  <c r="O2998" i="2"/>
  <c r="O2986" i="2"/>
  <c r="O2974" i="2"/>
  <c r="O2962" i="2"/>
  <c r="O2950" i="2"/>
  <c r="O2938" i="2"/>
  <c r="O2926" i="2"/>
  <c r="O2914" i="2"/>
  <c r="O2902" i="2"/>
  <c r="O2890" i="2"/>
  <c r="O2878" i="2"/>
  <c r="O2866" i="2"/>
  <c r="O2854" i="2"/>
  <c r="O2842" i="2"/>
  <c r="O2830" i="2"/>
  <c r="O2818" i="2"/>
  <c r="O2806" i="2"/>
  <c r="O2794" i="2"/>
  <c r="O2782" i="2"/>
  <c r="O2770" i="2"/>
  <c r="O2758" i="2"/>
  <c r="O2746" i="2"/>
  <c r="O2734" i="2"/>
  <c r="O2722" i="2"/>
  <c r="O2710" i="2"/>
  <c r="O2698" i="2"/>
  <c r="O2686" i="2"/>
  <c r="O2674" i="2"/>
  <c r="O2662" i="2"/>
  <c r="O2650" i="2"/>
  <c r="O2638" i="2"/>
  <c r="O2626" i="2"/>
  <c r="O2614" i="2"/>
  <c r="O2602" i="2"/>
  <c r="O2590" i="2"/>
  <c r="O2578" i="2"/>
  <c r="O2566" i="2"/>
  <c r="O2554" i="2"/>
  <c r="O2542" i="2"/>
  <c r="O2530" i="2"/>
  <c r="O2518" i="2"/>
  <c r="O2506" i="2"/>
  <c r="O2494" i="2"/>
  <c r="O2482" i="2"/>
  <c r="O2470" i="2"/>
  <c r="O2458" i="2"/>
  <c r="O2446" i="2"/>
  <c r="O2434" i="2"/>
  <c r="O2422" i="2"/>
  <c r="O2410" i="2"/>
  <c r="O2398" i="2"/>
  <c r="O2386" i="2"/>
  <c r="O2374" i="2"/>
  <c r="O2362" i="2"/>
  <c r="O2350" i="2"/>
  <c r="O2338" i="2"/>
  <c r="O2326" i="2"/>
  <c r="O2314" i="2"/>
  <c r="O2302" i="2"/>
  <c r="O2290" i="2"/>
  <c r="O2278" i="2"/>
  <c r="O2266" i="2"/>
  <c r="O2254" i="2"/>
  <c r="O2242" i="2"/>
  <c r="O2230" i="2"/>
  <c r="O2218" i="2"/>
  <c r="O2206" i="2"/>
  <c r="O2194" i="2"/>
  <c r="O2182" i="2"/>
  <c r="O2170" i="2"/>
  <c r="O2158" i="2"/>
  <c r="O2146" i="2"/>
  <c r="O2134" i="2"/>
  <c r="O2122" i="2"/>
  <c r="O2110" i="2"/>
  <c r="O2098" i="2"/>
  <c r="O2086" i="2"/>
  <c r="O2074" i="2"/>
  <c r="O2062" i="2"/>
  <c r="O2050" i="2"/>
  <c r="O2038" i="2"/>
  <c r="O2026" i="2"/>
  <c r="O2014" i="2"/>
  <c r="O2002" i="2"/>
  <c r="O1990" i="2"/>
  <c r="O1978" i="2"/>
  <c r="O1966" i="2"/>
  <c r="O1954" i="2"/>
  <c r="O1942" i="2"/>
  <c r="O1930" i="2"/>
  <c r="O1918" i="2"/>
  <c r="O1906" i="2"/>
  <c r="O1894" i="2"/>
  <c r="O1882" i="2"/>
  <c r="O1870" i="2"/>
  <c r="O1858" i="2"/>
  <c r="O1846" i="2"/>
  <c r="O1834" i="2"/>
  <c r="O1822" i="2"/>
  <c r="O1810" i="2"/>
  <c r="O1798" i="2"/>
  <c r="O1786" i="2"/>
  <c r="O1774" i="2"/>
  <c r="O1762" i="2"/>
  <c r="O1750" i="2"/>
  <c r="O1738" i="2"/>
  <c r="O1726" i="2"/>
  <c r="O1714" i="2"/>
  <c r="O1702" i="2"/>
  <c r="O1690" i="2"/>
  <c r="O1678" i="2"/>
  <c r="O1666" i="2"/>
  <c r="O1654" i="2"/>
  <c r="O1642" i="2"/>
  <c r="O1630" i="2"/>
  <c r="O1618" i="2"/>
  <c r="O1606" i="2"/>
  <c r="O1594" i="2"/>
  <c r="O1582" i="2"/>
  <c r="O1570" i="2"/>
  <c r="O1558" i="2"/>
  <c r="O1546" i="2"/>
  <c r="O1534" i="2"/>
  <c r="O1522" i="2"/>
  <c r="O1510" i="2"/>
  <c r="O1498" i="2"/>
  <c r="O1486" i="2"/>
  <c r="O1474" i="2"/>
  <c r="O1462" i="2"/>
  <c r="O1450" i="2"/>
  <c r="O1438" i="2"/>
  <c r="O1426" i="2"/>
  <c r="O1414" i="2"/>
  <c r="O1402" i="2"/>
  <c r="O1390" i="2"/>
  <c r="O1378" i="2"/>
  <c r="O1366" i="2"/>
  <c r="O1354" i="2"/>
  <c r="O1342" i="2"/>
  <c r="O1330" i="2"/>
  <c r="O1318" i="2"/>
  <c r="O1306" i="2"/>
  <c r="O1294" i="2"/>
  <c r="O1282" i="2"/>
  <c r="O1270" i="2"/>
  <c r="O1258" i="2"/>
  <c r="O1246" i="2"/>
  <c r="O1234" i="2"/>
  <c r="O1222" i="2"/>
  <c r="O1210" i="2"/>
  <c r="O1198" i="2"/>
  <c r="O1186" i="2"/>
  <c r="O1174" i="2"/>
  <c r="O1162" i="2"/>
  <c r="O1150" i="2"/>
  <c r="O1138" i="2"/>
  <c r="O1126" i="2"/>
  <c r="O1114" i="2"/>
  <c r="O1102" i="2"/>
  <c r="O1090" i="2"/>
  <c r="O1078" i="2"/>
  <c r="O1066" i="2"/>
  <c r="O1054" i="2"/>
  <c r="O1042" i="2"/>
  <c r="O1030" i="2"/>
  <c r="O1018" i="2"/>
  <c r="O1006" i="2"/>
  <c r="O994" i="2"/>
  <c r="O982" i="2"/>
  <c r="O970" i="2"/>
  <c r="O958" i="2"/>
  <c r="O946" i="2"/>
  <c r="O934" i="2"/>
  <c r="O922" i="2"/>
  <c r="O910" i="2"/>
  <c r="O898" i="2"/>
  <c r="O886" i="2"/>
  <c r="O874" i="2"/>
  <c r="O862" i="2"/>
  <c r="O850" i="2"/>
  <c r="O838" i="2"/>
  <c r="O826" i="2"/>
  <c r="O814" i="2"/>
  <c r="O802" i="2"/>
  <c r="O790" i="2"/>
  <c r="O778" i="2"/>
  <c r="O766" i="2"/>
  <c r="O754" i="2"/>
  <c r="O742" i="2"/>
  <c r="O730" i="2"/>
  <c r="O718" i="2"/>
  <c r="O706" i="2"/>
  <c r="O694" i="2"/>
  <c r="O682" i="2"/>
  <c r="O670" i="2"/>
  <c r="O658" i="2"/>
  <c r="O646" i="2"/>
  <c r="O634" i="2"/>
  <c r="O622" i="2"/>
  <c r="O610" i="2"/>
  <c r="O598" i="2"/>
  <c r="O586" i="2"/>
  <c r="O574" i="2"/>
  <c r="O800" i="2"/>
  <c r="O788" i="2"/>
  <c r="O776" i="2"/>
  <c r="O764" i="2"/>
  <c r="O752" i="2"/>
  <c r="O740" i="2"/>
  <c r="O728" i="2"/>
  <c r="O716" i="2"/>
  <c r="O704" i="2"/>
  <c r="O692" i="2"/>
  <c r="O680" i="2"/>
  <c r="O668" i="2"/>
  <c r="O656" i="2"/>
  <c r="O644" i="2"/>
  <c r="O632" i="2"/>
  <c r="O620" i="2"/>
  <c r="O608" i="2"/>
  <c r="O596" i="2"/>
  <c r="O584" i="2"/>
  <c r="O572" i="2"/>
  <c r="O5192" i="2"/>
  <c r="O5180" i="2"/>
  <c r="O5156" i="2"/>
  <c r="O5096" i="2"/>
  <c r="O5060" i="2"/>
  <c r="O4976" i="2"/>
  <c r="O4928" i="2"/>
  <c r="O4868" i="2"/>
  <c r="O4820" i="2"/>
  <c r="O4748" i="2"/>
  <c r="O4676" i="2"/>
  <c r="O4616" i="2"/>
  <c r="O4544" i="2"/>
  <c r="O4484" i="2"/>
  <c r="O4400" i="2"/>
  <c r="O4316" i="2"/>
  <c r="O4232" i="2"/>
  <c r="O4196" i="2"/>
  <c r="O4136" i="2"/>
  <c r="O4064" i="2"/>
  <c r="O3968" i="2"/>
  <c r="O3908" i="2"/>
  <c r="O3824" i="2"/>
  <c r="O3776" i="2"/>
  <c r="O3716" i="2"/>
  <c r="O3668" i="2"/>
  <c r="O3608" i="2"/>
  <c r="O3572" i="2"/>
  <c r="O3512" i="2"/>
  <c r="O3476" i="2"/>
  <c r="O3380" i="2"/>
  <c r="O3344" i="2"/>
  <c r="O3272" i="2"/>
  <c r="O3224" i="2"/>
  <c r="O3164" i="2"/>
  <c r="O3104" i="2"/>
  <c r="O3032" i="2"/>
  <c r="O3020" i="2"/>
  <c r="O2972" i="2"/>
  <c r="O2924" i="2"/>
  <c r="O2876" i="2"/>
  <c r="O2852" i="2"/>
  <c r="O2816" i="2"/>
  <c r="O2708" i="2"/>
  <c r="O2660" i="2"/>
  <c r="O2600" i="2"/>
  <c r="O2576" i="2"/>
  <c r="O2516" i="2"/>
  <c r="O2456" i="2"/>
  <c r="O2420" i="2"/>
  <c r="O2336" i="2"/>
  <c r="O2264" i="2"/>
  <c r="O2228" i="2"/>
  <c r="O2144" i="2"/>
  <c r="O2096" i="2"/>
  <c r="O1988" i="2"/>
  <c r="O1940" i="2"/>
  <c r="O1844" i="2"/>
  <c r="O1784" i="2"/>
  <c r="O1724" i="2"/>
  <c r="O1640" i="2"/>
  <c r="O1616" i="2"/>
  <c r="O1568" i="2"/>
  <c r="O1460" i="2"/>
  <c r="O1400" i="2"/>
  <c r="O1352" i="2"/>
  <c r="O1328" i="2"/>
  <c r="O1292" i="2"/>
  <c r="O1208" i="2"/>
  <c r="O1124" i="2"/>
  <c r="O1040" i="2"/>
  <c r="O992" i="2"/>
  <c r="O944" i="2"/>
  <c r="O896" i="2"/>
  <c r="O860" i="2"/>
  <c r="O5228" i="2"/>
  <c r="O5132" i="2"/>
  <c r="O5072" i="2"/>
  <c r="O5024" i="2"/>
  <c r="O4964" i="2"/>
  <c r="O4904" i="2"/>
  <c r="O4856" i="2"/>
  <c r="O4796" i="2"/>
  <c r="O4760" i="2"/>
  <c r="O4712" i="2"/>
  <c r="O4640" i="2"/>
  <c r="O4580" i="2"/>
  <c r="O4520" i="2"/>
  <c r="O4448" i="2"/>
  <c r="O4364" i="2"/>
  <c r="O4292" i="2"/>
  <c r="O4220" i="2"/>
  <c r="O4172" i="2"/>
  <c r="O4124" i="2"/>
  <c r="O4088" i="2"/>
  <c r="O4028" i="2"/>
  <c r="O4004" i="2"/>
  <c r="O3944" i="2"/>
  <c r="O3872" i="2"/>
  <c r="O3848" i="2"/>
  <c r="O3764" i="2"/>
  <c r="O3704" i="2"/>
  <c r="O3656" i="2"/>
  <c r="O3644" i="2"/>
  <c r="O3560" i="2"/>
  <c r="O3500" i="2"/>
  <c r="O3428" i="2"/>
  <c r="O3392" i="2"/>
  <c r="O3320" i="2"/>
  <c r="O3248" i="2"/>
  <c r="O3188" i="2"/>
  <c r="O3128" i="2"/>
  <c r="O3092" i="2"/>
  <c r="O3080" i="2"/>
  <c r="O3008" i="2"/>
  <c r="O2888" i="2"/>
  <c r="O2804" i="2"/>
  <c r="O2744" i="2"/>
  <c r="O2696" i="2"/>
  <c r="O2612" i="2"/>
  <c r="O2540" i="2"/>
  <c r="O2492" i="2"/>
  <c r="O2444" i="2"/>
  <c r="O2384" i="2"/>
  <c r="O2312" i="2"/>
  <c r="O2252" i="2"/>
  <c r="O2192" i="2"/>
  <c r="O2156" i="2"/>
  <c r="O2120" i="2"/>
  <c r="O2060" i="2"/>
  <c r="O2036" i="2"/>
  <c r="O1964" i="2"/>
  <c r="O1856" i="2"/>
  <c r="O1796" i="2"/>
  <c r="O1736" i="2"/>
  <c r="O1652" i="2"/>
  <c r="O1556" i="2"/>
  <c r="O1508" i="2"/>
  <c r="O1436" i="2"/>
  <c r="O1376" i="2"/>
  <c r="O1316" i="2"/>
  <c r="O1244" i="2"/>
  <c r="O1172" i="2"/>
  <c r="O1136" i="2"/>
  <c r="O1076" i="2"/>
  <c r="O1004" i="2"/>
  <c r="O956" i="2"/>
  <c r="O908" i="2"/>
  <c r="O824" i="2"/>
  <c r="O5204" i="2"/>
  <c r="O5144" i="2"/>
  <c r="O5084" i="2"/>
  <c r="O4988" i="2"/>
  <c r="O4916" i="2"/>
  <c r="O4880" i="2"/>
  <c r="O4808" i="2"/>
  <c r="O4736" i="2"/>
  <c r="O4688" i="2"/>
  <c r="O4628" i="2"/>
  <c r="O4568" i="2"/>
  <c r="O4508" i="2"/>
  <c r="O4460" i="2"/>
  <c r="O4424" i="2"/>
  <c r="O4376" i="2"/>
  <c r="O4340" i="2"/>
  <c r="O4304" i="2"/>
  <c r="O4256" i="2"/>
  <c r="O4184" i="2"/>
  <c r="O4112" i="2"/>
  <c r="O4040" i="2"/>
  <c r="O4016" i="2"/>
  <c r="O3956" i="2"/>
  <c r="O3860" i="2"/>
  <c r="O3812" i="2"/>
  <c r="O3752" i="2"/>
  <c r="O3692" i="2"/>
  <c r="O3596" i="2"/>
  <c r="O3524" i="2"/>
  <c r="O3440" i="2"/>
  <c r="O3368" i="2"/>
  <c r="O3308" i="2"/>
  <c r="O3236" i="2"/>
  <c r="O3212" i="2"/>
  <c r="O3140" i="2"/>
  <c r="O3056" i="2"/>
  <c r="O2996" i="2"/>
  <c r="O2900" i="2"/>
  <c r="O2828" i="2"/>
  <c r="O2792" i="2"/>
  <c r="O2756" i="2"/>
  <c r="O2684" i="2"/>
  <c r="O2636" i="2"/>
  <c r="O2588" i="2"/>
  <c r="O2528" i="2"/>
  <c r="O2480" i="2"/>
  <c r="O2408" i="2"/>
  <c r="O2360" i="2"/>
  <c r="O2276" i="2"/>
  <c r="O2204" i="2"/>
  <c r="O2132" i="2"/>
  <c r="O2072" i="2"/>
  <c r="O2012" i="2"/>
  <c r="O1952" i="2"/>
  <c r="O1904" i="2"/>
  <c r="O1868" i="2"/>
  <c r="O1808" i="2"/>
  <c r="O1760" i="2"/>
  <c r="O1688" i="2"/>
  <c r="O1628" i="2"/>
  <c r="O1592" i="2"/>
  <c r="O1544" i="2"/>
  <c r="O1472" i="2"/>
  <c r="O1388" i="2"/>
  <c r="O1304" i="2"/>
  <c r="O1256" i="2"/>
  <c r="O1196" i="2"/>
  <c r="O1160" i="2"/>
  <c r="O1100" i="2"/>
  <c r="O1064" i="2"/>
  <c r="O980" i="2"/>
  <c r="O920" i="2"/>
  <c r="O836" i="2"/>
  <c r="O5168" i="2"/>
  <c r="O5120" i="2"/>
  <c r="O5048" i="2"/>
  <c r="O5012" i="2"/>
  <c r="O4940" i="2"/>
  <c r="O4892" i="2"/>
  <c r="O4832" i="2"/>
  <c r="O4772" i="2"/>
  <c r="O4700" i="2"/>
  <c r="O4652" i="2"/>
  <c r="O4604" i="2"/>
  <c r="O4532" i="2"/>
  <c r="O4472" i="2"/>
  <c r="O4412" i="2"/>
  <c r="O4352" i="2"/>
  <c r="O4268" i="2"/>
  <c r="O4244" i="2"/>
  <c r="O4160" i="2"/>
  <c r="O4100" i="2"/>
  <c r="O4052" i="2"/>
  <c r="O3980" i="2"/>
  <c r="O3920" i="2"/>
  <c r="O3896" i="2"/>
  <c r="O3836" i="2"/>
  <c r="O3788" i="2"/>
  <c r="O3740" i="2"/>
  <c r="O3680" i="2"/>
  <c r="O3632" i="2"/>
  <c r="O3584" i="2"/>
  <c r="O3536" i="2"/>
  <c r="O3464" i="2"/>
  <c r="O3404" i="2"/>
  <c r="O3332" i="2"/>
  <c r="O3284" i="2"/>
  <c r="O3200" i="2"/>
  <c r="O3152" i="2"/>
  <c r="O3068" i="2"/>
  <c r="O2984" i="2"/>
  <c r="O2948" i="2"/>
  <c r="O2936" i="2"/>
  <c r="O2864" i="2"/>
  <c r="O2780" i="2"/>
  <c r="O2732" i="2"/>
  <c r="O2672" i="2"/>
  <c r="O2624" i="2"/>
  <c r="O2552" i="2"/>
  <c r="O2504" i="2"/>
  <c r="O2432" i="2"/>
  <c r="O2372" i="2"/>
  <c r="O2324" i="2"/>
  <c r="O2288" i="2"/>
  <c r="O2216" i="2"/>
  <c r="O2168" i="2"/>
  <c r="O2084" i="2"/>
  <c r="O2048" i="2"/>
  <c r="O2000" i="2"/>
  <c r="O1976" i="2"/>
  <c r="O1928" i="2"/>
  <c r="O1892" i="2"/>
  <c r="O1832" i="2"/>
  <c r="O1748" i="2"/>
  <c r="O1700" i="2"/>
  <c r="O1664" i="2"/>
  <c r="O1604" i="2"/>
  <c r="O1520" i="2"/>
  <c r="O1496" i="2"/>
  <c r="O1448" i="2"/>
  <c r="O1412" i="2"/>
  <c r="O1364" i="2"/>
  <c r="O1280" i="2"/>
  <c r="O1220" i="2"/>
  <c r="O1184" i="2"/>
  <c r="O1112" i="2"/>
  <c r="O1052" i="2"/>
  <c r="O1016" i="2"/>
  <c r="O932" i="2"/>
  <c r="O884" i="2"/>
  <c r="O812" i="2"/>
  <c r="O5216" i="2"/>
  <c r="O5108" i="2"/>
  <c r="O5036" i="2"/>
  <c r="O5000" i="2"/>
  <c r="O4952" i="2"/>
  <c r="O4844" i="2"/>
  <c r="O4784" i="2"/>
  <c r="O4724" i="2"/>
  <c r="O4664" i="2"/>
  <c r="O4592" i="2"/>
  <c r="O4556" i="2"/>
  <c r="O4496" i="2"/>
  <c r="O4436" i="2"/>
  <c r="O4388" i="2"/>
  <c r="O4328" i="2"/>
  <c r="O4280" i="2"/>
  <c r="O4208" i="2"/>
  <c r="O4148" i="2"/>
  <c r="O4076" i="2"/>
  <c r="O3992" i="2"/>
  <c r="O3932" i="2"/>
  <c r="O3884" i="2"/>
  <c r="O3800" i="2"/>
  <c r="O3728" i="2"/>
  <c r="O3620" i="2"/>
  <c r="O3548" i="2"/>
  <c r="O3488" i="2"/>
  <c r="O3452" i="2"/>
  <c r="O3416" i="2"/>
  <c r="O3356" i="2"/>
  <c r="O3296" i="2"/>
  <c r="O3260" i="2"/>
  <c r="O3176" i="2"/>
  <c r="O3116" i="2"/>
  <c r="O3044" i="2"/>
  <c r="O2960" i="2"/>
  <c r="O2912" i="2"/>
  <c r="O2840" i="2"/>
  <c r="O2768" i="2"/>
  <c r="O2720" i="2"/>
  <c r="O2648" i="2"/>
  <c r="O2564" i="2"/>
  <c r="O2468" i="2"/>
  <c r="O2396" i="2"/>
  <c r="O2348" i="2"/>
  <c r="O2300" i="2"/>
  <c r="O2240" i="2"/>
  <c r="O2180" i="2"/>
  <c r="O2108" i="2"/>
  <c r="O2024" i="2"/>
  <c r="O1916" i="2"/>
  <c r="O1880" i="2"/>
  <c r="O1820" i="2"/>
  <c r="O1772" i="2"/>
  <c r="O1712" i="2"/>
  <c r="O1676" i="2"/>
  <c r="O1580" i="2"/>
  <c r="O1532" i="2"/>
  <c r="O1484" i="2"/>
  <c r="O1424" i="2"/>
  <c r="O1340" i="2"/>
  <c r="O1268" i="2"/>
  <c r="O1232" i="2"/>
  <c r="O1148" i="2"/>
  <c r="O1088" i="2"/>
  <c r="O1028" i="2"/>
  <c r="O968" i="2"/>
  <c r="O872" i="2"/>
  <c r="O848" i="2"/>
  <c r="O5203" i="2"/>
  <c r="O5155" i="2"/>
  <c r="O5083" i="2"/>
  <c r="O5059" i="2"/>
  <c r="O4987" i="2"/>
  <c r="O4915" i="2"/>
  <c r="O4891" i="2"/>
  <c r="O4819" i="2"/>
  <c r="O4771" i="2"/>
  <c r="O4723" i="2"/>
  <c r="O4687" i="2"/>
  <c r="O4663" i="2"/>
  <c r="O4627" i="2"/>
  <c r="O4555" i="2"/>
  <c r="O4507" i="2"/>
  <c r="O4483" i="2"/>
  <c r="O4423" i="2"/>
  <c r="O4375" i="2"/>
  <c r="O4315" i="2"/>
  <c r="O4279" i="2"/>
  <c r="O4231" i="2"/>
  <c r="O4195" i="2"/>
  <c r="O4147" i="2"/>
  <c r="O4099" i="2"/>
  <c r="O4039" i="2"/>
  <c r="O3991" i="2"/>
  <c r="O3931" i="2"/>
  <c r="O3871" i="2"/>
  <c r="O3811" i="2"/>
  <c r="O3763" i="2"/>
  <c r="O3715" i="2"/>
  <c r="O3655" i="2"/>
  <c r="O3607" i="2"/>
  <c r="O3535" i="2"/>
  <c r="O3487" i="2"/>
  <c r="O3439" i="2"/>
  <c r="O3415" i="2"/>
  <c r="O3355" i="2"/>
  <c r="O3307" i="2"/>
  <c r="O3259" i="2"/>
  <c r="O3199" i="2"/>
  <c r="O3175" i="2"/>
  <c r="O3103" i="2"/>
  <c r="O3067" i="2"/>
  <c r="O3043" i="2"/>
  <c r="O2983" i="2"/>
  <c r="O2935" i="2"/>
  <c r="O2899" i="2"/>
  <c r="O2851" i="2"/>
  <c r="O2767" i="2"/>
  <c r="O2719" i="2"/>
  <c r="O2635" i="2"/>
  <c r="O2587" i="2"/>
  <c r="O2551" i="2"/>
  <c r="O2503" i="2"/>
  <c r="O2455" i="2"/>
  <c r="O2419" i="2"/>
  <c r="O2359" i="2"/>
  <c r="O2287" i="2"/>
  <c r="O2227" i="2"/>
  <c r="O2203" i="2"/>
  <c r="O2143" i="2"/>
  <c r="O2107" i="2"/>
  <c r="O2035" i="2"/>
  <c r="O1987" i="2"/>
  <c r="O1951" i="2"/>
  <c r="O1903" i="2"/>
  <c r="O1855" i="2"/>
  <c r="O1831" i="2"/>
  <c r="O1795" i="2"/>
  <c r="O1771" i="2"/>
  <c r="O1759" i="2"/>
  <c r="O1747" i="2"/>
  <c r="O1735" i="2"/>
  <c r="O1711" i="2"/>
  <c r="O1699" i="2"/>
  <c r="O1687" i="2"/>
  <c r="O1663" i="2"/>
  <c r="O1651" i="2"/>
  <c r="O1639" i="2"/>
  <c r="O1627" i="2"/>
  <c r="O1615" i="2"/>
  <c r="O1603" i="2"/>
  <c r="O1591" i="2"/>
  <c r="O5227" i="2"/>
  <c r="O5179" i="2"/>
  <c r="O5143" i="2"/>
  <c r="O5107" i="2"/>
  <c r="O5047" i="2"/>
  <c r="O5023" i="2"/>
  <c r="O4999" i="2"/>
  <c r="O4951" i="2"/>
  <c r="O4903" i="2"/>
  <c r="O4855" i="2"/>
  <c r="O4807" i="2"/>
  <c r="O4747" i="2"/>
  <c r="O4711" i="2"/>
  <c r="O4651" i="2"/>
  <c r="O4591" i="2"/>
  <c r="O4543" i="2"/>
  <c r="O4495" i="2"/>
  <c r="O4435" i="2"/>
  <c r="O4387" i="2"/>
  <c r="O4339" i="2"/>
  <c r="O4291" i="2"/>
  <c r="O4255" i="2"/>
  <c r="O4207" i="2"/>
  <c r="O4171" i="2"/>
  <c r="O4123" i="2"/>
  <c r="O4087" i="2"/>
  <c r="O4027" i="2"/>
  <c r="O4003" i="2"/>
  <c r="O3943" i="2"/>
  <c r="O3895" i="2"/>
  <c r="O3883" i="2"/>
  <c r="O3799" i="2"/>
  <c r="O3751" i="2"/>
  <c r="O3703" i="2"/>
  <c r="O3679" i="2"/>
  <c r="O3631" i="2"/>
  <c r="O3571" i="2"/>
  <c r="O3523" i="2"/>
  <c r="O3451" i="2"/>
  <c r="O3391" i="2"/>
  <c r="O3319" i="2"/>
  <c r="O3283" i="2"/>
  <c r="O3247" i="2"/>
  <c r="O3187" i="2"/>
  <c r="O3163" i="2"/>
  <c r="O3091" i="2"/>
  <c r="O3031" i="2"/>
  <c r="O3007" i="2"/>
  <c r="O2947" i="2"/>
  <c r="O2911" i="2"/>
  <c r="O2875" i="2"/>
  <c r="O2815" i="2"/>
  <c r="O2779" i="2"/>
  <c r="O2731" i="2"/>
  <c r="O2695" i="2"/>
  <c r="O2671" i="2"/>
  <c r="O2647" i="2"/>
  <c r="O2563" i="2"/>
  <c r="O2527" i="2"/>
  <c r="O2467" i="2"/>
  <c r="O2443" i="2"/>
  <c r="O2407" i="2"/>
  <c r="O2371" i="2"/>
  <c r="O2335" i="2"/>
  <c r="O2275" i="2"/>
  <c r="O2239" i="2"/>
  <c r="O2215" i="2"/>
  <c r="O2167" i="2"/>
  <c r="O2131" i="2"/>
  <c r="O2059" i="2"/>
  <c r="O2047" i="2"/>
  <c r="O1975" i="2"/>
  <c r="O1939" i="2"/>
  <c r="O1927" i="2"/>
  <c r="O1879" i="2"/>
  <c r="O1723" i="2"/>
  <c r="O5167" i="2"/>
  <c r="O5095" i="2"/>
  <c r="O5035" i="2"/>
  <c r="O4963" i="2"/>
  <c r="O4927" i="2"/>
  <c r="O4879" i="2"/>
  <c r="O4843" i="2"/>
  <c r="O4759" i="2"/>
  <c r="O4699" i="2"/>
  <c r="O4639" i="2"/>
  <c r="O4603" i="2"/>
  <c r="O4579" i="2"/>
  <c r="O4531" i="2"/>
  <c r="O4471" i="2"/>
  <c r="O4447" i="2"/>
  <c r="O4411" i="2"/>
  <c r="O4363" i="2"/>
  <c r="O4303" i="2"/>
  <c r="O4243" i="2"/>
  <c r="O4159" i="2"/>
  <c r="O4111" i="2"/>
  <c r="O4063" i="2"/>
  <c r="O3979" i="2"/>
  <c r="O3919" i="2"/>
  <c r="O3859" i="2"/>
  <c r="O3835" i="2"/>
  <c r="O3787" i="2"/>
  <c r="O3739" i="2"/>
  <c r="O3667" i="2"/>
  <c r="O3619" i="2"/>
  <c r="O3583" i="2"/>
  <c r="O3547" i="2"/>
  <c r="O3463" i="2"/>
  <c r="O3403" i="2"/>
  <c r="O3367" i="2"/>
  <c r="O3331" i="2"/>
  <c r="O3271" i="2"/>
  <c r="O3223" i="2"/>
  <c r="O3139" i="2"/>
  <c r="O3127" i="2"/>
  <c r="O3055" i="2"/>
  <c r="O2995" i="2"/>
  <c r="O2959" i="2"/>
  <c r="O2887" i="2"/>
  <c r="O2839" i="2"/>
  <c r="O2827" i="2"/>
  <c r="O2791" i="2"/>
  <c r="O2743" i="2"/>
  <c r="O2683" i="2"/>
  <c r="O2623" i="2"/>
  <c r="O2575" i="2"/>
  <c r="O2515" i="2"/>
  <c r="O2431" i="2"/>
  <c r="O2383" i="2"/>
  <c r="O2323" i="2"/>
  <c r="O2299" i="2"/>
  <c r="O2263" i="2"/>
  <c r="O2179" i="2"/>
  <c r="O2095" i="2"/>
  <c r="O2071" i="2"/>
  <c r="O2011" i="2"/>
  <c r="O1999" i="2"/>
  <c r="O1963" i="2"/>
  <c r="O1915" i="2"/>
  <c r="O1891" i="2"/>
  <c r="O1867" i="2"/>
  <c r="O1843" i="2"/>
  <c r="O1819" i="2"/>
  <c r="O1783" i="2"/>
  <c r="O1675" i="2"/>
  <c r="O5215" i="2"/>
  <c r="O5191" i="2"/>
  <c r="O5131" i="2"/>
  <c r="O5119" i="2"/>
  <c r="O5071" i="2"/>
  <c r="O5011" i="2"/>
  <c r="O4975" i="2"/>
  <c r="O4939" i="2"/>
  <c r="O4867" i="2"/>
  <c r="O4831" i="2"/>
  <c r="O4795" i="2"/>
  <c r="O4783" i="2"/>
  <c r="O4735" i="2"/>
  <c r="O4675" i="2"/>
  <c r="O4615" i="2"/>
  <c r="O4567" i="2"/>
  <c r="O4519" i="2"/>
  <c r="O4459" i="2"/>
  <c r="O4399" i="2"/>
  <c r="O4351" i="2"/>
  <c r="O4327" i="2"/>
  <c r="O4267" i="2"/>
  <c r="O4219" i="2"/>
  <c r="O4183" i="2"/>
  <c r="O4135" i="2"/>
  <c r="O4075" i="2"/>
  <c r="O4051" i="2"/>
  <c r="O4015" i="2"/>
  <c r="O3967" i="2"/>
  <c r="O3955" i="2"/>
  <c r="O3907" i="2"/>
  <c r="O3847" i="2"/>
  <c r="O3823" i="2"/>
  <c r="O3775" i="2"/>
  <c r="O3727" i="2"/>
  <c r="O3691" i="2"/>
  <c r="O3643" i="2"/>
  <c r="O3595" i="2"/>
  <c r="O3559" i="2"/>
  <c r="O3511" i="2"/>
  <c r="O3499" i="2"/>
  <c r="O3475" i="2"/>
  <c r="O3427" i="2"/>
  <c r="O3379" i="2"/>
  <c r="O3343" i="2"/>
  <c r="O3295" i="2"/>
  <c r="O3235" i="2"/>
  <c r="O3211" i="2"/>
  <c r="O3151" i="2"/>
  <c r="O3115" i="2"/>
  <c r="O3079" i="2"/>
  <c r="O3019" i="2"/>
  <c r="O2971" i="2"/>
  <c r="O2923" i="2"/>
  <c r="O2863" i="2"/>
  <c r="O2803" i="2"/>
  <c r="O2755" i="2"/>
  <c r="O2707" i="2"/>
  <c r="O2659" i="2"/>
  <c r="O2611" i="2"/>
  <c r="O2599" i="2"/>
  <c r="O2539" i="2"/>
  <c r="O2491" i="2"/>
  <c r="O2479" i="2"/>
  <c r="O2395" i="2"/>
  <c r="O2347" i="2"/>
  <c r="O2311" i="2"/>
  <c r="O2251" i="2"/>
  <c r="O2191" i="2"/>
  <c r="O2155" i="2"/>
  <c r="O2119" i="2"/>
  <c r="O2083" i="2"/>
  <c r="O2023" i="2"/>
  <c r="O1807" i="2"/>
  <c r="O1579" i="2"/>
  <c r="O1567" i="2"/>
  <c r="O1555" i="2"/>
  <c r="O1543" i="2"/>
  <c r="O1531" i="2"/>
  <c r="O1519" i="2"/>
  <c r="O1507" i="2"/>
  <c r="O1495" i="2"/>
  <c r="O1483" i="2"/>
  <c r="O1471" i="2"/>
  <c r="O1459" i="2"/>
  <c r="O1447" i="2"/>
  <c r="O1435" i="2"/>
  <c r="O1423" i="2"/>
  <c r="O1411" i="2"/>
  <c r="O1399" i="2"/>
  <c r="O1387" i="2"/>
  <c r="O1375" i="2"/>
  <c r="O1363" i="2"/>
  <c r="O1351" i="2"/>
  <c r="O1339" i="2"/>
  <c r="O1327" i="2"/>
  <c r="O1315" i="2"/>
  <c r="O1303" i="2"/>
  <c r="O1291" i="2"/>
  <c r="O1279" i="2"/>
  <c r="O1267" i="2"/>
  <c r="O1255" i="2"/>
  <c r="O1243" i="2"/>
  <c r="O1231" i="2"/>
  <c r="O1219" i="2"/>
  <c r="O1207" i="2"/>
  <c r="O1195" i="2"/>
  <c r="O1183" i="2"/>
  <c r="O1171" i="2"/>
  <c r="O1159" i="2"/>
  <c r="O1147" i="2"/>
  <c r="O1135" i="2"/>
  <c r="O1123" i="2"/>
  <c r="O1111" i="2"/>
  <c r="O1099" i="2"/>
  <c r="O1087" i="2"/>
  <c r="O1075" i="2"/>
  <c r="O1063" i="2"/>
  <c r="O1051" i="2"/>
  <c r="O1039" i="2"/>
  <c r="O1027" i="2"/>
  <c r="O1015" i="2"/>
  <c r="O1003" i="2"/>
  <c r="O991" i="2"/>
  <c r="O979" i="2"/>
  <c r="O967" i="2"/>
  <c r="O955" i="2"/>
  <c r="O943" i="2"/>
  <c r="O931" i="2"/>
  <c r="O919" i="2"/>
  <c r="O907" i="2"/>
  <c r="O895" i="2"/>
  <c r="O883" i="2"/>
  <c r="O871" i="2"/>
  <c r="O859" i="2"/>
  <c r="O847" i="2"/>
  <c r="O835" i="2"/>
  <c r="O823" i="2"/>
  <c r="O811" i="2"/>
  <c r="O799" i="2"/>
  <c r="O787" i="2"/>
  <c r="O775" i="2"/>
  <c r="O763" i="2"/>
  <c r="O751" i="2"/>
  <c r="O739" i="2"/>
  <c r="O727" i="2"/>
  <c r="O715" i="2"/>
  <c r="O703" i="2"/>
  <c r="O691" i="2"/>
  <c r="O679" i="2"/>
  <c r="O667" i="2"/>
  <c r="O655" i="2"/>
  <c r="O643" i="2"/>
  <c r="O631" i="2"/>
  <c r="O619" i="2"/>
  <c r="O607" i="2"/>
  <c r="O595" i="2"/>
  <c r="O583" i="2"/>
  <c r="O571" i="2"/>
  <c r="O5176" i="2"/>
  <c r="O5104" i="2"/>
  <c r="O5056" i="2"/>
  <c r="O5044" i="2"/>
  <c r="O5032" i="2"/>
  <c r="O5020" i="2"/>
  <c r="O5008" i="2"/>
  <c r="O4996" i="2"/>
  <c r="O4984" i="2"/>
  <c r="O4972" i="2"/>
  <c r="O4960" i="2"/>
  <c r="O4948" i="2"/>
  <c r="O4936" i="2"/>
  <c r="O4924" i="2"/>
  <c r="O4912" i="2"/>
  <c r="O4900" i="2"/>
  <c r="O4888" i="2"/>
  <c r="O4876" i="2"/>
  <c r="O4864" i="2"/>
  <c r="O4852" i="2"/>
  <c r="O4840" i="2"/>
  <c r="O4828" i="2"/>
  <c r="O4816" i="2"/>
  <c r="O4804" i="2"/>
  <c r="O4792" i="2"/>
  <c r="O4780" i="2"/>
  <c r="O4768" i="2"/>
  <c r="O4756" i="2"/>
  <c r="O4744" i="2"/>
  <c r="O4732" i="2"/>
  <c r="O4720" i="2"/>
  <c r="O4708" i="2"/>
  <c r="O4696" i="2"/>
  <c r="O4684" i="2"/>
  <c r="O4672" i="2"/>
  <c r="O4660" i="2"/>
  <c r="O4648" i="2"/>
  <c r="O4636" i="2"/>
  <c r="O4624" i="2"/>
  <c r="O4612" i="2"/>
  <c r="O4600" i="2"/>
  <c r="O4588" i="2"/>
  <c r="O4576" i="2"/>
  <c r="O4564" i="2"/>
  <c r="O4552" i="2"/>
  <c r="O4540" i="2"/>
  <c r="O4528" i="2"/>
  <c r="O4516" i="2"/>
  <c r="O4504" i="2"/>
  <c r="O4492" i="2"/>
  <c r="O4480" i="2"/>
  <c r="O4468" i="2"/>
  <c r="O4456" i="2"/>
  <c r="O4444" i="2"/>
  <c r="O4432" i="2"/>
  <c r="O4420" i="2"/>
  <c r="O4408" i="2"/>
  <c r="O4396" i="2"/>
  <c r="O4384" i="2"/>
  <c r="O4372" i="2"/>
  <c r="O4360" i="2"/>
  <c r="O4348" i="2"/>
  <c r="O4336" i="2"/>
  <c r="O4324" i="2"/>
  <c r="O4312" i="2"/>
  <c r="O4300" i="2"/>
  <c r="O4288" i="2"/>
  <c r="O4276" i="2"/>
  <c r="O4264" i="2"/>
  <c r="O4252" i="2"/>
  <c r="O4240" i="2"/>
  <c r="O4228" i="2"/>
  <c r="O4216" i="2"/>
  <c r="O4204" i="2"/>
  <c r="O4192" i="2"/>
  <c r="O4180" i="2"/>
  <c r="O4168" i="2"/>
  <c r="O4156" i="2"/>
  <c r="O4144" i="2"/>
  <c r="O4132" i="2"/>
  <c r="O4120" i="2"/>
  <c r="O4108" i="2"/>
  <c r="O4096" i="2"/>
  <c r="O4084" i="2"/>
  <c r="O4072" i="2"/>
  <c r="O4060" i="2"/>
  <c r="O4048" i="2"/>
  <c r="O4036" i="2"/>
  <c r="O4024" i="2"/>
  <c r="O4012" i="2"/>
  <c r="O4000" i="2"/>
  <c r="O3988" i="2"/>
  <c r="O3976" i="2"/>
  <c r="O3964" i="2"/>
  <c r="O3952" i="2"/>
  <c r="O3940" i="2"/>
  <c r="O3928" i="2"/>
  <c r="O3916" i="2"/>
  <c r="O3904" i="2"/>
  <c r="O3892" i="2"/>
  <c r="O3880" i="2"/>
  <c r="O3868" i="2"/>
  <c r="O3856" i="2"/>
  <c r="O3844" i="2"/>
  <c r="O3832" i="2"/>
  <c r="O3820" i="2"/>
  <c r="O3808" i="2"/>
  <c r="O3796" i="2"/>
  <c r="O3784" i="2"/>
  <c r="O3772" i="2"/>
  <c r="O3760" i="2"/>
  <c r="O3748" i="2"/>
  <c r="O3736" i="2"/>
  <c r="O3724" i="2"/>
  <c r="O3712" i="2"/>
  <c r="O3700" i="2"/>
  <c r="O3688" i="2"/>
  <c r="O3676" i="2"/>
  <c r="O3664" i="2"/>
  <c r="O3652" i="2"/>
  <c r="O3640" i="2"/>
  <c r="O5200" i="2"/>
  <c r="O5152" i="2"/>
  <c r="O5128" i="2"/>
  <c r="O5080" i="2"/>
  <c r="O5224" i="2"/>
  <c r="O5188" i="2"/>
  <c r="O5092" i="2"/>
  <c r="O5236" i="2"/>
  <c r="O5140" i="2"/>
  <c r="O5068" i="2"/>
  <c r="O5212" i="2"/>
  <c r="O5164" i="2"/>
  <c r="O5116" i="2"/>
  <c r="O3628" i="2"/>
  <c r="O3616" i="2"/>
  <c r="O3604" i="2"/>
  <c r="O3592" i="2"/>
  <c r="O3580" i="2"/>
  <c r="O3568" i="2"/>
  <c r="O3556" i="2"/>
  <c r="O3544" i="2"/>
  <c r="O3532" i="2"/>
  <c r="O3520" i="2"/>
  <c r="O3508" i="2"/>
  <c r="O3496" i="2"/>
  <c r="O3484" i="2"/>
  <c r="O3472" i="2"/>
  <c r="O3460" i="2"/>
  <c r="O3448" i="2"/>
  <c r="O3436" i="2"/>
  <c r="O3424" i="2"/>
  <c r="O3412" i="2"/>
  <c r="O3400" i="2"/>
  <c r="O3388" i="2"/>
  <c r="O3376" i="2"/>
  <c r="O3364" i="2"/>
  <c r="O3352" i="2"/>
  <c r="O3340" i="2"/>
  <c r="O3328" i="2"/>
  <c r="O3316" i="2"/>
  <c r="O3304" i="2"/>
  <c r="O3292" i="2"/>
  <c r="O3280" i="2"/>
  <c r="O3268" i="2"/>
  <c r="O3256" i="2"/>
  <c r="O3244" i="2"/>
  <c r="O3232" i="2"/>
  <c r="O3220" i="2"/>
  <c r="O3208" i="2"/>
  <c r="O3196" i="2"/>
  <c r="O3184" i="2"/>
  <c r="O3172" i="2"/>
  <c r="O3160" i="2"/>
  <c r="O3148" i="2"/>
  <c r="O3136" i="2"/>
  <c r="O3124" i="2"/>
  <c r="O3112" i="2"/>
  <c r="O3100" i="2"/>
  <c r="O3088" i="2"/>
  <c r="O3076" i="2"/>
  <c r="O3064" i="2"/>
  <c r="O3052" i="2"/>
  <c r="O3040" i="2"/>
  <c r="O3028" i="2"/>
  <c r="O3016" i="2"/>
  <c r="O3004" i="2"/>
  <c r="O2992" i="2"/>
  <c r="O2980" i="2"/>
  <c r="O2968" i="2"/>
  <c r="O2956" i="2"/>
  <c r="O2944" i="2"/>
  <c r="O2932" i="2"/>
  <c r="O2920" i="2"/>
  <c r="O2908" i="2"/>
  <c r="O2896" i="2"/>
  <c r="O2884" i="2"/>
  <c r="O2872" i="2"/>
  <c r="O2860" i="2"/>
  <c r="O2848" i="2"/>
  <c r="O2836" i="2"/>
  <c r="O2824" i="2"/>
  <c r="O2812" i="2"/>
  <c r="O2800" i="2"/>
  <c r="O2788" i="2"/>
  <c r="O2776" i="2"/>
  <c r="O2764" i="2"/>
  <c r="O2752" i="2"/>
  <c r="O2740" i="2"/>
  <c r="O2728" i="2"/>
  <c r="O2716" i="2"/>
  <c r="O2704" i="2"/>
  <c r="O2692" i="2"/>
  <c r="O2680" i="2"/>
  <c r="O2668" i="2"/>
  <c r="O2656" i="2"/>
  <c r="O2644" i="2"/>
  <c r="O2632" i="2"/>
  <c r="O2620" i="2"/>
  <c r="O2608" i="2"/>
  <c r="O2596" i="2"/>
  <c r="O2584" i="2"/>
  <c r="O2572" i="2"/>
  <c r="O2560" i="2"/>
  <c r="O2548" i="2"/>
  <c r="O2536" i="2"/>
  <c r="O2524" i="2"/>
  <c r="O2512" i="2"/>
  <c r="O2500" i="2"/>
  <c r="O2488" i="2"/>
  <c r="O2476" i="2"/>
  <c r="O2464" i="2"/>
  <c r="O2452" i="2"/>
  <c r="O2440" i="2"/>
  <c r="O2428" i="2"/>
  <c r="O2416" i="2"/>
  <c r="O2404" i="2"/>
  <c r="O2392" i="2"/>
  <c r="O2380" i="2"/>
  <c r="O2368" i="2"/>
  <c r="O2356" i="2"/>
  <c r="O2344" i="2"/>
  <c r="O2332" i="2"/>
  <c r="O2320" i="2"/>
  <c r="O2308" i="2"/>
  <c r="O2296" i="2"/>
  <c r="O2284" i="2"/>
  <c r="O2272" i="2"/>
  <c r="O2260" i="2"/>
  <c r="O2248" i="2"/>
  <c r="O2236" i="2"/>
  <c r="O2224" i="2"/>
  <c r="O2212" i="2"/>
  <c r="O2200" i="2"/>
  <c r="O2188" i="2"/>
  <c r="O2176" i="2"/>
  <c r="O2164" i="2"/>
  <c r="O2152" i="2"/>
  <c r="O2140" i="2"/>
  <c r="O2128" i="2"/>
  <c r="O2116" i="2"/>
  <c r="O2104" i="2"/>
  <c r="O2092" i="2"/>
  <c r="O2080" i="2"/>
  <c r="O2068" i="2"/>
  <c r="O2056" i="2"/>
  <c r="O2044" i="2"/>
  <c r="O2032" i="2"/>
  <c r="O2020" i="2"/>
  <c r="O2008" i="2"/>
  <c r="O1996" i="2"/>
  <c r="O1984" i="2"/>
  <c r="O1972" i="2"/>
  <c r="O1960" i="2"/>
  <c r="O1948" i="2"/>
  <c r="O1936" i="2"/>
  <c r="O1924" i="2"/>
  <c r="O1912" i="2"/>
  <c r="O1900" i="2"/>
  <c r="O1888" i="2"/>
  <c r="O1876" i="2"/>
  <c r="O1864" i="2"/>
  <c r="O1852" i="2"/>
  <c r="O1840" i="2"/>
  <c r="O1828" i="2"/>
  <c r="O1816" i="2"/>
  <c r="O1804" i="2"/>
  <c r="O1792" i="2"/>
  <c r="O1780" i="2"/>
  <c r="O1768" i="2"/>
  <c r="O1756" i="2"/>
  <c r="O1744" i="2"/>
  <c r="O1732" i="2"/>
  <c r="O1720" i="2"/>
  <c r="O1708" i="2"/>
  <c r="O1696" i="2"/>
  <c r="O1684" i="2"/>
  <c r="O1672" i="2"/>
  <c r="O1660" i="2"/>
  <c r="O1648" i="2"/>
  <c r="O1636" i="2"/>
  <c r="O1624" i="2"/>
  <c r="O1612" i="2"/>
  <c r="O1600" i="2"/>
  <c r="O1588" i="2"/>
  <c r="O1576" i="2"/>
  <c r="O1564" i="2"/>
  <c r="O1552" i="2"/>
  <c r="O1540" i="2"/>
  <c r="O1528" i="2"/>
  <c r="O1516" i="2"/>
  <c r="O1504" i="2"/>
  <c r="O1492" i="2"/>
  <c r="O1480" i="2"/>
  <c r="O1468" i="2"/>
  <c r="O1456" i="2"/>
  <c r="O1444" i="2"/>
  <c r="O1432" i="2"/>
  <c r="O1420" i="2"/>
  <c r="O1408" i="2"/>
  <c r="O1396" i="2"/>
  <c r="O1384" i="2"/>
  <c r="O1372" i="2"/>
  <c r="O1360" i="2"/>
  <c r="O1348" i="2"/>
  <c r="O1336" i="2"/>
  <c r="O1324" i="2"/>
  <c r="O1312" i="2"/>
  <c r="O1300" i="2"/>
  <c r="O1288" i="2"/>
  <c r="O1276" i="2"/>
  <c r="O1264" i="2"/>
  <c r="O1252" i="2"/>
  <c r="O1240" i="2"/>
  <c r="O1228" i="2"/>
  <c r="O1216" i="2"/>
  <c r="O1204" i="2"/>
  <c r="O1192" i="2"/>
  <c r="O1180" i="2"/>
  <c r="O1168" i="2"/>
  <c r="O1156" i="2"/>
  <c r="O1144" i="2"/>
  <c r="O1132" i="2"/>
  <c r="O1120" i="2"/>
  <c r="O1108" i="2"/>
  <c r="O1096" i="2"/>
  <c r="O1084" i="2"/>
  <c r="O1072" i="2"/>
  <c r="O1060" i="2"/>
  <c r="O1048" i="2"/>
  <c r="O1036" i="2"/>
  <c r="O1024" i="2"/>
  <c r="O1012" i="2"/>
  <c r="O1000" i="2"/>
  <c r="O988" i="2"/>
  <c r="O976" i="2"/>
  <c r="O964" i="2"/>
  <c r="O952" i="2"/>
  <c r="O940" i="2"/>
  <c r="O928" i="2"/>
  <c r="O916" i="2"/>
  <c r="O904" i="2"/>
  <c r="O892" i="2"/>
  <c r="O880" i="2"/>
  <c r="O868" i="2"/>
  <c r="O856" i="2"/>
  <c r="O844" i="2"/>
  <c r="O832" i="2"/>
  <c r="O820" i="2"/>
  <c r="O808" i="2"/>
  <c r="O796" i="2"/>
  <c r="O784" i="2"/>
  <c r="O772" i="2"/>
  <c r="O760" i="2"/>
  <c r="O748" i="2"/>
  <c r="O736" i="2"/>
  <c r="O724" i="2"/>
  <c r="O712" i="2"/>
  <c r="O700" i="2"/>
  <c r="O688" i="2"/>
  <c r="O676" i="2"/>
  <c r="O664" i="2"/>
  <c r="O652" i="2"/>
  <c r="O640" i="2"/>
  <c r="O628" i="2"/>
  <c r="O616" i="2"/>
  <c r="O604" i="2"/>
  <c r="O592" i="2"/>
  <c r="O580" i="2"/>
  <c r="K4" i="2"/>
  <c r="I5" i="2"/>
  <c r="O5231" i="2"/>
  <c r="O5219" i="2"/>
  <c r="O5207" i="2"/>
  <c r="O5195" i="2"/>
  <c r="O5183" i="2"/>
  <c r="O5171" i="2"/>
  <c r="O5159" i="2"/>
  <c r="O5147" i="2"/>
  <c r="O5135" i="2"/>
  <c r="O5123" i="2"/>
  <c r="O5111" i="2"/>
  <c r="O5099" i="2"/>
  <c r="O5087" i="2"/>
  <c r="O5075" i="2"/>
  <c r="O5063" i="2"/>
  <c r="O5051" i="2"/>
  <c r="O5039" i="2"/>
  <c r="O5027" i="2"/>
  <c r="O5015" i="2"/>
  <c r="O5003" i="2"/>
  <c r="O4991" i="2"/>
  <c r="O4979" i="2"/>
  <c r="O4967" i="2"/>
  <c r="O4955" i="2"/>
  <c r="O4943" i="2"/>
  <c r="O4931" i="2"/>
  <c r="O4919" i="2"/>
  <c r="O4907" i="2"/>
  <c r="O4895" i="2"/>
  <c r="O4883" i="2"/>
  <c r="O4871" i="2"/>
  <c r="O4859" i="2"/>
  <c r="O4847" i="2"/>
  <c r="O4835" i="2"/>
  <c r="O4823" i="2"/>
  <c r="O4811" i="2"/>
  <c r="O4799" i="2"/>
  <c r="O4787" i="2"/>
  <c r="O4775" i="2"/>
  <c r="O4763" i="2"/>
  <c r="O4751" i="2"/>
  <c r="O4739" i="2"/>
  <c r="O4727" i="2"/>
  <c r="O4715" i="2"/>
  <c r="O4703" i="2"/>
  <c r="O4691" i="2"/>
  <c r="O4679" i="2"/>
  <c r="O4667" i="2"/>
  <c r="O4655" i="2"/>
  <c r="O4643" i="2"/>
  <c r="O4631" i="2"/>
  <c r="O4619" i="2"/>
  <c r="O4607" i="2"/>
  <c r="O4595" i="2"/>
  <c r="O4583" i="2"/>
  <c r="O4571" i="2"/>
  <c r="O4559" i="2"/>
  <c r="O4547" i="2"/>
  <c r="O4535" i="2"/>
  <c r="O4523" i="2"/>
  <c r="O4511" i="2"/>
  <c r="O4499" i="2"/>
  <c r="O4487" i="2"/>
  <c r="O4475" i="2"/>
  <c r="O4463" i="2"/>
  <c r="O4451" i="2"/>
  <c r="O4439" i="2"/>
  <c r="O4427" i="2"/>
  <c r="O4415" i="2"/>
  <c r="O4403" i="2"/>
  <c r="O4391" i="2"/>
  <c r="O4379" i="2"/>
  <c r="O4367" i="2"/>
  <c r="O4355" i="2"/>
  <c r="O4343" i="2"/>
  <c r="O4331" i="2"/>
  <c r="O4319" i="2"/>
  <c r="O4307" i="2"/>
  <c r="O4295" i="2"/>
  <c r="O4283" i="2"/>
  <c r="O4271" i="2"/>
  <c r="O4259" i="2"/>
  <c r="O4247" i="2"/>
  <c r="O4235" i="2"/>
  <c r="O4223" i="2"/>
  <c r="O4211" i="2"/>
  <c r="O4199" i="2"/>
  <c r="O4187" i="2"/>
  <c r="O4175" i="2"/>
  <c r="O4163" i="2"/>
  <c r="O4151" i="2"/>
  <c r="O4139" i="2"/>
  <c r="O4127" i="2"/>
  <c r="O4115" i="2"/>
  <c r="O4103" i="2"/>
  <c r="O4091" i="2"/>
  <c r="O4079" i="2"/>
  <c r="O4067" i="2"/>
  <c r="O4055" i="2"/>
  <c r="O4043" i="2"/>
  <c r="O4031" i="2"/>
  <c r="O4019" i="2"/>
  <c r="O4007" i="2"/>
  <c r="O3995" i="2"/>
  <c r="O3983" i="2"/>
  <c r="O3971" i="2"/>
  <c r="O3959" i="2"/>
  <c r="O3947" i="2"/>
  <c r="O3935" i="2"/>
  <c r="O3923" i="2"/>
  <c r="O3911" i="2"/>
  <c r="O3899" i="2"/>
  <c r="O3887" i="2"/>
  <c r="O3875" i="2"/>
  <c r="O3863" i="2"/>
  <c r="O3851" i="2"/>
  <c r="O3839" i="2"/>
  <c r="O3827" i="2"/>
  <c r="O3815" i="2"/>
  <c r="O3803" i="2"/>
  <c r="O3791" i="2"/>
  <c r="O5217" i="2"/>
  <c r="O5205" i="2"/>
  <c r="O5193" i="2"/>
  <c r="O5181" i="2"/>
  <c r="O5169" i="2"/>
  <c r="O5157" i="2"/>
  <c r="O5145" i="2"/>
  <c r="O5133" i="2"/>
  <c r="O5121" i="2"/>
  <c r="O5109" i="2"/>
  <c r="O5097" i="2"/>
  <c r="O5085" i="2"/>
  <c r="O5073" i="2"/>
  <c r="O5061" i="2"/>
  <c r="O5049" i="2"/>
  <c r="O5037" i="2"/>
  <c r="O5025" i="2"/>
  <c r="O5013" i="2"/>
  <c r="O5001" i="2"/>
  <c r="O4989" i="2"/>
  <c r="O4977" i="2"/>
  <c r="O4965" i="2"/>
  <c r="O4953" i="2"/>
  <c r="O4941" i="2"/>
  <c r="O4929" i="2"/>
  <c r="O4917" i="2"/>
  <c r="O4905" i="2"/>
  <c r="O4893" i="2"/>
  <c r="O4881" i="2"/>
  <c r="O4869" i="2"/>
  <c r="O4857" i="2"/>
  <c r="O4845" i="2"/>
  <c r="O4833" i="2"/>
  <c r="O4821" i="2"/>
  <c r="O4809" i="2"/>
  <c r="O4797" i="2"/>
  <c r="O4785" i="2"/>
  <c r="O4773" i="2"/>
  <c r="O4761" i="2"/>
  <c r="O4749" i="2"/>
  <c r="O4737" i="2"/>
  <c r="O4725" i="2"/>
  <c r="O4713" i="2"/>
  <c r="O4701" i="2"/>
  <c r="O4689" i="2"/>
  <c r="O4677" i="2"/>
  <c r="O4665" i="2"/>
  <c r="O4653" i="2"/>
  <c r="O4641" i="2"/>
  <c r="O4629" i="2"/>
  <c r="O4617" i="2"/>
  <c r="O4605" i="2"/>
  <c r="O4593" i="2"/>
  <c r="O4581" i="2"/>
  <c r="O4569" i="2"/>
  <c r="O4557" i="2"/>
  <c r="O4545" i="2"/>
  <c r="O4533" i="2"/>
  <c r="O4521" i="2"/>
  <c r="O4509" i="2"/>
  <c r="O4497" i="2"/>
  <c r="O4485" i="2"/>
  <c r="O4473" i="2"/>
  <c r="O4461" i="2"/>
  <c r="O4449" i="2"/>
  <c r="O4437" i="2"/>
  <c r="O4425" i="2"/>
  <c r="O4413" i="2"/>
  <c r="O4401" i="2"/>
  <c r="O4389" i="2"/>
  <c r="O4377" i="2"/>
  <c r="O4365" i="2"/>
  <c r="O4353" i="2"/>
  <c r="O4341" i="2"/>
  <c r="O4329" i="2"/>
  <c r="O4317" i="2"/>
  <c r="O4305" i="2"/>
  <c r="O4293" i="2"/>
  <c r="O4281" i="2"/>
  <c r="O4269" i="2"/>
  <c r="O4257" i="2"/>
  <c r="O4245" i="2"/>
  <c r="O4233" i="2"/>
  <c r="O4221" i="2"/>
  <c r="O4209" i="2"/>
  <c r="O4197" i="2"/>
  <c r="O4185" i="2"/>
  <c r="O4173" i="2"/>
  <c r="O4161" i="2"/>
  <c r="O4149" i="2"/>
  <c r="O4137" i="2"/>
  <c r="O4125" i="2"/>
  <c r="O4113" i="2"/>
  <c r="O4101" i="2"/>
  <c r="O4089" i="2"/>
  <c r="O4077" i="2"/>
  <c r="O4065" i="2"/>
  <c r="O4053" i="2"/>
  <c r="O4041" i="2"/>
  <c r="O4029" i="2"/>
  <c r="O4017" i="2"/>
  <c r="O4005" i="2"/>
  <c r="O3993" i="2"/>
  <c r="O3981" i="2"/>
  <c r="O3969" i="2"/>
  <c r="O3957" i="2"/>
  <c r="O3945" i="2"/>
  <c r="O3933" i="2"/>
  <c r="O3921" i="2"/>
  <c r="O3909" i="2"/>
  <c r="O3897" i="2"/>
  <c r="O3885" i="2"/>
  <c r="O3873" i="2"/>
  <c r="O3861" i="2"/>
  <c r="O3849" i="2"/>
  <c r="O3837" i="2"/>
  <c r="O3825" i="2"/>
  <c r="O3813" i="2"/>
  <c r="O3801" i="2"/>
  <c r="O3789" i="2"/>
  <c r="O3777" i="2"/>
  <c r="O3765" i="2"/>
  <c r="O3753" i="2"/>
  <c r="O3741" i="2"/>
  <c r="O3729" i="2"/>
  <c r="O3717" i="2"/>
  <c r="O3705" i="2"/>
  <c r="O3693" i="2"/>
  <c r="O3681" i="2"/>
  <c r="O3669" i="2"/>
  <c r="O3657" i="2"/>
  <c r="O3645" i="2"/>
  <c r="O3633" i="2"/>
  <c r="O3621" i="2"/>
  <c r="O3609" i="2"/>
  <c r="O3597" i="2"/>
  <c r="O3585" i="2"/>
  <c r="O3573" i="2"/>
  <c r="O3561" i="2"/>
  <c r="O3549" i="2"/>
  <c r="O3537" i="2"/>
  <c r="O3525" i="2"/>
  <c r="O3513" i="2"/>
  <c r="O3501" i="2"/>
  <c r="O3489" i="2"/>
  <c r="O3477" i="2"/>
  <c r="O3465" i="2"/>
  <c r="O3453" i="2"/>
  <c r="O3441" i="2"/>
  <c r="O3429" i="2"/>
  <c r="O3417" i="2"/>
  <c r="O3405" i="2"/>
  <c r="O5229" i="2"/>
  <c r="O3779" i="2"/>
  <c r="O3767" i="2"/>
  <c r="O3755" i="2"/>
  <c r="O3743" i="2"/>
  <c r="O3731" i="2"/>
  <c r="O3719" i="2"/>
  <c r="O3707" i="2"/>
  <c r="O3695" i="2"/>
  <c r="O3683" i="2"/>
  <c r="O3671" i="2"/>
  <c r="O3659" i="2"/>
  <c r="O3647" i="2"/>
  <c r="O3635" i="2"/>
  <c r="O3623" i="2"/>
  <c r="O3611" i="2"/>
  <c r="O3599" i="2"/>
  <c r="O3587" i="2"/>
  <c r="O3575" i="2"/>
  <c r="O3563" i="2"/>
  <c r="O3551" i="2"/>
  <c r="O3539" i="2"/>
  <c r="O3527" i="2"/>
  <c r="O3515" i="2"/>
  <c r="O3503" i="2"/>
  <c r="O3491" i="2"/>
  <c r="O3479" i="2"/>
  <c r="O3467" i="2"/>
  <c r="O3455" i="2"/>
  <c r="O3443" i="2"/>
  <c r="O3431" i="2"/>
  <c r="O3419" i="2"/>
  <c r="O3407" i="2"/>
  <c r="O3395" i="2"/>
  <c r="O3383" i="2"/>
  <c r="O3371" i="2"/>
  <c r="O3359" i="2"/>
  <c r="O3347" i="2"/>
  <c r="O3335" i="2"/>
  <c r="O3323" i="2"/>
  <c r="O3311" i="2"/>
  <c r="O3299" i="2"/>
  <c r="O3287" i="2"/>
  <c r="O3275" i="2"/>
  <c r="O3263" i="2"/>
  <c r="O3251" i="2"/>
  <c r="O3239" i="2"/>
  <c r="O3227" i="2"/>
  <c r="O3215" i="2"/>
  <c r="O3203" i="2"/>
  <c r="O3191" i="2"/>
  <c r="O3179" i="2"/>
  <c r="O3167" i="2"/>
  <c r="O3155" i="2"/>
  <c r="O3143" i="2"/>
  <c r="O3131" i="2"/>
  <c r="O3119" i="2"/>
  <c r="O3107" i="2"/>
  <c r="O3095" i="2"/>
  <c r="O3083" i="2"/>
  <c r="O3071" i="2"/>
  <c r="O3059" i="2"/>
  <c r="O3047" i="2"/>
  <c r="O3035" i="2"/>
  <c r="O3023" i="2"/>
  <c r="O3011" i="2"/>
  <c r="O2999" i="2"/>
  <c r="O2987" i="2"/>
  <c r="O2975" i="2"/>
  <c r="O2963" i="2"/>
  <c r="O2951" i="2"/>
  <c r="O2939" i="2"/>
  <c r="O2927" i="2"/>
  <c r="O2915" i="2"/>
  <c r="O2903" i="2"/>
  <c r="O2891" i="2"/>
  <c r="O2879" i="2"/>
  <c r="O2867" i="2"/>
  <c r="O2855" i="2"/>
  <c r="O2843" i="2"/>
  <c r="O2831" i="2"/>
  <c r="O2819" i="2"/>
  <c r="O2807" i="2"/>
  <c r="O2795" i="2"/>
  <c r="O2783" i="2"/>
  <c r="O2771" i="2"/>
  <c r="O2759" i="2"/>
  <c r="O2747" i="2"/>
  <c r="O2735" i="2"/>
  <c r="O2723" i="2"/>
  <c r="O2711" i="2"/>
  <c r="O2699" i="2"/>
  <c r="O2687" i="2"/>
  <c r="O2675" i="2"/>
  <c r="O2663" i="2"/>
  <c r="O2651" i="2"/>
  <c r="O2639" i="2"/>
  <c r="O2627" i="2"/>
  <c r="O2615" i="2"/>
  <c r="O2603" i="2"/>
  <c r="O2591" i="2"/>
  <c r="O2579" i="2"/>
  <c r="O2567" i="2"/>
  <c r="O2555" i="2"/>
  <c r="O2543" i="2"/>
  <c r="O2531" i="2"/>
  <c r="O2519" i="2"/>
  <c r="O2507" i="2"/>
  <c r="O2495" i="2"/>
  <c r="O2483" i="2"/>
  <c r="O2471" i="2"/>
  <c r="O2459" i="2"/>
  <c r="O2447" i="2"/>
  <c r="O2435" i="2"/>
  <c r="O2423" i="2"/>
  <c r="O2411" i="2"/>
  <c r="O2399" i="2"/>
  <c r="O2387" i="2"/>
  <c r="O2375" i="2"/>
  <c r="O2363" i="2"/>
  <c r="O2351" i="2"/>
  <c r="O2339" i="2"/>
  <c r="O2327" i="2"/>
  <c r="O2315" i="2"/>
  <c r="O2303" i="2"/>
  <c r="O2291" i="2"/>
  <c r="O2279" i="2"/>
  <c r="O2267" i="2"/>
  <c r="O2255" i="2"/>
  <c r="O2243" i="2"/>
  <c r="O2231" i="2"/>
  <c r="O2219" i="2"/>
  <c r="O2207" i="2"/>
  <c r="O2195" i="2"/>
  <c r="O2183" i="2"/>
  <c r="O2171" i="2"/>
  <c r="O2159" i="2"/>
  <c r="O2147" i="2"/>
  <c r="O2135" i="2"/>
  <c r="O2123" i="2"/>
  <c r="O2111" i="2"/>
  <c r="O2099" i="2"/>
  <c r="O2087" i="2"/>
  <c r="O2075" i="2"/>
  <c r="O2063" i="2"/>
  <c r="O2051" i="2"/>
  <c r="O2039" i="2"/>
  <c r="O2027" i="2"/>
  <c r="O2015" i="2"/>
  <c r="O2003" i="2"/>
  <c r="O1991" i="2"/>
  <c r="O1979" i="2"/>
  <c r="O1967" i="2"/>
  <c r="O1955" i="2"/>
  <c r="O1943" i="2"/>
  <c r="O1931" i="2"/>
  <c r="O1919" i="2"/>
  <c r="O1907" i="2"/>
  <c r="O1895" i="2"/>
  <c r="O1883" i="2"/>
  <c r="O1871" i="2"/>
  <c r="O1859" i="2"/>
  <c r="O1847" i="2"/>
  <c r="O1835" i="2"/>
  <c r="O1823" i="2"/>
  <c r="O1811" i="2"/>
  <c r="O1799" i="2"/>
  <c r="O1787" i="2"/>
  <c r="O1775" i="2"/>
  <c r="O1763" i="2"/>
  <c r="O1751" i="2"/>
  <c r="O3393" i="2"/>
  <c r="O3381" i="2"/>
  <c r="O3369" i="2"/>
  <c r="O3357" i="2"/>
  <c r="O3345" i="2"/>
  <c r="O3333" i="2"/>
  <c r="O3321" i="2"/>
  <c r="O3309" i="2"/>
  <c r="O3297" i="2"/>
  <c r="O3285" i="2"/>
  <c r="O3273" i="2"/>
  <c r="O3261" i="2"/>
  <c r="O3249" i="2"/>
  <c r="O3237" i="2"/>
  <c r="O3225" i="2"/>
  <c r="O3213" i="2"/>
  <c r="O3201" i="2"/>
  <c r="O3189" i="2"/>
  <c r="O3177" i="2"/>
  <c r="O3165" i="2"/>
  <c r="O3153" i="2"/>
  <c r="O3141" i="2"/>
  <c r="O3129" i="2"/>
  <c r="O3117" i="2"/>
  <c r="O3105" i="2"/>
  <c r="O3093" i="2"/>
  <c r="O3081" i="2"/>
  <c r="O3069" i="2"/>
  <c r="O3057" i="2"/>
  <c r="O3045" i="2"/>
  <c r="O3033" i="2"/>
  <c r="O3021" i="2"/>
  <c r="O3009" i="2"/>
  <c r="O2997" i="2"/>
  <c r="O2985" i="2"/>
  <c r="O2973" i="2"/>
  <c r="O2961" i="2"/>
  <c r="O2949" i="2"/>
  <c r="O2937" i="2"/>
  <c r="O2925" i="2"/>
  <c r="O2913" i="2"/>
  <c r="O2901" i="2"/>
  <c r="O2889" i="2"/>
  <c r="O2877" i="2"/>
  <c r="O2865" i="2"/>
  <c r="O2853" i="2"/>
  <c r="O2841" i="2"/>
  <c r="O2829" i="2"/>
  <c r="O2817" i="2"/>
  <c r="O2805" i="2"/>
  <c r="O2793" i="2"/>
  <c r="O2781" i="2"/>
  <c r="O2769" i="2"/>
  <c r="O2757" i="2"/>
  <c r="O2745" i="2"/>
  <c r="O2733" i="2"/>
  <c r="O2721" i="2"/>
  <c r="O2709" i="2"/>
  <c r="O2697" i="2"/>
  <c r="O2685" i="2"/>
  <c r="O2673" i="2"/>
  <c r="O2661" i="2"/>
  <c r="O2649" i="2"/>
  <c r="O2637" i="2"/>
  <c r="O2625" i="2"/>
  <c r="O2613" i="2"/>
  <c r="O2601" i="2"/>
  <c r="O2589" i="2"/>
  <c r="O2577" i="2"/>
  <c r="O2565" i="2"/>
  <c r="O2553" i="2"/>
  <c r="O2541" i="2"/>
  <c r="O2529" i="2"/>
  <c r="O2517" i="2"/>
  <c r="O2505" i="2"/>
  <c r="O2493" i="2"/>
  <c r="O2481" i="2"/>
  <c r="O2469" i="2"/>
  <c r="O2457" i="2"/>
  <c r="O2445" i="2"/>
  <c r="O2433" i="2"/>
  <c r="O2421" i="2"/>
  <c r="O2409" i="2"/>
  <c r="O2397" i="2"/>
  <c r="O2385" i="2"/>
  <c r="O2373" i="2"/>
  <c r="O2361" i="2"/>
  <c r="O2349" i="2"/>
  <c r="O2337" i="2"/>
  <c r="O2325" i="2"/>
  <c r="O2313" i="2"/>
  <c r="O2301" i="2"/>
  <c r="O2289" i="2"/>
  <c r="O2277" i="2"/>
  <c r="O2265" i="2"/>
  <c r="O2253" i="2"/>
  <c r="O2241" i="2"/>
  <c r="O2229" i="2"/>
  <c r="O2217" i="2"/>
  <c r="O2205" i="2"/>
  <c r="O2193" i="2"/>
  <c r="O2181" i="2"/>
  <c r="O2169" i="2"/>
  <c r="O2157" i="2"/>
  <c r="O2145" i="2"/>
  <c r="O2133" i="2"/>
  <c r="O2121" i="2"/>
  <c r="O2109" i="2"/>
  <c r="O2097" i="2"/>
  <c r="O2085" i="2"/>
  <c r="O2073" i="2"/>
  <c r="O2061" i="2"/>
  <c r="O2049" i="2"/>
  <c r="O2037" i="2"/>
  <c r="O2025" i="2"/>
  <c r="O2013" i="2"/>
  <c r="O2001" i="2"/>
  <c r="O1989" i="2"/>
  <c r="O1977" i="2"/>
  <c r="O1965" i="2"/>
  <c r="O1953" i="2"/>
  <c r="O1941" i="2"/>
  <c r="O1929" i="2"/>
  <c r="O1917" i="2"/>
  <c r="O1905" i="2"/>
  <c r="O1893" i="2"/>
  <c r="O1881" i="2"/>
  <c r="O1869" i="2"/>
  <c r="O1857" i="2"/>
  <c r="O1845" i="2"/>
  <c r="O1833" i="2"/>
  <c r="O1821" i="2"/>
  <c r="O1809" i="2"/>
  <c r="O1797" i="2"/>
  <c r="O1785" i="2"/>
  <c r="O1773" i="2"/>
  <c r="O1761" i="2"/>
  <c r="O1749" i="2"/>
  <c r="O1737" i="2"/>
  <c r="O1725" i="2"/>
  <c r="O1713" i="2"/>
  <c r="O1701" i="2"/>
  <c r="O1689" i="2"/>
  <c r="O1677" i="2"/>
  <c r="O1665" i="2"/>
  <c r="O1653" i="2"/>
  <c r="O1641" i="2"/>
  <c r="O1629" i="2"/>
  <c r="O1617" i="2"/>
  <c r="O1605" i="2"/>
  <c r="O1593" i="2"/>
  <c r="O1739" i="2"/>
  <c r="O1727" i="2"/>
  <c r="O1715" i="2"/>
  <c r="O1703" i="2"/>
  <c r="O1691" i="2"/>
  <c r="O1679" i="2"/>
  <c r="O1667" i="2"/>
  <c r="O1655" i="2"/>
  <c r="O1643" i="2"/>
  <c r="O1631" i="2"/>
  <c r="O1619" i="2"/>
  <c r="O1607" i="2"/>
  <c r="O1595" i="2"/>
  <c r="O1583" i="2"/>
  <c r="O1571" i="2"/>
  <c r="O1559" i="2"/>
  <c r="O1547" i="2"/>
  <c r="O1535" i="2"/>
  <c r="O1523" i="2"/>
  <c r="O1511" i="2"/>
  <c r="O1499" i="2"/>
  <c r="O1487" i="2"/>
  <c r="O1475" i="2"/>
  <c r="O1463" i="2"/>
  <c r="O1451" i="2"/>
  <c r="O1439" i="2"/>
  <c r="O1427" i="2"/>
  <c r="O1415" i="2"/>
  <c r="O1403" i="2"/>
  <c r="O1391" i="2"/>
  <c r="O1379" i="2"/>
  <c r="O1367" i="2"/>
  <c r="O1355" i="2"/>
  <c r="O1343" i="2"/>
  <c r="O1331" i="2"/>
  <c r="O1319" i="2"/>
  <c r="O1307" i="2"/>
  <c r="O1295" i="2"/>
  <c r="O1283" i="2"/>
  <c r="O1271" i="2"/>
  <c r="O1259" i="2"/>
  <c r="O1247" i="2"/>
  <c r="O1235" i="2"/>
  <c r="O1223" i="2"/>
  <c r="O1211" i="2"/>
  <c r="O1199" i="2"/>
  <c r="O1187" i="2"/>
  <c r="O1175" i="2"/>
  <c r="O1163" i="2"/>
  <c r="O1151" i="2"/>
  <c r="O1139" i="2"/>
  <c r="O1127" i="2"/>
  <c r="O1115" i="2"/>
  <c r="O1103" i="2"/>
  <c r="O1091" i="2"/>
  <c r="O1079" i="2"/>
  <c r="O1067" i="2"/>
  <c r="O1055" i="2"/>
  <c r="O1043" i="2"/>
  <c r="O1031" i="2"/>
  <c r="O1019" i="2"/>
  <c r="O1007" i="2"/>
  <c r="O995" i="2"/>
  <c r="O983" i="2"/>
  <c r="O971" i="2"/>
  <c r="O959" i="2"/>
  <c r="O947" i="2"/>
  <c r="O935" i="2"/>
  <c r="O923" i="2"/>
  <c r="O911" i="2"/>
  <c r="O899" i="2"/>
  <c r="O887" i="2"/>
  <c r="O875" i="2"/>
  <c r="O863" i="2"/>
  <c r="O851" i="2"/>
  <c r="O839" i="2"/>
  <c r="O827" i="2"/>
  <c r="O815" i="2"/>
  <c r="O803" i="2"/>
  <c r="O791" i="2"/>
  <c r="O779" i="2"/>
  <c r="O767" i="2"/>
  <c r="O755" i="2"/>
  <c r="O743" i="2"/>
  <c r="O731" i="2"/>
  <c r="O719" i="2"/>
  <c r="O707" i="2"/>
  <c r="O695" i="2"/>
  <c r="O683" i="2"/>
  <c r="O671" i="2"/>
  <c r="O659" i="2"/>
  <c r="O647" i="2"/>
  <c r="O635" i="2"/>
  <c r="O623" i="2"/>
  <c r="O611" i="2"/>
  <c r="O599" i="2"/>
  <c r="O587" i="2"/>
  <c r="O575" i="2"/>
  <c r="O1581" i="2"/>
  <c r="O1569" i="2"/>
  <c r="O1557" i="2"/>
  <c r="O1545" i="2"/>
  <c r="O1533" i="2"/>
  <c r="O1521" i="2"/>
  <c r="O1509" i="2"/>
  <c r="O1497" i="2"/>
  <c r="O1485" i="2"/>
  <c r="O1473" i="2"/>
  <c r="O1461" i="2"/>
  <c r="O1449" i="2"/>
  <c r="O1437" i="2"/>
  <c r="O1425" i="2"/>
  <c r="O1413" i="2"/>
  <c r="O1401" i="2"/>
  <c r="O1389" i="2"/>
  <c r="O1377" i="2"/>
  <c r="O1365" i="2"/>
  <c r="O1353" i="2"/>
  <c r="O1341" i="2"/>
  <c r="O1329" i="2"/>
  <c r="O1317" i="2"/>
  <c r="O1305" i="2"/>
  <c r="O1293" i="2"/>
  <c r="O1281" i="2"/>
  <c r="O1269" i="2"/>
  <c r="O1257" i="2"/>
  <c r="O1245" i="2"/>
  <c r="O1233" i="2"/>
  <c r="O1221" i="2"/>
  <c r="O1209" i="2"/>
  <c r="O1197" i="2"/>
  <c r="O1185" i="2"/>
  <c r="O1173" i="2"/>
  <c r="O1161" i="2"/>
  <c r="O1149" i="2"/>
  <c r="O1137" i="2"/>
  <c r="O1125" i="2"/>
  <c r="O1113" i="2"/>
  <c r="O1101" i="2"/>
  <c r="O1089" i="2"/>
  <c r="O1077" i="2"/>
  <c r="O1065" i="2"/>
  <c r="O1053" i="2"/>
  <c r="O1041" i="2"/>
  <c r="O1029" i="2"/>
  <c r="O1017" i="2"/>
  <c r="O1005" i="2"/>
  <c r="O993" i="2"/>
  <c r="O981" i="2"/>
  <c r="O969" i="2"/>
  <c r="O957" i="2"/>
  <c r="O945" i="2"/>
  <c r="O933" i="2"/>
  <c r="O921" i="2"/>
  <c r="O909" i="2"/>
  <c r="O897" i="2"/>
  <c r="O885" i="2"/>
  <c r="O873" i="2"/>
  <c r="O861" i="2"/>
  <c r="O849" i="2"/>
  <c r="O837" i="2"/>
  <c r="O825" i="2"/>
  <c r="O813" i="2"/>
  <c r="O801" i="2"/>
  <c r="O789" i="2"/>
  <c r="O777" i="2"/>
  <c r="O765" i="2"/>
  <c r="O753" i="2"/>
  <c r="O741" i="2"/>
  <c r="O729" i="2"/>
  <c r="O717" i="2"/>
  <c r="O705" i="2"/>
  <c r="O693" i="2"/>
  <c r="O681" i="2"/>
  <c r="O669" i="2"/>
  <c r="O657" i="2"/>
  <c r="O645" i="2"/>
  <c r="O633" i="2"/>
  <c r="O621" i="2"/>
  <c r="O609" i="2"/>
  <c r="O597" i="2"/>
  <c r="O585" i="2"/>
  <c r="O573" i="2"/>
  <c r="O5226" i="2"/>
  <c r="O5214" i="2"/>
  <c r="O5202" i="2"/>
  <c r="O5190" i="2"/>
  <c r="O5178" i="2"/>
  <c r="O5166" i="2"/>
  <c r="O5154" i="2"/>
  <c r="O5142" i="2"/>
  <c r="O5130" i="2"/>
  <c r="O5118" i="2"/>
  <c r="O5106" i="2"/>
  <c r="O5094" i="2"/>
  <c r="O5082" i="2"/>
  <c r="O5070" i="2"/>
  <c r="O5058" i="2"/>
  <c r="O5046" i="2"/>
  <c r="O5034" i="2"/>
  <c r="O5022" i="2"/>
  <c r="O5010" i="2"/>
  <c r="O4998" i="2"/>
  <c r="O4986" i="2"/>
  <c r="O4974" i="2"/>
  <c r="O4962" i="2"/>
  <c r="O4950" i="2"/>
  <c r="O4938" i="2"/>
  <c r="O4926" i="2"/>
  <c r="O4914" i="2"/>
  <c r="O4902" i="2"/>
  <c r="O4890" i="2"/>
  <c r="O4878" i="2"/>
  <c r="O4866" i="2"/>
  <c r="O4854" i="2"/>
  <c r="O4842" i="2"/>
  <c r="O4830" i="2"/>
  <c r="O4818" i="2"/>
  <c r="O4806" i="2"/>
  <c r="O4794" i="2"/>
  <c r="O4782" i="2"/>
  <c r="O4770" i="2"/>
  <c r="O4758" i="2"/>
  <c r="O4746" i="2"/>
  <c r="O4734" i="2"/>
  <c r="O4722" i="2"/>
  <c r="O4710" i="2"/>
  <c r="O4698" i="2"/>
  <c r="O4686" i="2"/>
  <c r="O4674" i="2"/>
  <c r="O4662" i="2"/>
  <c r="O4650" i="2"/>
  <c r="O4638" i="2"/>
  <c r="O4626" i="2"/>
  <c r="O4614" i="2"/>
  <c r="O4602" i="2"/>
  <c r="O4590" i="2"/>
  <c r="O4578" i="2"/>
  <c r="O4566" i="2"/>
  <c r="O4554" i="2"/>
  <c r="O4542" i="2"/>
  <c r="O4530" i="2"/>
  <c r="O4518" i="2"/>
  <c r="O4506" i="2"/>
  <c r="O4494" i="2"/>
  <c r="O4482" i="2"/>
  <c r="O4470" i="2"/>
  <c r="O4458" i="2"/>
  <c r="O4446" i="2"/>
  <c r="O4434" i="2"/>
  <c r="O4422" i="2"/>
  <c r="O4410" i="2"/>
  <c r="O4398" i="2"/>
  <c r="O4386" i="2"/>
  <c r="O4374" i="2"/>
  <c r="O4362" i="2"/>
  <c r="O4350" i="2"/>
  <c r="O4338" i="2"/>
  <c r="O4326" i="2"/>
  <c r="O4314" i="2"/>
  <c r="O4302" i="2"/>
  <c r="O4290" i="2"/>
  <c r="O4278" i="2"/>
  <c r="O4266" i="2"/>
  <c r="O4254" i="2"/>
  <c r="O4242" i="2"/>
  <c r="O4230" i="2"/>
  <c r="O4218" i="2"/>
  <c r="O4206" i="2"/>
  <c r="O4194" i="2"/>
  <c r="O4182" i="2"/>
  <c r="O4170" i="2"/>
  <c r="O4158" i="2"/>
  <c r="O4146" i="2"/>
  <c r="O4134" i="2"/>
  <c r="O4122" i="2"/>
  <c r="O4110" i="2"/>
  <c r="O4098" i="2"/>
  <c r="O4086" i="2"/>
  <c r="O4074" i="2"/>
  <c r="O4062" i="2"/>
  <c r="O4050" i="2"/>
  <c r="O4038" i="2"/>
  <c r="O4026" i="2"/>
  <c r="O4014" i="2"/>
  <c r="O4002" i="2"/>
  <c r="O3990" i="2"/>
  <c r="O3978" i="2"/>
  <c r="O3966" i="2"/>
  <c r="O3954" i="2"/>
  <c r="O3942" i="2"/>
  <c r="O3930" i="2"/>
  <c r="O3918" i="2"/>
  <c r="O3906" i="2"/>
  <c r="O3894" i="2"/>
  <c r="O3882" i="2"/>
  <c r="O3870" i="2"/>
  <c r="O3858" i="2"/>
  <c r="O3846" i="2"/>
  <c r="O3834" i="2"/>
  <c r="O3822" i="2"/>
  <c r="O3810" i="2"/>
  <c r="O3798" i="2"/>
  <c r="O3786" i="2"/>
  <c r="O3774" i="2"/>
  <c r="O3762" i="2"/>
  <c r="O3750" i="2"/>
  <c r="O3738" i="2"/>
  <c r="O3726" i="2"/>
  <c r="O3714" i="2"/>
  <c r="O3702" i="2"/>
  <c r="O3690" i="2"/>
  <c r="O3678" i="2"/>
  <c r="O3666" i="2"/>
  <c r="O3654" i="2"/>
  <c r="O3642" i="2"/>
  <c r="O3630" i="2"/>
  <c r="O3618" i="2"/>
  <c r="O3606" i="2"/>
  <c r="O3594" i="2"/>
  <c r="O3582" i="2"/>
  <c r="O3570" i="2"/>
  <c r="O3558" i="2"/>
  <c r="O3546" i="2"/>
  <c r="O3534" i="2"/>
  <c r="O3522" i="2"/>
  <c r="O3510" i="2"/>
  <c r="O3498" i="2"/>
  <c r="O3486" i="2"/>
  <c r="O3474" i="2"/>
  <c r="O3462" i="2"/>
  <c r="O3450" i="2"/>
  <c r="O3438" i="2"/>
  <c r="O3426" i="2"/>
  <c r="O3414" i="2"/>
  <c r="O3402" i="2"/>
  <c r="O3390" i="2"/>
  <c r="O3378" i="2"/>
  <c r="O3366" i="2"/>
  <c r="O3354" i="2"/>
  <c r="O3342" i="2"/>
  <c r="O3330" i="2"/>
  <c r="O3318" i="2"/>
  <c r="O3306" i="2"/>
  <c r="O3294" i="2"/>
  <c r="O3282" i="2"/>
  <c r="O3270" i="2"/>
  <c r="O3258" i="2"/>
  <c r="O3246" i="2"/>
  <c r="O3234" i="2"/>
  <c r="O3222" i="2"/>
  <c r="O3210" i="2"/>
  <c r="O3198" i="2"/>
  <c r="O3186" i="2"/>
  <c r="O3174" i="2"/>
  <c r="O3162" i="2"/>
  <c r="O3150" i="2"/>
  <c r="O3138" i="2"/>
  <c r="O3126" i="2"/>
  <c r="O3114" i="2"/>
  <c r="O3102" i="2"/>
  <c r="O3090" i="2"/>
  <c r="O3078" i="2"/>
  <c r="O3066" i="2"/>
  <c r="O3054" i="2"/>
  <c r="O3042" i="2"/>
  <c r="O3030" i="2"/>
  <c r="O3018" i="2"/>
  <c r="O3006" i="2"/>
  <c r="O2994" i="2"/>
  <c r="O2982" i="2"/>
  <c r="O2970" i="2"/>
  <c r="O2958" i="2"/>
  <c r="O2946" i="2"/>
  <c r="O2934" i="2"/>
  <c r="O2922" i="2"/>
  <c r="O2910" i="2"/>
  <c r="O2898" i="2"/>
  <c r="O2886" i="2"/>
  <c r="O2874" i="2"/>
  <c r="O2862" i="2"/>
  <c r="O2850" i="2"/>
  <c r="O2838" i="2"/>
  <c r="O2826" i="2"/>
  <c r="O2814" i="2"/>
  <c r="O2802" i="2"/>
  <c r="O2790" i="2"/>
  <c r="O2778" i="2"/>
  <c r="O2766" i="2"/>
  <c r="O2754" i="2"/>
  <c r="O2742" i="2"/>
  <c r="O2730" i="2"/>
  <c r="O2718" i="2"/>
  <c r="O2706" i="2"/>
  <c r="O2694" i="2"/>
  <c r="O2682" i="2"/>
  <c r="O2670" i="2"/>
  <c r="O2658" i="2"/>
  <c r="O2646" i="2"/>
  <c r="O2634" i="2"/>
  <c r="O2622" i="2"/>
  <c r="O2610" i="2"/>
  <c r="O2598" i="2"/>
  <c r="O2586" i="2"/>
  <c r="O2574" i="2"/>
  <c r="O2562" i="2"/>
  <c r="O2550" i="2"/>
  <c r="O2538" i="2"/>
  <c r="O2526" i="2"/>
  <c r="O2514" i="2"/>
  <c r="O2502" i="2"/>
  <c r="O2490" i="2"/>
  <c r="O2478" i="2"/>
  <c r="O2466" i="2"/>
  <c r="O2454" i="2"/>
  <c r="O2442" i="2"/>
  <c r="O2430" i="2"/>
  <c r="O2418" i="2"/>
  <c r="O2406" i="2"/>
  <c r="O2394" i="2"/>
  <c r="O2382" i="2"/>
  <c r="O2370" i="2"/>
  <c r="O2358" i="2"/>
  <c r="O2346" i="2"/>
  <c r="O2334" i="2"/>
  <c r="O2322" i="2"/>
  <c r="O2310" i="2"/>
  <c r="O2298" i="2"/>
  <c r="O2286" i="2"/>
  <c r="O2274" i="2"/>
  <c r="O2262" i="2"/>
  <c r="O2250" i="2"/>
  <c r="O2238" i="2"/>
  <c r="O2226" i="2"/>
  <c r="O2214" i="2"/>
  <c r="O2202" i="2"/>
  <c r="O2190" i="2"/>
  <c r="O2178" i="2"/>
  <c r="O2166" i="2"/>
  <c r="O2154" i="2"/>
  <c r="O2142" i="2"/>
  <c r="O2130" i="2"/>
  <c r="O2118" i="2"/>
  <c r="O2106" i="2"/>
  <c r="O2094" i="2"/>
  <c r="O2082" i="2"/>
  <c r="O2070" i="2"/>
  <c r="O2058" i="2"/>
  <c r="O2046" i="2"/>
  <c r="O2034" i="2"/>
  <c r="O2022" i="2"/>
  <c r="O2010" i="2"/>
  <c r="O1998" i="2"/>
  <c r="O1986" i="2"/>
  <c r="O1974" i="2"/>
  <c r="O1962" i="2"/>
  <c r="O1950" i="2"/>
  <c r="O1938" i="2"/>
  <c r="O1926" i="2"/>
  <c r="O1914" i="2"/>
  <c r="O1902" i="2"/>
  <c r="O1890" i="2"/>
  <c r="O1878" i="2"/>
  <c r="O1866" i="2"/>
  <c r="O1854" i="2"/>
  <c r="O1842" i="2"/>
  <c r="O1830" i="2"/>
  <c r="O1818" i="2"/>
  <c r="O1806" i="2"/>
  <c r="O1794" i="2"/>
  <c r="O1782" i="2"/>
  <c r="O1770" i="2"/>
  <c r="O1758" i="2"/>
  <c r="O1746" i="2"/>
  <c r="O1734" i="2"/>
  <c r="O1722" i="2"/>
  <c r="O1710" i="2"/>
  <c r="O1698" i="2"/>
  <c r="O1686" i="2"/>
  <c r="O1674" i="2"/>
  <c r="O1662" i="2"/>
  <c r="O1650" i="2"/>
  <c r="O1638" i="2"/>
  <c r="O1626" i="2"/>
  <c r="O1614" i="2"/>
  <c r="O1602" i="2"/>
  <c r="O1590" i="2"/>
  <c r="O1578" i="2"/>
  <c r="O1566" i="2"/>
  <c r="O1554" i="2"/>
  <c r="O1542" i="2"/>
  <c r="O1530" i="2"/>
  <c r="O1518" i="2"/>
  <c r="O1506" i="2"/>
  <c r="O1494" i="2"/>
  <c r="O1482" i="2"/>
  <c r="O1470" i="2"/>
  <c r="O1458" i="2"/>
  <c r="O1446" i="2"/>
  <c r="O1434" i="2"/>
  <c r="O1422" i="2"/>
  <c r="O1410" i="2"/>
  <c r="O1398" i="2"/>
  <c r="O1386" i="2"/>
  <c r="O1374" i="2"/>
  <c r="O1362" i="2"/>
  <c r="O1350" i="2"/>
  <c r="O1338" i="2"/>
  <c r="O1326" i="2"/>
  <c r="O1314" i="2"/>
  <c r="O1302" i="2"/>
  <c r="O1290" i="2"/>
  <c r="O1278" i="2"/>
  <c r="O1266" i="2"/>
  <c r="O1254" i="2"/>
  <c r="O1242" i="2"/>
  <c r="O1230" i="2"/>
  <c r="O1218" i="2"/>
  <c r="O1206" i="2"/>
  <c r="O1194" i="2"/>
  <c r="O1182" i="2"/>
  <c r="O1170" i="2"/>
  <c r="O1158" i="2"/>
  <c r="O1146" i="2"/>
  <c r="O1134" i="2"/>
  <c r="O1122" i="2"/>
  <c r="O1110" i="2"/>
  <c r="O1098" i="2"/>
  <c r="O1086" i="2"/>
  <c r="O1074" i="2"/>
  <c r="O1062" i="2"/>
  <c r="O1050" i="2"/>
  <c r="O1038" i="2"/>
  <c r="O1026" i="2"/>
  <c r="O1014" i="2"/>
  <c r="O1002" i="2"/>
  <c r="O990" i="2"/>
  <c r="O978" i="2"/>
  <c r="O966" i="2"/>
  <c r="O954" i="2"/>
  <c r="O942" i="2"/>
  <c r="O930" i="2"/>
  <c r="O918" i="2"/>
  <c r="O906" i="2"/>
  <c r="O894" i="2"/>
  <c r="O882" i="2"/>
  <c r="O870" i="2"/>
  <c r="O858" i="2"/>
  <c r="O846" i="2"/>
  <c r="O834" i="2"/>
  <c r="O822" i="2"/>
  <c r="O810" i="2"/>
  <c r="O798" i="2"/>
  <c r="O786" i="2"/>
  <c r="O774" i="2"/>
  <c r="O762" i="2"/>
  <c r="O750" i="2"/>
  <c r="O738" i="2"/>
  <c r="O726" i="2"/>
  <c r="O714" i="2"/>
  <c r="O702" i="2"/>
  <c r="O690" i="2"/>
  <c r="O678" i="2"/>
  <c r="O666" i="2"/>
  <c r="O654" i="2"/>
  <c r="O642" i="2"/>
  <c r="O630" i="2"/>
  <c r="O618" i="2"/>
  <c r="O606" i="2"/>
  <c r="O594" i="2"/>
  <c r="O582" i="2"/>
  <c r="O570" i="2"/>
  <c r="O5177" i="2"/>
  <c r="O5105" i="2"/>
  <c r="O5033" i="2"/>
  <c r="O4913" i="2"/>
  <c r="O4889" i="2"/>
  <c r="O4829" i="2"/>
  <c r="O4817" i="2"/>
  <c r="O4805" i="2"/>
  <c r="O4793" i="2"/>
  <c r="O4781" i="2"/>
  <c r="O4769" i="2"/>
  <c r="O4757" i="2"/>
  <c r="O4745" i="2"/>
  <c r="O4733" i="2"/>
  <c r="O4721" i="2"/>
  <c r="O4709" i="2"/>
  <c r="O4697" i="2"/>
  <c r="O4685" i="2"/>
  <c r="O4673" i="2"/>
  <c r="O4661" i="2"/>
  <c r="O4649" i="2"/>
  <c r="O4637" i="2"/>
  <c r="O4625" i="2"/>
  <c r="O4613" i="2"/>
  <c r="O4601" i="2"/>
  <c r="O4589" i="2"/>
  <c r="O4577" i="2"/>
  <c r="O4565" i="2"/>
  <c r="O4553" i="2"/>
  <c r="O4541" i="2"/>
  <c r="O4529" i="2"/>
  <c r="O4517" i="2"/>
  <c r="O4505" i="2"/>
  <c r="O4493" i="2"/>
  <c r="O4481" i="2"/>
  <c r="O4469" i="2"/>
  <c r="O4457" i="2"/>
  <c r="O4445" i="2"/>
  <c r="O4433" i="2"/>
  <c r="O4421" i="2"/>
  <c r="O4409" i="2"/>
  <c r="O4397" i="2"/>
  <c r="O4385" i="2"/>
  <c r="O4373" i="2"/>
  <c r="O4361" i="2"/>
  <c r="O4349" i="2"/>
  <c r="O4337" i="2"/>
  <c r="O4325" i="2"/>
  <c r="O4313" i="2"/>
  <c r="O4301" i="2"/>
  <c r="O4289" i="2"/>
  <c r="O4277" i="2"/>
  <c r="O4265" i="2"/>
  <c r="O4253" i="2"/>
  <c r="O4241" i="2"/>
  <c r="O4229" i="2"/>
  <c r="O4217" i="2"/>
  <c r="O4205" i="2"/>
  <c r="O4193" i="2"/>
  <c r="O4181" i="2"/>
  <c r="O4169" i="2"/>
  <c r="O4157" i="2"/>
  <c r="O4145" i="2"/>
  <c r="O4133" i="2"/>
  <c r="O4121" i="2"/>
  <c r="O4109" i="2"/>
  <c r="O4097" i="2"/>
  <c r="O4085" i="2"/>
  <c r="O4073" i="2"/>
  <c r="O4061" i="2"/>
  <c r="O4049" i="2"/>
  <c r="O4037" i="2"/>
  <c r="O4025" i="2"/>
  <c r="O4013" i="2"/>
  <c r="O4001" i="2"/>
  <c r="O3989" i="2"/>
  <c r="O3977" i="2"/>
  <c r="O3965" i="2"/>
  <c r="O3953" i="2"/>
  <c r="O3941" i="2"/>
  <c r="O3929" i="2"/>
  <c r="O3917" i="2"/>
  <c r="O3905" i="2"/>
  <c r="O3893" i="2"/>
  <c r="O3881" i="2"/>
  <c r="O3869" i="2"/>
  <c r="O3857" i="2"/>
  <c r="O3845" i="2"/>
  <c r="O3833" i="2"/>
  <c r="O3821" i="2"/>
  <c r="O3809" i="2"/>
  <c r="O3797" i="2"/>
  <c r="O3785" i="2"/>
  <c r="O3773" i="2"/>
  <c r="O3761" i="2"/>
  <c r="O3749" i="2"/>
  <c r="O3737" i="2"/>
  <c r="O3725" i="2"/>
  <c r="O3713" i="2"/>
  <c r="O3701" i="2"/>
  <c r="O3689" i="2"/>
  <c r="O3677" i="2"/>
  <c r="O3665" i="2"/>
  <c r="O3653" i="2"/>
  <c r="O3641" i="2"/>
  <c r="O3629" i="2"/>
  <c r="O3617" i="2"/>
  <c r="O3605" i="2"/>
  <c r="O3593" i="2"/>
  <c r="O3581" i="2"/>
  <c r="O3569" i="2"/>
  <c r="O3557" i="2"/>
  <c r="O3545" i="2"/>
  <c r="O3533" i="2"/>
  <c r="O3521" i="2"/>
  <c r="O3509" i="2"/>
  <c r="O3497" i="2"/>
  <c r="O3485" i="2"/>
  <c r="O3473" i="2"/>
  <c r="O3461" i="2"/>
  <c r="O3449" i="2"/>
  <c r="O3437" i="2"/>
  <c r="O3425" i="2"/>
  <c r="O3413" i="2"/>
  <c r="O3401" i="2"/>
  <c r="O3389" i="2"/>
  <c r="O3377" i="2"/>
  <c r="O3365" i="2"/>
  <c r="O3353" i="2"/>
  <c r="O3341" i="2"/>
  <c r="O3329" i="2"/>
  <c r="O3317" i="2"/>
  <c r="O3305" i="2"/>
  <c r="O3293" i="2"/>
  <c r="O3281" i="2"/>
  <c r="O3269" i="2"/>
  <c r="O3257" i="2"/>
  <c r="O3245" i="2"/>
  <c r="O3233" i="2"/>
  <c r="O3221" i="2"/>
  <c r="O3209" i="2"/>
  <c r="O3197" i="2"/>
  <c r="O3185" i="2"/>
  <c r="O3173" i="2"/>
  <c r="O3161" i="2"/>
  <c r="O3149" i="2"/>
  <c r="O3137" i="2"/>
  <c r="O3125" i="2"/>
  <c r="O3113" i="2"/>
  <c r="O3101" i="2"/>
  <c r="O3089" i="2"/>
  <c r="O3077" i="2"/>
  <c r="O3065" i="2"/>
  <c r="O5225" i="2"/>
  <c r="O5153" i="2"/>
  <c r="O5081" i="2"/>
  <c r="O4961" i="2"/>
  <c r="O4877" i="2"/>
  <c r="O5213" i="2"/>
  <c r="O5129" i="2"/>
  <c r="O5045" i="2"/>
  <c r="O5021" i="2"/>
  <c r="O4985" i="2"/>
  <c r="O4925" i="2"/>
  <c r="O4853" i="2"/>
  <c r="O5165" i="2"/>
  <c r="O5093" i="2"/>
  <c r="O5009" i="2"/>
  <c r="O4949" i="2"/>
  <c r="O4841" i="2"/>
  <c r="O5201" i="2"/>
  <c r="O5141" i="2"/>
  <c r="O5057" i="2"/>
  <c r="O4997" i="2"/>
  <c r="O4937" i="2"/>
  <c r="O4865" i="2"/>
  <c r="O5189" i="2"/>
  <c r="O5117" i="2"/>
  <c r="O5069" i="2"/>
  <c r="O4973" i="2"/>
  <c r="O4901" i="2"/>
  <c r="O3053" i="2"/>
  <c r="O3041" i="2"/>
  <c r="O3029" i="2"/>
  <c r="O3017" i="2"/>
  <c r="O3005" i="2"/>
  <c r="O2993" i="2"/>
  <c r="O2981" i="2"/>
  <c r="O2969" i="2"/>
  <c r="O2957" i="2"/>
  <c r="O2945" i="2"/>
  <c r="O2933" i="2"/>
  <c r="O2921" i="2"/>
  <c r="O2909" i="2"/>
  <c r="O2897" i="2"/>
  <c r="O2885" i="2"/>
  <c r="O2873" i="2"/>
  <c r="O2861" i="2"/>
  <c r="O2849" i="2"/>
  <c r="O2837" i="2"/>
  <c r="O2825" i="2"/>
  <c r="O2813" i="2"/>
  <c r="O2801" i="2"/>
  <c r="O2789" i="2"/>
  <c r="O2777" i="2"/>
  <c r="O2765" i="2"/>
  <c r="O2753" i="2"/>
  <c r="O2741" i="2"/>
  <c r="O2729" i="2"/>
  <c r="O2717" i="2"/>
  <c r="O2705" i="2"/>
  <c r="O2693" i="2"/>
  <c r="O2681" i="2"/>
  <c r="O2669" i="2"/>
  <c r="O2657" i="2"/>
  <c r="O2645" i="2"/>
  <c r="O2633" i="2"/>
  <c r="O2621" i="2"/>
  <c r="O2609" i="2"/>
  <c r="O2597" i="2"/>
  <c r="O2585" i="2"/>
  <c r="O2573" i="2"/>
  <c r="O2561" i="2"/>
  <c r="O2549" i="2"/>
  <c r="O2537" i="2"/>
  <c r="O2525" i="2"/>
  <c r="O2513" i="2"/>
  <c r="O2501" i="2"/>
  <c r="O2489" i="2"/>
  <c r="O2477" i="2"/>
  <c r="O2465" i="2"/>
  <c r="O2453" i="2"/>
  <c r="O2441" i="2"/>
  <c r="O2429" i="2"/>
  <c r="O2417" i="2"/>
  <c r="O2405" i="2"/>
  <c r="O2393" i="2"/>
  <c r="O2381" i="2"/>
  <c r="O2369" i="2"/>
  <c r="O2357" i="2"/>
  <c r="O2345" i="2"/>
  <c r="O2333" i="2"/>
  <c r="O2321" i="2"/>
  <c r="O2309" i="2"/>
  <c r="O2297" i="2"/>
  <c r="O2285" i="2"/>
  <c r="O2273" i="2"/>
  <c r="O2261" i="2"/>
  <c r="O2249" i="2"/>
  <c r="O2237" i="2"/>
  <c r="O2225" i="2"/>
  <c r="O2213" i="2"/>
  <c r="O2201" i="2"/>
  <c r="O2189" i="2"/>
  <c r="O2177" i="2"/>
  <c r="O2165" i="2"/>
  <c r="O2153" i="2"/>
  <c r="O2141" i="2"/>
  <c r="O2129" i="2"/>
  <c r="O2117" i="2"/>
  <c r="O2105" i="2"/>
  <c r="O2093" i="2"/>
  <c r="O2081" i="2"/>
  <c r="O2069" i="2"/>
  <c r="O2057" i="2"/>
  <c r="O2045" i="2"/>
  <c r="O2033" i="2"/>
  <c r="O2021" i="2"/>
  <c r="O2009" i="2"/>
  <c r="O1997" i="2"/>
  <c r="O1985" i="2"/>
  <c r="O1973" i="2"/>
  <c r="O1961" i="2"/>
  <c r="O1949" i="2"/>
  <c r="O1937" i="2"/>
  <c r="O1925" i="2"/>
  <c r="O1913" i="2"/>
  <c r="O1901" i="2"/>
  <c r="O1889" i="2"/>
  <c r="O1877" i="2"/>
  <c r="O1865" i="2"/>
  <c r="O1853" i="2"/>
  <c r="O1841" i="2"/>
  <c r="O1829" i="2"/>
  <c r="O1817" i="2"/>
  <c r="O1805" i="2"/>
  <c r="O1793" i="2"/>
  <c r="O1781" i="2"/>
  <c r="O1769" i="2"/>
  <c r="O1757" i="2"/>
  <c r="O1745" i="2"/>
  <c r="O1733" i="2"/>
  <c r="O1721" i="2"/>
  <c r="O1709" i="2"/>
  <c r="O1697" i="2"/>
  <c r="O1685" i="2"/>
  <c r="O1673" i="2"/>
  <c r="O1661" i="2"/>
  <c r="O1649" i="2"/>
  <c r="O1637" i="2"/>
  <c r="O1625" i="2"/>
  <c r="O1613" i="2"/>
  <c r="O1601" i="2"/>
  <c r="O1589" i="2"/>
  <c r="O1577" i="2"/>
  <c r="O1565" i="2"/>
  <c r="O1553" i="2"/>
  <c r="O1541" i="2"/>
  <c r="O1529" i="2"/>
  <c r="O1517" i="2"/>
  <c r="O1505" i="2"/>
  <c r="O1493" i="2"/>
  <c r="O1481" i="2"/>
  <c r="O1469" i="2"/>
  <c r="O1457" i="2"/>
  <c r="O1445" i="2"/>
  <c r="O1433" i="2"/>
  <c r="O1421" i="2"/>
  <c r="O1409" i="2"/>
  <c r="O1397" i="2"/>
  <c r="O1385" i="2"/>
  <c r="O1373" i="2"/>
  <c r="O1361" i="2"/>
  <c r="O1349" i="2"/>
  <c r="O1337" i="2"/>
  <c r="O1325" i="2"/>
  <c r="O1313" i="2"/>
  <c r="O1301" i="2"/>
  <c r="O1289" i="2"/>
  <c r="O1277" i="2"/>
  <c r="O1265" i="2"/>
  <c r="O1253" i="2"/>
  <c r="O1241" i="2"/>
  <c r="O1229" i="2"/>
  <c r="O1217" i="2"/>
  <c r="O1205" i="2"/>
  <c r="O1193" i="2"/>
  <c r="O1181" i="2"/>
  <c r="O1169" i="2"/>
  <c r="O1157" i="2"/>
  <c r="O1145" i="2"/>
  <c r="O1133" i="2"/>
  <c r="O1121" i="2"/>
  <c r="O1109" i="2"/>
  <c r="O1097" i="2"/>
  <c r="O1085" i="2"/>
  <c r="O1073" i="2"/>
  <c r="O1061" i="2"/>
  <c r="O1049" i="2"/>
  <c r="O1037" i="2"/>
  <c r="O1025" i="2"/>
  <c r="O1013" i="2"/>
  <c r="O1001" i="2"/>
  <c r="O989" i="2"/>
  <c r="O977" i="2"/>
  <c r="O965" i="2"/>
  <c r="O953" i="2"/>
  <c r="O941" i="2"/>
  <c r="O929" i="2"/>
  <c r="O917" i="2"/>
  <c r="O905" i="2"/>
  <c r="O893" i="2"/>
  <c r="O881" i="2"/>
  <c r="O869" i="2"/>
  <c r="O857" i="2"/>
  <c r="O845" i="2"/>
  <c r="O833" i="2"/>
  <c r="O821" i="2"/>
  <c r="O809" i="2"/>
  <c r="O797" i="2"/>
  <c r="O785" i="2"/>
  <c r="O773" i="2"/>
  <c r="O761" i="2"/>
  <c r="O749" i="2"/>
  <c r="O737" i="2"/>
  <c r="O725" i="2"/>
  <c r="O713" i="2"/>
  <c r="O701" i="2"/>
  <c r="O689" i="2"/>
  <c r="O677" i="2"/>
  <c r="O665" i="2"/>
  <c r="O653" i="2"/>
  <c r="O641" i="2"/>
  <c r="O629" i="2"/>
  <c r="O617" i="2"/>
  <c r="O605" i="2"/>
  <c r="O593" i="2"/>
  <c r="O581" i="2"/>
  <c r="O569" i="2"/>
  <c r="O568" i="2"/>
  <c r="O563" i="2"/>
  <c r="O562" i="2"/>
  <c r="O561" i="2"/>
  <c r="O560" i="2"/>
  <c r="O559" i="2"/>
  <c r="O557" i="2"/>
  <c r="O545" i="2"/>
  <c r="O533" i="2"/>
  <c r="O521" i="2"/>
  <c r="O509" i="2"/>
  <c r="O497" i="2"/>
  <c r="O485" i="2"/>
  <c r="O473" i="2"/>
  <c r="O461" i="2"/>
  <c r="O449" i="2"/>
  <c r="O437" i="2"/>
  <c r="O425" i="2"/>
  <c r="O413" i="2"/>
  <c r="O401" i="2"/>
  <c r="O389" i="2"/>
  <c r="O377" i="2"/>
  <c r="O556" i="2"/>
  <c r="O544" i="2"/>
  <c r="O532" i="2"/>
  <c r="O520" i="2"/>
  <c r="O508" i="2"/>
  <c r="O496" i="2"/>
  <c r="O484" i="2"/>
  <c r="O472" i="2"/>
  <c r="O460" i="2"/>
  <c r="O448" i="2"/>
  <c r="O436" i="2"/>
  <c r="O424" i="2"/>
  <c r="O412" i="2"/>
  <c r="O400" i="2"/>
  <c r="O388" i="2"/>
  <c r="O376" i="2"/>
  <c r="O551" i="2"/>
  <c r="O539" i="2"/>
  <c r="O527" i="2"/>
  <c r="O515" i="2"/>
  <c r="O503" i="2"/>
  <c r="O491" i="2"/>
  <c r="O479" i="2"/>
  <c r="O467" i="2"/>
  <c r="O455" i="2"/>
  <c r="O443" i="2"/>
  <c r="O431" i="2"/>
  <c r="O419" i="2"/>
  <c r="O407" i="2"/>
  <c r="O395" i="2"/>
  <c r="O383" i="2"/>
  <c r="O371" i="2"/>
  <c r="O550" i="2"/>
  <c r="O538" i="2"/>
  <c r="O526" i="2"/>
  <c r="O514" i="2"/>
  <c r="O502" i="2"/>
  <c r="O490" i="2"/>
  <c r="O478" i="2"/>
  <c r="O466" i="2"/>
  <c r="O454" i="2"/>
  <c r="O442" i="2"/>
  <c r="O430" i="2"/>
  <c r="O418" i="2"/>
  <c r="O406" i="2"/>
  <c r="O394" i="2"/>
  <c r="O382" i="2"/>
  <c r="O370" i="2"/>
  <c r="O549" i="2"/>
  <c r="O537" i="2"/>
  <c r="O525" i="2"/>
  <c r="O513" i="2"/>
  <c r="O501" i="2"/>
  <c r="O489" i="2"/>
  <c r="O477" i="2"/>
  <c r="O465" i="2"/>
  <c r="O453" i="2"/>
  <c r="O441" i="2"/>
  <c r="O429" i="2"/>
  <c r="O417" i="2"/>
  <c r="O405" i="2"/>
  <c r="O393" i="2"/>
  <c r="O381" i="2"/>
  <c r="O548" i="2"/>
  <c r="O536" i="2"/>
  <c r="O524" i="2"/>
  <c r="O512" i="2"/>
  <c r="O500" i="2"/>
  <c r="O488" i="2"/>
  <c r="O476" i="2"/>
  <c r="O464" i="2"/>
  <c r="O452" i="2"/>
  <c r="O440" i="2"/>
  <c r="O428" i="2"/>
  <c r="O416" i="2"/>
  <c r="O404" i="2"/>
  <c r="O392" i="2"/>
  <c r="O380" i="2"/>
  <c r="O547" i="2"/>
  <c r="O535" i="2"/>
  <c r="O523" i="2"/>
  <c r="O511" i="2"/>
  <c r="O499" i="2"/>
  <c r="O487" i="2"/>
  <c r="O475" i="2"/>
  <c r="O463" i="2"/>
  <c r="O451" i="2"/>
  <c r="O439" i="2"/>
  <c r="O427" i="2"/>
  <c r="O415" i="2"/>
  <c r="O403" i="2"/>
  <c r="O391" i="2"/>
  <c r="O379" i="2"/>
  <c r="O558" i="2"/>
  <c r="O546" i="2"/>
  <c r="O534" i="2"/>
  <c r="O522" i="2"/>
  <c r="O510" i="2"/>
  <c r="O498" i="2"/>
  <c r="O486" i="2"/>
  <c r="O474" i="2"/>
  <c r="O462" i="2"/>
  <c r="O450" i="2"/>
  <c r="O438" i="2"/>
  <c r="O426" i="2"/>
  <c r="O414" i="2"/>
  <c r="O402" i="2"/>
  <c r="O390" i="2"/>
  <c r="O378" i="2"/>
  <c r="O251" i="2"/>
  <c r="O143" i="2"/>
  <c r="O23" i="2"/>
  <c r="O287" i="2"/>
  <c r="O203" i="2"/>
  <c r="O83" i="2"/>
  <c r="O335" i="2"/>
  <c r="O179" i="2"/>
  <c r="O11" i="2"/>
  <c r="O275" i="2"/>
  <c r="O167" i="2"/>
  <c r="O47" i="2"/>
  <c r="O311" i="2"/>
  <c r="O227" i="2"/>
  <c r="O95" i="2"/>
  <c r="O299" i="2"/>
  <c r="O191" i="2"/>
  <c r="O107" i="2"/>
  <c r="O59" i="2"/>
  <c r="O239" i="2"/>
  <c r="O119" i="2"/>
  <c r="O347" i="2"/>
  <c r="O263" i="2"/>
  <c r="O155" i="2"/>
  <c r="O35" i="2"/>
  <c r="O359" i="2"/>
  <c r="O215" i="2"/>
  <c r="O71" i="2"/>
  <c r="O5233" i="2"/>
  <c r="O5221" i="2"/>
  <c r="O5209" i="2"/>
  <c r="O5197" i="2"/>
  <c r="O5185" i="2"/>
  <c r="O5173" i="2"/>
  <c r="O5161" i="2"/>
  <c r="O5149" i="2"/>
  <c r="O5137" i="2"/>
  <c r="O5125" i="2"/>
  <c r="O5113" i="2"/>
  <c r="O5101" i="2"/>
  <c r="O5089" i="2"/>
  <c r="O5077" i="2"/>
  <c r="O5065" i="2"/>
  <c r="O5053" i="2"/>
  <c r="O5041" i="2"/>
  <c r="O5029" i="2"/>
  <c r="O5017" i="2"/>
  <c r="O5005" i="2"/>
  <c r="O4993" i="2"/>
  <c r="O4981" i="2"/>
  <c r="O4969" i="2"/>
  <c r="O4957" i="2"/>
  <c r="O4945" i="2"/>
  <c r="O4933" i="2"/>
  <c r="O4921" i="2"/>
  <c r="O4909" i="2"/>
  <c r="O4897" i="2"/>
  <c r="O4885" i="2"/>
  <c r="O4873" i="2"/>
  <c r="O4861" i="2"/>
  <c r="O4849" i="2"/>
  <c r="O4837" i="2"/>
  <c r="O4825" i="2"/>
  <c r="O4813" i="2"/>
  <c r="O4801" i="2"/>
  <c r="O4789" i="2"/>
  <c r="O4777" i="2"/>
  <c r="O4765" i="2"/>
  <c r="O4753" i="2"/>
  <c r="O4741" i="2"/>
  <c r="O4729" i="2"/>
  <c r="O4717" i="2"/>
  <c r="O4705" i="2"/>
  <c r="O4693" i="2"/>
  <c r="O4681" i="2"/>
  <c r="O4669" i="2"/>
  <c r="O4657" i="2"/>
  <c r="O4645" i="2"/>
  <c r="O4633" i="2"/>
  <c r="O4621" i="2"/>
  <c r="O4609" i="2"/>
  <c r="O4597" i="2"/>
  <c r="O4585" i="2"/>
  <c r="O4573" i="2"/>
  <c r="O4561" i="2"/>
  <c r="O4549" i="2"/>
  <c r="O4537" i="2"/>
  <c r="O4525" i="2"/>
  <c r="O4513" i="2"/>
  <c r="O4501" i="2"/>
  <c r="O4489" i="2"/>
  <c r="O4477" i="2"/>
  <c r="O4465" i="2"/>
  <c r="O4453" i="2"/>
  <c r="O4441" i="2"/>
  <c r="O4429" i="2"/>
  <c r="O4417" i="2"/>
  <c r="O4405" i="2"/>
  <c r="O4393" i="2"/>
  <c r="O4381" i="2"/>
  <c r="O4369" i="2"/>
  <c r="O4357" i="2"/>
  <c r="O4345" i="2"/>
  <c r="O4333" i="2"/>
  <c r="O4321" i="2"/>
  <c r="O4309" i="2"/>
  <c r="O4297" i="2"/>
  <c r="O4285" i="2"/>
  <c r="O4273" i="2"/>
  <c r="O4261" i="2"/>
  <c r="O4249" i="2"/>
  <c r="O4237" i="2"/>
  <c r="O4225" i="2"/>
  <c r="O4213" i="2"/>
  <c r="O4201" i="2"/>
  <c r="O4189" i="2"/>
  <c r="O4177" i="2"/>
  <c r="O4165" i="2"/>
  <c r="O4153" i="2"/>
  <c r="O4141" i="2"/>
  <c r="O4129" i="2"/>
  <c r="O4117" i="2"/>
  <c r="O4105" i="2"/>
  <c r="O4093" i="2"/>
  <c r="O4081" i="2"/>
  <c r="O4069" i="2"/>
  <c r="O4057" i="2"/>
  <c r="O4045" i="2"/>
  <c r="O323" i="2"/>
  <c r="O131" i="2"/>
  <c r="O5232" i="2"/>
  <c r="O5220" i="2"/>
  <c r="O5208" i="2"/>
  <c r="O5196" i="2"/>
  <c r="O5184" i="2"/>
  <c r="O5172" i="2"/>
  <c r="O5160" i="2"/>
  <c r="O5148" i="2"/>
  <c r="O5136" i="2"/>
  <c r="O5124" i="2"/>
  <c r="O5112" i="2"/>
  <c r="O5100" i="2"/>
  <c r="O5088" i="2"/>
  <c r="O5076" i="2"/>
  <c r="O5064" i="2"/>
  <c r="O5052" i="2"/>
  <c r="O5040" i="2"/>
  <c r="O5028" i="2"/>
  <c r="O5016" i="2"/>
  <c r="O5004" i="2"/>
  <c r="O4992" i="2"/>
  <c r="O4980" i="2"/>
  <c r="O4968" i="2"/>
  <c r="O4956" i="2"/>
  <c r="O4944" i="2"/>
  <c r="O4932" i="2"/>
  <c r="O4920" i="2"/>
  <c r="O4908" i="2"/>
  <c r="O4896" i="2"/>
  <c r="O4884" i="2"/>
  <c r="O4872" i="2"/>
  <c r="O4860" i="2"/>
  <c r="O4848" i="2"/>
  <c r="O4836" i="2"/>
  <c r="O4824" i="2"/>
  <c r="O4812" i="2"/>
  <c r="O4800" i="2"/>
  <c r="O4788" i="2"/>
  <c r="O4776" i="2"/>
  <c r="O4764" i="2"/>
  <c r="O4752" i="2"/>
  <c r="O4740" i="2"/>
  <c r="O4728" i="2"/>
  <c r="O4716" i="2"/>
  <c r="O4704" i="2"/>
  <c r="O4692" i="2"/>
  <c r="O4680" i="2"/>
  <c r="O4668" i="2"/>
  <c r="O4656" i="2"/>
  <c r="O4644" i="2"/>
  <c r="O4632" i="2"/>
  <c r="O4620" i="2"/>
  <c r="O4608" i="2"/>
  <c r="O4596" i="2"/>
  <c r="O4584" i="2"/>
  <c r="O4572" i="2"/>
  <c r="O4560" i="2"/>
  <c r="O4548" i="2"/>
  <c r="O4536" i="2"/>
  <c r="O4524" i="2"/>
  <c r="O4512" i="2"/>
  <c r="O4500" i="2"/>
  <c r="O4488" i="2"/>
  <c r="O4476" i="2"/>
  <c r="O4464" i="2"/>
  <c r="O4452" i="2"/>
  <c r="O4440" i="2"/>
  <c r="O4428" i="2"/>
  <c r="O4416" i="2"/>
  <c r="O4404" i="2"/>
  <c r="O4392" i="2"/>
  <c r="O4380" i="2"/>
  <c r="O4368" i="2"/>
  <c r="O4356" i="2"/>
  <c r="O4344" i="2"/>
  <c r="O4332" i="2"/>
  <c r="O4320" i="2"/>
  <c r="O4308" i="2"/>
  <c r="O4296" i="2"/>
  <c r="O4284" i="2"/>
  <c r="O4272" i="2"/>
  <c r="O4260" i="2"/>
  <c r="O4248" i="2"/>
  <c r="O4033" i="2"/>
  <c r="O4021" i="2"/>
  <c r="O4009" i="2"/>
  <c r="O3997" i="2"/>
  <c r="O3985" i="2"/>
  <c r="O3973" i="2"/>
  <c r="O3961" i="2"/>
  <c r="O3949" i="2"/>
  <c r="O3937" i="2"/>
  <c r="O3925" i="2"/>
  <c r="O3913" i="2"/>
  <c r="O3901" i="2"/>
  <c r="O3889" i="2"/>
  <c r="O3877" i="2"/>
  <c r="O3865" i="2"/>
  <c r="O3853" i="2"/>
  <c r="O3841" i="2"/>
  <c r="O3829" i="2"/>
  <c r="O3817" i="2"/>
  <c r="O3805" i="2"/>
  <c r="O3793" i="2"/>
  <c r="O3781" i="2"/>
  <c r="O3769" i="2"/>
  <c r="O3757" i="2"/>
  <c r="O3745" i="2"/>
  <c r="O3733" i="2"/>
  <c r="O3721" i="2"/>
  <c r="O3709" i="2"/>
  <c r="O3697" i="2"/>
  <c r="O3685" i="2"/>
  <c r="O3673" i="2"/>
  <c r="O3661" i="2"/>
  <c r="O3649" i="2"/>
  <c r="O3637" i="2"/>
  <c r="O3625" i="2"/>
  <c r="O3613" i="2"/>
  <c r="O3601" i="2"/>
  <c r="O3589" i="2"/>
  <c r="O3577" i="2"/>
  <c r="O3565" i="2"/>
  <c r="O3553" i="2"/>
  <c r="O3541" i="2"/>
  <c r="O3529" i="2"/>
  <c r="O3517" i="2"/>
  <c r="O3505" i="2"/>
  <c r="O3493" i="2"/>
  <c r="O3481" i="2"/>
  <c r="O3469" i="2"/>
  <c r="O3457" i="2"/>
  <c r="O3445" i="2"/>
  <c r="O3433" i="2"/>
  <c r="O3421" i="2"/>
  <c r="O3409" i="2"/>
  <c r="O3397" i="2"/>
  <c r="O3385" i="2"/>
  <c r="O3373" i="2"/>
  <c r="O3361" i="2"/>
  <c r="O3349" i="2"/>
  <c r="O3337" i="2"/>
  <c r="O3325" i="2"/>
  <c r="O3313" i="2"/>
  <c r="O3301" i="2"/>
  <c r="O3289" i="2"/>
  <c r="O3277" i="2"/>
  <c r="O3265" i="2"/>
  <c r="O3253" i="2"/>
  <c r="O3241" i="2"/>
  <c r="O3229" i="2"/>
  <c r="O3217" i="2"/>
  <c r="O3205" i="2"/>
  <c r="O3193" i="2"/>
  <c r="O3181" i="2"/>
  <c r="O3169" i="2"/>
  <c r="O3157" i="2"/>
  <c r="O3145" i="2"/>
  <c r="O3133" i="2"/>
  <c r="O3121" i="2"/>
  <c r="O3109" i="2"/>
  <c r="O3097" i="2"/>
  <c r="O3085" i="2"/>
  <c r="O3073" i="2"/>
  <c r="O3061" i="2"/>
  <c r="O3049" i="2"/>
  <c r="O3037" i="2"/>
  <c r="O3025" i="2"/>
  <c r="O3013" i="2"/>
  <c r="O3001" i="2"/>
  <c r="O2989" i="2"/>
  <c r="O2977" i="2"/>
  <c r="O2965" i="2"/>
  <c r="O2953" i="2"/>
  <c r="O2941" i="2"/>
  <c r="O2929" i="2"/>
  <c r="O2917" i="2"/>
  <c r="O2905" i="2"/>
  <c r="O2893" i="2"/>
  <c r="O2881" i="2"/>
  <c r="O2869" i="2"/>
  <c r="O2857" i="2"/>
  <c r="O2845" i="2"/>
  <c r="O2833" i="2"/>
  <c r="O2821" i="2"/>
  <c r="O2809" i="2"/>
  <c r="O2797" i="2"/>
  <c r="O2785" i="2"/>
  <c r="O2773" i="2"/>
  <c r="O2761" i="2"/>
  <c r="O2749" i="2"/>
  <c r="O2737" i="2"/>
  <c r="O2725" i="2"/>
  <c r="O2713" i="2"/>
  <c r="O2701" i="2"/>
  <c r="O2689" i="2"/>
  <c r="O2677" i="2"/>
  <c r="O2665" i="2"/>
  <c r="O2653" i="2"/>
  <c r="O2641" i="2"/>
  <c r="O2629" i="2"/>
  <c r="O2617" i="2"/>
  <c r="O2605" i="2"/>
  <c r="O2593" i="2"/>
  <c r="O2581" i="2"/>
  <c r="O2569" i="2"/>
  <c r="O2557" i="2"/>
  <c r="O2545" i="2"/>
  <c r="O2533" i="2"/>
  <c r="O2521" i="2"/>
  <c r="O2509" i="2"/>
  <c r="O2497" i="2"/>
  <c r="O2485" i="2"/>
  <c r="O2473" i="2"/>
  <c r="O2461" i="2"/>
  <c r="O2449" i="2"/>
  <c r="O2437" i="2"/>
  <c r="O2425" i="2"/>
  <c r="O2413" i="2"/>
  <c r="O2401" i="2"/>
  <c r="O2389" i="2"/>
  <c r="O2377" i="2"/>
  <c r="O2365" i="2"/>
  <c r="O2353" i="2"/>
  <c r="O2341" i="2"/>
  <c r="O2329" i="2"/>
  <c r="O2317" i="2"/>
  <c r="O2305" i="2"/>
  <c r="O2293" i="2"/>
  <c r="O2281" i="2"/>
  <c r="O2269" i="2"/>
  <c r="O2257" i="2"/>
  <c r="O2245" i="2"/>
  <c r="O2233" i="2"/>
  <c r="O2221" i="2"/>
  <c r="O2209" i="2"/>
  <c r="O4236" i="2"/>
  <c r="O4224" i="2"/>
  <c r="O4212" i="2"/>
  <c r="O4200" i="2"/>
  <c r="O4188" i="2"/>
  <c r="O4176" i="2"/>
  <c r="O4164" i="2"/>
  <c r="O4152" i="2"/>
  <c r="O4140" i="2"/>
  <c r="O4128" i="2"/>
  <c r="O4116" i="2"/>
  <c r="O4104" i="2"/>
  <c r="O4092" i="2"/>
  <c r="O4080" i="2"/>
  <c r="O4068" i="2"/>
  <c r="O4056" i="2"/>
  <c r="O4044" i="2"/>
  <c r="O4032" i="2"/>
  <c r="O4020" i="2"/>
  <c r="O4008" i="2"/>
  <c r="O3996" i="2"/>
  <c r="O3984" i="2"/>
  <c r="O3972" i="2"/>
  <c r="O3960" i="2"/>
  <c r="O3948" i="2"/>
  <c r="O3936" i="2"/>
  <c r="O3924" i="2"/>
  <c r="O3912" i="2"/>
  <c r="O3900" i="2"/>
  <c r="O3888" i="2"/>
  <c r="O3876" i="2"/>
  <c r="O3864" i="2"/>
  <c r="O3852" i="2"/>
  <c r="O3840" i="2"/>
  <c r="O3828" i="2"/>
  <c r="O3816" i="2"/>
  <c r="O3804" i="2"/>
  <c r="O3792" i="2"/>
  <c r="O3780" i="2"/>
  <c r="O3768" i="2"/>
  <c r="O3756" i="2"/>
  <c r="O3744" i="2"/>
  <c r="O3732" i="2"/>
  <c r="O3720" i="2"/>
  <c r="O3708" i="2"/>
  <c r="O3696" i="2"/>
  <c r="O3684" i="2"/>
  <c r="O3672" i="2"/>
  <c r="O3660" i="2"/>
  <c r="O3648" i="2"/>
  <c r="O3636" i="2"/>
  <c r="O3624" i="2"/>
  <c r="O3612" i="2"/>
  <c r="O3600" i="2"/>
  <c r="O3588" i="2"/>
  <c r="O3576" i="2"/>
  <c r="O3564" i="2"/>
  <c r="O3552" i="2"/>
  <c r="O3540" i="2"/>
  <c r="O3528" i="2"/>
  <c r="O3516" i="2"/>
  <c r="O3504" i="2"/>
  <c r="O3492" i="2"/>
  <c r="O3480" i="2"/>
  <c r="O3468" i="2"/>
  <c r="O3456" i="2"/>
  <c r="O3444" i="2"/>
  <c r="O3432" i="2"/>
  <c r="O3420" i="2"/>
  <c r="O3408" i="2"/>
  <c r="O3396" i="2"/>
  <c r="O3384" i="2"/>
  <c r="O3372" i="2"/>
  <c r="O3360" i="2"/>
  <c r="O3348" i="2"/>
  <c r="O3336" i="2"/>
  <c r="O3324" i="2"/>
  <c r="O3312" i="2"/>
  <c r="O3300" i="2"/>
  <c r="O3288" i="2"/>
  <c r="O3276" i="2"/>
  <c r="O3264" i="2"/>
  <c r="O3252" i="2"/>
  <c r="O3240" i="2"/>
  <c r="O3228" i="2"/>
  <c r="O3216" i="2"/>
  <c r="O3204" i="2"/>
  <c r="O3192" i="2"/>
  <c r="O3180" i="2"/>
  <c r="O3168" i="2"/>
  <c r="O3156" i="2"/>
  <c r="O3144" i="2"/>
  <c r="O3132" i="2"/>
  <c r="O3120" i="2"/>
  <c r="O3108" i="2"/>
  <c r="O3096" i="2"/>
  <c r="O3084" i="2"/>
  <c r="O3072" i="2"/>
  <c r="O3060" i="2"/>
  <c r="O3048" i="2"/>
  <c r="O3036" i="2"/>
  <c r="O3024" i="2"/>
  <c r="O3012" i="2"/>
  <c r="O3000" i="2"/>
  <c r="O2988" i="2"/>
  <c r="O2976" i="2"/>
  <c r="O2964" i="2"/>
  <c r="O2952" i="2"/>
  <c r="O2940" i="2"/>
  <c r="O2928" i="2"/>
  <c r="O2916" i="2"/>
  <c r="O2904" i="2"/>
  <c r="O2892" i="2"/>
  <c r="O2880" i="2"/>
  <c r="O2868" i="2"/>
  <c r="O2856" i="2"/>
  <c r="O2844" i="2"/>
  <c r="O2832" i="2"/>
  <c r="O2820" i="2"/>
  <c r="O2808" i="2"/>
  <c r="O2796" i="2"/>
  <c r="O2784" i="2"/>
  <c r="O2772" i="2"/>
  <c r="O2760" i="2"/>
  <c r="O2748" i="2"/>
  <c r="O2736" i="2"/>
  <c r="O2724" i="2"/>
  <c r="O2712" i="2"/>
  <c r="O2700" i="2"/>
  <c r="O2688" i="2"/>
  <c r="O2676" i="2"/>
  <c r="O2664" i="2"/>
  <c r="O2652" i="2"/>
  <c r="O2640" i="2"/>
  <c r="O2628" i="2"/>
  <c r="O2616" i="2"/>
  <c r="O2604" i="2"/>
  <c r="O2592" i="2"/>
  <c r="O2580" i="2"/>
  <c r="O2568" i="2"/>
  <c r="O2556" i="2"/>
  <c r="O2544" i="2"/>
  <c r="O2532" i="2"/>
  <c r="O2520" i="2"/>
  <c r="O2508" i="2"/>
  <c r="O2496" i="2"/>
  <c r="O2484" i="2"/>
  <c r="O2472" i="2"/>
  <c r="O2460" i="2"/>
  <c r="O2448" i="2"/>
  <c r="O2436" i="2"/>
  <c r="O2424" i="2"/>
  <c r="O2412" i="2"/>
  <c r="O2400" i="2"/>
  <c r="O2388" i="2"/>
  <c r="O2376" i="2"/>
  <c r="O2364" i="2"/>
  <c r="O2352" i="2"/>
  <c r="O2340" i="2"/>
  <c r="O2328" i="2"/>
  <c r="O2316" i="2"/>
  <c r="O2304" i="2"/>
  <c r="O2292" i="2"/>
  <c r="O2280" i="2"/>
  <c r="O2268" i="2"/>
  <c r="O2256" i="2"/>
  <c r="O2244" i="2"/>
  <c r="O2232" i="2"/>
  <c r="O2220" i="2"/>
  <c r="O2208" i="2"/>
  <c r="O2197" i="2"/>
  <c r="O2185" i="2"/>
  <c r="O2173" i="2"/>
  <c r="O2161" i="2"/>
  <c r="O2149" i="2"/>
  <c r="O2137" i="2"/>
  <c r="O2125" i="2"/>
  <c r="O2113" i="2"/>
  <c r="O2101" i="2"/>
  <c r="O2089" i="2"/>
  <c r="O2077" i="2"/>
  <c r="O2065" i="2"/>
  <c r="O2053" i="2"/>
  <c r="O2041" i="2"/>
  <c r="O2029" i="2"/>
  <c r="O2017" i="2"/>
  <c r="O2005" i="2"/>
  <c r="O1993" i="2"/>
  <c r="O1981" i="2"/>
  <c r="O1969" i="2"/>
  <c r="O1957" i="2"/>
  <c r="O1945" i="2"/>
  <c r="O1933" i="2"/>
  <c r="O1921" i="2"/>
  <c r="O1909" i="2"/>
  <c r="O1897" i="2"/>
  <c r="O1885" i="2"/>
  <c r="O1873" i="2"/>
  <c r="O1861" i="2"/>
  <c r="O1849" i="2"/>
  <c r="O1837" i="2"/>
  <c r="O1825" i="2"/>
  <c r="O1813" i="2"/>
  <c r="O1801" i="2"/>
  <c r="O1789" i="2"/>
  <c r="O1777" i="2"/>
  <c r="O1765" i="2"/>
  <c r="O1753" i="2"/>
  <c r="O1741" i="2"/>
  <c r="O1729" i="2"/>
  <c r="O1717" i="2"/>
  <c r="O1705" i="2"/>
  <c r="O1693" i="2"/>
  <c r="O1681" i="2"/>
  <c r="O1669" i="2"/>
  <c r="O1657" i="2"/>
  <c r="O1645" i="2"/>
  <c r="O1633" i="2"/>
  <c r="O1621" i="2"/>
  <c r="O1609" i="2"/>
  <c r="O1597" i="2"/>
  <c r="O1585" i="2"/>
  <c r="O1573" i="2"/>
  <c r="O1561" i="2"/>
  <c r="O1549" i="2"/>
  <c r="O1537" i="2"/>
  <c r="O1525" i="2"/>
  <c r="O1513" i="2"/>
  <c r="O1501" i="2"/>
  <c r="O1489" i="2"/>
  <c r="O1477" i="2"/>
  <c r="O1465" i="2"/>
  <c r="O1453" i="2"/>
  <c r="O1441" i="2"/>
  <c r="O1429" i="2"/>
  <c r="O1417" i="2"/>
  <c r="O1405" i="2"/>
  <c r="O1393" i="2"/>
  <c r="O1381" i="2"/>
  <c r="O1369" i="2"/>
  <c r="O1357" i="2"/>
  <c r="O1345" i="2"/>
  <c r="O1333" i="2"/>
  <c r="O1321" i="2"/>
  <c r="O1309" i="2"/>
  <c r="O1297" i="2"/>
  <c r="O1285" i="2"/>
  <c r="O1273" i="2"/>
  <c r="O1261" i="2"/>
  <c r="O1249" i="2"/>
  <c r="O1237" i="2"/>
  <c r="O1225" i="2"/>
  <c r="O1213" i="2"/>
  <c r="O1201" i="2"/>
  <c r="O1189" i="2"/>
  <c r="O2196" i="2"/>
  <c r="O2184" i="2"/>
  <c r="O2172" i="2"/>
  <c r="O2160" i="2"/>
  <c r="O2148" i="2"/>
  <c r="O2136" i="2"/>
  <c r="O2124" i="2"/>
  <c r="O2112" i="2"/>
  <c r="O2100" i="2"/>
  <c r="O2088" i="2"/>
  <c r="O2076" i="2"/>
  <c r="O2064" i="2"/>
  <c r="O2052" i="2"/>
  <c r="O2040" i="2"/>
  <c r="O2028" i="2"/>
  <c r="O2016" i="2"/>
  <c r="O2004" i="2"/>
  <c r="O1992" i="2"/>
  <c r="O1980" i="2"/>
  <c r="O1968" i="2"/>
  <c r="O1956" i="2"/>
  <c r="O1944" i="2"/>
  <c r="O1932" i="2"/>
  <c r="O1920" i="2"/>
  <c r="O1908" i="2"/>
  <c r="O1896" i="2"/>
  <c r="O1884" i="2"/>
  <c r="O1872" i="2"/>
  <c r="O1860" i="2"/>
  <c r="O1848" i="2"/>
  <c r="O1836" i="2"/>
  <c r="O1824" i="2"/>
  <c r="O1812" i="2"/>
  <c r="O1800" i="2"/>
  <c r="O1788" i="2"/>
  <c r="O1776" i="2"/>
  <c r="O1764" i="2"/>
  <c r="O1752" i="2"/>
  <c r="O1740" i="2"/>
  <c r="O1728" i="2"/>
  <c r="O1716" i="2"/>
  <c r="O1704" i="2"/>
  <c r="O1692" i="2"/>
  <c r="O1680" i="2"/>
  <c r="O1668" i="2"/>
  <c r="O1656" i="2"/>
  <c r="O1644" i="2"/>
  <c r="O1632" i="2"/>
  <c r="O1620" i="2"/>
  <c r="O1608" i="2"/>
  <c r="O1596" i="2"/>
  <c r="O1584" i="2"/>
  <c r="O1572" i="2"/>
  <c r="O1560" i="2"/>
  <c r="O1548" i="2"/>
  <c r="O1536" i="2"/>
  <c r="O1524" i="2"/>
  <c r="O1512" i="2"/>
  <c r="O1500" i="2"/>
  <c r="O1488" i="2"/>
  <c r="O1476" i="2"/>
  <c r="O1464" i="2"/>
  <c r="O1452" i="2"/>
  <c r="O1440" i="2"/>
  <c r="O1428" i="2"/>
  <c r="O1416" i="2"/>
  <c r="O1404" i="2"/>
  <c r="O1392" i="2"/>
  <c r="O1380" i="2"/>
  <c r="O1368" i="2"/>
  <c r="O1356" i="2"/>
  <c r="O1344" i="2"/>
  <c r="O1332" i="2"/>
  <c r="O1320" i="2"/>
  <c r="O1308" i="2"/>
  <c r="O1296" i="2"/>
  <c r="O1284" i="2"/>
  <c r="O1272" i="2"/>
  <c r="O358" i="2"/>
  <c r="O346" i="2"/>
  <c r="O334" i="2"/>
  <c r="O322" i="2"/>
  <c r="O310" i="2"/>
  <c r="O298" i="2"/>
  <c r="O286" i="2"/>
  <c r="O274" i="2"/>
  <c r="O262" i="2"/>
  <c r="O250" i="2"/>
  <c r="O238" i="2"/>
  <c r="O226" i="2"/>
  <c r="O214" i="2"/>
  <c r="O202" i="2"/>
  <c r="O190" i="2"/>
  <c r="O178" i="2"/>
  <c r="O166" i="2"/>
  <c r="O154" i="2"/>
  <c r="O142" i="2"/>
  <c r="O130" i="2"/>
  <c r="O118" i="2"/>
  <c r="O106" i="2"/>
  <c r="O94" i="2"/>
  <c r="O82" i="2"/>
  <c r="O70" i="2"/>
  <c r="O58" i="2"/>
  <c r="O46" i="2"/>
  <c r="O34" i="2"/>
  <c r="O22" i="2"/>
  <c r="O10" i="2"/>
  <c r="O369" i="2"/>
  <c r="O357" i="2"/>
  <c r="O345" i="2"/>
  <c r="O333" i="2"/>
  <c r="O321" i="2"/>
  <c r="O309" i="2"/>
  <c r="O297" i="2"/>
  <c r="O285" i="2"/>
  <c r="O273" i="2"/>
  <c r="O261" i="2"/>
  <c r="O249" i="2"/>
  <c r="O237" i="2"/>
  <c r="O225" i="2"/>
  <c r="O213" i="2"/>
  <c r="O201" i="2"/>
  <c r="O189" i="2"/>
  <c r="O177" i="2"/>
  <c r="O165" i="2"/>
  <c r="O153" i="2"/>
  <c r="O141" i="2"/>
  <c r="O129" i="2"/>
  <c r="O117" i="2"/>
  <c r="O105" i="2"/>
  <c r="O93" i="2"/>
  <c r="O81" i="2"/>
  <c r="O69" i="2"/>
  <c r="O57" i="2"/>
  <c r="O45" i="2"/>
  <c r="O33" i="2"/>
  <c r="O21" i="2"/>
  <c r="O9" i="2"/>
  <c r="O368" i="2"/>
  <c r="O356" i="2"/>
  <c r="O344" i="2"/>
  <c r="O332" i="2"/>
  <c r="O320" i="2"/>
  <c r="O308" i="2"/>
  <c r="O296" i="2"/>
  <c r="O284" i="2"/>
  <c r="O272" i="2"/>
  <c r="O260" i="2"/>
  <c r="O248" i="2"/>
  <c r="O236" i="2"/>
  <c r="O224" i="2"/>
  <c r="O212" i="2"/>
  <c r="O200" i="2"/>
  <c r="O188" i="2"/>
  <c r="O176" i="2"/>
  <c r="O164" i="2"/>
  <c r="O152" i="2"/>
  <c r="O140" i="2"/>
  <c r="O128" i="2"/>
  <c r="O116" i="2"/>
  <c r="O104" i="2"/>
  <c r="O92" i="2"/>
  <c r="O80" i="2"/>
  <c r="O68" i="2"/>
  <c r="O56" i="2"/>
  <c r="O44" i="2"/>
  <c r="O32" i="2"/>
  <c r="O20" i="2"/>
  <c r="O8" i="2"/>
  <c r="O367" i="2"/>
  <c r="O355" i="2"/>
  <c r="O343" i="2"/>
  <c r="O331" i="2"/>
  <c r="O319" i="2"/>
  <c r="O307" i="2"/>
  <c r="O295" i="2"/>
  <c r="O283" i="2"/>
  <c r="O271" i="2"/>
  <c r="O259" i="2"/>
  <c r="O247" i="2"/>
  <c r="O235" i="2"/>
  <c r="O223" i="2"/>
  <c r="O211" i="2"/>
  <c r="O199" i="2"/>
  <c r="O187" i="2"/>
  <c r="O175" i="2"/>
  <c r="O163" i="2"/>
  <c r="O151" i="2"/>
  <c r="O139" i="2"/>
  <c r="O127" i="2"/>
  <c r="O115" i="2"/>
  <c r="O103" i="2"/>
  <c r="O91" i="2"/>
  <c r="O79" i="2"/>
  <c r="O67" i="2"/>
  <c r="O55" i="2"/>
  <c r="O43" i="2"/>
  <c r="O31" i="2"/>
  <c r="O19" i="2"/>
  <c r="O7" i="2"/>
  <c r="O366" i="2"/>
  <c r="O354" i="2"/>
  <c r="O342" i="2"/>
  <c r="O330" i="2"/>
  <c r="O318" i="2"/>
  <c r="O306" i="2"/>
  <c r="O294" i="2"/>
  <c r="O282" i="2"/>
  <c r="O270" i="2"/>
  <c r="O258" i="2"/>
  <c r="O246" i="2"/>
  <c r="O234" i="2"/>
  <c r="O222" i="2"/>
  <c r="O210" i="2"/>
  <c r="O198" i="2"/>
  <c r="O186" i="2"/>
  <c r="O174" i="2"/>
  <c r="O162" i="2"/>
  <c r="O150" i="2"/>
  <c r="O138" i="2"/>
  <c r="O126" i="2"/>
  <c r="O114" i="2"/>
  <c r="O102" i="2"/>
  <c r="O90" i="2"/>
  <c r="O78" i="2"/>
  <c r="O66" i="2"/>
  <c r="O54" i="2"/>
  <c r="O42" i="2"/>
  <c r="O30" i="2"/>
  <c r="O18" i="2"/>
  <c r="O6" i="2"/>
  <c r="O365" i="2"/>
  <c r="O353" i="2"/>
  <c r="O341" i="2"/>
  <c r="O329" i="2"/>
  <c r="O317" i="2"/>
  <c r="O305" i="2"/>
  <c r="O293" i="2"/>
  <c r="O281" i="2"/>
  <c r="O269" i="2"/>
  <c r="O257" i="2"/>
  <c r="O245" i="2"/>
  <c r="O233" i="2"/>
  <c r="O221" i="2"/>
  <c r="O209" i="2"/>
  <c r="O197" i="2"/>
  <c r="O185" i="2"/>
  <c r="O173" i="2"/>
  <c r="O161" i="2"/>
  <c r="O149" i="2"/>
  <c r="O137" i="2"/>
  <c r="O125" i="2"/>
  <c r="O113" i="2"/>
  <c r="O101" i="2"/>
  <c r="O89" i="2"/>
  <c r="O77" i="2"/>
  <c r="O65" i="2"/>
  <c r="O53" i="2"/>
  <c r="O41" i="2"/>
  <c r="O29" i="2"/>
  <c r="O17" i="2"/>
  <c r="O5" i="2"/>
  <c r="O364" i="2"/>
  <c r="O352" i="2"/>
  <c r="O340" i="2"/>
  <c r="O328" i="2"/>
  <c r="O316" i="2"/>
  <c r="O304" i="2"/>
  <c r="O292" i="2"/>
  <c r="O280" i="2"/>
  <c r="O268" i="2"/>
  <c r="O256" i="2"/>
  <c r="O244" i="2"/>
  <c r="O232" i="2"/>
  <c r="O220" i="2"/>
  <c r="O208" i="2"/>
  <c r="O196" i="2"/>
  <c r="O184" i="2"/>
  <c r="O172" i="2"/>
  <c r="O160" i="2"/>
  <c r="O148" i="2"/>
  <c r="O136" i="2"/>
  <c r="O124" i="2"/>
  <c r="O112" i="2"/>
  <c r="O100" i="2"/>
  <c r="O88" i="2"/>
  <c r="O76" i="2"/>
  <c r="O64" i="2"/>
  <c r="O52" i="2"/>
  <c r="O40" i="2"/>
  <c r="O28" i="2"/>
  <c r="O16" i="2"/>
  <c r="O4" i="2"/>
  <c r="O1177" i="2"/>
  <c r="O1165" i="2"/>
  <c r="O1153" i="2"/>
  <c r="O1141" i="2"/>
  <c r="O1129" i="2"/>
  <c r="O1117" i="2"/>
  <c r="O1105" i="2"/>
  <c r="O1093" i="2"/>
  <c r="O1081" i="2"/>
  <c r="O1069" i="2"/>
  <c r="O1057" i="2"/>
  <c r="O1045" i="2"/>
  <c r="O1033" i="2"/>
  <c r="O1021" i="2"/>
  <c r="O1009" i="2"/>
  <c r="O997" i="2"/>
  <c r="O985" i="2"/>
  <c r="O973" i="2"/>
  <c r="O961" i="2"/>
  <c r="O949" i="2"/>
  <c r="O937" i="2"/>
  <c r="O925" i="2"/>
  <c r="O913" i="2"/>
  <c r="O901" i="2"/>
  <c r="O889" i="2"/>
  <c r="O877" i="2"/>
  <c r="O865" i="2"/>
  <c r="O853" i="2"/>
  <c r="O841" i="2"/>
  <c r="O829" i="2"/>
  <c r="O817" i="2"/>
  <c r="O805" i="2"/>
  <c r="O793" i="2"/>
  <c r="O781" i="2"/>
  <c r="O769" i="2"/>
  <c r="O757" i="2"/>
  <c r="O745" i="2"/>
  <c r="O733" i="2"/>
  <c r="O721" i="2"/>
  <c r="O709" i="2"/>
  <c r="O697" i="2"/>
  <c r="O685" i="2"/>
  <c r="O673" i="2"/>
  <c r="O661" i="2"/>
  <c r="O649" i="2"/>
  <c r="O637" i="2"/>
  <c r="O625" i="2"/>
  <c r="O613" i="2"/>
  <c r="O601" i="2"/>
  <c r="O589" i="2"/>
  <c r="O577" i="2"/>
  <c r="O565" i="2"/>
  <c r="O553" i="2"/>
  <c r="O541" i="2"/>
  <c r="O529" i="2"/>
  <c r="O517" i="2"/>
  <c r="O505" i="2"/>
  <c r="O493" i="2"/>
  <c r="O481" i="2"/>
  <c r="O469" i="2"/>
  <c r="O457" i="2"/>
  <c r="O445" i="2"/>
  <c r="O433" i="2"/>
  <c r="O421" i="2"/>
  <c r="O409" i="2"/>
  <c r="O397" i="2"/>
  <c r="O385" i="2"/>
  <c r="O373" i="2"/>
  <c r="O361" i="2"/>
  <c r="O349" i="2"/>
  <c r="O337" i="2"/>
  <c r="O325" i="2"/>
  <c r="O313" i="2"/>
  <c r="O301" i="2"/>
  <c r="O289" i="2"/>
  <c r="O277" i="2"/>
  <c r="O265" i="2"/>
  <c r="O253" i="2"/>
  <c r="O241" i="2"/>
  <c r="O229" i="2"/>
  <c r="O217" i="2"/>
  <c r="O205" i="2"/>
  <c r="O193" i="2"/>
  <c r="O181" i="2"/>
  <c r="O169" i="2"/>
  <c r="O157" i="2"/>
  <c r="O145" i="2"/>
  <c r="O133" i="2"/>
  <c r="O121" i="2"/>
  <c r="O109" i="2"/>
  <c r="O97" i="2"/>
  <c r="O85" i="2"/>
  <c r="O73" i="2"/>
  <c r="O61" i="2"/>
  <c r="O49" i="2"/>
  <c r="O37" i="2"/>
  <c r="O25" i="2"/>
  <c r="O13" i="2"/>
  <c r="O1260" i="2"/>
  <c r="O1248" i="2"/>
  <c r="O1236" i="2"/>
  <c r="O1224" i="2"/>
  <c r="O1212" i="2"/>
  <c r="O1200" i="2"/>
  <c r="O1188" i="2"/>
  <c r="O1176" i="2"/>
  <c r="O1164" i="2"/>
  <c r="O1152" i="2"/>
  <c r="O1140" i="2"/>
  <c r="O1128" i="2"/>
  <c r="O1116" i="2"/>
  <c r="O1104" i="2"/>
  <c r="O1092" i="2"/>
  <c r="O1080" i="2"/>
  <c r="O1068" i="2"/>
  <c r="O1056" i="2"/>
  <c r="O1044" i="2"/>
  <c r="O1032" i="2"/>
  <c r="O1020" i="2"/>
  <c r="O1008" i="2"/>
  <c r="O996" i="2"/>
  <c r="O984" i="2"/>
  <c r="O972" i="2"/>
  <c r="O960" i="2"/>
  <c r="O948" i="2"/>
  <c r="O936" i="2"/>
  <c r="O924" i="2"/>
  <c r="O912" i="2"/>
  <c r="O900" i="2"/>
  <c r="O888" i="2"/>
  <c r="O876" i="2"/>
  <c r="O864" i="2"/>
  <c r="O852" i="2"/>
  <c r="O840" i="2"/>
  <c r="O828" i="2"/>
  <c r="O816" i="2"/>
  <c r="O804" i="2"/>
  <c r="O792" i="2"/>
  <c r="O780" i="2"/>
  <c r="O768" i="2"/>
  <c r="O756" i="2"/>
  <c r="O744" i="2"/>
  <c r="O732" i="2"/>
  <c r="O720" i="2"/>
  <c r="O708" i="2"/>
  <c r="O696" i="2"/>
  <c r="O684" i="2"/>
  <c r="O672" i="2"/>
  <c r="O660" i="2"/>
  <c r="O648" i="2"/>
  <c r="O636" i="2"/>
  <c r="O624" i="2"/>
  <c r="O612" i="2"/>
  <c r="O600" i="2"/>
  <c r="O588" i="2"/>
  <c r="O576" i="2"/>
  <c r="O564" i="2"/>
  <c r="O552" i="2"/>
  <c r="O540" i="2"/>
  <c r="O528" i="2"/>
  <c r="O516" i="2"/>
  <c r="O504" i="2"/>
  <c r="O492" i="2"/>
  <c r="O480" i="2"/>
  <c r="O468" i="2"/>
  <c r="O456" i="2"/>
  <c r="O444" i="2"/>
  <c r="O432" i="2"/>
  <c r="O420" i="2"/>
  <c r="O408" i="2"/>
  <c r="O396" i="2"/>
  <c r="O384" i="2"/>
  <c r="O372" i="2"/>
  <c r="O360" i="2"/>
  <c r="O348" i="2"/>
  <c r="O336" i="2"/>
  <c r="O324" i="2"/>
  <c r="O312" i="2"/>
  <c r="O300" i="2"/>
  <c r="O288" i="2"/>
  <c r="O276" i="2"/>
  <c r="O264" i="2"/>
  <c r="O252" i="2"/>
  <c r="O240" i="2"/>
  <c r="O228" i="2"/>
  <c r="O216" i="2"/>
  <c r="O204" i="2"/>
  <c r="O192" i="2"/>
  <c r="O180" i="2"/>
  <c r="O168" i="2"/>
  <c r="O156" i="2"/>
  <c r="O144" i="2"/>
  <c r="O132" i="2"/>
  <c r="O120" i="2"/>
  <c r="O108" i="2"/>
  <c r="O96" i="2"/>
  <c r="O84" i="2"/>
  <c r="O72" i="2"/>
  <c r="O60" i="2"/>
  <c r="O48" i="2"/>
  <c r="O36" i="2"/>
  <c r="O24" i="2"/>
  <c r="O12" i="2"/>
  <c r="O5235" i="2"/>
  <c r="O5211" i="2"/>
  <c r="O5187" i="2"/>
  <c r="O5151" i="2"/>
  <c r="O5139" i="2"/>
  <c r="O5115" i="2"/>
  <c r="O5091" i="2"/>
  <c r="O5067" i="2"/>
  <c r="O5043" i="2"/>
  <c r="O5019" i="2"/>
  <c r="O4995" i="2"/>
  <c r="O4983" i="2"/>
  <c r="O4959" i="2"/>
  <c r="O4947" i="2"/>
  <c r="O4935" i="2"/>
  <c r="O4923" i="2"/>
  <c r="O4911" i="2"/>
  <c r="O4899" i="2"/>
  <c r="O4887" i="2"/>
  <c r="O4875" i="2"/>
  <c r="O4863" i="2"/>
  <c r="O4851" i="2"/>
  <c r="O4839" i="2"/>
  <c r="O4827" i="2"/>
  <c r="O4815" i="2"/>
  <c r="O4803" i="2"/>
  <c r="O4791" i="2"/>
  <c r="O4779" i="2"/>
  <c r="O4767" i="2"/>
  <c r="O4755" i="2"/>
  <c r="O4743" i="2"/>
  <c r="O4731" i="2"/>
  <c r="O4719" i="2"/>
  <c r="O4707" i="2"/>
  <c r="O4695" i="2"/>
  <c r="O4683" i="2"/>
  <c r="O4671" i="2"/>
  <c r="O4659" i="2"/>
  <c r="O4647" i="2"/>
  <c r="O4635" i="2"/>
  <c r="O4623" i="2"/>
  <c r="O4611" i="2"/>
  <c r="O4599" i="2"/>
  <c r="O4587" i="2"/>
  <c r="O4575" i="2"/>
  <c r="O4563" i="2"/>
  <c r="O4551" i="2"/>
  <c r="O4539" i="2"/>
  <c r="O4527" i="2"/>
  <c r="O4515" i="2"/>
  <c r="O4503" i="2"/>
  <c r="O4491" i="2"/>
  <c r="O4479" i="2"/>
  <c r="O4467" i="2"/>
  <c r="O4455" i="2"/>
  <c r="O4443" i="2"/>
  <c r="O4431" i="2"/>
  <c r="O4419" i="2"/>
  <c r="O4407" i="2"/>
  <c r="O4395" i="2"/>
  <c r="O4383" i="2"/>
  <c r="O4371" i="2"/>
  <c r="O4359" i="2"/>
  <c r="O4347" i="2"/>
  <c r="O4335" i="2"/>
  <c r="O4323" i="2"/>
  <c r="O4311" i="2"/>
  <c r="O4299" i="2"/>
  <c r="O4287" i="2"/>
  <c r="O4275" i="2"/>
  <c r="O4263" i="2"/>
  <c r="O4251" i="2"/>
  <c r="O4239" i="2"/>
  <c r="O4227" i="2"/>
  <c r="O4215" i="2"/>
  <c r="O4203" i="2"/>
  <c r="O4191" i="2"/>
  <c r="O4179" i="2"/>
  <c r="O4167" i="2"/>
  <c r="O4155" i="2"/>
  <c r="O4143" i="2"/>
  <c r="O4131" i="2"/>
  <c r="O4119" i="2"/>
  <c r="O4107" i="2"/>
  <c r="O4095" i="2"/>
  <c r="O4083" i="2"/>
  <c r="O4071" i="2"/>
  <c r="O4059" i="2"/>
  <c r="O4047" i="2"/>
  <c r="O4035" i="2"/>
  <c r="O4023" i="2"/>
  <c r="O4011" i="2"/>
  <c r="O3999" i="2"/>
  <c r="O3987" i="2"/>
  <c r="O3975" i="2"/>
  <c r="O3963" i="2"/>
  <c r="O3951" i="2"/>
  <c r="O3939" i="2"/>
  <c r="O3927" i="2"/>
  <c r="O3915" i="2"/>
  <c r="O3903" i="2"/>
  <c r="O3891" i="2"/>
  <c r="O3879" i="2"/>
  <c r="O3867" i="2"/>
  <c r="O3855" i="2"/>
  <c r="O3843" i="2"/>
  <c r="O3831" i="2"/>
  <c r="O3819" i="2"/>
  <c r="O3807" i="2"/>
  <c r="O3795" i="2"/>
  <c r="O3783" i="2"/>
  <c r="O3771" i="2"/>
  <c r="O3759" i="2"/>
  <c r="O3747" i="2"/>
  <c r="O3735" i="2"/>
  <c r="O3723" i="2"/>
  <c r="O3711" i="2"/>
  <c r="O3699" i="2"/>
  <c r="O3687" i="2"/>
  <c r="O3675" i="2"/>
  <c r="O5223" i="2"/>
  <c r="O5199" i="2"/>
  <c r="O5175" i="2"/>
  <c r="O5163" i="2"/>
  <c r="O5127" i="2"/>
  <c r="O5103" i="2"/>
  <c r="O5079" i="2"/>
  <c r="O5055" i="2"/>
  <c r="O5031" i="2"/>
  <c r="O5007" i="2"/>
  <c r="O4971" i="2"/>
  <c r="O5234" i="2"/>
  <c r="O5222" i="2"/>
  <c r="O5210" i="2"/>
  <c r="O5198" i="2"/>
  <c r="O5186" i="2"/>
  <c r="O5174" i="2"/>
  <c r="O5162" i="2"/>
  <c r="O5150" i="2"/>
  <c r="O5138" i="2"/>
  <c r="O5126" i="2"/>
  <c r="O5114" i="2"/>
  <c r="O5102" i="2"/>
  <c r="O5090" i="2"/>
  <c r="O5078" i="2"/>
  <c r="O5066" i="2"/>
  <c r="O5054" i="2"/>
  <c r="O5042" i="2"/>
  <c r="O5030" i="2"/>
  <c r="O5018" i="2"/>
  <c r="O5006" i="2"/>
  <c r="O4994" i="2"/>
  <c r="O4982" i="2"/>
  <c r="O4970" i="2"/>
  <c r="O4958" i="2"/>
  <c r="O4946" i="2"/>
  <c r="O4934" i="2"/>
  <c r="O4922" i="2"/>
  <c r="O4910" i="2"/>
  <c r="O4898" i="2"/>
  <c r="O4886" i="2"/>
  <c r="O4874" i="2"/>
  <c r="O4862" i="2"/>
  <c r="O4850" i="2"/>
  <c r="O4838" i="2"/>
  <c r="O4826" i="2"/>
  <c r="O4814" i="2"/>
  <c r="O4802" i="2"/>
  <c r="O4790" i="2"/>
  <c r="O4778" i="2"/>
  <c r="O4766" i="2"/>
  <c r="O4754" i="2"/>
  <c r="O4742" i="2"/>
  <c r="O4730" i="2"/>
  <c r="O4718" i="2"/>
  <c r="O4706" i="2"/>
  <c r="O4694" i="2"/>
  <c r="O4682" i="2"/>
  <c r="O4670" i="2"/>
  <c r="O4658" i="2"/>
  <c r="O4646" i="2"/>
  <c r="O4634" i="2"/>
  <c r="O4622" i="2"/>
  <c r="O4610" i="2"/>
  <c r="O4598" i="2"/>
  <c r="O4586" i="2"/>
  <c r="O4574" i="2"/>
  <c r="O4562" i="2"/>
  <c r="O4550" i="2"/>
  <c r="O4538" i="2"/>
  <c r="O4526" i="2"/>
  <c r="O4514" i="2"/>
  <c r="O4502" i="2"/>
  <c r="O4490" i="2"/>
  <c r="O4478" i="2"/>
  <c r="O4466" i="2"/>
  <c r="O4454" i="2"/>
  <c r="O4442" i="2"/>
  <c r="O4430" i="2"/>
  <c r="O4418" i="2"/>
  <c r="O4406" i="2"/>
  <c r="O4394" i="2"/>
  <c r="O4382" i="2"/>
  <c r="O4370" i="2"/>
  <c r="O4358" i="2"/>
  <c r="O4346" i="2"/>
  <c r="O4334" i="2"/>
  <c r="O4322" i="2"/>
  <c r="O4310" i="2"/>
  <c r="O4298" i="2"/>
  <c r="O4286" i="2"/>
  <c r="O4274" i="2"/>
  <c r="O4262" i="2"/>
  <c r="O4250" i="2"/>
  <c r="O4238" i="2"/>
  <c r="O4226" i="2"/>
  <c r="O4214" i="2"/>
  <c r="O4202" i="2"/>
  <c r="O4190" i="2"/>
  <c r="O4178" i="2"/>
  <c r="O4166" i="2"/>
  <c r="O4154" i="2"/>
  <c r="O4142" i="2"/>
  <c r="O4130" i="2"/>
  <c r="O4118" i="2"/>
  <c r="O4106" i="2"/>
  <c r="O4094" i="2"/>
  <c r="O4082" i="2"/>
  <c r="O3663" i="2"/>
  <c r="O3651" i="2"/>
  <c r="O3639" i="2"/>
  <c r="O3627" i="2"/>
  <c r="O3615" i="2"/>
  <c r="O3603" i="2"/>
  <c r="O3591" i="2"/>
  <c r="O3579" i="2"/>
  <c r="O3567" i="2"/>
  <c r="O3555" i="2"/>
  <c r="O3543" i="2"/>
  <c r="O3531" i="2"/>
  <c r="O3519" i="2"/>
  <c r="O3507" i="2"/>
  <c r="O3495" i="2"/>
  <c r="O3483" i="2"/>
  <c r="O3471" i="2"/>
  <c r="O3459" i="2"/>
  <c r="O3447" i="2"/>
  <c r="O3435" i="2"/>
  <c r="O3423" i="2"/>
  <c r="O3411" i="2"/>
  <c r="O3399" i="2"/>
  <c r="O3387" i="2"/>
  <c r="O3375" i="2"/>
  <c r="O3363" i="2"/>
  <c r="O3351" i="2"/>
  <c r="O3339" i="2"/>
  <c r="O3327" i="2"/>
  <c r="O3315" i="2"/>
  <c r="O3303" i="2"/>
  <c r="O3291" i="2"/>
  <c r="O3279" i="2"/>
  <c r="O3267" i="2"/>
  <c r="O3255" i="2"/>
  <c r="O3243" i="2"/>
  <c r="O3231" i="2"/>
  <c r="O3219" i="2"/>
  <c r="O3207" i="2"/>
  <c r="O3195" i="2"/>
  <c r="O3183" i="2"/>
  <c r="O3171" i="2"/>
  <c r="O3159" i="2"/>
  <c r="O3147" i="2"/>
  <c r="O3135" i="2"/>
  <c r="O3123" i="2"/>
  <c r="O3111" i="2"/>
  <c r="O3099" i="2"/>
  <c r="O3087" i="2"/>
  <c r="O3075" i="2"/>
  <c r="O3063" i="2"/>
  <c r="O3051" i="2"/>
  <c r="O3039" i="2"/>
  <c r="O3027" i="2"/>
  <c r="O3015" i="2"/>
  <c r="O3003" i="2"/>
  <c r="O2991" i="2"/>
  <c r="O2979" i="2"/>
  <c r="O2967" i="2"/>
  <c r="O2955" i="2"/>
  <c r="O2943" i="2"/>
  <c r="O2931" i="2"/>
  <c r="O2919" i="2"/>
  <c r="O2907" i="2"/>
  <c r="O2895" i="2"/>
  <c r="O2883" i="2"/>
  <c r="O2871" i="2"/>
  <c r="O2859" i="2"/>
  <c r="O2847" i="2"/>
  <c r="O2835" i="2"/>
  <c r="O2823" i="2"/>
  <c r="O2811" i="2"/>
  <c r="O2799" i="2"/>
  <c r="O2787" i="2"/>
  <c r="O2775" i="2"/>
  <c r="O2763" i="2"/>
  <c r="O2751" i="2"/>
  <c r="O2739" i="2"/>
  <c r="O2727" i="2"/>
  <c r="O2715" i="2"/>
  <c r="O2703" i="2"/>
  <c r="O2691" i="2"/>
  <c r="O2679" i="2"/>
  <c r="O2667" i="2"/>
  <c r="O2655" i="2"/>
  <c r="O2643" i="2"/>
  <c r="O2631" i="2"/>
  <c r="O2619" i="2"/>
  <c r="O2607" i="2"/>
  <c r="O2595" i="2"/>
  <c r="O2583" i="2"/>
  <c r="O2571" i="2"/>
  <c r="O2559" i="2"/>
  <c r="O2547" i="2"/>
  <c r="O2535" i="2"/>
  <c r="O2523" i="2"/>
  <c r="O2511" i="2"/>
  <c r="O2499" i="2"/>
  <c r="O2487" i="2"/>
  <c r="O2475" i="2"/>
  <c r="O2463" i="2"/>
  <c r="O2451" i="2"/>
  <c r="O2439" i="2"/>
  <c r="O2427" i="2"/>
  <c r="O2415" i="2"/>
  <c r="O2403" i="2"/>
  <c r="O2391" i="2"/>
  <c r="O2379" i="2"/>
  <c r="O2367" i="2"/>
  <c r="O2355" i="2"/>
  <c r="O2343" i="2"/>
  <c r="O2331" i="2"/>
  <c r="O2319" i="2"/>
  <c r="O2307" i="2"/>
  <c r="O2295" i="2"/>
  <c r="O2283" i="2"/>
  <c r="O2271" i="2"/>
  <c r="O2259" i="2"/>
  <c r="O2247" i="2"/>
  <c r="O2235" i="2"/>
  <c r="O2223" i="2"/>
  <c r="O2211" i="2"/>
  <c r="O2199" i="2"/>
  <c r="O2187" i="2"/>
  <c r="O2175" i="2"/>
  <c r="O2163" i="2"/>
  <c r="O2151" i="2"/>
  <c r="O2139" i="2"/>
  <c r="O2127" i="2"/>
  <c r="O2115" i="2"/>
  <c r="O2103" i="2"/>
  <c r="O2091" i="2"/>
  <c r="O2079" i="2"/>
  <c r="O2067" i="2"/>
  <c r="O2055" i="2"/>
  <c r="O2043" i="2"/>
  <c r="O2031" i="2"/>
  <c r="O2019" i="2"/>
  <c r="O2007" i="2"/>
  <c r="O1995" i="2"/>
  <c r="O1983" i="2"/>
  <c r="O1971" i="2"/>
  <c r="O1959" i="2"/>
  <c r="O1947" i="2"/>
  <c r="O1935" i="2"/>
  <c r="O1923" i="2"/>
  <c r="O1911" i="2"/>
  <c r="O1899" i="2"/>
  <c r="O1887" i="2"/>
  <c r="O1875" i="2"/>
  <c r="O1863" i="2"/>
  <c r="O1851" i="2"/>
  <c r="O1839" i="2"/>
  <c r="O1827" i="2"/>
  <c r="O1815" i="2"/>
  <c r="O1803" i="2"/>
  <c r="O1791" i="2"/>
  <c r="O1779" i="2"/>
  <c r="O1767" i="2"/>
  <c r="O1755" i="2"/>
  <c r="O1743" i="2"/>
  <c r="O1731" i="2"/>
  <c r="O1719" i="2"/>
  <c r="O1707" i="2"/>
  <c r="O1695" i="2"/>
  <c r="O1683" i="2"/>
  <c r="O1671" i="2"/>
  <c r="O1659" i="2"/>
  <c r="O1647" i="2"/>
  <c r="O1635" i="2"/>
  <c r="O4070" i="2"/>
  <c r="O4058" i="2"/>
  <c r="O4046" i="2"/>
  <c r="O4034" i="2"/>
  <c r="O4022" i="2"/>
  <c r="O4010" i="2"/>
  <c r="O3998" i="2"/>
  <c r="O3986" i="2"/>
  <c r="O3974" i="2"/>
  <c r="O3962" i="2"/>
  <c r="O3950" i="2"/>
  <c r="O3938" i="2"/>
  <c r="O3926" i="2"/>
  <c r="O3914" i="2"/>
  <c r="O3902" i="2"/>
  <c r="O3890" i="2"/>
  <c r="O3878" i="2"/>
  <c r="O3866" i="2"/>
  <c r="O3854" i="2"/>
  <c r="O3842" i="2"/>
  <c r="O3830" i="2"/>
  <c r="O3818" i="2"/>
  <c r="O3806" i="2"/>
  <c r="O3794" i="2"/>
  <c r="O3782" i="2"/>
  <c r="O3770" i="2"/>
  <c r="O3758" i="2"/>
  <c r="O3746" i="2"/>
  <c r="O3734" i="2"/>
  <c r="O3722" i="2"/>
  <c r="O3710" i="2"/>
  <c r="O3698" i="2"/>
  <c r="O3686" i="2"/>
  <c r="O3674" i="2"/>
  <c r="O3662" i="2"/>
  <c r="O3650" i="2"/>
  <c r="O3638" i="2"/>
  <c r="O3626" i="2"/>
  <c r="O3614" i="2"/>
  <c r="O3602" i="2"/>
  <c r="O3590" i="2"/>
  <c r="O3578" i="2"/>
  <c r="O3566" i="2"/>
  <c r="O3554" i="2"/>
  <c r="O3542" i="2"/>
  <c r="O3530" i="2"/>
  <c r="O3518" i="2"/>
  <c r="O3506" i="2"/>
  <c r="O3494" i="2"/>
  <c r="O3482" i="2"/>
  <c r="O3470" i="2"/>
  <c r="O3458" i="2"/>
  <c r="O3446" i="2"/>
  <c r="O3434" i="2"/>
  <c r="O3422" i="2"/>
  <c r="O3410" i="2"/>
  <c r="O3398" i="2"/>
  <c r="O3386" i="2"/>
  <c r="O3374" i="2"/>
  <c r="O3362" i="2"/>
  <c r="O3350" i="2"/>
  <c r="O3338" i="2"/>
  <c r="O3326" i="2"/>
  <c r="O3314" i="2"/>
  <c r="O3302" i="2"/>
  <c r="O3290" i="2"/>
  <c r="O3278" i="2"/>
  <c r="O3266" i="2"/>
  <c r="O3254" i="2"/>
  <c r="O3242" i="2"/>
  <c r="O3230" i="2"/>
  <c r="O3218" i="2"/>
  <c r="O3206" i="2"/>
  <c r="O3194" i="2"/>
  <c r="O3182" i="2"/>
  <c r="O3170" i="2"/>
  <c r="O3158" i="2"/>
  <c r="O3146" i="2"/>
  <c r="O3134" i="2"/>
  <c r="O3122" i="2"/>
  <c r="O3110" i="2"/>
  <c r="O3098" i="2"/>
  <c r="O3086" i="2"/>
  <c r="O3074" i="2"/>
  <c r="O3062" i="2"/>
  <c r="O3050" i="2"/>
  <c r="O3038" i="2"/>
  <c r="O3026" i="2"/>
  <c r="O3014" i="2"/>
  <c r="O3002" i="2"/>
  <c r="O2990" i="2"/>
  <c r="O2978" i="2"/>
  <c r="O2966" i="2"/>
  <c r="O2954" i="2"/>
  <c r="O2942" i="2"/>
  <c r="O2930" i="2"/>
  <c r="O2918" i="2"/>
  <c r="O2906" i="2"/>
  <c r="O2894" i="2"/>
  <c r="O2882" i="2"/>
  <c r="O2870" i="2"/>
  <c r="O2858" i="2"/>
  <c r="O2846" i="2"/>
  <c r="O2834" i="2"/>
  <c r="O2822" i="2"/>
  <c r="O2810" i="2"/>
  <c r="O2798" i="2"/>
  <c r="O2786" i="2"/>
  <c r="O2774" i="2"/>
  <c r="O2762" i="2"/>
  <c r="O2750" i="2"/>
  <c r="O2738" i="2"/>
  <c r="O2726" i="2"/>
  <c r="O2714" i="2"/>
  <c r="O2702" i="2"/>
  <c r="O2690" i="2"/>
  <c r="O2678" i="2"/>
  <c r="O2666" i="2"/>
  <c r="O2654" i="2"/>
  <c r="O2642" i="2"/>
  <c r="O2630" i="2"/>
  <c r="O2618" i="2"/>
  <c r="O2606" i="2"/>
  <c r="O2594" i="2"/>
  <c r="O2582" i="2"/>
  <c r="O2570" i="2"/>
  <c r="O2558" i="2"/>
  <c r="O2546" i="2"/>
  <c r="O2534" i="2"/>
  <c r="O2522" i="2"/>
  <c r="O2510" i="2"/>
  <c r="O2498" i="2"/>
  <c r="O2486" i="2"/>
  <c r="O2474" i="2"/>
  <c r="O2462" i="2"/>
  <c r="O2450" i="2"/>
  <c r="O2438" i="2"/>
  <c r="O2426" i="2"/>
  <c r="O2414" i="2"/>
  <c r="O2402" i="2"/>
  <c r="O2390" i="2"/>
  <c r="O2378" i="2"/>
  <c r="O2366" i="2"/>
  <c r="O2354" i="2"/>
  <c r="O2342" i="2"/>
  <c r="O2330" i="2"/>
  <c r="O2318" i="2"/>
  <c r="O2306" i="2"/>
  <c r="O2294" i="2"/>
  <c r="O2282" i="2"/>
  <c r="O2270" i="2"/>
  <c r="O2258" i="2"/>
  <c r="O2246" i="2"/>
  <c r="O2234" i="2"/>
  <c r="O2222" i="2"/>
  <c r="O2210" i="2"/>
  <c r="O2198" i="2"/>
  <c r="O2186" i="2"/>
  <c r="O2174" i="2"/>
  <c r="O2162" i="2"/>
  <c r="O2150" i="2"/>
  <c r="O2138" i="2"/>
  <c r="O2126" i="2"/>
  <c r="O2114" i="2"/>
  <c r="O2102" i="2"/>
  <c r="O2090" i="2"/>
  <c r="O2078" i="2"/>
  <c r="O2066" i="2"/>
  <c r="O2054" i="2"/>
  <c r="O2042" i="2"/>
  <c r="O1623" i="2"/>
  <c r="O1611" i="2"/>
  <c r="O1599" i="2"/>
  <c r="O1587" i="2"/>
  <c r="O1575" i="2"/>
  <c r="O1563" i="2"/>
  <c r="O1551" i="2"/>
  <c r="O1539" i="2"/>
  <c r="O1527" i="2"/>
  <c r="O1515" i="2"/>
  <c r="O1503" i="2"/>
  <c r="O1491" i="2"/>
  <c r="O1479" i="2"/>
  <c r="O1467" i="2"/>
  <c r="O1455" i="2"/>
  <c r="O1443" i="2"/>
  <c r="O1431" i="2"/>
  <c r="O1419" i="2"/>
  <c r="O1407" i="2"/>
  <c r="O1395" i="2"/>
  <c r="O1383" i="2"/>
  <c r="O1371" i="2"/>
  <c r="O1359" i="2"/>
  <c r="O1347" i="2"/>
  <c r="O1335" i="2"/>
  <c r="O1323" i="2"/>
  <c r="O1311" i="2"/>
  <c r="O1299" i="2"/>
  <c r="O1287" i="2"/>
  <c r="O1275" i="2"/>
  <c r="O1263" i="2"/>
  <c r="O1251" i="2"/>
  <c r="O1239" i="2"/>
  <c r="O1227" i="2"/>
  <c r="O1215" i="2"/>
  <c r="O1203" i="2"/>
  <c r="O1191" i="2"/>
  <c r="O1179" i="2"/>
  <c r="O1167" i="2"/>
  <c r="O1155" i="2"/>
  <c r="O1143" i="2"/>
  <c r="O1131" i="2"/>
  <c r="O1119" i="2"/>
  <c r="O1107" i="2"/>
  <c r="O1095" i="2"/>
  <c r="O1083" i="2"/>
  <c r="O1071" i="2"/>
  <c r="O1059" i="2"/>
  <c r="O1047" i="2"/>
  <c r="O1035" i="2"/>
  <c r="O1023" i="2"/>
  <c r="O1011" i="2"/>
  <c r="O999" i="2"/>
  <c r="O987" i="2"/>
  <c r="O975" i="2"/>
  <c r="O963" i="2"/>
  <c r="O951" i="2"/>
  <c r="O939" i="2"/>
  <c r="O927" i="2"/>
  <c r="O915" i="2"/>
  <c r="O903" i="2"/>
  <c r="O891" i="2"/>
  <c r="O879" i="2"/>
  <c r="O867" i="2"/>
  <c r="O855" i="2"/>
  <c r="O843" i="2"/>
  <c r="O831" i="2"/>
  <c r="O819" i="2"/>
  <c r="O807" i="2"/>
  <c r="O795" i="2"/>
  <c r="O783" i="2"/>
  <c r="O771" i="2"/>
  <c r="O759" i="2"/>
  <c r="O747" i="2"/>
  <c r="O735" i="2"/>
  <c r="O723" i="2"/>
  <c r="O711" i="2"/>
  <c r="O699" i="2"/>
  <c r="O687" i="2"/>
  <c r="O675" i="2"/>
  <c r="O663" i="2"/>
  <c r="O651" i="2"/>
  <c r="O639" i="2"/>
  <c r="O627" i="2"/>
  <c r="O615" i="2"/>
  <c r="O603" i="2"/>
  <c r="O591" i="2"/>
  <c r="O579" i="2"/>
  <c r="O567" i="2"/>
  <c r="O555" i="2"/>
  <c r="O543" i="2"/>
  <c r="O531" i="2"/>
  <c r="O519" i="2"/>
  <c r="O507" i="2"/>
  <c r="O495" i="2"/>
  <c r="O483" i="2"/>
  <c r="O471" i="2"/>
  <c r="O459" i="2"/>
  <c r="O447" i="2"/>
  <c r="O435" i="2"/>
  <c r="O423" i="2"/>
  <c r="O411" i="2"/>
  <c r="O399" i="2"/>
  <c r="O387" i="2"/>
  <c r="O375" i="2"/>
  <c r="O363" i="2"/>
  <c r="O351" i="2"/>
  <c r="O339" i="2"/>
  <c r="O327" i="2"/>
  <c r="O315" i="2"/>
  <c r="O303" i="2"/>
  <c r="O291" i="2"/>
  <c r="O279" i="2"/>
  <c r="O267" i="2"/>
  <c r="O255" i="2"/>
  <c r="O243" i="2"/>
  <c r="O231" i="2"/>
  <c r="O219" i="2"/>
  <c r="O207" i="2"/>
  <c r="O195" i="2"/>
  <c r="O183" i="2"/>
  <c r="O171" i="2"/>
  <c r="O159" i="2"/>
  <c r="O147" i="2"/>
  <c r="O135" i="2"/>
  <c r="O123" i="2"/>
  <c r="O111" i="2"/>
  <c r="O99" i="2"/>
  <c r="O87" i="2"/>
  <c r="O75" i="2"/>
  <c r="O63" i="2"/>
  <c r="O51" i="2"/>
  <c r="O39" i="2"/>
  <c r="O27" i="2"/>
  <c r="O15" i="2"/>
  <c r="O3" i="2"/>
  <c r="O2030" i="2"/>
  <c r="O2018" i="2"/>
  <c r="O2006" i="2"/>
  <c r="O1994" i="2"/>
  <c r="O1982" i="2"/>
  <c r="O1970" i="2"/>
  <c r="O1958" i="2"/>
  <c r="O1946" i="2"/>
  <c r="O1934" i="2"/>
  <c r="O1922" i="2"/>
  <c r="O1910" i="2"/>
  <c r="O1898" i="2"/>
  <c r="O1886" i="2"/>
  <c r="O1874" i="2"/>
  <c r="O1862" i="2"/>
  <c r="O1850" i="2"/>
  <c r="O1838" i="2"/>
  <c r="O1826" i="2"/>
  <c r="O1814" i="2"/>
  <c r="O1802" i="2"/>
  <c r="O1790" i="2"/>
  <c r="O1778" i="2"/>
  <c r="O1766" i="2"/>
  <c r="O1754" i="2"/>
  <c r="O1742" i="2"/>
  <c r="O1730" i="2"/>
  <c r="O1718" i="2"/>
  <c r="O1706" i="2"/>
  <c r="O1694" i="2"/>
  <c r="O1682" i="2"/>
  <c r="O1670" i="2"/>
  <c r="O1658" i="2"/>
  <c r="O1646" i="2"/>
  <c r="O1634" i="2"/>
  <c r="O1622" i="2"/>
  <c r="O1610" i="2"/>
  <c r="O1598" i="2"/>
  <c r="O1586" i="2"/>
  <c r="O1574" i="2"/>
  <c r="O1562" i="2"/>
  <c r="O1550" i="2"/>
  <c r="O1538" i="2"/>
  <c r="O1526" i="2"/>
  <c r="O1514" i="2"/>
  <c r="O1502" i="2"/>
  <c r="O1490" i="2"/>
  <c r="O1478" i="2"/>
  <c r="O1466" i="2"/>
  <c r="O1454" i="2"/>
  <c r="O1442" i="2"/>
  <c r="O1430" i="2"/>
  <c r="O1418" i="2"/>
  <c r="O1406" i="2"/>
  <c r="O1394" i="2"/>
  <c r="O1382" i="2"/>
  <c r="O1370" i="2"/>
  <c r="O1358" i="2"/>
  <c r="O1346" i="2"/>
  <c r="O1334" i="2"/>
  <c r="O1322" i="2"/>
  <c r="O1310" i="2"/>
  <c r="O1298" i="2"/>
  <c r="O1286" i="2"/>
  <c r="O1274" i="2"/>
  <c r="O1262" i="2"/>
  <c r="O1250" i="2"/>
  <c r="O1238" i="2"/>
  <c r="O1226" i="2"/>
  <c r="O1214" i="2"/>
  <c r="O1202" i="2"/>
  <c r="O1190" i="2"/>
  <c r="O1178" i="2"/>
  <c r="O1166" i="2"/>
  <c r="O1154" i="2"/>
  <c r="O1142" i="2"/>
  <c r="O1130" i="2"/>
  <c r="O1118" i="2"/>
  <c r="O1106" i="2"/>
  <c r="O1094" i="2"/>
  <c r="O1082" i="2"/>
  <c r="O1070" i="2"/>
  <c r="O1058" i="2"/>
  <c r="O1046" i="2"/>
  <c r="O1034" i="2"/>
  <c r="O1022" i="2"/>
  <c r="O1010" i="2"/>
  <c r="O998" i="2"/>
  <c r="O986" i="2"/>
  <c r="O974" i="2"/>
  <c r="O962" i="2"/>
  <c r="O950" i="2"/>
  <c r="O938" i="2"/>
  <c r="O926" i="2"/>
  <c r="O914" i="2"/>
  <c r="O902" i="2"/>
  <c r="O890" i="2"/>
  <c r="O878" i="2"/>
  <c r="O866" i="2"/>
  <c r="O854" i="2"/>
  <c r="O842" i="2"/>
  <c r="O830" i="2"/>
  <c r="O818" i="2"/>
  <c r="O806" i="2"/>
  <c r="O794" i="2"/>
  <c r="O782" i="2"/>
  <c r="O770" i="2"/>
  <c r="O758" i="2"/>
  <c r="O746" i="2"/>
  <c r="O734" i="2"/>
  <c r="O722" i="2"/>
  <c r="O710" i="2"/>
  <c r="O698" i="2"/>
  <c r="O686" i="2"/>
  <c r="O674" i="2"/>
  <c r="O662" i="2"/>
  <c r="O650" i="2"/>
  <c r="O638" i="2"/>
  <c r="O626" i="2"/>
  <c r="O614" i="2"/>
  <c r="O602" i="2"/>
  <c r="O590" i="2"/>
  <c r="O578" i="2"/>
  <c r="O566" i="2"/>
  <c r="O554" i="2"/>
  <c r="O542" i="2"/>
  <c r="O530" i="2"/>
  <c r="O518" i="2"/>
  <c r="O506" i="2"/>
  <c r="O494" i="2"/>
  <c r="O482" i="2"/>
  <c r="O470" i="2"/>
  <c r="O458" i="2"/>
  <c r="O446" i="2"/>
  <c r="O434" i="2"/>
  <c r="O422" i="2"/>
  <c r="O410" i="2"/>
  <c r="O398" i="2"/>
  <c r="O386" i="2"/>
  <c r="O374" i="2"/>
  <c r="O362" i="2"/>
  <c r="O350" i="2"/>
  <c r="O338" i="2"/>
  <c r="O326" i="2"/>
  <c r="O314" i="2"/>
  <c r="O302" i="2"/>
  <c r="O290" i="2"/>
  <c r="O278" i="2"/>
  <c r="O266" i="2"/>
  <c r="O254" i="2"/>
  <c r="O242" i="2"/>
  <c r="O230" i="2"/>
  <c r="O218" i="2"/>
  <c r="O206" i="2"/>
  <c r="O194" i="2"/>
  <c r="O182" i="2"/>
  <c r="O170" i="2"/>
  <c r="O158" i="2"/>
  <c r="O146" i="2"/>
  <c r="O134" i="2"/>
  <c r="O122" i="2"/>
  <c r="O110" i="2"/>
  <c r="O98" i="2"/>
  <c r="O86" i="2"/>
  <c r="O74" i="2"/>
  <c r="O62" i="2"/>
  <c r="O50" i="2"/>
  <c r="O38" i="2"/>
  <c r="O26" i="2"/>
  <c r="O14" i="2"/>
  <c r="O2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1957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002" i="2"/>
  <c r="H2003" i="2"/>
  <c r="H2004" i="2"/>
  <c r="H2005" i="2"/>
  <c r="H2006" i="2"/>
  <c r="H2007" i="2"/>
  <c r="H2008" i="2"/>
  <c r="H2009" i="2"/>
  <c r="H2010" i="2"/>
  <c r="H2011" i="2"/>
  <c r="H2012" i="2"/>
  <c r="H2013" i="2"/>
  <c r="H2014" i="2"/>
  <c r="H2015" i="2"/>
  <c r="H2016" i="2"/>
  <c r="H2017" i="2"/>
  <c r="H2018" i="2"/>
  <c r="H2019" i="2"/>
  <c r="H2020" i="2"/>
  <c r="H2021" i="2"/>
  <c r="H2022" i="2"/>
  <c r="H2023" i="2"/>
  <c r="H2024" i="2"/>
  <c r="H2025" i="2"/>
  <c r="H2026" i="2"/>
  <c r="H2027" i="2"/>
  <c r="H2028" i="2"/>
  <c r="H2029" i="2"/>
  <c r="H2030" i="2"/>
  <c r="H2031" i="2"/>
  <c r="H2032" i="2"/>
  <c r="H2033" i="2"/>
  <c r="H2034" i="2"/>
  <c r="H2035" i="2"/>
  <c r="H2036" i="2"/>
  <c r="H2037" i="2"/>
  <c r="H2038" i="2"/>
  <c r="H2039" i="2"/>
  <c r="H2040" i="2"/>
  <c r="H2041" i="2"/>
  <c r="H2042" i="2"/>
  <c r="H2043" i="2"/>
  <c r="H2044" i="2"/>
  <c r="H2045" i="2"/>
  <c r="H2046" i="2"/>
  <c r="H2047" i="2"/>
  <c r="H2048" i="2"/>
  <c r="H2049" i="2"/>
  <c r="H2050" i="2"/>
  <c r="H2051" i="2"/>
  <c r="H2052" i="2"/>
  <c r="H2053" i="2"/>
  <c r="H2054" i="2"/>
  <c r="H2055" i="2"/>
  <c r="H2056" i="2"/>
  <c r="H2057" i="2"/>
  <c r="H2058" i="2"/>
  <c r="H2059" i="2"/>
  <c r="H2060" i="2"/>
  <c r="H2061" i="2"/>
  <c r="H2062" i="2"/>
  <c r="H2063" i="2"/>
  <c r="H2064" i="2"/>
  <c r="H2065" i="2"/>
  <c r="H2066" i="2"/>
  <c r="H2067" i="2"/>
  <c r="H2068" i="2"/>
  <c r="H2069" i="2"/>
  <c r="H2070" i="2"/>
  <c r="H2071" i="2"/>
  <c r="H2072" i="2"/>
  <c r="H2073" i="2"/>
  <c r="H2074" i="2"/>
  <c r="H2075" i="2"/>
  <c r="H2076" i="2"/>
  <c r="H2077" i="2"/>
  <c r="H2078" i="2"/>
  <c r="H2079" i="2"/>
  <c r="H2080" i="2"/>
  <c r="H2081" i="2"/>
  <c r="H2082" i="2"/>
  <c r="H2083" i="2"/>
  <c r="H2084" i="2"/>
  <c r="H2085" i="2"/>
  <c r="H2086" i="2"/>
  <c r="H2087" i="2"/>
  <c r="H2088" i="2"/>
  <c r="H2089" i="2"/>
  <c r="H2090" i="2"/>
  <c r="H2091" i="2"/>
  <c r="H2092" i="2"/>
  <c r="H2093" i="2"/>
  <c r="H2094" i="2"/>
  <c r="H2095" i="2"/>
  <c r="H2096" i="2"/>
  <c r="H2097" i="2"/>
  <c r="H2098" i="2"/>
  <c r="H2099" i="2"/>
  <c r="H2100" i="2"/>
  <c r="H2101" i="2"/>
  <c r="H2102" i="2"/>
  <c r="H2103" i="2"/>
  <c r="H2104" i="2"/>
  <c r="H2105" i="2"/>
  <c r="H2106" i="2"/>
  <c r="H2107" i="2"/>
  <c r="H2108" i="2"/>
  <c r="H2109" i="2"/>
  <c r="H2110" i="2"/>
  <c r="H2111" i="2"/>
  <c r="H2112" i="2"/>
  <c r="H2113" i="2"/>
  <c r="H2114" i="2"/>
  <c r="H2115" i="2"/>
  <c r="H2116" i="2"/>
  <c r="H2117" i="2"/>
  <c r="H2118" i="2"/>
  <c r="H2119" i="2"/>
  <c r="H2120" i="2"/>
  <c r="H2121" i="2"/>
  <c r="H2122" i="2"/>
  <c r="H2123" i="2"/>
  <c r="H2124" i="2"/>
  <c r="H2125" i="2"/>
  <c r="H2126" i="2"/>
  <c r="H2127" i="2"/>
  <c r="H2128" i="2"/>
  <c r="H2129" i="2"/>
  <c r="H2130" i="2"/>
  <c r="H2131" i="2"/>
  <c r="H2132" i="2"/>
  <c r="H2133" i="2"/>
  <c r="H2134" i="2"/>
  <c r="H2135" i="2"/>
  <c r="H2136" i="2"/>
  <c r="H2137" i="2"/>
  <c r="H2138" i="2"/>
  <c r="H2139" i="2"/>
  <c r="H2140" i="2"/>
  <c r="H2141" i="2"/>
  <c r="H2142" i="2"/>
  <c r="H2143" i="2"/>
  <c r="H2144" i="2"/>
  <c r="H2145" i="2"/>
  <c r="H2146" i="2"/>
  <c r="H2147" i="2"/>
  <c r="H2148" i="2"/>
  <c r="H2149" i="2"/>
  <c r="H2150" i="2"/>
  <c r="H2151" i="2"/>
  <c r="H2152" i="2"/>
  <c r="H2153" i="2"/>
  <c r="H2154" i="2"/>
  <c r="H2155" i="2"/>
  <c r="H2156" i="2"/>
  <c r="H2157" i="2"/>
  <c r="H2158" i="2"/>
  <c r="H2159" i="2"/>
  <c r="H2160" i="2"/>
  <c r="H2161" i="2"/>
  <c r="H2162" i="2"/>
  <c r="H2163" i="2"/>
  <c r="H2164" i="2"/>
  <c r="H2165" i="2"/>
  <c r="H2166" i="2"/>
  <c r="H2167" i="2"/>
  <c r="H2168" i="2"/>
  <c r="H2169" i="2"/>
  <c r="H2170" i="2"/>
  <c r="H2171" i="2"/>
  <c r="H2172" i="2"/>
  <c r="H2173" i="2"/>
  <c r="H2174" i="2"/>
  <c r="H2175" i="2"/>
  <c r="H2176" i="2"/>
  <c r="H2177" i="2"/>
  <c r="H2178" i="2"/>
  <c r="H2179" i="2"/>
  <c r="H2180" i="2"/>
  <c r="H2181" i="2"/>
  <c r="H2182" i="2"/>
  <c r="H2183" i="2"/>
  <c r="H2184" i="2"/>
  <c r="H2185" i="2"/>
  <c r="H2186" i="2"/>
  <c r="H2187" i="2"/>
  <c r="H2188" i="2"/>
  <c r="H2189" i="2"/>
  <c r="H2190" i="2"/>
  <c r="H2191" i="2"/>
  <c r="H2192" i="2"/>
  <c r="H2193" i="2"/>
  <c r="H2194" i="2"/>
  <c r="H2195" i="2"/>
  <c r="H2196" i="2"/>
  <c r="H2197" i="2"/>
  <c r="H2198" i="2"/>
  <c r="H2199" i="2"/>
  <c r="H2200" i="2"/>
  <c r="H2201" i="2"/>
  <c r="H2202" i="2"/>
  <c r="H2203" i="2"/>
  <c r="H2204" i="2"/>
  <c r="H2205" i="2"/>
  <c r="H2206" i="2"/>
  <c r="H2207" i="2"/>
  <c r="H2208" i="2"/>
  <c r="H2209" i="2"/>
  <c r="H2210" i="2"/>
  <c r="H2211" i="2"/>
  <c r="H2212" i="2"/>
  <c r="H2213" i="2"/>
  <c r="H2214" i="2"/>
  <c r="H2215" i="2"/>
  <c r="H2216" i="2"/>
  <c r="H2217" i="2"/>
  <c r="H2218" i="2"/>
  <c r="H2219" i="2"/>
  <c r="H2220" i="2"/>
  <c r="H2221" i="2"/>
  <c r="H2222" i="2"/>
  <c r="H2223" i="2"/>
  <c r="H2224" i="2"/>
  <c r="H2225" i="2"/>
  <c r="H2226" i="2"/>
  <c r="H2227" i="2"/>
  <c r="H2228" i="2"/>
  <c r="H2229" i="2"/>
  <c r="H2230" i="2"/>
  <c r="H2231" i="2"/>
  <c r="H2232" i="2"/>
  <c r="H2233" i="2"/>
  <c r="H2234" i="2"/>
  <c r="H2235" i="2"/>
  <c r="H2236" i="2"/>
  <c r="H2237" i="2"/>
  <c r="H2238" i="2"/>
  <c r="H2239" i="2"/>
  <c r="H2240" i="2"/>
  <c r="H2241" i="2"/>
  <c r="H2242" i="2"/>
  <c r="H2243" i="2"/>
  <c r="H2244" i="2"/>
  <c r="H2245" i="2"/>
  <c r="H2246" i="2"/>
  <c r="H2247" i="2"/>
  <c r="H2248" i="2"/>
  <c r="H2249" i="2"/>
  <c r="H2250" i="2"/>
  <c r="H2251" i="2"/>
  <c r="H2252" i="2"/>
  <c r="H2253" i="2"/>
  <c r="H2254" i="2"/>
  <c r="H2255" i="2"/>
  <c r="H2256" i="2"/>
  <c r="H2257" i="2"/>
  <c r="H2258" i="2"/>
  <c r="H2259" i="2"/>
  <c r="H2260" i="2"/>
  <c r="H2261" i="2"/>
  <c r="H2262" i="2"/>
  <c r="H2263" i="2"/>
  <c r="H2264" i="2"/>
  <c r="H2265" i="2"/>
  <c r="H2266" i="2"/>
  <c r="H2267" i="2"/>
  <c r="H2268" i="2"/>
  <c r="H2269" i="2"/>
  <c r="H2270" i="2"/>
  <c r="H2271" i="2"/>
  <c r="H2272" i="2"/>
  <c r="H2273" i="2"/>
  <c r="H2274" i="2"/>
  <c r="H2275" i="2"/>
  <c r="H2276" i="2"/>
  <c r="H2277" i="2"/>
  <c r="H2278" i="2"/>
  <c r="H2279" i="2"/>
  <c r="H2280" i="2"/>
  <c r="H2281" i="2"/>
  <c r="H2282" i="2"/>
  <c r="H2283" i="2"/>
  <c r="H2284" i="2"/>
  <c r="H2285" i="2"/>
  <c r="H2286" i="2"/>
  <c r="H2287" i="2"/>
  <c r="H2288" i="2"/>
  <c r="H2289" i="2"/>
  <c r="H2290" i="2"/>
  <c r="H2291" i="2"/>
  <c r="H2292" i="2"/>
  <c r="H2293" i="2"/>
  <c r="H2294" i="2"/>
  <c r="H2295" i="2"/>
  <c r="H2296" i="2"/>
  <c r="H2297" i="2"/>
  <c r="H2298" i="2"/>
  <c r="H2299" i="2"/>
  <c r="H2300" i="2"/>
  <c r="H2301" i="2"/>
  <c r="H2302" i="2"/>
  <c r="H2303" i="2"/>
  <c r="H2304" i="2"/>
  <c r="H2305" i="2"/>
  <c r="H2306" i="2"/>
  <c r="H2307" i="2"/>
  <c r="H2308" i="2"/>
  <c r="H2309" i="2"/>
  <c r="H2310" i="2"/>
  <c r="H2311" i="2"/>
  <c r="H2312" i="2"/>
  <c r="H2313" i="2"/>
  <c r="H2314" i="2"/>
  <c r="H2315" i="2"/>
  <c r="H2316" i="2"/>
  <c r="H2317" i="2"/>
  <c r="H2318" i="2"/>
  <c r="H2319" i="2"/>
  <c r="H2320" i="2"/>
  <c r="H2321" i="2"/>
  <c r="H2322" i="2"/>
  <c r="H2323" i="2"/>
  <c r="H2324" i="2"/>
  <c r="H2325" i="2"/>
  <c r="H2326" i="2"/>
  <c r="H2327" i="2"/>
  <c r="H2328" i="2"/>
  <c r="H2329" i="2"/>
  <c r="H2330" i="2"/>
  <c r="H2331" i="2"/>
  <c r="H2332" i="2"/>
  <c r="H2333" i="2"/>
  <c r="H2334" i="2"/>
  <c r="H2335" i="2"/>
  <c r="H2336" i="2"/>
  <c r="H2337" i="2"/>
  <c r="H2338" i="2"/>
  <c r="H2339" i="2"/>
  <c r="H2340" i="2"/>
  <c r="H2341" i="2"/>
  <c r="H2342" i="2"/>
  <c r="H2343" i="2"/>
  <c r="H2344" i="2"/>
  <c r="H2345" i="2"/>
  <c r="H2346" i="2"/>
  <c r="H2347" i="2"/>
  <c r="H2348" i="2"/>
  <c r="H2349" i="2"/>
  <c r="H2350" i="2"/>
  <c r="H2351" i="2"/>
  <c r="H2352" i="2"/>
  <c r="H2353" i="2"/>
  <c r="H2354" i="2"/>
  <c r="H2355" i="2"/>
  <c r="H2356" i="2"/>
  <c r="H2357" i="2"/>
  <c r="H2358" i="2"/>
  <c r="H2359" i="2"/>
  <c r="H2360" i="2"/>
  <c r="H2361" i="2"/>
  <c r="H2362" i="2"/>
  <c r="H2363" i="2"/>
  <c r="H2364" i="2"/>
  <c r="H2365" i="2"/>
  <c r="H2366" i="2"/>
  <c r="H2367" i="2"/>
  <c r="H2368" i="2"/>
  <c r="H2369" i="2"/>
  <c r="H2370" i="2"/>
  <c r="H2371" i="2"/>
  <c r="H2372" i="2"/>
  <c r="H2373" i="2"/>
  <c r="H2374" i="2"/>
  <c r="H2375" i="2"/>
  <c r="H2376" i="2"/>
  <c r="H2377" i="2"/>
  <c r="H2378" i="2"/>
  <c r="H2379" i="2"/>
  <c r="H2380" i="2"/>
  <c r="H2381" i="2"/>
  <c r="H2382" i="2"/>
  <c r="H2383" i="2"/>
  <c r="H2384" i="2"/>
  <c r="H2385" i="2"/>
  <c r="H2386" i="2"/>
  <c r="H2387" i="2"/>
  <c r="H2388" i="2"/>
  <c r="H2389" i="2"/>
  <c r="H2390" i="2"/>
  <c r="H2391" i="2"/>
  <c r="H2392" i="2"/>
  <c r="H2393" i="2"/>
  <c r="H2394" i="2"/>
  <c r="H2395" i="2"/>
  <c r="H2396" i="2"/>
  <c r="H2397" i="2"/>
  <c r="H2398" i="2"/>
  <c r="H2399" i="2"/>
  <c r="H2400" i="2"/>
  <c r="H2401" i="2"/>
  <c r="H2402" i="2"/>
  <c r="H2403" i="2"/>
  <c r="H2404" i="2"/>
  <c r="H2405" i="2"/>
  <c r="H2406" i="2"/>
  <c r="H2407" i="2"/>
  <c r="H2408" i="2"/>
  <c r="H2409" i="2"/>
  <c r="H2410" i="2"/>
  <c r="H2411" i="2"/>
  <c r="H2412" i="2"/>
  <c r="H2413" i="2"/>
  <c r="H2414" i="2"/>
  <c r="H2415" i="2"/>
  <c r="H2416" i="2"/>
  <c r="H2417" i="2"/>
  <c r="H2418" i="2"/>
  <c r="H2419" i="2"/>
  <c r="H2420" i="2"/>
  <c r="H2421" i="2"/>
  <c r="H2422" i="2"/>
  <c r="H2423" i="2"/>
  <c r="H2424" i="2"/>
  <c r="H2425" i="2"/>
  <c r="H2426" i="2"/>
  <c r="H2427" i="2"/>
  <c r="H2428" i="2"/>
  <c r="H2429" i="2"/>
  <c r="H2430" i="2"/>
  <c r="H2431" i="2"/>
  <c r="H2432" i="2"/>
  <c r="H2433" i="2"/>
  <c r="H2434" i="2"/>
  <c r="H2435" i="2"/>
  <c r="H2436" i="2"/>
  <c r="H2437" i="2"/>
  <c r="H2438" i="2"/>
  <c r="H2439" i="2"/>
  <c r="H2440" i="2"/>
  <c r="H2441" i="2"/>
  <c r="H2442" i="2"/>
  <c r="H2443" i="2"/>
  <c r="H2444" i="2"/>
  <c r="H2445" i="2"/>
  <c r="H2446" i="2"/>
  <c r="H2447" i="2"/>
  <c r="H2448" i="2"/>
  <c r="H2449" i="2"/>
  <c r="H2450" i="2"/>
  <c r="H2451" i="2"/>
  <c r="H2452" i="2"/>
  <c r="H2453" i="2"/>
  <c r="H2454" i="2"/>
  <c r="H2455" i="2"/>
  <c r="H2456" i="2"/>
  <c r="H2457" i="2"/>
  <c r="H2458" i="2"/>
  <c r="H2459" i="2"/>
  <c r="H2460" i="2"/>
  <c r="H2461" i="2"/>
  <c r="H2462" i="2"/>
  <c r="H2463" i="2"/>
  <c r="H2464" i="2"/>
  <c r="H2465" i="2"/>
  <c r="H2466" i="2"/>
  <c r="H2467" i="2"/>
  <c r="H2468" i="2"/>
  <c r="H2469" i="2"/>
  <c r="H2470" i="2"/>
  <c r="H2471" i="2"/>
  <c r="H2472" i="2"/>
  <c r="H2473" i="2"/>
  <c r="H2474" i="2"/>
  <c r="H2475" i="2"/>
  <c r="H2476" i="2"/>
  <c r="H2477" i="2"/>
  <c r="H2478" i="2"/>
  <c r="H2479" i="2"/>
  <c r="H2480" i="2"/>
  <c r="H2481" i="2"/>
  <c r="H2482" i="2"/>
  <c r="H2483" i="2"/>
  <c r="H2484" i="2"/>
  <c r="H2485" i="2"/>
  <c r="H2486" i="2"/>
  <c r="H2487" i="2"/>
  <c r="H2488" i="2"/>
  <c r="H2489" i="2"/>
  <c r="H2490" i="2"/>
  <c r="H2491" i="2"/>
  <c r="H2492" i="2"/>
  <c r="H2493" i="2"/>
  <c r="H2494" i="2"/>
  <c r="H2495" i="2"/>
  <c r="H2496" i="2"/>
  <c r="H2497" i="2"/>
  <c r="H2498" i="2"/>
  <c r="H2499" i="2"/>
  <c r="H2500" i="2"/>
  <c r="H2501" i="2"/>
  <c r="H2502" i="2"/>
  <c r="H2503" i="2"/>
  <c r="H2504" i="2"/>
  <c r="H2505" i="2"/>
  <c r="H2506" i="2"/>
  <c r="H2507" i="2"/>
  <c r="H2508" i="2"/>
  <c r="H2509" i="2"/>
  <c r="H2510" i="2"/>
  <c r="H2511" i="2"/>
  <c r="H2512" i="2"/>
  <c r="H2513" i="2"/>
  <c r="H2514" i="2"/>
  <c r="H2515" i="2"/>
  <c r="H2516" i="2"/>
  <c r="H2517" i="2"/>
  <c r="H2518" i="2"/>
  <c r="H2519" i="2"/>
  <c r="H2520" i="2"/>
  <c r="H2521" i="2"/>
  <c r="H2522" i="2"/>
  <c r="H2523" i="2"/>
  <c r="H2524" i="2"/>
  <c r="H2525" i="2"/>
  <c r="H2526" i="2"/>
  <c r="H2527" i="2"/>
  <c r="H2528" i="2"/>
  <c r="H2529" i="2"/>
  <c r="H2530" i="2"/>
  <c r="H2531" i="2"/>
  <c r="H2532" i="2"/>
  <c r="H2533" i="2"/>
  <c r="H2534" i="2"/>
  <c r="H2535" i="2"/>
  <c r="H2536" i="2"/>
  <c r="H2537" i="2"/>
  <c r="H2538" i="2"/>
  <c r="H2539" i="2"/>
  <c r="H2540" i="2"/>
  <c r="H2541" i="2"/>
  <c r="H2542" i="2"/>
  <c r="H2543" i="2"/>
  <c r="H2544" i="2"/>
  <c r="H2545" i="2"/>
  <c r="H2546" i="2"/>
  <c r="H2547" i="2"/>
  <c r="H2548" i="2"/>
  <c r="H2549" i="2"/>
  <c r="H2550" i="2"/>
  <c r="H2551" i="2"/>
  <c r="H2552" i="2"/>
  <c r="H2553" i="2"/>
  <c r="H2554" i="2"/>
  <c r="H2555" i="2"/>
  <c r="H2556" i="2"/>
  <c r="H2557" i="2"/>
  <c r="H2558" i="2"/>
  <c r="H2559" i="2"/>
  <c r="H2560" i="2"/>
  <c r="H2561" i="2"/>
  <c r="H2562" i="2"/>
  <c r="H2563" i="2"/>
  <c r="H2564" i="2"/>
  <c r="H2565" i="2"/>
  <c r="H2566" i="2"/>
  <c r="H2567" i="2"/>
  <c r="H2568" i="2"/>
  <c r="H2569" i="2"/>
  <c r="H2570" i="2"/>
  <c r="H2571" i="2"/>
  <c r="H2572" i="2"/>
  <c r="H2573" i="2"/>
  <c r="H2574" i="2"/>
  <c r="H2575" i="2"/>
  <c r="H2576" i="2"/>
  <c r="H2577" i="2"/>
  <c r="H2578" i="2"/>
  <c r="H2579" i="2"/>
  <c r="H2580" i="2"/>
  <c r="H2581" i="2"/>
  <c r="H2582" i="2"/>
  <c r="H2583" i="2"/>
  <c r="H2584" i="2"/>
  <c r="H2585" i="2"/>
  <c r="H2586" i="2"/>
  <c r="H2587" i="2"/>
  <c r="H2588" i="2"/>
  <c r="H2589" i="2"/>
  <c r="H2590" i="2"/>
  <c r="H2591" i="2"/>
  <c r="H2592" i="2"/>
  <c r="H2593" i="2"/>
  <c r="H2594" i="2"/>
  <c r="H2595" i="2"/>
  <c r="H2596" i="2"/>
  <c r="H2597" i="2"/>
  <c r="H2598" i="2"/>
  <c r="H2599" i="2"/>
  <c r="H2600" i="2"/>
  <c r="H2601" i="2"/>
  <c r="H2602" i="2"/>
  <c r="H2603" i="2"/>
  <c r="H2604" i="2"/>
  <c r="H2605" i="2"/>
  <c r="H2606" i="2"/>
  <c r="H2607" i="2"/>
  <c r="H2608" i="2"/>
  <c r="H2609" i="2"/>
  <c r="H2610" i="2"/>
  <c r="H2611" i="2"/>
  <c r="H2612" i="2"/>
  <c r="H2613" i="2"/>
  <c r="H2614" i="2"/>
  <c r="H2615" i="2"/>
  <c r="H2616" i="2"/>
  <c r="H2617" i="2"/>
  <c r="H2618" i="2"/>
  <c r="H2619" i="2"/>
  <c r="H2620" i="2"/>
  <c r="H2621" i="2"/>
  <c r="H2622" i="2"/>
  <c r="H2623" i="2"/>
  <c r="H2624" i="2"/>
  <c r="H2625" i="2"/>
  <c r="H2626" i="2"/>
  <c r="H2627" i="2"/>
  <c r="H2628" i="2"/>
  <c r="H2629" i="2"/>
  <c r="H2630" i="2"/>
  <c r="H2631" i="2"/>
  <c r="H2632" i="2"/>
  <c r="H2633" i="2"/>
  <c r="H2634" i="2"/>
  <c r="H2635" i="2"/>
  <c r="H2636" i="2"/>
  <c r="H2637" i="2"/>
  <c r="H2638" i="2"/>
  <c r="H2639" i="2"/>
  <c r="H2640" i="2"/>
  <c r="H2641" i="2"/>
  <c r="H2642" i="2"/>
  <c r="H2643" i="2"/>
  <c r="H2644" i="2"/>
  <c r="H2645" i="2"/>
  <c r="H2646" i="2"/>
  <c r="H2647" i="2"/>
  <c r="H2648" i="2"/>
  <c r="H2649" i="2"/>
  <c r="H2650" i="2"/>
  <c r="H2651" i="2"/>
  <c r="H2652" i="2"/>
  <c r="H2653" i="2"/>
  <c r="H2654" i="2"/>
  <c r="H2655" i="2"/>
  <c r="H2656" i="2"/>
  <c r="H2657" i="2"/>
  <c r="H2658" i="2"/>
  <c r="H2659" i="2"/>
  <c r="H2660" i="2"/>
  <c r="H2661" i="2"/>
  <c r="H2662" i="2"/>
  <c r="H2663" i="2"/>
  <c r="H2664" i="2"/>
  <c r="H2665" i="2"/>
  <c r="H2666" i="2"/>
  <c r="H2667" i="2"/>
  <c r="H2668" i="2"/>
  <c r="H2669" i="2"/>
  <c r="H2670" i="2"/>
  <c r="H2671" i="2"/>
  <c r="H2672" i="2"/>
  <c r="H2673" i="2"/>
  <c r="H2674" i="2"/>
  <c r="H2675" i="2"/>
  <c r="H2676" i="2"/>
  <c r="H2677" i="2"/>
  <c r="H2678" i="2"/>
  <c r="H2679" i="2"/>
  <c r="H2680" i="2"/>
  <c r="H2681" i="2"/>
  <c r="H2682" i="2"/>
  <c r="H2683" i="2"/>
  <c r="H2684" i="2"/>
  <c r="H2685" i="2"/>
  <c r="H2686" i="2"/>
  <c r="H2687" i="2"/>
  <c r="H2688" i="2"/>
  <c r="H2689" i="2"/>
  <c r="H2690" i="2"/>
  <c r="H2691" i="2"/>
  <c r="H2692" i="2"/>
  <c r="H2693" i="2"/>
  <c r="H2694" i="2"/>
  <c r="H2695" i="2"/>
  <c r="H2696" i="2"/>
  <c r="H2697" i="2"/>
  <c r="H2698" i="2"/>
  <c r="H2699" i="2"/>
  <c r="H2700" i="2"/>
  <c r="H2701" i="2"/>
  <c r="H2702" i="2"/>
  <c r="H2703" i="2"/>
  <c r="H2704" i="2"/>
  <c r="H2705" i="2"/>
  <c r="H2706" i="2"/>
  <c r="H2707" i="2"/>
  <c r="H2708" i="2"/>
  <c r="H2709" i="2"/>
  <c r="H2710" i="2"/>
  <c r="H2711" i="2"/>
  <c r="H2712" i="2"/>
  <c r="H2713" i="2"/>
  <c r="H2714" i="2"/>
  <c r="H2715" i="2"/>
  <c r="H2716" i="2"/>
  <c r="H2717" i="2"/>
  <c r="H2718" i="2"/>
  <c r="H2719" i="2"/>
  <c r="H2720" i="2"/>
  <c r="H2721" i="2"/>
  <c r="H2722" i="2"/>
  <c r="H2723" i="2"/>
  <c r="H2724" i="2"/>
  <c r="H2725" i="2"/>
  <c r="H2726" i="2"/>
  <c r="H2727" i="2"/>
  <c r="H2728" i="2"/>
  <c r="H2729" i="2"/>
  <c r="H2730" i="2"/>
  <c r="H2731" i="2"/>
  <c r="H2732" i="2"/>
  <c r="H2733" i="2"/>
  <c r="H2734" i="2"/>
  <c r="H2735" i="2"/>
  <c r="H2736" i="2"/>
  <c r="H2737" i="2"/>
  <c r="H2738" i="2"/>
  <c r="H2739" i="2"/>
  <c r="H2740" i="2"/>
  <c r="H2741" i="2"/>
  <c r="H2742" i="2"/>
  <c r="H2743" i="2"/>
  <c r="H2744" i="2"/>
  <c r="H2745" i="2"/>
  <c r="H2746" i="2"/>
  <c r="H2747" i="2"/>
  <c r="H2748" i="2"/>
  <c r="H2749" i="2"/>
  <c r="H2750" i="2"/>
  <c r="H2751" i="2"/>
  <c r="H2752" i="2"/>
  <c r="H2753" i="2"/>
  <c r="H2754" i="2"/>
  <c r="H2755" i="2"/>
  <c r="H2756" i="2"/>
  <c r="H2757" i="2"/>
  <c r="H2758" i="2"/>
  <c r="H2759" i="2"/>
  <c r="H2760" i="2"/>
  <c r="H2761" i="2"/>
  <c r="H2762" i="2"/>
  <c r="H2763" i="2"/>
  <c r="H2764" i="2"/>
  <c r="H2765" i="2"/>
  <c r="H2766" i="2"/>
  <c r="H2767" i="2"/>
  <c r="H2768" i="2"/>
  <c r="H2769" i="2"/>
  <c r="H2770" i="2"/>
  <c r="H2771" i="2"/>
  <c r="H2772" i="2"/>
  <c r="H2773" i="2"/>
  <c r="H2774" i="2"/>
  <c r="H2775" i="2"/>
  <c r="H2776" i="2"/>
  <c r="H2777" i="2"/>
  <c r="H2778" i="2"/>
  <c r="H2779" i="2"/>
  <c r="H2780" i="2"/>
  <c r="H2781" i="2"/>
  <c r="H2782" i="2"/>
  <c r="H2783" i="2"/>
  <c r="H2784" i="2"/>
  <c r="H2785" i="2"/>
  <c r="H2786" i="2"/>
  <c r="H2787" i="2"/>
  <c r="H2788" i="2"/>
  <c r="H2789" i="2"/>
  <c r="H2790" i="2"/>
  <c r="H2791" i="2"/>
  <c r="H2792" i="2"/>
  <c r="H2793" i="2"/>
  <c r="H2794" i="2"/>
  <c r="H2795" i="2"/>
  <c r="H2796" i="2"/>
  <c r="H2797" i="2"/>
  <c r="H2798" i="2"/>
  <c r="H2799" i="2"/>
  <c r="H2800" i="2"/>
  <c r="H2801" i="2"/>
  <c r="H2802" i="2"/>
  <c r="H2803" i="2"/>
  <c r="H2804" i="2"/>
  <c r="H2805" i="2"/>
  <c r="H2806" i="2"/>
  <c r="H2807" i="2"/>
  <c r="H2808" i="2"/>
  <c r="H2809" i="2"/>
  <c r="H2810" i="2"/>
  <c r="H2811" i="2"/>
  <c r="H2812" i="2"/>
  <c r="H2813" i="2"/>
  <c r="H2814" i="2"/>
  <c r="H2815" i="2"/>
  <c r="H2816" i="2"/>
  <c r="H2817" i="2"/>
  <c r="H2818" i="2"/>
  <c r="H2819" i="2"/>
  <c r="H2820" i="2"/>
  <c r="H2821" i="2"/>
  <c r="H2822" i="2"/>
  <c r="H2823" i="2"/>
  <c r="H2824" i="2"/>
  <c r="H2825" i="2"/>
  <c r="H2826" i="2"/>
  <c r="H2827" i="2"/>
  <c r="H2828" i="2"/>
  <c r="H2829" i="2"/>
  <c r="H2830" i="2"/>
  <c r="H2831" i="2"/>
  <c r="H2832" i="2"/>
  <c r="H2833" i="2"/>
  <c r="H2834" i="2"/>
  <c r="H2835" i="2"/>
  <c r="H2836" i="2"/>
  <c r="H2837" i="2"/>
  <c r="H2838" i="2"/>
  <c r="H2839" i="2"/>
  <c r="H2840" i="2"/>
  <c r="H2841" i="2"/>
  <c r="H2842" i="2"/>
  <c r="H2843" i="2"/>
  <c r="H2844" i="2"/>
  <c r="H2845" i="2"/>
  <c r="H2846" i="2"/>
  <c r="H2847" i="2"/>
  <c r="H2848" i="2"/>
  <c r="H2849" i="2"/>
  <c r="H2850" i="2"/>
  <c r="H2851" i="2"/>
  <c r="H2852" i="2"/>
  <c r="H2853" i="2"/>
  <c r="H2854" i="2"/>
  <c r="H2855" i="2"/>
  <c r="H2856" i="2"/>
  <c r="H2857" i="2"/>
  <c r="H2858" i="2"/>
  <c r="H2859" i="2"/>
  <c r="H2860" i="2"/>
  <c r="H2861" i="2"/>
  <c r="H2862" i="2"/>
  <c r="H2863" i="2"/>
  <c r="H2864" i="2"/>
  <c r="H2865" i="2"/>
  <c r="H2866" i="2"/>
  <c r="H2867" i="2"/>
  <c r="H2868" i="2"/>
  <c r="H2869" i="2"/>
  <c r="H2870" i="2"/>
  <c r="H2871" i="2"/>
  <c r="H2872" i="2"/>
  <c r="H2873" i="2"/>
  <c r="H2874" i="2"/>
  <c r="H2875" i="2"/>
  <c r="H2876" i="2"/>
  <c r="H2877" i="2"/>
  <c r="H2878" i="2"/>
  <c r="H2879" i="2"/>
  <c r="H2880" i="2"/>
  <c r="H2881" i="2"/>
  <c r="H2882" i="2"/>
  <c r="H2883" i="2"/>
  <c r="H2884" i="2"/>
  <c r="H2885" i="2"/>
  <c r="H2886" i="2"/>
  <c r="H2887" i="2"/>
  <c r="H2888" i="2"/>
  <c r="H2889" i="2"/>
  <c r="H2890" i="2"/>
  <c r="H2891" i="2"/>
  <c r="H2892" i="2"/>
  <c r="H2893" i="2"/>
  <c r="H2894" i="2"/>
  <c r="H2895" i="2"/>
  <c r="H2896" i="2"/>
  <c r="H2897" i="2"/>
  <c r="H2898" i="2"/>
  <c r="H2899" i="2"/>
  <c r="H2900" i="2"/>
  <c r="H2901" i="2"/>
  <c r="H2902" i="2"/>
  <c r="H2903" i="2"/>
  <c r="H2904" i="2"/>
  <c r="H2905" i="2"/>
  <c r="H2906" i="2"/>
  <c r="H2907" i="2"/>
  <c r="H2908" i="2"/>
  <c r="H2909" i="2"/>
  <c r="H2910" i="2"/>
  <c r="H2911" i="2"/>
  <c r="H2912" i="2"/>
  <c r="H2913" i="2"/>
  <c r="H2914" i="2"/>
  <c r="H2915" i="2"/>
  <c r="H2916" i="2"/>
  <c r="H2917" i="2"/>
  <c r="H2918" i="2"/>
  <c r="H2919" i="2"/>
  <c r="H2920" i="2"/>
  <c r="H2921" i="2"/>
  <c r="H2922" i="2"/>
  <c r="H2923" i="2"/>
  <c r="H2924" i="2"/>
  <c r="H2925" i="2"/>
  <c r="H2926" i="2"/>
  <c r="H2927" i="2"/>
  <c r="H2928" i="2"/>
  <c r="H2929" i="2"/>
  <c r="H2930" i="2"/>
  <c r="H2931" i="2"/>
  <c r="H2932" i="2"/>
  <c r="H2933" i="2"/>
  <c r="H2934" i="2"/>
  <c r="H2935" i="2"/>
  <c r="H2936" i="2"/>
  <c r="H2937" i="2"/>
  <c r="H2938" i="2"/>
  <c r="H2939" i="2"/>
  <c r="H2940" i="2"/>
  <c r="H2941" i="2"/>
  <c r="H2942" i="2"/>
  <c r="H2943" i="2"/>
  <c r="H2944" i="2"/>
  <c r="H2945" i="2"/>
  <c r="H2946" i="2"/>
  <c r="H2947" i="2"/>
  <c r="H2948" i="2"/>
  <c r="H2949" i="2"/>
  <c r="H2950" i="2"/>
  <c r="H2951" i="2"/>
  <c r="H2952" i="2"/>
  <c r="H2953" i="2"/>
  <c r="H2954" i="2"/>
  <c r="H2955" i="2"/>
  <c r="H2956" i="2"/>
  <c r="H2957" i="2"/>
  <c r="H2958" i="2"/>
  <c r="H2959" i="2"/>
  <c r="H2960" i="2"/>
  <c r="H2961" i="2"/>
  <c r="H2962" i="2"/>
  <c r="H2963" i="2"/>
  <c r="H2964" i="2"/>
  <c r="H2965" i="2"/>
  <c r="H2966" i="2"/>
  <c r="H2967" i="2"/>
  <c r="H2968" i="2"/>
  <c r="H2969" i="2"/>
  <c r="H2970" i="2"/>
  <c r="H2971" i="2"/>
  <c r="H2972" i="2"/>
  <c r="H2973" i="2"/>
  <c r="H2974" i="2"/>
  <c r="H2975" i="2"/>
  <c r="H2976" i="2"/>
  <c r="H2977" i="2"/>
  <c r="H2978" i="2"/>
  <c r="H2979" i="2"/>
  <c r="H2980" i="2"/>
  <c r="H2981" i="2"/>
  <c r="H2982" i="2"/>
  <c r="H2983" i="2"/>
  <c r="H2984" i="2"/>
  <c r="H2985" i="2"/>
  <c r="H2986" i="2"/>
  <c r="H2987" i="2"/>
  <c r="H2988" i="2"/>
  <c r="H2989" i="2"/>
  <c r="H2990" i="2"/>
  <c r="H2991" i="2"/>
  <c r="H2992" i="2"/>
  <c r="H2993" i="2"/>
  <c r="H2994" i="2"/>
  <c r="H2995" i="2"/>
  <c r="H2996" i="2"/>
  <c r="H2997" i="2"/>
  <c r="H2998" i="2"/>
  <c r="H2999" i="2"/>
  <c r="H3000" i="2"/>
  <c r="H3001" i="2"/>
  <c r="H3002" i="2"/>
  <c r="H3003" i="2"/>
  <c r="H3004" i="2"/>
  <c r="H3005" i="2"/>
  <c r="H3006" i="2"/>
  <c r="H3007" i="2"/>
  <c r="H3008" i="2"/>
  <c r="H3009" i="2"/>
  <c r="H3010" i="2"/>
  <c r="H3011" i="2"/>
  <c r="H3012" i="2"/>
  <c r="H3013" i="2"/>
  <c r="H3014" i="2"/>
  <c r="H3015" i="2"/>
  <c r="H3016" i="2"/>
  <c r="H3017" i="2"/>
  <c r="H3018" i="2"/>
  <c r="H3019" i="2"/>
  <c r="H3020" i="2"/>
  <c r="H3021" i="2"/>
  <c r="H3022" i="2"/>
  <c r="H3023" i="2"/>
  <c r="H3024" i="2"/>
  <c r="H3025" i="2"/>
  <c r="H3026" i="2"/>
  <c r="H3027" i="2"/>
  <c r="H3028" i="2"/>
  <c r="H3029" i="2"/>
  <c r="H3030" i="2"/>
  <c r="H3031" i="2"/>
  <c r="H3032" i="2"/>
  <c r="H3033" i="2"/>
  <c r="H3034" i="2"/>
  <c r="H3035" i="2"/>
  <c r="H3036" i="2"/>
  <c r="H3037" i="2"/>
  <c r="H3038" i="2"/>
  <c r="H3039" i="2"/>
  <c r="H3040" i="2"/>
  <c r="H3041" i="2"/>
  <c r="H3042" i="2"/>
  <c r="H3043" i="2"/>
  <c r="H3044" i="2"/>
  <c r="H3045" i="2"/>
  <c r="H3046" i="2"/>
  <c r="H3047" i="2"/>
  <c r="H3048" i="2"/>
  <c r="H3049" i="2"/>
  <c r="H3050" i="2"/>
  <c r="H3051" i="2"/>
  <c r="H3052" i="2"/>
  <c r="H3053" i="2"/>
  <c r="H3054" i="2"/>
  <c r="H3055" i="2"/>
  <c r="H3056" i="2"/>
  <c r="H3057" i="2"/>
  <c r="H3058" i="2"/>
  <c r="H3059" i="2"/>
  <c r="H3060" i="2"/>
  <c r="H3061" i="2"/>
  <c r="H3062" i="2"/>
  <c r="H3063" i="2"/>
  <c r="H3064" i="2"/>
  <c r="H3065" i="2"/>
  <c r="H3066" i="2"/>
  <c r="H3067" i="2"/>
  <c r="H3068" i="2"/>
  <c r="H3069" i="2"/>
  <c r="H3070" i="2"/>
  <c r="H3071" i="2"/>
  <c r="H3072" i="2"/>
  <c r="H3073" i="2"/>
  <c r="H3074" i="2"/>
  <c r="H3075" i="2"/>
  <c r="H3076" i="2"/>
  <c r="H3077" i="2"/>
  <c r="H3078" i="2"/>
  <c r="H3079" i="2"/>
  <c r="H3080" i="2"/>
  <c r="H3081" i="2"/>
  <c r="H3082" i="2"/>
  <c r="H3083" i="2"/>
  <c r="H3084" i="2"/>
  <c r="H3085" i="2"/>
  <c r="H3086" i="2"/>
  <c r="H3087" i="2"/>
  <c r="H3088" i="2"/>
  <c r="H3089" i="2"/>
  <c r="H3090" i="2"/>
  <c r="H3091" i="2"/>
  <c r="H3092" i="2"/>
  <c r="H3093" i="2"/>
  <c r="H3094" i="2"/>
  <c r="H3095" i="2"/>
  <c r="H3096" i="2"/>
  <c r="H3097" i="2"/>
  <c r="H3098" i="2"/>
  <c r="H3099" i="2"/>
  <c r="H3100" i="2"/>
  <c r="H3101" i="2"/>
  <c r="H3102" i="2"/>
  <c r="H3103" i="2"/>
  <c r="H3104" i="2"/>
  <c r="H3105" i="2"/>
  <c r="H3106" i="2"/>
  <c r="H3107" i="2"/>
  <c r="H3108" i="2"/>
  <c r="H3109" i="2"/>
  <c r="H3110" i="2"/>
  <c r="H3111" i="2"/>
  <c r="H3112" i="2"/>
  <c r="H3113" i="2"/>
  <c r="H3114" i="2"/>
  <c r="H3115" i="2"/>
  <c r="H3116" i="2"/>
  <c r="H3117" i="2"/>
  <c r="H3118" i="2"/>
  <c r="H3119" i="2"/>
  <c r="H3120" i="2"/>
  <c r="H3121" i="2"/>
  <c r="H3122" i="2"/>
  <c r="H3123" i="2"/>
  <c r="H3124" i="2"/>
  <c r="H3125" i="2"/>
  <c r="H3126" i="2"/>
  <c r="H3127" i="2"/>
  <c r="H3128" i="2"/>
  <c r="H3129" i="2"/>
  <c r="H3130" i="2"/>
  <c r="H3131" i="2"/>
  <c r="H3132" i="2"/>
  <c r="H3133" i="2"/>
  <c r="H3134" i="2"/>
  <c r="H3135" i="2"/>
  <c r="H3136" i="2"/>
  <c r="H3137" i="2"/>
  <c r="H3138" i="2"/>
  <c r="H3139" i="2"/>
  <c r="H3140" i="2"/>
  <c r="H3141" i="2"/>
  <c r="H3142" i="2"/>
  <c r="H3143" i="2"/>
  <c r="H3144" i="2"/>
  <c r="H3145" i="2"/>
  <c r="H3146" i="2"/>
  <c r="H3147" i="2"/>
  <c r="H3148" i="2"/>
  <c r="H3149" i="2"/>
  <c r="H3150" i="2"/>
  <c r="H3151" i="2"/>
  <c r="H3152" i="2"/>
  <c r="H3153" i="2"/>
  <c r="H3154" i="2"/>
  <c r="H3155" i="2"/>
  <c r="H3156" i="2"/>
  <c r="H3157" i="2"/>
  <c r="H3158" i="2"/>
  <c r="H3159" i="2"/>
  <c r="H3160" i="2"/>
  <c r="H3161" i="2"/>
  <c r="H3162" i="2"/>
  <c r="H3163" i="2"/>
  <c r="H3164" i="2"/>
  <c r="H3165" i="2"/>
  <c r="H3166" i="2"/>
  <c r="H3167" i="2"/>
  <c r="H3168" i="2"/>
  <c r="H3169" i="2"/>
  <c r="H3170" i="2"/>
  <c r="H3171" i="2"/>
  <c r="H3172" i="2"/>
  <c r="H3173" i="2"/>
  <c r="H3174" i="2"/>
  <c r="H3175" i="2"/>
  <c r="H3176" i="2"/>
  <c r="H3177" i="2"/>
  <c r="H3178" i="2"/>
  <c r="H3179" i="2"/>
  <c r="H3180" i="2"/>
  <c r="H3181" i="2"/>
  <c r="H3182" i="2"/>
  <c r="H3183" i="2"/>
  <c r="H3184" i="2"/>
  <c r="H3185" i="2"/>
  <c r="H3186" i="2"/>
  <c r="H3187" i="2"/>
  <c r="H3188" i="2"/>
  <c r="H3189" i="2"/>
  <c r="H3190" i="2"/>
  <c r="H3191" i="2"/>
  <c r="H3192" i="2"/>
  <c r="H3193" i="2"/>
  <c r="H3194" i="2"/>
  <c r="H3195" i="2"/>
  <c r="H3196" i="2"/>
  <c r="H3197" i="2"/>
  <c r="H3198" i="2"/>
  <c r="H3199" i="2"/>
  <c r="H3200" i="2"/>
  <c r="H3201" i="2"/>
  <c r="H3202" i="2"/>
  <c r="H3203" i="2"/>
  <c r="H3204" i="2"/>
  <c r="H3205" i="2"/>
  <c r="H3206" i="2"/>
  <c r="H3207" i="2"/>
  <c r="H3208" i="2"/>
  <c r="H3209" i="2"/>
  <c r="H3210" i="2"/>
  <c r="H3211" i="2"/>
  <c r="H3212" i="2"/>
  <c r="H3213" i="2"/>
  <c r="H3214" i="2"/>
  <c r="H3215" i="2"/>
  <c r="H3216" i="2"/>
  <c r="H3217" i="2"/>
  <c r="H3218" i="2"/>
  <c r="H3219" i="2"/>
  <c r="H3220" i="2"/>
  <c r="H3221" i="2"/>
  <c r="H3222" i="2"/>
  <c r="H3223" i="2"/>
  <c r="H3224" i="2"/>
  <c r="H3225" i="2"/>
  <c r="H3226" i="2"/>
  <c r="H3227" i="2"/>
  <c r="H3228" i="2"/>
  <c r="H3229" i="2"/>
  <c r="H3230" i="2"/>
  <c r="H3231" i="2"/>
  <c r="H3232" i="2"/>
  <c r="H3233" i="2"/>
  <c r="H3234" i="2"/>
  <c r="H3235" i="2"/>
  <c r="H3236" i="2"/>
  <c r="H3237" i="2"/>
  <c r="H3238" i="2"/>
  <c r="H3239" i="2"/>
  <c r="H3240" i="2"/>
  <c r="H3241" i="2"/>
  <c r="H3242" i="2"/>
  <c r="H3243" i="2"/>
  <c r="H3244" i="2"/>
  <c r="H3245" i="2"/>
  <c r="H3246" i="2"/>
  <c r="H3247" i="2"/>
  <c r="H3248" i="2"/>
  <c r="H3249" i="2"/>
  <c r="H3250" i="2"/>
  <c r="H3251" i="2"/>
  <c r="H3252" i="2"/>
  <c r="H3253" i="2"/>
  <c r="H3254" i="2"/>
  <c r="H3255" i="2"/>
  <c r="H3256" i="2"/>
  <c r="H3257" i="2"/>
  <c r="H3258" i="2"/>
  <c r="H3259" i="2"/>
  <c r="H3260" i="2"/>
  <c r="H3261" i="2"/>
  <c r="H3262" i="2"/>
  <c r="H3263" i="2"/>
  <c r="H3264" i="2"/>
  <c r="H3265" i="2"/>
  <c r="H3266" i="2"/>
  <c r="H3267" i="2"/>
  <c r="H3268" i="2"/>
  <c r="H3269" i="2"/>
  <c r="H3270" i="2"/>
  <c r="H3271" i="2"/>
  <c r="H3272" i="2"/>
  <c r="H3273" i="2"/>
  <c r="H3274" i="2"/>
  <c r="H3275" i="2"/>
  <c r="H3276" i="2"/>
  <c r="H3277" i="2"/>
  <c r="H3278" i="2"/>
  <c r="H3279" i="2"/>
  <c r="H3280" i="2"/>
  <c r="H3281" i="2"/>
  <c r="H3282" i="2"/>
  <c r="H3283" i="2"/>
  <c r="H3284" i="2"/>
  <c r="H3285" i="2"/>
  <c r="H3286" i="2"/>
  <c r="H3287" i="2"/>
  <c r="H3288" i="2"/>
  <c r="H3289" i="2"/>
  <c r="H3290" i="2"/>
  <c r="H3291" i="2"/>
  <c r="H3292" i="2"/>
  <c r="H3293" i="2"/>
  <c r="H3294" i="2"/>
  <c r="H3295" i="2"/>
  <c r="H3296" i="2"/>
  <c r="H3297" i="2"/>
  <c r="H3298" i="2"/>
  <c r="H3299" i="2"/>
  <c r="H3300" i="2"/>
  <c r="H3301" i="2"/>
  <c r="H3302" i="2"/>
  <c r="H3303" i="2"/>
  <c r="H3304" i="2"/>
  <c r="H3305" i="2"/>
  <c r="H3306" i="2"/>
  <c r="H3307" i="2"/>
  <c r="H3308" i="2"/>
  <c r="H3309" i="2"/>
  <c r="H3310" i="2"/>
  <c r="H3311" i="2"/>
  <c r="H3312" i="2"/>
  <c r="H3313" i="2"/>
  <c r="H3314" i="2"/>
  <c r="H3315" i="2"/>
  <c r="H3316" i="2"/>
  <c r="H3317" i="2"/>
  <c r="H3318" i="2"/>
  <c r="H3319" i="2"/>
  <c r="H3320" i="2"/>
  <c r="H3321" i="2"/>
  <c r="H3322" i="2"/>
  <c r="H3323" i="2"/>
  <c r="H3324" i="2"/>
  <c r="H3325" i="2"/>
  <c r="H3326" i="2"/>
  <c r="H3327" i="2"/>
  <c r="H3328" i="2"/>
  <c r="H3329" i="2"/>
  <c r="H3330" i="2"/>
  <c r="H3331" i="2"/>
  <c r="H3332" i="2"/>
  <c r="H3333" i="2"/>
  <c r="H3334" i="2"/>
  <c r="H3335" i="2"/>
  <c r="H3336" i="2"/>
  <c r="H3337" i="2"/>
  <c r="H3338" i="2"/>
  <c r="H3339" i="2"/>
  <c r="H3340" i="2"/>
  <c r="H3341" i="2"/>
  <c r="H3342" i="2"/>
  <c r="H3343" i="2"/>
  <c r="H3344" i="2"/>
  <c r="H3345" i="2"/>
  <c r="H3346" i="2"/>
  <c r="H3347" i="2"/>
  <c r="H3348" i="2"/>
  <c r="H3349" i="2"/>
  <c r="H3350" i="2"/>
  <c r="H3351" i="2"/>
  <c r="H3352" i="2"/>
  <c r="H3353" i="2"/>
  <c r="H3354" i="2"/>
  <c r="H3355" i="2"/>
  <c r="H3356" i="2"/>
  <c r="H3357" i="2"/>
  <c r="H3358" i="2"/>
  <c r="H3359" i="2"/>
  <c r="H3360" i="2"/>
  <c r="H3361" i="2"/>
  <c r="H3362" i="2"/>
  <c r="H3363" i="2"/>
  <c r="H3364" i="2"/>
  <c r="H3365" i="2"/>
  <c r="H3366" i="2"/>
  <c r="H3367" i="2"/>
  <c r="H3368" i="2"/>
  <c r="H3369" i="2"/>
  <c r="H3370" i="2"/>
  <c r="H3371" i="2"/>
  <c r="H3372" i="2"/>
  <c r="H3373" i="2"/>
  <c r="H3374" i="2"/>
  <c r="H3375" i="2"/>
  <c r="H3376" i="2"/>
  <c r="H3377" i="2"/>
  <c r="H3378" i="2"/>
  <c r="H3379" i="2"/>
  <c r="H3380" i="2"/>
  <c r="H3381" i="2"/>
  <c r="H3382" i="2"/>
  <c r="H3383" i="2"/>
  <c r="H3384" i="2"/>
  <c r="H3385" i="2"/>
  <c r="H3386" i="2"/>
  <c r="H3387" i="2"/>
  <c r="H3388" i="2"/>
  <c r="H3389" i="2"/>
  <c r="H3390" i="2"/>
  <c r="H3391" i="2"/>
  <c r="H3392" i="2"/>
  <c r="H3393" i="2"/>
  <c r="H3394" i="2"/>
  <c r="H3395" i="2"/>
  <c r="H3396" i="2"/>
  <c r="H3397" i="2"/>
  <c r="H3398" i="2"/>
  <c r="H3399" i="2"/>
  <c r="H3400" i="2"/>
  <c r="H3401" i="2"/>
  <c r="H3402" i="2"/>
  <c r="H3403" i="2"/>
  <c r="H3404" i="2"/>
  <c r="H3405" i="2"/>
  <c r="H3406" i="2"/>
  <c r="H3407" i="2"/>
  <c r="H3408" i="2"/>
  <c r="H3409" i="2"/>
  <c r="H3410" i="2"/>
  <c r="H3411" i="2"/>
  <c r="H3412" i="2"/>
  <c r="H3413" i="2"/>
  <c r="H3414" i="2"/>
  <c r="H3415" i="2"/>
  <c r="H3416" i="2"/>
  <c r="H3417" i="2"/>
  <c r="H3418" i="2"/>
  <c r="H3419" i="2"/>
  <c r="H3420" i="2"/>
  <c r="H3421" i="2"/>
  <c r="H3422" i="2"/>
  <c r="H3423" i="2"/>
  <c r="H3424" i="2"/>
  <c r="H3425" i="2"/>
  <c r="H3426" i="2"/>
  <c r="H3427" i="2"/>
  <c r="H3428" i="2"/>
  <c r="H3429" i="2"/>
  <c r="H3430" i="2"/>
  <c r="H3431" i="2"/>
  <c r="H3432" i="2"/>
  <c r="H3433" i="2"/>
  <c r="H3434" i="2"/>
  <c r="H3435" i="2"/>
  <c r="H3436" i="2"/>
  <c r="H3437" i="2"/>
  <c r="H3438" i="2"/>
  <c r="H3439" i="2"/>
  <c r="H3440" i="2"/>
  <c r="H3441" i="2"/>
  <c r="H3442" i="2"/>
  <c r="H3443" i="2"/>
  <c r="H3444" i="2"/>
  <c r="H3445" i="2"/>
  <c r="H3446" i="2"/>
  <c r="H3447" i="2"/>
  <c r="H3448" i="2"/>
  <c r="H3449" i="2"/>
  <c r="H3450" i="2"/>
  <c r="H3451" i="2"/>
  <c r="H3452" i="2"/>
  <c r="H3453" i="2"/>
  <c r="H3454" i="2"/>
  <c r="H3455" i="2"/>
  <c r="H3456" i="2"/>
  <c r="H3457" i="2"/>
  <c r="H3458" i="2"/>
  <c r="H3459" i="2"/>
  <c r="H3460" i="2"/>
  <c r="H3461" i="2"/>
  <c r="H3462" i="2"/>
  <c r="H3463" i="2"/>
  <c r="H3464" i="2"/>
  <c r="H3465" i="2"/>
  <c r="H3466" i="2"/>
  <c r="H3467" i="2"/>
  <c r="H3468" i="2"/>
  <c r="H3469" i="2"/>
  <c r="H3470" i="2"/>
  <c r="H3471" i="2"/>
  <c r="H3472" i="2"/>
  <c r="H3473" i="2"/>
  <c r="H3474" i="2"/>
  <c r="H3475" i="2"/>
  <c r="H3476" i="2"/>
  <c r="H3477" i="2"/>
  <c r="H3478" i="2"/>
  <c r="H3479" i="2"/>
  <c r="H3480" i="2"/>
  <c r="H3481" i="2"/>
  <c r="H3482" i="2"/>
  <c r="H3483" i="2"/>
  <c r="H3484" i="2"/>
  <c r="H3485" i="2"/>
  <c r="H3486" i="2"/>
  <c r="H3487" i="2"/>
  <c r="H3488" i="2"/>
  <c r="H3489" i="2"/>
  <c r="H3490" i="2"/>
  <c r="H3491" i="2"/>
  <c r="H3492" i="2"/>
  <c r="H3493" i="2"/>
  <c r="H3494" i="2"/>
  <c r="H3495" i="2"/>
  <c r="H3496" i="2"/>
  <c r="H3497" i="2"/>
  <c r="H3498" i="2"/>
  <c r="H3499" i="2"/>
  <c r="H3500" i="2"/>
  <c r="H3501" i="2"/>
  <c r="H3502" i="2"/>
  <c r="H3503" i="2"/>
  <c r="H3504" i="2"/>
  <c r="H3505" i="2"/>
  <c r="H3506" i="2"/>
  <c r="H3507" i="2"/>
  <c r="H3508" i="2"/>
  <c r="H3509" i="2"/>
  <c r="H3510" i="2"/>
  <c r="H3511" i="2"/>
  <c r="H3512" i="2"/>
  <c r="H3513" i="2"/>
  <c r="H3514" i="2"/>
  <c r="H3515" i="2"/>
  <c r="H3516" i="2"/>
  <c r="H3517" i="2"/>
  <c r="H3518" i="2"/>
  <c r="H3519" i="2"/>
  <c r="H3520" i="2"/>
  <c r="H3521" i="2"/>
  <c r="H3522" i="2"/>
  <c r="H3523" i="2"/>
  <c r="H3524" i="2"/>
  <c r="H3525" i="2"/>
  <c r="H3526" i="2"/>
  <c r="H3527" i="2"/>
  <c r="H3528" i="2"/>
  <c r="H3529" i="2"/>
  <c r="H3530" i="2"/>
  <c r="H3531" i="2"/>
  <c r="H3532" i="2"/>
  <c r="H3533" i="2"/>
  <c r="H3534" i="2"/>
  <c r="H3535" i="2"/>
  <c r="H3536" i="2"/>
  <c r="H3537" i="2"/>
  <c r="H3538" i="2"/>
  <c r="H3539" i="2"/>
  <c r="H3540" i="2"/>
  <c r="H3541" i="2"/>
  <c r="H3542" i="2"/>
  <c r="H3543" i="2"/>
  <c r="H3544" i="2"/>
  <c r="H3545" i="2"/>
  <c r="H3546" i="2"/>
  <c r="H3547" i="2"/>
  <c r="H3548" i="2"/>
  <c r="H3549" i="2"/>
  <c r="H3550" i="2"/>
  <c r="H3551" i="2"/>
  <c r="H3552" i="2"/>
  <c r="H3553" i="2"/>
  <c r="H3554" i="2"/>
  <c r="H3555" i="2"/>
  <c r="H3556" i="2"/>
  <c r="H3557" i="2"/>
  <c r="H3558" i="2"/>
  <c r="H3559" i="2"/>
  <c r="H3560" i="2"/>
  <c r="H3561" i="2"/>
  <c r="H3562" i="2"/>
  <c r="H3563" i="2"/>
  <c r="H3564" i="2"/>
  <c r="H3565" i="2"/>
  <c r="H3566" i="2"/>
  <c r="H3567" i="2"/>
  <c r="H3568" i="2"/>
  <c r="H3569" i="2"/>
  <c r="H3570" i="2"/>
  <c r="H3571" i="2"/>
  <c r="H3572" i="2"/>
  <c r="H3573" i="2"/>
  <c r="H3574" i="2"/>
  <c r="H3575" i="2"/>
  <c r="H3576" i="2"/>
  <c r="H3577" i="2"/>
  <c r="H3578" i="2"/>
  <c r="H3579" i="2"/>
  <c r="H3580" i="2"/>
  <c r="H3581" i="2"/>
  <c r="H3582" i="2"/>
  <c r="H3583" i="2"/>
  <c r="H3584" i="2"/>
  <c r="H3585" i="2"/>
  <c r="H3586" i="2"/>
  <c r="H3587" i="2"/>
  <c r="H3588" i="2"/>
  <c r="H3589" i="2"/>
  <c r="H3590" i="2"/>
  <c r="H3591" i="2"/>
  <c r="H3592" i="2"/>
  <c r="H3593" i="2"/>
  <c r="H3594" i="2"/>
  <c r="H3595" i="2"/>
  <c r="H3596" i="2"/>
  <c r="H3597" i="2"/>
  <c r="H3598" i="2"/>
  <c r="H3599" i="2"/>
  <c r="H3600" i="2"/>
  <c r="H3601" i="2"/>
  <c r="H3602" i="2"/>
  <c r="H3603" i="2"/>
  <c r="H3604" i="2"/>
  <c r="H3605" i="2"/>
  <c r="H3606" i="2"/>
  <c r="H3607" i="2"/>
  <c r="H3608" i="2"/>
  <c r="H3609" i="2"/>
  <c r="H3610" i="2"/>
  <c r="H3611" i="2"/>
  <c r="H3612" i="2"/>
  <c r="H3613" i="2"/>
  <c r="H3614" i="2"/>
  <c r="H3615" i="2"/>
  <c r="H3616" i="2"/>
  <c r="H3617" i="2"/>
  <c r="H3618" i="2"/>
  <c r="H3619" i="2"/>
  <c r="H3620" i="2"/>
  <c r="H3621" i="2"/>
  <c r="H3622" i="2"/>
  <c r="H3623" i="2"/>
  <c r="H3624" i="2"/>
  <c r="H3625" i="2"/>
  <c r="H3626" i="2"/>
  <c r="H3627" i="2"/>
  <c r="H3628" i="2"/>
  <c r="H3629" i="2"/>
  <c r="H3630" i="2"/>
  <c r="H3631" i="2"/>
  <c r="H3632" i="2"/>
  <c r="H3633" i="2"/>
  <c r="H3634" i="2"/>
  <c r="H3635" i="2"/>
  <c r="H3636" i="2"/>
  <c r="H3637" i="2"/>
  <c r="H3638" i="2"/>
  <c r="H3639" i="2"/>
  <c r="H3640" i="2"/>
  <c r="H3641" i="2"/>
  <c r="H3642" i="2"/>
  <c r="H3643" i="2"/>
  <c r="H3644" i="2"/>
  <c r="H3645" i="2"/>
  <c r="H3646" i="2"/>
  <c r="H3647" i="2"/>
  <c r="H3648" i="2"/>
  <c r="H3649" i="2"/>
  <c r="H3650" i="2"/>
  <c r="H3651" i="2"/>
  <c r="H3652" i="2"/>
  <c r="H3653" i="2"/>
  <c r="H3654" i="2"/>
  <c r="H3655" i="2"/>
  <c r="H3656" i="2"/>
  <c r="H3657" i="2"/>
  <c r="H3658" i="2"/>
  <c r="H3659" i="2"/>
  <c r="H3660" i="2"/>
  <c r="H3661" i="2"/>
  <c r="H3662" i="2"/>
  <c r="H3663" i="2"/>
  <c r="H3664" i="2"/>
  <c r="H3665" i="2"/>
  <c r="H3666" i="2"/>
  <c r="H3667" i="2"/>
  <c r="H3668" i="2"/>
  <c r="H3669" i="2"/>
  <c r="H3670" i="2"/>
  <c r="H3671" i="2"/>
  <c r="H3672" i="2"/>
  <c r="H3673" i="2"/>
  <c r="H3674" i="2"/>
  <c r="H3675" i="2"/>
  <c r="H3676" i="2"/>
  <c r="H3677" i="2"/>
  <c r="H3678" i="2"/>
  <c r="H3679" i="2"/>
  <c r="H3680" i="2"/>
  <c r="H3681" i="2"/>
  <c r="H3682" i="2"/>
  <c r="H3683" i="2"/>
  <c r="H3684" i="2"/>
  <c r="H3685" i="2"/>
  <c r="H3686" i="2"/>
  <c r="H3687" i="2"/>
  <c r="H3688" i="2"/>
  <c r="H3689" i="2"/>
  <c r="H3690" i="2"/>
  <c r="H3691" i="2"/>
  <c r="H3692" i="2"/>
  <c r="H3693" i="2"/>
  <c r="H3694" i="2"/>
  <c r="H3695" i="2"/>
  <c r="H3696" i="2"/>
  <c r="H3697" i="2"/>
  <c r="H3698" i="2"/>
  <c r="H3699" i="2"/>
  <c r="H3700" i="2"/>
  <c r="H3701" i="2"/>
  <c r="H3702" i="2"/>
  <c r="H3703" i="2"/>
  <c r="H3704" i="2"/>
  <c r="H3705" i="2"/>
  <c r="H3706" i="2"/>
  <c r="H3707" i="2"/>
  <c r="H3708" i="2"/>
  <c r="H3709" i="2"/>
  <c r="H3710" i="2"/>
  <c r="H3711" i="2"/>
  <c r="H3712" i="2"/>
  <c r="H3713" i="2"/>
  <c r="H3714" i="2"/>
  <c r="H3715" i="2"/>
  <c r="H3716" i="2"/>
  <c r="H3717" i="2"/>
  <c r="H3718" i="2"/>
  <c r="H3719" i="2"/>
  <c r="H3720" i="2"/>
  <c r="H3721" i="2"/>
  <c r="H3722" i="2"/>
  <c r="H3723" i="2"/>
  <c r="H3724" i="2"/>
  <c r="H3725" i="2"/>
  <c r="H3726" i="2"/>
  <c r="H3727" i="2"/>
  <c r="H3728" i="2"/>
  <c r="H3729" i="2"/>
  <c r="H3730" i="2"/>
  <c r="H3731" i="2"/>
  <c r="H3732" i="2"/>
  <c r="H3733" i="2"/>
  <c r="H3734" i="2"/>
  <c r="H3735" i="2"/>
  <c r="H3736" i="2"/>
  <c r="H3737" i="2"/>
  <c r="H3738" i="2"/>
  <c r="H3739" i="2"/>
  <c r="H3740" i="2"/>
  <c r="H3741" i="2"/>
  <c r="H3742" i="2"/>
  <c r="H3743" i="2"/>
  <c r="H3744" i="2"/>
  <c r="H3745" i="2"/>
  <c r="H3746" i="2"/>
  <c r="H3747" i="2"/>
  <c r="H3748" i="2"/>
  <c r="H3749" i="2"/>
  <c r="H3750" i="2"/>
  <c r="H3751" i="2"/>
  <c r="H3752" i="2"/>
  <c r="H3753" i="2"/>
  <c r="H3754" i="2"/>
  <c r="H3755" i="2"/>
  <c r="H3756" i="2"/>
  <c r="H3757" i="2"/>
  <c r="H3758" i="2"/>
  <c r="H3759" i="2"/>
  <c r="H3760" i="2"/>
  <c r="H3761" i="2"/>
  <c r="H3762" i="2"/>
  <c r="H3763" i="2"/>
  <c r="H3764" i="2"/>
  <c r="H3765" i="2"/>
  <c r="H3766" i="2"/>
  <c r="H3767" i="2"/>
  <c r="H3768" i="2"/>
  <c r="H3769" i="2"/>
  <c r="H3770" i="2"/>
  <c r="H3771" i="2"/>
  <c r="H3772" i="2"/>
  <c r="H3773" i="2"/>
  <c r="H3774" i="2"/>
  <c r="H3775" i="2"/>
  <c r="H3776" i="2"/>
  <c r="H3777" i="2"/>
  <c r="H3778" i="2"/>
  <c r="H3779" i="2"/>
  <c r="H3780" i="2"/>
  <c r="H3781" i="2"/>
  <c r="H3782" i="2"/>
  <c r="H3783" i="2"/>
  <c r="H3784" i="2"/>
  <c r="H3785" i="2"/>
  <c r="H3786" i="2"/>
  <c r="H3787" i="2"/>
  <c r="H3788" i="2"/>
  <c r="H3789" i="2"/>
  <c r="H3790" i="2"/>
  <c r="H3791" i="2"/>
  <c r="H3792" i="2"/>
  <c r="H3793" i="2"/>
  <c r="H3794" i="2"/>
  <c r="H3795" i="2"/>
  <c r="H3796" i="2"/>
  <c r="H3797" i="2"/>
  <c r="H3798" i="2"/>
  <c r="H3799" i="2"/>
  <c r="H3800" i="2"/>
  <c r="H3801" i="2"/>
  <c r="H3802" i="2"/>
  <c r="H3803" i="2"/>
  <c r="H3804" i="2"/>
  <c r="H3805" i="2"/>
  <c r="H3806" i="2"/>
  <c r="H3807" i="2"/>
  <c r="H3808" i="2"/>
  <c r="H3809" i="2"/>
  <c r="H3810" i="2"/>
  <c r="H3811" i="2"/>
  <c r="H3812" i="2"/>
  <c r="H3813" i="2"/>
  <c r="H3814" i="2"/>
  <c r="H3815" i="2"/>
  <c r="H3816" i="2"/>
  <c r="H3817" i="2"/>
  <c r="H3818" i="2"/>
  <c r="H3819" i="2"/>
  <c r="H3820" i="2"/>
  <c r="H3821" i="2"/>
  <c r="H3822" i="2"/>
  <c r="H3823" i="2"/>
  <c r="H3824" i="2"/>
  <c r="H3825" i="2"/>
  <c r="H3826" i="2"/>
  <c r="H3827" i="2"/>
  <c r="H3828" i="2"/>
  <c r="H3829" i="2"/>
  <c r="H3830" i="2"/>
  <c r="H3831" i="2"/>
  <c r="H3832" i="2"/>
  <c r="H3833" i="2"/>
  <c r="H3834" i="2"/>
  <c r="H3835" i="2"/>
  <c r="H3836" i="2"/>
  <c r="H3837" i="2"/>
  <c r="H3838" i="2"/>
  <c r="H3839" i="2"/>
  <c r="H3840" i="2"/>
  <c r="H3841" i="2"/>
  <c r="H3842" i="2"/>
  <c r="H3843" i="2"/>
  <c r="H3844" i="2"/>
  <c r="H3845" i="2"/>
  <c r="H3846" i="2"/>
  <c r="H3847" i="2"/>
  <c r="H3848" i="2"/>
  <c r="H3849" i="2"/>
  <c r="H3850" i="2"/>
  <c r="H3851" i="2"/>
  <c r="H3852" i="2"/>
  <c r="H3853" i="2"/>
  <c r="H3854" i="2"/>
  <c r="H3855" i="2"/>
  <c r="H3856" i="2"/>
  <c r="H3857" i="2"/>
  <c r="H3858" i="2"/>
  <c r="H3859" i="2"/>
  <c r="H3860" i="2"/>
  <c r="H3861" i="2"/>
  <c r="H3862" i="2"/>
  <c r="H3863" i="2"/>
  <c r="H3864" i="2"/>
  <c r="H3865" i="2"/>
  <c r="H3866" i="2"/>
  <c r="H3867" i="2"/>
  <c r="H3868" i="2"/>
  <c r="H3869" i="2"/>
  <c r="H3870" i="2"/>
  <c r="H3871" i="2"/>
  <c r="H3872" i="2"/>
  <c r="H3873" i="2"/>
  <c r="H3874" i="2"/>
  <c r="H3875" i="2"/>
  <c r="H3876" i="2"/>
  <c r="H3877" i="2"/>
  <c r="H3878" i="2"/>
  <c r="H3879" i="2"/>
  <c r="H3880" i="2"/>
  <c r="H3881" i="2"/>
  <c r="H3882" i="2"/>
  <c r="H3883" i="2"/>
  <c r="H3884" i="2"/>
  <c r="H3885" i="2"/>
  <c r="H3886" i="2"/>
  <c r="H3887" i="2"/>
  <c r="H3888" i="2"/>
  <c r="H3889" i="2"/>
  <c r="H3890" i="2"/>
  <c r="H3891" i="2"/>
  <c r="H3892" i="2"/>
  <c r="H3893" i="2"/>
  <c r="H3894" i="2"/>
  <c r="H3895" i="2"/>
  <c r="H3896" i="2"/>
  <c r="H3897" i="2"/>
  <c r="H3898" i="2"/>
  <c r="H3899" i="2"/>
  <c r="H3900" i="2"/>
  <c r="H3901" i="2"/>
  <c r="H3902" i="2"/>
  <c r="H3903" i="2"/>
  <c r="H3904" i="2"/>
  <c r="H3905" i="2"/>
  <c r="H3906" i="2"/>
  <c r="H3907" i="2"/>
  <c r="H3908" i="2"/>
  <c r="H3909" i="2"/>
  <c r="H3910" i="2"/>
  <c r="H3911" i="2"/>
  <c r="H3912" i="2"/>
  <c r="H3913" i="2"/>
  <c r="H3914" i="2"/>
  <c r="H3915" i="2"/>
  <c r="H3916" i="2"/>
  <c r="H3917" i="2"/>
  <c r="H3918" i="2"/>
  <c r="H3919" i="2"/>
  <c r="H3920" i="2"/>
  <c r="H3921" i="2"/>
  <c r="H3922" i="2"/>
  <c r="H3923" i="2"/>
  <c r="H3924" i="2"/>
  <c r="H3925" i="2"/>
  <c r="H3926" i="2"/>
  <c r="H3927" i="2"/>
  <c r="H3928" i="2"/>
  <c r="H3929" i="2"/>
  <c r="H3930" i="2"/>
  <c r="H3931" i="2"/>
  <c r="H3932" i="2"/>
  <c r="H3933" i="2"/>
  <c r="H3934" i="2"/>
  <c r="H3935" i="2"/>
  <c r="H3936" i="2"/>
  <c r="H3937" i="2"/>
  <c r="H3938" i="2"/>
  <c r="H3939" i="2"/>
  <c r="H3940" i="2"/>
  <c r="H3941" i="2"/>
  <c r="H3942" i="2"/>
  <c r="H3943" i="2"/>
  <c r="H3944" i="2"/>
  <c r="H3945" i="2"/>
  <c r="H3946" i="2"/>
  <c r="H3947" i="2"/>
  <c r="H3948" i="2"/>
  <c r="H3949" i="2"/>
  <c r="H3950" i="2"/>
  <c r="H3951" i="2"/>
  <c r="H3952" i="2"/>
  <c r="H3953" i="2"/>
  <c r="H3954" i="2"/>
  <c r="H3955" i="2"/>
  <c r="H3956" i="2"/>
  <c r="H3957" i="2"/>
  <c r="H3958" i="2"/>
  <c r="H3959" i="2"/>
  <c r="H3960" i="2"/>
  <c r="H3961" i="2"/>
  <c r="H3962" i="2"/>
  <c r="H3963" i="2"/>
  <c r="H3964" i="2"/>
  <c r="H3965" i="2"/>
  <c r="H3966" i="2"/>
  <c r="H3967" i="2"/>
  <c r="H3968" i="2"/>
  <c r="H3969" i="2"/>
  <c r="H3970" i="2"/>
  <c r="H3971" i="2"/>
  <c r="H3972" i="2"/>
  <c r="H3973" i="2"/>
  <c r="H3974" i="2"/>
  <c r="H3975" i="2"/>
  <c r="H3976" i="2"/>
  <c r="H3977" i="2"/>
  <c r="H3978" i="2"/>
  <c r="H3979" i="2"/>
  <c r="H3980" i="2"/>
  <c r="H3981" i="2"/>
  <c r="H3982" i="2"/>
  <c r="H3983" i="2"/>
  <c r="H3984" i="2"/>
  <c r="H3985" i="2"/>
  <c r="H3986" i="2"/>
  <c r="H3987" i="2"/>
  <c r="H3988" i="2"/>
  <c r="H3989" i="2"/>
  <c r="H3990" i="2"/>
  <c r="H3991" i="2"/>
  <c r="H3992" i="2"/>
  <c r="H3993" i="2"/>
  <c r="H3994" i="2"/>
  <c r="H3995" i="2"/>
  <c r="H3996" i="2"/>
  <c r="H3997" i="2"/>
  <c r="H3998" i="2"/>
  <c r="H3999" i="2"/>
  <c r="H4000" i="2"/>
  <c r="H4001" i="2"/>
  <c r="H4002" i="2"/>
  <c r="H4003" i="2"/>
  <c r="H4004" i="2"/>
  <c r="H4005" i="2"/>
  <c r="H4006" i="2"/>
  <c r="H4007" i="2"/>
  <c r="H4008" i="2"/>
  <c r="H4009" i="2"/>
  <c r="H4010" i="2"/>
  <c r="H4011" i="2"/>
  <c r="H4012" i="2"/>
  <c r="H4013" i="2"/>
  <c r="H4014" i="2"/>
  <c r="H4015" i="2"/>
  <c r="H4016" i="2"/>
  <c r="H4017" i="2"/>
  <c r="H4018" i="2"/>
  <c r="H4019" i="2"/>
  <c r="H4020" i="2"/>
  <c r="H4021" i="2"/>
  <c r="H4022" i="2"/>
  <c r="H4023" i="2"/>
  <c r="H4024" i="2"/>
  <c r="H4025" i="2"/>
  <c r="H4026" i="2"/>
  <c r="H4027" i="2"/>
  <c r="H4028" i="2"/>
  <c r="H4029" i="2"/>
  <c r="H4030" i="2"/>
  <c r="H4031" i="2"/>
  <c r="H4032" i="2"/>
  <c r="H4033" i="2"/>
  <c r="H4034" i="2"/>
  <c r="H4035" i="2"/>
  <c r="H4036" i="2"/>
  <c r="H4037" i="2"/>
  <c r="H4038" i="2"/>
  <c r="H4039" i="2"/>
  <c r="H4040" i="2"/>
  <c r="H4041" i="2"/>
  <c r="H4042" i="2"/>
  <c r="H4043" i="2"/>
  <c r="H4044" i="2"/>
  <c r="H4045" i="2"/>
  <c r="H4046" i="2"/>
  <c r="H4047" i="2"/>
  <c r="H4048" i="2"/>
  <c r="H4049" i="2"/>
  <c r="H4050" i="2"/>
  <c r="H4051" i="2"/>
  <c r="H4052" i="2"/>
  <c r="H4053" i="2"/>
  <c r="H4054" i="2"/>
  <c r="H4055" i="2"/>
  <c r="H4056" i="2"/>
  <c r="H4057" i="2"/>
  <c r="H4058" i="2"/>
  <c r="H4059" i="2"/>
  <c r="H4060" i="2"/>
  <c r="H4061" i="2"/>
  <c r="H4062" i="2"/>
  <c r="H4063" i="2"/>
  <c r="H4064" i="2"/>
  <c r="H4065" i="2"/>
  <c r="H4066" i="2"/>
  <c r="H4067" i="2"/>
  <c r="H4068" i="2"/>
  <c r="H4069" i="2"/>
  <c r="H4070" i="2"/>
  <c r="H4071" i="2"/>
  <c r="H4072" i="2"/>
  <c r="H4073" i="2"/>
  <c r="H4074" i="2"/>
  <c r="H4075" i="2"/>
  <c r="H4076" i="2"/>
  <c r="H4077" i="2"/>
  <c r="H4078" i="2"/>
  <c r="H4079" i="2"/>
  <c r="H4080" i="2"/>
  <c r="H4081" i="2"/>
  <c r="H4082" i="2"/>
  <c r="H4083" i="2"/>
  <c r="H4084" i="2"/>
  <c r="H4085" i="2"/>
  <c r="H4086" i="2"/>
  <c r="H4087" i="2"/>
  <c r="H4088" i="2"/>
  <c r="H4089" i="2"/>
  <c r="H4090" i="2"/>
  <c r="H4091" i="2"/>
  <c r="H4092" i="2"/>
  <c r="H4093" i="2"/>
  <c r="H4094" i="2"/>
  <c r="H4095" i="2"/>
  <c r="H4096" i="2"/>
  <c r="H4097" i="2"/>
  <c r="H4098" i="2"/>
  <c r="H4099" i="2"/>
  <c r="H4100" i="2"/>
  <c r="H4101" i="2"/>
  <c r="H4102" i="2"/>
  <c r="H4103" i="2"/>
  <c r="H4104" i="2"/>
  <c r="H4105" i="2"/>
  <c r="H4106" i="2"/>
  <c r="H4107" i="2"/>
  <c r="H4108" i="2"/>
  <c r="H4109" i="2"/>
  <c r="H4110" i="2"/>
  <c r="H4111" i="2"/>
  <c r="H4112" i="2"/>
  <c r="H4113" i="2"/>
  <c r="H4114" i="2"/>
  <c r="H4115" i="2"/>
  <c r="H4116" i="2"/>
  <c r="H4117" i="2"/>
  <c r="H4118" i="2"/>
  <c r="H4119" i="2"/>
  <c r="H4120" i="2"/>
  <c r="H4121" i="2"/>
  <c r="H4122" i="2"/>
  <c r="H4123" i="2"/>
  <c r="H4124" i="2"/>
  <c r="H4125" i="2"/>
  <c r="H4126" i="2"/>
  <c r="H4127" i="2"/>
  <c r="H4128" i="2"/>
  <c r="H4129" i="2"/>
  <c r="H4130" i="2"/>
  <c r="H4131" i="2"/>
  <c r="H4132" i="2"/>
  <c r="H4133" i="2"/>
  <c r="H4134" i="2"/>
  <c r="H4135" i="2"/>
  <c r="H4136" i="2"/>
  <c r="H4137" i="2"/>
  <c r="H4138" i="2"/>
  <c r="H4139" i="2"/>
  <c r="H4140" i="2"/>
  <c r="H4141" i="2"/>
  <c r="H4142" i="2"/>
  <c r="H4143" i="2"/>
  <c r="H4144" i="2"/>
  <c r="H4145" i="2"/>
  <c r="H4146" i="2"/>
  <c r="H4147" i="2"/>
  <c r="H4148" i="2"/>
  <c r="H4149" i="2"/>
  <c r="H4150" i="2"/>
  <c r="H4151" i="2"/>
  <c r="H4152" i="2"/>
  <c r="H4153" i="2"/>
  <c r="H4154" i="2"/>
  <c r="H4155" i="2"/>
  <c r="H4156" i="2"/>
  <c r="H4157" i="2"/>
  <c r="H4158" i="2"/>
  <c r="H4159" i="2"/>
  <c r="H4160" i="2"/>
  <c r="H4161" i="2"/>
  <c r="H4162" i="2"/>
  <c r="H4163" i="2"/>
  <c r="H4164" i="2"/>
  <c r="H4165" i="2"/>
  <c r="H4166" i="2"/>
  <c r="H4167" i="2"/>
  <c r="H4168" i="2"/>
  <c r="H4169" i="2"/>
  <c r="H4170" i="2"/>
  <c r="H4171" i="2"/>
  <c r="H4172" i="2"/>
  <c r="H4173" i="2"/>
  <c r="H4174" i="2"/>
  <c r="H4175" i="2"/>
  <c r="H4176" i="2"/>
  <c r="H4177" i="2"/>
  <c r="H4178" i="2"/>
  <c r="H4179" i="2"/>
  <c r="H4180" i="2"/>
  <c r="H4181" i="2"/>
  <c r="H4182" i="2"/>
  <c r="H4183" i="2"/>
  <c r="H4184" i="2"/>
  <c r="H4185" i="2"/>
  <c r="H4186" i="2"/>
  <c r="H4187" i="2"/>
  <c r="H4188" i="2"/>
  <c r="H4189" i="2"/>
  <c r="H4190" i="2"/>
  <c r="H4191" i="2"/>
  <c r="H4192" i="2"/>
  <c r="H4193" i="2"/>
  <c r="H4194" i="2"/>
  <c r="H4195" i="2"/>
  <c r="H4196" i="2"/>
  <c r="H4197" i="2"/>
  <c r="H4198" i="2"/>
  <c r="H4199" i="2"/>
  <c r="H4200" i="2"/>
  <c r="H4201" i="2"/>
  <c r="H4202" i="2"/>
  <c r="H4203" i="2"/>
  <c r="H4204" i="2"/>
  <c r="H4205" i="2"/>
  <c r="H4206" i="2"/>
  <c r="H4207" i="2"/>
  <c r="H4208" i="2"/>
  <c r="H4209" i="2"/>
  <c r="H4210" i="2"/>
  <c r="H4211" i="2"/>
  <c r="H4212" i="2"/>
  <c r="H4213" i="2"/>
  <c r="H4214" i="2"/>
  <c r="H4215" i="2"/>
  <c r="H4216" i="2"/>
  <c r="H4217" i="2"/>
  <c r="H4218" i="2"/>
  <c r="H4219" i="2"/>
  <c r="H4220" i="2"/>
  <c r="H4221" i="2"/>
  <c r="H4222" i="2"/>
  <c r="H4223" i="2"/>
  <c r="H4224" i="2"/>
  <c r="H4225" i="2"/>
  <c r="H4226" i="2"/>
  <c r="H4227" i="2"/>
  <c r="H4228" i="2"/>
  <c r="H4229" i="2"/>
  <c r="H4230" i="2"/>
  <c r="H4231" i="2"/>
  <c r="H4232" i="2"/>
  <c r="H4233" i="2"/>
  <c r="H4234" i="2"/>
  <c r="H4235" i="2"/>
  <c r="H4236" i="2"/>
  <c r="H4237" i="2"/>
  <c r="H4238" i="2"/>
  <c r="H4239" i="2"/>
  <c r="H4240" i="2"/>
  <c r="H4241" i="2"/>
  <c r="H4242" i="2"/>
  <c r="H4243" i="2"/>
  <c r="H4244" i="2"/>
  <c r="H4245" i="2"/>
  <c r="H4246" i="2"/>
  <c r="H4247" i="2"/>
  <c r="H4248" i="2"/>
  <c r="H4249" i="2"/>
  <c r="H4250" i="2"/>
  <c r="H4251" i="2"/>
  <c r="H4252" i="2"/>
  <c r="H4253" i="2"/>
  <c r="H4254" i="2"/>
  <c r="H4255" i="2"/>
  <c r="H4256" i="2"/>
  <c r="H4257" i="2"/>
  <c r="H4258" i="2"/>
  <c r="H4259" i="2"/>
  <c r="H4260" i="2"/>
  <c r="H4261" i="2"/>
  <c r="H4262" i="2"/>
  <c r="H4263" i="2"/>
  <c r="H4264" i="2"/>
  <c r="H4265" i="2"/>
  <c r="H4266" i="2"/>
  <c r="H4267" i="2"/>
  <c r="H4268" i="2"/>
  <c r="H4269" i="2"/>
  <c r="H4270" i="2"/>
  <c r="H4271" i="2"/>
  <c r="H4272" i="2"/>
  <c r="H4273" i="2"/>
  <c r="H4274" i="2"/>
  <c r="H4275" i="2"/>
  <c r="H4276" i="2"/>
  <c r="H4277" i="2"/>
  <c r="H4278" i="2"/>
  <c r="H4279" i="2"/>
  <c r="H4280" i="2"/>
  <c r="H4281" i="2"/>
  <c r="H4282" i="2"/>
  <c r="H4283" i="2"/>
  <c r="H4284" i="2"/>
  <c r="H4285" i="2"/>
  <c r="H4286" i="2"/>
  <c r="H4287" i="2"/>
  <c r="H4288" i="2"/>
  <c r="H4289" i="2"/>
  <c r="H4290" i="2"/>
  <c r="H4291" i="2"/>
  <c r="H4292" i="2"/>
  <c r="H4293" i="2"/>
  <c r="H4294" i="2"/>
  <c r="H4295" i="2"/>
  <c r="H4296" i="2"/>
  <c r="H4297" i="2"/>
  <c r="H4298" i="2"/>
  <c r="H4299" i="2"/>
  <c r="H4300" i="2"/>
  <c r="H4301" i="2"/>
  <c r="H4302" i="2"/>
  <c r="H4303" i="2"/>
  <c r="H4304" i="2"/>
  <c r="H4305" i="2"/>
  <c r="H4306" i="2"/>
  <c r="H4307" i="2"/>
  <c r="H4308" i="2"/>
  <c r="H4309" i="2"/>
  <c r="H4310" i="2"/>
  <c r="H4311" i="2"/>
  <c r="H4312" i="2"/>
  <c r="H4313" i="2"/>
  <c r="H4314" i="2"/>
  <c r="H4315" i="2"/>
  <c r="H4316" i="2"/>
  <c r="H4317" i="2"/>
  <c r="H4318" i="2"/>
  <c r="H4319" i="2"/>
  <c r="H4320" i="2"/>
  <c r="H4321" i="2"/>
  <c r="H4322" i="2"/>
  <c r="H4323" i="2"/>
  <c r="H4324" i="2"/>
  <c r="H4325" i="2"/>
  <c r="H4326" i="2"/>
  <c r="H4327" i="2"/>
  <c r="H4328" i="2"/>
  <c r="H4329" i="2"/>
  <c r="H4330" i="2"/>
  <c r="H4331" i="2"/>
  <c r="H4332" i="2"/>
  <c r="H4333" i="2"/>
  <c r="H4334" i="2"/>
  <c r="H4335" i="2"/>
  <c r="H4336" i="2"/>
  <c r="H4337" i="2"/>
  <c r="H4338" i="2"/>
  <c r="H4339" i="2"/>
  <c r="H4340" i="2"/>
  <c r="H4341" i="2"/>
  <c r="H4342" i="2"/>
  <c r="H4343" i="2"/>
  <c r="H4344" i="2"/>
  <c r="H4345" i="2"/>
  <c r="H4346" i="2"/>
  <c r="H4347" i="2"/>
  <c r="H4348" i="2"/>
  <c r="H4349" i="2"/>
  <c r="H4350" i="2"/>
  <c r="H4351" i="2"/>
  <c r="H4352" i="2"/>
  <c r="H4353" i="2"/>
  <c r="H4354" i="2"/>
  <c r="H4355" i="2"/>
  <c r="H4356" i="2"/>
  <c r="H4357" i="2"/>
  <c r="H4358" i="2"/>
  <c r="H4359" i="2"/>
  <c r="H4360" i="2"/>
  <c r="H4361" i="2"/>
  <c r="H4362" i="2"/>
  <c r="H4363" i="2"/>
  <c r="H4364" i="2"/>
  <c r="H4365" i="2"/>
  <c r="H4366" i="2"/>
  <c r="H4367" i="2"/>
  <c r="H4368" i="2"/>
  <c r="H4369" i="2"/>
  <c r="H4370" i="2"/>
  <c r="H4371" i="2"/>
  <c r="H4372" i="2"/>
  <c r="H4373" i="2"/>
  <c r="H4374" i="2"/>
  <c r="H4375" i="2"/>
  <c r="H4376" i="2"/>
  <c r="H4377" i="2"/>
  <c r="H4378" i="2"/>
  <c r="H4379" i="2"/>
  <c r="H4380" i="2"/>
  <c r="H4381" i="2"/>
  <c r="H4382" i="2"/>
  <c r="H4383" i="2"/>
  <c r="H4384" i="2"/>
  <c r="H4385" i="2"/>
  <c r="H4386" i="2"/>
  <c r="H4387" i="2"/>
  <c r="H4388" i="2"/>
  <c r="H4389" i="2"/>
  <c r="H4390" i="2"/>
  <c r="H4391" i="2"/>
  <c r="H4392" i="2"/>
  <c r="H4393" i="2"/>
  <c r="H4394" i="2"/>
  <c r="H4395" i="2"/>
  <c r="H4396" i="2"/>
  <c r="H4397" i="2"/>
  <c r="H4398" i="2"/>
  <c r="H4399" i="2"/>
  <c r="H4400" i="2"/>
  <c r="H4401" i="2"/>
  <c r="H4402" i="2"/>
  <c r="H4403" i="2"/>
  <c r="H4404" i="2"/>
  <c r="H4405" i="2"/>
  <c r="H4406" i="2"/>
  <c r="H4407" i="2"/>
  <c r="H4408" i="2"/>
  <c r="H4409" i="2"/>
  <c r="H4410" i="2"/>
  <c r="H4411" i="2"/>
  <c r="H4412" i="2"/>
  <c r="H4413" i="2"/>
  <c r="H4414" i="2"/>
  <c r="H4415" i="2"/>
  <c r="H4416" i="2"/>
  <c r="H4417" i="2"/>
  <c r="H4418" i="2"/>
  <c r="H4419" i="2"/>
  <c r="H4420" i="2"/>
  <c r="H4421" i="2"/>
  <c r="H4422" i="2"/>
  <c r="H4423" i="2"/>
  <c r="H4424" i="2"/>
  <c r="H4425" i="2"/>
  <c r="H4426" i="2"/>
  <c r="H4427" i="2"/>
  <c r="H4428" i="2"/>
  <c r="H4429" i="2"/>
  <c r="H4430" i="2"/>
  <c r="H4431" i="2"/>
  <c r="H4432" i="2"/>
  <c r="H4433" i="2"/>
  <c r="H4434" i="2"/>
  <c r="H4435" i="2"/>
  <c r="H4436" i="2"/>
  <c r="H4437" i="2"/>
  <c r="H4438" i="2"/>
  <c r="H4439" i="2"/>
  <c r="H4440" i="2"/>
  <c r="H4441" i="2"/>
  <c r="H4442" i="2"/>
  <c r="H4443" i="2"/>
  <c r="H4444" i="2"/>
  <c r="H4445" i="2"/>
  <c r="H4446" i="2"/>
  <c r="H4447" i="2"/>
  <c r="H4448" i="2"/>
  <c r="H4449" i="2"/>
  <c r="H4450" i="2"/>
  <c r="H4451" i="2"/>
  <c r="H4452" i="2"/>
  <c r="H4453" i="2"/>
  <c r="H4454" i="2"/>
  <c r="H4455" i="2"/>
  <c r="H4456" i="2"/>
  <c r="H4457" i="2"/>
  <c r="H4458" i="2"/>
  <c r="H4459" i="2"/>
  <c r="H4460" i="2"/>
  <c r="H4461" i="2"/>
  <c r="H4462" i="2"/>
  <c r="H4463" i="2"/>
  <c r="H4464" i="2"/>
  <c r="H4465" i="2"/>
  <c r="H4466" i="2"/>
  <c r="H4467" i="2"/>
  <c r="H4468" i="2"/>
  <c r="H4469" i="2"/>
  <c r="H4470" i="2"/>
  <c r="H4471" i="2"/>
  <c r="H4472" i="2"/>
  <c r="H4473" i="2"/>
  <c r="H4474" i="2"/>
  <c r="H4475" i="2"/>
  <c r="H4476" i="2"/>
  <c r="H4477" i="2"/>
  <c r="H4478" i="2"/>
  <c r="H4479" i="2"/>
  <c r="H4480" i="2"/>
  <c r="H4481" i="2"/>
  <c r="H4482" i="2"/>
  <c r="H4483" i="2"/>
  <c r="H4484" i="2"/>
  <c r="H4485" i="2"/>
  <c r="H4486" i="2"/>
  <c r="H4487" i="2"/>
  <c r="H4488" i="2"/>
  <c r="H4489" i="2"/>
  <c r="H4490" i="2"/>
  <c r="H4491" i="2"/>
  <c r="H4492" i="2"/>
  <c r="H4493" i="2"/>
  <c r="H4494" i="2"/>
  <c r="H4495" i="2"/>
  <c r="H4496" i="2"/>
  <c r="H4497" i="2"/>
  <c r="H4498" i="2"/>
  <c r="H4499" i="2"/>
  <c r="H4500" i="2"/>
  <c r="H4501" i="2"/>
  <c r="H4502" i="2"/>
  <c r="H4503" i="2"/>
  <c r="H4504" i="2"/>
  <c r="H4505" i="2"/>
  <c r="H4506" i="2"/>
  <c r="H4507" i="2"/>
  <c r="H4508" i="2"/>
  <c r="H4509" i="2"/>
  <c r="H4510" i="2"/>
  <c r="H4511" i="2"/>
  <c r="H4512" i="2"/>
  <c r="H4513" i="2"/>
  <c r="H4514" i="2"/>
  <c r="H4515" i="2"/>
  <c r="H4516" i="2"/>
  <c r="H4517" i="2"/>
  <c r="H4518" i="2"/>
  <c r="H4519" i="2"/>
  <c r="H4520" i="2"/>
  <c r="H4521" i="2"/>
  <c r="H4522" i="2"/>
  <c r="H4523" i="2"/>
  <c r="H4524" i="2"/>
  <c r="H4525" i="2"/>
  <c r="H4526" i="2"/>
  <c r="H4527" i="2"/>
  <c r="H4528" i="2"/>
  <c r="H4529" i="2"/>
  <c r="H4530" i="2"/>
  <c r="H4531" i="2"/>
  <c r="H4532" i="2"/>
  <c r="H4533" i="2"/>
  <c r="H4534" i="2"/>
  <c r="H4535" i="2"/>
  <c r="H4536" i="2"/>
  <c r="H4537" i="2"/>
  <c r="H4538" i="2"/>
  <c r="H4539" i="2"/>
  <c r="H4540" i="2"/>
  <c r="H4541" i="2"/>
  <c r="H4542" i="2"/>
  <c r="H4543" i="2"/>
  <c r="H4544" i="2"/>
  <c r="H4545" i="2"/>
  <c r="H4546" i="2"/>
  <c r="H4547" i="2"/>
  <c r="H4548" i="2"/>
  <c r="H4549" i="2"/>
  <c r="H4550" i="2"/>
  <c r="H4551" i="2"/>
  <c r="H4552" i="2"/>
  <c r="H4553" i="2"/>
  <c r="H4554" i="2"/>
  <c r="H4555" i="2"/>
  <c r="H4556" i="2"/>
  <c r="H4557" i="2"/>
  <c r="H4558" i="2"/>
  <c r="H4559" i="2"/>
  <c r="H4560" i="2"/>
  <c r="H4561" i="2"/>
  <c r="H4562" i="2"/>
  <c r="H4563" i="2"/>
  <c r="H4564" i="2"/>
  <c r="H4565" i="2"/>
  <c r="H4566" i="2"/>
  <c r="H4567" i="2"/>
  <c r="H4568" i="2"/>
  <c r="H4569" i="2"/>
  <c r="H4570" i="2"/>
  <c r="H4571" i="2"/>
  <c r="H4572" i="2"/>
  <c r="H4573" i="2"/>
  <c r="H4574" i="2"/>
  <c r="H4575" i="2"/>
  <c r="H4576" i="2"/>
  <c r="H4577" i="2"/>
  <c r="H4578" i="2"/>
  <c r="H4579" i="2"/>
  <c r="H4580" i="2"/>
  <c r="H4581" i="2"/>
  <c r="H4582" i="2"/>
  <c r="H4583" i="2"/>
  <c r="H4584" i="2"/>
  <c r="H4585" i="2"/>
  <c r="H4586" i="2"/>
  <c r="H4587" i="2"/>
  <c r="H4588" i="2"/>
  <c r="H4589" i="2"/>
  <c r="H4590" i="2"/>
  <c r="H4591" i="2"/>
  <c r="H4592" i="2"/>
  <c r="H4593" i="2"/>
  <c r="H4594" i="2"/>
  <c r="H4595" i="2"/>
  <c r="H4596" i="2"/>
  <c r="H4597" i="2"/>
  <c r="H4598" i="2"/>
  <c r="H4599" i="2"/>
  <c r="H4600" i="2"/>
  <c r="H4601" i="2"/>
  <c r="H4602" i="2"/>
  <c r="H4603" i="2"/>
  <c r="H4604" i="2"/>
  <c r="H4605" i="2"/>
  <c r="H4606" i="2"/>
  <c r="H4607" i="2"/>
  <c r="H4608" i="2"/>
  <c r="H4609" i="2"/>
  <c r="H4610" i="2"/>
  <c r="H4611" i="2"/>
  <c r="H4612" i="2"/>
  <c r="H4613" i="2"/>
  <c r="H4614" i="2"/>
  <c r="H4615" i="2"/>
  <c r="H4616" i="2"/>
  <c r="H4617" i="2"/>
  <c r="H4618" i="2"/>
  <c r="H4619" i="2"/>
  <c r="H4620" i="2"/>
  <c r="H4621" i="2"/>
  <c r="H4622" i="2"/>
  <c r="H4623" i="2"/>
  <c r="H4624" i="2"/>
  <c r="H4625" i="2"/>
  <c r="H4626" i="2"/>
  <c r="H4627" i="2"/>
  <c r="H4628" i="2"/>
  <c r="H4629" i="2"/>
  <c r="H4630" i="2"/>
  <c r="H4631" i="2"/>
  <c r="H4632" i="2"/>
  <c r="H4633" i="2"/>
  <c r="H4634" i="2"/>
  <c r="H4635" i="2"/>
  <c r="H4636" i="2"/>
  <c r="H4637" i="2"/>
  <c r="H4638" i="2"/>
  <c r="H4639" i="2"/>
  <c r="H4640" i="2"/>
  <c r="H4641" i="2"/>
  <c r="H4642" i="2"/>
  <c r="H4643" i="2"/>
  <c r="H4644" i="2"/>
  <c r="H4645" i="2"/>
  <c r="H4646" i="2"/>
  <c r="H4647" i="2"/>
  <c r="H4648" i="2"/>
  <c r="H4649" i="2"/>
  <c r="H4650" i="2"/>
  <c r="H4651" i="2"/>
  <c r="H4652" i="2"/>
  <c r="H4653" i="2"/>
  <c r="H4654" i="2"/>
  <c r="H4655" i="2"/>
  <c r="H4656" i="2"/>
  <c r="H4657" i="2"/>
  <c r="H4658" i="2"/>
  <c r="H4659" i="2"/>
  <c r="H4660" i="2"/>
  <c r="H4661" i="2"/>
  <c r="H4662" i="2"/>
  <c r="H4663" i="2"/>
  <c r="H4664" i="2"/>
  <c r="H4665" i="2"/>
  <c r="H4666" i="2"/>
  <c r="H4667" i="2"/>
  <c r="H4668" i="2"/>
  <c r="H4669" i="2"/>
  <c r="H4670" i="2"/>
  <c r="H4671" i="2"/>
  <c r="H4672" i="2"/>
  <c r="H4673" i="2"/>
  <c r="H4674" i="2"/>
  <c r="H4675" i="2"/>
  <c r="H4676" i="2"/>
  <c r="H4677" i="2"/>
  <c r="H4678" i="2"/>
  <c r="H4679" i="2"/>
  <c r="H4680" i="2"/>
  <c r="H4681" i="2"/>
  <c r="H4682" i="2"/>
  <c r="H4683" i="2"/>
  <c r="H4684" i="2"/>
  <c r="H4685" i="2"/>
  <c r="H4686" i="2"/>
  <c r="H4687" i="2"/>
  <c r="H4688" i="2"/>
  <c r="H4689" i="2"/>
  <c r="H4690" i="2"/>
  <c r="H4691" i="2"/>
  <c r="H4692" i="2"/>
  <c r="H4693" i="2"/>
  <c r="H4694" i="2"/>
  <c r="H4695" i="2"/>
  <c r="H4696" i="2"/>
  <c r="H4697" i="2"/>
  <c r="H4698" i="2"/>
  <c r="H4699" i="2"/>
  <c r="H4700" i="2"/>
  <c r="H4701" i="2"/>
  <c r="H4702" i="2"/>
  <c r="H4703" i="2"/>
  <c r="H4704" i="2"/>
  <c r="H4705" i="2"/>
  <c r="H4706" i="2"/>
  <c r="H4707" i="2"/>
  <c r="H4708" i="2"/>
  <c r="H4709" i="2"/>
  <c r="H4710" i="2"/>
  <c r="H4711" i="2"/>
  <c r="H4712" i="2"/>
  <c r="H4713" i="2"/>
  <c r="H4714" i="2"/>
  <c r="H4715" i="2"/>
  <c r="H4716" i="2"/>
  <c r="H4717" i="2"/>
  <c r="H4718" i="2"/>
  <c r="H4719" i="2"/>
  <c r="H4720" i="2"/>
  <c r="H4721" i="2"/>
  <c r="H4722" i="2"/>
  <c r="H4723" i="2"/>
  <c r="H4724" i="2"/>
  <c r="H4725" i="2"/>
  <c r="H4726" i="2"/>
  <c r="H4727" i="2"/>
  <c r="H4728" i="2"/>
  <c r="H4729" i="2"/>
  <c r="H4730" i="2"/>
  <c r="H4731" i="2"/>
  <c r="H4732" i="2"/>
  <c r="H4733" i="2"/>
  <c r="H4734" i="2"/>
  <c r="H4735" i="2"/>
  <c r="H4736" i="2"/>
  <c r="H4737" i="2"/>
  <c r="H4738" i="2"/>
  <c r="H4739" i="2"/>
  <c r="H4740" i="2"/>
  <c r="H4741" i="2"/>
  <c r="H4742" i="2"/>
  <c r="H4743" i="2"/>
  <c r="H4744" i="2"/>
  <c r="H4745" i="2"/>
  <c r="H4746" i="2"/>
  <c r="H4747" i="2"/>
  <c r="H4748" i="2"/>
  <c r="H4749" i="2"/>
  <c r="H4750" i="2"/>
  <c r="H4751" i="2"/>
  <c r="H4752" i="2"/>
  <c r="H4753" i="2"/>
  <c r="H4754" i="2"/>
  <c r="H4755" i="2"/>
  <c r="H4756" i="2"/>
  <c r="H4757" i="2"/>
  <c r="H4758" i="2"/>
  <c r="H4759" i="2"/>
  <c r="H4760" i="2"/>
  <c r="H4761" i="2"/>
  <c r="H4762" i="2"/>
  <c r="H4763" i="2"/>
  <c r="H4764" i="2"/>
  <c r="H4765" i="2"/>
  <c r="H4766" i="2"/>
  <c r="H4767" i="2"/>
  <c r="H4768" i="2"/>
  <c r="H4769" i="2"/>
  <c r="H4770" i="2"/>
  <c r="H4771" i="2"/>
  <c r="H4772" i="2"/>
  <c r="H4773" i="2"/>
  <c r="H4774" i="2"/>
  <c r="H4775" i="2"/>
  <c r="H4776" i="2"/>
  <c r="H4777" i="2"/>
  <c r="H4778" i="2"/>
  <c r="H4779" i="2"/>
  <c r="H4780" i="2"/>
  <c r="H4781" i="2"/>
  <c r="H4782" i="2"/>
  <c r="H4783" i="2"/>
  <c r="H4784" i="2"/>
  <c r="H4785" i="2"/>
  <c r="H4786" i="2"/>
  <c r="H4787" i="2"/>
  <c r="H4788" i="2"/>
  <c r="H4789" i="2"/>
  <c r="H4790" i="2"/>
  <c r="H4791" i="2"/>
  <c r="H4792" i="2"/>
  <c r="H4793" i="2"/>
  <c r="H4794" i="2"/>
  <c r="H4795" i="2"/>
  <c r="H4796" i="2"/>
  <c r="H4797" i="2"/>
  <c r="H4798" i="2"/>
  <c r="H4799" i="2"/>
  <c r="H4800" i="2"/>
  <c r="H4801" i="2"/>
  <c r="H4802" i="2"/>
  <c r="H4803" i="2"/>
  <c r="H4804" i="2"/>
  <c r="H4805" i="2"/>
  <c r="H4806" i="2"/>
  <c r="H4807" i="2"/>
  <c r="H4808" i="2"/>
  <c r="H4809" i="2"/>
  <c r="H4810" i="2"/>
  <c r="H4811" i="2"/>
  <c r="H4812" i="2"/>
  <c r="H4813" i="2"/>
  <c r="H4814" i="2"/>
  <c r="H4815" i="2"/>
  <c r="H4816" i="2"/>
  <c r="H4817" i="2"/>
  <c r="H4818" i="2"/>
  <c r="H4819" i="2"/>
  <c r="H4820" i="2"/>
  <c r="H4821" i="2"/>
  <c r="H4822" i="2"/>
  <c r="H4823" i="2"/>
  <c r="H4824" i="2"/>
  <c r="H4825" i="2"/>
  <c r="H4826" i="2"/>
  <c r="H4827" i="2"/>
  <c r="H4828" i="2"/>
  <c r="H4829" i="2"/>
  <c r="H4830" i="2"/>
  <c r="H4831" i="2"/>
  <c r="H4832" i="2"/>
  <c r="H4833" i="2"/>
  <c r="H4834" i="2"/>
  <c r="H4835" i="2"/>
  <c r="H4836" i="2"/>
  <c r="H4837" i="2"/>
  <c r="H4838" i="2"/>
  <c r="H4839" i="2"/>
  <c r="H4840" i="2"/>
  <c r="H4841" i="2"/>
  <c r="H4842" i="2"/>
  <c r="H4843" i="2"/>
  <c r="H4844" i="2"/>
  <c r="H4845" i="2"/>
  <c r="H4846" i="2"/>
  <c r="H4847" i="2"/>
  <c r="H4848" i="2"/>
  <c r="H4849" i="2"/>
  <c r="H4850" i="2"/>
  <c r="H4851" i="2"/>
  <c r="H4852" i="2"/>
  <c r="H4853" i="2"/>
  <c r="H4854" i="2"/>
  <c r="H4855" i="2"/>
  <c r="H4856" i="2"/>
  <c r="H4857" i="2"/>
  <c r="H4858" i="2"/>
  <c r="H4859" i="2"/>
  <c r="H4860" i="2"/>
  <c r="H4861" i="2"/>
  <c r="H4862" i="2"/>
  <c r="H4863" i="2"/>
  <c r="H4864" i="2"/>
  <c r="H4865" i="2"/>
  <c r="H4866" i="2"/>
  <c r="H4867" i="2"/>
  <c r="H4868" i="2"/>
  <c r="H4869" i="2"/>
  <c r="H4870" i="2"/>
  <c r="H4871" i="2"/>
  <c r="H4872" i="2"/>
  <c r="H4873" i="2"/>
  <c r="H4874" i="2"/>
  <c r="H4875" i="2"/>
  <c r="H4876" i="2"/>
  <c r="H4877" i="2"/>
  <c r="H4878" i="2"/>
  <c r="H4879" i="2"/>
  <c r="H4880" i="2"/>
  <c r="H4881" i="2"/>
  <c r="H4882" i="2"/>
  <c r="H4883" i="2"/>
  <c r="H4884" i="2"/>
  <c r="H4885" i="2"/>
  <c r="H4886" i="2"/>
  <c r="H4887" i="2"/>
  <c r="H4888" i="2"/>
  <c r="H4889" i="2"/>
  <c r="H4890" i="2"/>
  <c r="H4891" i="2"/>
  <c r="H4892" i="2"/>
  <c r="H4893" i="2"/>
  <c r="H4894" i="2"/>
  <c r="H4895" i="2"/>
  <c r="H4896" i="2"/>
  <c r="H4897" i="2"/>
  <c r="H4898" i="2"/>
  <c r="H4899" i="2"/>
  <c r="H4900" i="2"/>
  <c r="H4901" i="2"/>
  <c r="H4902" i="2"/>
  <c r="H4903" i="2"/>
  <c r="H4904" i="2"/>
  <c r="H4905" i="2"/>
  <c r="H4906" i="2"/>
  <c r="H4907" i="2"/>
  <c r="H4908" i="2"/>
  <c r="H4909" i="2"/>
  <c r="H4910" i="2"/>
  <c r="H4911" i="2"/>
  <c r="H4912" i="2"/>
  <c r="H4913" i="2"/>
  <c r="H4914" i="2"/>
  <c r="H4915" i="2"/>
  <c r="H4916" i="2"/>
  <c r="H4917" i="2"/>
  <c r="H4918" i="2"/>
  <c r="H4919" i="2"/>
  <c r="H4920" i="2"/>
  <c r="H4921" i="2"/>
  <c r="H4922" i="2"/>
  <c r="H4923" i="2"/>
  <c r="H4924" i="2"/>
  <c r="H4925" i="2"/>
  <c r="H4926" i="2"/>
  <c r="H4927" i="2"/>
  <c r="H4928" i="2"/>
  <c r="H4929" i="2"/>
  <c r="H4930" i="2"/>
  <c r="H4931" i="2"/>
  <c r="H4932" i="2"/>
  <c r="H4933" i="2"/>
  <c r="H4934" i="2"/>
  <c r="H4935" i="2"/>
  <c r="H4936" i="2"/>
  <c r="H4937" i="2"/>
  <c r="H4938" i="2"/>
  <c r="H4939" i="2"/>
  <c r="H4940" i="2"/>
  <c r="H4941" i="2"/>
  <c r="H4942" i="2"/>
  <c r="H4943" i="2"/>
  <c r="H4944" i="2"/>
  <c r="H4945" i="2"/>
  <c r="H4946" i="2"/>
  <c r="H4947" i="2"/>
  <c r="H4948" i="2"/>
  <c r="H4949" i="2"/>
  <c r="H4950" i="2"/>
  <c r="H4951" i="2"/>
  <c r="H4952" i="2"/>
  <c r="H4953" i="2"/>
  <c r="H4954" i="2"/>
  <c r="H4955" i="2"/>
  <c r="H4956" i="2"/>
  <c r="H4957" i="2"/>
  <c r="H4958" i="2"/>
  <c r="H4959" i="2"/>
  <c r="H4960" i="2"/>
  <c r="H4961" i="2"/>
  <c r="H4962" i="2"/>
  <c r="H4963" i="2"/>
  <c r="H4964" i="2"/>
  <c r="H4965" i="2"/>
  <c r="H4966" i="2"/>
  <c r="H4967" i="2"/>
  <c r="H4968" i="2"/>
  <c r="H4969" i="2"/>
  <c r="H4970" i="2"/>
  <c r="H4971" i="2"/>
  <c r="H4972" i="2"/>
  <c r="H4973" i="2"/>
  <c r="H4974" i="2"/>
  <c r="H4975" i="2"/>
  <c r="H4976" i="2"/>
  <c r="H4977" i="2"/>
  <c r="H4978" i="2"/>
  <c r="H4979" i="2"/>
  <c r="H4980" i="2"/>
  <c r="H4981" i="2"/>
  <c r="H4982" i="2"/>
  <c r="H4983" i="2"/>
  <c r="H4984" i="2"/>
  <c r="H4985" i="2"/>
  <c r="H4986" i="2"/>
  <c r="H4987" i="2"/>
  <c r="H4988" i="2"/>
  <c r="H4989" i="2"/>
  <c r="H4990" i="2"/>
  <c r="H4991" i="2"/>
  <c r="H4992" i="2"/>
  <c r="H4993" i="2"/>
  <c r="H4994" i="2"/>
  <c r="H4995" i="2"/>
  <c r="H4996" i="2"/>
  <c r="H4997" i="2"/>
  <c r="H4998" i="2"/>
  <c r="H4999" i="2"/>
  <c r="H5000" i="2"/>
  <c r="H5001" i="2"/>
  <c r="H5002" i="2"/>
  <c r="H5003" i="2"/>
  <c r="H5004" i="2"/>
  <c r="H5005" i="2"/>
  <c r="H5006" i="2"/>
  <c r="H5007" i="2"/>
  <c r="H5008" i="2"/>
  <c r="H5009" i="2"/>
  <c r="H5010" i="2"/>
  <c r="H5011" i="2"/>
  <c r="H5012" i="2"/>
  <c r="H5013" i="2"/>
  <c r="H5014" i="2"/>
  <c r="H5015" i="2"/>
  <c r="H5016" i="2"/>
  <c r="H5017" i="2"/>
  <c r="H5018" i="2"/>
  <c r="H5019" i="2"/>
  <c r="H5020" i="2"/>
  <c r="H5021" i="2"/>
  <c r="H5022" i="2"/>
  <c r="H5023" i="2"/>
  <c r="H5024" i="2"/>
  <c r="H5025" i="2"/>
  <c r="H5026" i="2"/>
  <c r="H5027" i="2"/>
  <c r="H5028" i="2"/>
  <c r="H5029" i="2"/>
  <c r="H5030" i="2"/>
  <c r="H5031" i="2"/>
  <c r="H5032" i="2"/>
  <c r="H5033" i="2"/>
  <c r="H5034" i="2"/>
  <c r="H5035" i="2"/>
  <c r="H5036" i="2"/>
  <c r="H5037" i="2"/>
  <c r="H5038" i="2"/>
  <c r="H5039" i="2"/>
  <c r="H5040" i="2"/>
  <c r="H5041" i="2"/>
  <c r="H5042" i="2"/>
  <c r="H5043" i="2"/>
  <c r="H5044" i="2"/>
  <c r="H5045" i="2"/>
  <c r="H5046" i="2"/>
  <c r="H5047" i="2"/>
  <c r="H5048" i="2"/>
  <c r="H5049" i="2"/>
  <c r="H5050" i="2"/>
  <c r="H5051" i="2"/>
  <c r="H5052" i="2"/>
  <c r="H5053" i="2"/>
  <c r="H5054" i="2"/>
  <c r="H5055" i="2"/>
  <c r="H5056" i="2"/>
  <c r="H5057" i="2"/>
  <c r="H5058" i="2"/>
  <c r="H5059" i="2"/>
  <c r="H5060" i="2"/>
  <c r="H5061" i="2"/>
  <c r="H5062" i="2"/>
  <c r="H5063" i="2"/>
  <c r="H5064" i="2"/>
  <c r="H5065" i="2"/>
  <c r="H5066" i="2"/>
  <c r="H5067" i="2"/>
  <c r="H5068" i="2"/>
  <c r="H5069" i="2"/>
  <c r="H5070" i="2"/>
  <c r="H5071" i="2"/>
  <c r="H5072" i="2"/>
  <c r="H5073" i="2"/>
  <c r="H5074" i="2"/>
  <c r="H5075" i="2"/>
  <c r="H5076" i="2"/>
  <c r="H5077" i="2"/>
  <c r="H5078" i="2"/>
  <c r="H5079" i="2"/>
  <c r="H5080" i="2"/>
  <c r="H5081" i="2"/>
  <c r="H5082" i="2"/>
  <c r="H5083" i="2"/>
  <c r="H5084" i="2"/>
  <c r="H5085" i="2"/>
  <c r="H5086" i="2"/>
  <c r="H5087" i="2"/>
  <c r="H5088" i="2"/>
  <c r="H5089" i="2"/>
  <c r="H5090" i="2"/>
  <c r="H5091" i="2"/>
  <c r="H5092" i="2"/>
  <c r="H5093" i="2"/>
  <c r="H5094" i="2"/>
  <c r="H5095" i="2"/>
  <c r="H5096" i="2"/>
  <c r="H5097" i="2"/>
  <c r="H5098" i="2"/>
  <c r="H5099" i="2"/>
  <c r="H5100" i="2"/>
  <c r="H5101" i="2"/>
  <c r="H5102" i="2"/>
  <c r="H5103" i="2"/>
  <c r="H5104" i="2"/>
  <c r="H5105" i="2"/>
  <c r="H5106" i="2"/>
  <c r="H5107" i="2"/>
  <c r="H5108" i="2"/>
  <c r="H5109" i="2"/>
  <c r="H5110" i="2"/>
  <c r="H5111" i="2"/>
  <c r="H5112" i="2"/>
  <c r="H5113" i="2"/>
  <c r="H5114" i="2"/>
  <c r="H5115" i="2"/>
  <c r="H5116" i="2"/>
  <c r="H5117" i="2"/>
  <c r="H5118" i="2"/>
  <c r="H5119" i="2"/>
  <c r="H5120" i="2"/>
  <c r="H5121" i="2"/>
  <c r="H5122" i="2"/>
  <c r="H5123" i="2"/>
  <c r="H5124" i="2"/>
  <c r="H5125" i="2"/>
  <c r="H5126" i="2"/>
  <c r="H5127" i="2"/>
  <c r="H5128" i="2"/>
  <c r="H5129" i="2"/>
  <c r="H5130" i="2"/>
  <c r="H5131" i="2"/>
  <c r="H5132" i="2"/>
  <c r="H5133" i="2"/>
  <c r="H5134" i="2"/>
  <c r="H5135" i="2"/>
  <c r="H5136" i="2"/>
  <c r="H5137" i="2"/>
  <c r="H5138" i="2"/>
  <c r="H5139" i="2"/>
  <c r="H5140" i="2"/>
  <c r="H5141" i="2"/>
  <c r="H5142" i="2"/>
  <c r="H5143" i="2"/>
  <c r="H5144" i="2"/>
  <c r="H5145" i="2"/>
  <c r="H5146" i="2"/>
  <c r="H5147" i="2"/>
  <c r="H5148" i="2"/>
  <c r="H5149" i="2"/>
  <c r="H5150" i="2"/>
  <c r="H5151" i="2"/>
  <c r="H5152" i="2"/>
  <c r="H5153" i="2"/>
  <c r="H5154" i="2"/>
  <c r="H5155" i="2"/>
  <c r="H5156" i="2"/>
  <c r="H5157" i="2"/>
  <c r="H5158" i="2"/>
  <c r="H5159" i="2"/>
  <c r="H5160" i="2"/>
  <c r="H5161" i="2"/>
  <c r="H5162" i="2"/>
  <c r="H5163" i="2"/>
  <c r="H5164" i="2"/>
  <c r="H5165" i="2"/>
  <c r="H5166" i="2"/>
  <c r="H5167" i="2"/>
  <c r="H5168" i="2"/>
  <c r="H5169" i="2"/>
  <c r="H5170" i="2"/>
  <c r="H5171" i="2"/>
  <c r="H5172" i="2"/>
  <c r="H5173" i="2"/>
  <c r="H5174" i="2"/>
  <c r="H5175" i="2"/>
  <c r="H5176" i="2"/>
  <c r="H5177" i="2"/>
  <c r="H5178" i="2"/>
  <c r="H5179" i="2"/>
  <c r="H5180" i="2"/>
  <c r="H5181" i="2"/>
  <c r="H5182" i="2"/>
  <c r="H5183" i="2"/>
  <c r="H5184" i="2"/>
  <c r="H5185" i="2"/>
  <c r="H5186" i="2"/>
  <c r="H5187" i="2"/>
  <c r="H5188" i="2"/>
  <c r="H5189" i="2"/>
  <c r="H5190" i="2"/>
  <c r="H5191" i="2"/>
  <c r="H5192" i="2"/>
  <c r="H5193" i="2"/>
  <c r="H5194" i="2"/>
  <c r="H5195" i="2"/>
  <c r="H5196" i="2"/>
  <c r="H5197" i="2"/>
  <c r="H5198" i="2"/>
  <c r="H5199" i="2"/>
  <c r="H5200" i="2"/>
  <c r="H5201" i="2"/>
  <c r="H5202" i="2"/>
  <c r="H5203" i="2"/>
  <c r="H5204" i="2"/>
  <c r="H5205" i="2"/>
  <c r="H5206" i="2"/>
  <c r="H5207" i="2"/>
  <c r="H5208" i="2"/>
  <c r="H5209" i="2"/>
  <c r="H5210" i="2"/>
  <c r="H5211" i="2"/>
  <c r="H5212" i="2"/>
  <c r="H5213" i="2"/>
  <c r="H5214" i="2"/>
  <c r="H5215" i="2"/>
  <c r="H5216" i="2"/>
  <c r="H5217" i="2"/>
  <c r="H5218" i="2"/>
  <c r="H5219" i="2"/>
  <c r="H5220" i="2"/>
  <c r="H5221" i="2"/>
  <c r="H5222" i="2"/>
  <c r="H5223" i="2"/>
  <c r="H5224" i="2"/>
  <c r="H5225" i="2"/>
  <c r="H5226" i="2"/>
  <c r="H5227" i="2"/>
  <c r="H5228" i="2"/>
  <c r="H5229" i="2"/>
  <c r="H5230" i="2"/>
  <c r="H5231" i="2"/>
  <c r="H5232" i="2"/>
  <c r="H5233" i="2"/>
  <c r="H5234" i="2"/>
  <c r="H5235" i="2"/>
  <c r="H5236" i="2"/>
  <c r="I8" i="3" l="1"/>
  <c r="K7" i="3"/>
  <c r="K5" i="2"/>
  <c r="I6" i="2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I9" i="3" l="1"/>
  <c r="K8" i="3"/>
  <c r="I7" i="2"/>
  <c r="K6" i="2"/>
  <c r="I10" i="3" l="1"/>
  <c r="K9" i="3"/>
  <c r="I8" i="2"/>
  <c r="K7" i="2"/>
  <c r="I11" i="3" l="1"/>
  <c r="K10" i="3"/>
  <c r="I9" i="2"/>
  <c r="K8" i="2"/>
  <c r="I12" i="3" l="1"/>
  <c r="K11" i="3"/>
  <c r="I10" i="2"/>
  <c r="K9" i="2"/>
  <c r="I13" i="3" l="1"/>
  <c r="K12" i="3"/>
  <c r="I11" i="2"/>
  <c r="K10" i="2"/>
  <c r="I14" i="3" l="1"/>
  <c r="K13" i="3"/>
  <c r="I12" i="2"/>
  <c r="K11" i="2"/>
  <c r="K14" i="3" l="1"/>
  <c r="I15" i="3"/>
  <c r="I13" i="2"/>
  <c r="K12" i="2"/>
  <c r="I16" i="3" l="1"/>
  <c r="K15" i="3"/>
  <c r="I14" i="2"/>
  <c r="K13" i="2"/>
  <c r="I17" i="3" l="1"/>
  <c r="K16" i="3"/>
  <c r="K14" i="2"/>
  <c r="I15" i="2"/>
  <c r="I18" i="3" l="1"/>
  <c r="K17" i="3"/>
  <c r="I16" i="2"/>
  <c r="K15" i="2"/>
  <c r="I19" i="3" l="1"/>
  <c r="K18" i="3"/>
  <c r="I17" i="2"/>
  <c r="K16" i="2"/>
  <c r="I20" i="3" l="1"/>
  <c r="K19" i="3"/>
  <c r="I18" i="2"/>
  <c r="K17" i="2"/>
  <c r="I21" i="3" l="1"/>
  <c r="K20" i="3"/>
  <c r="I19" i="2"/>
  <c r="K18" i="2"/>
  <c r="I22" i="3" l="1"/>
  <c r="K21" i="3"/>
  <c r="I20" i="2"/>
  <c r="K19" i="2"/>
  <c r="I23" i="3" l="1"/>
  <c r="K22" i="3"/>
  <c r="I21" i="2"/>
  <c r="K20" i="2"/>
  <c r="I24" i="3" l="1"/>
  <c r="K23" i="3"/>
  <c r="I22" i="2"/>
  <c r="K21" i="2"/>
  <c r="I25" i="3" l="1"/>
  <c r="K24" i="3"/>
  <c r="I23" i="2"/>
  <c r="K22" i="2"/>
  <c r="I26" i="3" l="1"/>
  <c r="K25" i="3"/>
  <c r="I24" i="2"/>
  <c r="K23" i="2"/>
  <c r="K26" i="3" l="1"/>
  <c r="I27" i="3"/>
  <c r="I25" i="2"/>
  <c r="K24" i="2"/>
  <c r="I28" i="3" l="1"/>
  <c r="K27" i="3"/>
  <c r="I26" i="2"/>
  <c r="K25" i="2"/>
  <c r="I29" i="3" l="1"/>
  <c r="K28" i="3"/>
  <c r="I27" i="2"/>
  <c r="K26" i="2"/>
  <c r="I30" i="3" l="1"/>
  <c r="K29" i="3"/>
  <c r="I28" i="2"/>
  <c r="K27" i="2"/>
  <c r="I31" i="3" l="1"/>
  <c r="K30" i="3"/>
  <c r="I29" i="2"/>
  <c r="K28" i="2"/>
  <c r="I32" i="3" l="1"/>
  <c r="K31" i="3"/>
  <c r="I30" i="2"/>
  <c r="K29" i="2"/>
  <c r="I33" i="3" l="1"/>
  <c r="K32" i="3"/>
  <c r="I31" i="2"/>
  <c r="K30" i="2"/>
  <c r="I34" i="3" l="1"/>
  <c r="K33" i="3"/>
  <c r="I32" i="2"/>
  <c r="K31" i="2"/>
  <c r="I35" i="3" l="1"/>
  <c r="K34" i="3"/>
  <c r="I33" i="2"/>
  <c r="K32" i="2"/>
  <c r="I36" i="3" l="1"/>
  <c r="K35" i="3"/>
  <c r="I34" i="2"/>
  <c r="K33" i="2"/>
  <c r="I37" i="3" l="1"/>
  <c r="K36" i="3"/>
  <c r="I35" i="2"/>
  <c r="K34" i="2"/>
  <c r="I38" i="3" l="1"/>
  <c r="K37" i="3"/>
  <c r="I36" i="2"/>
  <c r="K35" i="2"/>
  <c r="I39" i="3" l="1"/>
  <c r="K38" i="3"/>
  <c r="I37" i="2"/>
  <c r="K36" i="2"/>
  <c r="I40" i="3" l="1"/>
  <c r="K39" i="3"/>
  <c r="I38" i="2"/>
  <c r="K37" i="2"/>
  <c r="I41" i="3" l="1"/>
  <c r="K40" i="3"/>
  <c r="I39" i="2"/>
  <c r="K38" i="2"/>
  <c r="I42" i="3" l="1"/>
  <c r="K41" i="3"/>
  <c r="I40" i="2"/>
  <c r="K39" i="2"/>
  <c r="I43" i="3" l="1"/>
  <c r="K42" i="3"/>
  <c r="I41" i="2"/>
  <c r="K40" i="2"/>
  <c r="I44" i="3" l="1"/>
  <c r="K43" i="3"/>
  <c r="I42" i="2"/>
  <c r="K41" i="2"/>
  <c r="I45" i="3" l="1"/>
  <c r="K44" i="3"/>
  <c r="I43" i="2"/>
  <c r="K42" i="2"/>
  <c r="I46" i="3" l="1"/>
  <c r="K45" i="3"/>
  <c r="I44" i="2"/>
  <c r="K43" i="2"/>
  <c r="I47" i="3" l="1"/>
  <c r="K46" i="3"/>
  <c r="I45" i="2"/>
  <c r="K44" i="2"/>
  <c r="I48" i="3" l="1"/>
  <c r="K47" i="3"/>
  <c r="I46" i="2"/>
  <c r="K45" i="2"/>
  <c r="I49" i="3" l="1"/>
  <c r="K48" i="3"/>
  <c r="I47" i="2"/>
  <c r="K46" i="2"/>
  <c r="I50" i="3" l="1"/>
  <c r="K49" i="3"/>
  <c r="I48" i="2"/>
  <c r="K47" i="2"/>
  <c r="I51" i="3" l="1"/>
  <c r="K50" i="3"/>
  <c r="I49" i="2"/>
  <c r="K48" i="2"/>
  <c r="I52" i="3" l="1"/>
  <c r="K51" i="3"/>
  <c r="I50" i="2"/>
  <c r="K49" i="2"/>
  <c r="I53" i="3" l="1"/>
  <c r="K52" i="3"/>
  <c r="I51" i="2"/>
  <c r="K50" i="2"/>
  <c r="I54" i="3" l="1"/>
  <c r="K53" i="3"/>
  <c r="I52" i="2"/>
  <c r="K51" i="2"/>
  <c r="I55" i="3" l="1"/>
  <c r="K54" i="3"/>
  <c r="I53" i="2"/>
  <c r="K52" i="2"/>
  <c r="I56" i="3" l="1"/>
  <c r="K55" i="3"/>
  <c r="I54" i="2"/>
  <c r="K53" i="2"/>
  <c r="I57" i="3" l="1"/>
  <c r="K56" i="3"/>
  <c r="I55" i="2"/>
  <c r="K54" i="2"/>
  <c r="I58" i="3" l="1"/>
  <c r="K57" i="3"/>
  <c r="I56" i="2"/>
  <c r="K55" i="2"/>
  <c r="I59" i="3" l="1"/>
  <c r="K58" i="3"/>
  <c r="I57" i="2"/>
  <c r="K56" i="2"/>
  <c r="I60" i="3" l="1"/>
  <c r="K59" i="3"/>
  <c r="I58" i="2"/>
  <c r="K57" i="2"/>
  <c r="I61" i="3" l="1"/>
  <c r="K60" i="3"/>
  <c r="I59" i="2"/>
  <c r="K58" i="2"/>
  <c r="I62" i="3" l="1"/>
  <c r="K61" i="3"/>
  <c r="I60" i="2"/>
  <c r="K59" i="2"/>
  <c r="I63" i="3" l="1"/>
  <c r="K62" i="3"/>
  <c r="I61" i="2"/>
  <c r="K60" i="2"/>
  <c r="I64" i="3" l="1"/>
  <c r="K63" i="3"/>
  <c r="I62" i="2"/>
  <c r="K61" i="2"/>
  <c r="I65" i="3" l="1"/>
  <c r="K64" i="3"/>
  <c r="I63" i="2"/>
  <c r="K62" i="2"/>
  <c r="I66" i="3" l="1"/>
  <c r="K65" i="3"/>
  <c r="I64" i="2"/>
  <c r="K63" i="2"/>
  <c r="I67" i="3" l="1"/>
  <c r="K66" i="3"/>
  <c r="I65" i="2"/>
  <c r="K64" i="2"/>
  <c r="I68" i="3" l="1"/>
  <c r="K67" i="3"/>
  <c r="I66" i="2"/>
  <c r="K65" i="2"/>
  <c r="I69" i="3" l="1"/>
  <c r="K68" i="3"/>
  <c r="I67" i="2"/>
  <c r="K66" i="2"/>
  <c r="I70" i="3" l="1"/>
  <c r="K69" i="3"/>
  <c r="I68" i="2"/>
  <c r="K67" i="2"/>
  <c r="I71" i="3" l="1"/>
  <c r="K70" i="3"/>
  <c r="I69" i="2"/>
  <c r="K68" i="2"/>
  <c r="I72" i="3" l="1"/>
  <c r="K71" i="3"/>
  <c r="I70" i="2"/>
  <c r="K69" i="2"/>
  <c r="I73" i="3" l="1"/>
  <c r="K72" i="3"/>
  <c r="I71" i="2"/>
  <c r="K70" i="2"/>
  <c r="I74" i="3" l="1"/>
  <c r="K73" i="3"/>
  <c r="I72" i="2"/>
  <c r="K71" i="2"/>
  <c r="I75" i="3" l="1"/>
  <c r="K74" i="3"/>
  <c r="I73" i="2"/>
  <c r="K72" i="2"/>
  <c r="I76" i="3" l="1"/>
  <c r="K75" i="3"/>
  <c r="I74" i="2"/>
  <c r="K73" i="2"/>
  <c r="I77" i="3" l="1"/>
  <c r="K76" i="3"/>
  <c r="I75" i="2"/>
  <c r="K74" i="2"/>
  <c r="I78" i="3" l="1"/>
  <c r="K77" i="3"/>
  <c r="I76" i="2"/>
  <c r="K75" i="2"/>
  <c r="I79" i="3" l="1"/>
  <c r="K78" i="3"/>
  <c r="I77" i="2"/>
  <c r="K76" i="2"/>
  <c r="I80" i="3" l="1"/>
  <c r="K79" i="3"/>
  <c r="I78" i="2"/>
  <c r="K77" i="2"/>
  <c r="I81" i="3" l="1"/>
  <c r="K80" i="3"/>
  <c r="I79" i="2"/>
  <c r="K78" i="2"/>
  <c r="I82" i="3" l="1"/>
  <c r="K81" i="3"/>
  <c r="I80" i="2"/>
  <c r="K79" i="2"/>
  <c r="I83" i="3" l="1"/>
  <c r="K82" i="3"/>
  <c r="I81" i="2"/>
  <c r="K80" i="2"/>
  <c r="I84" i="3" l="1"/>
  <c r="K83" i="3"/>
  <c r="I82" i="2"/>
  <c r="K81" i="2"/>
  <c r="I85" i="3" l="1"/>
  <c r="K84" i="3"/>
  <c r="I83" i="2"/>
  <c r="K82" i="2"/>
  <c r="I86" i="3" l="1"/>
  <c r="K85" i="3"/>
  <c r="I84" i="2"/>
  <c r="K83" i="2"/>
  <c r="I87" i="3" l="1"/>
  <c r="K86" i="3"/>
  <c r="I85" i="2"/>
  <c r="K84" i="2"/>
  <c r="I88" i="3" l="1"/>
  <c r="K87" i="3"/>
  <c r="I86" i="2"/>
  <c r="K85" i="2"/>
  <c r="I89" i="3" l="1"/>
  <c r="K88" i="3"/>
  <c r="I87" i="2"/>
  <c r="K86" i="2"/>
  <c r="I90" i="3" l="1"/>
  <c r="K89" i="3"/>
  <c r="I88" i="2"/>
  <c r="K87" i="2"/>
  <c r="I91" i="3" l="1"/>
  <c r="K90" i="3"/>
  <c r="I89" i="2"/>
  <c r="K88" i="2"/>
  <c r="I92" i="3" l="1"/>
  <c r="K91" i="3"/>
  <c r="I90" i="2"/>
  <c r="K89" i="2"/>
  <c r="I93" i="3" l="1"/>
  <c r="K92" i="3"/>
  <c r="I91" i="2"/>
  <c r="K90" i="2"/>
  <c r="I94" i="3" l="1"/>
  <c r="K93" i="3"/>
  <c r="I92" i="2"/>
  <c r="K91" i="2"/>
  <c r="I95" i="3" l="1"/>
  <c r="K94" i="3"/>
  <c r="I93" i="2"/>
  <c r="K92" i="2"/>
  <c r="I96" i="3" l="1"/>
  <c r="K95" i="3"/>
  <c r="I94" i="2"/>
  <c r="K93" i="2"/>
  <c r="I97" i="3" l="1"/>
  <c r="K97" i="3" s="1"/>
  <c r="K96" i="3"/>
  <c r="I95" i="2"/>
  <c r="K94" i="2"/>
  <c r="I96" i="2" l="1"/>
  <c r="K95" i="2"/>
  <c r="I97" i="2" l="1"/>
  <c r="K96" i="2"/>
  <c r="I98" i="2" l="1"/>
  <c r="K97" i="2"/>
  <c r="I99" i="2" l="1"/>
  <c r="K98" i="2"/>
  <c r="I100" i="2" l="1"/>
  <c r="K99" i="2"/>
  <c r="I101" i="2" l="1"/>
  <c r="K100" i="2"/>
  <c r="I102" i="2" l="1"/>
  <c r="K101" i="2"/>
  <c r="I103" i="2" l="1"/>
  <c r="K102" i="2"/>
  <c r="I104" i="2" l="1"/>
  <c r="K103" i="2"/>
  <c r="I105" i="2" l="1"/>
  <c r="K104" i="2"/>
  <c r="I106" i="2" l="1"/>
  <c r="K105" i="2"/>
  <c r="I107" i="2" l="1"/>
  <c r="K106" i="2"/>
  <c r="I108" i="2" l="1"/>
  <c r="K107" i="2"/>
  <c r="I109" i="2" l="1"/>
  <c r="K108" i="2"/>
  <c r="I110" i="2" l="1"/>
  <c r="K109" i="2"/>
  <c r="I111" i="2" l="1"/>
  <c r="K110" i="2"/>
  <c r="I112" i="2" l="1"/>
  <c r="K111" i="2"/>
  <c r="I113" i="2" l="1"/>
  <c r="K112" i="2"/>
  <c r="I114" i="2" l="1"/>
  <c r="K113" i="2"/>
  <c r="I115" i="2" l="1"/>
  <c r="K114" i="2"/>
  <c r="I116" i="2" l="1"/>
  <c r="K115" i="2"/>
  <c r="I117" i="2" l="1"/>
  <c r="K116" i="2"/>
  <c r="I118" i="2" l="1"/>
  <c r="K117" i="2"/>
  <c r="I119" i="2" l="1"/>
  <c r="K118" i="2"/>
  <c r="I120" i="2" l="1"/>
  <c r="K119" i="2"/>
  <c r="I121" i="2" l="1"/>
  <c r="K120" i="2"/>
  <c r="I122" i="2" l="1"/>
  <c r="K121" i="2"/>
  <c r="I123" i="2" l="1"/>
  <c r="K122" i="2"/>
  <c r="I124" i="2" l="1"/>
  <c r="K123" i="2"/>
  <c r="I125" i="2" l="1"/>
  <c r="K124" i="2"/>
  <c r="I126" i="2" l="1"/>
  <c r="K125" i="2"/>
  <c r="I127" i="2" l="1"/>
  <c r="K126" i="2"/>
  <c r="I128" i="2" l="1"/>
  <c r="K127" i="2"/>
  <c r="I129" i="2" l="1"/>
  <c r="K128" i="2"/>
  <c r="I130" i="2" l="1"/>
  <c r="K129" i="2"/>
  <c r="I131" i="2" l="1"/>
  <c r="K130" i="2"/>
  <c r="I132" i="2" l="1"/>
  <c r="K131" i="2"/>
  <c r="I133" i="2" l="1"/>
  <c r="K132" i="2"/>
  <c r="I134" i="2" l="1"/>
  <c r="K133" i="2"/>
  <c r="I135" i="2" l="1"/>
  <c r="K134" i="2"/>
  <c r="I136" i="2" l="1"/>
  <c r="K135" i="2"/>
  <c r="I137" i="2" l="1"/>
  <c r="K136" i="2"/>
  <c r="I138" i="2" l="1"/>
  <c r="K137" i="2"/>
  <c r="I139" i="2" l="1"/>
  <c r="K138" i="2"/>
  <c r="I140" i="2" l="1"/>
  <c r="K139" i="2"/>
  <c r="I141" i="2" l="1"/>
  <c r="K140" i="2"/>
  <c r="I142" i="2" l="1"/>
  <c r="K141" i="2"/>
  <c r="I143" i="2" l="1"/>
  <c r="K142" i="2"/>
  <c r="I144" i="2" l="1"/>
  <c r="K143" i="2"/>
  <c r="I145" i="2" l="1"/>
  <c r="K144" i="2"/>
  <c r="I146" i="2" l="1"/>
  <c r="K145" i="2"/>
  <c r="I147" i="2" l="1"/>
  <c r="K146" i="2"/>
  <c r="I148" i="2" l="1"/>
  <c r="K147" i="2"/>
  <c r="I149" i="2" l="1"/>
  <c r="K148" i="2"/>
  <c r="I150" i="2" l="1"/>
  <c r="K149" i="2"/>
  <c r="I151" i="2" l="1"/>
  <c r="K150" i="2"/>
  <c r="I152" i="2" l="1"/>
  <c r="K151" i="2"/>
  <c r="I153" i="2" l="1"/>
  <c r="K152" i="2"/>
  <c r="I154" i="2" l="1"/>
  <c r="K153" i="2"/>
  <c r="I155" i="2" l="1"/>
  <c r="K154" i="2"/>
  <c r="I156" i="2" l="1"/>
  <c r="K155" i="2"/>
  <c r="I157" i="2" l="1"/>
  <c r="K156" i="2"/>
  <c r="I158" i="2" l="1"/>
  <c r="K157" i="2"/>
  <c r="I159" i="2" l="1"/>
  <c r="K158" i="2"/>
  <c r="I160" i="2" l="1"/>
  <c r="K159" i="2"/>
  <c r="I161" i="2" l="1"/>
  <c r="K160" i="2"/>
  <c r="I162" i="2" l="1"/>
  <c r="K161" i="2"/>
  <c r="I163" i="2" l="1"/>
  <c r="K162" i="2"/>
  <c r="I164" i="2" l="1"/>
  <c r="K163" i="2"/>
  <c r="I165" i="2" l="1"/>
  <c r="K164" i="2"/>
  <c r="I166" i="2" l="1"/>
  <c r="K165" i="2"/>
  <c r="I167" i="2" l="1"/>
  <c r="K166" i="2"/>
  <c r="I168" i="2" l="1"/>
  <c r="K167" i="2"/>
  <c r="I169" i="2" l="1"/>
  <c r="K168" i="2"/>
  <c r="I170" i="2" l="1"/>
  <c r="K169" i="2"/>
  <c r="I171" i="2" l="1"/>
  <c r="K170" i="2"/>
  <c r="I172" i="2" l="1"/>
  <c r="K171" i="2"/>
  <c r="I173" i="2" l="1"/>
  <c r="K172" i="2"/>
  <c r="I174" i="2" l="1"/>
  <c r="K173" i="2"/>
  <c r="I175" i="2" l="1"/>
  <c r="K174" i="2"/>
  <c r="I176" i="2" l="1"/>
  <c r="K175" i="2"/>
  <c r="I177" i="2" l="1"/>
  <c r="K176" i="2"/>
  <c r="I178" i="2" l="1"/>
  <c r="K177" i="2"/>
  <c r="I179" i="2" l="1"/>
  <c r="K178" i="2"/>
  <c r="I180" i="2" l="1"/>
  <c r="K179" i="2"/>
  <c r="I181" i="2" l="1"/>
  <c r="K180" i="2"/>
  <c r="I182" i="2" l="1"/>
  <c r="K181" i="2"/>
  <c r="I183" i="2" l="1"/>
  <c r="K182" i="2"/>
  <c r="I184" i="2" l="1"/>
  <c r="K183" i="2"/>
  <c r="I185" i="2" l="1"/>
  <c r="K184" i="2"/>
  <c r="I186" i="2" l="1"/>
  <c r="K185" i="2"/>
  <c r="I187" i="2" l="1"/>
  <c r="K186" i="2"/>
  <c r="I188" i="2" l="1"/>
  <c r="K187" i="2"/>
  <c r="I189" i="2" l="1"/>
  <c r="K188" i="2"/>
  <c r="I190" i="2" l="1"/>
  <c r="K189" i="2"/>
  <c r="I191" i="2" l="1"/>
  <c r="K190" i="2"/>
  <c r="I192" i="2" l="1"/>
  <c r="K191" i="2"/>
  <c r="I193" i="2" l="1"/>
  <c r="K192" i="2"/>
  <c r="I194" i="2" l="1"/>
  <c r="K193" i="2"/>
  <c r="I195" i="2" l="1"/>
  <c r="K194" i="2"/>
  <c r="I196" i="2" l="1"/>
  <c r="K195" i="2"/>
  <c r="I197" i="2" l="1"/>
  <c r="K196" i="2"/>
  <c r="I198" i="2" l="1"/>
  <c r="K197" i="2"/>
  <c r="I199" i="2" l="1"/>
  <c r="K198" i="2"/>
  <c r="I200" i="2" l="1"/>
  <c r="K199" i="2"/>
  <c r="I201" i="2" l="1"/>
  <c r="K200" i="2"/>
  <c r="I202" i="2" l="1"/>
  <c r="K201" i="2"/>
  <c r="I203" i="2" l="1"/>
  <c r="K202" i="2"/>
  <c r="I204" i="2" l="1"/>
  <c r="K203" i="2"/>
  <c r="I205" i="2" l="1"/>
  <c r="K204" i="2"/>
  <c r="I206" i="2" l="1"/>
  <c r="K205" i="2"/>
  <c r="I207" i="2" l="1"/>
  <c r="K206" i="2"/>
  <c r="I208" i="2" l="1"/>
  <c r="K207" i="2"/>
  <c r="I209" i="2" l="1"/>
  <c r="K208" i="2"/>
  <c r="I210" i="2" l="1"/>
  <c r="K209" i="2"/>
  <c r="I211" i="2" l="1"/>
  <c r="K210" i="2"/>
  <c r="I212" i="2" l="1"/>
  <c r="K211" i="2"/>
  <c r="I213" i="2" l="1"/>
  <c r="K212" i="2"/>
  <c r="I214" i="2" l="1"/>
  <c r="K213" i="2"/>
  <c r="I215" i="2" l="1"/>
  <c r="K214" i="2"/>
  <c r="I216" i="2" l="1"/>
  <c r="K215" i="2"/>
  <c r="I217" i="2" l="1"/>
  <c r="K216" i="2"/>
  <c r="I218" i="2" l="1"/>
  <c r="K217" i="2"/>
  <c r="I219" i="2" l="1"/>
  <c r="K218" i="2"/>
  <c r="I220" i="2" l="1"/>
  <c r="K219" i="2"/>
  <c r="I221" i="2" l="1"/>
  <c r="K220" i="2"/>
  <c r="I222" i="2" l="1"/>
  <c r="K221" i="2"/>
  <c r="I223" i="2" l="1"/>
  <c r="K222" i="2"/>
  <c r="I224" i="2" l="1"/>
  <c r="K223" i="2"/>
  <c r="I225" i="2" l="1"/>
  <c r="K224" i="2"/>
  <c r="I226" i="2" l="1"/>
  <c r="K225" i="2"/>
  <c r="I227" i="2" l="1"/>
  <c r="K226" i="2"/>
  <c r="I228" i="2" l="1"/>
  <c r="K227" i="2"/>
  <c r="I229" i="2" l="1"/>
  <c r="K228" i="2"/>
  <c r="I230" i="2" l="1"/>
  <c r="K229" i="2"/>
  <c r="I231" i="2" l="1"/>
  <c r="K230" i="2"/>
  <c r="I232" i="2" l="1"/>
  <c r="K231" i="2"/>
  <c r="I233" i="2" l="1"/>
  <c r="K232" i="2"/>
  <c r="I234" i="2" l="1"/>
  <c r="K233" i="2"/>
  <c r="I235" i="2" l="1"/>
  <c r="K234" i="2"/>
  <c r="I236" i="2" l="1"/>
  <c r="K235" i="2"/>
  <c r="I237" i="2" l="1"/>
  <c r="K236" i="2"/>
  <c r="I238" i="2" l="1"/>
  <c r="K237" i="2"/>
  <c r="I239" i="2" l="1"/>
  <c r="K238" i="2"/>
  <c r="I240" i="2" l="1"/>
  <c r="K239" i="2"/>
  <c r="I241" i="2" l="1"/>
  <c r="K240" i="2"/>
  <c r="I242" i="2" l="1"/>
  <c r="K241" i="2"/>
  <c r="I243" i="2" l="1"/>
  <c r="K242" i="2"/>
  <c r="I244" i="2" l="1"/>
  <c r="K243" i="2"/>
  <c r="I245" i="2" l="1"/>
  <c r="K244" i="2"/>
  <c r="I246" i="2" l="1"/>
  <c r="K245" i="2"/>
  <c r="I247" i="2" l="1"/>
  <c r="K246" i="2"/>
  <c r="I248" i="2" l="1"/>
  <c r="K247" i="2"/>
  <c r="I249" i="2" l="1"/>
  <c r="K248" i="2"/>
  <c r="I250" i="2" l="1"/>
  <c r="K249" i="2"/>
  <c r="I251" i="2" l="1"/>
  <c r="K250" i="2"/>
  <c r="I252" i="2" l="1"/>
  <c r="K251" i="2"/>
  <c r="I253" i="2" l="1"/>
  <c r="K252" i="2"/>
  <c r="I254" i="2" l="1"/>
  <c r="K253" i="2"/>
  <c r="I255" i="2" l="1"/>
  <c r="K254" i="2"/>
  <c r="I256" i="2" l="1"/>
  <c r="K255" i="2"/>
  <c r="I257" i="2" l="1"/>
  <c r="K256" i="2"/>
  <c r="I258" i="2" l="1"/>
  <c r="K257" i="2"/>
  <c r="I259" i="2" l="1"/>
  <c r="K258" i="2"/>
  <c r="I260" i="2" l="1"/>
  <c r="K259" i="2"/>
  <c r="I261" i="2" l="1"/>
  <c r="K260" i="2"/>
  <c r="I262" i="2" l="1"/>
  <c r="K261" i="2"/>
  <c r="I263" i="2" l="1"/>
  <c r="K262" i="2"/>
  <c r="I264" i="2" l="1"/>
  <c r="K263" i="2"/>
  <c r="I265" i="2" l="1"/>
  <c r="K264" i="2"/>
  <c r="I266" i="2" l="1"/>
  <c r="K265" i="2"/>
  <c r="I267" i="2" l="1"/>
  <c r="K266" i="2"/>
  <c r="I268" i="2" l="1"/>
  <c r="K267" i="2"/>
  <c r="I269" i="2" l="1"/>
  <c r="K268" i="2"/>
  <c r="I270" i="2" l="1"/>
  <c r="K269" i="2"/>
  <c r="I271" i="2" l="1"/>
  <c r="K270" i="2"/>
  <c r="I272" i="2" l="1"/>
  <c r="K271" i="2"/>
  <c r="I273" i="2" l="1"/>
  <c r="K272" i="2"/>
  <c r="I274" i="2" l="1"/>
  <c r="K273" i="2"/>
  <c r="I275" i="2" l="1"/>
  <c r="K274" i="2"/>
  <c r="I276" i="2" l="1"/>
  <c r="K275" i="2"/>
  <c r="I277" i="2" l="1"/>
  <c r="K276" i="2"/>
  <c r="I278" i="2" l="1"/>
  <c r="K277" i="2"/>
  <c r="I279" i="2" l="1"/>
  <c r="K278" i="2"/>
  <c r="I280" i="2" l="1"/>
  <c r="K279" i="2"/>
  <c r="I281" i="2" l="1"/>
  <c r="K280" i="2"/>
  <c r="I282" i="2" l="1"/>
  <c r="K281" i="2"/>
  <c r="I283" i="2" l="1"/>
  <c r="K282" i="2"/>
  <c r="I284" i="2" l="1"/>
  <c r="K283" i="2"/>
  <c r="I285" i="2" l="1"/>
  <c r="K284" i="2"/>
  <c r="I286" i="2" l="1"/>
  <c r="K285" i="2"/>
  <c r="I287" i="2" l="1"/>
  <c r="K286" i="2"/>
  <c r="I288" i="2" l="1"/>
  <c r="K287" i="2"/>
  <c r="I289" i="2" l="1"/>
  <c r="K288" i="2"/>
  <c r="I290" i="2" l="1"/>
  <c r="K289" i="2"/>
  <c r="I291" i="2" l="1"/>
  <c r="K290" i="2"/>
  <c r="I292" i="2" l="1"/>
  <c r="K291" i="2"/>
  <c r="I293" i="2" l="1"/>
  <c r="K292" i="2"/>
  <c r="I294" i="2" l="1"/>
  <c r="K293" i="2"/>
  <c r="I295" i="2" l="1"/>
  <c r="K294" i="2"/>
  <c r="I296" i="2" l="1"/>
  <c r="K295" i="2"/>
  <c r="I297" i="2" l="1"/>
  <c r="K296" i="2"/>
  <c r="I298" i="2" l="1"/>
  <c r="K297" i="2"/>
  <c r="I299" i="2" l="1"/>
  <c r="K298" i="2"/>
  <c r="I300" i="2" l="1"/>
  <c r="K299" i="2"/>
  <c r="I301" i="2" l="1"/>
  <c r="K300" i="2"/>
  <c r="I302" i="2" l="1"/>
  <c r="K301" i="2"/>
  <c r="I303" i="2" l="1"/>
  <c r="K302" i="2"/>
  <c r="I304" i="2" l="1"/>
  <c r="K303" i="2"/>
  <c r="I305" i="2" l="1"/>
  <c r="K304" i="2"/>
  <c r="I306" i="2" l="1"/>
  <c r="K305" i="2"/>
  <c r="I307" i="2" l="1"/>
  <c r="K306" i="2"/>
  <c r="I308" i="2" l="1"/>
  <c r="K307" i="2"/>
  <c r="I309" i="2" l="1"/>
  <c r="K308" i="2"/>
  <c r="I310" i="2" l="1"/>
  <c r="K309" i="2"/>
  <c r="I311" i="2" l="1"/>
  <c r="K310" i="2"/>
  <c r="I312" i="2" l="1"/>
  <c r="K311" i="2"/>
  <c r="I313" i="2" l="1"/>
  <c r="K312" i="2"/>
  <c r="I314" i="2" l="1"/>
  <c r="K313" i="2"/>
  <c r="I315" i="2" l="1"/>
  <c r="K314" i="2"/>
  <c r="I316" i="2" l="1"/>
  <c r="K315" i="2"/>
  <c r="I317" i="2" l="1"/>
  <c r="K316" i="2"/>
  <c r="I318" i="2" l="1"/>
  <c r="K317" i="2"/>
  <c r="I319" i="2" l="1"/>
  <c r="K318" i="2"/>
  <c r="I320" i="2" l="1"/>
  <c r="K319" i="2"/>
  <c r="I321" i="2" l="1"/>
  <c r="K320" i="2"/>
  <c r="I322" i="2" l="1"/>
  <c r="K321" i="2"/>
  <c r="I323" i="2" l="1"/>
  <c r="K322" i="2"/>
  <c r="I324" i="2" l="1"/>
  <c r="K323" i="2"/>
  <c r="I325" i="2" l="1"/>
  <c r="K324" i="2"/>
  <c r="I326" i="2" l="1"/>
  <c r="K325" i="2"/>
  <c r="I327" i="2" l="1"/>
  <c r="K326" i="2"/>
  <c r="I328" i="2" l="1"/>
  <c r="K327" i="2"/>
  <c r="I329" i="2" l="1"/>
  <c r="K328" i="2"/>
  <c r="I330" i="2" l="1"/>
  <c r="K329" i="2"/>
  <c r="I331" i="2" l="1"/>
  <c r="K330" i="2"/>
  <c r="I332" i="2" l="1"/>
  <c r="K331" i="2"/>
  <c r="I333" i="2" l="1"/>
  <c r="K332" i="2"/>
  <c r="I334" i="2" l="1"/>
  <c r="K333" i="2"/>
  <c r="I335" i="2" l="1"/>
  <c r="K334" i="2"/>
  <c r="I336" i="2" l="1"/>
  <c r="K335" i="2"/>
  <c r="I337" i="2" l="1"/>
  <c r="K336" i="2"/>
  <c r="I338" i="2" l="1"/>
  <c r="K337" i="2"/>
  <c r="I339" i="2" l="1"/>
  <c r="K338" i="2"/>
  <c r="I340" i="2" l="1"/>
  <c r="K339" i="2"/>
  <c r="I341" i="2" l="1"/>
  <c r="K340" i="2"/>
  <c r="I342" i="2" l="1"/>
  <c r="K341" i="2"/>
  <c r="I343" i="2" l="1"/>
  <c r="K342" i="2"/>
  <c r="I344" i="2" l="1"/>
  <c r="K343" i="2"/>
  <c r="I345" i="2" l="1"/>
  <c r="K344" i="2"/>
  <c r="I346" i="2" l="1"/>
  <c r="K345" i="2"/>
  <c r="I347" i="2" l="1"/>
  <c r="K346" i="2"/>
  <c r="I348" i="2" l="1"/>
  <c r="K347" i="2"/>
  <c r="I349" i="2" l="1"/>
  <c r="K348" i="2"/>
  <c r="I350" i="2" l="1"/>
  <c r="K349" i="2"/>
  <c r="I351" i="2" l="1"/>
  <c r="K350" i="2"/>
  <c r="I352" i="2" l="1"/>
  <c r="K351" i="2"/>
  <c r="I353" i="2" l="1"/>
  <c r="K352" i="2"/>
  <c r="I354" i="2" l="1"/>
  <c r="K353" i="2"/>
  <c r="I355" i="2" l="1"/>
  <c r="K354" i="2"/>
  <c r="I356" i="2" l="1"/>
  <c r="K355" i="2"/>
  <c r="I357" i="2" l="1"/>
  <c r="K356" i="2"/>
  <c r="I358" i="2" l="1"/>
  <c r="K357" i="2"/>
  <c r="I359" i="2" l="1"/>
  <c r="K358" i="2"/>
  <c r="I360" i="2" l="1"/>
  <c r="K359" i="2"/>
  <c r="I361" i="2" l="1"/>
  <c r="K360" i="2"/>
  <c r="I362" i="2" l="1"/>
  <c r="K361" i="2"/>
  <c r="I363" i="2" l="1"/>
  <c r="K362" i="2"/>
  <c r="I364" i="2" l="1"/>
  <c r="K363" i="2"/>
  <c r="I365" i="2" l="1"/>
  <c r="K364" i="2"/>
  <c r="I366" i="2" l="1"/>
  <c r="K365" i="2"/>
  <c r="I367" i="2" l="1"/>
  <c r="K366" i="2"/>
  <c r="I368" i="2" l="1"/>
  <c r="K367" i="2"/>
  <c r="I369" i="2" l="1"/>
  <c r="K368" i="2"/>
  <c r="I370" i="2" l="1"/>
  <c r="K369" i="2"/>
  <c r="I371" i="2" l="1"/>
  <c r="K370" i="2"/>
  <c r="I372" i="2" l="1"/>
  <c r="K371" i="2"/>
  <c r="I373" i="2" l="1"/>
  <c r="K372" i="2"/>
  <c r="I374" i="2" l="1"/>
  <c r="K373" i="2"/>
  <c r="I375" i="2" l="1"/>
  <c r="K374" i="2"/>
  <c r="I376" i="2" l="1"/>
  <c r="K375" i="2"/>
  <c r="I377" i="2" l="1"/>
  <c r="K376" i="2"/>
  <c r="I378" i="2" l="1"/>
  <c r="K377" i="2"/>
  <c r="I379" i="2" l="1"/>
  <c r="K378" i="2"/>
  <c r="I380" i="2" l="1"/>
  <c r="K379" i="2"/>
  <c r="I381" i="2" l="1"/>
  <c r="K380" i="2"/>
  <c r="I382" i="2" l="1"/>
  <c r="K381" i="2"/>
  <c r="I383" i="2" l="1"/>
  <c r="K382" i="2"/>
  <c r="I384" i="2" l="1"/>
  <c r="K383" i="2"/>
  <c r="I385" i="2" l="1"/>
  <c r="K384" i="2"/>
  <c r="I386" i="2" l="1"/>
  <c r="K385" i="2"/>
  <c r="I387" i="2" l="1"/>
  <c r="K386" i="2"/>
  <c r="I388" i="2" l="1"/>
  <c r="K387" i="2"/>
  <c r="I389" i="2" l="1"/>
  <c r="K388" i="2"/>
  <c r="I390" i="2" l="1"/>
  <c r="K389" i="2"/>
  <c r="I391" i="2" l="1"/>
  <c r="K390" i="2"/>
  <c r="I392" i="2" l="1"/>
  <c r="K391" i="2"/>
  <c r="I393" i="2" l="1"/>
  <c r="K392" i="2"/>
  <c r="I394" i="2" l="1"/>
  <c r="K393" i="2"/>
  <c r="I395" i="2" l="1"/>
  <c r="K394" i="2"/>
  <c r="I396" i="2" l="1"/>
  <c r="K395" i="2"/>
  <c r="I397" i="2" l="1"/>
  <c r="K396" i="2"/>
  <c r="I398" i="2" l="1"/>
  <c r="K397" i="2"/>
  <c r="I399" i="2" l="1"/>
  <c r="K398" i="2"/>
  <c r="I400" i="2" l="1"/>
  <c r="K399" i="2"/>
  <c r="I401" i="2" l="1"/>
  <c r="K400" i="2"/>
  <c r="I402" i="2" l="1"/>
  <c r="K401" i="2"/>
  <c r="I403" i="2" l="1"/>
  <c r="K402" i="2"/>
  <c r="I404" i="2" l="1"/>
  <c r="K403" i="2"/>
  <c r="I405" i="2" l="1"/>
  <c r="K404" i="2"/>
  <c r="I406" i="2" l="1"/>
  <c r="K405" i="2"/>
  <c r="I407" i="2" l="1"/>
  <c r="K406" i="2"/>
  <c r="I408" i="2" l="1"/>
  <c r="K407" i="2"/>
  <c r="I409" i="2" l="1"/>
  <c r="K408" i="2"/>
  <c r="I410" i="2" l="1"/>
  <c r="K409" i="2"/>
  <c r="I411" i="2" l="1"/>
  <c r="K410" i="2"/>
  <c r="I412" i="2" l="1"/>
  <c r="K411" i="2"/>
  <c r="I413" i="2" l="1"/>
  <c r="K412" i="2"/>
  <c r="I414" i="2" l="1"/>
  <c r="K413" i="2"/>
  <c r="I415" i="2" l="1"/>
  <c r="K414" i="2"/>
  <c r="I416" i="2" l="1"/>
  <c r="K415" i="2"/>
  <c r="I417" i="2" l="1"/>
  <c r="K416" i="2"/>
  <c r="I418" i="2" l="1"/>
  <c r="K417" i="2"/>
  <c r="I419" i="2" l="1"/>
  <c r="K418" i="2"/>
  <c r="I420" i="2" l="1"/>
  <c r="K419" i="2"/>
  <c r="I421" i="2" l="1"/>
  <c r="K420" i="2"/>
  <c r="I422" i="2" l="1"/>
  <c r="K421" i="2"/>
  <c r="I423" i="2" l="1"/>
  <c r="K422" i="2"/>
  <c r="I424" i="2" l="1"/>
  <c r="K423" i="2"/>
  <c r="I425" i="2" l="1"/>
  <c r="K424" i="2"/>
  <c r="I426" i="2" l="1"/>
  <c r="K425" i="2"/>
  <c r="I427" i="2" l="1"/>
  <c r="K426" i="2"/>
  <c r="I428" i="2" l="1"/>
  <c r="K427" i="2"/>
  <c r="I429" i="2" l="1"/>
  <c r="K428" i="2"/>
  <c r="I430" i="2" l="1"/>
  <c r="K429" i="2"/>
  <c r="I431" i="2" l="1"/>
  <c r="K430" i="2"/>
  <c r="I432" i="2" l="1"/>
  <c r="K431" i="2"/>
  <c r="I433" i="2" l="1"/>
  <c r="K432" i="2"/>
  <c r="I434" i="2" l="1"/>
  <c r="K433" i="2"/>
  <c r="I435" i="2" l="1"/>
  <c r="K434" i="2"/>
  <c r="I436" i="2" l="1"/>
  <c r="K435" i="2"/>
  <c r="I437" i="2" l="1"/>
  <c r="K436" i="2"/>
  <c r="I438" i="2" l="1"/>
  <c r="K437" i="2"/>
  <c r="I439" i="2" l="1"/>
  <c r="K438" i="2"/>
  <c r="I440" i="2" l="1"/>
  <c r="K439" i="2"/>
  <c r="I441" i="2" l="1"/>
  <c r="K440" i="2"/>
  <c r="I442" i="2" l="1"/>
  <c r="K441" i="2"/>
  <c r="I443" i="2" l="1"/>
  <c r="K442" i="2"/>
  <c r="I444" i="2" l="1"/>
  <c r="K443" i="2"/>
  <c r="I445" i="2" l="1"/>
  <c r="K444" i="2"/>
  <c r="I446" i="2" l="1"/>
  <c r="K445" i="2"/>
  <c r="I447" i="2" l="1"/>
  <c r="K446" i="2"/>
  <c r="I448" i="2" l="1"/>
  <c r="K447" i="2"/>
  <c r="I449" i="2" l="1"/>
  <c r="K448" i="2"/>
  <c r="I450" i="2" l="1"/>
  <c r="K449" i="2"/>
  <c r="I451" i="2" l="1"/>
  <c r="K450" i="2"/>
  <c r="I452" i="2" l="1"/>
  <c r="K451" i="2"/>
  <c r="I453" i="2" l="1"/>
  <c r="K452" i="2"/>
  <c r="I454" i="2" l="1"/>
  <c r="K453" i="2"/>
  <c r="I455" i="2" l="1"/>
  <c r="K454" i="2"/>
  <c r="I456" i="2" l="1"/>
  <c r="K455" i="2"/>
  <c r="I457" i="2" l="1"/>
  <c r="K456" i="2"/>
  <c r="I458" i="2" l="1"/>
  <c r="K457" i="2"/>
  <c r="I459" i="2" l="1"/>
  <c r="K458" i="2"/>
  <c r="I460" i="2" l="1"/>
  <c r="K459" i="2"/>
  <c r="I461" i="2" l="1"/>
  <c r="K460" i="2"/>
  <c r="I462" i="2" l="1"/>
  <c r="K461" i="2"/>
  <c r="I463" i="2" l="1"/>
  <c r="K462" i="2"/>
  <c r="I464" i="2" l="1"/>
  <c r="K463" i="2"/>
  <c r="I465" i="2" l="1"/>
  <c r="K464" i="2"/>
  <c r="I466" i="2" l="1"/>
  <c r="K465" i="2"/>
  <c r="I467" i="2" l="1"/>
  <c r="K466" i="2"/>
  <c r="I468" i="2" l="1"/>
  <c r="K467" i="2"/>
  <c r="I469" i="2" l="1"/>
  <c r="K468" i="2"/>
  <c r="I470" i="2" l="1"/>
  <c r="K469" i="2"/>
  <c r="I471" i="2" l="1"/>
  <c r="K470" i="2"/>
  <c r="I472" i="2" l="1"/>
  <c r="K471" i="2"/>
  <c r="I473" i="2" l="1"/>
  <c r="K472" i="2"/>
  <c r="I474" i="2" l="1"/>
  <c r="K473" i="2"/>
  <c r="I475" i="2" l="1"/>
  <c r="K474" i="2"/>
  <c r="I476" i="2" l="1"/>
  <c r="K475" i="2"/>
  <c r="I477" i="2" l="1"/>
  <c r="K476" i="2"/>
  <c r="I478" i="2" l="1"/>
  <c r="K477" i="2"/>
  <c r="I479" i="2" l="1"/>
  <c r="K478" i="2"/>
  <c r="I480" i="2" l="1"/>
  <c r="K479" i="2"/>
  <c r="I481" i="2" l="1"/>
  <c r="K480" i="2"/>
  <c r="I482" i="2" l="1"/>
  <c r="K481" i="2"/>
  <c r="I483" i="2" l="1"/>
  <c r="K482" i="2"/>
  <c r="I484" i="2" l="1"/>
  <c r="K483" i="2"/>
  <c r="I485" i="2" l="1"/>
  <c r="K484" i="2"/>
  <c r="I486" i="2" l="1"/>
  <c r="K485" i="2"/>
  <c r="I487" i="2" l="1"/>
  <c r="K486" i="2"/>
  <c r="I488" i="2" l="1"/>
  <c r="K487" i="2"/>
  <c r="I489" i="2" l="1"/>
  <c r="K488" i="2"/>
  <c r="I490" i="2" l="1"/>
  <c r="K489" i="2"/>
  <c r="I491" i="2" l="1"/>
  <c r="K490" i="2"/>
  <c r="I492" i="2" l="1"/>
  <c r="K491" i="2"/>
  <c r="I493" i="2" l="1"/>
  <c r="K492" i="2"/>
  <c r="I494" i="2" l="1"/>
  <c r="K493" i="2"/>
  <c r="I495" i="2" l="1"/>
  <c r="K494" i="2"/>
  <c r="I496" i="2" l="1"/>
  <c r="K495" i="2"/>
  <c r="I497" i="2" l="1"/>
  <c r="K496" i="2"/>
  <c r="I498" i="2" l="1"/>
  <c r="K497" i="2"/>
  <c r="I499" i="2" l="1"/>
  <c r="K498" i="2"/>
  <c r="I500" i="2" l="1"/>
  <c r="K499" i="2"/>
  <c r="I501" i="2" l="1"/>
  <c r="K500" i="2"/>
  <c r="I502" i="2" l="1"/>
  <c r="K501" i="2"/>
  <c r="I503" i="2" l="1"/>
  <c r="K502" i="2"/>
  <c r="I504" i="2" l="1"/>
  <c r="K503" i="2"/>
  <c r="I505" i="2" l="1"/>
  <c r="K504" i="2"/>
  <c r="I506" i="2" l="1"/>
  <c r="K505" i="2"/>
  <c r="I507" i="2" l="1"/>
  <c r="K506" i="2"/>
  <c r="I508" i="2" l="1"/>
  <c r="K507" i="2"/>
  <c r="I509" i="2" l="1"/>
  <c r="K508" i="2"/>
  <c r="I510" i="2" l="1"/>
  <c r="K509" i="2"/>
  <c r="I511" i="2" l="1"/>
  <c r="K510" i="2"/>
  <c r="I512" i="2" l="1"/>
  <c r="K511" i="2"/>
  <c r="I513" i="2" l="1"/>
  <c r="K512" i="2"/>
  <c r="I514" i="2" l="1"/>
  <c r="K513" i="2"/>
  <c r="I515" i="2" l="1"/>
  <c r="K514" i="2"/>
  <c r="I516" i="2" l="1"/>
  <c r="K515" i="2"/>
  <c r="I517" i="2" l="1"/>
  <c r="K516" i="2"/>
  <c r="I518" i="2" l="1"/>
  <c r="K517" i="2"/>
  <c r="I519" i="2" l="1"/>
  <c r="K518" i="2"/>
  <c r="I520" i="2" l="1"/>
  <c r="K519" i="2"/>
  <c r="I521" i="2" l="1"/>
  <c r="K520" i="2"/>
  <c r="I522" i="2" l="1"/>
  <c r="K521" i="2"/>
  <c r="I523" i="2" l="1"/>
  <c r="K522" i="2"/>
  <c r="I524" i="2" l="1"/>
  <c r="K523" i="2"/>
  <c r="I525" i="2" l="1"/>
  <c r="K524" i="2"/>
  <c r="I526" i="2" l="1"/>
  <c r="K525" i="2"/>
  <c r="I527" i="2" l="1"/>
  <c r="K526" i="2"/>
  <c r="I528" i="2" l="1"/>
  <c r="K527" i="2"/>
  <c r="I529" i="2" l="1"/>
  <c r="K528" i="2"/>
  <c r="I530" i="2" l="1"/>
  <c r="K529" i="2"/>
  <c r="I531" i="2" l="1"/>
  <c r="K530" i="2"/>
  <c r="I532" i="2" l="1"/>
  <c r="K531" i="2"/>
  <c r="I533" i="2" l="1"/>
  <c r="K532" i="2"/>
  <c r="I534" i="2" l="1"/>
  <c r="K533" i="2"/>
  <c r="I535" i="2" l="1"/>
  <c r="K534" i="2"/>
  <c r="I536" i="2" l="1"/>
  <c r="K535" i="2"/>
  <c r="I537" i="2" l="1"/>
  <c r="K536" i="2"/>
  <c r="I538" i="2" l="1"/>
  <c r="K537" i="2"/>
  <c r="I539" i="2" l="1"/>
  <c r="K538" i="2"/>
  <c r="I540" i="2" l="1"/>
  <c r="K539" i="2"/>
  <c r="I541" i="2" l="1"/>
  <c r="K540" i="2"/>
  <c r="I542" i="2" l="1"/>
  <c r="K541" i="2"/>
  <c r="I543" i="2" l="1"/>
  <c r="K542" i="2"/>
  <c r="I544" i="2" l="1"/>
  <c r="K543" i="2"/>
  <c r="I545" i="2" l="1"/>
  <c r="K544" i="2"/>
  <c r="I546" i="2" l="1"/>
  <c r="K545" i="2"/>
  <c r="I547" i="2" l="1"/>
  <c r="K546" i="2"/>
  <c r="I548" i="2" l="1"/>
  <c r="K547" i="2"/>
  <c r="I549" i="2" l="1"/>
  <c r="K548" i="2"/>
  <c r="I550" i="2" l="1"/>
  <c r="K549" i="2"/>
  <c r="I551" i="2" l="1"/>
  <c r="K550" i="2"/>
  <c r="I552" i="2" l="1"/>
  <c r="K551" i="2"/>
  <c r="I553" i="2" l="1"/>
  <c r="K552" i="2"/>
  <c r="I554" i="2" l="1"/>
  <c r="K553" i="2"/>
  <c r="I555" i="2" l="1"/>
  <c r="K554" i="2"/>
  <c r="I556" i="2" l="1"/>
  <c r="K555" i="2"/>
  <c r="I557" i="2" l="1"/>
  <c r="K556" i="2"/>
  <c r="I558" i="2" l="1"/>
  <c r="K557" i="2"/>
  <c r="I559" i="2" l="1"/>
  <c r="K558" i="2"/>
  <c r="I560" i="2" l="1"/>
  <c r="K559" i="2"/>
  <c r="I561" i="2" l="1"/>
  <c r="K560" i="2"/>
  <c r="I562" i="2" l="1"/>
  <c r="K561" i="2"/>
  <c r="I563" i="2" l="1"/>
  <c r="K562" i="2"/>
  <c r="I564" i="2" l="1"/>
  <c r="K563" i="2"/>
  <c r="I565" i="2" l="1"/>
  <c r="K564" i="2"/>
  <c r="I566" i="2" l="1"/>
  <c r="K565" i="2"/>
  <c r="I567" i="2" l="1"/>
  <c r="K566" i="2"/>
  <c r="I568" i="2" l="1"/>
  <c r="K567" i="2"/>
  <c r="I569" i="2" l="1"/>
  <c r="K568" i="2"/>
  <c r="I570" i="2" l="1"/>
  <c r="K569" i="2"/>
  <c r="I571" i="2" l="1"/>
  <c r="K570" i="2"/>
  <c r="I572" i="2" l="1"/>
  <c r="K571" i="2"/>
  <c r="I573" i="2" l="1"/>
  <c r="K572" i="2"/>
  <c r="I574" i="2" l="1"/>
  <c r="K573" i="2"/>
  <c r="I575" i="2" l="1"/>
  <c r="K574" i="2"/>
  <c r="I576" i="2" l="1"/>
  <c r="K575" i="2"/>
  <c r="I577" i="2" l="1"/>
  <c r="K576" i="2"/>
  <c r="I578" i="2" l="1"/>
  <c r="K577" i="2"/>
  <c r="I579" i="2" l="1"/>
  <c r="K578" i="2"/>
  <c r="I580" i="2" l="1"/>
  <c r="K579" i="2"/>
  <c r="I581" i="2" l="1"/>
  <c r="K580" i="2"/>
  <c r="I582" i="2" l="1"/>
  <c r="K581" i="2"/>
  <c r="I583" i="2" l="1"/>
  <c r="K582" i="2"/>
  <c r="I584" i="2" l="1"/>
  <c r="K583" i="2"/>
  <c r="I585" i="2" l="1"/>
  <c r="K584" i="2"/>
  <c r="I586" i="2" l="1"/>
  <c r="K585" i="2"/>
  <c r="I587" i="2" l="1"/>
  <c r="K586" i="2"/>
  <c r="I588" i="2" l="1"/>
  <c r="K587" i="2"/>
  <c r="I589" i="2" l="1"/>
  <c r="K588" i="2"/>
  <c r="I590" i="2" l="1"/>
  <c r="K589" i="2"/>
  <c r="I591" i="2" l="1"/>
  <c r="K590" i="2"/>
  <c r="I592" i="2" l="1"/>
  <c r="K591" i="2"/>
  <c r="I593" i="2" l="1"/>
  <c r="K592" i="2"/>
  <c r="I594" i="2" l="1"/>
  <c r="K593" i="2"/>
  <c r="I595" i="2" l="1"/>
  <c r="K594" i="2"/>
  <c r="I596" i="2" l="1"/>
  <c r="K595" i="2"/>
  <c r="I597" i="2" l="1"/>
  <c r="K596" i="2"/>
  <c r="I598" i="2" l="1"/>
  <c r="K597" i="2"/>
  <c r="I599" i="2" l="1"/>
  <c r="K598" i="2"/>
  <c r="I600" i="2" l="1"/>
  <c r="K599" i="2"/>
  <c r="I601" i="2" l="1"/>
  <c r="K600" i="2"/>
  <c r="I602" i="2" l="1"/>
  <c r="K601" i="2"/>
  <c r="I603" i="2" l="1"/>
  <c r="K602" i="2"/>
  <c r="I604" i="2" l="1"/>
  <c r="K603" i="2"/>
  <c r="I605" i="2" l="1"/>
  <c r="K604" i="2"/>
  <c r="I606" i="2" l="1"/>
  <c r="K605" i="2"/>
  <c r="I607" i="2" l="1"/>
  <c r="K606" i="2"/>
  <c r="I608" i="2" l="1"/>
  <c r="K607" i="2"/>
  <c r="I609" i="2" l="1"/>
  <c r="K608" i="2"/>
  <c r="I610" i="2" l="1"/>
  <c r="K609" i="2"/>
  <c r="I611" i="2" l="1"/>
  <c r="K610" i="2"/>
  <c r="I612" i="2" l="1"/>
  <c r="K611" i="2"/>
  <c r="I613" i="2" l="1"/>
  <c r="K612" i="2"/>
  <c r="I614" i="2" l="1"/>
  <c r="K613" i="2"/>
  <c r="I615" i="2" l="1"/>
  <c r="K614" i="2"/>
  <c r="I616" i="2" l="1"/>
  <c r="K615" i="2"/>
  <c r="I617" i="2" l="1"/>
  <c r="K616" i="2"/>
  <c r="I618" i="2" l="1"/>
  <c r="K617" i="2"/>
  <c r="I619" i="2" l="1"/>
  <c r="K618" i="2"/>
  <c r="I620" i="2" l="1"/>
  <c r="K619" i="2"/>
  <c r="I621" i="2" l="1"/>
  <c r="K620" i="2"/>
  <c r="I622" i="2" l="1"/>
  <c r="K621" i="2"/>
  <c r="I623" i="2" l="1"/>
  <c r="K622" i="2"/>
  <c r="I624" i="2" l="1"/>
  <c r="K623" i="2"/>
  <c r="I625" i="2" l="1"/>
  <c r="K624" i="2"/>
  <c r="I626" i="2" l="1"/>
  <c r="K625" i="2"/>
  <c r="I627" i="2" l="1"/>
  <c r="K626" i="2"/>
  <c r="I628" i="2" l="1"/>
  <c r="K627" i="2"/>
  <c r="I629" i="2" l="1"/>
  <c r="K628" i="2"/>
  <c r="I630" i="2" l="1"/>
  <c r="K629" i="2"/>
  <c r="I631" i="2" l="1"/>
  <c r="K630" i="2"/>
  <c r="I632" i="2" l="1"/>
  <c r="K631" i="2"/>
  <c r="I633" i="2" l="1"/>
  <c r="K632" i="2"/>
  <c r="I634" i="2" l="1"/>
  <c r="K633" i="2"/>
  <c r="I635" i="2" l="1"/>
  <c r="K634" i="2"/>
  <c r="I636" i="2" l="1"/>
  <c r="K635" i="2"/>
  <c r="I637" i="2" l="1"/>
  <c r="K636" i="2"/>
  <c r="I638" i="2" l="1"/>
  <c r="K637" i="2"/>
  <c r="I639" i="2" l="1"/>
  <c r="K638" i="2"/>
  <c r="I640" i="2" l="1"/>
  <c r="K639" i="2"/>
  <c r="I641" i="2" l="1"/>
  <c r="K640" i="2"/>
  <c r="I642" i="2" l="1"/>
  <c r="K641" i="2"/>
  <c r="I643" i="2" l="1"/>
  <c r="K642" i="2"/>
  <c r="I644" i="2" l="1"/>
  <c r="K643" i="2"/>
  <c r="I645" i="2" l="1"/>
  <c r="K644" i="2"/>
  <c r="I646" i="2" l="1"/>
  <c r="K645" i="2"/>
  <c r="I647" i="2" l="1"/>
  <c r="K646" i="2"/>
  <c r="I648" i="2" l="1"/>
  <c r="K647" i="2"/>
  <c r="I649" i="2" l="1"/>
  <c r="K648" i="2"/>
  <c r="I650" i="2" l="1"/>
  <c r="K649" i="2"/>
  <c r="I651" i="2" l="1"/>
  <c r="K650" i="2"/>
  <c r="I652" i="2" l="1"/>
  <c r="K651" i="2"/>
  <c r="I653" i="2" l="1"/>
  <c r="K652" i="2"/>
  <c r="I654" i="2" l="1"/>
  <c r="K653" i="2"/>
  <c r="I655" i="2" l="1"/>
  <c r="K654" i="2"/>
  <c r="I656" i="2" l="1"/>
  <c r="K655" i="2"/>
  <c r="I657" i="2" l="1"/>
  <c r="K656" i="2"/>
  <c r="I658" i="2" l="1"/>
  <c r="K657" i="2"/>
  <c r="I659" i="2" l="1"/>
  <c r="K658" i="2"/>
  <c r="I660" i="2" l="1"/>
  <c r="K659" i="2"/>
  <c r="I661" i="2" l="1"/>
  <c r="K660" i="2"/>
  <c r="I662" i="2" l="1"/>
  <c r="K661" i="2"/>
  <c r="I663" i="2" l="1"/>
  <c r="K662" i="2"/>
  <c r="I664" i="2" l="1"/>
  <c r="K663" i="2"/>
  <c r="I665" i="2" l="1"/>
  <c r="K664" i="2"/>
  <c r="I666" i="2" l="1"/>
  <c r="K665" i="2"/>
  <c r="I667" i="2" l="1"/>
  <c r="K666" i="2"/>
  <c r="I668" i="2" l="1"/>
  <c r="K667" i="2"/>
  <c r="I669" i="2" l="1"/>
  <c r="K668" i="2"/>
  <c r="I670" i="2" l="1"/>
  <c r="K669" i="2"/>
  <c r="I671" i="2" l="1"/>
  <c r="K670" i="2"/>
  <c r="I672" i="2" l="1"/>
  <c r="K671" i="2"/>
  <c r="I673" i="2" l="1"/>
  <c r="K672" i="2"/>
  <c r="I674" i="2" l="1"/>
  <c r="K673" i="2"/>
  <c r="I675" i="2" l="1"/>
  <c r="K674" i="2"/>
  <c r="I676" i="2" l="1"/>
  <c r="K675" i="2"/>
  <c r="I677" i="2" l="1"/>
  <c r="K676" i="2"/>
  <c r="I678" i="2" l="1"/>
  <c r="K677" i="2"/>
  <c r="I679" i="2" l="1"/>
  <c r="K678" i="2"/>
  <c r="I680" i="2" l="1"/>
  <c r="K679" i="2"/>
  <c r="I681" i="2" l="1"/>
  <c r="K680" i="2"/>
  <c r="I682" i="2" l="1"/>
  <c r="K681" i="2"/>
  <c r="I683" i="2" l="1"/>
  <c r="K682" i="2"/>
  <c r="I684" i="2" l="1"/>
  <c r="K683" i="2"/>
  <c r="I685" i="2" l="1"/>
  <c r="K684" i="2"/>
  <c r="I686" i="2" l="1"/>
  <c r="K685" i="2"/>
  <c r="I687" i="2" l="1"/>
  <c r="K686" i="2"/>
  <c r="I688" i="2" l="1"/>
  <c r="K687" i="2"/>
  <c r="I689" i="2" l="1"/>
  <c r="K688" i="2"/>
  <c r="I690" i="2" l="1"/>
  <c r="K689" i="2"/>
  <c r="I691" i="2" l="1"/>
  <c r="K690" i="2"/>
  <c r="I692" i="2" l="1"/>
  <c r="K691" i="2"/>
  <c r="I693" i="2" l="1"/>
  <c r="K692" i="2"/>
  <c r="I694" i="2" l="1"/>
  <c r="K693" i="2"/>
  <c r="I695" i="2" l="1"/>
  <c r="K694" i="2"/>
  <c r="I696" i="2" l="1"/>
  <c r="K695" i="2"/>
  <c r="I697" i="2" l="1"/>
  <c r="K696" i="2"/>
  <c r="I698" i="2" l="1"/>
  <c r="K697" i="2"/>
  <c r="I699" i="2" l="1"/>
  <c r="K698" i="2"/>
  <c r="I700" i="2" l="1"/>
  <c r="K699" i="2"/>
  <c r="I701" i="2" l="1"/>
  <c r="K700" i="2"/>
  <c r="I702" i="2" l="1"/>
  <c r="K701" i="2"/>
  <c r="I703" i="2" l="1"/>
  <c r="K702" i="2"/>
  <c r="I704" i="2" l="1"/>
  <c r="K703" i="2"/>
  <c r="I705" i="2" l="1"/>
  <c r="K704" i="2"/>
  <c r="I706" i="2" l="1"/>
  <c r="K705" i="2"/>
  <c r="I707" i="2" l="1"/>
  <c r="K706" i="2"/>
  <c r="I708" i="2" l="1"/>
  <c r="K707" i="2"/>
  <c r="I709" i="2" l="1"/>
  <c r="K708" i="2"/>
  <c r="I710" i="2" l="1"/>
  <c r="K709" i="2"/>
  <c r="I711" i="2" l="1"/>
  <c r="K710" i="2"/>
  <c r="I712" i="2" l="1"/>
  <c r="K711" i="2"/>
  <c r="I713" i="2" l="1"/>
  <c r="K712" i="2"/>
  <c r="I714" i="2" l="1"/>
  <c r="K713" i="2"/>
  <c r="I715" i="2" l="1"/>
  <c r="K714" i="2"/>
  <c r="I716" i="2" l="1"/>
  <c r="K715" i="2"/>
  <c r="I717" i="2" l="1"/>
  <c r="K716" i="2"/>
  <c r="I718" i="2" l="1"/>
  <c r="K717" i="2"/>
  <c r="I719" i="2" l="1"/>
  <c r="K718" i="2"/>
  <c r="I720" i="2" l="1"/>
  <c r="K719" i="2"/>
  <c r="I721" i="2" l="1"/>
  <c r="K720" i="2"/>
  <c r="I722" i="2" l="1"/>
  <c r="K721" i="2"/>
  <c r="I723" i="2" l="1"/>
  <c r="K722" i="2"/>
  <c r="I724" i="2" l="1"/>
  <c r="K723" i="2"/>
  <c r="I725" i="2" l="1"/>
  <c r="K724" i="2"/>
  <c r="I726" i="2" l="1"/>
  <c r="K725" i="2"/>
  <c r="I727" i="2" l="1"/>
  <c r="K726" i="2"/>
  <c r="I728" i="2" l="1"/>
  <c r="K727" i="2"/>
  <c r="I729" i="2" l="1"/>
  <c r="K728" i="2"/>
  <c r="I730" i="2" l="1"/>
  <c r="K729" i="2"/>
  <c r="I731" i="2" l="1"/>
  <c r="K730" i="2"/>
  <c r="I732" i="2" l="1"/>
  <c r="K731" i="2"/>
  <c r="I733" i="2" l="1"/>
  <c r="K732" i="2"/>
  <c r="I734" i="2" l="1"/>
  <c r="K733" i="2"/>
  <c r="I735" i="2" l="1"/>
  <c r="K734" i="2"/>
  <c r="I736" i="2" l="1"/>
  <c r="K735" i="2"/>
  <c r="I737" i="2" l="1"/>
  <c r="K736" i="2"/>
  <c r="I738" i="2" l="1"/>
  <c r="K737" i="2"/>
  <c r="I739" i="2" l="1"/>
  <c r="K738" i="2"/>
  <c r="I740" i="2" l="1"/>
  <c r="K739" i="2"/>
  <c r="I741" i="2" l="1"/>
  <c r="K740" i="2"/>
  <c r="I742" i="2" l="1"/>
  <c r="K741" i="2"/>
  <c r="I743" i="2" l="1"/>
  <c r="K742" i="2"/>
  <c r="I744" i="2" l="1"/>
  <c r="K743" i="2"/>
  <c r="I745" i="2" l="1"/>
  <c r="K744" i="2"/>
  <c r="I746" i="2" l="1"/>
  <c r="K745" i="2"/>
  <c r="I747" i="2" l="1"/>
  <c r="K746" i="2"/>
  <c r="I748" i="2" l="1"/>
  <c r="K747" i="2"/>
  <c r="I749" i="2" l="1"/>
  <c r="K748" i="2"/>
  <c r="I750" i="2" l="1"/>
  <c r="K749" i="2"/>
  <c r="I751" i="2" l="1"/>
  <c r="K750" i="2"/>
  <c r="I752" i="2" l="1"/>
  <c r="K751" i="2"/>
  <c r="I753" i="2" l="1"/>
  <c r="K752" i="2"/>
  <c r="I754" i="2" l="1"/>
  <c r="K753" i="2"/>
  <c r="I755" i="2" l="1"/>
  <c r="K754" i="2"/>
  <c r="I756" i="2" l="1"/>
  <c r="K755" i="2"/>
  <c r="I757" i="2" l="1"/>
  <c r="K756" i="2"/>
  <c r="I758" i="2" l="1"/>
  <c r="K757" i="2"/>
  <c r="I759" i="2" l="1"/>
  <c r="K758" i="2"/>
  <c r="I760" i="2" l="1"/>
  <c r="K759" i="2"/>
  <c r="I761" i="2" l="1"/>
  <c r="K760" i="2"/>
  <c r="I762" i="2" l="1"/>
  <c r="K761" i="2"/>
  <c r="I763" i="2" l="1"/>
  <c r="K762" i="2"/>
  <c r="I764" i="2" l="1"/>
  <c r="K763" i="2"/>
  <c r="I765" i="2" l="1"/>
  <c r="K764" i="2"/>
  <c r="I766" i="2" l="1"/>
  <c r="K765" i="2"/>
  <c r="I767" i="2" l="1"/>
  <c r="K766" i="2"/>
  <c r="I768" i="2" l="1"/>
  <c r="K767" i="2"/>
  <c r="I769" i="2" l="1"/>
  <c r="K768" i="2"/>
  <c r="I770" i="2" l="1"/>
  <c r="K769" i="2"/>
  <c r="I771" i="2" l="1"/>
  <c r="K770" i="2"/>
  <c r="I772" i="2" l="1"/>
  <c r="K771" i="2"/>
  <c r="I773" i="2" l="1"/>
  <c r="K772" i="2"/>
  <c r="I774" i="2" l="1"/>
  <c r="K773" i="2"/>
  <c r="I775" i="2" l="1"/>
  <c r="K774" i="2"/>
  <c r="I776" i="2" l="1"/>
  <c r="K775" i="2"/>
  <c r="I777" i="2" l="1"/>
  <c r="K776" i="2"/>
  <c r="I778" i="2" l="1"/>
  <c r="K777" i="2"/>
  <c r="I779" i="2" l="1"/>
  <c r="K778" i="2"/>
  <c r="I780" i="2" l="1"/>
  <c r="K779" i="2"/>
  <c r="I781" i="2" l="1"/>
  <c r="K780" i="2"/>
  <c r="I782" i="2" l="1"/>
  <c r="K781" i="2"/>
  <c r="I783" i="2" l="1"/>
  <c r="K782" i="2"/>
  <c r="I784" i="2" l="1"/>
  <c r="K783" i="2"/>
  <c r="I785" i="2" l="1"/>
  <c r="K784" i="2"/>
  <c r="I786" i="2" l="1"/>
  <c r="K785" i="2"/>
  <c r="I787" i="2" l="1"/>
  <c r="K786" i="2"/>
  <c r="I788" i="2" l="1"/>
  <c r="K787" i="2"/>
  <c r="I789" i="2" l="1"/>
  <c r="K788" i="2"/>
  <c r="I790" i="2" l="1"/>
  <c r="K789" i="2"/>
  <c r="I791" i="2" l="1"/>
  <c r="K790" i="2"/>
  <c r="I792" i="2" l="1"/>
  <c r="K791" i="2"/>
  <c r="I793" i="2" l="1"/>
  <c r="K792" i="2"/>
  <c r="I794" i="2" l="1"/>
  <c r="K793" i="2"/>
  <c r="I795" i="2" l="1"/>
  <c r="K794" i="2"/>
  <c r="I796" i="2" l="1"/>
  <c r="K795" i="2"/>
  <c r="I797" i="2" l="1"/>
  <c r="K796" i="2"/>
  <c r="I798" i="2" l="1"/>
  <c r="K797" i="2"/>
  <c r="I799" i="2" l="1"/>
  <c r="K798" i="2"/>
  <c r="I800" i="2" l="1"/>
  <c r="K799" i="2"/>
  <c r="I801" i="2" l="1"/>
  <c r="K800" i="2"/>
  <c r="I802" i="2" l="1"/>
  <c r="K801" i="2"/>
  <c r="I803" i="2" l="1"/>
  <c r="K802" i="2"/>
  <c r="I804" i="2" l="1"/>
  <c r="K803" i="2"/>
  <c r="I805" i="2" l="1"/>
  <c r="K804" i="2"/>
  <c r="I806" i="2" l="1"/>
  <c r="K805" i="2"/>
  <c r="I807" i="2" l="1"/>
  <c r="K806" i="2"/>
  <c r="I808" i="2" l="1"/>
  <c r="K807" i="2"/>
  <c r="I809" i="2" l="1"/>
  <c r="K808" i="2"/>
  <c r="I810" i="2" l="1"/>
  <c r="K809" i="2"/>
  <c r="I811" i="2" l="1"/>
  <c r="K810" i="2"/>
  <c r="I812" i="2" l="1"/>
  <c r="K811" i="2"/>
  <c r="I813" i="2" l="1"/>
  <c r="K812" i="2"/>
  <c r="I814" i="2" l="1"/>
  <c r="K813" i="2"/>
  <c r="I815" i="2" l="1"/>
  <c r="K814" i="2"/>
  <c r="I816" i="2" l="1"/>
  <c r="K815" i="2"/>
  <c r="I817" i="2" l="1"/>
  <c r="K816" i="2"/>
  <c r="I818" i="2" l="1"/>
  <c r="K817" i="2"/>
  <c r="I819" i="2" l="1"/>
  <c r="K818" i="2"/>
  <c r="I820" i="2" l="1"/>
  <c r="K819" i="2"/>
  <c r="I821" i="2" l="1"/>
  <c r="K820" i="2"/>
  <c r="I822" i="2" l="1"/>
  <c r="K821" i="2"/>
  <c r="I823" i="2" l="1"/>
  <c r="K822" i="2"/>
  <c r="I824" i="2" l="1"/>
  <c r="K823" i="2"/>
  <c r="I825" i="2" l="1"/>
  <c r="K824" i="2"/>
  <c r="I826" i="2" l="1"/>
  <c r="K825" i="2"/>
  <c r="I827" i="2" l="1"/>
  <c r="K826" i="2"/>
  <c r="I828" i="2" l="1"/>
  <c r="K827" i="2"/>
  <c r="I829" i="2" l="1"/>
  <c r="K828" i="2"/>
  <c r="I830" i="2" l="1"/>
  <c r="K829" i="2"/>
  <c r="I831" i="2" l="1"/>
  <c r="K830" i="2"/>
  <c r="I832" i="2" l="1"/>
  <c r="K831" i="2"/>
  <c r="I833" i="2" l="1"/>
  <c r="K832" i="2"/>
  <c r="I834" i="2" l="1"/>
  <c r="K833" i="2"/>
  <c r="I835" i="2" l="1"/>
  <c r="K834" i="2"/>
  <c r="I836" i="2" l="1"/>
  <c r="K835" i="2"/>
  <c r="I837" i="2" l="1"/>
  <c r="K836" i="2"/>
  <c r="I838" i="2" l="1"/>
  <c r="K837" i="2"/>
  <c r="I839" i="2" l="1"/>
  <c r="K838" i="2"/>
  <c r="I840" i="2" l="1"/>
  <c r="K839" i="2"/>
  <c r="I841" i="2" l="1"/>
  <c r="K840" i="2"/>
  <c r="I842" i="2" l="1"/>
  <c r="K841" i="2"/>
  <c r="I843" i="2" l="1"/>
  <c r="K842" i="2"/>
  <c r="I844" i="2" l="1"/>
  <c r="K843" i="2"/>
  <c r="I845" i="2" l="1"/>
  <c r="K844" i="2"/>
  <c r="I846" i="2" l="1"/>
  <c r="K845" i="2"/>
  <c r="I847" i="2" l="1"/>
  <c r="K846" i="2"/>
  <c r="I848" i="2" l="1"/>
  <c r="K847" i="2"/>
  <c r="I849" i="2" l="1"/>
  <c r="K848" i="2"/>
  <c r="I850" i="2" l="1"/>
  <c r="K849" i="2"/>
  <c r="I851" i="2" l="1"/>
  <c r="K850" i="2"/>
  <c r="I852" i="2" l="1"/>
  <c r="K851" i="2"/>
  <c r="I853" i="2" l="1"/>
  <c r="K852" i="2"/>
  <c r="I854" i="2" l="1"/>
  <c r="K853" i="2"/>
  <c r="I855" i="2" l="1"/>
  <c r="K854" i="2"/>
  <c r="I856" i="2" l="1"/>
  <c r="K855" i="2"/>
  <c r="I857" i="2" l="1"/>
  <c r="K856" i="2"/>
  <c r="I858" i="2" l="1"/>
  <c r="K857" i="2"/>
  <c r="I859" i="2" l="1"/>
  <c r="K858" i="2"/>
  <c r="I860" i="2" l="1"/>
  <c r="K859" i="2"/>
  <c r="I861" i="2" l="1"/>
  <c r="K860" i="2"/>
  <c r="I862" i="2" l="1"/>
  <c r="K861" i="2"/>
  <c r="I863" i="2" l="1"/>
  <c r="K862" i="2"/>
  <c r="I864" i="2" l="1"/>
  <c r="K863" i="2"/>
  <c r="I865" i="2" l="1"/>
  <c r="K864" i="2"/>
  <c r="I866" i="2" l="1"/>
  <c r="K865" i="2"/>
  <c r="I867" i="2" l="1"/>
  <c r="K866" i="2"/>
  <c r="I868" i="2" l="1"/>
  <c r="K867" i="2"/>
  <c r="I869" i="2" l="1"/>
  <c r="K868" i="2"/>
  <c r="I870" i="2" l="1"/>
  <c r="K869" i="2"/>
  <c r="I871" i="2" l="1"/>
  <c r="K870" i="2"/>
  <c r="I872" i="2" l="1"/>
  <c r="K871" i="2"/>
  <c r="I873" i="2" l="1"/>
  <c r="K872" i="2"/>
  <c r="I874" i="2" l="1"/>
  <c r="K873" i="2"/>
  <c r="I875" i="2" l="1"/>
  <c r="K874" i="2"/>
  <c r="I876" i="2" l="1"/>
  <c r="K875" i="2"/>
  <c r="I877" i="2" l="1"/>
  <c r="K876" i="2"/>
  <c r="I878" i="2" l="1"/>
  <c r="K877" i="2"/>
  <c r="I879" i="2" l="1"/>
  <c r="K878" i="2"/>
  <c r="I880" i="2" l="1"/>
  <c r="K879" i="2"/>
  <c r="I881" i="2" l="1"/>
  <c r="K880" i="2"/>
  <c r="I882" i="2" l="1"/>
  <c r="K881" i="2"/>
  <c r="I883" i="2" l="1"/>
  <c r="K882" i="2"/>
  <c r="I884" i="2" l="1"/>
  <c r="K883" i="2"/>
  <c r="I885" i="2" l="1"/>
  <c r="K884" i="2"/>
  <c r="I886" i="2" l="1"/>
  <c r="K885" i="2"/>
  <c r="I887" i="2" l="1"/>
  <c r="K886" i="2"/>
  <c r="I888" i="2" l="1"/>
  <c r="K887" i="2"/>
  <c r="I889" i="2" l="1"/>
  <c r="K888" i="2"/>
  <c r="I890" i="2" l="1"/>
  <c r="K889" i="2"/>
  <c r="I891" i="2" l="1"/>
  <c r="K890" i="2"/>
  <c r="I892" i="2" l="1"/>
  <c r="K891" i="2"/>
  <c r="I893" i="2" l="1"/>
  <c r="K892" i="2"/>
  <c r="I894" i="2" l="1"/>
  <c r="K893" i="2"/>
  <c r="I895" i="2" l="1"/>
  <c r="K894" i="2"/>
  <c r="I896" i="2" l="1"/>
  <c r="K895" i="2"/>
  <c r="I897" i="2" l="1"/>
  <c r="K896" i="2"/>
  <c r="I898" i="2" l="1"/>
  <c r="K897" i="2"/>
  <c r="I899" i="2" l="1"/>
  <c r="K898" i="2"/>
  <c r="I900" i="2" l="1"/>
  <c r="K899" i="2"/>
  <c r="I901" i="2" l="1"/>
  <c r="K900" i="2"/>
  <c r="I902" i="2" l="1"/>
  <c r="K901" i="2"/>
  <c r="I903" i="2" l="1"/>
  <c r="K902" i="2"/>
  <c r="I904" i="2" l="1"/>
  <c r="K903" i="2"/>
  <c r="I905" i="2" l="1"/>
  <c r="K904" i="2"/>
  <c r="I906" i="2" l="1"/>
  <c r="K905" i="2"/>
  <c r="I907" i="2" l="1"/>
  <c r="K906" i="2"/>
  <c r="I908" i="2" l="1"/>
  <c r="K907" i="2"/>
  <c r="I909" i="2" l="1"/>
  <c r="K908" i="2"/>
  <c r="I910" i="2" l="1"/>
  <c r="K909" i="2"/>
  <c r="I911" i="2" l="1"/>
  <c r="K910" i="2"/>
  <c r="I912" i="2" l="1"/>
  <c r="K911" i="2"/>
  <c r="I913" i="2" l="1"/>
  <c r="K912" i="2"/>
  <c r="I914" i="2" l="1"/>
  <c r="K913" i="2"/>
  <c r="I915" i="2" l="1"/>
  <c r="K914" i="2"/>
  <c r="I916" i="2" l="1"/>
  <c r="K915" i="2"/>
  <c r="I917" i="2" l="1"/>
  <c r="K916" i="2"/>
  <c r="I918" i="2" l="1"/>
  <c r="K917" i="2"/>
  <c r="I919" i="2" l="1"/>
  <c r="K918" i="2"/>
  <c r="I920" i="2" l="1"/>
  <c r="K919" i="2"/>
  <c r="I921" i="2" l="1"/>
  <c r="K920" i="2"/>
  <c r="I922" i="2" l="1"/>
  <c r="K921" i="2"/>
  <c r="I923" i="2" l="1"/>
  <c r="K922" i="2"/>
  <c r="I924" i="2" l="1"/>
  <c r="K923" i="2"/>
  <c r="I925" i="2" l="1"/>
  <c r="K924" i="2"/>
  <c r="I926" i="2" l="1"/>
  <c r="K925" i="2"/>
  <c r="I927" i="2" l="1"/>
  <c r="K926" i="2"/>
  <c r="I928" i="2" l="1"/>
  <c r="K927" i="2"/>
  <c r="I929" i="2" l="1"/>
  <c r="K928" i="2"/>
  <c r="I930" i="2" l="1"/>
  <c r="K929" i="2"/>
  <c r="I931" i="2" l="1"/>
  <c r="K930" i="2"/>
  <c r="I932" i="2" l="1"/>
  <c r="K931" i="2"/>
  <c r="I933" i="2" l="1"/>
  <c r="K932" i="2"/>
  <c r="I934" i="2" l="1"/>
  <c r="K933" i="2"/>
  <c r="I935" i="2" l="1"/>
  <c r="K934" i="2"/>
  <c r="I936" i="2" l="1"/>
  <c r="K935" i="2"/>
  <c r="I937" i="2" l="1"/>
  <c r="K936" i="2"/>
  <c r="I938" i="2" l="1"/>
  <c r="K937" i="2"/>
  <c r="I939" i="2" l="1"/>
  <c r="K938" i="2"/>
  <c r="I940" i="2" l="1"/>
  <c r="K939" i="2"/>
  <c r="I941" i="2" l="1"/>
  <c r="K940" i="2"/>
  <c r="I942" i="2" l="1"/>
  <c r="K941" i="2"/>
  <c r="I943" i="2" l="1"/>
  <c r="K942" i="2"/>
  <c r="I944" i="2" l="1"/>
  <c r="K943" i="2"/>
  <c r="I945" i="2" l="1"/>
  <c r="K944" i="2"/>
  <c r="I946" i="2" l="1"/>
  <c r="K945" i="2"/>
  <c r="I947" i="2" l="1"/>
  <c r="K946" i="2"/>
  <c r="I948" i="2" l="1"/>
  <c r="K947" i="2"/>
  <c r="I949" i="2" l="1"/>
  <c r="K948" i="2"/>
  <c r="I950" i="2" l="1"/>
  <c r="K949" i="2"/>
  <c r="I951" i="2" l="1"/>
  <c r="K950" i="2"/>
  <c r="I952" i="2" l="1"/>
  <c r="K951" i="2"/>
  <c r="I953" i="2" l="1"/>
  <c r="K952" i="2"/>
  <c r="I954" i="2" l="1"/>
  <c r="K953" i="2"/>
  <c r="I955" i="2" l="1"/>
  <c r="K954" i="2"/>
  <c r="I956" i="2" l="1"/>
  <c r="K955" i="2"/>
  <c r="I957" i="2" l="1"/>
  <c r="K956" i="2"/>
  <c r="I958" i="2" l="1"/>
  <c r="K957" i="2"/>
  <c r="I959" i="2" l="1"/>
  <c r="K958" i="2"/>
  <c r="I960" i="2" l="1"/>
  <c r="K959" i="2"/>
  <c r="I961" i="2" l="1"/>
  <c r="K960" i="2"/>
  <c r="I962" i="2" l="1"/>
  <c r="K961" i="2"/>
  <c r="I963" i="2" l="1"/>
  <c r="K962" i="2"/>
  <c r="I964" i="2" l="1"/>
  <c r="K963" i="2"/>
  <c r="I965" i="2" l="1"/>
  <c r="K964" i="2"/>
  <c r="I966" i="2" l="1"/>
  <c r="K965" i="2"/>
  <c r="I967" i="2" l="1"/>
  <c r="K966" i="2"/>
  <c r="I968" i="2" l="1"/>
  <c r="K967" i="2"/>
  <c r="I969" i="2" l="1"/>
  <c r="K968" i="2"/>
  <c r="I970" i="2" l="1"/>
  <c r="K969" i="2"/>
  <c r="I971" i="2" l="1"/>
  <c r="K970" i="2"/>
  <c r="I972" i="2" l="1"/>
  <c r="K971" i="2"/>
  <c r="I973" i="2" l="1"/>
  <c r="K972" i="2"/>
  <c r="I974" i="2" l="1"/>
  <c r="K973" i="2"/>
  <c r="I975" i="2" l="1"/>
  <c r="K974" i="2"/>
  <c r="I976" i="2" l="1"/>
  <c r="K975" i="2"/>
  <c r="I977" i="2" l="1"/>
  <c r="K976" i="2"/>
  <c r="I978" i="2" l="1"/>
  <c r="K977" i="2"/>
  <c r="I979" i="2" l="1"/>
  <c r="K978" i="2"/>
  <c r="I980" i="2" l="1"/>
  <c r="K979" i="2"/>
  <c r="I981" i="2" l="1"/>
  <c r="K980" i="2"/>
  <c r="I982" i="2" l="1"/>
  <c r="K981" i="2"/>
  <c r="I983" i="2" l="1"/>
  <c r="K982" i="2"/>
  <c r="I984" i="2" l="1"/>
  <c r="K983" i="2"/>
  <c r="I985" i="2" l="1"/>
  <c r="K984" i="2"/>
  <c r="I986" i="2" l="1"/>
  <c r="K985" i="2"/>
  <c r="I987" i="2" l="1"/>
  <c r="K986" i="2"/>
  <c r="I988" i="2" l="1"/>
  <c r="K987" i="2"/>
  <c r="I989" i="2" l="1"/>
  <c r="K988" i="2"/>
  <c r="I990" i="2" l="1"/>
  <c r="K989" i="2"/>
  <c r="I991" i="2" l="1"/>
  <c r="K990" i="2"/>
  <c r="I992" i="2" l="1"/>
  <c r="K991" i="2"/>
  <c r="I993" i="2" l="1"/>
  <c r="K992" i="2"/>
  <c r="I994" i="2" l="1"/>
  <c r="K993" i="2"/>
  <c r="I995" i="2" l="1"/>
  <c r="K994" i="2"/>
  <c r="I996" i="2" l="1"/>
  <c r="K995" i="2"/>
  <c r="I997" i="2" l="1"/>
  <c r="K996" i="2"/>
  <c r="I998" i="2" l="1"/>
  <c r="K997" i="2"/>
  <c r="I999" i="2" l="1"/>
  <c r="K998" i="2"/>
  <c r="I1000" i="2" l="1"/>
  <c r="K999" i="2"/>
  <c r="I1001" i="2" l="1"/>
  <c r="K1000" i="2"/>
  <c r="I1002" i="2" l="1"/>
  <c r="K1001" i="2"/>
  <c r="I1003" i="2" l="1"/>
  <c r="K1002" i="2"/>
  <c r="I1004" i="2" l="1"/>
  <c r="K1003" i="2"/>
  <c r="I1005" i="2" l="1"/>
  <c r="K1004" i="2"/>
  <c r="I1006" i="2" l="1"/>
  <c r="K1005" i="2"/>
  <c r="I1007" i="2" l="1"/>
  <c r="K1006" i="2"/>
  <c r="I1008" i="2" l="1"/>
  <c r="K1007" i="2"/>
  <c r="I1009" i="2" l="1"/>
  <c r="K1008" i="2"/>
  <c r="I1010" i="2" l="1"/>
  <c r="K1009" i="2"/>
  <c r="I1011" i="2" l="1"/>
  <c r="K1010" i="2"/>
  <c r="I1012" i="2" l="1"/>
  <c r="K1011" i="2"/>
  <c r="I1013" i="2" l="1"/>
  <c r="K1012" i="2"/>
  <c r="I1014" i="2" l="1"/>
  <c r="K1013" i="2"/>
  <c r="I1015" i="2" l="1"/>
  <c r="K1014" i="2"/>
  <c r="I1016" i="2" l="1"/>
  <c r="K1015" i="2"/>
  <c r="I1017" i="2" l="1"/>
  <c r="K1016" i="2"/>
  <c r="I1018" i="2" l="1"/>
  <c r="K1017" i="2"/>
  <c r="I1019" i="2" l="1"/>
  <c r="K1018" i="2"/>
  <c r="I1020" i="2" l="1"/>
  <c r="K1019" i="2"/>
  <c r="I1021" i="2" l="1"/>
  <c r="K1020" i="2"/>
  <c r="I1022" i="2" l="1"/>
  <c r="K1021" i="2"/>
  <c r="I1023" i="2" l="1"/>
  <c r="K1022" i="2"/>
  <c r="I1024" i="2" l="1"/>
  <c r="K1023" i="2"/>
  <c r="I1025" i="2" l="1"/>
  <c r="K1024" i="2"/>
  <c r="I1026" i="2" l="1"/>
  <c r="K1025" i="2"/>
  <c r="I1027" i="2" l="1"/>
  <c r="K1026" i="2"/>
  <c r="I1028" i="2" l="1"/>
  <c r="K1027" i="2"/>
  <c r="I1029" i="2" l="1"/>
  <c r="K1028" i="2"/>
  <c r="I1030" i="2" l="1"/>
  <c r="K1029" i="2"/>
  <c r="I1031" i="2" l="1"/>
  <c r="K1030" i="2"/>
  <c r="I1032" i="2" l="1"/>
  <c r="K1031" i="2"/>
  <c r="I1033" i="2" l="1"/>
  <c r="K1032" i="2"/>
  <c r="I1034" i="2" l="1"/>
  <c r="K1033" i="2"/>
  <c r="I1035" i="2" l="1"/>
  <c r="K1034" i="2"/>
  <c r="I1036" i="2" l="1"/>
  <c r="K1035" i="2"/>
  <c r="I1037" i="2" l="1"/>
  <c r="K1036" i="2"/>
  <c r="I1038" i="2" l="1"/>
  <c r="K1037" i="2"/>
  <c r="I1039" i="2" l="1"/>
  <c r="K1038" i="2"/>
  <c r="I1040" i="2" l="1"/>
  <c r="K1039" i="2"/>
  <c r="I1041" i="2" l="1"/>
  <c r="K1040" i="2"/>
  <c r="I1042" i="2" l="1"/>
  <c r="K1041" i="2"/>
  <c r="I1043" i="2" l="1"/>
  <c r="K1042" i="2"/>
  <c r="I1044" i="2" l="1"/>
  <c r="K1043" i="2"/>
  <c r="I1045" i="2" l="1"/>
  <c r="K1044" i="2"/>
  <c r="I1046" i="2" l="1"/>
  <c r="K1045" i="2"/>
  <c r="I1047" i="2" l="1"/>
  <c r="K1046" i="2"/>
  <c r="I1048" i="2" l="1"/>
  <c r="K1047" i="2"/>
  <c r="I1049" i="2" l="1"/>
  <c r="K1048" i="2"/>
  <c r="I1050" i="2" l="1"/>
  <c r="K1049" i="2"/>
  <c r="I1051" i="2" l="1"/>
  <c r="K1050" i="2"/>
  <c r="I1052" i="2" l="1"/>
  <c r="K1051" i="2"/>
  <c r="I1053" i="2" l="1"/>
  <c r="K1052" i="2"/>
  <c r="I1054" i="2" l="1"/>
  <c r="K1053" i="2"/>
  <c r="I1055" i="2" l="1"/>
  <c r="K1054" i="2"/>
  <c r="I1056" i="2" l="1"/>
  <c r="K1055" i="2"/>
  <c r="I1057" i="2" l="1"/>
  <c r="K1056" i="2"/>
  <c r="I1058" i="2" l="1"/>
  <c r="K1057" i="2"/>
  <c r="I1059" i="2" l="1"/>
  <c r="K1058" i="2"/>
  <c r="I1060" i="2" l="1"/>
  <c r="K1059" i="2"/>
  <c r="I1061" i="2" l="1"/>
  <c r="K1060" i="2"/>
  <c r="I1062" i="2" l="1"/>
  <c r="K1061" i="2"/>
  <c r="I1063" i="2" l="1"/>
  <c r="K1062" i="2"/>
  <c r="I1064" i="2" l="1"/>
  <c r="K1063" i="2"/>
  <c r="I1065" i="2" l="1"/>
  <c r="K1064" i="2"/>
  <c r="I1066" i="2" l="1"/>
  <c r="K1065" i="2"/>
  <c r="I1067" i="2" l="1"/>
  <c r="K1066" i="2"/>
  <c r="I1068" i="2" l="1"/>
  <c r="K1067" i="2"/>
  <c r="I1069" i="2" l="1"/>
  <c r="K1068" i="2"/>
  <c r="I1070" i="2" l="1"/>
  <c r="K1069" i="2"/>
  <c r="I1071" i="2" l="1"/>
  <c r="K1070" i="2"/>
  <c r="I1072" i="2" l="1"/>
  <c r="K1071" i="2"/>
  <c r="I1073" i="2" l="1"/>
  <c r="K1072" i="2"/>
  <c r="I1074" i="2" l="1"/>
  <c r="K1073" i="2"/>
  <c r="I1075" i="2" l="1"/>
  <c r="K1074" i="2"/>
  <c r="I1076" i="2" l="1"/>
  <c r="K1075" i="2"/>
  <c r="I1077" i="2" l="1"/>
  <c r="K1076" i="2"/>
  <c r="I1078" i="2" l="1"/>
  <c r="K1077" i="2"/>
  <c r="I1079" i="2" l="1"/>
  <c r="K1078" i="2"/>
  <c r="I1080" i="2" l="1"/>
  <c r="K1079" i="2"/>
  <c r="I1081" i="2" l="1"/>
  <c r="K1080" i="2"/>
  <c r="I1082" i="2" l="1"/>
  <c r="K1081" i="2"/>
  <c r="I1083" i="2" l="1"/>
  <c r="K1082" i="2"/>
  <c r="I1084" i="2" l="1"/>
  <c r="K1083" i="2"/>
  <c r="I1085" i="2" l="1"/>
  <c r="K1084" i="2"/>
  <c r="I1086" i="2" l="1"/>
  <c r="K1085" i="2"/>
  <c r="I1087" i="2" l="1"/>
  <c r="K1086" i="2"/>
  <c r="I1088" i="2" l="1"/>
  <c r="K1087" i="2"/>
  <c r="I1089" i="2" l="1"/>
  <c r="K1088" i="2"/>
  <c r="I1090" i="2" l="1"/>
  <c r="K1089" i="2"/>
  <c r="I1091" i="2" l="1"/>
  <c r="K1090" i="2"/>
  <c r="I1092" i="2" l="1"/>
  <c r="K1091" i="2"/>
  <c r="I1093" i="2" l="1"/>
  <c r="K1092" i="2"/>
  <c r="I1094" i="2" l="1"/>
  <c r="K1093" i="2"/>
  <c r="I1095" i="2" l="1"/>
  <c r="K1094" i="2"/>
  <c r="I1096" i="2" l="1"/>
  <c r="K1095" i="2"/>
  <c r="I1097" i="2" l="1"/>
  <c r="K1096" i="2"/>
  <c r="I1098" i="2" l="1"/>
  <c r="K1097" i="2"/>
  <c r="I1099" i="2" l="1"/>
  <c r="K1098" i="2"/>
  <c r="I1100" i="2" l="1"/>
  <c r="K1099" i="2"/>
  <c r="I1101" i="2" l="1"/>
  <c r="K1100" i="2"/>
  <c r="I1102" i="2" l="1"/>
  <c r="K1101" i="2"/>
  <c r="I1103" i="2" l="1"/>
  <c r="K1102" i="2"/>
  <c r="I1104" i="2" l="1"/>
  <c r="K1103" i="2"/>
  <c r="I1105" i="2" l="1"/>
  <c r="K1104" i="2"/>
  <c r="I1106" i="2" l="1"/>
  <c r="K1105" i="2"/>
  <c r="I1107" i="2" l="1"/>
  <c r="K1106" i="2"/>
  <c r="I1108" i="2" l="1"/>
  <c r="K1107" i="2"/>
  <c r="I1109" i="2" l="1"/>
  <c r="K1108" i="2"/>
  <c r="I1110" i="2" l="1"/>
  <c r="K1109" i="2"/>
  <c r="I1111" i="2" l="1"/>
  <c r="K1110" i="2"/>
  <c r="I1112" i="2" l="1"/>
  <c r="K1111" i="2"/>
  <c r="I1113" i="2" l="1"/>
  <c r="K1112" i="2"/>
  <c r="I1114" i="2" l="1"/>
  <c r="K1113" i="2"/>
  <c r="I1115" i="2" l="1"/>
  <c r="K1114" i="2"/>
  <c r="I1116" i="2" l="1"/>
  <c r="K1115" i="2"/>
  <c r="I1117" i="2" l="1"/>
  <c r="K1116" i="2"/>
  <c r="I1118" i="2" l="1"/>
  <c r="K1117" i="2"/>
  <c r="I1119" i="2" l="1"/>
  <c r="K1118" i="2"/>
  <c r="I1120" i="2" l="1"/>
  <c r="K1119" i="2"/>
  <c r="I1121" i="2" l="1"/>
  <c r="K1120" i="2"/>
  <c r="I1122" i="2" l="1"/>
  <c r="K1121" i="2"/>
  <c r="I1123" i="2" l="1"/>
  <c r="K1122" i="2"/>
  <c r="I1124" i="2" l="1"/>
  <c r="K1123" i="2"/>
  <c r="I1125" i="2" l="1"/>
  <c r="K1124" i="2"/>
  <c r="I1126" i="2" l="1"/>
  <c r="K1125" i="2"/>
  <c r="I1127" i="2" l="1"/>
  <c r="K1126" i="2"/>
  <c r="I1128" i="2" l="1"/>
  <c r="K1127" i="2"/>
  <c r="I1129" i="2" l="1"/>
  <c r="K1128" i="2"/>
  <c r="I1130" i="2" l="1"/>
  <c r="K1129" i="2"/>
  <c r="I1131" i="2" l="1"/>
  <c r="K1130" i="2"/>
  <c r="I1132" i="2" l="1"/>
  <c r="K1131" i="2"/>
  <c r="I1133" i="2" l="1"/>
  <c r="K1132" i="2"/>
  <c r="I1134" i="2" l="1"/>
  <c r="K1133" i="2"/>
  <c r="I1135" i="2" l="1"/>
  <c r="K1134" i="2"/>
  <c r="I1136" i="2" l="1"/>
  <c r="K1135" i="2"/>
  <c r="I1137" i="2" l="1"/>
  <c r="K1136" i="2"/>
  <c r="I1138" i="2" l="1"/>
  <c r="K1137" i="2"/>
  <c r="I1139" i="2" l="1"/>
  <c r="K1138" i="2"/>
  <c r="I1140" i="2" l="1"/>
  <c r="K1139" i="2"/>
  <c r="I1141" i="2" l="1"/>
  <c r="K1140" i="2"/>
  <c r="I1142" i="2" l="1"/>
  <c r="K1141" i="2"/>
  <c r="I1143" i="2" l="1"/>
  <c r="K1142" i="2"/>
  <c r="I1144" i="2" l="1"/>
  <c r="K1143" i="2"/>
  <c r="I1145" i="2" l="1"/>
  <c r="K1144" i="2"/>
  <c r="I1146" i="2" l="1"/>
  <c r="K1145" i="2"/>
  <c r="I1147" i="2" l="1"/>
  <c r="K1146" i="2"/>
  <c r="I1148" i="2" l="1"/>
  <c r="K1147" i="2"/>
  <c r="I1149" i="2" l="1"/>
  <c r="K1148" i="2"/>
  <c r="I1150" i="2" l="1"/>
  <c r="K1149" i="2"/>
  <c r="I1151" i="2" l="1"/>
  <c r="K1150" i="2"/>
  <c r="I1152" i="2" l="1"/>
  <c r="K1151" i="2"/>
  <c r="I1153" i="2" l="1"/>
  <c r="K1152" i="2"/>
  <c r="I1154" i="2" l="1"/>
  <c r="K1153" i="2"/>
  <c r="I1155" i="2" l="1"/>
  <c r="K1154" i="2"/>
  <c r="I1156" i="2" l="1"/>
  <c r="K1155" i="2"/>
  <c r="I1157" i="2" l="1"/>
  <c r="K1156" i="2"/>
  <c r="I1158" i="2" l="1"/>
  <c r="K1157" i="2"/>
  <c r="I1159" i="2" l="1"/>
  <c r="K1158" i="2"/>
  <c r="I1160" i="2" l="1"/>
  <c r="K1159" i="2"/>
  <c r="I1161" i="2" l="1"/>
  <c r="K1160" i="2"/>
  <c r="I1162" i="2" l="1"/>
  <c r="K1161" i="2"/>
  <c r="I1163" i="2" l="1"/>
  <c r="K1162" i="2"/>
  <c r="I1164" i="2" l="1"/>
  <c r="K1163" i="2"/>
  <c r="I1165" i="2" l="1"/>
  <c r="K1164" i="2"/>
  <c r="I1166" i="2" l="1"/>
  <c r="K1165" i="2"/>
  <c r="I1167" i="2" l="1"/>
  <c r="K1166" i="2"/>
  <c r="I1168" i="2" l="1"/>
  <c r="K1167" i="2"/>
  <c r="I1169" i="2" l="1"/>
  <c r="K1168" i="2"/>
  <c r="I1170" i="2" l="1"/>
  <c r="K1169" i="2"/>
  <c r="I1171" i="2" l="1"/>
  <c r="K1170" i="2"/>
  <c r="I1172" i="2" l="1"/>
  <c r="K1171" i="2"/>
  <c r="I1173" i="2" l="1"/>
  <c r="K1172" i="2"/>
  <c r="I1174" i="2" l="1"/>
  <c r="K1173" i="2"/>
  <c r="I1175" i="2" l="1"/>
  <c r="K1174" i="2"/>
  <c r="I1176" i="2" l="1"/>
  <c r="K1175" i="2"/>
  <c r="I1177" i="2" l="1"/>
  <c r="K1176" i="2"/>
  <c r="I1178" i="2" l="1"/>
  <c r="K1177" i="2"/>
  <c r="I1179" i="2" l="1"/>
  <c r="K1178" i="2"/>
  <c r="I1180" i="2" l="1"/>
  <c r="K1179" i="2"/>
  <c r="I1181" i="2" l="1"/>
  <c r="K1180" i="2"/>
  <c r="I1182" i="2" l="1"/>
  <c r="K1181" i="2"/>
  <c r="I1183" i="2" l="1"/>
  <c r="K1182" i="2"/>
  <c r="I1184" i="2" l="1"/>
  <c r="K1183" i="2"/>
  <c r="I1185" i="2" l="1"/>
  <c r="K1184" i="2"/>
  <c r="I1186" i="2" l="1"/>
  <c r="K1185" i="2"/>
  <c r="I1187" i="2" l="1"/>
  <c r="K1186" i="2"/>
  <c r="I1188" i="2" l="1"/>
  <c r="K1187" i="2"/>
  <c r="I1189" i="2" l="1"/>
  <c r="K1188" i="2"/>
  <c r="I1190" i="2" l="1"/>
  <c r="K1189" i="2"/>
  <c r="I1191" i="2" l="1"/>
  <c r="K1190" i="2"/>
  <c r="I1192" i="2" l="1"/>
  <c r="K1191" i="2"/>
  <c r="I1193" i="2" l="1"/>
  <c r="K1192" i="2"/>
  <c r="I1194" i="2" l="1"/>
  <c r="K1193" i="2"/>
  <c r="I1195" i="2" l="1"/>
  <c r="K1194" i="2"/>
  <c r="I1196" i="2" l="1"/>
  <c r="K1195" i="2"/>
  <c r="I1197" i="2" l="1"/>
  <c r="K1196" i="2"/>
  <c r="I1198" i="2" l="1"/>
  <c r="K1197" i="2"/>
  <c r="I1199" i="2" l="1"/>
  <c r="K1198" i="2"/>
  <c r="I1200" i="2" l="1"/>
  <c r="K1199" i="2"/>
  <c r="I1201" i="2" l="1"/>
  <c r="K1200" i="2"/>
  <c r="I1202" i="2" l="1"/>
  <c r="K1201" i="2"/>
  <c r="I1203" i="2" l="1"/>
  <c r="K1202" i="2"/>
  <c r="I1204" i="2" l="1"/>
  <c r="K1203" i="2"/>
  <c r="I1205" i="2" l="1"/>
  <c r="K1204" i="2"/>
  <c r="I1206" i="2" l="1"/>
  <c r="K1205" i="2"/>
  <c r="I1207" i="2" l="1"/>
  <c r="K1206" i="2"/>
  <c r="I1208" i="2" l="1"/>
  <c r="K1207" i="2"/>
  <c r="I1209" i="2" l="1"/>
  <c r="K1208" i="2"/>
  <c r="I1210" i="2" l="1"/>
  <c r="K1209" i="2"/>
  <c r="I1211" i="2" l="1"/>
  <c r="K1210" i="2"/>
  <c r="I1212" i="2" l="1"/>
  <c r="K1211" i="2"/>
  <c r="I1213" i="2" l="1"/>
  <c r="K1212" i="2"/>
  <c r="I1214" i="2" l="1"/>
  <c r="K1213" i="2"/>
  <c r="I1215" i="2" l="1"/>
  <c r="K1214" i="2"/>
  <c r="I1216" i="2" l="1"/>
  <c r="K1215" i="2"/>
  <c r="I1217" i="2" l="1"/>
  <c r="K1216" i="2"/>
  <c r="I1218" i="2" l="1"/>
  <c r="K1217" i="2"/>
  <c r="I1219" i="2" l="1"/>
  <c r="K1218" i="2"/>
  <c r="I1220" i="2" l="1"/>
  <c r="K1219" i="2"/>
  <c r="I1221" i="2" l="1"/>
  <c r="K1220" i="2"/>
  <c r="I1222" i="2" l="1"/>
  <c r="K1221" i="2"/>
  <c r="I1223" i="2" l="1"/>
  <c r="K1222" i="2"/>
  <c r="I1224" i="2" l="1"/>
  <c r="K1223" i="2"/>
  <c r="I1225" i="2" l="1"/>
  <c r="K1224" i="2"/>
  <c r="I1226" i="2" l="1"/>
  <c r="K1225" i="2"/>
  <c r="I1227" i="2" l="1"/>
  <c r="K1226" i="2"/>
  <c r="I1228" i="2" l="1"/>
  <c r="K1227" i="2"/>
  <c r="I1229" i="2" l="1"/>
  <c r="K1228" i="2"/>
  <c r="I1230" i="2" l="1"/>
  <c r="K1229" i="2"/>
  <c r="I1231" i="2" l="1"/>
  <c r="K1230" i="2"/>
  <c r="I1232" i="2" l="1"/>
  <c r="K1231" i="2"/>
  <c r="I1233" i="2" l="1"/>
  <c r="K1232" i="2"/>
  <c r="I1234" i="2" l="1"/>
  <c r="K1233" i="2"/>
  <c r="I1235" i="2" l="1"/>
  <c r="K1234" i="2"/>
  <c r="I1236" i="2" l="1"/>
  <c r="K1235" i="2"/>
  <c r="I1237" i="2" l="1"/>
  <c r="K1236" i="2"/>
  <c r="I1238" i="2" l="1"/>
  <c r="K1237" i="2"/>
  <c r="I1239" i="2" l="1"/>
  <c r="K1238" i="2"/>
  <c r="I1240" i="2" l="1"/>
  <c r="K1239" i="2"/>
  <c r="I1241" i="2" l="1"/>
  <c r="K1240" i="2"/>
  <c r="I1242" i="2" l="1"/>
  <c r="K1241" i="2"/>
  <c r="I1243" i="2" l="1"/>
  <c r="K1242" i="2"/>
  <c r="I1244" i="2" l="1"/>
  <c r="K1243" i="2"/>
  <c r="I1245" i="2" l="1"/>
  <c r="K1244" i="2"/>
  <c r="I1246" i="2" l="1"/>
  <c r="K1245" i="2"/>
  <c r="I1247" i="2" l="1"/>
  <c r="K1246" i="2"/>
  <c r="I1248" i="2" l="1"/>
  <c r="K1247" i="2"/>
  <c r="I1249" i="2" l="1"/>
  <c r="K1248" i="2"/>
  <c r="I1250" i="2" l="1"/>
  <c r="K1249" i="2"/>
  <c r="I1251" i="2" l="1"/>
  <c r="K1250" i="2"/>
  <c r="I1252" i="2" l="1"/>
  <c r="K1251" i="2"/>
  <c r="I1253" i="2" l="1"/>
  <c r="K1252" i="2"/>
  <c r="I1254" i="2" l="1"/>
  <c r="K1253" i="2"/>
  <c r="I1255" i="2" l="1"/>
  <c r="K1254" i="2"/>
  <c r="I1256" i="2" l="1"/>
  <c r="K1255" i="2"/>
  <c r="I1257" i="2" l="1"/>
  <c r="K1256" i="2"/>
  <c r="I1258" i="2" l="1"/>
  <c r="K1257" i="2"/>
  <c r="I1259" i="2" l="1"/>
  <c r="K1258" i="2"/>
  <c r="I1260" i="2" l="1"/>
  <c r="K1259" i="2"/>
  <c r="I1261" i="2" l="1"/>
  <c r="K1260" i="2"/>
  <c r="I1262" i="2" l="1"/>
  <c r="K1261" i="2"/>
  <c r="I1263" i="2" l="1"/>
  <c r="K1262" i="2"/>
  <c r="I1264" i="2" l="1"/>
  <c r="K1263" i="2"/>
  <c r="I1265" i="2" l="1"/>
  <c r="K1264" i="2"/>
  <c r="I1266" i="2" l="1"/>
  <c r="K1265" i="2"/>
  <c r="I1267" i="2" l="1"/>
  <c r="K1266" i="2"/>
  <c r="I1268" i="2" l="1"/>
  <c r="K1267" i="2"/>
  <c r="I1269" i="2" l="1"/>
  <c r="K1268" i="2"/>
  <c r="I1270" i="2" l="1"/>
  <c r="K1269" i="2"/>
  <c r="I1271" i="2" l="1"/>
  <c r="K1270" i="2"/>
  <c r="I1272" i="2" l="1"/>
  <c r="K1271" i="2"/>
  <c r="I1273" i="2" l="1"/>
  <c r="K1272" i="2"/>
  <c r="I1274" i="2" l="1"/>
  <c r="K1273" i="2"/>
  <c r="I1275" i="2" l="1"/>
  <c r="K1274" i="2"/>
  <c r="I1276" i="2" l="1"/>
  <c r="K1275" i="2"/>
  <c r="I1277" i="2" l="1"/>
  <c r="K1276" i="2"/>
  <c r="I1278" i="2" l="1"/>
  <c r="K1277" i="2"/>
  <c r="I1279" i="2" l="1"/>
  <c r="K1278" i="2"/>
  <c r="I1280" i="2" l="1"/>
  <c r="K1279" i="2"/>
  <c r="I1281" i="2" l="1"/>
  <c r="K1280" i="2"/>
  <c r="I1282" i="2" l="1"/>
  <c r="K1281" i="2"/>
  <c r="I1283" i="2" l="1"/>
  <c r="K1282" i="2"/>
  <c r="I1284" i="2" l="1"/>
  <c r="K1283" i="2"/>
  <c r="I1285" i="2" l="1"/>
  <c r="K1284" i="2"/>
  <c r="I1286" i="2" l="1"/>
  <c r="K1285" i="2"/>
  <c r="I1287" i="2" l="1"/>
  <c r="K1286" i="2"/>
  <c r="I1288" i="2" l="1"/>
  <c r="K1287" i="2"/>
  <c r="I1289" i="2" l="1"/>
  <c r="K1288" i="2"/>
  <c r="I1290" i="2" l="1"/>
  <c r="K1289" i="2"/>
  <c r="I1291" i="2" l="1"/>
  <c r="K1290" i="2"/>
  <c r="I1292" i="2" l="1"/>
  <c r="K1291" i="2"/>
  <c r="I1293" i="2" l="1"/>
  <c r="K1292" i="2"/>
  <c r="I1294" i="2" l="1"/>
  <c r="K1293" i="2"/>
  <c r="I1295" i="2" l="1"/>
  <c r="K1294" i="2"/>
  <c r="I1296" i="2" l="1"/>
  <c r="K1295" i="2"/>
  <c r="I1297" i="2" l="1"/>
  <c r="K1296" i="2"/>
  <c r="I1298" i="2" l="1"/>
  <c r="K1297" i="2"/>
  <c r="I1299" i="2" l="1"/>
  <c r="K1298" i="2"/>
  <c r="I1300" i="2" l="1"/>
  <c r="K1299" i="2"/>
  <c r="I1301" i="2" l="1"/>
  <c r="K1300" i="2"/>
  <c r="I1302" i="2" l="1"/>
  <c r="K1301" i="2"/>
  <c r="I1303" i="2" l="1"/>
  <c r="K1302" i="2"/>
  <c r="I1304" i="2" l="1"/>
  <c r="K1303" i="2"/>
  <c r="I1305" i="2" l="1"/>
  <c r="K1304" i="2"/>
  <c r="I1306" i="2" l="1"/>
  <c r="K1305" i="2"/>
  <c r="I1307" i="2" l="1"/>
  <c r="K1306" i="2"/>
  <c r="I1308" i="2" l="1"/>
  <c r="K1307" i="2"/>
  <c r="I1309" i="2" l="1"/>
  <c r="K1308" i="2"/>
  <c r="I1310" i="2" l="1"/>
  <c r="K1309" i="2"/>
  <c r="I1311" i="2" l="1"/>
  <c r="K1310" i="2"/>
  <c r="I1312" i="2" l="1"/>
  <c r="K1311" i="2"/>
  <c r="I1313" i="2" l="1"/>
  <c r="K1312" i="2"/>
  <c r="I1314" i="2" l="1"/>
  <c r="K1313" i="2"/>
  <c r="I1315" i="2" l="1"/>
  <c r="K1314" i="2"/>
  <c r="I1316" i="2" l="1"/>
  <c r="K1315" i="2"/>
  <c r="I1317" i="2" l="1"/>
  <c r="K1316" i="2"/>
  <c r="I1318" i="2" l="1"/>
  <c r="K1317" i="2"/>
  <c r="I1319" i="2" l="1"/>
  <c r="K1318" i="2"/>
  <c r="I1320" i="2" l="1"/>
  <c r="K1319" i="2"/>
  <c r="I1321" i="2" l="1"/>
  <c r="K1320" i="2"/>
  <c r="I1322" i="2" l="1"/>
  <c r="K1321" i="2"/>
  <c r="I1323" i="2" l="1"/>
  <c r="K1322" i="2"/>
  <c r="I1324" i="2" l="1"/>
  <c r="K1323" i="2"/>
  <c r="I1325" i="2" l="1"/>
  <c r="K1324" i="2"/>
  <c r="I1326" i="2" l="1"/>
  <c r="K1325" i="2"/>
  <c r="I1327" i="2" l="1"/>
  <c r="K1326" i="2"/>
  <c r="I1328" i="2" l="1"/>
  <c r="K1327" i="2"/>
  <c r="I1329" i="2" l="1"/>
  <c r="K1328" i="2"/>
  <c r="I1330" i="2" l="1"/>
  <c r="K1329" i="2"/>
  <c r="I1331" i="2" l="1"/>
  <c r="K1330" i="2"/>
  <c r="I1332" i="2" l="1"/>
  <c r="K1331" i="2"/>
  <c r="I1333" i="2" l="1"/>
  <c r="K1332" i="2"/>
  <c r="I1334" i="2" l="1"/>
  <c r="K1333" i="2"/>
  <c r="I1335" i="2" l="1"/>
  <c r="K1334" i="2"/>
  <c r="I1336" i="2" l="1"/>
  <c r="K1335" i="2"/>
  <c r="I1337" i="2" l="1"/>
  <c r="K1336" i="2"/>
  <c r="I1338" i="2" l="1"/>
  <c r="K1337" i="2"/>
  <c r="I1339" i="2" l="1"/>
  <c r="K1338" i="2"/>
  <c r="I1340" i="2" l="1"/>
  <c r="K1339" i="2"/>
  <c r="I1341" i="2" l="1"/>
  <c r="K1340" i="2"/>
  <c r="I1342" i="2" l="1"/>
  <c r="K1341" i="2"/>
  <c r="I1343" i="2" l="1"/>
  <c r="K1342" i="2"/>
  <c r="I1344" i="2" l="1"/>
  <c r="K1343" i="2"/>
  <c r="I1345" i="2" l="1"/>
  <c r="K1344" i="2"/>
  <c r="I1346" i="2" l="1"/>
  <c r="K1345" i="2"/>
  <c r="I1347" i="2" l="1"/>
  <c r="K1346" i="2"/>
  <c r="I1348" i="2" l="1"/>
  <c r="K1347" i="2"/>
  <c r="I1349" i="2" l="1"/>
  <c r="K1348" i="2"/>
  <c r="I1350" i="2" l="1"/>
  <c r="K1349" i="2"/>
  <c r="I1351" i="2" l="1"/>
  <c r="K1350" i="2"/>
  <c r="I1352" i="2" l="1"/>
  <c r="K1351" i="2"/>
  <c r="I1353" i="2" l="1"/>
  <c r="K1352" i="2"/>
  <c r="I1354" i="2" l="1"/>
  <c r="K1353" i="2"/>
  <c r="I1355" i="2" l="1"/>
  <c r="K1354" i="2"/>
  <c r="I1356" i="2" l="1"/>
  <c r="K1355" i="2"/>
  <c r="I1357" i="2" l="1"/>
  <c r="K1356" i="2"/>
  <c r="I1358" i="2" l="1"/>
  <c r="K1357" i="2"/>
  <c r="I1359" i="2" l="1"/>
  <c r="K1358" i="2"/>
  <c r="I1360" i="2" l="1"/>
  <c r="K1359" i="2"/>
  <c r="I1361" i="2" l="1"/>
  <c r="K1360" i="2"/>
  <c r="I1362" i="2" l="1"/>
  <c r="K1361" i="2"/>
  <c r="I1363" i="2" l="1"/>
  <c r="K1362" i="2"/>
  <c r="I1364" i="2" l="1"/>
  <c r="K1363" i="2"/>
  <c r="I1365" i="2" l="1"/>
  <c r="K1364" i="2"/>
  <c r="I1366" i="2" l="1"/>
  <c r="K1365" i="2"/>
  <c r="I1367" i="2" l="1"/>
  <c r="K1366" i="2"/>
  <c r="I1368" i="2" l="1"/>
  <c r="K1367" i="2"/>
  <c r="I1369" i="2" l="1"/>
  <c r="K1368" i="2"/>
  <c r="I1370" i="2" l="1"/>
  <c r="K1369" i="2"/>
  <c r="I1371" i="2" l="1"/>
  <c r="K1370" i="2"/>
  <c r="I1372" i="2" l="1"/>
  <c r="K1371" i="2"/>
  <c r="I1373" i="2" l="1"/>
  <c r="K1372" i="2"/>
  <c r="I1374" i="2" l="1"/>
  <c r="K1373" i="2"/>
  <c r="I1375" i="2" l="1"/>
  <c r="K1374" i="2"/>
  <c r="I1376" i="2" l="1"/>
  <c r="K1375" i="2"/>
  <c r="I1377" i="2" l="1"/>
  <c r="K1376" i="2"/>
  <c r="I1378" i="2" l="1"/>
  <c r="K1377" i="2"/>
  <c r="I1379" i="2" l="1"/>
  <c r="K1378" i="2"/>
  <c r="I1380" i="2" l="1"/>
  <c r="K1379" i="2"/>
  <c r="I1381" i="2" l="1"/>
  <c r="K1380" i="2"/>
  <c r="I1382" i="2" l="1"/>
  <c r="K1381" i="2"/>
  <c r="I1383" i="2" l="1"/>
  <c r="K1382" i="2"/>
  <c r="I1384" i="2" l="1"/>
  <c r="K1383" i="2"/>
  <c r="I1385" i="2" l="1"/>
  <c r="K1384" i="2"/>
  <c r="I1386" i="2" l="1"/>
  <c r="K1385" i="2"/>
  <c r="I1387" i="2" l="1"/>
  <c r="K1386" i="2"/>
  <c r="I1388" i="2" l="1"/>
  <c r="K1387" i="2"/>
  <c r="I1389" i="2" l="1"/>
  <c r="K1388" i="2"/>
  <c r="I1390" i="2" l="1"/>
  <c r="K1389" i="2"/>
  <c r="I1391" i="2" l="1"/>
  <c r="K1390" i="2"/>
  <c r="I1392" i="2" l="1"/>
  <c r="K1391" i="2"/>
  <c r="I1393" i="2" l="1"/>
  <c r="K1392" i="2"/>
  <c r="I1394" i="2" l="1"/>
  <c r="K1393" i="2"/>
  <c r="I1395" i="2" l="1"/>
  <c r="K1394" i="2"/>
  <c r="I1396" i="2" l="1"/>
  <c r="K1395" i="2"/>
  <c r="I1397" i="2" l="1"/>
  <c r="K1396" i="2"/>
  <c r="I1398" i="2" l="1"/>
  <c r="K1397" i="2"/>
  <c r="I1399" i="2" l="1"/>
  <c r="K1398" i="2"/>
  <c r="I1400" i="2" l="1"/>
  <c r="K1399" i="2"/>
  <c r="I1401" i="2" l="1"/>
  <c r="K1400" i="2"/>
  <c r="I1402" i="2" l="1"/>
  <c r="K1401" i="2"/>
  <c r="I1403" i="2" l="1"/>
  <c r="K1402" i="2"/>
  <c r="I1404" i="2" l="1"/>
  <c r="K1403" i="2"/>
  <c r="I1405" i="2" l="1"/>
  <c r="K1404" i="2"/>
  <c r="I1406" i="2" l="1"/>
  <c r="K1405" i="2"/>
  <c r="I1407" i="2" l="1"/>
  <c r="K1406" i="2"/>
  <c r="I1408" i="2" l="1"/>
  <c r="K1407" i="2"/>
  <c r="I1409" i="2" l="1"/>
  <c r="K1408" i="2"/>
  <c r="I1410" i="2" l="1"/>
  <c r="K1409" i="2"/>
  <c r="I1411" i="2" l="1"/>
  <c r="K1410" i="2"/>
  <c r="I1412" i="2" l="1"/>
  <c r="K1411" i="2"/>
  <c r="I1413" i="2" l="1"/>
  <c r="K1412" i="2"/>
  <c r="I1414" i="2" l="1"/>
  <c r="K1413" i="2"/>
  <c r="I1415" i="2" l="1"/>
  <c r="K1414" i="2"/>
  <c r="I1416" i="2" l="1"/>
  <c r="K1415" i="2"/>
  <c r="I1417" i="2" l="1"/>
  <c r="K1416" i="2"/>
  <c r="I1418" i="2" l="1"/>
  <c r="K1417" i="2"/>
  <c r="I1419" i="2" l="1"/>
  <c r="K1418" i="2"/>
  <c r="I1420" i="2" l="1"/>
  <c r="K1419" i="2"/>
  <c r="I1421" i="2" l="1"/>
  <c r="K1420" i="2"/>
  <c r="I1422" i="2" l="1"/>
  <c r="K1421" i="2"/>
  <c r="I1423" i="2" l="1"/>
  <c r="K1422" i="2"/>
  <c r="I1424" i="2" l="1"/>
  <c r="K1423" i="2"/>
  <c r="I1425" i="2" l="1"/>
  <c r="K1424" i="2"/>
  <c r="I1426" i="2" l="1"/>
  <c r="K1425" i="2"/>
  <c r="I1427" i="2" l="1"/>
  <c r="K1426" i="2"/>
  <c r="I1428" i="2" l="1"/>
  <c r="K1427" i="2"/>
  <c r="I1429" i="2" l="1"/>
  <c r="K1428" i="2"/>
  <c r="I1430" i="2" l="1"/>
  <c r="K1429" i="2"/>
  <c r="I1431" i="2" l="1"/>
  <c r="K1430" i="2"/>
  <c r="I1432" i="2" l="1"/>
  <c r="K1431" i="2"/>
  <c r="I1433" i="2" l="1"/>
  <c r="K1432" i="2"/>
  <c r="I1434" i="2" l="1"/>
  <c r="K1433" i="2"/>
  <c r="I1435" i="2" l="1"/>
  <c r="K1434" i="2"/>
  <c r="I1436" i="2" l="1"/>
  <c r="K1435" i="2"/>
  <c r="I1437" i="2" l="1"/>
  <c r="K1436" i="2"/>
  <c r="I1438" i="2" l="1"/>
  <c r="K1437" i="2"/>
  <c r="I1439" i="2" l="1"/>
  <c r="K1438" i="2"/>
  <c r="I1440" i="2" l="1"/>
  <c r="K1439" i="2"/>
  <c r="I1441" i="2" l="1"/>
  <c r="K1440" i="2"/>
  <c r="I1442" i="2" l="1"/>
  <c r="K1441" i="2"/>
  <c r="I1443" i="2" l="1"/>
  <c r="K1442" i="2"/>
  <c r="I1444" i="2" l="1"/>
  <c r="K1443" i="2"/>
  <c r="I1445" i="2" l="1"/>
  <c r="K1444" i="2"/>
  <c r="I1446" i="2" l="1"/>
  <c r="K1445" i="2"/>
  <c r="I1447" i="2" l="1"/>
  <c r="K1446" i="2"/>
  <c r="I1448" i="2" l="1"/>
  <c r="K1447" i="2"/>
  <c r="I1449" i="2" l="1"/>
  <c r="K1448" i="2"/>
  <c r="I1450" i="2" l="1"/>
  <c r="K1449" i="2"/>
  <c r="I1451" i="2" l="1"/>
  <c r="K1450" i="2"/>
  <c r="I1452" i="2" l="1"/>
  <c r="K1451" i="2"/>
  <c r="I1453" i="2" l="1"/>
  <c r="K1452" i="2"/>
  <c r="I1454" i="2" l="1"/>
  <c r="K1453" i="2"/>
  <c r="I1455" i="2" l="1"/>
  <c r="K1454" i="2"/>
  <c r="I1456" i="2" l="1"/>
  <c r="K1455" i="2"/>
  <c r="I1457" i="2" l="1"/>
  <c r="K1456" i="2"/>
  <c r="I1458" i="2" l="1"/>
  <c r="K1457" i="2"/>
  <c r="I1459" i="2" l="1"/>
  <c r="K1458" i="2"/>
  <c r="I1460" i="2" l="1"/>
  <c r="K1459" i="2"/>
  <c r="I1461" i="2" l="1"/>
  <c r="K1460" i="2"/>
  <c r="I1462" i="2" l="1"/>
  <c r="K1461" i="2"/>
  <c r="I1463" i="2" l="1"/>
  <c r="K1462" i="2"/>
  <c r="I1464" i="2" l="1"/>
  <c r="K1463" i="2"/>
  <c r="I1465" i="2" l="1"/>
  <c r="K1464" i="2"/>
  <c r="I1466" i="2" l="1"/>
  <c r="K1465" i="2"/>
  <c r="I1467" i="2" l="1"/>
  <c r="K1466" i="2"/>
  <c r="I1468" i="2" l="1"/>
  <c r="K1467" i="2"/>
  <c r="I1469" i="2" l="1"/>
  <c r="K1468" i="2"/>
  <c r="I1470" i="2" l="1"/>
  <c r="K1469" i="2"/>
  <c r="I1471" i="2" l="1"/>
  <c r="K1470" i="2"/>
  <c r="I1472" i="2" l="1"/>
  <c r="K1471" i="2"/>
  <c r="I1473" i="2" l="1"/>
  <c r="K1472" i="2"/>
  <c r="I1474" i="2" l="1"/>
  <c r="K1473" i="2"/>
  <c r="I1475" i="2" l="1"/>
  <c r="K1474" i="2"/>
  <c r="I1476" i="2" l="1"/>
  <c r="K1475" i="2"/>
  <c r="I1477" i="2" l="1"/>
  <c r="K1476" i="2"/>
  <c r="I1478" i="2" l="1"/>
  <c r="K1477" i="2"/>
  <c r="I1479" i="2" l="1"/>
  <c r="K1478" i="2"/>
  <c r="I1480" i="2" l="1"/>
  <c r="K1479" i="2"/>
  <c r="I1481" i="2" l="1"/>
  <c r="K1480" i="2"/>
  <c r="I1482" i="2" l="1"/>
  <c r="K1481" i="2"/>
  <c r="I1483" i="2" l="1"/>
  <c r="K1482" i="2"/>
  <c r="I1484" i="2" l="1"/>
  <c r="K1483" i="2"/>
  <c r="I1485" i="2" l="1"/>
  <c r="K1484" i="2"/>
  <c r="I1486" i="2" l="1"/>
  <c r="K1485" i="2"/>
  <c r="I1487" i="2" l="1"/>
  <c r="K1486" i="2"/>
  <c r="I1488" i="2" l="1"/>
  <c r="K1487" i="2"/>
  <c r="I1489" i="2" l="1"/>
  <c r="K1488" i="2"/>
  <c r="I1490" i="2" l="1"/>
  <c r="K1489" i="2"/>
  <c r="I1491" i="2" l="1"/>
  <c r="K1490" i="2"/>
  <c r="I1492" i="2" l="1"/>
  <c r="K1491" i="2"/>
  <c r="I1493" i="2" l="1"/>
  <c r="K1492" i="2"/>
  <c r="I1494" i="2" l="1"/>
  <c r="K1493" i="2"/>
  <c r="I1495" i="2" l="1"/>
  <c r="K1494" i="2"/>
  <c r="I1496" i="2" l="1"/>
  <c r="K1495" i="2"/>
  <c r="I1497" i="2" l="1"/>
  <c r="K1496" i="2"/>
  <c r="I1498" i="2" l="1"/>
  <c r="K1497" i="2"/>
  <c r="I1499" i="2" l="1"/>
  <c r="K1498" i="2"/>
  <c r="I1500" i="2" l="1"/>
  <c r="K1499" i="2"/>
  <c r="I1501" i="2" l="1"/>
  <c r="K1500" i="2"/>
  <c r="I1502" i="2" l="1"/>
  <c r="K1501" i="2"/>
  <c r="I1503" i="2" l="1"/>
  <c r="K1502" i="2"/>
  <c r="I1504" i="2" l="1"/>
  <c r="K1503" i="2"/>
  <c r="I1505" i="2" l="1"/>
  <c r="K1504" i="2"/>
  <c r="I1506" i="2" l="1"/>
  <c r="K1505" i="2"/>
  <c r="I1507" i="2" l="1"/>
  <c r="K1506" i="2"/>
  <c r="I1508" i="2" l="1"/>
  <c r="K1507" i="2"/>
  <c r="I1509" i="2" l="1"/>
  <c r="K1508" i="2"/>
  <c r="I1510" i="2" l="1"/>
  <c r="K1509" i="2"/>
  <c r="I1511" i="2" l="1"/>
  <c r="K1510" i="2"/>
  <c r="I1512" i="2" l="1"/>
  <c r="K1511" i="2"/>
  <c r="I1513" i="2" l="1"/>
  <c r="K1512" i="2"/>
  <c r="I1514" i="2" l="1"/>
  <c r="K1513" i="2"/>
  <c r="I1515" i="2" l="1"/>
  <c r="K1514" i="2"/>
  <c r="I1516" i="2" l="1"/>
  <c r="K1515" i="2"/>
  <c r="I1517" i="2" l="1"/>
  <c r="K1516" i="2"/>
  <c r="I1518" i="2" l="1"/>
  <c r="K1517" i="2"/>
  <c r="I1519" i="2" l="1"/>
  <c r="K1518" i="2"/>
  <c r="I1520" i="2" l="1"/>
  <c r="K1519" i="2"/>
  <c r="I1521" i="2" l="1"/>
  <c r="K1520" i="2"/>
  <c r="I1522" i="2" l="1"/>
  <c r="K1521" i="2"/>
  <c r="I1523" i="2" l="1"/>
  <c r="K1522" i="2"/>
  <c r="I1524" i="2" l="1"/>
  <c r="K1523" i="2"/>
  <c r="I1525" i="2" l="1"/>
  <c r="K1524" i="2"/>
  <c r="I1526" i="2" l="1"/>
  <c r="K1525" i="2"/>
  <c r="I1527" i="2" l="1"/>
  <c r="K1526" i="2"/>
  <c r="I1528" i="2" l="1"/>
  <c r="K1527" i="2"/>
  <c r="I1529" i="2" l="1"/>
  <c r="K1528" i="2"/>
  <c r="I1530" i="2" l="1"/>
  <c r="K1529" i="2"/>
  <c r="I1531" i="2" l="1"/>
  <c r="K1530" i="2"/>
  <c r="I1532" i="2" l="1"/>
  <c r="K1531" i="2"/>
  <c r="I1533" i="2" l="1"/>
  <c r="K1532" i="2"/>
  <c r="I1534" i="2" l="1"/>
  <c r="K1533" i="2"/>
  <c r="I1535" i="2" l="1"/>
  <c r="K1534" i="2"/>
  <c r="I1536" i="2" l="1"/>
  <c r="K1535" i="2"/>
  <c r="I1537" i="2" l="1"/>
  <c r="K1536" i="2"/>
  <c r="I1538" i="2" l="1"/>
  <c r="K1537" i="2"/>
  <c r="I1539" i="2" l="1"/>
  <c r="K1538" i="2"/>
  <c r="I1540" i="2" l="1"/>
  <c r="K1539" i="2"/>
  <c r="I1541" i="2" l="1"/>
  <c r="K1540" i="2"/>
  <c r="I1542" i="2" l="1"/>
  <c r="K1541" i="2"/>
  <c r="I1543" i="2" l="1"/>
  <c r="K1542" i="2"/>
  <c r="I1544" i="2" l="1"/>
  <c r="K1543" i="2"/>
  <c r="I1545" i="2" l="1"/>
  <c r="K1544" i="2"/>
  <c r="I1546" i="2" l="1"/>
  <c r="K1545" i="2"/>
  <c r="I1547" i="2" l="1"/>
  <c r="K1546" i="2"/>
  <c r="I1548" i="2" l="1"/>
  <c r="K1547" i="2"/>
  <c r="I1549" i="2" l="1"/>
  <c r="K1548" i="2"/>
  <c r="I1550" i="2" l="1"/>
  <c r="K1549" i="2"/>
  <c r="I1551" i="2" l="1"/>
  <c r="K1550" i="2"/>
  <c r="I1552" i="2" l="1"/>
  <c r="K1551" i="2"/>
  <c r="I1553" i="2" l="1"/>
  <c r="K1552" i="2"/>
  <c r="I1554" i="2" l="1"/>
  <c r="K1553" i="2"/>
  <c r="I1555" i="2" l="1"/>
  <c r="K1554" i="2"/>
  <c r="I1556" i="2" l="1"/>
  <c r="K1555" i="2"/>
  <c r="I1557" i="2" l="1"/>
  <c r="K1556" i="2"/>
  <c r="I1558" i="2" l="1"/>
  <c r="K1557" i="2"/>
  <c r="I1559" i="2" l="1"/>
  <c r="K1558" i="2"/>
  <c r="I1560" i="2" l="1"/>
  <c r="K1559" i="2"/>
  <c r="I1561" i="2" l="1"/>
  <c r="K1560" i="2"/>
  <c r="I1562" i="2" l="1"/>
  <c r="K1561" i="2"/>
  <c r="I1563" i="2" l="1"/>
  <c r="K1562" i="2"/>
  <c r="I1564" i="2" l="1"/>
  <c r="K1563" i="2"/>
  <c r="I1565" i="2" l="1"/>
  <c r="K1564" i="2"/>
  <c r="I1566" i="2" l="1"/>
  <c r="K1565" i="2"/>
  <c r="I1567" i="2" l="1"/>
  <c r="K1566" i="2"/>
  <c r="I1568" i="2" l="1"/>
  <c r="K1567" i="2"/>
  <c r="I1569" i="2" l="1"/>
  <c r="K1568" i="2"/>
  <c r="I1570" i="2" l="1"/>
  <c r="K1569" i="2"/>
  <c r="I1571" i="2" l="1"/>
  <c r="K1570" i="2"/>
  <c r="I1572" i="2" l="1"/>
  <c r="K1571" i="2"/>
  <c r="I1573" i="2" l="1"/>
  <c r="K1572" i="2"/>
  <c r="I1574" i="2" l="1"/>
  <c r="K1573" i="2"/>
  <c r="I1575" i="2" l="1"/>
  <c r="K1574" i="2"/>
  <c r="I1576" i="2" l="1"/>
  <c r="K1575" i="2"/>
  <c r="I1577" i="2" l="1"/>
  <c r="K1576" i="2"/>
  <c r="I1578" i="2" l="1"/>
  <c r="K1577" i="2"/>
  <c r="I1579" i="2" l="1"/>
  <c r="K1578" i="2"/>
  <c r="I1580" i="2" l="1"/>
  <c r="K1579" i="2"/>
  <c r="I1581" i="2" l="1"/>
  <c r="K1580" i="2"/>
  <c r="I1582" i="2" l="1"/>
  <c r="K1581" i="2"/>
  <c r="I1583" i="2" l="1"/>
  <c r="K1582" i="2"/>
  <c r="I1584" i="2" l="1"/>
  <c r="K1583" i="2"/>
  <c r="I1585" i="2" l="1"/>
  <c r="K1584" i="2"/>
  <c r="I1586" i="2" l="1"/>
  <c r="K1585" i="2"/>
  <c r="I1587" i="2" l="1"/>
  <c r="K1586" i="2"/>
  <c r="I1588" i="2" l="1"/>
  <c r="K1587" i="2"/>
  <c r="I1589" i="2" l="1"/>
  <c r="K1588" i="2"/>
  <c r="I1590" i="2" l="1"/>
  <c r="K1589" i="2"/>
  <c r="I1591" i="2" l="1"/>
  <c r="K1590" i="2"/>
  <c r="I1592" i="2" l="1"/>
  <c r="K1591" i="2"/>
  <c r="I1593" i="2" l="1"/>
  <c r="K1592" i="2"/>
  <c r="I1594" i="2" l="1"/>
  <c r="K1593" i="2"/>
  <c r="I1595" i="2" l="1"/>
  <c r="K1594" i="2"/>
  <c r="I1596" i="2" l="1"/>
  <c r="K1595" i="2"/>
  <c r="I1597" i="2" l="1"/>
  <c r="K1596" i="2"/>
  <c r="I1598" i="2" l="1"/>
  <c r="K1597" i="2"/>
  <c r="I1599" i="2" l="1"/>
  <c r="K1598" i="2"/>
  <c r="I1600" i="2" l="1"/>
  <c r="K1599" i="2"/>
  <c r="I1601" i="2" l="1"/>
  <c r="K1600" i="2"/>
  <c r="I1602" i="2" l="1"/>
  <c r="K1601" i="2"/>
  <c r="I1603" i="2" l="1"/>
  <c r="K1602" i="2"/>
  <c r="I1604" i="2" l="1"/>
  <c r="K1603" i="2"/>
  <c r="I1605" i="2" l="1"/>
  <c r="K1604" i="2"/>
  <c r="I1606" i="2" l="1"/>
  <c r="K1605" i="2"/>
  <c r="I1607" i="2" l="1"/>
  <c r="K1606" i="2"/>
  <c r="I1608" i="2" l="1"/>
  <c r="K1607" i="2"/>
  <c r="I1609" i="2" l="1"/>
  <c r="K1608" i="2"/>
  <c r="I1610" i="2" l="1"/>
  <c r="K1609" i="2"/>
  <c r="I1611" i="2" l="1"/>
  <c r="K1610" i="2"/>
  <c r="I1612" i="2" l="1"/>
  <c r="K1611" i="2"/>
  <c r="I1613" i="2" l="1"/>
  <c r="K1612" i="2"/>
  <c r="I1614" i="2" l="1"/>
  <c r="K1613" i="2"/>
  <c r="I1615" i="2" l="1"/>
  <c r="K1614" i="2"/>
  <c r="I1616" i="2" l="1"/>
  <c r="K1615" i="2"/>
  <c r="I1617" i="2" l="1"/>
  <c r="K1616" i="2"/>
  <c r="I1618" i="2" l="1"/>
  <c r="K1617" i="2"/>
  <c r="I1619" i="2" l="1"/>
  <c r="K1618" i="2"/>
  <c r="I1620" i="2" l="1"/>
  <c r="K1619" i="2"/>
  <c r="I1621" i="2" l="1"/>
  <c r="K1620" i="2"/>
  <c r="I1622" i="2" l="1"/>
  <c r="K1621" i="2"/>
  <c r="I1623" i="2" l="1"/>
  <c r="K1622" i="2"/>
  <c r="I1624" i="2" l="1"/>
  <c r="K1623" i="2"/>
  <c r="I1625" i="2" l="1"/>
  <c r="K1624" i="2"/>
  <c r="I1626" i="2" l="1"/>
  <c r="K1625" i="2"/>
  <c r="I1627" i="2" l="1"/>
  <c r="K1626" i="2"/>
  <c r="I1628" i="2" l="1"/>
  <c r="K1627" i="2"/>
  <c r="I1629" i="2" l="1"/>
  <c r="K1628" i="2"/>
  <c r="I1630" i="2" l="1"/>
  <c r="K1629" i="2"/>
  <c r="I1631" i="2" l="1"/>
  <c r="K1630" i="2"/>
  <c r="I1632" i="2" l="1"/>
  <c r="K1631" i="2"/>
  <c r="I1633" i="2" l="1"/>
  <c r="K1632" i="2"/>
  <c r="I1634" i="2" l="1"/>
  <c r="K1633" i="2"/>
  <c r="I1635" i="2" l="1"/>
  <c r="K1634" i="2"/>
  <c r="I1636" i="2" l="1"/>
  <c r="K1635" i="2"/>
  <c r="I1637" i="2" l="1"/>
  <c r="K1636" i="2"/>
  <c r="I1638" i="2" l="1"/>
  <c r="K1637" i="2"/>
  <c r="I1639" i="2" l="1"/>
  <c r="K1638" i="2"/>
  <c r="I1640" i="2" l="1"/>
  <c r="K1639" i="2"/>
  <c r="I1641" i="2" l="1"/>
  <c r="K1640" i="2"/>
  <c r="I1642" i="2" l="1"/>
  <c r="K1641" i="2"/>
  <c r="I1643" i="2" l="1"/>
  <c r="K1642" i="2"/>
  <c r="I1644" i="2" l="1"/>
  <c r="K1643" i="2"/>
  <c r="I1645" i="2" l="1"/>
  <c r="K1644" i="2"/>
  <c r="I1646" i="2" l="1"/>
  <c r="K1645" i="2"/>
  <c r="I1647" i="2" l="1"/>
  <c r="K1646" i="2"/>
  <c r="I1648" i="2" l="1"/>
  <c r="K1647" i="2"/>
  <c r="I1649" i="2" l="1"/>
  <c r="K1648" i="2"/>
  <c r="I1650" i="2" l="1"/>
  <c r="K1649" i="2"/>
  <c r="I1651" i="2" l="1"/>
  <c r="K1650" i="2"/>
  <c r="I1652" i="2" l="1"/>
  <c r="K1651" i="2"/>
  <c r="I1653" i="2" l="1"/>
  <c r="K1652" i="2"/>
  <c r="I1654" i="2" l="1"/>
  <c r="K1653" i="2"/>
  <c r="I1655" i="2" l="1"/>
  <c r="K1654" i="2"/>
  <c r="I1656" i="2" l="1"/>
  <c r="K1655" i="2"/>
  <c r="I1657" i="2" l="1"/>
  <c r="K1656" i="2"/>
  <c r="I1658" i="2" l="1"/>
  <c r="K1657" i="2"/>
  <c r="I1659" i="2" l="1"/>
  <c r="K1658" i="2"/>
  <c r="I1660" i="2" l="1"/>
  <c r="K1659" i="2"/>
  <c r="I1661" i="2" l="1"/>
  <c r="K1660" i="2"/>
  <c r="I1662" i="2" l="1"/>
  <c r="K1661" i="2"/>
  <c r="I1663" i="2" l="1"/>
  <c r="K1662" i="2"/>
  <c r="I1664" i="2" l="1"/>
  <c r="K1663" i="2"/>
  <c r="I1665" i="2" l="1"/>
  <c r="K1664" i="2"/>
  <c r="I1666" i="2" l="1"/>
  <c r="K1665" i="2"/>
  <c r="I1667" i="2" l="1"/>
  <c r="K1666" i="2"/>
  <c r="I1668" i="2" l="1"/>
  <c r="K1667" i="2"/>
  <c r="I1669" i="2" l="1"/>
  <c r="K1668" i="2"/>
  <c r="I1670" i="2" l="1"/>
  <c r="K1669" i="2"/>
  <c r="I1671" i="2" l="1"/>
  <c r="K1670" i="2"/>
  <c r="I1672" i="2" l="1"/>
  <c r="K1671" i="2"/>
  <c r="I1673" i="2" l="1"/>
  <c r="K1672" i="2"/>
  <c r="I1674" i="2" l="1"/>
  <c r="K1673" i="2"/>
  <c r="I1675" i="2" l="1"/>
  <c r="K1674" i="2"/>
  <c r="I1676" i="2" l="1"/>
  <c r="K1675" i="2"/>
  <c r="I1677" i="2" l="1"/>
  <c r="K1676" i="2"/>
  <c r="I1678" i="2" l="1"/>
  <c r="K1677" i="2"/>
  <c r="I1679" i="2" l="1"/>
  <c r="K1678" i="2"/>
  <c r="I1680" i="2" l="1"/>
  <c r="K1679" i="2"/>
  <c r="I1681" i="2" l="1"/>
  <c r="K1680" i="2"/>
  <c r="I1682" i="2" l="1"/>
  <c r="K1681" i="2"/>
  <c r="I1683" i="2" l="1"/>
  <c r="K1682" i="2"/>
  <c r="I1684" i="2" l="1"/>
  <c r="K1683" i="2"/>
  <c r="I1685" i="2" l="1"/>
  <c r="K1684" i="2"/>
  <c r="I1686" i="2" l="1"/>
  <c r="K1685" i="2"/>
  <c r="I1687" i="2" l="1"/>
  <c r="K1686" i="2"/>
  <c r="I1688" i="2" l="1"/>
  <c r="K1687" i="2"/>
  <c r="I1689" i="2" l="1"/>
  <c r="K1688" i="2"/>
  <c r="I1690" i="2" l="1"/>
  <c r="K1689" i="2"/>
  <c r="I1691" i="2" l="1"/>
  <c r="K1690" i="2"/>
  <c r="I1692" i="2" l="1"/>
  <c r="K1691" i="2"/>
  <c r="I1693" i="2" l="1"/>
  <c r="K1692" i="2"/>
  <c r="I1694" i="2" l="1"/>
  <c r="K1693" i="2"/>
  <c r="I1695" i="2" l="1"/>
  <c r="K1694" i="2"/>
  <c r="I1696" i="2" l="1"/>
  <c r="K1695" i="2"/>
  <c r="I1697" i="2" l="1"/>
  <c r="K1696" i="2"/>
  <c r="I1698" i="2" l="1"/>
  <c r="K1697" i="2"/>
  <c r="I1699" i="2" l="1"/>
  <c r="K1698" i="2"/>
  <c r="I1700" i="2" l="1"/>
  <c r="K1699" i="2"/>
  <c r="I1701" i="2" l="1"/>
  <c r="K1700" i="2"/>
  <c r="I1702" i="2" l="1"/>
  <c r="K1701" i="2"/>
  <c r="I1703" i="2" l="1"/>
  <c r="K1702" i="2"/>
  <c r="I1704" i="2" l="1"/>
  <c r="K1703" i="2"/>
  <c r="I1705" i="2" l="1"/>
  <c r="K1704" i="2"/>
  <c r="I1706" i="2" l="1"/>
  <c r="K1705" i="2"/>
  <c r="I1707" i="2" l="1"/>
  <c r="K1706" i="2"/>
  <c r="I1708" i="2" l="1"/>
  <c r="K1707" i="2"/>
  <c r="I1709" i="2" l="1"/>
  <c r="K1708" i="2"/>
  <c r="I1710" i="2" l="1"/>
  <c r="K1709" i="2"/>
  <c r="I1711" i="2" l="1"/>
  <c r="K1710" i="2"/>
  <c r="I1712" i="2" l="1"/>
  <c r="K1711" i="2"/>
  <c r="I1713" i="2" l="1"/>
  <c r="K1712" i="2"/>
  <c r="I1714" i="2" l="1"/>
  <c r="K1713" i="2"/>
  <c r="I1715" i="2" l="1"/>
  <c r="K1714" i="2"/>
  <c r="I1716" i="2" l="1"/>
  <c r="K1715" i="2"/>
  <c r="I1717" i="2" l="1"/>
  <c r="K1716" i="2"/>
  <c r="I1718" i="2" l="1"/>
  <c r="K1717" i="2"/>
  <c r="I1719" i="2" l="1"/>
  <c r="K1718" i="2"/>
  <c r="I1720" i="2" l="1"/>
  <c r="K1719" i="2"/>
  <c r="I1721" i="2" l="1"/>
  <c r="K1720" i="2"/>
  <c r="I1722" i="2" l="1"/>
  <c r="K1721" i="2"/>
  <c r="I1723" i="2" l="1"/>
  <c r="K1722" i="2"/>
  <c r="I1724" i="2" l="1"/>
  <c r="K1723" i="2"/>
  <c r="I1725" i="2" l="1"/>
  <c r="K1724" i="2"/>
  <c r="I1726" i="2" l="1"/>
  <c r="K1725" i="2"/>
  <c r="I1727" i="2" l="1"/>
  <c r="K1726" i="2"/>
  <c r="I1728" i="2" l="1"/>
  <c r="K1727" i="2"/>
  <c r="I1729" i="2" l="1"/>
  <c r="K1728" i="2"/>
  <c r="I1730" i="2" l="1"/>
  <c r="K1729" i="2"/>
  <c r="I1731" i="2" l="1"/>
  <c r="K1730" i="2"/>
  <c r="I1732" i="2" l="1"/>
  <c r="K1731" i="2"/>
  <c r="I1733" i="2" l="1"/>
  <c r="K1732" i="2"/>
  <c r="I1734" i="2" l="1"/>
  <c r="K1733" i="2"/>
  <c r="I1735" i="2" l="1"/>
  <c r="K1734" i="2"/>
  <c r="I1736" i="2" l="1"/>
  <c r="K1735" i="2"/>
  <c r="I1737" i="2" l="1"/>
  <c r="K1736" i="2"/>
  <c r="I1738" i="2" l="1"/>
  <c r="K1737" i="2"/>
  <c r="I1739" i="2" l="1"/>
  <c r="K1738" i="2"/>
  <c r="I1740" i="2" l="1"/>
  <c r="K1739" i="2"/>
  <c r="I1741" i="2" l="1"/>
  <c r="K1740" i="2"/>
  <c r="I1742" i="2" l="1"/>
  <c r="K1741" i="2"/>
  <c r="I1743" i="2" l="1"/>
  <c r="K1742" i="2"/>
  <c r="I1744" i="2" l="1"/>
  <c r="K1743" i="2"/>
  <c r="I1745" i="2" l="1"/>
  <c r="K1744" i="2"/>
  <c r="I1746" i="2" l="1"/>
  <c r="K1745" i="2"/>
  <c r="I1747" i="2" l="1"/>
  <c r="K1746" i="2"/>
  <c r="I1748" i="2" l="1"/>
  <c r="K1747" i="2"/>
  <c r="I1749" i="2" l="1"/>
  <c r="K1748" i="2"/>
  <c r="I1750" i="2" l="1"/>
  <c r="K1749" i="2"/>
  <c r="I1751" i="2" l="1"/>
  <c r="K1750" i="2"/>
  <c r="I1752" i="2" l="1"/>
  <c r="K1751" i="2"/>
  <c r="I1753" i="2" l="1"/>
  <c r="K1752" i="2"/>
  <c r="I1754" i="2" l="1"/>
  <c r="K1753" i="2"/>
  <c r="I1755" i="2" l="1"/>
  <c r="K1754" i="2"/>
  <c r="I1756" i="2" l="1"/>
  <c r="K1755" i="2"/>
  <c r="I1757" i="2" l="1"/>
  <c r="K1756" i="2"/>
  <c r="I1758" i="2" l="1"/>
  <c r="K1757" i="2"/>
  <c r="I1759" i="2" l="1"/>
  <c r="K1758" i="2"/>
  <c r="I1760" i="2" l="1"/>
  <c r="K1759" i="2"/>
  <c r="I1761" i="2" l="1"/>
  <c r="K1760" i="2"/>
  <c r="I1762" i="2" l="1"/>
  <c r="K1761" i="2"/>
  <c r="I1763" i="2" l="1"/>
  <c r="K1762" i="2"/>
  <c r="I1764" i="2" l="1"/>
  <c r="K1763" i="2"/>
  <c r="I1765" i="2" l="1"/>
  <c r="K1764" i="2"/>
  <c r="I1766" i="2" l="1"/>
  <c r="K1765" i="2"/>
  <c r="I1767" i="2" l="1"/>
  <c r="K1766" i="2"/>
  <c r="I1768" i="2" l="1"/>
  <c r="K1767" i="2"/>
  <c r="I1769" i="2" l="1"/>
  <c r="K1768" i="2"/>
  <c r="I1770" i="2" l="1"/>
  <c r="K1769" i="2"/>
  <c r="I1771" i="2" l="1"/>
  <c r="K1770" i="2"/>
  <c r="I1772" i="2" l="1"/>
  <c r="K1771" i="2"/>
  <c r="I1773" i="2" l="1"/>
  <c r="K1772" i="2"/>
  <c r="I1774" i="2" l="1"/>
  <c r="K1773" i="2"/>
  <c r="I1775" i="2" l="1"/>
  <c r="K1774" i="2"/>
  <c r="I1776" i="2" l="1"/>
  <c r="K1775" i="2"/>
  <c r="I1777" i="2" l="1"/>
  <c r="K1776" i="2"/>
  <c r="I1778" i="2" l="1"/>
  <c r="K1777" i="2"/>
  <c r="I1779" i="2" l="1"/>
  <c r="K1778" i="2"/>
  <c r="I1780" i="2" l="1"/>
  <c r="K1779" i="2"/>
  <c r="I1781" i="2" l="1"/>
  <c r="K1780" i="2"/>
  <c r="I1782" i="2" l="1"/>
  <c r="K1781" i="2"/>
  <c r="I1783" i="2" l="1"/>
  <c r="K1782" i="2"/>
  <c r="I1784" i="2" l="1"/>
  <c r="K1783" i="2"/>
  <c r="I1785" i="2" l="1"/>
  <c r="K1784" i="2"/>
  <c r="I1786" i="2" l="1"/>
  <c r="K1785" i="2"/>
  <c r="I1787" i="2" l="1"/>
  <c r="K1786" i="2"/>
  <c r="I1788" i="2" l="1"/>
  <c r="K1787" i="2"/>
  <c r="I1789" i="2" l="1"/>
  <c r="K1788" i="2"/>
  <c r="I1790" i="2" l="1"/>
  <c r="K1789" i="2"/>
  <c r="I1791" i="2" l="1"/>
  <c r="K1790" i="2"/>
  <c r="I1792" i="2" l="1"/>
  <c r="K1791" i="2"/>
  <c r="I1793" i="2" l="1"/>
  <c r="K1792" i="2"/>
  <c r="I1794" i="2" l="1"/>
  <c r="K1793" i="2"/>
  <c r="I1795" i="2" l="1"/>
  <c r="K1794" i="2"/>
  <c r="I1796" i="2" l="1"/>
  <c r="K1795" i="2"/>
  <c r="I1797" i="2" l="1"/>
  <c r="K1796" i="2"/>
  <c r="I1798" i="2" l="1"/>
  <c r="K1797" i="2"/>
  <c r="I1799" i="2" l="1"/>
  <c r="K1798" i="2"/>
  <c r="I1800" i="2" l="1"/>
  <c r="K1799" i="2"/>
  <c r="I1801" i="2" l="1"/>
  <c r="K1800" i="2"/>
  <c r="I1802" i="2" l="1"/>
  <c r="K1801" i="2"/>
  <c r="I1803" i="2" l="1"/>
  <c r="K1802" i="2"/>
  <c r="I1804" i="2" l="1"/>
  <c r="K1803" i="2"/>
  <c r="I1805" i="2" l="1"/>
  <c r="K1804" i="2"/>
  <c r="I1806" i="2" l="1"/>
  <c r="K1805" i="2"/>
  <c r="I1807" i="2" l="1"/>
  <c r="K1806" i="2"/>
  <c r="I1808" i="2" l="1"/>
  <c r="K1807" i="2"/>
  <c r="I1809" i="2" l="1"/>
  <c r="K1808" i="2"/>
  <c r="I1810" i="2" l="1"/>
  <c r="K1809" i="2"/>
  <c r="I1811" i="2" l="1"/>
  <c r="K1810" i="2"/>
  <c r="I1812" i="2" l="1"/>
  <c r="K1811" i="2"/>
  <c r="I1813" i="2" l="1"/>
  <c r="K1812" i="2"/>
  <c r="I1814" i="2" l="1"/>
  <c r="K1813" i="2"/>
  <c r="I1815" i="2" l="1"/>
  <c r="K1814" i="2"/>
  <c r="I1816" i="2" l="1"/>
  <c r="K1815" i="2"/>
  <c r="I1817" i="2" l="1"/>
  <c r="K1816" i="2"/>
  <c r="I1818" i="2" l="1"/>
  <c r="K1817" i="2"/>
  <c r="I1819" i="2" l="1"/>
  <c r="K1818" i="2"/>
  <c r="I1820" i="2" l="1"/>
  <c r="K1819" i="2"/>
  <c r="I1821" i="2" l="1"/>
  <c r="K1820" i="2"/>
  <c r="I1822" i="2" l="1"/>
  <c r="K1821" i="2"/>
  <c r="I1823" i="2" l="1"/>
  <c r="K1822" i="2"/>
  <c r="I1824" i="2" l="1"/>
  <c r="K1823" i="2"/>
  <c r="I1825" i="2" l="1"/>
  <c r="K1824" i="2"/>
  <c r="I1826" i="2" l="1"/>
  <c r="K1825" i="2"/>
  <c r="I1827" i="2" l="1"/>
  <c r="K1826" i="2"/>
  <c r="I1828" i="2" l="1"/>
  <c r="K1827" i="2"/>
  <c r="I1829" i="2" l="1"/>
  <c r="K1828" i="2"/>
  <c r="I1830" i="2" l="1"/>
  <c r="K1829" i="2"/>
  <c r="I1831" i="2" l="1"/>
  <c r="K1830" i="2"/>
  <c r="I1832" i="2" l="1"/>
  <c r="K1831" i="2"/>
  <c r="I1833" i="2" l="1"/>
  <c r="K1832" i="2"/>
  <c r="I1834" i="2" l="1"/>
  <c r="K1833" i="2"/>
  <c r="I1835" i="2" l="1"/>
  <c r="K1834" i="2"/>
  <c r="I1836" i="2" l="1"/>
  <c r="K1835" i="2"/>
  <c r="I1837" i="2" l="1"/>
  <c r="K1836" i="2"/>
  <c r="I1838" i="2" l="1"/>
  <c r="K1837" i="2"/>
  <c r="I1839" i="2" l="1"/>
  <c r="K1838" i="2"/>
  <c r="I1840" i="2" l="1"/>
  <c r="K1839" i="2"/>
  <c r="I1841" i="2" l="1"/>
  <c r="K1840" i="2"/>
  <c r="I1842" i="2" l="1"/>
  <c r="K1841" i="2"/>
  <c r="I1843" i="2" l="1"/>
  <c r="K1842" i="2"/>
  <c r="I1844" i="2" l="1"/>
  <c r="K1843" i="2"/>
  <c r="I1845" i="2" l="1"/>
  <c r="K1844" i="2"/>
  <c r="I1846" i="2" l="1"/>
  <c r="K1845" i="2"/>
  <c r="I1847" i="2" l="1"/>
  <c r="K1846" i="2"/>
  <c r="I1848" i="2" l="1"/>
  <c r="K1847" i="2"/>
  <c r="I1849" i="2" l="1"/>
  <c r="K1848" i="2"/>
  <c r="I1850" i="2" l="1"/>
  <c r="K1849" i="2"/>
  <c r="I1851" i="2" l="1"/>
  <c r="K1850" i="2"/>
  <c r="I1852" i="2" l="1"/>
  <c r="K1851" i="2"/>
  <c r="I1853" i="2" l="1"/>
  <c r="K1852" i="2"/>
  <c r="I1854" i="2" l="1"/>
  <c r="K1853" i="2"/>
  <c r="I1855" i="2" l="1"/>
  <c r="K1854" i="2"/>
  <c r="I1856" i="2" l="1"/>
  <c r="K1855" i="2"/>
  <c r="I1857" i="2" l="1"/>
  <c r="K1856" i="2"/>
  <c r="I1858" i="2" l="1"/>
  <c r="K1857" i="2"/>
  <c r="I1859" i="2" l="1"/>
  <c r="K1858" i="2"/>
  <c r="I1860" i="2" l="1"/>
  <c r="K1859" i="2"/>
  <c r="I1861" i="2" l="1"/>
  <c r="K1860" i="2"/>
  <c r="I1862" i="2" l="1"/>
  <c r="K1861" i="2"/>
  <c r="I1863" i="2" l="1"/>
  <c r="K1862" i="2"/>
  <c r="I1864" i="2" l="1"/>
  <c r="K1863" i="2"/>
  <c r="I1865" i="2" l="1"/>
  <c r="K1864" i="2"/>
  <c r="I1866" i="2" l="1"/>
  <c r="K1865" i="2"/>
  <c r="I1867" i="2" l="1"/>
  <c r="K1866" i="2"/>
  <c r="I1868" i="2" l="1"/>
  <c r="K1867" i="2"/>
  <c r="I1869" i="2" l="1"/>
  <c r="K1868" i="2"/>
  <c r="I1870" i="2" l="1"/>
  <c r="K1869" i="2"/>
  <c r="I1871" i="2" l="1"/>
  <c r="K1870" i="2"/>
  <c r="I1872" i="2" l="1"/>
  <c r="K1871" i="2"/>
  <c r="I1873" i="2" l="1"/>
  <c r="K1872" i="2"/>
  <c r="I1874" i="2" l="1"/>
  <c r="K1873" i="2"/>
  <c r="I1875" i="2" l="1"/>
  <c r="K1874" i="2"/>
  <c r="I1876" i="2" l="1"/>
  <c r="K1875" i="2"/>
  <c r="I1877" i="2" l="1"/>
  <c r="K1876" i="2"/>
  <c r="I1878" i="2" l="1"/>
  <c r="K1877" i="2"/>
  <c r="I1879" i="2" l="1"/>
  <c r="K1878" i="2"/>
  <c r="I1880" i="2" l="1"/>
  <c r="K1879" i="2"/>
  <c r="I1881" i="2" l="1"/>
  <c r="K1880" i="2"/>
  <c r="I1882" i="2" l="1"/>
  <c r="K1881" i="2"/>
  <c r="I1883" i="2" l="1"/>
  <c r="K1882" i="2"/>
  <c r="I1884" i="2" l="1"/>
  <c r="K1883" i="2"/>
  <c r="I1885" i="2" l="1"/>
  <c r="K1884" i="2"/>
  <c r="I1886" i="2" l="1"/>
  <c r="K1885" i="2"/>
  <c r="I1887" i="2" l="1"/>
  <c r="K1886" i="2"/>
  <c r="I1888" i="2" l="1"/>
  <c r="K1887" i="2"/>
  <c r="I1889" i="2" l="1"/>
  <c r="K1888" i="2"/>
  <c r="I1890" i="2" l="1"/>
  <c r="K1889" i="2"/>
  <c r="I1891" i="2" l="1"/>
  <c r="K1890" i="2"/>
  <c r="I1892" i="2" l="1"/>
  <c r="K1891" i="2"/>
  <c r="I1893" i="2" l="1"/>
  <c r="K1892" i="2"/>
  <c r="I1894" i="2" l="1"/>
  <c r="K1893" i="2"/>
  <c r="I1895" i="2" l="1"/>
  <c r="K1894" i="2"/>
  <c r="I1896" i="2" l="1"/>
  <c r="K1895" i="2"/>
  <c r="I1897" i="2" l="1"/>
  <c r="K1896" i="2"/>
  <c r="I1898" i="2" l="1"/>
  <c r="K1897" i="2"/>
  <c r="I1899" i="2" l="1"/>
  <c r="K1898" i="2"/>
  <c r="I1900" i="2" l="1"/>
  <c r="K1899" i="2"/>
  <c r="I1901" i="2" l="1"/>
  <c r="K1900" i="2"/>
  <c r="I1902" i="2" l="1"/>
  <c r="K1901" i="2"/>
  <c r="I1903" i="2" l="1"/>
  <c r="K1902" i="2"/>
  <c r="I1904" i="2" l="1"/>
  <c r="K1903" i="2"/>
  <c r="I1905" i="2" l="1"/>
  <c r="K1904" i="2"/>
  <c r="I1906" i="2" l="1"/>
  <c r="K1905" i="2"/>
  <c r="I1907" i="2" l="1"/>
  <c r="K1906" i="2"/>
  <c r="I1908" i="2" l="1"/>
  <c r="K1907" i="2"/>
  <c r="I1909" i="2" l="1"/>
  <c r="K1908" i="2"/>
  <c r="I1910" i="2" l="1"/>
  <c r="K1909" i="2"/>
  <c r="I1911" i="2" l="1"/>
  <c r="K1910" i="2"/>
  <c r="I1912" i="2" l="1"/>
  <c r="K1911" i="2"/>
  <c r="I1913" i="2" l="1"/>
  <c r="K1912" i="2"/>
  <c r="I1914" i="2" l="1"/>
  <c r="K1913" i="2"/>
  <c r="I1915" i="2" l="1"/>
  <c r="K1914" i="2"/>
  <c r="I1916" i="2" l="1"/>
  <c r="K1915" i="2"/>
  <c r="I1917" i="2" l="1"/>
  <c r="K1916" i="2"/>
  <c r="I1918" i="2" l="1"/>
  <c r="K1917" i="2"/>
  <c r="I1919" i="2" l="1"/>
  <c r="K1918" i="2"/>
  <c r="I1920" i="2" l="1"/>
  <c r="K1919" i="2"/>
  <c r="I1921" i="2" l="1"/>
  <c r="K1920" i="2"/>
  <c r="I1922" i="2" l="1"/>
  <c r="K1921" i="2"/>
  <c r="I1923" i="2" l="1"/>
  <c r="K1922" i="2"/>
  <c r="I1924" i="2" l="1"/>
  <c r="K1923" i="2"/>
  <c r="I1925" i="2" l="1"/>
  <c r="K1924" i="2"/>
  <c r="I1926" i="2" l="1"/>
  <c r="K1925" i="2"/>
  <c r="I1927" i="2" l="1"/>
  <c r="K1926" i="2"/>
  <c r="I1928" i="2" l="1"/>
  <c r="K1927" i="2"/>
  <c r="I1929" i="2" l="1"/>
  <c r="K1928" i="2"/>
  <c r="I1930" i="2" l="1"/>
  <c r="K1929" i="2"/>
  <c r="I1931" i="2" l="1"/>
  <c r="K1930" i="2"/>
  <c r="I1932" i="2" l="1"/>
  <c r="K1931" i="2"/>
  <c r="I1933" i="2" l="1"/>
  <c r="K1932" i="2"/>
  <c r="I1934" i="2" l="1"/>
  <c r="K1933" i="2"/>
  <c r="I1935" i="2" l="1"/>
  <c r="K1934" i="2"/>
  <c r="I1936" i="2" l="1"/>
  <c r="K1935" i="2"/>
  <c r="I1937" i="2" l="1"/>
  <c r="K1936" i="2"/>
  <c r="I1938" i="2" l="1"/>
  <c r="K1937" i="2"/>
  <c r="I1939" i="2" l="1"/>
  <c r="K1938" i="2"/>
  <c r="I1940" i="2" l="1"/>
  <c r="K1939" i="2"/>
  <c r="I1941" i="2" l="1"/>
  <c r="K1940" i="2"/>
  <c r="I1942" i="2" l="1"/>
  <c r="K1941" i="2"/>
  <c r="I1943" i="2" l="1"/>
  <c r="K1942" i="2"/>
  <c r="I1944" i="2" l="1"/>
  <c r="K1943" i="2"/>
  <c r="I1945" i="2" l="1"/>
  <c r="K1944" i="2"/>
  <c r="I1946" i="2" l="1"/>
  <c r="K1945" i="2"/>
  <c r="I1947" i="2" l="1"/>
  <c r="K1946" i="2"/>
  <c r="I1948" i="2" l="1"/>
  <c r="K1947" i="2"/>
  <c r="I1949" i="2" l="1"/>
  <c r="K1948" i="2"/>
  <c r="I1950" i="2" l="1"/>
  <c r="K1949" i="2"/>
  <c r="I1951" i="2" l="1"/>
  <c r="K1950" i="2"/>
  <c r="I1952" i="2" l="1"/>
  <c r="K1951" i="2"/>
  <c r="I1953" i="2" l="1"/>
  <c r="K1952" i="2"/>
  <c r="I1954" i="2" l="1"/>
  <c r="K1953" i="2"/>
  <c r="I1955" i="2" l="1"/>
  <c r="K1954" i="2"/>
  <c r="I1956" i="2" l="1"/>
  <c r="K1955" i="2"/>
  <c r="I1957" i="2" l="1"/>
  <c r="K1956" i="2"/>
  <c r="I1958" i="2" l="1"/>
  <c r="K1957" i="2"/>
  <c r="I1959" i="2" l="1"/>
  <c r="K1958" i="2"/>
  <c r="I1960" i="2" l="1"/>
  <c r="K1959" i="2"/>
  <c r="I1961" i="2" l="1"/>
  <c r="K1960" i="2"/>
  <c r="I1962" i="2" l="1"/>
  <c r="K1961" i="2"/>
  <c r="I1963" i="2" l="1"/>
  <c r="K1962" i="2"/>
  <c r="I1964" i="2" l="1"/>
  <c r="K1963" i="2"/>
  <c r="I1965" i="2" l="1"/>
  <c r="K1964" i="2"/>
  <c r="I1966" i="2" l="1"/>
  <c r="K1965" i="2"/>
  <c r="I1967" i="2" l="1"/>
  <c r="K1966" i="2"/>
  <c r="I1968" i="2" l="1"/>
  <c r="K1967" i="2"/>
  <c r="I1969" i="2" l="1"/>
  <c r="K1968" i="2"/>
  <c r="I1970" i="2" l="1"/>
  <c r="K1969" i="2"/>
  <c r="I1971" i="2" l="1"/>
  <c r="K1970" i="2"/>
  <c r="I1972" i="2" l="1"/>
  <c r="K1971" i="2"/>
  <c r="I1973" i="2" l="1"/>
  <c r="K1972" i="2"/>
  <c r="I1974" i="2" l="1"/>
  <c r="K1973" i="2"/>
  <c r="I1975" i="2" l="1"/>
  <c r="K1974" i="2"/>
  <c r="I1976" i="2" l="1"/>
  <c r="K1975" i="2"/>
  <c r="I1977" i="2" l="1"/>
  <c r="K1976" i="2"/>
  <c r="I1978" i="2" l="1"/>
  <c r="K1977" i="2"/>
  <c r="I1979" i="2" l="1"/>
  <c r="K1978" i="2"/>
  <c r="I1980" i="2" l="1"/>
  <c r="K1979" i="2"/>
  <c r="I1981" i="2" l="1"/>
  <c r="K1980" i="2"/>
  <c r="I1982" i="2" l="1"/>
  <c r="K1981" i="2"/>
  <c r="I1983" i="2" l="1"/>
  <c r="K1982" i="2"/>
  <c r="I1984" i="2" l="1"/>
  <c r="K1983" i="2"/>
  <c r="I1985" i="2" l="1"/>
  <c r="K1984" i="2"/>
  <c r="I1986" i="2" l="1"/>
  <c r="K1985" i="2"/>
  <c r="I1987" i="2" l="1"/>
  <c r="K1986" i="2"/>
  <c r="I1988" i="2" l="1"/>
  <c r="K1987" i="2"/>
  <c r="I1989" i="2" l="1"/>
  <c r="K1988" i="2"/>
  <c r="I1990" i="2" l="1"/>
  <c r="K1989" i="2"/>
  <c r="I1991" i="2" l="1"/>
  <c r="K1990" i="2"/>
  <c r="I1992" i="2" l="1"/>
  <c r="K1991" i="2"/>
  <c r="I1993" i="2" l="1"/>
  <c r="K1992" i="2"/>
  <c r="I1994" i="2" l="1"/>
  <c r="K1993" i="2"/>
  <c r="I1995" i="2" l="1"/>
  <c r="K1994" i="2"/>
  <c r="I1996" i="2" l="1"/>
  <c r="K1995" i="2"/>
  <c r="I1997" i="2" l="1"/>
  <c r="K1996" i="2"/>
  <c r="I1998" i="2" l="1"/>
  <c r="K1997" i="2"/>
  <c r="I1999" i="2" l="1"/>
  <c r="K1998" i="2"/>
  <c r="I2000" i="2" l="1"/>
  <c r="K1999" i="2"/>
  <c r="I2001" i="2" l="1"/>
  <c r="K2000" i="2"/>
  <c r="I2002" i="2" l="1"/>
  <c r="K2001" i="2"/>
  <c r="I2003" i="2" l="1"/>
  <c r="K2002" i="2"/>
  <c r="I2004" i="2" l="1"/>
  <c r="K2003" i="2"/>
  <c r="I2005" i="2" l="1"/>
  <c r="K2004" i="2"/>
  <c r="I2006" i="2" l="1"/>
  <c r="K2005" i="2"/>
  <c r="I2007" i="2" l="1"/>
  <c r="K2006" i="2"/>
  <c r="I2008" i="2" l="1"/>
  <c r="K2007" i="2"/>
  <c r="I2009" i="2" l="1"/>
  <c r="K2008" i="2"/>
  <c r="I2010" i="2" l="1"/>
  <c r="K2009" i="2"/>
  <c r="I2011" i="2" l="1"/>
  <c r="K2010" i="2"/>
  <c r="I2012" i="2" l="1"/>
  <c r="K2011" i="2"/>
  <c r="I2013" i="2" l="1"/>
  <c r="K2012" i="2"/>
  <c r="I2014" i="2" l="1"/>
  <c r="K2013" i="2"/>
  <c r="I2015" i="2" l="1"/>
  <c r="K2014" i="2"/>
  <c r="I2016" i="2" l="1"/>
  <c r="K2015" i="2"/>
  <c r="I2017" i="2" l="1"/>
  <c r="K2016" i="2"/>
  <c r="I2018" i="2" l="1"/>
  <c r="K2017" i="2"/>
  <c r="I2019" i="2" l="1"/>
  <c r="K2018" i="2"/>
  <c r="I2020" i="2" l="1"/>
  <c r="K2019" i="2"/>
  <c r="I2021" i="2" l="1"/>
  <c r="K2020" i="2"/>
  <c r="I2022" i="2" l="1"/>
  <c r="K2021" i="2"/>
  <c r="I2023" i="2" l="1"/>
  <c r="K2022" i="2"/>
  <c r="I2024" i="2" l="1"/>
  <c r="K2023" i="2"/>
  <c r="I2025" i="2" l="1"/>
  <c r="K2024" i="2"/>
  <c r="I2026" i="2" l="1"/>
  <c r="K2025" i="2"/>
  <c r="I2027" i="2" l="1"/>
  <c r="K2026" i="2"/>
  <c r="I2028" i="2" l="1"/>
  <c r="K2027" i="2"/>
  <c r="I2029" i="2" l="1"/>
  <c r="K2028" i="2"/>
  <c r="I2030" i="2" l="1"/>
  <c r="K2029" i="2"/>
  <c r="I2031" i="2" l="1"/>
  <c r="K2030" i="2"/>
  <c r="I2032" i="2" l="1"/>
  <c r="K2031" i="2"/>
  <c r="I2033" i="2" l="1"/>
  <c r="K2032" i="2"/>
  <c r="I2034" i="2" l="1"/>
  <c r="K2033" i="2"/>
  <c r="I2035" i="2" l="1"/>
  <c r="K2034" i="2"/>
  <c r="I2036" i="2" l="1"/>
  <c r="K2035" i="2"/>
  <c r="I2037" i="2" l="1"/>
  <c r="K2036" i="2"/>
  <c r="I2038" i="2" l="1"/>
  <c r="K2037" i="2"/>
  <c r="I2039" i="2" l="1"/>
  <c r="K2038" i="2"/>
  <c r="I2040" i="2" l="1"/>
  <c r="K2039" i="2"/>
  <c r="I2041" i="2" l="1"/>
  <c r="K2040" i="2"/>
  <c r="I2042" i="2" l="1"/>
  <c r="K2041" i="2"/>
  <c r="I2043" i="2" l="1"/>
  <c r="K2042" i="2"/>
  <c r="I2044" i="2" l="1"/>
  <c r="K2043" i="2"/>
  <c r="I2045" i="2" l="1"/>
  <c r="K2044" i="2"/>
  <c r="I2046" i="2" l="1"/>
  <c r="K2045" i="2"/>
  <c r="I2047" i="2" l="1"/>
  <c r="K2046" i="2"/>
  <c r="I2048" i="2" l="1"/>
  <c r="K2047" i="2"/>
  <c r="I2049" i="2" l="1"/>
  <c r="K2048" i="2"/>
  <c r="I2050" i="2" l="1"/>
  <c r="K2049" i="2"/>
  <c r="I2051" i="2" l="1"/>
  <c r="K2050" i="2"/>
  <c r="I2052" i="2" l="1"/>
  <c r="K2051" i="2"/>
  <c r="I2053" i="2" l="1"/>
  <c r="K2052" i="2"/>
  <c r="I2054" i="2" l="1"/>
  <c r="K2053" i="2"/>
  <c r="I2055" i="2" l="1"/>
  <c r="K2054" i="2"/>
  <c r="I2056" i="2" l="1"/>
  <c r="K2055" i="2"/>
  <c r="I2057" i="2" l="1"/>
  <c r="K2056" i="2"/>
  <c r="I2058" i="2" l="1"/>
  <c r="K2057" i="2"/>
  <c r="I2059" i="2" l="1"/>
  <c r="K2058" i="2"/>
  <c r="I2060" i="2" l="1"/>
  <c r="K2059" i="2"/>
  <c r="I2061" i="2" l="1"/>
  <c r="K2060" i="2"/>
  <c r="I2062" i="2" l="1"/>
  <c r="K2061" i="2"/>
  <c r="I2063" i="2" l="1"/>
  <c r="K2062" i="2"/>
  <c r="I2064" i="2" l="1"/>
  <c r="K2063" i="2"/>
  <c r="I2065" i="2" l="1"/>
  <c r="K2064" i="2"/>
  <c r="I2066" i="2" l="1"/>
  <c r="K2065" i="2"/>
  <c r="I2067" i="2" l="1"/>
  <c r="K2066" i="2"/>
  <c r="I2068" i="2" l="1"/>
  <c r="K2067" i="2"/>
  <c r="I2069" i="2" l="1"/>
  <c r="K2068" i="2"/>
  <c r="I2070" i="2" l="1"/>
  <c r="K2069" i="2"/>
  <c r="I2071" i="2" l="1"/>
  <c r="K2070" i="2"/>
  <c r="I2072" i="2" l="1"/>
  <c r="K2071" i="2"/>
  <c r="I2073" i="2" l="1"/>
  <c r="K2072" i="2"/>
  <c r="I2074" i="2" l="1"/>
  <c r="K2073" i="2"/>
  <c r="I2075" i="2" l="1"/>
  <c r="K2074" i="2"/>
  <c r="I2076" i="2" l="1"/>
  <c r="K2075" i="2"/>
  <c r="I2077" i="2" l="1"/>
  <c r="K2076" i="2"/>
  <c r="I2078" i="2" l="1"/>
  <c r="K2077" i="2"/>
  <c r="I2079" i="2" l="1"/>
  <c r="K2078" i="2"/>
  <c r="I2080" i="2" l="1"/>
  <c r="K2079" i="2"/>
  <c r="I2081" i="2" l="1"/>
  <c r="K2080" i="2"/>
  <c r="I2082" i="2" l="1"/>
  <c r="K2081" i="2"/>
  <c r="I2083" i="2" l="1"/>
  <c r="K2082" i="2"/>
  <c r="I2084" i="2" l="1"/>
  <c r="K2083" i="2"/>
  <c r="I2085" i="2" l="1"/>
  <c r="K2084" i="2"/>
  <c r="I2086" i="2" l="1"/>
  <c r="K2085" i="2"/>
  <c r="I2087" i="2" l="1"/>
  <c r="K2086" i="2"/>
  <c r="I2088" i="2" l="1"/>
  <c r="K2087" i="2"/>
  <c r="I2089" i="2" l="1"/>
  <c r="K2088" i="2"/>
  <c r="I2090" i="2" l="1"/>
  <c r="K2089" i="2"/>
  <c r="I2091" i="2" l="1"/>
  <c r="K2090" i="2"/>
  <c r="I2092" i="2" l="1"/>
  <c r="K2091" i="2"/>
  <c r="I2093" i="2" l="1"/>
  <c r="K2092" i="2"/>
  <c r="I2094" i="2" l="1"/>
  <c r="K2093" i="2"/>
  <c r="I2095" i="2" l="1"/>
  <c r="K2094" i="2"/>
  <c r="I2096" i="2" l="1"/>
  <c r="K2095" i="2"/>
  <c r="I2097" i="2" l="1"/>
  <c r="K2096" i="2"/>
  <c r="I2098" i="2" l="1"/>
  <c r="K2097" i="2"/>
  <c r="I2099" i="2" l="1"/>
  <c r="K2098" i="2"/>
  <c r="I2100" i="2" l="1"/>
  <c r="K2099" i="2"/>
  <c r="I2101" i="2" l="1"/>
  <c r="K2100" i="2"/>
  <c r="I2102" i="2" l="1"/>
  <c r="K2101" i="2"/>
  <c r="I2103" i="2" l="1"/>
  <c r="K2102" i="2"/>
  <c r="I2104" i="2" l="1"/>
  <c r="K2103" i="2"/>
  <c r="I2105" i="2" l="1"/>
  <c r="K2104" i="2"/>
  <c r="I2106" i="2" l="1"/>
  <c r="K2105" i="2"/>
  <c r="I2107" i="2" l="1"/>
  <c r="K2106" i="2"/>
  <c r="I2108" i="2" l="1"/>
  <c r="K2107" i="2"/>
  <c r="I2109" i="2" l="1"/>
  <c r="K2108" i="2"/>
  <c r="I2110" i="2" l="1"/>
  <c r="K2109" i="2"/>
  <c r="I2111" i="2" l="1"/>
  <c r="K2110" i="2"/>
  <c r="I2112" i="2" l="1"/>
  <c r="K2111" i="2"/>
  <c r="I2113" i="2" l="1"/>
  <c r="K2112" i="2"/>
  <c r="I2114" i="2" l="1"/>
  <c r="K2113" i="2"/>
  <c r="I2115" i="2" l="1"/>
  <c r="K2114" i="2"/>
  <c r="I2116" i="2" l="1"/>
  <c r="K2115" i="2"/>
  <c r="I2117" i="2" l="1"/>
  <c r="K2116" i="2"/>
  <c r="I2118" i="2" l="1"/>
  <c r="K2117" i="2"/>
  <c r="I2119" i="2" l="1"/>
  <c r="K2118" i="2"/>
  <c r="I2120" i="2" l="1"/>
  <c r="K2119" i="2"/>
  <c r="I2121" i="2" l="1"/>
  <c r="K2120" i="2"/>
  <c r="I2122" i="2" l="1"/>
  <c r="K2121" i="2"/>
  <c r="I2123" i="2" l="1"/>
  <c r="K2122" i="2"/>
  <c r="I2124" i="2" l="1"/>
  <c r="K2123" i="2"/>
  <c r="I2125" i="2" l="1"/>
  <c r="K2124" i="2"/>
  <c r="I2126" i="2" l="1"/>
  <c r="K2125" i="2"/>
  <c r="I2127" i="2" l="1"/>
  <c r="K2126" i="2"/>
  <c r="I2128" i="2" l="1"/>
  <c r="K2127" i="2"/>
  <c r="I2129" i="2" l="1"/>
  <c r="K2128" i="2"/>
  <c r="I2130" i="2" l="1"/>
  <c r="K2129" i="2"/>
  <c r="I2131" i="2" l="1"/>
  <c r="K2130" i="2"/>
  <c r="I2132" i="2" l="1"/>
  <c r="K2131" i="2"/>
  <c r="I2133" i="2" l="1"/>
  <c r="K2132" i="2"/>
  <c r="I2134" i="2" l="1"/>
  <c r="K2133" i="2"/>
  <c r="I2135" i="2" l="1"/>
  <c r="K2134" i="2"/>
  <c r="I2136" i="2" l="1"/>
  <c r="K2135" i="2"/>
  <c r="I2137" i="2" l="1"/>
  <c r="K2136" i="2"/>
  <c r="I2138" i="2" l="1"/>
  <c r="K2137" i="2"/>
  <c r="I2139" i="2" l="1"/>
  <c r="K2138" i="2"/>
  <c r="I2140" i="2" l="1"/>
  <c r="K2139" i="2"/>
  <c r="I2141" i="2" l="1"/>
  <c r="K2140" i="2"/>
  <c r="I2142" i="2" l="1"/>
  <c r="K2141" i="2"/>
  <c r="I2143" i="2" l="1"/>
  <c r="K2142" i="2"/>
  <c r="I2144" i="2" l="1"/>
  <c r="K2143" i="2"/>
  <c r="I2145" i="2" l="1"/>
  <c r="K2144" i="2"/>
  <c r="I2146" i="2" l="1"/>
  <c r="K2145" i="2"/>
  <c r="I2147" i="2" l="1"/>
  <c r="K2146" i="2"/>
  <c r="I2148" i="2" l="1"/>
  <c r="K2147" i="2"/>
  <c r="I2149" i="2" l="1"/>
  <c r="K2148" i="2"/>
  <c r="I2150" i="2" l="1"/>
  <c r="K2149" i="2"/>
  <c r="I2151" i="2" l="1"/>
  <c r="K2150" i="2"/>
  <c r="I2152" i="2" l="1"/>
  <c r="K2151" i="2"/>
  <c r="I2153" i="2" l="1"/>
  <c r="K2152" i="2"/>
  <c r="I2154" i="2" l="1"/>
  <c r="K2153" i="2"/>
  <c r="I2155" i="2" l="1"/>
  <c r="K2154" i="2"/>
  <c r="I2156" i="2" l="1"/>
  <c r="K2155" i="2"/>
  <c r="I2157" i="2" l="1"/>
  <c r="K2156" i="2"/>
  <c r="I2158" i="2" l="1"/>
  <c r="K2157" i="2"/>
  <c r="I2159" i="2" l="1"/>
  <c r="K2158" i="2"/>
  <c r="I2160" i="2" l="1"/>
  <c r="K2159" i="2"/>
  <c r="I2161" i="2" l="1"/>
  <c r="K2160" i="2"/>
  <c r="I2162" i="2" l="1"/>
  <c r="K2161" i="2"/>
  <c r="I2163" i="2" l="1"/>
  <c r="K2162" i="2"/>
  <c r="I2164" i="2" l="1"/>
  <c r="K2163" i="2"/>
  <c r="I2165" i="2" l="1"/>
  <c r="K2164" i="2"/>
  <c r="I2166" i="2" l="1"/>
  <c r="K2165" i="2"/>
  <c r="I2167" i="2" l="1"/>
  <c r="K2166" i="2"/>
  <c r="I2168" i="2" l="1"/>
  <c r="K2167" i="2"/>
  <c r="I2169" i="2" l="1"/>
  <c r="K2168" i="2"/>
  <c r="I2170" i="2" l="1"/>
  <c r="K2169" i="2"/>
  <c r="I2171" i="2" l="1"/>
  <c r="K2170" i="2"/>
  <c r="I2172" i="2" l="1"/>
  <c r="K2171" i="2"/>
  <c r="I2173" i="2" l="1"/>
  <c r="K2172" i="2"/>
  <c r="I2174" i="2" l="1"/>
  <c r="K2173" i="2"/>
  <c r="I2175" i="2" l="1"/>
  <c r="K2174" i="2"/>
  <c r="I2176" i="2" l="1"/>
  <c r="K2175" i="2"/>
  <c r="I2177" i="2" l="1"/>
  <c r="K2176" i="2"/>
  <c r="I2178" i="2" l="1"/>
  <c r="K2177" i="2"/>
  <c r="I2179" i="2" l="1"/>
  <c r="K2178" i="2"/>
  <c r="I2180" i="2" l="1"/>
  <c r="K2179" i="2"/>
  <c r="I2181" i="2" l="1"/>
  <c r="K2180" i="2"/>
  <c r="I2182" i="2" l="1"/>
  <c r="K2181" i="2"/>
  <c r="I2183" i="2" l="1"/>
  <c r="K2182" i="2"/>
  <c r="I2184" i="2" l="1"/>
  <c r="K2183" i="2"/>
  <c r="I2185" i="2" l="1"/>
  <c r="K2184" i="2"/>
  <c r="I2186" i="2" l="1"/>
  <c r="K2185" i="2"/>
  <c r="I2187" i="2" l="1"/>
  <c r="K2186" i="2"/>
  <c r="I2188" i="2" l="1"/>
  <c r="K2187" i="2"/>
  <c r="I2189" i="2" l="1"/>
  <c r="K2188" i="2"/>
  <c r="I2190" i="2" l="1"/>
  <c r="K2189" i="2"/>
  <c r="I2191" i="2" l="1"/>
  <c r="K2190" i="2"/>
  <c r="I2192" i="2" l="1"/>
  <c r="K2191" i="2"/>
  <c r="I2193" i="2" l="1"/>
  <c r="K2192" i="2"/>
  <c r="I2194" i="2" l="1"/>
  <c r="K2193" i="2"/>
  <c r="I2195" i="2" l="1"/>
  <c r="K2194" i="2"/>
  <c r="I2196" i="2" l="1"/>
  <c r="K2195" i="2"/>
  <c r="I2197" i="2" l="1"/>
  <c r="K2196" i="2"/>
  <c r="I2198" i="2" l="1"/>
  <c r="K2197" i="2"/>
  <c r="I2199" i="2" l="1"/>
  <c r="K2198" i="2"/>
  <c r="I2200" i="2" l="1"/>
  <c r="K2199" i="2"/>
  <c r="I2201" i="2" l="1"/>
  <c r="K2200" i="2"/>
  <c r="I2202" i="2" l="1"/>
  <c r="K2201" i="2"/>
  <c r="I2203" i="2" l="1"/>
  <c r="K2202" i="2"/>
  <c r="I2204" i="2" l="1"/>
  <c r="K2203" i="2"/>
  <c r="I2205" i="2" l="1"/>
  <c r="K2204" i="2"/>
  <c r="I2206" i="2" l="1"/>
  <c r="K2205" i="2"/>
  <c r="I2207" i="2" l="1"/>
  <c r="K2206" i="2"/>
  <c r="I2208" i="2" l="1"/>
  <c r="K2207" i="2"/>
  <c r="I2209" i="2" l="1"/>
  <c r="K2208" i="2"/>
  <c r="I2210" i="2" l="1"/>
  <c r="K2209" i="2"/>
  <c r="I2211" i="2" l="1"/>
  <c r="K2210" i="2"/>
  <c r="I2212" i="2" l="1"/>
  <c r="K2211" i="2"/>
  <c r="I2213" i="2" l="1"/>
  <c r="K2212" i="2"/>
  <c r="I2214" i="2" l="1"/>
  <c r="K2213" i="2"/>
  <c r="I2215" i="2" l="1"/>
  <c r="K2214" i="2"/>
  <c r="I2216" i="2" l="1"/>
  <c r="K2215" i="2"/>
  <c r="I2217" i="2" l="1"/>
  <c r="K2216" i="2"/>
  <c r="I2218" i="2" l="1"/>
  <c r="K2217" i="2"/>
  <c r="I2219" i="2" l="1"/>
  <c r="K2218" i="2"/>
  <c r="I2220" i="2" l="1"/>
  <c r="K2219" i="2"/>
  <c r="I2221" i="2" l="1"/>
  <c r="K2220" i="2"/>
  <c r="I2222" i="2" l="1"/>
  <c r="K2221" i="2"/>
  <c r="I2223" i="2" l="1"/>
  <c r="K2222" i="2"/>
  <c r="I2224" i="2" l="1"/>
  <c r="K2223" i="2"/>
  <c r="I2225" i="2" l="1"/>
  <c r="K2224" i="2"/>
  <c r="I2226" i="2" l="1"/>
  <c r="K2225" i="2"/>
  <c r="I2227" i="2" l="1"/>
  <c r="K2226" i="2"/>
  <c r="I2228" i="2" l="1"/>
  <c r="K2227" i="2"/>
  <c r="I2229" i="2" l="1"/>
  <c r="K2228" i="2"/>
  <c r="I2230" i="2" l="1"/>
  <c r="K2229" i="2"/>
  <c r="I2231" i="2" l="1"/>
  <c r="K2230" i="2"/>
  <c r="I2232" i="2" l="1"/>
  <c r="K2231" i="2"/>
  <c r="I2233" i="2" l="1"/>
  <c r="K2232" i="2"/>
  <c r="I2234" i="2" l="1"/>
  <c r="K2233" i="2"/>
  <c r="I2235" i="2" l="1"/>
  <c r="K2234" i="2"/>
  <c r="I2236" i="2" l="1"/>
  <c r="K2235" i="2"/>
  <c r="I2237" i="2" l="1"/>
  <c r="K2236" i="2"/>
  <c r="I2238" i="2" l="1"/>
  <c r="K2237" i="2"/>
  <c r="I2239" i="2" l="1"/>
  <c r="K2238" i="2"/>
  <c r="I2240" i="2" l="1"/>
  <c r="K2239" i="2"/>
  <c r="I2241" i="2" l="1"/>
  <c r="K2240" i="2"/>
  <c r="I2242" i="2" l="1"/>
  <c r="K2241" i="2"/>
  <c r="I2243" i="2" l="1"/>
  <c r="K2242" i="2"/>
  <c r="I2244" i="2" l="1"/>
  <c r="K2243" i="2"/>
  <c r="I2245" i="2" l="1"/>
  <c r="K2244" i="2"/>
  <c r="I2246" i="2" l="1"/>
  <c r="K2245" i="2"/>
  <c r="I2247" i="2" l="1"/>
  <c r="K2246" i="2"/>
  <c r="I2248" i="2" l="1"/>
  <c r="K2247" i="2"/>
  <c r="I2249" i="2" l="1"/>
  <c r="K2248" i="2"/>
  <c r="I2250" i="2" l="1"/>
  <c r="K2249" i="2"/>
  <c r="I2251" i="2" l="1"/>
  <c r="K2250" i="2"/>
  <c r="I2252" i="2" l="1"/>
  <c r="K2251" i="2"/>
  <c r="I2253" i="2" l="1"/>
  <c r="K2252" i="2"/>
  <c r="I2254" i="2" l="1"/>
  <c r="K2253" i="2"/>
  <c r="I2255" i="2" l="1"/>
  <c r="K2254" i="2"/>
  <c r="I2256" i="2" l="1"/>
  <c r="K2255" i="2"/>
  <c r="I2257" i="2" l="1"/>
  <c r="K2256" i="2"/>
  <c r="I2258" i="2" l="1"/>
  <c r="K2257" i="2"/>
  <c r="I2259" i="2" l="1"/>
  <c r="K2258" i="2"/>
  <c r="I2260" i="2" l="1"/>
  <c r="K2259" i="2"/>
  <c r="I2261" i="2" l="1"/>
  <c r="K2260" i="2"/>
  <c r="I2262" i="2" l="1"/>
  <c r="K2261" i="2"/>
  <c r="I2263" i="2" l="1"/>
  <c r="K2262" i="2"/>
  <c r="I2264" i="2" l="1"/>
  <c r="K2263" i="2"/>
  <c r="I2265" i="2" l="1"/>
  <c r="K2264" i="2"/>
  <c r="I2266" i="2" l="1"/>
  <c r="K2265" i="2"/>
  <c r="I2267" i="2" l="1"/>
  <c r="K2266" i="2"/>
  <c r="I2268" i="2" l="1"/>
  <c r="K2267" i="2"/>
  <c r="I2269" i="2" l="1"/>
  <c r="K2268" i="2"/>
  <c r="I2270" i="2" l="1"/>
  <c r="K2269" i="2"/>
  <c r="I2271" i="2" l="1"/>
  <c r="K2270" i="2"/>
  <c r="I2272" i="2" l="1"/>
  <c r="K2271" i="2"/>
  <c r="I2273" i="2" l="1"/>
  <c r="K2272" i="2"/>
  <c r="I2274" i="2" l="1"/>
  <c r="K2273" i="2"/>
  <c r="I2275" i="2" l="1"/>
  <c r="K2274" i="2"/>
  <c r="I2276" i="2" l="1"/>
  <c r="K2275" i="2"/>
  <c r="I2277" i="2" l="1"/>
  <c r="K2276" i="2"/>
  <c r="I2278" i="2" l="1"/>
  <c r="K2277" i="2"/>
  <c r="I2279" i="2" l="1"/>
  <c r="K2278" i="2"/>
  <c r="I2280" i="2" l="1"/>
  <c r="K2279" i="2"/>
  <c r="I2281" i="2" l="1"/>
  <c r="K2280" i="2"/>
  <c r="I2282" i="2" l="1"/>
  <c r="K2281" i="2"/>
  <c r="I2283" i="2" l="1"/>
  <c r="K2282" i="2"/>
  <c r="I2284" i="2" l="1"/>
  <c r="K2283" i="2"/>
  <c r="I2285" i="2" l="1"/>
  <c r="K2284" i="2"/>
  <c r="I2286" i="2" l="1"/>
  <c r="K2285" i="2"/>
  <c r="I2287" i="2" l="1"/>
  <c r="K2286" i="2"/>
  <c r="I2288" i="2" l="1"/>
  <c r="K2287" i="2"/>
  <c r="I2289" i="2" l="1"/>
  <c r="K2288" i="2"/>
  <c r="I2290" i="2" l="1"/>
  <c r="K2289" i="2"/>
  <c r="I2291" i="2" l="1"/>
  <c r="K2290" i="2"/>
  <c r="I2292" i="2" l="1"/>
  <c r="K2291" i="2"/>
  <c r="I2293" i="2" l="1"/>
  <c r="K2292" i="2"/>
  <c r="I2294" i="2" l="1"/>
  <c r="K2293" i="2"/>
  <c r="I2295" i="2" l="1"/>
  <c r="K2294" i="2"/>
  <c r="I2296" i="2" l="1"/>
  <c r="K2295" i="2"/>
  <c r="I2297" i="2" l="1"/>
  <c r="K2296" i="2"/>
  <c r="I2298" i="2" l="1"/>
  <c r="K2297" i="2"/>
  <c r="I2299" i="2" l="1"/>
  <c r="K2298" i="2"/>
  <c r="I2300" i="2" l="1"/>
  <c r="K2299" i="2"/>
  <c r="I2301" i="2" l="1"/>
  <c r="K2300" i="2"/>
  <c r="I2302" i="2" l="1"/>
  <c r="K2301" i="2"/>
  <c r="I2303" i="2" l="1"/>
  <c r="K2302" i="2"/>
  <c r="I2304" i="2" l="1"/>
  <c r="K2303" i="2"/>
  <c r="I2305" i="2" l="1"/>
  <c r="K2304" i="2"/>
  <c r="I2306" i="2" l="1"/>
  <c r="K2305" i="2"/>
  <c r="I2307" i="2" l="1"/>
  <c r="K2306" i="2"/>
  <c r="I2308" i="2" l="1"/>
  <c r="K2307" i="2"/>
  <c r="I2309" i="2" l="1"/>
  <c r="K2308" i="2"/>
  <c r="I2310" i="2" l="1"/>
  <c r="K2309" i="2"/>
  <c r="I2311" i="2" l="1"/>
  <c r="K2310" i="2"/>
  <c r="I2312" i="2" l="1"/>
  <c r="K2311" i="2"/>
  <c r="I2313" i="2" l="1"/>
  <c r="K2312" i="2"/>
  <c r="I2314" i="2" l="1"/>
  <c r="K2313" i="2"/>
  <c r="I2315" i="2" l="1"/>
  <c r="K2314" i="2"/>
  <c r="I2316" i="2" l="1"/>
  <c r="K2315" i="2"/>
  <c r="I2317" i="2" l="1"/>
  <c r="K2316" i="2"/>
  <c r="I2318" i="2" l="1"/>
  <c r="K2317" i="2"/>
  <c r="I2319" i="2" l="1"/>
  <c r="K2318" i="2"/>
  <c r="I2320" i="2" l="1"/>
  <c r="K2319" i="2"/>
  <c r="I2321" i="2" l="1"/>
  <c r="K2320" i="2"/>
  <c r="I2322" i="2" l="1"/>
  <c r="K2321" i="2"/>
  <c r="I2323" i="2" l="1"/>
  <c r="K2322" i="2"/>
  <c r="I2324" i="2" l="1"/>
  <c r="K2323" i="2"/>
  <c r="I2325" i="2" l="1"/>
  <c r="K2324" i="2"/>
  <c r="I2326" i="2" l="1"/>
  <c r="K2325" i="2"/>
  <c r="I2327" i="2" l="1"/>
  <c r="K2326" i="2"/>
  <c r="I2328" i="2" l="1"/>
  <c r="K2327" i="2"/>
  <c r="I2329" i="2" l="1"/>
  <c r="K2328" i="2"/>
  <c r="I2330" i="2" l="1"/>
  <c r="K2329" i="2"/>
  <c r="I2331" i="2" l="1"/>
  <c r="K2330" i="2"/>
  <c r="I2332" i="2" l="1"/>
  <c r="K2331" i="2"/>
  <c r="I2333" i="2" l="1"/>
  <c r="K2332" i="2"/>
  <c r="I2334" i="2" l="1"/>
  <c r="K2333" i="2"/>
  <c r="I2335" i="2" l="1"/>
  <c r="K2334" i="2"/>
  <c r="I2336" i="2" l="1"/>
  <c r="K2335" i="2"/>
  <c r="I2337" i="2" l="1"/>
  <c r="K2336" i="2"/>
  <c r="I2338" i="2" l="1"/>
  <c r="K2337" i="2"/>
  <c r="I2339" i="2" l="1"/>
  <c r="K2338" i="2"/>
  <c r="I2340" i="2" l="1"/>
  <c r="K2339" i="2"/>
  <c r="I2341" i="2" l="1"/>
  <c r="K2340" i="2"/>
  <c r="I2342" i="2" l="1"/>
  <c r="K2341" i="2"/>
  <c r="I2343" i="2" l="1"/>
  <c r="K2342" i="2"/>
  <c r="I2344" i="2" l="1"/>
  <c r="K2343" i="2"/>
  <c r="I2345" i="2" l="1"/>
  <c r="K2344" i="2"/>
  <c r="I2346" i="2" l="1"/>
  <c r="K2345" i="2"/>
  <c r="I2347" i="2" l="1"/>
  <c r="K2346" i="2"/>
  <c r="I2348" i="2" l="1"/>
  <c r="K2347" i="2"/>
  <c r="I2349" i="2" l="1"/>
  <c r="K2348" i="2"/>
  <c r="I2350" i="2" l="1"/>
  <c r="K2349" i="2"/>
  <c r="I2351" i="2" l="1"/>
  <c r="K2350" i="2"/>
  <c r="I2352" i="2" l="1"/>
  <c r="K2351" i="2"/>
  <c r="I2353" i="2" l="1"/>
  <c r="K2352" i="2"/>
  <c r="I2354" i="2" l="1"/>
  <c r="K2353" i="2"/>
  <c r="I2355" i="2" l="1"/>
  <c r="K2354" i="2"/>
  <c r="I2356" i="2" l="1"/>
  <c r="K2355" i="2"/>
  <c r="I2357" i="2" l="1"/>
  <c r="K2356" i="2"/>
  <c r="I2358" i="2" l="1"/>
  <c r="K2357" i="2"/>
  <c r="I2359" i="2" l="1"/>
  <c r="K2358" i="2"/>
  <c r="I2360" i="2" l="1"/>
  <c r="K2359" i="2"/>
  <c r="I2361" i="2" l="1"/>
  <c r="K2360" i="2"/>
  <c r="I2362" i="2" l="1"/>
  <c r="K2361" i="2"/>
  <c r="I2363" i="2" l="1"/>
  <c r="K2362" i="2"/>
  <c r="I2364" i="2" l="1"/>
  <c r="K2363" i="2"/>
  <c r="I2365" i="2" l="1"/>
  <c r="K2364" i="2"/>
  <c r="I2366" i="2" l="1"/>
  <c r="K2365" i="2"/>
  <c r="I2367" i="2" l="1"/>
  <c r="K2366" i="2"/>
  <c r="I2368" i="2" l="1"/>
  <c r="K2367" i="2"/>
  <c r="I2369" i="2" l="1"/>
  <c r="K2368" i="2"/>
  <c r="I2370" i="2" l="1"/>
  <c r="K2369" i="2"/>
  <c r="I2371" i="2" l="1"/>
  <c r="K2370" i="2"/>
  <c r="I2372" i="2" l="1"/>
  <c r="K2371" i="2"/>
  <c r="I2373" i="2" l="1"/>
  <c r="K2372" i="2"/>
  <c r="I2374" i="2" l="1"/>
  <c r="K2373" i="2"/>
  <c r="I2375" i="2" l="1"/>
  <c r="K2374" i="2"/>
  <c r="I2376" i="2" l="1"/>
  <c r="K2375" i="2"/>
  <c r="I2377" i="2" l="1"/>
  <c r="K2376" i="2"/>
  <c r="I2378" i="2" l="1"/>
  <c r="K2377" i="2"/>
  <c r="I2379" i="2" l="1"/>
  <c r="K2378" i="2"/>
  <c r="I2380" i="2" l="1"/>
  <c r="K2379" i="2"/>
  <c r="I2381" i="2" l="1"/>
  <c r="K2380" i="2"/>
  <c r="I2382" i="2" l="1"/>
  <c r="K2381" i="2"/>
  <c r="I2383" i="2" l="1"/>
  <c r="K2382" i="2"/>
  <c r="I2384" i="2" l="1"/>
  <c r="K2383" i="2"/>
  <c r="I2385" i="2" l="1"/>
  <c r="K2384" i="2"/>
  <c r="I2386" i="2" l="1"/>
  <c r="K2385" i="2"/>
  <c r="I2387" i="2" l="1"/>
  <c r="K2386" i="2"/>
  <c r="I2388" i="2" l="1"/>
  <c r="K2387" i="2"/>
  <c r="I2389" i="2" l="1"/>
  <c r="K2388" i="2"/>
  <c r="I2390" i="2" l="1"/>
  <c r="K2389" i="2"/>
  <c r="I2391" i="2" l="1"/>
  <c r="K2390" i="2"/>
  <c r="I2392" i="2" l="1"/>
  <c r="K2391" i="2"/>
  <c r="I2393" i="2" l="1"/>
  <c r="K2392" i="2"/>
  <c r="I2394" i="2" l="1"/>
  <c r="K2393" i="2"/>
  <c r="I2395" i="2" l="1"/>
  <c r="K2394" i="2"/>
  <c r="I2396" i="2" l="1"/>
  <c r="K2395" i="2"/>
  <c r="I2397" i="2" l="1"/>
  <c r="K2396" i="2"/>
  <c r="I2398" i="2" l="1"/>
  <c r="K2397" i="2"/>
  <c r="I2399" i="2" l="1"/>
  <c r="K2398" i="2"/>
  <c r="I2400" i="2" l="1"/>
  <c r="K2399" i="2"/>
  <c r="I2401" i="2" l="1"/>
  <c r="K2400" i="2"/>
  <c r="I2402" i="2" l="1"/>
  <c r="K2401" i="2"/>
  <c r="I2403" i="2" l="1"/>
  <c r="K2402" i="2"/>
  <c r="I2404" i="2" l="1"/>
  <c r="K2403" i="2"/>
  <c r="I2405" i="2" l="1"/>
  <c r="K2404" i="2"/>
  <c r="I2406" i="2" l="1"/>
  <c r="K2405" i="2"/>
  <c r="I2407" i="2" l="1"/>
  <c r="K2406" i="2"/>
  <c r="I2408" i="2" l="1"/>
  <c r="K2407" i="2"/>
  <c r="I2409" i="2" l="1"/>
  <c r="K2408" i="2"/>
  <c r="I2410" i="2" l="1"/>
  <c r="K2409" i="2"/>
  <c r="I2411" i="2" l="1"/>
  <c r="K2410" i="2"/>
  <c r="I2412" i="2" l="1"/>
  <c r="K2411" i="2"/>
  <c r="I2413" i="2" l="1"/>
  <c r="K2412" i="2"/>
  <c r="I2414" i="2" l="1"/>
  <c r="K2413" i="2"/>
  <c r="I2415" i="2" l="1"/>
  <c r="K2414" i="2"/>
  <c r="I2416" i="2" l="1"/>
  <c r="K2415" i="2"/>
  <c r="I2417" i="2" l="1"/>
  <c r="K2416" i="2"/>
  <c r="I2418" i="2" l="1"/>
  <c r="K2417" i="2"/>
  <c r="I2419" i="2" l="1"/>
  <c r="K2418" i="2"/>
  <c r="I2420" i="2" l="1"/>
  <c r="K2419" i="2"/>
  <c r="I2421" i="2" l="1"/>
  <c r="K2420" i="2"/>
  <c r="I2422" i="2" l="1"/>
  <c r="K2421" i="2"/>
  <c r="I2423" i="2" l="1"/>
  <c r="K2422" i="2"/>
  <c r="I2424" i="2" l="1"/>
  <c r="K2423" i="2"/>
  <c r="I2425" i="2" l="1"/>
  <c r="K2424" i="2"/>
  <c r="I2426" i="2" l="1"/>
  <c r="K2425" i="2"/>
  <c r="I2427" i="2" l="1"/>
  <c r="K2426" i="2"/>
  <c r="I2428" i="2" l="1"/>
  <c r="K2427" i="2"/>
  <c r="I2429" i="2" l="1"/>
  <c r="K2428" i="2"/>
  <c r="I2430" i="2" l="1"/>
  <c r="K2429" i="2"/>
  <c r="I2431" i="2" l="1"/>
  <c r="K2430" i="2"/>
  <c r="I2432" i="2" l="1"/>
  <c r="K2431" i="2"/>
  <c r="I2433" i="2" l="1"/>
  <c r="K2432" i="2"/>
  <c r="I2434" i="2" l="1"/>
  <c r="K2433" i="2"/>
  <c r="I2435" i="2" l="1"/>
  <c r="K2434" i="2"/>
  <c r="I2436" i="2" l="1"/>
  <c r="K2435" i="2"/>
  <c r="I2437" i="2" l="1"/>
  <c r="K2436" i="2"/>
  <c r="I2438" i="2" l="1"/>
  <c r="K2437" i="2"/>
  <c r="I2439" i="2" l="1"/>
  <c r="K2438" i="2"/>
  <c r="I2440" i="2" l="1"/>
  <c r="K2439" i="2"/>
  <c r="I2441" i="2" l="1"/>
  <c r="K2440" i="2"/>
  <c r="I2442" i="2" l="1"/>
  <c r="K2441" i="2"/>
  <c r="I2443" i="2" l="1"/>
  <c r="K2442" i="2"/>
  <c r="I2444" i="2" l="1"/>
  <c r="K2443" i="2"/>
  <c r="I2445" i="2" l="1"/>
  <c r="K2444" i="2"/>
  <c r="I2446" i="2" l="1"/>
  <c r="K2445" i="2"/>
  <c r="I2447" i="2" l="1"/>
  <c r="K2446" i="2"/>
  <c r="I2448" i="2" l="1"/>
  <c r="K2447" i="2"/>
  <c r="I2449" i="2" l="1"/>
  <c r="K2448" i="2"/>
  <c r="I2450" i="2" l="1"/>
  <c r="K2449" i="2"/>
  <c r="I2451" i="2" l="1"/>
  <c r="K2450" i="2"/>
  <c r="I2452" i="2" l="1"/>
  <c r="K2451" i="2"/>
  <c r="I2453" i="2" l="1"/>
  <c r="K2452" i="2"/>
  <c r="I2454" i="2" l="1"/>
  <c r="K2453" i="2"/>
  <c r="I2455" i="2" l="1"/>
  <c r="K2454" i="2"/>
  <c r="I2456" i="2" l="1"/>
  <c r="K2455" i="2"/>
  <c r="I2457" i="2" l="1"/>
  <c r="K2456" i="2"/>
  <c r="I2458" i="2" l="1"/>
  <c r="K2457" i="2"/>
  <c r="I2459" i="2" l="1"/>
  <c r="K2458" i="2"/>
  <c r="I2460" i="2" l="1"/>
  <c r="K2459" i="2"/>
  <c r="I2461" i="2" l="1"/>
  <c r="K2460" i="2"/>
  <c r="I2462" i="2" l="1"/>
  <c r="K2461" i="2"/>
  <c r="I2463" i="2" l="1"/>
  <c r="K2462" i="2"/>
  <c r="I2464" i="2" l="1"/>
  <c r="K2463" i="2"/>
  <c r="I2465" i="2" l="1"/>
  <c r="K2464" i="2"/>
  <c r="I2466" i="2" l="1"/>
  <c r="K2465" i="2"/>
  <c r="I2467" i="2" l="1"/>
  <c r="K2466" i="2"/>
  <c r="I2468" i="2" l="1"/>
  <c r="K2467" i="2"/>
  <c r="I2469" i="2" l="1"/>
  <c r="K2468" i="2"/>
  <c r="I2470" i="2" l="1"/>
  <c r="K2469" i="2"/>
  <c r="I2471" i="2" l="1"/>
  <c r="K2470" i="2"/>
  <c r="I2472" i="2" l="1"/>
  <c r="K2471" i="2"/>
  <c r="I2473" i="2" l="1"/>
  <c r="K2472" i="2"/>
  <c r="I2474" i="2" l="1"/>
  <c r="K2473" i="2"/>
  <c r="I2475" i="2" l="1"/>
  <c r="K2474" i="2"/>
  <c r="I2476" i="2" l="1"/>
  <c r="K2475" i="2"/>
  <c r="I2477" i="2" l="1"/>
  <c r="K2476" i="2"/>
  <c r="I2478" i="2" l="1"/>
  <c r="K2477" i="2"/>
  <c r="I2479" i="2" l="1"/>
  <c r="K2478" i="2"/>
  <c r="I2480" i="2" l="1"/>
  <c r="K2479" i="2"/>
  <c r="I2481" i="2" l="1"/>
  <c r="K2480" i="2"/>
  <c r="I2482" i="2" l="1"/>
  <c r="K2481" i="2"/>
  <c r="I2483" i="2" l="1"/>
  <c r="K2482" i="2"/>
  <c r="I2484" i="2" l="1"/>
  <c r="K2483" i="2"/>
  <c r="I2485" i="2" l="1"/>
  <c r="K2484" i="2"/>
  <c r="I2486" i="2" l="1"/>
  <c r="K2485" i="2"/>
  <c r="I2487" i="2" l="1"/>
  <c r="K2486" i="2"/>
  <c r="I2488" i="2" l="1"/>
  <c r="K2487" i="2"/>
  <c r="I2489" i="2" l="1"/>
  <c r="K2488" i="2"/>
  <c r="I2490" i="2" l="1"/>
  <c r="K2489" i="2"/>
  <c r="I2491" i="2" l="1"/>
  <c r="K2490" i="2"/>
  <c r="I2492" i="2" l="1"/>
  <c r="K2491" i="2"/>
  <c r="I2493" i="2" l="1"/>
  <c r="K2492" i="2"/>
  <c r="I2494" i="2" l="1"/>
  <c r="K2493" i="2"/>
  <c r="I2495" i="2" l="1"/>
  <c r="K2494" i="2"/>
  <c r="I2496" i="2" l="1"/>
  <c r="K2495" i="2"/>
  <c r="I2497" i="2" l="1"/>
  <c r="K2496" i="2"/>
  <c r="I2498" i="2" l="1"/>
  <c r="K2497" i="2"/>
  <c r="I2499" i="2" l="1"/>
  <c r="K2498" i="2"/>
  <c r="I2500" i="2" l="1"/>
  <c r="K2499" i="2"/>
  <c r="I2501" i="2" l="1"/>
  <c r="K2500" i="2"/>
  <c r="I2502" i="2" l="1"/>
  <c r="K2501" i="2"/>
  <c r="I2503" i="2" l="1"/>
  <c r="K2502" i="2"/>
  <c r="I2504" i="2" l="1"/>
  <c r="K2503" i="2"/>
  <c r="I2505" i="2" l="1"/>
  <c r="K2504" i="2"/>
  <c r="I2506" i="2" l="1"/>
  <c r="K2505" i="2"/>
  <c r="I2507" i="2" l="1"/>
  <c r="K2506" i="2"/>
  <c r="I2508" i="2" l="1"/>
  <c r="K2507" i="2"/>
  <c r="I2509" i="2" l="1"/>
  <c r="K2508" i="2"/>
  <c r="I2510" i="2" l="1"/>
  <c r="K2509" i="2"/>
  <c r="I2511" i="2" l="1"/>
  <c r="K2510" i="2"/>
  <c r="I2512" i="2" l="1"/>
  <c r="K2511" i="2"/>
  <c r="I2513" i="2" l="1"/>
  <c r="K2512" i="2"/>
  <c r="I2514" i="2" l="1"/>
  <c r="K2513" i="2"/>
  <c r="I2515" i="2" l="1"/>
  <c r="K2514" i="2"/>
  <c r="I2516" i="2" l="1"/>
  <c r="K2515" i="2"/>
  <c r="I2517" i="2" l="1"/>
  <c r="K2516" i="2"/>
  <c r="I2518" i="2" l="1"/>
  <c r="K2517" i="2"/>
  <c r="I2519" i="2" l="1"/>
  <c r="K2518" i="2"/>
  <c r="I2520" i="2" l="1"/>
  <c r="K2519" i="2"/>
  <c r="I2521" i="2" l="1"/>
  <c r="K2520" i="2"/>
  <c r="I2522" i="2" l="1"/>
  <c r="K2521" i="2"/>
  <c r="I2523" i="2" l="1"/>
  <c r="K2522" i="2"/>
  <c r="I2524" i="2" l="1"/>
  <c r="K2523" i="2"/>
  <c r="I2525" i="2" l="1"/>
  <c r="K2524" i="2"/>
  <c r="I2526" i="2" l="1"/>
  <c r="K2525" i="2"/>
  <c r="I2527" i="2" l="1"/>
  <c r="K2526" i="2"/>
  <c r="I2528" i="2" l="1"/>
  <c r="K2527" i="2"/>
  <c r="I2529" i="2" l="1"/>
  <c r="K2528" i="2"/>
  <c r="I2530" i="2" l="1"/>
  <c r="K2529" i="2"/>
  <c r="I2531" i="2" l="1"/>
  <c r="K2530" i="2"/>
  <c r="I2532" i="2" l="1"/>
  <c r="K2531" i="2"/>
  <c r="I2533" i="2" l="1"/>
  <c r="K2532" i="2"/>
  <c r="I2534" i="2" l="1"/>
  <c r="K2533" i="2"/>
  <c r="I2535" i="2" l="1"/>
  <c r="K2534" i="2"/>
  <c r="I2536" i="2" l="1"/>
  <c r="K2535" i="2"/>
  <c r="I2537" i="2" l="1"/>
  <c r="K2536" i="2"/>
  <c r="I2538" i="2" l="1"/>
  <c r="K2537" i="2"/>
  <c r="I2539" i="2" l="1"/>
  <c r="K2538" i="2"/>
  <c r="I2540" i="2" l="1"/>
  <c r="K2539" i="2"/>
  <c r="I2541" i="2" l="1"/>
  <c r="K2540" i="2"/>
  <c r="I2542" i="2" l="1"/>
  <c r="K2541" i="2"/>
  <c r="I2543" i="2" l="1"/>
  <c r="K2542" i="2"/>
  <c r="I2544" i="2" l="1"/>
  <c r="K2543" i="2"/>
  <c r="I2545" i="2" l="1"/>
  <c r="K2544" i="2"/>
  <c r="I2546" i="2" l="1"/>
  <c r="K2545" i="2"/>
  <c r="I2547" i="2" l="1"/>
  <c r="K2546" i="2"/>
  <c r="I2548" i="2" l="1"/>
  <c r="K2547" i="2"/>
  <c r="I2549" i="2" l="1"/>
  <c r="K2548" i="2"/>
  <c r="I2550" i="2" l="1"/>
  <c r="K2549" i="2"/>
  <c r="I2551" i="2" l="1"/>
  <c r="K2550" i="2"/>
  <c r="I2552" i="2" l="1"/>
  <c r="K2551" i="2"/>
  <c r="I2553" i="2" l="1"/>
  <c r="K2552" i="2"/>
  <c r="I2554" i="2" l="1"/>
  <c r="K2553" i="2"/>
  <c r="I2555" i="2" l="1"/>
  <c r="K2554" i="2"/>
  <c r="I2556" i="2" l="1"/>
  <c r="K2555" i="2"/>
  <c r="I2557" i="2" l="1"/>
  <c r="K2556" i="2"/>
  <c r="I2558" i="2" l="1"/>
  <c r="K2557" i="2"/>
  <c r="I2559" i="2" l="1"/>
  <c r="K2558" i="2"/>
  <c r="I2560" i="2" l="1"/>
  <c r="K2559" i="2"/>
  <c r="I2561" i="2" l="1"/>
  <c r="K2560" i="2"/>
  <c r="I2562" i="2" l="1"/>
  <c r="K2561" i="2"/>
  <c r="I2563" i="2" l="1"/>
  <c r="K2562" i="2"/>
  <c r="I2564" i="2" l="1"/>
  <c r="K2563" i="2"/>
  <c r="I2565" i="2" l="1"/>
  <c r="K2564" i="2"/>
  <c r="I2566" i="2" l="1"/>
  <c r="K2565" i="2"/>
  <c r="I2567" i="2" l="1"/>
  <c r="K2566" i="2"/>
  <c r="I2568" i="2" l="1"/>
  <c r="K2567" i="2"/>
  <c r="I2569" i="2" l="1"/>
  <c r="K2568" i="2"/>
  <c r="I2570" i="2" l="1"/>
  <c r="K2569" i="2"/>
  <c r="I2571" i="2" l="1"/>
  <c r="K2570" i="2"/>
  <c r="I2572" i="2" l="1"/>
  <c r="K2571" i="2"/>
  <c r="I2573" i="2" l="1"/>
  <c r="K2572" i="2"/>
  <c r="I2574" i="2" l="1"/>
  <c r="K2573" i="2"/>
  <c r="I2575" i="2" l="1"/>
  <c r="K2574" i="2"/>
  <c r="I2576" i="2" l="1"/>
  <c r="K2575" i="2"/>
  <c r="I2577" i="2" l="1"/>
  <c r="K2576" i="2"/>
  <c r="I2578" i="2" l="1"/>
  <c r="K2577" i="2"/>
  <c r="I2579" i="2" l="1"/>
  <c r="K2578" i="2"/>
  <c r="I2580" i="2" l="1"/>
  <c r="K2579" i="2"/>
  <c r="I2581" i="2" l="1"/>
  <c r="K2580" i="2"/>
  <c r="I2582" i="2" l="1"/>
  <c r="K2581" i="2"/>
  <c r="I2583" i="2" l="1"/>
  <c r="K2582" i="2"/>
  <c r="I2584" i="2" l="1"/>
  <c r="K2583" i="2"/>
  <c r="I2585" i="2" l="1"/>
  <c r="K2584" i="2"/>
  <c r="I2586" i="2" l="1"/>
  <c r="K2585" i="2"/>
  <c r="I2587" i="2" l="1"/>
  <c r="K2586" i="2"/>
  <c r="I2588" i="2" l="1"/>
  <c r="K2587" i="2"/>
  <c r="I2589" i="2" l="1"/>
  <c r="K2588" i="2"/>
  <c r="I2590" i="2" l="1"/>
  <c r="K2589" i="2"/>
  <c r="I2591" i="2" l="1"/>
  <c r="K2590" i="2"/>
  <c r="I2592" i="2" l="1"/>
  <c r="K2591" i="2"/>
  <c r="I2593" i="2" l="1"/>
  <c r="K2592" i="2"/>
  <c r="I2594" i="2" l="1"/>
  <c r="K2593" i="2"/>
  <c r="I2595" i="2" l="1"/>
  <c r="K2594" i="2"/>
  <c r="I2596" i="2" l="1"/>
  <c r="K2595" i="2"/>
  <c r="I2597" i="2" l="1"/>
  <c r="K2596" i="2"/>
  <c r="I2598" i="2" l="1"/>
  <c r="K2597" i="2"/>
  <c r="I2599" i="2" l="1"/>
  <c r="K2598" i="2"/>
  <c r="I2600" i="2" l="1"/>
  <c r="K2599" i="2"/>
  <c r="I2601" i="2" l="1"/>
  <c r="K2600" i="2"/>
  <c r="I2602" i="2" l="1"/>
  <c r="K2601" i="2"/>
  <c r="I2603" i="2" l="1"/>
  <c r="K2602" i="2"/>
  <c r="I2604" i="2" l="1"/>
  <c r="K2603" i="2"/>
  <c r="I2605" i="2" l="1"/>
  <c r="K2604" i="2"/>
  <c r="I2606" i="2" l="1"/>
  <c r="K2605" i="2"/>
  <c r="I2607" i="2" l="1"/>
  <c r="K2606" i="2"/>
  <c r="I2608" i="2" l="1"/>
  <c r="K2607" i="2"/>
  <c r="I2609" i="2" l="1"/>
  <c r="K2608" i="2"/>
  <c r="I2610" i="2" l="1"/>
  <c r="K2609" i="2"/>
  <c r="I2611" i="2" l="1"/>
  <c r="K2610" i="2"/>
  <c r="I2612" i="2" l="1"/>
  <c r="K2611" i="2"/>
  <c r="I2613" i="2" l="1"/>
  <c r="K2612" i="2"/>
  <c r="I2614" i="2" l="1"/>
  <c r="K2613" i="2"/>
  <c r="I2615" i="2" l="1"/>
  <c r="K2614" i="2"/>
  <c r="I2616" i="2" l="1"/>
  <c r="K2615" i="2"/>
  <c r="I2617" i="2" l="1"/>
  <c r="K2616" i="2"/>
  <c r="I2618" i="2" l="1"/>
  <c r="K2617" i="2"/>
  <c r="I2619" i="2" l="1"/>
  <c r="K2618" i="2"/>
  <c r="I2620" i="2" l="1"/>
  <c r="K2619" i="2"/>
  <c r="I2621" i="2" l="1"/>
  <c r="K2620" i="2"/>
  <c r="I2622" i="2" l="1"/>
  <c r="K2621" i="2"/>
  <c r="I2623" i="2" l="1"/>
  <c r="K2622" i="2"/>
  <c r="I2624" i="2" l="1"/>
  <c r="K2623" i="2"/>
  <c r="I2625" i="2" l="1"/>
  <c r="K2624" i="2"/>
  <c r="I2626" i="2" l="1"/>
  <c r="K2625" i="2"/>
  <c r="I2627" i="2" l="1"/>
  <c r="K2626" i="2"/>
  <c r="I2628" i="2" l="1"/>
  <c r="K2627" i="2"/>
  <c r="I2629" i="2" l="1"/>
  <c r="K2628" i="2"/>
  <c r="I2630" i="2" l="1"/>
  <c r="K2629" i="2"/>
  <c r="I2631" i="2" l="1"/>
  <c r="K2630" i="2"/>
  <c r="I2632" i="2" l="1"/>
  <c r="K2631" i="2"/>
  <c r="I2633" i="2" l="1"/>
  <c r="K2632" i="2"/>
  <c r="I2634" i="2" l="1"/>
  <c r="K2633" i="2"/>
  <c r="I2635" i="2" l="1"/>
  <c r="K2634" i="2"/>
  <c r="I2636" i="2" l="1"/>
  <c r="K2635" i="2"/>
  <c r="I2637" i="2" l="1"/>
  <c r="K2636" i="2"/>
  <c r="I2638" i="2" l="1"/>
  <c r="K2637" i="2"/>
  <c r="I2639" i="2" l="1"/>
  <c r="K2638" i="2"/>
  <c r="I2640" i="2" l="1"/>
  <c r="K2639" i="2"/>
  <c r="I2641" i="2" l="1"/>
  <c r="K2640" i="2"/>
  <c r="I2642" i="2" l="1"/>
  <c r="K2641" i="2"/>
  <c r="I2643" i="2" l="1"/>
  <c r="K2642" i="2"/>
  <c r="I2644" i="2" l="1"/>
  <c r="K2643" i="2"/>
  <c r="I2645" i="2" l="1"/>
  <c r="K2644" i="2"/>
  <c r="I2646" i="2" l="1"/>
  <c r="K2645" i="2"/>
  <c r="I2647" i="2" l="1"/>
  <c r="K2646" i="2"/>
  <c r="I2648" i="2" l="1"/>
  <c r="K2647" i="2"/>
  <c r="I2649" i="2" l="1"/>
  <c r="K2648" i="2"/>
  <c r="I2650" i="2" l="1"/>
  <c r="K2649" i="2"/>
  <c r="I2651" i="2" l="1"/>
  <c r="K2650" i="2"/>
  <c r="I2652" i="2" l="1"/>
  <c r="K2651" i="2"/>
  <c r="I2653" i="2" l="1"/>
  <c r="K2652" i="2"/>
  <c r="I2654" i="2" l="1"/>
  <c r="K2653" i="2"/>
  <c r="I2655" i="2" l="1"/>
  <c r="K2654" i="2"/>
  <c r="I2656" i="2" l="1"/>
  <c r="K2655" i="2"/>
  <c r="I2657" i="2" l="1"/>
  <c r="K2656" i="2"/>
  <c r="I2658" i="2" l="1"/>
  <c r="K2657" i="2"/>
  <c r="I2659" i="2" l="1"/>
  <c r="K2658" i="2"/>
  <c r="I2660" i="2" l="1"/>
  <c r="K2659" i="2"/>
  <c r="I2661" i="2" l="1"/>
  <c r="K2660" i="2"/>
  <c r="I2662" i="2" l="1"/>
  <c r="K2661" i="2"/>
  <c r="I2663" i="2" l="1"/>
  <c r="K2662" i="2"/>
  <c r="I2664" i="2" l="1"/>
  <c r="K2663" i="2"/>
  <c r="I2665" i="2" l="1"/>
  <c r="K2664" i="2"/>
  <c r="I2666" i="2" l="1"/>
  <c r="K2665" i="2"/>
  <c r="I2667" i="2" l="1"/>
  <c r="K2666" i="2"/>
  <c r="I2668" i="2" l="1"/>
  <c r="K2667" i="2"/>
  <c r="I2669" i="2" l="1"/>
  <c r="K2668" i="2"/>
  <c r="I2670" i="2" l="1"/>
  <c r="K2669" i="2"/>
  <c r="I2671" i="2" l="1"/>
  <c r="K2670" i="2"/>
  <c r="I2672" i="2" l="1"/>
  <c r="K2671" i="2"/>
  <c r="I2673" i="2" l="1"/>
  <c r="K2672" i="2"/>
  <c r="I2674" i="2" l="1"/>
  <c r="K2673" i="2"/>
  <c r="I2675" i="2" l="1"/>
  <c r="K2674" i="2"/>
  <c r="I2676" i="2" l="1"/>
  <c r="K2675" i="2"/>
  <c r="I2677" i="2" l="1"/>
  <c r="K2676" i="2"/>
  <c r="I2678" i="2" l="1"/>
  <c r="K2677" i="2"/>
  <c r="I2679" i="2" l="1"/>
  <c r="K2678" i="2"/>
  <c r="I2680" i="2" l="1"/>
  <c r="K2679" i="2"/>
  <c r="I2681" i="2" l="1"/>
  <c r="K2680" i="2"/>
  <c r="I2682" i="2" l="1"/>
  <c r="K2681" i="2"/>
  <c r="I2683" i="2" l="1"/>
  <c r="K2682" i="2"/>
  <c r="I2684" i="2" l="1"/>
  <c r="K2683" i="2"/>
  <c r="I2685" i="2" l="1"/>
  <c r="K2684" i="2"/>
  <c r="I2686" i="2" l="1"/>
  <c r="K2685" i="2"/>
  <c r="I2687" i="2" l="1"/>
  <c r="K2686" i="2"/>
  <c r="I2688" i="2" l="1"/>
  <c r="K2687" i="2"/>
  <c r="I2689" i="2" l="1"/>
  <c r="K2688" i="2"/>
  <c r="I2690" i="2" l="1"/>
  <c r="K2689" i="2"/>
  <c r="I2691" i="2" l="1"/>
  <c r="K2690" i="2"/>
  <c r="I2692" i="2" l="1"/>
  <c r="K2691" i="2"/>
  <c r="I2693" i="2" l="1"/>
  <c r="K2692" i="2"/>
  <c r="I2694" i="2" l="1"/>
  <c r="K2693" i="2"/>
  <c r="I2695" i="2" l="1"/>
  <c r="K2694" i="2"/>
  <c r="I2696" i="2" l="1"/>
  <c r="K2695" i="2"/>
  <c r="I2697" i="2" l="1"/>
  <c r="K2696" i="2"/>
  <c r="I2698" i="2" l="1"/>
  <c r="K2697" i="2"/>
  <c r="I2699" i="2" l="1"/>
  <c r="K2698" i="2"/>
  <c r="I2700" i="2" l="1"/>
  <c r="K2699" i="2"/>
  <c r="I2701" i="2" l="1"/>
  <c r="K2700" i="2"/>
  <c r="I2702" i="2" l="1"/>
  <c r="K2701" i="2"/>
  <c r="I2703" i="2" l="1"/>
  <c r="K2702" i="2"/>
  <c r="I2704" i="2" l="1"/>
  <c r="K2703" i="2"/>
  <c r="I2705" i="2" l="1"/>
  <c r="K2704" i="2"/>
  <c r="I2706" i="2" l="1"/>
  <c r="K2705" i="2"/>
  <c r="I2707" i="2" l="1"/>
  <c r="K2706" i="2"/>
  <c r="I2708" i="2" l="1"/>
  <c r="K2707" i="2"/>
  <c r="I2709" i="2" l="1"/>
  <c r="K2708" i="2"/>
  <c r="I2710" i="2" l="1"/>
  <c r="K2709" i="2"/>
  <c r="I2711" i="2" l="1"/>
  <c r="K2710" i="2"/>
  <c r="I2712" i="2" l="1"/>
  <c r="K2711" i="2"/>
  <c r="I2713" i="2" l="1"/>
  <c r="K2712" i="2"/>
  <c r="I2714" i="2" l="1"/>
  <c r="K2713" i="2"/>
  <c r="I2715" i="2" l="1"/>
  <c r="K2714" i="2"/>
  <c r="I2716" i="2" l="1"/>
  <c r="K2715" i="2"/>
  <c r="I2717" i="2" l="1"/>
  <c r="K2716" i="2"/>
  <c r="I2718" i="2" l="1"/>
  <c r="K2717" i="2"/>
  <c r="I2719" i="2" l="1"/>
  <c r="K2718" i="2"/>
  <c r="I2720" i="2" l="1"/>
  <c r="K2719" i="2"/>
  <c r="I2721" i="2" l="1"/>
  <c r="K2720" i="2"/>
  <c r="I2722" i="2" l="1"/>
  <c r="K2721" i="2"/>
  <c r="I2723" i="2" l="1"/>
  <c r="K2722" i="2"/>
  <c r="I2724" i="2" l="1"/>
  <c r="K2723" i="2"/>
  <c r="I2725" i="2" l="1"/>
  <c r="K2724" i="2"/>
  <c r="I2726" i="2" l="1"/>
  <c r="K2725" i="2"/>
  <c r="I2727" i="2" l="1"/>
  <c r="K2726" i="2"/>
  <c r="I2728" i="2" l="1"/>
  <c r="K2727" i="2"/>
  <c r="I2729" i="2" l="1"/>
  <c r="K2728" i="2"/>
  <c r="I2730" i="2" l="1"/>
  <c r="K2729" i="2"/>
  <c r="I2731" i="2" l="1"/>
  <c r="K2730" i="2"/>
  <c r="I2732" i="2" l="1"/>
  <c r="K2731" i="2"/>
  <c r="I2733" i="2" l="1"/>
  <c r="K2732" i="2"/>
  <c r="I2734" i="2" l="1"/>
  <c r="K2733" i="2"/>
  <c r="I2735" i="2" l="1"/>
  <c r="K2734" i="2"/>
  <c r="I2736" i="2" l="1"/>
  <c r="K2735" i="2"/>
  <c r="I2737" i="2" l="1"/>
  <c r="K2736" i="2"/>
  <c r="I2738" i="2" l="1"/>
  <c r="K2737" i="2"/>
  <c r="I2739" i="2" l="1"/>
  <c r="K2738" i="2"/>
  <c r="I2740" i="2" l="1"/>
  <c r="K2739" i="2"/>
  <c r="I2741" i="2" l="1"/>
  <c r="K2740" i="2"/>
  <c r="I2742" i="2" l="1"/>
  <c r="K2741" i="2"/>
  <c r="I2743" i="2" l="1"/>
  <c r="K2742" i="2"/>
  <c r="I2744" i="2" l="1"/>
  <c r="K2743" i="2"/>
  <c r="I2745" i="2" l="1"/>
  <c r="K2744" i="2"/>
  <c r="I2746" i="2" l="1"/>
  <c r="K2745" i="2"/>
  <c r="I2747" i="2" l="1"/>
  <c r="K2746" i="2"/>
  <c r="I2748" i="2" l="1"/>
  <c r="K2747" i="2"/>
  <c r="I2749" i="2" l="1"/>
  <c r="K2748" i="2"/>
  <c r="I2750" i="2" l="1"/>
  <c r="K2749" i="2"/>
  <c r="I2751" i="2" l="1"/>
  <c r="K2750" i="2"/>
  <c r="I2752" i="2" l="1"/>
  <c r="K2751" i="2"/>
  <c r="I2753" i="2" l="1"/>
  <c r="K2752" i="2"/>
  <c r="I2754" i="2" l="1"/>
  <c r="K2753" i="2"/>
  <c r="I2755" i="2" l="1"/>
  <c r="K2754" i="2"/>
  <c r="I2756" i="2" l="1"/>
  <c r="K2755" i="2"/>
  <c r="I2757" i="2" l="1"/>
  <c r="K2756" i="2"/>
  <c r="I2758" i="2" l="1"/>
  <c r="K2757" i="2"/>
  <c r="I2759" i="2" l="1"/>
  <c r="K2758" i="2"/>
  <c r="I2760" i="2" l="1"/>
  <c r="K2759" i="2"/>
  <c r="I2761" i="2" l="1"/>
  <c r="K2760" i="2"/>
  <c r="I2762" i="2" l="1"/>
  <c r="K2761" i="2"/>
  <c r="I2763" i="2" l="1"/>
  <c r="K2762" i="2"/>
  <c r="I2764" i="2" l="1"/>
  <c r="K2763" i="2"/>
  <c r="I2765" i="2" l="1"/>
  <c r="K2764" i="2"/>
  <c r="I2766" i="2" l="1"/>
  <c r="K2765" i="2"/>
  <c r="I2767" i="2" l="1"/>
  <c r="K2766" i="2"/>
  <c r="I2768" i="2" l="1"/>
  <c r="K2767" i="2"/>
  <c r="I2769" i="2" l="1"/>
  <c r="K2768" i="2"/>
  <c r="I2770" i="2" l="1"/>
  <c r="K2769" i="2"/>
  <c r="I2771" i="2" l="1"/>
  <c r="K2770" i="2"/>
  <c r="I2772" i="2" l="1"/>
  <c r="K2771" i="2"/>
  <c r="I2773" i="2" l="1"/>
  <c r="K2772" i="2"/>
  <c r="I2774" i="2" l="1"/>
  <c r="K2773" i="2"/>
  <c r="I2775" i="2" l="1"/>
  <c r="K2774" i="2"/>
  <c r="I2776" i="2" l="1"/>
  <c r="K2775" i="2"/>
  <c r="I2777" i="2" l="1"/>
  <c r="K2776" i="2"/>
  <c r="I2778" i="2" l="1"/>
  <c r="K2777" i="2"/>
  <c r="I2779" i="2" l="1"/>
  <c r="K2778" i="2"/>
  <c r="I2780" i="2" l="1"/>
  <c r="K2779" i="2"/>
  <c r="I2781" i="2" l="1"/>
  <c r="K2780" i="2"/>
  <c r="I2782" i="2" l="1"/>
  <c r="K2781" i="2"/>
  <c r="I2783" i="2" l="1"/>
  <c r="K2782" i="2"/>
  <c r="I2784" i="2" l="1"/>
  <c r="K2783" i="2"/>
  <c r="I2785" i="2" l="1"/>
  <c r="K2784" i="2"/>
  <c r="I2786" i="2" l="1"/>
  <c r="K2785" i="2"/>
  <c r="I2787" i="2" l="1"/>
  <c r="K2786" i="2"/>
  <c r="I2788" i="2" l="1"/>
  <c r="K2787" i="2"/>
  <c r="I2789" i="2" l="1"/>
  <c r="K2788" i="2"/>
  <c r="I2790" i="2" l="1"/>
  <c r="K2789" i="2"/>
  <c r="I2791" i="2" l="1"/>
  <c r="K2790" i="2"/>
  <c r="I2792" i="2" l="1"/>
  <c r="K2791" i="2"/>
  <c r="I2793" i="2" l="1"/>
  <c r="K2792" i="2"/>
  <c r="I2794" i="2" l="1"/>
  <c r="K2793" i="2"/>
  <c r="I2795" i="2" l="1"/>
  <c r="K2794" i="2"/>
  <c r="I2796" i="2" l="1"/>
  <c r="K2795" i="2"/>
  <c r="I2797" i="2" l="1"/>
  <c r="K2796" i="2"/>
  <c r="I2798" i="2" l="1"/>
  <c r="K2797" i="2"/>
  <c r="I2799" i="2" l="1"/>
  <c r="K2798" i="2"/>
  <c r="I2800" i="2" l="1"/>
  <c r="K2799" i="2"/>
  <c r="I2801" i="2" l="1"/>
  <c r="K2800" i="2"/>
  <c r="I2802" i="2" l="1"/>
  <c r="K2801" i="2"/>
  <c r="I2803" i="2" l="1"/>
  <c r="K2802" i="2"/>
  <c r="I2804" i="2" l="1"/>
  <c r="K2803" i="2"/>
  <c r="I2805" i="2" l="1"/>
  <c r="K2804" i="2"/>
  <c r="I2806" i="2" l="1"/>
  <c r="K2805" i="2"/>
  <c r="I2807" i="2" l="1"/>
  <c r="K2806" i="2"/>
  <c r="I2808" i="2" l="1"/>
  <c r="K2807" i="2"/>
  <c r="I2809" i="2" l="1"/>
  <c r="K2808" i="2"/>
  <c r="I2810" i="2" l="1"/>
  <c r="K2809" i="2"/>
  <c r="I2811" i="2" l="1"/>
  <c r="K2810" i="2"/>
  <c r="I2812" i="2" l="1"/>
  <c r="K2811" i="2"/>
  <c r="I2813" i="2" l="1"/>
  <c r="K2812" i="2"/>
  <c r="I2814" i="2" l="1"/>
  <c r="K2813" i="2"/>
  <c r="I2815" i="2" l="1"/>
  <c r="K2814" i="2"/>
  <c r="I2816" i="2" l="1"/>
  <c r="K2815" i="2"/>
  <c r="I2817" i="2" l="1"/>
  <c r="K2816" i="2"/>
  <c r="I2818" i="2" l="1"/>
  <c r="K2817" i="2"/>
  <c r="I2819" i="2" l="1"/>
  <c r="K2818" i="2"/>
  <c r="I2820" i="2" l="1"/>
  <c r="K2819" i="2"/>
  <c r="I2821" i="2" l="1"/>
  <c r="K2820" i="2"/>
  <c r="I2822" i="2" l="1"/>
  <c r="K2821" i="2"/>
  <c r="I2823" i="2" l="1"/>
  <c r="K2822" i="2"/>
  <c r="I2824" i="2" l="1"/>
  <c r="K2823" i="2"/>
  <c r="I2825" i="2" l="1"/>
  <c r="K2824" i="2"/>
  <c r="I2826" i="2" l="1"/>
  <c r="K2825" i="2"/>
  <c r="I2827" i="2" l="1"/>
  <c r="K2826" i="2"/>
  <c r="I2828" i="2" l="1"/>
  <c r="K2827" i="2"/>
  <c r="I2829" i="2" l="1"/>
  <c r="K2828" i="2"/>
  <c r="I2830" i="2" l="1"/>
  <c r="K2829" i="2"/>
  <c r="I2831" i="2" l="1"/>
  <c r="K2830" i="2"/>
  <c r="I2832" i="2" l="1"/>
  <c r="K2831" i="2"/>
  <c r="I2833" i="2" l="1"/>
  <c r="K2832" i="2"/>
  <c r="I2834" i="2" l="1"/>
  <c r="K2833" i="2"/>
  <c r="I2835" i="2" l="1"/>
  <c r="K2834" i="2"/>
  <c r="I2836" i="2" l="1"/>
  <c r="K2835" i="2"/>
  <c r="I2837" i="2" l="1"/>
  <c r="K2836" i="2"/>
  <c r="I2838" i="2" l="1"/>
  <c r="K2837" i="2"/>
  <c r="I2839" i="2" l="1"/>
  <c r="K2838" i="2"/>
  <c r="I2840" i="2" l="1"/>
  <c r="K2839" i="2"/>
  <c r="I2841" i="2" l="1"/>
  <c r="K2840" i="2"/>
  <c r="I2842" i="2" l="1"/>
  <c r="K2841" i="2"/>
  <c r="I2843" i="2" l="1"/>
  <c r="K2842" i="2"/>
  <c r="I2844" i="2" l="1"/>
  <c r="K2843" i="2"/>
  <c r="I2845" i="2" l="1"/>
  <c r="K2844" i="2"/>
  <c r="I2846" i="2" l="1"/>
  <c r="K2845" i="2"/>
  <c r="I2847" i="2" l="1"/>
  <c r="K2846" i="2"/>
  <c r="I2848" i="2" l="1"/>
  <c r="K2847" i="2"/>
  <c r="I2849" i="2" l="1"/>
  <c r="K2848" i="2"/>
  <c r="I2850" i="2" l="1"/>
  <c r="K2849" i="2"/>
  <c r="I2851" i="2" l="1"/>
  <c r="K2850" i="2"/>
  <c r="I2852" i="2" l="1"/>
  <c r="K2851" i="2"/>
  <c r="I2853" i="2" l="1"/>
  <c r="K2852" i="2"/>
  <c r="I2854" i="2" l="1"/>
  <c r="K2853" i="2"/>
  <c r="I2855" i="2" l="1"/>
  <c r="K2854" i="2"/>
  <c r="I2856" i="2" l="1"/>
  <c r="K2855" i="2"/>
  <c r="I2857" i="2" l="1"/>
  <c r="K2856" i="2"/>
  <c r="I2858" i="2" l="1"/>
  <c r="K2857" i="2"/>
  <c r="I2859" i="2" l="1"/>
  <c r="K2858" i="2"/>
  <c r="I2860" i="2" l="1"/>
  <c r="K2859" i="2"/>
  <c r="I2861" i="2" l="1"/>
  <c r="K2860" i="2"/>
  <c r="I2862" i="2" l="1"/>
  <c r="K2861" i="2"/>
  <c r="I2863" i="2" l="1"/>
  <c r="K2862" i="2"/>
  <c r="I2864" i="2" l="1"/>
  <c r="K2863" i="2"/>
  <c r="I2865" i="2" l="1"/>
  <c r="K2864" i="2"/>
  <c r="I2866" i="2" l="1"/>
  <c r="K2865" i="2"/>
  <c r="I2867" i="2" l="1"/>
  <c r="K2866" i="2"/>
  <c r="I2868" i="2" l="1"/>
  <c r="K2867" i="2"/>
  <c r="I2869" i="2" l="1"/>
  <c r="K2868" i="2"/>
  <c r="I2870" i="2" l="1"/>
  <c r="K2869" i="2"/>
  <c r="I2871" i="2" l="1"/>
  <c r="K2870" i="2"/>
  <c r="I2872" i="2" l="1"/>
  <c r="K2871" i="2"/>
  <c r="I2873" i="2" l="1"/>
  <c r="K2872" i="2"/>
  <c r="I2874" i="2" l="1"/>
  <c r="K2873" i="2"/>
  <c r="I2875" i="2" l="1"/>
  <c r="K2874" i="2"/>
  <c r="I2876" i="2" l="1"/>
  <c r="K2875" i="2"/>
  <c r="I2877" i="2" l="1"/>
  <c r="K2876" i="2"/>
  <c r="I2878" i="2" l="1"/>
  <c r="K2877" i="2"/>
  <c r="I2879" i="2" l="1"/>
  <c r="K2878" i="2"/>
  <c r="I2880" i="2" l="1"/>
  <c r="K2879" i="2"/>
  <c r="I2881" i="2" l="1"/>
  <c r="K2880" i="2"/>
  <c r="I2882" i="2" l="1"/>
  <c r="K2881" i="2"/>
  <c r="I2883" i="2" l="1"/>
  <c r="K2882" i="2"/>
  <c r="I2884" i="2" l="1"/>
  <c r="K2883" i="2"/>
  <c r="I2885" i="2" l="1"/>
  <c r="K2884" i="2"/>
  <c r="I2886" i="2" l="1"/>
  <c r="K2885" i="2"/>
  <c r="I2887" i="2" l="1"/>
  <c r="K2886" i="2"/>
  <c r="I2888" i="2" l="1"/>
  <c r="K2887" i="2"/>
  <c r="I2889" i="2" l="1"/>
  <c r="K2888" i="2"/>
  <c r="I2890" i="2" l="1"/>
  <c r="K2889" i="2"/>
  <c r="I2891" i="2" l="1"/>
  <c r="K2890" i="2"/>
  <c r="I2892" i="2" l="1"/>
  <c r="K2891" i="2"/>
  <c r="I2893" i="2" l="1"/>
  <c r="K2892" i="2"/>
  <c r="I2894" i="2" l="1"/>
  <c r="K2893" i="2"/>
  <c r="I2895" i="2" l="1"/>
  <c r="K2894" i="2"/>
  <c r="I2896" i="2" l="1"/>
  <c r="K2895" i="2"/>
  <c r="I2897" i="2" l="1"/>
  <c r="K2896" i="2"/>
  <c r="I2898" i="2" l="1"/>
  <c r="K2897" i="2"/>
  <c r="I2899" i="2" l="1"/>
  <c r="K2898" i="2"/>
  <c r="I2900" i="2" l="1"/>
  <c r="K2899" i="2"/>
  <c r="I2901" i="2" l="1"/>
  <c r="K2900" i="2"/>
  <c r="I2902" i="2" l="1"/>
  <c r="K2901" i="2"/>
  <c r="I2903" i="2" l="1"/>
  <c r="K2902" i="2"/>
  <c r="I2904" i="2" l="1"/>
  <c r="K2903" i="2"/>
  <c r="I2905" i="2" l="1"/>
  <c r="K2904" i="2"/>
  <c r="I2906" i="2" l="1"/>
  <c r="K2905" i="2"/>
  <c r="I2907" i="2" l="1"/>
  <c r="K2906" i="2"/>
  <c r="I2908" i="2" l="1"/>
  <c r="K2907" i="2"/>
  <c r="I2909" i="2" l="1"/>
  <c r="K2908" i="2"/>
  <c r="I2910" i="2" l="1"/>
  <c r="K2909" i="2"/>
  <c r="I2911" i="2" l="1"/>
  <c r="K2910" i="2"/>
  <c r="I2912" i="2" l="1"/>
  <c r="K2911" i="2"/>
  <c r="I2913" i="2" l="1"/>
  <c r="K2912" i="2"/>
  <c r="I2914" i="2" l="1"/>
  <c r="K2913" i="2"/>
  <c r="I2915" i="2" l="1"/>
  <c r="K2914" i="2"/>
  <c r="I2916" i="2" l="1"/>
  <c r="K2915" i="2"/>
  <c r="I2917" i="2" l="1"/>
  <c r="K2916" i="2"/>
  <c r="I2918" i="2" l="1"/>
  <c r="K2917" i="2"/>
  <c r="I2919" i="2" l="1"/>
  <c r="K2918" i="2"/>
  <c r="I2920" i="2" l="1"/>
  <c r="K2919" i="2"/>
  <c r="I2921" i="2" l="1"/>
  <c r="K2920" i="2"/>
  <c r="I2922" i="2" l="1"/>
  <c r="K2921" i="2"/>
  <c r="I2923" i="2" l="1"/>
  <c r="K2922" i="2"/>
  <c r="I2924" i="2" l="1"/>
  <c r="K2923" i="2"/>
  <c r="I2925" i="2" l="1"/>
  <c r="K2924" i="2"/>
  <c r="I2926" i="2" l="1"/>
  <c r="K2925" i="2"/>
  <c r="I2927" i="2" l="1"/>
  <c r="K2926" i="2"/>
  <c r="I2928" i="2" l="1"/>
  <c r="K2927" i="2"/>
  <c r="I2929" i="2" l="1"/>
  <c r="K2928" i="2"/>
  <c r="I2930" i="2" l="1"/>
  <c r="K2929" i="2"/>
  <c r="I2931" i="2" l="1"/>
  <c r="K2930" i="2"/>
  <c r="I2932" i="2" l="1"/>
  <c r="K2931" i="2"/>
  <c r="I2933" i="2" l="1"/>
  <c r="K2932" i="2"/>
  <c r="I2934" i="2" l="1"/>
  <c r="K2933" i="2"/>
  <c r="I2935" i="2" l="1"/>
  <c r="K2934" i="2"/>
  <c r="I2936" i="2" l="1"/>
  <c r="K2935" i="2"/>
  <c r="I2937" i="2" l="1"/>
  <c r="K2936" i="2"/>
  <c r="I2938" i="2" l="1"/>
  <c r="K2937" i="2"/>
  <c r="I2939" i="2" l="1"/>
  <c r="K2938" i="2"/>
  <c r="I2940" i="2" l="1"/>
  <c r="K2939" i="2"/>
  <c r="I2941" i="2" l="1"/>
  <c r="K2940" i="2"/>
  <c r="I2942" i="2" l="1"/>
  <c r="K2941" i="2"/>
  <c r="I2943" i="2" l="1"/>
  <c r="K2942" i="2"/>
  <c r="I2944" i="2" l="1"/>
  <c r="K2943" i="2"/>
  <c r="I2945" i="2" l="1"/>
  <c r="K2944" i="2"/>
  <c r="I2946" i="2" l="1"/>
  <c r="K2945" i="2"/>
  <c r="I2947" i="2" l="1"/>
  <c r="K2946" i="2"/>
  <c r="I2948" i="2" l="1"/>
  <c r="K2947" i="2"/>
  <c r="I2949" i="2" l="1"/>
  <c r="K2948" i="2"/>
  <c r="I2950" i="2" l="1"/>
  <c r="K2949" i="2"/>
  <c r="I2951" i="2" l="1"/>
  <c r="K2950" i="2"/>
  <c r="I2952" i="2" l="1"/>
  <c r="K2951" i="2"/>
  <c r="I2953" i="2" l="1"/>
  <c r="K2952" i="2"/>
  <c r="I2954" i="2" l="1"/>
  <c r="K2953" i="2"/>
  <c r="I2955" i="2" l="1"/>
  <c r="K2954" i="2"/>
  <c r="I2956" i="2" l="1"/>
  <c r="K2955" i="2"/>
  <c r="I2957" i="2" l="1"/>
  <c r="K2956" i="2"/>
  <c r="I2958" i="2" l="1"/>
  <c r="K2957" i="2"/>
  <c r="I2959" i="2" l="1"/>
  <c r="K2958" i="2"/>
  <c r="I2960" i="2" l="1"/>
  <c r="K2959" i="2"/>
  <c r="I2961" i="2" l="1"/>
  <c r="K2960" i="2"/>
  <c r="I2962" i="2" l="1"/>
  <c r="K2961" i="2"/>
  <c r="I2963" i="2" l="1"/>
  <c r="K2962" i="2"/>
  <c r="I2964" i="2" l="1"/>
  <c r="K2963" i="2"/>
  <c r="I2965" i="2" l="1"/>
  <c r="K2964" i="2"/>
  <c r="I2966" i="2" l="1"/>
  <c r="K2965" i="2"/>
  <c r="I2967" i="2" l="1"/>
  <c r="K2966" i="2"/>
  <c r="I2968" i="2" l="1"/>
  <c r="K2967" i="2"/>
  <c r="I2969" i="2" l="1"/>
  <c r="K2968" i="2"/>
  <c r="I2970" i="2" l="1"/>
  <c r="K2969" i="2"/>
  <c r="I2971" i="2" l="1"/>
  <c r="K2970" i="2"/>
  <c r="I2972" i="2" l="1"/>
  <c r="K2971" i="2"/>
  <c r="I2973" i="2" l="1"/>
  <c r="K2972" i="2"/>
  <c r="I2974" i="2" l="1"/>
  <c r="K2973" i="2"/>
  <c r="I2975" i="2" l="1"/>
  <c r="K2974" i="2"/>
  <c r="I2976" i="2" l="1"/>
  <c r="K2975" i="2"/>
  <c r="I2977" i="2" l="1"/>
  <c r="K2976" i="2"/>
  <c r="I2978" i="2" l="1"/>
  <c r="K2977" i="2"/>
  <c r="I2979" i="2" l="1"/>
  <c r="K2978" i="2"/>
  <c r="I2980" i="2" l="1"/>
  <c r="K2979" i="2"/>
  <c r="I2981" i="2" l="1"/>
  <c r="K2980" i="2"/>
  <c r="I2982" i="2" l="1"/>
  <c r="K2981" i="2"/>
  <c r="I2983" i="2" l="1"/>
  <c r="K2982" i="2"/>
  <c r="I2984" i="2" l="1"/>
  <c r="K2983" i="2"/>
  <c r="I2985" i="2" l="1"/>
  <c r="K2984" i="2"/>
  <c r="I2986" i="2" l="1"/>
  <c r="K2985" i="2"/>
  <c r="I2987" i="2" l="1"/>
  <c r="K2986" i="2"/>
  <c r="I2988" i="2" l="1"/>
  <c r="K2987" i="2"/>
  <c r="I2989" i="2" l="1"/>
  <c r="K2988" i="2"/>
  <c r="I2990" i="2" l="1"/>
  <c r="K2989" i="2"/>
  <c r="I2991" i="2" l="1"/>
  <c r="K2990" i="2"/>
  <c r="I2992" i="2" l="1"/>
  <c r="K2991" i="2"/>
  <c r="I2993" i="2" l="1"/>
  <c r="K2992" i="2"/>
  <c r="I2994" i="2" l="1"/>
  <c r="K2993" i="2"/>
  <c r="I2995" i="2" l="1"/>
  <c r="K2994" i="2"/>
  <c r="I2996" i="2" l="1"/>
  <c r="K2995" i="2"/>
  <c r="I2997" i="2" l="1"/>
  <c r="K2996" i="2"/>
  <c r="I2998" i="2" l="1"/>
  <c r="K2997" i="2"/>
  <c r="I2999" i="2" l="1"/>
  <c r="K2998" i="2"/>
  <c r="I3000" i="2" l="1"/>
  <c r="K2999" i="2"/>
  <c r="I3001" i="2" l="1"/>
  <c r="K3000" i="2"/>
  <c r="I3002" i="2" l="1"/>
  <c r="K3001" i="2"/>
  <c r="I3003" i="2" l="1"/>
  <c r="K3002" i="2"/>
  <c r="I3004" i="2" l="1"/>
  <c r="K3003" i="2"/>
  <c r="I3005" i="2" l="1"/>
  <c r="K3004" i="2"/>
  <c r="I3006" i="2" l="1"/>
  <c r="K3005" i="2"/>
  <c r="I3007" i="2" l="1"/>
  <c r="K3006" i="2"/>
  <c r="I3008" i="2" l="1"/>
  <c r="K3007" i="2"/>
  <c r="I3009" i="2" l="1"/>
  <c r="K3008" i="2"/>
  <c r="I3010" i="2" l="1"/>
  <c r="K3009" i="2"/>
  <c r="I3011" i="2" l="1"/>
  <c r="K3010" i="2"/>
  <c r="I3012" i="2" l="1"/>
  <c r="K3011" i="2"/>
  <c r="I3013" i="2" l="1"/>
  <c r="K3012" i="2"/>
  <c r="I3014" i="2" l="1"/>
  <c r="K3013" i="2"/>
  <c r="I3015" i="2" l="1"/>
  <c r="K3014" i="2"/>
  <c r="I3016" i="2" l="1"/>
  <c r="K3015" i="2"/>
  <c r="I3017" i="2" l="1"/>
  <c r="K3016" i="2"/>
  <c r="I3018" i="2" l="1"/>
  <c r="K3017" i="2"/>
  <c r="I3019" i="2" l="1"/>
  <c r="K3018" i="2"/>
  <c r="I3020" i="2" l="1"/>
  <c r="K3019" i="2"/>
  <c r="I3021" i="2" l="1"/>
  <c r="K3020" i="2"/>
  <c r="I3022" i="2" l="1"/>
  <c r="K3021" i="2"/>
  <c r="I3023" i="2" l="1"/>
  <c r="K3022" i="2"/>
  <c r="I3024" i="2" l="1"/>
  <c r="K3023" i="2"/>
  <c r="I3025" i="2" l="1"/>
  <c r="K3024" i="2"/>
  <c r="I3026" i="2" l="1"/>
  <c r="K3025" i="2"/>
  <c r="I3027" i="2" l="1"/>
  <c r="K3026" i="2"/>
  <c r="I3028" i="2" l="1"/>
  <c r="K3027" i="2"/>
  <c r="I3029" i="2" l="1"/>
  <c r="K3028" i="2"/>
  <c r="I3030" i="2" l="1"/>
  <c r="K3029" i="2"/>
  <c r="I3031" i="2" l="1"/>
  <c r="K3030" i="2"/>
  <c r="I3032" i="2" l="1"/>
  <c r="K3031" i="2"/>
  <c r="I3033" i="2" l="1"/>
  <c r="K3032" i="2"/>
  <c r="I3034" i="2" l="1"/>
  <c r="K3033" i="2"/>
  <c r="I3035" i="2" l="1"/>
  <c r="K3034" i="2"/>
  <c r="I3036" i="2" l="1"/>
  <c r="K3035" i="2"/>
  <c r="I3037" i="2" l="1"/>
  <c r="K3036" i="2"/>
  <c r="I3038" i="2" l="1"/>
  <c r="K3037" i="2"/>
  <c r="I3039" i="2" l="1"/>
  <c r="K3038" i="2"/>
  <c r="I3040" i="2" l="1"/>
  <c r="K3039" i="2"/>
  <c r="I3041" i="2" l="1"/>
  <c r="K3040" i="2"/>
  <c r="I3042" i="2" l="1"/>
  <c r="K3041" i="2"/>
  <c r="I3043" i="2" l="1"/>
  <c r="K3042" i="2"/>
  <c r="I3044" i="2" l="1"/>
  <c r="K3043" i="2"/>
  <c r="I3045" i="2" l="1"/>
  <c r="K3044" i="2"/>
  <c r="I3046" i="2" l="1"/>
  <c r="K3045" i="2"/>
  <c r="I3047" i="2" l="1"/>
  <c r="K3046" i="2"/>
  <c r="I3048" i="2" l="1"/>
  <c r="K3047" i="2"/>
  <c r="I3049" i="2" l="1"/>
  <c r="K3048" i="2"/>
  <c r="I3050" i="2" l="1"/>
  <c r="K3049" i="2"/>
  <c r="I3051" i="2" l="1"/>
  <c r="K3050" i="2"/>
  <c r="I3052" i="2" l="1"/>
  <c r="K3051" i="2"/>
  <c r="I3053" i="2" l="1"/>
  <c r="K3052" i="2"/>
  <c r="I3054" i="2" l="1"/>
  <c r="K3053" i="2"/>
  <c r="I3055" i="2" l="1"/>
  <c r="K3054" i="2"/>
  <c r="I3056" i="2" l="1"/>
  <c r="K3055" i="2"/>
  <c r="I3057" i="2" l="1"/>
  <c r="K3056" i="2"/>
  <c r="I3058" i="2" l="1"/>
  <c r="K3057" i="2"/>
  <c r="I3059" i="2" l="1"/>
  <c r="K3058" i="2"/>
  <c r="I3060" i="2" l="1"/>
  <c r="K3059" i="2"/>
  <c r="I3061" i="2" l="1"/>
  <c r="K3060" i="2"/>
  <c r="I3062" i="2" l="1"/>
  <c r="K3061" i="2"/>
  <c r="I3063" i="2" l="1"/>
  <c r="K3062" i="2"/>
  <c r="I3064" i="2" l="1"/>
  <c r="K3063" i="2"/>
  <c r="I3065" i="2" l="1"/>
  <c r="K3064" i="2"/>
  <c r="I3066" i="2" l="1"/>
  <c r="K3065" i="2"/>
  <c r="I3067" i="2" l="1"/>
  <c r="K3066" i="2"/>
  <c r="I3068" i="2" l="1"/>
  <c r="K3067" i="2"/>
  <c r="I3069" i="2" l="1"/>
  <c r="K3068" i="2"/>
  <c r="I3070" i="2" l="1"/>
  <c r="K3069" i="2"/>
  <c r="I3071" i="2" l="1"/>
  <c r="K3070" i="2"/>
  <c r="I3072" i="2" l="1"/>
  <c r="K3071" i="2"/>
  <c r="I3073" i="2" l="1"/>
  <c r="K3072" i="2"/>
  <c r="I3074" i="2" l="1"/>
  <c r="K3073" i="2"/>
  <c r="I3075" i="2" l="1"/>
  <c r="K3074" i="2"/>
  <c r="I3076" i="2" l="1"/>
  <c r="K3075" i="2"/>
  <c r="I3077" i="2" l="1"/>
  <c r="K3076" i="2"/>
  <c r="I3078" i="2" l="1"/>
  <c r="K3077" i="2"/>
  <c r="I3079" i="2" l="1"/>
  <c r="K3078" i="2"/>
  <c r="I3080" i="2" l="1"/>
  <c r="K3079" i="2"/>
  <c r="I3081" i="2" l="1"/>
  <c r="K3080" i="2"/>
  <c r="I3082" i="2" l="1"/>
  <c r="K3081" i="2"/>
  <c r="I3083" i="2" l="1"/>
  <c r="K3082" i="2"/>
  <c r="I3084" i="2" l="1"/>
  <c r="K3083" i="2"/>
  <c r="I3085" i="2" l="1"/>
  <c r="K3084" i="2"/>
  <c r="I3086" i="2" l="1"/>
  <c r="K3085" i="2"/>
  <c r="I3087" i="2" l="1"/>
  <c r="K3086" i="2"/>
  <c r="I3088" i="2" l="1"/>
  <c r="K3087" i="2"/>
  <c r="I3089" i="2" l="1"/>
  <c r="K3088" i="2"/>
  <c r="I3090" i="2" l="1"/>
  <c r="K3089" i="2"/>
  <c r="I3091" i="2" l="1"/>
  <c r="K3090" i="2"/>
  <c r="I3092" i="2" l="1"/>
  <c r="K3091" i="2"/>
  <c r="I3093" i="2" l="1"/>
  <c r="K3092" i="2"/>
  <c r="I3094" i="2" l="1"/>
  <c r="K3093" i="2"/>
  <c r="I3095" i="2" l="1"/>
  <c r="K3094" i="2"/>
  <c r="I3096" i="2" l="1"/>
  <c r="K3095" i="2"/>
  <c r="I3097" i="2" l="1"/>
  <c r="K3096" i="2"/>
  <c r="I3098" i="2" l="1"/>
  <c r="K3097" i="2"/>
  <c r="I3099" i="2" l="1"/>
  <c r="K3098" i="2"/>
  <c r="I3100" i="2" l="1"/>
  <c r="K3099" i="2"/>
  <c r="I3101" i="2" l="1"/>
  <c r="K3100" i="2"/>
  <c r="I3102" i="2" l="1"/>
  <c r="K3101" i="2"/>
  <c r="I3103" i="2" l="1"/>
  <c r="K3102" i="2"/>
  <c r="I3104" i="2" l="1"/>
  <c r="K3103" i="2"/>
  <c r="I3105" i="2" l="1"/>
  <c r="K3104" i="2"/>
  <c r="I3106" i="2" l="1"/>
  <c r="K3105" i="2"/>
  <c r="I3107" i="2" l="1"/>
  <c r="K3106" i="2"/>
  <c r="I3108" i="2" l="1"/>
  <c r="K3107" i="2"/>
  <c r="I3109" i="2" l="1"/>
  <c r="K3108" i="2"/>
  <c r="I3110" i="2" l="1"/>
  <c r="K3109" i="2"/>
  <c r="I3111" i="2" l="1"/>
  <c r="K3110" i="2"/>
  <c r="I3112" i="2" l="1"/>
  <c r="K3111" i="2"/>
  <c r="I3113" i="2" l="1"/>
  <c r="K3112" i="2"/>
  <c r="I3114" i="2" l="1"/>
  <c r="K3113" i="2"/>
  <c r="I3115" i="2" l="1"/>
  <c r="K3114" i="2"/>
  <c r="I3116" i="2" l="1"/>
  <c r="K3115" i="2"/>
  <c r="I3117" i="2" l="1"/>
  <c r="K3116" i="2"/>
  <c r="I3118" i="2" l="1"/>
  <c r="K3117" i="2"/>
  <c r="I3119" i="2" l="1"/>
  <c r="K3118" i="2"/>
  <c r="I3120" i="2" l="1"/>
  <c r="K3119" i="2"/>
  <c r="I3121" i="2" l="1"/>
  <c r="K3120" i="2"/>
  <c r="I3122" i="2" l="1"/>
  <c r="K3121" i="2"/>
  <c r="I3123" i="2" l="1"/>
  <c r="K3122" i="2"/>
  <c r="I3124" i="2" l="1"/>
  <c r="K3123" i="2"/>
  <c r="I3125" i="2" l="1"/>
  <c r="K3124" i="2"/>
  <c r="I3126" i="2" l="1"/>
  <c r="K3125" i="2"/>
  <c r="I3127" i="2" l="1"/>
  <c r="K3126" i="2"/>
  <c r="I3128" i="2" l="1"/>
  <c r="K3127" i="2"/>
  <c r="I3129" i="2" l="1"/>
  <c r="K3128" i="2"/>
  <c r="I3130" i="2" l="1"/>
  <c r="K3129" i="2"/>
  <c r="I3131" i="2" l="1"/>
  <c r="K3130" i="2"/>
  <c r="I3132" i="2" l="1"/>
  <c r="K3131" i="2"/>
  <c r="I3133" i="2" l="1"/>
  <c r="K3132" i="2"/>
  <c r="I3134" i="2" l="1"/>
  <c r="K3133" i="2"/>
  <c r="I3135" i="2" l="1"/>
  <c r="K3134" i="2"/>
  <c r="I3136" i="2" l="1"/>
  <c r="K3135" i="2"/>
  <c r="I3137" i="2" l="1"/>
  <c r="K3136" i="2"/>
  <c r="I3138" i="2" l="1"/>
  <c r="K3137" i="2"/>
  <c r="I3139" i="2" l="1"/>
  <c r="K3138" i="2"/>
  <c r="I3140" i="2" l="1"/>
  <c r="K3139" i="2"/>
  <c r="I3141" i="2" l="1"/>
  <c r="K3140" i="2"/>
  <c r="I3142" i="2" l="1"/>
  <c r="K3141" i="2"/>
  <c r="I3143" i="2" l="1"/>
  <c r="K3142" i="2"/>
  <c r="I3144" i="2" l="1"/>
  <c r="K3143" i="2"/>
  <c r="I3145" i="2" l="1"/>
  <c r="K3144" i="2"/>
  <c r="I3146" i="2" l="1"/>
  <c r="K3145" i="2"/>
  <c r="I3147" i="2" l="1"/>
  <c r="K3146" i="2"/>
  <c r="I3148" i="2" l="1"/>
  <c r="K3147" i="2"/>
  <c r="I3149" i="2" l="1"/>
  <c r="K3148" i="2"/>
  <c r="I3150" i="2" l="1"/>
  <c r="K3149" i="2"/>
  <c r="I3151" i="2" l="1"/>
  <c r="K3150" i="2"/>
  <c r="I3152" i="2" l="1"/>
  <c r="K3151" i="2"/>
  <c r="I3153" i="2" l="1"/>
  <c r="K3152" i="2"/>
  <c r="I3154" i="2" l="1"/>
  <c r="K3153" i="2"/>
  <c r="I3155" i="2" l="1"/>
  <c r="K3154" i="2"/>
  <c r="I3156" i="2" l="1"/>
  <c r="K3155" i="2"/>
  <c r="I3157" i="2" l="1"/>
  <c r="K3156" i="2"/>
  <c r="I3158" i="2" l="1"/>
  <c r="K3157" i="2"/>
  <c r="I3159" i="2" l="1"/>
  <c r="K3158" i="2"/>
  <c r="I3160" i="2" l="1"/>
  <c r="K3159" i="2"/>
  <c r="I3161" i="2" l="1"/>
  <c r="K3160" i="2"/>
  <c r="I3162" i="2" l="1"/>
  <c r="K3161" i="2"/>
  <c r="I3163" i="2" l="1"/>
  <c r="K3162" i="2"/>
  <c r="I3164" i="2" l="1"/>
  <c r="K3163" i="2"/>
  <c r="I3165" i="2" l="1"/>
  <c r="K3164" i="2"/>
  <c r="I3166" i="2" l="1"/>
  <c r="K3165" i="2"/>
  <c r="I3167" i="2" l="1"/>
  <c r="K3166" i="2"/>
  <c r="I3168" i="2" l="1"/>
  <c r="K3167" i="2"/>
  <c r="I3169" i="2" l="1"/>
  <c r="K3168" i="2"/>
  <c r="I3170" i="2" l="1"/>
  <c r="K3169" i="2"/>
  <c r="I3171" i="2" l="1"/>
  <c r="K3170" i="2"/>
  <c r="I3172" i="2" l="1"/>
  <c r="K3171" i="2"/>
  <c r="I3173" i="2" l="1"/>
  <c r="K3172" i="2"/>
  <c r="I3174" i="2" l="1"/>
  <c r="K3173" i="2"/>
  <c r="I3175" i="2" l="1"/>
  <c r="K3174" i="2"/>
  <c r="I3176" i="2" l="1"/>
  <c r="K3175" i="2"/>
  <c r="I3177" i="2" l="1"/>
  <c r="K3176" i="2"/>
  <c r="I3178" i="2" l="1"/>
  <c r="K3177" i="2"/>
  <c r="I3179" i="2" l="1"/>
  <c r="K3178" i="2"/>
  <c r="I3180" i="2" l="1"/>
  <c r="K3179" i="2"/>
  <c r="I3181" i="2" l="1"/>
  <c r="K3180" i="2"/>
  <c r="I3182" i="2" l="1"/>
  <c r="K3181" i="2"/>
  <c r="I3183" i="2" l="1"/>
  <c r="K3182" i="2"/>
  <c r="I3184" i="2" l="1"/>
  <c r="K3183" i="2"/>
  <c r="I3185" i="2" l="1"/>
  <c r="K3184" i="2"/>
  <c r="I3186" i="2" l="1"/>
  <c r="K3185" i="2"/>
  <c r="I3187" i="2" l="1"/>
  <c r="K3186" i="2"/>
  <c r="I3188" i="2" l="1"/>
  <c r="K3187" i="2"/>
  <c r="I3189" i="2" l="1"/>
  <c r="K3188" i="2"/>
  <c r="I3190" i="2" l="1"/>
  <c r="K3189" i="2"/>
  <c r="I3191" i="2" l="1"/>
  <c r="K3190" i="2"/>
  <c r="I3192" i="2" l="1"/>
  <c r="K3191" i="2"/>
  <c r="I3193" i="2" l="1"/>
  <c r="K3192" i="2"/>
  <c r="I3194" i="2" l="1"/>
  <c r="K3193" i="2"/>
  <c r="I3195" i="2" l="1"/>
  <c r="K3194" i="2"/>
  <c r="I3196" i="2" l="1"/>
  <c r="K3195" i="2"/>
  <c r="I3197" i="2" l="1"/>
  <c r="K3196" i="2"/>
  <c r="I3198" i="2" l="1"/>
  <c r="K3197" i="2"/>
  <c r="I3199" i="2" l="1"/>
  <c r="K3198" i="2"/>
  <c r="I3200" i="2" l="1"/>
  <c r="K3199" i="2"/>
  <c r="I3201" i="2" l="1"/>
  <c r="K3200" i="2"/>
  <c r="I3202" i="2" l="1"/>
  <c r="K3201" i="2"/>
  <c r="I3203" i="2" l="1"/>
  <c r="K3202" i="2"/>
  <c r="I3204" i="2" l="1"/>
  <c r="K3203" i="2"/>
  <c r="I3205" i="2" l="1"/>
  <c r="K3204" i="2"/>
  <c r="I3206" i="2" l="1"/>
  <c r="K3205" i="2"/>
  <c r="I3207" i="2" l="1"/>
  <c r="K3206" i="2"/>
  <c r="I3208" i="2" l="1"/>
  <c r="K3207" i="2"/>
  <c r="I3209" i="2" l="1"/>
  <c r="K3208" i="2"/>
  <c r="I3210" i="2" l="1"/>
  <c r="K3209" i="2"/>
  <c r="I3211" i="2" l="1"/>
  <c r="K3210" i="2"/>
  <c r="I3212" i="2" l="1"/>
  <c r="K3211" i="2"/>
  <c r="I3213" i="2" l="1"/>
  <c r="K3212" i="2"/>
  <c r="I3214" i="2" l="1"/>
  <c r="K3213" i="2"/>
  <c r="I3215" i="2" l="1"/>
  <c r="K3214" i="2"/>
  <c r="I3216" i="2" l="1"/>
  <c r="K3215" i="2"/>
  <c r="I3217" i="2" l="1"/>
  <c r="K3216" i="2"/>
  <c r="I3218" i="2" l="1"/>
  <c r="K3217" i="2"/>
  <c r="I3219" i="2" l="1"/>
  <c r="K3218" i="2"/>
  <c r="I3220" i="2" l="1"/>
  <c r="K3219" i="2"/>
  <c r="I3221" i="2" l="1"/>
  <c r="K3220" i="2"/>
  <c r="I3222" i="2" l="1"/>
  <c r="K3221" i="2"/>
  <c r="I3223" i="2" l="1"/>
  <c r="K3222" i="2"/>
  <c r="I3224" i="2" l="1"/>
  <c r="K3223" i="2"/>
  <c r="I3225" i="2" l="1"/>
  <c r="K3224" i="2"/>
  <c r="I3226" i="2" l="1"/>
  <c r="K3225" i="2"/>
  <c r="I3227" i="2" l="1"/>
  <c r="K3226" i="2"/>
  <c r="I3228" i="2" l="1"/>
  <c r="K3227" i="2"/>
  <c r="I3229" i="2" l="1"/>
  <c r="K3228" i="2"/>
  <c r="I3230" i="2" l="1"/>
  <c r="K3229" i="2"/>
  <c r="I3231" i="2" l="1"/>
  <c r="K3230" i="2"/>
  <c r="I3232" i="2" l="1"/>
  <c r="K3231" i="2"/>
  <c r="I3233" i="2" l="1"/>
  <c r="K3232" i="2"/>
  <c r="I3234" i="2" l="1"/>
  <c r="K3233" i="2"/>
  <c r="I3235" i="2" l="1"/>
  <c r="K3234" i="2"/>
  <c r="I3236" i="2" l="1"/>
  <c r="K3235" i="2"/>
  <c r="I3237" i="2" l="1"/>
  <c r="K3236" i="2"/>
  <c r="I3238" i="2" l="1"/>
  <c r="K3237" i="2"/>
  <c r="I3239" i="2" l="1"/>
  <c r="K3238" i="2"/>
  <c r="I3240" i="2" l="1"/>
  <c r="K3239" i="2"/>
  <c r="I3241" i="2" l="1"/>
  <c r="K3240" i="2"/>
  <c r="I3242" i="2" l="1"/>
  <c r="K3241" i="2"/>
  <c r="I3243" i="2" l="1"/>
  <c r="K3242" i="2"/>
  <c r="I3244" i="2" l="1"/>
  <c r="K3243" i="2"/>
  <c r="I3245" i="2" l="1"/>
  <c r="K3244" i="2"/>
  <c r="I3246" i="2" l="1"/>
  <c r="K3245" i="2"/>
  <c r="I3247" i="2" l="1"/>
  <c r="K3246" i="2"/>
  <c r="I3248" i="2" l="1"/>
  <c r="K3247" i="2"/>
  <c r="I3249" i="2" l="1"/>
  <c r="K3248" i="2"/>
  <c r="I3250" i="2" l="1"/>
  <c r="K3249" i="2"/>
  <c r="I3251" i="2" l="1"/>
  <c r="K3250" i="2"/>
  <c r="I3252" i="2" l="1"/>
  <c r="K3251" i="2"/>
  <c r="I3253" i="2" l="1"/>
  <c r="K3252" i="2"/>
  <c r="I3254" i="2" l="1"/>
  <c r="K3253" i="2"/>
  <c r="I3255" i="2" l="1"/>
  <c r="K3254" i="2"/>
  <c r="I3256" i="2" l="1"/>
  <c r="K3255" i="2"/>
  <c r="I3257" i="2" l="1"/>
  <c r="K3256" i="2"/>
  <c r="I3258" i="2" l="1"/>
  <c r="K3257" i="2"/>
  <c r="I3259" i="2" l="1"/>
  <c r="K3258" i="2"/>
  <c r="I3260" i="2" l="1"/>
  <c r="K3259" i="2"/>
  <c r="I3261" i="2" l="1"/>
  <c r="K3260" i="2"/>
  <c r="I3262" i="2" l="1"/>
  <c r="K3261" i="2"/>
  <c r="I3263" i="2" l="1"/>
  <c r="K3262" i="2"/>
  <c r="I3264" i="2" l="1"/>
  <c r="K3263" i="2"/>
  <c r="I3265" i="2" l="1"/>
  <c r="K3264" i="2"/>
  <c r="I3266" i="2" l="1"/>
  <c r="K3265" i="2"/>
  <c r="I3267" i="2" l="1"/>
  <c r="K3266" i="2"/>
  <c r="I3268" i="2" l="1"/>
  <c r="K3267" i="2"/>
  <c r="I3269" i="2" l="1"/>
  <c r="K3268" i="2"/>
  <c r="I3270" i="2" l="1"/>
  <c r="K3269" i="2"/>
  <c r="I3271" i="2" l="1"/>
  <c r="K3270" i="2"/>
  <c r="I3272" i="2" l="1"/>
  <c r="K3271" i="2"/>
  <c r="I3273" i="2" l="1"/>
  <c r="K3272" i="2"/>
  <c r="I3274" i="2" l="1"/>
  <c r="K3273" i="2"/>
  <c r="I3275" i="2" l="1"/>
  <c r="K3274" i="2"/>
  <c r="I3276" i="2" l="1"/>
  <c r="K3275" i="2"/>
  <c r="I3277" i="2" l="1"/>
  <c r="K3276" i="2"/>
  <c r="I3278" i="2" l="1"/>
  <c r="K3277" i="2"/>
  <c r="I3279" i="2" l="1"/>
  <c r="K3278" i="2"/>
  <c r="I3280" i="2" l="1"/>
  <c r="K3279" i="2"/>
  <c r="I3281" i="2" l="1"/>
  <c r="K3280" i="2"/>
  <c r="I3282" i="2" l="1"/>
  <c r="K3281" i="2"/>
  <c r="I3283" i="2" l="1"/>
  <c r="K3282" i="2"/>
  <c r="I3284" i="2" l="1"/>
  <c r="K3283" i="2"/>
  <c r="I3285" i="2" l="1"/>
  <c r="K3284" i="2"/>
  <c r="I3286" i="2" l="1"/>
  <c r="K3285" i="2"/>
  <c r="I3287" i="2" l="1"/>
  <c r="K3286" i="2"/>
  <c r="I3288" i="2" l="1"/>
  <c r="K3287" i="2"/>
  <c r="I3289" i="2" l="1"/>
  <c r="K3288" i="2"/>
  <c r="I3290" i="2" l="1"/>
  <c r="K3289" i="2"/>
  <c r="I3291" i="2" l="1"/>
  <c r="K3290" i="2"/>
  <c r="I3292" i="2" l="1"/>
  <c r="K3291" i="2"/>
  <c r="I3293" i="2" l="1"/>
  <c r="K3292" i="2"/>
  <c r="I3294" i="2" l="1"/>
  <c r="K3293" i="2"/>
  <c r="I3295" i="2" l="1"/>
  <c r="K3294" i="2"/>
  <c r="I3296" i="2" l="1"/>
  <c r="K3295" i="2"/>
  <c r="I3297" i="2" l="1"/>
  <c r="K3296" i="2"/>
  <c r="I3298" i="2" l="1"/>
  <c r="K3297" i="2"/>
  <c r="I3299" i="2" l="1"/>
  <c r="K3298" i="2"/>
  <c r="I3300" i="2" l="1"/>
  <c r="K3299" i="2"/>
  <c r="I3301" i="2" l="1"/>
  <c r="K3300" i="2"/>
  <c r="I3302" i="2" l="1"/>
  <c r="K3301" i="2"/>
  <c r="I3303" i="2" l="1"/>
  <c r="K3302" i="2"/>
  <c r="I3304" i="2" l="1"/>
  <c r="K3303" i="2"/>
  <c r="I3305" i="2" l="1"/>
  <c r="K3304" i="2"/>
  <c r="I3306" i="2" l="1"/>
  <c r="K3305" i="2"/>
  <c r="I3307" i="2" l="1"/>
  <c r="K3306" i="2"/>
  <c r="I3308" i="2" l="1"/>
  <c r="K3307" i="2"/>
  <c r="I3309" i="2" l="1"/>
  <c r="K3308" i="2"/>
  <c r="I3310" i="2" l="1"/>
  <c r="K3309" i="2"/>
  <c r="I3311" i="2" l="1"/>
  <c r="K3310" i="2"/>
  <c r="I3312" i="2" l="1"/>
  <c r="K3311" i="2"/>
  <c r="I3313" i="2" l="1"/>
  <c r="K3312" i="2"/>
  <c r="I3314" i="2" l="1"/>
  <c r="K3313" i="2"/>
  <c r="I3315" i="2" l="1"/>
  <c r="K3314" i="2"/>
  <c r="I3316" i="2" l="1"/>
  <c r="K3315" i="2"/>
  <c r="I3317" i="2" l="1"/>
  <c r="K3316" i="2"/>
  <c r="I3318" i="2" l="1"/>
  <c r="K3317" i="2"/>
  <c r="I3319" i="2" l="1"/>
  <c r="K3318" i="2"/>
  <c r="I3320" i="2" l="1"/>
  <c r="K3319" i="2"/>
  <c r="I3321" i="2" l="1"/>
  <c r="K3320" i="2"/>
  <c r="I3322" i="2" l="1"/>
  <c r="K3321" i="2"/>
  <c r="I3323" i="2" l="1"/>
  <c r="K3322" i="2"/>
  <c r="I3324" i="2" l="1"/>
  <c r="K3323" i="2"/>
  <c r="I3325" i="2" l="1"/>
  <c r="K3324" i="2"/>
  <c r="I3326" i="2" l="1"/>
  <c r="K3325" i="2"/>
  <c r="I3327" i="2" l="1"/>
  <c r="K3326" i="2"/>
  <c r="I3328" i="2" l="1"/>
  <c r="K3327" i="2"/>
  <c r="I3329" i="2" l="1"/>
  <c r="K3328" i="2"/>
  <c r="I3330" i="2" l="1"/>
  <c r="K3329" i="2"/>
  <c r="I3331" i="2" l="1"/>
  <c r="K3330" i="2"/>
  <c r="I3332" i="2" l="1"/>
  <c r="K3331" i="2"/>
  <c r="I3333" i="2" l="1"/>
  <c r="K3332" i="2"/>
  <c r="I3334" i="2" l="1"/>
  <c r="K3333" i="2"/>
  <c r="I3335" i="2" l="1"/>
  <c r="K3334" i="2"/>
  <c r="I3336" i="2" l="1"/>
  <c r="K3335" i="2"/>
  <c r="I3337" i="2" l="1"/>
  <c r="K3336" i="2"/>
  <c r="I3338" i="2" l="1"/>
  <c r="K3337" i="2"/>
  <c r="I3339" i="2" l="1"/>
  <c r="K3338" i="2"/>
  <c r="I3340" i="2" l="1"/>
  <c r="K3339" i="2"/>
  <c r="I3341" i="2" l="1"/>
  <c r="K3340" i="2"/>
  <c r="I3342" i="2" l="1"/>
  <c r="K3341" i="2"/>
  <c r="I3343" i="2" l="1"/>
  <c r="K3342" i="2"/>
  <c r="I3344" i="2" l="1"/>
  <c r="K3343" i="2"/>
  <c r="I3345" i="2" l="1"/>
  <c r="K3344" i="2"/>
  <c r="I3346" i="2" l="1"/>
  <c r="K3345" i="2"/>
  <c r="I3347" i="2" l="1"/>
  <c r="K3346" i="2"/>
  <c r="I3348" i="2" l="1"/>
  <c r="K3347" i="2"/>
  <c r="I3349" i="2" l="1"/>
  <c r="K3348" i="2"/>
  <c r="I3350" i="2" l="1"/>
  <c r="K3349" i="2"/>
  <c r="I3351" i="2" l="1"/>
  <c r="K3350" i="2"/>
  <c r="I3352" i="2" l="1"/>
  <c r="K3351" i="2"/>
  <c r="I3353" i="2" l="1"/>
  <c r="K3352" i="2"/>
  <c r="I3354" i="2" l="1"/>
  <c r="K3353" i="2"/>
  <c r="I3355" i="2" l="1"/>
  <c r="K3354" i="2"/>
  <c r="I3356" i="2" l="1"/>
  <c r="K3355" i="2"/>
  <c r="I3357" i="2" l="1"/>
  <c r="K3356" i="2"/>
  <c r="I3358" i="2" l="1"/>
  <c r="K3357" i="2"/>
  <c r="I3359" i="2" l="1"/>
  <c r="K3358" i="2"/>
  <c r="I3360" i="2" l="1"/>
  <c r="K3359" i="2"/>
  <c r="I3361" i="2" l="1"/>
  <c r="K3360" i="2"/>
  <c r="I3362" i="2" l="1"/>
  <c r="K3361" i="2"/>
  <c r="I3363" i="2" l="1"/>
  <c r="K3362" i="2"/>
  <c r="I3364" i="2" l="1"/>
  <c r="K3363" i="2"/>
  <c r="I3365" i="2" l="1"/>
  <c r="K3364" i="2"/>
  <c r="I3366" i="2" l="1"/>
  <c r="K3365" i="2"/>
  <c r="I3367" i="2" l="1"/>
  <c r="K3366" i="2"/>
  <c r="I3368" i="2" l="1"/>
  <c r="K3367" i="2"/>
  <c r="I3369" i="2" l="1"/>
  <c r="K3368" i="2"/>
  <c r="I3370" i="2" l="1"/>
  <c r="K3369" i="2"/>
  <c r="I3371" i="2" l="1"/>
  <c r="K3370" i="2"/>
  <c r="I3372" i="2" l="1"/>
  <c r="K3371" i="2"/>
  <c r="I3373" i="2" l="1"/>
  <c r="K3372" i="2"/>
  <c r="I3374" i="2" l="1"/>
  <c r="K3373" i="2"/>
  <c r="I3375" i="2" l="1"/>
  <c r="K3374" i="2"/>
  <c r="I3376" i="2" l="1"/>
  <c r="K3375" i="2"/>
  <c r="I3377" i="2" l="1"/>
  <c r="K3376" i="2"/>
  <c r="I3378" i="2" l="1"/>
  <c r="K3377" i="2"/>
  <c r="I3379" i="2" l="1"/>
  <c r="K3378" i="2"/>
  <c r="I3380" i="2" l="1"/>
  <c r="K3379" i="2"/>
  <c r="I3381" i="2" l="1"/>
  <c r="K3380" i="2"/>
  <c r="I3382" i="2" l="1"/>
  <c r="K3381" i="2"/>
  <c r="I3383" i="2" l="1"/>
  <c r="K3382" i="2"/>
  <c r="I3384" i="2" l="1"/>
  <c r="K3383" i="2"/>
  <c r="I3385" i="2" l="1"/>
  <c r="K3384" i="2"/>
  <c r="I3386" i="2" l="1"/>
  <c r="K3385" i="2"/>
  <c r="I3387" i="2" l="1"/>
  <c r="K3386" i="2"/>
  <c r="I3388" i="2" l="1"/>
  <c r="K3387" i="2"/>
  <c r="I3389" i="2" l="1"/>
  <c r="K3388" i="2"/>
  <c r="I3390" i="2" l="1"/>
  <c r="K3389" i="2"/>
  <c r="I3391" i="2" l="1"/>
  <c r="K3390" i="2"/>
  <c r="I3392" i="2" l="1"/>
  <c r="K3391" i="2"/>
  <c r="I3393" i="2" l="1"/>
  <c r="K3392" i="2"/>
  <c r="I3394" i="2" l="1"/>
  <c r="K3393" i="2"/>
  <c r="I3395" i="2" l="1"/>
  <c r="K3394" i="2"/>
  <c r="I3396" i="2" l="1"/>
  <c r="K3395" i="2"/>
  <c r="I3397" i="2" l="1"/>
  <c r="K3396" i="2"/>
  <c r="I3398" i="2" l="1"/>
  <c r="K3397" i="2"/>
  <c r="I3399" i="2" l="1"/>
  <c r="K3398" i="2"/>
  <c r="I3400" i="2" l="1"/>
  <c r="K3399" i="2"/>
  <c r="I3401" i="2" l="1"/>
  <c r="K3400" i="2"/>
  <c r="I3402" i="2" l="1"/>
  <c r="K3401" i="2"/>
  <c r="I3403" i="2" l="1"/>
  <c r="K3402" i="2"/>
  <c r="I3404" i="2" l="1"/>
  <c r="K3403" i="2"/>
  <c r="I3405" i="2" l="1"/>
  <c r="K3404" i="2"/>
  <c r="I3406" i="2" l="1"/>
  <c r="K3405" i="2"/>
  <c r="I3407" i="2" l="1"/>
  <c r="K3406" i="2"/>
  <c r="I3408" i="2" l="1"/>
  <c r="K3407" i="2"/>
  <c r="I3409" i="2" l="1"/>
  <c r="K3408" i="2"/>
  <c r="I3410" i="2" l="1"/>
  <c r="K3409" i="2"/>
  <c r="I3411" i="2" l="1"/>
  <c r="K3410" i="2"/>
  <c r="I3412" i="2" l="1"/>
  <c r="K3411" i="2"/>
  <c r="I3413" i="2" l="1"/>
  <c r="K3412" i="2"/>
  <c r="I3414" i="2" l="1"/>
  <c r="K3413" i="2"/>
  <c r="I3415" i="2" l="1"/>
  <c r="K3414" i="2"/>
  <c r="I3416" i="2" l="1"/>
  <c r="K3415" i="2"/>
  <c r="I3417" i="2" l="1"/>
  <c r="K3416" i="2"/>
  <c r="I3418" i="2" l="1"/>
  <c r="K3417" i="2"/>
  <c r="I3419" i="2" l="1"/>
  <c r="K3418" i="2"/>
  <c r="I3420" i="2" l="1"/>
  <c r="K3419" i="2"/>
  <c r="I3421" i="2" l="1"/>
  <c r="K3420" i="2"/>
  <c r="I3422" i="2" l="1"/>
  <c r="K3421" i="2"/>
  <c r="I3423" i="2" l="1"/>
  <c r="K3422" i="2"/>
  <c r="I3424" i="2" l="1"/>
  <c r="K3423" i="2"/>
  <c r="I3425" i="2" l="1"/>
  <c r="K3424" i="2"/>
  <c r="I3426" i="2" l="1"/>
  <c r="K3425" i="2"/>
  <c r="I3427" i="2" l="1"/>
  <c r="K3426" i="2"/>
  <c r="I3428" i="2" l="1"/>
  <c r="K3427" i="2"/>
  <c r="I3429" i="2" l="1"/>
  <c r="K3428" i="2"/>
  <c r="I3430" i="2" l="1"/>
  <c r="K3429" i="2"/>
  <c r="I3431" i="2" l="1"/>
  <c r="K3430" i="2"/>
  <c r="I3432" i="2" l="1"/>
  <c r="K3431" i="2"/>
  <c r="I3433" i="2" l="1"/>
  <c r="K3432" i="2"/>
  <c r="I3434" i="2" l="1"/>
  <c r="K3433" i="2"/>
  <c r="I3435" i="2" l="1"/>
  <c r="K3434" i="2"/>
  <c r="I3436" i="2" l="1"/>
  <c r="K3435" i="2"/>
  <c r="I3437" i="2" l="1"/>
  <c r="K3436" i="2"/>
  <c r="I3438" i="2" l="1"/>
  <c r="K3437" i="2"/>
  <c r="I3439" i="2" l="1"/>
  <c r="K3438" i="2"/>
  <c r="I3440" i="2" l="1"/>
  <c r="K3439" i="2"/>
  <c r="I3441" i="2" l="1"/>
  <c r="K3440" i="2"/>
  <c r="I3442" i="2" l="1"/>
  <c r="K3441" i="2"/>
  <c r="I3443" i="2" l="1"/>
  <c r="K3442" i="2"/>
  <c r="I3444" i="2" l="1"/>
  <c r="K3443" i="2"/>
  <c r="I3445" i="2" l="1"/>
  <c r="K3444" i="2"/>
  <c r="I3446" i="2" l="1"/>
  <c r="K3445" i="2"/>
  <c r="I3447" i="2" l="1"/>
  <c r="K3446" i="2"/>
  <c r="I3448" i="2" l="1"/>
  <c r="K3447" i="2"/>
  <c r="I3449" i="2" l="1"/>
  <c r="K3448" i="2"/>
  <c r="I3450" i="2" l="1"/>
  <c r="K3449" i="2"/>
  <c r="I3451" i="2" l="1"/>
  <c r="K3450" i="2"/>
  <c r="I3452" i="2" l="1"/>
  <c r="K3451" i="2"/>
  <c r="I3453" i="2" l="1"/>
  <c r="K3452" i="2"/>
  <c r="I3454" i="2" l="1"/>
  <c r="K3453" i="2"/>
  <c r="I3455" i="2" l="1"/>
  <c r="K3454" i="2"/>
  <c r="I3456" i="2" l="1"/>
  <c r="K3455" i="2"/>
  <c r="I3457" i="2" l="1"/>
  <c r="K3456" i="2"/>
  <c r="I3458" i="2" l="1"/>
  <c r="K3457" i="2"/>
  <c r="I3459" i="2" l="1"/>
  <c r="K3458" i="2"/>
  <c r="I3460" i="2" l="1"/>
  <c r="K3459" i="2"/>
  <c r="I3461" i="2" l="1"/>
  <c r="K3460" i="2"/>
  <c r="I3462" i="2" l="1"/>
  <c r="K3461" i="2"/>
  <c r="I3463" i="2" l="1"/>
  <c r="K3462" i="2"/>
  <c r="I3464" i="2" l="1"/>
  <c r="K3463" i="2"/>
  <c r="I3465" i="2" l="1"/>
  <c r="K3464" i="2"/>
  <c r="I3466" i="2" l="1"/>
  <c r="K3465" i="2"/>
  <c r="I3467" i="2" l="1"/>
  <c r="K3466" i="2"/>
  <c r="I3468" i="2" l="1"/>
  <c r="K3467" i="2"/>
  <c r="I3469" i="2" l="1"/>
  <c r="K3468" i="2"/>
  <c r="I3470" i="2" l="1"/>
  <c r="K3469" i="2"/>
  <c r="I3471" i="2" l="1"/>
  <c r="K3470" i="2"/>
  <c r="I3472" i="2" l="1"/>
  <c r="K3471" i="2"/>
  <c r="I3473" i="2" l="1"/>
  <c r="K3472" i="2"/>
  <c r="I3474" i="2" l="1"/>
  <c r="K3473" i="2"/>
  <c r="I3475" i="2" l="1"/>
  <c r="K3474" i="2"/>
  <c r="I3476" i="2" l="1"/>
  <c r="K3475" i="2"/>
  <c r="I3477" i="2" l="1"/>
  <c r="K3476" i="2"/>
  <c r="I3478" i="2" l="1"/>
  <c r="K3477" i="2"/>
  <c r="I3479" i="2" l="1"/>
  <c r="K3478" i="2"/>
  <c r="I3480" i="2" l="1"/>
  <c r="K3479" i="2"/>
  <c r="I3481" i="2" l="1"/>
  <c r="K3480" i="2"/>
  <c r="I3482" i="2" l="1"/>
  <c r="K3481" i="2"/>
  <c r="I3483" i="2" l="1"/>
  <c r="K3482" i="2"/>
  <c r="I3484" i="2" l="1"/>
  <c r="K3483" i="2"/>
  <c r="I3485" i="2" l="1"/>
  <c r="K3484" i="2"/>
  <c r="I3486" i="2" l="1"/>
  <c r="K3485" i="2"/>
  <c r="I3487" i="2" l="1"/>
  <c r="K3486" i="2"/>
  <c r="I3488" i="2" l="1"/>
  <c r="K3487" i="2"/>
  <c r="I3489" i="2" l="1"/>
  <c r="K3488" i="2"/>
  <c r="I3490" i="2" l="1"/>
  <c r="K3489" i="2"/>
  <c r="I3491" i="2" l="1"/>
  <c r="K3490" i="2"/>
  <c r="I3492" i="2" l="1"/>
  <c r="K3491" i="2"/>
  <c r="I3493" i="2" l="1"/>
  <c r="K3492" i="2"/>
  <c r="I3494" i="2" l="1"/>
  <c r="K3493" i="2"/>
  <c r="I3495" i="2" l="1"/>
  <c r="K3494" i="2"/>
  <c r="I3496" i="2" l="1"/>
  <c r="K3495" i="2"/>
  <c r="I3497" i="2" l="1"/>
  <c r="K3496" i="2"/>
  <c r="I3498" i="2" l="1"/>
  <c r="K3497" i="2"/>
  <c r="I3499" i="2" l="1"/>
  <c r="K3498" i="2"/>
  <c r="I3500" i="2" l="1"/>
  <c r="K3499" i="2"/>
  <c r="I3501" i="2" l="1"/>
  <c r="K3500" i="2"/>
  <c r="I3502" i="2" l="1"/>
  <c r="K3501" i="2"/>
  <c r="I3503" i="2" l="1"/>
  <c r="K3502" i="2"/>
  <c r="I3504" i="2" l="1"/>
  <c r="K3503" i="2"/>
  <c r="I3505" i="2" l="1"/>
  <c r="K3504" i="2"/>
  <c r="I3506" i="2" l="1"/>
  <c r="K3505" i="2"/>
  <c r="I3507" i="2" l="1"/>
  <c r="K3506" i="2"/>
  <c r="I3508" i="2" l="1"/>
  <c r="K3507" i="2"/>
  <c r="I3509" i="2" l="1"/>
  <c r="K3508" i="2"/>
  <c r="I3510" i="2" l="1"/>
  <c r="K3509" i="2"/>
  <c r="I3511" i="2" l="1"/>
  <c r="K3510" i="2"/>
  <c r="I3512" i="2" l="1"/>
  <c r="K3511" i="2"/>
  <c r="I3513" i="2" l="1"/>
  <c r="K3512" i="2"/>
  <c r="I3514" i="2" l="1"/>
  <c r="K3513" i="2"/>
  <c r="I3515" i="2" l="1"/>
  <c r="K3514" i="2"/>
  <c r="I3516" i="2" l="1"/>
  <c r="K3515" i="2"/>
  <c r="I3517" i="2" l="1"/>
  <c r="K3516" i="2"/>
  <c r="I3518" i="2" l="1"/>
  <c r="K3517" i="2"/>
  <c r="I3519" i="2" l="1"/>
  <c r="K3518" i="2"/>
  <c r="I3520" i="2" l="1"/>
  <c r="K3519" i="2"/>
  <c r="I3521" i="2" l="1"/>
  <c r="K3520" i="2"/>
  <c r="I3522" i="2" l="1"/>
  <c r="K3521" i="2"/>
  <c r="I3523" i="2" l="1"/>
  <c r="K3522" i="2"/>
  <c r="I3524" i="2" l="1"/>
  <c r="K3523" i="2"/>
  <c r="I3525" i="2" l="1"/>
  <c r="K3524" i="2"/>
  <c r="I3526" i="2" l="1"/>
  <c r="K3525" i="2"/>
  <c r="I3527" i="2" l="1"/>
  <c r="K3526" i="2"/>
  <c r="I3528" i="2" l="1"/>
  <c r="K3527" i="2"/>
  <c r="I3529" i="2" l="1"/>
  <c r="K3528" i="2"/>
  <c r="I3530" i="2" l="1"/>
  <c r="K3529" i="2"/>
  <c r="I3531" i="2" l="1"/>
  <c r="K3530" i="2"/>
  <c r="I3532" i="2" l="1"/>
  <c r="K3531" i="2"/>
  <c r="I3533" i="2" l="1"/>
  <c r="K3532" i="2"/>
  <c r="I3534" i="2" l="1"/>
  <c r="K3533" i="2"/>
  <c r="I3535" i="2" l="1"/>
  <c r="K3534" i="2"/>
  <c r="I3536" i="2" l="1"/>
  <c r="K3535" i="2"/>
  <c r="I3537" i="2" l="1"/>
  <c r="K3536" i="2"/>
  <c r="I3538" i="2" l="1"/>
  <c r="K3537" i="2"/>
  <c r="I3539" i="2" l="1"/>
  <c r="K3538" i="2"/>
  <c r="I3540" i="2" l="1"/>
  <c r="K3539" i="2"/>
  <c r="I3541" i="2" l="1"/>
  <c r="K3540" i="2"/>
  <c r="I3542" i="2" l="1"/>
  <c r="K3541" i="2"/>
  <c r="I3543" i="2" l="1"/>
  <c r="K3542" i="2"/>
  <c r="I3544" i="2" l="1"/>
  <c r="K3543" i="2"/>
  <c r="I3545" i="2" l="1"/>
  <c r="K3544" i="2"/>
  <c r="I3546" i="2" l="1"/>
  <c r="K3545" i="2"/>
  <c r="I3547" i="2" l="1"/>
  <c r="K3546" i="2"/>
  <c r="I3548" i="2" l="1"/>
  <c r="K3547" i="2"/>
  <c r="I3549" i="2" l="1"/>
  <c r="K3548" i="2"/>
  <c r="I3550" i="2" l="1"/>
  <c r="K3549" i="2"/>
  <c r="I3551" i="2" l="1"/>
  <c r="K3550" i="2"/>
  <c r="I3552" i="2" l="1"/>
  <c r="K3551" i="2"/>
  <c r="I3553" i="2" l="1"/>
  <c r="K3552" i="2"/>
  <c r="I3554" i="2" l="1"/>
  <c r="K3553" i="2"/>
  <c r="I3555" i="2" l="1"/>
  <c r="K3554" i="2"/>
  <c r="I3556" i="2" l="1"/>
  <c r="K3555" i="2"/>
  <c r="I3557" i="2" l="1"/>
  <c r="K3556" i="2"/>
  <c r="I3558" i="2" l="1"/>
  <c r="K3557" i="2"/>
  <c r="I3559" i="2" l="1"/>
  <c r="K3558" i="2"/>
  <c r="I3560" i="2" l="1"/>
  <c r="K3559" i="2"/>
  <c r="I3561" i="2" l="1"/>
  <c r="K3560" i="2"/>
  <c r="I3562" i="2" l="1"/>
  <c r="K3561" i="2"/>
  <c r="I3563" i="2" l="1"/>
  <c r="K3562" i="2"/>
  <c r="I3564" i="2" l="1"/>
  <c r="K3563" i="2"/>
  <c r="I3565" i="2" l="1"/>
  <c r="K3564" i="2"/>
  <c r="I3566" i="2" l="1"/>
  <c r="K3565" i="2"/>
  <c r="I3567" i="2" l="1"/>
  <c r="K3566" i="2"/>
  <c r="I3568" i="2" l="1"/>
  <c r="K3567" i="2"/>
  <c r="I3569" i="2" l="1"/>
  <c r="K3568" i="2"/>
  <c r="I3570" i="2" l="1"/>
  <c r="K3569" i="2"/>
  <c r="I3571" i="2" l="1"/>
  <c r="K3570" i="2"/>
  <c r="I3572" i="2" l="1"/>
  <c r="K3571" i="2"/>
  <c r="I3573" i="2" l="1"/>
  <c r="K3572" i="2"/>
  <c r="I3574" i="2" l="1"/>
  <c r="K3573" i="2"/>
  <c r="I3575" i="2" l="1"/>
  <c r="K3574" i="2"/>
  <c r="I3576" i="2" l="1"/>
  <c r="K3575" i="2"/>
  <c r="I3577" i="2" l="1"/>
  <c r="K3576" i="2"/>
  <c r="I3578" i="2" l="1"/>
  <c r="K3577" i="2"/>
  <c r="I3579" i="2" l="1"/>
  <c r="K3578" i="2"/>
  <c r="I3580" i="2" l="1"/>
  <c r="K3579" i="2"/>
  <c r="I3581" i="2" l="1"/>
  <c r="K3580" i="2"/>
  <c r="I3582" i="2" l="1"/>
  <c r="K3581" i="2"/>
  <c r="I3583" i="2" l="1"/>
  <c r="K3582" i="2"/>
  <c r="I3584" i="2" l="1"/>
  <c r="K3583" i="2"/>
  <c r="I3585" i="2" l="1"/>
  <c r="K3584" i="2"/>
  <c r="I3586" i="2" l="1"/>
  <c r="K3585" i="2"/>
  <c r="I3587" i="2" l="1"/>
  <c r="K3586" i="2"/>
  <c r="I3588" i="2" l="1"/>
  <c r="K3587" i="2"/>
  <c r="I3589" i="2" l="1"/>
  <c r="K3588" i="2"/>
  <c r="I3590" i="2" l="1"/>
  <c r="K3589" i="2"/>
  <c r="I3591" i="2" l="1"/>
  <c r="K3590" i="2"/>
  <c r="I3592" i="2" l="1"/>
  <c r="K3591" i="2"/>
  <c r="I3593" i="2" l="1"/>
  <c r="K3592" i="2"/>
  <c r="I3594" i="2" l="1"/>
  <c r="K3593" i="2"/>
  <c r="I3595" i="2" l="1"/>
  <c r="K3594" i="2"/>
  <c r="I3596" i="2" l="1"/>
  <c r="K3595" i="2"/>
  <c r="I3597" i="2" l="1"/>
  <c r="K3596" i="2"/>
  <c r="I3598" i="2" l="1"/>
  <c r="K3597" i="2"/>
  <c r="I3599" i="2" l="1"/>
  <c r="K3598" i="2"/>
  <c r="I3600" i="2" l="1"/>
  <c r="K3599" i="2"/>
  <c r="I3601" i="2" l="1"/>
  <c r="K3600" i="2"/>
  <c r="I3602" i="2" l="1"/>
  <c r="K3601" i="2"/>
  <c r="I3603" i="2" l="1"/>
  <c r="K3602" i="2"/>
  <c r="I3604" i="2" l="1"/>
  <c r="K3603" i="2"/>
  <c r="I3605" i="2" l="1"/>
  <c r="K3604" i="2"/>
  <c r="I3606" i="2" l="1"/>
  <c r="K3605" i="2"/>
  <c r="I3607" i="2" l="1"/>
  <c r="K3606" i="2"/>
  <c r="I3608" i="2" l="1"/>
  <c r="K3607" i="2"/>
  <c r="I3609" i="2" l="1"/>
  <c r="K3608" i="2"/>
  <c r="I3610" i="2" l="1"/>
  <c r="K3609" i="2"/>
  <c r="I3611" i="2" l="1"/>
  <c r="K3610" i="2"/>
  <c r="I3612" i="2" l="1"/>
  <c r="K3611" i="2"/>
  <c r="I3613" i="2" l="1"/>
  <c r="K3612" i="2"/>
  <c r="I3614" i="2" l="1"/>
  <c r="K3613" i="2"/>
  <c r="I3615" i="2" l="1"/>
  <c r="K3614" i="2"/>
  <c r="I3616" i="2" l="1"/>
  <c r="K3615" i="2"/>
  <c r="I3617" i="2" l="1"/>
  <c r="K3616" i="2"/>
  <c r="I3618" i="2" l="1"/>
  <c r="K3617" i="2"/>
  <c r="I3619" i="2" l="1"/>
  <c r="K3618" i="2"/>
  <c r="I3620" i="2" l="1"/>
  <c r="K3619" i="2"/>
  <c r="I3621" i="2" l="1"/>
  <c r="K3620" i="2"/>
  <c r="I3622" i="2" l="1"/>
  <c r="K3621" i="2"/>
  <c r="I3623" i="2" l="1"/>
  <c r="K3622" i="2"/>
  <c r="I3624" i="2" l="1"/>
  <c r="K3623" i="2"/>
  <c r="I3625" i="2" l="1"/>
  <c r="K3624" i="2"/>
  <c r="I3626" i="2" l="1"/>
  <c r="K3625" i="2"/>
  <c r="I3627" i="2" l="1"/>
  <c r="K3626" i="2"/>
  <c r="I3628" i="2" l="1"/>
  <c r="K3627" i="2"/>
  <c r="I3629" i="2" l="1"/>
  <c r="K3628" i="2"/>
  <c r="I3630" i="2" l="1"/>
  <c r="K3629" i="2"/>
  <c r="I3631" i="2" l="1"/>
  <c r="K3630" i="2"/>
  <c r="I3632" i="2" l="1"/>
  <c r="K3631" i="2"/>
  <c r="I3633" i="2" l="1"/>
  <c r="K3632" i="2"/>
  <c r="I3634" i="2" l="1"/>
  <c r="K3633" i="2"/>
  <c r="I3635" i="2" l="1"/>
  <c r="K3634" i="2"/>
  <c r="I3636" i="2" l="1"/>
  <c r="K3635" i="2"/>
  <c r="I3637" i="2" l="1"/>
  <c r="K3636" i="2"/>
  <c r="I3638" i="2" l="1"/>
  <c r="K3637" i="2"/>
  <c r="I3639" i="2" l="1"/>
  <c r="K3638" i="2"/>
  <c r="I3640" i="2" l="1"/>
  <c r="K3639" i="2"/>
  <c r="I3641" i="2" l="1"/>
  <c r="K3640" i="2"/>
  <c r="I3642" i="2" l="1"/>
  <c r="K3641" i="2"/>
  <c r="I3643" i="2" l="1"/>
  <c r="K3642" i="2"/>
  <c r="I3644" i="2" l="1"/>
  <c r="K3643" i="2"/>
  <c r="I3645" i="2" l="1"/>
  <c r="K3644" i="2"/>
  <c r="I3646" i="2" l="1"/>
  <c r="K3645" i="2"/>
  <c r="I3647" i="2" l="1"/>
  <c r="K3646" i="2"/>
  <c r="I3648" i="2" l="1"/>
  <c r="K3647" i="2"/>
  <c r="I3649" i="2" l="1"/>
  <c r="K3648" i="2"/>
  <c r="I3650" i="2" l="1"/>
  <c r="K3649" i="2"/>
  <c r="I3651" i="2" l="1"/>
  <c r="K3650" i="2"/>
  <c r="I3652" i="2" l="1"/>
  <c r="K3651" i="2"/>
  <c r="I3653" i="2" l="1"/>
  <c r="K3652" i="2"/>
  <c r="I3654" i="2" l="1"/>
  <c r="K3653" i="2"/>
  <c r="I3655" i="2" l="1"/>
  <c r="K3654" i="2"/>
  <c r="I3656" i="2" l="1"/>
  <c r="K3655" i="2"/>
  <c r="I3657" i="2" l="1"/>
  <c r="K3656" i="2"/>
  <c r="I3658" i="2" l="1"/>
  <c r="K3657" i="2"/>
  <c r="I3659" i="2" l="1"/>
  <c r="K3658" i="2"/>
  <c r="I3660" i="2" l="1"/>
  <c r="K3659" i="2"/>
  <c r="I3661" i="2" l="1"/>
  <c r="K3660" i="2"/>
  <c r="I3662" i="2" l="1"/>
  <c r="K3661" i="2"/>
  <c r="I3663" i="2" l="1"/>
  <c r="K3662" i="2"/>
  <c r="I3664" i="2" l="1"/>
  <c r="K3663" i="2"/>
  <c r="I3665" i="2" l="1"/>
  <c r="K3664" i="2"/>
  <c r="I3666" i="2" l="1"/>
  <c r="K3665" i="2"/>
  <c r="I3667" i="2" l="1"/>
  <c r="K3666" i="2"/>
  <c r="I3668" i="2" l="1"/>
  <c r="K3667" i="2"/>
  <c r="I3669" i="2" l="1"/>
  <c r="K3668" i="2"/>
  <c r="I3670" i="2" l="1"/>
  <c r="K3669" i="2"/>
  <c r="I3671" i="2" l="1"/>
  <c r="K3670" i="2"/>
  <c r="I3672" i="2" l="1"/>
  <c r="K3671" i="2"/>
  <c r="I3673" i="2" l="1"/>
  <c r="K3672" i="2"/>
  <c r="I3674" i="2" l="1"/>
  <c r="K3673" i="2"/>
  <c r="I3675" i="2" l="1"/>
  <c r="K3674" i="2"/>
  <c r="I3676" i="2" l="1"/>
  <c r="K3675" i="2"/>
  <c r="I3677" i="2" l="1"/>
  <c r="K3676" i="2"/>
  <c r="I3678" i="2" l="1"/>
  <c r="K3677" i="2"/>
  <c r="I3679" i="2" l="1"/>
  <c r="K3678" i="2"/>
  <c r="I3680" i="2" l="1"/>
  <c r="K3679" i="2"/>
  <c r="I3681" i="2" l="1"/>
  <c r="K3680" i="2"/>
  <c r="I3682" i="2" l="1"/>
  <c r="K3681" i="2"/>
  <c r="I3683" i="2" l="1"/>
  <c r="K3682" i="2"/>
  <c r="I3684" i="2" l="1"/>
  <c r="K3683" i="2"/>
  <c r="I3685" i="2" l="1"/>
  <c r="K3684" i="2"/>
  <c r="I3686" i="2" l="1"/>
  <c r="K3685" i="2"/>
  <c r="I3687" i="2" l="1"/>
  <c r="K3686" i="2"/>
  <c r="I3688" i="2" l="1"/>
  <c r="K3687" i="2"/>
  <c r="I3689" i="2" l="1"/>
  <c r="K3688" i="2"/>
  <c r="I3690" i="2" l="1"/>
  <c r="K3689" i="2"/>
  <c r="I3691" i="2" l="1"/>
  <c r="K3690" i="2"/>
  <c r="I3692" i="2" l="1"/>
  <c r="K3691" i="2"/>
  <c r="I3693" i="2" l="1"/>
  <c r="K3692" i="2"/>
  <c r="I3694" i="2" l="1"/>
  <c r="K3693" i="2"/>
  <c r="I3695" i="2" l="1"/>
  <c r="K3694" i="2"/>
  <c r="I3696" i="2" l="1"/>
  <c r="K3695" i="2"/>
  <c r="I3697" i="2" l="1"/>
  <c r="K3696" i="2"/>
  <c r="I3698" i="2" l="1"/>
  <c r="K3697" i="2"/>
  <c r="I3699" i="2" l="1"/>
  <c r="K3698" i="2"/>
  <c r="I3700" i="2" l="1"/>
  <c r="K3699" i="2"/>
  <c r="I3701" i="2" l="1"/>
  <c r="K3700" i="2"/>
  <c r="I3702" i="2" l="1"/>
  <c r="K3701" i="2"/>
  <c r="I3703" i="2" l="1"/>
  <c r="K3702" i="2"/>
  <c r="I3704" i="2" l="1"/>
  <c r="K3703" i="2"/>
  <c r="I3705" i="2" l="1"/>
  <c r="K3704" i="2"/>
  <c r="I3706" i="2" l="1"/>
  <c r="K3705" i="2"/>
  <c r="I3707" i="2" l="1"/>
  <c r="K3706" i="2"/>
  <c r="I3708" i="2" l="1"/>
  <c r="K3707" i="2"/>
  <c r="I3709" i="2" l="1"/>
  <c r="K3708" i="2"/>
  <c r="I3710" i="2" l="1"/>
  <c r="K3709" i="2"/>
  <c r="I3711" i="2" l="1"/>
  <c r="K3710" i="2"/>
  <c r="I3712" i="2" l="1"/>
  <c r="K3711" i="2"/>
  <c r="I3713" i="2" l="1"/>
  <c r="K3712" i="2"/>
  <c r="I3714" i="2" l="1"/>
  <c r="K3713" i="2"/>
  <c r="I3715" i="2" l="1"/>
  <c r="K3714" i="2"/>
  <c r="I3716" i="2" l="1"/>
  <c r="K3715" i="2"/>
  <c r="I3717" i="2" l="1"/>
  <c r="K3716" i="2"/>
  <c r="I3718" i="2" l="1"/>
  <c r="K3717" i="2"/>
  <c r="I3719" i="2" l="1"/>
  <c r="K3718" i="2"/>
  <c r="I3720" i="2" l="1"/>
  <c r="K3719" i="2"/>
  <c r="I3721" i="2" l="1"/>
  <c r="K3720" i="2"/>
  <c r="I3722" i="2" l="1"/>
  <c r="K3721" i="2"/>
  <c r="I3723" i="2" l="1"/>
  <c r="K3722" i="2"/>
  <c r="I3724" i="2" l="1"/>
  <c r="K3723" i="2"/>
  <c r="I3725" i="2" l="1"/>
  <c r="K3724" i="2"/>
  <c r="I3726" i="2" l="1"/>
  <c r="K3725" i="2"/>
  <c r="I3727" i="2" l="1"/>
  <c r="K3726" i="2"/>
  <c r="I3728" i="2" l="1"/>
  <c r="K3727" i="2"/>
  <c r="I3729" i="2" l="1"/>
  <c r="K3728" i="2"/>
  <c r="I3730" i="2" l="1"/>
  <c r="K3729" i="2"/>
  <c r="I3731" i="2" l="1"/>
  <c r="K3730" i="2"/>
  <c r="I3732" i="2" l="1"/>
  <c r="K3731" i="2"/>
  <c r="I3733" i="2" l="1"/>
  <c r="K3732" i="2"/>
  <c r="I3734" i="2" l="1"/>
  <c r="K3733" i="2"/>
  <c r="I3735" i="2" l="1"/>
  <c r="K3734" i="2"/>
  <c r="I3736" i="2" l="1"/>
  <c r="K3735" i="2"/>
  <c r="I3737" i="2" l="1"/>
  <c r="K3736" i="2"/>
  <c r="I3738" i="2" l="1"/>
  <c r="K3737" i="2"/>
  <c r="I3739" i="2" l="1"/>
  <c r="K3738" i="2"/>
  <c r="I3740" i="2" l="1"/>
  <c r="K3739" i="2"/>
  <c r="I3741" i="2" l="1"/>
  <c r="K3740" i="2"/>
  <c r="I3742" i="2" l="1"/>
  <c r="K3741" i="2"/>
  <c r="I3743" i="2" l="1"/>
  <c r="K3742" i="2"/>
  <c r="I3744" i="2" l="1"/>
  <c r="K3743" i="2"/>
  <c r="I3745" i="2" l="1"/>
  <c r="K3744" i="2"/>
  <c r="I3746" i="2" l="1"/>
  <c r="K3745" i="2"/>
  <c r="I3747" i="2" l="1"/>
  <c r="K3746" i="2"/>
  <c r="I3748" i="2" l="1"/>
  <c r="K3747" i="2"/>
  <c r="I3749" i="2" l="1"/>
  <c r="K3748" i="2"/>
  <c r="I3750" i="2" l="1"/>
  <c r="K3749" i="2"/>
  <c r="I3751" i="2" l="1"/>
  <c r="K3750" i="2"/>
  <c r="I3752" i="2" l="1"/>
  <c r="K3751" i="2"/>
  <c r="I3753" i="2" l="1"/>
  <c r="K3752" i="2"/>
  <c r="I3754" i="2" l="1"/>
  <c r="K3753" i="2"/>
  <c r="I3755" i="2" l="1"/>
  <c r="K3754" i="2"/>
  <c r="I3756" i="2" l="1"/>
  <c r="K3755" i="2"/>
  <c r="I3757" i="2" l="1"/>
  <c r="K3756" i="2"/>
  <c r="I3758" i="2" l="1"/>
  <c r="K3757" i="2"/>
  <c r="I3759" i="2" l="1"/>
  <c r="K3758" i="2"/>
  <c r="I3760" i="2" l="1"/>
  <c r="K3759" i="2"/>
  <c r="I3761" i="2" l="1"/>
  <c r="K3760" i="2"/>
  <c r="I3762" i="2" l="1"/>
  <c r="K3761" i="2"/>
  <c r="I3763" i="2" l="1"/>
  <c r="K3762" i="2"/>
  <c r="I3764" i="2" l="1"/>
  <c r="K3763" i="2"/>
  <c r="I3765" i="2" l="1"/>
  <c r="K3764" i="2"/>
  <c r="I3766" i="2" l="1"/>
  <c r="K3765" i="2"/>
  <c r="I3767" i="2" l="1"/>
  <c r="K3766" i="2"/>
  <c r="I3768" i="2" l="1"/>
  <c r="K3767" i="2"/>
  <c r="I3769" i="2" l="1"/>
  <c r="K3768" i="2"/>
  <c r="I3770" i="2" l="1"/>
  <c r="K3769" i="2"/>
  <c r="I3771" i="2" l="1"/>
  <c r="K3770" i="2"/>
  <c r="I3772" i="2" l="1"/>
  <c r="K3771" i="2"/>
  <c r="I3773" i="2" l="1"/>
  <c r="K3772" i="2"/>
  <c r="I3774" i="2" l="1"/>
  <c r="K3773" i="2"/>
  <c r="I3775" i="2" l="1"/>
  <c r="K3774" i="2"/>
  <c r="I3776" i="2" l="1"/>
  <c r="K3775" i="2"/>
  <c r="I3777" i="2" l="1"/>
  <c r="K3776" i="2"/>
  <c r="I3778" i="2" l="1"/>
  <c r="K3777" i="2"/>
  <c r="I3779" i="2" l="1"/>
  <c r="K3778" i="2"/>
  <c r="I3780" i="2" l="1"/>
  <c r="K3779" i="2"/>
  <c r="I3781" i="2" l="1"/>
  <c r="K3780" i="2"/>
  <c r="I3782" i="2" l="1"/>
  <c r="K3781" i="2"/>
  <c r="I3783" i="2" l="1"/>
  <c r="K3782" i="2"/>
  <c r="I3784" i="2" l="1"/>
  <c r="K3783" i="2"/>
  <c r="I3785" i="2" l="1"/>
  <c r="K3784" i="2"/>
  <c r="I3786" i="2" l="1"/>
  <c r="K3785" i="2"/>
  <c r="I3787" i="2" l="1"/>
  <c r="K3786" i="2"/>
  <c r="I3788" i="2" l="1"/>
  <c r="K3787" i="2"/>
  <c r="I3789" i="2" l="1"/>
  <c r="K3788" i="2"/>
  <c r="I3790" i="2" l="1"/>
  <c r="K3789" i="2"/>
  <c r="I3791" i="2" l="1"/>
  <c r="K3790" i="2"/>
  <c r="I3792" i="2" l="1"/>
  <c r="K3791" i="2"/>
  <c r="I3793" i="2" l="1"/>
  <c r="K3792" i="2"/>
  <c r="I3794" i="2" l="1"/>
  <c r="K3793" i="2"/>
  <c r="I3795" i="2" l="1"/>
  <c r="K3794" i="2"/>
  <c r="I3796" i="2" l="1"/>
  <c r="K3795" i="2"/>
  <c r="I3797" i="2" l="1"/>
  <c r="K3796" i="2"/>
  <c r="I3798" i="2" l="1"/>
  <c r="K3797" i="2"/>
  <c r="I3799" i="2" l="1"/>
  <c r="K3798" i="2"/>
  <c r="I3800" i="2" l="1"/>
  <c r="K3799" i="2"/>
  <c r="I3801" i="2" l="1"/>
  <c r="K3800" i="2"/>
  <c r="I3802" i="2" l="1"/>
  <c r="K3801" i="2"/>
  <c r="I3803" i="2" l="1"/>
  <c r="K3802" i="2"/>
  <c r="I3804" i="2" l="1"/>
  <c r="K3803" i="2"/>
  <c r="I3805" i="2" l="1"/>
  <c r="K3804" i="2"/>
  <c r="I3806" i="2" l="1"/>
  <c r="K3805" i="2"/>
  <c r="I3807" i="2" l="1"/>
  <c r="K3806" i="2"/>
  <c r="I3808" i="2" l="1"/>
  <c r="K3807" i="2"/>
  <c r="I3809" i="2" l="1"/>
  <c r="K3808" i="2"/>
  <c r="I3810" i="2" l="1"/>
  <c r="K3809" i="2"/>
  <c r="I3811" i="2" l="1"/>
  <c r="K3810" i="2"/>
  <c r="I3812" i="2" l="1"/>
  <c r="K3811" i="2"/>
  <c r="I3813" i="2" l="1"/>
  <c r="K3812" i="2"/>
  <c r="I3814" i="2" l="1"/>
  <c r="K3813" i="2"/>
  <c r="I3815" i="2" l="1"/>
  <c r="K3814" i="2"/>
  <c r="I3816" i="2" l="1"/>
  <c r="K3815" i="2"/>
  <c r="I3817" i="2" l="1"/>
  <c r="K3816" i="2"/>
  <c r="I3818" i="2" l="1"/>
  <c r="K3817" i="2"/>
  <c r="I3819" i="2" l="1"/>
  <c r="K3818" i="2"/>
  <c r="I3820" i="2" l="1"/>
  <c r="K3819" i="2"/>
  <c r="I3821" i="2" l="1"/>
  <c r="K3820" i="2"/>
  <c r="I3822" i="2" l="1"/>
  <c r="K3821" i="2"/>
  <c r="I3823" i="2" l="1"/>
  <c r="K3822" i="2"/>
  <c r="I3824" i="2" l="1"/>
  <c r="K3823" i="2"/>
  <c r="I3825" i="2" l="1"/>
  <c r="K3824" i="2"/>
  <c r="I3826" i="2" l="1"/>
  <c r="K3825" i="2"/>
  <c r="I3827" i="2" l="1"/>
  <c r="K3826" i="2"/>
  <c r="I3828" i="2" l="1"/>
  <c r="K3827" i="2"/>
  <c r="I3829" i="2" l="1"/>
  <c r="K3828" i="2"/>
  <c r="I3830" i="2" l="1"/>
  <c r="K3829" i="2"/>
  <c r="I3831" i="2" l="1"/>
  <c r="K3830" i="2"/>
  <c r="I3832" i="2" l="1"/>
  <c r="K3831" i="2"/>
  <c r="I3833" i="2" l="1"/>
  <c r="K3832" i="2"/>
  <c r="I3834" i="2" l="1"/>
  <c r="K3833" i="2"/>
  <c r="I3835" i="2" l="1"/>
  <c r="K3834" i="2"/>
  <c r="I3836" i="2" l="1"/>
  <c r="K3835" i="2"/>
  <c r="I3837" i="2" l="1"/>
  <c r="K3836" i="2"/>
  <c r="I3838" i="2" l="1"/>
  <c r="K3837" i="2"/>
  <c r="I3839" i="2" l="1"/>
  <c r="K3838" i="2"/>
  <c r="I3840" i="2" l="1"/>
  <c r="K3839" i="2"/>
  <c r="I3841" i="2" l="1"/>
  <c r="K3840" i="2"/>
  <c r="I3842" i="2" l="1"/>
  <c r="K3841" i="2"/>
  <c r="I3843" i="2" l="1"/>
  <c r="K3842" i="2"/>
  <c r="I3844" i="2" l="1"/>
  <c r="K3843" i="2"/>
  <c r="I3845" i="2" l="1"/>
  <c r="K3844" i="2"/>
  <c r="I3846" i="2" l="1"/>
  <c r="K3845" i="2"/>
  <c r="I3847" i="2" l="1"/>
  <c r="K3846" i="2"/>
  <c r="I3848" i="2" l="1"/>
  <c r="K3847" i="2"/>
  <c r="I3849" i="2" l="1"/>
  <c r="K3848" i="2"/>
  <c r="I3850" i="2" l="1"/>
  <c r="K3849" i="2"/>
  <c r="I3851" i="2" l="1"/>
  <c r="K3850" i="2"/>
  <c r="I3852" i="2" l="1"/>
  <c r="K3851" i="2"/>
  <c r="I3853" i="2" l="1"/>
  <c r="K3852" i="2"/>
  <c r="I3854" i="2" l="1"/>
  <c r="K3853" i="2"/>
  <c r="I3855" i="2" l="1"/>
  <c r="K3854" i="2"/>
  <c r="I3856" i="2" l="1"/>
  <c r="K3855" i="2"/>
  <c r="I3857" i="2" l="1"/>
  <c r="K3856" i="2"/>
  <c r="I3858" i="2" l="1"/>
  <c r="K3857" i="2"/>
  <c r="I3859" i="2" l="1"/>
  <c r="K3858" i="2"/>
  <c r="I3860" i="2" l="1"/>
  <c r="K3859" i="2"/>
  <c r="I3861" i="2" l="1"/>
  <c r="K3860" i="2"/>
  <c r="I3862" i="2" l="1"/>
  <c r="K3861" i="2"/>
  <c r="I3863" i="2" l="1"/>
  <c r="K3862" i="2"/>
  <c r="I3864" i="2" l="1"/>
  <c r="K3863" i="2"/>
  <c r="I3865" i="2" l="1"/>
  <c r="K3864" i="2"/>
  <c r="I3866" i="2" l="1"/>
  <c r="K3865" i="2"/>
  <c r="I3867" i="2" l="1"/>
  <c r="K3866" i="2"/>
  <c r="I3868" i="2" l="1"/>
  <c r="K3867" i="2"/>
  <c r="I3869" i="2" l="1"/>
  <c r="K3868" i="2"/>
  <c r="I3870" i="2" l="1"/>
  <c r="K3869" i="2"/>
  <c r="I3871" i="2" l="1"/>
  <c r="K3870" i="2"/>
  <c r="I3872" i="2" l="1"/>
  <c r="K3871" i="2"/>
  <c r="I3873" i="2" l="1"/>
  <c r="K3872" i="2"/>
  <c r="I3874" i="2" l="1"/>
  <c r="K3873" i="2"/>
  <c r="I3875" i="2" l="1"/>
  <c r="K3874" i="2"/>
  <c r="I3876" i="2" l="1"/>
  <c r="K3875" i="2"/>
  <c r="I3877" i="2" l="1"/>
  <c r="K3876" i="2"/>
  <c r="I3878" i="2" l="1"/>
  <c r="K3877" i="2"/>
  <c r="I3879" i="2" l="1"/>
  <c r="K3878" i="2"/>
  <c r="I3880" i="2" l="1"/>
  <c r="K3879" i="2"/>
  <c r="I3881" i="2" l="1"/>
  <c r="K3880" i="2"/>
  <c r="I3882" i="2" l="1"/>
  <c r="K3881" i="2"/>
  <c r="I3883" i="2" l="1"/>
  <c r="K3882" i="2"/>
  <c r="I3884" i="2" l="1"/>
  <c r="K3883" i="2"/>
  <c r="I3885" i="2" l="1"/>
  <c r="K3884" i="2"/>
  <c r="I3886" i="2" l="1"/>
  <c r="K3885" i="2"/>
  <c r="I3887" i="2" l="1"/>
  <c r="K3886" i="2"/>
  <c r="I3888" i="2" l="1"/>
  <c r="K3887" i="2"/>
  <c r="I3889" i="2" l="1"/>
  <c r="K3888" i="2"/>
  <c r="I3890" i="2" l="1"/>
  <c r="K3889" i="2"/>
  <c r="I3891" i="2" l="1"/>
  <c r="K3890" i="2"/>
  <c r="I3892" i="2" l="1"/>
  <c r="K3891" i="2"/>
  <c r="I3893" i="2" l="1"/>
  <c r="K3892" i="2"/>
  <c r="I3894" i="2" l="1"/>
  <c r="K3893" i="2"/>
  <c r="I3895" i="2" l="1"/>
  <c r="K3894" i="2"/>
  <c r="I3896" i="2" l="1"/>
  <c r="K3895" i="2"/>
  <c r="I3897" i="2" l="1"/>
  <c r="K3896" i="2"/>
  <c r="I3898" i="2" l="1"/>
  <c r="K3897" i="2"/>
  <c r="I3899" i="2" l="1"/>
  <c r="K3898" i="2"/>
  <c r="I3900" i="2" l="1"/>
  <c r="K3899" i="2"/>
  <c r="I3901" i="2" l="1"/>
  <c r="K3900" i="2"/>
  <c r="I3902" i="2" l="1"/>
  <c r="K3901" i="2"/>
  <c r="I3903" i="2" l="1"/>
  <c r="K3902" i="2"/>
  <c r="I3904" i="2" l="1"/>
  <c r="K3903" i="2"/>
  <c r="I3905" i="2" l="1"/>
  <c r="K3904" i="2"/>
  <c r="I3906" i="2" l="1"/>
  <c r="K3905" i="2"/>
  <c r="I3907" i="2" l="1"/>
  <c r="K3906" i="2"/>
  <c r="I3908" i="2" l="1"/>
  <c r="K3907" i="2"/>
  <c r="I3909" i="2" l="1"/>
  <c r="K3908" i="2"/>
  <c r="I3910" i="2" l="1"/>
  <c r="K3909" i="2"/>
  <c r="I3911" i="2" l="1"/>
  <c r="K3910" i="2"/>
  <c r="I3912" i="2" l="1"/>
  <c r="K3911" i="2"/>
  <c r="I3913" i="2" l="1"/>
  <c r="K3912" i="2"/>
  <c r="I3914" i="2" l="1"/>
  <c r="K3913" i="2"/>
  <c r="I3915" i="2" l="1"/>
  <c r="K3914" i="2"/>
  <c r="I3916" i="2" l="1"/>
  <c r="K3915" i="2"/>
  <c r="I3917" i="2" l="1"/>
  <c r="K3916" i="2"/>
  <c r="I3918" i="2" l="1"/>
  <c r="K3917" i="2"/>
  <c r="I3919" i="2" l="1"/>
  <c r="K3918" i="2"/>
  <c r="I3920" i="2" l="1"/>
  <c r="K3919" i="2"/>
  <c r="I3921" i="2" l="1"/>
  <c r="K3920" i="2"/>
  <c r="I3922" i="2" l="1"/>
  <c r="K3921" i="2"/>
  <c r="I3923" i="2" l="1"/>
  <c r="K3922" i="2"/>
  <c r="I3924" i="2" l="1"/>
  <c r="K3923" i="2"/>
  <c r="I3925" i="2" l="1"/>
  <c r="K3924" i="2"/>
  <c r="I3926" i="2" l="1"/>
  <c r="K3925" i="2"/>
  <c r="I3927" i="2" l="1"/>
  <c r="K3926" i="2"/>
  <c r="I3928" i="2" l="1"/>
  <c r="K3927" i="2"/>
  <c r="I3929" i="2" l="1"/>
  <c r="K3928" i="2"/>
  <c r="I3930" i="2" l="1"/>
  <c r="K3929" i="2"/>
  <c r="I3931" i="2" l="1"/>
  <c r="K3930" i="2"/>
  <c r="I3932" i="2" l="1"/>
  <c r="K3931" i="2"/>
  <c r="I3933" i="2" l="1"/>
  <c r="K3932" i="2"/>
  <c r="I3934" i="2" l="1"/>
  <c r="K3933" i="2"/>
  <c r="I3935" i="2" l="1"/>
  <c r="K3934" i="2"/>
  <c r="I3936" i="2" l="1"/>
  <c r="K3935" i="2"/>
  <c r="I3937" i="2" l="1"/>
  <c r="K3936" i="2"/>
  <c r="I3938" i="2" l="1"/>
  <c r="K3937" i="2"/>
  <c r="I3939" i="2" l="1"/>
  <c r="K3938" i="2"/>
  <c r="I3940" i="2" l="1"/>
  <c r="K3939" i="2"/>
  <c r="I3941" i="2" l="1"/>
  <c r="K3940" i="2"/>
  <c r="I3942" i="2" l="1"/>
  <c r="K3941" i="2"/>
  <c r="I3943" i="2" l="1"/>
  <c r="K3942" i="2"/>
  <c r="I3944" i="2" l="1"/>
  <c r="K3943" i="2"/>
  <c r="I3945" i="2" l="1"/>
  <c r="K3944" i="2"/>
  <c r="I3946" i="2" l="1"/>
  <c r="K3945" i="2"/>
  <c r="I3947" i="2" l="1"/>
  <c r="K3946" i="2"/>
  <c r="I3948" i="2" l="1"/>
  <c r="K3947" i="2"/>
  <c r="I3949" i="2" l="1"/>
  <c r="K3948" i="2"/>
  <c r="I3950" i="2" l="1"/>
  <c r="K3949" i="2"/>
  <c r="I3951" i="2" l="1"/>
  <c r="K3950" i="2"/>
  <c r="I3952" i="2" l="1"/>
  <c r="K3951" i="2"/>
  <c r="I3953" i="2" l="1"/>
  <c r="K3952" i="2"/>
  <c r="I3954" i="2" l="1"/>
  <c r="K3953" i="2"/>
  <c r="I3955" i="2" l="1"/>
  <c r="K3954" i="2"/>
  <c r="I3956" i="2" l="1"/>
  <c r="K3955" i="2"/>
  <c r="I3957" i="2" l="1"/>
  <c r="K3956" i="2"/>
  <c r="I3958" i="2" l="1"/>
  <c r="K3957" i="2"/>
  <c r="I3959" i="2" l="1"/>
  <c r="K3958" i="2"/>
  <c r="I3960" i="2" l="1"/>
  <c r="K3959" i="2"/>
  <c r="I3961" i="2" l="1"/>
  <c r="K3960" i="2"/>
  <c r="I3962" i="2" l="1"/>
  <c r="K3961" i="2"/>
  <c r="I3963" i="2" l="1"/>
  <c r="K3962" i="2"/>
  <c r="I3964" i="2" l="1"/>
  <c r="K3963" i="2"/>
  <c r="I3965" i="2" l="1"/>
  <c r="K3964" i="2"/>
  <c r="I3966" i="2" l="1"/>
  <c r="K3965" i="2"/>
  <c r="I3967" i="2" l="1"/>
  <c r="K3966" i="2"/>
  <c r="I3968" i="2" l="1"/>
  <c r="K3967" i="2"/>
  <c r="I3969" i="2" l="1"/>
  <c r="K3968" i="2"/>
  <c r="I3970" i="2" l="1"/>
  <c r="K3969" i="2"/>
  <c r="I3971" i="2" l="1"/>
  <c r="K3970" i="2"/>
  <c r="I3972" i="2" l="1"/>
  <c r="K3971" i="2"/>
  <c r="I3973" i="2" l="1"/>
  <c r="K3972" i="2"/>
  <c r="I3974" i="2" l="1"/>
  <c r="K3973" i="2"/>
  <c r="I3975" i="2" l="1"/>
  <c r="K3974" i="2"/>
  <c r="I3976" i="2" l="1"/>
  <c r="K3975" i="2"/>
  <c r="I3977" i="2" l="1"/>
  <c r="K3976" i="2"/>
  <c r="I3978" i="2" l="1"/>
  <c r="K3977" i="2"/>
  <c r="I3979" i="2" l="1"/>
  <c r="K3978" i="2"/>
  <c r="I3980" i="2" l="1"/>
  <c r="K3979" i="2"/>
  <c r="I3981" i="2" l="1"/>
  <c r="K3980" i="2"/>
  <c r="I3982" i="2" l="1"/>
  <c r="K3981" i="2"/>
  <c r="I3983" i="2" l="1"/>
  <c r="K3982" i="2"/>
  <c r="I3984" i="2" l="1"/>
  <c r="K3983" i="2"/>
  <c r="I3985" i="2" l="1"/>
  <c r="K3984" i="2"/>
  <c r="I3986" i="2" l="1"/>
  <c r="K3985" i="2"/>
  <c r="I3987" i="2" l="1"/>
  <c r="K3986" i="2"/>
  <c r="I3988" i="2" l="1"/>
  <c r="K3987" i="2"/>
  <c r="I3989" i="2" l="1"/>
  <c r="K3988" i="2"/>
  <c r="I3990" i="2" l="1"/>
  <c r="K3989" i="2"/>
  <c r="I3991" i="2" l="1"/>
  <c r="K3990" i="2"/>
  <c r="I3992" i="2" l="1"/>
  <c r="K3991" i="2"/>
  <c r="I3993" i="2" l="1"/>
  <c r="K3992" i="2"/>
  <c r="I3994" i="2" l="1"/>
  <c r="K3993" i="2"/>
  <c r="I3995" i="2" l="1"/>
  <c r="K3994" i="2"/>
  <c r="I3996" i="2" l="1"/>
  <c r="K3995" i="2"/>
  <c r="I3997" i="2" l="1"/>
  <c r="K3996" i="2"/>
  <c r="I3998" i="2" l="1"/>
  <c r="K3997" i="2"/>
  <c r="I3999" i="2" l="1"/>
  <c r="K3998" i="2"/>
  <c r="I4000" i="2" l="1"/>
  <c r="K3999" i="2"/>
  <c r="I4001" i="2" l="1"/>
  <c r="K4000" i="2"/>
  <c r="I4002" i="2" l="1"/>
  <c r="K4001" i="2"/>
  <c r="I4003" i="2" l="1"/>
  <c r="K4002" i="2"/>
  <c r="I4004" i="2" l="1"/>
  <c r="K4003" i="2"/>
  <c r="I4005" i="2" l="1"/>
  <c r="K4004" i="2"/>
  <c r="I4006" i="2" l="1"/>
  <c r="K4005" i="2"/>
  <c r="I4007" i="2" l="1"/>
  <c r="K4006" i="2"/>
  <c r="I4008" i="2" l="1"/>
  <c r="K4007" i="2"/>
  <c r="I4009" i="2" l="1"/>
  <c r="K4008" i="2"/>
  <c r="I4010" i="2" l="1"/>
  <c r="K4009" i="2"/>
  <c r="I4011" i="2" l="1"/>
  <c r="K4010" i="2"/>
  <c r="I4012" i="2" l="1"/>
  <c r="K4011" i="2"/>
  <c r="I4013" i="2" l="1"/>
  <c r="K4012" i="2"/>
  <c r="I4014" i="2" l="1"/>
  <c r="K4013" i="2"/>
  <c r="I4015" i="2" l="1"/>
  <c r="K4014" i="2"/>
  <c r="I4016" i="2" l="1"/>
  <c r="K4015" i="2"/>
  <c r="I4017" i="2" l="1"/>
  <c r="K4016" i="2"/>
  <c r="I4018" i="2" l="1"/>
  <c r="K4017" i="2"/>
  <c r="I4019" i="2" l="1"/>
  <c r="K4018" i="2"/>
  <c r="I4020" i="2" l="1"/>
  <c r="K4019" i="2"/>
  <c r="I4021" i="2" l="1"/>
  <c r="K4020" i="2"/>
  <c r="I4022" i="2" l="1"/>
  <c r="K4021" i="2"/>
  <c r="I4023" i="2" l="1"/>
  <c r="K4022" i="2"/>
  <c r="I4024" i="2" l="1"/>
  <c r="K4023" i="2"/>
  <c r="I4025" i="2" l="1"/>
  <c r="K4024" i="2"/>
  <c r="I4026" i="2" l="1"/>
  <c r="K4025" i="2"/>
  <c r="I4027" i="2" l="1"/>
  <c r="K4026" i="2"/>
  <c r="I4028" i="2" l="1"/>
  <c r="K4027" i="2"/>
  <c r="I4029" i="2" l="1"/>
  <c r="K4028" i="2"/>
  <c r="I4030" i="2" l="1"/>
  <c r="K4029" i="2"/>
  <c r="I4031" i="2" l="1"/>
  <c r="K4030" i="2"/>
  <c r="I4032" i="2" l="1"/>
  <c r="K4031" i="2"/>
  <c r="I4033" i="2" l="1"/>
  <c r="K4032" i="2"/>
  <c r="I4034" i="2" l="1"/>
  <c r="K4033" i="2"/>
  <c r="I4035" i="2" l="1"/>
  <c r="K4034" i="2"/>
  <c r="I4036" i="2" l="1"/>
  <c r="K4035" i="2"/>
  <c r="I4037" i="2" l="1"/>
  <c r="K4036" i="2"/>
  <c r="I4038" i="2" l="1"/>
  <c r="K4037" i="2"/>
  <c r="I4039" i="2" l="1"/>
  <c r="K4038" i="2"/>
  <c r="I4040" i="2" l="1"/>
  <c r="K4039" i="2"/>
  <c r="I4041" i="2" l="1"/>
  <c r="K4040" i="2"/>
  <c r="I4042" i="2" l="1"/>
  <c r="K4041" i="2"/>
  <c r="I4043" i="2" l="1"/>
  <c r="K4042" i="2"/>
  <c r="I4044" i="2" l="1"/>
  <c r="K4043" i="2"/>
  <c r="I4045" i="2" l="1"/>
  <c r="K4044" i="2"/>
  <c r="I4046" i="2" l="1"/>
  <c r="K4045" i="2"/>
  <c r="I4047" i="2" l="1"/>
  <c r="K4046" i="2"/>
  <c r="I4048" i="2" l="1"/>
  <c r="K4047" i="2"/>
  <c r="I4049" i="2" l="1"/>
  <c r="K4048" i="2"/>
  <c r="I4050" i="2" l="1"/>
  <c r="K4049" i="2"/>
  <c r="I4051" i="2" l="1"/>
  <c r="K4050" i="2"/>
  <c r="I4052" i="2" l="1"/>
  <c r="K4051" i="2"/>
  <c r="I4053" i="2" l="1"/>
  <c r="K4052" i="2"/>
  <c r="I4054" i="2" l="1"/>
  <c r="K4053" i="2"/>
  <c r="I4055" i="2" l="1"/>
  <c r="K4054" i="2"/>
  <c r="I4056" i="2" l="1"/>
  <c r="K4055" i="2"/>
  <c r="I4057" i="2" l="1"/>
  <c r="K4056" i="2"/>
  <c r="I4058" i="2" l="1"/>
  <c r="K4057" i="2"/>
  <c r="I4059" i="2" l="1"/>
  <c r="K4058" i="2"/>
  <c r="I4060" i="2" l="1"/>
  <c r="K4059" i="2"/>
  <c r="I4061" i="2" l="1"/>
  <c r="K4060" i="2"/>
  <c r="I4062" i="2" l="1"/>
  <c r="K4061" i="2"/>
  <c r="I4063" i="2" l="1"/>
  <c r="K4062" i="2"/>
  <c r="I4064" i="2" l="1"/>
  <c r="K4063" i="2"/>
  <c r="I4065" i="2" l="1"/>
  <c r="K4064" i="2"/>
  <c r="I4066" i="2" l="1"/>
  <c r="K4065" i="2"/>
  <c r="I4067" i="2" l="1"/>
  <c r="K4066" i="2"/>
  <c r="I4068" i="2" l="1"/>
  <c r="K4067" i="2"/>
  <c r="I4069" i="2" l="1"/>
  <c r="K4068" i="2"/>
  <c r="I4070" i="2" l="1"/>
  <c r="K4069" i="2"/>
  <c r="I4071" i="2" l="1"/>
  <c r="K4070" i="2"/>
  <c r="I4072" i="2" l="1"/>
  <c r="K4071" i="2"/>
  <c r="I4073" i="2" l="1"/>
  <c r="K4072" i="2"/>
  <c r="I4074" i="2" l="1"/>
  <c r="K4073" i="2"/>
  <c r="I4075" i="2" l="1"/>
  <c r="K4074" i="2"/>
  <c r="I4076" i="2" l="1"/>
  <c r="K4075" i="2"/>
  <c r="I4077" i="2" l="1"/>
  <c r="K4076" i="2"/>
  <c r="I4078" i="2" l="1"/>
  <c r="K4077" i="2"/>
  <c r="I4079" i="2" l="1"/>
  <c r="K4078" i="2"/>
  <c r="I4080" i="2" l="1"/>
  <c r="K4079" i="2"/>
  <c r="I4081" i="2" l="1"/>
  <c r="K4080" i="2"/>
  <c r="I4082" i="2" l="1"/>
  <c r="K4081" i="2"/>
  <c r="I4083" i="2" l="1"/>
  <c r="K4082" i="2"/>
  <c r="I4084" i="2" l="1"/>
  <c r="K4083" i="2"/>
  <c r="I4085" i="2" l="1"/>
  <c r="K4084" i="2"/>
  <c r="I4086" i="2" l="1"/>
  <c r="K4085" i="2"/>
  <c r="I4087" i="2" l="1"/>
  <c r="K4086" i="2"/>
  <c r="I4088" i="2" l="1"/>
  <c r="K4087" i="2"/>
  <c r="I4089" i="2" l="1"/>
  <c r="K4088" i="2"/>
  <c r="I4090" i="2" l="1"/>
  <c r="K4089" i="2"/>
  <c r="I4091" i="2" l="1"/>
  <c r="K4090" i="2"/>
  <c r="I4092" i="2" l="1"/>
  <c r="K4091" i="2"/>
  <c r="I4093" i="2" l="1"/>
  <c r="K4092" i="2"/>
  <c r="I4094" i="2" l="1"/>
  <c r="K4093" i="2"/>
  <c r="I4095" i="2" l="1"/>
  <c r="K4094" i="2"/>
  <c r="I4096" i="2" l="1"/>
  <c r="K4095" i="2"/>
  <c r="I4097" i="2" l="1"/>
  <c r="K4096" i="2"/>
  <c r="I4098" i="2" l="1"/>
  <c r="K4097" i="2"/>
  <c r="I4099" i="2" l="1"/>
  <c r="K4098" i="2"/>
  <c r="I4100" i="2" l="1"/>
  <c r="K4099" i="2"/>
  <c r="I4101" i="2" l="1"/>
  <c r="K4100" i="2"/>
  <c r="I4102" i="2" l="1"/>
  <c r="K4101" i="2"/>
  <c r="I4103" i="2" l="1"/>
  <c r="K4102" i="2"/>
  <c r="I4104" i="2" l="1"/>
  <c r="K4103" i="2"/>
  <c r="I4105" i="2" l="1"/>
  <c r="K4104" i="2"/>
  <c r="I4106" i="2" l="1"/>
  <c r="K4105" i="2"/>
  <c r="I4107" i="2" l="1"/>
  <c r="K4106" i="2"/>
  <c r="I4108" i="2" l="1"/>
  <c r="K4107" i="2"/>
  <c r="I4109" i="2" l="1"/>
  <c r="K4108" i="2"/>
  <c r="I4110" i="2" l="1"/>
  <c r="K4109" i="2"/>
  <c r="I4111" i="2" l="1"/>
  <c r="K4110" i="2"/>
  <c r="I4112" i="2" l="1"/>
  <c r="K4111" i="2"/>
  <c r="I4113" i="2" l="1"/>
  <c r="K4112" i="2"/>
  <c r="I4114" i="2" l="1"/>
  <c r="K4113" i="2"/>
  <c r="I4115" i="2" l="1"/>
  <c r="K4114" i="2"/>
  <c r="I4116" i="2" l="1"/>
  <c r="K4115" i="2"/>
  <c r="I4117" i="2" l="1"/>
  <c r="K4116" i="2"/>
  <c r="I4118" i="2" l="1"/>
  <c r="K4117" i="2"/>
  <c r="I4119" i="2" l="1"/>
  <c r="K4118" i="2"/>
  <c r="I4120" i="2" l="1"/>
  <c r="K4119" i="2"/>
  <c r="I4121" i="2" l="1"/>
  <c r="K4120" i="2"/>
  <c r="I4122" i="2" l="1"/>
  <c r="K4121" i="2"/>
  <c r="I4123" i="2" l="1"/>
  <c r="K4122" i="2"/>
  <c r="I4124" i="2" l="1"/>
  <c r="K4123" i="2"/>
  <c r="I4125" i="2" l="1"/>
  <c r="K4124" i="2"/>
  <c r="I4126" i="2" l="1"/>
  <c r="K4125" i="2"/>
  <c r="I4127" i="2" l="1"/>
  <c r="K4126" i="2"/>
  <c r="I4128" i="2" l="1"/>
  <c r="K4127" i="2"/>
  <c r="I4129" i="2" l="1"/>
  <c r="K4128" i="2"/>
  <c r="I4130" i="2" l="1"/>
  <c r="K4129" i="2"/>
  <c r="I4131" i="2" l="1"/>
  <c r="K4130" i="2"/>
  <c r="I4132" i="2" l="1"/>
  <c r="K4131" i="2"/>
  <c r="I4133" i="2" l="1"/>
  <c r="K4132" i="2"/>
  <c r="I4134" i="2" l="1"/>
  <c r="K4133" i="2"/>
  <c r="I4135" i="2" l="1"/>
  <c r="K4134" i="2"/>
  <c r="I4136" i="2" l="1"/>
  <c r="K4135" i="2"/>
  <c r="I4137" i="2" l="1"/>
  <c r="K4136" i="2"/>
  <c r="I4138" i="2" l="1"/>
  <c r="K4137" i="2"/>
  <c r="I4139" i="2" l="1"/>
  <c r="K4138" i="2"/>
  <c r="I4140" i="2" l="1"/>
  <c r="K4139" i="2"/>
  <c r="I4141" i="2" l="1"/>
  <c r="K4140" i="2"/>
  <c r="I4142" i="2" l="1"/>
  <c r="K4141" i="2"/>
  <c r="I4143" i="2" l="1"/>
  <c r="K4142" i="2"/>
  <c r="I4144" i="2" l="1"/>
  <c r="K4143" i="2"/>
  <c r="I4145" i="2" l="1"/>
  <c r="K4144" i="2"/>
  <c r="I4146" i="2" l="1"/>
  <c r="K4145" i="2"/>
  <c r="I4147" i="2" l="1"/>
  <c r="K4146" i="2"/>
  <c r="I4148" i="2" l="1"/>
  <c r="K4147" i="2"/>
  <c r="I4149" i="2" l="1"/>
  <c r="K4148" i="2"/>
  <c r="I4150" i="2" l="1"/>
  <c r="K4149" i="2"/>
  <c r="I4151" i="2" l="1"/>
  <c r="K4150" i="2"/>
  <c r="I4152" i="2" l="1"/>
  <c r="K4151" i="2"/>
  <c r="I4153" i="2" l="1"/>
  <c r="K4152" i="2"/>
  <c r="I4154" i="2" l="1"/>
  <c r="K4153" i="2"/>
  <c r="I4155" i="2" l="1"/>
  <c r="K4154" i="2"/>
  <c r="I4156" i="2" l="1"/>
  <c r="K4155" i="2"/>
  <c r="I4157" i="2" l="1"/>
  <c r="K4156" i="2"/>
  <c r="I4158" i="2" l="1"/>
  <c r="K4157" i="2"/>
  <c r="I4159" i="2" l="1"/>
  <c r="K4158" i="2"/>
  <c r="I4160" i="2" l="1"/>
  <c r="K4159" i="2"/>
  <c r="I4161" i="2" l="1"/>
  <c r="K4160" i="2"/>
  <c r="I4162" i="2" l="1"/>
  <c r="K4161" i="2"/>
  <c r="I4163" i="2" l="1"/>
  <c r="K4162" i="2"/>
  <c r="I4164" i="2" l="1"/>
  <c r="K4163" i="2"/>
  <c r="I4165" i="2" l="1"/>
  <c r="K4164" i="2"/>
  <c r="I4166" i="2" l="1"/>
  <c r="K4165" i="2"/>
  <c r="I4167" i="2" l="1"/>
  <c r="K4166" i="2"/>
  <c r="I4168" i="2" l="1"/>
  <c r="K4167" i="2"/>
  <c r="I4169" i="2" l="1"/>
  <c r="K4168" i="2"/>
  <c r="I4170" i="2" l="1"/>
  <c r="K4169" i="2"/>
  <c r="I4171" i="2" l="1"/>
  <c r="K4170" i="2"/>
  <c r="I4172" i="2" l="1"/>
  <c r="K4171" i="2"/>
  <c r="I4173" i="2" l="1"/>
  <c r="K4172" i="2"/>
  <c r="I4174" i="2" l="1"/>
  <c r="K4173" i="2"/>
  <c r="I4175" i="2" l="1"/>
  <c r="K4174" i="2"/>
  <c r="I4176" i="2" l="1"/>
  <c r="K4175" i="2"/>
  <c r="I4177" i="2" l="1"/>
  <c r="K4176" i="2"/>
  <c r="I4178" i="2" l="1"/>
  <c r="K4177" i="2"/>
  <c r="I4179" i="2" l="1"/>
  <c r="K4178" i="2"/>
  <c r="I4180" i="2" l="1"/>
  <c r="K4179" i="2"/>
  <c r="I4181" i="2" l="1"/>
  <c r="K4180" i="2"/>
  <c r="I4182" i="2" l="1"/>
  <c r="K4181" i="2"/>
  <c r="I4183" i="2" l="1"/>
  <c r="K4182" i="2"/>
  <c r="I4184" i="2" l="1"/>
  <c r="K4183" i="2"/>
  <c r="I4185" i="2" l="1"/>
  <c r="K4184" i="2"/>
  <c r="I4186" i="2" l="1"/>
  <c r="K4185" i="2"/>
  <c r="I4187" i="2" l="1"/>
  <c r="K4186" i="2"/>
  <c r="I4188" i="2" l="1"/>
  <c r="K4187" i="2"/>
  <c r="I4189" i="2" l="1"/>
  <c r="K4188" i="2"/>
  <c r="I4190" i="2" l="1"/>
  <c r="K4189" i="2"/>
  <c r="I4191" i="2" l="1"/>
  <c r="K4190" i="2"/>
  <c r="I4192" i="2" l="1"/>
  <c r="K4191" i="2"/>
  <c r="I4193" i="2" l="1"/>
  <c r="K4192" i="2"/>
  <c r="I4194" i="2" l="1"/>
  <c r="K4193" i="2"/>
  <c r="I4195" i="2" l="1"/>
  <c r="K4194" i="2"/>
  <c r="I4196" i="2" l="1"/>
  <c r="K4195" i="2"/>
  <c r="I4197" i="2" l="1"/>
  <c r="K4196" i="2"/>
  <c r="I4198" i="2" l="1"/>
  <c r="K4197" i="2"/>
  <c r="I4199" i="2" l="1"/>
  <c r="K4198" i="2"/>
  <c r="I4200" i="2" l="1"/>
  <c r="K4199" i="2"/>
  <c r="I4201" i="2" l="1"/>
  <c r="K4200" i="2"/>
  <c r="I4202" i="2" l="1"/>
  <c r="K4201" i="2"/>
  <c r="I4203" i="2" l="1"/>
  <c r="K4202" i="2"/>
  <c r="I4204" i="2" l="1"/>
  <c r="K4203" i="2"/>
  <c r="I4205" i="2" l="1"/>
  <c r="K4204" i="2"/>
  <c r="I4206" i="2" l="1"/>
  <c r="K4205" i="2"/>
  <c r="I4207" i="2" l="1"/>
  <c r="K4206" i="2"/>
  <c r="I4208" i="2" l="1"/>
  <c r="K4207" i="2"/>
  <c r="I4209" i="2" l="1"/>
  <c r="K4208" i="2"/>
  <c r="I4210" i="2" l="1"/>
  <c r="K4209" i="2"/>
  <c r="I4211" i="2" l="1"/>
  <c r="K4210" i="2"/>
  <c r="I4212" i="2" l="1"/>
  <c r="K4211" i="2"/>
  <c r="I4213" i="2" l="1"/>
  <c r="K4212" i="2"/>
  <c r="I4214" i="2" l="1"/>
  <c r="K4213" i="2"/>
  <c r="I4215" i="2" l="1"/>
  <c r="K4214" i="2"/>
  <c r="I4216" i="2" l="1"/>
  <c r="K4215" i="2"/>
  <c r="I4217" i="2" l="1"/>
  <c r="K4216" i="2"/>
  <c r="I4218" i="2" l="1"/>
  <c r="K4217" i="2"/>
  <c r="I4219" i="2" l="1"/>
  <c r="K4218" i="2"/>
  <c r="I4220" i="2" l="1"/>
  <c r="K4219" i="2"/>
  <c r="I4221" i="2" l="1"/>
  <c r="K4220" i="2"/>
  <c r="I4222" i="2" l="1"/>
  <c r="K4221" i="2"/>
  <c r="I4223" i="2" l="1"/>
  <c r="K4222" i="2"/>
  <c r="I4224" i="2" l="1"/>
  <c r="K4223" i="2"/>
  <c r="I4225" i="2" l="1"/>
  <c r="K4224" i="2"/>
  <c r="I4226" i="2" l="1"/>
  <c r="K4225" i="2"/>
  <c r="I4227" i="2" l="1"/>
  <c r="K4226" i="2"/>
  <c r="I4228" i="2" l="1"/>
  <c r="K4227" i="2"/>
  <c r="I4229" i="2" l="1"/>
  <c r="K4228" i="2"/>
  <c r="I4230" i="2" l="1"/>
  <c r="K4229" i="2"/>
  <c r="I4231" i="2" l="1"/>
  <c r="K4230" i="2"/>
  <c r="I4232" i="2" l="1"/>
  <c r="K4231" i="2"/>
  <c r="I4233" i="2" l="1"/>
  <c r="K4232" i="2"/>
  <c r="I4234" i="2" l="1"/>
  <c r="K4233" i="2"/>
  <c r="I4235" i="2" l="1"/>
  <c r="K4234" i="2"/>
  <c r="I4236" i="2" l="1"/>
  <c r="K4235" i="2"/>
  <c r="I4237" i="2" l="1"/>
  <c r="K4236" i="2"/>
  <c r="I4238" i="2" l="1"/>
  <c r="K4237" i="2"/>
  <c r="I4239" i="2" l="1"/>
  <c r="K4238" i="2"/>
  <c r="I4240" i="2" l="1"/>
  <c r="K4239" i="2"/>
  <c r="I4241" i="2" l="1"/>
  <c r="K4240" i="2"/>
  <c r="I4242" i="2" l="1"/>
  <c r="K4241" i="2"/>
  <c r="I4243" i="2" l="1"/>
  <c r="K4242" i="2"/>
  <c r="I4244" i="2" l="1"/>
  <c r="K4243" i="2"/>
  <c r="I4245" i="2" l="1"/>
  <c r="K4244" i="2"/>
  <c r="I4246" i="2" l="1"/>
  <c r="K4245" i="2"/>
  <c r="I4247" i="2" l="1"/>
  <c r="K4246" i="2"/>
  <c r="I4248" i="2" l="1"/>
  <c r="K4247" i="2"/>
  <c r="I4249" i="2" l="1"/>
  <c r="K4248" i="2"/>
  <c r="I4250" i="2" l="1"/>
  <c r="K4249" i="2"/>
  <c r="I4251" i="2" l="1"/>
  <c r="K4250" i="2"/>
  <c r="I4252" i="2" l="1"/>
  <c r="K4251" i="2"/>
  <c r="I4253" i="2" l="1"/>
  <c r="K4252" i="2"/>
  <c r="I4254" i="2" l="1"/>
  <c r="K4253" i="2"/>
  <c r="I4255" i="2" l="1"/>
  <c r="K4254" i="2"/>
  <c r="I4256" i="2" l="1"/>
  <c r="K4255" i="2"/>
  <c r="I4257" i="2" l="1"/>
  <c r="K4256" i="2"/>
  <c r="I4258" i="2" l="1"/>
  <c r="K4257" i="2"/>
  <c r="I4259" i="2" l="1"/>
  <c r="K4258" i="2"/>
  <c r="I4260" i="2" l="1"/>
  <c r="K4259" i="2"/>
  <c r="I4261" i="2" l="1"/>
  <c r="K4260" i="2"/>
  <c r="I4262" i="2" l="1"/>
  <c r="K4261" i="2"/>
  <c r="I4263" i="2" l="1"/>
  <c r="K4262" i="2"/>
  <c r="I4264" i="2" l="1"/>
  <c r="K4263" i="2"/>
  <c r="I4265" i="2" l="1"/>
  <c r="K4264" i="2"/>
  <c r="I4266" i="2" l="1"/>
  <c r="K4265" i="2"/>
  <c r="I4267" i="2" l="1"/>
  <c r="K4266" i="2"/>
  <c r="I4268" i="2" l="1"/>
  <c r="K4267" i="2"/>
  <c r="I4269" i="2" l="1"/>
  <c r="K4268" i="2"/>
  <c r="I4270" i="2" l="1"/>
  <c r="K4269" i="2"/>
  <c r="I4271" i="2" l="1"/>
  <c r="K4270" i="2"/>
  <c r="I4272" i="2" l="1"/>
  <c r="K4271" i="2"/>
  <c r="I4273" i="2" l="1"/>
  <c r="K4272" i="2"/>
  <c r="I4274" i="2" l="1"/>
  <c r="K4273" i="2"/>
  <c r="I4275" i="2" l="1"/>
  <c r="K4274" i="2"/>
  <c r="I4276" i="2" l="1"/>
  <c r="K4275" i="2"/>
  <c r="I4277" i="2" l="1"/>
  <c r="K4276" i="2"/>
  <c r="I4278" i="2" l="1"/>
  <c r="K4277" i="2"/>
  <c r="I4279" i="2" l="1"/>
  <c r="K4278" i="2"/>
  <c r="I4280" i="2" l="1"/>
  <c r="K4279" i="2"/>
  <c r="I4281" i="2" l="1"/>
  <c r="K4280" i="2"/>
  <c r="I4282" i="2" l="1"/>
  <c r="K4281" i="2"/>
  <c r="I4283" i="2" l="1"/>
  <c r="K4282" i="2"/>
  <c r="I4284" i="2" l="1"/>
  <c r="K4283" i="2"/>
  <c r="I4285" i="2" l="1"/>
  <c r="K4284" i="2"/>
  <c r="I4286" i="2" l="1"/>
  <c r="K4285" i="2"/>
  <c r="I4287" i="2" l="1"/>
  <c r="K4286" i="2"/>
  <c r="I4288" i="2" l="1"/>
  <c r="K4287" i="2"/>
  <c r="I4289" i="2" l="1"/>
  <c r="K4288" i="2"/>
  <c r="I4290" i="2" l="1"/>
  <c r="K4289" i="2"/>
  <c r="I4291" i="2" l="1"/>
  <c r="K4290" i="2"/>
  <c r="I4292" i="2" l="1"/>
  <c r="K4291" i="2"/>
  <c r="I4293" i="2" l="1"/>
  <c r="K4292" i="2"/>
  <c r="I4294" i="2" l="1"/>
  <c r="K4293" i="2"/>
  <c r="I4295" i="2" l="1"/>
  <c r="K4294" i="2"/>
  <c r="I4296" i="2" l="1"/>
  <c r="K4295" i="2"/>
  <c r="I4297" i="2" l="1"/>
  <c r="K4296" i="2"/>
  <c r="I4298" i="2" l="1"/>
  <c r="K4297" i="2"/>
  <c r="I4299" i="2" l="1"/>
  <c r="K4298" i="2"/>
  <c r="I4300" i="2" l="1"/>
  <c r="K4299" i="2"/>
  <c r="I4301" i="2" l="1"/>
  <c r="K4300" i="2"/>
  <c r="I4302" i="2" l="1"/>
  <c r="K4301" i="2"/>
  <c r="I4303" i="2" l="1"/>
  <c r="K4302" i="2"/>
  <c r="I4304" i="2" l="1"/>
  <c r="K4303" i="2"/>
  <c r="I4305" i="2" l="1"/>
  <c r="K4304" i="2"/>
  <c r="I4306" i="2" l="1"/>
  <c r="K4305" i="2"/>
  <c r="I4307" i="2" l="1"/>
  <c r="K4306" i="2"/>
  <c r="I4308" i="2" l="1"/>
  <c r="K4307" i="2"/>
  <c r="I4309" i="2" l="1"/>
  <c r="K4308" i="2"/>
  <c r="I4310" i="2" l="1"/>
  <c r="K4309" i="2"/>
  <c r="I4311" i="2" l="1"/>
  <c r="K4310" i="2"/>
  <c r="I4312" i="2" l="1"/>
  <c r="K4311" i="2"/>
  <c r="I4313" i="2" l="1"/>
  <c r="K4312" i="2"/>
  <c r="I4314" i="2" l="1"/>
  <c r="K4313" i="2"/>
  <c r="I4315" i="2" l="1"/>
  <c r="K4314" i="2"/>
  <c r="I4316" i="2" l="1"/>
  <c r="K4315" i="2"/>
  <c r="I4317" i="2" l="1"/>
  <c r="K4316" i="2"/>
  <c r="I4318" i="2" l="1"/>
  <c r="K4317" i="2"/>
  <c r="I4319" i="2" l="1"/>
  <c r="K4318" i="2"/>
  <c r="I4320" i="2" l="1"/>
  <c r="K4319" i="2"/>
  <c r="I4321" i="2" l="1"/>
  <c r="K4320" i="2"/>
  <c r="I4322" i="2" l="1"/>
  <c r="K4321" i="2"/>
  <c r="I4323" i="2" l="1"/>
  <c r="K4322" i="2"/>
  <c r="I4324" i="2" l="1"/>
  <c r="K4323" i="2"/>
  <c r="I4325" i="2" l="1"/>
  <c r="K4324" i="2"/>
  <c r="I4326" i="2" l="1"/>
  <c r="K4325" i="2"/>
  <c r="I4327" i="2" l="1"/>
  <c r="K4326" i="2"/>
  <c r="I4328" i="2" l="1"/>
  <c r="K4327" i="2"/>
  <c r="I4329" i="2" l="1"/>
  <c r="K4328" i="2"/>
  <c r="I4330" i="2" l="1"/>
  <c r="K4329" i="2"/>
  <c r="I4331" i="2" l="1"/>
  <c r="K4330" i="2"/>
  <c r="I4332" i="2" l="1"/>
  <c r="K4331" i="2"/>
  <c r="I4333" i="2" l="1"/>
  <c r="K4332" i="2"/>
  <c r="I4334" i="2" l="1"/>
  <c r="K4333" i="2"/>
  <c r="I4335" i="2" l="1"/>
  <c r="K4334" i="2"/>
  <c r="I4336" i="2" l="1"/>
  <c r="K4335" i="2"/>
  <c r="I4337" i="2" l="1"/>
  <c r="K4336" i="2"/>
  <c r="I4338" i="2" l="1"/>
  <c r="K4337" i="2"/>
  <c r="I4339" i="2" l="1"/>
  <c r="K4338" i="2"/>
  <c r="I4340" i="2" l="1"/>
  <c r="K4339" i="2"/>
  <c r="I4341" i="2" l="1"/>
  <c r="K4340" i="2"/>
  <c r="I4342" i="2" l="1"/>
  <c r="K4341" i="2"/>
  <c r="I4343" i="2" l="1"/>
  <c r="K4342" i="2"/>
  <c r="I4344" i="2" l="1"/>
  <c r="K4343" i="2"/>
  <c r="I4345" i="2" l="1"/>
  <c r="K4344" i="2"/>
  <c r="I4346" i="2" l="1"/>
  <c r="K4345" i="2"/>
  <c r="I4347" i="2" l="1"/>
  <c r="K4346" i="2"/>
  <c r="I4348" i="2" l="1"/>
  <c r="K4347" i="2"/>
  <c r="I4349" i="2" l="1"/>
  <c r="K4348" i="2"/>
  <c r="I4350" i="2" l="1"/>
  <c r="K4349" i="2"/>
  <c r="I4351" i="2" l="1"/>
  <c r="K4350" i="2"/>
  <c r="I4352" i="2" l="1"/>
  <c r="K4351" i="2"/>
  <c r="I4353" i="2" l="1"/>
  <c r="K4352" i="2"/>
  <c r="I4354" i="2" l="1"/>
  <c r="K4353" i="2"/>
  <c r="I4355" i="2" l="1"/>
  <c r="K4354" i="2"/>
  <c r="I4356" i="2" l="1"/>
  <c r="K4355" i="2"/>
  <c r="I4357" i="2" l="1"/>
  <c r="K4356" i="2"/>
  <c r="I4358" i="2" l="1"/>
  <c r="K4357" i="2"/>
  <c r="I4359" i="2" l="1"/>
  <c r="K4358" i="2"/>
  <c r="I4360" i="2" l="1"/>
  <c r="K4359" i="2"/>
  <c r="I4361" i="2" l="1"/>
  <c r="K4360" i="2"/>
  <c r="I4362" i="2" l="1"/>
  <c r="K4361" i="2"/>
  <c r="I4363" i="2" l="1"/>
  <c r="K4362" i="2"/>
  <c r="I4364" i="2" l="1"/>
  <c r="K4363" i="2"/>
  <c r="I4365" i="2" l="1"/>
  <c r="K4364" i="2"/>
  <c r="I4366" i="2" l="1"/>
  <c r="K4365" i="2"/>
  <c r="I4367" i="2" l="1"/>
  <c r="K4366" i="2"/>
  <c r="I4368" i="2" l="1"/>
  <c r="K4367" i="2"/>
  <c r="I4369" i="2" l="1"/>
  <c r="K4368" i="2"/>
  <c r="I4370" i="2" l="1"/>
  <c r="K4369" i="2"/>
  <c r="I4371" i="2" l="1"/>
  <c r="K4370" i="2"/>
  <c r="I4372" i="2" l="1"/>
  <c r="K4371" i="2"/>
  <c r="I4373" i="2" l="1"/>
  <c r="K4372" i="2"/>
  <c r="I4374" i="2" l="1"/>
  <c r="K4373" i="2"/>
  <c r="I4375" i="2" l="1"/>
  <c r="K4374" i="2"/>
  <c r="I4376" i="2" l="1"/>
  <c r="K4375" i="2"/>
  <c r="I4377" i="2" l="1"/>
  <c r="K4376" i="2"/>
  <c r="I4378" i="2" l="1"/>
  <c r="K4377" i="2"/>
  <c r="I4379" i="2" l="1"/>
  <c r="K4378" i="2"/>
  <c r="I4380" i="2" l="1"/>
  <c r="K4379" i="2"/>
  <c r="I4381" i="2" l="1"/>
  <c r="K4380" i="2"/>
  <c r="I4382" i="2" l="1"/>
  <c r="K4381" i="2"/>
  <c r="I4383" i="2" l="1"/>
  <c r="K4382" i="2"/>
  <c r="I4384" i="2" l="1"/>
  <c r="K4383" i="2"/>
  <c r="I4385" i="2" l="1"/>
  <c r="K4384" i="2"/>
  <c r="I4386" i="2" l="1"/>
  <c r="K4385" i="2"/>
  <c r="I4387" i="2" l="1"/>
  <c r="K4386" i="2"/>
  <c r="I4388" i="2" l="1"/>
  <c r="K4387" i="2"/>
  <c r="I4389" i="2" l="1"/>
  <c r="K4388" i="2"/>
  <c r="I4390" i="2" l="1"/>
  <c r="K4389" i="2"/>
  <c r="I4391" i="2" l="1"/>
  <c r="K4390" i="2"/>
  <c r="I4392" i="2" l="1"/>
  <c r="K4391" i="2"/>
  <c r="I4393" i="2" l="1"/>
  <c r="K4392" i="2"/>
  <c r="I4394" i="2" l="1"/>
  <c r="K4393" i="2"/>
  <c r="I4395" i="2" l="1"/>
  <c r="K4394" i="2"/>
  <c r="I4396" i="2" l="1"/>
  <c r="K4395" i="2"/>
  <c r="I4397" i="2" l="1"/>
  <c r="K4396" i="2"/>
  <c r="I4398" i="2" l="1"/>
  <c r="K4397" i="2"/>
  <c r="I4399" i="2" l="1"/>
  <c r="K4398" i="2"/>
  <c r="I4400" i="2" l="1"/>
  <c r="K4399" i="2"/>
  <c r="I4401" i="2" l="1"/>
  <c r="K4400" i="2"/>
  <c r="I4402" i="2" l="1"/>
  <c r="K4401" i="2"/>
  <c r="I4403" i="2" l="1"/>
  <c r="K4402" i="2"/>
  <c r="I4404" i="2" l="1"/>
  <c r="K4403" i="2"/>
  <c r="I4405" i="2" l="1"/>
  <c r="K4404" i="2"/>
  <c r="I4406" i="2" l="1"/>
  <c r="K4405" i="2"/>
  <c r="I4407" i="2" l="1"/>
  <c r="K4406" i="2"/>
  <c r="I4408" i="2" l="1"/>
  <c r="K4407" i="2"/>
  <c r="I4409" i="2" l="1"/>
  <c r="K4408" i="2"/>
  <c r="I4410" i="2" l="1"/>
  <c r="K4409" i="2"/>
  <c r="I4411" i="2" l="1"/>
  <c r="K4410" i="2"/>
  <c r="I4412" i="2" l="1"/>
  <c r="K4411" i="2"/>
  <c r="I4413" i="2" l="1"/>
  <c r="K4412" i="2"/>
  <c r="I4414" i="2" l="1"/>
  <c r="K4413" i="2"/>
  <c r="I4415" i="2" l="1"/>
  <c r="K4414" i="2"/>
  <c r="I4416" i="2" l="1"/>
  <c r="K4415" i="2"/>
  <c r="I4417" i="2" l="1"/>
  <c r="K4416" i="2"/>
  <c r="I4418" i="2" l="1"/>
  <c r="K4417" i="2"/>
  <c r="I4419" i="2" l="1"/>
  <c r="K4418" i="2"/>
  <c r="I4420" i="2" l="1"/>
  <c r="K4419" i="2"/>
  <c r="I4421" i="2" l="1"/>
  <c r="K4420" i="2"/>
  <c r="I4422" i="2" l="1"/>
  <c r="K4421" i="2"/>
  <c r="I4423" i="2" l="1"/>
  <c r="K4422" i="2"/>
  <c r="I4424" i="2" l="1"/>
  <c r="K4423" i="2"/>
  <c r="I4425" i="2" l="1"/>
  <c r="K4424" i="2"/>
  <c r="I4426" i="2" l="1"/>
  <c r="K4425" i="2"/>
  <c r="I4427" i="2" l="1"/>
  <c r="K4426" i="2"/>
  <c r="I4428" i="2" l="1"/>
  <c r="K4427" i="2"/>
  <c r="I4429" i="2" l="1"/>
  <c r="K4428" i="2"/>
  <c r="I4430" i="2" l="1"/>
  <c r="K4429" i="2"/>
  <c r="I4431" i="2" l="1"/>
  <c r="K4430" i="2"/>
  <c r="I4432" i="2" l="1"/>
  <c r="K4431" i="2"/>
  <c r="I4433" i="2" l="1"/>
  <c r="K4432" i="2"/>
  <c r="I4434" i="2" l="1"/>
  <c r="K4433" i="2"/>
  <c r="I4435" i="2" l="1"/>
  <c r="K4434" i="2"/>
  <c r="I4436" i="2" l="1"/>
  <c r="K4435" i="2"/>
  <c r="I4437" i="2" l="1"/>
  <c r="K4436" i="2"/>
  <c r="I4438" i="2" l="1"/>
  <c r="K4437" i="2"/>
  <c r="I4439" i="2" l="1"/>
  <c r="K4438" i="2"/>
  <c r="I4440" i="2" l="1"/>
  <c r="K4439" i="2"/>
  <c r="I4441" i="2" l="1"/>
  <c r="K4440" i="2"/>
  <c r="I4442" i="2" l="1"/>
  <c r="K4441" i="2"/>
  <c r="I4443" i="2" l="1"/>
  <c r="K4442" i="2"/>
  <c r="I4444" i="2" l="1"/>
  <c r="K4443" i="2"/>
  <c r="I4445" i="2" l="1"/>
  <c r="K4444" i="2"/>
  <c r="I4446" i="2" l="1"/>
  <c r="K4445" i="2"/>
  <c r="I4447" i="2" l="1"/>
  <c r="K4446" i="2"/>
  <c r="I4448" i="2" l="1"/>
  <c r="K4447" i="2"/>
  <c r="I4449" i="2" l="1"/>
  <c r="K4448" i="2"/>
  <c r="I4450" i="2" l="1"/>
  <c r="K4449" i="2"/>
  <c r="I4451" i="2" l="1"/>
  <c r="K4450" i="2"/>
  <c r="I4452" i="2" l="1"/>
  <c r="K4451" i="2"/>
  <c r="I4453" i="2" l="1"/>
  <c r="K4452" i="2"/>
  <c r="I4454" i="2" l="1"/>
  <c r="K4453" i="2"/>
  <c r="I4455" i="2" l="1"/>
  <c r="K4454" i="2"/>
  <c r="I4456" i="2" l="1"/>
  <c r="K4455" i="2"/>
  <c r="I4457" i="2" l="1"/>
  <c r="K4456" i="2"/>
  <c r="I4458" i="2" l="1"/>
  <c r="K4457" i="2"/>
  <c r="I4459" i="2" l="1"/>
  <c r="K4458" i="2"/>
  <c r="I4460" i="2" l="1"/>
  <c r="K4459" i="2"/>
  <c r="I4461" i="2" l="1"/>
  <c r="K4460" i="2"/>
  <c r="I4462" i="2" l="1"/>
  <c r="K4461" i="2"/>
  <c r="I4463" i="2" l="1"/>
  <c r="K4462" i="2"/>
  <c r="I4464" i="2" l="1"/>
  <c r="K4463" i="2"/>
  <c r="I4465" i="2" l="1"/>
  <c r="K4464" i="2"/>
  <c r="I4466" i="2" l="1"/>
  <c r="K4465" i="2"/>
  <c r="I4467" i="2" l="1"/>
  <c r="K4466" i="2"/>
  <c r="I4468" i="2" l="1"/>
  <c r="K4467" i="2"/>
  <c r="I4469" i="2" l="1"/>
  <c r="K4468" i="2"/>
  <c r="I4470" i="2" l="1"/>
  <c r="K4469" i="2"/>
  <c r="I4471" i="2" l="1"/>
  <c r="K4470" i="2"/>
  <c r="I4472" i="2" l="1"/>
  <c r="K4471" i="2"/>
  <c r="I4473" i="2" l="1"/>
  <c r="K4472" i="2"/>
  <c r="I4474" i="2" l="1"/>
  <c r="K4473" i="2"/>
  <c r="I4475" i="2" l="1"/>
  <c r="K4474" i="2"/>
  <c r="I4476" i="2" l="1"/>
  <c r="K4475" i="2"/>
  <c r="I4477" i="2" l="1"/>
  <c r="K4476" i="2"/>
  <c r="I4478" i="2" l="1"/>
  <c r="K4477" i="2"/>
  <c r="I4479" i="2" l="1"/>
  <c r="K4478" i="2"/>
  <c r="I4480" i="2" l="1"/>
  <c r="K4479" i="2"/>
  <c r="I4481" i="2" l="1"/>
  <c r="K4480" i="2"/>
  <c r="I4482" i="2" l="1"/>
  <c r="K4481" i="2"/>
  <c r="I4483" i="2" l="1"/>
  <c r="K4482" i="2"/>
  <c r="I4484" i="2" l="1"/>
  <c r="K4483" i="2"/>
  <c r="I4485" i="2" l="1"/>
  <c r="K4484" i="2"/>
  <c r="I4486" i="2" l="1"/>
  <c r="K4485" i="2"/>
  <c r="I4487" i="2" l="1"/>
  <c r="K4486" i="2"/>
  <c r="I4488" i="2" l="1"/>
  <c r="K4487" i="2"/>
  <c r="I4489" i="2" l="1"/>
  <c r="K4488" i="2"/>
  <c r="I4490" i="2" l="1"/>
  <c r="K4489" i="2"/>
  <c r="I4491" i="2" l="1"/>
  <c r="K4490" i="2"/>
  <c r="I4492" i="2" l="1"/>
  <c r="K4491" i="2"/>
  <c r="I4493" i="2" l="1"/>
  <c r="K4492" i="2"/>
  <c r="I4494" i="2" l="1"/>
  <c r="K4493" i="2"/>
  <c r="I4495" i="2" l="1"/>
  <c r="K4494" i="2"/>
  <c r="I4496" i="2" l="1"/>
  <c r="K4495" i="2"/>
  <c r="I4497" i="2" l="1"/>
  <c r="K4496" i="2"/>
  <c r="I4498" i="2" l="1"/>
  <c r="K4497" i="2"/>
  <c r="I4499" i="2" l="1"/>
  <c r="K4498" i="2"/>
  <c r="I4500" i="2" l="1"/>
  <c r="K4499" i="2"/>
  <c r="I4501" i="2" l="1"/>
  <c r="K4500" i="2"/>
  <c r="I4502" i="2" l="1"/>
  <c r="K4501" i="2"/>
  <c r="I4503" i="2" l="1"/>
  <c r="K4502" i="2"/>
  <c r="I4504" i="2" l="1"/>
  <c r="K4503" i="2"/>
  <c r="I4505" i="2" l="1"/>
  <c r="K4504" i="2"/>
  <c r="I4506" i="2" l="1"/>
  <c r="K4505" i="2"/>
  <c r="I4507" i="2" l="1"/>
  <c r="K4506" i="2"/>
  <c r="I4508" i="2" l="1"/>
  <c r="K4507" i="2"/>
  <c r="I4509" i="2" l="1"/>
  <c r="K4508" i="2"/>
  <c r="I4510" i="2" l="1"/>
  <c r="K4509" i="2"/>
  <c r="I4511" i="2" l="1"/>
  <c r="K4510" i="2"/>
  <c r="I4512" i="2" l="1"/>
  <c r="K4511" i="2"/>
  <c r="I4513" i="2" l="1"/>
  <c r="K4512" i="2"/>
  <c r="I4514" i="2" l="1"/>
  <c r="K4513" i="2"/>
  <c r="I4515" i="2" l="1"/>
  <c r="K4514" i="2"/>
  <c r="I4516" i="2" l="1"/>
  <c r="K4515" i="2"/>
  <c r="I4517" i="2" l="1"/>
  <c r="K4516" i="2"/>
  <c r="I4518" i="2" l="1"/>
  <c r="K4517" i="2"/>
  <c r="I4519" i="2" l="1"/>
  <c r="K4518" i="2"/>
  <c r="I4520" i="2" l="1"/>
  <c r="K4519" i="2"/>
  <c r="I4521" i="2" l="1"/>
  <c r="K4520" i="2"/>
  <c r="I4522" i="2" l="1"/>
  <c r="K4521" i="2"/>
  <c r="I4523" i="2" l="1"/>
  <c r="K4522" i="2"/>
  <c r="I4524" i="2" l="1"/>
  <c r="K4523" i="2"/>
  <c r="I4525" i="2" l="1"/>
  <c r="K4524" i="2"/>
  <c r="I4526" i="2" l="1"/>
  <c r="K4525" i="2"/>
  <c r="I4527" i="2" l="1"/>
  <c r="K4526" i="2"/>
  <c r="I4528" i="2" l="1"/>
  <c r="K4527" i="2"/>
  <c r="I4529" i="2" l="1"/>
  <c r="K4528" i="2"/>
  <c r="I4530" i="2" l="1"/>
  <c r="K4529" i="2"/>
  <c r="I4531" i="2" l="1"/>
  <c r="K4530" i="2"/>
  <c r="I4532" i="2" l="1"/>
  <c r="K4531" i="2"/>
  <c r="I4533" i="2" l="1"/>
  <c r="K4532" i="2"/>
  <c r="I4534" i="2" l="1"/>
  <c r="K4533" i="2"/>
  <c r="I4535" i="2" l="1"/>
  <c r="K4534" i="2"/>
  <c r="I4536" i="2" l="1"/>
  <c r="K4535" i="2"/>
  <c r="I4537" i="2" l="1"/>
  <c r="K4536" i="2"/>
  <c r="I4538" i="2" l="1"/>
  <c r="K4537" i="2"/>
  <c r="I4539" i="2" l="1"/>
  <c r="K4538" i="2"/>
  <c r="I4540" i="2" l="1"/>
  <c r="K4539" i="2"/>
  <c r="I4541" i="2" l="1"/>
  <c r="K4540" i="2"/>
  <c r="I4542" i="2" l="1"/>
  <c r="K4541" i="2"/>
  <c r="I4543" i="2" l="1"/>
  <c r="K4542" i="2"/>
  <c r="I4544" i="2" l="1"/>
  <c r="K4543" i="2"/>
  <c r="I4545" i="2" l="1"/>
  <c r="K4544" i="2"/>
  <c r="I4546" i="2" l="1"/>
  <c r="K4545" i="2"/>
  <c r="I4547" i="2" l="1"/>
  <c r="K4546" i="2"/>
  <c r="I4548" i="2" l="1"/>
  <c r="K4547" i="2"/>
  <c r="I4549" i="2" l="1"/>
  <c r="K4548" i="2"/>
  <c r="I4550" i="2" l="1"/>
  <c r="K4549" i="2"/>
  <c r="I4551" i="2" l="1"/>
  <c r="K4550" i="2"/>
  <c r="I4552" i="2" l="1"/>
  <c r="K4551" i="2"/>
  <c r="I4553" i="2" l="1"/>
  <c r="K4552" i="2"/>
  <c r="I4554" i="2" l="1"/>
  <c r="K4553" i="2"/>
  <c r="I4555" i="2" l="1"/>
  <c r="K4554" i="2"/>
  <c r="I4556" i="2" l="1"/>
  <c r="K4555" i="2"/>
  <c r="I4557" i="2" l="1"/>
  <c r="K4556" i="2"/>
  <c r="I4558" i="2" l="1"/>
  <c r="K4557" i="2"/>
  <c r="I4559" i="2" l="1"/>
  <c r="K4558" i="2"/>
  <c r="I4560" i="2" l="1"/>
  <c r="K4559" i="2"/>
  <c r="I4561" i="2" l="1"/>
  <c r="K4560" i="2"/>
  <c r="I4562" i="2" l="1"/>
  <c r="K4561" i="2"/>
  <c r="I4563" i="2" l="1"/>
  <c r="K4562" i="2"/>
  <c r="I4564" i="2" l="1"/>
  <c r="K4563" i="2"/>
  <c r="I4565" i="2" l="1"/>
  <c r="K4564" i="2"/>
  <c r="I4566" i="2" l="1"/>
  <c r="K4565" i="2"/>
  <c r="I4567" i="2" l="1"/>
  <c r="K4566" i="2"/>
  <c r="I4568" i="2" l="1"/>
  <c r="K4567" i="2"/>
  <c r="I4569" i="2" l="1"/>
  <c r="K4568" i="2"/>
  <c r="I4570" i="2" l="1"/>
  <c r="K4569" i="2"/>
  <c r="I4571" i="2" l="1"/>
  <c r="K4570" i="2"/>
  <c r="I4572" i="2" l="1"/>
  <c r="K4571" i="2"/>
  <c r="I4573" i="2" l="1"/>
  <c r="K4572" i="2"/>
  <c r="I4574" i="2" l="1"/>
  <c r="K4573" i="2"/>
  <c r="I4575" i="2" l="1"/>
  <c r="K4574" i="2"/>
  <c r="I4576" i="2" l="1"/>
  <c r="K4575" i="2"/>
  <c r="I4577" i="2" l="1"/>
  <c r="K4576" i="2"/>
  <c r="I4578" i="2" l="1"/>
  <c r="K4577" i="2"/>
  <c r="I4579" i="2" l="1"/>
  <c r="K4578" i="2"/>
  <c r="I4580" i="2" l="1"/>
  <c r="K4579" i="2"/>
  <c r="I4581" i="2" l="1"/>
  <c r="K4580" i="2"/>
  <c r="I4582" i="2" l="1"/>
  <c r="K4581" i="2"/>
  <c r="I4583" i="2" l="1"/>
  <c r="K4582" i="2"/>
  <c r="I4584" i="2" l="1"/>
  <c r="K4583" i="2"/>
  <c r="I4585" i="2" l="1"/>
  <c r="K4584" i="2"/>
  <c r="I4586" i="2" l="1"/>
  <c r="K4585" i="2"/>
  <c r="I4587" i="2" l="1"/>
  <c r="K4586" i="2"/>
  <c r="I4588" i="2" l="1"/>
  <c r="K4587" i="2"/>
  <c r="I4589" i="2" l="1"/>
  <c r="K4588" i="2"/>
  <c r="I4590" i="2" l="1"/>
  <c r="K4589" i="2"/>
  <c r="I4591" i="2" l="1"/>
  <c r="K4590" i="2"/>
  <c r="I4592" i="2" l="1"/>
  <c r="K4591" i="2"/>
  <c r="I4593" i="2" l="1"/>
  <c r="K4592" i="2"/>
  <c r="I4594" i="2" l="1"/>
  <c r="K4593" i="2"/>
  <c r="I4595" i="2" l="1"/>
  <c r="K4594" i="2"/>
  <c r="I4596" i="2" l="1"/>
  <c r="K4595" i="2"/>
  <c r="I4597" i="2" l="1"/>
  <c r="K4596" i="2"/>
  <c r="I4598" i="2" l="1"/>
  <c r="K4597" i="2"/>
  <c r="I4599" i="2" l="1"/>
  <c r="K4598" i="2"/>
  <c r="I4600" i="2" l="1"/>
  <c r="K4599" i="2"/>
  <c r="I4601" i="2" l="1"/>
  <c r="K4600" i="2"/>
  <c r="I4602" i="2" l="1"/>
  <c r="K4601" i="2"/>
  <c r="I4603" i="2" l="1"/>
  <c r="K4602" i="2"/>
  <c r="I4604" i="2" l="1"/>
  <c r="K4603" i="2"/>
  <c r="I4605" i="2" l="1"/>
  <c r="K4604" i="2"/>
  <c r="I4606" i="2" l="1"/>
  <c r="K4605" i="2"/>
  <c r="I4607" i="2" l="1"/>
  <c r="K4606" i="2"/>
  <c r="I4608" i="2" l="1"/>
  <c r="K4607" i="2"/>
  <c r="I4609" i="2" l="1"/>
  <c r="K4608" i="2"/>
  <c r="I4610" i="2" l="1"/>
  <c r="K4609" i="2"/>
  <c r="I4611" i="2" l="1"/>
  <c r="K4610" i="2"/>
  <c r="I4612" i="2" l="1"/>
  <c r="K4611" i="2"/>
  <c r="I4613" i="2" l="1"/>
  <c r="K4612" i="2"/>
  <c r="I4614" i="2" l="1"/>
  <c r="K4613" i="2"/>
  <c r="I4615" i="2" l="1"/>
  <c r="K4614" i="2"/>
  <c r="I4616" i="2" l="1"/>
  <c r="K4615" i="2"/>
  <c r="I4617" i="2" l="1"/>
  <c r="K4616" i="2"/>
  <c r="I4618" i="2" l="1"/>
  <c r="K4617" i="2"/>
  <c r="I4619" i="2" l="1"/>
  <c r="K4618" i="2"/>
  <c r="I4620" i="2" l="1"/>
  <c r="K4619" i="2"/>
  <c r="I4621" i="2" l="1"/>
  <c r="K4620" i="2"/>
  <c r="I4622" i="2" l="1"/>
  <c r="K4621" i="2"/>
  <c r="I4623" i="2" l="1"/>
  <c r="K4622" i="2"/>
  <c r="I4624" i="2" l="1"/>
  <c r="K4623" i="2"/>
  <c r="I4625" i="2" l="1"/>
  <c r="K4624" i="2"/>
  <c r="I4626" i="2" l="1"/>
  <c r="K4625" i="2"/>
  <c r="I4627" i="2" l="1"/>
  <c r="K4626" i="2"/>
  <c r="I4628" i="2" l="1"/>
  <c r="K4627" i="2"/>
  <c r="I4629" i="2" l="1"/>
  <c r="K4628" i="2"/>
  <c r="I4630" i="2" l="1"/>
  <c r="K4629" i="2"/>
  <c r="I4631" i="2" l="1"/>
  <c r="K4630" i="2"/>
  <c r="I4632" i="2" l="1"/>
  <c r="K4631" i="2"/>
  <c r="I4633" i="2" l="1"/>
  <c r="K4632" i="2"/>
  <c r="I4634" i="2" l="1"/>
  <c r="K4633" i="2"/>
  <c r="I4635" i="2" l="1"/>
  <c r="K4634" i="2"/>
  <c r="I4636" i="2" l="1"/>
  <c r="K4635" i="2"/>
  <c r="I4637" i="2" l="1"/>
  <c r="K4636" i="2"/>
  <c r="I4638" i="2" l="1"/>
  <c r="K4637" i="2"/>
  <c r="I4639" i="2" l="1"/>
  <c r="K4638" i="2"/>
  <c r="I4640" i="2" l="1"/>
  <c r="K4639" i="2"/>
  <c r="I4641" i="2" l="1"/>
  <c r="K4640" i="2"/>
  <c r="I4642" i="2" l="1"/>
  <c r="K4641" i="2"/>
  <c r="I4643" i="2" l="1"/>
  <c r="K4642" i="2"/>
  <c r="I4644" i="2" l="1"/>
  <c r="K4643" i="2"/>
  <c r="I4645" i="2" l="1"/>
  <c r="K4644" i="2"/>
  <c r="I4646" i="2" l="1"/>
  <c r="K4645" i="2"/>
  <c r="I4647" i="2" l="1"/>
  <c r="K4646" i="2"/>
  <c r="I4648" i="2" l="1"/>
  <c r="K4647" i="2"/>
  <c r="I4649" i="2" l="1"/>
  <c r="K4648" i="2"/>
  <c r="I4650" i="2" l="1"/>
  <c r="K4649" i="2"/>
  <c r="I4651" i="2" l="1"/>
  <c r="K4650" i="2"/>
  <c r="I4652" i="2" l="1"/>
  <c r="K4651" i="2"/>
  <c r="I4653" i="2" l="1"/>
  <c r="K4652" i="2"/>
  <c r="I4654" i="2" l="1"/>
  <c r="K4653" i="2"/>
  <c r="I4655" i="2" l="1"/>
  <c r="K4654" i="2"/>
  <c r="I4656" i="2" l="1"/>
  <c r="K4655" i="2"/>
  <c r="I4657" i="2" l="1"/>
  <c r="K4656" i="2"/>
  <c r="I4658" i="2" l="1"/>
  <c r="K4657" i="2"/>
  <c r="I4659" i="2" l="1"/>
  <c r="K4658" i="2"/>
  <c r="I4660" i="2" l="1"/>
  <c r="K4659" i="2"/>
  <c r="I4661" i="2" l="1"/>
  <c r="K4660" i="2"/>
  <c r="I4662" i="2" l="1"/>
  <c r="K4661" i="2"/>
  <c r="I4663" i="2" l="1"/>
  <c r="K4662" i="2"/>
  <c r="I4664" i="2" l="1"/>
  <c r="K4663" i="2"/>
  <c r="I4665" i="2" l="1"/>
  <c r="K4664" i="2"/>
  <c r="I4666" i="2" l="1"/>
  <c r="K4665" i="2"/>
  <c r="I4667" i="2" l="1"/>
  <c r="K4666" i="2"/>
  <c r="I4668" i="2" l="1"/>
  <c r="K4667" i="2"/>
  <c r="I4669" i="2" l="1"/>
  <c r="K4668" i="2"/>
  <c r="I4670" i="2" l="1"/>
  <c r="K4669" i="2"/>
  <c r="I4671" i="2" l="1"/>
  <c r="K4670" i="2"/>
  <c r="I4672" i="2" l="1"/>
  <c r="K4671" i="2"/>
  <c r="I4673" i="2" l="1"/>
  <c r="K4672" i="2"/>
  <c r="I4674" i="2" l="1"/>
  <c r="K4673" i="2"/>
  <c r="I4675" i="2" l="1"/>
  <c r="K4674" i="2"/>
  <c r="I4676" i="2" l="1"/>
  <c r="K4675" i="2"/>
  <c r="I4677" i="2" l="1"/>
  <c r="K4676" i="2"/>
  <c r="I4678" i="2" l="1"/>
  <c r="K4677" i="2"/>
  <c r="I4679" i="2" l="1"/>
  <c r="K4678" i="2"/>
  <c r="I4680" i="2" l="1"/>
  <c r="K4679" i="2"/>
  <c r="I4681" i="2" l="1"/>
  <c r="K4680" i="2"/>
  <c r="I4682" i="2" l="1"/>
  <c r="K4681" i="2"/>
  <c r="I4683" i="2" l="1"/>
  <c r="K4682" i="2"/>
  <c r="I4684" i="2" l="1"/>
  <c r="K4683" i="2"/>
  <c r="I4685" i="2" l="1"/>
  <c r="K4684" i="2"/>
  <c r="I4686" i="2" l="1"/>
  <c r="K4685" i="2"/>
  <c r="I4687" i="2" l="1"/>
  <c r="K4686" i="2"/>
  <c r="I4688" i="2" l="1"/>
  <c r="K4687" i="2"/>
  <c r="I4689" i="2" l="1"/>
  <c r="K4688" i="2"/>
  <c r="I4690" i="2" l="1"/>
  <c r="K4689" i="2"/>
  <c r="I4691" i="2" l="1"/>
  <c r="K4690" i="2"/>
  <c r="I4692" i="2" l="1"/>
  <c r="K4691" i="2"/>
  <c r="I4693" i="2" l="1"/>
  <c r="K4692" i="2"/>
  <c r="I4694" i="2" l="1"/>
  <c r="K4693" i="2"/>
  <c r="I4695" i="2" l="1"/>
  <c r="K4694" i="2"/>
  <c r="I4696" i="2" l="1"/>
  <c r="K4695" i="2"/>
  <c r="I4697" i="2" l="1"/>
  <c r="K4696" i="2"/>
  <c r="I4698" i="2" l="1"/>
  <c r="K4697" i="2"/>
  <c r="I4699" i="2" l="1"/>
  <c r="K4698" i="2"/>
  <c r="I4700" i="2" l="1"/>
  <c r="K4699" i="2"/>
  <c r="I4701" i="2" l="1"/>
  <c r="K4700" i="2"/>
  <c r="I4702" i="2" l="1"/>
  <c r="K4701" i="2"/>
  <c r="I4703" i="2" l="1"/>
  <c r="K4702" i="2"/>
  <c r="I4704" i="2" l="1"/>
  <c r="K4703" i="2"/>
  <c r="I4705" i="2" l="1"/>
  <c r="K4704" i="2"/>
  <c r="I4706" i="2" l="1"/>
  <c r="K4705" i="2"/>
  <c r="I4707" i="2" l="1"/>
  <c r="K4706" i="2"/>
  <c r="I4708" i="2" l="1"/>
  <c r="K4707" i="2"/>
  <c r="I4709" i="2" l="1"/>
  <c r="K4708" i="2"/>
  <c r="I4710" i="2" l="1"/>
  <c r="K4709" i="2"/>
  <c r="I4711" i="2" l="1"/>
  <c r="K4710" i="2"/>
  <c r="I4712" i="2" l="1"/>
  <c r="K4711" i="2"/>
  <c r="I4713" i="2" l="1"/>
  <c r="K4712" i="2"/>
  <c r="I4714" i="2" l="1"/>
  <c r="K4713" i="2"/>
  <c r="I4715" i="2" l="1"/>
  <c r="K4714" i="2"/>
  <c r="I4716" i="2" l="1"/>
  <c r="K4715" i="2"/>
  <c r="I4717" i="2" l="1"/>
  <c r="K4716" i="2"/>
  <c r="I4718" i="2" l="1"/>
  <c r="K4717" i="2"/>
  <c r="I4719" i="2" l="1"/>
  <c r="K4718" i="2"/>
  <c r="I4720" i="2" l="1"/>
  <c r="K4719" i="2"/>
  <c r="I4721" i="2" l="1"/>
  <c r="K4720" i="2"/>
  <c r="I4722" i="2" l="1"/>
  <c r="K4721" i="2"/>
  <c r="I4723" i="2" l="1"/>
  <c r="K4722" i="2"/>
  <c r="I4724" i="2" l="1"/>
  <c r="K4723" i="2"/>
  <c r="I4725" i="2" l="1"/>
  <c r="K4724" i="2"/>
  <c r="I4726" i="2" l="1"/>
  <c r="K4725" i="2"/>
  <c r="I4727" i="2" l="1"/>
  <c r="K4726" i="2"/>
  <c r="I4728" i="2" l="1"/>
  <c r="K4727" i="2"/>
  <c r="I4729" i="2" l="1"/>
  <c r="K4728" i="2"/>
  <c r="I4730" i="2" l="1"/>
  <c r="K4729" i="2"/>
  <c r="I4731" i="2" l="1"/>
  <c r="K4730" i="2"/>
  <c r="I4732" i="2" l="1"/>
  <c r="K4731" i="2"/>
  <c r="I4733" i="2" l="1"/>
  <c r="K4732" i="2"/>
  <c r="I4734" i="2" l="1"/>
  <c r="K4733" i="2"/>
  <c r="I4735" i="2" l="1"/>
  <c r="K4734" i="2"/>
  <c r="I4736" i="2" l="1"/>
  <c r="K4735" i="2"/>
  <c r="I4737" i="2" l="1"/>
  <c r="K4736" i="2"/>
  <c r="I4738" i="2" l="1"/>
  <c r="K4737" i="2"/>
  <c r="I4739" i="2" l="1"/>
  <c r="K4738" i="2"/>
  <c r="I4740" i="2" l="1"/>
  <c r="K4739" i="2"/>
  <c r="I4741" i="2" l="1"/>
  <c r="K4740" i="2"/>
  <c r="I4742" i="2" l="1"/>
  <c r="K4741" i="2"/>
  <c r="I4743" i="2" l="1"/>
  <c r="K4742" i="2"/>
  <c r="I4744" i="2" l="1"/>
  <c r="K4743" i="2"/>
  <c r="I4745" i="2" l="1"/>
  <c r="K4744" i="2"/>
  <c r="I4746" i="2" l="1"/>
  <c r="K4745" i="2"/>
  <c r="I4747" i="2" l="1"/>
  <c r="K4746" i="2"/>
  <c r="I4748" i="2" l="1"/>
  <c r="K4747" i="2"/>
  <c r="I4749" i="2" l="1"/>
  <c r="K4748" i="2"/>
  <c r="I4750" i="2" l="1"/>
  <c r="K4749" i="2"/>
  <c r="I4751" i="2" l="1"/>
  <c r="K4750" i="2"/>
  <c r="I4752" i="2" l="1"/>
  <c r="K4751" i="2"/>
  <c r="I4753" i="2" l="1"/>
  <c r="K4752" i="2"/>
  <c r="I4754" i="2" l="1"/>
  <c r="K4753" i="2"/>
  <c r="I4755" i="2" l="1"/>
  <c r="K4754" i="2"/>
  <c r="I4756" i="2" l="1"/>
  <c r="K4755" i="2"/>
  <c r="I4757" i="2" l="1"/>
  <c r="K4756" i="2"/>
  <c r="I4758" i="2" l="1"/>
  <c r="K4757" i="2"/>
  <c r="I4759" i="2" l="1"/>
  <c r="K4758" i="2"/>
  <c r="I4760" i="2" l="1"/>
  <c r="K4759" i="2"/>
  <c r="I4761" i="2" l="1"/>
  <c r="K4760" i="2"/>
  <c r="I4762" i="2" l="1"/>
  <c r="K4761" i="2"/>
  <c r="I4763" i="2" l="1"/>
  <c r="K4762" i="2"/>
  <c r="I4764" i="2" l="1"/>
  <c r="K4763" i="2"/>
  <c r="I4765" i="2" l="1"/>
  <c r="K4764" i="2"/>
  <c r="I4766" i="2" l="1"/>
  <c r="K4765" i="2"/>
  <c r="I4767" i="2" l="1"/>
  <c r="K4766" i="2"/>
  <c r="I4768" i="2" l="1"/>
  <c r="K4767" i="2"/>
  <c r="I4769" i="2" l="1"/>
  <c r="K4768" i="2"/>
  <c r="I4770" i="2" l="1"/>
  <c r="K4769" i="2"/>
  <c r="I4771" i="2" l="1"/>
  <c r="K4770" i="2"/>
  <c r="I4772" i="2" l="1"/>
  <c r="K4771" i="2"/>
  <c r="I4773" i="2" l="1"/>
  <c r="K4772" i="2"/>
  <c r="I4774" i="2" l="1"/>
  <c r="K4773" i="2"/>
  <c r="I4775" i="2" l="1"/>
  <c r="K4774" i="2"/>
  <c r="I4776" i="2" l="1"/>
  <c r="K4775" i="2"/>
  <c r="I4777" i="2" l="1"/>
  <c r="K4776" i="2"/>
  <c r="I4778" i="2" l="1"/>
  <c r="K4777" i="2"/>
  <c r="I4779" i="2" l="1"/>
  <c r="K4778" i="2"/>
  <c r="I4780" i="2" l="1"/>
  <c r="K4779" i="2"/>
  <c r="I4781" i="2" l="1"/>
  <c r="K4780" i="2"/>
  <c r="I4782" i="2" l="1"/>
  <c r="K4781" i="2"/>
  <c r="I4783" i="2" l="1"/>
  <c r="K4782" i="2"/>
  <c r="I4784" i="2" l="1"/>
  <c r="K4783" i="2"/>
  <c r="I4785" i="2" l="1"/>
  <c r="K4784" i="2"/>
  <c r="I4786" i="2" l="1"/>
  <c r="K4785" i="2"/>
  <c r="I4787" i="2" l="1"/>
  <c r="K4786" i="2"/>
  <c r="I4788" i="2" l="1"/>
  <c r="K4787" i="2"/>
  <c r="I4789" i="2" l="1"/>
  <c r="K4788" i="2"/>
  <c r="I4790" i="2" l="1"/>
  <c r="K4789" i="2"/>
  <c r="I4791" i="2" l="1"/>
  <c r="K4790" i="2"/>
  <c r="I4792" i="2" l="1"/>
  <c r="K4791" i="2"/>
  <c r="I4793" i="2" l="1"/>
  <c r="K4792" i="2"/>
  <c r="I4794" i="2" l="1"/>
  <c r="K4793" i="2"/>
  <c r="I4795" i="2" l="1"/>
  <c r="K4794" i="2"/>
  <c r="I4796" i="2" l="1"/>
  <c r="K4795" i="2"/>
  <c r="I4797" i="2" l="1"/>
  <c r="K4796" i="2"/>
  <c r="I4798" i="2" l="1"/>
  <c r="K4797" i="2"/>
  <c r="I4799" i="2" l="1"/>
  <c r="K4798" i="2"/>
  <c r="I4800" i="2" l="1"/>
  <c r="K4799" i="2"/>
  <c r="I4801" i="2" l="1"/>
  <c r="K4800" i="2"/>
  <c r="I4802" i="2" l="1"/>
  <c r="K4801" i="2"/>
  <c r="I4803" i="2" l="1"/>
  <c r="K4802" i="2"/>
  <c r="I4804" i="2" l="1"/>
  <c r="K4803" i="2"/>
  <c r="I4805" i="2" l="1"/>
  <c r="K4804" i="2"/>
  <c r="I4806" i="2" l="1"/>
  <c r="K4805" i="2"/>
  <c r="I4807" i="2" l="1"/>
  <c r="K4806" i="2"/>
  <c r="I4808" i="2" l="1"/>
  <c r="K4807" i="2"/>
  <c r="I4809" i="2" l="1"/>
  <c r="K4808" i="2"/>
  <c r="I4810" i="2" l="1"/>
  <c r="K4809" i="2"/>
  <c r="I4811" i="2" l="1"/>
  <c r="K4810" i="2"/>
  <c r="I4812" i="2" l="1"/>
  <c r="K4811" i="2"/>
  <c r="I4813" i="2" l="1"/>
  <c r="K4812" i="2"/>
  <c r="I4814" i="2" l="1"/>
  <c r="K4813" i="2"/>
  <c r="I4815" i="2" l="1"/>
  <c r="K4814" i="2"/>
  <c r="I4816" i="2" l="1"/>
  <c r="K4815" i="2"/>
  <c r="I4817" i="2" l="1"/>
  <c r="K4816" i="2"/>
  <c r="I4818" i="2" l="1"/>
  <c r="K4817" i="2"/>
  <c r="I4819" i="2" l="1"/>
  <c r="K4818" i="2"/>
  <c r="I4820" i="2" l="1"/>
  <c r="K4819" i="2"/>
  <c r="I4821" i="2" l="1"/>
  <c r="K4820" i="2"/>
  <c r="I4822" i="2" l="1"/>
  <c r="K4821" i="2"/>
  <c r="I4823" i="2" l="1"/>
  <c r="K4822" i="2"/>
  <c r="I4824" i="2" l="1"/>
  <c r="K4823" i="2"/>
  <c r="I4825" i="2" l="1"/>
  <c r="K4824" i="2"/>
  <c r="I4826" i="2" l="1"/>
  <c r="K4825" i="2"/>
  <c r="I4827" i="2" l="1"/>
  <c r="K4826" i="2"/>
  <c r="I4828" i="2" l="1"/>
  <c r="K4827" i="2"/>
  <c r="I4829" i="2" l="1"/>
  <c r="K4828" i="2"/>
  <c r="I4830" i="2" l="1"/>
  <c r="K4829" i="2"/>
  <c r="I4831" i="2" l="1"/>
  <c r="K4830" i="2"/>
  <c r="I4832" i="2" l="1"/>
  <c r="K4831" i="2"/>
  <c r="I4833" i="2" l="1"/>
  <c r="K4832" i="2"/>
  <c r="I4834" i="2" l="1"/>
  <c r="K4833" i="2"/>
  <c r="I4835" i="2" l="1"/>
  <c r="K4834" i="2"/>
  <c r="I4836" i="2" l="1"/>
  <c r="K4835" i="2"/>
  <c r="I4837" i="2" l="1"/>
  <c r="K4836" i="2"/>
  <c r="I4838" i="2" l="1"/>
  <c r="K4837" i="2"/>
  <c r="I4839" i="2" l="1"/>
  <c r="K4838" i="2"/>
  <c r="I4840" i="2" l="1"/>
  <c r="K4839" i="2"/>
  <c r="I4841" i="2" l="1"/>
  <c r="K4840" i="2"/>
  <c r="I4842" i="2" l="1"/>
  <c r="K4841" i="2"/>
  <c r="I4843" i="2" l="1"/>
  <c r="K4842" i="2"/>
  <c r="I4844" i="2" l="1"/>
  <c r="K4843" i="2"/>
  <c r="I4845" i="2" l="1"/>
  <c r="K4844" i="2"/>
  <c r="I4846" i="2" l="1"/>
  <c r="K4845" i="2"/>
  <c r="I4847" i="2" l="1"/>
  <c r="K4846" i="2"/>
  <c r="I4848" i="2" l="1"/>
  <c r="K4847" i="2"/>
  <c r="I4849" i="2" l="1"/>
  <c r="K4848" i="2"/>
  <c r="I4850" i="2" l="1"/>
  <c r="K4849" i="2"/>
  <c r="I4851" i="2" l="1"/>
  <c r="K4850" i="2"/>
  <c r="I4852" i="2" l="1"/>
  <c r="K4851" i="2"/>
  <c r="I4853" i="2" l="1"/>
  <c r="K4852" i="2"/>
  <c r="I4854" i="2" l="1"/>
  <c r="K4853" i="2"/>
  <c r="I4855" i="2" l="1"/>
  <c r="K4854" i="2"/>
  <c r="I4856" i="2" l="1"/>
  <c r="K4855" i="2"/>
  <c r="I4857" i="2" l="1"/>
  <c r="K4856" i="2"/>
  <c r="I4858" i="2" l="1"/>
  <c r="K4857" i="2"/>
  <c r="I4859" i="2" l="1"/>
  <c r="K4858" i="2"/>
  <c r="I4860" i="2" l="1"/>
  <c r="K4859" i="2"/>
  <c r="I4861" i="2" l="1"/>
  <c r="K4860" i="2"/>
  <c r="I4862" i="2" l="1"/>
  <c r="K4861" i="2"/>
  <c r="I4863" i="2" l="1"/>
  <c r="K4862" i="2"/>
  <c r="I4864" i="2" l="1"/>
  <c r="K4863" i="2"/>
  <c r="I4865" i="2" l="1"/>
  <c r="K4864" i="2"/>
  <c r="I4866" i="2" l="1"/>
  <c r="K4865" i="2"/>
  <c r="I4867" i="2" l="1"/>
  <c r="K4866" i="2"/>
  <c r="I4868" i="2" l="1"/>
  <c r="K4867" i="2"/>
  <c r="I4869" i="2" l="1"/>
  <c r="K4868" i="2"/>
  <c r="I4870" i="2" l="1"/>
  <c r="K4869" i="2"/>
  <c r="I4871" i="2" l="1"/>
  <c r="K4870" i="2"/>
  <c r="I4872" i="2" l="1"/>
  <c r="K4871" i="2"/>
  <c r="I4873" i="2" l="1"/>
  <c r="K4872" i="2"/>
  <c r="I4874" i="2" l="1"/>
  <c r="K4873" i="2"/>
  <c r="I4875" i="2" l="1"/>
  <c r="K4874" i="2"/>
  <c r="I4876" i="2" l="1"/>
  <c r="K4875" i="2"/>
  <c r="I4877" i="2" l="1"/>
  <c r="K4876" i="2"/>
  <c r="I4878" i="2" l="1"/>
  <c r="K4877" i="2"/>
  <c r="I4879" i="2" l="1"/>
  <c r="K4878" i="2"/>
  <c r="I4880" i="2" l="1"/>
  <c r="K4879" i="2"/>
  <c r="I4881" i="2" l="1"/>
  <c r="K4880" i="2"/>
  <c r="I4882" i="2" l="1"/>
  <c r="K4881" i="2"/>
  <c r="I4883" i="2" l="1"/>
  <c r="K4882" i="2"/>
  <c r="I4884" i="2" l="1"/>
  <c r="K4883" i="2"/>
  <c r="I4885" i="2" l="1"/>
  <c r="K4884" i="2"/>
  <c r="I4886" i="2" l="1"/>
  <c r="K4885" i="2"/>
  <c r="I4887" i="2" l="1"/>
  <c r="K4886" i="2"/>
  <c r="I4888" i="2" l="1"/>
  <c r="K4887" i="2"/>
  <c r="I4889" i="2" l="1"/>
  <c r="K4888" i="2"/>
  <c r="I4890" i="2" l="1"/>
  <c r="K4889" i="2"/>
  <c r="I4891" i="2" l="1"/>
  <c r="K4890" i="2"/>
  <c r="I4892" i="2" l="1"/>
  <c r="K4891" i="2"/>
  <c r="I4893" i="2" l="1"/>
  <c r="K4892" i="2"/>
  <c r="I4894" i="2" l="1"/>
  <c r="K4893" i="2"/>
  <c r="I4895" i="2" l="1"/>
  <c r="K4894" i="2"/>
  <c r="I4896" i="2" l="1"/>
  <c r="K4895" i="2"/>
  <c r="I4897" i="2" l="1"/>
  <c r="K4896" i="2"/>
  <c r="I4898" i="2" l="1"/>
  <c r="K4897" i="2"/>
  <c r="I4899" i="2" l="1"/>
  <c r="K4898" i="2"/>
  <c r="I4900" i="2" l="1"/>
  <c r="K4899" i="2"/>
  <c r="I4901" i="2" l="1"/>
  <c r="K4900" i="2"/>
  <c r="I4902" i="2" l="1"/>
  <c r="K4901" i="2"/>
  <c r="I4903" i="2" l="1"/>
  <c r="K4902" i="2"/>
  <c r="I4904" i="2" l="1"/>
  <c r="K4903" i="2"/>
  <c r="I4905" i="2" l="1"/>
  <c r="K4904" i="2"/>
  <c r="I4906" i="2" l="1"/>
  <c r="K4905" i="2"/>
  <c r="I4907" i="2" l="1"/>
  <c r="K4906" i="2"/>
  <c r="I4908" i="2" l="1"/>
  <c r="K4907" i="2"/>
  <c r="I4909" i="2" l="1"/>
  <c r="K4908" i="2"/>
  <c r="I4910" i="2" l="1"/>
  <c r="K4909" i="2"/>
  <c r="I4911" i="2" l="1"/>
  <c r="K4910" i="2"/>
  <c r="I4912" i="2" l="1"/>
  <c r="K4911" i="2"/>
  <c r="I4913" i="2" l="1"/>
  <c r="K4912" i="2"/>
  <c r="I4914" i="2" l="1"/>
  <c r="K4913" i="2"/>
  <c r="I4915" i="2" l="1"/>
  <c r="K4914" i="2"/>
  <c r="I4916" i="2" l="1"/>
  <c r="K4915" i="2"/>
  <c r="I4917" i="2" l="1"/>
  <c r="K4916" i="2"/>
  <c r="I4918" i="2" l="1"/>
  <c r="K4917" i="2"/>
  <c r="I4919" i="2" l="1"/>
  <c r="K4918" i="2"/>
  <c r="I4920" i="2" l="1"/>
  <c r="K4919" i="2"/>
  <c r="I4921" i="2" l="1"/>
  <c r="K4920" i="2"/>
  <c r="I4922" i="2" l="1"/>
  <c r="K4921" i="2"/>
  <c r="I4923" i="2" l="1"/>
  <c r="K4922" i="2"/>
  <c r="I4924" i="2" l="1"/>
  <c r="K4923" i="2"/>
  <c r="I4925" i="2" l="1"/>
  <c r="K4924" i="2"/>
  <c r="I4926" i="2" l="1"/>
  <c r="K4925" i="2"/>
  <c r="I4927" i="2" l="1"/>
  <c r="K4926" i="2"/>
  <c r="I4928" i="2" l="1"/>
  <c r="K4927" i="2"/>
  <c r="I4929" i="2" l="1"/>
  <c r="K4928" i="2"/>
  <c r="I4930" i="2" l="1"/>
  <c r="K4929" i="2"/>
  <c r="I4931" i="2" l="1"/>
  <c r="K4930" i="2"/>
  <c r="I4932" i="2" l="1"/>
  <c r="K4931" i="2"/>
  <c r="I4933" i="2" l="1"/>
  <c r="K4932" i="2"/>
  <c r="I4934" i="2" l="1"/>
  <c r="K4933" i="2"/>
  <c r="I4935" i="2" l="1"/>
  <c r="K4934" i="2"/>
  <c r="I4936" i="2" l="1"/>
  <c r="K4935" i="2"/>
  <c r="I4937" i="2" l="1"/>
  <c r="K4936" i="2"/>
  <c r="I4938" i="2" l="1"/>
  <c r="K4937" i="2"/>
  <c r="I4939" i="2" l="1"/>
  <c r="K4938" i="2"/>
  <c r="I4940" i="2" l="1"/>
  <c r="K4939" i="2"/>
  <c r="I4941" i="2" l="1"/>
  <c r="K4940" i="2"/>
  <c r="I4942" i="2" l="1"/>
  <c r="K4941" i="2"/>
  <c r="I4943" i="2" l="1"/>
  <c r="K4942" i="2"/>
  <c r="I4944" i="2" l="1"/>
  <c r="K4943" i="2"/>
  <c r="I4945" i="2" l="1"/>
  <c r="K4944" i="2"/>
  <c r="I4946" i="2" l="1"/>
  <c r="K4945" i="2"/>
  <c r="I4947" i="2" l="1"/>
  <c r="K4946" i="2"/>
  <c r="I4948" i="2" l="1"/>
  <c r="K4947" i="2"/>
  <c r="I4949" i="2" l="1"/>
  <c r="K4948" i="2"/>
  <c r="I4950" i="2" l="1"/>
  <c r="K4949" i="2"/>
  <c r="I4951" i="2" l="1"/>
  <c r="K4950" i="2"/>
  <c r="I4952" i="2" l="1"/>
  <c r="K4951" i="2"/>
  <c r="I4953" i="2" l="1"/>
  <c r="K4952" i="2"/>
  <c r="I4954" i="2" l="1"/>
  <c r="K4953" i="2"/>
  <c r="I4955" i="2" l="1"/>
  <c r="K4954" i="2"/>
  <c r="I4956" i="2" l="1"/>
  <c r="K4955" i="2"/>
  <c r="I4957" i="2" l="1"/>
  <c r="K4956" i="2"/>
  <c r="I4958" i="2" l="1"/>
  <c r="K4957" i="2"/>
  <c r="I4959" i="2" l="1"/>
  <c r="K4958" i="2"/>
  <c r="I4960" i="2" l="1"/>
  <c r="K4959" i="2"/>
  <c r="I4961" i="2" l="1"/>
  <c r="K4960" i="2"/>
  <c r="I4962" i="2" l="1"/>
  <c r="K4961" i="2"/>
  <c r="I4963" i="2" l="1"/>
  <c r="K4962" i="2"/>
  <c r="I4964" i="2" l="1"/>
  <c r="K4963" i="2"/>
  <c r="I4965" i="2" l="1"/>
  <c r="K4964" i="2"/>
  <c r="I4966" i="2" l="1"/>
  <c r="K4965" i="2"/>
  <c r="I4967" i="2" l="1"/>
  <c r="K4966" i="2"/>
  <c r="I4968" i="2" l="1"/>
  <c r="K4967" i="2"/>
  <c r="I4969" i="2" l="1"/>
  <c r="K4968" i="2"/>
  <c r="I4970" i="2" l="1"/>
  <c r="K4969" i="2"/>
  <c r="I4971" i="2" l="1"/>
  <c r="K4970" i="2"/>
  <c r="I4972" i="2" l="1"/>
  <c r="K4971" i="2"/>
  <c r="I4973" i="2" l="1"/>
  <c r="K4972" i="2"/>
  <c r="I4974" i="2" l="1"/>
  <c r="K4973" i="2"/>
  <c r="I4975" i="2" l="1"/>
  <c r="K4974" i="2"/>
  <c r="I4976" i="2" l="1"/>
  <c r="K4975" i="2"/>
  <c r="I4977" i="2" l="1"/>
  <c r="K4976" i="2"/>
  <c r="I4978" i="2" l="1"/>
  <c r="K4977" i="2"/>
  <c r="I4979" i="2" l="1"/>
  <c r="K4978" i="2"/>
  <c r="I4980" i="2" l="1"/>
  <c r="K4979" i="2"/>
  <c r="I4981" i="2" l="1"/>
  <c r="K4980" i="2"/>
  <c r="I4982" i="2" l="1"/>
  <c r="K4981" i="2"/>
  <c r="I4983" i="2" l="1"/>
  <c r="K4982" i="2"/>
  <c r="I4984" i="2" l="1"/>
  <c r="K4983" i="2"/>
  <c r="I4985" i="2" l="1"/>
  <c r="K4984" i="2"/>
  <c r="I4986" i="2" l="1"/>
  <c r="K4985" i="2"/>
  <c r="I4987" i="2" l="1"/>
  <c r="K4986" i="2"/>
  <c r="I4988" i="2" l="1"/>
  <c r="K4987" i="2"/>
  <c r="I4989" i="2" l="1"/>
  <c r="K4988" i="2"/>
  <c r="I4990" i="2" l="1"/>
  <c r="K4989" i="2"/>
  <c r="I4991" i="2" l="1"/>
  <c r="K4990" i="2"/>
  <c r="I4992" i="2" l="1"/>
  <c r="K4991" i="2"/>
  <c r="I4993" i="2" l="1"/>
  <c r="K4992" i="2"/>
  <c r="I4994" i="2" l="1"/>
  <c r="K4993" i="2"/>
  <c r="I4995" i="2" l="1"/>
  <c r="K4994" i="2"/>
  <c r="I4996" i="2" l="1"/>
  <c r="K4995" i="2"/>
  <c r="I4997" i="2" l="1"/>
  <c r="K4996" i="2"/>
  <c r="I4998" i="2" l="1"/>
  <c r="K4997" i="2"/>
  <c r="I4999" i="2" l="1"/>
  <c r="K4998" i="2"/>
  <c r="I5000" i="2" l="1"/>
  <c r="K4999" i="2"/>
  <c r="I5001" i="2" l="1"/>
  <c r="K5000" i="2"/>
  <c r="I5002" i="2" l="1"/>
  <c r="K5001" i="2"/>
  <c r="I5003" i="2" l="1"/>
  <c r="K5002" i="2"/>
  <c r="I5004" i="2" l="1"/>
  <c r="K5003" i="2"/>
  <c r="I5005" i="2" l="1"/>
  <c r="K5004" i="2"/>
  <c r="I5006" i="2" l="1"/>
  <c r="K5005" i="2"/>
  <c r="I5007" i="2" l="1"/>
  <c r="K5006" i="2"/>
  <c r="I5008" i="2" l="1"/>
  <c r="K5007" i="2"/>
  <c r="I5009" i="2" l="1"/>
  <c r="K5008" i="2"/>
  <c r="I5010" i="2" l="1"/>
  <c r="K5009" i="2"/>
  <c r="I5011" i="2" l="1"/>
  <c r="K5010" i="2"/>
  <c r="I5012" i="2" l="1"/>
  <c r="K5011" i="2"/>
  <c r="I5013" i="2" l="1"/>
  <c r="K5012" i="2"/>
  <c r="I5014" i="2" l="1"/>
  <c r="K5013" i="2"/>
  <c r="I5015" i="2" l="1"/>
  <c r="K5014" i="2"/>
  <c r="I5016" i="2" l="1"/>
  <c r="K5015" i="2"/>
  <c r="I5017" i="2" l="1"/>
  <c r="K5016" i="2"/>
  <c r="I5018" i="2" l="1"/>
  <c r="K5017" i="2"/>
  <c r="I5019" i="2" l="1"/>
  <c r="K5018" i="2"/>
  <c r="I5020" i="2" l="1"/>
  <c r="K5019" i="2"/>
  <c r="I5021" i="2" l="1"/>
  <c r="K5020" i="2"/>
  <c r="I5022" i="2" l="1"/>
  <c r="K5021" i="2"/>
  <c r="I5023" i="2" l="1"/>
  <c r="K5022" i="2"/>
  <c r="I5024" i="2" l="1"/>
  <c r="K5023" i="2"/>
  <c r="I5025" i="2" l="1"/>
  <c r="K5024" i="2"/>
  <c r="I5026" i="2" l="1"/>
  <c r="K5025" i="2"/>
  <c r="I5027" i="2" l="1"/>
  <c r="K5026" i="2"/>
  <c r="I5028" i="2" l="1"/>
  <c r="K5027" i="2"/>
  <c r="I5029" i="2" l="1"/>
  <c r="K5028" i="2"/>
  <c r="I5030" i="2" l="1"/>
  <c r="K5029" i="2"/>
  <c r="I5031" i="2" l="1"/>
  <c r="K5030" i="2"/>
  <c r="I5032" i="2" l="1"/>
  <c r="K5031" i="2"/>
  <c r="I5033" i="2" l="1"/>
  <c r="K5032" i="2"/>
  <c r="I5034" i="2" l="1"/>
  <c r="K5033" i="2"/>
  <c r="I5035" i="2" l="1"/>
  <c r="K5034" i="2"/>
  <c r="I5036" i="2" l="1"/>
  <c r="K5035" i="2"/>
  <c r="I5037" i="2" l="1"/>
  <c r="K5036" i="2"/>
  <c r="I5038" i="2" l="1"/>
  <c r="K5037" i="2"/>
  <c r="I5039" i="2" l="1"/>
  <c r="K5038" i="2"/>
  <c r="I5040" i="2" l="1"/>
  <c r="K5039" i="2"/>
  <c r="I5041" i="2" l="1"/>
  <c r="K5040" i="2"/>
  <c r="I5042" i="2" l="1"/>
  <c r="K5041" i="2"/>
  <c r="I5043" i="2" l="1"/>
  <c r="K5042" i="2"/>
  <c r="I5044" i="2" l="1"/>
  <c r="K5043" i="2"/>
  <c r="I5045" i="2" l="1"/>
  <c r="K5044" i="2"/>
  <c r="I5046" i="2" l="1"/>
  <c r="K5045" i="2"/>
  <c r="I5047" i="2" l="1"/>
  <c r="K5046" i="2"/>
  <c r="I5048" i="2" l="1"/>
  <c r="K5047" i="2"/>
  <c r="I5049" i="2" l="1"/>
  <c r="K5048" i="2"/>
  <c r="I5050" i="2" l="1"/>
  <c r="K5049" i="2"/>
  <c r="I5051" i="2" l="1"/>
  <c r="K5050" i="2"/>
  <c r="I5052" i="2" l="1"/>
  <c r="K5051" i="2"/>
  <c r="I5053" i="2" l="1"/>
  <c r="K5052" i="2"/>
  <c r="I5054" i="2" l="1"/>
  <c r="K5053" i="2"/>
  <c r="I5055" i="2" l="1"/>
  <c r="K5054" i="2"/>
  <c r="I5056" i="2" l="1"/>
  <c r="K5055" i="2"/>
  <c r="I5057" i="2" l="1"/>
  <c r="K5056" i="2"/>
  <c r="I5058" i="2" l="1"/>
  <c r="K5057" i="2"/>
  <c r="I5059" i="2" l="1"/>
  <c r="K5058" i="2"/>
  <c r="I5060" i="2" l="1"/>
  <c r="K5059" i="2"/>
  <c r="I5061" i="2" l="1"/>
  <c r="K5060" i="2"/>
  <c r="I5062" i="2" l="1"/>
  <c r="K5061" i="2"/>
  <c r="I5063" i="2" l="1"/>
  <c r="K5062" i="2"/>
  <c r="I5064" i="2" l="1"/>
  <c r="K5063" i="2"/>
  <c r="I5065" i="2" l="1"/>
  <c r="K5064" i="2"/>
  <c r="I5066" i="2" l="1"/>
  <c r="K5065" i="2"/>
  <c r="I5067" i="2" l="1"/>
  <c r="K5066" i="2"/>
  <c r="I5068" i="2" l="1"/>
  <c r="K5067" i="2"/>
  <c r="I5069" i="2" l="1"/>
  <c r="K5068" i="2"/>
  <c r="I5070" i="2" l="1"/>
  <c r="K5069" i="2"/>
  <c r="I5071" i="2" l="1"/>
  <c r="K5070" i="2"/>
  <c r="I5072" i="2" l="1"/>
  <c r="K5071" i="2"/>
  <c r="I5073" i="2" l="1"/>
  <c r="K5072" i="2"/>
  <c r="I5074" i="2" l="1"/>
  <c r="K5073" i="2"/>
  <c r="I5075" i="2" l="1"/>
  <c r="K5074" i="2"/>
  <c r="I5076" i="2" l="1"/>
  <c r="K5075" i="2"/>
  <c r="I5077" i="2" l="1"/>
  <c r="K5076" i="2"/>
  <c r="I5078" i="2" l="1"/>
  <c r="K5077" i="2"/>
  <c r="I5079" i="2" l="1"/>
  <c r="K5078" i="2"/>
  <c r="I5080" i="2" l="1"/>
  <c r="K5079" i="2"/>
  <c r="I5081" i="2" l="1"/>
  <c r="K5080" i="2"/>
  <c r="I5082" i="2" l="1"/>
  <c r="K5081" i="2"/>
  <c r="I5083" i="2" l="1"/>
  <c r="K5082" i="2"/>
  <c r="I5084" i="2" l="1"/>
  <c r="K5083" i="2"/>
  <c r="I5085" i="2" l="1"/>
  <c r="K5084" i="2"/>
  <c r="I5086" i="2" l="1"/>
  <c r="K5085" i="2"/>
  <c r="I5087" i="2" l="1"/>
  <c r="K5086" i="2"/>
  <c r="I5088" i="2" l="1"/>
  <c r="K5087" i="2"/>
  <c r="I5089" i="2" l="1"/>
  <c r="K5088" i="2"/>
  <c r="I5090" i="2" l="1"/>
  <c r="K5089" i="2"/>
  <c r="I5091" i="2" l="1"/>
  <c r="K5090" i="2"/>
  <c r="I5092" i="2" l="1"/>
  <c r="K5091" i="2"/>
  <c r="I5093" i="2" l="1"/>
  <c r="K5092" i="2"/>
  <c r="I5094" i="2" l="1"/>
  <c r="K5093" i="2"/>
  <c r="I5095" i="2" l="1"/>
  <c r="K5094" i="2"/>
  <c r="I5096" i="2" l="1"/>
  <c r="K5095" i="2"/>
  <c r="I5097" i="2" l="1"/>
  <c r="K5096" i="2"/>
  <c r="I5098" i="2" l="1"/>
  <c r="K5097" i="2"/>
  <c r="I5099" i="2" l="1"/>
  <c r="K5098" i="2"/>
  <c r="I5100" i="2" l="1"/>
  <c r="K5099" i="2"/>
  <c r="I5101" i="2" l="1"/>
  <c r="K5100" i="2"/>
  <c r="I5102" i="2" l="1"/>
  <c r="K5101" i="2"/>
  <c r="I5103" i="2" l="1"/>
  <c r="K5102" i="2"/>
  <c r="I5104" i="2" l="1"/>
  <c r="K5103" i="2"/>
  <c r="I5105" i="2" l="1"/>
  <c r="K5104" i="2"/>
  <c r="I5106" i="2" l="1"/>
  <c r="K5105" i="2"/>
  <c r="I5107" i="2" l="1"/>
  <c r="K5106" i="2"/>
  <c r="I5108" i="2" l="1"/>
  <c r="K5107" i="2"/>
  <c r="I5109" i="2" l="1"/>
  <c r="K5108" i="2"/>
  <c r="I5110" i="2" l="1"/>
  <c r="K5109" i="2"/>
  <c r="I5111" i="2" l="1"/>
  <c r="K5110" i="2"/>
  <c r="I5112" i="2" l="1"/>
  <c r="K5111" i="2"/>
  <c r="I5113" i="2" l="1"/>
  <c r="K5112" i="2"/>
  <c r="I5114" i="2" l="1"/>
  <c r="K5113" i="2"/>
  <c r="I5115" i="2" l="1"/>
  <c r="K5114" i="2"/>
  <c r="I5116" i="2" l="1"/>
  <c r="K5115" i="2"/>
  <c r="I5117" i="2" l="1"/>
  <c r="K5116" i="2"/>
  <c r="I5118" i="2" l="1"/>
  <c r="K5117" i="2"/>
  <c r="I5119" i="2" l="1"/>
  <c r="K5118" i="2"/>
  <c r="I5120" i="2" l="1"/>
  <c r="K5119" i="2"/>
  <c r="I5121" i="2" l="1"/>
  <c r="K5120" i="2"/>
  <c r="I5122" i="2" l="1"/>
  <c r="K5121" i="2"/>
  <c r="I5123" i="2" l="1"/>
  <c r="K5122" i="2"/>
  <c r="I5124" i="2" l="1"/>
  <c r="K5123" i="2"/>
  <c r="I5125" i="2" l="1"/>
  <c r="K5124" i="2"/>
  <c r="I5126" i="2" l="1"/>
  <c r="K5125" i="2"/>
  <c r="I5127" i="2" l="1"/>
  <c r="K5126" i="2"/>
  <c r="I5128" i="2" l="1"/>
  <c r="K5127" i="2"/>
  <c r="I5129" i="2" l="1"/>
  <c r="K5128" i="2"/>
  <c r="I5130" i="2" l="1"/>
  <c r="K5129" i="2"/>
  <c r="I5131" i="2" l="1"/>
  <c r="K5130" i="2"/>
  <c r="I5132" i="2" l="1"/>
  <c r="K5131" i="2"/>
  <c r="I5133" i="2" l="1"/>
  <c r="K5132" i="2"/>
  <c r="I5134" i="2" l="1"/>
  <c r="K5133" i="2"/>
  <c r="I5135" i="2" l="1"/>
  <c r="K5134" i="2"/>
  <c r="I5136" i="2" l="1"/>
  <c r="K5135" i="2"/>
  <c r="I5137" i="2" l="1"/>
  <c r="K5136" i="2"/>
  <c r="I5138" i="2" l="1"/>
  <c r="K5137" i="2"/>
  <c r="I5139" i="2" l="1"/>
  <c r="K5138" i="2"/>
  <c r="I5140" i="2" l="1"/>
  <c r="K5139" i="2"/>
  <c r="I5141" i="2" l="1"/>
  <c r="K5140" i="2"/>
  <c r="I5142" i="2" l="1"/>
  <c r="K5141" i="2"/>
  <c r="I5143" i="2" l="1"/>
  <c r="K5142" i="2"/>
  <c r="I5144" i="2" l="1"/>
  <c r="K5143" i="2"/>
  <c r="I5145" i="2" l="1"/>
  <c r="K5144" i="2"/>
  <c r="I5146" i="2" l="1"/>
  <c r="K5145" i="2"/>
  <c r="I5147" i="2" l="1"/>
  <c r="K5146" i="2"/>
  <c r="I5148" i="2" l="1"/>
  <c r="K5147" i="2"/>
  <c r="I5149" i="2" l="1"/>
  <c r="K5148" i="2"/>
  <c r="I5150" i="2" l="1"/>
  <c r="K5149" i="2"/>
  <c r="I5151" i="2" l="1"/>
  <c r="K5150" i="2"/>
  <c r="I5152" i="2" l="1"/>
  <c r="K5151" i="2"/>
  <c r="I5153" i="2" l="1"/>
  <c r="K5152" i="2"/>
  <c r="I5154" i="2" l="1"/>
  <c r="K5153" i="2"/>
  <c r="I5155" i="2" l="1"/>
  <c r="K5154" i="2"/>
  <c r="I5156" i="2" l="1"/>
  <c r="K5155" i="2"/>
  <c r="I5157" i="2" l="1"/>
  <c r="K5156" i="2"/>
  <c r="I5158" i="2" l="1"/>
  <c r="K5157" i="2"/>
  <c r="I5159" i="2" l="1"/>
  <c r="K5158" i="2"/>
  <c r="I5160" i="2" l="1"/>
  <c r="K5159" i="2"/>
  <c r="I5161" i="2" l="1"/>
  <c r="K5160" i="2"/>
  <c r="I5162" i="2" l="1"/>
  <c r="K5161" i="2"/>
  <c r="I5163" i="2" l="1"/>
  <c r="K5162" i="2"/>
  <c r="I5164" i="2" l="1"/>
  <c r="K5163" i="2"/>
  <c r="I5165" i="2" l="1"/>
  <c r="K5164" i="2"/>
  <c r="I5166" i="2" l="1"/>
  <c r="K5165" i="2"/>
  <c r="I5167" i="2" l="1"/>
  <c r="K5166" i="2"/>
  <c r="I5168" i="2" l="1"/>
  <c r="K5167" i="2"/>
  <c r="I5169" i="2" l="1"/>
  <c r="K5168" i="2"/>
  <c r="I5170" i="2" l="1"/>
  <c r="K5169" i="2"/>
  <c r="I5171" i="2" l="1"/>
  <c r="K5170" i="2"/>
  <c r="I5172" i="2" l="1"/>
  <c r="K5171" i="2"/>
  <c r="I5173" i="2" l="1"/>
  <c r="K5172" i="2"/>
  <c r="I5174" i="2" l="1"/>
  <c r="K5173" i="2"/>
  <c r="I5175" i="2" l="1"/>
  <c r="K5174" i="2"/>
  <c r="I5176" i="2" l="1"/>
  <c r="K5175" i="2"/>
  <c r="I5177" i="2" l="1"/>
  <c r="K5176" i="2"/>
  <c r="I5178" i="2" l="1"/>
  <c r="K5177" i="2"/>
  <c r="I5179" i="2" l="1"/>
  <c r="K5178" i="2"/>
  <c r="I5180" i="2" l="1"/>
  <c r="K5179" i="2"/>
  <c r="I5181" i="2" l="1"/>
  <c r="K5180" i="2"/>
  <c r="I5182" i="2" l="1"/>
  <c r="K5181" i="2"/>
  <c r="I5183" i="2" l="1"/>
  <c r="K5182" i="2"/>
  <c r="I5184" i="2" l="1"/>
  <c r="K5183" i="2"/>
  <c r="I5185" i="2" l="1"/>
  <c r="K5184" i="2"/>
  <c r="I5186" i="2" l="1"/>
  <c r="K5185" i="2"/>
  <c r="I5187" i="2" l="1"/>
  <c r="K5186" i="2"/>
  <c r="I5188" i="2" l="1"/>
  <c r="K5187" i="2"/>
  <c r="I5189" i="2" l="1"/>
  <c r="K5188" i="2"/>
  <c r="I5190" i="2" l="1"/>
  <c r="K5189" i="2"/>
  <c r="I5191" i="2" l="1"/>
  <c r="K5190" i="2"/>
  <c r="I5192" i="2" l="1"/>
  <c r="K5191" i="2"/>
  <c r="I5193" i="2" l="1"/>
  <c r="K5192" i="2"/>
  <c r="I5194" i="2" l="1"/>
  <c r="K5193" i="2"/>
  <c r="I5195" i="2" l="1"/>
  <c r="K5194" i="2"/>
  <c r="I5196" i="2" l="1"/>
  <c r="K5195" i="2"/>
  <c r="I5197" i="2" l="1"/>
  <c r="K5196" i="2"/>
  <c r="I5198" i="2" l="1"/>
  <c r="K5197" i="2"/>
  <c r="I5199" i="2" l="1"/>
  <c r="K5198" i="2"/>
  <c r="I5200" i="2" l="1"/>
  <c r="K5199" i="2"/>
  <c r="I5201" i="2" l="1"/>
  <c r="K5200" i="2"/>
  <c r="I5202" i="2" l="1"/>
  <c r="K5201" i="2"/>
  <c r="I5203" i="2" l="1"/>
  <c r="K5202" i="2"/>
  <c r="I5204" i="2" l="1"/>
  <c r="K5203" i="2"/>
  <c r="I5205" i="2" l="1"/>
  <c r="K5204" i="2"/>
  <c r="I5206" i="2" l="1"/>
  <c r="K5205" i="2"/>
  <c r="I5207" i="2" l="1"/>
  <c r="K5206" i="2"/>
  <c r="I5208" i="2" l="1"/>
  <c r="K5207" i="2"/>
  <c r="I5209" i="2" l="1"/>
  <c r="K5208" i="2"/>
  <c r="I5210" i="2" l="1"/>
  <c r="K5209" i="2"/>
  <c r="I5211" i="2" l="1"/>
  <c r="K5210" i="2"/>
  <c r="I5212" i="2" l="1"/>
  <c r="K5211" i="2"/>
  <c r="I5213" i="2" l="1"/>
  <c r="K5212" i="2"/>
  <c r="I5214" i="2" l="1"/>
  <c r="K5213" i="2"/>
  <c r="I5215" i="2" l="1"/>
  <c r="K5214" i="2"/>
  <c r="I5216" i="2" l="1"/>
  <c r="K5215" i="2"/>
  <c r="I5217" i="2" l="1"/>
  <c r="K5216" i="2"/>
  <c r="I5218" i="2" l="1"/>
  <c r="K5217" i="2"/>
  <c r="I5219" i="2" l="1"/>
  <c r="K5218" i="2"/>
  <c r="I5220" i="2" l="1"/>
  <c r="K5219" i="2"/>
  <c r="I5221" i="2" l="1"/>
  <c r="K5220" i="2"/>
  <c r="I5222" i="2" l="1"/>
  <c r="K5221" i="2"/>
  <c r="I5223" i="2" l="1"/>
  <c r="K5222" i="2"/>
  <c r="I5224" i="2" l="1"/>
  <c r="K5223" i="2"/>
  <c r="I5225" i="2" l="1"/>
  <c r="K5224" i="2"/>
  <c r="I5226" i="2" l="1"/>
  <c r="K5225" i="2"/>
  <c r="I5227" i="2" l="1"/>
  <c r="K5226" i="2"/>
  <c r="I5228" i="2" l="1"/>
  <c r="K5227" i="2"/>
  <c r="I5229" i="2" l="1"/>
  <c r="K5228" i="2"/>
  <c r="I5230" i="2" l="1"/>
  <c r="K5229" i="2"/>
  <c r="I5231" i="2" l="1"/>
  <c r="K5230" i="2"/>
  <c r="I5232" i="2" l="1"/>
  <c r="K5231" i="2"/>
  <c r="I5233" i="2" l="1"/>
  <c r="K5232" i="2"/>
  <c r="I5234" i="2" l="1"/>
  <c r="K5233" i="2"/>
  <c r="I5235" i="2" l="1"/>
  <c r="K5234" i="2"/>
  <c r="I5236" i="2" l="1"/>
  <c r="K5235" i="2"/>
  <c r="K5236" i="2" l="1"/>
  <c r="I5304" i="2" l="1"/>
  <c r="K5304" i="2" s="1"/>
</calcChain>
</file>

<file path=xl/connections.xml><?xml version="1.0" encoding="utf-8"?>
<connections xmlns="http://schemas.openxmlformats.org/spreadsheetml/2006/main">
  <connection id="1" keepAlive="1" name="Query - Query1" description="Connection to the 'Query1' query in the workbook." type="5" refreshedVersion="6" background="1" saveData="1">
    <dbPr connection="Provider=Microsoft.Mashup.OleDb.1;Data Source=$Workbook$;Location=Query1;Extended Properties=&quot;&quot;" command="SELECT * FROM [Query1]"/>
  </connection>
</connections>
</file>

<file path=xl/sharedStrings.xml><?xml version="1.0" encoding="utf-8"?>
<sst xmlns="http://schemas.openxmlformats.org/spreadsheetml/2006/main" count="17300" uniqueCount="748">
  <si>
    <t>SONumber</t>
  </si>
  <si>
    <t>PartNumber</t>
  </si>
  <si>
    <t>Description</t>
  </si>
  <si>
    <t>EntryDateTime</t>
  </si>
  <si>
    <t>ItemType</t>
  </si>
  <si>
    <t>OrderQty</t>
  </si>
  <si>
    <t>565083</t>
  </si>
  <si>
    <t>EVAP KIT 82-88 MONTE CARLO/EL CAMINO</t>
  </si>
  <si>
    <t>EVAP KIT SF GEN IV</t>
  </si>
  <si>
    <t>11300-VUZ-A</t>
  </si>
  <si>
    <t>SLIMLINE H/C W/DEF STD LOUVER</t>
  </si>
  <si>
    <t>EVAP KIT UNIVERSAL</t>
  </si>
  <si>
    <t>554168</t>
  </si>
  <si>
    <t>EVAP KIT 67-68 MUSTANG/COUGAR W/AC</t>
  </si>
  <si>
    <t>56155-PCZ</t>
  </si>
  <si>
    <t>EVAP KIT 55-56 CHEVY</t>
  </si>
  <si>
    <t>564471</t>
  </si>
  <si>
    <t>EVAP KIT 68-69 CHEVELLE W/AC</t>
  </si>
  <si>
    <t>565073</t>
  </si>
  <si>
    <t>EVAP KIT 70-78 CAMARO W/AC</t>
  </si>
  <si>
    <t>61005-VUZ-A</t>
  </si>
  <si>
    <t>SUPER GEN II W/DEF</t>
  </si>
  <si>
    <t>671400-VUZ</t>
  </si>
  <si>
    <t>GEN IV MAGNUM EVAP KIT</t>
  </si>
  <si>
    <t>68000-VUZ-A</t>
  </si>
  <si>
    <t>ComPac GEN II W/DEF</t>
  </si>
  <si>
    <t>754170</t>
  </si>
  <si>
    <t>EVAP KIT 67-72 CHEV P-UP W/AC</t>
  </si>
  <si>
    <t>754175</t>
  </si>
  <si>
    <t>EVAP KIT 73-80 CHEV P-UP W/AC</t>
  </si>
  <si>
    <t>56156-PCZ</t>
  </si>
  <si>
    <t>EVAP KIT 55-56 CHEVY 4-VENT</t>
  </si>
  <si>
    <t>564190</t>
  </si>
  <si>
    <t>EVAP KIT 67-68 CAMARO/FIREBIRD W/AC</t>
  </si>
  <si>
    <t>565701</t>
  </si>
  <si>
    <t>EVAP KIT 57 CHEV WO AC</t>
  </si>
  <si>
    <t>751165</t>
  </si>
  <si>
    <t>EVAP KIT 64-66 CHEV P-UP WO AC W/STD</t>
  </si>
  <si>
    <t>564191</t>
  </si>
  <si>
    <t>EVAP KIT 69 CAMARO W/AC</t>
  </si>
  <si>
    <t>565080</t>
  </si>
  <si>
    <t>EVAP KIT 79-81 CAMARO W/AC</t>
  </si>
  <si>
    <t>751170</t>
  </si>
  <si>
    <t>EVAP KIT 67-72 CHEV P-UP WO AC</t>
  </si>
  <si>
    <t>751150</t>
  </si>
  <si>
    <t>EVAP KIT 66-77 BRONCO</t>
  </si>
  <si>
    <t>751153</t>
  </si>
  <si>
    <t>EVAP KIT 68-72 FORD P-UP F-100</t>
  </si>
  <si>
    <t>751164</t>
  </si>
  <si>
    <t>EVAP KIT 64-66 CHEV P-UP WO AC W/DELX</t>
  </si>
  <si>
    <t>561072</t>
  </si>
  <si>
    <t>EVAP KIT 69-74 NOVA WO AC</t>
  </si>
  <si>
    <t>561190</t>
  </si>
  <si>
    <t>EVAP KIT 67-68 CAMARO/FIREBIRD WO/AC</t>
  </si>
  <si>
    <t>564150</t>
  </si>
  <si>
    <t>EVAP KIT 70-81 FIREBIRD W/AC</t>
  </si>
  <si>
    <t>565071</t>
  </si>
  <si>
    <t>EVAP KIT 70-72 CHEVELLE W/AC</t>
  </si>
  <si>
    <t>685000-VUY</t>
  </si>
  <si>
    <t>MONSTER TRUNK UNIT COOL</t>
  </si>
  <si>
    <t>561068</t>
  </si>
  <si>
    <t>EVAP KIT 68-69 CHEVELLE WO AC</t>
  </si>
  <si>
    <t>551168</t>
  </si>
  <si>
    <t>EVAP KIT 67-68 MUSTANG/COUGAR WO AC</t>
  </si>
  <si>
    <t>561056</t>
  </si>
  <si>
    <t>EVAP KIT 59-60 CHEV CAR 4-LEVER</t>
  </si>
  <si>
    <t>561066</t>
  </si>
  <si>
    <t>EVAP KIT 66-67 CHEVELLE WO AC</t>
  </si>
  <si>
    <t>561071</t>
  </si>
  <si>
    <t>EVAP KIT 70-72 CHEVELLE WO AC</t>
  </si>
  <si>
    <t>561173</t>
  </si>
  <si>
    <t>EVAP KIT 70-78 CAMARO WO AC</t>
  </si>
  <si>
    <t>565072</t>
  </si>
  <si>
    <t>EVAP KIT 69-74 NOVA W/AC</t>
  </si>
  <si>
    <t>565702</t>
  </si>
  <si>
    <t>EVAP KIT 57 CHEV WO AC 4-VENT PLENUM</t>
  </si>
  <si>
    <t>66005-VUX-A</t>
  </si>
  <si>
    <t>MINI GEN II H/C</t>
  </si>
  <si>
    <t>672001-VHY</t>
  </si>
  <si>
    <t>MARK IV STYLELINE UNDERDASH EVAP</t>
  </si>
  <si>
    <t>674003</t>
  </si>
  <si>
    <t>HERITAGE BRUSHED EVAP KIT COOL ONLY</t>
  </si>
  <si>
    <t>68000-VUX-A</t>
  </si>
  <si>
    <t>ComPac GEN II H/C</t>
  </si>
  <si>
    <t>751151</t>
  </si>
  <si>
    <t>EVAP KIT 66-77 BRONCO 4-VENT PLENUM</t>
  </si>
  <si>
    <t>561166</t>
  </si>
  <si>
    <t>EVAP KIT 66-67 NOVA</t>
  </si>
  <si>
    <t>751181</t>
  </si>
  <si>
    <t>EVAP KIT 81-87 CHEV P-UP WO AC</t>
  </si>
  <si>
    <t>754160</t>
  </si>
  <si>
    <t>EVAP KIT 73-79 FORD TRUCK/78-79 BCO W/AC</t>
  </si>
  <si>
    <t>754562</t>
  </si>
  <si>
    <t>EVAP KIT 50-53 CHEV P-UP GEN IV</t>
  </si>
  <si>
    <t>554164</t>
  </si>
  <si>
    <t xml:space="preserve">EVAP KIT 64 1/2- 66 MUSTANG </t>
  </si>
  <si>
    <t>754181</t>
  </si>
  <si>
    <t>EVAP KIT 81-87 CHEV P-UP W/AC</t>
  </si>
  <si>
    <t>66005-VUZ-A</t>
  </si>
  <si>
    <t>MINI GEN II W/DEF</t>
  </si>
  <si>
    <t>561164</t>
  </si>
  <si>
    <t>EVAP KIT 62-65 NOVA</t>
  </si>
  <si>
    <t>561191</t>
  </si>
  <si>
    <t>EVAP KIT 69 CAMARO WO/AC</t>
  </si>
  <si>
    <t>674013</t>
  </si>
  <si>
    <t>HERITAGE BRUSHED EVAP KIT HEAT/COOL</t>
  </si>
  <si>
    <t>751156</t>
  </si>
  <si>
    <t>EVAP KIT 55-59 CHEV P-UP WO AC W/DELX</t>
  </si>
  <si>
    <t>751160</t>
  </si>
  <si>
    <t>EVAP KIT 73-79 FORD TRK/78-79 BCO WO/AC</t>
  </si>
  <si>
    <t>754151</t>
  </si>
  <si>
    <t>EVAP KIT 65-66 FORD F-100</t>
  </si>
  <si>
    <t>754563</t>
  </si>
  <si>
    <t>EVAP KIT 54-55 CHEV P-UP GEN IV</t>
  </si>
  <si>
    <t>564466</t>
  </si>
  <si>
    <t>EVAP KIT 66-67 CHEVELLE W/AC</t>
  </si>
  <si>
    <t>561065</t>
  </si>
  <si>
    <t>EVAP KIT 64-65 CHEVELLE WO AC</t>
  </si>
  <si>
    <t>11400-VUZ-A</t>
  </si>
  <si>
    <t>SLIMLINE H/C W/DEF BLK LOUVER</t>
  </si>
  <si>
    <t>751171</t>
  </si>
  <si>
    <t>EVAP KIT 67-72 CHEV P-UP WO AC W/FACT AIR CTRLS</t>
  </si>
  <si>
    <t>564171</t>
  </si>
  <si>
    <t>EVAP KIT 70-72 CUTLASS W/AC</t>
  </si>
  <si>
    <t>751175</t>
  </si>
  <si>
    <t>EVAP KIT 73-80 CHEV P-UP WO AC</t>
  </si>
  <si>
    <t>551170</t>
  </si>
  <si>
    <t xml:space="preserve">EVAP KIT 69-70 MUSTANG WO AC </t>
  </si>
  <si>
    <t>561163</t>
  </si>
  <si>
    <t>EVAP KIT 63-66 VETTE WO AC</t>
  </si>
  <si>
    <t>561082</t>
  </si>
  <si>
    <t>EVAP KIT 68 GTO WO/AC</t>
  </si>
  <si>
    <t>561062</t>
  </si>
  <si>
    <t>EVAP KIT 61-62 IMPALA WO AC</t>
  </si>
  <si>
    <t>561064</t>
  </si>
  <si>
    <t>EVAP KIT 64 IMPALA WO AC</t>
  </si>
  <si>
    <t>674012</t>
  </si>
  <si>
    <t>HERITAGE TURNED EVAP KIT HEAT/COOL</t>
  </si>
  <si>
    <t>674014</t>
  </si>
  <si>
    <t>HERITAGE TURNED BLACK EVAP KIT HEAT/COOL</t>
  </si>
  <si>
    <t>751163</t>
  </si>
  <si>
    <t>EVAP KIT 60-63 CHEV P-UP WO AC</t>
  </si>
  <si>
    <t>754150</t>
  </si>
  <si>
    <t>EVAP KIT 61-64 FORD F-100</t>
  </si>
  <si>
    <t>61005-VUX-A</t>
  </si>
  <si>
    <t>SUPER GEN II H/C</t>
  </si>
  <si>
    <t>674005</t>
  </si>
  <si>
    <t>HERITAGE BLACK TURNED EVAP KIT COOL ONLY</t>
  </si>
  <si>
    <t>564175</t>
  </si>
  <si>
    <t>EVAP KIT 77 VETTE W/AC</t>
  </si>
  <si>
    <t>565081</t>
  </si>
  <si>
    <t>EVAP KIT 70-72 MONTE CARLO W/AC</t>
  </si>
  <si>
    <t>561067</t>
  </si>
  <si>
    <t>EVAP KIT 64-67 GTO WO AC</t>
  </si>
  <si>
    <t>564483</t>
  </si>
  <si>
    <t>EVAP KIT 69 GTO W/AC</t>
  </si>
  <si>
    <t>561150</t>
  </si>
  <si>
    <t>EVAP KIT 70-81 FIREBIRD WO AC</t>
  </si>
  <si>
    <t>554170</t>
  </si>
  <si>
    <t xml:space="preserve">EVAP KIT 69-70 MUSTANG W/AC </t>
  </si>
  <si>
    <t>571074-EDZ</t>
  </si>
  <si>
    <t>EVAP KIT 70-74 CHALNGR/CUDA WO AC</t>
  </si>
  <si>
    <t>574073-EDZ</t>
  </si>
  <si>
    <t>EVAP KIT 70-74 CHALNGR/CUDA W/AC W/RD</t>
  </si>
  <si>
    <t>574074-EDZ</t>
  </si>
  <si>
    <t>EVAP KIT 70-74 CHALNGR/CUDA W/AC</t>
  </si>
  <si>
    <t>754561</t>
  </si>
  <si>
    <t>EVAP KIT 47-49 CHEV P-UP GEN IV</t>
  </si>
  <si>
    <t>751155</t>
  </si>
  <si>
    <t xml:space="preserve">EVAP KIT 55-59 CHEV P-UP WO AC W/STD </t>
  </si>
  <si>
    <t>751152</t>
  </si>
  <si>
    <t>EVAP KIT 67 FORD P-UP F-100</t>
  </si>
  <si>
    <t>674001</t>
  </si>
  <si>
    <t>HERITAGE PEARL EVAP KIT COOL ONLY</t>
  </si>
  <si>
    <t>564064</t>
  </si>
  <si>
    <t>EVAP KIT 64 IMPALA W/AC</t>
  </si>
  <si>
    <t>564054</t>
  </si>
  <si>
    <t>EVAP KIT 65-66 IMPALA W/AC</t>
  </si>
  <si>
    <t>564063</t>
  </si>
  <si>
    <t>EVAP KIT 63 IMPALA W/AC</t>
  </si>
  <si>
    <t>564482</t>
  </si>
  <si>
    <t>EVAP KIT 68 GTO W/AC</t>
  </si>
  <si>
    <t>571064</t>
  </si>
  <si>
    <t>EVAP KIT 69-70 MOPAR B BODY WO AC</t>
  </si>
  <si>
    <t>751200</t>
  </si>
  <si>
    <t>EVAP KIT 68-83 TOYOTA FJ40</t>
  </si>
  <si>
    <t>561054</t>
  </si>
  <si>
    <t>EVAP KIT 65-66 IMPALA WO/AC</t>
  </si>
  <si>
    <t>11301-VUX-A</t>
  </si>
  <si>
    <t>SLIMLINE H/C STD LOUVER</t>
  </si>
  <si>
    <t>561063</t>
  </si>
  <si>
    <t>EVAP KIT 63 IMPALA WO AC</t>
  </si>
  <si>
    <t>564173-PCZ</t>
  </si>
  <si>
    <t>EVAP KIT 69-73 VETTE W/AC</t>
  </si>
  <si>
    <t>564176</t>
  </si>
  <si>
    <t>EVAP KIT 78-82 VETTE W/AC</t>
  </si>
  <si>
    <t>63200-VUX-A</t>
  </si>
  <si>
    <t>TRUNK UNIT HEAT/COOL 134A</t>
  </si>
  <si>
    <t>751201</t>
  </si>
  <si>
    <t>EVAP KIT 68-83 TOYOTA FJ40 ULTRA HIGH PERF</t>
  </si>
  <si>
    <t>05000-VUX-A</t>
  </si>
  <si>
    <t>SHORT PACK H/C W/STD CNTL</t>
  </si>
  <si>
    <t>63200-VUY-A</t>
  </si>
  <si>
    <t>TRUNK UNIT COOL ONLY 134a</t>
  </si>
  <si>
    <t>561180</t>
  </si>
  <si>
    <t xml:space="preserve">EVAP KIT 79-81 CAMARO WO AC </t>
  </si>
  <si>
    <t>561060</t>
  </si>
  <si>
    <t>EVAP KIT 61-62 VETTE</t>
  </si>
  <si>
    <t>564168</t>
  </si>
  <si>
    <t>EVAP KIT 68 VETTE W/AC</t>
  </si>
  <si>
    <t>564174</t>
  </si>
  <si>
    <t>EVAP KIT 74-76 VETTE W/AC</t>
  </si>
  <si>
    <t>564467</t>
  </si>
  <si>
    <t>EVAP KIT 64-67 GTO W/AC</t>
  </si>
  <si>
    <t>571062</t>
  </si>
  <si>
    <t>EVAP KIT 68 MOPAR B BODY WO AC</t>
  </si>
  <si>
    <t>571065</t>
  </si>
  <si>
    <t>EVAP KIT 69-70 MOPAR B BODY W/AC</t>
  </si>
  <si>
    <t>561070</t>
  </si>
  <si>
    <t>EVAP KIT 69 CUTLASS WO AC</t>
  </si>
  <si>
    <t>674011</t>
  </si>
  <si>
    <t>HERITAGE PEARL EVAP KIT HEAT/COOL</t>
  </si>
  <si>
    <t>561165</t>
  </si>
  <si>
    <t>EVAP KIT 67 VETTE WO AC</t>
  </si>
  <si>
    <t>561084</t>
  </si>
  <si>
    <t>EVAP KIT 70-72 GTO WO/AC</t>
  </si>
  <si>
    <t>564484</t>
  </si>
  <si>
    <t>EVAP KIT 70-72 GTO W/AC</t>
  </si>
  <si>
    <t>554150</t>
  </si>
  <si>
    <t>EVAP KIT 64-65 FALCON/RANCHERO</t>
  </si>
  <si>
    <t>=&gt;</t>
  </si>
  <si>
    <t>Row Labels</t>
  </si>
  <si>
    <t>Grand Total</t>
  </si>
  <si>
    <t>Sum of OrderQty</t>
  </si>
  <si>
    <t>Date</t>
  </si>
  <si>
    <t>ShippedQty</t>
  </si>
  <si>
    <t>561076</t>
  </si>
  <si>
    <t>EVAP KIT 70-72 CUTLASS WO AC</t>
  </si>
  <si>
    <t>571061</t>
  </si>
  <si>
    <t>EVAP KIT 66-67 BELV,SALIT,GTX W/AC</t>
  </si>
  <si>
    <t>561059</t>
  </si>
  <si>
    <t>EVAP KIT 58-60 VETTE</t>
  </si>
  <si>
    <t>564163</t>
  </si>
  <si>
    <t>EVAP KIT 63-66 VETTE W/AC</t>
  </si>
  <si>
    <t>561174-PCZ</t>
  </si>
  <si>
    <t>EVAP KIT 68-76 VETTE WO AC</t>
  </si>
  <si>
    <t xml:space="preserve">EVAP KIT 79-81 CAMARO W/AC </t>
  </si>
  <si>
    <t>564468</t>
  </si>
  <si>
    <t>EVAP KIT 69 FIREBIRD W/AC</t>
  </si>
  <si>
    <t>565069</t>
  </si>
  <si>
    <t>EVAP KIT 68 NOVA W/AC</t>
  </si>
  <si>
    <t>561168</t>
  </si>
  <si>
    <t>EVAP KIT 69 FIREBIRD WO AC</t>
  </si>
  <si>
    <t xml:space="preserve">EVAP KIT 55-59 CHEV P-UP WO AC W/DELX </t>
  </si>
  <si>
    <t>571060</t>
  </si>
  <si>
    <t>EVAP KIT 66-67 BELV,SALIT,GTX WO AC</t>
  </si>
  <si>
    <t>564069</t>
  </si>
  <si>
    <t>EVAP KIT 68-69 CUTLASS W/AC</t>
  </si>
  <si>
    <t xml:space="preserve"> ComPac GEN II W/DEF</t>
  </si>
  <si>
    <t>561061</t>
  </si>
  <si>
    <t>EVAP KIT 68 CUTLASS WO AC</t>
  </si>
  <si>
    <t>571063</t>
  </si>
  <si>
    <t>EVAP KIT 68 MOPAR B BODY W/AC</t>
  </si>
  <si>
    <t>11301-VUY-A</t>
  </si>
  <si>
    <t>SLIMLINE COOL STD LOUVER</t>
  </si>
  <si>
    <t>10301-VUX-A</t>
  </si>
  <si>
    <t>MINI SLIMLINE H/C STD LOUVER</t>
  </si>
  <si>
    <t>05000-VUZ-A</t>
  </si>
  <si>
    <t>SHORT PACK W/DEF W/STD CNTL</t>
  </si>
  <si>
    <t>561081</t>
  </si>
  <si>
    <t>EVAP KIT 70-72 MONTE CARLO WO AC</t>
  </si>
  <si>
    <t>101410</t>
  </si>
  <si>
    <t>EVAP KIT RCR SL-C</t>
  </si>
  <si>
    <t>564464</t>
  </si>
  <si>
    <t>EVAP KIT 64-65 CHEVELLE W/AC</t>
  </si>
  <si>
    <t>561083</t>
  </si>
  <si>
    <t>EVAP KIT 69 GTO WO/AC</t>
  </si>
  <si>
    <t>561069</t>
  </si>
  <si>
    <t>EVAP KIT 68 NOVA WO AC</t>
  </si>
  <si>
    <t>561055</t>
  </si>
  <si>
    <t>EVAP KIT 59-60 CHEV CAR 2-LEVER</t>
  </si>
  <si>
    <t>564166</t>
  </si>
  <si>
    <t>EVAP KIT 67 VETTE W/AC</t>
  </si>
  <si>
    <t>571066</t>
  </si>
  <si>
    <t>EVAP KIT 66-67 CHARGER/CORONET WO AC</t>
  </si>
  <si>
    <t>571067</t>
  </si>
  <si>
    <t>EVAP KIT 66-67 CHARGER/CORONET W/AC</t>
  </si>
  <si>
    <t>68000-vuz-a</t>
  </si>
  <si>
    <t>EVAP KIT 69-70 MUSTANG WO AC</t>
  </si>
  <si>
    <t>11401-VUX-A</t>
  </si>
  <si>
    <t>SLIMLINE H/C BLK LOUVER</t>
  </si>
  <si>
    <t>589009</t>
  </si>
  <si>
    <t>SMALL CAR PERFORMANCE EVAP KIT</t>
  </si>
  <si>
    <t>564173-pcz</t>
  </si>
  <si>
    <t>564062</t>
  </si>
  <si>
    <t>EVAP KIT 61-62 IMPALA W/AC</t>
  </si>
  <si>
    <t>674002</t>
  </si>
  <si>
    <t>HERITAGE TURNED EVAP KIT COOL ONLY</t>
  </si>
  <si>
    <t>10301-VUY-A</t>
  </si>
  <si>
    <t>MINI SLIMLINE COOL STD LOUVER</t>
  </si>
  <si>
    <t>10401-VUX-A</t>
  </si>
  <si>
    <t>MINI SLIMLINE H/C BLK LOUVER</t>
  </si>
  <si>
    <t>10401-VUY-A</t>
  </si>
  <si>
    <t>MINI SLIMLINE COOL BLK LOUVER</t>
  </si>
  <si>
    <t>11400-vuz-a</t>
  </si>
  <si>
    <t>11401-VUY-A</t>
  </si>
  <si>
    <t>SLIMLINE COOL BLK LOUVER</t>
  </si>
  <si>
    <t>751154</t>
  </si>
  <si>
    <t>EVAP KIT 66-77 BC BRONCO 4 VENT (CUSTOM)</t>
  </si>
  <si>
    <t>Running Total</t>
  </si>
  <si>
    <t>UNIV Running Total</t>
  </si>
  <si>
    <t>Schedule the next "X" unshipped orders</t>
  </si>
  <si>
    <t>Part Number</t>
  </si>
  <si>
    <t>MB1</t>
  </si>
  <si>
    <t>MB2</t>
  </si>
  <si>
    <t>MB3</t>
  </si>
  <si>
    <t>05000-QUX-A</t>
  </si>
  <si>
    <t>05000-QUZ-A</t>
  </si>
  <si>
    <t>SHORT PACK H/C W/PRO CNTL</t>
  </si>
  <si>
    <t>SHORT PACK W/DEF W/PRO CNTL</t>
  </si>
  <si>
    <t>EVAP KIT FACEL VEGA W/ FV4 CONTROLS</t>
  </si>
  <si>
    <t>EVAP KIT FACEL VEGA W/ HK 500 CONTROLS</t>
  </si>
  <si>
    <t>GEN IV MAGNUM W/207 ECU EVAP KIT</t>
  </si>
  <si>
    <t>GEN IV MAGNUM ELECTRIC VEHICLE EVAP KIT</t>
  </si>
  <si>
    <t>EVAP KIT ROADSTER SHOP C10 W/CONTROL PANEL</t>
  </si>
  <si>
    <t>EVAP KIT ROADSTER SHOP C10 W/3-KNOB CONTROLS</t>
  </si>
  <si>
    <t>(Multiple Items)</t>
  </si>
  <si>
    <t>Description - New</t>
  </si>
  <si>
    <t>EVAP KIT 68-83 TOYOTA FJ40 ULTRA HIGH PERF - 830042 - 0 - 0</t>
  </si>
  <si>
    <t>EVAP KIT 57 CHEV WO AC - 830065 - 0 - 0</t>
  </si>
  <si>
    <t>EVAP KIT 64-66 CHEV P-UP WO AC W/STD - 830015 - 0 - 0</t>
  </si>
  <si>
    <t>EVAP KIT 67-72 CHEV P-UP WO AC - 830014 - 0 - 0</t>
  </si>
  <si>
    <t>EVAP KIT 68-69 CHEVELLE WO AC - 830062 - 0 - 0</t>
  </si>
  <si>
    <t>EVAP KIT 73-79 FORD TRUCK/78-79 BCO W/AC - 830105 - 830106 - 0</t>
  </si>
  <si>
    <t>EVAP KIT 50-53 CHEV P-UP GEN IV - 830063 - 0 - 0</t>
  </si>
  <si>
    <t>EVAP KIT 81-87 CHEV P-UP W/AC - 830004 - 0 - 0</t>
  </si>
  <si>
    <t>EVAP KIT 73-79 FORD TRK/78-79 BCO WO/AC - 830105 - 830106 - 0</t>
  </si>
  <si>
    <t>EVAP KIT 68-76 VETTE WO AC - 830100 - 0 - 0</t>
  </si>
  <si>
    <t>GEN IV MAGNUM EVAP KIT - 0 - 0 - 0</t>
  </si>
  <si>
    <t>EVAP KIT 59-60 CHEV CAR 4-LEVER - 830067 - 0 - 0</t>
  </si>
  <si>
    <t>EVAP KIT 64 1/2- 66 MUSTANG  - 830076 - 0 - 0</t>
  </si>
  <si>
    <t>EVAP KIT 69-73 VETTE W/AC - 830094 - 0 - 0</t>
  </si>
  <si>
    <t>EVAP KIT 69-74 NOVA WO AC - 830043 - 0 - 0</t>
  </si>
  <si>
    <t>EVAP KIT 68-83 TOYOTA FJ40 - 830042 - 0 - 0</t>
  </si>
  <si>
    <t>EVAP KIT 73-80 CHEV P-UP WO AC - 830002 - 0 - 0</t>
  </si>
  <si>
    <t>EVAP KIT 67-68 CAMARO/FIREBIRD W/AC - 830016 - 0 - 0</t>
  </si>
  <si>
    <t>FACTORY 5 ROADSTER HEATER W/DEF</t>
  </si>
  <si>
    <t>ROADSTER IK KIT</t>
  </si>
  <si>
    <t>GEN II HEATER W/DEF</t>
  </si>
  <si>
    <t>GEN II HEATER W/DEF IK KIT</t>
  </si>
  <si>
    <t>EVAP KIT 61-64 FORD F-100 (replaced by 754150)</t>
  </si>
  <si>
    <t>ACC KIT 61-64 FORD F-100</t>
  </si>
  <si>
    <t>EVAP KIT 65-66 FORD F-100 (replaced by 754151)</t>
  </si>
  <si>
    <t>ACC KIT 65-66 FORD F-100</t>
  </si>
  <si>
    <t xml:space="preserve">ACC KIT 67-68 MUSTANG WO AC </t>
  </si>
  <si>
    <t>ACC KIT 69-70 MUSTANG WO AC</t>
  </si>
  <si>
    <t>ACC KIT 64-65 FALCON/RANCHERO</t>
  </si>
  <si>
    <t xml:space="preserve">ACC KIT 64 1/2 - 66 MUSTANG </t>
  </si>
  <si>
    <t xml:space="preserve">ACC KIT 67-68 MUSTANG W/AC </t>
  </si>
  <si>
    <t>ACC KIT 69-70 MUSTANG W/AC</t>
  </si>
  <si>
    <t>EVAP KIT 1964-65 CHEVELLE WO/AC M2 G6</t>
  </si>
  <si>
    <t>ACC KIT 64-65 CHEVELLE WO AC</t>
  </si>
  <si>
    <t>EVAP KIT 1966-67 CHEVELLE WO/AC M2 G6</t>
  </si>
  <si>
    <t xml:space="preserve">ACC KIT 66-67 CHEVELLE WO AC </t>
  </si>
  <si>
    <t>EVAP KIT 1968-69 CHEVELLE WO/AC M2 G6</t>
  </si>
  <si>
    <t xml:space="preserve">ACC KIT 68-69 CHEVELLE WO AC </t>
  </si>
  <si>
    <t>EVAP KIT 1970-72 CHEVELLE WO/AC M2 G6</t>
  </si>
  <si>
    <t>ACC KIT 70-72 CHEVELLE/MONTE CARLO WO AC</t>
  </si>
  <si>
    <t>EVAP KIT 1970-72 MONTE CARLO WO/AC M2 G6</t>
  </si>
  <si>
    <t>ACC KIT 65-66 IMPALA WO/AC</t>
  </si>
  <si>
    <t>ACC KIT 59-60 CHEV CAR 2 LEVER</t>
  </si>
  <si>
    <t>ACC KIT 59-60 CHEV CAR 4 LEVER</t>
  </si>
  <si>
    <t>ACC KIT 58-60 VETTE</t>
  </si>
  <si>
    <t>ACC KIT 61-62 VETTE</t>
  </si>
  <si>
    <t>ACC KIT 68 CUTLASS WO AC</t>
  </si>
  <si>
    <t xml:space="preserve">ACC KIT 61-62 IMPALA WO AC </t>
  </si>
  <si>
    <t xml:space="preserve">ACC KIT 63 IMPALA WO AC </t>
  </si>
  <si>
    <t>ACC KIT 64 IMPALA WO AC</t>
  </si>
  <si>
    <t>ACC KIT 64-67 GTO WO AC</t>
  </si>
  <si>
    <t xml:space="preserve">ACC KIT 68 NOVA WO AC </t>
  </si>
  <si>
    <t>ACC KIT 69 CUTLASS WO AC</t>
  </si>
  <si>
    <t>ACC KIT 69-72 NOVA WO AC</t>
  </si>
  <si>
    <t>ACC KIT 70-72 CUTLASS WO AC</t>
  </si>
  <si>
    <t>ACC KIT 68 GTO WO/AC</t>
  </si>
  <si>
    <t>ACC KIT 69 GTO WO/AC</t>
  </si>
  <si>
    <t>ACC KIT 70-72 GTO WO/AC</t>
  </si>
  <si>
    <t>ACC KIT 70-81 FIREBIRD WO AC</t>
  </si>
  <si>
    <t>ACC KIT 63-66 VETTE WO AC</t>
  </si>
  <si>
    <t>ACC KIT 62-65 NOVA</t>
  </si>
  <si>
    <t>ACC KIT 67 VETTE WO AC</t>
  </si>
  <si>
    <t>ACC KIT 66-67 NOVA</t>
  </si>
  <si>
    <t>ACC KIT 69 FIREBIRD WO AC</t>
  </si>
  <si>
    <t>EVAP KIT 69 CAMARO WO AC</t>
  </si>
  <si>
    <t>ACC KIT 69 CAMARO WO AC</t>
  </si>
  <si>
    <t>ACC KIT 70-78 CAMARO WO AC</t>
  </si>
  <si>
    <t>781174-PCN</t>
  </si>
  <si>
    <t xml:space="preserve">ACC KIT 68-76 VETTE WO AC </t>
  </si>
  <si>
    <t xml:space="preserve">ACC KIT 79-81 CAMARO WO AC </t>
  </si>
  <si>
    <t>ACC KIT 67-68 CAMARO/FIREBIRD WO/AC</t>
  </si>
  <si>
    <t>ACC KIT 69 CAMARO WO/AC</t>
  </si>
  <si>
    <t>78255-PCN</t>
  </si>
  <si>
    <t>ACC KIT 55-56 CHEV WO AC</t>
  </si>
  <si>
    <t>78256-PCN</t>
  </si>
  <si>
    <t>ACC KIT 55-56 CHEV 4 VENT WO AC</t>
  </si>
  <si>
    <t>EVAP KIT 1964-65 CHEVELLE W/AC M2 G6</t>
  </si>
  <si>
    <t xml:space="preserve">ACC KIT 64-65 CHEVELLE W/AC </t>
  </si>
  <si>
    <t>EVAP KIT 1966-67 CHEVELLE W/AC M2 G6</t>
  </si>
  <si>
    <t xml:space="preserve">ACC KIT 66-67 CHEVELLE W/AC </t>
  </si>
  <si>
    <t>EVAP KIT 1968-69 CHEVELLE W/AC M2 G6</t>
  </si>
  <si>
    <t xml:space="preserve">ACC KIT 68-69 CHEVELLE W/AC </t>
  </si>
  <si>
    <t>EVAP KIT 1970-72 CHEVELLE W/AC M2 G6</t>
  </si>
  <si>
    <t>ACC KIT 70-72 CHEVELLE/MONTE CARLO W/AC</t>
  </si>
  <si>
    <t>EVAP KIT 1970-72 MONTE CARLO W/AC M2 G6</t>
  </si>
  <si>
    <t>ACC KIT 65-66 IMPALA W/AC</t>
  </si>
  <si>
    <t xml:space="preserve">ACC KIT 61-62 IMPALA W/AC </t>
  </si>
  <si>
    <t xml:space="preserve">ACC KIT 63 IMPALA W/AC </t>
  </si>
  <si>
    <t xml:space="preserve">ACC KIT 64 IMPALA W/AC </t>
  </si>
  <si>
    <t>ACC KIT 68-69 CUTLASS W/AC</t>
  </si>
  <si>
    <t>ACC KIT 70-81 FIREBIRD W/AC</t>
  </si>
  <si>
    <t>ACC KIT 63-66 VETTE W/AC</t>
  </si>
  <si>
    <t>ACC KIT 67 VETTE W/AC</t>
  </si>
  <si>
    <t>ACC KIT 68 VETTE W/AC</t>
  </si>
  <si>
    <t>ACC KIT 69 CAMARO W/AC</t>
  </si>
  <si>
    <t>ACC KIT 70-72 CUTLASS W/AC</t>
  </si>
  <si>
    <t>784173-PCF</t>
  </si>
  <si>
    <t xml:space="preserve">ACC KIT 69-73 VETTE W/AC </t>
  </si>
  <si>
    <t xml:space="preserve">ACC KIT 74-76 VETTE W/AC </t>
  </si>
  <si>
    <t>ACC KIT 77 VETTE W/AC</t>
  </si>
  <si>
    <t>ACC KIT 78-82 VETTE W/AC</t>
  </si>
  <si>
    <t>ACC KIT 67-68 CAMARO/FIREBIRD W/AC</t>
  </si>
  <si>
    <t>ACC KIT 64-67 GTO W/AC</t>
  </si>
  <si>
    <t>ACC KIT 69 FIREBIRD W/AC</t>
  </si>
  <si>
    <t>ACC KIT 68 GTO W/AC</t>
  </si>
  <si>
    <t>ACC KIT 69 GTO W/AC</t>
  </si>
  <si>
    <t>ACC KIT 70-72 GTO W/AC</t>
  </si>
  <si>
    <t xml:space="preserve">ACC KIT 68 NOVA W/AC </t>
  </si>
  <si>
    <t xml:space="preserve">ACC KIT 69-72 NOVA W/AC </t>
  </si>
  <si>
    <t>ACC KIT 70-78 CAMARO W/AC</t>
  </si>
  <si>
    <t>ACC KIT 79-81 CAMARO W/AC</t>
  </si>
  <si>
    <t>ACC KIT 82-88 MONTE CARLO/EL CAMINO</t>
  </si>
  <si>
    <t>ACC KIT 57 CHEVY WO AC</t>
  </si>
  <si>
    <t>ACC KIT 57 CHEVY WO AC 4 VENT PLENUM</t>
  </si>
  <si>
    <t>ACC KIT 66-67 BELV,SALIT,GTX WO AC</t>
  </si>
  <si>
    <t>ACC KIT 66-67 BELV,SALIT,GTX W/AC</t>
  </si>
  <si>
    <t>ACC KIT 68 MOPAR B BODY WO AC</t>
  </si>
  <si>
    <t>ACC KIT 68 MOPAR B BODY W/AC</t>
  </si>
  <si>
    <t>ACC KIT 69-70 MOPAR B BODY WO AC</t>
  </si>
  <si>
    <t>ACC KIT 69-70 MOPAR B BODY W/AC</t>
  </si>
  <si>
    <t>ACC KIT 66-67 CHARGER/CORONET WO AC</t>
  </si>
  <si>
    <t>ACC KIT 66-67 CHARGER/CORONET W/AC</t>
  </si>
  <si>
    <t>781074-PMN</t>
  </si>
  <si>
    <t>ACC KIT 70-74 CHAL/CUDA WO AC</t>
  </si>
  <si>
    <t>784074-PMF</t>
  </si>
  <si>
    <t>ACC KIT 70-74 CHAL/CUDA W/AC</t>
  </si>
  <si>
    <t>580000-PDZ</t>
  </si>
  <si>
    <t>DEARBORN DEUCE W/DEF</t>
  </si>
  <si>
    <t>635001-PUA</t>
  </si>
  <si>
    <t>DEARBORN DEUCE I K KIT</t>
  </si>
  <si>
    <t>ACC KIT W/FV4 CONTOLS 57-65 FACEL VEGA</t>
  </si>
  <si>
    <t>ACC KIT W/HK 500 CONTROLS 57-65 FACEL VEGA</t>
  </si>
  <si>
    <t>EVAP KIT ROXOR (PWR BOX) 1203CUA00111N-001</t>
  </si>
  <si>
    <t>MAHINDRA EVAP STATION 445</t>
  </si>
  <si>
    <t>MAHINDRA EVAP STATION 200</t>
  </si>
  <si>
    <t>635004-VUA</t>
  </si>
  <si>
    <t>GEN IV MAGNUM  IK KIT</t>
  </si>
  <si>
    <t>589500-PUZ</t>
  </si>
  <si>
    <t>F5GTM GEN IV EVAP KIT</t>
  </si>
  <si>
    <t>789005-PKN</t>
  </si>
  <si>
    <t xml:space="preserve">ACC KIT F5GTM </t>
  </si>
  <si>
    <t>784004-VUA</t>
  </si>
  <si>
    <t xml:space="preserve">ACC KIT GEN IV MAGNUM </t>
  </si>
  <si>
    <t>EVAP KIT 49-59 STUDE C CAB P-UP</t>
  </si>
  <si>
    <t>ACC KIT 49-59 STUDEBAKER UNDER DASH</t>
  </si>
  <si>
    <t>750750-LFZ</t>
  </si>
  <si>
    <t>EVAP KIT 66-77 BC BRONCO</t>
  </si>
  <si>
    <t>790750-LFN</t>
  </si>
  <si>
    <t>ACC KIT 1966-77 BC BRONCO</t>
  </si>
  <si>
    <t>ACC KIT 66-77 BRONCO</t>
  </si>
  <si>
    <t>ACC KIT 66-77 BRONCO 4 VENT PLENUM</t>
  </si>
  <si>
    <t>ACC KIT 67 FORD F-100</t>
  </si>
  <si>
    <t>ACC KIT 68-72 FORD F-100</t>
  </si>
  <si>
    <t>ACC KIT 66-77 BC BRONCO (CUSTOM)</t>
  </si>
  <si>
    <t>ACC KIT 55-59 CHEV P-UP WO AC W/STD</t>
  </si>
  <si>
    <t>ACC KIT 55-59 CHEV P-UP WO AC W/DELX</t>
  </si>
  <si>
    <t>ACC KIT 73-79 FORD TRK/78-79 BCO WO/AC</t>
  </si>
  <si>
    <t xml:space="preserve">ACC KIT 60-63 CHEV P-UP WO AC </t>
  </si>
  <si>
    <t>ACC KIT 64-66 CHEV P-UP WO AC W/DELX</t>
  </si>
  <si>
    <t>ACC KIT 64-66 CHEV P-UP WO AC W/STD</t>
  </si>
  <si>
    <t>ACC KIT 67-72 CHEV P-UP WO AC</t>
  </si>
  <si>
    <t>ACC KIT 67-72 CHEV P-UP WO AC W/FACT AIR CNTRLS</t>
  </si>
  <si>
    <t>ACC KIT 73-80 CHEV P-UP WO AC</t>
  </si>
  <si>
    <t>ACC KIT 81-87 CHEV P-UP WO AC</t>
  </si>
  <si>
    <t>ACC KIT 68-83 TOYOTA FJ40</t>
  </si>
  <si>
    <t>ACC KIT 68-83 TOYOTA FJ40 UPGR</t>
  </si>
  <si>
    <t>ADD-ON 68-83 TOYOTA FJ40 ULTRA HIGH PERFORMANCE</t>
  </si>
  <si>
    <t>ACC KIT 68-83 TOYOTA FJ40 UPGR ADD ON</t>
  </si>
  <si>
    <t>ACC KIT 73-79 FORD TRK/78-79 BCO W/AC</t>
  </si>
  <si>
    <t>ACC KIT 67-72 CHEV P-UP W/AC</t>
  </si>
  <si>
    <t>ACC KIT 73-80 CHEV P-UP W/AC</t>
  </si>
  <si>
    <t>ACC KIT ROADSTER SHOP C-10 754176</t>
  </si>
  <si>
    <t>ACC KIT ROADSTER SHOP C-10 754177</t>
  </si>
  <si>
    <t>ACC KIT 81-87 CHEV P-UP W/AC</t>
  </si>
  <si>
    <t>75453-LFZ-A</t>
  </si>
  <si>
    <t>EVAP KIT 53-55 FORD P-UP</t>
  </si>
  <si>
    <t>79753-LFN</t>
  </si>
  <si>
    <t xml:space="preserve">ACC KIT 53-55 FRD P-UP </t>
  </si>
  <si>
    <t>75456-LFZ-A</t>
  </si>
  <si>
    <t>EVAP KIT 56 FORD P-UP</t>
  </si>
  <si>
    <t>79756-LFN</t>
  </si>
  <si>
    <t xml:space="preserve">ACC KIT 56 FRD P-UP </t>
  </si>
  <si>
    <t>ACC KIT 47-49 CHEV P-UP GEN IV</t>
  </si>
  <si>
    <t>ACC KIT 50-53 CHEV P-UP GEN IV</t>
  </si>
  <si>
    <t>ACC KIT 54-55 CHEV P-UP GEN IV</t>
  </si>
  <si>
    <t>INSTALL KIT 781054</t>
  </si>
  <si>
    <t>IK KIT 58-62 VETTE</t>
  </si>
  <si>
    <t>IK KIT 63-67 VETTE WO AC</t>
  </si>
  <si>
    <t>64 1/2 - 66 MUSTANG IK KIT</t>
  </si>
  <si>
    <t>67-68 MUSTANG WO AC IK KIT</t>
  </si>
  <si>
    <t>69-70 MUSTANG W/O AC GEN IV IK KIT</t>
  </si>
  <si>
    <t>IK 66-67 MOPAR B BODY WO AC</t>
  </si>
  <si>
    <t>IK 66-67 MOPAR B BODY W/AC</t>
  </si>
  <si>
    <t>IK 68 MOPAR B BODY WO AC</t>
  </si>
  <si>
    <t>IK 68-70 MOPAR B BODY W/AC</t>
  </si>
  <si>
    <t>634175-PMA</t>
  </si>
  <si>
    <t>70-74 CHAL/CUDA W/O AC IK KIT</t>
  </si>
  <si>
    <t>IK 69-70 MOPAR B BODY WO AC</t>
  </si>
  <si>
    <t>IK 66-67 CHARGER/CORONET WO AC</t>
  </si>
  <si>
    <t>INSTALL KIT 781082</t>
  </si>
  <si>
    <t>INSTALL KIT 781083</t>
  </si>
  <si>
    <t>INSTALL KIT 781084</t>
  </si>
  <si>
    <t>IK KIT 59-60 CHEV CAR</t>
  </si>
  <si>
    <t>INSTALL KIT 57 CHEVY 781161</t>
  </si>
  <si>
    <t>INSTALL KIT 57 CHEVY 781162</t>
  </si>
  <si>
    <t>ACC KIT 67-68 CAMARO WO AC</t>
  </si>
  <si>
    <t>632168-FCA</t>
  </si>
  <si>
    <t>67-78 CAMARO W/O AC GEN IV IK KIT</t>
  </si>
  <si>
    <t>781169-FCN</t>
  </si>
  <si>
    <t xml:space="preserve">ACC KIT 69 CAMARO WO AC GEN IV </t>
  </si>
  <si>
    <t>ACC KIT 70-73 CAMARO W/AC GEN IV</t>
  </si>
  <si>
    <t>633169-FCA</t>
  </si>
  <si>
    <t>INSTALL KIT 1967-69 CAMARO W/AC</t>
  </si>
  <si>
    <t>ACC KIT 70-78 CAMARO WO AC GEN IV</t>
  </si>
  <si>
    <t>ACC KIT 70-78 CAMARO W/AC GEN IV</t>
  </si>
  <si>
    <t>IK KIT 79-81 CAMARO WO AC</t>
  </si>
  <si>
    <t>IK KIT 68-76 VETTE WO AC</t>
  </si>
  <si>
    <t>IK KIT 79-81 CAMARO W/AC</t>
  </si>
  <si>
    <t>IK KIT 69-72 CUTLASS WO AC</t>
  </si>
  <si>
    <t>IK KIT 70-78 CAMARO W/AC</t>
  </si>
  <si>
    <t>IK KIT 70-78 CAMARO WO AC</t>
  </si>
  <si>
    <t>IK KIT 69 FIREBIRD WO AC</t>
  </si>
  <si>
    <t>IK KIT 69 FIREBIRD W/AC</t>
  </si>
  <si>
    <t>INSTALL KIT 70-81 FIREBIRD W/ AC</t>
  </si>
  <si>
    <t>INSTALL KIT 70-81 FIREBIRD W/O AC</t>
  </si>
  <si>
    <t>INSTALL KIT 67-68 CAMARO/FIREBIRD WO/AC 781190</t>
  </si>
  <si>
    <t>INSTALL KIT 781191</t>
  </si>
  <si>
    <t>63256-PCA</t>
  </si>
  <si>
    <t>55-56 CHEV IK KIT</t>
  </si>
  <si>
    <t>INSTALL KIT 784054</t>
  </si>
  <si>
    <t>61-62 IMPALA W/O AC GEN IV IK KIT</t>
  </si>
  <si>
    <t>61-62 IMPALA W/AC GEN IV IK KIT</t>
  </si>
  <si>
    <t>63-64 IMPALA W/O AC GEN IV IK KIT</t>
  </si>
  <si>
    <t>63-64 IMPALA W/AC GEN IV IK KIT</t>
  </si>
  <si>
    <t>IK KIT 62-65 NOVA</t>
  </si>
  <si>
    <t>IK KIT 66-67 NOVA</t>
  </si>
  <si>
    <t>IK KIT 68 CUTLASS WO AC</t>
  </si>
  <si>
    <t>IK KIT 68-72 CUTLASS W/AC</t>
  </si>
  <si>
    <t>784073-PMF</t>
  </si>
  <si>
    <t>ACC KIT 70-74 CHAL/CUDA W/AC W/RALLYE</t>
  </si>
  <si>
    <t>634174-PMA</t>
  </si>
  <si>
    <t>70-74 CHAL/CUDA W/AC IK KIT</t>
  </si>
  <si>
    <t>INSTALL KIT 64-65 FALCON/RANCHERO</t>
  </si>
  <si>
    <t>IK KIT 64-67 GTO WO AC</t>
  </si>
  <si>
    <t>IK KIT 64-67 GTO W/AC</t>
  </si>
  <si>
    <t>64-65 CHEVELLE WO AC IK KIT</t>
  </si>
  <si>
    <t>64-65 CHEVELLE W/AC IK KIT</t>
  </si>
  <si>
    <t>66-67 CHEVELLE WO AC IK KIT</t>
  </si>
  <si>
    <t>IK KIT 63-67 VETTE W/AC</t>
  </si>
  <si>
    <t>INSTALL KIT 68-72 CHEVELLE/70-72 M CARLO W/O AC</t>
  </si>
  <si>
    <t>INSTALL KIT 68-72 CHEVELLE/MONTE CARLO W/AC</t>
  </si>
  <si>
    <t>ACC KIT 67-68 CAMARO W/AC</t>
  </si>
  <si>
    <t>784169-FCF</t>
  </si>
  <si>
    <t xml:space="preserve">ACC KIT 69 CAMARO W/AC </t>
  </si>
  <si>
    <t>IK KIT 68 VETTE</t>
  </si>
  <si>
    <t>634173-PCA</t>
  </si>
  <si>
    <t>69-76 VETTE IK KIT</t>
  </si>
  <si>
    <t>66-67 CHEVELLE W/AC IK KIT</t>
  </si>
  <si>
    <t>69-72 NOVA WO AC IK KIT</t>
  </si>
  <si>
    <t>69-72 NOVA W/AC IK KIT</t>
  </si>
  <si>
    <t>68 NOVA WO AC IK KIT</t>
  </si>
  <si>
    <t>68 NOVA W/AC IK KIT</t>
  </si>
  <si>
    <t>INSTALL KIT 67-68 CAMARO/FIREBIRD W/AC 784190</t>
  </si>
  <si>
    <t>INSTALL KIT 69 CAMARO W/AC 784191</t>
  </si>
  <si>
    <t>INSTALL KIT 784482</t>
  </si>
  <si>
    <t>INSTALL KIT 784483</t>
  </si>
  <si>
    <t>INSTALL KIT 784484</t>
  </si>
  <si>
    <t>INSTALL KIT 785083</t>
  </si>
  <si>
    <t>67-68 MUSTANG W/AC IK KIT</t>
  </si>
  <si>
    <t>69-70 MUSTANG W/AC GEN IV IK KIT</t>
  </si>
  <si>
    <t>INSTALL KIT 77 VETTE W/AC 785175</t>
  </si>
  <si>
    <t>INSTALL KIT 78-82 VETTE W/AC 785176</t>
  </si>
  <si>
    <t xml:space="preserve">IK 57-65 FACEL VEGA </t>
  </si>
  <si>
    <t>633005-PCA</t>
  </si>
  <si>
    <t>F5GTM INSTALLATION KIT</t>
  </si>
  <si>
    <t>INSTALL KIT - 791150</t>
  </si>
  <si>
    <t>INSTALL KIT - 791151</t>
  </si>
  <si>
    <t>INSTALL KIT - 791152</t>
  </si>
  <si>
    <t>INSTALL KIT - 791153</t>
  </si>
  <si>
    <t>IK KIT 55-59 CHEV P-UP</t>
  </si>
  <si>
    <t>INSTALL KIT 791160</t>
  </si>
  <si>
    <t>IK KIT 64-66 CHEV P-UP WO AC</t>
  </si>
  <si>
    <t>IK KIT 67-72 CHEV P-UP WO AC</t>
  </si>
  <si>
    <t>IK KIT 73-80 CHEV P-UP WO AC</t>
  </si>
  <si>
    <t>IK KIT 66-77 BRONCO</t>
  </si>
  <si>
    <t>IK KIT 66-77 BRONCO 4 VENT PLENUM</t>
  </si>
  <si>
    <t>INSTALL KIT 66-77 BC BRONCO (CUSTOM)</t>
  </si>
  <si>
    <t>IK KIT 81-87 CHEV P-UP WO AC</t>
  </si>
  <si>
    <t>INSTALL KIT 791200</t>
  </si>
  <si>
    <t>INSTALL KIT - 791201</t>
  </si>
  <si>
    <t>INSTALL KIT - 791202</t>
  </si>
  <si>
    <t>INSTALL KIT 794160</t>
  </si>
  <si>
    <t>IK KIT 67-72 CHEV P-UP W/AC</t>
  </si>
  <si>
    <t>IK KIT 73-80 CHEV P-UP W/AC</t>
  </si>
  <si>
    <t>IK KIT 81-87 CHEV P-UP W/AC</t>
  </si>
  <si>
    <t>63562-LFE</t>
  </si>
  <si>
    <t>53-56 FRD P-UP IK KIT NEW</t>
  </si>
  <si>
    <t>INSTALLATION KIT, 49-59 STUDEBAKER C CAB TRUCK</t>
  </si>
  <si>
    <t>ACC KIT 54-55 CHEV P-UP</t>
  </si>
  <si>
    <t>INSTALL KIT 47-55 CHEV P-UP</t>
  </si>
  <si>
    <t>ACC Kit #</t>
  </si>
  <si>
    <t>MB Concat</t>
  </si>
  <si>
    <t>Starting with Sales Order #</t>
  </si>
  <si>
    <t>Evap Kit Number</t>
  </si>
  <si>
    <t>Evap Kit Description</t>
  </si>
  <si>
    <t>Quantity to Make</t>
  </si>
  <si>
    <t>Mold Board #</t>
  </si>
  <si>
    <t>SF Running Total</t>
  </si>
  <si>
    <t>EVAP KIT 57 CHEV WO AC 4-VENT PLENUM - 830065 - 0 - 0</t>
  </si>
  <si>
    <t>EVAP KIT 66-67 CHEVELLE W/AC - 830059 - 0 - 0</t>
  </si>
  <si>
    <t>EVAP KIT 82-88 MONTE CARLO/EL CAMINO - 830132 - 0 - 0</t>
  </si>
  <si>
    <t>EVAP KIT 55-56 CHEVY - 830054 - 0 - 0</t>
  </si>
  <si>
    <t>EVAP KIT 55-59 CHEV P-UP WO AC W/DELX  - 830028 - 0 - 0</t>
  </si>
  <si>
    <t>EVAP KIT 67-68 CAMARO/FIREBIRD WO/AC - 830017 - 830119 - 830120</t>
  </si>
  <si>
    <t>EVAP KIT 67-68 MUSTANG/COUGAR WO AC - 830079 - 830046 - 0</t>
  </si>
  <si>
    <t>EVAP KIT 67-72 CHEV P-UP W/AC - 830013 - 0 - 0</t>
  </si>
  <si>
    <t>EVAP KIT 69 CAMARO WO/AC - 830012 - 0 - 0</t>
  </si>
  <si>
    <t>EVAP KIT 70-72 CHEVELLE W/AC - 830011 - 0 - 0</t>
  </si>
  <si>
    <t>EVAP KIT 70-72 CHEVELLE WO AC - 830010 - 0 - 0</t>
  </si>
  <si>
    <t>EVAP KIT 69 GTO WO/AC - 830124 - 0 - 0</t>
  </si>
  <si>
    <t>EVAP KIT 69 FIREBIRD W/AC - 830107 - 0 - 0</t>
  </si>
  <si>
    <t>EVAP KIT 55-56 CHEVY 4-VENT - 830054 - 0 - 0</t>
  </si>
  <si>
    <t>EVAP KIT 66-67 CHEVELLE WO AC - 830060 - 0 - 0</t>
  </si>
  <si>
    <t>EVAP KIT 67-68 MUSTANG/COUGAR W/AC - 830079 - 830046 - 0</t>
  </si>
  <si>
    <t>EVAP KIT 68 MOPAR B BODY W/AC - 830074 - 0 - 0</t>
  </si>
  <si>
    <t>EVAP KIT 62-65 NOVA - 830096 - 0 - 0</t>
  </si>
  <si>
    <t>EVAP KIT 64 IMPALA WO AC - 830007 - 0 - 0</t>
  </si>
  <si>
    <t>EVAP KIT 66-77 BRONCO - 830085 - 0 - 0</t>
  </si>
  <si>
    <t>EVAP KIT 67-72 CHEV P-UP WO AC W/FACT AIR CTRLS - 830014 - 0 - 0</t>
  </si>
  <si>
    <t>EVAP KIT 63-66 VETTE WO AC - 830036 - 830039 - 0</t>
  </si>
  <si>
    <t>EVAP KIT 64-66 CHEV P-UP WO AC W/DELX - 830015 - 0 - 0</t>
  </si>
  <si>
    <t>EVAP KIT 64-67 GTO W/AC - 830034 - 0 - 0</t>
  </si>
  <si>
    <t>EVAP KIT 68-69 CHEVELLE W/AC - 830061 - 0 - 0</t>
  </si>
  <si>
    <t>EVAP KIT 69-70 MOPAR B BODY WO AC - 830075 - 0 - 0</t>
  </si>
  <si>
    <t>EVAP KIT 70-72 GTO W/AC - 830124 - 0 - 0</t>
  </si>
  <si>
    <t>EVAP KIT 70-74 CHALNGR/CUDA WO AC - 830083 - 0 - 0</t>
  </si>
  <si>
    <t>EVAP KIT 73-80 CHEV P-UP W/AC - 830001 - 0 - 0</t>
  </si>
  <si>
    <t>EVAP KIT 64-65 CHEVELLE W/AC - 830056 - 0 - 0</t>
  </si>
  <si>
    <t>EVAP KIT 55-59 CHEV P-UP WO AC W/STD  - 830028 - 0 - 0</t>
  </si>
  <si>
    <t>EVAP KIT 70-72 GTO WO/AC - 830124 - 0 - 0</t>
  </si>
  <si>
    <t>EVAP KIT 65-66 IMPALA WO/AC - 830125 - 830126 - 0</t>
  </si>
  <si>
    <t>EVAP KIT 54-55 CHEV P-UP GEN IV - 830063 - 0 - 0</t>
  </si>
  <si>
    <t xml:space="preserve">909405, </t>
  </si>
  <si>
    <t>Sales Order # List</t>
  </si>
  <si>
    <t>671401</t>
  </si>
  <si>
    <t xml:space="preserve">909405, 909408, </t>
  </si>
  <si>
    <t xml:space="preserve">909408, </t>
  </si>
  <si>
    <t xml:space="preserve">909410, </t>
  </si>
  <si>
    <t>681001</t>
  </si>
  <si>
    <t>EVAP KIT SF CABLE</t>
  </si>
  <si>
    <t xml:space="preserve">909405, 909408, 909478, </t>
  </si>
  <si>
    <t xml:space="preserve">909405, 909408, 909528, </t>
  </si>
  <si>
    <t xml:space="preserve">909405, 909443, </t>
  </si>
  <si>
    <t xml:space="preserve">909405, 909443, 909615, </t>
  </si>
  <si>
    <t xml:space="preserve">909405, 909523, </t>
  </si>
  <si>
    <t xml:space="preserve">909405, 909437, </t>
  </si>
  <si>
    <t xml:space="preserve">909408, 909649, </t>
  </si>
  <si>
    <t xml:space="preserve">909408, 909649, 909666, </t>
  </si>
  <si>
    <t xml:space="preserve">909408, 909586, </t>
  </si>
  <si>
    <t xml:space="preserve">909408, 909557, </t>
  </si>
  <si>
    <t xml:space="preserve">909410, 909460, </t>
  </si>
  <si>
    <t xml:space="preserve">909417, </t>
  </si>
  <si>
    <t xml:space="preserve">909417, 909433, </t>
  </si>
  <si>
    <t xml:space="preserve">909417, 909433, 909454, </t>
  </si>
  <si>
    <t xml:space="preserve">909422, </t>
  </si>
  <si>
    <t xml:space="preserve">909448, </t>
  </si>
  <si>
    <t xml:space="preserve">909451, </t>
  </si>
  <si>
    <t xml:space="preserve">909461, </t>
  </si>
  <si>
    <t xml:space="preserve">909461, 909629, </t>
  </si>
  <si>
    <t xml:space="preserve">909472, </t>
  </si>
  <si>
    <t xml:space="preserve">909472, 909623, </t>
  </si>
  <si>
    <t xml:space="preserve">909472, 909623, 909624, </t>
  </si>
  <si>
    <t xml:space="preserve">909474, </t>
  </si>
  <si>
    <t xml:space="preserve">909483, </t>
  </si>
  <si>
    <t xml:space="preserve">909483, 909668, </t>
  </si>
  <si>
    <t xml:space="preserve">909493, </t>
  </si>
  <si>
    <t xml:space="preserve">909493, 909680, </t>
  </si>
  <si>
    <t xml:space="preserve">906288, </t>
  </si>
  <si>
    <t xml:space="preserve">906288, 909536, </t>
  </si>
  <si>
    <t xml:space="preserve">906288, 909536, 909567, </t>
  </si>
  <si>
    <t xml:space="preserve">906288, 909536, 909567, 909608, </t>
  </si>
  <si>
    <t xml:space="preserve">909495, </t>
  </si>
  <si>
    <t xml:space="preserve">909495, 909636, </t>
  </si>
  <si>
    <t xml:space="preserve">909498, </t>
  </si>
  <si>
    <t xml:space="preserve">909498, 909620, </t>
  </si>
  <si>
    <t xml:space="preserve">909501, </t>
  </si>
  <si>
    <t xml:space="preserve">909504, </t>
  </si>
  <si>
    <t xml:space="preserve">909504, 909662, </t>
  </si>
  <si>
    <t xml:space="preserve">909505, </t>
  </si>
  <si>
    <t xml:space="preserve">909516, </t>
  </si>
  <si>
    <t xml:space="preserve">909516, 909578, </t>
  </si>
  <si>
    <t xml:space="preserve">909516, 909578, 909621, </t>
  </si>
  <si>
    <t xml:space="preserve">909533, </t>
  </si>
  <si>
    <t xml:space="preserve">909537, </t>
  </si>
  <si>
    <t xml:space="preserve">909547, </t>
  </si>
  <si>
    <t xml:space="preserve">909549, </t>
  </si>
  <si>
    <t xml:space="preserve">909552, </t>
  </si>
  <si>
    <t xml:space="preserve">909554, </t>
  </si>
  <si>
    <t xml:space="preserve">909560, </t>
  </si>
  <si>
    <t xml:space="preserve">909573, </t>
  </si>
  <si>
    <t xml:space="preserve">909573, 909594, </t>
  </si>
  <si>
    <t xml:space="preserve">909576, </t>
  </si>
  <si>
    <t xml:space="preserve">909581, </t>
  </si>
  <si>
    <t xml:space="preserve">909585, </t>
  </si>
  <si>
    <t xml:space="preserve">909588, </t>
  </si>
  <si>
    <t xml:space="preserve">909603, </t>
  </si>
  <si>
    <t xml:space="preserve">909603, 909651, </t>
  </si>
  <si>
    <t xml:space="preserve">909604, </t>
  </si>
  <si>
    <t xml:space="preserve">909606, </t>
  </si>
  <si>
    <t xml:space="preserve">909628, </t>
  </si>
  <si>
    <t xml:space="preserve">909628, 909658, </t>
  </si>
  <si>
    <t xml:space="preserve">909631, </t>
  </si>
  <si>
    <t xml:space="preserve">909641, </t>
  </si>
  <si>
    <t xml:space="preserve">909648, </t>
  </si>
  <si>
    <t xml:space="preserve">909664, </t>
  </si>
  <si>
    <t xml:space="preserve">909673, </t>
  </si>
  <si>
    <t xml:space="preserve">909677, </t>
  </si>
  <si>
    <t xml:space="preserve">909681, </t>
  </si>
  <si>
    <t xml:space="preserve">909416, </t>
  </si>
  <si>
    <t xml:space="preserve">909587,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</si>
</sst>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8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4"/>
      <color rgb="FF000000"/>
      <name val="Calibri"/>
      <family val="2"/>
    </font>
    <font>
      <b/>
      <sz val="26"/>
      <color rgb="FF000000"/>
      <name val="Calibri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9" tint="0.3999755851924192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NumberFormat="1"/>
    <xf numFmtId="22" fontId="0" fillId="0" borderId="0" xfId="0" applyNumberFormat="1"/>
    <xf numFmtId="0" fontId="0" fillId="0" borderId="1" xfId="0" applyNumberFormat="1" applyFont="1" applyBorder="1"/>
    <xf numFmtId="0" fontId="1" fillId="0" borderId="0" xfId="0" applyFont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14" fontId="0" fillId="0" borderId="0" xfId="0" applyNumberFormat="1"/>
    <xf numFmtId="0" fontId="2" fillId="0" borderId="0" xfId="0" applyFont="1" applyAlignment="1">
      <alignment horizontal="center" vertical="center" wrapText="1"/>
    </xf>
    <xf numFmtId="0" fontId="0" fillId="0" borderId="0" xfId="0" applyNumberFormat="1" applyFill="1"/>
    <xf numFmtId="0" fontId="0" fillId="0" borderId="0" xfId="0" applyFill="1"/>
    <xf numFmtId="0" fontId="0" fillId="0" borderId="0" xfId="0" applyNumberFormat="1" applyFont="1" applyBorder="1"/>
    <xf numFmtId="0" fontId="0" fillId="0" borderId="2" xfId="0" pivotButton="1" applyBorder="1"/>
    <xf numFmtId="0" fontId="0" fillId="0" borderId="2" xfId="0" applyBorder="1"/>
    <xf numFmtId="14" fontId="0" fillId="0" borderId="2" xfId="0" applyNumberFormat="1" applyBorder="1" applyAlignment="1">
      <alignment horizontal="left"/>
    </xf>
    <xf numFmtId="0" fontId="0" fillId="0" borderId="2" xfId="0" applyNumberFormat="1" applyBorder="1"/>
    <xf numFmtId="0" fontId="0" fillId="0" borderId="2" xfId="0" applyBorder="1" applyAlignment="1">
      <alignment horizontal="left" indent="1"/>
    </xf>
    <xf numFmtId="0" fontId="0" fillId="0" borderId="0" xfId="0" quotePrefix="1"/>
    <xf numFmtId="1" fontId="1" fillId="0" borderId="0" xfId="0" applyNumberFormat="1" applyFont="1" applyAlignment="1">
      <alignment horizontal="center" vertical="center"/>
    </xf>
    <xf numFmtId="0" fontId="5" fillId="3" borderId="1" xfId="0" applyFont="1" applyFill="1" applyBorder="1"/>
    <xf numFmtId="0" fontId="0" fillId="4" borderId="1" xfId="0" applyNumberFormat="1" applyFont="1" applyFill="1" applyBorder="1"/>
    <xf numFmtId="22" fontId="0" fillId="4" borderId="1" xfId="0" applyNumberFormat="1" applyFont="1" applyFill="1" applyBorder="1"/>
    <xf numFmtId="14" fontId="0" fillId="4" borderId="1" xfId="0" applyNumberFormat="1" applyFont="1" applyFill="1" applyBorder="1"/>
    <xf numFmtId="22" fontId="0" fillId="0" borderId="1" xfId="0" applyNumberFormat="1" applyFont="1" applyBorder="1"/>
    <xf numFmtId="14" fontId="0" fillId="0" borderId="1" xfId="0" applyNumberFormat="1" applyFont="1" applyBorder="1"/>
    <xf numFmtId="0" fontId="5" fillId="3" borderId="3" xfId="0" applyNumberFormat="1" applyFont="1" applyFill="1" applyBorder="1"/>
    <xf numFmtId="0" fontId="5" fillId="3" borderId="3" xfId="0" applyFont="1" applyFill="1" applyBorder="1"/>
    <xf numFmtId="0" fontId="0" fillId="0" borderId="2" xfId="0" applyBorder="1" applyAlignment="1">
      <alignment horizontal="center"/>
    </xf>
    <xf numFmtId="0" fontId="4" fillId="2" borderId="2" xfId="0" applyFont="1" applyFill="1" applyBorder="1" applyAlignment="1">
      <alignment horizontal="center" vertical="center" wrapText="1"/>
    </xf>
  </cellXfs>
  <cellStyles count="1">
    <cellStyle name="Normal" xfId="0" builtinId="0"/>
  </cellStyles>
  <dxfs count="2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m/d/yyyy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7" formatCode="m/d/yyyy\ h:mm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top style="thin">
          <color theme="9" tint="0.39997558519241921"/>
        </top>
      </border>
    </dxf>
    <dxf>
      <border outline="0">
        <bottom style="thin">
          <color theme="9" tint="0.39997558519241921"/>
        </bottom>
      </border>
    </dxf>
    <dxf>
      <border outline="0">
        <left style="thin">
          <color theme="9" tint="0.39997558519241921"/>
        </left>
        <top style="thin">
          <color theme="9" tint="0.39997558519241921"/>
        </top>
        <bottom style="thin">
          <color theme="9" tint="0.39997558519241921"/>
        </bottom>
      </border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4</xdr:row>
          <xdr:rowOff>200025</xdr:rowOff>
        </xdr:from>
        <xdr:to>
          <xdr:col>0</xdr:col>
          <xdr:colOff>3514725</xdr:colOff>
          <xdr:row>10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Pivot Table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38100</xdr:rowOff>
        </xdr:from>
        <xdr:to>
          <xdr:col>7</xdr:col>
          <xdr:colOff>95250</xdr:colOff>
          <xdr:row>9</xdr:row>
          <xdr:rowOff>171450</xdr:rowOff>
        </xdr:to>
        <xdr:sp macro="" textlink="">
          <xdr:nvSpPr>
            <xdr:cNvPr id="1028" name="CheckBox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85725</xdr:rowOff>
        </xdr:from>
        <xdr:to>
          <xdr:col>7</xdr:col>
          <xdr:colOff>161925</xdr:colOff>
          <xdr:row>13</xdr:row>
          <xdr:rowOff>123825</xdr:rowOff>
        </xdr:to>
        <xdr:sp macro="" textlink="">
          <xdr:nvSpPr>
            <xdr:cNvPr id="1029" name="CheckBox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494545</xdr:colOff>
      <xdr:row>1</xdr:row>
      <xdr:rowOff>75596</xdr:rowOff>
    </xdr:from>
    <xdr:to>
      <xdr:col>6</xdr:col>
      <xdr:colOff>325817</xdr:colOff>
      <xdr:row>2</xdr:row>
      <xdr:rowOff>148167</xdr:rowOff>
    </xdr:to>
    <xdr:sp macro="" textlink="">
      <xdr:nvSpPr>
        <xdr:cNvPr id="2" name="Rectangle 1"/>
        <xdr:cNvSpPr/>
      </xdr:nvSpPr>
      <xdr:spPr>
        <a:xfrm>
          <a:off x="8336795" y="266096"/>
          <a:ext cx="1387022" cy="696988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400050</xdr:colOff>
          <xdr:row>12</xdr:row>
          <xdr:rowOff>0</xdr:rowOff>
        </xdr:from>
        <xdr:to>
          <xdr:col>0</xdr:col>
          <xdr:colOff>3543300</xdr:colOff>
          <xdr:row>15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Pivot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6</xdr:row>
          <xdr:rowOff>95250</xdr:rowOff>
        </xdr:from>
        <xdr:to>
          <xdr:col>2</xdr:col>
          <xdr:colOff>1447800</xdr:colOff>
          <xdr:row>12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323850</xdr:colOff>
          <xdr:row>5</xdr:row>
          <xdr:rowOff>19050</xdr:rowOff>
        </xdr:from>
        <xdr:to>
          <xdr:col>11</xdr:col>
          <xdr:colOff>495300</xdr:colOff>
          <xdr:row>8</xdr:row>
          <xdr:rowOff>123825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342900</xdr:colOff>
          <xdr:row>9</xdr:row>
          <xdr:rowOff>104775</xdr:rowOff>
        </xdr:from>
        <xdr:to>
          <xdr:col>11</xdr:col>
          <xdr:colOff>476250</xdr:colOff>
          <xdr:row>13</xdr:row>
          <xdr:rowOff>9525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Sheets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329444</xdr:colOff>
      <xdr:row>4</xdr:row>
      <xdr:rowOff>69245</xdr:rowOff>
    </xdr:from>
    <xdr:to>
      <xdr:col>0</xdr:col>
      <xdr:colOff>3714749</xdr:colOff>
      <xdr:row>16</xdr:row>
      <xdr:rowOff>52915</xdr:rowOff>
    </xdr:to>
    <xdr:sp macro="" textlink="">
      <xdr:nvSpPr>
        <xdr:cNvPr id="10" name="Rectangle 9"/>
        <xdr:cNvSpPr/>
      </xdr:nvSpPr>
      <xdr:spPr>
        <a:xfrm>
          <a:off x="329444" y="1815495"/>
          <a:ext cx="3385305" cy="2290837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5594</xdr:colOff>
      <xdr:row>16</xdr:row>
      <xdr:rowOff>158145</xdr:rowOff>
    </xdr:from>
    <xdr:to>
      <xdr:col>2</xdr:col>
      <xdr:colOff>201084</xdr:colOff>
      <xdr:row>91</xdr:row>
      <xdr:rowOff>137583</xdr:rowOff>
    </xdr:to>
    <xdr:sp macro="" textlink="">
      <xdr:nvSpPr>
        <xdr:cNvPr id="11" name="Rectangle 10"/>
        <xdr:cNvSpPr/>
      </xdr:nvSpPr>
      <xdr:spPr>
        <a:xfrm>
          <a:off x="5594" y="4211562"/>
          <a:ext cx="5921073" cy="14266938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249203</xdr:colOff>
      <xdr:row>14</xdr:row>
      <xdr:rowOff>49618</xdr:rowOff>
    </xdr:from>
    <xdr:to>
      <xdr:col>12</xdr:col>
      <xdr:colOff>8658</xdr:colOff>
      <xdr:row>23</xdr:row>
      <xdr:rowOff>69272</xdr:rowOff>
    </xdr:to>
    <xdr:sp macro="" textlink="">
      <xdr:nvSpPr>
        <xdr:cNvPr id="12" name="Rectangle 11"/>
        <xdr:cNvSpPr/>
      </xdr:nvSpPr>
      <xdr:spPr>
        <a:xfrm>
          <a:off x="10640112" y="3721073"/>
          <a:ext cx="1803001" cy="1734154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600075</xdr:colOff>
          <xdr:row>1</xdr:row>
          <xdr:rowOff>9525</xdr:rowOff>
        </xdr:from>
        <xdr:to>
          <xdr:col>11</xdr:col>
          <xdr:colOff>133350</xdr:colOff>
          <xdr:row>5</xdr:row>
          <xdr:rowOff>161925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Home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7</xdr:row>
          <xdr:rowOff>47625</xdr:rowOff>
        </xdr:from>
        <xdr:to>
          <xdr:col>11</xdr:col>
          <xdr:colOff>95250</xdr:colOff>
          <xdr:row>11</xdr:row>
          <xdr:rowOff>95250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Page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randon Harding" refreshedDate="44687.646470949076" createdVersion="6" refreshedVersion="6" minRefreshableVersion="3" recordCount="168">
  <cacheSource type="worksheet">
    <worksheetSource name="Table3"/>
  </cacheSource>
  <cacheFields count="15">
    <cacheField name="SONumber" numFmtId="0">
      <sharedItems containsSemiMixedTypes="0" containsString="0" containsNumber="1" containsInteger="1" minValue="905409" maxValue="909310"/>
    </cacheField>
    <cacheField name="PartNumber" numFmtId="0">
      <sharedItems/>
    </cacheField>
    <cacheField name="Description" numFmtId="0">
      <sharedItems/>
    </cacheField>
    <cacheField name="EntryDateTime" numFmtId="22">
      <sharedItems containsSemiMixedTypes="0" containsNonDate="0" containsDate="1" containsString="0" minDate="2022-01-10T08:17:14" maxDate="2022-02-07T14:49:55"/>
    </cacheField>
    <cacheField name="ItemType" numFmtId="0">
      <sharedItems count="2">
        <s v="EVAP KIT SF GEN IV"/>
        <s v="EVAP KIT UNIVERSAL"/>
      </sharedItems>
    </cacheField>
    <cacheField name="OrderQty" numFmtId="0">
      <sharedItems containsSemiMixedTypes="0" containsString="0" containsNumber="1" containsInteger="1" minValue="1" maxValue="20"/>
    </cacheField>
    <cacheField name="ShippedQty" numFmtId="0">
      <sharedItems containsSemiMixedTypes="0" containsString="0" containsNumber="1" containsInteger="1" minValue="0" maxValue="1"/>
    </cacheField>
    <cacheField name="Date" numFmtId="14">
      <sharedItems containsSemiMixedTypes="0" containsNonDate="0" containsDate="1" containsString="0" minDate="2022-01-04T00:00:00" maxDate="2022-02-08T00:00:00" count="21">
        <d v="2022-01-10T00:00:00"/>
        <d v="2022-01-11T00:00:00"/>
        <d v="2022-01-12T00:00:00"/>
        <d v="2022-01-13T00:00:00"/>
        <d v="2022-01-14T00:00:00"/>
        <d v="2022-01-17T00:00:00"/>
        <d v="2022-01-18T00:00:00"/>
        <d v="2022-01-19T00:00:00"/>
        <d v="2022-01-20T00:00:00"/>
        <d v="2022-01-21T00:00:00"/>
        <d v="2022-01-24T00:00:00"/>
        <d v="2022-01-25T00:00:00"/>
        <d v="2022-01-26T00:00:00"/>
        <d v="2022-01-27T00:00:00"/>
        <d v="2022-01-28T00:00:00"/>
        <d v="2022-01-31T00:00:00"/>
        <d v="2022-02-07T00:00:00"/>
        <d v="2022-01-04T00:00:00" u="1"/>
        <d v="2022-01-07T00:00:00" u="1"/>
        <d v="2022-01-05T00:00:00" u="1"/>
        <d v="2022-01-06T00:00:00" u="1"/>
      </sharedItems>
    </cacheField>
    <cacheField name="SF Running Total" numFmtId="0">
      <sharedItems containsSemiMixedTypes="0" containsString="0" containsNumber="1" containsInteger="1" minValue="1" maxValue="101"/>
    </cacheField>
    <cacheField name="UNIV Running Total" numFmtId="0">
      <sharedItems containsSemiMixedTypes="0" containsString="0" containsNumber="1" containsInteger="1" minValue="0" maxValue="237"/>
    </cacheField>
    <cacheField name="Running Total" numFmtId="0">
      <sharedItems containsSemiMixedTypes="0" containsString="0" containsNumber="1" containsInteger="1" minValue="1" maxValue="338"/>
    </cacheField>
    <cacheField name="MB1" numFmtId="0">
      <sharedItems containsSemiMixedTypes="0" containsString="0" containsNumber="1" containsInteger="1" minValue="0" maxValue="830132"/>
    </cacheField>
    <cacheField name="MB2" numFmtId="0">
      <sharedItems containsSemiMixedTypes="0" containsString="0" containsNumber="1" containsInteger="1" minValue="0" maxValue="830126"/>
    </cacheField>
    <cacheField name="MB3" numFmtId="0">
      <sharedItems containsSemiMixedTypes="0" containsString="0" containsNumber="1" containsInteger="1" minValue="0" maxValue="830120"/>
    </cacheField>
    <cacheField name="Description - New" numFmtId="0">
      <sharedItems count="118">
        <s v="EVAP KIT 68 GTO W/AC - 830123 - 0 - 0"/>
        <s v="EVAP KIT 69-74 NOVA W/AC - 830043 - 0 - 0"/>
        <s v="ComPac GEN II W/DEF - 830029 - 830030 - 0"/>
        <s v="HERITAGE BRUSHED EVAP KIT HEAT/COOL - 0 - 0 - 0"/>
        <s v="MINI GEN II W/DEF - 830099 - 0 - 0"/>
        <s v="ComPac GEN II H/C - 830029 - 830030 - 0"/>
        <s v="SLIMLINE H/C W/DEF STD LOUVER - 830069 - 0 - 0"/>
        <s v="HERITAGE BRUSHED EVAP KIT COOL ONLY - 0 - 0 - 0"/>
        <s v="SUPER GEN II W/DEF - 830102 - 0 - 0"/>
        <s v="MINI GEN II H/C - 830099 - 0 - 0"/>
        <s v="SLIMLINE H/C STD LOUVER - 830069 - 0 - 0"/>
        <s v="EVAP KIT 50-53 CHEV P-UP GEN IV - 830063 - 0 - 0"/>
        <s v="SHORT PACK H/C W/STD CNTL - 830070 - 0 - 0"/>
        <s v=" ComPac GEN II W/DEF - 830029 - 830030 - 0"/>
        <s v="SLIMLINE COOL STD LOUVER - 830069 - 0 - 0"/>
        <s v="MINI SLIMLINE H/C STD LOUVER - 830045 - 0 - 0"/>
        <s v="SHORT PACK W/DEF W/STD CNTL - 830070 - 0 - 0"/>
        <s v="MONSTER TRUNK UNIT COOL - 830088 - 830099 - 0"/>
        <s v="HERITAGE TURNED EVAP KIT HEAT/COOL - 0 - 0 - 0"/>
        <s v="EVAP KIT RCR SL-C - 0 - 0 - 0"/>
        <s v="EVAP KIT 68-83 TOYOTA FJ40 ULTRA HIGH PERF - 830042 - 0 - 0"/>
        <s v="EVAP KIT 55-59 CHEV P-UP WO AC W/DELX  - 830028 - 0 - 0"/>
        <s v="EVAP KIT 64 1/2- 66 MUSTANG  - 830076 - 0 - 0"/>
        <s v="EVAP KIT 73-79 FORD TRUCK/78-79 BCO W/AC - 830105 - 830106 - 0"/>
        <s v="EVAP KIT 68-76 VETTE WO AC - 830100 - 0 - 0"/>
        <s v="EVAP KIT 66-67 CHEVELLE WO AC - 830060 - 0 - 0"/>
        <s v="EVAP KIT 55-56 CHEVY - 830054 - 0 - 0"/>
        <s v="EVAP KIT 68 MOPAR B BODY W/AC - 830074 - 0 - 0"/>
        <s v="EVAP KIT 69 CAMARO WO/AC - 830012 - 0 - 0"/>
        <s v="EVAP KIT 67-68 MUSTANG/COUGAR WO AC - 830079 - 830046 - 0"/>
        <s v="EVAP KIT 55-56 CHEVY 4-VENT - 830054 - 0 - 0"/>
        <s v="EVAP KIT 67-68 MUSTANG/COUGAR W/AC - 830079 - 830046 - 0"/>
        <s v="EVAP KIT 66-77 BRONCO - 830085 - 0 - 0"/>
        <s v="EVAP KIT 55-59 CHEV P-UP WO AC W/STD  - 830028 - 0 - 0"/>
        <s v="EVAP KIT 69 FIREBIRD W/AC - 830107 - 0 - 0"/>
        <s v="EVAP KIT 68-69 CHEVELLE W/AC - 830061 - 0 - 0"/>
        <s v="GEN IV MAGNUM EVAP KIT - 0 - 0 - 0"/>
        <s v="EVAP KIT 59-60 CHEV CAR 4-LEVER - 830067 - 0 - 0"/>
        <s v="EVAP KIT 70-74 CHALNGR/CUDA WO AC - 830083 - 0 - 0"/>
        <s v="EVAP KIT 64-66 CHEV P-UP WO AC W/STD - 830015 - 0 - 0"/>
        <s v="EVAP KIT 70-72 GTO WO/AC - 830124 - 0 - 0"/>
        <s v="EVAP KIT 69 GTO WO/AC - 830124 - 0 - 0"/>
        <s v="EVAP KIT 67-72 CHEV P-UP W/AC - 830013 - 0 - 0"/>
        <s v="EVAP KIT 69-74 NOVA WO AC - 830043 - 0 - 0"/>
        <s v="EVAP KIT 64-67 GTO W/AC - 830034 - 0 - 0"/>
        <s v="EVAP KIT 73-80 CHEV P-UP WO AC - 830002 - 0 - 0"/>
        <s v="EVAP KIT 57 CHEV WO AC 4-VENT PLENUM - 830065 - 0 - 0"/>
        <s v="EVAP KIT 67-72 CHEV P-UP WO AC - 830014 - 0 - 0"/>
        <s v="EVAP KIT 73-79 FORD TRK/78-79 BCO WO/AC - 830105 - 830106 - 0"/>
        <s v="EVAP KIT 82-88 MONTE CARLO/EL CAMINO - 830132 - 0 - 0"/>
        <s v="EVAP KIT 70-72 CHEVELLE W/AC - 830011 - 0 - 0"/>
        <s v="EVAP KIT 62-65 NOVA - 830096 - 0 - 0"/>
        <s v="EVAP KIT 67-72 CHEV P-UP WO AC W/FACT AIR CTRLS - 830014 - 0 - 0"/>
        <s v="EVAP KIT 63-66 VETTE WO AC - 830036 - 830039 - 0"/>
        <s v="EVAP KIT 64-66 CHEV P-UP WO AC W/DELX - 830015 - 0 - 0"/>
        <s v="EVAP KIT 73-80 CHEV P-UP W/AC - 830001 - 0 - 0"/>
        <s v="EVAP KIT 67-68 CAMARO/FIREBIRD WO/AC - 830017 - 830119 - 830120"/>
        <s v="EVAP KIT 70-72 GTO W/AC - 830124 - 0 - 0"/>
        <s v="EVAP KIT 81-87 CHEV P-UP W/AC - 830004 - 0 - 0"/>
        <s v="EVAP KIT 70-72 CHEVELLE WO AC - 830010 - 0 - 0"/>
        <s v="EVAP KIT 64 IMPALA WO AC - 830007 - 0 - 0"/>
        <s v="EVAP KIT 68-69 CHEVELLE WO AC - 830062 - 0 - 0"/>
        <s v="EVAP KIT 69-73 VETTE W/AC - 830094 - 0 - 0"/>
        <s v="EVAP KIT 66-67 CHEVELLE W/AC - 830059 - 0 - 0"/>
        <s v="EVAP KIT 69-70 MOPAR B BODY WO AC - 830075 - 0 - 0"/>
        <s v="EVAP KIT 64-65 CHEVELLE W/AC - 830056 - 0 - 0"/>
        <s v="EVAP KIT 65-66 IMPALA WO/AC - 830125 - 830126 - 0"/>
        <s v="EVAP KIT 68-83 TOYOTA FJ40 - 830042 - 0 - 0"/>
        <s v="EVAP KIT 67-68 CAMARO/FIREBIRD W/AC - 830016 - 0 - 0"/>
        <s v="EVAP KIT 57 CHEV WO AC - 830065 - 0 - 0"/>
        <s v="EVAP KIT 54-55 CHEV P-UP GEN IV - 830063 - 0 - 0"/>
        <s v="EVAP KIT 66-67 BELV,SALIT,GTX WO AC - 830073 - 0 - 0" u="1"/>
        <s v="EVAP KIT 69-70 MUSTANG W/AC  - 830080 - 830046 - 0" u="1"/>
        <s v="EVAP KIT 66-77 BRONCO 4-VENT PLENUM - 830085 - 0 - 0" u="1"/>
        <s v="EVAP KIT 63 IMPALA WO AC - 830008 - 0 - 0" u="1"/>
        <s v="EVAP KIT 70-72 CUTLASS W/AC - 830027 - 0 - 0" u="1"/>
        <s v="EVAP KIT 77 VETTE W/AC - 830098 - 0 - 0" u="1"/>
        <s v="EVAP KIT 81-87 CHEV P-UP WO AC - 830003 - 0 - 0" u="1"/>
        <s v="EVAP KIT 65-66 FORD F-100 - 830053 - 0 - 0" u="1"/>
        <s v="EVAP KIT 78-82 VETTE W/AC - 830103 - 0 - 0" u="1"/>
        <s v="EVAP KIT 70-72 MONTE CARLO W/AC - 830010 - 0 - 0" u="1"/>
        <s v="EVAP KIT 64-65 CHEVELLE WO AC - 830058 - 0 - 0" u="1"/>
        <s v="EVAP KIT 69-70 MOPAR B BODY W/AC - 830072 - 830075 - 0" u="1"/>
        <s v="EVAP KIT 63 IMPALA W/AC - 830009 - 0 - 0" u="1"/>
        <s v="MARK IV STYLELINE UNDERDASH EVAP - 0 - 0 - 0" u="1"/>
        <s v="EVAP KIT 66-67 NOVA - 830048 - 0 - 0" u="1"/>
        <s v="EVAP KIT 68-72 FORD P-UP F-100 - 830018 - 0 - 0" u="1"/>
        <s v="EVAP KIT 70-74 CHALNGR/CUDA W/AC W/RD - 830083 - 0 - 0" u="1"/>
        <s v="EVAP KIT 55-59 CHEV P-UP WO AC W/DELX - 830028 - 0 - 0" u="1"/>
        <s v="EVAP KIT 63-66 VETTE W/AC - 830036 - 830039 - 0" u="1"/>
        <s v="EVAP KIT 68 NOVA W/AC - 830047 - 0 - 0" u="1"/>
        <s v="EVAP KIT 74-76 VETTE W/AC - 830094 - 0 - 0" u="1"/>
        <s v="EVAP KIT 60-63 CHEV P-UP WO AC - 830066 - 0 - 0" u="1"/>
        <s v="EVAP KIT 64 IMPALA W/AC - 830007 - 0 - 0" u="1"/>
        <s v="EVAP KIT 64-67 GTO WO AC - 830034 - 0 - 0" u="1"/>
        <s v="EVAP KIT 58-60 VETTE - 830032 - 0 - 0" u="1"/>
        <s v="EVAP KIT 79-81 CAMARO W/AC - 830024 - 0 - 0" u="1"/>
        <s v="EVAP KIT 69 CAMARO W/AC - 830012 - 0 - 0" u="1"/>
        <s v="EVAP KIT 64-65 FALCON/RANCHERO - 830044 - 0 - 0" u="1"/>
        <s v="EVAP KIT 69-70 MUSTANG WO AC  - 830080 - 0 - 0" u="1"/>
        <s v="EVAP KIT 61-62 IMPALA WO AC - 830005 - 0 - 0" u="1"/>
        <s v="EVAP KIT 68 CUTLASS WO AC - 830025 - 0 - 0" u="1"/>
        <s v="EVAP KIT 68-69 CUTLASS W/AC - 830025 - 830022 - 0" u="1"/>
        <s v="EVAP KIT 70-81 FIREBIRD WO AC - 830019 - 0 - 0" u="1"/>
        <s v="EVAP KIT 69 FIREBIRD WO AC - 830020 - 0 - 0" u="1"/>
        <s v="EVAP KIT 69 GTO W/AC - 830124 - 0 - 0" u="1"/>
        <s v="EVAP KIT 70-72 CUTLASS WO AC - 830026 - 0 - 0" u="1"/>
        <s v="EVAP KIT 70-81 FIREBIRD W/AC - 830037 - 0 - 0" u="1"/>
        <s v="EVAP KIT 79-81 CAMARO WO AC  - 830108 - 0 - 0" u="1"/>
        <s v="EVAP KIT 65-66 IMPALA W/AC - 830125 - 0 - 0" u="1"/>
        <s v="EVAP KIT 70-72 MONTE CARLO WO AC - 830010 - 0 - 0" u="1"/>
        <s v="EVAP KIT 68 VETTE W/AC - 830094 - 0 - 0" u="1"/>
        <s v="EVAP KIT 47-49 CHEV P-UP GEN IV - 830063 - 0 - 0" u="1"/>
        <s v="EVAP KIT 70-78 CAMARO WO AC - 830050 - 0 - 0" u="1"/>
        <s v="EVAP KIT 70-78 CAMARO W/AC - 830051 - 0 - 0" u="1"/>
        <s v="EVAP KIT 67 FORD P-UP F-100 - 830018 - 0 - 0" u="1"/>
        <s v="EVAP KIT 67 VETTE WO AC - 830093 - 0 - 0" u="1"/>
        <s v="EVAP KIT 69 CUTLASS WO AC - 830022 - 0 - 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8">
  <r>
    <n v="905996"/>
    <s v="564482"/>
    <s v="EVAP KIT 68 GTO W/AC"/>
    <d v="2022-01-10T08:17:14"/>
    <x v="0"/>
    <n v="1"/>
    <n v="0"/>
    <x v="0"/>
    <n v="1"/>
    <n v="0"/>
    <n v="1"/>
    <n v="830123"/>
    <n v="0"/>
    <n v="0"/>
    <x v="0"/>
  </r>
  <r>
    <n v="905998"/>
    <s v="565072"/>
    <s v="EVAP KIT 69-74 NOVA W/AC"/>
    <d v="2022-01-10T08:18:57"/>
    <x v="0"/>
    <n v="1"/>
    <n v="0"/>
    <x v="0"/>
    <n v="2"/>
    <n v="0"/>
    <n v="2"/>
    <n v="830043"/>
    <n v="0"/>
    <n v="0"/>
    <x v="1"/>
  </r>
  <r>
    <n v="905409"/>
    <s v="68000-VUZ-A"/>
    <s v="ComPac GEN II W/DEF"/>
    <d v="2022-01-10T10:51:42"/>
    <x v="1"/>
    <n v="1"/>
    <n v="0"/>
    <x v="0"/>
    <n v="2"/>
    <n v="1"/>
    <n v="3"/>
    <n v="830029"/>
    <n v="830030"/>
    <n v="0"/>
    <x v="2"/>
  </r>
  <r>
    <n v="906369"/>
    <s v="68000-VUZ-A"/>
    <s v="ComPac GEN II W/DEF"/>
    <d v="2022-01-11T15:26:50"/>
    <x v="1"/>
    <n v="1"/>
    <n v="0"/>
    <x v="1"/>
    <n v="2"/>
    <n v="2"/>
    <n v="4"/>
    <n v="830029"/>
    <n v="830030"/>
    <n v="0"/>
    <x v="2"/>
  </r>
  <r>
    <n v="906417"/>
    <s v="68000-VUZ-A"/>
    <s v="ComPac GEN II W/DEF"/>
    <d v="2022-01-12T08:06:31"/>
    <x v="1"/>
    <n v="10"/>
    <n v="0"/>
    <x v="2"/>
    <n v="2"/>
    <n v="12"/>
    <n v="14"/>
    <n v="830029"/>
    <n v="830030"/>
    <n v="0"/>
    <x v="2"/>
  </r>
  <r>
    <n v="906417"/>
    <s v="674013"/>
    <s v="HERITAGE BRUSHED EVAP KIT HEAT/COOL"/>
    <d v="2022-01-12T08:06:49"/>
    <x v="1"/>
    <n v="4"/>
    <n v="0"/>
    <x v="2"/>
    <n v="2"/>
    <n v="16"/>
    <n v="18"/>
    <n v="0"/>
    <n v="0"/>
    <n v="0"/>
    <x v="3"/>
  </r>
  <r>
    <n v="906417"/>
    <s v="66005-VUZ-A"/>
    <s v="MINI GEN II W/DEF"/>
    <d v="2022-01-12T08:07:19"/>
    <x v="1"/>
    <n v="5"/>
    <n v="0"/>
    <x v="2"/>
    <n v="2"/>
    <n v="21"/>
    <n v="23"/>
    <n v="830099"/>
    <n v="0"/>
    <n v="0"/>
    <x v="4"/>
  </r>
  <r>
    <n v="906417"/>
    <s v="68000-VUZ-A"/>
    <s v="ComPac GEN II W/DEF"/>
    <d v="2022-01-12T08:07:36"/>
    <x v="1"/>
    <n v="2"/>
    <n v="0"/>
    <x v="2"/>
    <n v="2"/>
    <n v="23"/>
    <n v="25"/>
    <n v="830029"/>
    <n v="830030"/>
    <n v="0"/>
    <x v="2"/>
  </r>
  <r>
    <n v="906545"/>
    <s v="68000-VUX-A"/>
    <s v="ComPac GEN II H/C"/>
    <d v="2022-01-12T15:14:00"/>
    <x v="1"/>
    <n v="4"/>
    <n v="0"/>
    <x v="2"/>
    <n v="2"/>
    <n v="27"/>
    <n v="29"/>
    <n v="830029"/>
    <n v="830030"/>
    <n v="0"/>
    <x v="5"/>
  </r>
  <r>
    <n v="906551"/>
    <s v="68000-VUZ-A"/>
    <s v="ComPac GEN II W/DEF"/>
    <d v="2022-01-12T15:18:21"/>
    <x v="1"/>
    <n v="20"/>
    <n v="0"/>
    <x v="2"/>
    <n v="2"/>
    <n v="47"/>
    <n v="49"/>
    <n v="830029"/>
    <n v="830030"/>
    <n v="0"/>
    <x v="2"/>
  </r>
  <r>
    <n v="906559"/>
    <s v="68000-VUZ-A"/>
    <s v="ComPac GEN II W/DEF"/>
    <d v="2022-01-12T15:33:48"/>
    <x v="1"/>
    <n v="1"/>
    <n v="0"/>
    <x v="2"/>
    <n v="2"/>
    <n v="48"/>
    <n v="50"/>
    <n v="830029"/>
    <n v="830030"/>
    <n v="0"/>
    <x v="2"/>
  </r>
  <r>
    <n v="906618"/>
    <s v="68000-VUZ-A"/>
    <s v="ComPac GEN II W/DEF"/>
    <d v="2022-01-13T10:30:43"/>
    <x v="1"/>
    <n v="1"/>
    <n v="0"/>
    <x v="3"/>
    <n v="2"/>
    <n v="49"/>
    <n v="51"/>
    <n v="830029"/>
    <n v="830030"/>
    <n v="0"/>
    <x v="2"/>
  </r>
  <r>
    <n v="906818"/>
    <s v="11300-VUZ-A"/>
    <s v="SLIMLINE H/C W/DEF STD LOUVER"/>
    <d v="2022-01-14T14:55:37"/>
    <x v="1"/>
    <n v="1"/>
    <n v="0"/>
    <x v="4"/>
    <n v="2"/>
    <n v="50"/>
    <n v="52"/>
    <n v="830069"/>
    <n v="0"/>
    <n v="0"/>
    <x v="6"/>
  </r>
  <r>
    <n v="906818"/>
    <s v="674003"/>
    <s v="HERITAGE BRUSHED EVAP KIT COOL ONLY"/>
    <d v="2022-01-14T15:16:42"/>
    <x v="1"/>
    <n v="1"/>
    <n v="0"/>
    <x v="4"/>
    <n v="2"/>
    <n v="51"/>
    <n v="53"/>
    <n v="0"/>
    <n v="0"/>
    <n v="0"/>
    <x v="7"/>
  </r>
  <r>
    <n v="906818"/>
    <s v="68000-VUZ-A"/>
    <s v="ComPac GEN II W/DEF"/>
    <d v="2022-01-14T15:19:39"/>
    <x v="1"/>
    <n v="1"/>
    <n v="0"/>
    <x v="4"/>
    <n v="2"/>
    <n v="52"/>
    <n v="54"/>
    <n v="830029"/>
    <n v="830030"/>
    <n v="0"/>
    <x v="2"/>
  </r>
  <r>
    <n v="906883"/>
    <s v="11300-VUZ-A"/>
    <s v="SLIMLINE H/C W/DEF STD LOUVER"/>
    <d v="2022-01-17T08:22:21"/>
    <x v="1"/>
    <n v="5"/>
    <n v="0"/>
    <x v="5"/>
    <n v="2"/>
    <n v="57"/>
    <n v="59"/>
    <n v="830069"/>
    <n v="0"/>
    <n v="0"/>
    <x v="6"/>
  </r>
  <r>
    <n v="906883"/>
    <s v="61005-VUZ-A"/>
    <s v="SUPER GEN II W/DEF"/>
    <d v="2022-01-17T08:26:05"/>
    <x v="1"/>
    <n v="6"/>
    <n v="0"/>
    <x v="5"/>
    <n v="2"/>
    <n v="63"/>
    <n v="65"/>
    <n v="830102"/>
    <n v="0"/>
    <n v="0"/>
    <x v="8"/>
  </r>
  <r>
    <n v="906883"/>
    <s v="66005-VUZ-A"/>
    <s v="MINI GEN II W/DEF"/>
    <d v="2022-01-17T08:27:01"/>
    <x v="1"/>
    <n v="15"/>
    <n v="0"/>
    <x v="5"/>
    <n v="2"/>
    <n v="78"/>
    <n v="80"/>
    <n v="830099"/>
    <n v="0"/>
    <n v="0"/>
    <x v="4"/>
  </r>
  <r>
    <n v="906883"/>
    <s v="68000-VUZ-A"/>
    <s v="ComPac GEN II W/DEF"/>
    <d v="2022-01-17T08:27:35"/>
    <x v="1"/>
    <n v="4"/>
    <n v="0"/>
    <x v="5"/>
    <n v="2"/>
    <n v="82"/>
    <n v="84"/>
    <n v="830029"/>
    <n v="830030"/>
    <n v="0"/>
    <x v="2"/>
  </r>
  <r>
    <n v="906936"/>
    <s v="66005-VUZ-A"/>
    <s v="MINI GEN II W/DEF"/>
    <d v="2022-01-17T10:16:32"/>
    <x v="1"/>
    <n v="1"/>
    <n v="0"/>
    <x v="5"/>
    <n v="2"/>
    <n v="83"/>
    <n v="85"/>
    <n v="830099"/>
    <n v="0"/>
    <n v="0"/>
    <x v="4"/>
  </r>
  <r>
    <n v="906991"/>
    <s v="68000-VUZ-A"/>
    <s v="ComPac GEN II W/DEF"/>
    <d v="2022-01-17T13:03:54"/>
    <x v="1"/>
    <n v="1"/>
    <n v="0"/>
    <x v="5"/>
    <n v="2"/>
    <n v="84"/>
    <n v="86"/>
    <n v="830029"/>
    <n v="830030"/>
    <n v="0"/>
    <x v="2"/>
  </r>
  <r>
    <n v="907051"/>
    <s v="66005-VUZ-A"/>
    <s v="MINI GEN II W/DEF"/>
    <d v="2022-01-17T15:39:32"/>
    <x v="1"/>
    <n v="1"/>
    <n v="0"/>
    <x v="5"/>
    <n v="2"/>
    <n v="85"/>
    <n v="87"/>
    <n v="830099"/>
    <n v="0"/>
    <n v="0"/>
    <x v="4"/>
  </r>
  <r>
    <n v="907051"/>
    <s v="68000-VUZ-A"/>
    <s v="ComPac GEN II W/DEF"/>
    <d v="2022-01-17T15:44:01"/>
    <x v="1"/>
    <n v="1"/>
    <n v="0"/>
    <x v="5"/>
    <n v="2"/>
    <n v="86"/>
    <n v="88"/>
    <n v="830029"/>
    <n v="830030"/>
    <n v="0"/>
    <x v="2"/>
  </r>
  <r>
    <n v="907096"/>
    <s v="68000-VUZ-A"/>
    <s v="ComPac GEN II W/DEF"/>
    <d v="2022-01-18T07:54:20"/>
    <x v="1"/>
    <n v="12"/>
    <n v="0"/>
    <x v="6"/>
    <n v="2"/>
    <n v="98"/>
    <n v="100"/>
    <n v="830029"/>
    <n v="830030"/>
    <n v="0"/>
    <x v="2"/>
  </r>
  <r>
    <n v="907096"/>
    <s v="674013"/>
    <s v="HERITAGE BRUSHED EVAP KIT HEAT/COOL"/>
    <d v="2022-01-18T07:54:41"/>
    <x v="1"/>
    <n v="6"/>
    <n v="0"/>
    <x v="6"/>
    <n v="2"/>
    <n v="104"/>
    <n v="106"/>
    <n v="0"/>
    <n v="0"/>
    <n v="0"/>
    <x v="3"/>
  </r>
  <r>
    <n v="907096"/>
    <s v="66005-VUZ-A"/>
    <s v="MINI GEN II W/DEF"/>
    <d v="2022-01-18T07:55:30"/>
    <x v="1"/>
    <n v="5"/>
    <n v="0"/>
    <x v="6"/>
    <n v="2"/>
    <n v="109"/>
    <n v="111"/>
    <n v="830099"/>
    <n v="0"/>
    <n v="0"/>
    <x v="4"/>
  </r>
  <r>
    <n v="907096"/>
    <s v="61005-VUZ-A"/>
    <s v="SUPER GEN II W/DEF"/>
    <d v="2022-01-18T07:56:02"/>
    <x v="1"/>
    <n v="5"/>
    <n v="0"/>
    <x v="6"/>
    <n v="2"/>
    <n v="114"/>
    <n v="116"/>
    <n v="830102"/>
    <n v="0"/>
    <n v="0"/>
    <x v="8"/>
  </r>
  <r>
    <n v="907096"/>
    <s v="68000-VUZ-A"/>
    <s v="ComPac GEN II W/DEF"/>
    <d v="2022-01-18T07:56:19"/>
    <x v="1"/>
    <n v="4"/>
    <n v="0"/>
    <x v="6"/>
    <n v="2"/>
    <n v="118"/>
    <n v="120"/>
    <n v="830029"/>
    <n v="830030"/>
    <n v="0"/>
    <x v="2"/>
  </r>
  <r>
    <n v="907246"/>
    <s v="66005-VUZ-A"/>
    <s v="MINI GEN II W/DEF"/>
    <d v="2022-01-18T14:35:21"/>
    <x v="1"/>
    <n v="1"/>
    <n v="0"/>
    <x v="6"/>
    <n v="2"/>
    <n v="119"/>
    <n v="121"/>
    <n v="830099"/>
    <n v="0"/>
    <n v="0"/>
    <x v="4"/>
  </r>
  <r>
    <n v="907246"/>
    <s v="68000-VUZ-A"/>
    <s v="ComPac GEN II W/DEF"/>
    <d v="2022-01-18T14:35:37"/>
    <x v="1"/>
    <n v="1"/>
    <n v="0"/>
    <x v="6"/>
    <n v="2"/>
    <n v="120"/>
    <n v="122"/>
    <n v="830029"/>
    <n v="830030"/>
    <n v="0"/>
    <x v="2"/>
  </r>
  <r>
    <n v="907332"/>
    <s v="66005-VUZ-A"/>
    <s v="MINI GEN II W/DEF"/>
    <d v="2022-01-19T08:54:55"/>
    <x v="1"/>
    <n v="3"/>
    <n v="0"/>
    <x v="7"/>
    <n v="2"/>
    <n v="123"/>
    <n v="125"/>
    <n v="830099"/>
    <n v="0"/>
    <n v="0"/>
    <x v="4"/>
  </r>
  <r>
    <n v="907332"/>
    <s v="68000-VUZ-A"/>
    <s v="ComPac GEN II W/DEF"/>
    <d v="2022-01-19T08:55:12"/>
    <x v="1"/>
    <n v="3"/>
    <n v="0"/>
    <x v="7"/>
    <n v="2"/>
    <n v="126"/>
    <n v="128"/>
    <n v="830029"/>
    <n v="830030"/>
    <n v="0"/>
    <x v="2"/>
  </r>
  <r>
    <n v="907469"/>
    <s v="674013"/>
    <s v="HERITAGE BRUSHED EVAP KIT HEAT/COOL"/>
    <d v="2022-01-19T15:34:40"/>
    <x v="1"/>
    <n v="7"/>
    <n v="0"/>
    <x v="7"/>
    <n v="2"/>
    <n v="133"/>
    <n v="135"/>
    <n v="0"/>
    <n v="0"/>
    <n v="0"/>
    <x v="3"/>
  </r>
  <r>
    <n v="907473"/>
    <s v="66005-VUX-A"/>
    <s v="MINI GEN II H/C"/>
    <d v="2022-01-19T15:43:53"/>
    <x v="1"/>
    <n v="8"/>
    <n v="0"/>
    <x v="7"/>
    <n v="2"/>
    <n v="141"/>
    <n v="143"/>
    <n v="830099"/>
    <n v="0"/>
    <n v="0"/>
    <x v="9"/>
  </r>
  <r>
    <n v="907475"/>
    <s v="66005-VUZ-A"/>
    <s v="MINI GEN II W/DEF"/>
    <d v="2022-01-19T15:52:14"/>
    <x v="1"/>
    <n v="8"/>
    <n v="0"/>
    <x v="7"/>
    <n v="2"/>
    <n v="149"/>
    <n v="151"/>
    <n v="830099"/>
    <n v="0"/>
    <n v="0"/>
    <x v="4"/>
  </r>
  <r>
    <n v="907475"/>
    <s v="68000-VUX-A"/>
    <s v="ComPac GEN II H/C"/>
    <d v="2022-01-19T15:52:28"/>
    <x v="1"/>
    <n v="2"/>
    <n v="0"/>
    <x v="7"/>
    <n v="2"/>
    <n v="151"/>
    <n v="153"/>
    <n v="830029"/>
    <n v="830030"/>
    <n v="0"/>
    <x v="5"/>
  </r>
  <r>
    <n v="907474"/>
    <s v="68000-VUZ-A"/>
    <s v="ComPac GEN II W/DEF"/>
    <d v="2022-01-19T15:55:49"/>
    <x v="1"/>
    <n v="1"/>
    <n v="0"/>
    <x v="7"/>
    <n v="2"/>
    <n v="152"/>
    <n v="154"/>
    <n v="830029"/>
    <n v="830030"/>
    <n v="0"/>
    <x v="2"/>
  </r>
  <r>
    <n v="907591"/>
    <s v="66005-VUZ-A"/>
    <s v="MINI GEN II W/DEF"/>
    <d v="2022-01-20T11:10:58"/>
    <x v="1"/>
    <n v="2"/>
    <n v="0"/>
    <x v="8"/>
    <n v="2"/>
    <n v="154"/>
    <n v="156"/>
    <n v="830099"/>
    <n v="0"/>
    <n v="0"/>
    <x v="4"/>
  </r>
  <r>
    <n v="906980"/>
    <s v="68000-VUZ-A"/>
    <s v="ComPac GEN II W/DEF"/>
    <d v="2022-01-20T14:44:37"/>
    <x v="1"/>
    <n v="1"/>
    <n v="0"/>
    <x v="8"/>
    <n v="2"/>
    <n v="155"/>
    <n v="157"/>
    <n v="830029"/>
    <n v="830030"/>
    <n v="0"/>
    <x v="2"/>
  </r>
  <r>
    <n v="907691"/>
    <s v="68000-VUZ-A"/>
    <s v="ComPac GEN II W/DEF"/>
    <d v="2022-01-20T16:12:40"/>
    <x v="1"/>
    <n v="1"/>
    <n v="0"/>
    <x v="8"/>
    <n v="2"/>
    <n v="156"/>
    <n v="158"/>
    <n v="830029"/>
    <n v="830030"/>
    <n v="0"/>
    <x v="2"/>
  </r>
  <r>
    <n v="907731"/>
    <s v="68000-VUZ-A"/>
    <s v="ComPac GEN II W/DEF"/>
    <d v="2022-01-21T09:13:46"/>
    <x v="1"/>
    <n v="1"/>
    <n v="0"/>
    <x v="9"/>
    <n v="2"/>
    <n v="157"/>
    <n v="159"/>
    <n v="830029"/>
    <n v="830030"/>
    <n v="0"/>
    <x v="2"/>
  </r>
  <r>
    <n v="907810"/>
    <s v="11301-VUX-A"/>
    <s v="SLIMLINE H/C STD LOUVER"/>
    <d v="2022-01-21T14:12:21"/>
    <x v="1"/>
    <n v="1"/>
    <n v="0"/>
    <x v="9"/>
    <n v="2"/>
    <n v="158"/>
    <n v="160"/>
    <n v="830069"/>
    <n v="0"/>
    <n v="0"/>
    <x v="10"/>
  </r>
  <r>
    <n v="907810"/>
    <s v="68000-VUX-A"/>
    <s v="ComPac GEN II H/C"/>
    <d v="2022-01-21T14:15:59"/>
    <x v="1"/>
    <n v="2"/>
    <n v="0"/>
    <x v="9"/>
    <n v="2"/>
    <n v="160"/>
    <n v="162"/>
    <n v="830029"/>
    <n v="830030"/>
    <n v="0"/>
    <x v="5"/>
  </r>
  <r>
    <n v="907810"/>
    <s v="754562"/>
    <s v="EVAP KIT 50-53 CHEV P-UP GEN IV"/>
    <d v="2022-01-21T14:16:29"/>
    <x v="0"/>
    <n v="2"/>
    <n v="1"/>
    <x v="9"/>
    <n v="4"/>
    <n v="160"/>
    <n v="164"/>
    <n v="830063"/>
    <n v="0"/>
    <n v="0"/>
    <x v="11"/>
  </r>
  <r>
    <n v="907906"/>
    <s v="05000-VUX-A"/>
    <s v="SHORT PACK H/C W/STD CNTL"/>
    <d v="2022-01-24T08:14:14"/>
    <x v="1"/>
    <n v="1"/>
    <n v="0"/>
    <x v="10"/>
    <n v="4"/>
    <n v="161"/>
    <n v="165"/>
    <n v="830070"/>
    <n v="0"/>
    <n v="0"/>
    <x v="12"/>
  </r>
  <r>
    <n v="907958"/>
    <s v="66005-VUZ-A"/>
    <s v="MINI GEN II W/DEF"/>
    <d v="2022-01-24T09:26:23"/>
    <x v="1"/>
    <n v="1"/>
    <n v="0"/>
    <x v="10"/>
    <n v="4"/>
    <n v="162"/>
    <n v="166"/>
    <n v="830099"/>
    <n v="0"/>
    <n v="0"/>
    <x v="4"/>
  </r>
  <r>
    <n v="908113"/>
    <s v="68000-VUZ-A"/>
    <s v=" ComPac GEN II W/DEF"/>
    <d v="2022-01-24T14:57:13"/>
    <x v="1"/>
    <n v="1"/>
    <n v="0"/>
    <x v="10"/>
    <n v="4"/>
    <n v="163"/>
    <n v="167"/>
    <n v="830029"/>
    <n v="830030"/>
    <n v="0"/>
    <x v="13"/>
  </r>
  <r>
    <n v="907028"/>
    <s v="68000-VUZ-A"/>
    <s v="ComPac GEN II W/DEF"/>
    <d v="2022-01-25T13:48:09"/>
    <x v="1"/>
    <n v="1"/>
    <n v="0"/>
    <x v="11"/>
    <n v="4"/>
    <n v="164"/>
    <n v="168"/>
    <n v="830029"/>
    <n v="830030"/>
    <n v="0"/>
    <x v="2"/>
  </r>
  <r>
    <n v="908377"/>
    <s v="68000-VUZ-A"/>
    <s v="ComPac GEN II W/DEF"/>
    <d v="2022-01-25T15:15:08"/>
    <x v="1"/>
    <n v="1"/>
    <n v="0"/>
    <x v="11"/>
    <n v="4"/>
    <n v="165"/>
    <n v="169"/>
    <n v="830029"/>
    <n v="830030"/>
    <n v="0"/>
    <x v="2"/>
  </r>
  <r>
    <n v="908413"/>
    <s v="11300-VUZ-A"/>
    <s v="SLIMLINE H/C W/DEF STD LOUVER"/>
    <d v="2022-01-26T07:03:23"/>
    <x v="1"/>
    <n v="1"/>
    <n v="0"/>
    <x v="12"/>
    <n v="4"/>
    <n v="166"/>
    <n v="170"/>
    <n v="830069"/>
    <n v="0"/>
    <n v="0"/>
    <x v="6"/>
  </r>
  <r>
    <n v="908413"/>
    <s v="68000-VUZ-A"/>
    <s v="ComPac GEN II W/DEF"/>
    <d v="2022-01-26T07:05:47"/>
    <x v="1"/>
    <n v="1"/>
    <n v="0"/>
    <x v="12"/>
    <n v="4"/>
    <n v="167"/>
    <n v="171"/>
    <n v="830029"/>
    <n v="830030"/>
    <n v="0"/>
    <x v="2"/>
  </r>
  <r>
    <n v="908413"/>
    <s v="11301-VUX-A"/>
    <s v="SLIMLINE H/C STD LOUVER"/>
    <d v="2022-01-26T07:11:13"/>
    <x v="1"/>
    <n v="1"/>
    <n v="0"/>
    <x v="12"/>
    <n v="4"/>
    <n v="168"/>
    <n v="172"/>
    <n v="830069"/>
    <n v="0"/>
    <n v="0"/>
    <x v="10"/>
  </r>
  <r>
    <n v="908413"/>
    <s v="11301-VUY-A"/>
    <s v="SLIMLINE COOL STD LOUVER"/>
    <d v="2022-01-26T07:11:37"/>
    <x v="1"/>
    <n v="1"/>
    <n v="0"/>
    <x v="12"/>
    <n v="4"/>
    <n v="169"/>
    <n v="173"/>
    <n v="830069"/>
    <n v="0"/>
    <n v="0"/>
    <x v="14"/>
  </r>
  <r>
    <n v="908413"/>
    <s v="10301-VUX-A"/>
    <s v="MINI SLIMLINE H/C STD LOUVER"/>
    <d v="2022-01-26T07:12:03"/>
    <x v="1"/>
    <n v="1"/>
    <n v="0"/>
    <x v="12"/>
    <n v="4"/>
    <n v="170"/>
    <n v="174"/>
    <n v="830045"/>
    <n v="0"/>
    <n v="0"/>
    <x v="15"/>
  </r>
  <r>
    <n v="908413"/>
    <s v="05000-VUZ-A"/>
    <s v="SHORT PACK W/DEF W/STD CNTL"/>
    <d v="2022-01-26T07:12:23"/>
    <x v="1"/>
    <n v="1"/>
    <n v="0"/>
    <x v="12"/>
    <n v="4"/>
    <n v="171"/>
    <n v="175"/>
    <n v="830070"/>
    <n v="0"/>
    <n v="0"/>
    <x v="16"/>
  </r>
  <r>
    <n v="908413"/>
    <s v="685000-VUY"/>
    <s v="MONSTER TRUNK UNIT COOL"/>
    <d v="2022-01-26T07:14:36"/>
    <x v="1"/>
    <n v="1"/>
    <n v="0"/>
    <x v="12"/>
    <n v="4"/>
    <n v="172"/>
    <n v="176"/>
    <n v="830088"/>
    <n v="830099"/>
    <n v="0"/>
    <x v="17"/>
  </r>
  <r>
    <n v="908454"/>
    <s v="68000-VUZ-A"/>
    <s v="ComPac GEN II W/DEF"/>
    <d v="2022-01-26T08:41:14"/>
    <x v="1"/>
    <n v="10"/>
    <n v="0"/>
    <x v="12"/>
    <n v="4"/>
    <n v="182"/>
    <n v="186"/>
    <n v="830029"/>
    <n v="830030"/>
    <n v="0"/>
    <x v="2"/>
  </r>
  <r>
    <n v="908454"/>
    <s v="674012"/>
    <s v="HERITAGE TURNED EVAP KIT HEAT/COOL"/>
    <d v="2022-01-26T08:41:25"/>
    <x v="1"/>
    <n v="3"/>
    <n v="0"/>
    <x v="12"/>
    <n v="4"/>
    <n v="185"/>
    <n v="189"/>
    <n v="0"/>
    <n v="0"/>
    <n v="0"/>
    <x v="18"/>
  </r>
  <r>
    <n v="908454"/>
    <s v="61005-VUZ-A"/>
    <s v="SUPER GEN II W/DEF"/>
    <d v="2022-01-26T08:42:41"/>
    <x v="1"/>
    <n v="3"/>
    <n v="0"/>
    <x v="12"/>
    <n v="4"/>
    <n v="188"/>
    <n v="192"/>
    <n v="830102"/>
    <n v="0"/>
    <n v="0"/>
    <x v="8"/>
  </r>
  <r>
    <n v="908454"/>
    <s v="68000-VUZ-A"/>
    <s v="ComPac GEN II W/DEF"/>
    <d v="2022-01-26T08:42:55"/>
    <x v="1"/>
    <n v="3"/>
    <n v="0"/>
    <x v="12"/>
    <n v="4"/>
    <n v="191"/>
    <n v="195"/>
    <n v="830029"/>
    <n v="830030"/>
    <n v="0"/>
    <x v="2"/>
  </r>
  <r>
    <n v="908454"/>
    <s v="674013"/>
    <s v="HERITAGE BRUSHED EVAP KIT HEAT/COOL"/>
    <d v="2022-01-26T08:43:33"/>
    <x v="1"/>
    <n v="15"/>
    <n v="0"/>
    <x v="12"/>
    <n v="4"/>
    <n v="206"/>
    <n v="210"/>
    <n v="0"/>
    <n v="0"/>
    <n v="0"/>
    <x v="3"/>
  </r>
  <r>
    <n v="908448"/>
    <s v="101410"/>
    <s v="EVAP KIT RCR SL-C"/>
    <d v="2022-01-26T09:18:02"/>
    <x v="1"/>
    <n v="1"/>
    <n v="0"/>
    <x v="12"/>
    <n v="4"/>
    <n v="207"/>
    <n v="211"/>
    <n v="0"/>
    <n v="0"/>
    <n v="0"/>
    <x v="19"/>
  </r>
  <r>
    <n v="908520"/>
    <s v="68000-VUZ-A"/>
    <s v="ComPac GEN II W/DEF"/>
    <d v="2022-01-26T10:54:54"/>
    <x v="1"/>
    <n v="1"/>
    <n v="0"/>
    <x v="12"/>
    <n v="4"/>
    <n v="208"/>
    <n v="212"/>
    <n v="830029"/>
    <n v="830030"/>
    <n v="0"/>
    <x v="2"/>
  </r>
  <r>
    <n v="908543"/>
    <s v="751201"/>
    <s v="EVAP KIT 68-83 TOYOTA FJ40 ULTRA HIGH PERF"/>
    <d v="2022-01-26T12:05:58"/>
    <x v="0"/>
    <n v="1"/>
    <n v="0"/>
    <x v="12"/>
    <n v="5"/>
    <n v="208"/>
    <n v="213"/>
    <n v="830042"/>
    <n v="0"/>
    <n v="0"/>
    <x v="20"/>
  </r>
  <r>
    <n v="908652"/>
    <s v="674013"/>
    <s v="HERITAGE BRUSHED EVAP KIT HEAT/COOL"/>
    <d v="2022-01-26T16:21:06"/>
    <x v="1"/>
    <n v="4"/>
    <n v="0"/>
    <x v="12"/>
    <n v="5"/>
    <n v="212"/>
    <n v="217"/>
    <n v="0"/>
    <n v="0"/>
    <n v="0"/>
    <x v="3"/>
  </r>
  <r>
    <n v="908650"/>
    <s v="66005-VUX-A"/>
    <s v="MINI GEN II H/C"/>
    <d v="2022-01-26T16:25:08"/>
    <x v="1"/>
    <n v="1"/>
    <n v="0"/>
    <x v="12"/>
    <n v="5"/>
    <n v="213"/>
    <n v="218"/>
    <n v="830099"/>
    <n v="0"/>
    <n v="0"/>
    <x v="9"/>
  </r>
  <r>
    <n v="908694"/>
    <s v="751201"/>
    <s v="EVAP KIT 68-83 TOYOTA FJ40 ULTRA HIGH PERF"/>
    <d v="2022-01-27T09:05:22"/>
    <x v="0"/>
    <n v="1"/>
    <n v="0"/>
    <x v="13"/>
    <n v="6"/>
    <n v="213"/>
    <n v="219"/>
    <n v="830042"/>
    <n v="0"/>
    <n v="0"/>
    <x v="20"/>
  </r>
  <r>
    <n v="908727"/>
    <s v="68000-VUZ-A"/>
    <s v="ComPac GEN II W/DEF"/>
    <d v="2022-01-27T10:49:59"/>
    <x v="1"/>
    <n v="1"/>
    <n v="0"/>
    <x v="13"/>
    <n v="6"/>
    <n v="214"/>
    <n v="220"/>
    <n v="830029"/>
    <n v="830030"/>
    <n v="0"/>
    <x v="2"/>
  </r>
  <r>
    <n v="908812"/>
    <s v="68000-VUZ-A"/>
    <s v="ComPac GEN II W/DEF"/>
    <d v="2022-01-27T15:59:44"/>
    <x v="1"/>
    <n v="1"/>
    <n v="0"/>
    <x v="13"/>
    <n v="6"/>
    <n v="215"/>
    <n v="221"/>
    <n v="830029"/>
    <n v="830030"/>
    <n v="0"/>
    <x v="2"/>
  </r>
  <r>
    <n v="908853"/>
    <s v="68000-VUZ-A"/>
    <s v="ComPac GEN II W/DEF"/>
    <d v="2022-01-28T09:23:45"/>
    <x v="1"/>
    <n v="3"/>
    <n v="0"/>
    <x v="14"/>
    <n v="6"/>
    <n v="218"/>
    <n v="224"/>
    <n v="830029"/>
    <n v="830030"/>
    <n v="0"/>
    <x v="2"/>
  </r>
  <r>
    <n v="908883"/>
    <s v="66005-VUX-A"/>
    <s v="MINI GEN II H/C"/>
    <d v="2022-01-28T11:14:48"/>
    <x v="1"/>
    <n v="1"/>
    <n v="0"/>
    <x v="14"/>
    <n v="6"/>
    <n v="219"/>
    <n v="225"/>
    <n v="830099"/>
    <n v="0"/>
    <n v="0"/>
    <x v="9"/>
  </r>
  <r>
    <n v="908914"/>
    <s v="68000-VUZ-A"/>
    <s v="ComPac GEN II W/DEF"/>
    <d v="2022-01-28T12:52:47"/>
    <x v="1"/>
    <n v="1"/>
    <n v="0"/>
    <x v="14"/>
    <n v="6"/>
    <n v="220"/>
    <n v="226"/>
    <n v="830029"/>
    <n v="830030"/>
    <n v="0"/>
    <x v="2"/>
  </r>
  <r>
    <n v="908928"/>
    <s v="11301-VUY-A"/>
    <s v="SLIMLINE COOL STD LOUVER"/>
    <d v="2022-01-28T14:04:04"/>
    <x v="1"/>
    <n v="1"/>
    <n v="0"/>
    <x v="14"/>
    <n v="6"/>
    <n v="221"/>
    <n v="227"/>
    <n v="830069"/>
    <n v="0"/>
    <n v="0"/>
    <x v="14"/>
  </r>
  <r>
    <n v="908937"/>
    <s v="751156"/>
    <s v="EVAP KIT 55-59 CHEV P-UP WO AC W/DELX "/>
    <d v="2022-01-28T14:17:51"/>
    <x v="0"/>
    <n v="1"/>
    <n v="0"/>
    <x v="14"/>
    <n v="7"/>
    <n v="221"/>
    <n v="228"/>
    <n v="830028"/>
    <n v="0"/>
    <n v="0"/>
    <x v="21"/>
  </r>
  <r>
    <n v="908936"/>
    <s v="554164"/>
    <s v="EVAP KIT 64 1/2- 66 MUSTANG "/>
    <d v="2022-01-28T14:24:50"/>
    <x v="0"/>
    <n v="1"/>
    <n v="0"/>
    <x v="14"/>
    <n v="8"/>
    <n v="221"/>
    <n v="229"/>
    <n v="830076"/>
    <n v="0"/>
    <n v="0"/>
    <x v="22"/>
  </r>
  <r>
    <n v="908934"/>
    <s v="554164"/>
    <s v="EVAP KIT 64 1/2- 66 MUSTANG "/>
    <d v="2022-01-28T14:25:55"/>
    <x v="0"/>
    <n v="1"/>
    <n v="0"/>
    <x v="14"/>
    <n v="9"/>
    <n v="221"/>
    <n v="230"/>
    <n v="830076"/>
    <n v="0"/>
    <n v="0"/>
    <x v="22"/>
  </r>
  <r>
    <n v="908947"/>
    <s v="61005-VUZ-A"/>
    <s v="SUPER GEN II W/DEF"/>
    <d v="2022-01-28T14:52:29"/>
    <x v="1"/>
    <n v="1"/>
    <n v="0"/>
    <x v="14"/>
    <n v="9"/>
    <n v="222"/>
    <n v="231"/>
    <n v="830102"/>
    <n v="0"/>
    <n v="0"/>
    <x v="8"/>
  </r>
  <r>
    <n v="908947"/>
    <s v="66005-VUZ-A"/>
    <s v="MINI GEN II W/DEF"/>
    <d v="2022-01-28T14:53:12"/>
    <x v="1"/>
    <n v="2"/>
    <n v="0"/>
    <x v="14"/>
    <n v="9"/>
    <n v="224"/>
    <n v="233"/>
    <n v="830099"/>
    <n v="0"/>
    <n v="0"/>
    <x v="4"/>
  </r>
  <r>
    <n v="908947"/>
    <s v="674013"/>
    <s v="HERITAGE BRUSHED EVAP KIT HEAT/COOL"/>
    <d v="2022-01-28T14:53:53"/>
    <x v="1"/>
    <n v="1"/>
    <n v="0"/>
    <x v="14"/>
    <n v="9"/>
    <n v="225"/>
    <n v="234"/>
    <n v="0"/>
    <n v="0"/>
    <n v="0"/>
    <x v="3"/>
  </r>
  <r>
    <n v="908881"/>
    <s v="66005-VUZ-A"/>
    <s v="MINI GEN II W/DEF"/>
    <d v="2022-01-28T15:07:38"/>
    <x v="1"/>
    <n v="2"/>
    <n v="0"/>
    <x v="14"/>
    <n v="9"/>
    <n v="227"/>
    <n v="236"/>
    <n v="830099"/>
    <n v="0"/>
    <n v="0"/>
    <x v="4"/>
  </r>
  <r>
    <n v="908983"/>
    <s v="754562"/>
    <s v="EVAP KIT 50-53 CHEV P-UP GEN IV"/>
    <d v="2022-01-31T07:19:12"/>
    <x v="0"/>
    <n v="1"/>
    <n v="0"/>
    <x v="15"/>
    <n v="10"/>
    <n v="227"/>
    <n v="237"/>
    <n v="830063"/>
    <n v="0"/>
    <n v="0"/>
    <x v="11"/>
  </r>
  <r>
    <n v="908983"/>
    <s v="754160"/>
    <s v="EVAP KIT 73-79 FORD TRUCK/78-79 BCO W/AC"/>
    <d v="2022-01-31T07:19:12"/>
    <x v="0"/>
    <n v="2"/>
    <n v="0"/>
    <x v="15"/>
    <n v="12"/>
    <n v="227"/>
    <n v="239"/>
    <n v="830105"/>
    <n v="830106"/>
    <n v="0"/>
    <x v="23"/>
  </r>
  <r>
    <n v="908983"/>
    <s v="561174-PCZ"/>
    <s v="EVAP KIT 68-76 VETTE WO AC"/>
    <d v="2022-01-31T07:19:12"/>
    <x v="0"/>
    <n v="2"/>
    <n v="0"/>
    <x v="15"/>
    <n v="14"/>
    <n v="227"/>
    <n v="241"/>
    <n v="830100"/>
    <n v="0"/>
    <n v="0"/>
    <x v="24"/>
  </r>
  <r>
    <n v="908983"/>
    <s v="561066"/>
    <s v="EVAP KIT 66-67 CHEVELLE WO AC"/>
    <d v="2022-01-31T07:19:12"/>
    <x v="0"/>
    <n v="1"/>
    <n v="0"/>
    <x v="15"/>
    <n v="15"/>
    <n v="227"/>
    <n v="242"/>
    <n v="830060"/>
    <n v="0"/>
    <n v="0"/>
    <x v="25"/>
  </r>
  <r>
    <n v="908983"/>
    <s v="56155-PCZ"/>
    <s v="EVAP KIT 55-56 CHEVY"/>
    <d v="2022-01-31T07:19:12"/>
    <x v="0"/>
    <n v="1"/>
    <n v="0"/>
    <x v="15"/>
    <n v="16"/>
    <n v="227"/>
    <n v="243"/>
    <n v="830054"/>
    <n v="0"/>
    <n v="0"/>
    <x v="26"/>
  </r>
  <r>
    <n v="908924"/>
    <s v="571063"/>
    <s v="EVAP KIT 68 MOPAR B BODY W/AC"/>
    <d v="2022-01-31T07:26:51"/>
    <x v="0"/>
    <n v="1"/>
    <n v="0"/>
    <x v="15"/>
    <n v="17"/>
    <n v="227"/>
    <n v="244"/>
    <n v="830074"/>
    <n v="0"/>
    <n v="0"/>
    <x v="27"/>
  </r>
  <r>
    <n v="908829"/>
    <s v="561191"/>
    <s v="EVAP KIT 69 CAMARO WO/AC"/>
    <d v="2022-01-31T07:28:50"/>
    <x v="0"/>
    <n v="1"/>
    <n v="0"/>
    <x v="15"/>
    <n v="18"/>
    <n v="227"/>
    <n v="245"/>
    <n v="830012"/>
    <n v="0"/>
    <n v="0"/>
    <x v="28"/>
  </r>
  <r>
    <n v="908829"/>
    <s v="561174-PCZ"/>
    <s v="EVAP KIT 68-76 VETTE WO AC"/>
    <d v="2022-01-31T07:28:50"/>
    <x v="0"/>
    <n v="1"/>
    <n v="0"/>
    <x v="15"/>
    <n v="19"/>
    <n v="227"/>
    <n v="246"/>
    <n v="830100"/>
    <n v="0"/>
    <n v="0"/>
    <x v="24"/>
  </r>
  <r>
    <n v="908986"/>
    <s v="551168"/>
    <s v="EVAP KIT 67-68 MUSTANG/COUGAR WO AC"/>
    <d v="2022-01-31T07:32:54"/>
    <x v="0"/>
    <n v="1"/>
    <n v="0"/>
    <x v="15"/>
    <n v="20"/>
    <n v="227"/>
    <n v="247"/>
    <n v="830079"/>
    <n v="830046"/>
    <n v="0"/>
    <x v="29"/>
  </r>
  <r>
    <n v="908987"/>
    <s v="56156-PCZ"/>
    <s v="EVAP KIT 55-56 CHEVY 4-VENT"/>
    <d v="2022-01-31T07:35:00"/>
    <x v="0"/>
    <n v="1"/>
    <n v="0"/>
    <x v="15"/>
    <n v="21"/>
    <n v="227"/>
    <n v="248"/>
    <n v="830054"/>
    <n v="0"/>
    <n v="0"/>
    <x v="30"/>
  </r>
  <r>
    <n v="908988"/>
    <s v="551168"/>
    <s v="EVAP KIT 67-68 MUSTANG/COUGAR WO AC"/>
    <d v="2022-01-31T07:35:44"/>
    <x v="0"/>
    <n v="1"/>
    <n v="0"/>
    <x v="15"/>
    <n v="22"/>
    <n v="227"/>
    <n v="249"/>
    <n v="830079"/>
    <n v="830046"/>
    <n v="0"/>
    <x v="29"/>
  </r>
  <r>
    <n v="908991"/>
    <s v="551168"/>
    <s v="EVAP KIT 67-68 MUSTANG/COUGAR WO AC"/>
    <d v="2022-01-31T07:38:08"/>
    <x v="0"/>
    <n v="1"/>
    <n v="0"/>
    <x v="15"/>
    <n v="23"/>
    <n v="227"/>
    <n v="250"/>
    <n v="830079"/>
    <n v="830046"/>
    <n v="0"/>
    <x v="29"/>
  </r>
  <r>
    <n v="908993"/>
    <s v="551168"/>
    <s v="EVAP KIT 67-68 MUSTANG/COUGAR WO AC"/>
    <d v="2022-01-31T07:40:28"/>
    <x v="0"/>
    <n v="1"/>
    <n v="0"/>
    <x v="15"/>
    <n v="24"/>
    <n v="227"/>
    <n v="251"/>
    <n v="830079"/>
    <n v="830046"/>
    <n v="0"/>
    <x v="29"/>
  </r>
  <r>
    <n v="908994"/>
    <s v="554164"/>
    <s v="EVAP KIT 64 1/2- 66 MUSTANG "/>
    <d v="2022-01-31T07:42:30"/>
    <x v="0"/>
    <n v="1"/>
    <n v="0"/>
    <x v="15"/>
    <n v="25"/>
    <n v="227"/>
    <n v="252"/>
    <n v="830076"/>
    <n v="0"/>
    <n v="0"/>
    <x v="22"/>
  </r>
  <r>
    <n v="908996"/>
    <s v="554168"/>
    <s v="EVAP KIT 67-68 MUSTANG/COUGAR W/AC"/>
    <d v="2022-01-31T07:44:29"/>
    <x v="0"/>
    <n v="1"/>
    <n v="0"/>
    <x v="15"/>
    <n v="26"/>
    <n v="227"/>
    <n v="253"/>
    <n v="830079"/>
    <n v="830046"/>
    <n v="0"/>
    <x v="31"/>
  </r>
  <r>
    <n v="907569"/>
    <s v="68000-VUZ-A"/>
    <s v="ComPac GEN II W/DEF"/>
    <d v="2022-02-07T07:22:51"/>
    <x v="1"/>
    <n v="1"/>
    <n v="0"/>
    <x v="16"/>
    <n v="26"/>
    <n v="228"/>
    <n v="254"/>
    <n v="830029"/>
    <n v="830030"/>
    <n v="0"/>
    <x v="2"/>
  </r>
  <r>
    <n v="909002"/>
    <s v="66005-VUX-A"/>
    <s v="MINI GEN II H/C"/>
    <d v="2022-02-07T07:30:36"/>
    <x v="1"/>
    <n v="1"/>
    <n v="0"/>
    <x v="16"/>
    <n v="26"/>
    <n v="229"/>
    <n v="255"/>
    <n v="830099"/>
    <n v="0"/>
    <n v="0"/>
    <x v="9"/>
  </r>
  <r>
    <n v="909010"/>
    <s v="66005-VUZ-A"/>
    <s v="MINI GEN II W/DEF"/>
    <d v="2022-02-07T07:43:25"/>
    <x v="1"/>
    <n v="2"/>
    <n v="0"/>
    <x v="16"/>
    <n v="26"/>
    <n v="231"/>
    <n v="257"/>
    <n v="830099"/>
    <n v="0"/>
    <n v="0"/>
    <x v="4"/>
  </r>
  <r>
    <n v="909016"/>
    <s v="68000-VUZ-A"/>
    <s v="ComPac GEN II W/DEF"/>
    <d v="2022-02-07T07:50:06"/>
    <x v="1"/>
    <n v="1"/>
    <n v="0"/>
    <x v="16"/>
    <n v="26"/>
    <n v="232"/>
    <n v="258"/>
    <n v="830029"/>
    <n v="830030"/>
    <n v="0"/>
    <x v="2"/>
  </r>
  <r>
    <n v="909027"/>
    <s v="66005-VUZ-A"/>
    <s v="MINI GEN II W/DEF"/>
    <d v="2022-02-07T07:59:12"/>
    <x v="1"/>
    <n v="1"/>
    <n v="0"/>
    <x v="16"/>
    <n v="26"/>
    <n v="233"/>
    <n v="259"/>
    <n v="830099"/>
    <n v="0"/>
    <n v="0"/>
    <x v="4"/>
  </r>
  <r>
    <n v="909039"/>
    <s v="751150"/>
    <s v="EVAP KIT 66-77 BRONCO"/>
    <d v="2022-02-07T08:13:09"/>
    <x v="0"/>
    <n v="1"/>
    <n v="0"/>
    <x v="16"/>
    <n v="27"/>
    <n v="233"/>
    <n v="260"/>
    <n v="830085"/>
    <n v="0"/>
    <n v="0"/>
    <x v="32"/>
  </r>
  <r>
    <n v="908296"/>
    <s v="751155"/>
    <s v="EVAP KIT 55-59 CHEV P-UP WO AC W/STD "/>
    <d v="2022-02-07T08:32:18"/>
    <x v="0"/>
    <n v="1"/>
    <n v="0"/>
    <x v="16"/>
    <n v="28"/>
    <n v="233"/>
    <n v="261"/>
    <n v="830028"/>
    <n v="0"/>
    <n v="0"/>
    <x v="33"/>
  </r>
  <r>
    <n v="909064"/>
    <s v="564468"/>
    <s v="EVAP KIT 69 FIREBIRD W/AC"/>
    <d v="2022-02-07T08:39:19"/>
    <x v="0"/>
    <n v="1"/>
    <n v="0"/>
    <x v="16"/>
    <n v="29"/>
    <n v="233"/>
    <n v="262"/>
    <n v="830107"/>
    <n v="0"/>
    <n v="0"/>
    <x v="34"/>
  </r>
  <r>
    <n v="909068"/>
    <s v="68000-VUZ-A"/>
    <s v="ComPac GEN II W/DEF"/>
    <d v="2022-02-07T08:40:43"/>
    <x v="1"/>
    <n v="1"/>
    <n v="0"/>
    <x v="16"/>
    <n v="29"/>
    <n v="234"/>
    <n v="263"/>
    <n v="830029"/>
    <n v="830030"/>
    <n v="0"/>
    <x v="2"/>
  </r>
  <r>
    <n v="909080"/>
    <s v="564471"/>
    <s v="EVAP KIT 68-69 CHEVELLE W/AC"/>
    <d v="2022-02-07T08:58:15"/>
    <x v="0"/>
    <n v="1"/>
    <n v="0"/>
    <x v="16"/>
    <n v="30"/>
    <n v="234"/>
    <n v="264"/>
    <n v="830061"/>
    <n v="0"/>
    <n v="0"/>
    <x v="35"/>
  </r>
  <r>
    <n v="909090"/>
    <s v="671400-VUZ"/>
    <s v="GEN IV MAGNUM EVAP KIT"/>
    <d v="2022-02-07T09:11:24"/>
    <x v="0"/>
    <n v="1"/>
    <n v="0"/>
    <x v="16"/>
    <n v="31"/>
    <n v="234"/>
    <n v="265"/>
    <n v="0"/>
    <n v="0"/>
    <n v="0"/>
    <x v="36"/>
  </r>
  <r>
    <n v="909098"/>
    <s v="561066"/>
    <s v="EVAP KIT 66-67 CHEVELLE WO AC"/>
    <d v="2022-02-07T09:25:03"/>
    <x v="0"/>
    <n v="1"/>
    <n v="0"/>
    <x v="16"/>
    <n v="32"/>
    <n v="234"/>
    <n v="266"/>
    <n v="830060"/>
    <n v="0"/>
    <n v="0"/>
    <x v="25"/>
  </r>
  <r>
    <n v="909107"/>
    <s v="561056"/>
    <s v="EVAP KIT 59-60 CHEV CAR 4-LEVER"/>
    <d v="2022-02-07T09:37:55"/>
    <x v="0"/>
    <n v="2"/>
    <n v="0"/>
    <x v="16"/>
    <n v="34"/>
    <n v="234"/>
    <n v="268"/>
    <n v="830067"/>
    <n v="0"/>
    <n v="0"/>
    <x v="37"/>
  </r>
  <r>
    <n v="909111"/>
    <s v="571074-EDZ"/>
    <s v="EVAP KIT 70-74 CHALNGR/CUDA WO AC"/>
    <d v="2022-02-07T09:43:44"/>
    <x v="0"/>
    <n v="1"/>
    <n v="0"/>
    <x v="16"/>
    <n v="35"/>
    <n v="234"/>
    <n v="269"/>
    <n v="830083"/>
    <n v="0"/>
    <n v="0"/>
    <x v="38"/>
  </r>
  <r>
    <n v="909113"/>
    <s v="751165"/>
    <s v="EVAP KIT 64-66 CHEV P-UP WO AC W/STD"/>
    <d v="2022-02-07T09:43:55"/>
    <x v="0"/>
    <n v="1"/>
    <n v="0"/>
    <x v="16"/>
    <n v="36"/>
    <n v="234"/>
    <n v="270"/>
    <n v="830015"/>
    <n v="0"/>
    <n v="0"/>
    <x v="39"/>
  </r>
  <r>
    <n v="909119"/>
    <s v="561084"/>
    <s v="EVAP KIT 70-72 GTO WO/AC"/>
    <d v="2022-02-07T09:57:12"/>
    <x v="0"/>
    <n v="1"/>
    <n v="0"/>
    <x v="16"/>
    <n v="37"/>
    <n v="234"/>
    <n v="271"/>
    <n v="830124"/>
    <n v="0"/>
    <n v="0"/>
    <x v="40"/>
  </r>
  <r>
    <n v="909123"/>
    <s v="66005-VUZ-A"/>
    <s v="MINI GEN II W/DEF"/>
    <d v="2022-02-07T10:02:40"/>
    <x v="1"/>
    <n v="1"/>
    <n v="0"/>
    <x v="16"/>
    <n v="37"/>
    <n v="235"/>
    <n v="272"/>
    <n v="830099"/>
    <n v="0"/>
    <n v="0"/>
    <x v="4"/>
  </r>
  <r>
    <n v="909126"/>
    <s v="561083"/>
    <s v="EVAP KIT 69 GTO WO/AC"/>
    <d v="2022-02-07T10:06:26"/>
    <x v="0"/>
    <n v="1"/>
    <n v="0"/>
    <x v="16"/>
    <n v="38"/>
    <n v="235"/>
    <n v="273"/>
    <n v="830124"/>
    <n v="0"/>
    <n v="0"/>
    <x v="41"/>
  </r>
  <r>
    <n v="909127"/>
    <s v="754170"/>
    <s v="EVAP KIT 67-72 CHEV P-UP W/AC"/>
    <d v="2022-02-07T10:10:41"/>
    <x v="0"/>
    <n v="1"/>
    <n v="0"/>
    <x v="16"/>
    <n v="39"/>
    <n v="235"/>
    <n v="274"/>
    <n v="830013"/>
    <n v="0"/>
    <n v="0"/>
    <x v="42"/>
  </r>
  <r>
    <n v="909140"/>
    <s v="561072"/>
    <s v="EVAP KIT 69-74 NOVA WO AC"/>
    <d v="2022-02-07T10:23:26"/>
    <x v="0"/>
    <n v="1"/>
    <n v="0"/>
    <x v="16"/>
    <n v="40"/>
    <n v="235"/>
    <n v="275"/>
    <n v="830043"/>
    <n v="0"/>
    <n v="0"/>
    <x v="43"/>
  </r>
  <r>
    <n v="909150"/>
    <s v="56156-PCZ"/>
    <s v="EVAP KIT 55-56 CHEVY 4-VENT"/>
    <d v="2022-02-07T10:31:45"/>
    <x v="0"/>
    <n v="1"/>
    <n v="0"/>
    <x v="16"/>
    <n v="41"/>
    <n v="235"/>
    <n v="276"/>
    <n v="830054"/>
    <n v="0"/>
    <n v="0"/>
    <x v="30"/>
  </r>
  <r>
    <n v="909153"/>
    <s v="564467"/>
    <s v="EVAP KIT 64-67 GTO W/AC"/>
    <d v="2022-02-07T10:37:09"/>
    <x v="0"/>
    <n v="1"/>
    <n v="0"/>
    <x v="16"/>
    <n v="42"/>
    <n v="235"/>
    <n v="277"/>
    <n v="830034"/>
    <n v="0"/>
    <n v="0"/>
    <x v="44"/>
  </r>
  <r>
    <n v="909155"/>
    <s v="751175"/>
    <s v="EVAP KIT 73-80 CHEV P-UP WO AC"/>
    <d v="2022-02-07T10:41:31"/>
    <x v="0"/>
    <n v="1"/>
    <n v="0"/>
    <x v="16"/>
    <n v="43"/>
    <n v="235"/>
    <n v="278"/>
    <n v="830002"/>
    <n v="0"/>
    <n v="0"/>
    <x v="45"/>
  </r>
  <r>
    <n v="909161"/>
    <s v="751150"/>
    <s v="EVAP KIT 66-77 BRONCO"/>
    <d v="2022-02-07T10:46:48"/>
    <x v="0"/>
    <n v="1"/>
    <n v="0"/>
    <x v="16"/>
    <n v="44"/>
    <n v="235"/>
    <n v="279"/>
    <n v="830085"/>
    <n v="0"/>
    <n v="0"/>
    <x v="32"/>
  </r>
  <r>
    <n v="909163"/>
    <s v="565702"/>
    <s v="EVAP KIT 57 CHEV WO AC 4-VENT PLENUM"/>
    <d v="2022-02-07T10:50:11"/>
    <x v="0"/>
    <n v="1"/>
    <n v="0"/>
    <x v="16"/>
    <n v="45"/>
    <n v="235"/>
    <n v="280"/>
    <n v="830065"/>
    <n v="0"/>
    <n v="0"/>
    <x v="46"/>
  </r>
  <r>
    <n v="909165"/>
    <s v="751165"/>
    <s v="EVAP KIT 64-66 CHEV P-UP WO AC W/STD"/>
    <d v="2022-02-07T10:51:01"/>
    <x v="0"/>
    <n v="1"/>
    <n v="0"/>
    <x v="16"/>
    <n v="46"/>
    <n v="235"/>
    <n v="281"/>
    <n v="830015"/>
    <n v="0"/>
    <n v="0"/>
    <x v="39"/>
  </r>
  <r>
    <n v="909168"/>
    <s v="751170"/>
    <s v="EVAP KIT 67-72 CHEV P-UP WO AC"/>
    <d v="2022-02-07T10:54:07"/>
    <x v="0"/>
    <n v="1"/>
    <n v="0"/>
    <x v="16"/>
    <n v="47"/>
    <n v="235"/>
    <n v="282"/>
    <n v="830014"/>
    <n v="0"/>
    <n v="0"/>
    <x v="47"/>
  </r>
  <r>
    <n v="909166"/>
    <s v="751170"/>
    <s v="EVAP KIT 67-72 CHEV P-UP WO AC"/>
    <d v="2022-02-07T10:55:35"/>
    <x v="0"/>
    <n v="1"/>
    <n v="0"/>
    <x v="16"/>
    <n v="48"/>
    <n v="235"/>
    <n v="283"/>
    <n v="830014"/>
    <n v="0"/>
    <n v="0"/>
    <x v="47"/>
  </r>
  <r>
    <n v="909171"/>
    <s v="751160"/>
    <s v="EVAP KIT 73-79 FORD TRK/78-79 BCO WO/AC"/>
    <d v="2022-02-07T10:58:06"/>
    <x v="0"/>
    <n v="1"/>
    <n v="0"/>
    <x v="16"/>
    <n v="49"/>
    <n v="235"/>
    <n v="284"/>
    <n v="830105"/>
    <n v="830106"/>
    <n v="0"/>
    <x v="48"/>
  </r>
  <r>
    <n v="909174"/>
    <s v="56155-PCZ"/>
    <s v="EVAP KIT 55-56 CHEVY"/>
    <d v="2022-02-07T11:03:44"/>
    <x v="0"/>
    <n v="1"/>
    <n v="0"/>
    <x v="16"/>
    <n v="50"/>
    <n v="235"/>
    <n v="285"/>
    <n v="830054"/>
    <n v="0"/>
    <n v="0"/>
    <x v="26"/>
  </r>
  <r>
    <n v="909179"/>
    <s v="751160"/>
    <s v="EVAP KIT 73-79 FORD TRK/78-79 BCO WO/AC"/>
    <d v="2022-02-07T11:09:47"/>
    <x v="0"/>
    <n v="1"/>
    <n v="0"/>
    <x v="16"/>
    <n v="51"/>
    <n v="235"/>
    <n v="286"/>
    <n v="830105"/>
    <n v="830106"/>
    <n v="0"/>
    <x v="48"/>
  </r>
  <r>
    <n v="909180"/>
    <s v="751170"/>
    <s v="EVAP KIT 67-72 CHEV P-UP WO AC"/>
    <d v="2022-02-07T11:10:38"/>
    <x v="0"/>
    <n v="1"/>
    <n v="0"/>
    <x v="16"/>
    <n v="52"/>
    <n v="235"/>
    <n v="287"/>
    <n v="830014"/>
    <n v="0"/>
    <n v="0"/>
    <x v="47"/>
  </r>
  <r>
    <n v="909181"/>
    <s v="565083"/>
    <s v="EVAP KIT 82-88 MONTE CARLO/EL CAMINO"/>
    <d v="2022-02-07T11:13:36"/>
    <x v="0"/>
    <n v="1"/>
    <n v="0"/>
    <x v="16"/>
    <n v="53"/>
    <n v="235"/>
    <n v="288"/>
    <n v="830132"/>
    <n v="0"/>
    <n v="0"/>
    <x v="49"/>
  </r>
  <r>
    <n v="909184"/>
    <s v="754562"/>
    <s v="EVAP KIT 50-53 CHEV P-UP GEN IV"/>
    <d v="2022-02-07T11:17:48"/>
    <x v="0"/>
    <n v="1"/>
    <n v="0"/>
    <x v="16"/>
    <n v="54"/>
    <n v="235"/>
    <n v="289"/>
    <n v="830063"/>
    <n v="0"/>
    <n v="0"/>
    <x v="11"/>
  </r>
  <r>
    <n v="909194"/>
    <s v="554164"/>
    <s v="EVAP KIT 64 1/2- 66 MUSTANG "/>
    <d v="2022-02-07T11:44:23"/>
    <x v="0"/>
    <n v="1"/>
    <n v="0"/>
    <x v="16"/>
    <n v="55"/>
    <n v="235"/>
    <n v="290"/>
    <n v="830076"/>
    <n v="0"/>
    <n v="0"/>
    <x v="22"/>
  </r>
  <r>
    <n v="909198"/>
    <s v="565071"/>
    <s v="EVAP KIT 70-72 CHEVELLE W/AC"/>
    <d v="2022-02-07T11:50:37"/>
    <x v="0"/>
    <n v="1"/>
    <n v="0"/>
    <x v="16"/>
    <n v="56"/>
    <n v="235"/>
    <n v="291"/>
    <n v="830011"/>
    <n v="0"/>
    <n v="0"/>
    <x v="50"/>
  </r>
  <r>
    <n v="909199"/>
    <s v="561164"/>
    <s v="EVAP KIT 62-65 NOVA"/>
    <d v="2022-02-07T11:53:45"/>
    <x v="0"/>
    <n v="1"/>
    <n v="0"/>
    <x v="16"/>
    <n v="57"/>
    <n v="235"/>
    <n v="292"/>
    <n v="830096"/>
    <n v="0"/>
    <n v="0"/>
    <x v="51"/>
  </r>
  <r>
    <n v="909201"/>
    <s v="751171"/>
    <s v="EVAP KIT 67-72 CHEV P-UP WO AC W/FACT AIR CTRLS"/>
    <d v="2022-02-07T11:57:41"/>
    <x v="0"/>
    <n v="1"/>
    <n v="0"/>
    <x v="16"/>
    <n v="58"/>
    <n v="235"/>
    <n v="293"/>
    <n v="830014"/>
    <n v="0"/>
    <n v="0"/>
    <x v="52"/>
  </r>
  <r>
    <n v="909203"/>
    <s v="561163"/>
    <s v="EVAP KIT 63-66 VETTE WO AC"/>
    <d v="2022-02-07T12:00:29"/>
    <x v="0"/>
    <n v="1"/>
    <n v="0"/>
    <x v="16"/>
    <n v="59"/>
    <n v="235"/>
    <n v="294"/>
    <n v="830036"/>
    <n v="830039"/>
    <n v="0"/>
    <x v="53"/>
  </r>
  <r>
    <n v="909207"/>
    <s v="751164"/>
    <s v="EVAP KIT 64-66 CHEV P-UP WO AC W/DELX"/>
    <d v="2022-02-07T12:05:23"/>
    <x v="0"/>
    <n v="1"/>
    <n v="0"/>
    <x v="16"/>
    <n v="60"/>
    <n v="235"/>
    <n v="295"/>
    <n v="830015"/>
    <n v="0"/>
    <n v="0"/>
    <x v="54"/>
  </r>
  <r>
    <n v="909209"/>
    <s v="754175"/>
    <s v="EVAP KIT 73-80 CHEV P-UP W/AC"/>
    <d v="2022-02-07T12:08:29"/>
    <x v="0"/>
    <n v="1"/>
    <n v="0"/>
    <x v="16"/>
    <n v="61"/>
    <n v="235"/>
    <n v="296"/>
    <n v="830001"/>
    <n v="0"/>
    <n v="0"/>
    <x v="55"/>
  </r>
  <r>
    <n v="909210"/>
    <s v="561190"/>
    <s v="EVAP KIT 67-68 CAMARO/FIREBIRD WO/AC"/>
    <d v="2022-02-07T12:13:35"/>
    <x v="0"/>
    <n v="1"/>
    <n v="0"/>
    <x v="16"/>
    <n v="62"/>
    <n v="235"/>
    <n v="297"/>
    <n v="830017"/>
    <n v="830119"/>
    <n v="830120"/>
    <x v="56"/>
  </r>
  <r>
    <n v="909214"/>
    <s v="754170"/>
    <s v="EVAP KIT 67-72 CHEV P-UP W/AC"/>
    <d v="2022-02-07T12:20:39"/>
    <x v="0"/>
    <n v="1"/>
    <n v="0"/>
    <x v="16"/>
    <n v="63"/>
    <n v="235"/>
    <n v="298"/>
    <n v="830013"/>
    <n v="0"/>
    <n v="0"/>
    <x v="42"/>
  </r>
  <r>
    <n v="909219"/>
    <s v="564484"/>
    <s v="EVAP KIT 70-72 GTO W/AC"/>
    <d v="2022-02-07T12:31:15"/>
    <x v="0"/>
    <n v="1"/>
    <n v="0"/>
    <x v="16"/>
    <n v="64"/>
    <n v="235"/>
    <n v="299"/>
    <n v="830124"/>
    <n v="0"/>
    <n v="0"/>
    <x v="57"/>
  </r>
  <r>
    <n v="909182"/>
    <s v="754181"/>
    <s v="EVAP KIT 81-87 CHEV P-UP W/AC"/>
    <d v="2022-02-07T12:32:03"/>
    <x v="0"/>
    <n v="1"/>
    <n v="0"/>
    <x v="16"/>
    <n v="65"/>
    <n v="235"/>
    <n v="300"/>
    <n v="830004"/>
    <n v="0"/>
    <n v="0"/>
    <x v="58"/>
  </r>
  <r>
    <n v="909221"/>
    <s v="564471"/>
    <s v="EVAP KIT 68-69 CHEVELLE W/AC"/>
    <d v="2022-02-07T12:34:30"/>
    <x v="0"/>
    <n v="1"/>
    <n v="0"/>
    <x v="16"/>
    <n v="66"/>
    <n v="235"/>
    <n v="301"/>
    <n v="830061"/>
    <n v="0"/>
    <n v="0"/>
    <x v="35"/>
  </r>
  <r>
    <n v="909223"/>
    <s v="561071"/>
    <s v="EVAP KIT 70-72 CHEVELLE WO AC"/>
    <d v="2022-02-07T12:41:08"/>
    <x v="0"/>
    <n v="1"/>
    <n v="0"/>
    <x v="16"/>
    <n v="67"/>
    <n v="235"/>
    <n v="302"/>
    <n v="830010"/>
    <n v="0"/>
    <n v="0"/>
    <x v="59"/>
  </r>
  <r>
    <n v="909224"/>
    <s v="561191"/>
    <s v="EVAP KIT 69 CAMARO WO/AC"/>
    <d v="2022-02-07T12:43:31"/>
    <x v="0"/>
    <n v="1"/>
    <n v="0"/>
    <x v="16"/>
    <n v="68"/>
    <n v="235"/>
    <n v="303"/>
    <n v="830012"/>
    <n v="0"/>
    <n v="0"/>
    <x v="28"/>
  </r>
  <r>
    <n v="909229"/>
    <s v="561064"/>
    <s v="EVAP KIT 64 IMPALA WO AC"/>
    <d v="2022-02-07T12:48:31"/>
    <x v="0"/>
    <n v="1"/>
    <n v="0"/>
    <x v="16"/>
    <n v="69"/>
    <n v="235"/>
    <n v="304"/>
    <n v="830007"/>
    <n v="0"/>
    <n v="0"/>
    <x v="60"/>
  </r>
  <r>
    <n v="909228"/>
    <s v="561068"/>
    <s v="EVAP KIT 68-69 CHEVELLE WO AC"/>
    <d v="2022-02-07T12:49:28"/>
    <x v="0"/>
    <n v="1"/>
    <n v="0"/>
    <x v="16"/>
    <n v="70"/>
    <n v="235"/>
    <n v="305"/>
    <n v="830062"/>
    <n v="0"/>
    <n v="0"/>
    <x v="61"/>
  </r>
  <r>
    <n v="909233"/>
    <s v="564173-PCZ"/>
    <s v="EVAP KIT 69-73 VETTE W/AC"/>
    <d v="2022-02-07T13:00:40"/>
    <x v="0"/>
    <n v="1"/>
    <n v="0"/>
    <x v="16"/>
    <n v="71"/>
    <n v="235"/>
    <n v="306"/>
    <n v="830094"/>
    <n v="0"/>
    <n v="0"/>
    <x v="62"/>
  </r>
  <r>
    <n v="909237"/>
    <s v="671400-VUZ"/>
    <s v="GEN IV MAGNUM EVAP KIT"/>
    <d v="2022-02-07T13:06:05"/>
    <x v="0"/>
    <n v="2"/>
    <n v="0"/>
    <x v="16"/>
    <n v="73"/>
    <n v="235"/>
    <n v="308"/>
    <n v="0"/>
    <n v="0"/>
    <n v="0"/>
    <x v="36"/>
  </r>
  <r>
    <n v="909240"/>
    <s v="564466"/>
    <s v="EVAP KIT 66-67 CHEVELLE W/AC"/>
    <d v="2022-02-07T13:09:21"/>
    <x v="0"/>
    <n v="1"/>
    <n v="0"/>
    <x v="16"/>
    <n v="74"/>
    <n v="235"/>
    <n v="309"/>
    <n v="830059"/>
    <n v="0"/>
    <n v="0"/>
    <x v="63"/>
  </r>
  <r>
    <n v="909242"/>
    <s v="751170"/>
    <s v="EVAP KIT 67-72 CHEV P-UP WO AC"/>
    <d v="2022-02-07T13:12:33"/>
    <x v="0"/>
    <n v="1"/>
    <n v="0"/>
    <x v="16"/>
    <n v="75"/>
    <n v="235"/>
    <n v="310"/>
    <n v="830014"/>
    <n v="0"/>
    <n v="0"/>
    <x v="47"/>
  </r>
  <r>
    <n v="909243"/>
    <s v="554164"/>
    <s v="EVAP KIT 64 1/2- 66 MUSTANG "/>
    <d v="2022-02-07T13:13:34"/>
    <x v="0"/>
    <n v="1"/>
    <n v="0"/>
    <x v="16"/>
    <n v="76"/>
    <n v="235"/>
    <n v="311"/>
    <n v="830076"/>
    <n v="0"/>
    <n v="0"/>
    <x v="22"/>
  </r>
  <r>
    <n v="909244"/>
    <s v="571064"/>
    <s v="EVAP KIT 69-70 MOPAR B BODY WO AC"/>
    <d v="2022-02-07T13:15:36"/>
    <x v="0"/>
    <n v="1"/>
    <n v="0"/>
    <x v="16"/>
    <n v="77"/>
    <n v="235"/>
    <n v="312"/>
    <n v="830075"/>
    <n v="0"/>
    <n v="0"/>
    <x v="64"/>
  </r>
  <r>
    <n v="909245"/>
    <s v="751171"/>
    <s v="EVAP KIT 67-72 CHEV P-UP WO AC W/FACT AIR CTRLS"/>
    <d v="2022-02-07T13:18:02"/>
    <x v="0"/>
    <n v="1"/>
    <n v="0"/>
    <x v="16"/>
    <n v="78"/>
    <n v="235"/>
    <n v="313"/>
    <n v="830014"/>
    <n v="0"/>
    <n v="0"/>
    <x v="52"/>
  </r>
  <r>
    <n v="909250"/>
    <s v="561066"/>
    <s v="EVAP KIT 66-67 CHEVELLE WO AC"/>
    <d v="2022-02-07T13:27:22"/>
    <x v="0"/>
    <n v="1"/>
    <n v="0"/>
    <x v="16"/>
    <n v="79"/>
    <n v="235"/>
    <n v="314"/>
    <n v="830060"/>
    <n v="0"/>
    <n v="0"/>
    <x v="25"/>
  </r>
  <r>
    <n v="909252"/>
    <s v="751170"/>
    <s v="EVAP KIT 67-72 CHEV P-UP WO AC"/>
    <d v="2022-02-07T13:30:00"/>
    <x v="0"/>
    <n v="1"/>
    <n v="0"/>
    <x v="16"/>
    <n v="80"/>
    <n v="235"/>
    <n v="315"/>
    <n v="830014"/>
    <n v="0"/>
    <n v="0"/>
    <x v="47"/>
  </r>
  <r>
    <n v="909255"/>
    <s v="564464"/>
    <s v="EVAP KIT 64-65 CHEVELLE W/AC"/>
    <d v="2022-02-07T13:37:09"/>
    <x v="0"/>
    <n v="1"/>
    <n v="0"/>
    <x v="16"/>
    <n v="81"/>
    <n v="235"/>
    <n v="316"/>
    <n v="830056"/>
    <n v="0"/>
    <n v="0"/>
    <x v="65"/>
  </r>
  <r>
    <n v="909259"/>
    <s v="561066"/>
    <s v="EVAP KIT 66-67 CHEVELLE WO AC"/>
    <d v="2022-02-07T13:43:28"/>
    <x v="0"/>
    <n v="1"/>
    <n v="0"/>
    <x v="16"/>
    <n v="82"/>
    <n v="235"/>
    <n v="317"/>
    <n v="830060"/>
    <n v="0"/>
    <n v="0"/>
    <x v="25"/>
  </r>
  <r>
    <n v="909262"/>
    <s v="561054"/>
    <s v="EVAP KIT 65-66 IMPALA WO/AC"/>
    <d v="2022-02-07T13:46:41"/>
    <x v="0"/>
    <n v="1"/>
    <n v="0"/>
    <x v="16"/>
    <n v="83"/>
    <n v="235"/>
    <n v="318"/>
    <n v="830125"/>
    <n v="830126"/>
    <n v="0"/>
    <x v="66"/>
  </r>
  <r>
    <n v="909266"/>
    <s v="751175"/>
    <s v="EVAP KIT 73-80 CHEV P-UP WO AC"/>
    <d v="2022-02-07T13:54:20"/>
    <x v="0"/>
    <n v="1"/>
    <n v="0"/>
    <x v="16"/>
    <n v="84"/>
    <n v="235"/>
    <n v="319"/>
    <n v="830002"/>
    <n v="0"/>
    <n v="0"/>
    <x v="45"/>
  </r>
  <r>
    <n v="909268"/>
    <s v="751200"/>
    <s v="EVAP KIT 68-83 TOYOTA FJ40"/>
    <d v="2022-02-07T13:57:47"/>
    <x v="0"/>
    <n v="10"/>
    <n v="0"/>
    <x v="16"/>
    <n v="94"/>
    <n v="235"/>
    <n v="329"/>
    <n v="830042"/>
    <n v="0"/>
    <n v="0"/>
    <x v="67"/>
  </r>
  <r>
    <n v="909279"/>
    <s v="554168"/>
    <s v="EVAP KIT 67-68 MUSTANG/COUGAR W/AC"/>
    <d v="2022-02-07T14:10:58"/>
    <x v="0"/>
    <n v="1"/>
    <n v="0"/>
    <x v="16"/>
    <n v="95"/>
    <n v="235"/>
    <n v="330"/>
    <n v="830079"/>
    <n v="830046"/>
    <n v="0"/>
    <x v="31"/>
  </r>
  <r>
    <n v="909282"/>
    <s v="671400-VUZ"/>
    <s v="GEN IV MAGNUM EVAP KIT"/>
    <d v="2022-02-07T14:16:16"/>
    <x v="0"/>
    <n v="1"/>
    <n v="0"/>
    <x v="16"/>
    <n v="96"/>
    <n v="235"/>
    <n v="331"/>
    <n v="0"/>
    <n v="0"/>
    <n v="0"/>
    <x v="36"/>
  </r>
  <r>
    <n v="909284"/>
    <s v="561191"/>
    <s v="EVAP KIT 69 CAMARO WO/AC"/>
    <d v="2022-02-07T14:17:00"/>
    <x v="0"/>
    <n v="1"/>
    <n v="0"/>
    <x v="16"/>
    <n v="97"/>
    <n v="235"/>
    <n v="332"/>
    <n v="830012"/>
    <n v="0"/>
    <n v="0"/>
    <x v="28"/>
  </r>
  <r>
    <n v="909285"/>
    <s v="564190"/>
    <s v="EVAP KIT 67-68 CAMARO/FIREBIRD W/AC"/>
    <d v="2022-02-07T14:20:31"/>
    <x v="0"/>
    <n v="1"/>
    <n v="0"/>
    <x v="16"/>
    <n v="98"/>
    <n v="235"/>
    <n v="333"/>
    <n v="830016"/>
    <n v="0"/>
    <n v="0"/>
    <x v="68"/>
  </r>
  <r>
    <n v="909287"/>
    <s v="66005-VUZ-A"/>
    <s v="MINI GEN II W/DEF"/>
    <d v="2022-02-07T14:29:55"/>
    <x v="1"/>
    <n v="1"/>
    <n v="0"/>
    <x v="16"/>
    <n v="98"/>
    <n v="236"/>
    <n v="334"/>
    <n v="830099"/>
    <n v="0"/>
    <n v="0"/>
    <x v="4"/>
  </r>
  <r>
    <n v="909301"/>
    <s v="564471"/>
    <s v="EVAP KIT 68-69 CHEVELLE W/AC"/>
    <d v="2022-02-07T14:38:44"/>
    <x v="0"/>
    <n v="1"/>
    <n v="0"/>
    <x v="16"/>
    <n v="99"/>
    <n v="236"/>
    <n v="335"/>
    <n v="830061"/>
    <n v="0"/>
    <n v="0"/>
    <x v="35"/>
  </r>
  <r>
    <n v="909305"/>
    <s v="66005-VUZ-A"/>
    <s v="MINI GEN II W/DEF"/>
    <d v="2022-02-07T14:44:27"/>
    <x v="1"/>
    <n v="1"/>
    <n v="0"/>
    <x v="16"/>
    <n v="99"/>
    <n v="237"/>
    <n v="336"/>
    <n v="830099"/>
    <n v="0"/>
    <n v="0"/>
    <x v="4"/>
  </r>
  <r>
    <n v="909306"/>
    <s v="565701"/>
    <s v="EVAP KIT 57 CHEV WO AC"/>
    <d v="2022-02-07T14:46:13"/>
    <x v="0"/>
    <n v="1"/>
    <n v="0"/>
    <x v="16"/>
    <n v="100"/>
    <n v="237"/>
    <n v="337"/>
    <n v="830065"/>
    <n v="0"/>
    <n v="0"/>
    <x v="69"/>
  </r>
  <r>
    <n v="909310"/>
    <s v="754563"/>
    <s v="EVAP KIT 54-55 CHEV P-UP GEN IV"/>
    <d v="2022-02-07T14:49:55"/>
    <x v="0"/>
    <n v="1"/>
    <n v="0"/>
    <x v="16"/>
    <n v="101"/>
    <n v="237"/>
    <n v="338"/>
    <n v="830063"/>
    <n v="0"/>
    <n v="0"/>
    <x v="7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0:B90" firstHeaderRow="1" firstDataRow="1" firstDataCol="1" rowPageCount="1" colPageCount="1"/>
  <pivotFields count="15">
    <pivotField showAll="0"/>
    <pivotField showAll="0"/>
    <pivotField showAll="0"/>
    <pivotField numFmtId="22" showAll="0"/>
    <pivotField axis="axisPage" showAll="0">
      <items count="3">
        <item x="0"/>
        <item h="1" x="1"/>
        <item t="default"/>
      </items>
    </pivotField>
    <pivotField dataField="1" showAll="0"/>
    <pivotField showAll="0" defaultSubtotal="0"/>
    <pivotField axis="axisRow" numFmtId="14" showAll="0" sortType="ascending">
      <items count="22">
        <item m="1" x="17"/>
        <item m="1" x="19"/>
        <item sd="0" m="1" x="20"/>
        <item sd="0" m="1" x="18"/>
        <item sd="0" x="0"/>
        <item x="1"/>
        <item sd="0" x="2"/>
        <item x="3"/>
        <item sd="0" x="4"/>
        <item sd="0" x="5"/>
        <item x="6"/>
        <item sd="0" x="7"/>
        <item sd="0" x="8"/>
        <item x="9"/>
        <item x="10"/>
        <item x="11"/>
        <item x="12"/>
        <item x="13"/>
        <item x="14"/>
        <item x="15"/>
        <item x="1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118">
        <item x="13"/>
        <item x="5"/>
        <item x="2"/>
        <item m="1" x="112"/>
        <item x="11"/>
        <item x="70"/>
        <item x="26"/>
        <item x="30"/>
        <item x="21"/>
        <item m="1" x="88"/>
        <item x="69"/>
        <item x="46"/>
        <item m="1" x="95"/>
        <item x="37"/>
        <item m="1" x="92"/>
        <item x="51"/>
        <item m="1" x="83"/>
        <item m="1" x="74"/>
        <item m="1" x="89"/>
        <item x="53"/>
        <item x="22"/>
        <item x="60"/>
        <item m="1" x="81"/>
        <item m="1" x="98"/>
        <item x="54"/>
        <item x="39"/>
        <item x="44"/>
        <item m="1" x="94"/>
        <item m="1" x="78"/>
        <item m="1" x="71"/>
        <item x="63"/>
        <item x="25"/>
        <item m="1" x="85"/>
        <item x="32"/>
        <item m="1" x="73"/>
        <item m="1" x="115"/>
        <item m="1" x="116"/>
        <item x="68"/>
        <item x="56"/>
        <item x="31"/>
        <item x="29"/>
        <item x="42"/>
        <item x="47"/>
        <item x="52"/>
        <item x="0"/>
        <item m="1" x="90"/>
        <item x="35"/>
        <item x="61"/>
        <item m="1" x="102"/>
        <item m="1" x="86"/>
        <item x="24"/>
        <item x="67"/>
        <item x="20"/>
        <item m="1" x="97"/>
        <item x="28"/>
        <item m="1" x="104"/>
        <item m="1" x="82"/>
        <item x="64"/>
        <item m="1" x="72"/>
        <item m="1" x="99"/>
        <item x="62"/>
        <item x="1"/>
        <item x="43"/>
        <item x="50"/>
        <item x="59"/>
        <item m="1" x="75"/>
        <item m="1" x="106"/>
        <item x="57"/>
        <item m="1" x="80"/>
        <item m="1" x="87"/>
        <item x="38"/>
        <item m="1" x="114"/>
        <item m="1" x="113"/>
        <item m="1" x="107"/>
        <item x="48"/>
        <item x="23"/>
        <item x="55"/>
        <item x="45"/>
        <item m="1" x="76"/>
        <item m="1" x="79"/>
        <item m="1" x="96"/>
        <item x="58"/>
        <item m="1" x="77"/>
        <item x="49"/>
        <item x="36"/>
        <item x="7"/>
        <item x="3"/>
        <item x="18"/>
        <item m="1" x="84"/>
        <item x="9"/>
        <item x="4"/>
        <item x="12"/>
        <item x="10"/>
        <item x="6"/>
        <item x="8"/>
        <item m="1" x="117"/>
        <item m="1" x="100"/>
        <item m="1" x="103"/>
        <item m="1" x="109"/>
        <item m="1" x="101"/>
        <item x="27"/>
        <item m="1" x="105"/>
        <item x="14"/>
        <item x="15"/>
        <item x="16"/>
        <item x="17"/>
        <item m="1" x="108"/>
        <item m="1" x="110"/>
        <item m="1" x="93"/>
        <item x="19"/>
        <item x="65"/>
        <item m="1" x="91"/>
        <item m="1" x="111"/>
        <item x="41"/>
        <item x="34"/>
        <item x="33"/>
        <item x="40"/>
        <item x="66"/>
      </items>
    </pivotField>
  </pivotFields>
  <rowFields count="2">
    <field x="7"/>
    <field x="14"/>
  </rowFields>
  <rowItems count="70">
    <i>
      <x v="4"/>
    </i>
    <i>
      <x v="13"/>
    </i>
    <i r="1">
      <x v="4"/>
    </i>
    <i>
      <x v="16"/>
    </i>
    <i r="1">
      <x v="52"/>
    </i>
    <i>
      <x v="17"/>
    </i>
    <i r="1">
      <x v="52"/>
    </i>
    <i>
      <x v="18"/>
    </i>
    <i r="1">
      <x v="8"/>
    </i>
    <i r="1">
      <x v="20"/>
    </i>
    <i>
      <x v="19"/>
    </i>
    <i r="1">
      <x v="4"/>
    </i>
    <i r="1">
      <x v="6"/>
    </i>
    <i r="1">
      <x v="7"/>
    </i>
    <i r="1">
      <x v="20"/>
    </i>
    <i r="1">
      <x v="31"/>
    </i>
    <i r="1">
      <x v="39"/>
    </i>
    <i r="1">
      <x v="40"/>
    </i>
    <i r="1">
      <x v="50"/>
    </i>
    <i r="1">
      <x v="54"/>
    </i>
    <i r="1">
      <x v="75"/>
    </i>
    <i r="1">
      <x v="100"/>
    </i>
    <i>
      <x v="20"/>
    </i>
    <i r="1">
      <x v="4"/>
    </i>
    <i r="1">
      <x v="5"/>
    </i>
    <i r="1">
      <x v="6"/>
    </i>
    <i r="1">
      <x v="7"/>
    </i>
    <i r="1">
      <x v="10"/>
    </i>
    <i r="1">
      <x v="11"/>
    </i>
    <i r="1">
      <x v="13"/>
    </i>
    <i r="1">
      <x v="15"/>
    </i>
    <i r="1">
      <x v="19"/>
    </i>
    <i r="1">
      <x v="20"/>
    </i>
    <i r="1">
      <x v="21"/>
    </i>
    <i r="1">
      <x v="24"/>
    </i>
    <i r="1">
      <x v="25"/>
    </i>
    <i r="1">
      <x v="26"/>
    </i>
    <i r="1">
      <x v="30"/>
    </i>
    <i r="1">
      <x v="31"/>
    </i>
    <i r="1">
      <x v="33"/>
    </i>
    <i r="1">
      <x v="37"/>
    </i>
    <i r="1">
      <x v="38"/>
    </i>
    <i r="1">
      <x v="39"/>
    </i>
    <i r="1">
      <x v="41"/>
    </i>
    <i r="1">
      <x v="42"/>
    </i>
    <i r="1">
      <x v="43"/>
    </i>
    <i r="1">
      <x v="46"/>
    </i>
    <i r="1">
      <x v="47"/>
    </i>
    <i r="1">
      <x v="51"/>
    </i>
    <i r="1">
      <x v="54"/>
    </i>
    <i r="1">
      <x v="57"/>
    </i>
    <i r="1">
      <x v="60"/>
    </i>
    <i r="1">
      <x v="62"/>
    </i>
    <i r="1">
      <x v="63"/>
    </i>
    <i r="1">
      <x v="64"/>
    </i>
    <i r="1">
      <x v="67"/>
    </i>
    <i r="1">
      <x v="70"/>
    </i>
    <i r="1">
      <x v="74"/>
    </i>
    <i r="1">
      <x v="76"/>
    </i>
    <i r="1">
      <x v="77"/>
    </i>
    <i r="1">
      <x v="81"/>
    </i>
    <i r="1">
      <x v="83"/>
    </i>
    <i r="1">
      <x v="84"/>
    </i>
    <i r="1">
      <x v="110"/>
    </i>
    <i r="1">
      <x v="113"/>
    </i>
    <i r="1">
      <x v="114"/>
    </i>
    <i r="1">
      <x v="115"/>
    </i>
    <i r="1">
      <x v="116"/>
    </i>
    <i r="1">
      <x v="117"/>
    </i>
    <i t="grand">
      <x/>
    </i>
  </rowItems>
  <colItems count="1">
    <i/>
  </colItems>
  <pageFields count="1">
    <pageField fld="4" hier="-1"/>
  </pageFields>
  <dataFields count="1">
    <dataField name="Sum of OrderQty" fld="5" baseField="0" baseItem="0"/>
  </dataFields>
  <formats count="1">
    <format dxfId="21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16" unboundColumnsRight="8">
    <queryTableFields count="15">
      <queryTableField id="1" name="SONumber" tableColumnId="106"/>
      <queryTableField id="2" name="PartNumber" tableColumnId="107"/>
      <queryTableField id="3" name="Description" tableColumnId="108"/>
      <queryTableField id="4" name="EntryDateTime" tableColumnId="109"/>
      <queryTableField id="5" name="ItemType" tableColumnId="110"/>
      <queryTableField id="6" name="OrderQty" tableColumnId="111"/>
      <queryTableField id="7" name="ShippedQty" tableColumnId="112"/>
      <queryTableField id="15" dataBound="0" tableColumnId="113"/>
      <queryTableField id="14" dataBound="0" tableColumnId="114"/>
      <queryTableField id="13" dataBound="0" tableColumnId="115"/>
      <queryTableField id="12" dataBound="0" tableColumnId="116"/>
      <queryTableField id="11" dataBound="0" tableColumnId="117"/>
      <queryTableField id="10" dataBound="0" tableColumnId="118"/>
      <queryTableField id="9" dataBound="0" tableColumnId="119"/>
      <queryTableField id="8" dataBound="0" tableColumnId="1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Query1" displayName="Query1" ref="A1:O5304" tableType="queryTable" totalsRowShown="0">
  <autoFilter ref="A1:O5304"/>
  <tableColumns count="15">
    <tableColumn id="106" uniqueName="106" name="SONumber" queryTableFieldId="1" dataDxfId="20"/>
    <tableColumn id="107" uniqueName="107" name="PartNumber" queryTableFieldId="2" dataDxfId="19"/>
    <tableColumn id="108" uniqueName="108" name="Description" queryTableFieldId="3" dataDxfId="18"/>
    <tableColumn id="109" uniqueName="109" name="EntryDateTime" queryTableFieldId="4" dataDxfId="17"/>
    <tableColumn id="110" uniqueName="110" name="ItemType" queryTableFieldId="5" dataDxfId="16"/>
    <tableColumn id="111" uniqueName="111" name="OrderQty" queryTableFieldId="6" dataDxfId="15"/>
    <tableColumn id="112" uniqueName="112" name="ShippedQty" queryTableFieldId="7" dataDxfId="14"/>
    <tableColumn id="113" uniqueName="113" name="Date" queryTableFieldId="15" dataDxfId="13"/>
    <tableColumn id="114" uniqueName="114" name="SF Running Total" queryTableFieldId="14"/>
    <tableColumn id="115" uniqueName="115" name="UNIV Running Total" queryTableFieldId="13"/>
    <tableColumn id="116" uniqueName="116" name="Running Total" queryTableFieldId="12"/>
    <tableColumn id="117" uniqueName="117" name="MB1" queryTableFieldId="11"/>
    <tableColumn id="118" uniqueName="118" name="MB2" queryTableFieldId="10"/>
    <tableColumn id="119" uniqueName="119" name="MB3" queryTableFieldId="9"/>
    <tableColumn id="120" uniqueName="120" name="Description - New" queryTableFieldId="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8" name="Table3" displayName="Table3" ref="A1:H97" totalsRowShown="0" headerRowDxfId="0" dataDxfId="1" headerRowBorderDxfId="11" tableBorderDxfId="12" totalsRowBorderDxfId="10">
  <autoFilter ref="A1:H97">
    <filterColumn colId="4">
      <filters>
        <filter val="EVAP KIT SF CABLE"/>
        <filter val="EVAP KIT SF GEN IV"/>
      </filters>
    </filterColumn>
  </autoFilter>
  <tableColumns count="8">
    <tableColumn id="1" name="SONumber" dataDxfId="9"/>
    <tableColumn id="2" name="PartNumber" dataDxfId="8"/>
    <tableColumn id="3" name="Description" dataDxfId="7"/>
    <tableColumn id="4" name="EntryDateTime" dataDxfId="6"/>
    <tableColumn id="5" name="ItemType" dataDxfId="5"/>
    <tableColumn id="6" name="OrderQty" dataDxfId="4"/>
    <tableColumn id="7" name="ShippedQty" dataDxfId="3"/>
    <tableColumn id="8" name="Date" dataDxfId="2">
      <calculatedColumnFormula>INT(Query1[[#This Row],[EntryDateTime]])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trlProp" Target="../ctrlProps/ctrlProp5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.emf"/><Relationship Id="rId11" Type="http://schemas.openxmlformats.org/officeDocument/2006/relationships/ctrlProp" Target="../ctrlProps/ctrlProp3.xml"/><Relationship Id="rId5" Type="http://schemas.openxmlformats.org/officeDocument/2006/relationships/control" Target="../activeX/activeX1.xml"/><Relationship Id="rId10" Type="http://schemas.openxmlformats.org/officeDocument/2006/relationships/ctrlProp" Target="../ctrlProps/ctrlProp2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F90"/>
  <sheetViews>
    <sheetView tabSelected="1" zoomScale="110" zoomScaleNormal="110" workbookViewId="0">
      <selection activeCell="C5" sqref="C5"/>
    </sheetView>
  </sheetViews>
  <sheetFormatPr defaultRowHeight="15" x14ac:dyDescent="0.25"/>
  <cols>
    <col min="1" max="1" width="67.85546875" customWidth="1"/>
    <col min="2" max="2" width="17.85546875" customWidth="1"/>
    <col min="3" max="3" width="31.7109375" customWidth="1"/>
    <col min="4" max="64" width="7.7109375" customWidth="1"/>
    <col min="65" max="65" width="11.28515625" bestFit="1" customWidth="1"/>
  </cols>
  <sheetData>
    <row r="2" spans="1:6" ht="49.5" customHeight="1" x14ac:dyDescent="0.25">
      <c r="A2" s="7" t="s">
        <v>311</v>
      </c>
      <c r="B2" s="5" t="s">
        <v>230</v>
      </c>
      <c r="C2" s="4">
        <v>120</v>
      </c>
      <c r="E2">
        <v>1</v>
      </c>
      <c r="F2">
        <v>0</v>
      </c>
    </row>
    <row r="3" spans="1:6" ht="16.5" customHeight="1" x14ac:dyDescent="0.25">
      <c r="A3" s="7"/>
      <c r="B3" s="5"/>
      <c r="C3" s="4"/>
    </row>
    <row r="4" spans="1:6" ht="56.25" customHeight="1" x14ac:dyDescent="0.25">
      <c r="A4" s="7" t="s">
        <v>630</v>
      </c>
      <c r="B4" s="5" t="s">
        <v>230</v>
      </c>
      <c r="C4" s="17">
        <v>909405</v>
      </c>
    </row>
    <row r="5" spans="1:6" ht="16.5" customHeight="1" x14ac:dyDescent="0.25">
      <c r="A5" s="7"/>
      <c r="B5" s="5"/>
      <c r="C5" s="4"/>
    </row>
    <row r="18" spans="1:2" x14ac:dyDescent="0.25">
      <c r="A18" s="11" t="s">
        <v>4</v>
      </c>
      <c r="B18" s="12" t="s">
        <v>326</v>
      </c>
    </row>
    <row r="20" spans="1:2" x14ac:dyDescent="0.25">
      <c r="A20" s="11" t="s">
        <v>231</v>
      </c>
      <c r="B20" s="12" t="s">
        <v>233</v>
      </c>
    </row>
    <row r="21" spans="1:2" x14ac:dyDescent="0.25">
      <c r="A21" s="13">
        <v>44571</v>
      </c>
      <c r="B21" s="14">
        <v>2</v>
      </c>
    </row>
    <row r="22" spans="1:2" x14ac:dyDescent="0.25">
      <c r="A22" s="13">
        <v>44582</v>
      </c>
      <c r="B22" s="14">
        <v>2</v>
      </c>
    </row>
    <row r="23" spans="1:2" x14ac:dyDescent="0.25">
      <c r="A23" s="15" t="s">
        <v>334</v>
      </c>
      <c r="B23" s="14">
        <v>2</v>
      </c>
    </row>
    <row r="24" spans="1:2" x14ac:dyDescent="0.25">
      <c r="A24" s="13">
        <v>44587</v>
      </c>
      <c r="B24" s="14">
        <v>1</v>
      </c>
    </row>
    <row r="25" spans="1:2" x14ac:dyDescent="0.25">
      <c r="A25" s="15" t="s">
        <v>328</v>
      </c>
      <c r="B25" s="14">
        <v>1</v>
      </c>
    </row>
    <row r="26" spans="1:2" x14ac:dyDescent="0.25">
      <c r="A26" s="13">
        <v>44588</v>
      </c>
      <c r="B26" s="14">
        <v>1</v>
      </c>
    </row>
    <row r="27" spans="1:2" x14ac:dyDescent="0.25">
      <c r="A27" s="15" t="s">
        <v>328</v>
      </c>
      <c r="B27" s="14">
        <v>1</v>
      </c>
    </row>
    <row r="28" spans="1:2" x14ac:dyDescent="0.25">
      <c r="A28" s="13">
        <v>44589</v>
      </c>
      <c r="B28" s="14">
        <v>3</v>
      </c>
    </row>
    <row r="29" spans="1:2" x14ac:dyDescent="0.25">
      <c r="A29" s="15" t="s">
        <v>640</v>
      </c>
      <c r="B29" s="14">
        <v>1</v>
      </c>
    </row>
    <row r="30" spans="1:2" x14ac:dyDescent="0.25">
      <c r="A30" s="15" t="s">
        <v>340</v>
      </c>
      <c r="B30" s="14">
        <v>2</v>
      </c>
    </row>
    <row r="31" spans="1:2" x14ac:dyDescent="0.25">
      <c r="A31" s="13">
        <v>44592</v>
      </c>
      <c r="B31" s="14">
        <v>17</v>
      </c>
    </row>
    <row r="32" spans="1:2" x14ac:dyDescent="0.25">
      <c r="A32" s="15" t="s">
        <v>334</v>
      </c>
      <c r="B32" s="14">
        <v>1</v>
      </c>
    </row>
    <row r="33" spans="1:2" x14ac:dyDescent="0.25">
      <c r="A33" s="15" t="s">
        <v>639</v>
      </c>
      <c r="B33" s="14">
        <v>1</v>
      </c>
    </row>
    <row r="34" spans="1:2" x14ac:dyDescent="0.25">
      <c r="A34" s="15" t="s">
        <v>649</v>
      </c>
      <c r="B34" s="14">
        <v>1</v>
      </c>
    </row>
    <row r="35" spans="1:2" x14ac:dyDescent="0.25">
      <c r="A35" s="15" t="s">
        <v>340</v>
      </c>
      <c r="B35" s="14">
        <v>1</v>
      </c>
    </row>
    <row r="36" spans="1:2" x14ac:dyDescent="0.25">
      <c r="A36" s="15" t="s">
        <v>650</v>
      </c>
      <c r="B36" s="14">
        <v>1</v>
      </c>
    </row>
    <row r="37" spans="1:2" x14ac:dyDescent="0.25">
      <c r="A37" s="15" t="s">
        <v>651</v>
      </c>
      <c r="B37" s="14">
        <v>1</v>
      </c>
    </row>
    <row r="38" spans="1:2" x14ac:dyDescent="0.25">
      <c r="A38" s="15" t="s">
        <v>642</v>
      </c>
      <c r="B38" s="14">
        <v>4</v>
      </c>
    </row>
    <row r="39" spans="1:2" x14ac:dyDescent="0.25">
      <c r="A39" s="15" t="s">
        <v>337</v>
      </c>
      <c r="B39" s="14">
        <v>3</v>
      </c>
    </row>
    <row r="40" spans="1:2" x14ac:dyDescent="0.25">
      <c r="A40" s="15" t="s">
        <v>644</v>
      </c>
      <c r="B40" s="14">
        <v>1</v>
      </c>
    </row>
    <row r="41" spans="1:2" x14ac:dyDescent="0.25">
      <c r="A41" s="15" t="s">
        <v>333</v>
      </c>
      <c r="B41" s="14">
        <v>2</v>
      </c>
    </row>
    <row r="42" spans="1:2" x14ac:dyDescent="0.25">
      <c r="A42" s="15" t="s">
        <v>652</v>
      </c>
      <c r="B42" s="14">
        <v>1</v>
      </c>
    </row>
    <row r="43" spans="1:2" x14ac:dyDescent="0.25">
      <c r="A43" s="13">
        <v>44599</v>
      </c>
      <c r="B43" s="14">
        <v>75</v>
      </c>
    </row>
    <row r="44" spans="1:2" x14ac:dyDescent="0.25">
      <c r="A44" s="15" t="s">
        <v>334</v>
      </c>
      <c r="B44" s="14">
        <v>1</v>
      </c>
    </row>
    <row r="45" spans="1:2" x14ac:dyDescent="0.25">
      <c r="A45" s="15" t="s">
        <v>669</v>
      </c>
      <c r="B45" s="14">
        <v>1</v>
      </c>
    </row>
    <row r="46" spans="1:2" x14ac:dyDescent="0.25">
      <c r="A46" s="15" t="s">
        <v>639</v>
      </c>
      <c r="B46" s="14">
        <v>1</v>
      </c>
    </row>
    <row r="47" spans="1:2" x14ac:dyDescent="0.25">
      <c r="A47" s="15" t="s">
        <v>649</v>
      </c>
      <c r="B47" s="14">
        <v>1</v>
      </c>
    </row>
    <row r="48" spans="1:2" x14ac:dyDescent="0.25">
      <c r="A48" s="15" t="s">
        <v>329</v>
      </c>
      <c r="B48" s="14">
        <v>1</v>
      </c>
    </row>
    <row r="49" spans="1:2" x14ac:dyDescent="0.25">
      <c r="A49" s="15" t="s">
        <v>636</v>
      </c>
      <c r="B49" s="14">
        <v>1</v>
      </c>
    </row>
    <row r="50" spans="1:2" x14ac:dyDescent="0.25">
      <c r="A50" s="15" t="s">
        <v>339</v>
      </c>
      <c r="B50" s="14">
        <v>2</v>
      </c>
    </row>
    <row r="51" spans="1:2" x14ac:dyDescent="0.25">
      <c r="A51" s="15" t="s">
        <v>653</v>
      </c>
      <c r="B51" s="14">
        <v>1</v>
      </c>
    </row>
    <row r="52" spans="1:2" x14ac:dyDescent="0.25">
      <c r="A52" s="15" t="s">
        <v>657</v>
      </c>
      <c r="B52" s="14">
        <v>1</v>
      </c>
    </row>
    <row r="53" spans="1:2" x14ac:dyDescent="0.25">
      <c r="A53" s="15" t="s">
        <v>340</v>
      </c>
      <c r="B53" s="14">
        <v>2</v>
      </c>
    </row>
    <row r="54" spans="1:2" x14ac:dyDescent="0.25">
      <c r="A54" s="15" t="s">
        <v>654</v>
      </c>
      <c r="B54" s="14">
        <v>1</v>
      </c>
    </row>
    <row r="55" spans="1:2" x14ac:dyDescent="0.25">
      <c r="A55" s="15" t="s">
        <v>658</v>
      </c>
      <c r="B55" s="14">
        <v>1</v>
      </c>
    </row>
    <row r="56" spans="1:2" x14ac:dyDescent="0.25">
      <c r="A56" s="15" t="s">
        <v>330</v>
      </c>
      <c r="B56" s="14">
        <v>2</v>
      </c>
    </row>
    <row r="57" spans="1:2" x14ac:dyDescent="0.25">
      <c r="A57" s="15" t="s">
        <v>659</v>
      </c>
      <c r="B57" s="14">
        <v>1</v>
      </c>
    </row>
    <row r="58" spans="1:2" x14ac:dyDescent="0.25">
      <c r="A58" s="15" t="s">
        <v>637</v>
      </c>
      <c r="B58" s="14">
        <v>1</v>
      </c>
    </row>
    <row r="59" spans="1:2" x14ac:dyDescent="0.25">
      <c r="A59" s="15" t="s">
        <v>650</v>
      </c>
      <c r="B59" s="14">
        <v>3</v>
      </c>
    </row>
    <row r="60" spans="1:2" x14ac:dyDescent="0.25">
      <c r="A60" s="15" t="s">
        <v>655</v>
      </c>
      <c r="B60" s="14">
        <v>2</v>
      </c>
    </row>
    <row r="61" spans="1:2" x14ac:dyDescent="0.25">
      <c r="A61" s="15" t="s">
        <v>345</v>
      </c>
      <c r="B61" s="14">
        <v>1</v>
      </c>
    </row>
    <row r="62" spans="1:2" x14ac:dyDescent="0.25">
      <c r="A62" s="15" t="s">
        <v>641</v>
      </c>
      <c r="B62" s="14">
        <v>1</v>
      </c>
    </row>
    <row r="63" spans="1:2" x14ac:dyDescent="0.25">
      <c r="A63" s="15" t="s">
        <v>651</v>
      </c>
      <c r="B63" s="14">
        <v>1</v>
      </c>
    </row>
    <row r="64" spans="1:2" x14ac:dyDescent="0.25">
      <c r="A64" s="15" t="s">
        <v>643</v>
      </c>
      <c r="B64" s="14">
        <v>2</v>
      </c>
    </row>
    <row r="65" spans="1:2" x14ac:dyDescent="0.25">
      <c r="A65" s="15" t="s">
        <v>331</v>
      </c>
      <c r="B65" s="14">
        <v>5</v>
      </c>
    </row>
    <row r="66" spans="1:2" x14ac:dyDescent="0.25">
      <c r="A66" s="15" t="s">
        <v>656</v>
      </c>
      <c r="B66" s="14">
        <v>2</v>
      </c>
    </row>
    <row r="67" spans="1:2" x14ac:dyDescent="0.25">
      <c r="A67" s="15" t="s">
        <v>660</v>
      </c>
      <c r="B67" s="14">
        <v>3</v>
      </c>
    </row>
    <row r="68" spans="1:2" x14ac:dyDescent="0.25">
      <c r="A68" s="15" t="s">
        <v>332</v>
      </c>
      <c r="B68" s="14">
        <v>1</v>
      </c>
    </row>
    <row r="69" spans="1:2" x14ac:dyDescent="0.25">
      <c r="A69" s="15" t="s">
        <v>343</v>
      </c>
      <c r="B69" s="14">
        <v>10</v>
      </c>
    </row>
    <row r="70" spans="1:2" x14ac:dyDescent="0.25">
      <c r="A70" s="15" t="s">
        <v>644</v>
      </c>
      <c r="B70" s="14">
        <v>2</v>
      </c>
    </row>
    <row r="71" spans="1:2" x14ac:dyDescent="0.25">
      <c r="A71" s="15" t="s">
        <v>661</v>
      </c>
      <c r="B71" s="14">
        <v>1</v>
      </c>
    </row>
    <row r="72" spans="1:2" x14ac:dyDescent="0.25">
      <c r="A72" s="15" t="s">
        <v>341</v>
      </c>
      <c r="B72" s="14">
        <v>1</v>
      </c>
    </row>
    <row r="73" spans="1:2" x14ac:dyDescent="0.25">
      <c r="A73" s="15" t="s">
        <v>342</v>
      </c>
      <c r="B73" s="14">
        <v>1</v>
      </c>
    </row>
    <row r="74" spans="1:2" x14ac:dyDescent="0.25">
      <c r="A74" s="15" t="s">
        <v>645</v>
      </c>
      <c r="B74" s="14">
        <v>1</v>
      </c>
    </row>
    <row r="75" spans="1:2" x14ac:dyDescent="0.25">
      <c r="A75" s="15" t="s">
        <v>646</v>
      </c>
      <c r="B75" s="14">
        <v>1</v>
      </c>
    </row>
    <row r="76" spans="1:2" x14ac:dyDescent="0.25">
      <c r="A76" s="15" t="s">
        <v>662</v>
      </c>
      <c r="B76" s="14">
        <v>1</v>
      </c>
    </row>
    <row r="77" spans="1:2" x14ac:dyDescent="0.25">
      <c r="A77" s="15" t="s">
        <v>663</v>
      </c>
      <c r="B77" s="14">
        <v>1</v>
      </c>
    </row>
    <row r="78" spans="1:2" x14ac:dyDescent="0.25">
      <c r="A78" s="15" t="s">
        <v>336</v>
      </c>
      <c r="B78" s="14">
        <v>2</v>
      </c>
    </row>
    <row r="79" spans="1:2" x14ac:dyDescent="0.25">
      <c r="A79" s="15" t="s">
        <v>664</v>
      </c>
      <c r="B79" s="14">
        <v>1</v>
      </c>
    </row>
    <row r="80" spans="1:2" x14ac:dyDescent="0.25">
      <c r="A80" s="15" t="s">
        <v>344</v>
      </c>
      <c r="B80" s="14">
        <v>2</v>
      </c>
    </row>
    <row r="81" spans="1:2" x14ac:dyDescent="0.25">
      <c r="A81" s="15" t="s">
        <v>335</v>
      </c>
      <c r="B81" s="14">
        <v>1</v>
      </c>
    </row>
    <row r="82" spans="1:2" x14ac:dyDescent="0.25">
      <c r="A82" s="15" t="s">
        <v>638</v>
      </c>
      <c r="B82" s="14">
        <v>1</v>
      </c>
    </row>
    <row r="83" spans="1:2" x14ac:dyDescent="0.25">
      <c r="A83" s="15" t="s">
        <v>338</v>
      </c>
      <c r="B83" s="14">
        <v>4</v>
      </c>
    </row>
    <row r="84" spans="1:2" x14ac:dyDescent="0.25">
      <c r="A84" s="15" t="s">
        <v>665</v>
      </c>
      <c r="B84" s="14">
        <v>1</v>
      </c>
    </row>
    <row r="85" spans="1:2" x14ac:dyDescent="0.25">
      <c r="A85" s="15" t="s">
        <v>647</v>
      </c>
      <c r="B85" s="14">
        <v>1</v>
      </c>
    </row>
    <row r="86" spans="1:2" x14ac:dyDescent="0.25">
      <c r="A86" s="15" t="s">
        <v>648</v>
      </c>
      <c r="B86" s="14">
        <v>1</v>
      </c>
    </row>
    <row r="87" spans="1:2" x14ac:dyDescent="0.25">
      <c r="A87" s="15" t="s">
        <v>666</v>
      </c>
      <c r="B87" s="14">
        <v>1</v>
      </c>
    </row>
    <row r="88" spans="1:2" x14ac:dyDescent="0.25">
      <c r="A88" s="15" t="s">
        <v>667</v>
      </c>
      <c r="B88" s="14">
        <v>1</v>
      </c>
    </row>
    <row r="89" spans="1:2" x14ac:dyDescent="0.25">
      <c r="A89" s="15" t="s">
        <v>668</v>
      </c>
      <c r="B89" s="14">
        <v>1</v>
      </c>
    </row>
    <row r="90" spans="1:2" x14ac:dyDescent="0.25">
      <c r="A90" s="13" t="s">
        <v>232</v>
      </c>
      <c r="B90" s="14">
        <v>101</v>
      </c>
    </row>
  </sheetData>
  <pageMargins left="0.7" right="0.7" top="0.75" bottom="0.75" header="0.3" footer="0.3"/>
  <pageSetup orientation="portrait" horizontalDpi="4294967295" verticalDpi="4294967295" r:id="rId2"/>
  <drawing r:id="rId3"/>
  <legacyDrawing r:id="rId4"/>
  <controls>
    <mc:AlternateContent xmlns:mc="http://schemas.openxmlformats.org/markup-compatibility/2006">
      <mc:Choice Requires="x14">
        <control shapeId="1028" r:id="rId5" name="CheckBox1">
          <controlPr defaultSize="0" autoLine="0" r:id="rId6">
            <anchor moveWithCells="1">
              <from>
                <xdr:col>4</xdr:col>
                <xdr:colOff>0</xdr:colOff>
                <xdr:row>7</xdr:row>
                <xdr:rowOff>38100</xdr:rowOff>
              </from>
              <to>
                <xdr:col>7</xdr:col>
                <xdr:colOff>95250</xdr:colOff>
                <xdr:row>9</xdr:row>
                <xdr:rowOff>171450</xdr:rowOff>
              </to>
            </anchor>
          </controlPr>
        </control>
      </mc:Choice>
      <mc:Fallback>
        <control shapeId="1028" r:id="rId5" name="CheckBox1"/>
      </mc:Fallback>
    </mc:AlternateContent>
    <mc:AlternateContent xmlns:mc="http://schemas.openxmlformats.org/markup-compatibility/2006">
      <mc:Choice Requires="x14">
        <control shapeId="1029" r:id="rId7" name="CheckBox2">
          <controlPr defaultSize="0" autoLine="0" r:id="rId8">
            <anchor moveWithCells="1">
              <from>
                <xdr:col>4</xdr:col>
                <xdr:colOff>0</xdr:colOff>
                <xdr:row>10</xdr:row>
                <xdr:rowOff>85725</xdr:rowOff>
              </from>
              <to>
                <xdr:col>7</xdr:col>
                <xdr:colOff>161925</xdr:colOff>
                <xdr:row>13</xdr:row>
                <xdr:rowOff>123825</xdr:rowOff>
              </to>
            </anchor>
          </controlPr>
        </control>
      </mc:Choice>
      <mc:Fallback>
        <control shapeId="1029" r:id="rId7" name="CheckBox2"/>
      </mc:Fallback>
    </mc:AlternateContent>
    <mc:AlternateContent xmlns:mc="http://schemas.openxmlformats.org/markup-compatibility/2006">
      <mc:Choice Requires="x14">
        <control shapeId="1025" r:id="rId9" name="Button 1">
          <controlPr defaultSize="0" print="0" autoFill="0" autoPict="0" macro="[0]!Main">
            <anchor moveWithCells="1" sizeWithCells="1">
              <from>
                <xdr:col>0</xdr:col>
                <xdr:colOff>457200</xdr:colOff>
                <xdr:row>4</xdr:row>
                <xdr:rowOff>200025</xdr:rowOff>
              </from>
              <to>
                <xdr:col>0</xdr:col>
                <xdr:colOff>3514725</xdr:colOff>
                <xdr:row>10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0" name="Button 6">
          <controlPr defaultSize="0" print="0" autoFill="0" autoPict="0" macro="[0]!PrintTable">
            <anchor moveWithCells="1" sizeWithCells="1">
              <from>
                <xdr:col>0</xdr:col>
                <xdr:colOff>400050</xdr:colOff>
                <xdr:row>12</xdr:row>
                <xdr:rowOff>0</xdr:rowOff>
              </from>
              <to>
                <xdr:col>0</xdr:col>
                <xdr:colOff>3543300</xdr:colOff>
                <xdr:row>15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1" name="Button 7">
          <controlPr defaultSize="0" print="0" autoFill="0" autoPict="0" macro="[0]!schedule">
            <anchor moveWithCells="1" sizeWithCells="1">
              <from>
                <xdr:col>1</xdr:col>
                <xdr:colOff>19050</xdr:colOff>
                <xdr:row>6</xdr:row>
                <xdr:rowOff>95250</xdr:rowOff>
              </from>
              <to>
                <xdr:col>2</xdr:col>
                <xdr:colOff>1447800</xdr:colOff>
                <xdr:row>12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2" name="Button 8">
          <controlPr defaultSize="0" print="0" autoFill="0" autoPict="0" macro="[0]!_xludf.hide">
            <anchor moveWithCells="1" sizeWithCells="1">
              <from>
                <xdr:col>8</xdr:col>
                <xdr:colOff>323850</xdr:colOff>
                <xdr:row>5</xdr:row>
                <xdr:rowOff>19050</xdr:rowOff>
              </from>
              <to>
                <xdr:col>11</xdr:col>
                <xdr:colOff>495300</xdr:colOff>
                <xdr:row>8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3" name="Button 9">
          <controlPr defaultSize="0" print="0" autoFill="0" autoPict="0" macro="[0]!_xludf.unhide">
            <anchor moveWithCells="1" sizeWithCells="1">
              <from>
                <xdr:col>8</xdr:col>
                <xdr:colOff>342900</xdr:colOff>
                <xdr:row>9</xdr:row>
                <xdr:rowOff>104775</xdr:rowOff>
              </from>
              <to>
                <xdr:col>11</xdr:col>
                <xdr:colOff>476250</xdr:colOff>
                <xdr:row>13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F90"/>
  <sheetViews>
    <sheetView zoomScale="120" zoomScaleNormal="120" workbookViewId="0">
      <selection activeCell="J20" sqref="J20"/>
    </sheetView>
  </sheetViews>
  <sheetFormatPr defaultRowHeight="15" x14ac:dyDescent="0.25"/>
  <cols>
    <col min="1" max="1" width="15.85546875" style="26" bestFit="1" customWidth="1"/>
    <col min="2" max="2" width="48.85546875" style="12" bestFit="1" customWidth="1"/>
    <col min="3" max="3" width="11" style="26" bestFit="1" customWidth="1"/>
    <col min="4" max="4" width="16.28515625" style="26" bestFit="1" customWidth="1"/>
    <col min="5" max="5" width="10.85546875" style="26" bestFit="1" customWidth="1"/>
    <col min="6" max="6" width="15.5703125" style="26" bestFit="1" customWidth="1"/>
  </cols>
  <sheetData>
    <row r="1" spans="1:6" ht="30" x14ac:dyDescent="0.25">
      <c r="A1" s="27" t="s">
        <v>631</v>
      </c>
      <c r="B1" s="27" t="s">
        <v>632</v>
      </c>
      <c r="C1" s="27" t="s">
        <v>633</v>
      </c>
      <c r="D1" s="27" t="s">
        <v>671</v>
      </c>
      <c r="E1" s="27" t="s">
        <v>628</v>
      </c>
      <c r="F1" s="27" t="s">
        <v>634</v>
      </c>
    </row>
    <row r="2" spans="1:6" x14ac:dyDescent="0.25">
      <c r="A2" s="26" t="s">
        <v>94</v>
      </c>
      <c r="B2" s="12" t="str">
        <f>VLOOKUP(A2,work!$B$2:$C$50000,2,0)</f>
        <v xml:space="preserve">EVAP KIT 64 1/2- 66 MUSTANG </v>
      </c>
      <c r="C2" s="26">
        <f>SUMIFS(work!$F$2:$F$50000,work!$C$2:$C$50000,print!B2)</f>
        <v>5</v>
      </c>
      <c r="D2" s="26" t="s">
        <v>678</v>
      </c>
      <c r="E2" s="26">
        <f>VLOOKUP(B2,'kits to boards'!$N$1:$O$1000,2,0)</f>
        <v>781066</v>
      </c>
      <c r="F2" s="26" t="str">
        <f>VLOOKUP(B2,'kits to boards'!$B$2:$G$1000,6,0)</f>
        <v>830076--</v>
      </c>
    </row>
    <row r="3" spans="1:6" x14ac:dyDescent="0.25">
      <c r="A3" s="26" t="s">
        <v>66</v>
      </c>
      <c r="B3" s="12" t="str">
        <f>VLOOKUP(A3,work!$B$2:$C$50000,2,0)</f>
        <v>EVAP KIT 66-67 CHEVELLE WO AC</v>
      </c>
      <c r="C3" s="26">
        <f>SUMIFS(work!$F$2:$F$50000,work!$C$2:$C$50000,print!B3)</f>
        <v>5</v>
      </c>
      <c r="D3" s="26" t="s">
        <v>679</v>
      </c>
      <c r="E3" s="26">
        <f>VLOOKUP(B3,'kits to boards'!$N$1:$O$1000,2,0)</f>
        <v>784161</v>
      </c>
      <c r="F3" s="26" t="str">
        <f>VLOOKUP(B3,'kits to boards'!$B$2:$G$1000,6,0)</f>
        <v>830060--</v>
      </c>
    </row>
    <row r="4" spans="1:6" x14ac:dyDescent="0.25">
      <c r="A4" s="26" t="s">
        <v>60</v>
      </c>
      <c r="B4" s="12" t="str">
        <f>VLOOKUP(A4,work!$B$2:$C$50000,2,0)</f>
        <v>EVAP KIT 68-69 CHEVELLE WO AC</v>
      </c>
      <c r="C4" s="26">
        <f>SUMIFS(work!$F$2:$F$50000,work!$C$2:$C$50000,print!B4)</f>
        <v>9</v>
      </c>
      <c r="D4" s="26" t="s">
        <v>681</v>
      </c>
      <c r="E4" s="26">
        <f>VLOOKUP(B4,'kits to boards'!$N$1:$O$1000,2,0)</f>
        <v>784165</v>
      </c>
      <c r="F4" s="26" t="str">
        <f>VLOOKUP(B4,'kits to boards'!$B$2:$G$1000,6,0)</f>
        <v>830062--</v>
      </c>
    </row>
    <row r="5" spans="1:6" x14ac:dyDescent="0.25">
      <c r="A5" s="26" t="s">
        <v>122</v>
      </c>
      <c r="B5" s="12" t="str">
        <f>VLOOKUP(A5,work!$B$2:$C$50000,2,0)</f>
        <v>EVAP KIT 70-72 CUTLASS W/AC</v>
      </c>
      <c r="C5" s="26">
        <f>SUMIFS(work!$F$2:$F$50000,work!$C$2:$C$50000,print!B5)</f>
        <v>3</v>
      </c>
      <c r="D5" s="26" t="s">
        <v>682</v>
      </c>
      <c r="E5" s="26">
        <f>VLOOKUP(B5,'kits to boards'!$N$1:$O$1000,2,0)</f>
        <v>784156</v>
      </c>
      <c r="F5" s="26" t="str">
        <f>VLOOKUP(B5,'kits to boards'!$B$2:$G$1000,6,0)</f>
        <v>830027--</v>
      </c>
    </row>
    <row r="6" spans="1:6" x14ac:dyDescent="0.25">
      <c r="A6" s="26" t="s">
        <v>32</v>
      </c>
      <c r="B6" s="12" t="str">
        <f>VLOOKUP(A6,work!$B$2:$C$50000,2,0)</f>
        <v>EVAP KIT 67-68 CAMARO/FIREBIRD W/AC</v>
      </c>
      <c r="C6" s="26">
        <f>SUMIFS(work!$F$2:$F$50000,work!$C$2:$C$50000,print!B6)</f>
        <v>4</v>
      </c>
      <c r="D6" s="26" t="s">
        <v>673</v>
      </c>
      <c r="E6" s="26">
        <f>VLOOKUP(B6,'kits to boards'!$N$1:$O$1000,2,0)</f>
        <v>784190</v>
      </c>
      <c r="F6" s="26" t="str">
        <f>VLOOKUP(B6,'kits to boards'!$B$2:$G$1000,6,0)</f>
        <v>830016--</v>
      </c>
    </row>
    <row r="7" spans="1:6" x14ac:dyDescent="0.25">
      <c r="A7" s="26" t="s">
        <v>40</v>
      </c>
      <c r="B7" s="12" t="str">
        <f>VLOOKUP(A7,work!$B$2:$C$50000,2,0)</f>
        <v>EVAP KIT 79-81 CAMARO W/AC</v>
      </c>
      <c r="C7" s="26">
        <f>SUMIFS(work!$F$2:$F$50000,work!$C$2:$C$50000,print!B7)</f>
        <v>2</v>
      </c>
      <c r="D7" s="26" t="s">
        <v>670</v>
      </c>
      <c r="E7" s="26">
        <f>VLOOKUP(B7,'kits to boards'!$N$1:$O$1000,2,0)</f>
        <v>781175</v>
      </c>
      <c r="F7" s="26" t="str">
        <f>VLOOKUP(B7,'kits to boards'!$B$2:$G$1000,6,0)</f>
        <v>830024--</v>
      </c>
    </row>
    <row r="8" spans="1:6" x14ac:dyDescent="0.25">
      <c r="A8" s="26" t="s">
        <v>34</v>
      </c>
      <c r="B8" s="12" t="str">
        <f>VLOOKUP(A8,work!$B$2:$C$50000,2,0)</f>
        <v>EVAP KIT 57 CHEV WO AC</v>
      </c>
      <c r="C8" s="26">
        <f>SUMIFS(work!$F$2:$F$50000,work!$C$2:$C$50000,print!B8)</f>
        <v>4</v>
      </c>
      <c r="D8" s="26" t="s">
        <v>673</v>
      </c>
      <c r="E8" s="26">
        <f>VLOOKUP(B8,'kits to boards'!$N$1:$O$1000,2,0)</f>
        <v>781161</v>
      </c>
      <c r="F8" s="26" t="str">
        <f>VLOOKUP(B8,'kits to boards'!$B$2:$G$1000,6,0)</f>
        <v>830065--</v>
      </c>
    </row>
    <row r="9" spans="1:6" x14ac:dyDescent="0.25">
      <c r="A9" s="26" t="s">
        <v>74</v>
      </c>
      <c r="B9" s="12" t="str">
        <f>VLOOKUP(A9,work!$B$2:$C$50000,2,0)</f>
        <v>EVAP KIT 57 CHEV WO AC 4-VENT PLENUM</v>
      </c>
      <c r="C9" s="26">
        <f>SUMIFS(work!$F$2:$F$50000,work!$C$2:$C$50000,print!B9)</f>
        <v>7</v>
      </c>
      <c r="D9" s="26" t="s">
        <v>683</v>
      </c>
      <c r="E9" s="26">
        <f>VLOOKUP(B9,'kits to boards'!$N$1:$O$1000,2,0)</f>
        <v>781162</v>
      </c>
      <c r="F9" s="26" t="str">
        <f>VLOOKUP(B9,'kits to boards'!$B$2:$G$1000,6,0)</f>
        <v>830065--</v>
      </c>
    </row>
    <row r="10" spans="1:6" x14ac:dyDescent="0.25">
      <c r="A10" s="26" t="s">
        <v>120</v>
      </c>
      <c r="B10" s="12" t="str">
        <f>VLOOKUP(A10,work!$B$2:$C$50000,2,0)</f>
        <v>EVAP KIT 67-72 CHEV P-UP WO AC W/FACT AIR CTRLS</v>
      </c>
      <c r="C10" s="26">
        <f>SUMIFS(work!$F$2:$F$50000,work!$C$2:$C$50000,print!B10)</f>
        <v>1</v>
      </c>
      <c r="D10" s="26" t="s">
        <v>670</v>
      </c>
      <c r="E10" s="26">
        <f>VLOOKUP(B10,'kits to boards'!$N$1:$O$1000,2,0)</f>
        <v>791171</v>
      </c>
      <c r="F10" s="26" t="str">
        <f>VLOOKUP(B10,'kits to boards'!$B$2:$G$1000,6,0)</f>
        <v>830014--</v>
      </c>
    </row>
    <row r="11" spans="1:6" x14ac:dyDescent="0.25">
      <c r="A11" s="26" t="s">
        <v>26</v>
      </c>
      <c r="B11" s="12" t="str">
        <f>VLOOKUP(A11,work!$B$2:$C$50000,2,0)</f>
        <v>EVAP KIT 67-72 CHEV P-UP W/AC</v>
      </c>
      <c r="C11" s="26">
        <f>SUMIFS(work!$F$2:$F$50000,work!$C$2:$C$50000,print!B11)</f>
        <v>4</v>
      </c>
      <c r="D11" s="26" t="s">
        <v>670</v>
      </c>
      <c r="E11" s="26">
        <f>VLOOKUP(B11,'kits to boards'!$N$1:$O$1000,2,0)</f>
        <v>794170</v>
      </c>
      <c r="F11" s="26" t="str">
        <f>VLOOKUP(B11,'kits to boards'!$B$2:$G$1000,6,0)</f>
        <v>830013--</v>
      </c>
    </row>
    <row r="12" spans="1:6" x14ac:dyDescent="0.25">
      <c r="A12" s="26" t="s">
        <v>14</v>
      </c>
      <c r="B12" s="12" t="str">
        <f>VLOOKUP(A12,work!$B$2:$C$50000,2,0)</f>
        <v>EVAP KIT 55-56 CHEVY</v>
      </c>
      <c r="C12" s="26">
        <f>SUMIFS(work!$F$2:$F$50000,work!$C$2:$C$50000,print!B12)</f>
        <v>4</v>
      </c>
      <c r="D12" s="26" t="s">
        <v>685</v>
      </c>
      <c r="E12" s="26" t="str">
        <f>VLOOKUP(B12,'kits to boards'!$N$1:$O$1000,2,0)</f>
        <v>78255-PCN</v>
      </c>
      <c r="F12" s="26" t="str">
        <f>VLOOKUP(B12,'kits to boards'!$B$2:$G$1000,6,0)</f>
        <v>830054--</v>
      </c>
    </row>
    <row r="13" spans="1:6" x14ac:dyDescent="0.25">
      <c r="A13" s="26" t="s">
        <v>54</v>
      </c>
      <c r="B13" s="12" t="str">
        <f>VLOOKUP(A13,work!$B$2:$C$50000,2,0)</f>
        <v>EVAP KIT 70-81 FIREBIRD W/AC</v>
      </c>
      <c r="C13" s="26">
        <f>SUMIFS(work!$F$2:$F$50000,work!$C$2:$C$50000,print!B13)</f>
        <v>3</v>
      </c>
      <c r="D13" s="26" t="s">
        <v>686</v>
      </c>
      <c r="E13" s="26">
        <f>VLOOKUP(B13,'kits to boards'!$N$1:$O$1000,2,0)</f>
        <v>781181</v>
      </c>
      <c r="F13" s="26" t="str">
        <f>VLOOKUP(B13,'kits to boards'!$B$2:$G$1000,6,0)</f>
        <v>830037--</v>
      </c>
    </row>
    <row r="14" spans="1:6" x14ac:dyDescent="0.25">
      <c r="A14" s="26" t="s">
        <v>36</v>
      </c>
      <c r="B14" s="12" t="str">
        <f>VLOOKUP(A14,work!$B$2:$C$50000,2,0)</f>
        <v>EVAP KIT 64-66 CHEV P-UP WO AC W/STD</v>
      </c>
      <c r="C14" s="26">
        <f>SUMIFS(work!$F$2:$F$50000,work!$C$2:$C$50000,print!B14)</f>
        <v>3</v>
      </c>
      <c r="D14" s="26" t="s">
        <v>687</v>
      </c>
      <c r="E14" s="26">
        <f>VLOOKUP(B14,'kits to boards'!$N$1:$O$1000,2,0)</f>
        <v>791165</v>
      </c>
      <c r="F14" s="26" t="str">
        <f>VLOOKUP(B14,'kits to boards'!$B$2:$G$1000,6,0)</f>
        <v>830015--</v>
      </c>
    </row>
    <row r="15" spans="1:6" x14ac:dyDescent="0.25">
      <c r="A15" s="26" t="s">
        <v>124</v>
      </c>
      <c r="B15" s="12" t="str">
        <f>VLOOKUP(A15,work!$B$2:$C$50000,2,0)</f>
        <v>EVAP KIT 73-80 CHEV P-UP WO AC</v>
      </c>
      <c r="C15" s="26">
        <f>SUMIFS(work!$F$2:$F$50000,work!$C$2:$C$50000,print!B15)</f>
        <v>4</v>
      </c>
      <c r="D15" s="26" t="s">
        <v>674</v>
      </c>
      <c r="E15" s="26">
        <f>VLOOKUP(B15,'kits to boards'!$N$1:$O$1000,2,0)</f>
        <v>791175</v>
      </c>
      <c r="F15" s="26" t="str">
        <f>VLOOKUP(B15,'kits to boards'!$B$2:$G$1000,6,0)</f>
        <v>830002--</v>
      </c>
    </row>
    <row r="16" spans="1:6" x14ac:dyDescent="0.25">
      <c r="A16" s="26" t="s">
        <v>128</v>
      </c>
      <c r="B16" s="12" t="str">
        <f>VLOOKUP(A16,work!$B$2:$C$50000,2,0)</f>
        <v>EVAP KIT 63-66 VETTE WO AC</v>
      </c>
      <c r="C16" s="26">
        <f>SUMIFS(work!$F$2:$F$50000,work!$C$2:$C$50000,print!B16)</f>
        <v>2</v>
      </c>
      <c r="D16" s="26" t="s">
        <v>688</v>
      </c>
      <c r="E16" s="26">
        <f>VLOOKUP(B16,'kits to boards'!$N$1:$O$1000,2,0)</f>
        <v>781063</v>
      </c>
      <c r="F16" s="26" t="str">
        <f>VLOOKUP(B16,'kits to boards'!$B$2:$G$1000,6,0)</f>
        <v>830036-830039-</v>
      </c>
    </row>
    <row r="17" spans="1:6" x14ac:dyDescent="0.25">
      <c r="A17" s="26" t="s">
        <v>676</v>
      </c>
      <c r="B17" s="12" t="str">
        <f>VLOOKUP(A17,work!$B$2:$C$50000,2,0)</f>
        <v>EVAP KIT 49-59 STUDE C CAB P-UP</v>
      </c>
      <c r="C17" s="26">
        <f>SUMIFS(work!$F$2:$F$50000,work!$C$2:$C$50000,print!B17)</f>
        <v>1</v>
      </c>
      <c r="D17" s="26" t="s">
        <v>746</v>
      </c>
      <c r="E17" s="26">
        <f>VLOOKUP(B17,'kits to boards'!$N$1:$O$1000,2,0)</f>
        <v>799000</v>
      </c>
      <c r="F17" s="26" t="e">
        <f>VLOOKUP(B17,'kits to boards'!$B$2:$G$1000,6,0)</f>
        <v>#N/A</v>
      </c>
    </row>
    <row r="18" spans="1:6" x14ac:dyDescent="0.25">
      <c r="A18" s="26" t="s">
        <v>30</v>
      </c>
      <c r="B18" s="12" t="str">
        <f>VLOOKUP(A18,work!$B$2:$C$50000,2,0)</f>
        <v>EVAP KIT 55-56 CHEVY 4-VENT</v>
      </c>
      <c r="C18" s="26">
        <f>SUMIFS(work!$F$2:$F$50000,work!$C$2:$C$50000,print!B18)</f>
        <v>3</v>
      </c>
      <c r="D18" s="26" t="s">
        <v>691</v>
      </c>
      <c r="E18" s="26" t="str">
        <f>VLOOKUP(B18,'kits to boards'!$N$1:$O$1000,2,0)</f>
        <v>78256-PCN</v>
      </c>
      <c r="F18" s="26" t="str">
        <f>VLOOKUP(B18,'kits to boards'!$B$2:$G$1000,6,0)</f>
        <v>830054--</v>
      </c>
    </row>
    <row r="19" spans="1:6" x14ac:dyDescent="0.25">
      <c r="A19" s="26" t="s">
        <v>72</v>
      </c>
      <c r="B19" s="12" t="str">
        <f>VLOOKUP(A19,work!$B$2:$C$50000,2,0)</f>
        <v>EVAP KIT 69-74 NOVA W/AC</v>
      </c>
      <c r="C19" s="26">
        <f>SUMIFS(work!$F$2:$F$50000,work!$C$2:$C$50000,print!B19)</f>
        <v>1</v>
      </c>
      <c r="D19" s="26" t="s">
        <v>692</v>
      </c>
      <c r="E19" s="26">
        <f>VLOOKUP(B19,'kits to boards'!$N$1:$O$1000,2,0)</f>
        <v>784177</v>
      </c>
      <c r="F19" s="26" t="str">
        <f>VLOOKUP(B19,'kits to boards'!$B$2:$G$1000,6,0)</f>
        <v>830043--</v>
      </c>
    </row>
    <row r="20" spans="1:6" x14ac:dyDescent="0.25">
      <c r="A20" s="26" t="s">
        <v>132</v>
      </c>
      <c r="B20" s="12" t="str">
        <f>VLOOKUP(A20,work!$B$2:$C$50000,2,0)</f>
        <v>EVAP KIT 61-62 IMPALA WO AC</v>
      </c>
      <c r="C20" s="26">
        <f>SUMIFS(work!$F$2:$F$50000,work!$C$2:$C$50000,print!B20)</f>
        <v>1</v>
      </c>
      <c r="D20" s="26" t="s">
        <v>693</v>
      </c>
      <c r="E20" s="26">
        <f>VLOOKUP(B20,'kits to boards'!$N$1:$O$1000,2,0)</f>
        <v>784061</v>
      </c>
      <c r="F20" s="26" t="str">
        <f>VLOOKUP(B20,'kits to boards'!$B$2:$G$1000,6,0)</f>
        <v>830005--</v>
      </c>
    </row>
    <row r="21" spans="1:6" x14ac:dyDescent="0.25">
      <c r="A21" s="26" t="s">
        <v>92</v>
      </c>
      <c r="B21" s="12" t="str">
        <f>VLOOKUP(A21,work!$B$2:$C$50000,2,0)</f>
        <v>EVAP KIT 50-53 CHEV P-UP GEN IV</v>
      </c>
      <c r="C21" s="26">
        <f>SUMIFS(work!$F$2:$F$50000,work!$C$2:$C$50000,print!B21)</f>
        <v>1</v>
      </c>
      <c r="D21" s="26" t="s">
        <v>694</v>
      </c>
      <c r="E21" s="26">
        <f>VLOOKUP(B21,'kits to boards'!$N$1:$O$1000,2,0)</f>
        <v>799003</v>
      </c>
      <c r="F21" s="26" t="str">
        <f>VLOOKUP(B21,'kits to boards'!$B$2:$G$1000,6,0)</f>
        <v>830063--</v>
      </c>
    </row>
    <row r="22" spans="1:6" x14ac:dyDescent="0.25">
      <c r="A22" s="26" t="s">
        <v>50</v>
      </c>
      <c r="B22" s="12" t="str">
        <f>VLOOKUP(A22,work!$B$2:$C$50000,2,0)</f>
        <v>EVAP KIT 69-74 NOVA WO AC</v>
      </c>
      <c r="C22" s="26">
        <f>SUMIFS(work!$F$2:$F$50000,work!$C$2:$C$50000,print!B22)</f>
        <v>2</v>
      </c>
      <c r="D22" s="26" t="s">
        <v>696</v>
      </c>
      <c r="E22" s="26">
        <f>VLOOKUP(B22,'kits to boards'!$N$1:$O$1000,2,0)</f>
        <v>784176</v>
      </c>
      <c r="F22" s="26" t="str">
        <f>VLOOKUP(B22,'kits to boards'!$B$2:$G$1000,6,0)</f>
        <v>830043--</v>
      </c>
    </row>
    <row r="23" spans="1:6" x14ac:dyDescent="0.25">
      <c r="A23" s="26" t="s">
        <v>42</v>
      </c>
      <c r="B23" s="12" t="str">
        <f>VLOOKUP(A23,work!$B$2:$C$50000,2,0)</f>
        <v>EVAP KIT 67-72 CHEV P-UP WO AC</v>
      </c>
      <c r="C23" s="26">
        <f>SUMIFS(work!$F$2:$F$50000,work!$C$2:$C$50000,print!B23)</f>
        <v>3</v>
      </c>
      <c r="D23" s="26" t="s">
        <v>699</v>
      </c>
      <c r="E23" s="26">
        <f>VLOOKUP(B23,'kits to boards'!$N$1:$O$1000,2,0)</f>
        <v>791170</v>
      </c>
      <c r="F23" s="26" t="str">
        <f>VLOOKUP(B23,'kits to boards'!$B$2:$G$1000,6,0)</f>
        <v>830014--</v>
      </c>
    </row>
    <row r="24" spans="1:6" x14ac:dyDescent="0.25">
      <c r="A24" s="26" t="s">
        <v>134</v>
      </c>
      <c r="B24" s="12" t="str">
        <f>VLOOKUP(A24,work!$B$2:$C$50000,2,0)</f>
        <v>EVAP KIT 64 IMPALA WO AC</v>
      </c>
      <c r="C24" s="26">
        <f>SUMIFS(work!$F$2:$F$50000,work!$C$2:$C$50000,print!B24)</f>
        <v>1</v>
      </c>
      <c r="D24" s="26" t="s">
        <v>700</v>
      </c>
      <c r="E24" s="26">
        <f>VLOOKUP(B24,'kits to boards'!$N$1:$O$1000,2,0)</f>
        <v>784163</v>
      </c>
      <c r="F24" s="26" t="str">
        <f>VLOOKUP(B24,'kits to boards'!$B$2:$G$1000,6,0)</f>
        <v>830007--</v>
      </c>
    </row>
    <row r="25" spans="1:6" x14ac:dyDescent="0.25">
      <c r="A25" s="26" t="s">
        <v>64</v>
      </c>
      <c r="B25" s="12" t="str">
        <f>VLOOKUP(A25,work!$B$2:$C$50000,2,0)</f>
        <v>EVAP KIT 59-60 CHEV CAR 4-LEVER</v>
      </c>
      <c r="C25" s="26">
        <f>SUMIFS(work!$F$2:$F$50000,work!$C$2:$C$50000,print!B25)</f>
        <v>2</v>
      </c>
      <c r="D25" s="26" t="s">
        <v>702</v>
      </c>
      <c r="E25" s="26">
        <f>VLOOKUP(B25,'kits to boards'!$N$1:$O$1000,2,0)</f>
        <v>781160</v>
      </c>
      <c r="F25" s="26" t="str">
        <f>VLOOKUP(B25,'kits to boards'!$B$2:$G$1000,6,0)</f>
        <v>830067--</v>
      </c>
    </row>
    <row r="26" spans="1:6" x14ac:dyDescent="0.25">
      <c r="A26" s="26" t="s">
        <v>152</v>
      </c>
      <c r="B26" s="12" t="str">
        <f>VLOOKUP(A26,work!$B$2:$C$50000,2,0)</f>
        <v>EVAP KIT 64-67 GTO WO AC</v>
      </c>
      <c r="C26" s="26">
        <f>SUMIFS(work!$F$2:$F$50000,work!$C$2:$C$50000,print!B26)</f>
        <v>2</v>
      </c>
      <c r="D26" s="26" t="s">
        <v>704</v>
      </c>
      <c r="E26" s="26">
        <f>VLOOKUP(B26,'kits to boards'!$N$1:$O$1000,2,0)</f>
        <v>784157</v>
      </c>
      <c r="F26" s="26" t="str">
        <f>VLOOKUP(B26,'kits to boards'!$B$2:$G$1000,6,0)</f>
        <v>830034--</v>
      </c>
    </row>
    <row r="27" spans="1:6" x14ac:dyDescent="0.25">
      <c r="A27" s="26" t="s">
        <v>52</v>
      </c>
      <c r="B27" s="12" t="str">
        <f>VLOOKUP(A27,work!$B$2:$C$50000,2,0)</f>
        <v>EVAP KIT 67-68 CAMARO/FIREBIRD WO/AC</v>
      </c>
      <c r="C27" s="26">
        <f>SUMIFS(work!$F$2:$F$50000,work!$C$2:$C$50000,print!B27)</f>
        <v>4</v>
      </c>
      <c r="D27" s="26" t="s">
        <v>708</v>
      </c>
      <c r="E27" s="26">
        <f>VLOOKUP(B27,'kits to boards'!$N$1:$O$1000,2,0)</f>
        <v>781190</v>
      </c>
      <c r="F27" s="26" t="str">
        <f>VLOOKUP(B27,'kits to boards'!$B$2:$G$1000,6,0)</f>
        <v>830017-830119-830120</v>
      </c>
    </row>
    <row r="28" spans="1:6" x14ac:dyDescent="0.25">
      <c r="A28" s="26" t="s">
        <v>192</v>
      </c>
      <c r="B28" s="12" t="str">
        <f>VLOOKUP(A28,work!$B$2:$C$50000,2,0)</f>
        <v>EVAP KIT 69-73 VETTE W/AC</v>
      </c>
      <c r="C28" s="26">
        <f>SUMIFS(work!$F$2:$F$50000,work!$C$2:$C$50000,print!B28)</f>
        <v>2</v>
      </c>
      <c r="D28" s="26" t="s">
        <v>710</v>
      </c>
      <c r="E28" s="26" t="str">
        <f>VLOOKUP(B28,'kits to boards'!$N$1:$O$1000,2,0)</f>
        <v>784173-PCF</v>
      </c>
      <c r="F28" s="26" t="str">
        <f>VLOOKUP(B28,'kits to boards'!$B$2:$G$1000,6,0)</f>
        <v>830094--</v>
      </c>
    </row>
    <row r="29" spans="1:6" x14ac:dyDescent="0.25">
      <c r="A29" s="26" t="s">
        <v>62</v>
      </c>
      <c r="B29" s="12" t="str">
        <f>VLOOKUP(A29,work!$B$2:$C$50000,2,0)</f>
        <v>EVAP KIT 67-68 MUSTANG/COUGAR WO AC</v>
      </c>
      <c r="C29" s="26">
        <f>SUMIFS(work!$F$2:$F$50000,work!$C$2:$C$50000,print!B29)</f>
        <v>2</v>
      </c>
      <c r="D29" s="26" t="s">
        <v>712</v>
      </c>
      <c r="E29" s="26">
        <f>VLOOKUP(B29,'kits to boards'!$N$1:$O$1000,2,0)</f>
        <v>781067</v>
      </c>
      <c r="F29" s="26" t="str">
        <f>VLOOKUP(B29,'kits to boards'!$B$2:$G$1000,6,0)</f>
        <v>830079-830046-</v>
      </c>
    </row>
    <row r="30" spans="1:6" x14ac:dyDescent="0.25">
      <c r="A30" s="26" t="s">
        <v>148</v>
      </c>
      <c r="B30" s="12" t="str">
        <f>VLOOKUP(A30,work!$B$2:$C$50000,2,0)</f>
        <v>EVAP KIT 77 VETTE W/AC</v>
      </c>
      <c r="C30" s="26">
        <f>SUMIFS(work!$F$2:$F$50000,work!$C$2:$C$50000,print!B30)</f>
        <v>1</v>
      </c>
      <c r="D30" s="26" t="s">
        <v>713</v>
      </c>
      <c r="E30" s="26">
        <f>VLOOKUP(B30,'kits to boards'!$N$1:$O$1000,2,0)</f>
        <v>785175</v>
      </c>
      <c r="F30" s="26" t="str">
        <f>VLOOKUP(B30,'kits to boards'!$B$2:$G$1000,6,0)</f>
        <v>830098--</v>
      </c>
    </row>
    <row r="31" spans="1:6" x14ac:dyDescent="0.25">
      <c r="A31" s="26" t="s">
        <v>256</v>
      </c>
      <c r="B31" s="12" t="str">
        <f>VLOOKUP(A31,work!$B$2:$C$50000,2,0)</f>
        <v>EVAP KIT 68-69 CUTLASS W/AC</v>
      </c>
      <c r="C31" s="26">
        <f>SUMIFS(work!$F$2:$F$50000,work!$C$2:$C$50000,print!B31)</f>
        <v>2</v>
      </c>
      <c r="D31" s="26" t="s">
        <v>715</v>
      </c>
      <c r="E31" s="26">
        <f>VLOOKUP(B31,'kits to boards'!$N$1:$O$1000,2,0)</f>
        <v>784070</v>
      </c>
      <c r="F31" s="26" t="str">
        <f>VLOOKUP(B31,'kits to boards'!$B$2:$G$1000,6,0)</f>
        <v>830025-830022-</v>
      </c>
    </row>
    <row r="32" spans="1:6" x14ac:dyDescent="0.25">
      <c r="A32" s="26" t="s">
        <v>114</v>
      </c>
      <c r="B32" s="12" t="str">
        <f>VLOOKUP(A32,work!$B$2:$C$50000,2,0)</f>
        <v>EVAP KIT 66-67 CHEVELLE W/AC</v>
      </c>
      <c r="C32" s="26">
        <f>SUMIFS(work!$F$2:$F$50000,work!$C$2:$C$50000,print!B32)</f>
        <v>1</v>
      </c>
      <c r="D32" s="26" t="s">
        <v>716</v>
      </c>
      <c r="E32" s="26">
        <f>VLOOKUP(B32,'kits to boards'!$N$1:$O$1000,2,0)</f>
        <v>784175</v>
      </c>
      <c r="F32" s="26" t="str">
        <f>VLOOKUP(B32,'kits to boards'!$B$2:$G$1000,6,0)</f>
        <v>830059--</v>
      </c>
    </row>
    <row r="33" spans="1:6" x14ac:dyDescent="0.25">
      <c r="A33" s="26" t="s">
        <v>18</v>
      </c>
      <c r="B33" s="12" t="str">
        <f>VLOOKUP(A33,work!$B$2:$C$50000,2,0)</f>
        <v>EVAP KIT 70-78 CAMARO W/AC</v>
      </c>
      <c r="C33" s="26">
        <f>SUMIFS(work!$F$2:$F$50000,work!$C$2:$C$50000,print!B33)</f>
        <v>3</v>
      </c>
      <c r="D33" s="26" t="s">
        <v>719</v>
      </c>
      <c r="E33" s="26">
        <f>VLOOKUP(B33,'kits to boards'!$N$1:$O$1000,2,0)</f>
        <v>781177</v>
      </c>
      <c r="F33" s="26" t="str">
        <f>VLOOKUP(B33,'kits to boards'!$B$2:$G$1000,6,0)</f>
        <v>830051--</v>
      </c>
    </row>
    <row r="34" spans="1:6" x14ac:dyDescent="0.25">
      <c r="A34" s="26" t="s">
        <v>108</v>
      </c>
      <c r="B34" s="12" t="str">
        <f>VLOOKUP(A34,work!$B$2:$C$50000,2,0)</f>
        <v>EVAP KIT 73-79 FORD TRK/78-79 BCO WO/AC</v>
      </c>
      <c r="C34" s="26">
        <f>SUMIFS(work!$F$2:$F$50000,work!$C$2:$C$50000,print!B34)</f>
        <v>1</v>
      </c>
      <c r="D34" s="26" t="s">
        <v>720</v>
      </c>
      <c r="E34" s="26">
        <f>VLOOKUP(B34,'kits to boards'!$N$1:$O$1000,2,0)</f>
        <v>791160</v>
      </c>
      <c r="F34" s="26" t="str">
        <f>VLOOKUP(B34,'kits to boards'!$B$2:$G$1000,6,0)</f>
        <v>830105-830106-</v>
      </c>
    </row>
    <row r="35" spans="1:6" x14ac:dyDescent="0.25">
      <c r="A35" s="26" t="s">
        <v>88</v>
      </c>
      <c r="B35" s="12" t="str">
        <f>VLOOKUP(A35,work!$B$2:$C$50000,2,0)</f>
        <v>EVAP KIT 81-87 CHEV P-UP WO AC</v>
      </c>
      <c r="C35" s="26">
        <f>SUMIFS(work!$F$2:$F$50000,work!$C$2:$C$50000,print!B35)</f>
        <v>1</v>
      </c>
      <c r="D35" s="26" t="s">
        <v>721</v>
      </c>
      <c r="E35" s="26">
        <f>VLOOKUP(B35,'kits to boards'!$N$1:$O$1000,2,0)</f>
        <v>791181</v>
      </c>
      <c r="F35" s="26" t="str">
        <f>VLOOKUP(B35,'kits to boards'!$B$2:$G$1000,6,0)</f>
        <v>830003--</v>
      </c>
    </row>
    <row r="36" spans="1:6" x14ac:dyDescent="0.25">
      <c r="A36" s="26" t="s">
        <v>68</v>
      </c>
      <c r="B36" s="12" t="str">
        <f>VLOOKUP(A36,work!$B$2:$C$50000,2,0)</f>
        <v>EVAP KIT 70-72 CHEVELLE WO AC</v>
      </c>
      <c r="C36" s="26">
        <f>SUMIFS(work!$F$2:$F$50000,work!$C$2:$C$50000,print!B36)</f>
        <v>1</v>
      </c>
      <c r="D36" s="26" t="s">
        <v>722</v>
      </c>
      <c r="E36" s="26">
        <f>VLOOKUP(B36,'kits to boards'!$N$1:$O$1000,2,0)</f>
        <v>784171</v>
      </c>
      <c r="F36" s="26" t="str">
        <f>VLOOKUP(B36,'kits to boards'!$B$2:$G$1000,6,0)</f>
        <v>830010--</v>
      </c>
    </row>
    <row r="37" spans="1:6" x14ac:dyDescent="0.25">
      <c r="A37" s="26" t="s">
        <v>198</v>
      </c>
      <c r="B37" s="12" t="str">
        <f>VLOOKUP(A37,work!$B$2:$C$50000,2,0)</f>
        <v>EVAP KIT 68-83 TOYOTA FJ40 ULTRA HIGH PERF</v>
      </c>
      <c r="C37" s="26">
        <f>SUMIFS(work!$F$2:$F$50000,work!$C$2:$C$50000,print!B37)</f>
        <v>1</v>
      </c>
      <c r="D37" s="26" t="s">
        <v>723</v>
      </c>
      <c r="E37" s="26">
        <f>VLOOKUP(B37,'kits to boards'!$N$1:$O$1000,2,0)</f>
        <v>791201</v>
      </c>
      <c r="F37" s="26" t="str">
        <f>VLOOKUP(B37,'kits to boards'!$B$2:$G$1000,6,0)</f>
        <v>830042--</v>
      </c>
    </row>
    <row r="38" spans="1:6" x14ac:dyDescent="0.25">
      <c r="A38" s="26" t="s">
        <v>116</v>
      </c>
      <c r="B38" s="12" t="str">
        <f>VLOOKUP(A38,work!$B$2:$C$50000,2,0)</f>
        <v>EVAP KIT 64-65 CHEVELLE WO AC</v>
      </c>
      <c r="C38" s="26">
        <f>SUMIFS(work!$F$2:$F$50000,work!$C$2:$C$50000,print!B38)</f>
        <v>1</v>
      </c>
      <c r="D38" s="26" t="s">
        <v>724</v>
      </c>
      <c r="E38" s="26">
        <f>VLOOKUP(B38,'kits to boards'!$N$1:$O$1000,2,0)</f>
        <v>784159</v>
      </c>
      <c r="F38" s="26" t="str">
        <f>VLOOKUP(B38,'kits to boards'!$B$2:$G$1000,6,0)</f>
        <v>830058--</v>
      </c>
    </row>
    <row r="39" spans="1:6" x14ac:dyDescent="0.25">
      <c r="A39" s="26" t="s">
        <v>46</v>
      </c>
      <c r="B39" s="12" t="str">
        <f>VLOOKUP(A39,work!$B$2:$C$50000,2,0)</f>
        <v>EVAP KIT 68-72 FORD P-UP F-100</v>
      </c>
      <c r="C39" s="26">
        <f>SUMIFS(work!$F$2:$F$50000,work!$C$2:$C$50000,print!B39)</f>
        <v>1</v>
      </c>
      <c r="D39" s="26" t="s">
        <v>725</v>
      </c>
      <c r="E39" s="26">
        <f>VLOOKUP(B39,'kits to boards'!$N$1:$O$1000,2,0)</f>
        <v>791153</v>
      </c>
      <c r="F39" s="26" t="str">
        <f>VLOOKUP(B39,'kits to boards'!$B$2:$G$1000,6,0)</f>
        <v>830018--</v>
      </c>
    </row>
    <row r="40" spans="1:6" x14ac:dyDescent="0.25">
      <c r="A40" s="26" t="s">
        <v>224</v>
      </c>
      <c r="B40" s="12" t="str">
        <f>VLOOKUP(A40,work!$B$2:$C$50000,2,0)</f>
        <v>EVAP KIT 70-72 GTO WO/AC</v>
      </c>
      <c r="C40" s="26">
        <f>SUMIFS(work!$F$2:$F$50000,work!$C$2:$C$50000,print!B40)</f>
        <v>1</v>
      </c>
      <c r="D40" s="26" t="s">
        <v>726</v>
      </c>
      <c r="E40" s="26">
        <f>VLOOKUP(B40,'kits to boards'!$N$1:$O$1000,2,0)</f>
        <v>781084</v>
      </c>
      <c r="F40" s="26" t="str">
        <f>VLOOKUP(B40,'kits to boards'!$B$2:$G$1000,6,0)</f>
        <v>830124--</v>
      </c>
    </row>
    <row r="41" spans="1:6" x14ac:dyDescent="0.25">
      <c r="A41" s="26" t="s">
        <v>48</v>
      </c>
      <c r="B41" s="12" t="str">
        <f>VLOOKUP(A41,work!$B$2:$C$50000,2,0)</f>
        <v>EVAP KIT 64-66 CHEV P-UP WO AC W/DELX</v>
      </c>
      <c r="C41" s="26">
        <f>SUMIFS(work!$F$2:$F$50000,work!$C$2:$C$50000,print!B41)</f>
        <v>2</v>
      </c>
      <c r="D41" s="26" t="s">
        <v>728</v>
      </c>
      <c r="E41" s="26">
        <f>VLOOKUP(B41,'kits to boards'!$N$1:$O$1000,2,0)</f>
        <v>791164</v>
      </c>
      <c r="F41" s="26" t="str">
        <f>VLOOKUP(B41,'kits to boards'!$B$2:$G$1000,6,0)</f>
        <v>830015--</v>
      </c>
    </row>
    <row r="42" spans="1:6" x14ac:dyDescent="0.25">
      <c r="A42" s="26" t="s">
        <v>96</v>
      </c>
      <c r="B42" s="12" t="str">
        <f>VLOOKUP(A42,work!$B$2:$C$50000,2,0)</f>
        <v>EVAP KIT 81-87 CHEV P-UP W/AC</v>
      </c>
      <c r="C42" s="26">
        <f>SUMIFS(work!$F$2:$F$50000,work!$C$2:$C$50000,print!B42)</f>
        <v>1</v>
      </c>
      <c r="D42" s="26" t="s">
        <v>729</v>
      </c>
      <c r="E42" s="26">
        <f>VLOOKUP(B42,'kits to boards'!$N$1:$O$1000,2,0)</f>
        <v>794180</v>
      </c>
      <c r="F42" s="26" t="str">
        <f>VLOOKUP(B42,'kits to boards'!$B$2:$G$1000,6,0)</f>
        <v>830004--</v>
      </c>
    </row>
    <row r="43" spans="1:6" x14ac:dyDescent="0.25">
      <c r="A43" s="26" t="s">
        <v>176</v>
      </c>
      <c r="B43" s="12" t="str">
        <f>VLOOKUP(A43,work!$B$2:$C$50000,2,0)</f>
        <v>EVAP KIT 65-66 IMPALA W/AC</v>
      </c>
      <c r="C43" s="26">
        <f>SUMIFS(work!$F$2:$F$50000,work!$C$2:$C$50000,print!B43)</f>
        <v>1</v>
      </c>
      <c r="D43" s="26" t="s">
        <v>730</v>
      </c>
      <c r="E43" s="26">
        <f>VLOOKUP(B43,'kits to boards'!$N$1:$O$1000,2,0)</f>
        <v>784054</v>
      </c>
      <c r="F43" s="26" t="str">
        <f>VLOOKUP(B43,'kits to boards'!$B$2:$G$1000,6,0)</f>
        <v>830125--</v>
      </c>
    </row>
    <row r="44" spans="1:6" x14ac:dyDescent="0.25">
      <c r="A44" s="26" t="s">
        <v>261</v>
      </c>
      <c r="B44" s="12" t="str">
        <f>VLOOKUP(A44,work!$B$2:$C$50000,2,0)</f>
        <v>EVAP KIT 68 MOPAR B BODY W/AC</v>
      </c>
      <c r="C44" s="26">
        <f>SUMIFS(work!$F$2:$F$50000,work!$C$2:$C$50000,print!B44)</f>
        <v>1</v>
      </c>
      <c r="D44" s="26" t="s">
        <v>731</v>
      </c>
      <c r="E44" s="26">
        <f>VLOOKUP(B44,'kits to boards'!$N$1:$O$1000,2,0)</f>
        <v>781073</v>
      </c>
      <c r="F44" s="26" t="str">
        <f>VLOOKUP(B44,'kits to boards'!$B$2:$G$1000,6,0)</f>
        <v>830074--</v>
      </c>
    </row>
    <row r="45" spans="1:6" x14ac:dyDescent="0.25">
      <c r="A45" s="26" t="s">
        <v>244</v>
      </c>
      <c r="B45" s="12" t="str">
        <f>VLOOKUP(A45,work!$B$2:$C$50000,2,0)</f>
        <v>EVAP KIT 68-76 VETTE WO AC</v>
      </c>
      <c r="C45" s="26">
        <f>SUMIFS(work!$F$2:$F$50000,work!$C$2:$C$50000,print!B45)</f>
        <v>1</v>
      </c>
      <c r="D45" s="26" t="s">
        <v>732</v>
      </c>
      <c r="E45" s="26" t="str">
        <f>VLOOKUP(B45,'kits to boards'!$N$1:$O$1000,2,0)</f>
        <v>781174-PCN</v>
      </c>
      <c r="F45" s="26" t="str">
        <f>VLOOKUP(B45,'kits to boards'!$B$2:$G$1000,6,0)</f>
        <v>830100--</v>
      </c>
    </row>
    <row r="46" spans="1:6" x14ac:dyDescent="0.25">
      <c r="A46" s="26" t="s">
        <v>222</v>
      </c>
      <c r="B46" s="12" t="str">
        <f>VLOOKUP(A46,work!$B$2:$C$50000,2,0)</f>
        <v>EVAP KIT 67 VETTE WO AC</v>
      </c>
      <c r="C46" s="26">
        <f>SUMIFS(work!$F$2:$F$50000,work!$C$2:$C$50000,print!B46)</f>
        <v>1</v>
      </c>
      <c r="D46" s="26" t="s">
        <v>747</v>
      </c>
      <c r="E46" s="26">
        <f>VLOOKUP(B46,'kits to boards'!$N$1:$O$1000,2,0)</f>
        <v>781065</v>
      </c>
      <c r="F46" s="26" t="str">
        <f>VLOOKUP(B46,'kits to boards'!$B$2:$G$1000,6,0)</f>
        <v>830093--</v>
      </c>
    </row>
    <row r="47" spans="1:6" x14ac:dyDescent="0.25">
      <c r="A47" s="26" t="s">
        <v>170</v>
      </c>
      <c r="B47" s="12" t="str">
        <f>VLOOKUP(A47,work!$B$2:$C$50000,2,0)</f>
        <v>EVAP KIT 67 FORD P-UP F-100</v>
      </c>
      <c r="C47" s="26">
        <f>SUMIFS(work!$F$2:$F$50000,work!$C$2:$C$50000,print!B47)</f>
        <v>2</v>
      </c>
      <c r="D47" s="26" t="s">
        <v>734</v>
      </c>
      <c r="E47" s="26">
        <f>VLOOKUP(B47,'kits to boards'!$N$1:$O$1000,2,0)</f>
        <v>791152</v>
      </c>
      <c r="F47" s="26" t="str">
        <f>VLOOKUP(B47,'kits to boards'!$B$2:$G$1000,6,0)</f>
        <v>830018--</v>
      </c>
    </row>
    <row r="48" spans="1:6" x14ac:dyDescent="0.25">
      <c r="A48" s="26" t="s">
        <v>194</v>
      </c>
      <c r="B48" s="12" t="str">
        <f>VLOOKUP(A48,work!$B$2:$C$50000,2,0)</f>
        <v>EVAP KIT 78-82 VETTE W/AC</v>
      </c>
      <c r="C48" s="26">
        <f>SUMIFS(work!$F$2:$F$50000,work!$C$2:$C$50000,print!B48)</f>
        <v>1</v>
      </c>
      <c r="D48" s="26" t="s">
        <v>735</v>
      </c>
      <c r="E48" s="26">
        <f>VLOOKUP(B48,'kits to boards'!$N$1:$O$1000,2,0)</f>
        <v>785176</v>
      </c>
      <c r="F48" s="26" t="str">
        <f>VLOOKUP(B48,'kits to boards'!$B$2:$G$1000,6,0)</f>
        <v>830103--</v>
      </c>
    </row>
    <row r="49" spans="1:6" x14ac:dyDescent="0.25">
      <c r="A49" s="26" t="s">
        <v>56</v>
      </c>
      <c r="B49" s="12" t="str">
        <f>VLOOKUP(A49,work!$B$2:$C$50000,2,0)</f>
        <v>EVAP KIT 70-72 CHEVELLE W/AC</v>
      </c>
      <c r="C49" s="26">
        <f>SUMIFS(work!$F$2:$F$50000,work!$C$2:$C$50000,print!B49)</f>
        <v>1</v>
      </c>
      <c r="D49" s="26" t="s">
        <v>736</v>
      </c>
      <c r="E49" s="26">
        <f>VLOOKUP(B49,'kits to boards'!$N$1:$O$1000,2,0)</f>
        <v>784172</v>
      </c>
      <c r="F49" s="26" t="str">
        <f>VLOOKUP(B49,'kits to boards'!$B$2:$G$1000,6,0)</f>
        <v>830011--</v>
      </c>
    </row>
    <row r="50" spans="1:6" x14ac:dyDescent="0.25">
      <c r="A50" s="26" t="s">
        <v>22</v>
      </c>
      <c r="B50" s="12" t="str">
        <f>VLOOKUP(A50,work!$B$2:$C$50000,2,0)</f>
        <v>GEN IV MAGNUM EVAP KIT</v>
      </c>
      <c r="C50" s="26">
        <f>SUMIFS(work!$F$2:$F$50000,work!$C$2:$C$50000,print!B50)</f>
        <v>5</v>
      </c>
      <c r="D50" s="26" t="s">
        <v>738</v>
      </c>
      <c r="E50" s="26" t="str">
        <f>VLOOKUP(B50,'kits to boards'!$N$1:$O$1000,2,0)</f>
        <v>784004-VUA</v>
      </c>
      <c r="F50" s="26" t="str">
        <f>VLOOKUP(B50,'kits to boards'!$B$2:$G$1000,6,0)</f>
        <v>830083--</v>
      </c>
    </row>
    <row r="51" spans="1:6" x14ac:dyDescent="0.25">
      <c r="A51" s="26" t="s">
        <v>283</v>
      </c>
      <c r="B51" s="12" t="str">
        <f>VLOOKUP(A51,work!$B$2:$C$50000,2,0)</f>
        <v>EVAP KIT 66-67 CHARGER/CORONET WO AC</v>
      </c>
      <c r="C51" s="26">
        <f>SUMIFS(work!$F$2:$F$50000,work!$C$2:$C$50000,print!B51)</f>
        <v>1</v>
      </c>
      <c r="D51" s="26" t="s">
        <v>739</v>
      </c>
      <c r="E51" s="26">
        <f>VLOOKUP(B51,'kits to boards'!$N$1:$O$1000,2,0)</f>
        <v>781077</v>
      </c>
      <c r="F51" s="26" t="str">
        <f>VLOOKUP(B51,'kits to boards'!$B$2:$G$1000,6,0)</f>
        <v>830033--</v>
      </c>
    </row>
    <row r="52" spans="1:6" x14ac:dyDescent="0.25">
      <c r="A52" s="26" t="s">
        <v>156</v>
      </c>
      <c r="B52" s="12" t="str">
        <f>VLOOKUP(A52,work!$B$2:$C$50000,2,0)</f>
        <v>EVAP KIT 70-81 FIREBIRD WO AC</v>
      </c>
      <c r="C52" s="26">
        <f>SUMIFS(work!$F$2:$F$50000,work!$C$2:$C$50000,print!B52)</f>
        <v>1</v>
      </c>
      <c r="D52" s="26" t="s">
        <v>740</v>
      </c>
      <c r="E52" s="26">
        <f>VLOOKUP(B52,'kits to boards'!$N$1:$O$1000,2,0)</f>
        <v>781182</v>
      </c>
      <c r="F52" s="26" t="str">
        <f>VLOOKUP(B52,'kits to boards'!$B$2:$G$1000,6,0)</f>
        <v>830019--</v>
      </c>
    </row>
    <row r="53" spans="1:6" x14ac:dyDescent="0.25">
      <c r="A53" s="26" t="s">
        <v>16</v>
      </c>
      <c r="B53" s="12" t="str">
        <f>VLOOKUP(A53,work!$B$2:$C$50000,2,0)</f>
        <v>EVAP KIT 68-69 CHEVELLE W/AC</v>
      </c>
      <c r="C53" s="26">
        <f>SUMIFS(work!$F$2:$F$50000,work!$C$2:$C$50000,print!B53)</f>
        <v>1</v>
      </c>
      <c r="D53" s="26" t="s">
        <v>741</v>
      </c>
      <c r="E53" s="26">
        <f>VLOOKUP(B53,'kits to boards'!$N$1:$O$1000,2,0)</f>
        <v>784166</v>
      </c>
      <c r="F53" s="26" t="str">
        <f>VLOOKUP(B53,'kits to boards'!$B$2:$G$1000,6,0)</f>
        <v>830061--</v>
      </c>
    </row>
    <row r="54" spans="1:6" x14ac:dyDescent="0.25">
      <c r="A54" s="26" t="s">
        <v>140</v>
      </c>
      <c r="B54" s="12" t="str">
        <f>VLOOKUP(A54,work!$B$2:$C$50000,2,0)</f>
        <v>EVAP KIT 60-63 CHEV P-UP WO AC</v>
      </c>
      <c r="C54" s="26">
        <f>SUMIFS(work!$F$2:$F$50000,work!$C$2:$C$50000,print!B54)</f>
        <v>1</v>
      </c>
      <c r="D54" s="26" t="s">
        <v>742</v>
      </c>
      <c r="E54" s="26">
        <f>VLOOKUP(B54,'kits to boards'!$N$1:$O$1000,2,0)</f>
        <v>791163</v>
      </c>
      <c r="F54" s="26" t="str">
        <f>VLOOKUP(B54,'kits to boards'!$B$2:$G$1000,6,0)</f>
        <v>830066--</v>
      </c>
    </row>
    <row r="55" spans="1:6" x14ac:dyDescent="0.25">
      <c r="A55" s="26" t="s">
        <v>106</v>
      </c>
      <c r="B55" s="12" t="str">
        <f>VLOOKUP(A55,work!$B$2:$C$50000,2,0)</f>
        <v xml:space="preserve">EVAP KIT 55-59 CHEV P-UP WO AC W/DELX </v>
      </c>
      <c r="C55" s="26">
        <f>SUMIFS(work!$F$2:$F$50000,work!$C$2:$C$50000,print!B55)</f>
        <v>1</v>
      </c>
      <c r="D55" s="26" t="s">
        <v>743</v>
      </c>
      <c r="E55" s="26">
        <f>VLOOKUP(B55,'kits to boards'!$N$1:$O$1000,2,0)</f>
        <v>791156</v>
      </c>
      <c r="F55" s="26" t="str">
        <f>VLOOKUP(B55,'kits to boards'!$B$2:$G$1000,6,0)</f>
        <v>830028--</v>
      </c>
    </row>
    <row r="56" spans="1:6" x14ac:dyDescent="0.25">
      <c r="A56" s="26" t="s">
        <v>218</v>
      </c>
      <c r="B56" s="12" t="str">
        <f>VLOOKUP(A56,work!$B$2:$C$50000,2,0)</f>
        <v>EVAP KIT 69 CUTLASS WO AC</v>
      </c>
      <c r="C56" s="26">
        <f>SUMIFS(work!$F$2:$F$50000,work!$C$2:$C$50000,print!B56)</f>
        <v>1</v>
      </c>
      <c r="D56" s="26" t="s">
        <v>744</v>
      </c>
      <c r="E56" s="26">
        <f>VLOOKUP(B56,'kits to boards'!$N$1:$O$1000,2,0)</f>
        <v>784069</v>
      </c>
      <c r="F56" s="26" t="str">
        <f>VLOOKUP(B56,'kits to boards'!$B$2:$G$1000,6,0)</f>
        <v>830022--</v>
      </c>
    </row>
    <row r="57" spans="1:6" x14ac:dyDescent="0.25">
      <c r="A57" s="26" t="s">
        <v>84</v>
      </c>
      <c r="B57" s="12" t="str">
        <f>VLOOKUP(A57,work!$B$2:$C$50000,2,0)</f>
        <v>EVAP KIT 66-77 BRONCO 4-VENT PLENUM</v>
      </c>
      <c r="C57" s="26">
        <f>SUMIFS(work!$F$2:$F$50000,work!$C$2:$C$50000,print!B57)</f>
        <v>1</v>
      </c>
      <c r="D57" s="26" t="s">
        <v>745</v>
      </c>
      <c r="E57" s="26">
        <f>VLOOKUP(B57,'kits to boards'!$N$1:$O$1000,2,0)</f>
        <v>791178</v>
      </c>
      <c r="F57" s="26" t="str">
        <f>VLOOKUP(B57,'kits to boards'!$B$2:$G$1000,6,0)</f>
        <v>830085--</v>
      </c>
    </row>
    <row r="58" spans="1:6" x14ac:dyDescent="0.25">
      <c r="A58"/>
    </row>
    <row r="59" spans="1:6" x14ac:dyDescent="0.25">
      <c r="A59"/>
    </row>
    <row r="60" spans="1:6" x14ac:dyDescent="0.25">
      <c r="A60"/>
    </row>
    <row r="61" spans="1:6" x14ac:dyDescent="0.25">
      <c r="A61"/>
    </row>
    <row r="62" spans="1:6" x14ac:dyDescent="0.25">
      <c r="A62"/>
    </row>
    <row r="63" spans="1:6" x14ac:dyDescent="0.25">
      <c r="A63"/>
    </row>
    <row r="64" spans="1:6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</sheetData>
  <pageMargins left="0.7" right="0.7" top="0.75" bottom="0.75" header="0.3" footer="0.3"/>
  <pageSetup scale="88" fitToHeight="0" orientation="landscape" cellComments="atEnd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home">
                <anchor moveWithCells="1" sizeWithCells="1">
                  <from>
                    <xdr:col>6</xdr:col>
                    <xdr:colOff>600075</xdr:colOff>
                    <xdr:row>1</xdr:row>
                    <xdr:rowOff>9525</xdr:rowOff>
                  </from>
                  <to>
                    <xdr:col>11</xdr:col>
                    <xdr:colOff>133350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print2">
                <anchor moveWithCells="1" sizeWithCells="1">
                  <from>
                    <xdr:col>6</xdr:col>
                    <xdr:colOff>590550</xdr:colOff>
                    <xdr:row>7</xdr:row>
                    <xdr:rowOff>47625</xdr:rowOff>
                  </from>
                  <to>
                    <xdr:col>11</xdr:col>
                    <xdr:colOff>95250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R5304"/>
  <sheetViews>
    <sheetView topLeftCell="A85" zoomScale="90" zoomScaleNormal="90" workbookViewId="0">
      <selection sqref="A1:O5304"/>
    </sheetView>
  </sheetViews>
  <sheetFormatPr defaultRowHeight="15" x14ac:dyDescent="0.25"/>
  <cols>
    <col min="1" max="1" width="13.28515625" bestFit="1" customWidth="1"/>
    <col min="2" max="2" width="14.5703125" bestFit="1" customWidth="1"/>
    <col min="3" max="3" width="48.28515625" customWidth="1"/>
    <col min="4" max="4" width="16.7109375" bestFit="1" customWidth="1"/>
    <col min="5" max="5" width="19.42578125" bestFit="1" customWidth="1"/>
    <col min="6" max="6" width="12" bestFit="1" customWidth="1"/>
    <col min="7" max="7" width="13.85546875" bestFit="1" customWidth="1"/>
    <col min="8" max="8" width="10.42578125" bestFit="1" customWidth="1"/>
    <col min="9" max="9" width="18" bestFit="1" customWidth="1"/>
    <col min="10" max="10" width="20.85546875" customWidth="1"/>
    <col min="11" max="11" width="15.5703125" customWidth="1"/>
    <col min="12" max="14" width="7.7109375" bestFit="1" customWidth="1"/>
    <col min="15" max="15" width="64.140625" customWidth="1"/>
  </cols>
  <sheetData>
    <row r="1" spans="1:1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235</v>
      </c>
      <c r="H1" t="s">
        <v>234</v>
      </c>
      <c r="I1" t="s">
        <v>635</v>
      </c>
      <c r="J1" t="s">
        <v>310</v>
      </c>
      <c r="K1" t="s">
        <v>309</v>
      </c>
      <c r="L1" t="s">
        <v>313</v>
      </c>
      <c r="M1" t="s">
        <v>314</v>
      </c>
      <c r="N1" t="s">
        <v>315</v>
      </c>
      <c r="O1" t="s">
        <v>327</v>
      </c>
    </row>
    <row r="2" spans="1:18" x14ac:dyDescent="0.25">
      <c r="A2" s="1">
        <v>905996</v>
      </c>
      <c r="B2" s="1" t="s">
        <v>180</v>
      </c>
      <c r="C2" s="1" t="s">
        <v>181</v>
      </c>
      <c r="D2" s="2">
        <v>44571.345300775465</v>
      </c>
      <c r="E2" s="1" t="s">
        <v>8</v>
      </c>
      <c r="F2" s="1">
        <v>1</v>
      </c>
      <c r="G2" s="1">
        <v>0</v>
      </c>
      <c r="H2" s="6">
        <f>INT(Query1[[#This Row],[EntryDateTime]])</f>
        <v>44571</v>
      </c>
      <c r="I2" s="1">
        <f>IF(Query1[[#This Row],[ItemType]]="EVAP KIT SF GEN IV",Query1[[#This Row],[OrderQty]],0)</f>
        <v>1</v>
      </c>
      <c r="J2" s="1">
        <f>IF(Query1[[#This Row],[ItemType]]="EVAP KIT UNIVERSAL",Query1[[#This Row],[OrderQty]],0)</f>
        <v>0</v>
      </c>
      <c r="K2" s="1">
        <f>Query1[[#This Row],[SF Running Total]]+Query1[[#This Row],[UNIV Running Total]]</f>
        <v>1</v>
      </c>
      <c r="L2">
        <f>VLOOKUP(Query1[[#This Row],[Description]],'kits to boards'!$B$2:$E$156,2,FALSE)</f>
        <v>830123</v>
      </c>
      <c r="M2">
        <f>VLOOKUP(Query1[[#This Row],[Description]],'kits to boards'!$B$2:$E$156,3,FALSE)</f>
        <v>0</v>
      </c>
      <c r="N2">
        <f>VLOOKUP(Query1[[#This Row],[Description]],'kits to boards'!$B$2:$E$156,4,FALSE)</f>
        <v>0</v>
      </c>
      <c r="O2" t="str">
        <f>CONCATENATE(Query1[[#This Row],[Description]]," - ",Query1[[#This Row],[MB1]]," - ",Query1[[#This Row],[MB2]]," - ",Query1[[#This Row],[MB3]])</f>
        <v>EVAP KIT 68 GTO W/AC - 830123 - 0 - 0</v>
      </c>
      <c r="R2" s="16"/>
    </row>
    <row r="3" spans="1:18" x14ac:dyDescent="0.25">
      <c r="A3" s="1">
        <v>905998</v>
      </c>
      <c r="B3" s="1" t="s">
        <v>72</v>
      </c>
      <c r="C3" s="1" t="s">
        <v>73</v>
      </c>
      <c r="D3" s="2">
        <v>44571.346493136574</v>
      </c>
      <c r="E3" s="1" t="s">
        <v>8</v>
      </c>
      <c r="F3" s="1">
        <v>1</v>
      </c>
      <c r="G3" s="1">
        <v>0</v>
      </c>
      <c r="H3" s="6">
        <f>INT(Query1[[#This Row],[EntryDateTime]])</f>
        <v>44571</v>
      </c>
      <c r="I3" s="1">
        <f>IF(Query1[[#This Row],[ItemType]]="EVAP KIT SF GEN IV",Query1[[#This Row],[OrderQty]]+I2,I2)</f>
        <v>2</v>
      </c>
      <c r="J3" s="1">
        <f>IF(Query1[[#This Row],[ItemType]]="EVAP KIT UNIVERSAL",Query1[[#This Row],[OrderQty]]+J2,J2)</f>
        <v>0</v>
      </c>
      <c r="K3" s="1">
        <f>Query1[[#This Row],[SF Running Total]]+Query1[[#This Row],[UNIV Running Total]]</f>
        <v>2</v>
      </c>
      <c r="L3">
        <f>VLOOKUP(Query1[[#This Row],[Description]],'kits to boards'!$B$2:$E$156,2,FALSE)</f>
        <v>830043</v>
      </c>
      <c r="M3">
        <f>VLOOKUP(Query1[[#This Row],[Description]],'kits to boards'!$B$2:$E$156,3,FALSE)</f>
        <v>0</v>
      </c>
      <c r="N3">
        <f>VLOOKUP(Query1[[#This Row],[Description]],'kits to boards'!$B$2:$E$156,4,FALSE)</f>
        <v>0</v>
      </c>
      <c r="O3" t="str">
        <f>CONCATENATE(Query1[[#This Row],[Description]]," - ",Query1[[#This Row],[MB1]]," - ",Query1[[#This Row],[MB2]]," - ",Query1[[#This Row],[MB3]])</f>
        <v>EVAP KIT 69-74 NOVA W/AC - 830043 - 0 - 0</v>
      </c>
    </row>
    <row r="4" spans="1:18" x14ac:dyDescent="0.25">
      <c r="A4" s="1">
        <v>905409</v>
      </c>
      <c r="B4" s="1" t="s">
        <v>24</v>
      </c>
      <c r="C4" s="1" t="s">
        <v>25</v>
      </c>
      <c r="D4" s="2">
        <v>44571.452570289352</v>
      </c>
      <c r="E4" s="1" t="s">
        <v>11</v>
      </c>
      <c r="F4" s="1">
        <v>1</v>
      </c>
      <c r="G4" s="1">
        <v>0</v>
      </c>
      <c r="H4" s="6">
        <f>INT(Query1[[#This Row],[EntryDateTime]])</f>
        <v>44571</v>
      </c>
      <c r="I4" s="1">
        <f>IF(Query1[[#This Row],[ItemType]]="EVAP KIT SF GEN IV",Query1[[#This Row],[OrderQty]]+I3,I3)</f>
        <v>2</v>
      </c>
      <c r="J4" s="1">
        <f>IF(Query1[[#This Row],[ItemType]]="EVAP KIT UNIVERSAL",Query1[[#This Row],[OrderQty]]+J3,J3)</f>
        <v>1</v>
      </c>
      <c r="K4" s="1">
        <f>Query1[[#This Row],[SF Running Total]]+Query1[[#This Row],[UNIV Running Total]]</f>
        <v>3</v>
      </c>
      <c r="L4">
        <f>VLOOKUP(Query1[[#This Row],[Description]],'kits to boards'!$B$2:$E$156,2,FALSE)</f>
        <v>830029</v>
      </c>
      <c r="M4">
        <f>VLOOKUP(Query1[[#This Row],[Description]],'kits to boards'!$B$2:$E$156,3,FALSE)</f>
        <v>830030</v>
      </c>
      <c r="N4">
        <f>VLOOKUP(Query1[[#This Row],[Description]],'kits to boards'!$B$2:$E$156,4,FALSE)</f>
        <v>0</v>
      </c>
      <c r="O4" t="str">
        <f>CONCATENATE(Query1[[#This Row],[Description]]," - ",Query1[[#This Row],[MB1]]," - ",Query1[[#This Row],[MB2]]," - ",Query1[[#This Row],[MB3]])</f>
        <v>ComPac GEN II W/DEF - 830029 - 830030 - 0</v>
      </c>
    </row>
    <row r="5" spans="1:18" x14ac:dyDescent="0.25">
      <c r="A5" s="1">
        <v>906369</v>
      </c>
      <c r="B5" s="1" t="s">
        <v>24</v>
      </c>
      <c r="C5" s="1" t="s">
        <v>25</v>
      </c>
      <c r="D5" s="2">
        <v>44572.643632905092</v>
      </c>
      <c r="E5" s="1" t="s">
        <v>11</v>
      </c>
      <c r="F5" s="1">
        <v>1</v>
      </c>
      <c r="G5" s="1">
        <v>0</v>
      </c>
      <c r="H5" s="6">
        <f>INT(Query1[[#This Row],[EntryDateTime]])</f>
        <v>44572</v>
      </c>
      <c r="I5" s="1">
        <f>IF(Query1[[#This Row],[ItemType]]="EVAP KIT SF GEN IV",Query1[[#This Row],[OrderQty]]+I4,I4)</f>
        <v>2</v>
      </c>
      <c r="J5" s="1">
        <f>IF(Query1[[#This Row],[ItemType]]="EVAP KIT UNIVERSAL",Query1[[#This Row],[OrderQty]]+J4,J4)</f>
        <v>2</v>
      </c>
      <c r="K5" s="1">
        <f>Query1[[#This Row],[SF Running Total]]+Query1[[#This Row],[UNIV Running Total]]</f>
        <v>4</v>
      </c>
      <c r="L5">
        <f>VLOOKUP(Query1[[#This Row],[Description]],'kits to boards'!$B$2:$E$156,2,FALSE)</f>
        <v>830029</v>
      </c>
      <c r="M5">
        <f>VLOOKUP(Query1[[#This Row],[Description]],'kits to boards'!$B$2:$E$156,3,FALSE)</f>
        <v>830030</v>
      </c>
      <c r="N5">
        <f>VLOOKUP(Query1[[#This Row],[Description]],'kits to boards'!$B$2:$E$156,4,FALSE)</f>
        <v>0</v>
      </c>
      <c r="O5" t="str">
        <f>CONCATENATE(Query1[[#This Row],[Description]]," - ",Query1[[#This Row],[MB1]]," - ",Query1[[#This Row],[MB2]]," - ",Query1[[#This Row],[MB3]])</f>
        <v>ComPac GEN II W/DEF - 830029 - 830030 - 0</v>
      </c>
    </row>
    <row r="6" spans="1:18" x14ac:dyDescent="0.25">
      <c r="A6" s="1">
        <v>906551</v>
      </c>
      <c r="B6" s="1" t="s">
        <v>24</v>
      </c>
      <c r="C6" s="1" t="s">
        <v>25</v>
      </c>
      <c r="D6" s="2">
        <v>44573.637743090279</v>
      </c>
      <c r="E6" s="1" t="s">
        <v>11</v>
      </c>
      <c r="F6" s="1">
        <v>20</v>
      </c>
      <c r="G6" s="1">
        <v>0</v>
      </c>
      <c r="H6" s="6">
        <f>INT(Query1[[#This Row],[EntryDateTime]])</f>
        <v>44573</v>
      </c>
      <c r="I6" s="1">
        <f>IF(Query1[[#This Row],[ItemType]]="EVAP KIT SF GEN IV",Query1[[#This Row],[OrderQty]]+I5,I5)</f>
        <v>2</v>
      </c>
      <c r="J6" s="1">
        <f>IF(Query1[[#This Row],[ItemType]]="EVAP KIT UNIVERSAL",Query1[[#This Row],[OrderQty]]+J5,J5)</f>
        <v>22</v>
      </c>
      <c r="K6" s="1">
        <f>Query1[[#This Row],[SF Running Total]]+Query1[[#This Row],[UNIV Running Total]]</f>
        <v>24</v>
      </c>
      <c r="L6">
        <f>VLOOKUP(Query1[[#This Row],[Description]],'kits to boards'!$B$2:$E$156,2,FALSE)</f>
        <v>830029</v>
      </c>
      <c r="M6">
        <f>VLOOKUP(Query1[[#This Row],[Description]],'kits to boards'!$B$2:$E$156,3,FALSE)</f>
        <v>830030</v>
      </c>
      <c r="N6">
        <f>VLOOKUP(Query1[[#This Row],[Description]],'kits to boards'!$B$2:$E$156,4,FALSE)</f>
        <v>0</v>
      </c>
      <c r="O6" t="str">
        <f>CONCATENATE(Query1[[#This Row],[Description]]," - ",Query1[[#This Row],[MB1]]," - ",Query1[[#This Row],[MB2]]," - ",Query1[[#This Row],[MB3]])</f>
        <v>ComPac GEN II W/DEF - 830029 - 830030 - 0</v>
      </c>
    </row>
    <row r="7" spans="1:18" x14ac:dyDescent="0.25">
      <c r="A7" s="1">
        <v>906559</v>
      </c>
      <c r="B7" s="1" t="s">
        <v>24</v>
      </c>
      <c r="C7" s="1" t="s">
        <v>25</v>
      </c>
      <c r="D7" s="2">
        <v>44573.648477893519</v>
      </c>
      <c r="E7" s="1" t="s">
        <v>11</v>
      </c>
      <c r="F7" s="1">
        <v>1</v>
      </c>
      <c r="G7" s="1">
        <v>0</v>
      </c>
      <c r="H7" s="6">
        <f>INT(Query1[[#This Row],[EntryDateTime]])</f>
        <v>44573</v>
      </c>
      <c r="I7" s="1">
        <f>IF(Query1[[#This Row],[ItemType]]="EVAP KIT SF GEN IV",Query1[[#This Row],[OrderQty]]+I6,I6)</f>
        <v>2</v>
      </c>
      <c r="J7" s="1">
        <f>IF(Query1[[#This Row],[ItemType]]="EVAP KIT UNIVERSAL",Query1[[#This Row],[OrderQty]]+J6,J6)</f>
        <v>23</v>
      </c>
      <c r="K7" s="1">
        <f>Query1[[#This Row],[SF Running Total]]+Query1[[#This Row],[UNIV Running Total]]</f>
        <v>25</v>
      </c>
      <c r="L7">
        <f>VLOOKUP(Query1[[#This Row],[Description]],'kits to boards'!$B$2:$E$156,2,FALSE)</f>
        <v>830029</v>
      </c>
      <c r="M7">
        <f>VLOOKUP(Query1[[#This Row],[Description]],'kits to boards'!$B$2:$E$156,3,FALSE)</f>
        <v>830030</v>
      </c>
      <c r="N7">
        <f>VLOOKUP(Query1[[#This Row],[Description]],'kits to boards'!$B$2:$E$156,4,FALSE)</f>
        <v>0</v>
      </c>
      <c r="O7" t="str">
        <f>CONCATENATE(Query1[[#This Row],[Description]]," - ",Query1[[#This Row],[MB1]]," - ",Query1[[#This Row],[MB2]]," - ",Query1[[#This Row],[MB3]])</f>
        <v>ComPac GEN II W/DEF - 830029 - 830030 - 0</v>
      </c>
    </row>
    <row r="8" spans="1:18" x14ac:dyDescent="0.25">
      <c r="A8" s="1">
        <v>906618</v>
      </c>
      <c r="B8" s="1" t="s">
        <v>24</v>
      </c>
      <c r="C8" s="1" t="s">
        <v>25</v>
      </c>
      <c r="D8" s="2">
        <v>44574.437996562498</v>
      </c>
      <c r="E8" s="1" t="s">
        <v>11</v>
      </c>
      <c r="F8" s="1">
        <v>1</v>
      </c>
      <c r="G8" s="1">
        <v>0</v>
      </c>
      <c r="H8" s="6">
        <f>INT(Query1[[#This Row],[EntryDateTime]])</f>
        <v>44574</v>
      </c>
      <c r="I8" s="1">
        <f>IF(Query1[[#This Row],[ItemType]]="EVAP KIT SF GEN IV",Query1[[#This Row],[OrderQty]]+I7,I7)</f>
        <v>2</v>
      </c>
      <c r="J8" s="1">
        <f>IF(Query1[[#This Row],[ItemType]]="EVAP KIT UNIVERSAL",Query1[[#This Row],[OrderQty]]+J7,J7)</f>
        <v>24</v>
      </c>
      <c r="K8" s="1">
        <f>Query1[[#This Row],[SF Running Total]]+Query1[[#This Row],[UNIV Running Total]]</f>
        <v>26</v>
      </c>
      <c r="L8">
        <f>VLOOKUP(Query1[[#This Row],[Description]],'kits to boards'!$B$2:$E$156,2,FALSE)</f>
        <v>830029</v>
      </c>
      <c r="M8">
        <f>VLOOKUP(Query1[[#This Row],[Description]],'kits to boards'!$B$2:$E$156,3,FALSE)</f>
        <v>830030</v>
      </c>
      <c r="N8">
        <f>VLOOKUP(Query1[[#This Row],[Description]],'kits to boards'!$B$2:$E$156,4,FALSE)</f>
        <v>0</v>
      </c>
      <c r="O8" t="str">
        <f>CONCATENATE(Query1[[#This Row],[Description]]," - ",Query1[[#This Row],[MB1]]," - ",Query1[[#This Row],[MB2]]," - ",Query1[[#This Row],[MB3]])</f>
        <v>ComPac GEN II W/DEF - 830029 - 830030 - 0</v>
      </c>
    </row>
    <row r="9" spans="1:18" x14ac:dyDescent="0.25">
      <c r="A9" s="1">
        <v>906818</v>
      </c>
      <c r="B9" s="1" t="s">
        <v>9</v>
      </c>
      <c r="C9" s="1" t="s">
        <v>10</v>
      </c>
      <c r="D9" s="2">
        <v>44575.621952511574</v>
      </c>
      <c r="E9" s="1" t="s">
        <v>11</v>
      </c>
      <c r="F9" s="1">
        <v>1</v>
      </c>
      <c r="G9" s="1">
        <v>0</v>
      </c>
      <c r="H9" s="6">
        <f>INT(Query1[[#This Row],[EntryDateTime]])</f>
        <v>44575</v>
      </c>
      <c r="I9" s="1">
        <f>IF(Query1[[#This Row],[ItemType]]="EVAP KIT SF GEN IV",Query1[[#This Row],[OrderQty]]+I8,I8)</f>
        <v>2</v>
      </c>
      <c r="J9" s="1">
        <f>IF(Query1[[#This Row],[ItemType]]="EVAP KIT UNIVERSAL",Query1[[#This Row],[OrderQty]]+J8,J8)</f>
        <v>25</v>
      </c>
      <c r="K9" s="1">
        <f>Query1[[#This Row],[SF Running Total]]+Query1[[#This Row],[UNIV Running Total]]</f>
        <v>27</v>
      </c>
      <c r="L9">
        <f>VLOOKUP(Query1[[#This Row],[Description]],'kits to boards'!$B$2:$E$156,2,FALSE)</f>
        <v>830069</v>
      </c>
      <c r="M9">
        <f>VLOOKUP(Query1[[#This Row],[Description]],'kits to boards'!$B$2:$E$156,3,FALSE)</f>
        <v>0</v>
      </c>
      <c r="N9">
        <f>VLOOKUP(Query1[[#This Row],[Description]],'kits to boards'!$B$2:$E$156,4,FALSE)</f>
        <v>0</v>
      </c>
      <c r="O9" t="str">
        <f>CONCATENATE(Query1[[#This Row],[Description]]," - ",Query1[[#This Row],[MB1]]," - ",Query1[[#This Row],[MB2]]," - ",Query1[[#This Row],[MB3]])</f>
        <v>SLIMLINE H/C W/DEF STD LOUVER - 830069 - 0 - 0</v>
      </c>
    </row>
    <row r="10" spans="1:18" x14ac:dyDescent="0.25">
      <c r="A10" s="1">
        <v>906818</v>
      </c>
      <c r="B10" s="1" t="s">
        <v>80</v>
      </c>
      <c r="C10" s="1" t="s">
        <v>81</v>
      </c>
      <c r="D10" s="2">
        <v>44575.63659991898</v>
      </c>
      <c r="E10" s="1" t="s">
        <v>11</v>
      </c>
      <c r="F10" s="1">
        <v>1</v>
      </c>
      <c r="G10" s="1">
        <v>0</v>
      </c>
      <c r="H10" s="6">
        <f>INT(Query1[[#This Row],[EntryDateTime]])</f>
        <v>44575</v>
      </c>
      <c r="I10" s="1">
        <f>IF(Query1[[#This Row],[ItemType]]="EVAP KIT SF GEN IV",Query1[[#This Row],[OrderQty]]+I9,I9)</f>
        <v>2</v>
      </c>
      <c r="J10" s="1">
        <f>IF(Query1[[#This Row],[ItemType]]="EVAP KIT UNIVERSAL",Query1[[#This Row],[OrderQty]]+J9,J9)</f>
        <v>26</v>
      </c>
      <c r="K10" s="1">
        <f>Query1[[#This Row],[SF Running Total]]+Query1[[#This Row],[UNIV Running Total]]</f>
        <v>28</v>
      </c>
      <c r="L10">
        <f>VLOOKUP(Query1[[#This Row],[Description]],'kits to boards'!$B$2:$E$156,2,FALSE)</f>
        <v>0</v>
      </c>
      <c r="M10">
        <f>VLOOKUP(Query1[[#This Row],[Description]],'kits to boards'!$B$2:$E$156,3,FALSE)</f>
        <v>0</v>
      </c>
      <c r="N10">
        <f>VLOOKUP(Query1[[#This Row],[Description]],'kits to boards'!$B$2:$E$156,4,FALSE)</f>
        <v>0</v>
      </c>
      <c r="O10" t="str">
        <f>CONCATENATE(Query1[[#This Row],[Description]]," - ",Query1[[#This Row],[MB1]]," - ",Query1[[#This Row],[MB2]]," - ",Query1[[#This Row],[MB3]])</f>
        <v>HERITAGE BRUSHED EVAP KIT COOL ONLY - 0 - 0 - 0</v>
      </c>
    </row>
    <row r="11" spans="1:18" x14ac:dyDescent="0.25">
      <c r="A11" s="1">
        <v>906818</v>
      </c>
      <c r="B11" s="1" t="s">
        <v>24</v>
      </c>
      <c r="C11" s="1" t="s">
        <v>25</v>
      </c>
      <c r="D11" s="2">
        <v>44575.638641585647</v>
      </c>
      <c r="E11" s="1" t="s">
        <v>11</v>
      </c>
      <c r="F11" s="1">
        <v>1</v>
      </c>
      <c r="G11" s="1">
        <v>0</v>
      </c>
      <c r="H11" s="6">
        <f>INT(Query1[[#This Row],[EntryDateTime]])</f>
        <v>44575</v>
      </c>
      <c r="I11" s="1">
        <f>IF(Query1[[#This Row],[ItemType]]="EVAP KIT SF GEN IV",Query1[[#This Row],[OrderQty]]+I10,I10)</f>
        <v>2</v>
      </c>
      <c r="J11" s="1">
        <f>IF(Query1[[#This Row],[ItemType]]="EVAP KIT UNIVERSAL",Query1[[#This Row],[OrderQty]]+J10,J10)</f>
        <v>27</v>
      </c>
      <c r="K11" s="1">
        <f>Query1[[#This Row],[SF Running Total]]+Query1[[#This Row],[UNIV Running Total]]</f>
        <v>29</v>
      </c>
      <c r="L11">
        <f>VLOOKUP(Query1[[#This Row],[Description]],'kits to boards'!$B$2:$E$156,2,FALSE)</f>
        <v>830029</v>
      </c>
      <c r="M11">
        <f>VLOOKUP(Query1[[#This Row],[Description]],'kits to boards'!$B$2:$E$156,3,FALSE)</f>
        <v>830030</v>
      </c>
      <c r="N11">
        <f>VLOOKUP(Query1[[#This Row],[Description]],'kits to boards'!$B$2:$E$156,4,FALSE)</f>
        <v>0</v>
      </c>
      <c r="O11" t="str">
        <f>CONCATENATE(Query1[[#This Row],[Description]]," - ",Query1[[#This Row],[MB1]]," - ",Query1[[#This Row],[MB2]]," - ",Query1[[#This Row],[MB3]])</f>
        <v>ComPac GEN II W/DEF - 830029 - 830030 - 0</v>
      </c>
    </row>
    <row r="12" spans="1:18" x14ac:dyDescent="0.25">
      <c r="A12" s="1">
        <v>906883</v>
      </c>
      <c r="B12" s="1" t="s">
        <v>9</v>
      </c>
      <c r="C12" s="1" t="s">
        <v>10</v>
      </c>
      <c r="D12" s="2">
        <v>44578.3488502662</v>
      </c>
      <c r="E12" s="1" t="s">
        <v>11</v>
      </c>
      <c r="F12" s="1">
        <v>5</v>
      </c>
      <c r="G12" s="1">
        <v>0</v>
      </c>
      <c r="H12" s="6">
        <f>INT(Query1[[#This Row],[EntryDateTime]])</f>
        <v>44578</v>
      </c>
      <c r="I12" s="1">
        <f>IF(Query1[[#This Row],[ItemType]]="EVAP KIT SF GEN IV",Query1[[#This Row],[OrderQty]]+I11,I11)</f>
        <v>2</v>
      </c>
      <c r="J12" s="1">
        <f>IF(Query1[[#This Row],[ItemType]]="EVAP KIT UNIVERSAL",Query1[[#This Row],[OrderQty]]+J11,J11)</f>
        <v>32</v>
      </c>
      <c r="K12" s="1">
        <f>Query1[[#This Row],[SF Running Total]]+Query1[[#This Row],[UNIV Running Total]]</f>
        <v>34</v>
      </c>
      <c r="L12">
        <f>VLOOKUP(Query1[[#This Row],[Description]],'kits to boards'!$B$2:$E$156,2,FALSE)</f>
        <v>830069</v>
      </c>
      <c r="M12">
        <f>VLOOKUP(Query1[[#This Row],[Description]],'kits to boards'!$B$2:$E$156,3,FALSE)</f>
        <v>0</v>
      </c>
      <c r="N12">
        <f>VLOOKUP(Query1[[#This Row],[Description]],'kits to boards'!$B$2:$E$156,4,FALSE)</f>
        <v>0</v>
      </c>
      <c r="O12" t="str">
        <f>CONCATENATE(Query1[[#This Row],[Description]]," - ",Query1[[#This Row],[MB1]]," - ",Query1[[#This Row],[MB2]]," - ",Query1[[#This Row],[MB3]])</f>
        <v>SLIMLINE H/C W/DEF STD LOUVER - 830069 - 0 - 0</v>
      </c>
    </row>
    <row r="13" spans="1:18" x14ac:dyDescent="0.25">
      <c r="A13" s="1">
        <v>906883</v>
      </c>
      <c r="B13" s="1" t="s">
        <v>20</v>
      </c>
      <c r="C13" s="1" t="s">
        <v>21</v>
      </c>
      <c r="D13" s="2">
        <v>44578.35144421296</v>
      </c>
      <c r="E13" s="1" t="s">
        <v>11</v>
      </c>
      <c r="F13" s="1">
        <v>6</v>
      </c>
      <c r="G13" s="1">
        <v>0</v>
      </c>
      <c r="H13" s="6">
        <f>INT(Query1[[#This Row],[EntryDateTime]])</f>
        <v>44578</v>
      </c>
      <c r="I13" s="1">
        <f>IF(Query1[[#This Row],[ItemType]]="EVAP KIT SF GEN IV",Query1[[#This Row],[OrderQty]]+I12,I12)</f>
        <v>2</v>
      </c>
      <c r="J13" s="1">
        <f>IF(Query1[[#This Row],[ItemType]]="EVAP KIT UNIVERSAL",Query1[[#This Row],[OrderQty]]+J12,J12)</f>
        <v>38</v>
      </c>
      <c r="K13" s="1">
        <f>Query1[[#This Row],[SF Running Total]]+Query1[[#This Row],[UNIV Running Total]]</f>
        <v>40</v>
      </c>
      <c r="L13">
        <f>VLOOKUP(Query1[[#This Row],[Description]],'kits to boards'!$B$2:$E$156,2,FALSE)</f>
        <v>830102</v>
      </c>
      <c r="M13">
        <f>VLOOKUP(Query1[[#This Row],[Description]],'kits to boards'!$B$2:$E$156,3,FALSE)</f>
        <v>0</v>
      </c>
      <c r="N13">
        <f>VLOOKUP(Query1[[#This Row],[Description]],'kits to boards'!$B$2:$E$156,4,FALSE)</f>
        <v>0</v>
      </c>
      <c r="O13" t="str">
        <f>CONCATENATE(Query1[[#This Row],[Description]]," - ",Query1[[#This Row],[MB1]]," - ",Query1[[#This Row],[MB2]]," - ",Query1[[#This Row],[MB3]])</f>
        <v>SUPER GEN II W/DEF - 830102 - 0 - 0</v>
      </c>
    </row>
    <row r="14" spans="1:18" x14ac:dyDescent="0.25">
      <c r="A14" s="1">
        <v>906883</v>
      </c>
      <c r="B14" s="1" t="s">
        <v>98</v>
      </c>
      <c r="C14" s="1" t="s">
        <v>99</v>
      </c>
      <c r="D14" s="2">
        <v>44578.352094097223</v>
      </c>
      <c r="E14" s="1" t="s">
        <v>11</v>
      </c>
      <c r="F14" s="1">
        <v>15</v>
      </c>
      <c r="G14" s="1">
        <v>0</v>
      </c>
      <c r="H14" s="6">
        <f>INT(Query1[[#This Row],[EntryDateTime]])</f>
        <v>44578</v>
      </c>
      <c r="I14" s="1">
        <f>IF(Query1[[#This Row],[ItemType]]="EVAP KIT SF GEN IV",Query1[[#This Row],[OrderQty]]+I13,I13)</f>
        <v>2</v>
      </c>
      <c r="J14" s="1">
        <f>IF(Query1[[#This Row],[ItemType]]="EVAP KIT UNIVERSAL",Query1[[#This Row],[OrderQty]]+J13,J13)</f>
        <v>53</v>
      </c>
      <c r="K14" s="1">
        <f>Query1[[#This Row],[SF Running Total]]+Query1[[#This Row],[UNIV Running Total]]</f>
        <v>55</v>
      </c>
      <c r="L14">
        <f>VLOOKUP(Query1[[#This Row],[Description]],'kits to boards'!$B$2:$E$156,2,FALSE)</f>
        <v>830099</v>
      </c>
      <c r="M14">
        <f>VLOOKUP(Query1[[#This Row],[Description]],'kits to boards'!$B$2:$E$156,3,FALSE)</f>
        <v>0</v>
      </c>
      <c r="N14">
        <f>VLOOKUP(Query1[[#This Row],[Description]],'kits to boards'!$B$2:$E$156,4,FALSE)</f>
        <v>0</v>
      </c>
      <c r="O14" t="str">
        <f>CONCATENATE(Query1[[#This Row],[Description]]," - ",Query1[[#This Row],[MB1]]," - ",Query1[[#This Row],[MB2]]," - ",Query1[[#This Row],[MB3]])</f>
        <v>MINI GEN II W/DEF - 830099 - 0 - 0</v>
      </c>
    </row>
    <row r="15" spans="1:18" x14ac:dyDescent="0.25">
      <c r="A15" s="1">
        <v>906883</v>
      </c>
      <c r="B15" s="1" t="s">
        <v>24</v>
      </c>
      <c r="C15" s="1" t="s">
        <v>25</v>
      </c>
      <c r="D15" s="2">
        <v>44578.352486689815</v>
      </c>
      <c r="E15" s="1" t="s">
        <v>11</v>
      </c>
      <c r="F15" s="1">
        <v>4</v>
      </c>
      <c r="G15" s="1">
        <v>0</v>
      </c>
      <c r="H15" s="6">
        <f>INT(Query1[[#This Row],[EntryDateTime]])</f>
        <v>44578</v>
      </c>
      <c r="I15" s="1">
        <f>IF(Query1[[#This Row],[ItemType]]="EVAP KIT SF GEN IV",Query1[[#This Row],[OrderQty]]+I14,I14)</f>
        <v>2</v>
      </c>
      <c r="J15" s="1">
        <f>IF(Query1[[#This Row],[ItemType]]="EVAP KIT UNIVERSAL",Query1[[#This Row],[OrderQty]]+J14,J14)</f>
        <v>57</v>
      </c>
      <c r="K15" s="1">
        <f>Query1[[#This Row],[SF Running Total]]+Query1[[#This Row],[UNIV Running Total]]</f>
        <v>59</v>
      </c>
      <c r="L15">
        <f>VLOOKUP(Query1[[#This Row],[Description]],'kits to boards'!$B$2:$E$156,2,FALSE)</f>
        <v>830029</v>
      </c>
      <c r="M15">
        <f>VLOOKUP(Query1[[#This Row],[Description]],'kits to boards'!$B$2:$E$156,3,FALSE)</f>
        <v>830030</v>
      </c>
      <c r="N15">
        <f>VLOOKUP(Query1[[#This Row],[Description]],'kits to boards'!$B$2:$E$156,4,FALSE)</f>
        <v>0</v>
      </c>
      <c r="O15" t="str">
        <f>CONCATENATE(Query1[[#This Row],[Description]]," - ",Query1[[#This Row],[MB1]]," - ",Query1[[#This Row],[MB2]]," - ",Query1[[#This Row],[MB3]])</f>
        <v>ComPac GEN II W/DEF - 830029 - 830030 - 0</v>
      </c>
    </row>
    <row r="16" spans="1:18" x14ac:dyDescent="0.25">
      <c r="A16" s="1">
        <v>906991</v>
      </c>
      <c r="B16" s="1" t="s">
        <v>24</v>
      </c>
      <c r="C16" s="1" t="s">
        <v>25</v>
      </c>
      <c r="D16" s="2">
        <v>44578.544372951386</v>
      </c>
      <c r="E16" s="1" t="s">
        <v>11</v>
      </c>
      <c r="F16" s="1">
        <v>1</v>
      </c>
      <c r="G16" s="1">
        <v>0</v>
      </c>
      <c r="H16" s="6">
        <f>INT(Query1[[#This Row],[EntryDateTime]])</f>
        <v>44578</v>
      </c>
      <c r="I16" s="1">
        <f>IF(Query1[[#This Row],[ItemType]]="EVAP KIT SF GEN IV",Query1[[#This Row],[OrderQty]]+I15,I15)</f>
        <v>2</v>
      </c>
      <c r="J16" s="1">
        <f>IF(Query1[[#This Row],[ItemType]]="EVAP KIT UNIVERSAL",Query1[[#This Row],[OrderQty]]+J15,J15)</f>
        <v>58</v>
      </c>
      <c r="K16" s="1">
        <f>Query1[[#This Row],[SF Running Total]]+Query1[[#This Row],[UNIV Running Total]]</f>
        <v>60</v>
      </c>
      <c r="L16">
        <f>VLOOKUP(Query1[[#This Row],[Description]],'kits to boards'!$B$2:$E$156,2,FALSE)</f>
        <v>830029</v>
      </c>
      <c r="M16">
        <f>VLOOKUP(Query1[[#This Row],[Description]],'kits to boards'!$B$2:$E$156,3,FALSE)</f>
        <v>830030</v>
      </c>
      <c r="N16">
        <f>VLOOKUP(Query1[[#This Row],[Description]],'kits to boards'!$B$2:$E$156,4,FALSE)</f>
        <v>0</v>
      </c>
      <c r="O16" t="str">
        <f>CONCATENATE(Query1[[#This Row],[Description]]," - ",Query1[[#This Row],[MB1]]," - ",Query1[[#This Row],[MB2]]," - ",Query1[[#This Row],[MB3]])</f>
        <v>ComPac GEN II W/DEF - 830029 - 830030 - 0</v>
      </c>
    </row>
    <row r="17" spans="1:15" x14ac:dyDescent="0.25">
      <c r="A17" s="1">
        <v>907051</v>
      </c>
      <c r="B17" s="1" t="s">
        <v>98</v>
      </c>
      <c r="C17" s="1" t="s">
        <v>99</v>
      </c>
      <c r="D17" s="2">
        <v>44578.652451886577</v>
      </c>
      <c r="E17" s="1" t="s">
        <v>11</v>
      </c>
      <c r="F17" s="1">
        <v>1</v>
      </c>
      <c r="G17" s="1">
        <v>0</v>
      </c>
      <c r="H17" s="6">
        <f>INT(Query1[[#This Row],[EntryDateTime]])</f>
        <v>44578</v>
      </c>
      <c r="I17" s="1">
        <f>IF(Query1[[#This Row],[ItemType]]="EVAP KIT SF GEN IV",Query1[[#This Row],[OrderQty]]+I16,I16)</f>
        <v>2</v>
      </c>
      <c r="J17" s="1">
        <f>IF(Query1[[#This Row],[ItemType]]="EVAP KIT UNIVERSAL",Query1[[#This Row],[OrderQty]]+J16,J16)</f>
        <v>59</v>
      </c>
      <c r="K17" s="1">
        <f>Query1[[#This Row],[SF Running Total]]+Query1[[#This Row],[UNIV Running Total]]</f>
        <v>61</v>
      </c>
      <c r="L17">
        <f>VLOOKUP(Query1[[#This Row],[Description]],'kits to boards'!$B$2:$E$156,2,FALSE)</f>
        <v>830099</v>
      </c>
      <c r="M17">
        <f>VLOOKUP(Query1[[#This Row],[Description]],'kits to boards'!$B$2:$E$156,3,FALSE)</f>
        <v>0</v>
      </c>
      <c r="N17">
        <f>VLOOKUP(Query1[[#This Row],[Description]],'kits to boards'!$B$2:$E$156,4,FALSE)</f>
        <v>0</v>
      </c>
      <c r="O17" t="str">
        <f>CONCATENATE(Query1[[#This Row],[Description]]," - ",Query1[[#This Row],[MB1]]," - ",Query1[[#This Row],[MB2]]," - ",Query1[[#This Row],[MB3]])</f>
        <v>MINI GEN II W/DEF - 830099 - 0 - 0</v>
      </c>
    </row>
    <row r="18" spans="1:15" x14ac:dyDescent="0.25">
      <c r="A18" s="1">
        <v>907051</v>
      </c>
      <c r="B18" s="1" t="s">
        <v>24</v>
      </c>
      <c r="C18" s="1" t="s">
        <v>25</v>
      </c>
      <c r="D18" s="2">
        <v>44578.655562928237</v>
      </c>
      <c r="E18" s="1" t="s">
        <v>11</v>
      </c>
      <c r="F18" s="1">
        <v>1</v>
      </c>
      <c r="G18" s="1">
        <v>0</v>
      </c>
      <c r="H18" s="6">
        <f>INT(Query1[[#This Row],[EntryDateTime]])</f>
        <v>44578</v>
      </c>
      <c r="I18" s="1">
        <f>IF(Query1[[#This Row],[ItemType]]="EVAP KIT SF GEN IV",Query1[[#This Row],[OrderQty]]+I17,I17)</f>
        <v>2</v>
      </c>
      <c r="J18" s="1">
        <f>IF(Query1[[#This Row],[ItemType]]="EVAP KIT UNIVERSAL",Query1[[#This Row],[OrderQty]]+J17,J17)</f>
        <v>60</v>
      </c>
      <c r="K18" s="1">
        <f>Query1[[#This Row],[SF Running Total]]+Query1[[#This Row],[UNIV Running Total]]</f>
        <v>62</v>
      </c>
      <c r="L18">
        <f>VLOOKUP(Query1[[#This Row],[Description]],'kits to boards'!$B$2:$E$156,2,FALSE)</f>
        <v>830029</v>
      </c>
      <c r="M18">
        <f>VLOOKUP(Query1[[#This Row],[Description]],'kits to boards'!$B$2:$E$156,3,FALSE)</f>
        <v>830030</v>
      </c>
      <c r="N18">
        <f>VLOOKUP(Query1[[#This Row],[Description]],'kits to boards'!$B$2:$E$156,4,FALSE)</f>
        <v>0</v>
      </c>
      <c r="O18" t="str">
        <f>CONCATENATE(Query1[[#This Row],[Description]]," - ",Query1[[#This Row],[MB1]]," - ",Query1[[#This Row],[MB2]]," - ",Query1[[#This Row],[MB3]])</f>
        <v>ComPac GEN II W/DEF - 830029 - 830030 - 0</v>
      </c>
    </row>
    <row r="19" spans="1:15" x14ac:dyDescent="0.25">
      <c r="A19" s="1">
        <v>907096</v>
      </c>
      <c r="B19" s="1" t="s">
        <v>24</v>
      </c>
      <c r="C19" s="1" t="s">
        <v>25</v>
      </c>
      <c r="D19" s="2">
        <v>44579.329402743053</v>
      </c>
      <c r="E19" s="1" t="s">
        <v>11</v>
      </c>
      <c r="F19" s="1">
        <v>12</v>
      </c>
      <c r="G19" s="1">
        <v>0</v>
      </c>
      <c r="H19" s="6">
        <f>INT(Query1[[#This Row],[EntryDateTime]])</f>
        <v>44579</v>
      </c>
      <c r="I19" s="1">
        <f>IF(Query1[[#This Row],[ItemType]]="EVAP KIT SF GEN IV",Query1[[#This Row],[OrderQty]]+I18,I18)</f>
        <v>2</v>
      </c>
      <c r="J19" s="1">
        <f>IF(Query1[[#This Row],[ItemType]]="EVAP KIT UNIVERSAL",Query1[[#This Row],[OrderQty]]+J18,J18)</f>
        <v>72</v>
      </c>
      <c r="K19" s="1">
        <f>Query1[[#This Row],[SF Running Total]]+Query1[[#This Row],[UNIV Running Total]]</f>
        <v>74</v>
      </c>
      <c r="L19">
        <f>VLOOKUP(Query1[[#This Row],[Description]],'kits to boards'!$B$2:$E$156,2,FALSE)</f>
        <v>830029</v>
      </c>
      <c r="M19">
        <f>VLOOKUP(Query1[[#This Row],[Description]],'kits to boards'!$B$2:$E$156,3,FALSE)</f>
        <v>830030</v>
      </c>
      <c r="N19">
        <f>VLOOKUP(Query1[[#This Row],[Description]],'kits to boards'!$B$2:$E$156,4,FALSE)</f>
        <v>0</v>
      </c>
      <c r="O19" t="str">
        <f>CONCATENATE(Query1[[#This Row],[Description]]," - ",Query1[[#This Row],[MB1]]," - ",Query1[[#This Row],[MB2]]," - ",Query1[[#This Row],[MB3]])</f>
        <v>ComPac GEN II W/DEF - 830029 - 830030 - 0</v>
      </c>
    </row>
    <row r="20" spans="1:15" x14ac:dyDescent="0.25">
      <c r="A20" s="1">
        <v>907096</v>
      </c>
      <c r="B20" s="1" t="s">
        <v>104</v>
      </c>
      <c r="C20" s="1" t="s">
        <v>105</v>
      </c>
      <c r="D20" s="2">
        <v>44579.329639930555</v>
      </c>
      <c r="E20" s="1" t="s">
        <v>11</v>
      </c>
      <c r="F20" s="1">
        <v>6</v>
      </c>
      <c r="G20" s="1">
        <v>0</v>
      </c>
      <c r="H20" s="6">
        <f>INT(Query1[[#This Row],[EntryDateTime]])</f>
        <v>44579</v>
      </c>
      <c r="I20" s="1">
        <f>IF(Query1[[#This Row],[ItemType]]="EVAP KIT SF GEN IV",Query1[[#This Row],[OrderQty]]+I19,I19)</f>
        <v>2</v>
      </c>
      <c r="J20" s="1">
        <f>IF(Query1[[#This Row],[ItemType]]="EVAP KIT UNIVERSAL",Query1[[#This Row],[OrderQty]]+J19,J19)</f>
        <v>78</v>
      </c>
      <c r="K20" s="1">
        <f>Query1[[#This Row],[SF Running Total]]+Query1[[#This Row],[UNIV Running Total]]</f>
        <v>80</v>
      </c>
      <c r="L20">
        <f>VLOOKUP(Query1[[#This Row],[Description]],'kits to boards'!$B$2:$E$156,2,FALSE)</f>
        <v>0</v>
      </c>
      <c r="M20">
        <f>VLOOKUP(Query1[[#This Row],[Description]],'kits to boards'!$B$2:$E$156,3,FALSE)</f>
        <v>0</v>
      </c>
      <c r="N20">
        <f>VLOOKUP(Query1[[#This Row],[Description]],'kits to boards'!$B$2:$E$156,4,FALSE)</f>
        <v>0</v>
      </c>
      <c r="O20" t="str">
        <f>CONCATENATE(Query1[[#This Row],[Description]]," - ",Query1[[#This Row],[MB1]]," - ",Query1[[#This Row],[MB2]]," - ",Query1[[#This Row],[MB3]])</f>
        <v>HERITAGE BRUSHED EVAP KIT HEAT/COOL - 0 - 0 - 0</v>
      </c>
    </row>
    <row r="21" spans="1:15" x14ac:dyDescent="0.25">
      <c r="A21" s="1">
        <v>907096</v>
      </c>
      <c r="B21" s="1" t="s">
        <v>98</v>
      </c>
      <c r="C21" s="1" t="s">
        <v>99</v>
      </c>
      <c r="D21" s="2">
        <v>44579.330204942133</v>
      </c>
      <c r="E21" s="1" t="s">
        <v>11</v>
      </c>
      <c r="F21" s="1">
        <v>5</v>
      </c>
      <c r="G21" s="1">
        <v>0</v>
      </c>
      <c r="H21" s="6">
        <f>INT(Query1[[#This Row],[EntryDateTime]])</f>
        <v>44579</v>
      </c>
      <c r="I21" s="1">
        <f>IF(Query1[[#This Row],[ItemType]]="EVAP KIT SF GEN IV",Query1[[#This Row],[OrderQty]]+I20,I20)</f>
        <v>2</v>
      </c>
      <c r="J21" s="1">
        <f>IF(Query1[[#This Row],[ItemType]]="EVAP KIT UNIVERSAL",Query1[[#This Row],[OrderQty]]+J20,J20)</f>
        <v>83</v>
      </c>
      <c r="K21" s="1">
        <f>Query1[[#This Row],[SF Running Total]]+Query1[[#This Row],[UNIV Running Total]]</f>
        <v>85</v>
      </c>
      <c r="L21">
        <f>VLOOKUP(Query1[[#This Row],[Description]],'kits to boards'!$B$2:$E$156,2,FALSE)</f>
        <v>830099</v>
      </c>
      <c r="M21">
        <f>VLOOKUP(Query1[[#This Row],[Description]],'kits to boards'!$B$2:$E$156,3,FALSE)</f>
        <v>0</v>
      </c>
      <c r="N21">
        <f>VLOOKUP(Query1[[#This Row],[Description]],'kits to boards'!$B$2:$E$156,4,FALSE)</f>
        <v>0</v>
      </c>
      <c r="O21" t="str">
        <f>CONCATENATE(Query1[[#This Row],[Description]]," - ",Query1[[#This Row],[MB1]]," - ",Query1[[#This Row],[MB2]]," - ",Query1[[#This Row],[MB3]])</f>
        <v>MINI GEN II W/DEF - 830099 - 0 - 0</v>
      </c>
    </row>
    <row r="22" spans="1:15" x14ac:dyDescent="0.25">
      <c r="A22" s="1">
        <v>907096</v>
      </c>
      <c r="B22" s="1" t="s">
        <v>20</v>
      </c>
      <c r="C22" s="1" t="s">
        <v>21</v>
      </c>
      <c r="D22" s="2">
        <v>44579.330577743058</v>
      </c>
      <c r="E22" s="1" t="s">
        <v>11</v>
      </c>
      <c r="F22" s="1">
        <v>5</v>
      </c>
      <c r="G22" s="1">
        <v>0</v>
      </c>
      <c r="H22" s="6">
        <f>INT(Query1[[#This Row],[EntryDateTime]])</f>
        <v>44579</v>
      </c>
      <c r="I22" s="1">
        <f>IF(Query1[[#This Row],[ItemType]]="EVAP KIT SF GEN IV",Query1[[#This Row],[OrderQty]]+I21,I21)</f>
        <v>2</v>
      </c>
      <c r="J22" s="1">
        <f>IF(Query1[[#This Row],[ItemType]]="EVAP KIT UNIVERSAL",Query1[[#This Row],[OrderQty]]+J21,J21)</f>
        <v>88</v>
      </c>
      <c r="K22" s="1">
        <f>Query1[[#This Row],[SF Running Total]]+Query1[[#This Row],[UNIV Running Total]]</f>
        <v>90</v>
      </c>
      <c r="L22">
        <f>VLOOKUP(Query1[[#This Row],[Description]],'kits to boards'!$B$2:$E$156,2,FALSE)</f>
        <v>830102</v>
      </c>
      <c r="M22">
        <f>VLOOKUP(Query1[[#This Row],[Description]],'kits to boards'!$B$2:$E$156,3,FALSE)</f>
        <v>0</v>
      </c>
      <c r="N22">
        <f>VLOOKUP(Query1[[#This Row],[Description]],'kits to boards'!$B$2:$E$156,4,FALSE)</f>
        <v>0</v>
      </c>
      <c r="O22" t="str">
        <f>CONCATENATE(Query1[[#This Row],[Description]]," - ",Query1[[#This Row],[MB1]]," - ",Query1[[#This Row],[MB2]]," - ",Query1[[#This Row],[MB3]])</f>
        <v>SUPER GEN II W/DEF - 830102 - 0 - 0</v>
      </c>
    </row>
    <row r="23" spans="1:15" x14ac:dyDescent="0.25">
      <c r="A23" s="1">
        <v>907096</v>
      </c>
      <c r="B23" s="1" t="s">
        <v>24</v>
      </c>
      <c r="C23" s="1" t="s">
        <v>25</v>
      </c>
      <c r="D23" s="2">
        <v>44579.330777199073</v>
      </c>
      <c r="E23" s="1" t="s">
        <v>11</v>
      </c>
      <c r="F23" s="1">
        <v>4</v>
      </c>
      <c r="G23" s="1">
        <v>0</v>
      </c>
      <c r="H23" s="6">
        <f>INT(Query1[[#This Row],[EntryDateTime]])</f>
        <v>44579</v>
      </c>
      <c r="I23" s="1">
        <f>IF(Query1[[#This Row],[ItemType]]="EVAP KIT SF GEN IV",Query1[[#This Row],[OrderQty]]+I22,I22)</f>
        <v>2</v>
      </c>
      <c r="J23" s="1">
        <f>IF(Query1[[#This Row],[ItemType]]="EVAP KIT UNIVERSAL",Query1[[#This Row],[OrderQty]]+J22,J22)</f>
        <v>92</v>
      </c>
      <c r="K23" s="1">
        <f>Query1[[#This Row],[SF Running Total]]+Query1[[#This Row],[UNIV Running Total]]</f>
        <v>94</v>
      </c>
      <c r="L23">
        <f>VLOOKUP(Query1[[#This Row],[Description]],'kits to boards'!$B$2:$E$156,2,FALSE)</f>
        <v>830029</v>
      </c>
      <c r="M23">
        <f>VLOOKUP(Query1[[#This Row],[Description]],'kits to boards'!$B$2:$E$156,3,FALSE)</f>
        <v>830030</v>
      </c>
      <c r="N23">
        <f>VLOOKUP(Query1[[#This Row],[Description]],'kits to boards'!$B$2:$E$156,4,FALSE)</f>
        <v>0</v>
      </c>
      <c r="O23" t="str">
        <f>CONCATENATE(Query1[[#This Row],[Description]]," - ",Query1[[#This Row],[MB1]]," - ",Query1[[#This Row],[MB2]]," - ",Query1[[#This Row],[MB3]])</f>
        <v>ComPac GEN II W/DEF - 830029 - 830030 - 0</v>
      </c>
    </row>
    <row r="24" spans="1:15" x14ac:dyDescent="0.25">
      <c r="A24" s="1">
        <v>907246</v>
      </c>
      <c r="B24" s="1" t="s">
        <v>98</v>
      </c>
      <c r="C24" s="1" t="s">
        <v>99</v>
      </c>
      <c r="D24" s="2">
        <v>44579.60788260417</v>
      </c>
      <c r="E24" s="1" t="s">
        <v>11</v>
      </c>
      <c r="F24" s="1">
        <v>1</v>
      </c>
      <c r="G24" s="1">
        <v>0</v>
      </c>
      <c r="H24" s="6">
        <f>INT(Query1[[#This Row],[EntryDateTime]])</f>
        <v>44579</v>
      </c>
      <c r="I24" s="1">
        <f>IF(Query1[[#This Row],[ItemType]]="EVAP KIT SF GEN IV",Query1[[#This Row],[OrderQty]]+I23,I23)</f>
        <v>2</v>
      </c>
      <c r="J24" s="1">
        <f>IF(Query1[[#This Row],[ItemType]]="EVAP KIT UNIVERSAL",Query1[[#This Row],[OrderQty]]+J23,J23)</f>
        <v>93</v>
      </c>
      <c r="K24" s="1">
        <f>Query1[[#This Row],[SF Running Total]]+Query1[[#This Row],[UNIV Running Total]]</f>
        <v>95</v>
      </c>
      <c r="L24">
        <f>VLOOKUP(Query1[[#This Row],[Description]],'kits to boards'!$B$2:$E$156,2,FALSE)</f>
        <v>830099</v>
      </c>
      <c r="M24">
        <f>VLOOKUP(Query1[[#This Row],[Description]],'kits to boards'!$B$2:$E$156,3,FALSE)</f>
        <v>0</v>
      </c>
      <c r="N24">
        <f>VLOOKUP(Query1[[#This Row],[Description]],'kits to boards'!$B$2:$E$156,4,FALSE)</f>
        <v>0</v>
      </c>
      <c r="O24" t="str">
        <f>CONCATENATE(Query1[[#This Row],[Description]]," - ",Query1[[#This Row],[MB1]]," - ",Query1[[#This Row],[MB2]]," - ",Query1[[#This Row],[MB3]])</f>
        <v>MINI GEN II W/DEF - 830099 - 0 - 0</v>
      </c>
    </row>
    <row r="25" spans="1:15" x14ac:dyDescent="0.25">
      <c r="A25" s="1">
        <v>907246</v>
      </c>
      <c r="B25" s="1" t="s">
        <v>24</v>
      </c>
      <c r="C25" s="1" t="s">
        <v>25</v>
      </c>
      <c r="D25" s="2">
        <v>44579.608062500003</v>
      </c>
      <c r="E25" s="1" t="s">
        <v>11</v>
      </c>
      <c r="F25" s="1">
        <v>1</v>
      </c>
      <c r="G25" s="1">
        <v>0</v>
      </c>
      <c r="H25" s="6">
        <f>INT(Query1[[#This Row],[EntryDateTime]])</f>
        <v>44579</v>
      </c>
      <c r="I25" s="1">
        <f>IF(Query1[[#This Row],[ItemType]]="EVAP KIT SF GEN IV",Query1[[#This Row],[OrderQty]]+I24,I24)</f>
        <v>2</v>
      </c>
      <c r="J25" s="1">
        <f>IF(Query1[[#This Row],[ItemType]]="EVAP KIT UNIVERSAL",Query1[[#This Row],[OrderQty]]+J24,J24)</f>
        <v>94</v>
      </c>
      <c r="K25" s="1">
        <f>Query1[[#This Row],[SF Running Total]]+Query1[[#This Row],[UNIV Running Total]]</f>
        <v>96</v>
      </c>
      <c r="L25">
        <f>VLOOKUP(Query1[[#This Row],[Description]],'kits to boards'!$B$2:$E$156,2,FALSE)</f>
        <v>830029</v>
      </c>
      <c r="M25">
        <f>VLOOKUP(Query1[[#This Row],[Description]],'kits to boards'!$B$2:$E$156,3,FALSE)</f>
        <v>830030</v>
      </c>
      <c r="N25">
        <f>VLOOKUP(Query1[[#This Row],[Description]],'kits to boards'!$B$2:$E$156,4,FALSE)</f>
        <v>0</v>
      </c>
      <c r="O25" t="str">
        <f>CONCATENATE(Query1[[#This Row],[Description]]," - ",Query1[[#This Row],[MB1]]," - ",Query1[[#This Row],[MB2]]," - ",Query1[[#This Row],[MB3]])</f>
        <v>ComPac GEN II W/DEF - 830029 - 830030 - 0</v>
      </c>
    </row>
    <row r="26" spans="1:15" x14ac:dyDescent="0.25">
      <c r="A26" s="1">
        <v>907332</v>
      </c>
      <c r="B26" s="1" t="s">
        <v>98</v>
      </c>
      <c r="C26" s="1" t="s">
        <v>99</v>
      </c>
      <c r="D26" s="2">
        <v>44580.371473530089</v>
      </c>
      <c r="E26" s="1" t="s">
        <v>11</v>
      </c>
      <c r="F26" s="1">
        <v>3</v>
      </c>
      <c r="G26" s="1">
        <v>0</v>
      </c>
      <c r="H26" s="6">
        <f>INT(Query1[[#This Row],[EntryDateTime]])</f>
        <v>44580</v>
      </c>
      <c r="I26" s="1">
        <f>IF(Query1[[#This Row],[ItemType]]="EVAP KIT SF GEN IV",Query1[[#This Row],[OrderQty]]+I25,I25)</f>
        <v>2</v>
      </c>
      <c r="J26" s="1">
        <f>IF(Query1[[#This Row],[ItemType]]="EVAP KIT UNIVERSAL",Query1[[#This Row],[OrderQty]]+J25,J25)</f>
        <v>97</v>
      </c>
      <c r="K26" s="1">
        <f>Query1[[#This Row],[SF Running Total]]+Query1[[#This Row],[UNIV Running Total]]</f>
        <v>99</v>
      </c>
      <c r="L26">
        <f>VLOOKUP(Query1[[#This Row],[Description]],'kits to boards'!$B$2:$E$156,2,FALSE)</f>
        <v>830099</v>
      </c>
      <c r="M26">
        <f>VLOOKUP(Query1[[#This Row],[Description]],'kits to boards'!$B$2:$E$156,3,FALSE)</f>
        <v>0</v>
      </c>
      <c r="N26">
        <f>VLOOKUP(Query1[[#This Row],[Description]],'kits to boards'!$B$2:$E$156,4,FALSE)</f>
        <v>0</v>
      </c>
      <c r="O26" t="str">
        <f>CONCATENATE(Query1[[#This Row],[Description]]," - ",Query1[[#This Row],[MB1]]," - ",Query1[[#This Row],[MB2]]," - ",Query1[[#This Row],[MB3]])</f>
        <v>MINI GEN II W/DEF - 830099 - 0 - 0</v>
      </c>
    </row>
    <row r="27" spans="1:15" x14ac:dyDescent="0.25">
      <c r="A27" s="1">
        <v>907332</v>
      </c>
      <c r="B27" s="1" t="s">
        <v>24</v>
      </c>
      <c r="C27" s="1" t="s">
        <v>25</v>
      </c>
      <c r="D27" s="2">
        <v>44580.371672453701</v>
      </c>
      <c r="E27" s="1" t="s">
        <v>11</v>
      </c>
      <c r="F27" s="1">
        <v>3</v>
      </c>
      <c r="G27" s="1">
        <v>0</v>
      </c>
      <c r="H27" s="6">
        <f>INT(Query1[[#This Row],[EntryDateTime]])</f>
        <v>44580</v>
      </c>
      <c r="I27" s="1">
        <f>IF(Query1[[#This Row],[ItemType]]="EVAP KIT SF GEN IV",Query1[[#This Row],[OrderQty]]+I26,I26)</f>
        <v>2</v>
      </c>
      <c r="J27" s="1">
        <f>IF(Query1[[#This Row],[ItemType]]="EVAP KIT UNIVERSAL",Query1[[#This Row],[OrderQty]]+J26,J26)</f>
        <v>100</v>
      </c>
      <c r="K27" s="1">
        <f>Query1[[#This Row],[SF Running Total]]+Query1[[#This Row],[UNIV Running Total]]</f>
        <v>102</v>
      </c>
      <c r="L27">
        <f>VLOOKUP(Query1[[#This Row],[Description]],'kits to boards'!$B$2:$E$156,2,FALSE)</f>
        <v>830029</v>
      </c>
      <c r="M27">
        <f>VLOOKUP(Query1[[#This Row],[Description]],'kits to boards'!$B$2:$E$156,3,FALSE)</f>
        <v>830030</v>
      </c>
      <c r="N27">
        <f>VLOOKUP(Query1[[#This Row],[Description]],'kits to boards'!$B$2:$E$156,4,FALSE)</f>
        <v>0</v>
      </c>
      <c r="O27" t="str">
        <f>CONCATENATE(Query1[[#This Row],[Description]]," - ",Query1[[#This Row],[MB1]]," - ",Query1[[#This Row],[MB2]]," - ",Query1[[#This Row],[MB3]])</f>
        <v>ComPac GEN II W/DEF - 830029 - 830030 - 0</v>
      </c>
    </row>
    <row r="28" spans="1:15" x14ac:dyDescent="0.25">
      <c r="A28" s="1">
        <v>907469</v>
      </c>
      <c r="B28" s="1" t="s">
        <v>104</v>
      </c>
      <c r="C28" s="1" t="s">
        <v>105</v>
      </c>
      <c r="D28" s="2">
        <v>44580.649078553244</v>
      </c>
      <c r="E28" s="1" t="s">
        <v>11</v>
      </c>
      <c r="F28" s="1">
        <v>7</v>
      </c>
      <c r="G28" s="1">
        <v>0</v>
      </c>
      <c r="H28" s="6">
        <f>INT(Query1[[#This Row],[EntryDateTime]])</f>
        <v>44580</v>
      </c>
      <c r="I28" s="1">
        <f>IF(Query1[[#This Row],[ItemType]]="EVAP KIT SF GEN IV",Query1[[#This Row],[OrderQty]]+I27,I27)</f>
        <v>2</v>
      </c>
      <c r="J28" s="1">
        <f>IF(Query1[[#This Row],[ItemType]]="EVAP KIT UNIVERSAL",Query1[[#This Row],[OrderQty]]+J27,J27)</f>
        <v>107</v>
      </c>
      <c r="K28" s="1">
        <f>Query1[[#This Row],[SF Running Total]]+Query1[[#This Row],[UNIV Running Total]]</f>
        <v>109</v>
      </c>
      <c r="L28">
        <f>VLOOKUP(Query1[[#This Row],[Description]],'kits to boards'!$B$2:$E$156,2,FALSE)</f>
        <v>0</v>
      </c>
      <c r="M28">
        <f>VLOOKUP(Query1[[#This Row],[Description]],'kits to boards'!$B$2:$E$156,3,FALSE)</f>
        <v>0</v>
      </c>
      <c r="N28">
        <f>VLOOKUP(Query1[[#This Row],[Description]],'kits to boards'!$B$2:$E$156,4,FALSE)</f>
        <v>0</v>
      </c>
      <c r="O28" t="str">
        <f>CONCATENATE(Query1[[#This Row],[Description]]," - ",Query1[[#This Row],[MB1]]," - ",Query1[[#This Row],[MB2]]," - ",Query1[[#This Row],[MB3]])</f>
        <v>HERITAGE BRUSHED EVAP KIT HEAT/COOL - 0 - 0 - 0</v>
      </c>
    </row>
    <row r="29" spans="1:15" x14ac:dyDescent="0.25">
      <c r="A29" s="1">
        <v>907473</v>
      </c>
      <c r="B29" s="1" t="s">
        <v>76</v>
      </c>
      <c r="C29" s="1" t="s">
        <v>77</v>
      </c>
      <c r="D29" s="2">
        <v>44580.655473877312</v>
      </c>
      <c r="E29" s="1" t="s">
        <v>11</v>
      </c>
      <c r="F29" s="1">
        <v>8</v>
      </c>
      <c r="G29" s="1">
        <v>0</v>
      </c>
      <c r="H29" s="6">
        <f>INT(Query1[[#This Row],[EntryDateTime]])</f>
        <v>44580</v>
      </c>
      <c r="I29" s="1">
        <f>IF(Query1[[#This Row],[ItemType]]="EVAP KIT SF GEN IV",Query1[[#This Row],[OrderQty]]+I28,I28)</f>
        <v>2</v>
      </c>
      <c r="J29" s="1">
        <f>IF(Query1[[#This Row],[ItemType]]="EVAP KIT UNIVERSAL",Query1[[#This Row],[OrderQty]]+J28,J28)</f>
        <v>115</v>
      </c>
      <c r="K29" s="1">
        <f>Query1[[#This Row],[SF Running Total]]+Query1[[#This Row],[UNIV Running Total]]</f>
        <v>117</v>
      </c>
      <c r="L29">
        <f>VLOOKUP(Query1[[#This Row],[Description]],'kits to boards'!$B$2:$E$156,2,FALSE)</f>
        <v>830099</v>
      </c>
      <c r="M29">
        <f>VLOOKUP(Query1[[#This Row],[Description]],'kits to boards'!$B$2:$E$156,3,FALSE)</f>
        <v>0</v>
      </c>
      <c r="N29">
        <f>VLOOKUP(Query1[[#This Row],[Description]],'kits to boards'!$B$2:$E$156,4,FALSE)</f>
        <v>0</v>
      </c>
      <c r="O29" t="str">
        <f>CONCATENATE(Query1[[#This Row],[Description]]," - ",Query1[[#This Row],[MB1]]," - ",Query1[[#This Row],[MB2]]," - ",Query1[[#This Row],[MB3]])</f>
        <v>MINI GEN II H/C - 830099 - 0 - 0</v>
      </c>
    </row>
    <row r="30" spans="1:15" x14ac:dyDescent="0.25">
      <c r="A30" s="1">
        <v>907475</v>
      </c>
      <c r="B30" s="1" t="s">
        <v>98</v>
      </c>
      <c r="C30" s="1" t="s">
        <v>99</v>
      </c>
      <c r="D30" s="2">
        <v>44580.661274687503</v>
      </c>
      <c r="E30" s="1" t="s">
        <v>11</v>
      </c>
      <c r="F30" s="1">
        <v>8</v>
      </c>
      <c r="G30" s="1">
        <v>0</v>
      </c>
      <c r="H30" s="6">
        <f>INT(Query1[[#This Row],[EntryDateTime]])</f>
        <v>44580</v>
      </c>
      <c r="I30" s="1">
        <f>IF(Query1[[#This Row],[ItemType]]="EVAP KIT SF GEN IV",Query1[[#This Row],[OrderQty]]+I29,I29)</f>
        <v>2</v>
      </c>
      <c r="J30" s="1">
        <f>IF(Query1[[#This Row],[ItemType]]="EVAP KIT UNIVERSAL",Query1[[#This Row],[OrderQty]]+J29,J29)</f>
        <v>123</v>
      </c>
      <c r="K30" s="1">
        <f>Query1[[#This Row],[SF Running Total]]+Query1[[#This Row],[UNIV Running Total]]</f>
        <v>125</v>
      </c>
      <c r="L30">
        <f>VLOOKUP(Query1[[#This Row],[Description]],'kits to boards'!$B$2:$E$156,2,FALSE)</f>
        <v>830099</v>
      </c>
      <c r="M30">
        <f>VLOOKUP(Query1[[#This Row],[Description]],'kits to boards'!$B$2:$E$156,3,FALSE)</f>
        <v>0</v>
      </c>
      <c r="N30">
        <f>VLOOKUP(Query1[[#This Row],[Description]],'kits to boards'!$B$2:$E$156,4,FALSE)</f>
        <v>0</v>
      </c>
      <c r="O30" t="str">
        <f>CONCATENATE(Query1[[#This Row],[Description]]," - ",Query1[[#This Row],[MB1]]," - ",Query1[[#This Row],[MB2]]," - ",Query1[[#This Row],[MB3]])</f>
        <v>MINI GEN II W/DEF - 830099 - 0 - 0</v>
      </c>
    </row>
    <row r="31" spans="1:15" x14ac:dyDescent="0.25">
      <c r="A31" s="1">
        <v>907475</v>
      </c>
      <c r="B31" s="1" t="s">
        <v>82</v>
      </c>
      <c r="C31" s="1" t="s">
        <v>83</v>
      </c>
      <c r="D31" s="2">
        <v>44580.661437731484</v>
      </c>
      <c r="E31" s="1" t="s">
        <v>11</v>
      </c>
      <c r="F31" s="1">
        <v>2</v>
      </c>
      <c r="G31" s="1">
        <v>0</v>
      </c>
      <c r="H31" s="6">
        <f>INT(Query1[[#This Row],[EntryDateTime]])</f>
        <v>44580</v>
      </c>
      <c r="I31" s="1">
        <f>IF(Query1[[#This Row],[ItemType]]="EVAP KIT SF GEN IV",Query1[[#This Row],[OrderQty]]+I30,I30)</f>
        <v>2</v>
      </c>
      <c r="J31" s="1">
        <f>IF(Query1[[#This Row],[ItemType]]="EVAP KIT UNIVERSAL",Query1[[#This Row],[OrderQty]]+J30,J30)</f>
        <v>125</v>
      </c>
      <c r="K31" s="1">
        <f>Query1[[#This Row],[SF Running Total]]+Query1[[#This Row],[UNIV Running Total]]</f>
        <v>127</v>
      </c>
      <c r="L31">
        <f>VLOOKUP(Query1[[#This Row],[Description]],'kits to boards'!$B$2:$E$156,2,FALSE)</f>
        <v>830029</v>
      </c>
      <c r="M31">
        <f>VLOOKUP(Query1[[#This Row],[Description]],'kits to boards'!$B$2:$E$156,3,FALSE)</f>
        <v>830030</v>
      </c>
      <c r="N31">
        <f>VLOOKUP(Query1[[#This Row],[Description]],'kits to boards'!$B$2:$E$156,4,FALSE)</f>
        <v>0</v>
      </c>
      <c r="O31" t="str">
        <f>CONCATENATE(Query1[[#This Row],[Description]]," - ",Query1[[#This Row],[MB1]]," - ",Query1[[#This Row],[MB2]]," - ",Query1[[#This Row],[MB3]])</f>
        <v>ComPac GEN II H/C - 830029 - 830030 - 0</v>
      </c>
    </row>
    <row r="32" spans="1:15" x14ac:dyDescent="0.25">
      <c r="A32" s="1">
        <v>907474</v>
      </c>
      <c r="B32" s="1" t="s">
        <v>24</v>
      </c>
      <c r="C32" s="1" t="s">
        <v>25</v>
      </c>
      <c r="D32" s="2">
        <v>44580.663760150463</v>
      </c>
      <c r="E32" s="1" t="s">
        <v>11</v>
      </c>
      <c r="F32" s="1">
        <v>1</v>
      </c>
      <c r="G32" s="1">
        <v>0</v>
      </c>
      <c r="H32" s="6">
        <f>INT(Query1[[#This Row],[EntryDateTime]])</f>
        <v>44580</v>
      </c>
      <c r="I32" s="1">
        <f>IF(Query1[[#This Row],[ItemType]]="EVAP KIT SF GEN IV",Query1[[#This Row],[OrderQty]]+I31,I31)</f>
        <v>2</v>
      </c>
      <c r="J32" s="1">
        <f>IF(Query1[[#This Row],[ItemType]]="EVAP KIT UNIVERSAL",Query1[[#This Row],[OrderQty]]+J31,J31)</f>
        <v>126</v>
      </c>
      <c r="K32" s="1">
        <f>Query1[[#This Row],[SF Running Total]]+Query1[[#This Row],[UNIV Running Total]]</f>
        <v>128</v>
      </c>
      <c r="L32">
        <f>VLOOKUP(Query1[[#This Row],[Description]],'kits to boards'!$B$2:$E$156,2,FALSE)</f>
        <v>830029</v>
      </c>
      <c r="M32">
        <f>VLOOKUP(Query1[[#This Row],[Description]],'kits to boards'!$B$2:$E$156,3,FALSE)</f>
        <v>830030</v>
      </c>
      <c r="N32">
        <f>VLOOKUP(Query1[[#This Row],[Description]],'kits to boards'!$B$2:$E$156,4,FALSE)</f>
        <v>0</v>
      </c>
      <c r="O32" t="str">
        <f>CONCATENATE(Query1[[#This Row],[Description]]," - ",Query1[[#This Row],[MB1]]," - ",Query1[[#This Row],[MB2]]," - ",Query1[[#This Row],[MB3]])</f>
        <v>ComPac GEN II W/DEF - 830029 - 830030 - 0</v>
      </c>
    </row>
    <row r="33" spans="1:15" x14ac:dyDescent="0.25">
      <c r="A33" s="1">
        <v>907591</v>
      </c>
      <c r="B33" s="1" t="s">
        <v>98</v>
      </c>
      <c r="C33" s="1" t="s">
        <v>99</v>
      </c>
      <c r="D33" s="2">
        <v>44581.465946145836</v>
      </c>
      <c r="E33" s="1" t="s">
        <v>11</v>
      </c>
      <c r="F33" s="1">
        <v>2</v>
      </c>
      <c r="G33" s="1">
        <v>0</v>
      </c>
      <c r="H33" s="6">
        <f>INT(Query1[[#This Row],[EntryDateTime]])</f>
        <v>44581</v>
      </c>
      <c r="I33" s="1">
        <f>IF(Query1[[#This Row],[ItemType]]="EVAP KIT SF GEN IV",Query1[[#This Row],[OrderQty]]+I32,I32)</f>
        <v>2</v>
      </c>
      <c r="J33" s="1">
        <f>IF(Query1[[#This Row],[ItemType]]="EVAP KIT UNIVERSAL",Query1[[#This Row],[OrderQty]]+J32,J32)</f>
        <v>128</v>
      </c>
      <c r="K33" s="1">
        <f>Query1[[#This Row],[SF Running Total]]+Query1[[#This Row],[UNIV Running Total]]</f>
        <v>130</v>
      </c>
      <c r="L33">
        <f>VLOOKUP(Query1[[#This Row],[Description]],'kits to boards'!$B$2:$E$156,2,FALSE)</f>
        <v>830099</v>
      </c>
      <c r="M33">
        <f>VLOOKUP(Query1[[#This Row],[Description]],'kits to boards'!$B$2:$E$156,3,FALSE)</f>
        <v>0</v>
      </c>
      <c r="N33">
        <f>VLOOKUP(Query1[[#This Row],[Description]],'kits to boards'!$B$2:$E$156,4,FALSE)</f>
        <v>0</v>
      </c>
      <c r="O33" t="str">
        <f>CONCATENATE(Query1[[#This Row],[Description]]," - ",Query1[[#This Row],[MB1]]," - ",Query1[[#This Row],[MB2]]," - ",Query1[[#This Row],[MB3]])</f>
        <v>MINI GEN II W/DEF - 830099 - 0 - 0</v>
      </c>
    </row>
    <row r="34" spans="1:15" x14ac:dyDescent="0.25">
      <c r="A34" s="1">
        <v>906980</v>
      </c>
      <c r="B34" s="1" t="s">
        <v>24</v>
      </c>
      <c r="C34" s="1" t="s">
        <v>25</v>
      </c>
      <c r="D34" s="2">
        <v>44581.614316006948</v>
      </c>
      <c r="E34" s="1" t="s">
        <v>11</v>
      </c>
      <c r="F34" s="1">
        <v>1</v>
      </c>
      <c r="G34" s="1">
        <v>0</v>
      </c>
      <c r="H34" s="6">
        <f>INT(Query1[[#This Row],[EntryDateTime]])</f>
        <v>44581</v>
      </c>
      <c r="I34" s="1">
        <f>IF(Query1[[#This Row],[ItemType]]="EVAP KIT SF GEN IV",Query1[[#This Row],[OrderQty]]+I33,I33)</f>
        <v>2</v>
      </c>
      <c r="J34" s="1">
        <f>IF(Query1[[#This Row],[ItemType]]="EVAP KIT UNIVERSAL",Query1[[#This Row],[OrderQty]]+J33,J33)</f>
        <v>129</v>
      </c>
      <c r="K34" s="1">
        <f>Query1[[#This Row],[SF Running Total]]+Query1[[#This Row],[UNIV Running Total]]</f>
        <v>131</v>
      </c>
      <c r="L34">
        <f>VLOOKUP(Query1[[#This Row],[Description]],'kits to boards'!$B$2:$E$156,2,FALSE)</f>
        <v>830029</v>
      </c>
      <c r="M34">
        <f>VLOOKUP(Query1[[#This Row],[Description]],'kits to boards'!$B$2:$E$156,3,FALSE)</f>
        <v>830030</v>
      </c>
      <c r="N34">
        <f>VLOOKUP(Query1[[#This Row],[Description]],'kits to boards'!$B$2:$E$156,4,FALSE)</f>
        <v>0</v>
      </c>
      <c r="O34" t="str">
        <f>CONCATENATE(Query1[[#This Row],[Description]]," - ",Query1[[#This Row],[MB1]]," - ",Query1[[#This Row],[MB2]]," - ",Query1[[#This Row],[MB3]])</f>
        <v>ComPac GEN II W/DEF - 830029 - 830030 - 0</v>
      </c>
    </row>
    <row r="35" spans="1:15" x14ac:dyDescent="0.25">
      <c r="A35" s="1">
        <v>907691</v>
      </c>
      <c r="B35" s="1" t="s">
        <v>24</v>
      </c>
      <c r="C35" s="1" t="s">
        <v>25</v>
      </c>
      <c r="D35" s="2">
        <v>44581.67546111111</v>
      </c>
      <c r="E35" s="1" t="s">
        <v>11</v>
      </c>
      <c r="F35" s="1">
        <v>1</v>
      </c>
      <c r="G35" s="1">
        <v>0</v>
      </c>
      <c r="H35" s="6">
        <f>INT(Query1[[#This Row],[EntryDateTime]])</f>
        <v>44581</v>
      </c>
      <c r="I35" s="1">
        <f>IF(Query1[[#This Row],[ItemType]]="EVAP KIT SF GEN IV",Query1[[#This Row],[OrderQty]]+I34,I34)</f>
        <v>2</v>
      </c>
      <c r="J35" s="1">
        <f>IF(Query1[[#This Row],[ItemType]]="EVAP KIT UNIVERSAL",Query1[[#This Row],[OrderQty]]+J34,J34)</f>
        <v>130</v>
      </c>
      <c r="K35" s="1">
        <f>Query1[[#This Row],[SF Running Total]]+Query1[[#This Row],[UNIV Running Total]]</f>
        <v>132</v>
      </c>
      <c r="L35">
        <f>VLOOKUP(Query1[[#This Row],[Description]],'kits to boards'!$B$2:$E$156,2,FALSE)</f>
        <v>830029</v>
      </c>
      <c r="M35">
        <f>VLOOKUP(Query1[[#This Row],[Description]],'kits to boards'!$B$2:$E$156,3,FALSE)</f>
        <v>830030</v>
      </c>
      <c r="N35">
        <f>VLOOKUP(Query1[[#This Row],[Description]],'kits to boards'!$B$2:$E$156,4,FALSE)</f>
        <v>0</v>
      </c>
      <c r="O35" t="str">
        <f>CONCATENATE(Query1[[#This Row],[Description]]," - ",Query1[[#This Row],[MB1]]," - ",Query1[[#This Row],[MB2]]," - ",Query1[[#This Row],[MB3]])</f>
        <v>ComPac GEN II W/DEF - 830029 - 830030 - 0</v>
      </c>
    </row>
    <row r="36" spans="1:15" x14ac:dyDescent="0.25">
      <c r="A36" s="1">
        <v>907731</v>
      </c>
      <c r="B36" s="1" t="s">
        <v>24</v>
      </c>
      <c r="C36" s="1" t="s">
        <v>25</v>
      </c>
      <c r="D36" s="2">
        <v>44582.384559756945</v>
      </c>
      <c r="E36" s="1" t="s">
        <v>11</v>
      </c>
      <c r="F36" s="1">
        <v>1</v>
      </c>
      <c r="G36" s="1">
        <v>0</v>
      </c>
      <c r="H36" s="6">
        <f>INT(Query1[[#This Row],[EntryDateTime]])</f>
        <v>44582</v>
      </c>
      <c r="I36" s="1">
        <f>IF(Query1[[#This Row],[ItemType]]="EVAP KIT SF GEN IV",Query1[[#This Row],[OrderQty]]+I35,I35)</f>
        <v>2</v>
      </c>
      <c r="J36" s="1">
        <f>IF(Query1[[#This Row],[ItemType]]="EVAP KIT UNIVERSAL",Query1[[#This Row],[OrderQty]]+J35,J35)</f>
        <v>131</v>
      </c>
      <c r="K36" s="1">
        <f>Query1[[#This Row],[SF Running Total]]+Query1[[#This Row],[UNIV Running Total]]</f>
        <v>133</v>
      </c>
      <c r="L36">
        <f>VLOOKUP(Query1[[#This Row],[Description]],'kits to boards'!$B$2:$E$156,2,FALSE)</f>
        <v>830029</v>
      </c>
      <c r="M36">
        <f>VLOOKUP(Query1[[#This Row],[Description]],'kits to boards'!$B$2:$E$156,3,FALSE)</f>
        <v>830030</v>
      </c>
      <c r="N36">
        <f>VLOOKUP(Query1[[#This Row],[Description]],'kits to boards'!$B$2:$E$156,4,FALSE)</f>
        <v>0</v>
      </c>
      <c r="O36" t="str">
        <f>CONCATENATE(Query1[[#This Row],[Description]]," - ",Query1[[#This Row],[MB1]]," - ",Query1[[#This Row],[MB2]]," - ",Query1[[#This Row],[MB3]])</f>
        <v>ComPac GEN II W/DEF - 830029 - 830030 - 0</v>
      </c>
    </row>
    <row r="37" spans="1:15" x14ac:dyDescent="0.25">
      <c r="A37" s="1">
        <v>907810</v>
      </c>
      <c r="B37" s="1" t="s">
        <v>188</v>
      </c>
      <c r="C37" s="1" t="s">
        <v>189</v>
      </c>
      <c r="D37" s="2">
        <v>44582.591904131943</v>
      </c>
      <c r="E37" s="1" t="s">
        <v>11</v>
      </c>
      <c r="F37" s="1">
        <v>1</v>
      </c>
      <c r="G37" s="1">
        <v>0</v>
      </c>
      <c r="H37" s="6">
        <f>INT(Query1[[#This Row],[EntryDateTime]])</f>
        <v>44582</v>
      </c>
      <c r="I37" s="1">
        <f>IF(Query1[[#This Row],[ItemType]]="EVAP KIT SF GEN IV",Query1[[#This Row],[OrderQty]]+I36,I36)</f>
        <v>2</v>
      </c>
      <c r="J37" s="1">
        <f>IF(Query1[[#This Row],[ItemType]]="EVAP KIT UNIVERSAL",Query1[[#This Row],[OrderQty]]+J36,J36)</f>
        <v>132</v>
      </c>
      <c r="K37" s="1">
        <f>Query1[[#This Row],[SF Running Total]]+Query1[[#This Row],[UNIV Running Total]]</f>
        <v>134</v>
      </c>
      <c r="L37">
        <f>VLOOKUP(Query1[[#This Row],[Description]],'kits to boards'!$B$2:$E$156,2,FALSE)</f>
        <v>830069</v>
      </c>
      <c r="M37">
        <f>VLOOKUP(Query1[[#This Row],[Description]],'kits to boards'!$B$2:$E$156,3,FALSE)</f>
        <v>0</v>
      </c>
      <c r="N37">
        <f>VLOOKUP(Query1[[#This Row],[Description]],'kits to boards'!$B$2:$E$156,4,FALSE)</f>
        <v>0</v>
      </c>
      <c r="O37" t="str">
        <f>CONCATENATE(Query1[[#This Row],[Description]]," - ",Query1[[#This Row],[MB1]]," - ",Query1[[#This Row],[MB2]]," - ",Query1[[#This Row],[MB3]])</f>
        <v>SLIMLINE H/C STD LOUVER - 830069 - 0 - 0</v>
      </c>
    </row>
    <row r="38" spans="1:15" x14ac:dyDescent="0.25">
      <c r="A38" s="1">
        <v>907810</v>
      </c>
      <c r="B38" s="1" t="s">
        <v>82</v>
      </c>
      <c r="C38" s="1" t="s">
        <v>83</v>
      </c>
      <c r="D38" s="2">
        <v>44582.5944284375</v>
      </c>
      <c r="E38" s="1" t="s">
        <v>11</v>
      </c>
      <c r="F38" s="1">
        <v>2</v>
      </c>
      <c r="G38" s="1">
        <v>0</v>
      </c>
      <c r="H38" s="6">
        <f>INT(Query1[[#This Row],[EntryDateTime]])</f>
        <v>44582</v>
      </c>
      <c r="I38" s="1">
        <f>IF(Query1[[#This Row],[ItemType]]="EVAP KIT SF GEN IV",Query1[[#This Row],[OrderQty]]+I37,I37)</f>
        <v>2</v>
      </c>
      <c r="J38" s="1">
        <f>IF(Query1[[#This Row],[ItemType]]="EVAP KIT UNIVERSAL",Query1[[#This Row],[OrderQty]]+J37,J37)</f>
        <v>134</v>
      </c>
      <c r="K38" s="1">
        <f>Query1[[#This Row],[SF Running Total]]+Query1[[#This Row],[UNIV Running Total]]</f>
        <v>136</v>
      </c>
      <c r="L38">
        <f>VLOOKUP(Query1[[#This Row],[Description]],'kits to boards'!$B$2:$E$156,2,FALSE)</f>
        <v>830029</v>
      </c>
      <c r="M38">
        <f>VLOOKUP(Query1[[#This Row],[Description]],'kits to boards'!$B$2:$E$156,3,FALSE)</f>
        <v>830030</v>
      </c>
      <c r="N38">
        <f>VLOOKUP(Query1[[#This Row],[Description]],'kits to boards'!$B$2:$E$156,4,FALSE)</f>
        <v>0</v>
      </c>
      <c r="O38" t="str">
        <f>CONCATENATE(Query1[[#This Row],[Description]]," - ",Query1[[#This Row],[MB1]]," - ",Query1[[#This Row],[MB2]]," - ",Query1[[#This Row],[MB3]])</f>
        <v>ComPac GEN II H/C - 830029 - 830030 - 0</v>
      </c>
    </row>
    <row r="39" spans="1:15" x14ac:dyDescent="0.25">
      <c r="A39" s="1">
        <v>907810</v>
      </c>
      <c r="B39" s="1" t="s">
        <v>92</v>
      </c>
      <c r="C39" s="1" t="s">
        <v>93</v>
      </c>
      <c r="D39" s="2">
        <v>44582.594785335648</v>
      </c>
      <c r="E39" s="1" t="s">
        <v>8</v>
      </c>
      <c r="F39" s="1">
        <v>2</v>
      </c>
      <c r="G39" s="1">
        <v>1</v>
      </c>
      <c r="H39" s="6">
        <f>INT(Query1[[#This Row],[EntryDateTime]])</f>
        <v>44582</v>
      </c>
      <c r="I39" s="1">
        <f>IF(Query1[[#This Row],[ItemType]]="EVAP KIT SF GEN IV",Query1[[#This Row],[OrderQty]]+I38,I38)</f>
        <v>4</v>
      </c>
      <c r="J39" s="1">
        <f>IF(Query1[[#This Row],[ItemType]]="EVAP KIT UNIVERSAL",Query1[[#This Row],[OrderQty]]+J38,J38)</f>
        <v>134</v>
      </c>
      <c r="K39" s="1">
        <f>Query1[[#This Row],[SF Running Total]]+Query1[[#This Row],[UNIV Running Total]]</f>
        <v>138</v>
      </c>
      <c r="L39">
        <f>VLOOKUP(Query1[[#This Row],[Description]],'kits to boards'!$B$2:$E$156,2,FALSE)</f>
        <v>830063</v>
      </c>
      <c r="M39">
        <f>VLOOKUP(Query1[[#This Row],[Description]],'kits to boards'!$B$2:$E$156,3,FALSE)</f>
        <v>0</v>
      </c>
      <c r="N39">
        <f>VLOOKUP(Query1[[#This Row],[Description]],'kits to boards'!$B$2:$E$156,4,FALSE)</f>
        <v>0</v>
      </c>
      <c r="O39" t="str">
        <f>CONCATENATE(Query1[[#This Row],[Description]]," - ",Query1[[#This Row],[MB1]]," - ",Query1[[#This Row],[MB2]]," - ",Query1[[#This Row],[MB3]])</f>
        <v>EVAP KIT 50-53 CHEV P-UP GEN IV - 830063 - 0 - 0</v>
      </c>
    </row>
    <row r="40" spans="1:15" x14ac:dyDescent="0.25">
      <c r="A40" s="1">
        <v>907906</v>
      </c>
      <c r="B40" s="1" t="s">
        <v>200</v>
      </c>
      <c r="C40" s="1" t="s">
        <v>201</v>
      </c>
      <c r="D40" s="2">
        <v>44585.343216631947</v>
      </c>
      <c r="E40" s="1" t="s">
        <v>11</v>
      </c>
      <c r="F40" s="1">
        <v>1</v>
      </c>
      <c r="G40" s="1">
        <v>0</v>
      </c>
      <c r="H40" s="6">
        <f>INT(Query1[[#This Row],[EntryDateTime]])</f>
        <v>44585</v>
      </c>
      <c r="I40" s="1">
        <f>IF(Query1[[#This Row],[ItemType]]="EVAP KIT SF GEN IV",Query1[[#This Row],[OrderQty]]+I39,I39)</f>
        <v>4</v>
      </c>
      <c r="J40" s="1">
        <f>IF(Query1[[#This Row],[ItemType]]="EVAP KIT UNIVERSAL",Query1[[#This Row],[OrderQty]]+J39,J39)</f>
        <v>135</v>
      </c>
      <c r="K40" s="1">
        <f>Query1[[#This Row],[SF Running Total]]+Query1[[#This Row],[UNIV Running Total]]</f>
        <v>139</v>
      </c>
      <c r="L40">
        <f>VLOOKUP(Query1[[#This Row],[Description]],'kits to boards'!$B$2:$E$156,2,FALSE)</f>
        <v>830070</v>
      </c>
      <c r="M40">
        <f>VLOOKUP(Query1[[#This Row],[Description]],'kits to boards'!$B$2:$E$156,3,FALSE)</f>
        <v>0</v>
      </c>
      <c r="N40">
        <f>VLOOKUP(Query1[[#This Row],[Description]],'kits to boards'!$B$2:$E$156,4,FALSE)</f>
        <v>0</v>
      </c>
      <c r="O40" t="str">
        <f>CONCATENATE(Query1[[#This Row],[Description]]," - ",Query1[[#This Row],[MB1]]," - ",Query1[[#This Row],[MB2]]," - ",Query1[[#This Row],[MB3]])</f>
        <v>SHORT PACK H/C W/STD CNTL - 830070 - 0 - 0</v>
      </c>
    </row>
    <row r="41" spans="1:15" x14ac:dyDescent="0.25">
      <c r="A41" s="1">
        <v>907958</v>
      </c>
      <c r="B41" s="1" t="s">
        <v>98</v>
      </c>
      <c r="C41" s="1" t="s">
        <v>99</v>
      </c>
      <c r="D41" s="2">
        <v>44585.393321909723</v>
      </c>
      <c r="E41" s="1" t="s">
        <v>11</v>
      </c>
      <c r="F41" s="1">
        <v>1</v>
      </c>
      <c r="G41" s="1">
        <v>0</v>
      </c>
      <c r="H41" s="6">
        <f>INT(Query1[[#This Row],[EntryDateTime]])</f>
        <v>44585</v>
      </c>
      <c r="I41" s="1">
        <f>IF(Query1[[#This Row],[ItemType]]="EVAP KIT SF GEN IV",Query1[[#This Row],[OrderQty]]+I40,I40)</f>
        <v>4</v>
      </c>
      <c r="J41" s="1">
        <f>IF(Query1[[#This Row],[ItemType]]="EVAP KIT UNIVERSAL",Query1[[#This Row],[OrderQty]]+J40,J40)</f>
        <v>136</v>
      </c>
      <c r="K41" s="1">
        <f>Query1[[#This Row],[SF Running Total]]+Query1[[#This Row],[UNIV Running Total]]</f>
        <v>140</v>
      </c>
      <c r="L41">
        <f>VLOOKUP(Query1[[#This Row],[Description]],'kits to boards'!$B$2:$E$156,2,FALSE)</f>
        <v>830099</v>
      </c>
      <c r="M41">
        <f>VLOOKUP(Query1[[#This Row],[Description]],'kits to boards'!$B$2:$E$156,3,FALSE)</f>
        <v>0</v>
      </c>
      <c r="N41">
        <f>VLOOKUP(Query1[[#This Row],[Description]],'kits to boards'!$B$2:$E$156,4,FALSE)</f>
        <v>0</v>
      </c>
      <c r="O41" t="str">
        <f>CONCATENATE(Query1[[#This Row],[Description]]," - ",Query1[[#This Row],[MB1]]," - ",Query1[[#This Row],[MB2]]," - ",Query1[[#This Row],[MB3]])</f>
        <v>MINI GEN II W/DEF - 830099 - 0 - 0</v>
      </c>
    </row>
    <row r="42" spans="1:15" x14ac:dyDescent="0.25">
      <c r="A42" s="1">
        <v>908113</v>
      </c>
      <c r="B42" s="1" t="s">
        <v>24</v>
      </c>
      <c r="C42" s="1" t="s">
        <v>258</v>
      </c>
      <c r="D42" s="2">
        <v>44585.623072256945</v>
      </c>
      <c r="E42" s="1" t="s">
        <v>11</v>
      </c>
      <c r="F42" s="1">
        <v>1</v>
      </c>
      <c r="G42" s="1">
        <v>0</v>
      </c>
      <c r="H42" s="6">
        <f>INT(Query1[[#This Row],[EntryDateTime]])</f>
        <v>44585</v>
      </c>
      <c r="I42" s="1">
        <f>IF(Query1[[#This Row],[ItemType]]="EVAP KIT SF GEN IV",Query1[[#This Row],[OrderQty]]+I41,I41)</f>
        <v>4</v>
      </c>
      <c r="J42" s="1">
        <f>IF(Query1[[#This Row],[ItemType]]="EVAP KIT UNIVERSAL",Query1[[#This Row],[OrderQty]]+J41,J41)</f>
        <v>137</v>
      </c>
      <c r="K42" s="1">
        <f>Query1[[#This Row],[SF Running Total]]+Query1[[#This Row],[UNIV Running Total]]</f>
        <v>141</v>
      </c>
      <c r="L42">
        <f>VLOOKUP(Query1[[#This Row],[Description]],'kits to boards'!$B$2:$E$156,2,FALSE)</f>
        <v>830029</v>
      </c>
      <c r="M42">
        <f>VLOOKUP(Query1[[#This Row],[Description]],'kits to boards'!$B$2:$E$156,3,FALSE)</f>
        <v>830030</v>
      </c>
      <c r="N42">
        <f>VLOOKUP(Query1[[#This Row],[Description]],'kits to boards'!$B$2:$E$156,4,FALSE)</f>
        <v>0</v>
      </c>
      <c r="O42" t="str">
        <f>CONCATENATE(Query1[[#This Row],[Description]]," - ",Query1[[#This Row],[MB1]]," - ",Query1[[#This Row],[MB2]]," - ",Query1[[#This Row],[MB3]])</f>
        <v xml:space="preserve"> ComPac GEN II W/DEF - 830029 - 830030 - 0</v>
      </c>
    </row>
    <row r="43" spans="1:15" x14ac:dyDescent="0.25">
      <c r="A43" s="1">
        <v>907028</v>
      </c>
      <c r="B43" s="1" t="s">
        <v>24</v>
      </c>
      <c r="C43" s="1" t="s">
        <v>25</v>
      </c>
      <c r="D43" s="2">
        <v>44586.575108946759</v>
      </c>
      <c r="E43" s="1" t="s">
        <v>11</v>
      </c>
      <c r="F43" s="1">
        <v>1</v>
      </c>
      <c r="G43" s="1">
        <v>0</v>
      </c>
      <c r="H43" s="6">
        <f>INT(Query1[[#This Row],[EntryDateTime]])</f>
        <v>44586</v>
      </c>
      <c r="I43" s="1">
        <f>IF(Query1[[#This Row],[ItemType]]="EVAP KIT SF GEN IV",Query1[[#This Row],[OrderQty]]+I42,I42)</f>
        <v>4</v>
      </c>
      <c r="J43" s="1">
        <f>IF(Query1[[#This Row],[ItemType]]="EVAP KIT UNIVERSAL",Query1[[#This Row],[OrderQty]]+J42,J42)</f>
        <v>138</v>
      </c>
      <c r="K43" s="1">
        <f>Query1[[#This Row],[SF Running Total]]+Query1[[#This Row],[UNIV Running Total]]</f>
        <v>142</v>
      </c>
      <c r="L43">
        <f>VLOOKUP(Query1[[#This Row],[Description]],'kits to boards'!$B$2:$E$156,2,FALSE)</f>
        <v>830029</v>
      </c>
      <c r="M43">
        <f>VLOOKUP(Query1[[#This Row],[Description]],'kits to boards'!$B$2:$E$156,3,FALSE)</f>
        <v>830030</v>
      </c>
      <c r="N43">
        <f>VLOOKUP(Query1[[#This Row],[Description]],'kits to boards'!$B$2:$E$156,4,FALSE)</f>
        <v>0</v>
      </c>
      <c r="O43" t="str">
        <f>CONCATENATE(Query1[[#This Row],[Description]]," - ",Query1[[#This Row],[MB1]]," - ",Query1[[#This Row],[MB2]]," - ",Query1[[#This Row],[MB3]])</f>
        <v>ComPac GEN II W/DEF - 830029 - 830030 - 0</v>
      </c>
    </row>
    <row r="44" spans="1:15" x14ac:dyDescent="0.25">
      <c r="A44" s="1">
        <v>908377</v>
      </c>
      <c r="B44" s="1" t="s">
        <v>24</v>
      </c>
      <c r="C44" s="1" t="s">
        <v>25</v>
      </c>
      <c r="D44" s="2">
        <v>44586.635514965281</v>
      </c>
      <c r="E44" s="1" t="s">
        <v>11</v>
      </c>
      <c r="F44" s="1">
        <v>1</v>
      </c>
      <c r="G44" s="1">
        <v>0</v>
      </c>
      <c r="H44" s="6">
        <f>INT(Query1[[#This Row],[EntryDateTime]])</f>
        <v>44586</v>
      </c>
      <c r="I44" s="1">
        <f>IF(Query1[[#This Row],[ItemType]]="EVAP KIT SF GEN IV",Query1[[#This Row],[OrderQty]]+I43,I43)</f>
        <v>4</v>
      </c>
      <c r="J44" s="1">
        <f>IF(Query1[[#This Row],[ItemType]]="EVAP KIT UNIVERSAL",Query1[[#This Row],[OrderQty]]+J43,J43)</f>
        <v>139</v>
      </c>
      <c r="K44" s="1">
        <f>Query1[[#This Row],[SF Running Total]]+Query1[[#This Row],[UNIV Running Total]]</f>
        <v>143</v>
      </c>
      <c r="L44">
        <f>VLOOKUP(Query1[[#This Row],[Description]],'kits to boards'!$B$2:$E$156,2,FALSE)</f>
        <v>830029</v>
      </c>
      <c r="M44">
        <f>VLOOKUP(Query1[[#This Row],[Description]],'kits to boards'!$B$2:$E$156,3,FALSE)</f>
        <v>830030</v>
      </c>
      <c r="N44">
        <f>VLOOKUP(Query1[[#This Row],[Description]],'kits to boards'!$B$2:$E$156,4,FALSE)</f>
        <v>0</v>
      </c>
      <c r="O44" t="str">
        <f>CONCATENATE(Query1[[#This Row],[Description]]," - ",Query1[[#This Row],[MB1]]," - ",Query1[[#This Row],[MB2]]," - ",Query1[[#This Row],[MB3]])</f>
        <v>ComPac GEN II W/DEF - 830029 - 830030 - 0</v>
      </c>
    </row>
    <row r="45" spans="1:15" x14ac:dyDescent="0.25">
      <c r="A45" s="1">
        <v>908413</v>
      </c>
      <c r="B45" s="1" t="s">
        <v>9</v>
      </c>
      <c r="C45" s="1" t="s">
        <v>10</v>
      </c>
      <c r="D45" s="2">
        <v>44587.294016898151</v>
      </c>
      <c r="E45" s="1" t="s">
        <v>11</v>
      </c>
      <c r="F45" s="1">
        <v>1</v>
      </c>
      <c r="G45" s="1">
        <v>0</v>
      </c>
      <c r="H45" s="6">
        <f>INT(Query1[[#This Row],[EntryDateTime]])</f>
        <v>44587</v>
      </c>
      <c r="I45" s="1">
        <f>IF(Query1[[#This Row],[ItemType]]="EVAP KIT SF GEN IV",Query1[[#This Row],[OrderQty]]+I44,I44)</f>
        <v>4</v>
      </c>
      <c r="J45" s="1">
        <f>IF(Query1[[#This Row],[ItemType]]="EVAP KIT UNIVERSAL",Query1[[#This Row],[OrderQty]]+J44,J44)</f>
        <v>140</v>
      </c>
      <c r="K45" s="1">
        <f>Query1[[#This Row],[SF Running Total]]+Query1[[#This Row],[UNIV Running Total]]</f>
        <v>144</v>
      </c>
      <c r="L45">
        <f>VLOOKUP(Query1[[#This Row],[Description]],'kits to boards'!$B$2:$E$156,2,FALSE)</f>
        <v>830069</v>
      </c>
      <c r="M45">
        <f>VLOOKUP(Query1[[#This Row],[Description]],'kits to boards'!$B$2:$E$156,3,FALSE)</f>
        <v>0</v>
      </c>
      <c r="N45">
        <f>VLOOKUP(Query1[[#This Row],[Description]],'kits to boards'!$B$2:$E$156,4,FALSE)</f>
        <v>0</v>
      </c>
      <c r="O45" t="str">
        <f>CONCATENATE(Query1[[#This Row],[Description]]," - ",Query1[[#This Row],[MB1]]," - ",Query1[[#This Row],[MB2]]," - ",Query1[[#This Row],[MB3]])</f>
        <v>SLIMLINE H/C W/DEF STD LOUVER - 830069 - 0 - 0</v>
      </c>
    </row>
    <row r="46" spans="1:15" x14ac:dyDescent="0.25">
      <c r="A46" s="1">
        <v>908413</v>
      </c>
      <c r="B46" s="1" t="s">
        <v>24</v>
      </c>
      <c r="C46" s="1" t="s">
        <v>25</v>
      </c>
      <c r="D46" s="2">
        <v>44587.295681793985</v>
      </c>
      <c r="E46" s="1" t="s">
        <v>11</v>
      </c>
      <c r="F46" s="1">
        <v>1</v>
      </c>
      <c r="G46" s="1">
        <v>0</v>
      </c>
      <c r="H46" s="6">
        <f>INT(Query1[[#This Row],[EntryDateTime]])</f>
        <v>44587</v>
      </c>
      <c r="I46" s="1">
        <f>IF(Query1[[#This Row],[ItemType]]="EVAP KIT SF GEN IV",Query1[[#This Row],[OrderQty]]+I45,I45)</f>
        <v>4</v>
      </c>
      <c r="J46" s="1">
        <f>IF(Query1[[#This Row],[ItemType]]="EVAP KIT UNIVERSAL",Query1[[#This Row],[OrderQty]]+J45,J45)</f>
        <v>141</v>
      </c>
      <c r="K46" s="1">
        <f>Query1[[#This Row],[SF Running Total]]+Query1[[#This Row],[UNIV Running Total]]</f>
        <v>145</v>
      </c>
      <c r="L46">
        <f>VLOOKUP(Query1[[#This Row],[Description]],'kits to boards'!$B$2:$E$156,2,FALSE)</f>
        <v>830029</v>
      </c>
      <c r="M46">
        <f>VLOOKUP(Query1[[#This Row],[Description]],'kits to boards'!$B$2:$E$156,3,FALSE)</f>
        <v>830030</v>
      </c>
      <c r="N46">
        <f>VLOOKUP(Query1[[#This Row],[Description]],'kits to boards'!$B$2:$E$156,4,FALSE)</f>
        <v>0</v>
      </c>
      <c r="O46" t="str">
        <f>CONCATENATE(Query1[[#This Row],[Description]]," - ",Query1[[#This Row],[MB1]]," - ",Query1[[#This Row],[MB2]]," - ",Query1[[#This Row],[MB3]])</f>
        <v>ComPac GEN II W/DEF - 830029 - 830030 - 0</v>
      </c>
    </row>
    <row r="47" spans="1:15" x14ac:dyDescent="0.25">
      <c r="A47" s="1">
        <v>908413</v>
      </c>
      <c r="B47" s="1" t="s">
        <v>188</v>
      </c>
      <c r="C47" s="1" t="s">
        <v>189</v>
      </c>
      <c r="D47" s="2">
        <v>44587.299456597226</v>
      </c>
      <c r="E47" s="1" t="s">
        <v>11</v>
      </c>
      <c r="F47" s="1">
        <v>1</v>
      </c>
      <c r="G47" s="1">
        <v>0</v>
      </c>
      <c r="H47" s="6">
        <f>INT(Query1[[#This Row],[EntryDateTime]])</f>
        <v>44587</v>
      </c>
      <c r="I47" s="1">
        <f>IF(Query1[[#This Row],[ItemType]]="EVAP KIT SF GEN IV",Query1[[#This Row],[OrderQty]]+I46,I46)</f>
        <v>4</v>
      </c>
      <c r="J47" s="1">
        <f>IF(Query1[[#This Row],[ItemType]]="EVAP KIT UNIVERSAL",Query1[[#This Row],[OrderQty]]+J46,J46)</f>
        <v>142</v>
      </c>
      <c r="K47" s="1">
        <f>Query1[[#This Row],[SF Running Total]]+Query1[[#This Row],[UNIV Running Total]]</f>
        <v>146</v>
      </c>
      <c r="L47">
        <f>VLOOKUP(Query1[[#This Row],[Description]],'kits to boards'!$B$2:$E$156,2,FALSE)</f>
        <v>830069</v>
      </c>
      <c r="M47">
        <f>VLOOKUP(Query1[[#This Row],[Description]],'kits to boards'!$B$2:$E$156,3,FALSE)</f>
        <v>0</v>
      </c>
      <c r="N47">
        <f>VLOOKUP(Query1[[#This Row],[Description]],'kits to boards'!$B$2:$E$156,4,FALSE)</f>
        <v>0</v>
      </c>
      <c r="O47" t="str">
        <f>CONCATENATE(Query1[[#This Row],[Description]]," - ",Query1[[#This Row],[MB1]]," - ",Query1[[#This Row],[MB2]]," - ",Query1[[#This Row],[MB3]])</f>
        <v>SLIMLINE H/C STD LOUVER - 830069 - 0 - 0</v>
      </c>
    </row>
    <row r="48" spans="1:15" x14ac:dyDescent="0.25">
      <c r="A48" s="1">
        <v>908413</v>
      </c>
      <c r="B48" s="1" t="s">
        <v>263</v>
      </c>
      <c r="C48" s="1" t="s">
        <v>264</v>
      </c>
      <c r="D48" s="2">
        <v>44587.299736574074</v>
      </c>
      <c r="E48" s="1" t="s">
        <v>11</v>
      </c>
      <c r="F48" s="1">
        <v>1</v>
      </c>
      <c r="G48" s="1">
        <v>0</v>
      </c>
      <c r="H48" s="6">
        <f>INT(Query1[[#This Row],[EntryDateTime]])</f>
        <v>44587</v>
      </c>
      <c r="I48" s="1">
        <f>IF(Query1[[#This Row],[ItemType]]="EVAP KIT SF GEN IV",Query1[[#This Row],[OrderQty]]+I47,I47)</f>
        <v>4</v>
      </c>
      <c r="J48" s="1">
        <f>IF(Query1[[#This Row],[ItemType]]="EVAP KIT UNIVERSAL",Query1[[#This Row],[OrderQty]]+J47,J47)</f>
        <v>143</v>
      </c>
      <c r="K48" s="1">
        <f>Query1[[#This Row],[SF Running Total]]+Query1[[#This Row],[UNIV Running Total]]</f>
        <v>147</v>
      </c>
      <c r="L48">
        <f>VLOOKUP(Query1[[#This Row],[Description]],'kits to boards'!$B$2:$E$156,2,FALSE)</f>
        <v>830069</v>
      </c>
      <c r="M48">
        <f>VLOOKUP(Query1[[#This Row],[Description]],'kits to boards'!$B$2:$E$156,3,FALSE)</f>
        <v>0</v>
      </c>
      <c r="N48">
        <f>VLOOKUP(Query1[[#This Row],[Description]],'kits to boards'!$B$2:$E$156,4,FALSE)</f>
        <v>0</v>
      </c>
      <c r="O48" t="str">
        <f>CONCATENATE(Query1[[#This Row],[Description]]," - ",Query1[[#This Row],[MB1]]," - ",Query1[[#This Row],[MB2]]," - ",Query1[[#This Row],[MB3]])</f>
        <v>SLIMLINE COOL STD LOUVER - 830069 - 0 - 0</v>
      </c>
    </row>
    <row r="49" spans="1:15" x14ac:dyDescent="0.25">
      <c r="A49" s="1">
        <v>908413</v>
      </c>
      <c r="B49" s="1" t="s">
        <v>265</v>
      </c>
      <c r="C49" s="1" t="s">
        <v>266</v>
      </c>
      <c r="D49" s="2">
        <v>44587.300037152774</v>
      </c>
      <c r="E49" s="1" t="s">
        <v>11</v>
      </c>
      <c r="F49" s="1">
        <v>1</v>
      </c>
      <c r="G49" s="1">
        <v>0</v>
      </c>
      <c r="H49" s="6">
        <f>INT(Query1[[#This Row],[EntryDateTime]])</f>
        <v>44587</v>
      </c>
      <c r="I49" s="1">
        <f>IF(Query1[[#This Row],[ItemType]]="EVAP KIT SF GEN IV",Query1[[#This Row],[OrderQty]]+I48,I48)</f>
        <v>4</v>
      </c>
      <c r="J49" s="1">
        <f>IF(Query1[[#This Row],[ItemType]]="EVAP KIT UNIVERSAL",Query1[[#This Row],[OrderQty]]+J48,J48)</f>
        <v>144</v>
      </c>
      <c r="K49" s="1">
        <f>Query1[[#This Row],[SF Running Total]]+Query1[[#This Row],[UNIV Running Total]]</f>
        <v>148</v>
      </c>
      <c r="L49">
        <f>VLOOKUP(Query1[[#This Row],[Description]],'kits to boards'!$B$2:$E$156,2,FALSE)</f>
        <v>830045</v>
      </c>
      <c r="M49">
        <f>VLOOKUP(Query1[[#This Row],[Description]],'kits to boards'!$B$2:$E$156,3,FALSE)</f>
        <v>0</v>
      </c>
      <c r="N49">
        <f>VLOOKUP(Query1[[#This Row],[Description]],'kits to boards'!$B$2:$E$156,4,FALSE)</f>
        <v>0</v>
      </c>
      <c r="O49" t="str">
        <f>CONCATENATE(Query1[[#This Row],[Description]]," - ",Query1[[#This Row],[MB1]]," - ",Query1[[#This Row],[MB2]]," - ",Query1[[#This Row],[MB3]])</f>
        <v>MINI SLIMLINE H/C STD LOUVER - 830045 - 0 - 0</v>
      </c>
    </row>
    <row r="50" spans="1:15" x14ac:dyDescent="0.25">
      <c r="A50" s="1">
        <v>908413</v>
      </c>
      <c r="B50" s="1" t="s">
        <v>267</v>
      </c>
      <c r="C50" s="1" t="s">
        <v>268</v>
      </c>
      <c r="D50" s="2">
        <v>44587.300270752312</v>
      </c>
      <c r="E50" s="1" t="s">
        <v>11</v>
      </c>
      <c r="F50" s="1">
        <v>1</v>
      </c>
      <c r="G50" s="1">
        <v>0</v>
      </c>
      <c r="H50" s="6">
        <f>INT(Query1[[#This Row],[EntryDateTime]])</f>
        <v>44587</v>
      </c>
      <c r="I50" s="1">
        <f>IF(Query1[[#This Row],[ItemType]]="EVAP KIT SF GEN IV",Query1[[#This Row],[OrderQty]]+I49,I49)</f>
        <v>4</v>
      </c>
      <c r="J50" s="1">
        <f>IF(Query1[[#This Row],[ItemType]]="EVAP KIT UNIVERSAL",Query1[[#This Row],[OrderQty]]+J49,J49)</f>
        <v>145</v>
      </c>
      <c r="K50" s="1">
        <f>Query1[[#This Row],[SF Running Total]]+Query1[[#This Row],[UNIV Running Total]]</f>
        <v>149</v>
      </c>
      <c r="L50">
        <f>VLOOKUP(Query1[[#This Row],[Description]],'kits to boards'!$B$2:$E$156,2,FALSE)</f>
        <v>830070</v>
      </c>
      <c r="M50">
        <f>VLOOKUP(Query1[[#This Row],[Description]],'kits to boards'!$B$2:$E$156,3,FALSE)</f>
        <v>0</v>
      </c>
      <c r="N50">
        <f>VLOOKUP(Query1[[#This Row],[Description]],'kits to boards'!$B$2:$E$156,4,FALSE)</f>
        <v>0</v>
      </c>
      <c r="O50" t="str">
        <f>CONCATENATE(Query1[[#This Row],[Description]]," - ",Query1[[#This Row],[MB1]]," - ",Query1[[#This Row],[MB2]]," - ",Query1[[#This Row],[MB3]])</f>
        <v>SHORT PACK W/DEF W/STD CNTL - 830070 - 0 - 0</v>
      </c>
    </row>
    <row r="51" spans="1:15" x14ac:dyDescent="0.25">
      <c r="A51" s="1">
        <v>908413</v>
      </c>
      <c r="B51" s="1" t="s">
        <v>58</v>
      </c>
      <c r="C51" s="1" t="s">
        <v>59</v>
      </c>
      <c r="D51" s="2">
        <v>44587.30180883102</v>
      </c>
      <c r="E51" s="1" t="s">
        <v>11</v>
      </c>
      <c r="F51" s="1">
        <v>1</v>
      </c>
      <c r="G51" s="1">
        <v>0</v>
      </c>
      <c r="H51" s="6">
        <f>INT(Query1[[#This Row],[EntryDateTime]])</f>
        <v>44587</v>
      </c>
      <c r="I51" s="1">
        <f>IF(Query1[[#This Row],[ItemType]]="EVAP KIT SF GEN IV",Query1[[#This Row],[OrderQty]]+I50,I50)</f>
        <v>4</v>
      </c>
      <c r="J51" s="1">
        <f>IF(Query1[[#This Row],[ItemType]]="EVAP KIT UNIVERSAL",Query1[[#This Row],[OrderQty]]+J50,J50)</f>
        <v>146</v>
      </c>
      <c r="K51" s="1">
        <f>Query1[[#This Row],[SF Running Total]]+Query1[[#This Row],[UNIV Running Total]]</f>
        <v>150</v>
      </c>
      <c r="L51">
        <f>VLOOKUP(Query1[[#This Row],[Description]],'kits to boards'!$B$2:$E$156,2,FALSE)</f>
        <v>830088</v>
      </c>
      <c r="M51">
        <f>VLOOKUP(Query1[[#This Row],[Description]],'kits to boards'!$B$2:$E$156,3,FALSE)</f>
        <v>830099</v>
      </c>
      <c r="N51">
        <f>VLOOKUP(Query1[[#This Row],[Description]],'kits to boards'!$B$2:$E$156,4,FALSE)</f>
        <v>0</v>
      </c>
      <c r="O51" t="str">
        <f>CONCATENATE(Query1[[#This Row],[Description]]," - ",Query1[[#This Row],[MB1]]," - ",Query1[[#This Row],[MB2]]," - ",Query1[[#This Row],[MB3]])</f>
        <v>MONSTER TRUNK UNIT COOL - 830088 - 830099 - 0</v>
      </c>
    </row>
    <row r="52" spans="1:15" x14ac:dyDescent="0.25">
      <c r="A52" s="1">
        <v>908454</v>
      </c>
      <c r="B52" s="1" t="s">
        <v>24</v>
      </c>
      <c r="C52" s="1" t="s">
        <v>25</v>
      </c>
      <c r="D52" s="2">
        <v>44587.361967824072</v>
      </c>
      <c r="E52" s="1" t="s">
        <v>11</v>
      </c>
      <c r="F52" s="1">
        <v>10</v>
      </c>
      <c r="G52" s="1">
        <v>0</v>
      </c>
      <c r="H52" s="6">
        <f>INT(Query1[[#This Row],[EntryDateTime]])</f>
        <v>44587</v>
      </c>
      <c r="I52" s="1">
        <f>IF(Query1[[#This Row],[ItemType]]="EVAP KIT SF GEN IV",Query1[[#This Row],[OrderQty]]+I51,I51)</f>
        <v>4</v>
      </c>
      <c r="J52" s="1">
        <f>IF(Query1[[#This Row],[ItemType]]="EVAP KIT UNIVERSAL",Query1[[#This Row],[OrderQty]]+J51,J51)</f>
        <v>156</v>
      </c>
      <c r="K52" s="1">
        <f>Query1[[#This Row],[SF Running Total]]+Query1[[#This Row],[UNIV Running Total]]</f>
        <v>160</v>
      </c>
      <c r="L52">
        <f>VLOOKUP(Query1[[#This Row],[Description]],'kits to boards'!$B$2:$E$156,2,FALSE)</f>
        <v>830029</v>
      </c>
      <c r="M52">
        <f>VLOOKUP(Query1[[#This Row],[Description]],'kits to boards'!$B$2:$E$156,3,FALSE)</f>
        <v>830030</v>
      </c>
      <c r="N52">
        <f>VLOOKUP(Query1[[#This Row],[Description]],'kits to boards'!$B$2:$E$156,4,FALSE)</f>
        <v>0</v>
      </c>
      <c r="O52" t="str">
        <f>CONCATENATE(Query1[[#This Row],[Description]]," - ",Query1[[#This Row],[MB1]]," - ",Query1[[#This Row],[MB2]]," - ",Query1[[#This Row],[MB3]])</f>
        <v>ComPac GEN II W/DEF - 830029 - 830030 - 0</v>
      </c>
    </row>
    <row r="53" spans="1:15" x14ac:dyDescent="0.25">
      <c r="A53" s="1">
        <v>908454</v>
      </c>
      <c r="B53" s="1" t="s">
        <v>136</v>
      </c>
      <c r="C53" s="1" t="s">
        <v>137</v>
      </c>
      <c r="D53" s="2">
        <v>44587.362098495367</v>
      </c>
      <c r="E53" s="1" t="s">
        <v>11</v>
      </c>
      <c r="F53" s="1">
        <v>3</v>
      </c>
      <c r="G53" s="1">
        <v>0</v>
      </c>
      <c r="H53" s="6">
        <f>INT(Query1[[#This Row],[EntryDateTime]])</f>
        <v>44587</v>
      </c>
      <c r="I53" s="1">
        <f>IF(Query1[[#This Row],[ItemType]]="EVAP KIT SF GEN IV",Query1[[#This Row],[OrderQty]]+I52,I52)</f>
        <v>4</v>
      </c>
      <c r="J53" s="1">
        <f>IF(Query1[[#This Row],[ItemType]]="EVAP KIT UNIVERSAL",Query1[[#This Row],[OrderQty]]+J52,J52)</f>
        <v>159</v>
      </c>
      <c r="K53" s="1">
        <f>Query1[[#This Row],[SF Running Total]]+Query1[[#This Row],[UNIV Running Total]]</f>
        <v>163</v>
      </c>
      <c r="L53">
        <f>VLOOKUP(Query1[[#This Row],[Description]],'kits to boards'!$B$2:$E$156,2,FALSE)</f>
        <v>0</v>
      </c>
      <c r="M53">
        <f>VLOOKUP(Query1[[#This Row],[Description]],'kits to boards'!$B$2:$E$156,3,FALSE)</f>
        <v>0</v>
      </c>
      <c r="N53">
        <f>VLOOKUP(Query1[[#This Row],[Description]],'kits to boards'!$B$2:$E$156,4,FALSE)</f>
        <v>0</v>
      </c>
      <c r="O53" t="str">
        <f>CONCATENATE(Query1[[#This Row],[Description]]," - ",Query1[[#This Row],[MB1]]," - ",Query1[[#This Row],[MB2]]," - ",Query1[[#This Row],[MB3]])</f>
        <v>HERITAGE TURNED EVAP KIT HEAT/COOL - 0 - 0 - 0</v>
      </c>
    </row>
    <row r="54" spans="1:15" x14ac:dyDescent="0.25">
      <c r="A54" s="1">
        <v>908454</v>
      </c>
      <c r="B54" s="1" t="s">
        <v>20</v>
      </c>
      <c r="C54" s="1" t="s">
        <v>21</v>
      </c>
      <c r="D54" s="2">
        <v>44587.362979016201</v>
      </c>
      <c r="E54" s="1" t="s">
        <v>11</v>
      </c>
      <c r="F54" s="1">
        <v>3</v>
      </c>
      <c r="G54" s="1">
        <v>0</v>
      </c>
      <c r="H54" s="6">
        <f>INT(Query1[[#This Row],[EntryDateTime]])</f>
        <v>44587</v>
      </c>
      <c r="I54" s="1">
        <f>IF(Query1[[#This Row],[ItemType]]="EVAP KIT SF GEN IV",Query1[[#This Row],[OrderQty]]+I53,I53)</f>
        <v>4</v>
      </c>
      <c r="J54" s="1">
        <f>IF(Query1[[#This Row],[ItemType]]="EVAP KIT UNIVERSAL",Query1[[#This Row],[OrderQty]]+J53,J53)</f>
        <v>162</v>
      </c>
      <c r="K54" s="1">
        <f>Query1[[#This Row],[SF Running Total]]+Query1[[#This Row],[UNIV Running Total]]</f>
        <v>166</v>
      </c>
      <c r="L54">
        <f>VLOOKUP(Query1[[#This Row],[Description]],'kits to boards'!$B$2:$E$156,2,FALSE)</f>
        <v>830102</v>
      </c>
      <c r="M54">
        <f>VLOOKUP(Query1[[#This Row],[Description]],'kits to boards'!$B$2:$E$156,3,FALSE)</f>
        <v>0</v>
      </c>
      <c r="N54">
        <f>VLOOKUP(Query1[[#This Row],[Description]],'kits to boards'!$B$2:$E$156,4,FALSE)</f>
        <v>0</v>
      </c>
      <c r="O54" t="str">
        <f>CONCATENATE(Query1[[#This Row],[Description]]," - ",Query1[[#This Row],[MB1]]," - ",Query1[[#This Row],[MB2]]," - ",Query1[[#This Row],[MB3]])</f>
        <v>SUPER GEN II W/DEF - 830102 - 0 - 0</v>
      </c>
    </row>
    <row r="55" spans="1:15" x14ac:dyDescent="0.25">
      <c r="A55" s="1">
        <v>908454</v>
      </c>
      <c r="B55" s="1" t="s">
        <v>24</v>
      </c>
      <c r="C55" s="1" t="s">
        <v>25</v>
      </c>
      <c r="D55" s="2">
        <v>44587.363132986109</v>
      </c>
      <c r="E55" s="1" t="s">
        <v>11</v>
      </c>
      <c r="F55" s="1">
        <v>3</v>
      </c>
      <c r="G55" s="1">
        <v>0</v>
      </c>
      <c r="H55" s="6">
        <f>INT(Query1[[#This Row],[EntryDateTime]])</f>
        <v>44587</v>
      </c>
      <c r="I55" s="1">
        <f>IF(Query1[[#This Row],[ItemType]]="EVAP KIT SF GEN IV",Query1[[#This Row],[OrderQty]]+I54,I54)</f>
        <v>4</v>
      </c>
      <c r="J55" s="1">
        <f>IF(Query1[[#This Row],[ItemType]]="EVAP KIT UNIVERSAL",Query1[[#This Row],[OrderQty]]+J54,J54)</f>
        <v>165</v>
      </c>
      <c r="K55" s="1">
        <f>Query1[[#This Row],[SF Running Total]]+Query1[[#This Row],[UNIV Running Total]]</f>
        <v>169</v>
      </c>
      <c r="L55">
        <f>VLOOKUP(Query1[[#This Row],[Description]],'kits to boards'!$B$2:$E$156,2,FALSE)</f>
        <v>830029</v>
      </c>
      <c r="M55">
        <f>VLOOKUP(Query1[[#This Row],[Description]],'kits to boards'!$B$2:$E$156,3,FALSE)</f>
        <v>830030</v>
      </c>
      <c r="N55">
        <f>VLOOKUP(Query1[[#This Row],[Description]],'kits to boards'!$B$2:$E$156,4,FALSE)</f>
        <v>0</v>
      </c>
      <c r="O55" t="str">
        <f>CONCATENATE(Query1[[#This Row],[Description]]," - ",Query1[[#This Row],[MB1]]," - ",Query1[[#This Row],[MB2]]," - ",Query1[[#This Row],[MB3]])</f>
        <v>ComPac GEN II W/DEF - 830029 - 830030 - 0</v>
      </c>
    </row>
    <row r="56" spans="1:15" x14ac:dyDescent="0.25">
      <c r="A56" s="1">
        <v>908454</v>
      </c>
      <c r="B56" s="1" t="s">
        <v>104</v>
      </c>
      <c r="C56" s="1" t="s">
        <v>105</v>
      </c>
      <c r="D56" s="2">
        <v>44587.363574918978</v>
      </c>
      <c r="E56" s="1" t="s">
        <v>11</v>
      </c>
      <c r="F56" s="1">
        <v>15</v>
      </c>
      <c r="G56" s="1">
        <v>0</v>
      </c>
      <c r="H56" s="6">
        <f>INT(Query1[[#This Row],[EntryDateTime]])</f>
        <v>44587</v>
      </c>
      <c r="I56" s="1">
        <f>IF(Query1[[#This Row],[ItemType]]="EVAP KIT SF GEN IV",Query1[[#This Row],[OrderQty]]+I55,I55)</f>
        <v>4</v>
      </c>
      <c r="J56" s="1">
        <f>IF(Query1[[#This Row],[ItemType]]="EVAP KIT UNIVERSAL",Query1[[#This Row],[OrderQty]]+J55,J55)</f>
        <v>180</v>
      </c>
      <c r="K56" s="1">
        <f>Query1[[#This Row],[SF Running Total]]+Query1[[#This Row],[UNIV Running Total]]</f>
        <v>184</v>
      </c>
      <c r="L56">
        <f>VLOOKUP(Query1[[#This Row],[Description]],'kits to boards'!$B$2:$E$156,2,FALSE)</f>
        <v>0</v>
      </c>
      <c r="M56">
        <f>VLOOKUP(Query1[[#This Row],[Description]],'kits to boards'!$B$2:$E$156,3,FALSE)</f>
        <v>0</v>
      </c>
      <c r="N56">
        <f>VLOOKUP(Query1[[#This Row],[Description]],'kits to boards'!$B$2:$E$156,4,FALSE)</f>
        <v>0</v>
      </c>
      <c r="O56" t="str">
        <f>CONCATENATE(Query1[[#This Row],[Description]]," - ",Query1[[#This Row],[MB1]]," - ",Query1[[#This Row],[MB2]]," - ",Query1[[#This Row],[MB3]])</f>
        <v>HERITAGE BRUSHED EVAP KIT HEAT/COOL - 0 - 0 - 0</v>
      </c>
    </row>
    <row r="57" spans="1:15" x14ac:dyDescent="0.25">
      <c r="A57" s="1">
        <v>908448</v>
      </c>
      <c r="B57" s="1" t="s">
        <v>271</v>
      </c>
      <c r="C57" s="1" t="s">
        <v>272</v>
      </c>
      <c r="D57" s="2">
        <v>44587.387525775463</v>
      </c>
      <c r="E57" s="1" t="s">
        <v>11</v>
      </c>
      <c r="F57" s="1">
        <v>1</v>
      </c>
      <c r="G57" s="1">
        <v>0</v>
      </c>
      <c r="H57" s="6">
        <f>INT(Query1[[#This Row],[EntryDateTime]])</f>
        <v>44587</v>
      </c>
      <c r="I57" s="1">
        <f>IF(Query1[[#This Row],[ItemType]]="EVAP KIT SF GEN IV",Query1[[#This Row],[OrderQty]]+I56,I56)</f>
        <v>4</v>
      </c>
      <c r="J57" s="1">
        <f>IF(Query1[[#This Row],[ItemType]]="EVAP KIT UNIVERSAL",Query1[[#This Row],[OrderQty]]+J56,J56)</f>
        <v>181</v>
      </c>
      <c r="K57" s="1">
        <f>Query1[[#This Row],[SF Running Total]]+Query1[[#This Row],[UNIV Running Total]]</f>
        <v>185</v>
      </c>
      <c r="L57">
        <f>VLOOKUP(Query1[[#This Row],[Description]],'kits to boards'!$B$2:$E$156,2,FALSE)</f>
        <v>0</v>
      </c>
      <c r="M57">
        <f>VLOOKUP(Query1[[#This Row],[Description]],'kits to boards'!$B$2:$E$156,3,FALSE)</f>
        <v>0</v>
      </c>
      <c r="N57">
        <f>VLOOKUP(Query1[[#This Row],[Description]],'kits to boards'!$B$2:$E$156,4,FALSE)</f>
        <v>0</v>
      </c>
      <c r="O57" t="str">
        <f>CONCATENATE(Query1[[#This Row],[Description]]," - ",Query1[[#This Row],[MB1]]," - ",Query1[[#This Row],[MB2]]," - ",Query1[[#This Row],[MB3]])</f>
        <v>EVAP KIT RCR SL-C - 0 - 0 - 0</v>
      </c>
    </row>
    <row r="58" spans="1:15" x14ac:dyDescent="0.25">
      <c r="A58" s="1">
        <v>908520</v>
      </c>
      <c r="B58" s="1" t="s">
        <v>24</v>
      </c>
      <c r="C58" s="1" t="s">
        <v>25</v>
      </c>
      <c r="D58" s="2">
        <v>44587.454795254627</v>
      </c>
      <c r="E58" s="1" t="s">
        <v>11</v>
      </c>
      <c r="F58" s="1">
        <v>1</v>
      </c>
      <c r="G58" s="1">
        <v>0</v>
      </c>
      <c r="H58" s="6">
        <f>INT(Query1[[#This Row],[EntryDateTime]])</f>
        <v>44587</v>
      </c>
      <c r="I58" s="1">
        <f>IF(Query1[[#This Row],[ItemType]]="EVAP KIT SF GEN IV",Query1[[#This Row],[OrderQty]]+I57,I57)</f>
        <v>4</v>
      </c>
      <c r="J58" s="1">
        <f>IF(Query1[[#This Row],[ItemType]]="EVAP KIT UNIVERSAL",Query1[[#This Row],[OrderQty]]+J57,J57)</f>
        <v>182</v>
      </c>
      <c r="K58" s="1">
        <f>Query1[[#This Row],[SF Running Total]]+Query1[[#This Row],[UNIV Running Total]]</f>
        <v>186</v>
      </c>
      <c r="L58">
        <f>VLOOKUP(Query1[[#This Row],[Description]],'kits to boards'!$B$2:$E$156,2,FALSE)</f>
        <v>830029</v>
      </c>
      <c r="M58">
        <f>VLOOKUP(Query1[[#This Row],[Description]],'kits to boards'!$B$2:$E$156,3,FALSE)</f>
        <v>830030</v>
      </c>
      <c r="N58">
        <f>VLOOKUP(Query1[[#This Row],[Description]],'kits to boards'!$B$2:$E$156,4,FALSE)</f>
        <v>0</v>
      </c>
      <c r="O58" t="str">
        <f>CONCATENATE(Query1[[#This Row],[Description]]," - ",Query1[[#This Row],[MB1]]," - ",Query1[[#This Row],[MB2]]," - ",Query1[[#This Row],[MB3]])</f>
        <v>ComPac GEN II W/DEF - 830029 - 830030 - 0</v>
      </c>
    </row>
    <row r="59" spans="1:15" x14ac:dyDescent="0.25">
      <c r="A59" s="1">
        <v>908652</v>
      </c>
      <c r="B59" s="1" t="s">
        <v>104</v>
      </c>
      <c r="C59" s="1" t="s">
        <v>105</v>
      </c>
      <c r="D59" s="2">
        <v>44587.681323263889</v>
      </c>
      <c r="E59" s="1" t="s">
        <v>11</v>
      </c>
      <c r="F59" s="1">
        <v>4</v>
      </c>
      <c r="G59" s="1">
        <v>0</v>
      </c>
      <c r="H59" s="6">
        <f>INT(Query1[[#This Row],[EntryDateTime]])</f>
        <v>44587</v>
      </c>
      <c r="I59" s="1">
        <f>IF(Query1[[#This Row],[ItemType]]="EVAP KIT SF GEN IV",Query1[[#This Row],[OrderQty]]+I58,I58)</f>
        <v>4</v>
      </c>
      <c r="J59" s="1">
        <f>IF(Query1[[#This Row],[ItemType]]="EVAP KIT UNIVERSAL",Query1[[#This Row],[OrderQty]]+J58,J58)</f>
        <v>186</v>
      </c>
      <c r="K59" s="1">
        <f>Query1[[#This Row],[SF Running Total]]+Query1[[#This Row],[UNIV Running Total]]</f>
        <v>190</v>
      </c>
      <c r="L59">
        <f>VLOOKUP(Query1[[#This Row],[Description]],'kits to boards'!$B$2:$E$156,2,FALSE)</f>
        <v>0</v>
      </c>
      <c r="M59">
        <f>VLOOKUP(Query1[[#This Row],[Description]],'kits to boards'!$B$2:$E$156,3,FALSE)</f>
        <v>0</v>
      </c>
      <c r="N59">
        <f>VLOOKUP(Query1[[#This Row],[Description]],'kits to boards'!$B$2:$E$156,4,FALSE)</f>
        <v>0</v>
      </c>
      <c r="O59" t="str">
        <f>CONCATENATE(Query1[[#This Row],[Description]]," - ",Query1[[#This Row],[MB1]]," - ",Query1[[#This Row],[MB2]]," - ",Query1[[#This Row],[MB3]])</f>
        <v>HERITAGE BRUSHED EVAP KIT HEAT/COOL - 0 - 0 - 0</v>
      </c>
    </row>
    <row r="60" spans="1:15" x14ac:dyDescent="0.25">
      <c r="A60" s="1">
        <v>908650</v>
      </c>
      <c r="B60" s="1" t="s">
        <v>76</v>
      </c>
      <c r="C60" s="1" t="s">
        <v>77</v>
      </c>
      <c r="D60" s="2">
        <v>44587.684122604165</v>
      </c>
      <c r="E60" s="1" t="s">
        <v>11</v>
      </c>
      <c r="F60" s="1">
        <v>1</v>
      </c>
      <c r="G60" s="1">
        <v>0</v>
      </c>
      <c r="H60" s="6">
        <f>INT(Query1[[#This Row],[EntryDateTime]])</f>
        <v>44587</v>
      </c>
      <c r="I60" s="1">
        <f>IF(Query1[[#This Row],[ItemType]]="EVAP KIT SF GEN IV",Query1[[#This Row],[OrderQty]]+I59,I59)</f>
        <v>4</v>
      </c>
      <c r="J60" s="1">
        <f>IF(Query1[[#This Row],[ItemType]]="EVAP KIT UNIVERSAL",Query1[[#This Row],[OrderQty]]+J59,J59)</f>
        <v>187</v>
      </c>
      <c r="K60" s="1">
        <f>Query1[[#This Row],[SF Running Total]]+Query1[[#This Row],[UNIV Running Total]]</f>
        <v>191</v>
      </c>
      <c r="L60">
        <f>VLOOKUP(Query1[[#This Row],[Description]],'kits to boards'!$B$2:$E$156,2,FALSE)</f>
        <v>830099</v>
      </c>
      <c r="M60">
        <f>VLOOKUP(Query1[[#This Row],[Description]],'kits to boards'!$B$2:$E$156,3,FALSE)</f>
        <v>0</v>
      </c>
      <c r="N60">
        <f>VLOOKUP(Query1[[#This Row],[Description]],'kits to boards'!$B$2:$E$156,4,FALSE)</f>
        <v>0</v>
      </c>
      <c r="O60" t="str">
        <f>CONCATENATE(Query1[[#This Row],[Description]]," - ",Query1[[#This Row],[MB1]]," - ",Query1[[#This Row],[MB2]]," - ",Query1[[#This Row],[MB3]])</f>
        <v>MINI GEN II H/C - 830099 - 0 - 0</v>
      </c>
    </row>
    <row r="61" spans="1:15" x14ac:dyDescent="0.25">
      <c r="A61" s="1">
        <v>908727</v>
      </c>
      <c r="B61" s="1" t="s">
        <v>24</v>
      </c>
      <c r="C61" s="1" t="s">
        <v>25</v>
      </c>
      <c r="D61" s="2">
        <v>44588.451372372685</v>
      </c>
      <c r="E61" s="1" t="s">
        <v>11</v>
      </c>
      <c r="F61" s="1">
        <v>1</v>
      </c>
      <c r="G61" s="1">
        <v>0</v>
      </c>
      <c r="H61" s="6">
        <f>INT(Query1[[#This Row],[EntryDateTime]])</f>
        <v>44588</v>
      </c>
      <c r="I61" s="1">
        <f>IF(Query1[[#This Row],[ItemType]]="EVAP KIT SF GEN IV",Query1[[#This Row],[OrderQty]]+I60,I60)</f>
        <v>4</v>
      </c>
      <c r="J61" s="1">
        <f>IF(Query1[[#This Row],[ItemType]]="EVAP KIT UNIVERSAL",Query1[[#This Row],[OrderQty]]+J60,J60)</f>
        <v>188</v>
      </c>
      <c r="K61" s="1">
        <f>Query1[[#This Row],[SF Running Total]]+Query1[[#This Row],[UNIV Running Total]]</f>
        <v>192</v>
      </c>
      <c r="L61">
        <f>VLOOKUP(Query1[[#This Row],[Description]],'kits to boards'!$B$2:$E$156,2,FALSE)</f>
        <v>830029</v>
      </c>
      <c r="M61">
        <f>VLOOKUP(Query1[[#This Row],[Description]],'kits to boards'!$B$2:$E$156,3,FALSE)</f>
        <v>830030</v>
      </c>
      <c r="N61">
        <f>VLOOKUP(Query1[[#This Row],[Description]],'kits to boards'!$B$2:$E$156,4,FALSE)</f>
        <v>0</v>
      </c>
      <c r="O61" t="str">
        <f>CONCATENATE(Query1[[#This Row],[Description]]," - ",Query1[[#This Row],[MB1]]," - ",Query1[[#This Row],[MB2]]," - ",Query1[[#This Row],[MB3]])</f>
        <v>ComPac GEN II W/DEF - 830029 - 830030 - 0</v>
      </c>
    </row>
    <row r="62" spans="1:15" x14ac:dyDescent="0.25">
      <c r="A62" s="1">
        <v>908812</v>
      </c>
      <c r="B62" s="1" t="s">
        <v>24</v>
      </c>
      <c r="C62" s="1" t="s">
        <v>25</v>
      </c>
      <c r="D62" s="2">
        <v>44588.66648472222</v>
      </c>
      <c r="E62" s="1" t="s">
        <v>11</v>
      </c>
      <c r="F62" s="1">
        <v>1</v>
      </c>
      <c r="G62" s="1">
        <v>0</v>
      </c>
      <c r="H62" s="6">
        <f>INT(Query1[[#This Row],[EntryDateTime]])</f>
        <v>44588</v>
      </c>
      <c r="I62" s="1">
        <f>IF(Query1[[#This Row],[ItemType]]="EVAP KIT SF GEN IV",Query1[[#This Row],[OrderQty]]+I61,I61)</f>
        <v>4</v>
      </c>
      <c r="J62" s="1">
        <f>IF(Query1[[#This Row],[ItemType]]="EVAP KIT UNIVERSAL",Query1[[#This Row],[OrderQty]]+J61,J61)</f>
        <v>189</v>
      </c>
      <c r="K62" s="1">
        <f>Query1[[#This Row],[SF Running Total]]+Query1[[#This Row],[UNIV Running Total]]</f>
        <v>193</v>
      </c>
      <c r="L62">
        <f>VLOOKUP(Query1[[#This Row],[Description]],'kits to boards'!$B$2:$E$156,2,FALSE)</f>
        <v>830029</v>
      </c>
      <c r="M62">
        <f>VLOOKUP(Query1[[#This Row],[Description]],'kits to boards'!$B$2:$E$156,3,FALSE)</f>
        <v>830030</v>
      </c>
      <c r="N62">
        <f>VLOOKUP(Query1[[#This Row],[Description]],'kits to boards'!$B$2:$E$156,4,FALSE)</f>
        <v>0</v>
      </c>
      <c r="O62" t="str">
        <f>CONCATENATE(Query1[[#This Row],[Description]]," - ",Query1[[#This Row],[MB1]]," - ",Query1[[#This Row],[MB2]]," - ",Query1[[#This Row],[MB3]])</f>
        <v>ComPac GEN II W/DEF - 830029 - 830030 - 0</v>
      </c>
    </row>
    <row r="63" spans="1:15" x14ac:dyDescent="0.25">
      <c r="A63" s="1">
        <v>908883</v>
      </c>
      <c r="B63" s="1" t="s">
        <v>76</v>
      </c>
      <c r="C63" s="1" t="s">
        <v>77</v>
      </c>
      <c r="D63" s="2">
        <v>44589.468610682874</v>
      </c>
      <c r="E63" s="1" t="s">
        <v>11</v>
      </c>
      <c r="F63" s="1">
        <v>1</v>
      </c>
      <c r="G63" s="1">
        <v>0</v>
      </c>
      <c r="H63" s="6">
        <f>INT(Query1[[#This Row],[EntryDateTime]])</f>
        <v>44589</v>
      </c>
      <c r="I63" s="1">
        <f>IF(Query1[[#This Row],[ItemType]]="EVAP KIT SF GEN IV",Query1[[#This Row],[OrderQty]]+I62,I62)</f>
        <v>4</v>
      </c>
      <c r="J63" s="1">
        <f>IF(Query1[[#This Row],[ItemType]]="EVAP KIT UNIVERSAL",Query1[[#This Row],[OrderQty]]+J62,J62)</f>
        <v>190</v>
      </c>
      <c r="K63" s="1">
        <f>Query1[[#This Row],[SF Running Total]]+Query1[[#This Row],[UNIV Running Total]]</f>
        <v>194</v>
      </c>
      <c r="L63">
        <f>VLOOKUP(Query1[[#This Row],[Description]],'kits to boards'!$B$2:$E$156,2,FALSE)</f>
        <v>830099</v>
      </c>
      <c r="M63">
        <f>VLOOKUP(Query1[[#This Row],[Description]],'kits to boards'!$B$2:$E$156,3,FALSE)</f>
        <v>0</v>
      </c>
      <c r="N63">
        <f>VLOOKUP(Query1[[#This Row],[Description]],'kits to boards'!$B$2:$E$156,4,FALSE)</f>
        <v>0</v>
      </c>
      <c r="O63" t="str">
        <f>CONCATENATE(Query1[[#This Row],[Description]]," - ",Query1[[#This Row],[MB1]]," - ",Query1[[#This Row],[MB2]]," - ",Query1[[#This Row],[MB3]])</f>
        <v>MINI GEN II H/C - 830099 - 0 - 0</v>
      </c>
    </row>
    <row r="64" spans="1:15" x14ac:dyDescent="0.25">
      <c r="A64" s="1">
        <v>908914</v>
      </c>
      <c r="B64" s="1" t="s">
        <v>24</v>
      </c>
      <c r="C64" s="1" t="s">
        <v>25</v>
      </c>
      <c r="D64" s="2">
        <v>44589.536654479169</v>
      </c>
      <c r="E64" s="1" t="s">
        <v>11</v>
      </c>
      <c r="F64" s="1">
        <v>1</v>
      </c>
      <c r="G64" s="1">
        <v>0</v>
      </c>
      <c r="H64" s="6">
        <f>INT(Query1[[#This Row],[EntryDateTime]])</f>
        <v>44589</v>
      </c>
      <c r="I64" s="1">
        <f>IF(Query1[[#This Row],[ItemType]]="EVAP KIT SF GEN IV",Query1[[#This Row],[OrderQty]]+I63,I63)</f>
        <v>4</v>
      </c>
      <c r="J64" s="1">
        <f>IF(Query1[[#This Row],[ItemType]]="EVAP KIT UNIVERSAL",Query1[[#This Row],[OrderQty]]+J63,J63)</f>
        <v>191</v>
      </c>
      <c r="K64" s="1">
        <f>Query1[[#This Row],[SF Running Total]]+Query1[[#This Row],[UNIV Running Total]]</f>
        <v>195</v>
      </c>
      <c r="L64">
        <f>VLOOKUP(Query1[[#This Row],[Description]],'kits to boards'!$B$2:$E$156,2,FALSE)</f>
        <v>830029</v>
      </c>
      <c r="M64">
        <f>VLOOKUP(Query1[[#This Row],[Description]],'kits to boards'!$B$2:$E$156,3,FALSE)</f>
        <v>830030</v>
      </c>
      <c r="N64">
        <f>VLOOKUP(Query1[[#This Row],[Description]],'kits to boards'!$B$2:$E$156,4,FALSE)</f>
        <v>0</v>
      </c>
      <c r="O64" t="str">
        <f>CONCATENATE(Query1[[#This Row],[Description]]," - ",Query1[[#This Row],[MB1]]," - ",Query1[[#This Row],[MB2]]," - ",Query1[[#This Row],[MB3]])</f>
        <v>ComPac GEN II W/DEF - 830029 - 830030 - 0</v>
      </c>
    </row>
    <row r="65" spans="1:15" x14ac:dyDescent="0.25">
      <c r="A65" s="1">
        <v>908928</v>
      </c>
      <c r="B65" s="1" t="s">
        <v>263</v>
      </c>
      <c r="C65" s="1" t="s">
        <v>264</v>
      </c>
      <c r="D65" s="2">
        <v>44589.586162581021</v>
      </c>
      <c r="E65" s="1" t="s">
        <v>11</v>
      </c>
      <c r="F65" s="1">
        <v>1</v>
      </c>
      <c r="G65" s="1">
        <v>0</v>
      </c>
      <c r="H65" s="6">
        <f>INT(Query1[[#This Row],[EntryDateTime]])</f>
        <v>44589</v>
      </c>
      <c r="I65" s="1">
        <f>IF(Query1[[#This Row],[ItemType]]="EVAP KIT SF GEN IV",Query1[[#This Row],[OrderQty]]+I64,I64)</f>
        <v>4</v>
      </c>
      <c r="J65" s="1">
        <f>IF(Query1[[#This Row],[ItemType]]="EVAP KIT UNIVERSAL",Query1[[#This Row],[OrderQty]]+J64,J64)</f>
        <v>192</v>
      </c>
      <c r="K65" s="1">
        <f>Query1[[#This Row],[SF Running Total]]+Query1[[#This Row],[UNIV Running Total]]</f>
        <v>196</v>
      </c>
      <c r="L65">
        <f>VLOOKUP(Query1[[#This Row],[Description]],'kits to boards'!$B$2:$E$156,2,FALSE)</f>
        <v>830069</v>
      </c>
      <c r="M65">
        <f>VLOOKUP(Query1[[#This Row],[Description]],'kits to boards'!$B$2:$E$156,3,FALSE)</f>
        <v>0</v>
      </c>
      <c r="N65">
        <f>VLOOKUP(Query1[[#This Row],[Description]],'kits to boards'!$B$2:$E$156,4,FALSE)</f>
        <v>0</v>
      </c>
      <c r="O65" t="str">
        <f>CONCATENATE(Query1[[#This Row],[Description]]," - ",Query1[[#This Row],[MB1]]," - ",Query1[[#This Row],[MB2]]," - ",Query1[[#This Row],[MB3]])</f>
        <v>SLIMLINE COOL STD LOUVER - 830069 - 0 - 0</v>
      </c>
    </row>
    <row r="66" spans="1:15" x14ac:dyDescent="0.25">
      <c r="A66" s="1">
        <v>908881</v>
      </c>
      <c r="B66" s="1" t="s">
        <v>98</v>
      </c>
      <c r="C66" s="1" t="s">
        <v>99</v>
      </c>
      <c r="D66" s="2">
        <v>44589.630298379627</v>
      </c>
      <c r="E66" s="1" t="s">
        <v>11</v>
      </c>
      <c r="F66" s="1">
        <v>2</v>
      </c>
      <c r="G66" s="1">
        <v>0</v>
      </c>
      <c r="H66" s="6">
        <f>INT(Query1[[#This Row],[EntryDateTime]])</f>
        <v>44589</v>
      </c>
      <c r="I66" s="1">
        <f>IF(Query1[[#This Row],[ItemType]]="EVAP KIT SF GEN IV",Query1[[#This Row],[OrderQty]]+I65,I65)</f>
        <v>4</v>
      </c>
      <c r="J66" s="1">
        <f>IF(Query1[[#This Row],[ItemType]]="EVAP KIT UNIVERSAL",Query1[[#This Row],[OrderQty]]+J65,J65)</f>
        <v>194</v>
      </c>
      <c r="K66" s="1">
        <f>Query1[[#This Row],[SF Running Total]]+Query1[[#This Row],[UNIV Running Total]]</f>
        <v>198</v>
      </c>
      <c r="L66">
        <f>VLOOKUP(Query1[[#This Row],[Description]],'kits to boards'!$B$2:$E$156,2,FALSE)</f>
        <v>830099</v>
      </c>
      <c r="M66">
        <f>VLOOKUP(Query1[[#This Row],[Description]],'kits to boards'!$B$2:$E$156,3,FALSE)</f>
        <v>0</v>
      </c>
      <c r="N66">
        <f>VLOOKUP(Query1[[#This Row],[Description]],'kits to boards'!$B$2:$E$156,4,FALSE)</f>
        <v>0</v>
      </c>
      <c r="O66" t="str">
        <f>CONCATENATE(Query1[[#This Row],[Description]]," - ",Query1[[#This Row],[MB1]]," - ",Query1[[#This Row],[MB2]]," - ",Query1[[#This Row],[MB3]])</f>
        <v>MINI GEN II W/DEF - 830099 - 0 - 0</v>
      </c>
    </row>
    <row r="67" spans="1:15" x14ac:dyDescent="0.25">
      <c r="A67" s="1">
        <v>908983</v>
      </c>
      <c r="B67" s="1" t="s">
        <v>14</v>
      </c>
      <c r="C67" s="1" t="s">
        <v>15</v>
      </c>
      <c r="D67" s="2">
        <v>44592.305000115739</v>
      </c>
      <c r="E67" s="1" t="s">
        <v>8</v>
      </c>
      <c r="F67" s="1">
        <v>1</v>
      </c>
      <c r="G67" s="1">
        <v>0</v>
      </c>
      <c r="H67" s="6">
        <f>INT(Query1[[#This Row],[EntryDateTime]])</f>
        <v>44592</v>
      </c>
      <c r="I67" s="1">
        <f>IF(Query1[[#This Row],[ItemType]]="EVAP KIT SF GEN IV",Query1[[#This Row],[OrderQty]]+I66,I66)</f>
        <v>5</v>
      </c>
      <c r="J67" s="1">
        <f>IF(Query1[[#This Row],[ItemType]]="EVAP KIT UNIVERSAL",Query1[[#This Row],[OrderQty]]+J66,J66)</f>
        <v>194</v>
      </c>
      <c r="K67" s="1">
        <f>Query1[[#This Row],[SF Running Total]]+Query1[[#This Row],[UNIV Running Total]]</f>
        <v>199</v>
      </c>
      <c r="L67">
        <f>VLOOKUP(Query1[[#This Row],[Description]],'kits to boards'!$B$2:$E$156,2,FALSE)</f>
        <v>830054</v>
      </c>
      <c r="M67">
        <f>VLOOKUP(Query1[[#This Row],[Description]],'kits to boards'!$B$2:$E$156,3,FALSE)</f>
        <v>0</v>
      </c>
      <c r="N67">
        <f>VLOOKUP(Query1[[#This Row],[Description]],'kits to boards'!$B$2:$E$156,4,FALSE)</f>
        <v>0</v>
      </c>
      <c r="O67" t="str">
        <f>CONCATENATE(Query1[[#This Row],[Description]]," - ",Query1[[#This Row],[MB1]]," - ",Query1[[#This Row],[MB2]]," - ",Query1[[#This Row],[MB3]])</f>
        <v>EVAP KIT 55-56 CHEVY - 830054 - 0 - 0</v>
      </c>
    </row>
    <row r="68" spans="1:15" x14ac:dyDescent="0.25">
      <c r="A68" s="1">
        <v>908983</v>
      </c>
      <c r="B68" s="1" t="s">
        <v>66</v>
      </c>
      <c r="C68" s="1" t="s">
        <v>67</v>
      </c>
      <c r="D68" s="2">
        <v>44592.305000115739</v>
      </c>
      <c r="E68" s="1" t="s">
        <v>8</v>
      </c>
      <c r="F68" s="1">
        <v>1</v>
      </c>
      <c r="G68" s="1">
        <v>0</v>
      </c>
      <c r="H68" s="6">
        <f>INT(Query1[[#This Row],[EntryDateTime]])</f>
        <v>44592</v>
      </c>
      <c r="I68" s="1">
        <f>IF(Query1[[#This Row],[ItemType]]="EVAP KIT SF GEN IV",Query1[[#This Row],[OrderQty]]+I67,I67)</f>
        <v>6</v>
      </c>
      <c r="J68" s="1">
        <f>IF(Query1[[#This Row],[ItemType]]="EVAP KIT UNIVERSAL",Query1[[#This Row],[OrderQty]]+J67,J67)</f>
        <v>194</v>
      </c>
      <c r="K68" s="1">
        <f>Query1[[#This Row],[SF Running Total]]+Query1[[#This Row],[UNIV Running Total]]</f>
        <v>200</v>
      </c>
      <c r="L68">
        <f>VLOOKUP(Query1[[#This Row],[Description]],'kits to boards'!$B$2:$E$156,2,FALSE)</f>
        <v>830060</v>
      </c>
      <c r="M68">
        <f>VLOOKUP(Query1[[#This Row],[Description]],'kits to boards'!$B$2:$E$156,3,FALSE)</f>
        <v>0</v>
      </c>
      <c r="N68">
        <f>VLOOKUP(Query1[[#This Row],[Description]],'kits to boards'!$B$2:$E$156,4,FALSE)</f>
        <v>0</v>
      </c>
      <c r="O68" t="str">
        <f>CONCATENATE(Query1[[#This Row],[Description]]," - ",Query1[[#This Row],[MB1]]," - ",Query1[[#This Row],[MB2]]," - ",Query1[[#This Row],[MB3]])</f>
        <v>EVAP KIT 66-67 CHEVELLE WO AC - 830060 - 0 - 0</v>
      </c>
    </row>
    <row r="69" spans="1:15" x14ac:dyDescent="0.25">
      <c r="A69" s="1">
        <v>908983</v>
      </c>
      <c r="B69" s="1" t="s">
        <v>92</v>
      </c>
      <c r="C69" s="1" t="s">
        <v>93</v>
      </c>
      <c r="D69" s="2">
        <v>44592.305000115739</v>
      </c>
      <c r="E69" s="1" t="s">
        <v>8</v>
      </c>
      <c r="F69" s="1">
        <v>1</v>
      </c>
      <c r="G69" s="1">
        <v>0</v>
      </c>
      <c r="H69" s="6">
        <f>INT(Query1[[#This Row],[EntryDateTime]])</f>
        <v>44592</v>
      </c>
      <c r="I69" s="1">
        <f>IF(Query1[[#This Row],[ItemType]]="EVAP KIT SF GEN IV",Query1[[#This Row],[OrderQty]]+I68,I68)</f>
        <v>7</v>
      </c>
      <c r="J69" s="1">
        <f>IF(Query1[[#This Row],[ItemType]]="EVAP KIT UNIVERSAL",Query1[[#This Row],[OrderQty]]+J68,J68)</f>
        <v>194</v>
      </c>
      <c r="K69" s="1">
        <f>Query1[[#This Row],[SF Running Total]]+Query1[[#This Row],[UNIV Running Total]]</f>
        <v>201</v>
      </c>
      <c r="L69">
        <f>VLOOKUP(Query1[[#This Row],[Description]],'kits to boards'!$B$2:$E$156,2,FALSE)</f>
        <v>830063</v>
      </c>
      <c r="M69">
        <f>VLOOKUP(Query1[[#This Row],[Description]],'kits to boards'!$B$2:$E$156,3,FALSE)</f>
        <v>0</v>
      </c>
      <c r="N69">
        <f>VLOOKUP(Query1[[#This Row],[Description]],'kits to boards'!$B$2:$E$156,4,FALSE)</f>
        <v>0</v>
      </c>
      <c r="O69" t="str">
        <f>CONCATENATE(Query1[[#This Row],[Description]]," - ",Query1[[#This Row],[MB1]]," - ",Query1[[#This Row],[MB2]]," - ",Query1[[#This Row],[MB3]])</f>
        <v>EVAP KIT 50-53 CHEV P-UP GEN IV - 830063 - 0 - 0</v>
      </c>
    </row>
    <row r="70" spans="1:15" x14ac:dyDescent="0.25">
      <c r="A70" s="1">
        <v>908983</v>
      </c>
      <c r="B70" s="1" t="s">
        <v>244</v>
      </c>
      <c r="C70" s="1" t="s">
        <v>245</v>
      </c>
      <c r="D70" s="2">
        <v>44592.305000115739</v>
      </c>
      <c r="E70" s="1" t="s">
        <v>8</v>
      </c>
      <c r="F70" s="1">
        <v>2</v>
      </c>
      <c r="G70" s="1">
        <v>0</v>
      </c>
      <c r="H70" s="6">
        <f>INT(Query1[[#This Row],[EntryDateTime]])</f>
        <v>44592</v>
      </c>
      <c r="I70" s="1">
        <f>IF(Query1[[#This Row],[ItemType]]="EVAP KIT SF GEN IV",Query1[[#This Row],[OrderQty]]+I69,I69)</f>
        <v>9</v>
      </c>
      <c r="J70" s="1">
        <f>IF(Query1[[#This Row],[ItemType]]="EVAP KIT UNIVERSAL",Query1[[#This Row],[OrderQty]]+J69,J69)</f>
        <v>194</v>
      </c>
      <c r="K70" s="1">
        <f>Query1[[#This Row],[SF Running Total]]+Query1[[#This Row],[UNIV Running Total]]</f>
        <v>203</v>
      </c>
      <c r="L70">
        <f>VLOOKUP(Query1[[#This Row],[Description]],'kits to boards'!$B$2:$E$156,2,FALSE)</f>
        <v>830100</v>
      </c>
      <c r="M70">
        <f>VLOOKUP(Query1[[#This Row],[Description]],'kits to boards'!$B$2:$E$156,3,FALSE)</f>
        <v>0</v>
      </c>
      <c r="N70">
        <f>VLOOKUP(Query1[[#This Row],[Description]],'kits to boards'!$B$2:$E$156,4,FALSE)</f>
        <v>0</v>
      </c>
      <c r="O70" t="str">
        <f>CONCATENATE(Query1[[#This Row],[Description]]," - ",Query1[[#This Row],[MB1]]," - ",Query1[[#This Row],[MB2]]," - ",Query1[[#This Row],[MB3]])</f>
        <v>EVAP KIT 68-76 VETTE WO AC - 830100 - 0 - 0</v>
      </c>
    </row>
    <row r="71" spans="1:15" x14ac:dyDescent="0.25">
      <c r="A71" s="1">
        <v>908983</v>
      </c>
      <c r="B71" s="1" t="s">
        <v>90</v>
      </c>
      <c r="C71" s="1" t="s">
        <v>91</v>
      </c>
      <c r="D71" s="2">
        <v>44592.305000115739</v>
      </c>
      <c r="E71" s="1" t="s">
        <v>8</v>
      </c>
      <c r="F71" s="1">
        <v>2</v>
      </c>
      <c r="G71" s="1">
        <v>0</v>
      </c>
      <c r="H71" s="6">
        <f>INT(Query1[[#This Row],[EntryDateTime]])</f>
        <v>44592</v>
      </c>
      <c r="I71" s="1">
        <f>IF(Query1[[#This Row],[ItemType]]="EVAP KIT SF GEN IV",Query1[[#This Row],[OrderQty]]+I70,I70)</f>
        <v>11</v>
      </c>
      <c r="J71" s="1">
        <f>IF(Query1[[#This Row],[ItemType]]="EVAP KIT UNIVERSAL",Query1[[#This Row],[OrderQty]]+J70,J70)</f>
        <v>194</v>
      </c>
      <c r="K71" s="1">
        <f>Query1[[#This Row],[SF Running Total]]+Query1[[#This Row],[UNIV Running Total]]</f>
        <v>205</v>
      </c>
      <c r="L71">
        <f>VLOOKUP(Query1[[#This Row],[Description]],'kits to boards'!$B$2:$E$156,2,FALSE)</f>
        <v>830105</v>
      </c>
      <c r="M71">
        <f>VLOOKUP(Query1[[#This Row],[Description]],'kits to boards'!$B$2:$E$156,3,FALSE)</f>
        <v>830106</v>
      </c>
      <c r="N71">
        <f>VLOOKUP(Query1[[#This Row],[Description]],'kits to boards'!$B$2:$E$156,4,FALSE)</f>
        <v>0</v>
      </c>
      <c r="O71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72" spans="1:15" x14ac:dyDescent="0.25">
      <c r="A72" s="1">
        <v>908924</v>
      </c>
      <c r="B72" s="1" t="s">
        <v>261</v>
      </c>
      <c r="C72" s="1" t="s">
        <v>262</v>
      </c>
      <c r="D72" s="2">
        <v>44592.310312349538</v>
      </c>
      <c r="E72" s="1" t="s">
        <v>8</v>
      </c>
      <c r="F72" s="1">
        <v>1</v>
      </c>
      <c r="G72" s="1">
        <v>0</v>
      </c>
      <c r="H72" s="6">
        <f>INT(Query1[[#This Row],[EntryDateTime]])</f>
        <v>44592</v>
      </c>
      <c r="I72" s="1">
        <f>IF(Query1[[#This Row],[ItemType]]="EVAP KIT SF GEN IV",Query1[[#This Row],[OrderQty]]+I71,I71)</f>
        <v>12</v>
      </c>
      <c r="J72" s="1">
        <f>IF(Query1[[#This Row],[ItemType]]="EVAP KIT UNIVERSAL",Query1[[#This Row],[OrderQty]]+J71,J71)</f>
        <v>194</v>
      </c>
      <c r="K72" s="1">
        <f>Query1[[#This Row],[SF Running Total]]+Query1[[#This Row],[UNIV Running Total]]</f>
        <v>206</v>
      </c>
      <c r="L72">
        <f>VLOOKUP(Query1[[#This Row],[Description]],'kits to boards'!$B$2:$E$156,2,FALSE)</f>
        <v>830074</v>
      </c>
      <c r="M72">
        <f>VLOOKUP(Query1[[#This Row],[Description]],'kits to boards'!$B$2:$E$156,3,FALSE)</f>
        <v>0</v>
      </c>
      <c r="N72">
        <f>VLOOKUP(Query1[[#This Row],[Description]],'kits to boards'!$B$2:$E$156,4,FALSE)</f>
        <v>0</v>
      </c>
      <c r="O72" t="str">
        <f>CONCATENATE(Query1[[#This Row],[Description]]," - ",Query1[[#This Row],[MB1]]," - ",Query1[[#This Row],[MB2]]," - ",Query1[[#This Row],[MB3]])</f>
        <v>EVAP KIT 68 MOPAR B BODY W/AC - 830074 - 0 - 0</v>
      </c>
    </row>
    <row r="73" spans="1:15" x14ac:dyDescent="0.25">
      <c r="A73" s="1">
        <v>908829</v>
      </c>
      <c r="B73" s="1" t="s">
        <v>244</v>
      </c>
      <c r="C73" s="1" t="s">
        <v>245</v>
      </c>
      <c r="D73" s="2">
        <v>44592.311688576388</v>
      </c>
      <c r="E73" s="1" t="s">
        <v>8</v>
      </c>
      <c r="F73" s="1">
        <v>1</v>
      </c>
      <c r="G73" s="1">
        <v>0</v>
      </c>
      <c r="H73" s="6">
        <f>INT(Query1[[#This Row],[EntryDateTime]])</f>
        <v>44592</v>
      </c>
      <c r="I73" s="1">
        <f>IF(Query1[[#This Row],[ItemType]]="EVAP KIT SF GEN IV",Query1[[#This Row],[OrderQty]]+I72,I72)</f>
        <v>13</v>
      </c>
      <c r="J73" s="1">
        <f>IF(Query1[[#This Row],[ItemType]]="EVAP KIT UNIVERSAL",Query1[[#This Row],[OrderQty]]+J72,J72)</f>
        <v>194</v>
      </c>
      <c r="K73" s="1">
        <f>Query1[[#This Row],[SF Running Total]]+Query1[[#This Row],[UNIV Running Total]]</f>
        <v>207</v>
      </c>
      <c r="L73">
        <f>VLOOKUP(Query1[[#This Row],[Description]],'kits to boards'!$B$2:$E$156,2,FALSE)</f>
        <v>830100</v>
      </c>
      <c r="M73">
        <f>VLOOKUP(Query1[[#This Row],[Description]],'kits to boards'!$B$2:$E$156,3,FALSE)</f>
        <v>0</v>
      </c>
      <c r="N73">
        <f>VLOOKUP(Query1[[#This Row],[Description]],'kits to boards'!$B$2:$E$156,4,FALSE)</f>
        <v>0</v>
      </c>
      <c r="O73" t="str">
        <f>CONCATENATE(Query1[[#This Row],[Description]]," - ",Query1[[#This Row],[MB1]]," - ",Query1[[#This Row],[MB2]]," - ",Query1[[#This Row],[MB3]])</f>
        <v>EVAP KIT 68-76 VETTE WO AC - 830100 - 0 - 0</v>
      </c>
    </row>
    <row r="74" spans="1:15" x14ac:dyDescent="0.25">
      <c r="A74" s="1">
        <v>908829</v>
      </c>
      <c r="B74" s="1" t="s">
        <v>102</v>
      </c>
      <c r="C74" s="1" t="s">
        <v>103</v>
      </c>
      <c r="D74" s="2">
        <v>44592.311688576388</v>
      </c>
      <c r="E74" s="1" t="s">
        <v>8</v>
      </c>
      <c r="F74" s="1">
        <v>1</v>
      </c>
      <c r="G74" s="1">
        <v>0</v>
      </c>
      <c r="H74" s="6">
        <f>INT(Query1[[#This Row],[EntryDateTime]])</f>
        <v>44592</v>
      </c>
      <c r="I74" s="1">
        <f>IF(Query1[[#This Row],[ItemType]]="EVAP KIT SF GEN IV",Query1[[#This Row],[OrderQty]]+I73,I73)</f>
        <v>14</v>
      </c>
      <c r="J74" s="1">
        <f>IF(Query1[[#This Row],[ItemType]]="EVAP KIT UNIVERSAL",Query1[[#This Row],[OrderQty]]+J73,J73)</f>
        <v>194</v>
      </c>
      <c r="K74" s="1">
        <f>Query1[[#This Row],[SF Running Total]]+Query1[[#This Row],[UNIV Running Total]]</f>
        <v>208</v>
      </c>
      <c r="L74">
        <f>VLOOKUP(Query1[[#This Row],[Description]],'kits to boards'!$B$2:$E$156,2,FALSE)</f>
        <v>830012</v>
      </c>
      <c r="M74">
        <f>VLOOKUP(Query1[[#This Row],[Description]],'kits to boards'!$B$2:$E$156,3,FALSE)</f>
        <v>0</v>
      </c>
      <c r="N74">
        <f>VLOOKUP(Query1[[#This Row],[Description]],'kits to boards'!$B$2:$E$156,4,FALSE)</f>
        <v>0</v>
      </c>
      <c r="O74" t="str">
        <f>CONCATENATE(Query1[[#This Row],[Description]]," - ",Query1[[#This Row],[MB1]]," - ",Query1[[#This Row],[MB2]]," - ",Query1[[#This Row],[MB3]])</f>
        <v>EVAP KIT 69 CAMARO WO/AC - 830012 - 0 - 0</v>
      </c>
    </row>
    <row r="75" spans="1:15" x14ac:dyDescent="0.25">
      <c r="A75" s="1">
        <v>908986</v>
      </c>
      <c r="B75" s="1" t="s">
        <v>62</v>
      </c>
      <c r="C75" s="1" t="s">
        <v>63</v>
      </c>
      <c r="D75" s="2">
        <v>44592.31451478009</v>
      </c>
      <c r="E75" s="1" t="s">
        <v>8</v>
      </c>
      <c r="F75" s="1">
        <v>1</v>
      </c>
      <c r="G75" s="1">
        <v>0</v>
      </c>
      <c r="H75" s="6">
        <f>INT(Query1[[#This Row],[EntryDateTime]])</f>
        <v>44592</v>
      </c>
      <c r="I75" s="1">
        <f>IF(Query1[[#This Row],[ItemType]]="EVAP KIT SF GEN IV",Query1[[#This Row],[OrderQty]]+I74,I74)</f>
        <v>15</v>
      </c>
      <c r="J75" s="1">
        <f>IF(Query1[[#This Row],[ItemType]]="EVAP KIT UNIVERSAL",Query1[[#This Row],[OrderQty]]+J74,J74)</f>
        <v>194</v>
      </c>
      <c r="K75" s="1">
        <f>Query1[[#This Row],[SF Running Total]]+Query1[[#This Row],[UNIV Running Total]]</f>
        <v>209</v>
      </c>
      <c r="L75">
        <f>VLOOKUP(Query1[[#This Row],[Description]],'kits to boards'!$B$2:$E$156,2,FALSE)</f>
        <v>830079</v>
      </c>
      <c r="M75">
        <f>VLOOKUP(Query1[[#This Row],[Description]],'kits to boards'!$B$2:$E$156,3,FALSE)</f>
        <v>830046</v>
      </c>
      <c r="N75">
        <f>VLOOKUP(Query1[[#This Row],[Description]],'kits to boards'!$B$2:$E$156,4,FALSE)</f>
        <v>0</v>
      </c>
      <c r="O75" t="str">
        <f>CONCATENATE(Query1[[#This Row],[Description]]," - ",Query1[[#This Row],[MB1]]," - ",Query1[[#This Row],[MB2]]," - ",Query1[[#This Row],[MB3]])</f>
        <v>EVAP KIT 67-68 MUSTANG/COUGAR WO AC - 830079 - 830046 - 0</v>
      </c>
    </row>
    <row r="76" spans="1:15" x14ac:dyDescent="0.25">
      <c r="A76" s="1">
        <v>908987</v>
      </c>
      <c r="B76" s="1" t="s">
        <v>30</v>
      </c>
      <c r="C76" s="1" t="s">
        <v>31</v>
      </c>
      <c r="D76" s="2">
        <v>44592.315967708331</v>
      </c>
      <c r="E76" s="1" t="s">
        <v>8</v>
      </c>
      <c r="F76" s="1">
        <v>1</v>
      </c>
      <c r="G76" s="1">
        <v>0</v>
      </c>
      <c r="H76" s="6">
        <f>INT(Query1[[#This Row],[EntryDateTime]])</f>
        <v>44592</v>
      </c>
      <c r="I76" s="1">
        <f>IF(Query1[[#This Row],[ItemType]]="EVAP KIT SF GEN IV",Query1[[#This Row],[OrderQty]]+I75,I75)</f>
        <v>16</v>
      </c>
      <c r="J76" s="1">
        <f>IF(Query1[[#This Row],[ItemType]]="EVAP KIT UNIVERSAL",Query1[[#This Row],[OrderQty]]+J75,J75)</f>
        <v>194</v>
      </c>
      <c r="K76" s="1">
        <f>Query1[[#This Row],[SF Running Total]]+Query1[[#This Row],[UNIV Running Total]]</f>
        <v>210</v>
      </c>
      <c r="L76">
        <f>VLOOKUP(Query1[[#This Row],[Description]],'kits to boards'!$B$2:$E$156,2,FALSE)</f>
        <v>830054</v>
      </c>
      <c r="M76">
        <f>VLOOKUP(Query1[[#This Row],[Description]],'kits to boards'!$B$2:$E$156,3,FALSE)</f>
        <v>0</v>
      </c>
      <c r="N76">
        <f>VLOOKUP(Query1[[#This Row],[Description]],'kits to boards'!$B$2:$E$156,4,FALSE)</f>
        <v>0</v>
      </c>
      <c r="O76" t="str">
        <f>CONCATENATE(Query1[[#This Row],[Description]]," - ",Query1[[#This Row],[MB1]]," - ",Query1[[#This Row],[MB2]]," - ",Query1[[#This Row],[MB3]])</f>
        <v>EVAP KIT 55-56 CHEVY 4-VENT - 830054 - 0 - 0</v>
      </c>
    </row>
    <row r="77" spans="1:15" x14ac:dyDescent="0.25">
      <c r="A77" s="1">
        <v>908988</v>
      </c>
      <c r="B77" s="1" t="s">
        <v>62</v>
      </c>
      <c r="C77" s="1" t="s">
        <v>63</v>
      </c>
      <c r="D77" s="2">
        <v>44592.316480821763</v>
      </c>
      <c r="E77" s="1" t="s">
        <v>8</v>
      </c>
      <c r="F77" s="1">
        <v>1</v>
      </c>
      <c r="G77" s="1">
        <v>0</v>
      </c>
      <c r="H77" s="6">
        <f>INT(Query1[[#This Row],[EntryDateTime]])</f>
        <v>44592</v>
      </c>
      <c r="I77" s="1">
        <f>IF(Query1[[#This Row],[ItemType]]="EVAP KIT SF GEN IV",Query1[[#This Row],[OrderQty]]+I76,I76)</f>
        <v>17</v>
      </c>
      <c r="J77" s="1">
        <f>IF(Query1[[#This Row],[ItemType]]="EVAP KIT UNIVERSAL",Query1[[#This Row],[OrderQty]]+J76,J76)</f>
        <v>194</v>
      </c>
      <c r="K77" s="1">
        <f>Query1[[#This Row],[SF Running Total]]+Query1[[#This Row],[UNIV Running Total]]</f>
        <v>211</v>
      </c>
      <c r="L77">
        <f>VLOOKUP(Query1[[#This Row],[Description]],'kits to boards'!$B$2:$E$156,2,FALSE)</f>
        <v>830079</v>
      </c>
      <c r="M77">
        <f>VLOOKUP(Query1[[#This Row],[Description]],'kits to boards'!$B$2:$E$156,3,FALSE)</f>
        <v>830046</v>
      </c>
      <c r="N77">
        <f>VLOOKUP(Query1[[#This Row],[Description]],'kits to boards'!$B$2:$E$156,4,FALSE)</f>
        <v>0</v>
      </c>
      <c r="O77" t="str">
        <f>CONCATENATE(Query1[[#This Row],[Description]]," - ",Query1[[#This Row],[MB1]]," - ",Query1[[#This Row],[MB2]]," - ",Query1[[#This Row],[MB3]])</f>
        <v>EVAP KIT 67-68 MUSTANG/COUGAR WO AC - 830079 - 830046 - 0</v>
      </c>
    </row>
    <row r="78" spans="1:15" x14ac:dyDescent="0.25">
      <c r="A78" s="1">
        <v>908991</v>
      </c>
      <c r="B78" s="1" t="s">
        <v>62</v>
      </c>
      <c r="C78" s="1" t="s">
        <v>63</v>
      </c>
      <c r="D78" s="2">
        <v>44592.318151620369</v>
      </c>
      <c r="E78" s="1" t="s">
        <v>8</v>
      </c>
      <c r="F78" s="1">
        <v>1</v>
      </c>
      <c r="G78" s="1">
        <v>0</v>
      </c>
      <c r="H78" s="6">
        <f>INT(Query1[[#This Row],[EntryDateTime]])</f>
        <v>44592</v>
      </c>
      <c r="I78" s="1">
        <f>IF(Query1[[#This Row],[ItemType]]="EVAP KIT SF GEN IV",Query1[[#This Row],[OrderQty]]+I77,I77)</f>
        <v>18</v>
      </c>
      <c r="J78" s="1">
        <f>IF(Query1[[#This Row],[ItemType]]="EVAP KIT UNIVERSAL",Query1[[#This Row],[OrderQty]]+J77,J77)</f>
        <v>194</v>
      </c>
      <c r="K78" s="1">
        <f>Query1[[#This Row],[SF Running Total]]+Query1[[#This Row],[UNIV Running Total]]</f>
        <v>212</v>
      </c>
      <c r="L78">
        <f>VLOOKUP(Query1[[#This Row],[Description]],'kits to boards'!$B$2:$E$156,2,FALSE)</f>
        <v>830079</v>
      </c>
      <c r="M78">
        <f>VLOOKUP(Query1[[#This Row],[Description]],'kits to boards'!$B$2:$E$156,3,FALSE)</f>
        <v>830046</v>
      </c>
      <c r="N78">
        <f>VLOOKUP(Query1[[#This Row],[Description]],'kits to boards'!$B$2:$E$156,4,FALSE)</f>
        <v>0</v>
      </c>
      <c r="O78" t="str">
        <f>CONCATENATE(Query1[[#This Row],[Description]]," - ",Query1[[#This Row],[MB1]]," - ",Query1[[#This Row],[MB2]]," - ",Query1[[#This Row],[MB3]])</f>
        <v>EVAP KIT 67-68 MUSTANG/COUGAR WO AC - 830079 - 830046 - 0</v>
      </c>
    </row>
    <row r="79" spans="1:15" x14ac:dyDescent="0.25">
      <c r="A79" s="1">
        <v>908993</v>
      </c>
      <c r="B79" s="1" t="s">
        <v>62</v>
      </c>
      <c r="C79" s="1" t="s">
        <v>63</v>
      </c>
      <c r="D79" s="2">
        <v>44592.319764548614</v>
      </c>
      <c r="E79" s="1" t="s">
        <v>8</v>
      </c>
      <c r="F79" s="1">
        <v>1</v>
      </c>
      <c r="G79" s="1">
        <v>0</v>
      </c>
      <c r="H79" s="6">
        <f>INT(Query1[[#This Row],[EntryDateTime]])</f>
        <v>44592</v>
      </c>
      <c r="I79" s="1">
        <f>IF(Query1[[#This Row],[ItemType]]="EVAP KIT SF GEN IV",Query1[[#This Row],[OrderQty]]+I78,I78)</f>
        <v>19</v>
      </c>
      <c r="J79" s="1">
        <f>IF(Query1[[#This Row],[ItemType]]="EVAP KIT UNIVERSAL",Query1[[#This Row],[OrderQty]]+J78,J78)</f>
        <v>194</v>
      </c>
      <c r="K79" s="1">
        <f>Query1[[#This Row],[SF Running Total]]+Query1[[#This Row],[UNIV Running Total]]</f>
        <v>213</v>
      </c>
      <c r="L79">
        <f>VLOOKUP(Query1[[#This Row],[Description]],'kits to boards'!$B$2:$E$156,2,FALSE)</f>
        <v>830079</v>
      </c>
      <c r="M79">
        <f>VLOOKUP(Query1[[#This Row],[Description]],'kits to boards'!$B$2:$E$156,3,FALSE)</f>
        <v>830046</v>
      </c>
      <c r="N79">
        <f>VLOOKUP(Query1[[#This Row],[Description]],'kits to boards'!$B$2:$E$156,4,FALSE)</f>
        <v>0</v>
      </c>
      <c r="O79" t="str">
        <f>CONCATENATE(Query1[[#This Row],[Description]]," - ",Query1[[#This Row],[MB1]]," - ",Query1[[#This Row],[MB2]]," - ",Query1[[#This Row],[MB3]])</f>
        <v>EVAP KIT 67-68 MUSTANG/COUGAR WO AC - 830079 - 830046 - 0</v>
      </c>
    </row>
    <row r="80" spans="1:15" x14ac:dyDescent="0.25">
      <c r="A80" s="1">
        <v>908994</v>
      </c>
      <c r="B80" s="1" t="s">
        <v>94</v>
      </c>
      <c r="C80" s="1" t="s">
        <v>95</v>
      </c>
      <c r="D80" s="2">
        <v>44592.321180092593</v>
      </c>
      <c r="E80" s="1" t="s">
        <v>8</v>
      </c>
      <c r="F80" s="1">
        <v>1</v>
      </c>
      <c r="G80" s="1">
        <v>0</v>
      </c>
      <c r="H80" s="6">
        <f>INT(Query1[[#This Row],[EntryDateTime]])</f>
        <v>44592</v>
      </c>
      <c r="I80" s="1">
        <f>IF(Query1[[#This Row],[ItemType]]="EVAP KIT SF GEN IV",Query1[[#This Row],[OrderQty]]+I79,I79)</f>
        <v>20</v>
      </c>
      <c r="J80" s="1">
        <f>IF(Query1[[#This Row],[ItemType]]="EVAP KIT UNIVERSAL",Query1[[#This Row],[OrderQty]]+J79,J79)</f>
        <v>194</v>
      </c>
      <c r="K80" s="1">
        <f>Query1[[#This Row],[SF Running Total]]+Query1[[#This Row],[UNIV Running Total]]</f>
        <v>214</v>
      </c>
      <c r="L80">
        <f>VLOOKUP(Query1[[#This Row],[Description]],'kits to boards'!$B$2:$E$156,2,FALSE)</f>
        <v>830076</v>
      </c>
      <c r="M80">
        <f>VLOOKUP(Query1[[#This Row],[Description]],'kits to boards'!$B$2:$E$156,3,FALSE)</f>
        <v>0</v>
      </c>
      <c r="N80">
        <f>VLOOKUP(Query1[[#This Row],[Description]],'kits to boards'!$B$2:$E$156,4,FALSE)</f>
        <v>0</v>
      </c>
      <c r="O80" t="str">
        <f>CONCATENATE(Query1[[#This Row],[Description]]," - ",Query1[[#This Row],[MB1]]," - ",Query1[[#This Row],[MB2]]," - ",Query1[[#This Row],[MB3]])</f>
        <v>EVAP KIT 64 1/2- 66 MUSTANG  - 830076 - 0 - 0</v>
      </c>
    </row>
    <row r="81" spans="1:15" x14ac:dyDescent="0.25">
      <c r="A81" s="1">
        <v>908996</v>
      </c>
      <c r="B81" s="1" t="s">
        <v>12</v>
      </c>
      <c r="C81" s="1" t="s">
        <v>13</v>
      </c>
      <c r="D81" s="2">
        <v>44592.322559062501</v>
      </c>
      <c r="E81" s="1" t="s">
        <v>8</v>
      </c>
      <c r="F81" s="1">
        <v>1</v>
      </c>
      <c r="G81" s="1">
        <v>0</v>
      </c>
      <c r="H81" s="6">
        <f>INT(Query1[[#This Row],[EntryDateTime]])</f>
        <v>44592</v>
      </c>
      <c r="I81" s="1">
        <f>IF(Query1[[#This Row],[ItemType]]="EVAP KIT SF GEN IV",Query1[[#This Row],[OrderQty]]+I80,I80)</f>
        <v>21</v>
      </c>
      <c r="J81" s="1">
        <f>IF(Query1[[#This Row],[ItemType]]="EVAP KIT UNIVERSAL",Query1[[#This Row],[OrderQty]]+J80,J80)</f>
        <v>194</v>
      </c>
      <c r="K81" s="1">
        <f>Query1[[#This Row],[SF Running Total]]+Query1[[#This Row],[UNIV Running Total]]</f>
        <v>215</v>
      </c>
      <c r="L81">
        <f>VLOOKUP(Query1[[#This Row],[Description]],'kits to boards'!$B$2:$E$156,2,FALSE)</f>
        <v>830079</v>
      </c>
      <c r="M81">
        <f>VLOOKUP(Query1[[#This Row],[Description]],'kits to boards'!$B$2:$E$156,3,FALSE)</f>
        <v>830046</v>
      </c>
      <c r="N81">
        <f>VLOOKUP(Query1[[#This Row],[Description]],'kits to boards'!$B$2:$E$156,4,FALSE)</f>
        <v>0</v>
      </c>
      <c r="O81" t="str">
        <f>CONCATENATE(Query1[[#This Row],[Description]]," - ",Query1[[#This Row],[MB1]]," - ",Query1[[#This Row],[MB2]]," - ",Query1[[#This Row],[MB3]])</f>
        <v>EVAP KIT 67-68 MUSTANG/COUGAR W/AC - 830079 - 830046 - 0</v>
      </c>
    </row>
    <row r="82" spans="1:15" x14ac:dyDescent="0.25">
      <c r="A82" s="1">
        <v>907569</v>
      </c>
      <c r="B82" s="1" t="s">
        <v>24</v>
      </c>
      <c r="C82" s="1" t="s">
        <v>25</v>
      </c>
      <c r="D82" s="2">
        <v>44599.307538275461</v>
      </c>
      <c r="E82" s="1" t="s">
        <v>11</v>
      </c>
      <c r="F82" s="1">
        <v>1</v>
      </c>
      <c r="G82" s="1">
        <v>0</v>
      </c>
      <c r="H82" s="6">
        <f>INT(Query1[[#This Row],[EntryDateTime]])</f>
        <v>44599</v>
      </c>
      <c r="I82" s="1">
        <f>IF(Query1[[#This Row],[ItemType]]="EVAP KIT SF GEN IV",Query1[[#This Row],[OrderQty]]+I81,I81)</f>
        <v>21</v>
      </c>
      <c r="J82" s="1">
        <f>IF(Query1[[#This Row],[ItemType]]="EVAP KIT UNIVERSAL",Query1[[#This Row],[OrderQty]]+J81,J81)</f>
        <v>195</v>
      </c>
      <c r="K82" s="1">
        <f>Query1[[#This Row],[SF Running Total]]+Query1[[#This Row],[UNIV Running Total]]</f>
        <v>216</v>
      </c>
      <c r="L82">
        <f>VLOOKUP(Query1[[#This Row],[Description]],'kits to boards'!$B$2:$E$156,2,FALSE)</f>
        <v>830029</v>
      </c>
      <c r="M82">
        <f>VLOOKUP(Query1[[#This Row],[Description]],'kits to boards'!$B$2:$E$156,3,FALSE)</f>
        <v>830030</v>
      </c>
      <c r="N82">
        <f>VLOOKUP(Query1[[#This Row],[Description]],'kits to boards'!$B$2:$E$156,4,FALSE)</f>
        <v>0</v>
      </c>
      <c r="O82" t="str">
        <f>CONCATENATE(Query1[[#This Row],[Description]]," - ",Query1[[#This Row],[MB1]]," - ",Query1[[#This Row],[MB2]]," - ",Query1[[#This Row],[MB3]])</f>
        <v>ComPac GEN II W/DEF - 830029 - 830030 - 0</v>
      </c>
    </row>
    <row r="83" spans="1:15" x14ac:dyDescent="0.25">
      <c r="A83" s="1">
        <v>909002</v>
      </c>
      <c r="B83" s="1" t="s">
        <v>76</v>
      </c>
      <c r="C83" s="1" t="s">
        <v>77</v>
      </c>
      <c r="D83" s="2">
        <v>44599.312918831019</v>
      </c>
      <c r="E83" s="1" t="s">
        <v>11</v>
      </c>
      <c r="F83" s="1">
        <v>1</v>
      </c>
      <c r="G83" s="1">
        <v>0</v>
      </c>
      <c r="H83" s="6">
        <f>INT(Query1[[#This Row],[EntryDateTime]])</f>
        <v>44599</v>
      </c>
      <c r="I83" s="1">
        <f>IF(Query1[[#This Row],[ItemType]]="EVAP KIT SF GEN IV",Query1[[#This Row],[OrderQty]]+I82,I82)</f>
        <v>21</v>
      </c>
      <c r="J83" s="1">
        <f>IF(Query1[[#This Row],[ItemType]]="EVAP KIT UNIVERSAL",Query1[[#This Row],[OrderQty]]+J82,J82)</f>
        <v>196</v>
      </c>
      <c r="K83" s="1">
        <f>Query1[[#This Row],[SF Running Total]]+Query1[[#This Row],[UNIV Running Total]]</f>
        <v>217</v>
      </c>
      <c r="L83">
        <f>VLOOKUP(Query1[[#This Row],[Description]],'kits to boards'!$B$2:$E$156,2,FALSE)</f>
        <v>830099</v>
      </c>
      <c r="M83">
        <f>VLOOKUP(Query1[[#This Row],[Description]],'kits to boards'!$B$2:$E$156,3,FALSE)</f>
        <v>0</v>
      </c>
      <c r="N83">
        <f>VLOOKUP(Query1[[#This Row],[Description]],'kits to boards'!$B$2:$E$156,4,FALSE)</f>
        <v>0</v>
      </c>
      <c r="O83" t="str">
        <f>CONCATENATE(Query1[[#This Row],[Description]]," - ",Query1[[#This Row],[MB1]]," - ",Query1[[#This Row],[MB2]]," - ",Query1[[#This Row],[MB3]])</f>
        <v>MINI GEN II H/C - 830099 - 0 - 0</v>
      </c>
    </row>
    <row r="84" spans="1:15" x14ac:dyDescent="0.25">
      <c r="A84" s="1">
        <v>909010</v>
      </c>
      <c r="B84" s="1" t="s">
        <v>98</v>
      </c>
      <c r="C84" s="1" t="s">
        <v>99</v>
      </c>
      <c r="D84" s="2">
        <v>44599.321821909725</v>
      </c>
      <c r="E84" s="1" t="s">
        <v>11</v>
      </c>
      <c r="F84" s="1">
        <v>2</v>
      </c>
      <c r="G84" s="1">
        <v>0</v>
      </c>
      <c r="H84" s="6">
        <f>INT(Query1[[#This Row],[EntryDateTime]])</f>
        <v>44599</v>
      </c>
      <c r="I84" s="1">
        <f>IF(Query1[[#This Row],[ItemType]]="EVAP KIT SF GEN IV",Query1[[#This Row],[OrderQty]]+I83,I83)</f>
        <v>21</v>
      </c>
      <c r="J84" s="1">
        <f>IF(Query1[[#This Row],[ItemType]]="EVAP KIT UNIVERSAL",Query1[[#This Row],[OrderQty]]+J83,J83)</f>
        <v>198</v>
      </c>
      <c r="K84" s="1">
        <f>Query1[[#This Row],[SF Running Total]]+Query1[[#This Row],[UNIV Running Total]]</f>
        <v>219</v>
      </c>
      <c r="L84">
        <f>VLOOKUP(Query1[[#This Row],[Description]],'kits to boards'!$B$2:$E$156,2,FALSE)</f>
        <v>830099</v>
      </c>
      <c r="M84">
        <f>VLOOKUP(Query1[[#This Row],[Description]],'kits to boards'!$B$2:$E$156,3,FALSE)</f>
        <v>0</v>
      </c>
      <c r="N84">
        <f>VLOOKUP(Query1[[#This Row],[Description]],'kits to boards'!$B$2:$E$156,4,FALSE)</f>
        <v>0</v>
      </c>
      <c r="O84" t="str">
        <f>CONCATENATE(Query1[[#This Row],[Description]]," - ",Query1[[#This Row],[MB1]]," - ",Query1[[#This Row],[MB2]]," - ",Query1[[#This Row],[MB3]])</f>
        <v>MINI GEN II W/DEF - 830099 - 0 - 0</v>
      </c>
    </row>
    <row r="85" spans="1:15" x14ac:dyDescent="0.25">
      <c r="A85" s="1">
        <v>909016</v>
      </c>
      <c r="B85" s="1" t="s">
        <v>24</v>
      </c>
      <c r="C85" s="1" t="s">
        <v>25</v>
      </c>
      <c r="D85" s="2">
        <v>44599.326455243056</v>
      </c>
      <c r="E85" s="1" t="s">
        <v>11</v>
      </c>
      <c r="F85" s="1">
        <v>1</v>
      </c>
      <c r="G85" s="1">
        <v>0</v>
      </c>
      <c r="H85" s="6">
        <f>INT(Query1[[#This Row],[EntryDateTime]])</f>
        <v>44599</v>
      </c>
      <c r="I85" s="1">
        <f>IF(Query1[[#This Row],[ItemType]]="EVAP KIT SF GEN IV",Query1[[#This Row],[OrderQty]]+I84,I84)</f>
        <v>21</v>
      </c>
      <c r="J85" s="1">
        <f>IF(Query1[[#This Row],[ItemType]]="EVAP KIT UNIVERSAL",Query1[[#This Row],[OrderQty]]+J84,J84)</f>
        <v>199</v>
      </c>
      <c r="K85" s="1">
        <f>Query1[[#This Row],[SF Running Total]]+Query1[[#This Row],[UNIV Running Total]]</f>
        <v>220</v>
      </c>
      <c r="L85">
        <f>VLOOKUP(Query1[[#This Row],[Description]],'kits to boards'!$B$2:$E$156,2,FALSE)</f>
        <v>830029</v>
      </c>
      <c r="M85">
        <f>VLOOKUP(Query1[[#This Row],[Description]],'kits to boards'!$B$2:$E$156,3,FALSE)</f>
        <v>830030</v>
      </c>
      <c r="N85">
        <f>VLOOKUP(Query1[[#This Row],[Description]],'kits to boards'!$B$2:$E$156,4,FALSE)</f>
        <v>0</v>
      </c>
      <c r="O85" t="str">
        <f>CONCATENATE(Query1[[#This Row],[Description]]," - ",Query1[[#This Row],[MB1]]," - ",Query1[[#This Row],[MB2]]," - ",Query1[[#This Row],[MB3]])</f>
        <v>ComPac GEN II W/DEF - 830029 - 830030 - 0</v>
      </c>
    </row>
    <row r="86" spans="1:15" x14ac:dyDescent="0.25">
      <c r="A86" s="1">
        <v>909068</v>
      </c>
      <c r="B86" s="1" t="s">
        <v>24</v>
      </c>
      <c r="C86" s="1" t="s">
        <v>25</v>
      </c>
      <c r="D86" s="2">
        <v>44599.361614120367</v>
      </c>
      <c r="E86" s="1" t="s">
        <v>11</v>
      </c>
      <c r="F86" s="1">
        <v>1</v>
      </c>
      <c r="G86" s="1">
        <v>0</v>
      </c>
      <c r="H86" s="6">
        <f>INT(Query1[[#This Row],[EntryDateTime]])</f>
        <v>44599</v>
      </c>
      <c r="I86" s="1">
        <f>IF(Query1[[#This Row],[ItemType]]="EVAP KIT SF GEN IV",Query1[[#This Row],[OrderQty]]+I85,I85)</f>
        <v>21</v>
      </c>
      <c r="J86" s="1">
        <f>IF(Query1[[#This Row],[ItemType]]="EVAP KIT UNIVERSAL",Query1[[#This Row],[OrderQty]]+J85,J85)</f>
        <v>200</v>
      </c>
      <c r="K86" s="1">
        <f>Query1[[#This Row],[SF Running Total]]+Query1[[#This Row],[UNIV Running Total]]</f>
        <v>221</v>
      </c>
      <c r="L86">
        <f>VLOOKUP(Query1[[#This Row],[Description]],'kits to boards'!$B$2:$E$156,2,FALSE)</f>
        <v>830029</v>
      </c>
      <c r="M86">
        <f>VLOOKUP(Query1[[#This Row],[Description]],'kits to boards'!$B$2:$E$156,3,FALSE)</f>
        <v>830030</v>
      </c>
      <c r="N86">
        <f>VLOOKUP(Query1[[#This Row],[Description]],'kits to boards'!$B$2:$E$156,4,FALSE)</f>
        <v>0</v>
      </c>
      <c r="O86" t="str">
        <f>CONCATENATE(Query1[[#This Row],[Description]]," - ",Query1[[#This Row],[MB1]]," - ",Query1[[#This Row],[MB2]]," - ",Query1[[#This Row],[MB3]])</f>
        <v>ComPac GEN II W/DEF - 830029 - 830030 - 0</v>
      </c>
    </row>
    <row r="87" spans="1:15" x14ac:dyDescent="0.25">
      <c r="A87" s="1">
        <v>909228</v>
      </c>
      <c r="B87" s="1" t="s">
        <v>60</v>
      </c>
      <c r="C87" s="1" t="s">
        <v>61</v>
      </c>
      <c r="D87" s="2">
        <v>44599.534349687499</v>
      </c>
      <c r="E87" s="1" t="s">
        <v>8</v>
      </c>
      <c r="F87" s="1">
        <v>1</v>
      </c>
      <c r="G87" s="1">
        <v>0</v>
      </c>
      <c r="H87" s="6">
        <f>INT(Query1[[#This Row],[EntryDateTime]])</f>
        <v>44599</v>
      </c>
      <c r="I87" s="1">
        <f>IF(Query1[[#This Row],[ItemType]]="EVAP KIT SF GEN IV",Query1[[#This Row],[OrderQty]]+I86,I86)</f>
        <v>22</v>
      </c>
      <c r="J87" s="1">
        <f>IF(Query1[[#This Row],[ItemType]]="EVAP KIT UNIVERSAL",Query1[[#This Row],[OrderQty]]+J86,J86)</f>
        <v>200</v>
      </c>
      <c r="K87" s="1">
        <f>Query1[[#This Row],[SF Running Total]]+Query1[[#This Row],[UNIV Running Total]]</f>
        <v>222</v>
      </c>
      <c r="L87">
        <f>VLOOKUP(Query1[[#This Row],[Description]],'kits to boards'!$B$2:$E$156,2,FALSE)</f>
        <v>830062</v>
      </c>
      <c r="M87">
        <f>VLOOKUP(Query1[[#This Row],[Description]],'kits to boards'!$B$2:$E$156,3,FALSE)</f>
        <v>0</v>
      </c>
      <c r="N87">
        <f>VLOOKUP(Query1[[#This Row],[Description]],'kits to boards'!$B$2:$E$156,4,FALSE)</f>
        <v>0</v>
      </c>
      <c r="O87" t="str">
        <f>CONCATENATE(Query1[[#This Row],[Description]]," - ",Query1[[#This Row],[MB1]]," - ",Query1[[#This Row],[MB2]]," - ",Query1[[#This Row],[MB3]])</f>
        <v>EVAP KIT 68-69 CHEVELLE WO AC - 830062 - 0 - 0</v>
      </c>
    </row>
    <row r="88" spans="1:15" x14ac:dyDescent="0.25">
      <c r="A88" s="1">
        <v>909287</v>
      </c>
      <c r="B88" s="1" t="s">
        <v>98</v>
      </c>
      <c r="C88" s="1" t="s">
        <v>99</v>
      </c>
      <c r="D88" s="2">
        <v>44599.604108599538</v>
      </c>
      <c r="E88" s="1" t="s">
        <v>11</v>
      </c>
      <c r="F88" s="1">
        <v>1</v>
      </c>
      <c r="G88" s="1">
        <v>0</v>
      </c>
      <c r="H88" s="6">
        <f>INT(Query1[[#This Row],[EntryDateTime]])</f>
        <v>44599</v>
      </c>
      <c r="I88" s="1">
        <f>IF(Query1[[#This Row],[ItemType]]="EVAP KIT SF GEN IV",Query1[[#This Row],[OrderQty]]+I87,I87)</f>
        <v>22</v>
      </c>
      <c r="J88" s="1">
        <f>IF(Query1[[#This Row],[ItemType]]="EVAP KIT UNIVERSAL",Query1[[#This Row],[OrderQty]]+J87,J87)</f>
        <v>201</v>
      </c>
      <c r="K88" s="1">
        <f>Query1[[#This Row],[SF Running Total]]+Query1[[#This Row],[UNIV Running Total]]</f>
        <v>223</v>
      </c>
      <c r="L88">
        <f>VLOOKUP(Query1[[#This Row],[Description]],'kits to boards'!$B$2:$E$156,2,FALSE)</f>
        <v>830099</v>
      </c>
      <c r="M88">
        <f>VLOOKUP(Query1[[#This Row],[Description]],'kits to boards'!$B$2:$E$156,3,FALSE)</f>
        <v>0</v>
      </c>
      <c r="N88">
        <f>VLOOKUP(Query1[[#This Row],[Description]],'kits to boards'!$B$2:$E$156,4,FALSE)</f>
        <v>0</v>
      </c>
      <c r="O88" t="str">
        <f>CONCATENATE(Query1[[#This Row],[Description]]," - ",Query1[[#This Row],[MB1]]," - ",Query1[[#This Row],[MB2]]," - ",Query1[[#This Row],[MB3]])</f>
        <v>MINI GEN II W/DEF - 830099 - 0 - 0</v>
      </c>
    </row>
    <row r="89" spans="1:15" x14ac:dyDescent="0.25">
      <c r="A89" s="1">
        <v>909305</v>
      </c>
      <c r="B89" s="1" t="s">
        <v>98</v>
      </c>
      <c r="C89" s="1" t="s">
        <v>99</v>
      </c>
      <c r="D89" s="2">
        <v>44599.61420084491</v>
      </c>
      <c r="E89" s="1" t="s">
        <v>11</v>
      </c>
      <c r="F89" s="1">
        <v>1</v>
      </c>
      <c r="G89" s="1">
        <v>0</v>
      </c>
      <c r="H89" s="6">
        <f>INT(Query1[[#This Row],[EntryDateTime]])</f>
        <v>44599</v>
      </c>
      <c r="I89" s="1">
        <f>IF(Query1[[#This Row],[ItemType]]="EVAP KIT SF GEN IV",Query1[[#This Row],[OrderQty]]+I88,I88)</f>
        <v>22</v>
      </c>
      <c r="J89" s="1">
        <f>IF(Query1[[#This Row],[ItemType]]="EVAP KIT UNIVERSAL",Query1[[#This Row],[OrderQty]]+J88,J88)</f>
        <v>202</v>
      </c>
      <c r="K89" s="1">
        <f>Query1[[#This Row],[SF Running Total]]+Query1[[#This Row],[UNIV Running Total]]</f>
        <v>224</v>
      </c>
      <c r="L89">
        <f>VLOOKUP(Query1[[#This Row],[Description]],'kits to boards'!$B$2:$E$156,2,FALSE)</f>
        <v>830099</v>
      </c>
      <c r="M89">
        <f>VLOOKUP(Query1[[#This Row],[Description]],'kits to boards'!$B$2:$E$156,3,FALSE)</f>
        <v>0</v>
      </c>
      <c r="N89">
        <f>VLOOKUP(Query1[[#This Row],[Description]],'kits to boards'!$B$2:$E$156,4,FALSE)</f>
        <v>0</v>
      </c>
      <c r="O89" t="str">
        <f>CONCATENATE(Query1[[#This Row],[Description]]," - ",Query1[[#This Row],[MB1]]," - ",Query1[[#This Row],[MB2]]," - ",Query1[[#This Row],[MB3]])</f>
        <v>MINI GEN II W/DEF - 830099 - 0 - 0</v>
      </c>
    </row>
    <row r="90" spans="1:15" x14ac:dyDescent="0.25">
      <c r="A90" s="1">
        <v>909395</v>
      </c>
      <c r="B90" s="1" t="s">
        <v>6</v>
      </c>
      <c r="C90" s="1" t="s">
        <v>7</v>
      </c>
      <c r="D90" s="2">
        <v>44599.713605208337</v>
      </c>
      <c r="E90" s="1" t="s">
        <v>8</v>
      </c>
      <c r="F90" s="1">
        <v>1</v>
      </c>
      <c r="G90" s="1">
        <v>0</v>
      </c>
      <c r="H90" s="6">
        <f>INT(Query1[[#This Row],[EntryDateTime]])</f>
        <v>44599</v>
      </c>
      <c r="I90" s="1">
        <f>IF(Query1[[#This Row],[ItemType]]="EVAP KIT SF GEN IV",Query1[[#This Row],[OrderQty]]+I89,I89)</f>
        <v>23</v>
      </c>
      <c r="J90" s="1">
        <f>IF(Query1[[#This Row],[ItemType]]="EVAP KIT UNIVERSAL",Query1[[#This Row],[OrderQty]]+J89,J89)</f>
        <v>202</v>
      </c>
      <c r="K90" s="1">
        <f>Query1[[#This Row],[SF Running Total]]+Query1[[#This Row],[UNIV Running Total]]</f>
        <v>225</v>
      </c>
      <c r="L90">
        <f>VLOOKUP(Query1[[#This Row],[Description]],'kits to boards'!$B$2:$E$156,2,FALSE)</f>
        <v>830132</v>
      </c>
      <c r="M90">
        <f>VLOOKUP(Query1[[#This Row],[Description]],'kits to boards'!$B$2:$E$156,3,FALSE)</f>
        <v>0</v>
      </c>
      <c r="N90">
        <f>VLOOKUP(Query1[[#This Row],[Description]],'kits to boards'!$B$2:$E$156,4,FALSE)</f>
        <v>0</v>
      </c>
      <c r="O90" t="str">
        <f>CONCATENATE(Query1[[#This Row],[Description]]," - ",Query1[[#This Row],[MB1]]," - ",Query1[[#This Row],[MB2]]," - ",Query1[[#This Row],[MB3]])</f>
        <v>EVAP KIT 82-88 MONTE CARLO/EL CAMINO - 830132 - 0 - 0</v>
      </c>
    </row>
    <row r="91" spans="1:15" x14ac:dyDescent="0.25">
      <c r="A91" s="1">
        <v>909395</v>
      </c>
      <c r="B91" s="1" t="s">
        <v>98</v>
      </c>
      <c r="C91" s="1" t="s">
        <v>99</v>
      </c>
      <c r="D91" s="2">
        <v>44599.713612071762</v>
      </c>
      <c r="E91" s="1" t="s">
        <v>11</v>
      </c>
      <c r="F91" s="1">
        <v>34</v>
      </c>
      <c r="G91" s="1">
        <v>0</v>
      </c>
      <c r="H91" s="6">
        <f>INT(Query1[[#This Row],[EntryDateTime]])</f>
        <v>44599</v>
      </c>
      <c r="I91" s="1">
        <f>IF(Query1[[#This Row],[ItemType]]="EVAP KIT SF GEN IV",Query1[[#This Row],[OrderQty]]+I90,I90)</f>
        <v>23</v>
      </c>
      <c r="J91" s="1">
        <f>IF(Query1[[#This Row],[ItemType]]="EVAP KIT UNIVERSAL",Query1[[#This Row],[OrderQty]]+J90,J90)</f>
        <v>236</v>
      </c>
      <c r="K91" s="1">
        <f>Query1[[#This Row],[SF Running Total]]+Query1[[#This Row],[UNIV Running Total]]</f>
        <v>259</v>
      </c>
      <c r="L91">
        <f>VLOOKUP(Query1[[#This Row],[Description]],'kits to boards'!$B$2:$E$156,2,FALSE)</f>
        <v>830099</v>
      </c>
      <c r="M91">
        <f>VLOOKUP(Query1[[#This Row],[Description]],'kits to boards'!$B$2:$E$156,3,FALSE)</f>
        <v>0</v>
      </c>
      <c r="N91">
        <f>VLOOKUP(Query1[[#This Row],[Description]],'kits to boards'!$B$2:$E$156,4,FALSE)</f>
        <v>0</v>
      </c>
      <c r="O91" t="str">
        <f>CONCATENATE(Query1[[#This Row],[Description]]," - ",Query1[[#This Row],[MB1]]," - ",Query1[[#This Row],[MB2]]," - ",Query1[[#This Row],[MB3]])</f>
        <v>MINI GEN II W/DEF - 830099 - 0 - 0</v>
      </c>
    </row>
    <row r="92" spans="1:15" x14ac:dyDescent="0.25">
      <c r="A92" s="1">
        <v>909395</v>
      </c>
      <c r="B92" s="1" t="s">
        <v>78</v>
      </c>
      <c r="C92" s="1" t="s">
        <v>79</v>
      </c>
      <c r="D92" s="2">
        <v>44599.713614236112</v>
      </c>
      <c r="E92" s="1" t="s">
        <v>11</v>
      </c>
      <c r="F92" s="1">
        <v>4</v>
      </c>
      <c r="G92" s="1">
        <v>0</v>
      </c>
      <c r="H92" s="6">
        <f>INT(Query1[[#This Row],[EntryDateTime]])</f>
        <v>44599</v>
      </c>
      <c r="I92" s="1">
        <f>IF(Query1[[#This Row],[ItemType]]="EVAP KIT SF GEN IV",Query1[[#This Row],[OrderQty]]+I91,I91)</f>
        <v>23</v>
      </c>
      <c r="J92" s="1">
        <f>IF(Query1[[#This Row],[ItemType]]="EVAP KIT UNIVERSAL",Query1[[#This Row],[OrderQty]]+J91,J91)</f>
        <v>240</v>
      </c>
      <c r="K92" s="1">
        <f>Query1[[#This Row],[SF Running Total]]+Query1[[#This Row],[UNIV Running Total]]</f>
        <v>263</v>
      </c>
      <c r="L92">
        <f>VLOOKUP(Query1[[#This Row],[Description]],'kits to boards'!$B$2:$E$156,2,FALSE)</f>
        <v>0</v>
      </c>
      <c r="M92">
        <f>VLOOKUP(Query1[[#This Row],[Description]],'kits to boards'!$B$2:$E$156,3,FALSE)</f>
        <v>0</v>
      </c>
      <c r="N92">
        <f>VLOOKUP(Query1[[#This Row],[Description]],'kits to boards'!$B$2:$E$156,4,FALSE)</f>
        <v>0</v>
      </c>
      <c r="O92" t="str">
        <f>CONCATENATE(Query1[[#This Row],[Description]]," - ",Query1[[#This Row],[MB1]]," - ",Query1[[#This Row],[MB2]]," - ",Query1[[#This Row],[MB3]])</f>
        <v>MARK IV STYLELINE UNDERDASH EVAP - 0 - 0 - 0</v>
      </c>
    </row>
    <row r="93" spans="1:15" x14ac:dyDescent="0.25">
      <c r="A93" s="1">
        <v>909395</v>
      </c>
      <c r="B93" s="1" t="s">
        <v>46</v>
      </c>
      <c r="C93" s="1" t="s">
        <v>47</v>
      </c>
      <c r="D93" s="2">
        <v>44599.713620752314</v>
      </c>
      <c r="E93" s="1" t="s">
        <v>8</v>
      </c>
      <c r="F93" s="1">
        <v>2</v>
      </c>
      <c r="G93" s="1">
        <v>0</v>
      </c>
      <c r="H93" s="6">
        <f>INT(Query1[[#This Row],[EntryDateTime]])</f>
        <v>44599</v>
      </c>
      <c r="I93" s="1">
        <f>IF(Query1[[#This Row],[ItemType]]="EVAP KIT SF GEN IV",Query1[[#This Row],[OrderQty]]+I92,I92)</f>
        <v>25</v>
      </c>
      <c r="J93" s="1">
        <f>IF(Query1[[#This Row],[ItemType]]="EVAP KIT UNIVERSAL",Query1[[#This Row],[OrderQty]]+J92,J92)</f>
        <v>240</v>
      </c>
      <c r="K93" s="1">
        <f>Query1[[#This Row],[SF Running Total]]+Query1[[#This Row],[UNIV Running Total]]</f>
        <v>265</v>
      </c>
      <c r="L93">
        <f>VLOOKUP(Query1[[#This Row],[Description]],'kits to boards'!$B$2:$E$156,2,FALSE)</f>
        <v>830018</v>
      </c>
      <c r="M93">
        <f>VLOOKUP(Query1[[#This Row],[Description]],'kits to boards'!$B$2:$E$156,3,FALSE)</f>
        <v>0</v>
      </c>
      <c r="N93">
        <f>VLOOKUP(Query1[[#This Row],[Description]],'kits to boards'!$B$2:$E$156,4,FALSE)</f>
        <v>0</v>
      </c>
      <c r="O93" t="str">
        <f>CONCATENATE(Query1[[#This Row],[Description]]," - ",Query1[[#This Row],[MB1]]," - ",Query1[[#This Row],[MB2]]," - ",Query1[[#This Row],[MB3]])</f>
        <v>EVAP KIT 68-72 FORD P-UP F-100 - 830018 - 0 - 0</v>
      </c>
    </row>
    <row r="94" spans="1:15" x14ac:dyDescent="0.25">
      <c r="A94" s="1">
        <v>909402</v>
      </c>
      <c r="B94" s="1" t="s">
        <v>118</v>
      </c>
      <c r="C94" s="1" t="s">
        <v>119</v>
      </c>
      <c r="D94" s="2">
        <v>44599.725900543985</v>
      </c>
      <c r="E94" s="1" t="s">
        <v>11</v>
      </c>
      <c r="F94" s="1">
        <v>4</v>
      </c>
      <c r="G94" s="1">
        <v>0</v>
      </c>
      <c r="H94" s="6">
        <f>INT(Query1[[#This Row],[EntryDateTime]])</f>
        <v>44599</v>
      </c>
      <c r="I94" s="1">
        <f>IF(Query1[[#This Row],[ItemType]]="EVAP KIT SF GEN IV",Query1[[#This Row],[OrderQty]]+I93,I93)</f>
        <v>25</v>
      </c>
      <c r="J94" s="1">
        <f>IF(Query1[[#This Row],[ItemType]]="EVAP KIT UNIVERSAL",Query1[[#This Row],[OrderQty]]+J93,J93)</f>
        <v>244</v>
      </c>
      <c r="K94" s="1">
        <f>Query1[[#This Row],[SF Running Total]]+Query1[[#This Row],[UNIV Running Total]]</f>
        <v>269</v>
      </c>
      <c r="L94">
        <f>VLOOKUP(Query1[[#This Row],[Description]],'kits to boards'!$B$2:$E$156,2,FALSE)</f>
        <v>830069</v>
      </c>
      <c r="M94">
        <f>VLOOKUP(Query1[[#This Row],[Description]],'kits to boards'!$B$2:$E$156,3,FALSE)</f>
        <v>0</v>
      </c>
      <c r="N94">
        <f>VLOOKUP(Query1[[#This Row],[Description]],'kits to boards'!$B$2:$E$156,4,FALSE)</f>
        <v>0</v>
      </c>
      <c r="O94" t="str">
        <f>CONCATENATE(Query1[[#This Row],[Description]]," - ",Query1[[#This Row],[MB1]]," - ",Query1[[#This Row],[MB2]]," - ",Query1[[#This Row],[MB3]])</f>
        <v>SLIMLINE H/C W/DEF BLK LOUVER - 830069 - 0 - 0</v>
      </c>
    </row>
    <row r="95" spans="1:15" x14ac:dyDescent="0.25">
      <c r="A95" s="1">
        <v>909405</v>
      </c>
      <c r="B95" s="1" t="s">
        <v>94</v>
      </c>
      <c r="C95" s="1" t="s">
        <v>95</v>
      </c>
      <c r="D95" s="2">
        <v>44599.732231863425</v>
      </c>
      <c r="E95" s="1" t="s">
        <v>8</v>
      </c>
      <c r="F95" s="1">
        <v>2</v>
      </c>
      <c r="G95" s="1">
        <v>0</v>
      </c>
      <c r="H95" s="6">
        <f>INT(Query1[[#This Row],[EntryDateTime]])</f>
        <v>44599</v>
      </c>
      <c r="I95" s="1">
        <f>IF(Query1[[#This Row],[ItemType]]="EVAP KIT SF GEN IV",Query1[[#This Row],[OrderQty]]+I94,I94)</f>
        <v>27</v>
      </c>
      <c r="J95" s="1">
        <f>IF(Query1[[#This Row],[ItemType]]="EVAP KIT UNIVERSAL",Query1[[#This Row],[OrderQty]]+J94,J94)</f>
        <v>244</v>
      </c>
      <c r="K95" s="1">
        <f>Query1[[#This Row],[SF Running Total]]+Query1[[#This Row],[UNIV Running Total]]</f>
        <v>271</v>
      </c>
      <c r="L95">
        <f>VLOOKUP(Query1[[#This Row],[Description]],'kits to boards'!$B$2:$E$156,2,FALSE)</f>
        <v>830076</v>
      </c>
      <c r="M95">
        <f>VLOOKUP(Query1[[#This Row],[Description]],'kits to boards'!$B$2:$E$156,3,FALSE)</f>
        <v>0</v>
      </c>
      <c r="N95">
        <f>VLOOKUP(Query1[[#This Row],[Description]],'kits to boards'!$B$2:$E$156,4,FALSE)</f>
        <v>0</v>
      </c>
      <c r="O95" t="str">
        <f>CONCATENATE(Query1[[#This Row],[Description]]," - ",Query1[[#This Row],[MB1]]," - ",Query1[[#This Row],[MB2]]," - ",Query1[[#This Row],[MB3]])</f>
        <v>EVAP KIT 64 1/2- 66 MUSTANG  - 830076 - 0 - 0</v>
      </c>
    </row>
    <row r="96" spans="1:15" x14ac:dyDescent="0.25">
      <c r="A96" s="1">
        <v>909405</v>
      </c>
      <c r="B96" s="1" t="s">
        <v>66</v>
      </c>
      <c r="C96" s="1" t="s">
        <v>67</v>
      </c>
      <c r="D96" s="2">
        <v>44599.732234143521</v>
      </c>
      <c r="E96" s="1" t="s">
        <v>8</v>
      </c>
      <c r="F96" s="1">
        <v>2</v>
      </c>
      <c r="G96" s="1">
        <v>0</v>
      </c>
      <c r="H96" s="6">
        <f>INT(Query1[[#This Row],[EntryDateTime]])</f>
        <v>44599</v>
      </c>
      <c r="I96" s="1">
        <f>IF(Query1[[#This Row],[ItemType]]="EVAP KIT SF GEN IV",Query1[[#This Row],[OrderQty]]+I95,I95)</f>
        <v>29</v>
      </c>
      <c r="J96" s="1">
        <f>IF(Query1[[#This Row],[ItemType]]="EVAP KIT UNIVERSAL",Query1[[#This Row],[OrderQty]]+J95,J95)</f>
        <v>244</v>
      </c>
      <c r="K96" s="1">
        <f>Query1[[#This Row],[SF Running Total]]+Query1[[#This Row],[UNIV Running Total]]</f>
        <v>273</v>
      </c>
      <c r="L96">
        <f>VLOOKUP(Query1[[#This Row],[Description]],'kits to boards'!$B$2:$E$156,2,FALSE)</f>
        <v>830060</v>
      </c>
      <c r="M96">
        <f>VLOOKUP(Query1[[#This Row],[Description]],'kits to boards'!$B$2:$E$156,3,FALSE)</f>
        <v>0</v>
      </c>
      <c r="N96">
        <f>VLOOKUP(Query1[[#This Row],[Description]],'kits to boards'!$B$2:$E$156,4,FALSE)</f>
        <v>0</v>
      </c>
      <c r="O96" t="str">
        <f>CONCATENATE(Query1[[#This Row],[Description]]," - ",Query1[[#This Row],[MB1]]," - ",Query1[[#This Row],[MB2]]," - ",Query1[[#This Row],[MB3]])</f>
        <v>EVAP KIT 66-67 CHEVELLE WO AC - 830060 - 0 - 0</v>
      </c>
    </row>
    <row r="97" spans="1:15" x14ac:dyDescent="0.25">
      <c r="A97" s="1">
        <v>909405</v>
      </c>
      <c r="B97" s="1" t="s">
        <v>60</v>
      </c>
      <c r="C97" s="1" t="s">
        <v>61</v>
      </c>
      <c r="D97" s="2">
        <v>44599.732236724536</v>
      </c>
      <c r="E97" s="1" t="s">
        <v>8</v>
      </c>
      <c r="F97" s="1">
        <v>7</v>
      </c>
      <c r="G97" s="1">
        <v>0</v>
      </c>
      <c r="H97" s="6">
        <f>INT(Query1[[#This Row],[EntryDateTime]])</f>
        <v>44599</v>
      </c>
      <c r="I97" s="1">
        <f>IF(Query1[[#This Row],[ItemType]]="EVAP KIT SF GEN IV",Query1[[#This Row],[OrderQty]]+I96,I96)</f>
        <v>36</v>
      </c>
      <c r="J97" s="1">
        <f>IF(Query1[[#This Row],[ItemType]]="EVAP KIT UNIVERSAL",Query1[[#This Row],[OrderQty]]+J96,J96)</f>
        <v>244</v>
      </c>
      <c r="K97" s="1">
        <f>Query1[[#This Row],[SF Running Total]]+Query1[[#This Row],[UNIV Running Total]]</f>
        <v>280</v>
      </c>
      <c r="L97">
        <f>VLOOKUP(Query1[[#This Row],[Description]],'kits to boards'!$B$2:$E$156,2,FALSE)</f>
        <v>830062</v>
      </c>
      <c r="M97">
        <f>VLOOKUP(Query1[[#This Row],[Description]],'kits to boards'!$B$2:$E$156,3,FALSE)</f>
        <v>0</v>
      </c>
      <c r="N97">
        <f>VLOOKUP(Query1[[#This Row],[Description]],'kits to boards'!$B$2:$E$156,4,FALSE)</f>
        <v>0</v>
      </c>
      <c r="O97" t="str">
        <f>CONCATENATE(Query1[[#This Row],[Description]]," - ",Query1[[#This Row],[MB1]]," - ",Query1[[#This Row],[MB2]]," - ",Query1[[#This Row],[MB3]])</f>
        <v>EVAP KIT 68-69 CHEVELLE WO AC - 830062 - 0 - 0</v>
      </c>
    </row>
    <row r="98" spans="1:15" x14ac:dyDescent="0.25">
      <c r="A98" s="1">
        <v>909405</v>
      </c>
      <c r="B98" s="1" t="s">
        <v>122</v>
      </c>
      <c r="C98" s="1" t="s">
        <v>123</v>
      </c>
      <c r="D98" s="2">
        <v>44599.732239201388</v>
      </c>
      <c r="E98" s="1" t="s">
        <v>8</v>
      </c>
      <c r="F98" s="1">
        <v>2</v>
      </c>
      <c r="G98" s="1">
        <v>0</v>
      </c>
      <c r="H98" s="6">
        <f>INT(Query1[[#This Row],[EntryDateTime]])</f>
        <v>44599</v>
      </c>
      <c r="I98" s="1">
        <f>IF(Query1[[#This Row],[ItemType]]="EVAP KIT SF GEN IV",Query1[[#This Row],[OrderQty]]+I97,I97)</f>
        <v>38</v>
      </c>
      <c r="J98" s="1">
        <f>IF(Query1[[#This Row],[ItemType]]="EVAP KIT UNIVERSAL",Query1[[#This Row],[OrderQty]]+J97,J97)</f>
        <v>244</v>
      </c>
      <c r="K98" s="1">
        <f>Query1[[#This Row],[SF Running Total]]+Query1[[#This Row],[UNIV Running Total]]</f>
        <v>282</v>
      </c>
      <c r="L98">
        <f>VLOOKUP(Query1[[#This Row],[Description]],'kits to boards'!$B$2:$E$156,2,FALSE)</f>
        <v>830027</v>
      </c>
      <c r="M98">
        <f>VLOOKUP(Query1[[#This Row],[Description]],'kits to boards'!$B$2:$E$156,3,FALSE)</f>
        <v>0</v>
      </c>
      <c r="N98">
        <f>VLOOKUP(Query1[[#This Row],[Description]],'kits to boards'!$B$2:$E$156,4,FALSE)</f>
        <v>0</v>
      </c>
      <c r="O98" t="str">
        <f>CONCATENATE(Query1[[#This Row],[Description]]," - ",Query1[[#This Row],[MB1]]," - ",Query1[[#This Row],[MB2]]," - ",Query1[[#This Row],[MB3]])</f>
        <v>EVAP KIT 70-72 CUTLASS W/AC - 830027 - 0 - 0</v>
      </c>
    </row>
    <row r="99" spans="1:15" x14ac:dyDescent="0.25">
      <c r="A99" s="1">
        <v>909405</v>
      </c>
      <c r="B99" s="1" t="s">
        <v>32</v>
      </c>
      <c r="C99" s="1" t="s">
        <v>33</v>
      </c>
      <c r="D99" s="2">
        <v>44599.732242592596</v>
      </c>
      <c r="E99" s="1" t="s">
        <v>8</v>
      </c>
      <c r="F99" s="1">
        <v>2</v>
      </c>
      <c r="G99" s="1">
        <v>0</v>
      </c>
      <c r="H99" s="6">
        <f>INT(Query1[[#This Row],[EntryDateTime]])</f>
        <v>44599</v>
      </c>
      <c r="I99" s="1">
        <f>IF(Query1[[#This Row],[ItemType]]="EVAP KIT SF GEN IV",Query1[[#This Row],[OrderQty]]+I98,I98)</f>
        <v>40</v>
      </c>
      <c r="J99" s="1">
        <f>IF(Query1[[#This Row],[ItemType]]="EVAP KIT UNIVERSAL",Query1[[#This Row],[OrderQty]]+J98,J98)</f>
        <v>244</v>
      </c>
      <c r="K99" s="1">
        <f>Query1[[#This Row],[SF Running Total]]+Query1[[#This Row],[UNIV Running Total]]</f>
        <v>284</v>
      </c>
      <c r="L99">
        <f>VLOOKUP(Query1[[#This Row],[Description]],'kits to boards'!$B$2:$E$156,2,FALSE)</f>
        <v>830016</v>
      </c>
      <c r="M99">
        <f>VLOOKUP(Query1[[#This Row],[Description]],'kits to boards'!$B$2:$E$156,3,FALSE)</f>
        <v>0</v>
      </c>
      <c r="N99">
        <f>VLOOKUP(Query1[[#This Row],[Description]],'kits to boards'!$B$2:$E$156,4,FALSE)</f>
        <v>0</v>
      </c>
      <c r="O99" t="str">
        <f>CONCATENATE(Query1[[#This Row],[Description]]," - ",Query1[[#This Row],[MB1]]," - ",Query1[[#This Row],[MB2]]," - ",Query1[[#This Row],[MB3]])</f>
        <v>EVAP KIT 67-68 CAMARO/FIREBIRD W/AC - 830016 - 0 - 0</v>
      </c>
    </row>
    <row r="100" spans="1:15" x14ac:dyDescent="0.25">
      <c r="A100" s="1">
        <v>909405</v>
      </c>
      <c r="B100" s="1" t="s">
        <v>40</v>
      </c>
      <c r="C100" s="1" t="s">
        <v>41</v>
      </c>
      <c r="D100" s="2">
        <v>44599.732246296298</v>
      </c>
      <c r="E100" s="1" t="s">
        <v>8</v>
      </c>
      <c r="F100" s="1">
        <v>2</v>
      </c>
      <c r="G100" s="1">
        <v>0</v>
      </c>
      <c r="H100" s="6">
        <f>INT(Query1[[#This Row],[EntryDateTime]])</f>
        <v>44599</v>
      </c>
      <c r="I100" s="1">
        <f>IF(Query1[[#This Row],[ItemType]]="EVAP KIT SF GEN IV",Query1[[#This Row],[OrderQty]]+I99,I99)</f>
        <v>42</v>
      </c>
      <c r="J100" s="1">
        <f>IF(Query1[[#This Row],[ItemType]]="EVAP KIT UNIVERSAL",Query1[[#This Row],[OrderQty]]+J99,J99)</f>
        <v>244</v>
      </c>
      <c r="K100" s="1">
        <f>Query1[[#This Row],[SF Running Total]]+Query1[[#This Row],[UNIV Running Total]]</f>
        <v>286</v>
      </c>
      <c r="L100">
        <f>VLOOKUP(Query1[[#This Row],[Description]],'kits to boards'!$B$2:$E$156,2,FALSE)</f>
        <v>830024</v>
      </c>
      <c r="M100">
        <f>VLOOKUP(Query1[[#This Row],[Description]],'kits to boards'!$B$2:$E$156,3,FALSE)</f>
        <v>0</v>
      </c>
      <c r="N100">
        <f>VLOOKUP(Query1[[#This Row],[Description]],'kits to boards'!$B$2:$E$156,4,FALSE)</f>
        <v>0</v>
      </c>
      <c r="O100" t="str">
        <f>CONCATENATE(Query1[[#This Row],[Description]]," - ",Query1[[#This Row],[MB1]]," - ",Query1[[#This Row],[MB2]]," - ",Query1[[#This Row],[MB3]])</f>
        <v>EVAP KIT 79-81 CAMARO W/AC - 830024 - 0 - 0</v>
      </c>
    </row>
    <row r="101" spans="1:15" x14ac:dyDescent="0.25">
      <c r="A101" s="1">
        <v>909405</v>
      </c>
      <c r="B101" s="1" t="s">
        <v>34</v>
      </c>
      <c r="C101" s="1" t="s">
        <v>35</v>
      </c>
      <c r="D101" s="2">
        <v>44599.732249537039</v>
      </c>
      <c r="E101" s="1" t="s">
        <v>8</v>
      </c>
      <c r="F101" s="1">
        <v>2</v>
      </c>
      <c r="G101" s="1">
        <v>0</v>
      </c>
      <c r="H101" s="6">
        <f>INT(Query1[[#This Row],[EntryDateTime]])</f>
        <v>44599</v>
      </c>
      <c r="I101" s="1">
        <f>IF(Query1[[#This Row],[ItemType]]="EVAP KIT SF GEN IV",Query1[[#This Row],[OrderQty]]+I100,I100)</f>
        <v>44</v>
      </c>
      <c r="J101" s="1">
        <f>IF(Query1[[#This Row],[ItemType]]="EVAP KIT UNIVERSAL",Query1[[#This Row],[OrderQty]]+J100,J100)</f>
        <v>244</v>
      </c>
      <c r="K101" s="1">
        <f>Query1[[#This Row],[SF Running Total]]+Query1[[#This Row],[UNIV Running Total]]</f>
        <v>288</v>
      </c>
      <c r="L101">
        <f>VLOOKUP(Query1[[#This Row],[Description]],'kits to boards'!$B$2:$E$156,2,FALSE)</f>
        <v>830065</v>
      </c>
      <c r="M101">
        <f>VLOOKUP(Query1[[#This Row],[Description]],'kits to boards'!$B$2:$E$156,3,FALSE)</f>
        <v>0</v>
      </c>
      <c r="N101">
        <f>VLOOKUP(Query1[[#This Row],[Description]],'kits to boards'!$B$2:$E$156,4,FALSE)</f>
        <v>0</v>
      </c>
      <c r="O101" t="str">
        <f>CONCATENATE(Query1[[#This Row],[Description]]," - ",Query1[[#This Row],[MB1]]," - ",Query1[[#This Row],[MB2]]," - ",Query1[[#This Row],[MB3]])</f>
        <v>EVAP KIT 57 CHEV WO AC - 830065 - 0 - 0</v>
      </c>
    </row>
    <row r="102" spans="1:15" x14ac:dyDescent="0.25">
      <c r="A102" s="1">
        <v>909405</v>
      </c>
      <c r="B102" s="1" t="s">
        <v>74</v>
      </c>
      <c r="C102" s="1" t="s">
        <v>75</v>
      </c>
      <c r="D102" s="2">
        <v>44599.732251701389</v>
      </c>
      <c r="E102" s="1" t="s">
        <v>8</v>
      </c>
      <c r="F102" s="1">
        <v>6</v>
      </c>
      <c r="G102" s="1">
        <v>0</v>
      </c>
      <c r="H102" s="6">
        <f>INT(Query1[[#This Row],[EntryDateTime]])</f>
        <v>44599</v>
      </c>
      <c r="I102" s="1">
        <f>IF(Query1[[#This Row],[ItemType]]="EVAP KIT SF GEN IV",Query1[[#This Row],[OrderQty]]+I101,I101)</f>
        <v>50</v>
      </c>
      <c r="J102" s="1">
        <f>IF(Query1[[#This Row],[ItemType]]="EVAP KIT UNIVERSAL",Query1[[#This Row],[OrderQty]]+J101,J101)</f>
        <v>244</v>
      </c>
      <c r="K102" s="1">
        <f>Query1[[#This Row],[SF Running Total]]+Query1[[#This Row],[UNIV Running Total]]</f>
        <v>294</v>
      </c>
      <c r="L102">
        <f>VLOOKUP(Query1[[#This Row],[Description]],'kits to boards'!$B$2:$E$156,2,FALSE)</f>
        <v>830065</v>
      </c>
      <c r="M102">
        <f>VLOOKUP(Query1[[#This Row],[Description]],'kits to boards'!$B$2:$E$156,3,FALSE)</f>
        <v>0</v>
      </c>
      <c r="N102">
        <f>VLOOKUP(Query1[[#This Row],[Description]],'kits to boards'!$B$2:$E$156,4,FALSE)</f>
        <v>0</v>
      </c>
      <c r="O102" t="str">
        <f>CONCATENATE(Query1[[#This Row],[Description]]," - ",Query1[[#This Row],[MB1]]," - ",Query1[[#This Row],[MB2]]," - ",Query1[[#This Row],[MB3]])</f>
        <v>EVAP KIT 57 CHEV WO AC 4-VENT PLENUM - 830065 - 0 - 0</v>
      </c>
    </row>
    <row r="103" spans="1:15" x14ac:dyDescent="0.25">
      <c r="A103" s="1">
        <v>909405</v>
      </c>
      <c r="B103" s="1" t="s">
        <v>120</v>
      </c>
      <c r="C103" s="1" t="s">
        <v>121</v>
      </c>
      <c r="D103" s="2">
        <v>44599.73227453704</v>
      </c>
      <c r="E103" s="1" t="s">
        <v>8</v>
      </c>
      <c r="F103" s="1">
        <v>1</v>
      </c>
      <c r="G103" s="1">
        <v>0</v>
      </c>
      <c r="H103" s="6">
        <f>INT(Query1[[#This Row],[EntryDateTime]])</f>
        <v>44599</v>
      </c>
      <c r="I103" s="1">
        <f>IF(Query1[[#This Row],[ItemType]]="EVAP KIT SF GEN IV",Query1[[#This Row],[OrderQty]]+I102,I102)</f>
        <v>51</v>
      </c>
      <c r="J103" s="1">
        <f>IF(Query1[[#This Row],[ItemType]]="EVAP KIT UNIVERSAL",Query1[[#This Row],[OrderQty]]+J102,J102)</f>
        <v>244</v>
      </c>
      <c r="K103" s="1">
        <f>Query1[[#This Row],[SF Running Total]]+Query1[[#This Row],[UNIV Running Total]]</f>
        <v>295</v>
      </c>
      <c r="L103">
        <f>VLOOKUP(Query1[[#This Row],[Description]],'kits to boards'!$B$2:$E$156,2,FALSE)</f>
        <v>830014</v>
      </c>
      <c r="M103">
        <f>VLOOKUP(Query1[[#This Row],[Description]],'kits to boards'!$B$2:$E$156,3,FALSE)</f>
        <v>0</v>
      </c>
      <c r="N103">
        <f>VLOOKUP(Query1[[#This Row],[Description]],'kits to boards'!$B$2:$E$156,4,FALSE)</f>
        <v>0</v>
      </c>
      <c r="O103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104" spans="1:15" x14ac:dyDescent="0.25">
      <c r="A104" s="1">
        <v>909405</v>
      </c>
      <c r="B104" s="1" t="s">
        <v>26</v>
      </c>
      <c r="C104" s="1" t="s">
        <v>27</v>
      </c>
      <c r="D104" s="2">
        <v>44599.732277696756</v>
      </c>
      <c r="E104" s="1" t="s">
        <v>8</v>
      </c>
      <c r="F104" s="1">
        <v>4</v>
      </c>
      <c r="G104" s="1">
        <v>0</v>
      </c>
      <c r="H104" s="6">
        <f>INT(Query1[[#This Row],[EntryDateTime]])</f>
        <v>44599</v>
      </c>
      <c r="I104" s="1">
        <f>IF(Query1[[#This Row],[ItemType]]="EVAP KIT SF GEN IV",Query1[[#This Row],[OrderQty]]+I103,I103)</f>
        <v>55</v>
      </c>
      <c r="J104" s="1">
        <f>IF(Query1[[#This Row],[ItemType]]="EVAP KIT UNIVERSAL",Query1[[#This Row],[OrderQty]]+J103,J103)</f>
        <v>244</v>
      </c>
      <c r="K104" s="1">
        <f>Query1[[#This Row],[SF Running Total]]+Query1[[#This Row],[UNIV Running Total]]</f>
        <v>299</v>
      </c>
      <c r="L104">
        <f>VLOOKUP(Query1[[#This Row],[Description]],'kits to boards'!$B$2:$E$156,2,FALSE)</f>
        <v>830013</v>
      </c>
      <c r="M104">
        <f>VLOOKUP(Query1[[#This Row],[Description]],'kits to boards'!$B$2:$E$156,3,FALSE)</f>
        <v>0</v>
      </c>
      <c r="N104">
        <f>VLOOKUP(Query1[[#This Row],[Description]],'kits to boards'!$B$2:$E$156,4,FALSE)</f>
        <v>0</v>
      </c>
      <c r="O104" t="str">
        <f>CONCATENATE(Query1[[#This Row],[Description]]," - ",Query1[[#This Row],[MB1]]," - ",Query1[[#This Row],[MB2]]," - ",Query1[[#This Row],[MB3]])</f>
        <v>EVAP KIT 67-72 CHEV P-UP W/AC - 830013 - 0 - 0</v>
      </c>
    </row>
    <row r="105" spans="1:15" x14ac:dyDescent="0.25">
      <c r="A105" s="1">
        <v>909408</v>
      </c>
      <c r="B105" s="1" t="s">
        <v>94</v>
      </c>
      <c r="C105" s="1" t="s">
        <v>95</v>
      </c>
      <c r="D105" s="2">
        <v>44599.735957372686</v>
      </c>
      <c r="E105" s="1" t="s">
        <v>8</v>
      </c>
      <c r="F105" s="1">
        <v>2</v>
      </c>
      <c r="G105" s="1">
        <v>0</v>
      </c>
      <c r="H105" s="6">
        <f>INT(Query1[[#This Row],[EntryDateTime]])</f>
        <v>44599</v>
      </c>
      <c r="I105" s="1">
        <f>IF(Query1[[#This Row],[ItemType]]="EVAP KIT SF GEN IV",Query1[[#This Row],[OrderQty]]+I104,I104)</f>
        <v>57</v>
      </c>
      <c r="J105" s="1">
        <f>IF(Query1[[#This Row],[ItemType]]="EVAP KIT UNIVERSAL",Query1[[#This Row],[OrderQty]]+J104,J104)</f>
        <v>244</v>
      </c>
      <c r="K105" s="1">
        <f>Query1[[#This Row],[SF Running Total]]+Query1[[#This Row],[UNIV Running Total]]</f>
        <v>301</v>
      </c>
      <c r="L105">
        <f>VLOOKUP(Query1[[#This Row],[Description]],'kits to boards'!$B$2:$E$156,2,FALSE)</f>
        <v>830076</v>
      </c>
      <c r="M105">
        <f>VLOOKUP(Query1[[#This Row],[Description]],'kits to boards'!$B$2:$E$156,3,FALSE)</f>
        <v>0</v>
      </c>
      <c r="N105">
        <f>VLOOKUP(Query1[[#This Row],[Description]],'kits to boards'!$B$2:$E$156,4,FALSE)</f>
        <v>0</v>
      </c>
      <c r="O105" t="str">
        <f>CONCATENATE(Query1[[#This Row],[Description]]," - ",Query1[[#This Row],[MB1]]," - ",Query1[[#This Row],[MB2]]," - ",Query1[[#This Row],[MB3]])</f>
        <v>EVAP KIT 64 1/2- 66 MUSTANG  - 830076 - 0 - 0</v>
      </c>
    </row>
    <row r="106" spans="1:15" x14ac:dyDescent="0.25">
      <c r="A106" s="1">
        <v>909408</v>
      </c>
      <c r="B106" s="1" t="s">
        <v>66</v>
      </c>
      <c r="C106" s="1" t="s">
        <v>67</v>
      </c>
      <c r="D106" s="2">
        <v>44599.735959259262</v>
      </c>
      <c r="E106" s="1" t="s">
        <v>8</v>
      </c>
      <c r="F106" s="1">
        <v>2</v>
      </c>
      <c r="G106" s="1">
        <v>0</v>
      </c>
      <c r="H106" s="6">
        <f>INT(Query1[[#This Row],[EntryDateTime]])</f>
        <v>44599</v>
      </c>
      <c r="I106" s="1">
        <f>IF(Query1[[#This Row],[ItemType]]="EVAP KIT SF GEN IV",Query1[[#This Row],[OrderQty]]+I105,I105)</f>
        <v>59</v>
      </c>
      <c r="J106" s="1">
        <f>IF(Query1[[#This Row],[ItemType]]="EVAP KIT UNIVERSAL",Query1[[#This Row],[OrderQty]]+J105,J105)</f>
        <v>244</v>
      </c>
      <c r="K106" s="1">
        <f>Query1[[#This Row],[SF Running Total]]+Query1[[#This Row],[UNIV Running Total]]</f>
        <v>303</v>
      </c>
      <c r="L106">
        <f>VLOOKUP(Query1[[#This Row],[Description]],'kits to boards'!$B$2:$E$156,2,FALSE)</f>
        <v>830060</v>
      </c>
      <c r="M106">
        <f>VLOOKUP(Query1[[#This Row],[Description]],'kits to boards'!$B$2:$E$156,3,FALSE)</f>
        <v>0</v>
      </c>
      <c r="N106">
        <f>VLOOKUP(Query1[[#This Row],[Description]],'kits to boards'!$B$2:$E$156,4,FALSE)</f>
        <v>0</v>
      </c>
      <c r="O106" t="str">
        <f>CONCATENATE(Query1[[#This Row],[Description]]," - ",Query1[[#This Row],[MB1]]," - ",Query1[[#This Row],[MB2]]," - ",Query1[[#This Row],[MB3]])</f>
        <v>EVAP KIT 66-67 CHEVELLE WO AC - 830060 - 0 - 0</v>
      </c>
    </row>
    <row r="107" spans="1:15" x14ac:dyDescent="0.25">
      <c r="A107" s="1">
        <v>909408</v>
      </c>
      <c r="B107" s="1" t="s">
        <v>14</v>
      </c>
      <c r="C107" s="1" t="s">
        <v>15</v>
      </c>
      <c r="D107" s="2">
        <v>44599.735961840277</v>
      </c>
      <c r="E107" s="1" t="s">
        <v>8</v>
      </c>
      <c r="F107" s="1">
        <v>2</v>
      </c>
      <c r="G107" s="1">
        <v>0</v>
      </c>
      <c r="H107" s="6">
        <f>INT(Query1[[#This Row],[EntryDateTime]])</f>
        <v>44599</v>
      </c>
      <c r="I107" s="1">
        <f>IF(Query1[[#This Row],[ItemType]]="EVAP KIT SF GEN IV",Query1[[#This Row],[OrderQty]]+I106,I106)</f>
        <v>61</v>
      </c>
      <c r="J107" s="1">
        <f>IF(Query1[[#This Row],[ItemType]]="EVAP KIT UNIVERSAL",Query1[[#This Row],[OrderQty]]+J106,J106)</f>
        <v>244</v>
      </c>
      <c r="K107" s="1">
        <f>Query1[[#This Row],[SF Running Total]]+Query1[[#This Row],[UNIV Running Total]]</f>
        <v>305</v>
      </c>
      <c r="L107">
        <f>VLOOKUP(Query1[[#This Row],[Description]],'kits to boards'!$B$2:$E$156,2,FALSE)</f>
        <v>830054</v>
      </c>
      <c r="M107">
        <f>VLOOKUP(Query1[[#This Row],[Description]],'kits to boards'!$B$2:$E$156,3,FALSE)</f>
        <v>0</v>
      </c>
      <c r="N107">
        <f>VLOOKUP(Query1[[#This Row],[Description]],'kits to boards'!$B$2:$E$156,4,FALSE)</f>
        <v>0</v>
      </c>
      <c r="O107" t="str">
        <f>CONCATENATE(Query1[[#This Row],[Description]]," - ",Query1[[#This Row],[MB1]]," - ",Query1[[#This Row],[MB2]]," - ",Query1[[#This Row],[MB3]])</f>
        <v>EVAP KIT 55-56 CHEVY - 830054 - 0 - 0</v>
      </c>
    </row>
    <row r="108" spans="1:15" x14ac:dyDescent="0.25">
      <c r="A108" s="1">
        <v>909408</v>
      </c>
      <c r="B108" s="1" t="s">
        <v>54</v>
      </c>
      <c r="C108" s="1" t="s">
        <v>55</v>
      </c>
      <c r="D108" s="2">
        <v>44599.735964039355</v>
      </c>
      <c r="E108" s="1" t="s">
        <v>8</v>
      </c>
      <c r="F108" s="1">
        <v>2</v>
      </c>
      <c r="G108" s="1">
        <v>0</v>
      </c>
      <c r="H108" s="6">
        <f>INT(Query1[[#This Row],[EntryDateTime]])</f>
        <v>44599</v>
      </c>
      <c r="I108" s="1">
        <f>IF(Query1[[#This Row],[ItemType]]="EVAP KIT SF GEN IV",Query1[[#This Row],[OrderQty]]+I107,I107)</f>
        <v>63</v>
      </c>
      <c r="J108" s="1">
        <f>IF(Query1[[#This Row],[ItemType]]="EVAP KIT UNIVERSAL",Query1[[#This Row],[OrderQty]]+J107,J107)</f>
        <v>244</v>
      </c>
      <c r="K108" s="1">
        <f>Query1[[#This Row],[SF Running Total]]+Query1[[#This Row],[UNIV Running Total]]</f>
        <v>307</v>
      </c>
      <c r="L108">
        <f>VLOOKUP(Query1[[#This Row],[Description]],'kits to boards'!$B$2:$E$156,2,FALSE)</f>
        <v>830037</v>
      </c>
      <c r="M108">
        <f>VLOOKUP(Query1[[#This Row],[Description]],'kits to boards'!$B$2:$E$156,3,FALSE)</f>
        <v>0</v>
      </c>
      <c r="N108">
        <f>VLOOKUP(Query1[[#This Row],[Description]],'kits to boards'!$B$2:$E$156,4,FALSE)</f>
        <v>0</v>
      </c>
      <c r="O108" t="str">
        <f>CONCATENATE(Query1[[#This Row],[Description]]," - ",Query1[[#This Row],[MB1]]," - ",Query1[[#This Row],[MB2]]," - ",Query1[[#This Row],[MB3]])</f>
        <v>EVAP KIT 70-81 FIREBIRD W/AC - 830037 - 0 - 0</v>
      </c>
    </row>
    <row r="109" spans="1:15" x14ac:dyDescent="0.25">
      <c r="A109" s="1">
        <v>909408</v>
      </c>
      <c r="B109" s="1" t="s">
        <v>32</v>
      </c>
      <c r="C109" s="1" t="s">
        <v>33</v>
      </c>
      <c r="D109" s="2">
        <v>44599.735966469911</v>
      </c>
      <c r="E109" s="1" t="s">
        <v>8</v>
      </c>
      <c r="F109" s="1">
        <v>2</v>
      </c>
      <c r="G109" s="1">
        <v>0</v>
      </c>
      <c r="H109" s="6">
        <f>INT(Query1[[#This Row],[EntryDateTime]])</f>
        <v>44599</v>
      </c>
      <c r="I109" s="1">
        <f>IF(Query1[[#This Row],[ItemType]]="EVAP KIT SF GEN IV",Query1[[#This Row],[OrderQty]]+I108,I108)</f>
        <v>65</v>
      </c>
      <c r="J109" s="1">
        <f>IF(Query1[[#This Row],[ItemType]]="EVAP KIT UNIVERSAL",Query1[[#This Row],[OrderQty]]+J108,J108)</f>
        <v>244</v>
      </c>
      <c r="K109" s="1">
        <f>Query1[[#This Row],[SF Running Total]]+Query1[[#This Row],[UNIV Running Total]]</f>
        <v>309</v>
      </c>
      <c r="L109">
        <f>VLOOKUP(Query1[[#This Row],[Description]],'kits to boards'!$B$2:$E$156,2,FALSE)</f>
        <v>830016</v>
      </c>
      <c r="M109">
        <f>VLOOKUP(Query1[[#This Row],[Description]],'kits to boards'!$B$2:$E$156,3,FALSE)</f>
        <v>0</v>
      </c>
      <c r="N109">
        <f>VLOOKUP(Query1[[#This Row],[Description]],'kits to boards'!$B$2:$E$156,4,FALSE)</f>
        <v>0</v>
      </c>
      <c r="O109" t="str">
        <f>CONCATENATE(Query1[[#This Row],[Description]]," - ",Query1[[#This Row],[MB1]]," - ",Query1[[#This Row],[MB2]]," - ",Query1[[#This Row],[MB3]])</f>
        <v>EVAP KIT 67-68 CAMARO/FIREBIRD W/AC - 830016 - 0 - 0</v>
      </c>
    </row>
    <row r="110" spans="1:15" x14ac:dyDescent="0.25">
      <c r="A110" s="1">
        <v>909408</v>
      </c>
      <c r="B110" s="1" t="s">
        <v>34</v>
      </c>
      <c r="C110" s="1" t="s">
        <v>35</v>
      </c>
      <c r="D110" s="2">
        <v>44599.73597040509</v>
      </c>
      <c r="E110" s="1" t="s">
        <v>8</v>
      </c>
      <c r="F110" s="1">
        <v>2</v>
      </c>
      <c r="G110" s="1">
        <v>0</v>
      </c>
      <c r="H110" s="6">
        <f>INT(Query1[[#This Row],[EntryDateTime]])</f>
        <v>44599</v>
      </c>
      <c r="I110" s="1">
        <f>IF(Query1[[#This Row],[ItemType]]="EVAP KIT SF GEN IV",Query1[[#This Row],[OrderQty]]+I109,I109)</f>
        <v>67</v>
      </c>
      <c r="J110" s="1">
        <f>IF(Query1[[#This Row],[ItemType]]="EVAP KIT UNIVERSAL",Query1[[#This Row],[OrderQty]]+J109,J109)</f>
        <v>244</v>
      </c>
      <c r="K110" s="1">
        <f>Query1[[#This Row],[SF Running Total]]+Query1[[#This Row],[UNIV Running Total]]</f>
        <v>311</v>
      </c>
      <c r="L110">
        <f>VLOOKUP(Query1[[#This Row],[Description]],'kits to boards'!$B$2:$E$156,2,FALSE)</f>
        <v>830065</v>
      </c>
      <c r="M110">
        <f>VLOOKUP(Query1[[#This Row],[Description]],'kits to boards'!$B$2:$E$156,3,FALSE)</f>
        <v>0</v>
      </c>
      <c r="N110">
        <f>VLOOKUP(Query1[[#This Row],[Description]],'kits to boards'!$B$2:$E$156,4,FALSE)</f>
        <v>0</v>
      </c>
      <c r="O110" t="str">
        <f>CONCATENATE(Query1[[#This Row],[Description]]," - ",Query1[[#This Row],[MB1]]," - ",Query1[[#This Row],[MB2]]," - ",Query1[[#This Row],[MB3]])</f>
        <v>EVAP KIT 57 CHEV WO AC - 830065 - 0 - 0</v>
      </c>
    </row>
    <row r="111" spans="1:15" x14ac:dyDescent="0.25">
      <c r="A111" s="1">
        <v>909408</v>
      </c>
      <c r="B111" s="1" t="s">
        <v>36</v>
      </c>
      <c r="C111" s="1" t="s">
        <v>37</v>
      </c>
      <c r="D111" s="2">
        <v>44599.735974386575</v>
      </c>
      <c r="E111" s="1" t="s">
        <v>8</v>
      </c>
      <c r="F111" s="1">
        <v>2</v>
      </c>
      <c r="G111" s="1">
        <v>0</v>
      </c>
      <c r="H111" s="6">
        <f>INT(Query1[[#This Row],[EntryDateTime]])</f>
        <v>44599</v>
      </c>
      <c r="I111" s="1">
        <f>IF(Query1[[#This Row],[ItemType]]="EVAP KIT SF GEN IV",Query1[[#This Row],[OrderQty]]+I110,I110)</f>
        <v>69</v>
      </c>
      <c r="J111" s="1">
        <f>IF(Query1[[#This Row],[ItemType]]="EVAP KIT UNIVERSAL",Query1[[#This Row],[OrderQty]]+J110,J110)</f>
        <v>244</v>
      </c>
      <c r="K111" s="1">
        <f>Query1[[#This Row],[SF Running Total]]+Query1[[#This Row],[UNIV Running Total]]</f>
        <v>313</v>
      </c>
      <c r="L111">
        <f>VLOOKUP(Query1[[#This Row],[Description]],'kits to boards'!$B$2:$E$156,2,FALSE)</f>
        <v>830015</v>
      </c>
      <c r="M111">
        <f>VLOOKUP(Query1[[#This Row],[Description]],'kits to boards'!$B$2:$E$156,3,FALSE)</f>
        <v>0</v>
      </c>
      <c r="N111">
        <f>VLOOKUP(Query1[[#This Row],[Description]],'kits to boards'!$B$2:$E$156,4,FALSE)</f>
        <v>0</v>
      </c>
      <c r="O111" t="str">
        <f>CONCATENATE(Query1[[#This Row],[Description]]," - ",Query1[[#This Row],[MB1]]," - ",Query1[[#This Row],[MB2]]," - ",Query1[[#This Row],[MB3]])</f>
        <v>EVAP KIT 64-66 CHEV P-UP WO AC W/STD - 830015 - 0 - 0</v>
      </c>
    </row>
    <row r="112" spans="1:15" x14ac:dyDescent="0.25">
      <c r="A112" s="1">
        <v>909408</v>
      </c>
      <c r="B112" s="1" t="s">
        <v>124</v>
      </c>
      <c r="C112" s="1" t="s">
        <v>125</v>
      </c>
      <c r="D112" s="2">
        <v>44599.735976388889</v>
      </c>
      <c r="E112" s="1" t="s">
        <v>8</v>
      </c>
      <c r="F112" s="1">
        <v>4</v>
      </c>
      <c r="G112" s="1">
        <v>0</v>
      </c>
      <c r="H112" s="6">
        <f>INT(Query1[[#This Row],[EntryDateTime]])</f>
        <v>44599</v>
      </c>
      <c r="I112" s="1">
        <f>IF(Query1[[#This Row],[ItemType]]="EVAP KIT SF GEN IV",Query1[[#This Row],[OrderQty]]+I111,I111)</f>
        <v>73</v>
      </c>
      <c r="J112" s="1">
        <f>IF(Query1[[#This Row],[ItemType]]="EVAP KIT UNIVERSAL",Query1[[#This Row],[OrderQty]]+J111,J111)</f>
        <v>244</v>
      </c>
      <c r="K112" s="1">
        <f>Query1[[#This Row],[SF Running Total]]+Query1[[#This Row],[UNIV Running Total]]</f>
        <v>317</v>
      </c>
      <c r="L112">
        <f>VLOOKUP(Query1[[#This Row],[Description]],'kits to boards'!$B$2:$E$156,2,FALSE)</f>
        <v>830002</v>
      </c>
      <c r="M112">
        <f>VLOOKUP(Query1[[#This Row],[Description]],'kits to boards'!$B$2:$E$156,3,FALSE)</f>
        <v>0</v>
      </c>
      <c r="N112">
        <f>VLOOKUP(Query1[[#This Row],[Description]],'kits to boards'!$B$2:$E$156,4,FALSE)</f>
        <v>0</v>
      </c>
      <c r="O112" t="str">
        <f>CONCATENATE(Query1[[#This Row],[Description]]," - ",Query1[[#This Row],[MB1]]," - ",Query1[[#This Row],[MB2]]," - ",Query1[[#This Row],[MB3]])</f>
        <v>EVAP KIT 73-80 CHEV P-UP WO AC - 830002 - 0 - 0</v>
      </c>
    </row>
    <row r="113" spans="1:15" x14ac:dyDescent="0.25">
      <c r="A113" s="1">
        <v>909409</v>
      </c>
      <c r="B113" s="1" t="s">
        <v>98</v>
      </c>
      <c r="C113" s="1" t="s">
        <v>99</v>
      </c>
      <c r="D113" s="2">
        <v>44599.745955706021</v>
      </c>
      <c r="E113" s="1" t="s">
        <v>11</v>
      </c>
      <c r="F113" s="1">
        <v>1</v>
      </c>
      <c r="G113" s="1">
        <v>0</v>
      </c>
      <c r="H113" s="6">
        <f>INT(Query1[[#This Row],[EntryDateTime]])</f>
        <v>44599</v>
      </c>
      <c r="I113" s="1">
        <f>IF(Query1[[#This Row],[ItemType]]="EVAP KIT SF GEN IV",Query1[[#This Row],[OrderQty]]+I112,I112)</f>
        <v>73</v>
      </c>
      <c r="J113" s="1">
        <f>IF(Query1[[#This Row],[ItemType]]="EVAP KIT UNIVERSAL",Query1[[#This Row],[OrderQty]]+J112,J112)</f>
        <v>245</v>
      </c>
      <c r="K113" s="1">
        <f>Query1[[#This Row],[SF Running Total]]+Query1[[#This Row],[UNIV Running Total]]</f>
        <v>318</v>
      </c>
      <c r="L113">
        <f>VLOOKUP(Query1[[#This Row],[Description]],'kits to boards'!$B$2:$E$156,2,FALSE)</f>
        <v>830099</v>
      </c>
      <c r="M113">
        <f>VLOOKUP(Query1[[#This Row],[Description]],'kits to boards'!$B$2:$E$156,3,FALSE)</f>
        <v>0</v>
      </c>
      <c r="N113">
        <f>VLOOKUP(Query1[[#This Row],[Description]],'kits to boards'!$B$2:$E$156,4,FALSE)</f>
        <v>0</v>
      </c>
      <c r="O113" t="str">
        <f>CONCATENATE(Query1[[#This Row],[Description]]," - ",Query1[[#This Row],[MB1]]," - ",Query1[[#This Row],[MB2]]," - ",Query1[[#This Row],[MB3]])</f>
        <v>MINI GEN II W/DEF - 830099 - 0 - 0</v>
      </c>
    </row>
    <row r="114" spans="1:15" x14ac:dyDescent="0.25">
      <c r="A114" s="1">
        <v>909410</v>
      </c>
      <c r="B114" s="1" t="s">
        <v>128</v>
      </c>
      <c r="C114" s="1" t="s">
        <v>129</v>
      </c>
      <c r="D114" s="2">
        <v>44599.749780787039</v>
      </c>
      <c r="E114" s="1" t="s">
        <v>8</v>
      </c>
      <c r="F114" s="1">
        <v>1</v>
      </c>
      <c r="G114" s="1">
        <v>0</v>
      </c>
      <c r="H114" s="6">
        <f>INT(Query1[[#This Row],[EntryDateTime]])</f>
        <v>44599</v>
      </c>
      <c r="I114" s="1">
        <f>IF(Query1[[#This Row],[ItemType]]="EVAP KIT SF GEN IV",Query1[[#This Row],[OrderQty]]+I113,I113)</f>
        <v>74</v>
      </c>
      <c r="J114" s="1">
        <f>IF(Query1[[#This Row],[ItemType]]="EVAP KIT UNIVERSAL",Query1[[#This Row],[OrderQty]]+J113,J113)</f>
        <v>245</v>
      </c>
      <c r="K114" s="1">
        <f>Query1[[#This Row],[SF Running Total]]+Query1[[#This Row],[UNIV Running Total]]</f>
        <v>319</v>
      </c>
      <c r="L114">
        <f>VLOOKUP(Query1[[#This Row],[Description]],'kits to boards'!$B$2:$E$156,2,FALSE)</f>
        <v>830036</v>
      </c>
      <c r="M114">
        <f>VLOOKUP(Query1[[#This Row],[Description]],'kits to boards'!$B$2:$E$156,3,FALSE)</f>
        <v>830039</v>
      </c>
      <c r="N114">
        <f>VLOOKUP(Query1[[#This Row],[Description]],'kits to boards'!$B$2:$E$156,4,FALSE)</f>
        <v>0</v>
      </c>
      <c r="O114" t="str">
        <f>CONCATENATE(Query1[[#This Row],[Description]]," - ",Query1[[#This Row],[MB1]]," - ",Query1[[#This Row],[MB2]]," - ",Query1[[#This Row],[MB3]])</f>
        <v>EVAP KIT 63-66 VETTE WO AC - 830036 - 830039 - 0</v>
      </c>
    </row>
    <row r="115" spans="1:15" x14ac:dyDescent="0.25">
      <c r="A115" s="1">
        <v>909416</v>
      </c>
      <c r="B115" s="1" t="s">
        <v>676</v>
      </c>
      <c r="C115" s="1" t="s">
        <v>471</v>
      </c>
      <c r="D115" s="2">
        <v>44599.76484074074</v>
      </c>
      <c r="E115" s="1" t="s">
        <v>677</v>
      </c>
      <c r="F115" s="1">
        <v>1</v>
      </c>
      <c r="G115" s="1">
        <v>0</v>
      </c>
      <c r="H115" s="6">
        <f>INT(Query1[[#This Row],[EntryDateTime]])</f>
        <v>44599</v>
      </c>
      <c r="I115" s="1">
        <f>IF(Query1[[#This Row],[ItemType]]="EVAP KIT SF GEN IV",Query1[[#This Row],[OrderQty]]+I114,I114)</f>
        <v>74</v>
      </c>
      <c r="J115" s="1">
        <f>IF(Query1[[#This Row],[ItemType]]="EVAP KIT UNIVERSAL",Query1[[#This Row],[OrderQty]]+J114,J114)</f>
        <v>245</v>
      </c>
      <c r="K115" s="1">
        <f>Query1[[#This Row],[SF Running Total]]+Query1[[#This Row],[UNIV Running Total]]</f>
        <v>319</v>
      </c>
      <c r="L115" t="e">
        <f>VLOOKUP(Query1[[#This Row],[Description]],'kits to boards'!$B$2:$E$156,2,FALSE)</f>
        <v>#N/A</v>
      </c>
      <c r="M115" t="e">
        <f>VLOOKUP(Query1[[#This Row],[Description]],'kits to boards'!$B$2:$E$156,3,FALSE)</f>
        <v>#N/A</v>
      </c>
      <c r="N115" t="e">
        <f>VLOOKUP(Query1[[#This Row],[Description]],'kits to boards'!$B$2:$E$156,4,FALSE)</f>
        <v>#N/A</v>
      </c>
      <c r="O115" t="e">
        <f>CONCATENATE(Query1[[#This Row],[Description]]," - ",Query1[[#This Row],[MB1]]," - ",Query1[[#This Row],[MB2]]," - ",Query1[[#This Row],[MB3]])</f>
        <v>#N/A</v>
      </c>
    </row>
    <row r="116" spans="1:15" x14ac:dyDescent="0.25">
      <c r="A116" s="1">
        <v>909417</v>
      </c>
      <c r="B116" s="1" t="s">
        <v>30</v>
      </c>
      <c r="C116" s="1" t="s">
        <v>31</v>
      </c>
      <c r="D116" s="2">
        <v>44599.76685605324</v>
      </c>
      <c r="E116" s="1" t="s">
        <v>8</v>
      </c>
      <c r="F116" s="1">
        <v>1</v>
      </c>
      <c r="G116" s="1">
        <v>0</v>
      </c>
      <c r="H116" s="6">
        <f>INT(Query1[[#This Row],[EntryDateTime]])</f>
        <v>44599</v>
      </c>
      <c r="I116" s="1">
        <f>IF(Query1[[#This Row],[ItemType]]="EVAP KIT SF GEN IV",Query1[[#This Row],[OrderQty]]+I115,I115)</f>
        <v>75</v>
      </c>
      <c r="J116" s="1">
        <f>IF(Query1[[#This Row],[ItemType]]="EVAP KIT UNIVERSAL",Query1[[#This Row],[OrderQty]]+J115,J115)</f>
        <v>245</v>
      </c>
      <c r="K116" s="1">
        <f>Query1[[#This Row],[SF Running Total]]+Query1[[#This Row],[UNIV Running Total]]</f>
        <v>320</v>
      </c>
      <c r="L116">
        <f>VLOOKUP(Query1[[#This Row],[Description]],'kits to boards'!$B$2:$E$156,2,FALSE)</f>
        <v>830054</v>
      </c>
      <c r="M116">
        <f>VLOOKUP(Query1[[#This Row],[Description]],'kits to boards'!$B$2:$E$156,3,FALSE)</f>
        <v>0</v>
      </c>
      <c r="N116">
        <f>VLOOKUP(Query1[[#This Row],[Description]],'kits to boards'!$B$2:$E$156,4,FALSE)</f>
        <v>0</v>
      </c>
      <c r="O116" t="str">
        <f>CONCATENATE(Query1[[#This Row],[Description]]," - ",Query1[[#This Row],[MB1]]," - ",Query1[[#This Row],[MB2]]," - ",Query1[[#This Row],[MB3]])</f>
        <v>EVAP KIT 55-56 CHEVY 4-VENT - 830054 - 0 - 0</v>
      </c>
    </row>
    <row r="117" spans="1:15" x14ac:dyDescent="0.25">
      <c r="A117" s="1">
        <v>909422</v>
      </c>
      <c r="B117" s="1" t="s">
        <v>72</v>
      </c>
      <c r="C117" s="1" t="s">
        <v>73</v>
      </c>
      <c r="D117" s="2">
        <v>44599.777366319446</v>
      </c>
      <c r="E117" s="1" t="s">
        <v>8</v>
      </c>
      <c r="F117" s="1">
        <v>1</v>
      </c>
      <c r="G117" s="1">
        <v>0</v>
      </c>
      <c r="H117" s="6">
        <f>INT(Query1[[#This Row],[EntryDateTime]])</f>
        <v>44599</v>
      </c>
      <c r="I117" s="1">
        <f>IF(Query1[[#This Row],[ItemType]]="EVAP KIT SF GEN IV",Query1[[#This Row],[OrderQty]]+I116,I116)</f>
        <v>76</v>
      </c>
      <c r="J117" s="1">
        <f>IF(Query1[[#This Row],[ItemType]]="EVAP KIT UNIVERSAL",Query1[[#This Row],[OrderQty]]+J116,J116)</f>
        <v>245</v>
      </c>
      <c r="K117" s="1">
        <f>Query1[[#This Row],[SF Running Total]]+Query1[[#This Row],[UNIV Running Total]]</f>
        <v>321</v>
      </c>
      <c r="L117">
        <f>VLOOKUP(Query1[[#This Row],[Description]],'kits to boards'!$B$2:$E$156,2,FALSE)</f>
        <v>830043</v>
      </c>
      <c r="M117">
        <f>VLOOKUP(Query1[[#This Row],[Description]],'kits to boards'!$B$2:$E$156,3,FALSE)</f>
        <v>0</v>
      </c>
      <c r="N117">
        <f>VLOOKUP(Query1[[#This Row],[Description]],'kits to boards'!$B$2:$E$156,4,FALSE)</f>
        <v>0</v>
      </c>
      <c r="O117" t="str">
        <f>CONCATENATE(Query1[[#This Row],[Description]]," - ",Query1[[#This Row],[MB1]]," - ",Query1[[#This Row],[MB2]]," - ",Query1[[#This Row],[MB3]])</f>
        <v>EVAP KIT 69-74 NOVA W/AC - 830043 - 0 - 0</v>
      </c>
    </row>
    <row r="118" spans="1:15" x14ac:dyDescent="0.25">
      <c r="A118" s="1">
        <v>909433</v>
      </c>
      <c r="B118" s="1" t="s">
        <v>30</v>
      </c>
      <c r="C118" s="1" t="s">
        <v>31</v>
      </c>
      <c r="D118" s="2">
        <v>44599.829431215279</v>
      </c>
      <c r="E118" s="1" t="s">
        <v>8</v>
      </c>
      <c r="F118" s="1">
        <v>1</v>
      </c>
      <c r="G118" s="1">
        <v>0</v>
      </c>
      <c r="H118" s="6">
        <f>INT(Query1[[#This Row],[EntryDateTime]])</f>
        <v>44599</v>
      </c>
      <c r="I118" s="1">
        <f>IF(Query1[[#This Row],[ItemType]]="EVAP KIT SF GEN IV",Query1[[#This Row],[OrderQty]]+I117,I117)</f>
        <v>77</v>
      </c>
      <c r="J118" s="1">
        <f>IF(Query1[[#This Row],[ItemType]]="EVAP KIT UNIVERSAL",Query1[[#This Row],[OrderQty]]+J117,J117)</f>
        <v>245</v>
      </c>
      <c r="K118" s="1">
        <f>Query1[[#This Row],[SF Running Total]]+Query1[[#This Row],[UNIV Running Total]]</f>
        <v>322</v>
      </c>
      <c r="L118">
        <f>VLOOKUP(Query1[[#This Row],[Description]],'kits to boards'!$B$2:$E$156,2,FALSE)</f>
        <v>830054</v>
      </c>
      <c r="M118">
        <f>VLOOKUP(Query1[[#This Row],[Description]],'kits to boards'!$B$2:$E$156,3,FALSE)</f>
        <v>0</v>
      </c>
      <c r="N118">
        <f>VLOOKUP(Query1[[#This Row],[Description]],'kits to boards'!$B$2:$E$156,4,FALSE)</f>
        <v>0</v>
      </c>
      <c r="O118" t="str">
        <f>CONCATENATE(Query1[[#This Row],[Description]]," - ",Query1[[#This Row],[MB1]]," - ",Query1[[#This Row],[MB2]]," - ",Query1[[#This Row],[MB3]])</f>
        <v>EVAP KIT 55-56 CHEVY 4-VENT - 830054 - 0 - 0</v>
      </c>
    </row>
    <row r="119" spans="1:15" x14ac:dyDescent="0.25">
      <c r="A119" s="1">
        <v>909437</v>
      </c>
      <c r="B119" s="1" t="s">
        <v>74</v>
      </c>
      <c r="C119" s="1" t="s">
        <v>75</v>
      </c>
      <c r="D119" s="2">
        <v>44599.841451504632</v>
      </c>
      <c r="E119" s="1" t="s">
        <v>8</v>
      </c>
      <c r="F119" s="1">
        <v>1</v>
      </c>
      <c r="G119" s="1">
        <v>0</v>
      </c>
      <c r="H119" s="6">
        <f>INT(Query1[[#This Row],[EntryDateTime]])</f>
        <v>44599</v>
      </c>
      <c r="I119" s="1">
        <f>IF(Query1[[#This Row],[ItemType]]="EVAP KIT SF GEN IV",Query1[[#This Row],[OrderQty]]+I118,I118)</f>
        <v>78</v>
      </c>
      <c r="J119" s="1">
        <f>IF(Query1[[#This Row],[ItemType]]="EVAP KIT UNIVERSAL",Query1[[#This Row],[OrderQty]]+J118,J118)</f>
        <v>245</v>
      </c>
      <c r="K119" s="1">
        <f>Query1[[#This Row],[SF Running Total]]+Query1[[#This Row],[UNIV Running Total]]</f>
        <v>323</v>
      </c>
      <c r="L119">
        <f>VLOOKUP(Query1[[#This Row],[Description]],'kits to boards'!$B$2:$E$156,2,FALSE)</f>
        <v>830065</v>
      </c>
      <c r="M119">
        <f>VLOOKUP(Query1[[#This Row],[Description]],'kits to boards'!$B$2:$E$156,3,FALSE)</f>
        <v>0</v>
      </c>
      <c r="N119">
        <f>VLOOKUP(Query1[[#This Row],[Description]],'kits to boards'!$B$2:$E$156,4,FALSE)</f>
        <v>0</v>
      </c>
      <c r="O119" t="str">
        <f>CONCATENATE(Query1[[#This Row],[Description]]," - ",Query1[[#This Row],[MB1]]," - ",Query1[[#This Row],[MB2]]," - ",Query1[[#This Row],[MB3]])</f>
        <v>EVAP KIT 57 CHEV WO AC 4-VENT PLENUM - 830065 - 0 - 0</v>
      </c>
    </row>
    <row r="120" spans="1:15" x14ac:dyDescent="0.25">
      <c r="A120" s="1">
        <v>909443</v>
      </c>
      <c r="B120" s="1" t="s">
        <v>60</v>
      </c>
      <c r="C120" s="1" t="s">
        <v>61</v>
      </c>
      <c r="D120" s="2">
        <v>44600.293012071757</v>
      </c>
      <c r="E120" s="1" t="s">
        <v>8</v>
      </c>
      <c r="F120" s="1">
        <v>1</v>
      </c>
      <c r="G120" s="1">
        <v>0</v>
      </c>
      <c r="H120" s="6">
        <f>INT(Query1[[#This Row],[EntryDateTime]])</f>
        <v>44600</v>
      </c>
      <c r="I120" s="1">
        <f>IF(Query1[[#This Row],[ItemType]]="EVAP KIT SF GEN IV",Query1[[#This Row],[OrderQty]]+I119,I119)</f>
        <v>79</v>
      </c>
      <c r="J120" s="1">
        <f>IF(Query1[[#This Row],[ItemType]]="EVAP KIT UNIVERSAL",Query1[[#This Row],[OrderQty]]+J119,J119)</f>
        <v>245</v>
      </c>
      <c r="K120" s="1">
        <f>Query1[[#This Row],[SF Running Total]]+Query1[[#This Row],[UNIV Running Total]]</f>
        <v>324</v>
      </c>
      <c r="L120">
        <f>VLOOKUP(Query1[[#This Row],[Description]],'kits to boards'!$B$2:$E$156,2,FALSE)</f>
        <v>830062</v>
      </c>
      <c r="M120">
        <f>VLOOKUP(Query1[[#This Row],[Description]],'kits to boards'!$B$2:$E$156,3,FALSE)</f>
        <v>0</v>
      </c>
      <c r="N120">
        <f>VLOOKUP(Query1[[#This Row],[Description]],'kits to boards'!$B$2:$E$156,4,FALSE)</f>
        <v>0</v>
      </c>
      <c r="O120" t="str">
        <f>CONCATENATE(Query1[[#This Row],[Description]]," - ",Query1[[#This Row],[MB1]]," - ",Query1[[#This Row],[MB2]]," - ",Query1[[#This Row],[MB3]])</f>
        <v>EVAP KIT 68-69 CHEVELLE WO AC - 830062 - 0 - 0</v>
      </c>
    </row>
    <row r="121" spans="1:15" x14ac:dyDescent="0.25">
      <c r="A121" s="1">
        <v>909448</v>
      </c>
      <c r="B121" s="1" t="s">
        <v>132</v>
      </c>
      <c r="C121" s="1" t="s">
        <v>133</v>
      </c>
      <c r="D121" s="2">
        <v>44600.31646681713</v>
      </c>
      <c r="E121" s="1" t="s">
        <v>8</v>
      </c>
      <c r="F121" s="1">
        <v>1</v>
      </c>
      <c r="G121" s="1">
        <v>0</v>
      </c>
      <c r="H121" s="6">
        <f>INT(Query1[[#This Row],[EntryDateTime]])</f>
        <v>44600</v>
      </c>
      <c r="I121" s="1">
        <f>IF(Query1[[#This Row],[ItemType]]="EVAP KIT SF GEN IV",Query1[[#This Row],[OrderQty]]+I120,I120)</f>
        <v>80</v>
      </c>
      <c r="J121" s="1">
        <f>IF(Query1[[#This Row],[ItemType]]="EVAP KIT UNIVERSAL",Query1[[#This Row],[OrderQty]]+J120,J120)</f>
        <v>245</v>
      </c>
      <c r="K121" s="1">
        <f>Query1[[#This Row],[SF Running Total]]+Query1[[#This Row],[UNIV Running Total]]</f>
        <v>325</v>
      </c>
      <c r="L121">
        <f>VLOOKUP(Query1[[#This Row],[Description]],'kits to boards'!$B$2:$E$156,2,FALSE)</f>
        <v>830005</v>
      </c>
      <c r="M121">
        <f>VLOOKUP(Query1[[#This Row],[Description]],'kits to boards'!$B$2:$E$156,3,FALSE)</f>
        <v>0</v>
      </c>
      <c r="N121">
        <f>VLOOKUP(Query1[[#This Row],[Description]],'kits to boards'!$B$2:$E$156,4,FALSE)</f>
        <v>0</v>
      </c>
      <c r="O121" t="str">
        <f>CONCATENATE(Query1[[#This Row],[Description]]," - ",Query1[[#This Row],[MB1]]," - ",Query1[[#This Row],[MB2]]," - ",Query1[[#This Row],[MB3]])</f>
        <v>EVAP KIT 61-62 IMPALA WO AC - 830005 - 0 - 0</v>
      </c>
    </row>
    <row r="122" spans="1:15" x14ac:dyDescent="0.25">
      <c r="A122" s="1">
        <v>909451</v>
      </c>
      <c r="B122" s="1" t="s">
        <v>92</v>
      </c>
      <c r="C122" s="1" t="s">
        <v>93</v>
      </c>
      <c r="D122" s="2">
        <v>44600.321879826392</v>
      </c>
      <c r="E122" s="1" t="s">
        <v>8</v>
      </c>
      <c r="F122" s="1">
        <v>1</v>
      </c>
      <c r="G122" s="1">
        <v>0</v>
      </c>
      <c r="H122" s="6">
        <f>INT(Query1[[#This Row],[EntryDateTime]])</f>
        <v>44600</v>
      </c>
      <c r="I122" s="1">
        <f>IF(Query1[[#This Row],[ItemType]]="EVAP KIT SF GEN IV",Query1[[#This Row],[OrderQty]]+I121,I121)</f>
        <v>81</v>
      </c>
      <c r="J122" s="1">
        <f>IF(Query1[[#This Row],[ItemType]]="EVAP KIT UNIVERSAL",Query1[[#This Row],[OrderQty]]+J121,J121)</f>
        <v>245</v>
      </c>
      <c r="K122" s="1">
        <f>Query1[[#This Row],[SF Running Total]]+Query1[[#This Row],[UNIV Running Total]]</f>
        <v>326</v>
      </c>
      <c r="L122">
        <f>VLOOKUP(Query1[[#This Row],[Description]],'kits to boards'!$B$2:$E$156,2,FALSE)</f>
        <v>830063</v>
      </c>
      <c r="M122">
        <f>VLOOKUP(Query1[[#This Row],[Description]],'kits to boards'!$B$2:$E$156,3,FALSE)</f>
        <v>0</v>
      </c>
      <c r="N122">
        <f>VLOOKUP(Query1[[#This Row],[Description]],'kits to boards'!$B$2:$E$156,4,FALSE)</f>
        <v>0</v>
      </c>
      <c r="O122" t="str">
        <f>CONCATENATE(Query1[[#This Row],[Description]]," - ",Query1[[#This Row],[MB1]]," - ",Query1[[#This Row],[MB2]]," - ",Query1[[#This Row],[MB3]])</f>
        <v>EVAP KIT 50-53 CHEV P-UP GEN IV - 830063 - 0 - 0</v>
      </c>
    </row>
    <row r="123" spans="1:15" x14ac:dyDescent="0.25">
      <c r="A123" s="1">
        <v>909454</v>
      </c>
      <c r="B123" s="1" t="s">
        <v>30</v>
      </c>
      <c r="C123" s="1" t="s">
        <v>31</v>
      </c>
      <c r="D123" s="2">
        <v>44600.331267592592</v>
      </c>
      <c r="E123" s="1" t="s">
        <v>8</v>
      </c>
      <c r="F123" s="1">
        <v>1</v>
      </c>
      <c r="G123" s="1">
        <v>0</v>
      </c>
      <c r="H123" s="6">
        <f>INT(Query1[[#This Row],[EntryDateTime]])</f>
        <v>44600</v>
      </c>
      <c r="I123" s="1">
        <f>IF(Query1[[#This Row],[ItemType]]="EVAP KIT SF GEN IV",Query1[[#This Row],[OrderQty]]+I122,I122)</f>
        <v>82</v>
      </c>
      <c r="J123" s="1">
        <f>IF(Query1[[#This Row],[ItemType]]="EVAP KIT UNIVERSAL",Query1[[#This Row],[OrderQty]]+J122,J122)</f>
        <v>245</v>
      </c>
      <c r="K123" s="1">
        <f>Query1[[#This Row],[SF Running Total]]+Query1[[#This Row],[UNIV Running Total]]</f>
        <v>327</v>
      </c>
      <c r="L123">
        <f>VLOOKUP(Query1[[#This Row],[Description]],'kits to boards'!$B$2:$E$156,2,FALSE)</f>
        <v>830054</v>
      </c>
      <c r="M123">
        <f>VLOOKUP(Query1[[#This Row],[Description]],'kits to boards'!$B$2:$E$156,3,FALSE)</f>
        <v>0</v>
      </c>
      <c r="N123">
        <f>VLOOKUP(Query1[[#This Row],[Description]],'kits to boards'!$B$2:$E$156,4,FALSE)</f>
        <v>0</v>
      </c>
      <c r="O123" t="str">
        <f>CONCATENATE(Query1[[#This Row],[Description]]," - ",Query1[[#This Row],[MB1]]," - ",Query1[[#This Row],[MB2]]," - ",Query1[[#This Row],[MB3]])</f>
        <v>EVAP KIT 55-56 CHEVY 4-VENT - 830054 - 0 - 0</v>
      </c>
    </row>
    <row r="124" spans="1:15" x14ac:dyDescent="0.25">
      <c r="A124" s="1">
        <v>909459</v>
      </c>
      <c r="B124" s="1" t="s">
        <v>24</v>
      </c>
      <c r="C124" s="1" t="s">
        <v>25</v>
      </c>
      <c r="D124" s="2">
        <v>44600.332051307872</v>
      </c>
      <c r="E124" s="1" t="s">
        <v>11</v>
      </c>
      <c r="F124" s="1">
        <v>12</v>
      </c>
      <c r="G124" s="1">
        <v>0</v>
      </c>
      <c r="H124" s="6">
        <f>INT(Query1[[#This Row],[EntryDateTime]])</f>
        <v>44600</v>
      </c>
      <c r="I124" s="1">
        <f>IF(Query1[[#This Row],[ItemType]]="EVAP KIT SF GEN IV",Query1[[#This Row],[OrderQty]]+I123,I123)</f>
        <v>82</v>
      </c>
      <c r="J124" s="1">
        <f>IF(Query1[[#This Row],[ItemType]]="EVAP KIT UNIVERSAL",Query1[[#This Row],[OrderQty]]+J123,J123)</f>
        <v>257</v>
      </c>
      <c r="K124" s="1">
        <f>Query1[[#This Row],[SF Running Total]]+Query1[[#This Row],[UNIV Running Total]]</f>
        <v>339</v>
      </c>
      <c r="L124">
        <f>VLOOKUP(Query1[[#This Row],[Description]],'kits to boards'!$B$2:$E$156,2,FALSE)</f>
        <v>830029</v>
      </c>
      <c r="M124">
        <f>VLOOKUP(Query1[[#This Row],[Description]],'kits to boards'!$B$2:$E$156,3,FALSE)</f>
        <v>830030</v>
      </c>
      <c r="N124">
        <f>VLOOKUP(Query1[[#This Row],[Description]],'kits to boards'!$B$2:$E$156,4,FALSE)</f>
        <v>0</v>
      </c>
      <c r="O124" t="str">
        <f>CONCATENATE(Query1[[#This Row],[Description]]," - ",Query1[[#This Row],[MB1]]," - ",Query1[[#This Row],[MB2]]," - ",Query1[[#This Row],[MB3]])</f>
        <v>ComPac GEN II W/DEF - 830029 - 830030 - 0</v>
      </c>
    </row>
    <row r="125" spans="1:15" x14ac:dyDescent="0.25">
      <c r="A125" s="1">
        <v>909459</v>
      </c>
      <c r="B125" s="1" t="s">
        <v>104</v>
      </c>
      <c r="C125" s="1" t="s">
        <v>105</v>
      </c>
      <c r="D125" s="2">
        <v>44600.332254594905</v>
      </c>
      <c r="E125" s="1" t="s">
        <v>11</v>
      </c>
      <c r="F125" s="1">
        <v>15</v>
      </c>
      <c r="G125" s="1">
        <v>0</v>
      </c>
      <c r="H125" s="6">
        <f>INT(Query1[[#This Row],[EntryDateTime]])</f>
        <v>44600</v>
      </c>
      <c r="I125" s="1">
        <f>IF(Query1[[#This Row],[ItemType]]="EVAP KIT SF GEN IV",Query1[[#This Row],[OrderQty]]+I124,I124)</f>
        <v>82</v>
      </c>
      <c r="J125" s="1">
        <f>IF(Query1[[#This Row],[ItemType]]="EVAP KIT UNIVERSAL",Query1[[#This Row],[OrderQty]]+J124,J124)</f>
        <v>272</v>
      </c>
      <c r="K125" s="1">
        <f>Query1[[#This Row],[SF Running Total]]+Query1[[#This Row],[UNIV Running Total]]</f>
        <v>354</v>
      </c>
      <c r="L125">
        <f>VLOOKUP(Query1[[#This Row],[Description]],'kits to boards'!$B$2:$E$156,2,FALSE)</f>
        <v>0</v>
      </c>
      <c r="M125">
        <f>VLOOKUP(Query1[[#This Row],[Description]],'kits to boards'!$B$2:$E$156,3,FALSE)</f>
        <v>0</v>
      </c>
      <c r="N125">
        <f>VLOOKUP(Query1[[#This Row],[Description]],'kits to boards'!$B$2:$E$156,4,FALSE)</f>
        <v>0</v>
      </c>
      <c r="O125" t="str">
        <f>CONCATENATE(Query1[[#This Row],[Description]]," - ",Query1[[#This Row],[MB1]]," - ",Query1[[#This Row],[MB2]]," - ",Query1[[#This Row],[MB3]])</f>
        <v>HERITAGE BRUSHED EVAP KIT HEAT/COOL - 0 - 0 - 0</v>
      </c>
    </row>
    <row r="126" spans="1:15" x14ac:dyDescent="0.25">
      <c r="A126" s="1">
        <v>909461</v>
      </c>
      <c r="B126" s="1" t="s">
        <v>50</v>
      </c>
      <c r="C126" s="1" t="s">
        <v>51</v>
      </c>
      <c r="D126" s="2">
        <v>44600.334498692129</v>
      </c>
      <c r="E126" s="1" t="s">
        <v>8</v>
      </c>
      <c r="F126" s="1">
        <v>1</v>
      </c>
      <c r="G126" s="1">
        <v>0</v>
      </c>
      <c r="H126" s="6">
        <f>INT(Query1[[#This Row],[EntryDateTime]])</f>
        <v>44600</v>
      </c>
      <c r="I126" s="1">
        <f>IF(Query1[[#This Row],[ItemType]]="EVAP KIT SF GEN IV",Query1[[#This Row],[OrderQty]]+I125,I125)</f>
        <v>83</v>
      </c>
      <c r="J126" s="1">
        <f>IF(Query1[[#This Row],[ItemType]]="EVAP KIT UNIVERSAL",Query1[[#This Row],[OrderQty]]+J125,J125)</f>
        <v>272</v>
      </c>
      <c r="K126" s="1">
        <f>Query1[[#This Row],[SF Running Total]]+Query1[[#This Row],[UNIV Running Total]]</f>
        <v>355</v>
      </c>
      <c r="L126">
        <f>VLOOKUP(Query1[[#This Row],[Description]],'kits to boards'!$B$2:$E$156,2,FALSE)</f>
        <v>830043</v>
      </c>
      <c r="M126">
        <f>VLOOKUP(Query1[[#This Row],[Description]],'kits to boards'!$B$2:$E$156,3,FALSE)</f>
        <v>0</v>
      </c>
      <c r="N126">
        <f>VLOOKUP(Query1[[#This Row],[Description]],'kits to boards'!$B$2:$E$156,4,FALSE)</f>
        <v>0</v>
      </c>
      <c r="O126" t="str">
        <f>CONCATENATE(Query1[[#This Row],[Description]]," - ",Query1[[#This Row],[MB1]]," - ",Query1[[#This Row],[MB2]]," - ",Query1[[#This Row],[MB3]])</f>
        <v>EVAP KIT 69-74 NOVA WO AC - 830043 - 0 - 0</v>
      </c>
    </row>
    <row r="127" spans="1:15" x14ac:dyDescent="0.25">
      <c r="A127" s="1">
        <v>909460</v>
      </c>
      <c r="B127" s="1" t="s">
        <v>128</v>
      </c>
      <c r="C127" s="1" t="s">
        <v>129</v>
      </c>
      <c r="D127" s="2">
        <v>44600.337871180556</v>
      </c>
      <c r="E127" s="1" t="s">
        <v>8</v>
      </c>
      <c r="F127" s="1">
        <v>1</v>
      </c>
      <c r="G127" s="1">
        <v>0</v>
      </c>
      <c r="H127" s="6">
        <f>INT(Query1[[#This Row],[EntryDateTime]])</f>
        <v>44600</v>
      </c>
      <c r="I127" s="1">
        <f>IF(Query1[[#This Row],[ItemType]]="EVAP KIT SF GEN IV",Query1[[#This Row],[OrderQty]]+I126,I126)</f>
        <v>84</v>
      </c>
      <c r="J127" s="1">
        <f>IF(Query1[[#This Row],[ItemType]]="EVAP KIT UNIVERSAL",Query1[[#This Row],[OrderQty]]+J126,J126)</f>
        <v>272</v>
      </c>
      <c r="K127" s="1">
        <f>Query1[[#This Row],[SF Running Total]]+Query1[[#This Row],[UNIV Running Total]]</f>
        <v>356</v>
      </c>
      <c r="L127">
        <f>VLOOKUP(Query1[[#This Row],[Description]],'kits to boards'!$B$2:$E$156,2,FALSE)</f>
        <v>830036</v>
      </c>
      <c r="M127">
        <f>VLOOKUP(Query1[[#This Row],[Description]],'kits to boards'!$B$2:$E$156,3,FALSE)</f>
        <v>830039</v>
      </c>
      <c r="N127">
        <f>VLOOKUP(Query1[[#This Row],[Description]],'kits to boards'!$B$2:$E$156,4,FALSE)</f>
        <v>0</v>
      </c>
      <c r="O127" t="str">
        <f>CONCATENATE(Query1[[#This Row],[Description]]," - ",Query1[[#This Row],[MB1]]," - ",Query1[[#This Row],[MB2]]," - ",Query1[[#This Row],[MB3]])</f>
        <v>EVAP KIT 63-66 VETTE WO AC - 830036 - 830039 - 0</v>
      </c>
    </row>
    <row r="128" spans="1:15" x14ac:dyDescent="0.25">
      <c r="A128" s="1">
        <v>909472</v>
      </c>
      <c r="B128" s="1" t="s">
        <v>42</v>
      </c>
      <c r="C128" s="1" t="s">
        <v>43</v>
      </c>
      <c r="D128" s="2">
        <v>44600.345346064816</v>
      </c>
      <c r="E128" s="1" t="s">
        <v>8</v>
      </c>
      <c r="F128" s="1">
        <v>1</v>
      </c>
      <c r="G128" s="1">
        <v>0</v>
      </c>
      <c r="H128" s="6">
        <f>INT(Query1[[#This Row],[EntryDateTime]])</f>
        <v>44600</v>
      </c>
      <c r="I128" s="1">
        <f>IF(Query1[[#This Row],[ItemType]]="EVAP KIT SF GEN IV",Query1[[#This Row],[OrderQty]]+I127,I127)</f>
        <v>85</v>
      </c>
      <c r="J128" s="1">
        <f>IF(Query1[[#This Row],[ItemType]]="EVAP KIT UNIVERSAL",Query1[[#This Row],[OrderQty]]+J127,J127)</f>
        <v>272</v>
      </c>
      <c r="K128" s="1">
        <f>Query1[[#This Row],[SF Running Total]]+Query1[[#This Row],[UNIV Running Total]]</f>
        <v>357</v>
      </c>
      <c r="L128">
        <f>VLOOKUP(Query1[[#This Row],[Description]],'kits to boards'!$B$2:$E$156,2,FALSE)</f>
        <v>830014</v>
      </c>
      <c r="M128">
        <f>VLOOKUP(Query1[[#This Row],[Description]],'kits to boards'!$B$2:$E$156,3,FALSE)</f>
        <v>0</v>
      </c>
      <c r="N128">
        <f>VLOOKUP(Query1[[#This Row],[Description]],'kits to boards'!$B$2:$E$156,4,FALSE)</f>
        <v>0</v>
      </c>
      <c r="O128" t="str">
        <f>CONCATENATE(Query1[[#This Row],[Description]]," - ",Query1[[#This Row],[MB1]]," - ",Query1[[#This Row],[MB2]]," - ",Query1[[#This Row],[MB3]])</f>
        <v>EVAP KIT 67-72 CHEV P-UP WO AC - 830014 - 0 - 0</v>
      </c>
    </row>
    <row r="129" spans="1:15" x14ac:dyDescent="0.25">
      <c r="A129" s="1">
        <v>909474</v>
      </c>
      <c r="B129" s="1" t="s">
        <v>134</v>
      </c>
      <c r="C129" s="1" t="s">
        <v>135</v>
      </c>
      <c r="D129" s="2">
        <v>44600.348641354169</v>
      </c>
      <c r="E129" s="1" t="s">
        <v>8</v>
      </c>
      <c r="F129" s="1">
        <v>1</v>
      </c>
      <c r="G129" s="1">
        <v>0</v>
      </c>
      <c r="H129" s="6">
        <f>INT(Query1[[#This Row],[EntryDateTime]])</f>
        <v>44600</v>
      </c>
      <c r="I129" s="1">
        <f>IF(Query1[[#This Row],[ItemType]]="EVAP KIT SF GEN IV",Query1[[#This Row],[OrderQty]]+I128,I128)</f>
        <v>86</v>
      </c>
      <c r="J129" s="1">
        <f>IF(Query1[[#This Row],[ItemType]]="EVAP KIT UNIVERSAL",Query1[[#This Row],[OrderQty]]+J128,J128)</f>
        <v>272</v>
      </c>
      <c r="K129" s="1">
        <f>Query1[[#This Row],[SF Running Total]]+Query1[[#This Row],[UNIV Running Total]]</f>
        <v>358</v>
      </c>
      <c r="L129">
        <f>VLOOKUP(Query1[[#This Row],[Description]],'kits to boards'!$B$2:$E$156,2,FALSE)</f>
        <v>830007</v>
      </c>
      <c r="M129">
        <f>VLOOKUP(Query1[[#This Row],[Description]],'kits to boards'!$B$2:$E$156,3,FALSE)</f>
        <v>0</v>
      </c>
      <c r="N129">
        <f>VLOOKUP(Query1[[#This Row],[Description]],'kits to boards'!$B$2:$E$156,4,FALSE)</f>
        <v>0</v>
      </c>
      <c r="O129" t="str">
        <f>CONCATENATE(Query1[[#This Row],[Description]]," - ",Query1[[#This Row],[MB1]]," - ",Query1[[#This Row],[MB2]]," - ",Query1[[#This Row],[MB3]])</f>
        <v>EVAP KIT 64 IMPALA WO AC - 830007 - 0 - 0</v>
      </c>
    </row>
    <row r="130" spans="1:15" x14ac:dyDescent="0.25">
      <c r="A130" s="1">
        <v>909478</v>
      </c>
      <c r="B130" s="1" t="s">
        <v>94</v>
      </c>
      <c r="C130" s="1" t="s">
        <v>95</v>
      </c>
      <c r="D130" s="2">
        <v>44600.356792673614</v>
      </c>
      <c r="E130" s="1" t="s">
        <v>8</v>
      </c>
      <c r="F130" s="1">
        <v>1</v>
      </c>
      <c r="G130" s="1">
        <v>0</v>
      </c>
      <c r="H130" s="6">
        <f>INT(Query1[[#This Row],[EntryDateTime]])</f>
        <v>44600</v>
      </c>
      <c r="I130" s="1">
        <f>IF(Query1[[#This Row],[ItemType]]="EVAP KIT SF GEN IV",Query1[[#This Row],[OrderQty]]+I129,I129)</f>
        <v>87</v>
      </c>
      <c r="J130" s="1">
        <f>IF(Query1[[#This Row],[ItemType]]="EVAP KIT UNIVERSAL",Query1[[#This Row],[OrderQty]]+J129,J129)</f>
        <v>272</v>
      </c>
      <c r="K130" s="1">
        <f>Query1[[#This Row],[SF Running Total]]+Query1[[#This Row],[UNIV Running Total]]</f>
        <v>359</v>
      </c>
      <c r="L130">
        <f>VLOOKUP(Query1[[#This Row],[Description]],'kits to boards'!$B$2:$E$156,2,FALSE)</f>
        <v>830076</v>
      </c>
      <c r="M130">
        <f>VLOOKUP(Query1[[#This Row],[Description]],'kits to boards'!$B$2:$E$156,3,FALSE)</f>
        <v>0</v>
      </c>
      <c r="N130">
        <f>VLOOKUP(Query1[[#This Row],[Description]],'kits to boards'!$B$2:$E$156,4,FALSE)</f>
        <v>0</v>
      </c>
      <c r="O130" t="str">
        <f>CONCATENATE(Query1[[#This Row],[Description]]," - ",Query1[[#This Row],[MB1]]," - ",Query1[[#This Row],[MB2]]," - ",Query1[[#This Row],[MB3]])</f>
        <v>EVAP KIT 64 1/2- 66 MUSTANG  - 830076 - 0 - 0</v>
      </c>
    </row>
    <row r="131" spans="1:15" x14ac:dyDescent="0.25">
      <c r="A131" s="1">
        <v>909483</v>
      </c>
      <c r="B131" s="1" t="s">
        <v>64</v>
      </c>
      <c r="C131" s="1" t="s">
        <v>65</v>
      </c>
      <c r="D131" s="2">
        <v>44600.361851354166</v>
      </c>
      <c r="E131" s="1" t="s">
        <v>8</v>
      </c>
      <c r="F131" s="1">
        <v>1</v>
      </c>
      <c r="G131" s="1">
        <v>0</v>
      </c>
      <c r="H131" s="6">
        <f>INT(Query1[[#This Row],[EntryDateTime]])</f>
        <v>44600</v>
      </c>
      <c r="I131" s="1">
        <f>IF(Query1[[#This Row],[ItemType]]="EVAP KIT SF GEN IV",Query1[[#This Row],[OrderQty]]+I130,I130)</f>
        <v>88</v>
      </c>
      <c r="J131" s="1">
        <f>IF(Query1[[#This Row],[ItemType]]="EVAP KIT UNIVERSAL",Query1[[#This Row],[OrderQty]]+J130,J130)</f>
        <v>272</v>
      </c>
      <c r="K131" s="1">
        <f>Query1[[#This Row],[SF Running Total]]+Query1[[#This Row],[UNIV Running Total]]</f>
        <v>360</v>
      </c>
      <c r="L131">
        <f>VLOOKUP(Query1[[#This Row],[Description]],'kits to boards'!$B$2:$E$156,2,FALSE)</f>
        <v>830067</v>
      </c>
      <c r="M131">
        <f>VLOOKUP(Query1[[#This Row],[Description]],'kits to boards'!$B$2:$E$156,3,FALSE)</f>
        <v>0</v>
      </c>
      <c r="N131">
        <f>VLOOKUP(Query1[[#This Row],[Description]],'kits to boards'!$B$2:$E$156,4,FALSE)</f>
        <v>0</v>
      </c>
      <c r="O131" t="str">
        <f>CONCATENATE(Query1[[#This Row],[Description]]," - ",Query1[[#This Row],[MB1]]," - ",Query1[[#This Row],[MB2]]," - ",Query1[[#This Row],[MB3]])</f>
        <v>EVAP KIT 59-60 CHEV CAR 4-LEVER - 830067 - 0 - 0</v>
      </c>
    </row>
    <row r="132" spans="1:15" x14ac:dyDescent="0.25">
      <c r="A132" s="1">
        <v>909493</v>
      </c>
      <c r="B132" s="1" t="s">
        <v>152</v>
      </c>
      <c r="C132" s="1" t="s">
        <v>153</v>
      </c>
      <c r="D132" s="2">
        <v>44600.369012418982</v>
      </c>
      <c r="E132" s="1" t="s">
        <v>8</v>
      </c>
      <c r="F132" s="1">
        <v>1</v>
      </c>
      <c r="G132" s="1">
        <v>0</v>
      </c>
      <c r="H132" s="6">
        <f>INT(Query1[[#This Row],[EntryDateTime]])</f>
        <v>44600</v>
      </c>
      <c r="I132" s="1">
        <f>IF(Query1[[#This Row],[ItemType]]="EVAP KIT SF GEN IV",Query1[[#This Row],[OrderQty]]+I131,I131)</f>
        <v>89</v>
      </c>
      <c r="J132" s="1">
        <f>IF(Query1[[#This Row],[ItemType]]="EVAP KIT UNIVERSAL",Query1[[#This Row],[OrderQty]]+J131,J131)</f>
        <v>272</v>
      </c>
      <c r="K132" s="1">
        <f>Query1[[#This Row],[SF Running Total]]+Query1[[#This Row],[UNIV Running Total]]</f>
        <v>361</v>
      </c>
      <c r="L132">
        <f>VLOOKUP(Query1[[#This Row],[Description]],'kits to boards'!$B$2:$E$156,2,FALSE)</f>
        <v>830034</v>
      </c>
      <c r="M132">
        <f>VLOOKUP(Query1[[#This Row],[Description]],'kits to boards'!$B$2:$E$156,3,FALSE)</f>
        <v>0</v>
      </c>
      <c r="N132">
        <f>VLOOKUP(Query1[[#This Row],[Description]],'kits to boards'!$B$2:$E$156,4,FALSE)</f>
        <v>0</v>
      </c>
      <c r="O132" t="str">
        <f>CONCATENATE(Query1[[#This Row],[Description]]," - ",Query1[[#This Row],[MB1]]," - ",Query1[[#This Row],[MB2]]," - ",Query1[[#This Row],[MB3]])</f>
        <v>EVAP KIT 64-67 GTO WO AC - 830034 - 0 - 0</v>
      </c>
    </row>
    <row r="133" spans="1:15" x14ac:dyDescent="0.25">
      <c r="A133" s="1">
        <v>906288</v>
      </c>
      <c r="B133" s="1" t="s">
        <v>52</v>
      </c>
      <c r="C133" s="1" t="s">
        <v>53</v>
      </c>
      <c r="D133" s="2">
        <v>44600.371831168981</v>
      </c>
      <c r="E133" s="1" t="s">
        <v>8</v>
      </c>
      <c r="F133" s="1">
        <v>1</v>
      </c>
      <c r="G133" s="1">
        <v>0</v>
      </c>
      <c r="H133" s="6">
        <f>INT(Query1[[#This Row],[EntryDateTime]])</f>
        <v>44600</v>
      </c>
      <c r="I133" s="1">
        <f>IF(Query1[[#This Row],[ItemType]]="EVAP KIT SF GEN IV",Query1[[#This Row],[OrderQty]]+I132,I132)</f>
        <v>90</v>
      </c>
      <c r="J133" s="1">
        <f>IF(Query1[[#This Row],[ItemType]]="EVAP KIT UNIVERSAL",Query1[[#This Row],[OrderQty]]+J132,J132)</f>
        <v>272</v>
      </c>
      <c r="K133" s="1">
        <f>Query1[[#This Row],[SF Running Total]]+Query1[[#This Row],[UNIV Running Total]]</f>
        <v>362</v>
      </c>
      <c r="L133">
        <f>VLOOKUP(Query1[[#This Row],[Description]],'kits to boards'!$B$2:$E$156,2,FALSE)</f>
        <v>830017</v>
      </c>
      <c r="M133">
        <f>VLOOKUP(Query1[[#This Row],[Description]],'kits to boards'!$B$2:$E$156,3,FALSE)</f>
        <v>830119</v>
      </c>
      <c r="N133">
        <f>VLOOKUP(Query1[[#This Row],[Description]],'kits to boards'!$B$2:$E$156,4,FALSE)</f>
        <v>830120</v>
      </c>
      <c r="O133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134" spans="1:15" x14ac:dyDescent="0.25">
      <c r="A134" s="1">
        <v>909495</v>
      </c>
      <c r="B134" s="1" t="s">
        <v>192</v>
      </c>
      <c r="C134" s="1" t="s">
        <v>193</v>
      </c>
      <c r="D134" s="2">
        <v>44600.371831446762</v>
      </c>
      <c r="E134" s="1" t="s">
        <v>8</v>
      </c>
      <c r="F134" s="1">
        <v>1</v>
      </c>
      <c r="G134" s="1">
        <v>0</v>
      </c>
      <c r="H134" s="6">
        <f>INT(Query1[[#This Row],[EntryDateTime]])</f>
        <v>44600</v>
      </c>
      <c r="I134" s="1">
        <f>IF(Query1[[#This Row],[ItemType]]="EVAP KIT SF GEN IV",Query1[[#This Row],[OrderQty]]+I133,I133)</f>
        <v>91</v>
      </c>
      <c r="J134" s="1">
        <f>IF(Query1[[#This Row],[ItemType]]="EVAP KIT UNIVERSAL",Query1[[#This Row],[OrderQty]]+J133,J133)</f>
        <v>272</v>
      </c>
      <c r="K134" s="1">
        <f>Query1[[#This Row],[SF Running Total]]+Query1[[#This Row],[UNIV Running Total]]</f>
        <v>363</v>
      </c>
      <c r="L134">
        <f>VLOOKUP(Query1[[#This Row],[Description]],'kits to boards'!$B$2:$E$156,2,FALSE)</f>
        <v>830094</v>
      </c>
      <c r="M134">
        <f>VLOOKUP(Query1[[#This Row],[Description]],'kits to boards'!$B$2:$E$156,3,FALSE)</f>
        <v>0</v>
      </c>
      <c r="N134">
        <f>VLOOKUP(Query1[[#This Row],[Description]],'kits to boards'!$B$2:$E$156,4,FALSE)</f>
        <v>0</v>
      </c>
      <c r="O134" t="str">
        <f>CONCATENATE(Query1[[#This Row],[Description]]," - ",Query1[[#This Row],[MB1]]," - ",Query1[[#This Row],[MB2]]," - ",Query1[[#This Row],[MB3]])</f>
        <v>EVAP KIT 69-73 VETTE W/AC - 830094 - 0 - 0</v>
      </c>
    </row>
    <row r="135" spans="1:15" x14ac:dyDescent="0.25">
      <c r="A135" s="1">
        <v>909498</v>
      </c>
      <c r="B135" s="1" t="s">
        <v>62</v>
      </c>
      <c r="C135" s="1" t="s">
        <v>63</v>
      </c>
      <c r="D135" s="2">
        <v>44600.373720601849</v>
      </c>
      <c r="E135" s="1" t="s">
        <v>8</v>
      </c>
      <c r="F135" s="1">
        <v>1</v>
      </c>
      <c r="G135" s="1">
        <v>0</v>
      </c>
      <c r="H135" s="6">
        <f>INT(Query1[[#This Row],[EntryDateTime]])</f>
        <v>44600</v>
      </c>
      <c r="I135" s="1">
        <f>IF(Query1[[#This Row],[ItemType]]="EVAP KIT SF GEN IV",Query1[[#This Row],[OrderQty]]+I134,I134)</f>
        <v>92</v>
      </c>
      <c r="J135" s="1">
        <f>IF(Query1[[#This Row],[ItemType]]="EVAP KIT UNIVERSAL",Query1[[#This Row],[OrderQty]]+J134,J134)</f>
        <v>272</v>
      </c>
      <c r="K135" s="1">
        <f>Query1[[#This Row],[SF Running Total]]+Query1[[#This Row],[UNIV Running Total]]</f>
        <v>364</v>
      </c>
      <c r="L135">
        <f>VLOOKUP(Query1[[#This Row],[Description]],'kits to boards'!$B$2:$E$156,2,FALSE)</f>
        <v>830079</v>
      </c>
      <c r="M135">
        <f>VLOOKUP(Query1[[#This Row],[Description]],'kits to boards'!$B$2:$E$156,3,FALSE)</f>
        <v>830046</v>
      </c>
      <c r="N135">
        <f>VLOOKUP(Query1[[#This Row],[Description]],'kits to boards'!$B$2:$E$156,4,FALSE)</f>
        <v>0</v>
      </c>
      <c r="O135" t="str">
        <f>CONCATENATE(Query1[[#This Row],[Description]]," - ",Query1[[#This Row],[MB1]]," - ",Query1[[#This Row],[MB2]]," - ",Query1[[#This Row],[MB3]])</f>
        <v>EVAP KIT 67-68 MUSTANG/COUGAR WO AC - 830079 - 830046 - 0</v>
      </c>
    </row>
    <row r="136" spans="1:15" x14ac:dyDescent="0.25">
      <c r="A136" s="1">
        <v>909501</v>
      </c>
      <c r="B136" s="1" t="s">
        <v>148</v>
      </c>
      <c r="C136" s="1" t="s">
        <v>149</v>
      </c>
      <c r="D136" s="2">
        <v>44600.377380208331</v>
      </c>
      <c r="E136" s="1" t="s">
        <v>8</v>
      </c>
      <c r="F136" s="1">
        <v>1</v>
      </c>
      <c r="G136" s="1">
        <v>0</v>
      </c>
      <c r="H136" s="6">
        <f>INT(Query1[[#This Row],[EntryDateTime]])</f>
        <v>44600</v>
      </c>
      <c r="I136" s="1">
        <f>IF(Query1[[#This Row],[ItemType]]="EVAP KIT SF GEN IV",Query1[[#This Row],[OrderQty]]+I135,I135)</f>
        <v>93</v>
      </c>
      <c r="J136" s="1">
        <f>IF(Query1[[#This Row],[ItemType]]="EVAP KIT UNIVERSAL",Query1[[#This Row],[OrderQty]]+J135,J135)</f>
        <v>272</v>
      </c>
      <c r="K136" s="1">
        <f>Query1[[#This Row],[SF Running Total]]+Query1[[#This Row],[UNIV Running Total]]</f>
        <v>365</v>
      </c>
      <c r="L136">
        <f>VLOOKUP(Query1[[#This Row],[Description]],'kits to boards'!$B$2:$E$156,2,FALSE)</f>
        <v>830098</v>
      </c>
      <c r="M136">
        <f>VLOOKUP(Query1[[#This Row],[Description]],'kits to boards'!$B$2:$E$156,3,FALSE)</f>
        <v>0</v>
      </c>
      <c r="N136">
        <f>VLOOKUP(Query1[[#This Row],[Description]],'kits to boards'!$B$2:$E$156,4,FALSE)</f>
        <v>0</v>
      </c>
      <c r="O136" t="str">
        <f>CONCATENATE(Query1[[#This Row],[Description]]," - ",Query1[[#This Row],[MB1]]," - ",Query1[[#This Row],[MB2]]," - ",Query1[[#This Row],[MB3]])</f>
        <v>EVAP KIT 77 VETTE W/AC - 830098 - 0 - 0</v>
      </c>
    </row>
    <row r="137" spans="1:15" x14ac:dyDescent="0.25">
      <c r="A137" s="1">
        <v>909504</v>
      </c>
      <c r="B137" s="1" t="s">
        <v>256</v>
      </c>
      <c r="C137" s="1" t="s">
        <v>257</v>
      </c>
      <c r="D137" s="2">
        <v>44600.381646180555</v>
      </c>
      <c r="E137" s="1" t="s">
        <v>8</v>
      </c>
      <c r="F137" s="1">
        <v>1</v>
      </c>
      <c r="G137" s="1">
        <v>0</v>
      </c>
      <c r="H137" s="6">
        <f>INT(Query1[[#This Row],[EntryDateTime]])</f>
        <v>44600</v>
      </c>
      <c r="I137" s="1">
        <f>IF(Query1[[#This Row],[ItemType]]="EVAP KIT SF GEN IV",Query1[[#This Row],[OrderQty]]+I136,I136)</f>
        <v>94</v>
      </c>
      <c r="J137" s="1">
        <f>IF(Query1[[#This Row],[ItemType]]="EVAP KIT UNIVERSAL",Query1[[#This Row],[OrderQty]]+J136,J136)</f>
        <v>272</v>
      </c>
      <c r="K137" s="1">
        <f>Query1[[#This Row],[SF Running Total]]+Query1[[#This Row],[UNIV Running Total]]</f>
        <v>366</v>
      </c>
      <c r="L137">
        <f>VLOOKUP(Query1[[#This Row],[Description]],'kits to boards'!$B$2:$E$156,2,FALSE)</f>
        <v>830025</v>
      </c>
      <c r="M137">
        <f>VLOOKUP(Query1[[#This Row],[Description]],'kits to boards'!$B$2:$E$156,3,FALSE)</f>
        <v>830022</v>
      </c>
      <c r="N137">
        <f>VLOOKUP(Query1[[#This Row],[Description]],'kits to boards'!$B$2:$E$156,4,FALSE)</f>
        <v>0</v>
      </c>
      <c r="O137" t="str">
        <f>CONCATENATE(Query1[[#This Row],[Description]]," - ",Query1[[#This Row],[MB1]]," - ",Query1[[#This Row],[MB2]]," - ",Query1[[#This Row],[MB3]])</f>
        <v>EVAP KIT 68-69 CUTLASS W/AC - 830025 - 830022 - 0</v>
      </c>
    </row>
    <row r="138" spans="1:15" x14ac:dyDescent="0.25">
      <c r="A138" s="1">
        <v>909505</v>
      </c>
      <c r="B138" s="1" t="s">
        <v>114</v>
      </c>
      <c r="C138" s="1" t="s">
        <v>115</v>
      </c>
      <c r="D138" s="2">
        <v>44600.384425613425</v>
      </c>
      <c r="E138" s="1" t="s">
        <v>8</v>
      </c>
      <c r="F138" s="1">
        <v>1</v>
      </c>
      <c r="G138" s="1">
        <v>0</v>
      </c>
      <c r="H138" s="6">
        <f>INT(Query1[[#This Row],[EntryDateTime]])</f>
        <v>44600</v>
      </c>
      <c r="I138" s="1">
        <f>IF(Query1[[#This Row],[ItemType]]="EVAP KIT SF GEN IV",Query1[[#This Row],[OrderQty]]+I137,I137)</f>
        <v>95</v>
      </c>
      <c r="J138" s="1">
        <f>IF(Query1[[#This Row],[ItemType]]="EVAP KIT UNIVERSAL",Query1[[#This Row],[OrderQty]]+J137,J137)</f>
        <v>272</v>
      </c>
      <c r="K138" s="1">
        <f>Query1[[#This Row],[SF Running Total]]+Query1[[#This Row],[UNIV Running Total]]</f>
        <v>367</v>
      </c>
      <c r="L138">
        <f>VLOOKUP(Query1[[#This Row],[Description]],'kits to boards'!$B$2:$E$156,2,FALSE)</f>
        <v>830059</v>
      </c>
      <c r="M138">
        <f>VLOOKUP(Query1[[#This Row],[Description]],'kits to boards'!$B$2:$E$156,3,FALSE)</f>
        <v>0</v>
      </c>
      <c r="N138">
        <f>VLOOKUP(Query1[[#This Row],[Description]],'kits to boards'!$B$2:$E$156,4,FALSE)</f>
        <v>0</v>
      </c>
      <c r="O138" t="str">
        <f>CONCATENATE(Query1[[#This Row],[Description]]," - ",Query1[[#This Row],[MB1]]," - ",Query1[[#This Row],[MB2]]," - ",Query1[[#This Row],[MB3]])</f>
        <v>EVAP KIT 66-67 CHEVELLE W/AC - 830059 - 0 - 0</v>
      </c>
    </row>
    <row r="139" spans="1:15" x14ac:dyDescent="0.25">
      <c r="A139" s="1">
        <v>909516</v>
      </c>
      <c r="B139" s="1" t="s">
        <v>18</v>
      </c>
      <c r="C139" s="1" t="s">
        <v>19</v>
      </c>
      <c r="D139" s="2">
        <v>44600.400141550926</v>
      </c>
      <c r="E139" s="1" t="s">
        <v>8</v>
      </c>
      <c r="F139" s="1">
        <v>1</v>
      </c>
      <c r="G139" s="1">
        <v>0</v>
      </c>
      <c r="H139" s="6">
        <f>INT(Query1[[#This Row],[EntryDateTime]])</f>
        <v>44600</v>
      </c>
      <c r="I139" s="1">
        <f>IF(Query1[[#This Row],[ItemType]]="EVAP KIT SF GEN IV",Query1[[#This Row],[OrderQty]]+I138,I138)</f>
        <v>96</v>
      </c>
      <c r="J139" s="1">
        <f>IF(Query1[[#This Row],[ItemType]]="EVAP KIT UNIVERSAL",Query1[[#This Row],[OrderQty]]+J138,J138)</f>
        <v>272</v>
      </c>
      <c r="K139" s="1">
        <f>Query1[[#This Row],[SF Running Total]]+Query1[[#This Row],[UNIV Running Total]]</f>
        <v>368</v>
      </c>
      <c r="L139">
        <f>VLOOKUP(Query1[[#This Row],[Description]],'kits to boards'!$B$2:$E$156,2,FALSE)</f>
        <v>830051</v>
      </c>
      <c r="M139">
        <f>VLOOKUP(Query1[[#This Row],[Description]],'kits to boards'!$B$2:$E$156,3,FALSE)</f>
        <v>0</v>
      </c>
      <c r="N139">
        <f>VLOOKUP(Query1[[#This Row],[Description]],'kits to boards'!$B$2:$E$156,4,FALSE)</f>
        <v>0</v>
      </c>
      <c r="O139" t="str">
        <f>CONCATENATE(Query1[[#This Row],[Description]]," - ",Query1[[#This Row],[MB1]]," - ",Query1[[#This Row],[MB2]]," - ",Query1[[#This Row],[MB3]])</f>
        <v>EVAP KIT 70-78 CAMARO W/AC - 830051 - 0 - 0</v>
      </c>
    </row>
    <row r="140" spans="1:15" x14ac:dyDescent="0.25">
      <c r="A140" s="1">
        <v>909533</v>
      </c>
      <c r="B140" s="1" t="s">
        <v>108</v>
      </c>
      <c r="C140" s="1" t="s">
        <v>109</v>
      </c>
      <c r="D140" s="2">
        <v>44600.416700462963</v>
      </c>
      <c r="E140" s="1" t="s">
        <v>8</v>
      </c>
      <c r="F140" s="1">
        <v>1</v>
      </c>
      <c r="G140" s="1">
        <v>0</v>
      </c>
      <c r="H140" s="6">
        <f>INT(Query1[[#This Row],[EntryDateTime]])</f>
        <v>44600</v>
      </c>
      <c r="I140" s="1">
        <f>IF(Query1[[#This Row],[ItemType]]="EVAP KIT SF GEN IV",Query1[[#This Row],[OrderQty]]+I139,I139)</f>
        <v>97</v>
      </c>
      <c r="J140" s="1">
        <f>IF(Query1[[#This Row],[ItemType]]="EVAP KIT UNIVERSAL",Query1[[#This Row],[OrderQty]]+J139,J139)</f>
        <v>272</v>
      </c>
      <c r="K140" s="1">
        <f>Query1[[#This Row],[SF Running Total]]+Query1[[#This Row],[UNIV Running Total]]</f>
        <v>369</v>
      </c>
      <c r="L140">
        <f>VLOOKUP(Query1[[#This Row],[Description]],'kits to boards'!$B$2:$E$156,2,FALSE)</f>
        <v>830105</v>
      </c>
      <c r="M140">
        <f>VLOOKUP(Query1[[#This Row],[Description]],'kits to boards'!$B$2:$E$156,3,FALSE)</f>
        <v>830106</v>
      </c>
      <c r="N140">
        <f>VLOOKUP(Query1[[#This Row],[Description]],'kits to boards'!$B$2:$E$156,4,FALSE)</f>
        <v>0</v>
      </c>
      <c r="O140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141" spans="1:15" x14ac:dyDescent="0.25">
      <c r="A141" s="1">
        <v>909523</v>
      </c>
      <c r="B141" s="1" t="s">
        <v>122</v>
      </c>
      <c r="C141" s="1" t="s">
        <v>123</v>
      </c>
      <c r="D141" s="2">
        <v>44600.416917361108</v>
      </c>
      <c r="E141" s="1" t="s">
        <v>8</v>
      </c>
      <c r="F141" s="1">
        <v>1</v>
      </c>
      <c r="G141" s="1">
        <v>0</v>
      </c>
      <c r="H141" s="6">
        <f>INT(Query1[[#This Row],[EntryDateTime]])</f>
        <v>44600</v>
      </c>
      <c r="I141" s="1">
        <f>IF(Query1[[#This Row],[ItemType]]="EVAP KIT SF GEN IV",Query1[[#This Row],[OrderQty]]+I140,I140)</f>
        <v>98</v>
      </c>
      <c r="J141" s="1">
        <f>IF(Query1[[#This Row],[ItemType]]="EVAP KIT UNIVERSAL",Query1[[#This Row],[OrderQty]]+J140,J140)</f>
        <v>272</v>
      </c>
      <c r="K141" s="1">
        <f>Query1[[#This Row],[SF Running Total]]+Query1[[#This Row],[UNIV Running Total]]</f>
        <v>370</v>
      </c>
      <c r="L141">
        <f>VLOOKUP(Query1[[#This Row],[Description]],'kits to boards'!$B$2:$E$156,2,FALSE)</f>
        <v>830027</v>
      </c>
      <c r="M141">
        <f>VLOOKUP(Query1[[#This Row],[Description]],'kits to boards'!$B$2:$E$156,3,FALSE)</f>
        <v>0</v>
      </c>
      <c r="N141">
        <f>VLOOKUP(Query1[[#This Row],[Description]],'kits to boards'!$B$2:$E$156,4,FALSE)</f>
        <v>0</v>
      </c>
      <c r="O141" t="str">
        <f>CONCATENATE(Query1[[#This Row],[Description]]," - ",Query1[[#This Row],[MB1]]," - ",Query1[[#This Row],[MB2]]," - ",Query1[[#This Row],[MB3]])</f>
        <v>EVAP KIT 70-72 CUTLASS W/AC - 830027 - 0 - 0</v>
      </c>
    </row>
    <row r="142" spans="1:15" x14ac:dyDescent="0.25">
      <c r="A142" s="1">
        <v>909537</v>
      </c>
      <c r="B142" s="1" t="s">
        <v>88</v>
      </c>
      <c r="C142" s="1" t="s">
        <v>89</v>
      </c>
      <c r="D142" s="2">
        <v>44600.417350266202</v>
      </c>
      <c r="E142" s="1" t="s">
        <v>8</v>
      </c>
      <c r="F142" s="1">
        <v>1</v>
      </c>
      <c r="G142" s="1">
        <v>0</v>
      </c>
      <c r="H142" s="6">
        <f>INT(Query1[[#This Row],[EntryDateTime]])</f>
        <v>44600</v>
      </c>
      <c r="I142" s="1">
        <f>IF(Query1[[#This Row],[ItemType]]="EVAP KIT SF GEN IV",Query1[[#This Row],[OrderQty]]+I141,I141)</f>
        <v>99</v>
      </c>
      <c r="J142" s="1">
        <f>IF(Query1[[#This Row],[ItemType]]="EVAP KIT UNIVERSAL",Query1[[#This Row],[OrderQty]]+J141,J141)</f>
        <v>272</v>
      </c>
      <c r="K142" s="1">
        <f>Query1[[#This Row],[SF Running Total]]+Query1[[#This Row],[UNIV Running Total]]</f>
        <v>371</v>
      </c>
      <c r="L142">
        <f>VLOOKUP(Query1[[#This Row],[Description]],'kits to boards'!$B$2:$E$156,2,FALSE)</f>
        <v>830003</v>
      </c>
      <c r="M142">
        <f>VLOOKUP(Query1[[#This Row],[Description]],'kits to boards'!$B$2:$E$156,3,FALSE)</f>
        <v>0</v>
      </c>
      <c r="N142">
        <f>VLOOKUP(Query1[[#This Row],[Description]],'kits to boards'!$B$2:$E$156,4,FALSE)</f>
        <v>0</v>
      </c>
      <c r="O142" t="str">
        <f>CONCATENATE(Query1[[#This Row],[Description]]," - ",Query1[[#This Row],[MB1]]," - ",Query1[[#This Row],[MB2]]," - ",Query1[[#This Row],[MB3]])</f>
        <v>EVAP KIT 81-87 CHEV P-UP WO AC - 830003 - 0 - 0</v>
      </c>
    </row>
    <row r="143" spans="1:15" x14ac:dyDescent="0.25">
      <c r="A143" s="1">
        <v>909544</v>
      </c>
      <c r="B143" s="1" t="s">
        <v>138</v>
      </c>
      <c r="C143" s="1" t="s">
        <v>139</v>
      </c>
      <c r="D143" s="2">
        <v>44600.421583599535</v>
      </c>
      <c r="E143" s="1" t="s">
        <v>11</v>
      </c>
      <c r="F143" s="1">
        <v>1</v>
      </c>
      <c r="G143" s="1">
        <v>0</v>
      </c>
      <c r="H143" s="6">
        <f>INT(Query1[[#This Row],[EntryDateTime]])</f>
        <v>44600</v>
      </c>
      <c r="I143" s="1">
        <f>IF(Query1[[#This Row],[ItemType]]="EVAP KIT SF GEN IV",Query1[[#This Row],[OrderQty]]+I142,I142)</f>
        <v>99</v>
      </c>
      <c r="J143" s="1">
        <f>IF(Query1[[#This Row],[ItemType]]="EVAP KIT UNIVERSAL",Query1[[#This Row],[OrderQty]]+J142,J142)</f>
        <v>273</v>
      </c>
      <c r="K143" s="1">
        <f>Query1[[#This Row],[SF Running Total]]+Query1[[#This Row],[UNIV Running Total]]</f>
        <v>372</v>
      </c>
      <c r="L143">
        <f>VLOOKUP(Query1[[#This Row],[Description]],'kits to boards'!$B$2:$E$156,2,FALSE)</f>
        <v>0</v>
      </c>
      <c r="M143">
        <f>VLOOKUP(Query1[[#This Row],[Description]],'kits to boards'!$B$2:$E$156,3,FALSE)</f>
        <v>0</v>
      </c>
      <c r="N143">
        <f>VLOOKUP(Query1[[#This Row],[Description]],'kits to boards'!$B$2:$E$156,4,FALSE)</f>
        <v>0</v>
      </c>
      <c r="O143" t="str">
        <f>CONCATENATE(Query1[[#This Row],[Description]]," - ",Query1[[#This Row],[MB1]]," - ",Query1[[#This Row],[MB2]]," - ",Query1[[#This Row],[MB3]])</f>
        <v>HERITAGE TURNED BLACK EVAP KIT HEAT/COOL - 0 - 0 - 0</v>
      </c>
    </row>
    <row r="144" spans="1:15" x14ac:dyDescent="0.25">
      <c r="A144" s="1">
        <v>909528</v>
      </c>
      <c r="B144" s="1" t="s">
        <v>66</v>
      </c>
      <c r="C144" s="1" t="s">
        <v>67</v>
      </c>
      <c r="D144" s="2">
        <v>44600.423087766205</v>
      </c>
      <c r="E144" s="1" t="s">
        <v>8</v>
      </c>
      <c r="F144" s="1">
        <v>1</v>
      </c>
      <c r="G144" s="1">
        <v>0</v>
      </c>
      <c r="H144" s="6">
        <f>INT(Query1[[#This Row],[EntryDateTime]])</f>
        <v>44600</v>
      </c>
      <c r="I144" s="1">
        <f>IF(Query1[[#This Row],[ItemType]]="EVAP KIT SF GEN IV",Query1[[#This Row],[OrderQty]]+I143,I143)</f>
        <v>100</v>
      </c>
      <c r="J144" s="1">
        <f>IF(Query1[[#This Row],[ItemType]]="EVAP KIT UNIVERSAL",Query1[[#This Row],[OrderQty]]+J143,J143)</f>
        <v>273</v>
      </c>
      <c r="K144" s="1">
        <f>Query1[[#This Row],[SF Running Total]]+Query1[[#This Row],[UNIV Running Total]]</f>
        <v>373</v>
      </c>
      <c r="L144">
        <f>VLOOKUP(Query1[[#This Row],[Description]],'kits to boards'!$B$2:$E$156,2,FALSE)</f>
        <v>830060</v>
      </c>
      <c r="M144">
        <f>VLOOKUP(Query1[[#This Row],[Description]],'kits to boards'!$B$2:$E$156,3,FALSE)</f>
        <v>0</v>
      </c>
      <c r="N144">
        <f>VLOOKUP(Query1[[#This Row],[Description]],'kits to boards'!$B$2:$E$156,4,FALSE)</f>
        <v>0</v>
      </c>
      <c r="O144" t="str">
        <f>CONCATENATE(Query1[[#This Row],[Description]]," - ",Query1[[#This Row],[MB1]]," - ",Query1[[#This Row],[MB2]]," - ",Query1[[#This Row],[MB3]])</f>
        <v>EVAP KIT 66-67 CHEVELLE WO AC - 830060 - 0 - 0</v>
      </c>
    </row>
    <row r="145" spans="1:15" x14ac:dyDescent="0.25">
      <c r="A145" s="1">
        <v>909547</v>
      </c>
      <c r="B145" s="1" t="s">
        <v>68</v>
      </c>
      <c r="C145" s="1" t="s">
        <v>69</v>
      </c>
      <c r="D145" s="2">
        <v>44600.424518020831</v>
      </c>
      <c r="E145" s="1" t="s">
        <v>8</v>
      </c>
      <c r="F145" s="1">
        <v>1</v>
      </c>
      <c r="G145" s="1">
        <v>0</v>
      </c>
      <c r="H145" s="6">
        <f>INT(Query1[[#This Row],[EntryDateTime]])</f>
        <v>44600</v>
      </c>
      <c r="I145" s="1">
        <f>IF(Query1[[#This Row],[ItemType]]="EVAP KIT SF GEN IV",Query1[[#This Row],[OrderQty]]+I144,I144)</f>
        <v>101</v>
      </c>
      <c r="J145" s="1">
        <f>IF(Query1[[#This Row],[ItemType]]="EVAP KIT UNIVERSAL",Query1[[#This Row],[OrderQty]]+J144,J144)</f>
        <v>273</v>
      </c>
      <c r="K145" s="1">
        <f>Query1[[#This Row],[SF Running Total]]+Query1[[#This Row],[UNIV Running Total]]</f>
        <v>374</v>
      </c>
      <c r="L145">
        <f>VLOOKUP(Query1[[#This Row],[Description]],'kits to boards'!$B$2:$E$156,2,FALSE)</f>
        <v>830010</v>
      </c>
      <c r="M145">
        <f>VLOOKUP(Query1[[#This Row],[Description]],'kits to boards'!$B$2:$E$156,3,FALSE)</f>
        <v>0</v>
      </c>
      <c r="N145">
        <f>VLOOKUP(Query1[[#This Row],[Description]],'kits to boards'!$B$2:$E$156,4,FALSE)</f>
        <v>0</v>
      </c>
      <c r="O145" t="str">
        <f>CONCATENATE(Query1[[#This Row],[Description]]," - ",Query1[[#This Row],[MB1]]," - ",Query1[[#This Row],[MB2]]," - ",Query1[[#This Row],[MB3]])</f>
        <v>EVAP KIT 70-72 CHEVELLE WO AC - 830010 - 0 - 0</v>
      </c>
    </row>
    <row r="146" spans="1:15" x14ac:dyDescent="0.25">
      <c r="A146" s="1">
        <v>909536</v>
      </c>
      <c r="B146" s="1" t="s">
        <v>52</v>
      </c>
      <c r="C146" s="1" t="s">
        <v>53</v>
      </c>
      <c r="D146" s="2">
        <v>44600.425676006947</v>
      </c>
      <c r="E146" s="1" t="s">
        <v>8</v>
      </c>
      <c r="F146" s="1">
        <v>1</v>
      </c>
      <c r="G146" s="1">
        <v>0</v>
      </c>
      <c r="H146" s="6">
        <f>INT(Query1[[#This Row],[EntryDateTime]])</f>
        <v>44600</v>
      </c>
      <c r="I146" s="1">
        <f>IF(Query1[[#This Row],[ItemType]]="EVAP KIT SF GEN IV",Query1[[#This Row],[OrderQty]]+I145,I145)</f>
        <v>102</v>
      </c>
      <c r="J146" s="1">
        <f>IF(Query1[[#This Row],[ItemType]]="EVAP KIT UNIVERSAL",Query1[[#This Row],[OrderQty]]+J145,J145)</f>
        <v>273</v>
      </c>
      <c r="K146" s="1">
        <f>Query1[[#This Row],[SF Running Total]]+Query1[[#This Row],[UNIV Running Total]]</f>
        <v>375</v>
      </c>
      <c r="L146">
        <f>VLOOKUP(Query1[[#This Row],[Description]],'kits to boards'!$B$2:$E$156,2,FALSE)</f>
        <v>830017</v>
      </c>
      <c r="M146">
        <f>VLOOKUP(Query1[[#This Row],[Description]],'kits to boards'!$B$2:$E$156,3,FALSE)</f>
        <v>830119</v>
      </c>
      <c r="N146">
        <f>VLOOKUP(Query1[[#This Row],[Description]],'kits to boards'!$B$2:$E$156,4,FALSE)</f>
        <v>830120</v>
      </c>
      <c r="O146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147" spans="1:15" x14ac:dyDescent="0.25">
      <c r="A147" s="1">
        <v>909549</v>
      </c>
      <c r="B147" s="1" t="s">
        <v>198</v>
      </c>
      <c r="C147" s="1" t="s">
        <v>199</v>
      </c>
      <c r="D147" s="2">
        <v>44600.427164849534</v>
      </c>
      <c r="E147" s="1" t="s">
        <v>8</v>
      </c>
      <c r="F147" s="1">
        <v>1</v>
      </c>
      <c r="G147" s="1">
        <v>0</v>
      </c>
      <c r="H147" s="6">
        <f>INT(Query1[[#This Row],[EntryDateTime]])</f>
        <v>44600</v>
      </c>
      <c r="I147" s="1">
        <f>IF(Query1[[#This Row],[ItemType]]="EVAP KIT SF GEN IV",Query1[[#This Row],[OrderQty]]+I146,I146)</f>
        <v>103</v>
      </c>
      <c r="J147" s="1">
        <f>IF(Query1[[#This Row],[ItemType]]="EVAP KIT UNIVERSAL",Query1[[#This Row],[OrderQty]]+J146,J146)</f>
        <v>273</v>
      </c>
      <c r="K147" s="1">
        <f>Query1[[#This Row],[SF Running Total]]+Query1[[#This Row],[UNIV Running Total]]</f>
        <v>376</v>
      </c>
      <c r="L147">
        <f>VLOOKUP(Query1[[#This Row],[Description]],'kits to boards'!$B$2:$E$156,2,FALSE)</f>
        <v>830042</v>
      </c>
      <c r="M147">
        <f>VLOOKUP(Query1[[#This Row],[Description]],'kits to boards'!$B$2:$E$156,3,FALSE)</f>
        <v>0</v>
      </c>
      <c r="N147">
        <f>VLOOKUP(Query1[[#This Row],[Description]],'kits to boards'!$B$2:$E$156,4,FALSE)</f>
        <v>0</v>
      </c>
      <c r="O147" t="str">
        <f>CONCATENATE(Query1[[#This Row],[Description]]," - ",Query1[[#This Row],[MB1]]," - ",Query1[[#This Row],[MB2]]," - ",Query1[[#This Row],[MB3]])</f>
        <v>EVAP KIT 68-83 TOYOTA FJ40 ULTRA HIGH PERF - 830042 - 0 - 0</v>
      </c>
    </row>
    <row r="148" spans="1:15" x14ac:dyDescent="0.25">
      <c r="A148" s="1">
        <v>909552</v>
      </c>
      <c r="B148" s="1" t="s">
        <v>116</v>
      </c>
      <c r="C148" s="1" t="s">
        <v>117</v>
      </c>
      <c r="D148" s="2">
        <v>44600.428127118059</v>
      </c>
      <c r="E148" s="1" t="s">
        <v>8</v>
      </c>
      <c r="F148" s="1">
        <v>1</v>
      </c>
      <c r="G148" s="1">
        <v>0</v>
      </c>
      <c r="H148" s="6">
        <f>INT(Query1[[#This Row],[EntryDateTime]])</f>
        <v>44600</v>
      </c>
      <c r="I148" s="1">
        <f>IF(Query1[[#This Row],[ItemType]]="EVAP KIT SF GEN IV",Query1[[#This Row],[OrderQty]]+I147,I147)</f>
        <v>104</v>
      </c>
      <c r="J148" s="1">
        <f>IF(Query1[[#This Row],[ItemType]]="EVAP KIT UNIVERSAL",Query1[[#This Row],[OrderQty]]+J147,J147)</f>
        <v>273</v>
      </c>
      <c r="K148" s="1">
        <f>Query1[[#This Row],[SF Running Total]]+Query1[[#This Row],[UNIV Running Total]]</f>
        <v>377</v>
      </c>
      <c r="L148">
        <f>VLOOKUP(Query1[[#This Row],[Description]],'kits to boards'!$B$2:$E$156,2,FALSE)</f>
        <v>830058</v>
      </c>
      <c r="M148">
        <f>VLOOKUP(Query1[[#This Row],[Description]],'kits to boards'!$B$2:$E$156,3,FALSE)</f>
        <v>0</v>
      </c>
      <c r="N148">
        <f>VLOOKUP(Query1[[#This Row],[Description]],'kits to boards'!$B$2:$E$156,4,FALSE)</f>
        <v>0</v>
      </c>
      <c r="O148" t="str">
        <f>CONCATENATE(Query1[[#This Row],[Description]]," - ",Query1[[#This Row],[MB1]]," - ",Query1[[#This Row],[MB2]]," - ",Query1[[#This Row],[MB3]])</f>
        <v>EVAP KIT 64-65 CHEVELLE WO AC - 830058 - 0 - 0</v>
      </c>
    </row>
    <row r="149" spans="1:15" x14ac:dyDescent="0.25">
      <c r="A149" s="1">
        <v>909554</v>
      </c>
      <c r="B149" s="1" t="s">
        <v>46</v>
      </c>
      <c r="C149" s="1" t="s">
        <v>47</v>
      </c>
      <c r="D149" s="2">
        <v>44600.429636539353</v>
      </c>
      <c r="E149" s="1" t="s">
        <v>8</v>
      </c>
      <c r="F149" s="1">
        <v>1</v>
      </c>
      <c r="G149" s="1">
        <v>0</v>
      </c>
      <c r="H149" s="6">
        <f>INT(Query1[[#This Row],[EntryDateTime]])</f>
        <v>44600</v>
      </c>
      <c r="I149" s="1">
        <f>IF(Query1[[#This Row],[ItemType]]="EVAP KIT SF GEN IV",Query1[[#This Row],[OrderQty]]+I148,I148)</f>
        <v>105</v>
      </c>
      <c r="J149" s="1">
        <f>IF(Query1[[#This Row],[ItemType]]="EVAP KIT UNIVERSAL",Query1[[#This Row],[OrderQty]]+J148,J148)</f>
        <v>273</v>
      </c>
      <c r="K149" s="1">
        <f>Query1[[#This Row],[SF Running Total]]+Query1[[#This Row],[UNIV Running Total]]</f>
        <v>378</v>
      </c>
      <c r="L149">
        <f>VLOOKUP(Query1[[#This Row],[Description]],'kits to boards'!$B$2:$E$156,2,FALSE)</f>
        <v>830018</v>
      </c>
      <c r="M149">
        <f>VLOOKUP(Query1[[#This Row],[Description]],'kits to boards'!$B$2:$E$156,3,FALSE)</f>
        <v>0</v>
      </c>
      <c r="N149">
        <f>VLOOKUP(Query1[[#This Row],[Description]],'kits to boards'!$B$2:$E$156,4,FALSE)</f>
        <v>0</v>
      </c>
      <c r="O149" t="str">
        <f>CONCATENATE(Query1[[#This Row],[Description]]," - ",Query1[[#This Row],[MB1]]," - ",Query1[[#This Row],[MB2]]," - ",Query1[[#This Row],[MB3]])</f>
        <v>EVAP KIT 68-72 FORD P-UP F-100 - 830018 - 0 - 0</v>
      </c>
    </row>
    <row r="150" spans="1:15" x14ac:dyDescent="0.25">
      <c r="A150" s="1">
        <v>909557</v>
      </c>
      <c r="B150" s="1" t="s">
        <v>36</v>
      </c>
      <c r="C150" s="1" t="s">
        <v>37</v>
      </c>
      <c r="D150" s="2">
        <v>44600.432756631948</v>
      </c>
      <c r="E150" s="1" t="s">
        <v>8</v>
      </c>
      <c r="F150" s="1">
        <v>1</v>
      </c>
      <c r="G150" s="1">
        <v>0</v>
      </c>
      <c r="H150" s="6">
        <f>INT(Query1[[#This Row],[EntryDateTime]])</f>
        <v>44600</v>
      </c>
      <c r="I150" s="1">
        <f>IF(Query1[[#This Row],[ItemType]]="EVAP KIT SF GEN IV",Query1[[#This Row],[OrderQty]]+I149,I149)</f>
        <v>106</v>
      </c>
      <c r="J150" s="1">
        <f>IF(Query1[[#This Row],[ItemType]]="EVAP KIT UNIVERSAL",Query1[[#This Row],[OrderQty]]+J149,J149)</f>
        <v>273</v>
      </c>
      <c r="K150" s="1">
        <f>Query1[[#This Row],[SF Running Total]]+Query1[[#This Row],[UNIV Running Total]]</f>
        <v>379</v>
      </c>
      <c r="L150">
        <f>VLOOKUP(Query1[[#This Row],[Description]],'kits to boards'!$B$2:$E$156,2,FALSE)</f>
        <v>830015</v>
      </c>
      <c r="M150">
        <f>VLOOKUP(Query1[[#This Row],[Description]],'kits to boards'!$B$2:$E$156,3,FALSE)</f>
        <v>0</v>
      </c>
      <c r="N150">
        <f>VLOOKUP(Query1[[#This Row],[Description]],'kits to boards'!$B$2:$E$156,4,FALSE)</f>
        <v>0</v>
      </c>
      <c r="O150" t="str">
        <f>CONCATENATE(Query1[[#This Row],[Description]]," - ",Query1[[#This Row],[MB1]]," - ",Query1[[#This Row],[MB2]]," - ",Query1[[#This Row],[MB3]])</f>
        <v>EVAP KIT 64-66 CHEV P-UP WO AC W/STD - 830015 - 0 - 0</v>
      </c>
    </row>
    <row r="151" spans="1:15" x14ac:dyDescent="0.25">
      <c r="A151" s="1">
        <v>909560</v>
      </c>
      <c r="B151" s="1" t="s">
        <v>224</v>
      </c>
      <c r="C151" s="1" t="s">
        <v>225</v>
      </c>
      <c r="D151" s="2">
        <v>44600.435380011571</v>
      </c>
      <c r="E151" s="1" t="s">
        <v>8</v>
      </c>
      <c r="F151" s="1">
        <v>1</v>
      </c>
      <c r="G151" s="1">
        <v>0</v>
      </c>
      <c r="H151" s="6">
        <f>INT(Query1[[#This Row],[EntryDateTime]])</f>
        <v>44600</v>
      </c>
      <c r="I151" s="1">
        <f>IF(Query1[[#This Row],[ItemType]]="EVAP KIT SF GEN IV",Query1[[#This Row],[OrderQty]]+I150,I150)</f>
        <v>107</v>
      </c>
      <c r="J151" s="1">
        <f>IF(Query1[[#This Row],[ItemType]]="EVAP KIT UNIVERSAL",Query1[[#This Row],[OrderQty]]+J150,J150)</f>
        <v>273</v>
      </c>
      <c r="K151" s="1">
        <f>Query1[[#This Row],[SF Running Total]]+Query1[[#This Row],[UNIV Running Total]]</f>
        <v>380</v>
      </c>
      <c r="L151">
        <f>VLOOKUP(Query1[[#This Row],[Description]],'kits to boards'!$B$2:$E$156,2,FALSE)</f>
        <v>830124</v>
      </c>
      <c r="M151">
        <f>VLOOKUP(Query1[[#This Row],[Description]],'kits to boards'!$B$2:$E$156,3,FALSE)</f>
        <v>0</v>
      </c>
      <c r="N151">
        <f>VLOOKUP(Query1[[#This Row],[Description]],'kits to boards'!$B$2:$E$156,4,FALSE)</f>
        <v>0</v>
      </c>
      <c r="O151" t="str">
        <f>CONCATENATE(Query1[[#This Row],[Description]]," - ",Query1[[#This Row],[MB1]]," - ",Query1[[#This Row],[MB2]]," - ",Query1[[#This Row],[MB3]])</f>
        <v>EVAP KIT 70-72 GTO WO/AC - 830124 - 0 - 0</v>
      </c>
    </row>
    <row r="152" spans="1:15" x14ac:dyDescent="0.25">
      <c r="A152" s="1">
        <v>909567</v>
      </c>
      <c r="B152" s="1" t="s">
        <v>52</v>
      </c>
      <c r="C152" s="1" t="s">
        <v>53</v>
      </c>
      <c r="D152" s="2">
        <v>44600.440182986109</v>
      </c>
      <c r="E152" s="1" t="s">
        <v>8</v>
      </c>
      <c r="F152" s="1">
        <v>1</v>
      </c>
      <c r="G152" s="1">
        <v>0</v>
      </c>
      <c r="H152" s="6">
        <f>INT(Query1[[#This Row],[EntryDateTime]])</f>
        <v>44600</v>
      </c>
      <c r="I152" s="1">
        <f>IF(Query1[[#This Row],[ItemType]]="EVAP KIT SF GEN IV",Query1[[#This Row],[OrderQty]]+I151,I151)</f>
        <v>108</v>
      </c>
      <c r="J152" s="1">
        <f>IF(Query1[[#This Row],[ItemType]]="EVAP KIT UNIVERSAL",Query1[[#This Row],[OrderQty]]+J151,J151)</f>
        <v>273</v>
      </c>
      <c r="K152" s="1">
        <f>Query1[[#This Row],[SF Running Total]]+Query1[[#This Row],[UNIV Running Total]]</f>
        <v>381</v>
      </c>
      <c r="L152">
        <f>VLOOKUP(Query1[[#This Row],[Description]],'kits to boards'!$B$2:$E$156,2,FALSE)</f>
        <v>830017</v>
      </c>
      <c r="M152">
        <f>VLOOKUP(Query1[[#This Row],[Description]],'kits to boards'!$B$2:$E$156,3,FALSE)</f>
        <v>830119</v>
      </c>
      <c r="N152">
        <f>VLOOKUP(Query1[[#This Row],[Description]],'kits to boards'!$B$2:$E$156,4,FALSE)</f>
        <v>830120</v>
      </c>
      <c r="O152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153" spans="1:15" x14ac:dyDescent="0.25">
      <c r="A153" s="1">
        <v>909573</v>
      </c>
      <c r="B153" s="1" t="s">
        <v>48</v>
      </c>
      <c r="C153" s="1" t="s">
        <v>49</v>
      </c>
      <c r="D153" s="2">
        <v>44600.444509803237</v>
      </c>
      <c r="E153" s="1" t="s">
        <v>8</v>
      </c>
      <c r="F153" s="1">
        <v>1</v>
      </c>
      <c r="G153" s="1">
        <v>0</v>
      </c>
      <c r="H153" s="6">
        <f>INT(Query1[[#This Row],[EntryDateTime]])</f>
        <v>44600</v>
      </c>
      <c r="I153" s="1">
        <f>IF(Query1[[#This Row],[ItemType]]="EVAP KIT SF GEN IV",Query1[[#This Row],[OrderQty]]+I152,I152)</f>
        <v>109</v>
      </c>
      <c r="J153" s="1">
        <f>IF(Query1[[#This Row],[ItemType]]="EVAP KIT UNIVERSAL",Query1[[#This Row],[OrderQty]]+J152,J152)</f>
        <v>273</v>
      </c>
      <c r="K153" s="1">
        <f>Query1[[#This Row],[SF Running Total]]+Query1[[#This Row],[UNIV Running Total]]</f>
        <v>382</v>
      </c>
      <c r="L153">
        <f>VLOOKUP(Query1[[#This Row],[Description]],'kits to boards'!$B$2:$E$156,2,FALSE)</f>
        <v>830015</v>
      </c>
      <c r="M153">
        <f>VLOOKUP(Query1[[#This Row],[Description]],'kits to boards'!$B$2:$E$156,3,FALSE)</f>
        <v>0</v>
      </c>
      <c r="N153">
        <f>VLOOKUP(Query1[[#This Row],[Description]],'kits to boards'!$B$2:$E$156,4,FALSE)</f>
        <v>0</v>
      </c>
      <c r="O153" t="str">
        <f>CONCATENATE(Query1[[#This Row],[Description]]," - ",Query1[[#This Row],[MB1]]," - ",Query1[[#This Row],[MB2]]," - ",Query1[[#This Row],[MB3]])</f>
        <v>EVAP KIT 64-66 CHEV P-UP WO AC W/DELX - 830015 - 0 - 0</v>
      </c>
    </row>
    <row r="154" spans="1:15" x14ac:dyDescent="0.25">
      <c r="A154" s="1">
        <v>909576</v>
      </c>
      <c r="B154" s="1" t="s">
        <v>96</v>
      </c>
      <c r="C154" s="1" t="s">
        <v>97</v>
      </c>
      <c r="D154" s="2">
        <v>44600.446277465278</v>
      </c>
      <c r="E154" s="1" t="s">
        <v>8</v>
      </c>
      <c r="F154" s="1">
        <v>1</v>
      </c>
      <c r="G154" s="1">
        <v>0</v>
      </c>
      <c r="H154" s="6">
        <f>INT(Query1[[#This Row],[EntryDateTime]])</f>
        <v>44600</v>
      </c>
      <c r="I154" s="1">
        <f>IF(Query1[[#This Row],[ItemType]]="EVAP KIT SF GEN IV",Query1[[#This Row],[OrderQty]]+I153,I153)</f>
        <v>110</v>
      </c>
      <c r="J154" s="1">
        <f>IF(Query1[[#This Row],[ItemType]]="EVAP KIT UNIVERSAL",Query1[[#This Row],[OrderQty]]+J153,J153)</f>
        <v>273</v>
      </c>
      <c r="K154" s="1">
        <f>Query1[[#This Row],[SF Running Total]]+Query1[[#This Row],[UNIV Running Total]]</f>
        <v>383</v>
      </c>
      <c r="L154">
        <f>VLOOKUP(Query1[[#This Row],[Description]],'kits to boards'!$B$2:$E$156,2,FALSE)</f>
        <v>830004</v>
      </c>
      <c r="M154">
        <f>VLOOKUP(Query1[[#This Row],[Description]],'kits to boards'!$B$2:$E$156,3,FALSE)</f>
        <v>0</v>
      </c>
      <c r="N154">
        <f>VLOOKUP(Query1[[#This Row],[Description]],'kits to boards'!$B$2:$E$156,4,FALSE)</f>
        <v>0</v>
      </c>
      <c r="O154" t="str">
        <f>CONCATENATE(Query1[[#This Row],[Description]]," - ",Query1[[#This Row],[MB1]]," - ",Query1[[#This Row],[MB2]]," - ",Query1[[#This Row],[MB3]])</f>
        <v>EVAP KIT 81-87 CHEV P-UP W/AC - 830004 - 0 - 0</v>
      </c>
    </row>
    <row r="155" spans="1:15" x14ac:dyDescent="0.25">
      <c r="A155" s="1">
        <v>909578</v>
      </c>
      <c r="B155" s="1" t="s">
        <v>18</v>
      </c>
      <c r="C155" s="1" t="s">
        <v>19</v>
      </c>
      <c r="D155" s="2">
        <v>44600.448566631945</v>
      </c>
      <c r="E155" s="1" t="s">
        <v>8</v>
      </c>
      <c r="F155" s="1">
        <v>1</v>
      </c>
      <c r="G155" s="1">
        <v>0</v>
      </c>
      <c r="H155" s="6">
        <f>INT(Query1[[#This Row],[EntryDateTime]])</f>
        <v>44600</v>
      </c>
      <c r="I155" s="1">
        <f>IF(Query1[[#This Row],[ItemType]]="EVAP KIT SF GEN IV",Query1[[#This Row],[OrderQty]]+I154,I154)</f>
        <v>111</v>
      </c>
      <c r="J155" s="1">
        <f>IF(Query1[[#This Row],[ItemType]]="EVAP KIT UNIVERSAL",Query1[[#This Row],[OrderQty]]+J154,J154)</f>
        <v>273</v>
      </c>
      <c r="K155" s="1">
        <f>Query1[[#This Row],[SF Running Total]]+Query1[[#This Row],[UNIV Running Total]]</f>
        <v>384</v>
      </c>
      <c r="L155">
        <f>VLOOKUP(Query1[[#This Row],[Description]],'kits to boards'!$B$2:$E$156,2,FALSE)</f>
        <v>830051</v>
      </c>
      <c r="M155">
        <f>VLOOKUP(Query1[[#This Row],[Description]],'kits to boards'!$B$2:$E$156,3,FALSE)</f>
        <v>0</v>
      </c>
      <c r="N155">
        <f>VLOOKUP(Query1[[#This Row],[Description]],'kits to boards'!$B$2:$E$156,4,FALSE)</f>
        <v>0</v>
      </c>
      <c r="O155" t="str">
        <f>CONCATENATE(Query1[[#This Row],[Description]]," - ",Query1[[#This Row],[MB1]]," - ",Query1[[#This Row],[MB2]]," - ",Query1[[#This Row],[MB3]])</f>
        <v>EVAP KIT 70-78 CAMARO W/AC - 830051 - 0 - 0</v>
      </c>
    </row>
    <row r="156" spans="1:15" x14ac:dyDescent="0.25">
      <c r="A156" s="1">
        <v>909581</v>
      </c>
      <c r="B156" s="1" t="s">
        <v>176</v>
      </c>
      <c r="C156" s="1" t="s">
        <v>177</v>
      </c>
      <c r="D156" s="2">
        <v>44600.452316354167</v>
      </c>
      <c r="E156" s="1" t="s">
        <v>8</v>
      </c>
      <c r="F156" s="1">
        <v>1</v>
      </c>
      <c r="G156" s="1">
        <v>0</v>
      </c>
      <c r="H156" s="6">
        <f>INT(Query1[[#This Row],[EntryDateTime]])</f>
        <v>44600</v>
      </c>
      <c r="I156" s="1">
        <f>IF(Query1[[#This Row],[ItemType]]="EVAP KIT SF GEN IV",Query1[[#This Row],[OrderQty]]+I155,I155)</f>
        <v>112</v>
      </c>
      <c r="J156" s="1">
        <f>IF(Query1[[#This Row],[ItemType]]="EVAP KIT UNIVERSAL",Query1[[#This Row],[OrderQty]]+J155,J155)</f>
        <v>273</v>
      </c>
      <c r="K156" s="1">
        <f>Query1[[#This Row],[SF Running Total]]+Query1[[#This Row],[UNIV Running Total]]</f>
        <v>385</v>
      </c>
      <c r="L156">
        <f>VLOOKUP(Query1[[#This Row],[Description]],'kits to boards'!$B$2:$E$156,2,FALSE)</f>
        <v>830125</v>
      </c>
      <c r="M156">
        <f>VLOOKUP(Query1[[#This Row],[Description]],'kits to boards'!$B$2:$E$156,3,FALSE)</f>
        <v>0</v>
      </c>
      <c r="N156">
        <f>VLOOKUP(Query1[[#This Row],[Description]],'kits to boards'!$B$2:$E$156,4,FALSE)</f>
        <v>0</v>
      </c>
      <c r="O156" t="str">
        <f>CONCATENATE(Query1[[#This Row],[Description]]," - ",Query1[[#This Row],[MB1]]," - ",Query1[[#This Row],[MB2]]," - ",Query1[[#This Row],[MB3]])</f>
        <v>EVAP KIT 65-66 IMPALA W/AC - 830125 - 0 - 0</v>
      </c>
    </row>
    <row r="157" spans="1:15" x14ac:dyDescent="0.25">
      <c r="A157" s="1">
        <v>909585</v>
      </c>
      <c r="B157" s="1" t="s">
        <v>261</v>
      </c>
      <c r="C157" s="1" t="s">
        <v>262</v>
      </c>
      <c r="D157" s="2">
        <v>44600.454398379632</v>
      </c>
      <c r="E157" s="1" t="s">
        <v>8</v>
      </c>
      <c r="F157" s="1">
        <v>1</v>
      </c>
      <c r="G157" s="1">
        <v>0</v>
      </c>
      <c r="H157" s="6">
        <f>INT(Query1[[#This Row],[EntryDateTime]])</f>
        <v>44600</v>
      </c>
      <c r="I157" s="1">
        <f>IF(Query1[[#This Row],[ItemType]]="EVAP KIT SF GEN IV",Query1[[#This Row],[OrderQty]]+I156,I156)</f>
        <v>113</v>
      </c>
      <c r="J157" s="1">
        <f>IF(Query1[[#This Row],[ItemType]]="EVAP KIT UNIVERSAL",Query1[[#This Row],[OrderQty]]+J156,J156)</f>
        <v>273</v>
      </c>
      <c r="K157" s="1">
        <f>Query1[[#This Row],[SF Running Total]]+Query1[[#This Row],[UNIV Running Total]]</f>
        <v>386</v>
      </c>
      <c r="L157">
        <f>VLOOKUP(Query1[[#This Row],[Description]],'kits to boards'!$B$2:$E$156,2,FALSE)</f>
        <v>830074</v>
      </c>
      <c r="M157">
        <f>VLOOKUP(Query1[[#This Row],[Description]],'kits to boards'!$B$2:$E$156,3,FALSE)</f>
        <v>0</v>
      </c>
      <c r="N157">
        <f>VLOOKUP(Query1[[#This Row],[Description]],'kits to boards'!$B$2:$E$156,4,FALSE)</f>
        <v>0</v>
      </c>
      <c r="O157" t="str">
        <f>CONCATENATE(Query1[[#This Row],[Description]]," - ",Query1[[#This Row],[MB1]]," - ",Query1[[#This Row],[MB2]]," - ",Query1[[#This Row],[MB3]])</f>
        <v>EVAP KIT 68 MOPAR B BODY W/AC - 830074 - 0 - 0</v>
      </c>
    </row>
    <row r="158" spans="1:15" x14ac:dyDescent="0.25">
      <c r="A158" s="1">
        <v>909586</v>
      </c>
      <c r="B158" s="1" t="s">
        <v>54</v>
      </c>
      <c r="C158" s="1" t="s">
        <v>55</v>
      </c>
      <c r="D158" s="2">
        <v>44600.454922835648</v>
      </c>
      <c r="E158" s="1" t="s">
        <v>8</v>
      </c>
      <c r="F158" s="1">
        <v>1</v>
      </c>
      <c r="G158" s="1">
        <v>0</v>
      </c>
      <c r="H158" s="6">
        <f>INT(Query1[[#This Row],[EntryDateTime]])</f>
        <v>44600</v>
      </c>
      <c r="I158" s="1">
        <f>IF(Query1[[#This Row],[ItemType]]="EVAP KIT SF GEN IV",Query1[[#This Row],[OrderQty]]+I157,I157)</f>
        <v>114</v>
      </c>
      <c r="J158" s="1">
        <f>IF(Query1[[#This Row],[ItemType]]="EVAP KIT UNIVERSAL",Query1[[#This Row],[OrderQty]]+J157,J157)</f>
        <v>273</v>
      </c>
      <c r="K158" s="1">
        <f>Query1[[#This Row],[SF Running Total]]+Query1[[#This Row],[UNIV Running Total]]</f>
        <v>387</v>
      </c>
      <c r="L158">
        <f>VLOOKUP(Query1[[#This Row],[Description]],'kits to boards'!$B$2:$E$156,2,FALSE)</f>
        <v>830037</v>
      </c>
      <c r="M158">
        <f>VLOOKUP(Query1[[#This Row],[Description]],'kits to boards'!$B$2:$E$156,3,FALSE)</f>
        <v>0</v>
      </c>
      <c r="N158">
        <f>VLOOKUP(Query1[[#This Row],[Description]],'kits to boards'!$B$2:$E$156,4,FALSE)</f>
        <v>0</v>
      </c>
      <c r="O158" t="str">
        <f>CONCATENATE(Query1[[#This Row],[Description]]," - ",Query1[[#This Row],[MB1]]," - ",Query1[[#This Row],[MB2]]," - ",Query1[[#This Row],[MB3]])</f>
        <v>EVAP KIT 70-81 FIREBIRD W/AC - 830037 - 0 - 0</v>
      </c>
    </row>
    <row r="159" spans="1:15" x14ac:dyDescent="0.25">
      <c r="A159" s="1">
        <v>909588</v>
      </c>
      <c r="B159" s="1" t="s">
        <v>244</v>
      </c>
      <c r="C159" s="1" t="s">
        <v>245</v>
      </c>
      <c r="D159" s="2">
        <v>44600.456389780091</v>
      </c>
      <c r="E159" s="1" t="s">
        <v>8</v>
      </c>
      <c r="F159" s="1">
        <v>1</v>
      </c>
      <c r="G159" s="1">
        <v>0</v>
      </c>
      <c r="H159" s="6">
        <f>INT(Query1[[#This Row],[EntryDateTime]])</f>
        <v>44600</v>
      </c>
      <c r="I159" s="1">
        <f>IF(Query1[[#This Row],[ItemType]]="EVAP KIT SF GEN IV",Query1[[#This Row],[OrderQty]]+I158,I158)</f>
        <v>115</v>
      </c>
      <c r="J159" s="1">
        <f>IF(Query1[[#This Row],[ItemType]]="EVAP KIT UNIVERSAL",Query1[[#This Row],[OrderQty]]+J158,J158)</f>
        <v>273</v>
      </c>
      <c r="K159" s="1">
        <f>Query1[[#This Row],[SF Running Total]]+Query1[[#This Row],[UNIV Running Total]]</f>
        <v>388</v>
      </c>
      <c r="L159">
        <f>VLOOKUP(Query1[[#This Row],[Description]],'kits to boards'!$B$2:$E$156,2,FALSE)</f>
        <v>830100</v>
      </c>
      <c r="M159">
        <f>VLOOKUP(Query1[[#This Row],[Description]],'kits to boards'!$B$2:$E$156,3,FALSE)</f>
        <v>0</v>
      </c>
      <c r="N159">
        <f>VLOOKUP(Query1[[#This Row],[Description]],'kits to boards'!$B$2:$E$156,4,FALSE)</f>
        <v>0</v>
      </c>
      <c r="O159" t="str">
        <f>CONCATENATE(Query1[[#This Row],[Description]]," - ",Query1[[#This Row],[MB1]]," - ",Query1[[#This Row],[MB2]]," - ",Query1[[#This Row],[MB3]])</f>
        <v>EVAP KIT 68-76 VETTE WO AC - 830100 - 0 - 0</v>
      </c>
    </row>
    <row r="160" spans="1:15" x14ac:dyDescent="0.25">
      <c r="A160" s="1">
        <v>909587</v>
      </c>
      <c r="B160" s="1" t="s">
        <v>222</v>
      </c>
      <c r="C160" s="1" t="s">
        <v>223</v>
      </c>
      <c r="D160" s="2">
        <v>44600.456409456019</v>
      </c>
      <c r="E160" s="1" t="s">
        <v>8</v>
      </c>
      <c r="F160" s="1">
        <v>1</v>
      </c>
      <c r="G160" s="1">
        <v>0</v>
      </c>
      <c r="H160" s="6">
        <f>INT(Query1[[#This Row],[EntryDateTime]])</f>
        <v>44600</v>
      </c>
      <c r="I160" s="1">
        <f>IF(Query1[[#This Row],[ItemType]]="EVAP KIT SF GEN IV",Query1[[#This Row],[OrderQty]]+I159,I159)</f>
        <v>116</v>
      </c>
      <c r="J160" s="1">
        <f>IF(Query1[[#This Row],[ItemType]]="EVAP KIT UNIVERSAL",Query1[[#This Row],[OrderQty]]+J159,J159)</f>
        <v>273</v>
      </c>
      <c r="K160" s="1">
        <f>Query1[[#This Row],[SF Running Total]]+Query1[[#This Row],[UNIV Running Total]]</f>
        <v>389</v>
      </c>
      <c r="L160">
        <f>VLOOKUP(Query1[[#This Row],[Description]],'kits to boards'!$B$2:$E$156,2,FALSE)</f>
        <v>830093</v>
      </c>
      <c r="M160">
        <f>VLOOKUP(Query1[[#This Row],[Description]],'kits to boards'!$B$2:$E$156,3,FALSE)</f>
        <v>0</v>
      </c>
      <c r="N160">
        <f>VLOOKUP(Query1[[#This Row],[Description]],'kits to boards'!$B$2:$E$156,4,FALSE)</f>
        <v>0</v>
      </c>
      <c r="O160" t="str">
        <f>CONCATENATE(Query1[[#This Row],[Description]]," - ",Query1[[#This Row],[MB1]]," - ",Query1[[#This Row],[MB2]]," - ",Query1[[#This Row],[MB3]])</f>
        <v>EVAP KIT 67 VETTE WO AC - 830093 - 0 - 0</v>
      </c>
    </row>
    <row r="161" spans="1:15" x14ac:dyDescent="0.25">
      <c r="A161" s="1">
        <v>909594</v>
      </c>
      <c r="B161" s="1" t="s">
        <v>48</v>
      </c>
      <c r="C161" s="1" t="s">
        <v>49</v>
      </c>
      <c r="D161" s="2">
        <v>44600.458447303237</v>
      </c>
      <c r="E161" s="1" t="s">
        <v>8</v>
      </c>
      <c r="F161" s="1">
        <v>1</v>
      </c>
      <c r="G161" s="1">
        <v>0</v>
      </c>
      <c r="H161" s="6">
        <f>INT(Query1[[#This Row],[EntryDateTime]])</f>
        <v>44600</v>
      </c>
      <c r="I161" s="1">
        <f>IF(Query1[[#This Row],[ItemType]]="EVAP KIT SF GEN IV",Query1[[#This Row],[OrderQty]]+I160,I160)</f>
        <v>117</v>
      </c>
      <c r="J161" s="1">
        <f>IF(Query1[[#This Row],[ItemType]]="EVAP KIT UNIVERSAL",Query1[[#This Row],[OrderQty]]+J160,J160)</f>
        <v>273</v>
      </c>
      <c r="K161" s="1">
        <f>Query1[[#This Row],[SF Running Total]]+Query1[[#This Row],[UNIV Running Total]]</f>
        <v>390</v>
      </c>
      <c r="L161">
        <f>VLOOKUP(Query1[[#This Row],[Description]],'kits to boards'!$B$2:$E$156,2,FALSE)</f>
        <v>830015</v>
      </c>
      <c r="M161">
        <f>VLOOKUP(Query1[[#This Row],[Description]],'kits to boards'!$B$2:$E$156,3,FALSE)</f>
        <v>0</v>
      </c>
      <c r="N161">
        <f>VLOOKUP(Query1[[#This Row],[Description]],'kits to boards'!$B$2:$E$156,4,FALSE)</f>
        <v>0</v>
      </c>
      <c r="O161" t="str">
        <f>CONCATENATE(Query1[[#This Row],[Description]]," - ",Query1[[#This Row],[MB1]]," - ",Query1[[#This Row],[MB2]]," - ",Query1[[#This Row],[MB3]])</f>
        <v>EVAP KIT 64-66 CHEV P-UP WO AC W/DELX - 830015 - 0 - 0</v>
      </c>
    </row>
    <row r="162" spans="1:15" x14ac:dyDescent="0.25">
      <c r="A162" s="1">
        <v>909600</v>
      </c>
      <c r="B162" s="1" t="s">
        <v>20</v>
      </c>
      <c r="C162" s="1" t="s">
        <v>21</v>
      </c>
      <c r="D162" s="2">
        <v>44600.463999803243</v>
      </c>
      <c r="E162" s="1" t="s">
        <v>11</v>
      </c>
      <c r="F162" s="1">
        <v>1</v>
      </c>
      <c r="G162" s="1">
        <v>0</v>
      </c>
      <c r="H162" s="6">
        <f>INT(Query1[[#This Row],[EntryDateTime]])</f>
        <v>44600</v>
      </c>
      <c r="I162" s="1">
        <f>IF(Query1[[#This Row],[ItemType]]="EVAP KIT SF GEN IV",Query1[[#This Row],[OrderQty]]+I161,I161)</f>
        <v>117</v>
      </c>
      <c r="J162" s="1">
        <f>IF(Query1[[#This Row],[ItemType]]="EVAP KIT UNIVERSAL",Query1[[#This Row],[OrderQty]]+J161,J161)</f>
        <v>274</v>
      </c>
      <c r="K162" s="1">
        <f>Query1[[#This Row],[SF Running Total]]+Query1[[#This Row],[UNIV Running Total]]</f>
        <v>391</v>
      </c>
      <c r="L162">
        <f>VLOOKUP(Query1[[#This Row],[Description]],'kits to boards'!$B$2:$E$156,2,FALSE)</f>
        <v>830102</v>
      </c>
      <c r="M162">
        <f>VLOOKUP(Query1[[#This Row],[Description]],'kits to boards'!$B$2:$E$156,3,FALSE)</f>
        <v>0</v>
      </c>
      <c r="N162">
        <f>VLOOKUP(Query1[[#This Row],[Description]],'kits to boards'!$B$2:$E$156,4,FALSE)</f>
        <v>0</v>
      </c>
      <c r="O162" t="str">
        <f>CONCATENATE(Query1[[#This Row],[Description]]," - ",Query1[[#This Row],[MB1]]," - ",Query1[[#This Row],[MB2]]," - ",Query1[[#This Row],[MB3]])</f>
        <v>SUPER GEN II W/DEF - 830102 - 0 - 0</v>
      </c>
    </row>
    <row r="163" spans="1:15" x14ac:dyDescent="0.25">
      <c r="A163" s="1">
        <v>909600</v>
      </c>
      <c r="B163" s="1" t="s">
        <v>98</v>
      </c>
      <c r="C163" s="1" t="s">
        <v>99</v>
      </c>
      <c r="D163" s="2">
        <v>44600.464147604165</v>
      </c>
      <c r="E163" s="1" t="s">
        <v>11</v>
      </c>
      <c r="F163" s="1">
        <v>1</v>
      </c>
      <c r="G163" s="1">
        <v>0</v>
      </c>
      <c r="H163" s="6">
        <f>INT(Query1[[#This Row],[EntryDateTime]])</f>
        <v>44600</v>
      </c>
      <c r="I163" s="1">
        <f>IF(Query1[[#This Row],[ItemType]]="EVAP KIT SF GEN IV",Query1[[#This Row],[OrderQty]]+I162,I162)</f>
        <v>117</v>
      </c>
      <c r="J163" s="1">
        <f>IF(Query1[[#This Row],[ItemType]]="EVAP KIT UNIVERSAL",Query1[[#This Row],[OrderQty]]+J162,J162)</f>
        <v>275</v>
      </c>
      <c r="K163" s="1">
        <f>Query1[[#This Row],[SF Running Total]]+Query1[[#This Row],[UNIV Running Total]]</f>
        <v>392</v>
      </c>
      <c r="L163">
        <f>VLOOKUP(Query1[[#This Row],[Description]],'kits to boards'!$B$2:$E$156,2,FALSE)</f>
        <v>830099</v>
      </c>
      <c r="M163">
        <f>VLOOKUP(Query1[[#This Row],[Description]],'kits to boards'!$B$2:$E$156,3,FALSE)</f>
        <v>0</v>
      </c>
      <c r="N163">
        <f>VLOOKUP(Query1[[#This Row],[Description]],'kits to boards'!$B$2:$E$156,4,FALSE)</f>
        <v>0</v>
      </c>
      <c r="O163" t="str">
        <f>CONCATENATE(Query1[[#This Row],[Description]]," - ",Query1[[#This Row],[MB1]]," - ",Query1[[#This Row],[MB2]]," - ",Query1[[#This Row],[MB3]])</f>
        <v>MINI GEN II W/DEF - 830099 - 0 - 0</v>
      </c>
    </row>
    <row r="164" spans="1:15" x14ac:dyDescent="0.25">
      <c r="A164" s="1">
        <v>909600</v>
      </c>
      <c r="B164" s="1" t="s">
        <v>24</v>
      </c>
      <c r="C164" s="1" t="s">
        <v>25</v>
      </c>
      <c r="D164" s="2">
        <v>44600.464305636575</v>
      </c>
      <c r="E164" s="1" t="s">
        <v>11</v>
      </c>
      <c r="F164" s="1">
        <v>1</v>
      </c>
      <c r="G164" s="1">
        <v>0</v>
      </c>
      <c r="H164" s="6">
        <f>INT(Query1[[#This Row],[EntryDateTime]])</f>
        <v>44600</v>
      </c>
      <c r="I164" s="1">
        <f>IF(Query1[[#This Row],[ItemType]]="EVAP KIT SF GEN IV",Query1[[#This Row],[OrderQty]]+I163,I163)</f>
        <v>117</v>
      </c>
      <c r="J164" s="1">
        <f>IF(Query1[[#This Row],[ItemType]]="EVAP KIT UNIVERSAL",Query1[[#This Row],[OrderQty]]+J163,J163)</f>
        <v>276</v>
      </c>
      <c r="K164" s="1">
        <f>Query1[[#This Row],[SF Running Total]]+Query1[[#This Row],[UNIV Running Total]]</f>
        <v>393</v>
      </c>
      <c r="L164">
        <f>VLOOKUP(Query1[[#This Row],[Description]],'kits to boards'!$B$2:$E$156,2,FALSE)</f>
        <v>830029</v>
      </c>
      <c r="M164">
        <f>VLOOKUP(Query1[[#This Row],[Description]],'kits to boards'!$B$2:$E$156,3,FALSE)</f>
        <v>830030</v>
      </c>
      <c r="N164">
        <f>VLOOKUP(Query1[[#This Row],[Description]],'kits to boards'!$B$2:$E$156,4,FALSE)</f>
        <v>0</v>
      </c>
      <c r="O164" t="str">
        <f>CONCATENATE(Query1[[#This Row],[Description]]," - ",Query1[[#This Row],[MB1]]," - ",Query1[[#This Row],[MB2]]," - ",Query1[[#This Row],[MB3]])</f>
        <v>ComPac GEN II W/DEF - 830029 - 830030 - 0</v>
      </c>
    </row>
    <row r="165" spans="1:15" x14ac:dyDescent="0.25">
      <c r="A165" s="1">
        <v>909603</v>
      </c>
      <c r="B165" s="1" t="s">
        <v>170</v>
      </c>
      <c r="C165" s="1" t="s">
        <v>171</v>
      </c>
      <c r="D165" s="2">
        <v>44600.466021875</v>
      </c>
      <c r="E165" s="1" t="s">
        <v>8</v>
      </c>
      <c r="F165" s="1">
        <v>1</v>
      </c>
      <c r="G165" s="1">
        <v>0</v>
      </c>
      <c r="H165" s="6">
        <f>INT(Query1[[#This Row],[EntryDateTime]])</f>
        <v>44600</v>
      </c>
      <c r="I165" s="1">
        <f>IF(Query1[[#This Row],[ItemType]]="EVAP KIT SF GEN IV",Query1[[#This Row],[OrderQty]]+I164,I164)</f>
        <v>118</v>
      </c>
      <c r="J165" s="1">
        <f>IF(Query1[[#This Row],[ItemType]]="EVAP KIT UNIVERSAL",Query1[[#This Row],[OrderQty]]+J164,J164)</f>
        <v>276</v>
      </c>
      <c r="K165" s="1">
        <f>Query1[[#This Row],[SF Running Total]]+Query1[[#This Row],[UNIV Running Total]]</f>
        <v>394</v>
      </c>
      <c r="L165">
        <f>VLOOKUP(Query1[[#This Row],[Description]],'kits to boards'!$B$2:$E$156,2,FALSE)</f>
        <v>830018</v>
      </c>
      <c r="M165">
        <f>VLOOKUP(Query1[[#This Row],[Description]],'kits to boards'!$B$2:$E$156,3,FALSE)</f>
        <v>0</v>
      </c>
      <c r="N165">
        <f>VLOOKUP(Query1[[#This Row],[Description]],'kits to boards'!$B$2:$E$156,4,FALSE)</f>
        <v>0</v>
      </c>
      <c r="O165" t="str">
        <f>CONCATENATE(Query1[[#This Row],[Description]]," - ",Query1[[#This Row],[MB1]]," - ",Query1[[#This Row],[MB2]]," - ",Query1[[#This Row],[MB3]])</f>
        <v>EVAP KIT 67 FORD P-UP F-100 - 830018 - 0 - 0</v>
      </c>
    </row>
    <row r="166" spans="1:15" x14ac:dyDescent="0.25">
      <c r="A166" s="1">
        <v>909604</v>
      </c>
      <c r="B166" s="1" t="s">
        <v>194</v>
      </c>
      <c r="C166" s="1" t="s">
        <v>195</v>
      </c>
      <c r="D166" s="2">
        <v>44600.468437268515</v>
      </c>
      <c r="E166" s="1" t="s">
        <v>8</v>
      </c>
      <c r="F166" s="1">
        <v>1</v>
      </c>
      <c r="G166" s="1">
        <v>0</v>
      </c>
      <c r="H166" s="6">
        <f>INT(Query1[[#This Row],[EntryDateTime]])</f>
        <v>44600</v>
      </c>
      <c r="I166" s="1">
        <f>IF(Query1[[#This Row],[ItemType]]="EVAP KIT SF GEN IV",Query1[[#This Row],[OrderQty]]+I165,I165)</f>
        <v>119</v>
      </c>
      <c r="J166" s="1">
        <f>IF(Query1[[#This Row],[ItemType]]="EVAP KIT UNIVERSAL",Query1[[#This Row],[OrderQty]]+J165,J165)</f>
        <v>276</v>
      </c>
      <c r="K166" s="1">
        <f>Query1[[#This Row],[SF Running Total]]+Query1[[#This Row],[UNIV Running Total]]</f>
        <v>395</v>
      </c>
      <c r="L166">
        <f>VLOOKUP(Query1[[#This Row],[Description]],'kits to boards'!$B$2:$E$156,2,FALSE)</f>
        <v>830103</v>
      </c>
      <c r="M166">
        <f>VLOOKUP(Query1[[#This Row],[Description]],'kits to boards'!$B$2:$E$156,3,FALSE)</f>
        <v>0</v>
      </c>
      <c r="N166">
        <f>VLOOKUP(Query1[[#This Row],[Description]],'kits to boards'!$B$2:$E$156,4,FALSE)</f>
        <v>0</v>
      </c>
      <c r="O166" t="str">
        <f>CONCATENATE(Query1[[#This Row],[Description]]," - ",Query1[[#This Row],[MB1]]," - ",Query1[[#This Row],[MB2]]," - ",Query1[[#This Row],[MB3]])</f>
        <v>EVAP KIT 78-82 VETTE W/AC - 830103 - 0 - 0</v>
      </c>
    </row>
    <row r="167" spans="1:15" x14ac:dyDescent="0.25">
      <c r="A167" s="1">
        <v>909606</v>
      </c>
      <c r="B167" s="1" t="s">
        <v>56</v>
      </c>
      <c r="C167" s="1" t="s">
        <v>57</v>
      </c>
      <c r="D167" s="2">
        <v>44600.470221875003</v>
      </c>
      <c r="E167" s="1" t="s">
        <v>8</v>
      </c>
      <c r="F167" s="1">
        <v>1</v>
      </c>
      <c r="G167" s="1">
        <v>0</v>
      </c>
      <c r="H167" s="6">
        <f>INT(Query1[[#This Row],[EntryDateTime]])</f>
        <v>44600</v>
      </c>
      <c r="I167" s="1">
        <f>IF(Query1[[#This Row],[ItemType]]="EVAP KIT SF GEN IV",Query1[[#This Row],[OrderQty]]+I166,I166)</f>
        <v>120</v>
      </c>
      <c r="J167" s="1">
        <f>IF(Query1[[#This Row],[ItemType]]="EVAP KIT UNIVERSAL",Query1[[#This Row],[OrderQty]]+J166,J166)</f>
        <v>276</v>
      </c>
      <c r="K167" s="1">
        <f>Query1[[#This Row],[SF Running Total]]+Query1[[#This Row],[UNIV Running Total]]</f>
        <v>396</v>
      </c>
      <c r="L167">
        <f>VLOOKUP(Query1[[#This Row],[Description]],'kits to boards'!$B$2:$E$156,2,FALSE)</f>
        <v>830011</v>
      </c>
      <c r="M167">
        <f>VLOOKUP(Query1[[#This Row],[Description]],'kits to boards'!$B$2:$E$156,3,FALSE)</f>
        <v>0</v>
      </c>
      <c r="N167">
        <f>VLOOKUP(Query1[[#This Row],[Description]],'kits to boards'!$B$2:$E$156,4,FALSE)</f>
        <v>0</v>
      </c>
      <c r="O167" t="str">
        <f>CONCATENATE(Query1[[#This Row],[Description]]," - ",Query1[[#This Row],[MB1]]," - ",Query1[[#This Row],[MB2]]," - ",Query1[[#This Row],[MB3]])</f>
        <v>EVAP KIT 70-72 CHEVELLE W/AC - 830011 - 0 - 0</v>
      </c>
    </row>
    <row r="168" spans="1:15" x14ac:dyDescent="0.25">
      <c r="A168" s="1">
        <v>909608</v>
      </c>
      <c r="B168" s="1" t="s">
        <v>52</v>
      </c>
      <c r="C168" s="1" t="s">
        <v>53</v>
      </c>
      <c r="D168" s="2">
        <v>44600.471691203704</v>
      </c>
      <c r="E168" s="1" t="s">
        <v>8</v>
      </c>
      <c r="F168" s="1">
        <v>1</v>
      </c>
      <c r="G168" s="1">
        <v>0</v>
      </c>
      <c r="H168" s="6">
        <f>INT(Query1[[#This Row],[EntryDateTime]])</f>
        <v>44600</v>
      </c>
      <c r="I168" s="1">
        <f>IF(Query1[[#This Row],[ItemType]]="EVAP KIT SF GEN IV",Query1[[#This Row],[OrderQty]]+I167,I167)</f>
        <v>121</v>
      </c>
      <c r="J168" s="1">
        <f>IF(Query1[[#This Row],[ItemType]]="EVAP KIT UNIVERSAL",Query1[[#This Row],[OrderQty]]+J167,J167)</f>
        <v>276</v>
      </c>
      <c r="K168" s="1">
        <f>Query1[[#This Row],[SF Running Total]]+Query1[[#This Row],[UNIV Running Total]]</f>
        <v>397</v>
      </c>
      <c r="L168">
        <f>VLOOKUP(Query1[[#This Row],[Description]],'kits to boards'!$B$2:$E$156,2,FALSE)</f>
        <v>830017</v>
      </c>
      <c r="M168">
        <f>VLOOKUP(Query1[[#This Row],[Description]],'kits to boards'!$B$2:$E$156,3,FALSE)</f>
        <v>830119</v>
      </c>
      <c r="N168">
        <f>VLOOKUP(Query1[[#This Row],[Description]],'kits to boards'!$B$2:$E$156,4,FALSE)</f>
        <v>830120</v>
      </c>
      <c r="O168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169" spans="1:15" x14ac:dyDescent="0.25">
      <c r="A169" s="1">
        <v>909615</v>
      </c>
      <c r="B169" s="1" t="s">
        <v>60</v>
      </c>
      <c r="C169" s="1" t="s">
        <v>61</v>
      </c>
      <c r="D169" s="2">
        <v>44600.481761805553</v>
      </c>
      <c r="E169" s="1" t="s">
        <v>8</v>
      </c>
      <c r="F169" s="1">
        <v>1</v>
      </c>
      <c r="G169" s="1">
        <v>0</v>
      </c>
      <c r="H169" s="6">
        <f>INT(Query1[[#This Row],[EntryDateTime]])</f>
        <v>44600</v>
      </c>
      <c r="I169" s="1">
        <f>IF(Query1[[#This Row],[ItemType]]="EVAP KIT SF GEN IV",Query1[[#This Row],[OrderQty]]+I168,I168)</f>
        <v>122</v>
      </c>
      <c r="J169" s="1">
        <f>IF(Query1[[#This Row],[ItemType]]="EVAP KIT UNIVERSAL",Query1[[#This Row],[OrderQty]]+J168,J168)</f>
        <v>276</v>
      </c>
      <c r="K169" s="1">
        <f>Query1[[#This Row],[SF Running Total]]+Query1[[#This Row],[UNIV Running Total]]</f>
        <v>398</v>
      </c>
      <c r="L169">
        <f>VLOOKUP(Query1[[#This Row],[Description]],'kits to boards'!$B$2:$E$156,2,FALSE)</f>
        <v>830062</v>
      </c>
      <c r="M169">
        <f>VLOOKUP(Query1[[#This Row],[Description]],'kits to boards'!$B$2:$E$156,3,FALSE)</f>
        <v>0</v>
      </c>
      <c r="N169">
        <f>VLOOKUP(Query1[[#This Row],[Description]],'kits to boards'!$B$2:$E$156,4,FALSE)</f>
        <v>0</v>
      </c>
      <c r="O169" t="str">
        <f>CONCATENATE(Query1[[#This Row],[Description]]," - ",Query1[[#This Row],[MB1]]," - ",Query1[[#This Row],[MB2]]," - ",Query1[[#This Row],[MB3]])</f>
        <v>EVAP KIT 68-69 CHEVELLE WO AC - 830062 - 0 - 0</v>
      </c>
    </row>
    <row r="170" spans="1:15" x14ac:dyDescent="0.25">
      <c r="A170" s="1">
        <v>909620</v>
      </c>
      <c r="B170" s="1" t="s">
        <v>62</v>
      </c>
      <c r="C170" s="1" t="s">
        <v>63</v>
      </c>
      <c r="D170" s="2">
        <v>44600.486920682873</v>
      </c>
      <c r="E170" s="1" t="s">
        <v>8</v>
      </c>
      <c r="F170" s="1">
        <v>1</v>
      </c>
      <c r="G170" s="1">
        <v>0</v>
      </c>
      <c r="H170" s="6">
        <f>INT(Query1[[#This Row],[EntryDateTime]])</f>
        <v>44600</v>
      </c>
      <c r="I170" s="1">
        <f>IF(Query1[[#This Row],[ItemType]]="EVAP KIT SF GEN IV",Query1[[#This Row],[OrderQty]]+I169,I169)</f>
        <v>123</v>
      </c>
      <c r="J170" s="1">
        <f>IF(Query1[[#This Row],[ItemType]]="EVAP KIT UNIVERSAL",Query1[[#This Row],[OrderQty]]+J169,J169)</f>
        <v>276</v>
      </c>
      <c r="K170" s="1">
        <f>Query1[[#This Row],[SF Running Total]]+Query1[[#This Row],[UNIV Running Total]]</f>
        <v>399</v>
      </c>
      <c r="L170">
        <f>VLOOKUP(Query1[[#This Row],[Description]],'kits to boards'!$B$2:$E$156,2,FALSE)</f>
        <v>830079</v>
      </c>
      <c r="M170">
        <f>VLOOKUP(Query1[[#This Row],[Description]],'kits to boards'!$B$2:$E$156,3,FALSE)</f>
        <v>830046</v>
      </c>
      <c r="N170">
        <f>VLOOKUP(Query1[[#This Row],[Description]],'kits to boards'!$B$2:$E$156,4,FALSE)</f>
        <v>0</v>
      </c>
      <c r="O170" t="str">
        <f>CONCATENATE(Query1[[#This Row],[Description]]," - ",Query1[[#This Row],[MB1]]," - ",Query1[[#This Row],[MB2]]," - ",Query1[[#This Row],[MB3]])</f>
        <v>EVAP KIT 67-68 MUSTANG/COUGAR WO AC - 830079 - 830046 - 0</v>
      </c>
    </row>
    <row r="171" spans="1:15" x14ac:dyDescent="0.25">
      <c r="A171" s="1">
        <v>909621</v>
      </c>
      <c r="B171" s="1" t="s">
        <v>18</v>
      </c>
      <c r="C171" s="1" t="s">
        <v>19</v>
      </c>
      <c r="D171" s="2">
        <v>44600.48720408565</v>
      </c>
      <c r="E171" s="1" t="s">
        <v>8</v>
      </c>
      <c r="F171" s="1">
        <v>1</v>
      </c>
      <c r="G171" s="1">
        <v>0</v>
      </c>
      <c r="H171" s="6">
        <f>INT(Query1[[#This Row],[EntryDateTime]])</f>
        <v>44600</v>
      </c>
      <c r="I171" s="1">
        <f>IF(Query1[[#This Row],[ItemType]]="EVAP KIT SF GEN IV",Query1[[#This Row],[OrderQty]]+I170,I170)</f>
        <v>124</v>
      </c>
      <c r="J171" s="1">
        <f>IF(Query1[[#This Row],[ItemType]]="EVAP KIT UNIVERSAL",Query1[[#This Row],[OrderQty]]+J170,J170)</f>
        <v>276</v>
      </c>
      <c r="K171" s="1">
        <f>Query1[[#This Row],[SF Running Total]]+Query1[[#This Row],[UNIV Running Total]]</f>
        <v>400</v>
      </c>
      <c r="L171">
        <f>VLOOKUP(Query1[[#This Row],[Description]],'kits to boards'!$B$2:$E$156,2,FALSE)</f>
        <v>830051</v>
      </c>
      <c r="M171">
        <f>VLOOKUP(Query1[[#This Row],[Description]],'kits to boards'!$B$2:$E$156,3,FALSE)</f>
        <v>0</v>
      </c>
      <c r="N171">
        <f>VLOOKUP(Query1[[#This Row],[Description]],'kits to boards'!$B$2:$E$156,4,FALSE)</f>
        <v>0</v>
      </c>
      <c r="O171" t="str">
        <f>CONCATENATE(Query1[[#This Row],[Description]]," - ",Query1[[#This Row],[MB1]]," - ",Query1[[#This Row],[MB2]]," - ",Query1[[#This Row],[MB3]])</f>
        <v>EVAP KIT 70-78 CAMARO W/AC - 830051 - 0 - 0</v>
      </c>
    </row>
    <row r="172" spans="1:15" x14ac:dyDescent="0.25">
      <c r="A172" s="1">
        <v>909623</v>
      </c>
      <c r="B172" s="1" t="s">
        <v>42</v>
      </c>
      <c r="C172" s="1" t="s">
        <v>43</v>
      </c>
      <c r="D172" s="2">
        <v>44600.488633831017</v>
      </c>
      <c r="E172" s="1" t="s">
        <v>8</v>
      </c>
      <c r="F172" s="1">
        <v>1</v>
      </c>
      <c r="G172" s="1">
        <v>0</v>
      </c>
      <c r="H172" s="6">
        <f>INT(Query1[[#This Row],[EntryDateTime]])</f>
        <v>44600</v>
      </c>
      <c r="I172" s="1">
        <f>IF(Query1[[#This Row],[ItemType]]="EVAP KIT SF GEN IV",Query1[[#This Row],[OrderQty]]+I171,I171)</f>
        <v>125</v>
      </c>
      <c r="J172" s="1">
        <f>IF(Query1[[#This Row],[ItemType]]="EVAP KIT UNIVERSAL",Query1[[#This Row],[OrderQty]]+J171,J171)</f>
        <v>276</v>
      </c>
      <c r="K172" s="1">
        <f>Query1[[#This Row],[SF Running Total]]+Query1[[#This Row],[UNIV Running Total]]</f>
        <v>401</v>
      </c>
      <c r="L172">
        <f>VLOOKUP(Query1[[#This Row],[Description]],'kits to boards'!$B$2:$E$156,2,FALSE)</f>
        <v>830014</v>
      </c>
      <c r="M172">
        <f>VLOOKUP(Query1[[#This Row],[Description]],'kits to boards'!$B$2:$E$156,3,FALSE)</f>
        <v>0</v>
      </c>
      <c r="N172">
        <f>VLOOKUP(Query1[[#This Row],[Description]],'kits to boards'!$B$2:$E$156,4,FALSE)</f>
        <v>0</v>
      </c>
      <c r="O172" t="str">
        <f>CONCATENATE(Query1[[#This Row],[Description]]," - ",Query1[[#This Row],[MB1]]," - ",Query1[[#This Row],[MB2]]," - ",Query1[[#This Row],[MB3]])</f>
        <v>EVAP KIT 67-72 CHEV P-UP WO AC - 830014 - 0 - 0</v>
      </c>
    </row>
    <row r="173" spans="1:15" x14ac:dyDescent="0.25">
      <c r="A173" s="1">
        <v>909624</v>
      </c>
      <c r="B173" s="1" t="s">
        <v>42</v>
      </c>
      <c r="C173" s="1" t="s">
        <v>43</v>
      </c>
      <c r="D173" s="2">
        <v>44600.490735960651</v>
      </c>
      <c r="E173" s="1" t="s">
        <v>8</v>
      </c>
      <c r="F173" s="1">
        <v>1</v>
      </c>
      <c r="G173" s="1">
        <v>0</v>
      </c>
      <c r="H173" s="6">
        <f>INT(Query1[[#This Row],[EntryDateTime]])</f>
        <v>44600</v>
      </c>
      <c r="I173" s="1">
        <f>IF(Query1[[#This Row],[ItemType]]="EVAP KIT SF GEN IV",Query1[[#This Row],[OrderQty]]+I172,I172)</f>
        <v>126</v>
      </c>
      <c r="J173" s="1">
        <f>IF(Query1[[#This Row],[ItemType]]="EVAP KIT UNIVERSAL",Query1[[#This Row],[OrderQty]]+J172,J172)</f>
        <v>276</v>
      </c>
      <c r="K173" s="1">
        <f>Query1[[#This Row],[SF Running Total]]+Query1[[#This Row],[UNIV Running Total]]</f>
        <v>402</v>
      </c>
      <c r="L173">
        <f>VLOOKUP(Query1[[#This Row],[Description]],'kits to boards'!$B$2:$E$156,2,FALSE)</f>
        <v>830014</v>
      </c>
      <c r="M173">
        <f>VLOOKUP(Query1[[#This Row],[Description]],'kits to boards'!$B$2:$E$156,3,FALSE)</f>
        <v>0</v>
      </c>
      <c r="N173">
        <f>VLOOKUP(Query1[[#This Row],[Description]],'kits to boards'!$B$2:$E$156,4,FALSE)</f>
        <v>0</v>
      </c>
      <c r="O173" t="str">
        <f>CONCATENATE(Query1[[#This Row],[Description]]," - ",Query1[[#This Row],[MB1]]," - ",Query1[[#This Row],[MB2]]," - ",Query1[[#This Row],[MB3]])</f>
        <v>EVAP KIT 67-72 CHEV P-UP WO AC - 830014 - 0 - 0</v>
      </c>
    </row>
    <row r="174" spans="1:15" x14ac:dyDescent="0.25">
      <c r="A174" s="1">
        <v>909629</v>
      </c>
      <c r="B174" s="1" t="s">
        <v>50</v>
      </c>
      <c r="C174" s="1" t="s">
        <v>51</v>
      </c>
      <c r="D174" s="2">
        <v>44600.494180983798</v>
      </c>
      <c r="E174" s="1" t="s">
        <v>8</v>
      </c>
      <c r="F174" s="1">
        <v>1</v>
      </c>
      <c r="G174" s="1">
        <v>0</v>
      </c>
      <c r="H174" s="6">
        <f>INT(Query1[[#This Row],[EntryDateTime]])</f>
        <v>44600</v>
      </c>
      <c r="I174" s="1">
        <f>IF(Query1[[#This Row],[ItemType]]="EVAP KIT SF GEN IV",Query1[[#This Row],[OrderQty]]+I173,I173)</f>
        <v>127</v>
      </c>
      <c r="J174" s="1">
        <f>IF(Query1[[#This Row],[ItemType]]="EVAP KIT UNIVERSAL",Query1[[#This Row],[OrderQty]]+J173,J173)</f>
        <v>276</v>
      </c>
      <c r="K174" s="1">
        <f>Query1[[#This Row],[SF Running Total]]+Query1[[#This Row],[UNIV Running Total]]</f>
        <v>403</v>
      </c>
      <c r="L174">
        <f>VLOOKUP(Query1[[#This Row],[Description]],'kits to boards'!$B$2:$E$156,2,FALSE)</f>
        <v>830043</v>
      </c>
      <c r="M174">
        <f>VLOOKUP(Query1[[#This Row],[Description]],'kits to boards'!$B$2:$E$156,3,FALSE)</f>
        <v>0</v>
      </c>
      <c r="N174">
        <f>VLOOKUP(Query1[[#This Row],[Description]],'kits to boards'!$B$2:$E$156,4,FALSE)</f>
        <v>0</v>
      </c>
      <c r="O174" t="str">
        <f>CONCATENATE(Query1[[#This Row],[Description]]," - ",Query1[[#This Row],[MB1]]," - ",Query1[[#This Row],[MB2]]," - ",Query1[[#This Row],[MB3]])</f>
        <v>EVAP KIT 69-74 NOVA WO AC - 830043 - 0 - 0</v>
      </c>
    </row>
    <row r="175" spans="1:15" x14ac:dyDescent="0.25">
      <c r="A175" s="1">
        <v>909628</v>
      </c>
      <c r="B175" s="1" t="s">
        <v>22</v>
      </c>
      <c r="C175" s="1" t="s">
        <v>23</v>
      </c>
      <c r="D175" s="2">
        <v>44600.494385879632</v>
      </c>
      <c r="E175" s="1" t="s">
        <v>8</v>
      </c>
      <c r="F175" s="1">
        <v>1</v>
      </c>
      <c r="G175" s="1">
        <v>0</v>
      </c>
      <c r="H175" s="6">
        <f>INT(Query1[[#This Row],[EntryDateTime]])</f>
        <v>44600</v>
      </c>
      <c r="I175" s="1">
        <f>IF(Query1[[#This Row],[ItemType]]="EVAP KIT SF GEN IV",Query1[[#This Row],[OrderQty]]+I174,I174)</f>
        <v>128</v>
      </c>
      <c r="J175" s="1">
        <f>IF(Query1[[#This Row],[ItemType]]="EVAP KIT UNIVERSAL",Query1[[#This Row],[OrderQty]]+J174,J174)</f>
        <v>276</v>
      </c>
      <c r="K175" s="1">
        <f>Query1[[#This Row],[SF Running Total]]+Query1[[#This Row],[UNIV Running Total]]</f>
        <v>404</v>
      </c>
      <c r="L175">
        <f>VLOOKUP(Query1[[#This Row],[Description]],'kits to boards'!$B$2:$E$156,2,FALSE)</f>
        <v>830083</v>
      </c>
      <c r="M175">
        <f>VLOOKUP(Query1[[#This Row],[Description]],'kits to boards'!$B$2:$E$156,3,FALSE)</f>
        <v>0</v>
      </c>
      <c r="N175">
        <f>VLOOKUP(Query1[[#This Row],[Description]],'kits to boards'!$B$2:$E$156,4,FALSE)</f>
        <v>0</v>
      </c>
      <c r="O175" t="str">
        <f>CONCATENATE(Query1[[#This Row],[Description]]," - ",Query1[[#This Row],[MB1]]," - ",Query1[[#This Row],[MB2]]," - ",Query1[[#This Row],[MB3]])</f>
        <v>GEN IV MAGNUM EVAP KIT - 830083 - 0 - 0</v>
      </c>
    </row>
    <row r="176" spans="1:15" x14ac:dyDescent="0.25">
      <c r="A176" s="1">
        <v>909631</v>
      </c>
      <c r="B176" s="1" t="s">
        <v>283</v>
      </c>
      <c r="C176" s="1" t="s">
        <v>284</v>
      </c>
      <c r="D176" s="2">
        <v>44600.497518900462</v>
      </c>
      <c r="E176" s="1" t="s">
        <v>8</v>
      </c>
      <c r="F176" s="1">
        <v>1</v>
      </c>
      <c r="G176" s="1">
        <v>0</v>
      </c>
      <c r="H176" s="6">
        <f>INT(Query1[[#This Row],[EntryDateTime]])</f>
        <v>44600</v>
      </c>
      <c r="I176" s="1">
        <f>IF(Query1[[#This Row],[ItemType]]="EVAP KIT SF GEN IV",Query1[[#This Row],[OrderQty]]+I175,I175)</f>
        <v>129</v>
      </c>
      <c r="J176" s="1">
        <f>IF(Query1[[#This Row],[ItemType]]="EVAP KIT UNIVERSAL",Query1[[#This Row],[OrderQty]]+J175,J175)</f>
        <v>276</v>
      </c>
      <c r="K176" s="1">
        <f>Query1[[#This Row],[SF Running Total]]+Query1[[#This Row],[UNIV Running Total]]</f>
        <v>405</v>
      </c>
      <c r="L176">
        <f>VLOOKUP(Query1[[#This Row],[Description]],'kits to boards'!$B$2:$E$156,2,FALSE)</f>
        <v>830033</v>
      </c>
      <c r="M176">
        <f>VLOOKUP(Query1[[#This Row],[Description]],'kits to boards'!$B$2:$E$156,3,FALSE)</f>
        <v>0</v>
      </c>
      <c r="N176">
        <f>VLOOKUP(Query1[[#This Row],[Description]],'kits to boards'!$B$2:$E$156,4,FALSE)</f>
        <v>0</v>
      </c>
      <c r="O176" t="str">
        <f>CONCATENATE(Query1[[#This Row],[Description]]," - ",Query1[[#This Row],[MB1]]," - ",Query1[[#This Row],[MB2]]," - ",Query1[[#This Row],[MB3]])</f>
        <v>EVAP KIT 66-67 CHARGER/CORONET WO AC - 830033 - 0 - 0</v>
      </c>
    </row>
    <row r="177" spans="1:15" x14ac:dyDescent="0.25">
      <c r="A177" s="1">
        <v>909636</v>
      </c>
      <c r="B177" s="1" t="s">
        <v>192</v>
      </c>
      <c r="C177" s="1" t="s">
        <v>193</v>
      </c>
      <c r="D177" s="2">
        <v>44600.501591863424</v>
      </c>
      <c r="E177" s="1" t="s">
        <v>8</v>
      </c>
      <c r="F177" s="1">
        <v>1</v>
      </c>
      <c r="G177" s="1">
        <v>0</v>
      </c>
      <c r="H177" s="6">
        <f>INT(Query1[[#This Row],[EntryDateTime]])</f>
        <v>44600</v>
      </c>
      <c r="I177" s="1">
        <f>IF(Query1[[#This Row],[ItemType]]="EVAP KIT SF GEN IV",Query1[[#This Row],[OrderQty]]+I176,I176)</f>
        <v>130</v>
      </c>
      <c r="J177" s="1">
        <f>IF(Query1[[#This Row],[ItemType]]="EVAP KIT UNIVERSAL",Query1[[#This Row],[OrderQty]]+J176,J176)</f>
        <v>276</v>
      </c>
      <c r="K177" s="1">
        <f>Query1[[#This Row],[SF Running Total]]+Query1[[#This Row],[UNIV Running Total]]</f>
        <v>406</v>
      </c>
      <c r="L177">
        <f>VLOOKUP(Query1[[#This Row],[Description]],'kits to boards'!$B$2:$E$156,2,FALSE)</f>
        <v>830094</v>
      </c>
      <c r="M177">
        <f>VLOOKUP(Query1[[#This Row],[Description]],'kits to boards'!$B$2:$E$156,3,FALSE)</f>
        <v>0</v>
      </c>
      <c r="N177">
        <f>VLOOKUP(Query1[[#This Row],[Description]],'kits to boards'!$B$2:$E$156,4,FALSE)</f>
        <v>0</v>
      </c>
      <c r="O177" t="str">
        <f>CONCATENATE(Query1[[#This Row],[Description]]," - ",Query1[[#This Row],[MB1]]," - ",Query1[[#This Row],[MB2]]," - ",Query1[[#This Row],[MB3]])</f>
        <v>EVAP KIT 69-73 VETTE W/AC - 830094 - 0 - 0</v>
      </c>
    </row>
    <row r="178" spans="1:15" x14ac:dyDescent="0.25">
      <c r="A178" s="1">
        <v>909641</v>
      </c>
      <c r="B178" s="1" t="s">
        <v>156</v>
      </c>
      <c r="C178" s="1" t="s">
        <v>157</v>
      </c>
      <c r="D178" s="2">
        <v>44600.505142974536</v>
      </c>
      <c r="E178" s="1" t="s">
        <v>8</v>
      </c>
      <c r="F178" s="1">
        <v>1</v>
      </c>
      <c r="G178" s="1">
        <v>0</v>
      </c>
      <c r="H178" s="6">
        <f>INT(Query1[[#This Row],[EntryDateTime]])</f>
        <v>44600</v>
      </c>
      <c r="I178" s="1">
        <f>IF(Query1[[#This Row],[ItemType]]="EVAP KIT SF GEN IV",Query1[[#This Row],[OrderQty]]+I177,I177)</f>
        <v>131</v>
      </c>
      <c r="J178" s="1">
        <f>IF(Query1[[#This Row],[ItemType]]="EVAP KIT UNIVERSAL",Query1[[#This Row],[OrderQty]]+J177,J177)</f>
        <v>276</v>
      </c>
      <c r="K178" s="1">
        <f>Query1[[#This Row],[SF Running Total]]+Query1[[#This Row],[UNIV Running Total]]</f>
        <v>407</v>
      </c>
      <c r="L178">
        <f>VLOOKUP(Query1[[#This Row],[Description]],'kits to boards'!$B$2:$E$156,2,FALSE)</f>
        <v>830019</v>
      </c>
      <c r="M178">
        <f>VLOOKUP(Query1[[#This Row],[Description]],'kits to boards'!$B$2:$E$156,3,FALSE)</f>
        <v>0</v>
      </c>
      <c r="N178">
        <f>VLOOKUP(Query1[[#This Row],[Description]],'kits to boards'!$B$2:$E$156,4,FALSE)</f>
        <v>0</v>
      </c>
      <c r="O178" t="str">
        <f>CONCATENATE(Query1[[#This Row],[Description]]," - ",Query1[[#This Row],[MB1]]," - ",Query1[[#This Row],[MB2]]," - ",Query1[[#This Row],[MB3]])</f>
        <v>EVAP KIT 70-81 FIREBIRD WO AC - 830019 - 0 - 0</v>
      </c>
    </row>
    <row r="179" spans="1:15" x14ac:dyDescent="0.25">
      <c r="A179" s="1">
        <v>909648</v>
      </c>
      <c r="B179" s="1" t="s">
        <v>16</v>
      </c>
      <c r="C179" s="1" t="s">
        <v>17</v>
      </c>
      <c r="D179" s="2">
        <v>44600.507252314812</v>
      </c>
      <c r="E179" s="1" t="s">
        <v>8</v>
      </c>
      <c r="F179" s="1">
        <v>1</v>
      </c>
      <c r="G179" s="1">
        <v>0</v>
      </c>
      <c r="H179" s="6">
        <f>INT(Query1[[#This Row],[EntryDateTime]])</f>
        <v>44600</v>
      </c>
      <c r="I179" s="1">
        <f>IF(Query1[[#This Row],[ItemType]]="EVAP KIT SF GEN IV",Query1[[#This Row],[OrderQty]]+I178,I178)</f>
        <v>132</v>
      </c>
      <c r="J179" s="1">
        <f>IF(Query1[[#This Row],[ItemType]]="EVAP KIT UNIVERSAL",Query1[[#This Row],[OrderQty]]+J178,J178)</f>
        <v>276</v>
      </c>
      <c r="K179" s="1">
        <f>Query1[[#This Row],[SF Running Total]]+Query1[[#This Row],[UNIV Running Total]]</f>
        <v>408</v>
      </c>
      <c r="L179">
        <f>VLOOKUP(Query1[[#This Row],[Description]],'kits to boards'!$B$2:$E$156,2,FALSE)</f>
        <v>830061</v>
      </c>
      <c r="M179">
        <f>VLOOKUP(Query1[[#This Row],[Description]],'kits to boards'!$B$2:$E$156,3,FALSE)</f>
        <v>0</v>
      </c>
      <c r="N179">
        <f>VLOOKUP(Query1[[#This Row],[Description]],'kits to boards'!$B$2:$E$156,4,FALSE)</f>
        <v>0</v>
      </c>
      <c r="O179" t="str">
        <f>CONCATENATE(Query1[[#This Row],[Description]]," - ",Query1[[#This Row],[MB1]]," - ",Query1[[#This Row],[MB2]]," - ",Query1[[#This Row],[MB3]])</f>
        <v>EVAP KIT 68-69 CHEVELLE W/AC - 830061 - 0 - 0</v>
      </c>
    </row>
    <row r="180" spans="1:15" x14ac:dyDescent="0.25">
      <c r="A180" s="1">
        <v>909649</v>
      </c>
      <c r="B180" s="1" t="s">
        <v>14</v>
      </c>
      <c r="C180" s="1" t="s">
        <v>15</v>
      </c>
      <c r="D180" s="2">
        <v>44600.508010995371</v>
      </c>
      <c r="E180" s="1" t="s">
        <v>8</v>
      </c>
      <c r="F180" s="1">
        <v>1</v>
      </c>
      <c r="G180" s="1">
        <v>0</v>
      </c>
      <c r="H180" s="6">
        <f>INT(Query1[[#This Row],[EntryDateTime]])</f>
        <v>44600</v>
      </c>
      <c r="I180" s="1">
        <f>IF(Query1[[#This Row],[ItemType]]="EVAP KIT SF GEN IV",Query1[[#This Row],[OrderQty]]+I179,I179)</f>
        <v>133</v>
      </c>
      <c r="J180" s="1">
        <f>IF(Query1[[#This Row],[ItemType]]="EVAP KIT UNIVERSAL",Query1[[#This Row],[OrderQty]]+J179,J179)</f>
        <v>276</v>
      </c>
      <c r="K180" s="1">
        <f>Query1[[#This Row],[SF Running Total]]+Query1[[#This Row],[UNIV Running Total]]</f>
        <v>409</v>
      </c>
      <c r="L180">
        <f>VLOOKUP(Query1[[#This Row],[Description]],'kits to boards'!$B$2:$E$156,2,FALSE)</f>
        <v>830054</v>
      </c>
      <c r="M180">
        <f>VLOOKUP(Query1[[#This Row],[Description]],'kits to boards'!$B$2:$E$156,3,FALSE)</f>
        <v>0</v>
      </c>
      <c r="N180">
        <f>VLOOKUP(Query1[[#This Row],[Description]],'kits to boards'!$B$2:$E$156,4,FALSE)</f>
        <v>0</v>
      </c>
      <c r="O180" t="str">
        <f>CONCATENATE(Query1[[#This Row],[Description]]," - ",Query1[[#This Row],[MB1]]," - ",Query1[[#This Row],[MB2]]," - ",Query1[[#This Row],[MB3]])</f>
        <v>EVAP KIT 55-56 CHEVY - 830054 - 0 - 0</v>
      </c>
    </row>
    <row r="181" spans="1:15" x14ac:dyDescent="0.25">
      <c r="A181" s="1">
        <v>909651</v>
      </c>
      <c r="B181" s="1" t="s">
        <v>170</v>
      </c>
      <c r="C181" s="1" t="s">
        <v>171</v>
      </c>
      <c r="D181" s="2">
        <v>44600.508518518516</v>
      </c>
      <c r="E181" s="1" t="s">
        <v>8</v>
      </c>
      <c r="F181" s="1">
        <v>1</v>
      </c>
      <c r="G181" s="1">
        <v>0</v>
      </c>
      <c r="H181" s="6">
        <f>INT(Query1[[#This Row],[EntryDateTime]])</f>
        <v>44600</v>
      </c>
      <c r="I181" s="1">
        <f>IF(Query1[[#This Row],[ItemType]]="EVAP KIT SF GEN IV",Query1[[#This Row],[OrderQty]]+I180,I180)</f>
        <v>134</v>
      </c>
      <c r="J181" s="1">
        <f>IF(Query1[[#This Row],[ItemType]]="EVAP KIT UNIVERSAL",Query1[[#This Row],[OrderQty]]+J180,J180)</f>
        <v>276</v>
      </c>
      <c r="K181" s="1">
        <f>Query1[[#This Row],[SF Running Total]]+Query1[[#This Row],[UNIV Running Total]]</f>
        <v>410</v>
      </c>
      <c r="L181">
        <f>VLOOKUP(Query1[[#This Row],[Description]],'kits to boards'!$B$2:$E$156,2,FALSE)</f>
        <v>830018</v>
      </c>
      <c r="M181">
        <f>VLOOKUP(Query1[[#This Row],[Description]],'kits to boards'!$B$2:$E$156,3,FALSE)</f>
        <v>0</v>
      </c>
      <c r="N181">
        <f>VLOOKUP(Query1[[#This Row],[Description]],'kits to boards'!$B$2:$E$156,4,FALSE)</f>
        <v>0</v>
      </c>
      <c r="O181" t="str">
        <f>CONCATENATE(Query1[[#This Row],[Description]]," - ",Query1[[#This Row],[MB1]]," - ",Query1[[#This Row],[MB2]]," - ",Query1[[#This Row],[MB3]])</f>
        <v>EVAP KIT 67 FORD P-UP F-100 - 830018 - 0 - 0</v>
      </c>
    </row>
    <row r="182" spans="1:15" x14ac:dyDescent="0.25">
      <c r="A182" s="1">
        <v>909658</v>
      </c>
      <c r="B182" s="1" t="s">
        <v>22</v>
      </c>
      <c r="C182" s="1" t="s">
        <v>23</v>
      </c>
      <c r="D182" s="2">
        <v>44600.512548182873</v>
      </c>
      <c r="E182" s="1" t="s">
        <v>8</v>
      </c>
      <c r="F182" s="1">
        <v>4</v>
      </c>
      <c r="G182" s="1">
        <v>0</v>
      </c>
      <c r="H182" s="6">
        <f>INT(Query1[[#This Row],[EntryDateTime]])</f>
        <v>44600</v>
      </c>
      <c r="I182" s="1">
        <f>IF(Query1[[#This Row],[ItemType]]="EVAP KIT SF GEN IV",Query1[[#This Row],[OrderQty]]+I181,I181)</f>
        <v>138</v>
      </c>
      <c r="J182" s="1">
        <f>IF(Query1[[#This Row],[ItemType]]="EVAP KIT UNIVERSAL",Query1[[#This Row],[OrderQty]]+J181,J181)</f>
        <v>276</v>
      </c>
      <c r="K182" s="1">
        <f>Query1[[#This Row],[SF Running Total]]+Query1[[#This Row],[UNIV Running Total]]</f>
        <v>414</v>
      </c>
      <c r="L182">
        <f>VLOOKUP(Query1[[#This Row],[Description]],'kits to boards'!$B$2:$E$156,2,FALSE)</f>
        <v>830083</v>
      </c>
      <c r="M182">
        <f>VLOOKUP(Query1[[#This Row],[Description]],'kits to boards'!$B$2:$E$156,3,FALSE)</f>
        <v>0</v>
      </c>
      <c r="N182">
        <f>VLOOKUP(Query1[[#This Row],[Description]],'kits to boards'!$B$2:$E$156,4,FALSE)</f>
        <v>0</v>
      </c>
      <c r="O182" t="str">
        <f>CONCATENATE(Query1[[#This Row],[Description]]," - ",Query1[[#This Row],[MB1]]," - ",Query1[[#This Row],[MB2]]," - ",Query1[[#This Row],[MB3]])</f>
        <v>GEN IV MAGNUM EVAP KIT - 830083 - 0 - 0</v>
      </c>
    </row>
    <row r="183" spans="1:15" x14ac:dyDescent="0.25">
      <c r="A183" s="1">
        <v>909664</v>
      </c>
      <c r="B183" s="1" t="s">
        <v>140</v>
      </c>
      <c r="C183" s="1" t="s">
        <v>141</v>
      </c>
      <c r="D183" s="2">
        <v>44600.515256099534</v>
      </c>
      <c r="E183" s="1" t="s">
        <v>8</v>
      </c>
      <c r="F183" s="1">
        <v>1</v>
      </c>
      <c r="G183" s="1">
        <v>0</v>
      </c>
      <c r="H183" s="6">
        <f>INT(Query1[[#This Row],[EntryDateTime]])</f>
        <v>44600</v>
      </c>
      <c r="I183" s="1">
        <f>IF(Query1[[#This Row],[ItemType]]="EVAP KIT SF GEN IV",Query1[[#This Row],[OrderQty]]+I182,I182)</f>
        <v>139</v>
      </c>
      <c r="J183" s="1">
        <f>IF(Query1[[#This Row],[ItemType]]="EVAP KIT UNIVERSAL",Query1[[#This Row],[OrderQty]]+J182,J182)</f>
        <v>276</v>
      </c>
      <c r="K183" s="1">
        <f>Query1[[#This Row],[SF Running Total]]+Query1[[#This Row],[UNIV Running Total]]</f>
        <v>415</v>
      </c>
      <c r="L183">
        <f>VLOOKUP(Query1[[#This Row],[Description]],'kits to boards'!$B$2:$E$156,2,FALSE)</f>
        <v>830066</v>
      </c>
      <c r="M183">
        <f>VLOOKUP(Query1[[#This Row],[Description]],'kits to boards'!$B$2:$E$156,3,FALSE)</f>
        <v>0</v>
      </c>
      <c r="N183">
        <f>VLOOKUP(Query1[[#This Row],[Description]],'kits to boards'!$B$2:$E$156,4,FALSE)</f>
        <v>0</v>
      </c>
      <c r="O183" t="str">
        <f>CONCATENATE(Query1[[#This Row],[Description]]," - ",Query1[[#This Row],[MB1]]," - ",Query1[[#This Row],[MB2]]," - ",Query1[[#This Row],[MB3]])</f>
        <v>EVAP KIT 60-63 CHEV P-UP WO AC - 830066 - 0 - 0</v>
      </c>
    </row>
    <row r="184" spans="1:15" x14ac:dyDescent="0.25">
      <c r="A184" s="1">
        <v>909662</v>
      </c>
      <c r="B184" s="1" t="s">
        <v>256</v>
      </c>
      <c r="C184" s="1" t="s">
        <v>257</v>
      </c>
      <c r="D184" s="2">
        <v>44600.515740428244</v>
      </c>
      <c r="E184" s="1" t="s">
        <v>8</v>
      </c>
      <c r="F184" s="1">
        <v>1</v>
      </c>
      <c r="G184" s="1">
        <v>0</v>
      </c>
      <c r="H184" s="6">
        <f>INT(Query1[[#This Row],[EntryDateTime]])</f>
        <v>44600</v>
      </c>
      <c r="I184" s="1">
        <f>IF(Query1[[#This Row],[ItemType]]="EVAP KIT SF GEN IV",Query1[[#This Row],[OrderQty]]+I183,I183)</f>
        <v>140</v>
      </c>
      <c r="J184" s="1">
        <f>IF(Query1[[#This Row],[ItemType]]="EVAP KIT UNIVERSAL",Query1[[#This Row],[OrderQty]]+J183,J183)</f>
        <v>276</v>
      </c>
      <c r="K184" s="1">
        <f>Query1[[#This Row],[SF Running Total]]+Query1[[#This Row],[UNIV Running Total]]</f>
        <v>416</v>
      </c>
      <c r="L184">
        <f>VLOOKUP(Query1[[#This Row],[Description]],'kits to boards'!$B$2:$E$156,2,FALSE)</f>
        <v>830025</v>
      </c>
      <c r="M184">
        <f>VLOOKUP(Query1[[#This Row],[Description]],'kits to boards'!$B$2:$E$156,3,FALSE)</f>
        <v>830022</v>
      </c>
      <c r="N184">
        <f>VLOOKUP(Query1[[#This Row],[Description]],'kits to boards'!$B$2:$E$156,4,FALSE)</f>
        <v>0</v>
      </c>
      <c r="O184" t="str">
        <f>CONCATENATE(Query1[[#This Row],[Description]]," - ",Query1[[#This Row],[MB1]]," - ",Query1[[#This Row],[MB2]]," - ",Query1[[#This Row],[MB3]])</f>
        <v>EVAP KIT 68-69 CUTLASS W/AC - 830025 - 830022 - 0</v>
      </c>
    </row>
    <row r="185" spans="1:15" x14ac:dyDescent="0.25">
      <c r="A185" s="1">
        <v>909666</v>
      </c>
      <c r="B185" s="1" t="s">
        <v>14</v>
      </c>
      <c r="C185" s="1" t="s">
        <v>15</v>
      </c>
      <c r="D185" s="2">
        <v>44600.517899386577</v>
      </c>
      <c r="E185" s="1" t="s">
        <v>8</v>
      </c>
      <c r="F185" s="1">
        <v>1</v>
      </c>
      <c r="G185" s="1">
        <v>0</v>
      </c>
      <c r="H185" s="6">
        <f>INT(Query1[[#This Row],[EntryDateTime]])</f>
        <v>44600</v>
      </c>
      <c r="I185" s="1">
        <f>IF(Query1[[#This Row],[ItemType]]="EVAP KIT SF GEN IV",Query1[[#This Row],[OrderQty]]+I184,I184)</f>
        <v>141</v>
      </c>
      <c r="J185" s="1">
        <f>IF(Query1[[#This Row],[ItemType]]="EVAP KIT UNIVERSAL",Query1[[#This Row],[OrderQty]]+J184,J184)</f>
        <v>276</v>
      </c>
      <c r="K185" s="1">
        <f>Query1[[#This Row],[SF Running Total]]+Query1[[#This Row],[UNIV Running Total]]</f>
        <v>417</v>
      </c>
      <c r="L185">
        <f>VLOOKUP(Query1[[#This Row],[Description]],'kits to boards'!$B$2:$E$156,2,FALSE)</f>
        <v>830054</v>
      </c>
      <c r="M185">
        <f>VLOOKUP(Query1[[#This Row],[Description]],'kits to boards'!$B$2:$E$156,3,FALSE)</f>
        <v>0</v>
      </c>
      <c r="N185">
        <f>VLOOKUP(Query1[[#This Row],[Description]],'kits to boards'!$B$2:$E$156,4,FALSE)</f>
        <v>0</v>
      </c>
      <c r="O185" t="str">
        <f>CONCATENATE(Query1[[#This Row],[Description]]," - ",Query1[[#This Row],[MB1]]," - ",Query1[[#This Row],[MB2]]," - ",Query1[[#This Row],[MB3]])</f>
        <v>EVAP KIT 55-56 CHEVY - 830054 - 0 - 0</v>
      </c>
    </row>
    <row r="186" spans="1:15" x14ac:dyDescent="0.25">
      <c r="A186" s="1">
        <v>909668</v>
      </c>
      <c r="B186" s="1" t="s">
        <v>64</v>
      </c>
      <c r="C186" s="1" t="s">
        <v>65</v>
      </c>
      <c r="D186" s="2">
        <v>44600.521330555559</v>
      </c>
      <c r="E186" s="1" t="s">
        <v>8</v>
      </c>
      <c r="F186" s="1">
        <v>1</v>
      </c>
      <c r="G186" s="1">
        <v>0</v>
      </c>
      <c r="H186" s="6">
        <f>INT(Query1[[#This Row],[EntryDateTime]])</f>
        <v>44600</v>
      </c>
      <c r="I186" s="1">
        <f>IF(Query1[[#This Row],[ItemType]]="EVAP KIT SF GEN IV",Query1[[#This Row],[OrderQty]]+I185,I185)</f>
        <v>142</v>
      </c>
      <c r="J186" s="1">
        <f>IF(Query1[[#This Row],[ItemType]]="EVAP KIT UNIVERSAL",Query1[[#This Row],[OrderQty]]+J185,J185)</f>
        <v>276</v>
      </c>
      <c r="K186" s="1">
        <f>Query1[[#This Row],[SF Running Total]]+Query1[[#This Row],[UNIV Running Total]]</f>
        <v>418</v>
      </c>
      <c r="L186">
        <f>VLOOKUP(Query1[[#This Row],[Description]],'kits to boards'!$B$2:$E$156,2,FALSE)</f>
        <v>830067</v>
      </c>
      <c r="M186">
        <f>VLOOKUP(Query1[[#This Row],[Description]],'kits to boards'!$B$2:$E$156,3,FALSE)</f>
        <v>0</v>
      </c>
      <c r="N186">
        <f>VLOOKUP(Query1[[#This Row],[Description]],'kits to boards'!$B$2:$E$156,4,FALSE)</f>
        <v>0</v>
      </c>
      <c r="O186" t="str">
        <f>CONCATENATE(Query1[[#This Row],[Description]]," - ",Query1[[#This Row],[MB1]]," - ",Query1[[#This Row],[MB2]]," - ",Query1[[#This Row],[MB3]])</f>
        <v>EVAP KIT 59-60 CHEV CAR 4-LEVER - 830067 - 0 - 0</v>
      </c>
    </row>
    <row r="187" spans="1:15" x14ac:dyDescent="0.25">
      <c r="A187" s="1">
        <v>909673</v>
      </c>
      <c r="B187" s="1" t="s">
        <v>106</v>
      </c>
      <c r="C187" s="1" t="s">
        <v>253</v>
      </c>
      <c r="D187" s="2">
        <v>44600.524293750001</v>
      </c>
      <c r="E187" s="1" t="s">
        <v>8</v>
      </c>
      <c r="F187" s="1">
        <v>1</v>
      </c>
      <c r="G187" s="1">
        <v>0</v>
      </c>
      <c r="H187" s="6">
        <f>INT(Query1[[#This Row],[EntryDateTime]])</f>
        <v>44600</v>
      </c>
      <c r="I187" s="1">
        <f>IF(Query1[[#This Row],[ItemType]]="EVAP KIT SF GEN IV",Query1[[#This Row],[OrderQty]]+I186,I186)</f>
        <v>143</v>
      </c>
      <c r="J187" s="1">
        <f>IF(Query1[[#This Row],[ItemType]]="EVAP KIT UNIVERSAL",Query1[[#This Row],[OrderQty]]+J186,J186)</f>
        <v>276</v>
      </c>
      <c r="K187" s="1">
        <f>Query1[[#This Row],[SF Running Total]]+Query1[[#This Row],[UNIV Running Total]]</f>
        <v>419</v>
      </c>
      <c r="L187">
        <f>VLOOKUP(Query1[[#This Row],[Description]],'kits to boards'!$B$2:$E$156,2,FALSE)</f>
        <v>830028</v>
      </c>
      <c r="M187">
        <f>VLOOKUP(Query1[[#This Row],[Description]],'kits to boards'!$B$2:$E$156,3,FALSE)</f>
        <v>0</v>
      </c>
      <c r="N187">
        <f>VLOOKUP(Query1[[#This Row],[Description]],'kits to boards'!$B$2:$E$156,4,FALSE)</f>
        <v>0</v>
      </c>
      <c r="O187" t="str">
        <f>CONCATENATE(Query1[[#This Row],[Description]]," - ",Query1[[#This Row],[MB1]]," - ",Query1[[#This Row],[MB2]]," - ",Query1[[#This Row],[MB3]])</f>
        <v>EVAP KIT 55-59 CHEV P-UP WO AC W/DELX  - 830028 - 0 - 0</v>
      </c>
    </row>
    <row r="188" spans="1:15" x14ac:dyDescent="0.25">
      <c r="A188" s="1">
        <v>909677</v>
      </c>
      <c r="B188" s="1" t="s">
        <v>218</v>
      </c>
      <c r="C188" s="1" t="s">
        <v>219</v>
      </c>
      <c r="D188" s="2">
        <v>44600.528620833335</v>
      </c>
      <c r="E188" s="1" t="s">
        <v>8</v>
      </c>
      <c r="F188" s="1">
        <v>1</v>
      </c>
      <c r="G188" s="1">
        <v>0</v>
      </c>
      <c r="H188" s="6">
        <f>INT(Query1[[#This Row],[EntryDateTime]])</f>
        <v>44600</v>
      </c>
      <c r="I188" s="1">
        <f>IF(Query1[[#This Row],[ItemType]]="EVAP KIT SF GEN IV",Query1[[#This Row],[OrderQty]]+I187,I187)</f>
        <v>144</v>
      </c>
      <c r="J188" s="1">
        <f>IF(Query1[[#This Row],[ItemType]]="EVAP KIT UNIVERSAL",Query1[[#This Row],[OrderQty]]+J187,J187)</f>
        <v>276</v>
      </c>
      <c r="K188" s="1">
        <f>Query1[[#This Row],[SF Running Total]]+Query1[[#This Row],[UNIV Running Total]]</f>
        <v>420</v>
      </c>
      <c r="L188">
        <f>VLOOKUP(Query1[[#This Row],[Description]],'kits to boards'!$B$2:$E$156,2,FALSE)</f>
        <v>830022</v>
      </c>
      <c r="M188">
        <f>VLOOKUP(Query1[[#This Row],[Description]],'kits to boards'!$B$2:$E$156,3,FALSE)</f>
        <v>0</v>
      </c>
      <c r="N188">
        <f>VLOOKUP(Query1[[#This Row],[Description]],'kits to boards'!$B$2:$E$156,4,FALSE)</f>
        <v>0</v>
      </c>
      <c r="O188" t="str">
        <f>CONCATENATE(Query1[[#This Row],[Description]]," - ",Query1[[#This Row],[MB1]]," - ",Query1[[#This Row],[MB2]]," - ",Query1[[#This Row],[MB3]])</f>
        <v>EVAP KIT 69 CUTLASS WO AC - 830022 - 0 - 0</v>
      </c>
    </row>
    <row r="189" spans="1:15" x14ac:dyDescent="0.25">
      <c r="A189" s="1">
        <v>909680</v>
      </c>
      <c r="B189" s="1" t="s">
        <v>152</v>
      </c>
      <c r="C189" s="1" t="s">
        <v>153</v>
      </c>
      <c r="D189" s="2">
        <v>44600.531706018519</v>
      </c>
      <c r="E189" s="1" t="s">
        <v>8</v>
      </c>
      <c r="F189" s="1">
        <v>1</v>
      </c>
      <c r="G189" s="1">
        <v>0</v>
      </c>
      <c r="H189" s="6">
        <f>INT(Query1[[#This Row],[EntryDateTime]])</f>
        <v>44600</v>
      </c>
      <c r="I189" s="1">
        <f>IF(Query1[[#This Row],[ItemType]]="EVAP KIT SF GEN IV",Query1[[#This Row],[OrderQty]]+I188,I188)</f>
        <v>145</v>
      </c>
      <c r="J189" s="1">
        <f>IF(Query1[[#This Row],[ItemType]]="EVAP KIT UNIVERSAL",Query1[[#This Row],[OrderQty]]+J188,J188)</f>
        <v>276</v>
      </c>
      <c r="K189" s="1">
        <f>Query1[[#This Row],[SF Running Total]]+Query1[[#This Row],[UNIV Running Total]]</f>
        <v>421</v>
      </c>
      <c r="L189">
        <f>VLOOKUP(Query1[[#This Row],[Description]],'kits to boards'!$B$2:$E$156,2,FALSE)</f>
        <v>830034</v>
      </c>
      <c r="M189">
        <f>VLOOKUP(Query1[[#This Row],[Description]],'kits to boards'!$B$2:$E$156,3,FALSE)</f>
        <v>0</v>
      </c>
      <c r="N189">
        <f>VLOOKUP(Query1[[#This Row],[Description]],'kits to boards'!$B$2:$E$156,4,FALSE)</f>
        <v>0</v>
      </c>
      <c r="O189" t="str">
        <f>CONCATENATE(Query1[[#This Row],[Description]]," - ",Query1[[#This Row],[MB1]]," - ",Query1[[#This Row],[MB2]]," - ",Query1[[#This Row],[MB3]])</f>
        <v>EVAP KIT 64-67 GTO WO AC - 830034 - 0 - 0</v>
      </c>
    </row>
    <row r="190" spans="1:15" x14ac:dyDescent="0.25">
      <c r="A190" s="1">
        <v>909681</v>
      </c>
      <c r="B190" s="1" t="s">
        <v>84</v>
      </c>
      <c r="C190" s="1" t="s">
        <v>85</v>
      </c>
      <c r="D190" s="2">
        <v>44600.532064733794</v>
      </c>
      <c r="E190" s="1" t="s">
        <v>8</v>
      </c>
      <c r="F190" s="1">
        <v>1</v>
      </c>
      <c r="G190" s="1">
        <v>0</v>
      </c>
      <c r="H190" s="6">
        <f>INT(Query1[[#This Row],[EntryDateTime]])</f>
        <v>44600</v>
      </c>
      <c r="I190" s="1">
        <f>IF(Query1[[#This Row],[ItemType]]="EVAP KIT SF GEN IV",Query1[[#This Row],[OrderQty]]+I189,I189)</f>
        <v>146</v>
      </c>
      <c r="J190" s="1">
        <f>IF(Query1[[#This Row],[ItemType]]="EVAP KIT UNIVERSAL",Query1[[#This Row],[OrderQty]]+J189,J189)</f>
        <v>276</v>
      </c>
      <c r="K190" s="1">
        <f>Query1[[#This Row],[SF Running Total]]+Query1[[#This Row],[UNIV Running Total]]</f>
        <v>422</v>
      </c>
      <c r="L190">
        <f>VLOOKUP(Query1[[#This Row],[Description]],'kits to boards'!$B$2:$E$156,2,FALSE)</f>
        <v>830085</v>
      </c>
      <c r="M190">
        <f>VLOOKUP(Query1[[#This Row],[Description]],'kits to boards'!$B$2:$E$156,3,FALSE)</f>
        <v>0</v>
      </c>
      <c r="N190">
        <f>VLOOKUP(Query1[[#This Row],[Description]],'kits to boards'!$B$2:$E$156,4,FALSE)</f>
        <v>0</v>
      </c>
      <c r="O190" t="str">
        <f>CONCATENATE(Query1[[#This Row],[Description]]," - ",Query1[[#This Row],[MB1]]," - ",Query1[[#This Row],[MB2]]," - ",Query1[[#This Row],[MB3]])</f>
        <v>EVAP KIT 66-77 BRONCO 4-VENT PLENUM - 830085 - 0 - 0</v>
      </c>
    </row>
    <row r="191" spans="1:15" x14ac:dyDescent="0.25">
      <c r="A191" s="1">
        <v>909684</v>
      </c>
      <c r="B191" s="1" t="s">
        <v>18</v>
      </c>
      <c r="C191" s="1" t="s">
        <v>19</v>
      </c>
      <c r="D191" s="2">
        <v>44600.534355173608</v>
      </c>
      <c r="E191" s="1" t="s">
        <v>8</v>
      </c>
      <c r="F191" s="1">
        <v>1</v>
      </c>
      <c r="G191" s="1">
        <v>0</v>
      </c>
      <c r="H191" s="6">
        <f>INT(Query1[[#This Row],[EntryDateTime]])</f>
        <v>44600</v>
      </c>
      <c r="I191" s="1">
        <f>IF(Query1[[#This Row],[ItemType]]="EVAP KIT SF GEN IV",Query1[[#This Row],[OrderQty]]+I190,I190)</f>
        <v>147</v>
      </c>
      <c r="J191" s="1">
        <f>IF(Query1[[#This Row],[ItemType]]="EVAP KIT UNIVERSAL",Query1[[#This Row],[OrderQty]]+J190,J190)</f>
        <v>276</v>
      </c>
      <c r="K191" s="1">
        <f>Query1[[#This Row],[SF Running Total]]+Query1[[#This Row],[UNIV Running Total]]</f>
        <v>423</v>
      </c>
      <c r="L191">
        <f>VLOOKUP(Query1[[#This Row],[Description]],'kits to boards'!$B$2:$E$156,2,FALSE)</f>
        <v>830051</v>
      </c>
      <c r="M191">
        <f>VLOOKUP(Query1[[#This Row],[Description]],'kits to boards'!$B$2:$E$156,3,FALSE)</f>
        <v>0</v>
      </c>
      <c r="N191">
        <f>VLOOKUP(Query1[[#This Row],[Description]],'kits to boards'!$B$2:$E$156,4,FALSE)</f>
        <v>0</v>
      </c>
      <c r="O191" t="str">
        <f>CONCATENATE(Query1[[#This Row],[Description]]," - ",Query1[[#This Row],[MB1]]," - ",Query1[[#This Row],[MB2]]," - ",Query1[[#This Row],[MB3]])</f>
        <v>EVAP KIT 70-78 CAMARO W/AC - 830051 - 0 - 0</v>
      </c>
    </row>
    <row r="192" spans="1:15" x14ac:dyDescent="0.25">
      <c r="A192" s="1">
        <v>909637</v>
      </c>
      <c r="B192" s="1" t="s">
        <v>14</v>
      </c>
      <c r="C192" s="1" t="s">
        <v>15</v>
      </c>
      <c r="D192" s="2">
        <v>44600.534587881943</v>
      </c>
      <c r="E192" s="1" t="s">
        <v>8</v>
      </c>
      <c r="F192" s="1">
        <v>1</v>
      </c>
      <c r="G192" s="1">
        <v>0</v>
      </c>
      <c r="H192" s="6">
        <f>INT(Query1[[#This Row],[EntryDateTime]])</f>
        <v>44600</v>
      </c>
      <c r="I192" s="1">
        <f>IF(Query1[[#This Row],[ItemType]]="EVAP KIT SF GEN IV",Query1[[#This Row],[OrderQty]]+I191,I191)</f>
        <v>148</v>
      </c>
      <c r="J192" s="1">
        <f>IF(Query1[[#This Row],[ItemType]]="EVAP KIT UNIVERSAL",Query1[[#This Row],[OrderQty]]+J191,J191)</f>
        <v>276</v>
      </c>
      <c r="K192" s="1">
        <f>Query1[[#This Row],[SF Running Total]]+Query1[[#This Row],[UNIV Running Total]]</f>
        <v>424</v>
      </c>
      <c r="L192">
        <f>VLOOKUP(Query1[[#This Row],[Description]],'kits to boards'!$B$2:$E$156,2,FALSE)</f>
        <v>830054</v>
      </c>
      <c r="M192">
        <f>VLOOKUP(Query1[[#This Row],[Description]],'kits to boards'!$B$2:$E$156,3,FALSE)</f>
        <v>0</v>
      </c>
      <c r="N192">
        <f>VLOOKUP(Query1[[#This Row],[Description]],'kits to boards'!$B$2:$E$156,4,FALSE)</f>
        <v>0</v>
      </c>
      <c r="O192" t="str">
        <f>CONCATENATE(Query1[[#This Row],[Description]]," - ",Query1[[#This Row],[MB1]]," - ",Query1[[#This Row],[MB2]]," - ",Query1[[#This Row],[MB3]])</f>
        <v>EVAP KIT 55-56 CHEVY - 830054 - 0 - 0</v>
      </c>
    </row>
    <row r="193" spans="1:15" x14ac:dyDescent="0.25">
      <c r="A193" s="1">
        <v>909686</v>
      </c>
      <c r="B193" s="1" t="s">
        <v>28</v>
      </c>
      <c r="C193" s="1" t="s">
        <v>29</v>
      </c>
      <c r="D193" s="2">
        <v>44600.535339004629</v>
      </c>
      <c r="E193" s="1" t="s">
        <v>8</v>
      </c>
      <c r="F193" s="1">
        <v>1</v>
      </c>
      <c r="G193" s="1">
        <v>0</v>
      </c>
      <c r="H193" s="6">
        <f>INT(Query1[[#This Row],[EntryDateTime]])</f>
        <v>44600</v>
      </c>
      <c r="I193" s="1">
        <f>IF(Query1[[#This Row],[ItemType]]="EVAP KIT SF GEN IV",Query1[[#This Row],[OrderQty]]+I192,I192)</f>
        <v>149</v>
      </c>
      <c r="J193" s="1">
        <f>IF(Query1[[#This Row],[ItemType]]="EVAP KIT UNIVERSAL",Query1[[#This Row],[OrderQty]]+J192,J192)</f>
        <v>276</v>
      </c>
      <c r="K193" s="1">
        <f>Query1[[#This Row],[SF Running Total]]+Query1[[#This Row],[UNIV Running Total]]</f>
        <v>425</v>
      </c>
      <c r="L193">
        <f>VLOOKUP(Query1[[#This Row],[Description]],'kits to boards'!$B$2:$E$156,2,FALSE)</f>
        <v>830001</v>
      </c>
      <c r="M193">
        <f>VLOOKUP(Query1[[#This Row],[Description]],'kits to boards'!$B$2:$E$156,3,FALSE)</f>
        <v>0</v>
      </c>
      <c r="N193">
        <f>VLOOKUP(Query1[[#This Row],[Description]],'kits to boards'!$B$2:$E$156,4,FALSE)</f>
        <v>0</v>
      </c>
      <c r="O193" t="str">
        <f>CONCATENATE(Query1[[#This Row],[Description]]," - ",Query1[[#This Row],[MB1]]," - ",Query1[[#This Row],[MB2]]," - ",Query1[[#This Row],[MB3]])</f>
        <v>EVAP KIT 73-80 CHEV P-UP W/AC - 830001 - 0 - 0</v>
      </c>
    </row>
    <row r="194" spans="1:15" x14ac:dyDescent="0.25">
      <c r="A194" s="1">
        <v>909688</v>
      </c>
      <c r="B194" s="1" t="s">
        <v>158</v>
      </c>
      <c r="C194" s="1" t="s">
        <v>159</v>
      </c>
      <c r="D194" s="2">
        <v>44600.538492210646</v>
      </c>
      <c r="E194" s="1" t="s">
        <v>8</v>
      </c>
      <c r="F194" s="1">
        <v>1</v>
      </c>
      <c r="G194" s="1">
        <v>0</v>
      </c>
      <c r="H194" s="6">
        <f>INT(Query1[[#This Row],[EntryDateTime]])</f>
        <v>44600</v>
      </c>
      <c r="I194" s="1">
        <f>IF(Query1[[#This Row],[ItemType]]="EVAP KIT SF GEN IV",Query1[[#This Row],[OrderQty]]+I193,I193)</f>
        <v>150</v>
      </c>
      <c r="J194" s="1">
        <f>IF(Query1[[#This Row],[ItemType]]="EVAP KIT UNIVERSAL",Query1[[#This Row],[OrderQty]]+J193,J193)</f>
        <v>276</v>
      </c>
      <c r="K194" s="1">
        <f>Query1[[#This Row],[SF Running Total]]+Query1[[#This Row],[UNIV Running Total]]</f>
        <v>426</v>
      </c>
      <c r="L194">
        <f>VLOOKUP(Query1[[#This Row],[Description]],'kits to boards'!$B$2:$E$156,2,FALSE)</f>
        <v>830080</v>
      </c>
      <c r="M194">
        <f>VLOOKUP(Query1[[#This Row],[Description]],'kits to boards'!$B$2:$E$156,3,FALSE)</f>
        <v>830046</v>
      </c>
      <c r="N194">
        <f>VLOOKUP(Query1[[#This Row],[Description]],'kits to boards'!$B$2:$E$156,4,FALSE)</f>
        <v>0</v>
      </c>
      <c r="O194" t="str">
        <f>CONCATENATE(Query1[[#This Row],[Description]]," - ",Query1[[#This Row],[MB1]]," - ",Query1[[#This Row],[MB2]]," - ",Query1[[#This Row],[MB3]])</f>
        <v>EVAP KIT 69-70 MUSTANG W/AC  - 830080 - 830046 - 0</v>
      </c>
    </row>
    <row r="195" spans="1:15" x14ac:dyDescent="0.25">
      <c r="A195" s="1">
        <v>909689</v>
      </c>
      <c r="B195" s="1" t="s">
        <v>22</v>
      </c>
      <c r="C195" s="1" t="s">
        <v>23</v>
      </c>
      <c r="D195" s="2">
        <v>44600.53949841435</v>
      </c>
      <c r="E195" s="1" t="s">
        <v>8</v>
      </c>
      <c r="F195" s="1">
        <v>1</v>
      </c>
      <c r="G195" s="1">
        <v>0</v>
      </c>
      <c r="H195" s="6">
        <f>INT(Query1[[#This Row],[EntryDateTime]])</f>
        <v>44600</v>
      </c>
      <c r="I195" s="1">
        <f>IF(Query1[[#This Row],[ItemType]]="EVAP KIT SF GEN IV",Query1[[#This Row],[OrderQty]]+I194,I194)</f>
        <v>151</v>
      </c>
      <c r="J195" s="1">
        <f>IF(Query1[[#This Row],[ItemType]]="EVAP KIT UNIVERSAL",Query1[[#This Row],[OrderQty]]+J194,J194)</f>
        <v>276</v>
      </c>
      <c r="K195" s="1">
        <f>Query1[[#This Row],[SF Running Total]]+Query1[[#This Row],[UNIV Running Total]]</f>
        <v>427</v>
      </c>
      <c r="L195">
        <f>VLOOKUP(Query1[[#This Row],[Description]],'kits to boards'!$B$2:$E$156,2,FALSE)</f>
        <v>830083</v>
      </c>
      <c r="M195">
        <f>VLOOKUP(Query1[[#This Row],[Description]],'kits to boards'!$B$2:$E$156,3,FALSE)</f>
        <v>0</v>
      </c>
      <c r="N195">
        <f>VLOOKUP(Query1[[#This Row],[Description]],'kits to boards'!$B$2:$E$156,4,FALSE)</f>
        <v>0</v>
      </c>
      <c r="O195" t="str">
        <f>CONCATENATE(Query1[[#This Row],[Description]]," - ",Query1[[#This Row],[MB1]]," - ",Query1[[#This Row],[MB2]]," - ",Query1[[#This Row],[MB3]])</f>
        <v>GEN IV MAGNUM EVAP KIT - 830083 - 0 - 0</v>
      </c>
    </row>
    <row r="196" spans="1:15" x14ac:dyDescent="0.25">
      <c r="A196" s="1">
        <v>909691</v>
      </c>
      <c r="B196" s="1" t="s">
        <v>106</v>
      </c>
      <c r="C196" s="1" t="s">
        <v>253</v>
      </c>
      <c r="D196" s="2">
        <v>44600.541131516205</v>
      </c>
      <c r="E196" s="1" t="s">
        <v>8</v>
      </c>
      <c r="F196" s="1">
        <v>1</v>
      </c>
      <c r="G196" s="1">
        <v>0</v>
      </c>
      <c r="H196" s="6">
        <f>INT(Query1[[#This Row],[EntryDateTime]])</f>
        <v>44600</v>
      </c>
      <c r="I196" s="1">
        <f>IF(Query1[[#This Row],[ItemType]]="EVAP KIT SF GEN IV",Query1[[#This Row],[OrderQty]]+I195,I195)</f>
        <v>152</v>
      </c>
      <c r="J196" s="1">
        <f>IF(Query1[[#This Row],[ItemType]]="EVAP KIT UNIVERSAL",Query1[[#This Row],[OrderQty]]+J195,J195)</f>
        <v>276</v>
      </c>
      <c r="K196" s="1">
        <f>Query1[[#This Row],[SF Running Total]]+Query1[[#This Row],[UNIV Running Total]]</f>
        <v>428</v>
      </c>
      <c r="L196">
        <f>VLOOKUP(Query1[[#This Row],[Description]],'kits to boards'!$B$2:$E$156,2,FALSE)</f>
        <v>830028</v>
      </c>
      <c r="M196">
        <f>VLOOKUP(Query1[[#This Row],[Description]],'kits to boards'!$B$2:$E$156,3,FALSE)</f>
        <v>0</v>
      </c>
      <c r="N196">
        <f>VLOOKUP(Query1[[#This Row],[Description]],'kits to boards'!$B$2:$E$156,4,FALSE)</f>
        <v>0</v>
      </c>
      <c r="O196" t="str">
        <f>CONCATENATE(Query1[[#This Row],[Description]]," - ",Query1[[#This Row],[MB1]]," - ",Query1[[#This Row],[MB2]]," - ",Query1[[#This Row],[MB3]])</f>
        <v>EVAP KIT 55-59 CHEV P-UP WO AC W/DELX  - 830028 - 0 - 0</v>
      </c>
    </row>
    <row r="197" spans="1:15" x14ac:dyDescent="0.25">
      <c r="A197" s="1">
        <v>909442</v>
      </c>
      <c r="B197" s="1" t="s">
        <v>26</v>
      </c>
      <c r="C197" s="1" t="s">
        <v>27</v>
      </c>
      <c r="D197" s="2">
        <v>44600.541735069448</v>
      </c>
      <c r="E197" s="1" t="s">
        <v>8</v>
      </c>
      <c r="F197" s="1">
        <v>1</v>
      </c>
      <c r="G197" s="1">
        <v>0</v>
      </c>
      <c r="H197" s="6">
        <f>INT(Query1[[#This Row],[EntryDateTime]])</f>
        <v>44600</v>
      </c>
      <c r="I197" s="1">
        <f>IF(Query1[[#This Row],[ItemType]]="EVAP KIT SF GEN IV",Query1[[#This Row],[OrderQty]]+I196,I196)</f>
        <v>153</v>
      </c>
      <c r="J197" s="1">
        <f>IF(Query1[[#This Row],[ItemType]]="EVAP KIT UNIVERSAL",Query1[[#This Row],[OrderQty]]+J196,J196)</f>
        <v>276</v>
      </c>
      <c r="K197" s="1">
        <f>Query1[[#This Row],[SF Running Total]]+Query1[[#This Row],[UNIV Running Total]]</f>
        <v>429</v>
      </c>
      <c r="L197">
        <f>VLOOKUP(Query1[[#This Row],[Description]],'kits to boards'!$B$2:$E$156,2,FALSE)</f>
        <v>830013</v>
      </c>
      <c r="M197">
        <f>VLOOKUP(Query1[[#This Row],[Description]],'kits to boards'!$B$2:$E$156,3,FALSE)</f>
        <v>0</v>
      </c>
      <c r="N197">
        <f>VLOOKUP(Query1[[#This Row],[Description]],'kits to boards'!$B$2:$E$156,4,FALSE)</f>
        <v>0</v>
      </c>
      <c r="O197" t="str">
        <f>CONCATENATE(Query1[[#This Row],[Description]]," - ",Query1[[#This Row],[MB1]]," - ",Query1[[#This Row],[MB2]]," - ",Query1[[#This Row],[MB3]])</f>
        <v>EVAP KIT 67-72 CHEV P-UP W/AC - 830013 - 0 - 0</v>
      </c>
    </row>
    <row r="198" spans="1:15" x14ac:dyDescent="0.25">
      <c r="A198" s="1">
        <v>909447</v>
      </c>
      <c r="B198" s="1" t="s">
        <v>116</v>
      </c>
      <c r="C198" s="1" t="s">
        <v>117</v>
      </c>
      <c r="D198" s="2">
        <v>44600.542788576386</v>
      </c>
      <c r="E198" s="1" t="s">
        <v>8</v>
      </c>
      <c r="F198" s="1">
        <v>1</v>
      </c>
      <c r="G198" s="1">
        <v>0</v>
      </c>
      <c r="H198" s="6">
        <f>INT(Query1[[#This Row],[EntryDateTime]])</f>
        <v>44600</v>
      </c>
      <c r="I198" s="1">
        <f>IF(Query1[[#This Row],[ItemType]]="EVAP KIT SF GEN IV",Query1[[#This Row],[OrderQty]]+I197,I197)</f>
        <v>154</v>
      </c>
      <c r="J198" s="1">
        <f>IF(Query1[[#This Row],[ItemType]]="EVAP KIT UNIVERSAL",Query1[[#This Row],[OrderQty]]+J197,J197)</f>
        <v>276</v>
      </c>
      <c r="K198" s="1">
        <f>Query1[[#This Row],[SF Running Total]]+Query1[[#This Row],[UNIV Running Total]]</f>
        <v>430</v>
      </c>
      <c r="L198">
        <f>VLOOKUP(Query1[[#This Row],[Description]],'kits to boards'!$B$2:$E$156,2,FALSE)</f>
        <v>830058</v>
      </c>
      <c r="M198">
        <f>VLOOKUP(Query1[[#This Row],[Description]],'kits to boards'!$B$2:$E$156,3,FALSE)</f>
        <v>0</v>
      </c>
      <c r="N198">
        <f>VLOOKUP(Query1[[#This Row],[Description]],'kits to boards'!$B$2:$E$156,4,FALSE)</f>
        <v>0</v>
      </c>
      <c r="O198" t="str">
        <f>CONCATENATE(Query1[[#This Row],[Description]]," - ",Query1[[#This Row],[MB1]]," - ",Query1[[#This Row],[MB2]]," - ",Query1[[#This Row],[MB3]])</f>
        <v>EVAP KIT 64-65 CHEVELLE WO AC - 830058 - 0 - 0</v>
      </c>
    </row>
    <row r="199" spans="1:15" x14ac:dyDescent="0.25">
      <c r="A199" s="1">
        <v>909449</v>
      </c>
      <c r="B199" s="1" t="s">
        <v>198</v>
      </c>
      <c r="C199" s="1" t="s">
        <v>199</v>
      </c>
      <c r="D199" s="2">
        <v>44600.543578321762</v>
      </c>
      <c r="E199" s="1" t="s">
        <v>8</v>
      </c>
      <c r="F199" s="1">
        <v>1</v>
      </c>
      <c r="G199" s="1">
        <v>0</v>
      </c>
      <c r="H199" s="6">
        <f>INT(Query1[[#This Row],[EntryDateTime]])</f>
        <v>44600</v>
      </c>
      <c r="I199" s="1">
        <f>IF(Query1[[#This Row],[ItemType]]="EVAP KIT SF GEN IV",Query1[[#This Row],[OrderQty]]+I198,I198)</f>
        <v>155</v>
      </c>
      <c r="J199" s="1">
        <f>IF(Query1[[#This Row],[ItemType]]="EVAP KIT UNIVERSAL",Query1[[#This Row],[OrderQty]]+J198,J198)</f>
        <v>276</v>
      </c>
      <c r="K199" s="1">
        <f>Query1[[#This Row],[SF Running Total]]+Query1[[#This Row],[UNIV Running Total]]</f>
        <v>431</v>
      </c>
      <c r="L199">
        <f>VLOOKUP(Query1[[#This Row],[Description]],'kits to boards'!$B$2:$E$156,2,FALSE)</f>
        <v>830042</v>
      </c>
      <c r="M199">
        <f>VLOOKUP(Query1[[#This Row],[Description]],'kits to boards'!$B$2:$E$156,3,FALSE)</f>
        <v>0</v>
      </c>
      <c r="N199">
        <f>VLOOKUP(Query1[[#This Row],[Description]],'kits to boards'!$B$2:$E$156,4,FALSE)</f>
        <v>0</v>
      </c>
      <c r="O199" t="str">
        <f>CONCATENATE(Query1[[#This Row],[Description]]," - ",Query1[[#This Row],[MB1]]," - ",Query1[[#This Row],[MB2]]," - ",Query1[[#This Row],[MB3]])</f>
        <v>EVAP KIT 68-83 TOYOTA FJ40 ULTRA HIGH PERF - 830042 - 0 - 0</v>
      </c>
    </row>
    <row r="200" spans="1:15" x14ac:dyDescent="0.25">
      <c r="A200" s="1">
        <v>909696</v>
      </c>
      <c r="B200" s="1" t="s">
        <v>32</v>
      </c>
      <c r="C200" s="1" t="s">
        <v>33</v>
      </c>
      <c r="D200" s="2">
        <v>44600.544640277774</v>
      </c>
      <c r="E200" s="1" t="s">
        <v>8</v>
      </c>
      <c r="F200" s="1">
        <v>1</v>
      </c>
      <c r="G200" s="1">
        <v>0</v>
      </c>
      <c r="H200" s="6">
        <f>INT(Query1[[#This Row],[EntryDateTime]])</f>
        <v>44600</v>
      </c>
      <c r="I200" s="1">
        <f>IF(Query1[[#This Row],[ItemType]]="EVAP KIT SF GEN IV",Query1[[#This Row],[OrderQty]]+I199,I199)</f>
        <v>156</v>
      </c>
      <c r="J200" s="1">
        <f>IF(Query1[[#This Row],[ItemType]]="EVAP KIT UNIVERSAL",Query1[[#This Row],[OrderQty]]+J199,J199)</f>
        <v>276</v>
      </c>
      <c r="K200" s="1">
        <f>Query1[[#This Row],[SF Running Total]]+Query1[[#This Row],[UNIV Running Total]]</f>
        <v>432</v>
      </c>
      <c r="L200">
        <f>VLOOKUP(Query1[[#This Row],[Description]],'kits to boards'!$B$2:$E$156,2,FALSE)</f>
        <v>830016</v>
      </c>
      <c r="M200">
        <f>VLOOKUP(Query1[[#This Row],[Description]],'kits to boards'!$B$2:$E$156,3,FALSE)</f>
        <v>0</v>
      </c>
      <c r="N200">
        <f>VLOOKUP(Query1[[#This Row],[Description]],'kits to boards'!$B$2:$E$156,4,FALSE)</f>
        <v>0</v>
      </c>
      <c r="O200" t="str">
        <f>CONCATENATE(Query1[[#This Row],[Description]]," - ",Query1[[#This Row],[MB1]]," - ",Query1[[#This Row],[MB2]]," - ",Query1[[#This Row],[MB3]])</f>
        <v>EVAP KIT 67-68 CAMARO/FIREBIRD W/AC - 830016 - 0 - 0</v>
      </c>
    </row>
    <row r="201" spans="1:15" x14ac:dyDescent="0.25">
      <c r="A201" s="1">
        <v>909699</v>
      </c>
      <c r="B201" s="1" t="s">
        <v>180</v>
      </c>
      <c r="C201" s="1" t="s">
        <v>181</v>
      </c>
      <c r="D201" s="2">
        <v>44600.549003553242</v>
      </c>
      <c r="E201" s="1" t="s">
        <v>8</v>
      </c>
      <c r="F201" s="1">
        <v>1</v>
      </c>
      <c r="G201" s="1">
        <v>0</v>
      </c>
      <c r="H201" s="6">
        <f>INT(Query1[[#This Row],[EntryDateTime]])</f>
        <v>44600</v>
      </c>
      <c r="I201" s="1">
        <f>IF(Query1[[#This Row],[ItemType]]="EVAP KIT SF GEN IV",Query1[[#This Row],[OrderQty]]+I200,I200)</f>
        <v>157</v>
      </c>
      <c r="J201" s="1">
        <f>IF(Query1[[#This Row],[ItemType]]="EVAP KIT UNIVERSAL",Query1[[#This Row],[OrderQty]]+J200,J200)</f>
        <v>276</v>
      </c>
      <c r="K201" s="1">
        <f>Query1[[#This Row],[SF Running Total]]+Query1[[#This Row],[UNIV Running Total]]</f>
        <v>433</v>
      </c>
      <c r="L201">
        <f>VLOOKUP(Query1[[#This Row],[Description]],'kits to boards'!$B$2:$E$156,2,FALSE)</f>
        <v>830123</v>
      </c>
      <c r="M201">
        <f>VLOOKUP(Query1[[#This Row],[Description]],'kits to boards'!$B$2:$E$156,3,FALSE)</f>
        <v>0</v>
      </c>
      <c r="N201">
        <f>VLOOKUP(Query1[[#This Row],[Description]],'kits to boards'!$B$2:$E$156,4,FALSE)</f>
        <v>0</v>
      </c>
      <c r="O201" t="str">
        <f>CONCATENATE(Query1[[#This Row],[Description]]," - ",Query1[[#This Row],[MB1]]," - ",Query1[[#This Row],[MB2]]," - ",Query1[[#This Row],[MB3]])</f>
        <v>EVAP KIT 68 GTO W/AC - 830123 - 0 - 0</v>
      </c>
    </row>
    <row r="202" spans="1:15" x14ac:dyDescent="0.25">
      <c r="A202" s="1">
        <v>909700</v>
      </c>
      <c r="B202" s="1" t="s">
        <v>52</v>
      </c>
      <c r="C202" s="1" t="s">
        <v>53</v>
      </c>
      <c r="D202" s="2">
        <v>44600.549439548609</v>
      </c>
      <c r="E202" s="1" t="s">
        <v>8</v>
      </c>
      <c r="F202" s="1">
        <v>1</v>
      </c>
      <c r="G202" s="1">
        <v>0</v>
      </c>
      <c r="H202" s="6">
        <f>INT(Query1[[#This Row],[EntryDateTime]])</f>
        <v>44600</v>
      </c>
      <c r="I202" s="1">
        <f>IF(Query1[[#This Row],[ItemType]]="EVAP KIT SF GEN IV",Query1[[#This Row],[OrderQty]]+I201,I201)</f>
        <v>158</v>
      </c>
      <c r="J202" s="1">
        <f>IF(Query1[[#This Row],[ItemType]]="EVAP KIT UNIVERSAL",Query1[[#This Row],[OrderQty]]+J201,J201)</f>
        <v>276</v>
      </c>
      <c r="K202" s="1">
        <f>Query1[[#This Row],[SF Running Total]]+Query1[[#This Row],[UNIV Running Total]]</f>
        <v>434</v>
      </c>
      <c r="L202">
        <f>VLOOKUP(Query1[[#This Row],[Description]],'kits to boards'!$B$2:$E$156,2,FALSE)</f>
        <v>830017</v>
      </c>
      <c r="M202">
        <f>VLOOKUP(Query1[[#This Row],[Description]],'kits to boards'!$B$2:$E$156,3,FALSE)</f>
        <v>830119</v>
      </c>
      <c r="N202">
        <f>VLOOKUP(Query1[[#This Row],[Description]],'kits to boards'!$B$2:$E$156,4,FALSE)</f>
        <v>830120</v>
      </c>
      <c r="O202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203" spans="1:15" x14ac:dyDescent="0.25">
      <c r="A203" s="1">
        <v>909703</v>
      </c>
      <c r="B203" s="1" t="s">
        <v>244</v>
      </c>
      <c r="C203" s="1" t="s">
        <v>245</v>
      </c>
      <c r="D203" s="2">
        <v>44600.552470173614</v>
      </c>
      <c r="E203" s="1" t="s">
        <v>8</v>
      </c>
      <c r="F203" s="1">
        <v>1</v>
      </c>
      <c r="G203" s="1">
        <v>0</v>
      </c>
      <c r="H203" s="6">
        <f>INT(Query1[[#This Row],[EntryDateTime]])</f>
        <v>44600</v>
      </c>
      <c r="I203" s="1">
        <f>IF(Query1[[#This Row],[ItemType]]="EVAP KIT SF GEN IV",Query1[[#This Row],[OrderQty]]+I202,I202)</f>
        <v>159</v>
      </c>
      <c r="J203" s="1">
        <f>IF(Query1[[#This Row],[ItemType]]="EVAP KIT UNIVERSAL",Query1[[#This Row],[OrderQty]]+J202,J202)</f>
        <v>276</v>
      </c>
      <c r="K203" s="1">
        <f>Query1[[#This Row],[SF Running Total]]+Query1[[#This Row],[UNIV Running Total]]</f>
        <v>435</v>
      </c>
      <c r="L203">
        <f>VLOOKUP(Query1[[#This Row],[Description]],'kits to boards'!$B$2:$E$156,2,FALSE)</f>
        <v>830100</v>
      </c>
      <c r="M203">
        <f>VLOOKUP(Query1[[#This Row],[Description]],'kits to boards'!$B$2:$E$156,3,FALSE)</f>
        <v>0</v>
      </c>
      <c r="N203">
        <f>VLOOKUP(Query1[[#This Row],[Description]],'kits to boards'!$B$2:$E$156,4,FALSE)</f>
        <v>0</v>
      </c>
      <c r="O203" t="str">
        <f>CONCATENATE(Query1[[#This Row],[Description]]," - ",Query1[[#This Row],[MB1]]," - ",Query1[[#This Row],[MB2]]," - ",Query1[[#This Row],[MB3]])</f>
        <v>EVAP KIT 68-76 VETTE WO AC - 830100 - 0 - 0</v>
      </c>
    </row>
    <row r="204" spans="1:15" x14ac:dyDescent="0.25">
      <c r="A204" s="1">
        <v>909704</v>
      </c>
      <c r="B204" s="1" t="s">
        <v>32</v>
      </c>
      <c r="C204" s="1" t="s">
        <v>33</v>
      </c>
      <c r="D204" s="2">
        <v>44600.552828472224</v>
      </c>
      <c r="E204" s="1" t="s">
        <v>8</v>
      </c>
      <c r="F204" s="1">
        <v>1</v>
      </c>
      <c r="G204" s="1">
        <v>0</v>
      </c>
      <c r="H204" s="6">
        <f>INT(Query1[[#This Row],[EntryDateTime]])</f>
        <v>44600</v>
      </c>
      <c r="I204" s="1">
        <f>IF(Query1[[#This Row],[ItemType]]="EVAP KIT SF GEN IV",Query1[[#This Row],[OrderQty]]+I203,I203)</f>
        <v>160</v>
      </c>
      <c r="J204" s="1">
        <f>IF(Query1[[#This Row],[ItemType]]="EVAP KIT UNIVERSAL",Query1[[#This Row],[OrderQty]]+J203,J203)</f>
        <v>276</v>
      </c>
      <c r="K204" s="1">
        <f>Query1[[#This Row],[SF Running Total]]+Query1[[#This Row],[UNIV Running Total]]</f>
        <v>436</v>
      </c>
      <c r="L204">
        <f>VLOOKUP(Query1[[#This Row],[Description]],'kits to boards'!$B$2:$E$156,2,FALSE)</f>
        <v>830016</v>
      </c>
      <c r="M204">
        <f>VLOOKUP(Query1[[#This Row],[Description]],'kits to boards'!$B$2:$E$156,3,FALSE)</f>
        <v>0</v>
      </c>
      <c r="N204">
        <f>VLOOKUP(Query1[[#This Row],[Description]],'kits to boards'!$B$2:$E$156,4,FALSE)</f>
        <v>0</v>
      </c>
      <c r="O204" t="str">
        <f>CONCATENATE(Query1[[#This Row],[Description]]," - ",Query1[[#This Row],[MB1]]," - ",Query1[[#This Row],[MB2]]," - ",Query1[[#This Row],[MB3]])</f>
        <v>EVAP KIT 67-68 CAMARO/FIREBIRD W/AC - 830016 - 0 - 0</v>
      </c>
    </row>
    <row r="205" spans="1:15" x14ac:dyDescent="0.25">
      <c r="A205" s="1">
        <v>909705</v>
      </c>
      <c r="B205" s="1" t="s">
        <v>238</v>
      </c>
      <c r="C205" s="1" t="s">
        <v>239</v>
      </c>
      <c r="D205" s="2">
        <v>44600.556535567128</v>
      </c>
      <c r="E205" s="1" t="s">
        <v>8</v>
      </c>
      <c r="F205" s="1">
        <v>1</v>
      </c>
      <c r="G205" s="1">
        <v>0</v>
      </c>
      <c r="H205" s="6">
        <f>INT(Query1[[#This Row],[EntryDateTime]])</f>
        <v>44600</v>
      </c>
      <c r="I205" s="1">
        <f>IF(Query1[[#This Row],[ItemType]]="EVAP KIT SF GEN IV",Query1[[#This Row],[OrderQty]]+I204,I204)</f>
        <v>161</v>
      </c>
      <c r="J205" s="1">
        <f>IF(Query1[[#This Row],[ItemType]]="EVAP KIT UNIVERSAL",Query1[[#This Row],[OrderQty]]+J204,J204)</f>
        <v>276</v>
      </c>
      <c r="K205" s="1">
        <f>Query1[[#This Row],[SF Running Total]]+Query1[[#This Row],[UNIV Running Total]]</f>
        <v>437</v>
      </c>
      <c r="L205">
        <f>VLOOKUP(Query1[[#This Row],[Description]],'kits to boards'!$B$2:$E$156,2,FALSE)</f>
        <v>830073</v>
      </c>
      <c r="M205">
        <f>VLOOKUP(Query1[[#This Row],[Description]],'kits to boards'!$B$2:$E$156,3,FALSE)</f>
        <v>0</v>
      </c>
      <c r="N205">
        <f>VLOOKUP(Query1[[#This Row],[Description]],'kits to boards'!$B$2:$E$156,4,FALSE)</f>
        <v>0</v>
      </c>
      <c r="O205" t="str">
        <f>CONCATENATE(Query1[[#This Row],[Description]]," - ",Query1[[#This Row],[MB1]]," - ",Query1[[#This Row],[MB2]]," - ",Query1[[#This Row],[MB3]])</f>
        <v>EVAP KIT 66-67 BELV,SALIT,GTX W/AC - 830073 - 0 - 0</v>
      </c>
    </row>
    <row r="206" spans="1:15" x14ac:dyDescent="0.25">
      <c r="A206" s="1">
        <v>909706</v>
      </c>
      <c r="B206" s="1" t="s">
        <v>14</v>
      </c>
      <c r="C206" s="1" t="s">
        <v>15</v>
      </c>
      <c r="D206" s="2">
        <v>44600.557802627314</v>
      </c>
      <c r="E206" s="1" t="s">
        <v>8</v>
      </c>
      <c r="F206" s="1">
        <v>1</v>
      </c>
      <c r="G206" s="1">
        <v>0</v>
      </c>
      <c r="H206" s="6">
        <f>INT(Query1[[#This Row],[EntryDateTime]])</f>
        <v>44600</v>
      </c>
      <c r="I206" s="1">
        <f>IF(Query1[[#This Row],[ItemType]]="EVAP KIT SF GEN IV",Query1[[#This Row],[OrderQty]]+I205,I205)</f>
        <v>162</v>
      </c>
      <c r="J206" s="1">
        <f>IF(Query1[[#This Row],[ItemType]]="EVAP KIT UNIVERSAL",Query1[[#This Row],[OrderQty]]+J205,J205)</f>
        <v>276</v>
      </c>
      <c r="K206" s="1">
        <f>Query1[[#This Row],[SF Running Total]]+Query1[[#This Row],[UNIV Running Total]]</f>
        <v>438</v>
      </c>
      <c r="L206">
        <f>VLOOKUP(Query1[[#This Row],[Description]],'kits to boards'!$B$2:$E$156,2,FALSE)</f>
        <v>830054</v>
      </c>
      <c r="M206">
        <f>VLOOKUP(Query1[[#This Row],[Description]],'kits to boards'!$B$2:$E$156,3,FALSE)</f>
        <v>0</v>
      </c>
      <c r="N206">
        <f>VLOOKUP(Query1[[#This Row],[Description]],'kits to boards'!$B$2:$E$156,4,FALSE)</f>
        <v>0</v>
      </c>
      <c r="O206" t="str">
        <f>CONCATENATE(Query1[[#This Row],[Description]]," - ",Query1[[#This Row],[MB1]]," - ",Query1[[#This Row],[MB2]]," - ",Query1[[#This Row],[MB3]])</f>
        <v>EVAP KIT 55-56 CHEVY - 830054 - 0 - 0</v>
      </c>
    </row>
    <row r="207" spans="1:15" x14ac:dyDescent="0.25">
      <c r="A207" s="1">
        <v>909708</v>
      </c>
      <c r="B207" s="1" t="s">
        <v>24</v>
      </c>
      <c r="C207" s="1" t="s">
        <v>25</v>
      </c>
      <c r="D207" s="2">
        <v>44600.562217048609</v>
      </c>
      <c r="E207" s="1" t="s">
        <v>11</v>
      </c>
      <c r="F207" s="1">
        <v>4</v>
      </c>
      <c r="G207" s="1">
        <v>0</v>
      </c>
      <c r="H207" s="6">
        <f>INT(Query1[[#This Row],[EntryDateTime]])</f>
        <v>44600</v>
      </c>
      <c r="I207" s="1">
        <f>IF(Query1[[#This Row],[ItemType]]="EVAP KIT SF GEN IV",Query1[[#This Row],[OrderQty]]+I206,I206)</f>
        <v>162</v>
      </c>
      <c r="J207" s="1">
        <f>IF(Query1[[#This Row],[ItemType]]="EVAP KIT UNIVERSAL",Query1[[#This Row],[OrderQty]]+J206,J206)</f>
        <v>280</v>
      </c>
      <c r="K207" s="1">
        <f>Query1[[#This Row],[SF Running Total]]+Query1[[#This Row],[UNIV Running Total]]</f>
        <v>442</v>
      </c>
      <c r="L207">
        <f>VLOOKUP(Query1[[#This Row],[Description]],'kits to boards'!$B$2:$E$156,2,FALSE)</f>
        <v>830029</v>
      </c>
      <c r="M207">
        <f>VLOOKUP(Query1[[#This Row],[Description]],'kits to boards'!$B$2:$E$156,3,FALSE)</f>
        <v>830030</v>
      </c>
      <c r="N207">
        <f>VLOOKUP(Query1[[#This Row],[Description]],'kits to boards'!$B$2:$E$156,4,FALSE)</f>
        <v>0</v>
      </c>
      <c r="O207" t="str">
        <f>CONCATENATE(Query1[[#This Row],[Description]]," - ",Query1[[#This Row],[MB1]]," - ",Query1[[#This Row],[MB2]]," - ",Query1[[#This Row],[MB3]])</f>
        <v>ComPac GEN II W/DEF - 830029 - 830030 - 0</v>
      </c>
    </row>
    <row r="208" spans="1:15" x14ac:dyDescent="0.25">
      <c r="A208" s="1">
        <v>909708</v>
      </c>
      <c r="B208" s="1" t="s">
        <v>20</v>
      </c>
      <c r="C208" s="1" t="s">
        <v>21</v>
      </c>
      <c r="D208" s="2">
        <v>44600.562356400464</v>
      </c>
      <c r="E208" s="1" t="s">
        <v>11</v>
      </c>
      <c r="F208" s="1">
        <v>4</v>
      </c>
      <c r="G208" s="1">
        <v>0</v>
      </c>
      <c r="H208" s="6">
        <f>INT(Query1[[#This Row],[EntryDateTime]])</f>
        <v>44600</v>
      </c>
      <c r="I208" s="1">
        <f>IF(Query1[[#This Row],[ItemType]]="EVAP KIT SF GEN IV",Query1[[#This Row],[OrderQty]]+I207,I207)</f>
        <v>162</v>
      </c>
      <c r="J208" s="1">
        <f>IF(Query1[[#This Row],[ItemType]]="EVAP KIT UNIVERSAL",Query1[[#This Row],[OrderQty]]+J207,J207)</f>
        <v>284</v>
      </c>
      <c r="K208" s="1">
        <f>Query1[[#This Row],[SF Running Total]]+Query1[[#This Row],[UNIV Running Total]]</f>
        <v>446</v>
      </c>
      <c r="L208">
        <f>VLOOKUP(Query1[[#This Row],[Description]],'kits to boards'!$B$2:$E$156,2,FALSE)</f>
        <v>830102</v>
      </c>
      <c r="M208">
        <f>VLOOKUP(Query1[[#This Row],[Description]],'kits to boards'!$B$2:$E$156,3,FALSE)</f>
        <v>0</v>
      </c>
      <c r="N208">
        <f>VLOOKUP(Query1[[#This Row],[Description]],'kits to boards'!$B$2:$E$156,4,FALSE)</f>
        <v>0</v>
      </c>
      <c r="O208" t="str">
        <f>CONCATENATE(Query1[[#This Row],[Description]]," - ",Query1[[#This Row],[MB1]]," - ",Query1[[#This Row],[MB2]]," - ",Query1[[#This Row],[MB3]])</f>
        <v>SUPER GEN II W/DEF - 830102 - 0 - 0</v>
      </c>
    </row>
    <row r="209" spans="1:15" x14ac:dyDescent="0.25">
      <c r="A209" s="1">
        <v>909708</v>
      </c>
      <c r="B209" s="1" t="s">
        <v>56</v>
      </c>
      <c r="C209" s="1" t="s">
        <v>57</v>
      </c>
      <c r="D209" s="2">
        <v>44600.56964765046</v>
      </c>
      <c r="E209" s="1" t="s">
        <v>8</v>
      </c>
      <c r="F209" s="1">
        <v>1</v>
      </c>
      <c r="G209" s="1">
        <v>0</v>
      </c>
      <c r="H209" s="6">
        <f>INT(Query1[[#This Row],[EntryDateTime]])</f>
        <v>44600</v>
      </c>
      <c r="I209" s="1">
        <f>IF(Query1[[#This Row],[ItemType]]="EVAP KIT SF GEN IV",Query1[[#This Row],[OrderQty]]+I208,I208)</f>
        <v>163</v>
      </c>
      <c r="J209" s="1">
        <f>IF(Query1[[#This Row],[ItemType]]="EVAP KIT UNIVERSAL",Query1[[#This Row],[OrderQty]]+J208,J208)</f>
        <v>284</v>
      </c>
      <c r="K209" s="1">
        <f>Query1[[#This Row],[SF Running Total]]+Query1[[#This Row],[UNIV Running Total]]</f>
        <v>447</v>
      </c>
      <c r="L209">
        <f>VLOOKUP(Query1[[#This Row],[Description]],'kits to boards'!$B$2:$E$156,2,FALSE)</f>
        <v>830011</v>
      </c>
      <c r="M209">
        <f>VLOOKUP(Query1[[#This Row],[Description]],'kits to boards'!$B$2:$E$156,3,FALSE)</f>
        <v>0</v>
      </c>
      <c r="N209">
        <f>VLOOKUP(Query1[[#This Row],[Description]],'kits to boards'!$B$2:$E$156,4,FALSE)</f>
        <v>0</v>
      </c>
      <c r="O209" t="str">
        <f>CONCATENATE(Query1[[#This Row],[Description]]," - ",Query1[[#This Row],[MB1]]," - ",Query1[[#This Row],[MB2]]," - ",Query1[[#This Row],[MB3]])</f>
        <v>EVAP KIT 70-72 CHEVELLE W/AC - 830011 - 0 - 0</v>
      </c>
    </row>
    <row r="210" spans="1:15" x14ac:dyDescent="0.25">
      <c r="A210" s="1">
        <v>909708</v>
      </c>
      <c r="B210" s="1" t="s">
        <v>14</v>
      </c>
      <c r="C210" s="1" t="s">
        <v>15</v>
      </c>
      <c r="D210" s="2">
        <v>44600.569896377317</v>
      </c>
      <c r="E210" s="1" t="s">
        <v>8</v>
      </c>
      <c r="F210" s="1">
        <v>2</v>
      </c>
      <c r="G210" s="1">
        <v>0</v>
      </c>
      <c r="H210" s="6">
        <f>INT(Query1[[#This Row],[EntryDateTime]])</f>
        <v>44600</v>
      </c>
      <c r="I210" s="1">
        <f>IF(Query1[[#This Row],[ItemType]]="EVAP KIT SF GEN IV",Query1[[#This Row],[OrderQty]]+I209,I209)</f>
        <v>165</v>
      </c>
      <c r="J210" s="1">
        <f>IF(Query1[[#This Row],[ItemType]]="EVAP KIT UNIVERSAL",Query1[[#This Row],[OrderQty]]+J209,J209)</f>
        <v>284</v>
      </c>
      <c r="K210" s="1">
        <f>Query1[[#This Row],[SF Running Total]]+Query1[[#This Row],[UNIV Running Total]]</f>
        <v>449</v>
      </c>
      <c r="L210">
        <f>VLOOKUP(Query1[[#This Row],[Description]],'kits to boards'!$B$2:$E$156,2,FALSE)</f>
        <v>830054</v>
      </c>
      <c r="M210">
        <f>VLOOKUP(Query1[[#This Row],[Description]],'kits to boards'!$B$2:$E$156,3,FALSE)</f>
        <v>0</v>
      </c>
      <c r="N210">
        <f>VLOOKUP(Query1[[#This Row],[Description]],'kits to boards'!$B$2:$E$156,4,FALSE)</f>
        <v>0</v>
      </c>
      <c r="O210" t="str">
        <f>CONCATENATE(Query1[[#This Row],[Description]]," - ",Query1[[#This Row],[MB1]]," - ",Query1[[#This Row],[MB2]]," - ",Query1[[#This Row],[MB3]])</f>
        <v>EVAP KIT 55-56 CHEVY - 830054 - 0 - 0</v>
      </c>
    </row>
    <row r="211" spans="1:15" x14ac:dyDescent="0.25">
      <c r="A211" s="1">
        <v>909708</v>
      </c>
      <c r="B211" s="1" t="s">
        <v>212</v>
      </c>
      <c r="C211" s="1" t="s">
        <v>213</v>
      </c>
      <c r="D211" s="2">
        <v>44600.570526770833</v>
      </c>
      <c r="E211" s="1" t="s">
        <v>8</v>
      </c>
      <c r="F211" s="1">
        <v>1</v>
      </c>
      <c r="G211" s="1">
        <v>0</v>
      </c>
      <c r="H211" s="6">
        <f>INT(Query1[[#This Row],[EntryDateTime]])</f>
        <v>44600</v>
      </c>
      <c r="I211" s="1">
        <f>IF(Query1[[#This Row],[ItemType]]="EVAP KIT SF GEN IV",Query1[[#This Row],[OrderQty]]+I210,I210)</f>
        <v>166</v>
      </c>
      <c r="J211" s="1">
        <f>IF(Query1[[#This Row],[ItemType]]="EVAP KIT UNIVERSAL",Query1[[#This Row],[OrderQty]]+J210,J210)</f>
        <v>284</v>
      </c>
      <c r="K211" s="1">
        <f>Query1[[#This Row],[SF Running Total]]+Query1[[#This Row],[UNIV Running Total]]</f>
        <v>450</v>
      </c>
      <c r="L211">
        <f>VLOOKUP(Query1[[#This Row],[Description]],'kits to boards'!$B$2:$E$156,2,FALSE)</f>
        <v>830034</v>
      </c>
      <c r="M211">
        <f>VLOOKUP(Query1[[#This Row],[Description]],'kits to boards'!$B$2:$E$156,3,FALSE)</f>
        <v>0</v>
      </c>
      <c r="N211">
        <f>VLOOKUP(Query1[[#This Row],[Description]],'kits to boards'!$B$2:$E$156,4,FALSE)</f>
        <v>0</v>
      </c>
      <c r="O211" t="str">
        <f>CONCATENATE(Query1[[#This Row],[Description]]," - ",Query1[[#This Row],[MB1]]," - ",Query1[[#This Row],[MB2]]," - ",Query1[[#This Row],[MB3]])</f>
        <v>EVAP KIT 64-67 GTO W/AC - 830034 - 0 - 0</v>
      </c>
    </row>
    <row r="212" spans="1:15" x14ac:dyDescent="0.25">
      <c r="A212" s="1">
        <v>909716</v>
      </c>
      <c r="B212" s="1" t="s">
        <v>106</v>
      </c>
      <c r="C212" s="1" t="s">
        <v>107</v>
      </c>
      <c r="D212" s="2">
        <v>44600.571534953706</v>
      </c>
      <c r="E212" s="1" t="s">
        <v>8</v>
      </c>
      <c r="F212" s="1">
        <v>1</v>
      </c>
      <c r="G212" s="1">
        <v>0</v>
      </c>
      <c r="H212" s="6">
        <f>INT(Query1[[#This Row],[EntryDateTime]])</f>
        <v>44600</v>
      </c>
      <c r="I212" s="1">
        <f>IF(Query1[[#This Row],[ItemType]]="EVAP KIT SF GEN IV",Query1[[#This Row],[OrderQty]]+I211,I211)</f>
        <v>167</v>
      </c>
      <c r="J212" s="1">
        <f>IF(Query1[[#This Row],[ItemType]]="EVAP KIT UNIVERSAL",Query1[[#This Row],[OrderQty]]+J211,J211)</f>
        <v>284</v>
      </c>
      <c r="K212" s="1">
        <f>Query1[[#This Row],[SF Running Total]]+Query1[[#This Row],[UNIV Running Total]]</f>
        <v>451</v>
      </c>
      <c r="L212">
        <f>VLOOKUP(Query1[[#This Row],[Description]],'kits to boards'!$B$2:$E$156,2,FALSE)</f>
        <v>830028</v>
      </c>
      <c r="M212">
        <f>VLOOKUP(Query1[[#This Row],[Description]],'kits to boards'!$B$2:$E$156,3,FALSE)</f>
        <v>0</v>
      </c>
      <c r="N212">
        <f>VLOOKUP(Query1[[#This Row],[Description]],'kits to boards'!$B$2:$E$156,4,FALSE)</f>
        <v>0</v>
      </c>
      <c r="O212" t="str">
        <f>CONCATENATE(Query1[[#This Row],[Description]]," - ",Query1[[#This Row],[MB1]]," - ",Query1[[#This Row],[MB2]]," - ",Query1[[#This Row],[MB3]])</f>
        <v>EVAP KIT 55-59 CHEV P-UP WO AC W/DELX - 830028 - 0 - 0</v>
      </c>
    </row>
    <row r="213" spans="1:15" x14ac:dyDescent="0.25">
      <c r="A213" s="1">
        <v>909708</v>
      </c>
      <c r="B213" s="1" t="s">
        <v>52</v>
      </c>
      <c r="C213" s="1" t="s">
        <v>53</v>
      </c>
      <c r="D213" s="2">
        <v>44600.571589270832</v>
      </c>
      <c r="E213" s="1" t="s">
        <v>8</v>
      </c>
      <c r="F213" s="1">
        <v>2</v>
      </c>
      <c r="G213" s="1">
        <v>0</v>
      </c>
      <c r="H213" s="6">
        <f>INT(Query1[[#This Row],[EntryDateTime]])</f>
        <v>44600</v>
      </c>
      <c r="I213" s="1">
        <f>IF(Query1[[#This Row],[ItemType]]="EVAP KIT SF GEN IV",Query1[[#This Row],[OrderQty]]+I212,I212)</f>
        <v>169</v>
      </c>
      <c r="J213" s="1">
        <f>IF(Query1[[#This Row],[ItemType]]="EVAP KIT UNIVERSAL",Query1[[#This Row],[OrderQty]]+J212,J212)</f>
        <v>284</v>
      </c>
      <c r="K213" s="1">
        <f>Query1[[#This Row],[SF Running Total]]+Query1[[#This Row],[UNIV Running Total]]</f>
        <v>453</v>
      </c>
      <c r="L213">
        <f>VLOOKUP(Query1[[#This Row],[Description]],'kits to boards'!$B$2:$E$156,2,FALSE)</f>
        <v>830017</v>
      </c>
      <c r="M213">
        <f>VLOOKUP(Query1[[#This Row],[Description]],'kits to boards'!$B$2:$E$156,3,FALSE)</f>
        <v>830119</v>
      </c>
      <c r="N213">
        <f>VLOOKUP(Query1[[#This Row],[Description]],'kits to boards'!$B$2:$E$156,4,FALSE)</f>
        <v>830120</v>
      </c>
      <c r="O213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214" spans="1:15" x14ac:dyDescent="0.25">
      <c r="A214" s="1">
        <v>909708</v>
      </c>
      <c r="B214" s="1" t="s">
        <v>102</v>
      </c>
      <c r="C214" s="1" t="s">
        <v>103</v>
      </c>
      <c r="D214" s="2">
        <v>44600.572929513888</v>
      </c>
      <c r="E214" s="1" t="s">
        <v>8</v>
      </c>
      <c r="F214" s="1">
        <v>2</v>
      </c>
      <c r="G214" s="1">
        <v>0</v>
      </c>
      <c r="H214" s="6">
        <f>INT(Query1[[#This Row],[EntryDateTime]])</f>
        <v>44600</v>
      </c>
      <c r="I214" s="1">
        <f>IF(Query1[[#This Row],[ItemType]]="EVAP KIT SF GEN IV",Query1[[#This Row],[OrderQty]]+I213,I213)</f>
        <v>171</v>
      </c>
      <c r="J214" s="1">
        <f>IF(Query1[[#This Row],[ItemType]]="EVAP KIT UNIVERSAL",Query1[[#This Row],[OrderQty]]+J213,J213)</f>
        <v>284</v>
      </c>
      <c r="K214" s="1">
        <f>Query1[[#This Row],[SF Running Total]]+Query1[[#This Row],[UNIV Running Total]]</f>
        <v>455</v>
      </c>
      <c r="L214">
        <f>VLOOKUP(Query1[[#This Row],[Description]],'kits to boards'!$B$2:$E$156,2,FALSE)</f>
        <v>830012</v>
      </c>
      <c r="M214">
        <f>VLOOKUP(Query1[[#This Row],[Description]],'kits to boards'!$B$2:$E$156,3,FALSE)</f>
        <v>0</v>
      </c>
      <c r="N214">
        <f>VLOOKUP(Query1[[#This Row],[Description]],'kits to boards'!$B$2:$E$156,4,FALSE)</f>
        <v>0</v>
      </c>
      <c r="O214" t="str">
        <f>CONCATENATE(Query1[[#This Row],[Description]]," - ",Query1[[#This Row],[MB1]]," - ",Query1[[#This Row],[MB2]]," - ",Query1[[#This Row],[MB3]])</f>
        <v>EVAP KIT 69 CAMARO WO/AC - 830012 - 0 - 0</v>
      </c>
    </row>
    <row r="215" spans="1:15" x14ac:dyDescent="0.25">
      <c r="A215" s="1">
        <v>909717</v>
      </c>
      <c r="B215" s="1" t="s">
        <v>124</v>
      </c>
      <c r="C215" s="1" t="s">
        <v>125</v>
      </c>
      <c r="D215" s="2">
        <v>44600.573242280094</v>
      </c>
      <c r="E215" s="1" t="s">
        <v>8</v>
      </c>
      <c r="F215" s="1">
        <v>1</v>
      </c>
      <c r="G215" s="1">
        <v>0</v>
      </c>
      <c r="H215" s="6">
        <f>INT(Query1[[#This Row],[EntryDateTime]])</f>
        <v>44600</v>
      </c>
      <c r="I215" s="1">
        <f>IF(Query1[[#This Row],[ItemType]]="EVAP KIT SF GEN IV",Query1[[#This Row],[OrderQty]]+I214,I214)</f>
        <v>172</v>
      </c>
      <c r="J215" s="1">
        <f>IF(Query1[[#This Row],[ItemType]]="EVAP KIT UNIVERSAL",Query1[[#This Row],[OrderQty]]+J214,J214)</f>
        <v>284</v>
      </c>
      <c r="K215" s="1">
        <f>Query1[[#This Row],[SF Running Total]]+Query1[[#This Row],[UNIV Running Total]]</f>
        <v>456</v>
      </c>
      <c r="L215">
        <f>VLOOKUP(Query1[[#This Row],[Description]],'kits to boards'!$B$2:$E$156,2,FALSE)</f>
        <v>830002</v>
      </c>
      <c r="M215">
        <f>VLOOKUP(Query1[[#This Row],[Description]],'kits to boards'!$B$2:$E$156,3,FALSE)</f>
        <v>0</v>
      </c>
      <c r="N215">
        <f>VLOOKUP(Query1[[#This Row],[Description]],'kits to boards'!$B$2:$E$156,4,FALSE)</f>
        <v>0</v>
      </c>
      <c r="O215" t="str">
        <f>CONCATENATE(Query1[[#This Row],[Description]]," - ",Query1[[#This Row],[MB1]]," - ",Query1[[#This Row],[MB2]]," - ",Query1[[#This Row],[MB3]])</f>
        <v>EVAP KIT 73-80 CHEV P-UP WO AC - 830002 - 0 - 0</v>
      </c>
    </row>
    <row r="216" spans="1:15" x14ac:dyDescent="0.25">
      <c r="A216" s="1">
        <v>909708</v>
      </c>
      <c r="B216" s="1" t="s">
        <v>92</v>
      </c>
      <c r="C216" s="1" t="s">
        <v>93</v>
      </c>
      <c r="D216" s="2">
        <v>44600.573547534725</v>
      </c>
      <c r="E216" s="1" t="s">
        <v>8</v>
      </c>
      <c r="F216" s="1">
        <v>1</v>
      </c>
      <c r="G216" s="1">
        <v>0</v>
      </c>
      <c r="H216" s="6">
        <f>INT(Query1[[#This Row],[EntryDateTime]])</f>
        <v>44600</v>
      </c>
      <c r="I216" s="1">
        <f>IF(Query1[[#This Row],[ItemType]]="EVAP KIT SF GEN IV",Query1[[#This Row],[OrderQty]]+I215,I215)</f>
        <v>173</v>
      </c>
      <c r="J216" s="1">
        <f>IF(Query1[[#This Row],[ItemType]]="EVAP KIT UNIVERSAL",Query1[[#This Row],[OrderQty]]+J215,J215)</f>
        <v>284</v>
      </c>
      <c r="K216" s="1">
        <f>Query1[[#This Row],[SF Running Total]]+Query1[[#This Row],[UNIV Running Total]]</f>
        <v>457</v>
      </c>
      <c r="L216">
        <f>VLOOKUP(Query1[[#This Row],[Description]],'kits to boards'!$B$2:$E$156,2,FALSE)</f>
        <v>830063</v>
      </c>
      <c r="M216">
        <f>VLOOKUP(Query1[[#This Row],[Description]],'kits to boards'!$B$2:$E$156,3,FALSE)</f>
        <v>0</v>
      </c>
      <c r="N216">
        <f>VLOOKUP(Query1[[#This Row],[Description]],'kits to boards'!$B$2:$E$156,4,FALSE)</f>
        <v>0</v>
      </c>
      <c r="O216" t="str">
        <f>CONCATENATE(Query1[[#This Row],[Description]]," - ",Query1[[#This Row],[MB1]]," - ",Query1[[#This Row],[MB2]]," - ",Query1[[#This Row],[MB3]])</f>
        <v>EVAP KIT 50-53 CHEV P-UP GEN IV - 830063 - 0 - 0</v>
      </c>
    </row>
    <row r="217" spans="1:15" x14ac:dyDescent="0.25">
      <c r="A217" s="1">
        <v>909718</v>
      </c>
      <c r="B217" s="1" t="s">
        <v>92</v>
      </c>
      <c r="C217" s="1" t="s">
        <v>93</v>
      </c>
      <c r="D217" s="2">
        <v>44600.574660451392</v>
      </c>
      <c r="E217" s="1" t="s">
        <v>8</v>
      </c>
      <c r="F217" s="1">
        <v>1</v>
      </c>
      <c r="G217" s="1">
        <v>0</v>
      </c>
      <c r="H217" s="6">
        <f>INT(Query1[[#This Row],[EntryDateTime]])</f>
        <v>44600</v>
      </c>
      <c r="I217" s="1">
        <f>IF(Query1[[#This Row],[ItemType]]="EVAP KIT SF GEN IV",Query1[[#This Row],[OrderQty]]+I216,I216)</f>
        <v>174</v>
      </c>
      <c r="J217" s="1">
        <f>IF(Query1[[#This Row],[ItemType]]="EVAP KIT UNIVERSAL",Query1[[#This Row],[OrderQty]]+J216,J216)</f>
        <v>284</v>
      </c>
      <c r="K217" s="1">
        <f>Query1[[#This Row],[SF Running Total]]+Query1[[#This Row],[UNIV Running Total]]</f>
        <v>458</v>
      </c>
      <c r="L217">
        <f>VLOOKUP(Query1[[#This Row],[Description]],'kits to boards'!$B$2:$E$156,2,FALSE)</f>
        <v>830063</v>
      </c>
      <c r="M217">
        <f>VLOOKUP(Query1[[#This Row],[Description]],'kits to boards'!$B$2:$E$156,3,FALSE)</f>
        <v>0</v>
      </c>
      <c r="N217">
        <f>VLOOKUP(Query1[[#This Row],[Description]],'kits to boards'!$B$2:$E$156,4,FALSE)</f>
        <v>0</v>
      </c>
      <c r="O217" t="str">
        <f>CONCATENATE(Query1[[#This Row],[Description]]," - ",Query1[[#This Row],[MB1]]," - ",Query1[[#This Row],[MB2]]," - ",Query1[[#This Row],[MB3]])</f>
        <v>EVAP KIT 50-53 CHEV P-UP GEN IV - 830063 - 0 - 0</v>
      </c>
    </row>
    <row r="218" spans="1:15" x14ac:dyDescent="0.25">
      <c r="A218" s="1">
        <v>909724</v>
      </c>
      <c r="B218" s="1" t="s">
        <v>56</v>
      </c>
      <c r="C218" s="1" t="s">
        <v>57</v>
      </c>
      <c r="D218" s="2">
        <v>44600.579825497683</v>
      </c>
      <c r="E218" s="1" t="s">
        <v>8</v>
      </c>
      <c r="F218" s="1">
        <v>1</v>
      </c>
      <c r="G218" s="1">
        <v>0</v>
      </c>
      <c r="H218" s="6">
        <f>INT(Query1[[#This Row],[EntryDateTime]])</f>
        <v>44600</v>
      </c>
      <c r="I218" s="1">
        <f>IF(Query1[[#This Row],[ItemType]]="EVAP KIT SF GEN IV",Query1[[#This Row],[OrderQty]]+I217,I217)</f>
        <v>175</v>
      </c>
      <c r="J218" s="1">
        <f>IF(Query1[[#This Row],[ItemType]]="EVAP KIT UNIVERSAL",Query1[[#This Row],[OrderQty]]+J217,J217)</f>
        <v>284</v>
      </c>
      <c r="K218" s="1">
        <f>Query1[[#This Row],[SF Running Total]]+Query1[[#This Row],[UNIV Running Total]]</f>
        <v>459</v>
      </c>
      <c r="L218">
        <f>VLOOKUP(Query1[[#This Row],[Description]],'kits to boards'!$B$2:$E$156,2,FALSE)</f>
        <v>830011</v>
      </c>
      <c r="M218">
        <f>VLOOKUP(Query1[[#This Row],[Description]],'kits to boards'!$B$2:$E$156,3,FALSE)</f>
        <v>0</v>
      </c>
      <c r="N218">
        <f>VLOOKUP(Query1[[#This Row],[Description]],'kits to boards'!$B$2:$E$156,4,FALSE)</f>
        <v>0</v>
      </c>
      <c r="O218" t="str">
        <f>CONCATENATE(Query1[[#This Row],[Description]]," - ",Query1[[#This Row],[MB1]]," - ",Query1[[#This Row],[MB2]]," - ",Query1[[#This Row],[MB3]])</f>
        <v>EVAP KIT 70-72 CHEVELLE W/AC - 830011 - 0 - 0</v>
      </c>
    </row>
    <row r="219" spans="1:15" x14ac:dyDescent="0.25">
      <c r="A219" s="1">
        <v>909721</v>
      </c>
      <c r="B219" s="1" t="s">
        <v>22</v>
      </c>
      <c r="C219" s="1" t="s">
        <v>23</v>
      </c>
      <c r="D219" s="2">
        <v>44600.581014270836</v>
      </c>
      <c r="E219" s="1" t="s">
        <v>8</v>
      </c>
      <c r="F219" s="1">
        <v>2</v>
      </c>
      <c r="G219" s="1">
        <v>0</v>
      </c>
      <c r="H219" s="6">
        <f>INT(Query1[[#This Row],[EntryDateTime]])</f>
        <v>44600</v>
      </c>
      <c r="I219" s="1">
        <f>IF(Query1[[#This Row],[ItemType]]="EVAP KIT SF GEN IV",Query1[[#This Row],[OrderQty]]+I218,I218)</f>
        <v>177</v>
      </c>
      <c r="J219" s="1">
        <f>IF(Query1[[#This Row],[ItemType]]="EVAP KIT UNIVERSAL",Query1[[#This Row],[OrderQty]]+J218,J218)</f>
        <v>284</v>
      </c>
      <c r="K219" s="1">
        <f>Query1[[#This Row],[SF Running Total]]+Query1[[#This Row],[UNIV Running Total]]</f>
        <v>461</v>
      </c>
      <c r="L219">
        <f>VLOOKUP(Query1[[#This Row],[Description]],'kits to boards'!$B$2:$E$156,2,FALSE)</f>
        <v>830083</v>
      </c>
      <c r="M219">
        <f>VLOOKUP(Query1[[#This Row],[Description]],'kits to boards'!$B$2:$E$156,3,FALSE)</f>
        <v>0</v>
      </c>
      <c r="N219">
        <f>VLOOKUP(Query1[[#This Row],[Description]],'kits to boards'!$B$2:$E$156,4,FALSE)</f>
        <v>0</v>
      </c>
      <c r="O219" t="str">
        <f>CONCATENATE(Query1[[#This Row],[Description]]," - ",Query1[[#This Row],[MB1]]," - ",Query1[[#This Row],[MB2]]," - ",Query1[[#This Row],[MB3]])</f>
        <v>GEN IV MAGNUM EVAP KIT - 830083 - 0 - 0</v>
      </c>
    </row>
    <row r="220" spans="1:15" x14ac:dyDescent="0.25">
      <c r="A220" s="1">
        <v>909726</v>
      </c>
      <c r="B220" s="1" t="s">
        <v>22</v>
      </c>
      <c r="C220" s="1" t="s">
        <v>23</v>
      </c>
      <c r="D220" s="2">
        <v>44600.58321863426</v>
      </c>
      <c r="E220" s="1" t="s">
        <v>8</v>
      </c>
      <c r="F220" s="1">
        <v>1</v>
      </c>
      <c r="G220" s="1">
        <v>0</v>
      </c>
      <c r="H220" s="6">
        <f>INT(Query1[[#This Row],[EntryDateTime]])</f>
        <v>44600</v>
      </c>
      <c r="I220" s="1">
        <f>IF(Query1[[#This Row],[ItemType]]="EVAP KIT SF GEN IV",Query1[[#This Row],[OrderQty]]+I219,I219)</f>
        <v>178</v>
      </c>
      <c r="J220" s="1">
        <f>IF(Query1[[#This Row],[ItemType]]="EVAP KIT UNIVERSAL",Query1[[#This Row],[OrderQty]]+J219,J219)</f>
        <v>284</v>
      </c>
      <c r="K220" s="1">
        <f>Query1[[#This Row],[SF Running Total]]+Query1[[#This Row],[UNIV Running Total]]</f>
        <v>462</v>
      </c>
      <c r="L220">
        <f>VLOOKUP(Query1[[#This Row],[Description]],'kits to boards'!$B$2:$E$156,2,FALSE)</f>
        <v>830083</v>
      </c>
      <c r="M220">
        <f>VLOOKUP(Query1[[#This Row],[Description]],'kits to boards'!$B$2:$E$156,3,FALSE)</f>
        <v>0</v>
      </c>
      <c r="N220">
        <f>VLOOKUP(Query1[[#This Row],[Description]],'kits to boards'!$B$2:$E$156,4,FALSE)</f>
        <v>0</v>
      </c>
      <c r="O220" t="str">
        <f>CONCATENATE(Query1[[#This Row],[Description]]," - ",Query1[[#This Row],[MB1]]," - ",Query1[[#This Row],[MB2]]," - ",Query1[[#This Row],[MB3]])</f>
        <v>GEN IV MAGNUM EVAP KIT - 830083 - 0 - 0</v>
      </c>
    </row>
    <row r="221" spans="1:15" x14ac:dyDescent="0.25">
      <c r="A221" s="1">
        <v>909708</v>
      </c>
      <c r="B221" s="1" t="s">
        <v>126</v>
      </c>
      <c r="C221" s="1" t="s">
        <v>127</v>
      </c>
      <c r="D221" s="2">
        <v>44600.58402091435</v>
      </c>
      <c r="E221" s="1" t="s">
        <v>8</v>
      </c>
      <c r="F221" s="1">
        <v>1</v>
      </c>
      <c r="G221" s="1">
        <v>0</v>
      </c>
      <c r="H221" s="6">
        <f>INT(Query1[[#This Row],[EntryDateTime]])</f>
        <v>44600</v>
      </c>
      <c r="I221" s="1">
        <f>IF(Query1[[#This Row],[ItemType]]="EVAP KIT SF GEN IV",Query1[[#This Row],[OrderQty]]+I220,I220)</f>
        <v>179</v>
      </c>
      <c r="J221" s="1">
        <f>IF(Query1[[#This Row],[ItemType]]="EVAP KIT UNIVERSAL",Query1[[#This Row],[OrderQty]]+J220,J220)</f>
        <v>284</v>
      </c>
      <c r="K221" s="1">
        <f>Query1[[#This Row],[SF Running Total]]+Query1[[#This Row],[UNIV Running Total]]</f>
        <v>463</v>
      </c>
      <c r="L221">
        <f>VLOOKUP(Query1[[#This Row],[Description]],'kits to boards'!$B$2:$E$156,2,FALSE)</f>
        <v>830080</v>
      </c>
      <c r="M221">
        <f>VLOOKUP(Query1[[#This Row],[Description]],'kits to boards'!$B$2:$E$156,3,FALSE)</f>
        <v>0</v>
      </c>
      <c r="N221">
        <f>VLOOKUP(Query1[[#This Row],[Description]],'kits to boards'!$B$2:$E$156,4,FALSE)</f>
        <v>0</v>
      </c>
      <c r="O221" t="str">
        <f>CONCATENATE(Query1[[#This Row],[Description]]," - ",Query1[[#This Row],[MB1]]," - ",Query1[[#This Row],[MB2]]," - ",Query1[[#This Row],[MB3]])</f>
        <v>EVAP KIT 69-70 MUSTANG WO AC  - 830080 - 0 - 0</v>
      </c>
    </row>
    <row r="222" spans="1:15" x14ac:dyDescent="0.25">
      <c r="A222" s="1">
        <v>909727</v>
      </c>
      <c r="B222" s="1" t="s">
        <v>170</v>
      </c>
      <c r="C222" s="1" t="s">
        <v>171</v>
      </c>
      <c r="D222" s="2">
        <v>44600.584131747688</v>
      </c>
      <c r="E222" s="1" t="s">
        <v>8</v>
      </c>
      <c r="F222" s="1">
        <v>1</v>
      </c>
      <c r="G222" s="1">
        <v>0</v>
      </c>
      <c r="H222" s="6">
        <f>INT(Query1[[#This Row],[EntryDateTime]])</f>
        <v>44600</v>
      </c>
      <c r="I222" s="1">
        <f>IF(Query1[[#This Row],[ItemType]]="EVAP KIT SF GEN IV",Query1[[#This Row],[OrderQty]]+I221,I221)</f>
        <v>180</v>
      </c>
      <c r="J222" s="1">
        <f>IF(Query1[[#This Row],[ItemType]]="EVAP KIT UNIVERSAL",Query1[[#This Row],[OrderQty]]+J221,J221)</f>
        <v>284</v>
      </c>
      <c r="K222" s="1">
        <f>Query1[[#This Row],[SF Running Total]]+Query1[[#This Row],[UNIV Running Total]]</f>
        <v>464</v>
      </c>
      <c r="L222">
        <f>VLOOKUP(Query1[[#This Row],[Description]],'kits to boards'!$B$2:$E$156,2,FALSE)</f>
        <v>830018</v>
      </c>
      <c r="M222">
        <f>VLOOKUP(Query1[[#This Row],[Description]],'kits to boards'!$B$2:$E$156,3,FALSE)</f>
        <v>0</v>
      </c>
      <c r="N222">
        <f>VLOOKUP(Query1[[#This Row],[Description]],'kits to boards'!$B$2:$E$156,4,FALSE)</f>
        <v>0</v>
      </c>
      <c r="O222" t="str">
        <f>CONCATENATE(Query1[[#This Row],[Description]]," - ",Query1[[#This Row],[MB1]]," - ",Query1[[#This Row],[MB2]]," - ",Query1[[#This Row],[MB3]])</f>
        <v>EVAP KIT 67 FORD P-UP F-100 - 830018 - 0 - 0</v>
      </c>
    </row>
    <row r="223" spans="1:15" x14ac:dyDescent="0.25">
      <c r="A223" s="1">
        <v>909708</v>
      </c>
      <c r="B223" s="1" t="s">
        <v>42</v>
      </c>
      <c r="C223" s="1" t="s">
        <v>43</v>
      </c>
      <c r="D223" s="2">
        <v>44600.585704780089</v>
      </c>
      <c r="E223" s="1" t="s">
        <v>8</v>
      </c>
      <c r="F223" s="1">
        <v>1</v>
      </c>
      <c r="G223" s="1">
        <v>0</v>
      </c>
      <c r="H223" s="6">
        <f>INT(Query1[[#This Row],[EntryDateTime]])</f>
        <v>44600</v>
      </c>
      <c r="I223" s="1">
        <f>IF(Query1[[#This Row],[ItemType]]="EVAP KIT SF GEN IV",Query1[[#This Row],[OrderQty]]+I222,I222)</f>
        <v>181</v>
      </c>
      <c r="J223" s="1">
        <f>IF(Query1[[#This Row],[ItemType]]="EVAP KIT UNIVERSAL",Query1[[#This Row],[OrderQty]]+J222,J222)</f>
        <v>284</v>
      </c>
      <c r="K223" s="1">
        <f>Query1[[#This Row],[SF Running Total]]+Query1[[#This Row],[UNIV Running Total]]</f>
        <v>465</v>
      </c>
      <c r="L223">
        <f>VLOOKUP(Query1[[#This Row],[Description]],'kits to boards'!$B$2:$E$156,2,FALSE)</f>
        <v>830014</v>
      </c>
      <c r="M223">
        <f>VLOOKUP(Query1[[#This Row],[Description]],'kits to boards'!$B$2:$E$156,3,FALSE)</f>
        <v>0</v>
      </c>
      <c r="N223">
        <f>VLOOKUP(Query1[[#This Row],[Description]],'kits to boards'!$B$2:$E$156,4,FALSE)</f>
        <v>0</v>
      </c>
      <c r="O223" t="str">
        <f>CONCATENATE(Query1[[#This Row],[Description]]," - ",Query1[[#This Row],[MB1]]," - ",Query1[[#This Row],[MB2]]," - ",Query1[[#This Row],[MB3]])</f>
        <v>EVAP KIT 67-72 CHEV P-UP WO AC - 830014 - 0 - 0</v>
      </c>
    </row>
    <row r="224" spans="1:15" x14ac:dyDescent="0.25">
      <c r="A224" s="1">
        <v>909730</v>
      </c>
      <c r="B224" s="1" t="s">
        <v>120</v>
      </c>
      <c r="C224" s="1" t="s">
        <v>121</v>
      </c>
      <c r="D224" s="2">
        <v>44600.586916782406</v>
      </c>
      <c r="E224" s="1" t="s">
        <v>8</v>
      </c>
      <c r="F224" s="1">
        <v>1</v>
      </c>
      <c r="G224" s="1">
        <v>0</v>
      </c>
      <c r="H224" s="6">
        <f>INT(Query1[[#This Row],[EntryDateTime]])</f>
        <v>44600</v>
      </c>
      <c r="I224" s="1">
        <f>IF(Query1[[#This Row],[ItemType]]="EVAP KIT SF GEN IV",Query1[[#This Row],[OrderQty]]+I223,I223)</f>
        <v>182</v>
      </c>
      <c r="J224" s="1">
        <f>IF(Query1[[#This Row],[ItemType]]="EVAP KIT UNIVERSAL",Query1[[#This Row],[OrderQty]]+J223,J223)</f>
        <v>284</v>
      </c>
      <c r="K224" s="1">
        <f>Query1[[#This Row],[SF Running Total]]+Query1[[#This Row],[UNIV Running Total]]</f>
        <v>466</v>
      </c>
      <c r="L224">
        <f>VLOOKUP(Query1[[#This Row],[Description]],'kits to boards'!$B$2:$E$156,2,FALSE)</f>
        <v>830014</v>
      </c>
      <c r="M224">
        <f>VLOOKUP(Query1[[#This Row],[Description]],'kits to boards'!$B$2:$E$156,3,FALSE)</f>
        <v>0</v>
      </c>
      <c r="N224">
        <f>VLOOKUP(Query1[[#This Row],[Description]],'kits to boards'!$B$2:$E$156,4,FALSE)</f>
        <v>0</v>
      </c>
      <c r="O224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225" spans="1:15" x14ac:dyDescent="0.25">
      <c r="A225" s="1">
        <v>909708</v>
      </c>
      <c r="B225" s="1" t="s">
        <v>108</v>
      </c>
      <c r="C225" s="1" t="s">
        <v>109</v>
      </c>
      <c r="D225" s="2">
        <v>44600.587259918982</v>
      </c>
      <c r="E225" s="1" t="s">
        <v>8</v>
      </c>
      <c r="F225" s="1">
        <v>1</v>
      </c>
      <c r="G225" s="1">
        <v>0</v>
      </c>
      <c r="H225" s="6">
        <f>INT(Query1[[#This Row],[EntryDateTime]])</f>
        <v>44600</v>
      </c>
      <c r="I225" s="1">
        <f>IF(Query1[[#This Row],[ItemType]]="EVAP KIT SF GEN IV",Query1[[#This Row],[OrderQty]]+I224,I224)</f>
        <v>183</v>
      </c>
      <c r="J225" s="1">
        <f>IF(Query1[[#This Row],[ItemType]]="EVAP KIT UNIVERSAL",Query1[[#This Row],[OrderQty]]+J224,J224)</f>
        <v>284</v>
      </c>
      <c r="K225" s="1">
        <f>Query1[[#This Row],[SF Running Total]]+Query1[[#This Row],[UNIV Running Total]]</f>
        <v>467</v>
      </c>
      <c r="L225">
        <f>VLOOKUP(Query1[[#This Row],[Description]],'kits to boards'!$B$2:$E$156,2,FALSE)</f>
        <v>830105</v>
      </c>
      <c r="M225">
        <f>VLOOKUP(Query1[[#This Row],[Description]],'kits to boards'!$B$2:$E$156,3,FALSE)</f>
        <v>830106</v>
      </c>
      <c r="N225">
        <f>VLOOKUP(Query1[[#This Row],[Description]],'kits to boards'!$B$2:$E$156,4,FALSE)</f>
        <v>0</v>
      </c>
      <c r="O225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226" spans="1:15" x14ac:dyDescent="0.25">
      <c r="A226" s="1">
        <v>909733</v>
      </c>
      <c r="B226" s="1" t="s">
        <v>118</v>
      </c>
      <c r="C226" s="1" t="s">
        <v>119</v>
      </c>
      <c r="D226" s="2">
        <v>44600.590195138888</v>
      </c>
      <c r="E226" s="1" t="s">
        <v>11</v>
      </c>
      <c r="F226" s="1">
        <v>3</v>
      </c>
      <c r="G226" s="1">
        <v>0</v>
      </c>
      <c r="H226" s="6">
        <f>INT(Query1[[#This Row],[EntryDateTime]])</f>
        <v>44600</v>
      </c>
      <c r="I226" s="1">
        <f>IF(Query1[[#This Row],[ItemType]]="EVAP KIT SF GEN IV",Query1[[#This Row],[OrderQty]]+I225,I225)</f>
        <v>183</v>
      </c>
      <c r="J226" s="1">
        <f>IF(Query1[[#This Row],[ItemType]]="EVAP KIT UNIVERSAL",Query1[[#This Row],[OrderQty]]+J225,J225)</f>
        <v>287</v>
      </c>
      <c r="K226" s="1">
        <f>Query1[[#This Row],[SF Running Total]]+Query1[[#This Row],[UNIV Running Total]]</f>
        <v>470</v>
      </c>
      <c r="L226">
        <f>VLOOKUP(Query1[[#This Row],[Description]],'kits to boards'!$B$2:$E$156,2,FALSE)</f>
        <v>830069</v>
      </c>
      <c r="M226">
        <f>VLOOKUP(Query1[[#This Row],[Description]],'kits to boards'!$B$2:$E$156,3,FALSE)</f>
        <v>0</v>
      </c>
      <c r="N226">
        <f>VLOOKUP(Query1[[#This Row],[Description]],'kits to boards'!$B$2:$E$156,4,FALSE)</f>
        <v>0</v>
      </c>
      <c r="O226" t="str">
        <f>CONCATENATE(Query1[[#This Row],[Description]]," - ",Query1[[#This Row],[MB1]]," - ",Query1[[#This Row],[MB2]]," - ",Query1[[#This Row],[MB3]])</f>
        <v>SLIMLINE H/C W/DEF BLK LOUVER - 830069 - 0 - 0</v>
      </c>
    </row>
    <row r="227" spans="1:15" x14ac:dyDescent="0.25">
      <c r="A227" s="1">
        <v>909732</v>
      </c>
      <c r="B227" s="1" t="s">
        <v>120</v>
      </c>
      <c r="C227" s="1" t="s">
        <v>121</v>
      </c>
      <c r="D227" s="2">
        <v>44600.590230208334</v>
      </c>
      <c r="E227" s="1" t="s">
        <v>8</v>
      </c>
      <c r="F227" s="1">
        <v>1</v>
      </c>
      <c r="G227" s="1">
        <v>0</v>
      </c>
      <c r="H227" s="6">
        <f>INT(Query1[[#This Row],[EntryDateTime]])</f>
        <v>44600</v>
      </c>
      <c r="I227" s="1">
        <f>IF(Query1[[#This Row],[ItemType]]="EVAP KIT SF GEN IV",Query1[[#This Row],[OrderQty]]+I226,I226)</f>
        <v>184</v>
      </c>
      <c r="J227" s="1">
        <f>IF(Query1[[#This Row],[ItemType]]="EVAP KIT UNIVERSAL",Query1[[#This Row],[OrderQty]]+J226,J226)</f>
        <v>287</v>
      </c>
      <c r="K227" s="1">
        <f>Query1[[#This Row],[SF Running Total]]+Query1[[#This Row],[UNIV Running Total]]</f>
        <v>471</v>
      </c>
      <c r="L227">
        <f>VLOOKUP(Query1[[#This Row],[Description]],'kits to boards'!$B$2:$E$156,2,FALSE)</f>
        <v>830014</v>
      </c>
      <c r="M227">
        <f>VLOOKUP(Query1[[#This Row],[Description]],'kits to boards'!$B$2:$E$156,3,FALSE)</f>
        <v>0</v>
      </c>
      <c r="N227">
        <f>VLOOKUP(Query1[[#This Row],[Description]],'kits to boards'!$B$2:$E$156,4,FALSE)</f>
        <v>0</v>
      </c>
      <c r="O227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228" spans="1:15" x14ac:dyDescent="0.25">
      <c r="A228" s="1">
        <v>909733</v>
      </c>
      <c r="B228" s="1" t="s">
        <v>66</v>
      </c>
      <c r="C228" s="1" t="s">
        <v>67</v>
      </c>
      <c r="D228" s="2">
        <v>44600.590343206015</v>
      </c>
      <c r="E228" s="1" t="s">
        <v>8</v>
      </c>
      <c r="F228" s="1">
        <v>2</v>
      </c>
      <c r="G228" s="1">
        <v>0</v>
      </c>
      <c r="H228" s="6">
        <f>INT(Query1[[#This Row],[EntryDateTime]])</f>
        <v>44600</v>
      </c>
      <c r="I228" s="1">
        <f>IF(Query1[[#This Row],[ItemType]]="EVAP KIT SF GEN IV",Query1[[#This Row],[OrderQty]]+I227,I227)</f>
        <v>186</v>
      </c>
      <c r="J228" s="1">
        <f>IF(Query1[[#This Row],[ItemType]]="EVAP KIT UNIVERSAL",Query1[[#This Row],[OrderQty]]+J227,J227)</f>
        <v>287</v>
      </c>
      <c r="K228" s="1">
        <f>Query1[[#This Row],[SF Running Total]]+Query1[[#This Row],[UNIV Running Total]]</f>
        <v>473</v>
      </c>
      <c r="L228">
        <f>VLOOKUP(Query1[[#This Row],[Description]],'kits to boards'!$B$2:$E$156,2,FALSE)</f>
        <v>830060</v>
      </c>
      <c r="M228">
        <f>VLOOKUP(Query1[[#This Row],[Description]],'kits to boards'!$B$2:$E$156,3,FALSE)</f>
        <v>0</v>
      </c>
      <c r="N228">
        <f>VLOOKUP(Query1[[#This Row],[Description]],'kits to boards'!$B$2:$E$156,4,FALSE)</f>
        <v>0</v>
      </c>
      <c r="O228" t="str">
        <f>CONCATENATE(Query1[[#This Row],[Description]]," - ",Query1[[#This Row],[MB1]]," - ",Query1[[#This Row],[MB2]]," - ",Query1[[#This Row],[MB3]])</f>
        <v>EVAP KIT 66-67 CHEVELLE WO AC - 830060 - 0 - 0</v>
      </c>
    </row>
    <row r="229" spans="1:15" x14ac:dyDescent="0.25">
      <c r="A229" s="1">
        <v>909733</v>
      </c>
      <c r="B229" s="1" t="s">
        <v>60</v>
      </c>
      <c r="C229" s="1" t="s">
        <v>61</v>
      </c>
      <c r="D229" s="2">
        <v>44600.590344988428</v>
      </c>
      <c r="E229" s="1" t="s">
        <v>8</v>
      </c>
      <c r="F229" s="1">
        <v>4</v>
      </c>
      <c r="G229" s="1">
        <v>0</v>
      </c>
      <c r="H229" s="6">
        <f>INT(Query1[[#This Row],[EntryDateTime]])</f>
        <v>44600</v>
      </c>
      <c r="I229" s="1">
        <f>IF(Query1[[#This Row],[ItemType]]="EVAP KIT SF GEN IV",Query1[[#This Row],[OrderQty]]+I228,I228)</f>
        <v>190</v>
      </c>
      <c r="J229" s="1">
        <f>IF(Query1[[#This Row],[ItemType]]="EVAP KIT UNIVERSAL",Query1[[#This Row],[OrderQty]]+J228,J228)</f>
        <v>287</v>
      </c>
      <c r="K229" s="1">
        <f>Query1[[#This Row],[SF Running Total]]+Query1[[#This Row],[UNIV Running Total]]</f>
        <v>477</v>
      </c>
      <c r="L229">
        <f>VLOOKUP(Query1[[#This Row],[Description]],'kits to boards'!$B$2:$E$156,2,FALSE)</f>
        <v>830062</v>
      </c>
      <c r="M229">
        <f>VLOOKUP(Query1[[#This Row],[Description]],'kits to boards'!$B$2:$E$156,3,FALSE)</f>
        <v>0</v>
      </c>
      <c r="N229">
        <f>VLOOKUP(Query1[[#This Row],[Description]],'kits to boards'!$B$2:$E$156,4,FALSE)</f>
        <v>0</v>
      </c>
      <c r="O229" t="str">
        <f>CONCATENATE(Query1[[#This Row],[Description]]," - ",Query1[[#This Row],[MB1]]," - ",Query1[[#This Row],[MB2]]," - ",Query1[[#This Row],[MB3]])</f>
        <v>EVAP KIT 68-69 CHEVELLE WO AC - 830062 - 0 - 0</v>
      </c>
    </row>
    <row r="230" spans="1:15" x14ac:dyDescent="0.25">
      <c r="A230" s="1">
        <v>909733</v>
      </c>
      <c r="B230" s="1" t="s">
        <v>50</v>
      </c>
      <c r="C230" s="1" t="s">
        <v>51</v>
      </c>
      <c r="D230" s="2">
        <v>44600.590346724537</v>
      </c>
      <c r="E230" s="1" t="s">
        <v>8</v>
      </c>
      <c r="F230" s="1">
        <v>3</v>
      </c>
      <c r="G230" s="1">
        <v>0</v>
      </c>
      <c r="H230" s="6">
        <f>INT(Query1[[#This Row],[EntryDateTime]])</f>
        <v>44600</v>
      </c>
      <c r="I230" s="1">
        <f>IF(Query1[[#This Row],[ItemType]]="EVAP KIT SF GEN IV",Query1[[#This Row],[OrderQty]]+I229,I229)</f>
        <v>193</v>
      </c>
      <c r="J230" s="1">
        <f>IF(Query1[[#This Row],[ItemType]]="EVAP KIT UNIVERSAL",Query1[[#This Row],[OrderQty]]+J229,J229)</f>
        <v>287</v>
      </c>
      <c r="K230" s="1">
        <f>Query1[[#This Row],[SF Running Total]]+Query1[[#This Row],[UNIV Running Total]]</f>
        <v>480</v>
      </c>
      <c r="L230">
        <f>VLOOKUP(Query1[[#This Row],[Description]],'kits to boards'!$B$2:$E$156,2,FALSE)</f>
        <v>830043</v>
      </c>
      <c r="M230">
        <f>VLOOKUP(Query1[[#This Row],[Description]],'kits to boards'!$B$2:$E$156,3,FALSE)</f>
        <v>0</v>
      </c>
      <c r="N230">
        <f>VLOOKUP(Query1[[#This Row],[Description]],'kits to boards'!$B$2:$E$156,4,FALSE)</f>
        <v>0</v>
      </c>
      <c r="O230" t="str">
        <f>CONCATENATE(Query1[[#This Row],[Description]]," - ",Query1[[#This Row],[MB1]]," - ",Query1[[#This Row],[MB2]]," - ",Query1[[#This Row],[MB3]])</f>
        <v>EVAP KIT 69-74 NOVA WO AC - 830043 - 0 - 0</v>
      </c>
    </row>
    <row r="231" spans="1:15" x14ac:dyDescent="0.25">
      <c r="A231" s="1">
        <v>909733</v>
      </c>
      <c r="B231" s="1" t="s">
        <v>30</v>
      </c>
      <c r="C231" s="1" t="s">
        <v>31</v>
      </c>
      <c r="D231" s="2">
        <v>44600.590348495367</v>
      </c>
      <c r="E231" s="1" t="s">
        <v>8</v>
      </c>
      <c r="F231" s="1">
        <v>1</v>
      </c>
      <c r="G231" s="1">
        <v>0</v>
      </c>
      <c r="H231" s="6">
        <f>INT(Query1[[#This Row],[EntryDateTime]])</f>
        <v>44600</v>
      </c>
      <c r="I231" s="1">
        <f>IF(Query1[[#This Row],[ItemType]]="EVAP KIT SF GEN IV",Query1[[#This Row],[OrderQty]]+I230,I230)</f>
        <v>194</v>
      </c>
      <c r="J231" s="1">
        <f>IF(Query1[[#This Row],[ItemType]]="EVAP KIT UNIVERSAL",Query1[[#This Row],[OrderQty]]+J230,J230)</f>
        <v>287</v>
      </c>
      <c r="K231" s="1">
        <f>Query1[[#This Row],[SF Running Total]]+Query1[[#This Row],[UNIV Running Total]]</f>
        <v>481</v>
      </c>
      <c r="L231">
        <f>VLOOKUP(Query1[[#This Row],[Description]],'kits to boards'!$B$2:$E$156,2,FALSE)</f>
        <v>830054</v>
      </c>
      <c r="M231">
        <f>VLOOKUP(Query1[[#This Row],[Description]],'kits to boards'!$B$2:$E$156,3,FALSE)</f>
        <v>0</v>
      </c>
      <c r="N231">
        <f>VLOOKUP(Query1[[#This Row],[Description]],'kits to boards'!$B$2:$E$156,4,FALSE)</f>
        <v>0</v>
      </c>
      <c r="O231" t="str">
        <f>CONCATENATE(Query1[[#This Row],[Description]]," - ",Query1[[#This Row],[MB1]]," - ",Query1[[#This Row],[MB2]]," - ",Query1[[#This Row],[MB3]])</f>
        <v>EVAP KIT 55-56 CHEVY 4-VENT - 830054 - 0 - 0</v>
      </c>
    </row>
    <row r="232" spans="1:15" x14ac:dyDescent="0.25">
      <c r="A232" s="1">
        <v>909733</v>
      </c>
      <c r="B232" s="1" t="s">
        <v>76</v>
      </c>
      <c r="C232" s="1" t="s">
        <v>77</v>
      </c>
      <c r="D232" s="2">
        <v>44600.590353819447</v>
      </c>
      <c r="E232" s="1" t="s">
        <v>11</v>
      </c>
      <c r="F232" s="1">
        <v>1</v>
      </c>
      <c r="G232" s="1">
        <v>0</v>
      </c>
      <c r="H232" s="6">
        <f>INT(Query1[[#This Row],[EntryDateTime]])</f>
        <v>44600</v>
      </c>
      <c r="I232" s="1">
        <f>IF(Query1[[#This Row],[ItemType]]="EVAP KIT SF GEN IV",Query1[[#This Row],[OrderQty]]+I231,I231)</f>
        <v>194</v>
      </c>
      <c r="J232" s="1">
        <f>IF(Query1[[#This Row],[ItemType]]="EVAP KIT UNIVERSAL",Query1[[#This Row],[OrderQty]]+J231,J231)</f>
        <v>288</v>
      </c>
      <c r="K232" s="1">
        <f>Query1[[#This Row],[SF Running Total]]+Query1[[#This Row],[UNIV Running Total]]</f>
        <v>482</v>
      </c>
      <c r="L232">
        <f>VLOOKUP(Query1[[#This Row],[Description]],'kits to boards'!$B$2:$E$156,2,FALSE)</f>
        <v>830099</v>
      </c>
      <c r="M232">
        <f>VLOOKUP(Query1[[#This Row],[Description]],'kits to boards'!$B$2:$E$156,3,FALSE)</f>
        <v>0</v>
      </c>
      <c r="N232">
        <f>VLOOKUP(Query1[[#This Row],[Description]],'kits to boards'!$B$2:$E$156,4,FALSE)</f>
        <v>0</v>
      </c>
      <c r="O232" t="str">
        <f>CONCATENATE(Query1[[#This Row],[Description]]," - ",Query1[[#This Row],[MB1]]," - ",Query1[[#This Row],[MB2]]," - ",Query1[[#This Row],[MB3]])</f>
        <v>MINI GEN II H/C - 830099 - 0 - 0</v>
      </c>
    </row>
    <row r="233" spans="1:15" x14ac:dyDescent="0.25">
      <c r="A233" s="1">
        <v>909733</v>
      </c>
      <c r="B233" s="1" t="s">
        <v>26</v>
      </c>
      <c r="C233" s="1" t="s">
        <v>27</v>
      </c>
      <c r="D233" s="2">
        <v>44600.590359062502</v>
      </c>
      <c r="E233" s="1" t="s">
        <v>8</v>
      </c>
      <c r="F233" s="1">
        <v>1</v>
      </c>
      <c r="G233" s="1">
        <v>0</v>
      </c>
      <c r="H233" s="6">
        <f>INT(Query1[[#This Row],[EntryDateTime]])</f>
        <v>44600</v>
      </c>
      <c r="I233" s="1">
        <f>IF(Query1[[#This Row],[ItemType]]="EVAP KIT SF GEN IV",Query1[[#This Row],[OrderQty]]+I232,I232)</f>
        <v>195</v>
      </c>
      <c r="J233" s="1">
        <f>IF(Query1[[#This Row],[ItemType]]="EVAP KIT UNIVERSAL",Query1[[#This Row],[OrderQty]]+J232,J232)</f>
        <v>288</v>
      </c>
      <c r="K233" s="1">
        <f>Query1[[#This Row],[SF Running Total]]+Query1[[#This Row],[UNIV Running Total]]</f>
        <v>483</v>
      </c>
      <c r="L233">
        <f>VLOOKUP(Query1[[#This Row],[Description]],'kits to boards'!$B$2:$E$156,2,FALSE)</f>
        <v>830013</v>
      </c>
      <c r="M233">
        <f>VLOOKUP(Query1[[#This Row],[Description]],'kits to boards'!$B$2:$E$156,3,FALSE)</f>
        <v>0</v>
      </c>
      <c r="N233">
        <f>VLOOKUP(Query1[[#This Row],[Description]],'kits to boards'!$B$2:$E$156,4,FALSE)</f>
        <v>0</v>
      </c>
      <c r="O233" t="str">
        <f>CONCATENATE(Query1[[#This Row],[Description]]," - ",Query1[[#This Row],[MB1]]," - ",Query1[[#This Row],[MB2]]," - ",Query1[[#This Row],[MB3]])</f>
        <v>EVAP KIT 67-72 CHEV P-UP W/AC - 830013 - 0 - 0</v>
      </c>
    </row>
    <row r="234" spans="1:15" x14ac:dyDescent="0.25">
      <c r="A234" s="1">
        <v>909733</v>
      </c>
      <c r="B234" s="1" t="s">
        <v>28</v>
      </c>
      <c r="C234" s="1" t="s">
        <v>29</v>
      </c>
      <c r="D234" s="2">
        <v>44600.590360798611</v>
      </c>
      <c r="E234" s="1" t="s">
        <v>8</v>
      </c>
      <c r="F234" s="1">
        <v>2</v>
      </c>
      <c r="G234" s="1">
        <v>0</v>
      </c>
      <c r="H234" s="6">
        <f>INT(Query1[[#This Row],[EntryDateTime]])</f>
        <v>44600</v>
      </c>
      <c r="I234" s="1">
        <f>IF(Query1[[#This Row],[ItemType]]="EVAP KIT SF GEN IV",Query1[[#This Row],[OrderQty]]+I233,I233)</f>
        <v>197</v>
      </c>
      <c r="J234" s="1">
        <f>IF(Query1[[#This Row],[ItemType]]="EVAP KIT UNIVERSAL",Query1[[#This Row],[OrderQty]]+J233,J233)</f>
        <v>288</v>
      </c>
      <c r="K234" s="1">
        <f>Query1[[#This Row],[SF Running Total]]+Query1[[#This Row],[UNIV Running Total]]</f>
        <v>485</v>
      </c>
      <c r="L234">
        <f>VLOOKUP(Query1[[#This Row],[Description]],'kits to boards'!$B$2:$E$156,2,FALSE)</f>
        <v>830001</v>
      </c>
      <c r="M234">
        <f>VLOOKUP(Query1[[#This Row],[Description]],'kits to boards'!$B$2:$E$156,3,FALSE)</f>
        <v>0</v>
      </c>
      <c r="N234">
        <f>VLOOKUP(Query1[[#This Row],[Description]],'kits to boards'!$B$2:$E$156,4,FALSE)</f>
        <v>0</v>
      </c>
      <c r="O234" t="str">
        <f>CONCATENATE(Query1[[#This Row],[Description]]," - ",Query1[[#This Row],[MB1]]," - ",Query1[[#This Row],[MB2]]," - ",Query1[[#This Row],[MB3]])</f>
        <v>EVAP KIT 73-80 CHEV P-UP W/AC - 830001 - 0 - 0</v>
      </c>
    </row>
    <row r="235" spans="1:15" x14ac:dyDescent="0.25">
      <c r="A235" s="1">
        <v>909738</v>
      </c>
      <c r="B235" s="1" t="s">
        <v>279</v>
      </c>
      <c r="C235" s="1" t="s">
        <v>280</v>
      </c>
      <c r="D235" s="2">
        <v>44600.593541354167</v>
      </c>
      <c r="E235" s="1" t="s">
        <v>8</v>
      </c>
      <c r="F235" s="1">
        <v>1</v>
      </c>
      <c r="G235" s="1">
        <v>0</v>
      </c>
      <c r="H235" s="6">
        <f>INT(Query1[[#This Row],[EntryDateTime]])</f>
        <v>44600</v>
      </c>
      <c r="I235" s="1">
        <f>IF(Query1[[#This Row],[ItemType]]="EVAP KIT SF GEN IV",Query1[[#This Row],[OrderQty]]+I234,I234)</f>
        <v>198</v>
      </c>
      <c r="J235" s="1">
        <f>IF(Query1[[#This Row],[ItemType]]="EVAP KIT UNIVERSAL",Query1[[#This Row],[OrderQty]]+J234,J234)</f>
        <v>288</v>
      </c>
      <c r="K235" s="1">
        <f>Query1[[#This Row],[SF Running Total]]+Query1[[#This Row],[UNIV Running Total]]</f>
        <v>486</v>
      </c>
      <c r="L235">
        <f>VLOOKUP(Query1[[#This Row],[Description]],'kits to boards'!$B$2:$E$156,2,FALSE)</f>
        <v>830067</v>
      </c>
      <c r="M235">
        <f>VLOOKUP(Query1[[#This Row],[Description]],'kits to boards'!$B$2:$E$156,3,FALSE)</f>
        <v>0</v>
      </c>
      <c r="N235">
        <f>VLOOKUP(Query1[[#This Row],[Description]],'kits to boards'!$B$2:$E$156,4,FALSE)</f>
        <v>0</v>
      </c>
      <c r="O235" t="str">
        <f>CONCATENATE(Query1[[#This Row],[Description]]," - ",Query1[[#This Row],[MB1]]," - ",Query1[[#This Row],[MB2]]," - ",Query1[[#This Row],[MB3]])</f>
        <v>EVAP KIT 59-60 CHEV CAR 2-LEVER - 830067 - 0 - 0</v>
      </c>
    </row>
    <row r="236" spans="1:15" x14ac:dyDescent="0.25">
      <c r="A236" s="1">
        <v>909737</v>
      </c>
      <c r="B236" s="1" t="s">
        <v>66</v>
      </c>
      <c r="C236" s="1" t="s">
        <v>67</v>
      </c>
      <c r="D236" s="2">
        <v>44600.593723692131</v>
      </c>
      <c r="E236" s="1" t="s">
        <v>8</v>
      </c>
      <c r="F236" s="1">
        <v>1</v>
      </c>
      <c r="G236" s="1">
        <v>0</v>
      </c>
      <c r="H236" s="6">
        <f>INT(Query1[[#This Row],[EntryDateTime]])</f>
        <v>44600</v>
      </c>
      <c r="I236" s="1">
        <f>IF(Query1[[#This Row],[ItemType]]="EVAP KIT SF GEN IV",Query1[[#This Row],[OrderQty]]+I235,I235)</f>
        <v>199</v>
      </c>
      <c r="J236" s="1">
        <f>IF(Query1[[#This Row],[ItemType]]="EVAP KIT UNIVERSAL",Query1[[#This Row],[OrderQty]]+J235,J235)</f>
        <v>288</v>
      </c>
      <c r="K236" s="1">
        <f>Query1[[#This Row],[SF Running Total]]+Query1[[#This Row],[UNIV Running Total]]</f>
        <v>487</v>
      </c>
      <c r="L236">
        <f>VLOOKUP(Query1[[#This Row],[Description]],'kits to boards'!$B$2:$E$156,2,FALSE)</f>
        <v>830060</v>
      </c>
      <c r="M236">
        <f>VLOOKUP(Query1[[#This Row],[Description]],'kits to boards'!$B$2:$E$156,3,FALSE)</f>
        <v>0</v>
      </c>
      <c r="N236">
        <f>VLOOKUP(Query1[[#This Row],[Description]],'kits to boards'!$B$2:$E$156,4,FALSE)</f>
        <v>0</v>
      </c>
      <c r="O236" t="str">
        <f>CONCATENATE(Query1[[#This Row],[Description]]," - ",Query1[[#This Row],[MB1]]," - ",Query1[[#This Row],[MB2]]," - ",Query1[[#This Row],[MB3]])</f>
        <v>EVAP KIT 66-67 CHEVELLE WO AC - 830060 - 0 - 0</v>
      </c>
    </row>
    <row r="237" spans="1:15" x14ac:dyDescent="0.25">
      <c r="A237" s="1">
        <v>909744</v>
      </c>
      <c r="B237" s="1" t="s">
        <v>88</v>
      </c>
      <c r="C237" s="1" t="s">
        <v>89</v>
      </c>
      <c r="D237" s="2">
        <v>44600.596810995368</v>
      </c>
      <c r="E237" s="1" t="s">
        <v>8</v>
      </c>
      <c r="F237" s="1">
        <v>1</v>
      </c>
      <c r="G237" s="1">
        <v>0</v>
      </c>
      <c r="H237" s="6">
        <f>INT(Query1[[#This Row],[EntryDateTime]])</f>
        <v>44600</v>
      </c>
      <c r="I237" s="1">
        <f>IF(Query1[[#This Row],[ItemType]]="EVAP KIT SF GEN IV",Query1[[#This Row],[OrderQty]]+I236,I236)</f>
        <v>200</v>
      </c>
      <c r="J237" s="1">
        <f>IF(Query1[[#This Row],[ItemType]]="EVAP KIT UNIVERSAL",Query1[[#This Row],[OrderQty]]+J236,J236)</f>
        <v>288</v>
      </c>
      <c r="K237" s="1">
        <f>Query1[[#This Row],[SF Running Total]]+Query1[[#This Row],[UNIV Running Total]]</f>
        <v>488</v>
      </c>
      <c r="L237">
        <f>VLOOKUP(Query1[[#This Row],[Description]],'kits to boards'!$B$2:$E$156,2,FALSE)</f>
        <v>830003</v>
      </c>
      <c r="M237">
        <f>VLOOKUP(Query1[[#This Row],[Description]],'kits to boards'!$B$2:$E$156,3,FALSE)</f>
        <v>0</v>
      </c>
      <c r="N237">
        <f>VLOOKUP(Query1[[#This Row],[Description]],'kits to boards'!$B$2:$E$156,4,FALSE)</f>
        <v>0</v>
      </c>
      <c r="O237" t="str">
        <f>CONCATENATE(Query1[[#This Row],[Description]]," - ",Query1[[#This Row],[MB1]]," - ",Query1[[#This Row],[MB2]]," - ",Query1[[#This Row],[MB3]])</f>
        <v>EVAP KIT 81-87 CHEV P-UP WO AC - 830003 - 0 - 0</v>
      </c>
    </row>
    <row r="238" spans="1:15" x14ac:dyDescent="0.25">
      <c r="A238" s="1">
        <v>909745</v>
      </c>
      <c r="B238" s="1" t="s">
        <v>124</v>
      </c>
      <c r="C238" s="1" t="s">
        <v>125</v>
      </c>
      <c r="D238" s="2">
        <v>44600.598508182869</v>
      </c>
      <c r="E238" s="1" t="s">
        <v>8</v>
      </c>
      <c r="F238" s="1">
        <v>1</v>
      </c>
      <c r="G238" s="1">
        <v>0</v>
      </c>
      <c r="H238" s="6">
        <f>INT(Query1[[#This Row],[EntryDateTime]])</f>
        <v>44600</v>
      </c>
      <c r="I238" s="1">
        <f>IF(Query1[[#This Row],[ItemType]]="EVAP KIT SF GEN IV",Query1[[#This Row],[OrderQty]]+I237,I237)</f>
        <v>201</v>
      </c>
      <c r="J238" s="1">
        <f>IF(Query1[[#This Row],[ItemType]]="EVAP KIT UNIVERSAL",Query1[[#This Row],[OrderQty]]+J237,J237)</f>
        <v>288</v>
      </c>
      <c r="K238" s="1">
        <f>Query1[[#This Row],[SF Running Total]]+Query1[[#This Row],[UNIV Running Total]]</f>
        <v>489</v>
      </c>
      <c r="L238">
        <f>VLOOKUP(Query1[[#This Row],[Description]],'kits to boards'!$B$2:$E$156,2,FALSE)</f>
        <v>830002</v>
      </c>
      <c r="M238">
        <f>VLOOKUP(Query1[[#This Row],[Description]],'kits to boards'!$B$2:$E$156,3,FALSE)</f>
        <v>0</v>
      </c>
      <c r="N238">
        <f>VLOOKUP(Query1[[#This Row],[Description]],'kits to boards'!$B$2:$E$156,4,FALSE)</f>
        <v>0</v>
      </c>
      <c r="O238" t="str">
        <f>CONCATENATE(Query1[[#This Row],[Description]]," - ",Query1[[#This Row],[MB1]]," - ",Query1[[#This Row],[MB2]]," - ",Query1[[#This Row],[MB3]])</f>
        <v>EVAP KIT 73-80 CHEV P-UP WO AC - 830002 - 0 - 0</v>
      </c>
    </row>
    <row r="239" spans="1:15" x14ac:dyDescent="0.25">
      <c r="A239" s="1">
        <v>909751</v>
      </c>
      <c r="B239" s="1" t="s">
        <v>92</v>
      </c>
      <c r="C239" s="1" t="s">
        <v>93</v>
      </c>
      <c r="D239" s="2">
        <v>44600.603618321758</v>
      </c>
      <c r="E239" s="1" t="s">
        <v>8</v>
      </c>
      <c r="F239" s="1">
        <v>1</v>
      </c>
      <c r="G239" s="1">
        <v>0</v>
      </c>
      <c r="H239" s="6">
        <f>INT(Query1[[#This Row],[EntryDateTime]])</f>
        <v>44600</v>
      </c>
      <c r="I239" s="1">
        <f>IF(Query1[[#This Row],[ItemType]]="EVAP KIT SF GEN IV",Query1[[#This Row],[OrderQty]]+I238,I238)</f>
        <v>202</v>
      </c>
      <c r="J239" s="1">
        <f>IF(Query1[[#This Row],[ItemType]]="EVAP KIT UNIVERSAL",Query1[[#This Row],[OrderQty]]+J238,J238)</f>
        <v>288</v>
      </c>
      <c r="K239" s="1">
        <f>Query1[[#This Row],[SF Running Total]]+Query1[[#This Row],[UNIV Running Total]]</f>
        <v>490</v>
      </c>
      <c r="L239">
        <f>VLOOKUP(Query1[[#This Row],[Description]],'kits to boards'!$B$2:$E$156,2,FALSE)</f>
        <v>830063</v>
      </c>
      <c r="M239">
        <f>VLOOKUP(Query1[[#This Row],[Description]],'kits to boards'!$B$2:$E$156,3,FALSE)</f>
        <v>0</v>
      </c>
      <c r="N239">
        <f>VLOOKUP(Query1[[#This Row],[Description]],'kits to boards'!$B$2:$E$156,4,FALSE)</f>
        <v>0</v>
      </c>
      <c r="O239" t="str">
        <f>CONCATENATE(Query1[[#This Row],[Description]]," - ",Query1[[#This Row],[MB1]]," - ",Query1[[#This Row],[MB2]]," - ",Query1[[#This Row],[MB3]])</f>
        <v>EVAP KIT 50-53 CHEV P-UP GEN IV - 830063 - 0 - 0</v>
      </c>
    </row>
    <row r="240" spans="1:15" x14ac:dyDescent="0.25">
      <c r="A240" s="1">
        <v>909752</v>
      </c>
      <c r="B240" s="1" t="s">
        <v>108</v>
      </c>
      <c r="C240" s="1" t="s">
        <v>109</v>
      </c>
      <c r="D240" s="2">
        <v>44600.60515787037</v>
      </c>
      <c r="E240" s="1" t="s">
        <v>8</v>
      </c>
      <c r="F240" s="1">
        <v>1</v>
      </c>
      <c r="G240" s="1">
        <v>0</v>
      </c>
      <c r="H240" s="6">
        <f>INT(Query1[[#This Row],[EntryDateTime]])</f>
        <v>44600</v>
      </c>
      <c r="I240" s="1">
        <f>IF(Query1[[#This Row],[ItemType]]="EVAP KIT SF GEN IV",Query1[[#This Row],[OrderQty]]+I239,I239)</f>
        <v>203</v>
      </c>
      <c r="J240" s="1">
        <f>IF(Query1[[#This Row],[ItemType]]="EVAP KIT UNIVERSAL",Query1[[#This Row],[OrderQty]]+J239,J239)</f>
        <v>288</v>
      </c>
      <c r="K240" s="1">
        <f>Query1[[#This Row],[SF Running Total]]+Query1[[#This Row],[UNIV Running Total]]</f>
        <v>491</v>
      </c>
      <c r="L240">
        <f>VLOOKUP(Query1[[#This Row],[Description]],'kits to boards'!$B$2:$E$156,2,FALSE)</f>
        <v>830105</v>
      </c>
      <c r="M240">
        <f>VLOOKUP(Query1[[#This Row],[Description]],'kits to boards'!$B$2:$E$156,3,FALSE)</f>
        <v>830106</v>
      </c>
      <c r="N240">
        <f>VLOOKUP(Query1[[#This Row],[Description]],'kits to boards'!$B$2:$E$156,4,FALSE)</f>
        <v>0</v>
      </c>
      <c r="O240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241" spans="1:15" x14ac:dyDescent="0.25">
      <c r="A241" s="1">
        <v>909607</v>
      </c>
      <c r="B241" s="1" t="s">
        <v>28</v>
      </c>
      <c r="C241" s="1" t="s">
        <v>29</v>
      </c>
      <c r="D241" s="2">
        <v>44600.606843055553</v>
      </c>
      <c r="E241" s="1" t="s">
        <v>8</v>
      </c>
      <c r="F241" s="1">
        <v>2</v>
      </c>
      <c r="G241" s="1">
        <v>0</v>
      </c>
      <c r="H241" s="6">
        <f>INT(Query1[[#This Row],[EntryDateTime]])</f>
        <v>44600</v>
      </c>
      <c r="I241" s="1">
        <f>IF(Query1[[#This Row],[ItemType]]="EVAP KIT SF GEN IV",Query1[[#This Row],[OrderQty]]+I240,I240)</f>
        <v>205</v>
      </c>
      <c r="J241" s="1">
        <f>IF(Query1[[#This Row],[ItemType]]="EVAP KIT UNIVERSAL",Query1[[#This Row],[OrderQty]]+J240,J240)</f>
        <v>288</v>
      </c>
      <c r="K241" s="1">
        <f>Query1[[#This Row],[SF Running Total]]+Query1[[#This Row],[UNIV Running Total]]</f>
        <v>493</v>
      </c>
      <c r="L241">
        <f>VLOOKUP(Query1[[#This Row],[Description]],'kits to boards'!$B$2:$E$156,2,FALSE)</f>
        <v>830001</v>
      </c>
      <c r="M241">
        <f>VLOOKUP(Query1[[#This Row],[Description]],'kits to boards'!$B$2:$E$156,3,FALSE)</f>
        <v>0</v>
      </c>
      <c r="N241">
        <f>VLOOKUP(Query1[[#This Row],[Description]],'kits to boards'!$B$2:$E$156,4,FALSE)</f>
        <v>0</v>
      </c>
      <c r="O241" t="str">
        <f>CONCATENATE(Query1[[#This Row],[Description]]," - ",Query1[[#This Row],[MB1]]," - ",Query1[[#This Row],[MB2]]," - ",Query1[[#This Row],[MB3]])</f>
        <v>EVAP KIT 73-80 CHEV P-UP W/AC - 830001 - 0 - 0</v>
      </c>
    </row>
    <row r="242" spans="1:15" x14ac:dyDescent="0.25">
      <c r="A242" s="1">
        <v>909607</v>
      </c>
      <c r="B242" s="1" t="s">
        <v>120</v>
      </c>
      <c r="C242" s="1" t="s">
        <v>121</v>
      </c>
      <c r="D242" s="2">
        <v>44600.606843055553</v>
      </c>
      <c r="E242" s="1" t="s">
        <v>8</v>
      </c>
      <c r="F242" s="1">
        <v>4</v>
      </c>
      <c r="G242" s="1">
        <v>0</v>
      </c>
      <c r="H242" s="6">
        <f>INT(Query1[[#This Row],[EntryDateTime]])</f>
        <v>44600</v>
      </c>
      <c r="I242" s="1">
        <f>IF(Query1[[#This Row],[ItemType]]="EVAP KIT SF GEN IV",Query1[[#This Row],[OrderQty]]+I241,I241)</f>
        <v>209</v>
      </c>
      <c r="J242" s="1">
        <f>IF(Query1[[#This Row],[ItemType]]="EVAP KIT UNIVERSAL",Query1[[#This Row],[OrderQty]]+J241,J241)</f>
        <v>288</v>
      </c>
      <c r="K242" s="1">
        <f>Query1[[#This Row],[SF Running Total]]+Query1[[#This Row],[UNIV Running Total]]</f>
        <v>497</v>
      </c>
      <c r="L242">
        <f>VLOOKUP(Query1[[#This Row],[Description]],'kits to boards'!$B$2:$E$156,2,FALSE)</f>
        <v>830014</v>
      </c>
      <c r="M242">
        <f>VLOOKUP(Query1[[#This Row],[Description]],'kits to boards'!$B$2:$E$156,3,FALSE)</f>
        <v>0</v>
      </c>
      <c r="N242">
        <f>VLOOKUP(Query1[[#This Row],[Description]],'kits to boards'!$B$2:$E$156,4,FALSE)</f>
        <v>0</v>
      </c>
      <c r="O242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243" spans="1:15" x14ac:dyDescent="0.25">
      <c r="A243" s="1">
        <v>909607</v>
      </c>
      <c r="B243" s="1" t="s">
        <v>42</v>
      </c>
      <c r="C243" s="1" t="s">
        <v>43</v>
      </c>
      <c r="D243" s="2">
        <v>44600.606843055553</v>
      </c>
      <c r="E243" s="1" t="s">
        <v>8</v>
      </c>
      <c r="F243" s="1">
        <v>4</v>
      </c>
      <c r="G243" s="1">
        <v>0</v>
      </c>
      <c r="H243" s="6">
        <f>INT(Query1[[#This Row],[EntryDateTime]])</f>
        <v>44600</v>
      </c>
      <c r="I243" s="1">
        <f>IF(Query1[[#This Row],[ItemType]]="EVAP KIT SF GEN IV",Query1[[#This Row],[OrderQty]]+I242,I242)</f>
        <v>213</v>
      </c>
      <c r="J243" s="1">
        <f>IF(Query1[[#This Row],[ItemType]]="EVAP KIT UNIVERSAL",Query1[[#This Row],[OrderQty]]+J242,J242)</f>
        <v>288</v>
      </c>
      <c r="K243" s="1">
        <f>Query1[[#This Row],[SF Running Total]]+Query1[[#This Row],[UNIV Running Total]]</f>
        <v>501</v>
      </c>
      <c r="L243">
        <f>VLOOKUP(Query1[[#This Row],[Description]],'kits to boards'!$B$2:$E$156,2,FALSE)</f>
        <v>830014</v>
      </c>
      <c r="M243">
        <f>VLOOKUP(Query1[[#This Row],[Description]],'kits to boards'!$B$2:$E$156,3,FALSE)</f>
        <v>0</v>
      </c>
      <c r="N243">
        <f>VLOOKUP(Query1[[#This Row],[Description]],'kits to boards'!$B$2:$E$156,4,FALSE)</f>
        <v>0</v>
      </c>
      <c r="O243" t="str">
        <f>CONCATENATE(Query1[[#This Row],[Description]]," - ",Query1[[#This Row],[MB1]]," - ",Query1[[#This Row],[MB2]]," - ",Query1[[#This Row],[MB3]])</f>
        <v>EVAP KIT 67-72 CHEV P-UP WO AC - 830014 - 0 - 0</v>
      </c>
    </row>
    <row r="244" spans="1:15" x14ac:dyDescent="0.25">
      <c r="A244" s="1">
        <v>909607</v>
      </c>
      <c r="B244" s="1" t="s">
        <v>140</v>
      </c>
      <c r="C244" s="1" t="s">
        <v>141</v>
      </c>
      <c r="D244" s="2">
        <v>44600.606843055553</v>
      </c>
      <c r="E244" s="1" t="s">
        <v>8</v>
      </c>
      <c r="F244" s="1">
        <v>1</v>
      </c>
      <c r="G244" s="1">
        <v>0</v>
      </c>
      <c r="H244" s="6">
        <f>INT(Query1[[#This Row],[EntryDateTime]])</f>
        <v>44600</v>
      </c>
      <c r="I244" s="1">
        <f>IF(Query1[[#This Row],[ItemType]]="EVAP KIT SF GEN IV",Query1[[#This Row],[OrderQty]]+I243,I243)</f>
        <v>214</v>
      </c>
      <c r="J244" s="1">
        <f>IF(Query1[[#This Row],[ItemType]]="EVAP KIT UNIVERSAL",Query1[[#This Row],[OrderQty]]+J243,J243)</f>
        <v>288</v>
      </c>
      <c r="K244" s="1">
        <f>Query1[[#This Row],[SF Running Total]]+Query1[[#This Row],[UNIV Running Total]]</f>
        <v>502</v>
      </c>
      <c r="L244">
        <f>VLOOKUP(Query1[[#This Row],[Description]],'kits to boards'!$B$2:$E$156,2,FALSE)</f>
        <v>830066</v>
      </c>
      <c r="M244">
        <f>VLOOKUP(Query1[[#This Row],[Description]],'kits to boards'!$B$2:$E$156,3,FALSE)</f>
        <v>0</v>
      </c>
      <c r="N244">
        <f>VLOOKUP(Query1[[#This Row],[Description]],'kits to boards'!$B$2:$E$156,4,FALSE)</f>
        <v>0</v>
      </c>
      <c r="O244" t="str">
        <f>CONCATENATE(Query1[[#This Row],[Description]]," - ",Query1[[#This Row],[MB1]]," - ",Query1[[#This Row],[MB2]]," - ",Query1[[#This Row],[MB3]])</f>
        <v>EVAP KIT 60-63 CHEV P-UP WO AC - 830066 - 0 - 0</v>
      </c>
    </row>
    <row r="245" spans="1:15" x14ac:dyDescent="0.25">
      <c r="A245" s="1">
        <v>909607</v>
      </c>
      <c r="B245" s="1" t="s">
        <v>26</v>
      </c>
      <c r="C245" s="1" t="s">
        <v>27</v>
      </c>
      <c r="D245" s="2">
        <v>44600.606843055553</v>
      </c>
      <c r="E245" s="1" t="s">
        <v>8</v>
      </c>
      <c r="F245" s="1">
        <v>4</v>
      </c>
      <c r="G245" s="1">
        <v>0</v>
      </c>
      <c r="H245" s="6">
        <f>INT(Query1[[#This Row],[EntryDateTime]])</f>
        <v>44600</v>
      </c>
      <c r="I245" s="1">
        <f>IF(Query1[[#This Row],[ItemType]]="EVAP KIT SF GEN IV",Query1[[#This Row],[OrderQty]]+I244,I244)</f>
        <v>218</v>
      </c>
      <c r="J245" s="1">
        <f>IF(Query1[[#This Row],[ItemType]]="EVAP KIT UNIVERSAL",Query1[[#This Row],[OrderQty]]+J244,J244)</f>
        <v>288</v>
      </c>
      <c r="K245" s="1">
        <f>Query1[[#This Row],[SF Running Total]]+Query1[[#This Row],[UNIV Running Total]]</f>
        <v>506</v>
      </c>
      <c r="L245">
        <f>VLOOKUP(Query1[[#This Row],[Description]],'kits to boards'!$B$2:$E$156,2,FALSE)</f>
        <v>830013</v>
      </c>
      <c r="M245">
        <f>VLOOKUP(Query1[[#This Row],[Description]],'kits to boards'!$B$2:$E$156,3,FALSE)</f>
        <v>0</v>
      </c>
      <c r="N245">
        <f>VLOOKUP(Query1[[#This Row],[Description]],'kits to boards'!$B$2:$E$156,4,FALSE)</f>
        <v>0</v>
      </c>
      <c r="O245" t="str">
        <f>CONCATENATE(Query1[[#This Row],[Description]]," - ",Query1[[#This Row],[MB1]]," - ",Query1[[#This Row],[MB2]]," - ",Query1[[#This Row],[MB3]])</f>
        <v>EVAP KIT 67-72 CHEV P-UP W/AC - 830013 - 0 - 0</v>
      </c>
    </row>
    <row r="246" spans="1:15" x14ac:dyDescent="0.25">
      <c r="A246" s="1">
        <v>909607</v>
      </c>
      <c r="B246" s="1" t="s">
        <v>36</v>
      </c>
      <c r="C246" s="1" t="s">
        <v>37</v>
      </c>
      <c r="D246" s="2">
        <v>44600.606843055553</v>
      </c>
      <c r="E246" s="1" t="s">
        <v>8</v>
      </c>
      <c r="F246" s="1">
        <v>3</v>
      </c>
      <c r="G246" s="1">
        <v>0</v>
      </c>
      <c r="H246" s="6">
        <f>INT(Query1[[#This Row],[EntryDateTime]])</f>
        <v>44600</v>
      </c>
      <c r="I246" s="1">
        <f>IF(Query1[[#This Row],[ItemType]]="EVAP KIT SF GEN IV",Query1[[#This Row],[OrderQty]]+I245,I245)</f>
        <v>221</v>
      </c>
      <c r="J246" s="1">
        <f>IF(Query1[[#This Row],[ItemType]]="EVAP KIT UNIVERSAL",Query1[[#This Row],[OrderQty]]+J245,J245)</f>
        <v>288</v>
      </c>
      <c r="K246" s="1">
        <f>Query1[[#This Row],[SF Running Total]]+Query1[[#This Row],[UNIV Running Total]]</f>
        <v>509</v>
      </c>
      <c r="L246">
        <f>VLOOKUP(Query1[[#This Row],[Description]],'kits to boards'!$B$2:$E$156,2,FALSE)</f>
        <v>830015</v>
      </c>
      <c r="M246">
        <f>VLOOKUP(Query1[[#This Row],[Description]],'kits to boards'!$B$2:$E$156,3,FALSE)</f>
        <v>0</v>
      </c>
      <c r="N246">
        <f>VLOOKUP(Query1[[#This Row],[Description]],'kits to boards'!$B$2:$E$156,4,FALSE)</f>
        <v>0</v>
      </c>
      <c r="O246" t="str">
        <f>CONCATENATE(Query1[[#This Row],[Description]]," - ",Query1[[#This Row],[MB1]]," - ",Query1[[#This Row],[MB2]]," - ",Query1[[#This Row],[MB3]])</f>
        <v>EVAP KIT 64-66 CHEV P-UP WO AC W/STD - 830015 - 0 - 0</v>
      </c>
    </row>
    <row r="247" spans="1:15" x14ac:dyDescent="0.25">
      <c r="A247" s="1">
        <v>909607</v>
      </c>
      <c r="B247" s="1" t="s">
        <v>124</v>
      </c>
      <c r="C247" s="1" t="s">
        <v>125</v>
      </c>
      <c r="D247" s="2">
        <v>44600.606843055553</v>
      </c>
      <c r="E247" s="1" t="s">
        <v>8</v>
      </c>
      <c r="F247" s="1">
        <v>4</v>
      </c>
      <c r="G247" s="1">
        <v>0</v>
      </c>
      <c r="H247" s="6">
        <f>INT(Query1[[#This Row],[EntryDateTime]])</f>
        <v>44600</v>
      </c>
      <c r="I247" s="1">
        <f>IF(Query1[[#This Row],[ItemType]]="EVAP KIT SF GEN IV",Query1[[#This Row],[OrderQty]]+I246,I246)</f>
        <v>225</v>
      </c>
      <c r="J247" s="1">
        <f>IF(Query1[[#This Row],[ItemType]]="EVAP KIT UNIVERSAL",Query1[[#This Row],[OrderQty]]+J246,J246)</f>
        <v>288</v>
      </c>
      <c r="K247" s="1">
        <f>Query1[[#This Row],[SF Running Total]]+Query1[[#This Row],[UNIV Running Total]]</f>
        <v>513</v>
      </c>
      <c r="L247">
        <f>VLOOKUP(Query1[[#This Row],[Description]],'kits to boards'!$B$2:$E$156,2,FALSE)</f>
        <v>830002</v>
      </c>
      <c r="M247">
        <f>VLOOKUP(Query1[[#This Row],[Description]],'kits to boards'!$B$2:$E$156,3,FALSE)</f>
        <v>0</v>
      </c>
      <c r="N247">
        <f>VLOOKUP(Query1[[#This Row],[Description]],'kits to boards'!$B$2:$E$156,4,FALSE)</f>
        <v>0</v>
      </c>
      <c r="O247" t="str">
        <f>CONCATENATE(Query1[[#This Row],[Description]]," - ",Query1[[#This Row],[MB1]]," - ",Query1[[#This Row],[MB2]]," - ",Query1[[#This Row],[MB3]])</f>
        <v>EVAP KIT 73-80 CHEV P-UP WO AC - 830002 - 0 - 0</v>
      </c>
    </row>
    <row r="248" spans="1:15" x14ac:dyDescent="0.25">
      <c r="A248" s="1">
        <v>909750</v>
      </c>
      <c r="B248" s="1" t="s">
        <v>240</v>
      </c>
      <c r="C248" s="1" t="s">
        <v>241</v>
      </c>
      <c r="D248" s="2">
        <v>44600.607253043985</v>
      </c>
      <c r="E248" s="1" t="s">
        <v>8</v>
      </c>
      <c r="F248" s="1">
        <v>1</v>
      </c>
      <c r="G248" s="1">
        <v>0</v>
      </c>
      <c r="H248" s="6">
        <f>INT(Query1[[#This Row],[EntryDateTime]])</f>
        <v>44600</v>
      </c>
      <c r="I248" s="1">
        <f>IF(Query1[[#This Row],[ItemType]]="EVAP KIT SF GEN IV",Query1[[#This Row],[OrderQty]]+I247,I247)</f>
        <v>226</v>
      </c>
      <c r="J248" s="1">
        <f>IF(Query1[[#This Row],[ItemType]]="EVAP KIT UNIVERSAL",Query1[[#This Row],[OrderQty]]+J247,J247)</f>
        <v>288</v>
      </c>
      <c r="K248" s="1">
        <f>Query1[[#This Row],[SF Running Total]]+Query1[[#This Row],[UNIV Running Total]]</f>
        <v>514</v>
      </c>
      <c r="L248">
        <f>VLOOKUP(Query1[[#This Row],[Description]],'kits to boards'!$B$2:$E$156,2,FALSE)</f>
        <v>830032</v>
      </c>
      <c r="M248">
        <f>VLOOKUP(Query1[[#This Row],[Description]],'kits to boards'!$B$2:$E$156,3,FALSE)</f>
        <v>0</v>
      </c>
      <c r="N248">
        <f>VLOOKUP(Query1[[#This Row],[Description]],'kits to boards'!$B$2:$E$156,4,FALSE)</f>
        <v>0</v>
      </c>
      <c r="O248" t="str">
        <f>CONCATENATE(Query1[[#This Row],[Description]]," - ",Query1[[#This Row],[MB1]]," - ",Query1[[#This Row],[MB2]]," - ",Query1[[#This Row],[MB3]])</f>
        <v>EVAP KIT 58-60 VETTE - 830032 - 0 - 0</v>
      </c>
    </row>
    <row r="249" spans="1:15" x14ac:dyDescent="0.25">
      <c r="A249" s="1">
        <v>909521</v>
      </c>
      <c r="B249" s="1" t="s">
        <v>22</v>
      </c>
      <c r="C249" s="1" t="s">
        <v>23</v>
      </c>
      <c r="D249" s="2">
        <v>44600.608501273149</v>
      </c>
      <c r="E249" s="1" t="s">
        <v>8</v>
      </c>
      <c r="F249" s="1">
        <v>1</v>
      </c>
      <c r="G249" s="1">
        <v>0</v>
      </c>
      <c r="H249" s="6">
        <f>INT(Query1[[#This Row],[EntryDateTime]])</f>
        <v>44600</v>
      </c>
      <c r="I249" s="1">
        <f>IF(Query1[[#This Row],[ItemType]]="EVAP KIT SF GEN IV",Query1[[#This Row],[OrderQty]]+I248,I248)</f>
        <v>227</v>
      </c>
      <c r="J249" s="1">
        <f>IF(Query1[[#This Row],[ItemType]]="EVAP KIT UNIVERSAL",Query1[[#This Row],[OrderQty]]+J248,J248)</f>
        <v>288</v>
      </c>
      <c r="K249" s="1">
        <f>Query1[[#This Row],[SF Running Total]]+Query1[[#This Row],[UNIV Running Total]]</f>
        <v>515</v>
      </c>
      <c r="L249">
        <f>VLOOKUP(Query1[[#This Row],[Description]],'kits to boards'!$B$2:$E$156,2,FALSE)</f>
        <v>830083</v>
      </c>
      <c r="M249">
        <f>VLOOKUP(Query1[[#This Row],[Description]],'kits to boards'!$B$2:$E$156,3,FALSE)</f>
        <v>0</v>
      </c>
      <c r="N249">
        <f>VLOOKUP(Query1[[#This Row],[Description]],'kits to boards'!$B$2:$E$156,4,FALSE)</f>
        <v>0</v>
      </c>
      <c r="O249" t="str">
        <f>CONCATENATE(Query1[[#This Row],[Description]]," - ",Query1[[#This Row],[MB1]]," - ",Query1[[#This Row],[MB2]]," - ",Query1[[#This Row],[MB3]])</f>
        <v>GEN IV MAGNUM EVAP KIT - 830083 - 0 - 0</v>
      </c>
    </row>
    <row r="250" spans="1:15" x14ac:dyDescent="0.25">
      <c r="A250" s="1">
        <v>909755</v>
      </c>
      <c r="B250" s="1" t="s">
        <v>52</v>
      </c>
      <c r="C250" s="1" t="s">
        <v>53</v>
      </c>
      <c r="D250" s="2">
        <v>44600.609041469907</v>
      </c>
      <c r="E250" s="1" t="s">
        <v>8</v>
      </c>
      <c r="F250" s="1">
        <v>1</v>
      </c>
      <c r="G250" s="1">
        <v>0</v>
      </c>
      <c r="H250" s="6">
        <f>INT(Query1[[#This Row],[EntryDateTime]])</f>
        <v>44600</v>
      </c>
      <c r="I250" s="1">
        <f>IF(Query1[[#This Row],[ItemType]]="EVAP KIT SF GEN IV",Query1[[#This Row],[OrderQty]]+I249,I249)</f>
        <v>228</v>
      </c>
      <c r="J250" s="1">
        <f>IF(Query1[[#This Row],[ItemType]]="EVAP KIT UNIVERSAL",Query1[[#This Row],[OrderQty]]+J249,J249)</f>
        <v>288</v>
      </c>
      <c r="K250" s="1">
        <f>Query1[[#This Row],[SF Running Total]]+Query1[[#This Row],[UNIV Running Total]]</f>
        <v>516</v>
      </c>
      <c r="L250">
        <f>VLOOKUP(Query1[[#This Row],[Description]],'kits to boards'!$B$2:$E$156,2,FALSE)</f>
        <v>830017</v>
      </c>
      <c r="M250">
        <f>VLOOKUP(Query1[[#This Row],[Description]],'kits to boards'!$B$2:$E$156,3,FALSE)</f>
        <v>830119</v>
      </c>
      <c r="N250">
        <f>VLOOKUP(Query1[[#This Row],[Description]],'kits to boards'!$B$2:$E$156,4,FALSE)</f>
        <v>830120</v>
      </c>
      <c r="O250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251" spans="1:15" x14ac:dyDescent="0.25">
      <c r="A251" s="1">
        <v>909754</v>
      </c>
      <c r="B251" s="1" t="s">
        <v>72</v>
      </c>
      <c r="C251" s="1" t="s">
        <v>73</v>
      </c>
      <c r="D251" s="2">
        <v>44600.609184641202</v>
      </c>
      <c r="E251" s="1" t="s">
        <v>8</v>
      </c>
      <c r="F251" s="1">
        <v>1</v>
      </c>
      <c r="G251" s="1">
        <v>0</v>
      </c>
      <c r="H251" s="6">
        <f>INT(Query1[[#This Row],[EntryDateTime]])</f>
        <v>44600</v>
      </c>
      <c r="I251" s="1">
        <f>IF(Query1[[#This Row],[ItemType]]="EVAP KIT SF GEN IV",Query1[[#This Row],[OrderQty]]+I250,I250)</f>
        <v>229</v>
      </c>
      <c r="J251" s="1">
        <f>IF(Query1[[#This Row],[ItemType]]="EVAP KIT UNIVERSAL",Query1[[#This Row],[OrderQty]]+J250,J250)</f>
        <v>288</v>
      </c>
      <c r="K251" s="1">
        <f>Query1[[#This Row],[SF Running Total]]+Query1[[#This Row],[UNIV Running Total]]</f>
        <v>517</v>
      </c>
      <c r="L251">
        <f>VLOOKUP(Query1[[#This Row],[Description]],'kits to boards'!$B$2:$E$156,2,FALSE)</f>
        <v>830043</v>
      </c>
      <c r="M251">
        <f>VLOOKUP(Query1[[#This Row],[Description]],'kits to boards'!$B$2:$E$156,3,FALSE)</f>
        <v>0</v>
      </c>
      <c r="N251">
        <f>VLOOKUP(Query1[[#This Row],[Description]],'kits to boards'!$B$2:$E$156,4,FALSE)</f>
        <v>0</v>
      </c>
      <c r="O251" t="str">
        <f>CONCATENATE(Query1[[#This Row],[Description]]," - ",Query1[[#This Row],[MB1]]," - ",Query1[[#This Row],[MB2]]," - ",Query1[[#This Row],[MB3]])</f>
        <v>EVAP KIT 69-74 NOVA W/AC - 830043 - 0 - 0</v>
      </c>
    </row>
    <row r="252" spans="1:15" x14ac:dyDescent="0.25">
      <c r="A252" s="1">
        <v>909759</v>
      </c>
      <c r="B252" s="1" t="s">
        <v>22</v>
      </c>
      <c r="C252" s="1" t="s">
        <v>23</v>
      </c>
      <c r="D252" s="2">
        <v>44600.612123761573</v>
      </c>
      <c r="E252" s="1" t="s">
        <v>8</v>
      </c>
      <c r="F252" s="1">
        <v>1</v>
      </c>
      <c r="G252" s="1">
        <v>0</v>
      </c>
      <c r="H252" s="6">
        <f>INT(Query1[[#This Row],[EntryDateTime]])</f>
        <v>44600</v>
      </c>
      <c r="I252" s="1">
        <f>IF(Query1[[#This Row],[ItemType]]="EVAP KIT SF GEN IV",Query1[[#This Row],[OrderQty]]+I251,I251)</f>
        <v>230</v>
      </c>
      <c r="J252" s="1">
        <f>IF(Query1[[#This Row],[ItemType]]="EVAP KIT UNIVERSAL",Query1[[#This Row],[OrderQty]]+J251,J251)</f>
        <v>288</v>
      </c>
      <c r="K252" s="1">
        <f>Query1[[#This Row],[SF Running Total]]+Query1[[#This Row],[UNIV Running Total]]</f>
        <v>518</v>
      </c>
      <c r="L252">
        <f>VLOOKUP(Query1[[#This Row],[Description]],'kits to boards'!$B$2:$E$156,2,FALSE)</f>
        <v>830083</v>
      </c>
      <c r="M252">
        <f>VLOOKUP(Query1[[#This Row],[Description]],'kits to boards'!$B$2:$E$156,3,FALSE)</f>
        <v>0</v>
      </c>
      <c r="N252">
        <f>VLOOKUP(Query1[[#This Row],[Description]],'kits to boards'!$B$2:$E$156,4,FALSE)</f>
        <v>0</v>
      </c>
      <c r="O252" t="str">
        <f>CONCATENATE(Query1[[#This Row],[Description]]," - ",Query1[[#This Row],[MB1]]," - ",Query1[[#This Row],[MB2]]," - ",Query1[[#This Row],[MB3]])</f>
        <v>GEN IV MAGNUM EVAP KIT - 830083 - 0 - 0</v>
      </c>
    </row>
    <row r="253" spans="1:15" x14ac:dyDescent="0.25">
      <c r="A253" s="1">
        <v>909761</v>
      </c>
      <c r="B253" s="1" t="s">
        <v>42</v>
      </c>
      <c r="C253" s="1" t="s">
        <v>43</v>
      </c>
      <c r="D253" s="2">
        <v>44600.615637650466</v>
      </c>
      <c r="E253" s="1" t="s">
        <v>8</v>
      </c>
      <c r="F253" s="1">
        <v>1</v>
      </c>
      <c r="G253" s="1">
        <v>0</v>
      </c>
      <c r="H253" s="6">
        <f>INT(Query1[[#This Row],[EntryDateTime]])</f>
        <v>44600</v>
      </c>
      <c r="I253" s="1">
        <f>IF(Query1[[#This Row],[ItemType]]="EVAP KIT SF GEN IV",Query1[[#This Row],[OrderQty]]+I252,I252)</f>
        <v>231</v>
      </c>
      <c r="J253" s="1">
        <f>IF(Query1[[#This Row],[ItemType]]="EVAP KIT UNIVERSAL",Query1[[#This Row],[OrderQty]]+J252,J252)</f>
        <v>288</v>
      </c>
      <c r="K253" s="1">
        <f>Query1[[#This Row],[SF Running Total]]+Query1[[#This Row],[UNIV Running Total]]</f>
        <v>519</v>
      </c>
      <c r="L253">
        <f>VLOOKUP(Query1[[#This Row],[Description]],'kits to boards'!$B$2:$E$156,2,FALSE)</f>
        <v>830014</v>
      </c>
      <c r="M253">
        <f>VLOOKUP(Query1[[#This Row],[Description]],'kits to boards'!$B$2:$E$156,3,FALSE)</f>
        <v>0</v>
      </c>
      <c r="N253">
        <f>VLOOKUP(Query1[[#This Row],[Description]],'kits to boards'!$B$2:$E$156,4,FALSE)</f>
        <v>0</v>
      </c>
      <c r="O253" t="str">
        <f>CONCATENATE(Query1[[#This Row],[Description]]," - ",Query1[[#This Row],[MB1]]," - ",Query1[[#This Row],[MB2]]," - ",Query1[[#This Row],[MB3]])</f>
        <v>EVAP KIT 67-72 CHEV P-UP WO AC - 830014 - 0 - 0</v>
      </c>
    </row>
    <row r="254" spans="1:15" x14ac:dyDescent="0.25">
      <c r="A254" s="1">
        <v>909762</v>
      </c>
      <c r="B254" s="1" t="s">
        <v>285</v>
      </c>
      <c r="C254" s="1" t="s">
        <v>286</v>
      </c>
      <c r="D254" s="2">
        <v>44600.616933715275</v>
      </c>
      <c r="E254" s="1" t="s">
        <v>8</v>
      </c>
      <c r="F254" s="1">
        <v>1</v>
      </c>
      <c r="G254" s="1">
        <v>0</v>
      </c>
      <c r="H254" s="6">
        <f>INT(Query1[[#This Row],[EntryDateTime]])</f>
        <v>44600</v>
      </c>
      <c r="I254" s="1">
        <f>IF(Query1[[#This Row],[ItemType]]="EVAP KIT SF GEN IV",Query1[[#This Row],[OrderQty]]+I253,I253)</f>
        <v>232</v>
      </c>
      <c r="J254" s="1">
        <f>IF(Query1[[#This Row],[ItemType]]="EVAP KIT UNIVERSAL",Query1[[#This Row],[OrderQty]]+J253,J253)</f>
        <v>288</v>
      </c>
      <c r="K254" s="1">
        <f>Query1[[#This Row],[SF Running Total]]+Query1[[#This Row],[UNIV Running Total]]</f>
        <v>520</v>
      </c>
      <c r="L254">
        <f>VLOOKUP(Query1[[#This Row],[Description]],'kits to boards'!$B$2:$E$156,2,FALSE)</f>
        <v>830033</v>
      </c>
      <c r="M254">
        <f>VLOOKUP(Query1[[#This Row],[Description]],'kits to boards'!$B$2:$E$156,3,FALSE)</f>
        <v>0</v>
      </c>
      <c r="N254">
        <f>VLOOKUP(Query1[[#This Row],[Description]],'kits to boards'!$B$2:$E$156,4,FALSE)</f>
        <v>0</v>
      </c>
      <c r="O254" t="str">
        <f>CONCATENATE(Query1[[#This Row],[Description]]," - ",Query1[[#This Row],[MB1]]," - ",Query1[[#This Row],[MB2]]," - ",Query1[[#This Row],[MB3]])</f>
        <v>EVAP KIT 66-67 CHARGER/CORONET W/AC - 830033 - 0 - 0</v>
      </c>
    </row>
    <row r="255" spans="1:15" x14ac:dyDescent="0.25">
      <c r="A255" s="1">
        <v>909763</v>
      </c>
      <c r="B255" s="1" t="s">
        <v>108</v>
      </c>
      <c r="C255" s="1" t="s">
        <v>109</v>
      </c>
      <c r="D255" s="2">
        <v>44600.618808217594</v>
      </c>
      <c r="E255" s="1" t="s">
        <v>8</v>
      </c>
      <c r="F255" s="1">
        <v>1</v>
      </c>
      <c r="G255" s="1">
        <v>0</v>
      </c>
      <c r="H255" s="6">
        <f>INT(Query1[[#This Row],[EntryDateTime]])</f>
        <v>44600</v>
      </c>
      <c r="I255" s="1">
        <f>IF(Query1[[#This Row],[ItemType]]="EVAP KIT SF GEN IV",Query1[[#This Row],[OrderQty]]+I254,I254)</f>
        <v>233</v>
      </c>
      <c r="J255" s="1">
        <f>IF(Query1[[#This Row],[ItemType]]="EVAP KIT UNIVERSAL",Query1[[#This Row],[OrderQty]]+J254,J254)</f>
        <v>288</v>
      </c>
      <c r="K255" s="1">
        <f>Query1[[#This Row],[SF Running Total]]+Query1[[#This Row],[UNIV Running Total]]</f>
        <v>521</v>
      </c>
      <c r="L255">
        <f>VLOOKUP(Query1[[#This Row],[Description]],'kits to boards'!$B$2:$E$156,2,FALSE)</f>
        <v>830105</v>
      </c>
      <c r="M255">
        <f>VLOOKUP(Query1[[#This Row],[Description]],'kits to boards'!$B$2:$E$156,3,FALSE)</f>
        <v>830106</v>
      </c>
      <c r="N255">
        <f>VLOOKUP(Query1[[#This Row],[Description]],'kits to boards'!$B$2:$E$156,4,FALSE)</f>
        <v>0</v>
      </c>
      <c r="O255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256" spans="1:15" x14ac:dyDescent="0.25">
      <c r="A256" s="1">
        <v>909764</v>
      </c>
      <c r="B256" s="1" t="s">
        <v>148</v>
      </c>
      <c r="C256" s="1" t="s">
        <v>149</v>
      </c>
      <c r="D256" s="2">
        <v>44600.619037928242</v>
      </c>
      <c r="E256" s="1" t="s">
        <v>8</v>
      </c>
      <c r="F256" s="1">
        <v>1</v>
      </c>
      <c r="G256" s="1">
        <v>0</v>
      </c>
      <c r="H256" s="6">
        <f>INT(Query1[[#This Row],[EntryDateTime]])</f>
        <v>44600</v>
      </c>
      <c r="I256" s="1">
        <f>IF(Query1[[#This Row],[ItemType]]="EVAP KIT SF GEN IV",Query1[[#This Row],[OrderQty]]+I255,I255)</f>
        <v>234</v>
      </c>
      <c r="J256" s="1">
        <f>IF(Query1[[#This Row],[ItemType]]="EVAP KIT UNIVERSAL",Query1[[#This Row],[OrderQty]]+J255,J255)</f>
        <v>288</v>
      </c>
      <c r="K256" s="1">
        <f>Query1[[#This Row],[SF Running Total]]+Query1[[#This Row],[UNIV Running Total]]</f>
        <v>522</v>
      </c>
      <c r="L256">
        <f>VLOOKUP(Query1[[#This Row],[Description]],'kits to boards'!$B$2:$E$156,2,FALSE)</f>
        <v>830098</v>
      </c>
      <c r="M256">
        <f>VLOOKUP(Query1[[#This Row],[Description]],'kits to boards'!$B$2:$E$156,3,FALSE)</f>
        <v>0</v>
      </c>
      <c r="N256">
        <f>VLOOKUP(Query1[[#This Row],[Description]],'kits to boards'!$B$2:$E$156,4,FALSE)</f>
        <v>0</v>
      </c>
      <c r="O256" t="str">
        <f>CONCATENATE(Query1[[#This Row],[Description]]," - ",Query1[[#This Row],[MB1]]," - ",Query1[[#This Row],[MB2]]," - ",Query1[[#This Row],[MB3]])</f>
        <v>EVAP KIT 77 VETTE W/AC - 830098 - 0 - 0</v>
      </c>
    </row>
    <row r="257" spans="1:15" x14ac:dyDescent="0.25">
      <c r="A257" s="1">
        <v>909757</v>
      </c>
      <c r="B257" s="1" t="s">
        <v>22</v>
      </c>
      <c r="C257" s="1" t="s">
        <v>23</v>
      </c>
      <c r="D257" s="2">
        <v>44600.621924386571</v>
      </c>
      <c r="E257" s="1" t="s">
        <v>8</v>
      </c>
      <c r="F257" s="1">
        <v>1</v>
      </c>
      <c r="G257" s="1">
        <v>0</v>
      </c>
      <c r="H257" s="6">
        <f>INT(Query1[[#This Row],[EntryDateTime]])</f>
        <v>44600</v>
      </c>
      <c r="I257" s="1">
        <f>IF(Query1[[#This Row],[ItemType]]="EVAP KIT SF GEN IV",Query1[[#This Row],[OrderQty]]+I256,I256)</f>
        <v>235</v>
      </c>
      <c r="J257" s="1">
        <f>IF(Query1[[#This Row],[ItemType]]="EVAP KIT UNIVERSAL",Query1[[#This Row],[OrderQty]]+J256,J256)</f>
        <v>288</v>
      </c>
      <c r="K257" s="1">
        <f>Query1[[#This Row],[SF Running Total]]+Query1[[#This Row],[UNIV Running Total]]</f>
        <v>523</v>
      </c>
      <c r="L257">
        <f>VLOOKUP(Query1[[#This Row],[Description]],'kits to boards'!$B$2:$E$156,2,FALSE)</f>
        <v>830083</v>
      </c>
      <c r="M257">
        <f>VLOOKUP(Query1[[#This Row],[Description]],'kits to boards'!$B$2:$E$156,3,FALSE)</f>
        <v>0</v>
      </c>
      <c r="N257">
        <f>VLOOKUP(Query1[[#This Row],[Description]],'kits to boards'!$B$2:$E$156,4,FALSE)</f>
        <v>0</v>
      </c>
      <c r="O257" t="str">
        <f>CONCATENATE(Query1[[#This Row],[Description]]," - ",Query1[[#This Row],[MB1]]," - ",Query1[[#This Row],[MB2]]," - ",Query1[[#This Row],[MB3]])</f>
        <v>GEN IV MAGNUM EVAP KIT - 830083 - 0 - 0</v>
      </c>
    </row>
    <row r="258" spans="1:15" x14ac:dyDescent="0.25">
      <c r="A258" s="1">
        <v>909772</v>
      </c>
      <c r="B258" s="1" t="s">
        <v>48</v>
      </c>
      <c r="C258" s="1" t="s">
        <v>49</v>
      </c>
      <c r="D258" s="2">
        <v>44600.627207557867</v>
      </c>
      <c r="E258" s="1" t="s">
        <v>8</v>
      </c>
      <c r="F258" s="1">
        <v>1</v>
      </c>
      <c r="G258" s="1">
        <v>0</v>
      </c>
      <c r="H258" s="6">
        <f>INT(Query1[[#This Row],[EntryDateTime]])</f>
        <v>44600</v>
      </c>
      <c r="I258" s="1">
        <f>IF(Query1[[#This Row],[ItemType]]="EVAP KIT SF GEN IV",Query1[[#This Row],[OrderQty]]+I257,I257)</f>
        <v>236</v>
      </c>
      <c r="J258" s="1">
        <f>IF(Query1[[#This Row],[ItemType]]="EVAP KIT UNIVERSAL",Query1[[#This Row],[OrderQty]]+J257,J257)</f>
        <v>288</v>
      </c>
      <c r="K258" s="1">
        <f>Query1[[#This Row],[SF Running Total]]+Query1[[#This Row],[UNIV Running Total]]</f>
        <v>524</v>
      </c>
      <c r="L258">
        <f>VLOOKUP(Query1[[#This Row],[Description]],'kits to boards'!$B$2:$E$156,2,FALSE)</f>
        <v>830015</v>
      </c>
      <c r="M258">
        <f>VLOOKUP(Query1[[#This Row],[Description]],'kits to boards'!$B$2:$E$156,3,FALSE)</f>
        <v>0</v>
      </c>
      <c r="N258">
        <f>VLOOKUP(Query1[[#This Row],[Description]],'kits to boards'!$B$2:$E$156,4,FALSE)</f>
        <v>0</v>
      </c>
      <c r="O258" t="str">
        <f>CONCATENATE(Query1[[#This Row],[Description]]," - ",Query1[[#This Row],[MB1]]," - ",Query1[[#This Row],[MB2]]," - ",Query1[[#This Row],[MB3]])</f>
        <v>EVAP KIT 64-66 CHEV P-UP WO AC W/DELX - 830015 - 0 - 0</v>
      </c>
    </row>
    <row r="259" spans="1:15" x14ac:dyDescent="0.25">
      <c r="A259" s="1">
        <v>909771</v>
      </c>
      <c r="B259" s="1" t="s">
        <v>106</v>
      </c>
      <c r="C259" s="1" t="s">
        <v>253</v>
      </c>
      <c r="D259" s="2">
        <v>44600.627320914355</v>
      </c>
      <c r="E259" s="1" t="s">
        <v>8</v>
      </c>
      <c r="F259" s="1">
        <v>1</v>
      </c>
      <c r="G259" s="1">
        <v>0</v>
      </c>
      <c r="H259" s="6">
        <f>INT(Query1[[#This Row],[EntryDateTime]])</f>
        <v>44600</v>
      </c>
      <c r="I259" s="1">
        <f>IF(Query1[[#This Row],[ItemType]]="EVAP KIT SF GEN IV",Query1[[#This Row],[OrderQty]]+I258,I258)</f>
        <v>237</v>
      </c>
      <c r="J259" s="1">
        <f>IF(Query1[[#This Row],[ItemType]]="EVAP KIT UNIVERSAL",Query1[[#This Row],[OrderQty]]+J258,J258)</f>
        <v>288</v>
      </c>
      <c r="K259" s="1">
        <f>Query1[[#This Row],[SF Running Total]]+Query1[[#This Row],[UNIV Running Total]]</f>
        <v>525</v>
      </c>
      <c r="L259">
        <f>VLOOKUP(Query1[[#This Row],[Description]],'kits to boards'!$B$2:$E$156,2,FALSE)</f>
        <v>830028</v>
      </c>
      <c r="M259">
        <f>VLOOKUP(Query1[[#This Row],[Description]],'kits to boards'!$B$2:$E$156,3,FALSE)</f>
        <v>0</v>
      </c>
      <c r="N259">
        <f>VLOOKUP(Query1[[#This Row],[Description]],'kits to boards'!$B$2:$E$156,4,FALSE)</f>
        <v>0</v>
      </c>
      <c r="O259" t="str">
        <f>CONCATENATE(Query1[[#This Row],[Description]]," - ",Query1[[#This Row],[MB1]]," - ",Query1[[#This Row],[MB2]]," - ",Query1[[#This Row],[MB3]])</f>
        <v>EVAP KIT 55-59 CHEV P-UP WO AC W/DELX  - 830028 - 0 - 0</v>
      </c>
    </row>
    <row r="260" spans="1:15" x14ac:dyDescent="0.25">
      <c r="A260" s="1">
        <v>909774</v>
      </c>
      <c r="B260" s="1" t="s">
        <v>116</v>
      </c>
      <c r="C260" s="1" t="s">
        <v>117</v>
      </c>
      <c r="D260" s="2">
        <v>44600.630827048612</v>
      </c>
      <c r="E260" s="1" t="s">
        <v>8</v>
      </c>
      <c r="F260" s="1">
        <v>1</v>
      </c>
      <c r="G260" s="1">
        <v>0</v>
      </c>
      <c r="H260" s="6">
        <f>INT(Query1[[#This Row],[EntryDateTime]])</f>
        <v>44600</v>
      </c>
      <c r="I260" s="1">
        <f>IF(Query1[[#This Row],[ItemType]]="EVAP KIT SF GEN IV",Query1[[#This Row],[OrderQty]]+I259,I259)</f>
        <v>238</v>
      </c>
      <c r="J260" s="1">
        <f>IF(Query1[[#This Row],[ItemType]]="EVAP KIT UNIVERSAL",Query1[[#This Row],[OrderQty]]+J259,J259)</f>
        <v>288</v>
      </c>
      <c r="K260" s="1">
        <f>Query1[[#This Row],[SF Running Total]]+Query1[[#This Row],[UNIV Running Total]]</f>
        <v>526</v>
      </c>
      <c r="L260">
        <f>VLOOKUP(Query1[[#This Row],[Description]],'kits to boards'!$B$2:$E$156,2,FALSE)</f>
        <v>830058</v>
      </c>
      <c r="M260">
        <f>VLOOKUP(Query1[[#This Row],[Description]],'kits to boards'!$B$2:$E$156,3,FALSE)</f>
        <v>0</v>
      </c>
      <c r="N260">
        <f>VLOOKUP(Query1[[#This Row],[Description]],'kits to boards'!$B$2:$E$156,4,FALSE)</f>
        <v>0</v>
      </c>
      <c r="O260" t="str">
        <f>CONCATENATE(Query1[[#This Row],[Description]]," - ",Query1[[#This Row],[MB1]]," - ",Query1[[#This Row],[MB2]]," - ",Query1[[#This Row],[MB3]])</f>
        <v>EVAP KIT 64-65 CHEVELLE WO AC - 830058 - 0 - 0</v>
      </c>
    </row>
    <row r="261" spans="1:15" x14ac:dyDescent="0.25">
      <c r="A261" s="1">
        <v>909775</v>
      </c>
      <c r="B261" s="1" t="s">
        <v>208</v>
      </c>
      <c r="C261" s="1" t="s">
        <v>209</v>
      </c>
      <c r="D261" s="2">
        <v>44600.632324189814</v>
      </c>
      <c r="E261" s="1" t="s">
        <v>8</v>
      </c>
      <c r="F261" s="1">
        <v>1</v>
      </c>
      <c r="G261" s="1">
        <v>0</v>
      </c>
      <c r="H261" s="6">
        <f>INT(Query1[[#This Row],[EntryDateTime]])</f>
        <v>44600</v>
      </c>
      <c r="I261" s="1">
        <f>IF(Query1[[#This Row],[ItemType]]="EVAP KIT SF GEN IV",Query1[[#This Row],[OrderQty]]+I260,I260)</f>
        <v>239</v>
      </c>
      <c r="J261" s="1">
        <f>IF(Query1[[#This Row],[ItemType]]="EVAP KIT UNIVERSAL",Query1[[#This Row],[OrderQty]]+J260,J260)</f>
        <v>288</v>
      </c>
      <c r="K261" s="1">
        <f>Query1[[#This Row],[SF Running Total]]+Query1[[#This Row],[UNIV Running Total]]</f>
        <v>527</v>
      </c>
      <c r="L261">
        <f>VLOOKUP(Query1[[#This Row],[Description]],'kits to boards'!$B$2:$E$156,2,FALSE)</f>
        <v>830094</v>
      </c>
      <c r="M261">
        <f>VLOOKUP(Query1[[#This Row],[Description]],'kits to boards'!$B$2:$E$156,3,FALSE)</f>
        <v>0</v>
      </c>
      <c r="N261">
        <f>VLOOKUP(Query1[[#This Row],[Description]],'kits to boards'!$B$2:$E$156,4,FALSE)</f>
        <v>0</v>
      </c>
      <c r="O261" t="str">
        <f>CONCATENATE(Query1[[#This Row],[Description]]," - ",Query1[[#This Row],[MB1]]," - ",Query1[[#This Row],[MB2]]," - ",Query1[[#This Row],[MB3]])</f>
        <v>EVAP KIT 68 VETTE W/AC - 830094 - 0 - 0</v>
      </c>
    </row>
    <row r="262" spans="1:15" x14ac:dyDescent="0.25">
      <c r="A262" s="1">
        <v>909779</v>
      </c>
      <c r="B262" s="1" t="s">
        <v>162</v>
      </c>
      <c r="C262" s="1" t="s">
        <v>163</v>
      </c>
      <c r="D262" s="2">
        <v>44600.636352662033</v>
      </c>
      <c r="E262" s="1" t="s">
        <v>8</v>
      </c>
      <c r="F262" s="1">
        <v>1</v>
      </c>
      <c r="G262" s="1">
        <v>0</v>
      </c>
      <c r="H262" s="6">
        <f>INT(Query1[[#This Row],[EntryDateTime]])</f>
        <v>44600</v>
      </c>
      <c r="I262" s="1">
        <f>IF(Query1[[#This Row],[ItemType]]="EVAP KIT SF GEN IV",Query1[[#This Row],[OrderQty]]+I261,I261)</f>
        <v>240</v>
      </c>
      <c r="J262" s="1">
        <f>IF(Query1[[#This Row],[ItemType]]="EVAP KIT UNIVERSAL",Query1[[#This Row],[OrderQty]]+J261,J261)</f>
        <v>288</v>
      </c>
      <c r="K262" s="1">
        <f>Query1[[#This Row],[SF Running Total]]+Query1[[#This Row],[UNIV Running Total]]</f>
        <v>528</v>
      </c>
      <c r="L262">
        <f>VLOOKUP(Query1[[#This Row],[Description]],'kits to boards'!$B$2:$E$156,2,FALSE)</f>
        <v>830083</v>
      </c>
      <c r="M262">
        <f>VLOOKUP(Query1[[#This Row],[Description]],'kits to boards'!$B$2:$E$156,3,FALSE)</f>
        <v>0</v>
      </c>
      <c r="N262">
        <f>VLOOKUP(Query1[[#This Row],[Description]],'kits to boards'!$B$2:$E$156,4,FALSE)</f>
        <v>0</v>
      </c>
      <c r="O262" t="str">
        <f>CONCATENATE(Query1[[#This Row],[Description]]," - ",Query1[[#This Row],[MB1]]," - ",Query1[[#This Row],[MB2]]," - ",Query1[[#This Row],[MB3]])</f>
        <v>EVAP KIT 70-74 CHALNGR/CUDA W/AC W/RD - 830083 - 0 - 0</v>
      </c>
    </row>
    <row r="263" spans="1:15" x14ac:dyDescent="0.25">
      <c r="A263" s="1">
        <v>909731</v>
      </c>
      <c r="B263" s="1" t="s">
        <v>106</v>
      </c>
      <c r="C263" s="1" t="s">
        <v>107</v>
      </c>
      <c r="D263" s="2">
        <v>44600.637631365738</v>
      </c>
      <c r="E263" s="1" t="s">
        <v>8</v>
      </c>
      <c r="F263" s="1">
        <v>1</v>
      </c>
      <c r="G263" s="1">
        <v>0</v>
      </c>
      <c r="H263" s="6">
        <f>INT(Query1[[#This Row],[EntryDateTime]])</f>
        <v>44600</v>
      </c>
      <c r="I263" s="1">
        <f>IF(Query1[[#This Row],[ItemType]]="EVAP KIT SF GEN IV",Query1[[#This Row],[OrderQty]]+I262,I262)</f>
        <v>241</v>
      </c>
      <c r="J263" s="1">
        <f>IF(Query1[[#This Row],[ItemType]]="EVAP KIT UNIVERSAL",Query1[[#This Row],[OrderQty]]+J262,J262)</f>
        <v>288</v>
      </c>
      <c r="K263" s="1">
        <f>Query1[[#This Row],[SF Running Total]]+Query1[[#This Row],[UNIV Running Total]]</f>
        <v>529</v>
      </c>
      <c r="L263">
        <f>VLOOKUP(Query1[[#This Row],[Description]],'kits to boards'!$B$2:$E$156,2,FALSE)</f>
        <v>830028</v>
      </c>
      <c r="M263">
        <f>VLOOKUP(Query1[[#This Row],[Description]],'kits to boards'!$B$2:$E$156,3,FALSE)</f>
        <v>0</v>
      </c>
      <c r="N263">
        <f>VLOOKUP(Query1[[#This Row],[Description]],'kits to boards'!$B$2:$E$156,4,FALSE)</f>
        <v>0</v>
      </c>
      <c r="O263" t="str">
        <f>CONCATENATE(Query1[[#This Row],[Description]]," - ",Query1[[#This Row],[MB1]]," - ",Query1[[#This Row],[MB2]]," - ",Query1[[#This Row],[MB3]])</f>
        <v>EVAP KIT 55-59 CHEV P-UP WO AC W/DELX - 830028 - 0 - 0</v>
      </c>
    </row>
    <row r="264" spans="1:15" x14ac:dyDescent="0.25">
      <c r="A264" s="1">
        <v>909729</v>
      </c>
      <c r="B264" s="1" t="s">
        <v>204</v>
      </c>
      <c r="C264" s="1" t="s">
        <v>205</v>
      </c>
      <c r="D264" s="2">
        <v>44600.638494942126</v>
      </c>
      <c r="E264" s="1" t="s">
        <v>8</v>
      </c>
      <c r="F264" s="1">
        <v>1</v>
      </c>
      <c r="G264" s="1">
        <v>0</v>
      </c>
      <c r="H264" s="6">
        <f>INT(Query1[[#This Row],[EntryDateTime]])</f>
        <v>44600</v>
      </c>
      <c r="I264" s="1">
        <f>IF(Query1[[#This Row],[ItemType]]="EVAP KIT SF GEN IV",Query1[[#This Row],[OrderQty]]+I263,I263)</f>
        <v>242</v>
      </c>
      <c r="J264" s="1">
        <f>IF(Query1[[#This Row],[ItemType]]="EVAP KIT UNIVERSAL",Query1[[#This Row],[OrderQty]]+J263,J263)</f>
        <v>288</v>
      </c>
      <c r="K264" s="1">
        <f>Query1[[#This Row],[SF Running Total]]+Query1[[#This Row],[UNIV Running Total]]</f>
        <v>530</v>
      </c>
      <c r="L264">
        <f>VLOOKUP(Query1[[#This Row],[Description]],'kits to boards'!$B$2:$E$156,2,FALSE)</f>
        <v>830108</v>
      </c>
      <c r="M264">
        <f>VLOOKUP(Query1[[#This Row],[Description]],'kits to boards'!$B$2:$E$156,3,FALSE)</f>
        <v>0</v>
      </c>
      <c r="N264">
        <f>VLOOKUP(Query1[[#This Row],[Description]],'kits to boards'!$B$2:$E$156,4,FALSE)</f>
        <v>0</v>
      </c>
      <c r="O264" t="str">
        <f>CONCATENATE(Query1[[#This Row],[Description]]," - ",Query1[[#This Row],[MB1]]," - ",Query1[[#This Row],[MB2]]," - ",Query1[[#This Row],[MB3]])</f>
        <v>EVAP KIT 79-81 CAMARO WO AC  - 830108 - 0 - 0</v>
      </c>
    </row>
    <row r="265" spans="1:15" x14ac:dyDescent="0.25">
      <c r="A265" s="1">
        <v>909781</v>
      </c>
      <c r="B265" s="1" t="s">
        <v>24</v>
      </c>
      <c r="C265" s="1" t="s">
        <v>25</v>
      </c>
      <c r="D265" s="2">
        <v>44600.639240474535</v>
      </c>
      <c r="E265" s="1" t="s">
        <v>11</v>
      </c>
      <c r="F265" s="1">
        <v>3</v>
      </c>
      <c r="G265" s="1">
        <v>0</v>
      </c>
      <c r="H265" s="6">
        <f>INT(Query1[[#This Row],[EntryDateTime]])</f>
        <v>44600</v>
      </c>
      <c r="I265" s="1">
        <f>IF(Query1[[#This Row],[ItemType]]="EVAP KIT SF GEN IV",Query1[[#This Row],[OrderQty]]+I264,I264)</f>
        <v>242</v>
      </c>
      <c r="J265" s="1">
        <f>IF(Query1[[#This Row],[ItemType]]="EVAP KIT UNIVERSAL",Query1[[#This Row],[OrderQty]]+J264,J264)</f>
        <v>291</v>
      </c>
      <c r="K265" s="1">
        <f>Query1[[#This Row],[SF Running Total]]+Query1[[#This Row],[UNIV Running Total]]</f>
        <v>533</v>
      </c>
      <c r="L265">
        <f>VLOOKUP(Query1[[#This Row],[Description]],'kits to boards'!$B$2:$E$156,2,FALSE)</f>
        <v>830029</v>
      </c>
      <c r="M265">
        <f>VLOOKUP(Query1[[#This Row],[Description]],'kits to boards'!$B$2:$E$156,3,FALSE)</f>
        <v>830030</v>
      </c>
      <c r="N265">
        <f>VLOOKUP(Query1[[#This Row],[Description]],'kits to boards'!$B$2:$E$156,4,FALSE)</f>
        <v>0</v>
      </c>
      <c r="O265" t="str">
        <f>CONCATENATE(Query1[[#This Row],[Description]]," - ",Query1[[#This Row],[MB1]]," - ",Query1[[#This Row],[MB2]]," - ",Query1[[#This Row],[MB3]])</f>
        <v>ComPac GEN II W/DEF - 830029 - 830030 - 0</v>
      </c>
    </row>
    <row r="266" spans="1:15" x14ac:dyDescent="0.25">
      <c r="A266" s="1">
        <v>909781</v>
      </c>
      <c r="B266" s="1" t="s">
        <v>98</v>
      </c>
      <c r="C266" s="1" t="s">
        <v>99</v>
      </c>
      <c r="D266" s="2">
        <v>44600.639389201388</v>
      </c>
      <c r="E266" s="1" t="s">
        <v>11</v>
      </c>
      <c r="F266" s="1">
        <v>3</v>
      </c>
      <c r="G266" s="1">
        <v>0</v>
      </c>
      <c r="H266" s="6">
        <f>INT(Query1[[#This Row],[EntryDateTime]])</f>
        <v>44600</v>
      </c>
      <c r="I266" s="1">
        <f>IF(Query1[[#This Row],[ItemType]]="EVAP KIT SF GEN IV",Query1[[#This Row],[OrderQty]]+I265,I265)</f>
        <v>242</v>
      </c>
      <c r="J266" s="1">
        <f>IF(Query1[[#This Row],[ItemType]]="EVAP KIT UNIVERSAL",Query1[[#This Row],[OrderQty]]+J265,J265)</f>
        <v>294</v>
      </c>
      <c r="K266" s="1">
        <f>Query1[[#This Row],[SF Running Total]]+Query1[[#This Row],[UNIV Running Total]]</f>
        <v>536</v>
      </c>
      <c r="L266">
        <f>VLOOKUP(Query1[[#This Row],[Description]],'kits to boards'!$B$2:$E$156,2,FALSE)</f>
        <v>830099</v>
      </c>
      <c r="M266">
        <f>VLOOKUP(Query1[[#This Row],[Description]],'kits to boards'!$B$2:$E$156,3,FALSE)</f>
        <v>0</v>
      </c>
      <c r="N266">
        <f>VLOOKUP(Query1[[#This Row],[Description]],'kits to boards'!$B$2:$E$156,4,FALSE)</f>
        <v>0</v>
      </c>
      <c r="O266" t="str">
        <f>CONCATENATE(Query1[[#This Row],[Description]]," - ",Query1[[#This Row],[MB1]]," - ",Query1[[#This Row],[MB2]]," - ",Query1[[#This Row],[MB3]])</f>
        <v>MINI GEN II W/DEF - 830099 - 0 - 0</v>
      </c>
    </row>
    <row r="267" spans="1:15" x14ac:dyDescent="0.25">
      <c r="A267" s="1">
        <v>909782</v>
      </c>
      <c r="B267" s="1" t="s">
        <v>98</v>
      </c>
      <c r="C267" s="1" t="s">
        <v>99</v>
      </c>
      <c r="D267" s="2">
        <v>44600.639471724535</v>
      </c>
      <c r="E267" s="1" t="s">
        <v>11</v>
      </c>
      <c r="F267" s="1">
        <v>2</v>
      </c>
      <c r="G267" s="1">
        <v>0</v>
      </c>
      <c r="H267" s="6">
        <f>INT(Query1[[#This Row],[EntryDateTime]])</f>
        <v>44600</v>
      </c>
      <c r="I267" s="1">
        <f>IF(Query1[[#This Row],[ItemType]]="EVAP KIT SF GEN IV",Query1[[#This Row],[OrderQty]]+I266,I266)</f>
        <v>242</v>
      </c>
      <c r="J267" s="1">
        <f>IF(Query1[[#This Row],[ItemType]]="EVAP KIT UNIVERSAL",Query1[[#This Row],[OrderQty]]+J266,J266)</f>
        <v>296</v>
      </c>
      <c r="K267" s="1">
        <f>Query1[[#This Row],[SF Running Total]]+Query1[[#This Row],[UNIV Running Total]]</f>
        <v>538</v>
      </c>
      <c r="L267">
        <f>VLOOKUP(Query1[[#This Row],[Description]],'kits to boards'!$B$2:$E$156,2,FALSE)</f>
        <v>830099</v>
      </c>
      <c r="M267">
        <f>VLOOKUP(Query1[[#This Row],[Description]],'kits to boards'!$B$2:$E$156,3,FALSE)</f>
        <v>0</v>
      </c>
      <c r="N267">
        <f>VLOOKUP(Query1[[#This Row],[Description]],'kits to boards'!$B$2:$E$156,4,FALSE)</f>
        <v>0</v>
      </c>
      <c r="O267" t="str">
        <f>CONCATENATE(Query1[[#This Row],[Description]]," - ",Query1[[#This Row],[MB1]]," - ",Query1[[#This Row],[MB2]]," - ",Query1[[#This Row],[MB3]])</f>
        <v>MINI GEN II W/DEF - 830099 - 0 - 0</v>
      </c>
    </row>
    <row r="268" spans="1:15" x14ac:dyDescent="0.25">
      <c r="A268" s="1">
        <v>909788</v>
      </c>
      <c r="B268" s="1" t="s">
        <v>100</v>
      </c>
      <c r="C268" s="1" t="s">
        <v>101</v>
      </c>
      <c r="D268" s="2">
        <v>44600.643798576391</v>
      </c>
      <c r="E268" s="1" t="s">
        <v>8</v>
      </c>
      <c r="F268" s="1">
        <v>1</v>
      </c>
      <c r="G268" s="1">
        <v>0</v>
      </c>
      <c r="H268" s="6">
        <f>INT(Query1[[#This Row],[EntryDateTime]])</f>
        <v>44600</v>
      </c>
      <c r="I268" s="1">
        <f>IF(Query1[[#This Row],[ItemType]]="EVAP KIT SF GEN IV",Query1[[#This Row],[OrderQty]]+I267,I267)</f>
        <v>243</v>
      </c>
      <c r="J268" s="1">
        <f>IF(Query1[[#This Row],[ItemType]]="EVAP KIT UNIVERSAL",Query1[[#This Row],[OrderQty]]+J267,J267)</f>
        <v>296</v>
      </c>
      <c r="K268" s="1">
        <f>Query1[[#This Row],[SF Running Total]]+Query1[[#This Row],[UNIV Running Total]]</f>
        <v>539</v>
      </c>
      <c r="L268">
        <f>VLOOKUP(Query1[[#This Row],[Description]],'kits to boards'!$B$2:$E$156,2,FALSE)</f>
        <v>830096</v>
      </c>
      <c r="M268">
        <f>VLOOKUP(Query1[[#This Row],[Description]],'kits to boards'!$B$2:$E$156,3,FALSE)</f>
        <v>0</v>
      </c>
      <c r="N268">
        <f>VLOOKUP(Query1[[#This Row],[Description]],'kits to boards'!$B$2:$E$156,4,FALSE)</f>
        <v>0</v>
      </c>
      <c r="O268" t="str">
        <f>CONCATENATE(Query1[[#This Row],[Description]]," - ",Query1[[#This Row],[MB1]]," - ",Query1[[#This Row],[MB2]]," - ",Query1[[#This Row],[MB3]])</f>
        <v>EVAP KIT 62-65 NOVA - 830096 - 0 - 0</v>
      </c>
    </row>
    <row r="269" spans="1:15" x14ac:dyDescent="0.25">
      <c r="A269" s="1">
        <v>909789</v>
      </c>
      <c r="B269" s="1" t="s">
        <v>60</v>
      </c>
      <c r="C269" s="1" t="s">
        <v>61</v>
      </c>
      <c r="D269" s="2">
        <v>44600.645728854164</v>
      </c>
      <c r="E269" s="1" t="s">
        <v>8</v>
      </c>
      <c r="F269" s="1">
        <v>1</v>
      </c>
      <c r="G269" s="1">
        <v>0</v>
      </c>
      <c r="H269" s="6">
        <f>INT(Query1[[#This Row],[EntryDateTime]])</f>
        <v>44600</v>
      </c>
      <c r="I269" s="1">
        <f>IF(Query1[[#This Row],[ItemType]]="EVAP KIT SF GEN IV",Query1[[#This Row],[OrderQty]]+I268,I268)</f>
        <v>244</v>
      </c>
      <c r="J269" s="1">
        <f>IF(Query1[[#This Row],[ItemType]]="EVAP KIT UNIVERSAL",Query1[[#This Row],[OrderQty]]+J268,J268)</f>
        <v>296</v>
      </c>
      <c r="K269" s="1">
        <f>Query1[[#This Row],[SF Running Total]]+Query1[[#This Row],[UNIV Running Total]]</f>
        <v>540</v>
      </c>
      <c r="L269">
        <f>VLOOKUP(Query1[[#This Row],[Description]],'kits to boards'!$B$2:$E$156,2,FALSE)</f>
        <v>830062</v>
      </c>
      <c r="M269">
        <f>VLOOKUP(Query1[[#This Row],[Description]],'kits to boards'!$B$2:$E$156,3,FALSE)</f>
        <v>0</v>
      </c>
      <c r="N269">
        <f>VLOOKUP(Query1[[#This Row],[Description]],'kits to boards'!$B$2:$E$156,4,FALSE)</f>
        <v>0</v>
      </c>
      <c r="O269" t="str">
        <f>CONCATENATE(Query1[[#This Row],[Description]]," - ",Query1[[#This Row],[MB1]]," - ",Query1[[#This Row],[MB2]]," - ",Query1[[#This Row],[MB3]])</f>
        <v>EVAP KIT 68-69 CHEVELLE WO AC - 830062 - 0 - 0</v>
      </c>
    </row>
    <row r="270" spans="1:15" x14ac:dyDescent="0.25">
      <c r="A270" s="1">
        <v>909791</v>
      </c>
      <c r="B270" s="1" t="s">
        <v>88</v>
      </c>
      <c r="C270" s="1" t="s">
        <v>89</v>
      </c>
      <c r="D270" s="2">
        <v>44600.649541782404</v>
      </c>
      <c r="E270" s="1" t="s">
        <v>8</v>
      </c>
      <c r="F270" s="1">
        <v>1</v>
      </c>
      <c r="G270" s="1">
        <v>0</v>
      </c>
      <c r="H270" s="6">
        <f>INT(Query1[[#This Row],[EntryDateTime]])</f>
        <v>44600</v>
      </c>
      <c r="I270" s="1">
        <f>IF(Query1[[#This Row],[ItemType]]="EVAP KIT SF GEN IV",Query1[[#This Row],[OrderQty]]+I269,I269)</f>
        <v>245</v>
      </c>
      <c r="J270" s="1">
        <f>IF(Query1[[#This Row],[ItemType]]="EVAP KIT UNIVERSAL",Query1[[#This Row],[OrderQty]]+J269,J269)</f>
        <v>296</v>
      </c>
      <c r="K270" s="1">
        <f>Query1[[#This Row],[SF Running Total]]+Query1[[#This Row],[UNIV Running Total]]</f>
        <v>541</v>
      </c>
      <c r="L270">
        <f>VLOOKUP(Query1[[#This Row],[Description]],'kits to boards'!$B$2:$E$156,2,FALSE)</f>
        <v>830003</v>
      </c>
      <c r="M270">
        <f>VLOOKUP(Query1[[#This Row],[Description]],'kits to boards'!$B$2:$E$156,3,FALSE)</f>
        <v>0</v>
      </c>
      <c r="N270">
        <f>VLOOKUP(Query1[[#This Row],[Description]],'kits to boards'!$B$2:$E$156,4,FALSE)</f>
        <v>0</v>
      </c>
      <c r="O270" t="str">
        <f>CONCATENATE(Query1[[#This Row],[Description]]," - ",Query1[[#This Row],[MB1]]," - ",Query1[[#This Row],[MB2]]," - ",Query1[[#This Row],[MB3]])</f>
        <v>EVAP KIT 81-87 CHEV P-UP WO AC - 830003 - 0 - 0</v>
      </c>
    </row>
    <row r="271" spans="1:15" x14ac:dyDescent="0.25">
      <c r="A271" s="1">
        <v>909794</v>
      </c>
      <c r="B271" s="1" t="s">
        <v>56</v>
      </c>
      <c r="C271" s="1" t="s">
        <v>57</v>
      </c>
      <c r="D271" s="2">
        <v>44600.652462615741</v>
      </c>
      <c r="E271" s="1" t="s">
        <v>8</v>
      </c>
      <c r="F271" s="1">
        <v>1</v>
      </c>
      <c r="G271" s="1">
        <v>0</v>
      </c>
      <c r="H271" s="6">
        <f>INT(Query1[[#This Row],[EntryDateTime]])</f>
        <v>44600</v>
      </c>
      <c r="I271" s="1">
        <f>IF(Query1[[#This Row],[ItemType]]="EVAP KIT SF GEN IV",Query1[[#This Row],[OrderQty]]+I270,I270)</f>
        <v>246</v>
      </c>
      <c r="J271" s="1">
        <f>IF(Query1[[#This Row],[ItemType]]="EVAP KIT UNIVERSAL",Query1[[#This Row],[OrderQty]]+J270,J270)</f>
        <v>296</v>
      </c>
      <c r="K271" s="1">
        <f>Query1[[#This Row],[SF Running Total]]+Query1[[#This Row],[UNIV Running Total]]</f>
        <v>542</v>
      </c>
      <c r="L271">
        <f>VLOOKUP(Query1[[#This Row],[Description]],'kits to boards'!$B$2:$E$156,2,FALSE)</f>
        <v>830011</v>
      </c>
      <c r="M271">
        <f>VLOOKUP(Query1[[#This Row],[Description]],'kits to boards'!$B$2:$E$156,3,FALSE)</f>
        <v>0</v>
      </c>
      <c r="N271">
        <f>VLOOKUP(Query1[[#This Row],[Description]],'kits to boards'!$B$2:$E$156,4,FALSE)</f>
        <v>0</v>
      </c>
      <c r="O271" t="str">
        <f>CONCATENATE(Query1[[#This Row],[Description]]," - ",Query1[[#This Row],[MB1]]," - ",Query1[[#This Row],[MB2]]," - ",Query1[[#This Row],[MB3]])</f>
        <v>EVAP KIT 70-72 CHEVELLE W/AC - 830011 - 0 - 0</v>
      </c>
    </row>
    <row r="272" spans="1:15" x14ac:dyDescent="0.25">
      <c r="A272" s="1">
        <v>909798</v>
      </c>
      <c r="B272" s="1" t="s">
        <v>28</v>
      </c>
      <c r="C272" s="1" t="s">
        <v>29</v>
      </c>
      <c r="D272" s="2">
        <v>44600.656464201391</v>
      </c>
      <c r="E272" s="1" t="s">
        <v>8</v>
      </c>
      <c r="F272" s="1">
        <v>1</v>
      </c>
      <c r="G272" s="1">
        <v>0</v>
      </c>
      <c r="H272" s="6">
        <f>INT(Query1[[#This Row],[EntryDateTime]])</f>
        <v>44600</v>
      </c>
      <c r="I272" s="1">
        <f>IF(Query1[[#This Row],[ItemType]]="EVAP KIT SF GEN IV",Query1[[#This Row],[OrderQty]]+I271,I271)</f>
        <v>247</v>
      </c>
      <c r="J272" s="1">
        <f>IF(Query1[[#This Row],[ItemType]]="EVAP KIT UNIVERSAL",Query1[[#This Row],[OrderQty]]+J271,J271)</f>
        <v>296</v>
      </c>
      <c r="K272" s="1">
        <f>Query1[[#This Row],[SF Running Total]]+Query1[[#This Row],[UNIV Running Total]]</f>
        <v>543</v>
      </c>
      <c r="L272">
        <f>VLOOKUP(Query1[[#This Row],[Description]],'kits to boards'!$B$2:$E$156,2,FALSE)</f>
        <v>830001</v>
      </c>
      <c r="M272">
        <f>VLOOKUP(Query1[[#This Row],[Description]],'kits to boards'!$B$2:$E$156,3,FALSE)</f>
        <v>0</v>
      </c>
      <c r="N272">
        <f>VLOOKUP(Query1[[#This Row],[Description]],'kits to boards'!$B$2:$E$156,4,FALSE)</f>
        <v>0</v>
      </c>
      <c r="O272" t="str">
        <f>CONCATENATE(Query1[[#This Row],[Description]]," - ",Query1[[#This Row],[MB1]]," - ",Query1[[#This Row],[MB2]]," - ",Query1[[#This Row],[MB3]])</f>
        <v>EVAP KIT 73-80 CHEV P-UP W/AC - 830001 - 0 - 0</v>
      </c>
    </row>
    <row r="273" spans="1:15" x14ac:dyDescent="0.25">
      <c r="A273" s="1">
        <v>909800</v>
      </c>
      <c r="B273" s="1" t="s">
        <v>132</v>
      </c>
      <c r="C273" s="1" t="s">
        <v>133</v>
      </c>
      <c r="D273" s="2">
        <v>44600.658014664354</v>
      </c>
      <c r="E273" s="1" t="s">
        <v>8</v>
      </c>
      <c r="F273" s="1">
        <v>1</v>
      </c>
      <c r="G273" s="1">
        <v>0</v>
      </c>
      <c r="H273" s="6">
        <f>INT(Query1[[#This Row],[EntryDateTime]])</f>
        <v>44600</v>
      </c>
      <c r="I273" s="1">
        <f>IF(Query1[[#This Row],[ItemType]]="EVAP KIT SF GEN IV",Query1[[#This Row],[OrderQty]]+I272,I272)</f>
        <v>248</v>
      </c>
      <c r="J273" s="1">
        <f>IF(Query1[[#This Row],[ItemType]]="EVAP KIT UNIVERSAL",Query1[[#This Row],[OrderQty]]+J272,J272)</f>
        <v>296</v>
      </c>
      <c r="K273" s="1">
        <f>Query1[[#This Row],[SF Running Total]]+Query1[[#This Row],[UNIV Running Total]]</f>
        <v>544</v>
      </c>
      <c r="L273">
        <f>VLOOKUP(Query1[[#This Row],[Description]],'kits to boards'!$B$2:$E$156,2,FALSE)</f>
        <v>830005</v>
      </c>
      <c r="M273">
        <f>VLOOKUP(Query1[[#This Row],[Description]],'kits to boards'!$B$2:$E$156,3,FALSE)</f>
        <v>0</v>
      </c>
      <c r="N273">
        <f>VLOOKUP(Query1[[#This Row],[Description]],'kits to boards'!$B$2:$E$156,4,FALSE)</f>
        <v>0</v>
      </c>
      <c r="O273" t="str">
        <f>CONCATENATE(Query1[[#This Row],[Description]]," - ",Query1[[#This Row],[MB1]]," - ",Query1[[#This Row],[MB2]]," - ",Query1[[#This Row],[MB3]])</f>
        <v>EVAP KIT 61-62 IMPALA WO AC - 830005 - 0 - 0</v>
      </c>
    </row>
    <row r="274" spans="1:15" x14ac:dyDescent="0.25">
      <c r="A274" s="1">
        <v>909802</v>
      </c>
      <c r="B274" s="1" t="s">
        <v>54</v>
      </c>
      <c r="C274" s="1" t="s">
        <v>55</v>
      </c>
      <c r="D274" s="2">
        <v>44600.661552581019</v>
      </c>
      <c r="E274" s="1" t="s">
        <v>8</v>
      </c>
      <c r="F274" s="1">
        <v>1</v>
      </c>
      <c r="G274" s="1">
        <v>0</v>
      </c>
      <c r="H274" s="6">
        <f>INT(Query1[[#This Row],[EntryDateTime]])</f>
        <v>44600</v>
      </c>
      <c r="I274" s="1">
        <f>IF(Query1[[#This Row],[ItemType]]="EVAP KIT SF GEN IV",Query1[[#This Row],[OrderQty]]+I273,I273)</f>
        <v>249</v>
      </c>
      <c r="J274" s="1">
        <f>IF(Query1[[#This Row],[ItemType]]="EVAP KIT UNIVERSAL",Query1[[#This Row],[OrderQty]]+J273,J273)</f>
        <v>296</v>
      </c>
      <c r="K274" s="1">
        <f>Query1[[#This Row],[SF Running Total]]+Query1[[#This Row],[UNIV Running Total]]</f>
        <v>545</v>
      </c>
      <c r="L274">
        <f>VLOOKUP(Query1[[#This Row],[Description]],'kits to boards'!$B$2:$E$156,2,FALSE)</f>
        <v>830037</v>
      </c>
      <c r="M274">
        <f>VLOOKUP(Query1[[#This Row],[Description]],'kits to boards'!$B$2:$E$156,3,FALSE)</f>
        <v>0</v>
      </c>
      <c r="N274">
        <f>VLOOKUP(Query1[[#This Row],[Description]],'kits to boards'!$B$2:$E$156,4,FALSE)</f>
        <v>0</v>
      </c>
      <c r="O274" t="str">
        <f>CONCATENATE(Query1[[#This Row],[Description]]," - ",Query1[[#This Row],[MB1]]," - ",Query1[[#This Row],[MB2]]," - ",Query1[[#This Row],[MB3]])</f>
        <v>EVAP KIT 70-81 FIREBIRD W/AC - 830037 - 0 - 0</v>
      </c>
    </row>
    <row r="275" spans="1:15" x14ac:dyDescent="0.25">
      <c r="A275" s="1">
        <v>909803</v>
      </c>
      <c r="B275" s="1" t="s">
        <v>287</v>
      </c>
      <c r="C275" s="1" t="s">
        <v>25</v>
      </c>
      <c r="D275" s="2">
        <v>44600.66189452546</v>
      </c>
      <c r="E275" s="1" t="s">
        <v>11</v>
      </c>
      <c r="F275" s="1">
        <v>1</v>
      </c>
      <c r="G275" s="1">
        <v>0</v>
      </c>
      <c r="H275" s="6">
        <f>INT(Query1[[#This Row],[EntryDateTime]])</f>
        <v>44600</v>
      </c>
      <c r="I275" s="1">
        <f>IF(Query1[[#This Row],[ItemType]]="EVAP KIT SF GEN IV",Query1[[#This Row],[OrderQty]]+I274,I274)</f>
        <v>249</v>
      </c>
      <c r="J275" s="1">
        <f>IF(Query1[[#This Row],[ItemType]]="EVAP KIT UNIVERSAL",Query1[[#This Row],[OrderQty]]+J274,J274)</f>
        <v>297</v>
      </c>
      <c r="K275" s="1">
        <f>Query1[[#This Row],[SF Running Total]]+Query1[[#This Row],[UNIV Running Total]]</f>
        <v>546</v>
      </c>
      <c r="L275">
        <f>VLOOKUP(Query1[[#This Row],[Description]],'kits to boards'!$B$2:$E$156,2,FALSE)</f>
        <v>830029</v>
      </c>
      <c r="M275">
        <f>VLOOKUP(Query1[[#This Row],[Description]],'kits to boards'!$B$2:$E$156,3,FALSE)</f>
        <v>830030</v>
      </c>
      <c r="N275">
        <f>VLOOKUP(Query1[[#This Row],[Description]],'kits to boards'!$B$2:$E$156,4,FALSE)</f>
        <v>0</v>
      </c>
      <c r="O275" t="str">
        <f>CONCATENATE(Query1[[#This Row],[Description]]," - ",Query1[[#This Row],[MB1]]," - ",Query1[[#This Row],[MB2]]," - ",Query1[[#This Row],[MB3]])</f>
        <v>ComPac GEN II W/DEF - 830029 - 830030 - 0</v>
      </c>
    </row>
    <row r="276" spans="1:15" x14ac:dyDescent="0.25">
      <c r="A276" s="1">
        <v>909806</v>
      </c>
      <c r="B276" s="1" t="s">
        <v>22</v>
      </c>
      <c r="C276" s="1" t="s">
        <v>23</v>
      </c>
      <c r="D276" s="2">
        <v>44600.665226041667</v>
      </c>
      <c r="E276" s="1" t="s">
        <v>8</v>
      </c>
      <c r="F276" s="1">
        <v>1</v>
      </c>
      <c r="G276" s="1">
        <v>0</v>
      </c>
      <c r="H276" s="6">
        <f>INT(Query1[[#This Row],[EntryDateTime]])</f>
        <v>44600</v>
      </c>
      <c r="I276" s="1">
        <f>IF(Query1[[#This Row],[ItemType]]="EVAP KIT SF GEN IV",Query1[[#This Row],[OrderQty]]+I275,I275)</f>
        <v>250</v>
      </c>
      <c r="J276" s="1">
        <f>IF(Query1[[#This Row],[ItemType]]="EVAP KIT UNIVERSAL",Query1[[#This Row],[OrderQty]]+J275,J275)</f>
        <v>297</v>
      </c>
      <c r="K276" s="1">
        <f>Query1[[#This Row],[SF Running Total]]+Query1[[#This Row],[UNIV Running Total]]</f>
        <v>547</v>
      </c>
      <c r="L276">
        <f>VLOOKUP(Query1[[#This Row],[Description]],'kits to boards'!$B$2:$E$156,2,FALSE)</f>
        <v>830083</v>
      </c>
      <c r="M276">
        <f>VLOOKUP(Query1[[#This Row],[Description]],'kits to boards'!$B$2:$E$156,3,FALSE)</f>
        <v>0</v>
      </c>
      <c r="N276">
        <f>VLOOKUP(Query1[[#This Row],[Description]],'kits to boards'!$B$2:$E$156,4,FALSE)</f>
        <v>0</v>
      </c>
      <c r="O276" t="str">
        <f>CONCATENATE(Query1[[#This Row],[Description]]," - ",Query1[[#This Row],[MB1]]," - ",Query1[[#This Row],[MB2]]," - ",Query1[[#This Row],[MB3]])</f>
        <v>GEN IV MAGNUM EVAP KIT - 830083 - 0 - 0</v>
      </c>
    </row>
    <row r="277" spans="1:15" x14ac:dyDescent="0.25">
      <c r="A277" s="1">
        <v>909807</v>
      </c>
      <c r="B277" s="1" t="s">
        <v>106</v>
      </c>
      <c r="C277" s="1" t="s">
        <v>253</v>
      </c>
      <c r="D277" s="2">
        <v>44600.66596716435</v>
      </c>
      <c r="E277" s="1" t="s">
        <v>8</v>
      </c>
      <c r="F277" s="1">
        <v>1</v>
      </c>
      <c r="G277" s="1">
        <v>0</v>
      </c>
      <c r="H277" s="6">
        <f>INT(Query1[[#This Row],[EntryDateTime]])</f>
        <v>44600</v>
      </c>
      <c r="I277" s="1">
        <f>IF(Query1[[#This Row],[ItemType]]="EVAP KIT SF GEN IV",Query1[[#This Row],[OrderQty]]+I276,I276)</f>
        <v>251</v>
      </c>
      <c r="J277" s="1">
        <f>IF(Query1[[#This Row],[ItemType]]="EVAP KIT UNIVERSAL",Query1[[#This Row],[OrderQty]]+J276,J276)</f>
        <v>297</v>
      </c>
      <c r="K277" s="1">
        <f>Query1[[#This Row],[SF Running Total]]+Query1[[#This Row],[UNIV Running Total]]</f>
        <v>548</v>
      </c>
      <c r="L277">
        <f>VLOOKUP(Query1[[#This Row],[Description]],'kits to boards'!$B$2:$E$156,2,FALSE)</f>
        <v>830028</v>
      </c>
      <c r="M277">
        <f>VLOOKUP(Query1[[#This Row],[Description]],'kits to boards'!$B$2:$E$156,3,FALSE)</f>
        <v>0</v>
      </c>
      <c r="N277">
        <f>VLOOKUP(Query1[[#This Row],[Description]],'kits to boards'!$B$2:$E$156,4,FALSE)</f>
        <v>0</v>
      </c>
      <c r="O277" t="str">
        <f>CONCATENATE(Query1[[#This Row],[Description]]," - ",Query1[[#This Row],[MB1]]," - ",Query1[[#This Row],[MB2]]," - ",Query1[[#This Row],[MB3]])</f>
        <v>EVAP KIT 55-59 CHEV P-UP WO AC W/DELX  - 830028 - 0 - 0</v>
      </c>
    </row>
    <row r="278" spans="1:15" x14ac:dyDescent="0.25">
      <c r="A278" s="1">
        <v>909807</v>
      </c>
      <c r="B278" s="1" t="s">
        <v>120</v>
      </c>
      <c r="C278" s="1" t="s">
        <v>121</v>
      </c>
      <c r="D278" s="2">
        <v>44600.668343668978</v>
      </c>
      <c r="E278" s="1" t="s">
        <v>8</v>
      </c>
      <c r="F278" s="1">
        <v>1</v>
      </c>
      <c r="G278" s="1">
        <v>0</v>
      </c>
      <c r="H278" s="6">
        <f>INT(Query1[[#This Row],[EntryDateTime]])</f>
        <v>44600</v>
      </c>
      <c r="I278" s="1">
        <f>IF(Query1[[#This Row],[ItemType]]="EVAP KIT SF GEN IV",Query1[[#This Row],[OrderQty]]+I277,I277)</f>
        <v>252</v>
      </c>
      <c r="J278" s="1">
        <f>IF(Query1[[#This Row],[ItemType]]="EVAP KIT UNIVERSAL",Query1[[#This Row],[OrderQty]]+J277,J277)</f>
        <v>297</v>
      </c>
      <c r="K278" s="1">
        <f>Query1[[#This Row],[SF Running Total]]+Query1[[#This Row],[UNIV Running Total]]</f>
        <v>549</v>
      </c>
      <c r="L278">
        <f>VLOOKUP(Query1[[#This Row],[Description]],'kits to boards'!$B$2:$E$156,2,FALSE)</f>
        <v>830014</v>
      </c>
      <c r="M278">
        <f>VLOOKUP(Query1[[#This Row],[Description]],'kits to boards'!$B$2:$E$156,3,FALSE)</f>
        <v>0</v>
      </c>
      <c r="N278">
        <f>VLOOKUP(Query1[[#This Row],[Description]],'kits to boards'!$B$2:$E$156,4,FALSE)</f>
        <v>0</v>
      </c>
      <c r="O278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279" spans="1:15" x14ac:dyDescent="0.25">
      <c r="A279" s="1">
        <v>909810</v>
      </c>
      <c r="B279" s="1" t="s">
        <v>66</v>
      </c>
      <c r="C279" s="1" t="s">
        <v>67</v>
      </c>
      <c r="D279" s="2">
        <v>44600.67389690972</v>
      </c>
      <c r="E279" s="1" t="s">
        <v>8</v>
      </c>
      <c r="F279" s="1">
        <v>1</v>
      </c>
      <c r="G279" s="1">
        <v>0</v>
      </c>
      <c r="H279" s="6">
        <f>INT(Query1[[#This Row],[EntryDateTime]])</f>
        <v>44600</v>
      </c>
      <c r="I279" s="1">
        <f>IF(Query1[[#This Row],[ItemType]]="EVAP KIT SF GEN IV",Query1[[#This Row],[OrderQty]]+I278,I278)</f>
        <v>253</v>
      </c>
      <c r="J279" s="1">
        <f>IF(Query1[[#This Row],[ItemType]]="EVAP KIT UNIVERSAL",Query1[[#This Row],[OrderQty]]+J278,J278)</f>
        <v>297</v>
      </c>
      <c r="K279" s="1">
        <f>Query1[[#This Row],[SF Running Total]]+Query1[[#This Row],[UNIV Running Total]]</f>
        <v>550</v>
      </c>
      <c r="L279">
        <f>VLOOKUP(Query1[[#This Row],[Description]],'kits to boards'!$B$2:$E$156,2,FALSE)</f>
        <v>830060</v>
      </c>
      <c r="M279">
        <f>VLOOKUP(Query1[[#This Row],[Description]],'kits to boards'!$B$2:$E$156,3,FALSE)</f>
        <v>0</v>
      </c>
      <c r="N279">
        <f>VLOOKUP(Query1[[#This Row],[Description]],'kits to boards'!$B$2:$E$156,4,FALSE)</f>
        <v>0</v>
      </c>
      <c r="O279" t="str">
        <f>CONCATENATE(Query1[[#This Row],[Description]]," - ",Query1[[#This Row],[MB1]]," - ",Query1[[#This Row],[MB2]]," - ",Query1[[#This Row],[MB3]])</f>
        <v>EVAP KIT 66-67 CHEVELLE WO AC - 830060 - 0 - 0</v>
      </c>
    </row>
    <row r="280" spans="1:15" x14ac:dyDescent="0.25">
      <c r="A280" s="1">
        <v>909811</v>
      </c>
      <c r="B280" s="1" t="s">
        <v>176</v>
      </c>
      <c r="C280" s="1" t="s">
        <v>177</v>
      </c>
      <c r="D280" s="2">
        <v>44600.67741478009</v>
      </c>
      <c r="E280" s="1" t="s">
        <v>8</v>
      </c>
      <c r="F280" s="1">
        <v>1</v>
      </c>
      <c r="G280" s="1">
        <v>0</v>
      </c>
      <c r="H280" s="6">
        <f>INT(Query1[[#This Row],[EntryDateTime]])</f>
        <v>44600</v>
      </c>
      <c r="I280" s="1">
        <f>IF(Query1[[#This Row],[ItemType]]="EVAP KIT SF GEN IV",Query1[[#This Row],[OrderQty]]+I279,I279)</f>
        <v>254</v>
      </c>
      <c r="J280" s="1">
        <f>IF(Query1[[#This Row],[ItemType]]="EVAP KIT UNIVERSAL",Query1[[#This Row],[OrderQty]]+J279,J279)</f>
        <v>297</v>
      </c>
      <c r="K280" s="1">
        <f>Query1[[#This Row],[SF Running Total]]+Query1[[#This Row],[UNIV Running Total]]</f>
        <v>551</v>
      </c>
      <c r="L280">
        <f>VLOOKUP(Query1[[#This Row],[Description]],'kits to boards'!$B$2:$E$156,2,FALSE)</f>
        <v>830125</v>
      </c>
      <c r="M280">
        <f>VLOOKUP(Query1[[#This Row],[Description]],'kits to boards'!$B$2:$E$156,3,FALSE)</f>
        <v>0</v>
      </c>
      <c r="N280">
        <f>VLOOKUP(Query1[[#This Row],[Description]],'kits to boards'!$B$2:$E$156,4,FALSE)</f>
        <v>0</v>
      </c>
      <c r="O280" t="str">
        <f>CONCATENATE(Query1[[#This Row],[Description]]," - ",Query1[[#This Row],[MB1]]," - ",Query1[[#This Row],[MB2]]," - ",Query1[[#This Row],[MB3]])</f>
        <v>EVAP KIT 65-66 IMPALA W/AC - 830125 - 0 - 0</v>
      </c>
    </row>
    <row r="281" spans="1:15" x14ac:dyDescent="0.25">
      <c r="A281" s="1">
        <v>909812</v>
      </c>
      <c r="B281" s="1" t="s">
        <v>160</v>
      </c>
      <c r="C281" s="1" t="s">
        <v>161</v>
      </c>
      <c r="D281" s="2">
        <v>44600.677843321762</v>
      </c>
      <c r="E281" s="1" t="s">
        <v>8</v>
      </c>
      <c r="F281" s="1">
        <v>1</v>
      </c>
      <c r="G281" s="1">
        <v>0</v>
      </c>
      <c r="H281" s="6">
        <f>INT(Query1[[#This Row],[EntryDateTime]])</f>
        <v>44600</v>
      </c>
      <c r="I281" s="1">
        <f>IF(Query1[[#This Row],[ItemType]]="EVAP KIT SF GEN IV",Query1[[#This Row],[OrderQty]]+I280,I280)</f>
        <v>255</v>
      </c>
      <c r="J281" s="1">
        <f>IF(Query1[[#This Row],[ItemType]]="EVAP KIT UNIVERSAL",Query1[[#This Row],[OrderQty]]+J280,J280)</f>
        <v>297</v>
      </c>
      <c r="K281" s="1">
        <f>Query1[[#This Row],[SF Running Total]]+Query1[[#This Row],[UNIV Running Total]]</f>
        <v>552</v>
      </c>
      <c r="L281">
        <f>VLOOKUP(Query1[[#This Row],[Description]],'kits to boards'!$B$2:$E$156,2,FALSE)</f>
        <v>830083</v>
      </c>
      <c r="M281">
        <f>VLOOKUP(Query1[[#This Row],[Description]],'kits to boards'!$B$2:$E$156,3,FALSE)</f>
        <v>0</v>
      </c>
      <c r="N281">
        <f>VLOOKUP(Query1[[#This Row],[Description]],'kits to boards'!$B$2:$E$156,4,FALSE)</f>
        <v>0</v>
      </c>
      <c r="O281" t="str">
        <f>CONCATENATE(Query1[[#This Row],[Description]]," - ",Query1[[#This Row],[MB1]]," - ",Query1[[#This Row],[MB2]]," - ",Query1[[#This Row],[MB3]])</f>
        <v>EVAP KIT 70-74 CHALNGR/CUDA WO AC - 830083 - 0 - 0</v>
      </c>
    </row>
    <row r="282" spans="1:15" x14ac:dyDescent="0.25">
      <c r="A282" s="1">
        <v>909813</v>
      </c>
      <c r="B282" s="1" t="s">
        <v>32</v>
      </c>
      <c r="C282" s="1" t="s">
        <v>33</v>
      </c>
      <c r="D282" s="2">
        <v>44600.679204548615</v>
      </c>
      <c r="E282" s="1" t="s">
        <v>8</v>
      </c>
      <c r="F282" s="1">
        <v>1</v>
      </c>
      <c r="G282" s="1">
        <v>0</v>
      </c>
      <c r="H282" s="6">
        <f>INT(Query1[[#This Row],[EntryDateTime]])</f>
        <v>44600</v>
      </c>
      <c r="I282" s="1">
        <f>IF(Query1[[#This Row],[ItemType]]="EVAP KIT SF GEN IV",Query1[[#This Row],[OrderQty]]+I281,I281)</f>
        <v>256</v>
      </c>
      <c r="J282" s="1">
        <f>IF(Query1[[#This Row],[ItemType]]="EVAP KIT UNIVERSAL",Query1[[#This Row],[OrderQty]]+J281,J281)</f>
        <v>297</v>
      </c>
      <c r="K282" s="1">
        <f>Query1[[#This Row],[SF Running Total]]+Query1[[#This Row],[UNIV Running Total]]</f>
        <v>553</v>
      </c>
      <c r="L282">
        <f>VLOOKUP(Query1[[#This Row],[Description]],'kits to boards'!$B$2:$E$156,2,FALSE)</f>
        <v>830016</v>
      </c>
      <c r="M282">
        <f>VLOOKUP(Query1[[#This Row],[Description]],'kits to boards'!$B$2:$E$156,3,FALSE)</f>
        <v>0</v>
      </c>
      <c r="N282">
        <f>VLOOKUP(Query1[[#This Row],[Description]],'kits to boards'!$B$2:$E$156,4,FALSE)</f>
        <v>0</v>
      </c>
      <c r="O282" t="str">
        <f>CONCATENATE(Query1[[#This Row],[Description]]," - ",Query1[[#This Row],[MB1]]," - ",Query1[[#This Row],[MB2]]," - ",Query1[[#This Row],[MB3]])</f>
        <v>EVAP KIT 67-68 CAMARO/FIREBIRD W/AC - 830016 - 0 - 0</v>
      </c>
    </row>
    <row r="283" spans="1:15" x14ac:dyDescent="0.25">
      <c r="A283" s="1">
        <v>909816</v>
      </c>
      <c r="B283" s="1" t="s">
        <v>50</v>
      </c>
      <c r="C283" s="1" t="s">
        <v>51</v>
      </c>
      <c r="D283" s="2">
        <v>44600.679847800922</v>
      </c>
      <c r="E283" s="1" t="s">
        <v>8</v>
      </c>
      <c r="F283" s="1">
        <v>6</v>
      </c>
      <c r="G283" s="1">
        <v>0</v>
      </c>
      <c r="H283" s="6">
        <f>INT(Query1[[#This Row],[EntryDateTime]])</f>
        <v>44600</v>
      </c>
      <c r="I283" s="1">
        <f>IF(Query1[[#This Row],[ItemType]]="EVAP KIT SF GEN IV",Query1[[#This Row],[OrderQty]]+I282,I282)</f>
        <v>262</v>
      </c>
      <c r="J283" s="1">
        <f>IF(Query1[[#This Row],[ItemType]]="EVAP KIT UNIVERSAL",Query1[[#This Row],[OrderQty]]+J282,J282)</f>
        <v>297</v>
      </c>
      <c r="K283" s="1">
        <f>Query1[[#This Row],[SF Running Total]]+Query1[[#This Row],[UNIV Running Total]]</f>
        <v>559</v>
      </c>
      <c r="L283">
        <f>VLOOKUP(Query1[[#This Row],[Description]],'kits to boards'!$B$2:$E$156,2,FALSE)</f>
        <v>830043</v>
      </c>
      <c r="M283">
        <f>VLOOKUP(Query1[[#This Row],[Description]],'kits to boards'!$B$2:$E$156,3,FALSE)</f>
        <v>0</v>
      </c>
      <c r="N283">
        <f>VLOOKUP(Query1[[#This Row],[Description]],'kits to boards'!$B$2:$E$156,4,FALSE)</f>
        <v>0</v>
      </c>
      <c r="O283" t="str">
        <f>CONCATENATE(Query1[[#This Row],[Description]]," - ",Query1[[#This Row],[MB1]]," - ",Query1[[#This Row],[MB2]]," - ",Query1[[#This Row],[MB3]])</f>
        <v>EVAP KIT 69-74 NOVA WO AC - 830043 - 0 - 0</v>
      </c>
    </row>
    <row r="284" spans="1:15" x14ac:dyDescent="0.25">
      <c r="A284" s="1">
        <v>909816</v>
      </c>
      <c r="B284" s="1" t="s">
        <v>22</v>
      </c>
      <c r="C284" s="1" t="s">
        <v>23</v>
      </c>
      <c r="D284" s="2">
        <v>44600.679852083333</v>
      </c>
      <c r="E284" s="1" t="s">
        <v>8</v>
      </c>
      <c r="F284" s="1">
        <v>14</v>
      </c>
      <c r="G284" s="1">
        <v>0</v>
      </c>
      <c r="H284" s="6">
        <f>INT(Query1[[#This Row],[EntryDateTime]])</f>
        <v>44600</v>
      </c>
      <c r="I284" s="1">
        <f>IF(Query1[[#This Row],[ItemType]]="EVAP KIT SF GEN IV",Query1[[#This Row],[OrderQty]]+I283,I283)</f>
        <v>276</v>
      </c>
      <c r="J284" s="1">
        <f>IF(Query1[[#This Row],[ItemType]]="EVAP KIT UNIVERSAL",Query1[[#This Row],[OrderQty]]+J283,J283)</f>
        <v>297</v>
      </c>
      <c r="K284" s="1">
        <f>Query1[[#This Row],[SF Running Total]]+Query1[[#This Row],[UNIV Running Total]]</f>
        <v>573</v>
      </c>
      <c r="L284">
        <f>VLOOKUP(Query1[[#This Row],[Description]],'kits to boards'!$B$2:$E$156,2,FALSE)</f>
        <v>830083</v>
      </c>
      <c r="M284">
        <f>VLOOKUP(Query1[[#This Row],[Description]],'kits to boards'!$B$2:$E$156,3,FALSE)</f>
        <v>0</v>
      </c>
      <c r="N284">
        <f>VLOOKUP(Query1[[#This Row],[Description]],'kits to boards'!$B$2:$E$156,4,FALSE)</f>
        <v>0</v>
      </c>
      <c r="O284" t="str">
        <f>CONCATENATE(Query1[[#This Row],[Description]]," - ",Query1[[#This Row],[MB1]]," - ",Query1[[#This Row],[MB2]]," - ",Query1[[#This Row],[MB3]])</f>
        <v>GEN IV MAGNUM EVAP KIT - 830083 - 0 - 0</v>
      </c>
    </row>
    <row r="285" spans="1:15" x14ac:dyDescent="0.25">
      <c r="A285" s="1">
        <v>909816</v>
      </c>
      <c r="B285" s="1" t="s">
        <v>24</v>
      </c>
      <c r="C285" s="1" t="s">
        <v>25</v>
      </c>
      <c r="D285" s="2">
        <v>44600.679853819442</v>
      </c>
      <c r="E285" s="1" t="s">
        <v>11</v>
      </c>
      <c r="F285" s="1">
        <v>25</v>
      </c>
      <c r="G285" s="1">
        <v>0</v>
      </c>
      <c r="H285" s="6">
        <f>INT(Query1[[#This Row],[EntryDateTime]])</f>
        <v>44600</v>
      </c>
      <c r="I285" s="1">
        <f>IF(Query1[[#This Row],[ItemType]]="EVAP KIT SF GEN IV",Query1[[#This Row],[OrderQty]]+I284,I284)</f>
        <v>276</v>
      </c>
      <c r="J285" s="1">
        <f>IF(Query1[[#This Row],[ItemType]]="EVAP KIT UNIVERSAL",Query1[[#This Row],[OrderQty]]+J284,J284)</f>
        <v>322</v>
      </c>
      <c r="K285" s="1">
        <f>Query1[[#This Row],[SF Running Total]]+Query1[[#This Row],[UNIV Running Total]]</f>
        <v>598</v>
      </c>
      <c r="L285">
        <f>VLOOKUP(Query1[[#This Row],[Description]],'kits to boards'!$B$2:$E$156,2,FALSE)</f>
        <v>830029</v>
      </c>
      <c r="M285">
        <f>VLOOKUP(Query1[[#This Row],[Description]],'kits to boards'!$B$2:$E$156,3,FALSE)</f>
        <v>830030</v>
      </c>
      <c r="N285">
        <f>VLOOKUP(Query1[[#This Row],[Description]],'kits to boards'!$B$2:$E$156,4,FALSE)</f>
        <v>0</v>
      </c>
      <c r="O285" t="str">
        <f>CONCATENATE(Query1[[#This Row],[Description]]," - ",Query1[[#This Row],[MB1]]," - ",Query1[[#This Row],[MB2]]," - ",Query1[[#This Row],[MB3]])</f>
        <v>ComPac GEN II W/DEF - 830029 - 830030 - 0</v>
      </c>
    </row>
    <row r="286" spans="1:15" x14ac:dyDescent="0.25">
      <c r="A286" s="1">
        <v>909816</v>
      </c>
      <c r="B286" s="1" t="s">
        <v>84</v>
      </c>
      <c r="C286" s="1" t="s">
        <v>85</v>
      </c>
      <c r="D286" s="2">
        <v>44600.679858564814</v>
      </c>
      <c r="E286" s="1" t="s">
        <v>8</v>
      </c>
      <c r="F286" s="1">
        <v>4</v>
      </c>
      <c r="G286" s="1">
        <v>0</v>
      </c>
      <c r="H286" s="6">
        <f>INT(Query1[[#This Row],[EntryDateTime]])</f>
        <v>44600</v>
      </c>
      <c r="I286" s="1">
        <f>IF(Query1[[#This Row],[ItemType]]="EVAP KIT SF GEN IV",Query1[[#This Row],[OrderQty]]+I285,I285)</f>
        <v>280</v>
      </c>
      <c r="J286" s="1">
        <f>IF(Query1[[#This Row],[ItemType]]="EVAP KIT UNIVERSAL",Query1[[#This Row],[OrderQty]]+J285,J285)</f>
        <v>322</v>
      </c>
      <c r="K286" s="1">
        <f>Query1[[#This Row],[SF Running Total]]+Query1[[#This Row],[UNIV Running Total]]</f>
        <v>602</v>
      </c>
      <c r="L286">
        <f>VLOOKUP(Query1[[#This Row],[Description]],'kits to boards'!$B$2:$E$156,2,FALSE)</f>
        <v>830085</v>
      </c>
      <c r="M286">
        <f>VLOOKUP(Query1[[#This Row],[Description]],'kits to boards'!$B$2:$E$156,3,FALSE)</f>
        <v>0</v>
      </c>
      <c r="N286">
        <f>VLOOKUP(Query1[[#This Row],[Description]],'kits to boards'!$B$2:$E$156,4,FALSE)</f>
        <v>0</v>
      </c>
      <c r="O286" t="str">
        <f>CONCATENATE(Query1[[#This Row],[Description]]," - ",Query1[[#This Row],[MB1]]," - ",Query1[[#This Row],[MB2]]," - ",Query1[[#This Row],[MB3]])</f>
        <v>EVAP KIT 66-77 BRONCO 4-VENT PLENUM - 830085 - 0 - 0</v>
      </c>
    </row>
    <row r="287" spans="1:15" x14ac:dyDescent="0.25">
      <c r="A287" s="1">
        <v>909816</v>
      </c>
      <c r="B287" s="1" t="s">
        <v>124</v>
      </c>
      <c r="C287" s="1" t="s">
        <v>125</v>
      </c>
      <c r="D287" s="2">
        <v>44600.679860995369</v>
      </c>
      <c r="E287" s="1" t="s">
        <v>8</v>
      </c>
      <c r="F287" s="1">
        <v>6</v>
      </c>
      <c r="G287" s="1">
        <v>0</v>
      </c>
      <c r="H287" s="6">
        <f>INT(Query1[[#This Row],[EntryDateTime]])</f>
        <v>44600</v>
      </c>
      <c r="I287" s="1">
        <f>IF(Query1[[#This Row],[ItemType]]="EVAP KIT SF GEN IV",Query1[[#This Row],[OrderQty]]+I286,I286)</f>
        <v>286</v>
      </c>
      <c r="J287" s="1">
        <f>IF(Query1[[#This Row],[ItemType]]="EVAP KIT UNIVERSAL",Query1[[#This Row],[OrderQty]]+J286,J286)</f>
        <v>322</v>
      </c>
      <c r="K287" s="1">
        <f>Query1[[#This Row],[SF Running Total]]+Query1[[#This Row],[UNIV Running Total]]</f>
        <v>608</v>
      </c>
      <c r="L287">
        <f>VLOOKUP(Query1[[#This Row],[Description]],'kits to boards'!$B$2:$E$156,2,FALSE)</f>
        <v>830002</v>
      </c>
      <c r="M287">
        <f>VLOOKUP(Query1[[#This Row],[Description]],'kits to boards'!$B$2:$E$156,3,FALSE)</f>
        <v>0</v>
      </c>
      <c r="N287">
        <f>VLOOKUP(Query1[[#This Row],[Description]],'kits to boards'!$B$2:$E$156,4,FALSE)</f>
        <v>0</v>
      </c>
      <c r="O287" t="str">
        <f>CONCATENATE(Query1[[#This Row],[Description]]," - ",Query1[[#This Row],[MB1]]," - ",Query1[[#This Row],[MB2]]," - ",Query1[[#This Row],[MB3]])</f>
        <v>EVAP KIT 73-80 CHEV P-UP WO AC - 830002 - 0 - 0</v>
      </c>
    </row>
    <row r="288" spans="1:15" x14ac:dyDescent="0.25">
      <c r="A288" s="1">
        <v>909815</v>
      </c>
      <c r="B288" s="1" t="s">
        <v>228</v>
      </c>
      <c r="C288" s="1" t="s">
        <v>229</v>
      </c>
      <c r="D288" s="2">
        <v>44600.680097997683</v>
      </c>
      <c r="E288" s="1" t="s">
        <v>8</v>
      </c>
      <c r="F288" s="1">
        <v>1</v>
      </c>
      <c r="G288" s="1">
        <v>0</v>
      </c>
      <c r="H288" s="6">
        <f>INT(Query1[[#This Row],[EntryDateTime]])</f>
        <v>44600</v>
      </c>
      <c r="I288" s="1">
        <f>IF(Query1[[#This Row],[ItemType]]="EVAP KIT SF GEN IV",Query1[[#This Row],[OrderQty]]+I287,I287)</f>
        <v>287</v>
      </c>
      <c r="J288" s="1">
        <f>IF(Query1[[#This Row],[ItemType]]="EVAP KIT UNIVERSAL",Query1[[#This Row],[OrderQty]]+J287,J287)</f>
        <v>322</v>
      </c>
      <c r="K288" s="1">
        <f>Query1[[#This Row],[SF Running Total]]+Query1[[#This Row],[UNIV Running Total]]</f>
        <v>609</v>
      </c>
      <c r="L288">
        <f>VLOOKUP(Query1[[#This Row],[Description]],'kits to boards'!$B$2:$E$156,2,FALSE)</f>
        <v>830044</v>
      </c>
      <c r="M288">
        <f>VLOOKUP(Query1[[#This Row],[Description]],'kits to boards'!$B$2:$E$156,3,FALSE)</f>
        <v>0</v>
      </c>
      <c r="N288">
        <f>VLOOKUP(Query1[[#This Row],[Description]],'kits to boards'!$B$2:$E$156,4,FALSE)</f>
        <v>0</v>
      </c>
      <c r="O288" t="str">
        <f>CONCATENATE(Query1[[#This Row],[Description]]," - ",Query1[[#This Row],[MB1]]," - ",Query1[[#This Row],[MB2]]," - ",Query1[[#This Row],[MB3]])</f>
        <v>EVAP KIT 64-65 FALCON/RANCHERO - 830044 - 0 - 0</v>
      </c>
    </row>
    <row r="289" spans="1:15" x14ac:dyDescent="0.25">
      <c r="A289" s="1">
        <v>909814</v>
      </c>
      <c r="B289" s="1" t="s">
        <v>214</v>
      </c>
      <c r="C289" s="1" t="s">
        <v>215</v>
      </c>
      <c r="D289" s="2">
        <v>44600.680128506945</v>
      </c>
      <c r="E289" s="1" t="s">
        <v>8</v>
      </c>
      <c r="F289" s="1">
        <v>1</v>
      </c>
      <c r="G289" s="1">
        <v>0</v>
      </c>
      <c r="H289" s="6">
        <f>INT(Query1[[#This Row],[EntryDateTime]])</f>
        <v>44600</v>
      </c>
      <c r="I289" s="1">
        <f>IF(Query1[[#This Row],[ItemType]]="EVAP KIT SF GEN IV",Query1[[#This Row],[OrderQty]]+I288,I288)</f>
        <v>288</v>
      </c>
      <c r="J289" s="1">
        <f>IF(Query1[[#This Row],[ItemType]]="EVAP KIT UNIVERSAL",Query1[[#This Row],[OrderQty]]+J288,J288)</f>
        <v>322</v>
      </c>
      <c r="K289" s="1">
        <f>Query1[[#This Row],[SF Running Total]]+Query1[[#This Row],[UNIV Running Total]]</f>
        <v>610</v>
      </c>
      <c r="L289">
        <f>VLOOKUP(Query1[[#This Row],[Description]],'kits to boards'!$B$2:$E$156,2,FALSE)</f>
        <v>830072</v>
      </c>
      <c r="M289">
        <f>VLOOKUP(Query1[[#This Row],[Description]],'kits to boards'!$B$2:$E$156,3,FALSE)</f>
        <v>0</v>
      </c>
      <c r="N289">
        <f>VLOOKUP(Query1[[#This Row],[Description]],'kits to boards'!$B$2:$E$156,4,FALSE)</f>
        <v>0</v>
      </c>
      <c r="O289" t="str">
        <f>CONCATENATE(Query1[[#This Row],[Description]]," - ",Query1[[#This Row],[MB1]]," - ",Query1[[#This Row],[MB2]]," - ",Query1[[#This Row],[MB3]])</f>
        <v>EVAP KIT 68 MOPAR B BODY WO AC - 830072 - 0 - 0</v>
      </c>
    </row>
    <row r="290" spans="1:15" x14ac:dyDescent="0.25">
      <c r="A290" s="1">
        <v>909818</v>
      </c>
      <c r="B290" s="1" t="s">
        <v>46</v>
      </c>
      <c r="C290" s="1" t="s">
        <v>47</v>
      </c>
      <c r="D290" s="2">
        <v>44600.68269267361</v>
      </c>
      <c r="E290" s="1" t="s">
        <v>8</v>
      </c>
      <c r="F290" s="1">
        <v>1</v>
      </c>
      <c r="G290" s="1">
        <v>0</v>
      </c>
      <c r="H290" s="6">
        <f>INT(Query1[[#This Row],[EntryDateTime]])</f>
        <v>44600</v>
      </c>
      <c r="I290" s="1">
        <f>IF(Query1[[#This Row],[ItemType]]="EVAP KIT SF GEN IV",Query1[[#This Row],[OrderQty]]+I289,I289)</f>
        <v>289</v>
      </c>
      <c r="J290" s="1">
        <f>IF(Query1[[#This Row],[ItemType]]="EVAP KIT UNIVERSAL",Query1[[#This Row],[OrderQty]]+J289,J289)</f>
        <v>322</v>
      </c>
      <c r="K290" s="1">
        <f>Query1[[#This Row],[SF Running Total]]+Query1[[#This Row],[UNIV Running Total]]</f>
        <v>611</v>
      </c>
      <c r="L290">
        <f>VLOOKUP(Query1[[#This Row],[Description]],'kits to boards'!$B$2:$E$156,2,FALSE)</f>
        <v>830018</v>
      </c>
      <c r="M290">
        <f>VLOOKUP(Query1[[#This Row],[Description]],'kits to boards'!$B$2:$E$156,3,FALSE)</f>
        <v>0</v>
      </c>
      <c r="N290">
        <f>VLOOKUP(Query1[[#This Row],[Description]],'kits to boards'!$B$2:$E$156,4,FALSE)</f>
        <v>0</v>
      </c>
      <c r="O290" t="str">
        <f>CONCATENATE(Query1[[#This Row],[Description]]," - ",Query1[[#This Row],[MB1]]," - ",Query1[[#This Row],[MB2]]," - ",Query1[[#This Row],[MB3]])</f>
        <v>EVAP KIT 68-72 FORD P-UP F-100 - 830018 - 0 - 0</v>
      </c>
    </row>
    <row r="291" spans="1:15" x14ac:dyDescent="0.25">
      <c r="A291" s="1">
        <v>909746</v>
      </c>
      <c r="B291" s="1" t="s">
        <v>92</v>
      </c>
      <c r="C291" s="1" t="s">
        <v>93</v>
      </c>
      <c r="D291" s="2">
        <v>44600.683349421299</v>
      </c>
      <c r="E291" s="1" t="s">
        <v>8</v>
      </c>
      <c r="F291" s="1">
        <v>1</v>
      </c>
      <c r="G291" s="1">
        <v>0</v>
      </c>
      <c r="H291" s="6">
        <f>INT(Query1[[#This Row],[EntryDateTime]])</f>
        <v>44600</v>
      </c>
      <c r="I291" s="1">
        <f>IF(Query1[[#This Row],[ItemType]]="EVAP KIT SF GEN IV",Query1[[#This Row],[OrderQty]]+I290,I290)</f>
        <v>290</v>
      </c>
      <c r="J291" s="1">
        <f>IF(Query1[[#This Row],[ItemType]]="EVAP KIT UNIVERSAL",Query1[[#This Row],[OrderQty]]+J290,J290)</f>
        <v>322</v>
      </c>
      <c r="K291" s="1">
        <f>Query1[[#This Row],[SF Running Total]]+Query1[[#This Row],[UNIV Running Total]]</f>
        <v>612</v>
      </c>
      <c r="L291">
        <f>VLOOKUP(Query1[[#This Row],[Description]],'kits to boards'!$B$2:$E$156,2,FALSE)</f>
        <v>830063</v>
      </c>
      <c r="M291">
        <f>VLOOKUP(Query1[[#This Row],[Description]],'kits to boards'!$B$2:$E$156,3,FALSE)</f>
        <v>0</v>
      </c>
      <c r="N291">
        <f>VLOOKUP(Query1[[#This Row],[Description]],'kits to boards'!$B$2:$E$156,4,FALSE)</f>
        <v>0</v>
      </c>
      <c r="O291" t="str">
        <f>CONCATENATE(Query1[[#This Row],[Description]]," - ",Query1[[#This Row],[MB1]]," - ",Query1[[#This Row],[MB2]]," - ",Query1[[#This Row],[MB3]])</f>
        <v>EVAP KIT 50-53 CHEV P-UP GEN IV - 830063 - 0 - 0</v>
      </c>
    </row>
    <row r="292" spans="1:15" x14ac:dyDescent="0.25">
      <c r="A292" s="1">
        <v>909819</v>
      </c>
      <c r="B292" s="1" t="s">
        <v>70</v>
      </c>
      <c r="C292" s="1" t="s">
        <v>71</v>
      </c>
      <c r="D292" s="2">
        <v>44600.683589895831</v>
      </c>
      <c r="E292" s="1" t="s">
        <v>8</v>
      </c>
      <c r="F292" s="1">
        <v>5</v>
      </c>
      <c r="G292" s="1">
        <v>0</v>
      </c>
      <c r="H292" s="6">
        <f>INT(Query1[[#This Row],[EntryDateTime]])</f>
        <v>44600</v>
      </c>
      <c r="I292" s="1">
        <f>IF(Query1[[#This Row],[ItemType]]="EVAP KIT SF GEN IV",Query1[[#This Row],[OrderQty]]+I291,I291)</f>
        <v>295</v>
      </c>
      <c r="J292" s="1">
        <f>IF(Query1[[#This Row],[ItemType]]="EVAP KIT UNIVERSAL",Query1[[#This Row],[OrderQty]]+J291,J291)</f>
        <v>322</v>
      </c>
      <c r="K292" s="1">
        <f>Query1[[#This Row],[SF Running Total]]+Query1[[#This Row],[UNIV Running Total]]</f>
        <v>617</v>
      </c>
      <c r="L292">
        <f>VLOOKUP(Query1[[#This Row],[Description]],'kits to boards'!$B$2:$E$156,2,FALSE)</f>
        <v>830050</v>
      </c>
      <c r="M292">
        <f>VLOOKUP(Query1[[#This Row],[Description]],'kits to boards'!$B$2:$E$156,3,FALSE)</f>
        <v>0</v>
      </c>
      <c r="N292">
        <f>VLOOKUP(Query1[[#This Row],[Description]],'kits to boards'!$B$2:$E$156,4,FALSE)</f>
        <v>0</v>
      </c>
      <c r="O292" t="str">
        <f>CONCATENATE(Query1[[#This Row],[Description]]," - ",Query1[[#This Row],[MB1]]," - ",Query1[[#This Row],[MB2]]," - ",Query1[[#This Row],[MB3]])</f>
        <v>EVAP KIT 70-78 CAMARO WO AC - 830050 - 0 - 0</v>
      </c>
    </row>
    <row r="293" spans="1:15" x14ac:dyDescent="0.25">
      <c r="A293" s="1">
        <v>909820</v>
      </c>
      <c r="B293" s="1" t="s">
        <v>240</v>
      </c>
      <c r="C293" s="1" t="s">
        <v>241</v>
      </c>
      <c r="D293" s="2">
        <v>44600.684084375003</v>
      </c>
      <c r="E293" s="1" t="s">
        <v>8</v>
      </c>
      <c r="F293" s="1">
        <v>1</v>
      </c>
      <c r="G293" s="1">
        <v>0</v>
      </c>
      <c r="H293" s="6">
        <f>INT(Query1[[#This Row],[EntryDateTime]])</f>
        <v>44600</v>
      </c>
      <c r="I293" s="1">
        <f>IF(Query1[[#This Row],[ItemType]]="EVAP KIT SF GEN IV",Query1[[#This Row],[OrderQty]]+I292,I292)</f>
        <v>296</v>
      </c>
      <c r="J293" s="1">
        <f>IF(Query1[[#This Row],[ItemType]]="EVAP KIT UNIVERSAL",Query1[[#This Row],[OrderQty]]+J292,J292)</f>
        <v>322</v>
      </c>
      <c r="K293" s="1">
        <f>Query1[[#This Row],[SF Running Total]]+Query1[[#This Row],[UNIV Running Total]]</f>
        <v>618</v>
      </c>
      <c r="L293">
        <f>VLOOKUP(Query1[[#This Row],[Description]],'kits to boards'!$B$2:$E$156,2,FALSE)</f>
        <v>830032</v>
      </c>
      <c r="M293">
        <f>VLOOKUP(Query1[[#This Row],[Description]],'kits to boards'!$B$2:$E$156,3,FALSE)</f>
        <v>0</v>
      </c>
      <c r="N293">
        <f>VLOOKUP(Query1[[#This Row],[Description]],'kits to boards'!$B$2:$E$156,4,FALSE)</f>
        <v>0</v>
      </c>
      <c r="O293" t="str">
        <f>CONCATENATE(Query1[[#This Row],[Description]]," - ",Query1[[#This Row],[MB1]]," - ",Query1[[#This Row],[MB2]]," - ",Query1[[#This Row],[MB3]])</f>
        <v>EVAP KIT 58-60 VETTE - 830032 - 0 - 0</v>
      </c>
    </row>
    <row r="294" spans="1:15" x14ac:dyDescent="0.25">
      <c r="A294" s="1">
        <v>909808</v>
      </c>
      <c r="B294" s="1" t="s">
        <v>42</v>
      </c>
      <c r="C294" s="1" t="s">
        <v>43</v>
      </c>
      <c r="D294" s="2">
        <v>44600.685695601853</v>
      </c>
      <c r="E294" s="1" t="s">
        <v>8</v>
      </c>
      <c r="F294" s="1">
        <v>1</v>
      </c>
      <c r="G294" s="1">
        <v>0</v>
      </c>
      <c r="H294" s="6">
        <f>INT(Query1[[#This Row],[EntryDateTime]])</f>
        <v>44600</v>
      </c>
      <c r="I294" s="1">
        <f>IF(Query1[[#This Row],[ItemType]]="EVAP KIT SF GEN IV",Query1[[#This Row],[OrderQty]]+I293,I293)</f>
        <v>297</v>
      </c>
      <c r="J294" s="1">
        <f>IF(Query1[[#This Row],[ItemType]]="EVAP KIT UNIVERSAL",Query1[[#This Row],[OrderQty]]+J293,J293)</f>
        <v>322</v>
      </c>
      <c r="K294" s="1">
        <f>Query1[[#This Row],[SF Running Total]]+Query1[[#This Row],[UNIV Running Total]]</f>
        <v>619</v>
      </c>
      <c r="L294">
        <f>VLOOKUP(Query1[[#This Row],[Description]],'kits to boards'!$B$2:$E$156,2,FALSE)</f>
        <v>830014</v>
      </c>
      <c r="M294">
        <f>VLOOKUP(Query1[[#This Row],[Description]],'kits to boards'!$B$2:$E$156,3,FALSE)</f>
        <v>0</v>
      </c>
      <c r="N294">
        <f>VLOOKUP(Query1[[#This Row],[Description]],'kits to boards'!$B$2:$E$156,4,FALSE)</f>
        <v>0</v>
      </c>
      <c r="O294" t="str">
        <f>CONCATENATE(Query1[[#This Row],[Description]]," - ",Query1[[#This Row],[MB1]]," - ",Query1[[#This Row],[MB2]]," - ",Query1[[#This Row],[MB3]])</f>
        <v>EVAP KIT 67-72 CHEV P-UP WO AC - 830014 - 0 - 0</v>
      </c>
    </row>
    <row r="295" spans="1:15" x14ac:dyDescent="0.25">
      <c r="A295" s="1">
        <v>909823</v>
      </c>
      <c r="B295" s="1" t="s">
        <v>68</v>
      </c>
      <c r="C295" s="1" t="s">
        <v>69</v>
      </c>
      <c r="D295" s="2">
        <v>44600.685806365742</v>
      </c>
      <c r="E295" s="1" t="s">
        <v>8</v>
      </c>
      <c r="F295" s="1">
        <v>4</v>
      </c>
      <c r="G295" s="1">
        <v>0</v>
      </c>
      <c r="H295" s="6">
        <f>INT(Query1[[#This Row],[EntryDateTime]])</f>
        <v>44600</v>
      </c>
      <c r="I295" s="1">
        <f>IF(Query1[[#This Row],[ItemType]]="EVAP KIT SF GEN IV",Query1[[#This Row],[OrderQty]]+I294,I294)</f>
        <v>301</v>
      </c>
      <c r="J295" s="1">
        <f>IF(Query1[[#This Row],[ItemType]]="EVAP KIT UNIVERSAL",Query1[[#This Row],[OrderQty]]+J294,J294)</f>
        <v>322</v>
      </c>
      <c r="K295" s="1">
        <f>Query1[[#This Row],[SF Running Total]]+Query1[[#This Row],[UNIV Running Total]]</f>
        <v>623</v>
      </c>
      <c r="L295">
        <f>VLOOKUP(Query1[[#This Row],[Description]],'kits to boards'!$B$2:$E$156,2,FALSE)</f>
        <v>830010</v>
      </c>
      <c r="M295">
        <f>VLOOKUP(Query1[[#This Row],[Description]],'kits to boards'!$B$2:$E$156,3,FALSE)</f>
        <v>0</v>
      </c>
      <c r="N295">
        <f>VLOOKUP(Query1[[#This Row],[Description]],'kits to boards'!$B$2:$E$156,4,FALSE)</f>
        <v>0</v>
      </c>
      <c r="O295" t="str">
        <f>CONCATENATE(Query1[[#This Row],[Description]]," - ",Query1[[#This Row],[MB1]]," - ",Query1[[#This Row],[MB2]]," - ",Query1[[#This Row],[MB3]])</f>
        <v>EVAP KIT 70-72 CHEVELLE WO AC - 830010 - 0 - 0</v>
      </c>
    </row>
    <row r="296" spans="1:15" x14ac:dyDescent="0.25">
      <c r="A296" s="1">
        <v>909823</v>
      </c>
      <c r="B296" s="1" t="s">
        <v>40</v>
      </c>
      <c r="C296" s="1" t="s">
        <v>41</v>
      </c>
      <c r="D296" s="2">
        <v>44600.685808483795</v>
      </c>
      <c r="E296" s="1" t="s">
        <v>8</v>
      </c>
      <c r="F296" s="1">
        <v>2</v>
      </c>
      <c r="G296" s="1">
        <v>0</v>
      </c>
      <c r="H296" s="6">
        <f>INT(Query1[[#This Row],[EntryDateTime]])</f>
        <v>44600</v>
      </c>
      <c r="I296" s="1">
        <f>IF(Query1[[#This Row],[ItemType]]="EVAP KIT SF GEN IV",Query1[[#This Row],[OrderQty]]+I295,I295)</f>
        <v>303</v>
      </c>
      <c r="J296" s="1">
        <f>IF(Query1[[#This Row],[ItemType]]="EVAP KIT UNIVERSAL",Query1[[#This Row],[OrderQty]]+J295,J295)</f>
        <v>322</v>
      </c>
      <c r="K296" s="1">
        <f>Query1[[#This Row],[SF Running Total]]+Query1[[#This Row],[UNIV Running Total]]</f>
        <v>625</v>
      </c>
      <c r="L296">
        <f>VLOOKUP(Query1[[#This Row],[Description]],'kits to boards'!$B$2:$E$156,2,FALSE)</f>
        <v>830024</v>
      </c>
      <c r="M296">
        <f>VLOOKUP(Query1[[#This Row],[Description]],'kits to boards'!$B$2:$E$156,3,FALSE)</f>
        <v>0</v>
      </c>
      <c r="N296">
        <f>VLOOKUP(Query1[[#This Row],[Description]],'kits to boards'!$B$2:$E$156,4,FALSE)</f>
        <v>0</v>
      </c>
      <c r="O296" t="str">
        <f>CONCATENATE(Query1[[#This Row],[Description]]," - ",Query1[[#This Row],[MB1]]," - ",Query1[[#This Row],[MB2]]," - ",Query1[[#This Row],[MB3]])</f>
        <v>EVAP KIT 79-81 CAMARO W/AC - 830024 - 0 - 0</v>
      </c>
    </row>
    <row r="297" spans="1:15" x14ac:dyDescent="0.25">
      <c r="A297" s="1">
        <v>909823</v>
      </c>
      <c r="B297" s="1" t="s">
        <v>104</v>
      </c>
      <c r="C297" s="1" t="s">
        <v>105</v>
      </c>
      <c r="D297" s="2">
        <v>44600.685810844909</v>
      </c>
      <c r="E297" s="1" t="s">
        <v>11</v>
      </c>
      <c r="F297" s="1">
        <v>5</v>
      </c>
      <c r="G297" s="1">
        <v>0</v>
      </c>
      <c r="H297" s="6">
        <f>INT(Query1[[#This Row],[EntryDateTime]])</f>
        <v>44600</v>
      </c>
      <c r="I297" s="1">
        <f>IF(Query1[[#This Row],[ItemType]]="EVAP KIT SF GEN IV",Query1[[#This Row],[OrderQty]]+I296,I296)</f>
        <v>303</v>
      </c>
      <c r="J297" s="1">
        <f>IF(Query1[[#This Row],[ItemType]]="EVAP KIT UNIVERSAL",Query1[[#This Row],[OrderQty]]+J296,J296)</f>
        <v>327</v>
      </c>
      <c r="K297" s="1">
        <f>Query1[[#This Row],[SF Running Total]]+Query1[[#This Row],[UNIV Running Total]]</f>
        <v>630</v>
      </c>
      <c r="L297">
        <f>VLOOKUP(Query1[[#This Row],[Description]],'kits to boards'!$B$2:$E$156,2,FALSE)</f>
        <v>0</v>
      </c>
      <c r="M297">
        <f>VLOOKUP(Query1[[#This Row],[Description]],'kits to boards'!$B$2:$E$156,3,FALSE)</f>
        <v>0</v>
      </c>
      <c r="N297">
        <f>VLOOKUP(Query1[[#This Row],[Description]],'kits to boards'!$B$2:$E$156,4,FALSE)</f>
        <v>0</v>
      </c>
      <c r="O297" t="str">
        <f>CONCATENATE(Query1[[#This Row],[Description]]," - ",Query1[[#This Row],[MB1]]," - ",Query1[[#This Row],[MB2]]," - ",Query1[[#This Row],[MB3]])</f>
        <v>HERITAGE BRUSHED EVAP KIT HEAT/COOL - 0 - 0 - 0</v>
      </c>
    </row>
    <row r="298" spans="1:15" x14ac:dyDescent="0.25">
      <c r="A298" s="1">
        <v>909823</v>
      </c>
      <c r="B298" s="1" t="s">
        <v>88</v>
      </c>
      <c r="C298" s="1" t="s">
        <v>89</v>
      </c>
      <c r="D298" s="2">
        <v>44600.685812731484</v>
      </c>
      <c r="E298" s="1" t="s">
        <v>8</v>
      </c>
      <c r="F298" s="1">
        <v>2</v>
      </c>
      <c r="G298" s="1">
        <v>0</v>
      </c>
      <c r="H298" s="6">
        <f>INT(Query1[[#This Row],[EntryDateTime]])</f>
        <v>44600</v>
      </c>
      <c r="I298" s="1">
        <f>IF(Query1[[#This Row],[ItemType]]="EVAP KIT SF GEN IV",Query1[[#This Row],[OrderQty]]+I297,I297)</f>
        <v>305</v>
      </c>
      <c r="J298" s="1">
        <f>IF(Query1[[#This Row],[ItemType]]="EVAP KIT UNIVERSAL",Query1[[#This Row],[OrderQty]]+J297,J297)</f>
        <v>327</v>
      </c>
      <c r="K298" s="1">
        <f>Query1[[#This Row],[SF Running Total]]+Query1[[#This Row],[UNIV Running Total]]</f>
        <v>632</v>
      </c>
      <c r="L298">
        <f>VLOOKUP(Query1[[#This Row],[Description]],'kits to boards'!$B$2:$E$156,2,FALSE)</f>
        <v>830003</v>
      </c>
      <c r="M298">
        <f>VLOOKUP(Query1[[#This Row],[Description]],'kits to boards'!$B$2:$E$156,3,FALSE)</f>
        <v>0</v>
      </c>
      <c r="N298">
        <f>VLOOKUP(Query1[[#This Row],[Description]],'kits to boards'!$B$2:$E$156,4,FALSE)</f>
        <v>0</v>
      </c>
      <c r="O298" t="str">
        <f>CONCATENATE(Query1[[#This Row],[Description]]," - ",Query1[[#This Row],[MB1]]," - ",Query1[[#This Row],[MB2]]," - ",Query1[[#This Row],[MB3]])</f>
        <v>EVAP KIT 81-87 CHEV P-UP WO AC - 830003 - 0 - 0</v>
      </c>
    </row>
    <row r="299" spans="1:15" x14ac:dyDescent="0.25">
      <c r="A299" s="1">
        <v>909822</v>
      </c>
      <c r="B299" s="1" t="s">
        <v>68</v>
      </c>
      <c r="C299" s="1" t="s">
        <v>69</v>
      </c>
      <c r="D299" s="2">
        <v>44600.686081446758</v>
      </c>
      <c r="E299" s="1" t="s">
        <v>8</v>
      </c>
      <c r="F299" s="1">
        <v>1</v>
      </c>
      <c r="G299" s="1">
        <v>0</v>
      </c>
      <c r="H299" s="6">
        <f>INT(Query1[[#This Row],[EntryDateTime]])</f>
        <v>44600</v>
      </c>
      <c r="I299" s="1">
        <f>IF(Query1[[#This Row],[ItemType]]="EVAP KIT SF GEN IV",Query1[[#This Row],[OrderQty]]+I298,I298)</f>
        <v>306</v>
      </c>
      <c r="J299" s="1">
        <f>IF(Query1[[#This Row],[ItemType]]="EVAP KIT UNIVERSAL",Query1[[#This Row],[OrderQty]]+J298,J298)</f>
        <v>327</v>
      </c>
      <c r="K299" s="1">
        <f>Query1[[#This Row],[SF Running Total]]+Query1[[#This Row],[UNIV Running Total]]</f>
        <v>633</v>
      </c>
      <c r="L299">
        <f>VLOOKUP(Query1[[#This Row],[Description]],'kits to boards'!$B$2:$E$156,2,FALSE)</f>
        <v>830010</v>
      </c>
      <c r="M299">
        <f>VLOOKUP(Query1[[#This Row],[Description]],'kits to boards'!$B$2:$E$156,3,FALSE)</f>
        <v>0</v>
      </c>
      <c r="N299">
        <f>VLOOKUP(Query1[[#This Row],[Description]],'kits to boards'!$B$2:$E$156,4,FALSE)</f>
        <v>0</v>
      </c>
      <c r="O299" t="str">
        <f>CONCATENATE(Query1[[#This Row],[Description]]," - ",Query1[[#This Row],[MB1]]," - ",Query1[[#This Row],[MB2]]," - ",Query1[[#This Row],[MB3]])</f>
        <v>EVAP KIT 70-72 CHEVELLE WO AC - 830010 - 0 - 0</v>
      </c>
    </row>
    <row r="300" spans="1:15" x14ac:dyDescent="0.25">
      <c r="A300" s="1">
        <v>909824</v>
      </c>
      <c r="B300" s="1" t="s">
        <v>14</v>
      </c>
      <c r="C300" s="1" t="s">
        <v>15</v>
      </c>
      <c r="D300" s="2">
        <v>44600.686966203706</v>
      </c>
      <c r="E300" s="1" t="s">
        <v>8</v>
      </c>
      <c r="F300" s="1">
        <v>1</v>
      </c>
      <c r="G300" s="1">
        <v>0</v>
      </c>
      <c r="H300" s="6">
        <f>INT(Query1[[#This Row],[EntryDateTime]])</f>
        <v>44600</v>
      </c>
      <c r="I300" s="1">
        <f>IF(Query1[[#This Row],[ItemType]]="EVAP KIT SF GEN IV",Query1[[#This Row],[OrderQty]]+I299,I299)</f>
        <v>307</v>
      </c>
      <c r="J300" s="1">
        <f>IF(Query1[[#This Row],[ItemType]]="EVAP KIT UNIVERSAL",Query1[[#This Row],[OrderQty]]+J299,J299)</f>
        <v>327</v>
      </c>
      <c r="K300" s="1">
        <f>Query1[[#This Row],[SF Running Total]]+Query1[[#This Row],[UNIV Running Total]]</f>
        <v>634</v>
      </c>
      <c r="L300">
        <f>VLOOKUP(Query1[[#This Row],[Description]],'kits to boards'!$B$2:$E$156,2,FALSE)</f>
        <v>830054</v>
      </c>
      <c r="M300">
        <f>VLOOKUP(Query1[[#This Row],[Description]],'kits to boards'!$B$2:$E$156,3,FALSE)</f>
        <v>0</v>
      </c>
      <c r="N300">
        <f>VLOOKUP(Query1[[#This Row],[Description]],'kits to boards'!$B$2:$E$156,4,FALSE)</f>
        <v>0</v>
      </c>
      <c r="O300" t="str">
        <f>CONCATENATE(Query1[[#This Row],[Description]]," - ",Query1[[#This Row],[MB1]]," - ",Query1[[#This Row],[MB2]]," - ",Query1[[#This Row],[MB3]])</f>
        <v>EVAP KIT 55-56 CHEVY - 830054 - 0 - 0</v>
      </c>
    </row>
    <row r="301" spans="1:15" x14ac:dyDescent="0.25">
      <c r="A301" s="1">
        <v>909605</v>
      </c>
      <c r="B301" s="1" t="s">
        <v>24</v>
      </c>
      <c r="C301" s="1" t="s">
        <v>25</v>
      </c>
      <c r="D301" s="2">
        <v>44600.687665937498</v>
      </c>
      <c r="E301" s="1" t="s">
        <v>11</v>
      </c>
      <c r="F301" s="1">
        <v>3</v>
      </c>
      <c r="G301" s="1">
        <v>0</v>
      </c>
      <c r="H301" s="6">
        <f>INT(Query1[[#This Row],[EntryDateTime]])</f>
        <v>44600</v>
      </c>
      <c r="I301" s="1">
        <f>IF(Query1[[#This Row],[ItemType]]="EVAP KIT SF GEN IV",Query1[[#This Row],[OrderQty]]+I300,I300)</f>
        <v>307</v>
      </c>
      <c r="J301" s="1">
        <f>IF(Query1[[#This Row],[ItemType]]="EVAP KIT UNIVERSAL",Query1[[#This Row],[OrderQty]]+J300,J300)</f>
        <v>330</v>
      </c>
      <c r="K301" s="1">
        <f>Query1[[#This Row],[SF Running Total]]+Query1[[#This Row],[UNIV Running Total]]</f>
        <v>637</v>
      </c>
      <c r="L301">
        <f>VLOOKUP(Query1[[#This Row],[Description]],'kits to boards'!$B$2:$E$156,2,FALSE)</f>
        <v>830029</v>
      </c>
      <c r="M301">
        <f>VLOOKUP(Query1[[#This Row],[Description]],'kits to boards'!$B$2:$E$156,3,FALSE)</f>
        <v>830030</v>
      </c>
      <c r="N301">
        <f>VLOOKUP(Query1[[#This Row],[Description]],'kits to boards'!$B$2:$E$156,4,FALSE)</f>
        <v>0</v>
      </c>
      <c r="O301" t="str">
        <f>CONCATENATE(Query1[[#This Row],[Description]]," - ",Query1[[#This Row],[MB1]]," - ",Query1[[#This Row],[MB2]]," - ",Query1[[#This Row],[MB3]])</f>
        <v>ComPac GEN II W/DEF - 830029 - 830030 - 0</v>
      </c>
    </row>
    <row r="302" spans="1:15" x14ac:dyDescent="0.25">
      <c r="A302" s="1">
        <v>909605</v>
      </c>
      <c r="B302" s="1" t="s">
        <v>220</v>
      </c>
      <c r="C302" s="1" t="s">
        <v>221</v>
      </c>
      <c r="D302" s="2">
        <v>44600.687665937498</v>
      </c>
      <c r="E302" s="1" t="s">
        <v>11</v>
      </c>
      <c r="F302" s="1">
        <v>1</v>
      </c>
      <c r="G302" s="1">
        <v>0</v>
      </c>
      <c r="H302" s="6">
        <f>INT(Query1[[#This Row],[EntryDateTime]])</f>
        <v>44600</v>
      </c>
      <c r="I302" s="1">
        <f>IF(Query1[[#This Row],[ItemType]]="EVAP KIT SF GEN IV",Query1[[#This Row],[OrderQty]]+I301,I301)</f>
        <v>307</v>
      </c>
      <c r="J302" s="1">
        <f>IF(Query1[[#This Row],[ItemType]]="EVAP KIT UNIVERSAL",Query1[[#This Row],[OrderQty]]+J301,J301)</f>
        <v>331</v>
      </c>
      <c r="K302" s="1">
        <f>Query1[[#This Row],[SF Running Total]]+Query1[[#This Row],[UNIV Running Total]]</f>
        <v>638</v>
      </c>
      <c r="L302">
        <f>VLOOKUP(Query1[[#This Row],[Description]],'kits to boards'!$B$2:$E$156,2,FALSE)</f>
        <v>0</v>
      </c>
      <c r="M302">
        <f>VLOOKUP(Query1[[#This Row],[Description]],'kits to boards'!$B$2:$E$156,3,FALSE)</f>
        <v>0</v>
      </c>
      <c r="N302">
        <f>VLOOKUP(Query1[[#This Row],[Description]],'kits to boards'!$B$2:$E$156,4,FALSE)</f>
        <v>0</v>
      </c>
      <c r="O302" t="str">
        <f>CONCATENATE(Query1[[#This Row],[Description]]," - ",Query1[[#This Row],[MB1]]," - ",Query1[[#This Row],[MB2]]," - ",Query1[[#This Row],[MB3]])</f>
        <v>HERITAGE PEARL EVAP KIT HEAT/COOL - 0 - 0 - 0</v>
      </c>
    </row>
    <row r="303" spans="1:15" x14ac:dyDescent="0.25">
      <c r="A303" s="1">
        <v>909605</v>
      </c>
      <c r="B303" s="1" t="s">
        <v>22</v>
      </c>
      <c r="C303" s="1" t="s">
        <v>23</v>
      </c>
      <c r="D303" s="2">
        <v>44600.687665937498</v>
      </c>
      <c r="E303" s="1" t="s">
        <v>8</v>
      </c>
      <c r="F303" s="1">
        <v>1</v>
      </c>
      <c r="G303" s="1">
        <v>0</v>
      </c>
      <c r="H303" s="6">
        <f>INT(Query1[[#This Row],[EntryDateTime]])</f>
        <v>44600</v>
      </c>
      <c r="I303" s="1">
        <f>IF(Query1[[#This Row],[ItemType]]="EVAP KIT SF GEN IV",Query1[[#This Row],[OrderQty]]+I302,I302)</f>
        <v>308</v>
      </c>
      <c r="J303" s="1">
        <f>IF(Query1[[#This Row],[ItemType]]="EVAP KIT UNIVERSAL",Query1[[#This Row],[OrderQty]]+J302,J302)</f>
        <v>331</v>
      </c>
      <c r="K303" s="1">
        <f>Query1[[#This Row],[SF Running Total]]+Query1[[#This Row],[UNIV Running Total]]</f>
        <v>639</v>
      </c>
      <c r="L303">
        <f>VLOOKUP(Query1[[#This Row],[Description]],'kits to boards'!$B$2:$E$156,2,FALSE)</f>
        <v>830083</v>
      </c>
      <c r="M303">
        <f>VLOOKUP(Query1[[#This Row],[Description]],'kits to boards'!$B$2:$E$156,3,FALSE)</f>
        <v>0</v>
      </c>
      <c r="N303">
        <f>VLOOKUP(Query1[[#This Row],[Description]],'kits to boards'!$B$2:$E$156,4,FALSE)</f>
        <v>0</v>
      </c>
      <c r="O303" t="str">
        <f>CONCATENATE(Query1[[#This Row],[Description]]," - ",Query1[[#This Row],[MB1]]," - ",Query1[[#This Row],[MB2]]," - ",Query1[[#This Row],[MB3]])</f>
        <v>GEN IV MAGNUM EVAP KIT - 830083 - 0 - 0</v>
      </c>
    </row>
    <row r="304" spans="1:15" x14ac:dyDescent="0.25">
      <c r="A304" s="1">
        <v>909605</v>
      </c>
      <c r="B304" s="1" t="s">
        <v>14</v>
      </c>
      <c r="C304" s="1" t="s">
        <v>15</v>
      </c>
      <c r="D304" s="2">
        <v>44600.687665937498</v>
      </c>
      <c r="E304" s="1" t="s">
        <v>8</v>
      </c>
      <c r="F304" s="1">
        <v>1</v>
      </c>
      <c r="G304" s="1">
        <v>0</v>
      </c>
      <c r="H304" s="6">
        <f>INT(Query1[[#This Row],[EntryDateTime]])</f>
        <v>44600</v>
      </c>
      <c r="I304" s="1">
        <f>IF(Query1[[#This Row],[ItemType]]="EVAP KIT SF GEN IV",Query1[[#This Row],[OrderQty]]+I303,I303)</f>
        <v>309</v>
      </c>
      <c r="J304" s="1">
        <f>IF(Query1[[#This Row],[ItemType]]="EVAP KIT UNIVERSAL",Query1[[#This Row],[OrderQty]]+J303,J303)</f>
        <v>331</v>
      </c>
      <c r="K304" s="1">
        <f>Query1[[#This Row],[SF Running Total]]+Query1[[#This Row],[UNIV Running Total]]</f>
        <v>640</v>
      </c>
      <c r="L304">
        <f>VLOOKUP(Query1[[#This Row],[Description]],'kits to boards'!$B$2:$E$156,2,FALSE)</f>
        <v>830054</v>
      </c>
      <c r="M304">
        <f>VLOOKUP(Query1[[#This Row],[Description]],'kits to boards'!$B$2:$E$156,3,FALSE)</f>
        <v>0</v>
      </c>
      <c r="N304">
        <f>VLOOKUP(Query1[[#This Row],[Description]],'kits to boards'!$B$2:$E$156,4,FALSE)</f>
        <v>0</v>
      </c>
      <c r="O304" t="str">
        <f>CONCATENATE(Query1[[#This Row],[Description]]," - ",Query1[[#This Row],[MB1]]," - ",Query1[[#This Row],[MB2]]," - ",Query1[[#This Row],[MB3]])</f>
        <v>EVAP KIT 55-56 CHEVY - 830054 - 0 - 0</v>
      </c>
    </row>
    <row r="305" spans="1:15" x14ac:dyDescent="0.25">
      <c r="A305" s="1">
        <v>909605</v>
      </c>
      <c r="B305" s="1" t="s">
        <v>138</v>
      </c>
      <c r="C305" s="1" t="s">
        <v>139</v>
      </c>
      <c r="D305" s="2">
        <v>44600.687665937498</v>
      </c>
      <c r="E305" s="1" t="s">
        <v>11</v>
      </c>
      <c r="F305" s="1">
        <v>1</v>
      </c>
      <c r="G305" s="1">
        <v>0</v>
      </c>
      <c r="H305" s="6">
        <f>INT(Query1[[#This Row],[EntryDateTime]])</f>
        <v>44600</v>
      </c>
      <c r="I305" s="1">
        <f>IF(Query1[[#This Row],[ItemType]]="EVAP KIT SF GEN IV",Query1[[#This Row],[OrderQty]]+I304,I304)</f>
        <v>309</v>
      </c>
      <c r="J305" s="1">
        <f>IF(Query1[[#This Row],[ItemType]]="EVAP KIT UNIVERSAL",Query1[[#This Row],[OrderQty]]+J304,J304)</f>
        <v>332</v>
      </c>
      <c r="K305" s="1">
        <f>Query1[[#This Row],[SF Running Total]]+Query1[[#This Row],[UNIV Running Total]]</f>
        <v>641</v>
      </c>
      <c r="L305">
        <f>VLOOKUP(Query1[[#This Row],[Description]],'kits to boards'!$B$2:$E$156,2,FALSE)</f>
        <v>0</v>
      </c>
      <c r="M305">
        <f>VLOOKUP(Query1[[#This Row],[Description]],'kits to boards'!$B$2:$E$156,3,FALSE)</f>
        <v>0</v>
      </c>
      <c r="N305">
        <f>VLOOKUP(Query1[[#This Row],[Description]],'kits to boards'!$B$2:$E$156,4,FALSE)</f>
        <v>0</v>
      </c>
      <c r="O305" t="str">
        <f>CONCATENATE(Query1[[#This Row],[Description]]," - ",Query1[[#This Row],[MB1]]," - ",Query1[[#This Row],[MB2]]," - ",Query1[[#This Row],[MB3]])</f>
        <v>HERITAGE TURNED BLACK EVAP KIT HEAT/COOL - 0 - 0 - 0</v>
      </c>
    </row>
    <row r="306" spans="1:15" x14ac:dyDescent="0.25">
      <c r="A306" s="1">
        <v>909605</v>
      </c>
      <c r="B306" s="1" t="s">
        <v>116</v>
      </c>
      <c r="C306" s="1" t="s">
        <v>117</v>
      </c>
      <c r="D306" s="2">
        <v>44600.687665937498</v>
      </c>
      <c r="E306" s="1" t="s">
        <v>8</v>
      </c>
      <c r="F306" s="1">
        <v>1</v>
      </c>
      <c r="G306" s="1">
        <v>0</v>
      </c>
      <c r="H306" s="6">
        <f>INT(Query1[[#This Row],[EntryDateTime]])</f>
        <v>44600</v>
      </c>
      <c r="I306" s="1">
        <f>IF(Query1[[#This Row],[ItemType]]="EVAP KIT SF GEN IV",Query1[[#This Row],[OrderQty]]+I305,I305)</f>
        <v>310</v>
      </c>
      <c r="J306" s="1">
        <f>IF(Query1[[#This Row],[ItemType]]="EVAP KIT UNIVERSAL",Query1[[#This Row],[OrderQty]]+J305,J305)</f>
        <v>332</v>
      </c>
      <c r="K306" s="1">
        <f>Query1[[#This Row],[SF Running Total]]+Query1[[#This Row],[UNIV Running Total]]</f>
        <v>642</v>
      </c>
      <c r="L306">
        <f>VLOOKUP(Query1[[#This Row],[Description]],'kits to boards'!$B$2:$E$156,2,FALSE)</f>
        <v>830058</v>
      </c>
      <c r="M306">
        <f>VLOOKUP(Query1[[#This Row],[Description]],'kits to boards'!$B$2:$E$156,3,FALSE)</f>
        <v>0</v>
      </c>
      <c r="N306">
        <f>VLOOKUP(Query1[[#This Row],[Description]],'kits to boards'!$B$2:$E$156,4,FALSE)</f>
        <v>0</v>
      </c>
      <c r="O306" t="str">
        <f>CONCATENATE(Query1[[#This Row],[Description]]," - ",Query1[[#This Row],[MB1]]," - ",Query1[[#This Row],[MB2]]," - ",Query1[[#This Row],[MB3]])</f>
        <v>EVAP KIT 64-65 CHEVELLE WO AC - 830058 - 0 - 0</v>
      </c>
    </row>
    <row r="307" spans="1:15" x14ac:dyDescent="0.25">
      <c r="A307" s="1">
        <v>909827</v>
      </c>
      <c r="B307" s="1" t="s">
        <v>126</v>
      </c>
      <c r="C307" s="1" t="s">
        <v>127</v>
      </c>
      <c r="D307" s="2">
        <v>44600.688548645834</v>
      </c>
      <c r="E307" s="1" t="s">
        <v>8</v>
      </c>
      <c r="F307" s="1">
        <v>5</v>
      </c>
      <c r="G307" s="1">
        <v>0</v>
      </c>
      <c r="H307" s="6">
        <f>INT(Query1[[#This Row],[EntryDateTime]])</f>
        <v>44600</v>
      </c>
      <c r="I307" s="1">
        <f>IF(Query1[[#This Row],[ItemType]]="EVAP KIT SF GEN IV",Query1[[#This Row],[OrderQty]]+I306,I306)</f>
        <v>315</v>
      </c>
      <c r="J307" s="1">
        <f>IF(Query1[[#This Row],[ItemType]]="EVAP KIT UNIVERSAL",Query1[[#This Row],[OrderQty]]+J306,J306)</f>
        <v>332</v>
      </c>
      <c r="K307" s="1">
        <f>Query1[[#This Row],[SF Running Total]]+Query1[[#This Row],[UNIV Running Total]]</f>
        <v>647</v>
      </c>
      <c r="L307">
        <f>VLOOKUP(Query1[[#This Row],[Description]],'kits to boards'!$B$2:$E$156,2,FALSE)</f>
        <v>830080</v>
      </c>
      <c r="M307">
        <f>VLOOKUP(Query1[[#This Row],[Description]],'kits to boards'!$B$2:$E$156,3,FALSE)</f>
        <v>0</v>
      </c>
      <c r="N307">
        <f>VLOOKUP(Query1[[#This Row],[Description]],'kits to boards'!$B$2:$E$156,4,FALSE)</f>
        <v>0</v>
      </c>
      <c r="O307" t="str">
        <f>CONCATENATE(Query1[[#This Row],[Description]]," - ",Query1[[#This Row],[MB1]]," - ",Query1[[#This Row],[MB2]]," - ",Query1[[#This Row],[MB3]])</f>
        <v>EVAP KIT 69-70 MUSTANG WO AC  - 830080 - 0 - 0</v>
      </c>
    </row>
    <row r="308" spans="1:15" x14ac:dyDescent="0.25">
      <c r="A308" s="1">
        <v>909827</v>
      </c>
      <c r="B308" s="1" t="s">
        <v>128</v>
      </c>
      <c r="C308" s="1" t="s">
        <v>129</v>
      </c>
      <c r="D308" s="2">
        <v>44600.688553969907</v>
      </c>
      <c r="E308" s="1" t="s">
        <v>8</v>
      </c>
      <c r="F308" s="1">
        <v>8</v>
      </c>
      <c r="G308" s="1">
        <v>0</v>
      </c>
      <c r="H308" s="6">
        <f>INT(Query1[[#This Row],[EntryDateTime]])</f>
        <v>44600</v>
      </c>
      <c r="I308" s="1">
        <f>IF(Query1[[#This Row],[ItemType]]="EVAP KIT SF GEN IV",Query1[[#This Row],[OrderQty]]+I307,I307)</f>
        <v>323</v>
      </c>
      <c r="J308" s="1">
        <f>IF(Query1[[#This Row],[ItemType]]="EVAP KIT UNIVERSAL",Query1[[#This Row],[OrderQty]]+J307,J307)</f>
        <v>332</v>
      </c>
      <c r="K308" s="1">
        <f>Query1[[#This Row],[SF Running Total]]+Query1[[#This Row],[UNIV Running Total]]</f>
        <v>655</v>
      </c>
      <c r="L308">
        <f>VLOOKUP(Query1[[#This Row],[Description]],'kits to boards'!$B$2:$E$156,2,FALSE)</f>
        <v>830036</v>
      </c>
      <c r="M308">
        <f>VLOOKUP(Query1[[#This Row],[Description]],'kits to boards'!$B$2:$E$156,3,FALSE)</f>
        <v>830039</v>
      </c>
      <c r="N308">
        <f>VLOOKUP(Query1[[#This Row],[Description]],'kits to boards'!$B$2:$E$156,4,FALSE)</f>
        <v>0</v>
      </c>
      <c r="O308" t="str">
        <f>CONCATENATE(Query1[[#This Row],[Description]]," - ",Query1[[#This Row],[MB1]]," - ",Query1[[#This Row],[MB2]]," - ",Query1[[#This Row],[MB3]])</f>
        <v>EVAP KIT 63-66 VETTE WO AC - 830036 - 830039 - 0</v>
      </c>
    </row>
    <row r="309" spans="1:15" x14ac:dyDescent="0.25">
      <c r="A309" s="1">
        <v>909827</v>
      </c>
      <c r="B309" s="1" t="s">
        <v>30</v>
      </c>
      <c r="C309" s="1" t="s">
        <v>31</v>
      </c>
      <c r="D309" s="2">
        <v>44600.688559340277</v>
      </c>
      <c r="E309" s="1" t="s">
        <v>8</v>
      </c>
      <c r="F309" s="1">
        <v>2</v>
      </c>
      <c r="G309" s="1">
        <v>0</v>
      </c>
      <c r="H309" s="6">
        <f>INT(Query1[[#This Row],[EntryDateTime]])</f>
        <v>44600</v>
      </c>
      <c r="I309" s="1">
        <f>IF(Query1[[#This Row],[ItemType]]="EVAP KIT SF GEN IV",Query1[[#This Row],[OrderQty]]+I308,I308)</f>
        <v>325</v>
      </c>
      <c r="J309" s="1">
        <f>IF(Query1[[#This Row],[ItemType]]="EVAP KIT UNIVERSAL",Query1[[#This Row],[OrderQty]]+J308,J308)</f>
        <v>332</v>
      </c>
      <c r="K309" s="1">
        <f>Query1[[#This Row],[SF Running Total]]+Query1[[#This Row],[UNIV Running Total]]</f>
        <v>657</v>
      </c>
      <c r="L309">
        <f>VLOOKUP(Query1[[#This Row],[Description]],'kits to boards'!$B$2:$E$156,2,FALSE)</f>
        <v>830054</v>
      </c>
      <c r="M309">
        <f>VLOOKUP(Query1[[#This Row],[Description]],'kits to boards'!$B$2:$E$156,3,FALSE)</f>
        <v>0</v>
      </c>
      <c r="N309">
        <f>VLOOKUP(Query1[[#This Row],[Description]],'kits to boards'!$B$2:$E$156,4,FALSE)</f>
        <v>0</v>
      </c>
      <c r="O309" t="str">
        <f>CONCATENATE(Query1[[#This Row],[Description]]," - ",Query1[[#This Row],[MB1]]," - ",Query1[[#This Row],[MB2]]," - ",Query1[[#This Row],[MB3]])</f>
        <v>EVAP KIT 55-56 CHEVY 4-VENT - 830054 - 0 - 0</v>
      </c>
    </row>
    <row r="310" spans="1:15" x14ac:dyDescent="0.25">
      <c r="A310" s="1">
        <v>909827</v>
      </c>
      <c r="B310" s="1" t="s">
        <v>32</v>
      </c>
      <c r="C310" s="1" t="s">
        <v>33</v>
      </c>
      <c r="D310" s="2">
        <v>44600.688561342591</v>
      </c>
      <c r="E310" s="1" t="s">
        <v>8</v>
      </c>
      <c r="F310" s="1">
        <v>4</v>
      </c>
      <c r="G310" s="1">
        <v>0</v>
      </c>
      <c r="H310" s="6">
        <f>INT(Query1[[#This Row],[EntryDateTime]])</f>
        <v>44600</v>
      </c>
      <c r="I310" s="1">
        <f>IF(Query1[[#This Row],[ItemType]]="EVAP KIT SF GEN IV",Query1[[#This Row],[OrderQty]]+I309,I309)</f>
        <v>329</v>
      </c>
      <c r="J310" s="1">
        <f>IF(Query1[[#This Row],[ItemType]]="EVAP KIT UNIVERSAL",Query1[[#This Row],[OrderQty]]+J309,J309)</f>
        <v>332</v>
      </c>
      <c r="K310" s="1">
        <f>Query1[[#This Row],[SF Running Total]]+Query1[[#This Row],[UNIV Running Total]]</f>
        <v>661</v>
      </c>
      <c r="L310">
        <f>VLOOKUP(Query1[[#This Row],[Description]],'kits to boards'!$B$2:$E$156,2,FALSE)</f>
        <v>830016</v>
      </c>
      <c r="M310">
        <f>VLOOKUP(Query1[[#This Row],[Description]],'kits to boards'!$B$2:$E$156,3,FALSE)</f>
        <v>0</v>
      </c>
      <c r="N310">
        <f>VLOOKUP(Query1[[#This Row],[Description]],'kits to boards'!$B$2:$E$156,4,FALSE)</f>
        <v>0</v>
      </c>
      <c r="O310" t="str">
        <f>CONCATENATE(Query1[[#This Row],[Description]]," - ",Query1[[#This Row],[MB1]]," - ",Query1[[#This Row],[MB2]]," - ",Query1[[#This Row],[MB3]])</f>
        <v>EVAP KIT 67-68 CAMARO/FIREBIRD W/AC - 830016 - 0 - 0</v>
      </c>
    </row>
    <row r="311" spans="1:15" x14ac:dyDescent="0.25">
      <c r="A311" s="1">
        <v>909827</v>
      </c>
      <c r="B311" s="1" t="s">
        <v>72</v>
      </c>
      <c r="C311" s="1" t="s">
        <v>73</v>
      </c>
      <c r="D311" s="2">
        <v>44600.688564004631</v>
      </c>
      <c r="E311" s="1" t="s">
        <v>8</v>
      </c>
      <c r="F311" s="1">
        <v>5</v>
      </c>
      <c r="G311" s="1">
        <v>0</v>
      </c>
      <c r="H311" s="6">
        <f>INT(Query1[[#This Row],[EntryDateTime]])</f>
        <v>44600</v>
      </c>
      <c r="I311" s="1">
        <f>IF(Query1[[#This Row],[ItemType]]="EVAP KIT SF GEN IV",Query1[[#This Row],[OrderQty]]+I310,I310)</f>
        <v>334</v>
      </c>
      <c r="J311" s="1">
        <f>IF(Query1[[#This Row],[ItemType]]="EVAP KIT UNIVERSAL",Query1[[#This Row],[OrderQty]]+J310,J310)</f>
        <v>332</v>
      </c>
      <c r="K311" s="1">
        <f>Query1[[#This Row],[SF Running Total]]+Query1[[#This Row],[UNIV Running Total]]</f>
        <v>666</v>
      </c>
      <c r="L311">
        <f>VLOOKUP(Query1[[#This Row],[Description]],'kits to boards'!$B$2:$E$156,2,FALSE)</f>
        <v>830043</v>
      </c>
      <c r="M311">
        <f>VLOOKUP(Query1[[#This Row],[Description]],'kits to boards'!$B$2:$E$156,3,FALSE)</f>
        <v>0</v>
      </c>
      <c r="N311">
        <f>VLOOKUP(Query1[[#This Row],[Description]],'kits to boards'!$B$2:$E$156,4,FALSE)</f>
        <v>0</v>
      </c>
      <c r="O311" t="str">
        <f>CONCATENATE(Query1[[#This Row],[Description]]," - ",Query1[[#This Row],[MB1]]," - ",Query1[[#This Row],[MB2]]," - ",Query1[[#This Row],[MB3]])</f>
        <v>EVAP KIT 69-74 NOVA W/AC - 830043 - 0 - 0</v>
      </c>
    </row>
    <row r="312" spans="1:15" x14ac:dyDescent="0.25">
      <c r="A312" s="1">
        <v>909827</v>
      </c>
      <c r="B312" s="1" t="s">
        <v>92</v>
      </c>
      <c r="C312" s="1" t="s">
        <v>93</v>
      </c>
      <c r="D312" s="2">
        <v>44600.688575</v>
      </c>
      <c r="E312" s="1" t="s">
        <v>8</v>
      </c>
      <c r="F312" s="1">
        <v>2</v>
      </c>
      <c r="G312" s="1">
        <v>0</v>
      </c>
      <c r="H312" s="6">
        <f>INT(Query1[[#This Row],[EntryDateTime]])</f>
        <v>44600</v>
      </c>
      <c r="I312" s="1">
        <f>IF(Query1[[#This Row],[ItemType]]="EVAP KIT SF GEN IV",Query1[[#This Row],[OrderQty]]+I311,I311)</f>
        <v>336</v>
      </c>
      <c r="J312" s="1">
        <f>IF(Query1[[#This Row],[ItemType]]="EVAP KIT UNIVERSAL",Query1[[#This Row],[OrderQty]]+J311,J311)</f>
        <v>332</v>
      </c>
      <c r="K312" s="1">
        <f>Query1[[#This Row],[SF Running Total]]+Query1[[#This Row],[UNIV Running Total]]</f>
        <v>668</v>
      </c>
      <c r="L312">
        <f>VLOOKUP(Query1[[#This Row],[Description]],'kits to boards'!$B$2:$E$156,2,FALSE)</f>
        <v>830063</v>
      </c>
      <c r="M312">
        <f>VLOOKUP(Query1[[#This Row],[Description]],'kits to boards'!$B$2:$E$156,3,FALSE)</f>
        <v>0</v>
      </c>
      <c r="N312">
        <f>VLOOKUP(Query1[[#This Row],[Description]],'kits to boards'!$B$2:$E$156,4,FALSE)</f>
        <v>0</v>
      </c>
      <c r="O312" t="str">
        <f>CONCATENATE(Query1[[#This Row],[Description]]," - ",Query1[[#This Row],[MB1]]," - ",Query1[[#This Row],[MB2]]," - ",Query1[[#This Row],[MB3]])</f>
        <v>EVAP KIT 50-53 CHEV P-UP GEN IV - 830063 - 0 - 0</v>
      </c>
    </row>
    <row r="313" spans="1:15" x14ac:dyDescent="0.25">
      <c r="A313" s="1">
        <v>909830</v>
      </c>
      <c r="B313" s="1" t="s">
        <v>130</v>
      </c>
      <c r="C313" s="1" t="s">
        <v>131</v>
      </c>
      <c r="D313" s="2">
        <v>44600.691949155094</v>
      </c>
      <c r="E313" s="1" t="s">
        <v>8</v>
      </c>
      <c r="F313" s="1">
        <v>1</v>
      </c>
      <c r="G313" s="1">
        <v>0</v>
      </c>
      <c r="H313" s="6">
        <f>INT(Query1[[#This Row],[EntryDateTime]])</f>
        <v>44600</v>
      </c>
      <c r="I313" s="1">
        <f>IF(Query1[[#This Row],[ItemType]]="EVAP KIT SF GEN IV",Query1[[#This Row],[OrderQty]]+I312,I312)</f>
        <v>337</v>
      </c>
      <c r="J313" s="1">
        <f>IF(Query1[[#This Row],[ItemType]]="EVAP KIT UNIVERSAL",Query1[[#This Row],[OrderQty]]+J312,J312)</f>
        <v>332</v>
      </c>
      <c r="K313" s="1">
        <f>Query1[[#This Row],[SF Running Total]]+Query1[[#This Row],[UNIV Running Total]]</f>
        <v>669</v>
      </c>
      <c r="L313">
        <f>VLOOKUP(Query1[[#This Row],[Description]],'kits to boards'!$B$2:$E$156,2,FALSE)</f>
        <v>830123</v>
      </c>
      <c r="M313">
        <f>VLOOKUP(Query1[[#This Row],[Description]],'kits to boards'!$B$2:$E$156,3,FALSE)</f>
        <v>0</v>
      </c>
      <c r="N313">
        <f>VLOOKUP(Query1[[#This Row],[Description]],'kits to boards'!$B$2:$E$156,4,FALSE)</f>
        <v>0</v>
      </c>
      <c r="O313" t="str">
        <f>CONCATENATE(Query1[[#This Row],[Description]]," - ",Query1[[#This Row],[MB1]]," - ",Query1[[#This Row],[MB2]]," - ",Query1[[#This Row],[MB3]])</f>
        <v>EVAP KIT 68 GTO WO/AC - 830123 - 0 - 0</v>
      </c>
    </row>
    <row r="314" spans="1:15" x14ac:dyDescent="0.25">
      <c r="A314" s="1">
        <v>909830</v>
      </c>
      <c r="B314" s="1" t="s">
        <v>128</v>
      </c>
      <c r="C314" s="1" t="s">
        <v>129</v>
      </c>
      <c r="D314" s="2">
        <v>44600.691953159723</v>
      </c>
      <c r="E314" s="1" t="s">
        <v>8</v>
      </c>
      <c r="F314" s="1">
        <v>1</v>
      </c>
      <c r="G314" s="1">
        <v>0</v>
      </c>
      <c r="H314" s="6">
        <f>INT(Query1[[#This Row],[EntryDateTime]])</f>
        <v>44600</v>
      </c>
      <c r="I314" s="1">
        <f>IF(Query1[[#This Row],[ItemType]]="EVAP KIT SF GEN IV",Query1[[#This Row],[OrderQty]]+I313,I313)</f>
        <v>338</v>
      </c>
      <c r="J314" s="1">
        <f>IF(Query1[[#This Row],[ItemType]]="EVAP KIT UNIVERSAL",Query1[[#This Row],[OrderQty]]+J313,J313)</f>
        <v>332</v>
      </c>
      <c r="K314" s="1">
        <f>Query1[[#This Row],[SF Running Total]]+Query1[[#This Row],[UNIV Running Total]]</f>
        <v>670</v>
      </c>
      <c r="L314">
        <f>VLOOKUP(Query1[[#This Row],[Description]],'kits to boards'!$B$2:$E$156,2,FALSE)</f>
        <v>830036</v>
      </c>
      <c r="M314">
        <f>VLOOKUP(Query1[[#This Row],[Description]],'kits to boards'!$B$2:$E$156,3,FALSE)</f>
        <v>830039</v>
      </c>
      <c r="N314">
        <f>VLOOKUP(Query1[[#This Row],[Description]],'kits to boards'!$B$2:$E$156,4,FALSE)</f>
        <v>0</v>
      </c>
      <c r="O314" t="str">
        <f>CONCATENATE(Query1[[#This Row],[Description]]," - ",Query1[[#This Row],[MB1]]," - ",Query1[[#This Row],[MB2]]," - ",Query1[[#This Row],[MB3]])</f>
        <v>EVAP KIT 63-66 VETTE WO AC - 830036 - 830039 - 0</v>
      </c>
    </row>
    <row r="315" spans="1:15" x14ac:dyDescent="0.25">
      <c r="A315" s="1">
        <v>909834</v>
      </c>
      <c r="B315" s="1" t="s">
        <v>256</v>
      </c>
      <c r="C315" s="1" t="s">
        <v>257</v>
      </c>
      <c r="D315" s="2">
        <v>44600.695938773148</v>
      </c>
      <c r="E315" s="1" t="s">
        <v>8</v>
      </c>
      <c r="F315" s="1">
        <v>1</v>
      </c>
      <c r="G315" s="1">
        <v>0</v>
      </c>
      <c r="H315" s="6">
        <f>INT(Query1[[#This Row],[EntryDateTime]])</f>
        <v>44600</v>
      </c>
      <c r="I315" s="1">
        <f>IF(Query1[[#This Row],[ItemType]]="EVAP KIT SF GEN IV",Query1[[#This Row],[OrderQty]]+I314,I314)</f>
        <v>339</v>
      </c>
      <c r="J315" s="1">
        <f>IF(Query1[[#This Row],[ItemType]]="EVAP KIT UNIVERSAL",Query1[[#This Row],[OrderQty]]+J314,J314)</f>
        <v>332</v>
      </c>
      <c r="K315" s="1">
        <f>Query1[[#This Row],[SF Running Total]]+Query1[[#This Row],[UNIV Running Total]]</f>
        <v>671</v>
      </c>
      <c r="L315">
        <f>VLOOKUP(Query1[[#This Row],[Description]],'kits to boards'!$B$2:$E$156,2,FALSE)</f>
        <v>830025</v>
      </c>
      <c r="M315">
        <f>VLOOKUP(Query1[[#This Row],[Description]],'kits to boards'!$B$2:$E$156,3,FALSE)</f>
        <v>830022</v>
      </c>
      <c r="N315">
        <f>VLOOKUP(Query1[[#This Row],[Description]],'kits to boards'!$B$2:$E$156,4,FALSE)</f>
        <v>0</v>
      </c>
      <c r="O315" t="str">
        <f>CONCATENATE(Query1[[#This Row],[Description]]," - ",Query1[[#This Row],[MB1]]," - ",Query1[[#This Row],[MB2]]," - ",Query1[[#This Row],[MB3]])</f>
        <v>EVAP KIT 68-69 CUTLASS W/AC - 830025 - 830022 - 0</v>
      </c>
    </row>
    <row r="316" spans="1:15" x14ac:dyDescent="0.25">
      <c r="A316" s="1">
        <v>909835</v>
      </c>
      <c r="B316" s="1" t="s">
        <v>6</v>
      </c>
      <c r="C316" s="1" t="s">
        <v>7</v>
      </c>
      <c r="D316" s="2">
        <v>44600.69599753472</v>
      </c>
      <c r="E316" s="1" t="s">
        <v>8</v>
      </c>
      <c r="F316" s="1">
        <v>1</v>
      </c>
      <c r="G316" s="1">
        <v>0</v>
      </c>
      <c r="H316" s="6">
        <f>INT(Query1[[#This Row],[EntryDateTime]])</f>
        <v>44600</v>
      </c>
      <c r="I316" s="1">
        <f>IF(Query1[[#This Row],[ItemType]]="EVAP KIT SF GEN IV",Query1[[#This Row],[OrderQty]]+I315,I315)</f>
        <v>340</v>
      </c>
      <c r="J316" s="1">
        <f>IF(Query1[[#This Row],[ItemType]]="EVAP KIT UNIVERSAL",Query1[[#This Row],[OrderQty]]+J315,J315)</f>
        <v>332</v>
      </c>
      <c r="K316" s="1">
        <f>Query1[[#This Row],[SF Running Total]]+Query1[[#This Row],[UNIV Running Total]]</f>
        <v>672</v>
      </c>
      <c r="L316">
        <f>VLOOKUP(Query1[[#This Row],[Description]],'kits to boards'!$B$2:$E$156,2,FALSE)</f>
        <v>830132</v>
      </c>
      <c r="M316">
        <f>VLOOKUP(Query1[[#This Row],[Description]],'kits to boards'!$B$2:$E$156,3,FALSE)</f>
        <v>0</v>
      </c>
      <c r="N316">
        <f>VLOOKUP(Query1[[#This Row],[Description]],'kits to boards'!$B$2:$E$156,4,FALSE)</f>
        <v>0</v>
      </c>
      <c r="O316" t="str">
        <f>CONCATENATE(Query1[[#This Row],[Description]]," - ",Query1[[#This Row],[MB1]]," - ",Query1[[#This Row],[MB2]]," - ",Query1[[#This Row],[MB3]])</f>
        <v>EVAP KIT 82-88 MONTE CARLO/EL CAMINO - 830132 - 0 - 0</v>
      </c>
    </row>
    <row r="317" spans="1:15" x14ac:dyDescent="0.25">
      <c r="A317" s="1">
        <v>909835</v>
      </c>
      <c r="B317" s="1" t="s">
        <v>28</v>
      </c>
      <c r="C317" s="1" t="s">
        <v>29</v>
      </c>
      <c r="D317" s="2">
        <v>44600.697563738424</v>
      </c>
      <c r="E317" s="1" t="s">
        <v>8</v>
      </c>
      <c r="F317" s="1">
        <v>1</v>
      </c>
      <c r="G317" s="1">
        <v>0</v>
      </c>
      <c r="H317" s="6">
        <f>INT(Query1[[#This Row],[EntryDateTime]])</f>
        <v>44600</v>
      </c>
      <c r="I317" s="1">
        <f>IF(Query1[[#This Row],[ItemType]]="EVAP KIT SF GEN IV",Query1[[#This Row],[OrderQty]]+I316,I316)</f>
        <v>341</v>
      </c>
      <c r="J317" s="1">
        <f>IF(Query1[[#This Row],[ItemType]]="EVAP KIT UNIVERSAL",Query1[[#This Row],[OrderQty]]+J316,J316)</f>
        <v>332</v>
      </c>
      <c r="K317" s="1">
        <f>Query1[[#This Row],[SF Running Total]]+Query1[[#This Row],[UNIV Running Total]]</f>
        <v>673</v>
      </c>
      <c r="L317">
        <f>VLOOKUP(Query1[[#This Row],[Description]],'kits to boards'!$B$2:$E$156,2,FALSE)</f>
        <v>830001</v>
      </c>
      <c r="M317">
        <f>VLOOKUP(Query1[[#This Row],[Description]],'kits to boards'!$B$2:$E$156,3,FALSE)</f>
        <v>0</v>
      </c>
      <c r="N317">
        <f>VLOOKUP(Query1[[#This Row],[Description]],'kits to boards'!$B$2:$E$156,4,FALSE)</f>
        <v>0</v>
      </c>
      <c r="O317" t="str">
        <f>CONCATENATE(Query1[[#This Row],[Description]]," - ",Query1[[#This Row],[MB1]]," - ",Query1[[#This Row],[MB2]]," - ",Query1[[#This Row],[MB3]])</f>
        <v>EVAP KIT 73-80 CHEV P-UP W/AC - 830001 - 0 - 0</v>
      </c>
    </row>
    <row r="318" spans="1:15" x14ac:dyDescent="0.25">
      <c r="A318" s="1">
        <v>909837</v>
      </c>
      <c r="B318" s="1" t="s">
        <v>26</v>
      </c>
      <c r="C318" s="1" t="s">
        <v>27</v>
      </c>
      <c r="D318" s="2">
        <v>44600.697809224534</v>
      </c>
      <c r="E318" s="1" t="s">
        <v>8</v>
      </c>
      <c r="F318" s="1">
        <v>1</v>
      </c>
      <c r="G318" s="1">
        <v>0</v>
      </c>
      <c r="H318" s="6">
        <f>INT(Query1[[#This Row],[EntryDateTime]])</f>
        <v>44600</v>
      </c>
      <c r="I318" s="1">
        <f>IF(Query1[[#This Row],[ItemType]]="EVAP KIT SF GEN IV",Query1[[#This Row],[OrderQty]]+I317,I317)</f>
        <v>342</v>
      </c>
      <c r="J318" s="1">
        <f>IF(Query1[[#This Row],[ItemType]]="EVAP KIT UNIVERSAL",Query1[[#This Row],[OrderQty]]+J317,J317)</f>
        <v>332</v>
      </c>
      <c r="K318" s="1">
        <f>Query1[[#This Row],[SF Running Total]]+Query1[[#This Row],[UNIV Running Total]]</f>
        <v>674</v>
      </c>
      <c r="L318">
        <f>VLOOKUP(Query1[[#This Row],[Description]],'kits to boards'!$B$2:$E$156,2,FALSE)</f>
        <v>830013</v>
      </c>
      <c r="M318">
        <f>VLOOKUP(Query1[[#This Row],[Description]],'kits to boards'!$B$2:$E$156,3,FALSE)</f>
        <v>0</v>
      </c>
      <c r="N318">
        <f>VLOOKUP(Query1[[#This Row],[Description]],'kits to boards'!$B$2:$E$156,4,FALSE)</f>
        <v>0</v>
      </c>
      <c r="O318" t="str">
        <f>CONCATENATE(Query1[[#This Row],[Description]]," - ",Query1[[#This Row],[MB1]]," - ",Query1[[#This Row],[MB2]]," - ",Query1[[#This Row],[MB3]])</f>
        <v>EVAP KIT 67-72 CHEV P-UP W/AC - 830013 - 0 - 0</v>
      </c>
    </row>
    <row r="319" spans="1:15" x14ac:dyDescent="0.25">
      <c r="A319" s="1">
        <v>909841</v>
      </c>
      <c r="B319" s="1" t="s">
        <v>108</v>
      </c>
      <c r="C319" s="1" t="s">
        <v>109</v>
      </c>
      <c r="D319" s="2">
        <v>44600.701482407407</v>
      </c>
      <c r="E319" s="1" t="s">
        <v>8</v>
      </c>
      <c r="F319" s="1">
        <v>1</v>
      </c>
      <c r="G319" s="1">
        <v>0</v>
      </c>
      <c r="H319" s="6">
        <f>INT(Query1[[#This Row],[EntryDateTime]])</f>
        <v>44600</v>
      </c>
      <c r="I319" s="1">
        <f>IF(Query1[[#This Row],[ItemType]]="EVAP KIT SF GEN IV",Query1[[#This Row],[OrderQty]]+I318,I318)</f>
        <v>343</v>
      </c>
      <c r="J319" s="1">
        <f>IF(Query1[[#This Row],[ItemType]]="EVAP KIT UNIVERSAL",Query1[[#This Row],[OrderQty]]+J318,J318)</f>
        <v>332</v>
      </c>
      <c r="K319" s="1">
        <f>Query1[[#This Row],[SF Running Total]]+Query1[[#This Row],[UNIV Running Total]]</f>
        <v>675</v>
      </c>
      <c r="L319">
        <f>VLOOKUP(Query1[[#This Row],[Description]],'kits to boards'!$B$2:$E$156,2,FALSE)</f>
        <v>830105</v>
      </c>
      <c r="M319">
        <f>VLOOKUP(Query1[[#This Row],[Description]],'kits to boards'!$B$2:$E$156,3,FALSE)</f>
        <v>830106</v>
      </c>
      <c r="N319">
        <f>VLOOKUP(Query1[[#This Row],[Description]],'kits to boards'!$B$2:$E$156,4,FALSE)</f>
        <v>0</v>
      </c>
      <c r="O319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320" spans="1:15" x14ac:dyDescent="0.25">
      <c r="A320" s="1">
        <v>909844</v>
      </c>
      <c r="B320" s="1" t="s">
        <v>194</v>
      </c>
      <c r="C320" s="1" t="s">
        <v>195</v>
      </c>
      <c r="D320" s="2">
        <v>44600.702682835647</v>
      </c>
      <c r="E320" s="1" t="s">
        <v>8</v>
      </c>
      <c r="F320" s="1">
        <v>1</v>
      </c>
      <c r="G320" s="1">
        <v>0</v>
      </c>
      <c r="H320" s="6">
        <f>INT(Query1[[#This Row],[EntryDateTime]])</f>
        <v>44600</v>
      </c>
      <c r="I320" s="1">
        <f>IF(Query1[[#This Row],[ItemType]]="EVAP KIT SF GEN IV",Query1[[#This Row],[OrderQty]]+I319,I319)</f>
        <v>344</v>
      </c>
      <c r="J320" s="1">
        <f>IF(Query1[[#This Row],[ItemType]]="EVAP KIT UNIVERSAL",Query1[[#This Row],[OrderQty]]+J319,J319)</f>
        <v>332</v>
      </c>
      <c r="K320" s="1">
        <f>Query1[[#This Row],[SF Running Total]]+Query1[[#This Row],[UNIV Running Total]]</f>
        <v>676</v>
      </c>
      <c r="L320">
        <f>VLOOKUP(Query1[[#This Row],[Description]],'kits to boards'!$B$2:$E$156,2,FALSE)</f>
        <v>830103</v>
      </c>
      <c r="M320">
        <f>VLOOKUP(Query1[[#This Row],[Description]],'kits to boards'!$B$2:$E$156,3,FALSE)</f>
        <v>0</v>
      </c>
      <c r="N320">
        <f>VLOOKUP(Query1[[#This Row],[Description]],'kits to boards'!$B$2:$E$156,4,FALSE)</f>
        <v>0</v>
      </c>
      <c r="O320" t="str">
        <f>CONCATENATE(Query1[[#This Row],[Description]]," - ",Query1[[#This Row],[MB1]]," - ",Query1[[#This Row],[MB2]]," - ",Query1[[#This Row],[MB3]])</f>
        <v>EVAP KIT 78-82 VETTE W/AC - 830103 - 0 - 0</v>
      </c>
    </row>
    <row r="321" spans="1:15" x14ac:dyDescent="0.25">
      <c r="A321" s="1">
        <v>909845</v>
      </c>
      <c r="B321" s="1" t="s">
        <v>60</v>
      </c>
      <c r="C321" s="1" t="s">
        <v>61</v>
      </c>
      <c r="D321" s="2">
        <v>44600.705279166665</v>
      </c>
      <c r="E321" s="1" t="s">
        <v>8</v>
      </c>
      <c r="F321" s="1">
        <v>1</v>
      </c>
      <c r="G321" s="1">
        <v>0</v>
      </c>
      <c r="H321" s="6">
        <f>INT(Query1[[#This Row],[EntryDateTime]])</f>
        <v>44600</v>
      </c>
      <c r="I321" s="1">
        <f>IF(Query1[[#This Row],[ItemType]]="EVAP KIT SF GEN IV",Query1[[#This Row],[OrderQty]]+I320,I320)</f>
        <v>345</v>
      </c>
      <c r="J321" s="1">
        <f>IF(Query1[[#This Row],[ItemType]]="EVAP KIT UNIVERSAL",Query1[[#This Row],[OrderQty]]+J320,J320)</f>
        <v>332</v>
      </c>
      <c r="K321" s="1">
        <f>Query1[[#This Row],[SF Running Total]]+Query1[[#This Row],[UNIV Running Total]]</f>
        <v>677</v>
      </c>
      <c r="L321">
        <f>VLOOKUP(Query1[[#This Row],[Description]],'kits to boards'!$B$2:$E$156,2,FALSE)</f>
        <v>830062</v>
      </c>
      <c r="M321">
        <f>VLOOKUP(Query1[[#This Row],[Description]],'kits to boards'!$B$2:$E$156,3,FALSE)</f>
        <v>0</v>
      </c>
      <c r="N321">
        <f>VLOOKUP(Query1[[#This Row],[Description]],'kits to boards'!$B$2:$E$156,4,FALSE)</f>
        <v>0</v>
      </c>
      <c r="O321" t="str">
        <f>CONCATENATE(Query1[[#This Row],[Description]]," - ",Query1[[#This Row],[MB1]]," - ",Query1[[#This Row],[MB2]]," - ",Query1[[#This Row],[MB3]])</f>
        <v>EVAP KIT 68-69 CHEVELLE WO AC - 830062 - 0 - 0</v>
      </c>
    </row>
    <row r="322" spans="1:15" x14ac:dyDescent="0.25">
      <c r="A322" s="1">
        <v>909849</v>
      </c>
      <c r="B322" s="1" t="s">
        <v>150</v>
      </c>
      <c r="C322" s="1" t="s">
        <v>151</v>
      </c>
      <c r="D322" s="2">
        <v>44600.707625659721</v>
      </c>
      <c r="E322" s="1" t="s">
        <v>8</v>
      </c>
      <c r="F322" s="1">
        <v>1</v>
      </c>
      <c r="G322" s="1">
        <v>0</v>
      </c>
      <c r="H322" s="6">
        <f>INT(Query1[[#This Row],[EntryDateTime]])</f>
        <v>44600</v>
      </c>
      <c r="I322" s="1">
        <f>IF(Query1[[#This Row],[ItemType]]="EVAP KIT SF GEN IV",Query1[[#This Row],[OrderQty]]+I321,I321)</f>
        <v>346</v>
      </c>
      <c r="J322" s="1">
        <f>IF(Query1[[#This Row],[ItemType]]="EVAP KIT UNIVERSAL",Query1[[#This Row],[OrderQty]]+J321,J321)</f>
        <v>332</v>
      </c>
      <c r="K322" s="1">
        <f>Query1[[#This Row],[SF Running Total]]+Query1[[#This Row],[UNIV Running Total]]</f>
        <v>678</v>
      </c>
      <c r="L322">
        <f>VLOOKUP(Query1[[#This Row],[Description]],'kits to boards'!$B$2:$E$156,2,FALSE)</f>
        <v>830010</v>
      </c>
      <c r="M322">
        <f>VLOOKUP(Query1[[#This Row],[Description]],'kits to boards'!$B$2:$E$156,3,FALSE)</f>
        <v>0</v>
      </c>
      <c r="N322">
        <f>VLOOKUP(Query1[[#This Row],[Description]],'kits to boards'!$B$2:$E$156,4,FALSE)</f>
        <v>0</v>
      </c>
      <c r="O322" t="str">
        <f>CONCATENATE(Query1[[#This Row],[Description]]," - ",Query1[[#This Row],[MB1]]," - ",Query1[[#This Row],[MB2]]," - ",Query1[[#This Row],[MB3]])</f>
        <v>EVAP KIT 70-72 MONTE CARLO W/AC - 830010 - 0 - 0</v>
      </c>
    </row>
    <row r="323" spans="1:15" x14ac:dyDescent="0.25">
      <c r="A323" s="1">
        <v>909857</v>
      </c>
      <c r="B323" s="1" t="s">
        <v>26</v>
      </c>
      <c r="C323" s="1" t="s">
        <v>27</v>
      </c>
      <c r="D323" s="2">
        <v>44600.712411192129</v>
      </c>
      <c r="E323" s="1" t="s">
        <v>8</v>
      </c>
      <c r="F323" s="1">
        <v>1</v>
      </c>
      <c r="G323" s="1">
        <v>0</v>
      </c>
      <c r="H323" s="6">
        <f>INT(Query1[[#This Row],[EntryDateTime]])</f>
        <v>44600</v>
      </c>
      <c r="I323" s="1">
        <f>IF(Query1[[#This Row],[ItemType]]="EVAP KIT SF GEN IV",Query1[[#This Row],[OrderQty]]+I322,I322)</f>
        <v>347</v>
      </c>
      <c r="J323" s="1">
        <f>IF(Query1[[#This Row],[ItemType]]="EVAP KIT UNIVERSAL",Query1[[#This Row],[OrderQty]]+J322,J322)</f>
        <v>332</v>
      </c>
      <c r="K323" s="1">
        <f>Query1[[#This Row],[SF Running Total]]+Query1[[#This Row],[UNIV Running Total]]</f>
        <v>679</v>
      </c>
      <c r="L323">
        <f>VLOOKUP(Query1[[#This Row],[Description]],'kits to boards'!$B$2:$E$156,2,FALSE)</f>
        <v>830013</v>
      </c>
      <c r="M323">
        <f>VLOOKUP(Query1[[#This Row],[Description]],'kits to boards'!$B$2:$E$156,3,FALSE)</f>
        <v>0</v>
      </c>
      <c r="N323">
        <f>VLOOKUP(Query1[[#This Row],[Description]],'kits to boards'!$B$2:$E$156,4,FALSE)</f>
        <v>0</v>
      </c>
      <c r="O323" t="str">
        <f>CONCATENATE(Query1[[#This Row],[Description]]," - ",Query1[[#This Row],[MB1]]," - ",Query1[[#This Row],[MB2]]," - ",Query1[[#This Row],[MB3]])</f>
        <v>EVAP KIT 67-72 CHEV P-UP W/AC - 830013 - 0 - 0</v>
      </c>
    </row>
    <row r="324" spans="1:15" x14ac:dyDescent="0.25">
      <c r="A324" s="1">
        <v>909860</v>
      </c>
      <c r="B324" s="1" t="s">
        <v>26</v>
      </c>
      <c r="C324" s="1" t="s">
        <v>27</v>
      </c>
      <c r="D324" s="2">
        <v>44600.721460960645</v>
      </c>
      <c r="E324" s="1" t="s">
        <v>8</v>
      </c>
      <c r="F324" s="1">
        <v>3</v>
      </c>
      <c r="G324" s="1">
        <v>0</v>
      </c>
      <c r="H324" s="6">
        <f>INT(Query1[[#This Row],[EntryDateTime]])</f>
        <v>44600</v>
      </c>
      <c r="I324" s="1">
        <f>IF(Query1[[#This Row],[ItemType]]="EVAP KIT SF GEN IV",Query1[[#This Row],[OrderQty]]+I323,I323)</f>
        <v>350</v>
      </c>
      <c r="J324" s="1">
        <f>IF(Query1[[#This Row],[ItemType]]="EVAP KIT UNIVERSAL",Query1[[#This Row],[OrderQty]]+J323,J323)</f>
        <v>332</v>
      </c>
      <c r="K324" s="1">
        <f>Query1[[#This Row],[SF Running Total]]+Query1[[#This Row],[UNIV Running Total]]</f>
        <v>682</v>
      </c>
      <c r="L324">
        <f>VLOOKUP(Query1[[#This Row],[Description]],'kits to boards'!$B$2:$E$156,2,FALSE)</f>
        <v>830013</v>
      </c>
      <c r="M324">
        <f>VLOOKUP(Query1[[#This Row],[Description]],'kits to boards'!$B$2:$E$156,3,FALSE)</f>
        <v>0</v>
      </c>
      <c r="N324">
        <f>VLOOKUP(Query1[[#This Row],[Description]],'kits to boards'!$B$2:$E$156,4,FALSE)</f>
        <v>0</v>
      </c>
      <c r="O324" t="str">
        <f>CONCATENATE(Query1[[#This Row],[Description]]," - ",Query1[[#This Row],[MB1]]," - ",Query1[[#This Row],[MB2]]," - ",Query1[[#This Row],[MB3]])</f>
        <v>EVAP KIT 67-72 CHEV P-UP W/AC - 830013 - 0 - 0</v>
      </c>
    </row>
    <row r="325" spans="1:15" x14ac:dyDescent="0.25">
      <c r="A325" s="1">
        <v>909860</v>
      </c>
      <c r="B325" s="1" t="s">
        <v>96</v>
      </c>
      <c r="C325" s="1" t="s">
        <v>97</v>
      </c>
      <c r="D325" s="2">
        <v>44600.722185682869</v>
      </c>
      <c r="E325" s="1" t="s">
        <v>8</v>
      </c>
      <c r="F325" s="1">
        <v>2</v>
      </c>
      <c r="G325" s="1">
        <v>0</v>
      </c>
      <c r="H325" s="6">
        <f>INT(Query1[[#This Row],[EntryDateTime]])</f>
        <v>44600</v>
      </c>
      <c r="I325" s="1">
        <f>IF(Query1[[#This Row],[ItemType]]="EVAP KIT SF GEN IV",Query1[[#This Row],[OrderQty]]+I324,I324)</f>
        <v>352</v>
      </c>
      <c r="J325" s="1">
        <f>IF(Query1[[#This Row],[ItemType]]="EVAP KIT UNIVERSAL",Query1[[#This Row],[OrderQty]]+J324,J324)</f>
        <v>332</v>
      </c>
      <c r="K325" s="1">
        <f>Query1[[#This Row],[SF Running Total]]+Query1[[#This Row],[UNIV Running Total]]</f>
        <v>684</v>
      </c>
      <c r="L325">
        <f>VLOOKUP(Query1[[#This Row],[Description]],'kits to boards'!$B$2:$E$156,2,FALSE)</f>
        <v>830004</v>
      </c>
      <c r="M325">
        <f>VLOOKUP(Query1[[#This Row],[Description]],'kits to boards'!$B$2:$E$156,3,FALSE)</f>
        <v>0</v>
      </c>
      <c r="N325">
        <f>VLOOKUP(Query1[[#This Row],[Description]],'kits to boards'!$B$2:$E$156,4,FALSE)</f>
        <v>0</v>
      </c>
      <c r="O325" t="str">
        <f>CONCATENATE(Query1[[#This Row],[Description]]," - ",Query1[[#This Row],[MB1]]," - ",Query1[[#This Row],[MB2]]," - ",Query1[[#This Row],[MB3]])</f>
        <v>EVAP KIT 81-87 CHEV P-UP W/AC - 830004 - 0 - 0</v>
      </c>
    </row>
    <row r="326" spans="1:15" x14ac:dyDescent="0.25">
      <c r="A326" s="1">
        <v>909860</v>
      </c>
      <c r="B326" s="1" t="s">
        <v>28</v>
      </c>
      <c r="C326" s="1" t="s">
        <v>29</v>
      </c>
      <c r="D326" s="2">
        <v>44600.722604247683</v>
      </c>
      <c r="E326" s="1" t="s">
        <v>8</v>
      </c>
      <c r="F326" s="1">
        <v>1</v>
      </c>
      <c r="G326" s="1">
        <v>0</v>
      </c>
      <c r="H326" s="6">
        <f>INT(Query1[[#This Row],[EntryDateTime]])</f>
        <v>44600</v>
      </c>
      <c r="I326" s="1">
        <f>IF(Query1[[#This Row],[ItemType]]="EVAP KIT SF GEN IV",Query1[[#This Row],[OrderQty]]+I325,I325)</f>
        <v>353</v>
      </c>
      <c r="J326" s="1">
        <f>IF(Query1[[#This Row],[ItemType]]="EVAP KIT UNIVERSAL",Query1[[#This Row],[OrderQty]]+J325,J325)</f>
        <v>332</v>
      </c>
      <c r="K326" s="1">
        <f>Query1[[#This Row],[SF Running Total]]+Query1[[#This Row],[UNIV Running Total]]</f>
        <v>685</v>
      </c>
      <c r="L326">
        <f>VLOOKUP(Query1[[#This Row],[Description]],'kits to boards'!$B$2:$E$156,2,FALSE)</f>
        <v>830001</v>
      </c>
      <c r="M326">
        <f>VLOOKUP(Query1[[#This Row],[Description]],'kits to boards'!$B$2:$E$156,3,FALSE)</f>
        <v>0</v>
      </c>
      <c r="N326">
        <f>VLOOKUP(Query1[[#This Row],[Description]],'kits to boards'!$B$2:$E$156,4,FALSE)</f>
        <v>0</v>
      </c>
      <c r="O326" t="str">
        <f>CONCATENATE(Query1[[#This Row],[Description]]," - ",Query1[[#This Row],[MB1]]," - ",Query1[[#This Row],[MB2]]," - ",Query1[[#This Row],[MB3]])</f>
        <v>EVAP KIT 73-80 CHEV P-UP W/AC - 830001 - 0 - 0</v>
      </c>
    </row>
    <row r="327" spans="1:15" x14ac:dyDescent="0.25">
      <c r="A327" s="1">
        <v>909860</v>
      </c>
      <c r="B327" s="1" t="s">
        <v>48</v>
      </c>
      <c r="C327" s="1" t="s">
        <v>49</v>
      </c>
      <c r="D327" s="2">
        <v>44600.72350821759</v>
      </c>
      <c r="E327" s="1" t="s">
        <v>8</v>
      </c>
      <c r="F327" s="1">
        <v>1</v>
      </c>
      <c r="G327" s="1">
        <v>0</v>
      </c>
      <c r="H327" s="6">
        <f>INT(Query1[[#This Row],[EntryDateTime]])</f>
        <v>44600</v>
      </c>
      <c r="I327" s="1">
        <f>IF(Query1[[#This Row],[ItemType]]="EVAP KIT SF GEN IV",Query1[[#This Row],[OrderQty]]+I326,I326)</f>
        <v>354</v>
      </c>
      <c r="J327" s="1">
        <f>IF(Query1[[#This Row],[ItemType]]="EVAP KIT UNIVERSAL",Query1[[#This Row],[OrderQty]]+J326,J326)</f>
        <v>332</v>
      </c>
      <c r="K327" s="1">
        <f>Query1[[#This Row],[SF Running Total]]+Query1[[#This Row],[UNIV Running Total]]</f>
        <v>686</v>
      </c>
      <c r="L327">
        <f>VLOOKUP(Query1[[#This Row],[Description]],'kits to boards'!$B$2:$E$156,2,FALSE)</f>
        <v>830015</v>
      </c>
      <c r="M327">
        <f>VLOOKUP(Query1[[#This Row],[Description]],'kits to boards'!$B$2:$E$156,3,FALSE)</f>
        <v>0</v>
      </c>
      <c r="N327">
        <f>VLOOKUP(Query1[[#This Row],[Description]],'kits to boards'!$B$2:$E$156,4,FALSE)</f>
        <v>0</v>
      </c>
      <c r="O327" t="str">
        <f>CONCATENATE(Query1[[#This Row],[Description]]," - ",Query1[[#This Row],[MB1]]," - ",Query1[[#This Row],[MB2]]," - ",Query1[[#This Row],[MB3]])</f>
        <v>EVAP KIT 64-66 CHEV P-UP WO AC W/DELX - 830015 - 0 - 0</v>
      </c>
    </row>
    <row r="328" spans="1:15" x14ac:dyDescent="0.25">
      <c r="A328" s="1">
        <v>909862</v>
      </c>
      <c r="B328" s="1" t="s">
        <v>122</v>
      </c>
      <c r="C328" s="1" t="s">
        <v>123</v>
      </c>
      <c r="D328" s="2">
        <v>44600.72673545139</v>
      </c>
      <c r="E328" s="1" t="s">
        <v>8</v>
      </c>
      <c r="F328" s="1">
        <v>1</v>
      </c>
      <c r="G328" s="1">
        <v>0</v>
      </c>
      <c r="H328" s="6">
        <f>INT(Query1[[#This Row],[EntryDateTime]])</f>
        <v>44600</v>
      </c>
      <c r="I328" s="1">
        <f>IF(Query1[[#This Row],[ItemType]]="EVAP KIT SF GEN IV",Query1[[#This Row],[OrderQty]]+I327,I327)</f>
        <v>355</v>
      </c>
      <c r="J328" s="1">
        <f>IF(Query1[[#This Row],[ItemType]]="EVAP KIT UNIVERSAL",Query1[[#This Row],[OrderQty]]+J327,J327)</f>
        <v>332</v>
      </c>
      <c r="K328" s="1">
        <f>Query1[[#This Row],[SF Running Total]]+Query1[[#This Row],[UNIV Running Total]]</f>
        <v>687</v>
      </c>
      <c r="L328">
        <f>VLOOKUP(Query1[[#This Row],[Description]],'kits to boards'!$B$2:$E$156,2,FALSE)</f>
        <v>830027</v>
      </c>
      <c r="M328">
        <f>VLOOKUP(Query1[[#This Row],[Description]],'kits to boards'!$B$2:$E$156,3,FALSE)</f>
        <v>0</v>
      </c>
      <c r="N328">
        <f>VLOOKUP(Query1[[#This Row],[Description]],'kits to boards'!$B$2:$E$156,4,FALSE)</f>
        <v>0</v>
      </c>
      <c r="O328" t="str">
        <f>CONCATENATE(Query1[[#This Row],[Description]]," - ",Query1[[#This Row],[MB1]]," - ",Query1[[#This Row],[MB2]]," - ",Query1[[#This Row],[MB3]])</f>
        <v>EVAP KIT 70-72 CUTLASS W/AC - 830027 - 0 - 0</v>
      </c>
    </row>
    <row r="329" spans="1:15" x14ac:dyDescent="0.25">
      <c r="A329" s="1">
        <v>909863</v>
      </c>
      <c r="B329" s="1" t="s">
        <v>263</v>
      </c>
      <c r="C329" s="1" t="s">
        <v>264</v>
      </c>
      <c r="D329" s="2">
        <v>44600.728209490742</v>
      </c>
      <c r="E329" s="1" t="s">
        <v>11</v>
      </c>
      <c r="F329" s="1">
        <v>1</v>
      </c>
      <c r="G329" s="1">
        <v>0</v>
      </c>
      <c r="H329" s="6">
        <f>INT(Query1[[#This Row],[EntryDateTime]])</f>
        <v>44600</v>
      </c>
      <c r="I329" s="1">
        <f>IF(Query1[[#This Row],[ItemType]]="EVAP KIT SF GEN IV",Query1[[#This Row],[OrderQty]]+I328,I328)</f>
        <v>355</v>
      </c>
      <c r="J329" s="1">
        <f>IF(Query1[[#This Row],[ItemType]]="EVAP KIT UNIVERSAL",Query1[[#This Row],[OrderQty]]+J328,J328)</f>
        <v>333</v>
      </c>
      <c r="K329" s="1">
        <f>Query1[[#This Row],[SF Running Total]]+Query1[[#This Row],[UNIV Running Total]]</f>
        <v>688</v>
      </c>
      <c r="L329">
        <f>VLOOKUP(Query1[[#This Row],[Description]],'kits to boards'!$B$2:$E$156,2,FALSE)</f>
        <v>830069</v>
      </c>
      <c r="M329">
        <f>VLOOKUP(Query1[[#This Row],[Description]],'kits to boards'!$B$2:$E$156,3,FALSE)</f>
        <v>0</v>
      </c>
      <c r="N329">
        <f>VLOOKUP(Query1[[#This Row],[Description]],'kits to boards'!$B$2:$E$156,4,FALSE)</f>
        <v>0</v>
      </c>
      <c r="O329" t="str">
        <f>CONCATENATE(Query1[[#This Row],[Description]]," - ",Query1[[#This Row],[MB1]]," - ",Query1[[#This Row],[MB2]]," - ",Query1[[#This Row],[MB3]])</f>
        <v>SLIMLINE COOL STD LOUVER - 830069 - 0 - 0</v>
      </c>
    </row>
    <row r="330" spans="1:15" x14ac:dyDescent="0.25">
      <c r="A330" s="1">
        <v>909863</v>
      </c>
      <c r="B330" s="1" t="s">
        <v>94</v>
      </c>
      <c r="C330" s="1" t="s">
        <v>95</v>
      </c>
      <c r="D330" s="2">
        <v>44600.733094178242</v>
      </c>
      <c r="E330" s="1" t="s">
        <v>8</v>
      </c>
      <c r="F330" s="1">
        <v>1</v>
      </c>
      <c r="G330" s="1">
        <v>0</v>
      </c>
      <c r="H330" s="6">
        <f>INT(Query1[[#This Row],[EntryDateTime]])</f>
        <v>44600</v>
      </c>
      <c r="I330" s="1">
        <f>IF(Query1[[#This Row],[ItemType]]="EVAP KIT SF GEN IV",Query1[[#This Row],[OrderQty]]+I329,I329)</f>
        <v>356</v>
      </c>
      <c r="J330" s="1">
        <f>IF(Query1[[#This Row],[ItemType]]="EVAP KIT UNIVERSAL",Query1[[#This Row],[OrderQty]]+J329,J329)</f>
        <v>333</v>
      </c>
      <c r="K330" s="1">
        <f>Query1[[#This Row],[SF Running Total]]+Query1[[#This Row],[UNIV Running Total]]</f>
        <v>689</v>
      </c>
      <c r="L330">
        <f>VLOOKUP(Query1[[#This Row],[Description]],'kits to boards'!$B$2:$E$156,2,FALSE)</f>
        <v>830076</v>
      </c>
      <c r="M330">
        <f>VLOOKUP(Query1[[#This Row],[Description]],'kits to boards'!$B$2:$E$156,3,FALSE)</f>
        <v>0</v>
      </c>
      <c r="N330">
        <f>VLOOKUP(Query1[[#This Row],[Description]],'kits to boards'!$B$2:$E$156,4,FALSE)</f>
        <v>0</v>
      </c>
      <c r="O330" t="str">
        <f>CONCATENATE(Query1[[#This Row],[Description]]," - ",Query1[[#This Row],[MB1]]," - ",Query1[[#This Row],[MB2]]," - ",Query1[[#This Row],[MB3]])</f>
        <v>EVAP KIT 64 1/2- 66 MUSTANG  - 830076 - 0 - 0</v>
      </c>
    </row>
    <row r="331" spans="1:15" x14ac:dyDescent="0.25">
      <c r="A331" s="1">
        <v>909863</v>
      </c>
      <c r="B331" s="1" t="s">
        <v>212</v>
      </c>
      <c r="C331" s="1" t="s">
        <v>213</v>
      </c>
      <c r="D331" s="2">
        <v>44600.733323807872</v>
      </c>
      <c r="E331" s="1" t="s">
        <v>8</v>
      </c>
      <c r="F331" s="1">
        <v>1</v>
      </c>
      <c r="G331" s="1">
        <v>0</v>
      </c>
      <c r="H331" s="6">
        <f>INT(Query1[[#This Row],[EntryDateTime]])</f>
        <v>44600</v>
      </c>
      <c r="I331" s="1">
        <f>IF(Query1[[#This Row],[ItemType]]="EVAP KIT SF GEN IV",Query1[[#This Row],[OrderQty]]+I330,I330)</f>
        <v>357</v>
      </c>
      <c r="J331" s="1">
        <f>IF(Query1[[#This Row],[ItemType]]="EVAP KIT UNIVERSAL",Query1[[#This Row],[OrderQty]]+J330,J330)</f>
        <v>333</v>
      </c>
      <c r="K331" s="1">
        <f>Query1[[#This Row],[SF Running Total]]+Query1[[#This Row],[UNIV Running Total]]</f>
        <v>690</v>
      </c>
      <c r="L331">
        <f>VLOOKUP(Query1[[#This Row],[Description]],'kits to boards'!$B$2:$E$156,2,FALSE)</f>
        <v>830034</v>
      </c>
      <c r="M331">
        <f>VLOOKUP(Query1[[#This Row],[Description]],'kits to boards'!$B$2:$E$156,3,FALSE)</f>
        <v>0</v>
      </c>
      <c r="N331">
        <f>VLOOKUP(Query1[[#This Row],[Description]],'kits to boards'!$B$2:$E$156,4,FALSE)</f>
        <v>0</v>
      </c>
      <c r="O331" t="str">
        <f>CONCATENATE(Query1[[#This Row],[Description]]," - ",Query1[[#This Row],[MB1]]," - ",Query1[[#This Row],[MB2]]," - ",Query1[[#This Row],[MB3]])</f>
        <v>EVAP KIT 64-67 GTO W/AC - 830034 - 0 - 0</v>
      </c>
    </row>
    <row r="332" spans="1:15" x14ac:dyDescent="0.25">
      <c r="A332" s="1">
        <v>909863</v>
      </c>
      <c r="B332" s="1" t="s">
        <v>74</v>
      </c>
      <c r="C332" s="1" t="s">
        <v>75</v>
      </c>
      <c r="D332" s="2">
        <v>44600.733511770835</v>
      </c>
      <c r="E332" s="1" t="s">
        <v>8</v>
      </c>
      <c r="F332" s="1">
        <v>1</v>
      </c>
      <c r="G332" s="1">
        <v>0</v>
      </c>
      <c r="H332" s="6">
        <f>INT(Query1[[#This Row],[EntryDateTime]])</f>
        <v>44600</v>
      </c>
      <c r="I332" s="1">
        <f>IF(Query1[[#This Row],[ItemType]]="EVAP KIT SF GEN IV",Query1[[#This Row],[OrderQty]]+I331,I331)</f>
        <v>358</v>
      </c>
      <c r="J332" s="1">
        <f>IF(Query1[[#This Row],[ItemType]]="EVAP KIT UNIVERSAL",Query1[[#This Row],[OrderQty]]+J331,J331)</f>
        <v>333</v>
      </c>
      <c r="K332" s="1">
        <f>Query1[[#This Row],[SF Running Total]]+Query1[[#This Row],[UNIV Running Total]]</f>
        <v>691</v>
      </c>
      <c r="L332">
        <f>VLOOKUP(Query1[[#This Row],[Description]],'kits to boards'!$B$2:$E$156,2,FALSE)</f>
        <v>830065</v>
      </c>
      <c r="M332">
        <f>VLOOKUP(Query1[[#This Row],[Description]],'kits to boards'!$B$2:$E$156,3,FALSE)</f>
        <v>0</v>
      </c>
      <c r="N332">
        <f>VLOOKUP(Query1[[#This Row],[Description]],'kits to boards'!$B$2:$E$156,4,FALSE)</f>
        <v>0</v>
      </c>
      <c r="O332" t="str">
        <f>CONCATENATE(Query1[[#This Row],[Description]]," - ",Query1[[#This Row],[MB1]]," - ",Query1[[#This Row],[MB2]]," - ",Query1[[#This Row],[MB3]])</f>
        <v>EVAP KIT 57 CHEV WO AC 4-VENT PLENUM - 830065 - 0 - 0</v>
      </c>
    </row>
    <row r="333" spans="1:15" x14ac:dyDescent="0.25">
      <c r="A333" s="1">
        <v>909863</v>
      </c>
      <c r="B333" s="1" t="s">
        <v>36</v>
      </c>
      <c r="C333" s="1" t="s">
        <v>37</v>
      </c>
      <c r="D333" s="2">
        <v>44600.734450925927</v>
      </c>
      <c r="E333" s="1" t="s">
        <v>8</v>
      </c>
      <c r="F333" s="1">
        <v>1</v>
      </c>
      <c r="G333" s="1">
        <v>0</v>
      </c>
      <c r="H333" s="6">
        <f>INT(Query1[[#This Row],[EntryDateTime]])</f>
        <v>44600</v>
      </c>
      <c r="I333" s="1">
        <f>IF(Query1[[#This Row],[ItemType]]="EVAP KIT SF GEN IV",Query1[[#This Row],[OrderQty]]+I332,I332)</f>
        <v>359</v>
      </c>
      <c r="J333" s="1">
        <f>IF(Query1[[#This Row],[ItemType]]="EVAP KIT UNIVERSAL",Query1[[#This Row],[OrderQty]]+J332,J332)</f>
        <v>333</v>
      </c>
      <c r="K333" s="1">
        <f>Query1[[#This Row],[SF Running Total]]+Query1[[#This Row],[UNIV Running Total]]</f>
        <v>692</v>
      </c>
      <c r="L333">
        <f>VLOOKUP(Query1[[#This Row],[Description]],'kits to boards'!$B$2:$E$156,2,FALSE)</f>
        <v>830015</v>
      </c>
      <c r="M333">
        <f>VLOOKUP(Query1[[#This Row],[Description]],'kits to boards'!$B$2:$E$156,3,FALSE)</f>
        <v>0</v>
      </c>
      <c r="N333">
        <f>VLOOKUP(Query1[[#This Row],[Description]],'kits to boards'!$B$2:$E$156,4,FALSE)</f>
        <v>0</v>
      </c>
      <c r="O333" t="str">
        <f>CONCATENATE(Query1[[#This Row],[Description]]," - ",Query1[[#This Row],[MB1]]," - ",Query1[[#This Row],[MB2]]," - ",Query1[[#This Row],[MB3]])</f>
        <v>EVAP KIT 64-66 CHEV P-UP WO AC W/STD - 830015 - 0 - 0</v>
      </c>
    </row>
    <row r="334" spans="1:15" x14ac:dyDescent="0.25">
      <c r="A334" s="1">
        <v>909863</v>
      </c>
      <c r="B334" s="1" t="s">
        <v>44</v>
      </c>
      <c r="C334" s="1" t="s">
        <v>45</v>
      </c>
      <c r="D334" s="2">
        <v>44600.734667974539</v>
      </c>
      <c r="E334" s="1" t="s">
        <v>8</v>
      </c>
      <c r="F334" s="1">
        <v>1</v>
      </c>
      <c r="G334" s="1">
        <v>0</v>
      </c>
      <c r="H334" s="6">
        <f>INT(Query1[[#This Row],[EntryDateTime]])</f>
        <v>44600</v>
      </c>
      <c r="I334" s="1">
        <f>IF(Query1[[#This Row],[ItemType]]="EVAP KIT SF GEN IV",Query1[[#This Row],[OrderQty]]+I333,I333)</f>
        <v>360</v>
      </c>
      <c r="J334" s="1">
        <f>IF(Query1[[#This Row],[ItemType]]="EVAP KIT UNIVERSAL",Query1[[#This Row],[OrderQty]]+J333,J333)</f>
        <v>333</v>
      </c>
      <c r="K334" s="1">
        <f>Query1[[#This Row],[SF Running Total]]+Query1[[#This Row],[UNIV Running Total]]</f>
        <v>693</v>
      </c>
      <c r="L334">
        <f>VLOOKUP(Query1[[#This Row],[Description]],'kits to boards'!$B$2:$E$156,2,FALSE)</f>
        <v>830085</v>
      </c>
      <c r="M334">
        <f>VLOOKUP(Query1[[#This Row],[Description]],'kits to boards'!$B$2:$E$156,3,FALSE)</f>
        <v>0</v>
      </c>
      <c r="N334">
        <f>VLOOKUP(Query1[[#This Row],[Description]],'kits to boards'!$B$2:$E$156,4,FALSE)</f>
        <v>0</v>
      </c>
      <c r="O334" t="str">
        <f>CONCATENATE(Query1[[#This Row],[Description]]," - ",Query1[[#This Row],[MB1]]," - ",Query1[[#This Row],[MB2]]," - ",Query1[[#This Row],[MB3]])</f>
        <v>EVAP KIT 66-77 BRONCO - 830085 - 0 - 0</v>
      </c>
    </row>
    <row r="335" spans="1:15" x14ac:dyDescent="0.25">
      <c r="A335" s="1">
        <v>906898</v>
      </c>
      <c r="B335" s="1" t="s">
        <v>34</v>
      </c>
      <c r="C335" s="1" t="s">
        <v>35</v>
      </c>
      <c r="D335" s="2">
        <v>44600.736576354167</v>
      </c>
      <c r="E335" s="1" t="s">
        <v>8</v>
      </c>
      <c r="F335" s="1">
        <v>1</v>
      </c>
      <c r="G335" s="1">
        <v>0</v>
      </c>
      <c r="H335" s="6">
        <f>INT(Query1[[#This Row],[EntryDateTime]])</f>
        <v>44600</v>
      </c>
      <c r="I335" s="1">
        <f>IF(Query1[[#This Row],[ItemType]]="EVAP KIT SF GEN IV",Query1[[#This Row],[OrderQty]]+I334,I334)</f>
        <v>361</v>
      </c>
      <c r="J335" s="1">
        <f>IF(Query1[[#This Row],[ItemType]]="EVAP KIT UNIVERSAL",Query1[[#This Row],[OrderQty]]+J334,J334)</f>
        <v>333</v>
      </c>
      <c r="K335" s="1">
        <f>Query1[[#This Row],[SF Running Total]]+Query1[[#This Row],[UNIV Running Total]]</f>
        <v>694</v>
      </c>
      <c r="L335">
        <f>VLOOKUP(Query1[[#This Row],[Description]],'kits to boards'!$B$2:$E$156,2,FALSE)</f>
        <v>830065</v>
      </c>
      <c r="M335">
        <f>VLOOKUP(Query1[[#This Row],[Description]],'kits to boards'!$B$2:$E$156,3,FALSE)</f>
        <v>0</v>
      </c>
      <c r="N335">
        <f>VLOOKUP(Query1[[#This Row],[Description]],'kits to boards'!$B$2:$E$156,4,FALSE)</f>
        <v>0</v>
      </c>
      <c r="O335" t="str">
        <f>CONCATENATE(Query1[[#This Row],[Description]]," - ",Query1[[#This Row],[MB1]]," - ",Query1[[#This Row],[MB2]]," - ",Query1[[#This Row],[MB3]])</f>
        <v>EVAP KIT 57 CHEV WO AC - 830065 - 0 - 0</v>
      </c>
    </row>
    <row r="336" spans="1:15" x14ac:dyDescent="0.25">
      <c r="A336" s="1">
        <v>909867</v>
      </c>
      <c r="B336" s="1" t="s">
        <v>98</v>
      </c>
      <c r="C336" s="1" t="s">
        <v>99</v>
      </c>
      <c r="D336" s="2">
        <v>44600.742782638888</v>
      </c>
      <c r="E336" s="1" t="s">
        <v>11</v>
      </c>
      <c r="F336" s="1">
        <v>1</v>
      </c>
      <c r="G336" s="1">
        <v>0</v>
      </c>
      <c r="H336" s="6">
        <f>INT(Query1[[#This Row],[EntryDateTime]])</f>
        <v>44600</v>
      </c>
      <c r="I336" s="1">
        <f>IF(Query1[[#This Row],[ItemType]]="EVAP KIT SF GEN IV",Query1[[#This Row],[OrderQty]]+I335,I335)</f>
        <v>361</v>
      </c>
      <c r="J336" s="1">
        <f>IF(Query1[[#This Row],[ItemType]]="EVAP KIT UNIVERSAL",Query1[[#This Row],[OrderQty]]+J335,J335)</f>
        <v>334</v>
      </c>
      <c r="K336" s="1">
        <f>Query1[[#This Row],[SF Running Total]]+Query1[[#This Row],[UNIV Running Total]]</f>
        <v>695</v>
      </c>
      <c r="L336">
        <f>VLOOKUP(Query1[[#This Row],[Description]],'kits to boards'!$B$2:$E$156,2,FALSE)</f>
        <v>830099</v>
      </c>
      <c r="M336">
        <f>VLOOKUP(Query1[[#This Row],[Description]],'kits to boards'!$B$2:$E$156,3,FALSE)</f>
        <v>0</v>
      </c>
      <c r="N336">
        <f>VLOOKUP(Query1[[#This Row],[Description]],'kits to boards'!$B$2:$E$156,4,FALSE)</f>
        <v>0</v>
      </c>
      <c r="O336" t="str">
        <f>CONCATENATE(Query1[[#This Row],[Description]]," - ",Query1[[#This Row],[MB1]]," - ",Query1[[#This Row],[MB2]]," - ",Query1[[#This Row],[MB3]])</f>
        <v>MINI GEN II W/DEF - 830099 - 0 - 0</v>
      </c>
    </row>
    <row r="337" spans="1:15" x14ac:dyDescent="0.25">
      <c r="A337" s="1">
        <v>909867</v>
      </c>
      <c r="B337" s="1" t="s">
        <v>12</v>
      </c>
      <c r="C337" s="1" t="s">
        <v>13</v>
      </c>
      <c r="D337" s="2">
        <v>44600.743340706016</v>
      </c>
      <c r="E337" s="1" t="s">
        <v>8</v>
      </c>
      <c r="F337" s="1">
        <v>1</v>
      </c>
      <c r="G337" s="1">
        <v>0</v>
      </c>
      <c r="H337" s="6">
        <f>INT(Query1[[#This Row],[EntryDateTime]])</f>
        <v>44600</v>
      </c>
      <c r="I337" s="1">
        <f>IF(Query1[[#This Row],[ItemType]]="EVAP KIT SF GEN IV",Query1[[#This Row],[OrderQty]]+I336,I336)</f>
        <v>362</v>
      </c>
      <c r="J337" s="1">
        <f>IF(Query1[[#This Row],[ItemType]]="EVAP KIT UNIVERSAL",Query1[[#This Row],[OrderQty]]+J336,J336)</f>
        <v>334</v>
      </c>
      <c r="K337" s="1">
        <f>Query1[[#This Row],[SF Running Total]]+Query1[[#This Row],[UNIV Running Total]]</f>
        <v>696</v>
      </c>
      <c r="L337">
        <f>VLOOKUP(Query1[[#This Row],[Description]],'kits to boards'!$B$2:$E$156,2,FALSE)</f>
        <v>830079</v>
      </c>
      <c r="M337">
        <f>VLOOKUP(Query1[[#This Row],[Description]],'kits to boards'!$B$2:$E$156,3,FALSE)</f>
        <v>830046</v>
      </c>
      <c r="N337">
        <f>VLOOKUP(Query1[[#This Row],[Description]],'kits to boards'!$B$2:$E$156,4,FALSE)</f>
        <v>0</v>
      </c>
      <c r="O337" t="str">
        <f>CONCATENATE(Query1[[#This Row],[Description]]," - ",Query1[[#This Row],[MB1]]," - ",Query1[[#This Row],[MB2]]," - ",Query1[[#This Row],[MB3]])</f>
        <v>EVAP KIT 67-68 MUSTANG/COUGAR W/AC - 830079 - 830046 - 0</v>
      </c>
    </row>
    <row r="338" spans="1:15" x14ac:dyDescent="0.25">
      <c r="A338" s="1">
        <v>909867</v>
      </c>
      <c r="B338" s="1" t="s">
        <v>26</v>
      </c>
      <c r="C338" s="1" t="s">
        <v>27</v>
      </c>
      <c r="D338" s="2">
        <v>44600.743568090278</v>
      </c>
      <c r="E338" s="1" t="s">
        <v>8</v>
      </c>
      <c r="F338" s="1">
        <v>4</v>
      </c>
      <c r="G338" s="1">
        <v>0</v>
      </c>
      <c r="H338" s="6">
        <f>INT(Query1[[#This Row],[EntryDateTime]])</f>
        <v>44600</v>
      </c>
      <c r="I338" s="1">
        <f>IF(Query1[[#This Row],[ItemType]]="EVAP KIT SF GEN IV",Query1[[#This Row],[OrderQty]]+I337,I337)</f>
        <v>366</v>
      </c>
      <c r="J338" s="1">
        <f>IF(Query1[[#This Row],[ItemType]]="EVAP KIT UNIVERSAL",Query1[[#This Row],[OrderQty]]+J337,J337)</f>
        <v>334</v>
      </c>
      <c r="K338" s="1">
        <f>Query1[[#This Row],[SF Running Total]]+Query1[[#This Row],[UNIV Running Total]]</f>
        <v>700</v>
      </c>
      <c r="L338">
        <f>VLOOKUP(Query1[[#This Row],[Description]],'kits to boards'!$B$2:$E$156,2,FALSE)</f>
        <v>830013</v>
      </c>
      <c r="M338">
        <f>VLOOKUP(Query1[[#This Row],[Description]],'kits to boards'!$B$2:$E$156,3,FALSE)</f>
        <v>0</v>
      </c>
      <c r="N338">
        <f>VLOOKUP(Query1[[#This Row],[Description]],'kits to boards'!$B$2:$E$156,4,FALSE)</f>
        <v>0</v>
      </c>
      <c r="O338" t="str">
        <f>CONCATENATE(Query1[[#This Row],[Description]]," - ",Query1[[#This Row],[MB1]]," - ",Query1[[#This Row],[MB2]]," - ",Query1[[#This Row],[MB3]])</f>
        <v>EVAP KIT 67-72 CHEV P-UP W/AC - 830013 - 0 - 0</v>
      </c>
    </row>
    <row r="339" spans="1:15" x14ac:dyDescent="0.25">
      <c r="A339" s="1">
        <v>909867</v>
      </c>
      <c r="B339" s="1" t="s">
        <v>46</v>
      </c>
      <c r="C339" s="1" t="s">
        <v>47</v>
      </c>
      <c r="D339" s="2">
        <v>44600.743696261576</v>
      </c>
      <c r="E339" s="1" t="s">
        <v>8</v>
      </c>
      <c r="F339" s="1">
        <v>1</v>
      </c>
      <c r="G339" s="1">
        <v>0</v>
      </c>
      <c r="H339" s="6">
        <f>INT(Query1[[#This Row],[EntryDateTime]])</f>
        <v>44600</v>
      </c>
      <c r="I339" s="1">
        <f>IF(Query1[[#This Row],[ItemType]]="EVAP KIT SF GEN IV",Query1[[#This Row],[OrderQty]]+I338,I338)</f>
        <v>367</v>
      </c>
      <c r="J339" s="1">
        <f>IF(Query1[[#This Row],[ItemType]]="EVAP KIT UNIVERSAL",Query1[[#This Row],[OrderQty]]+J338,J338)</f>
        <v>334</v>
      </c>
      <c r="K339" s="1">
        <f>Query1[[#This Row],[SF Running Total]]+Query1[[#This Row],[UNIV Running Total]]</f>
        <v>701</v>
      </c>
      <c r="L339">
        <f>VLOOKUP(Query1[[#This Row],[Description]],'kits to boards'!$B$2:$E$156,2,FALSE)</f>
        <v>830018</v>
      </c>
      <c r="M339">
        <f>VLOOKUP(Query1[[#This Row],[Description]],'kits to boards'!$B$2:$E$156,3,FALSE)</f>
        <v>0</v>
      </c>
      <c r="N339">
        <f>VLOOKUP(Query1[[#This Row],[Description]],'kits to boards'!$B$2:$E$156,4,FALSE)</f>
        <v>0</v>
      </c>
      <c r="O339" t="str">
        <f>CONCATENATE(Query1[[#This Row],[Description]]," - ",Query1[[#This Row],[MB1]]," - ",Query1[[#This Row],[MB2]]," - ",Query1[[#This Row],[MB3]])</f>
        <v>EVAP KIT 68-72 FORD P-UP F-100 - 830018 - 0 - 0</v>
      </c>
    </row>
    <row r="340" spans="1:15" x14ac:dyDescent="0.25">
      <c r="A340" s="1">
        <v>909868</v>
      </c>
      <c r="B340" s="1" t="s">
        <v>256</v>
      </c>
      <c r="C340" s="1" t="s">
        <v>257</v>
      </c>
      <c r="D340" s="2">
        <v>44600.748330057868</v>
      </c>
      <c r="E340" s="1" t="s">
        <v>8</v>
      </c>
      <c r="F340" s="1">
        <v>1</v>
      </c>
      <c r="G340" s="1">
        <v>0</v>
      </c>
      <c r="H340" s="6">
        <f>INT(Query1[[#This Row],[EntryDateTime]])</f>
        <v>44600</v>
      </c>
      <c r="I340" s="1">
        <f>IF(Query1[[#This Row],[ItemType]]="EVAP KIT SF GEN IV",Query1[[#This Row],[OrderQty]]+I339,I339)</f>
        <v>368</v>
      </c>
      <c r="J340" s="1">
        <f>IF(Query1[[#This Row],[ItemType]]="EVAP KIT UNIVERSAL",Query1[[#This Row],[OrderQty]]+J339,J339)</f>
        <v>334</v>
      </c>
      <c r="K340" s="1">
        <f>Query1[[#This Row],[SF Running Total]]+Query1[[#This Row],[UNIV Running Total]]</f>
        <v>702</v>
      </c>
      <c r="L340">
        <f>VLOOKUP(Query1[[#This Row],[Description]],'kits to boards'!$B$2:$E$156,2,FALSE)</f>
        <v>830025</v>
      </c>
      <c r="M340">
        <f>VLOOKUP(Query1[[#This Row],[Description]],'kits to boards'!$B$2:$E$156,3,FALSE)</f>
        <v>830022</v>
      </c>
      <c r="N340">
        <f>VLOOKUP(Query1[[#This Row],[Description]],'kits to boards'!$B$2:$E$156,4,FALSE)</f>
        <v>0</v>
      </c>
      <c r="O340" t="str">
        <f>CONCATENATE(Query1[[#This Row],[Description]]," - ",Query1[[#This Row],[MB1]]," - ",Query1[[#This Row],[MB2]]," - ",Query1[[#This Row],[MB3]])</f>
        <v>EVAP KIT 68-69 CUTLASS W/AC - 830025 - 830022 - 0</v>
      </c>
    </row>
    <row r="341" spans="1:15" x14ac:dyDescent="0.25">
      <c r="A341" s="1">
        <v>908138</v>
      </c>
      <c r="B341" s="1" t="s">
        <v>206</v>
      </c>
      <c r="C341" s="1" t="s">
        <v>207</v>
      </c>
      <c r="D341" s="2">
        <v>44600.750244444447</v>
      </c>
      <c r="E341" s="1" t="s">
        <v>8</v>
      </c>
      <c r="F341" s="1">
        <v>1</v>
      </c>
      <c r="G341" s="1">
        <v>0</v>
      </c>
      <c r="H341" s="6">
        <f>INT(Query1[[#This Row],[EntryDateTime]])</f>
        <v>44600</v>
      </c>
      <c r="I341" s="1">
        <f>IF(Query1[[#This Row],[ItemType]]="EVAP KIT SF GEN IV",Query1[[#This Row],[OrderQty]]+I340,I340)</f>
        <v>369</v>
      </c>
      <c r="J341" s="1">
        <f>IF(Query1[[#This Row],[ItemType]]="EVAP KIT UNIVERSAL",Query1[[#This Row],[OrderQty]]+J340,J340)</f>
        <v>334</v>
      </c>
      <c r="K341" s="1">
        <f>Query1[[#This Row],[SF Running Total]]+Query1[[#This Row],[UNIV Running Total]]</f>
        <v>703</v>
      </c>
      <c r="L341">
        <f>VLOOKUP(Query1[[#This Row],[Description]],'kits to boards'!$B$2:$E$156,2,FALSE)</f>
        <v>830032</v>
      </c>
      <c r="M341">
        <f>VLOOKUP(Query1[[#This Row],[Description]],'kits to boards'!$B$2:$E$156,3,FALSE)</f>
        <v>0</v>
      </c>
      <c r="N341">
        <f>VLOOKUP(Query1[[#This Row],[Description]],'kits to boards'!$B$2:$E$156,4,FALSE)</f>
        <v>0</v>
      </c>
      <c r="O341" t="str">
        <f>CONCATENATE(Query1[[#This Row],[Description]]," - ",Query1[[#This Row],[MB1]]," - ",Query1[[#This Row],[MB2]]," - ",Query1[[#This Row],[MB3]])</f>
        <v>EVAP KIT 61-62 VETTE - 830032 - 0 - 0</v>
      </c>
    </row>
    <row r="342" spans="1:15" x14ac:dyDescent="0.25">
      <c r="A342" s="1">
        <v>908138</v>
      </c>
      <c r="B342" s="1" t="s">
        <v>242</v>
      </c>
      <c r="C342" s="1" t="s">
        <v>243</v>
      </c>
      <c r="D342" s="2">
        <v>44600.750244444447</v>
      </c>
      <c r="E342" s="1" t="s">
        <v>8</v>
      </c>
      <c r="F342" s="1">
        <v>1</v>
      </c>
      <c r="G342" s="1">
        <v>0</v>
      </c>
      <c r="H342" s="6">
        <f>INT(Query1[[#This Row],[EntryDateTime]])</f>
        <v>44600</v>
      </c>
      <c r="I342" s="1">
        <f>IF(Query1[[#This Row],[ItemType]]="EVAP KIT SF GEN IV",Query1[[#This Row],[OrderQty]]+I341,I341)</f>
        <v>370</v>
      </c>
      <c r="J342" s="1">
        <f>IF(Query1[[#This Row],[ItemType]]="EVAP KIT UNIVERSAL",Query1[[#This Row],[OrderQty]]+J341,J341)</f>
        <v>334</v>
      </c>
      <c r="K342" s="1">
        <f>Query1[[#This Row],[SF Running Total]]+Query1[[#This Row],[UNIV Running Total]]</f>
        <v>704</v>
      </c>
      <c r="L342">
        <f>VLOOKUP(Query1[[#This Row],[Description]],'kits to boards'!$B$2:$E$156,2,FALSE)</f>
        <v>830036</v>
      </c>
      <c r="M342">
        <f>VLOOKUP(Query1[[#This Row],[Description]],'kits to boards'!$B$2:$E$156,3,FALSE)</f>
        <v>830039</v>
      </c>
      <c r="N342">
        <f>VLOOKUP(Query1[[#This Row],[Description]],'kits to boards'!$B$2:$E$156,4,FALSE)</f>
        <v>0</v>
      </c>
      <c r="O342" t="str">
        <f>CONCATENATE(Query1[[#This Row],[Description]]," - ",Query1[[#This Row],[MB1]]," - ",Query1[[#This Row],[MB2]]," - ",Query1[[#This Row],[MB3]])</f>
        <v>EVAP KIT 63-66 VETTE W/AC - 830036 - 830039 - 0</v>
      </c>
    </row>
    <row r="343" spans="1:15" x14ac:dyDescent="0.25">
      <c r="A343" s="1">
        <v>909869</v>
      </c>
      <c r="B343" s="1" t="s">
        <v>42</v>
      </c>
      <c r="C343" s="1" t="s">
        <v>43</v>
      </c>
      <c r="D343" s="2">
        <v>44600.755052511573</v>
      </c>
      <c r="E343" s="1" t="s">
        <v>8</v>
      </c>
      <c r="F343" s="1">
        <v>1</v>
      </c>
      <c r="G343" s="1">
        <v>0</v>
      </c>
      <c r="H343" s="6">
        <f>INT(Query1[[#This Row],[EntryDateTime]])</f>
        <v>44600</v>
      </c>
      <c r="I343" s="1">
        <f>IF(Query1[[#This Row],[ItemType]]="EVAP KIT SF GEN IV",Query1[[#This Row],[OrderQty]]+I342,I342)</f>
        <v>371</v>
      </c>
      <c r="J343" s="1">
        <f>IF(Query1[[#This Row],[ItemType]]="EVAP KIT UNIVERSAL",Query1[[#This Row],[OrderQty]]+J342,J342)</f>
        <v>334</v>
      </c>
      <c r="K343" s="1">
        <f>Query1[[#This Row],[SF Running Total]]+Query1[[#This Row],[UNIV Running Total]]</f>
        <v>705</v>
      </c>
      <c r="L343">
        <f>VLOOKUP(Query1[[#This Row],[Description]],'kits to boards'!$B$2:$E$156,2,FALSE)</f>
        <v>830014</v>
      </c>
      <c r="M343">
        <f>VLOOKUP(Query1[[#This Row],[Description]],'kits to boards'!$B$2:$E$156,3,FALSE)</f>
        <v>0</v>
      </c>
      <c r="N343">
        <f>VLOOKUP(Query1[[#This Row],[Description]],'kits to boards'!$B$2:$E$156,4,FALSE)</f>
        <v>0</v>
      </c>
      <c r="O343" t="str">
        <f>CONCATENATE(Query1[[#This Row],[Description]]," - ",Query1[[#This Row],[MB1]]," - ",Query1[[#This Row],[MB2]]," - ",Query1[[#This Row],[MB3]])</f>
        <v>EVAP KIT 67-72 CHEV P-UP WO AC - 830014 - 0 - 0</v>
      </c>
    </row>
    <row r="344" spans="1:15" x14ac:dyDescent="0.25">
      <c r="A344" s="1">
        <v>909870</v>
      </c>
      <c r="B344" s="1" t="s">
        <v>184</v>
      </c>
      <c r="C344" s="1" t="s">
        <v>185</v>
      </c>
      <c r="D344" s="2">
        <v>44600.759213773148</v>
      </c>
      <c r="E344" s="1" t="s">
        <v>8</v>
      </c>
      <c r="F344" s="1">
        <v>1</v>
      </c>
      <c r="G344" s="1">
        <v>0</v>
      </c>
      <c r="H344" s="6">
        <f>INT(Query1[[#This Row],[EntryDateTime]])</f>
        <v>44600</v>
      </c>
      <c r="I344" s="1">
        <f>IF(Query1[[#This Row],[ItemType]]="EVAP KIT SF GEN IV",Query1[[#This Row],[OrderQty]]+I343,I343)</f>
        <v>372</v>
      </c>
      <c r="J344" s="1">
        <f>IF(Query1[[#This Row],[ItemType]]="EVAP KIT UNIVERSAL",Query1[[#This Row],[OrderQty]]+J343,J343)</f>
        <v>334</v>
      </c>
      <c r="K344" s="1">
        <f>Query1[[#This Row],[SF Running Total]]+Query1[[#This Row],[UNIV Running Total]]</f>
        <v>706</v>
      </c>
      <c r="L344">
        <f>VLOOKUP(Query1[[#This Row],[Description]],'kits to boards'!$B$2:$E$156,2,FALSE)</f>
        <v>830042</v>
      </c>
      <c r="M344">
        <f>VLOOKUP(Query1[[#This Row],[Description]],'kits to boards'!$B$2:$E$156,3,FALSE)</f>
        <v>0</v>
      </c>
      <c r="N344">
        <f>VLOOKUP(Query1[[#This Row],[Description]],'kits to boards'!$B$2:$E$156,4,FALSE)</f>
        <v>0</v>
      </c>
      <c r="O344" t="str">
        <f>CONCATENATE(Query1[[#This Row],[Description]]," - ",Query1[[#This Row],[MB1]]," - ",Query1[[#This Row],[MB2]]," - ",Query1[[#This Row],[MB3]])</f>
        <v>EVAP KIT 68-83 TOYOTA FJ40 - 830042 - 0 - 0</v>
      </c>
    </row>
    <row r="345" spans="1:15" x14ac:dyDescent="0.25">
      <c r="A345" s="1">
        <v>909872</v>
      </c>
      <c r="B345" s="1" t="s">
        <v>32</v>
      </c>
      <c r="C345" s="1" t="s">
        <v>33</v>
      </c>
      <c r="D345" s="2">
        <v>44600.765449918981</v>
      </c>
      <c r="E345" s="1" t="s">
        <v>8</v>
      </c>
      <c r="F345" s="1">
        <v>1</v>
      </c>
      <c r="G345" s="1">
        <v>0</v>
      </c>
      <c r="H345" s="6">
        <f>INT(Query1[[#This Row],[EntryDateTime]])</f>
        <v>44600</v>
      </c>
      <c r="I345" s="1">
        <f>IF(Query1[[#This Row],[ItemType]]="EVAP KIT SF GEN IV",Query1[[#This Row],[OrderQty]]+I344,I344)</f>
        <v>373</v>
      </c>
      <c r="J345" s="1">
        <f>IF(Query1[[#This Row],[ItemType]]="EVAP KIT UNIVERSAL",Query1[[#This Row],[OrderQty]]+J344,J344)</f>
        <v>334</v>
      </c>
      <c r="K345" s="1">
        <f>Query1[[#This Row],[SF Running Total]]+Query1[[#This Row],[UNIV Running Total]]</f>
        <v>707</v>
      </c>
      <c r="L345">
        <f>VLOOKUP(Query1[[#This Row],[Description]],'kits to boards'!$B$2:$E$156,2,FALSE)</f>
        <v>830016</v>
      </c>
      <c r="M345">
        <f>VLOOKUP(Query1[[#This Row],[Description]],'kits to boards'!$B$2:$E$156,3,FALSE)</f>
        <v>0</v>
      </c>
      <c r="N345">
        <f>VLOOKUP(Query1[[#This Row],[Description]],'kits to boards'!$B$2:$E$156,4,FALSE)</f>
        <v>0</v>
      </c>
      <c r="O345" t="str">
        <f>CONCATENATE(Query1[[#This Row],[Description]]," - ",Query1[[#This Row],[MB1]]," - ",Query1[[#This Row],[MB2]]," - ",Query1[[#This Row],[MB3]])</f>
        <v>EVAP KIT 67-68 CAMARO/FIREBIRD W/AC - 830016 - 0 - 0</v>
      </c>
    </row>
    <row r="346" spans="1:15" x14ac:dyDescent="0.25">
      <c r="A346" s="1">
        <v>909872</v>
      </c>
      <c r="B346" s="1" t="s">
        <v>132</v>
      </c>
      <c r="C346" s="1" t="s">
        <v>133</v>
      </c>
      <c r="D346" s="2">
        <v>44600.765540081018</v>
      </c>
      <c r="E346" s="1" t="s">
        <v>8</v>
      </c>
      <c r="F346" s="1">
        <v>1</v>
      </c>
      <c r="G346" s="1">
        <v>0</v>
      </c>
      <c r="H346" s="6">
        <f>INT(Query1[[#This Row],[EntryDateTime]])</f>
        <v>44600</v>
      </c>
      <c r="I346" s="1">
        <f>IF(Query1[[#This Row],[ItemType]]="EVAP KIT SF GEN IV",Query1[[#This Row],[OrderQty]]+I345,I345)</f>
        <v>374</v>
      </c>
      <c r="J346" s="1">
        <f>IF(Query1[[#This Row],[ItemType]]="EVAP KIT UNIVERSAL",Query1[[#This Row],[OrderQty]]+J345,J345)</f>
        <v>334</v>
      </c>
      <c r="K346" s="1">
        <f>Query1[[#This Row],[SF Running Total]]+Query1[[#This Row],[UNIV Running Total]]</f>
        <v>708</v>
      </c>
      <c r="L346">
        <f>VLOOKUP(Query1[[#This Row],[Description]],'kits to boards'!$B$2:$E$156,2,FALSE)</f>
        <v>830005</v>
      </c>
      <c r="M346">
        <f>VLOOKUP(Query1[[#This Row],[Description]],'kits to boards'!$B$2:$E$156,3,FALSE)</f>
        <v>0</v>
      </c>
      <c r="N346">
        <f>VLOOKUP(Query1[[#This Row],[Description]],'kits to boards'!$B$2:$E$156,4,FALSE)</f>
        <v>0</v>
      </c>
      <c r="O346" t="str">
        <f>CONCATENATE(Query1[[#This Row],[Description]]," - ",Query1[[#This Row],[MB1]]," - ",Query1[[#This Row],[MB2]]," - ",Query1[[#This Row],[MB3]])</f>
        <v>EVAP KIT 61-62 IMPALA WO AC - 830005 - 0 - 0</v>
      </c>
    </row>
    <row r="347" spans="1:15" x14ac:dyDescent="0.25">
      <c r="A347" s="1">
        <v>909872</v>
      </c>
      <c r="B347" s="1" t="s">
        <v>128</v>
      </c>
      <c r="C347" s="1" t="s">
        <v>129</v>
      </c>
      <c r="D347" s="2">
        <v>44600.765727314814</v>
      </c>
      <c r="E347" s="1" t="s">
        <v>8</v>
      </c>
      <c r="F347" s="1">
        <v>2</v>
      </c>
      <c r="G347" s="1">
        <v>0</v>
      </c>
      <c r="H347" s="6">
        <f>INT(Query1[[#This Row],[EntryDateTime]])</f>
        <v>44600</v>
      </c>
      <c r="I347" s="1">
        <f>IF(Query1[[#This Row],[ItemType]]="EVAP KIT SF GEN IV",Query1[[#This Row],[OrderQty]]+I346,I346)</f>
        <v>376</v>
      </c>
      <c r="J347" s="1">
        <f>IF(Query1[[#This Row],[ItemType]]="EVAP KIT UNIVERSAL",Query1[[#This Row],[OrderQty]]+J346,J346)</f>
        <v>334</v>
      </c>
      <c r="K347" s="1">
        <f>Query1[[#This Row],[SF Running Total]]+Query1[[#This Row],[UNIV Running Total]]</f>
        <v>710</v>
      </c>
      <c r="L347">
        <f>VLOOKUP(Query1[[#This Row],[Description]],'kits to boards'!$B$2:$E$156,2,FALSE)</f>
        <v>830036</v>
      </c>
      <c r="M347">
        <f>VLOOKUP(Query1[[#This Row],[Description]],'kits to boards'!$B$2:$E$156,3,FALSE)</f>
        <v>830039</v>
      </c>
      <c r="N347">
        <f>VLOOKUP(Query1[[#This Row],[Description]],'kits to boards'!$B$2:$E$156,4,FALSE)</f>
        <v>0</v>
      </c>
      <c r="O347" t="str">
        <f>CONCATENATE(Query1[[#This Row],[Description]]," - ",Query1[[#This Row],[MB1]]," - ",Query1[[#This Row],[MB2]]," - ",Query1[[#This Row],[MB3]])</f>
        <v>EVAP KIT 63-66 VETTE WO AC - 830036 - 830039 - 0</v>
      </c>
    </row>
    <row r="348" spans="1:15" x14ac:dyDescent="0.25">
      <c r="A348" s="1">
        <v>909872</v>
      </c>
      <c r="B348" s="1" t="s">
        <v>285</v>
      </c>
      <c r="C348" s="1" t="s">
        <v>286</v>
      </c>
      <c r="D348" s="2">
        <v>44600.765880324077</v>
      </c>
      <c r="E348" s="1" t="s">
        <v>8</v>
      </c>
      <c r="F348" s="1">
        <v>2</v>
      </c>
      <c r="G348" s="1">
        <v>0</v>
      </c>
      <c r="H348" s="6">
        <f>INT(Query1[[#This Row],[EntryDateTime]])</f>
        <v>44600</v>
      </c>
      <c r="I348" s="1">
        <f>IF(Query1[[#This Row],[ItemType]]="EVAP KIT SF GEN IV",Query1[[#This Row],[OrderQty]]+I347,I347)</f>
        <v>378</v>
      </c>
      <c r="J348" s="1">
        <f>IF(Query1[[#This Row],[ItemType]]="EVAP KIT UNIVERSAL",Query1[[#This Row],[OrderQty]]+J347,J347)</f>
        <v>334</v>
      </c>
      <c r="K348" s="1">
        <f>Query1[[#This Row],[SF Running Total]]+Query1[[#This Row],[UNIV Running Total]]</f>
        <v>712</v>
      </c>
      <c r="L348">
        <f>VLOOKUP(Query1[[#This Row],[Description]],'kits to boards'!$B$2:$E$156,2,FALSE)</f>
        <v>830033</v>
      </c>
      <c r="M348">
        <f>VLOOKUP(Query1[[#This Row],[Description]],'kits to boards'!$B$2:$E$156,3,FALSE)</f>
        <v>0</v>
      </c>
      <c r="N348">
        <f>VLOOKUP(Query1[[#This Row],[Description]],'kits to boards'!$B$2:$E$156,4,FALSE)</f>
        <v>0</v>
      </c>
      <c r="O348" t="str">
        <f>CONCATENATE(Query1[[#This Row],[Description]]," - ",Query1[[#This Row],[MB1]]," - ",Query1[[#This Row],[MB2]]," - ",Query1[[#This Row],[MB3]])</f>
        <v>EVAP KIT 66-67 CHARGER/CORONET W/AC - 830033 - 0 - 0</v>
      </c>
    </row>
    <row r="349" spans="1:15" x14ac:dyDescent="0.25">
      <c r="A349" s="1">
        <v>909872</v>
      </c>
      <c r="B349" s="1" t="s">
        <v>48</v>
      </c>
      <c r="C349" s="1" t="s">
        <v>49</v>
      </c>
      <c r="D349" s="2">
        <v>44600.766028703707</v>
      </c>
      <c r="E349" s="1" t="s">
        <v>8</v>
      </c>
      <c r="F349" s="1">
        <v>1</v>
      </c>
      <c r="G349" s="1">
        <v>0</v>
      </c>
      <c r="H349" s="6">
        <f>INT(Query1[[#This Row],[EntryDateTime]])</f>
        <v>44600</v>
      </c>
      <c r="I349" s="1">
        <f>IF(Query1[[#This Row],[ItemType]]="EVAP KIT SF GEN IV",Query1[[#This Row],[OrderQty]]+I348,I348)</f>
        <v>379</v>
      </c>
      <c r="J349" s="1">
        <f>IF(Query1[[#This Row],[ItemType]]="EVAP KIT UNIVERSAL",Query1[[#This Row],[OrderQty]]+J348,J348)</f>
        <v>334</v>
      </c>
      <c r="K349" s="1">
        <f>Query1[[#This Row],[SF Running Total]]+Query1[[#This Row],[UNIV Running Total]]</f>
        <v>713</v>
      </c>
      <c r="L349">
        <f>VLOOKUP(Query1[[#This Row],[Description]],'kits to boards'!$B$2:$E$156,2,FALSE)</f>
        <v>830015</v>
      </c>
      <c r="M349">
        <f>VLOOKUP(Query1[[#This Row],[Description]],'kits to boards'!$B$2:$E$156,3,FALSE)</f>
        <v>0</v>
      </c>
      <c r="N349">
        <f>VLOOKUP(Query1[[#This Row],[Description]],'kits to boards'!$B$2:$E$156,4,FALSE)</f>
        <v>0</v>
      </c>
      <c r="O349" t="str">
        <f>CONCATENATE(Query1[[#This Row],[Description]]," - ",Query1[[#This Row],[MB1]]," - ",Query1[[#This Row],[MB2]]," - ",Query1[[#This Row],[MB3]])</f>
        <v>EVAP KIT 64-66 CHEV P-UP WO AC W/DELX - 830015 - 0 - 0</v>
      </c>
    </row>
    <row r="350" spans="1:15" x14ac:dyDescent="0.25">
      <c r="A350" s="1">
        <v>909872</v>
      </c>
      <c r="B350" s="1" t="s">
        <v>88</v>
      </c>
      <c r="C350" s="1" t="s">
        <v>89</v>
      </c>
      <c r="D350" s="2">
        <v>44600.766156365738</v>
      </c>
      <c r="E350" s="1" t="s">
        <v>8</v>
      </c>
      <c r="F350" s="1">
        <v>2</v>
      </c>
      <c r="G350" s="1">
        <v>0</v>
      </c>
      <c r="H350" s="6">
        <f>INT(Query1[[#This Row],[EntryDateTime]])</f>
        <v>44600</v>
      </c>
      <c r="I350" s="1">
        <f>IF(Query1[[#This Row],[ItemType]]="EVAP KIT SF GEN IV",Query1[[#This Row],[OrderQty]]+I349,I349)</f>
        <v>381</v>
      </c>
      <c r="J350" s="1">
        <f>IF(Query1[[#This Row],[ItemType]]="EVAP KIT UNIVERSAL",Query1[[#This Row],[OrderQty]]+J349,J349)</f>
        <v>334</v>
      </c>
      <c r="K350" s="1">
        <f>Query1[[#This Row],[SF Running Total]]+Query1[[#This Row],[UNIV Running Total]]</f>
        <v>715</v>
      </c>
      <c r="L350">
        <f>VLOOKUP(Query1[[#This Row],[Description]],'kits to boards'!$B$2:$E$156,2,FALSE)</f>
        <v>830003</v>
      </c>
      <c r="M350">
        <f>VLOOKUP(Query1[[#This Row],[Description]],'kits to boards'!$B$2:$E$156,3,FALSE)</f>
        <v>0</v>
      </c>
      <c r="N350">
        <f>VLOOKUP(Query1[[#This Row],[Description]],'kits to boards'!$B$2:$E$156,4,FALSE)</f>
        <v>0</v>
      </c>
      <c r="O350" t="str">
        <f>CONCATENATE(Query1[[#This Row],[Description]]," - ",Query1[[#This Row],[MB1]]," - ",Query1[[#This Row],[MB2]]," - ",Query1[[#This Row],[MB3]])</f>
        <v>EVAP KIT 81-87 CHEV P-UP WO AC - 830003 - 0 - 0</v>
      </c>
    </row>
    <row r="351" spans="1:15" x14ac:dyDescent="0.25">
      <c r="A351" s="1">
        <v>909872</v>
      </c>
      <c r="B351" s="1" t="s">
        <v>502</v>
      </c>
      <c r="C351" s="1" t="s">
        <v>503</v>
      </c>
      <c r="D351" s="2">
        <v>44600.766301967589</v>
      </c>
      <c r="E351" s="1" t="s">
        <v>677</v>
      </c>
      <c r="F351" s="1">
        <v>2</v>
      </c>
      <c r="G351" s="1">
        <v>0</v>
      </c>
      <c r="H351" s="6">
        <f>INT(Query1[[#This Row],[EntryDateTime]])</f>
        <v>44600</v>
      </c>
      <c r="I351" s="1">
        <f>IF(Query1[[#This Row],[ItemType]]="EVAP KIT SF GEN IV",Query1[[#This Row],[OrderQty]]+I350,I350)</f>
        <v>381</v>
      </c>
      <c r="J351" s="1">
        <f>IF(Query1[[#This Row],[ItemType]]="EVAP KIT UNIVERSAL",Query1[[#This Row],[OrderQty]]+J350,J350)</f>
        <v>334</v>
      </c>
      <c r="K351" s="1">
        <f>Query1[[#This Row],[SF Running Total]]+Query1[[#This Row],[UNIV Running Total]]</f>
        <v>715</v>
      </c>
      <c r="L351" t="e">
        <f>VLOOKUP(Query1[[#This Row],[Description]],'kits to boards'!$B$2:$E$156,2,FALSE)</f>
        <v>#N/A</v>
      </c>
      <c r="M351" t="e">
        <f>VLOOKUP(Query1[[#This Row],[Description]],'kits to boards'!$B$2:$E$156,3,FALSE)</f>
        <v>#N/A</v>
      </c>
      <c r="N351" t="e">
        <f>VLOOKUP(Query1[[#This Row],[Description]],'kits to boards'!$B$2:$E$156,4,FALSE)</f>
        <v>#N/A</v>
      </c>
      <c r="O351" t="e">
        <f>CONCATENATE(Query1[[#This Row],[Description]]," - ",Query1[[#This Row],[MB1]]," - ",Query1[[#This Row],[MB2]]," - ",Query1[[#This Row],[MB3]])</f>
        <v>#N/A</v>
      </c>
    </row>
    <row r="352" spans="1:15" x14ac:dyDescent="0.25">
      <c r="A352" s="1">
        <v>909874</v>
      </c>
      <c r="B352" s="1" t="s">
        <v>84</v>
      </c>
      <c r="C352" s="1" t="s">
        <v>85</v>
      </c>
      <c r="D352" s="2">
        <v>44600.781288043981</v>
      </c>
      <c r="E352" s="1" t="s">
        <v>8</v>
      </c>
      <c r="F352" s="1">
        <v>1</v>
      </c>
      <c r="G352" s="1">
        <v>0</v>
      </c>
      <c r="H352" s="6">
        <f>INT(Query1[[#This Row],[EntryDateTime]])</f>
        <v>44600</v>
      </c>
      <c r="I352" s="1">
        <f>IF(Query1[[#This Row],[ItemType]]="EVAP KIT SF GEN IV",Query1[[#This Row],[OrderQty]]+I351,I351)</f>
        <v>382</v>
      </c>
      <c r="J352" s="1">
        <f>IF(Query1[[#This Row],[ItemType]]="EVAP KIT UNIVERSAL",Query1[[#This Row],[OrderQty]]+J351,J351)</f>
        <v>334</v>
      </c>
      <c r="K352" s="1">
        <f>Query1[[#This Row],[SF Running Total]]+Query1[[#This Row],[UNIV Running Total]]</f>
        <v>716</v>
      </c>
      <c r="L352">
        <f>VLOOKUP(Query1[[#This Row],[Description]],'kits to boards'!$B$2:$E$156,2,FALSE)</f>
        <v>830085</v>
      </c>
      <c r="M352">
        <f>VLOOKUP(Query1[[#This Row],[Description]],'kits to boards'!$B$2:$E$156,3,FALSE)</f>
        <v>0</v>
      </c>
      <c r="N352">
        <f>VLOOKUP(Query1[[#This Row],[Description]],'kits to boards'!$B$2:$E$156,4,FALSE)</f>
        <v>0</v>
      </c>
      <c r="O352" t="str">
        <f>CONCATENATE(Query1[[#This Row],[Description]]," - ",Query1[[#This Row],[MB1]]," - ",Query1[[#This Row],[MB2]]," - ",Query1[[#This Row],[MB3]])</f>
        <v>EVAP KIT 66-77 BRONCO 4-VENT PLENUM - 830085 - 0 - 0</v>
      </c>
    </row>
    <row r="353" spans="1:15" x14ac:dyDescent="0.25">
      <c r="A353" s="1">
        <v>909876</v>
      </c>
      <c r="B353" s="1" t="s">
        <v>44</v>
      </c>
      <c r="C353" s="1" t="s">
        <v>45</v>
      </c>
      <c r="D353" s="2">
        <v>44600.78757847222</v>
      </c>
      <c r="E353" s="1" t="s">
        <v>8</v>
      </c>
      <c r="F353" s="1">
        <v>1</v>
      </c>
      <c r="G353" s="1">
        <v>0</v>
      </c>
      <c r="H353" s="6">
        <f>INT(Query1[[#This Row],[EntryDateTime]])</f>
        <v>44600</v>
      </c>
      <c r="I353" s="1">
        <f>IF(Query1[[#This Row],[ItemType]]="EVAP KIT SF GEN IV",Query1[[#This Row],[OrderQty]]+I352,I352)</f>
        <v>383</v>
      </c>
      <c r="J353" s="1">
        <f>IF(Query1[[#This Row],[ItemType]]="EVAP KIT UNIVERSAL",Query1[[#This Row],[OrderQty]]+J352,J352)</f>
        <v>334</v>
      </c>
      <c r="K353" s="1">
        <f>Query1[[#This Row],[SF Running Total]]+Query1[[#This Row],[UNIV Running Total]]</f>
        <v>717</v>
      </c>
      <c r="L353">
        <f>VLOOKUP(Query1[[#This Row],[Description]],'kits to boards'!$B$2:$E$156,2,FALSE)</f>
        <v>830085</v>
      </c>
      <c r="M353">
        <f>VLOOKUP(Query1[[#This Row],[Description]],'kits to boards'!$B$2:$E$156,3,FALSE)</f>
        <v>0</v>
      </c>
      <c r="N353">
        <f>VLOOKUP(Query1[[#This Row],[Description]],'kits to boards'!$B$2:$E$156,4,FALSE)</f>
        <v>0</v>
      </c>
      <c r="O353" t="str">
        <f>CONCATENATE(Query1[[#This Row],[Description]]," - ",Query1[[#This Row],[MB1]]," - ",Query1[[#This Row],[MB2]]," - ",Query1[[#This Row],[MB3]])</f>
        <v>EVAP KIT 66-77 BRONCO - 830085 - 0 - 0</v>
      </c>
    </row>
    <row r="354" spans="1:15" x14ac:dyDescent="0.25">
      <c r="A354" s="1">
        <v>909879</v>
      </c>
      <c r="B354" s="1" t="s">
        <v>96</v>
      </c>
      <c r="C354" s="1" t="s">
        <v>97</v>
      </c>
      <c r="D354" s="2">
        <v>44600.796948414354</v>
      </c>
      <c r="E354" s="1" t="s">
        <v>8</v>
      </c>
      <c r="F354" s="1">
        <v>1</v>
      </c>
      <c r="G354" s="1">
        <v>0</v>
      </c>
      <c r="H354" s="6">
        <f>INT(Query1[[#This Row],[EntryDateTime]])</f>
        <v>44600</v>
      </c>
      <c r="I354" s="1">
        <f>IF(Query1[[#This Row],[ItemType]]="EVAP KIT SF GEN IV",Query1[[#This Row],[OrderQty]]+I353,I353)</f>
        <v>384</v>
      </c>
      <c r="J354" s="1">
        <f>IF(Query1[[#This Row],[ItemType]]="EVAP KIT UNIVERSAL",Query1[[#This Row],[OrderQty]]+J353,J353)</f>
        <v>334</v>
      </c>
      <c r="K354" s="1">
        <f>Query1[[#This Row],[SF Running Total]]+Query1[[#This Row],[UNIV Running Total]]</f>
        <v>718</v>
      </c>
      <c r="L354">
        <f>VLOOKUP(Query1[[#This Row],[Description]],'kits to boards'!$B$2:$E$156,2,FALSE)</f>
        <v>830004</v>
      </c>
      <c r="M354">
        <f>VLOOKUP(Query1[[#This Row],[Description]],'kits to boards'!$B$2:$E$156,3,FALSE)</f>
        <v>0</v>
      </c>
      <c r="N354">
        <f>VLOOKUP(Query1[[#This Row],[Description]],'kits to boards'!$B$2:$E$156,4,FALSE)</f>
        <v>0</v>
      </c>
      <c r="O354" t="str">
        <f>CONCATENATE(Query1[[#This Row],[Description]]," - ",Query1[[#This Row],[MB1]]," - ",Query1[[#This Row],[MB2]]," - ",Query1[[#This Row],[MB3]])</f>
        <v>EVAP KIT 81-87 CHEV P-UP W/AC - 830004 - 0 - 0</v>
      </c>
    </row>
    <row r="355" spans="1:15" x14ac:dyDescent="0.25">
      <c r="A355" s="1">
        <v>909881</v>
      </c>
      <c r="B355" s="1" t="s">
        <v>64</v>
      </c>
      <c r="C355" s="1" t="s">
        <v>65</v>
      </c>
      <c r="D355" s="2">
        <v>44601.186221180556</v>
      </c>
      <c r="E355" s="1" t="s">
        <v>8</v>
      </c>
      <c r="F355" s="1">
        <v>1</v>
      </c>
      <c r="G355" s="1">
        <v>0</v>
      </c>
      <c r="H355" s="6">
        <f>INT(Query1[[#This Row],[EntryDateTime]])</f>
        <v>44601</v>
      </c>
      <c r="I355" s="1">
        <f>IF(Query1[[#This Row],[ItemType]]="EVAP KIT SF GEN IV",Query1[[#This Row],[OrderQty]]+I354,I354)</f>
        <v>385</v>
      </c>
      <c r="J355" s="1">
        <f>IF(Query1[[#This Row],[ItemType]]="EVAP KIT UNIVERSAL",Query1[[#This Row],[OrderQty]]+J354,J354)</f>
        <v>334</v>
      </c>
      <c r="K355" s="1">
        <f>Query1[[#This Row],[SF Running Total]]+Query1[[#This Row],[UNIV Running Total]]</f>
        <v>719</v>
      </c>
      <c r="L355">
        <f>VLOOKUP(Query1[[#This Row],[Description]],'kits to boards'!$B$2:$E$156,2,FALSE)</f>
        <v>830067</v>
      </c>
      <c r="M355">
        <f>VLOOKUP(Query1[[#This Row],[Description]],'kits to boards'!$B$2:$E$156,3,FALSE)</f>
        <v>0</v>
      </c>
      <c r="N355">
        <f>VLOOKUP(Query1[[#This Row],[Description]],'kits to boards'!$B$2:$E$156,4,FALSE)</f>
        <v>0</v>
      </c>
      <c r="O355" t="str">
        <f>CONCATENATE(Query1[[#This Row],[Description]]," - ",Query1[[#This Row],[MB1]]," - ",Query1[[#This Row],[MB2]]," - ",Query1[[#This Row],[MB3]])</f>
        <v>EVAP KIT 59-60 CHEV CAR 4-LEVER - 830067 - 0 - 0</v>
      </c>
    </row>
    <row r="356" spans="1:15" x14ac:dyDescent="0.25">
      <c r="A356" s="1">
        <v>909884</v>
      </c>
      <c r="B356" s="1" t="s">
        <v>112</v>
      </c>
      <c r="C356" s="1" t="s">
        <v>113</v>
      </c>
      <c r="D356" s="2">
        <v>44601.204383877317</v>
      </c>
      <c r="E356" s="1" t="s">
        <v>8</v>
      </c>
      <c r="F356" s="1">
        <v>1</v>
      </c>
      <c r="G356" s="1">
        <v>0</v>
      </c>
      <c r="H356" s="6">
        <f>INT(Query1[[#This Row],[EntryDateTime]])</f>
        <v>44601</v>
      </c>
      <c r="I356" s="1">
        <f>IF(Query1[[#This Row],[ItemType]]="EVAP KIT SF GEN IV",Query1[[#This Row],[OrderQty]]+I355,I355)</f>
        <v>386</v>
      </c>
      <c r="J356" s="1">
        <f>IF(Query1[[#This Row],[ItemType]]="EVAP KIT UNIVERSAL",Query1[[#This Row],[OrderQty]]+J355,J355)</f>
        <v>334</v>
      </c>
      <c r="K356" s="1">
        <f>Query1[[#This Row],[SF Running Total]]+Query1[[#This Row],[UNIV Running Total]]</f>
        <v>720</v>
      </c>
      <c r="L356">
        <f>VLOOKUP(Query1[[#This Row],[Description]],'kits to boards'!$B$2:$E$156,2,FALSE)</f>
        <v>830063</v>
      </c>
      <c r="M356">
        <f>VLOOKUP(Query1[[#This Row],[Description]],'kits to boards'!$B$2:$E$156,3,FALSE)</f>
        <v>0</v>
      </c>
      <c r="N356">
        <f>VLOOKUP(Query1[[#This Row],[Description]],'kits to boards'!$B$2:$E$156,4,FALSE)</f>
        <v>0</v>
      </c>
      <c r="O356" t="str">
        <f>CONCATENATE(Query1[[#This Row],[Description]]," - ",Query1[[#This Row],[MB1]]," - ",Query1[[#This Row],[MB2]]," - ",Query1[[#This Row],[MB3]])</f>
        <v>EVAP KIT 54-55 CHEV P-UP GEN IV - 830063 - 0 - 0</v>
      </c>
    </row>
    <row r="357" spans="1:15" x14ac:dyDescent="0.25">
      <c r="A357" s="1">
        <v>909887</v>
      </c>
      <c r="B357" s="1" t="s">
        <v>114</v>
      </c>
      <c r="C357" s="1" t="s">
        <v>115</v>
      </c>
      <c r="D357" s="2">
        <v>44601.216503703705</v>
      </c>
      <c r="E357" s="1" t="s">
        <v>8</v>
      </c>
      <c r="F357" s="1">
        <v>1</v>
      </c>
      <c r="G357" s="1">
        <v>0</v>
      </c>
      <c r="H357" s="6">
        <f>INT(Query1[[#This Row],[EntryDateTime]])</f>
        <v>44601</v>
      </c>
      <c r="I357" s="1">
        <f>IF(Query1[[#This Row],[ItemType]]="EVAP KIT SF GEN IV",Query1[[#This Row],[OrderQty]]+I356,I356)</f>
        <v>387</v>
      </c>
      <c r="J357" s="1">
        <f>IF(Query1[[#This Row],[ItemType]]="EVAP KIT UNIVERSAL",Query1[[#This Row],[OrderQty]]+J356,J356)</f>
        <v>334</v>
      </c>
      <c r="K357" s="1">
        <f>Query1[[#This Row],[SF Running Total]]+Query1[[#This Row],[UNIV Running Total]]</f>
        <v>721</v>
      </c>
      <c r="L357">
        <f>VLOOKUP(Query1[[#This Row],[Description]],'kits to boards'!$B$2:$E$156,2,FALSE)</f>
        <v>830059</v>
      </c>
      <c r="M357">
        <f>VLOOKUP(Query1[[#This Row],[Description]],'kits to boards'!$B$2:$E$156,3,FALSE)</f>
        <v>0</v>
      </c>
      <c r="N357">
        <f>VLOOKUP(Query1[[#This Row],[Description]],'kits to boards'!$B$2:$E$156,4,FALSE)</f>
        <v>0</v>
      </c>
      <c r="O357" t="str">
        <f>CONCATENATE(Query1[[#This Row],[Description]]," - ",Query1[[#This Row],[MB1]]," - ",Query1[[#This Row],[MB2]]," - ",Query1[[#This Row],[MB3]])</f>
        <v>EVAP KIT 66-67 CHEVELLE W/AC - 830059 - 0 - 0</v>
      </c>
    </row>
    <row r="358" spans="1:15" x14ac:dyDescent="0.25">
      <c r="A358" s="1">
        <v>909896</v>
      </c>
      <c r="B358" s="1" t="s">
        <v>42</v>
      </c>
      <c r="C358" s="1" t="s">
        <v>43</v>
      </c>
      <c r="D358" s="2">
        <v>44601.300463541666</v>
      </c>
      <c r="E358" s="1" t="s">
        <v>8</v>
      </c>
      <c r="F358" s="1">
        <v>1</v>
      </c>
      <c r="G358" s="1">
        <v>0</v>
      </c>
      <c r="H358" s="6">
        <f>INT(Query1[[#This Row],[EntryDateTime]])</f>
        <v>44601</v>
      </c>
      <c r="I358" s="1">
        <f>IF(Query1[[#This Row],[ItemType]]="EVAP KIT SF GEN IV",Query1[[#This Row],[OrderQty]]+I357,I357)</f>
        <v>388</v>
      </c>
      <c r="J358" s="1">
        <f>IF(Query1[[#This Row],[ItemType]]="EVAP KIT UNIVERSAL",Query1[[#This Row],[OrderQty]]+J357,J357)</f>
        <v>334</v>
      </c>
      <c r="K358" s="1">
        <f>Query1[[#This Row],[SF Running Total]]+Query1[[#This Row],[UNIV Running Total]]</f>
        <v>722</v>
      </c>
      <c r="L358">
        <f>VLOOKUP(Query1[[#This Row],[Description]],'kits to boards'!$B$2:$E$156,2,FALSE)</f>
        <v>830014</v>
      </c>
      <c r="M358">
        <f>VLOOKUP(Query1[[#This Row],[Description]],'kits to boards'!$B$2:$E$156,3,FALSE)</f>
        <v>0</v>
      </c>
      <c r="N358">
        <f>VLOOKUP(Query1[[#This Row],[Description]],'kits to boards'!$B$2:$E$156,4,FALSE)</f>
        <v>0</v>
      </c>
      <c r="O358" t="str">
        <f>CONCATENATE(Query1[[#This Row],[Description]]," - ",Query1[[#This Row],[MB1]]," - ",Query1[[#This Row],[MB2]]," - ",Query1[[#This Row],[MB3]])</f>
        <v>EVAP KIT 67-72 CHEV P-UP WO AC - 830014 - 0 - 0</v>
      </c>
    </row>
    <row r="359" spans="1:15" x14ac:dyDescent="0.25">
      <c r="A359" s="1">
        <v>909898</v>
      </c>
      <c r="B359" s="1" t="s">
        <v>62</v>
      </c>
      <c r="C359" s="1" t="s">
        <v>63</v>
      </c>
      <c r="D359" s="2">
        <v>44601.305374386575</v>
      </c>
      <c r="E359" s="1" t="s">
        <v>8</v>
      </c>
      <c r="F359" s="1">
        <v>1</v>
      </c>
      <c r="G359" s="1">
        <v>0</v>
      </c>
      <c r="H359" s="6">
        <f>INT(Query1[[#This Row],[EntryDateTime]])</f>
        <v>44601</v>
      </c>
      <c r="I359" s="1">
        <f>IF(Query1[[#This Row],[ItemType]]="EVAP KIT SF GEN IV",Query1[[#This Row],[OrderQty]]+I358,I358)</f>
        <v>389</v>
      </c>
      <c r="J359" s="1">
        <f>IF(Query1[[#This Row],[ItemType]]="EVAP KIT UNIVERSAL",Query1[[#This Row],[OrderQty]]+J358,J358)</f>
        <v>334</v>
      </c>
      <c r="K359" s="1">
        <f>Query1[[#This Row],[SF Running Total]]+Query1[[#This Row],[UNIV Running Total]]</f>
        <v>723</v>
      </c>
      <c r="L359">
        <f>VLOOKUP(Query1[[#This Row],[Description]],'kits to boards'!$B$2:$E$156,2,FALSE)</f>
        <v>830079</v>
      </c>
      <c r="M359">
        <f>VLOOKUP(Query1[[#This Row],[Description]],'kits to boards'!$B$2:$E$156,3,FALSE)</f>
        <v>830046</v>
      </c>
      <c r="N359">
        <f>VLOOKUP(Query1[[#This Row],[Description]],'kits to boards'!$B$2:$E$156,4,FALSE)</f>
        <v>0</v>
      </c>
      <c r="O359" t="str">
        <f>CONCATENATE(Query1[[#This Row],[Description]]," - ",Query1[[#This Row],[MB1]]," - ",Query1[[#This Row],[MB2]]," - ",Query1[[#This Row],[MB3]])</f>
        <v>EVAP KIT 67-68 MUSTANG/COUGAR WO AC - 830079 - 830046 - 0</v>
      </c>
    </row>
    <row r="360" spans="1:15" x14ac:dyDescent="0.25">
      <c r="A360" s="1">
        <v>909899</v>
      </c>
      <c r="B360" s="1" t="s">
        <v>192</v>
      </c>
      <c r="C360" s="1" t="s">
        <v>193</v>
      </c>
      <c r="D360" s="2">
        <v>44601.306965891206</v>
      </c>
      <c r="E360" s="1" t="s">
        <v>8</v>
      </c>
      <c r="F360" s="1">
        <v>1</v>
      </c>
      <c r="G360" s="1">
        <v>0</v>
      </c>
      <c r="H360" s="6">
        <f>INT(Query1[[#This Row],[EntryDateTime]])</f>
        <v>44601</v>
      </c>
      <c r="I360" s="1">
        <f>IF(Query1[[#This Row],[ItemType]]="EVAP KIT SF GEN IV",Query1[[#This Row],[OrderQty]]+I359,I359)</f>
        <v>390</v>
      </c>
      <c r="J360" s="1">
        <f>IF(Query1[[#This Row],[ItemType]]="EVAP KIT UNIVERSAL",Query1[[#This Row],[OrderQty]]+J359,J359)</f>
        <v>334</v>
      </c>
      <c r="K360" s="1">
        <f>Query1[[#This Row],[SF Running Total]]+Query1[[#This Row],[UNIV Running Total]]</f>
        <v>724</v>
      </c>
      <c r="L360">
        <f>VLOOKUP(Query1[[#This Row],[Description]],'kits to boards'!$B$2:$E$156,2,FALSE)</f>
        <v>830094</v>
      </c>
      <c r="M360">
        <f>VLOOKUP(Query1[[#This Row],[Description]],'kits to boards'!$B$2:$E$156,3,FALSE)</f>
        <v>0</v>
      </c>
      <c r="N360">
        <f>VLOOKUP(Query1[[#This Row],[Description]],'kits to boards'!$B$2:$E$156,4,FALSE)</f>
        <v>0</v>
      </c>
      <c r="O360" t="str">
        <f>CONCATENATE(Query1[[#This Row],[Description]]," - ",Query1[[#This Row],[MB1]]," - ",Query1[[#This Row],[MB2]]," - ",Query1[[#This Row],[MB3]])</f>
        <v>EVAP KIT 69-73 VETTE W/AC - 830094 - 0 - 0</v>
      </c>
    </row>
    <row r="361" spans="1:15" x14ac:dyDescent="0.25">
      <c r="A361" s="1">
        <v>909197</v>
      </c>
      <c r="B361" s="1" t="s">
        <v>184</v>
      </c>
      <c r="C361" s="1" t="s">
        <v>185</v>
      </c>
      <c r="D361" s="2">
        <v>44601.311009756944</v>
      </c>
      <c r="E361" s="1" t="s">
        <v>8</v>
      </c>
      <c r="F361" s="1">
        <v>1</v>
      </c>
      <c r="G361" s="1">
        <v>0</v>
      </c>
      <c r="H361" s="6">
        <f>INT(Query1[[#This Row],[EntryDateTime]])</f>
        <v>44601</v>
      </c>
      <c r="I361" s="1">
        <f>IF(Query1[[#This Row],[ItemType]]="EVAP KIT SF GEN IV",Query1[[#This Row],[OrderQty]]+I360,I360)</f>
        <v>391</v>
      </c>
      <c r="J361" s="1">
        <f>IF(Query1[[#This Row],[ItemType]]="EVAP KIT UNIVERSAL",Query1[[#This Row],[OrderQty]]+J360,J360)</f>
        <v>334</v>
      </c>
      <c r="K361" s="1">
        <f>Query1[[#This Row],[SF Running Total]]+Query1[[#This Row],[UNIV Running Total]]</f>
        <v>725</v>
      </c>
      <c r="L361">
        <f>VLOOKUP(Query1[[#This Row],[Description]],'kits to boards'!$B$2:$E$156,2,FALSE)</f>
        <v>830042</v>
      </c>
      <c r="M361">
        <f>VLOOKUP(Query1[[#This Row],[Description]],'kits to boards'!$B$2:$E$156,3,FALSE)</f>
        <v>0</v>
      </c>
      <c r="N361">
        <f>VLOOKUP(Query1[[#This Row],[Description]],'kits to boards'!$B$2:$E$156,4,FALSE)</f>
        <v>0</v>
      </c>
      <c r="O361" t="str">
        <f>CONCATENATE(Query1[[#This Row],[Description]]," - ",Query1[[#This Row],[MB1]]," - ",Query1[[#This Row],[MB2]]," - ",Query1[[#This Row],[MB3]])</f>
        <v>EVAP KIT 68-83 TOYOTA FJ40 - 830042 - 0 - 0</v>
      </c>
    </row>
    <row r="362" spans="1:15" x14ac:dyDescent="0.25">
      <c r="A362" s="1">
        <v>909901</v>
      </c>
      <c r="B362" s="1" t="s">
        <v>273</v>
      </c>
      <c r="C362" s="1" t="s">
        <v>274</v>
      </c>
      <c r="D362" s="2">
        <v>44601.311704664353</v>
      </c>
      <c r="E362" s="1" t="s">
        <v>8</v>
      </c>
      <c r="F362" s="1">
        <v>1</v>
      </c>
      <c r="G362" s="1">
        <v>0</v>
      </c>
      <c r="H362" s="6">
        <f>INT(Query1[[#This Row],[EntryDateTime]])</f>
        <v>44601</v>
      </c>
      <c r="I362" s="1">
        <f>IF(Query1[[#This Row],[ItemType]]="EVAP KIT SF GEN IV",Query1[[#This Row],[OrderQty]]+I361,I361)</f>
        <v>392</v>
      </c>
      <c r="J362" s="1">
        <f>IF(Query1[[#This Row],[ItemType]]="EVAP KIT UNIVERSAL",Query1[[#This Row],[OrderQty]]+J361,J361)</f>
        <v>334</v>
      </c>
      <c r="K362" s="1">
        <f>Query1[[#This Row],[SF Running Total]]+Query1[[#This Row],[UNIV Running Total]]</f>
        <v>726</v>
      </c>
      <c r="L362">
        <f>VLOOKUP(Query1[[#This Row],[Description]],'kits to boards'!$B$2:$E$156,2,FALSE)</f>
        <v>830056</v>
      </c>
      <c r="M362">
        <f>VLOOKUP(Query1[[#This Row],[Description]],'kits to boards'!$B$2:$E$156,3,FALSE)</f>
        <v>0</v>
      </c>
      <c r="N362">
        <f>VLOOKUP(Query1[[#This Row],[Description]],'kits to boards'!$B$2:$E$156,4,FALSE)</f>
        <v>0</v>
      </c>
      <c r="O362" t="str">
        <f>CONCATENATE(Query1[[#This Row],[Description]]," - ",Query1[[#This Row],[MB1]]," - ",Query1[[#This Row],[MB2]]," - ",Query1[[#This Row],[MB3]])</f>
        <v>EVAP KIT 64-65 CHEVELLE W/AC - 830056 - 0 - 0</v>
      </c>
    </row>
    <row r="363" spans="1:15" x14ac:dyDescent="0.25">
      <c r="A363" s="1">
        <v>909487</v>
      </c>
      <c r="B363" s="1" t="s">
        <v>242</v>
      </c>
      <c r="C363" s="1" t="s">
        <v>243</v>
      </c>
      <c r="D363" s="2">
        <v>44601.313174456016</v>
      </c>
      <c r="E363" s="1" t="s">
        <v>8</v>
      </c>
      <c r="F363" s="1">
        <v>1</v>
      </c>
      <c r="G363" s="1">
        <v>0</v>
      </c>
      <c r="H363" s="6">
        <f>INT(Query1[[#This Row],[EntryDateTime]])</f>
        <v>44601</v>
      </c>
      <c r="I363" s="1">
        <f>IF(Query1[[#This Row],[ItemType]]="EVAP KIT SF GEN IV",Query1[[#This Row],[OrderQty]]+I362,I362)</f>
        <v>393</v>
      </c>
      <c r="J363" s="1">
        <f>IF(Query1[[#This Row],[ItemType]]="EVAP KIT UNIVERSAL",Query1[[#This Row],[OrderQty]]+J362,J362)</f>
        <v>334</v>
      </c>
      <c r="K363" s="1">
        <f>Query1[[#This Row],[SF Running Total]]+Query1[[#This Row],[UNIV Running Total]]</f>
        <v>727</v>
      </c>
      <c r="L363">
        <f>VLOOKUP(Query1[[#This Row],[Description]],'kits to boards'!$B$2:$E$156,2,FALSE)</f>
        <v>830036</v>
      </c>
      <c r="M363">
        <f>VLOOKUP(Query1[[#This Row],[Description]],'kits to boards'!$B$2:$E$156,3,FALSE)</f>
        <v>830039</v>
      </c>
      <c r="N363">
        <f>VLOOKUP(Query1[[#This Row],[Description]],'kits to boards'!$B$2:$E$156,4,FALSE)</f>
        <v>0</v>
      </c>
      <c r="O363" t="str">
        <f>CONCATENATE(Query1[[#This Row],[Description]]," - ",Query1[[#This Row],[MB1]]," - ",Query1[[#This Row],[MB2]]," - ",Query1[[#This Row],[MB3]])</f>
        <v>EVAP KIT 63-66 VETTE W/AC - 830036 - 830039 - 0</v>
      </c>
    </row>
    <row r="364" spans="1:15" x14ac:dyDescent="0.25">
      <c r="A364" s="1">
        <v>909626</v>
      </c>
      <c r="B364" s="1" t="s">
        <v>52</v>
      </c>
      <c r="C364" s="1" t="s">
        <v>53</v>
      </c>
      <c r="D364" s="2">
        <v>44601.313407442132</v>
      </c>
      <c r="E364" s="1" t="s">
        <v>8</v>
      </c>
      <c r="F364" s="1">
        <v>1</v>
      </c>
      <c r="G364" s="1">
        <v>0</v>
      </c>
      <c r="H364" s="6">
        <f>INT(Query1[[#This Row],[EntryDateTime]])</f>
        <v>44601</v>
      </c>
      <c r="I364" s="1">
        <f>IF(Query1[[#This Row],[ItemType]]="EVAP KIT SF GEN IV",Query1[[#This Row],[OrderQty]]+I363,I363)</f>
        <v>394</v>
      </c>
      <c r="J364" s="1">
        <f>IF(Query1[[#This Row],[ItemType]]="EVAP KIT UNIVERSAL",Query1[[#This Row],[OrderQty]]+J363,J363)</f>
        <v>334</v>
      </c>
      <c r="K364" s="1">
        <f>Query1[[#This Row],[SF Running Total]]+Query1[[#This Row],[UNIV Running Total]]</f>
        <v>728</v>
      </c>
      <c r="L364">
        <f>VLOOKUP(Query1[[#This Row],[Description]],'kits to boards'!$B$2:$E$156,2,FALSE)</f>
        <v>830017</v>
      </c>
      <c r="M364">
        <f>VLOOKUP(Query1[[#This Row],[Description]],'kits to boards'!$B$2:$E$156,3,FALSE)</f>
        <v>830119</v>
      </c>
      <c r="N364">
        <f>VLOOKUP(Query1[[#This Row],[Description]],'kits to boards'!$B$2:$E$156,4,FALSE)</f>
        <v>830120</v>
      </c>
      <c r="O364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65" spans="1:15" x14ac:dyDescent="0.25">
      <c r="A365" s="1">
        <v>909611</v>
      </c>
      <c r="B365" s="1" t="s">
        <v>180</v>
      </c>
      <c r="C365" s="1" t="s">
        <v>181</v>
      </c>
      <c r="D365" s="2">
        <v>44601.314568402777</v>
      </c>
      <c r="E365" s="1" t="s">
        <v>8</v>
      </c>
      <c r="F365" s="1">
        <v>1</v>
      </c>
      <c r="G365" s="1">
        <v>0</v>
      </c>
      <c r="H365" s="6">
        <f>INT(Query1[[#This Row],[EntryDateTime]])</f>
        <v>44601</v>
      </c>
      <c r="I365" s="1">
        <f>IF(Query1[[#This Row],[ItemType]]="EVAP KIT SF GEN IV",Query1[[#This Row],[OrderQty]]+I364,I364)</f>
        <v>395</v>
      </c>
      <c r="J365" s="1">
        <f>IF(Query1[[#This Row],[ItemType]]="EVAP KIT UNIVERSAL",Query1[[#This Row],[OrderQty]]+J364,J364)</f>
        <v>334</v>
      </c>
      <c r="K365" s="1">
        <f>Query1[[#This Row],[SF Running Total]]+Query1[[#This Row],[UNIV Running Total]]</f>
        <v>729</v>
      </c>
      <c r="L365">
        <f>VLOOKUP(Query1[[#This Row],[Description]],'kits to boards'!$B$2:$E$156,2,FALSE)</f>
        <v>830123</v>
      </c>
      <c r="M365">
        <f>VLOOKUP(Query1[[#This Row],[Description]],'kits to boards'!$B$2:$E$156,3,FALSE)</f>
        <v>0</v>
      </c>
      <c r="N365">
        <f>VLOOKUP(Query1[[#This Row],[Description]],'kits to boards'!$B$2:$E$156,4,FALSE)</f>
        <v>0</v>
      </c>
      <c r="O365" t="str">
        <f>CONCATENATE(Query1[[#This Row],[Description]]," - ",Query1[[#This Row],[MB1]]," - ",Query1[[#This Row],[MB2]]," - ",Query1[[#This Row],[MB3]])</f>
        <v>EVAP KIT 68 GTO W/AC - 830123 - 0 - 0</v>
      </c>
    </row>
    <row r="366" spans="1:15" x14ac:dyDescent="0.25">
      <c r="A366" s="1">
        <v>909903</v>
      </c>
      <c r="B366" s="1" t="s">
        <v>68</v>
      </c>
      <c r="C366" s="1" t="s">
        <v>69</v>
      </c>
      <c r="D366" s="2">
        <v>44601.318592476855</v>
      </c>
      <c r="E366" s="1" t="s">
        <v>8</v>
      </c>
      <c r="F366" s="1">
        <v>1</v>
      </c>
      <c r="G366" s="1">
        <v>0</v>
      </c>
      <c r="H366" s="6">
        <f>INT(Query1[[#This Row],[EntryDateTime]])</f>
        <v>44601</v>
      </c>
      <c r="I366" s="1">
        <f>IF(Query1[[#This Row],[ItemType]]="EVAP KIT SF GEN IV",Query1[[#This Row],[OrderQty]]+I365,I365)</f>
        <v>396</v>
      </c>
      <c r="J366" s="1">
        <f>IF(Query1[[#This Row],[ItemType]]="EVAP KIT UNIVERSAL",Query1[[#This Row],[OrderQty]]+J365,J365)</f>
        <v>334</v>
      </c>
      <c r="K366" s="1">
        <f>Query1[[#This Row],[SF Running Total]]+Query1[[#This Row],[UNIV Running Total]]</f>
        <v>730</v>
      </c>
      <c r="L366">
        <f>VLOOKUP(Query1[[#This Row],[Description]],'kits to boards'!$B$2:$E$156,2,FALSE)</f>
        <v>830010</v>
      </c>
      <c r="M366">
        <f>VLOOKUP(Query1[[#This Row],[Description]],'kits to boards'!$B$2:$E$156,3,FALSE)</f>
        <v>0</v>
      </c>
      <c r="N366">
        <f>VLOOKUP(Query1[[#This Row],[Description]],'kits to boards'!$B$2:$E$156,4,FALSE)</f>
        <v>0</v>
      </c>
      <c r="O366" t="str">
        <f>CONCATENATE(Query1[[#This Row],[Description]]," - ",Query1[[#This Row],[MB1]]," - ",Query1[[#This Row],[MB2]]," - ",Query1[[#This Row],[MB3]])</f>
        <v>EVAP KIT 70-72 CHEVELLE WO AC - 830010 - 0 - 0</v>
      </c>
    </row>
    <row r="367" spans="1:15" x14ac:dyDescent="0.25">
      <c r="A367" s="1">
        <v>909910</v>
      </c>
      <c r="B367" s="1" t="s">
        <v>24</v>
      </c>
      <c r="C367" s="1" t="s">
        <v>25</v>
      </c>
      <c r="D367" s="2">
        <v>44601.330404432869</v>
      </c>
      <c r="E367" s="1" t="s">
        <v>11</v>
      </c>
      <c r="F367" s="1">
        <v>1</v>
      </c>
      <c r="G367" s="1">
        <v>0</v>
      </c>
      <c r="H367" s="6">
        <f>INT(Query1[[#This Row],[EntryDateTime]])</f>
        <v>44601</v>
      </c>
      <c r="I367" s="1">
        <f>IF(Query1[[#This Row],[ItemType]]="EVAP KIT SF GEN IV",Query1[[#This Row],[OrderQty]]+I366,I366)</f>
        <v>396</v>
      </c>
      <c r="J367" s="1">
        <f>IF(Query1[[#This Row],[ItemType]]="EVAP KIT UNIVERSAL",Query1[[#This Row],[OrderQty]]+J366,J366)</f>
        <v>335</v>
      </c>
      <c r="K367" s="1">
        <f>Query1[[#This Row],[SF Running Total]]+Query1[[#This Row],[UNIV Running Total]]</f>
        <v>731</v>
      </c>
      <c r="L367">
        <f>VLOOKUP(Query1[[#This Row],[Description]],'kits to boards'!$B$2:$E$156,2,FALSE)</f>
        <v>830029</v>
      </c>
      <c r="M367">
        <f>VLOOKUP(Query1[[#This Row],[Description]],'kits to boards'!$B$2:$E$156,3,FALSE)</f>
        <v>830030</v>
      </c>
      <c r="N367">
        <f>VLOOKUP(Query1[[#This Row],[Description]],'kits to boards'!$B$2:$E$156,4,FALSE)</f>
        <v>0</v>
      </c>
      <c r="O367" t="str">
        <f>CONCATENATE(Query1[[#This Row],[Description]]," - ",Query1[[#This Row],[MB1]]," - ",Query1[[#This Row],[MB2]]," - ",Query1[[#This Row],[MB3]])</f>
        <v>ComPac GEN II W/DEF - 830029 - 830030 - 0</v>
      </c>
    </row>
    <row r="368" spans="1:15" x14ac:dyDescent="0.25">
      <c r="A368" s="1">
        <v>909912</v>
      </c>
      <c r="B368" s="1" t="s">
        <v>84</v>
      </c>
      <c r="C368" s="1" t="s">
        <v>85</v>
      </c>
      <c r="D368" s="2">
        <v>44601.330998067133</v>
      </c>
      <c r="E368" s="1" t="s">
        <v>8</v>
      </c>
      <c r="F368" s="1">
        <v>1</v>
      </c>
      <c r="G368" s="1">
        <v>0</v>
      </c>
      <c r="H368" s="6">
        <f>INT(Query1[[#This Row],[EntryDateTime]])</f>
        <v>44601</v>
      </c>
      <c r="I368" s="1">
        <f>IF(Query1[[#This Row],[ItemType]]="EVAP KIT SF GEN IV",Query1[[#This Row],[OrderQty]]+I367,I367)</f>
        <v>397</v>
      </c>
      <c r="J368" s="1">
        <f>IF(Query1[[#This Row],[ItemType]]="EVAP KIT UNIVERSAL",Query1[[#This Row],[OrderQty]]+J367,J367)</f>
        <v>335</v>
      </c>
      <c r="K368" s="1">
        <f>Query1[[#This Row],[SF Running Total]]+Query1[[#This Row],[UNIV Running Total]]</f>
        <v>732</v>
      </c>
      <c r="L368">
        <f>VLOOKUP(Query1[[#This Row],[Description]],'kits to boards'!$B$2:$E$156,2,FALSE)</f>
        <v>830085</v>
      </c>
      <c r="M368">
        <f>VLOOKUP(Query1[[#This Row],[Description]],'kits to boards'!$B$2:$E$156,3,FALSE)</f>
        <v>0</v>
      </c>
      <c r="N368">
        <f>VLOOKUP(Query1[[#This Row],[Description]],'kits to boards'!$B$2:$E$156,4,FALSE)</f>
        <v>0</v>
      </c>
      <c r="O368" t="str">
        <f>CONCATENATE(Query1[[#This Row],[Description]]," - ",Query1[[#This Row],[MB1]]," - ",Query1[[#This Row],[MB2]]," - ",Query1[[#This Row],[MB3]])</f>
        <v>EVAP KIT 66-77 BRONCO 4-VENT PLENUM - 830085 - 0 - 0</v>
      </c>
    </row>
    <row r="369" spans="1:15" x14ac:dyDescent="0.25">
      <c r="A369" s="1">
        <v>909374</v>
      </c>
      <c r="B369" s="1" t="s">
        <v>126</v>
      </c>
      <c r="C369" s="1" t="s">
        <v>127</v>
      </c>
      <c r="D369" s="2">
        <v>44601.333582407409</v>
      </c>
      <c r="E369" s="1" t="s">
        <v>8</v>
      </c>
      <c r="F369" s="1">
        <v>1</v>
      </c>
      <c r="G369" s="1">
        <v>0</v>
      </c>
      <c r="H369" s="6">
        <f>INT(Query1[[#This Row],[EntryDateTime]])</f>
        <v>44601</v>
      </c>
      <c r="I369" s="1">
        <f>IF(Query1[[#This Row],[ItemType]]="EVAP KIT SF GEN IV",Query1[[#This Row],[OrderQty]]+I368,I368)</f>
        <v>398</v>
      </c>
      <c r="J369" s="1">
        <f>IF(Query1[[#This Row],[ItemType]]="EVAP KIT UNIVERSAL",Query1[[#This Row],[OrderQty]]+J368,J368)</f>
        <v>335</v>
      </c>
      <c r="K369" s="1">
        <f>Query1[[#This Row],[SF Running Total]]+Query1[[#This Row],[UNIV Running Total]]</f>
        <v>733</v>
      </c>
      <c r="L369">
        <f>VLOOKUP(Query1[[#This Row],[Description]],'kits to boards'!$B$2:$E$156,2,FALSE)</f>
        <v>830080</v>
      </c>
      <c r="M369">
        <f>VLOOKUP(Query1[[#This Row],[Description]],'kits to boards'!$B$2:$E$156,3,FALSE)</f>
        <v>0</v>
      </c>
      <c r="N369">
        <f>VLOOKUP(Query1[[#This Row],[Description]],'kits to boards'!$B$2:$E$156,4,FALSE)</f>
        <v>0</v>
      </c>
      <c r="O369" t="str">
        <f>CONCATENATE(Query1[[#This Row],[Description]]," - ",Query1[[#This Row],[MB1]]," - ",Query1[[#This Row],[MB2]]," - ",Query1[[#This Row],[MB3]])</f>
        <v>EVAP KIT 69-70 MUSTANG WO AC  - 830080 - 0 - 0</v>
      </c>
    </row>
    <row r="370" spans="1:15" x14ac:dyDescent="0.25">
      <c r="A370" s="1">
        <v>909918</v>
      </c>
      <c r="B370" s="1" t="s">
        <v>204</v>
      </c>
      <c r="C370" s="1" t="s">
        <v>205</v>
      </c>
      <c r="D370" s="2">
        <v>44601.335180439812</v>
      </c>
      <c r="E370" s="1" t="s">
        <v>8</v>
      </c>
      <c r="F370" s="1">
        <v>1</v>
      </c>
      <c r="G370" s="1">
        <v>0</v>
      </c>
      <c r="H370" s="6">
        <f>INT(Query1[[#This Row],[EntryDateTime]])</f>
        <v>44601</v>
      </c>
      <c r="I370" s="1">
        <f>IF(Query1[[#This Row],[ItemType]]="EVAP KIT SF GEN IV",Query1[[#This Row],[OrderQty]]+I369,I369)</f>
        <v>399</v>
      </c>
      <c r="J370" s="1">
        <f>IF(Query1[[#This Row],[ItemType]]="EVAP KIT UNIVERSAL",Query1[[#This Row],[OrderQty]]+J369,J369)</f>
        <v>335</v>
      </c>
      <c r="K370" s="1">
        <f>Query1[[#This Row],[SF Running Total]]+Query1[[#This Row],[UNIV Running Total]]</f>
        <v>734</v>
      </c>
      <c r="L370">
        <f>VLOOKUP(Query1[[#This Row],[Description]],'kits to boards'!$B$2:$E$156,2,FALSE)</f>
        <v>830108</v>
      </c>
      <c r="M370">
        <f>VLOOKUP(Query1[[#This Row],[Description]],'kits to boards'!$B$2:$E$156,3,FALSE)</f>
        <v>0</v>
      </c>
      <c r="N370">
        <f>VLOOKUP(Query1[[#This Row],[Description]],'kits to boards'!$B$2:$E$156,4,FALSE)</f>
        <v>0</v>
      </c>
      <c r="O370" t="str">
        <f>CONCATENATE(Query1[[#This Row],[Description]]," - ",Query1[[#This Row],[MB1]]," - ",Query1[[#This Row],[MB2]]," - ",Query1[[#This Row],[MB3]])</f>
        <v>EVAP KIT 79-81 CAMARO WO AC  - 830108 - 0 - 0</v>
      </c>
    </row>
    <row r="371" spans="1:15" x14ac:dyDescent="0.25">
      <c r="A371" s="1">
        <v>909920</v>
      </c>
      <c r="B371" s="1" t="s">
        <v>62</v>
      </c>
      <c r="C371" s="1" t="s">
        <v>63</v>
      </c>
      <c r="D371" s="2">
        <v>44601.337667824075</v>
      </c>
      <c r="E371" s="1" t="s">
        <v>8</v>
      </c>
      <c r="F371" s="1">
        <v>1</v>
      </c>
      <c r="G371" s="1">
        <v>0</v>
      </c>
      <c r="H371" s="6">
        <f>INT(Query1[[#This Row],[EntryDateTime]])</f>
        <v>44601</v>
      </c>
      <c r="I371" s="1">
        <f>IF(Query1[[#This Row],[ItemType]]="EVAP KIT SF GEN IV",Query1[[#This Row],[OrderQty]]+I370,I370)</f>
        <v>400</v>
      </c>
      <c r="J371" s="1">
        <f>IF(Query1[[#This Row],[ItemType]]="EVAP KIT UNIVERSAL",Query1[[#This Row],[OrderQty]]+J370,J370)</f>
        <v>335</v>
      </c>
      <c r="K371" s="1">
        <f>Query1[[#This Row],[SF Running Total]]+Query1[[#This Row],[UNIV Running Total]]</f>
        <v>735</v>
      </c>
      <c r="L371">
        <f>VLOOKUP(Query1[[#This Row],[Description]],'kits to boards'!$B$2:$E$156,2,FALSE)</f>
        <v>830079</v>
      </c>
      <c r="M371">
        <f>VLOOKUP(Query1[[#This Row],[Description]],'kits to boards'!$B$2:$E$156,3,FALSE)</f>
        <v>830046</v>
      </c>
      <c r="N371">
        <f>VLOOKUP(Query1[[#This Row],[Description]],'kits to boards'!$B$2:$E$156,4,FALSE)</f>
        <v>0</v>
      </c>
      <c r="O371" t="str">
        <f>CONCATENATE(Query1[[#This Row],[Description]]," - ",Query1[[#This Row],[MB1]]," - ",Query1[[#This Row],[MB2]]," - ",Query1[[#This Row],[MB3]])</f>
        <v>EVAP KIT 67-68 MUSTANG/COUGAR WO AC - 830079 - 830046 - 0</v>
      </c>
    </row>
    <row r="372" spans="1:15" x14ac:dyDescent="0.25">
      <c r="A372" s="1">
        <v>909655</v>
      </c>
      <c r="B372" s="1" t="s">
        <v>56</v>
      </c>
      <c r="C372" s="1" t="s">
        <v>57</v>
      </c>
      <c r="D372" s="2">
        <v>44601.338758715276</v>
      </c>
      <c r="E372" s="1" t="s">
        <v>8</v>
      </c>
      <c r="F372" s="1">
        <v>1</v>
      </c>
      <c r="G372" s="1">
        <v>0</v>
      </c>
      <c r="H372" s="6">
        <f>INT(Query1[[#This Row],[EntryDateTime]])</f>
        <v>44601</v>
      </c>
      <c r="I372" s="1">
        <f>IF(Query1[[#This Row],[ItemType]]="EVAP KIT SF GEN IV",Query1[[#This Row],[OrderQty]]+I371,I371)</f>
        <v>401</v>
      </c>
      <c r="J372" s="1">
        <f>IF(Query1[[#This Row],[ItemType]]="EVAP KIT UNIVERSAL",Query1[[#This Row],[OrderQty]]+J371,J371)</f>
        <v>335</v>
      </c>
      <c r="K372" s="1">
        <f>Query1[[#This Row],[SF Running Total]]+Query1[[#This Row],[UNIV Running Total]]</f>
        <v>736</v>
      </c>
      <c r="L372">
        <f>VLOOKUP(Query1[[#This Row],[Description]],'kits to boards'!$B$2:$E$156,2,FALSE)</f>
        <v>830011</v>
      </c>
      <c r="M372">
        <f>VLOOKUP(Query1[[#This Row],[Description]],'kits to boards'!$B$2:$E$156,3,FALSE)</f>
        <v>0</v>
      </c>
      <c r="N372">
        <f>VLOOKUP(Query1[[#This Row],[Description]],'kits to boards'!$B$2:$E$156,4,FALSE)</f>
        <v>0</v>
      </c>
      <c r="O372" t="str">
        <f>CONCATENATE(Query1[[#This Row],[Description]]," - ",Query1[[#This Row],[MB1]]," - ",Query1[[#This Row],[MB2]]," - ",Query1[[#This Row],[MB3]])</f>
        <v>EVAP KIT 70-72 CHEVELLE W/AC - 830011 - 0 - 0</v>
      </c>
    </row>
    <row r="373" spans="1:15" x14ac:dyDescent="0.25">
      <c r="A373" s="1">
        <v>909922</v>
      </c>
      <c r="B373" s="1" t="s">
        <v>126</v>
      </c>
      <c r="C373" s="1" t="s">
        <v>288</v>
      </c>
      <c r="D373" s="2">
        <v>44601.338859918978</v>
      </c>
      <c r="E373" s="1" t="s">
        <v>8</v>
      </c>
      <c r="F373" s="1">
        <v>1</v>
      </c>
      <c r="G373" s="1">
        <v>0</v>
      </c>
      <c r="H373" s="6">
        <f>INT(Query1[[#This Row],[EntryDateTime]])</f>
        <v>44601</v>
      </c>
      <c r="I373" s="1">
        <f>IF(Query1[[#This Row],[ItemType]]="EVAP KIT SF GEN IV",Query1[[#This Row],[OrderQty]]+I372,I372)</f>
        <v>402</v>
      </c>
      <c r="J373" s="1">
        <f>IF(Query1[[#This Row],[ItemType]]="EVAP KIT UNIVERSAL",Query1[[#This Row],[OrderQty]]+J372,J372)</f>
        <v>335</v>
      </c>
      <c r="K373" s="1">
        <f>Query1[[#This Row],[SF Running Total]]+Query1[[#This Row],[UNIV Running Total]]</f>
        <v>737</v>
      </c>
      <c r="L373" t="e">
        <f>VLOOKUP(Query1[[#This Row],[Description]],'kits to boards'!$B$2:$E$156,2,FALSE)</f>
        <v>#N/A</v>
      </c>
      <c r="M373" t="e">
        <f>VLOOKUP(Query1[[#This Row],[Description]],'kits to boards'!$B$2:$E$156,3,FALSE)</f>
        <v>#N/A</v>
      </c>
      <c r="N373" t="e">
        <f>VLOOKUP(Query1[[#This Row],[Description]],'kits to boards'!$B$2:$E$156,4,FALSE)</f>
        <v>#N/A</v>
      </c>
      <c r="O373" t="e">
        <f>CONCATENATE(Query1[[#This Row],[Description]]," - ",Query1[[#This Row],[MB1]]," - ",Query1[[#This Row],[MB2]]," - ",Query1[[#This Row],[MB3]])</f>
        <v>#N/A</v>
      </c>
    </row>
    <row r="374" spans="1:15" x14ac:dyDescent="0.25">
      <c r="A374" s="1">
        <v>909354</v>
      </c>
      <c r="B374" s="1" t="s">
        <v>182</v>
      </c>
      <c r="C374" s="1" t="s">
        <v>183</v>
      </c>
      <c r="D374" s="2">
        <v>44601.339368668981</v>
      </c>
      <c r="E374" s="1" t="s">
        <v>8</v>
      </c>
      <c r="F374" s="1">
        <v>1</v>
      </c>
      <c r="G374" s="1">
        <v>0</v>
      </c>
      <c r="H374" s="6">
        <f>INT(Query1[[#This Row],[EntryDateTime]])</f>
        <v>44601</v>
      </c>
      <c r="I374" s="1">
        <f>IF(Query1[[#This Row],[ItemType]]="EVAP KIT SF GEN IV",Query1[[#This Row],[OrderQty]]+I373,I373)</f>
        <v>403</v>
      </c>
      <c r="J374" s="1">
        <f>IF(Query1[[#This Row],[ItemType]]="EVAP KIT UNIVERSAL",Query1[[#This Row],[OrderQty]]+J373,J373)</f>
        <v>335</v>
      </c>
      <c r="K374" s="1">
        <f>Query1[[#This Row],[SF Running Total]]+Query1[[#This Row],[UNIV Running Total]]</f>
        <v>738</v>
      </c>
      <c r="L374">
        <f>VLOOKUP(Query1[[#This Row],[Description]],'kits to boards'!$B$2:$E$156,2,FALSE)</f>
        <v>830075</v>
      </c>
      <c r="M374">
        <f>VLOOKUP(Query1[[#This Row],[Description]],'kits to boards'!$B$2:$E$156,3,FALSE)</f>
        <v>0</v>
      </c>
      <c r="N374">
        <f>VLOOKUP(Query1[[#This Row],[Description]],'kits to boards'!$B$2:$E$156,4,FALSE)</f>
        <v>0</v>
      </c>
      <c r="O374" t="str">
        <f>CONCATENATE(Query1[[#This Row],[Description]]," - ",Query1[[#This Row],[MB1]]," - ",Query1[[#This Row],[MB2]]," - ",Query1[[#This Row],[MB3]])</f>
        <v>EVAP KIT 69-70 MOPAR B BODY WO AC - 830075 - 0 - 0</v>
      </c>
    </row>
    <row r="375" spans="1:15" x14ac:dyDescent="0.25">
      <c r="A375" s="1">
        <v>909356</v>
      </c>
      <c r="B375" s="1" t="s">
        <v>28</v>
      </c>
      <c r="C375" s="1" t="s">
        <v>29</v>
      </c>
      <c r="D375" s="2">
        <v>44601.340026041667</v>
      </c>
      <c r="E375" s="1" t="s">
        <v>8</v>
      </c>
      <c r="F375" s="1">
        <v>1</v>
      </c>
      <c r="G375" s="1">
        <v>0</v>
      </c>
      <c r="H375" s="6">
        <f>INT(Query1[[#This Row],[EntryDateTime]])</f>
        <v>44601</v>
      </c>
      <c r="I375" s="1">
        <f>IF(Query1[[#This Row],[ItemType]]="EVAP KIT SF GEN IV",Query1[[#This Row],[OrderQty]]+I374,I374)</f>
        <v>404</v>
      </c>
      <c r="J375" s="1">
        <f>IF(Query1[[#This Row],[ItemType]]="EVAP KIT UNIVERSAL",Query1[[#This Row],[OrderQty]]+J374,J374)</f>
        <v>335</v>
      </c>
      <c r="K375" s="1">
        <f>Query1[[#This Row],[SF Running Total]]+Query1[[#This Row],[UNIV Running Total]]</f>
        <v>739</v>
      </c>
      <c r="L375">
        <f>VLOOKUP(Query1[[#This Row],[Description]],'kits to boards'!$B$2:$E$156,2,FALSE)</f>
        <v>830001</v>
      </c>
      <c r="M375">
        <f>VLOOKUP(Query1[[#This Row],[Description]],'kits to boards'!$B$2:$E$156,3,FALSE)</f>
        <v>0</v>
      </c>
      <c r="N375">
        <f>VLOOKUP(Query1[[#This Row],[Description]],'kits to boards'!$B$2:$E$156,4,FALSE)</f>
        <v>0</v>
      </c>
      <c r="O375" t="str">
        <f>CONCATENATE(Query1[[#This Row],[Description]]," - ",Query1[[#This Row],[MB1]]," - ",Query1[[#This Row],[MB2]]," - ",Query1[[#This Row],[MB3]])</f>
        <v>EVAP KIT 73-80 CHEV P-UP W/AC - 830001 - 0 - 0</v>
      </c>
    </row>
    <row r="376" spans="1:15" x14ac:dyDescent="0.25">
      <c r="A376" s="1">
        <v>909923</v>
      </c>
      <c r="B376" s="1" t="s">
        <v>126</v>
      </c>
      <c r="C376" s="1" t="s">
        <v>288</v>
      </c>
      <c r="D376" s="2">
        <v>44601.340061574076</v>
      </c>
      <c r="E376" s="1" t="s">
        <v>8</v>
      </c>
      <c r="F376" s="1">
        <v>1</v>
      </c>
      <c r="G376" s="1">
        <v>0</v>
      </c>
      <c r="H376" s="6">
        <f>INT(Query1[[#This Row],[EntryDateTime]])</f>
        <v>44601</v>
      </c>
      <c r="I376" s="1">
        <f>IF(Query1[[#This Row],[ItemType]]="EVAP KIT SF GEN IV",Query1[[#This Row],[OrderQty]]+I375,I375)</f>
        <v>405</v>
      </c>
      <c r="J376" s="1">
        <f>IF(Query1[[#This Row],[ItemType]]="EVAP KIT UNIVERSAL",Query1[[#This Row],[OrderQty]]+J375,J375)</f>
        <v>335</v>
      </c>
      <c r="K376" s="1">
        <f>Query1[[#This Row],[SF Running Total]]+Query1[[#This Row],[UNIV Running Total]]</f>
        <v>740</v>
      </c>
      <c r="L376" t="e">
        <f>VLOOKUP(Query1[[#This Row],[Description]],'kits to boards'!$B$2:$E$156,2,FALSE)</f>
        <v>#N/A</v>
      </c>
      <c r="M376" t="e">
        <f>VLOOKUP(Query1[[#This Row],[Description]],'kits to boards'!$B$2:$E$156,3,FALSE)</f>
        <v>#N/A</v>
      </c>
      <c r="N376" t="e">
        <f>VLOOKUP(Query1[[#This Row],[Description]],'kits to boards'!$B$2:$E$156,4,FALSE)</f>
        <v>#N/A</v>
      </c>
      <c r="O376" t="e">
        <f>CONCATENATE(Query1[[#This Row],[Description]]," - ",Query1[[#This Row],[MB1]]," - ",Query1[[#This Row],[MB2]]," - ",Query1[[#This Row],[MB3]])</f>
        <v>#N/A</v>
      </c>
    </row>
    <row r="377" spans="1:15" x14ac:dyDescent="0.25">
      <c r="A377" s="1">
        <v>909921</v>
      </c>
      <c r="B377" s="1" t="s">
        <v>259</v>
      </c>
      <c r="C377" s="1" t="s">
        <v>260</v>
      </c>
      <c r="D377" s="2">
        <v>44601.341782094911</v>
      </c>
      <c r="E377" s="1" t="s">
        <v>8</v>
      </c>
      <c r="F377" s="1">
        <v>1</v>
      </c>
      <c r="G377" s="1">
        <v>0</v>
      </c>
      <c r="H377" s="6">
        <f>INT(Query1[[#This Row],[EntryDateTime]])</f>
        <v>44601</v>
      </c>
      <c r="I377" s="1">
        <f>IF(Query1[[#This Row],[ItemType]]="EVAP KIT SF GEN IV",Query1[[#This Row],[OrderQty]]+I376,I376)</f>
        <v>406</v>
      </c>
      <c r="J377" s="1">
        <f>IF(Query1[[#This Row],[ItemType]]="EVAP KIT UNIVERSAL",Query1[[#This Row],[OrderQty]]+J376,J376)</f>
        <v>335</v>
      </c>
      <c r="K377" s="1">
        <f>Query1[[#This Row],[SF Running Total]]+Query1[[#This Row],[UNIV Running Total]]</f>
        <v>741</v>
      </c>
      <c r="L377">
        <f>VLOOKUP(Query1[[#This Row],[Description]],'kits to boards'!$B$2:$E$156,2,FALSE)</f>
        <v>830025</v>
      </c>
      <c r="M377">
        <f>VLOOKUP(Query1[[#This Row],[Description]],'kits to boards'!$B$2:$E$156,3,FALSE)</f>
        <v>0</v>
      </c>
      <c r="N377">
        <f>VLOOKUP(Query1[[#This Row],[Description]],'kits to boards'!$B$2:$E$156,4,FALSE)</f>
        <v>0</v>
      </c>
      <c r="O377" t="str">
        <f>CONCATENATE(Query1[[#This Row],[Description]]," - ",Query1[[#This Row],[MB1]]," - ",Query1[[#This Row],[MB2]]," - ",Query1[[#This Row],[MB3]])</f>
        <v>EVAP KIT 68 CUTLASS WO AC - 830025 - 0 - 0</v>
      </c>
    </row>
    <row r="378" spans="1:15" x14ac:dyDescent="0.25">
      <c r="A378" s="1">
        <v>909931</v>
      </c>
      <c r="B378" s="1" t="s">
        <v>273</v>
      </c>
      <c r="C378" s="1" t="s">
        <v>274</v>
      </c>
      <c r="D378" s="2">
        <v>44601.345150231478</v>
      </c>
      <c r="E378" s="1" t="s">
        <v>8</v>
      </c>
      <c r="F378" s="1">
        <v>1</v>
      </c>
      <c r="G378" s="1">
        <v>0</v>
      </c>
      <c r="H378" s="6">
        <f>INT(Query1[[#This Row],[EntryDateTime]])</f>
        <v>44601</v>
      </c>
      <c r="I378" s="1">
        <f>IF(Query1[[#This Row],[ItemType]]="EVAP KIT SF GEN IV",Query1[[#This Row],[OrderQty]]+I377,I377)</f>
        <v>407</v>
      </c>
      <c r="J378" s="1">
        <f>IF(Query1[[#This Row],[ItemType]]="EVAP KIT UNIVERSAL",Query1[[#This Row],[OrderQty]]+J377,J377)</f>
        <v>335</v>
      </c>
      <c r="K378" s="1">
        <f>Query1[[#This Row],[SF Running Total]]+Query1[[#This Row],[UNIV Running Total]]</f>
        <v>742</v>
      </c>
      <c r="L378">
        <f>VLOOKUP(Query1[[#This Row],[Description]],'kits to boards'!$B$2:$E$156,2,FALSE)</f>
        <v>830056</v>
      </c>
      <c r="M378">
        <f>VLOOKUP(Query1[[#This Row],[Description]],'kits to boards'!$B$2:$E$156,3,FALSE)</f>
        <v>0</v>
      </c>
      <c r="N378">
        <f>VLOOKUP(Query1[[#This Row],[Description]],'kits to boards'!$B$2:$E$156,4,FALSE)</f>
        <v>0</v>
      </c>
      <c r="O378" t="str">
        <f>CONCATENATE(Query1[[#This Row],[Description]]," - ",Query1[[#This Row],[MB1]]," - ",Query1[[#This Row],[MB2]]," - ",Query1[[#This Row],[MB3]])</f>
        <v>EVAP KIT 64-65 CHEVELLE W/AC - 830056 - 0 - 0</v>
      </c>
    </row>
    <row r="379" spans="1:15" x14ac:dyDescent="0.25">
      <c r="A379" s="1">
        <v>909345</v>
      </c>
      <c r="B379" s="1" t="s">
        <v>275</v>
      </c>
      <c r="C379" s="1" t="s">
        <v>276</v>
      </c>
      <c r="D379" s="2">
        <v>44601.347566747689</v>
      </c>
      <c r="E379" s="1" t="s">
        <v>8</v>
      </c>
      <c r="F379" s="1">
        <v>1</v>
      </c>
      <c r="G379" s="1">
        <v>0</v>
      </c>
      <c r="H379" s="6">
        <f>INT(Query1[[#This Row],[EntryDateTime]])</f>
        <v>44601</v>
      </c>
      <c r="I379" s="1">
        <f>IF(Query1[[#This Row],[ItemType]]="EVAP KIT SF GEN IV",Query1[[#This Row],[OrderQty]]+I378,I378)</f>
        <v>408</v>
      </c>
      <c r="J379" s="1">
        <f>IF(Query1[[#This Row],[ItemType]]="EVAP KIT UNIVERSAL",Query1[[#This Row],[OrderQty]]+J378,J378)</f>
        <v>335</v>
      </c>
      <c r="K379" s="1">
        <f>Query1[[#This Row],[SF Running Total]]+Query1[[#This Row],[UNIV Running Total]]</f>
        <v>743</v>
      </c>
      <c r="L379">
        <f>VLOOKUP(Query1[[#This Row],[Description]],'kits to boards'!$B$2:$E$156,2,FALSE)</f>
        <v>830124</v>
      </c>
      <c r="M379">
        <f>VLOOKUP(Query1[[#This Row],[Description]],'kits to boards'!$B$2:$E$156,3,FALSE)</f>
        <v>0</v>
      </c>
      <c r="N379">
        <f>VLOOKUP(Query1[[#This Row],[Description]],'kits to boards'!$B$2:$E$156,4,FALSE)</f>
        <v>0</v>
      </c>
      <c r="O379" t="str">
        <f>CONCATENATE(Query1[[#This Row],[Description]]," - ",Query1[[#This Row],[MB1]]," - ",Query1[[#This Row],[MB2]]," - ",Query1[[#This Row],[MB3]])</f>
        <v>EVAP KIT 69 GTO WO/AC - 830124 - 0 - 0</v>
      </c>
    </row>
    <row r="380" spans="1:15" x14ac:dyDescent="0.25">
      <c r="A380" s="1">
        <v>909796</v>
      </c>
      <c r="B380" s="1" t="s">
        <v>22</v>
      </c>
      <c r="C380" s="1" t="s">
        <v>23</v>
      </c>
      <c r="D380" s="2">
        <v>44601.347687847221</v>
      </c>
      <c r="E380" s="1" t="s">
        <v>8</v>
      </c>
      <c r="F380" s="1">
        <v>1</v>
      </c>
      <c r="G380" s="1">
        <v>0</v>
      </c>
      <c r="H380" s="6">
        <f>INT(Query1[[#This Row],[EntryDateTime]])</f>
        <v>44601</v>
      </c>
      <c r="I380" s="1">
        <f>IF(Query1[[#This Row],[ItemType]]="EVAP KIT SF GEN IV",Query1[[#This Row],[OrderQty]]+I379,I379)</f>
        <v>409</v>
      </c>
      <c r="J380" s="1">
        <f>IF(Query1[[#This Row],[ItemType]]="EVAP KIT UNIVERSAL",Query1[[#This Row],[OrderQty]]+J379,J379)</f>
        <v>335</v>
      </c>
      <c r="K380" s="1">
        <f>Query1[[#This Row],[SF Running Total]]+Query1[[#This Row],[UNIV Running Total]]</f>
        <v>744</v>
      </c>
      <c r="L380">
        <f>VLOOKUP(Query1[[#This Row],[Description]],'kits to boards'!$B$2:$E$156,2,FALSE)</f>
        <v>830083</v>
      </c>
      <c r="M380">
        <f>VLOOKUP(Query1[[#This Row],[Description]],'kits to boards'!$B$2:$E$156,3,FALSE)</f>
        <v>0</v>
      </c>
      <c r="N380">
        <f>VLOOKUP(Query1[[#This Row],[Description]],'kits to boards'!$B$2:$E$156,4,FALSE)</f>
        <v>0</v>
      </c>
      <c r="O380" t="str">
        <f>CONCATENATE(Query1[[#This Row],[Description]]," - ",Query1[[#This Row],[MB1]]," - ",Query1[[#This Row],[MB2]]," - ",Query1[[#This Row],[MB3]])</f>
        <v>GEN IV MAGNUM EVAP KIT - 830083 - 0 - 0</v>
      </c>
    </row>
    <row r="381" spans="1:15" x14ac:dyDescent="0.25">
      <c r="A381" s="1">
        <v>909907</v>
      </c>
      <c r="B381" s="1" t="s">
        <v>226</v>
      </c>
      <c r="C381" s="1" t="s">
        <v>227</v>
      </c>
      <c r="D381" s="2">
        <v>44601.348009803238</v>
      </c>
      <c r="E381" s="1" t="s">
        <v>8</v>
      </c>
      <c r="F381" s="1">
        <v>1</v>
      </c>
      <c r="G381" s="1">
        <v>0</v>
      </c>
      <c r="H381" s="6">
        <f>INT(Query1[[#This Row],[EntryDateTime]])</f>
        <v>44601</v>
      </c>
      <c r="I381" s="1">
        <f>IF(Query1[[#This Row],[ItemType]]="EVAP KIT SF GEN IV",Query1[[#This Row],[OrderQty]]+I380,I380)</f>
        <v>410</v>
      </c>
      <c r="J381" s="1">
        <f>IF(Query1[[#This Row],[ItemType]]="EVAP KIT UNIVERSAL",Query1[[#This Row],[OrderQty]]+J380,J380)</f>
        <v>335</v>
      </c>
      <c r="K381" s="1">
        <f>Query1[[#This Row],[SF Running Total]]+Query1[[#This Row],[UNIV Running Total]]</f>
        <v>745</v>
      </c>
      <c r="L381">
        <f>VLOOKUP(Query1[[#This Row],[Description]],'kits to boards'!$B$2:$E$156,2,FALSE)</f>
        <v>830124</v>
      </c>
      <c r="M381">
        <f>VLOOKUP(Query1[[#This Row],[Description]],'kits to boards'!$B$2:$E$156,3,FALSE)</f>
        <v>0</v>
      </c>
      <c r="N381">
        <f>VLOOKUP(Query1[[#This Row],[Description]],'kits to boards'!$B$2:$E$156,4,FALSE)</f>
        <v>0</v>
      </c>
      <c r="O381" t="str">
        <f>CONCATENATE(Query1[[#This Row],[Description]]," - ",Query1[[#This Row],[MB1]]," - ",Query1[[#This Row],[MB2]]," - ",Query1[[#This Row],[MB3]])</f>
        <v>EVAP KIT 70-72 GTO W/AC - 830124 - 0 - 0</v>
      </c>
    </row>
    <row r="382" spans="1:15" x14ac:dyDescent="0.25">
      <c r="A382" s="1">
        <v>909909</v>
      </c>
      <c r="B382" s="1" t="s">
        <v>26</v>
      </c>
      <c r="C382" s="1" t="s">
        <v>27</v>
      </c>
      <c r="D382" s="2">
        <v>44601.348850150462</v>
      </c>
      <c r="E382" s="1" t="s">
        <v>8</v>
      </c>
      <c r="F382" s="1">
        <v>1</v>
      </c>
      <c r="G382" s="1">
        <v>0</v>
      </c>
      <c r="H382" s="6">
        <f>INT(Query1[[#This Row],[EntryDateTime]])</f>
        <v>44601</v>
      </c>
      <c r="I382" s="1">
        <f>IF(Query1[[#This Row],[ItemType]]="EVAP KIT SF GEN IV",Query1[[#This Row],[OrderQty]]+I381,I381)</f>
        <v>411</v>
      </c>
      <c r="J382" s="1">
        <f>IF(Query1[[#This Row],[ItemType]]="EVAP KIT UNIVERSAL",Query1[[#This Row],[OrderQty]]+J381,J381)</f>
        <v>335</v>
      </c>
      <c r="K382" s="1">
        <f>Query1[[#This Row],[SF Running Total]]+Query1[[#This Row],[UNIV Running Total]]</f>
        <v>746</v>
      </c>
      <c r="L382">
        <f>VLOOKUP(Query1[[#This Row],[Description]],'kits to boards'!$B$2:$E$156,2,FALSE)</f>
        <v>830013</v>
      </c>
      <c r="M382">
        <f>VLOOKUP(Query1[[#This Row],[Description]],'kits to boards'!$B$2:$E$156,3,FALSE)</f>
        <v>0</v>
      </c>
      <c r="N382">
        <f>VLOOKUP(Query1[[#This Row],[Description]],'kits to boards'!$B$2:$E$156,4,FALSE)</f>
        <v>0</v>
      </c>
      <c r="O382" t="str">
        <f>CONCATENATE(Query1[[#This Row],[Description]]," - ",Query1[[#This Row],[MB1]]," - ",Query1[[#This Row],[MB2]]," - ",Query1[[#This Row],[MB3]])</f>
        <v>EVAP KIT 67-72 CHEV P-UP W/AC - 830013 - 0 - 0</v>
      </c>
    </row>
    <row r="383" spans="1:15" x14ac:dyDescent="0.25">
      <c r="A383" s="1">
        <v>909914</v>
      </c>
      <c r="B383" s="1" t="s">
        <v>92</v>
      </c>
      <c r="C383" s="1" t="s">
        <v>93</v>
      </c>
      <c r="D383" s="2">
        <v>44601.349452164352</v>
      </c>
      <c r="E383" s="1" t="s">
        <v>8</v>
      </c>
      <c r="F383" s="1">
        <v>1</v>
      </c>
      <c r="G383" s="1">
        <v>0</v>
      </c>
      <c r="H383" s="6">
        <f>INT(Query1[[#This Row],[EntryDateTime]])</f>
        <v>44601</v>
      </c>
      <c r="I383" s="1">
        <f>IF(Query1[[#This Row],[ItemType]]="EVAP KIT SF GEN IV",Query1[[#This Row],[OrderQty]]+I382,I382)</f>
        <v>412</v>
      </c>
      <c r="J383" s="1">
        <f>IF(Query1[[#This Row],[ItemType]]="EVAP KIT UNIVERSAL",Query1[[#This Row],[OrderQty]]+J382,J382)</f>
        <v>335</v>
      </c>
      <c r="K383" s="1">
        <f>Query1[[#This Row],[SF Running Total]]+Query1[[#This Row],[UNIV Running Total]]</f>
        <v>747</v>
      </c>
      <c r="L383">
        <f>VLOOKUP(Query1[[#This Row],[Description]],'kits to boards'!$B$2:$E$156,2,FALSE)</f>
        <v>830063</v>
      </c>
      <c r="M383">
        <f>VLOOKUP(Query1[[#This Row],[Description]],'kits to boards'!$B$2:$E$156,3,FALSE)</f>
        <v>0</v>
      </c>
      <c r="N383">
        <f>VLOOKUP(Query1[[#This Row],[Description]],'kits to boards'!$B$2:$E$156,4,FALSE)</f>
        <v>0</v>
      </c>
      <c r="O383" t="str">
        <f>CONCATENATE(Query1[[#This Row],[Description]]," - ",Query1[[#This Row],[MB1]]," - ",Query1[[#This Row],[MB2]]," - ",Query1[[#This Row],[MB3]])</f>
        <v>EVAP KIT 50-53 CHEV P-UP GEN IV - 830063 - 0 - 0</v>
      </c>
    </row>
    <row r="384" spans="1:15" x14ac:dyDescent="0.25">
      <c r="A384" s="1">
        <v>909359</v>
      </c>
      <c r="B384" s="1" t="s">
        <v>50</v>
      </c>
      <c r="C384" s="1" t="s">
        <v>51</v>
      </c>
      <c r="D384" s="2">
        <v>44601.349705590277</v>
      </c>
      <c r="E384" s="1" t="s">
        <v>8</v>
      </c>
      <c r="F384" s="1">
        <v>1</v>
      </c>
      <c r="G384" s="1">
        <v>0</v>
      </c>
      <c r="H384" s="6">
        <f>INT(Query1[[#This Row],[EntryDateTime]])</f>
        <v>44601</v>
      </c>
      <c r="I384" s="1">
        <f>IF(Query1[[#This Row],[ItemType]]="EVAP KIT SF GEN IV",Query1[[#This Row],[OrderQty]]+I383,I383)</f>
        <v>413</v>
      </c>
      <c r="J384" s="1">
        <f>IF(Query1[[#This Row],[ItemType]]="EVAP KIT UNIVERSAL",Query1[[#This Row],[OrderQty]]+J383,J383)</f>
        <v>335</v>
      </c>
      <c r="K384" s="1">
        <f>Query1[[#This Row],[SF Running Total]]+Query1[[#This Row],[UNIV Running Total]]</f>
        <v>748</v>
      </c>
      <c r="L384">
        <f>VLOOKUP(Query1[[#This Row],[Description]],'kits to boards'!$B$2:$E$156,2,FALSE)</f>
        <v>830043</v>
      </c>
      <c r="M384">
        <f>VLOOKUP(Query1[[#This Row],[Description]],'kits to boards'!$B$2:$E$156,3,FALSE)</f>
        <v>0</v>
      </c>
      <c r="N384">
        <f>VLOOKUP(Query1[[#This Row],[Description]],'kits to boards'!$B$2:$E$156,4,FALSE)</f>
        <v>0</v>
      </c>
      <c r="O384" t="str">
        <f>CONCATENATE(Query1[[#This Row],[Description]]," - ",Query1[[#This Row],[MB1]]," - ",Query1[[#This Row],[MB2]]," - ",Query1[[#This Row],[MB3]])</f>
        <v>EVAP KIT 69-74 NOVA WO AC - 830043 - 0 - 0</v>
      </c>
    </row>
    <row r="385" spans="1:15" x14ac:dyDescent="0.25">
      <c r="A385" s="1">
        <v>909934</v>
      </c>
      <c r="B385" s="1" t="s">
        <v>106</v>
      </c>
      <c r="C385" s="1" t="s">
        <v>107</v>
      </c>
      <c r="D385" s="2">
        <v>44601.352863460648</v>
      </c>
      <c r="E385" s="1" t="s">
        <v>8</v>
      </c>
      <c r="F385" s="1">
        <v>1</v>
      </c>
      <c r="G385" s="1">
        <v>0</v>
      </c>
      <c r="H385" s="6">
        <f>INT(Query1[[#This Row],[EntryDateTime]])</f>
        <v>44601</v>
      </c>
      <c r="I385" s="1">
        <f>IF(Query1[[#This Row],[ItemType]]="EVAP KIT SF GEN IV",Query1[[#This Row],[OrderQty]]+I384,I384)</f>
        <v>414</v>
      </c>
      <c r="J385" s="1">
        <f>IF(Query1[[#This Row],[ItemType]]="EVAP KIT UNIVERSAL",Query1[[#This Row],[OrderQty]]+J384,J384)</f>
        <v>335</v>
      </c>
      <c r="K385" s="1">
        <f>Query1[[#This Row],[SF Running Total]]+Query1[[#This Row],[UNIV Running Total]]</f>
        <v>749</v>
      </c>
      <c r="L385">
        <f>VLOOKUP(Query1[[#This Row],[Description]],'kits to boards'!$B$2:$E$156,2,FALSE)</f>
        <v>830028</v>
      </c>
      <c r="M385">
        <f>VLOOKUP(Query1[[#This Row],[Description]],'kits to boards'!$B$2:$E$156,3,FALSE)</f>
        <v>0</v>
      </c>
      <c r="N385">
        <f>VLOOKUP(Query1[[#This Row],[Description]],'kits to boards'!$B$2:$E$156,4,FALSE)</f>
        <v>0</v>
      </c>
      <c r="O385" t="str">
        <f>CONCATENATE(Query1[[#This Row],[Description]]," - ",Query1[[#This Row],[MB1]]," - ",Query1[[#This Row],[MB2]]," - ",Query1[[#This Row],[MB3]])</f>
        <v>EVAP KIT 55-59 CHEV P-UP WO AC W/DELX - 830028 - 0 - 0</v>
      </c>
    </row>
    <row r="386" spans="1:15" x14ac:dyDescent="0.25">
      <c r="A386" s="1">
        <v>909940</v>
      </c>
      <c r="B386" s="1" t="s">
        <v>206</v>
      </c>
      <c r="C386" s="1" t="s">
        <v>207</v>
      </c>
      <c r="D386" s="2">
        <v>44601.356319444443</v>
      </c>
      <c r="E386" s="1" t="s">
        <v>8</v>
      </c>
      <c r="F386" s="1">
        <v>1</v>
      </c>
      <c r="G386" s="1">
        <v>0</v>
      </c>
      <c r="H386" s="6">
        <f>INT(Query1[[#This Row],[EntryDateTime]])</f>
        <v>44601</v>
      </c>
      <c r="I386" s="1">
        <f>IF(Query1[[#This Row],[ItemType]]="EVAP KIT SF GEN IV",Query1[[#This Row],[OrderQty]]+I385,I385)</f>
        <v>415</v>
      </c>
      <c r="J386" s="1">
        <f>IF(Query1[[#This Row],[ItemType]]="EVAP KIT UNIVERSAL",Query1[[#This Row],[OrderQty]]+J385,J385)</f>
        <v>335</v>
      </c>
      <c r="K386" s="1">
        <f>Query1[[#This Row],[SF Running Total]]+Query1[[#This Row],[UNIV Running Total]]</f>
        <v>750</v>
      </c>
      <c r="L386">
        <f>VLOOKUP(Query1[[#This Row],[Description]],'kits to boards'!$B$2:$E$156,2,FALSE)</f>
        <v>830032</v>
      </c>
      <c r="M386">
        <f>VLOOKUP(Query1[[#This Row],[Description]],'kits to boards'!$B$2:$E$156,3,FALSE)</f>
        <v>0</v>
      </c>
      <c r="N386">
        <f>VLOOKUP(Query1[[#This Row],[Description]],'kits to boards'!$B$2:$E$156,4,FALSE)</f>
        <v>0</v>
      </c>
      <c r="O386" t="str">
        <f>CONCATENATE(Query1[[#This Row],[Description]]," - ",Query1[[#This Row],[MB1]]," - ",Query1[[#This Row],[MB2]]," - ",Query1[[#This Row],[MB3]])</f>
        <v>EVAP KIT 61-62 VETTE - 830032 - 0 - 0</v>
      </c>
    </row>
    <row r="387" spans="1:15" x14ac:dyDescent="0.25">
      <c r="A387" s="1">
        <v>907998</v>
      </c>
      <c r="B387" s="1" t="s">
        <v>52</v>
      </c>
      <c r="C387" s="1" t="s">
        <v>53</v>
      </c>
      <c r="D387" s="2">
        <v>44601.361286956017</v>
      </c>
      <c r="E387" s="1" t="s">
        <v>8</v>
      </c>
      <c r="F387" s="1">
        <v>1</v>
      </c>
      <c r="G387" s="1">
        <v>0</v>
      </c>
      <c r="H387" s="6">
        <f>INT(Query1[[#This Row],[EntryDateTime]])</f>
        <v>44601</v>
      </c>
      <c r="I387" s="1">
        <f>IF(Query1[[#This Row],[ItemType]]="EVAP KIT SF GEN IV",Query1[[#This Row],[OrderQty]]+I386,I386)</f>
        <v>416</v>
      </c>
      <c r="J387" s="1">
        <f>IF(Query1[[#This Row],[ItemType]]="EVAP KIT UNIVERSAL",Query1[[#This Row],[OrderQty]]+J386,J386)</f>
        <v>335</v>
      </c>
      <c r="K387" s="1">
        <f>Query1[[#This Row],[SF Running Total]]+Query1[[#This Row],[UNIV Running Total]]</f>
        <v>751</v>
      </c>
      <c r="L387">
        <f>VLOOKUP(Query1[[#This Row],[Description]],'kits to boards'!$B$2:$E$156,2,FALSE)</f>
        <v>830017</v>
      </c>
      <c r="M387">
        <f>VLOOKUP(Query1[[#This Row],[Description]],'kits to boards'!$B$2:$E$156,3,FALSE)</f>
        <v>830119</v>
      </c>
      <c r="N387">
        <f>VLOOKUP(Query1[[#This Row],[Description]],'kits to boards'!$B$2:$E$156,4,FALSE)</f>
        <v>830120</v>
      </c>
      <c r="O387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88" spans="1:15" x14ac:dyDescent="0.25">
      <c r="A388" s="1">
        <v>908859</v>
      </c>
      <c r="B388" s="1" t="s">
        <v>18</v>
      </c>
      <c r="C388" s="1" t="s">
        <v>19</v>
      </c>
      <c r="D388" s="2">
        <v>44601.361960451388</v>
      </c>
      <c r="E388" s="1" t="s">
        <v>8</v>
      </c>
      <c r="F388" s="1">
        <v>1</v>
      </c>
      <c r="G388" s="1">
        <v>0</v>
      </c>
      <c r="H388" s="6">
        <f>INT(Query1[[#This Row],[EntryDateTime]])</f>
        <v>44601</v>
      </c>
      <c r="I388" s="1">
        <f>IF(Query1[[#This Row],[ItemType]]="EVAP KIT SF GEN IV",Query1[[#This Row],[OrderQty]]+I387,I387)</f>
        <v>417</v>
      </c>
      <c r="J388" s="1">
        <f>IF(Query1[[#This Row],[ItemType]]="EVAP KIT UNIVERSAL",Query1[[#This Row],[OrderQty]]+J387,J387)</f>
        <v>335</v>
      </c>
      <c r="K388" s="1">
        <f>Query1[[#This Row],[SF Running Total]]+Query1[[#This Row],[UNIV Running Total]]</f>
        <v>752</v>
      </c>
      <c r="L388">
        <f>VLOOKUP(Query1[[#This Row],[Description]],'kits to boards'!$B$2:$E$156,2,FALSE)</f>
        <v>830051</v>
      </c>
      <c r="M388">
        <f>VLOOKUP(Query1[[#This Row],[Description]],'kits to boards'!$B$2:$E$156,3,FALSE)</f>
        <v>0</v>
      </c>
      <c r="N388">
        <f>VLOOKUP(Query1[[#This Row],[Description]],'kits to boards'!$B$2:$E$156,4,FALSE)</f>
        <v>0</v>
      </c>
      <c r="O388" t="str">
        <f>CONCATENATE(Query1[[#This Row],[Description]]," - ",Query1[[#This Row],[MB1]]," - ",Query1[[#This Row],[MB2]]," - ",Query1[[#This Row],[MB3]])</f>
        <v>EVAP KIT 70-78 CAMARO W/AC - 830051 - 0 - 0</v>
      </c>
    </row>
    <row r="389" spans="1:15" x14ac:dyDescent="0.25">
      <c r="A389" s="1">
        <v>909950</v>
      </c>
      <c r="B389" s="1" t="s">
        <v>38</v>
      </c>
      <c r="C389" s="1" t="s">
        <v>39</v>
      </c>
      <c r="D389" s="2">
        <v>44601.3674040162</v>
      </c>
      <c r="E389" s="1" t="s">
        <v>8</v>
      </c>
      <c r="F389" s="1">
        <v>1</v>
      </c>
      <c r="G389" s="1">
        <v>0</v>
      </c>
      <c r="H389" s="6">
        <f>INT(Query1[[#This Row],[EntryDateTime]])</f>
        <v>44601</v>
      </c>
      <c r="I389" s="1">
        <f>IF(Query1[[#This Row],[ItemType]]="EVAP KIT SF GEN IV",Query1[[#This Row],[OrderQty]]+I388,I388)</f>
        <v>418</v>
      </c>
      <c r="J389" s="1">
        <f>IF(Query1[[#This Row],[ItemType]]="EVAP KIT UNIVERSAL",Query1[[#This Row],[OrderQty]]+J388,J388)</f>
        <v>335</v>
      </c>
      <c r="K389" s="1">
        <f>Query1[[#This Row],[SF Running Total]]+Query1[[#This Row],[UNIV Running Total]]</f>
        <v>753</v>
      </c>
      <c r="L389">
        <f>VLOOKUP(Query1[[#This Row],[Description]],'kits to boards'!$B$2:$E$156,2,FALSE)</f>
        <v>830012</v>
      </c>
      <c r="M389">
        <f>VLOOKUP(Query1[[#This Row],[Description]],'kits to boards'!$B$2:$E$156,3,FALSE)</f>
        <v>0</v>
      </c>
      <c r="N389">
        <f>VLOOKUP(Query1[[#This Row],[Description]],'kits to boards'!$B$2:$E$156,4,FALSE)</f>
        <v>0</v>
      </c>
      <c r="O389" t="str">
        <f>CONCATENATE(Query1[[#This Row],[Description]]," - ",Query1[[#This Row],[MB1]]," - ",Query1[[#This Row],[MB2]]," - ",Query1[[#This Row],[MB3]])</f>
        <v>EVAP KIT 69 CAMARO W/AC - 830012 - 0 - 0</v>
      </c>
    </row>
    <row r="390" spans="1:15" x14ac:dyDescent="0.25">
      <c r="A390" s="1">
        <v>909968</v>
      </c>
      <c r="B390" s="1" t="s">
        <v>68</v>
      </c>
      <c r="C390" s="1" t="s">
        <v>69</v>
      </c>
      <c r="D390" s="2">
        <v>44601.380949456019</v>
      </c>
      <c r="E390" s="1" t="s">
        <v>8</v>
      </c>
      <c r="F390" s="1">
        <v>1</v>
      </c>
      <c r="G390" s="1">
        <v>0</v>
      </c>
      <c r="H390" s="6">
        <f>INT(Query1[[#This Row],[EntryDateTime]])</f>
        <v>44601</v>
      </c>
      <c r="I390" s="1">
        <f>IF(Query1[[#This Row],[ItemType]]="EVAP KIT SF GEN IV",Query1[[#This Row],[OrderQty]]+I389,I389)</f>
        <v>419</v>
      </c>
      <c r="J390" s="1">
        <f>IF(Query1[[#This Row],[ItemType]]="EVAP KIT UNIVERSAL",Query1[[#This Row],[OrderQty]]+J389,J389)</f>
        <v>335</v>
      </c>
      <c r="K390" s="1">
        <f>Query1[[#This Row],[SF Running Total]]+Query1[[#This Row],[UNIV Running Total]]</f>
        <v>754</v>
      </c>
      <c r="L390">
        <f>VLOOKUP(Query1[[#This Row],[Description]],'kits to boards'!$B$2:$E$156,2,FALSE)</f>
        <v>830010</v>
      </c>
      <c r="M390">
        <f>VLOOKUP(Query1[[#This Row],[Description]],'kits to boards'!$B$2:$E$156,3,FALSE)</f>
        <v>0</v>
      </c>
      <c r="N390">
        <f>VLOOKUP(Query1[[#This Row],[Description]],'kits to boards'!$B$2:$E$156,4,FALSE)</f>
        <v>0</v>
      </c>
      <c r="O390" t="str">
        <f>CONCATENATE(Query1[[#This Row],[Description]]," - ",Query1[[#This Row],[MB1]]," - ",Query1[[#This Row],[MB2]]," - ",Query1[[#This Row],[MB3]])</f>
        <v>EVAP KIT 70-72 CHEVELLE WO AC - 830010 - 0 - 0</v>
      </c>
    </row>
    <row r="391" spans="1:15" x14ac:dyDescent="0.25">
      <c r="A391" s="1">
        <v>909913</v>
      </c>
      <c r="B391" s="1" t="s">
        <v>112</v>
      </c>
      <c r="C391" s="1" t="s">
        <v>113</v>
      </c>
      <c r="D391" s="2">
        <v>44601.382110729166</v>
      </c>
      <c r="E391" s="1" t="s">
        <v>8</v>
      </c>
      <c r="F391" s="1">
        <v>1</v>
      </c>
      <c r="G391" s="1">
        <v>0</v>
      </c>
      <c r="H391" s="6">
        <f>INT(Query1[[#This Row],[EntryDateTime]])</f>
        <v>44601</v>
      </c>
      <c r="I391" s="1">
        <f>IF(Query1[[#This Row],[ItemType]]="EVAP KIT SF GEN IV",Query1[[#This Row],[OrderQty]]+I390,I390)</f>
        <v>420</v>
      </c>
      <c r="J391" s="1">
        <f>IF(Query1[[#This Row],[ItemType]]="EVAP KIT UNIVERSAL",Query1[[#This Row],[OrderQty]]+J390,J390)</f>
        <v>335</v>
      </c>
      <c r="K391" s="1">
        <f>Query1[[#This Row],[SF Running Total]]+Query1[[#This Row],[UNIV Running Total]]</f>
        <v>755</v>
      </c>
      <c r="L391">
        <f>VLOOKUP(Query1[[#This Row],[Description]],'kits to boards'!$B$2:$E$156,2,FALSE)</f>
        <v>830063</v>
      </c>
      <c r="M391">
        <f>VLOOKUP(Query1[[#This Row],[Description]],'kits to boards'!$B$2:$E$156,3,FALSE)</f>
        <v>0</v>
      </c>
      <c r="N391">
        <f>VLOOKUP(Query1[[#This Row],[Description]],'kits to boards'!$B$2:$E$156,4,FALSE)</f>
        <v>0</v>
      </c>
      <c r="O391" t="str">
        <f>CONCATENATE(Query1[[#This Row],[Description]]," - ",Query1[[#This Row],[MB1]]," - ",Query1[[#This Row],[MB2]]," - ",Query1[[#This Row],[MB3]])</f>
        <v>EVAP KIT 54-55 CHEV P-UP GEN IV - 830063 - 0 - 0</v>
      </c>
    </row>
    <row r="392" spans="1:15" x14ac:dyDescent="0.25">
      <c r="A392" s="1">
        <v>909916</v>
      </c>
      <c r="B392" s="1" t="s">
        <v>18</v>
      </c>
      <c r="C392" s="1" t="s">
        <v>19</v>
      </c>
      <c r="D392" s="2">
        <v>44601.382967974539</v>
      </c>
      <c r="E392" s="1" t="s">
        <v>8</v>
      </c>
      <c r="F392" s="1">
        <v>1</v>
      </c>
      <c r="G392" s="1">
        <v>0</v>
      </c>
      <c r="H392" s="6">
        <f>INT(Query1[[#This Row],[EntryDateTime]])</f>
        <v>44601</v>
      </c>
      <c r="I392" s="1">
        <f>IF(Query1[[#This Row],[ItemType]]="EVAP KIT SF GEN IV",Query1[[#This Row],[OrderQty]]+I391,I391)</f>
        <v>421</v>
      </c>
      <c r="J392" s="1">
        <f>IF(Query1[[#This Row],[ItemType]]="EVAP KIT UNIVERSAL",Query1[[#This Row],[OrderQty]]+J391,J391)</f>
        <v>335</v>
      </c>
      <c r="K392" s="1">
        <f>Query1[[#This Row],[SF Running Total]]+Query1[[#This Row],[UNIV Running Total]]</f>
        <v>756</v>
      </c>
      <c r="L392">
        <f>VLOOKUP(Query1[[#This Row],[Description]],'kits to boards'!$B$2:$E$156,2,FALSE)</f>
        <v>830051</v>
      </c>
      <c r="M392">
        <f>VLOOKUP(Query1[[#This Row],[Description]],'kits to boards'!$B$2:$E$156,3,FALSE)</f>
        <v>0</v>
      </c>
      <c r="N392">
        <f>VLOOKUP(Query1[[#This Row],[Description]],'kits to boards'!$B$2:$E$156,4,FALSE)</f>
        <v>0</v>
      </c>
      <c r="O392" t="str">
        <f>CONCATENATE(Query1[[#This Row],[Description]]," - ",Query1[[#This Row],[MB1]]," - ",Query1[[#This Row],[MB2]]," - ",Query1[[#This Row],[MB3]])</f>
        <v>EVAP KIT 70-78 CAMARO W/AC - 830051 - 0 - 0</v>
      </c>
    </row>
    <row r="393" spans="1:15" x14ac:dyDescent="0.25">
      <c r="A393" s="1">
        <v>909687</v>
      </c>
      <c r="B393" s="1" t="s">
        <v>18</v>
      </c>
      <c r="C393" s="1" t="s">
        <v>19</v>
      </c>
      <c r="D393" s="2">
        <v>44601.384465277777</v>
      </c>
      <c r="E393" s="1" t="s">
        <v>8</v>
      </c>
      <c r="F393" s="1">
        <v>1</v>
      </c>
      <c r="G393" s="1">
        <v>0</v>
      </c>
      <c r="H393" s="6">
        <f>INT(Query1[[#This Row],[EntryDateTime]])</f>
        <v>44601</v>
      </c>
      <c r="I393" s="1">
        <f>IF(Query1[[#This Row],[ItemType]]="EVAP KIT SF GEN IV",Query1[[#This Row],[OrderQty]]+I392,I392)</f>
        <v>422</v>
      </c>
      <c r="J393" s="1">
        <f>IF(Query1[[#This Row],[ItemType]]="EVAP KIT UNIVERSAL",Query1[[#This Row],[OrderQty]]+J392,J392)</f>
        <v>335</v>
      </c>
      <c r="K393" s="1">
        <f>Query1[[#This Row],[SF Running Total]]+Query1[[#This Row],[UNIV Running Total]]</f>
        <v>757</v>
      </c>
      <c r="L393">
        <f>VLOOKUP(Query1[[#This Row],[Description]],'kits to boards'!$B$2:$E$156,2,FALSE)</f>
        <v>830051</v>
      </c>
      <c r="M393">
        <f>VLOOKUP(Query1[[#This Row],[Description]],'kits to boards'!$B$2:$E$156,3,FALSE)</f>
        <v>0</v>
      </c>
      <c r="N393">
        <f>VLOOKUP(Query1[[#This Row],[Description]],'kits to boards'!$B$2:$E$156,4,FALSE)</f>
        <v>0</v>
      </c>
      <c r="O393" t="str">
        <f>CONCATENATE(Query1[[#This Row],[Description]]," - ",Query1[[#This Row],[MB1]]," - ",Query1[[#This Row],[MB2]]," - ",Query1[[#This Row],[MB3]])</f>
        <v>EVAP KIT 70-78 CAMARO W/AC - 830051 - 0 - 0</v>
      </c>
    </row>
    <row r="394" spans="1:15" x14ac:dyDescent="0.25">
      <c r="A394" s="1">
        <v>909974</v>
      </c>
      <c r="B394" s="1" t="s">
        <v>192</v>
      </c>
      <c r="C394" s="1" t="s">
        <v>193</v>
      </c>
      <c r="D394" s="2">
        <v>44601.386123113429</v>
      </c>
      <c r="E394" s="1" t="s">
        <v>8</v>
      </c>
      <c r="F394" s="1">
        <v>1</v>
      </c>
      <c r="G394" s="1">
        <v>0</v>
      </c>
      <c r="H394" s="6">
        <f>INT(Query1[[#This Row],[EntryDateTime]])</f>
        <v>44601</v>
      </c>
      <c r="I394" s="1">
        <f>IF(Query1[[#This Row],[ItemType]]="EVAP KIT SF GEN IV",Query1[[#This Row],[OrderQty]]+I393,I393)</f>
        <v>423</v>
      </c>
      <c r="J394" s="1">
        <f>IF(Query1[[#This Row],[ItemType]]="EVAP KIT UNIVERSAL",Query1[[#This Row],[OrderQty]]+J393,J393)</f>
        <v>335</v>
      </c>
      <c r="K394" s="1">
        <f>Query1[[#This Row],[SF Running Total]]+Query1[[#This Row],[UNIV Running Total]]</f>
        <v>758</v>
      </c>
      <c r="L394">
        <f>VLOOKUP(Query1[[#This Row],[Description]],'kits to boards'!$B$2:$E$156,2,FALSE)</f>
        <v>830094</v>
      </c>
      <c r="M394">
        <f>VLOOKUP(Query1[[#This Row],[Description]],'kits to boards'!$B$2:$E$156,3,FALSE)</f>
        <v>0</v>
      </c>
      <c r="N394">
        <f>VLOOKUP(Query1[[#This Row],[Description]],'kits to boards'!$B$2:$E$156,4,FALSE)</f>
        <v>0</v>
      </c>
      <c r="O394" t="str">
        <f>CONCATENATE(Query1[[#This Row],[Description]]," - ",Query1[[#This Row],[MB1]]," - ",Query1[[#This Row],[MB2]]," - ",Query1[[#This Row],[MB3]])</f>
        <v>EVAP KIT 69-73 VETTE W/AC - 830094 - 0 - 0</v>
      </c>
    </row>
    <row r="395" spans="1:15" x14ac:dyDescent="0.25">
      <c r="A395" s="1">
        <v>909965</v>
      </c>
      <c r="B395" s="1" t="s">
        <v>30</v>
      </c>
      <c r="C395" s="1" t="s">
        <v>31</v>
      </c>
      <c r="D395" s="2">
        <v>44601.387465590276</v>
      </c>
      <c r="E395" s="1" t="s">
        <v>8</v>
      </c>
      <c r="F395" s="1">
        <v>1</v>
      </c>
      <c r="G395" s="1">
        <v>0</v>
      </c>
      <c r="H395" s="6">
        <f>INT(Query1[[#This Row],[EntryDateTime]])</f>
        <v>44601</v>
      </c>
      <c r="I395" s="1">
        <f>IF(Query1[[#This Row],[ItemType]]="EVAP KIT SF GEN IV",Query1[[#This Row],[OrderQty]]+I394,I394)</f>
        <v>424</v>
      </c>
      <c r="J395" s="1">
        <f>IF(Query1[[#This Row],[ItemType]]="EVAP KIT UNIVERSAL",Query1[[#This Row],[OrderQty]]+J394,J394)</f>
        <v>335</v>
      </c>
      <c r="K395" s="1">
        <f>Query1[[#This Row],[SF Running Total]]+Query1[[#This Row],[UNIV Running Total]]</f>
        <v>759</v>
      </c>
      <c r="L395">
        <f>VLOOKUP(Query1[[#This Row],[Description]],'kits to boards'!$B$2:$E$156,2,FALSE)</f>
        <v>830054</v>
      </c>
      <c r="M395">
        <f>VLOOKUP(Query1[[#This Row],[Description]],'kits to boards'!$B$2:$E$156,3,FALSE)</f>
        <v>0</v>
      </c>
      <c r="N395">
        <f>VLOOKUP(Query1[[#This Row],[Description]],'kits to boards'!$B$2:$E$156,4,FALSE)</f>
        <v>0</v>
      </c>
      <c r="O395" t="str">
        <f>CONCATENATE(Query1[[#This Row],[Description]]," - ",Query1[[#This Row],[MB1]]," - ",Query1[[#This Row],[MB2]]," - ",Query1[[#This Row],[MB3]])</f>
        <v>EVAP KIT 55-56 CHEVY 4-VENT - 830054 - 0 - 0</v>
      </c>
    </row>
    <row r="396" spans="1:15" x14ac:dyDescent="0.25">
      <c r="A396" s="1">
        <v>909976</v>
      </c>
      <c r="B396" s="1" t="s">
        <v>110</v>
      </c>
      <c r="C396" s="1" t="s">
        <v>111</v>
      </c>
      <c r="D396" s="2">
        <v>44601.38774528935</v>
      </c>
      <c r="E396" s="1" t="s">
        <v>8</v>
      </c>
      <c r="F396" s="1">
        <v>1</v>
      </c>
      <c r="G396" s="1">
        <v>0</v>
      </c>
      <c r="H396" s="6">
        <f>INT(Query1[[#This Row],[EntryDateTime]])</f>
        <v>44601</v>
      </c>
      <c r="I396" s="1">
        <f>IF(Query1[[#This Row],[ItemType]]="EVAP KIT SF GEN IV",Query1[[#This Row],[OrderQty]]+I395,I395)</f>
        <v>425</v>
      </c>
      <c r="J396" s="1">
        <f>IF(Query1[[#This Row],[ItemType]]="EVAP KIT UNIVERSAL",Query1[[#This Row],[OrderQty]]+J395,J395)</f>
        <v>335</v>
      </c>
      <c r="K396" s="1">
        <f>Query1[[#This Row],[SF Running Total]]+Query1[[#This Row],[UNIV Running Total]]</f>
        <v>760</v>
      </c>
      <c r="L396">
        <f>VLOOKUP(Query1[[#This Row],[Description]],'kits to boards'!$B$2:$E$156,2,FALSE)</f>
        <v>830053</v>
      </c>
      <c r="M396">
        <f>VLOOKUP(Query1[[#This Row],[Description]],'kits to boards'!$B$2:$E$156,3,FALSE)</f>
        <v>0</v>
      </c>
      <c r="N396">
        <f>VLOOKUP(Query1[[#This Row],[Description]],'kits to boards'!$B$2:$E$156,4,FALSE)</f>
        <v>0</v>
      </c>
      <c r="O396" t="str">
        <f>CONCATENATE(Query1[[#This Row],[Description]]," - ",Query1[[#This Row],[MB1]]," - ",Query1[[#This Row],[MB2]]," - ",Query1[[#This Row],[MB3]])</f>
        <v>EVAP KIT 65-66 FORD F-100 - 830053 - 0 - 0</v>
      </c>
    </row>
    <row r="397" spans="1:15" x14ac:dyDescent="0.25">
      <c r="A397" s="1">
        <v>909978</v>
      </c>
      <c r="B397" s="1" t="s">
        <v>36</v>
      </c>
      <c r="C397" s="1" t="s">
        <v>37</v>
      </c>
      <c r="D397" s="2">
        <v>44601.390540243054</v>
      </c>
      <c r="E397" s="1" t="s">
        <v>8</v>
      </c>
      <c r="F397" s="1">
        <v>1</v>
      </c>
      <c r="G397" s="1">
        <v>0</v>
      </c>
      <c r="H397" s="6">
        <f>INT(Query1[[#This Row],[EntryDateTime]])</f>
        <v>44601</v>
      </c>
      <c r="I397" s="1">
        <f>IF(Query1[[#This Row],[ItemType]]="EVAP KIT SF GEN IV",Query1[[#This Row],[OrderQty]]+I396,I396)</f>
        <v>426</v>
      </c>
      <c r="J397" s="1">
        <f>IF(Query1[[#This Row],[ItemType]]="EVAP KIT UNIVERSAL",Query1[[#This Row],[OrderQty]]+J396,J396)</f>
        <v>335</v>
      </c>
      <c r="K397" s="1">
        <f>Query1[[#This Row],[SF Running Total]]+Query1[[#This Row],[UNIV Running Total]]</f>
        <v>761</v>
      </c>
      <c r="L397">
        <f>VLOOKUP(Query1[[#This Row],[Description]],'kits to boards'!$B$2:$E$156,2,FALSE)</f>
        <v>830015</v>
      </c>
      <c r="M397">
        <f>VLOOKUP(Query1[[#This Row],[Description]],'kits to boards'!$B$2:$E$156,3,FALSE)</f>
        <v>0</v>
      </c>
      <c r="N397">
        <f>VLOOKUP(Query1[[#This Row],[Description]],'kits to boards'!$B$2:$E$156,4,FALSE)</f>
        <v>0</v>
      </c>
      <c r="O397" t="str">
        <f>CONCATENATE(Query1[[#This Row],[Description]]," - ",Query1[[#This Row],[MB1]]," - ",Query1[[#This Row],[MB2]]," - ",Query1[[#This Row],[MB3]])</f>
        <v>EVAP KIT 64-66 CHEV P-UP WO AC W/STD - 830015 - 0 - 0</v>
      </c>
    </row>
    <row r="398" spans="1:15" x14ac:dyDescent="0.25">
      <c r="A398" s="1">
        <v>908942</v>
      </c>
      <c r="B398" s="1" t="s">
        <v>120</v>
      </c>
      <c r="C398" s="1" t="s">
        <v>121</v>
      </c>
      <c r="D398" s="2">
        <v>44601.390613425923</v>
      </c>
      <c r="E398" s="1" t="s">
        <v>8</v>
      </c>
      <c r="F398" s="1">
        <v>1</v>
      </c>
      <c r="G398" s="1">
        <v>0</v>
      </c>
      <c r="H398" s="6">
        <f>INT(Query1[[#This Row],[EntryDateTime]])</f>
        <v>44601</v>
      </c>
      <c r="I398" s="1">
        <f>IF(Query1[[#This Row],[ItemType]]="EVAP KIT SF GEN IV",Query1[[#This Row],[OrderQty]]+I397,I397)</f>
        <v>427</v>
      </c>
      <c r="J398" s="1">
        <f>IF(Query1[[#This Row],[ItemType]]="EVAP KIT UNIVERSAL",Query1[[#This Row],[OrderQty]]+J397,J397)</f>
        <v>335</v>
      </c>
      <c r="K398" s="1">
        <f>Query1[[#This Row],[SF Running Total]]+Query1[[#This Row],[UNIV Running Total]]</f>
        <v>762</v>
      </c>
      <c r="L398">
        <f>VLOOKUP(Query1[[#This Row],[Description]],'kits to boards'!$B$2:$E$156,2,FALSE)</f>
        <v>830014</v>
      </c>
      <c r="M398">
        <f>VLOOKUP(Query1[[#This Row],[Description]],'kits to boards'!$B$2:$E$156,3,FALSE)</f>
        <v>0</v>
      </c>
      <c r="N398">
        <f>VLOOKUP(Query1[[#This Row],[Description]],'kits to boards'!$B$2:$E$156,4,FALSE)</f>
        <v>0</v>
      </c>
      <c r="O398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399" spans="1:15" x14ac:dyDescent="0.25">
      <c r="A399" s="1">
        <v>909928</v>
      </c>
      <c r="B399" s="1" t="s">
        <v>184</v>
      </c>
      <c r="C399" s="1" t="s">
        <v>185</v>
      </c>
      <c r="D399" s="2">
        <v>44601.392399687502</v>
      </c>
      <c r="E399" s="1" t="s">
        <v>8</v>
      </c>
      <c r="F399" s="1">
        <v>1</v>
      </c>
      <c r="G399" s="1">
        <v>0</v>
      </c>
      <c r="H399" s="6">
        <f>INT(Query1[[#This Row],[EntryDateTime]])</f>
        <v>44601</v>
      </c>
      <c r="I399" s="1">
        <f>IF(Query1[[#This Row],[ItemType]]="EVAP KIT SF GEN IV",Query1[[#This Row],[OrderQty]]+I398,I398)</f>
        <v>428</v>
      </c>
      <c r="J399" s="1">
        <f>IF(Query1[[#This Row],[ItemType]]="EVAP KIT UNIVERSAL",Query1[[#This Row],[OrderQty]]+J398,J398)</f>
        <v>335</v>
      </c>
      <c r="K399" s="1">
        <f>Query1[[#This Row],[SF Running Total]]+Query1[[#This Row],[UNIV Running Total]]</f>
        <v>763</v>
      </c>
      <c r="L399">
        <f>VLOOKUP(Query1[[#This Row],[Description]],'kits to boards'!$B$2:$E$156,2,FALSE)</f>
        <v>830042</v>
      </c>
      <c r="M399">
        <f>VLOOKUP(Query1[[#This Row],[Description]],'kits to boards'!$B$2:$E$156,3,FALSE)</f>
        <v>0</v>
      </c>
      <c r="N399">
        <f>VLOOKUP(Query1[[#This Row],[Description]],'kits to boards'!$B$2:$E$156,4,FALSE)</f>
        <v>0</v>
      </c>
      <c r="O399" t="str">
        <f>CONCATENATE(Query1[[#This Row],[Description]]," - ",Query1[[#This Row],[MB1]]," - ",Query1[[#This Row],[MB2]]," - ",Query1[[#This Row],[MB3]])</f>
        <v>EVAP KIT 68-83 TOYOTA FJ40 - 830042 - 0 - 0</v>
      </c>
    </row>
    <row r="400" spans="1:15" x14ac:dyDescent="0.25">
      <c r="A400" s="1">
        <v>909979</v>
      </c>
      <c r="B400" s="1" t="s">
        <v>182</v>
      </c>
      <c r="C400" s="1" t="s">
        <v>183</v>
      </c>
      <c r="D400" s="2">
        <v>44601.392562847221</v>
      </c>
      <c r="E400" s="1" t="s">
        <v>8</v>
      </c>
      <c r="F400" s="1">
        <v>1</v>
      </c>
      <c r="G400" s="1">
        <v>0</v>
      </c>
      <c r="H400" s="6">
        <f>INT(Query1[[#This Row],[EntryDateTime]])</f>
        <v>44601</v>
      </c>
      <c r="I400" s="1">
        <f>IF(Query1[[#This Row],[ItemType]]="EVAP KIT SF GEN IV",Query1[[#This Row],[OrderQty]]+I399,I399)</f>
        <v>429</v>
      </c>
      <c r="J400" s="1">
        <f>IF(Query1[[#This Row],[ItemType]]="EVAP KIT UNIVERSAL",Query1[[#This Row],[OrderQty]]+J399,J399)</f>
        <v>335</v>
      </c>
      <c r="K400" s="1">
        <f>Query1[[#This Row],[SF Running Total]]+Query1[[#This Row],[UNIV Running Total]]</f>
        <v>764</v>
      </c>
      <c r="L400">
        <f>VLOOKUP(Query1[[#This Row],[Description]],'kits to boards'!$B$2:$E$156,2,FALSE)</f>
        <v>830075</v>
      </c>
      <c r="M400">
        <f>VLOOKUP(Query1[[#This Row],[Description]],'kits to boards'!$B$2:$E$156,3,FALSE)</f>
        <v>0</v>
      </c>
      <c r="N400">
        <f>VLOOKUP(Query1[[#This Row],[Description]],'kits to boards'!$B$2:$E$156,4,FALSE)</f>
        <v>0</v>
      </c>
      <c r="O400" t="str">
        <f>CONCATENATE(Query1[[#This Row],[Description]]," - ",Query1[[#This Row],[MB1]]," - ",Query1[[#This Row],[MB2]]," - ",Query1[[#This Row],[MB3]])</f>
        <v>EVAP KIT 69-70 MOPAR B BODY WO AC - 830075 - 0 - 0</v>
      </c>
    </row>
    <row r="401" spans="1:15" x14ac:dyDescent="0.25">
      <c r="A401" s="1">
        <v>909983</v>
      </c>
      <c r="B401" s="1" t="s">
        <v>42</v>
      </c>
      <c r="C401" s="1" t="s">
        <v>43</v>
      </c>
      <c r="D401" s="2">
        <v>44601.408375497682</v>
      </c>
      <c r="E401" s="1" t="s">
        <v>8</v>
      </c>
      <c r="F401" s="1">
        <v>1</v>
      </c>
      <c r="G401" s="1">
        <v>0</v>
      </c>
      <c r="H401" s="6">
        <f>INT(Query1[[#This Row],[EntryDateTime]])</f>
        <v>44601</v>
      </c>
      <c r="I401" s="1">
        <f>IF(Query1[[#This Row],[ItemType]]="EVAP KIT SF GEN IV",Query1[[#This Row],[OrderQty]]+I400,I400)</f>
        <v>430</v>
      </c>
      <c r="J401" s="1">
        <f>IF(Query1[[#This Row],[ItemType]]="EVAP KIT UNIVERSAL",Query1[[#This Row],[OrderQty]]+J400,J400)</f>
        <v>335</v>
      </c>
      <c r="K401" s="1">
        <f>Query1[[#This Row],[SF Running Total]]+Query1[[#This Row],[UNIV Running Total]]</f>
        <v>765</v>
      </c>
      <c r="L401">
        <f>VLOOKUP(Query1[[#This Row],[Description]],'kits to boards'!$B$2:$E$156,2,FALSE)</f>
        <v>830014</v>
      </c>
      <c r="M401">
        <f>VLOOKUP(Query1[[#This Row],[Description]],'kits to boards'!$B$2:$E$156,3,FALSE)</f>
        <v>0</v>
      </c>
      <c r="N401">
        <f>VLOOKUP(Query1[[#This Row],[Description]],'kits to boards'!$B$2:$E$156,4,FALSE)</f>
        <v>0</v>
      </c>
      <c r="O401" t="str">
        <f>CONCATENATE(Query1[[#This Row],[Description]]," - ",Query1[[#This Row],[MB1]]," - ",Query1[[#This Row],[MB2]]," - ",Query1[[#This Row],[MB3]])</f>
        <v>EVAP KIT 67-72 CHEV P-UP WO AC - 830014 - 0 - 0</v>
      </c>
    </row>
    <row r="402" spans="1:15" x14ac:dyDescent="0.25">
      <c r="A402" s="1">
        <v>909992</v>
      </c>
      <c r="B402" s="1" t="s">
        <v>26</v>
      </c>
      <c r="C402" s="1" t="s">
        <v>27</v>
      </c>
      <c r="D402" s="2">
        <v>44601.416714965279</v>
      </c>
      <c r="E402" s="1" t="s">
        <v>8</v>
      </c>
      <c r="F402" s="1">
        <v>1</v>
      </c>
      <c r="G402" s="1">
        <v>0</v>
      </c>
      <c r="H402" s="6">
        <f>INT(Query1[[#This Row],[EntryDateTime]])</f>
        <v>44601</v>
      </c>
      <c r="I402" s="1">
        <f>IF(Query1[[#This Row],[ItemType]]="EVAP KIT SF GEN IV",Query1[[#This Row],[OrderQty]]+I401,I401)</f>
        <v>431</v>
      </c>
      <c r="J402" s="1">
        <f>IF(Query1[[#This Row],[ItemType]]="EVAP KIT UNIVERSAL",Query1[[#This Row],[OrderQty]]+J401,J401)</f>
        <v>335</v>
      </c>
      <c r="K402" s="1">
        <f>Query1[[#This Row],[SF Running Total]]+Query1[[#This Row],[UNIV Running Total]]</f>
        <v>766</v>
      </c>
      <c r="L402">
        <f>VLOOKUP(Query1[[#This Row],[Description]],'kits to boards'!$B$2:$E$156,2,FALSE)</f>
        <v>830013</v>
      </c>
      <c r="M402">
        <f>VLOOKUP(Query1[[#This Row],[Description]],'kits to boards'!$B$2:$E$156,3,FALSE)</f>
        <v>0</v>
      </c>
      <c r="N402">
        <f>VLOOKUP(Query1[[#This Row],[Description]],'kits to boards'!$B$2:$E$156,4,FALSE)</f>
        <v>0</v>
      </c>
      <c r="O402" t="str">
        <f>CONCATENATE(Query1[[#This Row],[Description]]," - ",Query1[[#This Row],[MB1]]," - ",Query1[[#This Row],[MB2]]," - ",Query1[[#This Row],[MB3]])</f>
        <v>EVAP KIT 67-72 CHEV P-UP W/AC - 830013 - 0 - 0</v>
      </c>
    </row>
    <row r="403" spans="1:15" x14ac:dyDescent="0.25">
      <c r="A403" s="1">
        <v>909993</v>
      </c>
      <c r="B403" s="1" t="s">
        <v>152</v>
      </c>
      <c r="C403" s="1" t="s">
        <v>153</v>
      </c>
      <c r="D403" s="2">
        <v>44601.420762581016</v>
      </c>
      <c r="E403" s="1" t="s">
        <v>8</v>
      </c>
      <c r="F403" s="1">
        <v>1</v>
      </c>
      <c r="G403" s="1">
        <v>0</v>
      </c>
      <c r="H403" s="6">
        <f>INT(Query1[[#This Row],[EntryDateTime]])</f>
        <v>44601</v>
      </c>
      <c r="I403" s="1">
        <f>IF(Query1[[#This Row],[ItemType]]="EVAP KIT SF GEN IV",Query1[[#This Row],[OrderQty]]+I402,I402)</f>
        <v>432</v>
      </c>
      <c r="J403" s="1">
        <f>IF(Query1[[#This Row],[ItemType]]="EVAP KIT UNIVERSAL",Query1[[#This Row],[OrderQty]]+J402,J402)</f>
        <v>335</v>
      </c>
      <c r="K403" s="1">
        <f>Query1[[#This Row],[SF Running Total]]+Query1[[#This Row],[UNIV Running Total]]</f>
        <v>767</v>
      </c>
      <c r="L403">
        <f>VLOOKUP(Query1[[#This Row],[Description]],'kits to boards'!$B$2:$E$156,2,FALSE)</f>
        <v>830034</v>
      </c>
      <c r="M403">
        <f>VLOOKUP(Query1[[#This Row],[Description]],'kits to boards'!$B$2:$E$156,3,FALSE)</f>
        <v>0</v>
      </c>
      <c r="N403">
        <f>VLOOKUP(Query1[[#This Row],[Description]],'kits to boards'!$B$2:$E$156,4,FALSE)</f>
        <v>0</v>
      </c>
      <c r="O403" t="str">
        <f>CONCATENATE(Query1[[#This Row],[Description]]," - ",Query1[[#This Row],[MB1]]," - ",Query1[[#This Row],[MB2]]," - ",Query1[[#This Row],[MB3]])</f>
        <v>EVAP KIT 64-67 GTO WO AC - 830034 - 0 - 0</v>
      </c>
    </row>
    <row r="404" spans="1:15" x14ac:dyDescent="0.25">
      <c r="A404" s="1">
        <v>909701</v>
      </c>
      <c r="B404" s="1" t="s">
        <v>42</v>
      </c>
      <c r="C404" s="1" t="s">
        <v>43</v>
      </c>
      <c r="D404" s="2">
        <v>44601.423226388892</v>
      </c>
      <c r="E404" s="1" t="s">
        <v>8</v>
      </c>
      <c r="F404" s="1">
        <v>1</v>
      </c>
      <c r="G404" s="1">
        <v>0</v>
      </c>
      <c r="H404" s="6">
        <f>INT(Query1[[#This Row],[EntryDateTime]])</f>
        <v>44601</v>
      </c>
      <c r="I404" s="1">
        <f>IF(Query1[[#This Row],[ItemType]]="EVAP KIT SF GEN IV",Query1[[#This Row],[OrderQty]]+I403,I403)</f>
        <v>433</v>
      </c>
      <c r="J404" s="1">
        <f>IF(Query1[[#This Row],[ItemType]]="EVAP KIT UNIVERSAL",Query1[[#This Row],[OrderQty]]+J403,J403)</f>
        <v>335</v>
      </c>
      <c r="K404" s="1">
        <f>Query1[[#This Row],[SF Running Total]]+Query1[[#This Row],[UNIV Running Total]]</f>
        <v>768</v>
      </c>
      <c r="L404">
        <f>VLOOKUP(Query1[[#This Row],[Description]],'kits to boards'!$B$2:$E$156,2,FALSE)</f>
        <v>830014</v>
      </c>
      <c r="M404">
        <f>VLOOKUP(Query1[[#This Row],[Description]],'kits to boards'!$B$2:$E$156,3,FALSE)</f>
        <v>0</v>
      </c>
      <c r="N404">
        <f>VLOOKUP(Query1[[#This Row],[Description]],'kits to boards'!$B$2:$E$156,4,FALSE)</f>
        <v>0</v>
      </c>
      <c r="O404" t="str">
        <f>CONCATENATE(Query1[[#This Row],[Description]]," - ",Query1[[#This Row],[MB1]]," - ",Query1[[#This Row],[MB2]]," - ",Query1[[#This Row],[MB3]])</f>
        <v>EVAP KIT 67-72 CHEV P-UP WO AC - 830014 - 0 - 0</v>
      </c>
    </row>
    <row r="405" spans="1:15" x14ac:dyDescent="0.25">
      <c r="A405" s="1">
        <v>908823</v>
      </c>
      <c r="B405" s="1" t="s">
        <v>26</v>
      </c>
      <c r="C405" s="1" t="s">
        <v>27</v>
      </c>
      <c r="D405" s="2">
        <v>44601.427829131942</v>
      </c>
      <c r="E405" s="1" t="s">
        <v>8</v>
      </c>
      <c r="F405" s="1">
        <v>1</v>
      </c>
      <c r="G405" s="1">
        <v>0</v>
      </c>
      <c r="H405" s="6">
        <f>INT(Query1[[#This Row],[EntryDateTime]])</f>
        <v>44601</v>
      </c>
      <c r="I405" s="1">
        <f>IF(Query1[[#This Row],[ItemType]]="EVAP KIT SF GEN IV",Query1[[#This Row],[OrderQty]]+I404,I404)</f>
        <v>434</v>
      </c>
      <c r="J405" s="1">
        <f>IF(Query1[[#This Row],[ItemType]]="EVAP KIT UNIVERSAL",Query1[[#This Row],[OrderQty]]+J404,J404)</f>
        <v>335</v>
      </c>
      <c r="K405" s="1">
        <f>Query1[[#This Row],[SF Running Total]]+Query1[[#This Row],[UNIV Running Total]]</f>
        <v>769</v>
      </c>
      <c r="L405">
        <f>VLOOKUP(Query1[[#This Row],[Description]],'kits to boards'!$B$2:$E$156,2,FALSE)</f>
        <v>830013</v>
      </c>
      <c r="M405">
        <f>VLOOKUP(Query1[[#This Row],[Description]],'kits to boards'!$B$2:$E$156,3,FALSE)</f>
        <v>0</v>
      </c>
      <c r="N405">
        <f>VLOOKUP(Query1[[#This Row],[Description]],'kits to boards'!$B$2:$E$156,4,FALSE)</f>
        <v>0</v>
      </c>
      <c r="O405" t="str">
        <f>CONCATENATE(Query1[[#This Row],[Description]]," - ",Query1[[#This Row],[MB1]]," - ",Query1[[#This Row],[MB2]]," - ",Query1[[#This Row],[MB3]])</f>
        <v>EVAP KIT 67-72 CHEV P-UP W/AC - 830013 - 0 - 0</v>
      </c>
    </row>
    <row r="406" spans="1:15" x14ac:dyDescent="0.25">
      <c r="A406" s="1">
        <v>908824</v>
      </c>
      <c r="B406" s="1" t="s">
        <v>42</v>
      </c>
      <c r="C406" s="1" t="s">
        <v>43</v>
      </c>
      <c r="D406" s="2">
        <v>44601.431482488428</v>
      </c>
      <c r="E406" s="1" t="s">
        <v>8</v>
      </c>
      <c r="F406" s="1">
        <v>1</v>
      </c>
      <c r="G406" s="1">
        <v>0</v>
      </c>
      <c r="H406" s="6">
        <f>INT(Query1[[#This Row],[EntryDateTime]])</f>
        <v>44601</v>
      </c>
      <c r="I406" s="1">
        <f>IF(Query1[[#This Row],[ItemType]]="EVAP KIT SF GEN IV",Query1[[#This Row],[OrderQty]]+I405,I405)</f>
        <v>435</v>
      </c>
      <c r="J406" s="1">
        <f>IF(Query1[[#This Row],[ItemType]]="EVAP KIT UNIVERSAL",Query1[[#This Row],[OrderQty]]+J405,J405)</f>
        <v>335</v>
      </c>
      <c r="K406" s="1">
        <f>Query1[[#This Row],[SF Running Total]]+Query1[[#This Row],[UNIV Running Total]]</f>
        <v>770</v>
      </c>
      <c r="L406">
        <f>VLOOKUP(Query1[[#This Row],[Description]],'kits to boards'!$B$2:$E$156,2,FALSE)</f>
        <v>830014</v>
      </c>
      <c r="M406">
        <f>VLOOKUP(Query1[[#This Row],[Description]],'kits to boards'!$B$2:$E$156,3,FALSE)</f>
        <v>0</v>
      </c>
      <c r="N406">
        <f>VLOOKUP(Query1[[#This Row],[Description]],'kits to boards'!$B$2:$E$156,4,FALSE)</f>
        <v>0</v>
      </c>
      <c r="O406" t="str">
        <f>CONCATENATE(Query1[[#This Row],[Description]]," - ",Query1[[#This Row],[MB1]]," - ",Query1[[#This Row],[MB2]]," - ",Query1[[#This Row],[MB3]])</f>
        <v>EVAP KIT 67-72 CHEV P-UP WO AC - 830014 - 0 - 0</v>
      </c>
    </row>
    <row r="407" spans="1:15" x14ac:dyDescent="0.25">
      <c r="A407" s="1">
        <v>910002</v>
      </c>
      <c r="B407" s="1" t="s">
        <v>96</v>
      </c>
      <c r="C407" s="1" t="s">
        <v>97</v>
      </c>
      <c r="D407" s="2">
        <v>44601.445046527777</v>
      </c>
      <c r="E407" s="1" t="s">
        <v>8</v>
      </c>
      <c r="F407" s="1">
        <v>1</v>
      </c>
      <c r="G407" s="1">
        <v>0</v>
      </c>
      <c r="H407" s="6">
        <f>INT(Query1[[#This Row],[EntryDateTime]])</f>
        <v>44601</v>
      </c>
      <c r="I407" s="1">
        <f>IF(Query1[[#This Row],[ItemType]]="EVAP KIT SF GEN IV",Query1[[#This Row],[OrderQty]]+I406,I406)</f>
        <v>436</v>
      </c>
      <c r="J407" s="1">
        <f>IF(Query1[[#This Row],[ItemType]]="EVAP KIT UNIVERSAL",Query1[[#This Row],[OrderQty]]+J406,J406)</f>
        <v>335</v>
      </c>
      <c r="K407" s="1">
        <f>Query1[[#This Row],[SF Running Total]]+Query1[[#This Row],[UNIV Running Total]]</f>
        <v>771</v>
      </c>
      <c r="L407">
        <f>VLOOKUP(Query1[[#This Row],[Description]],'kits to boards'!$B$2:$E$156,2,FALSE)</f>
        <v>830004</v>
      </c>
      <c r="M407">
        <f>VLOOKUP(Query1[[#This Row],[Description]],'kits to boards'!$B$2:$E$156,3,FALSE)</f>
        <v>0</v>
      </c>
      <c r="N407">
        <f>VLOOKUP(Query1[[#This Row],[Description]],'kits to boards'!$B$2:$E$156,4,FALSE)</f>
        <v>0</v>
      </c>
      <c r="O407" t="str">
        <f>CONCATENATE(Query1[[#This Row],[Description]]," - ",Query1[[#This Row],[MB1]]," - ",Query1[[#This Row],[MB2]]," - ",Query1[[#This Row],[MB3]])</f>
        <v>EVAP KIT 81-87 CHEV P-UP W/AC - 830004 - 0 - 0</v>
      </c>
    </row>
    <row r="408" spans="1:15" x14ac:dyDescent="0.25">
      <c r="A408" s="1">
        <v>910010</v>
      </c>
      <c r="B408" s="1" t="s">
        <v>108</v>
      </c>
      <c r="C408" s="1" t="s">
        <v>109</v>
      </c>
      <c r="D408" s="2">
        <v>44601.449679895835</v>
      </c>
      <c r="E408" s="1" t="s">
        <v>8</v>
      </c>
      <c r="F408" s="1">
        <v>1</v>
      </c>
      <c r="G408" s="1">
        <v>0</v>
      </c>
      <c r="H408" s="6">
        <f>INT(Query1[[#This Row],[EntryDateTime]])</f>
        <v>44601</v>
      </c>
      <c r="I408" s="1">
        <f>IF(Query1[[#This Row],[ItemType]]="EVAP KIT SF GEN IV",Query1[[#This Row],[OrderQty]]+I407,I407)</f>
        <v>437</v>
      </c>
      <c r="J408" s="1">
        <f>IF(Query1[[#This Row],[ItemType]]="EVAP KIT UNIVERSAL",Query1[[#This Row],[OrderQty]]+J407,J407)</f>
        <v>335</v>
      </c>
      <c r="K408" s="1">
        <f>Query1[[#This Row],[SF Running Total]]+Query1[[#This Row],[UNIV Running Total]]</f>
        <v>772</v>
      </c>
      <c r="L408">
        <f>VLOOKUP(Query1[[#This Row],[Description]],'kits to boards'!$B$2:$E$156,2,FALSE)</f>
        <v>830105</v>
      </c>
      <c r="M408">
        <f>VLOOKUP(Query1[[#This Row],[Description]],'kits to boards'!$B$2:$E$156,3,FALSE)</f>
        <v>830106</v>
      </c>
      <c r="N408">
        <f>VLOOKUP(Query1[[#This Row],[Description]],'kits to boards'!$B$2:$E$156,4,FALSE)</f>
        <v>0</v>
      </c>
      <c r="O408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409" spans="1:15" x14ac:dyDescent="0.25">
      <c r="A409" s="1">
        <v>910015</v>
      </c>
      <c r="B409" s="1" t="s">
        <v>26</v>
      </c>
      <c r="C409" s="1" t="s">
        <v>27</v>
      </c>
      <c r="D409" s="2">
        <v>44601.452657905094</v>
      </c>
      <c r="E409" s="1" t="s">
        <v>8</v>
      </c>
      <c r="F409" s="1">
        <v>1</v>
      </c>
      <c r="G409" s="1">
        <v>0</v>
      </c>
      <c r="H409" s="6">
        <f>INT(Query1[[#This Row],[EntryDateTime]])</f>
        <v>44601</v>
      </c>
      <c r="I409" s="1">
        <f>IF(Query1[[#This Row],[ItemType]]="EVAP KIT SF GEN IV",Query1[[#This Row],[OrderQty]]+I408,I408)</f>
        <v>438</v>
      </c>
      <c r="J409" s="1">
        <f>IF(Query1[[#This Row],[ItemType]]="EVAP KIT UNIVERSAL",Query1[[#This Row],[OrderQty]]+J408,J408)</f>
        <v>335</v>
      </c>
      <c r="K409" s="1">
        <f>Query1[[#This Row],[SF Running Total]]+Query1[[#This Row],[UNIV Running Total]]</f>
        <v>773</v>
      </c>
      <c r="L409">
        <f>VLOOKUP(Query1[[#This Row],[Description]],'kits to boards'!$B$2:$E$156,2,FALSE)</f>
        <v>830013</v>
      </c>
      <c r="M409">
        <f>VLOOKUP(Query1[[#This Row],[Description]],'kits to boards'!$B$2:$E$156,3,FALSE)</f>
        <v>0</v>
      </c>
      <c r="N409">
        <f>VLOOKUP(Query1[[#This Row],[Description]],'kits to boards'!$B$2:$E$156,4,FALSE)</f>
        <v>0</v>
      </c>
      <c r="O409" t="str">
        <f>CONCATENATE(Query1[[#This Row],[Description]]," - ",Query1[[#This Row],[MB1]]," - ",Query1[[#This Row],[MB2]]," - ",Query1[[#This Row],[MB3]])</f>
        <v>EVAP KIT 67-72 CHEV P-UP W/AC - 830013 - 0 - 0</v>
      </c>
    </row>
    <row r="410" spans="1:15" x14ac:dyDescent="0.25">
      <c r="A410" s="1">
        <v>909817</v>
      </c>
      <c r="B410" s="1" t="s">
        <v>502</v>
      </c>
      <c r="C410" s="1" t="s">
        <v>503</v>
      </c>
      <c r="D410" s="2">
        <v>44601.511425960649</v>
      </c>
      <c r="E410" s="1" t="s">
        <v>677</v>
      </c>
      <c r="F410" s="1">
        <v>1</v>
      </c>
      <c r="G410" s="1">
        <v>0</v>
      </c>
      <c r="H410" s="6">
        <f>INT(Query1[[#This Row],[EntryDateTime]])</f>
        <v>44601</v>
      </c>
      <c r="I410" s="1">
        <f>IF(Query1[[#This Row],[ItemType]]="EVAP KIT SF GEN IV",Query1[[#This Row],[OrderQty]]+I409,I409)</f>
        <v>438</v>
      </c>
      <c r="J410" s="1">
        <f>IF(Query1[[#This Row],[ItemType]]="EVAP KIT UNIVERSAL",Query1[[#This Row],[OrderQty]]+J409,J409)</f>
        <v>335</v>
      </c>
      <c r="K410" s="1">
        <f>Query1[[#This Row],[SF Running Total]]+Query1[[#This Row],[UNIV Running Total]]</f>
        <v>773</v>
      </c>
      <c r="L410" t="e">
        <f>VLOOKUP(Query1[[#This Row],[Description]],'kits to boards'!$B$2:$E$156,2,FALSE)</f>
        <v>#N/A</v>
      </c>
      <c r="M410" t="e">
        <f>VLOOKUP(Query1[[#This Row],[Description]],'kits to boards'!$B$2:$E$156,3,FALSE)</f>
        <v>#N/A</v>
      </c>
      <c r="N410" t="e">
        <f>VLOOKUP(Query1[[#This Row],[Description]],'kits to boards'!$B$2:$E$156,4,FALSE)</f>
        <v>#N/A</v>
      </c>
      <c r="O410" t="e">
        <f>CONCATENATE(Query1[[#This Row],[Description]]," - ",Query1[[#This Row],[MB1]]," - ",Query1[[#This Row],[MB2]]," - ",Query1[[#This Row],[MB3]])</f>
        <v>#N/A</v>
      </c>
    </row>
    <row r="411" spans="1:15" x14ac:dyDescent="0.25">
      <c r="A411" s="1">
        <v>908272</v>
      </c>
      <c r="B411" s="1" t="s">
        <v>22</v>
      </c>
      <c r="C411" s="1" t="s">
        <v>23</v>
      </c>
      <c r="D411" s="2">
        <v>44601.518476817131</v>
      </c>
      <c r="E411" s="1" t="s">
        <v>8</v>
      </c>
      <c r="F411" s="1">
        <v>1</v>
      </c>
      <c r="G411" s="1">
        <v>0</v>
      </c>
      <c r="H411" s="6">
        <f>INT(Query1[[#This Row],[EntryDateTime]])</f>
        <v>44601</v>
      </c>
      <c r="I411" s="1">
        <f>IF(Query1[[#This Row],[ItemType]]="EVAP KIT SF GEN IV",Query1[[#This Row],[OrderQty]]+I410,I410)</f>
        <v>439</v>
      </c>
      <c r="J411" s="1">
        <f>IF(Query1[[#This Row],[ItemType]]="EVAP KIT UNIVERSAL",Query1[[#This Row],[OrderQty]]+J410,J410)</f>
        <v>335</v>
      </c>
      <c r="K411" s="1">
        <f>Query1[[#This Row],[SF Running Total]]+Query1[[#This Row],[UNIV Running Total]]</f>
        <v>774</v>
      </c>
      <c r="L411">
        <f>VLOOKUP(Query1[[#This Row],[Description]],'kits to boards'!$B$2:$E$156,2,FALSE)</f>
        <v>830083</v>
      </c>
      <c r="M411">
        <f>VLOOKUP(Query1[[#This Row],[Description]],'kits to boards'!$B$2:$E$156,3,FALSE)</f>
        <v>0</v>
      </c>
      <c r="N411">
        <f>VLOOKUP(Query1[[#This Row],[Description]],'kits to boards'!$B$2:$E$156,4,FALSE)</f>
        <v>0</v>
      </c>
      <c r="O411" t="str">
        <f>CONCATENATE(Query1[[#This Row],[Description]]," - ",Query1[[#This Row],[MB1]]," - ",Query1[[#This Row],[MB2]]," - ",Query1[[#This Row],[MB3]])</f>
        <v>GEN IV MAGNUM EVAP KIT - 830083 - 0 - 0</v>
      </c>
    </row>
    <row r="412" spans="1:15" x14ac:dyDescent="0.25">
      <c r="A412" s="1">
        <v>910017</v>
      </c>
      <c r="B412" s="1" t="s">
        <v>42</v>
      </c>
      <c r="C412" s="1" t="s">
        <v>43</v>
      </c>
      <c r="D412" s="2">
        <v>44601.522495138888</v>
      </c>
      <c r="E412" s="1" t="s">
        <v>8</v>
      </c>
      <c r="F412" s="1">
        <v>1</v>
      </c>
      <c r="G412" s="1">
        <v>0</v>
      </c>
      <c r="H412" s="6">
        <f>INT(Query1[[#This Row],[EntryDateTime]])</f>
        <v>44601</v>
      </c>
      <c r="I412" s="1">
        <f>IF(Query1[[#This Row],[ItemType]]="EVAP KIT SF GEN IV",Query1[[#This Row],[OrderQty]]+I411,I411)</f>
        <v>440</v>
      </c>
      <c r="J412" s="1">
        <f>IF(Query1[[#This Row],[ItemType]]="EVAP KIT UNIVERSAL",Query1[[#This Row],[OrderQty]]+J411,J411)</f>
        <v>335</v>
      </c>
      <c r="K412" s="1">
        <f>Query1[[#This Row],[SF Running Total]]+Query1[[#This Row],[UNIV Running Total]]</f>
        <v>775</v>
      </c>
      <c r="L412">
        <f>VLOOKUP(Query1[[#This Row],[Description]],'kits to boards'!$B$2:$E$156,2,FALSE)</f>
        <v>830014</v>
      </c>
      <c r="M412">
        <f>VLOOKUP(Query1[[#This Row],[Description]],'kits to boards'!$B$2:$E$156,3,FALSE)</f>
        <v>0</v>
      </c>
      <c r="N412">
        <f>VLOOKUP(Query1[[#This Row],[Description]],'kits to boards'!$B$2:$E$156,4,FALSE)</f>
        <v>0</v>
      </c>
      <c r="O412" t="str">
        <f>CONCATENATE(Query1[[#This Row],[Description]]," - ",Query1[[#This Row],[MB1]]," - ",Query1[[#This Row],[MB2]]," - ",Query1[[#This Row],[MB3]])</f>
        <v>EVAP KIT 67-72 CHEV P-UP WO AC - 830014 - 0 - 0</v>
      </c>
    </row>
    <row r="413" spans="1:15" x14ac:dyDescent="0.25">
      <c r="A413" s="1">
        <v>910019</v>
      </c>
      <c r="B413" s="1" t="s">
        <v>106</v>
      </c>
      <c r="C413" s="1" t="s">
        <v>107</v>
      </c>
      <c r="D413" s="2">
        <v>44601.523602314817</v>
      </c>
      <c r="E413" s="1" t="s">
        <v>8</v>
      </c>
      <c r="F413" s="1">
        <v>1</v>
      </c>
      <c r="G413" s="1">
        <v>0</v>
      </c>
      <c r="H413" s="6">
        <f>INT(Query1[[#This Row],[EntryDateTime]])</f>
        <v>44601</v>
      </c>
      <c r="I413" s="1">
        <f>IF(Query1[[#This Row],[ItemType]]="EVAP KIT SF GEN IV",Query1[[#This Row],[OrderQty]]+I412,I412)</f>
        <v>441</v>
      </c>
      <c r="J413" s="1">
        <f>IF(Query1[[#This Row],[ItemType]]="EVAP KIT UNIVERSAL",Query1[[#This Row],[OrderQty]]+J412,J412)</f>
        <v>335</v>
      </c>
      <c r="K413" s="1">
        <f>Query1[[#This Row],[SF Running Total]]+Query1[[#This Row],[UNIV Running Total]]</f>
        <v>776</v>
      </c>
      <c r="L413">
        <f>VLOOKUP(Query1[[#This Row],[Description]],'kits to boards'!$B$2:$E$156,2,FALSE)</f>
        <v>830028</v>
      </c>
      <c r="M413">
        <f>VLOOKUP(Query1[[#This Row],[Description]],'kits to boards'!$B$2:$E$156,3,FALSE)</f>
        <v>0</v>
      </c>
      <c r="N413">
        <f>VLOOKUP(Query1[[#This Row],[Description]],'kits to boards'!$B$2:$E$156,4,FALSE)</f>
        <v>0</v>
      </c>
      <c r="O413" t="str">
        <f>CONCATENATE(Query1[[#This Row],[Description]]," - ",Query1[[#This Row],[MB1]]," - ",Query1[[#This Row],[MB2]]," - ",Query1[[#This Row],[MB3]])</f>
        <v>EVAP KIT 55-59 CHEV P-UP WO AC W/DELX - 830028 - 0 - 0</v>
      </c>
    </row>
    <row r="414" spans="1:15" x14ac:dyDescent="0.25">
      <c r="A414" s="1">
        <v>910033</v>
      </c>
      <c r="B414" s="1" t="s">
        <v>108</v>
      </c>
      <c r="C414" s="1" t="s">
        <v>109</v>
      </c>
      <c r="D414" s="2">
        <v>44601.533342905095</v>
      </c>
      <c r="E414" s="1" t="s">
        <v>8</v>
      </c>
      <c r="F414" s="1">
        <v>1</v>
      </c>
      <c r="G414" s="1">
        <v>0</v>
      </c>
      <c r="H414" s="6">
        <f>INT(Query1[[#This Row],[EntryDateTime]])</f>
        <v>44601</v>
      </c>
      <c r="I414" s="1">
        <f>IF(Query1[[#This Row],[ItemType]]="EVAP KIT SF GEN IV",Query1[[#This Row],[OrderQty]]+I413,I413)</f>
        <v>442</v>
      </c>
      <c r="J414" s="1">
        <f>IF(Query1[[#This Row],[ItemType]]="EVAP KIT UNIVERSAL",Query1[[#This Row],[OrderQty]]+J413,J413)</f>
        <v>335</v>
      </c>
      <c r="K414" s="1">
        <f>Query1[[#This Row],[SF Running Total]]+Query1[[#This Row],[UNIV Running Total]]</f>
        <v>777</v>
      </c>
      <c r="L414">
        <f>VLOOKUP(Query1[[#This Row],[Description]],'kits to boards'!$B$2:$E$156,2,FALSE)</f>
        <v>830105</v>
      </c>
      <c r="M414">
        <f>VLOOKUP(Query1[[#This Row],[Description]],'kits to boards'!$B$2:$E$156,3,FALSE)</f>
        <v>830106</v>
      </c>
      <c r="N414">
        <f>VLOOKUP(Query1[[#This Row],[Description]],'kits to boards'!$B$2:$E$156,4,FALSE)</f>
        <v>0</v>
      </c>
      <c r="O414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415" spans="1:15" x14ac:dyDescent="0.25">
      <c r="A415" s="1">
        <v>910032</v>
      </c>
      <c r="B415" s="1" t="s">
        <v>126</v>
      </c>
      <c r="C415" s="1" t="s">
        <v>127</v>
      </c>
      <c r="D415" s="2">
        <v>44601.538586539355</v>
      </c>
      <c r="E415" s="1" t="s">
        <v>8</v>
      </c>
      <c r="F415" s="1">
        <v>1</v>
      </c>
      <c r="G415" s="1">
        <v>0</v>
      </c>
      <c r="H415" s="6">
        <f>INT(Query1[[#This Row],[EntryDateTime]])</f>
        <v>44601</v>
      </c>
      <c r="I415" s="1">
        <f>IF(Query1[[#This Row],[ItemType]]="EVAP KIT SF GEN IV",Query1[[#This Row],[OrderQty]]+I414,I414)</f>
        <v>443</v>
      </c>
      <c r="J415" s="1">
        <f>IF(Query1[[#This Row],[ItemType]]="EVAP KIT UNIVERSAL",Query1[[#This Row],[OrderQty]]+J414,J414)</f>
        <v>335</v>
      </c>
      <c r="K415" s="1">
        <f>Query1[[#This Row],[SF Running Total]]+Query1[[#This Row],[UNIV Running Total]]</f>
        <v>778</v>
      </c>
      <c r="L415">
        <f>VLOOKUP(Query1[[#This Row],[Description]],'kits to boards'!$B$2:$E$156,2,FALSE)</f>
        <v>830080</v>
      </c>
      <c r="M415">
        <f>VLOOKUP(Query1[[#This Row],[Description]],'kits to boards'!$B$2:$E$156,3,FALSE)</f>
        <v>0</v>
      </c>
      <c r="N415">
        <f>VLOOKUP(Query1[[#This Row],[Description]],'kits to boards'!$B$2:$E$156,4,FALSE)</f>
        <v>0</v>
      </c>
      <c r="O415" t="str">
        <f>CONCATENATE(Query1[[#This Row],[Description]]," - ",Query1[[#This Row],[MB1]]," - ",Query1[[#This Row],[MB2]]," - ",Query1[[#This Row],[MB3]])</f>
        <v>EVAP KIT 69-70 MUSTANG WO AC  - 830080 - 0 - 0</v>
      </c>
    </row>
    <row r="416" spans="1:15" x14ac:dyDescent="0.25">
      <c r="A416" s="1">
        <v>910039</v>
      </c>
      <c r="B416" s="1" t="s">
        <v>224</v>
      </c>
      <c r="C416" s="1" t="s">
        <v>225</v>
      </c>
      <c r="D416" s="2">
        <v>44601.542416319448</v>
      </c>
      <c r="E416" s="1" t="s">
        <v>8</v>
      </c>
      <c r="F416" s="1">
        <v>1</v>
      </c>
      <c r="G416" s="1">
        <v>0</v>
      </c>
      <c r="H416" s="6">
        <f>INT(Query1[[#This Row],[EntryDateTime]])</f>
        <v>44601</v>
      </c>
      <c r="I416" s="1">
        <f>IF(Query1[[#This Row],[ItemType]]="EVAP KIT SF GEN IV",Query1[[#This Row],[OrderQty]]+I415,I415)</f>
        <v>444</v>
      </c>
      <c r="J416" s="1">
        <f>IF(Query1[[#This Row],[ItemType]]="EVAP KIT UNIVERSAL",Query1[[#This Row],[OrderQty]]+J415,J415)</f>
        <v>335</v>
      </c>
      <c r="K416" s="1">
        <f>Query1[[#This Row],[SF Running Total]]+Query1[[#This Row],[UNIV Running Total]]</f>
        <v>779</v>
      </c>
      <c r="L416">
        <f>VLOOKUP(Query1[[#This Row],[Description]],'kits to boards'!$B$2:$E$156,2,FALSE)</f>
        <v>830124</v>
      </c>
      <c r="M416">
        <f>VLOOKUP(Query1[[#This Row],[Description]],'kits to boards'!$B$2:$E$156,3,FALSE)</f>
        <v>0</v>
      </c>
      <c r="N416">
        <f>VLOOKUP(Query1[[#This Row],[Description]],'kits to boards'!$B$2:$E$156,4,FALSE)</f>
        <v>0</v>
      </c>
      <c r="O416" t="str">
        <f>CONCATENATE(Query1[[#This Row],[Description]]," - ",Query1[[#This Row],[MB1]]," - ",Query1[[#This Row],[MB2]]," - ",Query1[[#This Row],[MB3]])</f>
        <v>EVAP KIT 70-72 GTO WO/AC - 830124 - 0 - 0</v>
      </c>
    </row>
    <row r="417" spans="1:15" x14ac:dyDescent="0.25">
      <c r="A417" s="1">
        <v>910043</v>
      </c>
      <c r="B417" s="1" t="s">
        <v>38</v>
      </c>
      <c r="C417" s="1" t="s">
        <v>39</v>
      </c>
      <c r="D417" s="2">
        <v>44601.551546493058</v>
      </c>
      <c r="E417" s="1" t="s">
        <v>8</v>
      </c>
      <c r="F417" s="1">
        <v>1</v>
      </c>
      <c r="G417" s="1">
        <v>0</v>
      </c>
      <c r="H417" s="6">
        <f>INT(Query1[[#This Row],[EntryDateTime]])</f>
        <v>44601</v>
      </c>
      <c r="I417" s="1">
        <f>IF(Query1[[#This Row],[ItemType]]="EVAP KIT SF GEN IV",Query1[[#This Row],[OrderQty]]+I416,I416)</f>
        <v>445</v>
      </c>
      <c r="J417" s="1">
        <f>IF(Query1[[#This Row],[ItemType]]="EVAP KIT UNIVERSAL",Query1[[#This Row],[OrderQty]]+J416,J416)</f>
        <v>335</v>
      </c>
      <c r="K417" s="1">
        <f>Query1[[#This Row],[SF Running Total]]+Query1[[#This Row],[UNIV Running Total]]</f>
        <v>780</v>
      </c>
      <c r="L417">
        <f>VLOOKUP(Query1[[#This Row],[Description]],'kits to boards'!$B$2:$E$156,2,FALSE)</f>
        <v>830012</v>
      </c>
      <c r="M417">
        <f>VLOOKUP(Query1[[#This Row],[Description]],'kits to boards'!$B$2:$E$156,3,FALSE)</f>
        <v>0</v>
      </c>
      <c r="N417">
        <f>VLOOKUP(Query1[[#This Row],[Description]],'kits to boards'!$B$2:$E$156,4,FALSE)</f>
        <v>0</v>
      </c>
      <c r="O417" t="str">
        <f>CONCATENATE(Query1[[#This Row],[Description]]," - ",Query1[[#This Row],[MB1]]," - ",Query1[[#This Row],[MB2]]," - ",Query1[[#This Row],[MB3]])</f>
        <v>EVAP KIT 69 CAMARO W/AC - 830012 - 0 - 0</v>
      </c>
    </row>
    <row r="418" spans="1:15" x14ac:dyDescent="0.25">
      <c r="A418" s="1">
        <v>910056</v>
      </c>
      <c r="B418" s="1" t="s">
        <v>269</v>
      </c>
      <c r="C418" s="1" t="s">
        <v>270</v>
      </c>
      <c r="D418" s="2">
        <v>44601.561977928242</v>
      </c>
      <c r="E418" s="1" t="s">
        <v>8</v>
      </c>
      <c r="F418" s="1">
        <v>1</v>
      </c>
      <c r="G418" s="1">
        <v>0</v>
      </c>
      <c r="H418" s="6">
        <f>INT(Query1[[#This Row],[EntryDateTime]])</f>
        <v>44601</v>
      </c>
      <c r="I418" s="1">
        <f>IF(Query1[[#This Row],[ItemType]]="EVAP KIT SF GEN IV",Query1[[#This Row],[OrderQty]]+I417,I417)</f>
        <v>446</v>
      </c>
      <c r="J418" s="1">
        <f>IF(Query1[[#This Row],[ItemType]]="EVAP KIT UNIVERSAL",Query1[[#This Row],[OrderQty]]+J417,J417)</f>
        <v>335</v>
      </c>
      <c r="K418" s="1">
        <f>Query1[[#This Row],[SF Running Total]]+Query1[[#This Row],[UNIV Running Total]]</f>
        <v>781</v>
      </c>
      <c r="L418">
        <f>VLOOKUP(Query1[[#This Row],[Description]],'kits to boards'!$B$2:$E$156,2,FALSE)</f>
        <v>830010</v>
      </c>
      <c r="M418">
        <f>VLOOKUP(Query1[[#This Row],[Description]],'kits to boards'!$B$2:$E$156,3,FALSE)</f>
        <v>0</v>
      </c>
      <c r="N418">
        <f>VLOOKUP(Query1[[#This Row],[Description]],'kits to boards'!$B$2:$E$156,4,FALSE)</f>
        <v>0</v>
      </c>
      <c r="O418" t="str">
        <f>CONCATENATE(Query1[[#This Row],[Description]]," - ",Query1[[#This Row],[MB1]]," - ",Query1[[#This Row],[MB2]]," - ",Query1[[#This Row],[MB3]])</f>
        <v>EVAP KIT 70-72 MONTE CARLO WO AC - 830010 - 0 - 0</v>
      </c>
    </row>
    <row r="419" spans="1:15" x14ac:dyDescent="0.25">
      <c r="A419" s="1">
        <v>910067</v>
      </c>
      <c r="B419" s="1" t="s">
        <v>166</v>
      </c>
      <c r="C419" s="1" t="s">
        <v>167</v>
      </c>
      <c r="D419" s="2">
        <v>44601.573241631944</v>
      </c>
      <c r="E419" s="1" t="s">
        <v>8</v>
      </c>
      <c r="F419" s="1">
        <v>1</v>
      </c>
      <c r="G419" s="1">
        <v>0</v>
      </c>
      <c r="H419" s="6">
        <f>INT(Query1[[#This Row],[EntryDateTime]])</f>
        <v>44601</v>
      </c>
      <c r="I419" s="1">
        <f>IF(Query1[[#This Row],[ItemType]]="EVAP KIT SF GEN IV",Query1[[#This Row],[OrderQty]]+I418,I418)</f>
        <v>447</v>
      </c>
      <c r="J419" s="1">
        <f>IF(Query1[[#This Row],[ItemType]]="EVAP KIT UNIVERSAL",Query1[[#This Row],[OrderQty]]+J418,J418)</f>
        <v>335</v>
      </c>
      <c r="K419" s="1">
        <f>Query1[[#This Row],[SF Running Total]]+Query1[[#This Row],[UNIV Running Total]]</f>
        <v>782</v>
      </c>
      <c r="L419">
        <f>VLOOKUP(Query1[[#This Row],[Description]],'kits to boards'!$B$2:$E$156,2,FALSE)</f>
        <v>830063</v>
      </c>
      <c r="M419">
        <f>VLOOKUP(Query1[[#This Row],[Description]],'kits to boards'!$B$2:$E$156,3,FALSE)</f>
        <v>0</v>
      </c>
      <c r="N419">
        <f>VLOOKUP(Query1[[#This Row],[Description]],'kits to boards'!$B$2:$E$156,4,FALSE)</f>
        <v>0</v>
      </c>
      <c r="O419" t="str">
        <f>CONCATENATE(Query1[[#This Row],[Description]]," - ",Query1[[#This Row],[MB1]]," - ",Query1[[#This Row],[MB2]]," - ",Query1[[#This Row],[MB3]])</f>
        <v>EVAP KIT 47-49 CHEV P-UP GEN IV - 830063 - 0 - 0</v>
      </c>
    </row>
    <row r="420" spans="1:15" x14ac:dyDescent="0.25">
      <c r="A420" s="1">
        <v>910066</v>
      </c>
      <c r="B420" s="1" t="s">
        <v>132</v>
      </c>
      <c r="C420" s="1" t="s">
        <v>133</v>
      </c>
      <c r="D420" s="2">
        <v>44601.57359699074</v>
      </c>
      <c r="E420" s="1" t="s">
        <v>8</v>
      </c>
      <c r="F420" s="1">
        <v>1</v>
      </c>
      <c r="G420" s="1">
        <v>0</v>
      </c>
      <c r="H420" s="6">
        <f>INT(Query1[[#This Row],[EntryDateTime]])</f>
        <v>44601</v>
      </c>
      <c r="I420" s="1">
        <f>IF(Query1[[#This Row],[ItemType]]="EVAP KIT SF GEN IV",Query1[[#This Row],[OrderQty]]+I419,I419)</f>
        <v>448</v>
      </c>
      <c r="J420" s="1">
        <f>IF(Query1[[#This Row],[ItemType]]="EVAP KIT UNIVERSAL",Query1[[#This Row],[OrderQty]]+J419,J419)</f>
        <v>335</v>
      </c>
      <c r="K420" s="1">
        <f>Query1[[#This Row],[SF Running Total]]+Query1[[#This Row],[UNIV Running Total]]</f>
        <v>783</v>
      </c>
      <c r="L420">
        <f>VLOOKUP(Query1[[#This Row],[Description]],'kits to boards'!$B$2:$E$156,2,FALSE)</f>
        <v>830005</v>
      </c>
      <c r="M420">
        <f>VLOOKUP(Query1[[#This Row],[Description]],'kits to boards'!$B$2:$E$156,3,FALSE)</f>
        <v>0</v>
      </c>
      <c r="N420">
        <f>VLOOKUP(Query1[[#This Row],[Description]],'kits to boards'!$B$2:$E$156,4,FALSE)</f>
        <v>0</v>
      </c>
      <c r="O420" t="str">
        <f>CONCATENATE(Query1[[#This Row],[Description]]," - ",Query1[[#This Row],[MB1]]," - ",Query1[[#This Row],[MB2]]," - ",Query1[[#This Row],[MB3]])</f>
        <v>EVAP KIT 61-62 IMPALA WO AC - 830005 - 0 - 0</v>
      </c>
    </row>
    <row r="421" spans="1:15" x14ac:dyDescent="0.25">
      <c r="A421" s="1">
        <v>910069</v>
      </c>
      <c r="B421" s="1" t="s">
        <v>106</v>
      </c>
      <c r="C421" s="1" t="s">
        <v>253</v>
      </c>
      <c r="D421" s="2">
        <v>44601.575038460651</v>
      </c>
      <c r="E421" s="1" t="s">
        <v>8</v>
      </c>
      <c r="F421" s="1">
        <v>1</v>
      </c>
      <c r="G421" s="1">
        <v>0</v>
      </c>
      <c r="H421" s="6">
        <f>INT(Query1[[#This Row],[EntryDateTime]])</f>
        <v>44601</v>
      </c>
      <c r="I421" s="1">
        <f>IF(Query1[[#This Row],[ItemType]]="EVAP KIT SF GEN IV",Query1[[#This Row],[OrderQty]]+I420,I420)</f>
        <v>449</v>
      </c>
      <c r="J421" s="1">
        <f>IF(Query1[[#This Row],[ItemType]]="EVAP KIT UNIVERSAL",Query1[[#This Row],[OrderQty]]+J420,J420)</f>
        <v>335</v>
      </c>
      <c r="K421" s="1">
        <f>Query1[[#This Row],[SF Running Total]]+Query1[[#This Row],[UNIV Running Total]]</f>
        <v>784</v>
      </c>
      <c r="L421">
        <f>VLOOKUP(Query1[[#This Row],[Description]],'kits to boards'!$B$2:$E$156,2,FALSE)</f>
        <v>830028</v>
      </c>
      <c r="M421">
        <f>VLOOKUP(Query1[[#This Row],[Description]],'kits to boards'!$B$2:$E$156,3,FALSE)</f>
        <v>0</v>
      </c>
      <c r="N421">
        <f>VLOOKUP(Query1[[#This Row],[Description]],'kits to boards'!$B$2:$E$156,4,FALSE)</f>
        <v>0</v>
      </c>
      <c r="O421" t="str">
        <f>CONCATENATE(Query1[[#This Row],[Description]]," - ",Query1[[#This Row],[MB1]]," - ",Query1[[#This Row],[MB2]]," - ",Query1[[#This Row],[MB3]])</f>
        <v>EVAP KIT 55-59 CHEV P-UP WO AC W/DELX  - 830028 - 0 - 0</v>
      </c>
    </row>
    <row r="422" spans="1:15" x14ac:dyDescent="0.25">
      <c r="A422" s="1">
        <v>910071</v>
      </c>
      <c r="B422" s="1" t="s">
        <v>98</v>
      </c>
      <c r="C422" s="1" t="s">
        <v>99</v>
      </c>
      <c r="D422" s="2">
        <v>44601.577124189818</v>
      </c>
      <c r="E422" s="1" t="s">
        <v>11</v>
      </c>
      <c r="F422" s="1">
        <v>1</v>
      </c>
      <c r="G422" s="1">
        <v>0</v>
      </c>
      <c r="H422" s="6">
        <f>INT(Query1[[#This Row],[EntryDateTime]])</f>
        <v>44601</v>
      </c>
      <c r="I422" s="1">
        <f>IF(Query1[[#This Row],[ItemType]]="EVAP KIT SF GEN IV",Query1[[#This Row],[OrderQty]]+I421,I421)</f>
        <v>449</v>
      </c>
      <c r="J422" s="1">
        <f>IF(Query1[[#This Row],[ItemType]]="EVAP KIT UNIVERSAL",Query1[[#This Row],[OrderQty]]+J421,J421)</f>
        <v>336</v>
      </c>
      <c r="K422" s="1">
        <f>Query1[[#This Row],[SF Running Total]]+Query1[[#This Row],[UNIV Running Total]]</f>
        <v>785</v>
      </c>
      <c r="L422">
        <f>VLOOKUP(Query1[[#This Row],[Description]],'kits to boards'!$B$2:$E$156,2,FALSE)</f>
        <v>830099</v>
      </c>
      <c r="M422">
        <f>VLOOKUP(Query1[[#This Row],[Description]],'kits to boards'!$B$2:$E$156,3,FALSE)</f>
        <v>0</v>
      </c>
      <c r="N422">
        <f>VLOOKUP(Query1[[#This Row],[Description]],'kits to boards'!$B$2:$E$156,4,FALSE)</f>
        <v>0</v>
      </c>
      <c r="O422" t="str">
        <f>CONCATENATE(Query1[[#This Row],[Description]]," - ",Query1[[#This Row],[MB1]]," - ",Query1[[#This Row],[MB2]]," - ",Query1[[#This Row],[MB3]])</f>
        <v>MINI GEN II W/DEF - 830099 - 0 - 0</v>
      </c>
    </row>
    <row r="423" spans="1:15" x14ac:dyDescent="0.25">
      <c r="A423" s="1">
        <v>910076</v>
      </c>
      <c r="B423" s="1" t="s">
        <v>44</v>
      </c>
      <c r="C423" s="1" t="s">
        <v>45</v>
      </c>
      <c r="D423" s="2">
        <v>44601.579806678237</v>
      </c>
      <c r="E423" s="1" t="s">
        <v>8</v>
      </c>
      <c r="F423" s="1">
        <v>1</v>
      </c>
      <c r="G423" s="1">
        <v>0</v>
      </c>
      <c r="H423" s="6">
        <f>INT(Query1[[#This Row],[EntryDateTime]])</f>
        <v>44601</v>
      </c>
      <c r="I423" s="1">
        <f>IF(Query1[[#This Row],[ItemType]]="EVAP KIT SF GEN IV",Query1[[#This Row],[OrderQty]]+I422,I422)</f>
        <v>450</v>
      </c>
      <c r="J423" s="1">
        <f>IF(Query1[[#This Row],[ItemType]]="EVAP KIT UNIVERSAL",Query1[[#This Row],[OrderQty]]+J422,J422)</f>
        <v>336</v>
      </c>
      <c r="K423" s="1">
        <f>Query1[[#This Row],[SF Running Total]]+Query1[[#This Row],[UNIV Running Total]]</f>
        <v>786</v>
      </c>
      <c r="L423">
        <f>VLOOKUP(Query1[[#This Row],[Description]],'kits to boards'!$B$2:$E$156,2,FALSE)</f>
        <v>830085</v>
      </c>
      <c r="M423">
        <f>VLOOKUP(Query1[[#This Row],[Description]],'kits to boards'!$B$2:$E$156,3,FALSE)</f>
        <v>0</v>
      </c>
      <c r="N423">
        <f>VLOOKUP(Query1[[#This Row],[Description]],'kits to boards'!$B$2:$E$156,4,FALSE)</f>
        <v>0</v>
      </c>
      <c r="O423" t="str">
        <f>CONCATENATE(Query1[[#This Row],[Description]]," - ",Query1[[#This Row],[MB1]]," - ",Query1[[#This Row],[MB2]]," - ",Query1[[#This Row],[MB3]])</f>
        <v>EVAP KIT 66-77 BRONCO - 830085 - 0 - 0</v>
      </c>
    </row>
    <row r="424" spans="1:15" x14ac:dyDescent="0.25">
      <c r="A424" s="1">
        <v>910081</v>
      </c>
      <c r="B424" s="1" t="s">
        <v>24</v>
      </c>
      <c r="C424" s="1" t="s">
        <v>25</v>
      </c>
      <c r="D424" s="2">
        <v>44601.585457905094</v>
      </c>
      <c r="E424" s="1" t="s">
        <v>11</v>
      </c>
      <c r="F424" s="1">
        <v>1</v>
      </c>
      <c r="G424" s="1">
        <v>0</v>
      </c>
      <c r="H424" s="6">
        <f>INT(Query1[[#This Row],[EntryDateTime]])</f>
        <v>44601</v>
      </c>
      <c r="I424" s="1">
        <f>IF(Query1[[#This Row],[ItemType]]="EVAP KIT SF GEN IV",Query1[[#This Row],[OrderQty]]+I423,I423)</f>
        <v>450</v>
      </c>
      <c r="J424" s="1">
        <f>IF(Query1[[#This Row],[ItemType]]="EVAP KIT UNIVERSAL",Query1[[#This Row],[OrderQty]]+J423,J423)</f>
        <v>337</v>
      </c>
      <c r="K424" s="1">
        <f>Query1[[#This Row],[SF Running Total]]+Query1[[#This Row],[UNIV Running Total]]</f>
        <v>787</v>
      </c>
      <c r="L424">
        <f>VLOOKUP(Query1[[#This Row],[Description]],'kits to boards'!$B$2:$E$156,2,FALSE)</f>
        <v>830029</v>
      </c>
      <c r="M424">
        <f>VLOOKUP(Query1[[#This Row],[Description]],'kits to boards'!$B$2:$E$156,3,FALSE)</f>
        <v>830030</v>
      </c>
      <c r="N424">
        <f>VLOOKUP(Query1[[#This Row],[Description]],'kits to boards'!$B$2:$E$156,4,FALSE)</f>
        <v>0</v>
      </c>
      <c r="O424" t="str">
        <f>CONCATENATE(Query1[[#This Row],[Description]]," - ",Query1[[#This Row],[MB1]]," - ",Query1[[#This Row],[MB2]]," - ",Query1[[#This Row],[MB3]])</f>
        <v>ComPac GEN II W/DEF - 830029 - 830030 - 0</v>
      </c>
    </row>
    <row r="425" spans="1:15" x14ac:dyDescent="0.25">
      <c r="A425" s="1">
        <v>910082</v>
      </c>
      <c r="B425" s="1" t="s">
        <v>90</v>
      </c>
      <c r="C425" s="1" t="s">
        <v>91</v>
      </c>
      <c r="D425" s="2">
        <v>44601.586781979167</v>
      </c>
      <c r="E425" s="1" t="s">
        <v>8</v>
      </c>
      <c r="F425" s="1">
        <v>1</v>
      </c>
      <c r="G425" s="1">
        <v>0</v>
      </c>
      <c r="H425" s="6">
        <f>INT(Query1[[#This Row],[EntryDateTime]])</f>
        <v>44601</v>
      </c>
      <c r="I425" s="1">
        <f>IF(Query1[[#This Row],[ItemType]]="EVAP KIT SF GEN IV",Query1[[#This Row],[OrderQty]]+I424,I424)</f>
        <v>451</v>
      </c>
      <c r="J425" s="1">
        <f>IF(Query1[[#This Row],[ItemType]]="EVAP KIT UNIVERSAL",Query1[[#This Row],[OrderQty]]+J424,J424)</f>
        <v>337</v>
      </c>
      <c r="K425" s="1">
        <f>Query1[[#This Row],[SF Running Total]]+Query1[[#This Row],[UNIV Running Total]]</f>
        <v>788</v>
      </c>
      <c r="L425">
        <f>VLOOKUP(Query1[[#This Row],[Description]],'kits to boards'!$B$2:$E$156,2,FALSE)</f>
        <v>830105</v>
      </c>
      <c r="M425">
        <f>VLOOKUP(Query1[[#This Row],[Description]],'kits to boards'!$B$2:$E$156,3,FALSE)</f>
        <v>830106</v>
      </c>
      <c r="N425">
        <f>VLOOKUP(Query1[[#This Row],[Description]],'kits to boards'!$B$2:$E$156,4,FALSE)</f>
        <v>0</v>
      </c>
      <c r="O425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426" spans="1:15" x14ac:dyDescent="0.25">
      <c r="A426" s="1">
        <v>910095</v>
      </c>
      <c r="B426" s="1" t="s">
        <v>68</v>
      </c>
      <c r="C426" s="1" t="s">
        <v>69</v>
      </c>
      <c r="D426" s="2">
        <v>44601.599710798611</v>
      </c>
      <c r="E426" s="1" t="s">
        <v>8</v>
      </c>
      <c r="F426" s="1">
        <v>1</v>
      </c>
      <c r="G426" s="1">
        <v>0</v>
      </c>
      <c r="H426" s="6">
        <f>INT(Query1[[#This Row],[EntryDateTime]])</f>
        <v>44601</v>
      </c>
      <c r="I426" s="1">
        <f>IF(Query1[[#This Row],[ItemType]]="EVAP KIT SF GEN IV",Query1[[#This Row],[OrderQty]]+I425,I425)</f>
        <v>452</v>
      </c>
      <c r="J426" s="1">
        <f>IF(Query1[[#This Row],[ItemType]]="EVAP KIT UNIVERSAL",Query1[[#This Row],[OrderQty]]+J425,J425)</f>
        <v>337</v>
      </c>
      <c r="K426" s="1">
        <f>Query1[[#This Row],[SF Running Total]]+Query1[[#This Row],[UNIV Running Total]]</f>
        <v>789</v>
      </c>
      <c r="L426">
        <f>VLOOKUP(Query1[[#This Row],[Description]],'kits to boards'!$B$2:$E$156,2,FALSE)</f>
        <v>830010</v>
      </c>
      <c r="M426">
        <f>VLOOKUP(Query1[[#This Row],[Description]],'kits to boards'!$B$2:$E$156,3,FALSE)</f>
        <v>0</v>
      </c>
      <c r="N426">
        <f>VLOOKUP(Query1[[#This Row],[Description]],'kits to boards'!$B$2:$E$156,4,FALSE)</f>
        <v>0</v>
      </c>
      <c r="O426" t="str">
        <f>CONCATENATE(Query1[[#This Row],[Description]]," - ",Query1[[#This Row],[MB1]]," - ",Query1[[#This Row],[MB2]]," - ",Query1[[#This Row],[MB3]])</f>
        <v>EVAP KIT 70-72 CHEVELLE WO AC - 830010 - 0 - 0</v>
      </c>
    </row>
    <row r="427" spans="1:15" x14ac:dyDescent="0.25">
      <c r="A427" s="1">
        <v>910099</v>
      </c>
      <c r="B427" s="1" t="s">
        <v>106</v>
      </c>
      <c r="C427" s="1" t="s">
        <v>107</v>
      </c>
      <c r="D427" s="2">
        <v>44601.605457673613</v>
      </c>
      <c r="E427" s="1" t="s">
        <v>8</v>
      </c>
      <c r="F427" s="1">
        <v>1</v>
      </c>
      <c r="G427" s="1">
        <v>0</v>
      </c>
      <c r="H427" s="6">
        <f>INT(Query1[[#This Row],[EntryDateTime]])</f>
        <v>44601</v>
      </c>
      <c r="I427" s="1">
        <f>IF(Query1[[#This Row],[ItemType]]="EVAP KIT SF GEN IV",Query1[[#This Row],[OrderQty]]+I426,I426)</f>
        <v>453</v>
      </c>
      <c r="J427" s="1">
        <f>IF(Query1[[#This Row],[ItemType]]="EVAP KIT UNIVERSAL",Query1[[#This Row],[OrderQty]]+J426,J426)</f>
        <v>337</v>
      </c>
      <c r="K427" s="1">
        <f>Query1[[#This Row],[SF Running Total]]+Query1[[#This Row],[UNIV Running Total]]</f>
        <v>790</v>
      </c>
      <c r="L427">
        <f>VLOOKUP(Query1[[#This Row],[Description]],'kits to boards'!$B$2:$E$156,2,FALSE)</f>
        <v>830028</v>
      </c>
      <c r="M427">
        <f>VLOOKUP(Query1[[#This Row],[Description]],'kits to boards'!$B$2:$E$156,3,FALSE)</f>
        <v>0</v>
      </c>
      <c r="N427">
        <f>VLOOKUP(Query1[[#This Row],[Description]],'kits to boards'!$B$2:$E$156,4,FALSE)</f>
        <v>0</v>
      </c>
      <c r="O427" t="str">
        <f>CONCATENATE(Query1[[#This Row],[Description]]," - ",Query1[[#This Row],[MB1]]," - ",Query1[[#This Row],[MB2]]," - ",Query1[[#This Row],[MB3]])</f>
        <v>EVAP KIT 55-59 CHEV P-UP WO AC W/DELX - 830028 - 0 - 0</v>
      </c>
    </row>
    <row r="428" spans="1:15" x14ac:dyDescent="0.25">
      <c r="A428" s="1">
        <v>910101</v>
      </c>
      <c r="B428" s="1" t="s">
        <v>126</v>
      </c>
      <c r="C428" s="1" t="s">
        <v>127</v>
      </c>
      <c r="D428" s="2">
        <v>44601.607370636571</v>
      </c>
      <c r="E428" s="1" t="s">
        <v>8</v>
      </c>
      <c r="F428" s="1">
        <v>1</v>
      </c>
      <c r="G428" s="1">
        <v>0</v>
      </c>
      <c r="H428" s="6">
        <f>INT(Query1[[#This Row],[EntryDateTime]])</f>
        <v>44601</v>
      </c>
      <c r="I428" s="1">
        <f>IF(Query1[[#This Row],[ItemType]]="EVAP KIT SF GEN IV",Query1[[#This Row],[OrderQty]]+I427,I427)</f>
        <v>454</v>
      </c>
      <c r="J428" s="1">
        <f>IF(Query1[[#This Row],[ItemType]]="EVAP KIT UNIVERSAL",Query1[[#This Row],[OrderQty]]+J427,J427)</f>
        <v>337</v>
      </c>
      <c r="K428" s="1">
        <f>Query1[[#This Row],[SF Running Total]]+Query1[[#This Row],[UNIV Running Total]]</f>
        <v>791</v>
      </c>
      <c r="L428">
        <f>VLOOKUP(Query1[[#This Row],[Description]],'kits to boards'!$B$2:$E$156,2,FALSE)</f>
        <v>830080</v>
      </c>
      <c r="M428">
        <f>VLOOKUP(Query1[[#This Row],[Description]],'kits to boards'!$B$2:$E$156,3,FALSE)</f>
        <v>0</v>
      </c>
      <c r="N428">
        <f>VLOOKUP(Query1[[#This Row],[Description]],'kits to boards'!$B$2:$E$156,4,FALSE)</f>
        <v>0</v>
      </c>
      <c r="O428" t="str">
        <f>CONCATENATE(Query1[[#This Row],[Description]]," - ",Query1[[#This Row],[MB1]]," - ",Query1[[#This Row],[MB2]]," - ",Query1[[#This Row],[MB3]])</f>
        <v>EVAP KIT 69-70 MUSTANG WO AC  - 830080 - 0 - 0</v>
      </c>
    </row>
    <row r="429" spans="1:15" x14ac:dyDescent="0.25">
      <c r="A429" s="1">
        <v>910103</v>
      </c>
      <c r="B429" s="1" t="s">
        <v>68</v>
      </c>
      <c r="C429" s="1" t="s">
        <v>69</v>
      </c>
      <c r="D429" s="2">
        <v>44601.608607488422</v>
      </c>
      <c r="E429" s="1" t="s">
        <v>8</v>
      </c>
      <c r="F429" s="1">
        <v>1</v>
      </c>
      <c r="G429" s="1">
        <v>0</v>
      </c>
      <c r="H429" s="6">
        <f>INT(Query1[[#This Row],[EntryDateTime]])</f>
        <v>44601</v>
      </c>
      <c r="I429" s="1">
        <f>IF(Query1[[#This Row],[ItemType]]="EVAP KIT SF GEN IV",Query1[[#This Row],[OrderQty]]+I428,I428)</f>
        <v>455</v>
      </c>
      <c r="J429" s="1">
        <f>IF(Query1[[#This Row],[ItemType]]="EVAP KIT UNIVERSAL",Query1[[#This Row],[OrderQty]]+J428,J428)</f>
        <v>337</v>
      </c>
      <c r="K429" s="1">
        <f>Query1[[#This Row],[SF Running Total]]+Query1[[#This Row],[UNIV Running Total]]</f>
        <v>792</v>
      </c>
      <c r="L429">
        <f>VLOOKUP(Query1[[#This Row],[Description]],'kits to boards'!$B$2:$E$156,2,FALSE)</f>
        <v>830010</v>
      </c>
      <c r="M429">
        <f>VLOOKUP(Query1[[#This Row],[Description]],'kits to boards'!$B$2:$E$156,3,FALSE)</f>
        <v>0</v>
      </c>
      <c r="N429">
        <f>VLOOKUP(Query1[[#This Row],[Description]],'kits to boards'!$B$2:$E$156,4,FALSE)</f>
        <v>0</v>
      </c>
      <c r="O429" t="str">
        <f>CONCATENATE(Query1[[#This Row],[Description]]," - ",Query1[[#This Row],[MB1]]," - ",Query1[[#This Row],[MB2]]," - ",Query1[[#This Row],[MB3]])</f>
        <v>EVAP KIT 70-72 CHEVELLE WO AC - 830010 - 0 - 0</v>
      </c>
    </row>
    <row r="430" spans="1:15" x14ac:dyDescent="0.25">
      <c r="A430" s="1">
        <v>910100</v>
      </c>
      <c r="B430" s="1" t="s">
        <v>16</v>
      </c>
      <c r="C430" s="1" t="s">
        <v>17</v>
      </c>
      <c r="D430" s="2">
        <v>44601.608809062498</v>
      </c>
      <c r="E430" s="1" t="s">
        <v>8</v>
      </c>
      <c r="F430" s="1">
        <v>1</v>
      </c>
      <c r="G430" s="1">
        <v>0</v>
      </c>
      <c r="H430" s="6">
        <f>INT(Query1[[#This Row],[EntryDateTime]])</f>
        <v>44601</v>
      </c>
      <c r="I430" s="1">
        <f>IF(Query1[[#This Row],[ItemType]]="EVAP KIT SF GEN IV",Query1[[#This Row],[OrderQty]]+I429,I429)</f>
        <v>456</v>
      </c>
      <c r="J430" s="1">
        <f>IF(Query1[[#This Row],[ItemType]]="EVAP KIT UNIVERSAL",Query1[[#This Row],[OrderQty]]+J429,J429)</f>
        <v>337</v>
      </c>
      <c r="K430" s="1">
        <f>Query1[[#This Row],[SF Running Total]]+Query1[[#This Row],[UNIV Running Total]]</f>
        <v>793</v>
      </c>
      <c r="L430">
        <f>VLOOKUP(Query1[[#This Row],[Description]],'kits to boards'!$B$2:$E$156,2,FALSE)</f>
        <v>830061</v>
      </c>
      <c r="M430">
        <f>VLOOKUP(Query1[[#This Row],[Description]],'kits to boards'!$B$2:$E$156,3,FALSE)</f>
        <v>0</v>
      </c>
      <c r="N430">
        <f>VLOOKUP(Query1[[#This Row],[Description]],'kits to boards'!$B$2:$E$156,4,FALSE)</f>
        <v>0</v>
      </c>
      <c r="O430" t="str">
        <f>CONCATENATE(Query1[[#This Row],[Description]]," - ",Query1[[#This Row],[MB1]]," - ",Query1[[#This Row],[MB2]]," - ",Query1[[#This Row],[MB3]])</f>
        <v>EVAP KIT 68-69 CHEVELLE W/AC - 830061 - 0 - 0</v>
      </c>
    </row>
    <row r="431" spans="1:15" x14ac:dyDescent="0.25">
      <c r="A431" s="1">
        <v>910105</v>
      </c>
      <c r="B431" s="1" t="s">
        <v>22</v>
      </c>
      <c r="C431" s="1" t="s">
        <v>23</v>
      </c>
      <c r="D431" s="2">
        <v>44601.609871956018</v>
      </c>
      <c r="E431" s="1" t="s">
        <v>8</v>
      </c>
      <c r="F431" s="1">
        <v>4</v>
      </c>
      <c r="G431" s="1">
        <v>0</v>
      </c>
      <c r="H431" s="6">
        <f>INT(Query1[[#This Row],[EntryDateTime]])</f>
        <v>44601</v>
      </c>
      <c r="I431" s="1">
        <f>IF(Query1[[#This Row],[ItemType]]="EVAP KIT SF GEN IV",Query1[[#This Row],[OrderQty]]+I430,I430)</f>
        <v>460</v>
      </c>
      <c r="J431" s="1">
        <f>IF(Query1[[#This Row],[ItemType]]="EVAP KIT UNIVERSAL",Query1[[#This Row],[OrderQty]]+J430,J430)</f>
        <v>337</v>
      </c>
      <c r="K431" s="1">
        <f>Query1[[#This Row],[SF Running Total]]+Query1[[#This Row],[UNIV Running Total]]</f>
        <v>797</v>
      </c>
      <c r="L431">
        <f>VLOOKUP(Query1[[#This Row],[Description]],'kits to boards'!$B$2:$E$156,2,FALSE)</f>
        <v>830083</v>
      </c>
      <c r="M431">
        <f>VLOOKUP(Query1[[#This Row],[Description]],'kits to boards'!$B$2:$E$156,3,FALSE)</f>
        <v>0</v>
      </c>
      <c r="N431">
        <f>VLOOKUP(Query1[[#This Row],[Description]],'kits to boards'!$B$2:$E$156,4,FALSE)</f>
        <v>0</v>
      </c>
      <c r="O431" t="str">
        <f>CONCATENATE(Query1[[#This Row],[Description]]," - ",Query1[[#This Row],[MB1]]," - ",Query1[[#This Row],[MB2]]," - ",Query1[[#This Row],[MB3]])</f>
        <v>GEN IV MAGNUM EVAP KIT - 830083 - 0 - 0</v>
      </c>
    </row>
    <row r="432" spans="1:15" x14ac:dyDescent="0.25">
      <c r="A432" s="1">
        <v>910106</v>
      </c>
      <c r="B432" s="1" t="s">
        <v>126</v>
      </c>
      <c r="C432" s="1" t="s">
        <v>127</v>
      </c>
      <c r="D432" s="2">
        <v>44601.612599687498</v>
      </c>
      <c r="E432" s="1" t="s">
        <v>8</v>
      </c>
      <c r="F432" s="1">
        <v>1</v>
      </c>
      <c r="G432" s="1">
        <v>0</v>
      </c>
      <c r="H432" s="6">
        <f>INT(Query1[[#This Row],[EntryDateTime]])</f>
        <v>44601</v>
      </c>
      <c r="I432" s="1">
        <f>IF(Query1[[#This Row],[ItemType]]="EVAP KIT SF GEN IV",Query1[[#This Row],[OrderQty]]+I431,I431)</f>
        <v>461</v>
      </c>
      <c r="J432" s="1">
        <f>IF(Query1[[#This Row],[ItemType]]="EVAP KIT UNIVERSAL",Query1[[#This Row],[OrderQty]]+J431,J431)</f>
        <v>337</v>
      </c>
      <c r="K432" s="1">
        <f>Query1[[#This Row],[SF Running Total]]+Query1[[#This Row],[UNIV Running Total]]</f>
        <v>798</v>
      </c>
      <c r="L432">
        <f>VLOOKUP(Query1[[#This Row],[Description]],'kits to boards'!$B$2:$E$156,2,FALSE)</f>
        <v>830080</v>
      </c>
      <c r="M432">
        <f>VLOOKUP(Query1[[#This Row],[Description]],'kits to boards'!$B$2:$E$156,3,FALSE)</f>
        <v>0</v>
      </c>
      <c r="N432">
        <f>VLOOKUP(Query1[[#This Row],[Description]],'kits to boards'!$B$2:$E$156,4,FALSE)</f>
        <v>0</v>
      </c>
      <c r="O432" t="str">
        <f>CONCATENATE(Query1[[#This Row],[Description]]," - ",Query1[[#This Row],[MB1]]," - ",Query1[[#This Row],[MB2]]," - ",Query1[[#This Row],[MB3]])</f>
        <v>EVAP KIT 69-70 MUSTANG WO AC  - 830080 - 0 - 0</v>
      </c>
    </row>
    <row r="433" spans="1:15" x14ac:dyDescent="0.25">
      <c r="A433" s="1">
        <v>910113</v>
      </c>
      <c r="B433" s="1" t="s">
        <v>94</v>
      </c>
      <c r="C433" s="1" t="s">
        <v>95</v>
      </c>
      <c r="D433" s="2">
        <v>44601.617688506944</v>
      </c>
      <c r="E433" s="1" t="s">
        <v>8</v>
      </c>
      <c r="F433" s="1">
        <v>1</v>
      </c>
      <c r="G433" s="1">
        <v>0</v>
      </c>
      <c r="H433" s="6">
        <f>INT(Query1[[#This Row],[EntryDateTime]])</f>
        <v>44601</v>
      </c>
      <c r="I433" s="1">
        <f>IF(Query1[[#This Row],[ItemType]]="EVAP KIT SF GEN IV",Query1[[#This Row],[OrderQty]]+I432,I432)</f>
        <v>462</v>
      </c>
      <c r="J433" s="1">
        <f>IF(Query1[[#This Row],[ItemType]]="EVAP KIT UNIVERSAL",Query1[[#This Row],[OrderQty]]+J432,J432)</f>
        <v>337</v>
      </c>
      <c r="K433" s="1">
        <f>Query1[[#This Row],[SF Running Total]]+Query1[[#This Row],[UNIV Running Total]]</f>
        <v>799</v>
      </c>
      <c r="L433">
        <f>VLOOKUP(Query1[[#This Row],[Description]],'kits to boards'!$B$2:$E$156,2,FALSE)</f>
        <v>830076</v>
      </c>
      <c r="M433">
        <f>VLOOKUP(Query1[[#This Row],[Description]],'kits to boards'!$B$2:$E$156,3,FALSE)</f>
        <v>0</v>
      </c>
      <c r="N433">
        <f>VLOOKUP(Query1[[#This Row],[Description]],'kits to boards'!$B$2:$E$156,4,FALSE)</f>
        <v>0</v>
      </c>
      <c r="O433" t="str">
        <f>CONCATENATE(Query1[[#This Row],[Description]]," - ",Query1[[#This Row],[MB1]]," - ",Query1[[#This Row],[MB2]]," - ",Query1[[#This Row],[MB3]])</f>
        <v>EVAP KIT 64 1/2- 66 MUSTANG  - 830076 - 0 - 0</v>
      </c>
    </row>
    <row r="434" spans="1:15" x14ac:dyDescent="0.25">
      <c r="A434" s="1">
        <v>905254</v>
      </c>
      <c r="B434" s="1" t="s">
        <v>124</v>
      </c>
      <c r="C434" s="1" t="s">
        <v>125</v>
      </c>
      <c r="D434" s="2">
        <v>44601.619839733794</v>
      </c>
      <c r="E434" s="1" t="s">
        <v>8</v>
      </c>
      <c r="F434" s="1">
        <v>1</v>
      </c>
      <c r="G434" s="1">
        <v>0</v>
      </c>
      <c r="H434" s="6">
        <f>INT(Query1[[#This Row],[EntryDateTime]])</f>
        <v>44601</v>
      </c>
      <c r="I434" s="1">
        <f>IF(Query1[[#This Row],[ItemType]]="EVAP KIT SF GEN IV",Query1[[#This Row],[OrderQty]]+I433,I433)</f>
        <v>463</v>
      </c>
      <c r="J434" s="1">
        <f>IF(Query1[[#This Row],[ItemType]]="EVAP KIT UNIVERSAL",Query1[[#This Row],[OrderQty]]+J433,J433)</f>
        <v>337</v>
      </c>
      <c r="K434" s="1">
        <f>Query1[[#This Row],[SF Running Total]]+Query1[[#This Row],[UNIV Running Total]]</f>
        <v>800</v>
      </c>
      <c r="L434">
        <f>VLOOKUP(Query1[[#This Row],[Description]],'kits to boards'!$B$2:$E$156,2,FALSE)</f>
        <v>830002</v>
      </c>
      <c r="M434">
        <f>VLOOKUP(Query1[[#This Row],[Description]],'kits to boards'!$B$2:$E$156,3,FALSE)</f>
        <v>0</v>
      </c>
      <c r="N434">
        <f>VLOOKUP(Query1[[#This Row],[Description]],'kits to boards'!$B$2:$E$156,4,FALSE)</f>
        <v>0</v>
      </c>
      <c r="O434" t="str">
        <f>CONCATENATE(Query1[[#This Row],[Description]]," - ",Query1[[#This Row],[MB1]]," - ",Query1[[#This Row],[MB2]]," - ",Query1[[#This Row],[MB3]])</f>
        <v>EVAP KIT 73-80 CHEV P-UP WO AC - 830002 - 0 - 0</v>
      </c>
    </row>
    <row r="435" spans="1:15" x14ac:dyDescent="0.25">
      <c r="A435" s="1">
        <v>910116</v>
      </c>
      <c r="B435" s="1" t="s">
        <v>14</v>
      </c>
      <c r="C435" s="1" t="s">
        <v>15</v>
      </c>
      <c r="D435" s="2">
        <v>44601.624088657409</v>
      </c>
      <c r="E435" s="1" t="s">
        <v>8</v>
      </c>
      <c r="F435" s="1">
        <v>1</v>
      </c>
      <c r="G435" s="1">
        <v>0</v>
      </c>
      <c r="H435" s="6">
        <f>INT(Query1[[#This Row],[EntryDateTime]])</f>
        <v>44601</v>
      </c>
      <c r="I435" s="1">
        <f>IF(Query1[[#This Row],[ItemType]]="EVAP KIT SF GEN IV",Query1[[#This Row],[OrderQty]]+I434,I434)</f>
        <v>464</v>
      </c>
      <c r="J435" s="1">
        <f>IF(Query1[[#This Row],[ItemType]]="EVAP KIT UNIVERSAL",Query1[[#This Row],[OrderQty]]+J434,J434)</f>
        <v>337</v>
      </c>
      <c r="K435" s="1">
        <f>Query1[[#This Row],[SF Running Total]]+Query1[[#This Row],[UNIV Running Total]]</f>
        <v>801</v>
      </c>
      <c r="L435">
        <f>VLOOKUP(Query1[[#This Row],[Description]],'kits to boards'!$B$2:$E$156,2,FALSE)</f>
        <v>830054</v>
      </c>
      <c r="M435">
        <f>VLOOKUP(Query1[[#This Row],[Description]],'kits to boards'!$B$2:$E$156,3,FALSE)</f>
        <v>0</v>
      </c>
      <c r="N435">
        <f>VLOOKUP(Query1[[#This Row],[Description]],'kits to boards'!$B$2:$E$156,4,FALSE)</f>
        <v>0</v>
      </c>
      <c r="O435" t="str">
        <f>CONCATENATE(Query1[[#This Row],[Description]]," - ",Query1[[#This Row],[MB1]]," - ",Query1[[#This Row],[MB2]]," - ",Query1[[#This Row],[MB3]])</f>
        <v>EVAP KIT 55-56 CHEVY - 830054 - 0 - 0</v>
      </c>
    </row>
    <row r="436" spans="1:15" x14ac:dyDescent="0.25">
      <c r="A436" s="1">
        <v>907661</v>
      </c>
      <c r="B436" s="1" t="s">
        <v>52</v>
      </c>
      <c r="C436" s="1" t="s">
        <v>53</v>
      </c>
      <c r="D436" s="2">
        <v>44601.630487881943</v>
      </c>
      <c r="E436" s="1" t="s">
        <v>8</v>
      </c>
      <c r="F436" s="1">
        <v>1</v>
      </c>
      <c r="G436" s="1">
        <v>0</v>
      </c>
      <c r="H436" s="6">
        <f>INT(Query1[[#This Row],[EntryDateTime]])</f>
        <v>44601</v>
      </c>
      <c r="I436" s="1">
        <f>IF(Query1[[#This Row],[ItemType]]="EVAP KIT SF GEN IV",Query1[[#This Row],[OrderQty]]+I435,I435)</f>
        <v>465</v>
      </c>
      <c r="J436" s="1">
        <f>IF(Query1[[#This Row],[ItemType]]="EVAP KIT UNIVERSAL",Query1[[#This Row],[OrderQty]]+J435,J435)</f>
        <v>337</v>
      </c>
      <c r="K436" s="1">
        <f>Query1[[#This Row],[SF Running Total]]+Query1[[#This Row],[UNIV Running Total]]</f>
        <v>802</v>
      </c>
      <c r="L436">
        <f>VLOOKUP(Query1[[#This Row],[Description]],'kits to boards'!$B$2:$E$156,2,FALSE)</f>
        <v>830017</v>
      </c>
      <c r="M436">
        <f>VLOOKUP(Query1[[#This Row],[Description]],'kits to boards'!$B$2:$E$156,3,FALSE)</f>
        <v>830119</v>
      </c>
      <c r="N436">
        <f>VLOOKUP(Query1[[#This Row],[Description]],'kits to boards'!$B$2:$E$156,4,FALSE)</f>
        <v>830120</v>
      </c>
      <c r="O436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437" spans="1:15" x14ac:dyDescent="0.25">
      <c r="A437" s="1">
        <v>910122</v>
      </c>
      <c r="B437" s="1" t="s">
        <v>273</v>
      </c>
      <c r="C437" s="1" t="s">
        <v>274</v>
      </c>
      <c r="D437" s="2">
        <v>44601.631947106478</v>
      </c>
      <c r="E437" s="1" t="s">
        <v>8</v>
      </c>
      <c r="F437" s="1">
        <v>1</v>
      </c>
      <c r="G437" s="1">
        <v>0</v>
      </c>
      <c r="H437" s="6">
        <f>INT(Query1[[#This Row],[EntryDateTime]])</f>
        <v>44601</v>
      </c>
      <c r="I437" s="1">
        <f>IF(Query1[[#This Row],[ItemType]]="EVAP KIT SF GEN IV",Query1[[#This Row],[OrderQty]]+I436,I436)</f>
        <v>466</v>
      </c>
      <c r="J437" s="1">
        <f>IF(Query1[[#This Row],[ItemType]]="EVAP KIT UNIVERSAL",Query1[[#This Row],[OrderQty]]+J436,J436)</f>
        <v>337</v>
      </c>
      <c r="K437" s="1">
        <f>Query1[[#This Row],[SF Running Total]]+Query1[[#This Row],[UNIV Running Total]]</f>
        <v>803</v>
      </c>
      <c r="L437">
        <f>VLOOKUP(Query1[[#This Row],[Description]],'kits to boards'!$B$2:$E$156,2,FALSE)</f>
        <v>830056</v>
      </c>
      <c r="M437">
        <f>VLOOKUP(Query1[[#This Row],[Description]],'kits to boards'!$B$2:$E$156,3,FALSE)</f>
        <v>0</v>
      </c>
      <c r="N437">
        <f>VLOOKUP(Query1[[#This Row],[Description]],'kits to boards'!$B$2:$E$156,4,FALSE)</f>
        <v>0</v>
      </c>
      <c r="O437" t="str">
        <f>CONCATENATE(Query1[[#This Row],[Description]]," - ",Query1[[#This Row],[MB1]]," - ",Query1[[#This Row],[MB2]]," - ",Query1[[#This Row],[MB3]])</f>
        <v>EVAP KIT 64-65 CHEVELLE W/AC - 830056 - 0 - 0</v>
      </c>
    </row>
    <row r="438" spans="1:15" x14ac:dyDescent="0.25">
      <c r="A438" s="1">
        <v>909366</v>
      </c>
      <c r="B438" s="1" t="s">
        <v>180</v>
      </c>
      <c r="C438" s="1" t="s">
        <v>181</v>
      </c>
      <c r="D438" s="2">
        <v>44601.637226388892</v>
      </c>
      <c r="E438" s="1" t="s">
        <v>8</v>
      </c>
      <c r="F438" s="1">
        <v>1</v>
      </c>
      <c r="G438" s="1">
        <v>0</v>
      </c>
      <c r="H438" s="6">
        <f>INT(Query1[[#This Row],[EntryDateTime]])</f>
        <v>44601</v>
      </c>
      <c r="I438" s="1">
        <f>IF(Query1[[#This Row],[ItemType]]="EVAP KIT SF GEN IV",Query1[[#This Row],[OrderQty]]+I437,I437)</f>
        <v>467</v>
      </c>
      <c r="J438" s="1">
        <f>IF(Query1[[#This Row],[ItemType]]="EVAP KIT UNIVERSAL",Query1[[#This Row],[OrderQty]]+J437,J437)</f>
        <v>337</v>
      </c>
      <c r="K438" s="1">
        <f>Query1[[#This Row],[SF Running Total]]+Query1[[#This Row],[UNIV Running Total]]</f>
        <v>804</v>
      </c>
      <c r="L438">
        <f>VLOOKUP(Query1[[#This Row],[Description]],'kits to boards'!$B$2:$E$156,2,FALSE)</f>
        <v>830123</v>
      </c>
      <c r="M438">
        <f>VLOOKUP(Query1[[#This Row],[Description]],'kits to boards'!$B$2:$E$156,3,FALSE)</f>
        <v>0</v>
      </c>
      <c r="N438">
        <f>VLOOKUP(Query1[[#This Row],[Description]],'kits to boards'!$B$2:$E$156,4,FALSE)</f>
        <v>0</v>
      </c>
      <c r="O438" t="str">
        <f>CONCATENATE(Query1[[#This Row],[Description]]," - ",Query1[[#This Row],[MB1]]," - ",Query1[[#This Row],[MB2]]," - ",Query1[[#This Row],[MB3]])</f>
        <v>EVAP KIT 68 GTO W/AC - 830123 - 0 - 0</v>
      </c>
    </row>
    <row r="439" spans="1:15" x14ac:dyDescent="0.25">
      <c r="A439" s="1">
        <v>909971</v>
      </c>
      <c r="B439" s="1" t="s">
        <v>128</v>
      </c>
      <c r="C439" s="1" t="s">
        <v>129</v>
      </c>
      <c r="D439" s="2">
        <v>44601.649657175927</v>
      </c>
      <c r="E439" s="1" t="s">
        <v>8</v>
      </c>
      <c r="F439" s="1">
        <v>1</v>
      </c>
      <c r="G439" s="1">
        <v>0</v>
      </c>
      <c r="H439" s="6">
        <f>INT(Query1[[#This Row],[EntryDateTime]])</f>
        <v>44601</v>
      </c>
      <c r="I439" s="1">
        <f>IF(Query1[[#This Row],[ItemType]]="EVAP KIT SF GEN IV",Query1[[#This Row],[OrderQty]]+I438,I438)</f>
        <v>468</v>
      </c>
      <c r="J439" s="1">
        <f>IF(Query1[[#This Row],[ItemType]]="EVAP KIT UNIVERSAL",Query1[[#This Row],[OrderQty]]+J438,J438)</f>
        <v>337</v>
      </c>
      <c r="K439" s="1">
        <f>Query1[[#This Row],[SF Running Total]]+Query1[[#This Row],[UNIV Running Total]]</f>
        <v>805</v>
      </c>
      <c r="L439">
        <f>VLOOKUP(Query1[[#This Row],[Description]],'kits to boards'!$B$2:$E$156,2,FALSE)</f>
        <v>830036</v>
      </c>
      <c r="M439">
        <f>VLOOKUP(Query1[[#This Row],[Description]],'kits to boards'!$B$2:$E$156,3,FALSE)</f>
        <v>830039</v>
      </c>
      <c r="N439">
        <f>VLOOKUP(Query1[[#This Row],[Description]],'kits to boards'!$B$2:$E$156,4,FALSE)</f>
        <v>0</v>
      </c>
      <c r="O439" t="str">
        <f>CONCATENATE(Query1[[#This Row],[Description]]," - ",Query1[[#This Row],[MB1]]," - ",Query1[[#This Row],[MB2]]," - ",Query1[[#This Row],[MB3]])</f>
        <v>EVAP KIT 63-66 VETTE WO AC - 830036 - 830039 - 0</v>
      </c>
    </row>
    <row r="440" spans="1:15" x14ac:dyDescent="0.25">
      <c r="A440" s="1">
        <v>910136</v>
      </c>
      <c r="B440" s="1" t="s">
        <v>92</v>
      </c>
      <c r="C440" s="1" t="s">
        <v>93</v>
      </c>
      <c r="D440" s="2">
        <v>44601.650210335647</v>
      </c>
      <c r="E440" s="1" t="s">
        <v>8</v>
      </c>
      <c r="F440" s="1">
        <v>1</v>
      </c>
      <c r="G440" s="1">
        <v>0</v>
      </c>
      <c r="H440" s="6">
        <f>INT(Query1[[#This Row],[EntryDateTime]])</f>
        <v>44601</v>
      </c>
      <c r="I440" s="1">
        <f>IF(Query1[[#This Row],[ItemType]]="EVAP KIT SF GEN IV",Query1[[#This Row],[OrderQty]]+I439,I439)</f>
        <v>469</v>
      </c>
      <c r="J440" s="1">
        <f>IF(Query1[[#This Row],[ItemType]]="EVAP KIT UNIVERSAL",Query1[[#This Row],[OrderQty]]+J439,J439)</f>
        <v>337</v>
      </c>
      <c r="K440" s="1">
        <f>Query1[[#This Row],[SF Running Total]]+Query1[[#This Row],[UNIV Running Total]]</f>
        <v>806</v>
      </c>
      <c r="L440">
        <f>VLOOKUP(Query1[[#This Row],[Description]],'kits to boards'!$B$2:$E$156,2,FALSE)</f>
        <v>830063</v>
      </c>
      <c r="M440">
        <f>VLOOKUP(Query1[[#This Row],[Description]],'kits to boards'!$B$2:$E$156,3,FALSE)</f>
        <v>0</v>
      </c>
      <c r="N440">
        <f>VLOOKUP(Query1[[#This Row],[Description]],'kits to boards'!$B$2:$E$156,4,FALSE)</f>
        <v>0</v>
      </c>
      <c r="O440" t="str">
        <f>CONCATENATE(Query1[[#This Row],[Description]]," - ",Query1[[#This Row],[MB1]]," - ",Query1[[#This Row],[MB2]]," - ",Query1[[#This Row],[MB3]])</f>
        <v>EVAP KIT 50-53 CHEV P-UP GEN IV - 830063 - 0 - 0</v>
      </c>
    </row>
    <row r="441" spans="1:15" x14ac:dyDescent="0.25">
      <c r="A441" s="1">
        <v>909973</v>
      </c>
      <c r="B441" s="1" t="s">
        <v>244</v>
      </c>
      <c r="C441" s="1" t="s">
        <v>245</v>
      </c>
      <c r="D441" s="2">
        <v>44601.650498807867</v>
      </c>
      <c r="E441" s="1" t="s">
        <v>8</v>
      </c>
      <c r="F441" s="1">
        <v>1</v>
      </c>
      <c r="G441" s="1">
        <v>0</v>
      </c>
      <c r="H441" s="6">
        <f>INT(Query1[[#This Row],[EntryDateTime]])</f>
        <v>44601</v>
      </c>
      <c r="I441" s="1">
        <f>IF(Query1[[#This Row],[ItemType]]="EVAP KIT SF GEN IV",Query1[[#This Row],[OrderQty]]+I440,I440)</f>
        <v>470</v>
      </c>
      <c r="J441" s="1">
        <f>IF(Query1[[#This Row],[ItemType]]="EVAP KIT UNIVERSAL",Query1[[#This Row],[OrderQty]]+J440,J440)</f>
        <v>337</v>
      </c>
      <c r="K441" s="1">
        <f>Query1[[#This Row],[SF Running Total]]+Query1[[#This Row],[UNIV Running Total]]</f>
        <v>807</v>
      </c>
      <c r="L441">
        <f>VLOOKUP(Query1[[#This Row],[Description]],'kits to boards'!$B$2:$E$156,2,FALSE)</f>
        <v>830100</v>
      </c>
      <c r="M441">
        <f>VLOOKUP(Query1[[#This Row],[Description]],'kits to boards'!$B$2:$E$156,3,FALSE)</f>
        <v>0</v>
      </c>
      <c r="N441">
        <f>VLOOKUP(Query1[[#This Row],[Description]],'kits to boards'!$B$2:$E$156,4,FALSE)</f>
        <v>0</v>
      </c>
      <c r="O441" t="str">
        <f>CONCATENATE(Query1[[#This Row],[Description]]," - ",Query1[[#This Row],[MB1]]," - ",Query1[[#This Row],[MB2]]," - ",Query1[[#This Row],[MB3]])</f>
        <v>EVAP KIT 68-76 VETTE WO AC - 830100 - 0 - 0</v>
      </c>
    </row>
    <row r="442" spans="1:15" x14ac:dyDescent="0.25">
      <c r="A442" s="1">
        <v>910137</v>
      </c>
      <c r="B442" s="1" t="s">
        <v>38</v>
      </c>
      <c r="C442" s="1" t="s">
        <v>39</v>
      </c>
      <c r="D442" s="2">
        <v>44601.650604085648</v>
      </c>
      <c r="E442" s="1" t="s">
        <v>8</v>
      </c>
      <c r="F442" s="1">
        <v>1</v>
      </c>
      <c r="G442" s="1">
        <v>0</v>
      </c>
      <c r="H442" s="6">
        <f>INT(Query1[[#This Row],[EntryDateTime]])</f>
        <v>44601</v>
      </c>
      <c r="I442" s="1">
        <f>IF(Query1[[#This Row],[ItemType]]="EVAP KIT SF GEN IV",Query1[[#This Row],[OrderQty]]+I441,I441)</f>
        <v>471</v>
      </c>
      <c r="J442" s="1">
        <f>IF(Query1[[#This Row],[ItemType]]="EVAP KIT UNIVERSAL",Query1[[#This Row],[OrderQty]]+J441,J441)</f>
        <v>337</v>
      </c>
      <c r="K442" s="1">
        <f>Query1[[#This Row],[SF Running Total]]+Query1[[#This Row],[UNIV Running Total]]</f>
        <v>808</v>
      </c>
      <c r="L442">
        <f>VLOOKUP(Query1[[#This Row],[Description]],'kits to boards'!$B$2:$E$156,2,FALSE)</f>
        <v>830012</v>
      </c>
      <c r="M442">
        <f>VLOOKUP(Query1[[#This Row],[Description]],'kits to boards'!$B$2:$E$156,3,FALSE)</f>
        <v>0</v>
      </c>
      <c r="N442">
        <f>VLOOKUP(Query1[[#This Row],[Description]],'kits to boards'!$B$2:$E$156,4,FALSE)</f>
        <v>0</v>
      </c>
      <c r="O442" t="str">
        <f>CONCATENATE(Query1[[#This Row],[Description]]," - ",Query1[[#This Row],[MB1]]," - ",Query1[[#This Row],[MB2]]," - ",Query1[[#This Row],[MB3]])</f>
        <v>EVAP KIT 69 CAMARO W/AC - 830012 - 0 - 0</v>
      </c>
    </row>
    <row r="443" spans="1:15" x14ac:dyDescent="0.25">
      <c r="A443" s="1">
        <v>910123</v>
      </c>
      <c r="B443" s="1" t="s">
        <v>26</v>
      </c>
      <c r="C443" s="1" t="s">
        <v>27</v>
      </c>
      <c r="D443" s="2">
        <v>44601.652502233796</v>
      </c>
      <c r="E443" s="1" t="s">
        <v>8</v>
      </c>
      <c r="F443" s="1">
        <v>1</v>
      </c>
      <c r="G443" s="1">
        <v>0</v>
      </c>
      <c r="H443" s="6">
        <f>INT(Query1[[#This Row],[EntryDateTime]])</f>
        <v>44601</v>
      </c>
      <c r="I443" s="1">
        <f>IF(Query1[[#This Row],[ItemType]]="EVAP KIT SF GEN IV",Query1[[#This Row],[OrderQty]]+I442,I442)</f>
        <v>472</v>
      </c>
      <c r="J443" s="1">
        <f>IF(Query1[[#This Row],[ItemType]]="EVAP KIT UNIVERSAL",Query1[[#This Row],[OrderQty]]+J442,J442)</f>
        <v>337</v>
      </c>
      <c r="K443" s="1">
        <f>Query1[[#This Row],[SF Running Total]]+Query1[[#This Row],[UNIV Running Total]]</f>
        <v>809</v>
      </c>
      <c r="L443">
        <f>VLOOKUP(Query1[[#This Row],[Description]],'kits to boards'!$B$2:$E$156,2,FALSE)</f>
        <v>830013</v>
      </c>
      <c r="M443">
        <f>VLOOKUP(Query1[[#This Row],[Description]],'kits to boards'!$B$2:$E$156,3,FALSE)</f>
        <v>0</v>
      </c>
      <c r="N443">
        <f>VLOOKUP(Query1[[#This Row],[Description]],'kits to boards'!$B$2:$E$156,4,FALSE)</f>
        <v>0</v>
      </c>
      <c r="O443" t="str">
        <f>CONCATENATE(Query1[[#This Row],[Description]]," - ",Query1[[#This Row],[MB1]]," - ",Query1[[#This Row],[MB2]]," - ",Query1[[#This Row],[MB3]])</f>
        <v>EVAP KIT 67-72 CHEV P-UP W/AC - 830013 - 0 - 0</v>
      </c>
    </row>
    <row r="444" spans="1:15" x14ac:dyDescent="0.25">
      <c r="A444" s="1">
        <v>910148</v>
      </c>
      <c r="B444" s="1" t="s">
        <v>86</v>
      </c>
      <c r="C444" s="1" t="s">
        <v>87</v>
      </c>
      <c r="D444" s="2">
        <v>44601.666912615743</v>
      </c>
      <c r="E444" s="1" t="s">
        <v>8</v>
      </c>
      <c r="F444" s="1">
        <v>1</v>
      </c>
      <c r="G444" s="1">
        <v>0</v>
      </c>
      <c r="H444" s="6">
        <f>INT(Query1[[#This Row],[EntryDateTime]])</f>
        <v>44601</v>
      </c>
      <c r="I444" s="1">
        <f>IF(Query1[[#This Row],[ItemType]]="EVAP KIT SF GEN IV",Query1[[#This Row],[OrderQty]]+I443,I443)</f>
        <v>473</v>
      </c>
      <c r="J444" s="1">
        <f>IF(Query1[[#This Row],[ItemType]]="EVAP KIT UNIVERSAL",Query1[[#This Row],[OrderQty]]+J443,J443)</f>
        <v>337</v>
      </c>
      <c r="K444" s="1">
        <f>Query1[[#This Row],[SF Running Total]]+Query1[[#This Row],[UNIV Running Total]]</f>
        <v>810</v>
      </c>
      <c r="L444">
        <f>VLOOKUP(Query1[[#This Row],[Description]],'kits to boards'!$B$2:$E$156,2,FALSE)</f>
        <v>830048</v>
      </c>
      <c r="M444">
        <f>VLOOKUP(Query1[[#This Row],[Description]],'kits to boards'!$B$2:$E$156,3,FALSE)</f>
        <v>0</v>
      </c>
      <c r="N444">
        <f>VLOOKUP(Query1[[#This Row],[Description]],'kits to boards'!$B$2:$E$156,4,FALSE)</f>
        <v>0</v>
      </c>
      <c r="O444" t="str">
        <f>CONCATENATE(Query1[[#This Row],[Description]]," - ",Query1[[#This Row],[MB1]]," - ",Query1[[#This Row],[MB2]]," - ",Query1[[#This Row],[MB3]])</f>
        <v>EVAP KIT 66-67 NOVA - 830048 - 0 - 0</v>
      </c>
    </row>
    <row r="445" spans="1:15" x14ac:dyDescent="0.25">
      <c r="A445" s="1">
        <v>908468</v>
      </c>
      <c r="B445" s="1" t="s">
        <v>98</v>
      </c>
      <c r="C445" s="1" t="s">
        <v>99</v>
      </c>
      <c r="D445" s="2">
        <v>44601.679600543983</v>
      </c>
      <c r="E445" s="1" t="s">
        <v>11</v>
      </c>
      <c r="F445" s="1">
        <v>1</v>
      </c>
      <c r="G445" s="1">
        <v>0</v>
      </c>
      <c r="H445" s="6">
        <f>INT(Query1[[#This Row],[EntryDateTime]])</f>
        <v>44601</v>
      </c>
      <c r="I445" s="1">
        <f>IF(Query1[[#This Row],[ItemType]]="EVAP KIT SF GEN IV",Query1[[#This Row],[OrderQty]]+I444,I444)</f>
        <v>473</v>
      </c>
      <c r="J445" s="1">
        <f>IF(Query1[[#This Row],[ItemType]]="EVAP KIT UNIVERSAL",Query1[[#This Row],[OrderQty]]+J444,J444)</f>
        <v>338</v>
      </c>
      <c r="K445" s="1">
        <f>Query1[[#This Row],[SF Running Total]]+Query1[[#This Row],[UNIV Running Total]]</f>
        <v>811</v>
      </c>
      <c r="L445">
        <f>VLOOKUP(Query1[[#This Row],[Description]],'kits to boards'!$B$2:$E$156,2,FALSE)</f>
        <v>830099</v>
      </c>
      <c r="M445">
        <f>VLOOKUP(Query1[[#This Row],[Description]],'kits to boards'!$B$2:$E$156,3,FALSE)</f>
        <v>0</v>
      </c>
      <c r="N445">
        <f>VLOOKUP(Query1[[#This Row],[Description]],'kits to boards'!$B$2:$E$156,4,FALSE)</f>
        <v>0</v>
      </c>
      <c r="O445" t="str">
        <f>CONCATENATE(Query1[[#This Row],[Description]]," - ",Query1[[#This Row],[MB1]]," - ",Query1[[#This Row],[MB2]]," - ",Query1[[#This Row],[MB3]])</f>
        <v>MINI GEN II W/DEF - 830099 - 0 - 0</v>
      </c>
    </row>
    <row r="446" spans="1:15" x14ac:dyDescent="0.25">
      <c r="A446" s="1">
        <v>909286</v>
      </c>
      <c r="B446" s="1" t="s">
        <v>96</v>
      </c>
      <c r="C446" s="1" t="s">
        <v>97</v>
      </c>
      <c r="D446" s="2">
        <v>44601.684576932872</v>
      </c>
      <c r="E446" s="1" t="s">
        <v>8</v>
      </c>
      <c r="F446" s="1">
        <v>1</v>
      </c>
      <c r="G446" s="1">
        <v>0</v>
      </c>
      <c r="H446" s="6">
        <f>INT(Query1[[#This Row],[EntryDateTime]])</f>
        <v>44601</v>
      </c>
      <c r="I446" s="1">
        <f>IF(Query1[[#This Row],[ItemType]]="EVAP KIT SF GEN IV",Query1[[#This Row],[OrderQty]]+I445,I445)</f>
        <v>474</v>
      </c>
      <c r="J446" s="1">
        <f>IF(Query1[[#This Row],[ItemType]]="EVAP KIT UNIVERSAL",Query1[[#This Row],[OrderQty]]+J445,J445)</f>
        <v>338</v>
      </c>
      <c r="K446" s="1">
        <f>Query1[[#This Row],[SF Running Total]]+Query1[[#This Row],[UNIV Running Total]]</f>
        <v>812</v>
      </c>
      <c r="L446">
        <f>VLOOKUP(Query1[[#This Row],[Description]],'kits to boards'!$B$2:$E$156,2,FALSE)</f>
        <v>830004</v>
      </c>
      <c r="M446">
        <f>VLOOKUP(Query1[[#This Row],[Description]],'kits to boards'!$B$2:$E$156,3,FALSE)</f>
        <v>0</v>
      </c>
      <c r="N446">
        <f>VLOOKUP(Query1[[#This Row],[Description]],'kits to boards'!$B$2:$E$156,4,FALSE)</f>
        <v>0</v>
      </c>
      <c r="O446" t="str">
        <f>CONCATENATE(Query1[[#This Row],[Description]]," - ",Query1[[#This Row],[MB1]]," - ",Query1[[#This Row],[MB2]]," - ",Query1[[#This Row],[MB3]])</f>
        <v>EVAP KIT 81-87 CHEV P-UP W/AC - 830004 - 0 - 0</v>
      </c>
    </row>
    <row r="447" spans="1:15" x14ac:dyDescent="0.25">
      <c r="A447" s="1">
        <v>910170</v>
      </c>
      <c r="B447" s="1" t="s">
        <v>132</v>
      </c>
      <c r="C447" s="1" t="s">
        <v>133</v>
      </c>
      <c r="D447" s="2">
        <v>44601.684581597219</v>
      </c>
      <c r="E447" s="1" t="s">
        <v>8</v>
      </c>
      <c r="F447" s="1">
        <v>1</v>
      </c>
      <c r="G447" s="1">
        <v>0</v>
      </c>
      <c r="H447" s="6">
        <f>INT(Query1[[#This Row],[EntryDateTime]])</f>
        <v>44601</v>
      </c>
      <c r="I447" s="1">
        <f>IF(Query1[[#This Row],[ItemType]]="EVAP KIT SF GEN IV",Query1[[#This Row],[OrderQty]]+I446,I446)</f>
        <v>475</v>
      </c>
      <c r="J447" s="1">
        <f>IF(Query1[[#This Row],[ItemType]]="EVAP KIT UNIVERSAL",Query1[[#This Row],[OrderQty]]+J446,J446)</f>
        <v>338</v>
      </c>
      <c r="K447" s="1">
        <f>Query1[[#This Row],[SF Running Total]]+Query1[[#This Row],[UNIV Running Total]]</f>
        <v>813</v>
      </c>
      <c r="L447">
        <f>VLOOKUP(Query1[[#This Row],[Description]],'kits to boards'!$B$2:$E$156,2,FALSE)</f>
        <v>830005</v>
      </c>
      <c r="M447">
        <f>VLOOKUP(Query1[[#This Row],[Description]],'kits to boards'!$B$2:$E$156,3,FALSE)</f>
        <v>0</v>
      </c>
      <c r="N447">
        <f>VLOOKUP(Query1[[#This Row],[Description]],'kits to boards'!$B$2:$E$156,4,FALSE)</f>
        <v>0</v>
      </c>
      <c r="O447" t="str">
        <f>CONCATENATE(Query1[[#This Row],[Description]]," - ",Query1[[#This Row],[MB1]]," - ",Query1[[#This Row],[MB2]]," - ",Query1[[#This Row],[MB3]])</f>
        <v>EVAP KIT 61-62 IMPALA WO AC - 830005 - 0 - 0</v>
      </c>
    </row>
    <row r="448" spans="1:15" x14ac:dyDescent="0.25">
      <c r="A448" s="1">
        <v>910171</v>
      </c>
      <c r="B448" s="1" t="s">
        <v>34</v>
      </c>
      <c r="C448" s="1" t="s">
        <v>35</v>
      </c>
      <c r="D448" s="2">
        <v>44601.690282835647</v>
      </c>
      <c r="E448" s="1" t="s">
        <v>8</v>
      </c>
      <c r="F448" s="1">
        <v>1</v>
      </c>
      <c r="G448" s="1">
        <v>0</v>
      </c>
      <c r="H448" s="6">
        <f>INT(Query1[[#This Row],[EntryDateTime]])</f>
        <v>44601</v>
      </c>
      <c r="I448" s="1">
        <f>IF(Query1[[#This Row],[ItemType]]="EVAP KIT SF GEN IV",Query1[[#This Row],[OrderQty]]+I447,I447)</f>
        <v>476</v>
      </c>
      <c r="J448" s="1">
        <f>IF(Query1[[#This Row],[ItemType]]="EVAP KIT UNIVERSAL",Query1[[#This Row],[OrderQty]]+J447,J447)</f>
        <v>338</v>
      </c>
      <c r="K448" s="1">
        <f>Query1[[#This Row],[SF Running Total]]+Query1[[#This Row],[UNIV Running Total]]</f>
        <v>814</v>
      </c>
      <c r="L448">
        <f>VLOOKUP(Query1[[#This Row],[Description]],'kits to boards'!$B$2:$E$156,2,FALSE)</f>
        <v>830065</v>
      </c>
      <c r="M448">
        <f>VLOOKUP(Query1[[#This Row],[Description]],'kits to boards'!$B$2:$E$156,3,FALSE)</f>
        <v>0</v>
      </c>
      <c r="N448">
        <f>VLOOKUP(Query1[[#This Row],[Description]],'kits to boards'!$B$2:$E$156,4,FALSE)</f>
        <v>0</v>
      </c>
      <c r="O448" t="str">
        <f>CONCATENATE(Query1[[#This Row],[Description]]," - ",Query1[[#This Row],[MB1]]," - ",Query1[[#This Row],[MB2]]," - ",Query1[[#This Row],[MB3]])</f>
        <v>EVAP KIT 57 CHEV WO AC - 830065 - 0 - 0</v>
      </c>
    </row>
    <row r="449" spans="1:15" x14ac:dyDescent="0.25">
      <c r="A449" s="1">
        <v>910172</v>
      </c>
      <c r="B449" s="1" t="s">
        <v>66</v>
      </c>
      <c r="C449" s="1" t="s">
        <v>67</v>
      </c>
      <c r="D449" s="2">
        <v>44601.690694942132</v>
      </c>
      <c r="E449" s="1" t="s">
        <v>8</v>
      </c>
      <c r="F449" s="1">
        <v>1</v>
      </c>
      <c r="G449" s="1">
        <v>0</v>
      </c>
      <c r="H449" s="6">
        <f>INT(Query1[[#This Row],[EntryDateTime]])</f>
        <v>44601</v>
      </c>
      <c r="I449" s="1">
        <f>IF(Query1[[#This Row],[ItemType]]="EVAP KIT SF GEN IV",Query1[[#This Row],[OrderQty]]+I448,I448)</f>
        <v>477</v>
      </c>
      <c r="J449" s="1">
        <f>IF(Query1[[#This Row],[ItemType]]="EVAP KIT UNIVERSAL",Query1[[#This Row],[OrderQty]]+J448,J448)</f>
        <v>338</v>
      </c>
      <c r="K449" s="1">
        <f>Query1[[#This Row],[SF Running Total]]+Query1[[#This Row],[UNIV Running Total]]</f>
        <v>815</v>
      </c>
      <c r="L449">
        <f>VLOOKUP(Query1[[#This Row],[Description]],'kits to boards'!$B$2:$E$156,2,FALSE)</f>
        <v>830060</v>
      </c>
      <c r="M449">
        <f>VLOOKUP(Query1[[#This Row],[Description]],'kits to boards'!$B$2:$E$156,3,FALSE)</f>
        <v>0</v>
      </c>
      <c r="N449">
        <f>VLOOKUP(Query1[[#This Row],[Description]],'kits to boards'!$B$2:$E$156,4,FALSE)</f>
        <v>0</v>
      </c>
      <c r="O449" t="str">
        <f>CONCATENATE(Query1[[#This Row],[Description]]," - ",Query1[[#This Row],[MB1]]," - ",Query1[[#This Row],[MB2]]," - ",Query1[[#This Row],[MB3]])</f>
        <v>EVAP KIT 66-67 CHEVELLE WO AC - 830060 - 0 - 0</v>
      </c>
    </row>
    <row r="450" spans="1:15" x14ac:dyDescent="0.25">
      <c r="A450" s="1">
        <v>909875</v>
      </c>
      <c r="B450" s="1" t="s">
        <v>30</v>
      </c>
      <c r="C450" s="1" t="s">
        <v>31</v>
      </c>
      <c r="D450" s="2">
        <v>44601.793821493055</v>
      </c>
      <c r="E450" s="1" t="s">
        <v>8</v>
      </c>
      <c r="F450" s="1">
        <v>1</v>
      </c>
      <c r="G450" s="1">
        <v>0</v>
      </c>
      <c r="H450" s="6">
        <f>INT(Query1[[#This Row],[EntryDateTime]])</f>
        <v>44601</v>
      </c>
      <c r="I450" s="1">
        <f>IF(Query1[[#This Row],[ItemType]]="EVAP KIT SF GEN IV",Query1[[#This Row],[OrderQty]]+I449,I449)</f>
        <v>478</v>
      </c>
      <c r="J450" s="1">
        <f>IF(Query1[[#This Row],[ItemType]]="EVAP KIT UNIVERSAL",Query1[[#This Row],[OrderQty]]+J449,J449)</f>
        <v>338</v>
      </c>
      <c r="K450" s="1">
        <f>Query1[[#This Row],[SF Running Total]]+Query1[[#This Row],[UNIV Running Total]]</f>
        <v>816</v>
      </c>
      <c r="L450">
        <f>VLOOKUP(Query1[[#This Row],[Description]],'kits to boards'!$B$2:$E$156,2,FALSE)</f>
        <v>830054</v>
      </c>
      <c r="M450">
        <f>VLOOKUP(Query1[[#This Row],[Description]],'kits to boards'!$B$2:$E$156,3,FALSE)</f>
        <v>0</v>
      </c>
      <c r="N450">
        <f>VLOOKUP(Query1[[#This Row],[Description]],'kits to boards'!$B$2:$E$156,4,FALSE)</f>
        <v>0</v>
      </c>
      <c r="O450" t="str">
        <f>CONCATENATE(Query1[[#This Row],[Description]]," - ",Query1[[#This Row],[MB1]]," - ",Query1[[#This Row],[MB2]]," - ",Query1[[#This Row],[MB3]])</f>
        <v>EVAP KIT 55-56 CHEVY 4-VENT - 830054 - 0 - 0</v>
      </c>
    </row>
    <row r="451" spans="1:15" x14ac:dyDescent="0.25">
      <c r="A451" s="1">
        <v>909888</v>
      </c>
      <c r="B451" s="1" t="s">
        <v>44</v>
      </c>
      <c r="C451" s="1" t="s">
        <v>45</v>
      </c>
      <c r="D451" s="2">
        <v>44602.310953900465</v>
      </c>
      <c r="E451" s="1" t="s">
        <v>8</v>
      </c>
      <c r="F451" s="1">
        <v>1</v>
      </c>
      <c r="G451" s="1">
        <v>0</v>
      </c>
      <c r="H451" s="6">
        <f>INT(Query1[[#This Row],[EntryDateTime]])</f>
        <v>44602</v>
      </c>
      <c r="I451" s="1">
        <f>IF(Query1[[#This Row],[ItemType]]="EVAP KIT SF GEN IV",Query1[[#This Row],[OrderQty]]+I450,I450)</f>
        <v>479</v>
      </c>
      <c r="J451" s="1">
        <f>IF(Query1[[#This Row],[ItemType]]="EVAP KIT UNIVERSAL",Query1[[#This Row],[OrderQty]]+J450,J450)</f>
        <v>338</v>
      </c>
      <c r="K451" s="1">
        <f>Query1[[#This Row],[SF Running Total]]+Query1[[#This Row],[UNIV Running Total]]</f>
        <v>817</v>
      </c>
      <c r="L451">
        <f>VLOOKUP(Query1[[#This Row],[Description]],'kits to boards'!$B$2:$E$156,2,FALSE)</f>
        <v>830085</v>
      </c>
      <c r="M451">
        <f>VLOOKUP(Query1[[#This Row],[Description]],'kits to boards'!$B$2:$E$156,3,FALSE)</f>
        <v>0</v>
      </c>
      <c r="N451">
        <f>VLOOKUP(Query1[[#This Row],[Description]],'kits to boards'!$B$2:$E$156,4,FALSE)</f>
        <v>0</v>
      </c>
      <c r="O451" t="str">
        <f>CONCATENATE(Query1[[#This Row],[Description]]," - ",Query1[[#This Row],[MB1]]," - ",Query1[[#This Row],[MB2]]," - ",Query1[[#This Row],[MB3]])</f>
        <v>EVAP KIT 66-77 BRONCO - 830085 - 0 - 0</v>
      </c>
    </row>
    <row r="452" spans="1:15" x14ac:dyDescent="0.25">
      <c r="A452" s="1">
        <v>909888</v>
      </c>
      <c r="B452" s="1" t="s">
        <v>84</v>
      </c>
      <c r="C452" s="1" t="s">
        <v>85</v>
      </c>
      <c r="D452" s="2">
        <v>44602.310953900465</v>
      </c>
      <c r="E452" s="1" t="s">
        <v>8</v>
      </c>
      <c r="F452" s="1">
        <v>1</v>
      </c>
      <c r="G452" s="1">
        <v>0</v>
      </c>
      <c r="H452" s="6">
        <f>INT(Query1[[#This Row],[EntryDateTime]])</f>
        <v>44602</v>
      </c>
      <c r="I452" s="1">
        <f>IF(Query1[[#This Row],[ItemType]]="EVAP KIT SF GEN IV",Query1[[#This Row],[OrderQty]]+I451,I451)</f>
        <v>480</v>
      </c>
      <c r="J452" s="1">
        <f>IF(Query1[[#This Row],[ItemType]]="EVAP KIT UNIVERSAL",Query1[[#This Row],[OrderQty]]+J451,J451)</f>
        <v>338</v>
      </c>
      <c r="K452" s="1">
        <f>Query1[[#This Row],[SF Running Total]]+Query1[[#This Row],[UNIV Running Total]]</f>
        <v>818</v>
      </c>
      <c r="L452">
        <f>VLOOKUP(Query1[[#This Row],[Description]],'kits to boards'!$B$2:$E$156,2,FALSE)</f>
        <v>830085</v>
      </c>
      <c r="M452">
        <f>VLOOKUP(Query1[[#This Row],[Description]],'kits to boards'!$B$2:$E$156,3,FALSE)</f>
        <v>0</v>
      </c>
      <c r="N452">
        <f>VLOOKUP(Query1[[#This Row],[Description]],'kits to boards'!$B$2:$E$156,4,FALSE)</f>
        <v>0</v>
      </c>
      <c r="O452" t="str">
        <f>CONCATENATE(Query1[[#This Row],[Description]]," - ",Query1[[#This Row],[MB1]]," - ",Query1[[#This Row],[MB2]]," - ",Query1[[#This Row],[MB3]])</f>
        <v>EVAP KIT 66-77 BRONCO 4-VENT PLENUM - 830085 - 0 - 0</v>
      </c>
    </row>
    <row r="453" spans="1:15" x14ac:dyDescent="0.25">
      <c r="A453" s="1">
        <v>910184</v>
      </c>
      <c r="B453" s="1" t="s">
        <v>46</v>
      </c>
      <c r="C453" s="1" t="s">
        <v>47</v>
      </c>
      <c r="D453" s="2">
        <v>44602.315629861114</v>
      </c>
      <c r="E453" s="1" t="s">
        <v>8</v>
      </c>
      <c r="F453" s="1">
        <v>1</v>
      </c>
      <c r="G453" s="1">
        <v>0</v>
      </c>
      <c r="H453" s="6">
        <f>INT(Query1[[#This Row],[EntryDateTime]])</f>
        <v>44602</v>
      </c>
      <c r="I453" s="1">
        <f>IF(Query1[[#This Row],[ItemType]]="EVAP KIT SF GEN IV",Query1[[#This Row],[OrderQty]]+I452,I452)</f>
        <v>481</v>
      </c>
      <c r="J453" s="1">
        <f>IF(Query1[[#This Row],[ItemType]]="EVAP KIT UNIVERSAL",Query1[[#This Row],[OrderQty]]+J452,J452)</f>
        <v>338</v>
      </c>
      <c r="K453" s="1">
        <f>Query1[[#This Row],[SF Running Total]]+Query1[[#This Row],[UNIV Running Total]]</f>
        <v>819</v>
      </c>
      <c r="L453">
        <f>VLOOKUP(Query1[[#This Row],[Description]],'kits to boards'!$B$2:$E$156,2,FALSE)</f>
        <v>830018</v>
      </c>
      <c r="M453">
        <f>VLOOKUP(Query1[[#This Row],[Description]],'kits to boards'!$B$2:$E$156,3,FALSE)</f>
        <v>0</v>
      </c>
      <c r="N453">
        <f>VLOOKUP(Query1[[#This Row],[Description]],'kits to boards'!$B$2:$E$156,4,FALSE)</f>
        <v>0</v>
      </c>
      <c r="O453" t="str">
        <f>CONCATENATE(Query1[[#This Row],[Description]]," - ",Query1[[#This Row],[MB1]]," - ",Query1[[#This Row],[MB2]]," - ",Query1[[#This Row],[MB3]])</f>
        <v>EVAP KIT 68-72 FORD P-UP F-100 - 830018 - 0 - 0</v>
      </c>
    </row>
    <row r="454" spans="1:15" x14ac:dyDescent="0.25">
      <c r="A454" s="1">
        <v>910183</v>
      </c>
      <c r="B454" s="1" t="s">
        <v>32</v>
      </c>
      <c r="C454" s="1" t="s">
        <v>33</v>
      </c>
      <c r="D454" s="2">
        <v>44602.316965011574</v>
      </c>
      <c r="E454" s="1" t="s">
        <v>8</v>
      </c>
      <c r="F454" s="1">
        <v>1</v>
      </c>
      <c r="G454" s="1">
        <v>0</v>
      </c>
      <c r="H454" s="6">
        <f>INT(Query1[[#This Row],[EntryDateTime]])</f>
        <v>44602</v>
      </c>
      <c r="I454" s="1">
        <f>IF(Query1[[#This Row],[ItemType]]="EVAP KIT SF GEN IV",Query1[[#This Row],[OrderQty]]+I453,I453)</f>
        <v>482</v>
      </c>
      <c r="J454" s="1">
        <f>IF(Query1[[#This Row],[ItemType]]="EVAP KIT UNIVERSAL",Query1[[#This Row],[OrderQty]]+J453,J453)</f>
        <v>338</v>
      </c>
      <c r="K454" s="1">
        <f>Query1[[#This Row],[SF Running Total]]+Query1[[#This Row],[UNIV Running Total]]</f>
        <v>820</v>
      </c>
      <c r="L454">
        <f>VLOOKUP(Query1[[#This Row],[Description]],'kits to boards'!$B$2:$E$156,2,FALSE)</f>
        <v>830016</v>
      </c>
      <c r="M454">
        <f>VLOOKUP(Query1[[#This Row],[Description]],'kits to boards'!$B$2:$E$156,3,FALSE)</f>
        <v>0</v>
      </c>
      <c r="N454">
        <f>VLOOKUP(Query1[[#This Row],[Description]],'kits to boards'!$B$2:$E$156,4,FALSE)</f>
        <v>0</v>
      </c>
      <c r="O454" t="str">
        <f>CONCATENATE(Query1[[#This Row],[Description]]," - ",Query1[[#This Row],[MB1]]," - ",Query1[[#This Row],[MB2]]," - ",Query1[[#This Row],[MB3]])</f>
        <v>EVAP KIT 67-68 CAMARO/FIREBIRD W/AC - 830016 - 0 - 0</v>
      </c>
    </row>
    <row r="455" spans="1:15" x14ac:dyDescent="0.25">
      <c r="A455" s="1">
        <v>909659</v>
      </c>
      <c r="B455" s="1" t="s">
        <v>92</v>
      </c>
      <c r="C455" s="1" t="s">
        <v>93</v>
      </c>
      <c r="D455" s="2">
        <v>44602.318384988423</v>
      </c>
      <c r="E455" s="1" t="s">
        <v>8</v>
      </c>
      <c r="F455" s="1">
        <v>1</v>
      </c>
      <c r="G455" s="1">
        <v>0</v>
      </c>
      <c r="H455" s="6">
        <f>INT(Query1[[#This Row],[EntryDateTime]])</f>
        <v>44602</v>
      </c>
      <c r="I455" s="1">
        <f>IF(Query1[[#This Row],[ItemType]]="EVAP KIT SF GEN IV",Query1[[#This Row],[OrderQty]]+I454,I454)</f>
        <v>483</v>
      </c>
      <c r="J455" s="1">
        <f>IF(Query1[[#This Row],[ItemType]]="EVAP KIT UNIVERSAL",Query1[[#This Row],[OrderQty]]+J454,J454)</f>
        <v>338</v>
      </c>
      <c r="K455" s="1">
        <f>Query1[[#This Row],[SF Running Total]]+Query1[[#This Row],[UNIV Running Total]]</f>
        <v>821</v>
      </c>
      <c r="L455">
        <f>VLOOKUP(Query1[[#This Row],[Description]],'kits to boards'!$B$2:$E$156,2,FALSE)</f>
        <v>830063</v>
      </c>
      <c r="M455">
        <f>VLOOKUP(Query1[[#This Row],[Description]],'kits to boards'!$B$2:$E$156,3,FALSE)</f>
        <v>0</v>
      </c>
      <c r="N455">
        <f>VLOOKUP(Query1[[#This Row],[Description]],'kits to boards'!$B$2:$E$156,4,FALSE)</f>
        <v>0</v>
      </c>
      <c r="O455" t="str">
        <f>CONCATENATE(Query1[[#This Row],[Description]]," - ",Query1[[#This Row],[MB1]]," - ",Query1[[#This Row],[MB2]]," - ",Query1[[#This Row],[MB3]])</f>
        <v>EVAP KIT 50-53 CHEV P-UP GEN IV - 830063 - 0 - 0</v>
      </c>
    </row>
    <row r="456" spans="1:15" x14ac:dyDescent="0.25">
      <c r="A456" s="1">
        <v>910185</v>
      </c>
      <c r="B456" s="1" t="s">
        <v>102</v>
      </c>
      <c r="C456" s="1" t="s">
        <v>103</v>
      </c>
      <c r="D456" s="2">
        <v>44602.319009918981</v>
      </c>
      <c r="E456" s="1" t="s">
        <v>8</v>
      </c>
      <c r="F456" s="1">
        <v>1</v>
      </c>
      <c r="G456" s="1">
        <v>0</v>
      </c>
      <c r="H456" s="6">
        <f>INT(Query1[[#This Row],[EntryDateTime]])</f>
        <v>44602</v>
      </c>
      <c r="I456" s="1">
        <f>IF(Query1[[#This Row],[ItemType]]="EVAP KIT SF GEN IV",Query1[[#This Row],[OrderQty]]+I455,I455)</f>
        <v>484</v>
      </c>
      <c r="J456" s="1">
        <f>IF(Query1[[#This Row],[ItemType]]="EVAP KIT UNIVERSAL",Query1[[#This Row],[OrderQty]]+J455,J455)</f>
        <v>338</v>
      </c>
      <c r="K456" s="1">
        <f>Query1[[#This Row],[SF Running Total]]+Query1[[#This Row],[UNIV Running Total]]</f>
        <v>822</v>
      </c>
      <c r="L456">
        <f>VLOOKUP(Query1[[#This Row],[Description]],'kits to boards'!$B$2:$E$156,2,FALSE)</f>
        <v>830012</v>
      </c>
      <c r="M456">
        <f>VLOOKUP(Query1[[#This Row],[Description]],'kits to boards'!$B$2:$E$156,3,FALSE)</f>
        <v>0</v>
      </c>
      <c r="N456">
        <f>VLOOKUP(Query1[[#This Row],[Description]],'kits to boards'!$B$2:$E$156,4,FALSE)</f>
        <v>0</v>
      </c>
      <c r="O456" t="str">
        <f>CONCATENATE(Query1[[#This Row],[Description]]," - ",Query1[[#This Row],[MB1]]," - ",Query1[[#This Row],[MB2]]," - ",Query1[[#This Row],[MB3]])</f>
        <v>EVAP KIT 69 CAMARO WO/AC - 830012 - 0 - 0</v>
      </c>
    </row>
    <row r="457" spans="1:15" x14ac:dyDescent="0.25">
      <c r="A457" s="1">
        <v>910187</v>
      </c>
      <c r="B457" s="1" t="s">
        <v>64</v>
      </c>
      <c r="C457" s="1" t="s">
        <v>65</v>
      </c>
      <c r="D457" s="2">
        <v>44602.321628090278</v>
      </c>
      <c r="E457" s="1" t="s">
        <v>8</v>
      </c>
      <c r="F457" s="1">
        <v>1</v>
      </c>
      <c r="G457" s="1">
        <v>0</v>
      </c>
      <c r="H457" s="6">
        <f>INT(Query1[[#This Row],[EntryDateTime]])</f>
        <v>44602</v>
      </c>
      <c r="I457" s="1">
        <f>IF(Query1[[#This Row],[ItemType]]="EVAP KIT SF GEN IV",Query1[[#This Row],[OrderQty]]+I456,I456)</f>
        <v>485</v>
      </c>
      <c r="J457" s="1">
        <f>IF(Query1[[#This Row],[ItemType]]="EVAP KIT UNIVERSAL",Query1[[#This Row],[OrderQty]]+J456,J456)</f>
        <v>338</v>
      </c>
      <c r="K457" s="1">
        <f>Query1[[#This Row],[SF Running Total]]+Query1[[#This Row],[UNIV Running Total]]</f>
        <v>823</v>
      </c>
      <c r="L457">
        <f>VLOOKUP(Query1[[#This Row],[Description]],'kits to boards'!$B$2:$E$156,2,FALSE)</f>
        <v>830067</v>
      </c>
      <c r="M457">
        <f>VLOOKUP(Query1[[#This Row],[Description]],'kits to boards'!$B$2:$E$156,3,FALSE)</f>
        <v>0</v>
      </c>
      <c r="N457">
        <f>VLOOKUP(Query1[[#This Row],[Description]],'kits to boards'!$B$2:$E$156,4,FALSE)</f>
        <v>0</v>
      </c>
      <c r="O457" t="str">
        <f>CONCATENATE(Query1[[#This Row],[Description]]," - ",Query1[[#This Row],[MB1]]," - ",Query1[[#This Row],[MB2]]," - ",Query1[[#This Row],[MB3]])</f>
        <v>EVAP KIT 59-60 CHEV CAR 4-LEVER - 830067 - 0 - 0</v>
      </c>
    </row>
    <row r="458" spans="1:15" x14ac:dyDescent="0.25">
      <c r="A458" s="1">
        <v>910188</v>
      </c>
      <c r="B458" s="1" t="s">
        <v>54</v>
      </c>
      <c r="C458" s="1" t="s">
        <v>55</v>
      </c>
      <c r="D458" s="2">
        <v>44602.324184340279</v>
      </c>
      <c r="E458" s="1" t="s">
        <v>8</v>
      </c>
      <c r="F458" s="1">
        <v>1</v>
      </c>
      <c r="G458" s="1">
        <v>0</v>
      </c>
      <c r="H458" s="6">
        <f>INT(Query1[[#This Row],[EntryDateTime]])</f>
        <v>44602</v>
      </c>
      <c r="I458" s="1">
        <f>IF(Query1[[#This Row],[ItemType]]="EVAP KIT SF GEN IV",Query1[[#This Row],[OrderQty]]+I457,I457)</f>
        <v>486</v>
      </c>
      <c r="J458" s="1">
        <f>IF(Query1[[#This Row],[ItemType]]="EVAP KIT UNIVERSAL",Query1[[#This Row],[OrderQty]]+J457,J457)</f>
        <v>338</v>
      </c>
      <c r="K458" s="1">
        <f>Query1[[#This Row],[SF Running Total]]+Query1[[#This Row],[UNIV Running Total]]</f>
        <v>824</v>
      </c>
      <c r="L458">
        <f>VLOOKUP(Query1[[#This Row],[Description]],'kits to boards'!$B$2:$E$156,2,FALSE)</f>
        <v>830037</v>
      </c>
      <c r="M458">
        <f>VLOOKUP(Query1[[#This Row],[Description]],'kits to boards'!$B$2:$E$156,3,FALSE)</f>
        <v>0</v>
      </c>
      <c r="N458">
        <f>VLOOKUP(Query1[[#This Row],[Description]],'kits to boards'!$B$2:$E$156,4,FALSE)</f>
        <v>0</v>
      </c>
      <c r="O458" t="str">
        <f>CONCATENATE(Query1[[#This Row],[Description]]," - ",Query1[[#This Row],[MB1]]," - ",Query1[[#This Row],[MB2]]," - ",Query1[[#This Row],[MB3]])</f>
        <v>EVAP KIT 70-81 FIREBIRD W/AC - 830037 - 0 - 0</v>
      </c>
    </row>
    <row r="459" spans="1:15" x14ac:dyDescent="0.25">
      <c r="A459" s="1">
        <v>910189</v>
      </c>
      <c r="B459" s="1" t="s">
        <v>64</v>
      </c>
      <c r="C459" s="1" t="s">
        <v>65</v>
      </c>
      <c r="D459" s="2">
        <v>44602.325418252316</v>
      </c>
      <c r="E459" s="1" t="s">
        <v>8</v>
      </c>
      <c r="F459" s="1">
        <v>1</v>
      </c>
      <c r="G459" s="1">
        <v>0</v>
      </c>
      <c r="H459" s="6">
        <f>INT(Query1[[#This Row],[EntryDateTime]])</f>
        <v>44602</v>
      </c>
      <c r="I459" s="1">
        <f>IF(Query1[[#This Row],[ItemType]]="EVAP KIT SF GEN IV",Query1[[#This Row],[OrderQty]]+I458,I458)</f>
        <v>487</v>
      </c>
      <c r="J459" s="1">
        <f>IF(Query1[[#This Row],[ItemType]]="EVAP KIT UNIVERSAL",Query1[[#This Row],[OrderQty]]+J458,J458)</f>
        <v>338</v>
      </c>
      <c r="K459" s="1">
        <f>Query1[[#This Row],[SF Running Total]]+Query1[[#This Row],[UNIV Running Total]]</f>
        <v>825</v>
      </c>
      <c r="L459">
        <f>VLOOKUP(Query1[[#This Row],[Description]],'kits to boards'!$B$2:$E$156,2,FALSE)</f>
        <v>830067</v>
      </c>
      <c r="M459">
        <f>VLOOKUP(Query1[[#This Row],[Description]],'kits to boards'!$B$2:$E$156,3,FALSE)</f>
        <v>0</v>
      </c>
      <c r="N459">
        <f>VLOOKUP(Query1[[#This Row],[Description]],'kits to boards'!$B$2:$E$156,4,FALSE)</f>
        <v>0</v>
      </c>
      <c r="O459" t="str">
        <f>CONCATENATE(Query1[[#This Row],[Description]]," - ",Query1[[#This Row],[MB1]]," - ",Query1[[#This Row],[MB2]]," - ",Query1[[#This Row],[MB3]])</f>
        <v>EVAP KIT 59-60 CHEV CAR 4-LEVER - 830067 - 0 - 0</v>
      </c>
    </row>
    <row r="460" spans="1:15" x14ac:dyDescent="0.25">
      <c r="A460" s="1">
        <v>910189</v>
      </c>
      <c r="B460" s="1" t="s">
        <v>66</v>
      </c>
      <c r="C460" s="1" t="s">
        <v>67</v>
      </c>
      <c r="D460" s="2">
        <v>44602.325525462962</v>
      </c>
      <c r="E460" s="1" t="s">
        <v>8</v>
      </c>
      <c r="F460" s="1">
        <v>1</v>
      </c>
      <c r="G460" s="1">
        <v>0</v>
      </c>
      <c r="H460" s="6">
        <f>INT(Query1[[#This Row],[EntryDateTime]])</f>
        <v>44602</v>
      </c>
      <c r="I460" s="1">
        <f>IF(Query1[[#This Row],[ItemType]]="EVAP KIT SF GEN IV",Query1[[#This Row],[OrderQty]]+I459,I459)</f>
        <v>488</v>
      </c>
      <c r="J460" s="1">
        <f>IF(Query1[[#This Row],[ItemType]]="EVAP KIT UNIVERSAL",Query1[[#This Row],[OrderQty]]+J459,J459)</f>
        <v>338</v>
      </c>
      <c r="K460" s="1">
        <f>Query1[[#This Row],[SF Running Total]]+Query1[[#This Row],[UNIV Running Total]]</f>
        <v>826</v>
      </c>
      <c r="L460">
        <f>VLOOKUP(Query1[[#This Row],[Description]],'kits to boards'!$B$2:$E$156,2,FALSE)</f>
        <v>830060</v>
      </c>
      <c r="M460">
        <f>VLOOKUP(Query1[[#This Row],[Description]],'kits to boards'!$B$2:$E$156,3,FALSE)</f>
        <v>0</v>
      </c>
      <c r="N460">
        <f>VLOOKUP(Query1[[#This Row],[Description]],'kits to boards'!$B$2:$E$156,4,FALSE)</f>
        <v>0</v>
      </c>
      <c r="O460" t="str">
        <f>CONCATENATE(Query1[[#This Row],[Description]]," - ",Query1[[#This Row],[MB1]]," - ",Query1[[#This Row],[MB2]]," - ",Query1[[#This Row],[MB3]])</f>
        <v>EVAP KIT 66-67 CHEVELLE WO AC - 830060 - 0 - 0</v>
      </c>
    </row>
    <row r="461" spans="1:15" x14ac:dyDescent="0.25">
      <c r="A461" s="1">
        <v>910189</v>
      </c>
      <c r="B461" s="1" t="s">
        <v>52</v>
      </c>
      <c r="C461" s="1" t="s">
        <v>53</v>
      </c>
      <c r="D461" s="2">
        <v>44602.325613275461</v>
      </c>
      <c r="E461" s="1" t="s">
        <v>8</v>
      </c>
      <c r="F461" s="1">
        <v>1</v>
      </c>
      <c r="G461" s="1">
        <v>0</v>
      </c>
      <c r="H461" s="6">
        <f>INT(Query1[[#This Row],[EntryDateTime]])</f>
        <v>44602</v>
      </c>
      <c r="I461" s="1">
        <f>IF(Query1[[#This Row],[ItemType]]="EVAP KIT SF GEN IV",Query1[[#This Row],[OrderQty]]+I460,I460)</f>
        <v>489</v>
      </c>
      <c r="J461" s="1">
        <f>IF(Query1[[#This Row],[ItemType]]="EVAP KIT UNIVERSAL",Query1[[#This Row],[OrderQty]]+J460,J460)</f>
        <v>338</v>
      </c>
      <c r="K461" s="1">
        <f>Query1[[#This Row],[SF Running Total]]+Query1[[#This Row],[UNIV Running Total]]</f>
        <v>827</v>
      </c>
      <c r="L461">
        <f>VLOOKUP(Query1[[#This Row],[Description]],'kits to boards'!$B$2:$E$156,2,FALSE)</f>
        <v>830017</v>
      </c>
      <c r="M461">
        <f>VLOOKUP(Query1[[#This Row],[Description]],'kits to boards'!$B$2:$E$156,3,FALSE)</f>
        <v>830119</v>
      </c>
      <c r="N461">
        <f>VLOOKUP(Query1[[#This Row],[Description]],'kits to boards'!$B$2:$E$156,4,FALSE)</f>
        <v>830120</v>
      </c>
      <c r="O461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462" spans="1:15" x14ac:dyDescent="0.25">
      <c r="A462" s="1">
        <v>910189</v>
      </c>
      <c r="B462" s="1" t="s">
        <v>170</v>
      </c>
      <c r="C462" s="1" t="s">
        <v>171</v>
      </c>
      <c r="D462" s="2">
        <v>44602.325740891203</v>
      </c>
      <c r="E462" s="1" t="s">
        <v>8</v>
      </c>
      <c r="F462" s="1">
        <v>1</v>
      </c>
      <c r="G462" s="1">
        <v>0</v>
      </c>
      <c r="H462" s="6">
        <f>INT(Query1[[#This Row],[EntryDateTime]])</f>
        <v>44602</v>
      </c>
      <c r="I462" s="1">
        <f>IF(Query1[[#This Row],[ItemType]]="EVAP KIT SF GEN IV",Query1[[#This Row],[OrderQty]]+I461,I461)</f>
        <v>490</v>
      </c>
      <c r="J462" s="1">
        <f>IF(Query1[[#This Row],[ItemType]]="EVAP KIT UNIVERSAL",Query1[[#This Row],[OrderQty]]+J461,J461)</f>
        <v>338</v>
      </c>
      <c r="K462" s="1">
        <f>Query1[[#This Row],[SF Running Total]]+Query1[[#This Row],[UNIV Running Total]]</f>
        <v>828</v>
      </c>
      <c r="L462">
        <f>VLOOKUP(Query1[[#This Row],[Description]],'kits to boards'!$B$2:$E$156,2,FALSE)</f>
        <v>830018</v>
      </c>
      <c r="M462">
        <f>VLOOKUP(Query1[[#This Row],[Description]],'kits to boards'!$B$2:$E$156,3,FALSE)</f>
        <v>0</v>
      </c>
      <c r="N462">
        <f>VLOOKUP(Query1[[#This Row],[Description]],'kits to boards'!$B$2:$E$156,4,FALSE)</f>
        <v>0</v>
      </c>
      <c r="O462" t="str">
        <f>CONCATENATE(Query1[[#This Row],[Description]]," - ",Query1[[#This Row],[MB1]]," - ",Query1[[#This Row],[MB2]]," - ",Query1[[#This Row],[MB3]])</f>
        <v>EVAP KIT 67 FORD P-UP F-100 - 830018 - 0 - 0</v>
      </c>
    </row>
    <row r="463" spans="1:15" x14ac:dyDescent="0.25">
      <c r="A463" s="1">
        <v>909989</v>
      </c>
      <c r="B463" s="1" t="s">
        <v>66</v>
      </c>
      <c r="C463" s="1" t="s">
        <v>67</v>
      </c>
      <c r="D463" s="2">
        <v>44602.329519016203</v>
      </c>
      <c r="E463" s="1" t="s">
        <v>8</v>
      </c>
      <c r="F463" s="1">
        <v>1</v>
      </c>
      <c r="G463" s="1">
        <v>0</v>
      </c>
      <c r="H463" s="6">
        <f>INT(Query1[[#This Row],[EntryDateTime]])</f>
        <v>44602</v>
      </c>
      <c r="I463" s="1">
        <f>IF(Query1[[#This Row],[ItemType]]="EVAP KIT SF GEN IV",Query1[[#This Row],[OrderQty]]+I462,I462)</f>
        <v>491</v>
      </c>
      <c r="J463" s="1">
        <f>IF(Query1[[#This Row],[ItemType]]="EVAP KIT UNIVERSAL",Query1[[#This Row],[OrderQty]]+J462,J462)</f>
        <v>338</v>
      </c>
      <c r="K463" s="1">
        <f>Query1[[#This Row],[SF Running Total]]+Query1[[#This Row],[UNIV Running Total]]</f>
        <v>829</v>
      </c>
      <c r="L463">
        <f>VLOOKUP(Query1[[#This Row],[Description]],'kits to boards'!$B$2:$E$156,2,FALSE)</f>
        <v>830060</v>
      </c>
      <c r="M463">
        <f>VLOOKUP(Query1[[#This Row],[Description]],'kits to boards'!$B$2:$E$156,3,FALSE)</f>
        <v>0</v>
      </c>
      <c r="N463">
        <f>VLOOKUP(Query1[[#This Row],[Description]],'kits to boards'!$B$2:$E$156,4,FALSE)</f>
        <v>0</v>
      </c>
      <c r="O463" t="str">
        <f>CONCATENATE(Query1[[#This Row],[Description]]," - ",Query1[[#This Row],[MB1]]," - ",Query1[[#This Row],[MB2]]," - ",Query1[[#This Row],[MB3]])</f>
        <v>EVAP KIT 66-67 CHEVELLE WO AC - 830060 - 0 - 0</v>
      </c>
    </row>
    <row r="464" spans="1:15" x14ac:dyDescent="0.25">
      <c r="A464" s="1">
        <v>910196</v>
      </c>
      <c r="B464" s="1" t="s">
        <v>12</v>
      </c>
      <c r="C464" s="1" t="s">
        <v>13</v>
      </c>
      <c r="D464" s="2">
        <v>44602.334285798614</v>
      </c>
      <c r="E464" s="1" t="s">
        <v>8</v>
      </c>
      <c r="F464" s="1">
        <v>1</v>
      </c>
      <c r="G464" s="1">
        <v>0</v>
      </c>
      <c r="H464" s="6">
        <f>INT(Query1[[#This Row],[EntryDateTime]])</f>
        <v>44602</v>
      </c>
      <c r="I464" s="1">
        <f>IF(Query1[[#This Row],[ItemType]]="EVAP KIT SF GEN IV",Query1[[#This Row],[OrderQty]]+I463,I463)</f>
        <v>492</v>
      </c>
      <c r="J464" s="1">
        <f>IF(Query1[[#This Row],[ItemType]]="EVAP KIT UNIVERSAL",Query1[[#This Row],[OrderQty]]+J463,J463)</f>
        <v>338</v>
      </c>
      <c r="K464" s="1">
        <f>Query1[[#This Row],[SF Running Total]]+Query1[[#This Row],[UNIV Running Total]]</f>
        <v>830</v>
      </c>
      <c r="L464">
        <f>VLOOKUP(Query1[[#This Row],[Description]],'kits to boards'!$B$2:$E$156,2,FALSE)</f>
        <v>830079</v>
      </c>
      <c r="M464">
        <f>VLOOKUP(Query1[[#This Row],[Description]],'kits to boards'!$B$2:$E$156,3,FALSE)</f>
        <v>830046</v>
      </c>
      <c r="N464">
        <f>VLOOKUP(Query1[[#This Row],[Description]],'kits to boards'!$B$2:$E$156,4,FALSE)</f>
        <v>0</v>
      </c>
      <c r="O464" t="str">
        <f>CONCATENATE(Query1[[#This Row],[Description]]," - ",Query1[[#This Row],[MB1]]," - ",Query1[[#This Row],[MB2]]," - ",Query1[[#This Row],[MB3]])</f>
        <v>EVAP KIT 67-68 MUSTANG/COUGAR W/AC - 830079 - 830046 - 0</v>
      </c>
    </row>
    <row r="465" spans="1:15" x14ac:dyDescent="0.25">
      <c r="A465" s="1">
        <v>910198</v>
      </c>
      <c r="B465" s="1" t="s">
        <v>56</v>
      </c>
      <c r="C465" s="1" t="s">
        <v>57</v>
      </c>
      <c r="D465" s="2">
        <v>44602.336779432873</v>
      </c>
      <c r="E465" s="1" t="s">
        <v>8</v>
      </c>
      <c r="F465" s="1">
        <v>1</v>
      </c>
      <c r="G465" s="1">
        <v>0</v>
      </c>
      <c r="H465" s="6">
        <f>INT(Query1[[#This Row],[EntryDateTime]])</f>
        <v>44602</v>
      </c>
      <c r="I465" s="1">
        <f>IF(Query1[[#This Row],[ItemType]]="EVAP KIT SF GEN IV",Query1[[#This Row],[OrderQty]]+I464,I464)</f>
        <v>493</v>
      </c>
      <c r="J465" s="1">
        <f>IF(Query1[[#This Row],[ItemType]]="EVAP KIT UNIVERSAL",Query1[[#This Row],[OrderQty]]+J464,J464)</f>
        <v>338</v>
      </c>
      <c r="K465" s="1">
        <f>Query1[[#This Row],[SF Running Total]]+Query1[[#This Row],[UNIV Running Total]]</f>
        <v>831</v>
      </c>
      <c r="L465">
        <f>VLOOKUP(Query1[[#This Row],[Description]],'kits to boards'!$B$2:$E$156,2,FALSE)</f>
        <v>830011</v>
      </c>
      <c r="M465">
        <f>VLOOKUP(Query1[[#This Row],[Description]],'kits to boards'!$B$2:$E$156,3,FALSE)</f>
        <v>0</v>
      </c>
      <c r="N465">
        <f>VLOOKUP(Query1[[#This Row],[Description]],'kits to boards'!$B$2:$E$156,4,FALSE)</f>
        <v>0</v>
      </c>
      <c r="O465" t="str">
        <f>CONCATENATE(Query1[[#This Row],[Description]]," - ",Query1[[#This Row],[MB1]]," - ",Query1[[#This Row],[MB2]]," - ",Query1[[#This Row],[MB3]])</f>
        <v>EVAP KIT 70-72 CHEVELLE W/AC - 830011 - 0 - 0</v>
      </c>
    </row>
    <row r="466" spans="1:15" x14ac:dyDescent="0.25">
      <c r="A466" s="1">
        <v>910200</v>
      </c>
      <c r="B466" s="1" t="s">
        <v>152</v>
      </c>
      <c r="C466" s="1" t="s">
        <v>153</v>
      </c>
      <c r="D466" s="2">
        <v>44602.337166747682</v>
      </c>
      <c r="E466" s="1" t="s">
        <v>8</v>
      </c>
      <c r="F466" s="1">
        <v>1</v>
      </c>
      <c r="G466" s="1">
        <v>0</v>
      </c>
      <c r="H466" s="6">
        <f>INT(Query1[[#This Row],[EntryDateTime]])</f>
        <v>44602</v>
      </c>
      <c r="I466" s="1">
        <f>IF(Query1[[#This Row],[ItemType]]="EVAP KIT SF GEN IV",Query1[[#This Row],[OrderQty]]+I465,I465)</f>
        <v>494</v>
      </c>
      <c r="J466" s="1">
        <f>IF(Query1[[#This Row],[ItemType]]="EVAP KIT UNIVERSAL",Query1[[#This Row],[OrderQty]]+J465,J465)</f>
        <v>338</v>
      </c>
      <c r="K466" s="1">
        <f>Query1[[#This Row],[SF Running Total]]+Query1[[#This Row],[UNIV Running Total]]</f>
        <v>832</v>
      </c>
      <c r="L466">
        <f>VLOOKUP(Query1[[#This Row],[Description]],'kits to boards'!$B$2:$E$156,2,FALSE)</f>
        <v>830034</v>
      </c>
      <c r="M466">
        <f>VLOOKUP(Query1[[#This Row],[Description]],'kits to boards'!$B$2:$E$156,3,FALSE)</f>
        <v>0</v>
      </c>
      <c r="N466">
        <f>VLOOKUP(Query1[[#This Row],[Description]],'kits to boards'!$B$2:$E$156,4,FALSE)</f>
        <v>0</v>
      </c>
      <c r="O466" t="str">
        <f>CONCATENATE(Query1[[#This Row],[Description]]," - ",Query1[[#This Row],[MB1]]," - ",Query1[[#This Row],[MB2]]," - ",Query1[[#This Row],[MB3]])</f>
        <v>EVAP KIT 64-67 GTO WO AC - 830034 - 0 - 0</v>
      </c>
    </row>
    <row r="467" spans="1:15" x14ac:dyDescent="0.25">
      <c r="A467" s="1">
        <v>910199</v>
      </c>
      <c r="B467" s="1" t="s">
        <v>70</v>
      </c>
      <c r="C467" s="1" t="s">
        <v>71</v>
      </c>
      <c r="D467" s="2">
        <v>44602.337627465276</v>
      </c>
      <c r="E467" s="1" t="s">
        <v>8</v>
      </c>
      <c r="F467" s="1">
        <v>1</v>
      </c>
      <c r="G467" s="1">
        <v>0</v>
      </c>
      <c r="H467" s="6">
        <f>INT(Query1[[#This Row],[EntryDateTime]])</f>
        <v>44602</v>
      </c>
      <c r="I467" s="1">
        <f>IF(Query1[[#This Row],[ItemType]]="EVAP KIT SF GEN IV",Query1[[#This Row],[OrderQty]]+I466,I466)</f>
        <v>495</v>
      </c>
      <c r="J467" s="1">
        <f>IF(Query1[[#This Row],[ItemType]]="EVAP KIT UNIVERSAL",Query1[[#This Row],[OrderQty]]+J466,J466)</f>
        <v>338</v>
      </c>
      <c r="K467" s="1">
        <f>Query1[[#This Row],[SF Running Total]]+Query1[[#This Row],[UNIV Running Total]]</f>
        <v>833</v>
      </c>
      <c r="L467">
        <f>VLOOKUP(Query1[[#This Row],[Description]],'kits to boards'!$B$2:$E$156,2,FALSE)</f>
        <v>830050</v>
      </c>
      <c r="M467">
        <f>VLOOKUP(Query1[[#This Row],[Description]],'kits to boards'!$B$2:$E$156,3,FALSE)</f>
        <v>0</v>
      </c>
      <c r="N467">
        <f>VLOOKUP(Query1[[#This Row],[Description]],'kits to boards'!$B$2:$E$156,4,FALSE)</f>
        <v>0</v>
      </c>
      <c r="O467" t="str">
        <f>CONCATENATE(Query1[[#This Row],[Description]]," - ",Query1[[#This Row],[MB1]]," - ",Query1[[#This Row],[MB2]]," - ",Query1[[#This Row],[MB3]])</f>
        <v>EVAP KIT 70-78 CAMARO WO AC - 830050 - 0 - 0</v>
      </c>
    </row>
    <row r="468" spans="1:15" x14ac:dyDescent="0.25">
      <c r="A468" s="1">
        <v>910203</v>
      </c>
      <c r="B468" s="1" t="s">
        <v>52</v>
      </c>
      <c r="C468" s="1" t="s">
        <v>53</v>
      </c>
      <c r="D468" s="2">
        <v>44602.345287118056</v>
      </c>
      <c r="E468" s="1" t="s">
        <v>8</v>
      </c>
      <c r="F468" s="1">
        <v>1</v>
      </c>
      <c r="G468" s="1">
        <v>0</v>
      </c>
      <c r="H468" s="6">
        <f>INT(Query1[[#This Row],[EntryDateTime]])</f>
        <v>44602</v>
      </c>
      <c r="I468" s="1">
        <f>IF(Query1[[#This Row],[ItemType]]="EVAP KIT SF GEN IV",Query1[[#This Row],[OrderQty]]+I467,I467)</f>
        <v>496</v>
      </c>
      <c r="J468" s="1">
        <f>IF(Query1[[#This Row],[ItemType]]="EVAP KIT UNIVERSAL",Query1[[#This Row],[OrderQty]]+J467,J467)</f>
        <v>338</v>
      </c>
      <c r="K468" s="1">
        <f>Query1[[#This Row],[SF Running Total]]+Query1[[#This Row],[UNIV Running Total]]</f>
        <v>834</v>
      </c>
      <c r="L468">
        <f>VLOOKUP(Query1[[#This Row],[Description]],'kits to boards'!$B$2:$E$156,2,FALSE)</f>
        <v>830017</v>
      </c>
      <c r="M468">
        <f>VLOOKUP(Query1[[#This Row],[Description]],'kits to boards'!$B$2:$E$156,3,FALSE)</f>
        <v>830119</v>
      </c>
      <c r="N468">
        <f>VLOOKUP(Query1[[#This Row],[Description]],'kits to boards'!$B$2:$E$156,4,FALSE)</f>
        <v>830120</v>
      </c>
      <c r="O468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469" spans="1:15" x14ac:dyDescent="0.25">
      <c r="A469" s="1">
        <v>910205</v>
      </c>
      <c r="B469" s="1" t="s">
        <v>52</v>
      </c>
      <c r="C469" s="1" t="s">
        <v>53</v>
      </c>
      <c r="D469" s="2">
        <v>44602.346717627312</v>
      </c>
      <c r="E469" s="1" t="s">
        <v>8</v>
      </c>
      <c r="F469" s="1">
        <v>1</v>
      </c>
      <c r="G469" s="1">
        <v>0</v>
      </c>
      <c r="H469" s="6">
        <f>INT(Query1[[#This Row],[EntryDateTime]])</f>
        <v>44602</v>
      </c>
      <c r="I469" s="1">
        <f>IF(Query1[[#This Row],[ItemType]]="EVAP KIT SF GEN IV",Query1[[#This Row],[OrderQty]]+I468,I468)</f>
        <v>497</v>
      </c>
      <c r="J469" s="1">
        <f>IF(Query1[[#This Row],[ItemType]]="EVAP KIT UNIVERSAL",Query1[[#This Row],[OrderQty]]+J468,J468)</f>
        <v>338</v>
      </c>
      <c r="K469" s="1">
        <f>Query1[[#This Row],[SF Running Total]]+Query1[[#This Row],[UNIV Running Total]]</f>
        <v>835</v>
      </c>
      <c r="L469">
        <f>VLOOKUP(Query1[[#This Row],[Description]],'kits to boards'!$B$2:$E$156,2,FALSE)</f>
        <v>830017</v>
      </c>
      <c r="M469">
        <f>VLOOKUP(Query1[[#This Row],[Description]],'kits to boards'!$B$2:$E$156,3,FALSE)</f>
        <v>830119</v>
      </c>
      <c r="N469">
        <f>VLOOKUP(Query1[[#This Row],[Description]],'kits to boards'!$B$2:$E$156,4,FALSE)</f>
        <v>830120</v>
      </c>
      <c r="O469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470" spans="1:15" x14ac:dyDescent="0.25">
      <c r="A470" s="1">
        <v>909889</v>
      </c>
      <c r="B470" s="1" t="s">
        <v>24</v>
      </c>
      <c r="C470" s="1" t="s">
        <v>25</v>
      </c>
      <c r="D470" s="2">
        <v>44602.348350462962</v>
      </c>
      <c r="E470" s="1" t="s">
        <v>11</v>
      </c>
      <c r="F470" s="1">
        <v>1</v>
      </c>
      <c r="G470" s="1">
        <v>0</v>
      </c>
      <c r="H470" s="6">
        <f>INT(Query1[[#This Row],[EntryDateTime]])</f>
        <v>44602</v>
      </c>
      <c r="I470" s="1">
        <f>IF(Query1[[#This Row],[ItemType]]="EVAP KIT SF GEN IV",Query1[[#This Row],[OrderQty]]+I469,I469)</f>
        <v>497</v>
      </c>
      <c r="J470" s="1">
        <f>IF(Query1[[#This Row],[ItemType]]="EVAP KIT UNIVERSAL",Query1[[#This Row],[OrderQty]]+J469,J469)</f>
        <v>339</v>
      </c>
      <c r="K470" s="1">
        <f>Query1[[#This Row],[SF Running Total]]+Query1[[#This Row],[UNIV Running Total]]</f>
        <v>836</v>
      </c>
      <c r="L470">
        <f>VLOOKUP(Query1[[#This Row],[Description]],'kits to boards'!$B$2:$E$156,2,FALSE)</f>
        <v>830029</v>
      </c>
      <c r="M470">
        <f>VLOOKUP(Query1[[#This Row],[Description]],'kits to boards'!$B$2:$E$156,3,FALSE)</f>
        <v>830030</v>
      </c>
      <c r="N470">
        <f>VLOOKUP(Query1[[#This Row],[Description]],'kits to boards'!$B$2:$E$156,4,FALSE)</f>
        <v>0</v>
      </c>
      <c r="O470" t="str">
        <f>CONCATENATE(Query1[[#This Row],[Description]]," - ",Query1[[#This Row],[MB1]]," - ",Query1[[#This Row],[MB2]]," - ",Query1[[#This Row],[MB3]])</f>
        <v>ComPac GEN II W/DEF - 830029 - 830030 - 0</v>
      </c>
    </row>
    <row r="471" spans="1:15" x14ac:dyDescent="0.25">
      <c r="A471" s="1">
        <v>910209</v>
      </c>
      <c r="B471" s="1" t="s">
        <v>44</v>
      </c>
      <c r="C471" s="1" t="s">
        <v>45</v>
      </c>
      <c r="D471" s="2">
        <v>44602.35564710648</v>
      </c>
      <c r="E471" s="1" t="s">
        <v>8</v>
      </c>
      <c r="F471" s="1">
        <v>1</v>
      </c>
      <c r="G471" s="1">
        <v>0</v>
      </c>
      <c r="H471" s="6">
        <f>INT(Query1[[#This Row],[EntryDateTime]])</f>
        <v>44602</v>
      </c>
      <c r="I471" s="1">
        <f>IF(Query1[[#This Row],[ItemType]]="EVAP KIT SF GEN IV",Query1[[#This Row],[OrderQty]]+I470,I470)</f>
        <v>498</v>
      </c>
      <c r="J471" s="1">
        <f>IF(Query1[[#This Row],[ItemType]]="EVAP KIT UNIVERSAL",Query1[[#This Row],[OrderQty]]+J470,J470)</f>
        <v>339</v>
      </c>
      <c r="K471" s="1">
        <f>Query1[[#This Row],[SF Running Total]]+Query1[[#This Row],[UNIV Running Total]]</f>
        <v>837</v>
      </c>
      <c r="L471">
        <f>VLOOKUP(Query1[[#This Row],[Description]],'kits to boards'!$B$2:$E$156,2,FALSE)</f>
        <v>830085</v>
      </c>
      <c r="M471">
        <f>VLOOKUP(Query1[[#This Row],[Description]],'kits to boards'!$B$2:$E$156,3,FALSE)</f>
        <v>0</v>
      </c>
      <c r="N471">
        <f>VLOOKUP(Query1[[#This Row],[Description]],'kits to boards'!$B$2:$E$156,4,FALSE)</f>
        <v>0</v>
      </c>
      <c r="O471" t="str">
        <f>CONCATENATE(Query1[[#This Row],[Description]]," - ",Query1[[#This Row],[MB1]]," - ",Query1[[#This Row],[MB2]]," - ",Query1[[#This Row],[MB3]])</f>
        <v>EVAP KIT 66-77 BRONCO - 830085 - 0 - 0</v>
      </c>
    </row>
    <row r="472" spans="1:15" x14ac:dyDescent="0.25">
      <c r="A472" s="1">
        <v>909988</v>
      </c>
      <c r="B472" s="1" t="s">
        <v>36</v>
      </c>
      <c r="C472" s="1" t="s">
        <v>37</v>
      </c>
      <c r="D472" s="2">
        <v>44602.357467164351</v>
      </c>
      <c r="E472" s="1" t="s">
        <v>8</v>
      </c>
      <c r="F472" s="1">
        <v>1</v>
      </c>
      <c r="G472" s="1">
        <v>0</v>
      </c>
      <c r="H472" s="6">
        <f>INT(Query1[[#This Row],[EntryDateTime]])</f>
        <v>44602</v>
      </c>
      <c r="I472" s="1">
        <f>IF(Query1[[#This Row],[ItemType]]="EVAP KIT SF GEN IV",Query1[[#This Row],[OrderQty]]+I471,I471)</f>
        <v>499</v>
      </c>
      <c r="J472" s="1">
        <f>IF(Query1[[#This Row],[ItemType]]="EVAP KIT UNIVERSAL",Query1[[#This Row],[OrderQty]]+J471,J471)</f>
        <v>339</v>
      </c>
      <c r="K472" s="1">
        <f>Query1[[#This Row],[SF Running Total]]+Query1[[#This Row],[UNIV Running Total]]</f>
        <v>838</v>
      </c>
      <c r="L472">
        <f>VLOOKUP(Query1[[#This Row],[Description]],'kits to boards'!$B$2:$E$156,2,FALSE)</f>
        <v>830015</v>
      </c>
      <c r="M472">
        <f>VLOOKUP(Query1[[#This Row],[Description]],'kits to boards'!$B$2:$E$156,3,FALSE)</f>
        <v>0</v>
      </c>
      <c r="N472">
        <f>VLOOKUP(Query1[[#This Row],[Description]],'kits to boards'!$B$2:$E$156,4,FALSE)</f>
        <v>0</v>
      </c>
      <c r="O472" t="str">
        <f>CONCATENATE(Query1[[#This Row],[Description]]," - ",Query1[[#This Row],[MB1]]," - ",Query1[[#This Row],[MB2]]," - ",Query1[[#This Row],[MB3]])</f>
        <v>EVAP KIT 64-66 CHEV P-UP WO AC W/STD - 830015 - 0 - 0</v>
      </c>
    </row>
    <row r="473" spans="1:15" x14ac:dyDescent="0.25">
      <c r="A473" s="1">
        <v>909697</v>
      </c>
      <c r="B473" s="1" t="s">
        <v>86</v>
      </c>
      <c r="C473" s="1" t="s">
        <v>87</v>
      </c>
      <c r="D473" s="2">
        <v>44602.36037091435</v>
      </c>
      <c r="E473" s="1" t="s">
        <v>8</v>
      </c>
      <c r="F473" s="1">
        <v>1</v>
      </c>
      <c r="G473" s="1">
        <v>0</v>
      </c>
      <c r="H473" s="6">
        <f>INT(Query1[[#This Row],[EntryDateTime]])</f>
        <v>44602</v>
      </c>
      <c r="I473" s="1">
        <f>IF(Query1[[#This Row],[ItemType]]="EVAP KIT SF GEN IV",Query1[[#This Row],[OrderQty]]+I472,I472)</f>
        <v>500</v>
      </c>
      <c r="J473" s="1">
        <f>IF(Query1[[#This Row],[ItemType]]="EVAP KIT UNIVERSAL",Query1[[#This Row],[OrderQty]]+J472,J472)</f>
        <v>339</v>
      </c>
      <c r="K473" s="1">
        <f>Query1[[#This Row],[SF Running Total]]+Query1[[#This Row],[UNIV Running Total]]</f>
        <v>839</v>
      </c>
      <c r="L473">
        <f>VLOOKUP(Query1[[#This Row],[Description]],'kits to boards'!$B$2:$E$156,2,FALSE)</f>
        <v>830048</v>
      </c>
      <c r="M473">
        <f>VLOOKUP(Query1[[#This Row],[Description]],'kits to boards'!$B$2:$E$156,3,FALSE)</f>
        <v>0</v>
      </c>
      <c r="N473">
        <f>VLOOKUP(Query1[[#This Row],[Description]],'kits to boards'!$B$2:$E$156,4,FALSE)</f>
        <v>0</v>
      </c>
      <c r="O473" t="str">
        <f>CONCATENATE(Query1[[#This Row],[Description]]," - ",Query1[[#This Row],[MB1]]," - ",Query1[[#This Row],[MB2]]," - ",Query1[[#This Row],[MB3]])</f>
        <v>EVAP KIT 66-67 NOVA - 830048 - 0 - 0</v>
      </c>
    </row>
    <row r="474" spans="1:15" x14ac:dyDescent="0.25">
      <c r="A474" s="1">
        <v>910156</v>
      </c>
      <c r="B474" s="1" t="s">
        <v>24</v>
      </c>
      <c r="C474" s="1" t="s">
        <v>25</v>
      </c>
      <c r="D474" s="2">
        <v>44602.360437384261</v>
      </c>
      <c r="E474" s="1" t="s">
        <v>11</v>
      </c>
      <c r="F474" s="1">
        <v>1</v>
      </c>
      <c r="G474" s="1">
        <v>0</v>
      </c>
      <c r="H474" s="6">
        <f>INT(Query1[[#This Row],[EntryDateTime]])</f>
        <v>44602</v>
      </c>
      <c r="I474" s="1">
        <f>IF(Query1[[#This Row],[ItemType]]="EVAP KIT SF GEN IV",Query1[[#This Row],[OrderQty]]+I473,I473)</f>
        <v>500</v>
      </c>
      <c r="J474" s="1">
        <f>IF(Query1[[#This Row],[ItemType]]="EVAP KIT UNIVERSAL",Query1[[#This Row],[OrderQty]]+J473,J473)</f>
        <v>340</v>
      </c>
      <c r="K474" s="1">
        <f>Query1[[#This Row],[SF Running Total]]+Query1[[#This Row],[UNIV Running Total]]</f>
        <v>840</v>
      </c>
      <c r="L474">
        <f>VLOOKUP(Query1[[#This Row],[Description]],'kits to boards'!$B$2:$E$156,2,FALSE)</f>
        <v>830029</v>
      </c>
      <c r="M474">
        <f>VLOOKUP(Query1[[#This Row],[Description]],'kits to boards'!$B$2:$E$156,3,FALSE)</f>
        <v>830030</v>
      </c>
      <c r="N474">
        <f>VLOOKUP(Query1[[#This Row],[Description]],'kits to boards'!$B$2:$E$156,4,FALSE)</f>
        <v>0</v>
      </c>
      <c r="O474" t="str">
        <f>CONCATENATE(Query1[[#This Row],[Description]]," - ",Query1[[#This Row],[MB1]]," - ",Query1[[#This Row],[MB2]]," - ",Query1[[#This Row],[MB3]])</f>
        <v>ComPac GEN II W/DEF - 830029 - 830030 - 0</v>
      </c>
    </row>
    <row r="475" spans="1:15" x14ac:dyDescent="0.25">
      <c r="A475" s="1">
        <v>910211</v>
      </c>
      <c r="B475" s="1" t="s">
        <v>22</v>
      </c>
      <c r="C475" s="1" t="s">
        <v>23</v>
      </c>
      <c r="D475" s="2">
        <v>44602.370494178242</v>
      </c>
      <c r="E475" s="1" t="s">
        <v>8</v>
      </c>
      <c r="F475" s="1">
        <v>1</v>
      </c>
      <c r="G475" s="1">
        <v>0</v>
      </c>
      <c r="H475" s="6">
        <f>INT(Query1[[#This Row],[EntryDateTime]])</f>
        <v>44602</v>
      </c>
      <c r="I475" s="1">
        <f>IF(Query1[[#This Row],[ItemType]]="EVAP KIT SF GEN IV",Query1[[#This Row],[OrderQty]]+I474,I474)</f>
        <v>501</v>
      </c>
      <c r="J475" s="1">
        <f>IF(Query1[[#This Row],[ItemType]]="EVAP KIT UNIVERSAL",Query1[[#This Row],[OrderQty]]+J474,J474)</f>
        <v>340</v>
      </c>
      <c r="K475" s="1">
        <f>Query1[[#This Row],[SF Running Total]]+Query1[[#This Row],[UNIV Running Total]]</f>
        <v>841</v>
      </c>
      <c r="L475">
        <f>VLOOKUP(Query1[[#This Row],[Description]],'kits to boards'!$B$2:$E$156,2,FALSE)</f>
        <v>830083</v>
      </c>
      <c r="M475">
        <f>VLOOKUP(Query1[[#This Row],[Description]],'kits to boards'!$B$2:$E$156,3,FALSE)</f>
        <v>0</v>
      </c>
      <c r="N475">
        <f>VLOOKUP(Query1[[#This Row],[Description]],'kits to boards'!$B$2:$E$156,4,FALSE)</f>
        <v>0</v>
      </c>
      <c r="O475" t="str">
        <f>CONCATENATE(Query1[[#This Row],[Description]]," - ",Query1[[#This Row],[MB1]]," - ",Query1[[#This Row],[MB2]]," - ",Query1[[#This Row],[MB3]])</f>
        <v>GEN IV MAGNUM EVAP KIT - 830083 - 0 - 0</v>
      </c>
    </row>
    <row r="476" spans="1:15" x14ac:dyDescent="0.25">
      <c r="A476" s="1">
        <v>910223</v>
      </c>
      <c r="B476" s="1" t="s">
        <v>108</v>
      </c>
      <c r="C476" s="1" t="s">
        <v>109</v>
      </c>
      <c r="D476" s="2">
        <v>44602.386003356478</v>
      </c>
      <c r="E476" s="1" t="s">
        <v>8</v>
      </c>
      <c r="F476" s="1">
        <v>1</v>
      </c>
      <c r="G476" s="1">
        <v>0</v>
      </c>
      <c r="H476" s="6">
        <f>INT(Query1[[#This Row],[EntryDateTime]])</f>
        <v>44602</v>
      </c>
      <c r="I476" s="1">
        <f>IF(Query1[[#This Row],[ItemType]]="EVAP KIT SF GEN IV",Query1[[#This Row],[OrderQty]]+I475,I475)</f>
        <v>502</v>
      </c>
      <c r="J476" s="1">
        <f>IF(Query1[[#This Row],[ItemType]]="EVAP KIT UNIVERSAL",Query1[[#This Row],[OrderQty]]+J475,J475)</f>
        <v>340</v>
      </c>
      <c r="K476" s="1">
        <f>Query1[[#This Row],[SF Running Total]]+Query1[[#This Row],[UNIV Running Total]]</f>
        <v>842</v>
      </c>
      <c r="L476">
        <f>VLOOKUP(Query1[[#This Row],[Description]],'kits to boards'!$B$2:$E$156,2,FALSE)</f>
        <v>830105</v>
      </c>
      <c r="M476">
        <f>VLOOKUP(Query1[[#This Row],[Description]],'kits to boards'!$B$2:$E$156,3,FALSE)</f>
        <v>830106</v>
      </c>
      <c r="N476">
        <f>VLOOKUP(Query1[[#This Row],[Description]],'kits to boards'!$B$2:$E$156,4,FALSE)</f>
        <v>0</v>
      </c>
      <c r="O476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477" spans="1:15" x14ac:dyDescent="0.25">
      <c r="A477" s="1">
        <v>910224</v>
      </c>
      <c r="B477" s="1" t="s">
        <v>48</v>
      </c>
      <c r="C477" s="1" t="s">
        <v>49</v>
      </c>
      <c r="D477" s="2">
        <v>44602.390868090275</v>
      </c>
      <c r="E477" s="1" t="s">
        <v>8</v>
      </c>
      <c r="F477" s="1">
        <v>1</v>
      </c>
      <c r="G477" s="1">
        <v>0</v>
      </c>
      <c r="H477" s="6">
        <f>INT(Query1[[#This Row],[EntryDateTime]])</f>
        <v>44602</v>
      </c>
      <c r="I477" s="1">
        <f>IF(Query1[[#This Row],[ItemType]]="EVAP KIT SF GEN IV",Query1[[#This Row],[OrderQty]]+I476,I476)</f>
        <v>503</v>
      </c>
      <c r="J477" s="1">
        <f>IF(Query1[[#This Row],[ItemType]]="EVAP KIT UNIVERSAL",Query1[[#This Row],[OrderQty]]+J476,J476)</f>
        <v>340</v>
      </c>
      <c r="K477" s="1">
        <f>Query1[[#This Row],[SF Running Total]]+Query1[[#This Row],[UNIV Running Total]]</f>
        <v>843</v>
      </c>
      <c r="L477">
        <f>VLOOKUP(Query1[[#This Row],[Description]],'kits to boards'!$B$2:$E$156,2,FALSE)</f>
        <v>830015</v>
      </c>
      <c r="M477">
        <f>VLOOKUP(Query1[[#This Row],[Description]],'kits to boards'!$B$2:$E$156,3,FALSE)</f>
        <v>0</v>
      </c>
      <c r="N477">
        <f>VLOOKUP(Query1[[#This Row],[Description]],'kits to boards'!$B$2:$E$156,4,FALSE)</f>
        <v>0</v>
      </c>
      <c r="O477" t="str">
        <f>CONCATENATE(Query1[[#This Row],[Description]]," - ",Query1[[#This Row],[MB1]]," - ",Query1[[#This Row],[MB2]]," - ",Query1[[#This Row],[MB3]])</f>
        <v>EVAP KIT 64-66 CHEV P-UP WO AC W/DELX - 830015 - 0 - 0</v>
      </c>
    </row>
    <row r="478" spans="1:15" x14ac:dyDescent="0.25">
      <c r="A478" s="1">
        <v>910213</v>
      </c>
      <c r="B478" s="1" t="s">
        <v>98</v>
      </c>
      <c r="C478" s="1" t="s">
        <v>99</v>
      </c>
      <c r="D478" s="2">
        <v>44602.392738854163</v>
      </c>
      <c r="E478" s="1" t="s">
        <v>11</v>
      </c>
      <c r="F478" s="1">
        <v>8</v>
      </c>
      <c r="G478" s="1">
        <v>0</v>
      </c>
      <c r="H478" s="6">
        <f>INT(Query1[[#This Row],[EntryDateTime]])</f>
        <v>44602</v>
      </c>
      <c r="I478" s="1">
        <f>IF(Query1[[#This Row],[ItemType]]="EVAP KIT SF GEN IV",Query1[[#This Row],[OrderQty]]+I477,I477)</f>
        <v>503</v>
      </c>
      <c r="J478" s="1">
        <f>IF(Query1[[#This Row],[ItemType]]="EVAP KIT UNIVERSAL",Query1[[#This Row],[OrderQty]]+J477,J477)</f>
        <v>348</v>
      </c>
      <c r="K478" s="1">
        <f>Query1[[#This Row],[SF Running Total]]+Query1[[#This Row],[UNIV Running Total]]</f>
        <v>851</v>
      </c>
      <c r="L478">
        <f>VLOOKUP(Query1[[#This Row],[Description]],'kits to boards'!$B$2:$E$156,2,FALSE)</f>
        <v>830099</v>
      </c>
      <c r="M478">
        <f>VLOOKUP(Query1[[#This Row],[Description]],'kits to boards'!$B$2:$E$156,3,FALSE)</f>
        <v>0</v>
      </c>
      <c r="N478">
        <f>VLOOKUP(Query1[[#This Row],[Description]],'kits to boards'!$B$2:$E$156,4,FALSE)</f>
        <v>0</v>
      </c>
      <c r="O478" t="str">
        <f>CONCATENATE(Query1[[#This Row],[Description]]," - ",Query1[[#This Row],[MB1]]," - ",Query1[[#This Row],[MB2]]," - ",Query1[[#This Row],[MB3]])</f>
        <v>MINI GEN II W/DEF - 830099 - 0 - 0</v>
      </c>
    </row>
    <row r="479" spans="1:15" x14ac:dyDescent="0.25">
      <c r="A479" s="1">
        <v>910213</v>
      </c>
      <c r="B479" s="1" t="s">
        <v>22</v>
      </c>
      <c r="C479" s="1" t="s">
        <v>23</v>
      </c>
      <c r="D479" s="2">
        <v>44602.393105636576</v>
      </c>
      <c r="E479" s="1" t="s">
        <v>8</v>
      </c>
      <c r="F479" s="1">
        <v>34</v>
      </c>
      <c r="G479" s="1">
        <v>0</v>
      </c>
      <c r="H479" s="6">
        <f>INT(Query1[[#This Row],[EntryDateTime]])</f>
        <v>44602</v>
      </c>
      <c r="I479" s="1">
        <f>IF(Query1[[#This Row],[ItemType]]="EVAP KIT SF GEN IV",Query1[[#This Row],[OrderQty]]+I478,I478)</f>
        <v>537</v>
      </c>
      <c r="J479" s="1">
        <f>IF(Query1[[#This Row],[ItemType]]="EVAP KIT UNIVERSAL",Query1[[#This Row],[OrderQty]]+J478,J478)</f>
        <v>348</v>
      </c>
      <c r="K479" s="1">
        <f>Query1[[#This Row],[SF Running Total]]+Query1[[#This Row],[UNIV Running Total]]</f>
        <v>885</v>
      </c>
      <c r="L479">
        <f>VLOOKUP(Query1[[#This Row],[Description]],'kits to boards'!$B$2:$E$156,2,FALSE)</f>
        <v>830083</v>
      </c>
      <c r="M479">
        <f>VLOOKUP(Query1[[#This Row],[Description]],'kits to boards'!$B$2:$E$156,3,FALSE)</f>
        <v>0</v>
      </c>
      <c r="N479">
        <f>VLOOKUP(Query1[[#This Row],[Description]],'kits to boards'!$B$2:$E$156,4,FALSE)</f>
        <v>0</v>
      </c>
      <c r="O479" t="str">
        <f>CONCATENATE(Query1[[#This Row],[Description]]," - ",Query1[[#This Row],[MB1]]," - ",Query1[[#This Row],[MB2]]," - ",Query1[[#This Row],[MB3]])</f>
        <v>GEN IV MAGNUM EVAP KIT - 830083 - 0 - 0</v>
      </c>
    </row>
    <row r="480" spans="1:15" x14ac:dyDescent="0.25">
      <c r="A480" s="1">
        <v>910213</v>
      </c>
      <c r="B480" s="1" t="s">
        <v>78</v>
      </c>
      <c r="C480" s="1" t="s">
        <v>79</v>
      </c>
      <c r="D480" s="2">
        <v>44602.393570682871</v>
      </c>
      <c r="E480" s="1" t="s">
        <v>11</v>
      </c>
      <c r="F480" s="1">
        <v>3</v>
      </c>
      <c r="G480" s="1">
        <v>0</v>
      </c>
      <c r="H480" s="6">
        <f>INT(Query1[[#This Row],[EntryDateTime]])</f>
        <v>44602</v>
      </c>
      <c r="I480" s="1">
        <f>IF(Query1[[#This Row],[ItemType]]="EVAP KIT SF GEN IV",Query1[[#This Row],[OrderQty]]+I479,I479)</f>
        <v>537</v>
      </c>
      <c r="J480" s="1">
        <f>IF(Query1[[#This Row],[ItemType]]="EVAP KIT UNIVERSAL",Query1[[#This Row],[OrderQty]]+J479,J479)</f>
        <v>351</v>
      </c>
      <c r="K480" s="1">
        <f>Query1[[#This Row],[SF Running Total]]+Query1[[#This Row],[UNIV Running Total]]</f>
        <v>888</v>
      </c>
      <c r="L480">
        <f>VLOOKUP(Query1[[#This Row],[Description]],'kits to boards'!$B$2:$E$156,2,FALSE)</f>
        <v>0</v>
      </c>
      <c r="M480">
        <f>VLOOKUP(Query1[[#This Row],[Description]],'kits to boards'!$B$2:$E$156,3,FALSE)</f>
        <v>0</v>
      </c>
      <c r="N480">
        <f>VLOOKUP(Query1[[#This Row],[Description]],'kits to boards'!$B$2:$E$156,4,FALSE)</f>
        <v>0</v>
      </c>
      <c r="O480" t="str">
        <f>CONCATENATE(Query1[[#This Row],[Description]]," - ",Query1[[#This Row],[MB1]]," - ",Query1[[#This Row],[MB2]]," - ",Query1[[#This Row],[MB3]])</f>
        <v>MARK IV STYLELINE UNDERDASH EVAP - 0 - 0 - 0</v>
      </c>
    </row>
    <row r="481" spans="1:15" x14ac:dyDescent="0.25">
      <c r="A481" s="1">
        <v>910226</v>
      </c>
      <c r="B481" s="1" t="s">
        <v>90</v>
      </c>
      <c r="C481" s="1" t="s">
        <v>91</v>
      </c>
      <c r="D481" s="2">
        <v>44602.394428437503</v>
      </c>
      <c r="E481" s="1" t="s">
        <v>8</v>
      </c>
      <c r="F481" s="1">
        <v>1</v>
      </c>
      <c r="G481" s="1">
        <v>0</v>
      </c>
      <c r="H481" s="6">
        <f>INT(Query1[[#This Row],[EntryDateTime]])</f>
        <v>44602</v>
      </c>
      <c r="I481" s="1">
        <f>IF(Query1[[#This Row],[ItemType]]="EVAP KIT SF GEN IV",Query1[[#This Row],[OrderQty]]+I480,I480)</f>
        <v>538</v>
      </c>
      <c r="J481" s="1">
        <f>IF(Query1[[#This Row],[ItemType]]="EVAP KIT UNIVERSAL",Query1[[#This Row],[OrderQty]]+J480,J480)</f>
        <v>351</v>
      </c>
      <c r="K481" s="1">
        <f>Query1[[#This Row],[SF Running Total]]+Query1[[#This Row],[UNIV Running Total]]</f>
        <v>889</v>
      </c>
      <c r="L481">
        <f>VLOOKUP(Query1[[#This Row],[Description]],'kits to boards'!$B$2:$E$156,2,FALSE)</f>
        <v>830105</v>
      </c>
      <c r="M481">
        <f>VLOOKUP(Query1[[#This Row],[Description]],'kits to boards'!$B$2:$E$156,3,FALSE)</f>
        <v>830106</v>
      </c>
      <c r="N481">
        <f>VLOOKUP(Query1[[#This Row],[Description]],'kits to boards'!$B$2:$E$156,4,FALSE)</f>
        <v>0</v>
      </c>
      <c r="O481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482" spans="1:15" x14ac:dyDescent="0.25">
      <c r="A482" s="1">
        <v>910228</v>
      </c>
      <c r="B482" s="1" t="s">
        <v>26</v>
      </c>
      <c r="C482" s="1" t="s">
        <v>27</v>
      </c>
      <c r="D482" s="2">
        <v>44602.39541484954</v>
      </c>
      <c r="E482" s="1" t="s">
        <v>8</v>
      </c>
      <c r="F482" s="1">
        <v>1</v>
      </c>
      <c r="G482" s="1">
        <v>0</v>
      </c>
      <c r="H482" s="6">
        <f>INT(Query1[[#This Row],[EntryDateTime]])</f>
        <v>44602</v>
      </c>
      <c r="I482" s="1">
        <f>IF(Query1[[#This Row],[ItemType]]="EVAP KIT SF GEN IV",Query1[[#This Row],[OrderQty]]+I481,I481)</f>
        <v>539</v>
      </c>
      <c r="J482" s="1">
        <f>IF(Query1[[#This Row],[ItemType]]="EVAP KIT UNIVERSAL",Query1[[#This Row],[OrderQty]]+J481,J481)</f>
        <v>351</v>
      </c>
      <c r="K482" s="1">
        <f>Query1[[#This Row],[SF Running Total]]+Query1[[#This Row],[UNIV Running Total]]</f>
        <v>890</v>
      </c>
      <c r="L482">
        <f>VLOOKUP(Query1[[#This Row],[Description]],'kits to boards'!$B$2:$E$156,2,FALSE)</f>
        <v>830013</v>
      </c>
      <c r="M482">
        <f>VLOOKUP(Query1[[#This Row],[Description]],'kits to boards'!$B$2:$E$156,3,FALSE)</f>
        <v>0</v>
      </c>
      <c r="N482">
        <f>VLOOKUP(Query1[[#This Row],[Description]],'kits to boards'!$B$2:$E$156,4,FALSE)</f>
        <v>0</v>
      </c>
      <c r="O482" t="str">
        <f>CONCATENATE(Query1[[#This Row],[Description]]," - ",Query1[[#This Row],[MB1]]," - ",Query1[[#This Row],[MB2]]," - ",Query1[[#This Row],[MB3]])</f>
        <v>EVAP KIT 67-72 CHEV P-UP W/AC - 830013 - 0 - 0</v>
      </c>
    </row>
    <row r="483" spans="1:15" x14ac:dyDescent="0.25">
      <c r="A483" s="1">
        <v>910229</v>
      </c>
      <c r="B483" s="1" t="s">
        <v>26</v>
      </c>
      <c r="C483" s="1" t="s">
        <v>27</v>
      </c>
      <c r="D483" s="2">
        <v>44602.39571157407</v>
      </c>
      <c r="E483" s="1" t="s">
        <v>8</v>
      </c>
      <c r="F483" s="1">
        <v>1</v>
      </c>
      <c r="G483" s="1">
        <v>0</v>
      </c>
      <c r="H483" s="6">
        <f>INT(Query1[[#This Row],[EntryDateTime]])</f>
        <v>44602</v>
      </c>
      <c r="I483" s="1">
        <f>IF(Query1[[#This Row],[ItemType]]="EVAP KIT SF GEN IV",Query1[[#This Row],[OrderQty]]+I482,I482)</f>
        <v>540</v>
      </c>
      <c r="J483" s="1">
        <f>IF(Query1[[#This Row],[ItemType]]="EVAP KIT UNIVERSAL",Query1[[#This Row],[OrderQty]]+J482,J482)</f>
        <v>351</v>
      </c>
      <c r="K483" s="1">
        <f>Query1[[#This Row],[SF Running Total]]+Query1[[#This Row],[UNIV Running Total]]</f>
        <v>891</v>
      </c>
      <c r="L483">
        <f>VLOOKUP(Query1[[#This Row],[Description]],'kits to boards'!$B$2:$E$156,2,FALSE)</f>
        <v>830013</v>
      </c>
      <c r="M483">
        <f>VLOOKUP(Query1[[#This Row],[Description]],'kits to boards'!$B$2:$E$156,3,FALSE)</f>
        <v>0</v>
      </c>
      <c r="N483">
        <f>VLOOKUP(Query1[[#This Row],[Description]],'kits to boards'!$B$2:$E$156,4,FALSE)</f>
        <v>0</v>
      </c>
      <c r="O483" t="str">
        <f>CONCATENATE(Query1[[#This Row],[Description]]," - ",Query1[[#This Row],[MB1]]," - ",Query1[[#This Row],[MB2]]," - ",Query1[[#This Row],[MB3]])</f>
        <v>EVAP KIT 67-72 CHEV P-UP W/AC - 830013 - 0 - 0</v>
      </c>
    </row>
    <row r="484" spans="1:15" x14ac:dyDescent="0.25">
      <c r="A484" s="1">
        <v>910232</v>
      </c>
      <c r="B484" s="1" t="s">
        <v>26</v>
      </c>
      <c r="C484" s="1" t="s">
        <v>27</v>
      </c>
      <c r="D484" s="2">
        <v>44602.397296724535</v>
      </c>
      <c r="E484" s="1" t="s">
        <v>8</v>
      </c>
      <c r="F484" s="1">
        <v>1</v>
      </c>
      <c r="G484" s="1">
        <v>0</v>
      </c>
      <c r="H484" s="6">
        <f>INT(Query1[[#This Row],[EntryDateTime]])</f>
        <v>44602</v>
      </c>
      <c r="I484" s="1">
        <f>IF(Query1[[#This Row],[ItemType]]="EVAP KIT SF GEN IV",Query1[[#This Row],[OrderQty]]+I483,I483)</f>
        <v>541</v>
      </c>
      <c r="J484" s="1">
        <f>IF(Query1[[#This Row],[ItemType]]="EVAP KIT UNIVERSAL",Query1[[#This Row],[OrderQty]]+J483,J483)</f>
        <v>351</v>
      </c>
      <c r="K484" s="1">
        <f>Query1[[#This Row],[SF Running Total]]+Query1[[#This Row],[UNIV Running Total]]</f>
        <v>892</v>
      </c>
      <c r="L484">
        <f>VLOOKUP(Query1[[#This Row],[Description]],'kits to boards'!$B$2:$E$156,2,FALSE)</f>
        <v>830013</v>
      </c>
      <c r="M484">
        <f>VLOOKUP(Query1[[#This Row],[Description]],'kits to boards'!$B$2:$E$156,3,FALSE)</f>
        <v>0</v>
      </c>
      <c r="N484">
        <f>VLOOKUP(Query1[[#This Row],[Description]],'kits to boards'!$B$2:$E$156,4,FALSE)</f>
        <v>0</v>
      </c>
      <c r="O484" t="str">
        <f>CONCATENATE(Query1[[#This Row],[Description]]," - ",Query1[[#This Row],[MB1]]," - ",Query1[[#This Row],[MB2]]," - ",Query1[[#This Row],[MB3]])</f>
        <v>EVAP KIT 67-72 CHEV P-UP W/AC - 830013 - 0 - 0</v>
      </c>
    </row>
    <row r="485" spans="1:15" x14ac:dyDescent="0.25">
      <c r="A485" s="1">
        <v>910234</v>
      </c>
      <c r="B485" s="1" t="s">
        <v>26</v>
      </c>
      <c r="C485" s="1" t="s">
        <v>27</v>
      </c>
      <c r="D485" s="2">
        <v>44602.39854603009</v>
      </c>
      <c r="E485" s="1" t="s">
        <v>8</v>
      </c>
      <c r="F485" s="1">
        <v>1</v>
      </c>
      <c r="G485" s="1">
        <v>0</v>
      </c>
      <c r="H485" s="6">
        <f>INT(Query1[[#This Row],[EntryDateTime]])</f>
        <v>44602</v>
      </c>
      <c r="I485" s="1">
        <f>IF(Query1[[#This Row],[ItemType]]="EVAP KIT SF GEN IV",Query1[[#This Row],[OrderQty]]+I484,I484)</f>
        <v>542</v>
      </c>
      <c r="J485" s="1">
        <f>IF(Query1[[#This Row],[ItemType]]="EVAP KIT UNIVERSAL",Query1[[#This Row],[OrderQty]]+J484,J484)</f>
        <v>351</v>
      </c>
      <c r="K485" s="1">
        <f>Query1[[#This Row],[SF Running Total]]+Query1[[#This Row],[UNIV Running Total]]</f>
        <v>893</v>
      </c>
      <c r="L485">
        <f>VLOOKUP(Query1[[#This Row],[Description]],'kits to boards'!$B$2:$E$156,2,FALSE)</f>
        <v>830013</v>
      </c>
      <c r="M485">
        <f>VLOOKUP(Query1[[#This Row],[Description]],'kits to boards'!$B$2:$E$156,3,FALSE)</f>
        <v>0</v>
      </c>
      <c r="N485">
        <f>VLOOKUP(Query1[[#This Row],[Description]],'kits to boards'!$B$2:$E$156,4,FALSE)</f>
        <v>0</v>
      </c>
      <c r="O485" t="str">
        <f>CONCATENATE(Query1[[#This Row],[Description]]," - ",Query1[[#This Row],[MB1]]," - ",Query1[[#This Row],[MB2]]," - ",Query1[[#This Row],[MB3]])</f>
        <v>EVAP KIT 67-72 CHEV P-UP W/AC - 830013 - 0 - 0</v>
      </c>
    </row>
    <row r="486" spans="1:15" x14ac:dyDescent="0.25">
      <c r="A486" s="1">
        <v>909230</v>
      </c>
      <c r="B486" s="1" t="s">
        <v>100</v>
      </c>
      <c r="C486" s="1" t="s">
        <v>101</v>
      </c>
      <c r="D486" s="2">
        <v>44602.398589895834</v>
      </c>
      <c r="E486" s="1" t="s">
        <v>8</v>
      </c>
      <c r="F486" s="1">
        <v>1</v>
      </c>
      <c r="G486" s="1">
        <v>0</v>
      </c>
      <c r="H486" s="6">
        <f>INT(Query1[[#This Row],[EntryDateTime]])</f>
        <v>44602</v>
      </c>
      <c r="I486" s="1">
        <f>IF(Query1[[#This Row],[ItemType]]="EVAP KIT SF GEN IV",Query1[[#This Row],[OrderQty]]+I485,I485)</f>
        <v>543</v>
      </c>
      <c r="J486" s="1">
        <f>IF(Query1[[#This Row],[ItemType]]="EVAP KIT UNIVERSAL",Query1[[#This Row],[OrderQty]]+J485,J485)</f>
        <v>351</v>
      </c>
      <c r="K486" s="1">
        <f>Query1[[#This Row],[SF Running Total]]+Query1[[#This Row],[UNIV Running Total]]</f>
        <v>894</v>
      </c>
      <c r="L486">
        <f>VLOOKUP(Query1[[#This Row],[Description]],'kits to boards'!$B$2:$E$156,2,FALSE)</f>
        <v>830096</v>
      </c>
      <c r="M486">
        <f>VLOOKUP(Query1[[#This Row],[Description]],'kits to boards'!$B$2:$E$156,3,FALSE)</f>
        <v>0</v>
      </c>
      <c r="N486">
        <f>VLOOKUP(Query1[[#This Row],[Description]],'kits to boards'!$B$2:$E$156,4,FALSE)</f>
        <v>0</v>
      </c>
      <c r="O486" t="str">
        <f>CONCATENATE(Query1[[#This Row],[Description]]," - ",Query1[[#This Row],[MB1]]," - ",Query1[[#This Row],[MB2]]," - ",Query1[[#This Row],[MB3]])</f>
        <v>EVAP KIT 62-65 NOVA - 830096 - 0 - 0</v>
      </c>
    </row>
    <row r="487" spans="1:15" x14ac:dyDescent="0.25">
      <c r="A487" s="1">
        <v>910194</v>
      </c>
      <c r="B487" s="1" t="s">
        <v>88</v>
      </c>
      <c r="C487" s="1" t="s">
        <v>89</v>
      </c>
      <c r="D487" s="2">
        <v>44602.399665775461</v>
      </c>
      <c r="E487" s="1" t="s">
        <v>8</v>
      </c>
      <c r="F487" s="1">
        <v>1</v>
      </c>
      <c r="G487" s="1">
        <v>0</v>
      </c>
      <c r="H487" s="6">
        <f>INT(Query1[[#This Row],[EntryDateTime]])</f>
        <v>44602</v>
      </c>
      <c r="I487" s="1">
        <f>IF(Query1[[#This Row],[ItemType]]="EVAP KIT SF GEN IV",Query1[[#This Row],[OrderQty]]+I486,I486)</f>
        <v>544</v>
      </c>
      <c r="J487" s="1">
        <f>IF(Query1[[#This Row],[ItemType]]="EVAP KIT UNIVERSAL",Query1[[#This Row],[OrderQty]]+J486,J486)</f>
        <v>351</v>
      </c>
      <c r="K487" s="1">
        <f>Query1[[#This Row],[SF Running Total]]+Query1[[#This Row],[UNIV Running Total]]</f>
        <v>895</v>
      </c>
      <c r="L487">
        <f>VLOOKUP(Query1[[#This Row],[Description]],'kits to boards'!$B$2:$E$156,2,FALSE)</f>
        <v>830003</v>
      </c>
      <c r="M487">
        <f>VLOOKUP(Query1[[#This Row],[Description]],'kits to boards'!$B$2:$E$156,3,FALSE)</f>
        <v>0</v>
      </c>
      <c r="N487">
        <f>VLOOKUP(Query1[[#This Row],[Description]],'kits to boards'!$B$2:$E$156,4,FALSE)</f>
        <v>0</v>
      </c>
      <c r="O487" t="str">
        <f>CONCATENATE(Query1[[#This Row],[Description]]," - ",Query1[[#This Row],[MB1]]," - ",Query1[[#This Row],[MB2]]," - ",Query1[[#This Row],[MB3]])</f>
        <v>EVAP KIT 81-87 CHEV P-UP WO AC - 830003 - 0 - 0</v>
      </c>
    </row>
    <row r="488" spans="1:15" x14ac:dyDescent="0.25">
      <c r="A488" s="1">
        <v>910235</v>
      </c>
      <c r="B488" s="1" t="s">
        <v>26</v>
      </c>
      <c r="C488" s="1" t="s">
        <v>27</v>
      </c>
      <c r="D488" s="2">
        <v>44602.400148958332</v>
      </c>
      <c r="E488" s="1" t="s">
        <v>8</v>
      </c>
      <c r="F488" s="1">
        <v>1</v>
      </c>
      <c r="G488" s="1">
        <v>0</v>
      </c>
      <c r="H488" s="6">
        <f>INT(Query1[[#This Row],[EntryDateTime]])</f>
        <v>44602</v>
      </c>
      <c r="I488" s="1">
        <f>IF(Query1[[#This Row],[ItemType]]="EVAP KIT SF GEN IV",Query1[[#This Row],[OrderQty]]+I487,I487)</f>
        <v>545</v>
      </c>
      <c r="J488" s="1">
        <f>IF(Query1[[#This Row],[ItemType]]="EVAP KIT UNIVERSAL",Query1[[#This Row],[OrderQty]]+J487,J487)</f>
        <v>351</v>
      </c>
      <c r="K488" s="1">
        <f>Query1[[#This Row],[SF Running Total]]+Query1[[#This Row],[UNIV Running Total]]</f>
        <v>896</v>
      </c>
      <c r="L488">
        <f>VLOOKUP(Query1[[#This Row],[Description]],'kits to boards'!$B$2:$E$156,2,FALSE)</f>
        <v>830013</v>
      </c>
      <c r="M488">
        <f>VLOOKUP(Query1[[#This Row],[Description]],'kits to boards'!$B$2:$E$156,3,FALSE)</f>
        <v>0</v>
      </c>
      <c r="N488">
        <f>VLOOKUP(Query1[[#This Row],[Description]],'kits to boards'!$B$2:$E$156,4,FALSE)</f>
        <v>0</v>
      </c>
      <c r="O488" t="str">
        <f>CONCATENATE(Query1[[#This Row],[Description]]," - ",Query1[[#This Row],[MB1]]," - ",Query1[[#This Row],[MB2]]," - ",Query1[[#This Row],[MB3]])</f>
        <v>EVAP KIT 67-72 CHEV P-UP W/AC - 830013 - 0 - 0</v>
      </c>
    </row>
    <row r="489" spans="1:15" x14ac:dyDescent="0.25">
      <c r="A489" s="1">
        <v>910237</v>
      </c>
      <c r="B489" s="1" t="s">
        <v>44</v>
      </c>
      <c r="C489" s="1" t="s">
        <v>45</v>
      </c>
      <c r="D489" s="2">
        <v>44602.401841469909</v>
      </c>
      <c r="E489" s="1" t="s">
        <v>8</v>
      </c>
      <c r="F489" s="1">
        <v>1</v>
      </c>
      <c r="G489" s="1">
        <v>0</v>
      </c>
      <c r="H489" s="6">
        <f>INT(Query1[[#This Row],[EntryDateTime]])</f>
        <v>44602</v>
      </c>
      <c r="I489" s="1">
        <f>IF(Query1[[#This Row],[ItemType]]="EVAP KIT SF GEN IV",Query1[[#This Row],[OrderQty]]+I488,I488)</f>
        <v>546</v>
      </c>
      <c r="J489" s="1">
        <f>IF(Query1[[#This Row],[ItemType]]="EVAP KIT UNIVERSAL",Query1[[#This Row],[OrderQty]]+J488,J488)</f>
        <v>351</v>
      </c>
      <c r="K489" s="1">
        <f>Query1[[#This Row],[SF Running Total]]+Query1[[#This Row],[UNIV Running Total]]</f>
        <v>897</v>
      </c>
      <c r="L489">
        <f>VLOOKUP(Query1[[#This Row],[Description]],'kits to boards'!$B$2:$E$156,2,FALSE)</f>
        <v>830085</v>
      </c>
      <c r="M489">
        <f>VLOOKUP(Query1[[#This Row],[Description]],'kits to boards'!$B$2:$E$156,3,FALSE)</f>
        <v>0</v>
      </c>
      <c r="N489">
        <f>VLOOKUP(Query1[[#This Row],[Description]],'kits to boards'!$B$2:$E$156,4,FALSE)</f>
        <v>0</v>
      </c>
      <c r="O489" t="str">
        <f>CONCATENATE(Query1[[#This Row],[Description]]," - ",Query1[[#This Row],[MB1]]," - ",Query1[[#This Row],[MB2]]," - ",Query1[[#This Row],[MB3]])</f>
        <v>EVAP KIT 66-77 BRONCO - 830085 - 0 - 0</v>
      </c>
    </row>
    <row r="490" spans="1:15" x14ac:dyDescent="0.25">
      <c r="A490" s="1">
        <v>910238</v>
      </c>
      <c r="B490" s="1" t="s">
        <v>26</v>
      </c>
      <c r="C490" s="1" t="s">
        <v>27</v>
      </c>
      <c r="D490" s="2">
        <v>44602.402064155096</v>
      </c>
      <c r="E490" s="1" t="s">
        <v>8</v>
      </c>
      <c r="F490" s="1">
        <v>1</v>
      </c>
      <c r="G490" s="1">
        <v>0</v>
      </c>
      <c r="H490" s="6">
        <f>INT(Query1[[#This Row],[EntryDateTime]])</f>
        <v>44602</v>
      </c>
      <c r="I490" s="1">
        <f>IF(Query1[[#This Row],[ItemType]]="EVAP KIT SF GEN IV",Query1[[#This Row],[OrderQty]]+I489,I489)</f>
        <v>547</v>
      </c>
      <c r="J490" s="1">
        <f>IF(Query1[[#This Row],[ItemType]]="EVAP KIT UNIVERSAL",Query1[[#This Row],[OrderQty]]+J489,J489)</f>
        <v>351</v>
      </c>
      <c r="K490" s="1">
        <f>Query1[[#This Row],[SF Running Total]]+Query1[[#This Row],[UNIV Running Total]]</f>
        <v>898</v>
      </c>
      <c r="L490">
        <f>VLOOKUP(Query1[[#This Row],[Description]],'kits to boards'!$B$2:$E$156,2,FALSE)</f>
        <v>830013</v>
      </c>
      <c r="M490">
        <f>VLOOKUP(Query1[[#This Row],[Description]],'kits to boards'!$B$2:$E$156,3,FALSE)</f>
        <v>0</v>
      </c>
      <c r="N490">
        <f>VLOOKUP(Query1[[#This Row],[Description]],'kits to boards'!$B$2:$E$156,4,FALSE)</f>
        <v>0</v>
      </c>
      <c r="O490" t="str">
        <f>CONCATENATE(Query1[[#This Row],[Description]]," - ",Query1[[#This Row],[MB1]]," - ",Query1[[#This Row],[MB2]]," - ",Query1[[#This Row],[MB3]])</f>
        <v>EVAP KIT 67-72 CHEV P-UP W/AC - 830013 - 0 - 0</v>
      </c>
    </row>
    <row r="491" spans="1:15" x14ac:dyDescent="0.25">
      <c r="A491" s="1">
        <v>910240</v>
      </c>
      <c r="B491" s="1" t="s">
        <v>26</v>
      </c>
      <c r="C491" s="1" t="s">
        <v>27</v>
      </c>
      <c r="D491" s="2">
        <v>44602.404172569448</v>
      </c>
      <c r="E491" s="1" t="s">
        <v>8</v>
      </c>
      <c r="F491" s="1">
        <v>1</v>
      </c>
      <c r="G491" s="1">
        <v>0</v>
      </c>
      <c r="H491" s="6">
        <f>INT(Query1[[#This Row],[EntryDateTime]])</f>
        <v>44602</v>
      </c>
      <c r="I491" s="1">
        <f>IF(Query1[[#This Row],[ItemType]]="EVAP KIT SF GEN IV",Query1[[#This Row],[OrderQty]]+I490,I490)</f>
        <v>548</v>
      </c>
      <c r="J491" s="1">
        <f>IF(Query1[[#This Row],[ItemType]]="EVAP KIT UNIVERSAL",Query1[[#This Row],[OrderQty]]+J490,J490)</f>
        <v>351</v>
      </c>
      <c r="K491" s="1">
        <f>Query1[[#This Row],[SF Running Total]]+Query1[[#This Row],[UNIV Running Total]]</f>
        <v>899</v>
      </c>
      <c r="L491">
        <f>VLOOKUP(Query1[[#This Row],[Description]],'kits to boards'!$B$2:$E$156,2,FALSE)</f>
        <v>830013</v>
      </c>
      <c r="M491">
        <f>VLOOKUP(Query1[[#This Row],[Description]],'kits to boards'!$B$2:$E$156,3,FALSE)</f>
        <v>0</v>
      </c>
      <c r="N491">
        <f>VLOOKUP(Query1[[#This Row],[Description]],'kits to boards'!$B$2:$E$156,4,FALSE)</f>
        <v>0</v>
      </c>
      <c r="O491" t="str">
        <f>CONCATENATE(Query1[[#This Row],[Description]]," - ",Query1[[#This Row],[MB1]]," - ",Query1[[#This Row],[MB2]]," - ",Query1[[#This Row],[MB3]])</f>
        <v>EVAP KIT 67-72 CHEV P-UP W/AC - 830013 - 0 - 0</v>
      </c>
    </row>
    <row r="492" spans="1:15" x14ac:dyDescent="0.25">
      <c r="A492" s="1">
        <v>910244</v>
      </c>
      <c r="B492" s="1" t="s">
        <v>26</v>
      </c>
      <c r="C492" s="1" t="s">
        <v>27</v>
      </c>
      <c r="D492" s="2">
        <v>44602.405435613429</v>
      </c>
      <c r="E492" s="1" t="s">
        <v>8</v>
      </c>
      <c r="F492" s="1">
        <v>1</v>
      </c>
      <c r="G492" s="1">
        <v>0</v>
      </c>
      <c r="H492" s="6">
        <f>INT(Query1[[#This Row],[EntryDateTime]])</f>
        <v>44602</v>
      </c>
      <c r="I492" s="1">
        <f>IF(Query1[[#This Row],[ItemType]]="EVAP KIT SF GEN IV",Query1[[#This Row],[OrderQty]]+I491,I491)</f>
        <v>549</v>
      </c>
      <c r="J492" s="1">
        <f>IF(Query1[[#This Row],[ItemType]]="EVAP KIT UNIVERSAL",Query1[[#This Row],[OrderQty]]+J491,J491)</f>
        <v>351</v>
      </c>
      <c r="K492" s="1">
        <f>Query1[[#This Row],[SF Running Total]]+Query1[[#This Row],[UNIV Running Total]]</f>
        <v>900</v>
      </c>
      <c r="L492">
        <f>VLOOKUP(Query1[[#This Row],[Description]],'kits to boards'!$B$2:$E$156,2,FALSE)</f>
        <v>830013</v>
      </c>
      <c r="M492">
        <f>VLOOKUP(Query1[[#This Row],[Description]],'kits to boards'!$B$2:$E$156,3,FALSE)</f>
        <v>0</v>
      </c>
      <c r="N492">
        <f>VLOOKUP(Query1[[#This Row],[Description]],'kits to boards'!$B$2:$E$156,4,FALSE)</f>
        <v>0</v>
      </c>
      <c r="O492" t="str">
        <f>CONCATENATE(Query1[[#This Row],[Description]]," - ",Query1[[#This Row],[MB1]]," - ",Query1[[#This Row],[MB2]]," - ",Query1[[#This Row],[MB3]])</f>
        <v>EVAP KIT 67-72 CHEV P-UP W/AC - 830013 - 0 - 0</v>
      </c>
    </row>
    <row r="493" spans="1:15" x14ac:dyDescent="0.25">
      <c r="A493" s="1">
        <v>910245</v>
      </c>
      <c r="B493" s="1" t="s">
        <v>26</v>
      </c>
      <c r="C493" s="1" t="s">
        <v>27</v>
      </c>
      <c r="D493" s="2">
        <v>44602.406887997684</v>
      </c>
      <c r="E493" s="1" t="s">
        <v>8</v>
      </c>
      <c r="F493" s="1">
        <v>1</v>
      </c>
      <c r="G493" s="1">
        <v>0</v>
      </c>
      <c r="H493" s="6">
        <f>INT(Query1[[#This Row],[EntryDateTime]])</f>
        <v>44602</v>
      </c>
      <c r="I493" s="1">
        <f>IF(Query1[[#This Row],[ItemType]]="EVAP KIT SF GEN IV",Query1[[#This Row],[OrderQty]]+I492,I492)</f>
        <v>550</v>
      </c>
      <c r="J493" s="1">
        <f>IF(Query1[[#This Row],[ItemType]]="EVAP KIT UNIVERSAL",Query1[[#This Row],[OrderQty]]+J492,J492)</f>
        <v>351</v>
      </c>
      <c r="K493" s="1">
        <f>Query1[[#This Row],[SF Running Total]]+Query1[[#This Row],[UNIV Running Total]]</f>
        <v>901</v>
      </c>
      <c r="L493">
        <f>VLOOKUP(Query1[[#This Row],[Description]],'kits to boards'!$B$2:$E$156,2,FALSE)</f>
        <v>830013</v>
      </c>
      <c r="M493">
        <f>VLOOKUP(Query1[[#This Row],[Description]],'kits to boards'!$B$2:$E$156,3,FALSE)</f>
        <v>0</v>
      </c>
      <c r="N493">
        <f>VLOOKUP(Query1[[#This Row],[Description]],'kits to boards'!$B$2:$E$156,4,FALSE)</f>
        <v>0</v>
      </c>
      <c r="O493" t="str">
        <f>CONCATENATE(Query1[[#This Row],[Description]]," - ",Query1[[#This Row],[MB1]]," - ",Query1[[#This Row],[MB2]]," - ",Query1[[#This Row],[MB3]])</f>
        <v>EVAP KIT 67-72 CHEV P-UP W/AC - 830013 - 0 - 0</v>
      </c>
    </row>
    <row r="494" spans="1:15" x14ac:dyDescent="0.25">
      <c r="A494" s="1">
        <v>910248</v>
      </c>
      <c r="B494" s="1" t="s">
        <v>46</v>
      </c>
      <c r="C494" s="1" t="s">
        <v>47</v>
      </c>
      <c r="D494" s="2">
        <v>44602.408540011573</v>
      </c>
      <c r="E494" s="1" t="s">
        <v>8</v>
      </c>
      <c r="F494" s="1">
        <v>1</v>
      </c>
      <c r="G494" s="1">
        <v>0</v>
      </c>
      <c r="H494" s="6">
        <f>INT(Query1[[#This Row],[EntryDateTime]])</f>
        <v>44602</v>
      </c>
      <c r="I494" s="1">
        <f>IF(Query1[[#This Row],[ItemType]]="EVAP KIT SF GEN IV",Query1[[#This Row],[OrderQty]]+I493,I493)</f>
        <v>551</v>
      </c>
      <c r="J494" s="1">
        <f>IF(Query1[[#This Row],[ItemType]]="EVAP KIT UNIVERSAL",Query1[[#This Row],[OrderQty]]+J493,J493)</f>
        <v>351</v>
      </c>
      <c r="K494" s="1">
        <f>Query1[[#This Row],[SF Running Total]]+Query1[[#This Row],[UNIV Running Total]]</f>
        <v>902</v>
      </c>
      <c r="L494">
        <f>VLOOKUP(Query1[[#This Row],[Description]],'kits to boards'!$B$2:$E$156,2,FALSE)</f>
        <v>830018</v>
      </c>
      <c r="M494">
        <f>VLOOKUP(Query1[[#This Row],[Description]],'kits to boards'!$B$2:$E$156,3,FALSE)</f>
        <v>0</v>
      </c>
      <c r="N494">
        <f>VLOOKUP(Query1[[#This Row],[Description]],'kits to boards'!$B$2:$E$156,4,FALSE)</f>
        <v>0</v>
      </c>
      <c r="O494" t="str">
        <f>CONCATENATE(Query1[[#This Row],[Description]]," - ",Query1[[#This Row],[MB1]]," - ",Query1[[#This Row],[MB2]]," - ",Query1[[#This Row],[MB3]])</f>
        <v>EVAP KIT 68-72 FORD P-UP F-100 - 830018 - 0 - 0</v>
      </c>
    </row>
    <row r="495" spans="1:15" x14ac:dyDescent="0.25">
      <c r="A495" s="1">
        <v>910250</v>
      </c>
      <c r="B495" s="1" t="s">
        <v>62</v>
      </c>
      <c r="C495" s="1" t="s">
        <v>63</v>
      </c>
      <c r="D495" s="2">
        <v>44602.409708946761</v>
      </c>
      <c r="E495" s="1" t="s">
        <v>8</v>
      </c>
      <c r="F495" s="1">
        <v>1</v>
      </c>
      <c r="G495" s="1">
        <v>0</v>
      </c>
      <c r="H495" s="6">
        <f>INT(Query1[[#This Row],[EntryDateTime]])</f>
        <v>44602</v>
      </c>
      <c r="I495" s="1">
        <f>IF(Query1[[#This Row],[ItemType]]="EVAP KIT SF GEN IV",Query1[[#This Row],[OrderQty]]+I494,I494)</f>
        <v>552</v>
      </c>
      <c r="J495" s="1">
        <f>IF(Query1[[#This Row],[ItemType]]="EVAP KIT UNIVERSAL",Query1[[#This Row],[OrderQty]]+J494,J494)</f>
        <v>351</v>
      </c>
      <c r="K495" s="1">
        <f>Query1[[#This Row],[SF Running Total]]+Query1[[#This Row],[UNIV Running Total]]</f>
        <v>903</v>
      </c>
      <c r="L495">
        <f>VLOOKUP(Query1[[#This Row],[Description]],'kits to boards'!$B$2:$E$156,2,FALSE)</f>
        <v>830079</v>
      </c>
      <c r="M495">
        <f>VLOOKUP(Query1[[#This Row],[Description]],'kits to boards'!$B$2:$E$156,3,FALSE)</f>
        <v>830046</v>
      </c>
      <c r="N495">
        <f>VLOOKUP(Query1[[#This Row],[Description]],'kits to boards'!$B$2:$E$156,4,FALSE)</f>
        <v>0</v>
      </c>
      <c r="O495" t="str">
        <f>CONCATENATE(Query1[[#This Row],[Description]]," - ",Query1[[#This Row],[MB1]]," - ",Query1[[#This Row],[MB2]]," - ",Query1[[#This Row],[MB3]])</f>
        <v>EVAP KIT 67-68 MUSTANG/COUGAR WO AC - 830079 - 830046 - 0</v>
      </c>
    </row>
    <row r="496" spans="1:15" x14ac:dyDescent="0.25">
      <c r="A496" s="1">
        <v>910253</v>
      </c>
      <c r="B496" s="1" t="s">
        <v>62</v>
      </c>
      <c r="C496" s="1" t="s">
        <v>63</v>
      </c>
      <c r="D496" s="2">
        <v>44602.410996562503</v>
      </c>
      <c r="E496" s="1" t="s">
        <v>8</v>
      </c>
      <c r="F496" s="1">
        <v>1</v>
      </c>
      <c r="G496" s="1">
        <v>0</v>
      </c>
      <c r="H496" s="6">
        <f>INT(Query1[[#This Row],[EntryDateTime]])</f>
        <v>44602</v>
      </c>
      <c r="I496" s="1">
        <f>IF(Query1[[#This Row],[ItemType]]="EVAP KIT SF GEN IV",Query1[[#This Row],[OrderQty]]+I495,I495)</f>
        <v>553</v>
      </c>
      <c r="J496" s="1">
        <f>IF(Query1[[#This Row],[ItemType]]="EVAP KIT UNIVERSAL",Query1[[#This Row],[OrderQty]]+J495,J495)</f>
        <v>351</v>
      </c>
      <c r="K496" s="1">
        <f>Query1[[#This Row],[SF Running Total]]+Query1[[#This Row],[UNIV Running Total]]</f>
        <v>904</v>
      </c>
      <c r="L496">
        <f>VLOOKUP(Query1[[#This Row],[Description]],'kits to boards'!$B$2:$E$156,2,FALSE)</f>
        <v>830079</v>
      </c>
      <c r="M496">
        <f>VLOOKUP(Query1[[#This Row],[Description]],'kits to boards'!$B$2:$E$156,3,FALSE)</f>
        <v>830046</v>
      </c>
      <c r="N496">
        <f>VLOOKUP(Query1[[#This Row],[Description]],'kits to boards'!$B$2:$E$156,4,FALSE)</f>
        <v>0</v>
      </c>
      <c r="O496" t="str">
        <f>CONCATENATE(Query1[[#This Row],[Description]]," - ",Query1[[#This Row],[MB1]]," - ",Query1[[#This Row],[MB2]]," - ",Query1[[#This Row],[MB3]])</f>
        <v>EVAP KIT 67-68 MUSTANG/COUGAR WO AC - 830079 - 830046 - 0</v>
      </c>
    </row>
    <row r="497" spans="1:15" x14ac:dyDescent="0.25">
      <c r="A497" s="1">
        <v>910255</v>
      </c>
      <c r="B497" s="1" t="s">
        <v>128</v>
      </c>
      <c r="C497" s="1" t="s">
        <v>129</v>
      </c>
      <c r="D497" s="2">
        <v>44602.411701620367</v>
      </c>
      <c r="E497" s="1" t="s">
        <v>8</v>
      </c>
      <c r="F497" s="1">
        <v>1</v>
      </c>
      <c r="G497" s="1">
        <v>0</v>
      </c>
      <c r="H497" s="6">
        <f>INT(Query1[[#This Row],[EntryDateTime]])</f>
        <v>44602</v>
      </c>
      <c r="I497" s="1">
        <f>IF(Query1[[#This Row],[ItemType]]="EVAP KIT SF GEN IV",Query1[[#This Row],[OrderQty]]+I496,I496)</f>
        <v>554</v>
      </c>
      <c r="J497" s="1">
        <f>IF(Query1[[#This Row],[ItemType]]="EVAP KIT UNIVERSAL",Query1[[#This Row],[OrderQty]]+J496,J496)</f>
        <v>351</v>
      </c>
      <c r="K497" s="1">
        <f>Query1[[#This Row],[SF Running Total]]+Query1[[#This Row],[UNIV Running Total]]</f>
        <v>905</v>
      </c>
      <c r="L497">
        <f>VLOOKUP(Query1[[#This Row],[Description]],'kits to boards'!$B$2:$E$156,2,FALSE)</f>
        <v>830036</v>
      </c>
      <c r="M497">
        <f>VLOOKUP(Query1[[#This Row],[Description]],'kits to boards'!$B$2:$E$156,3,FALSE)</f>
        <v>830039</v>
      </c>
      <c r="N497">
        <f>VLOOKUP(Query1[[#This Row],[Description]],'kits to boards'!$B$2:$E$156,4,FALSE)</f>
        <v>0</v>
      </c>
      <c r="O497" t="str">
        <f>CONCATENATE(Query1[[#This Row],[Description]]," - ",Query1[[#This Row],[MB1]]," - ",Query1[[#This Row],[MB2]]," - ",Query1[[#This Row],[MB3]])</f>
        <v>EVAP KIT 63-66 VETTE WO AC - 830036 - 830039 - 0</v>
      </c>
    </row>
    <row r="498" spans="1:15" x14ac:dyDescent="0.25">
      <c r="A498" s="1">
        <v>910256</v>
      </c>
      <c r="B498" s="1" t="s">
        <v>62</v>
      </c>
      <c r="C498" s="1" t="s">
        <v>63</v>
      </c>
      <c r="D498" s="2">
        <v>44602.412732638892</v>
      </c>
      <c r="E498" s="1" t="s">
        <v>8</v>
      </c>
      <c r="F498" s="1">
        <v>1</v>
      </c>
      <c r="G498" s="1">
        <v>0</v>
      </c>
      <c r="H498" s="6">
        <f>INT(Query1[[#This Row],[EntryDateTime]])</f>
        <v>44602</v>
      </c>
      <c r="I498" s="1">
        <f>IF(Query1[[#This Row],[ItemType]]="EVAP KIT SF GEN IV",Query1[[#This Row],[OrderQty]]+I497,I497)</f>
        <v>555</v>
      </c>
      <c r="J498" s="1">
        <f>IF(Query1[[#This Row],[ItemType]]="EVAP KIT UNIVERSAL",Query1[[#This Row],[OrderQty]]+J497,J497)</f>
        <v>351</v>
      </c>
      <c r="K498" s="1">
        <f>Query1[[#This Row],[SF Running Total]]+Query1[[#This Row],[UNIV Running Total]]</f>
        <v>906</v>
      </c>
      <c r="L498">
        <f>VLOOKUP(Query1[[#This Row],[Description]],'kits to boards'!$B$2:$E$156,2,FALSE)</f>
        <v>830079</v>
      </c>
      <c r="M498">
        <f>VLOOKUP(Query1[[#This Row],[Description]],'kits to boards'!$B$2:$E$156,3,FALSE)</f>
        <v>830046</v>
      </c>
      <c r="N498">
        <f>VLOOKUP(Query1[[#This Row],[Description]],'kits to boards'!$B$2:$E$156,4,FALSE)</f>
        <v>0</v>
      </c>
      <c r="O498" t="str">
        <f>CONCATENATE(Query1[[#This Row],[Description]]," - ",Query1[[#This Row],[MB1]]," - ",Query1[[#This Row],[MB2]]," - ",Query1[[#This Row],[MB3]])</f>
        <v>EVAP KIT 67-68 MUSTANG/COUGAR WO AC - 830079 - 830046 - 0</v>
      </c>
    </row>
    <row r="499" spans="1:15" x14ac:dyDescent="0.25">
      <c r="A499" s="1">
        <v>910257</v>
      </c>
      <c r="B499" s="1" t="s">
        <v>62</v>
      </c>
      <c r="C499" s="1" t="s">
        <v>63</v>
      </c>
      <c r="D499" s="2">
        <v>44602.413764004632</v>
      </c>
      <c r="E499" s="1" t="s">
        <v>8</v>
      </c>
      <c r="F499" s="1">
        <v>1</v>
      </c>
      <c r="G499" s="1">
        <v>0</v>
      </c>
      <c r="H499" s="6">
        <f>INT(Query1[[#This Row],[EntryDateTime]])</f>
        <v>44602</v>
      </c>
      <c r="I499" s="1">
        <f>IF(Query1[[#This Row],[ItemType]]="EVAP KIT SF GEN IV",Query1[[#This Row],[OrderQty]]+I498,I498)</f>
        <v>556</v>
      </c>
      <c r="J499" s="1">
        <f>IF(Query1[[#This Row],[ItemType]]="EVAP KIT UNIVERSAL",Query1[[#This Row],[OrderQty]]+J498,J498)</f>
        <v>351</v>
      </c>
      <c r="K499" s="1">
        <f>Query1[[#This Row],[SF Running Total]]+Query1[[#This Row],[UNIV Running Total]]</f>
        <v>907</v>
      </c>
      <c r="L499">
        <f>VLOOKUP(Query1[[#This Row],[Description]],'kits to boards'!$B$2:$E$156,2,FALSE)</f>
        <v>830079</v>
      </c>
      <c r="M499">
        <f>VLOOKUP(Query1[[#This Row],[Description]],'kits to boards'!$B$2:$E$156,3,FALSE)</f>
        <v>830046</v>
      </c>
      <c r="N499">
        <f>VLOOKUP(Query1[[#This Row],[Description]],'kits to boards'!$B$2:$E$156,4,FALSE)</f>
        <v>0</v>
      </c>
      <c r="O499" t="str">
        <f>CONCATENATE(Query1[[#This Row],[Description]]," - ",Query1[[#This Row],[MB1]]," - ",Query1[[#This Row],[MB2]]," - ",Query1[[#This Row],[MB3]])</f>
        <v>EVAP KIT 67-68 MUSTANG/COUGAR WO AC - 830079 - 830046 - 0</v>
      </c>
    </row>
    <row r="500" spans="1:15" x14ac:dyDescent="0.25">
      <c r="A500" s="1">
        <v>910258</v>
      </c>
      <c r="B500" s="1" t="s">
        <v>126</v>
      </c>
      <c r="C500" s="1" t="s">
        <v>127</v>
      </c>
      <c r="D500" s="2">
        <v>44602.415169444444</v>
      </c>
      <c r="E500" s="1" t="s">
        <v>8</v>
      </c>
      <c r="F500" s="1">
        <v>1</v>
      </c>
      <c r="G500" s="1">
        <v>0</v>
      </c>
      <c r="H500" s="6">
        <f>INT(Query1[[#This Row],[EntryDateTime]])</f>
        <v>44602</v>
      </c>
      <c r="I500" s="1">
        <f>IF(Query1[[#This Row],[ItemType]]="EVAP KIT SF GEN IV",Query1[[#This Row],[OrderQty]]+I499,I499)</f>
        <v>557</v>
      </c>
      <c r="J500" s="1">
        <f>IF(Query1[[#This Row],[ItemType]]="EVAP KIT UNIVERSAL",Query1[[#This Row],[OrderQty]]+J499,J499)</f>
        <v>351</v>
      </c>
      <c r="K500" s="1">
        <f>Query1[[#This Row],[SF Running Total]]+Query1[[#This Row],[UNIV Running Total]]</f>
        <v>908</v>
      </c>
      <c r="L500">
        <f>VLOOKUP(Query1[[#This Row],[Description]],'kits to boards'!$B$2:$E$156,2,FALSE)</f>
        <v>830080</v>
      </c>
      <c r="M500">
        <f>VLOOKUP(Query1[[#This Row],[Description]],'kits to boards'!$B$2:$E$156,3,FALSE)</f>
        <v>0</v>
      </c>
      <c r="N500">
        <f>VLOOKUP(Query1[[#This Row],[Description]],'kits to boards'!$B$2:$E$156,4,FALSE)</f>
        <v>0</v>
      </c>
      <c r="O500" t="str">
        <f>CONCATENATE(Query1[[#This Row],[Description]]," - ",Query1[[#This Row],[MB1]]," - ",Query1[[#This Row],[MB2]]," - ",Query1[[#This Row],[MB3]])</f>
        <v>EVAP KIT 69-70 MUSTANG WO AC  - 830080 - 0 - 0</v>
      </c>
    </row>
    <row r="501" spans="1:15" x14ac:dyDescent="0.25">
      <c r="A501" s="1">
        <v>910259</v>
      </c>
      <c r="B501" s="1" t="s">
        <v>126</v>
      </c>
      <c r="C501" s="1" t="s">
        <v>127</v>
      </c>
      <c r="D501" s="2">
        <v>44602.418390358798</v>
      </c>
      <c r="E501" s="1" t="s">
        <v>8</v>
      </c>
      <c r="F501" s="1">
        <v>1</v>
      </c>
      <c r="G501" s="1">
        <v>0</v>
      </c>
      <c r="H501" s="6">
        <f>INT(Query1[[#This Row],[EntryDateTime]])</f>
        <v>44602</v>
      </c>
      <c r="I501" s="1">
        <f>IF(Query1[[#This Row],[ItemType]]="EVAP KIT SF GEN IV",Query1[[#This Row],[OrderQty]]+I500,I500)</f>
        <v>558</v>
      </c>
      <c r="J501" s="1">
        <f>IF(Query1[[#This Row],[ItemType]]="EVAP KIT UNIVERSAL",Query1[[#This Row],[OrderQty]]+J500,J500)</f>
        <v>351</v>
      </c>
      <c r="K501" s="1">
        <f>Query1[[#This Row],[SF Running Total]]+Query1[[#This Row],[UNIV Running Total]]</f>
        <v>909</v>
      </c>
      <c r="L501">
        <f>VLOOKUP(Query1[[#This Row],[Description]],'kits to boards'!$B$2:$E$156,2,FALSE)</f>
        <v>830080</v>
      </c>
      <c r="M501">
        <f>VLOOKUP(Query1[[#This Row],[Description]],'kits to boards'!$B$2:$E$156,3,FALSE)</f>
        <v>0</v>
      </c>
      <c r="N501">
        <f>VLOOKUP(Query1[[#This Row],[Description]],'kits to boards'!$B$2:$E$156,4,FALSE)</f>
        <v>0</v>
      </c>
      <c r="O501" t="str">
        <f>CONCATENATE(Query1[[#This Row],[Description]]," - ",Query1[[#This Row],[MB1]]," - ",Query1[[#This Row],[MB2]]," - ",Query1[[#This Row],[MB3]])</f>
        <v>EVAP KIT 69-70 MUSTANG WO AC  - 830080 - 0 - 0</v>
      </c>
    </row>
    <row r="502" spans="1:15" x14ac:dyDescent="0.25">
      <c r="A502" s="1">
        <v>910263</v>
      </c>
      <c r="B502" s="1" t="s">
        <v>94</v>
      </c>
      <c r="C502" s="1" t="s">
        <v>95</v>
      </c>
      <c r="D502" s="2">
        <v>44602.419755208335</v>
      </c>
      <c r="E502" s="1" t="s">
        <v>8</v>
      </c>
      <c r="F502" s="1">
        <v>1</v>
      </c>
      <c r="G502" s="1">
        <v>0</v>
      </c>
      <c r="H502" s="6">
        <f>INT(Query1[[#This Row],[EntryDateTime]])</f>
        <v>44602</v>
      </c>
      <c r="I502" s="1">
        <f>IF(Query1[[#This Row],[ItemType]]="EVAP KIT SF GEN IV",Query1[[#This Row],[OrderQty]]+I501,I501)</f>
        <v>559</v>
      </c>
      <c r="J502" s="1">
        <f>IF(Query1[[#This Row],[ItemType]]="EVAP KIT UNIVERSAL",Query1[[#This Row],[OrderQty]]+J501,J501)</f>
        <v>351</v>
      </c>
      <c r="K502" s="1">
        <f>Query1[[#This Row],[SF Running Total]]+Query1[[#This Row],[UNIV Running Total]]</f>
        <v>910</v>
      </c>
      <c r="L502">
        <f>VLOOKUP(Query1[[#This Row],[Description]],'kits to boards'!$B$2:$E$156,2,FALSE)</f>
        <v>830076</v>
      </c>
      <c r="M502">
        <f>VLOOKUP(Query1[[#This Row],[Description]],'kits to boards'!$B$2:$E$156,3,FALSE)</f>
        <v>0</v>
      </c>
      <c r="N502">
        <f>VLOOKUP(Query1[[#This Row],[Description]],'kits to boards'!$B$2:$E$156,4,FALSE)</f>
        <v>0</v>
      </c>
      <c r="O502" t="str">
        <f>CONCATENATE(Query1[[#This Row],[Description]]," - ",Query1[[#This Row],[MB1]]," - ",Query1[[#This Row],[MB2]]," - ",Query1[[#This Row],[MB3]])</f>
        <v>EVAP KIT 64 1/2- 66 MUSTANG  - 830076 - 0 - 0</v>
      </c>
    </row>
    <row r="503" spans="1:15" x14ac:dyDescent="0.25">
      <c r="A503" s="1">
        <v>909491</v>
      </c>
      <c r="B503" s="1" t="s">
        <v>194</v>
      </c>
      <c r="C503" s="1" t="s">
        <v>195</v>
      </c>
      <c r="D503" s="2">
        <v>44602.419910266202</v>
      </c>
      <c r="E503" s="1" t="s">
        <v>8</v>
      </c>
      <c r="F503" s="1">
        <v>1</v>
      </c>
      <c r="G503" s="1">
        <v>0</v>
      </c>
      <c r="H503" s="6">
        <f>INT(Query1[[#This Row],[EntryDateTime]])</f>
        <v>44602</v>
      </c>
      <c r="I503" s="1">
        <f>IF(Query1[[#This Row],[ItemType]]="EVAP KIT SF GEN IV",Query1[[#This Row],[OrderQty]]+I502,I502)</f>
        <v>560</v>
      </c>
      <c r="J503" s="1">
        <f>IF(Query1[[#This Row],[ItemType]]="EVAP KIT UNIVERSAL",Query1[[#This Row],[OrderQty]]+J502,J502)</f>
        <v>351</v>
      </c>
      <c r="K503" s="1">
        <f>Query1[[#This Row],[SF Running Total]]+Query1[[#This Row],[UNIV Running Total]]</f>
        <v>911</v>
      </c>
      <c r="L503">
        <f>VLOOKUP(Query1[[#This Row],[Description]],'kits to boards'!$B$2:$E$156,2,FALSE)</f>
        <v>830103</v>
      </c>
      <c r="M503">
        <f>VLOOKUP(Query1[[#This Row],[Description]],'kits to boards'!$B$2:$E$156,3,FALSE)</f>
        <v>0</v>
      </c>
      <c r="N503">
        <f>VLOOKUP(Query1[[#This Row],[Description]],'kits to boards'!$B$2:$E$156,4,FALSE)</f>
        <v>0</v>
      </c>
      <c r="O503" t="str">
        <f>CONCATENATE(Query1[[#This Row],[Description]]," - ",Query1[[#This Row],[MB1]]," - ",Query1[[#This Row],[MB2]]," - ",Query1[[#This Row],[MB3]])</f>
        <v>EVAP KIT 78-82 VETTE W/AC - 830103 - 0 - 0</v>
      </c>
    </row>
    <row r="504" spans="1:15" x14ac:dyDescent="0.25">
      <c r="A504" s="1">
        <v>910144</v>
      </c>
      <c r="B504" s="1" t="s">
        <v>128</v>
      </c>
      <c r="C504" s="1" t="s">
        <v>129</v>
      </c>
      <c r="D504" s="2">
        <v>44602.420049305554</v>
      </c>
      <c r="E504" s="1" t="s">
        <v>8</v>
      </c>
      <c r="F504" s="1">
        <v>1</v>
      </c>
      <c r="G504" s="1">
        <v>0</v>
      </c>
      <c r="H504" s="6">
        <f>INT(Query1[[#This Row],[EntryDateTime]])</f>
        <v>44602</v>
      </c>
      <c r="I504" s="1">
        <f>IF(Query1[[#This Row],[ItemType]]="EVAP KIT SF GEN IV",Query1[[#This Row],[OrderQty]]+I503,I503)</f>
        <v>561</v>
      </c>
      <c r="J504" s="1">
        <f>IF(Query1[[#This Row],[ItemType]]="EVAP KIT UNIVERSAL",Query1[[#This Row],[OrderQty]]+J503,J503)</f>
        <v>351</v>
      </c>
      <c r="K504" s="1">
        <f>Query1[[#This Row],[SF Running Total]]+Query1[[#This Row],[UNIV Running Total]]</f>
        <v>912</v>
      </c>
      <c r="L504">
        <f>VLOOKUP(Query1[[#This Row],[Description]],'kits to boards'!$B$2:$E$156,2,FALSE)</f>
        <v>830036</v>
      </c>
      <c r="M504">
        <f>VLOOKUP(Query1[[#This Row],[Description]],'kits to boards'!$B$2:$E$156,3,FALSE)</f>
        <v>830039</v>
      </c>
      <c r="N504">
        <f>VLOOKUP(Query1[[#This Row],[Description]],'kits to boards'!$B$2:$E$156,4,FALSE)</f>
        <v>0</v>
      </c>
      <c r="O504" t="str">
        <f>CONCATENATE(Query1[[#This Row],[Description]]," - ",Query1[[#This Row],[MB1]]," - ",Query1[[#This Row],[MB2]]," - ",Query1[[#This Row],[MB3]])</f>
        <v>EVAP KIT 63-66 VETTE WO AC - 830036 - 830039 - 0</v>
      </c>
    </row>
    <row r="505" spans="1:15" x14ac:dyDescent="0.25">
      <c r="A505" s="1">
        <v>910264</v>
      </c>
      <c r="B505" s="1" t="s">
        <v>94</v>
      </c>
      <c r="C505" s="1" t="s">
        <v>95</v>
      </c>
      <c r="D505" s="2">
        <v>44602.421334641207</v>
      </c>
      <c r="E505" s="1" t="s">
        <v>8</v>
      </c>
      <c r="F505" s="1">
        <v>1</v>
      </c>
      <c r="G505" s="1">
        <v>0</v>
      </c>
      <c r="H505" s="6">
        <f>INT(Query1[[#This Row],[EntryDateTime]])</f>
        <v>44602</v>
      </c>
      <c r="I505" s="1">
        <f>IF(Query1[[#This Row],[ItemType]]="EVAP KIT SF GEN IV",Query1[[#This Row],[OrderQty]]+I504,I504)</f>
        <v>562</v>
      </c>
      <c r="J505" s="1">
        <f>IF(Query1[[#This Row],[ItemType]]="EVAP KIT UNIVERSAL",Query1[[#This Row],[OrderQty]]+J504,J504)</f>
        <v>351</v>
      </c>
      <c r="K505" s="1">
        <f>Query1[[#This Row],[SF Running Total]]+Query1[[#This Row],[UNIV Running Total]]</f>
        <v>913</v>
      </c>
      <c r="L505">
        <f>VLOOKUP(Query1[[#This Row],[Description]],'kits to boards'!$B$2:$E$156,2,FALSE)</f>
        <v>830076</v>
      </c>
      <c r="M505">
        <f>VLOOKUP(Query1[[#This Row],[Description]],'kits to boards'!$B$2:$E$156,3,FALSE)</f>
        <v>0</v>
      </c>
      <c r="N505">
        <f>VLOOKUP(Query1[[#This Row],[Description]],'kits to boards'!$B$2:$E$156,4,FALSE)</f>
        <v>0</v>
      </c>
      <c r="O505" t="str">
        <f>CONCATENATE(Query1[[#This Row],[Description]]," - ",Query1[[#This Row],[MB1]]," - ",Query1[[#This Row],[MB2]]," - ",Query1[[#This Row],[MB3]])</f>
        <v>EVAP KIT 64 1/2- 66 MUSTANG  - 830076 - 0 - 0</v>
      </c>
    </row>
    <row r="506" spans="1:15" x14ac:dyDescent="0.25">
      <c r="A506" s="1">
        <v>908227</v>
      </c>
      <c r="B506" s="1" t="s">
        <v>140</v>
      </c>
      <c r="C506" s="1" t="s">
        <v>141</v>
      </c>
      <c r="D506" s="2">
        <v>44602.423113738427</v>
      </c>
      <c r="E506" s="1" t="s">
        <v>8</v>
      </c>
      <c r="F506" s="1">
        <v>1</v>
      </c>
      <c r="G506" s="1">
        <v>0</v>
      </c>
      <c r="H506" s="6">
        <f>INT(Query1[[#This Row],[EntryDateTime]])</f>
        <v>44602</v>
      </c>
      <c r="I506" s="1">
        <f>IF(Query1[[#This Row],[ItemType]]="EVAP KIT SF GEN IV",Query1[[#This Row],[OrderQty]]+I505,I505)</f>
        <v>563</v>
      </c>
      <c r="J506" s="1">
        <f>IF(Query1[[#This Row],[ItemType]]="EVAP KIT UNIVERSAL",Query1[[#This Row],[OrderQty]]+J505,J505)</f>
        <v>351</v>
      </c>
      <c r="K506" s="1">
        <f>Query1[[#This Row],[SF Running Total]]+Query1[[#This Row],[UNIV Running Total]]</f>
        <v>914</v>
      </c>
      <c r="L506">
        <f>VLOOKUP(Query1[[#This Row],[Description]],'kits to boards'!$B$2:$E$156,2,FALSE)</f>
        <v>830066</v>
      </c>
      <c r="M506">
        <f>VLOOKUP(Query1[[#This Row],[Description]],'kits to boards'!$B$2:$E$156,3,FALSE)</f>
        <v>0</v>
      </c>
      <c r="N506">
        <f>VLOOKUP(Query1[[#This Row],[Description]],'kits to boards'!$B$2:$E$156,4,FALSE)</f>
        <v>0</v>
      </c>
      <c r="O506" t="str">
        <f>CONCATENATE(Query1[[#This Row],[Description]]," - ",Query1[[#This Row],[MB1]]," - ",Query1[[#This Row],[MB2]]," - ",Query1[[#This Row],[MB3]])</f>
        <v>EVAP KIT 60-63 CHEV P-UP WO AC - 830066 - 0 - 0</v>
      </c>
    </row>
    <row r="507" spans="1:15" x14ac:dyDescent="0.25">
      <c r="A507" s="1">
        <v>910265</v>
      </c>
      <c r="B507" s="1" t="s">
        <v>94</v>
      </c>
      <c r="C507" s="1" t="s">
        <v>95</v>
      </c>
      <c r="D507" s="2">
        <v>44602.423272418979</v>
      </c>
      <c r="E507" s="1" t="s">
        <v>8</v>
      </c>
      <c r="F507" s="1">
        <v>1</v>
      </c>
      <c r="G507" s="1">
        <v>0</v>
      </c>
      <c r="H507" s="6">
        <f>INT(Query1[[#This Row],[EntryDateTime]])</f>
        <v>44602</v>
      </c>
      <c r="I507" s="1">
        <f>IF(Query1[[#This Row],[ItemType]]="EVAP KIT SF GEN IV",Query1[[#This Row],[OrderQty]]+I506,I506)</f>
        <v>564</v>
      </c>
      <c r="J507" s="1">
        <f>IF(Query1[[#This Row],[ItemType]]="EVAP KIT UNIVERSAL",Query1[[#This Row],[OrderQty]]+J506,J506)</f>
        <v>351</v>
      </c>
      <c r="K507" s="1">
        <f>Query1[[#This Row],[SF Running Total]]+Query1[[#This Row],[UNIV Running Total]]</f>
        <v>915</v>
      </c>
      <c r="L507">
        <f>VLOOKUP(Query1[[#This Row],[Description]],'kits to boards'!$B$2:$E$156,2,FALSE)</f>
        <v>830076</v>
      </c>
      <c r="M507">
        <f>VLOOKUP(Query1[[#This Row],[Description]],'kits to boards'!$B$2:$E$156,3,FALSE)</f>
        <v>0</v>
      </c>
      <c r="N507">
        <f>VLOOKUP(Query1[[#This Row],[Description]],'kits to boards'!$B$2:$E$156,4,FALSE)</f>
        <v>0</v>
      </c>
      <c r="O507" t="str">
        <f>CONCATENATE(Query1[[#This Row],[Description]]," - ",Query1[[#This Row],[MB1]]," - ",Query1[[#This Row],[MB2]]," - ",Query1[[#This Row],[MB3]])</f>
        <v>EVAP KIT 64 1/2- 66 MUSTANG  - 830076 - 0 - 0</v>
      </c>
    </row>
    <row r="508" spans="1:15" x14ac:dyDescent="0.25">
      <c r="A508" s="1">
        <v>910268</v>
      </c>
      <c r="B508" s="1" t="s">
        <v>94</v>
      </c>
      <c r="C508" s="1" t="s">
        <v>95</v>
      </c>
      <c r="D508" s="2">
        <v>44602.424859687497</v>
      </c>
      <c r="E508" s="1" t="s">
        <v>8</v>
      </c>
      <c r="F508" s="1">
        <v>1</v>
      </c>
      <c r="G508" s="1">
        <v>0</v>
      </c>
      <c r="H508" s="6">
        <f>INT(Query1[[#This Row],[EntryDateTime]])</f>
        <v>44602</v>
      </c>
      <c r="I508" s="1">
        <f>IF(Query1[[#This Row],[ItemType]]="EVAP KIT SF GEN IV",Query1[[#This Row],[OrderQty]]+I507,I507)</f>
        <v>565</v>
      </c>
      <c r="J508" s="1">
        <f>IF(Query1[[#This Row],[ItemType]]="EVAP KIT UNIVERSAL",Query1[[#This Row],[OrderQty]]+J507,J507)</f>
        <v>351</v>
      </c>
      <c r="K508" s="1">
        <f>Query1[[#This Row],[SF Running Total]]+Query1[[#This Row],[UNIV Running Total]]</f>
        <v>916</v>
      </c>
      <c r="L508">
        <f>VLOOKUP(Query1[[#This Row],[Description]],'kits to boards'!$B$2:$E$156,2,FALSE)</f>
        <v>830076</v>
      </c>
      <c r="M508">
        <f>VLOOKUP(Query1[[#This Row],[Description]],'kits to boards'!$B$2:$E$156,3,FALSE)</f>
        <v>0</v>
      </c>
      <c r="N508">
        <f>VLOOKUP(Query1[[#This Row],[Description]],'kits to boards'!$B$2:$E$156,4,FALSE)</f>
        <v>0</v>
      </c>
      <c r="O508" t="str">
        <f>CONCATENATE(Query1[[#This Row],[Description]]," - ",Query1[[#This Row],[MB1]]," - ",Query1[[#This Row],[MB2]]," - ",Query1[[#This Row],[MB3]])</f>
        <v>EVAP KIT 64 1/2- 66 MUSTANG  - 830076 - 0 - 0</v>
      </c>
    </row>
    <row r="509" spans="1:15" x14ac:dyDescent="0.25">
      <c r="A509" s="1">
        <v>910271</v>
      </c>
      <c r="B509" s="1" t="s">
        <v>68</v>
      </c>
      <c r="C509" s="1" t="s">
        <v>69</v>
      </c>
      <c r="D509" s="2">
        <v>44602.426580011575</v>
      </c>
      <c r="E509" s="1" t="s">
        <v>8</v>
      </c>
      <c r="F509" s="1">
        <v>1</v>
      </c>
      <c r="G509" s="1">
        <v>0</v>
      </c>
      <c r="H509" s="6">
        <f>INT(Query1[[#This Row],[EntryDateTime]])</f>
        <v>44602</v>
      </c>
      <c r="I509" s="1">
        <f>IF(Query1[[#This Row],[ItemType]]="EVAP KIT SF GEN IV",Query1[[#This Row],[OrderQty]]+I508,I508)</f>
        <v>566</v>
      </c>
      <c r="J509" s="1">
        <f>IF(Query1[[#This Row],[ItemType]]="EVAP KIT UNIVERSAL",Query1[[#This Row],[OrderQty]]+J508,J508)</f>
        <v>351</v>
      </c>
      <c r="K509" s="1">
        <f>Query1[[#This Row],[SF Running Total]]+Query1[[#This Row],[UNIV Running Total]]</f>
        <v>917</v>
      </c>
      <c r="L509">
        <f>VLOOKUP(Query1[[#This Row],[Description]],'kits to boards'!$B$2:$E$156,2,FALSE)</f>
        <v>830010</v>
      </c>
      <c r="M509">
        <f>VLOOKUP(Query1[[#This Row],[Description]],'kits to boards'!$B$2:$E$156,3,FALSE)</f>
        <v>0</v>
      </c>
      <c r="N509">
        <f>VLOOKUP(Query1[[#This Row],[Description]],'kits to boards'!$B$2:$E$156,4,FALSE)</f>
        <v>0</v>
      </c>
      <c r="O509" t="str">
        <f>CONCATENATE(Query1[[#This Row],[Description]]," - ",Query1[[#This Row],[MB1]]," - ",Query1[[#This Row],[MB2]]," - ",Query1[[#This Row],[MB3]])</f>
        <v>EVAP KIT 70-72 CHEVELLE WO AC - 830010 - 0 - 0</v>
      </c>
    </row>
    <row r="510" spans="1:15" x14ac:dyDescent="0.25">
      <c r="A510" s="1">
        <v>910272</v>
      </c>
      <c r="B510" s="1" t="s">
        <v>156</v>
      </c>
      <c r="C510" s="1" t="s">
        <v>157</v>
      </c>
      <c r="D510" s="2">
        <v>44602.427329432867</v>
      </c>
      <c r="E510" s="1" t="s">
        <v>8</v>
      </c>
      <c r="F510" s="1">
        <v>1</v>
      </c>
      <c r="G510" s="1">
        <v>0</v>
      </c>
      <c r="H510" s="6">
        <f>INT(Query1[[#This Row],[EntryDateTime]])</f>
        <v>44602</v>
      </c>
      <c r="I510" s="1">
        <f>IF(Query1[[#This Row],[ItemType]]="EVAP KIT SF GEN IV",Query1[[#This Row],[OrderQty]]+I509,I509)</f>
        <v>567</v>
      </c>
      <c r="J510" s="1">
        <f>IF(Query1[[#This Row],[ItemType]]="EVAP KIT UNIVERSAL",Query1[[#This Row],[OrderQty]]+J509,J509)</f>
        <v>351</v>
      </c>
      <c r="K510" s="1">
        <f>Query1[[#This Row],[SF Running Total]]+Query1[[#This Row],[UNIV Running Total]]</f>
        <v>918</v>
      </c>
      <c r="L510">
        <f>VLOOKUP(Query1[[#This Row],[Description]],'kits to boards'!$B$2:$E$156,2,FALSE)</f>
        <v>830019</v>
      </c>
      <c r="M510">
        <f>VLOOKUP(Query1[[#This Row],[Description]],'kits to boards'!$B$2:$E$156,3,FALSE)</f>
        <v>0</v>
      </c>
      <c r="N510">
        <f>VLOOKUP(Query1[[#This Row],[Description]],'kits to boards'!$B$2:$E$156,4,FALSE)</f>
        <v>0</v>
      </c>
      <c r="O510" t="str">
        <f>CONCATENATE(Query1[[#This Row],[Description]]," - ",Query1[[#This Row],[MB1]]," - ",Query1[[#This Row],[MB2]]," - ",Query1[[#This Row],[MB3]])</f>
        <v>EVAP KIT 70-81 FIREBIRD WO AC - 830019 - 0 - 0</v>
      </c>
    </row>
    <row r="511" spans="1:15" x14ac:dyDescent="0.25">
      <c r="A511" s="1">
        <v>910270</v>
      </c>
      <c r="B511" s="1" t="s">
        <v>56</v>
      </c>
      <c r="C511" s="1" t="s">
        <v>57</v>
      </c>
      <c r="D511" s="2">
        <v>44602.427841400466</v>
      </c>
      <c r="E511" s="1" t="s">
        <v>8</v>
      </c>
      <c r="F511" s="1">
        <v>1</v>
      </c>
      <c r="G511" s="1">
        <v>0</v>
      </c>
      <c r="H511" s="6">
        <f>INT(Query1[[#This Row],[EntryDateTime]])</f>
        <v>44602</v>
      </c>
      <c r="I511" s="1">
        <f>IF(Query1[[#This Row],[ItemType]]="EVAP KIT SF GEN IV",Query1[[#This Row],[OrderQty]]+I510,I510)</f>
        <v>568</v>
      </c>
      <c r="J511" s="1">
        <f>IF(Query1[[#This Row],[ItemType]]="EVAP KIT UNIVERSAL",Query1[[#This Row],[OrderQty]]+J510,J510)</f>
        <v>351</v>
      </c>
      <c r="K511" s="1">
        <f>Query1[[#This Row],[SF Running Total]]+Query1[[#This Row],[UNIV Running Total]]</f>
        <v>919</v>
      </c>
      <c r="L511">
        <f>VLOOKUP(Query1[[#This Row],[Description]],'kits to boards'!$B$2:$E$156,2,FALSE)</f>
        <v>830011</v>
      </c>
      <c r="M511">
        <f>VLOOKUP(Query1[[#This Row],[Description]],'kits to boards'!$B$2:$E$156,3,FALSE)</f>
        <v>0</v>
      </c>
      <c r="N511">
        <f>VLOOKUP(Query1[[#This Row],[Description]],'kits to boards'!$B$2:$E$156,4,FALSE)</f>
        <v>0</v>
      </c>
      <c r="O511" t="str">
        <f>CONCATENATE(Query1[[#This Row],[Description]]," - ",Query1[[#This Row],[MB1]]," - ",Query1[[#This Row],[MB2]]," - ",Query1[[#This Row],[MB3]])</f>
        <v>EVAP KIT 70-72 CHEVELLE W/AC - 830011 - 0 - 0</v>
      </c>
    </row>
    <row r="512" spans="1:15" x14ac:dyDescent="0.25">
      <c r="A512" s="1">
        <v>910273</v>
      </c>
      <c r="B512" s="1" t="s">
        <v>156</v>
      </c>
      <c r="C512" s="1" t="s">
        <v>157</v>
      </c>
      <c r="D512" s="2">
        <v>44602.428111689813</v>
      </c>
      <c r="E512" s="1" t="s">
        <v>8</v>
      </c>
      <c r="F512" s="1">
        <v>1</v>
      </c>
      <c r="G512" s="1">
        <v>0</v>
      </c>
      <c r="H512" s="6">
        <f>INT(Query1[[#This Row],[EntryDateTime]])</f>
        <v>44602</v>
      </c>
      <c r="I512" s="1">
        <f>IF(Query1[[#This Row],[ItemType]]="EVAP KIT SF GEN IV",Query1[[#This Row],[OrderQty]]+I511,I511)</f>
        <v>569</v>
      </c>
      <c r="J512" s="1">
        <f>IF(Query1[[#This Row],[ItemType]]="EVAP KIT UNIVERSAL",Query1[[#This Row],[OrderQty]]+J511,J511)</f>
        <v>351</v>
      </c>
      <c r="K512" s="1">
        <f>Query1[[#This Row],[SF Running Total]]+Query1[[#This Row],[UNIV Running Total]]</f>
        <v>920</v>
      </c>
      <c r="L512">
        <f>VLOOKUP(Query1[[#This Row],[Description]],'kits to boards'!$B$2:$E$156,2,FALSE)</f>
        <v>830019</v>
      </c>
      <c r="M512">
        <f>VLOOKUP(Query1[[#This Row],[Description]],'kits to boards'!$B$2:$E$156,3,FALSE)</f>
        <v>0</v>
      </c>
      <c r="N512">
        <f>VLOOKUP(Query1[[#This Row],[Description]],'kits to boards'!$B$2:$E$156,4,FALSE)</f>
        <v>0</v>
      </c>
      <c r="O512" t="str">
        <f>CONCATENATE(Query1[[#This Row],[Description]]," - ",Query1[[#This Row],[MB1]]," - ",Query1[[#This Row],[MB2]]," - ",Query1[[#This Row],[MB3]])</f>
        <v>EVAP KIT 70-81 FIREBIRD WO AC - 830019 - 0 - 0</v>
      </c>
    </row>
    <row r="513" spans="1:15" x14ac:dyDescent="0.25">
      <c r="A513" s="1">
        <v>910274</v>
      </c>
      <c r="B513" s="1" t="s">
        <v>70</v>
      </c>
      <c r="C513" s="1" t="s">
        <v>71</v>
      </c>
      <c r="D513" s="2">
        <v>44602.429613888889</v>
      </c>
      <c r="E513" s="1" t="s">
        <v>8</v>
      </c>
      <c r="F513" s="1">
        <v>1</v>
      </c>
      <c r="G513" s="1">
        <v>0</v>
      </c>
      <c r="H513" s="6">
        <f>INT(Query1[[#This Row],[EntryDateTime]])</f>
        <v>44602</v>
      </c>
      <c r="I513" s="1">
        <f>IF(Query1[[#This Row],[ItemType]]="EVAP KIT SF GEN IV",Query1[[#This Row],[OrderQty]]+I512,I512)</f>
        <v>570</v>
      </c>
      <c r="J513" s="1">
        <f>IF(Query1[[#This Row],[ItemType]]="EVAP KIT UNIVERSAL",Query1[[#This Row],[OrderQty]]+J512,J512)</f>
        <v>351</v>
      </c>
      <c r="K513" s="1">
        <f>Query1[[#This Row],[SF Running Total]]+Query1[[#This Row],[UNIV Running Total]]</f>
        <v>921</v>
      </c>
      <c r="L513">
        <f>VLOOKUP(Query1[[#This Row],[Description]],'kits to boards'!$B$2:$E$156,2,FALSE)</f>
        <v>830050</v>
      </c>
      <c r="M513">
        <f>VLOOKUP(Query1[[#This Row],[Description]],'kits to boards'!$B$2:$E$156,3,FALSE)</f>
        <v>0</v>
      </c>
      <c r="N513">
        <f>VLOOKUP(Query1[[#This Row],[Description]],'kits to boards'!$B$2:$E$156,4,FALSE)</f>
        <v>0</v>
      </c>
      <c r="O513" t="str">
        <f>CONCATENATE(Query1[[#This Row],[Description]]," - ",Query1[[#This Row],[MB1]]," - ",Query1[[#This Row],[MB2]]," - ",Query1[[#This Row],[MB3]])</f>
        <v>EVAP KIT 70-78 CAMARO WO AC - 830050 - 0 - 0</v>
      </c>
    </row>
    <row r="514" spans="1:15" x14ac:dyDescent="0.25">
      <c r="A514" s="1">
        <v>910276</v>
      </c>
      <c r="B514" s="1" t="s">
        <v>30</v>
      </c>
      <c r="C514" s="1" t="s">
        <v>31</v>
      </c>
      <c r="D514" s="2">
        <v>44602.43094085648</v>
      </c>
      <c r="E514" s="1" t="s">
        <v>8</v>
      </c>
      <c r="F514" s="1">
        <v>1</v>
      </c>
      <c r="G514" s="1">
        <v>0</v>
      </c>
      <c r="H514" s="6">
        <f>INT(Query1[[#This Row],[EntryDateTime]])</f>
        <v>44602</v>
      </c>
      <c r="I514" s="1">
        <f>IF(Query1[[#This Row],[ItemType]]="EVAP KIT SF GEN IV",Query1[[#This Row],[OrderQty]]+I513,I513)</f>
        <v>571</v>
      </c>
      <c r="J514" s="1">
        <f>IF(Query1[[#This Row],[ItemType]]="EVAP KIT UNIVERSAL",Query1[[#This Row],[OrderQty]]+J513,J513)</f>
        <v>351</v>
      </c>
      <c r="K514" s="1">
        <f>Query1[[#This Row],[SF Running Total]]+Query1[[#This Row],[UNIV Running Total]]</f>
        <v>922</v>
      </c>
      <c r="L514">
        <f>VLOOKUP(Query1[[#This Row],[Description]],'kits to boards'!$B$2:$E$156,2,FALSE)</f>
        <v>830054</v>
      </c>
      <c r="M514">
        <f>VLOOKUP(Query1[[#This Row],[Description]],'kits to boards'!$B$2:$E$156,3,FALSE)</f>
        <v>0</v>
      </c>
      <c r="N514">
        <f>VLOOKUP(Query1[[#This Row],[Description]],'kits to boards'!$B$2:$E$156,4,FALSE)</f>
        <v>0</v>
      </c>
      <c r="O514" t="str">
        <f>CONCATENATE(Query1[[#This Row],[Description]]," - ",Query1[[#This Row],[MB1]]," - ",Query1[[#This Row],[MB2]]," - ",Query1[[#This Row],[MB3]])</f>
        <v>EVAP KIT 55-56 CHEVY 4-VENT - 830054 - 0 - 0</v>
      </c>
    </row>
    <row r="515" spans="1:15" x14ac:dyDescent="0.25">
      <c r="A515" s="1">
        <v>910278</v>
      </c>
      <c r="B515" s="1" t="s">
        <v>32</v>
      </c>
      <c r="C515" s="1" t="s">
        <v>33</v>
      </c>
      <c r="D515" s="2">
        <v>44602.43241021991</v>
      </c>
      <c r="E515" s="1" t="s">
        <v>8</v>
      </c>
      <c r="F515" s="1">
        <v>1</v>
      </c>
      <c r="G515" s="1">
        <v>0</v>
      </c>
      <c r="H515" s="6">
        <f>INT(Query1[[#This Row],[EntryDateTime]])</f>
        <v>44602</v>
      </c>
      <c r="I515" s="1">
        <f>IF(Query1[[#This Row],[ItemType]]="EVAP KIT SF GEN IV",Query1[[#This Row],[OrderQty]]+I514,I514)</f>
        <v>572</v>
      </c>
      <c r="J515" s="1">
        <f>IF(Query1[[#This Row],[ItemType]]="EVAP KIT UNIVERSAL",Query1[[#This Row],[OrderQty]]+J514,J514)</f>
        <v>351</v>
      </c>
      <c r="K515" s="1">
        <f>Query1[[#This Row],[SF Running Total]]+Query1[[#This Row],[UNIV Running Total]]</f>
        <v>923</v>
      </c>
      <c r="L515">
        <f>VLOOKUP(Query1[[#This Row],[Description]],'kits to boards'!$B$2:$E$156,2,FALSE)</f>
        <v>830016</v>
      </c>
      <c r="M515">
        <f>VLOOKUP(Query1[[#This Row],[Description]],'kits to boards'!$B$2:$E$156,3,FALSE)</f>
        <v>0</v>
      </c>
      <c r="N515">
        <f>VLOOKUP(Query1[[#This Row],[Description]],'kits to boards'!$B$2:$E$156,4,FALSE)</f>
        <v>0</v>
      </c>
      <c r="O515" t="str">
        <f>CONCATENATE(Query1[[#This Row],[Description]]," - ",Query1[[#This Row],[MB1]]," - ",Query1[[#This Row],[MB2]]," - ",Query1[[#This Row],[MB3]])</f>
        <v>EVAP KIT 67-68 CAMARO/FIREBIRD W/AC - 830016 - 0 - 0</v>
      </c>
    </row>
    <row r="516" spans="1:15" x14ac:dyDescent="0.25">
      <c r="A516" s="1">
        <v>909714</v>
      </c>
      <c r="B516" s="1" t="s">
        <v>24</v>
      </c>
      <c r="C516" s="1" t="s">
        <v>25</v>
      </c>
      <c r="D516" s="2">
        <v>44602.440628506942</v>
      </c>
      <c r="E516" s="1" t="s">
        <v>11</v>
      </c>
      <c r="F516" s="1">
        <v>1</v>
      </c>
      <c r="G516" s="1">
        <v>0</v>
      </c>
      <c r="H516" s="6">
        <f>INT(Query1[[#This Row],[EntryDateTime]])</f>
        <v>44602</v>
      </c>
      <c r="I516" s="1">
        <f>IF(Query1[[#This Row],[ItemType]]="EVAP KIT SF GEN IV",Query1[[#This Row],[OrderQty]]+I515,I515)</f>
        <v>572</v>
      </c>
      <c r="J516" s="1">
        <f>IF(Query1[[#This Row],[ItemType]]="EVAP KIT UNIVERSAL",Query1[[#This Row],[OrderQty]]+J515,J515)</f>
        <v>352</v>
      </c>
      <c r="K516" s="1">
        <f>Query1[[#This Row],[SF Running Total]]+Query1[[#This Row],[UNIV Running Total]]</f>
        <v>924</v>
      </c>
      <c r="L516">
        <f>VLOOKUP(Query1[[#This Row],[Description]],'kits to boards'!$B$2:$E$156,2,FALSE)</f>
        <v>830029</v>
      </c>
      <c r="M516">
        <f>VLOOKUP(Query1[[#This Row],[Description]],'kits to boards'!$B$2:$E$156,3,FALSE)</f>
        <v>830030</v>
      </c>
      <c r="N516">
        <f>VLOOKUP(Query1[[#This Row],[Description]],'kits to boards'!$B$2:$E$156,4,FALSE)</f>
        <v>0</v>
      </c>
      <c r="O516" t="str">
        <f>CONCATENATE(Query1[[#This Row],[Description]]," - ",Query1[[#This Row],[MB1]]," - ",Query1[[#This Row],[MB2]]," - ",Query1[[#This Row],[MB3]])</f>
        <v>ComPac GEN II W/DEF - 830029 - 830030 - 0</v>
      </c>
    </row>
    <row r="517" spans="1:15" x14ac:dyDescent="0.25">
      <c r="A517" s="1">
        <v>910283</v>
      </c>
      <c r="B517" s="1" t="s">
        <v>18</v>
      </c>
      <c r="C517" s="1" t="s">
        <v>19</v>
      </c>
      <c r="D517" s="2">
        <v>44602.44135721065</v>
      </c>
      <c r="E517" s="1" t="s">
        <v>8</v>
      </c>
      <c r="F517" s="1">
        <v>1</v>
      </c>
      <c r="G517" s="1">
        <v>0</v>
      </c>
      <c r="H517" s="6">
        <f>INT(Query1[[#This Row],[EntryDateTime]])</f>
        <v>44602</v>
      </c>
      <c r="I517" s="1">
        <f>IF(Query1[[#This Row],[ItemType]]="EVAP KIT SF GEN IV",Query1[[#This Row],[OrderQty]]+I516,I516)</f>
        <v>573</v>
      </c>
      <c r="J517" s="1">
        <f>IF(Query1[[#This Row],[ItemType]]="EVAP KIT UNIVERSAL",Query1[[#This Row],[OrderQty]]+J516,J516)</f>
        <v>352</v>
      </c>
      <c r="K517" s="1">
        <f>Query1[[#This Row],[SF Running Total]]+Query1[[#This Row],[UNIV Running Total]]</f>
        <v>925</v>
      </c>
      <c r="L517">
        <f>VLOOKUP(Query1[[#This Row],[Description]],'kits to boards'!$B$2:$E$156,2,FALSE)</f>
        <v>830051</v>
      </c>
      <c r="M517">
        <f>VLOOKUP(Query1[[#This Row],[Description]],'kits to boards'!$B$2:$E$156,3,FALSE)</f>
        <v>0</v>
      </c>
      <c r="N517">
        <f>VLOOKUP(Query1[[#This Row],[Description]],'kits to boards'!$B$2:$E$156,4,FALSE)</f>
        <v>0</v>
      </c>
      <c r="O517" t="str">
        <f>CONCATENATE(Query1[[#This Row],[Description]]," - ",Query1[[#This Row],[MB1]]," - ",Query1[[#This Row],[MB2]]," - ",Query1[[#This Row],[MB3]])</f>
        <v>EVAP KIT 70-78 CAMARO W/AC - 830051 - 0 - 0</v>
      </c>
    </row>
    <row r="518" spans="1:15" x14ac:dyDescent="0.25">
      <c r="A518" s="1">
        <v>908141</v>
      </c>
      <c r="B518" s="1" t="s">
        <v>48</v>
      </c>
      <c r="C518" s="1" t="s">
        <v>49</v>
      </c>
      <c r="D518" s="2">
        <v>44602.442800775461</v>
      </c>
      <c r="E518" s="1" t="s">
        <v>8</v>
      </c>
      <c r="F518" s="1">
        <v>1</v>
      </c>
      <c r="G518" s="1">
        <v>0</v>
      </c>
      <c r="H518" s="6">
        <f>INT(Query1[[#This Row],[EntryDateTime]])</f>
        <v>44602</v>
      </c>
      <c r="I518" s="1">
        <f>IF(Query1[[#This Row],[ItemType]]="EVAP KIT SF GEN IV",Query1[[#This Row],[OrderQty]]+I517,I517)</f>
        <v>574</v>
      </c>
      <c r="J518" s="1">
        <f>IF(Query1[[#This Row],[ItemType]]="EVAP KIT UNIVERSAL",Query1[[#This Row],[OrderQty]]+J517,J517)</f>
        <v>352</v>
      </c>
      <c r="K518" s="1">
        <f>Query1[[#This Row],[SF Running Total]]+Query1[[#This Row],[UNIV Running Total]]</f>
        <v>926</v>
      </c>
      <c r="L518">
        <f>VLOOKUP(Query1[[#This Row],[Description]],'kits to boards'!$B$2:$E$156,2,FALSE)</f>
        <v>830015</v>
      </c>
      <c r="M518">
        <f>VLOOKUP(Query1[[#This Row],[Description]],'kits to boards'!$B$2:$E$156,3,FALSE)</f>
        <v>0</v>
      </c>
      <c r="N518">
        <f>VLOOKUP(Query1[[#This Row],[Description]],'kits to boards'!$B$2:$E$156,4,FALSE)</f>
        <v>0</v>
      </c>
      <c r="O518" t="str">
        <f>CONCATENATE(Query1[[#This Row],[Description]]," - ",Query1[[#This Row],[MB1]]," - ",Query1[[#This Row],[MB2]]," - ",Query1[[#This Row],[MB3]])</f>
        <v>EVAP KIT 64-66 CHEV P-UP WO AC W/DELX - 830015 - 0 - 0</v>
      </c>
    </row>
    <row r="519" spans="1:15" x14ac:dyDescent="0.25">
      <c r="A519" s="1">
        <v>910275</v>
      </c>
      <c r="B519" s="1" t="s">
        <v>24</v>
      </c>
      <c r="C519" s="1" t="s">
        <v>25</v>
      </c>
      <c r="D519" s="2">
        <v>44602.444398576386</v>
      </c>
      <c r="E519" s="1" t="s">
        <v>11</v>
      </c>
      <c r="F519" s="1">
        <v>1</v>
      </c>
      <c r="G519" s="1">
        <v>0</v>
      </c>
      <c r="H519" s="6">
        <f>INT(Query1[[#This Row],[EntryDateTime]])</f>
        <v>44602</v>
      </c>
      <c r="I519" s="1">
        <f>IF(Query1[[#This Row],[ItemType]]="EVAP KIT SF GEN IV",Query1[[#This Row],[OrderQty]]+I518,I518)</f>
        <v>574</v>
      </c>
      <c r="J519" s="1">
        <f>IF(Query1[[#This Row],[ItemType]]="EVAP KIT UNIVERSAL",Query1[[#This Row],[OrderQty]]+J518,J518)</f>
        <v>353</v>
      </c>
      <c r="K519" s="1">
        <f>Query1[[#This Row],[SF Running Total]]+Query1[[#This Row],[UNIV Running Total]]</f>
        <v>927</v>
      </c>
      <c r="L519">
        <f>VLOOKUP(Query1[[#This Row],[Description]],'kits to boards'!$B$2:$E$156,2,FALSE)</f>
        <v>830029</v>
      </c>
      <c r="M519">
        <f>VLOOKUP(Query1[[#This Row],[Description]],'kits to boards'!$B$2:$E$156,3,FALSE)</f>
        <v>830030</v>
      </c>
      <c r="N519">
        <f>VLOOKUP(Query1[[#This Row],[Description]],'kits to boards'!$B$2:$E$156,4,FALSE)</f>
        <v>0</v>
      </c>
      <c r="O519" t="str">
        <f>CONCATENATE(Query1[[#This Row],[Description]]," - ",Query1[[#This Row],[MB1]]," - ",Query1[[#This Row],[MB2]]," - ",Query1[[#This Row],[MB3]])</f>
        <v>ComPac GEN II W/DEF - 830029 - 830030 - 0</v>
      </c>
    </row>
    <row r="520" spans="1:15" x14ac:dyDescent="0.25">
      <c r="A520" s="1">
        <v>910284</v>
      </c>
      <c r="B520" s="1" t="s">
        <v>100</v>
      </c>
      <c r="C520" s="1" t="s">
        <v>101</v>
      </c>
      <c r="D520" s="2">
        <v>44602.447345335648</v>
      </c>
      <c r="E520" s="1" t="s">
        <v>8</v>
      </c>
      <c r="F520" s="1">
        <v>1</v>
      </c>
      <c r="G520" s="1">
        <v>0</v>
      </c>
      <c r="H520" s="6">
        <f>INT(Query1[[#This Row],[EntryDateTime]])</f>
        <v>44602</v>
      </c>
      <c r="I520" s="1">
        <f>IF(Query1[[#This Row],[ItemType]]="EVAP KIT SF GEN IV",Query1[[#This Row],[OrderQty]]+I519,I519)</f>
        <v>575</v>
      </c>
      <c r="J520" s="1">
        <f>IF(Query1[[#This Row],[ItemType]]="EVAP KIT UNIVERSAL",Query1[[#This Row],[OrderQty]]+J519,J519)</f>
        <v>353</v>
      </c>
      <c r="K520" s="1">
        <f>Query1[[#This Row],[SF Running Total]]+Query1[[#This Row],[UNIV Running Total]]</f>
        <v>928</v>
      </c>
      <c r="L520">
        <f>VLOOKUP(Query1[[#This Row],[Description]],'kits to boards'!$B$2:$E$156,2,FALSE)</f>
        <v>830096</v>
      </c>
      <c r="M520">
        <f>VLOOKUP(Query1[[#This Row],[Description]],'kits to boards'!$B$2:$E$156,3,FALSE)</f>
        <v>0</v>
      </c>
      <c r="N520">
        <f>VLOOKUP(Query1[[#This Row],[Description]],'kits to boards'!$B$2:$E$156,4,FALSE)</f>
        <v>0</v>
      </c>
      <c r="O520" t="str">
        <f>CONCATENATE(Query1[[#This Row],[Description]]," - ",Query1[[#This Row],[MB1]]," - ",Query1[[#This Row],[MB2]]," - ",Query1[[#This Row],[MB3]])</f>
        <v>EVAP KIT 62-65 NOVA - 830096 - 0 - 0</v>
      </c>
    </row>
    <row r="521" spans="1:15" x14ac:dyDescent="0.25">
      <c r="A521" s="1">
        <v>910294</v>
      </c>
      <c r="B521" s="1" t="s">
        <v>273</v>
      </c>
      <c r="C521" s="1" t="s">
        <v>274</v>
      </c>
      <c r="D521" s="2">
        <v>44602.458030787035</v>
      </c>
      <c r="E521" s="1" t="s">
        <v>8</v>
      </c>
      <c r="F521" s="1">
        <v>2</v>
      </c>
      <c r="G521" s="1">
        <v>0</v>
      </c>
      <c r="H521" s="6">
        <f>INT(Query1[[#This Row],[EntryDateTime]])</f>
        <v>44602</v>
      </c>
      <c r="I521" s="1">
        <f>IF(Query1[[#This Row],[ItemType]]="EVAP KIT SF GEN IV",Query1[[#This Row],[OrderQty]]+I520,I520)</f>
        <v>577</v>
      </c>
      <c r="J521" s="1">
        <f>IF(Query1[[#This Row],[ItemType]]="EVAP KIT UNIVERSAL",Query1[[#This Row],[OrderQty]]+J520,J520)</f>
        <v>353</v>
      </c>
      <c r="K521" s="1">
        <f>Query1[[#This Row],[SF Running Total]]+Query1[[#This Row],[UNIV Running Total]]</f>
        <v>930</v>
      </c>
      <c r="L521">
        <f>VLOOKUP(Query1[[#This Row],[Description]],'kits to boards'!$B$2:$E$156,2,FALSE)</f>
        <v>830056</v>
      </c>
      <c r="M521">
        <f>VLOOKUP(Query1[[#This Row],[Description]],'kits to boards'!$B$2:$E$156,3,FALSE)</f>
        <v>0</v>
      </c>
      <c r="N521">
        <f>VLOOKUP(Query1[[#This Row],[Description]],'kits to boards'!$B$2:$E$156,4,FALSE)</f>
        <v>0</v>
      </c>
      <c r="O521" t="str">
        <f>CONCATENATE(Query1[[#This Row],[Description]]," - ",Query1[[#This Row],[MB1]]," - ",Query1[[#This Row],[MB2]]," - ",Query1[[#This Row],[MB3]])</f>
        <v>EVAP KIT 64-65 CHEVELLE W/AC - 830056 - 0 - 0</v>
      </c>
    </row>
    <row r="522" spans="1:15" x14ac:dyDescent="0.25">
      <c r="A522" s="1">
        <v>910293</v>
      </c>
      <c r="B522" s="1" t="s">
        <v>22</v>
      </c>
      <c r="C522" s="1" t="s">
        <v>23</v>
      </c>
      <c r="D522" s="2">
        <v>44602.461822685182</v>
      </c>
      <c r="E522" s="1" t="s">
        <v>8</v>
      </c>
      <c r="F522" s="1">
        <v>1</v>
      </c>
      <c r="G522" s="1">
        <v>0</v>
      </c>
      <c r="H522" s="6">
        <f>INT(Query1[[#This Row],[EntryDateTime]])</f>
        <v>44602</v>
      </c>
      <c r="I522" s="1">
        <f>IF(Query1[[#This Row],[ItemType]]="EVAP KIT SF GEN IV",Query1[[#This Row],[OrderQty]]+I521,I521)</f>
        <v>578</v>
      </c>
      <c r="J522" s="1">
        <f>IF(Query1[[#This Row],[ItemType]]="EVAP KIT UNIVERSAL",Query1[[#This Row],[OrderQty]]+J521,J521)</f>
        <v>353</v>
      </c>
      <c r="K522" s="1">
        <f>Query1[[#This Row],[SF Running Total]]+Query1[[#This Row],[UNIV Running Total]]</f>
        <v>931</v>
      </c>
      <c r="L522">
        <f>VLOOKUP(Query1[[#This Row],[Description]],'kits to boards'!$B$2:$E$156,2,FALSE)</f>
        <v>830083</v>
      </c>
      <c r="M522">
        <f>VLOOKUP(Query1[[#This Row],[Description]],'kits to boards'!$B$2:$E$156,3,FALSE)</f>
        <v>0</v>
      </c>
      <c r="N522">
        <f>VLOOKUP(Query1[[#This Row],[Description]],'kits to boards'!$B$2:$E$156,4,FALSE)</f>
        <v>0</v>
      </c>
      <c r="O522" t="str">
        <f>CONCATENATE(Query1[[#This Row],[Description]]," - ",Query1[[#This Row],[MB1]]," - ",Query1[[#This Row],[MB2]]," - ",Query1[[#This Row],[MB3]])</f>
        <v>GEN IV MAGNUM EVAP KIT - 830083 - 0 - 0</v>
      </c>
    </row>
    <row r="523" spans="1:15" x14ac:dyDescent="0.25">
      <c r="A523" s="1">
        <v>909473</v>
      </c>
      <c r="B523" s="1" t="s">
        <v>12</v>
      </c>
      <c r="C523" s="1" t="s">
        <v>13</v>
      </c>
      <c r="D523" s="2">
        <v>44602.477402199074</v>
      </c>
      <c r="E523" s="1" t="s">
        <v>8</v>
      </c>
      <c r="F523" s="1">
        <v>1</v>
      </c>
      <c r="G523" s="1">
        <v>0</v>
      </c>
      <c r="H523" s="6">
        <f>INT(Query1[[#This Row],[EntryDateTime]])</f>
        <v>44602</v>
      </c>
      <c r="I523" s="1">
        <f>IF(Query1[[#This Row],[ItemType]]="EVAP KIT SF GEN IV",Query1[[#This Row],[OrderQty]]+I522,I522)</f>
        <v>579</v>
      </c>
      <c r="J523" s="1">
        <f>IF(Query1[[#This Row],[ItemType]]="EVAP KIT UNIVERSAL",Query1[[#This Row],[OrderQty]]+J522,J522)</f>
        <v>353</v>
      </c>
      <c r="K523" s="1">
        <f>Query1[[#This Row],[SF Running Total]]+Query1[[#This Row],[UNIV Running Total]]</f>
        <v>932</v>
      </c>
      <c r="L523">
        <f>VLOOKUP(Query1[[#This Row],[Description]],'kits to boards'!$B$2:$E$156,2,FALSE)</f>
        <v>830079</v>
      </c>
      <c r="M523">
        <f>VLOOKUP(Query1[[#This Row],[Description]],'kits to boards'!$B$2:$E$156,3,FALSE)</f>
        <v>830046</v>
      </c>
      <c r="N523">
        <f>VLOOKUP(Query1[[#This Row],[Description]],'kits to boards'!$B$2:$E$156,4,FALSE)</f>
        <v>0</v>
      </c>
      <c r="O523" t="str">
        <f>CONCATENATE(Query1[[#This Row],[Description]]," - ",Query1[[#This Row],[MB1]]," - ",Query1[[#This Row],[MB2]]," - ",Query1[[#This Row],[MB3]])</f>
        <v>EVAP KIT 67-68 MUSTANG/COUGAR W/AC - 830079 - 830046 - 0</v>
      </c>
    </row>
    <row r="524" spans="1:15" x14ac:dyDescent="0.25">
      <c r="A524" s="1">
        <v>910233</v>
      </c>
      <c r="B524" s="1" t="s">
        <v>128</v>
      </c>
      <c r="C524" s="1" t="s">
        <v>129</v>
      </c>
      <c r="D524" s="2">
        <v>44602.479595567129</v>
      </c>
      <c r="E524" s="1" t="s">
        <v>8</v>
      </c>
      <c r="F524" s="1">
        <v>1</v>
      </c>
      <c r="G524" s="1">
        <v>0</v>
      </c>
      <c r="H524" s="6">
        <f>INT(Query1[[#This Row],[EntryDateTime]])</f>
        <v>44602</v>
      </c>
      <c r="I524" s="1">
        <f>IF(Query1[[#This Row],[ItemType]]="EVAP KIT SF GEN IV",Query1[[#This Row],[OrderQty]]+I523,I523)</f>
        <v>580</v>
      </c>
      <c r="J524" s="1">
        <f>IF(Query1[[#This Row],[ItemType]]="EVAP KIT UNIVERSAL",Query1[[#This Row],[OrderQty]]+J523,J523)</f>
        <v>353</v>
      </c>
      <c r="K524" s="1">
        <f>Query1[[#This Row],[SF Running Total]]+Query1[[#This Row],[UNIV Running Total]]</f>
        <v>933</v>
      </c>
      <c r="L524">
        <f>VLOOKUP(Query1[[#This Row],[Description]],'kits to boards'!$B$2:$E$156,2,FALSE)</f>
        <v>830036</v>
      </c>
      <c r="M524">
        <f>VLOOKUP(Query1[[#This Row],[Description]],'kits to boards'!$B$2:$E$156,3,FALSE)</f>
        <v>830039</v>
      </c>
      <c r="N524">
        <f>VLOOKUP(Query1[[#This Row],[Description]],'kits to boards'!$B$2:$E$156,4,FALSE)</f>
        <v>0</v>
      </c>
      <c r="O524" t="str">
        <f>CONCATENATE(Query1[[#This Row],[Description]]," - ",Query1[[#This Row],[MB1]]," - ",Query1[[#This Row],[MB2]]," - ",Query1[[#This Row],[MB3]])</f>
        <v>EVAP KIT 63-66 VETTE WO AC - 830036 - 830039 - 0</v>
      </c>
    </row>
    <row r="525" spans="1:15" x14ac:dyDescent="0.25">
      <c r="A525" s="1">
        <v>910300</v>
      </c>
      <c r="B525" s="1" t="s">
        <v>26</v>
      </c>
      <c r="C525" s="1" t="s">
        <v>27</v>
      </c>
      <c r="D525" s="2">
        <v>44602.489816817128</v>
      </c>
      <c r="E525" s="1" t="s">
        <v>8</v>
      </c>
      <c r="F525" s="1">
        <v>1</v>
      </c>
      <c r="G525" s="1">
        <v>0</v>
      </c>
      <c r="H525" s="6">
        <f>INT(Query1[[#This Row],[EntryDateTime]])</f>
        <v>44602</v>
      </c>
      <c r="I525" s="1">
        <f>IF(Query1[[#This Row],[ItemType]]="EVAP KIT SF GEN IV",Query1[[#This Row],[OrderQty]]+I524,I524)</f>
        <v>581</v>
      </c>
      <c r="J525" s="1">
        <f>IF(Query1[[#This Row],[ItemType]]="EVAP KIT UNIVERSAL",Query1[[#This Row],[OrderQty]]+J524,J524)</f>
        <v>353</v>
      </c>
      <c r="K525" s="1">
        <f>Query1[[#This Row],[SF Running Total]]+Query1[[#This Row],[UNIV Running Total]]</f>
        <v>934</v>
      </c>
      <c r="L525">
        <f>VLOOKUP(Query1[[#This Row],[Description]],'kits to boards'!$B$2:$E$156,2,FALSE)</f>
        <v>830013</v>
      </c>
      <c r="M525">
        <f>VLOOKUP(Query1[[#This Row],[Description]],'kits to boards'!$B$2:$E$156,3,FALSE)</f>
        <v>0</v>
      </c>
      <c r="N525">
        <f>VLOOKUP(Query1[[#This Row],[Description]],'kits to boards'!$B$2:$E$156,4,FALSE)</f>
        <v>0</v>
      </c>
      <c r="O525" t="str">
        <f>CONCATENATE(Query1[[#This Row],[Description]]," - ",Query1[[#This Row],[MB1]]," - ",Query1[[#This Row],[MB2]]," - ",Query1[[#This Row],[MB3]])</f>
        <v>EVAP KIT 67-72 CHEV P-UP W/AC - 830013 - 0 - 0</v>
      </c>
    </row>
    <row r="526" spans="1:15" x14ac:dyDescent="0.25">
      <c r="A526" s="1">
        <v>910302</v>
      </c>
      <c r="B526" s="1" t="s">
        <v>68</v>
      </c>
      <c r="C526" s="1" t="s">
        <v>69</v>
      </c>
      <c r="D526" s="2">
        <v>44602.492695949077</v>
      </c>
      <c r="E526" s="1" t="s">
        <v>8</v>
      </c>
      <c r="F526" s="1">
        <v>1</v>
      </c>
      <c r="G526" s="1">
        <v>0</v>
      </c>
      <c r="H526" s="6">
        <f>INT(Query1[[#This Row],[EntryDateTime]])</f>
        <v>44602</v>
      </c>
      <c r="I526" s="1">
        <f>IF(Query1[[#This Row],[ItemType]]="EVAP KIT SF GEN IV",Query1[[#This Row],[OrderQty]]+I525,I525)</f>
        <v>582</v>
      </c>
      <c r="J526" s="1">
        <f>IF(Query1[[#This Row],[ItemType]]="EVAP KIT UNIVERSAL",Query1[[#This Row],[OrderQty]]+J525,J525)</f>
        <v>353</v>
      </c>
      <c r="K526" s="1">
        <f>Query1[[#This Row],[SF Running Total]]+Query1[[#This Row],[UNIV Running Total]]</f>
        <v>935</v>
      </c>
      <c r="L526">
        <f>VLOOKUP(Query1[[#This Row],[Description]],'kits to boards'!$B$2:$E$156,2,FALSE)</f>
        <v>830010</v>
      </c>
      <c r="M526">
        <f>VLOOKUP(Query1[[#This Row],[Description]],'kits to boards'!$B$2:$E$156,3,FALSE)</f>
        <v>0</v>
      </c>
      <c r="N526">
        <f>VLOOKUP(Query1[[#This Row],[Description]],'kits to boards'!$B$2:$E$156,4,FALSE)</f>
        <v>0</v>
      </c>
      <c r="O526" t="str">
        <f>CONCATENATE(Query1[[#This Row],[Description]]," - ",Query1[[#This Row],[MB1]]," - ",Query1[[#This Row],[MB2]]," - ",Query1[[#This Row],[MB3]])</f>
        <v>EVAP KIT 70-72 CHEVELLE WO AC - 830010 - 0 - 0</v>
      </c>
    </row>
    <row r="527" spans="1:15" x14ac:dyDescent="0.25">
      <c r="A527" s="1">
        <v>910306</v>
      </c>
      <c r="B527" s="1" t="s">
        <v>102</v>
      </c>
      <c r="C527" s="1" t="s">
        <v>103</v>
      </c>
      <c r="D527" s="2">
        <v>44602.497818668984</v>
      </c>
      <c r="E527" s="1" t="s">
        <v>8</v>
      </c>
      <c r="F527" s="1">
        <v>1</v>
      </c>
      <c r="G527" s="1">
        <v>0</v>
      </c>
      <c r="H527" s="6">
        <f>INT(Query1[[#This Row],[EntryDateTime]])</f>
        <v>44602</v>
      </c>
      <c r="I527" s="1">
        <f>IF(Query1[[#This Row],[ItemType]]="EVAP KIT SF GEN IV",Query1[[#This Row],[OrderQty]]+I526,I526)</f>
        <v>583</v>
      </c>
      <c r="J527" s="1">
        <f>IF(Query1[[#This Row],[ItemType]]="EVAP KIT UNIVERSAL",Query1[[#This Row],[OrderQty]]+J526,J526)</f>
        <v>353</v>
      </c>
      <c r="K527" s="1">
        <f>Query1[[#This Row],[SF Running Total]]+Query1[[#This Row],[UNIV Running Total]]</f>
        <v>936</v>
      </c>
      <c r="L527">
        <f>VLOOKUP(Query1[[#This Row],[Description]],'kits to boards'!$B$2:$E$156,2,FALSE)</f>
        <v>830012</v>
      </c>
      <c r="M527">
        <f>VLOOKUP(Query1[[#This Row],[Description]],'kits to boards'!$B$2:$E$156,3,FALSE)</f>
        <v>0</v>
      </c>
      <c r="N527">
        <f>VLOOKUP(Query1[[#This Row],[Description]],'kits to boards'!$B$2:$E$156,4,FALSE)</f>
        <v>0</v>
      </c>
      <c r="O527" t="str">
        <f>CONCATENATE(Query1[[#This Row],[Description]]," - ",Query1[[#This Row],[MB1]]," - ",Query1[[#This Row],[MB2]]," - ",Query1[[#This Row],[MB3]])</f>
        <v>EVAP KIT 69 CAMARO WO/AC - 830012 - 0 - 0</v>
      </c>
    </row>
    <row r="528" spans="1:15" x14ac:dyDescent="0.25">
      <c r="A528" s="1">
        <v>910308</v>
      </c>
      <c r="B528" s="1" t="s">
        <v>60</v>
      </c>
      <c r="C528" s="1" t="s">
        <v>61</v>
      </c>
      <c r="D528" s="2">
        <v>44602.49855744213</v>
      </c>
      <c r="E528" s="1" t="s">
        <v>8</v>
      </c>
      <c r="F528" s="1">
        <v>1</v>
      </c>
      <c r="G528" s="1">
        <v>0</v>
      </c>
      <c r="H528" s="6">
        <f>INT(Query1[[#This Row],[EntryDateTime]])</f>
        <v>44602</v>
      </c>
      <c r="I528" s="1">
        <f>IF(Query1[[#This Row],[ItemType]]="EVAP KIT SF GEN IV",Query1[[#This Row],[OrderQty]]+I527,I527)</f>
        <v>584</v>
      </c>
      <c r="J528" s="1">
        <f>IF(Query1[[#This Row],[ItemType]]="EVAP KIT UNIVERSAL",Query1[[#This Row],[OrderQty]]+J527,J527)</f>
        <v>353</v>
      </c>
      <c r="K528" s="1">
        <f>Query1[[#This Row],[SF Running Total]]+Query1[[#This Row],[UNIV Running Total]]</f>
        <v>937</v>
      </c>
      <c r="L528">
        <f>VLOOKUP(Query1[[#This Row],[Description]],'kits to boards'!$B$2:$E$156,2,FALSE)</f>
        <v>830062</v>
      </c>
      <c r="M528">
        <f>VLOOKUP(Query1[[#This Row],[Description]],'kits to boards'!$B$2:$E$156,3,FALSE)</f>
        <v>0</v>
      </c>
      <c r="N528">
        <f>VLOOKUP(Query1[[#This Row],[Description]],'kits to boards'!$B$2:$E$156,4,FALSE)</f>
        <v>0</v>
      </c>
      <c r="O528" t="str">
        <f>CONCATENATE(Query1[[#This Row],[Description]]," - ",Query1[[#This Row],[MB1]]," - ",Query1[[#This Row],[MB2]]," - ",Query1[[#This Row],[MB3]])</f>
        <v>EVAP KIT 68-69 CHEVELLE WO AC - 830062 - 0 - 0</v>
      </c>
    </row>
    <row r="529" spans="1:15" x14ac:dyDescent="0.25">
      <c r="A529" s="1">
        <v>910315</v>
      </c>
      <c r="B529" s="1" t="s">
        <v>22</v>
      </c>
      <c r="C529" s="1" t="s">
        <v>23</v>
      </c>
      <c r="D529" s="2">
        <v>44602.509674803237</v>
      </c>
      <c r="E529" s="1" t="s">
        <v>8</v>
      </c>
      <c r="F529" s="1">
        <v>1</v>
      </c>
      <c r="G529" s="1">
        <v>0</v>
      </c>
      <c r="H529" s="6">
        <f>INT(Query1[[#This Row],[EntryDateTime]])</f>
        <v>44602</v>
      </c>
      <c r="I529" s="1">
        <f>IF(Query1[[#This Row],[ItemType]]="EVAP KIT SF GEN IV",Query1[[#This Row],[OrderQty]]+I528,I528)</f>
        <v>585</v>
      </c>
      <c r="J529" s="1">
        <f>IF(Query1[[#This Row],[ItemType]]="EVAP KIT UNIVERSAL",Query1[[#This Row],[OrderQty]]+J528,J528)</f>
        <v>353</v>
      </c>
      <c r="K529" s="1">
        <f>Query1[[#This Row],[SF Running Total]]+Query1[[#This Row],[UNIV Running Total]]</f>
        <v>938</v>
      </c>
      <c r="L529">
        <f>VLOOKUP(Query1[[#This Row],[Description]],'kits to boards'!$B$2:$E$156,2,FALSE)</f>
        <v>830083</v>
      </c>
      <c r="M529">
        <f>VLOOKUP(Query1[[#This Row],[Description]],'kits to boards'!$B$2:$E$156,3,FALSE)</f>
        <v>0</v>
      </c>
      <c r="N529">
        <f>VLOOKUP(Query1[[#This Row],[Description]],'kits to boards'!$B$2:$E$156,4,FALSE)</f>
        <v>0</v>
      </c>
      <c r="O529" t="str">
        <f>CONCATENATE(Query1[[#This Row],[Description]]," - ",Query1[[#This Row],[MB1]]," - ",Query1[[#This Row],[MB2]]," - ",Query1[[#This Row],[MB3]])</f>
        <v>GEN IV MAGNUM EVAP KIT - 830083 - 0 - 0</v>
      </c>
    </row>
    <row r="530" spans="1:15" x14ac:dyDescent="0.25">
      <c r="A530" s="1">
        <v>910315</v>
      </c>
      <c r="B530" s="1" t="s">
        <v>96</v>
      </c>
      <c r="C530" s="1" t="s">
        <v>97</v>
      </c>
      <c r="D530" s="2">
        <v>44602.50989976852</v>
      </c>
      <c r="E530" s="1" t="s">
        <v>8</v>
      </c>
      <c r="F530" s="1">
        <v>1</v>
      </c>
      <c r="G530" s="1">
        <v>0</v>
      </c>
      <c r="H530" s="6">
        <f>INT(Query1[[#This Row],[EntryDateTime]])</f>
        <v>44602</v>
      </c>
      <c r="I530" s="1">
        <f>IF(Query1[[#This Row],[ItemType]]="EVAP KIT SF GEN IV",Query1[[#This Row],[OrderQty]]+I529,I529)</f>
        <v>586</v>
      </c>
      <c r="J530" s="1">
        <f>IF(Query1[[#This Row],[ItemType]]="EVAP KIT UNIVERSAL",Query1[[#This Row],[OrderQty]]+J529,J529)</f>
        <v>353</v>
      </c>
      <c r="K530" s="1">
        <f>Query1[[#This Row],[SF Running Total]]+Query1[[#This Row],[UNIV Running Total]]</f>
        <v>939</v>
      </c>
      <c r="L530">
        <f>VLOOKUP(Query1[[#This Row],[Description]],'kits to boards'!$B$2:$E$156,2,FALSE)</f>
        <v>830004</v>
      </c>
      <c r="M530">
        <f>VLOOKUP(Query1[[#This Row],[Description]],'kits to boards'!$B$2:$E$156,3,FALSE)</f>
        <v>0</v>
      </c>
      <c r="N530">
        <f>VLOOKUP(Query1[[#This Row],[Description]],'kits to boards'!$B$2:$E$156,4,FALSE)</f>
        <v>0</v>
      </c>
      <c r="O530" t="str">
        <f>CONCATENATE(Query1[[#This Row],[Description]]," - ",Query1[[#This Row],[MB1]]," - ",Query1[[#This Row],[MB2]]," - ",Query1[[#This Row],[MB3]])</f>
        <v>EVAP KIT 81-87 CHEV P-UP W/AC - 830004 - 0 - 0</v>
      </c>
    </row>
    <row r="531" spans="1:15" x14ac:dyDescent="0.25">
      <c r="A531" s="1">
        <v>907553</v>
      </c>
      <c r="B531" s="1" t="s">
        <v>240</v>
      </c>
      <c r="C531" s="1" t="s">
        <v>241</v>
      </c>
      <c r="D531" s="2">
        <v>44602.518976736108</v>
      </c>
      <c r="E531" s="1" t="s">
        <v>8</v>
      </c>
      <c r="F531" s="1">
        <v>1</v>
      </c>
      <c r="G531" s="1">
        <v>0</v>
      </c>
      <c r="H531" s="6">
        <f>INT(Query1[[#This Row],[EntryDateTime]])</f>
        <v>44602</v>
      </c>
      <c r="I531" s="1">
        <f>IF(Query1[[#This Row],[ItemType]]="EVAP KIT SF GEN IV",Query1[[#This Row],[OrderQty]]+I530,I530)</f>
        <v>587</v>
      </c>
      <c r="J531" s="1">
        <f>IF(Query1[[#This Row],[ItemType]]="EVAP KIT UNIVERSAL",Query1[[#This Row],[OrderQty]]+J530,J530)</f>
        <v>353</v>
      </c>
      <c r="K531" s="1">
        <f>Query1[[#This Row],[SF Running Total]]+Query1[[#This Row],[UNIV Running Total]]</f>
        <v>940</v>
      </c>
      <c r="L531">
        <f>VLOOKUP(Query1[[#This Row],[Description]],'kits to boards'!$B$2:$E$156,2,FALSE)</f>
        <v>830032</v>
      </c>
      <c r="M531">
        <f>VLOOKUP(Query1[[#This Row],[Description]],'kits to boards'!$B$2:$E$156,3,FALSE)</f>
        <v>0</v>
      </c>
      <c r="N531">
        <f>VLOOKUP(Query1[[#This Row],[Description]],'kits to boards'!$B$2:$E$156,4,FALSE)</f>
        <v>0</v>
      </c>
      <c r="O531" t="str">
        <f>CONCATENATE(Query1[[#This Row],[Description]]," - ",Query1[[#This Row],[MB1]]," - ",Query1[[#This Row],[MB2]]," - ",Query1[[#This Row],[MB3]])</f>
        <v>EVAP KIT 58-60 VETTE - 830032 - 0 - 0</v>
      </c>
    </row>
    <row r="532" spans="1:15" x14ac:dyDescent="0.25">
      <c r="A532" s="1">
        <v>910322</v>
      </c>
      <c r="B532" s="1" t="s">
        <v>22</v>
      </c>
      <c r="C532" s="1" t="s">
        <v>23</v>
      </c>
      <c r="D532" s="2">
        <v>44602.519173611108</v>
      </c>
      <c r="E532" s="1" t="s">
        <v>8</v>
      </c>
      <c r="F532" s="1">
        <v>1</v>
      </c>
      <c r="G532" s="1">
        <v>0</v>
      </c>
      <c r="H532" s="6">
        <f>INT(Query1[[#This Row],[EntryDateTime]])</f>
        <v>44602</v>
      </c>
      <c r="I532" s="1">
        <f>IF(Query1[[#This Row],[ItemType]]="EVAP KIT SF GEN IV",Query1[[#This Row],[OrderQty]]+I531,I531)</f>
        <v>588</v>
      </c>
      <c r="J532" s="1">
        <f>IF(Query1[[#This Row],[ItemType]]="EVAP KIT UNIVERSAL",Query1[[#This Row],[OrderQty]]+J531,J531)</f>
        <v>353</v>
      </c>
      <c r="K532" s="1">
        <f>Query1[[#This Row],[SF Running Total]]+Query1[[#This Row],[UNIV Running Total]]</f>
        <v>941</v>
      </c>
      <c r="L532">
        <f>VLOOKUP(Query1[[#This Row],[Description]],'kits to boards'!$B$2:$E$156,2,FALSE)</f>
        <v>830083</v>
      </c>
      <c r="M532">
        <f>VLOOKUP(Query1[[#This Row],[Description]],'kits to boards'!$B$2:$E$156,3,FALSE)</f>
        <v>0</v>
      </c>
      <c r="N532">
        <f>VLOOKUP(Query1[[#This Row],[Description]],'kits to boards'!$B$2:$E$156,4,FALSE)</f>
        <v>0</v>
      </c>
      <c r="O532" t="str">
        <f>CONCATENATE(Query1[[#This Row],[Description]]," - ",Query1[[#This Row],[MB1]]," - ",Query1[[#This Row],[MB2]]," - ",Query1[[#This Row],[MB3]])</f>
        <v>GEN IV MAGNUM EVAP KIT - 830083 - 0 - 0</v>
      </c>
    </row>
    <row r="533" spans="1:15" x14ac:dyDescent="0.25">
      <c r="A533" s="1">
        <v>910326</v>
      </c>
      <c r="B533" s="1" t="s">
        <v>46</v>
      </c>
      <c r="C533" s="1" t="s">
        <v>47</v>
      </c>
      <c r="D533" s="2">
        <v>44602.525743865743</v>
      </c>
      <c r="E533" s="1" t="s">
        <v>8</v>
      </c>
      <c r="F533" s="1">
        <v>1</v>
      </c>
      <c r="G533" s="1">
        <v>0</v>
      </c>
      <c r="H533" s="6">
        <f>INT(Query1[[#This Row],[EntryDateTime]])</f>
        <v>44602</v>
      </c>
      <c r="I533" s="1">
        <f>IF(Query1[[#This Row],[ItemType]]="EVAP KIT SF GEN IV",Query1[[#This Row],[OrderQty]]+I532,I532)</f>
        <v>589</v>
      </c>
      <c r="J533" s="1">
        <f>IF(Query1[[#This Row],[ItemType]]="EVAP KIT UNIVERSAL",Query1[[#This Row],[OrderQty]]+J532,J532)</f>
        <v>353</v>
      </c>
      <c r="K533" s="1">
        <f>Query1[[#This Row],[SF Running Total]]+Query1[[#This Row],[UNIV Running Total]]</f>
        <v>942</v>
      </c>
      <c r="L533">
        <f>VLOOKUP(Query1[[#This Row],[Description]],'kits to boards'!$B$2:$E$156,2,FALSE)</f>
        <v>830018</v>
      </c>
      <c r="M533">
        <f>VLOOKUP(Query1[[#This Row],[Description]],'kits to boards'!$B$2:$E$156,3,FALSE)</f>
        <v>0</v>
      </c>
      <c r="N533">
        <f>VLOOKUP(Query1[[#This Row],[Description]],'kits to boards'!$B$2:$E$156,4,FALSE)</f>
        <v>0</v>
      </c>
      <c r="O533" t="str">
        <f>CONCATENATE(Query1[[#This Row],[Description]]," - ",Query1[[#This Row],[MB1]]," - ",Query1[[#This Row],[MB2]]," - ",Query1[[#This Row],[MB3]])</f>
        <v>EVAP KIT 68-72 FORD P-UP F-100 - 830018 - 0 - 0</v>
      </c>
    </row>
    <row r="534" spans="1:15" x14ac:dyDescent="0.25">
      <c r="A534" s="1">
        <v>910328</v>
      </c>
      <c r="B534" s="1" t="s">
        <v>140</v>
      </c>
      <c r="C534" s="1" t="s">
        <v>141</v>
      </c>
      <c r="D534" s="2">
        <v>44602.528064432867</v>
      </c>
      <c r="E534" s="1" t="s">
        <v>8</v>
      </c>
      <c r="F534" s="1">
        <v>1</v>
      </c>
      <c r="G534" s="1">
        <v>0</v>
      </c>
      <c r="H534" s="6">
        <f>INT(Query1[[#This Row],[EntryDateTime]])</f>
        <v>44602</v>
      </c>
      <c r="I534" s="1">
        <f>IF(Query1[[#This Row],[ItemType]]="EVAP KIT SF GEN IV",Query1[[#This Row],[OrderQty]]+I533,I533)</f>
        <v>590</v>
      </c>
      <c r="J534" s="1">
        <f>IF(Query1[[#This Row],[ItemType]]="EVAP KIT UNIVERSAL",Query1[[#This Row],[OrderQty]]+J533,J533)</f>
        <v>353</v>
      </c>
      <c r="K534" s="1">
        <f>Query1[[#This Row],[SF Running Total]]+Query1[[#This Row],[UNIV Running Total]]</f>
        <v>943</v>
      </c>
      <c r="L534">
        <f>VLOOKUP(Query1[[#This Row],[Description]],'kits to boards'!$B$2:$E$156,2,FALSE)</f>
        <v>830066</v>
      </c>
      <c r="M534">
        <f>VLOOKUP(Query1[[#This Row],[Description]],'kits to boards'!$B$2:$E$156,3,FALSE)</f>
        <v>0</v>
      </c>
      <c r="N534">
        <f>VLOOKUP(Query1[[#This Row],[Description]],'kits to boards'!$B$2:$E$156,4,FALSE)</f>
        <v>0</v>
      </c>
      <c r="O534" t="str">
        <f>CONCATENATE(Query1[[#This Row],[Description]]," - ",Query1[[#This Row],[MB1]]," - ",Query1[[#This Row],[MB2]]," - ",Query1[[#This Row],[MB3]])</f>
        <v>EVAP KIT 60-63 CHEV P-UP WO AC - 830066 - 0 - 0</v>
      </c>
    </row>
    <row r="535" spans="1:15" x14ac:dyDescent="0.25">
      <c r="A535" s="1">
        <v>910334</v>
      </c>
      <c r="B535" s="1" t="s">
        <v>92</v>
      </c>
      <c r="C535" s="1" t="s">
        <v>93</v>
      </c>
      <c r="D535" s="2">
        <v>44602.535792673611</v>
      </c>
      <c r="E535" s="1" t="s">
        <v>8</v>
      </c>
      <c r="F535" s="1">
        <v>1</v>
      </c>
      <c r="G535" s="1">
        <v>0</v>
      </c>
      <c r="H535" s="6">
        <f>INT(Query1[[#This Row],[EntryDateTime]])</f>
        <v>44602</v>
      </c>
      <c r="I535" s="1">
        <f>IF(Query1[[#This Row],[ItemType]]="EVAP KIT SF GEN IV",Query1[[#This Row],[OrderQty]]+I534,I534)</f>
        <v>591</v>
      </c>
      <c r="J535" s="1">
        <f>IF(Query1[[#This Row],[ItemType]]="EVAP KIT UNIVERSAL",Query1[[#This Row],[OrderQty]]+J534,J534)</f>
        <v>353</v>
      </c>
      <c r="K535" s="1">
        <f>Query1[[#This Row],[SF Running Total]]+Query1[[#This Row],[UNIV Running Total]]</f>
        <v>944</v>
      </c>
      <c r="L535">
        <f>VLOOKUP(Query1[[#This Row],[Description]],'kits to boards'!$B$2:$E$156,2,FALSE)</f>
        <v>830063</v>
      </c>
      <c r="M535">
        <f>VLOOKUP(Query1[[#This Row],[Description]],'kits to boards'!$B$2:$E$156,3,FALSE)</f>
        <v>0</v>
      </c>
      <c r="N535">
        <f>VLOOKUP(Query1[[#This Row],[Description]],'kits to boards'!$B$2:$E$156,4,FALSE)</f>
        <v>0</v>
      </c>
      <c r="O535" t="str">
        <f>CONCATENATE(Query1[[#This Row],[Description]]," - ",Query1[[#This Row],[MB1]]," - ",Query1[[#This Row],[MB2]]," - ",Query1[[#This Row],[MB3]])</f>
        <v>EVAP KIT 50-53 CHEV P-UP GEN IV - 830063 - 0 - 0</v>
      </c>
    </row>
    <row r="536" spans="1:15" x14ac:dyDescent="0.25">
      <c r="A536" s="1">
        <v>910332</v>
      </c>
      <c r="B536" s="1" t="s">
        <v>128</v>
      </c>
      <c r="C536" s="1" t="s">
        <v>129</v>
      </c>
      <c r="D536" s="2">
        <v>44602.53716403935</v>
      </c>
      <c r="E536" s="1" t="s">
        <v>8</v>
      </c>
      <c r="F536" s="1">
        <v>1</v>
      </c>
      <c r="G536" s="1">
        <v>0</v>
      </c>
      <c r="H536" s="6">
        <f>INT(Query1[[#This Row],[EntryDateTime]])</f>
        <v>44602</v>
      </c>
      <c r="I536" s="1">
        <f>IF(Query1[[#This Row],[ItemType]]="EVAP KIT SF GEN IV",Query1[[#This Row],[OrderQty]]+I535,I535)</f>
        <v>592</v>
      </c>
      <c r="J536" s="1">
        <f>IF(Query1[[#This Row],[ItemType]]="EVAP KIT UNIVERSAL",Query1[[#This Row],[OrderQty]]+J535,J535)</f>
        <v>353</v>
      </c>
      <c r="K536" s="1">
        <f>Query1[[#This Row],[SF Running Total]]+Query1[[#This Row],[UNIV Running Total]]</f>
        <v>945</v>
      </c>
      <c r="L536">
        <f>VLOOKUP(Query1[[#This Row],[Description]],'kits to boards'!$B$2:$E$156,2,FALSE)</f>
        <v>830036</v>
      </c>
      <c r="M536">
        <f>VLOOKUP(Query1[[#This Row],[Description]],'kits to boards'!$B$2:$E$156,3,FALSE)</f>
        <v>830039</v>
      </c>
      <c r="N536">
        <f>VLOOKUP(Query1[[#This Row],[Description]],'kits to boards'!$B$2:$E$156,4,FALSE)</f>
        <v>0</v>
      </c>
      <c r="O536" t="str">
        <f>CONCATENATE(Query1[[#This Row],[Description]]," - ",Query1[[#This Row],[MB1]]," - ",Query1[[#This Row],[MB2]]," - ",Query1[[#This Row],[MB3]])</f>
        <v>EVAP KIT 63-66 VETTE WO AC - 830036 - 830039 - 0</v>
      </c>
    </row>
    <row r="537" spans="1:15" x14ac:dyDescent="0.25">
      <c r="A537" s="1">
        <v>910330</v>
      </c>
      <c r="B537" s="1" t="s">
        <v>240</v>
      </c>
      <c r="C537" s="1" t="s">
        <v>241</v>
      </c>
      <c r="D537" s="2">
        <v>44602.537462187502</v>
      </c>
      <c r="E537" s="1" t="s">
        <v>8</v>
      </c>
      <c r="F537" s="1">
        <v>1</v>
      </c>
      <c r="G537" s="1">
        <v>0</v>
      </c>
      <c r="H537" s="6">
        <f>INT(Query1[[#This Row],[EntryDateTime]])</f>
        <v>44602</v>
      </c>
      <c r="I537" s="1">
        <f>IF(Query1[[#This Row],[ItemType]]="EVAP KIT SF GEN IV",Query1[[#This Row],[OrderQty]]+I536,I536)</f>
        <v>593</v>
      </c>
      <c r="J537" s="1">
        <f>IF(Query1[[#This Row],[ItemType]]="EVAP KIT UNIVERSAL",Query1[[#This Row],[OrderQty]]+J536,J536)</f>
        <v>353</v>
      </c>
      <c r="K537" s="1">
        <f>Query1[[#This Row],[SF Running Total]]+Query1[[#This Row],[UNIV Running Total]]</f>
        <v>946</v>
      </c>
      <c r="L537">
        <f>VLOOKUP(Query1[[#This Row],[Description]],'kits to boards'!$B$2:$E$156,2,FALSE)</f>
        <v>830032</v>
      </c>
      <c r="M537">
        <f>VLOOKUP(Query1[[#This Row],[Description]],'kits to boards'!$B$2:$E$156,3,FALSE)</f>
        <v>0</v>
      </c>
      <c r="N537">
        <f>VLOOKUP(Query1[[#This Row],[Description]],'kits to boards'!$B$2:$E$156,4,FALSE)</f>
        <v>0</v>
      </c>
      <c r="O537" t="str">
        <f>CONCATENATE(Query1[[#This Row],[Description]]," - ",Query1[[#This Row],[MB1]]," - ",Query1[[#This Row],[MB2]]," - ",Query1[[#This Row],[MB3]])</f>
        <v>EVAP KIT 58-60 VETTE - 830032 - 0 - 0</v>
      </c>
    </row>
    <row r="538" spans="1:15" x14ac:dyDescent="0.25">
      <c r="A538" s="1">
        <v>910337</v>
      </c>
      <c r="B538" s="1" t="s">
        <v>42</v>
      </c>
      <c r="C538" s="1" t="s">
        <v>43</v>
      </c>
      <c r="D538" s="2">
        <v>44602.542145104169</v>
      </c>
      <c r="E538" s="1" t="s">
        <v>8</v>
      </c>
      <c r="F538" s="1">
        <v>1</v>
      </c>
      <c r="G538" s="1">
        <v>0</v>
      </c>
      <c r="H538" s="6">
        <f>INT(Query1[[#This Row],[EntryDateTime]])</f>
        <v>44602</v>
      </c>
      <c r="I538" s="1">
        <f>IF(Query1[[#This Row],[ItemType]]="EVAP KIT SF GEN IV",Query1[[#This Row],[OrderQty]]+I537,I537)</f>
        <v>594</v>
      </c>
      <c r="J538" s="1">
        <f>IF(Query1[[#This Row],[ItemType]]="EVAP KIT UNIVERSAL",Query1[[#This Row],[OrderQty]]+J537,J537)</f>
        <v>353</v>
      </c>
      <c r="K538" s="1">
        <f>Query1[[#This Row],[SF Running Total]]+Query1[[#This Row],[UNIV Running Total]]</f>
        <v>947</v>
      </c>
      <c r="L538">
        <f>VLOOKUP(Query1[[#This Row],[Description]],'kits to boards'!$B$2:$E$156,2,FALSE)</f>
        <v>830014</v>
      </c>
      <c r="M538">
        <f>VLOOKUP(Query1[[#This Row],[Description]],'kits to boards'!$B$2:$E$156,3,FALSE)</f>
        <v>0</v>
      </c>
      <c r="N538">
        <f>VLOOKUP(Query1[[#This Row],[Description]],'kits to boards'!$B$2:$E$156,4,FALSE)</f>
        <v>0</v>
      </c>
      <c r="O538" t="str">
        <f>CONCATENATE(Query1[[#This Row],[Description]]," - ",Query1[[#This Row],[MB1]]," - ",Query1[[#This Row],[MB2]]," - ",Query1[[#This Row],[MB3]])</f>
        <v>EVAP KIT 67-72 CHEV P-UP WO AC - 830014 - 0 - 0</v>
      </c>
    </row>
    <row r="539" spans="1:15" x14ac:dyDescent="0.25">
      <c r="A539" s="1">
        <v>910335</v>
      </c>
      <c r="B539" s="1" t="s">
        <v>52</v>
      </c>
      <c r="C539" s="1" t="s">
        <v>53</v>
      </c>
      <c r="D539" s="2">
        <v>44602.543448993056</v>
      </c>
      <c r="E539" s="1" t="s">
        <v>8</v>
      </c>
      <c r="F539" s="1">
        <v>1</v>
      </c>
      <c r="G539" s="1">
        <v>0</v>
      </c>
      <c r="H539" s="6">
        <f>INT(Query1[[#This Row],[EntryDateTime]])</f>
        <v>44602</v>
      </c>
      <c r="I539" s="1">
        <f>IF(Query1[[#This Row],[ItemType]]="EVAP KIT SF GEN IV",Query1[[#This Row],[OrderQty]]+I538,I538)</f>
        <v>595</v>
      </c>
      <c r="J539" s="1">
        <f>IF(Query1[[#This Row],[ItemType]]="EVAP KIT UNIVERSAL",Query1[[#This Row],[OrderQty]]+J538,J538)</f>
        <v>353</v>
      </c>
      <c r="K539" s="1">
        <f>Query1[[#This Row],[SF Running Total]]+Query1[[#This Row],[UNIV Running Total]]</f>
        <v>948</v>
      </c>
      <c r="L539">
        <f>VLOOKUP(Query1[[#This Row],[Description]],'kits to boards'!$B$2:$E$156,2,FALSE)</f>
        <v>830017</v>
      </c>
      <c r="M539">
        <f>VLOOKUP(Query1[[#This Row],[Description]],'kits to boards'!$B$2:$E$156,3,FALSE)</f>
        <v>830119</v>
      </c>
      <c r="N539">
        <f>VLOOKUP(Query1[[#This Row],[Description]],'kits to boards'!$B$2:$E$156,4,FALSE)</f>
        <v>830120</v>
      </c>
      <c r="O539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540" spans="1:15" x14ac:dyDescent="0.25">
      <c r="A540" s="1">
        <v>910338</v>
      </c>
      <c r="B540" s="1" t="s">
        <v>168</v>
      </c>
      <c r="C540" s="1" t="s">
        <v>169</v>
      </c>
      <c r="D540" s="2">
        <v>44602.545472534723</v>
      </c>
      <c r="E540" s="1" t="s">
        <v>8</v>
      </c>
      <c r="F540" s="1">
        <v>1</v>
      </c>
      <c r="G540" s="1">
        <v>0</v>
      </c>
      <c r="H540" s="6">
        <f>INT(Query1[[#This Row],[EntryDateTime]])</f>
        <v>44602</v>
      </c>
      <c r="I540" s="1">
        <f>IF(Query1[[#This Row],[ItemType]]="EVAP KIT SF GEN IV",Query1[[#This Row],[OrderQty]]+I539,I539)</f>
        <v>596</v>
      </c>
      <c r="J540" s="1">
        <f>IF(Query1[[#This Row],[ItemType]]="EVAP KIT UNIVERSAL",Query1[[#This Row],[OrderQty]]+J539,J539)</f>
        <v>353</v>
      </c>
      <c r="K540" s="1">
        <f>Query1[[#This Row],[SF Running Total]]+Query1[[#This Row],[UNIV Running Total]]</f>
        <v>949</v>
      </c>
      <c r="L540">
        <f>VLOOKUP(Query1[[#This Row],[Description]],'kits to boards'!$B$2:$E$156,2,FALSE)</f>
        <v>830028</v>
      </c>
      <c r="M540">
        <f>VLOOKUP(Query1[[#This Row],[Description]],'kits to boards'!$B$2:$E$156,3,FALSE)</f>
        <v>0</v>
      </c>
      <c r="N540">
        <f>VLOOKUP(Query1[[#This Row],[Description]],'kits to boards'!$B$2:$E$156,4,FALSE)</f>
        <v>0</v>
      </c>
      <c r="O540" t="str">
        <f>CONCATENATE(Query1[[#This Row],[Description]]," - ",Query1[[#This Row],[MB1]]," - ",Query1[[#This Row],[MB2]]," - ",Query1[[#This Row],[MB3]])</f>
        <v>EVAP KIT 55-59 CHEV P-UP WO AC W/STD  - 830028 - 0 - 0</v>
      </c>
    </row>
    <row r="541" spans="1:15" x14ac:dyDescent="0.25">
      <c r="A541" s="1">
        <v>910340</v>
      </c>
      <c r="B541" s="1" t="s">
        <v>96</v>
      </c>
      <c r="C541" s="1" t="s">
        <v>97</v>
      </c>
      <c r="D541" s="2">
        <v>44602.546916979169</v>
      </c>
      <c r="E541" s="1" t="s">
        <v>8</v>
      </c>
      <c r="F541" s="1">
        <v>1</v>
      </c>
      <c r="G541" s="1">
        <v>0</v>
      </c>
      <c r="H541" s="6">
        <f>INT(Query1[[#This Row],[EntryDateTime]])</f>
        <v>44602</v>
      </c>
      <c r="I541" s="1">
        <f>IF(Query1[[#This Row],[ItemType]]="EVAP KIT SF GEN IV",Query1[[#This Row],[OrderQty]]+I540,I540)</f>
        <v>597</v>
      </c>
      <c r="J541" s="1">
        <f>IF(Query1[[#This Row],[ItemType]]="EVAP KIT UNIVERSAL",Query1[[#This Row],[OrderQty]]+J540,J540)</f>
        <v>353</v>
      </c>
      <c r="K541" s="1">
        <f>Query1[[#This Row],[SF Running Total]]+Query1[[#This Row],[UNIV Running Total]]</f>
        <v>950</v>
      </c>
      <c r="L541">
        <f>VLOOKUP(Query1[[#This Row],[Description]],'kits to boards'!$B$2:$E$156,2,FALSE)</f>
        <v>830004</v>
      </c>
      <c r="M541">
        <f>VLOOKUP(Query1[[#This Row],[Description]],'kits to boards'!$B$2:$E$156,3,FALSE)</f>
        <v>0</v>
      </c>
      <c r="N541">
        <f>VLOOKUP(Query1[[#This Row],[Description]],'kits to boards'!$B$2:$E$156,4,FALSE)</f>
        <v>0</v>
      </c>
      <c r="O541" t="str">
        <f>CONCATENATE(Query1[[#This Row],[Description]]," - ",Query1[[#This Row],[MB1]]," - ",Query1[[#This Row],[MB2]]," - ",Query1[[#This Row],[MB3]])</f>
        <v>EVAP KIT 81-87 CHEV P-UP W/AC - 830004 - 0 - 0</v>
      </c>
    </row>
    <row r="542" spans="1:15" x14ac:dyDescent="0.25">
      <c r="A542" s="1">
        <v>910341</v>
      </c>
      <c r="B542" s="1" t="s">
        <v>106</v>
      </c>
      <c r="C542" s="1" t="s">
        <v>107</v>
      </c>
      <c r="D542" s="2">
        <v>44602.547527546296</v>
      </c>
      <c r="E542" s="1" t="s">
        <v>8</v>
      </c>
      <c r="F542" s="1">
        <v>1</v>
      </c>
      <c r="G542" s="1">
        <v>0</v>
      </c>
      <c r="H542" s="6">
        <f>INT(Query1[[#This Row],[EntryDateTime]])</f>
        <v>44602</v>
      </c>
      <c r="I542" s="1">
        <f>IF(Query1[[#This Row],[ItemType]]="EVAP KIT SF GEN IV",Query1[[#This Row],[OrderQty]]+I541,I541)</f>
        <v>598</v>
      </c>
      <c r="J542" s="1">
        <f>IF(Query1[[#This Row],[ItemType]]="EVAP KIT UNIVERSAL",Query1[[#This Row],[OrderQty]]+J541,J541)</f>
        <v>353</v>
      </c>
      <c r="K542" s="1">
        <f>Query1[[#This Row],[SF Running Total]]+Query1[[#This Row],[UNIV Running Total]]</f>
        <v>951</v>
      </c>
      <c r="L542">
        <f>VLOOKUP(Query1[[#This Row],[Description]],'kits to boards'!$B$2:$E$156,2,FALSE)</f>
        <v>830028</v>
      </c>
      <c r="M542">
        <f>VLOOKUP(Query1[[#This Row],[Description]],'kits to boards'!$B$2:$E$156,3,FALSE)</f>
        <v>0</v>
      </c>
      <c r="N542">
        <f>VLOOKUP(Query1[[#This Row],[Description]],'kits to boards'!$B$2:$E$156,4,FALSE)</f>
        <v>0</v>
      </c>
      <c r="O542" t="str">
        <f>CONCATENATE(Query1[[#This Row],[Description]]," - ",Query1[[#This Row],[MB1]]," - ",Query1[[#This Row],[MB2]]," - ",Query1[[#This Row],[MB3]])</f>
        <v>EVAP KIT 55-59 CHEV P-UP WO AC W/DELX - 830028 - 0 - 0</v>
      </c>
    </row>
    <row r="543" spans="1:15" x14ac:dyDescent="0.25">
      <c r="A543" s="1">
        <v>910342</v>
      </c>
      <c r="B543" s="1" t="s">
        <v>54</v>
      </c>
      <c r="C543" s="1" t="s">
        <v>55</v>
      </c>
      <c r="D543" s="2">
        <v>44602.55444216435</v>
      </c>
      <c r="E543" s="1" t="s">
        <v>8</v>
      </c>
      <c r="F543" s="1">
        <v>1</v>
      </c>
      <c r="G543" s="1">
        <v>0</v>
      </c>
      <c r="H543" s="6">
        <f>INT(Query1[[#This Row],[EntryDateTime]])</f>
        <v>44602</v>
      </c>
      <c r="I543" s="1">
        <f>IF(Query1[[#This Row],[ItemType]]="EVAP KIT SF GEN IV",Query1[[#This Row],[OrderQty]]+I542,I542)</f>
        <v>599</v>
      </c>
      <c r="J543" s="1">
        <f>IF(Query1[[#This Row],[ItemType]]="EVAP KIT UNIVERSAL",Query1[[#This Row],[OrderQty]]+J542,J542)</f>
        <v>353</v>
      </c>
      <c r="K543" s="1">
        <f>Query1[[#This Row],[SF Running Total]]+Query1[[#This Row],[UNIV Running Total]]</f>
        <v>952</v>
      </c>
      <c r="L543">
        <f>VLOOKUP(Query1[[#This Row],[Description]],'kits to boards'!$B$2:$E$156,2,FALSE)</f>
        <v>830037</v>
      </c>
      <c r="M543">
        <f>VLOOKUP(Query1[[#This Row],[Description]],'kits to boards'!$B$2:$E$156,3,FALSE)</f>
        <v>0</v>
      </c>
      <c r="N543">
        <f>VLOOKUP(Query1[[#This Row],[Description]],'kits to boards'!$B$2:$E$156,4,FALSE)</f>
        <v>0</v>
      </c>
      <c r="O543" t="str">
        <f>CONCATENATE(Query1[[#This Row],[Description]]," - ",Query1[[#This Row],[MB1]]," - ",Query1[[#This Row],[MB2]]," - ",Query1[[#This Row],[MB3]])</f>
        <v>EVAP KIT 70-81 FIREBIRD W/AC - 830037 - 0 - 0</v>
      </c>
    </row>
    <row r="544" spans="1:15" x14ac:dyDescent="0.25">
      <c r="A544" s="1">
        <v>910343</v>
      </c>
      <c r="B544" s="1" t="s">
        <v>26</v>
      </c>
      <c r="C544" s="1" t="s">
        <v>27</v>
      </c>
      <c r="D544" s="2">
        <v>44602.557182719909</v>
      </c>
      <c r="E544" s="1" t="s">
        <v>8</v>
      </c>
      <c r="F544" s="1">
        <v>1</v>
      </c>
      <c r="G544" s="1">
        <v>0</v>
      </c>
      <c r="H544" s="6">
        <f>INT(Query1[[#This Row],[EntryDateTime]])</f>
        <v>44602</v>
      </c>
      <c r="I544" s="1">
        <f>IF(Query1[[#This Row],[ItemType]]="EVAP KIT SF GEN IV",Query1[[#This Row],[OrderQty]]+I543,I543)</f>
        <v>600</v>
      </c>
      <c r="J544" s="1">
        <f>IF(Query1[[#This Row],[ItemType]]="EVAP KIT UNIVERSAL",Query1[[#This Row],[OrderQty]]+J543,J543)</f>
        <v>353</v>
      </c>
      <c r="K544" s="1">
        <f>Query1[[#This Row],[SF Running Total]]+Query1[[#This Row],[UNIV Running Total]]</f>
        <v>953</v>
      </c>
      <c r="L544">
        <f>VLOOKUP(Query1[[#This Row],[Description]],'kits to boards'!$B$2:$E$156,2,FALSE)</f>
        <v>830013</v>
      </c>
      <c r="M544">
        <f>VLOOKUP(Query1[[#This Row],[Description]],'kits to boards'!$B$2:$E$156,3,FALSE)</f>
        <v>0</v>
      </c>
      <c r="N544">
        <f>VLOOKUP(Query1[[#This Row],[Description]],'kits to boards'!$B$2:$E$156,4,FALSE)</f>
        <v>0</v>
      </c>
      <c r="O544" t="str">
        <f>CONCATENATE(Query1[[#This Row],[Description]]," - ",Query1[[#This Row],[MB1]]," - ",Query1[[#This Row],[MB2]]," - ",Query1[[#This Row],[MB3]])</f>
        <v>EVAP KIT 67-72 CHEV P-UP W/AC - 830013 - 0 - 0</v>
      </c>
    </row>
    <row r="545" spans="1:15" x14ac:dyDescent="0.25">
      <c r="A545" s="1">
        <v>910347</v>
      </c>
      <c r="B545" s="1" t="s">
        <v>14</v>
      </c>
      <c r="C545" s="1" t="s">
        <v>15</v>
      </c>
      <c r="D545" s="2">
        <v>44602.563245914353</v>
      </c>
      <c r="E545" s="1" t="s">
        <v>8</v>
      </c>
      <c r="F545" s="1">
        <v>1</v>
      </c>
      <c r="G545" s="1">
        <v>0</v>
      </c>
      <c r="H545" s="6">
        <f>INT(Query1[[#This Row],[EntryDateTime]])</f>
        <v>44602</v>
      </c>
      <c r="I545" s="1">
        <f>IF(Query1[[#This Row],[ItemType]]="EVAP KIT SF GEN IV",Query1[[#This Row],[OrderQty]]+I544,I544)</f>
        <v>601</v>
      </c>
      <c r="J545" s="1">
        <f>IF(Query1[[#This Row],[ItemType]]="EVAP KIT UNIVERSAL",Query1[[#This Row],[OrderQty]]+J544,J544)</f>
        <v>353</v>
      </c>
      <c r="K545" s="1">
        <f>Query1[[#This Row],[SF Running Total]]+Query1[[#This Row],[UNIV Running Total]]</f>
        <v>954</v>
      </c>
      <c r="L545">
        <f>VLOOKUP(Query1[[#This Row],[Description]],'kits to boards'!$B$2:$E$156,2,FALSE)</f>
        <v>830054</v>
      </c>
      <c r="M545">
        <f>VLOOKUP(Query1[[#This Row],[Description]],'kits to boards'!$B$2:$E$156,3,FALSE)</f>
        <v>0</v>
      </c>
      <c r="N545">
        <f>VLOOKUP(Query1[[#This Row],[Description]],'kits to boards'!$B$2:$E$156,4,FALSE)</f>
        <v>0</v>
      </c>
      <c r="O545" t="str">
        <f>CONCATENATE(Query1[[#This Row],[Description]]," - ",Query1[[#This Row],[MB1]]," - ",Query1[[#This Row],[MB2]]," - ",Query1[[#This Row],[MB3]])</f>
        <v>EVAP KIT 55-56 CHEVY - 830054 - 0 - 0</v>
      </c>
    </row>
    <row r="546" spans="1:15" x14ac:dyDescent="0.25">
      <c r="A546" s="1">
        <v>910346</v>
      </c>
      <c r="B546" s="1" t="s">
        <v>134</v>
      </c>
      <c r="C546" s="1" t="s">
        <v>135</v>
      </c>
      <c r="D546" s="2">
        <v>44602.563349733799</v>
      </c>
      <c r="E546" s="1" t="s">
        <v>8</v>
      </c>
      <c r="F546" s="1">
        <v>1</v>
      </c>
      <c r="G546" s="1">
        <v>0</v>
      </c>
      <c r="H546" s="6">
        <f>INT(Query1[[#This Row],[EntryDateTime]])</f>
        <v>44602</v>
      </c>
      <c r="I546" s="1">
        <f>IF(Query1[[#This Row],[ItemType]]="EVAP KIT SF GEN IV",Query1[[#This Row],[OrderQty]]+I545,I545)</f>
        <v>602</v>
      </c>
      <c r="J546" s="1">
        <f>IF(Query1[[#This Row],[ItemType]]="EVAP KIT UNIVERSAL",Query1[[#This Row],[OrderQty]]+J545,J545)</f>
        <v>353</v>
      </c>
      <c r="K546" s="1">
        <f>Query1[[#This Row],[SF Running Total]]+Query1[[#This Row],[UNIV Running Total]]</f>
        <v>955</v>
      </c>
      <c r="L546">
        <f>VLOOKUP(Query1[[#This Row],[Description]],'kits to boards'!$B$2:$E$156,2,FALSE)</f>
        <v>830007</v>
      </c>
      <c r="M546">
        <f>VLOOKUP(Query1[[#This Row],[Description]],'kits to boards'!$B$2:$E$156,3,FALSE)</f>
        <v>0</v>
      </c>
      <c r="N546">
        <f>VLOOKUP(Query1[[#This Row],[Description]],'kits to boards'!$B$2:$E$156,4,FALSE)</f>
        <v>0</v>
      </c>
      <c r="O546" t="str">
        <f>CONCATENATE(Query1[[#This Row],[Description]]," - ",Query1[[#This Row],[MB1]]," - ",Query1[[#This Row],[MB2]]," - ",Query1[[#This Row],[MB3]])</f>
        <v>EVAP KIT 64 IMPALA WO AC - 830007 - 0 - 0</v>
      </c>
    </row>
    <row r="547" spans="1:15" x14ac:dyDescent="0.25">
      <c r="A547" s="1">
        <v>910354</v>
      </c>
      <c r="B547" s="1" t="s">
        <v>32</v>
      </c>
      <c r="C547" s="1" t="s">
        <v>33</v>
      </c>
      <c r="D547" s="2">
        <v>44602.577969942133</v>
      </c>
      <c r="E547" s="1" t="s">
        <v>8</v>
      </c>
      <c r="F547" s="1">
        <v>1</v>
      </c>
      <c r="G547" s="1">
        <v>0</v>
      </c>
      <c r="H547" s="6">
        <f>INT(Query1[[#This Row],[EntryDateTime]])</f>
        <v>44602</v>
      </c>
      <c r="I547" s="1">
        <f>IF(Query1[[#This Row],[ItemType]]="EVAP KIT SF GEN IV",Query1[[#This Row],[OrderQty]]+I546,I546)</f>
        <v>603</v>
      </c>
      <c r="J547" s="1">
        <f>IF(Query1[[#This Row],[ItemType]]="EVAP KIT UNIVERSAL",Query1[[#This Row],[OrderQty]]+J546,J546)</f>
        <v>353</v>
      </c>
      <c r="K547" s="1">
        <f>Query1[[#This Row],[SF Running Total]]+Query1[[#This Row],[UNIV Running Total]]</f>
        <v>956</v>
      </c>
      <c r="L547">
        <f>VLOOKUP(Query1[[#This Row],[Description]],'kits to boards'!$B$2:$E$156,2,FALSE)</f>
        <v>830016</v>
      </c>
      <c r="M547">
        <f>VLOOKUP(Query1[[#This Row],[Description]],'kits to boards'!$B$2:$E$156,3,FALSE)</f>
        <v>0</v>
      </c>
      <c r="N547">
        <f>VLOOKUP(Query1[[#This Row],[Description]],'kits to boards'!$B$2:$E$156,4,FALSE)</f>
        <v>0</v>
      </c>
      <c r="O547" t="str">
        <f>CONCATENATE(Query1[[#This Row],[Description]]," - ",Query1[[#This Row],[MB1]]," - ",Query1[[#This Row],[MB2]]," - ",Query1[[#This Row],[MB3]])</f>
        <v>EVAP KIT 67-68 CAMARO/FIREBIRD W/AC - 830016 - 0 - 0</v>
      </c>
    </row>
    <row r="548" spans="1:15" x14ac:dyDescent="0.25">
      <c r="A548" s="1">
        <v>910357</v>
      </c>
      <c r="B548" s="1" t="s">
        <v>116</v>
      </c>
      <c r="C548" s="1" t="s">
        <v>117</v>
      </c>
      <c r="D548" s="2">
        <v>44602.58153009259</v>
      </c>
      <c r="E548" s="1" t="s">
        <v>8</v>
      </c>
      <c r="F548" s="1">
        <v>1</v>
      </c>
      <c r="G548" s="1">
        <v>0</v>
      </c>
      <c r="H548" s="6">
        <f>INT(Query1[[#This Row],[EntryDateTime]])</f>
        <v>44602</v>
      </c>
      <c r="I548" s="1">
        <f>IF(Query1[[#This Row],[ItemType]]="EVAP KIT SF GEN IV",Query1[[#This Row],[OrderQty]]+I547,I547)</f>
        <v>604</v>
      </c>
      <c r="J548" s="1">
        <f>IF(Query1[[#This Row],[ItemType]]="EVAP KIT UNIVERSAL",Query1[[#This Row],[OrderQty]]+J547,J547)</f>
        <v>353</v>
      </c>
      <c r="K548" s="1">
        <f>Query1[[#This Row],[SF Running Total]]+Query1[[#This Row],[UNIV Running Total]]</f>
        <v>957</v>
      </c>
      <c r="L548">
        <f>VLOOKUP(Query1[[#This Row],[Description]],'kits to boards'!$B$2:$E$156,2,FALSE)</f>
        <v>830058</v>
      </c>
      <c r="M548">
        <f>VLOOKUP(Query1[[#This Row],[Description]],'kits to boards'!$B$2:$E$156,3,FALSE)</f>
        <v>0</v>
      </c>
      <c r="N548">
        <f>VLOOKUP(Query1[[#This Row],[Description]],'kits to boards'!$B$2:$E$156,4,FALSE)</f>
        <v>0</v>
      </c>
      <c r="O548" t="str">
        <f>CONCATENATE(Query1[[#This Row],[Description]]," - ",Query1[[#This Row],[MB1]]," - ",Query1[[#This Row],[MB2]]," - ",Query1[[#This Row],[MB3]])</f>
        <v>EVAP KIT 64-65 CHEVELLE WO AC - 830058 - 0 - 0</v>
      </c>
    </row>
    <row r="549" spans="1:15" x14ac:dyDescent="0.25">
      <c r="A549" s="1">
        <v>910366</v>
      </c>
      <c r="B549" s="1" t="s">
        <v>36</v>
      </c>
      <c r="C549" s="1" t="s">
        <v>37</v>
      </c>
      <c r="D549" s="2">
        <v>44602.588609918981</v>
      </c>
      <c r="E549" s="1" t="s">
        <v>8</v>
      </c>
      <c r="F549" s="1">
        <v>1</v>
      </c>
      <c r="G549" s="1">
        <v>0</v>
      </c>
      <c r="H549" s="6">
        <f>INT(Query1[[#This Row],[EntryDateTime]])</f>
        <v>44602</v>
      </c>
      <c r="I549" s="1">
        <f>IF(Query1[[#This Row],[ItemType]]="EVAP KIT SF GEN IV",Query1[[#This Row],[OrderQty]]+I548,I548)</f>
        <v>605</v>
      </c>
      <c r="J549" s="1">
        <f>IF(Query1[[#This Row],[ItemType]]="EVAP KIT UNIVERSAL",Query1[[#This Row],[OrderQty]]+J548,J548)</f>
        <v>353</v>
      </c>
      <c r="K549" s="1">
        <f>Query1[[#This Row],[SF Running Total]]+Query1[[#This Row],[UNIV Running Total]]</f>
        <v>958</v>
      </c>
      <c r="L549">
        <f>VLOOKUP(Query1[[#This Row],[Description]],'kits to boards'!$B$2:$E$156,2,FALSE)</f>
        <v>830015</v>
      </c>
      <c r="M549">
        <f>VLOOKUP(Query1[[#This Row],[Description]],'kits to boards'!$B$2:$E$156,3,FALSE)</f>
        <v>0</v>
      </c>
      <c r="N549">
        <f>VLOOKUP(Query1[[#This Row],[Description]],'kits to boards'!$B$2:$E$156,4,FALSE)</f>
        <v>0</v>
      </c>
      <c r="O549" t="str">
        <f>CONCATENATE(Query1[[#This Row],[Description]]," - ",Query1[[#This Row],[MB1]]," - ",Query1[[#This Row],[MB2]]," - ",Query1[[#This Row],[MB3]])</f>
        <v>EVAP KIT 64-66 CHEV P-UP WO AC W/STD - 830015 - 0 - 0</v>
      </c>
    </row>
    <row r="550" spans="1:15" x14ac:dyDescent="0.25">
      <c r="A550" s="1">
        <v>910370</v>
      </c>
      <c r="B550" s="1" t="s">
        <v>222</v>
      </c>
      <c r="C550" s="1" t="s">
        <v>223</v>
      </c>
      <c r="D550" s="2">
        <v>44602.592230636576</v>
      </c>
      <c r="E550" s="1" t="s">
        <v>8</v>
      </c>
      <c r="F550" s="1">
        <v>1</v>
      </c>
      <c r="G550" s="1">
        <v>0</v>
      </c>
      <c r="H550" s="6">
        <f>INT(Query1[[#This Row],[EntryDateTime]])</f>
        <v>44602</v>
      </c>
      <c r="I550" s="1">
        <f>IF(Query1[[#This Row],[ItemType]]="EVAP KIT SF GEN IV",Query1[[#This Row],[OrderQty]]+I549,I549)</f>
        <v>606</v>
      </c>
      <c r="J550" s="1">
        <f>IF(Query1[[#This Row],[ItemType]]="EVAP KIT UNIVERSAL",Query1[[#This Row],[OrderQty]]+J549,J549)</f>
        <v>353</v>
      </c>
      <c r="K550" s="1">
        <f>Query1[[#This Row],[SF Running Total]]+Query1[[#This Row],[UNIV Running Total]]</f>
        <v>959</v>
      </c>
      <c r="L550">
        <f>VLOOKUP(Query1[[#This Row],[Description]],'kits to boards'!$B$2:$E$156,2,FALSE)</f>
        <v>830093</v>
      </c>
      <c r="M550">
        <f>VLOOKUP(Query1[[#This Row],[Description]],'kits to boards'!$B$2:$E$156,3,FALSE)</f>
        <v>0</v>
      </c>
      <c r="N550">
        <f>VLOOKUP(Query1[[#This Row],[Description]],'kits to boards'!$B$2:$E$156,4,FALSE)</f>
        <v>0</v>
      </c>
      <c r="O550" t="str">
        <f>CONCATENATE(Query1[[#This Row],[Description]]," - ",Query1[[#This Row],[MB1]]," - ",Query1[[#This Row],[MB2]]," - ",Query1[[#This Row],[MB3]])</f>
        <v>EVAP KIT 67 VETTE WO AC - 830093 - 0 - 0</v>
      </c>
    </row>
    <row r="551" spans="1:15" x14ac:dyDescent="0.25">
      <c r="A551" s="1">
        <v>910373</v>
      </c>
      <c r="B551" s="1" t="s">
        <v>56</v>
      </c>
      <c r="C551" s="1" t="s">
        <v>57</v>
      </c>
      <c r="D551" s="2">
        <v>44602.595865856485</v>
      </c>
      <c r="E551" s="1" t="s">
        <v>8</v>
      </c>
      <c r="F551" s="1">
        <v>1</v>
      </c>
      <c r="G551" s="1">
        <v>0</v>
      </c>
      <c r="H551" s="6">
        <f>INT(Query1[[#This Row],[EntryDateTime]])</f>
        <v>44602</v>
      </c>
      <c r="I551" s="1">
        <f>IF(Query1[[#This Row],[ItemType]]="EVAP KIT SF GEN IV",Query1[[#This Row],[OrderQty]]+I550,I550)</f>
        <v>607</v>
      </c>
      <c r="J551" s="1">
        <f>IF(Query1[[#This Row],[ItemType]]="EVAP KIT UNIVERSAL",Query1[[#This Row],[OrderQty]]+J550,J550)</f>
        <v>353</v>
      </c>
      <c r="K551" s="1">
        <f>Query1[[#This Row],[SF Running Total]]+Query1[[#This Row],[UNIV Running Total]]</f>
        <v>960</v>
      </c>
      <c r="L551">
        <f>VLOOKUP(Query1[[#This Row],[Description]],'kits to boards'!$B$2:$E$156,2,FALSE)</f>
        <v>830011</v>
      </c>
      <c r="M551">
        <f>VLOOKUP(Query1[[#This Row],[Description]],'kits to boards'!$B$2:$E$156,3,FALSE)</f>
        <v>0</v>
      </c>
      <c r="N551">
        <f>VLOOKUP(Query1[[#This Row],[Description]],'kits to boards'!$B$2:$E$156,4,FALSE)</f>
        <v>0</v>
      </c>
      <c r="O551" t="str">
        <f>CONCATENATE(Query1[[#This Row],[Description]]," - ",Query1[[#This Row],[MB1]]," - ",Query1[[#This Row],[MB2]]," - ",Query1[[#This Row],[MB3]])</f>
        <v>EVAP KIT 70-72 CHEVELLE W/AC - 830011 - 0 - 0</v>
      </c>
    </row>
    <row r="552" spans="1:15" x14ac:dyDescent="0.25">
      <c r="A552" s="1">
        <v>910376</v>
      </c>
      <c r="B552" s="1" t="s">
        <v>46</v>
      </c>
      <c r="C552" s="1" t="s">
        <v>47</v>
      </c>
      <c r="D552" s="2">
        <v>44602.599298460649</v>
      </c>
      <c r="E552" s="1" t="s">
        <v>8</v>
      </c>
      <c r="F552" s="1">
        <v>1</v>
      </c>
      <c r="G552" s="1">
        <v>0</v>
      </c>
      <c r="H552" s="6">
        <f>INT(Query1[[#This Row],[EntryDateTime]])</f>
        <v>44602</v>
      </c>
      <c r="I552" s="1">
        <f>IF(Query1[[#This Row],[ItemType]]="EVAP KIT SF GEN IV",Query1[[#This Row],[OrderQty]]+I551,I551)</f>
        <v>608</v>
      </c>
      <c r="J552" s="1">
        <f>IF(Query1[[#This Row],[ItemType]]="EVAP KIT UNIVERSAL",Query1[[#This Row],[OrderQty]]+J551,J551)</f>
        <v>353</v>
      </c>
      <c r="K552" s="1">
        <f>Query1[[#This Row],[SF Running Total]]+Query1[[#This Row],[UNIV Running Total]]</f>
        <v>961</v>
      </c>
      <c r="L552">
        <f>VLOOKUP(Query1[[#This Row],[Description]],'kits to boards'!$B$2:$E$156,2,FALSE)</f>
        <v>830018</v>
      </c>
      <c r="M552">
        <f>VLOOKUP(Query1[[#This Row],[Description]],'kits to boards'!$B$2:$E$156,3,FALSE)</f>
        <v>0</v>
      </c>
      <c r="N552">
        <f>VLOOKUP(Query1[[#This Row],[Description]],'kits to boards'!$B$2:$E$156,4,FALSE)</f>
        <v>0</v>
      </c>
      <c r="O552" t="str">
        <f>CONCATENATE(Query1[[#This Row],[Description]]," - ",Query1[[#This Row],[MB1]]," - ",Query1[[#This Row],[MB2]]," - ",Query1[[#This Row],[MB3]])</f>
        <v>EVAP KIT 68-72 FORD P-UP F-100 - 830018 - 0 - 0</v>
      </c>
    </row>
    <row r="553" spans="1:15" x14ac:dyDescent="0.25">
      <c r="A553" s="1">
        <v>910025</v>
      </c>
      <c r="B553" s="1" t="s">
        <v>52</v>
      </c>
      <c r="C553" s="1" t="s">
        <v>53</v>
      </c>
      <c r="D553" s="2">
        <v>44602.605785069441</v>
      </c>
      <c r="E553" s="1" t="s">
        <v>8</v>
      </c>
      <c r="F553" s="1">
        <v>1</v>
      </c>
      <c r="G553" s="1">
        <v>0</v>
      </c>
      <c r="H553" s="6">
        <f>INT(Query1[[#This Row],[EntryDateTime]])</f>
        <v>44602</v>
      </c>
      <c r="I553" s="1">
        <f>IF(Query1[[#This Row],[ItemType]]="EVAP KIT SF GEN IV",Query1[[#This Row],[OrderQty]]+I552,I552)</f>
        <v>609</v>
      </c>
      <c r="J553" s="1">
        <f>IF(Query1[[#This Row],[ItemType]]="EVAP KIT UNIVERSAL",Query1[[#This Row],[OrderQty]]+J552,J552)</f>
        <v>353</v>
      </c>
      <c r="K553" s="1">
        <f>Query1[[#This Row],[SF Running Total]]+Query1[[#This Row],[UNIV Running Total]]</f>
        <v>962</v>
      </c>
      <c r="L553">
        <f>VLOOKUP(Query1[[#This Row],[Description]],'kits to boards'!$B$2:$E$156,2,FALSE)</f>
        <v>830017</v>
      </c>
      <c r="M553">
        <f>VLOOKUP(Query1[[#This Row],[Description]],'kits to boards'!$B$2:$E$156,3,FALSE)</f>
        <v>830119</v>
      </c>
      <c r="N553">
        <f>VLOOKUP(Query1[[#This Row],[Description]],'kits to boards'!$B$2:$E$156,4,FALSE)</f>
        <v>830120</v>
      </c>
      <c r="O553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554" spans="1:15" x14ac:dyDescent="0.25">
      <c r="A554" s="1">
        <v>910387</v>
      </c>
      <c r="B554" s="1" t="s">
        <v>52</v>
      </c>
      <c r="C554" s="1" t="s">
        <v>53</v>
      </c>
      <c r="D554" s="2">
        <v>44602.618637615742</v>
      </c>
      <c r="E554" s="1" t="s">
        <v>8</v>
      </c>
      <c r="F554" s="1">
        <v>1</v>
      </c>
      <c r="G554" s="1">
        <v>0</v>
      </c>
      <c r="H554" s="6">
        <f>INT(Query1[[#This Row],[EntryDateTime]])</f>
        <v>44602</v>
      </c>
      <c r="I554" s="1">
        <f>IF(Query1[[#This Row],[ItemType]]="EVAP KIT SF GEN IV",Query1[[#This Row],[OrderQty]]+I553,I553)</f>
        <v>610</v>
      </c>
      <c r="J554" s="1">
        <f>IF(Query1[[#This Row],[ItemType]]="EVAP KIT UNIVERSAL",Query1[[#This Row],[OrderQty]]+J553,J553)</f>
        <v>353</v>
      </c>
      <c r="K554" s="1">
        <f>Query1[[#This Row],[SF Running Total]]+Query1[[#This Row],[UNIV Running Total]]</f>
        <v>963</v>
      </c>
      <c r="L554">
        <f>VLOOKUP(Query1[[#This Row],[Description]],'kits to boards'!$B$2:$E$156,2,FALSE)</f>
        <v>830017</v>
      </c>
      <c r="M554">
        <f>VLOOKUP(Query1[[#This Row],[Description]],'kits to boards'!$B$2:$E$156,3,FALSE)</f>
        <v>830119</v>
      </c>
      <c r="N554">
        <f>VLOOKUP(Query1[[#This Row],[Description]],'kits to boards'!$B$2:$E$156,4,FALSE)</f>
        <v>830120</v>
      </c>
      <c r="O554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555" spans="1:15" x14ac:dyDescent="0.25">
      <c r="A555" s="1">
        <v>910301</v>
      </c>
      <c r="B555" s="1" t="s">
        <v>26</v>
      </c>
      <c r="C555" s="1" t="s">
        <v>27</v>
      </c>
      <c r="D555" s="2">
        <v>44602.623757835645</v>
      </c>
      <c r="E555" s="1" t="s">
        <v>8</v>
      </c>
      <c r="F555" s="1">
        <v>1</v>
      </c>
      <c r="G555" s="1">
        <v>0</v>
      </c>
      <c r="H555" s="6">
        <f>INT(Query1[[#This Row],[EntryDateTime]])</f>
        <v>44602</v>
      </c>
      <c r="I555" s="1">
        <f>IF(Query1[[#This Row],[ItemType]]="EVAP KIT SF GEN IV",Query1[[#This Row],[OrderQty]]+I554,I554)</f>
        <v>611</v>
      </c>
      <c r="J555" s="1">
        <f>IF(Query1[[#This Row],[ItemType]]="EVAP KIT UNIVERSAL",Query1[[#This Row],[OrderQty]]+J554,J554)</f>
        <v>353</v>
      </c>
      <c r="K555" s="1">
        <f>Query1[[#This Row],[SF Running Total]]+Query1[[#This Row],[UNIV Running Total]]</f>
        <v>964</v>
      </c>
      <c r="L555">
        <f>VLOOKUP(Query1[[#This Row],[Description]],'kits to boards'!$B$2:$E$156,2,FALSE)</f>
        <v>830013</v>
      </c>
      <c r="M555">
        <f>VLOOKUP(Query1[[#This Row],[Description]],'kits to boards'!$B$2:$E$156,3,FALSE)</f>
        <v>0</v>
      </c>
      <c r="N555">
        <f>VLOOKUP(Query1[[#This Row],[Description]],'kits to boards'!$B$2:$E$156,4,FALSE)</f>
        <v>0</v>
      </c>
      <c r="O555" t="str">
        <f>CONCATENATE(Query1[[#This Row],[Description]]," - ",Query1[[#This Row],[MB1]]," - ",Query1[[#This Row],[MB2]]," - ",Query1[[#This Row],[MB3]])</f>
        <v>EVAP KIT 67-72 CHEV P-UP W/AC - 830013 - 0 - 0</v>
      </c>
    </row>
    <row r="556" spans="1:15" x14ac:dyDescent="0.25">
      <c r="A556" s="1">
        <v>910389</v>
      </c>
      <c r="B556" s="1" t="s">
        <v>192</v>
      </c>
      <c r="C556" s="1" t="s">
        <v>193</v>
      </c>
      <c r="D556" s="2">
        <v>44602.625424108795</v>
      </c>
      <c r="E556" s="1" t="s">
        <v>8</v>
      </c>
      <c r="F556" s="1">
        <v>1</v>
      </c>
      <c r="G556" s="1">
        <v>0</v>
      </c>
      <c r="H556" s="6">
        <f>INT(Query1[[#This Row],[EntryDateTime]])</f>
        <v>44602</v>
      </c>
      <c r="I556" s="1">
        <f>IF(Query1[[#This Row],[ItemType]]="EVAP KIT SF GEN IV",Query1[[#This Row],[OrderQty]]+I555,I555)</f>
        <v>612</v>
      </c>
      <c r="J556" s="1">
        <f>IF(Query1[[#This Row],[ItemType]]="EVAP KIT UNIVERSAL",Query1[[#This Row],[OrderQty]]+J555,J555)</f>
        <v>353</v>
      </c>
      <c r="K556" s="1">
        <f>Query1[[#This Row],[SF Running Total]]+Query1[[#This Row],[UNIV Running Total]]</f>
        <v>965</v>
      </c>
      <c r="L556">
        <f>VLOOKUP(Query1[[#This Row],[Description]],'kits to boards'!$B$2:$E$156,2,FALSE)</f>
        <v>830094</v>
      </c>
      <c r="M556">
        <f>VLOOKUP(Query1[[#This Row],[Description]],'kits to boards'!$B$2:$E$156,3,FALSE)</f>
        <v>0</v>
      </c>
      <c r="N556">
        <f>VLOOKUP(Query1[[#This Row],[Description]],'kits to boards'!$B$2:$E$156,4,FALSE)</f>
        <v>0</v>
      </c>
      <c r="O556" t="str">
        <f>CONCATENATE(Query1[[#This Row],[Description]]," - ",Query1[[#This Row],[MB1]]," - ",Query1[[#This Row],[MB2]]," - ",Query1[[#This Row],[MB3]])</f>
        <v>EVAP KIT 69-73 VETTE W/AC - 830094 - 0 - 0</v>
      </c>
    </row>
    <row r="557" spans="1:15" x14ac:dyDescent="0.25">
      <c r="A557" s="1">
        <v>910383</v>
      </c>
      <c r="B557" s="1" t="s">
        <v>106</v>
      </c>
      <c r="C557" s="1" t="s">
        <v>107</v>
      </c>
      <c r="D557" s="2">
        <v>44602.63051145833</v>
      </c>
      <c r="E557" s="1" t="s">
        <v>8</v>
      </c>
      <c r="F557" s="1">
        <v>1</v>
      </c>
      <c r="G557" s="1">
        <v>0</v>
      </c>
      <c r="H557" s="6">
        <f>INT(Query1[[#This Row],[EntryDateTime]])</f>
        <v>44602</v>
      </c>
      <c r="I557" s="1">
        <f>IF(Query1[[#This Row],[ItemType]]="EVAP KIT SF GEN IV",Query1[[#This Row],[OrderQty]]+I556,I556)</f>
        <v>613</v>
      </c>
      <c r="J557" s="1">
        <f>IF(Query1[[#This Row],[ItemType]]="EVAP KIT UNIVERSAL",Query1[[#This Row],[OrderQty]]+J556,J556)</f>
        <v>353</v>
      </c>
      <c r="K557" s="1">
        <f>Query1[[#This Row],[SF Running Total]]+Query1[[#This Row],[UNIV Running Total]]</f>
        <v>966</v>
      </c>
      <c r="L557">
        <f>VLOOKUP(Query1[[#This Row],[Description]],'kits to boards'!$B$2:$E$156,2,FALSE)</f>
        <v>830028</v>
      </c>
      <c r="M557">
        <f>VLOOKUP(Query1[[#This Row],[Description]],'kits to boards'!$B$2:$E$156,3,FALSE)</f>
        <v>0</v>
      </c>
      <c r="N557">
        <f>VLOOKUP(Query1[[#This Row],[Description]],'kits to boards'!$B$2:$E$156,4,FALSE)</f>
        <v>0</v>
      </c>
      <c r="O557" t="str">
        <f>CONCATENATE(Query1[[#This Row],[Description]]," - ",Query1[[#This Row],[MB1]]," - ",Query1[[#This Row],[MB2]]," - ",Query1[[#This Row],[MB3]])</f>
        <v>EVAP KIT 55-59 CHEV P-UP WO AC W/DELX - 830028 - 0 - 0</v>
      </c>
    </row>
    <row r="558" spans="1:15" x14ac:dyDescent="0.25">
      <c r="A558" s="1">
        <v>910114</v>
      </c>
      <c r="B558" s="1" t="s">
        <v>275</v>
      </c>
      <c r="C558" s="1" t="s">
        <v>276</v>
      </c>
      <c r="D558" s="2">
        <v>44602.63053603009</v>
      </c>
      <c r="E558" s="1" t="s">
        <v>8</v>
      </c>
      <c r="F558" s="1">
        <v>1</v>
      </c>
      <c r="G558" s="1">
        <v>0</v>
      </c>
      <c r="H558" s="6">
        <f>INT(Query1[[#This Row],[EntryDateTime]])</f>
        <v>44602</v>
      </c>
      <c r="I558" s="1">
        <f>IF(Query1[[#This Row],[ItemType]]="EVAP KIT SF GEN IV",Query1[[#This Row],[OrderQty]]+I557,I557)</f>
        <v>614</v>
      </c>
      <c r="J558" s="1">
        <f>IF(Query1[[#This Row],[ItemType]]="EVAP KIT UNIVERSAL",Query1[[#This Row],[OrderQty]]+J557,J557)</f>
        <v>353</v>
      </c>
      <c r="K558" s="1">
        <f>Query1[[#This Row],[SF Running Total]]+Query1[[#This Row],[UNIV Running Total]]</f>
        <v>967</v>
      </c>
      <c r="L558">
        <f>VLOOKUP(Query1[[#This Row],[Description]],'kits to boards'!$B$2:$E$156,2,FALSE)</f>
        <v>830124</v>
      </c>
      <c r="M558">
        <f>VLOOKUP(Query1[[#This Row],[Description]],'kits to boards'!$B$2:$E$156,3,FALSE)</f>
        <v>0</v>
      </c>
      <c r="N558">
        <f>VLOOKUP(Query1[[#This Row],[Description]],'kits to boards'!$B$2:$E$156,4,FALSE)</f>
        <v>0</v>
      </c>
      <c r="O558" t="str">
        <f>CONCATENATE(Query1[[#This Row],[Description]]," - ",Query1[[#This Row],[MB1]]," - ",Query1[[#This Row],[MB2]]," - ",Query1[[#This Row],[MB3]])</f>
        <v>EVAP KIT 69 GTO WO/AC - 830124 - 0 - 0</v>
      </c>
    </row>
    <row r="559" spans="1:15" x14ac:dyDescent="0.25">
      <c r="A559" s="1">
        <v>910394</v>
      </c>
      <c r="B559" s="1" t="s">
        <v>42</v>
      </c>
      <c r="C559" s="1" t="s">
        <v>43</v>
      </c>
      <c r="D559" s="2">
        <v>44602.632137812499</v>
      </c>
      <c r="E559" s="1" t="s">
        <v>8</v>
      </c>
      <c r="F559" s="1">
        <v>1</v>
      </c>
      <c r="G559" s="1">
        <v>0</v>
      </c>
      <c r="H559" s="6">
        <f>INT(Query1[[#This Row],[EntryDateTime]])</f>
        <v>44602</v>
      </c>
      <c r="I559" s="1">
        <f>IF(Query1[[#This Row],[ItemType]]="EVAP KIT SF GEN IV",Query1[[#This Row],[OrderQty]]+I558,I558)</f>
        <v>615</v>
      </c>
      <c r="J559" s="1">
        <f>IF(Query1[[#This Row],[ItemType]]="EVAP KIT UNIVERSAL",Query1[[#This Row],[OrderQty]]+J558,J558)</f>
        <v>353</v>
      </c>
      <c r="K559" s="1">
        <f>Query1[[#This Row],[SF Running Total]]+Query1[[#This Row],[UNIV Running Total]]</f>
        <v>968</v>
      </c>
      <c r="L559">
        <f>VLOOKUP(Query1[[#This Row],[Description]],'kits to boards'!$B$2:$E$156,2,FALSE)</f>
        <v>830014</v>
      </c>
      <c r="M559">
        <f>VLOOKUP(Query1[[#This Row],[Description]],'kits to boards'!$B$2:$E$156,3,FALSE)</f>
        <v>0</v>
      </c>
      <c r="N559">
        <f>VLOOKUP(Query1[[#This Row],[Description]],'kits to boards'!$B$2:$E$156,4,FALSE)</f>
        <v>0</v>
      </c>
      <c r="O559" t="str">
        <f>CONCATENATE(Query1[[#This Row],[Description]]," - ",Query1[[#This Row],[MB1]]," - ",Query1[[#This Row],[MB2]]," - ",Query1[[#This Row],[MB3]])</f>
        <v>EVAP KIT 67-72 CHEV P-UP WO AC - 830014 - 0 - 0</v>
      </c>
    </row>
    <row r="560" spans="1:15" x14ac:dyDescent="0.25">
      <c r="A560" s="1">
        <v>910398</v>
      </c>
      <c r="B560" s="1" t="s">
        <v>36</v>
      </c>
      <c r="C560" s="1" t="s">
        <v>37</v>
      </c>
      <c r="D560" s="2">
        <v>44602.636370601853</v>
      </c>
      <c r="E560" s="1" t="s">
        <v>8</v>
      </c>
      <c r="F560" s="1">
        <v>1</v>
      </c>
      <c r="G560" s="1">
        <v>0</v>
      </c>
      <c r="H560" s="6">
        <f>INT(Query1[[#This Row],[EntryDateTime]])</f>
        <v>44602</v>
      </c>
      <c r="I560" s="1">
        <f>IF(Query1[[#This Row],[ItemType]]="EVAP KIT SF GEN IV",Query1[[#This Row],[OrderQty]]+I559,I559)</f>
        <v>616</v>
      </c>
      <c r="J560" s="1">
        <f>IF(Query1[[#This Row],[ItemType]]="EVAP KIT UNIVERSAL",Query1[[#This Row],[OrderQty]]+J559,J559)</f>
        <v>353</v>
      </c>
      <c r="K560" s="1">
        <f>Query1[[#This Row],[SF Running Total]]+Query1[[#This Row],[UNIV Running Total]]</f>
        <v>969</v>
      </c>
      <c r="L560">
        <f>VLOOKUP(Query1[[#This Row],[Description]],'kits to boards'!$B$2:$E$156,2,FALSE)</f>
        <v>830015</v>
      </c>
      <c r="M560">
        <f>VLOOKUP(Query1[[#This Row],[Description]],'kits to boards'!$B$2:$E$156,3,FALSE)</f>
        <v>0</v>
      </c>
      <c r="N560">
        <f>VLOOKUP(Query1[[#This Row],[Description]],'kits to boards'!$B$2:$E$156,4,FALSE)</f>
        <v>0</v>
      </c>
      <c r="O560" t="str">
        <f>CONCATENATE(Query1[[#This Row],[Description]]," - ",Query1[[#This Row],[MB1]]," - ",Query1[[#This Row],[MB2]]," - ",Query1[[#This Row],[MB3]])</f>
        <v>EVAP KIT 64-66 CHEV P-UP WO AC W/STD - 830015 - 0 - 0</v>
      </c>
    </row>
    <row r="561" spans="1:15" x14ac:dyDescent="0.25">
      <c r="A561" s="1">
        <v>909969</v>
      </c>
      <c r="B561" s="1" t="s">
        <v>62</v>
      </c>
      <c r="C561" s="1" t="s">
        <v>63</v>
      </c>
      <c r="D561" s="2">
        <v>44602.639355821761</v>
      </c>
      <c r="E561" s="1" t="s">
        <v>8</v>
      </c>
      <c r="F561" s="1">
        <v>1</v>
      </c>
      <c r="G561" s="1">
        <v>0</v>
      </c>
      <c r="H561" s="6">
        <f>INT(Query1[[#This Row],[EntryDateTime]])</f>
        <v>44602</v>
      </c>
      <c r="I561" s="1">
        <f>IF(Query1[[#This Row],[ItemType]]="EVAP KIT SF GEN IV",Query1[[#This Row],[OrderQty]]+I560,I560)</f>
        <v>617</v>
      </c>
      <c r="J561" s="1">
        <f>IF(Query1[[#This Row],[ItemType]]="EVAP KIT UNIVERSAL",Query1[[#This Row],[OrderQty]]+J560,J560)</f>
        <v>353</v>
      </c>
      <c r="K561" s="1">
        <f>Query1[[#This Row],[SF Running Total]]+Query1[[#This Row],[UNIV Running Total]]</f>
        <v>970</v>
      </c>
      <c r="L561">
        <f>VLOOKUP(Query1[[#This Row],[Description]],'kits to boards'!$B$2:$E$156,2,FALSE)</f>
        <v>830079</v>
      </c>
      <c r="M561">
        <f>VLOOKUP(Query1[[#This Row],[Description]],'kits to boards'!$B$2:$E$156,3,FALSE)</f>
        <v>830046</v>
      </c>
      <c r="N561">
        <f>VLOOKUP(Query1[[#This Row],[Description]],'kits to boards'!$B$2:$E$156,4,FALSE)</f>
        <v>0</v>
      </c>
      <c r="O561" t="str">
        <f>CONCATENATE(Query1[[#This Row],[Description]]," - ",Query1[[#This Row],[MB1]]," - ",Query1[[#This Row],[MB2]]," - ",Query1[[#This Row],[MB3]])</f>
        <v>EVAP KIT 67-68 MUSTANG/COUGAR WO AC - 830079 - 830046 - 0</v>
      </c>
    </row>
    <row r="562" spans="1:15" x14ac:dyDescent="0.25">
      <c r="A562" s="1">
        <v>910336</v>
      </c>
      <c r="B562" s="1" t="s">
        <v>62</v>
      </c>
      <c r="C562" s="1" t="s">
        <v>63</v>
      </c>
      <c r="D562" s="2">
        <v>44602.642078969904</v>
      </c>
      <c r="E562" s="1" t="s">
        <v>8</v>
      </c>
      <c r="F562" s="1">
        <v>1</v>
      </c>
      <c r="G562" s="1">
        <v>0</v>
      </c>
      <c r="H562" s="6">
        <f>INT(Query1[[#This Row],[EntryDateTime]])</f>
        <v>44602</v>
      </c>
      <c r="I562" s="1">
        <f>IF(Query1[[#This Row],[ItemType]]="EVAP KIT SF GEN IV",Query1[[#This Row],[OrderQty]]+I561,I561)</f>
        <v>618</v>
      </c>
      <c r="J562" s="1">
        <f>IF(Query1[[#This Row],[ItemType]]="EVAP KIT UNIVERSAL",Query1[[#This Row],[OrderQty]]+J561,J561)</f>
        <v>353</v>
      </c>
      <c r="K562" s="1">
        <f>Query1[[#This Row],[SF Running Total]]+Query1[[#This Row],[UNIV Running Total]]</f>
        <v>971</v>
      </c>
      <c r="L562">
        <f>VLOOKUP(Query1[[#This Row],[Description]],'kits to boards'!$B$2:$E$156,2,FALSE)</f>
        <v>830079</v>
      </c>
      <c r="M562">
        <f>VLOOKUP(Query1[[#This Row],[Description]],'kits to boards'!$B$2:$E$156,3,FALSE)</f>
        <v>830046</v>
      </c>
      <c r="N562">
        <f>VLOOKUP(Query1[[#This Row],[Description]],'kits to boards'!$B$2:$E$156,4,FALSE)</f>
        <v>0</v>
      </c>
      <c r="O562" t="str">
        <f>CONCATENATE(Query1[[#This Row],[Description]]," - ",Query1[[#This Row],[MB1]]," - ",Query1[[#This Row],[MB2]]," - ",Query1[[#This Row],[MB3]])</f>
        <v>EVAP KIT 67-68 MUSTANG/COUGAR WO AC - 830079 - 830046 - 0</v>
      </c>
    </row>
    <row r="563" spans="1:15" x14ac:dyDescent="0.25">
      <c r="A563" s="1">
        <v>910404</v>
      </c>
      <c r="B563" s="1" t="s">
        <v>52</v>
      </c>
      <c r="C563" s="1" t="s">
        <v>53</v>
      </c>
      <c r="D563" s="2">
        <v>44602.642477395835</v>
      </c>
      <c r="E563" s="1" t="s">
        <v>8</v>
      </c>
      <c r="F563" s="1">
        <v>1</v>
      </c>
      <c r="G563" s="1">
        <v>0</v>
      </c>
      <c r="H563" s="6">
        <f>INT(Query1[[#This Row],[EntryDateTime]])</f>
        <v>44602</v>
      </c>
      <c r="I563" s="1">
        <f>IF(Query1[[#This Row],[ItemType]]="EVAP KIT SF GEN IV",Query1[[#This Row],[OrderQty]]+I562,I562)</f>
        <v>619</v>
      </c>
      <c r="J563" s="1">
        <f>IF(Query1[[#This Row],[ItemType]]="EVAP KIT UNIVERSAL",Query1[[#This Row],[OrderQty]]+J562,J562)</f>
        <v>353</v>
      </c>
      <c r="K563" s="1">
        <f>Query1[[#This Row],[SF Running Total]]+Query1[[#This Row],[UNIV Running Total]]</f>
        <v>972</v>
      </c>
      <c r="L563">
        <f>VLOOKUP(Query1[[#This Row],[Description]],'kits to boards'!$B$2:$E$156,2,FALSE)</f>
        <v>830017</v>
      </c>
      <c r="M563">
        <f>VLOOKUP(Query1[[#This Row],[Description]],'kits to boards'!$B$2:$E$156,3,FALSE)</f>
        <v>830119</v>
      </c>
      <c r="N563">
        <f>VLOOKUP(Query1[[#This Row],[Description]],'kits to boards'!$B$2:$E$156,4,FALSE)</f>
        <v>830120</v>
      </c>
      <c r="O563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564" spans="1:15" x14ac:dyDescent="0.25">
      <c r="A564" s="1">
        <v>910405</v>
      </c>
      <c r="B564" s="1" t="s">
        <v>22</v>
      </c>
      <c r="C564" s="1" t="s">
        <v>23</v>
      </c>
      <c r="D564" s="2">
        <v>44602.644970451387</v>
      </c>
      <c r="E564" s="1" t="s">
        <v>8</v>
      </c>
      <c r="F564" s="1">
        <v>1</v>
      </c>
      <c r="G564" s="1">
        <v>0</v>
      </c>
      <c r="H564" s="6">
        <f>INT(Query1[[#This Row],[EntryDateTime]])</f>
        <v>44602</v>
      </c>
      <c r="I564" s="1">
        <f>IF(Query1[[#This Row],[ItemType]]="EVAP KIT SF GEN IV",Query1[[#This Row],[OrderQty]]+I563,I563)</f>
        <v>620</v>
      </c>
      <c r="J564" s="1">
        <f>IF(Query1[[#This Row],[ItemType]]="EVAP KIT UNIVERSAL",Query1[[#This Row],[OrderQty]]+J563,J563)</f>
        <v>353</v>
      </c>
      <c r="K564" s="1">
        <f>Query1[[#This Row],[SF Running Total]]+Query1[[#This Row],[UNIV Running Total]]</f>
        <v>973</v>
      </c>
      <c r="L564">
        <f>VLOOKUP(Query1[[#This Row],[Description]],'kits to boards'!$B$2:$E$156,2,FALSE)</f>
        <v>830083</v>
      </c>
      <c r="M564">
        <f>VLOOKUP(Query1[[#This Row],[Description]],'kits to boards'!$B$2:$E$156,3,FALSE)</f>
        <v>0</v>
      </c>
      <c r="N564">
        <f>VLOOKUP(Query1[[#This Row],[Description]],'kits to boards'!$B$2:$E$156,4,FALSE)</f>
        <v>0</v>
      </c>
      <c r="O564" t="str">
        <f>CONCATENATE(Query1[[#This Row],[Description]]," - ",Query1[[#This Row],[MB1]]," - ",Query1[[#This Row],[MB2]]," - ",Query1[[#This Row],[MB3]])</f>
        <v>GEN IV MAGNUM EVAP KIT - 830083 - 0 - 0</v>
      </c>
    </row>
    <row r="565" spans="1:15" x14ac:dyDescent="0.25">
      <c r="A565" s="1">
        <v>908804</v>
      </c>
      <c r="B565" s="1" t="s">
        <v>506</v>
      </c>
      <c r="C565" s="1" t="s">
        <v>507</v>
      </c>
      <c r="D565" s="2">
        <v>44602.649685729164</v>
      </c>
      <c r="E565" s="1" t="s">
        <v>677</v>
      </c>
      <c r="F565" s="1">
        <v>1</v>
      </c>
      <c r="G565" s="1">
        <v>0</v>
      </c>
      <c r="H565" s="6">
        <f>INT(Query1[[#This Row],[EntryDateTime]])</f>
        <v>44602</v>
      </c>
      <c r="I565" s="1">
        <f>IF(Query1[[#This Row],[ItemType]]="EVAP KIT SF GEN IV",Query1[[#This Row],[OrderQty]]+I564,I564)</f>
        <v>620</v>
      </c>
      <c r="J565" s="1">
        <f>IF(Query1[[#This Row],[ItemType]]="EVAP KIT UNIVERSAL",Query1[[#This Row],[OrderQty]]+J564,J564)</f>
        <v>353</v>
      </c>
      <c r="K565" s="1">
        <f>Query1[[#This Row],[SF Running Total]]+Query1[[#This Row],[UNIV Running Total]]</f>
        <v>973</v>
      </c>
      <c r="L565" t="e">
        <f>VLOOKUP(Query1[[#This Row],[Description]],'kits to boards'!$B$2:$E$156,2,FALSE)</f>
        <v>#N/A</v>
      </c>
      <c r="M565" t="e">
        <f>VLOOKUP(Query1[[#This Row],[Description]],'kits to boards'!$B$2:$E$156,3,FALSE)</f>
        <v>#N/A</v>
      </c>
      <c r="N565" t="e">
        <f>VLOOKUP(Query1[[#This Row],[Description]],'kits to boards'!$B$2:$E$156,4,FALSE)</f>
        <v>#N/A</v>
      </c>
      <c r="O565" t="e">
        <f>CONCATENATE(Query1[[#This Row],[Description]]," - ",Query1[[#This Row],[MB1]]," - ",Query1[[#This Row],[MB2]]," - ",Query1[[#This Row],[MB3]])</f>
        <v>#N/A</v>
      </c>
    </row>
    <row r="566" spans="1:15" x14ac:dyDescent="0.25">
      <c r="A566" s="1">
        <v>910412</v>
      </c>
      <c r="B566" s="1" t="s">
        <v>98</v>
      </c>
      <c r="C566" s="1" t="s">
        <v>99</v>
      </c>
      <c r="D566" s="2">
        <v>44602.659474270833</v>
      </c>
      <c r="E566" s="1" t="s">
        <v>11</v>
      </c>
      <c r="F566" s="1">
        <v>1</v>
      </c>
      <c r="G566" s="1">
        <v>0</v>
      </c>
      <c r="H566" s="6">
        <f>INT(Query1[[#This Row],[EntryDateTime]])</f>
        <v>44602</v>
      </c>
      <c r="I566" s="1">
        <f>IF(Query1[[#This Row],[ItemType]]="EVAP KIT SF GEN IV",Query1[[#This Row],[OrderQty]]+I565,I565)</f>
        <v>620</v>
      </c>
      <c r="J566" s="1">
        <f>IF(Query1[[#This Row],[ItemType]]="EVAP KIT UNIVERSAL",Query1[[#This Row],[OrderQty]]+J565,J565)</f>
        <v>354</v>
      </c>
      <c r="K566" s="1">
        <f>Query1[[#This Row],[SF Running Total]]+Query1[[#This Row],[UNIV Running Total]]</f>
        <v>974</v>
      </c>
      <c r="L566">
        <f>VLOOKUP(Query1[[#This Row],[Description]],'kits to boards'!$B$2:$E$156,2,FALSE)</f>
        <v>830099</v>
      </c>
      <c r="M566">
        <f>VLOOKUP(Query1[[#This Row],[Description]],'kits to boards'!$B$2:$E$156,3,FALSE)</f>
        <v>0</v>
      </c>
      <c r="N566">
        <f>VLOOKUP(Query1[[#This Row],[Description]],'kits to boards'!$B$2:$E$156,4,FALSE)</f>
        <v>0</v>
      </c>
      <c r="O566" t="str">
        <f>CONCATENATE(Query1[[#This Row],[Description]]," - ",Query1[[#This Row],[MB1]]," - ",Query1[[#This Row],[MB2]]," - ",Query1[[#This Row],[MB3]])</f>
        <v>MINI GEN II W/DEF - 830099 - 0 - 0</v>
      </c>
    </row>
    <row r="567" spans="1:15" x14ac:dyDescent="0.25">
      <c r="A567" s="1">
        <v>910201</v>
      </c>
      <c r="B567" s="1" t="s">
        <v>26</v>
      </c>
      <c r="C567" s="1" t="s">
        <v>27</v>
      </c>
      <c r="D567" s="2">
        <v>44602.672847187503</v>
      </c>
      <c r="E567" s="1" t="s">
        <v>8</v>
      </c>
      <c r="F567" s="1">
        <v>1</v>
      </c>
      <c r="G567" s="1">
        <v>0</v>
      </c>
      <c r="H567" s="6">
        <f>INT(Query1[[#This Row],[EntryDateTime]])</f>
        <v>44602</v>
      </c>
      <c r="I567" s="1">
        <f>IF(Query1[[#This Row],[ItemType]]="EVAP KIT SF GEN IV",Query1[[#This Row],[OrderQty]]+I566,I566)</f>
        <v>621</v>
      </c>
      <c r="J567" s="1">
        <f>IF(Query1[[#This Row],[ItemType]]="EVAP KIT UNIVERSAL",Query1[[#This Row],[OrderQty]]+J566,J566)</f>
        <v>354</v>
      </c>
      <c r="K567" s="1">
        <f>Query1[[#This Row],[SF Running Total]]+Query1[[#This Row],[UNIV Running Total]]</f>
        <v>975</v>
      </c>
      <c r="L567">
        <f>VLOOKUP(Query1[[#This Row],[Description]],'kits to boards'!$B$2:$E$156,2,FALSE)</f>
        <v>830013</v>
      </c>
      <c r="M567">
        <f>VLOOKUP(Query1[[#This Row],[Description]],'kits to boards'!$B$2:$E$156,3,FALSE)</f>
        <v>0</v>
      </c>
      <c r="N567">
        <f>VLOOKUP(Query1[[#This Row],[Description]],'kits to boards'!$B$2:$E$156,4,FALSE)</f>
        <v>0</v>
      </c>
      <c r="O567" t="str">
        <f>CONCATENATE(Query1[[#This Row],[Description]]," - ",Query1[[#This Row],[MB1]]," - ",Query1[[#This Row],[MB2]]," - ",Query1[[#This Row],[MB3]])</f>
        <v>EVAP KIT 67-72 CHEV P-UP W/AC - 830013 - 0 - 0</v>
      </c>
    </row>
    <row r="568" spans="1:15" x14ac:dyDescent="0.25">
      <c r="A568" s="1">
        <v>910420</v>
      </c>
      <c r="B568" s="1" t="s">
        <v>256</v>
      </c>
      <c r="C568" s="1" t="s">
        <v>257</v>
      </c>
      <c r="D568" s="2">
        <v>44602.674511886573</v>
      </c>
      <c r="E568" s="1" t="s">
        <v>8</v>
      </c>
      <c r="F568" s="1">
        <v>1</v>
      </c>
      <c r="G568" s="1">
        <v>0</v>
      </c>
      <c r="H568" s="6">
        <f>INT(Query1[[#This Row],[EntryDateTime]])</f>
        <v>44602</v>
      </c>
      <c r="I568" s="1">
        <f>IF(Query1[[#This Row],[ItemType]]="EVAP KIT SF GEN IV",Query1[[#This Row],[OrderQty]]+I567,I567)</f>
        <v>622</v>
      </c>
      <c r="J568" s="1">
        <f>IF(Query1[[#This Row],[ItemType]]="EVAP KIT UNIVERSAL",Query1[[#This Row],[OrderQty]]+J567,J567)</f>
        <v>354</v>
      </c>
      <c r="K568" s="1">
        <f>Query1[[#This Row],[SF Running Total]]+Query1[[#This Row],[UNIV Running Total]]</f>
        <v>976</v>
      </c>
      <c r="L568">
        <f>VLOOKUP(Query1[[#This Row],[Description]],'kits to boards'!$B$2:$E$156,2,FALSE)</f>
        <v>830025</v>
      </c>
      <c r="M568">
        <f>VLOOKUP(Query1[[#This Row],[Description]],'kits to boards'!$B$2:$E$156,3,FALSE)</f>
        <v>830022</v>
      </c>
      <c r="N568">
        <f>VLOOKUP(Query1[[#This Row],[Description]],'kits to boards'!$B$2:$E$156,4,FALSE)</f>
        <v>0</v>
      </c>
      <c r="O568" t="str">
        <f>CONCATENATE(Query1[[#This Row],[Description]]," - ",Query1[[#This Row],[MB1]]," - ",Query1[[#This Row],[MB2]]," - ",Query1[[#This Row],[MB3]])</f>
        <v>EVAP KIT 68-69 CUTLASS W/AC - 830025 - 830022 - 0</v>
      </c>
    </row>
    <row r="569" spans="1:15" x14ac:dyDescent="0.25">
      <c r="A569" s="1">
        <v>910421</v>
      </c>
      <c r="B569" s="1" t="s">
        <v>56</v>
      </c>
      <c r="C569" s="1" t="s">
        <v>57</v>
      </c>
      <c r="D569" s="2">
        <v>44602.676680555553</v>
      </c>
      <c r="E569" s="1" t="s">
        <v>8</v>
      </c>
      <c r="F569" s="1">
        <v>1</v>
      </c>
      <c r="G569" s="1">
        <v>0</v>
      </c>
      <c r="H569" s="6">
        <f>INT(Query1[[#This Row],[EntryDateTime]])</f>
        <v>44602</v>
      </c>
      <c r="I569" s="1">
        <f>IF(Query1[[#This Row],[ItemType]]="EVAP KIT SF GEN IV",Query1[[#This Row],[OrderQty]]+I568,I568)</f>
        <v>623</v>
      </c>
      <c r="J569" s="1">
        <f>IF(Query1[[#This Row],[ItemType]]="EVAP KIT UNIVERSAL",Query1[[#This Row],[OrderQty]]+J568,J568)</f>
        <v>354</v>
      </c>
      <c r="K569" s="1">
        <f>Query1[[#This Row],[SF Running Total]]+Query1[[#This Row],[UNIV Running Total]]</f>
        <v>977</v>
      </c>
      <c r="L569">
        <f>VLOOKUP(Query1[[#This Row],[Description]],'kits to boards'!$B$2:$E$156,2,FALSE)</f>
        <v>830011</v>
      </c>
      <c r="M569">
        <f>VLOOKUP(Query1[[#This Row],[Description]],'kits to boards'!$B$2:$E$156,3,FALSE)</f>
        <v>0</v>
      </c>
      <c r="N569">
        <f>VLOOKUP(Query1[[#This Row],[Description]],'kits to boards'!$B$2:$E$156,4,FALSE)</f>
        <v>0</v>
      </c>
      <c r="O569" t="str">
        <f>CONCATENATE(Query1[[#This Row],[Description]]," - ",Query1[[#This Row],[MB1]]," - ",Query1[[#This Row],[MB2]]," - ",Query1[[#This Row],[MB3]])</f>
        <v>EVAP KIT 70-72 CHEVELLE W/AC - 830011 - 0 - 0</v>
      </c>
    </row>
    <row r="570" spans="1:15" x14ac:dyDescent="0.25">
      <c r="A570" s="1">
        <v>910423</v>
      </c>
      <c r="B570" s="1" t="s">
        <v>72</v>
      </c>
      <c r="C570" s="1" t="s">
        <v>73</v>
      </c>
      <c r="D570" s="2">
        <v>44602.678976238429</v>
      </c>
      <c r="E570" s="1" t="s">
        <v>8</v>
      </c>
      <c r="F570" s="1">
        <v>1</v>
      </c>
      <c r="G570" s="1">
        <v>0</v>
      </c>
      <c r="H570" s="6">
        <f>INT(Query1[[#This Row],[EntryDateTime]])</f>
        <v>44602</v>
      </c>
      <c r="I570" s="1">
        <f>IF(Query1[[#This Row],[ItemType]]="EVAP KIT SF GEN IV",Query1[[#This Row],[OrderQty]]+I569,I569)</f>
        <v>624</v>
      </c>
      <c r="J570" s="1">
        <f>IF(Query1[[#This Row],[ItemType]]="EVAP KIT UNIVERSAL",Query1[[#This Row],[OrderQty]]+J569,J569)</f>
        <v>354</v>
      </c>
      <c r="K570" s="1">
        <f>Query1[[#This Row],[SF Running Total]]+Query1[[#This Row],[UNIV Running Total]]</f>
        <v>978</v>
      </c>
      <c r="L570">
        <f>VLOOKUP(Query1[[#This Row],[Description]],'kits to boards'!$B$2:$E$156,2,FALSE)</f>
        <v>830043</v>
      </c>
      <c r="M570">
        <f>VLOOKUP(Query1[[#This Row],[Description]],'kits to boards'!$B$2:$E$156,3,FALSE)</f>
        <v>0</v>
      </c>
      <c r="N570">
        <f>VLOOKUP(Query1[[#This Row],[Description]],'kits to boards'!$B$2:$E$156,4,FALSE)</f>
        <v>0</v>
      </c>
      <c r="O570" t="str">
        <f>CONCATENATE(Query1[[#This Row],[Description]]," - ",Query1[[#This Row],[MB1]]," - ",Query1[[#This Row],[MB2]]," - ",Query1[[#This Row],[MB3]])</f>
        <v>EVAP KIT 69-74 NOVA W/AC - 830043 - 0 - 0</v>
      </c>
    </row>
    <row r="571" spans="1:15" x14ac:dyDescent="0.25">
      <c r="A571" s="1">
        <v>910424</v>
      </c>
      <c r="B571" s="1" t="s">
        <v>194</v>
      </c>
      <c r="C571" s="1" t="s">
        <v>195</v>
      </c>
      <c r="D571" s="2">
        <v>44602.679040196759</v>
      </c>
      <c r="E571" s="1" t="s">
        <v>8</v>
      </c>
      <c r="F571" s="1">
        <v>1</v>
      </c>
      <c r="G571" s="1">
        <v>0</v>
      </c>
      <c r="H571" s="6">
        <f>INT(Query1[[#This Row],[EntryDateTime]])</f>
        <v>44602</v>
      </c>
      <c r="I571" s="1">
        <f>IF(Query1[[#This Row],[ItemType]]="EVAP KIT SF GEN IV",Query1[[#This Row],[OrderQty]]+I570,I570)</f>
        <v>625</v>
      </c>
      <c r="J571" s="1">
        <f>IF(Query1[[#This Row],[ItemType]]="EVAP KIT UNIVERSAL",Query1[[#This Row],[OrderQty]]+J570,J570)</f>
        <v>354</v>
      </c>
      <c r="K571" s="1">
        <f>Query1[[#This Row],[SF Running Total]]+Query1[[#This Row],[UNIV Running Total]]</f>
        <v>979</v>
      </c>
      <c r="L571">
        <f>VLOOKUP(Query1[[#This Row],[Description]],'kits to boards'!$B$2:$E$156,2,FALSE)</f>
        <v>830103</v>
      </c>
      <c r="M571">
        <f>VLOOKUP(Query1[[#This Row],[Description]],'kits to boards'!$B$2:$E$156,3,FALSE)</f>
        <v>0</v>
      </c>
      <c r="N571">
        <f>VLOOKUP(Query1[[#This Row],[Description]],'kits to boards'!$B$2:$E$156,4,FALSE)</f>
        <v>0</v>
      </c>
      <c r="O571" t="str">
        <f>CONCATENATE(Query1[[#This Row],[Description]]," - ",Query1[[#This Row],[MB1]]," - ",Query1[[#This Row],[MB2]]," - ",Query1[[#This Row],[MB3]])</f>
        <v>EVAP KIT 78-82 VETTE W/AC - 830103 - 0 - 0</v>
      </c>
    </row>
    <row r="572" spans="1:15" x14ac:dyDescent="0.25">
      <c r="A572" s="1">
        <v>910435</v>
      </c>
      <c r="B572" s="1" t="s">
        <v>42</v>
      </c>
      <c r="C572" s="1" t="s">
        <v>43</v>
      </c>
      <c r="D572" s="2">
        <v>44602.695294363424</v>
      </c>
      <c r="E572" s="1" t="s">
        <v>8</v>
      </c>
      <c r="F572" s="1">
        <v>1</v>
      </c>
      <c r="G572" s="1">
        <v>0</v>
      </c>
      <c r="H572" s="6">
        <f>INT(Query1[[#This Row],[EntryDateTime]])</f>
        <v>44602</v>
      </c>
      <c r="I572" s="1">
        <f>IF(Query1[[#This Row],[ItemType]]="EVAP KIT SF GEN IV",Query1[[#This Row],[OrderQty]]+I571,I571)</f>
        <v>626</v>
      </c>
      <c r="J572" s="1">
        <f>IF(Query1[[#This Row],[ItemType]]="EVAP KIT UNIVERSAL",Query1[[#This Row],[OrderQty]]+J571,J571)</f>
        <v>354</v>
      </c>
      <c r="K572" s="1">
        <f>Query1[[#This Row],[SF Running Total]]+Query1[[#This Row],[UNIV Running Total]]</f>
        <v>980</v>
      </c>
      <c r="L572">
        <f>VLOOKUP(Query1[[#This Row],[Description]],'kits to boards'!$B$2:$E$156,2,FALSE)</f>
        <v>830014</v>
      </c>
      <c r="M572">
        <f>VLOOKUP(Query1[[#This Row],[Description]],'kits to boards'!$B$2:$E$156,3,FALSE)</f>
        <v>0</v>
      </c>
      <c r="N572">
        <f>VLOOKUP(Query1[[#This Row],[Description]],'kits to boards'!$B$2:$E$156,4,FALSE)</f>
        <v>0</v>
      </c>
      <c r="O572" t="str">
        <f>CONCATENATE(Query1[[#This Row],[Description]]," - ",Query1[[#This Row],[MB1]]," - ",Query1[[#This Row],[MB2]]," - ",Query1[[#This Row],[MB3]])</f>
        <v>EVAP KIT 67-72 CHEV P-UP WO AC - 830014 - 0 - 0</v>
      </c>
    </row>
    <row r="573" spans="1:15" x14ac:dyDescent="0.25">
      <c r="A573" s="1">
        <v>910436</v>
      </c>
      <c r="B573" s="1" t="s">
        <v>102</v>
      </c>
      <c r="C573" s="1" t="s">
        <v>103</v>
      </c>
      <c r="D573" s="2">
        <v>44602.701456099538</v>
      </c>
      <c r="E573" s="1" t="s">
        <v>8</v>
      </c>
      <c r="F573" s="1">
        <v>1</v>
      </c>
      <c r="G573" s="1">
        <v>0</v>
      </c>
      <c r="H573" s="6">
        <f>INT(Query1[[#This Row],[EntryDateTime]])</f>
        <v>44602</v>
      </c>
      <c r="I573" s="1">
        <f>IF(Query1[[#This Row],[ItemType]]="EVAP KIT SF GEN IV",Query1[[#This Row],[OrderQty]]+I572,I572)</f>
        <v>627</v>
      </c>
      <c r="J573" s="1">
        <f>IF(Query1[[#This Row],[ItemType]]="EVAP KIT UNIVERSAL",Query1[[#This Row],[OrderQty]]+J572,J572)</f>
        <v>354</v>
      </c>
      <c r="K573" s="1">
        <f>Query1[[#This Row],[SF Running Total]]+Query1[[#This Row],[UNIV Running Total]]</f>
        <v>981</v>
      </c>
      <c r="L573">
        <f>VLOOKUP(Query1[[#This Row],[Description]],'kits to boards'!$B$2:$E$156,2,FALSE)</f>
        <v>830012</v>
      </c>
      <c r="M573">
        <f>VLOOKUP(Query1[[#This Row],[Description]],'kits to boards'!$B$2:$E$156,3,FALSE)</f>
        <v>0</v>
      </c>
      <c r="N573">
        <f>VLOOKUP(Query1[[#This Row],[Description]],'kits to boards'!$B$2:$E$156,4,FALSE)</f>
        <v>0</v>
      </c>
      <c r="O573" t="str">
        <f>CONCATENATE(Query1[[#This Row],[Description]]," - ",Query1[[#This Row],[MB1]]," - ",Query1[[#This Row],[MB2]]," - ",Query1[[#This Row],[MB3]])</f>
        <v>EVAP KIT 69 CAMARO WO/AC - 830012 - 0 - 0</v>
      </c>
    </row>
    <row r="574" spans="1:15" x14ac:dyDescent="0.25">
      <c r="A574" s="1">
        <v>910447</v>
      </c>
      <c r="B574" s="1" t="s">
        <v>168</v>
      </c>
      <c r="C574" s="1" t="s">
        <v>169</v>
      </c>
      <c r="D574" s="2">
        <v>44603.324694212963</v>
      </c>
      <c r="E574" s="1" t="s">
        <v>8</v>
      </c>
      <c r="F574" s="1">
        <v>1</v>
      </c>
      <c r="G574" s="1">
        <v>0</v>
      </c>
      <c r="H574" s="6">
        <f>INT(Query1[[#This Row],[EntryDateTime]])</f>
        <v>44603</v>
      </c>
      <c r="I574" s="1">
        <f>IF(Query1[[#This Row],[ItemType]]="EVAP KIT SF GEN IV",Query1[[#This Row],[OrderQty]]+I573,I573)</f>
        <v>628</v>
      </c>
      <c r="J574" s="1">
        <f>IF(Query1[[#This Row],[ItemType]]="EVAP KIT UNIVERSAL",Query1[[#This Row],[OrderQty]]+J573,J573)</f>
        <v>354</v>
      </c>
      <c r="K574" s="1">
        <f>Query1[[#This Row],[SF Running Total]]+Query1[[#This Row],[UNIV Running Total]]</f>
        <v>982</v>
      </c>
      <c r="L574">
        <f>VLOOKUP(Query1[[#This Row],[Description]],'kits to boards'!$B$2:$E$156,2,FALSE)</f>
        <v>830028</v>
      </c>
      <c r="M574">
        <f>VLOOKUP(Query1[[#This Row],[Description]],'kits to boards'!$B$2:$E$156,3,FALSE)</f>
        <v>0</v>
      </c>
      <c r="N574">
        <f>VLOOKUP(Query1[[#This Row],[Description]],'kits to boards'!$B$2:$E$156,4,FALSE)</f>
        <v>0</v>
      </c>
      <c r="O574" t="str">
        <f>CONCATENATE(Query1[[#This Row],[Description]]," - ",Query1[[#This Row],[MB1]]," - ",Query1[[#This Row],[MB2]]," - ",Query1[[#This Row],[MB3]])</f>
        <v>EVAP KIT 55-59 CHEV P-UP WO AC W/STD  - 830028 - 0 - 0</v>
      </c>
    </row>
    <row r="575" spans="1:15" x14ac:dyDescent="0.25">
      <c r="A575" s="1">
        <v>910448</v>
      </c>
      <c r="B575" s="1" t="s">
        <v>68</v>
      </c>
      <c r="C575" s="1" t="s">
        <v>69</v>
      </c>
      <c r="D575" s="2">
        <v>44603.329689351849</v>
      </c>
      <c r="E575" s="1" t="s">
        <v>8</v>
      </c>
      <c r="F575" s="1">
        <v>1</v>
      </c>
      <c r="G575" s="1">
        <v>0</v>
      </c>
      <c r="H575" s="6">
        <f>INT(Query1[[#This Row],[EntryDateTime]])</f>
        <v>44603</v>
      </c>
      <c r="I575" s="1">
        <f>IF(Query1[[#This Row],[ItemType]]="EVAP KIT SF GEN IV",Query1[[#This Row],[OrderQty]]+I574,I574)</f>
        <v>629</v>
      </c>
      <c r="J575" s="1">
        <f>IF(Query1[[#This Row],[ItemType]]="EVAP KIT UNIVERSAL",Query1[[#This Row],[OrderQty]]+J574,J574)</f>
        <v>354</v>
      </c>
      <c r="K575" s="1">
        <f>Query1[[#This Row],[SF Running Total]]+Query1[[#This Row],[UNIV Running Total]]</f>
        <v>983</v>
      </c>
      <c r="L575">
        <f>VLOOKUP(Query1[[#This Row],[Description]],'kits to boards'!$B$2:$E$156,2,FALSE)</f>
        <v>830010</v>
      </c>
      <c r="M575">
        <f>VLOOKUP(Query1[[#This Row],[Description]],'kits to boards'!$B$2:$E$156,3,FALSE)</f>
        <v>0</v>
      </c>
      <c r="N575">
        <f>VLOOKUP(Query1[[#This Row],[Description]],'kits to boards'!$B$2:$E$156,4,FALSE)</f>
        <v>0</v>
      </c>
      <c r="O575" t="str">
        <f>CONCATENATE(Query1[[#This Row],[Description]]," - ",Query1[[#This Row],[MB1]]," - ",Query1[[#This Row],[MB2]]," - ",Query1[[#This Row],[MB3]])</f>
        <v>EVAP KIT 70-72 CHEVELLE WO AC - 830010 - 0 - 0</v>
      </c>
    </row>
    <row r="576" spans="1:15" x14ac:dyDescent="0.25">
      <c r="A576" s="1">
        <v>910455</v>
      </c>
      <c r="B576" s="1" t="s">
        <v>24</v>
      </c>
      <c r="C576" s="1" t="s">
        <v>25</v>
      </c>
      <c r="D576" s="2">
        <v>44603.340461145832</v>
      </c>
      <c r="E576" s="1" t="s">
        <v>11</v>
      </c>
      <c r="F576" s="1">
        <v>1</v>
      </c>
      <c r="G576" s="1">
        <v>0</v>
      </c>
      <c r="H576" s="6">
        <f>INT(Query1[[#This Row],[EntryDateTime]])</f>
        <v>44603</v>
      </c>
      <c r="I576" s="1">
        <f>IF(Query1[[#This Row],[ItemType]]="EVAP KIT SF GEN IV",Query1[[#This Row],[OrderQty]]+I575,I575)</f>
        <v>629</v>
      </c>
      <c r="J576" s="1">
        <f>IF(Query1[[#This Row],[ItemType]]="EVAP KIT UNIVERSAL",Query1[[#This Row],[OrderQty]]+J575,J575)</f>
        <v>355</v>
      </c>
      <c r="K576" s="1">
        <f>Query1[[#This Row],[SF Running Total]]+Query1[[#This Row],[UNIV Running Total]]</f>
        <v>984</v>
      </c>
      <c r="L576">
        <f>VLOOKUP(Query1[[#This Row],[Description]],'kits to boards'!$B$2:$E$156,2,FALSE)</f>
        <v>830029</v>
      </c>
      <c r="M576">
        <f>VLOOKUP(Query1[[#This Row],[Description]],'kits to boards'!$B$2:$E$156,3,FALSE)</f>
        <v>830030</v>
      </c>
      <c r="N576">
        <f>VLOOKUP(Query1[[#This Row],[Description]],'kits to boards'!$B$2:$E$156,4,FALSE)</f>
        <v>0</v>
      </c>
      <c r="O576" t="str">
        <f>CONCATENATE(Query1[[#This Row],[Description]]," - ",Query1[[#This Row],[MB1]]," - ",Query1[[#This Row],[MB2]]," - ",Query1[[#This Row],[MB3]])</f>
        <v>ComPac GEN II W/DEF - 830029 - 830030 - 0</v>
      </c>
    </row>
    <row r="577" spans="1:15" x14ac:dyDescent="0.25">
      <c r="A577" s="1">
        <v>910455</v>
      </c>
      <c r="B577" s="1" t="s">
        <v>98</v>
      </c>
      <c r="C577" s="1" t="s">
        <v>99</v>
      </c>
      <c r="D577" s="2">
        <v>44603.340570370368</v>
      </c>
      <c r="E577" s="1" t="s">
        <v>11</v>
      </c>
      <c r="F577" s="1">
        <v>1</v>
      </c>
      <c r="G577" s="1">
        <v>0</v>
      </c>
      <c r="H577" s="6">
        <f>INT(Query1[[#This Row],[EntryDateTime]])</f>
        <v>44603</v>
      </c>
      <c r="I577" s="1">
        <f>IF(Query1[[#This Row],[ItemType]]="EVAP KIT SF GEN IV",Query1[[#This Row],[OrderQty]]+I576,I576)</f>
        <v>629</v>
      </c>
      <c r="J577" s="1">
        <f>IF(Query1[[#This Row],[ItemType]]="EVAP KIT UNIVERSAL",Query1[[#This Row],[OrderQty]]+J576,J576)</f>
        <v>356</v>
      </c>
      <c r="K577" s="1">
        <f>Query1[[#This Row],[SF Running Total]]+Query1[[#This Row],[UNIV Running Total]]</f>
        <v>985</v>
      </c>
      <c r="L577">
        <f>VLOOKUP(Query1[[#This Row],[Description]],'kits to boards'!$B$2:$E$156,2,FALSE)</f>
        <v>830099</v>
      </c>
      <c r="M577">
        <f>VLOOKUP(Query1[[#This Row],[Description]],'kits to boards'!$B$2:$E$156,3,FALSE)</f>
        <v>0</v>
      </c>
      <c r="N577">
        <f>VLOOKUP(Query1[[#This Row],[Description]],'kits to boards'!$B$2:$E$156,4,FALSE)</f>
        <v>0</v>
      </c>
      <c r="O577" t="str">
        <f>CONCATENATE(Query1[[#This Row],[Description]]," - ",Query1[[#This Row],[MB1]]," - ",Query1[[#This Row],[MB2]]," - ",Query1[[#This Row],[MB3]])</f>
        <v>MINI GEN II W/DEF - 830099 - 0 - 0</v>
      </c>
    </row>
    <row r="578" spans="1:15" x14ac:dyDescent="0.25">
      <c r="A578" s="1">
        <v>910456</v>
      </c>
      <c r="B578" s="1" t="s">
        <v>22</v>
      </c>
      <c r="C578" s="1" t="s">
        <v>23</v>
      </c>
      <c r="D578" s="2">
        <v>44603.342676539352</v>
      </c>
      <c r="E578" s="1" t="s">
        <v>8</v>
      </c>
      <c r="F578" s="1">
        <v>1</v>
      </c>
      <c r="G578" s="1">
        <v>0</v>
      </c>
      <c r="H578" s="6">
        <f>INT(Query1[[#This Row],[EntryDateTime]])</f>
        <v>44603</v>
      </c>
      <c r="I578" s="1">
        <f>IF(Query1[[#This Row],[ItemType]]="EVAP KIT SF GEN IV",Query1[[#This Row],[OrderQty]]+I577,I577)</f>
        <v>630</v>
      </c>
      <c r="J578" s="1">
        <f>IF(Query1[[#This Row],[ItemType]]="EVAP KIT UNIVERSAL",Query1[[#This Row],[OrderQty]]+J577,J577)</f>
        <v>356</v>
      </c>
      <c r="K578" s="1">
        <f>Query1[[#This Row],[SF Running Total]]+Query1[[#This Row],[UNIV Running Total]]</f>
        <v>986</v>
      </c>
      <c r="L578">
        <f>VLOOKUP(Query1[[#This Row],[Description]],'kits to boards'!$B$2:$E$156,2,FALSE)</f>
        <v>830083</v>
      </c>
      <c r="M578">
        <f>VLOOKUP(Query1[[#This Row],[Description]],'kits to boards'!$B$2:$E$156,3,FALSE)</f>
        <v>0</v>
      </c>
      <c r="N578">
        <f>VLOOKUP(Query1[[#This Row],[Description]],'kits to boards'!$B$2:$E$156,4,FALSE)</f>
        <v>0</v>
      </c>
      <c r="O578" t="str">
        <f>CONCATENATE(Query1[[#This Row],[Description]]," - ",Query1[[#This Row],[MB1]]," - ",Query1[[#This Row],[MB2]]," - ",Query1[[#This Row],[MB3]])</f>
        <v>GEN IV MAGNUM EVAP KIT - 830083 - 0 - 0</v>
      </c>
    </row>
    <row r="579" spans="1:15" x14ac:dyDescent="0.25">
      <c r="A579" s="1">
        <v>910242</v>
      </c>
      <c r="B579" s="1" t="s">
        <v>22</v>
      </c>
      <c r="C579" s="1" t="s">
        <v>23</v>
      </c>
      <c r="D579" s="2">
        <v>44603.353601041665</v>
      </c>
      <c r="E579" s="1" t="s">
        <v>8</v>
      </c>
      <c r="F579" s="1">
        <v>1</v>
      </c>
      <c r="G579" s="1">
        <v>0</v>
      </c>
      <c r="H579" s="6">
        <f>INT(Query1[[#This Row],[EntryDateTime]])</f>
        <v>44603</v>
      </c>
      <c r="I579" s="1">
        <f>IF(Query1[[#This Row],[ItemType]]="EVAP KIT SF GEN IV",Query1[[#This Row],[OrderQty]]+I578,I578)</f>
        <v>631</v>
      </c>
      <c r="J579" s="1">
        <f>IF(Query1[[#This Row],[ItemType]]="EVAP KIT UNIVERSAL",Query1[[#This Row],[OrderQty]]+J578,J578)</f>
        <v>356</v>
      </c>
      <c r="K579" s="1">
        <f>Query1[[#This Row],[SF Running Total]]+Query1[[#This Row],[UNIV Running Total]]</f>
        <v>987</v>
      </c>
      <c r="L579">
        <f>VLOOKUP(Query1[[#This Row],[Description]],'kits to boards'!$B$2:$E$156,2,FALSE)</f>
        <v>830083</v>
      </c>
      <c r="M579">
        <f>VLOOKUP(Query1[[#This Row],[Description]],'kits to boards'!$B$2:$E$156,3,FALSE)</f>
        <v>0</v>
      </c>
      <c r="N579">
        <f>VLOOKUP(Query1[[#This Row],[Description]],'kits to boards'!$B$2:$E$156,4,FALSE)</f>
        <v>0</v>
      </c>
      <c r="O579" t="str">
        <f>CONCATENATE(Query1[[#This Row],[Description]]," - ",Query1[[#This Row],[MB1]]," - ",Query1[[#This Row],[MB2]]," - ",Query1[[#This Row],[MB3]])</f>
        <v>GEN IV MAGNUM EVAP KIT - 830083 - 0 - 0</v>
      </c>
    </row>
    <row r="580" spans="1:15" x14ac:dyDescent="0.25">
      <c r="A580" s="1">
        <v>910460</v>
      </c>
      <c r="B580" s="1" t="s">
        <v>184</v>
      </c>
      <c r="C580" s="1" t="s">
        <v>185</v>
      </c>
      <c r="D580" s="2">
        <v>44603.356869444448</v>
      </c>
      <c r="E580" s="1" t="s">
        <v>8</v>
      </c>
      <c r="F580" s="1">
        <v>1</v>
      </c>
      <c r="G580" s="1">
        <v>0</v>
      </c>
      <c r="H580" s="6">
        <f>INT(Query1[[#This Row],[EntryDateTime]])</f>
        <v>44603</v>
      </c>
      <c r="I580" s="1">
        <f>IF(Query1[[#This Row],[ItemType]]="EVAP KIT SF GEN IV",Query1[[#This Row],[OrderQty]]+I579,I579)</f>
        <v>632</v>
      </c>
      <c r="J580" s="1">
        <f>IF(Query1[[#This Row],[ItemType]]="EVAP KIT UNIVERSAL",Query1[[#This Row],[OrderQty]]+J579,J579)</f>
        <v>356</v>
      </c>
      <c r="K580" s="1">
        <f>Query1[[#This Row],[SF Running Total]]+Query1[[#This Row],[UNIV Running Total]]</f>
        <v>988</v>
      </c>
      <c r="L580">
        <f>VLOOKUP(Query1[[#This Row],[Description]],'kits to boards'!$B$2:$E$156,2,FALSE)</f>
        <v>830042</v>
      </c>
      <c r="M580">
        <f>VLOOKUP(Query1[[#This Row],[Description]],'kits to boards'!$B$2:$E$156,3,FALSE)</f>
        <v>0</v>
      </c>
      <c r="N580">
        <f>VLOOKUP(Query1[[#This Row],[Description]],'kits to boards'!$B$2:$E$156,4,FALSE)</f>
        <v>0</v>
      </c>
      <c r="O580" t="str">
        <f>CONCATENATE(Query1[[#This Row],[Description]]," - ",Query1[[#This Row],[MB1]]," - ",Query1[[#This Row],[MB2]]," - ",Query1[[#This Row],[MB3]])</f>
        <v>EVAP KIT 68-83 TOYOTA FJ40 - 830042 - 0 - 0</v>
      </c>
    </row>
    <row r="581" spans="1:15" x14ac:dyDescent="0.25">
      <c r="A581" s="1">
        <v>910461</v>
      </c>
      <c r="B581" s="1" t="s">
        <v>26</v>
      </c>
      <c r="C581" s="1" t="s">
        <v>27</v>
      </c>
      <c r="D581" s="2">
        <v>44603.357901932868</v>
      </c>
      <c r="E581" s="1" t="s">
        <v>8</v>
      </c>
      <c r="F581" s="1">
        <v>1</v>
      </c>
      <c r="G581" s="1">
        <v>0</v>
      </c>
      <c r="H581" s="6">
        <f>INT(Query1[[#This Row],[EntryDateTime]])</f>
        <v>44603</v>
      </c>
      <c r="I581" s="1">
        <f>IF(Query1[[#This Row],[ItemType]]="EVAP KIT SF GEN IV",Query1[[#This Row],[OrderQty]]+I580,I580)</f>
        <v>633</v>
      </c>
      <c r="J581" s="1">
        <f>IF(Query1[[#This Row],[ItemType]]="EVAP KIT UNIVERSAL",Query1[[#This Row],[OrderQty]]+J580,J580)</f>
        <v>356</v>
      </c>
      <c r="K581" s="1">
        <f>Query1[[#This Row],[SF Running Total]]+Query1[[#This Row],[UNIV Running Total]]</f>
        <v>989</v>
      </c>
      <c r="L581">
        <f>VLOOKUP(Query1[[#This Row],[Description]],'kits to boards'!$B$2:$E$156,2,FALSE)</f>
        <v>830013</v>
      </c>
      <c r="M581">
        <f>VLOOKUP(Query1[[#This Row],[Description]],'kits to boards'!$B$2:$E$156,3,FALSE)</f>
        <v>0</v>
      </c>
      <c r="N581">
        <f>VLOOKUP(Query1[[#This Row],[Description]],'kits to boards'!$B$2:$E$156,4,FALSE)</f>
        <v>0</v>
      </c>
      <c r="O581" t="str">
        <f>CONCATENATE(Query1[[#This Row],[Description]]," - ",Query1[[#This Row],[MB1]]," - ",Query1[[#This Row],[MB2]]," - ",Query1[[#This Row],[MB3]])</f>
        <v>EVAP KIT 67-72 CHEV P-UP W/AC - 830013 - 0 - 0</v>
      </c>
    </row>
    <row r="582" spans="1:15" x14ac:dyDescent="0.25">
      <c r="A582" s="1">
        <v>910461</v>
      </c>
      <c r="B582" s="1" t="s">
        <v>52</v>
      </c>
      <c r="C582" s="1" t="s">
        <v>53</v>
      </c>
      <c r="D582" s="2">
        <v>44603.35815</v>
      </c>
      <c r="E582" s="1" t="s">
        <v>8</v>
      </c>
      <c r="F582" s="1">
        <v>2</v>
      </c>
      <c r="G582" s="1">
        <v>0</v>
      </c>
      <c r="H582" s="6">
        <f>INT(Query1[[#This Row],[EntryDateTime]])</f>
        <v>44603</v>
      </c>
      <c r="I582" s="1">
        <f>IF(Query1[[#This Row],[ItemType]]="EVAP KIT SF GEN IV",Query1[[#This Row],[OrderQty]]+I581,I581)</f>
        <v>635</v>
      </c>
      <c r="J582" s="1">
        <f>IF(Query1[[#This Row],[ItemType]]="EVAP KIT UNIVERSAL",Query1[[#This Row],[OrderQty]]+J581,J581)</f>
        <v>356</v>
      </c>
      <c r="K582" s="1">
        <f>Query1[[#This Row],[SF Running Total]]+Query1[[#This Row],[UNIV Running Total]]</f>
        <v>991</v>
      </c>
      <c r="L582">
        <f>VLOOKUP(Query1[[#This Row],[Description]],'kits to boards'!$B$2:$E$156,2,FALSE)</f>
        <v>830017</v>
      </c>
      <c r="M582">
        <f>VLOOKUP(Query1[[#This Row],[Description]],'kits to boards'!$B$2:$E$156,3,FALSE)</f>
        <v>830119</v>
      </c>
      <c r="N582">
        <f>VLOOKUP(Query1[[#This Row],[Description]],'kits to boards'!$B$2:$E$156,4,FALSE)</f>
        <v>830120</v>
      </c>
      <c r="O582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583" spans="1:15" x14ac:dyDescent="0.25">
      <c r="A583" s="1">
        <v>910461</v>
      </c>
      <c r="B583" s="1" t="s">
        <v>6</v>
      </c>
      <c r="C583" s="1" t="s">
        <v>7</v>
      </c>
      <c r="D583" s="2">
        <v>44603.35851697917</v>
      </c>
      <c r="E583" s="1" t="s">
        <v>8</v>
      </c>
      <c r="F583" s="1">
        <v>1</v>
      </c>
      <c r="G583" s="1">
        <v>0</v>
      </c>
      <c r="H583" s="6">
        <f>INT(Query1[[#This Row],[EntryDateTime]])</f>
        <v>44603</v>
      </c>
      <c r="I583" s="1">
        <f>IF(Query1[[#This Row],[ItemType]]="EVAP KIT SF GEN IV",Query1[[#This Row],[OrderQty]]+I582,I582)</f>
        <v>636</v>
      </c>
      <c r="J583" s="1">
        <f>IF(Query1[[#This Row],[ItemType]]="EVAP KIT UNIVERSAL",Query1[[#This Row],[OrderQty]]+J582,J582)</f>
        <v>356</v>
      </c>
      <c r="K583" s="1">
        <f>Query1[[#This Row],[SF Running Total]]+Query1[[#This Row],[UNIV Running Total]]</f>
        <v>992</v>
      </c>
      <c r="L583">
        <f>VLOOKUP(Query1[[#This Row],[Description]],'kits to boards'!$B$2:$E$156,2,FALSE)</f>
        <v>830132</v>
      </c>
      <c r="M583">
        <f>VLOOKUP(Query1[[#This Row],[Description]],'kits to boards'!$B$2:$E$156,3,FALSE)</f>
        <v>0</v>
      </c>
      <c r="N583">
        <f>VLOOKUP(Query1[[#This Row],[Description]],'kits to boards'!$B$2:$E$156,4,FALSE)</f>
        <v>0</v>
      </c>
      <c r="O583" t="str">
        <f>CONCATENATE(Query1[[#This Row],[Description]]," - ",Query1[[#This Row],[MB1]]," - ",Query1[[#This Row],[MB2]]," - ",Query1[[#This Row],[MB3]])</f>
        <v>EVAP KIT 82-88 MONTE CARLO/EL CAMINO - 830132 - 0 - 0</v>
      </c>
    </row>
    <row r="584" spans="1:15" x14ac:dyDescent="0.25">
      <c r="A584" s="1">
        <v>910461</v>
      </c>
      <c r="B584" s="1" t="s">
        <v>98</v>
      </c>
      <c r="C584" s="1" t="s">
        <v>99</v>
      </c>
      <c r="D584" s="2">
        <v>44603.358983217593</v>
      </c>
      <c r="E584" s="1" t="s">
        <v>11</v>
      </c>
      <c r="F584" s="1">
        <v>1</v>
      </c>
      <c r="G584" s="1">
        <v>0</v>
      </c>
      <c r="H584" s="6">
        <f>INT(Query1[[#This Row],[EntryDateTime]])</f>
        <v>44603</v>
      </c>
      <c r="I584" s="1">
        <f>IF(Query1[[#This Row],[ItemType]]="EVAP KIT SF GEN IV",Query1[[#This Row],[OrderQty]]+I583,I583)</f>
        <v>636</v>
      </c>
      <c r="J584" s="1">
        <f>IF(Query1[[#This Row],[ItemType]]="EVAP KIT UNIVERSAL",Query1[[#This Row],[OrderQty]]+J583,J583)</f>
        <v>357</v>
      </c>
      <c r="K584" s="1">
        <f>Query1[[#This Row],[SF Running Total]]+Query1[[#This Row],[UNIV Running Total]]</f>
        <v>993</v>
      </c>
      <c r="L584">
        <f>VLOOKUP(Query1[[#This Row],[Description]],'kits to boards'!$B$2:$E$156,2,FALSE)</f>
        <v>830099</v>
      </c>
      <c r="M584">
        <f>VLOOKUP(Query1[[#This Row],[Description]],'kits to boards'!$B$2:$E$156,3,FALSE)</f>
        <v>0</v>
      </c>
      <c r="N584">
        <f>VLOOKUP(Query1[[#This Row],[Description]],'kits to boards'!$B$2:$E$156,4,FALSE)</f>
        <v>0</v>
      </c>
      <c r="O584" t="str">
        <f>CONCATENATE(Query1[[#This Row],[Description]]," - ",Query1[[#This Row],[MB1]]," - ",Query1[[#This Row],[MB2]]," - ",Query1[[#This Row],[MB3]])</f>
        <v>MINI GEN II W/DEF - 830099 - 0 - 0</v>
      </c>
    </row>
    <row r="585" spans="1:15" x14ac:dyDescent="0.25">
      <c r="A585" s="1">
        <v>910461</v>
      </c>
      <c r="B585" s="1" t="s">
        <v>24</v>
      </c>
      <c r="C585" s="1" t="s">
        <v>25</v>
      </c>
      <c r="D585" s="2">
        <v>44603.359109756944</v>
      </c>
      <c r="E585" s="1" t="s">
        <v>11</v>
      </c>
      <c r="F585" s="1">
        <v>2</v>
      </c>
      <c r="G585" s="1">
        <v>0</v>
      </c>
      <c r="H585" s="6">
        <f>INT(Query1[[#This Row],[EntryDateTime]])</f>
        <v>44603</v>
      </c>
      <c r="I585" s="1">
        <f>IF(Query1[[#This Row],[ItemType]]="EVAP KIT SF GEN IV",Query1[[#This Row],[OrderQty]]+I584,I584)</f>
        <v>636</v>
      </c>
      <c r="J585" s="1">
        <f>IF(Query1[[#This Row],[ItemType]]="EVAP KIT UNIVERSAL",Query1[[#This Row],[OrderQty]]+J584,J584)</f>
        <v>359</v>
      </c>
      <c r="K585" s="1">
        <f>Query1[[#This Row],[SF Running Total]]+Query1[[#This Row],[UNIV Running Total]]</f>
        <v>995</v>
      </c>
      <c r="L585">
        <f>VLOOKUP(Query1[[#This Row],[Description]],'kits to boards'!$B$2:$E$156,2,FALSE)</f>
        <v>830029</v>
      </c>
      <c r="M585">
        <f>VLOOKUP(Query1[[#This Row],[Description]],'kits to boards'!$B$2:$E$156,3,FALSE)</f>
        <v>830030</v>
      </c>
      <c r="N585">
        <f>VLOOKUP(Query1[[#This Row],[Description]],'kits to boards'!$B$2:$E$156,4,FALSE)</f>
        <v>0</v>
      </c>
      <c r="O585" t="str">
        <f>CONCATENATE(Query1[[#This Row],[Description]]," - ",Query1[[#This Row],[MB1]]," - ",Query1[[#This Row],[MB2]]," - ",Query1[[#This Row],[MB3]])</f>
        <v>ComPac GEN II W/DEF - 830029 - 830030 - 0</v>
      </c>
    </row>
    <row r="586" spans="1:15" x14ac:dyDescent="0.25">
      <c r="A586" s="1">
        <v>910462</v>
      </c>
      <c r="B586" s="1" t="s">
        <v>184</v>
      </c>
      <c r="C586" s="1" t="s">
        <v>185</v>
      </c>
      <c r="D586" s="2">
        <v>44603.3668209838</v>
      </c>
      <c r="E586" s="1" t="s">
        <v>8</v>
      </c>
      <c r="F586" s="1">
        <v>1</v>
      </c>
      <c r="G586" s="1">
        <v>0</v>
      </c>
      <c r="H586" s="6">
        <f>INT(Query1[[#This Row],[EntryDateTime]])</f>
        <v>44603</v>
      </c>
      <c r="I586" s="1">
        <f>IF(Query1[[#This Row],[ItemType]]="EVAP KIT SF GEN IV",Query1[[#This Row],[OrderQty]]+I585,I585)</f>
        <v>637</v>
      </c>
      <c r="J586" s="1">
        <f>IF(Query1[[#This Row],[ItemType]]="EVAP KIT UNIVERSAL",Query1[[#This Row],[OrderQty]]+J585,J585)</f>
        <v>359</v>
      </c>
      <c r="K586" s="1">
        <f>Query1[[#This Row],[SF Running Total]]+Query1[[#This Row],[UNIV Running Total]]</f>
        <v>996</v>
      </c>
      <c r="L586">
        <f>VLOOKUP(Query1[[#This Row],[Description]],'kits to boards'!$B$2:$E$156,2,FALSE)</f>
        <v>830042</v>
      </c>
      <c r="M586">
        <f>VLOOKUP(Query1[[#This Row],[Description]],'kits to boards'!$B$2:$E$156,3,FALSE)</f>
        <v>0</v>
      </c>
      <c r="N586">
        <f>VLOOKUP(Query1[[#This Row],[Description]],'kits to boards'!$B$2:$E$156,4,FALSE)</f>
        <v>0</v>
      </c>
      <c r="O586" t="str">
        <f>CONCATENATE(Query1[[#This Row],[Description]]," - ",Query1[[#This Row],[MB1]]," - ",Query1[[#This Row],[MB2]]," - ",Query1[[#This Row],[MB3]])</f>
        <v>EVAP KIT 68-83 TOYOTA FJ40 - 830042 - 0 - 0</v>
      </c>
    </row>
    <row r="587" spans="1:15" x14ac:dyDescent="0.25">
      <c r="A587" s="1">
        <v>910467</v>
      </c>
      <c r="B587" s="1" t="s">
        <v>210</v>
      </c>
      <c r="C587" s="1" t="s">
        <v>211</v>
      </c>
      <c r="D587" s="2">
        <v>44603.368933252314</v>
      </c>
      <c r="E587" s="1" t="s">
        <v>8</v>
      </c>
      <c r="F587" s="1">
        <v>1</v>
      </c>
      <c r="G587" s="1">
        <v>0</v>
      </c>
      <c r="H587" s="6">
        <f>INT(Query1[[#This Row],[EntryDateTime]])</f>
        <v>44603</v>
      </c>
      <c r="I587" s="1">
        <f>IF(Query1[[#This Row],[ItemType]]="EVAP KIT SF GEN IV",Query1[[#This Row],[OrderQty]]+I586,I586)</f>
        <v>638</v>
      </c>
      <c r="J587" s="1">
        <f>IF(Query1[[#This Row],[ItemType]]="EVAP KIT UNIVERSAL",Query1[[#This Row],[OrderQty]]+J586,J586)</f>
        <v>359</v>
      </c>
      <c r="K587" s="1">
        <f>Query1[[#This Row],[SF Running Total]]+Query1[[#This Row],[UNIV Running Total]]</f>
        <v>997</v>
      </c>
      <c r="L587">
        <f>VLOOKUP(Query1[[#This Row],[Description]],'kits to boards'!$B$2:$E$156,2,FALSE)</f>
        <v>830094</v>
      </c>
      <c r="M587">
        <f>VLOOKUP(Query1[[#This Row],[Description]],'kits to boards'!$B$2:$E$156,3,FALSE)</f>
        <v>0</v>
      </c>
      <c r="N587">
        <f>VLOOKUP(Query1[[#This Row],[Description]],'kits to boards'!$B$2:$E$156,4,FALSE)</f>
        <v>0</v>
      </c>
      <c r="O587" t="str">
        <f>CONCATENATE(Query1[[#This Row],[Description]]," - ",Query1[[#This Row],[MB1]]," - ",Query1[[#This Row],[MB2]]," - ",Query1[[#This Row],[MB3]])</f>
        <v>EVAP KIT 74-76 VETTE W/AC - 830094 - 0 - 0</v>
      </c>
    </row>
    <row r="588" spans="1:15" x14ac:dyDescent="0.25">
      <c r="A588" s="1">
        <v>910470</v>
      </c>
      <c r="B588" s="1" t="s">
        <v>96</v>
      </c>
      <c r="C588" s="1" t="s">
        <v>97</v>
      </c>
      <c r="D588" s="2">
        <v>44603.386098113428</v>
      </c>
      <c r="E588" s="1" t="s">
        <v>8</v>
      </c>
      <c r="F588" s="1">
        <v>1</v>
      </c>
      <c r="G588" s="1">
        <v>0</v>
      </c>
      <c r="H588" s="6">
        <f>INT(Query1[[#This Row],[EntryDateTime]])</f>
        <v>44603</v>
      </c>
      <c r="I588" s="1">
        <f>IF(Query1[[#This Row],[ItemType]]="EVAP KIT SF GEN IV",Query1[[#This Row],[OrderQty]]+I587,I587)</f>
        <v>639</v>
      </c>
      <c r="J588" s="1">
        <f>IF(Query1[[#This Row],[ItemType]]="EVAP KIT UNIVERSAL",Query1[[#This Row],[OrderQty]]+J587,J587)</f>
        <v>359</v>
      </c>
      <c r="K588" s="1">
        <f>Query1[[#This Row],[SF Running Total]]+Query1[[#This Row],[UNIV Running Total]]</f>
        <v>998</v>
      </c>
      <c r="L588">
        <f>VLOOKUP(Query1[[#This Row],[Description]],'kits to boards'!$B$2:$E$156,2,FALSE)</f>
        <v>830004</v>
      </c>
      <c r="M588">
        <f>VLOOKUP(Query1[[#This Row],[Description]],'kits to boards'!$B$2:$E$156,3,FALSE)</f>
        <v>0</v>
      </c>
      <c r="N588">
        <f>VLOOKUP(Query1[[#This Row],[Description]],'kits to boards'!$B$2:$E$156,4,FALSE)</f>
        <v>0</v>
      </c>
      <c r="O588" t="str">
        <f>CONCATENATE(Query1[[#This Row],[Description]]," - ",Query1[[#This Row],[MB1]]," - ",Query1[[#This Row],[MB2]]," - ",Query1[[#This Row],[MB3]])</f>
        <v>EVAP KIT 81-87 CHEV P-UP W/AC - 830004 - 0 - 0</v>
      </c>
    </row>
    <row r="589" spans="1:15" x14ac:dyDescent="0.25">
      <c r="A589" s="1">
        <v>910474</v>
      </c>
      <c r="B589" s="1" t="s">
        <v>506</v>
      </c>
      <c r="C589" s="1" t="s">
        <v>507</v>
      </c>
      <c r="D589" s="2">
        <v>44603.390771331018</v>
      </c>
      <c r="E589" s="1" t="s">
        <v>677</v>
      </c>
      <c r="F589" s="1">
        <v>1</v>
      </c>
      <c r="G589" s="1">
        <v>0</v>
      </c>
      <c r="H589" s="6">
        <f>INT(Query1[[#This Row],[EntryDateTime]])</f>
        <v>44603</v>
      </c>
      <c r="I589" s="1">
        <f>IF(Query1[[#This Row],[ItemType]]="EVAP KIT SF GEN IV",Query1[[#This Row],[OrderQty]]+I588,I588)</f>
        <v>639</v>
      </c>
      <c r="J589" s="1">
        <f>IF(Query1[[#This Row],[ItemType]]="EVAP KIT UNIVERSAL",Query1[[#This Row],[OrderQty]]+J588,J588)</f>
        <v>359</v>
      </c>
      <c r="K589" s="1">
        <f>Query1[[#This Row],[SF Running Total]]+Query1[[#This Row],[UNIV Running Total]]</f>
        <v>998</v>
      </c>
      <c r="L589" t="e">
        <f>VLOOKUP(Query1[[#This Row],[Description]],'kits to boards'!$B$2:$E$156,2,FALSE)</f>
        <v>#N/A</v>
      </c>
      <c r="M589" t="e">
        <f>VLOOKUP(Query1[[#This Row],[Description]],'kits to boards'!$B$2:$E$156,3,FALSE)</f>
        <v>#N/A</v>
      </c>
      <c r="N589" t="e">
        <f>VLOOKUP(Query1[[#This Row],[Description]],'kits to boards'!$B$2:$E$156,4,FALSE)</f>
        <v>#N/A</v>
      </c>
      <c r="O589" t="e">
        <f>CONCATENATE(Query1[[#This Row],[Description]]," - ",Query1[[#This Row],[MB1]]," - ",Query1[[#This Row],[MB2]]," - ",Query1[[#This Row],[MB3]])</f>
        <v>#N/A</v>
      </c>
    </row>
    <row r="590" spans="1:15" x14ac:dyDescent="0.25">
      <c r="A590" s="1">
        <v>909096</v>
      </c>
      <c r="B590" s="1" t="s">
        <v>124</v>
      </c>
      <c r="C590" s="1" t="s">
        <v>125</v>
      </c>
      <c r="D590" s="2">
        <v>44603.390867361108</v>
      </c>
      <c r="E590" s="1" t="s">
        <v>8</v>
      </c>
      <c r="F590" s="1">
        <v>1</v>
      </c>
      <c r="G590" s="1">
        <v>0</v>
      </c>
      <c r="H590" s="6">
        <f>INT(Query1[[#This Row],[EntryDateTime]])</f>
        <v>44603</v>
      </c>
      <c r="I590" s="1">
        <f>IF(Query1[[#This Row],[ItemType]]="EVAP KIT SF GEN IV",Query1[[#This Row],[OrderQty]]+I589,I589)</f>
        <v>640</v>
      </c>
      <c r="J590" s="1">
        <f>IF(Query1[[#This Row],[ItemType]]="EVAP KIT UNIVERSAL",Query1[[#This Row],[OrderQty]]+J589,J589)</f>
        <v>359</v>
      </c>
      <c r="K590" s="1">
        <f>Query1[[#This Row],[SF Running Total]]+Query1[[#This Row],[UNIV Running Total]]</f>
        <v>999</v>
      </c>
      <c r="L590">
        <f>VLOOKUP(Query1[[#This Row],[Description]],'kits to boards'!$B$2:$E$156,2,FALSE)</f>
        <v>830002</v>
      </c>
      <c r="M590">
        <f>VLOOKUP(Query1[[#This Row],[Description]],'kits to boards'!$B$2:$E$156,3,FALSE)</f>
        <v>0</v>
      </c>
      <c r="N590">
        <f>VLOOKUP(Query1[[#This Row],[Description]],'kits to boards'!$B$2:$E$156,4,FALSE)</f>
        <v>0</v>
      </c>
      <c r="O590" t="str">
        <f>CONCATENATE(Query1[[#This Row],[Description]]," - ",Query1[[#This Row],[MB1]]," - ",Query1[[#This Row],[MB2]]," - ",Query1[[#This Row],[MB3]])</f>
        <v>EVAP KIT 73-80 CHEV P-UP WO AC - 830002 - 0 - 0</v>
      </c>
    </row>
    <row r="591" spans="1:15" x14ac:dyDescent="0.25">
      <c r="A591" s="1">
        <v>910476</v>
      </c>
      <c r="B591" s="1" t="s">
        <v>108</v>
      </c>
      <c r="C591" s="1" t="s">
        <v>109</v>
      </c>
      <c r="D591" s="2">
        <v>44603.393004895835</v>
      </c>
      <c r="E591" s="1" t="s">
        <v>8</v>
      </c>
      <c r="F591" s="1">
        <v>1</v>
      </c>
      <c r="G591" s="1">
        <v>0</v>
      </c>
      <c r="H591" s="6">
        <f>INT(Query1[[#This Row],[EntryDateTime]])</f>
        <v>44603</v>
      </c>
      <c r="I591" s="1">
        <f>IF(Query1[[#This Row],[ItemType]]="EVAP KIT SF GEN IV",Query1[[#This Row],[OrderQty]]+I590,I590)</f>
        <v>641</v>
      </c>
      <c r="J591" s="1">
        <f>IF(Query1[[#This Row],[ItemType]]="EVAP KIT UNIVERSAL",Query1[[#This Row],[OrderQty]]+J590,J590)</f>
        <v>359</v>
      </c>
      <c r="K591" s="1">
        <f>Query1[[#This Row],[SF Running Total]]+Query1[[#This Row],[UNIV Running Total]]</f>
        <v>1000</v>
      </c>
      <c r="L591">
        <f>VLOOKUP(Query1[[#This Row],[Description]],'kits to boards'!$B$2:$E$156,2,FALSE)</f>
        <v>830105</v>
      </c>
      <c r="M591">
        <f>VLOOKUP(Query1[[#This Row],[Description]],'kits to boards'!$B$2:$E$156,3,FALSE)</f>
        <v>830106</v>
      </c>
      <c r="N591">
        <f>VLOOKUP(Query1[[#This Row],[Description]],'kits to boards'!$B$2:$E$156,4,FALSE)</f>
        <v>0</v>
      </c>
      <c r="O591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592" spans="1:15" x14ac:dyDescent="0.25">
      <c r="A592" s="1">
        <v>910477</v>
      </c>
      <c r="B592" s="1" t="s">
        <v>48</v>
      </c>
      <c r="C592" s="1" t="s">
        <v>49</v>
      </c>
      <c r="D592" s="2">
        <v>44603.393303738427</v>
      </c>
      <c r="E592" s="1" t="s">
        <v>8</v>
      </c>
      <c r="F592" s="1">
        <v>1</v>
      </c>
      <c r="G592" s="1">
        <v>0</v>
      </c>
      <c r="H592" s="6">
        <f>INT(Query1[[#This Row],[EntryDateTime]])</f>
        <v>44603</v>
      </c>
      <c r="I592" s="1">
        <f>IF(Query1[[#This Row],[ItemType]]="EVAP KIT SF GEN IV",Query1[[#This Row],[OrderQty]]+I591,I591)</f>
        <v>642</v>
      </c>
      <c r="J592" s="1">
        <f>IF(Query1[[#This Row],[ItemType]]="EVAP KIT UNIVERSAL",Query1[[#This Row],[OrderQty]]+J591,J591)</f>
        <v>359</v>
      </c>
      <c r="K592" s="1">
        <f>Query1[[#This Row],[SF Running Total]]+Query1[[#This Row],[UNIV Running Total]]</f>
        <v>1001</v>
      </c>
      <c r="L592">
        <f>VLOOKUP(Query1[[#This Row],[Description]],'kits to boards'!$B$2:$E$156,2,FALSE)</f>
        <v>830015</v>
      </c>
      <c r="M592">
        <f>VLOOKUP(Query1[[#This Row],[Description]],'kits to boards'!$B$2:$E$156,3,FALSE)</f>
        <v>0</v>
      </c>
      <c r="N592">
        <f>VLOOKUP(Query1[[#This Row],[Description]],'kits to boards'!$B$2:$E$156,4,FALSE)</f>
        <v>0</v>
      </c>
      <c r="O592" t="str">
        <f>CONCATENATE(Query1[[#This Row],[Description]]," - ",Query1[[#This Row],[MB1]]," - ",Query1[[#This Row],[MB2]]," - ",Query1[[#This Row],[MB3]])</f>
        <v>EVAP KIT 64-66 CHEV P-UP WO AC W/DELX - 830015 - 0 - 0</v>
      </c>
    </row>
    <row r="593" spans="1:15" x14ac:dyDescent="0.25">
      <c r="A593" s="1">
        <v>910478</v>
      </c>
      <c r="B593" s="1" t="s">
        <v>154</v>
      </c>
      <c r="C593" s="1" t="s">
        <v>155</v>
      </c>
      <c r="D593" s="2">
        <v>44603.394102002312</v>
      </c>
      <c r="E593" s="1" t="s">
        <v>8</v>
      </c>
      <c r="F593" s="1">
        <v>1</v>
      </c>
      <c r="G593" s="1">
        <v>0</v>
      </c>
      <c r="H593" s="6">
        <f>INT(Query1[[#This Row],[EntryDateTime]])</f>
        <v>44603</v>
      </c>
      <c r="I593" s="1">
        <f>IF(Query1[[#This Row],[ItemType]]="EVAP KIT SF GEN IV",Query1[[#This Row],[OrderQty]]+I592,I592)</f>
        <v>643</v>
      </c>
      <c r="J593" s="1">
        <f>IF(Query1[[#This Row],[ItemType]]="EVAP KIT UNIVERSAL",Query1[[#This Row],[OrderQty]]+J592,J592)</f>
        <v>359</v>
      </c>
      <c r="K593" s="1">
        <f>Query1[[#This Row],[SF Running Total]]+Query1[[#This Row],[UNIV Running Total]]</f>
        <v>1002</v>
      </c>
      <c r="L593">
        <f>VLOOKUP(Query1[[#This Row],[Description]],'kits to boards'!$B$2:$E$156,2,FALSE)</f>
        <v>830124</v>
      </c>
      <c r="M593">
        <f>VLOOKUP(Query1[[#This Row],[Description]],'kits to boards'!$B$2:$E$156,3,FALSE)</f>
        <v>0</v>
      </c>
      <c r="N593">
        <f>VLOOKUP(Query1[[#This Row],[Description]],'kits to boards'!$B$2:$E$156,4,FALSE)</f>
        <v>0</v>
      </c>
      <c r="O593" t="str">
        <f>CONCATENATE(Query1[[#This Row],[Description]]," - ",Query1[[#This Row],[MB1]]," - ",Query1[[#This Row],[MB2]]," - ",Query1[[#This Row],[MB3]])</f>
        <v>EVAP KIT 69 GTO W/AC - 830124 - 0 - 0</v>
      </c>
    </row>
    <row r="594" spans="1:15" x14ac:dyDescent="0.25">
      <c r="A594" s="1">
        <v>910480</v>
      </c>
      <c r="B594" s="1" t="s">
        <v>182</v>
      </c>
      <c r="C594" s="1" t="s">
        <v>183</v>
      </c>
      <c r="D594" s="2">
        <v>44603.400659224535</v>
      </c>
      <c r="E594" s="1" t="s">
        <v>8</v>
      </c>
      <c r="F594" s="1">
        <v>1</v>
      </c>
      <c r="G594" s="1">
        <v>0</v>
      </c>
      <c r="H594" s="6">
        <f>INT(Query1[[#This Row],[EntryDateTime]])</f>
        <v>44603</v>
      </c>
      <c r="I594" s="1">
        <f>IF(Query1[[#This Row],[ItemType]]="EVAP KIT SF GEN IV",Query1[[#This Row],[OrderQty]]+I593,I593)</f>
        <v>644</v>
      </c>
      <c r="J594" s="1">
        <f>IF(Query1[[#This Row],[ItemType]]="EVAP KIT UNIVERSAL",Query1[[#This Row],[OrderQty]]+J593,J593)</f>
        <v>359</v>
      </c>
      <c r="K594" s="1">
        <f>Query1[[#This Row],[SF Running Total]]+Query1[[#This Row],[UNIV Running Total]]</f>
        <v>1003</v>
      </c>
      <c r="L594">
        <f>VLOOKUP(Query1[[#This Row],[Description]],'kits to boards'!$B$2:$E$156,2,FALSE)</f>
        <v>830075</v>
      </c>
      <c r="M594">
        <f>VLOOKUP(Query1[[#This Row],[Description]],'kits to boards'!$B$2:$E$156,3,FALSE)</f>
        <v>0</v>
      </c>
      <c r="N594">
        <f>VLOOKUP(Query1[[#This Row],[Description]],'kits to boards'!$B$2:$E$156,4,FALSE)</f>
        <v>0</v>
      </c>
      <c r="O594" t="str">
        <f>CONCATENATE(Query1[[#This Row],[Description]]," - ",Query1[[#This Row],[MB1]]," - ",Query1[[#This Row],[MB2]]," - ",Query1[[#This Row],[MB3]])</f>
        <v>EVAP KIT 69-70 MOPAR B BODY WO AC - 830075 - 0 - 0</v>
      </c>
    </row>
    <row r="595" spans="1:15" x14ac:dyDescent="0.25">
      <c r="A595" s="1">
        <v>910484</v>
      </c>
      <c r="B595" s="1" t="s">
        <v>24</v>
      </c>
      <c r="C595" s="1" t="s">
        <v>25</v>
      </c>
      <c r="D595" s="2">
        <v>44603.403703738426</v>
      </c>
      <c r="E595" s="1" t="s">
        <v>11</v>
      </c>
      <c r="F595" s="1">
        <v>1</v>
      </c>
      <c r="G595" s="1">
        <v>0</v>
      </c>
      <c r="H595" s="6">
        <f>INT(Query1[[#This Row],[EntryDateTime]])</f>
        <v>44603</v>
      </c>
      <c r="I595" s="1">
        <f>IF(Query1[[#This Row],[ItemType]]="EVAP KIT SF GEN IV",Query1[[#This Row],[OrderQty]]+I594,I594)</f>
        <v>644</v>
      </c>
      <c r="J595" s="1">
        <f>IF(Query1[[#This Row],[ItemType]]="EVAP KIT UNIVERSAL",Query1[[#This Row],[OrderQty]]+J594,J594)</f>
        <v>360</v>
      </c>
      <c r="K595" s="1">
        <f>Query1[[#This Row],[SF Running Total]]+Query1[[#This Row],[UNIV Running Total]]</f>
        <v>1004</v>
      </c>
      <c r="L595">
        <f>VLOOKUP(Query1[[#This Row],[Description]],'kits to boards'!$B$2:$E$156,2,FALSE)</f>
        <v>830029</v>
      </c>
      <c r="M595">
        <f>VLOOKUP(Query1[[#This Row],[Description]],'kits to boards'!$B$2:$E$156,3,FALSE)</f>
        <v>830030</v>
      </c>
      <c r="N595">
        <f>VLOOKUP(Query1[[#This Row],[Description]],'kits to boards'!$B$2:$E$156,4,FALSE)</f>
        <v>0</v>
      </c>
      <c r="O595" t="str">
        <f>CONCATENATE(Query1[[#This Row],[Description]]," - ",Query1[[#This Row],[MB1]]," - ",Query1[[#This Row],[MB2]]," - ",Query1[[#This Row],[MB3]])</f>
        <v>ComPac GEN II W/DEF - 830029 - 830030 - 0</v>
      </c>
    </row>
    <row r="596" spans="1:15" x14ac:dyDescent="0.25">
      <c r="A596" s="1">
        <v>910484</v>
      </c>
      <c r="B596" s="1" t="s">
        <v>50</v>
      </c>
      <c r="C596" s="1" t="s">
        <v>51</v>
      </c>
      <c r="D596" s="2">
        <v>44603.403703738426</v>
      </c>
      <c r="E596" s="1" t="s">
        <v>8</v>
      </c>
      <c r="F596" s="1">
        <v>1</v>
      </c>
      <c r="G596" s="1">
        <v>0</v>
      </c>
      <c r="H596" s="6">
        <f>INT(Query1[[#This Row],[EntryDateTime]])</f>
        <v>44603</v>
      </c>
      <c r="I596" s="1">
        <f>IF(Query1[[#This Row],[ItemType]]="EVAP KIT SF GEN IV",Query1[[#This Row],[OrderQty]]+I595,I595)</f>
        <v>645</v>
      </c>
      <c r="J596" s="1">
        <f>IF(Query1[[#This Row],[ItemType]]="EVAP KIT UNIVERSAL",Query1[[#This Row],[OrderQty]]+J595,J595)</f>
        <v>360</v>
      </c>
      <c r="K596" s="1">
        <f>Query1[[#This Row],[SF Running Total]]+Query1[[#This Row],[UNIV Running Total]]</f>
        <v>1005</v>
      </c>
      <c r="L596">
        <f>VLOOKUP(Query1[[#This Row],[Description]],'kits to boards'!$B$2:$E$156,2,FALSE)</f>
        <v>830043</v>
      </c>
      <c r="M596">
        <f>VLOOKUP(Query1[[#This Row],[Description]],'kits to boards'!$B$2:$E$156,3,FALSE)</f>
        <v>0</v>
      </c>
      <c r="N596">
        <f>VLOOKUP(Query1[[#This Row],[Description]],'kits to boards'!$B$2:$E$156,4,FALSE)</f>
        <v>0</v>
      </c>
      <c r="O596" t="str">
        <f>CONCATENATE(Query1[[#This Row],[Description]]," - ",Query1[[#This Row],[MB1]]," - ",Query1[[#This Row],[MB2]]," - ",Query1[[#This Row],[MB3]])</f>
        <v>EVAP KIT 69-74 NOVA WO AC - 830043 - 0 - 0</v>
      </c>
    </row>
    <row r="597" spans="1:15" x14ac:dyDescent="0.25">
      <c r="A597" s="1">
        <v>910489</v>
      </c>
      <c r="B597" s="1" t="s">
        <v>52</v>
      </c>
      <c r="C597" s="1" t="s">
        <v>53</v>
      </c>
      <c r="D597" s="2">
        <v>44603.411590659722</v>
      </c>
      <c r="E597" s="1" t="s">
        <v>8</v>
      </c>
      <c r="F597" s="1">
        <v>1</v>
      </c>
      <c r="G597" s="1">
        <v>0</v>
      </c>
      <c r="H597" s="6">
        <f>INT(Query1[[#This Row],[EntryDateTime]])</f>
        <v>44603</v>
      </c>
      <c r="I597" s="1">
        <f>IF(Query1[[#This Row],[ItemType]]="EVAP KIT SF GEN IV",Query1[[#This Row],[OrderQty]]+I596,I596)</f>
        <v>646</v>
      </c>
      <c r="J597" s="1">
        <f>IF(Query1[[#This Row],[ItemType]]="EVAP KIT UNIVERSAL",Query1[[#This Row],[OrderQty]]+J596,J596)</f>
        <v>360</v>
      </c>
      <c r="K597" s="1">
        <f>Query1[[#This Row],[SF Running Total]]+Query1[[#This Row],[UNIV Running Total]]</f>
        <v>1006</v>
      </c>
      <c r="L597">
        <f>VLOOKUP(Query1[[#This Row],[Description]],'kits to boards'!$B$2:$E$156,2,FALSE)</f>
        <v>830017</v>
      </c>
      <c r="M597">
        <f>VLOOKUP(Query1[[#This Row],[Description]],'kits to boards'!$B$2:$E$156,3,FALSE)</f>
        <v>830119</v>
      </c>
      <c r="N597">
        <f>VLOOKUP(Query1[[#This Row],[Description]],'kits to boards'!$B$2:$E$156,4,FALSE)</f>
        <v>830120</v>
      </c>
      <c r="O597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598" spans="1:15" x14ac:dyDescent="0.25">
      <c r="A598" s="1">
        <v>910496</v>
      </c>
      <c r="B598" s="1" t="s">
        <v>32</v>
      </c>
      <c r="C598" s="1" t="s">
        <v>33</v>
      </c>
      <c r="D598" s="2">
        <v>44603.416806250003</v>
      </c>
      <c r="E598" s="1" t="s">
        <v>8</v>
      </c>
      <c r="F598" s="1">
        <v>1</v>
      </c>
      <c r="G598" s="1">
        <v>0</v>
      </c>
      <c r="H598" s="6">
        <f>INT(Query1[[#This Row],[EntryDateTime]])</f>
        <v>44603</v>
      </c>
      <c r="I598" s="1">
        <f>IF(Query1[[#This Row],[ItemType]]="EVAP KIT SF GEN IV",Query1[[#This Row],[OrderQty]]+I597,I597)</f>
        <v>647</v>
      </c>
      <c r="J598" s="1">
        <f>IF(Query1[[#This Row],[ItemType]]="EVAP KIT UNIVERSAL",Query1[[#This Row],[OrderQty]]+J597,J597)</f>
        <v>360</v>
      </c>
      <c r="K598" s="1">
        <f>Query1[[#This Row],[SF Running Total]]+Query1[[#This Row],[UNIV Running Total]]</f>
        <v>1007</v>
      </c>
      <c r="L598">
        <f>VLOOKUP(Query1[[#This Row],[Description]],'kits to boards'!$B$2:$E$156,2,FALSE)</f>
        <v>830016</v>
      </c>
      <c r="M598">
        <f>VLOOKUP(Query1[[#This Row],[Description]],'kits to boards'!$B$2:$E$156,3,FALSE)</f>
        <v>0</v>
      </c>
      <c r="N598">
        <f>VLOOKUP(Query1[[#This Row],[Description]],'kits to boards'!$B$2:$E$156,4,FALSE)</f>
        <v>0</v>
      </c>
      <c r="O598" t="str">
        <f>CONCATENATE(Query1[[#This Row],[Description]]," - ",Query1[[#This Row],[MB1]]," - ",Query1[[#This Row],[MB2]]," - ",Query1[[#This Row],[MB3]])</f>
        <v>EVAP KIT 67-68 CAMARO/FIREBIRD W/AC - 830016 - 0 - 0</v>
      </c>
    </row>
    <row r="599" spans="1:15" x14ac:dyDescent="0.25">
      <c r="A599" s="1">
        <v>910496</v>
      </c>
      <c r="B599" s="1" t="s">
        <v>36</v>
      </c>
      <c r="C599" s="1" t="s">
        <v>37</v>
      </c>
      <c r="D599" s="2">
        <v>44603.417033877318</v>
      </c>
      <c r="E599" s="1" t="s">
        <v>8</v>
      </c>
      <c r="F599" s="1">
        <v>1</v>
      </c>
      <c r="G599" s="1">
        <v>0</v>
      </c>
      <c r="H599" s="6">
        <f>INT(Query1[[#This Row],[EntryDateTime]])</f>
        <v>44603</v>
      </c>
      <c r="I599" s="1">
        <f>IF(Query1[[#This Row],[ItemType]]="EVAP KIT SF GEN IV",Query1[[#This Row],[OrderQty]]+I598,I598)</f>
        <v>648</v>
      </c>
      <c r="J599" s="1">
        <f>IF(Query1[[#This Row],[ItemType]]="EVAP KIT UNIVERSAL",Query1[[#This Row],[OrderQty]]+J598,J598)</f>
        <v>360</v>
      </c>
      <c r="K599" s="1">
        <f>Query1[[#This Row],[SF Running Total]]+Query1[[#This Row],[UNIV Running Total]]</f>
        <v>1008</v>
      </c>
      <c r="L599">
        <f>VLOOKUP(Query1[[#This Row],[Description]],'kits to boards'!$B$2:$E$156,2,FALSE)</f>
        <v>830015</v>
      </c>
      <c r="M599">
        <f>VLOOKUP(Query1[[#This Row],[Description]],'kits to boards'!$B$2:$E$156,3,FALSE)</f>
        <v>0</v>
      </c>
      <c r="N599">
        <f>VLOOKUP(Query1[[#This Row],[Description]],'kits to boards'!$B$2:$E$156,4,FALSE)</f>
        <v>0</v>
      </c>
      <c r="O599" t="str">
        <f>CONCATENATE(Query1[[#This Row],[Description]]," - ",Query1[[#This Row],[MB1]]," - ",Query1[[#This Row],[MB2]]," - ",Query1[[#This Row],[MB3]])</f>
        <v>EVAP KIT 64-66 CHEV P-UP WO AC W/STD - 830015 - 0 - 0</v>
      </c>
    </row>
    <row r="600" spans="1:15" x14ac:dyDescent="0.25">
      <c r="A600" s="1">
        <v>910496</v>
      </c>
      <c r="B600" s="1" t="s">
        <v>142</v>
      </c>
      <c r="C600" s="1" t="s">
        <v>143</v>
      </c>
      <c r="D600" s="2">
        <v>44603.417194641203</v>
      </c>
      <c r="E600" s="1" t="s">
        <v>8</v>
      </c>
      <c r="F600" s="1">
        <v>2</v>
      </c>
      <c r="G600" s="1">
        <v>0</v>
      </c>
      <c r="H600" s="6">
        <f>INT(Query1[[#This Row],[EntryDateTime]])</f>
        <v>44603</v>
      </c>
      <c r="I600" s="1">
        <f>IF(Query1[[#This Row],[ItemType]]="EVAP KIT SF GEN IV",Query1[[#This Row],[OrderQty]]+I599,I599)</f>
        <v>650</v>
      </c>
      <c r="J600" s="1">
        <f>IF(Query1[[#This Row],[ItemType]]="EVAP KIT UNIVERSAL",Query1[[#This Row],[OrderQty]]+J599,J599)</f>
        <v>360</v>
      </c>
      <c r="K600" s="1">
        <f>Query1[[#This Row],[SF Running Total]]+Query1[[#This Row],[UNIV Running Total]]</f>
        <v>1010</v>
      </c>
      <c r="L600">
        <f>VLOOKUP(Query1[[#This Row],[Description]],'kits to boards'!$B$2:$E$156,2,FALSE)</f>
        <v>830052</v>
      </c>
      <c r="M600">
        <f>VLOOKUP(Query1[[#This Row],[Description]],'kits to boards'!$B$2:$E$156,3,FALSE)</f>
        <v>0</v>
      </c>
      <c r="N600">
        <f>VLOOKUP(Query1[[#This Row],[Description]],'kits to boards'!$B$2:$E$156,4,FALSE)</f>
        <v>0</v>
      </c>
      <c r="O600" t="str">
        <f>CONCATENATE(Query1[[#This Row],[Description]]," - ",Query1[[#This Row],[MB1]]," - ",Query1[[#This Row],[MB2]]," - ",Query1[[#This Row],[MB3]])</f>
        <v>EVAP KIT 61-64 FORD F-100 - 830052 - 0 - 0</v>
      </c>
    </row>
    <row r="601" spans="1:15" x14ac:dyDescent="0.25">
      <c r="A601" s="1">
        <v>910516</v>
      </c>
      <c r="B601" s="1" t="s">
        <v>62</v>
      </c>
      <c r="C601" s="1" t="s">
        <v>63</v>
      </c>
      <c r="D601" s="2">
        <v>44603.445979282405</v>
      </c>
      <c r="E601" s="1" t="s">
        <v>8</v>
      </c>
      <c r="F601" s="1">
        <v>1</v>
      </c>
      <c r="G601" s="1">
        <v>0</v>
      </c>
      <c r="H601" s="6">
        <f>INT(Query1[[#This Row],[EntryDateTime]])</f>
        <v>44603</v>
      </c>
      <c r="I601" s="1">
        <f>IF(Query1[[#This Row],[ItemType]]="EVAP KIT SF GEN IV",Query1[[#This Row],[OrderQty]]+I600,I600)</f>
        <v>651</v>
      </c>
      <c r="J601" s="1">
        <f>IF(Query1[[#This Row],[ItemType]]="EVAP KIT UNIVERSAL",Query1[[#This Row],[OrderQty]]+J600,J600)</f>
        <v>360</v>
      </c>
      <c r="K601" s="1">
        <f>Query1[[#This Row],[SF Running Total]]+Query1[[#This Row],[UNIV Running Total]]</f>
        <v>1011</v>
      </c>
      <c r="L601">
        <f>VLOOKUP(Query1[[#This Row],[Description]],'kits to boards'!$B$2:$E$156,2,FALSE)</f>
        <v>830079</v>
      </c>
      <c r="M601">
        <f>VLOOKUP(Query1[[#This Row],[Description]],'kits to boards'!$B$2:$E$156,3,FALSE)</f>
        <v>830046</v>
      </c>
      <c r="N601">
        <f>VLOOKUP(Query1[[#This Row],[Description]],'kits to boards'!$B$2:$E$156,4,FALSE)</f>
        <v>0</v>
      </c>
      <c r="O601" t="str">
        <f>CONCATENATE(Query1[[#This Row],[Description]]," - ",Query1[[#This Row],[MB1]]," - ",Query1[[#This Row],[MB2]]," - ",Query1[[#This Row],[MB3]])</f>
        <v>EVAP KIT 67-68 MUSTANG/COUGAR WO AC - 830079 - 830046 - 0</v>
      </c>
    </row>
    <row r="602" spans="1:15" x14ac:dyDescent="0.25">
      <c r="A602" s="1">
        <v>910521</v>
      </c>
      <c r="B602" s="1" t="s">
        <v>54</v>
      </c>
      <c r="C602" s="1" t="s">
        <v>55</v>
      </c>
      <c r="D602" s="2">
        <v>44603.450097766203</v>
      </c>
      <c r="E602" s="1" t="s">
        <v>8</v>
      </c>
      <c r="F602" s="1">
        <v>1</v>
      </c>
      <c r="G602" s="1">
        <v>0</v>
      </c>
      <c r="H602" s="6">
        <f>INT(Query1[[#This Row],[EntryDateTime]])</f>
        <v>44603</v>
      </c>
      <c r="I602" s="1">
        <f>IF(Query1[[#This Row],[ItemType]]="EVAP KIT SF GEN IV",Query1[[#This Row],[OrderQty]]+I601,I601)</f>
        <v>652</v>
      </c>
      <c r="J602" s="1">
        <f>IF(Query1[[#This Row],[ItemType]]="EVAP KIT UNIVERSAL",Query1[[#This Row],[OrderQty]]+J601,J601)</f>
        <v>360</v>
      </c>
      <c r="K602" s="1">
        <f>Query1[[#This Row],[SF Running Total]]+Query1[[#This Row],[UNIV Running Total]]</f>
        <v>1012</v>
      </c>
      <c r="L602">
        <f>VLOOKUP(Query1[[#This Row],[Description]],'kits to boards'!$B$2:$E$156,2,FALSE)</f>
        <v>830037</v>
      </c>
      <c r="M602">
        <f>VLOOKUP(Query1[[#This Row],[Description]],'kits to boards'!$B$2:$E$156,3,FALSE)</f>
        <v>0</v>
      </c>
      <c r="N602">
        <f>VLOOKUP(Query1[[#This Row],[Description]],'kits to boards'!$B$2:$E$156,4,FALSE)</f>
        <v>0</v>
      </c>
      <c r="O602" t="str">
        <f>CONCATENATE(Query1[[#This Row],[Description]]," - ",Query1[[#This Row],[MB1]]," - ",Query1[[#This Row],[MB2]]," - ",Query1[[#This Row],[MB3]])</f>
        <v>EVAP KIT 70-81 FIREBIRD W/AC - 830037 - 0 - 0</v>
      </c>
    </row>
    <row r="603" spans="1:15" x14ac:dyDescent="0.25">
      <c r="A603" s="1">
        <v>910527</v>
      </c>
      <c r="B603" s="1" t="s">
        <v>44</v>
      </c>
      <c r="C603" s="1" t="s">
        <v>45</v>
      </c>
      <c r="D603" s="2">
        <v>44603.457026585646</v>
      </c>
      <c r="E603" s="1" t="s">
        <v>8</v>
      </c>
      <c r="F603" s="1">
        <v>1</v>
      </c>
      <c r="G603" s="1">
        <v>0</v>
      </c>
      <c r="H603" s="6">
        <f>INT(Query1[[#This Row],[EntryDateTime]])</f>
        <v>44603</v>
      </c>
      <c r="I603" s="1">
        <f>IF(Query1[[#This Row],[ItemType]]="EVAP KIT SF GEN IV",Query1[[#This Row],[OrderQty]]+I602,I602)</f>
        <v>653</v>
      </c>
      <c r="J603" s="1">
        <f>IF(Query1[[#This Row],[ItemType]]="EVAP KIT UNIVERSAL",Query1[[#This Row],[OrderQty]]+J602,J602)</f>
        <v>360</v>
      </c>
      <c r="K603" s="1">
        <f>Query1[[#This Row],[SF Running Total]]+Query1[[#This Row],[UNIV Running Total]]</f>
        <v>1013</v>
      </c>
      <c r="L603">
        <f>VLOOKUP(Query1[[#This Row],[Description]],'kits to boards'!$B$2:$E$156,2,FALSE)</f>
        <v>830085</v>
      </c>
      <c r="M603">
        <f>VLOOKUP(Query1[[#This Row],[Description]],'kits to boards'!$B$2:$E$156,3,FALSE)</f>
        <v>0</v>
      </c>
      <c r="N603">
        <f>VLOOKUP(Query1[[#This Row],[Description]],'kits to boards'!$B$2:$E$156,4,FALSE)</f>
        <v>0</v>
      </c>
      <c r="O603" t="str">
        <f>CONCATENATE(Query1[[#This Row],[Description]]," - ",Query1[[#This Row],[MB1]]," - ",Query1[[#This Row],[MB2]]," - ",Query1[[#This Row],[MB3]])</f>
        <v>EVAP KIT 66-77 BRONCO - 830085 - 0 - 0</v>
      </c>
    </row>
    <row r="604" spans="1:15" x14ac:dyDescent="0.25">
      <c r="A604" s="1">
        <v>910528</v>
      </c>
      <c r="B604" s="1" t="s">
        <v>14</v>
      </c>
      <c r="C604" s="1" t="s">
        <v>15</v>
      </c>
      <c r="D604" s="2">
        <v>44603.457255011577</v>
      </c>
      <c r="E604" s="1" t="s">
        <v>8</v>
      </c>
      <c r="F604" s="1">
        <v>1</v>
      </c>
      <c r="G604" s="1">
        <v>0</v>
      </c>
      <c r="H604" s="6">
        <f>INT(Query1[[#This Row],[EntryDateTime]])</f>
        <v>44603</v>
      </c>
      <c r="I604" s="1">
        <f>IF(Query1[[#This Row],[ItemType]]="EVAP KIT SF GEN IV",Query1[[#This Row],[OrderQty]]+I603,I603)</f>
        <v>654</v>
      </c>
      <c r="J604" s="1">
        <f>IF(Query1[[#This Row],[ItemType]]="EVAP KIT UNIVERSAL",Query1[[#This Row],[OrderQty]]+J603,J603)</f>
        <v>360</v>
      </c>
      <c r="K604" s="1">
        <f>Query1[[#This Row],[SF Running Total]]+Query1[[#This Row],[UNIV Running Total]]</f>
        <v>1014</v>
      </c>
      <c r="L604">
        <f>VLOOKUP(Query1[[#This Row],[Description]],'kits to boards'!$B$2:$E$156,2,FALSE)</f>
        <v>830054</v>
      </c>
      <c r="M604">
        <f>VLOOKUP(Query1[[#This Row],[Description]],'kits to boards'!$B$2:$E$156,3,FALSE)</f>
        <v>0</v>
      </c>
      <c r="N604">
        <f>VLOOKUP(Query1[[#This Row],[Description]],'kits to boards'!$B$2:$E$156,4,FALSE)</f>
        <v>0</v>
      </c>
      <c r="O604" t="str">
        <f>CONCATENATE(Query1[[#This Row],[Description]]," - ",Query1[[#This Row],[MB1]]," - ",Query1[[#This Row],[MB2]]," - ",Query1[[#This Row],[MB3]])</f>
        <v>EVAP KIT 55-56 CHEVY - 830054 - 0 - 0</v>
      </c>
    </row>
    <row r="605" spans="1:15" x14ac:dyDescent="0.25">
      <c r="A605" s="1">
        <v>910527</v>
      </c>
      <c r="B605" s="1" t="s">
        <v>56</v>
      </c>
      <c r="C605" s="1" t="s">
        <v>57</v>
      </c>
      <c r="D605" s="2">
        <v>44603.458204166665</v>
      </c>
      <c r="E605" s="1" t="s">
        <v>8</v>
      </c>
      <c r="F605" s="1">
        <v>1</v>
      </c>
      <c r="G605" s="1">
        <v>0</v>
      </c>
      <c r="H605" s="6">
        <f>INT(Query1[[#This Row],[EntryDateTime]])</f>
        <v>44603</v>
      </c>
      <c r="I605" s="1">
        <f>IF(Query1[[#This Row],[ItemType]]="EVAP KIT SF GEN IV",Query1[[#This Row],[OrderQty]]+I604,I604)</f>
        <v>655</v>
      </c>
      <c r="J605" s="1">
        <f>IF(Query1[[#This Row],[ItemType]]="EVAP KIT UNIVERSAL",Query1[[#This Row],[OrderQty]]+J604,J604)</f>
        <v>360</v>
      </c>
      <c r="K605" s="1">
        <f>Query1[[#This Row],[SF Running Total]]+Query1[[#This Row],[UNIV Running Total]]</f>
        <v>1015</v>
      </c>
      <c r="L605">
        <f>VLOOKUP(Query1[[#This Row],[Description]],'kits to boards'!$B$2:$E$156,2,FALSE)</f>
        <v>830011</v>
      </c>
      <c r="M605">
        <f>VLOOKUP(Query1[[#This Row],[Description]],'kits to boards'!$B$2:$E$156,3,FALSE)</f>
        <v>0</v>
      </c>
      <c r="N605">
        <f>VLOOKUP(Query1[[#This Row],[Description]],'kits to boards'!$B$2:$E$156,4,FALSE)</f>
        <v>0</v>
      </c>
      <c r="O605" t="str">
        <f>CONCATENATE(Query1[[#This Row],[Description]]," - ",Query1[[#This Row],[MB1]]," - ",Query1[[#This Row],[MB2]]," - ",Query1[[#This Row],[MB3]])</f>
        <v>EVAP KIT 70-72 CHEVELLE W/AC - 830011 - 0 - 0</v>
      </c>
    </row>
    <row r="606" spans="1:15" x14ac:dyDescent="0.25">
      <c r="A606" s="1">
        <v>910536</v>
      </c>
      <c r="B606" s="1" t="s">
        <v>54</v>
      </c>
      <c r="C606" s="1" t="s">
        <v>55</v>
      </c>
      <c r="D606" s="2">
        <v>44603.473991979168</v>
      </c>
      <c r="E606" s="1" t="s">
        <v>8</v>
      </c>
      <c r="F606" s="1">
        <v>1</v>
      </c>
      <c r="G606" s="1">
        <v>0</v>
      </c>
      <c r="H606" s="6">
        <f>INT(Query1[[#This Row],[EntryDateTime]])</f>
        <v>44603</v>
      </c>
      <c r="I606" s="1">
        <f>IF(Query1[[#This Row],[ItemType]]="EVAP KIT SF GEN IV",Query1[[#This Row],[OrderQty]]+I605,I605)</f>
        <v>656</v>
      </c>
      <c r="J606" s="1">
        <f>IF(Query1[[#This Row],[ItemType]]="EVAP KIT UNIVERSAL",Query1[[#This Row],[OrderQty]]+J605,J605)</f>
        <v>360</v>
      </c>
      <c r="K606" s="1">
        <f>Query1[[#This Row],[SF Running Total]]+Query1[[#This Row],[UNIV Running Total]]</f>
        <v>1016</v>
      </c>
      <c r="L606">
        <f>VLOOKUP(Query1[[#This Row],[Description]],'kits to boards'!$B$2:$E$156,2,FALSE)</f>
        <v>830037</v>
      </c>
      <c r="M606">
        <f>VLOOKUP(Query1[[#This Row],[Description]],'kits to boards'!$B$2:$E$156,3,FALSE)</f>
        <v>0</v>
      </c>
      <c r="N606">
        <f>VLOOKUP(Query1[[#This Row],[Description]],'kits to boards'!$B$2:$E$156,4,FALSE)</f>
        <v>0</v>
      </c>
      <c r="O606" t="str">
        <f>CONCATENATE(Query1[[#This Row],[Description]]," - ",Query1[[#This Row],[MB1]]," - ",Query1[[#This Row],[MB2]]," - ",Query1[[#This Row],[MB3]])</f>
        <v>EVAP KIT 70-81 FIREBIRD W/AC - 830037 - 0 - 0</v>
      </c>
    </row>
    <row r="607" spans="1:15" x14ac:dyDescent="0.25">
      <c r="A607" s="1">
        <v>910543</v>
      </c>
      <c r="B607" s="1" t="s">
        <v>182</v>
      </c>
      <c r="C607" s="1" t="s">
        <v>183</v>
      </c>
      <c r="D607" s="2">
        <v>44603.492411805557</v>
      </c>
      <c r="E607" s="1" t="s">
        <v>8</v>
      </c>
      <c r="F607" s="1">
        <v>1</v>
      </c>
      <c r="G607" s="1">
        <v>0</v>
      </c>
      <c r="H607" s="6">
        <f>INT(Query1[[#This Row],[EntryDateTime]])</f>
        <v>44603</v>
      </c>
      <c r="I607" s="1">
        <f>IF(Query1[[#This Row],[ItemType]]="EVAP KIT SF GEN IV",Query1[[#This Row],[OrderQty]]+I606,I606)</f>
        <v>657</v>
      </c>
      <c r="J607" s="1">
        <f>IF(Query1[[#This Row],[ItemType]]="EVAP KIT UNIVERSAL",Query1[[#This Row],[OrderQty]]+J606,J606)</f>
        <v>360</v>
      </c>
      <c r="K607" s="1">
        <f>Query1[[#This Row],[SF Running Total]]+Query1[[#This Row],[UNIV Running Total]]</f>
        <v>1017</v>
      </c>
      <c r="L607">
        <f>VLOOKUP(Query1[[#This Row],[Description]],'kits to boards'!$B$2:$E$156,2,FALSE)</f>
        <v>830075</v>
      </c>
      <c r="M607">
        <f>VLOOKUP(Query1[[#This Row],[Description]],'kits to boards'!$B$2:$E$156,3,FALSE)</f>
        <v>0</v>
      </c>
      <c r="N607">
        <f>VLOOKUP(Query1[[#This Row],[Description]],'kits to boards'!$B$2:$E$156,4,FALSE)</f>
        <v>0</v>
      </c>
      <c r="O607" t="str">
        <f>CONCATENATE(Query1[[#This Row],[Description]]," - ",Query1[[#This Row],[MB1]]," - ",Query1[[#This Row],[MB2]]," - ",Query1[[#This Row],[MB3]])</f>
        <v>EVAP KIT 69-70 MOPAR B BODY WO AC - 830075 - 0 - 0</v>
      </c>
    </row>
    <row r="608" spans="1:15" x14ac:dyDescent="0.25">
      <c r="A608" s="1">
        <v>910544</v>
      </c>
      <c r="B608" s="1" t="s">
        <v>94</v>
      </c>
      <c r="C608" s="1" t="s">
        <v>95</v>
      </c>
      <c r="D608" s="2">
        <v>44603.493947222225</v>
      </c>
      <c r="E608" s="1" t="s">
        <v>8</v>
      </c>
      <c r="F608" s="1">
        <v>1</v>
      </c>
      <c r="G608" s="1">
        <v>0</v>
      </c>
      <c r="H608" s="6">
        <f>INT(Query1[[#This Row],[EntryDateTime]])</f>
        <v>44603</v>
      </c>
      <c r="I608" s="1">
        <f>IF(Query1[[#This Row],[ItemType]]="EVAP KIT SF GEN IV",Query1[[#This Row],[OrderQty]]+I607,I607)</f>
        <v>658</v>
      </c>
      <c r="J608" s="1">
        <f>IF(Query1[[#This Row],[ItemType]]="EVAP KIT UNIVERSAL",Query1[[#This Row],[OrderQty]]+J607,J607)</f>
        <v>360</v>
      </c>
      <c r="K608" s="1">
        <f>Query1[[#This Row],[SF Running Total]]+Query1[[#This Row],[UNIV Running Total]]</f>
        <v>1018</v>
      </c>
      <c r="L608">
        <f>VLOOKUP(Query1[[#This Row],[Description]],'kits to boards'!$B$2:$E$156,2,FALSE)</f>
        <v>830076</v>
      </c>
      <c r="M608">
        <f>VLOOKUP(Query1[[#This Row],[Description]],'kits to boards'!$B$2:$E$156,3,FALSE)</f>
        <v>0</v>
      </c>
      <c r="N608">
        <f>VLOOKUP(Query1[[#This Row],[Description]],'kits to boards'!$B$2:$E$156,4,FALSE)</f>
        <v>0</v>
      </c>
      <c r="O608" t="str">
        <f>CONCATENATE(Query1[[#This Row],[Description]]," - ",Query1[[#This Row],[MB1]]," - ",Query1[[#This Row],[MB2]]," - ",Query1[[#This Row],[MB3]])</f>
        <v>EVAP KIT 64 1/2- 66 MUSTANG  - 830076 - 0 - 0</v>
      </c>
    </row>
    <row r="609" spans="1:15" x14ac:dyDescent="0.25">
      <c r="A609" s="1">
        <v>910260</v>
      </c>
      <c r="B609" s="1" t="s">
        <v>68</v>
      </c>
      <c r="C609" s="1" t="s">
        <v>69</v>
      </c>
      <c r="D609" s="2">
        <v>44603.494487812502</v>
      </c>
      <c r="E609" s="1" t="s">
        <v>8</v>
      </c>
      <c r="F609" s="1">
        <v>1</v>
      </c>
      <c r="G609" s="1">
        <v>0</v>
      </c>
      <c r="H609" s="6">
        <f>INT(Query1[[#This Row],[EntryDateTime]])</f>
        <v>44603</v>
      </c>
      <c r="I609" s="1">
        <f>IF(Query1[[#This Row],[ItemType]]="EVAP KIT SF GEN IV",Query1[[#This Row],[OrderQty]]+I608,I608)</f>
        <v>659</v>
      </c>
      <c r="J609" s="1">
        <f>IF(Query1[[#This Row],[ItemType]]="EVAP KIT UNIVERSAL",Query1[[#This Row],[OrderQty]]+J608,J608)</f>
        <v>360</v>
      </c>
      <c r="K609" s="1">
        <f>Query1[[#This Row],[SF Running Total]]+Query1[[#This Row],[UNIV Running Total]]</f>
        <v>1019</v>
      </c>
      <c r="L609">
        <f>VLOOKUP(Query1[[#This Row],[Description]],'kits to boards'!$B$2:$E$156,2,FALSE)</f>
        <v>830010</v>
      </c>
      <c r="M609">
        <f>VLOOKUP(Query1[[#This Row],[Description]],'kits to boards'!$B$2:$E$156,3,FALSE)</f>
        <v>0</v>
      </c>
      <c r="N609">
        <f>VLOOKUP(Query1[[#This Row],[Description]],'kits to boards'!$B$2:$E$156,4,FALSE)</f>
        <v>0</v>
      </c>
      <c r="O609" t="str">
        <f>CONCATENATE(Query1[[#This Row],[Description]]," - ",Query1[[#This Row],[MB1]]," - ",Query1[[#This Row],[MB2]]," - ",Query1[[#This Row],[MB3]])</f>
        <v>EVAP KIT 70-72 CHEVELLE WO AC - 830010 - 0 - 0</v>
      </c>
    </row>
    <row r="610" spans="1:15" x14ac:dyDescent="0.25">
      <c r="A610" s="1">
        <v>910513</v>
      </c>
      <c r="B610" s="1" t="s">
        <v>92</v>
      </c>
      <c r="C610" s="1" t="s">
        <v>93</v>
      </c>
      <c r="D610" s="2">
        <v>44603.495350497687</v>
      </c>
      <c r="E610" s="1" t="s">
        <v>8</v>
      </c>
      <c r="F610" s="1">
        <v>1</v>
      </c>
      <c r="G610" s="1">
        <v>0</v>
      </c>
      <c r="H610" s="6">
        <f>INT(Query1[[#This Row],[EntryDateTime]])</f>
        <v>44603</v>
      </c>
      <c r="I610" s="1">
        <f>IF(Query1[[#This Row],[ItemType]]="EVAP KIT SF GEN IV",Query1[[#This Row],[OrderQty]]+I609,I609)</f>
        <v>660</v>
      </c>
      <c r="J610" s="1">
        <f>IF(Query1[[#This Row],[ItemType]]="EVAP KIT UNIVERSAL",Query1[[#This Row],[OrderQty]]+J609,J609)</f>
        <v>360</v>
      </c>
      <c r="K610" s="1">
        <f>Query1[[#This Row],[SF Running Total]]+Query1[[#This Row],[UNIV Running Total]]</f>
        <v>1020</v>
      </c>
      <c r="L610">
        <f>VLOOKUP(Query1[[#This Row],[Description]],'kits to boards'!$B$2:$E$156,2,FALSE)</f>
        <v>830063</v>
      </c>
      <c r="M610">
        <f>VLOOKUP(Query1[[#This Row],[Description]],'kits to boards'!$B$2:$E$156,3,FALSE)</f>
        <v>0</v>
      </c>
      <c r="N610">
        <f>VLOOKUP(Query1[[#This Row],[Description]],'kits to boards'!$B$2:$E$156,4,FALSE)</f>
        <v>0</v>
      </c>
      <c r="O610" t="str">
        <f>CONCATENATE(Query1[[#This Row],[Description]]," - ",Query1[[#This Row],[MB1]]," - ",Query1[[#This Row],[MB2]]," - ",Query1[[#This Row],[MB3]])</f>
        <v>EVAP KIT 50-53 CHEV P-UP GEN IV - 830063 - 0 - 0</v>
      </c>
    </row>
    <row r="611" spans="1:15" x14ac:dyDescent="0.25">
      <c r="A611" s="1">
        <v>910545</v>
      </c>
      <c r="B611" s="1" t="s">
        <v>120</v>
      </c>
      <c r="C611" s="1" t="s">
        <v>121</v>
      </c>
      <c r="D611" s="2">
        <v>44603.496239386572</v>
      </c>
      <c r="E611" s="1" t="s">
        <v>8</v>
      </c>
      <c r="F611" s="1">
        <v>1</v>
      </c>
      <c r="G611" s="1">
        <v>0</v>
      </c>
      <c r="H611" s="6">
        <f>INT(Query1[[#This Row],[EntryDateTime]])</f>
        <v>44603</v>
      </c>
      <c r="I611" s="1">
        <f>IF(Query1[[#This Row],[ItemType]]="EVAP KIT SF GEN IV",Query1[[#This Row],[OrderQty]]+I610,I610)</f>
        <v>661</v>
      </c>
      <c r="J611" s="1">
        <f>IF(Query1[[#This Row],[ItemType]]="EVAP KIT UNIVERSAL",Query1[[#This Row],[OrderQty]]+J610,J610)</f>
        <v>360</v>
      </c>
      <c r="K611" s="1">
        <f>Query1[[#This Row],[SF Running Total]]+Query1[[#This Row],[UNIV Running Total]]</f>
        <v>1021</v>
      </c>
      <c r="L611">
        <f>VLOOKUP(Query1[[#This Row],[Description]],'kits to boards'!$B$2:$E$156,2,FALSE)</f>
        <v>830014</v>
      </c>
      <c r="M611">
        <f>VLOOKUP(Query1[[#This Row],[Description]],'kits to boards'!$B$2:$E$156,3,FALSE)</f>
        <v>0</v>
      </c>
      <c r="N611">
        <f>VLOOKUP(Query1[[#This Row],[Description]],'kits to boards'!$B$2:$E$156,4,FALSE)</f>
        <v>0</v>
      </c>
      <c r="O611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612" spans="1:15" x14ac:dyDescent="0.25">
      <c r="A612" s="1">
        <v>910546</v>
      </c>
      <c r="B612" s="1" t="s">
        <v>56</v>
      </c>
      <c r="C612" s="1" t="s">
        <v>57</v>
      </c>
      <c r="D612" s="2">
        <v>44603.498696759256</v>
      </c>
      <c r="E612" s="1" t="s">
        <v>8</v>
      </c>
      <c r="F612" s="1">
        <v>1</v>
      </c>
      <c r="G612" s="1">
        <v>0</v>
      </c>
      <c r="H612" s="6">
        <f>INT(Query1[[#This Row],[EntryDateTime]])</f>
        <v>44603</v>
      </c>
      <c r="I612" s="1">
        <f>IF(Query1[[#This Row],[ItemType]]="EVAP KIT SF GEN IV",Query1[[#This Row],[OrderQty]]+I611,I611)</f>
        <v>662</v>
      </c>
      <c r="J612" s="1">
        <f>IF(Query1[[#This Row],[ItemType]]="EVAP KIT UNIVERSAL",Query1[[#This Row],[OrderQty]]+J611,J611)</f>
        <v>360</v>
      </c>
      <c r="K612" s="1">
        <f>Query1[[#This Row],[SF Running Total]]+Query1[[#This Row],[UNIV Running Total]]</f>
        <v>1022</v>
      </c>
      <c r="L612">
        <f>VLOOKUP(Query1[[#This Row],[Description]],'kits to boards'!$B$2:$E$156,2,FALSE)</f>
        <v>830011</v>
      </c>
      <c r="M612">
        <f>VLOOKUP(Query1[[#This Row],[Description]],'kits to boards'!$B$2:$E$156,3,FALSE)</f>
        <v>0</v>
      </c>
      <c r="N612">
        <f>VLOOKUP(Query1[[#This Row],[Description]],'kits to boards'!$B$2:$E$156,4,FALSE)</f>
        <v>0</v>
      </c>
      <c r="O612" t="str">
        <f>CONCATENATE(Query1[[#This Row],[Description]]," - ",Query1[[#This Row],[MB1]]," - ",Query1[[#This Row],[MB2]]," - ",Query1[[#This Row],[MB3]])</f>
        <v>EVAP KIT 70-72 CHEVELLE W/AC - 830011 - 0 - 0</v>
      </c>
    </row>
    <row r="613" spans="1:15" x14ac:dyDescent="0.25">
      <c r="A613" s="1">
        <v>910548</v>
      </c>
      <c r="B613" s="1" t="s">
        <v>44</v>
      </c>
      <c r="C613" s="1" t="s">
        <v>45</v>
      </c>
      <c r="D613" s="2">
        <v>44603.500935266202</v>
      </c>
      <c r="E613" s="1" t="s">
        <v>8</v>
      </c>
      <c r="F613" s="1">
        <v>1</v>
      </c>
      <c r="G613" s="1">
        <v>0</v>
      </c>
      <c r="H613" s="6">
        <f>INT(Query1[[#This Row],[EntryDateTime]])</f>
        <v>44603</v>
      </c>
      <c r="I613" s="1">
        <f>IF(Query1[[#This Row],[ItemType]]="EVAP KIT SF GEN IV",Query1[[#This Row],[OrderQty]]+I612,I612)</f>
        <v>663</v>
      </c>
      <c r="J613" s="1">
        <f>IF(Query1[[#This Row],[ItemType]]="EVAP KIT UNIVERSAL",Query1[[#This Row],[OrderQty]]+J612,J612)</f>
        <v>360</v>
      </c>
      <c r="K613" s="1">
        <f>Query1[[#This Row],[SF Running Total]]+Query1[[#This Row],[UNIV Running Total]]</f>
        <v>1023</v>
      </c>
      <c r="L613">
        <f>VLOOKUP(Query1[[#This Row],[Description]],'kits to boards'!$B$2:$E$156,2,FALSE)</f>
        <v>830085</v>
      </c>
      <c r="M613">
        <f>VLOOKUP(Query1[[#This Row],[Description]],'kits to boards'!$B$2:$E$156,3,FALSE)</f>
        <v>0</v>
      </c>
      <c r="N613">
        <f>VLOOKUP(Query1[[#This Row],[Description]],'kits to boards'!$B$2:$E$156,4,FALSE)</f>
        <v>0</v>
      </c>
      <c r="O613" t="str">
        <f>CONCATENATE(Query1[[#This Row],[Description]]," - ",Query1[[#This Row],[MB1]]," - ",Query1[[#This Row],[MB2]]," - ",Query1[[#This Row],[MB3]])</f>
        <v>EVAP KIT 66-77 BRONCO - 830085 - 0 - 0</v>
      </c>
    </row>
    <row r="614" spans="1:15" x14ac:dyDescent="0.25">
      <c r="A614" s="1">
        <v>909645</v>
      </c>
      <c r="B614" s="1" t="s">
        <v>26</v>
      </c>
      <c r="C614" s="1" t="s">
        <v>27</v>
      </c>
      <c r="D614" s="2">
        <v>44603.502692442133</v>
      </c>
      <c r="E614" s="1" t="s">
        <v>8</v>
      </c>
      <c r="F614" s="1">
        <v>1</v>
      </c>
      <c r="G614" s="1">
        <v>0</v>
      </c>
      <c r="H614" s="6">
        <f>INT(Query1[[#This Row],[EntryDateTime]])</f>
        <v>44603</v>
      </c>
      <c r="I614" s="1">
        <f>IF(Query1[[#This Row],[ItemType]]="EVAP KIT SF GEN IV",Query1[[#This Row],[OrderQty]]+I613,I613)</f>
        <v>664</v>
      </c>
      <c r="J614" s="1">
        <f>IF(Query1[[#This Row],[ItemType]]="EVAP KIT UNIVERSAL",Query1[[#This Row],[OrderQty]]+J613,J613)</f>
        <v>360</v>
      </c>
      <c r="K614" s="1">
        <f>Query1[[#This Row],[SF Running Total]]+Query1[[#This Row],[UNIV Running Total]]</f>
        <v>1024</v>
      </c>
      <c r="L614">
        <f>VLOOKUP(Query1[[#This Row],[Description]],'kits to boards'!$B$2:$E$156,2,FALSE)</f>
        <v>830013</v>
      </c>
      <c r="M614">
        <f>VLOOKUP(Query1[[#This Row],[Description]],'kits to boards'!$B$2:$E$156,3,FALSE)</f>
        <v>0</v>
      </c>
      <c r="N614">
        <f>VLOOKUP(Query1[[#This Row],[Description]],'kits to boards'!$B$2:$E$156,4,FALSE)</f>
        <v>0</v>
      </c>
      <c r="O614" t="str">
        <f>CONCATENATE(Query1[[#This Row],[Description]]," - ",Query1[[#This Row],[MB1]]," - ",Query1[[#This Row],[MB2]]," - ",Query1[[#This Row],[MB3]])</f>
        <v>EVAP KIT 67-72 CHEV P-UP W/AC - 830013 - 0 - 0</v>
      </c>
    </row>
    <row r="615" spans="1:15" x14ac:dyDescent="0.25">
      <c r="A615" s="1">
        <v>910549</v>
      </c>
      <c r="B615" s="1" t="s">
        <v>279</v>
      </c>
      <c r="C615" s="1" t="s">
        <v>280</v>
      </c>
      <c r="D615" s="2">
        <v>44603.502884374997</v>
      </c>
      <c r="E615" s="1" t="s">
        <v>8</v>
      </c>
      <c r="F615" s="1">
        <v>1</v>
      </c>
      <c r="G615" s="1">
        <v>0</v>
      </c>
      <c r="H615" s="6">
        <f>INT(Query1[[#This Row],[EntryDateTime]])</f>
        <v>44603</v>
      </c>
      <c r="I615" s="1">
        <f>IF(Query1[[#This Row],[ItemType]]="EVAP KIT SF GEN IV",Query1[[#This Row],[OrderQty]]+I614,I614)</f>
        <v>665</v>
      </c>
      <c r="J615" s="1">
        <f>IF(Query1[[#This Row],[ItemType]]="EVAP KIT UNIVERSAL",Query1[[#This Row],[OrderQty]]+J614,J614)</f>
        <v>360</v>
      </c>
      <c r="K615" s="1">
        <f>Query1[[#This Row],[SF Running Total]]+Query1[[#This Row],[UNIV Running Total]]</f>
        <v>1025</v>
      </c>
      <c r="L615">
        <f>VLOOKUP(Query1[[#This Row],[Description]],'kits to boards'!$B$2:$E$156,2,FALSE)</f>
        <v>830067</v>
      </c>
      <c r="M615">
        <f>VLOOKUP(Query1[[#This Row],[Description]],'kits to boards'!$B$2:$E$156,3,FALSE)</f>
        <v>0</v>
      </c>
      <c r="N615">
        <f>VLOOKUP(Query1[[#This Row],[Description]],'kits to boards'!$B$2:$E$156,4,FALSE)</f>
        <v>0</v>
      </c>
      <c r="O615" t="str">
        <f>CONCATENATE(Query1[[#This Row],[Description]]," - ",Query1[[#This Row],[MB1]]," - ",Query1[[#This Row],[MB2]]," - ",Query1[[#This Row],[MB3]])</f>
        <v>EVAP KIT 59-60 CHEV CAR 2-LEVER - 830067 - 0 - 0</v>
      </c>
    </row>
    <row r="616" spans="1:15" x14ac:dyDescent="0.25">
      <c r="A616" s="1">
        <v>910550</v>
      </c>
      <c r="B616" s="1" t="s">
        <v>502</v>
      </c>
      <c r="C616" s="1" t="s">
        <v>503</v>
      </c>
      <c r="D616" s="2">
        <v>44603.503415706022</v>
      </c>
      <c r="E616" s="1" t="s">
        <v>677</v>
      </c>
      <c r="F616" s="1">
        <v>1</v>
      </c>
      <c r="G616" s="1">
        <v>0</v>
      </c>
      <c r="H616" s="6">
        <f>INT(Query1[[#This Row],[EntryDateTime]])</f>
        <v>44603</v>
      </c>
      <c r="I616" s="1">
        <f>IF(Query1[[#This Row],[ItemType]]="EVAP KIT SF GEN IV",Query1[[#This Row],[OrderQty]]+I615,I615)</f>
        <v>665</v>
      </c>
      <c r="J616" s="1">
        <f>IF(Query1[[#This Row],[ItemType]]="EVAP KIT UNIVERSAL",Query1[[#This Row],[OrderQty]]+J615,J615)</f>
        <v>360</v>
      </c>
      <c r="K616" s="1">
        <f>Query1[[#This Row],[SF Running Total]]+Query1[[#This Row],[UNIV Running Total]]</f>
        <v>1025</v>
      </c>
      <c r="L616" t="e">
        <f>VLOOKUP(Query1[[#This Row],[Description]],'kits to boards'!$B$2:$E$156,2,FALSE)</f>
        <v>#N/A</v>
      </c>
      <c r="M616" t="e">
        <f>VLOOKUP(Query1[[#This Row],[Description]],'kits to boards'!$B$2:$E$156,3,FALSE)</f>
        <v>#N/A</v>
      </c>
      <c r="N616" t="e">
        <f>VLOOKUP(Query1[[#This Row],[Description]],'kits to boards'!$B$2:$E$156,4,FALSE)</f>
        <v>#N/A</v>
      </c>
      <c r="O616" t="e">
        <f>CONCATENATE(Query1[[#This Row],[Description]]," - ",Query1[[#This Row],[MB1]]," - ",Query1[[#This Row],[MB2]]," - ",Query1[[#This Row],[MB3]])</f>
        <v>#N/A</v>
      </c>
    </row>
    <row r="617" spans="1:15" x14ac:dyDescent="0.25">
      <c r="A617" s="1">
        <v>910350</v>
      </c>
      <c r="B617" s="1" t="s">
        <v>106</v>
      </c>
      <c r="C617" s="1" t="s">
        <v>107</v>
      </c>
      <c r="D617" s="2">
        <v>44603.503594097223</v>
      </c>
      <c r="E617" s="1" t="s">
        <v>8</v>
      </c>
      <c r="F617" s="1">
        <v>1</v>
      </c>
      <c r="G617" s="1">
        <v>0</v>
      </c>
      <c r="H617" s="6">
        <f>INT(Query1[[#This Row],[EntryDateTime]])</f>
        <v>44603</v>
      </c>
      <c r="I617" s="1">
        <f>IF(Query1[[#This Row],[ItemType]]="EVAP KIT SF GEN IV",Query1[[#This Row],[OrderQty]]+I616,I616)</f>
        <v>666</v>
      </c>
      <c r="J617" s="1">
        <f>IF(Query1[[#This Row],[ItemType]]="EVAP KIT UNIVERSAL",Query1[[#This Row],[OrderQty]]+J616,J616)</f>
        <v>360</v>
      </c>
      <c r="K617" s="1">
        <f>Query1[[#This Row],[SF Running Total]]+Query1[[#This Row],[UNIV Running Total]]</f>
        <v>1026</v>
      </c>
      <c r="L617">
        <f>VLOOKUP(Query1[[#This Row],[Description]],'kits to boards'!$B$2:$E$156,2,FALSE)</f>
        <v>830028</v>
      </c>
      <c r="M617">
        <f>VLOOKUP(Query1[[#This Row],[Description]],'kits to boards'!$B$2:$E$156,3,FALSE)</f>
        <v>0</v>
      </c>
      <c r="N617">
        <f>VLOOKUP(Query1[[#This Row],[Description]],'kits to boards'!$B$2:$E$156,4,FALSE)</f>
        <v>0</v>
      </c>
      <c r="O617" t="str">
        <f>CONCATENATE(Query1[[#This Row],[Description]]," - ",Query1[[#This Row],[MB1]]," - ",Query1[[#This Row],[MB2]]," - ",Query1[[#This Row],[MB3]])</f>
        <v>EVAP KIT 55-59 CHEV P-UP WO AC W/DELX - 830028 - 0 - 0</v>
      </c>
    </row>
    <row r="618" spans="1:15" x14ac:dyDescent="0.25">
      <c r="A618" s="1">
        <v>910355</v>
      </c>
      <c r="B618" s="1" t="s">
        <v>122</v>
      </c>
      <c r="C618" s="1" t="s">
        <v>123</v>
      </c>
      <c r="D618" s="2">
        <v>44603.504282986112</v>
      </c>
      <c r="E618" s="1" t="s">
        <v>8</v>
      </c>
      <c r="F618" s="1">
        <v>1</v>
      </c>
      <c r="G618" s="1">
        <v>0</v>
      </c>
      <c r="H618" s="6">
        <f>INT(Query1[[#This Row],[EntryDateTime]])</f>
        <v>44603</v>
      </c>
      <c r="I618" s="1">
        <f>IF(Query1[[#This Row],[ItemType]]="EVAP KIT SF GEN IV",Query1[[#This Row],[OrderQty]]+I617,I617)</f>
        <v>667</v>
      </c>
      <c r="J618" s="1">
        <f>IF(Query1[[#This Row],[ItemType]]="EVAP KIT UNIVERSAL",Query1[[#This Row],[OrderQty]]+J617,J617)</f>
        <v>360</v>
      </c>
      <c r="K618" s="1">
        <f>Query1[[#This Row],[SF Running Total]]+Query1[[#This Row],[UNIV Running Total]]</f>
        <v>1027</v>
      </c>
      <c r="L618">
        <f>VLOOKUP(Query1[[#This Row],[Description]],'kits to boards'!$B$2:$E$156,2,FALSE)</f>
        <v>830027</v>
      </c>
      <c r="M618">
        <f>VLOOKUP(Query1[[#This Row],[Description]],'kits to boards'!$B$2:$E$156,3,FALSE)</f>
        <v>0</v>
      </c>
      <c r="N618">
        <f>VLOOKUP(Query1[[#This Row],[Description]],'kits to boards'!$B$2:$E$156,4,FALSE)</f>
        <v>0</v>
      </c>
      <c r="O618" t="str">
        <f>CONCATENATE(Query1[[#This Row],[Description]]," - ",Query1[[#This Row],[MB1]]," - ",Query1[[#This Row],[MB2]]," - ",Query1[[#This Row],[MB3]])</f>
        <v>EVAP KIT 70-72 CUTLASS W/AC - 830027 - 0 - 0</v>
      </c>
    </row>
    <row r="619" spans="1:15" x14ac:dyDescent="0.25">
      <c r="A619" s="1">
        <v>910551</v>
      </c>
      <c r="B619" s="1" t="s">
        <v>62</v>
      </c>
      <c r="C619" s="1" t="s">
        <v>63</v>
      </c>
      <c r="D619" s="2">
        <v>44603.505924687503</v>
      </c>
      <c r="E619" s="1" t="s">
        <v>8</v>
      </c>
      <c r="F619" s="1">
        <v>1</v>
      </c>
      <c r="G619" s="1">
        <v>0</v>
      </c>
      <c r="H619" s="6">
        <f>INT(Query1[[#This Row],[EntryDateTime]])</f>
        <v>44603</v>
      </c>
      <c r="I619" s="1">
        <f>IF(Query1[[#This Row],[ItemType]]="EVAP KIT SF GEN IV",Query1[[#This Row],[OrderQty]]+I618,I618)</f>
        <v>668</v>
      </c>
      <c r="J619" s="1">
        <f>IF(Query1[[#This Row],[ItemType]]="EVAP KIT UNIVERSAL",Query1[[#This Row],[OrderQty]]+J618,J618)</f>
        <v>360</v>
      </c>
      <c r="K619" s="1">
        <f>Query1[[#This Row],[SF Running Total]]+Query1[[#This Row],[UNIV Running Total]]</f>
        <v>1028</v>
      </c>
      <c r="L619">
        <f>VLOOKUP(Query1[[#This Row],[Description]],'kits to boards'!$B$2:$E$156,2,FALSE)</f>
        <v>830079</v>
      </c>
      <c r="M619">
        <f>VLOOKUP(Query1[[#This Row],[Description]],'kits to boards'!$B$2:$E$156,3,FALSE)</f>
        <v>830046</v>
      </c>
      <c r="N619">
        <f>VLOOKUP(Query1[[#This Row],[Description]],'kits to boards'!$B$2:$E$156,4,FALSE)</f>
        <v>0</v>
      </c>
      <c r="O619" t="str">
        <f>CONCATENATE(Query1[[#This Row],[Description]]," - ",Query1[[#This Row],[MB1]]," - ",Query1[[#This Row],[MB2]]," - ",Query1[[#This Row],[MB3]])</f>
        <v>EVAP KIT 67-68 MUSTANG/COUGAR WO AC - 830079 - 830046 - 0</v>
      </c>
    </row>
    <row r="620" spans="1:15" x14ac:dyDescent="0.25">
      <c r="A620" s="1">
        <v>910558</v>
      </c>
      <c r="B620" s="1" t="s">
        <v>100</v>
      </c>
      <c r="C620" s="1" t="s">
        <v>101</v>
      </c>
      <c r="D620" s="2">
        <v>44603.529864780096</v>
      </c>
      <c r="E620" s="1" t="s">
        <v>8</v>
      </c>
      <c r="F620" s="1">
        <v>1</v>
      </c>
      <c r="G620" s="1">
        <v>0</v>
      </c>
      <c r="H620" s="6">
        <f>INT(Query1[[#This Row],[EntryDateTime]])</f>
        <v>44603</v>
      </c>
      <c r="I620" s="1">
        <f>IF(Query1[[#This Row],[ItemType]]="EVAP KIT SF GEN IV",Query1[[#This Row],[OrderQty]]+I619,I619)</f>
        <v>669</v>
      </c>
      <c r="J620" s="1">
        <f>IF(Query1[[#This Row],[ItemType]]="EVAP KIT UNIVERSAL",Query1[[#This Row],[OrderQty]]+J619,J619)</f>
        <v>360</v>
      </c>
      <c r="K620" s="1">
        <f>Query1[[#This Row],[SF Running Total]]+Query1[[#This Row],[UNIV Running Total]]</f>
        <v>1029</v>
      </c>
      <c r="L620">
        <f>VLOOKUP(Query1[[#This Row],[Description]],'kits to boards'!$B$2:$E$156,2,FALSE)</f>
        <v>830096</v>
      </c>
      <c r="M620">
        <f>VLOOKUP(Query1[[#This Row],[Description]],'kits to boards'!$B$2:$E$156,3,FALSE)</f>
        <v>0</v>
      </c>
      <c r="N620">
        <f>VLOOKUP(Query1[[#This Row],[Description]],'kits to boards'!$B$2:$E$156,4,FALSE)</f>
        <v>0</v>
      </c>
      <c r="O620" t="str">
        <f>CONCATENATE(Query1[[#This Row],[Description]]," - ",Query1[[#This Row],[MB1]]," - ",Query1[[#This Row],[MB2]]," - ",Query1[[#This Row],[MB3]])</f>
        <v>EVAP KIT 62-65 NOVA - 830096 - 0 - 0</v>
      </c>
    </row>
    <row r="621" spans="1:15" x14ac:dyDescent="0.25">
      <c r="A621" s="1">
        <v>910560</v>
      </c>
      <c r="B621" s="1" t="s">
        <v>60</v>
      </c>
      <c r="C621" s="1" t="s">
        <v>61</v>
      </c>
      <c r="D621" s="2">
        <v>44603.537460914355</v>
      </c>
      <c r="E621" s="1" t="s">
        <v>8</v>
      </c>
      <c r="F621" s="1">
        <v>1</v>
      </c>
      <c r="G621" s="1">
        <v>0</v>
      </c>
      <c r="H621" s="6">
        <f>INT(Query1[[#This Row],[EntryDateTime]])</f>
        <v>44603</v>
      </c>
      <c r="I621" s="1">
        <f>IF(Query1[[#This Row],[ItemType]]="EVAP KIT SF GEN IV",Query1[[#This Row],[OrderQty]]+I620,I620)</f>
        <v>670</v>
      </c>
      <c r="J621" s="1">
        <f>IF(Query1[[#This Row],[ItemType]]="EVAP KIT UNIVERSAL",Query1[[#This Row],[OrderQty]]+J620,J620)</f>
        <v>360</v>
      </c>
      <c r="K621" s="1">
        <f>Query1[[#This Row],[SF Running Total]]+Query1[[#This Row],[UNIV Running Total]]</f>
        <v>1030</v>
      </c>
      <c r="L621">
        <f>VLOOKUP(Query1[[#This Row],[Description]],'kits to boards'!$B$2:$E$156,2,FALSE)</f>
        <v>830062</v>
      </c>
      <c r="M621">
        <f>VLOOKUP(Query1[[#This Row],[Description]],'kits to boards'!$B$2:$E$156,3,FALSE)</f>
        <v>0</v>
      </c>
      <c r="N621">
        <f>VLOOKUP(Query1[[#This Row],[Description]],'kits to boards'!$B$2:$E$156,4,FALSE)</f>
        <v>0</v>
      </c>
      <c r="O621" t="str">
        <f>CONCATENATE(Query1[[#This Row],[Description]]," - ",Query1[[#This Row],[MB1]]," - ",Query1[[#This Row],[MB2]]," - ",Query1[[#This Row],[MB3]])</f>
        <v>EVAP KIT 68-69 CHEVELLE WO AC - 830062 - 0 - 0</v>
      </c>
    </row>
    <row r="622" spans="1:15" x14ac:dyDescent="0.25">
      <c r="A622" s="1">
        <v>909935</v>
      </c>
      <c r="B622" s="1" t="s">
        <v>62</v>
      </c>
      <c r="C622" s="1" t="s">
        <v>63</v>
      </c>
      <c r="D622" s="2">
        <v>44603.543082951386</v>
      </c>
      <c r="E622" s="1" t="s">
        <v>8</v>
      </c>
      <c r="F622" s="1">
        <v>1</v>
      </c>
      <c r="G622" s="1">
        <v>0</v>
      </c>
      <c r="H622" s="6">
        <f>INT(Query1[[#This Row],[EntryDateTime]])</f>
        <v>44603</v>
      </c>
      <c r="I622" s="1">
        <f>IF(Query1[[#This Row],[ItemType]]="EVAP KIT SF GEN IV",Query1[[#This Row],[OrderQty]]+I621,I621)</f>
        <v>671</v>
      </c>
      <c r="J622" s="1">
        <f>IF(Query1[[#This Row],[ItemType]]="EVAP KIT UNIVERSAL",Query1[[#This Row],[OrderQty]]+J621,J621)</f>
        <v>360</v>
      </c>
      <c r="K622" s="1">
        <f>Query1[[#This Row],[SF Running Total]]+Query1[[#This Row],[UNIV Running Total]]</f>
        <v>1031</v>
      </c>
      <c r="L622">
        <f>VLOOKUP(Query1[[#This Row],[Description]],'kits to boards'!$B$2:$E$156,2,FALSE)</f>
        <v>830079</v>
      </c>
      <c r="M622">
        <f>VLOOKUP(Query1[[#This Row],[Description]],'kits to boards'!$B$2:$E$156,3,FALSE)</f>
        <v>830046</v>
      </c>
      <c r="N622">
        <f>VLOOKUP(Query1[[#This Row],[Description]],'kits to boards'!$B$2:$E$156,4,FALSE)</f>
        <v>0</v>
      </c>
      <c r="O622" t="str">
        <f>CONCATENATE(Query1[[#This Row],[Description]]," - ",Query1[[#This Row],[MB1]]," - ",Query1[[#This Row],[MB2]]," - ",Query1[[#This Row],[MB3]])</f>
        <v>EVAP KIT 67-68 MUSTANG/COUGAR WO AC - 830079 - 830046 - 0</v>
      </c>
    </row>
    <row r="623" spans="1:15" x14ac:dyDescent="0.25">
      <c r="A623" s="1">
        <v>910565</v>
      </c>
      <c r="B623" s="1" t="s">
        <v>216</v>
      </c>
      <c r="C623" s="1" t="s">
        <v>217</v>
      </c>
      <c r="D623" s="2">
        <v>44603.549038541663</v>
      </c>
      <c r="E623" s="1" t="s">
        <v>8</v>
      </c>
      <c r="F623" s="1">
        <v>1</v>
      </c>
      <c r="G623" s="1">
        <v>0</v>
      </c>
      <c r="H623" s="6">
        <f>INT(Query1[[#This Row],[EntryDateTime]])</f>
        <v>44603</v>
      </c>
      <c r="I623" s="1">
        <f>IF(Query1[[#This Row],[ItemType]]="EVAP KIT SF GEN IV",Query1[[#This Row],[OrderQty]]+I622,I622)</f>
        <v>672</v>
      </c>
      <c r="J623" s="1">
        <f>IF(Query1[[#This Row],[ItemType]]="EVAP KIT UNIVERSAL",Query1[[#This Row],[OrderQty]]+J622,J622)</f>
        <v>360</v>
      </c>
      <c r="K623" s="1">
        <f>Query1[[#This Row],[SF Running Total]]+Query1[[#This Row],[UNIV Running Total]]</f>
        <v>1032</v>
      </c>
      <c r="L623">
        <f>VLOOKUP(Query1[[#This Row],[Description]],'kits to boards'!$B$2:$E$156,2,FALSE)</f>
        <v>830072</v>
      </c>
      <c r="M623">
        <f>VLOOKUP(Query1[[#This Row],[Description]],'kits to boards'!$B$2:$E$156,3,FALSE)</f>
        <v>830075</v>
      </c>
      <c r="N623">
        <f>VLOOKUP(Query1[[#This Row],[Description]],'kits to boards'!$B$2:$E$156,4,FALSE)</f>
        <v>0</v>
      </c>
      <c r="O623" t="str">
        <f>CONCATENATE(Query1[[#This Row],[Description]]," - ",Query1[[#This Row],[MB1]]," - ",Query1[[#This Row],[MB2]]," - ",Query1[[#This Row],[MB3]])</f>
        <v>EVAP KIT 69-70 MOPAR B BODY W/AC - 830072 - 830075 - 0</v>
      </c>
    </row>
    <row r="624" spans="1:15" x14ac:dyDescent="0.25">
      <c r="A624" s="1">
        <v>910570</v>
      </c>
      <c r="B624" s="1" t="s">
        <v>96</v>
      </c>
      <c r="C624" s="1" t="s">
        <v>97</v>
      </c>
      <c r="D624" s="2">
        <v>44603.554198807869</v>
      </c>
      <c r="E624" s="1" t="s">
        <v>8</v>
      </c>
      <c r="F624" s="1">
        <v>1</v>
      </c>
      <c r="G624" s="1">
        <v>0</v>
      </c>
      <c r="H624" s="6">
        <f>INT(Query1[[#This Row],[EntryDateTime]])</f>
        <v>44603</v>
      </c>
      <c r="I624" s="1">
        <f>IF(Query1[[#This Row],[ItemType]]="EVAP KIT SF GEN IV",Query1[[#This Row],[OrderQty]]+I623,I623)</f>
        <v>673</v>
      </c>
      <c r="J624" s="1">
        <f>IF(Query1[[#This Row],[ItemType]]="EVAP KIT UNIVERSAL",Query1[[#This Row],[OrderQty]]+J623,J623)</f>
        <v>360</v>
      </c>
      <c r="K624" s="1">
        <f>Query1[[#This Row],[SF Running Total]]+Query1[[#This Row],[UNIV Running Total]]</f>
        <v>1033</v>
      </c>
      <c r="L624">
        <f>VLOOKUP(Query1[[#This Row],[Description]],'kits to boards'!$B$2:$E$156,2,FALSE)</f>
        <v>830004</v>
      </c>
      <c r="M624">
        <f>VLOOKUP(Query1[[#This Row],[Description]],'kits to boards'!$B$2:$E$156,3,FALSE)</f>
        <v>0</v>
      </c>
      <c r="N624">
        <f>VLOOKUP(Query1[[#This Row],[Description]],'kits to boards'!$B$2:$E$156,4,FALSE)</f>
        <v>0</v>
      </c>
      <c r="O624" t="str">
        <f>CONCATENATE(Query1[[#This Row],[Description]]," - ",Query1[[#This Row],[MB1]]," - ",Query1[[#This Row],[MB2]]," - ",Query1[[#This Row],[MB3]])</f>
        <v>EVAP KIT 81-87 CHEV P-UP W/AC - 830004 - 0 - 0</v>
      </c>
    </row>
    <row r="625" spans="1:15" x14ac:dyDescent="0.25">
      <c r="A625" s="1">
        <v>910573</v>
      </c>
      <c r="B625" s="1" t="s">
        <v>273</v>
      </c>
      <c r="C625" s="1" t="s">
        <v>274</v>
      </c>
      <c r="D625" s="2">
        <v>44603.560521527776</v>
      </c>
      <c r="E625" s="1" t="s">
        <v>8</v>
      </c>
      <c r="F625" s="1">
        <v>1</v>
      </c>
      <c r="G625" s="1">
        <v>0</v>
      </c>
      <c r="H625" s="6">
        <f>INT(Query1[[#This Row],[EntryDateTime]])</f>
        <v>44603</v>
      </c>
      <c r="I625" s="1">
        <f>IF(Query1[[#This Row],[ItemType]]="EVAP KIT SF GEN IV",Query1[[#This Row],[OrderQty]]+I624,I624)</f>
        <v>674</v>
      </c>
      <c r="J625" s="1">
        <f>IF(Query1[[#This Row],[ItemType]]="EVAP KIT UNIVERSAL",Query1[[#This Row],[OrderQty]]+J624,J624)</f>
        <v>360</v>
      </c>
      <c r="K625" s="1">
        <f>Query1[[#This Row],[SF Running Total]]+Query1[[#This Row],[UNIV Running Total]]</f>
        <v>1034</v>
      </c>
      <c r="L625">
        <f>VLOOKUP(Query1[[#This Row],[Description]],'kits to boards'!$B$2:$E$156,2,FALSE)</f>
        <v>830056</v>
      </c>
      <c r="M625">
        <f>VLOOKUP(Query1[[#This Row],[Description]],'kits to boards'!$B$2:$E$156,3,FALSE)</f>
        <v>0</v>
      </c>
      <c r="N625">
        <f>VLOOKUP(Query1[[#This Row],[Description]],'kits to boards'!$B$2:$E$156,4,FALSE)</f>
        <v>0</v>
      </c>
      <c r="O625" t="str">
        <f>CONCATENATE(Query1[[#This Row],[Description]]," - ",Query1[[#This Row],[MB1]]," - ",Query1[[#This Row],[MB2]]," - ",Query1[[#This Row],[MB3]])</f>
        <v>EVAP KIT 64-65 CHEVELLE W/AC - 830056 - 0 - 0</v>
      </c>
    </row>
    <row r="626" spans="1:15" x14ac:dyDescent="0.25">
      <c r="A626" s="1">
        <v>910581</v>
      </c>
      <c r="B626" s="1" t="s">
        <v>56</v>
      </c>
      <c r="C626" s="1" t="s">
        <v>57</v>
      </c>
      <c r="D626" s="2">
        <v>44603.569990474534</v>
      </c>
      <c r="E626" s="1" t="s">
        <v>8</v>
      </c>
      <c r="F626" s="1">
        <v>1</v>
      </c>
      <c r="G626" s="1">
        <v>0</v>
      </c>
      <c r="H626" s="6">
        <f>INT(Query1[[#This Row],[EntryDateTime]])</f>
        <v>44603</v>
      </c>
      <c r="I626" s="1">
        <f>IF(Query1[[#This Row],[ItemType]]="EVAP KIT SF GEN IV",Query1[[#This Row],[OrderQty]]+I625,I625)</f>
        <v>675</v>
      </c>
      <c r="J626" s="1">
        <f>IF(Query1[[#This Row],[ItemType]]="EVAP KIT UNIVERSAL",Query1[[#This Row],[OrderQty]]+J625,J625)</f>
        <v>360</v>
      </c>
      <c r="K626" s="1">
        <f>Query1[[#This Row],[SF Running Total]]+Query1[[#This Row],[UNIV Running Total]]</f>
        <v>1035</v>
      </c>
      <c r="L626">
        <f>VLOOKUP(Query1[[#This Row],[Description]],'kits to boards'!$B$2:$E$156,2,FALSE)</f>
        <v>830011</v>
      </c>
      <c r="M626">
        <f>VLOOKUP(Query1[[#This Row],[Description]],'kits to boards'!$B$2:$E$156,3,FALSE)</f>
        <v>0</v>
      </c>
      <c r="N626">
        <f>VLOOKUP(Query1[[#This Row],[Description]],'kits to boards'!$B$2:$E$156,4,FALSE)</f>
        <v>0</v>
      </c>
      <c r="O626" t="str">
        <f>CONCATENATE(Query1[[#This Row],[Description]]," - ",Query1[[#This Row],[MB1]]," - ",Query1[[#This Row],[MB2]]," - ",Query1[[#This Row],[MB3]])</f>
        <v>EVAP KIT 70-72 CHEVELLE W/AC - 830011 - 0 - 0</v>
      </c>
    </row>
    <row r="627" spans="1:15" x14ac:dyDescent="0.25">
      <c r="A627" s="1">
        <v>910454</v>
      </c>
      <c r="B627" s="1" t="s">
        <v>26</v>
      </c>
      <c r="C627" s="1" t="s">
        <v>27</v>
      </c>
      <c r="D627" s="2">
        <v>44603.58330046296</v>
      </c>
      <c r="E627" s="1" t="s">
        <v>8</v>
      </c>
      <c r="F627" s="1">
        <v>1</v>
      </c>
      <c r="G627" s="1">
        <v>0</v>
      </c>
      <c r="H627" s="6">
        <f>INT(Query1[[#This Row],[EntryDateTime]])</f>
        <v>44603</v>
      </c>
      <c r="I627" s="1">
        <f>IF(Query1[[#This Row],[ItemType]]="EVAP KIT SF GEN IV",Query1[[#This Row],[OrderQty]]+I626,I626)</f>
        <v>676</v>
      </c>
      <c r="J627" s="1">
        <f>IF(Query1[[#This Row],[ItemType]]="EVAP KIT UNIVERSAL",Query1[[#This Row],[OrderQty]]+J626,J626)</f>
        <v>360</v>
      </c>
      <c r="K627" s="1">
        <f>Query1[[#This Row],[SF Running Total]]+Query1[[#This Row],[UNIV Running Total]]</f>
        <v>1036</v>
      </c>
      <c r="L627">
        <f>VLOOKUP(Query1[[#This Row],[Description]],'kits to boards'!$B$2:$E$156,2,FALSE)</f>
        <v>830013</v>
      </c>
      <c r="M627">
        <f>VLOOKUP(Query1[[#This Row],[Description]],'kits to boards'!$B$2:$E$156,3,FALSE)</f>
        <v>0</v>
      </c>
      <c r="N627">
        <f>VLOOKUP(Query1[[#This Row],[Description]],'kits to boards'!$B$2:$E$156,4,FALSE)</f>
        <v>0</v>
      </c>
      <c r="O627" t="str">
        <f>CONCATENATE(Query1[[#This Row],[Description]]," - ",Query1[[#This Row],[MB1]]," - ",Query1[[#This Row],[MB2]]," - ",Query1[[#This Row],[MB3]])</f>
        <v>EVAP KIT 67-72 CHEV P-UP W/AC - 830013 - 0 - 0</v>
      </c>
    </row>
    <row r="628" spans="1:15" x14ac:dyDescent="0.25">
      <c r="A628" s="1">
        <v>910585</v>
      </c>
      <c r="B628" s="1" t="s">
        <v>36</v>
      </c>
      <c r="C628" s="1" t="s">
        <v>37</v>
      </c>
      <c r="D628" s="2">
        <v>44603.585218020831</v>
      </c>
      <c r="E628" s="1" t="s">
        <v>8</v>
      </c>
      <c r="F628" s="1">
        <v>1</v>
      </c>
      <c r="G628" s="1">
        <v>0</v>
      </c>
      <c r="H628" s="6">
        <f>INT(Query1[[#This Row],[EntryDateTime]])</f>
        <v>44603</v>
      </c>
      <c r="I628" s="1">
        <f>IF(Query1[[#This Row],[ItemType]]="EVAP KIT SF GEN IV",Query1[[#This Row],[OrderQty]]+I627,I627)</f>
        <v>677</v>
      </c>
      <c r="J628" s="1">
        <f>IF(Query1[[#This Row],[ItemType]]="EVAP KIT UNIVERSAL",Query1[[#This Row],[OrderQty]]+J627,J627)</f>
        <v>360</v>
      </c>
      <c r="K628" s="1">
        <f>Query1[[#This Row],[SF Running Total]]+Query1[[#This Row],[UNIV Running Total]]</f>
        <v>1037</v>
      </c>
      <c r="L628">
        <f>VLOOKUP(Query1[[#This Row],[Description]],'kits to boards'!$B$2:$E$156,2,FALSE)</f>
        <v>830015</v>
      </c>
      <c r="M628">
        <f>VLOOKUP(Query1[[#This Row],[Description]],'kits to boards'!$B$2:$E$156,3,FALSE)</f>
        <v>0</v>
      </c>
      <c r="N628">
        <f>VLOOKUP(Query1[[#This Row],[Description]],'kits to boards'!$B$2:$E$156,4,FALSE)</f>
        <v>0</v>
      </c>
      <c r="O628" t="str">
        <f>CONCATENATE(Query1[[#This Row],[Description]]," - ",Query1[[#This Row],[MB1]]," - ",Query1[[#This Row],[MB2]]," - ",Query1[[#This Row],[MB3]])</f>
        <v>EVAP KIT 64-66 CHEV P-UP WO AC W/STD - 830015 - 0 - 0</v>
      </c>
    </row>
    <row r="629" spans="1:15" x14ac:dyDescent="0.25">
      <c r="A629" s="1">
        <v>908648</v>
      </c>
      <c r="B629" s="1" t="s">
        <v>188</v>
      </c>
      <c r="C629" s="1" t="s">
        <v>189</v>
      </c>
      <c r="D629" s="2">
        <v>44603.597724965279</v>
      </c>
      <c r="E629" s="1" t="s">
        <v>11</v>
      </c>
      <c r="F629" s="1">
        <v>1</v>
      </c>
      <c r="G629" s="1">
        <v>0</v>
      </c>
      <c r="H629" s="6">
        <f>INT(Query1[[#This Row],[EntryDateTime]])</f>
        <v>44603</v>
      </c>
      <c r="I629" s="1">
        <f>IF(Query1[[#This Row],[ItemType]]="EVAP KIT SF GEN IV",Query1[[#This Row],[OrderQty]]+I628,I628)</f>
        <v>677</v>
      </c>
      <c r="J629" s="1">
        <f>IF(Query1[[#This Row],[ItemType]]="EVAP KIT UNIVERSAL",Query1[[#This Row],[OrderQty]]+J628,J628)</f>
        <v>361</v>
      </c>
      <c r="K629" s="1">
        <f>Query1[[#This Row],[SF Running Total]]+Query1[[#This Row],[UNIV Running Total]]</f>
        <v>1038</v>
      </c>
      <c r="L629">
        <f>VLOOKUP(Query1[[#This Row],[Description]],'kits to boards'!$B$2:$E$156,2,FALSE)</f>
        <v>830069</v>
      </c>
      <c r="M629">
        <f>VLOOKUP(Query1[[#This Row],[Description]],'kits to boards'!$B$2:$E$156,3,FALSE)</f>
        <v>0</v>
      </c>
      <c r="N629">
        <f>VLOOKUP(Query1[[#This Row],[Description]],'kits to boards'!$B$2:$E$156,4,FALSE)</f>
        <v>0</v>
      </c>
      <c r="O629" t="str">
        <f>CONCATENATE(Query1[[#This Row],[Description]]," - ",Query1[[#This Row],[MB1]]," - ",Query1[[#This Row],[MB2]]," - ",Query1[[#This Row],[MB3]])</f>
        <v>SLIMLINE H/C STD LOUVER - 830069 - 0 - 0</v>
      </c>
    </row>
    <row r="630" spans="1:15" x14ac:dyDescent="0.25">
      <c r="A630" s="1">
        <v>909234</v>
      </c>
      <c r="B630" s="1" t="s">
        <v>22</v>
      </c>
      <c r="C630" s="1" t="s">
        <v>23</v>
      </c>
      <c r="D630" s="2">
        <v>44603.598879895835</v>
      </c>
      <c r="E630" s="1" t="s">
        <v>8</v>
      </c>
      <c r="F630" s="1">
        <v>1</v>
      </c>
      <c r="G630" s="1">
        <v>0</v>
      </c>
      <c r="H630" s="6">
        <f>INT(Query1[[#This Row],[EntryDateTime]])</f>
        <v>44603</v>
      </c>
      <c r="I630" s="1">
        <f>IF(Query1[[#This Row],[ItemType]]="EVAP KIT SF GEN IV",Query1[[#This Row],[OrderQty]]+I629,I629)</f>
        <v>678</v>
      </c>
      <c r="J630" s="1">
        <f>IF(Query1[[#This Row],[ItemType]]="EVAP KIT UNIVERSAL",Query1[[#This Row],[OrderQty]]+J629,J629)</f>
        <v>361</v>
      </c>
      <c r="K630" s="1">
        <f>Query1[[#This Row],[SF Running Total]]+Query1[[#This Row],[UNIV Running Total]]</f>
        <v>1039</v>
      </c>
      <c r="L630">
        <f>VLOOKUP(Query1[[#This Row],[Description]],'kits to boards'!$B$2:$E$156,2,FALSE)</f>
        <v>830083</v>
      </c>
      <c r="M630">
        <f>VLOOKUP(Query1[[#This Row],[Description]],'kits to boards'!$B$2:$E$156,3,FALSE)</f>
        <v>0</v>
      </c>
      <c r="N630">
        <f>VLOOKUP(Query1[[#This Row],[Description]],'kits to boards'!$B$2:$E$156,4,FALSE)</f>
        <v>0</v>
      </c>
      <c r="O630" t="str">
        <f>CONCATENATE(Query1[[#This Row],[Description]]," - ",Query1[[#This Row],[MB1]]," - ",Query1[[#This Row],[MB2]]," - ",Query1[[#This Row],[MB3]])</f>
        <v>GEN IV MAGNUM EVAP KIT - 830083 - 0 - 0</v>
      </c>
    </row>
    <row r="631" spans="1:15" x14ac:dyDescent="0.25">
      <c r="A631" s="1">
        <v>910595</v>
      </c>
      <c r="B631" s="1" t="s">
        <v>90</v>
      </c>
      <c r="C631" s="1" t="s">
        <v>91</v>
      </c>
      <c r="D631" s="2">
        <v>44603.601489583336</v>
      </c>
      <c r="E631" s="1" t="s">
        <v>8</v>
      </c>
      <c r="F631" s="1">
        <v>1</v>
      </c>
      <c r="G631" s="1">
        <v>0</v>
      </c>
      <c r="H631" s="6">
        <f>INT(Query1[[#This Row],[EntryDateTime]])</f>
        <v>44603</v>
      </c>
      <c r="I631" s="1">
        <f>IF(Query1[[#This Row],[ItemType]]="EVAP KIT SF GEN IV",Query1[[#This Row],[OrderQty]]+I630,I630)</f>
        <v>679</v>
      </c>
      <c r="J631" s="1">
        <f>IF(Query1[[#This Row],[ItemType]]="EVAP KIT UNIVERSAL",Query1[[#This Row],[OrderQty]]+J630,J630)</f>
        <v>361</v>
      </c>
      <c r="K631" s="1">
        <f>Query1[[#This Row],[SF Running Total]]+Query1[[#This Row],[UNIV Running Total]]</f>
        <v>1040</v>
      </c>
      <c r="L631">
        <f>VLOOKUP(Query1[[#This Row],[Description]],'kits to boards'!$B$2:$E$156,2,FALSE)</f>
        <v>830105</v>
      </c>
      <c r="M631">
        <f>VLOOKUP(Query1[[#This Row],[Description]],'kits to boards'!$B$2:$E$156,3,FALSE)</f>
        <v>830106</v>
      </c>
      <c r="N631">
        <f>VLOOKUP(Query1[[#This Row],[Description]],'kits to boards'!$B$2:$E$156,4,FALSE)</f>
        <v>0</v>
      </c>
      <c r="O631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632" spans="1:15" x14ac:dyDescent="0.25">
      <c r="A632" s="1">
        <v>910592</v>
      </c>
      <c r="B632" s="1" t="s">
        <v>9</v>
      </c>
      <c r="C632" s="1" t="s">
        <v>10</v>
      </c>
      <c r="D632" s="2">
        <v>44603.604730520834</v>
      </c>
      <c r="E632" s="1" t="s">
        <v>11</v>
      </c>
      <c r="F632" s="1">
        <v>1</v>
      </c>
      <c r="G632" s="1">
        <v>0</v>
      </c>
      <c r="H632" s="6">
        <f>INT(Query1[[#This Row],[EntryDateTime]])</f>
        <v>44603</v>
      </c>
      <c r="I632" s="1">
        <f>IF(Query1[[#This Row],[ItemType]]="EVAP KIT SF GEN IV",Query1[[#This Row],[OrderQty]]+I631,I631)</f>
        <v>679</v>
      </c>
      <c r="J632" s="1">
        <f>IF(Query1[[#This Row],[ItemType]]="EVAP KIT UNIVERSAL",Query1[[#This Row],[OrderQty]]+J631,J631)</f>
        <v>362</v>
      </c>
      <c r="K632" s="1">
        <f>Query1[[#This Row],[SF Running Total]]+Query1[[#This Row],[UNIV Running Total]]</f>
        <v>1041</v>
      </c>
      <c r="L632">
        <f>VLOOKUP(Query1[[#This Row],[Description]],'kits to boards'!$B$2:$E$156,2,FALSE)</f>
        <v>830069</v>
      </c>
      <c r="M632">
        <f>VLOOKUP(Query1[[#This Row],[Description]],'kits to boards'!$B$2:$E$156,3,FALSE)</f>
        <v>0</v>
      </c>
      <c r="N632">
        <f>VLOOKUP(Query1[[#This Row],[Description]],'kits to boards'!$B$2:$E$156,4,FALSE)</f>
        <v>0</v>
      </c>
      <c r="O632" t="str">
        <f>CONCATENATE(Query1[[#This Row],[Description]]," - ",Query1[[#This Row],[MB1]]," - ",Query1[[#This Row],[MB2]]," - ",Query1[[#This Row],[MB3]])</f>
        <v>SLIMLINE H/C W/DEF STD LOUVER - 830069 - 0 - 0</v>
      </c>
    </row>
    <row r="633" spans="1:15" x14ac:dyDescent="0.25">
      <c r="A633" s="1">
        <v>910072</v>
      </c>
      <c r="B633" s="1" t="s">
        <v>54</v>
      </c>
      <c r="C633" s="1" t="s">
        <v>55</v>
      </c>
      <c r="D633" s="2">
        <v>44603.606419016207</v>
      </c>
      <c r="E633" s="1" t="s">
        <v>8</v>
      </c>
      <c r="F633" s="1">
        <v>1</v>
      </c>
      <c r="G633" s="1">
        <v>0</v>
      </c>
      <c r="H633" s="6">
        <f>INT(Query1[[#This Row],[EntryDateTime]])</f>
        <v>44603</v>
      </c>
      <c r="I633" s="1">
        <f>IF(Query1[[#This Row],[ItemType]]="EVAP KIT SF GEN IV",Query1[[#This Row],[OrderQty]]+I632,I632)</f>
        <v>680</v>
      </c>
      <c r="J633" s="1">
        <f>IF(Query1[[#This Row],[ItemType]]="EVAP KIT UNIVERSAL",Query1[[#This Row],[OrderQty]]+J632,J632)</f>
        <v>362</v>
      </c>
      <c r="K633" s="1">
        <f>Query1[[#This Row],[SF Running Total]]+Query1[[#This Row],[UNIV Running Total]]</f>
        <v>1042</v>
      </c>
      <c r="L633">
        <f>VLOOKUP(Query1[[#This Row],[Description]],'kits to boards'!$B$2:$E$156,2,FALSE)</f>
        <v>830037</v>
      </c>
      <c r="M633">
        <f>VLOOKUP(Query1[[#This Row],[Description]],'kits to boards'!$B$2:$E$156,3,FALSE)</f>
        <v>0</v>
      </c>
      <c r="N633">
        <f>VLOOKUP(Query1[[#This Row],[Description]],'kits to boards'!$B$2:$E$156,4,FALSE)</f>
        <v>0</v>
      </c>
      <c r="O633" t="str">
        <f>CONCATENATE(Query1[[#This Row],[Description]]," - ",Query1[[#This Row],[MB1]]," - ",Query1[[#This Row],[MB2]]," - ",Query1[[#This Row],[MB3]])</f>
        <v>EVAP KIT 70-81 FIREBIRD W/AC - 830037 - 0 - 0</v>
      </c>
    </row>
    <row r="634" spans="1:15" x14ac:dyDescent="0.25">
      <c r="A634" s="1">
        <v>910600</v>
      </c>
      <c r="B634" s="1" t="s">
        <v>22</v>
      </c>
      <c r="C634" s="1" t="s">
        <v>23</v>
      </c>
      <c r="D634" s="2">
        <v>44603.607474456017</v>
      </c>
      <c r="E634" s="1" t="s">
        <v>8</v>
      </c>
      <c r="F634" s="1">
        <v>1</v>
      </c>
      <c r="G634" s="1">
        <v>0</v>
      </c>
      <c r="H634" s="6">
        <f>INT(Query1[[#This Row],[EntryDateTime]])</f>
        <v>44603</v>
      </c>
      <c r="I634" s="1">
        <f>IF(Query1[[#This Row],[ItemType]]="EVAP KIT SF GEN IV",Query1[[#This Row],[OrderQty]]+I633,I633)</f>
        <v>681</v>
      </c>
      <c r="J634" s="1">
        <f>IF(Query1[[#This Row],[ItemType]]="EVAP KIT UNIVERSAL",Query1[[#This Row],[OrderQty]]+J633,J633)</f>
        <v>362</v>
      </c>
      <c r="K634" s="1">
        <f>Query1[[#This Row],[SF Running Total]]+Query1[[#This Row],[UNIV Running Total]]</f>
        <v>1043</v>
      </c>
      <c r="L634">
        <f>VLOOKUP(Query1[[#This Row],[Description]],'kits to boards'!$B$2:$E$156,2,FALSE)</f>
        <v>830083</v>
      </c>
      <c r="M634">
        <f>VLOOKUP(Query1[[#This Row],[Description]],'kits to boards'!$B$2:$E$156,3,FALSE)</f>
        <v>0</v>
      </c>
      <c r="N634">
        <f>VLOOKUP(Query1[[#This Row],[Description]],'kits to boards'!$B$2:$E$156,4,FALSE)</f>
        <v>0</v>
      </c>
      <c r="O634" t="str">
        <f>CONCATENATE(Query1[[#This Row],[Description]]," - ",Query1[[#This Row],[MB1]]," - ",Query1[[#This Row],[MB2]]," - ",Query1[[#This Row],[MB3]])</f>
        <v>GEN IV MAGNUM EVAP KIT - 830083 - 0 - 0</v>
      </c>
    </row>
    <row r="635" spans="1:15" x14ac:dyDescent="0.25">
      <c r="A635" s="1">
        <v>910601</v>
      </c>
      <c r="B635" s="1" t="s">
        <v>176</v>
      </c>
      <c r="C635" s="1" t="s">
        <v>177</v>
      </c>
      <c r="D635" s="2">
        <v>44603.608715972223</v>
      </c>
      <c r="E635" s="1" t="s">
        <v>8</v>
      </c>
      <c r="F635" s="1">
        <v>1</v>
      </c>
      <c r="G635" s="1">
        <v>0</v>
      </c>
      <c r="H635" s="6">
        <f>INT(Query1[[#This Row],[EntryDateTime]])</f>
        <v>44603</v>
      </c>
      <c r="I635" s="1">
        <f>IF(Query1[[#This Row],[ItemType]]="EVAP KIT SF GEN IV",Query1[[#This Row],[OrderQty]]+I634,I634)</f>
        <v>682</v>
      </c>
      <c r="J635" s="1">
        <f>IF(Query1[[#This Row],[ItemType]]="EVAP KIT UNIVERSAL",Query1[[#This Row],[OrderQty]]+J634,J634)</f>
        <v>362</v>
      </c>
      <c r="K635" s="1">
        <f>Query1[[#This Row],[SF Running Total]]+Query1[[#This Row],[UNIV Running Total]]</f>
        <v>1044</v>
      </c>
      <c r="L635">
        <f>VLOOKUP(Query1[[#This Row],[Description]],'kits to boards'!$B$2:$E$156,2,FALSE)</f>
        <v>830125</v>
      </c>
      <c r="M635">
        <f>VLOOKUP(Query1[[#This Row],[Description]],'kits to boards'!$B$2:$E$156,3,FALSE)</f>
        <v>0</v>
      </c>
      <c r="N635">
        <f>VLOOKUP(Query1[[#This Row],[Description]],'kits to boards'!$B$2:$E$156,4,FALSE)</f>
        <v>0</v>
      </c>
      <c r="O635" t="str">
        <f>CONCATENATE(Query1[[#This Row],[Description]]," - ",Query1[[#This Row],[MB1]]," - ",Query1[[#This Row],[MB2]]," - ",Query1[[#This Row],[MB3]])</f>
        <v>EVAP KIT 65-66 IMPALA W/AC - 830125 - 0 - 0</v>
      </c>
    </row>
    <row r="636" spans="1:15" x14ac:dyDescent="0.25">
      <c r="A636" s="1">
        <v>910592</v>
      </c>
      <c r="B636" s="1" t="s">
        <v>14</v>
      </c>
      <c r="C636" s="1" t="s">
        <v>15</v>
      </c>
      <c r="D636" s="2">
        <v>44603.614355405094</v>
      </c>
      <c r="E636" s="1" t="s">
        <v>8</v>
      </c>
      <c r="F636" s="1">
        <v>1</v>
      </c>
      <c r="G636" s="1">
        <v>0</v>
      </c>
      <c r="H636" s="6">
        <f>INT(Query1[[#This Row],[EntryDateTime]])</f>
        <v>44603</v>
      </c>
      <c r="I636" s="1">
        <f>IF(Query1[[#This Row],[ItemType]]="EVAP KIT SF GEN IV",Query1[[#This Row],[OrderQty]]+I635,I635)</f>
        <v>683</v>
      </c>
      <c r="J636" s="1">
        <f>IF(Query1[[#This Row],[ItemType]]="EVAP KIT UNIVERSAL",Query1[[#This Row],[OrderQty]]+J635,J635)</f>
        <v>362</v>
      </c>
      <c r="K636" s="1">
        <f>Query1[[#This Row],[SF Running Total]]+Query1[[#This Row],[UNIV Running Total]]</f>
        <v>1045</v>
      </c>
      <c r="L636">
        <f>VLOOKUP(Query1[[#This Row],[Description]],'kits to boards'!$B$2:$E$156,2,FALSE)</f>
        <v>830054</v>
      </c>
      <c r="M636">
        <f>VLOOKUP(Query1[[#This Row],[Description]],'kits to boards'!$B$2:$E$156,3,FALSE)</f>
        <v>0</v>
      </c>
      <c r="N636">
        <f>VLOOKUP(Query1[[#This Row],[Description]],'kits to boards'!$B$2:$E$156,4,FALSE)</f>
        <v>0</v>
      </c>
      <c r="O636" t="str">
        <f>CONCATENATE(Query1[[#This Row],[Description]]," - ",Query1[[#This Row],[MB1]]," - ",Query1[[#This Row],[MB2]]," - ",Query1[[#This Row],[MB3]])</f>
        <v>EVAP KIT 55-56 CHEVY - 830054 - 0 - 0</v>
      </c>
    </row>
    <row r="637" spans="1:15" x14ac:dyDescent="0.25">
      <c r="A637" s="1">
        <v>910592</v>
      </c>
      <c r="B637" s="1" t="s">
        <v>34</v>
      </c>
      <c r="C637" s="1" t="s">
        <v>35</v>
      </c>
      <c r="D637" s="2">
        <v>44603.615299965277</v>
      </c>
      <c r="E637" s="1" t="s">
        <v>8</v>
      </c>
      <c r="F637" s="1">
        <v>1</v>
      </c>
      <c r="G637" s="1">
        <v>0</v>
      </c>
      <c r="H637" s="6">
        <f>INT(Query1[[#This Row],[EntryDateTime]])</f>
        <v>44603</v>
      </c>
      <c r="I637" s="1">
        <f>IF(Query1[[#This Row],[ItemType]]="EVAP KIT SF GEN IV",Query1[[#This Row],[OrderQty]]+I636,I636)</f>
        <v>684</v>
      </c>
      <c r="J637" s="1">
        <f>IF(Query1[[#This Row],[ItemType]]="EVAP KIT UNIVERSAL",Query1[[#This Row],[OrderQty]]+J636,J636)</f>
        <v>362</v>
      </c>
      <c r="K637" s="1">
        <f>Query1[[#This Row],[SF Running Total]]+Query1[[#This Row],[UNIV Running Total]]</f>
        <v>1046</v>
      </c>
      <c r="L637">
        <f>VLOOKUP(Query1[[#This Row],[Description]],'kits to boards'!$B$2:$E$156,2,FALSE)</f>
        <v>830065</v>
      </c>
      <c r="M637">
        <f>VLOOKUP(Query1[[#This Row],[Description]],'kits to boards'!$B$2:$E$156,3,FALSE)</f>
        <v>0</v>
      </c>
      <c r="N637">
        <f>VLOOKUP(Query1[[#This Row],[Description]],'kits to boards'!$B$2:$E$156,4,FALSE)</f>
        <v>0</v>
      </c>
      <c r="O637" t="str">
        <f>CONCATENATE(Query1[[#This Row],[Description]]," - ",Query1[[#This Row],[MB1]]," - ",Query1[[#This Row],[MB2]]," - ",Query1[[#This Row],[MB3]])</f>
        <v>EVAP KIT 57 CHEV WO AC - 830065 - 0 - 0</v>
      </c>
    </row>
    <row r="638" spans="1:15" x14ac:dyDescent="0.25">
      <c r="A638" s="1">
        <v>910609</v>
      </c>
      <c r="B638" s="1" t="s">
        <v>120</v>
      </c>
      <c r="C638" s="1" t="s">
        <v>121</v>
      </c>
      <c r="D638" s="2">
        <v>44603.618948726849</v>
      </c>
      <c r="E638" s="1" t="s">
        <v>8</v>
      </c>
      <c r="F638" s="1">
        <v>1</v>
      </c>
      <c r="G638" s="1">
        <v>0</v>
      </c>
      <c r="H638" s="6">
        <f>INT(Query1[[#This Row],[EntryDateTime]])</f>
        <v>44603</v>
      </c>
      <c r="I638" s="1">
        <f>IF(Query1[[#This Row],[ItemType]]="EVAP KIT SF GEN IV",Query1[[#This Row],[OrderQty]]+I637,I637)</f>
        <v>685</v>
      </c>
      <c r="J638" s="1">
        <f>IF(Query1[[#This Row],[ItemType]]="EVAP KIT UNIVERSAL",Query1[[#This Row],[OrderQty]]+J637,J637)</f>
        <v>362</v>
      </c>
      <c r="K638" s="1">
        <f>Query1[[#This Row],[SF Running Total]]+Query1[[#This Row],[UNIV Running Total]]</f>
        <v>1047</v>
      </c>
      <c r="L638">
        <f>VLOOKUP(Query1[[#This Row],[Description]],'kits to boards'!$B$2:$E$156,2,FALSE)</f>
        <v>830014</v>
      </c>
      <c r="M638">
        <f>VLOOKUP(Query1[[#This Row],[Description]],'kits to boards'!$B$2:$E$156,3,FALSE)</f>
        <v>0</v>
      </c>
      <c r="N638">
        <f>VLOOKUP(Query1[[#This Row],[Description]],'kits to boards'!$B$2:$E$156,4,FALSE)</f>
        <v>0</v>
      </c>
      <c r="O638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639" spans="1:15" x14ac:dyDescent="0.25">
      <c r="A639" s="1">
        <v>910610</v>
      </c>
      <c r="B639" s="1" t="s">
        <v>152</v>
      </c>
      <c r="C639" s="1" t="s">
        <v>153</v>
      </c>
      <c r="D639" s="2">
        <v>44603.619393715278</v>
      </c>
      <c r="E639" s="1" t="s">
        <v>8</v>
      </c>
      <c r="F639" s="1">
        <v>1</v>
      </c>
      <c r="G639" s="1">
        <v>0</v>
      </c>
      <c r="H639" s="6">
        <f>INT(Query1[[#This Row],[EntryDateTime]])</f>
        <v>44603</v>
      </c>
      <c r="I639" s="1">
        <f>IF(Query1[[#This Row],[ItemType]]="EVAP KIT SF GEN IV",Query1[[#This Row],[OrderQty]]+I638,I638)</f>
        <v>686</v>
      </c>
      <c r="J639" s="1">
        <f>IF(Query1[[#This Row],[ItemType]]="EVAP KIT UNIVERSAL",Query1[[#This Row],[OrderQty]]+J638,J638)</f>
        <v>362</v>
      </c>
      <c r="K639" s="1">
        <f>Query1[[#This Row],[SF Running Total]]+Query1[[#This Row],[UNIV Running Total]]</f>
        <v>1048</v>
      </c>
      <c r="L639">
        <f>VLOOKUP(Query1[[#This Row],[Description]],'kits to boards'!$B$2:$E$156,2,FALSE)</f>
        <v>830034</v>
      </c>
      <c r="M639">
        <f>VLOOKUP(Query1[[#This Row],[Description]],'kits to boards'!$B$2:$E$156,3,FALSE)</f>
        <v>0</v>
      </c>
      <c r="N639">
        <f>VLOOKUP(Query1[[#This Row],[Description]],'kits to boards'!$B$2:$E$156,4,FALSE)</f>
        <v>0</v>
      </c>
      <c r="O639" t="str">
        <f>CONCATENATE(Query1[[#This Row],[Description]]," - ",Query1[[#This Row],[MB1]]," - ",Query1[[#This Row],[MB2]]," - ",Query1[[#This Row],[MB3]])</f>
        <v>EVAP KIT 64-67 GTO WO AC - 830034 - 0 - 0</v>
      </c>
    </row>
    <row r="640" spans="1:15" x14ac:dyDescent="0.25">
      <c r="A640" s="1">
        <v>910592</v>
      </c>
      <c r="B640" s="1" t="s">
        <v>96</v>
      </c>
      <c r="C640" s="1" t="s">
        <v>97</v>
      </c>
      <c r="D640" s="2">
        <v>44603.621614965276</v>
      </c>
      <c r="E640" s="1" t="s">
        <v>8</v>
      </c>
      <c r="F640" s="1">
        <v>1</v>
      </c>
      <c r="G640" s="1">
        <v>0</v>
      </c>
      <c r="H640" s="6">
        <f>INT(Query1[[#This Row],[EntryDateTime]])</f>
        <v>44603</v>
      </c>
      <c r="I640" s="1">
        <f>IF(Query1[[#This Row],[ItemType]]="EVAP KIT SF GEN IV",Query1[[#This Row],[OrderQty]]+I639,I639)</f>
        <v>687</v>
      </c>
      <c r="J640" s="1">
        <f>IF(Query1[[#This Row],[ItemType]]="EVAP KIT UNIVERSAL",Query1[[#This Row],[OrderQty]]+J639,J639)</f>
        <v>362</v>
      </c>
      <c r="K640" s="1">
        <f>Query1[[#This Row],[SF Running Total]]+Query1[[#This Row],[UNIV Running Total]]</f>
        <v>1049</v>
      </c>
      <c r="L640">
        <f>VLOOKUP(Query1[[#This Row],[Description]],'kits to boards'!$B$2:$E$156,2,FALSE)</f>
        <v>830004</v>
      </c>
      <c r="M640">
        <f>VLOOKUP(Query1[[#This Row],[Description]],'kits to boards'!$B$2:$E$156,3,FALSE)</f>
        <v>0</v>
      </c>
      <c r="N640">
        <f>VLOOKUP(Query1[[#This Row],[Description]],'kits to boards'!$B$2:$E$156,4,FALSE)</f>
        <v>0</v>
      </c>
      <c r="O640" t="str">
        <f>CONCATENATE(Query1[[#This Row],[Description]]," - ",Query1[[#This Row],[MB1]]," - ",Query1[[#This Row],[MB2]]," - ",Query1[[#This Row],[MB3]])</f>
        <v>EVAP KIT 81-87 CHEV P-UP W/AC - 830004 - 0 - 0</v>
      </c>
    </row>
    <row r="641" spans="1:15" x14ac:dyDescent="0.25">
      <c r="A641" s="1">
        <v>910592</v>
      </c>
      <c r="B641" s="1" t="s">
        <v>76</v>
      </c>
      <c r="C641" s="1" t="s">
        <v>77</v>
      </c>
      <c r="D641" s="2">
        <v>44603.62229806713</v>
      </c>
      <c r="E641" s="1" t="s">
        <v>11</v>
      </c>
      <c r="F641" s="1">
        <v>1</v>
      </c>
      <c r="G641" s="1">
        <v>0</v>
      </c>
      <c r="H641" s="6">
        <f>INT(Query1[[#This Row],[EntryDateTime]])</f>
        <v>44603</v>
      </c>
      <c r="I641" s="1">
        <f>IF(Query1[[#This Row],[ItemType]]="EVAP KIT SF GEN IV",Query1[[#This Row],[OrderQty]]+I640,I640)</f>
        <v>687</v>
      </c>
      <c r="J641" s="1">
        <f>IF(Query1[[#This Row],[ItemType]]="EVAP KIT UNIVERSAL",Query1[[#This Row],[OrderQty]]+J640,J640)</f>
        <v>363</v>
      </c>
      <c r="K641" s="1">
        <f>Query1[[#This Row],[SF Running Total]]+Query1[[#This Row],[UNIV Running Total]]</f>
        <v>1050</v>
      </c>
      <c r="L641">
        <f>VLOOKUP(Query1[[#This Row],[Description]],'kits to boards'!$B$2:$E$156,2,FALSE)</f>
        <v>830099</v>
      </c>
      <c r="M641">
        <f>VLOOKUP(Query1[[#This Row],[Description]],'kits to boards'!$B$2:$E$156,3,FALSE)</f>
        <v>0</v>
      </c>
      <c r="N641">
        <f>VLOOKUP(Query1[[#This Row],[Description]],'kits to boards'!$B$2:$E$156,4,FALSE)</f>
        <v>0</v>
      </c>
      <c r="O641" t="str">
        <f>CONCATENATE(Query1[[#This Row],[Description]]," - ",Query1[[#This Row],[MB1]]," - ",Query1[[#This Row],[MB2]]," - ",Query1[[#This Row],[MB3]])</f>
        <v>MINI GEN II H/C - 830099 - 0 - 0</v>
      </c>
    </row>
    <row r="642" spans="1:15" x14ac:dyDescent="0.25">
      <c r="A642" s="1">
        <v>910592</v>
      </c>
      <c r="B642" s="1" t="s">
        <v>98</v>
      </c>
      <c r="C642" s="1" t="s">
        <v>99</v>
      </c>
      <c r="D642" s="2">
        <v>44603.62641971065</v>
      </c>
      <c r="E642" s="1" t="s">
        <v>11</v>
      </c>
      <c r="F642" s="1">
        <v>1</v>
      </c>
      <c r="G642" s="1">
        <v>0</v>
      </c>
      <c r="H642" s="6">
        <f>INT(Query1[[#This Row],[EntryDateTime]])</f>
        <v>44603</v>
      </c>
      <c r="I642" s="1">
        <f>IF(Query1[[#This Row],[ItemType]]="EVAP KIT SF GEN IV",Query1[[#This Row],[OrderQty]]+I641,I641)</f>
        <v>687</v>
      </c>
      <c r="J642" s="1">
        <f>IF(Query1[[#This Row],[ItemType]]="EVAP KIT UNIVERSAL",Query1[[#This Row],[OrderQty]]+J641,J641)</f>
        <v>364</v>
      </c>
      <c r="K642" s="1">
        <f>Query1[[#This Row],[SF Running Total]]+Query1[[#This Row],[UNIV Running Total]]</f>
        <v>1051</v>
      </c>
      <c r="L642">
        <f>VLOOKUP(Query1[[#This Row],[Description]],'kits to boards'!$B$2:$E$156,2,FALSE)</f>
        <v>830099</v>
      </c>
      <c r="M642">
        <f>VLOOKUP(Query1[[#This Row],[Description]],'kits to boards'!$B$2:$E$156,3,FALSE)</f>
        <v>0</v>
      </c>
      <c r="N642">
        <f>VLOOKUP(Query1[[#This Row],[Description]],'kits to boards'!$B$2:$E$156,4,FALSE)</f>
        <v>0</v>
      </c>
      <c r="O642" t="str">
        <f>CONCATENATE(Query1[[#This Row],[Description]]," - ",Query1[[#This Row],[MB1]]," - ",Query1[[#This Row],[MB2]]," - ",Query1[[#This Row],[MB3]])</f>
        <v>MINI GEN II W/DEF - 830099 - 0 - 0</v>
      </c>
    </row>
    <row r="643" spans="1:15" x14ac:dyDescent="0.25">
      <c r="A643" s="1">
        <v>910613</v>
      </c>
      <c r="B643" s="1" t="s">
        <v>88</v>
      </c>
      <c r="C643" s="1" t="s">
        <v>89</v>
      </c>
      <c r="D643" s="2">
        <v>44603.627315509257</v>
      </c>
      <c r="E643" s="1" t="s">
        <v>8</v>
      </c>
      <c r="F643" s="1">
        <v>1</v>
      </c>
      <c r="G643" s="1">
        <v>0</v>
      </c>
      <c r="H643" s="6">
        <f>INT(Query1[[#This Row],[EntryDateTime]])</f>
        <v>44603</v>
      </c>
      <c r="I643" s="1">
        <f>IF(Query1[[#This Row],[ItemType]]="EVAP KIT SF GEN IV",Query1[[#This Row],[OrderQty]]+I642,I642)</f>
        <v>688</v>
      </c>
      <c r="J643" s="1">
        <f>IF(Query1[[#This Row],[ItemType]]="EVAP KIT UNIVERSAL",Query1[[#This Row],[OrderQty]]+J642,J642)</f>
        <v>364</v>
      </c>
      <c r="K643" s="1">
        <f>Query1[[#This Row],[SF Running Total]]+Query1[[#This Row],[UNIV Running Total]]</f>
        <v>1052</v>
      </c>
      <c r="L643">
        <f>VLOOKUP(Query1[[#This Row],[Description]],'kits to boards'!$B$2:$E$156,2,FALSE)</f>
        <v>830003</v>
      </c>
      <c r="M643">
        <f>VLOOKUP(Query1[[#This Row],[Description]],'kits to boards'!$B$2:$E$156,3,FALSE)</f>
        <v>0</v>
      </c>
      <c r="N643">
        <f>VLOOKUP(Query1[[#This Row],[Description]],'kits to boards'!$B$2:$E$156,4,FALSE)</f>
        <v>0</v>
      </c>
      <c r="O643" t="str">
        <f>CONCATENATE(Query1[[#This Row],[Description]]," - ",Query1[[#This Row],[MB1]]," - ",Query1[[#This Row],[MB2]]," - ",Query1[[#This Row],[MB3]])</f>
        <v>EVAP KIT 81-87 CHEV P-UP WO AC - 830003 - 0 - 0</v>
      </c>
    </row>
    <row r="644" spans="1:15" x14ac:dyDescent="0.25">
      <c r="A644" s="1">
        <v>910592</v>
      </c>
      <c r="B644" s="1" t="s">
        <v>22</v>
      </c>
      <c r="C644" s="1" t="s">
        <v>23</v>
      </c>
      <c r="D644" s="2">
        <v>44603.627668553243</v>
      </c>
      <c r="E644" s="1" t="s">
        <v>8</v>
      </c>
      <c r="F644" s="1">
        <v>1</v>
      </c>
      <c r="G644" s="1">
        <v>0</v>
      </c>
      <c r="H644" s="6">
        <f>INT(Query1[[#This Row],[EntryDateTime]])</f>
        <v>44603</v>
      </c>
      <c r="I644" s="1">
        <f>IF(Query1[[#This Row],[ItemType]]="EVAP KIT SF GEN IV",Query1[[#This Row],[OrderQty]]+I643,I643)</f>
        <v>689</v>
      </c>
      <c r="J644" s="1">
        <f>IF(Query1[[#This Row],[ItemType]]="EVAP KIT UNIVERSAL",Query1[[#This Row],[OrderQty]]+J643,J643)</f>
        <v>364</v>
      </c>
      <c r="K644" s="1">
        <f>Query1[[#This Row],[SF Running Total]]+Query1[[#This Row],[UNIV Running Total]]</f>
        <v>1053</v>
      </c>
      <c r="L644">
        <f>VLOOKUP(Query1[[#This Row],[Description]],'kits to boards'!$B$2:$E$156,2,FALSE)</f>
        <v>830083</v>
      </c>
      <c r="M644">
        <f>VLOOKUP(Query1[[#This Row],[Description]],'kits to boards'!$B$2:$E$156,3,FALSE)</f>
        <v>0</v>
      </c>
      <c r="N644">
        <f>VLOOKUP(Query1[[#This Row],[Description]],'kits to boards'!$B$2:$E$156,4,FALSE)</f>
        <v>0</v>
      </c>
      <c r="O644" t="str">
        <f>CONCATENATE(Query1[[#This Row],[Description]]," - ",Query1[[#This Row],[MB1]]," - ",Query1[[#This Row],[MB2]]," - ",Query1[[#This Row],[MB3]])</f>
        <v>GEN IV MAGNUM EVAP KIT - 830083 - 0 - 0</v>
      </c>
    </row>
    <row r="645" spans="1:15" x14ac:dyDescent="0.25">
      <c r="A645" s="1">
        <v>910592</v>
      </c>
      <c r="B645" s="1" t="s">
        <v>24</v>
      </c>
      <c r="C645" s="1" t="s">
        <v>25</v>
      </c>
      <c r="D645" s="2">
        <v>44603.627972025461</v>
      </c>
      <c r="E645" s="1" t="s">
        <v>11</v>
      </c>
      <c r="F645" s="1">
        <v>2</v>
      </c>
      <c r="G645" s="1">
        <v>0</v>
      </c>
      <c r="H645" s="6">
        <f>INT(Query1[[#This Row],[EntryDateTime]])</f>
        <v>44603</v>
      </c>
      <c r="I645" s="1">
        <f>IF(Query1[[#This Row],[ItemType]]="EVAP KIT SF GEN IV",Query1[[#This Row],[OrderQty]]+I644,I644)</f>
        <v>689</v>
      </c>
      <c r="J645" s="1">
        <f>IF(Query1[[#This Row],[ItemType]]="EVAP KIT UNIVERSAL",Query1[[#This Row],[OrderQty]]+J644,J644)</f>
        <v>366</v>
      </c>
      <c r="K645" s="1">
        <f>Query1[[#This Row],[SF Running Total]]+Query1[[#This Row],[UNIV Running Total]]</f>
        <v>1055</v>
      </c>
      <c r="L645">
        <f>VLOOKUP(Query1[[#This Row],[Description]],'kits to boards'!$B$2:$E$156,2,FALSE)</f>
        <v>830029</v>
      </c>
      <c r="M645">
        <f>VLOOKUP(Query1[[#This Row],[Description]],'kits to boards'!$B$2:$E$156,3,FALSE)</f>
        <v>830030</v>
      </c>
      <c r="N645">
        <f>VLOOKUP(Query1[[#This Row],[Description]],'kits to boards'!$B$2:$E$156,4,FALSE)</f>
        <v>0</v>
      </c>
      <c r="O645" t="str">
        <f>CONCATENATE(Query1[[#This Row],[Description]]," - ",Query1[[#This Row],[MB1]]," - ",Query1[[#This Row],[MB2]]," - ",Query1[[#This Row],[MB3]])</f>
        <v>ComPac GEN II W/DEF - 830029 - 830030 - 0</v>
      </c>
    </row>
    <row r="646" spans="1:15" x14ac:dyDescent="0.25">
      <c r="A646" s="1">
        <v>910615</v>
      </c>
      <c r="B646" s="1" t="s">
        <v>108</v>
      </c>
      <c r="C646" s="1" t="s">
        <v>109</v>
      </c>
      <c r="D646" s="2">
        <v>44603.63119378472</v>
      </c>
      <c r="E646" s="1" t="s">
        <v>8</v>
      </c>
      <c r="F646" s="1">
        <v>1</v>
      </c>
      <c r="G646" s="1">
        <v>0</v>
      </c>
      <c r="H646" s="6">
        <f>INT(Query1[[#This Row],[EntryDateTime]])</f>
        <v>44603</v>
      </c>
      <c r="I646" s="1">
        <f>IF(Query1[[#This Row],[ItemType]]="EVAP KIT SF GEN IV",Query1[[#This Row],[OrderQty]]+I645,I645)</f>
        <v>690</v>
      </c>
      <c r="J646" s="1">
        <f>IF(Query1[[#This Row],[ItemType]]="EVAP KIT UNIVERSAL",Query1[[#This Row],[OrderQty]]+J645,J645)</f>
        <v>366</v>
      </c>
      <c r="K646" s="1">
        <f>Query1[[#This Row],[SF Running Total]]+Query1[[#This Row],[UNIV Running Total]]</f>
        <v>1056</v>
      </c>
      <c r="L646">
        <f>VLOOKUP(Query1[[#This Row],[Description]],'kits to boards'!$B$2:$E$156,2,FALSE)</f>
        <v>830105</v>
      </c>
      <c r="M646">
        <f>VLOOKUP(Query1[[#This Row],[Description]],'kits to boards'!$B$2:$E$156,3,FALSE)</f>
        <v>830106</v>
      </c>
      <c r="N646">
        <f>VLOOKUP(Query1[[#This Row],[Description]],'kits to boards'!$B$2:$E$156,4,FALSE)</f>
        <v>0</v>
      </c>
      <c r="O646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647" spans="1:15" x14ac:dyDescent="0.25">
      <c r="A647" s="1">
        <v>910621</v>
      </c>
      <c r="B647" s="1" t="s">
        <v>52</v>
      </c>
      <c r="C647" s="1" t="s">
        <v>53</v>
      </c>
      <c r="D647" s="2">
        <v>44603.646402314815</v>
      </c>
      <c r="E647" s="1" t="s">
        <v>8</v>
      </c>
      <c r="F647" s="1">
        <v>1</v>
      </c>
      <c r="G647" s="1">
        <v>0</v>
      </c>
      <c r="H647" s="6">
        <f>INT(Query1[[#This Row],[EntryDateTime]])</f>
        <v>44603</v>
      </c>
      <c r="I647" s="1">
        <f>IF(Query1[[#This Row],[ItemType]]="EVAP KIT SF GEN IV",Query1[[#This Row],[OrderQty]]+I646,I646)</f>
        <v>691</v>
      </c>
      <c r="J647" s="1">
        <f>IF(Query1[[#This Row],[ItemType]]="EVAP KIT UNIVERSAL",Query1[[#This Row],[OrderQty]]+J646,J646)</f>
        <v>366</v>
      </c>
      <c r="K647" s="1">
        <f>Query1[[#This Row],[SF Running Total]]+Query1[[#This Row],[UNIV Running Total]]</f>
        <v>1057</v>
      </c>
      <c r="L647">
        <f>VLOOKUP(Query1[[#This Row],[Description]],'kits to boards'!$B$2:$E$156,2,FALSE)</f>
        <v>830017</v>
      </c>
      <c r="M647">
        <f>VLOOKUP(Query1[[#This Row],[Description]],'kits to boards'!$B$2:$E$156,3,FALSE)</f>
        <v>830119</v>
      </c>
      <c r="N647">
        <f>VLOOKUP(Query1[[#This Row],[Description]],'kits to boards'!$B$2:$E$156,4,FALSE)</f>
        <v>830120</v>
      </c>
      <c r="O647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648" spans="1:15" x14ac:dyDescent="0.25">
      <c r="A648" s="1">
        <v>910533</v>
      </c>
      <c r="B648" s="1" t="s">
        <v>108</v>
      </c>
      <c r="C648" s="1" t="s">
        <v>109</v>
      </c>
      <c r="D648" s="2">
        <v>44603.646507407408</v>
      </c>
      <c r="E648" s="1" t="s">
        <v>8</v>
      </c>
      <c r="F648" s="1">
        <v>1</v>
      </c>
      <c r="G648" s="1">
        <v>0</v>
      </c>
      <c r="H648" s="6">
        <f>INT(Query1[[#This Row],[EntryDateTime]])</f>
        <v>44603</v>
      </c>
      <c r="I648" s="1">
        <f>IF(Query1[[#This Row],[ItemType]]="EVAP KIT SF GEN IV",Query1[[#This Row],[OrderQty]]+I647,I647)</f>
        <v>692</v>
      </c>
      <c r="J648" s="1">
        <f>IF(Query1[[#This Row],[ItemType]]="EVAP KIT UNIVERSAL",Query1[[#This Row],[OrderQty]]+J647,J647)</f>
        <v>366</v>
      </c>
      <c r="K648" s="1">
        <f>Query1[[#This Row],[SF Running Total]]+Query1[[#This Row],[UNIV Running Total]]</f>
        <v>1058</v>
      </c>
      <c r="L648">
        <f>VLOOKUP(Query1[[#This Row],[Description]],'kits to boards'!$B$2:$E$156,2,FALSE)</f>
        <v>830105</v>
      </c>
      <c r="M648">
        <f>VLOOKUP(Query1[[#This Row],[Description]],'kits to boards'!$B$2:$E$156,3,FALSE)</f>
        <v>830106</v>
      </c>
      <c r="N648">
        <f>VLOOKUP(Query1[[#This Row],[Description]],'kits to boards'!$B$2:$E$156,4,FALSE)</f>
        <v>0</v>
      </c>
      <c r="O648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649" spans="1:15" x14ac:dyDescent="0.25">
      <c r="A649" s="1">
        <v>909535</v>
      </c>
      <c r="B649" s="1" t="s">
        <v>36</v>
      </c>
      <c r="C649" s="1" t="s">
        <v>37</v>
      </c>
      <c r="D649" s="2">
        <v>44603.649319293982</v>
      </c>
      <c r="E649" s="1" t="s">
        <v>8</v>
      </c>
      <c r="F649" s="1">
        <v>1</v>
      </c>
      <c r="G649" s="1">
        <v>0</v>
      </c>
      <c r="H649" s="6">
        <f>INT(Query1[[#This Row],[EntryDateTime]])</f>
        <v>44603</v>
      </c>
      <c r="I649" s="1">
        <f>IF(Query1[[#This Row],[ItemType]]="EVAP KIT SF GEN IV",Query1[[#This Row],[OrderQty]]+I648,I648)</f>
        <v>693</v>
      </c>
      <c r="J649" s="1">
        <f>IF(Query1[[#This Row],[ItemType]]="EVAP KIT UNIVERSAL",Query1[[#This Row],[OrderQty]]+J648,J648)</f>
        <v>366</v>
      </c>
      <c r="K649" s="1">
        <f>Query1[[#This Row],[SF Running Total]]+Query1[[#This Row],[UNIV Running Total]]</f>
        <v>1059</v>
      </c>
      <c r="L649">
        <f>VLOOKUP(Query1[[#This Row],[Description]],'kits to boards'!$B$2:$E$156,2,FALSE)</f>
        <v>830015</v>
      </c>
      <c r="M649">
        <f>VLOOKUP(Query1[[#This Row],[Description]],'kits to boards'!$B$2:$E$156,3,FALSE)</f>
        <v>0</v>
      </c>
      <c r="N649">
        <f>VLOOKUP(Query1[[#This Row],[Description]],'kits to boards'!$B$2:$E$156,4,FALSE)</f>
        <v>0</v>
      </c>
      <c r="O649" t="str">
        <f>CONCATENATE(Query1[[#This Row],[Description]]," - ",Query1[[#This Row],[MB1]]," - ",Query1[[#This Row],[MB2]]," - ",Query1[[#This Row],[MB3]])</f>
        <v>EVAP KIT 64-66 CHEV P-UP WO AC W/STD - 830015 - 0 - 0</v>
      </c>
    </row>
    <row r="650" spans="1:15" x14ac:dyDescent="0.25">
      <c r="A650" s="1">
        <v>910623</v>
      </c>
      <c r="B650" s="1" t="s">
        <v>62</v>
      </c>
      <c r="C650" s="1" t="s">
        <v>63</v>
      </c>
      <c r="D650" s="2">
        <v>44603.653656944443</v>
      </c>
      <c r="E650" s="1" t="s">
        <v>8</v>
      </c>
      <c r="F650" s="1">
        <v>1</v>
      </c>
      <c r="G650" s="1">
        <v>0</v>
      </c>
      <c r="H650" s="6">
        <f>INT(Query1[[#This Row],[EntryDateTime]])</f>
        <v>44603</v>
      </c>
      <c r="I650" s="1">
        <f>IF(Query1[[#This Row],[ItemType]]="EVAP KIT SF GEN IV",Query1[[#This Row],[OrderQty]]+I649,I649)</f>
        <v>694</v>
      </c>
      <c r="J650" s="1">
        <f>IF(Query1[[#This Row],[ItemType]]="EVAP KIT UNIVERSAL",Query1[[#This Row],[OrderQty]]+J649,J649)</f>
        <v>366</v>
      </c>
      <c r="K650" s="1">
        <f>Query1[[#This Row],[SF Running Total]]+Query1[[#This Row],[UNIV Running Total]]</f>
        <v>1060</v>
      </c>
      <c r="L650">
        <f>VLOOKUP(Query1[[#This Row],[Description]],'kits to boards'!$B$2:$E$156,2,FALSE)</f>
        <v>830079</v>
      </c>
      <c r="M650">
        <f>VLOOKUP(Query1[[#This Row],[Description]],'kits to boards'!$B$2:$E$156,3,FALSE)</f>
        <v>830046</v>
      </c>
      <c r="N650">
        <f>VLOOKUP(Query1[[#This Row],[Description]],'kits to boards'!$B$2:$E$156,4,FALSE)</f>
        <v>0</v>
      </c>
      <c r="O650" t="str">
        <f>CONCATENATE(Query1[[#This Row],[Description]]," - ",Query1[[#This Row],[MB1]]," - ",Query1[[#This Row],[MB2]]," - ",Query1[[#This Row],[MB3]])</f>
        <v>EVAP KIT 67-68 MUSTANG/COUGAR WO AC - 830079 - 830046 - 0</v>
      </c>
    </row>
    <row r="651" spans="1:15" x14ac:dyDescent="0.25">
      <c r="A651" s="1">
        <v>910624</v>
      </c>
      <c r="B651" s="1" t="s">
        <v>148</v>
      </c>
      <c r="C651" s="1" t="s">
        <v>149</v>
      </c>
      <c r="D651" s="2">
        <v>44603.65639556713</v>
      </c>
      <c r="E651" s="1" t="s">
        <v>8</v>
      </c>
      <c r="F651" s="1">
        <v>1</v>
      </c>
      <c r="G651" s="1">
        <v>0</v>
      </c>
      <c r="H651" s="6">
        <f>INT(Query1[[#This Row],[EntryDateTime]])</f>
        <v>44603</v>
      </c>
      <c r="I651" s="1">
        <f>IF(Query1[[#This Row],[ItemType]]="EVAP KIT SF GEN IV",Query1[[#This Row],[OrderQty]]+I650,I650)</f>
        <v>695</v>
      </c>
      <c r="J651" s="1">
        <f>IF(Query1[[#This Row],[ItemType]]="EVAP KIT UNIVERSAL",Query1[[#This Row],[OrderQty]]+J650,J650)</f>
        <v>366</v>
      </c>
      <c r="K651" s="1">
        <f>Query1[[#This Row],[SF Running Total]]+Query1[[#This Row],[UNIV Running Total]]</f>
        <v>1061</v>
      </c>
      <c r="L651">
        <f>VLOOKUP(Query1[[#This Row],[Description]],'kits to boards'!$B$2:$E$156,2,FALSE)</f>
        <v>830098</v>
      </c>
      <c r="M651">
        <f>VLOOKUP(Query1[[#This Row],[Description]],'kits to boards'!$B$2:$E$156,3,FALSE)</f>
        <v>0</v>
      </c>
      <c r="N651">
        <f>VLOOKUP(Query1[[#This Row],[Description]],'kits to boards'!$B$2:$E$156,4,FALSE)</f>
        <v>0</v>
      </c>
      <c r="O651" t="str">
        <f>CONCATENATE(Query1[[#This Row],[Description]]," - ",Query1[[#This Row],[MB1]]," - ",Query1[[#This Row],[MB2]]," - ",Query1[[#This Row],[MB3]])</f>
        <v>EVAP KIT 77 VETTE W/AC - 830098 - 0 - 0</v>
      </c>
    </row>
    <row r="652" spans="1:15" x14ac:dyDescent="0.25">
      <c r="A652" s="1">
        <v>910008</v>
      </c>
      <c r="B652" s="1" t="s">
        <v>140</v>
      </c>
      <c r="C652" s="1" t="s">
        <v>141</v>
      </c>
      <c r="D652" s="2">
        <v>44603.659239849534</v>
      </c>
      <c r="E652" s="1" t="s">
        <v>8</v>
      </c>
      <c r="F652" s="1">
        <v>1</v>
      </c>
      <c r="G652" s="1">
        <v>0</v>
      </c>
      <c r="H652" s="6">
        <f>INT(Query1[[#This Row],[EntryDateTime]])</f>
        <v>44603</v>
      </c>
      <c r="I652" s="1">
        <f>IF(Query1[[#This Row],[ItemType]]="EVAP KIT SF GEN IV",Query1[[#This Row],[OrderQty]]+I651,I651)</f>
        <v>696</v>
      </c>
      <c r="J652" s="1">
        <f>IF(Query1[[#This Row],[ItemType]]="EVAP KIT UNIVERSAL",Query1[[#This Row],[OrderQty]]+J651,J651)</f>
        <v>366</v>
      </c>
      <c r="K652" s="1">
        <f>Query1[[#This Row],[SF Running Total]]+Query1[[#This Row],[UNIV Running Total]]</f>
        <v>1062</v>
      </c>
      <c r="L652">
        <f>VLOOKUP(Query1[[#This Row],[Description]],'kits to boards'!$B$2:$E$156,2,FALSE)</f>
        <v>830066</v>
      </c>
      <c r="M652">
        <f>VLOOKUP(Query1[[#This Row],[Description]],'kits to boards'!$B$2:$E$156,3,FALSE)</f>
        <v>0</v>
      </c>
      <c r="N652">
        <f>VLOOKUP(Query1[[#This Row],[Description]],'kits to boards'!$B$2:$E$156,4,FALSE)</f>
        <v>0</v>
      </c>
      <c r="O652" t="str">
        <f>CONCATENATE(Query1[[#This Row],[Description]]," - ",Query1[[#This Row],[MB1]]," - ",Query1[[#This Row],[MB2]]," - ",Query1[[#This Row],[MB3]])</f>
        <v>EVAP KIT 60-63 CHEV P-UP WO AC - 830066 - 0 - 0</v>
      </c>
    </row>
    <row r="653" spans="1:15" x14ac:dyDescent="0.25">
      <c r="A653" s="1">
        <v>910627</v>
      </c>
      <c r="B653" s="1" t="s">
        <v>506</v>
      </c>
      <c r="C653" s="1" t="s">
        <v>507</v>
      </c>
      <c r="D653" s="2">
        <v>44603.660988657408</v>
      </c>
      <c r="E653" s="1" t="s">
        <v>677</v>
      </c>
      <c r="F653" s="1">
        <v>1</v>
      </c>
      <c r="G653" s="1">
        <v>0</v>
      </c>
      <c r="H653" s="6">
        <f>INT(Query1[[#This Row],[EntryDateTime]])</f>
        <v>44603</v>
      </c>
      <c r="I653" s="1">
        <f>IF(Query1[[#This Row],[ItemType]]="EVAP KIT SF GEN IV",Query1[[#This Row],[OrderQty]]+I652,I652)</f>
        <v>696</v>
      </c>
      <c r="J653" s="1">
        <f>IF(Query1[[#This Row],[ItemType]]="EVAP KIT UNIVERSAL",Query1[[#This Row],[OrderQty]]+J652,J652)</f>
        <v>366</v>
      </c>
      <c r="K653" s="1">
        <f>Query1[[#This Row],[SF Running Total]]+Query1[[#This Row],[UNIV Running Total]]</f>
        <v>1062</v>
      </c>
      <c r="L653" t="e">
        <f>VLOOKUP(Query1[[#This Row],[Description]],'kits to boards'!$B$2:$E$156,2,FALSE)</f>
        <v>#N/A</v>
      </c>
      <c r="M653" t="e">
        <f>VLOOKUP(Query1[[#This Row],[Description]],'kits to boards'!$B$2:$E$156,3,FALSE)</f>
        <v>#N/A</v>
      </c>
      <c r="N653" t="e">
        <f>VLOOKUP(Query1[[#This Row],[Description]],'kits to boards'!$B$2:$E$156,4,FALSE)</f>
        <v>#N/A</v>
      </c>
      <c r="O653" t="e">
        <f>CONCATENATE(Query1[[#This Row],[Description]]," - ",Query1[[#This Row],[MB1]]," - ",Query1[[#This Row],[MB2]]," - ",Query1[[#This Row],[MB3]])</f>
        <v>#N/A</v>
      </c>
    </row>
    <row r="654" spans="1:15" x14ac:dyDescent="0.25">
      <c r="A654" s="1">
        <v>910637</v>
      </c>
      <c r="B654" s="1" t="s">
        <v>14</v>
      </c>
      <c r="C654" s="1" t="s">
        <v>15</v>
      </c>
      <c r="D654" s="2">
        <v>44606.31034181713</v>
      </c>
      <c r="E654" s="1" t="s">
        <v>8</v>
      </c>
      <c r="F654" s="1">
        <v>2</v>
      </c>
      <c r="G654" s="1">
        <v>0</v>
      </c>
      <c r="H654" s="6">
        <f>INT(Query1[[#This Row],[EntryDateTime]])</f>
        <v>44606</v>
      </c>
      <c r="I654" s="1">
        <f>IF(Query1[[#This Row],[ItemType]]="EVAP KIT SF GEN IV",Query1[[#This Row],[OrderQty]]+I653,I653)</f>
        <v>698</v>
      </c>
      <c r="J654" s="1">
        <f>IF(Query1[[#This Row],[ItemType]]="EVAP KIT UNIVERSAL",Query1[[#This Row],[OrderQty]]+J653,J653)</f>
        <v>366</v>
      </c>
      <c r="K654" s="1">
        <f>Query1[[#This Row],[SF Running Total]]+Query1[[#This Row],[UNIV Running Total]]</f>
        <v>1064</v>
      </c>
      <c r="L654">
        <f>VLOOKUP(Query1[[#This Row],[Description]],'kits to boards'!$B$2:$E$156,2,FALSE)</f>
        <v>830054</v>
      </c>
      <c r="M654">
        <f>VLOOKUP(Query1[[#This Row],[Description]],'kits to boards'!$B$2:$E$156,3,FALSE)</f>
        <v>0</v>
      </c>
      <c r="N654">
        <f>VLOOKUP(Query1[[#This Row],[Description]],'kits to boards'!$B$2:$E$156,4,FALSE)</f>
        <v>0</v>
      </c>
      <c r="O654" t="str">
        <f>CONCATENATE(Query1[[#This Row],[Description]]," - ",Query1[[#This Row],[MB1]]," - ",Query1[[#This Row],[MB2]]," - ",Query1[[#This Row],[MB3]])</f>
        <v>EVAP KIT 55-56 CHEVY - 830054 - 0 - 0</v>
      </c>
    </row>
    <row r="655" spans="1:15" x14ac:dyDescent="0.25">
      <c r="A655" s="1">
        <v>910637</v>
      </c>
      <c r="B655" s="1" t="s">
        <v>74</v>
      </c>
      <c r="C655" s="1" t="s">
        <v>75</v>
      </c>
      <c r="D655" s="2">
        <v>44606.31034181713</v>
      </c>
      <c r="E655" s="1" t="s">
        <v>8</v>
      </c>
      <c r="F655" s="1">
        <v>3</v>
      </c>
      <c r="G655" s="1">
        <v>0</v>
      </c>
      <c r="H655" s="6">
        <f>INT(Query1[[#This Row],[EntryDateTime]])</f>
        <v>44606</v>
      </c>
      <c r="I655" s="1">
        <f>IF(Query1[[#This Row],[ItemType]]="EVAP KIT SF GEN IV",Query1[[#This Row],[OrderQty]]+I654,I654)</f>
        <v>701</v>
      </c>
      <c r="J655" s="1">
        <f>IF(Query1[[#This Row],[ItemType]]="EVAP KIT UNIVERSAL",Query1[[#This Row],[OrderQty]]+J654,J654)</f>
        <v>366</v>
      </c>
      <c r="K655" s="1">
        <f>Query1[[#This Row],[SF Running Total]]+Query1[[#This Row],[UNIV Running Total]]</f>
        <v>1067</v>
      </c>
      <c r="L655">
        <f>VLOOKUP(Query1[[#This Row],[Description]],'kits to boards'!$B$2:$E$156,2,FALSE)</f>
        <v>830065</v>
      </c>
      <c r="M655">
        <f>VLOOKUP(Query1[[#This Row],[Description]],'kits to boards'!$B$2:$E$156,3,FALSE)</f>
        <v>0</v>
      </c>
      <c r="N655">
        <f>VLOOKUP(Query1[[#This Row],[Description]],'kits to boards'!$B$2:$E$156,4,FALSE)</f>
        <v>0</v>
      </c>
      <c r="O655" t="str">
        <f>CONCATENATE(Query1[[#This Row],[Description]]," - ",Query1[[#This Row],[MB1]]," - ",Query1[[#This Row],[MB2]]," - ",Query1[[#This Row],[MB3]])</f>
        <v>EVAP KIT 57 CHEV WO AC 4-VENT PLENUM - 830065 - 0 - 0</v>
      </c>
    </row>
    <row r="656" spans="1:15" x14ac:dyDescent="0.25">
      <c r="A656" s="1">
        <v>910637</v>
      </c>
      <c r="B656" s="1" t="s">
        <v>154</v>
      </c>
      <c r="C656" s="1" t="s">
        <v>155</v>
      </c>
      <c r="D656" s="2">
        <v>44606.31034181713</v>
      </c>
      <c r="E656" s="1" t="s">
        <v>8</v>
      </c>
      <c r="F656" s="1">
        <v>2</v>
      </c>
      <c r="G656" s="1">
        <v>0</v>
      </c>
      <c r="H656" s="6">
        <f>INT(Query1[[#This Row],[EntryDateTime]])</f>
        <v>44606</v>
      </c>
      <c r="I656" s="1">
        <f>IF(Query1[[#This Row],[ItemType]]="EVAP KIT SF GEN IV",Query1[[#This Row],[OrderQty]]+I655,I655)</f>
        <v>703</v>
      </c>
      <c r="J656" s="1">
        <f>IF(Query1[[#This Row],[ItemType]]="EVAP KIT UNIVERSAL",Query1[[#This Row],[OrderQty]]+J655,J655)</f>
        <v>366</v>
      </c>
      <c r="K656" s="1">
        <f>Query1[[#This Row],[SF Running Total]]+Query1[[#This Row],[UNIV Running Total]]</f>
        <v>1069</v>
      </c>
      <c r="L656">
        <f>VLOOKUP(Query1[[#This Row],[Description]],'kits to boards'!$B$2:$E$156,2,FALSE)</f>
        <v>830124</v>
      </c>
      <c r="M656">
        <f>VLOOKUP(Query1[[#This Row],[Description]],'kits to boards'!$B$2:$E$156,3,FALSE)</f>
        <v>0</v>
      </c>
      <c r="N656">
        <f>VLOOKUP(Query1[[#This Row],[Description]],'kits to boards'!$B$2:$E$156,4,FALSE)</f>
        <v>0</v>
      </c>
      <c r="O656" t="str">
        <f>CONCATENATE(Query1[[#This Row],[Description]]," - ",Query1[[#This Row],[MB1]]," - ",Query1[[#This Row],[MB2]]," - ",Query1[[#This Row],[MB3]])</f>
        <v>EVAP KIT 69 GTO W/AC - 830124 - 0 - 0</v>
      </c>
    </row>
    <row r="657" spans="1:15" x14ac:dyDescent="0.25">
      <c r="A657" s="1">
        <v>910637</v>
      </c>
      <c r="B657" s="1" t="s">
        <v>64</v>
      </c>
      <c r="C657" s="1" t="s">
        <v>65</v>
      </c>
      <c r="D657" s="2">
        <v>44606.31034181713</v>
      </c>
      <c r="E657" s="1" t="s">
        <v>8</v>
      </c>
      <c r="F657" s="1">
        <v>2</v>
      </c>
      <c r="G657" s="1">
        <v>0</v>
      </c>
      <c r="H657" s="6">
        <f>INT(Query1[[#This Row],[EntryDateTime]])</f>
        <v>44606</v>
      </c>
      <c r="I657" s="1">
        <f>IF(Query1[[#This Row],[ItemType]]="EVAP KIT SF GEN IV",Query1[[#This Row],[OrderQty]]+I656,I656)</f>
        <v>705</v>
      </c>
      <c r="J657" s="1">
        <f>IF(Query1[[#This Row],[ItemType]]="EVAP KIT UNIVERSAL",Query1[[#This Row],[OrderQty]]+J656,J656)</f>
        <v>366</v>
      </c>
      <c r="K657" s="1">
        <f>Query1[[#This Row],[SF Running Total]]+Query1[[#This Row],[UNIV Running Total]]</f>
        <v>1071</v>
      </c>
      <c r="L657">
        <f>VLOOKUP(Query1[[#This Row],[Description]],'kits to boards'!$B$2:$E$156,2,FALSE)</f>
        <v>830067</v>
      </c>
      <c r="M657">
        <f>VLOOKUP(Query1[[#This Row],[Description]],'kits to boards'!$B$2:$E$156,3,FALSE)</f>
        <v>0</v>
      </c>
      <c r="N657">
        <f>VLOOKUP(Query1[[#This Row],[Description]],'kits to boards'!$B$2:$E$156,4,FALSE)</f>
        <v>0</v>
      </c>
      <c r="O657" t="str">
        <f>CONCATENATE(Query1[[#This Row],[Description]]," - ",Query1[[#This Row],[MB1]]," - ",Query1[[#This Row],[MB2]]," - ",Query1[[#This Row],[MB3]])</f>
        <v>EVAP KIT 59-60 CHEV CAR 4-LEVER - 830067 - 0 - 0</v>
      </c>
    </row>
    <row r="658" spans="1:15" x14ac:dyDescent="0.25">
      <c r="A658" s="1">
        <v>910637</v>
      </c>
      <c r="B658" s="1" t="s">
        <v>502</v>
      </c>
      <c r="C658" s="1" t="s">
        <v>503</v>
      </c>
      <c r="D658" s="2">
        <v>44606.31034181713</v>
      </c>
      <c r="E658" s="1" t="s">
        <v>677</v>
      </c>
      <c r="F658" s="1">
        <v>2</v>
      </c>
      <c r="G658" s="1">
        <v>0</v>
      </c>
      <c r="H658" s="6">
        <f>INT(Query1[[#This Row],[EntryDateTime]])</f>
        <v>44606</v>
      </c>
      <c r="I658" s="1">
        <f>IF(Query1[[#This Row],[ItemType]]="EVAP KIT SF GEN IV",Query1[[#This Row],[OrderQty]]+I657,I657)</f>
        <v>705</v>
      </c>
      <c r="J658" s="1">
        <f>IF(Query1[[#This Row],[ItemType]]="EVAP KIT UNIVERSAL",Query1[[#This Row],[OrderQty]]+J657,J657)</f>
        <v>366</v>
      </c>
      <c r="K658" s="1">
        <f>Query1[[#This Row],[SF Running Total]]+Query1[[#This Row],[UNIV Running Total]]</f>
        <v>1071</v>
      </c>
      <c r="L658" t="e">
        <f>VLOOKUP(Query1[[#This Row],[Description]],'kits to boards'!$B$2:$E$156,2,FALSE)</f>
        <v>#N/A</v>
      </c>
      <c r="M658" t="e">
        <f>VLOOKUP(Query1[[#This Row],[Description]],'kits to boards'!$B$2:$E$156,3,FALSE)</f>
        <v>#N/A</v>
      </c>
      <c r="N658" t="e">
        <f>VLOOKUP(Query1[[#This Row],[Description]],'kits to boards'!$B$2:$E$156,4,FALSE)</f>
        <v>#N/A</v>
      </c>
      <c r="O658" t="e">
        <f>CONCATENATE(Query1[[#This Row],[Description]]," - ",Query1[[#This Row],[MB1]]," - ",Query1[[#This Row],[MB2]]," - ",Query1[[#This Row],[MB3]])</f>
        <v>#N/A</v>
      </c>
    </row>
    <row r="659" spans="1:15" x14ac:dyDescent="0.25">
      <c r="A659" s="1">
        <v>909118</v>
      </c>
      <c r="B659" s="1" t="s">
        <v>22</v>
      </c>
      <c r="C659" s="1" t="s">
        <v>23</v>
      </c>
      <c r="D659" s="2">
        <v>44606.312236805556</v>
      </c>
      <c r="E659" s="1" t="s">
        <v>8</v>
      </c>
      <c r="F659" s="1">
        <v>1</v>
      </c>
      <c r="G659" s="1">
        <v>0</v>
      </c>
      <c r="H659" s="6">
        <f>INT(Query1[[#This Row],[EntryDateTime]])</f>
        <v>44606</v>
      </c>
      <c r="I659" s="1">
        <f>IF(Query1[[#This Row],[ItemType]]="EVAP KIT SF GEN IV",Query1[[#This Row],[OrderQty]]+I658,I658)</f>
        <v>706</v>
      </c>
      <c r="J659" s="1">
        <f>IF(Query1[[#This Row],[ItemType]]="EVAP KIT UNIVERSAL",Query1[[#This Row],[OrderQty]]+J658,J658)</f>
        <v>366</v>
      </c>
      <c r="K659" s="1">
        <f>Query1[[#This Row],[SF Running Total]]+Query1[[#This Row],[UNIV Running Total]]</f>
        <v>1072</v>
      </c>
      <c r="L659">
        <f>VLOOKUP(Query1[[#This Row],[Description]],'kits to boards'!$B$2:$E$156,2,FALSE)</f>
        <v>830083</v>
      </c>
      <c r="M659">
        <f>VLOOKUP(Query1[[#This Row],[Description]],'kits to boards'!$B$2:$E$156,3,FALSE)</f>
        <v>0</v>
      </c>
      <c r="N659">
        <f>VLOOKUP(Query1[[#This Row],[Description]],'kits to boards'!$B$2:$E$156,4,FALSE)</f>
        <v>0</v>
      </c>
      <c r="O659" t="str">
        <f>CONCATENATE(Query1[[#This Row],[Description]]," - ",Query1[[#This Row],[MB1]]," - ",Query1[[#This Row],[MB2]]," - ",Query1[[#This Row],[MB3]])</f>
        <v>GEN IV MAGNUM EVAP KIT - 830083 - 0 - 0</v>
      </c>
    </row>
    <row r="660" spans="1:15" x14ac:dyDescent="0.25">
      <c r="A660" s="1">
        <v>905038</v>
      </c>
      <c r="B660" s="1" t="s">
        <v>14</v>
      </c>
      <c r="C660" s="1" t="s">
        <v>15</v>
      </c>
      <c r="D660" s="2">
        <v>44606.313188541666</v>
      </c>
      <c r="E660" s="1" t="s">
        <v>8</v>
      </c>
      <c r="F660" s="1">
        <v>1</v>
      </c>
      <c r="G660" s="1">
        <v>0</v>
      </c>
      <c r="H660" s="6">
        <f>INT(Query1[[#This Row],[EntryDateTime]])</f>
        <v>44606</v>
      </c>
      <c r="I660" s="1">
        <f>IF(Query1[[#This Row],[ItemType]]="EVAP KIT SF GEN IV",Query1[[#This Row],[OrderQty]]+I659,I659)</f>
        <v>707</v>
      </c>
      <c r="J660" s="1">
        <f>IF(Query1[[#This Row],[ItemType]]="EVAP KIT UNIVERSAL",Query1[[#This Row],[OrderQty]]+J659,J659)</f>
        <v>366</v>
      </c>
      <c r="K660" s="1">
        <f>Query1[[#This Row],[SF Running Total]]+Query1[[#This Row],[UNIV Running Total]]</f>
        <v>1073</v>
      </c>
      <c r="L660">
        <f>VLOOKUP(Query1[[#This Row],[Description]],'kits to boards'!$B$2:$E$156,2,FALSE)</f>
        <v>830054</v>
      </c>
      <c r="M660">
        <f>VLOOKUP(Query1[[#This Row],[Description]],'kits to boards'!$B$2:$E$156,3,FALSE)</f>
        <v>0</v>
      </c>
      <c r="N660">
        <f>VLOOKUP(Query1[[#This Row],[Description]],'kits to boards'!$B$2:$E$156,4,FALSE)</f>
        <v>0</v>
      </c>
      <c r="O660" t="str">
        <f>CONCATENATE(Query1[[#This Row],[Description]]," - ",Query1[[#This Row],[MB1]]," - ",Query1[[#This Row],[MB2]]," - ",Query1[[#This Row],[MB3]])</f>
        <v>EVAP KIT 55-56 CHEVY - 830054 - 0 - 0</v>
      </c>
    </row>
    <row r="661" spans="1:15" x14ac:dyDescent="0.25">
      <c r="A661" s="1">
        <v>910641</v>
      </c>
      <c r="B661" s="1" t="s">
        <v>42</v>
      </c>
      <c r="C661" s="1" t="s">
        <v>43</v>
      </c>
      <c r="D661" s="2">
        <v>44606.32464082176</v>
      </c>
      <c r="E661" s="1" t="s">
        <v>8</v>
      </c>
      <c r="F661" s="1">
        <v>1</v>
      </c>
      <c r="G661" s="1">
        <v>0</v>
      </c>
      <c r="H661" s="6">
        <f>INT(Query1[[#This Row],[EntryDateTime]])</f>
        <v>44606</v>
      </c>
      <c r="I661" s="1">
        <f>IF(Query1[[#This Row],[ItemType]]="EVAP KIT SF GEN IV",Query1[[#This Row],[OrderQty]]+I660,I660)</f>
        <v>708</v>
      </c>
      <c r="J661" s="1">
        <f>IF(Query1[[#This Row],[ItemType]]="EVAP KIT UNIVERSAL",Query1[[#This Row],[OrderQty]]+J660,J660)</f>
        <v>366</v>
      </c>
      <c r="K661" s="1">
        <f>Query1[[#This Row],[SF Running Total]]+Query1[[#This Row],[UNIV Running Total]]</f>
        <v>1074</v>
      </c>
      <c r="L661">
        <f>VLOOKUP(Query1[[#This Row],[Description]],'kits to boards'!$B$2:$E$156,2,FALSE)</f>
        <v>830014</v>
      </c>
      <c r="M661">
        <f>VLOOKUP(Query1[[#This Row],[Description]],'kits to boards'!$B$2:$E$156,3,FALSE)</f>
        <v>0</v>
      </c>
      <c r="N661">
        <f>VLOOKUP(Query1[[#This Row],[Description]],'kits to boards'!$B$2:$E$156,4,FALSE)</f>
        <v>0</v>
      </c>
      <c r="O661" t="str">
        <f>CONCATENATE(Query1[[#This Row],[Description]]," - ",Query1[[#This Row],[MB1]]," - ",Query1[[#This Row],[MB2]]," - ",Query1[[#This Row],[MB3]])</f>
        <v>EVAP KIT 67-72 CHEV P-UP WO AC - 830014 - 0 - 0</v>
      </c>
    </row>
    <row r="662" spans="1:15" x14ac:dyDescent="0.25">
      <c r="A662" s="1">
        <v>910644</v>
      </c>
      <c r="B662" s="1" t="s">
        <v>66</v>
      </c>
      <c r="C662" s="1" t="s">
        <v>67</v>
      </c>
      <c r="D662" s="2">
        <v>44606.328600775465</v>
      </c>
      <c r="E662" s="1" t="s">
        <v>8</v>
      </c>
      <c r="F662" s="1">
        <v>1</v>
      </c>
      <c r="G662" s="1">
        <v>0</v>
      </c>
      <c r="H662" s="6">
        <f>INT(Query1[[#This Row],[EntryDateTime]])</f>
        <v>44606</v>
      </c>
      <c r="I662" s="1">
        <f>IF(Query1[[#This Row],[ItemType]]="EVAP KIT SF GEN IV",Query1[[#This Row],[OrderQty]]+I661,I661)</f>
        <v>709</v>
      </c>
      <c r="J662" s="1">
        <f>IF(Query1[[#This Row],[ItemType]]="EVAP KIT UNIVERSAL",Query1[[#This Row],[OrderQty]]+J661,J661)</f>
        <v>366</v>
      </c>
      <c r="K662" s="1">
        <f>Query1[[#This Row],[SF Running Total]]+Query1[[#This Row],[UNIV Running Total]]</f>
        <v>1075</v>
      </c>
      <c r="L662">
        <f>VLOOKUP(Query1[[#This Row],[Description]],'kits to boards'!$B$2:$E$156,2,FALSE)</f>
        <v>830060</v>
      </c>
      <c r="M662">
        <f>VLOOKUP(Query1[[#This Row],[Description]],'kits to boards'!$B$2:$E$156,3,FALSE)</f>
        <v>0</v>
      </c>
      <c r="N662">
        <f>VLOOKUP(Query1[[#This Row],[Description]],'kits to boards'!$B$2:$E$156,4,FALSE)</f>
        <v>0</v>
      </c>
      <c r="O662" t="str">
        <f>CONCATENATE(Query1[[#This Row],[Description]]," - ",Query1[[#This Row],[MB1]]," - ",Query1[[#This Row],[MB2]]," - ",Query1[[#This Row],[MB3]])</f>
        <v>EVAP KIT 66-67 CHEVELLE WO AC - 830060 - 0 - 0</v>
      </c>
    </row>
    <row r="663" spans="1:15" x14ac:dyDescent="0.25">
      <c r="A663" s="1">
        <v>910124</v>
      </c>
      <c r="B663" s="1" t="s">
        <v>52</v>
      </c>
      <c r="C663" s="1" t="s">
        <v>53</v>
      </c>
      <c r="D663" s="2">
        <v>44606.337673032409</v>
      </c>
      <c r="E663" s="1" t="s">
        <v>8</v>
      </c>
      <c r="F663" s="1">
        <v>1</v>
      </c>
      <c r="G663" s="1">
        <v>0</v>
      </c>
      <c r="H663" s="6">
        <f>INT(Query1[[#This Row],[EntryDateTime]])</f>
        <v>44606</v>
      </c>
      <c r="I663" s="1">
        <f>IF(Query1[[#This Row],[ItemType]]="EVAP KIT SF GEN IV",Query1[[#This Row],[OrderQty]]+I662,I662)</f>
        <v>710</v>
      </c>
      <c r="J663" s="1">
        <f>IF(Query1[[#This Row],[ItemType]]="EVAP KIT UNIVERSAL",Query1[[#This Row],[OrderQty]]+J662,J662)</f>
        <v>366</v>
      </c>
      <c r="K663" s="1">
        <f>Query1[[#This Row],[SF Running Total]]+Query1[[#This Row],[UNIV Running Total]]</f>
        <v>1076</v>
      </c>
      <c r="L663">
        <f>VLOOKUP(Query1[[#This Row],[Description]],'kits to boards'!$B$2:$E$156,2,FALSE)</f>
        <v>830017</v>
      </c>
      <c r="M663">
        <f>VLOOKUP(Query1[[#This Row],[Description]],'kits to boards'!$B$2:$E$156,3,FALSE)</f>
        <v>830119</v>
      </c>
      <c r="N663">
        <f>VLOOKUP(Query1[[#This Row],[Description]],'kits to boards'!$B$2:$E$156,4,FALSE)</f>
        <v>830120</v>
      </c>
      <c r="O663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664" spans="1:15" x14ac:dyDescent="0.25">
      <c r="A664" s="1">
        <v>910651</v>
      </c>
      <c r="B664" s="1" t="s">
        <v>42</v>
      </c>
      <c r="C664" s="1" t="s">
        <v>43</v>
      </c>
      <c r="D664" s="2">
        <v>44606.342854664355</v>
      </c>
      <c r="E664" s="1" t="s">
        <v>8</v>
      </c>
      <c r="F664" s="1">
        <v>1</v>
      </c>
      <c r="G664" s="1">
        <v>0</v>
      </c>
      <c r="H664" s="6">
        <f>INT(Query1[[#This Row],[EntryDateTime]])</f>
        <v>44606</v>
      </c>
      <c r="I664" s="1">
        <f>IF(Query1[[#This Row],[ItemType]]="EVAP KIT SF GEN IV",Query1[[#This Row],[OrderQty]]+I663,I663)</f>
        <v>711</v>
      </c>
      <c r="J664" s="1">
        <f>IF(Query1[[#This Row],[ItemType]]="EVAP KIT UNIVERSAL",Query1[[#This Row],[OrderQty]]+J663,J663)</f>
        <v>366</v>
      </c>
      <c r="K664" s="1">
        <f>Query1[[#This Row],[SF Running Total]]+Query1[[#This Row],[UNIV Running Total]]</f>
        <v>1077</v>
      </c>
      <c r="L664">
        <f>VLOOKUP(Query1[[#This Row],[Description]],'kits to boards'!$B$2:$E$156,2,FALSE)</f>
        <v>830014</v>
      </c>
      <c r="M664">
        <f>VLOOKUP(Query1[[#This Row],[Description]],'kits to boards'!$B$2:$E$156,3,FALSE)</f>
        <v>0</v>
      </c>
      <c r="N664">
        <f>VLOOKUP(Query1[[#This Row],[Description]],'kits to boards'!$B$2:$E$156,4,FALSE)</f>
        <v>0</v>
      </c>
      <c r="O664" t="str">
        <f>CONCATENATE(Query1[[#This Row],[Description]]," - ",Query1[[#This Row],[MB1]]," - ",Query1[[#This Row],[MB2]]," - ",Query1[[#This Row],[MB3]])</f>
        <v>EVAP KIT 67-72 CHEV P-UP WO AC - 830014 - 0 - 0</v>
      </c>
    </row>
    <row r="665" spans="1:15" x14ac:dyDescent="0.25">
      <c r="A665" s="1">
        <v>910650</v>
      </c>
      <c r="B665" s="1" t="s">
        <v>502</v>
      </c>
      <c r="C665" s="1" t="s">
        <v>503</v>
      </c>
      <c r="D665" s="2">
        <v>44606.344378622685</v>
      </c>
      <c r="E665" s="1" t="s">
        <v>677</v>
      </c>
      <c r="F665" s="1">
        <v>1</v>
      </c>
      <c r="G665" s="1">
        <v>0</v>
      </c>
      <c r="H665" s="6">
        <f>INT(Query1[[#This Row],[EntryDateTime]])</f>
        <v>44606</v>
      </c>
      <c r="I665" s="1">
        <f>IF(Query1[[#This Row],[ItemType]]="EVAP KIT SF GEN IV",Query1[[#This Row],[OrderQty]]+I664,I664)</f>
        <v>711</v>
      </c>
      <c r="J665" s="1">
        <f>IF(Query1[[#This Row],[ItemType]]="EVAP KIT UNIVERSAL",Query1[[#This Row],[OrderQty]]+J664,J664)</f>
        <v>366</v>
      </c>
      <c r="K665" s="1">
        <f>Query1[[#This Row],[SF Running Total]]+Query1[[#This Row],[UNIV Running Total]]</f>
        <v>1077</v>
      </c>
      <c r="L665" t="e">
        <f>VLOOKUP(Query1[[#This Row],[Description]],'kits to boards'!$B$2:$E$156,2,FALSE)</f>
        <v>#N/A</v>
      </c>
      <c r="M665" t="e">
        <f>VLOOKUP(Query1[[#This Row],[Description]],'kits to boards'!$B$2:$E$156,3,FALSE)</f>
        <v>#N/A</v>
      </c>
      <c r="N665" t="e">
        <f>VLOOKUP(Query1[[#This Row],[Description]],'kits to boards'!$B$2:$E$156,4,FALSE)</f>
        <v>#N/A</v>
      </c>
      <c r="O665" t="e">
        <f>CONCATENATE(Query1[[#This Row],[Description]]," - ",Query1[[#This Row],[MB1]]," - ",Query1[[#This Row],[MB2]]," - ",Query1[[#This Row],[MB3]])</f>
        <v>#N/A</v>
      </c>
    </row>
    <row r="666" spans="1:15" x14ac:dyDescent="0.25">
      <c r="A666" s="1">
        <v>910657</v>
      </c>
      <c r="B666" s="1" t="s">
        <v>156</v>
      </c>
      <c r="C666" s="1" t="s">
        <v>157</v>
      </c>
      <c r="D666" s="2">
        <v>44606.349941747685</v>
      </c>
      <c r="E666" s="1" t="s">
        <v>8</v>
      </c>
      <c r="F666" s="1">
        <v>1</v>
      </c>
      <c r="G666" s="1">
        <v>0</v>
      </c>
      <c r="H666" s="6">
        <f>INT(Query1[[#This Row],[EntryDateTime]])</f>
        <v>44606</v>
      </c>
      <c r="I666" s="1">
        <f>IF(Query1[[#This Row],[ItemType]]="EVAP KIT SF GEN IV",Query1[[#This Row],[OrderQty]]+I665,I665)</f>
        <v>712</v>
      </c>
      <c r="J666" s="1">
        <f>IF(Query1[[#This Row],[ItemType]]="EVAP KIT UNIVERSAL",Query1[[#This Row],[OrderQty]]+J665,J665)</f>
        <v>366</v>
      </c>
      <c r="K666" s="1">
        <f>Query1[[#This Row],[SF Running Total]]+Query1[[#This Row],[UNIV Running Total]]</f>
        <v>1078</v>
      </c>
      <c r="L666">
        <f>VLOOKUP(Query1[[#This Row],[Description]],'kits to boards'!$B$2:$E$156,2,FALSE)</f>
        <v>830019</v>
      </c>
      <c r="M666">
        <f>VLOOKUP(Query1[[#This Row],[Description]],'kits to boards'!$B$2:$E$156,3,FALSE)</f>
        <v>0</v>
      </c>
      <c r="N666">
        <f>VLOOKUP(Query1[[#This Row],[Description]],'kits to boards'!$B$2:$E$156,4,FALSE)</f>
        <v>0</v>
      </c>
      <c r="O666" t="str">
        <f>CONCATENATE(Query1[[#This Row],[Description]]," - ",Query1[[#This Row],[MB1]]," - ",Query1[[#This Row],[MB2]]," - ",Query1[[#This Row],[MB3]])</f>
        <v>EVAP KIT 70-81 FIREBIRD WO AC - 830019 - 0 - 0</v>
      </c>
    </row>
    <row r="667" spans="1:15" x14ac:dyDescent="0.25">
      <c r="A667" s="1">
        <v>910659</v>
      </c>
      <c r="B667" s="1" t="s">
        <v>42</v>
      </c>
      <c r="C667" s="1" t="s">
        <v>43</v>
      </c>
      <c r="D667" s="2">
        <v>44606.351606944445</v>
      </c>
      <c r="E667" s="1" t="s">
        <v>8</v>
      </c>
      <c r="F667" s="1">
        <v>1</v>
      </c>
      <c r="G667" s="1">
        <v>0</v>
      </c>
      <c r="H667" s="6">
        <f>INT(Query1[[#This Row],[EntryDateTime]])</f>
        <v>44606</v>
      </c>
      <c r="I667" s="1">
        <f>IF(Query1[[#This Row],[ItemType]]="EVAP KIT SF GEN IV",Query1[[#This Row],[OrderQty]]+I666,I666)</f>
        <v>713</v>
      </c>
      <c r="J667" s="1">
        <f>IF(Query1[[#This Row],[ItemType]]="EVAP KIT UNIVERSAL",Query1[[#This Row],[OrderQty]]+J666,J666)</f>
        <v>366</v>
      </c>
      <c r="K667" s="1">
        <f>Query1[[#This Row],[SF Running Total]]+Query1[[#This Row],[UNIV Running Total]]</f>
        <v>1079</v>
      </c>
      <c r="L667">
        <f>VLOOKUP(Query1[[#This Row],[Description]],'kits to boards'!$B$2:$E$156,2,FALSE)</f>
        <v>830014</v>
      </c>
      <c r="M667">
        <f>VLOOKUP(Query1[[#This Row],[Description]],'kits to boards'!$B$2:$E$156,3,FALSE)</f>
        <v>0</v>
      </c>
      <c r="N667">
        <f>VLOOKUP(Query1[[#This Row],[Description]],'kits to boards'!$B$2:$E$156,4,FALSE)</f>
        <v>0</v>
      </c>
      <c r="O667" t="str">
        <f>CONCATENATE(Query1[[#This Row],[Description]]," - ",Query1[[#This Row],[MB1]]," - ",Query1[[#This Row],[MB2]]," - ",Query1[[#This Row],[MB3]])</f>
        <v>EVAP KIT 67-72 CHEV P-UP WO AC - 830014 - 0 - 0</v>
      </c>
    </row>
    <row r="668" spans="1:15" x14ac:dyDescent="0.25">
      <c r="A668" s="1">
        <v>910670</v>
      </c>
      <c r="B668" s="1" t="s">
        <v>98</v>
      </c>
      <c r="C668" s="1" t="s">
        <v>99</v>
      </c>
      <c r="D668" s="2">
        <v>44606.364248611113</v>
      </c>
      <c r="E668" s="1" t="s">
        <v>11</v>
      </c>
      <c r="F668" s="1">
        <v>5</v>
      </c>
      <c r="G668" s="1">
        <v>0</v>
      </c>
      <c r="H668" s="6">
        <f>INT(Query1[[#This Row],[EntryDateTime]])</f>
        <v>44606</v>
      </c>
      <c r="I668" s="1">
        <f>IF(Query1[[#This Row],[ItemType]]="EVAP KIT SF GEN IV",Query1[[#This Row],[OrderQty]]+I667,I667)</f>
        <v>713</v>
      </c>
      <c r="J668" s="1">
        <f>IF(Query1[[#This Row],[ItemType]]="EVAP KIT UNIVERSAL",Query1[[#This Row],[OrderQty]]+J667,J667)</f>
        <v>371</v>
      </c>
      <c r="K668" s="1">
        <f>Query1[[#This Row],[SF Running Total]]+Query1[[#This Row],[UNIV Running Total]]</f>
        <v>1084</v>
      </c>
      <c r="L668">
        <f>VLOOKUP(Query1[[#This Row],[Description]],'kits to boards'!$B$2:$E$156,2,FALSE)</f>
        <v>830099</v>
      </c>
      <c r="M668">
        <f>VLOOKUP(Query1[[#This Row],[Description]],'kits to boards'!$B$2:$E$156,3,FALSE)</f>
        <v>0</v>
      </c>
      <c r="N668">
        <f>VLOOKUP(Query1[[#This Row],[Description]],'kits to boards'!$B$2:$E$156,4,FALSE)</f>
        <v>0</v>
      </c>
      <c r="O668" t="str">
        <f>CONCATENATE(Query1[[#This Row],[Description]]," - ",Query1[[#This Row],[MB1]]," - ",Query1[[#This Row],[MB2]]," - ",Query1[[#This Row],[MB3]])</f>
        <v>MINI GEN II W/DEF - 830099 - 0 - 0</v>
      </c>
    </row>
    <row r="669" spans="1:15" x14ac:dyDescent="0.25">
      <c r="A669" s="1">
        <v>910673</v>
      </c>
      <c r="B669" s="1" t="s">
        <v>42</v>
      </c>
      <c r="C669" s="1" t="s">
        <v>43</v>
      </c>
      <c r="D669" s="2">
        <v>44606.367337303243</v>
      </c>
      <c r="E669" s="1" t="s">
        <v>8</v>
      </c>
      <c r="F669" s="1">
        <v>1</v>
      </c>
      <c r="G669" s="1">
        <v>0</v>
      </c>
      <c r="H669" s="6">
        <f>INT(Query1[[#This Row],[EntryDateTime]])</f>
        <v>44606</v>
      </c>
      <c r="I669" s="1">
        <f>IF(Query1[[#This Row],[ItemType]]="EVAP KIT SF GEN IV",Query1[[#This Row],[OrderQty]]+I668,I668)</f>
        <v>714</v>
      </c>
      <c r="J669" s="1">
        <f>IF(Query1[[#This Row],[ItemType]]="EVAP KIT UNIVERSAL",Query1[[#This Row],[OrderQty]]+J668,J668)</f>
        <v>371</v>
      </c>
      <c r="K669" s="1">
        <f>Query1[[#This Row],[SF Running Total]]+Query1[[#This Row],[UNIV Running Total]]</f>
        <v>1085</v>
      </c>
      <c r="L669">
        <f>VLOOKUP(Query1[[#This Row],[Description]],'kits to boards'!$B$2:$E$156,2,FALSE)</f>
        <v>830014</v>
      </c>
      <c r="M669">
        <f>VLOOKUP(Query1[[#This Row],[Description]],'kits to boards'!$B$2:$E$156,3,FALSE)</f>
        <v>0</v>
      </c>
      <c r="N669">
        <f>VLOOKUP(Query1[[#This Row],[Description]],'kits to boards'!$B$2:$E$156,4,FALSE)</f>
        <v>0</v>
      </c>
      <c r="O669" t="str">
        <f>CONCATENATE(Query1[[#This Row],[Description]]," - ",Query1[[#This Row],[MB1]]," - ",Query1[[#This Row],[MB2]]," - ",Query1[[#This Row],[MB3]])</f>
        <v>EVAP KIT 67-72 CHEV P-UP WO AC - 830014 - 0 - 0</v>
      </c>
    </row>
    <row r="670" spans="1:15" x14ac:dyDescent="0.25">
      <c r="A670" s="1">
        <v>910673</v>
      </c>
      <c r="B670" s="1" t="s">
        <v>106</v>
      </c>
      <c r="C670" s="1" t="s">
        <v>107</v>
      </c>
      <c r="D670" s="2">
        <v>44606.36826570602</v>
      </c>
      <c r="E670" s="1" t="s">
        <v>8</v>
      </c>
      <c r="F670" s="1">
        <v>1</v>
      </c>
      <c r="G670" s="1">
        <v>0</v>
      </c>
      <c r="H670" s="6">
        <f>INT(Query1[[#This Row],[EntryDateTime]])</f>
        <v>44606</v>
      </c>
      <c r="I670" s="1">
        <f>IF(Query1[[#This Row],[ItemType]]="EVAP KIT SF GEN IV",Query1[[#This Row],[OrderQty]]+I669,I669)</f>
        <v>715</v>
      </c>
      <c r="J670" s="1">
        <f>IF(Query1[[#This Row],[ItemType]]="EVAP KIT UNIVERSAL",Query1[[#This Row],[OrderQty]]+J669,J669)</f>
        <v>371</v>
      </c>
      <c r="K670" s="1">
        <f>Query1[[#This Row],[SF Running Total]]+Query1[[#This Row],[UNIV Running Total]]</f>
        <v>1086</v>
      </c>
      <c r="L670">
        <f>VLOOKUP(Query1[[#This Row],[Description]],'kits to boards'!$B$2:$E$156,2,FALSE)</f>
        <v>830028</v>
      </c>
      <c r="M670">
        <f>VLOOKUP(Query1[[#This Row],[Description]],'kits to boards'!$B$2:$E$156,3,FALSE)</f>
        <v>0</v>
      </c>
      <c r="N670">
        <f>VLOOKUP(Query1[[#This Row],[Description]],'kits to boards'!$B$2:$E$156,4,FALSE)</f>
        <v>0</v>
      </c>
      <c r="O670" t="str">
        <f>CONCATENATE(Query1[[#This Row],[Description]]," - ",Query1[[#This Row],[MB1]]," - ",Query1[[#This Row],[MB2]]," - ",Query1[[#This Row],[MB3]])</f>
        <v>EVAP KIT 55-59 CHEV P-UP WO AC W/DELX - 830028 - 0 - 0</v>
      </c>
    </row>
    <row r="671" spans="1:15" x14ac:dyDescent="0.25">
      <c r="A671" s="1">
        <v>910674</v>
      </c>
      <c r="B671" s="1" t="s">
        <v>6</v>
      </c>
      <c r="C671" s="1" t="s">
        <v>7</v>
      </c>
      <c r="D671" s="2">
        <v>44606.368436377314</v>
      </c>
      <c r="E671" s="1" t="s">
        <v>8</v>
      </c>
      <c r="F671" s="1">
        <v>1</v>
      </c>
      <c r="G671" s="1">
        <v>0</v>
      </c>
      <c r="H671" s="6">
        <f>INT(Query1[[#This Row],[EntryDateTime]])</f>
        <v>44606</v>
      </c>
      <c r="I671" s="1">
        <f>IF(Query1[[#This Row],[ItemType]]="EVAP KIT SF GEN IV",Query1[[#This Row],[OrderQty]]+I670,I670)</f>
        <v>716</v>
      </c>
      <c r="J671" s="1">
        <f>IF(Query1[[#This Row],[ItemType]]="EVAP KIT UNIVERSAL",Query1[[#This Row],[OrderQty]]+J670,J670)</f>
        <v>371</v>
      </c>
      <c r="K671" s="1">
        <f>Query1[[#This Row],[SF Running Total]]+Query1[[#This Row],[UNIV Running Total]]</f>
        <v>1087</v>
      </c>
      <c r="L671">
        <f>VLOOKUP(Query1[[#This Row],[Description]],'kits to boards'!$B$2:$E$156,2,FALSE)</f>
        <v>830132</v>
      </c>
      <c r="M671">
        <f>VLOOKUP(Query1[[#This Row],[Description]],'kits to boards'!$B$2:$E$156,3,FALSE)</f>
        <v>0</v>
      </c>
      <c r="N671">
        <f>VLOOKUP(Query1[[#This Row],[Description]],'kits to boards'!$B$2:$E$156,4,FALSE)</f>
        <v>0</v>
      </c>
      <c r="O671" t="str">
        <f>CONCATENATE(Query1[[#This Row],[Description]]," - ",Query1[[#This Row],[MB1]]," - ",Query1[[#This Row],[MB2]]," - ",Query1[[#This Row],[MB3]])</f>
        <v>EVAP KIT 82-88 MONTE CARLO/EL CAMINO - 830132 - 0 - 0</v>
      </c>
    </row>
    <row r="672" spans="1:15" x14ac:dyDescent="0.25">
      <c r="A672" s="1">
        <v>910681</v>
      </c>
      <c r="B672" s="1" t="s">
        <v>132</v>
      </c>
      <c r="C672" s="1" t="s">
        <v>133</v>
      </c>
      <c r="D672" s="2">
        <v>44606.374429629628</v>
      </c>
      <c r="E672" s="1" t="s">
        <v>8</v>
      </c>
      <c r="F672" s="1">
        <v>1</v>
      </c>
      <c r="G672" s="1">
        <v>0</v>
      </c>
      <c r="H672" s="6">
        <f>INT(Query1[[#This Row],[EntryDateTime]])</f>
        <v>44606</v>
      </c>
      <c r="I672" s="1">
        <f>IF(Query1[[#This Row],[ItemType]]="EVAP KIT SF GEN IV",Query1[[#This Row],[OrderQty]]+I671,I671)</f>
        <v>717</v>
      </c>
      <c r="J672" s="1">
        <f>IF(Query1[[#This Row],[ItemType]]="EVAP KIT UNIVERSAL",Query1[[#This Row],[OrderQty]]+J671,J671)</f>
        <v>371</v>
      </c>
      <c r="K672" s="1">
        <f>Query1[[#This Row],[SF Running Total]]+Query1[[#This Row],[UNIV Running Total]]</f>
        <v>1088</v>
      </c>
      <c r="L672">
        <f>VLOOKUP(Query1[[#This Row],[Description]],'kits to boards'!$B$2:$E$156,2,FALSE)</f>
        <v>830005</v>
      </c>
      <c r="M672">
        <f>VLOOKUP(Query1[[#This Row],[Description]],'kits to boards'!$B$2:$E$156,3,FALSE)</f>
        <v>0</v>
      </c>
      <c r="N672">
        <f>VLOOKUP(Query1[[#This Row],[Description]],'kits to boards'!$B$2:$E$156,4,FALSE)</f>
        <v>0</v>
      </c>
      <c r="O672" t="str">
        <f>CONCATENATE(Query1[[#This Row],[Description]]," - ",Query1[[#This Row],[MB1]]," - ",Query1[[#This Row],[MB2]]," - ",Query1[[#This Row],[MB3]])</f>
        <v>EVAP KIT 61-62 IMPALA WO AC - 830005 - 0 - 0</v>
      </c>
    </row>
    <row r="673" spans="1:15" x14ac:dyDescent="0.25">
      <c r="A673" s="1">
        <v>910677</v>
      </c>
      <c r="B673" s="1" t="s">
        <v>74</v>
      </c>
      <c r="C673" s="1" t="s">
        <v>75</v>
      </c>
      <c r="D673" s="2">
        <v>44606.376013657406</v>
      </c>
      <c r="E673" s="1" t="s">
        <v>8</v>
      </c>
      <c r="F673" s="1">
        <v>1</v>
      </c>
      <c r="G673" s="1">
        <v>0</v>
      </c>
      <c r="H673" s="6">
        <f>INT(Query1[[#This Row],[EntryDateTime]])</f>
        <v>44606</v>
      </c>
      <c r="I673" s="1">
        <f>IF(Query1[[#This Row],[ItemType]]="EVAP KIT SF GEN IV",Query1[[#This Row],[OrderQty]]+I672,I672)</f>
        <v>718</v>
      </c>
      <c r="J673" s="1">
        <f>IF(Query1[[#This Row],[ItemType]]="EVAP KIT UNIVERSAL",Query1[[#This Row],[OrderQty]]+J672,J672)</f>
        <v>371</v>
      </c>
      <c r="K673" s="1">
        <f>Query1[[#This Row],[SF Running Total]]+Query1[[#This Row],[UNIV Running Total]]</f>
        <v>1089</v>
      </c>
      <c r="L673">
        <f>VLOOKUP(Query1[[#This Row],[Description]],'kits to boards'!$B$2:$E$156,2,FALSE)</f>
        <v>830065</v>
      </c>
      <c r="M673">
        <f>VLOOKUP(Query1[[#This Row],[Description]],'kits to boards'!$B$2:$E$156,3,FALSE)</f>
        <v>0</v>
      </c>
      <c r="N673">
        <f>VLOOKUP(Query1[[#This Row],[Description]],'kits to boards'!$B$2:$E$156,4,FALSE)</f>
        <v>0</v>
      </c>
      <c r="O673" t="str">
        <f>CONCATENATE(Query1[[#This Row],[Description]]," - ",Query1[[#This Row],[MB1]]," - ",Query1[[#This Row],[MB2]]," - ",Query1[[#This Row],[MB3]])</f>
        <v>EVAP KIT 57 CHEV WO AC 4-VENT PLENUM - 830065 - 0 - 0</v>
      </c>
    </row>
    <row r="674" spans="1:15" x14ac:dyDescent="0.25">
      <c r="A674" s="1">
        <v>910686</v>
      </c>
      <c r="B674" s="1" t="s">
        <v>74</v>
      </c>
      <c r="C674" s="1" t="s">
        <v>75</v>
      </c>
      <c r="D674" s="2">
        <v>44606.378679780093</v>
      </c>
      <c r="E674" s="1" t="s">
        <v>8</v>
      </c>
      <c r="F674" s="1">
        <v>1</v>
      </c>
      <c r="G674" s="1">
        <v>0</v>
      </c>
      <c r="H674" s="6">
        <f>INT(Query1[[#This Row],[EntryDateTime]])</f>
        <v>44606</v>
      </c>
      <c r="I674" s="1">
        <f>IF(Query1[[#This Row],[ItemType]]="EVAP KIT SF GEN IV",Query1[[#This Row],[OrderQty]]+I673,I673)</f>
        <v>719</v>
      </c>
      <c r="J674" s="1">
        <f>IF(Query1[[#This Row],[ItemType]]="EVAP KIT UNIVERSAL",Query1[[#This Row],[OrderQty]]+J673,J673)</f>
        <v>371</v>
      </c>
      <c r="K674" s="1">
        <f>Query1[[#This Row],[SF Running Total]]+Query1[[#This Row],[UNIV Running Total]]</f>
        <v>1090</v>
      </c>
      <c r="L674">
        <f>VLOOKUP(Query1[[#This Row],[Description]],'kits to boards'!$B$2:$E$156,2,FALSE)</f>
        <v>830065</v>
      </c>
      <c r="M674">
        <f>VLOOKUP(Query1[[#This Row],[Description]],'kits to boards'!$B$2:$E$156,3,FALSE)</f>
        <v>0</v>
      </c>
      <c r="N674">
        <f>VLOOKUP(Query1[[#This Row],[Description]],'kits to boards'!$B$2:$E$156,4,FALSE)</f>
        <v>0</v>
      </c>
      <c r="O674" t="str">
        <f>CONCATENATE(Query1[[#This Row],[Description]]," - ",Query1[[#This Row],[MB1]]," - ",Query1[[#This Row],[MB2]]," - ",Query1[[#This Row],[MB3]])</f>
        <v>EVAP KIT 57 CHEV WO AC 4-VENT PLENUM - 830065 - 0 - 0</v>
      </c>
    </row>
    <row r="675" spans="1:15" x14ac:dyDescent="0.25">
      <c r="A675" s="1">
        <v>910690</v>
      </c>
      <c r="B675" s="1" t="s">
        <v>32</v>
      </c>
      <c r="C675" s="1" t="s">
        <v>33</v>
      </c>
      <c r="D675" s="2">
        <v>44606.381344293979</v>
      </c>
      <c r="E675" s="1" t="s">
        <v>8</v>
      </c>
      <c r="F675" s="1">
        <v>1</v>
      </c>
      <c r="G675" s="1">
        <v>0</v>
      </c>
      <c r="H675" s="6">
        <f>INT(Query1[[#This Row],[EntryDateTime]])</f>
        <v>44606</v>
      </c>
      <c r="I675" s="1">
        <f>IF(Query1[[#This Row],[ItemType]]="EVAP KIT SF GEN IV",Query1[[#This Row],[OrderQty]]+I674,I674)</f>
        <v>720</v>
      </c>
      <c r="J675" s="1">
        <f>IF(Query1[[#This Row],[ItemType]]="EVAP KIT UNIVERSAL",Query1[[#This Row],[OrderQty]]+J674,J674)</f>
        <v>371</v>
      </c>
      <c r="K675" s="1">
        <f>Query1[[#This Row],[SF Running Total]]+Query1[[#This Row],[UNIV Running Total]]</f>
        <v>1091</v>
      </c>
      <c r="L675">
        <f>VLOOKUP(Query1[[#This Row],[Description]],'kits to boards'!$B$2:$E$156,2,FALSE)</f>
        <v>830016</v>
      </c>
      <c r="M675">
        <f>VLOOKUP(Query1[[#This Row],[Description]],'kits to boards'!$B$2:$E$156,3,FALSE)</f>
        <v>0</v>
      </c>
      <c r="N675">
        <f>VLOOKUP(Query1[[#This Row],[Description]],'kits to boards'!$B$2:$E$156,4,FALSE)</f>
        <v>0</v>
      </c>
      <c r="O675" t="str">
        <f>CONCATENATE(Query1[[#This Row],[Description]]," - ",Query1[[#This Row],[MB1]]," - ",Query1[[#This Row],[MB2]]," - ",Query1[[#This Row],[MB3]])</f>
        <v>EVAP KIT 67-68 CAMARO/FIREBIRD W/AC - 830016 - 0 - 0</v>
      </c>
    </row>
    <row r="676" spans="1:15" x14ac:dyDescent="0.25">
      <c r="A676" s="1">
        <v>910688</v>
      </c>
      <c r="B676" s="1" t="s">
        <v>36</v>
      </c>
      <c r="C676" s="1" t="s">
        <v>37</v>
      </c>
      <c r="D676" s="2">
        <v>44606.38164684028</v>
      </c>
      <c r="E676" s="1" t="s">
        <v>8</v>
      </c>
      <c r="F676" s="1">
        <v>1</v>
      </c>
      <c r="G676" s="1">
        <v>0</v>
      </c>
      <c r="H676" s="6">
        <f>INT(Query1[[#This Row],[EntryDateTime]])</f>
        <v>44606</v>
      </c>
      <c r="I676" s="1">
        <f>IF(Query1[[#This Row],[ItemType]]="EVAP KIT SF GEN IV",Query1[[#This Row],[OrderQty]]+I675,I675)</f>
        <v>721</v>
      </c>
      <c r="J676" s="1">
        <f>IF(Query1[[#This Row],[ItemType]]="EVAP KIT UNIVERSAL",Query1[[#This Row],[OrderQty]]+J675,J675)</f>
        <v>371</v>
      </c>
      <c r="K676" s="1">
        <f>Query1[[#This Row],[SF Running Total]]+Query1[[#This Row],[UNIV Running Total]]</f>
        <v>1092</v>
      </c>
      <c r="L676">
        <f>VLOOKUP(Query1[[#This Row],[Description]],'kits to boards'!$B$2:$E$156,2,FALSE)</f>
        <v>830015</v>
      </c>
      <c r="M676">
        <f>VLOOKUP(Query1[[#This Row],[Description]],'kits to boards'!$B$2:$E$156,3,FALSE)</f>
        <v>0</v>
      </c>
      <c r="N676">
        <f>VLOOKUP(Query1[[#This Row],[Description]],'kits to boards'!$B$2:$E$156,4,FALSE)</f>
        <v>0</v>
      </c>
      <c r="O676" t="str">
        <f>CONCATENATE(Query1[[#This Row],[Description]]," - ",Query1[[#This Row],[MB1]]," - ",Query1[[#This Row],[MB2]]," - ",Query1[[#This Row],[MB3]])</f>
        <v>EVAP KIT 64-66 CHEV P-UP WO AC W/STD - 830015 - 0 - 0</v>
      </c>
    </row>
    <row r="677" spans="1:15" x14ac:dyDescent="0.25">
      <c r="A677" s="1">
        <v>910693</v>
      </c>
      <c r="B677" s="1" t="s">
        <v>26</v>
      </c>
      <c r="C677" s="1" t="s">
        <v>27</v>
      </c>
      <c r="D677" s="2">
        <v>44606.384399918985</v>
      </c>
      <c r="E677" s="1" t="s">
        <v>8</v>
      </c>
      <c r="F677" s="1">
        <v>1</v>
      </c>
      <c r="G677" s="1">
        <v>0</v>
      </c>
      <c r="H677" s="6">
        <f>INT(Query1[[#This Row],[EntryDateTime]])</f>
        <v>44606</v>
      </c>
      <c r="I677" s="1">
        <f>IF(Query1[[#This Row],[ItemType]]="EVAP KIT SF GEN IV",Query1[[#This Row],[OrderQty]]+I676,I676)</f>
        <v>722</v>
      </c>
      <c r="J677" s="1">
        <f>IF(Query1[[#This Row],[ItemType]]="EVAP KIT UNIVERSAL",Query1[[#This Row],[OrderQty]]+J676,J676)</f>
        <v>371</v>
      </c>
      <c r="K677" s="1">
        <f>Query1[[#This Row],[SF Running Total]]+Query1[[#This Row],[UNIV Running Total]]</f>
        <v>1093</v>
      </c>
      <c r="L677">
        <f>VLOOKUP(Query1[[#This Row],[Description]],'kits to boards'!$B$2:$E$156,2,FALSE)</f>
        <v>830013</v>
      </c>
      <c r="M677">
        <f>VLOOKUP(Query1[[#This Row],[Description]],'kits to boards'!$B$2:$E$156,3,FALSE)</f>
        <v>0</v>
      </c>
      <c r="N677">
        <f>VLOOKUP(Query1[[#This Row],[Description]],'kits to boards'!$B$2:$E$156,4,FALSE)</f>
        <v>0</v>
      </c>
      <c r="O677" t="str">
        <f>CONCATENATE(Query1[[#This Row],[Description]]," - ",Query1[[#This Row],[MB1]]," - ",Query1[[#This Row],[MB2]]," - ",Query1[[#This Row],[MB3]])</f>
        <v>EVAP KIT 67-72 CHEV P-UP W/AC - 830013 - 0 - 0</v>
      </c>
    </row>
    <row r="678" spans="1:15" x14ac:dyDescent="0.25">
      <c r="A678" s="1">
        <v>910698</v>
      </c>
      <c r="B678" s="1" t="s">
        <v>132</v>
      </c>
      <c r="C678" s="1" t="s">
        <v>133</v>
      </c>
      <c r="D678" s="2">
        <v>44606.387963923611</v>
      </c>
      <c r="E678" s="1" t="s">
        <v>8</v>
      </c>
      <c r="F678" s="1">
        <v>1</v>
      </c>
      <c r="G678" s="1">
        <v>0</v>
      </c>
      <c r="H678" s="6">
        <f>INT(Query1[[#This Row],[EntryDateTime]])</f>
        <v>44606</v>
      </c>
      <c r="I678" s="1">
        <f>IF(Query1[[#This Row],[ItemType]]="EVAP KIT SF GEN IV",Query1[[#This Row],[OrderQty]]+I677,I677)</f>
        <v>723</v>
      </c>
      <c r="J678" s="1">
        <f>IF(Query1[[#This Row],[ItemType]]="EVAP KIT UNIVERSAL",Query1[[#This Row],[OrderQty]]+J677,J677)</f>
        <v>371</v>
      </c>
      <c r="K678" s="1">
        <f>Query1[[#This Row],[SF Running Total]]+Query1[[#This Row],[UNIV Running Total]]</f>
        <v>1094</v>
      </c>
      <c r="L678">
        <f>VLOOKUP(Query1[[#This Row],[Description]],'kits to boards'!$B$2:$E$156,2,FALSE)</f>
        <v>830005</v>
      </c>
      <c r="M678">
        <f>VLOOKUP(Query1[[#This Row],[Description]],'kits to boards'!$B$2:$E$156,3,FALSE)</f>
        <v>0</v>
      </c>
      <c r="N678">
        <f>VLOOKUP(Query1[[#This Row],[Description]],'kits to boards'!$B$2:$E$156,4,FALSE)</f>
        <v>0</v>
      </c>
      <c r="O678" t="str">
        <f>CONCATENATE(Query1[[#This Row],[Description]]," - ",Query1[[#This Row],[MB1]]," - ",Query1[[#This Row],[MB2]]," - ",Query1[[#This Row],[MB3]])</f>
        <v>EVAP KIT 61-62 IMPALA WO AC - 830005 - 0 - 0</v>
      </c>
    </row>
    <row r="679" spans="1:15" x14ac:dyDescent="0.25">
      <c r="A679" s="1">
        <v>910691</v>
      </c>
      <c r="B679" s="1" t="s">
        <v>44</v>
      </c>
      <c r="C679" s="1" t="s">
        <v>45</v>
      </c>
      <c r="D679" s="2">
        <v>44606.391093900464</v>
      </c>
      <c r="E679" s="1" t="s">
        <v>8</v>
      </c>
      <c r="F679" s="1">
        <v>1</v>
      </c>
      <c r="G679" s="1">
        <v>0</v>
      </c>
      <c r="H679" s="6">
        <f>INT(Query1[[#This Row],[EntryDateTime]])</f>
        <v>44606</v>
      </c>
      <c r="I679" s="1">
        <f>IF(Query1[[#This Row],[ItemType]]="EVAP KIT SF GEN IV",Query1[[#This Row],[OrderQty]]+I678,I678)</f>
        <v>724</v>
      </c>
      <c r="J679" s="1">
        <f>IF(Query1[[#This Row],[ItemType]]="EVAP KIT UNIVERSAL",Query1[[#This Row],[OrderQty]]+J678,J678)</f>
        <v>371</v>
      </c>
      <c r="K679" s="1">
        <f>Query1[[#This Row],[SF Running Total]]+Query1[[#This Row],[UNIV Running Total]]</f>
        <v>1095</v>
      </c>
      <c r="L679">
        <f>VLOOKUP(Query1[[#This Row],[Description]],'kits to boards'!$B$2:$E$156,2,FALSE)</f>
        <v>830085</v>
      </c>
      <c r="M679">
        <f>VLOOKUP(Query1[[#This Row],[Description]],'kits to boards'!$B$2:$E$156,3,FALSE)</f>
        <v>0</v>
      </c>
      <c r="N679">
        <f>VLOOKUP(Query1[[#This Row],[Description]],'kits to boards'!$B$2:$E$156,4,FALSE)</f>
        <v>0</v>
      </c>
      <c r="O679" t="str">
        <f>CONCATENATE(Query1[[#This Row],[Description]]," - ",Query1[[#This Row],[MB1]]," - ",Query1[[#This Row],[MB2]]," - ",Query1[[#This Row],[MB3]])</f>
        <v>EVAP KIT 66-77 BRONCO - 830085 - 0 - 0</v>
      </c>
    </row>
    <row r="680" spans="1:15" x14ac:dyDescent="0.25">
      <c r="A680" s="1">
        <v>910703</v>
      </c>
      <c r="B680" s="1" t="s">
        <v>54</v>
      </c>
      <c r="C680" s="1" t="s">
        <v>55</v>
      </c>
      <c r="D680" s="2">
        <v>44606.394115081021</v>
      </c>
      <c r="E680" s="1" t="s">
        <v>8</v>
      </c>
      <c r="F680" s="1">
        <v>1</v>
      </c>
      <c r="G680" s="1">
        <v>0</v>
      </c>
      <c r="H680" s="6">
        <f>INT(Query1[[#This Row],[EntryDateTime]])</f>
        <v>44606</v>
      </c>
      <c r="I680" s="1">
        <f>IF(Query1[[#This Row],[ItemType]]="EVAP KIT SF GEN IV",Query1[[#This Row],[OrderQty]]+I679,I679)</f>
        <v>725</v>
      </c>
      <c r="J680" s="1">
        <f>IF(Query1[[#This Row],[ItemType]]="EVAP KIT UNIVERSAL",Query1[[#This Row],[OrderQty]]+J679,J679)</f>
        <v>371</v>
      </c>
      <c r="K680" s="1">
        <f>Query1[[#This Row],[SF Running Total]]+Query1[[#This Row],[UNIV Running Total]]</f>
        <v>1096</v>
      </c>
      <c r="L680">
        <f>VLOOKUP(Query1[[#This Row],[Description]],'kits to boards'!$B$2:$E$156,2,FALSE)</f>
        <v>830037</v>
      </c>
      <c r="M680">
        <f>VLOOKUP(Query1[[#This Row],[Description]],'kits to boards'!$B$2:$E$156,3,FALSE)</f>
        <v>0</v>
      </c>
      <c r="N680">
        <f>VLOOKUP(Query1[[#This Row],[Description]],'kits to boards'!$B$2:$E$156,4,FALSE)</f>
        <v>0</v>
      </c>
      <c r="O680" t="str">
        <f>CONCATENATE(Query1[[#This Row],[Description]]," - ",Query1[[#This Row],[MB1]]," - ",Query1[[#This Row],[MB2]]," - ",Query1[[#This Row],[MB3]])</f>
        <v>EVAP KIT 70-81 FIREBIRD W/AC - 830037 - 0 - 0</v>
      </c>
    </row>
    <row r="681" spans="1:15" x14ac:dyDescent="0.25">
      <c r="A681" s="1">
        <v>910684</v>
      </c>
      <c r="B681" s="1" t="s">
        <v>60</v>
      </c>
      <c r="C681" s="1" t="s">
        <v>61</v>
      </c>
      <c r="D681" s="2">
        <v>44606.394889351854</v>
      </c>
      <c r="E681" s="1" t="s">
        <v>8</v>
      </c>
      <c r="F681" s="1">
        <v>1</v>
      </c>
      <c r="G681" s="1">
        <v>0</v>
      </c>
      <c r="H681" s="6">
        <f>INT(Query1[[#This Row],[EntryDateTime]])</f>
        <v>44606</v>
      </c>
      <c r="I681" s="1">
        <f>IF(Query1[[#This Row],[ItemType]]="EVAP KIT SF GEN IV",Query1[[#This Row],[OrderQty]]+I680,I680)</f>
        <v>726</v>
      </c>
      <c r="J681" s="1">
        <f>IF(Query1[[#This Row],[ItemType]]="EVAP KIT UNIVERSAL",Query1[[#This Row],[OrderQty]]+J680,J680)</f>
        <v>371</v>
      </c>
      <c r="K681" s="1">
        <f>Query1[[#This Row],[SF Running Total]]+Query1[[#This Row],[UNIV Running Total]]</f>
        <v>1097</v>
      </c>
      <c r="L681">
        <f>VLOOKUP(Query1[[#This Row],[Description]],'kits to boards'!$B$2:$E$156,2,FALSE)</f>
        <v>830062</v>
      </c>
      <c r="M681">
        <f>VLOOKUP(Query1[[#This Row],[Description]],'kits to boards'!$B$2:$E$156,3,FALSE)</f>
        <v>0</v>
      </c>
      <c r="N681">
        <f>VLOOKUP(Query1[[#This Row],[Description]],'kits to boards'!$B$2:$E$156,4,FALSE)</f>
        <v>0</v>
      </c>
      <c r="O681" t="str">
        <f>CONCATENATE(Query1[[#This Row],[Description]]," - ",Query1[[#This Row],[MB1]]," - ",Query1[[#This Row],[MB2]]," - ",Query1[[#This Row],[MB3]])</f>
        <v>EVAP KIT 68-69 CHEVELLE WO AC - 830062 - 0 - 0</v>
      </c>
    </row>
    <row r="682" spans="1:15" x14ac:dyDescent="0.25">
      <c r="A682" s="1">
        <v>910705</v>
      </c>
      <c r="B682" s="1" t="s">
        <v>6</v>
      </c>
      <c r="C682" s="1" t="s">
        <v>7</v>
      </c>
      <c r="D682" s="2">
        <v>44606.394953275463</v>
      </c>
      <c r="E682" s="1" t="s">
        <v>8</v>
      </c>
      <c r="F682" s="1">
        <v>1</v>
      </c>
      <c r="G682" s="1">
        <v>0</v>
      </c>
      <c r="H682" s="6">
        <f>INT(Query1[[#This Row],[EntryDateTime]])</f>
        <v>44606</v>
      </c>
      <c r="I682" s="1">
        <f>IF(Query1[[#This Row],[ItemType]]="EVAP KIT SF GEN IV",Query1[[#This Row],[OrderQty]]+I681,I681)</f>
        <v>727</v>
      </c>
      <c r="J682" s="1">
        <f>IF(Query1[[#This Row],[ItemType]]="EVAP KIT UNIVERSAL",Query1[[#This Row],[OrderQty]]+J681,J681)</f>
        <v>371</v>
      </c>
      <c r="K682" s="1">
        <f>Query1[[#This Row],[SF Running Total]]+Query1[[#This Row],[UNIV Running Total]]</f>
        <v>1098</v>
      </c>
      <c r="L682">
        <f>VLOOKUP(Query1[[#This Row],[Description]],'kits to boards'!$B$2:$E$156,2,FALSE)</f>
        <v>830132</v>
      </c>
      <c r="M682">
        <f>VLOOKUP(Query1[[#This Row],[Description]],'kits to boards'!$B$2:$E$156,3,FALSE)</f>
        <v>0</v>
      </c>
      <c r="N682">
        <f>VLOOKUP(Query1[[#This Row],[Description]],'kits to boards'!$B$2:$E$156,4,FALSE)</f>
        <v>0</v>
      </c>
      <c r="O682" t="str">
        <f>CONCATENATE(Query1[[#This Row],[Description]]," - ",Query1[[#This Row],[MB1]]," - ",Query1[[#This Row],[MB2]]," - ",Query1[[#This Row],[MB3]])</f>
        <v>EVAP KIT 82-88 MONTE CARLO/EL CAMINO - 830132 - 0 - 0</v>
      </c>
    </row>
    <row r="683" spans="1:15" x14ac:dyDescent="0.25">
      <c r="A683" s="1">
        <v>910712</v>
      </c>
      <c r="B683" s="1" t="s">
        <v>42</v>
      </c>
      <c r="C683" s="1" t="s">
        <v>43</v>
      </c>
      <c r="D683" s="2">
        <v>44606.398854710649</v>
      </c>
      <c r="E683" s="1" t="s">
        <v>8</v>
      </c>
      <c r="F683" s="1">
        <v>1</v>
      </c>
      <c r="G683" s="1">
        <v>0</v>
      </c>
      <c r="H683" s="6">
        <f>INT(Query1[[#This Row],[EntryDateTime]])</f>
        <v>44606</v>
      </c>
      <c r="I683" s="1">
        <f>IF(Query1[[#This Row],[ItemType]]="EVAP KIT SF GEN IV",Query1[[#This Row],[OrderQty]]+I682,I682)</f>
        <v>728</v>
      </c>
      <c r="J683" s="1">
        <f>IF(Query1[[#This Row],[ItemType]]="EVAP KIT UNIVERSAL",Query1[[#This Row],[OrderQty]]+J682,J682)</f>
        <v>371</v>
      </c>
      <c r="K683" s="1">
        <f>Query1[[#This Row],[SF Running Total]]+Query1[[#This Row],[UNIV Running Total]]</f>
        <v>1099</v>
      </c>
      <c r="L683">
        <f>VLOOKUP(Query1[[#This Row],[Description]],'kits to boards'!$B$2:$E$156,2,FALSE)</f>
        <v>830014</v>
      </c>
      <c r="M683">
        <f>VLOOKUP(Query1[[#This Row],[Description]],'kits to boards'!$B$2:$E$156,3,FALSE)</f>
        <v>0</v>
      </c>
      <c r="N683">
        <f>VLOOKUP(Query1[[#This Row],[Description]],'kits to boards'!$B$2:$E$156,4,FALSE)</f>
        <v>0</v>
      </c>
      <c r="O683" t="str">
        <f>CONCATENATE(Query1[[#This Row],[Description]]," - ",Query1[[#This Row],[MB1]]," - ",Query1[[#This Row],[MB2]]," - ",Query1[[#This Row],[MB3]])</f>
        <v>EVAP KIT 67-72 CHEV P-UP WO AC - 830014 - 0 - 0</v>
      </c>
    </row>
    <row r="684" spans="1:15" x14ac:dyDescent="0.25">
      <c r="A684" s="1">
        <v>910713</v>
      </c>
      <c r="B684" s="1" t="s">
        <v>6</v>
      </c>
      <c r="C684" s="1" t="s">
        <v>7</v>
      </c>
      <c r="D684" s="2">
        <v>44606.398961770836</v>
      </c>
      <c r="E684" s="1" t="s">
        <v>8</v>
      </c>
      <c r="F684" s="1">
        <v>1</v>
      </c>
      <c r="G684" s="1">
        <v>0</v>
      </c>
      <c r="H684" s="6">
        <f>INT(Query1[[#This Row],[EntryDateTime]])</f>
        <v>44606</v>
      </c>
      <c r="I684" s="1">
        <f>IF(Query1[[#This Row],[ItemType]]="EVAP KIT SF GEN IV",Query1[[#This Row],[OrderQty]]+I683,I683)</f>
        <v>729</v>
      </c>
      <c r="J684" s="1">
        <f>IF(Query1[[#This Row],[ItemType]]="EVAP KIT UNIVERSAL",Query1[[#This Row],[OrderQty]]+J683,J683)</f>
        <v>371</v>
      </c>
      <c r="K684" s="1">
        <f>Query1[[#This Row],[SF Running Total]]+Query1[[#This Row],[UNIV Running Total]]</f>
        <v>1100</v>
      </c>
      <c r="L684">
        <f>VLOOKUP(Query1[[#This Row],[Description]],'kits to boards'!$B$2:$E$156,2,FALSE)</f>
        <v>830132</v>
      </c>
      <c r="M684">
        <f>VLOOKUP(Query1[[#This Row],[Description]],'kits to boards'!$B$2:$E$156,3,FALSE)</f>
        <v>0</v>
      </c>
      <c r="N684">
        <f>VLOOKUP(Query1[[#This Row],[Description]],'kits to boards'!$B$2:$E$156,4,FALSE)</f>
        <v>0</v>
      </c>
      <c r="O684" t="str">
        <f>CONCATENATE(Query1[[#This Row],[Description]]," - ",Query1[[#This Row],[MB1]]," - ",Query1[[#This Row],[MB2]]," - ",Query1[[#This Row],[MB3]])</f>
        <v>EVAP KIT 82-88 MONTE CARLO/EL CAMINO - 830132 - 0 - 0</v>
      </c>
    </row>
    <row r="685" spans="1:15" x14ac:dyDescent="0.25">
      <c r="A685" s="1">
        <v>910717</v>
      </c>
      <c r="B685" s="1" t="s">
        <v>102</v>
      </c>
      <c r="C685" s="1" t="s">
        <v>103</v>
      </c>
      <c r="D685" s="2">
        <v>44606.405016932869</v>
      </c>
      <c r="E685" s="1" t="s">
        <v>8</v>
      </c>
      <c r="F685" s="1">
        <v>1</v>
      </c>
      <c r="G685" s="1">
        <v>0</v>
      </c>
      <c r="H685" s="6">
        <f>INT(Query1[[#This Row],[EntryDateTime]])</f>
        <v>44606</v>
      </c>
      <c r="I685" s="1">
        <f>IF(Query1[[#This Row],[ItemType]]="EVAP KIT SF GEN IV",Query1[[#This Row],[OrderQty]]+I684,I684)</f>
        <v>730</v>
      </c>
      <c r="J685" s="1">
        <f>IF(Query1[[#This Row],[ItemType]]="EVAP KIT UNIVERSAL",Query1[[#This Row],[OrderQty]]+J684,J684)</f>
        <v>371</v>
      </c>
      <c r="K685" s="1">
        <f>Query1[[#This Row],[SF Running Total]]+Query1[[#This Row],[UNIV Running Total]]</f>
        <v>1101</v>
      </c>
      <c r="L685">
        <f>VLOOKUP(Query1[[#This Row],[Description]],'kits to boards'!$B$2:$E$156,2,FALSE)</f>
        <v>830012</v>
      </c>
      <c r="M685">
        <f>VLOOKUP(Query1[[#This Row],[Description]],'kits to boards'!$B$2:$E$156,3,FALSE)</f>
        <v>0</v>
      </c>
      <c r="N685">
        <f>VLOOKUP(Query1[[#This Row],[Description]],'kits to boards'!$B$2:$E$156,4,FALSE)</f>
        <v>0</v>
      </c>
      <c r="O685" t="str">
        <f>CONCATENATE(Query1[[#This Row],[Description]]," - ",Query1[[#This Row],[MB1]]," - ",Query1[[#This Row],[MB2]]," - ",Query1[[#This Row],[MB3]])</f>
        <v>EVAP KIT 69 CAMARO WO/AC - 830012 - 0 - 0</v>
      </c>
    </row>
    <row r="686" spans="1:15" x14ac:dyDescent="0.25">
      <c r="A686" s="1">
        <v>910699</v>
      </c>
      <c r="B686" s="1" t="s">
        <v>24</v>
      </c>
      <c r="C686" s="1" t="s">
        <v>25</v>
      </c>
      <c r="D686" s="2">
        <v>44606.407002118052</v>
      </c>
      <c r="E686" s="1" t="s">
        <v>11</v>
      </c>
      <c r="F686" s="1">
        <v>3</v>
      </c>
      <c r="G686" s="1">
        <v>0</v>
      </c>
      <c r="H686" s="6">
        <f>INT(Query1[[#This Row],[EntryDateTime]])</f>
        <v>44606</v>
      </c>
      <c r="I686" s="1">
        <f>IF(Query1[[#This Row],[ItemType]]="EVAP KIT SF GEN IV",Query1[[#This Row],[OrderQty]]+I685,I685)</f>
        <v>730</v>
      </c>
      <c r="J686" s="1">
        <f>IF(Query1[[#This Row],[ItemType]]="EVAP KIT UNIVERSAL",Query1[[#This Row],[OrderQty]]+J685,J685)</f>
        <v>374</v>
      </c>
      <c r="K686" s="1">
        <f>Query1[[#This Row],[SF Running Total]]+Query1[[#This Row],[UNIV Running Total]]</f>
        <v>1104</v>
      </c>
      <c r="L686">
        <f>VLOOKUP(Query1[[#This Row],[Description]],'kits to boards'!$B$2:$E$156,2,FALSE)</f>
        <v>830029</v>
      </c>
      <c r="M686">
        <f>VLOOKUP(Query1[[#This Row],[Description]],'kits to boards'!$B$2:$E$156,3,FALSE)</f>
        <v>830030</v>
      </c>
      <c r="N686">
        <f>VLOOKUP(Query1[[#This Row],[Description]],'kits to boards'!$B$2:$E$156,4,FALSE)</f>
        <v>0</v>
      </c>
      <c r="O686" t="str">
        <f>CONCATENATE(Query1[[#This Row],[Description]]," - ",Query1[[#This Row],[MB1]]," - ",Query1[[#This Row],[MB2]]," - ",Query1[[#This Row],[MB3]])</f>
        <v>ComPac GEN II W/DEF - 830029 - 830030 - 0</v>
      </c>
    </row>
    <row r="687" spans="1:15" x14ac:dyDescent="0.25">
      <c r="A687" s="1">
        <v>910699</v>
      </c>
      <c r="B687" s="1" t="s">
        <v>22</v>
      </c>
      <c r="C687" s="1" t="s">
        <v>23</v>
      </c>
      <c r="D687" s="2">
        <v>44606.407225960647</v>
      </c>
      <c r="E687" s="1" t="s">
        <v>8</v>
      </c>
      <c r="F687" s="1">
        <v>5</v>
      </c>
      <c r="G687" s="1">
        <v>0</v>
      </c>
      <c r="H687" s="6">
        <f>INT(Query1[[#This Row],[EntryDateTime]])</f>
        <v>44606</v>
      </c>
      <c r="I687" s="1">
        <f>IF(Query1[[#This Row],[ItemType]]="EVAP KIT SF GEN IV",Query1[[#This Row],[OrderQty]]+I686,I686)</f>
        <v>735</v>
      </c>
      <c r="J687" s="1">
        <f>IF(Query1[[#This Row],[ItemType]]="EVAP KIT UNIVERSAL",Query1[[#This Row],[OrderQty]]+J686,J686)</f>
        <v>374</v>
      </c>
      <c r="K687" s="1">
        <f>Query1[[#This Row],[SF Running Total]]+Query1[[#This Row],[UNIV Running Total]]</f>
        <v>1109</v>
      </c>
      <c r="L687">
        <f>VLOOKUP(Query1[[#This Row],[Description]],'kits to boards'!$B$2:$E$156,2,FALSE)</f>
        <v>830083</v>
      </c>
      <c r="M687">
        <f>VLOOKUP(Query1[[#This Row],[Description]],'kits to boards'!$B$2:$E$156,3,FALSE)</f>
        <v>0</v>
      </c>
      <c r="N687">
        <f>VLOOKUP(Query1[[#This Row],[Description]],'kits to boards'!$B$2:$E$156,4,FALSE)</f>
        <v>0</v>
      </c>
      <c r="O687" t="str">
        <f>CONCATENATE(Query1[[#This Row],[Description]]," - ",Query1[[#This Row],[MB1]]," - ",Query1[[#This Row],[MB2]]," - ",Query1[[#This Row],[MB3]])</f>
        <v>GEN IV MAGNUM EVAP KIT - 830083 - 0 - 0</v>
      </c>
    </row>
    <row r="688" spans="1:15" x14ac:dyDescent="0.25">
      <c r="A688" s="1">
        <v>910699</v>
      </c>
      <c r="B688" s="1" t="s">
        <v>56</v>
      </c>
      <c r="C688" s="1" t="s">
        <v>57</v>
      </c>
      <c r="D688" s="2">
        <v>44606.407352048613</v>
      </c>
      <c r="E688" s="1" t="s">
        <v>8</v>
      </c>
      <c r="F688" s="1">
        <v>1</v>
      </c>
      <c r="G688" s="1">
        <v>0</v>
      </c>
      <c r="H688" s="6">
        <f>INT(Query1[[#This Row],[EntryDateTime]])</f>
        <v>44606</v>
      </c>
      <c r="I688" s="1">
        <f>IF(Query1[[#This Row],[ItemType]]="EVAP KIT SF GEN IV",Query1[[#This Row],[OrderQty]]+I687,I687)</f>
        <v>736</v>
      </c>
      <c r="J688" s="1">
        <f>IF(Query1[[#This Row],[ItemType]]="EVAP KIT UNIVERSAL",Query1[[#This Row],[OrderQty]]+J687,J687)</f>
        <v>374</v>
      </c>
      <c r="K688" s="1">
        <f>Query1[[#This Row],[SF Running Total]]+Query1[[#This Row],[UNIV Running Total]]</f>
        <v>1110</v>
      </c>
      <c r="L688">
        <f>VLOOKUP(Query1[[#This Row],[Description]],'kits to boards'!$B$2:$E$156,2,FALSE)</f>
        <v>830011</v>
      </c>
      <c r="M688">
        <f>VLOOKUP(Query1[[#This Row],[Description]],'kits to boards'!$B$2:$E$156,3,FALSE)</f>
        <v>0</v>
      </c>
      <c r="N688">
        <f>VLOOKUP(Query1[[#This Row],[Description]],'kits to boards'!$B$2:$E$156,4,FALSE)</f>
        <v>0</v>
      </c>
      <c r="O688" t="str">
        <f>CONCATENATE(Query1[[#This Row],[Description]]," - ",Query1[[#This Row],[MB1]]," - ",Query1[[#This Row],[MB2]]," - ",Query1[[#This Row],[MB3]])</f>
        <v>EVAP KIT 70-72 CHEVELLE W/AC - 830011 - 0 - 0</v>
      </c>
    </row>
    <row r="689" spans="1:15" x14ac:dyDescent="0.25">
      <c r="A689" s="1">
        <v>910699</v>
      </c>
      <c r="B689" s="1" t="s">
        <v>34</v>
      </c>
      <c r="C689" s="1" t="s">
        <v>35</v>
      </c>
      <c r="D689" s="2">
        <v>44606.407472256942</v>
      </c>
      <c r="E689" s="1" t="s">
        <v>8</v>
      </c>
      <c r="F689" s="1">
        <v>1</v>
      </c>
      <c r="G689" s="1">
        <v>0</v>
      </c>
      <c r="H689" s="6">
        <f>INT(Query1[[#This Row],[EntryDateTime]])</f>
        <v>44606</v>
      </c>
      <c r="I689" s="1">
        <f>IF(Query1[[#This Row],[ItemType]]="EVAP KIT SF GEN IV",Query1[[#This Row],[OrderQty]]+I688,I688)</f>
        <v>737</v>
      </c>
      <c r="J689" s="1">
        <f>IF(Query1[[#This Row],[ItemType]]="EVAP KIT UNIVERSAL",Query1[[#This Row],[OrderQty]]+J688,J688)</f>
        <v>374</v>
      </c>
      <c r="K689" s="1">
        <f>Query1[[#This Row],[SF Running Total]]+Query1[[#This Row],[UNIV Running Total]]</f>
        <v>1111</v>
      </c>
      <c r="L689">
        <f>VLOOKUP(Query1[[#This Row],[Description]],'kits to boards'!$B$2:$E$156,2,FALSE)</f>
        <v>830065</v>
      </c>
      <c r="M689">
        <f>VLOOKUP(Query1[[#This Row],[Description]],'kits to boards'!$B$2:$E$156,3,FALSE)</f>
        <v>0</v>
      </c>
      <c r="N689">
        <f>VLOOKUP(Query1[[#This Row],[Description]],'kits to boards'!$B$2:$E$156,4,FALSE)</f>
        <v>0</v>
      </c>
      <c r="O689" t="str">
        <f>CONCATENATE(Query1[[#This Row],[Description]]," - ",Query1[[#This Row],[MB1]]," - ",Query1[[#This Row],[MB2]]," - ",Query1[[#This Row],[MB3]])</f>
        <v>EVAP KIT 57 CHEV WO AC - 830065 - 0 - 0</v>
      </c>
    </row>
    <row r="690" spans="1:15" x14ac:dyDescent="0.25">
      <c r="A690" s="1">
        <v>910699</v>
      </c>
      <c r="B690" s="1" t="s">
        <v>42</v>
      </c>
      <c r="C690" s="1" t="s">
        <v>43</v>
      </c>
      <c r="D690" s="2">
        <v>44606.407560150466</v>
      </c>
      <c r="E690" s="1" t="s">
        <v>8</v>
      </c>
      <c r="F690" s="1">
        <v>3</v>
      </c>
      <c r="G690" s="1">
        <v>0</v>
      </c>
      <c r="H690" s="6">
        <f>INT(Query1[[#This Row],[EntryDateTime]])</f>
        <v>44606</v>
      </c>
      <c r="I690" s="1">
        <f>IF(Query1[[#This Row],[ItemType]]="EVAP KIT SF GEN IV",Query1[[#This Row],[OrderQty]]+I689,I689)</f>
        <v>740</v>
      </c>
      <c r="J690" s="1">
        <f>IF(Query1[[#This Row],[ItemType]]="EVAP KIT UNIVERSAL",Query1[[#This Row],[OrderQty]]+J689,J689)</f>
        <v>374</v>
      </c>
      <c r="K690" s="1">
        <f>Query1[[#This Row],[SF Running Total]]+Query1[[#This Row],[UNIV Running Total]]</f>
        <v>1114</v>
      </c>
      <c r="L690">
        <f>VLOOKUP(Query1[[#This Row],[Description]],'kits to boards'!$B$2:$E$156,2,FALSE)</f>
        <v>830014</v>
      </c>
      <c r="M690">
        <f>VLOOKUP(Query1[[#This Row],[Description]],'kits to boards'!$B$2:$E$156,3,FALSE)</f>
        <v>0</v>
      </c>
      <c r="N690">
        <f>VLOOKUP(Query1[[#This Row],[Description]],'kits to boards'!$B$2:$E$156,4,FALSE)</f>
        <v>0</v>
      </c>
      <c r="O690" t="str">
        <f>CONCATENATE(Query1[[#This Row],[Description]]," - ",Query1[[#This Row],[MB1]]," - ",Query1[[#This Row],[MB2]]," - ",Query1[[#This Row],[MB3]])</f>
        <v>EVAP KIT 67-72 CHEV P-UP WO AC - 830014 - 0 - 0</v>
      </c>
    </row>
    <row r="691" spans="1:15" x14ac:dyDescent="0.25">
      <c r="A691" s="1">
        <v>910699</v>
      </c>
      <c r="B691" s="1" t="s">
        <v>14</v>
      </c>
      <c r="C691" s="1" t="s">
        <v>15</v>
      </c>
      <c r="D691" s="2">
        <v>44606.408291354164</v>
      </c>
      <c r="E691" s="1" t="s">
        <v>8</v>
      </c>
      <c r="F691" s="1">
        <v>2</v>
      </c>
      <c r="G691" s="1">
        <v>0</v>
      </c>
      <c r="H691" s="6">
        <f>INT(Query1[[#This Row],[EntryDateTime]])</f>
        <v>44606</v>
      </c>
      <c r="I691" s="1">
        <f>IF(Query1[[#This Row],[ItemType]]="EVAP KIT SF GEN IV",Query1[[#This Row],[OrderQty]]+I690,I690)</f>
        <v>742</v>
      </c>
      <c r="J691" s="1">
        <f>IF(Query1[[#This Row],[ItemType]]="EVAP KIT UNIVERSAL",Query1[[#This Row],[OrderQty]]+J690,J690)</f>
        <v>374</v>
      </c>
      <c r="K691" s="1">
        <f>Query1[[#This Row],[SF Running Total]]+Query1[[#This Row],[UNIV Running Total]]</f>
        <v>1116</v>
      </c>
      <c r="L691">
        <f>VLOOKUP(Query1[[#This Row],[Description]],'kits to boards'!$B$2:$E$156,2,FALSE)</f>
        <v>830054</v>
      </c>
      <c r="M691">
        <f>VLOOKUP(Query1[[#This Row],[Description]],'kits to boards'!$B$2:$E$156,3,FALSE)</f>
        <v>0</v>
      </c>
      <c r="N691">
        <f>VLOOKUP(Query1[[#This Row],[Description]],'kits to boards'!$B$2:$E$156,4,FALSE)</f>
        <v>0</v>
      </c>
      <c r="O691" t="str">
        <f>CONCATENATE(Query1[[#This Row],[Description]]," - ",Query1[[#This Row],[MB1]]," - ",Query1[[#This Row],[MB2]]," - ",Query1[[#This Row],[MB3]])</f>
        <v>EVAP KIT 55-56 CHEVY - 830054 - 0 - 0</v>
      </c>
    </row>
    <row r="692" spans="1:15" x14ac:dyDescent="0.25">
      <c r="A692" s="1">
        <v>910699</v>
      </c>
      <c r="B692" s="1" t="s">
        <v>106</v>
      </c>
      <c r="C692" s="1" t="s">
        <v>107</v>
      </c>
      <c r="D692" s="2">
        <v>44606.408871793981</v>
      </c>
      <c r="E692" s="1" t="s">
        <v>8</v>
      </c>
      <c r="F692" s="1">
        <v>1</v>
      </c>
      <c r="G692" s="1">
        <v>0</v>
      </c>
      <c r="H692" s="6">
        <f>INT(Query1[[#This Row],[EntryDateTime]])</f>
        <v>44606</v>
      </c>
      <c r="I692" s="1">
        <f>IF(Query1[[#This Row],[ItemType]]="EVAP KIT SF GEN IV",Query1[[#This Row],[OrderQty]]+I691,I691)</f>
        <v>743</v>
      </c>
      <c r="J692" s="1">
        <f>IF(Query1[[#This Row],[ItemType]]="EVAP KIT UNIVERSAL",Query1[[#This Row],[OrderQty]]+J691,J691)</f>
        <v>374</v>
      </c>
      <c r="K692" s="1">
        <f>Query1[[#This Row],[SF Running Total]]+Query1[[#This Row],[UNIV Running Total]]</f>
        <v>1117</v>
      </c>
      <c r="L692">
        <f>VLOOKUP(Query1[[#This Row],[Description]],'kits to boards'!$B$2:$E$156,2,FALSE)</f>
        <v>830028</v>
      </c>
      <c r="M692">
        <f>VLOOKUP(Query1[[#This Row],[Description]],'kits to boards'!$B$2:$E$156,3,FALSE)</f>
        <v>0</v>
      </c>
      <c r="N692">
        <f>VLOOKUP(Query1[[#This Row],[Description]],'kits to boards'!$B$2:$E$156,4,FALSE)</f>
        <v>0</v>
      </c>
      <c r="O692" t="str">
        <f>CONCATENATE(Query1[[#This Row],[Description]]," - ",Query1[[#This Row],[MB1]]," - ",Query1[[#This Row],[MB2]]," - ",Query1[[#This Row],[MB3]])</f>
        <v>EVAP KIT 55-59 CHEV P-UP WO AC W/DELX - 830028 - 0 - 0</v>
      </c>
    </row>
    <row r="693" spans="1:15" x14ac:dyDescent="0.25">
      <c r="A693" s="1">
        <v>910699</v>
      </c>
      <c r="B693" s="1" t="s">
        <v>240</v>
      </c>
      <c r="C693" s="1" t="s">
        <v>241</v>
      </c>
      <c r="D693" s="2">
        <v>44606.409552858793</v>
      </c>
      <c r="E693" s="1" t="s">
        <v>8</v>
      </c>
      <c r="F693" s="1">
        <v>1</v>
      </c>
      <c r="G693" s="1">
        <v>0</v>
      </c>
      <c r="H693" s="6">
        <f>INT(Query1[[#This Row],[EntryDateTime]])</f>
        <v>44606</v>
      </c>
      <c r="I693" s="1">
        <f>IF(Query1[[#This Row],[ItemType]]="EVAP KIT SF GEN IV",Query1[[#This Row],[OrderQty]]+I692,I692)</f>
        <v>744</v>
      </c>
      <c r="J693" s="1">
        <f>IF(Query1[[#This Row],[ItemType]]="EVAP KIT UNIVERSAL",Query1[[#This Row],[OrderQty]]+J692,J692)</f>
        <v>374</v>
      </c>
      <c r="K693" s="1">
        <f>Query1[[#This Row],[SF Running Total]]+Query1[[#This Row],[UNIV Running Total]]</f>
        <v>1118</v>
      </c>
      <c r="L693">
        <f>VLOOKUP(Query1[[#This Row],[Description]],'kits to boards'!$B$2:$E$156,2,FALSE)</f>
        <v>830032</v>
      </c>
      <c r="M693">
        <f>VLOOKUP(Query1[[#This Row],[Description]],'kits to boards'!$B$2:$E$156,3,FALSE)</f>
        <v>0</v>
      </c>
      <c r="N693">
        <f>VLOOKUP(Query1[[#This Row],[Description]],'kits to boards'!$B$2:$E$156,4,FALSE)</f>
        <v>0</v>
      </c>
      <c r="O693" t="str">
        <f>CONCATENATE(Query1[[#This Row],[Description]]," - ",Query1[[#This Row],[MB1]]," - ",Query1[[#This Row],[MB2]]," - ",Query1[[#This Row],[MB3]])</f>
        <v>EVAP KIT 58-60 VETTE - 830032 - 0 - 0</v>
      </c>
    </row>
    <row r="694" spans="1:15" x14ac:dyDescent="0.25">
      <c r="A694" s="1">
        <v>910718</v>
      </c>
      <c r="B694" s="1" t="s">
        <v>118</v>
      </c>
      <c r="C694" s="1" t="s">
        <v>119</v>
      </c>
      <c r="D694" s="2">
        <v>44606.410823645834</v>
      </c>
      <c r="E694" s="1" t="s">
        <v>11</v>
      </c>
      <c r="F694" s="1">
        <v>1</v>
      </c>
      <c r="G694" s="1">
        <v>0</v>
      </c>
      <c r="H694" s="6">
        <f>INT(Query1[[#This Row],[EntryDateTime]])</f>
        <v>44606</v>
      </c>
      <c r="I694" s="1">
        <f>IF(Query1[[#This Row],[ItemType]]="EVAP KIT SF GEN IV",Query1[[#This Row],[OrderQty]]+I693,I693)</f>
        <v>744</v>
      </c>
      <c r="J694" s="1">
        <f>IF(Query1[[#This Row],[ItemType]]="EVAP KIT UNIVERSAL",Query1[[#This Row],[OrderQty]]+J693,J693)</f>
        <v>375</v>
      </c>
      <c r="K694" s="1">
        <f>Query1[[#This Row],[SF Running Total]]+Query1[[#This Row],[UNIV Running Total]]</f>
        <v>1119</v>
      </c>
      <c r="L694">
        <f>VLOOKUP(Query1[[#This Row],[Description]],'kits to boards'!$B$2:$E$156,2,FALSE)</f>
        <v>830069</v>
      </c>
      <c r="M694">
        <f>VLOOKUP(Query1[[#This Row],[Description]],'kits to boards'!$B$2:$E$156,3,FALSE)</f>
        <v>0</v>
      </c>
      <c r="N694">
        <f>VLOOKUP(Query1[[#This Row],[Description]],'kits to boards'!$B$2:$E$156,4,FALSE)</f>
        <v>0</v>
      </c>
      <c r="O694" t="str">
        <f>CONCATENATE(Query1[[#This Row],[Description]]," - ",Query1[[#This Row],[MB1]]," - ",Query1[[#This Row],[MB2]]," - ",Query1[[#This Row],[MB3]])</f>
        <v>SLIMLINE H/C W/DEF BLK LOUVER - 830069 - 0 - 0</v>
      </c>
    </row>
    <row r="695" spans="1:15" x14ac:dyDescent="0.25">
      <c r="A695" s="1">
        <v>910699</v>
      </c>
      <c r="B695" s="1" t="s">
        <v>218</v>
      </c>
      <c r="C695" s="1" t="s">
        <v>219</v>
      </c>
      <c r="D695" s="2">
        <v>44606.41316265046</v>
      </c>
      <c r="E695" s="1" t="s">
        <v>8</v>
      </c>
      <c r="F695" s="1">
        <v>1</v>
      </c>
      <c r="G695" s="1">
        <v>0</v>
      </c>
      <c r="H695" s="6">
        <f>INT(Query1[[#This Row],[EntryDateTime]])</f>
        <v>44606</v>
      </c>
      <c r="I695" s="1">
        <f>IF(Query1[[#This Row],[ItemType]]="EVAP KIT SF GEN IV",Query1[[#This Row],[OrderQty]]+I694,I694)</f>
        <v>745</v>
      </c>
      <c r="J695" s="1">
        <f>IF(Query1[[#This Row],[ItemType]]="EVAP KIT UNIVERSAL",Query1[[#This Row],[OrderQty]]+J694,J694)</f>
        <v>375</v>
      </c>
      <c r="K695" s="1">
        <f>Query1[[#This Row],[SF Running Total]]+Query1[[#This Row],[UNIV Running Total]]</f>
        <v>1120</v>
      </c>
      <c r="L695">
        <f>VLOOKUP(Query1[[#This Row],[Description]],'kits to boards'!$B$2:$E$156,2,FALSE)</f>
        <v>830022</v>
      </c>
      <c r="M695">
        <f>VLOOKUP(Query1[[#This Row],[Description]],'kits to boards'!$B$2:$E$156,3,FALSE)</f>
        <v>0</v>
      </c>
      <c r="N695">
        <f>VLOOKUP(Query1[[#This Row],[Description]],'kits to boards'!$B$2:$E$156,4,FALSE)</f>
        <v>0</v>
      </c>
      <c r="O695" t="str">
        <f>CONCATENATE(Query1[[#This Row],[Description]]," - ",Query1[[#This Row],[MB1]]," - ",Query1[[#This Row],[MB2]]," - ",Query1[[#This Row],[MB3]])</f>
        <v>EVAP KIT 69 CUTLASS WO AC - 830022 - 0 - 0</v>
      </c>
    </row>
    <row r="696" spans="1:15" x14ac:dyDescent="0.25">
      <c r="A696" s="1">
        <v>910730</v>
      </c>
      <c r="B696" s="1" t="s">
        <v>26</v>
      </c>
      <c r="C696" s="1" t="s">
        <v>27</v>
      </c>
      <c r="D696" s="2">
        <v>44606.428386192129</v>
      </c>
      <c r="E696" s="1" t="s">
        <v>8</v>
      </c>
      <c r="F696" s="1">
        <v>1</v>
      </c>
      <c r="G696" s="1">
        <v>0</v>
      </c>
      <c r="H696" s="6">
        <f>INT(Query1[[#This Row],[EntryDateTime]])</f>
        <v>44606</v>
      </c>
      <c r="I696" s="1">
        <f>IF(Query1[[#This Row],[ItemType]]="EVAP KIT SF GEN IV",Query1[[#This Row],[OrderQty]]+I695,I695)</f>
        <v>746</v>
      </c>
      <c r="J696" s="1">
        <f>IF(Query1[[#This Row],[ItemType]]="EVAP KIT UNIVERSAL",Query1[[#This Row],[OrderQty]]+J695,J695)</f>
        <v>375</v>
      </c>
      <c r="K696" s="1">
        <f>Query1[[#This Row],[SF Running Total]]+Query1[[#This Row],[UNIV Running Total]]</f>
        <v>1121</v>
      </c>
      <c r="L696">
        <f>VLOOKUP(Query1[[#This Row],[Description]],'kits to boards'!$B$2:$E$156,2,FALSE)</f>
        <v>830013</v>
      </c>
      <c r="M696">
        <f>VLOOKUP(Query1[[#This Row],[Description]],'kits to boards'!$B$2:$E$156,3,FALSE)</f>
        <v>0</v>
      </c>
      <c r="N696">
        <f>VLOOKUP(Query1[[#This Row],[Description]],'kits to boards'!$B$2:$E$156,4,FALSE)</f>
        <v>0</v>
      </c>
      <c r="O696" t="str">
        <f>CONCATENATE(Query1[[#This Row],[Description]]," - ",Query1[[#This Row],[MB1]]," - ",Query1[[#This Row],[MB2]]," - ",Query1[[#This Row],[MB3]])</f>
        <v>EVAP KIT 67-72 CHEV P-UP W/AC - 830013 - 0 - 0</v>
      </c>
    </row>
    <row r="697" spans="1:15" x14ac:dyDescent="0.25">
      <c r="A697" s="1">
        <v>910439</v>
      </c>
      <c r="B697" s="1" t="s">
        <v>52</v>
      </c>
      <c r="C697" s="1" t="s">
        <v>53</v>
      </c>
      <c r="D697" s="2">
        <v>44606.442947418982</v>
      </c>
      <c r="E697" s="1" t="s">
        <v>8</v>
      </c>
      <c r="F697" s="1">
        <v>1</v>
      </c>
      <c r="G697" s="1">
        <v>0</v>
      </c>
      <c r="H697" s="6">
        <f>INT(Query1[[#This Row],[EntryDateTime]])</f>
        <v>44606</v>
      </c>
      <c r="I697" s="1">
        <f>IF(Query1[[#This Row],[ItemType]]="EVAP KIT SF GEN IV",Query1[[#This Row],[OrderQty]]+I696,I696)</f>
        <v>747</v>
      </c>
      <c r="J697" s="1">
        <f>IF(Query1[[#This Row],[ItemType]]="EVAP KIT UNIVERSAL",Query1[[#This Row],[OrderQty]]+J696,J696)</f>
        <v>375</v>
      </c>
      <c r="K697" s="1">
        <f>Query1[[#This Row],[SF Running Total]]+Query1[[#This Row],[UNIV Running Total]]</f>
        <v>1122</v>
      </c>
      <c r="L697">
        <f>VLOOKUP(Query1[[#This Row],[Description]],'kits to boards'!$B$2:$E$156,2,FALSE)</f>
        <v>830017</v>
      </c>
      <c r="M697">
        <f>VLOOKUP(Query1[[#This Row],[Description]],'kits to boards'!$B$2:$E$156,3,FALSE)</f>
        <v>830119</v>
      </c>
      <c r="N697">
        <f>VLOOKUP(Query1[[#This Row],[Description]],'kits to boards'!$B$2:$E$156,4,FALSE)</f>
        <v>830120</v>
      </c>
      <c r="O697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698" spans="1:15" x14ac:dyDescent="0.25">
      <c r="A698" s="1">
        <v>909271</v>
      </c>
      <c r="B698" s="1" t="s">
        <v>26</v>
      </c>
      <c r="C698" s="1" t="s">
        <v>27</v>
      </c>
      <c r="D698" s="2">
        <v>44606.453914201389</v>
      </c>
      <c r="E698" s="1" t="s">
        <v>8</v>
      </c>
      <c r="F698" s="1">
        <v>1</v>
      </c>
      <c r="G698" s="1">
        <v>0</v>
      </c>
      <c r="H698" s="6">
        <f>INT(Query1[[#This Row],[EntryDateTime]])</f>
        <v>44606</v>
      </c>
      <c r="I698" s="1">
        <f>IF(Query1[[#This Row],[ItemType]]="EVAP KIT SF GEN IV",Query1[[#This Row],[OrderQty]]+I697,I697)</f>
        <v>748</v>
      </c>
      <c r="J698" s="1">
        <f>IF(Query1[[#This Row],[ItemType]]="EVAP KIT UNIVERSAL",Query1[[#This Row],[OrderQty]]+J697,J697)</f>
        <v>375</v>
      </c>
      <c r="K698" s="1">
        <f>Query1[[#This Row],[SF Running Total]]+Query1[[#This Row],[UNIV Running Total]]</f>
        <v>1123</v>
      </c>
      <c r="L698">
        <f>VLOOKUP(Query1[[#This Row],[Description]],'kits to boards'!$B$2:$E$156,2,FALSE)</f>
        <v>830013</v>
      </c>
      <c r="M698">
        <f>VLOOKUP(Query1[[#This Row],[Description]],'kits to boards'!$B$2:$E$156,3,FALSE)</f>
        <v>0</v>
      </c>
      <c r="N698">
        <f>VLOOKUP(Query1[[#This Row],[Description]],'kits to boards'!$B$2:$E$156,4,FALSE)</f>
        <v>0</v>
      </c>
      <c r="O698" t="str">
        <f>CONCATENATE(Query1[[#This Row],[Description]]," - ",Query1[[#This Row],[MB1]]," - ",Query1[[#This Row],[MB2]]," - ",Query1[[#This Row],[MB3]])</f>
        <v>EVAP KIT 67-72 CHEV P-UP W/AC - 830013 - 0 - 0</v>
      </c>
    </row>
    <row r="699" spans="1:15" x14ac:dyDescent="0.25">
      <c r="A699" s="1">
        <v>910752</v>
      </c>
      <c r="B699" s="1" t="s">
        <v>26</v>
      </c>
      <c r="C699" s="1" t="s">
        <v>27</v>
      </c>
      <c r="D699" s="2">
        <v>44606.45668614583</v>
      </c>
      <c r="E699" s="1" t="s">
        <v>8</v>
      </c>
      <c r="F699" s="1">
        <v>1</v>
      </c>
      <c r="G699" s="1">
        <v>0</v>
      </c>
      <c r="H699" s="6">
        <f>INT(Query1[[#This Row],[EntryDateTime]])</f>
        <v>44606</v>
      </c>
      <c r="I699" s="1">
        <f>IF(Query1[[#This Row],[ItemType]]="EVAP KIT SF GEN IV",Query1[[#This Row],[OrderQty]]+I698,I698)</f>
        <v>749</v>
      </c>
      <c r="J699" s="1">
        <f>IF(Query1[[#This Row],[ItemType]]="EVAP KIT UNIVERSAL",Query1[[#This Row],[OrderQty]]+J698,J698)</f>
        <v>375</v>
      </c>
      <c r="K699" s="1">
        <f>Query1[[#This Row],[SF Running Total]]+Query1[[#This Row],[UNIV Running Total]]</f>
        <v>1124</v>
      </c>
      <c r="L699">
        <f>VLOOKUP(Query1[[#This Row],[Description]],'kits to boards'!$B$2:$E$156,2,FALSE)</f>
        <v>830013</v>
      </c>
      <c r="M699">
        <f>VLOOKUP(Query1[[#This Row],[Description]],'kits to boards'!$B$2:$E$156,3,FALSE)</f>
        <v>0</v>
      </c>
      <c r="N699">
        <f>VLOOKUP(Query1[[#This Row],[Description]],'kits to boards'!$B$2:$E$156,4,FALSE)</f>
        <v>0</v>
      </c>
      <c r="O699" t="str">
        <f>CONCATENATE(Query1[[#This Row],[Description]]," - ",Query1[[#This Row],[MB1]]," - ",Query1[[#This Row],[MB2]]," - ",Query1[[#This Row],[MB3]])</f>
        <v>EVAP KIT 67-72 CHEV P-UP W/AC - 830013 - 0 - 0</v>
      </c>
    </row>
    <row r="700" spans="1:15" x14ac:dyDescent="0.25">
      <c r="A700" s="1">
        <v>909479</v>
      </c>
      <c r="B700" s="1" t="s">
        <v>52</v>
      </c>
      <c r="C700" s="1" t="s">
        <v>53</v>
      </c>
      <c r="D700" s="2">
        <v>44606.465177314814</v>
      </c>
      <c r="E700" s="1" t="s">
        <v>8</v>
      </c>
      <c r="F700" s="1">
        <v>1</v>
      </c>
      <c r="G700" s="1">
        <v>0</v>
      </c>
      <c r="H700" s="6">
        <f>INT(Query1[[#This Row],[EntryDateTime]])</f>
        <v>44606</v>
      </c>
      <c r="I700" s="1">
        <f>IF(Query1[[#This Row],[ItemType]]="EVAP KIT SF GEN IV",Query1[[#This Row],[OrderQty]]+I699,I699)</f>
        <v>750</v>
      </c>
      <c r="J700" s="1">
        <f>IF(Query1[[#This Row],[ItemType]]="EVAP KIT UNIVERSAL",Query1[[#This Row],[OrderQty]]+J699,J699)</f>
        <v>375</v>
      </c>
      <c r="K700" s="1">
        <f>Query1[[#This Row],[SF Running Total]]+Query1[[#This Row],[UNIV Running Total]]</f>
        <v>1125</v>
      </c>
      <c r="L700">
        <f>VLOOKUP(Query1[[#This Row],[Description]],'kits to boards'!$B$2:$E$156,2,FALSE)</f>
        <v>830017</v>
      </c>
      <c r="M700">
        <f>VLOOKUP(Query1[[#This Row],[Description]],'kits to boards'!$B$2:$E$156,3,FALSE)</f>
        <v>830119</v>
      </c>
      <c r="N700">
        <f>VLOOKUP(Query1[[#This Row],[Description]],'kits to boards'!$B$2:$E$156,4,FALSE)</f>
        <v>830120</v>
      </c>
      <c r="O700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701" spans="1:15" x14ac:dyDescent="0.25">
      <c r="A701" s="1">
        <v>909480</v>
      </c>
      <c r="B701" s="1" t="s">
        <v>90</v>
      </c>
      <c r="C701" s="1" t="s">
        <v>91</v>
      </c>
      <c r="D701" s="2">
        <v>44606.465653159721</v>
      </c>
      <c r="E701" s="1" t="s">
        <v>8</v>
      </c>
      <c r="F701" s="1">
        <v>1</v>
      </c>
      <c r="G701" s="1">
        <v>0</v>
      </c>
      <c r="H701" s="6">
        <f>INT(Query1[[#This Row],[EntryDateTime]])</f>
        <v>44606</v>
      </c>
      <c r="I701" s="1">
        <f>IF(Query1[[#This Row],[ItemType]]="EVAP KIT SF GEN IV",Query1[[#This Row],[OrderQty]]+I700,I700)</f>
        <v>751</v>
      </c>
      <c r="J701" s="1">
        <f>IF(Query1[[#This Row],[ItemType]]="EVAP KIT UNIVERSAL",Query1[[#This Row],[OrderQty]]+J700,J700)</f>
        <v>375</v>
      </c>
      <c r="K701" s="1">
        <f>Query1[[#This Row],[SF Running Total]]+Query1[[#This Row],[UNIV Running Total]]</f>
        <v>1126</v>
      </c>
      <c r="L701">
        <f>VLOOKUP(Query1[[#This Row],[Description]],'kits to boards'!$B$2:$E$156,2,FALSE)</f>
        <v>830105</v>
      </c>
      <c r="M701">
        <f>VLOOKUP(Query1[[#This Row],[Description]],'kits to boards'!$B$2:$E$156,3,FALSE)</f>
        <v>830106</v>
      </c>
      <c r="N701">
        <f>VLOOKUP(Query1[[#This Row],[Description]],'kits to boards'!$B$2:$E$156,4,FALSE)</f>
        <v>0</v>
      </c>
      <c r="O701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702" spans="1:15" x14ac:dyDescent="0.25">
      <c r="A702" s="1">
        <v>909484</v>
      </c>
      <c r="B702" s="1" t="s">
        <v>46</v>
      </c>
      <c r="C702" s="1" t="s">
        <v>47</v>
      </c>
      <c r="D702" s="2">
        <v>44606.466073113428</v>
      </c>
      <c r="E702" s="1" t="s">
        <v>8</v>
      </c>
      <c r="F702" s="1">
        <v>1</v>
      </c>
      <c r="G702" s="1">
        <v>0</v>
      </c>
      <c r="H702" s="6">
        <f>INT(Query1[[#This Row],[EntryDateTime]])</f>
        <v>44606</v>
      </c>
      <c r="I702" s="1">
        <f>IF(Query1[[#This Row],[ItemType]]="EVAP KIT SF GEN IV",Query1[[#This Row],[OrderQty]]+I701,I701)</f>
        <v>752</v>
      </c>
      <c r="J702" s="1">
        <f>IF(Query1[[#This Row],[ItemType]]="EVAP KIT UNIVERSAL",Query1[[#This Row],[OrderQty]]+J701,J701)</f>
        <v>375</v>
      </c>
      <c r="K702" s="1">
        <f>Query1[[#This Row],[SF Running Total]]+Query1[[#This Row],[UNIV Running Total]]</f>
        <v>1127</v>
      </c>
      <c r="L702">
        <f>VLOOKUP(Query1[[#This Row],[Description]],'kits to boards'!$B$2:$E$156,2,FALSE)</f>
        <v>830018</v>
      </c>
      <c r="M702">
        <f>VLOOKUP(Query1[[#This Row],[Description]],'kits to boards'!$B$2:$E$156,3,FALSE)</f>
        <v>0</v>
      </c>
      <c r="N702">
        <f>VLOOKUP(Query1[[#This Row],[Description]],'kits to boards'!$B$2:$E$156,4,FALSE)</f>
        <v>0</v>
      </c>
      <c r="O702" t="str">
        <f>CONCATENATE(Query1[[#This Row],[Description]]," - ",Query1[[#This Row],[MB1]]," - ",Query1[[#This Row],[MB2]]," - ",Query1[[#This Row],[MB3]])</f>
        <v>EVAP KIT 68-72 FORD P-UP F-100 - 830018 - 0 - 0</v>
      </c>
    </row>
    <row r="703" spans="1:15" x14ac:dyDescent="0.25">
      <c r="A703" s="1">
        <v>909485</v>
      </c>
      <c r="B703" s="1" t="s">
        <v>26</v>
      </c>
      <c r="C703" s="1" t="s">
        <v>27</v>
      </c>
      <c r="D703" s="2">
        <v>44606.466706678242</v>
      </c>
      <c r="E703" s="1" t="s">
        <v>8</v>
      </c>
      <c r="F703" s="1">
        <v>1</v>
      </c>
      <c r="G703" s="1">
        <v>0</v>
      </c>
      <c r="H703" s="6">
        <f>INT(Query1[[#This Row],[EntryDateTime]])</f>
        <v>44606</v>
      </c>
      <c r="I703" s="1">
        <f>IF(Query1[[#This Row],[ItemType]]="EVAP KIT SF GEN IV",Query1[[#This Row],[OrderQty]]+I702,I702)</f>
        <v>753</v>
      </c>
      <c r="J703" s="1">
        <f>IF(Query1[[#This Row],[ItemType]]="EVAP KIT UNIVERSAL",Query1[[#This Row],[OrderQty]]+J702,J702)</f>
        <v>375</v>
      </c>
      <c r="K703" s="1">
        <f>Query1[[#This Row],[SF Running Total]]+Query1[[#This Row],[UNIV Running Total]]</f>
        <v>1128</v>
      </c>
      <c r="L703">
        <f>VLOOKUP(Query1[[#This Row],[Description]],'kits to boards'!$B$2:$E$156,2,FALSE)</f>
        <v>830013</v>
      </c>
      <c r="M703">
        <f>VLOOKUP(Query1[[#This Row],[Description]],'kits to boards'!$B$2:$E$156,3,FALSE)</f>
        <v>0</v>
      </c>
      <c r="N703">
        <f>VLOOKUP(Query1[[#This Row],[Description]],'kits to boards'!$B$2:$E$156,4,FALSE)</f>
        <v>0</v>
      </c>
      <c r="O703" t="str">
        <f>CONCATENATE(Query1[[#This Row],[Description]]," - ",Query1[[#This Row],[MB1]]," - ",Query1[[#This Row],[MB2]]," - ",Query1[[#This Row],[MB3]])</f>
        <v>EVAP KIT 67-72 CHEV P-UP W/AC - 830013 - 0 - 0</v>
      </c>
    </row>
    <row r="704" spans="1:15" x14ac:dyDescent="0.25">
      <c r="A704" s="1">
        <v>909486</v>
      </c>
      <c r="B704" s="1" t="s">
        <v>96</v>
      </c>
      <c r="C704" s="1" t="s">
        <v>97</v>
      </c>
      <c r="D704" s="2">
        <v>44606.46768267361</v>
      </c>
      <c r="E704" s="1" t="s">
        <v>8</v>
      </c>
      <c r="F704" s="1">
        <v>1</v>
      </c>
      <c r="G704" s="1">
        <v>0</v>
      </c>
      <c r="H704" s="6">
        <f>INT(Query1[[#This Row],[EntryDateTime]])</f>
        <v>44606</v>
      </c>
      <c r="I704" s="1">
        <f>IF(Query1[[#This Row],[ItemType]]="EVAP KIT SF GEN IV",Query1[[#This Row],[OrderQty]]+I703,I703)</f>
        <v>754</v>
      </c>
      <c r="J704" s="1">
        <f>IF(Query1[[#This Row],[ItemType]]="EVAP KIT UNIVERSAL",Query1[[#This Row],[OrderQty]]+J703,J703)</f>
        <v>375</v>
      </c>
      <c r="K704" s="1">
        <f>Query1[[#This Row],[SF Running Total]]+Query1[[#This Row],[UNIV Running Total]]</f>
        <v>1129</v>
      </c>
      <c r="L704">
        <f>VLOOKUP(Query1[[#This Row],[Description]],'kits to boards'!$B$2:$E$156,2,FALSE)</f>
        <v>830004</v>
      </c>
      <c r="M704">
        <f>VLOOKUP(Query1[[#This Row],[Description]],'kits to boards'!$B$2:$E$156,3,FALSE)</f>
        <v>0</v>
      </c>
      <c r="N704">
        <f>VLOOKUP(Query1[[#This Row],[Description]],'kits to boards'!$B$2:$E$156,4,FALSE)</f>
        <v>0</v>
      </c>
      <c r="O704" t="str">
        <f>CONCATENATE(Query1[[#This Row],[Description]]," - ",Query1[[#This Row],[MB1]]," - ",Query1[[#This Row],[MB2]]," - ",Query1[[#This Row],[MB3]])</f>
        <v>EVAP KIT 81-87 CHEV P-UP W/AC - 830004 - 0 - 0</v>
      </c>
    </row>
    <row r="705" spans="1:15" x14ac:dyDescent="0.25">
      <c r="A705" s="1">
        <v>910760</v>
      </c>
      <c r="B705" s="1" t="s">
        <v>74</v>
      </c>
      <c r="C705" s="1" t="s">
        <v>75</v>
      </c>
      <c r="D705" s="2">
        <v>44606.469328125</v>
      </c>
      <c r="E705" s="1" t="s">
        <v>8</v>
      </c>
      <c r="F705" s="1">
        <v>1</v>
      </c>
      <c r="G705" s="1">
        <v>0</v>
      </c>
      <c r="H705" s="6">
        <f>INT(Query1[[#This Row],[EntryDateTime]])</f>
        <v>44606</v>
      </c>
      <c r="I705" s="1">
        <f>IF(Query1[[#This Row],[ItemType]]="EVAP KIT SF GEN IV",Query1[[#This Row],[OrderQty]]+I704,I704)</f>
        <v>755</v>
      </c>
      <c r="J705" s="1">
        <f>IF(Query1[[#This Row],[ItemType]]="EVAP KIT UNIVERSAL",Query1[[#This Row],[OrderQty]]+J704,J704)</f>
        <v>375</v>
      </c>
      <c r="K705" s="1">
        <f>Query1[[#This Row],[SF Running Total]]+Query1[[#This Row],[UNIV Running Total]]</f>
        <v>1130</v>
      </c>
      <c r="L705">
        <f>VLOOKUP(Query1[[#This Row],[Description]],'kits to boards'!$B$2:$E$156,2,FALSE)</f>
        <v>830065</v>
      </c>
      <c r="M705">
        <f>VLOOKUP(Query1[[#This Row],[Description]],'kits to boards'!$B$2:$E$156,3,FALSE)</f>
        <v>0</v>
      </c>
      <c r="N705">
        <f>VLOOKUP(Query1[[#This Row],[Description]],'kits to boards'!$B$2:$E$156,4,FALSE)</f>
        <v>0</v>
      </c>
      <c r="O705" t="str">
        <f>CONCATENATE(Query1[[#This Row],[Description]]," - ",Query1[[#This Row],[MB1]]," - ",Query1[[#This Row],[MB2]]," - ",Query1[[#This Row],[MB3]])</f>
        <v>EVAP KIT 57 CHEV WO AC 4-VENT PLENUM - 830065 - 0 - 0</v>
      </c>
    </row>
    <row r="706" spans="1:15" x14ac:dyDescent="0.25">
      <c r="A706" s="1">
        <v>910638</v>
      </c>
      <c r="B706" s="1" t="s">
        <v>98</v>
      </c>
      <c r="C706" s="1" t="s">
        <v>99</v>
      </c>
      <c r="D706" s="2">
        <v>44606.494978125003</v>
      </c>
      <c r="E706" s="1" t="s">
        <v>11</v>
      </c>
      <c r="F706" s="1">
        <v>1</v>
      </c>
      <c r="G706" s="1">
        <v>0</v>
      </c>
      <c r="H706" s="6">
        <f>INT(Query1[[#This Row],[EntryDateTime]])</f>
        <v>44606</v>
      </c>
      <c r="I706" s="1">
        <f>IF(Query1[[#This Row],[ItemType]]="EVAP KIT SF GEN IV",Query1[[#This Row],[OrderQty]]+I705,I705)</f>
        <v>755</v>
      </c>
      <c r="J706" s="1">
        <f>IF(Query1[[#This Row],[ItemType]]="EVAP KIT UNIVERSAL",Query1[[#This Row],[OrderQty]]+J705,J705)</f>
        <v>376</v>
      </c>
      <c r="K706" s="1">
        <f>Query1[[#This Row],[SF Running Total]]+Query1[[#This Row],[UNIV Running Total]]</f>
        <v>1131</v>
      </c>
      <c r="L706">
        <f>VLOOKUP(Query1[[#This Row],[Description]],'kits to boards'!$B$2:$E$156,2,FALSE)</f>
        <v>830099</v>
      </c>
      <c r="M706">
        <f>VLOOKUP(Query1[[#This Row],[Description]],'kits to boards'!$B$2:$E$156,3,FALSE)</f>
        <v>0</v>
      </c>
      <c r="N706">
        <f>VLOOKUP(Query1[[#This Row],[Description]],'kits to boards'!$B$2:$E$156,4,FALSE)</f>
        <v>0</v>
      </c>
      <c r="O706" t="str">
        <f>CONCATENATE(Query1[[#This Row],[Description]]," - ",Query1[[#This Row],[MB1]]," - ",Query1[[#This Row],[MB2]]," - ",Query1[[#This Row],[MB3]])</f>
        <v>MINI GEN II W/DEF - 830099 - 0 - 0</v>
      </c>
    </row>
    <row r="707" spans="1:15" x14ac:dyDescent="0.25">
      <c r="A707" s="1">
        <v>910744</v>
      </c>
      <c r="B707" s="1" t="s">
        <v>96</v>
      </c>
      <c r="C707" s="1" t="s">
        <v>97</v>
      </c>
      <c r="D707" s="2">
        <v>44606.507402199073</v>
      </c>
      <c r="E707" s="1" t="s">
        <v>8</v>
      </c>
      <c r="F707" s="1">
        <v>1</v>
      </c>
      <c r="G707" s="1">
        <v>0</v>
      </c>
      <c r="H707" s="6">
        <f>INT(Query1[[#This Row],[EntryDateTime]])</f>
        <v>44606</v>
      </c>
      <c r="I707" s="1">
        <f>IF(Query1[[#This Row],[ItemType]]="EVAP KIT SF GEN IV",Query1[[#This Row],[OrderQty]]+I706,I706)</f>
        <v>756</v>
      </c>
      <c r="J707" s="1">
        <f>IF(Query1[[#This Row],[ItemType]]="EVAP KIT UNIVERSAL",Query1[[#This Row],[OrderQty]]+J706,J706)</f>
        <v>376</v>
      </c>
      <c r="K707" s="1">
        <f>Query1[[#This Row],[SF Running Total]]+Query1[[#This Row],[UNIV Running Total]]</f>
        <v>1132</v>
      </c>
      <c r="L707">
        <f>VLOOKUP(Query1[[#This Row],[Description]],'kits to boards'!$B$2:$E$156,2,FALSE)</f>
        <v>830004</v>
      </c>
      <c r="M707">
        <f>VLOOKUP(Query1[[#This Row],[Description]],'kits to boards'!$B$2:$E$156,3,FALSE)</f>
        <v>0</v>
      </c>
      <c r="N707">
        <f>VLOOKUP(Query1[[#This Row],[Description]],'kits to boards'!$B$2:$E$156,4,FALSE)</f>
        <v>0</v>
      </c>
      <c r="O707" t="str">
        <f>CONCATENATE(Query1[[#This Row],[Description]]," - ",Query1[[#This Row],[MB1]]," - ",Query1[[#This Row],[MB2]]," - ",Query1[[#This Row],[MB3]])</f>
        <v>EVAP KIT 81-87 CHEV P-UP W/AC - 830004 - 0 - 0</v>
      </c>
    </row>
    <row r="708" spans="1:15" x14ac:dyDescent="0.25">
      <c r="A708" s="1">
        <v>910773</v>
      </c>
      <c r="B708" s="1" t="s">
        <v>210</v>
      </c>
      <c r="C708" s="1" t="s">
        <v>211</v>
      </c>
      <c r="D708" s="2">
        <v>44606.512030208331</v>
      </c>
      <c r="E708" s="1" t="s">
        <v>8</v>
      </c>
      <c r="F708" s="1">
        <v>1</v>
      </c>
      <c r="G708" s="1">
        <v>0</v>
      </c>
      <c r="H708" s="6">
        <f>INT(Query1[[#This Row],[EntryDateTime]])</f>
        <v>44606</v>
      </c>
      <c r="I708" s="1">
        <f>IF(Query1[[#This Row],[ItemType]]="EVAP KIT SF GEN IV",Query1[[#This Row],[OrderQty]]+I707,I707)</f>
        <v>757</v>
      </c>
      <c r="J708" s="1">
        <f>IF(Query1[[#This Row],[ItemType]]="EVAP KIT UNIVERSAL",Query1[[#This Row],[OrderQty]]+J707,J707)</f>
        <v>376</v>
      </c>
      <c r="K708" s="1">
        <f>Query1[[#This Row],[SF Running Total]]+Query1[[#This Row],[UNIV Running Total]]</f>
        <v>1133</v>
      </c>
      <c r="L708">
        <f>VLOOKUP(Query1[[#This Row],[Description]],'kits to boards'!$B$2:$E$156,2,FALSE)</f>
        <v>830094</v>
      </c>
      <c r="M708">
        <f>VLOOKUP(Query1[[#This Row],[Description]],'kits to boards'!$B$2:$E$156,3,FALSE)</f>
        <v>0</v>
      </c>
      <c r="N708">
        <f>VLOOKUP(Query1[[#This Row],[Description]],'kits to boards'!$B$2:$E$156,4,FALSE)</f>
        <v>0</v>
      </c>
      <c r="O708" t="str">
        <f>CONCATENATE(Query1[[#This Row],[Description]]," - ",Query1[[#This Row],[MB1]]," - ",Query1[[#This Row],[MB2]]," - ",Query1[[#This Row],[MB3]])</f>
        <v>EVAP KIT 74-76 VETTE W/AC - 830094 - 0 - 0</v>
      </c>
    </row>
    <row r="709" spans="1:15" x14ac:dyDescent="0.25">
      <c r="A709" s="1">
        <v>910450</v>
      </c>
      <c r="B709" s="1" t="s">
        <v>14</v>
      </c>
      <c r="C709" s="1" t="s">
        <v>15</v>
      </c>
      <c r="D709" s="2">
        <v>44606.517847106479</v>
      </c>
      <c r="E709" s="1" t="s">
        <v>8</v>
      </c>
      <c r="F709" s="1">
        <v>1</v>
      </c>
      <c r="G709" s="1">
        <v>0</v>
      </c>
      <c r="H709" s="6">
        <f>INT(Query1[[#This Row],[EntryDateTime]])</f>
        <v>44606</v>
      </c>
      <c r="I709" s="1">
        <f>IF(Query1[[#This Row],[ItemType]]="EVAP KIT SF GEN IV",Query1[[#This Row],[OrderQty]]+I708,I708)</f>
        <v>758</v>
      </c>
      <c r="J709" s="1">
        <f>IF(Query1[[#This Row],[ItemType]]="EVAP KIT UNIVERSAL",Query1[[#This Row],[OrderQty]]+J708,J708)</f>
        <v>376</v>
      </c>
      <c r="K709" s="1">
        <f>Query1[[#This Row],[SF Running Total]]+Query1[[#This Row],[UNIV Running Total]]</f>
        <v>1134</v>
      </c>
      <c r="L709">
        <f>VLOOKUP(Query1[[#This Row],[Description]],'kits to boards'!$B$2:$E$156,2,FALSE)</f>
        <v>830054</v>
      </c>
      <c r="M709">
        <f>VLOOKUP(Query1[[#This Row],[Description]],'kits to boards'!$B$2:$E$156,3,FALSE)</f>
        <v>0</v>
      </c>
      <c r="N709">
        <f>VLOOKUP(Query1[[#This Row],[Description]],'kits to boards'!$B$2:$E$156,4,FALSE)</f>
        <v>0</v>
      </c>
      <c r="O709" t="str">
        <f>CONCATENATE(Query1[[#This Row],[Description]]," - ",Query1[[#This Row],[MB1]]," - ",Query1[[#This Row],[MB2]]," - ",Query1[[#This Row],[MB3]])</f>
        <v>EVAP KIT 55-56 CHEVY - 830054 - 0 - 0</v>
      </c>
    </row>
    <row r="710" spans="1:15" x14ac:dyDescent="0.25">
      <c r="A710" s="1">
        <v>910310</v>
      </c>
      <c r="B710" s="1" t="s">
        <v>48</v>
      </c>
      <c r="C710" s="1" t="s">
        <v>49</v>
      </c>
      <c r="D710" s="2">
        <v>44606.558162499998</v>
      </c>
      <c r="E710" s="1" t="s">
        <v>8</v>
      </c>
      <c r="F710" s="1">
        <v>1</v>
      </c>
      <c r="G710" s="1">
        <v>0</v>
      </c>
      <c r="H710" s="6">
        <f>INT(Query1[[#This Row],[EntryDateTime]])</f>
        <v>44606</v>
      </c>
      <c r="I710" s="1">
        <f>IF(Query1[[#This Row],[ItemType]]="EVAP KIT SF GEN IV",Query1[[#This Row],[OrderQty]]+I709,I709)</f>
        <v>759</v>
      </c>
      <c r="J710" s="1">
        <f>IF(Query1[[#This Row],[ItemType]]="EVAP KIT UNIVERSAL",Query1[[#This Row],[OrderQty]]+J709,J709)</f>
        <v>376</v>
      </c>
      <c r="K710" s="1">
        <f>Query1[[#This Row],[SF Running Total]]+Query1[[#This Row],[UNIV Running Total]]</f>
        <v>1135</v>
      </c>
      <c r="L710">
        <f>VLOOKUP(Query1[[#This Row],[Description]],'kits to boards'!$B$2:$E$156,2,FALSE)</f>
        <v>830015</v>
      </c>
      <c r="M710">
        <f>VLOOKUP(Query1[[#This Row],[Description]],'kits to boards'!$B$2:$E$156,3,FALSE)</f>
        <v>0</v>
      </c>
      <c r="N710">
        <f>VLOOKUP(Query1[[#This Row],[Description]],'kits to boards'!$B$2:$E$156,4,FALSE)</f>
        <v>0</v>
      </c>
      <c r="O710" t="str">
        <f>CONCATENATE(Query1[[#This Row],[Description]]," - ",Query1[[#This Row],[MB1]]," - ",Query1[[#This Row],[MB2]]," - ",Query1[[#This Row],[MB3]])</f>
        <v>EVAP KIT 64-66 CHEV P-UP WO AC W/DELX - 830015 - 0 - 0</v>
      </c>
    </row>
    <row r="711" spans="1:15" x14ac:dyDescent="0.25">
      <c r="A711" s="1">
        <v>910810</v>
      </c>
      <c r="B711" s="1" t="s">
        <v>24</v>
      </c>
      <c r="C711" s="1" t="s">
        <v>25</v>
      </c>
      <c r="D711" s="2">
        <v>44606.57495952546</v>
      </c>
      <c r="E711" s="1" t="s">
        <v>11</v>
      </c>
      <c r="F711" s="1">
        <v>1</v>
      </c>
      <c r="G711" s="1">
        <v>0</v>
      </c>
      <c r="H711" s="6">
        <f>INT(Query1[[#This Row],[EntryDateTime]])</f>
        <v>44606</v>
      </c>
      <c r="I711" s="1">
        <f>IF(Query1[[#This Row],[ItemType]]="EVAP KIT SF GEN IV",Query1[[#This Row],[OrderQty]]+I710,I710)</f>
        <v>759</v>
      </c>
      <c r="J711" s="1">
        <f>IF(Query1[[#This Row],[ItemType]]="EVAP KIT UNIVERSAL",Query1[[#This Row],[OrderQty]]+J710,J710)</f>
        <v>377</v>
      </c>
      <c r="K711" s="1">
        <f>Query1[[#This Row],[SF Running Total]]+Query1[[#This Row],[UNIV Running Total]]</f>
        <v>1136</v>
      </c>
      <c r="L711">
        <f>VLOOKUP(Query1[[#This Row],[Description]],'kits to boards'!$B$2:$E$156,2,FALSE)</f>
        <v>830029</v>
      </c>
      <c r="M711">
        <f>VLOOKUP(Query1[[#This Row],[Description]],'kits to boards'!$B$2:$E$156,3,FALSE)</f>
        <v>830030</v>
      </c>
      <c r="N711">
        <f>VLOOKUP(Query1[[#This Row],[Description]],'kits to boards'!$B$2:$E$156,4,FALSE)</f>
        <v>0</v>
      </c>
      <c r="O711" t="str">
        <f>CONCATENATE(Query1[[#This Row],[Description]]," - ",Query1[[#This Row],[MB1]]," - ",Query1[[#This Row],[MB2]]," - ",Query1[[#This Row],[MB3]])</f>
        <v>ComPac GEN II W/DEF - 830029 - 830030 - 0</v>
      </c>
    </row>
    <row r="712" spans="1:15" x14ac:dyDescent="0.25">
      <c r="A712" s="1">
        <v>910813</v>
      </c>
      <c r="B712" s="1" t="s">
        <v>68</v>
      </c>
      <c r="C712" s="1" t="s">
        <v>69</v>
      </c>
      <c r="D712" s="2">
        <v>44606.588430787036</v>
      </c>
      <c r="E712" s="1" t="s">
        <v>8</v>
      </c>
      <c r="F712" s="1">
        <v>1</v>
      </c>
      <c r="G712" s="1">
        <v>0</v>
      </c>
      <c r="H712" s="6">
        <f>INT(Query1[[#This Row],[EntryDateTime]])</f>
        <v>44606</v>
      </c>
      <c r="I712" s="1">
        <f>IF(Query1[[#This Row],[ItemType]]="EVAP KIT SF GEN IV",Query1[[#This Row],[OrderQty]]+I711,I711)</f>
        <v>760</v>
      </c>
      <c r="J712" s="1">
        <f>IF(Query1[[#This Row],[ItemType]]="EVAP KIT UNIVERSAL",Query1[[#This Row],[OrderQty]]+J711,J711)</f>
        <v>377</v>
      </c>
      <c r="K712" s="1">
        <f>Query1[[#This Row],[SF Running Total]]+Query1[[#This Row],[UNIV Running Total]]</f>
        <v>1137</v>
      </c>
      <c r="L712">
        <f>VLOOKUP(Query1[[#This Row],[Description]],'kits to boards'!$B$2:$E$156,2,FALSE)</f>
        <v>830010</v>
      </c>
      <c r="M712">
        <f>VLOOKUP(Query1[[#This Row],[Description]],'kits to boards'!$B$2:$E$156,3,FALSE)</f>
        <v>0</v>
      </c>
      <c r="N712">
        <f>VLOOKUP(Query1[[#This Row],[Description]],'kits to boards'!$B$2:$E$156,4,FALSE)</f>
        <v>0</v>
      </c>
      <c r="O712" t="str">
        <f>CONCATENATE(Query1[[#This Row],[Description]]," - ",Query1[[#This Row],[MB1]]," - ",Query1[[#This Row],[MB2]]," - ",Query1[[#This Row],[MB3]])</f>
        <v>EVAP KIT 70-72 CHEVELLE WO AC - 830010 - 0 - 0</v>
      </c>
    </row>
    <row r="713" spans="1:15" x14ac:dyDescent="0.25">
      <c r="A713" s="1">
        <v>910816</v>
      </c>
      <c r="B713" s="1" t="s">
        <v>48</v>
      </c>
      <c r="C713" s="1" t="s">
        <v>49</v>
      </c>
      <c r="D713" s="2">
        <v>44606.591921527775</v>
      </c>
      <c r="E713" s="1" t="s">
        <v>8</v>
      </c>
      <c r="F713" s="1">
        <v>1</v>
      </c>
      <c r="G713" s="1">
        <v>0</v>
      </c>
      <c r="H713" s="6">
        <f>INT(Query1[[#This Row],[EntryDateTime]])</f>
        <v>44606</v>
      </c>
      <c r="I713" s="1">
        <f>IF(Query1[[#This Row],[ItemType]]="EVAP KIT SF GEN IV",Query1[[#This Row],[OrderQty]]+I712,I712)</f>
        <v>761</v>
      </c>
      <c r="J713" s="1">
        <f>IF(Query1[[#This Row],[ItemType]]="EVAP KIT UNIVERSAL",Query1[[#This Row],[OrderQty]]+J712,J712)</f>
        <v>377</v>
      </c>
      <c r="K713" s="1">
        <f>Query1[[#This Row],[SF Running Total]]+Query1[[#This Row],[UNIV Running Total]]</f>
        <v>1138</v>
      </c>
      <c r="L713">
        <f>VLOOKUP(Query1[[#This Row],[Description]],'kits to boards'!$B$2:$E$156,2,FALSE)</f>
        <v>830015</v>
      </c>
      <c r="M713">
        <f>VLOOKUP(Query1[[#This Row],[Description]],'kits to boards'!$B$2:$E$156,3,FALSE)</f>
        <v>0</v>
      </c>
      <c r="N713">
        <f>VLOOKUP(Query1[[#This Row],[Description]],'kits to boards'!$B$2:$E$156,4,FALSE)</f>
        <v>0</v>
      </c>
      <c r="O713" t="str">
        <f>CONCATENATE(Query1[[#This Row],[Description]]," - ",Query1[[#This Row],[MB1]]," - ",Query1[[#This Row],[MB2]]," - ",Query1[[#This Row],[MB3]])</f>
        <v>EVAP KIT 64-66 CHEV P-UP WO AC W/DELX - 830015 - 0 - 0</v>
      </c>
    </row>
    <row r="714" spans="1:15" x14ac:dyDescent="0.25">
      <c r="A714" s="1">
        <v>910826</v>
      </c>
      <c r="B714" s="1" t="s">
        <v>52</v>
      </c>
      <c r="C714" s="1" t="s">
        <v>53</v>
      </c>
      <c r="D714" s="2">
        <v>44606.60737484954</v>
      </c>
      <c r="E714" s="1" t="s">
        <v>8</v>
      </c>
      <c r="F714" s="1">
        <v>1</v>
      </c>
      <c r="G714" s="1">
        <v>0</v>
      </c>
      <c r="H714" s="6">
        <f>INT(Query1[[#This Row],[EntryDateTime]])</f>
        <v>44606</v>
      </c>
      <c r="I714" s="1">
        <f>IF(Query1[[#This Row],[ItemType]]="EVAP KIT SF GEN IV",Query1[[#This Row],[OrderQty]]+I713,I713)</f>
        <v>762</v>
      </c>
      <c r="J714" s="1">
        <f>IF(Query1[[#This Row],[ItemType]]="EVAP KIT UNIVERSAL",Query1[[#This Row],[OrderQty]]+J713,J713)</f>
        <v>377</v>
      </c>
      <c r="K714" s="1">
        <f>Query1[[#This Row],[SF Running Total]]+Query1[[#This Row],[UNIV Running Total]]</f>
        <v>1139</v>
      </c>
      <c r="L714">
        <f>VLOOKUP(Query1[[#This Row],[Description]],'kits to boards'!$B$2:$E$156,2,FALSE)</f>
        <v>830017</v>
      </c>
      <c r="M714">
        <f>VLOOKUP(Query1[[#This Row],[Description]],'kits to boards'!$B$2:$E$156,3,FALSE)</f>
        <v>830119</v>
      </c>
      <c r="N714">
        <f>VLOOKUP(Query1[[#This Row],[Description]],'kits to boards'!$B$2:$E$156,4,FALSE)</f>
        <v>830120</v>
      </c>
      <c r="O714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715" spans="1:15" x14ac:dyDescent="0.25">
      <c r="A715" s="1">
        <v>910829</v>
      </c>
      <c r="B715" s="1" t="s">
        <v>26</v>
      </c>
      <c r="C715" s="1" t="s">
        <v>27</v>
      </c>
      <c r="D715" s="2">
        <v>44606.610787303238</v>
      </c>
      <c r="E715" s="1" t="s">
        <v>8</v>
      </c>
      <c r="F715" s="1">
        <v>1</v>
      </c>
      <c r="G715" s="1">
        <v>0</v>
      </c>
      <c r="H715" s="6">
        <f>INT(Query1[[#This Row],[EntryDateTime]])</f>
        <v>44606</v>
      </c>
      <c r="I715" s="1">
        <f>IF(Query1[[#This Row],[ItemType]]="EVAP KIT SF GEN IV",Query1[[#This Row],[OrderQty]]+I714,I714)</f>
        <v>763</v>
      </c>
      <c r="J715" s="1">
        <f>IF(Query1[[#This Row],[ItemType]]="EVAP KIT UNIVERSAL",Query1[[#This Row],[OrderQty]]+J714,J714)</f>
        <v>377</v>
      </c>
      <c r="K715" s="1">
        <f>Query1[[#This Row],[SF Running Total]]+Query1[[#This Row],[UNIV Running Total]]</f>
        <v>1140</v>
      </c>
      <c r="L715">
        <f>VLOOKUP(Query1[[#This Row],[Description]],'kits to boards'!$B$2:$E$156,2,FALSE)</f>
        <v>830013</v>
      </c>
      <c r="M715">
        <f>VLOOKUP(Query1[[#This Row],[Description]],'kits to boards'!$B$2:$E$156,3,FALSE)</f>
        <v>0</v>
      </c>
      <c r="N715">
        <f>VLOOKUP(Query1[[#This Row],[Description]],'kits to boards'!$B$2:$E$156,4,FALSE)</f>
        <v>0</v>
      </c>
      <c r="O715" t="str">
        <f>CONCATENATE(Query1[[#This Row],[Description]]," - ",Query1[[#This Row],[MB1]]," - ",Query1[[#This Row],[MB2]]," - ",Query1[[#This Row],[MB3]])</f>
        <v>EVAP KIT 67-72 CHEV P-UP W/AC - 830013 - 0 - 0</v>
      </c>
    </row>
    <row r="716" spans="1:15" x14ac:dyDescent="0.25">
      <c r="A716" s="1">
        <v>910837</v>
      </c>
      <c r="B716" s="1" t="s">
        <v>100</v>
      </c>
      <c r="C716" s="1" t="s">
        <v>101</v>
      </c>
      <c r="D716" s="2">
        <v>44606.618399999999</v>
      </c>
      <c r="E716" s="1" t="s">
        <v>8</v>
      </c>
      <c r="F716" s="1">
        <v>1</v>
      </c>
      <c r="G716" s="1">
        <v>0</v>
      </c>
      <c r="H716" s="6">
        <f>INT(Query1[[#This Row],[EntryDateTime]])</f>
        <v>44606</v>
      </c>
      <c r="I716" s="1">
        <f>IF(Query1[[#This Row],[ItemType]]="EVAP KIT SF GEN IV",Query1[[#This Row],[OrderQty]]+I715,I715)</f>
        <v>764</v>
      </c>
      <c r="J716" s="1">
        <f>IF(Query1[[#This Row],[ItemType]]="EVAP KIT UNIVERSAL",Query1[[#This Row],[OrderQty]]+J715,J715)</f>
        <v>377</v>
      </c>
      <c r="K716" s="1">
        <f>Query1[[#This Row],[SF Running Total]]+Query1[[#This Row],[UNIV Running Total]]</f>
        <v>1141</v>
      </c>
      <c r="L716">
        <f>VLOOKUP(Query1[[#This Row],[Description]],'kits to boards'!$B$2:$E$156,2,FALSE)</f>
        <v>830096</v>
      </c>
      <c r="M716">
        <f>VLOOKUP(Query1[[#This Row],[Description]],'kits to boards'!$B$2:$E$156,3,FALSE)</f>
        <v>0</v>
      </c>
      <c r="N716">
        <f>VLOOKUP(Query1[[#This Row],[Description]],'kits to boards'!$B$2:$E$156,4,FALSE)</f>
        <v>0</v>
      </c>
      <c r="O716" t="str">
        <f>CONCATENATE(Query1[[#This Row],[Description]]," - ",Query1[[#This Row],[MB1]]," - ",Query1[[#This Row],[MB2]]," - ",Query1[[#This Row],[MB3]])</f>
        <v>EVAP KIT 62-65 NOVA - 830096 - 0 - 0</v>
      </c>
    </row>
    <row r="717" spans="1:15" x14ac:dyDescent="0.25">
      <c r="A717" s="1">
        <v>910841</v>
      </c>
      <c r="B717" s="1" t="s">
        <v>140</v>
      </c>
      <c r="C717" s="1" t="s">
        <v>141</v>
      </c>
      <c r="D717" s="2">
        <v>44606.621669907407</v>
      </c>
      <c r="E717" s="1" t="s">
        <v>8</v>
      </c>
      <c r="F717" s="1">
        <v>1</v>
      </c>
      <c r="G717" s="1">
        <v>0</v>
      </c>
      <c r="H717" s="6">
        <f>INT(Query1[[#This Row],[EntryDateTime]])</f>
        <v>44606</v>
      </c>
      <c r="I717" s="1">
        <f>IF(Query1[[#This Row],[ItemType]]="EVAP KIT SF GEN IV",Query1[[#This Row],[OrderQty]]+I716,I716)</f>
        <v>765</v>
      </c>
      <c r="J717" s="1">
        <f>IF(Query1[[#This Row],[ItemType]]="EVAP KIT UNIVERSAL",Query1[[#This Row],[OrderQty]]+J716,J716)</f>
        <v>377</v>
      </c>
      <c r="K717" s="1">
        <f>Query1[[#This Row],[SF Running Total]]+Query1[[#This Row],[UNIV Running Total]]</f>
        <v>1142</v>
      </c>
      <c r="L717">
        <f>VLOOKUP(Query1[[#This Row],[Description]],'kits to boards'!$B$2:$E$156,2,FALSE)</f>
        <v>830066</v>
      </c>
      <c r="M717">
        <f>VLOOKUP(Query1[[#This Row],[Description]],'kits to boards'!$B$2:$E$156,3,FALSE)</f>
        <v>0</v>
      </c>
      <c r="N717">
        <f>VLOOKUP(Query1[[#This Row],[Description]],'kits to boards'!$B$2:$E$156,4,FALSE)</f>
        <v>0</v>
      </c>
      <c r="O717" t="str">
        <f>CONCATENATE(Query1[[#This Row],[Description]]," - ",Query1[[#This Row],[MB1]]," - ",Query1[[#This Row],[MB2]]," - ",Query1[[#This Row],[MB3]])</f>
        <v>EVAP KIT 60-63 CHEV P-UP WO AC - 830066 - 0 - 0</v>
      </c>
    </row>
    <row r="718" spans="1:15" x14ac:dyDescent="0.25">
      <c r="A718" s="1">
        <v>910847</v>
      </c>
      <c r="B718" s="1" t="s">
        <v>92</v>
      </c>
      <c r="C718" s="1" t="s">
        <v>93</v>
      </c>
      <c r="D718" s="2">
        <v>44606.62978278935</v>
      </c>
      <c r="E718" s="1" t="s">
        <v>8</v>
      </c>
      <c r="F718" s="1">
        <v>1</v>
      </c>
      <c r="G718" s="1">
        <v>0</v>
      </c>
      <c r="H718" s="6">
        <f>INT(Query1[[#This Row],[EntryDateTime]])</f>
        <v>44606</v>
      </c>
      <c r="I718" s="1">
        <f>IF(Query1[[#This Row],[ItemType]]="EVAP KIT SF GEN IV",Query1[[#This Row],[OrderQty]]+I717,I717)</f>
        <v>766</v>
      </c>
      <c r="J718" s="1">
        <f>IF(Query1[[#This Row],[ItemType]]="EVAP KIT UNIVERSAL",Query1[[#This Row],[OrderQty]]+J717,J717)</f>
        <v>377</v>
      </c>
      <c r="K718" s="1">
        <f>Query1[[#This Row],[SF Running Total]]+Query1[[#This Row],[UNIV Running Total]]</f>
        <v>1143</v>
      </c>
      <c r="L718">
        <f>VLOOKUP(Query1[[#This Row],[Description]],'kits to boards'!$B$2:$E$156,2,FALSE)</f>
        <v>830063</v>
      </c>
      <c r="M718">
        <f>VLOOKUP(Query1[[#This Row],[Description]],'kits to boards'!$B$2:$E$156,3,FALSE)</f>
        <v>0</v>
      </c>
      <c r="N718">
        <f>VLOOKUP(Query1[[#This Row],[Description]],'kits to boards'!$B$2:$E$156,4,FALSE)</f>
        <v>0</v>
      </c>
      <c r="O718" t="str">
        <f>CONCATENATE(Query1[[#This Row],[Description]]," - ",Query1[[#This Row],[MB1]]," - ",Query1[[#This Row],[MB2]]," - ",Query1[[#This Row],[MB3]])</f>
        <v>EVAP KIT 50-53 CHEV P-UP GEN IV - 830063 - 0 - 0</v>
      </c>
    </row>
    <row r="719" spans="1:15" x14ac:dyDescent="0.25">
      <c r="A719" s="1">
        <v>910618</v>
      </c>
      <c r="B719" s="1" t="s">
        <v>124</v>
      </c>
      <c r="C719" s="1" t="s">
        <v>125</v>
      </c>
      <c r="D719" s="2">
        <v>44606.635900578702</v>
      </c>
      <c r="E719" s="1" t="s">
        <v>8</v>
      </c>
      <c r="F719" s="1">
        <v>1</v>
      </c>
      <c r="G719" s="1">
        <v>0</v>
      </c>
      <c r="H719" s="6">
        <f>INT(Query1[[#This Row],[EntryDateTime]])</f>
        <v>44606</v>
      </c>
      <c r="I719" s="1">
        <f>IF(Query1[[#This Row],[ItemType]]="EVAP KIT SF GEN IV",Query1[[#This Row],[OrderQty]]+I718,I718)</f>
        <v>767</v>
      </c>
      <c r="J719" s="1">
        <f>IF(Query1[[#This Row],[ItemType]]="EVAP KIT UNIVERSAL",Query1[[#This Row],[OrderQty]]+J718,J718)</f>
        <v>377</v>
      </c>
      <c r="K719" s="1">
        <f>Query1[[#This Row],[SF Running Total]]+Query1[[#This Row],[UNIV Running Total]]</f>
        <v>1144</v>
      </c>
      <c r="L719">
        <f>VLOOKUP(Query1[[#This Row],[Description]],'kits to boards'!$B$2:$E$156,2,FALSE)</f>
        <v>830002</v>
      </c>
      <c r="M719">
        <f>VLOOKUP(Query1[[#This Row],[Description]],'kits to boards'!$B$2:$E$156,3,FALSE)</f>
        <v>0</v>
      </c>
      <c r="N719">
        <f>VLOOKUP(Query1[[#This Row],[Description]],'kits to boards'!$B$2:$E$156,4,FALSE)</f>
        <v>0</v>
      </c>
      <c r="O719" t="str">
        <f>CONCATENATE(Query1[[#This Row],[Description]]," - ",Query1[[#This Row],[MB1]]," - ",Query1[[#This Row],[MB2]]," - ",Query1[[#This Row],[MB3]])</f>
        <v>EVAP KIT 73-80 CHEV P-UP WO AC - 830002 - 0 - 0</v>
      </c>
    </row>
    <row r="720" spans="1:15" x14ac:dyDescent="0.25">
      <c r="A720" s="1">
        <v>910853</v>
      </c>
      <c r="B720" s="1" t="s">
        <v>68</v>
      </c>
      <c r="C720" s="1" t="s">
        <v>69</v>
      </c>
      <c r="D720" s="2">
        <v>44606.636541550928</v>
      </c>
      <c r="E720" s="1" t="s">
        <v>8</v>
      </c>
      <c r="F720" s="1">
        <v>1</v>
      </c>
      <c r="G720" s="1">
        <v>0</v>
      </c>
      <c r="H720" s="6">
        <f>INT(Query1[[#This Row],[EntryDateTime]])</f>
        <v>44606</v>
      </c>
      <c r="I720" s="1">
        <f>IF(Query1[[#This Row],[ItemType]]="EVAP KIT SF GEN IV",Query1[[#This Row],[OrderQty]]+I719,I719)</f>
        <v>768</v>
      </c>
      <c r="J720" s="1">
        <f>IF(Query1[[#This Row],[ItemType]]="EVAP KIT UNIVERSAL",Query1[[#This Row],[OrderQty]]+J719,J719)</f>
        <v>377</v>
      </c>
      <c r="K720" s="1">
        <f>Query1[[#This Row],[SF Running Total]]+Query1[[#This Row],[UNIV Running Total]]</f>
        <v>1145</v>
      </c>
      <c r="L720">
        <f>VLOOKUP(Query1[[#This Row],[Description]],'kits to boards'!$B$2:$E$156,2,FALSE)</f>
        <v>830010</v>
      </c>
      <c r="M720">
        <f>VLOOKUP(Query1[[#This Row],[Description]],'kits to boards'!$B$2:$E$156,3,FALSE)</f>
        <v>0</v>
      </c>
      <c r="N720">
        <f>VLOOKUP(Query1[[#This Row],[Description]],'kits to boards'!$B$2:$E$156,4,FALSE)</f>
        <v>0</v>
      </c>
      <c r="O720" t="str">
        <f>CONCATENATE(Query1[[#This Row],[Description]]," - ",Query1[[#This Row],[MB1]]," - ",Query1[[#This Row],[MB2]]," - ",Query1[[#This Row],[MB3]])</f>
        <v>EVAP KIT 70-72 CHEVELLE WO AC - 830010 - 0 - 0</v>
      </c>
    </row>
    <row r="721" spans="1:15" x14ac:dyDescent="0.25">
      <c r="A721" s="1">
        <v>910858</v>
      </c>
      <c r="B721" s="1" t="s">
        <v>124</v>
      </c>
      <c r="C721" s="1" t="s">
        <v>125</v>
      </c>
      <c r="D721" s="2">
        <v>44606.646080555554</v>
      </c>
      <c r="E721" s="1" t="s">
        <v>8</v>
      </c>
      <c r="F721" s="1">
        <v>1</v>
      </c>
      <c r="G721" s="1">
        <v>0</v>
      </c>
      <c r="H721" s="6">
        <f>INT(Query1[[#This Row],[EntryDateTime]])</f>
        <v>44606</v>
      </c>
      <c r="I721" s="1">
        <f>IF(Query1[[#This Row],[ItemType]]="EVAP KIT SF GEN IV",Query1[[#This Row],[OrderQty]]+I720,I720)</f>
        <v>769</v>
      </c>
      <c r="J721" s="1">
        <f>IF(Query1[[#This Row],[ItemType]]="EVAP KIT UNIVERSAL",Query1[[#This Row],[OrderQty]]+J720,J720)</f>
        <v>377</v>
      </c>
      <c r="K721" s="1">
        <f>Query1[[#This Row],[SF Running Total]]+Query1[[#This Row],[UNIV Running Total]]</f>
        <v>1146</v>
      </c>
      <c r="L721">
        <f>VLOOKUP(Query1[[#This Row],[Description]],'kits to boards'!$B$2:$E$156,2,FALSE)</f>
        <v>830002</v>
      </c>
      <c r="M721">
        <f>VLOOKUP(Query1[[#This Row],[Description]],'kits to boards'!$B$2:$E$156,3,FALSE)</f>
        <v>0</v>
      </c>
      <c r="N721">
        <f>VLOOKUP(Query1[[#This Row],[Description]],'kits to boards'!$B$2:$E$156,4,FALSE)</f>
        <v>0</v>
      </c>
      <c r="O721" t="str">
        <f>CONCATENATE(Query1[[#This Row],[Description]]," - ",Query1[[#This Row],[MB1]]," - ",Query1[[#This Row],[MB2]]," - ",Query1[[#This Row],[MB3]])</f>
        <v>EVAP KIT 73-80 CHEV P-UP WO AC - 830002 - 0 - 0</v>
      </c>
    </row>
    <row r="722" spans="1:15" x14ac:dyDescent="0.25">
      <c r="A722" s="1">
        <v>908636</v>
      </c>
      <c r="B722" s="1" t="s">
        <v>46</v>
      </c>
      <c r="C722" s="1" t="s">
        <v>47</v>
      </c>
      <c r="D722" s="2">
        <v>44606.6478221875</v>
      </c>
      <c r="E722" s="1" t="s">
        <v>8</v>
      </c>
      <c r="F722" s="1">
        <v>1</v>
      </c>
      <c r="G722" s="1">
        <v>0</v>
      </c>
      <c r="H722" s="6">
        <f>INT(Query1[[#This Row],[EntryDateTime]])</f>
        <v>44606</v>
      </c>
      <c r="I722" s="1">
        <f>IF(Query1[[#This Row],[ItemType]]="EVAP KIT SF GEN IV",Query1[[#This Row],[OrderQty]]+I721,I721)</f>
        <v>770</v>
      </c>
      <c r="J722" s="1">
        <f>IF(Query1[[#This Row],[ItemType]]="EVAP KIT UNIVERSAL",Query1[[#This Row],[OrderQty]]+J721,J721)</f>
        <v>377</v>
      </c>
      <c r="K722" s="1">
        <f>Query1[[#This Row],[SF Running Total]]+Query1[[#This Row],[UNIV Running Total]]</f>
        <v>1147</v>
      </c>
      <c r="L722">
        <f>VLOOKUP(Query1[[#This Row],[Description]],'kits to boards'!$B$2:$E$156,2,FALSE)</f>
        <v>830018</v>
      </c>
      <c r="M722">
        <f>VLOOKUP(Query1[[#This Row],[Description]],'kits to boards'!$B$2:$E$156,3,FALSE)</f>
        <v>0</v>
      </c>
      <c r="N722">
        <f>VLOOKUP(Query1[[#This Row],[Description]],'kits to boards'!$B$2:$E$156,4,FALSE)</f>
        <v>0</v>
      </c>
      <c r="O722" t="str">
        <f>CONCATENATE(Query1[[#This Row],[Description]]," - ",Query1[[#This Row],[MB1]]," - ",Query1[[#This Row],[MB2]]," - ",Query1[[#This Row],[MB3]])</f>
        <v>EVAP KIT 68-72 FORD P-UP F-100 - 830018 - 0 - 0</v>
      </c>
    </row>
    <row r="723" spans="1:15" x14ac:dyDescent="0.25">
      <c r="A723" s="1">
        <v>910861</v>
      </c>
      <c r="B723" s="1" t="s">
        <v>26</v>
      </c>
      <c r="C723" s="1" t="s">
        <v>27</v>
      </c>
      <c r="D723" s="2">
        <v>44606.650646608796</v>
      </c>
      <c r="E723" s="1" t="s">
        <v>8</v>
      </c>
      <c r="F723" s="1">
        <v>1</v>
      </c>
      <c r="G723" s="1">
        <v>0</v>
      </c>
      <c r="H723" s="6">
        <f>INT(Query1[[#This Row],[EntryDateTime]])</f>
        <v>44606</v>
      </c>
      <c r="I723" s="1">
        <f>IF(Query1[[#This Row],[ItemType]]="EVAP KIT SF GEN IV",Query1[[#This Row],[OrderQty]]+I722,I722)</f>
        <v>771</v>
      </c>
      <c r="J723" s="1">
        <f>IF(Query1[[#This Row],[ItemType]]="EVAP KIT UNIVERSAL",Query1[[#This Row],[OrderQty]]+J722,J722)</f>
        <v>377</v>
      </c>
      <c r="K723" s="1">
        <f>Query1[[#This Row],[SF Running Total]]+Query1[[#This Row],[UNIV Running Total]]</f>
        <v>1148</v>
      </c>
      <c r="L723">
        <f>VLOOKUP(Query1[[#This Row],[Description]],'kits to boards'!$B$2:$E$156,2,FALSE)</f>
        <v>830013</v>
      </c>
      <c r="M723">
        <f>VLOOKUP(Query1[[#This Row],[Description]],'kits to boards'!$B$2:$E$156,3,FALSE)</f>
        <v>0</v>
      </c>
      <c r="N723">
        <f>VLOOKUP(Query1[[#This Row],[Description]],'kits to boards'!$B$2:$E$156,4,FALSE)</f>
        <v>0</v>
      </c>
      <c r="O723" t="str">
        <f>CONCATENATE(Query1[[#This Row],[Description]]," - ",Query1[[#This Row],[MB1]]," - ",Query1[[#This Row],[MB2]]," - ",Query1[[#This Row],[MB3]])</f>
        <v>EVAP KIT 67-72 CHEV P-UP W/AC - 830013 - 0 - 0</v>
      </c>
    </row>
    <row r="724" spans="1:15" x14ac:dyDescent="0.25">
      <c r="A724" s="1">
        <v>904930</v>
      </c>
      <c r="B724" s="1" t="s">
        <v>102</v>
      </c>
      <c r="C724" s="1" t="s">
        <v>103</v>
      </c>
      <c r="D724" s="2">
        <v>44606.658407523151</v>
      </c>
      <c r="E724" s="1" t="s">
        <v>8</v>
      </c>
      <c r="F724" s="1">
        <v>1</v>
      </c>
      <c r="G724" s="1">
        <v>0</v>
      </c>
      <c r="H724" s="6">
        <f>INT(Query1[[#This Row],[EntryDateTime]])</f>
        <v>44606</v>
      </c>
      <c r="I724" s="1">
        <f>IF(Query1[[#This Row],[ItemType]]="EVAP KIT SF GEN IV",Query1[[#This Row],[OrderQty]]+I723,I723)</f>
        <v>772</v>
      </c>
      <c r="J724" s="1">
        <f>IF(Query1[[#This Row],[ItemType]]="EVAP KIT UNIVERSAL",Query1[[#This Row],[OrderQty]]+J723,J723)</f>
        <v>377</v>
      </c>
      <c r="K724" s="1">
        <f>Query1[[#This Row],[SF Running Total]]+Query1[[#This Row],[UNIV Running Total]]</f>
        <v>1149</v>
      </c>
      <c r="L724">
        <f>VLOOKUP(Query1[[#This Row],[Description]],'kits to boards'!$B$2:$E$156,2,FALSE)</f>
        <v>830012</v>
      </c>
      <c r="M724">
        <f>VLOOKUP(Query1[[#This Row],[Description]],'kits to boards'!$B$2:$E$156,3,FALSE)</f>
        <v>0</v>
      </c>
      <c r="N724">
        <f>VLOOKUP(Query1[[#This Row],[Description]],'kits to boards'!$B$2:$E$156,4,FALSE)</f>
        <v>0</v>
      </c>
      <c r="O724" t="str">
        <f>CONCATENATE(Query1[[#This Row],[Description]]," - ",Query1[[#This Row],[MB1]]," - ",Query1[[#This Row],[MB2]]," - ",Query1[[#This Row],[MB3]])</f>
        <v>EVAP KIT 69 CAMARO WO/AC - 830012 - 0 - 0</v>
      </c>
    </row>
    <row r="725" spans="1:15" x14ac:dyDescent="0.25">
      <c r="A725" s="1">
        <v>910870</v>
      </c>
      <c r="B725" s="1" t="s">
        <v>68</v>
      </c>
      <c r="C725" s="1" t="s">
        <v>69</v>
      </c>
      <c r="D725" s="2">
        <v>44606.669265428238</v>
      </c>
      <c r="E725" s="1" t="s">
        <v>8</v>
      </c>
      <c r="F725" s="1">
        <v>1</v>
      </c>
      <c r="G725" s="1">
        <v>0</v>
      </c>
      <c r="H725" s="6">
        <f>INT(Query1[[#This Row],[EntryDateTime]])</f>
        <v>44606</v>
      </c>
      <c r="I725" s="1">
        <f>IF(Query1[[#This Row],[ItemType]]="EVAP KIT SF GEN IV",Query1[[#This Row],[OrderQty]]+I724,I724)</f>
        <v>773</v>
      </c>
      <c r="J725" s="1">
        <f>IF(Query1[[#This Row],[ItemType]]="EVAP KIT UNIVERSAL",Query1[[#This Row],[OrderQty]]+J724,J724)</f>
        <v>377</v>
      </c>
      <c r="K725" s="1">
        <f>Query1[[#This Row],[SF Running Total]]+Query1[[#This Row],[UNIV Running Total]]</f>
        <v>1150</v>
      </c>
      <c r="L725">
        <f>VLOOKUP(Query1[[#This Row],[Description]],'kits to boards'!$B$2:$E$156,2,FALSE)</f>
        <v>830010</v>
      </c>
      <c r="M725">
        <f>VLOOKUP(Query1[[#This Row],[Description]],'kits to boards'!$B$2:$E$156,3,FALSE)</f>
        <v>0</v>
      </c>
      <c r="N725">
        <f>VLOOKUP(Query1[[#This Row],[Description]],'kits to boards'!$B$2:$E$156,4,FALSE)</f>
        <v>0</v>
      </c>
      <c r="O725" t="str">
        <f>CONCATENATE(Query1[[#This Row],[Description]]," - ",Query1[[#This Row],[MB1]]," - ",Query1[[#This Row],[MB2]]," - ",Query1[[#This Row],[MB3]])</f>
        <v>EVAP KIT 70-72 CHEVELLE WO AC - 830010 - 0 - 0</v>
      </c>
    </row>
    <row r="726" spans="1:15" x14ac:dyDescent="0.25">
      <c r="A726" s="1">
        <v>910874</v>
      </c>
      <c r="B726" s="1" t="s">
        <v>52</v>
      </c>
      <c r="C726" s="1" t="s">
        <v>53</v>
      </c>
      <c r="D726" s="2">
        <v>44606.674902164355</v>
      </c>
      <c r="E726" s="1" t="s">
        <v>8</v>
      </c>
      <c r="F726" s="1">
        <v>3</v>
      </c>
      <c r="G726" s="1">
        <v>0</v>
      </c>
      <c r="H726" s="6">
        <f>INT(Query1[[#This Row],[EntryDateTime]])</f>
        <v>44606</v>
      </c>
      <c r="I726" s="1">
        <f>IF(Query1[[#This Row],[ItemType]]="EVAP KIT SF GEN IV",Query1[[#This Row],[OrderQty]]+I725,I725)</f>
        <v>776</v>
      </c>
      <c r="J726" s="1">
        <f>IF(Query1[[#This Row],[ItemType]]="EVAP KIT UNIVERSAL",Query1[[#This Row],[OrderQty]]+J725,J725)</f>
        <v>377</v>
      </c>
      <c r="K726" s="1">
        <f>Query1[[#This Row],[SF Running Total]]+Query1[[#This Row],[UNIV Running Total]]</f>
        <v>1153</v>
      </c>
      <c r="L726">
        <f>VLOOKUP(Query1[[#This Row],[Description]],'kits to boards'!$B$2:$E$156,2,FALSE)</f>
        <v>830017</v>
      </c>
      <c r="M726">
        <f>VLOOKUP(Query1[[#This Row],[Description]],'kits to boards'!$B$2:$E$156,3,FALSE)</f>
        <v>830119</v>
      </c>
      <c r="N726">
        <f>VLOOKUP(Query1[[#This Row],[Description]],'kits to boards'!$B$2:$E$156,4,FALSE)</f>
        <v>830120</v>
      </c>
      <c r="O726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727" spans="1:15" x14ac:dyDescent="0.25">
      <c r="A727" s="1">
        <v>910874</v>
      </c>
      <c r="B727" s="1" t="s">
        <v>14</v>
      </c>
      <c r="C727" s="1" t="s">
        <v>15</v>
      </c>
      <c r="D727" s="2">
        <v>44606.674904282409</v>
      </c>
      <c r="E727" s="1" t="s">
        <v>8</v>
      </c>
      <c r="F727" s="1">
        <v>3</v>
      </c>
      <c r="G727" s="1">
        <v>0</v>
      </c>
      <c r="H727" s="6">
        <f>INT(Query1[[#This Row],[EntryDateTime]])</f>
        <v>44606</v>
      </c>
      <c r="I727" s="1">
        <f>IF(Query1[[#This Row],[ItemType]]="EVAP KIT SF GEN IV",Query1[[#This Row],[OrderQty]]+I726,I726)</f>
        <v>779</v>
      </c>
      <c r="J727" s="1">
        <f>IF(Query1[[#This Row],[ItemType]]="EVAP KIT UNIVERSAL",Query1[[#This Row],[OrderQty]]+J726,J726)</f>
        <v>377</v>
      </c>
      <c r="K727" s="1">
        <f>Query1[[#This Row],[SF Running Total]]+Query1[[#This Row],[UNIV Running Total]]</f>
        <v>1156</v>
      </c>
      <c r="L727">
        <f>VLOOKUP(Query1[[#This Row],[Description]],'kits to boards'!$B$2:$E$156,2,FALSE)</f>
        <v>830054</v>
      </c>
      <c r="M727">
        <f>VLOOKUP(Query1[[#This Row],[Description]],'kits to boards'!$B$2:$E$156,3,FALSE)</f>
        <v>0</v>
      </c>
      <c r="N727">
        <f>VLOOKUP(Query1[[#This Row],[Description]],'kits to boards'!$B$2:$E$156,4,FALSE)</f>
        <v>0</v>
      </c>
      <c r="O727" t="str">
        <f>CONCATENATE(Query1[[#This Row],[Description]]," - ",Query1[[#This Row],[MB1]]," - ",Query1[[#This Row],[MB2]]," - ",Query1[[#This Row],[MB3]])</f>
        <v>EVAP KIT 55-56 CHEVY - 830054 - 0 - 0</v>
      </c>
    </row>
    <row r="728" spans="1:15" x14ac:dyDescent="0.25">
      <c r="A728" s="1">
        <v>910874</v>
      </c>
      <c r="B728" s="1" t="s">
        <v>30</v>
      </c>
      <c r="C728" s="1" t="s">
        <v>31</v>
      </c>
      <c r="D728" s="2">
        <v>44606.674906481479</v>
      </c>
      <c r="E728" s="1" t="s">
        <v>8</v>
      </c>
      <c r="F728" s="1">
        <v>3</v>
      </c>
      <c r="G728" s="1">
        <v>0</v>
      </c>
      <c r="H728" s="6">
        <f>INT(Query1[[#This Row],[EntryDateTime]])</f>
        <v>44606</v>
      </c>
      <c r="I728" s="1">
        <f>IF(Query1[[#This Row],[ItemType]]="EVAP KIT SF GEN IV",Query1[[#This Row],[OrderQty]]+I727,I727)</f>
        <v>782</v>
      </c>
      <c r="J728" s="1">
        <f>IF(Query1[[#This Row],[ItemType]]="EVAP KIT UNIVERSAL",Query1[[#This Row],[OrderQty]]+J727,J727)</f>
        <v>377</v>
      </c>
      <c r="K728" s="1">
        <f>Query1[[#This Row],[SF Running Total]]+Query1[[#This Row],[UNIV Running Total]]</f>
        <v>1159</v>
      </c>
      <c r="L728">
        <f>VLOOKUP(Query1[[#This Row],[Description]],'kits to boards'!$B$2:$E$156,2,FALSE)</f>
        <v>830054</v>
      </c>
      <c r="M728">
        <f>VLOOKUP(Query1[[#This Row],[Description]],'kits to boards'!$B$2:$E$156,3,FALSE)</f>
        <v>0</v>
      </c>
      <c r="N728">
        <f>VLOOKUP(Query1[[#This Row],[Description]],'kits to boards'!$B$2:$E$156,4,FALSE)</f>
        <v>0</v>
      </c>
      <c r="O728" t="str">
        <f>CONCATENATE(Query1[[#This Row],[Description]]," - ",Query1[[#This Row],[MB1]]," - ",Query1[[#This Row],[MB2]]," - ",Query1[[#This Row],[MB3]])</f>
        <v>EVAP KIT 55-56 CHEVY 4-VENT - 830054 - 0 - 0</v>
      </c>
    </row>
    <row r="729" spans="1:15" x14ac:dyDescent="0.25">
      <c r="A729" s="1">
        <v>910874</v>
      </c>
      <c r="B729" s="1" t="s">
        <v>122</v>
      </c>
      <c r="C729" s="1" t="s">
        <v>123</v>
      </c>
      <c r="D729" s="2">
        <v>44606.674908680558</v>
      </c>
      <c r="E729" s="1" t="s">
        <v>8</v>
      </c>
      <c r="F729" s="1">
        <v>3</v>
      </c>
      <c r="G729" s="1">
        <v>0</v>
      </c>
      <c r="H729" s="6">
        <f>INT(Query1[[#This Row],[EntryDateTime]])</f>
        <v>44606</v>
      </c>
      <c r="I729" s="1">
        <f>IF(Query1[[#This Row],[ItemType]]="EVAP KIT SF GEN IV",Query1[[#This Row],[OrderQty]]+I728,I728)</f>
        <v>785</v>
      </c>
      <c r="J729" s="1">
        <f>IF(Query1[[#This Row],[ItemType]]="EVAP KIT UNIVERSAL",Query1[[#This Row],[OrderQty]]+J728,J728)</f>
        <v>377</v>
      </c>
      <c r="K729" s="1">
        <f>Query1[[#This Row],[SF Running Total]]+Query1[[#This Row],[UNIV Running Total]]</f>
        <v>1162</v>
      </c>
      <c r="L729">
        <f>VLOOKUP(Query1[[#This Row],[Description]],'kits to boards'!$B$2:$E$156,2,FALSE)</f>
        <v>830027</v>
      </c>
      <c r="M729">
        <f>VLOOKUP(Query1[[#This Row],[Description]],'kits to boards'!$B$2:$E$156,3,FALSE)</f>
        <v>0</v>
      </c>
      <c r="N729">
        <f>VLOOKUP(Query1[[#This Row],[Description]],'kits to boards'!$B$2:$E$156,4,FALSE)</f>
        <v>0</v>
      </c>
      <c r="O729" t="str">
        <f>CONCATENATE(Query1[[#This Row],[Description]]," - ",Query1[[#This Row],[MB1]]," - ",Query1[[#This Row],[MB2]]," - ",Query1[[#This Row],[MB3]])</f>
        <v>EVAP KIT 70-72 CUTLASS W/AC - 830027 - 0 - 0</v>
      </c>
    </row>
    <row r="730" spans="1:15" x14ac:dyDescent="0.25">
      <c r="A730" s="1">
        <v>910874</v>
      </c>
      <c r="B730" s="1" t="s">
        <v>38</v>
      </c>
      <c r="C730" s="1" t="s">
        <v>39</v>
      </c>
      <c r="D730" s="2">
        <v>44606.674911111113</v>
      </c>
      <c r="E730" s="1" t="s">
        <v>8</v>
      </c>
      <c r="F730" s="1">
        <v>3</v>
      </c>
      <c r="G730" s="1">
        <v>0</v>
      </c>
      <c r="H730" s="6">
        <f>INT(Query1[[#This Row],[EntryDateTime]])</f>
        <v>44606</v>
      </c>
      <c r="I730" s="1">
        <f>IF(Query1[[#This Row],[ItemType]]="EVAP KIT SF GEN IV",Query1[[#This Row],[OrderQty]]+I729,I729)</f>
        <v>788</v>
      </c>
      <c r="J730" s="1">
        <f>IF(Query1[[#This Row],[ItemType]]="EVAP KIT UNIVERSAL",Query1[[#This Row],[OrderQty]]+J729,J729)</f>
        <v>377</v>
      </c>
      <c r="K730" s="1">
        <f>Query1[[#This Row],[SF Running Total]]+Query1[[#This Row],[UNIV Running Total]]</f>
        <v>1165</v>
      </c>
      <c r="L730">
        <f>VLOOKUP(Query1[[#This Row],[Description]],'kits to boards'!$B$2:$E$156,2,FALSE)</f>
        <v>830012</v>
      </c>
      <c r="M730">
        <f>VLOOKUP(Query1[[#This Row],[Description]],'kits to boards'!$B$2:$E$156,3,FALSE)</f>
        <v>0</v>
      </c>
      <c r="N730">
        <f>VLOOKUP(Query1[[#This Row],[Description]],'kits to boards'!$B$2:$E$156,4,FALSE)</f>
        <v>0</v>
      </c>
      <c r="O730" t="str">
        <f>CONCATENATE(Query1[[#This Row],[Description]]," - ",Query1[[#This Row],[MB1]]," - ",Query1[[#This Row],[MB2]]," - ",Query1[[#This Row],[MB3]])</f>
        <v>EVAP KIT 69 CAMARO W/AC - 830012 - 0 - 0</v>
      </c>
    </row>
    <row r="731" spans="1:15" x14ac:dyDescent="0.25">
      <c r="A731" s="1">
        <v>910874</v>
      </c>
      <c r="B731" s="1" t="s">
        <v>16</v>
      </c>
      <c r="C731" s="1" t="s">
        <v>17</v>
      </c>
      <c r="D731" s="2">
        <v>44606.674913460651</v>
      </c>
      <c r="E731" s="1" t="s">
        <v>8</v>
      </c>
      <c r="F731" s="1">
        <v>6</v>
      </c>
      <c r="G731" s="1">
        <v>0</v>
      </c>
      <c r="H731" s="6">
        <f>INT(Query1[[#This Row],[EntryDateTime]])</f>
        <v>44606</v>
      </c>
      <c r="I731" s="1">
        <f>IF(Query1[[#This Row],[ItemType]]="EVAP KIT SF GEN IV",Query1[[#This Row],[OrderQty]]+I730,I730)</f>
        <v>794</v>
      </c>
      <c r="J731" s="1">
        <f>IF(Query1[[#This Row],[ItemType]]="EVAP KIT UNIVERSAL",Query1[[#This Row],[OrderQty]]+J730,J730)</f>
        <v>377</v>
      </c>
      <c r="K731" s="1">
        <f>Query1[[#This Row],[SF Running Total]]+Query1[[#This Row],[UNIV Running Total]]</f>
        <v>1171</v>
      </c>
      <c r="L731">
        <f>VLOOKUP(Query1[[#This Row],[Description]],'kits to boards'!$B$2:$E$156,2,FALSE)</f>
        <v>830061</v>
      </c>
      <c r="M731">
        <f>VLOOKUP(Query1[[#This Row],[Description]],'kits to boards'!$B$2:$E$156,3,FALSE)</f>
        <v>0</v>
      </c>
      <c r="N731">
        <f>VLOOKUP(Query1[[#This Row],[Description]],'kits to boards'!$B$2:$E$156,4,FALSE)</f>
        <v>0</v>
      </c>
      <c r="O731" t="str">
        <f>CONCATENATE(Query1[[#This Row],[Description]]," - ",Query1[[#This Row],[MB1]]," - ",Query1[[#This Row],[MB2]]," - ",Query1[[#This Row],[MB3]])</f>
        <v>EVAP KIT 68-69 CHEVELLE W/AC - 830061 - 0 - 0</v>
      </c>
    </row>
    <row r="732" spans="1:15" x14ac:dyDescent="0.25">
      <c r="A732" s="1">
        <v>910874</v>
      </c>
      <c r="B732" s="1" t="s">
        <v>56</v>
      </c>
      <c r="C732" s="1" t="s">
        <v>57</v>
      </c>
      <c r="D732" s="2">
        <v>44606.674915509262</v>
      </c>
      <c r="E732" s="1" t="s">
        <v>8</v>
      </c>
      <c r="F732" s="1">
        <v>7</v>
      </c>
      <c r="G732" s="1">
        <v>0</v>
      </c>
      <c r="H732" s="6">
        <f>INT(Query1[[#This Row],[EntryDateTime]])</f>
        <v>44606</v>
      </c>
      <c r="I732" s="1">
        <f>IF(Query1[[#This Row],[ItemType]]="EVAP KIT SF GEN IV",Query1[[#This Row],[OrderQty]]+I731,I731)</f>
        <v>801</v>
      </c>
      <c r="J732" s="1">
        <f>IF(Query1[[#This Row],[ItemType]]="EVAP KIT UNIVERSAL",Query1[[#This Row],[OrderQty]]+J731,J731)</f>
        <v>377</v>
      </c>
      <c r="K732" s="1">
        <f>Query1[[#This Row],[SF Running Total]]+Query1[[#This Row],[UNIV Running Total]]</f>
        <v>1178</v>
      </c>
      <c r="L732">
        <f>VLOOKUP(Query1[[#This Row],[Description]],'kits to boards'!$B$2:$E$156,2,FALSE)</f>
        <v>830011</v>
      </c>
      <c r="M732">
        <f>VLOOKUP(Query1[[#This Row],[Description]],'kits to boards'!$B$2:$E$156,3,FALSE)</f>
        <v>0</v>
      </c>
      <c r="N732">
        <f>VLOOKUP(Query1[[#This Row],[Description]],'kits to boards'!$B$2:$E$156,4,FALSE)</f>
        <v>0</v>
      </c>
      <c r="O732" t="str">
        <f>CONCATENATE(Query1[[#This Row],[Description]]," - ",Query1[[#This Row],[MB1]]," - ",Query1[[#This Row],[MB2]]," - ",Query1[[#This Row],[MB3]])</f>
        <v>EVAP KIT 70-72 CHEVELLE W/AC - 830011 - 0 - 0</v>
      </c>
    </row>
    <row r="733" spans="1:15" x14ac:dyDescent="0.25">
      <c r="A733" s="1">
        <v>910874</v>
      </c>
      <c r="B733" s="1" t="s">
        <v>46</v>
      </c>
      <c r="C733" s="1" t="s">
        <v>47</v>
      </c>
      <c r="D733" s="2">
        <v>44606.674924386571</v>
      </c>
      <c r="E733" s="1" t="s">
        <v>8</v>
      </c>
      <c r="F733" s="1">
        <v>3</v>
      </c>
      <c r="G733" s="1">
        <v>0</v>
      </c>
      <c r="H733" s="6">
        <f>INT(Query1[[#This Row],[EntryDateTime]])</f>
        <v>44606</v>
      </c>
      <c r="I733" s="1">
        <f>IF(Query1[[#This Row],[ItemType]]="EVAP KIT SF GEN IV",Query1[[#This Row],[OrderQty]]+I732,I732)</f>
        <v>804</v>
      </c>
      <c r="J733" s="1">
        <f>IF(Query1[[#This Row],[ItemType]]="EVAP KIT UNIVERSAL",Query1[[#This Row],[OrderQty]]+J732,J732)</f>
        <v>377</v>
      </c>
      <c r="K733" s="1">
        <f>Query1[[#This Row],[SF Running Total]]+Query1[[#This Row],[UNIV Running Total]]</f>
        <v>1181</v>
      </c>
      <c r="L733">
        <f>VLOOKUP(Query1[[#This Row],[Description]],'kits to boards'!$B$2:$E$156,2,FALSE)</f>
        <v>830018</v>
      </c>
      <c r="M733">
        <f>VLOOKUP(Query1[[#This Row],[Description]],'kits to boards'!$B$2:$E$156,3,FALSE)</f>
        <v>0</v>
      </c>
      <c r="N733">
        <f>VLOOKUP(Query1[[#This Row],[Description]],'kits to boards'!$B$2:$E$156,4,FALSE)</f>
        <v>0</v>
      </c>
      <c r="O733" t="str">
        <f>CONCATENATE(Query1[[#This Row],[Description]]," - ",Query1[[#This Row],[MB1]]," - ",Query1[[#This Row],[MB2]]," - ",Query1[[#This Row],[MB3]])</f>
        <v>EVAP KIT 68-72 FORD P-UP F-100 - 830018 - 0 - 0</v>
      </c>
    </row>
    <row r="734" spans="1:15" x14ac:dyDescent="0.25">
      <c r="A734" s="1">
        <v>910874</v>
      </c>
      <c r="B734" s="1" t="s">
        <v>42</v>
      </c>
      <c r="C734" s="1" t="s">
        <v>43</v>
      </c>
      <c r="D734" s="2">
        <v>44606.674926006941</v>
      </c>
      <c r="E734" s="1" t="s">
        <v>8</v>
      </c>
      <c r="F734" s="1">
        <v>3</v>
      </c>
      <c r="G734" s="1">
        <v>0</v>
      </c>
      <c r="H734" s="6">
        <f>INT(Query1[[#This Row],[EntryDateTime]])</f>
        <v>44606</v>
      </c>
      <c r="I734" s="1">
        <f>IF(Query1[[#This Row],[ItemType]]="EVAP KIT SF GEN IV",Query1[[#This Row],[OrderQty]]+I733,I733)</f>
        <v>807</v>
      </c>
      <c r="J734" s="1">
        <f>IF(Query1[[#This Row],[ItemType]]="EVAP KIT UNIVERSAL",Query1[[#This Row],[OrderQty]]+J733,J733)</f>
        <v>377</v>
      </c>
      <c r="K734" s="1">
        <f>Query1[[#This Row],[SF Running Total]]+Query1[[#This Row],[UNIV Running Total]]</f>
        <v>1184</v>
      </c>
      <c r="L734">
        <f>VLOOKUP(Query1[[#This Row],[Description]],'kits to boards'!$B$2:$E$156,2,FALSE)</f>
        <v>830014</v>
      </c>
      <c r="M734">
        <f>VLOOKUP(Query1[[#This Row],[Description]],'kits to boards'!$B$2:$E$156,3,FALSE)</f>
        <v>0</v>
      </c>
      <c r="N734">
        <f>VLOOKUP(Query1[[#This Row],[Description]],'kits to boards'!$B$2:$E$156,4,FALSE)</f>
        <v>0</v>
      </c>
      <c r="O734" t="str">
        <f>CONCATENATE(Query1[[#This Row],[Description]]," - ",Query1[[#This Row],[MB1]]," - ",Query1[[#This Row],[MB2]]," - ",Query1[[#This Row],[MB3]])</f>
        <v>EVAP KIT 67-72 CHEV P-UP WO AC - 830014 - 0 - 0</v>
      </c>
    </row>
    <row r="735" spans="1:15" x14ac:dyDescent="0.25">
      <c r="A735" s="1">
        <v>910874</v>
      </c>
      <c r="B735" s="1" t="s">
        <v>96</v>
      </c>
      <c r="C735" s="1" t="s">
        <v>97</v>
      </c>
      <c r="D735" s="2">
        <v>44606.674927581022</v>
      </c>
      <c r="E735" s="1" t="s">
        <v>8</v>
      </c>
      <c r="F735" s="1">
        <v>6</v>
      </c>
      <c r="G735" s="1">
        <v>0</v>
      </c>
      <c r="H735" s="6">
        <f>INT(Query1[[#This Row],[EntryDateTime]])</f>
        <v>44606</v>
      </c>
      <c r="I735" s="1">
        <f>IF(Query1[[#This Row],[ItemType]]="EVAP KIT SF GEN IV",Query1[[#This Row],[OrderQty]]+I734,I734)</f>
        <v>813</v>
      </c>
      <c r="J735" s="1">
        <f>IF(Query1[[#This Row],[ItemType]]="EVAP KIT UNIVERSAL",Query1[[#This Row],[OrderQty]]+J734,J734)</f>
        <v>377</v>
      </c>
      <c r="K735" s="1">
        <f>Query1[[#This Row],[SF Running Total]]+Query1[[#This Row],[UNIV Running Total]]</f>
        <v>1190</v>
      </c>
      <c r="L735">
        <f>VLOOKUP(Query1[[#This Row],[Description]],'kits to boards'!$B$2:$E$156,2,FALSE)</f>
        <v>830004</v>
      </c>
      <c r="M735">
        <f>VLOOKUP(Query1[[#This Row],[Description]],'kits to boards'!$B$2:$E$156,3,FALSE)</f>
        <v>0</v>
      </c>
      <c r="N735">
        <f>VLOOKUP(Query1[[#This Row],[Description]],'kits to boards'!$B$2:$E$156,4,FALSE)</f>
        <v>0</v>
      </c>
      <c r="O735" t="str">
        <f>CONCATENATE(Query1[[#This Row],[Description]]," - ",Query1[[#This Row],[MB1]]," - ",Query1[[#This Row],[MB2]]," - ",Query1[[#This Row],[MB3]])</f>
        <v>EVAP KIT 81-87 CHEV P-UP W/AC - 830004 - 0 - 0</v>
      </c>
    </row>
    <row r="736" spans="1:15" x14ac:dyDescent="0.25">
      <c r="A736" s="1">
        <v>910874</v>
      </c>
      <c r="B736" s="1" t="s">
        <v>92</v>
      </c>
      <c r="C736" s="1" t="s">
        <v>93</v>
      </c>
      <c r="D736" s="2">
        <v>44606.674929247682</v>
      </c>
      <c r="E736" s="1" t="s">
        <v>8</v>
      </c>
      <c r="F736" s="1">
        <v>2</v>
      </c>
      <c r="G736" s="1">
        <v>0</v>
      </c>
      <c r="H736" s="6">
        <f>INT(Query1[[#This Row],[EntryDateTime]])</f>
        <v>44606</v>
      </c>
      <c r="I736" s="1">
        <f>IF(Query1[[#This Row],[ItemType]]="EVAP KIT SF GEN IV",Query1[[#This Row],[OrderQty]]+I735,I735)</f>
        <v>815</v>
      </c>
      <c r="J736" s="1">
        <f>IF(Query1[[#This Row],[ItemType]]="EVAP KIT UNIVERSAL",Query1[[#This Row],[OrderQty]]+J735,J735)</f>
        <v>377</v>
      </c>
      <c r="K736" s="1">
        <f>Query1[[#This Row],[SF Running Total]]+Query1[[#This Row],[UNIV Running Total]]</f>
        <v>1192</v>
      </c>
      <c r="L736">
        <f>VLOOKUP(Query1[[#This Row],[Description]],'kits to boards'!$B$2:$E$156,2,FALSE)</f>
        <v>830063</v>
      </c>
      <c r="M736">
        <f>VLOOKUP(Query1[[#This Row],[Description]],'kits to boards'!$B$2:$E$156,3,FALSE)</f>
        <v>0</v>
      </c>
      <c r="N736">
        <f>VLOOKUP(Query1[[#This Row],[Description]],'kits to boards'!$B$2:$E$156,4,FALSE)</f>
        <v>0</v>
      </c>
      <c r="O736" t="str">
        <f>CONCATENATE(Query1[[#This Row],[Description]]," - ",Query1[[#This Row],[MB1]]," - ",Query1[[#This Row],[MB2]]," - ",Query1[[#This Row],[MB3]])</f>
        <v>EVAP KIT 50-53 CHEV P-UP GEN IV - 830063 - 0 - 0</v>
      </c>
    </row>
    <row r="737" spans="1:15" x14ac:dyDescent="0.25">
      <c r="A737" s="1">
        <v>910874</v>
      </c>
      <c r="B737" s="1" t="s">
        <v>112</v>
      </c>
      <c r="C737" s="1" t="s">
        <v>113</v>
      </c>
      <c r="D737" s="2">
        <v>44606.674930937501</v>
      </c>
      <c r="E737" s="1" t="s">
        <v>8</v>
      </c>
      <c r="F737" s="1">
        <v>3</v>
      </c>
      <c r="G737" s="1">
        <v>0</v>
      </c>
      <c r="H737" s="6">
        <f>INT(Query1[[#This Row],[EntryDateTime]])</f>
        <v>44606</v>
      </c>
      <c r="I737" s="1">
        <f>IF(Query1[[#This Row],[ItemType]]="EVAP KIT SF GEN IV",Query1[[#This Row],[OrderQty]]+I736,I736)</f>
        <v>818</v>
      </c>
      <c r="J737" s="1">
        <f>IF(Query1[[#This Row],[ItemType]]="EVAP KIT UNIVERSAL",Query1[[#This Row],[OrderQty]]+J736,J736)</f>
        <v>377</v>
      </c>
      <c r="K737" s="1">
        <f>Query1[[#This Row],[SF Running Total]]+Query1[[#This Row],[UNIV Running Total]]</f>
        <v>1195</v>
      </c>
      <c r="L737">
        <f>VLOOKUP(Query1[[#This Row],[Description]],'kits to boards'!$B$2:$E$156,2,FALSE)</f>
        <v>830063</v>
      </c>
      <c r="M737">
        <f>VLOOKUP(Query1[[#This Row],[Description]],'kits to boards'!$B$2:$E$156,3,FALSE)</f>
        <v>0</v>
      </c>
      <c r="N737">
        <f>VLOOKUP(Query1[[#This Row],[Description]],'kits to boards'!$B$2:$E$156,4,FALSE)</f>
        <v>0</v>
      </c>
      <c r="O737" t="str">
        <f>CONCATENATE(Query1[[#This Row],[Description]]," - ",Query1[[#This Row],[MB1]]," - ",Query1[[#This Row],[MB2]]," - ",Query1[[#This Row],[MB3]])</f>
        <v>EVAP KIT 54-55 CHEV P-UP GEN IV - 830063 - 0 - 0</v>
      </c>
    </row>
    <row r="738" spans="1:15" x14ac:dyDescent="0.25">
      <c r="A738" s="1">
        <v>910875</v>
      </c>
      <c r="B738" s="1" t="s">
        <v>56</v>
      </c>
      <c r="C738" s="1" t="s">
        <v>57</v>
      </c>
      <c r="D738" s="2">
        <v>44606.678892048614</v>
      </c>
      <c r="E738" s="1" t="s">
        <v>8</v>
      </c>
      <c r="F738" s="1">
        <v>1</v>
      </c>
      <c r="G738" s="1">
        <v>0</v>
      </c>
      <c r="H738" s="6">
        <f>INT(Query1[[#This Row],[EntryDateTime]])</f>
        <v>44606</v>
      </c>
      <c r="I738" s="1">
        <f>IF(Query1[[#This Row],[ItemType]]="EVAP KIT SF GEN IV",Query1[[#This Row],[OrderQty]]+I737,I737)</f>
        <v>819</v>
      </c>
      <c r="J738" s="1">
        <f>IF(Query1[[#This Row],[ItemType]]="EVAP KIT UNIVERSAL",Query1[[#This Row],[OrderQty]]+J737,J737)</f>
        <v>377</v>
      </c>
      <c r="K738" s="1">
        <f>Query1[[#This Row],[SF Running Total]]+Query1[[#This Row],[UNIV Running Total]]</f>
        <v>1196</v>
      </c>
      <c r="L738">
        <f>VLOOKUP(Query1[[#This Row],[Description]],'kits to boards'!$B$2:$E$156,2,FALSE)</f>
        <v>830011</v>
      </c>
      <c r="M738">
        <f>VLOOKUP(Query1[[#This Row],[Description]],'kits to boards'!$B$2:$E$156,3,FALSE)</f>
        <v>0</v>
      </c>
      <c r="N738">
        <f>VLOOKUP(Query1[[#This Row],[Description]],'kits to boards'!$B$2:$E$156,4,FALSE)</f>
        <v>0</v>
      </c>
      <c r="O738" t="str">
        <f>CONCATENATE(Query1[[#This Row],[Description]]," - ",Query1[[#This Row],[MB1]]," - ",Query1[[#This Row],[MB2]]," - ",Query1[[#This Row],[MB3]])</f>
        <v>EVAP KIT 70-72 CHEVELLE W/AC - 830011 - 0 - 0</v>
      </c>
    </row>
    <row r="739" spans="1:15" x14ac:dyDescent="0.25">
      <c r="A739" s="1">
        <v>910876</v>
      </c>
      <c r="B739" s="1" t="s">
        <v>16</v>
      </c>
      <c r="C739" s="1" t="s">
        <v>17</v>
      </c>
      <c r="D739" s="2">
        <v>44606.681199768522</v>
      </c>
      <c r="E739" s="1" t="s">
        <v>8</v>
      </c>
      <c r="F739" s="1">
        <v>1</v>
      </c>
      <c r="G739" s="1">
        <v>0</v>
      </c>
      <c r="H739" s="6">
        <f>INT(Query1[[#This Row],[EntryDateTime]])</f>
        <v>44606</v>
      </c>
      <c r="I739" s="1">
        <f>IF(Query1[[#This Row],[ItemType]]="EVAP KIT SF GEN IV",Query1[[#This Row],[OrderQty]]+I738,I738)</f>
        <v>820</v>
      </c>
      <c r="J739" s="1">
        <f>IF(Query1[[#This Row],[ItemType]]="EVAP KIT UNIVERSAL",Query1[[#This Row],[OrderQty]]+J738,J738)</f>
        <v>377</v>
      </c>
      <c r="K739" s="1">
        <f>Query1[[#This Row],[SF Running Total]]+Query1[[#This Row],[UNIV Running Total]]</f>
        <v>1197</v>
      </c>
      <c r="L739">
        <f>VLOOKUP(Query1[[#This Row],[Description]],'kits to boards'!$B$2:$E$156,2,FALSE)</f>
        <v>830061</v>
      </c>
      <c r="M739">
        <f>VLOOKUP(Query1[[#This Row],[Description]],'kits to boards'!$B$2:$E$156,3,FALSE)</f>
        <v>0</v>
      </c>
      <c r="N739">
        <f>VLOOKUP(Query1[[#This Row],[Description]],'kits to boards'!$B$2:$E$156,4,FALSE)</f>
        <v>0</v>
      </c>
      <c r="O739" t="str">
        <f>CONCATENATE(Query1[[#This Row],[Description]]," - ",Query1[[#This Row],[MB1]]," - ",Query1[[#This Row],[MB2]]," - ",Query1[[#This Row],[MB3]])</f>
        <v>EVAP KIT 68-69 CHEVELLE W/AC - 830061 - 0 - 0</v>
      </c>
    </row>
    <row r="740" spans="1:15" x14ac:dyDescent="0.25">
      <c r="A740" s="1">
        <v>910878</v>
      </c>
      <c r="B740" s="1" t="s">
        <v>240</v>
      </c>
      <c r="C740" s="1" t="s">
        <v>241</v>
      </c>
      <c r="D740" s="2">
        <v>44606.684043553243</v>
      </c>
      <c r="E740" s="1" t="s">
        <v>8</v>
      </c>
      <c r="F740" s="1">
        <v>1</v>
      </c>
      <c r="G740" s="1">
        <v>0</v>
      </c>
      <c r="H740" s="6">
        <f>INT(Query1[[#This Row],[EntryDateTime]])</f>
        <v>44606</v>
      </c>
      <c r="I740" s="1">
        <f>IF(Query1[[#This Row],[ItemType]]="EVAP KIT SF GEN IV",Query1[[#This Row],[OrderQty]]+I739,I739)</f>
        <v>821</v>
      </c>
      <c r="J740" s="1">
        <f>IF(Query1[[#This Row],[ItemType]]="EVAP KIT UNIVERSAL",Query1[[#This Row],[OrderQty]]+J739,J739)</f>
        <v>377</v>
      </c>
      <c r="K740" s="1">
        <f>Query1[[#This Row],[SF Running Total]]+Query1[[#This Row],[UNIV Running Total]]</f>
        <v>1198</v>
      </c>
      <c r="L740">
        <f>VLOOKUP(Query1[[#This Row],[Description]],'kits to boards'!$B$2:$E$156,2,FALSE)</f>
        <v>830032</v>
      </c>
      <c r="M740">
        <f>VLOOKUP(Query1[[#This Row],[Description]],'kits to boards'!$B$2:$E$156,3,FALSE)</f>
        <v>0</v>
      </c>
      <c r="N740">
        <f>VLOOKUP(Query1[[#This Row],[Description]],'kits to boards'!$B$2:$E$156,4,FALSE)</f>
        <v>0</v>
      </c>
      <c r="O740" t="str">
        <f>CONCATENATE(Query1[[#This Row],[Description]]," - ",Query1[[#This Row],[MB1]]," - ",Query1[[#This Row],[MB2]]," - ",Query1[[#This Row],[MB3]])</f>
        <v>EVAP KIT 58-60 VETTE - 830032 - 0 - 0</v>
      </c>
    </row>
    <row r="741" spans="1:15" x14ac:dyDescent="0.25">
      <c r="A741" s="1">
        <v>910885</v>
      </c>
      <c r="B741" s="1" t="s">
        <v>140</v>
      </c>
      <c r="C741" s="1" t="s">
        <v>141</v>
      </c>
      <c r="D741" s="2">
        <v>44606.69000894676</v>
      </c>
      <c r="E741" s="1" t="s">
        <v>8</v>
      </c>
      <c r="F741" s="1">
        <v>1</v>
      </c>
      <c r="G741" s="1">
        <v>0</v>
      </c>
      <c r="H741" s="6">
        <f>INT(Query1[[#This Row],[EntryDateTime]])</f>
        <v>44606</v>
      </c>
      <c r="I741" s="1">
        <f>IF(Query1[[#This Row],[ItemType]]="EVAP KIT SF GEN IV",Query1[[#This Row],[OrderQty]]+I740,I740)</f>
        <v>822</v>
      </c>
      <c r="J741" s="1">
        <f>IF(Query1[[#This Row],[ItemType]]="EVAP KIT UNIVERSAL",Query1[[#This Row],[OrderQty]]+J740,J740)</f>
        <v>377</v>
      </c>
      <c r="K741" s="1">
        <f>Query1[[#This Row],[SF Running Total]]+Query1[[#This Row],[UNIV Running Total]]</f>
        <v>1199</v>
      </c>
      <c r="L741">
        <f>VLOOKUP(Query1[[#This Row],[Description]],'kits to boards'!$B$2:$E$156,2,FALSE)</f>
        <v>830066</v>
      </c>
      <c r="M741">
        <f>VLOOKUP(Query1[[#This Row],[Description]],'kits to boards'!$B$2:$E$156,3,FALSE)</f>
        <v>0</v>
      </c>
      <c r="N741">
        <f>VLOOKUP(Query1[[#This Row],[Description]],'kits to boards'!$B$2:$E$156,4,FALSE)</f>
        <v>0</v>
      </c>
      <c r="O741" t="str">
        <f>CONCATENATE(Query1[[#This Row],[Description]]," - ",Query1[[#This Row],[MB1]]," - ",Query1[[#This Row],[MB2]]," - ",Query1[[#This Row],[MB3]])</f>
        <v>EVAP KIT 60-63 CHEV P-UP WO AC - 830066 - 0 - 0</v>
      </c>
    </row>
    <row r="742" spans="1:15" x14ac:dyDescent="0.25">
      <c r="A742" s="1">
        <v>910887</v>
      </c>
      <c r="B742" s="1" t="s">
        <v>36</v>
      </c>
      <c r="C742" s="1" t="s">
        <v>37</v>
      </c>
      <c r="D742" s="2">
        <v>44606.692082256945</v>
      </c>
      <c r="E742" s="1" t="s">
        <v>8</v>
      </c>
      <c r="F742" s="1">
        <v>1</v>
      </c>
      <c r="G742" s="1">
        <v>0</v>
      </c>
      <c r="H742" s="6">
        <f>INT(Query1[[#This Row],[EntryDateTime]])</f>
        <v>44606</v>
      </c>
      <c r="I742" s="1">
        <f>IF(Query1[[#This Row],[ItemType]]="EVAP KIT SF GEN IV",Query1[[#This Row],[OrderQty]]+I741,I741)</f>
        <v>823</v>
      </c>
      <c r="J742" s="1">
        <f>IF(Query1[[#This Row],[ItemType]]="EVAP KIT UNIVERSAL",Query1[[#This Row],[OrderQty]]+J741,J741)</f>
        <v>377</v>
      </c>
      <c r="K742" s="1">
        <f>Query1[[#This Row],[SF Running Total]]+Query1[[#This Row],[UNIV Running Total]]</f>
        <v>1200</v>
      </c>
      <c r="L742">
        <f>VLOOKUP(Query1[[#This Row],[Description]],'kits to boards'!$B$2:$E$156,2,FALSE)</f>
        <v>830015</v>
      </c>
      <c r="M742">
        <f>VLOOKUP(Query1[[#This Row],[Description]],'kits to boards'!$B$2:$E$156,3,FALSE)</f>
        <v>0</v>
      </c>
      <c r="N742">
        <f>VLOOKUP(Query1[[#This Row],[Description]],'kits to boards'!$B$2:$E$156,4,FALSE)</f>
        <v>0</v>
      </c>
      <c r="O742" t="str">
        <f>CONCATENATE(Query1[[#This Row],[Description]]," - ",Query1[[#This Row],[MB1]]," - ",Query1[[#This Row],[MB2]]," - ",Query1[[#This Row],[MB3]])</f>
        <v>EVAP KIT 64-66 CHEV P-UP WO AC W/STD - 830015 - 0 - 0</v>
      </c>
    </row>
    <row r="743" spans="1:15" x14ac:dyDescent="0.25">
      <c r="A743" s="1">
        <v>910888</v>
      </c>
      <c r="B743" s="1" t="s">
        <v>106</v>
      </c>
      <c r="C743" s="1" t="s">
        <v>253</v>
      </c>
      <c r="D743" s="2">
        <v>44606.693403622688</v>
      </c>
      <c r="E743" s="1" t="s">
        <v>8</v>
      </c>
      <c r="F743" s="1">
        <v>1</v>
      </c>
      <c r="G743" s="1">
        <v>0</v>
      </c>
      <c r="H743" s="6">
        <f>INT(Query1[[#This Row],[EntryDateTime]])</f>
        <v>44606</v>
      </c>
      <c r="I743" s="1">
        <f>IF(Query1[[#This Row],[ItemType]]="EVAP KIT SF GEN IV",Query1[[#This Row],[OrderQty]]+I742,I742)</f>
        <v>824</v>
      </c>
      <c r="J743" s="1">
        <f>IF(Query1[[#This Row],[ItemType]]="EVAP KIT UNIVERSAL",Query1[[#This Row],[OrderQty]]+J742,J742)</f>
        <v>377</v>
      </c>
      <c r="K743" s="1">
        <f>Query1[[#This Row],[SF Running Total]]+Query1[[#This Row],[UNIV Running Total]]</f>
        <v>1201</v>
      </c>
      <c r="L743">
        <f>VLOOKUP(Query1[[#This Row],[Description]],'kits to boards'!$B$2:$E$156,2,FALSE)</f>
        <v>830028</v>
      </c>
      <c r="M743">
        <f>VLOOKUP(Query1[[#This Row],[Description]],'kits to boards'!$B$2:$E$156,3,FALSE)</f>
        <v>0</v>
      </c>
      <c r="N743">
        <f>VLOOKUP(Query1[[#This Row],[Description]],'kits to boards'!$B$2:$E$156,4,FALSE)</f>
        <v>0</v>
      </c>
      <c r="O743" t="str">
        <f>CONCATENATE(Query1[[#This Row],[Description]]," - ",Query1[[#This Row],[MB1]]," - ",Query1[[#This Row],[MB2]]," - ",Query1[[#This Row],[MB3]])</f>
        <v>EVAP KIT 55-59 CHEV P-UP WO AC W/DELX  - 830028 - 0 - 0</v>
      </c>
    </row>
    <row r="744" spans="1:15" x14ac:dyDescent="0.25">
      <c r="A744" s="1">
        <v>910890</v>
      </c>
      <c r="B744" s="1" t="s">
        <v>9</v>
      </c>
      <c r="C744" s="1" t="s">
        <v>10</v>
      </c>
      <c r="D744" s="2">
        <v>44606.695268437499</v>
      </c>
      <c r="E744" s="1" t="s">
        <v>11</v>
      </c>
      <c r="F744" s="1">
        <v>4</v>
      </c>
      <c r="G744" s="1">
        <v>0</v>
      </c>
      <c r="H744" s="6">
        <f>INT(Query1[[#This Row],[EntryDateTime]])</f>
        <v>44606</v>
      </c>
      <c r="I744" s="1">
        <f>IF(Query1[[#This Row],[ItemType]]="EVAP KIT SF GEN IV",Query1[[#This Row],[OrderQty]]+I743,I743)</f>
        <v>824</v>
      </c>
      <c r="J744" s="1">
        <f>IF(Query1[[#This Row],[ItemType]]="EVAP KIT UNIVERSAL",Query1[[#This Row],[OrderQty]]+J743,J743)</f>
        <v>381</v>
      </c>
      <c r="K744" s="1">
        <f>Query1[[#This Row],[SF Running Total]]+Query1[[#This Row],[UNIV Running Total]]</f>
        <v>1205</v>
      </c>
      <c r="L744">
        <f>VLOOKUP(Query1[[#This Row],[Description]],'kits to boards'!$B$2:$E$156,2,FALSE)</f>
        <v>830069</v>
      </c>
      <c r="M744">
        <f>VLOOKUP(Query1[[#This Row],[Description]],'kits to boards'!$B$2:$E$156,3,FALSE)</f>
        <v>0</v>
      </c>
      <c r="N744">
        <f>VLOOKUP(Query1[[#This Row],[Description]],'kits to boards'!$B$2:$E$156,4,FALSE)</f>
        <v>0</v>
      </c>
      <c r="O744" t="str">
        <f>CONCATENATE(Query1[[#This Row],[Description]]," - ",Query1[[#This Row],[MB1]]," - ",Query1[[#This Row],[MB2]]," - ",Query1[[#This Row],[MB3]])</f>
        <v>SLIMLINE H/C W/DEF STD LOUVER - 830069 - 0 - 0</v>
      </c>
    </row>
    <row r="745" spans="1:15" x14ac:dyDescent="0.25">
      <c r="A745" s="1">
        <v>910890</v>
      </c>
      <c r="B745" s="1" t="s">
        <v>62</v>
      </c>
      <c r="C745" s="1" t="s">
        <v>63</v>
      </c>
      <c r="D745" s="2">
        <v>44606.695557094907</v>
      </c>
      <c r="E745" s="1" t="s">
        <v>8</v>
      </c>
      <c r="F745" s="1">
        <v>2</v>
      </c>
      <c r="G745" s="1">
        <v>0</v>
      </c>
      <c r="H745" s="6">
        <f>INT(Query1[[#This Row],[EntryDateTime]])</f>
        <v>44606</v>
      </c>
      <c r="I745" s="1">
        <f>IF(Query1[[#This Row],[ItemType]]="EVAP KIT SF GEN IV",Query1[[#This Row],[OrderQty]]+I744,I744)</f>
        <v>826</v>
      </c>
      <c r="J745" s="1">
        <f>IF(Query1[[#This Row],[ItemType]]="EVAP KIT UNIVERSAL",Query1[[#This Row],[OrderQty]]+J744,J744)</f>
        <v>381</v>
      </c>
      <c r="K745" s="1">
        <f>Query1[[#This Row],[SF Running Total]]+Query1[[#This Row],[UNIV Running Total]]</f>
        <v>1207</v>
      </c>
      <c r="L745">
        <f>VLOOKUP(Query1[[#This Row],[Description]],'kits to boards'!$B$2:$E$156,2,FALSE)</f>
        <v>830079</v>
      </c>
      <c r="M745">
        <f>VLOOKUP(Query1[[#This Row],[Description]],'kits to boards'!$B$2:$E$156,3,FALSE)</f>
        <v>830046</v>
      </c>
      <c r="N745">
        <f>VLOOKUP(Query1[[#This Row],[Description]],'kits to boards'!$B$2:$E$156,4,FALSE)</f>
        <v>0</v>
      </c>
      <c r="O745" t="str">
        <f>CONCATENATE(Query1[[#This Row],[Description]]," - ",Query1[[#This Row],[MB1]]," - ",Query1[[#This Row],[MB2]]," - ",Query1[[#This Row],[MB3]])</f>
        <v>EVAP KIT 67-68 MUSTANG/COUGAR WO AC - 830079 - 830046 - 0</v>
      </c>
    </row>
    <row r="746" spans="1:15" x14ac:dyDescent="0.25">
      <c r="A746" s="1">
        <v>910890</v>
      </c>
      <c r="B746" s="1" t="s">
        <v>94</v>
      </c>
      <c r="C746" s="1" t="s">
        <v>95</v>
      </c>
      <c r="D746" s="2">
        <v>44606.695558831016</v>
      </c>
      <c r="E746" s="1" t="s">
        <v>8</v>
      </c>
      <c r="F746" s="1">
        <v>3</v>
      </c>
      <c r="G746" s="1">
        <v>0</v>
      </c>
      <c r="H746" s="6">
        <f>INT(Query1[[#This Row],[EntryDateTime]])</f>
        <v>44606</v>
      </c>
      <c r="I746" s="1">
        <f>IF(Query1[[#This Row],[ItemType]]="EVAP KIT SF GEN IV",Query1[[#This Row],[OrderQty]]+I745,I745)</f>
        <v>829</v>
      </c>
      <c r="J746" s="1">
        <f>IF(Query1[[#This Row],[ItemType]]="EVAP KIT UNIVERSAL",Query1[[#This Row],[OrderQty]]+J745,J745)</f>
        <v>381</v>
      </c>
      <c r="K746" s="1">
        <f>Query1[[#This Row],[SF Running Total]]+Query1[[#This Row],[UNIV Running Total]]</f>
        <v>1210</v>
      </c>
      <c r="L746">
        <f>VLOOKUP(Query1[[#This Row],[Description]],'kits to boards'!$B$2:$E$156,2,FALSE)</f>
        <v>830076</v>
      </c>
      <c r="M746">
        <f>VLOOKUP(Query1[[#This Row],[Description]],'kits to boards'!$B$2:$E$156,3,FALSE)</f>
        <v>0</v>
      </c>
      <c r="N746">
        <f>VLOOKUP(Query1[[#This Row],[Description]],'kits to boards'!$B$2:$E$156,4,FALSE)</f>
        <v>0</v>
      </c>
      <c r="O746" t="str">
        <f>CONCATENATE(Query1[[#This Row],[Description]]," - ",Query1[[#This Row],[MB1]]," - ",Query1[[#This Row],[MB2]]," - ",Query1[[#This Row],[MB3]])</f>
        <v>EVAP KIT 64 1/2- 66 MUSTANG  - 830076 - 0 - 0</v>
      </c>
    </row>
    <row r="747" spans="1:15" x14ac:dyDescent="0.25">
      <c r="A747" s="1">
        <v>910890</v>
      </c>
      <c r="B747" s="1" t="s">
        <v>12</v>
      </c>
      <c r="C747" s="1" t="s">
        <v>13</v>
      </c>
      <c r="D747" s="2">
        <v>44606.695560497683</v>
      </c>
      <c r="E747" s="1" t="s">
        <v>8</v>
      </c>
      <c r="F747" s="1">
        <v>2</v>
      </c>
      <c r="G747" s="1">
        <v>0</v>
      </c>
      <c r="H747" s="6">
        <f>INT(Query1[[#This Row],[EntryDateTime]])</f>
        <v>44606</v>
      </c>
      <c r="I747" s="1">
        <f>IF(Query1[[#This Row],[ItemType]]="EVAP KIT SF GEN IV",Query1[[#This Row],[OrderQty]]+I746,I746)</f>
        <v>831</v>
      </c>
      <c r="J747" s="1">
        <f>IF(Query1[[#This Row],[ItemType]]="EVAP KIT UNIVERSAL",Query1[[#This Row],[OrderQty]]+J746,J746)</f>
        <v>381</v>
      </c>
      <c r="K747" s="1">
        <f>Query1[[#This Row],[SF Running Total]]+Query1[[#This Row],[UNIV Running Total]]</f>
        <v>1212</v>
      </c>
      <c r="L747">
        <f>VLOOKUP(Query1[[#This Row],[Description]],'kits to boards'!$B$2:$E$156,2,FALSE)</f>
        <v>830079</v>
      </c>
      <c r="M747">
        <f>VLOOKUP(Query1[[#This Row],[Description]],'kits to boards'!$B$2:$E$156,3,FALSE)</f>
        <v>830046</v>
      </c>
      <c r="N747">
        <f>VLOOKUP(Query1[[#This Row],[Description]],'kits to boards'!$B$2:$E$156,4,FALSE)</f>
        <v>0</v>
      </c>
      <c r="O747" t="str">
        <f>CONCATENATE(Query1[[#This Row],[Description]]," - ",Query1[[#This Row],[MB1]]," - ",Query1[[#This Row],[MB2]]," - ",Query1[[#This Row],[MB3]])</f>
        <v>EVAP KIT 67-68 MUSTANG/COUGAR W/AC - 830079 - 830046 - 0</v>
      </c>
    </row>
    <row r="748" spans="1:15" x14ac:dyDescent="0.25">
      <c r="A748" s="1">
        <v>910890</v>
      </c>
      <c r="B748" s="1" t="s">
        <v>132</v>
      </c>
      <c r="C748" s="1" t="s">
        <v>133</v>
      </c>
      <c r="D748" s="2">
        <v>44606.695562696761</v>
      </c>
      <c r="E748" s="1" t="s">
        <v>8</v>
      </c>
      <c r="F748" s="1">
        <v>4</v>
      </c>
      <c r="G748" s="1">
        <v>0</v>
      </c>
      <c r="H748" s="6">
        <f>INT(Query1[[#This Row],[EntryDateTime]])</f>
        <v>44606</v>
      </c>
      <c r="I748" s="1">
        <f>IF(Query1[[#This Row],[ItemType]]="EVAP KIT SF GEN IV",Query1[[#This Row],[OrderQty]]+I747,I747)</f>
        <v>835</v>
      </c>
      <c r="J748" s="1">
        <f>IF(Query1[[#This Row],[ItemType]]="EVAP KIT UNIVERSAL",Query1[[#This Row],[OrderQty]]+J747,J747)</f>
        <v>381</v>
      </c>
      <c r="K748" s="1">
        <f>Query1[[#This Row],[SF Running Total]]+Query1[[#This Row],[UNIV Running Total]]</f>
        <v>1216</v>
      </c>
      <c r="L748">
        <f>VLOOKUP(Query1[[#This Row],[Description]],'kits to boards'!$B$2:$E$156,2,FALSE)</f>
        <v>830005</v>
      </c>
      <c r="M748">
        <f>VLOOKUP(Query1[[#This Row],[Description]],'kits to boards'!$B$2:$E$156,3,FALSE)</f>
        <v>0</v>
      </c>
      <c r="N748">
        <f>VLOOKUP(Query1[[#This Row],[Description]],'kits to boards'!$B$2:$E$156,4,FALSE)</f>
        <v>0</v>
      </c>
      <c r="O748" t="str">
        <f>CONCATENATE(Query1[[#This Row],[Description]]," - ",Query1[[#This Row],[MB1]]," - ",Query1[[#This Row],[MB2]]," - ",Query1[[#This Row],[MB3]])</f>
        <v>EVAP KIT 61-62 IMPALA WO AC - 830005 - 0 - 0</v>
      </c>
    </row>
    <row r="749" spans="1:15" x14ac:dyDescent="0.25">
      <c r="A749" s="1">
        <v>910890</v>
      </c>
      <c r="B749" s="1" t="s">
        <v>134</v>
      </c>
      <c r="C749" s="1" t="s">
        <v>135</v>
      </c>
      <c r="D749" s="2">
        <v>44606.695564814814</v>
      </c>
      <c r="E749" s="1" t="s">
        <v>8</v>
      </c>
      <c r="F749" s="1">
        <v>3</v>
      </c>
      <c r="G749" s="1">
        <v>0</v>
      </c>
      <c r="H749" s="6">
        <f>INT(Query1[[#This Row],[EntryDateTime]])</f>
        <v>44606</v>
      </c>
      <c r="I749" s="1">
        <f>IF(Query1[[#This Row],[ItemType]]="EVAP KIT SF GEN IV",Query1[[#This Row],[OrderQty]]+I748,I748)</f>
        <v>838</v>
      </c>
      <c r="J749" s="1">
        <f>IF(Query1[[#This Row],[ItemType]]="EVAP KIT UNIVERSAL",Query1[[#This Row],[OrderQty]]+J748,J748)</f>
        <v>381</v>
      </c>
      <c r="K749" s="1">
        <f>Query1[[#This Row],[SF Running Total]]+Query1[[#This Row],[UNIV Running Total]]</f>
        <v>1219</v>
      </c>
      <c r="L749">
        <f>VLOOKUP(Query1[[#This Row],[Description]],'kits to boards'!$B$2:$E$156,2,FALSE)</f>
        <v>830007</v>
      </c>
      <c r="M749">
        <f>VLOOKUP(Query1[[#This Row],[Description]],'kits to boards'!$B$2:$E$156,3,FALSE)</f>
        <v>0</v>
      </c>
      <c r="N749">
        <f>VLOOKUP(Query1[[#This Row],[Description]],'kits to boards'!$B$2:$E$156,4,FALSE)</f>
        <v>0</v>
      </c>
      <c r="O749" t="str">
        <f>CONCATENATE(Query1[[#This Row],[Description]]," - ",Query1[[#This Row],[MB1]]," - ",Query1[[#This Row],[MB2]]," - ",Query1[[#This Row],[MB3]])</f>
        <v>EVAP KIT 64 IMPALA WO AC - 830007 - 0 - 0</v>
      </c>
    </row>
    <row r="750" spans="1:15" x14ac:dyDescent="0.25">
      <c r="A750" s="1">
        <v>910890</v>
      </c>
      <c r="B750" s="1" t="s">
        <v>14</v>
      </c>
      <c r="C750" s="1" t="s">
        <v>15</v>
      </c>
      <c r="D750" s="2">
        <v>44606.695567210649</v>
      </c>
      <c r="E750" s="1" t="s">
        <v>8</v>
      </c>
      <c r="F750" s="1">
        <v>2</v>
      </c>
      <c r="G750" s="1">
        <v>0</v>
      </c>
      <c r="H750" s="6">
        <f>INT(Query1[[#This Row],[EntryDateTime]])</f>
        <v>44606</v>
      </c>
      <c r="I750" s="1">
        <f>IF(Query1[[#This Row],[ItemType]]="EVAP KIT SF GEN IV",Query1[[#This Row],[OrderQty]]+I749,I749)</f>
        <v>840</v>
      </c>
      <c r="J750" s="1">
        <f>IF(Query1[[#This Row],[ItemType]]="EVAP KIT UNIVERSAL",Query1[[#This Row],[OrderQty]]+J749,J749)</f>
        <v>381</v>
      </c>
      <c r="K750" s="1">
        <f>Query1[[#This Row],[SF Running Total]]+Query1[[#This Row],[UNIV Running Total]]</f>
        <v>1221</v>
      </c>
      <c r="L750">
        <f>VLOOKUP(Query1[[#This Row],[Description]],'kits to boards'!$B$2:$E$156,2,FALSE)</f>
        <v>830054</v>
      </c>
      <c r="M750">
        <f>VLOOKUP(Query1[[#This Row],[Description]],'kits to boards'!$B$2:$E$156,3,FALSE)</f>
        <v>0</v>
      </c>
      <c r="N750">
        <f>VLOOKUP(Query1[[#This Row],[Description]],'kits to boards'!$B$2:$E$156,4,FALSE)</f>
        <v>0</v>
      </c>
      <c r="O750" t="str">
        <f>CONCATENATE(Query1[[#This Row],[Description]]," - ",Query1[[#This Row],[MB1]]," - ",Query1[[#This Row],[MB2]]," - ",Query1[[#This Row],[MB3]])</f>
        <v>EVAP KIT 55-56 CHEVY - 830054 - 0 - 0</v>
      </c>
    </row>
    <row r="751" spans="1:15" x14ac:dyDescent="0.25">
      <c r="A751" s="1">
        <v>910890</v>
      </c>
      <c r="B751" s="1" t="s">
        <v>54</v>
      </c>
      <c r="C751" s="1" t="s">
        <v>55</v>
      </c>
      <c r="D751" s="2">
        <v>44606.695569641204</v>
      </c>
      <c r="E751" s="1" t="s">
        <v>8</v>
      </c>
      <c r="F751" s="1">
        <v>3</v>
      </c>
      <c r="G751" s="1">
        <v>0</v>
      </c>
      <c r="H751" s="6">
        <f>INT(Query1[[#This Row],[EntryDateTime]])</f>
        <v>44606</v>
      </c>
      <c r="I751" s="1">
        <f>IF(Query1[[#This Row],[ItemType]]="EVAP KIT SF GEN IV",Query1[[#This Row],[OrderQty]]+I750,I750)</f>
        <v>843</v>
      </c>
      <c r="J751" s="1">
        <f>IF(Query1[[#This Row],[ItemType]]="EVAP KIT UNIVERSAL",Query1[[#This Row],[OrderQty]]+J750,J750)</f>
        <v>381</v>
      </c>
      <c r="K751" s="1">
        <f>Query1[[#This Row],[SF Running Total]]+Query1[[#This Row],[UNIV Running Total]]</f>
        <v>1224</v>
      </c>
      <c r="L751">
        <f>VLOOKUP(Query1[[#This Row],[Description]],'kits to boards'!$B$2:$E$156,2,FALSE)</f>
        <v>830037</v>
      </c>
      <c r="M751">
        <f>VLOOKUP(Query1[[#This Row],[Description]],'kits to boards'!$B$2:$E$156,3,FALSE)</f>
        <v>0</v>
      </c>
      <c r="N751">
        <f>VLOOKUP(Query1[[#This Row],[Description]],'kits to boards'!$B$2:$E$156,4,FALSE)</f>
        <v>0</v>
      </c>
      <c r="O751" t="str">
        <f>CONCATENATE(Query1[[#This Row],[Description]]," - ",Query1[[#This Row],[MB1]]," - ",Query1[[#This Row],[MB2]]," - ",Query1[[#This Row],[MB3]])</f>
        <v>EVAP KIT 70-81 FIREBIRD W/AC - 830037 - 0 - 0</v>
      </c>
    </row>
    <row r="752" spans="1:15" x14ac:dyDescent="0.25">
      <c r="A752" s="1">
        <v>910890</v>
      </c>
      <c r="B752" s="1" t="s">
        <v>32</v>
      </c>
      <c r="C752" s="1" t="s">
        <v>33</v>
      </c>
      <c r="D752" s="2">
        <v>44606.695572106481</v>
      </c>
      <c r="E752" s="1" t="s">
        <v>8</v>
      </c>
      <c r="F752" s="1">
        <v>3</v>
      </c>
      <c r="G752" s="1">
        <v>0</v>
      </c>
      <c r="H752" s="6">
        <f>INT(Query1[[#This Row],[EntryDateTime]])</f>
        <v>44606</v>
      </c>
      <c r="I752" s="1">
        <f>IF(Query1[[#This Row],[ItemType]]="EVAP KIT SF GEN IV",Query1[[#This Row],[OrderQty]]+I751,I751)</f>
        <v>846</v>
      </c>
      <c r="J752" s="1">
        <f>IF(Query1[[#This Row],[ItemType]]="EVAP KIT UNIVERSAL",Query1[[#This Row],[OrderQty]]+J751,J751)</f>
        <v>381</v>
      </c>
      <c r="K752" s="1">
        <f>Query1[[#This Row],[SF Running Total]]+Query1[[#This Row],[UNIV Running Total]]</f>
        <v>1227</v>
      </c>
      <c r="L752">
        <f>VLOOKUP(Query1[[#This Row],[Description]],'kits to boards'!$B$2:$E$156,2,FALSE)</f>
        <v>830016</v>
      </c>
      <c r="M752">
        <f>VLOOKUP(Query1[[#This Row],[Description]],'kits to boards'!$B$2:$E$156,3,FALSE)</f>
        <v>0</v>
      </c>
      <c r="N752">
        <f>VLOOKUP(Query1[[#This Row],[Description]],'kits to boards'!$B$2:$E$156,4,FALSE)</f>
        <v>0</v>
      </c>
      <c r="O752" t="str">
        <f>CONCATENATE(Query1[[#This Row],[Description]]," - ",Query1[[#This Row],[MB1]]," - ",Query1[[#This Row],[MB2]]," - ",Query1[[#This Row],[MB3]])</f>
        <v>EVAP KIT 67-68 CAMARO/FIREBIRD W/AC - 830016 - 0 - 0</v>
      </c>
    </row>
    <row r="753" spans="1:15" x14ac:dyDescent="0.25">
      <c r="A753" s="1">
        <v>910890</v>
      </c>
      <c r="B753" s="1" t="s">
        <v>74</v>
      </c>
      <c r="C753" s="1" t="s">
        <v>75</v>
      </c>
      <c r="D753" s="2">
        <v>44606.695573877318</v>
      </c>
      <c r="E753" s="1" t="s">
        <v>8</v>
      </c>
      <c r="F753" s="1">
        <v>6</v>
      </c>
      <c r="G753" s="1">
        <v>0</v>
      </c>
      <c r="H753" s="6">
        <f>INT(Query1[[#This Row],[EntryDateTime]])</f>
        <v>44606</v>
      </c>
      <c r="I753" s="1">
        <f>IF(Query1[[#This Row],[ItemType]]="EVAP KIT SF GEN IV",Query1[[#This Row],[OrderQty]]+I752,I752)</f>
        <v>852</v>
      </c>
      <c r="J753" s="1">
        <f>IF(Query1[[#This Row],[ItemType]]="EVAP KIT UNIVERSAL",Query1[[#This Row],[OrderQty]]+J752,J752)</f>
        <v>381</v>
      </c>
      <c r="K753" s="1">
        <f>Query1[[#This Row],[SF Running Total]]+Query1[[#This Row],[UNIV Running Total]]</f>
        <v>1233</v>
      </c>
      <c r="L753">
        <f>VLOOKUP(Query1[[#This Row],[Description]],'kits to boards'!$B$2:$E$156,2,FALSE)</f>
        <v>830065</v>
      </c>
      <c r="M753">
        <f>VLOOKUP(Query1[[#This Row],[Description]],'kits to boards'!$B$2:$E$156,3,FALSE)</f>
        <v>0</v>
      </c>
      <c r="N753">
        <f>VLOOKUP(Query1[[#This Row],[Description]],'kits to boards'!$B$2:$E$156,4,FALSE)</f>
        <v>0</v>
      </c>
      <c r="O753" t="str">
        <f>CONCATENATE(Query1[[#This Row],[Description]]," - ",Query1[[#This Row],[MB1]]," - ",Query1[[#This Row],[MB2]]," - ",Query1[[#This Row],[MB3]])</f>
        <v>EVAP KIT 57 CHEV WO AC 4-VENT PLENUM - 830065 - 0 - 0</v>
      </c>
    </row>
    <row r="754" spans="1:15" x14ac:dyDescent="0.25">
      <c r="A754" s="1">
        <v>910890</v>
      </c>
      <c r="B754" s="1" t="s">
        <v>78</v>
      </c>
      <c r="C754" s="1" t="s">
        <v>79</v>
      </c>
      <c r="D754" s="2">
        <v>44606.695592592594</v>
      </c>
      <c r="E754" s="1" t="s">
        <v>11</v>
      </c>
      <c r="F754" s="1">
        <v>6</v>
      </c>
      <c r="G754" s="1">
        <v>0</v>
      </c>
      <c r="H754" s="6">
        <f>INT(Query1[[#This Row],[EntryDateTime]])</f>
        <v>44606</v>
      </c>
      <c r="I754" s="1">
        <f>IF(Query1[[#This Row],[ItemType]]="EVAP KIT SF GEN IV",Query1[[#This Row],[OrderQty]]+I753,I753)</f>
        <v>852</v>
      </c>
      <c r="J754" s="1">
        <f>IF(Query1[[#This Row],[ItemType]]="EVAP KIT UNIVERSAL",Query1[[#This Row],[OrderQty]]+J753,J753)</f>
        <v>387</v>
      </c>
      <c r="K754" s="1">
        <f>Query1[[#This Row],[SF Running Total]]+Query1[[#This Row],[UNIV Running Total]]</f>
        <v>1239</v>
      </c>
      <c r="L754">
        <f>VLOOKUP(Query1[[#This Row],[Description]],'kits to boards'!$B$2:$E$156,2,FALSE)</f>
        <v>0</v>
      </c>
      <c r="M754">
        <f>VLOOKUP(Query1[[#This Row],[Description]],'kits to boards'!$B$2:$E$156,3,FALSE)</f>
        <v>0</v>
      </c>
      <c r="N754">
        <f>VLOOKUP(Query1[[#This Row],[Description]],'kits to boards'!$B$2:$E$156,4,FALSE)</f>
        <v>0</v>
      </c>
      <c r="O754" t="str">
        <f>CONCATENATE(Query1[[#This Row],[Description]]," - ",Query1[[#This Row],[MB1]]," - ",Query1[[#This Row],[MB2]]," - ",Query1[[#This Row],[MB3]])</f>
        <v>MARK IV STYLELINE UNDERDASH EVAP - 0 - 0 - 0</v>
      </c>
    </row>
    <row r="755" spans="1:15" x14ac:dyDescent="0.25">
      <c r="A755" s="1">
        <v>910890</v>
      </c>
      <c r="B755" s="1" t="s">
        <v>80</v>
      </c>
      <c r="C755" s="1" t="s">
        <v>81</v>
      </c>
      <c r="D755" s="2">
        <v>44606.695594641205</v>
      </c>
      <c r="E755" s="1" t="s">
        <v>11</v>
      </c>
      <c r="F755" s="1">
        <v>2</v>
      </c>
      <c r="G755" s="1">
        <v>0</v>
      </c>
      <c r="H755" s="6">
        <f>INT(Query1[[#This Row],[EntryDateTime]])</f>
        <v>44606</v>
      </c>
      <c r="I755" s="1">
        <f>IF(Query1[[#This Row],[ItemType]]="EVAP KIT SF GEN IV",Query1[[#This Row],[OrderQty]]+I754,I754)</f>
        <v>852</v>
      </c>
      <c r="J755" s="1">
        <f>IF(Query1[[#This Row],[ItemType]]="EVAP KIT UNIVERSAL",Query1[[#This Row],[OrderQty]]+J754,J754)</f>
        <v>389</v>
      </c>
      <c r="K755" s="1">
        <f>Query1[[#This Row],[SF Running Total]]+Query1[[#This Row],[UNIV Running Total]]</f>
        <v>1241</v>
      </c>
      <c r="L755">
        <f>VLOOKUP(Query1[[#This Row],[Description]],'kits to boards'!$B$2:$E$156,2,FALSE)</f>
        <v>0</v>
      </c>
      <c r="M755">
        <f>VLOOKUP(Query1[[#This Row],[Description]],'kits to boards'!$B$2:$E$156,3,FALSE)</f>
        <v>0</v>
      </c>
      <c r="N755">
        <f>VLOOKUP(Query1[[#This Row],[Description]],'kits to boards'!$B$2:$E$156,4,FALSE)</f>
        <v>0</v>
      </c>
      <c r="O755" t="str">
        <f>CONCATENATE(Query1[[#This Row],[Description]]," - ",Query1[[#This Row],[MB1]]," - ",Query1[[#This Row],[MB2]]," - ",Query1[[#This Row],[MB3]])</f>
        <v>HERITAGE BRUSHED EVAP KIT COOL ONLY - 0 - 0 - 0</v>
      </c>
    </row>
    <row r="756" spans="1:15" x14ac:dyDescent="0.25">
      <c r="A756" s="1">
        <v>910890</v>
      </c>
      <c r="B756" s="1" t="s">
        <v>136</v>
      </c>
      <c r="C756" s="1" t="s">
        <v>137</v>
      </c>
      <c r="D756" s="2">
        <v>44606.69559664352</v>
      </c>
      <c r="E756" s="1" t="s">
        <v>11</v>
      </c>
      <c r="F756" s="1">
        <v>3</v>
      </c>
      <c r="G756" s="1">
        <v>0</v>
      </c>
      <c r="H756" s="6">
        <f>INT(Query1[[#This Row],[EntryDateTime]])</f>
        <v>44606</v>
      </c>
      <c r="I756" s="1">
        <f>IF(Query1[[#This Row],[ItemType]]="EVAP KIT SF GEN IV",Query1[[#This Row],[OrderQty]]+I755,I755)</f>
        <v>852</v>
      </c>
      <c r="J756" s="1">
        <f>IF(Query1[[#This Row],[ItemType]]="EVAP KIT UNIVERSAL",Query1[[#This Row],[OrderQty]]+J755,J755)</f>
        <v>392</v>
      </c>
      <c r="K756" s="1">
        <f>Query1[[#This Row],[SF Running Total]]+Query1[[#This Row],[UNIV Running Total]]</f>
        <v>1244</v>
      </c>
      <c r="L756">
        <f>VLOOKUP(Query1[[#This Row],[Description]],'kits to boards'!$B$2:$E$156,2,FALSE)</f>
        <v>0</v>
      </c>
      <c r="M756">
        <f>VLOOKUP(Query1[[#This Row],[Description]],'kits to boards'!$B$2:$E$156,3,FALSE)</f>
        <v>0</v>
      </c>
      <c r="N756">
        <f>VLOOKUP(Query1[[#This Row],[Description]],'kits to boards'!$B$2:$E$156,4,FALSE)</f>
        <v>0</v>
      </c>
      <c r="O756" t="str">
        <f>CONCATENATE(Query1[[#This Row],[Description]]," - ",Query1[[#This Row],[MB1]]," - ",Query1[[#This Row],[MB2]]," - ",Query1[[#This Row],[MB3]])</f>
        <v>HERITAGE TURNED EVAP KIT HEAT/COOL - 0 - 0 - 0</v>
      </c>
    </row>
    <row r="757" spans="1:15" x14ac:dyDescent="0.25">
      <c r="A757" s="1">
        <v>910890</v>
      </c>
      <c r="B757" s="1" t="s">
        <v>138</v>
      </c>
      <c r="C757" s="1" t="s">
        <v>139</v>
      </c>
      <c r="D757" s="2">
        <v>44606.695598692131</v>
      </c>
      <c r="E757" s="1" t="s">
        <v>11</v>
      </c>
      <c r="F757" s="1">
        <v>3</v>
      </c>
      <c r="G757" s="1">
        <v>0</v>
      </c>
      <c r="H757" s="6">
        <f>INT(Query1[[#This Row],[EntryDateTime]])</f>
        <v>44606</v>
      </c>
      <c r="I757" s="1">
        <f>IF(Query1[[#This Row],[ItemType]]="EVAP KIT SF GEN IV",Query1[[#This Row],[OrderQty]]+I756,I756)</f>
        <v>852</v>
      </c>
      <c r="J757" s="1">
        <f>IF(Query1[[#This Row],[ItemType]]="EVAP KIT UNIVERSAL",Query1[[#This Row],[OrderQty]]+J756,J756)</f>
        <v>395</v>
      </c>
      <c r="K757" s="1">
        <f>Query1[[#This Row],[SF Running Total]]+Query1[[#This Row],[UNIV Running Total]]</f>
        <v>1247</v>
      </c>
      <c r="L757">
        <f>VLOOKUP(Query1[[#This Row],[Description]],'kits to boards'!$B$2:$E$156,2,FALSE)</f>
        <v>0</v>
      </c>
      <c r="M757">
        <f>VLOOKUP(Query1[[#This Row],[Description]],'kits to boards'!$B$2:$E$156,3,FALSE)</f>
        <v>0</v>
      </c>
      <c r="N757">
        <f>VLOOKUP(Query1[[#This Row],[Description]],'kits to boards'!$B$2:$E$156,4,FALSE)</f>
        <v>0</v>
      </c>
      <c r="O757" t="str">
        <f>CONCATENATE(Query1[[#This Row],[Description]]," - ",Query1[[#This Row],[MB1]]," - ",Query1[[#This Row],[MB2]]," - ",Query1[[#This Row],[MB3]])</f>
        <v>HERITAGE TURNED BLACK EVAP KIT HEAT/COOL - 0 - 0 - 0</v>
      </c>
    </row>
    <row r="758" spans="1:15" x14ac:dyDescent="0.25">
      <c r="A758" s="1">
        <v>910890</v>
      </c>
      <c r="B758" s="1" t="s">
        <v>58</v>
      </c>
      <c r="C758" s="1" t="s">
        <v>59</v>
      </c>
      <c r="D758" s="2">
        <v>44606.695601006948</v>
      </c>
      <c r="E758" s="1" t="s">
        <v>11</v>
      </c>
      <c r="F758" s="1">
        <v>5</v>
      </c>
      <c r="G758" s="1">
        <v>0</v>
      </c>
      <c r="H758" s="6">
        <f>INT(Query1[[#This Row],[EntryDateTime]])</f>
        <v>44606</v>
      </c>
      <c r="I758" s="1">
        <f>IF(Query1[[#This Row],[ItemType]]="EVAP KIT SF GEN IV",Query1[[#This Row],[OrderQty]]+I757,I757)</f>
        <v>852</v>
      </c>
      <c r="J758" s="1">
        <f>IF(Query1[[#This Row],[ItemType]]="EVAP KIT UNIVERSAL",Query1[[#This Row],[OrderQty]]+J757,J757)</f>
        <v>400</v>
      </c>
      <c r="K758" s="1">
        <f>Query1[[#This Row],[SF Running Total]]+Query1[[#This Row],[UNIV Running Total]]</f>
        <v>1252</v>
      </c>
      <c r="L758">
        <f>VLOOKUP(Query1[[#This Row],[Description]],'kits to boards'!$B$2:$E$156,2,FALSE)</f>
        <v>830088</v>
      </c>
      <c r="M758">
        <f>VLOOKUP(Query1[[#This Row],[Description]],'kits to boards'!$B$2:$E$156,3,FALSE)</f>
        <v>830099</v>
      </c>
      <c r="N758">
        <f>VLOOKUP(Query1[[#This Row],[Description]],'kits to boards'!$B$2:$E$156,4,FALSE)</f>
        <v>0</v>
      </c>
      <c r="O758" t="str">
        <f>CONCATENATE(Query1[[#This Row],[Description]]," - ",Query1[[#This Row],[MB1]]," - ",Query1[[#This Row],[MB2]]," - ",Query1[[#This Row],[MB3]])</f>
        <v>MONSTER TRUNK UNIT COOL - 830088 - 830099 - 0</v>
      </c>
    </row>
    <row r="759" spans="1:15" x14ac:dyDescent="0.25">
      <c r="A759" s="1">
        <v>910890</v>
      </c>
      <c r="B759" s="1" t="s">
        <v>108</v>
      </c>
      <c r="C759" s="1" t="s">
        <v>109</v>
      </c>
      <c r="D759" s="2">
        <v>44606.695622685183</v>
      </c>
      <c r="E759" s="1" t="s">
        <v>8</v>
      </c>
      <c r="F759" s="1">
        <v>3</v>
      </c>
      <c r="G759" s="1">
        <v>0</v>
      </c>
      <c r="H759" s="6">
        <f>INT(Query1[[#This Row],[EntryDateTime]])</f>
        <v>44606</v>
      </c>
      <c r="I759" s="1">
        <f>IF(Query1[[#This Row],[ItemType]]="EVAP KIT SF GEN IV",Query1[[#This Row],[OrderQty]]+I758,I758)</f>
        <v>855</v>
      </c>
      <c r="J759" s="1">
        <f>IF(Query1[[#This Row],[ItemType]]="EVAP KIT UNIVERSAL",Query1[[#This Row],[OrderQty]]+J758,J758)</f>
        <v>400</v>
      </c>
      <c r="K759" s="1">
        <f>Query1[[#This Row],[SF Running Total]]+Query1[[#This Row],[UNIV Running Total]]</f>
        <v>1255</v>
      </c>
      <c r="L759">
        <f>VLOOKUP(Query1[[#This Row],[Description]],'kits to boards'!$B$2:$E$156,2,FALSE)</f>
        <v>830105</v>
      </c>
      <c r="M759">
        <f>VLOOKUP(Query1[[#This Row],[Description]],'kits to boards'!$B$2:$E$156,3,FALSE)</f>
        <v>830106</v>
      </c>
      <c r="N759">
        <f>VLOOKUP(Query1[[#This Row],[Description]],'kits to boards'!$B$2:$E$156,4,FALSE)</f>
        <v>0</v>
      </c>
      <c r="O759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760" spans="1:15" x14ac:dyDescent="0.25">
      <c r="A760" s="1">
        <v>910890</v>
      </c>
      <c r="B760" s="1" t="s">
        <v>140</v>
      </c>
      <c r="C760" s="1" t="s">
        <v>141</v>
      </c>
      <c r="D760" s="2">
        <v>44606.695629282411</v>
      </c>
      <c r="E760" s="1" t="s">
        <v>8</v>
      </c>
      <c r="F760" s="1">
        <v>5</v>
      </c>
      <c r="G760" s="1">
        <v>0</v>
      </c>
      <c r="H760" s="6">
        <f>INT(Query1[[#This Row],[EntryDateTime]])</f>
        <v>44606</v>
      </c>
      <c r="I760" s="1">
        <f>IF(Query1[[#This Row],[ItemType]]="EVAP KIT SF GEN IV",Query1[[#This Row],[OrderQty]]+I759,I759)</f>
        <v>860</v>
      </c>
      <c r="J760" s="1">
        <f>IF(Query1[[#This Row],[ItemType]]="EVAP KIT UNIVERSAL",Query1[[#This Row],[OrderQty]]+J759,J759)</f>
        <v>400</v>
      </c>
      <c r="K760" s="1">
        <f>Query1[[#This Row],[SF Running Total]]+Query1[[#This Row],[UNIV Running Total]]</f>
        <v>1260</v>
      </c>
      <c r="L760">
        <f>VLOOKUP(Query1[[#This Row],[Description]],'kits to boards'!$B$2:$E$156,2,FALSE)</f>
        <v>830066</v>
      </c>
      <c r="M760">
        <f>VLOOKUP(Query1[[#This Row],[Description]],'kits to boards'!$B$2:$E$156,3,FALSE)</f>
        <v>0</v>
      </c>
      <c r="N760">
        <f>VLOOKUP(Query1[[#This Row],[Description]],'kits to boards'!$B$2:$E$156,4,FALSE)</f>
        <v>0</v>
      </c>
      <c r="O760" t="str">
        <f>CONCATENATE(Query1[[#This Row],[Description]]," - ",Query1[[#This Row],[MB1]]," - ",Query1[[#This Row],[MB2]]," - ",Query1[[#This Row],[MB3]])</f>
        <v>EVAP KIT 60-63 CHEV P-UP WO AC - 830066 - 0 - 0</v>
      </c>
    </row>
    <row r="761" spans="1:15" x14ac:dyDescent="0.25">
      <c r="A761" s="1">
        <v>910890</v>
      </c>
      <c r="B761" s="1" t="s">
        <v>42</v>
      </c>
      <c r="C761" s="1" t="s">
        <v>43</v>
      </c>
      <c r="D761" s="2">
        <v>44606.69563101852</v>
      </c>
      <c r="E761" s="1" t="s">
        <v>8</v>
      </c>
      <c r="F761" s="1">
        <v>4</v>
      </c>
      <c r="G761" s="1">
        <v>0</v>
      </c>
      <c r="H761" s="6">
        <f>INT(Query1[[#This Row],[EntryDateTime]])</f>
        <v>44606</v>
      </c>
      <c r="I761" s="1">
        <f>IF(Query1[[#This Row],[ItemType]]="EVAP KIT SF GEN IV",Query1[[#This Row],[OrderQty]]+I760,I760)</f>
        <v>864</v>
      </c>
      <c r="J761" s="1">
        <f>IF(Query1[[#This Row],[ItemType]]="EVAP KIT UNIVERSAL",Query1[[#This Row],[OrderQty]]+J760,J760)</f>
        <v>400</v>
      </c>
      <c r="K761" s="1">
        <f>Query1[[#This Row],[SF Running Total]]+Query1[[#This Row],[UNIV Running Total]]</f>
        <v>1264</v>
      </c>
      <c r="L761">
        <f>VLOOKUP(Query1[[#This Row],[Description]],'kits to boards'!$B$2:$E$156,2,FALSE)</f>
        <v>830014</v>
      </c>
      <c r="M761">
        <f>VLOOKUP(Query1[[#This Row],[Description]],'kits to boards'!$B$2:$E$156,3,FALSE)</f>
        <v>0</v>
      </c>
      <c r="N761">
        <f>VLOOKUP(Query1[[#This Row],[Description]],'kits to boards'!$B$2:$E$156,4,FALSE)</f>
        <v>0</v>
      </c>
      <c r="O761" t="str">
        <f>CONCATENATE(Query1[[#This Row],[Description]]," - ",Query1[[#This Row],[MB1]]," - ",Query1[[#This Row],[MB2]]," - ",Query1[[#This Row],[MB3]])</f>
        <v>EVAP KIT 67-72 CHEV P-UP WO AC - 830014 - 0 - 0</v>
      </c>
    </row>
    <row r="762" spans="1:15" x14ac:dyDescent="0.25">
      <c r="A762" s="1">
        <v>910890</v>
      </c>
      <c r="B762" s="1" t="s">
        <v>142</v>
      </c>
      <c r="C762" s="1" t="s">
        <v>143</v>
      </c>
      <c r="D762" s="2">
        <v>44606.69563263889</v>
      </c>
      <c r="E762" s="1" t="s">
        <v>8</v>
      </c>
      <c r="F762" s="1">
        <v>4</v>
      </c>
      <c r="G762" s="1">
        <v>0</v>
      </c>
      <c r="H762" s="6">
        <f>INT(Query1[[#This Row],[EntryDateTime]])</f>
        <v>44606</v>
      </c>
      <c r="I762" s="1">
        <f>IF(Query1[[#This Row],[ItemType]]="EVAP KIT SF GEN IV",Query1[[#This Row],[OrderQty]]+I761,I761)</f>
        <v>868</v>
      </c>
      <c r="J762" s="1">
        <f>IF(Query1[[#This Row],[ItemType]]="EVAP KIT UNIVERSAL",Query1[[#This Row],[OrderQty]]+J761,J761)</f>
        <v>400</v>
      </c>
      <c r="K762" s="1">
        <f>Query1[[#This Row],[SF Running Total]]+Query1[[#This Row],[UNIV Running Total]]</f>
        <v>1268</v>
      </c>
      <c r="L762">
        <f>VLOOKUP(Query1[[#This Row],[Description]],'kits to boards'!$B$2:$E$156,2,FALSE)</f>
        <v>830052</v>
      </c>
      <c r="M762">
        <f>VLOOKUP(Query1[[#This Row],[Description]],'kits to boards'!$B$2:$E$156,3,FALSE)</f>
        <v>0</v>
      </c>
      <c r="N762">
        <f>VLOOKUP(Query1[[#This Row],[Description]],'kits to boards'!$B$2:$E$156,4,FALSE)</f>
        <v>0</v>
      </c>
      <c r="O762" t="str">
        <f>CONCATENATE(Query1[[#This Row],[Description]]," - ",Query1[[#This Row],[MB1]]," - ",Query1[[#This Row],[MB2]]," - ",Query1[[#This Row],[MB3]])</f>
        <v>EVAP KIT 61-64 FORD F-100 - 830052 - 0 - 0</v>
      </c>
    </row>
    <row r="763" spans="1:15" x14ac:dyDescent="0.25">
      <c r="A763" s="1">
        <v>910890</v>
      </c>
      <c r="B763" s="1" t="s">
        <v>26</v>
      </c>
      <c r="C763" s="1" t="s">
        <v>27</v>
      </c>
      <c r="D763" s="2">
        <v>44606.695634293981</v>
      </c>
      <c r="E763" s="1" t="s">
        <v>8</v>
      </c>
      <c r="F763" s="1">
        <v>7</v>
      </c>
      <c r="G763" s="1">
        <v>0</v>
      </c>
      <c r="H763" s="6">
        <f>INT(Query1[[#This Row],[EntryDateTime]])</f>
        <v>44606</v>
      </c>
      <c r="I763" s="1">
        <f>IF(Query1[[#This Row],[ItemType]]="EVAP KIT SF GEN IV",Query1[[#This Row],[OrderQty]]+I762,I762)</f>
        <v>875</v>
      </c>
      <c r="J763" s="1">
        <f>IF(Query1[[#This Row],[ItemType]]="EVAP KIT UNIVERSAL",Query1[[#This Row],[OrderQty]]+J762,J762)</f>
        <v>400</v>
      </c>
      <c r="K763" s="1">
        <f>Query1[[#This Row],[SF Running Total]]+Query1[[#This Row],[UNIV Running Total]]</f>
        <v>1275</v>
      </c>
      <c r="L763">
        <f>VLOOKUP(Query1[[#This Row],[Description]],'kits to boards'!$B$2:$E$156,2,FALSE)</f>
        <v>830013</v>
      </c>
      <c r="M763">
        <f>VLOOKUP(Query1[[#This Row],[Description]],'kits to boards'!$B$2:$E$156,3,FALSE)</f>
        <v>0</v>
      </c>
      <c r="N763">
        <f>VLOOKUP(Query1[[#This Row],[Description]],'kits to boards'!$B$2:$E$156,4,FALSE)</f>
        <v>0</v>
      </c>
      <c r="O763" t="str">
        <f>CONCATENATE(Query1[[#This Row],[Description]]," - ",Query1[[#This Row],[MB1]]," - ",Query1[[#This Row],[MB2]]," - ",Query1[[#This Row],[MB3]])</f>
        <v>EVAP KIT 67-72 CHEV P-UP W/AC - 830013 - 0 - 0</v>
      </c>
    </row>
    <row r="764" spans="1:15" x14ac:dyDescent="0.25">
      <c r="A764" s="1">
        <v>910890</v>
      </c>
      <c r="B764" s="1" t="s">
        <v>28</v>
      </c>
      <c r="C764" s="1" t="s">
        <v>29</v>
      </c>
      <c r="D764" s="2">
        <v>44606.695635914351</v>
      </c>
      <c r="E764" s="1" t="s">
        <v>8</v>
      </c>
      <c r="F764" s="1">
        <v>2</v>
      </c>
      <c r="G764" s="1">
        <v>0</v>
      </c>
      <c r="H764" s="6">
        <f>INT(Query1[[#This Row],[EntryDateTime]])</f>
        <v>44606</v>
      </c>
      <c r="I764" s="1">
        <f>IF(Query1[[#This Row],[ItemType]]="EVAP KIT SF GEN IV",Query1[[#This Row],[OrderQty]]+I763,I763)</f>
        <v>877</v>
      </c>
      <c r="J764" s="1">
        <f>IF(Query1[[#This Row],[ItemType]]="EVAP KIT UNIVERSAL",Query1[[#This Row],[OrderQty]]+J763,J763)</f>
        <v>400</v>
      </c>
      <c r="K764" s="1">
        <f>Query1[[#This Row],[SF Running Total]]+Query1[[#This Row],[UNIV Running Total]]</f>
        <v>1277</v>
      </c>
      <c r="L764">
        <f>VLOOKUP(Query1[[#This Row],[Description]],'kits to boards'!$B$2:$E$156,2,FALSE)</f>
        <v>830001</v>
      </c>
      <c r="M764">
        <f>VLOOKUP(Query1[[#This Row],[Description]],'kits to boards'!$B$2:$E$156,3,FALSE)</f>
        <v>0</v>
      </c>
      <c r="N764">
        <f>VLOOKUP(Query1[[#This Row],[Description]],'kits to boards'!$B$2:$E$156,4,FALSE)</f>
        <v>0</v>
      </c>
      <c r="O764" t="str">
        <f>CONCATENATE(Query1[[#This Row],[Description]]," - ",Query1[[#This Row],[MB1]]," - ",Query1[[#This Row],[MB2]]," - ",Query1[[#This Row],[MB3]])</f>
        <v>EVAP KIT 73-80 CHEV P-UP W/AC - 830001 - 0 - 0</v>
      </c>
    </row>
    <row r="765" spans="1:15" x14ac:dyDescent="0.25">
      <c r="A765" s="1">
        <v>910890</v>
      </c>
      <c r="B765" s="1" t="s">
        <v>96</v>
      </c>
      <c r="C765" s="1" t="s">
        <v>97</v>
      </c>
      <c r="D765" s="2">
        <v>44606.695637581019</v>
      </c>
      <c r="E765" s="1" t="s">
        <v>8</v>
      </c>
      <c r="F765" s="1">
        <v>3</v>
      </c>
      <c r="G765" s="1">
        <v>0</v>
      </c>
      <c r="H765" s="6">
        <f>INT(Query1[[#This Row],[EntryDateTime]])</f>
        <v>44606</v>
      </c>
      <c r="I765" s="1">
        <f>IF(Query1[[#This Row],[ItemType]]="EVAP KIT SF GEN IV",Query1[[#This Row],[OrderQty]]+I764,I764)</f>
        <v>880</v>
      </c>
      <c r="J765" s="1">
        <f>IF(Query1[[#This Row],[ItemType]]="EVAP KIT UNIVERSAL",Query1[[#This Row],[OrderQty]]+J764,J764)</f>
        <v>400</v>
      </c>
      <c r="K765" s="1">
        <f>Query1[[#This Row],[SF Running Total]]+Query1[[#This Row],[UNIV Running Total]]</f>
        <v>1280</v>
      </c>
      <c r="L765">
        <f>VLOOKUP(Query1[[#This Row],[Description]],'kits to boards'!$B$2:$E$156,2,FALSE)</f>
        <v>830004</v>
      </c>
      <c r="M765">
        <f>VLOOKUP(Query1[[#This Row],[Description]],'kits to boards'!$B$2:$E$156,3,FALSE)</f>
        <v>0</v>
      </c>
      <c r="N765">
        <f>VLOOKUP(Query1[[#This Row],[Description]],'kits to boards'!$B$2:$E$156,4,FALSE)</f>
        <v>0</v>
      </c>
      <c r="O765" t="str">
        <f>CONCATENATE(Query1[[#This Row],[Description]]," - ",Query1[[#This Row],[MB1]]," - ",Query1[[#This Row],[MB2]]," - ",Query1[[#This Row],[MB3]])</f>
        <v>EVAP KIT 81-87 CHEV P-UP W/AC - 830004 - 0 - 0</v>
      </c>
    </row>
    <row r="766" spans="1:15" x14ac:dyDescent="0.25">
      <c r="A766" s="1">
        <v>910889</v>
      </c>
      <c r="B766" s="1" t="s">
        <v>54</v>
      </c>
      <c r="C766" s="1" t="s">
        <v>55</v>
      </c>
      <c r="D766" s="2">
        <v>44606.695990624998</v>
      </c>
      <c r="E766" s="1" t="s">
        <v>8</v>
      </c>
      <c r="F766" s="1">
        <v>1</v>
      </c>
      <c r="G766" s="1">
        <v>0</v>
      </c>
      <c r="H766" s="6">
        <f>INT(Query1[[#This Row],[EntryDateTime]])</f>
        <v>44606</v>
      </c>
      <c r="I766" s="1">
        <f>IF(Query1[[#This Row],[ItemType]]="EVAP KIT SF GEN IV",Query1[[#This Row],[OrderQty]]+I765,I765)</f>
        <v>881</v>
      </c>
      <c r="J766" s="1">
        <f>IF(Query1[[#This Row],[ItemType]]="EVAP KIT UNIVERSAL",Query1[[#This Row],[OrderQty]]+J765,J765)</f>
        <v>400</v>
      </c>
      <c r="K766" s="1">
        <f>Query1[[#This Row],[SF Running Total]]+Query1[[#This Row],[UNIV Running Total]]</f>
        <v>1281</v>
      </c>
      <c r="L766">
        <f>VLOOKUP(Query1[[#This Row],[Description]],'kits to boards'!$B$2:$E$156,2,FALSE)</f>
        <v>830037</v>
      </c>
      <c r="M766">
        <f>VLOOKUP(Query1[[#This Row],[Description]],'kits to boards'!$B$2:$E$156,3,FALSE)</f>
        <v>0</v>
      </c>
      <c r="N766">
        <f>VLOOKUP(Query1[[#This Row],[Description]],'kits to boards'!$B$2:$E$156,4,FALSE)</f>
        <v>0</v>
      </c>
      <c r="O766" t="str">
        <f>CONCATENATE(Query1[[#This Row],[Description]]," - ",Query1[[#This Row],[MB1]]," - ",Query1[[#This Row],[MB2]]," - ",Query1[[#This Row],[MB3]])</f>
        <v>EVAP KIT 70-81 FIREBIRD W/AC - 830037 - 0 - 0</v>
      </c>
    </row>
    <row r="767" spans="1:15" x14ac:dyDescent="0.25">
      <c r="A767" s="1">
        <v>910894</v>
      </c>
      <c r="B767" s="1" t="s">
        <v>18</v>
      </c>
      <c r="C767" s="1" t="s">
        <v>19</v>
      </c>
      <c r="D767" s="2">
        <v>44606.703054942132</v>
      </c>
      <c r="E767" s="1" t="s">
        <v>8</v>
      </c>
      <c r="F767" s="1">
        <v>1</v>
      </c>
      <c r="G767" s="1">
        <v>0</v>
      </c>
      <c r="H767" s="6">
        <f>INT(Query1[[#This Row],[EntryDateTime]])</f>
        <v>44606</v>
      </c>
      <c r="I767" s="1">
        <f>IF(Query1[[#This Row],[ItemType]]="EVAP KIT SF GEN IV",Query1[[#This Row],[OrderQty]]+I766,I766)</f>
        <v>882</v>
      </c>
      <c r="J767" s="1">
        <f>IF(Query1[[#This Row],[ItemType]]="EVAP KIT UNIVERSAL",Query1[[#This Row],[OrderQty]]+J766,J766)</f>
        <v>400</v>
      </c>
      <c r="K767" s="1">
        <f>Query1[[#This Row],[SF Running Total]]+Query1[[#This Row],[UNIV Running Total]]</f>
        <v>1282</v>
      </c>
      <c r="L767">
        <f>VLOOKUP(Query1[[#This Row],[Description]],'kits to boards'!$B$2:$E$156,2,FALSE)</f>
        <v>830051</v>
      </c>
      <c r="M767">
        <f>VLOOKUP(Query1[[#This Row],[Description]],'kits to boards'!$B$2:$E$156,3,FALSE)</f>
        <v>0</v>
      </c>
      <c r="N767">
        <f>VLOOKUP(Query1[[#This Row],[Description]],'kits to boards'!$B$2:$E$156,4,FALSE)</f>
        <v>0</v>
      </c>
      <c r="O767" t="str">
        <f>CONCATENATE(Query1[[#This Row],[Description]]," - ",Query1[[#This Row],[MB1]]," - ",Query1[[#This Row],[MB2]]," - ",Query1[[#This Row],[MB3]])</f>
        <v>EVAP KIT 70-78 CAMARO W/AC - 830051 - 0 - 0</v>
      </c>
    </row>
    <row r="768" spans="1:15" x14ac:dyDescent="0.25">
      <c r="A768" s="1">
        <v>910896</v>
      </c>
      <c r="B768" s="1" t="s">
        <v>26</v>
      </c>
      <c r="C768" s="1" t="s">
        <v>27</v>
      </c>
      <c r="D768" s="2">
        <v>44606.706461574075</v>
      </c>
      <c r="E768" s="1" t="s">
        <v>8</v>
      </c>
      <c r="F768" s="1">
        <v>1</v>
      </c>
      <c r="G768" s="1">
        <v>0</v>
      </c>
      <c r="H768" s="6">
        <f>INT(Query1[[#This Row],[EntryDateTime]])</f>
        <v>44606</v>
      </c>
      <c r="I768" s="1">
        <f>IF(Query1[[#This Row],[ItemType]]="EVAP KIT SF GEN IV",Query1[[#This Row],[OrderQty]]+I767,I767)</f>
        <v>883</v>
      </c>
      <c r="J768" s="1">
        <f>IF(Query1[[#This Row],[ItemType]]="EVAP KIT UNIVERSAL",Query1[[#This Row],[OrderQty]]+J767,J767)</f>
        <v>400</v>
      </c>
      <c r="K768" s="1">
        <f>Query1[[#This Row],[SF Running Total]]+Query1[[#This Row],[UNIV Running Total]]</f>
        <v>1283</v>
      </c>
      <c r="L768">
        <f>VLOOKUP(Query1[[#This Row],[Description]],'kits to boards'!$B$2:$E$156,2,FALSE)</f>
        <v>830013</v>
      </c>
      <c r="M768">
        <f>VLOOKUP(Query1[[#This Row],[Description]],'kits to boards'!$B$2:$E$156,3,FALSE)</f>
        <v>0</v>
      </c>
      <c r="N768">
        <f>VLOOKUP(Query1[[#This Row],[Description]],'kits to boards'!$B$2:$E$156,4,FALSE)</f>
        <v>0</v>
      </c>
      <c r="O768" t="str">
        <f>CONCATENATE(Query1[[#This Row],[Description]]," - ",Query1[[#This Row],[MB1]]," - ",Query1[[#This Row],[MB2]]," - ",Query1[[#This Row],[MB3]])</f>
        <v>EVAP KIT 67-72 CHEV P-UP W/AC - 830013 - 0 - 0</v>
      </c>
    </row>
    <row r="769" spans="1:15" x14ac:dyDescent="0.25">
      <c r="A769" s="1">
        <v>910896</v>
      </c>
      <c r="B769" s="1" t="s">
        <v>56</v>
      </c>
      <c r="C769" s="1" t="s">
        <v>57</v>
      </c>
      <c r="D769" s="2">
        <v>44606.707734687501</v>
      </c>
      <c r="E769" s="1" t="s">
        <v>8</v>
      </c>
      <c r="F769" s="1">
        <v>1</v>
      </c>
      <c r="G769" s="1">
        <v>0</v>
      </c>
      <c r="H769" s="6">
        <f>INT(Query1[[#This Row],[EntryDateTime]])</f>
        <v>44606</v>
      </c>
      <c r="I769" s="1">
        <f>IF(Query1[[#This Row],[ItemType]]="EVAP KIT SF GEN IV",Query1[[#This Row],[OrderQty]]+I768,I768)</f>
        <v>884</v>
      </c>
      <c r="J769" s="1">
        <f>IF(Query1[[#This Row],[ItemType]]="EVAP KIT UNIVERSAL",Query1[[#This Row],[OrderQty]]+J768,J768)</f>
        <v>400</v>
      </c>
      <c r="K769" s="1">
        <f>Query1[[#This Row],[SF Running Total]]+Query1[[#This Row],[UNIV Running Total]]</f>
        <v>1284</v>
      </c>
      <c r="L769">
        <f>VLOOKUP(Query1[[#This Row],[Description]],'kits to boards'!$B$2:$E$156,2,FALSE)</f>
        <v>830011</v>
      </c>
      <c r="M769">
        <f>VLOOKUP(Query1[[#This Row],[Description]],'kits to boards'!$B$2:$E$156,3,FALSE)</f>
        <v>0</v>
      </c>
      <c r="N769">
        <f>VLOOKUP(Query1[[#This Row],[Description]],'kits to boards'!$B$2:$E$156,4,FALSE)</f>
        <v>0</v>
      </c>
      <c r="O769" t="str">
        <f>CONCATENATE(Query1[[#This Row],[Description]]," - ",Query1[[#This Row],[MB1]]," - ",Query1[[#This Row],[MB2]]," - ",Query1[[#This Row],[MB3]])</f>
        <v>EVAP KIT 70-72 CHEVELLE W/AC - 830011 - 0 - 0</v>
      </c>
    </row>
    <row r="770" spans="1:15" x14ac:dyDescent="0.25">
      <c r="A770" s="1">
        <v>910900</v>
      </c>
      <c r="B770" s="1" t="s">
        <v>506</v>
      </c>
      <c r="C770" s="1" t="s">
        <v>507</v>
      </c>
      <c r="D770" s="2">
        <v>44607.303654513889</v>
      </c>
      <c r="E770" s="1" t="s">
        <v>677</v>
      </c>
      <c r="F770" s="1">
        <v>1</v>
      </c>
      <c r="G770" s="1">
        <v>0</v>
      </c>
      <c r="H770" s="6">
        <f>INT(Query1[[#This Row],[EntryDateTime]])</f>
        <v>44607</v>
      </c>
      <c r="I770" s="1">
        <f>IF(Query1[[#This Row],[ItemType]]="EVAP KIT SF GEN IV",Query1[[#This Row],[OrderQty]]+I769,I769)</f>
        <v>884</v>
      </c>
      <c r="J770" s="1">
        <f>IF(Query1[[#This Row],[ItemType]]="EVAP KIT UNIVERSAL",Query1[[#This Row],[OrderQty]]+J769,J769)</f>
        <v>400</v>
      </c>
      <c r="K770" s="1">
        <f>Query1[[#This Row],[SF Running Total]]+Query1[[#This Row],[UNIV Running Total]]</f>
        <v>1284</v>
      </c>
      <c r="L770" t="e">
        <f>VLOOKUP(Query1[[#This Row],[Description]],'kits to boards'!$B$2:$E$156,2,FALSE)</f>
        <v>#N/A</v>
      </c>
      <c r="M770" t="e">
        <f>VLOOKUP(Query1[[#This Row],[Description]],'kits to boards'!$B$2:$E$156,3,FALSE)</f>
        <v>#N/A</v>
      </c>
      <c r="N770" t="e">
        <f>VLOOKUP(Query1[[#This Row],[Description]],'kits to boards'!$B$2:$E$156,4,FALSE)</f>
        <v>#N/A</v>
      </c>
      <c r="O770" t="e">
        <f>CONCATENATE(Query1[[#This Row],[Description]]," - ",Query1[[#This Row],[MB1]]," - ",Query1[[#This Row],[MB2]]," - ",Query1[[#This Row],[MB3]])</f>
        <v>#N/A</v>
      </c>
    </row>
    <row r="771" spans="1:15" x14ac:dyDescent="0.25">
      <c r="A771" s="1">
        <v>910902</v>
      </c>
      <c r="B771" s="1" t="s">
        <v>94</v>
      </c>
      <c r="C771" s="1" t="s">
        <v>95</v>
      </c>
      <c r="D771" s="2">
        <v>44607.314088460647</v>
      </c>
      <c r="E771" s="1" t="s">
        <v>8</v>
      </c>
      <c r="F771" s="1">
        <v>1</v>
      </c>
      <c r="G771" s="1">
        <v>0</v>
      </c>
      <c r="H771" s="6">
        <f>INT(Query1[[#This Row],[EntryDateTime]])</f>
        <v>44607</v>
      </c>
      <c r="I771" s="1">
        <f>IF(Query1[[#This Row],[ItemType]]="EVAP KIT SF GEN IV",Query1[[#This Row],[OrderQty]]+I770,I770)</f>
        <v>885</v>
      </c>
      <c r="J771" s="1">
        <f>IF(Query1[[#This Row],[ItemType]]="EVAP KIT UNIVERSAL",Query1[[#This Row],[OrderQty]]+J770,J770)</f>
        <v>400</v>
      </c>
      <c r="K771" s="1">
        <f>Query1[[#This Row],[SF Running Total]]+Query1[[#This Row],[UNIV Running Total]]</f>
        <v>1285</v>
      </c>
      <c r="L771">
        <f>VLOOKUP(Query1[[#This Row],[Description]],'kits to boards'!$B$2:$E$156,2,FALSE)</f>
        <v>830076</v>
      </c>
      <c r="M771">
        <f>VLOOKUP(Query1[[#This Row],[Description]],'kits to boards'!$B$2:$E$156,3,FALSE)</f>
        <v>0</v>
      </c>
      <c r="N771">
        <f>VLOOKUP(Query1[[#This Row],[Description]],'kits to boards'!$B$2:$E$156,4,FALSE)</f>
        <v>0</v>
      </c>
      <c r="O771" t="str">
        <f>CONCATENATE(Query1[[#This Row],[Description]]," - ",Query1[[#This Row],[MB1]]," - ",Query1[[#This Row],[MB2]]," - ",Query1[[#This Row],[MB3]])</f>
        <v>EVAP KIT 64 1/2- 66 MUSTANG  - 830076 - 0 - 0</v>
      </c>
    </row>
    <row r="772" spans="1:15" x14ac:dyDescent="0.25">
      <c r="A772" s="1">
        <v>910902</v>
      </c>
      <c r="B772" s="1" t="s">
        <v>106</v>
      </c>
      <c r="C772" s="1" t="s">
        <v>107</v>
      </c>
      <c r="D772" s="2">
        <v>44607.314774386577</v>
      </c>
      <c r="E772" s="1" t="s">
        <v>8</v>
      </c>
      <c r="F772" s="1">
        <v>1</v>
      </c>
      <c r="G772" s="1">
        <v>0</v>
      </c>
      <c r="H772" s="6">
        <f>INT(Query1[[#This Row],[EntryDateTime]])</f>
        <v>44607</v>
      </c>
      <c r="I772" s="1">
        <f>IF(Query1[[#This Row],[ItemType]]="EVAP KIT SF GEN IV",Query1[[#This Row],[OrderQty]]+I771,I771)</f>
        <v>886</v>
      </c>
      <c r="J772" s="1">
        <f>IF(Query1[[#This Row],[ItemType]]="EVAP KIT UNIVERSAL",Query1[[#This Row],[OrderQty]]+J771,J771)</f>
        <v>400</v>
      </c>
      <c r="K772" s="1">
        <f>Query1[[#This Row],[SF Running Total]]+Query1[[#This Row],[UNIV Running Total]]</f>
        <v>1286</v>
      </c>
      <c r="L772">
        <f>VLOOKUP(Query1[[#This Row],[Description]],'kits to boards'!$B$2:$E$156,2,FALSE)</f>
        <v>830028</v>
      </c>
      <c r="M772">
        <f>VLOOKUP(Query1[[#This Row],[Description]],'kits to boards'!$B$2:$E$156,3,FALSE)</f>
        <v>0</v>
      </c>
      <c r="N772">
        <f>VLOOKUP(Query1[[#This Row],[Description]],'kits to boards'!$B$2:$E$156,4,FALSE)</f>
        <v>0</v>
      </c>
      <c r="O772" t="str">
        <f>CONCATENATE(Query1[[#This Row],[Description]]," - ",Query1[[#This Row],[MB1]]," - ",Query1[[#This Row],[MB2]]," - ",Query1[[#This Row],[MB3]])</f>
        <v>EVAP KIT 55-59 CHEV P-UP WO AC W/DELX - 830028 - 0 - 0</v>
      </c>
    </row>
    <row r="773" spans="1:15" x14ac:dyDescent="0.25">
      <c r="A773" s="1">
        <v>910806</v>
      </c>
      <c r="B773" s="1" t="s">
        <v>96</v>
      </c>
      <c r="C773" s="1" t="s">
        <v>97</v>
      </c>
      <c r="D773" s="2">
        <v>44607.317839270836</v>
      </c>
      <c r="E773" s="1" t="s">
        <v>8</v>
      </c>
      <c r="F773" s="1">
        <v>1</v>
      </c>
      <c r="G773" s="1">
        <v>0</v>
      </c>
      <c r="H773" s="6">
        <f>INT(Query1[[#This Row],[EntryDateTime]])</f>
        <v>44607</v>
      </c>
      <c r="I773" s="1">
        <f>IF(Query1[[#This Row],[ItemType]]="EVAP KIT SF GEN IV",Query1[[#This Row],[OrderQty]]+I772,I772)</f>
        <v>887</v>
      </c>
      <c r="J773" s="1">
        <f>IF(Query1[[#This Row],[ItemType]]="EVAP KIT UNIVERSAL",Query1[[#This Row],[OrderQty]]+J772,J772)</f>
        <v>400</v>
      </c>
      <c r="K773" s="1">
        <f>Query1[[#This Row],[SF Running Total]]+Query1[[#This Row],[UNIV Running Total]]</f>
        <v>1287</v>
      </c>
      <c r="L773">
        <f>VLOOKUP(Query1[[#This Row],[Description]],'kits to boards'!$B$2:$E$156,2,FALSE)</f>
        <v>830004</v>
      </c>
      <c r="M773">
        <f>VLOOKUP(Query1[[#This Row],[Description]],'kits to boards'!$B$2:$E$156,3,FALSE)</f>
        <v>0</v>
      </c>
      <c r="N773">
        <f>VLOOKUP(Query1[[#This Row],[Description]],'kits to boards'!$B$2:$E$156,4,FALSE)</f>
        <v>0</v>
      </c>
      <c r="O773" t="str">
        <f>CONCATENATE(Query1[[#This Row],[Description]]," - ",Query1[[#This Row],[MB1]]," - ",Query1[[#This Row],[MB2]]," - ",Query1[[#This Row],[MB3]])</f>
        <v>EVAP KIT 81-87 CHEV P-UP W/AC - 830004 - 0 - 0</v>
      </c>
    </row>
    <row r="774" spans="1:15" x14ac:dyDescent="0.25">
      <c r="A774" s="1">
        <v>910904</v>
      </c>
      <c r="B774" s="1" t="s">
        <v>216</v>
      </c>
      <c r="C774" s="1" t="s">
        <v>217</v>
      </c>
      <c r="D774" s="2">
        <v>44607.318143206016</v>
      </c>
      <c r="E774" s="1" t="s">
        <v>8</v>
      </c>
      <c r="F774" s="1">
        <v>1</v>
      </c>
      <c r="G774" s="1">
        <v>0</v>
      </c>
      <c r="H774" s="6">
        <f>INT(Query1[[#This Row],[EntryDateTime]])</f>
        <v>44607</v>
      </c>
      <c r="I774" s="1">
        <f>IF(Query1[[#This Row],[ItemType]]="EVAP KIT SF GEN IV",Query1[[#This Row],[OrderQty]]+I773,I773)</f>
        <v>888</v>
      </c>
      <c r="J774" s="1">
        <f>IF(Query1[[#This Row],[ItemType]]="EVAP KIT UNIVERSAL",Query1[[#This Row],[OrderQty]]+J773,J773)</f>
        <v>400</v>
      </c>
      <c r="K774" s="1">
        <f>Query1[[#This Row],[SF Running Total]]+Query1[[#This Row],[UNIV Running Total]]</f>
        <v>1288</v>
      </c>
      <c r="L774">
        <f>VLOOKUP(Query1[[#This Row],[Description]],'kits to boards'!$B$2:$E$156,2,FALSE)</f>
        <v>830072</v>
      </c>
      <c r="M774">
        <f>VLOOKUP(Query1[[#This Row],[Description]],'kits to boards'!$B$2:$E$156,3,FALSE)</f>
        <v>830075</v>
      </c>
      <c r="N774">
        <f>VLOOKUP(Query1[[#This Row],[Description]],'kits to boards'!$B$2:$E$156,4,FALSE)</f>
        <v>0</v>
      </c>
      <c r="O774" t="str">
        <f>CONCATENATE(Query1[[#This Row],[Description]]," - ",Query1[[#This Row],[MB1]]," - ",Query1[[#This Row],[MB2]]," - ",Query1[[#This Row],[MB3]])</f>
        <v>EVAP KIT 69-70 MOPAR B BODY W/AC - 830072 - 830075 - 0</v>
      </c>
    </row>
    <row r="775" spans="1:15" x14ac:dyDescent="0.25">
      <c r="A775" s="1">
        <v>910906</v>
      </c>
      <c r="B775" s="1" t="s">
        <v>50</v>
      </c>
      <c r="C775" s="1" t="s">
        <v>51</v>
      </c>
      <c r="D775" s="2">
        <v>44607.320239386572</v>
      </c>
      <c r="E775" s="1" t="s">
        <v>8</v>
      </c>
      <c r="F775" s="1">
        <v>1</v>
      </c>
      <c r="G775" s="1">
        <v>0</v>
      </c>
      <c r="H775" s="6">
        <f>INT(Query1[[#This Row],[EntryDateTime]])</f>
        <v>44607</v>
      </c>
      <c r="I775" s="1">
        <f>IF(Query1[[#This Row],[ItemType]]="EVAP KIT SF GEN IV",Query1[[#This Row],[OrderQty]]+I774,I774)</f>
        <v>889</v>
      </c>
      <c r="J775" s="1">
        <f>IF(Query1[[#This Row],[ItemType]]="EVAP KIT UNIVERSAL",Query1[[#This Row],[OrderQty]]+J774,J774)</f>
        <v>400</v>
      </c>
      <c r="K775" s="1">
        <f>Query1[[#This Row],[SF Running Total]]+Query1[[#This Row],[UNIV Running Total]]</f>
        <v>1289</v>
      </c>
      <c r="L775">
        <f>VLOOKUP(Query1[[#This Row],[Description]],'kits to boards'!$B$2:$E$156,2,FALSE)</f>
        <v>830043</v>
      </c>
      <c r="M775">
        <f>VLOOKUP(Query1[[#This Row],[Description]],'kits to boards'!$B$2:$E$156,3,FALSE)</f>
        <v>0</v>
      </c>
      <c r="N775">
        <f>VLOOKUP(Query1[[#This Row],[Description]],'kits to boards'!$B$2:$E$156,4,FALSE)</f>
        <v>0</v>
      </c>
      <c r="O775" t="str">
        <f>CONCATENATE(Query1[[#This Row],[Description]]," - ",Query1[[#This Row],[MB1]]," - ",Query1[[#This Row],[MB2]]," - ",Query1[[#This Row],[MB3]])</f>
        <v>EVAP KIT 69-74 NOVA WO AC - 830043 - 0 - 0</v>
      </c>
    </row>
    <row r="776" spans="1:15" x14ac:dyDescent="0.25">
      <c r="A776" s="1">
        <v>910909</v>
      </c>
      <c r="B776" s="1" t="s">
        <v>92</v>
      </c>
      <c r="C776" s="1" t="s">
        <v>93</v>
      </c>
      <c r="D776" s="2">
        <v>44607.322815659725</v>
      </c>
      <c r="E776" s="1" t="s">
        <v>8</v>
      </c>
      <c r="F776" s="1">
        <v>1</v>
      </c>
      <c r="G776" s="1">
        <v>0</v>
      </c>
      <c r="H776" s="6">
        <f>INT(Query1[[#This Row],[EntryDateTime]])</f>
        <v>44607</v>
      </c>
      <c r="I776" s="1">
        <f>IF(Query1[[#This Row],[ItemType]]="EVAP KIT SF GEN IV",Query1[[#This Row],[OrderQty]]+I775,I775)</f>
        <v>890</v>
      </c>
      <c r="J776" s="1">
        <f>IF(Query1[[#This Row],[ItemType]]="EVAP KIT UNIVERSAL",Query1[[#This Row],[OrderQty]]+J775,J775)</f>
        <v>400</v>
      </c>
      <c r="K776" s="1">
        <f>Query1[[#This Row],[SF Running Total]]+Query1[[#This Row],[UNIV Running Total]]</f>
        <v>1290</v>
      </c>
      <c r="L776">
        <f>VLOOKUP(Query1[[#This Row],[Description]],'kits to boards'!$B$2:$E$156,2,FALSE)</f>
        <v>830063</v>
      </c>
      <c r="M776">
        <f>VLOOKUP(Query1[[#This Row],[Description]],'kits to boards'!$B$2:$E$156,3,FALSE)</f>
        <v>0</v>
      </c>
      <c r="N776">
        <f>VLOOKUP(Query1[[#This Row],[Description]],'kits to boards'!$B$2:$E$156,4,FALSE)</f>
        <v>0</v>
      </c>
      <c r="O776" t="str">
        <f>CONCATENATE(Query1[[#This Row],[Description]]," - ",Query1[[#This Row],[MB1]]," - ",Query1[[#This Row],[MB2]]," - ",Query1[[#This Row],[MB3]])</f>
        <v>EVAP KIT 50-53 CHEV P-UP GEN IV - 830063 - 0 - 0</v>
      </c>
    </row>
    <row r="777" spans="1:15" x14ac:dyDescent="0.25">
      <c r="A777" s="1">
        <v>910908</v>
      </c>
      <c r="B777" s="1" t="s">
        <v>66</v>
      </c>
      <c r="C777" s="1" t="s">
        <v>67</v>
      </c>
      <c r="D777" s="2">
        <v>44607.323641400464</v>
      </c>
      <c r="E777" s="1" t="s">
        <v>8</v>
      </c>
      <c r="F777" s="1">
        <v>1</v>
      </c>
      <c r="G777" s="1">
        <v>0</v>
      </c>
      <c r="H777" s="6">
        <f>INT(Query1[[#This Row],[EntryDateTime]])</f>
        <v>44607</v>
      </c>
      <c r="I777" s="1">
        <f>IF(Query1[[#This Row],[ItemType]]="EVAP KIT SF GEN IV",Query1[[#This Row],[OrderQty]]+I776,I776)</f>
        <v>891</v>
      </c>
      <c r="J777" s="1">
        <f>IF(Query1[[#This Row],[ItemType]]="EVAP KIT UNIVERSAL",Query1[[#This Row],[OrderQty]]+J776,J776)</f>
        <v>400</v>
      </c>
      <c r="K777" s="1">
        <f>Query1[[#This Row],[SF Running Total]]+Query1[[#This Row],[UNIV Running Total]]</f>
        <v>1291</v>
      </c>
      <c r="L777">
        <f>VLOOKUP(Query1[[#This Row],[Description]],'kits to boards'!$B$2:$E$156,2,FALSE)</f>
        <v>830060</v>
      </c>
      <c r="M777">
        <f>VLOOKUP(Query1[[#This Row],[Description]],'kits to boards'!$B$2:$E$156,3,FALSE)</f>
        <v>0</v>
      </c>
      <c r="N777">
        <f>VLOOKUP(Query1[[#This Row],[Description]],'kits to boards'!$B$2:$E$156,4,FALSE)</f>
        <v>0</v>
      </c>
      <c r="O777" t="str">
        <f>CONCATENATE(Query1[[#This Row],[Description]]," - ",Query1[[#This Row],[MB1]]," - ",Query1[[#This Row],[MB2]]," - ",Query1[[#This Row],[MB3]])</f>
        <v>EVAP KIT 66-67 CHEVELLE WO AC - 830060 - 0 - 0</v>
      </c>
    </row>
    <row r="778" spans="1:15" x14ac:dyDescent="0.25">
      <c r="A778" s="1">
        <v>910912</v>
      </c>
      <c r="B778" s="1" t="s">
        <v>18</v>
      </c>
      <c r="C778" s="1" t="s">
        <v>19</v>
      </c>
      <c r="D778" s="2">
        <v>44607.332518900461</v>
      </c>
      <c r="E778" s="1" t="s">
        <v>8</v>
      </c>
      <c r="F778" s="1">
        <v>1</v>
      </c>
      <c r="G778" s="1">
        <v>0</v>
      </c>
      <c r="H778" s="6">
        <f>INT(Query1[[#This Row],[EntryDateTime]])</f>
        <v>44607</v>
      </c>
      <c r="I778" s="1">
        <f>IF(Query1[[#This Row],[ItemType]]="EVAP KIT SF GEN IV",Query1[[#This Row],[OrderQty]]+I777,I777)</f>
        <v>892</v>
      </c>
      <c r="J778" s="1">
        <f>IF(Query1[[#This Row],[ItemType]]="EVAP KIT UNIVERSAL",Query1[[#This Row],[OrderQty]]+J777,J777)</f>
        <v>400</v>
      </c>
      <c r="K778" s="1">
        <f>Query1[[#This Row],[SF Running Total]]+Query1[[#This Row],[UNIV Running Total]]</f>
        <v>1292</v>
      </c>
      <c r="L778">
        <f>VLOOKUP(Query1[[#This Row],[Description]],'kits to boards'!$B$2:$E$156,2,FALSE)</f>
        <v>830051</v>
      </c>
      <c r="M778">
        <f>VLOOKUP(Query1[[#This Row],[Description]],'kits to boards'!$B$2:$E$156,3,FALSE)</f>
        <v>0</v>
      </c>
      <c r="N778">
        <f>VLOOKUP(Query1[[#This Row],[Description]],'kits to boards'!$B$2:$E$156,4,FALSE)</f>
        <v>0</v>
      </c>
      <c r="O778" t="str">
        <f>CONCATENATE(Query1[[#This Row],[Description]]," - ",Query1[[#This Row],[MB1]]," - ",Query1[[#This Row],[MB2]]," - ",Query1[[#This Row],[MB3]])</f>
        <v>EVAP KIT 70-78 CAMARO W/AC - 830051 - 0 - 0</v>
      </c>
    </row>
    <row r="779" spans="1:15" x14ac:dyDescent="0.25">
      <c r="A779" s="1">
        <v>910914</v>
      </c>
      <c r="B779" s="1" t="s">
        <v>26</v>
      </c>
      <c r="C779" s="1" t="s">
        <v>27</v>
      </c>
      <c r="D779" s="2">
        <v>44607.335235300925</v>
      </c>
      <c r="E779" s="1" t="s">
        <v>8</v>
      </c>
      <c r="F779" s="1">
        <v>1</v>
      </c>
      <c r="G779" s="1">
        <v>0</v>
      </c>
      <c r="H779" s="6">
        <f>INT(Query1[[#This Row],[EntryDateTime]])</f>
        <v>44607</v>
      </c>
      <c r="I779" s="1">
        <f>IF(Query1[[#This Row],[ItemType]]="EVAP KIT SF GEN IV",Query1[[#This Row],[OrderQty]]+I778,I778)</f>
        <v>893</v>
      </c>
      <c r="J779" s="1">
        <f>IF(Query1[[#This Row],[ItemType]]="EVAP KIT UNIVERSAL",Query1[[#This Row],[OrderQty]]+J778,J778)</f>
        <v>400</v>
      </c>
      <c r="K779" s="1">
        <f>Query1[[#This Row],[SF Running Total]]+Query1[[#This Row],[UNIV Running Total]]</f>
        <v>1293</v>
      </c>
      <c r="L779">
        <f>VLOOKUP(Query1[[#This Row],[Description]],'kits to boards'!$B$2:$E$156,2,FALSE)</f>
        <v>830013</v>
      </c>
      <c r="M779">
        <f>VLOOKUP(Query1[[#This Row],[Description]],'kits to boards'!$B$2:$E$156,3,FALSE)</f>
        <v>0</v>
      </c>
      <c r="N779">
        <f>VLOOKUP(Query1[[#This Row],[Description]],'kits to boards'!$B$2:$E$156,4,FALSE)</f>
        <v>0</v>
      </c>
      <c r="O779" t="str">
        <f>CONCATENATE(Query1[[#This Row],[Description]]," - ",Query1[[#This Row],[MB1]]," - ",Query1[[#This Row],[MB2]]," - ",Query1[[#This Row],[MB3]])</f>
        <v>EVAP KIT 67-72 CHEV P-UP W/AC - 830013 - 0 - 0</v>
      </c>
    </row>
    <row r="780" spans="1:15" x14ac:dyDescent="0.25">
      <c r="A780" s="1">
        <v>910915</v>
      </c>
      <c r="B780" s="1" t="s">
        <v>34</v>
      </c>
      <c r="C780" s="1" t="s">
        <v>35</v>
      </c>
      <c r="D780" s="2">
        <v>44607.339069212961</v>
      </c>
      <c r="E780" s="1" t="s">
        <v>8</v>
      </c>
      <c r="F780" s="1">
        <v>1</v>
      </c>
      <c r="G780" s="1">
        <v>0</v>
      </c>
      <c r="H780" s="6">
        <f>INT(Query1[[#This Row],[EntryDateTime]])</f>
        <v>44607</v>
      </c>
      <c r="I780" s="1">
        <f>IF(Query1[[#This Row],[ItemType]]="EVAP KIT SF GEN IV",Query1[[#This Row],[OrderQty]]+I779,I779)</f>
        <v>894</v>
      </c>
      <c r="J780" s="1">
        <f>IF(Query1[[#This Row],[ItemType]]="EVAP KIT UNIVERSAL",Query1[[#This Row],[OrderQty]]+J779,J779)</f>
        <v>400</v>
      </c>
      <c r="K780" s="1">
        <f>Query1[[#This Row],[SF Running Total]]+Query1[[#This Row],[UNIV Running Total]]</f>
        <v>1294</v>
      </c>
      <c r="L780">
        <f>VLOOKUP(Query1[[#This Row],[Description]],'kits to boards'!$B$2:$E$156,2,FALSE)</f>
        <v>830065</v>
      </c>
      <c r="M780">
        <f>VLOOKUP(Query1[[#This Row],[Description]],'kits to boards'!$B$2:$E$156,3,FALSE)</f>
        <v>0</v>
      </c>
      <c r="N780">
        <f>VLOOKUP(Query1[[#This Row],[Description]],'kits to boards'!$B$2:$E$156,4,FALSE)</f>
        <v>0</v>
      </c>
      <c r="O780" t="str">
        <f>CONCATENATE(Query1[[#This Row],[Description]]," - ",Query1[[#This Row],[MB1]]," - ",Query1[[#This Row],[MB2]]," - ",Query1[[#This Row],[MB3]])</f>
        <v>EVAP KIT 57 CHEV WO AC - 830065 - 0 - 0</v>
      </c>
    </row>
    <row r="781" spans="1:15" x14ac:dyDescent="0.25">
      <c r="A781" s="1">
        <v>910911</v>
      </c>
      <c r="B781" s="1" t="s">
        <v>184</v>
      </c>
      <c r="C781" s="1" t="s">
        <v>185</v>
      </c>
      <c r="D781" s="2">
        <v>44607.341901041669</v>
      </c>
      <c r="E781" s="1" t="s">
        <v>8</v>
      </c>
      <c r="F781" s="1">
        <v>1</v>
      </c>
      <c r="G781" s="1">
        <v>0</v>
      </c>
      <c r="H781" s="6">
        <f>INT(Query1[[#This Row],[EntryDateTime]])</f>
        <v>44607</v>
      </c>
      <c r="I781" s="1">
        <f>IF(Query1[[#This Row],[ItemType]]="EVAP KIT SF GEN IV",Query1[[#This Row],[OrderQty]]+I780,I780)</f>
        <v>895</v>
      </c>
      <c r="J781" s="1">
        <f>IF(Query1[[#This Row],[ItemType]]="EVAP KIT UNIVERSAL",Query1[[#This Row],[OrderQty]]+J780,J780)</f>
        <v>400</v>
      </c>
      <c r="K781" s="1">
        <f>Query1[[#This Row],[SF Running Total]]+Query1[[#This Row],[UNIV Running Total]]</f>
        <v>1295</v>
      </c>
      <c r="L781">
        <f>VLOOKUP(Query1[[#This Row],[Description]],'kits to boards'!$B$2:$E$156,2,FALSE)</f>
        <v>830042</v>
      </c>
      <c r="M781">
        <f>VLOOKUP(Query1[[#This Row],[Description]],'kits to boards'!$B$2:$E$156,3,FALSE)</f>
        <v>0</v>
      </c>
      <c r="N781">
        <f>VLOOKUP(Query1[[#This Row],[Description]],'kits to boards'!$B$2:$E$156,4,FALSE)</f>
        <v>0</v>
      </c>
      <c r="O781" t="str">
        <f>CONCATENATE(Query1[[#This Row],[Description]]," - ",Query1[[#This Row],[MB1]]," - ",Query1[[#This Row],[MB2]]," - ",Query1[[#This Row],[MB3]])</f>
        <v>EVAP KIT 68-83 TOYOTA FJ40 - 830042 - 0 - 0</v>
      </c>
    </row>
    <row r="782" spans="1:15" x14ac:dyDescent="0.25">
      <c r="A782" s="1">
        <v>910918</v>
      </c>
      <c r="B782" s="1" t="s">
        <v>216</v>
      </c>
      <c r="C782" s="1" t="s">
        <v>217</v>
      </c>
      <c r="D782" s="2">
        <v>44607.342207094909</v>
      </c>
      <c r="E782" s="1" t="s">
        <v>8</v>
      </c>
      <c r="F782" s="1">
        <v>1</v>
      </c>
      <c r="G782" s="1">
        <v>0</v>
      </c>
      <c r="H782" s="6">
        <f>INT(Query1[[#This Row],[EntryDateTime]])</f>
        <v>44607</v>
      </c>
      <c r="I782" s="1">
        <f>IF(Query1[[#This Row],[ItemType]]="EVAP KIT SF GEN IV",Query1[[#This Row],[OrderQty]]+I781,I781)</f>
        <v>896</v>
      </c>
      <c r="J782" s="1">
        <f>IF(Query1[[#This Row],[ItemType]]="EVAP KIT UNIVERSAL",Query1[[#This Row],[OrderQty]]+J781,J781)</f>
        <v>400</v>
      </c>
      <c r="K782" s="1">
        <f>Query1[[#This Row],[SF Running Total]]+Query1[[#This Row],[UNIV Running Total]]</f>
        <v>1296</v>
      </c>
      <c r="L782">
        <f>VLOOKUP(Query1[[#This Row],[Description]],'kits to boards'!$B$2:$E$156,2,FALSE)</f>
        <v>830072</v>
      </c>
      <c r="M782">
        <f>VLOOKUP(Query1[[#This Row],[Description]],'kits to boards'!$B$2:$E$156,3,FALSE)</f>
        <v>830075</v>
      </c>
      <c r="N782">
        <f>VLOOKUP(Query1[[#This Row],[Description]],'kits to boards'!$B$2:$E$156,4,FALSE)</f>
        <v>0</v>
      </c>
      <c r="O782" t="str">
        <f>CONCATENATE(Query1[[#This Row],[Description]]," - ",Query1[[#This Row],[MB1]]," - ",Query1[[#This Row],[MB2]]," - ",Query1[[#This Row],[MB3]])</f>
        <v>EVAP KIT 69-70 MOPAR B BODY W/AC - 830072 - 830075 - 0</v>
      </c>
    </row>
    <row r="783" spans="1:15" x14ac:dyDescent="0.25">
      <c r="A783" s="1">
        <v>910921</v>
      </c>
      <c r="B783" s="1" t="s">
        <v>116</v>
      </c>
      <c r="C783" s="1" t="s">
        <v>117</v>
      </c>
      <c r="D783" s="2">
        <v>44607.342614201392</v>
      </c>
      <c r="E783" s="1" t="s">
        <v>8</v>
      </c>
      <c r="F783" s="1">
        <v>1</v>
      </c>
      <c r="G783" s="1">
        <v>0</v>
      </c>
      <c r="H783" s="6">
        <f>INT(Query1[[#This Row],[EntryDateTime]])</f>
        <v>44607</v>
      </c>
      <c r="I783" s="1">
        <f>IF(Query1[[#This Row],[ItemType]]="EVAP KIT SF GEN IV",Query1[[#This Row],[OrderQty]]+I782,I782)</f>
        <v>897</v>
      </c>
      <c r="J783" s="1">
        <f>IF(Query1[[#This Row],[ItemType]]="EVAP KIT UNIVERSAL",Query1[[#This Row],[OrderQty]]+J782,J782)</f>
        <v>400</v>
      </c>
      <c r="K783" s="1">
        <f>Query1[[#This Row],[SF Running Total]]+Query1[[#This Row],[UNIV Running Total]]</f>
        <v>1297</v>
      </c>
      <c r="L783">
        <f>VLOOKUP(Query1[[#This Row],[Description]],'kits to boards'!$B$2:$E$156,2,FALSE)</f>
        <v>830058</v>
      </c>
      <c r="M783">
        <f>VLOOKUP(Query1[[#This Row],[Description]],'kits to boards'!$B$2:$E$156,3,FALSE)</f>
        <v>0</v>
      </c>
      <c r="N783">
        <f>VLOOKUP(Query1[[#This Row],[Description]],'kits to boards'!$B$2:$E$156,4,FALSE)</f>
        <v>0</v>
      </c>
      <c r="O783" t="str">
        <f>CONCATENATE(Query1[[#This Row],[Description]]," - ",Query1[[#This Row],[MB1]]," - ",Query1[[#This Row],[MB2]]," - ",Query1[[#This Row],[MB3]])</f>
        <v>EVAP KIT 64-65 CHEVELLE WO AC - 830058 - 0 - 0</v>
      </c>
    </row>
    <row r="784" spans="1:15" x14ac:dyDescent="0.25">
      <c r="A784" s="1">
        <v>910916</v>
      </c>
      <c r="B784" s="1" t="s">
        <v>184</v>
      </c>
      <c r="C784" s="1" t="s">
        <v>185</v>
      </c>
      <c r="D784" s="2">
        <v>44607.343439317126</v>
      </c>
      <c r="E784" s="1" t="s">
        <v>8</v>
      </c>
      <c r="F784" s="1">
        <v>1</v>
      </c>
      <c r="G784" s="1">
        <v>0</v>
      </c>
      <c r="H784" s="6">
        <f>INT(Query1[[#This Row],[EntryDateTime]])</f>
        <v>44607</v>
      </c>
      <c r="I784" s="1">
        <f>IF(Query1[[#This Row],[ItemType]]="EVAP KIT SF GEN IV",Query1[[#This Row],[OrderQty]]+I783,I783)</f>
        <v>898</v>
      </c>
      <c r="J784" s="1">
        <f>IF(Query1[[#This Row],[ItemType]]="EVAP KIT UNIVERSAL",Query1[[#This Row],[OrderQty]]+J783,J783)</f>
        <v>400</v>
      </c>
      <c r="K784" s="1">
        <f>Query1[[#This Row],[SF Running Total]]+Query1[[#This Row],[UNIV Running Total]]</f>
        <v>1298</v>
      </c>
      <c r="L784">
        <f>VLOOKUP(Query1[[#This Row],[Description]],'kits to boards'!$B$2:$E$156,2,FALSE)</f>
        <v>830042</v>
      </c>
      <c r="M784">
        <f>VLOOKUP(Query1[[#This Row],[Description]],'kits to boards'!$B$2:$E$156,3,FALSE)</f>
        <v>0</v>
      </c>
      <c r="N784">
        <f>VLOOKUP(Query1[[#This Row],[Description]],'kits to boards'!$B$2:$E$156,4,FALSE)</f>
        <v>0</v>
      </c>
      <c r="O784" t="str">
        <f>CONCATENATE(Query1[[#This Row],[Description]]," - ",Query1[[#This Row],[MB1]]," - ",Query1[[#This Row],[MB2]]," - ",Query1[[#This Row],[MB3]])</f>
        <v>EVAP KIT 68-83 TOYOTA FJ40 - 830042 - 0 - 0</v>
      </c>
    </row>
    <row r="785" spans="1:15" x14ac:dyDescent="0.25">
      <c r="A785" s="1">
        <v>910923</v>
      </c>
      <c r="B785" s="1" t="s">
        <v>130</v>
      </c>
      <c r="C785" s="1" t="s">
        <v>131</v>
      </c>
      <c r="D785" s="2">
        <v>44607.344198495368</v>
      </c>
      <c r="E785" s="1" t="s">
        <v>8</v>
      </c>
      <c r="F785" s="1">
        <v>1</v>
      </c>
      <c r="G785" s="1">
        <v>0</v>
      </c>
      <c r="H785" s="6">
        <f>INT(Query1[[#This Row],[EntryDateTime]])</f>
        <v>44607</v>
      </c>
      <c r="I785" s="1">
        <f>IF(Query1[[#This Row],[ItemType]]="EVAP KIT SF GEN IV",Query1[[#This Row],[OrderQty]]+I784,I784)</f>
        <v>899</v>
      </c>
      <c r="J785" s="1">
        <f>IF(Query1[[#This Row],[ItemType]]="EVAP KIT UNIVERSAL",Query1[[#This Row],[OrderQty]]+J784,J784)</f>
        <v>400</v>
      </c>
      <c r="K785" s="1">
        <f>Query1[[#This Row],[SF Running Total]]+Query1[[#This Row],[UNIV Running Total]]</f>
        <v>1299</v>
      </c>
      <c r="L785">
        <f>VLOOKUP(Query1[[#This Row],[Description]],'kits to boards'!$B$2:$E$156,2,FALSE)</f>
        <v>830123</v>
      </c>
      <c r="M785">
        <f>VLOOKUP(Query1[[#This Row],[Description]],'kits to boards'!$B$2:$E$156,3,FALSE)</f>
        <v>0</v>
      </c>
      <c r="N785">
        <f>VLOOKUP(Query1[[#This Row],[Description]],'kits to boards'!$B$2:$E$156,4,FALSE)</f>
        <v>0</v>
      </c>
      <c r="O785" t="str">
        <f>CONCATENATE(Query1[[#This Row],[Description]]," - ",Query1[[#This Row],[MB1]]," - ",Query1[[#This Row],[MB2]]," - ",Query1[[#This Row],[MB3]])</f>
        <v>EVAP KIT 68 GTO WO/AC - 830123 - 0 - 0</v>
      </c>
    </row>
    <row r="786" spans="1:15" x14ac:dyDescent="0.25">
      <c r="A786" s="1">
        <v>910925</v>
      </c>
      <c r="B786" s="1" t="s">
        <v>18</v>
      </c>
      <c r="C786" s="1" t="s">
        <v>19</v>
      </c>
      <c r="D786" s="2">
        <v>44607.347051238423</v>
      </c>
      <c r="E786" s="1" t="s">
        <v>8</v>
      </c>
      <c r="F786" s="1">
        <v>1</v>
      </c>
      <c r="G786" s="1">
        <v>0</v>
      </c>
      <c r="H786" s="6">
        <f>INT(Query1[[#This Row],[EntryDateTime]])</f>
        <v>44607</v>
      </c>
      <c r="I786" s="1">
        <f>IF(Query1[[#This Row],[ItemType]]="EVAP KIT SF GEN IV",Query1[[#This Row],[OrderQty]]+I785,I785)</f>
        <v>900</v>
      </c>
      <c r="J786" s="1">
        <f>IF(Query1[[#This Row],[ItemType]]="EVAP KIT UNIVERSAL",Query1[[#This Row],[OrderQty]]+J785,J785)</f>
        <v>400</v>
      </c>
      <c r="K786" s="1">
        <f>Query1[[#This Row],[SF Running Total]]+Query1[[#This Row],[UNIV Running Total]]</f>
        <v>1300</v>
      </c>
      <c r="L786">
        <f>VLOOKUP(Query1[[#This Row],[Description]],'kits to boards'!$B$2:$E$156,2,FALSE)</f>
        <v>830051</v>
      </c>
      <c r="M786">
        <f>VLOOKUP(Query1[[#This Row],[Description]],'kits to boards'!$B$2:$E$156,3,FALSE)</f>
        <v>0</v>
      </c>
      <c r="N786">
        <f>VLOOKUP(Query1[[#This Row],[Description]],'kits to boards'!$B$2:$E$156,4,FALSE)</f>
        <v>0</v>
      </c>
      <c r="O786" t="str">
        <f>CONCATENATE(Query1[[#This Row],[Description]]," - ",Query1[[#This Row],[MB1]]," - ",Query1[[#This Row],[MB2]]," - ",Query1[[#This Row],[MB3]])</f>
        <v>EVAP KIT 70-78 CAMARO W/AC - 830051 - 0 - 0</v>
      </c>
    </row>
    <row r="787" spans="1:15" x14ac:dyDescent="0.25">
      <c r="A787" s="1">
        <v>910929</v>
      </c>
      <c r="B787" s="1" t="s">
        <v>24</v>
      </c>
      <c r="C787" s="1" t="s">
        <v>25</v>
      </c>
      <c r="D787" s="2">
        <v>44607.353640590278</v>
      </c>
      <c r="E787" s="1" t="s">
        <v>11</v>
      </c>
      <c r="F787" s="1">
        <v>1</v>
      </c>
      <c r="G787" s="1">
        <v>0</v>
      </c>
      <c r="H787" s="6">
        <f>INT(Query1[[#This Row],[EntryDateTime]])</f>
        <v>44607</v>
      </c>
      <c r="I787" s="1">
        <f>IF(Query1[[#This Row],[ItemType]]="EVAP KIT SF GEN IV",Query1[[#This Row],[OrderQty]]+I786,I786)</f>
        <v>900</v>
      </c>
      <c r="J787" s="1">
        <f>IF(Query1[[#This Row],[ItemType]]="EVAP KIT UNIVERSAL",Query1[[#This Row],[OrderQty]]+J786,J786)</f>
        <v>401</v>
      </c>
      <c r="K787" s="1">
        <f>Query1[[#This Row],[SF Running Total]]+Query1[[#This Row],[UNIV Running Total]]</f>
        <v>1301</v>
      </c>
      <c r="L787">
        <f>VLOOKUP(Query1[[#This Row],[Description]],'kits to boards'!$B$2:$E$156,2,FALSE)</f>
        <v>830029</v>
      </c>
      <c r="M787">
        <f>VLOOKUP(Query1[[#This Row],[Description]],'kits to boards'!$B$2:$E$156,3,FALSE)</f>
        <v>830030</v>
      </c>
      <c r="N787">
        <f>VLOOKUP(Query1[[#This Row],[Description]],'kits to boards'!$B$2:$E$156,4,FALSE)</f>
        <v>0</v>
      </c>
      <c r="O787" t="str">
        <f>CONCATENATE(Query1[[#This Row],[Description]]," - ",Query1[[#This Row],[MB1]]," - ",Query1[[#This Row],[MB2]]," - ",Query1[[#This Row],[MB3]])</f>
        <v>ComPac GEN II W/DEF - 830029 - 830030 - 0</v>
      </c>
    </row>
    <row r="788" spans="1:15" x14ac:dyDescent="0.25">
      <c r="A788" s="1">
        <v>910930</v>
      </c>
      <c r="B788" s="1" t="s">
        <v>48</v>
      </c>
      <c r="C788" s="1" t="s">
        <v>49</v>
      </c>
      <c r="D788" s="2">
        <v>44607.35474505787</v>
      </c>
      <c r="E788" s="1" t="s">
        <v>8</v>
      </c>
      <c r="F788" s="1">
        <v>1</v>
      </c>
      <c r="G788" s="1">
        <v>0</v>
      </c>
      <c r="H788" s="6">
        <f>INT(Query1[[#This Row],[EntryDateTime]])</f>
        <v>44607</v>
      </c>
      <c r="I788" s="1">
        <f>IF(Query1[[#This Row],[ItemType]]="EVAP KIT SF GEN IV",Query1[[#This Row],[OrderQty]]+I787,I787)</f>
        <v>901</v>
      </c>
      <c r="J788" s="1">
        <f>IF(Query1[[#This Row],[ItemType]]="EVAP KIT UNIVERSAL",Query1[[#This Row],[OrderQty]]+J787,J787)</f>
        <v>401</v>
      </c>
      <c r="K788" s="1">
        <f>Query1[[#This Row],[SF Running Total]]+Query1[[#This Row],[UNIV Running Total]]</f>
        <v>1302</v>
      </c>
      <c r="L788">
        <f>VLOOKUP(Query1[[#This Row],[Description]],'kits to boards'!$B$2:$E$156,2,FALSE)</f>
        <v>830015</v>
      </c>
      <c r="M788">
        <f>VLOOKUP(Query1[[#This Row],[Description]],'kits to boards'!$B$2:$E$156,3,FALSE)</f>
        <v>0</v>
      </c>
      <c r="N788">
        <f>VLOOKUP(Query1[[#This Row],[Description]],'kits to boards'!$B$2:$E$156,4,FALSE)</f>
        <v>0</v>
      </c>
      <c r="O788" t="str">
        <f>CONCATENATE(Query1[[#This Row],[Description]]," - ",Query1[[#This Row],[MB1]]," - ",Query1[[#This Row],[MB2]]," - ",Query1[[#This Row],[MB3]])</f>
        <v>EVAP KIT 64-66 CHEV P-UP WO AC W/DELX - 830015 - 0 - 0</v>
      </c>
    </row>
    <row r="789" spans="1:15" x14ac:dyDescent="0.25">
      <c r="A789" s="1">
        <v>909391</v>
      </c>
      <c r="B789" s="1" t="s">
        <v>60</v>
      </c>
      <c r="C789" s="1" t="s">
        <v>61</v>
      </c>
      <c r="D789" s="2">
        <v>44607.396271874997</v>
      </c>
      <c r="E789" s="1" t="s">
        <v>8</v>
      </c>
      <c r="F789" s="1">
        <v>1</v>
      </c>
      <c r="G789" s="1">
        <v>0</v>
      </c>
      <c r="H789" s="6">
        <f>INT(Query1[[#This Row],[EntryDateTime]])</f>
        <v>44607</v>
      </c>
      <c r="I789" s="1">
        <f>IF(Query1[[#This Row],[ItemType]]="EVAP KIT SF GEN IV",Query1[[#This Row],[OrderQty]]+I788,I788)</f>
        <v>902</v>
      </c>
      <c r="J789" s="1">
        <f>IF(Query1[[#This Row],[ItemType]]="EVAP KIT UNIVERSAL",Query1[[#This Row],[OrderQty]]+J788,J788)</f>
        <v>401</v>
      </c>
      <c r="K789" s="1">
        <f>Query1[[#This Row],[SF Running Total]]+Query1[[#This Row],[UNIV Running Total]]</f>
        <v>1303</v>
      </c>
      <c r="L789">
        <f>VLOOKUP(Query1[[#This Row],[Description]],'kits to boards'!$B$2:$E$156,2,FALSE)</f>
        <v>830062</v>
      </c>
      <c r="M789">
        <f>VLOOKUP(Query1[[#This Row],[Description]],'kits to boards'!$B$2:$E$156,3,FALSE)</f>
        <v>0</v>
      </c>
      <c r="N789">
        <f>VLOOKUP(Query1[[#This Row],[Description]],'kits to boards'!$B$2:$E$156,4,FALSE)</f>
        <v>0</v>
      </c>
      <c r="O789" t="str">
        <f>CONCATENATE(Query1[[#This Row],[Description]]," - ",Query1[[#This Row],[MB1]]," - ",Query1[[#This Row],[MB2]]," - ",Query1[[#This Row],[MB3]])</f>
        <v>EVAP KIT 68-69 CHEVELLE WO AC - 830062 - 0 - 0</v>
      </c>
    </row>
    <row r="790" spans="1:15" x14ac:dyDescent="0.25">
      <c r="A790" s="1">
        <v>910883</v>
      </c>
      <c r="B790" s="1" t="s">
        <v>56</v>
      </c>
      <c r="C790" s="1" t="s">
        <v>57</v>
      </c>
      <c r="D790" s="2">
        <v>44607.398941863423</v>
      </c>
      <c r="E790" s="1" t="s">
        <v>8</v>
      </c>
      <c r="F790" s="1">
        <v>1</v>
      </c>
      <c r="G790" s="1">
        <v>0</v>
      </c>
      <c r="H790" s="6">
        <f>INT(Query1[[#This Row],[EntryDateTime]])</f>
        <v>44607</v>
      </c>
      <c r="I790" s="1">
        <f>IF(Query1[[#This Row],[ItemType]]="EVAP KIT SF GEN IV",Query1[[#This Row],[OrderQty]]+I789,I789)</f>
        <v>903</v>
      </c>
      <c r="J790" s="1">
        <f>IF(Query1[[#This Row],[ItemType]]="EVAP KIT UNIVERSAL",Query1[[#This Row],[OrderQty]]+J789,J789)</f>
        <v>401</v>
      </c>
      <c r="K790" s="1">
        <f>Query1[[#This Row],[SF Running Total]]+Query1[[#This Row],[UNIV Running Total]]</f>
        <v>1304</v>
      </c>
      <c r="L790">
        <f>VLOOKUP(Query1[[#This Row],[Description]],'kits to boards'!$B$2:$E$156,2,FALSE)</f>
        <v>830011</v>
      </c>
      <c r="M790">
        <f>VLOOKUP(Query1[[#This Row],[Description]],'kits to boards'!$B$2:$E$156,3,FALSE)</f>
        <v>0</v>
      </c>
      <c r="N790">
        <f>VLOOKUP(Query1[[#This Row],[Description]],'kits to boards'!$B$2:$E$156,4,FALSE)</f>
        <v>0</v>
      </c>
      <c r="O790" t="str">
        <f>CONCATENATE(Query1[[#This Row],[Description]]," - ",Query1[[#This Row],[MB1]]," - ",Query1[[#This Row],[MB2]]," - ",Query1[[#This Row],[MB3]])</f>
        <v>EVAP KIT 70-72 CHEVELLE W/AC - 830011 - 0 - 0</v>
      </c>
    </row>
    <row r="791" spans="1:15" x14ac:dyDescent="0.25">
      <c r="A791" s="1">
        <v>910975</v>
      </c>
      <c r="B791" s="1" t="s">
        <v>94</v>
      </c>
      <c r="C791" s="1" t="s">
        <v>95</v>
      </c>
      <c r="D791" s="2">
        <v>44607.424210497687</v>
      </c>
      <c r="E791" s="1" t="s">
        <v>8</v>
      </c>
      <c r="F791" s="1">
        <v>1</v>
      </c>
      <c r="G791" s="1">
        <v>0</v>
      </c>
      <c r="H791" s="6">
        <f>INT(Query1[[#This Row],[EntryDateTime]])</f>
        <v>44607</v>
      </c>
      <c r="I791" s="1">
        <f>IF(Query1[[#This Row],[ItemType]]="EVAP KIT SF GEN IV",Query1[[#This Row],[OrderQty]]+I790,I790)</f>
        <v>904</v>
      </c>
      <c r="J791" s="1">
        <f>IF(Query1[[#This Row],[ItemType]]="EVAP KIT UNIVERSAL",Query1[[#This Row],[OrderQty]]+J790,J790)</f>
        <v>401</v>
      </c>
      <c r="K791" s="1">
        <f>Query1[[#This Row],[SF Running Total]]+Query1[[#This Row],[UNIV Running Total]]</f>
        <v>1305</v>
      </c>
      <c r="L791">
        <f>VLOOKUP(Query1[[#This Row],[Description]],'kits to boards'!$B$2:$E$156,2,FALSE)</f>
        <v>830076</v>
      </c>
      <c r="M791">
        <f>VLOOKUP(Query1[[#This Row],[Description]],'kits to boards'!$B$2:$E$156,3,FALSE)</f>
        <v>0</v>
      </c>
      <c r="N791">
        <f>VLOOKUP(Query1[[#This Row],[Description]],'kits to boards'!$B$2:$E$156,4,FALSE)</f>
        <v>0</v>
      </c>
      <c r="O791" t="str">
        <f>CONCATENATE(Query1[[#This Row],[Description]]," - ",Query1[[#This Row],[MB1]]," - ",Query1[[#This Row],[MB2]]," - ",Query1[[#This Row],[MB3]])</f>
        <v>EVAP KIT 64 1/2- 66 MUSTANG  - 830076 - 0 - 0</v>
      </c>
    </row>
    <row r="792" spans="1:15" x14ac:dyDescent="0.25">
      <c r="A792" s="1">
        <v>910976</v>
      </c>
      <c r="B792" s="1" t="s">
        <v>94</v>
      </c>
      <c r="C792" s="1" t="s">
        <v>95</v>
      </c>
      <c r="D792" s="2">
        <v>44607.425304166667</v>
      </c>
      <c r="E792" s="1" t="s">
        <v>8</v>
      </c>
      <c r="F792" s="1">
        <v>1</v>
      </c>
      <c r="G792" s="1">
        <v>0</v>
      </c>
      <c r="H792" s="6">
        <f>INT(Query1[[#This Row],[EntryDateTime]])</f>
        <v>44607</v>
      </c>
      <c r="I792" s="1">
        <f>IF(Query1[[#This Row],[ItemType]]="EVAP KIT SF GEN IV",Query1[[#This Row],[OrderQty]]+I791,I791)</f>
        <v>905</v>
      </c>
      <c r="J792" s="1">
        <f>IF(Query1[[#This Row],[ItemType]]="EVAP KIT UNIVERSAL",Query1[[#This Row],[OrderQty]]+J791,J791)</f>
        <v>401</v>
      </c>
      <c r="K792" s="1">
        <f>Query1[[#This Row],[SF Running Total]]+Query1[[#This Row],[UNIV Running Total]]</f>
        <v>1306</v>
      </c>
      <c r="L792">
        <f>VLOOKUP(Query1[[#This Row],[Description]],'kits to boards'!$B$2:$E$156,2,FALSE)</f>
        <v>830076</v>
      </c>
      <c r="M792">
        <f>VLOOKUP(Query1[[#This Row],[Description]],'kits to boards'!$B$2:$E$156,3,FALSE)</f>
        <v>0</v>
      </c>
      <c r="N792">
        <f>VLOOKUP(Query1[[#This Row],[Description]],'kits to boards'!$B$2:$E$156,4,FALSE)</f>
        <v>0</v>
      </c>
      <c r="O792" t="str">
        <f>CONCATENATE(Query1[[#This Row],[Description]]," - ",Query1[[#This Row],[MB1]]," - ",Query1[[#This Row],[MB2]]," - ",Query1[[#This Row],[MB3]])</f>
        <v>EVAP KIT 64 1/2- 66 MUSTANG  - 830076 - 0 - 0</v>
      </c>
    </row>
    <row r="793" spans="1:15" x14ac:dyDescent="0.25">
      <c r="A793" s="1">
        <v>910978</v>
      </c>
      <c r="B793" s="1" t="s">
        <v>94</v>
      </c>
      <c r="C793" s="1" t="s">
        <v>95</v>
      </c>
      <c r="D793" s="2">
        <v>44607.426418090276</v>
      </c>
      <c r="E793" s="1" t="s">
        <v>8</v>
      </c>
      <c r="F793" s="1">
        <v>1</v>
      </c>
      <c r="G793" s="1">
        <v>0</v>
      </c>
      <c r="H793" s="6">
        <f>INT(Query1[[#This Row],[EntryDateTime]])</f>
        <v>44607</v>
      </c>
      <c r="I793" s="1">
        <f>IF(Query1[[#This Row],[ItemType]]="EVAP KIT SF GEN IV",Query1[[#This Row],[OrderQty]]+I792,I792)</f>
        <v>906</v>
      </c>
      <c r="J793" s="1">
        <f>IF(Query1[[#This Row],[ItemType]]="EVAP KIT UNIVERSAL",Query1[[#This Row],[OrderQty]]+J792,J792)</f>
        <v>401</v>
      </c>
      <c r="K793" s="1">
        <f>Query1[[#This Row],[SF Running Total]]+Query1[[#This Row],[UNIV Running Total]]</f>
        <v>1307</v>
      </c>
      <c r="L793">
        <f>VLOOKUP(Query1[[#This Row],[Description]],'kits to boards'!$B$2:$E$156,2,FALSE)</f>
        <v>830076</v>
      </c>
      <c r="M793">
        <f>VLOOKUP(Query1[[#This Row],[Description]],'kits to boards'!$B$2:$E$156,3,FALSE)</f>
        <v>0</v>
      </c>
      <c r="N793">
        <f>VLOOKUP(Query1[[#This Row],[Description]],'kits to boards'!$B$2:$E$156,4,FALSE)</f>
        <v>0</v>
      </c>
      <c r="O793" t="str">
        <f>CONCATENATE(Query1[[#This Row],[Description]]," - ",Query1[[#This Row],[MB1]]," - ",Query1[[#This Row],[MB2]]," - ",Query1[[#This Row],[MB3]])</f>
        <v>EVAP KIT 64 1/2- 66 MUSTANG  - 830076 - 0 - 0</v>
      </c>
    </row>
    <row r="794" spans="1:15" x14ac:dyDescent="0.25">
      <c r="A794" s="1">
        <v>910980</v>
      </c>
      <c r="B794" s="1" t="s">
        <v>94</v>
      </c>
      <c r="C794" s="1" t="s">
        <v>95</v>
      </c>
      <c r="D794" s="2">
        <v>44607.427745370369</v>
      </c>
      <c r="E794" s="1" t="s">
        <v>8</v>
      </c>
      <c r="F794" s="1">
        <v>1</v>
      </c>
      <c r="G794" s="1">
        <v>0</v>
      </c>
      <c r="H794" s="6">
        <f>INT(Query1[[#This Row],[EntryDateTime]])</f>
        <v>44607</v>
      </c>
      <c r="I794" s="1">
        <f>IF(Query1[[#This Row],[ItemType]]="EVAP KIT SF GEN IV",Query1[[#This Row],[OrderQty]]+I793,I793)</f>
        <v>907</v>
      </c>
      <c r="J794" s="1">
        <f>IF(Query1[[#This Row],[ItemType]]="EVAP KIT UNIVERSAL",Query1[[#This Row],[OrderQty]]+J793,J793)</f>
        <v>401</v>
      </c>
      <c r="K794" s="1">
        <f>Query1[[#This Row],[SF Running Total]]+Query1[[#This Row],[UNIV Running Total]]</f>
        <v>1308</v>
      </c>
      <c r="L794">
        <f>VLOOKUP(Query1[[#This Row],[Description]],'kits to boards'!$B$2:$E$156,2,FALSE)</f>
        <v>830076</v>
      </c>
      <c r="M794">
        <f>VLOOKUP(Query1[[#This Row],[Description]],'kits to boards'!$B$2:$E$156,3,FALSE)</f>
        <v>0</v>
      </c>
      <c r="N794">
        <f>VLOOKUP(Query1[[#This Row],[Description]],'kits to boards'!$B$2:$E$156,4,FALSE)</f>
        <v>0</v>
      </c>
      <c r="O794" t="str">
        <f>CONCATENATE(Query1[[#This Row],[Description]]," - ",Query1[[#This Row],[MB1]]," - ",Query1[[#This Row],[MB2]]," - ",Query1[[#This Row],[MB3]])</f>
        <v>EVAP KIT 64 1/2- 66 MUSTANG  - 830076 - 0 - 0</v>
      </c>
    </row>
    <row r="795" spans="1:15" x14ac:dyDescent="0.25">
      <c r="A795" s="1">
        <v>910982</v>
      </c>
      <c r="B795" s="1" t="s">
        <v>94</v>
      </c>
      <c r="C795" s="1" t="s">
        <v>95</v>
      </c>
      <c r="D795" s="2">
        <v>44607.430041550928</v>
      </c>
      <c r="E795" s="1" t="s">
        <v>8</v>
      </c>
      <c r="F795" s="1">
        <v>1</v>
      </c>
      <c r="G795" s="1">
        <v>0</v>
      </c>
      <c r="H795" s="6">
        <f>INT(Query1[[#This Row],[EntryDateTime]])</f>
        <v>44607</v>
      </c>
      <c r="I795" s="1">
        <f>IF(Query1[[#This Row],[ItemType]]="EVAP KIT SF GEN IV",Query1[[#This Row],[OrderQty]]+I794,I794)</f>
        <v>908</v>
      </c>
      <c r="J795" s="1">
        <f>IF(Query1[[#This Row],[ItemType]]="EVAP KIT UNIVERSAL",Query1[[#This Row],[OrderQty]]+J794,J794)</f>
        <v>401</v>
      </c>
      <c r="K795" s="1">
        <f>Query1[[#This Row],[SF Running Total]]+Query1[[#This Row],[UNIV Running Total]]</f>
        <v>1309</v>
      </c>
      <c r="L795">
        <f>VLOOKUP(Query1[[#This Row],[Description]],'kits to boards'!$B$2:$E$156,2,FALSE)</f>
        <v>830076</v>
      </c>
      <c r="M795">
        <f>VLOOKUP(Query1[[#This Row],[Description]],'kits to boards'!$B$2:$E$156,3,FALSE)</f>
        <v>0</v>
      </c>
      <c r="N795">
        <f>VLOOKUP(Query1[[#This Row],[Description]],'kits to boards'!$B$2:$E$156,4,FALSE)</f>
        <v>0</v>
      </c>
      <c r="O795" t="str">
        <f>CONCATENATE(Query1[[#This Row],[Description]]," - ",Query1[[#This Row],[MB1]]," - ",Query1[[#This Row],[MB2]]," - ",Query1[[#This Row],[MB3]])</f>
        <v>EVAP KIT 64 1/2- 66 MUSTANG  - 830076 - 0 - 0</v>
      </c>
    </row>
    <row r="796" spans="1:15" x14ac:dyDescent="0.25">
      <c r="A796" s="1">
        <v>910983</v>
      </c>
      <c r="B796" s="1" t="s">
        <v>56</v>
      </c>
      <c r="C796" s="1" t="s">
        <v>57</v>
      </c>
      <c r="D796" s="2">
        <v>44607.436709571761</v>
      </c>
      <c r="E796" s="1" t="s">
        <v>8</v>
      </c>
      <c r="F796" s="1">
        <v>1</v>
      </c>
      <c r="G796" s="1">
        <v>0</v>
      </c>
      <c r="H796" s="6">
        <f>INT(Query1[[#This Row],[EntryDateTime]])</f>
        <v>44607</v>
      </c>
      <c r="I796" s="1">
        <f>IF(Query1[[#This Row],[ItemType]]="EVAP KIT SF GEN IV",Query1[[#This Row],[OrderQty]]+I795,I795)</f>
        <v>909</v>
      </c>
      <c r="J796" s="1">
        <f>IF(Query1[[#This Row],[ItemType]]="EVAP KIT UNIVERSAL",Query1[[#This Row],[OrderQty]]+J795,J795)</f>
        <v>401</v>
      </c>
      <c r="K796" s="1">
        <f>Query1[[#This Row],[SF Running Total]]+Query1[[#This Row],[UNIV Running Total]]</f>
        <v>1310</v>
      </c>
      <c r="L796">
        <f>VLOOKUP(Query1[[#This Row],[Description]],'kits to boards'!$B$2:$E$156,2,FALSE)</f>
        <v>830011</v>
      </c>
      <c r="M796">
        <f>VLOOKUP(Query1[[#This Row],[Description]],'kits to boards'!$B$2:$E$156,3,FALSE)</f>
        <v>0</v>
      </c>
      <c r="N796">
        <f>VLOOKUP(Query1[[#This Row],[Description]],'kits to boards'!$B$2:$E$156,4,FALSE)</f>
        <v>0</v>
      </c>
      <c r="O796" t="str">
        <f>CONCATENATE(Query1[[#This Row],[Description]]," - ",Query1[[#This Row],[MB1]]," - ",Query1[[#This Row],[MB2]]," - ",Query1[[#This Row],[MB3]])</f>
        <v>EVAP KIT 70-72 CHEVELLE W/AC - 830011 - 0 - 0</v>
      </c>
    </row>
    <row r="797" spans="1:15" x14ac:dyDescent="0.25">
      <c r="A797" s="1">
        <v>911005</v>
      </c>
      <c r="B797" s="1" t="s">
        <v>210</v>
      </c>
      <c r="C797" s="1" t="s">
        <v>211</v>
      </c>
      <c r="D797" s="2">
        <v>44607.470544328702</v>
      </c>
      <c r="E797" s="1" t="s">
        <v>8</v>
      </c>
      <c r="F797" s="1">
        <v>1</v>
      </c>
      <c r="G797" s="1">
        <v>0</v>
      </c>
      <c r="H797" s="6">
        <f>INT(Query1[[#This Row],[EntryDateTime]])</f>
        <v>44607</v>
      </c>
      <c r="I797" s="1">
        <f>IF(Query1[[#This Row],[ItemType]]="EVAP KIT SF GEN IV",Query1[[#This Row],[OrderQty]]+I796,I796)</f>
        <v>910</v>
      </c>
      <c r="J797" s="1">
        <f>IF(Query1[[#This Row],[ItemType]]="EVAP KIT UNIVERSAL",Query1[[#This Row],[OrderQty]]+J796,J796)</f>
        <v>401</v>
      </c>
      <c r="K797" s="1">
        <f>Query1[[#This Row],[SF Running Total]]+Query1[[#This Row],[UNIV Running Total]]</f>
        <v>1311</v>
      </c>
      <c r="L797">
        <f>VLOOKUP(Query1[[#This Row],[Description]],'kits to boards'!$B$2:$E$156,2,FALSE)</f>
        <v>830094</v>
      </c>
      <c r="M797">
        <f>VLOOKUP(Query1[[#This Row],[Description]],'kits to boards'!$B$2:$E$156,3,FALSE)</f>
        <v>0</v>
      </c>
      <c r="N797">
        <f>VLOOKUP(Query1[[#This Row],[Description]],'kits to boards'!$B$2:$E$156,4,FALSE)</f>
        <v>0</v>
      </c>
      <c r="O797" t="str">
        <f>CONCATENATE(Query1[[#This Row],[Description]]," - ",Query1[[#This Row],[MB1]]," - ",Query1[[#This Row],[MB2]]," - ",Query1[[#This Row],[MB3]])</f>
        <v>EVAP KIT 74-76 VETTE W/AC - 830094 - 0 - 0</v>
      </c>
    </row>
    <row r="798" spans="1:15" x14ac:dyDescent="0.25">
      <c r="A798" s="1">
        <v>911006</v>
      </c>
      <c r="B798" s="1" t="s">
        <v>22</v>
      </c>
      <c r="C798" s="1" t="s">
        <v>23</v>
      </c>
      <c r="D798" s="2">
        <v>44607.47057928241</v>
      </c>
      <c r="E798" s="1" t="s">
        <v>8</v>
      </c>
      <c r="F798" s="1">
        <v>1</v>
      </c>
      <c r="G798" s="1">
        <v>0</v>
      </c>
      <c r="H798" s="6">
        <f>INT(Query1[[#This Row],[EntryDateTime]])</f>
        <v>44607</v>
      </c>
      <c r="I798" s="1">
        <f>IF(Query1[[#This Row],[ItemType]]="EVAP KIT SF GEN IV",Query1[[#This Row],[OrderQty]]+I797,I797)</f>
        <v>911</v>
      </c>
      <c r="J798" s="1">
        <f>IF(Query1[[#This Row],[ItemType]]="EVAP KIT UNIVERSAL",Query1[[#This Row],[OrderQty]]+J797,J797)</f>
        <v>401</v>
      </c>
      <c r="K798" s="1">
        <f>Query1[[#This Row],[SF Running Total]]+Query1[[#This Row],[UNIV Running Total]]</f>
        <v>1312</v>
      </c>
      <c r="L798">
        <f>VLOOKUP(Query1[[#This Row],[Description]],'kits to boards'!$B$2:$E$156,2,FALSE)</f>
        <v>830083</v>
      </c>
      <c r="M798">
        <f>VLOOKUP(Query1[[#This Row],[Description]],'kits to boards'!$B$2:$E$156,3,FALSE)</f>
        <v>0</v>
      </c>
      <c r="N798">
        <f>VLOOKUP(Query1[[#This Row],[Description]],'kits to boards'!$B$2:$E$156,4,FALSE)</f>
        <v>0</v>
      </c>
      <c r="O798" t="str">
        <f>CONCATENATE(Query1[[#This Row],[Description]]," - ",Query1[[#This Row],[MB1]]," - ",Query1[[#This Row],[MB2]]," - ",Query1[[#This Row],[MB3]])</f>
        <v>GEN IV MAGNUM EVAP KIT - 830083 - 0 - 0</v>
      </c>
    </row>
    <row r="799" spans="1:15" x14ac:dyDescent="0.25">
      <c r="A799" s="1">
        <v>911002</v>
      </c>
      <c r="B799" s="1" t="s">
        <v>74</v>
      </c>
      <c r="C799" s="1" t="s">
        <v>75</v>
      </c>
      <c r="D799" s="2">
        <v>44607.471522835651</v>
      </c>
      <c r="E799" s="1" t="s">
        <v>8</v>
      </c>
      <c r="F799" s="1">
        <v>1</v>
      </c>
      <c r="G799" s="1">
        <v>0</v>
      </c>
      <c r="H799" s="6">
        <f>INT(Query1[[#This Row],[EntryDateTime]])</f>
        <v>44607</v>
      </c>
      <c r="I799" s="1">
        <f>IF(Query1[[#This Row],[ItemType]]="EVAP KIT SF GEN IV",Query1[[#This Row],[OrderQty]]+I798,I798)</f>
        <v>912</v>
      </c>
      <c r="J799" s="1">
        <f>IF(Query1[[#This Row],[ItemType]]="EVAP KIT UNIVERSAL",Query1[[#This Row],[OrderQty]]+J798,J798)</f>
        <v>401</v>
      </c>
      <c r="K799" s="1">
        <f>Query1[[#This Row],[SF Running Total]]+Query1[[#This Row],[UNIV Running Total]]</f>
        <v>1313</v>
      </c>
      <c r="L799">
        <f>VLOOKUP(Query1[[#This Row],[Description]],'kits to boards'!$B$2:$E$156,2,FALSE)</f>
        <v>830065</v>
      </c>
      <c r="M799">
        <f>VLOOKUP(Query1[[#This Row],[Description]],'kits to boards'!$B$2:$E$156,3,FALSE)</f>
        <v>0</v>
      </c>
      <c r="N799">
        <f>VLOOKUP(Query1[[#This Row],[Description]],'kits to boards'!$B$2:$E$156,4,FALSE)</f>
        <v>0</v>
      </c>
      <c r="O799" t="str">
        <f>CONCATENATE(Query1[[#This Row],[Description]]," - ",Query1[[#This Row],[MB1]]," - ",Query1[[#This Row],[MB2]]," - ",Query1[[#This Row],[MB3]])</f>
        <v>EVAP KIT 57 CHEV WO AC 4-VENT PLENUM - 830065 - 0 - 0</v>
      </c>
    </row>
    <row r="800" spans="1:15" x14ac:dyDescent="0.25">
      <c r="A800" s="1">
        <v>911008</v>
      </c>
      <c r="B800" s="1" t="s">
        <v>14</v>
      </c>
      <c r="C800" s="1" t="s">
        <v>15</v>
      </c>
      <c r="D800" s="2">
        <v>44607.47377665509</v>
      </c>
      <c r="E800" s="1" t="s">
        <v>8</v>
      </c>
      <c r="F800" s="1">
        <v>1</v>
      </c>
      <c r="G800" s="1">
        <v>0</v>
      </c>
      <c r="H800" s="6">
        <f>INT(Query1[[#This Row],[EntryDateTime]])</f>
        <v>44607</v>
      </c>
      <c r="I800" s="1">
        <f>IF(Query1[[#This Row],[ItemType]]="EVAP KIT SF GEN IV",Query1[[#This Row],[OrderQty]]+I799,I799)</f>
        <v>913</v>
      </c>
      <c r="J800" s="1">
        <f>IF(Query1[[#This Row],[ItemType]]="EVAP KIT UNIVERSAL",Query1[[#This Row],[OrderQty]]+J799,J799)</f>
        <v>401</v>
      </c>
      <c r="K800" s="1">
        <f>Query1[[#This Row],[SF Running Total]]+Query1[[#This Row],[UNIV Running Total]]</f>
        <v>1314</v>
      </c>
      <c r="L800">
        <f>VLOOKUP(Query1[[#This Row],[Description]],'kits to boards'!$B$2:$E$156,2,FALSE)</f>
        <v>830054</v>
      </c>
      <c r="M800">
        <f>VLOOKUP(Query1[[#This Row],[Description]],'kits to boards'!$B$2:$E$156,3,FALSE)</f>
        <v>0</v>
      </c>
      <c r="N800">
        <f>VLOOKUP(Query1[[#This Row],[Description]],'kits to boards'!$B$2:$E$156,4,FALSE)</f>
        <v>0</v>
      </c>
      <c r="O800" t="str">
        <f>CONCATENATE(Query1[[#This Row],[Description]]," - ",Query1[[#This Row],[MB1]]," - ",Query1[[#This Row],[MB2]]," - ",Query1[[#This Row],[MB3]])</f>
        <v>EVAP KIT 55-56 CHEVY - 830054 - 0 - 0</v>
      </c>
    </row>
    <row r="801" spans="1:15" x14ac:dyDescent="0.25">
      <c r="A801" s="1">
        <v>911009</v>
      </c>
      <c r="B801" s="1" t="s">
        <v>108</v>
      </c>
      <c r="C801" s="1" t="s">
        <v>109</v>
      </c>
      <c r="D801" s="2">
        <v>44607.474327048614</v>
      </c>
      <c r="E801" s="1" t="s">
        <v>8</v>
      </c>
      <c r="F801" s="1">
        <v>1</v>
      </c>
      <c r="G801" s="1">
        <v>0</v>
      </c>
      <c r="H801" s="6">
        <f>INT(Query1[[#This Row],[EntryDateTime]])</f>
        <v>44607</v>
      </c>
      <c r="I801" s="1">
        <f>IF(Query1[[#This Row],[ItemType]]="EVAP KIT SF GEN IV",Query1[[#This Row],[OrderQty]]+I800,I800)</f>
        <v>914</v>
      </c>
      <c r="J801" s="1">
        <f>IF(Query1[[#This Row],[ItemType]]="EVAP KIT UNIVERSAL",Query1[[#This Row],[OrderQty]]+J800,J800)</f>
        <v>401</v>
      </c>
      <c r="K801" s="1">
        <f>Query1[[#This Row],[SF Running Total]]+Query1[[#This Row],[UNIV Running Total]]</f>
        <v>1315</v>
      </c>
      <c r="L801">
        <f>VLOOKUP(Query1[[#This Row],[Description]],'kits to boards'!$B$2:$E$156,2,FALSE)</f>
        <v>830105</v>
      </c>
      <c r="M801">
        <f>VLOOKUP(Query1[[#This Row],[Description]],'kits to boards'!$B$2:$E$156,3,FALSE)</f>
        <v>830106</v>
      </c>
      <c r="N801">
        <f>VLOOKUP(Query1[[#This Row],[Description]],'kits to boards'!$B$2:$E$156,4,FALSE)</f>
        <v>0</v>
      </c>
      <c r="O801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802" spans="1:15" x14ac:dyDescent="0.25">
      <c r="A802" s="1">
        <v>911011</v>
      </c>
      <c r="B802" s="1" t="s">
        <v>198</v>
      </c>
      <c r="C802" s="1" t="s">
        <v>199</v>
      </c>
      <c r="D802" s="2">
        <v>44607.479605474538</v>
      </c>
      <c r="E802" s="1" t="s">
        <v>8</v>
      </c>
      <c r="F802" s="1">
        <v>2</v>
      </c>
      <c r="G802" s="1">
        <v>0</v>
      </c>
      <c r="H802" s="6">
        <f>INT(Query1[[#This Row],[EntryDateTime]])</f>
        <v>44607</v>
      </c>
      <c r="I802" s="1">
        <f>IF(Query1[[#This Row],[ItemType]]="EVAP KIT SF GEN IV",Query1[[#This Row],[OrderQty]]+I801,I801)</f>
        <v>916</v>
      </c>
      <c r="J802" s="1">
        <f>IF(Query1[[#This Row],[ItemType]]="EVAP KIT UNIVERSAL",Query1[[#This Row],[OrderQty]]+J801,J801)</f>
        <v>401</v>
      </c>
      <c r="K802" s="1">
        <f>Query1[[#This Row],[SF Running Total]]+Query1[[#This Row],[UNIV Running Total]]</f>
        <v>1317</v>
      </c>
      <c r="L802">
        <f>VLOOKUP(Query1[[#This Row],[Description]],'kits to boards'!$B$2:$E$156,2,FALSE)</f>
        <v>830042</v>
      </c>
      <c r="M802">
        <f>VLOOKUP(Query1[[#This Row],[Description]],'kits to boards'!$B$2:$E$156,3,FALSE)</f>
        <v>0</v>
      </c>
      <c r="N802">
        <f>VLOOKUP(Query1[[#This Row],[Description]],'kits to boards'!$B$2:$E$156,4,FALSE)</f>
        <v>0</v>
      </c>
      <c r="O802" t="str">
        <f>CONCATENATE(Query1[[#This Row],[Description]]," - ",Query1[[#This Row],[MB1]]," - ",Query1[[#This Row],[MB2]]," - ",Query1[[#This Row],[MB3]])</f>
        <v>EVAP KIT 68-83 TOYOTA FJ40 ULTRA HIGH PERF - 830042 - 0 - 0</v>
      </c>
    </row>
    <row r="803" spans="1:15" x14ac:dyDescent="0.25">
      <c r="A803" s="1">
        <v>908192</v>
      </c>
      <c r="B803" s="1" t="s">
        <v>22</v>
      </c>
      <c r="C803" s="1" t="s">
        <v>23</v>
      </c>
      <c r="D803" s="2">
        <v>44607.508417280093</v>
      </c>
      <c r="E803" s="1" t="s">
        <v>8</v>
      </c>
      <c r="F803" s="1">
        <v>1</v>
      </c>
      <c r="G803" s="1">
        <v>0</v>
      </c>
      <c r="H803" s="6">
        <f>INT(Query1[[#This Row],[EntryDateTime]])</f>
        <v>44607</v>
      </c>
      <c r="I803" s="1">
        <f>IF(Query1[[#This Row],[ItemType]]="EVAP KIT SF GEN IV",Query1[[#This Row],[OrderQty]]+I802,I802)</f>
        <v>917</v>
      </c>
      <c r="J803" s="1">
        <f>IF(Query1[[#This Row],[ItemType]]="EVAP KIT UNIVERSAL",Query1[[#This Row],[OrderQty]]+J802,J802)</f>
        <v>401</v>
      </c>
      <c r="K803" s="1">
        <f>Query1[[#This Row],[SF Running Total]]+Query1[[#This Row],[UNIV Running Total]]</f>
        <v>1318</v>
      </c>
      <c r="L803">
        <f>VLOOKUP(Query1[[#This Row],[Description]],'kits to boards'!$B$2:$E$156,2,FALSE)</f>
        <v>830083</v>
      </c>
      <c r="M803">
        <f>VLOOKUP(Query1[[#This Row],[Description]],'kits to boards'!$B$2:$E$156,3,FALSE)</f>
        <v>0</v>
      </c>
      <c r="N803">
        <f>VLOOKUP(Query1[[#This Row],[Description]],'kits to boards'!$B$2:$E$156,4,FALSE)</f>
        <v>0</v>
      </c>
      <c r="O803" t="str">
        <f>CONCATENATE(Query1[[#This Row],[Description]]," - ",Query1[[#This Row],[MB1]]," - ",Query1[[#This Row],[MB2]]," - ",Query1[[#This Row],[MB3]])</f>
        <v>GEN IV MAGNUM EVAP KIT - 830083 - 0 - 0</v>
      </c>
    </row>
    <row r="804" spans="1:15" x14ac:dyDescent="0.25">
      <c r="A804" s="1">
        <v>911027</v>
      </c>
      <c r="B804" s="1" t="s">
        <v>28</v>
      </c>
      <c r="C804" s="1" t="s">
        <v>29</v>
      </c>
      <c r="D804" s="2">
        <v>44607.52470790509</v>
      </c>
      <c r="E804" s="1" t="s">
        <v>8</v>
      </c>
      <c r="F804" s="1">
        <v>1</v>
      </c>
      <c r="G804" s="1">
        <v>0</v>
      </c>
      <c r="H804" s="6">
        <f>INT(Query1[[#This Row],[EntryDateTime]])</f>
        <v>44607</v>
      </c>
      <c r="I804" s="1">
        <f>IF(Query1[[#This Row],[ItemType]]="EVAP KIT SF GEN IV",Query1[[#This Row],[OrderQty]]+I803,I803)</f>
        <v>918</v>
      </c>
      <c r="J804" s="1">
        <f>IF(Query1[[#This Row],[ItemType]]="EVAP KIT UNIVERSAL",Query1[[#This Row],[OrderQty]]+J803,J803)</f>
        <v>401</v>
      </c>
      <c r="K804" s="1">
        <f>Query1[[#This Row],[SF Running Total]]+Query1[[#This Row],[UNIV Running Total]]</f>
        <v>1319</v>
      </c>
      <c r="L804">
        <f>VLOOKUP(Query1[[#This Row],[Description]],'kits to boards'!$B$2:$E$156,2,FALSE)</f>
        <v>830001</v>
      </c>
      <c r="M804">
        <f>VLOOKUP(Query1[[#This Row],[Description]],'kits to boards'!$B$2:$E$156,3,FALSE)</f>
        <v>0</v>
      </c>
      <c r="N804">
        <f>VLOOKUP(Query1[[#This Row],[Description]],'kits to boards'!$B$2:$E$156,4,FALSE)</f>
        <v>0</v>
      </c>
      <c r="O804" t="str">
        <f>CONCATENATE(Query1[[#This Row],[Description]]," - ",Query1[[#This Row],[MB1]]," - ",Query1[[#This Row],[MB2]]," - ",Query1[[#This Row],[MB3]])</f>
        <v>EVAP KIT 73-80 CHEV P-UP W/AC - 830001 - 0 - 0</v>
      </c>
    </row>
    <row r="805" spans="1:15" x14ac:dyDescent="0.25">
      <c r="A805" s="1">
        <v>911025</v>
      </c>
      <c r="B805" s="1" t="s">
        <v>24</v>
      </c>
      <c r="C805" s="1" t="s">
        <v>25</v>
      </c>
      <c r="D805" s="2">
        <v>44607.5299127662</v>
      </c>
      <c r="E805" s="1" t="s">
        <v>11</v>
      </c>
      <c r="F805" s="1">
        <v>1</v>
      </c>
      <c r="G805" s="1">
        <v>0</v>
      </c>
      <c r="H805" s="6">
        <f>INT(Query1[[#This Row],[EntryDateTime]])</f>
        <v>44607</v>
      </c>
      <c r="I805" s="1">
        <f>IF(Query1[[#This Row],[ItemType]]="EVAP KIT SF GEN IV",Query1[[#This Row],[OrderQty]]+I804,I804)</f>
        <v>918</v>
      </c>
      <c r="J805" s="1">
        <f>IF(Query1[[#This Row],[ItemType]]="EVAP KIT UNIVERSAL",Query1[[#This Row],[OrderQty]]+J804,J804)</f>
        <v>402</v>
      </c>
      <c r="K805" s="1">
        <f>Query1[[#This Row],[SF Running Total]]+Query1[[#This Row],[UNIV Running Total]]</f>
        <v>1320</v>
      </c>
      <c r="L805">
        <f>VLOOKUP(Query1[[#This Row],[Description]],'kits to boards'!$B$2:$E$156,2,FALSE)</f>
        <v>830029</v>
      </c>
      <c r="M805">
        <f>VLOOKUP(Query1[[#This Row],[Description]],'kits to boards'!$B$2:$E$156,3,FALSE)</f>
        <v>830030</v>
      </c>
      <c r="N805">
        <f>VLOOKUP(Query1[[#This Row],[Description]],'kits to boards'!$B$2:$E$156,4,FALSE)</f>
        <v>0</v>
      </c>
      <c r="O805" t="str">
        <f>CONCATENATE(Query1[[#This Row],[Description]]," - ",Query1[[#This Row],[MB1]]," - ",Query1[[#This Row],[MB2]]," - ",Query1[[#This Row],[MB3]])</f>
        <v>ComPac GEN II W/DEF - 830029 - 830030 - 0</v>
      </c>
    </row>
    <row r="806" spans="1:15" x14ac:dyDescent="0.25">
      <c r="A806" s="1">
        <v>909525</v>
      </c>
      <c r="B806" s="1" t="s">
        <v>194</v>
      </c>
      <c r="C806" s="1" t="s">
        <v>195</v>
      </c>
      <c r="D806" s="2">
        <v>44607.530452314815</v>
      </c>
      <c r="E806" s="1" t="s">
        <v>8</v>
      </c>
      <c r="F806" s="1">
        <v>1</v>
      </c>
      <c r="G806" s="1">
        <v>0</v>
      </c>
      <c r="H806" s="6">
        <f>INT(Query1[[#This Row],[EntryDateTime]])</f>
        <v>44607</v>
      </c>
      <c r="I806" s="1">
        <f>IF(Query1[[#This Row],[ItemType]]="EVAP KIT SF GEN IV",Query1[[#This Row],[OrderQty]]+I805,I805)</f>
        <v>919</v>
      </c>
      <c r="J806" s="1">
        <f>IF(Query1[[#This Row],[ItemType]]="EVAP KIT UNIVERSAL",Query1[[#This Row],[OrderQty]]+J805,J805)</f>
        <v>402</v>
      </c>
      <c r="K806" s="1">
        <f>Query1[[#This Row],[SF Running Total]]+Query1[[#This Row],[UNIV Running Total]]</f>
        <v>1321</v>
      </c>
      <c r="L806">
        <f>VLOOKUP(Query1[[#This Row],[Description]],'kits to boards'!$B$2:$E$156,2,FALSE)</f>
        <v>830103</v>
      </c>
      <c r="M806">
        <f>VLOOKUP(Query1[[#This Row],[Description]],'kits to boards'!$B$2:$E$156,3,FALSE)</f>
        <v>0</v>
      </c>
      <c r="N806">
        <f>VLOOKUP(Query1[[#This Row],[Description]],'kits to boards'!$B$2:$E$156,4,FALSE)</f>
        <v>0</v>
      </c>
      <c r="O806" t="str">
        <f>CONCATENATE(Query1[[#This Row],[Description]]," - ",Query1[[#This Row],[MB1]]," - ",Query1[[#This Row],[MB2]]," - ",Query1[[#This Row],[MB3]])</f>
        <v>EVAP KIT 78-82 VETTE W/AC - 830103 - 0 - 0</v>
      </c>
    </row>
    <row r="807" spans="1:15" x14ac:dyDescent="0.25">
      <c r="A807" s="1">
        <v>911033</v>
      </c>
      <c r="B807" s="1" t="s">
        <v>242</v>
      </c>
      <c r="C807" s="1" t="s">
        <v>243</v>
      </c>
      <c r="D807" s="2">
        <v>44607.540282638889</v>
      </c>
      <c r="E807" s="1" t="s">
        <v>8</v>
      </c>
      <c r="F807" s="1">
        <v>1</v>
      </c>
      <c r="G807" s="1">
        <v>0</v>
      </c>
      <c r="H807" s="6">
        <f>INT(Query1[[#This Row],[EntryDateTime]])</f>
        <v>44607</v>
      </c>
      <c r="I807" s="1">
        <f>IF(Query1[[#This Row],[ItemType]]="EVAP KIT SF GEN IV",Query1[[#This Row],[OrderQty]]+I806,I806)</f>
        <v>920</v>
      </c>
      <c r="J807" s="1">
        <f>IF(Query1[[#This Row],[ItemType]]="EVAP KIT UNIVERSAL",Query1[[#This Row],[OrderQty]]+J806,J806)</f>
        <v>402</v>
      </c>
      <c r="K807" s="1">
        <f>Query1[[#This Row],[SF Running Total]]+Query1[[#This Row],[UNIV Running Total]]</f>
        <v>1322</v>
      </c>
      <c r="L807">
        <f>VLOOKUP(Query1[[#This Row],[Description]],'kits to boards'!$B$2:$E$156,2,FALSE)</f>
        <v>830036</v>
      </c>
      <c r="M807">
        <f>VLOOKUP(Query1[[#This Row],[Description]],'kits to boards'!$B$2:$E$156,3,FALSE)</f>
        <v>830039</v>
      </c>
      <c r="N807">
        <f>VLOOKUP(Query1[[#This Row],[Description]],'kits to boards'!$B$2:$E$156,4,FALSE)</f>
        <v>0</v>
      </c>
      <c r="O807" t="str">
        <f>CONCATENATE(Query1[[#This Row],[Description]]," - ",Query1[[#This Row],[MB1]]," - ",Query1[[#This Row],[MB2]]," - ",Query1[[#This Row],[MB3]])</f>
        <v>EVAP KIT 63-66 VETTE W/AC - 830036 - 830039 - 0</v>
      </c>
    </row>
    <row r="808" spans="1:15" x14ac:dyDescent="0.25">
      <c r="A808" s="1">
        <v>911038</v>
      </c>
      <c r="B808" s="1" t="s">
        <v>134</v>
      </c>
      <c r="C808" s="1" t="s">
        <v>135</v>
      </c>
      <c r="D808" s="2">
        <v>44607.548936689818</v>
      </c>
      <c r="E808" s="1" t="s">
        <v>8</v>
      </c>
      <c r="F808" s="1">
        <v>1</v>
      </c>
      <c r="G808" s="1">
        <v>0</v>
      </c>
      <c r="H808" s="6">
        <f>INT(Query1[[#This Row],[EntryDateTime]])</f>
        <v>44607</v>
      </c>
      <c r="I808" s="1">
        <f>IF(Query1[[#This Row],[ItemType]]="EVAP KIT SF GEN IV",Query1[[#This Row],[OrderQty]]+I807,I807)</f>
        <v>921</v>
      </c>
      <c r="J808" s="1">
        <f>IF(Query1[[#This Row],[ItemType]]="EVAP KIT UNIVERSAL",Query1[[#This Row],[OrderQty]]+J807,J807)</f>
        <v>402</v>
      </c>
      <c r="K808" s="1">
        <f>Query1[[#This Row],[SF Running Total]]+Query1[[#This Row],[UNIV Running Total]]</f>
        <v>1323</v>
      </c>
      <c r="L808">
        <f>VLOOKUP(Query1[[#This Row],[Description]],'kits to boards'!$B$2:$E$156,2,FALSE)</f>
        <v>830007</v>
      </c>
      <c r="M808">
        <f>VLOOKUP(Query1[[#This Row],[Description]],'kits to boards'!$B$2:$E$156,3,FALSE)</f>
        <v>0</v>
      </c>
      <c r="N808">
        <f>VLOOKUP(Query1[[#This Row],[Description]],'kits to boards'!$B$2:$E$156,4,FALSE)</f>
        <v>0</v>
      </c>
      <c r="O808" t="str">
        <f>CONCATENATE(Query1[[#This Row],[Description]]," - ",Query1[[#This Row],[MB1]]," - ",Query1[[#This Row],[MB2]]," - ",Query1[[#This Row],[MB3]])</f>
        <v>EVAP KIT 64 IMPALA WO AC - 830007 - 0 - 0</v>
      </c>
    </row>
    <row r="809" spans="1:15" x14ac:dyDescent="0.25">
      <c r="A809" s="1">
        <v>911040</v>
      </c>
      <c r="B809" s="1" t="s">
        <v>166</v>
      </c>
      <c r="C809" s="1" t="s">
        <v>167</v>
      </c>
      <c r="D809" s="2">
        <v>44607.552768900459</v>
      </c>
      <c r="E809" s="1" t="s">
        <v>8</v>
      </c>
      <c r="F809" s="1">
        <v>1</v>
      </c>
      <c r="G809" s="1">
        <v>0</v>
      </c>
      <c r="H809" s="6">
        <f>INT(Query1[[#This Row],[EntryDateTime]])</f>
        <v>44607</v>
      </c>
      <c r="I809" s="1">
        <f>IF(Query1[[#This Row],[ItemType]]="EVAP KIT SF GEN IV",Query1[[#This Row],[OrderQty]]+I808,I808)</f>
        <v>922</v>
      </c>
      <c r="J809" s="1">
        <f>IF(Query1[[#This Row],[ItemType]]="EVAP KIT UNIVERSAL",Query1[[#This Row],[OrderQty]]+J808,J808)</f>
        <v>402</v>
      </c>
      <c r="K809" s="1">
        <f>Query1[[#This Row],[SF Running Total]]+Query1[[#This Row],[UNIV Running Total]]</f>
        <v>1324</v>
      </c>
      <c r="L809">
        <f>VLOOKUP(Query1[[#This Row],[Description]],'kits to boards'!$B$2:$E$156,2,FALSE)</f>
        <v>830063</v>
      </c>
      <c r="M809">
        <f>VLOOKUP(Query1[[#This Row],[Description]],'kits to boards'!$B$2:$E$156,3,FALSE)</f>
        <v>0</v>
      </c>
      <c r="N809">
        <f>VLOOKUP(Query1[[#This Row],[Description]],'kits to boards'!$B$2:$E$156,4,FALSE)</f>
        <v>0</v>
      </c>
      <c r="O809" t="str">
        <f>CONCATENATE(Query1[[#This Row],[Description]]," - ",Query1[[#This Row],[MB1]]," - ",Query1[[#This Row],[MB2]]," - ",Query1[[#This Row],[MB3]])</f>
        <v>EVAP KIT 47-49 CHEV P-UP GEN IV - 830063 - 0 - 0</v>
      </c>
    </row>
    <row r="810" spans="1:15" x14ac:dyDescent="0.25">
      <c r="A810" s="1">
        <v>910999</v>
      </c>
      <c r="B810" s="1" t="s">
        <v>90</v>
      </c>
      <c r="C810" s="1" t="s">
        <v>91</v>
      </c>
      <c r="D810" s="2">
        <v>44607.553048032409</v>
      </c>
      <c r="E810" s="1" t="s">
        <v>8</v>
      </c>
      <c r="F810" s="1">
        <v>1</v>
      </c>
      <c r="G810" s="1">
        <v>0</v>
      </c>
      <c r="H810" s="6">
        <f>INT(Query1[[#This Row],[EntryDateTime]])</f>
        <v>44607</v>
      </c>
      <c r="I810" s="1">
        <f>IF(Query1[[#This Row],[ItemType]]="EVAP KIT SF GEN IV",Query1[[#This Row],[OrderQty]]+I809,I809)</f>
        <v>923</v>
      </c>
      <c r="J810" s="1">
        <f>IF(Query1[[#This Row],[ItemType]]="EVAP KIT UNIVERSAL",Query1[[#This Row],[OrderQty]]+J809,J809)</f>
        <v>402</v>
      </c>
      <c r="K810" s="1">
        <f>Query1[[#This Row],[SF Running Total]]+Query1[[#This Row],[UNIV Running Total]]</f>
        <v>1325</v>
      </c>
      <c r="L810">
        <f>VLOOKUP(Query1[[#This Row],[Description]],'kits to boards'!$B$2:$E$156,2,FALSE)</f>
        <v>830105</v>
      </c>
      <c r="M810">
        <f>VLOOKUP(Query1[[#This Row],[Description]],'kits to boards'!$B$2:$E$156,3,FALSE)</f>
        <v>830106</v>
      </c>
      <c r="N810">
        <f>VLOOKUP(Query1[[#This Row],[Description]],'kits to boards'!$B$2:$E$156,4,FALSE)</f>
        <v>0</v>
      </c>
      <c r="O810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811" spans="1:15" x14ac:dyDescent="0.25">
      <c r="A811" s="1">
        <v>911044</v>
      </c>
      <c r="B811" s="1" t="s">
        <v>26</v>
      </c>
      <c r="C811" s="1" t="s">
        <v>27</v>
      </c>
      <c r="D811" s="2">
        <v>44607.554490277776</v>
      </c>
      <c r="E811" s="1" t="s">
        <v>8</v>
      </c>
      <c r="F811" s="1">
        <v>1</v>
      </c>
      <c r="G811" s="1">
        <v>0</v>
      </c>
      <c r="H811" s="6">
        <f>INT(Query1[[#This Row],[EntryDateTime]])</f>
        <v>44607</v>
      </c>
      <c r="I811" s="1">
        <f>IF(Query1[[#This Row],[ItemType]]="EVAP KIT SF GEN IV",Query1[[#This Row],[OrderQty]]+I810,I810)</f>
        <v>924</v>
      </c>
      <c r="J811" s="1">
        <f>IF(Query1[[#This Row],[ItemType]]="EVAP KIT UNIVERSAL",Query1[[#This Row],[OrderQty]]+J810,J810)</f>
        <v>402</v>
      </c>
      <c r="K811" s="1">
        <f>Query1[[#This Row],[SF Running Total]]+Query1[[#This Row],[UNIV Running Total]]</f>
        <v>1326</v>
      </c>
      <c r="L811">
        <f>VLOOKUP(Query1[[#This Row],[Description]],'kits to boards'!$B$2:$E$156,2,FALSE)</f>
        <v>830013</v>
      </c>
      <c r="M811">
        <f>VLOOKUP(Query1[[#This Row],[Description]],'kits to boards'!$B$2:$E$156,3,FALSE)</f>
        <v>0</v>
      </c>
      <c r="N811">
        <f>VLOOKUP(Query1[[#This Row],[Description]],'kits to boards'!$B$2:$E$156,4,FALSE)</f>
        <v>0</v>
      </c>
      <c r="O811" t="str">
        <f>CONCATENATE(Query1[[#This Row],[Description]]," - ",Query1[[#This Row],[MB1]]," - ",Query1[[#This Row],[MB2]]," - ",Query1[[#This Row],[MB3]])</f>
        <v>EVAP KIT 67-72 CHEV P-UP W/AC - 830013 - 0 - 0</v>
      </c>
    </row>
    <row r="812" spans="1:15" x14ac:dyDescent="0.25">
      <c r="A812" s="1">
        <v>911045</v>
      </c>
      <c r="B812" s="1" t="s">
        <v>42</v>
      </c>
      <c r="C812" s="1" t="s">
        <v>43</v>
      </c>
      <c r="D812" s="2">
        <v>44607.558729548611</v>
      </c>
      <c r="E812" s="1" t="s">
        <v>8</v>
      </c>
      <c r="F812" s="1">
        <v>1</v>
      </c>
      <c r="G812" s="1">
        <v>0</v>
      </c>
      <c r="H812" s="6">
        <f>INT(Query1[[#This Row],[EntryDateTime]])</f>
        <v>44607</v>
      </c>
      <c r="I812" s="1">
        <f>IF(Query1[[#This Row],[ItemType]]="EVAP KIT SF GEN IV",Query1[[#This Row],[OrderQty]]+I811,I811)</f>
        <v>925</v>
      </c>
      <c r="J812" s="1">
        <f>IF(Query1[[#This Row],[ItemType]]="EVAP KIT UNIVERSAL",Query1[[#This Row],[OrderQty]]+J811,J811)</f>
        <v>402</v>
      </c>
      <c r="K812" s="1">
        <f>Query1[[#This Row],[SF Running Total]]+Query1[[#This Row],[UNIV Running Total]]</f>
        <v>1327</v>
      </c>
      <c r="L812">
        <f>VLOOKUP(Query1[[#This Row],[Description]],'kits to boards'!$B$2:$E$156,2,FALSE)</f>
        <v>830014</v>
      </c>
      <c r="M812">
        <f>VLOOKUP(Query1[[#This Row],[Description]],'kits to boards'!$B$2:$E$156,3,FALSE)</f>
        <v>0</v>
      </c>
      <c r="N812">
        <f>VLOOKUP(Query1[[#This Row],[Description]],'kits to boards'!$B$2:$E$156,4,FALSE)</f>
        <v>0</v>
      </c>
      <c r="O812" t="str">
        <f>CONCATENATE(Query1[[#This Row],[Description]]," - ",Query1[[#This Row],[MB1]]," - ",Query1[[#This Row],[MB2]]," - ",Query1[[#This Row],[MB3]])</f>
        <v>EVAP KIT 67-72 CHEV P-UP WO AC - 830014 - 0 - 0</v>
      </c>
    </row>
    <row r="813" spans="1:15" x14ac:dyDescent="0.25">
      <c r="A813" s="1">
        <v>910856</v>
      </c>
      <c r="B813" s="1" t="s">
        <v>76</v>
      </c>
      <c r="C813" s="1" t="s">
        <v>77</v>
      </c>
      <c r="D813" s="2">
        <v>44607.566924537037</v>
      </c>
      <c r="E813" s="1" t="s">
        <v>11</v>
      </c>
      <c r="F813" s="1">
        <v>1</v>
      </c>
      <c r="G813" s="1">
        <v>0</v>
      </c>
      <c r="H813" s="6">
        <f>INT(Query1[[#This Row],[EntryDateTime]])</f>
        <v>44607</v>
      </c>
      <c r="I813" s="1">
        <f>IF(Query1[[#This Row],[ItemType]]="EVAP KIT SF GEN IV",Query1[[#This Row],[OrderQty]]+I812,I812)</f>
        <v>925</v>
      </c>
      <c r="J813" s="1">
        <f>IF(Query1[[#This Row],[ItemType]]="EVAP KIT UNIVERSAL",Query1[[#This Row],[OrderQty]]+J812,J812)</f>
        <v>403</v>
      </c>
      <c r="K813" s="1">
        <f>Query1[[#This Row],[SF Running Total]]+Query1[[#This Row],[UNIV Running Total]]</f>
        <v>1328</v>
      </c>
      <c r="L813">
        <f>VLOOKUP(Query1[[#This Row],[Description]],'kits to boards'!$B$2:$E$156,2,FALSE)</f>
        <v>830099</v>
      </c>
      <c r="M813">
        <f>VLOOKUP(Query1[[#This Row],[Description]],'kits to boards'!$B$2:$E$156,3,FALSE)</f>
        <v>0</v>
      </c>
      <c r="N813">
        <f>VLOOKUP(Query1[[#This Row],[Description]],'kits to boards'!$B$2:$E$156,4,FALSE)</f>
        <v>0</v>
      </c>
      <c r="O813" t="str">
        <f>CONCATENATE(Query1[[#This Row],[Description]]," - ",Query1[[#This Row],[MB1]]," - ",Query1[[#This Row],[MB2]]," - ",Query1[[#This Row],[MB3]])</f>
        <v>MINI GEN II H/C - 830099 - 0 - 0</v>
      </c>
    </row>
    <row r="814" spans="1:15" x14ac:dyDescent="0.25">
      <c r="A814" s="1">
        <v>911054</v>
      </c>
      <c r="B814" s="1" t="s">
        <v>26</v>
      </c>
      <c r="C814" s="1" t="s">
        <v>27</v>
      </c>
      <c r="D814" s="2">
        <v>44607.569669212964</v>
      </c>
      <c r="E814" s="1" t="s">
        <v>8</v>
      </c>
      <c r="F814" s="1">
        <v>1</v>
      </c>
      <c r="G814" s="1">
        <v>0</v>
      </c>
      <c r="H814" s="6">
        <f>INT(Query1[[#This Row],[EntryDateTime]])</f>
        <v>44607</v>
      </c>
      <c r="I814" s="1">
        <f>IF(Query1[[#This Row],[ItemType]]="EVAP KIT SF GEN IV",Query1[[#This Row],[OrderQty]]+I813,I813)</f>
        <v>926</v>
      </c>
      <c r="J814" s="1">
        <f>IF(Query1[[#This Row],[ItemType]]="EVAP KIT UNIVERSAL",Query1[[#This Row],[OrderQty]]+J813,J813)</f>
        <v>403</v>
      </c>
      <c r="K814" s="1">
        <f>Query1[[#This Row],[SF Running Total]]+Query1[[#This Row],[UNIV Running Total]]</f>
        <v>1329</v>
      </c>
      <c r="L814">
        <f>VLOOKUP(Query1[[#This Row],[Description]],'kits to boards'!$B$2:$E$156,2,FALSE)</f>
        <v>830013</v>
      </c>
      <c r="M814">
        <f>VLOOKUP(Query1[[#This Row],[Description]],'kits to boards'!$B$2:$E$156,3,FALSE)</f>
        <v>0</v>
      </c>
      <c r="N814">
        <f>VLOOKUP(Query1[[#This Row],[Description]],'kits to boards'!$B$2:$E$156,4,FALSE)</f>
        <v>0</v>
      </c>
      <c r="O814" t="str">
        <f>CONCATENATE(Query1[[#This Row],[Description]]," - ",Query1[[#This Row],[MB1]]," - ",Query1[[#This Row],[MB2]]," - ",Query1[[#This Row],[MB3]])</f>
        <v>EVAP KIT 67-72 CHEV P-UP W/AC - 830013 - 0 - 0</v>
      </c>
    </row>
    <row r="815" spans="1:15" x14ac:dyDescent="0.25">
      <c r="A815" s="1">
        <v>911066</v>
      </c>
      <c r="B815" s="1" t="s">
        <v>206</v>
      </c>
      <c r="C815" s="1" t="s">
        <v>207</v>
      </c>
      <c r="D815" s="2">
        <v>44607.580770868059</v>
      </c>
      <c r="E815" s="1" t="s">
        <v>8</v>
      </c>
      <c r="F815" s="1">
        <v>1</v>
      </c>
      <c r="G815" s="1">
        <v>0</v>
      </c>
      <c r="H815" s="6">
        <f>INT(Query1[[#This Row],[EntryDateTime]])</f>
        <v>44607</v>
      </c>
      <c r="I815" s="1">
        <f>IF(Query1[[#This Row],[ItemType]]="EVAP KIT SF GEN IV",Query1[[#This Row],[OrderQty]]+I814,I814)</f>
        <v>927</v>
      </c>
      <c r="J815" s="1">
        <f>IF(Query1[[#This Row],[ItemType]]="EVAP KIT UNIVERSAL",Query1[[#This Row],[OrderQty]]+J814,J814)</f>
        <v>403</v>
      </c>
      <c r="K815" s="1">
        <f>Query1[[#This Row],[SF Running Total]]+Query1[[#This Row],[UNIV Running Total]]</f>
        <v>1330</v>
      </c>
      <c r="L815">
        <f>VLOOKUP(Query1[[#This Row],[Description]],'kits to boards'!$B$2:$E$156,2,FALSE)</f>
        <v>830032</v>
      </c>
      <c r="M815">
        <f>VLOOKUP(Query1[[#This Row],[Description]],'kits to boards'!$B$2:$E$156,3,FALSE)</f>
        <v>0</v>
      </c>
      <c r="N815">
        <f>VLOOKUP(Query1[[#This Row],[Description]],'kits to boards'!$B$2:$E$156,4,FALSE)</f>
        <v>0</v>
      </c>
      <c r="O815" t="str">
        <f>CONCATENATE(Query1[[#This Row],[Description]]," - ",Query1[[#This Row],[MB1]]," - ",Query1[[#This Row],[MB2]]," - ",Query1[[#This Row],[MB3]])</f>
        <v>EVAP KIT 61-62 VETTE - 830032 - 0 - 0</v>
      </c>
    </row>
    <row r="816" spans="1:15" x14ac:dyDescent="0.25">
      <c r="A816" s="1">
        <v>910557</v>
      </c>
      <c r="B816" s="1" t="s">
        <v>108</v>
      </c>
      <c r="C816" s="1" t="s">
        <v>109</v>
      </c>
      <c r="D816" s="2">
        <v>44607.596127395831</v>
      </c>
      <c r="E816" s="1" t="s">
        <v>8</v>
      </c>
      <c r="F816" s="1">
        <v>1</v>
      </c>
      <c r="G816" s="1">
        <v>0</v>
      </c>
      <c r="H816" s="6">
        <f>INT(Query1[[#This Row],[EntryDateTime]])</f>
        <v>44607</v>
      </c>
      <c r="I816" s="1">
        <f>IF(Query1[[#This Row],[ItemType]]="EVAP KIT SF GEN IV",Query1[[#This Row],[OrderQty]]+I815,I815)</f>
        <v>928</v>
      </c>
      <c r="J816" s="1">
        <f>IF(Query1[[#This Row],[ItemType]]="EVAP KIT UNIVERSAL",Query1[[#This Row],[OrderQty]]+J815,J815)</f>
        <v>403</v>
      </c>
      <c r="K816" s="1">
        <f>Query1[[#This Row],[SF Running Total]]+Query1[[#This Row],[UNIV Running Total]]</f>
        <v>1331</v>
      </c>
      <c r="L816">
        <f>VLOOKUP(Query1[[#This Row],[Description]],'kits to boards'!$B$2:$E$156,2,FALSE)</f>
        <v>830105</v>
      </c>
      <c r="M816">
        <f>VLOOKUP(Query1[[#This Row],[Description]],'kits to boards'!$B$2:$E$156,3,FALSE)</f>
        <v>830106</v>
      </c>
      <c r="N816">
        <f>VLOOKUP(Query1[[#This Row],[Description]],'kits to boards'!$B$2:$E$156,4,FALSE)</f>
        <v>0</v>
      </c>
      <c r="O816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817" spans="1:15" x14ac:dyDescent="0.25">
      <c r="A817" s="1">
        <v>911032</v>
      </c>
      <c r="B817" s="1" t="s">
        <v>86</v>
      </c>
      <c r="C817" s="1" t="s">
        <v>87</v>
      </c>
      <c r="D817" s="2">
        <v>44607.613321064811</v>
      </c>
      <c r="E817" s="1" t="s">
        <v>8</v>
      </c>
      <c r="F817" s="1">
        <v>1</v>
      </c>
      <c r="G817" s="1">
        <v>0</v>
      </c>
      <c r="H817" s="6">
        <f>INT(Query1[[#This Row],[EntryDateTime]])</f>
        <v>44607</v>
      </c>
      <c r="I817" s="1">
        <f>IF(Query1[[#This Row],[ItemType]]="EVAP KIT SF GEN IV",Query1[[#This Row],[OrderQty]]+I816,I816)</f>
        <v>929</v>
      </c>
      <c r="J817" s="1">
        <f>IF(Query1[[#This Row],[ItemType]]="EVAP KIT UNIVERSAL",Query1[[#This Row],[OrderQty]]+J816,J816)</f>
        <v>403</v>
      </c>
      <c r="K817" s="1">
        <f>Query1[[#This Row],[SF Running Total]]+Query1[[#This Row],[UNIV Running Total]]</f>
        <v>1332</v>
      </c>
      <c r="L817">
        <f>VLOOKUP(Query1[[#This Row],[Description]],'kits to boards'!$B$2:$E$156,2,FALSE)</f>
        <v>830048</v>
      </c>
      <c r="M817">
        <f>VLOOKUP(Query1[[#This Row],[Description]],'kits to boards'!$B$2:$E$156,3,FALSE)</f>
        <v>0</v>
      </c>
      <c r="N817">
        <f>VLOOKUP(Query1[[#This Row],[Description]],'kits to boards'!$B$2:$E$156,4,FALSE)</f>
        <v>0</v>
      </c>
      <c r="O817" t="str">
        <f>CONCATENATE(Query1[[#This Row],[Description]]," - ",Query1[[#This Row],[MB1]]," - ",Query1[[#This Row],[MB2]]," - ",Query1[[#This Row],[MB3]])</f>
        <v>EVAP KIT 66-67 NOVA - 830048 - 0 - 0</v>
      </c>
    </row>
    <row r="818" spans="1:15" x14ac:dyDescent="0.25">
      <c r="A818" s="1">
        <v>911086</v>
      </c>
      <c r="B818" s="1" t="s">
        <v>66</v>
      </c>
      <c r="C818" s="1" t="s">
        <v>67</v>
      </c>
      <c r="D818" s="2">
        <v>44607.621954710645</v>
      </c>
      <c r="E818" s="1" t="s">
        <v>8</v>
      </c>
      <c r="F818" s="1">
        <v>2</v>
      </c>
      <c r="G818" s="1">
        <v>0</v>
      </c>
      <c r="H818" s="6">
        <f>INT(Query1[[#This Row],[EntryDateTime]])</f>
        <v>44607</v>
      </c>
      <c r="I818" s="1">
        <f>IF(Query1[[#This Row],[ItemType]]="EVAP KIT SF GEN IV",Query1[[#This Row],[OrderQty]]+I817,I817)</f>
        <v>931</v>
      </c>
      <c r="J818" s="1">
        <f>IF(Query1[[#This Row],[ItemType]]="EVAP KIT UNIVERSAL",Query1[[#This Row],[OrderQty]]+J817,J817)</f>
        <v>403</v>
      </c>
      <c r="K818" s="1">
        <f>Query1[[#This Row],[SF Running Total]]+Query1[[#This Row],[UNIV Running Total]]</f>
        <v>1334</v>
      </c>
      <c r="L818">
        <f>VLOOKUP(Query1[[#This Row],[Description]],'kits to boards'!$B$2:$E$156,2,FALSE)</f>
        <v>830060</v>
      </c>
      <c r="M818">
        <f>VLOOKUP(Query1[[#This Row],[Description]],'kits to boards'!$B$2:$E$156,3,FALSE)</f>
        <v>0</v>
      </c>
      <c r="N818">
        <f>VLOOKUP(Query1[[#This Row],[Description]],'kits to boards'!$B$2:$E$156,4,FALSE)</f>
        <v>0</v>
      </c>
      <c r="O818" t="str">
        <f>CONCATENATE(Query1[[#This Row],[Description]]," - ",Query1[[#This Row],[MB1]]," - ",Query1[[#This Row],[MB2]]," - ",Query1[[#This Row],[MB3]])</f>
        <v>EVAP KIT 66-67 CHEVELLE WO AC - 830060 - 0 - 0</v>
      </c>
    </row>
    <row r="819" spans="1:15" x14ac:dyDescent="0.25">
      <c r="A819" s="1">
        <v>911086</v>
      </c>
      <c r="B819" s="1" t="s">
        <v>120</v>
      </c>
      <c r="C819" s="1" t="s">
        <v>121</v>
      </c>
      <c r="D819" s="2">
        <v>44607.621958680553</v>
      </c>
      <c r="E819" s="1" t="s">
        <v>8</v>
      </c>
      <c r="F819" s="1">
        <v>1</v>
      </c>
      <c r="G819" s="1">
        <v>0</v>
      </c>
      <c r="H819" s="6">
        <f>INT(Query1[[#This Row],[EntryDateTime]])</f>
        <v>44607</v>
      </c>
      <c r="I819" s="1">
        <f>IF(Query1[[#This Row],[ItemType]]="EVAP KIT SF GEN IV",Query1[[#This Row],[OrderQty]]+I818,I818)</f>
        <v>932</v>
      </c>
      <c r="J819" s="1">
        <f>IF(Query1[[#This Row],[ItemType]]="EVAP KIT UNIVERSAL",Query1[[#This Row],[OrderQty]]+J818,J818)</f>
        <v>403</v>
      </c>
      <c r="K819" s="1">
        <f>Query1[[#This Row],[SF Running Total]]+Query1[[#This Row],[UNIV Running Total]]</f>
        <v>1335</v>
      </c>
      <c r="L819">
        <f>VLOOKUP(Query1[[#This Row],[Description]],'kits to boards'!$B$2:$E$156,2,FALSE)</f>
        <v>830014</v>
      </c>
      <c r="M819">
        <f>VLOOKUP(Query1[[#This Row],[Description]],'kits to boards'!$B$2:$E$156,3,FALSE)</f>
        <v>0</v>
      </c>
      <c r="N819">
        <f>VLOOKUP(Query1[[#This Row],[Description]],'kits to boards'!$B$2:$E$156,4,FALSE)</f>
        <v>0</v>
      </c>
      <c r="O819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820" spans="1:15" x14ac:dyDescent="0.25">
      <c r="A820" s="1">
        <v>911086</v>
      </c>
      <c r="B820" s="1" t="s">
        <v>28</v>
      </c>
      <c r="C820" s="1" t="s">
        <v>29</v>
      </c>
      <c r="D820" s="2">
        <v>44607.621960381941</v>
      </c>
      <c r="E820" s="1" t="s">
        <v>8</v>
      </c>
      <c r="F820" s="1">
        <v>1</v>
      </c>
      <c r="G820" s="1">
        <v>0</v>
      </c>
      <c r="H820" s="6">
        <f>INT(Query1[[#This Row],[EntryDateTime]])</f>
        <v>44607</v>
      </c>
      <c r="I820" s="1">
        <f>IF(Query1[[#This Row],[ItemType]]="EVAP KIT SF GEN IV",Query1[[#This Row],[OrderQty]]+I819,I819)</f>
        <v>933</v>
      </c>
      <c r="J820" s="1">
        <f>IF(Query1[[#This Row],[ItemType]]="EVAP KIT UNIVERSAL",Query1[[#This Row],[OrderQty]]+J819,J819)</f>
        <v>403</v>
      </c>
      <c r="K820" s="1">
        <f>Query1[[#This Row],[SF Running Total]]+Query1[[#This Row],[UNIV Running Total]]</f>
        <v>1336</v>
      </c>
      <c r="L820">
        <f>VLOOKUP(Query1[[#This Row],[Description]],'kits to boards'!$B$2:$E$156,2,FALSE)</f>
        <v>830001</v>
      </c>
      <c r="M820">
        <f>VLOOKUP(Query1[[#This Row],[Description]],'kits to boards'!$B$2:$E$156,3,FALSE)</f>
        <v>0</v>
      </c>
      <c r="N820">
        <f>VLOOKUP(Query1[[#This Row],[Description]],'kits to boards'!$B$2:$E$156,4,FALSE)</f>
        <v>0</v>
      </c>
      <c r="O820" t="str">
        <f>CONCATENATE(Query1[[#This Row],[Description]]," - ",Query1[[#This Row],[MB1]]," - ",Query1[[#This Row],[MB2]]," - ",Query1[[#This Row],[MB3]])</f>
        <v>EVAP KIT 73-80 CHEV P-UP W/AC - 830001 - 0 - 0</v>
      </c>
    </row>
    <row r="821" spans="1:15" x14ac:dyDescent="0.25">
      <c r="A821" s="1">
        <v>911086</v>
      </c>
      <c r="B821" s="1" t="s">
        <v>96</v>
      </c>
      <c r="C821" s="1" t="s">
        <v>97</v>
      </c>
      <c r="D821" s="2">
        <v>44607.621962118057</v>
      </c>
      <c r="E821" s="1" t="s">
        <v>8</v>
      </c>
      <c r="F821" s="1">
        <v>1</v>
      </c>
      <c r="G821" s="1">
        <v>0</v>
      </c>
      <c r="H821" s="6">
        <f>INT(Query1[[#This Row],[EntryDateTime]])</f>
        <v>44607</v>
      </c>
      <c r="I821" s="1">
        <f>IF(Query1[[#This Row],[ItemType]]="EVAP KIT SF GEN IV",Query1[[#This Row],[OrderQty]]+I820,I820)</f>
        <v>934</v>
      </c>
      <c r="J821" s="1">
        <f>IF(Query1[[#This Row],[ItemType]]="EVAP KIT UNIVERSAL",Query1[[#This Row],[OrderQty]]+J820,J820)</f>
        <v>403</v>
      </c>
      <c r="K821" s="1">
        <f>Query1[[#This Row],[SF Running Total]]+Query1[[#This Row],[UNIV Running Total]]</f>
        <v>1337</v>
      </c>
      <c r="L821">
        <f>VLOOKUP(Query1[[#This Row],[Description]],'kits to boards'!$B$2:$E$156,2,FALSE)</f>
        <v>830004</v>
      </c>
      <c r="M821">
        <f>VLOOKUP(Query1[[#This Row],[Description]],'kits to boards'!$B$2:$E$156,3,FALSE)</f>
        <v>0</v>
      </c>
      <c r="N821">
        <f>VLOOKUP(Query1[[#This Row],[Description]],'kits to boards'!$B$2:$E$156,4,FALSE)</f>
        <v>0</v>
      </c>
      <c r="O821" t="str">
        <f>CONCATENATE(Query1[[#This Row],[Description]]," - ",Query1[[#This Row],[MB1]]," - ",Query1[[#This Row],[MB2]]," - ",Query1[[#This Row],[MB3]])</f>
        <v>EVAP KIT 81-87 CHEV P-UP W/AC - 830004 - 0 - 0</v>
      </c>
    </row>
    <row r="822" spans="1:15" x14ac:dyDescent="0.25">
      <c r="A822" s="1">
        <v>911073</v>
      </c>
      <c r="B822" s="1" t="s">
        <v>22</v>
      </c>
      <c r="C822" s="1" t="s">
        <v>23</v>
      </c>
      <c r="D822" s="2">
        <v>44607.622736921294</v>
      </c>
      <c r="E822" s="1" t="s">
        <v>8</v>
      </c>
      <c r="F822" s="1">
        <v>1</v>
      </c>
      <c r="G822" s="1">
        <v>0</v>
      </c>
      <c r="H822" s="6">
        <f>INT(Query1[[#This Row],[EntryDateTime]])</f>
        <v>44607</v>
      </c>
      <c r="I822" s="1">
        <f>IF(Query1[[#This Row],[ItemType]]="EVAP KIT SF GEN IV",Query1[[#This Row],[OrderQty]]+I821,I821)</f>
        <v>935</v>
      </c>
      <c r="J822" s="1">
        <f>IF(Query1[[#This Row],[ItemType]]="EVAP KIT UNIVERSAL",Query1[[#This Row],[OrderQty]]+J821,J821)</f>
        <v>403</v>
      </c>
      <c r="K822" s="1">
        <f>Query1[[#This Row],[SF Running Total]]+Query1[[#This Row],[UNIV Running Total]]</f>
        <v>1338</v>
      </c>
      <c r="L822">
        <f>VLOOKUP(Query1[[#This Row],[Description]],'kits to boards'!$B$2:$E$156,2,FALSE)</f>
        <v>830083</v>
      </c>
      <c r="M822">
        <f>VLOOKUP(Query1[[#This Row],[Description]],'kits to boards'!$B$2:$E$156,3,FALSE)</f>
        <v>0</v>
      </c>
      <c r="N822">
        <f>VLOOKUP(Query1[[#This Row],[Description]],'kits to boards'!$B$2:$E$156,4,FALSE)</f>
        <v>0</v>
      </c>
      <c r="O822" t="str">
        <f>CONCATENATE(Query1[[#This Row],[Description]]," - ",Query1[[#This Row],[MB1]]," - ",Query1[[#This Row],[MB2]]," - ",Query1[[#This Row],[MB3]])</f>
        <v>GEN IV MAGNUM EVAP KIT - 830083 - 0 - 0</v>
      </c>
    </row>
    <row r="823" spans="1:15" x14ac:dyDescent="0.25">
      <c r="A823" s="1">
        <v>911073</v>
      </c>
      <c r="B823" s="1" t="s">
        <v>20</v>
      </c>
      <c r="C823" s="1" t="s">
        <v>21</v>
      </c>
      <c r="D823" s="2">
        <v>44607.622736921294</v>
      </c>
      <c r="E823" s="1" t="s">
        <v>11</v>
      </c>
      <c r="F823" s="1">
        <v>1</v>
      </c>
      <c r="G823" s="1">
        <v>0</v>
      </c>
      <c r="H823" s="6">
        <f>INT(Query1[[#This Row],[EntryDateTime]])</f>
        <v>44607</v>
      </c>
      <c r="I823" s="1">
        <f>IF(Query1[[#This Row],[ItemType]]="EVAP KIT SF GEN IV",Query1[[#This Row],[OrderQty]]+I822,I822)</f>
        <v>935</v>
      </c>
      <c r="J823" s="1">
        <f>IF(Query1[[#This Row],[ItemType]]="EVAP KIT UNIVERSAL",Query1[[#This Row],[OrderQty]]+J822,J822)</f>
        <v>404</v>
      </c>
      <c r="K823" s="1">
        <f>Query1[[#This Row],[SF Running Total]]+Query1[[#This Row],[UNIV Running Total]]</f>
        <v>1339</v>
      </c>
      <c r="L823">
        <f>VLOOKUP(Query1[[#This Row],[Description]],'kits to boards'!$B$2:$E$156,2,FALSE)</f>
        <v>830102</v>
      </c>
      <c r="M823">
        <f>VLOOKUP(Query1[[#This Row],[Description]],'kits to boards'!$B$2:$E$156,3,FALSE)</f>
        <v>0</v>
      </c>
      <c r="N823">
        <f>VLOOKUP(Query1[[#This Row],[Description]],'kits to boards'!$B$2:$E$156,4,FALSE)</f>
        <v>0</v>
      </c>
      <c r="O823" t="str">
        <f>CONCATENATE(Query1[[#This Row],[Description]]," - ",Query1[[#This Row],[MB1]]," - ",Query1[[#This Row],[MB2]]," - ",Query1[[#This Row],[MB3]])</f>
        <v>SUPER GEN II W/DEF - 830102 - 0 - 0</v>
      </c>
    </row>
    <row r="824" spans="1:15" x14ac:dyDescent="0.25">
      <c r="A824" s="1">
        <v>911074</v>
      </c>
      <c r="B824" s="1" t="s">
        <v>90</v>
      </c>
      <c r="C824" s="1" t="s">
        <v>91</v>
      </c>
      <c r="D824" s="2">
        <v>44607.623212037041</v>
      </c>
      <c r="E824" s="1" t="s">
        <v>8</v>
      </c>
      <c r="F824" s="1">
        <v>1</v>
      </c>
      <c r="G824" s="1">
        <v>0</v>
      </c>
      <c r="H824" s="6">
        <f>INT(Query1[[#This Row],[EntryDateTime]])</f>
        <v>44607</v>
      </c>
      <c r="I824" s="1">
        <f>IF(Query1[[#This Row],[ItemType]]="EVAP KIT SF GEN IV",Query1[[#This Row],[OrderQty]]+I823,I823)</f>
        <v>936</v>
      </c>
      <c r="J824" s="1">
        <f>IF(Query1[[#This Row],[ItemType]]="EVAP KIT UNIVERSAL",Query1[[#This Row],[OrderQty]]+J823,J823)</f>
        <v>404</v>
      </c>
      <c r="K824" s="1">
        <f>Query1[[#This Row],[SF Running Total]]+Query1[[#This Row],[UNIV Running Total]]</f>
        <v>1340</v>
      </c>
      <c r="L824">
        <f>VLOOKUP(Query1[[#This Row],[Description]],'kits to boards'!$B$2:$E$156,2,FALSE)</f>
        <v>830105</v>
      </c>
      <c r="M824">
        <f>VLOOKUP(Query1[[#This Row],[Description]],'kits to boards'!$B$2:$E$156,3,FALSE)</f>
        <v>830106</v>
      </c>
      <c r="N824">
        <f>VLOOKUP(Query1[[#This Row],[Description]],'kits to boards'!$B$2:$E$156,4,FALSE)</f>
        <v>0</v>
      </c>
      <c r="O824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825" spans="1:15" x14ac:dyDescent="0.25">
      <c r="A825" s="1">
        <v>911076</v>
      </c>
      <c r="B825" s="1" t="s">
        <v>96</v>
      </c>
      <c r="C825" s="1" t="s">
        <v>97</v>
      </c>
      <c r="D825" s="2">
        <v>44607.624249305554</v>
      </c>
      <c r="E825" s="1" t="s">
        <v>8</v>
      </c>
      <c r="F825" s="1">
        <v>1</v>
      </c>
      <c r="G825" s="1">
        <v>0</v>
      </c>
      <c r="H825" s="6">
        <f>INT(Query1[[#This Row],[EntryDateTime]])</f>
        <v>44607</v>
      </c>
      <c r="I825" s="1">
        <f>IF(Query1[[#This Row],[ItemType]]="EVAP KIT SF GEN IV",Query1[[#This Row],[OrderQty]]+I824,I824)</f>
        <v>937</v>
      </c>
      <c r="J825" s="1">
        <f>IF(Query1[[#This Row],[ItemType]]="EVAP KIT UNIVERSAL",Query1[[#This Row],[OrderQty]]+J824,J824)</f>
        <v>404</v>
      </c>
      <c r="K825" s="1">
        <f>Query1[[#This Row],[SF Running Total]]+Query1[[#This Row],[UNIV Running Total]]</f>
        <v>1341</v>
      </c>
      <c r="L825">
        <f>VLOOKUP(Query1[[#This Row],[Description]],'kits to boards'!$B$2:$E$156,2,FALSE)</f>
        <v>830004</v>
      </c>
      <c r="M825">
        <f>VLOOKUP(Query1[[#This Row],[Description]],'kits to boards'!$B$2:$E$156,3,FALSE)</f>
        <v>0</v>
      </c>
      <c r="N825">
        <f>VLOOKUP(Query1[[#This Row],[Description]],'kits to boards'!$B$2:$E$156,4,FALSE)</f>
        <v>0</v>
      </c>
      <c r="O825" t="str">
        <f>CONCATENATE(Query1[[#This Row],[Description]]," - ",Query1[[#This Row],[MB1]]," - ",Query1[[#This Row],[MB2]]," - ",Query1[[#This Row],[MB3]])</f>
        <v>EVAP KIT 81-87 CHEV P-UP W/AC - 830004 - 0 - 0</v>
      </c>
    </row>
    <row r="826" spans="1:15" x14ac:dyDescent="0.25">
      <c r="A826" s="1">
        <v>911078</v>
      </c>
      <c r="B826" s="1" t="s">
        <v>194</v>
      </c>
      <c r="C826" s="1" t="s">
        <v>195</v>
      </c>
      <c r="D826" s="2">
        <v>44607.625362696759</v>
      </c>
      <c r="E826" s="1" t="s">
        <v>8</v>
      </c>
      <c r="F826" s="1">
        <v>1</v>
      </c>
      <c r="G826" s="1">
        <v>0</v>
      </c>
      <c r="H826" s="6">
        <f>INT(Query1[[#This Row],[EntryDateTime]])</f>
        <v>44607</v>
      </c>
      <c r="I826" s="1">
        <f>IF(Query1[[#This Row],[ItemType]]="EVAP KIT SF GEN IV",Query1[[#This Row],[OrderQty]]+I825,I825)</f>
        <v>938</v>
      </c>
      <c r="J826" s="1">
        <f>IF(Query1[[#This Row],[ItemType]]="EVAP KIT UNIVERSAL",Query1[[#This Row],[OrderQty]]+J825,J825)</f>
        <v>404</v>
      </c>
      <c r="K826" s="1">
        <f>Query1[[#This Row],[SF Running Total]]+Query1[[#This Row],[UNIV Running Total]]</f>
        <v>1342</v>
      </c>
      <c r="L826">
        <f>VLOOKUP(Query1[[#This Row],[Description]],'kits to boards'!$B$2:$E$156,2,FALSE)</f>
        <v>830103</v>
      </c>
      <c r="M826">
        <f>VLOOKUP(Query1[[#This Row],[Description]],'kits to boards'!$B$2:$E$156,3,FALSE)</f>
        <v>0</v>
      </c>
      <c r="N826">
        <f>VLOOKUP(Query1[[#This Row],[Description]],'kits to boards'!$B$2:$E$156,4,FALSE)</f>
        <v>0</v>
      </c>
      <c r="O826" t="str">
        <f>CONCATENATE(Query1[[#This Row],[Description]]," - ",Query1[[#This Row],[MB1]]," - ",Query1[[#This Row],[MB2]]," - ",Query1[[#This Row],[MB3]])</f>
        <v>EVAP KIT 78-82 VETTE W/AC - 830103 - 0 - 0</v>
      </c>
    </row>
    <row r="827" spans="1:15" x14ac:dyDescent="0.25">
      <c r="A827" s="1">
        <v>911091</v>
      </c>
      <c r="B827" s="1" t="s">
        <v>54</v>
      </c>
      <c r="C827" s="1" t="s">
        <v>55</v>
      </c>
      <c r="D827" s="2">
        <v>44607.630109606478</v>
      </c>
      <c r="E827" s="1" t="s">
        <v>8</v>
      </c>
      <c r="F827" s="1">
        <v>1</v>
      </c>
      <c r="G827" s="1">
        <v>0</v>
      </c>
      <c r="H827" s="6">
        <f>INT(Query1[[#This Row],[EntryDateTime]])</f>
        <v>44607</v>
      </c>
      <c r="I827" s="1">
        <f>IF(Query1[[#This Row],[ItemType]]="EVAP KIT SF GEN IV",Query1[[#This Row],[OrderQty]]+I826,I826)</f>
        <v>939</v>
      </c>
      <c r="J827" s="1">
        <f>IF(Query1[[#This Row],[ItemType]]="EVAP KIT UNIVERSAL",Query1[[#This Row],[OrderQty]]+J826,J826)</f>
        <v>404</v>
      </c>
      <c r="K827" s="1">
        <f>Query1[[#This Row],[SF Running Total]]+Query1[[#This Row],[UNIV Running Total]]</f>
        <v>1343</v>
      </c>
      <c r="L827">
        <f>VLOOKUP(Query1[[#This Row],[Description]],'kits to boards'!$B$2:$E$156,2,FALSE)</f>
        <v>830037</v>
      </c>
      <c r="M827">
        <f>VLOOKUP(Query1[[#This Row],[Description]],'kits to boards'!$B$2:$E$156,3,FALSE)</f>
        <v>0</v>
      </c>
      <c r="N827">
        <f>VLOOKUP(Query1[[#This Row],[Description]],'kits to boards'!$B$2:$E$156,4,FALSE)</f>
        <v>0</v>
      </c>
      <c r="O827" t="str">
        <f>CONCATENATE(Query1[[#This Row],[Description]]," - ",Query1[[#This Row],[MB1]]," - ",Query1[[#This Row],[MB2]]," - ",Query1[[#This Row],[MB3]])</f>
        <v>EVAP KIT 70-81 FIREBIRD W/AC - 830037 - 0 - 0</v>
      </c>
    </row>
    <row r="828" spans="1:15" x14ac:dyDescent="0.25">
      <c r="A828" s="1">
        <v>911097</v>
      </c>
      <c r="B828" s="1" t="s">
        <v>98</v>
      </c>
      <c r="C828" s="1" t="s">
        <v>99</v>
      </c>
      <c r="D828" s="2">
        <v>44607.634494479164</v>
      </c>
      <c r="E828" s="1" t="s">
        <v>11</v>
      </c>
      <c r="F828" s="1">
        <v>1</v>
      </c>
      <c r="G828" s="1">
        <v>0</v>
      </c>
      <c r="H828" s="6">
        <f>INT(Query1[[#This Row],[EntryDateTime]])</f>
        <v>44607</v>
      </c>
      <c r="I828" s="1">
        <f>IF(Query1[[#This Row],[ItemType]]="EVAP KIT SF GEN IV",Query1[[#This Row],[OrderQty]]+I827,I827)</f>
        <v>939</v>
      </c>
      <c r="J828" s="1">
        <f>IF(Query1[[#This Row],[ItemType]]="EVAP KIT UNIVERSAL",Query1[[#This Row],[OrderQty]]+J827,J827)</f>
        <v>405</v>
      </c>
      <c r="K828" s="1">
        <f>Query1[[#This Row],[SF Running Total]]+Query1[[#This Row],[UNIV Running Total]]</f>
        <v>1344</v>
      </c>
      <c r="L828">
        <f>VLOOKUP(Query1[[#This Row],[Description]],'kits to boards'!$B$2:$E$156,2,FALSE)</f>
        <v>830099</v>
      </c>
      <c r="M828">
        <f>VLOOKUP(Query1[[#This Row],[Description]],'kits to boards'!$B$2:$E$156,3,FALSE)</f>
        <v>0</v>
      </c>
      <c r="N828">
        <f>VLOOKUP(Query1[[#This Row],[Description]],'kits to boards'!$B$2:$E$156,4,FALSE)</f>
        <v>0</v>
      </c>
      <c r="O828" t="str">
        <f>CONCATENATE(Query1[[#This Row],[Description]]," - ",Query1[[#This Row],[MB1]]," - ",Query1[[#This Row],[MB2]]," - ",Query1[[#This Row],[MB3]])</f>
        <v>MINI GEN II W/DEF - 830099 - 0 - 0</v>
      </c>
    </row>
    <row r="829" spans="1:15" x14ac:dyDescent="0.25">
      <c r="A829" s="1">
        <v>911101</v>
      </c>
      <c r="B829" s="1" t="s">
        <v>124</v>
      </c>
      <c r="C829" s="1" t="s">
        <v>125</v>
      </c>
      <c r="D829" s="2">
        <v>44607.639137002312</v>
      </c>
      <c r="E829" s="1" t="s">
        <v>8</v>
      </c>
      <c r="F829" s="1">
        <v>1</v>
      </c>
      <c r="G829" s="1">
        <v>0</v>
      </c>
      <c r="H829" s="6">
        <f>INT(Query1[[#This Row],[EntryDateTime]])</f>
        <v>44607</v>
      </c>
      <c r="I829" s="1">
        <f>IF(Query1[[#This Row],[ItemType]]="EVAP KIT SF GEN IV",Query1[[#This Row],[OrderQty]]+I828,I828)</f>
        <v>940</v>
      </c>
      <c r="J829" s="1">
        <f>IF(Query1[[#This Row],[ItemType]]="EVAP KIT UNIVERSAL",Query1[[#This Row],[OrderQty]]+J828,J828)</f>
        <v>405</v>
      </c>
      <c r="K829" s="1">
        <f>Query1[[#This Row],[SF Running Total]]+Query1[[#This Row],[UNIV Running Total]]</f>
        <v>1345</v>
      </c>
      <c r="L829">
        <f>VLOOKUP(Query1[[#This Row],[Description]],'kits to boards'!$B$2:$E$156,2,FALSE)</f>
        <v>830002</v>
      </c>
      <c r="M829">
        <f>VLOOKUP(Query1[[#This Row],[Description]],'kits to boards'!$B$2:$E$156,3,FALSE)</f>
        <v>0</v>
      </c>
      <c r="N829">
        <f>VLOOKUP(Query1[[#This Row],[Description]],'kits to boards'!$B$2:$E$156,4,FALSE)</f>
        <v>0</v>
      </c>
      <c r="O829" t="str">
        <f>CONCATENATE(Query1[[#This Row],[Description]]," - ",Query1[[#This Row],[MB1]]," - ",Query1[[#This Row],[MB2]]," - ",Query1[[#This Row],[MB3]])</f>
        <v>EVAP KIT 73-80 CHEV P-UP WO AC - 830002 - 0 - 0</v>
      </c>
    </row>
    <row r="830" spans="1:15" x14ac:dyDescent="0.25">
      <c r="A830" s="1">
        <v>910427</v>
      </c>
      <c r="B830" s="1" t="s">
        <v>22</v>
      </c>
      <c r="C830" s="1" t="s">
        <v>23</v>
      </c>
      <c r="D830" s="2">
        <v>44607.646845289353</v>
      </c>
      <c r="E830" s="1" t="s">
        <v>8</v>
      </c>
      <c r="F830" s="1">
        <v>1</v>
      </c>
      <c r="G830" s="1">
        <v>0</v>
      </c>
      <c r="H830" s="6">
        <f>INT(Query1[[#This Row],[EntryDateTime]])</f>
        <v>44607</v>
      </c>
      <c r="I830" s="1">
        <f>IF(Query1[[#This Row],[ItemType]]="EVAP KIT SF GEN IV",Query1[[#This Row],[OrderQty]]+I829,I829)</f>
        <v>941</v>
      </c>
      <c r="J830" s="1">
        <f>IF(Query1[[#This Row],[ItemType]]="EVAP KIT UNIVERSAL",Query1[[#This Row],[OrderQty]]+J829,J829)</f>
        <v>405</v>
      </c>
      <c r="K830" s="1">
        <f>Query1[[#This Row],[SF Running Total]]+Query1[[#This Row],[UNIV Running Total]]</f>
        <v>1346</v>
      </c>
      <c r="L830">
        <f>VLOOKUP(Query1[[#This Row],[Description]],'kits to boards'!$B$2:$E$156,2,FALSE)</f>
        <v>830083</v>
      </c>
      <c r="M830">
        <f>VLOOKUP(Query1[[#This Row],[Description]],'kits to boards'!$B$2:$E$156,3,FALSE)</f>
        <v>0</v>
      </c>
      <c r="N830">
        <f>VLOOKUP(Query1[[#This Row],[Description]],'kits to boards'!$B$2:$E$156,4,FALSE)</f>
        <v>0</v>
      </c>
      <c r="O830" t="str">
        <f>CONCATENATE(Query1[[#This Row],[Description]]," - ",Query1[[#This Row],[MB1]]," - ",Query1[[#This Row],[MB2]]," - ",Query1[[#This Row],[MB3]])</f>
        <v>GEN IV MAGNUM EVAP KIT - 830083 - 0 - 0</v>
      </c>
    </row>
    <row r="831" spans="1:15" x14ac:dyDescent="0.25">
      <c r="A831" s="1">
        <v>911104</v>
      </c>
      <c r="B831" s="1" t="s">
        <v>36</v>
      </c>
      <c r="C831" s="1" t="s">
        <v>37</v>
      </c>
      <c r="D831" s="2">
        <v>44607.64798746528</v>
      </c>
      <c r="E831" s="1" t="s">
        <v>8</v>
      </c>
      <c r="F831" s="1">
        <v>1</v>
      </c>
      <c r="G831" s="1">
        <v>0</v>
      </c>
      <c r="H831" s="6">
        <f>INT(Query1[[#This Row],[EntryDateTime]])</f>
        <v>44607</v>
      </c>
      <c r="I831" s="1">
        <f>IF(Query1[[#This Row],[ItemType]]="EVAP KIT SF GEN IV",Query1[[#This Row],[OrderQty]]+I830,I830)</f>
        <v>942</v>
      </c>
      <c r="J831" s="1">
        <f>IF(Query1[[#This Row],[ItemType]]="EVAP KIT UNIVERSAL",Query1[[#This Row],[OrderQty]]+J830,J830)</f>
        <v>405</v>
      </c>
      <c r="K831" s="1">
        <f>Query1[[#This Row],[SF Running Total]]+Query1[[#This Row],[UNIV Running Total]]</f>
        <v>1347</v>
      </c>
      <c r="L831">
        <f>VLOOKUP(Query1[[#This Row],[Description]],'kits to boards'!$B$2:$E$156,2,FALSE)</f>
        <v>830015</v>
      </c>
      <c r="M831">
        <f>VLOOKUP(Query1[[#This Row],[Description]],'kits to boards'!$B$2:$E$156,3,FALSE)</f>
        <v>0</v>
      </c>
      <c r="N831">
        <f>VLOOKUP(Query1[[#This Row],[Description]],'kits to boards'!$B$2:$E$156,4,FALSE)</f>
        <v>0</v>
      </c>
      <c r="O831" t="str">
        <f>CONCATENATE(Query1[[#This Row],[Description]]," - ",Query1[[#This Row],[MB1]]," - ",Query1[[#This Row],[MB2]]," - ",Query1[[#This Row],[MB3]])</f>
        <v>EVAP KIT 64-66 CHEV P-UP WO AC W/STD - 830015 - 0 - 0</v>
      </c>
    </row>
    <row r="832" spans="1:15" x14ac:dyDescent="0.25">
      <c r="A832" s="1">
        <v>911106</v>
      </c>
      <c r="B832" s="1" t="s">
        <v>88</v>
      </c>
      <c r="C832" s="1" t="s">
        <v>89</v>
      </c>
      <c r="D832" s="2">
        <v>44607.651293946758</v>
      </c>
      <c r="E832" s="1" t="s">
        <v>8</v>
      </c>
      <c r="F832" s="1">
        <v>1</v>
      </c>
      <c r="G832" s="1">
        <v>0</v>
      </c>
      <c r="H832" s="6">
        <f>INT(Query1[[#This Row],[EntryDateTime]])</f>
        <v>44607</v>
      </c>
      <c r="I832" s="1">
        <f>IF(Query1[[#This Row],[ItemType]]="EVAP KIT SF GEN IV",Query1[[#This Row],[OrderQty]]+I831,I831)</f>
        <v>943</v>
      </c>
      <c r="J832" s="1">
        <f>IF(Query1[[#This Row],[ItemType]]="EVAP KIT UNIVERSAL",Query1[[#This Row],[OrderQty]]+J831,J831)</f>
        <v>405</v>
      </c>
      <c r="K832" s="1">
        <f>Query1[[#This Row],[SF Running Total]]+Query1[[#This Row],[UNIV Running Total]]</f>
        <v>1348</v>
      </c>
      <c r="L832">
        <f>VLOOKUP(Query1[[#This Row],[Description]],'kits to boards'!$B$2:$E$156,2,FALSE)</f>
        <v>830003</v>
      </c>
      <c r="M832">
        <f>VLOOKUP(Query1[[#This Row],[Description]],'kits to boards'!$B$2:$E$156,3,FALSE)</f>
        <v>0</v>
      </c>
      <c r="N832">
        <f>VLOOKUP(Query1[[#This Row],[Description]],'kits to boards'!$B$2:$E$156,4,FALSE)</f>
        <v>0</v>
      </c>
      <c r="O832" t="str">
        <f>CONCATENATE(Query1[[#This Row],[Description]]," - ",Query1[[#This Row],[MB1]]," - ",Query1[[#This Row],[MB2]]," - ",Query1[[#This Row],[MB3]])</f>
        <v>EVAP KIT 81-87 CHEV P-UP WO AC - 830003 - 0 - 0</v>
      </c>
    </row>
    <row r="833" spans="1:15" x14ac:dyDescent="0.25">
      <c r="A833" s="1">
        <v>911107</v>
      </c>
      <c r="B833" s="1" t="s">
        <v>158</v>
      </c>
      <c r="C833" s="1" t="s">
        <v>159</v>
      </c>
      <c r="D833" s="2">
        <v>44607.66314621528</v>
      </c>
      <c r="E833" s="1" t="s">
        <v>8</v>
      </c>
      <c r="F833" s="1">
        <v>1</v>
      </c>
      <c r="G833" s="1">
        <v>0</v>
      </c>
      <c r="H833" s="6">
        <f>INT(Query1[[#This Row],[EntryDateTime]])</f>
        <v>44607</v>
      </c>
      <c r="I833" s="1">
        <f>IF(Query1[[#This Row],[ItemType]]="EVAP KIT SF GEN IV",Query1[[#This Row],[OrderQty]]+I832,I832)</f>
        <v>944</v>
      </c>
      <c r="J833" s="1">
        <f>IF(Query1[[#This Row],[ItemType]]="EVAP KIT UNIVERSAL",Query1[[#This Row],[OrderQty]]+J832,J832)</f>
        <v>405</v>
      </c>
      <c r="K833" s="1">
        <f>Query1[[#This Row],[SF Running Total]]+Query1[[#This Row],[UNIV Running Total]]</f>
        <v>1349</v>
      </c>
      <c r="L833">
        <f>VLOOKUP(Query1[[#This Row],[Description]],'kits to boards'!$B$2:$E$156,2,FALSE)</f>
        <v>830080</v>
      </c>
      <c r="M833">
        <f>VLOOKUP(Query1[[#This Row],[Description]],'kits to boards'!$B$2:$E$156,3,FALSE)</f>
        <v>830046</v>
      </c>
      <c r="N833">
        <f>VLOOKUP(Query1[[#This Row],[Description]],'kits to boards'!$B$2:$E$156,4,FALSE)</f>
        <v>0</v>
      </c>
      <c r="O833" t="str">
        <f>CONCATENATE(Query1[[#This Row],[Description]]," - ",Query1[[#This Row],[MB1]]," - ",Query1[[#This Row],[MB2]]," - ",Query1[[#This Row],[MB3]])</f>
        <v>EVAP KIT 69-70 MUSTANG W/AC  - 830080 - 830046 - 0</v>
      </c>
    </row>
    <row r="834" spans="1:15" x14ac:dyDescent="0.25">
      <c r="A834" s="1">
        <v>911120</v>
      </c>
      <c r="B834" s="1" t="s">
        <v>198</v>
      </c>
      <c r="C834" s="1" t="s">
        <v>199</v>
      </c>
      <c r="D834" s="2">
        <v>44607.668735648149</v>
      </c>
      <c r="E834" s="1" t="s">
        <v>8</v>
      </c>
      <c r="F834" s="1">
        <v>1</v>
      </c>
      <c r="G834" s="1">
        <v>0</v>
      </c>
      <c r="H834" s="6">
        <f>INT(Query1[[#This Row],[EntryDateTime]])</f>
        <v>44607</v>
      </c>
      <c r="I834" s="1">
        <f>IF(Query1[[#This Row],[ItemType]]="EVAP KIT SF GEN IV",Query1[[#This Row],[OrderQty]]+I833,I833)</f>
        <v>945</v>
      </c>
      <c r="J834" s="1">
        <f>IF(Query1[[#This Row],[ItemType]]="EVAP KIT UNIVERSAL",Query1[[#This Row],[OrderQty]]+J833,J833)</f>
        <v>405</v>
      </c>
      <c r="K834" s="1">
        <f>Query1[[#This Row],[SF Running Total]]+Query1[[#This Row],[UNIV Running Total]]</f>
        <v>1350</v>
      </c>
      <c r="L834">
        <f>VLOOKUP(Query1[[#This Row],[Description]],'kits to boards'!$B$2:$E$156,2,FALSE)</f>
        <v>830042</v>
      </c>
      <c r="M834">
        <f>VLOOKUP(Query1[[#This Row],[Description]],'kits to boards'!$B$2:$E$156,3,FALSE)</f>
        <v>0</v>
      </c>
      <c r="N834">
        <f>VLOOKUP(Query1[[#This Row],[Description]],'kits to boards'!$B$2:$E$156,4,FALSE)</f>
        <v>0</v>
      </c>
      <c r="O834" t="str">
        <f>CONCATENATE(Query1[[#This Row],[Description]]," - ",Query1[[#This Row],[MB1]]," - ",Query1[[#This Row],[MB2]]," - ",Query1[[#This Row],[MB3]])</f>
        <v>EVAP KIT 68-83 TOYOTA FJ40 ULTRA HIGH PERF - 830042 - 0 - 0</v>
      </c>
    </row>
    <row r="835" spans="1:15" x14ac:dyDescent="0.25">
      <c r="A835" s="1">
        <v>911132</v>
      </c>
      <c r="B835" s="1" t="s">
        <v>30</v>
      </c>
      <c r="C835" s="1" t="s">
        <v>31</v>
      </c>
      <c r="D835" s="2">
        <v>44607.697052465279</v>
      </c>
      <c r="E835" s="1" t="s">
        <v>8</v>
      </c>
      <c r="F835" s="1">
        <v>1</v>
      </c>
      <c r="G835" s="1">
        <v>0</v>
      </c>
      <c r="H835" s="6">
        <f>INT(Query1[[#This Row],[EntryDateTime]])</f>
        <v>44607</v>
      </c>
      <c r="I835" s="1">
        <f>IF(Query1[[#This Row],[ItemType]]="EVAP KIT SF GEN IV",Query1[[#This Row],[OrderQty]]+I834,I834)</f>
        <v>946</v>
      </c>
      <c r="J835" s="1">
        <f>IF(Query1[[#This Row],[ItemType]]="EVAP KIT UNIVERSAL",Query1[[#This Row],[OrderQty]]+J834,J834)</f>
        <v>405</v>
      </c>
      <c r="K835" s="1">
        <f>Query1[[#This Row],[SF Running Total]]+Query1[[#This Row],[UNIV Running Total]]</f>
        <v>1351</v>
      </c>
      <c r="L835">
        <f>VLOOKUP(Query1[[#This Row],[Description]],'kits to boards'!$B$2:$E$156,2,FALSE)</f>
        <v>830054</v>
      </c>
      <c r="M835">
        <f>VLOOKUP(Query1[[#This Row],[Description]],'kits to boards'!$B$2:$E$156,3,FALSE)</f>
        <v>0</v>
      </c>
      <c r="N835">
        <f>VLOOKUP(Query1[[#This Row],[Description]],'kits to boards'!$B$2:$E$156,4,FALSE)</f>
        <v>0</v>
      </c>
      <c r="O835" t="str">
        <f>CONCATENATE(Query1[[#This Row],[Description]]," - ",Query1[[#This Row],[MB1]]," - ",Query1[[#This Row],[MB2]]," - ",Query1[[#This Row],[MB3]])</f>
        <v>EVAP KIT 55-56 CHEVY 4-VENT - 830054 - 0 - 0</v>
      </c>
    </row>
    <row r="836" spans="1:15" x14ac:dyDescent="0.25">
      <c r="A836" s="1">
        <v>911135</v>
      </c>
      <c r="B836" s="1" t="s">
        <v>283</v>
      </c>
      <c r="C836" s="1" t="s">
        <v>284</v>
      </c>
      <c r="D836" s="2">
        <v>44607.699240937502</v>
      </c>
      <c r="E836" s="1" t="s">
        <v>8</v>
      </c>
      <c r="F836" s="1">
        <v>1</v>
      </c>
      <c r="G836" s="1">
        <v>0</v>
      </c>
      <c r="H836" s="6">
        <f>INT(Query1[[#This Row],[EntryDateTime]])</f>
        <v>44607</v>
      </c>
      <c r="I836" s="1">
        <f>IF(Query1[[#This Row],[ItemType]]="EVAP KIT SF GEN IV",Query1[[#This Row],[OrderQty]]+I835,I835)</f>
        <v>947</v>
      </c>
      <c r="J836" s="1">
        <f>IF(Query1[[#This Row],[ItemType]]="EVAP KIT UNIVERSAL",Query1[[#This Row],[OrderQty]]+J835,J835)</f>
        <v>405</v>
      </c>
      <c r="K836" s="1">
        <f>Query1[[#This Row],[SF Running Total]]+Query1[[#This Row],[UNIV Running Total]]</f>
        <v>1352</v>
      </c>
      <c r="L836">
        <f>VLOOKUP(Query1[[#This Row],[Description]],'kits to boards'!$B$2:$E$156,2,FALSE)</f>
        <v>830033</v>
      </c>
      <c r="M836">
        <f>VLOOKUP(Query1[[#This Row],[Description]],'kits to boards'!$B$2:$E$156,3,FALSE)</f>
        <v>0</v>
      </c>
      <c r="N836">
        <f>VLOOKUP(Query1[[#This Row],[Description]],'kits to boards'!$B$2:$E$156,4,FALSE)</f>
        <v>0</v>
      </c>
      <c r="O836" t="str">
        <f>CONCATENATE(Query1[[#This Row],[Description]]," - ",Query1[[#This Row],[MB1]]," - ",Query1[[#This Row],[MB2]]," - ",Query1[[#This Row],[MB3]])</f>
        <v>EVAP KIT 66-67 CHARGER/CORONET WO AC - 830033 - 0 - 0</v>
      </c>
    </row>
    <row r="837" spans="1:15" x14ac:dyDescent="0.25">
      <c r="A837" s="1">
        <v>911146</v>
      </c>
      <c r="B837" s="1" t="s">
        <v>32</v>
      </c>
      <c r="C837" s="1" t="s">
        <v>33</v>
      </c>
      <c r="D837" s="2">
        <v>44608.334652511578</v>
      </c>
      <c r="E837" s="1" t="s">
        <v>8</v>
      </c>
      <c r="F837" s="1">
        <v>1</v>
      </c>
      <c r="G837" s="1">
        <v>0</v>
      </c>
      <c r="H837" s="6">
        <f>INT(Query1[[#This Row],[EntryDateTime]])</f>
        <v>44608</v>
      </c>
      <c r="I837" s="1">
        <f>IF(Query1[[#This Row],[ItemType]]="EVAP KIT SF GEN IV",Query1[[#This Row],[OrderQty]]+I836,I836)</f>
        <v>948</v>
      </c>
      <c r="J837" s="1">
        <f>IF(Query1[[#This Row],[ItemType]]="EVAP KIT UNIVERSAL",Query1[[#This Row],[OrderQty]]+J836,J836)</f>
        <v>405</v>
      </c>
      <c r="K837" s="1">
        <f>Query1[[#This Row],[SF Running Total]]+Query1[[#This Row],[UNIV Running Total]]</f>
        <v>1353</v>
      </c>
      <c r="L837">
        <f>VLOOKUP(Query1[[#This Row],[Description]],'kits to boards'!$B$2:$E$156,2,FALSE)</f>
        <v>830016</v>
      </c>
      <c r="M837">
        <f>VLOOKUP(Query1[[#This Row],[Description]],'kits to boards'!$B$2:$E$156,3,FALSE)</f>
        <v>0</v>
      </c>
      <c r="N837">
        <f>VLOOKUP(Query1[[#This Row],[Description]],'kits to boards'!$B$2:$E$156,4,FALSE)</f>
        <v>0</v>
      </c>
      <c r="O837" t="str">
        <f>CONCATENATE(Query1[[#This Row],[Description]]," - ",Query1[[#This Row],[MB1]]," - ",Query1[[#This Row],[MB2]]," - ",Query1[[#This Row],[MB3]])</f>
        <v>EVAP KIT 67-68 CAMARO/FIREBIRD W/AC - 830016 - 0 - 0</v>
      </c>
    </row>
    <row r="838" spans="1:15" x14ac:dyDescent="0.25">
      <c r="A838" s="1">
        <v>911147</v>
      </c>
      <c r="B838" s="1" t="s">
        <v>54</v>
      </c>
      <c r="C838" s="1" t="s">
        <v>55</v>
      </c>
      <c r="D838" s="2">
        <v>44608.337643784726</v>
      </c>
      <c r="E838" s="1" t="s">
        <v>8</v>
      </c>
      <c r="F838" s="1">
        <v>1</v>
      </c>
      <c r="G838" s="1">
        <v>0</v>
      </c>
      <c r="H838" s="6">
        <f>INT(Query1[[#This Row],[EntryDateTime]])</f>
        <v>44608</v>
      </c>
      <c r="I838" s="1">
        <f>IF(Query1[[#This Row],[ItemType]]="EVAP KIT SF GEN IV",Query1[[#This Row],[OrderQty]]+I837,I837)</f>
        <v>949</v>
      </c>
      <c r="J838" s="1">
        <f>IF(Query1[[#This Row],[ItemType]]="EVAP KIT UNIVERSAL",Query1[[#This Row],[OrderQty]]+J837,J837)</f>
        <v>405</v>
      </c>
      <c r="K838" s="1">
        <f>Query1[[#This Row],[SF Running Total]]+Query1[[#This Row],[UNIV Running Total]]</f>
        <v>1354</v>
      </c>
      <c r="L838">
        <f>VLOOKUP(Query1[[#This Row],[Description]],'kits to boards'!$B$2:$E$156,2,FALSE)</f>
        <v>830037</v>
      </c>
      <c r="M838">
        <f>VLOOKUP(Query1[[#This Row],[Description]],'kits to boards'!$B$2:$E$156,3,FALSE)</f>
        <v>0</v>
      </c>
      <c r="N838">
        <f>VLOOKUP(Query1[[#This Row],[Description]],'kits to boards'!$B$2:$E$156,4,FALSE)</f>
        <v>0</v>
      </c>
      <c r="O838" t="str">
        <f>CONCATENATE(Query1[[#This Row],[Description]]," - ",Query1[[#This Row],[MB1]]," - ",Query1[[#This Row],[MB2]]," - ",Query1[[#This Row],[MB3]])</f>
        <v>EVAP KIT 70-81 FIREBIRD W/AC - 830037 - 0 - 0</v>
      </c>
    </row>
    <row r="839" spans="1:15" x14ac:dyDescent="0.25">
      <c r="A839" s="1">
        <v>911148</v>
      </c>
      <c r="B839" s="1" t="s">
        <v>44</v>
      </c>
      <c r="C839" s="1" t="s">
        <v>45</v>
      </c>
      <c r="D839" s="2">
        <v>44608.340800081016</v>
      </c>
      <c r="E839" s="1" t="s">
        <v>8</v>
      </c>
      <c r="F839" s="1">
        <v>1</v>
      </c>
      <c r="G839" s="1">
        <v>0</v>
      </c>
      <c r="H839" s="6">
        <f>INT(Query1[[#This Row],[EntryDateTime]])</f>
        <v>44608</v>
      </c>
      <c r="I839" s="1">
        <f>IF(Query1[[#This Row],[ItemType]]="EVAP KIT SF GEN IV",Query1[[#This Row],[OrderQty]]+I838,I838)</f>
        <v>950</v>
      </c>
      <c r="J839" s="1">
        <f>IF(Query1[[#This Row],[ItemType]]="EVAP KIT UNIVERSAL",Query1[[#This Row],[OrderQty]]+J838,J838)</f>
        <v>405</v>
      </c>
      <c r="K839" s="1">
        <f>Query1[[#This Row],[SF Running Total]]+Query1[[#This Row],[UNIV Running Total]]</f>
        <v>1355</v>
      </c>
      <c r="L839">
        <f>VLOOKUP(Query1[[#This Row],[Description]],'kits to boards'!$B$2:$E$156,2,FALSE)</f>
        <v>830085</v>
      </c>
      <c r="M839">
        <f>VLOOKUP(Query1[[#This Row],[Description]],'kits to boards'!$B$2:$E$156,3,FALSE)</f>
        <v>0</v>
      </c>
      <c r="N839">
        <f>VLOOKUP(Query1[[#This Row],[Description]],'kits to boards'!$B$2:$E$156,4,FALSE)</f>
        <v>0</v>
      </c>
      <c r="O839" t="str">
        <f>CONCATENATE(Query1[[#This Row],[Description]]," - ",Query1[[#This Row],[MB1]]," - ",Query1[[#This Row],[MB2]]," - ",Query1[[#This Row],[MB3]])</f>
        <v>EVAP KIT 66-77 BRONCO - 830085 - 0 - 0</v>
      </c>
    </row>
    <row r="840" spans="1:15" x14ac:dyDescent="0.25">
      <c r="A840" s="1">
        <v>911153</v>
      </c>
      <c r="B840" s="1" t="s">
        <v>30</v>
      </c>
      <c r="C840" s="1" t="s">
        <v>31</v>
      </c>
      <c r="D840" s="2">
        <v>44608.351236493058</v>
      </c>
      <c r="E840" s="1" t="s">
        <v>8</v>
      </c>
      <c r="F840" s="1">
        <v>1</v>
      </c>
      <c r="G840" s="1">
        <v>0</v>
      </c>
      <c r="H840" s="6">
        <f>INT(Query1[[#This Row],[EntryDateTime]])</f>
        <v>44608</v>
      </c>
      <c r="I840" s="1">
        <f>IF(Query1[[#This Row],[ItemType]]="EVAP KIT SF GEN IV",Query1[[#This Row],[OrderQty]]+I839,I839)</f>
        <v>951</v>
      </c>
      <c r="J840" s="1">
        <f>IF(Query1[[#This Row],[ItemType]]="EVAP KIT UNIVERSAL",Query1[[#This Row],[OrderQty]]+J839,J839)</f>
        <v>405</v>
      </c>
      <c r="K840" s="1">
        <f>Query1[[#This Row],[SF Running Total]]+Query1[[#This Row],[UNIV Running Total]]</f>
        <v>1356</v>
      </c>
      <c r="L840">
        <f>VLOOKUP(Query1[[#This Row],[Description]],'kits to boards'!$B$2:$E$156,2,FALSE)</f>
        <v>830054</v>
      </c>
      <c r="M840">
        <f>VLOOKUP(Query1[[#This Row],[Description]],'kits to boards'!$B$2:$E$156,3,FALSE)</f>
        <v>0</v>
      </c>
      <c r="N840">
        <f>VLOOKUP(Query1[[#This Row],[Description]],'kits to boards'!$B$2:$E$156,4,FALSE)</f>
        <v>0</v>
      </c>
      <c r="O840" t="str">
        <f>CONCATENATE(Query1[[#This Row],[Description]]," - ",Query1[[#This Row],[MB1]]," - ",Query1[[#This Row],[MB2]]," - ",Query1[[#This Row],[MB3]])</f>
        <v>EVAP KIT 55-56 CHEVY 4-VENT - 830054 - 0 - 0</v>
      </c>
    </row>
    <row r="841" spans="1:15" x14ac:dyDescent="0.25">
      <c r="A841" s="1">
        <v>911154</v>
      </c>
      <c r="B841" s="1" t="s">
        <v>42</v>
      </c>
      <c r="C841" s="1" t="s">
        <v>43</v>
      </c>
      <c r="D841" s="2">
        <v>44608.354011076386</v>
      </c>
      <c r="E841" s="1" t="s">
        <v>8</v>
      </c>
      <c r="F841" s="1">
        <v>1</v>
      </c>
      <c r="G841" s="1">
        <v>0</v>
      </c>
      <c r="H841" s="6">
        <f>INT(Query1[[#This Row],[EntryDateTime]])</f>
        <v>44608</v>
      </c>
      <c r="I841" s="1">
        <f>IF(Query1[[#This Row],[ItemType]]="EVAP KIT SF GEN IV",Query1[[#This Row],[OrderQty]]+I840,I840)</f>
        <v>952</v>
      </c>
      <c r="J841" s="1">
        <f>IF(Query1[[#This Row],[ItemType]]="EVAP KIT UNIVERSAL",Query1[[#This Row],[OrderQty]]+J840,J840)</f>
        <v>405</v>
      </c>
      <c r="K841" s="1">
        <f>Query1[[#This Row],[SF Running Total]]+Query1[[#This Row],[UNIV Running Total]]</f>
        <v>1357</v>
      </c>
      <c r="L841">
        <f>VLOOKUP(Query1[[#This Row],[Description]],'kits to boards'!$B$2:$E$156,2,FALSE)</f>
        <v>830014</v>
      </c>
      <c r="M841">
        <f>VLOOKUP(Query1[[#This Row],[Description]],'kits to boards'!$B$2:$E$156,3,FALSE)</f>
        <v>0</v>
      </c>
      <c r="N841">
        <f>VLOOKUP(Query1[[#This Row],[Description]],'kits to boards'!$B$2:$E$156,4,FALSE)</f>
        <v>0</v>
      </c>
      <c r="O841" t="str">
        <f>CONCATENATE(Query1[[#This Row],[Description]]," - ",Query1[[#This Row],[MB1]]," - ",Query1[[#This Row],[MB2]]," - ",Query1[[#This Row],[MB3]])</f>
        <v>EVAP KIT 67-72 CHEV P-UP WO AC - 830014 - 0 - 0</v>
      </c>
    </row>
    <row r="842" spans="1:15" x14ac:dyDescent="0.25">
      <c r="A842" s="1">
        <v>911155</v>
      </c>
      <c r="B842" s="1" t="s">
        <v>108</v>
      </c>
      <c r="C842" s="1" t="s">
        <v>109</v>
      </c>
      <c r="D842" s="2">
        <v>44608.355680590277</v>
      </c>
      <c r="E842" s="1" t="s">
        <v>8</v>
      </c>
      <c r="F842" s="1">
        <v>1</v>
      </c>
      <c r="G842" s="1">
        <v>0</v>
      </c>
      <c r="H842" s="6">
        <f>INT(Query1[[#This Row],[EntryDateTime]])</f>
        <v>44608</v>
      </c>
      <c r="I842" s="1">
        <f>IF(Query1[[#This Row],[ItemType]]="EVAP KIT SF GEN IV",Query1[[#This Row],[OrderQty]]+I841,I841)</f>
        <v>953</v>
      </c>
      <c r="J842" s="1">
        <f>IF(Query1[[#This Row],[ItemType]]="EVAP KIT UNIVERSAL",Query1[[#This Row],[OrderQty]]+J841,J841)</f>
        <v>405</v>
      </c>
      <c r="K842" s="1">
        <f>Query1[[#This Row],[SF Running Total]]+Query1[[#This Row],[UNIV Running Total]]</f>
        <v>1358</v>
      </c>
      <c r="L842">
        <f>VLOOKUP(Query1[[#This Row],[Description]],'kits to boards'!$B$2:$E$156,2,FALSE)</f>
        <v>830105</v>
      </c>
      <c r="M842">
        <f>VLOOKUP(Query1[[#This Row],[Description]],'kits to boards'!$B$2:$E$156,3,FALSE)</f>
        <v>830106</v>
      </c>
      <c r="N842">
        <f>VLOOKUP(Query1[[#This Row],[Description]],'kits to boards'!$B$2:$E$156,4,FALSE)</f>
        <v>0</v>
      </c>
      <c r="O842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843" spans="1:15" x14ac:dyDescent="0.25">
      <c r="A843" s="1">
        <v>910881</v>
      </c>
      <c r="B843" s="1" t="s">
        <v>24</v>
      </c>
      <c r="C843" s="1" t="s">
        <v>25</v>
      </c>
      <c r="D843" s="2">
        <v>44608.356763043979</v>
      </c>
      <c r="E843" s="1" t="s">
        <v>11</v>
      </c>
      <c r="F843" s="1">
        <v>1</v>
      </c>
      <c r="G843" s="1">
        <v>0</v>
      </c>
      <c r="H843" s="6">
        <f>INT(Query1[[#This Row],[EntryDateTime]])</f>
        <v>44608</v>
      </c>
      <c r="I843" s="1">
        <f>IF(Query1[[#This Row],[ItemType]]="EVAP KIT SF GEN IV",Query1[[#This Row],[OrderQty]]+I842,I842)</f>
        <v>953</v>
      </c>
      <c r="J843" s="1">
        <f>IF(Query1[[#This Row],[ItemType]]="EVAP KIT UNIVERSAL",Query1[[#This Row],[OrderQty]]+J842,J842)</f>
        <v>406</v>
      </c>
      <c r="K843" s="1">
        <f>Query1[[#This Row],[SF Running Total]]+Query1[[#This Row],[UNIV Running Total]]</f>
        <v>1359</v>
      </c>
      <c r="L843">
        <f>VLOOKUP(Query1[[#This Row],[Description]],'kits to boards'!$B$2:$E$156,2,FALSE)</f>
        <v>830029</v>
      </c>
      <c r="M843">
        <f>VLOOKUP(Query1[[#This Row],[Description]],'kits to boards'!$B$2:$E$156,3,FALSE)</f>
        <v>830030</v>
      </c>
      <c r="N843">
        <f>VLOOKUP(Query1[[#This Row],[Description]],'kits to boards'!$B$2:$E$156,4,FALSE)</f>
        <v>0</v>
      </c>
      <c r="O843" t="str">
        <f>CONCATENATE(Query1[[#This Row],[Description]]," - ",Query1[[#This Row],[MB1]]," - ",Query1[[#This Row],[MB2]]," - ",Query1[[#This Row],[MB3]])</f>
        <v>ComPac GEN II W/DEF - 830029 - 830030 - 0</v>
      </c>
    </row>
    <row r="844" spans="1:15" x14ac:dyDescent="0.25">
      <c r="A844" s="1">
        <v>911156</v>
      </c>
      <c r="B844" s="1" t="s">
        <v>124</v>
      </c>
      <c r="C844" s="1" t="s">
        <v>125</v>
      </c>
      <c r="D844" s="2">
        <v>44608.35778298611</v>
      </c>
      <c r="E844" s="1" t="s">
        <v>8</v>
      </c>
      <c r="F844" s="1">
        <v>1</v>
      </c>
      <c r="G844" s="1">
        <v>0</v>
      </c>
      <c r="H844" s="6">
        <f>INT(Query1[[#This Row],[EntryDateTime]])</f>
        <v>44608</v>
      </c>
      <c r="I844" s="1">
        <f>IF(Query1[[#This Row],[ItemType]]="EVAP KIT SF GEN IV",Query1[[#This Row],[OrderQty]]+I843,I843)</f>
        <v>954</v>
      </c>
      <c r="J844" s="1">
        <f>IF(Query1[[#This Row],[ItemType]]="EVAP KIT UNIVERSAL",Query1[[#This Row],[OrderQty]]+J843,J843)</f>
        <v>406</v>
      </c>
      <c r="K844" s="1">
        <f>Query1[[#This Row],[SF Running Total]]+Query1[[#This Row],[UNIV Running Total]]</f>
        <v>1360</v>
      </c>
      <c r="L844">
        <f>VLOOKUP(Query1[[#This Row],[Description]],'kits to boards'!$B$2:$E$156,2,FALSE)</f>
        <v>830002</v>
      </c>
      <c r="M844">
        <f>VLOOKUP(Query1[[#This Row],[Description]],'kits to boards'!$B$2:$E$156,3,FALSE)</f>
        <v>0</v>
      </c>
      <c r="N844">
        <f>VLOOKUP(Query1[[#This Row],[Description]],'kits to boards'!$B$2:$E$156,4,FALSE)</f>
        <v>0</v>
      </c>
      <c r="O844" t="str">
        <f>CONCATENATE(Query1[[#This Row],[Description]]," - ",Query1[[#This Row],[MB1]]," - ",Query1[[#This Row],[MB2]]," - ",Query1[[#This Row],[MB3]])</f>
        <v>EVAP KIT 73-80 CHEV P-UP WO AC - 830002 - 0 - 0</v>
      </c>
    </row>
    <row r="845" spans="1:15" x14ac:dyDescent="0.25">
      <c r="A845" s="1">
        <v>911157</v>
      </c>
      <c r="B845" s="1" t="s">
        <v>24</v>
      </c>
      <c r="C845" s="1" t="s">
        <v>25</v>
      </c>
      <c r="D845" s="2">
        <v>44608.358045486108</v>
      </c>
      <c r="E845" s="1" t="s">
        <v>11</v>
      </c>
      <c r="F845" s="1">
        <v>1</v>
      </c>
      <c r="G845" s="1">
        <v>0</v>
      </c>
      <c r="H845" s="6">
        <f>INT(Query1[[#This Row],[EntryDateTime]])</f>
        <v>44608</v>
      </c>
      <c r="I845" s="1">
        <f>IF(Query1[[#This Row],[ItemType]]="EVAP KIT SF GEN IV",Query1[[#This Row],[OrderQty]]+I844,I844)</f>
        <v>954</v>
      </c>
      <c r="J845" s="1">
        <f>IF(Query1[[#This Row],[ItemType]]="EVAP KIT UNIVERSAL",Query1[[#This Row],[OrderQty]]+J844,J844)</f>
        <v>407</v>
      </c>
      <c r="K845" s="1">
        <f>Query1[[#This Row],[SF Running Total]]+Query1[[#This Row],[UNIV Running Total]]</f>
        <v>1361</v>
      </c>
      <c r="L845">
        <f>VLOOKUP(Query1[[#This Row],[Description]],'kits to boards'!$B$2:$E$156,2,FALSE)</f>
        <v>830029</v>
      </c>
      <c r="M845">
        <f>VLOOKUP(Query1[[#This Row],[Description]],'kits to boards'!$B$2:$E$156,3,FALSE)</f>
        <v>830030</v>
      </c>
      <c r="N845">
        <f>VLOOKUP(Query1[[#This Row],[Description]],'kits to boards'!$B$2:$E$156,4,FALSE)</f>
        <v>0</v>
      </c>
      <c r="O845" t="str">
        <f>CONCATENATE(Query1[[#This Row],[Description]]," - ",Query1[[#This Row],[MB1]]," - ",Query1[[#This Row],[MB2]]," - ",Query1[[#This Row],[MB3]])</f>
        <v>ComPac GEN II W/DEF - 830029 - 830030 - 0</v>
      </c>
    </row>
    <row r="846" spans="1:15" x14ac:dyDescent="0.25">
      <c r="A846" s="1">
        <v>910989</v>
      </c>
      <c r="B846" s="1" t="s">
        <v>74</v>
      </c>
      <c r="C846" s="1" t="s">
        <v>75</v>
      </c>
      <c r="D846" s="2">
        <v>44608.385447222223</v>
      </c>
      <c r="E846" s="1" t="s">
        <v>8</v>
      </c>
      <c r="F846" s="1">
        <v>1</v>
      </c>
      <c r="G846" s="1">
        <v>0</v>
      </c>
      <c r="H846" s="6">
        <f>INT(Query1[[#This Row],[EntryDateTime]])</f>
        <v>44608</v>
      </c>
      <c r="I846" s="1">
        <f>IF(Query1[[#This Row],[ItemType]]="EVAP KIT SF GEN IV",Query1[[#This Row],[OrderQty]]+I845,I845)</f>
        <v>955</v>
      </c>
      <c r="J846" s="1">
        <f>IF(Query1[[#This Row],[ItemType]]="EVAP KIT UNIVERSAL",Query1[[#This Row],[OrderQty]]+J845,J845)</f>
        <v>407</v>
      </c>
      <c r="K846" s="1">
        <f>Query1[[#This Row],[SF Running Total]]+Query1[[#This Row],[UNIV Running Total]]</f>
        <v>1362</v>
      </c>
      <c r="L846">
        <f>VLOOKUP(Query1[[#This Row],[Description]],'kits to boards'!$B$2:$E$156,2,FALSE)</f>
        <v>830065</v>
      </c>
      <c r="M846">
        <f>VLOOKUP(Query1[[#This Row],[Description]],'kits to boards'!$B$2:$E$156,3,FALSE)</f>
        <v>0</v>
      </c>
      <c r="N846">
        <f>VLOOKUP(Query1[[#This Row],[Description]],'kits to boards'!$B$2:$E$156,4,FALSE)</f>
        <v>0</v>
      </c>
      <c r="O846" t="str">
        <f>CONCATENATE(Query1[[#This Row],[Description]]," - ",Query1[[#This Row],[MB1]]," - ",Query1[[#This Row],[MB2]]," - ",Query1[[#This Row],[MB3]])</f>
        <v>EVAP KIT 57 CHEV WO AC 4-VENT PLENUM - 830065 - 0 - 0</v>
      </c>
    </row>
    <row r="847" spans="1:15" x14ac:dyDescent="0.25">
      <c r="A847" s="1">
        <v>911174</v>
      </c>
      <c r="B847" s="1" t="s">
        <v>132</v>
      </c>
      <c r="C847" s="1" t="s">
        <v>133</v>
      </c>
      <c r="D847" s="2">
        <v>44608.407014895834</v>
      </c>
      <c r="E847" s="1" t="s">
        <v>8</v>
      </c>
      <c r="F847" s="1">
        <v>1</v>
      </c>
      <c r="G847" s="1">
        <v>0</v>
      </c>
      <c r="H847" s="6">
        <f>INT(Query1[[#This Row],[EntryDateTime]])</f>
        <v>44608</v>
      </c>
      <c r="I847" s="1">
        <f>IF(Query1[[#This Row],[ItemType]]="EVAP KIT SF GEN IV",Query1[[#This Row],[OrderQty]]+I846,I846)</f>
        <v>956</v>
      </c>
      <c r="J847" s="1">
        <f>IF(Query1[[#This Row],[ItemType]]="EVAP KIT UNIVERSAL",Query1[[#This Row],[OrderQty]]+J846,J846)</f>
        <v>407</v>
      </c>
      <c r="K847" s="1">
        <f>Query1[[#This Row],[SF Running Total]]+Query1[[#This Row],[UNIV Running Total]]</f>
        <v>1363</v>
      </c>
      <c r="L847">
        <f>VLOOKUP(Query1[[#This Row],[Description]],'kits to boards'!$B$2:$E$156,2,FALSE)</f>
        <v>830005</v>
      </c>
      <c r="M847">
        <f>VLOOKUP(Query1[[#This Row],[Description]],'kits to boards'!$B$2:$E$156,3,FALSE)</f>
        <v>0</v>
      </c>
      <c r="N847">
        <f>VLOOKUP(Query1[[#This Row],[Description]],'kits to boards'!$B$2:$E$156,4,FALSE)</f>
        <v>0</v>
      </c>
      <c r="O847" t="str">
        <f>CONCATENATE(Query1[[#This Row],[Description]]," - ",Query1[[#This Row],[MB1]]," - ",Query1[[#This Row],[MB2]]," - ",Query1[[#This Row],[MB3]])</f>
        <v>EVAP KIT 61-62 IMPALA WO AC - 830005 - 0 - 0</v>
      </c>
    </row>
    <row r="848" spans="1:15" x14ac:dyDescent="0.25">
      <c r="A848" s="1">
        <v>911183</v>
      </c>
      <c r="B848" s="1" t="s">
        <v>98</v>
      </c>
      <c r="C848" s="1" t="s">
        <v>99</v>
      </c>
      <c r="D848" s="2">
        <v>44608.429119594904</v>
      </c>
      <c r="E848" s="1" t="s">
        <v>11</v>
      </c>
      <c r="F848" s="1">
        <v>1</v>
      </c>
      <c r="G848" s="1">
        <v>0</v>
      </c>
      <c r="H848" s="6">
        <f>INT(Query1[[#This Row],[EntryDateTime]])</f>
        <v>44608</v>
      </c>
      <c r="I848" s="1">
        <f>IF(Query1[[#This Row],[ItemType]]="EVAP KIT SF GEN IV",Query1[[#This Row],[OrderQty]]+I847,I847)</f>
        <v>956</v>
      </c>
      <c r="J848" s="1">
        <f>IF(Query1[[#This Row],[ItemType]]="EVAP KIT UNIVERSAL",Query1[[#This Row],[OrderQty]]+J847,J847)</f>
        <v>408</v>
      </c>
      <c r="K848" s="1">
        <f>Query1[[#This Row],[SF Running Total]]+Query1[[#This Row],[UNIV Running Total]]</f>
        <v>1364</v>
      </c>
      <c r="L848">
        <f>VLOOKUP(Query1[[#This Row],[Description]],'kits to boards'!$B$2:$E$156,2,FALSE)</f>
        <v>830099</v>
      </c>
      <c r="M848">
        <f>VLOOKUP(Query1[[#This Row],[Description]],'kits to boards'!$B$2:$E$156,3,FALSE)</f>
        <v>0</v>
      </c>
      <c r="N848">
        <f>VLOOKUP(Query1[[#This Row],[Description]],'kits to boards'!$B$2:$E$156,4,FALSE)</f>
        <v>0</v>
      </c>
      <c r="O848" t="str">
        <f>CONCATENATE(Query1[[#This Row],[Description]]," - ",Query1[[#This Row],[MB1]]," - ",Query1[[#This Row],[MB2]]," - ",Query1[[#This Row],[MB3]])</f>
        <v>MINI GEN II W/DEF - 830099 - 0 - 0</v>
      </c>
    </row>
    <row r="849" spans="1:15" x14ac:dyDescent="0.25">
      <c r="A849" s="1">
        <v>911185</v>
      </c>
      <c r="B849" s="1" t="s">
        <v>216</v>
      </c>
      <c r="C849" s="1" t="s">
        <v>217</v>
      </c>
      <c r="D849" s="2">
        <v>44608.433811226852</v>
      </c>
      <c r="E849" s="1" t="s">
        <v>8</v>
      </c>
      <c r="F849" s="1">
        <v>1</v>
      </c>
      <c r="G849" s="1">
        <v>0</v>
      </c>
      <c r="H849" s="6">
        <f>INT(Query1[[#This Row],[EntryDateTime]])</f>
        <v>44608</v>
      </c>
      <c r="I849" s="1">
        <f>IF(Query1[[#This Row],[ItemType]]="EVAP KIT SF GEN IV",Query1[[#This Row],[OrderQty]]+I848,I848)</f>
        <v>957</v>
      </c>
      <c r="J849" s="1">
        <f>IF(Query1[[#This Row],[ItemType]]="EVAP KIT UNIVERSAL",Query1[[#This Row],[OrderQty]]+J848,J848)</f>
        <v>408</v>
      </c>
      <c r="K849" s="1">
        <f>Query1[[#This Row],[SF Running Total]]+Query1[[#This Row],[UNIV Running Total]]</f>
        <v>1365</v>
      </c>
      <c r="L849">
        <f>VLOOKUP(Query1[[#This Row],[Description]],'kits to boards'!$B$2:$E$156,2,FALSE)</f>
        <v>830072</v>
      </c>
      <c r="M849">
        <f>VLOOKUP(Query1[[#This Row],[Description]],'kits to boards'!$B$2:$E$156,3,FALSE)</f>
        <v>830075</v>
      </c>
      <c r="N849">
        <f>VLOOKUP(Query1[[#This Row],[Description]],'kits to boards'!$B$2:$E$156,4,FALSE)</f>
        <v>0</v>
      </c>
      <c r="O849" t="str">
        <f>CONCATENATE(Query1[[#This Row],[Description]]," - ",Query1[[#This Row],[MB1]]," - ",Query1[[#This Row],[MB2]]," - ",Query1[[#This Row],[MB3]])</f>
        <v>EVAP KIT 69-70 MOPAR B BODY W/AC - 830072 - 830075 - 0</v>
      </c>
    </row>
    <row r="850" spans="1:15" x14ac:dyDescent="0.25">
      <c r="A850" s="1">
        <v>911181</v>
      </c>
      <c r="B850" s="1" t="s">
        <v>22</v>
      </c>
      <c r="C850" s="1" t="s">
        <v>23</v>
      </c>
      <c r="D850" s="2">
        <v>44608.442448726855</v>
      </c>
      <c r="E850" s="1" t="s">
        <v>8</v>
      </c>
      <c r="F850" s="1">
        <v>1</v>
      </c>
      <c r="G850" s="1">
        <v>0</v>
      </c>
      <c r="H850" s="6">
        <f>INT(Query1[[#This Row],[EntryDateTime]])</f>
        <v>44608</v>
      </c>
      <c r="I850" s="1">
        <f>IF(Query1[[#This Row],[ItemType]]="EVAP KIT SF GEN IV",Query1[[#This Row],[OrderQty]]+I849,I849)</f>
        <v>958</v>
      </c>
      <c r="J850" s="1">
        <f>IF(Query1[[#This Row],[ItemType]]="EVAP KIT UNIVERSAL",Query1[[#This Row],[OrderQty]]+J849,J849)</f>
        <v>408</v>
      </c>
      <c r="K850" s="1">
        <f>Query1[[#This Row],[SF Running Total]]+Query1[[#This Row],[UNIV Running Total]]</f>
        <v>1366</v>
      </c>
      <c r="L850">
        <f>VLOOKUP(Query1[[#This Row],[Description]],'kits to boards'!$B$2:$E$156,2,FALSE)</f>
        <v>830083</v>
      </c>
      <c r="M850">
        <f>VLOOKUP(Query1[[#This Row],[Description]],'kits to boards'!$B$2:$E$156,3,FALSE)</f>
        <v>0</v>
      </c>
      <c r="N850">
        <f>VLOOKUP(Query1[[#This Row],[Description]],'kits to boards'!$B$2:$E$156,4,FALSE)</f>
        <v>0</v>
      </c>
      <c r="O850" t="str">
        <f>CONCATENATE(Query1[[#This Row],[Description]]," - ",Query1[[#This Row],[MB1]]," - ",Query1[[#This Row],[MB2]]," - ",Query1[[#This Row],[MB3]])</f>
        <v>GEN IV MAGNUM EVAP KIT - 830083 - 0 - 0</v>
      </c>
    </row>
    <row r="851" spans="1:15" x14ac:dyDescent="0.25">
      <c r="A851" s="1">
        <v>911201</v>
      </c>
      <c r="B851" s="1" t="s">
        <v>102</v>
      </c>
      <c r="C851" s="1" t="s">
        <v>103</v>
      </c>
      <c r="D851" s="2">
        <v>44608.464126076389</v>
      </c>
      <c r="E851" s="1" t="s">
        <v>8</v>
      </c>
      <c r="F851" s="1">
        <v>1</v>
      </c>
      <c r="G851" s="1">
        <v>0</v>
      </c>
      <c r="H851" s="6">
        <f>INT(Query1[[#This Row],[EntryDateTime]])</f>
        <v>44608</v>
      </c>
      <c r="I851" s="1">
        <f>IF(Query1[[#This Row],[ItemType]]="EVAP KIT SF GEN IV",Query1[[#This Row],[OrderQty]]+I850,I850)</f>
        <v>959</v>
      </c>
      <c r="J851" s="1">
        <f>IF(Query1[[#This Row],[ItemType]]="EVAP KIT UNIVERSAL",Query1[[#This Row],[OrderQty]]+J850,J850)</f>
        <v>408</v>
      </c>
      <c r="K851" s="1">
        <f>Query1[[#This Row],[SF Running Total]]+Query1[[#This Row],[UNIV Running Total]]</f>
        <v>1367</v>
      </c>
      <c r="L851">
        <f>VLOOKUP(Query1[[#This Row],[Description]],'kits to boards'!$B$2:$E$156,2,FALSE)</f>
        <v>830012</v>
      </c>
      <c r="M851">
        <f>VLOOKUP(Query1[[#This Row],[Description]],'kits to boards'!$B$2:$E$156,3,FALSE)</f>
        <v>0</v>
      </c>
      <c r="N851">
        <f>VLOOKUP(Query1[[#This Row],[Description]],'kits to boards'!$B$2:$E$156,4,FALSE)</f>
        <v>0</v>
      </c>
      <c r="O851" t="str">
        <f>CONCATENATE(Query1[[#This Row],[Description]]," - ",Query1[[#This Row],[MB1]]," - ",Query1[[#This Row],[MB2]]," - ",Query1[[#This Row],[MB3]])</f>
        <v>EVAP KIT 69 CAMARO WO/AC - 830012 - 0 - 0</v>
      </c>
    </row>
    <row r="852" spans="1:15" x14ac:dyDescent="0.25">
      <c r="A852" s="1">
        <v>911210</v>
      </c>
      <c r="B852" s="1" t="s">
        <v>132</v>
      </c>
      <c r="C852" s="1" t="s">
        <v>133</v>
      </c>
      <c r="D852" s="2">
        <v>44608.50889016204</v>
      </c>
      <c r="E852" s="1" t="s">
        <v>8</v>
      </c>
      <c r="F852" s="1">
        <v>1</v>
      </c>
      <c r="G852" s="1">
        <v>0</v>
      </c>
      <c r="H852" s="6">
        <f>INT(Query1[[#This Row],[EntryDateTime]])</f>
        <v>44608</v>
      </c>
      <c r="I852" s="1">
        <f>IF(Query1[[#This Row],[ItemType]]="EVAP KIT SF GEN IV",Query1[[#This Row],[OrderQty]]+I851,I851)</f>
        <v>960</v>
      </c>
      <c r="J852" s="1">
        <f>IF(Query1[[#This Row],[ItemType]]="EVAP KIT UNIVERSAL",Query1[[#This Row],[OrderQty]]+J851,J851)</f>
        <v>408</v>
      </c>
      <c r="K852" s="1">
        <f>Query1[[#This Row],[SF Running Total]]+Query1[[#This Row],[UNIV Running Total]]</f>
        <v>1368</v>
      </c>
      <c r="L852">
        <f>VLOOKUP(Query1[[#This Row],[Description]],'kits to boards'!$B$2:$E$156,2,FALSE)</f>
        <v>830005</v>
      </c>
      <c r="M852">
        <f>VLOOKUP(Query1[[#This Row],[Description]],'kits to boards'!$B$2:$E$156,3,FALSE)</f>
        <v>0</v>
      </c>
      <c r="N852">
        <f>VLOOKUP(Query1[[#This Row],[Description]],'kits to boards'!$B$2:$E$156,4,FALSE)</f>
        <v>0</v>
      </c>
      <c r="O852" t="str">
        <f>CONCATENATE(Query1[[#This Row],[Description]]," - ",Query1[[#This Row],[MB1]]," - ",Query1[[#This Row],[MB2]]," - ",Query1[[#This Row],[MB3]])</f>
        <v>EVAP KIT 61-62 IMPALA WO AC - 830005 - 0 - 0</v>
      </c>
    </row>
    <row r="853" spans="1:15" x14ac:dyDescent="0.25">
      <c r="A853" s="1">
        <v>911217</v>
      </c>
      <c r="B853" s="1" t="s">
        <v>42</v>
      </c>
      <c r="C853" s="1" t="s">
        <v>43</v>
      </c>
      <c r="D853" s="2">
        <v>44608.519496030094</v>
      </c>
      <c r="E853" s="1" t="s">
        <v>8</v>
      </c>
      <c r="F853" s="1">
        <v>1</v>
      </c>
      <c r="G853" s="1">
        <v>0</v>
      </c>
      <c r="H853" s="6">
        <f>INT(Query1[[#This Row],[EntryDateTime]])</f>
        <v>44608</v>
      </c>
      <c r="I853" s="1">
        <f>IF(Query1[[#This Row],[ItemType]]="EVAP KIT SF GEN IV",Query1[[#This Row],[OrderQty]]+I852,I852)</f>
        <v>961</v>
      </c>
      <c r="J853" s="1">
        <f>IF(Query1[[#This Row],[ItemType]]="EVAP KIT UNIVERSAL",Query1[[#This Row],[OrderQty]]+J852,J852)</f>
        <v>408</v>
      </c>
      <c r="K853" s="1">
        <f>Query1[[#This Row],[SF Running Total]]+Query1[[#This Row],[UNIV Running Total]]</f>
        <v>1369</v>
      </c>
      <c r="L853">
        <f>VLOOKUP(Query1[[#This Row],[Description]],'kits to boards'!$B$2:$E$156,2,FALSE)</f>
        <v>830014</v>
      </c>
      <c r="M853">
        <f>VLOOKUP(Query1[[#This Row],[Description]],'kits to boards'!$B$2:$E$156,3,FALSE)</f>
        <v>0</v>
      </c>
      <c r="N853">
        <f>VLOOKUP(Query1[[#This Row],[Description]],'kits to boards'!$B$2:$E$156,4,FALSE)</f>
        <v>0</v>
      </c>
      <c r="O853" t="str">
        <f>CONCATENATE(Query1[[#This Row],[Description]]," - ",Query1[[#This Row],[MB1]]," - ",Query1[[#This Row],[MB2]]," - ",Query1[[#This Row],[MB3]])</f>
        <v>EVAP KIT 67-72 CHEV P-UP WO AC - 830014 - 0 - 0</v>
      </c>
    </row>
    <row r="854" spans="1:15" x14ac:dyDescent="0.25">
      <c r="A854" s="1">
        <v>911218</v>
      </c>
      <c r="B854" s="1" t="s">
        <v>106</v>
      </c>
      <c r="C854" s="1" t="s">
        <v>107</v>
      </c>
      <c r="D854" s="2">
        <v>44608.520344525466</v>
      </c>
      <c r="E854" s="1" t="s">
        <v>8</v>
      </c>
      <c r="F854" s="1">
        <v>1</v>
      </c>
      <c r="G854" s="1">
        <v>0</v>
      </c>
      <c r="H854" s="6">
        <f>INT(Query1[[#This Row],[EntryDateTime]])</f>
        <v>44608</v>
      </c>
      <c r="I854" s="1">
        <f>IF(Query1[[#This Row],[ItemType]]="EVAP KIT SF GEN IV",Query1[[#This Row],[OrderQty]]+I853,I853)</f>
        <v>962</v>
      </c>
      <c r="J854" s="1">
        <f>IF(Query1[[#This Row],[ItemType]]="EVAP KIT UNIVERSAL",Query1[[#This Row],[OrderQty]]+J853,J853)</f>
        <v>408</v>
      </c>
      <c r="K854" s="1">
        <f>Query1[[#This Row],[SF Running Total]]+Query1[[#This Row],[UNIV Running Total]]</f>
        <v>1370</v>
      </c>
      <c r="L854">
        <f>VLOOKUP(Query1[[#This Row],[Description]],'kits to boards'!$B$2:$E$156,2,FALSE)</f>
        <v>830028</v>
      </c>
      <c r="M854">
        <f>VLOOKUP(Query1[[#This Row],[Description]],'kits to boards'!$B$2:$E$156,3,FALSE)</f>
        <v>0</v>
      </c>
      <c r="N854">
        <f>VLOOKUP(Query1[[#This Row],[Description]],'kits to boards'!$B$2:$E$156,4,FALSE)</f>
        <v>0</v>
      </c>
      <c r="O854" t="str">
        <f>CONCATENATE(Query1[[#This Row],[Description]]," - ",Query1[[#This Row],[MB1]]," - ",Query1[[#This Row],[MB2]]," - ",Query1[[#This Row],[MB3]])</f>
        <v>EVAP KIT 55-59 CHEV P-UP WO AC W/DELX - 830028 - 0 - 0</v>
      </c>
    </row>
    <row r="855" spans="1:15" x14ac:dyDescent="0.25">
      <c r="A855" s="1">
        <v>911219</v>
      </c>
      <c r="B855" s="1" t="s">
        <v>42</v>
      </c>
      <c r="C855" s="1" t="s">
        <v>43</v>
      </c>
      <c r="D855" s="2">
        <v>44608.523098379628</v>
      </c>
      <c r="E855" s="1" t="s">
        <v>8</v>
      </c>
      <c r="F855" s="1">
        <v>1</v>
      </c>
      <c r="G855" s="1">
        <v>0</v>
      </c>
      <c r="H855" s="6">
        <f>INT(Query1[[#This Row],[EntryDateTime]])</f>
        <v>44608</v>
      </c>
      <c r="I855" s="1">
        <f>IF(Query1[[#This Row],[ItemType]]="EVAP KIT SF GEN IV",Query1[[#This Row],[OrderQty]]+I854,I854)</f>
        <v>963</v>
      </c>
      <c r="J855" s="1">
        <f>IF(Query1[[#This Row],[ItemType]]="EVAP KIT UNIVERSAL",Query1[[#This Row],[OrderQty]]+J854,J854)</f>
        <v>408</v>
      </c>
      <c r="K855" s="1">
        <f>Query1[[#This Row],[SF Running Total]]+Query1[[#This Row],[UNIV Running Total]]</f>
        <v>1371</v>
      </c>
      <c r="L855">
        <f>VLOOKUP(Query1[[#This Row],[Description]],'kits to boards'!$B$2:$E$156,2,FALSE)</f>
        <v>830014</v>
      </c>
      <c r="M855">
        <f>VLOOKUP(Query1[[#This Row],[Description]],'kits to boards'!$B$2:$E$156,3,FALSE)</f>
        <v>0</v>
      </c>
      <c r="N855">
        <f>VLOOKUP(Query1[[#This Row],[Description]],'kits to boards'!$B$2:$E$156,4,FALSE)</f>
        <v>0</v>
      </c>
      <c r="O855" t="str">
        <f>CONCATENATE(Query1[[#This Row],[Description]]," - ",Query1[[#This Row],[MB1]]," - ",Query1[[#This Row],[MB2]]," - ",Query1[[#This Row],[MB3]])</f>
        <v>EVAP KIT 67-72 CHEV P-UP WO AC - 830014 - 0 - 0</v>
      </c>
    </row>
    <row r="856" spans="1:15" x14ac:dyDescent="0.25">
      <c r="A856" s="1">
        <v>911220</v>
      </c>
      <c r="B856" s="1" t="s">
        <v>60</v>
      </c>
      <c r="C856" s="1" t="s">
        <v>61</v>
      </c>
      <c r="D856" s="2">
        <v>44608.525143055558</v>
      </c>
      <c r="E856" s="1" t="s">
        <v>8</v>
      </c>
      <c r="F856" s="1">
        <v>1</v>
      </c>
      <c r="G856" s="1">
        <v>0</v>
      </c>
      <c r="H856" s="6">
        <f>INT(Query1[[#This Row],[EntryDateTime]])</f>
        <v>44608</v>
      </c>
      <c r="I856" s="1">
        <f>IF(Query1[[#This Row],[ItemType]]="EVAP KIT SF GEN IV",Query1[[#This Row],[OrderQty]]+I855,I855)</f>
        <v>964</v>
      </c>
      <c r="J856" s="1">
        <f>IF(Query1[[#This Row],[ItemType]]="EVAP KIT UNIVERSAL",Query1[[#This Row],[OrderQty]]+J855,J855)</f>
        <v>408</v>
      </c>
      <c r="K856" s="1">
        <f>Query1[[#This Row],[SF Running Total]]+Query1[[#This Row],[UNIV Running Total]]</f>
        <v>1372</v>
      </c>
      <c r="L856">
        <f>VLOOKUP(Query1[[#This Row],[Description]],'kits to boards'!$B$2:$E$156,2,FALSE)</f>
        <v>830062</v>
      </c>
      <c r="M856">
        <f>VLOOKUP(Query1[[#This Row],[Description]],'kits to boards'!$B$2:$E$156,3,FALSE)</f>
        <v>0</v>
      </c>
      <c r="N856">
        <f>VLOOKUP(Query1[[#This Row],[Description]],'kits to boards'!$B$2:$E$156,4,FALSE)</f>
        <v>0</v>
      </c>
      <c r="O856" t="str">
        <f>CONCATENATE(Query1[[#This Row],[Description]]," - ",Query1[[#This Row],[MB1]]," - ",Query1[[#This Row],[MB2]]," - ",Query1[[#This Row],[MB3]])</f>
        <v>EVAP KIT 68-69 CHEVELLE WO AC - 830062 - 0 - 0</v>
      </c>
    </row>
    <row r="857" spans="1:15" x14ac:dyDescent="0.25">
      <c r="A857" s="1">
        <v>911224</v>
      </c>
      <c r="B857" s="1" t="s">
        <v>96</v>
      </c>
      <c r="C857" s="1" t="s">
        <v>97</v>
      </c>
      <c r="D857" s="2">
        <v>44608.530235879633</v>
      </c>
      <c r="E857" s="1" t="s">
        <v>8</v>
      </c>
      <c r="F857" s="1">
        <v>1</v>
      </c>
      <c r="G857" s="1">
        <v>0</v>
      </c>
      <c r="H857" s="6">
        <f>INT(Query1[[#This Row],[EntryDateTime]])</f>
        <v>44608</v>
      </c>
      <c r="I857" s="1">
        <f>IF(Query1[[#This Row],[ItemType]]="EVAP KIT SF GEN IV",Query1[[#This Row],[OrderQty]]+I856,I856)</f>
        <v>965</v>
      </c>
      <c r="J857" s="1">
        <f>IF(Query1[[#This Row],[ItemType]]="EVAP KIT UNIVERSAL",Query1[[#This Row],[OrderQty]]+J856,J856)</f>
        <v>408</v>
      </c>
      <c r="K857" s="1">
        <f>Query1[[#This Row],[SF Running Total]]+Query1[[#This Row],[UNIV Running Total]]</f>
        <v>1373</v>
      </c>
      <c r="L857">
        <f>VLOOKUP(Query1[[#This Row],[Description]],'kits to boards'!$B$2:$E$156,2,FALSE)</f>
        <v>830004</v>
      </c>
      <c r="M857">
        <f>VLOOKUP(Query1[[#This Row],[Description]],'kits to boards'!$B$2:$E$156,3,FALSE)</f>
        <v>0</v>
      </c>
      <c r="N857">
        <f>VLOOKUP(Query1[[#This Row],[Description]],'kits to boards'!$B$2:$E$156,4,FALSE)</f>
        <v>0</v>
      </c>
      <c r="O857" t="str">
        <f>CONCATENATE(Query1[[#This Row],[Description]]," - ",Query1[[#This Row],[MB1]]," - ",Query1[[#This Row],[MB2]]," - ",Query1[[#This Row],[MB3]])</f>
        <v>EVAP KIT 81-87 CHEV P-UP W/AC - 830004 - 0 - 0</v>
      </c>
    </row>
    <row r="858" spans="1:15" x14ac:dyDescent="0.25">
      <c r="A858" s="1">
        <v>911235</v>
      </c>
      <c r="B858" s="1" t="s">
        <v>76</v>
      </c>
      <c r="C858" s="1" t="s">
        <v>77</v>
      </c>
      <c r="D858" s="2">
        <v>44608.556658993053</v>
      </c>
      <c r="E858" s="1" t="s">
        <v>11</v>
      </c>
      <c r="F858" s="1">
        <v>1</v>
      </c>
      <c r="G858" s="1">
        <v>0</v>
      </c>
      <c r="H858" s="6">
        <f>INT(Query1[[#This Row],[EntryDateTime]])</f>
        <v>44608</v>
      </c>
      <c r="I858" s="1">
        <f>IF(Query1[[#This Row],[ItemType]]="EVAP KIT SF GEN IV",Query1[[#This Row],[OrderQty]]+I857,I857)</f>
        <v>965</v>
      </c>
      <c r="J858" s="1">
        <f>IF(Query1[[#This Row],[ItemType]]="EVAP KIT UNIVERSAL",Query1[[#This Row],[OrderQty]]+J857,J857)</f>
        <v>409</v>
      </c>
      <c r="K858" s="1">
        <f>Query1[[#This Row],[SF Running Total]]+Query1[[#This Row],[UNIV Running Total]]</f>
        <v>1374</v>
      </c>
      <c r="L858">
        <f>VLOOKUP(Query1[[#This Row],[Description]],'kits to boards'!$B$2:$E$156,2,FALSE)</f>
        <v>830099</v>
      </c>
      <c r="M858">
        <f>VLOOKUP(Query1[[#This Row],[Description]],'kits to boards'!$B$2:$E$156,3,FALSE)</f>
        <v>0</v>
      </c>
      <c r="N858">
        <f>VLOOKUP(Query1[[#This Row],[Description]],'kits to boards'!$B$2:$E$156,4,FALSE)</f>
        <v>0</v>
      </c>
      <c r="O858" t="str">
        <f>CONCATENATE(Query1[[#This Row],[Description]]," - ",Query1[[#This Row],[MB1]]," - ",Query1[[#This Row],[MB2]]," - ",Query1[[#This Row],[MB3]])</f>
        <v>MINI GEN II H/C - 830099 - 0 - 0</v>
      </c>
    </row>
    <row r="859" spans="1:15" x14ac:dyDescent="0.25">
      <c r="A859" s="1">
        <v>911239</v>
      </c>
      <c r="B859" s="1" t="s">
        <v>128</v>
      </c>
      <c r="C859" s="1" t="s">
        <v>129</v>
      </c>
      <c r="D859" s="2">
        <v>44608.561985682871</v>
      </c>
      <c r="E859" s="1" t="s">
        <v>8</v>
      </c>
      <c r="F859" s="1">
        <v>1</v>
      </c>
      <c r="G859" s="1">
        <v>0</v>
      </c>
      <c r="H859" s="6">
        <f>INT(Query1[[#This Row],[EntryDateTime]])</f>
        <v>44608</v>
      </c>
      <c r="I859" s="1">
        <f>IF(Query1[[#This Row],[ItemType]]="EVAP KIT SF GEN IV",Query1[[#This Row],[OrderQty]]+I858,I858)</f>
        <v>966</v>
      </c>
      <c r="J859" s="1">
        <f>IF(Query1[[#This Row],[ItemType]]="EVAP KIT UNIVERSAL",Query1[[#This Row],[OrderQty]]+J858,J858)</f>
        <v>409</v>
      </c>
      <c r="K859" s="1">
        <f>Query1[[#This Row],[SF Running Total]]+Query1[[#This Row],[UNIV Running Total]]</f>
        <v>1375</v>
      </c>
      <c r="L859">
        <f>VLOOKUP(Query1[[#This Row],[Description]],'kits to boards'!$B$2:$E$156,2,FALSE)</f>
        <v>830036</v>
      </c>
      <c r="M859">
        <f>VLOOKUP(Query1[[#This Row],[Description]],'kits to boards'!$B$2:$E$156,3,FALSE)</f>
        <v>830039</v>
      </c>
      <c r="N859">
        <f>VLOOKUP(Query1[[#This Row],[Description]],'kits to boards'!$B$2:$E$156,4,FALSE)</f>
        <v>0</v>
      </c>
      <c r="O859" t="str">
        <f>CONCATENATE(Query1[[#This Row],[Description]]," - ",Query1[[#This Row],[MB1]]," - ",Query1[[#This Row],[MB2]]," - ",Query1[[#This Row],[MB3]])</f>
        <v>EVAP KIT 63-66 VETTE WO AC - 830036 - 830039 - 0</v>
      </c>
    </row>
    <row r="860" spans="1:15" x14ac:dyDescent="0.25">
      <c r="A860" s="1">
        <v>911241</v>
      </c>
      <c r="B860" s="1" t="s">
        <v>68</v>
      </c>
      <c r="C860" s="1" t="s">
        <v>69</v>
      </c>
      <c r="D860" s="2">
        <v>44608.56394753472</v>
      </c>
      <c r="E860" s="1" t="s">
        <v>8</v>
      </c>
      <c r="F860" s="1">
        <v>1</v>
      </c>
      <c r="G860" s="1">
        <v>0</v>
      </c>
      <c r="H860" s="6">
        <f>INT(Query1[[#This Row],[EntryDateTime]])</f>
        <v>44608</v>
      </c>
      <c r="I860" s="1">
        <f>IF(Query1[[#This Row],[ItemType]]="EVAP KIT SF GEN IV",Query1[[#This Row],[OrderQty]]+I859,I859)</f>
        <v>967</v>
      </c>
      <c r="J860" s="1">
        <f>IF(Query1[[#This Row],[ItemType]]="EVAP KIT UNIVERSAL",Query1[[#This Row],[OrderQty]]+J859,J859)</f>
        <v>409</v>
      </c>
      <c r="K860" s="1">
        <f>Query1[[#This Row],[SF Running Total]]+Query1[[#This Row],[UNIV Running Total]]</f>
        <v>1376</v>
      </c>
      <c r="L860">
        <f>VLOOKUP(Query1[[#This Row],[Description]],'kits to boards'!$B$2:$E$156,2,FALSE)</f>
        <v>830010</v>
      </c>
      <c r="M860">
        <f>VLOOKUP(Query1[[#This Row],[Description]],'kits to boards'!$B$2:$E$156,3,FALSE)</f>
        <v>0</v>
      </c>
      <c r="N860">
        <f>VLOOKUP(Query1[[#This Row],[Description]],'kits to boards'!$B$2:$E$156,4,FALSE)</f>
        <v>0</v>
      </c>
      <c r="O860" t="str">
        <f>CONCATENATE(Query1[[#This Row],[Description]]," - ",Query1[[#This Row],[MB1]]," - ",Query1[[#This Row],[MB2]]," - ",Query1[[#This Row],[MB3]])</f>
        <v>EVAP KIT 70-72 CHEVELLE WO AC - 830010 - 0 - 0</v>
      </c>
    </row>
    <row r="861" spans="1:15" x14ac:dyDescent="0.25">
      <c r="A861" s="1">
        <v>911184</v>
      </c>
      <c r="B861" s="1" t="s">
        <v>60</v>
      </c>
      <c r="C861" s="1" t="s">
        <v>61</v>
      </c>
      <c r="D861" s="2">
        <v>44608.569935763888</v>
      </c>
      <c r="E861" s="1" t="s">
        <v>8</v>
      </c>
      <c r="F861" s="1">
        <v>1</v>
      </c>
      <c r="G861" s="1">
        <v>0</v>
      </c>
      <c r="H861" s="6">
        <f>INT(Query1[[#This Row],[EntryDateTime]])</f>
        <v>44608</v>
      </c>
      <c r="I861" s="1">
        <f>IF(Query1[[#This Row],[ItemType]]="EVAP KIT SF GEN IV",Query1[[#This Row],[OrderQty]]+I860,I860)</f>
        <v>968</v>
      </c>
      <c r="J861" s="1">
        <f>IF(Query1[[#This Row],[ItemType]]="EVAP KIT UNIVERSAL",Query1[[#This Row],[OrderQty]]+J860,J860)</f>
        <v>409</v>
      </c>
      <c r="K861" s="1">
        <f>Query1[[#This Row],[SF Running Total]]+Query1[[#This Row],[UNIV Running Total]]</f>
        <v>1377</v>
      </c>
      <c r="L861">
        <f>VLOOKUP(Query1[[#This Row],[Description]],'kits to boards'!$B$2:$E$156,2,FALSE)</f>
        <v>830062</v>
      </c>
      <c r="M861">
        <f>VLOOKUP(Query1[[#This Row],[Description]],'kits to boards'!$B$2:$E$156,3,FALSE)</f>
        <v>0</v>
      </c>
      <c r="N861">
        <f>VLOOKUP(Query1[[#This Row],[Description]],'kits to boards'!$B$2:$E$156,4,FALSE)</f>
        <v>0</v>
      </c>
      <c r="O861" t="str">
        <f>CONCATENATE(Query1[[#This Row],[Description]]," - ",Query1[[#This Row],[MB1]]," - ",Query1[[#This Row],[MB2]]," - ",Query1[[#This Row],[MB3]])</f>
        <v>EVAP KIT 68-69 CHEVELLE WO AC - 830062 - 0 - 0</v>
      </c>
    </row>
    <row r="862" spans="1:15" x14ac:dyDescent="0.25">
      <c r="A862" s="1">
        <v>911242</v>
      </c>
      <c r="B862" s="1" t="s">
        <v>74</v>
      </c>
      <c r="C862" s="1" t="s">
        <v>75</v>
      </c>
      <c r="D862" s="2">
        <v>44608.575864895836</v>
      </c>
      <c r="E862" s="1" t="s">
        <v>8</v>
      </c>
      <c r="F862" s="1">
        <v>3</v>
      </c>
      <c r="G862" s="1">
        <v>0</v>
      </c>
      <c r="H862" s="6">
        <f>INT(Query1[[#This Row],[EntryDateTime]])</f>
        <v>44608</v>
      </c>
      <c r="I862" s="1">
        <f>IF(Query1[[#This Row],[ItemType]]="EVAP KIT SF GEN IV",Query1[[#This Row],[OrderQty]]+I861,I861)</f>
        <v>971</v>
      </c>
      <c r="J862" s="1">
        <f>IF(Query1[[#This Row],[ItemType]]="EVAP KIT UNIVERSAL",Query1[[#This Row],[OrderQty]]+J861,J861)</f>
        <v>409</v>
      </c>
      <c r="K862" s="1">
        <f>Query1[[#This Row],[SF Running Total]]+Query1[[#This Row],[UNIV Running Total]]</f>
        <v>1380</v>
      </c>
      <c r="L862">
        <f>VLOOKUP(Query1[[#This Row],[Description]],'kits to boards'!$B$2:$E$156,2,FALSE)</f>
        <v>830065</v>
      </c>
      <c r="M862">
        <f>VLOOKUP(Query1[[#This Row],[Description]],'kits to boards'!$B$2:$E$156,3,FALSE)</f>
        <v>0</v>
      </c>
      <c r="N862">
        <f>VLOOKUP(Query1[[#This Row],[Description]],'kits to boards'!$B$2:$E$156,4,FALSE)</f>
        <v>0</v>
      </c>
      <c r="O862" t="str">
        <f>CONCATENATE(Query1[[#This Row],[Description]]," - ",Query1[[#This Row],[MB1]]," - ",Query1[[#This Row],[MB2]]," - ",Query1[[#This Row],[MB3]])</f>
        <v>EVAP KIT 57 CHEV WO AC 4-VENT PLENUM - 830065 - 0 - 0</v>
      </c>
    </row>
    <row r="863" spans="1:15" x14ac:dyDescent="0.25">
      <c r="A863" s="1">
        <v>911242</v>
      </c>
      <c r="B863" s="1" t="s">
        <v>190</v>
      </c>
      <c r="C863" s="1" t="s">
        <v>191</v>
      </c>
      <c r="D863" s="2">
        <v>44608.575864895836</v>
      </c>
      <c r="E863" s="1" t="s">
        <v>8</v>
      </c>
      <c r="F863" s="1">
        <v>1</v>
      </c>
      <c r="G863" s="1">
        <v>0</v>
      </c>
      <c r="H863" s="6">
        <f>INT(Query1[[#This Row],[EntryDateTime]])</f>
        <v>44608</v>
      </c>
      <c r="I863" s="1">
        <f>IF(Query1[[#This Row],[ItemType]]="EVAP KIT SF GEN IV",Query1[[#This Row],[OrderQty]]+I862,I862)</f>
        <v>972</v>
      </c>
      <c r="J863" s="1">
        <f>IF(Query1[[#This Row],[ItemType]]="EVAP KIT UNIVERSAL",Query1[[#This Row],[OrderQty]]+J862,J862)</f>
        <v>409</v>
      </c>
      <c r="K863" s="1">
        <f>Query1[[#This Row],[SF Running Total]]+Query1[[#This Row],[UNIV Running Total]]</f>
        <v>1381</v>
      </c>
      <c r="L863">
        <f>VLOOKUP(Query1[[#This Row],[Description]],'kits to boards'!$B$2:$E$156,2,FALSE)</f>
        <v>830008</v>
      </c>
      <c r="M863">
        <f>VLOOKUP(Query1[[#This Row],[Description]],'kits to boards'!$B$2:$E$156,3,FALSE)</f>
        <v>0</v>
      </c>
      <c r="N863">
        <f>VLOOKUP(Query1[[#This Row],[Description]],'kits to boards'!$B$2:$E$156,4,FALSE)</f>
        <v>0</v>
      </c>
      <c r="O863" t="str">
        <f>CONCATENATE(Query1[[#This Row],[Description]]," - ",Query1[[#This Row],[MB1]]," - ",Query1[[#This Row],[MB2]]," - ",Query1[[#This Row],[MB3]])</f>
        <v>EVAP KIT 63 IMPALA WO AC - 830008 - 0 - 0</v>
      </c>
    </row>
    <row r="864" spans="1:15" x14ac:dyDescent="0.25">
      <c r="A864" s="1">
        <v>911242</v>
      </c>
      <c r="B864" s="1" t="s">
        <v>132</v>
      </c>
      <c r="C864" s="1" t="s">
        <v>133</v>
      </c>
      <c r="D864" s="2">
        <v>44608.575864895836</v>
      </c>
      <c r="E864" s="1" t="s">
        <v>8</v>
      </c>
      <c r="F864" s="1">
        <v>1</v>
      </c>
      <c r="G864" s="1">
        <v>0</v>
      </c>
      <c r="H864" s="6">
        <f>INT(Query1[[#This Row],[EntryDateTime]])</f>
        <v>44608</v>
      </c>
      <c r="I864" s="1">
        <f>IF(Query1[[#This Row],[ItemType]]="EVAP KIT SF GEN IV",Query1[[#This Row],[OrderQty]]+I863,I863)</f>
        <v>973</v>
      </c>
      <c r="J864" s="1">
        <f>IF(Query1[[#This Row],[ItemType]]="EVAP KIT UNIVERSAL",Query1[[#This Row],[OrderQty]]+J863,J863)</f>
        <v>409</v>
      </c>
      <c r="K864" s="1">
        <f>Query1[[#This Row],[SF Running Total]]+Query1[[#This Row],[UNIV Running Total]]</f>
        <v>1382</v>
      </c>
      <c r="L864">
        <f>VLOOKUP(Query1[[#This Row],[Description]],'kits to boards'!$B$2:$E$156,2,FALSE)</f>
        <v>830005</v>
      </c>
      <c r="M864">
        <f>VLOOKUP(Query1[[#This Row],[Description]],'kits to boards'!$B$2:$E$156,3,FALSE)</f>
        <v>0</v>
      </c>
      <c r="N864">
        <f>VLOOKUP(Query1[[#This Row],[Description]],'kits to boards'!$B$2:$E$156,4,FALSE)</f>
        <v>0</v>
      </c>
      <c r="O864" t="str">
        <f>CONCATENATE(Query1[[#This Row],[Description]]," - ",Query1[[#This Row],[MB1]]," - ",Query1[[#This Row],[MB2]]," - ",Query1[[#This Row],[MB3]])</f>
        <v>EVAP KIT 61-62 IMPALA WO AC - 830005 - 0 - 0</v>
      </c>
    </row>
    <row r="865" spans="1:15" x14ac:dyDescent="0.25">
      <c r="A865" s="1">
        <v>911242</v>
      </c>
      <c r="B865" s="1" t="s">
        <v>64</v>
      </c>
      <c r="C865" s="1" t="s">
        <v>65</v>
      </c>
      <c r="D865" s="2">
        <v>44608.575864895836</v>
      </c>
      <c r="E865" s="1" t="s">
        <v>8</v>
      </c>
      <c r="F865" s="1">
        <v>1</v>
      </c>
      <c r="G865" s="1">
        <v>0</v>
      </c>
      <c r="H865" s="6">
        <f>INT(Query1[[#This Row],[EntryDateTime]])</f>
        <v>44608</v>
      </c>
      <c r="I865" s="1">
        <f>IF(Query1[[#This Row],[ItemType]]="EVAP KIT SF GEN IV",Query1[[#This Row],[OrderQty]]+I864,I864)</f>
        <v>974</v>
      </c>
      <c r="J865" s="1">
        <f>IF(Query1[[#This Row],[ItemType]]="EVAP KIT UNIVERSAL",Query1[[#This Row],[OrderQty]]+J864,J864)</f>
        <v>409</v>
      </c>
      <c r="K865" s="1">
        <f>Query1[[#This Row],[SF Running Total]]+Query1[[#This Row],[UNIV Running Total]]</f>
        <v>1383</v>
      </c>
      <c r="L865">
        <f>VLOOKUP(Query1[[#This Row],[Description]],'kits to boards'!$B$2:$E$156,2,FALSE)</f>
        <v>830067</v>
      </c>
      <c r="M865">
        <f>VLOOKUP(Query1[[#This Row],[Description]],'kits to boards'!$B$2:$E$156,3,FALSE)</f>
        <v>0</v>
      </c>
      <c r="N865">
        <f>VLOOKUP(Query1[[#This Row],[Description]],'kits to boards'!$B$2:$E$156,4,FALSE)</f>
        <v>0</v>
      </c>
      <c r="O865" t="str">
        <f>CONCATENATE(Query1[[#This Row],[Description]]," - ",Query1[[#This Row],[MB1]]," - ",Query1[[#This Row],[MB2]]," - ",Query1[[#This Row],[MB3]])</f>
        <v>EVAP KIT 59-60 CHEV CAR 4-LEVER - 830067 - 0 - 0</v>
      </c>
    </row>
    <row r="866" spans="1:15" x14ac:dyDescent="0.25">
      <c r="A866" s="1">
        <v>911242</v>
      </c>
      <c r="B866" s="1" t="s">
        <v>30</v>
      </c>
      <c r="C866" s="1" t="s">
        <v>31</v>
      </c>
      <c r="D866" s="2">
        <v>44608.575864895836</v>
      </c>
      <c r="E866" s="1" t="s">
        <v>8</v>
      </c>
      <c r="F866" s="1">
        <v>1</v>
      </c>
      <c r="G866" s="1">
        <v>0</v>
      </c>
      <c r="H866" s="6">
        <f>INT(Query1[[#This Row],[EntryDateTime]])</f>
        <v>44608</v>
      </c>
      <c r="I866" s="1">
        <f>IF(Query1[[#This Row],[ItemType]]="EVAP KIT SF GEN IV",Query1[[#This Row],[OrderQty]]+I865,I865)</f>
        <v>975</v>
      </c>
      <c r="J866" s="1">
        <f>IF(Query1[[#This Row],[ItemType]]="EVAP KIT UNIVERSAL",Query1[[#This Row],[OrderQty]]+J865,J865)</f>
        <v>409</v>
      </c>
      <c r="K866" s="1">
        <f>Query1[[#This Row],[SF Running Total]]+Query1[[#This Row],[UNIV Running Total]]</f>
        <v>1384</v>
      </c>
      <c r="L866">
        <f>VLOOKUP(Query1[[#This Row],[Description]],'kits to boards'!$B$2:$E$156,2,FALSE)</f>
        <v>830054</v>
      </c>
      <c r="M866">
        <f>VLOOKUP(Query1[[#This Row],[Description]],'kits to boards'!$B$2:$E$156,3,FALSE)</f>
        <v>0</v>
      </c>
      <c r="N866">
        <f>VLOOKUP(Query1[[#This Row],[Description]],'kits to boards'!$B$2:$E$156,4,FALSE)</f>
        <v>0</v>
      </c>
      <c r="O866" t="str">
        <f>CONCATENATE(Query1[[#This Row],[Description]]," - ",Query1[[#This Row],[MB1]]," - ",Query1[[#This Row],[MB2]]," - ",Query1[[#This Row],[MB3]])</f>
        <v>EVAP KIT 55-56 CHEVY 4-VENT - 830054 - 0 - 0</v>
      </c>
    </row>
    <row r="867" spans="1:15" x14ac:dyDescent="0.25">
      <c r="A867" s="1">
        <v>911248</v>
      </c>
      <c r="B867" s="1" t="s">
        <v>38</v>
      </c>
      <c r="C867" s="1" t="s">
        <v>39</v>
      </c>
      <c r="D867" s="2">
        <v>44608.584232488429</v>
      </c>
      <c r="E867" s="1" t="s">
        <v>8</v>
      </c>
      <c r="F867" s="1">
        <v>1</v>
      </c>
      <c r="G867" s="1">
        <v>0</v>
      </c>
      <c r="H867" s="6">
        <f>INT(Query1[[#This Row],[EntryDateTime]])</f>
        <v>44608</v>
      </c>
      <c r="I867" s="1">
        <f>IF(Query1[[#This Row],[ItemType]]="EVAP KIT SF GEN IV",Query1[[#This Row],[OrderQty]]+I866,I866)</f>
        <v>976</v>
      </c>
      <c r="J867" s="1">
        <f>IF(Query1[[#This Row],[ItemType]]="EVAP KIT UNIVERSAL",Query1[[#This Row],[OrderQty]]+J866,J866)</f>
        <v>409</v>
      </c>
      <c r="K867" s="1">
        <f>Query1[[#This Row],[SF Running Total]]+Query1[[#This Row],[UNIV Running Total]]</f>
        <v>1385</v>
      </c>
      <c r="L867">
        <f>VLOOKUP(Query1[[#This Row],[Description]],'kits to boards'!$B$2:$E$156,2,FALSE)</f>
        <v>830012</v>
      </c>
      <c r="M867">
        <f>VLOOKUP(Query1[[#This Row],[Description]],'kits to boards'!$B$2:$E$156,3,FALSE)</f>
        <v>0</v>
      </c>
      <c r="N867">
        <f>VLOOKUP(Query1[[#This Row],[Description]],'kits to boards'!$B$2:$E$156,4,FALSE)</f>
        <v>0</v>
      </c>
      <c r="O867" t="str">
        <f>CONCATENATE(Query1[[#This Row],[Description]]," - ",Query1[[#This Row],[MB1]]," - ",Query1[[#This Row],[MB2]]," - ",Query1[[#This Row],[MB3]])</f>
        <v>EVAP KIT 69 CAMARO W/AC - 830012 - 0 - 0</v>
      </c>
    </row>
    <row r="868" spans="1:15" x14ac:dyDescent="0.25">
      <c r="A868" s="1">
        <v>911252</v>
      </c>
      <c r="B868" s="1" t="s">
        <v>68</v>
      </c>
      <c r="C868" s="1" t="s">
        <v>69</v>
      </c>
      <c r="D868" s="2">
        <v>44608.589350613423</v>
      </c>
      <c r="E868" s="1" t="s">
        <v>8</v>
      </c>
      <c r="F868" s="1">
        <v>1</v>
      </c>
      <c r="G868" s="1">
        <v>0</v>
      </c>
      <c r="H868" s="6">
        <f>INT(Query1[[#This Row],[EntryDateTime]])</f>
        <v>44608</v>
      </c>
      <c r="I868" s="1">
        <f>IF(Query1[[#This Row],[ItemType]]="EVAP KIT SF GEN IV",Query1[[#This Row],[OrderQty]]+I867,I867)</f>
        <v>977</v>
      </c>
      <c r="J868" s="1">
        <f>IF(Query1[[#This Row],[ItemType]]="EVAP KIT UNIVERSAL",Query1[[#This Row],[OrderQty]]+J867,J867)</f>
        <v>409</v>
      </c>
      <c r="K868" s="1">
        <f>Query1[[#This Row],[SF Running Total]]+Query1[[#This Row],[UNIV Running Total]]</f>
        <v>1386</v>
      </c>
      <c r="L868">
        <f>VLOOKUP(Query1[[#This Row],[Description]],'kits to boards'!$B$2:$E$156,2,FALSE)</f>
        <v>830010</v>
      </c>
      <c r="M868">
        <f>VLOOKUP(Query1[[#This Row],[Description]],'kits to boards'!$B$2:$E$156,3,FALSE)</f>
        <v>0</v>
      </c>
      <c r="N868">
        <f>VLOOKUP(Query1[[#This Row],[Description]],'kits to boards'!$B$2:$E$156,4,FALSE)</f>
        <v>0</v>
      </c>
      <c r="O868" t="str">
        <f>CONCATENATE(Query1[[#This Row],[Description]]," - ",Query1[[#This Row],[MB1]]," - ",Query1[[#This Row],[MB2]]," - ",Query1[[#This Row],[MB3]])</f>
        <v>EVAP KIT 70-72 CHEVELLE WO AC - 830010 - 0 - 0</v>
      </c>
    </row>
    <row r="869" spans="1:15" x14ac:dyDescent="0.25">
      <c r="A869" s="1">
        <v>911253</v>
      </c>
      <c r="B869" s="1" t="s">
        <v>52</v>
      </c>
      <c r="C869" s="1" t="s">
        <v>53</v>
      </c>
      <c r="D869" s="2">
        <v>44608.59418255787</v>
      </c>
      <c r="E869" s="1" t="s">
        <v>8</v>
      </c>
      <c r="F869" s="1">
        <v>1</v>
      </c>
      <c r="G869" s="1">
        <v>0</v>
      </c>
      <c r="H869" s="6">
        <f>INT(Query1[[#This Row],[EntryDateTime]])</f>
        <v>44608</v>
      </c>
      <c r="I869" s="1">
        <f>IF(Query1[[#This Row],[ItemType]]="EVAP KIT SF GEN IV",Query1[[#This Row],[OrderQty]]+I868,I868)</f>
        <v>978</v>
      </c>
      <c r="J869" s="1">
        <f>IF(Query1[[#This Row],[ItemType]]="EVAP KIT UNIVERSAL",Query1[[#This Row],[OrderQty]]+J868,J868)</f>
        <v>409</v>
      </c>
      <c r="K869" s="1">
        <f>Query1[[#This Row],[SF Running Total]]+Query1[[#This Row],[UNIV Running Total]]</f>
        <v>1387</v>
      </c>
      <c r="L869">
        <f>VLOOKUP(Query1[[#This Row],[Description]],'kits to boards'!$B$2:$E$156,2,FALSE)</f>
        <v>830017</v>
      </c>
      <c r="M869">
        <f>VLOOKUP(Query1[[#This Row],[Description]],'kits to boards'!$B$2:$E$156,3,FALSE)</f>
        <v>830119</v>
      </c>
      <c r="N869">
        <f>VLOOKUP(Query1[[#This Row],[Description]],'kits to boards'!$B$2:$E$156,4,FALSE)</f>
        <v>830120</v>
      </c>
      <c r="O869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870" spans="1:15" x14ac:dyDescent="0.25">
      <c r="A870" s="1">
        <v>911258</v>
      </c>
      <c r="B870" s="1" t="s">
        <v>62</v>
      </c>
      <c r="C870" s="1" t="s">
        <v>63</v>
      </c>
      <c r="D870" s="2">
        <v>44608.600116354166</v>
      </c>
      <c r="E870" s="1" t="s">
        <v>8</v>
      </c>
      <c r="F870" s="1">
        <v>1</v>
      </c>
      <c r="G870" s="1">
        <v>0</v>
      </c>
      <c r="H870" s="6">
        <f>INT(Query1[[#This Row],[EntryDateTime]])</f>
        <v>44608</v>
      </c>
      <c r="I870" s="1">
        <f>IF(Query1[[#This Row],[ItemType]]="EVAP KIT SF GEN IV",Query1[[#This Row],[OrderQty]]+I869,I869)</f>
        <v>979</v>
      </c>
      <c r="J870" s="1">
        <f>IF(Query1[[#This Row],[ItemType]]="EVAP KIT UNIVERSAL",Query1[[#This Row],[OrderQty]]+J869,J869)</f>
        <v>409</v>
      </c>
      <c r="K870" s="1">
        <f>Query1[[#This Row],[SF Running Total]]+Query1[[#This Row],[UNIV Running Total]]</f>
        <v>1388</v>
      </c>
      <c r="L870">
        <f>VLOOKUP(Query1[[#This Row],[Description]],'kits to boards'!$B$2:$E$156,2,FALSE)</f>
        <v>830079</v>
      </c>
      <c r="M870">
        <f>VLOOKUP(Query1[[#This Row],[Description]],'kits to boards'!$B$2:$E$156,3,FALSE)</f>
        <v>830046</v>
      </c>
      <c r="N870">
        <f>VLOOKUP(Query1[[#This Row],[Description]],'kits to boards'!$B$2:$E$156,4,FALSE)</f>
        <v>0</v>
      </c>
      <c r="O870" t="str">
        <f>CONCATENATE(Query1[[#This Row],[Description]]," - ",Query1[[#This Row],[MB1]]," - ",Query1[[#This Row],[MB2]]," - ",Query1[[#This Row],[MB3]])</f>
        <v>EVAP KIT 67-68 MUSTANG/COUGAR WO AC - 830079 - 830046 - 0</v>
      </c>
    </row>
    <row r="871" spans="1:15" x14ac:dyDescent="0.25">
      <c r="A871" s="1">
        <v>911261</v>
      </c>
      <c r="B871" s="1" t="s">
        <v>148</v>
      </c>
      <c r="C871" s="1" t="s">
        <v>149</v>
      </c>
      <c r="D871" s="2">
        <v>44608.606567442126</v>
      </c>
      <c r="E871" s="1" t="s">
        <v>8</v>
      </c>
      <c r="F871" s="1">
        <v>1</v>
      </c>
      <c r="G871" s="1">
        <v>0</v>
      </c>
      <c r="H871" s="6">
        <f>INT(Query1[[#This Row],[EntryDateTime]])</f>
        <v>44608</v>
      </c>
      <c r="I871" s="1">
        <f>IF(Query1[[#This Row],[ItemType]]="EVAP KIT SF GEN IV",Query1[[#This Row],[OrderQty]]+I870,I870)</f>
        <v>980</v>
      </c>
      <c r="J871" s="1">
        <f>IF(Query1[[#This Row],[ItemType]]="EVAP KIT UNIVERSAL",Query1[[#This Row],[OrderQty]]+J870,J870)</f>
        <v>409</v>
      </c>
      <c r="K871" s="1">
        <f>Query1[[#This Row],[SF Running Total]]+Query1[[#This Row],[UNIV Running Total]]</f>
        <v>1389</v>
      </c>
      <c r="L871">
        <f>VLOOKUP(Query1[[#This Row],[Description]],'kits to boards'!$B$2:$E$156,2,FALSE)</f>
        <v>830098</v>
      </c>
      <c r="M871">
        <f>VLOOKUP(Query1[[#This Row],[Description]],'kits to boards'!$B$2:$E$156,3,FALSE)</f>
        <v>0</v>
      </c>
      <c r="N871">
        <f>VLOOKUP(Query1[[#This Row],[Description]],'kits to boards'!$B$2:$E$156,4,FALSE)</f>
        <v>0</v>
      </c>
      <c r="O871" t="str">
        <f>CONCATENATE(Query1[[#This Row],[Description]]," - ",Query1[[#This Row],[MB1]]," - ",Query1[[#This Row],[MB2]]," - ",Query1[[#This Row],[MB3]])</f>
        <v>EVAP KIT 77 VETTE W/AC - 830098 - 0 - 0</v>
      </c>
    </row>
    <row r="872" spans="1:15" x14ac:dyDescent="0.25">
      <c r="A872" s="1">
        <v>911262</v>
      </c>
      <c r="B872" s="1" t="s">
        <v>14</v>
      </c>
      <c r="C872" s="1" t="s">
        <v>15</v>
      </c>
      <c r="D872" s="2">
        <v>44608.609222418978</v>
      </c>
      <c r="E872" s="1" t="s">
        <v>8</v>
      </c>
      <c r="F872" s="1">
        <v>1</v>
      </c>
      <c r="G872" s="1">
        <v>0</v>
      </c>
      <c r="H872" s="6">
        <f>INT(Query1[[#This Row],[EntryDateTime]])</f>
        <v>44608</v>
      </c>
      <c r="I872" s="1">
        <f>IF(Query1[[#This Row],[ItemType]]="EVAP KIT SF GEN IV",Query1[[#This Row],[OrderQty]]+I871,I871)</f>
        <v>981</v>
      </c>
      <c r="J872" s="1">
        <f>IF(Query1[[#This Row],[ItemType]]="EVAP KIT UNIVERSAL",Query1[[#This Row],[OrderQty]]+J871,J871)</f>
        <v>409</v>
      </c>
      <c r="K872" s="1">
        <f>Query1[[#This Row],[SF Running Total]]+Query1[[#This Row],[UNIV Running Total]]</f>
        <v>1390</v>
      </c>
      <c r="L872">
        <f>VLOOKUP(Query1[[#This Row],[Description]],'kits to boards'!$B$2:$E$156,2,FALSE)</f>
        <v>830054</v>
      </c>
      <c r="M872">
        <f>VLOOKUP(Query1[[#This Row],[Description]],'kits to boards'!$B$2:$E$156,3,FALSE)</f>
        <v>0</v>
      </c>
      <c r="N872">
        <f>VLOOKUP(Query1[[#This Row],[Description]],'kits to boards'!$B$2:$E$156,4,FALSE)</f>
        <v>0</v>
      </c>
      <c r="O872" t="str">
        <f>CONCATENATE(Query1[[#This Row],[Description]]," - ",Query1[[#This Row],[MB1]]," - ",Query1[[#This Row],[MB2]]," - ",Query1[[#This Row],[MB3]])</f>
        <v>EVAP KIT 55-56 CHEVY - 830054 - 0 - 0</v>
      </c>
    </row>
    <row r="873" spans="1:15" x14ac:dyDescent="0.25">
      <c r="A873" s="1">
        <v>911263</v>
      </c>
      <c r="B873" s="1" t="s">
        <v>228</v>
      </c>
      <c r="C873" s="1" t="s">
        <v>229</v>
      </c>
      <c r="D873" s="2">
        <v>44608.609571562498</v>
      </c>
      <c r="E873" s="1" t="s">
        <v>8</v>
      </c>
      <c r="F873" s="1">
        <v>1</v>
      </c>
      <c r="G873" s="1">
        <v>0</v>
      </c>
      <c r="H873" s="6">
        <f>INT(Query1[[#This Row],[EntryDateTime]])</f>
        <v>44608</v>
      </c>
      <c r="I873" s="1">
        <f>IF(Query1[[#This Row],[ItemType]]="EVAP KIT SF GEN IV",Query1[[#This Row],[OrderQty]]+I872,I872)</f>
        <v>982</v>
      </c>
      <c r="J873" s="1">
        <f>IF(Query1[[#This Row],[ItemType]]="EVAP KIT UNIVERSAL",Query1[[#This Row],[OrderQty]]+J872,J872)</f>
        <v>409</v>
      </c>
      <c r="K873" s="1">
        <f>Query1[[#This Row],[SF Running Total]]+Query1[[#This Row],[UNIV Running Total]]</f>
        <v>1391</v>
      </c>
      <c r="L873">
        <f>VLOOKUP(Query1[[#This Row],[Description]],'kits to boards'!$B$2:$E$156,2,FALSE)</f>
        <v>830044</v>
      </c>
      <c r="M873">
        <f>VLOOKUP(Query1[[#This Row],[Description]],'kits to boards'!$B$2:$E$156,3,FALSE)</f>
        <v>0</v>
      </c>
      <c r="N873">
        <f>VLOOKUP(Query1[[#This Row],[Description]],'kits to boards'!$B$2:$E$156,4,FALSE)</f>
        <v>0</v>
      </c>
      <c r="O873" t="str">
        <f>CONCATENATE(Query1[[#This Row],[Description]]," - ",Query1[[#This Row],[MB1]]," - ",Query1[[#This Row],[MB2]]," - ",Query1[[#This Row],[MB3]])</f>
        <v>EVAP KIT 64-65 FALCON/RANCHERO - 830044 - 0 - 0</v>
      </c>
    </row>
    <row r="874" spans="1:15" x14ac:dyDescent="0.25">
      <c r="A874" s="1">
        <v>911267</v>
      </c>
      <c r="B874" s="1" t="s">
        <v>42</v>
      </c>
      <c r="C874" s="1" t="s">
        <v>43</v>
      </c>
      <c r="D874" s="2">
        <v>44608.621958993055</v>
      </c>
      <c r="E874" s="1" t="s">
        <v>8</v>
      </c>
      <c r="F874" s="1">
        <v>1</v>
      </c>
      <c r="G874" s="1">
        <v>0</v>
      </c>
      <c r="H874" s="6">
        <f>INT(Query1[[#This Row],[EntryDateTime]])</f>
        <v>44608</v>
      </c>
      <c r="I874" s="1">
        <f>IF(Query1[[#This Row],[ItemType]]="EVAP KIT SF GEN IV",Query1[[#This Row],[OrderQty]]+I873,I873)</f>
        <v>983</v>
      </c>
      <c r="J874" s="1">
        <f>IF(Query1[[#This Row],[ItemType]]="EVAP KIT UNIVERSAL",Query1[[#This Row],[OrderQty]]+J873,J873)</f>
        <v>409</v>
      </c>
      <c r="K874" s="1">
        <f>Query1[[#This Row],[SF Running Total]]+Query1[[#This Row],[UNIV Running Total]]</f>
        <v>1392</v>
      </c>
      <c r="L874">
        <f>VLOOKUP(Query1[[#This Row],[Description]],'kits to boards'!$B$2:$E$156,2,FALSE)</f>
        <v>830014</v>
      </c>
      <c r="M874">
        <f>VLOOKUP(Query1[[#This Row],[Description]],'kits to boards'!$B$2:$E$156,3,FALSE)</f>
        <v>0</v>
      </c>
      <c r="N874">
        <f>VLOOKUP(Query1[[#This Row],[Description]],'kits to boards'!$B$2:$E$156,4,FALSE)</f>
        <v>0</v>
      </c>
      <c r="O874" t="str">
        <f>CONCATENATE(Query1[[#This Row],[Description]]," - ",Query1[[#This Row],[MB1]]," - ",Query1[[#This Row],[MB2]]," - ",Query1[[#This Row],[MB3]])</f>
        <v>EVAP KIT 67-72 CHEV P-UP WO AC - 830014 - 0 - 0</v>
      </c>
    </row>
    <row r="875" spans="1:15" x14ac:dyDescent="0.25">
      <c r="A875" s="1">
        <v>911093</v>
      </c>
      <c r="B875" s="1" t="s">
        <v>26</v>
      </c>
      <c r="C875" s="1" t="s">
        <v>27</v>
      </c>
      <c r="D875" s="2">
        <v>44608.628106597222</v>
      </c>
      <c r="E875" s="1" t="s">
        <v>8</v>
      </c>
      <c r="F875" s="1">
        <v>1</v>
      </c>
      <c r="G875" s="1">
        <v>0</v>
      </c>
      <c r="H875" s="6">
        <f>INT(Query1[[#This Row],[EntryDateTime]])</f>
        <v>44608</v>
      </c>
      <c r="I875" s="1">
        <f>IF(Query1[[#This Row],[ItemType]]="EVAP KIT SF GEN IV",Query1[[#This Row],[OrderQty]]+I874,I874)</f>
        <v>984</v>
      </c>
      <c r="J875" s="1">
        <f>IF(Query1[[#This Row],[ItemType]]="EVAP KIT UNIVERSAL",Query1[[#This Row],[OrderQty]]+J874,J874)</f>
        <v>409</v>
      </c>
      <c r="K875" s="1">
        <f>Query1[[#This Row],[SF Running Total]]+Query1[[#This Row],[UNIV Running Total]]</f>
        <v>1393</v>
      </c>
      <c r="L875">
        <f>VLOOKUP(Query1[[#This Row],[Description]],'kits to boards'!$B$2:$E$156,2,FALSE)</f>
        <v>830013</v>
      </c>
      <c r="M875">
        <f>VLOOKUP(Query1[[#This Row],[Description]],'kits to boards'!$B$2:$E$156,3,FALSE)</f>
        <v>0</v>
      </c>
      <c r="N875">
        <f>VLOOKUP(Query1[[#This Row],[Description]],'kits to boards'!$B$2:$E$156,4,FALSE)</f>
        <v>0</v>
      </c>
      <c r="O875" t="str">
        <f>CONCATENATE(Query1[[#This Row],[Description]]," - ",Query1[[#This Row],[MB1]]," - ",Query1[[#This Row],[MB2]]," - ",Query1[[#This Row],[MB3]])</f>
        <v>EVAP KIT 67-72 CHEV P-UP W/AC - 830013 - 0 - 0</v>
      </c>
    </row>
    <row r="876" spans="1:15" x14ac:dyDescent="0.25">
      <c r="A876" s="1">
        <v>911034</v>
      </c>
      <c r="B876" s="1" t="s">
        <v>98</v>
      </c>
      <c r="C876" s="1" t="s">
        <v>99</v>
      </c>
      <c r="D876" s="2">
        <v>44608.639446562498</v>
      </c>
      <c r="E876" s="1" t="s">
        <v>11</v>
      </c>
      <c r="F876" s="1">
        <v>1</v>
      </c>
      <c r="G876" s="1">
        <v>0</v>
      </c>
      <c r="H876" s="6">
        <f>INT(Query1[[#This Row],[EntryDateTime]])</f>
        <v>44608</v>
      </c>
      <c r="I876" s="1">
        <f>IF(Query1[[#This Row],[ItemType]]="EVAP KIT SF GEN IV",Query1[[#This Row],[OrderQty]]+I875,I875)</f>
        <v>984</v>
      </c>
      <c r="J876" s="1">
        <f>IF(Query1[[#This Row],[ItemType]]="EVAP KIT UNIVERSAL",Query1[[#This Row],[OrderQty]]+J875,J875)</f>
        <v>410</v>
      </c>
      <c r="K876" s="1">
        <f>Query1[[#This Row],[SF Running Total]]+Query1[[#This Row],[UNIV Running Total]]</f>
        <v>1394</v>
      </c>
      <c r="L876">
        <f>VLOOKUP(Query1[[#This Row],[Description]],'kits to boards'!$B$2:$E$156,2,FALSE)</f>
        <v>830099</v>
      </c>
      <c r="M876">
        <f>VLOOKUP(Query1[[#This Row],[Description]],'kits to boards'!$B$2:$E$156,3,FALSE)</f>
        <v>0</v>
      </c>
      <c r="N876">
        <f>VLOOKUP(Query1[[#This Row],[Description]],'kits to boards'!$B$2:$E$156,4,FALSE)</f>
        <v>0</v>
      </c>
      <c r="O876" t="str">
        <f>CONCATENATE(Query1[[#This Row],[Description]]," - ",Query1[[#This Row],[MB1]]," - ",Query1[[#This Row],[MB2]]," - ",Query1[[#This Row],[MB3]])</f>
        <v>MINI GEN II W/DEF - 830099 - 0 - 0</v>
      </c>
    </row>
    <row r="877" spans="1:15" x14ac:dyDescent="0.25">
      <c r="A877" s="1">
        <v>911270</v>
      </c>
      <c r="B877" s="1" t="s">
        <v>22</v>
      </c>
      <c r="C877" s="1" t="s">
        <v>23</v>
      </c>
      <c r="D877" s="2">
        <v>44608.643489004629</v>
      </c>
      <c r="E877" s="1" t="s">
        <v>8</v>
      </c>
      <c r="F877" s="1">
        <v>3</v>
      </c>
      <c r="G877" s="1">
        <v>0</v>
      </c>
      <c r="H877" s="6">
        <f>INT(Query1[[#This Row],[EntryDateTime]])</f>
        <v>44608</v>
      </c>
      <c r="I877" s="1">
        <f>IF(Query1[[#This Row],[ItemType]]="EVAP KIT SF GEN IV",Query1[[#This Row],[OrderQty]]+I876,I876)</f>
        <v>987</v>
      </c>
      <c r="J877" s="1">
        <f>IF(Query1[[#This Row],[ItemType]]="EVAP KIT UNIVERSAL",Query1[[#This Row],[OrderQty]]+J876,J876)</f>
        <v>410</v>
      </c>
      <c r="K877" s="1">
        <f>Query1[[#This Row],[SF Running Total]]+Query1[[#This Row],[UNIV Running Total]]</f>
        <v>1397</v>
      </c>
      <c r="L877">
        <f>VLOOKUP(Query1[[#This Row],[Description]],'kits to boards'!$B$2:$E$156,2,FALSE)</f>
        <v>830083</v>
      </c>
      <c r="M877">
        <f>VLOOKUP(Query1[[#This Row],[Description]],'kits to boards'!$B$2:$E$156,3,FALSE)</f>
        <v>0</v>
      </c>
      <c r="N877">
        <f>VLOOKUP(Query1[[#This Row],[Description]],'kits to boards'!$B$2:$E$156,4,FALSE)</f>
        <v>0</v>
      </c>
      <c r="O877" t="str">
        <f>CONCATENATE(Query1[[#This Row],[Description]]," - ",Query1[[#This Row],[MB1]]," - ",Query1[[#This Row],[MB2]]," - ",Query1[[#This Row],[MB3]])</f>
        <v>GEN IV MAGNUM EVAP KIT - 830083 - 0 - 0</v>
      </c>
    </row>
    <row r="878" spans="1:15" x14ac:dyDescent="0.25">
      <c r="A878" s="1">
        <v>911270</v>
      </c>
      <c r="B878" s="1" t="s">
        <v>98</v>
      </c>
      <c r="C878" s="1" t="s">
        <v>99</v>
      </c>
      <c r="D878" s="2">
        <v>44608.643609756946</v>
      </c>
      <c r="E878" s="1" t="s">
        <v>11</v>
      </c>
      <c r="F878" s="1">
        <v>3</v>
      </c>
      <c r="G878" s="1">
        <v>0</v>
      </c>
      <c r="H878" s="6">
        <f>INT(Query1[[#This Row],[EntryDateTime]])</f>
        <v>44608</v>
      </c>
      <c r="I878" s="1">
        <f>IF(Query1[[#This Row],[ItemType]]="EVAP KIT SF GEN IV",Query1[[#This Row],[OrderQty]]+I877,I877)</f>
        <v>987</v>
      </c>
      <c r="J878" s="1">
        <f>IF(Query1[[#This Row],[ItemType]]="EVAP KIT UNIVERSAL",Query1[[#This Row],[OrderQty]]+J877,J877)</f>
        <v>413</v>
      </c>
      <c r="K878" s="1">
        <f>Query1[[#This Row],[SF Running Total]]+Query1[[#This Row],[UNIV Running Total]]</f>
        <v>1400</v>
      </c>
      <c r="L878">
        <f>VLOOKUP(Query1[[#This Row],[Description]],'kits to boards'!$B$2:$E$156,2,FALSE)</f>
        <v>830099</v>
      </c>
      <c r="M878">
        <f>VLOOKUP(Query1[[#This Row],[Description]],'kits to boards'!$B$2:$E$156,3,FALSE)</f>
        <v>0</v>
      </c>
      <c r="N878">
        <f>VLOOKUP(Query1[[#This Row],[Description]],'kits to boards'!$B$2:$E$156,4,FALSE)</f>
        <v>0</v>
      </c>
      <c r="O878" t="str">
        <f>CONCATENATE(Query1[[#This Row],[Description]]," - ",Query1[[#This Row],[MB1]]," - ",Query1[[#This Row],[MB2]]," - ",Query1[[#This Row],[MB3]])</f>
        <v>MINI GEN II W/DEF - 830099 - 0 - 0</v>
      </c>
    </row>
    <row r="879" spans="1:15" x14ac:dyDescent="0.25">
      <c r="A879" s="1">
        <v>911270</v>
      </c>
      <c r="B879" s="1" t="s">
        <v>20</v>
      </c>
      <c r="C879" s="1" t="s">
        <v>21</v>
      </c>
      <c r="D879" s="2">
        <v>44608.64377800926</v>
      </c>
      <c r="E879" s="1" t="s">
        <v>11</v>
      </c>
      <c r="F879" s="1">
        <v>5</v>
      </c>
      <c r="G879" s="1">
        <v>0</v>
      </c>
      <c r="H879" s="6">
        <f>INT(Query1[[#This Row],[EntryDateTime]])</f>
        <v>44608</v>
      </c>
      <c r="I879" s="1">
        <f>IF(Query1[[#This Row],[ItemType]]="EVAP KIT SF GEN IV",Query1[[#This Row],[OrderQty]]+I878,I878)</f>
        <v>987</v>
      </c>
      <c r="J879" s="1">
        <f>IF(Query1[[#This Row],[ItemType]]="EVAP KIT UNIVERSAL",Query1[[#This Row],[OrderQty]]+J878,J878)</f>
        <v>418</v>
      </c>
      <c r="K879" s="1">
        <f>Query1[[#This Row],[SF Running Total]]+Query1[[#This Row],[UNIV Running Total]]</f>
        <v>1405</v>
      </c>
      <c r="L879">
        <f>VLOOKUP(Query1[[#This Row],[Description]],'kits to boards'!$B$2:$E$156,2,FALSE)</f>
        <v>830102</v>
      </c>
      <c r="M879">
        <f>VLOOKUP(Query1[[#This Row],[Description]],'kits to boards'!$B$2:$E$156,3,FALSE)</f>
        <v>0</v>
      </c>
      <c r="N879">
        <f>VLOOKUP(Query1[[#This Row],[Description]],'kits to boards'!$B$2:$E$156,4,FALSE)</f>
        <v>0</v>
      </c>
      <c r="O879" t="str">
        <f>CONCATENATE(Query1[[#This Row],[Description]]," - ",Query1[[#This Row],[MB1]]," - ",Query1[[#This Row],[MB2]]," - ",Query1[[#This Row],[MB3]])</f>
        <v>SUPER GEN II W/DEF - 830102 - 0 - 0</v>
      </c>
    </row>
    <row r="880" spans="1:15" x14ac:dyDescent="0.25">
      <c r="A880" s="1">
        <v>911270</v>
      </c>
      <c r="B880" s="1" t="s">
        <v>24</v>
      </c>
      <c r="C880" s="1" t="s">
        <v>25</v>
      </c>
      <c r="D880" s="2">
        <v>44608.643924687502</v>
      </c>
      <c r="E880" s="1" t="s">
        <v>11</v>
      </c>
      <c r="F880" s="1">
        <v>3</v>
      </c>
      <c r="G880" s="1">
        <v>0</v>
      </c>
      <c r="H880" s="6">
        <f>INT(Query1[[#This Row],[EntryDateTime]])</f>
        <v>44608</v>
      </c>
      <c r="I880" s="1">
        <f>IF(Query1[[#This Row],[ItemType]]="EVAP KIT SF GEN IV",Query1[[#This Row],[OrderQty]]+I879,I879)</f>
        <v>987</v>
      </c>
      <c r="J880" s="1">
        <f>IF(Query1[[#This Row],[ItemType]]="EVAP KIT UNIVERSAL",Query1[[#This Row],[OrderQty]]+J879,J879)</f>
        <v>421</v>
      </c>
      <c r="K880" s="1">
        <f>Query1[[#This Row],[SF Running Total]]+Query1[[#This Row],[UNIV Running Total]]</f>
        <v>1408</v>
      </c>
      <c r="L880">
        <f>VLOOKUP(Query1[[#This Row],[Description]],'kits to boards'!$B$2:$E$156,2,FALSE)</f>
        <v>830029</v>
      </c>
      <c r="M880">
        <f>VLOOKUP(Query1[[#This Row],[Description]],'kits to boards'!$B$2:$E$156,3,FALSE)</f>
        <v>830030</v>
      </c>
      <c r="N880">
        <f>VLOOKUP(Query1[[#This Row],[Description]],'kits to boards'!$B$2:$E$156,4,FALSE)</f>
        <v>0</v>
      </c>
      <c r="O880" t="str">
        <f>CONCATENATE(Query1[[#This Row],[Description]]," - ",Query1[[#This Row],[MB1]]," - ",Query1[[#This Row],[MB2]]," - ",Query1[[#This Row],[MB3]])</f>
        <v>ComPac GEN II W/DEF - 830029 - 830030 - 0</v>
      </c>
    </row>
    <row r="881" spans="1:15" x14ac:dyDescent="0.25">
      <c r="A881" s="1">
        <v>911270</v>
      </c>
      <c r="B881" s="1" t="s">
        <v>104</v>
      </c>
      <c r="C881" s="1" t="s">
        <v>105</v>
      </c>
      <c r="D881" s="2">
        <v>44608.644026770831</v>
      </c>
      <c r="E881" s="1" t="s">
        <v>11</v>
      </c>
      <c r="F881" s="1">
        <v>1</v>
      </c>
      <c r="G881" s="1">
        <v>0</v>
      </c>
      <c r="H881" s="6">
        <f>INT(Query1[[#This Row],[EntryDateTime]])</f>
        <v>44608</v>
      </c>
      <c r="I881" s="1">
        <f>IF(Query1[[#This Row],[ItemType]]="EVAP KIT SF GEN IV",Query1[[#This Row],[OrderQty]]+I880,I880)</f>
        <v>987</v>
      </c>
      <c r="J881" s="1">
        <f>IF(Query1[[#This Row],[ItemType]]="EVAP KIT UNIVERSAL",Query1[[#This Row],[OrderQty]]+J880,J880)</f>
        <v>422</v>
      </c>
      <c r="K881" s="1">
        <f>Query1[[#This Row],[SF Running Total]]+Query1[[#This Row],[UNIV Running Total]]</f>
        <v>1409</v>
      </c>
      <c r="L881">
        <f>VLOOKUP(Query1[[#This Row],[Description]],'kits to boards'!$B$2:$E$156,2,FALSE)</f>
        <v>0</v>
      </c>
      <c r="M881">
        <f>VLOOKUP(Query1[[#This Row],[Description]],'kits to boards'!$B$2:$E$156,3,FALSE)</f>
        <v>0</v>
      </c>
      <c r="N881">
        <f>VLOOKUP(Query1[[#This Row],[Description]],'kits to boards'!$B$2:$E$156,4,FALSE)</f>
        <v>0</v>
      </c>
      <c r="O881" t="str">
        <f>CONCATENATE(Query1[[#This Row],[Description]]," - ",Query1[[#This Row],[MB1]]," - ",Query1[[#This Row],[MB2]]," - ",Query1[[#This Row],[MB3]])</f>
        <v>HERITAGE BRUSHED EVAP KIT HEAT/COOL - 0 - 0 - 0</v>
      </c>
    </row>
    <row r="882" spans="1:15" x14ac:dyDescent="0.25">
      <c r="A882" s="1">
        <v>911270</v>
      </c>
      <c r="B882" s="1" t="s">
        <v>136</v>
      </c>
      <c r="C882" s="1" t="s">
        <v>137</v>
      </c>
      <c r="D882" s="2">
        <v>44608.644118784723</v>
      </c>
      <c r="E882" s="1" t="s">
        <v>11</v>
      </c>
      <c r="F882" s="1">
        <v>1</v>
      </c>
      <c r="G882" s="1">
        <v>0</v>
      </c>
      <c r="H882" s="6">
        <f>INT(Query1[[#This Row],[EntryDateTime]])</f>
        <v>44608</v>
      </c>
      <c r="I882" s="1">
        <f>IF(Query1[[#This Row],[ItemType]]="EVAP KIT SF GEN IV",Query1[[#This Row],[OrderQty]]+I881,I881)</f>
        <v>987</v>
      </c>
      <c r="J882" s="1">
        <f>IF(Query1[[#This Row],[ItemType]]="EVAP KIT UNIVERSAL",Query1[[#This Row],[OrderQty]]+J881,J881)</f>
        <v>423</v>
      </c>
      <c r="K882" s="1">
        <f>Query1[[#This Row],[SF Running Total]]+Query1[[#This Row],[UNIV Running Total]]</f>
        <v>1410</v>
      </c>
      <c r="L882">
        <f>VLOOKUP(Query1[[#This Row],[Description]],'kits to boards'!$B$2:$E$156,2,FALSE)</f>
        <v>0</v>
      </c>
      <c r="M882">
        <f>VLOOKUP(Query1[[#This Row],[Description]],'kits to boards'!$B$2:$E$156,3,FALSE)</f>
        <v>0</v>
      </c>
      <c r="N882">
        <f>VLOOKUP(Query1[[#This Row],[Description]],'kits to boards'!$B$2:$E$156,4,FALSE)</f>
        <v>0</v>
      </c>
      <c r="O882" t="str">
        <f>CONCATENATE(Query1[[#This Row],[Description]]," - ",Query1[[#This Row],[MB1]]," - ",Query1[[#This Row],[MB2]]," - ",Query1[[#This Row],[MB3]])</f>
        <v>HERITAGE TURNED EVAP KIT HEAT/COOL - 0 - 0 - 0</v>
      </c>
    </row>
    <row r="883" spans="1:15" x14ac:dyDescent="0.25">
      <c r="A883" s="1">
        <v>911270</v>
      </c>
      <c r="B883" s="1" t="s">
        <v>220</v>
      </c>
      <c r="C883" s="1" t="s">
        <v>221</v>
      </c>
      <c r="D883" s="2">
        <v>44608.644229548612</v>
      </c>
      <c r="E883" s="1" t="s">
        <v>11</v>
      </c>
      <c r="F883" s="1">
        <v>1</v>
      </c>
      <c r="G883" s="1">
        <v>0</v>
      </c>
      <c r="H883" s="6">
        <f>INT(Query1[[#This Row],[EntryDateTime]])</f>
        <v>44608</v>
      </c>
      <c r="I883" s="1">
        <f>IF(Query1[[#This Row],[ItemType]]="EVAP KIT SF GEN IV",Query1[[#This Row],[OrderQty]]+I882,I882)</f>
        <v>987</v>
      </c>
      <c r="J883" s="1">
        <f>IF(Query1[[#This Row],[ItemType]]="EVAP KIT UNIVERSAL",Query1[[#This Row],[OrderQty]]+J882,J882)</f>
        <v>424</v>
      </c>
      <c r="K883" s="1">
        <f>Query1[[#This Row],[SF Running Total]]+Query1[[#This Row],[UNIV Running Total]]</f>
        <v>1411</v>
      </c>
      <c r="L883">
        <f>VLOOKUP(Query1[[#This Row],[Description]],'kits to boards'!$B$2:$E$156,2,FALSE)</f>
        <v>0</v>
      </c>
      <c r="M883">
        <f>VLOOKUP(Query1[[#This Row],[Description]],'kits to boards'!$B$2:$E$156,3,FALSE)</f>
        <v>0</v>
      </c>
      <c r="N883">
        <f>VLOOKUP(Query1[[#This Row],[Description]],'kits to boards'!$B$2:$E$156,4,FALSE)</f>
        <v>0</v>
      </c>
      <c r="O883" t="str">
        <f>CONCATENATE(Query1[[#This Row],[Description]]," - ",Query1[[#This Row],[MB1]]," - ",Query1[[#This Row],[MB2]]," - ",Query1[[#This Row],[MB3]])</f>
        <v>HERITAGE PEARL EVAP KIT HEAT/COOL - 0 - 0 - 0</v>
      </c>
    </row>
    <row r="884" spans="1:15" x14ac:dyDescent="0.25">
      <c r="A884" s="1">
        <v>911279</v>
      </c>
      <c r="B884" s="1" t="s">
        <v>26</v>
      </c>
      <c r="C884" s="1" t="s">
        <v>27</v>
      </c>
      <c r="D884" s="2">
        <v>44608.662597106479</v>
      </c>
      <c r="E884" s="1" t="s">
        <v>8</v>
      </c>
      <c r="F884" s="1">
        <v>1</v>
      </c>
      <c r="G884" s="1">
        <v>0</v>
      </c>
      <c r="H884" s="6">
        <f>INT(Query1[[#This Row],[EntryDateTime]])</f>
        <v>44608</v>
      </c>
      <c r="I884" s="1">
        <f>IF(Query1[[#This Row],[ItemType]]="EVAP KIT SF GEN IV",Query1[[#This Row],[OrderQty]]+I883,I883)</f>
        <v>988</v>
      </c>
      <c r="J884" s="1">
        <f>IF(Query1[[#This Row],[ItemType]]="EVAP KIT UNIVERSAL",Query1[[#This Row],[OrderQty]]+J883,J883)</f>
        <v>424</v>
      </c>
      <c r="K884" s="1">
        <f>Query1[[#This Row],[SF Running Total]]+Query1[[#This Row],[UNIV Running Total]]</f>
        <v>1412</v>
      </c>
      <c r="L884">
        <f>VLOOKUP(Query1[[#This Row],[Description]],'kits to boards'!$B$2:$E$156,2,FALSE)</f>
        <v>830013</v>
      </c>
      <c r="M884">
        <f>VLOOKUP(Query1[[#This Row],[Description]],'kits to boards'!$B$2:$E$156,3,FALSE)</f>
        <v>0</v>
      </c>
      <c r="N884">
        <f>VLOOKUP(Query1[[#This Row],[Description]],'kits to boards'!$B$2:$E$156,4,FALSE)</f>
        <v>0</v>
      </c>
      <c r="O884" t="str">
        <f>CONCATENATE(Query1[[#This Row],[Description]]," - ",Query1[[#This Row],[MB1]]," - ",Query1[[#This Row],[MB2]]," - ",Query1[[#This Row],[MB3]])</f>
        <v>EVAP KIT 67-72 CHEV P-UP W/AC - 830013 - 0 - 0</v>
      </c>
    </row>
    <row r="885" spans="1:15" x14ac:dyDescent="0.25">
      <c r="A885" s="1">
        <v>911278</v>
      </c>
      <c r="B885" s="1" t="s">
        <v>100</v>
      </c>
      <c r="C885" s="1" t="s">
        <v>101</v>
      </c>
      <c r="D885" s="2">
        <v>44608.663794675929</v>
      </c>
      <c r="E885" s="1" t="s">
        <v>8</v>
      </c>
      <c r="F885" s="1">
        <v>1</v>
      </c>
      <c r="G885" s="1">
        <v>0</v>
      </c>
      <c r="H885" s="6">
        <f>INT(Query1[[#This Row],[EntryDateTime]])</f>
        <v>44608</v>
      </c>
      <c r="I885" s="1">
        <f>IF(Query1[[#This Row],[ItemType]]="EVAP KIT SF GEN IV",Query1[[#This Row],[OrderQty]]+I884,I884)</f>
        <v>989</v>
      </c>
      <c r="J885" s="1">
        <f>IF(Query1[[#This Row],[ItemType]]="EVAP KIT UNIVERSAL",Query1[[#This Row],[OrderQty]]+J884,J884)</f>
        <v>424</v>
      </c>
      <c r="K885" s="1">
        <f>Query1[[#This Row],[SF Running Total]]+Query1[[#This Row],[UNIV Running Total]]</f>
        <v>1413</v>
      </c>
      <c r="L885">
        <f>VLOOKUP(Query1[[#This Row],[Description]],'kits to boards'!$B$2:$E$156,2,FALSE)</f>
        <v>830096</v>
      </c>
      <c r="M885">
        <f>VLOOKUP(Query1[[#This Row],[Description]],'kits to boards'!$B$2:$E$156,3,FALSE)</f>
        <v>0</v>
      </c>
      <c r="N885">
        <f>VLOOKUP(Query1[[#This Row],[Description]],'kits to boards'!$B$2:$E$156,4,FALSE)</f>
        <v>0</v>
      </c>
      <c r="O885" t="str">
        <f>CONCATENATE(Query1[[#This Row],[Description]]," - ",Query1[[#This Row],[MB1]]," - ",Query1[[#This Row],[MB2]]," - ",Query1[[#This Row],[MB3]])</f>
        <v>EVAP KIT 62-65 NOVA - 830096 - 0 - 0</v>
      </c>
    </row>
    <row r="886" spans="1:15" x14ac:dyDescent="0.25">
      <c r="A886" s="1">
        <v>911295</v>
      </c>
      <c r="B886" s="1" t="s">
        <v>30</v>
      </c>
      <c r="C886" s="1" t="s">
        <v>31</v>
      </c>
      <c r="D886" s="2">
        <v>44608.68740008102</v>
      </c>
      <c r="E886" s="1" t="s">
        <v>8</v>
      </c>
      <c r="F886" s="1">
        <v>1</v>
      </c>
      <c r="G886" s="1">
        <v>0</v>
      </c>
      <c r="H886" s="6">
        <f>INT(Query1[[#This Row],[EntryDateTime]])</f>
        <v>44608</v>
      </c>
      <c r="I886" s="1">
        <f>IF(Query1[[#This Row],[ItemType]]="EVAP KIT SF GEN IV",Query1[[#This Row],[OrderQty]]+I885,I885)</f>
        <v>990</v>
      </c>
      <c r="J886" s="1">
        <f>IF(Query1[[#This Row],[ItemType]]="EVAP KIT UNIVERSAL",Query1[[#This Row],[OrderQty]]+J885,J885)</f>
        <v>424</v>
      </c>
      <c r="K886" s="1">
        <f>Query1[[#This Row],[SF Running Total]]+Query1[[#This Row],[UNIV Running Total]]</f>
        <v>1414</v>
      </c>
      <c r="L886">
        <f>VLOOKUP(Query1[[#This Row],[Description]],'kits to boards'!$B$2:$E$156,2,FALSE)</f>
        <v>830054</v>
      </c>
      <c r="M886">
        <f>VLOOKUP(Query1[[#This Row],[Description]],'kits to boards'!$B$2:$E$156,3,FALSE)</f>
        <v>0</v>
      </c>
      <c r="N886">
        <f>VLOOKUP(Query1[[#This Row],[Description]],'kits to boards'!$B$2:$E$156,4,FALSE)</f>
        <v>0</v>
      </c>
      <c r="O886" t="str">
        <f>CONCATENATE(Query1[[#This Row],[Description]]," - ",Query1[[#This Row],[MB1]]," - ",Query1[[#This Row],[MB2]]," - ",Query1[[#This Row],[MB3]])</f>
        <v>EVAP KIT 55-56 CHEVY 4-VENT - 830054 - 0 - 0</v>
      </c>
    </row>
    <row r="887" spans="1:15" x14ac:dyDescent="0.25">
      <c r="A887" s="1">
        <v>911306</v>
      </c>
      <c r="B887" s="1" t="s">
        <v>52</v>
      </c>
      <c r="C887" s="1" t="s">
        <v>53</v>
      </c>
      <c r="D887" s="2">
        <v>44609.305577002313</v>
      </c>
      <c r="E887" s="1" t="s">
        <v>8</v>
      </c>
      <c r="F887" s="1">
        <v>1</v>
      </c>
      <c r="G887" s="1">
        <v>0</v>
      </c>
      <c r="H887" s="6">
        <f>INT(Query1[[#This Row],[EntryDateTime]])</f>
        <v>44609</v>
      </c>
      <c r="I887" s="1">
        <f>IF(Query1[[#This Row],[ItemType]]="EVAP KIT SF GEN IV",Query1[[#This Row],[OrderQty]]+I886,I886)</f>
        <v>991</v>
      </c>
      <c r="J887" s="1">
        <f>IF(Query1[[#This Row],[ItemType]]="EVAP KIT UNIVERSAL",Query1[[#This Row],[OrderQty]]+J886,J886)</f>
        <v>424</v>
      </c>
      <c r="K887" s="1">
        <f>Query1[[#This Row],[SF Running Total]]+Query1[[#This Row],[UNIV Running Total]]</f>
        <v>1415</v>
      </c>
      <c r="L887">
        <f>VLOOKUP(Query1[[#This Row],[Description]],'kits to boards'!$B$2:$E$156,2,FALSE)</f>
        <v>830017</v>
      </c>
      <c r="M887">
        <f>VLOOKUP(Query1[[#This Row],[Description]],'kits to boards'!$B$2:$E$156,3,FALSE)</f>
        <v>830119</v>
      </c>
      <c r="N887">
        <f>VLOOKUP(Query1[[#This Row],[Description]],'kits to boards'!$B$2:$E$156,4,FALSE)</f>
        <v>830120</v>
      </c>
      <c r="O887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888" spans="1:15" x14ac:dyDescent="0.25">
      <c r="A888" s="1">
        <v>911307</v>
      </c>
      <c r="B888" s="1" t="s">
        <v>24</v>
      </c>
      <c r="C888" s="1" t="s">
        <v>25</v>
      </c>
      <c r="D888" s="2">
        <v>44609.307108796296</v>
      </c>
      <c r="E888" s="1" t="s">
        <v>11</v>
      </c>
      <c r="F888" s="1">
        <v>1</v>
      </c>
      <c r="G888" s="1">
        <v>0</v>
      </c>
      <c r="H888" s="6">
        <f>INT(Query1[[#This Row],[EntryDateTime]])</f>
        <v>44609</v>
      </c>
      <c r="I888" s="1">
        <f>IF(Query1[[#This Row],[ItemType]]="EVAP KIT SF GEN IV",Query1[[#This Row],[OrderQty]]+I887,I887)</f>
        <v>991</v>
      </c>
      <c r="J888" s="1">
        <f>IF(Query1[[#This Row],[ItemType]]="EVAP KIT UNIVERSAL",Query1[[#This Row],[OrderQty]]+J887,J887)</f>
        <v>425</v>
      </c>
      <c r="K888" s="1">
        <f>Query1[[#This Row],[SF Running Total]]+Query1[[#This Row],[UNIV Running Total]]</f>
        <v>1416</v>
      </c>
      <c r="L888">
        <f>VLOOKUP(Query1[[#This Row],[Description]],'kits to boards'!$B$2:$E$156,2,FALSE)</f>
        <v>830029</v>
      </c>
      <c r="M888">
        <f>VLOOKUP(Query1[[#This Row],[Description]],'kits to boards'!$B$2:$E$156,3,FALSE)</f>
        <v>830030</v>
      </c>
      <c r="N888">
        <f>VLOOKUP(Query1[[#This Row],[Description]],'kits to boards'!$B$2:$E$156,4,FALSE)</f>
        <v>0</v>
      </c>
      <c r="O888" t="str">
        <f>CONCATENATE(Query1[[#This Row],[Description]]," - ",Query1[[#This Row],[MB1]]," - ",Query1[[#This Row],[MB2]]," - ",Query1[[#This Row],[MB3]])</f>
        <v>ComPac GEN II W/DEF - 830029 - 830030 - 0</v>
      </c>
    </row>
    <row r="889" spans="1:15" x14ac:dyDescent="0.25">
      <c r="A889" s="1">
        <v>911307</v>
      </c>
      <c r="B889" s="1" t="s">
        <v>120</v>
      </c>
      <c r="C889" s="1" t="s">
        <v>121</v>
      </c>
      <c r="D889" s="2">
        <v>44609.307363576387</v>
      </c>
      <c r="E889" s="1" t="s">
        <v>8</v>
      </c>
      <c r="F889" s="1">
        <v>1</v>
      </c>
      <c r="G889" s="1">
        <v>0</v>
      </c>
      <c r="H889" s="6">
        <f>INT(Query1[[#This Row],[EntryDateTime]])</f>
        <v>44609</v>
      </c>
      <c r="I889" s="1">
        <f>IF(Query1[[#This Row],[ItemType]]="EVAP KIT SF GEN IV",Query1[[#This Row],[OrderQty]]+I888,I888)</f>
        <v>992</v>
      </c>
      <c r="J889" s="1">
        <f>IF(Query1[[#This Row],[ItemType]]="EVAP KIT UNIVERSAL",Query1[[#This Row],[OrderQty]]+J888,J888)</f>
        <v>425</v>
      </c>
      <c r="K889" s="1">
        <f>Query1[[#This Row],[SF Running Total]]+Query1[[#This Row],[UNIV Running Total]]</f>
        <v>1417</v>
      </c>
      <c r="L889">
        <f>VLOOKUP(Query1[[#This Row],[Description]],'kits to boards'!$B$2:$E$156,2,FALSE)</f>
        <v>830014</v>
      </c>
      <c r="M889">
        <f>VLOOKUP(Query1[[#This Row],[Description]],'kits to boards'!$B$2:$E$156,3,FALSE)</f>
        <v>0</v>
      </c>
      <c r="N889">
        <f>VLOOKUP(Query1[[#This Row],[Description]],'kits to boards'!$B$2:$E$156,4,FALSE)</f>
        <v>0</v>
      </c>
      <c r="O889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890" spans="1:15" x14ac:dyDescent="0.25">
      <c r="A890" s="1">
        <v>911312</v>
      </c>
      <c r="B890" s="1" t="s">
        <v>128</v>
      </c>
      <c r="C890" s="1" t="s">
        <v>129</v>
      </c>
      <c r="D890" s="2">
        <v>44609.315281597221</v>
      </c>
      <c r="E890" s="1" t="s">
        <v>8</v>
      </c>
      <c r="F890" s="1">
        <v>1</v>
      </c>
      <c r="G890" s="1">
        <v>0</v>
      </c>
      <c r="H890" s="6">
        <f>INT(Query1[[#This Row],[EntryDateTime]])</f>
        <v>44609</v>
      </c>
      <c r="I890" s="1">
        <f>IF(Query1[[#This Row],[ItemType]]="EVAP KIT SF GEN IV",Query1[[#This Row],[OrderQty]]+I889,I889)</f>
        <v>993</v>
      </c>
      <c r="J890" s="1">
        <f>IF(Query1[[#This Row],[ItemType]]="EVAP KIT UNIVERSAL",Query1[[#This Row],[OrderQty]]+J889,J889)</f>
        <v>425</v>
      </c>
      <c r="K890" s="1">
        <f>Query1[[#This Row],[SF Running Total]]+Query1[[#This Row],[UNIV Running Total]]</f>
        <v>1418</v>
      </c>
      <c r="L890">
        <f>VLOOKUP(Query1[[#This Row],[Description]],'kits to boards'!$B$2:$E$156,2,FALSE)</f>
        <v>830036</v>
      </c>
      <c r="M890">
        <f>VLOOKUP(Query1[[#This Row],[Description]],'kits to boards'!$B$2:$E$156,3,FALSE)</f>
        <v>830039</v>
      </c>
      <c r="N890">
        <f>VLOOKUP(Query1[[#This Row],[Description]],'kits to boards'!$B$2:$E$156,4,FALSE)</f>
        <v>0</v>
      </c>
      <c r="O890" t="str">
        <f>CONCATENATE(Query1[[#This Row],[Description]]," - ",Query1[[#This Row],[MB1]]," - ",Query1[[#This Row],[MB2]]," - ",Query1[[#This Row],[MB3]])</f>
        <v>EVAP KIT 63-66 VETTE WO AC - 830036 - 830039 - 0</v>
      </c>
    </row>
    <row r="891" spans="1:15" x14ac:dyDescent="0.25">
      <c r="A891" s="1">
        <v>911312</v>
      </c>
      <c r="B891" s="1" t="s">
        <v>22</v>
      </c>
      <c r="C891" s="1" t="s">
        <v>23</v>
      </c>
      <c r="D891" s="2">
        <v>44609.315474965275</v>
      </c>
      <c r="E891" s="1" t="s">
        <v>8</v>
      </c>
      <c r="F891" s="1">
        <v>1</v>
      </c>
      <c r="G891" s="1">
        <v>0</v>
      </c>
      <c r="H891" s="6">
        <f>INT(Query1[[#This Row],[EntryDateTime]])</f>
        <v>44609</v>
      </c>
      <c r="I891" s="1">
        <f>IF(Query1[[#This Row],[ItemType]]="EVAP KIT SF GEN IV",Query1[[#This Row],[OrderQty]]+I890,I890)</f>
        <v>994</v>
      </c>
      <c r="J891" s="1">
        <f>IF(Query1[[#This Row],[ItemType]]="EVAP KIT UNIVERSAL",Query1[[#This Row],[OrderQty]]+J890,J890)</f>
        <v>425</v>
      </c>
      <c r="K891" s="1">
        <f>Query1[[#This Row],[SF Running Total]]+Query1[[#This Row],[UNIV Running Total]]</f>
        <v>1419</v>
      </c>
      <c r="L891">
        <f>VLOOKUP(Query1[[#This Row],[Description]],'kits to boards'!$B$2:$E$156,2,FALSE)</f>
        <v>830083</v>
      </c>
      <c r="M891">
        <f>VLOOKUP(Query1[[#This Row],[Description]],'kits to boards'!$B$2:$E$156,3,FALSE)</f>
        <v>0</v>
      </c>
      <c r="N891">
        <f>VLOOKUP(Query1[[#This Row],[Description]],'kits to boards'!$B$2:$E$156,4,FALSE)</f>
        <v>0</v>
      </c>
      <c r="O891" t="str">
        <f>CONCATENATE(Query1[[#This Row],[Description]]," - ",Query1[[#This Row],[MB1]]," - ",Query1[[#This Row],[MB2]]," - ",Query1[[#This Row],[MB3]])</f>
        <v>GEN IV MAGNUM EVAP KIT - 830083 - 0 - 0</v>
      </c>
    </row>
    <row r="892" spans="1:15" x14ac:dyDescent="0.25">
      <c r="A892" s="1">
        <v>911214</v>
      </c>
      <c r="B892" s="1" t="s">
        <v>28</v>
      </c>
      <c r="C892" s="1" t="s">
        <v>29</v>
      </c>
      <c r="D892" s="2">
        <v>44609.324460844909</v>
      </c>
      <c r="E892" s="1" t="s">
        <v>8</v>
      </c>
      <c r="F892" s="1">
        <v>1</v>
      </c>
      <c r="G892" s="1">
        <v>0</v>
      </c>
      <c r="H892" s="6">
        <f>INT(Query1[[#This Row],[EntryDateTime]])</f>
        <v>44609</v>
      </c>
      <c r="I892" s="1">
        <f>IF(Query1[[#This Row],[ItemType]]="EVAP KIT SF GEN IV",Query1[[#This Row],[OrderQty]]+I891,I891)</f>
        <v>995</v>
      </c>
      <c r="J892" s="1">
        <f>IF(Query1[[#This Row],[ItemType]]="EVAP KIT UNIVERSAL",Query1[[#This Row],[OrderQty]]+J891,J891)</f>
        <v>425</v>
      </c>
      <c r="K892" s="1">
        <f>Query1[[#This Row],[SF Running Total]]+Query1[[#This Row],[UNIV Running Total]]</f>
        <v>1420</v>
      </c>
      <c r="L892">
        <f>VLOOKUP(Query1[[#This Row],[Description]],'kits to boards'!$B$2:$E$156,2,FALSE)</f>
        <v>830001</v>
      </c>
      <c r="M892">
        <f>VLOOKUP(Query1[[#This Row],[Description]],'kits to boards'!$B$2:$E$156,3,FALSE)</f>
        <v>0</v>
      </c>
      <c r="N892">
        <f>VLOOKUP(Query1[[#This Row],[Description]],'kits to boards'!$B$2:$E$156,4,FALSE)</f>
        <v>0</v>
      </c>
      <c r="O892" t="str">
        <f>CONCATENATE(Query1[[#This Row],[Description]]," - ",Query1[[#This Row],[MB1]]," - ",Query1[[#This Row],[MB2]]," - ",Query1[[#This Row],[MB3]])</f>
        <v>EVAP KIT 73-80 CHEV P-UP W/AC - 830001 - 0 - 0</v>
      </c>
    </row>
    <row r="893" spans="1:15" x14ac:dyDescent="0.25">
      <c r="A893" s="1">
        <v>910778</v>
      </c>
      <c r="B893" s="1" t="s">
        <v>26</v>
      </c>
      <c r="C893" s="1" t="s">
        <v>27</v>
      </c>
      <c r="D893" s="2">
        <v>44609.325658831018</v>
      </c>
      <c r="E893" s="1" t="s">
        <v>8</v>
      </c>
      <c r="F893" s="1">
        <v>1</v>
      </c>
      <c r="G893" s="1">
        <v>0</v>
      </c>
      <c r="H893" s="6">
        <f>INT(Query1[[#This Row],[EntryDateTime]])</f>
        <v>44609</v>
      </c>
      <c r="I893" s="1">
        <f>IF(Query1[[#This Row],[ItemType]]="EVAP KIT SF GEN IV",Query1[[#This Row],[OrderQty]]+I892,I892)</f>
        <v>996</v>
      </c>
      <c r="J893" s="1">
        <f>IF(Query1[[#This Row],[ItemType]]="EVAP KIT UNIVERSAL",Query1[[#This Row],[OrderQty]]+J892,J892)</f>
        <v>425</v>
      </c>
      <c r="K893" s="1">
        <f>Query1[[#This Row],[SF Running Total]]+Query1[[#This Row],[UNIV Running Total]]</f>
        <v>1421</v>
      </c>
      <c r="L893">
        <f>VLOOKUP(Query1[[#This Row],[Description]],'kits to boards'!$B$2:$E$156,2,FALSE)</f>
        <v>830013</v>
      </c>
      <c r="M893">
        <f>VLOOKUP(Query1[[#This Row],[Description]],'kits to boards'!$B$2:$E$156,3,FALSE)</f>
        <v>0</v>
      </c>
      <c r="N893">
        <f>VLOOKUP(Query1[[#This Row],[Description]],'kits to boards'!$B$2:$E$156,4,FALSE)</f>
        <v>0</v>
      </c>
      <c r="O893" t="str">
        <f>CONCATENATE(Query1[[#This Row],[Description]]," - ",Query1[[#This Row],[MB1]]," - ",Query1[[#This Row],[MB2]]," - ",Query1[[#This Row],[MB3]])</f>
        <v>EVAP KIT 67-72 CHEV P-UP W/AC - 830013 - 0 - 0</v>
      </c>
    </row>
    <row r="894" spans="1:15" x14ac:dyDescent="0.25">
      <c r="A894" s="1">
        <v>911322</v>
      </c>
      <c r="B894" s="1" t="s">
        <v>68</v>
      </c>
      <c r="C894" s="1" t="s">
        <v>69</v>
      </c>
      <c r="D894" s="2">
        <v>44609.327147418982</v>
      </c>
      <c r="E894" s="1" t="s">
        <v>8</v>
      </c>
      <c r="F894" s="1">
        <v>1</v>
      </c>
      <c r="G894" s="1">
        <v>0</v>
      </c>
      <c r="H894" s="6">
        <f>INT(Query1[[#This Row],[EntryDateTime]])</f>
        <v>44609</v>
      </c>
      <c r="I894" s="1">
        <f>IF(Query1[[#This Row],[ItemType]]="EVAP KIT SF GEN IV",Query1[[#This Row],[OrderQty]]+I893,I893)</f>
        <v>997</v>
      </c>
      <c r="J894" s="1">
        <f>IF(Query1[[#This Row],[ItemType]]="EVAP KIT UNIVERSAL",Query1[[#This Row],[OrderQty]]+J893,J893)</f>
        <v>425</v>
      </c>
      <c r="K894" s="1">
        <f>Query1[[#This Row],[SF Running Total]]+Query1[[#This Row],[UNIV Running Total]]</f>
        <v>1422</v>
      </c>
      <c r="L894">
        <f>VLOOKUP(Query1[[#This Row],[Description]],'kits to boards'!$B$2:$E$156,2,FALSE)</f>
        <v>830010</v>
      </c>
      <c r="M894">
        <f>VLOOKUP(Query1[[#This Row],[Description]],'kits to boards'!$B$2:$E$156,3,FALSE)</f>
        <v>0</v>
      </c>
      <c r="N894">
        <f>VLOOKUP(Query1[[#This Row],[Description]],'kits to boards'!$B$2:$E$156,4,FALSE)</f>
        <v>0</v>
      </c>
      <c r="O894" t="str">
        <f>CONCATENATE(Query1[[#This Row],[Description]]," - ",Query1[[#This Row],[MB1]]," - ",Query1[[#This Row],[MB2]]," - ",Query1[[#This Row],[MB3]])</f>
        <v>EVAP KIT 70-72 CHEVELLE WO AC - 830010 - 0 - 0</v>
      </c>
    </row>
    <row r="895" spans="1:15" x14ac:dyDescent="0.25">
      <c r="A895" s="1">
        <v>909650</v>
      </c>
      <c r="B895" s="1" t="s">
        <v>14</v>
      </c>
      <c r="C895" s="1" t="s">
        <v>15</v>
      </c>
      <c r="D895" s="2">
        <v>44609.329560300925</v>
      </c>
      <c r="E895" s="1" t="s">
        <v>8</v>
      </c>
      <c r="F895" s="1">
        <v>1</v>
      </c>
      <c r="G895" s="1">
        <v>0</v>
      </c>
      <c r="H895" s="6">
        <f>INT(Query1[[#This Row],[EntryDateTime]])</f>
        <v>44609</v>
      </c>
      <c r="I895" s="1">
        <f>IF(Query1[[#This Row],[ItemType]]="EVAP KIT SF GEN IV",Query1[[#This Row],[OrderQty]]+I894,I894)</f>
        <v>998</v>
      </c>
      <c r="J895" s="1">
        <f>IF(Query1[[#This Row],[ItemType]]="EVAP KIT UNIVERSAL",Query1[[#This Row],[OrderQty]]+J894,J894)</f>
        <v>425</v>
      </c>
      <c r="K895" s="1">
        <f>Query1[[#This Row],[SF Running Total]]+Query1[[#This Row],[UNIV Running Total]]</f>
        <v>1423</v>
      </c>
      <c r="L895">
        <f>VLOOKUP(Query1[[#This Row],[Description]],'kits to boards'!$B$2:$E$156,2,FALSE)</f>
        <v>830054</v>
      </c>
      <c r="M895">
        <f>VLOOKUP(Query1[[#This Row],[Description]],'kits to boards'!$B$2:$E$156,3,FALSE)</f>
        <v>0</v>
      </c>
      <c r="N895">
        <f>VLOOKUP(Query1[[#This Row],[Description]],'kits to boards'!$B$2:$E$156,4,FALSE)</f>
        <v>0</v>
      </c>
      <c r="O895" t="str">
        <f>CONCATENATE(Query1[[#This Row],[Description]]," - ",Query1[[#This Row],[MB1]]," - ",Query1[[#This Row],[MB2]]," - ",Query1[[#This Row],[MB3]])</f>
        <v>EVAP KIT 55-56 CHEVY - 830054 - 0 - 0</v>
      </c>
    </row>
    <row r="896" spans="1:15" x14ac:dyDescent="0.25">
      <c r="A896" s="1">
        <v>910309</v>
      </c>
      <c r="B896" s="1" t="s">
        <v>24</v>
      </c>
      <c r="C896" s="1" t="s">
        <v>25</v>
      </c>
      <c r="D896" s="2">
        <v>44609.330821678239</v>
      </c>
      <c r="E896" s="1" t="s">
        <v>11</v>
      </c>
      <c r="F896" s="1">
        <v>1</v>
      </c>
      <c r="G896" s="1">
        <v>0</v>
      </c>
      <c r="H896" s="6">
        <f>INT(Query1[[#This Row],[EntryDateTime]])</f>
        <v>44609</v>
      </c>
      <c r="I896" s="1">
        <f>IF(Query1[[#This Row],[ItemType]]="EVAP KIT SF GEN IV",Query1[[#This Row],[OrderQty]]+I895,I895)</f>
        <v>998</v>
      </c>
      <c r="J896" s="1">
        <f>IF(Query1[[#This Row],[ItemType]]="EVAP KIT UNIVERSAL",Query1[[#This Row],[OrderQty]]+J895,J895)</f>
        <v>426</v>
      </c>
      <c r="K896" s="1">
        <f>Query1[[#This Row],[SF Running Total]]+Query1[[#This Row],[UNIV Running Total]]</f>
        <v>1424</v>
      </c>
      <c r="L896">
        <f>VLOOKUP(Query1[[#This Row],[Description]],'kits to boards'!$B$2:$E$156,2,FALSE)</f>
        <v>830029</v>
      </c>
      <c r="M896">
        <f>VLOOKUP(Query1[[#This Row],[Description]],'kits to boards'!$B$2:$E$156,3,FALSE)</f>
        <v>830030</v>
      </c>
      <c r="N896">
        <f>VLOOKUP(Query1[[#This Row],[Description]],'kits to boards'!$B$2:$E$156,4,FALSE)</f>
        <v>0</v>
      </c>
      <c r="O896" t="str">
        <f>CONCATENATE(Query1[[#This Row],[Description]]," - ",Query1[[#This Row],[MB1]]," - ",Query1[[#This Row],[MB2]]," - ",Query1[[#This Row],[MB3]])</f>
        <v>ComPac GEN II W/DEF - 830029 - 830030 - 0</v>
      </c>
    </row>
    <row r="897" spans="1:15" x14ac:dyDescent="0.25">
      <c r="A897" s="1">
        <v>911326</v>
      </c>
      <c r="B897" s="1" t="s">
        <v>96</v>
      </c>
      <c r="C897" s="1" t="s">
        <v>97</v>
      </c>
      <c r="D897" s="2">
        <v>44609.33109255787</v>
      </c>
      <c r="E897" s="1" t="s">
        <v>8</v>
      </c>
      <c r="F897" s="1">
        <v>1</v>
      </c>
      <c r="G897" s="1">
        <v>0</v>
      </c>
      <c r="H897" s="6">
        <f>INT(Query1[[#This Row],[EntryDateTime]])</f>
        <v>44609</v>
      </c>
      <c r="I897" s="1">
        <f>IF(Query1[[#This Row],[ItemType]]="EVAP KIT SF GEN IV",Query1[[#This Row],[OrderQty]]+I896,I896)</f>
        <v>999</v>
      </c>
      <c r="J897" s="1">
        <f>IF(Query1[[#This Row],[ItemType]]="EVAP KIT UNIVERSAL",Query1[[#This Row],[OrderQty]]+J896,J896)</f>
        <v>426</v>
      </c>
      <c r="K897" s="1">
        <f>Query1[[#This Row],[SF Running Total]]+Query1[[#This Row],[UNIV Running Total]]</f>
        <v>1425</v>
      </c>
      <c r="L897">
        <f>VLOOKUP(Query1[[#This Row],[Description]],'kits to boards'!$B$2:$E$156,2,FALSE)</f>
        <v>830004</v>
      </c>
      <c r="M897">
        <f>VLOOKUP(Query1[[#This Row],[Description]],'kits to boards'!$B$2:$E$156,3,FALSE)</f>
        <v>0</v>
      </c>
      <c r="N897">
        <f>VLOOKUP(Query1[[#This Row],[Description]],'kits to boards'!$B$2:$E$156,4,FALSE)</f>
        <v>0</v>
      </c>
      <c r="O897" t="str">
        <f>CONCATENATE(Query1[[#This Row],[Description]]," - ",Query1[[#This Row],[MB1]]," - ",Query1[[#This Row],[MB2]]," - ",Query1[[#This Row],[MB3]])</f>
        <v>EVAP KIT 81-87 CHEV P-UP W/AC - 830004 - 0 - 0</v>
      </c>
    </row>
    <row r="898" spans="1:15" x14ac:dyDescent="0.25">
      <c r="A898" s="1">
        <v>911334</v>
      </c>
      <c r="B898" s="1" t="s">
        <v>116</v>
      </c>
      <c r="C898" s="1" t="s">
        <v>117</v>
      </c>
      <c r="D898" s="2">
        <v>44609.341631793985</v>
      </c>
      <c r="E898" s="1" t="s">
        <v>8</v>
      </c>
      <c r="F898" s="1">
        <v>1</v>
      </c>
      <c r="G898" s="1">
        <v>0</v>
      </c>
      <c r="H898" s="6">
        <f>INT(Query1[[#This Row],[EntryDateTime]])</f>
        <v>44609</v>
      </c>
      <c r="I898" s="1">
        <f>IF(Query1[[#This Row],[ItemType]]="EVAP KIT SF GEN IV",Query1[[#This Row],[OrderQty]]+I897,I897)</f>
        <v>1000</v>
      </c>
      <c r="J898" s="1">
        <f>IF(Query1[[#This Row],[ItemType]]="EVAP KIT UNIVERSAL",Query1[[#This Row],[OrderQty]]+J897,J897)</f>
        <v>426</v>
      </c>
      <c r="K898" s="1">
        <f>Query1[[#This Row],[SF Running Total]]+Query1[[#This Row],[UNIV Running Total]]</f>
        <v>1426</v>
      </c>
      <c r="L898">
        <f>VLOOKUP(Query1[[#This Row],[Description]],'kits to boards'!$B$2:$E$156,2,FALSE)</f>
        <v>830058</v>
      </c>
      <c r="M898">
        <f>VLOOKUP(Query1[[#This Row],[Description]],'kits to boards'!$B$2:$E$156,3,FALSE)</f>
        <v>0</v>
      </c>
      <c r="N898">
        <f>VLOOKUP(Query1[[#This Row],[Description]],'kits to boards'!$B$2:$E$156,4,FALSE)</f>
        <v>0</v>
      </c>
      <c r="O898" t="str">
        <f>CONCATENATE(Query1[[#This Row],[Description]]," - ",Query1[[#This Row],[MB1]]," - ",Query1[[#This Row],[MB2]]," - ",Query1[[#This Row],[MB3]])</f>
        <v>EVAP KIT 64-65 CHEVELLE WO AC - 830058 - 0 - 0</v>
      </c>
    </row>
    <row r="899" spans="1:15" x14ac:dyDescent="0.25">
      <c r="A899" s="1">
        <v>911332</v>
      </c>
      <c r="B899" s="1" t="s">
        <v>56</v>
      </c>
      <c r="C899" s="1" t="s">
        <v>57</v>
      </c>
      <c r="D899" s="2">
        <v>44609.342767326387</v>
      </c>
      <c r="E899" s="1" t="s">
        <v>8</v>
      </c>
      <c r="F899" s="1">
        <v>1</v>
      </c>
      <c r="G899" s="1">
        <v>0</v>
      </c>
      <c r="H899" s="6">
        <f>INT(Query1[[#This Row],[EntryDateTime]])</f>
        <v>44609</v>
      </c>
      <c r="I899" s="1">
        <f>IF(Query1[[#This Row],[ItemType]]="EVAP KIT SF GEN IV",Query1[[#This Row],[OrderQty]]+I898,I898)</f>
        <v>1001</v>
      </c>
      <c r="J899" s="1">
        <f>IF(Query1[[#This Row],[ItemType]]="EVAP KIT UNIVERSAL",Query1[[#This Row],[OrderQty]]+J898,J898)</f>
        <v>426</v>
      </c>
      <c r="K899" s="1">
        <f>Query1[[#This Row],[SF Running Total]]+Query1[[#This Row],[UNIV Running Total]]</f>
        <v>1427</v>
      </c>
      <c r="L899">
        <f>VLOOKUP(Query1[[#This Row],[Description]],'kits to boards'!$B$2:$E$156,2,FALSE)</f>
        <v>830011</v>
      </c>
      <c r="M899">
        <f>VLOOKUP(Query1[[#This Row],[Description]],'kits to boards'!$B$2:$E$156,3,FALSE)</f>
        <v>0</v>
      </c>
      <c r="N899">
        <f>VLOOKUP(Query1[[#This Row],[Description]],'kits to boards'!$B$2:$E$156,4,FALSE)</f>
        <v>0</v>
      </c>
      <c r="O899" t="str">
        <f>CONCATENATE(Query1[[#This Row],[Description]]," - ",Query1[[#This Row],[MB1]]," - ",Query1[[#This Row],[MB2]]," - ",Query1[[#This Row],[MB3]])</f>
        <v>EVAP KIT 70-72 CHEVELLE W/AC - 830011 - 0 - 0</v>
      </c>
    </row>
    <row r="900" spans="1:15" x14ac:dyDescent="0.25">
      <c r="A900" s="1">
        <v>911336</v>
      </c>
      <c r="B900" s="1" t="s">
        <v>186</v>
      </c>
      <c r="C900" s="1" t="s">
        <v>187</v>
      </c>
      <c r="D900" s="2">
        <v>44609.345118668978</v>
      </c>
      <c r="E900" s="1" t="s">
        <v>8</v>
      </c>
      <c r="F900" s="1">
        <v>1</v>
      </c>
      <c r="G900" s="1">
        <v>0</v>
      </c>
      <c r="H900" s="6">
        <f>INT(Query1[[#This Row],[EntryDateTime]])</f>
        <v>44609</v>
      </c>
      <c r="I900" s="1">
        <f>IF(Query1[[#This Row],[ItemType]]="EVAP KIT SF GEN IV",Query1[[#This Row],[OrderQty]]+I899,I899)</f>
        <v>1002</v>
      </c>
      <c r="J900" s="1">
        <f>IF(Query1[[#This Row],[ItemType]]="EVAP KIT UNIVERSAL",Query1[[#This Row],[OrderQty]]+J899,J899)</f>
        <v>426</v>
      </c>
      <c r="K900" s="1">
        <f>Query1[[#This Row],[SF Running Total]]+Query1[[#This Row],[UNIV Running Total]]</f>
        <v>1428</v>
      </c>
      <c r="L900">
        <f>VLOOKUP(Query1[[#This Row],[Description]],'kits to boards'!$B$2:$E$156,2,FALSE)</f>
        <v>830125</v>
      </c>
      <c r="M900">
        <f>VLOOKUP(Query1[[#This Row],[Description]],'kits to boards'!$B$2:$E$156,3,FALSE)</f>
        <v>830126</v>
      </c>
      <c r="N900">
        <f>VLOOKUP(Query1[[#This Row],[Description]],'kits to boards'!$B$2:$E$156,4,FALSE)</f>
        <v>0</v>
      </c>
      <c r="O900" t="str">
        <f>CONCATENATE(Query1[[#This Row],[Description]]," - ",Query1[[#This Row],[MB1]]," - ",Query1[[#This Row],[MB2]]," - ",Query1[[#This Row],[MB3]])</f>
        <v>EVAP KIT 65-66 IMPALA WO/AC - 830125 - 830126 - 0</v>
      </c>
    </row>
    <row r="901" spans="1:15" x14ac:dyDescent="0.25">
      <c r="A901" s="1">
        <v>911338</v>
      </c>
      <c r="B901" s="1" t="s">
        <v>256</v>
      </c>
      <c r="C901" s="1" t="s">
        <v>257</v>
      </c>
      <c r="D901" s="2">
        <v>44609.346372800923</v>
      </c>
      <c r="E901" s="1" t="s">
        <v>8</v>
      </c>
      <c r="F901" s="1">
        <v>1</v>
      </c>
      <c r="G901" s="1">
        <v>0</v>
      </c>
      <c r="H901" s="6">
        <f>INT(Query1[[#This Row],[EntryDateTime]])</f>
        <v>44609</v>
      </c>
      <c r="I901" s="1">
        <f>IF(Query1[[#This Row],[ItemType]]="EVAP KIT SF GEN IV",Query1[[#This Row],[OrderQty]]+I900,I900)</f>
        <v>1003</v>
      </c>
      <c r="J901" s="1">
        <f>IF(Query1[[#This Row],[ItemType]]="EVAP KIT UNIVERSAL",Query1[[#This Row],[OrderQty]]+J900,J900)</f>
        <v>426</v>
      </c>
      <c r="K901" s="1">
        <f>Query1[[#This Row],[SF Running Total]]+Query1[[#This Row],[UNIV Running Total]]</f>
        <v>1429</v>
      </c>
      <c r="L901">
        <f>VLOOKUP(Query1[[#This Row],[Description]],'kits to boards'!$B$2:$E$156,2,FALSE)</f>
        <v>830025</v>
      </c>
      <c r="M901">
        <f>VLOOKUP(Query1[[#This Row],[Description]],'kits to boards'!$B$2:$E$156,3,FALSE)</f>
        <v>830022</v>
      </c>
      <c r="N901">
        <f>VLOOKUP(Query1[[#This Row],[Description]],'kits to boards'!$B$2:$E$156,4,FALSE)</f>
        <v>0</v>
      </c>
      <c r="O901" t="str">
        <f>CONCATENATE(Query1[[#This Row],[Description]]," - ",Query1[[#This Row],[MB1]]," - ",Query1[[#This Row],[MB2]]," - ",Query1[[#This Row],[MB3]])</f>
        <v>EVAP KIT 68-69 CUTLASS W/AC - 830025 - 830022 - 0</v>
      </c>
    </row>
    <row r="902" spans="1:15" x14ac:dyDescent="0.25">
      <c r="A902" s="1">
        <v>911344</v>
      </c>
      <c r="B902" s="1" t="s">
        <v>9</v>
      </c>
      <c r="C902" s="1" t="s">
        <v>10</v>
      </c>
      <c r="D902" s="2">
        <v>44609.350006215274</v>
      </c>
      <c r="E902" s="1" t="s">
        <v>11</v>
      </c>
      <c r="F902" s="1">
        <v>6</v>
      </c>
      <c r="G902" s="1">
        <v>0</v>
      </c>
      <c r="H902" s="6">
        <f>INT(Query1[[#This Row],[EntryDateTime]])</f>
        <v>44609</v>
      </c>
      <c r="I902" s="1">
        <f>IF(Query1[[#This Row],[ItemType]]="EVAP KIT SF GEN IV",Query1[[#This Row],[OrderQty]]+I901,I901)</f>
        <v>1003</v>
      </c>
      <c r="J902" s="1">
        <f>IF(Query1[[#This Row],[ItemType]]="EVAP KIT UNIVERSAL",Query1[[#This Row],[OrderQty]]+J901,J901)</f>
        <v>432</v>
      </c>
      <c r="K902" s="1">
        <f>Query1[[#This Row],[SF Running Total]]+Query1[[#This Row],[UNIV Running Total]]</f>
        <v>1435</v>
      </c>
      <c r="L902">
        <f>VLOOKUP(Query1[[#This Row],[Description]],'kits to boards'!$B$2:$E$156,2,FALSE)</f>
        <v>830069</v>
      </c>
      <c r="M902">
        <f>VLOOKUP(Query1[[#This Row],[Description]],'kits to boards'!$B$2:$E$156,3,FALSE)</f>
        <v>0</v>
      </c>
      <c r="N902">
        <f>VLOOKUP(Query1[[#This Row],[Description]],'kits to boards'!$B$2:$E$156,4,FALSE)</f>
        <v>0</v>
      </c>
      <c r="O902" t="str">
        <f>CONCATENATE(Query1[[#This Row],[Description]]," - ",Query1[[#This Row],[MB1]]," - ",Query1[[#This Row],[MB2]]," - ",Query1[[#This Row],[MB3]])</f>
        <v>SLIMLINE H/C W/DEF STD LOUVER - 830069 - 0 - 0</v>
      </c>
    </row>
    <row r="903" spans="1:15" x14ac:dyDescent="0.25">
      <c r="A903" s="1">
        <v>911344</v>
      </c>
      <c r="B903" s="1" t="s">
        <v>82</v>
      </c>
      <c r="C903" s="1" t="s">
        <v>83</v>
      </c>
      <c r="D903" s="2">
        <v>44609.351332210645</v>
      </c>
      <c r="E903" s="1" t="s">
        <v>11</v>
      </c>
      <c r="F903" s="1">
        <v>3</v>
      </c>
      <c r="G903" s="1">
        <v>0</v>
      </c>
      <c r="H903" s="6">
        <f>INT(Query1[[#This Row],[EntryDateTime]])</f>
        <v>44609</v>
      </c>
      <c r="I903" s="1">
        <f>IF(Query1[[#This Row],[ItemType]]="EVAP KIT SF GEN IV",Query1[[#This Row],[OrderQty]]+I902,I902)</f>
        <v>1003</v>
      </c>
      <c r="J903" s="1">
        <f>IF(Query1[[#This Row],[ItemType]]="EVAP KIT UNIVERSAL",Query1[[#This Row],[OrderQty]]+J902,J902)</f>
        <v>435</v>
      </c>
      <c r="K903" s="1">
        <f>Query1[[#This Row],[SF Running Total]]+Query1[[#This Row],[UNIV Running Total]]</f>
        <v>1438</v>
      </c>
      <c r="L903">
        <f>VLOOKUP(Query1[[#This Row],[Description]],'kits to boards'!$B$2:$E$156,2,FALSE)</f>
        <v>830029</v>
      </c>
      <c r="M903">
        <f>VLOOKUP(Query1[[#This Row],[Description]],'kits to boards'!$B$2:$E$156,3,FALSE)</f>
        <v>830030</v>
      </c>
      <c r="N903">
        <f>VLOOKUP(Query1[[#This Row],[Description]],'kits to boards'!$B$2:$E$156,4,FALSE)</f>
        <v>0</v>
      </c>
      <c r="O903" t="str">
        <f>CONCATENATE(Query1[[#This Row],[Description]]," - ",Query1[[#This Row],[MB1]]," - ",Query1[[#This Row],[MB2]]," - ",Query1[[#This Row],[MB3]])</f>
        <v>ComPac GEN II H/C - 830029 - 830030 - 0</v>
      </c>
    </row>
    <row r="904" spans="1:15" x14ac:dyDescent="0.25">
      <c r="A904" s="1">
        <v>911346</v>
      </c>
      <c r="B904" s="1" t="s">
        <v>86</v>
      </c>
      <c r="C904" s="1" t="s">
        <v>87</v>
      </c>
      <c r="D904" s="2">
        <v>44609.353748148147</v>
      </c>
      <c r="E904" s="1" t="s">
        <v>8</v>
      </c>
      <c r="F904" s="1">
        <v>4</v>
      </c>
      <c r="G904" s="1">
        <v>0</v>
      </c>
      <c r="H904" s="6">
        <f>INT(Query1[[#This Row],[EntryDateTime]])</f>
        <v>44609</v>
      </c>
      <c r="I904" s="1">
        <f>IF(Query1[[#This Row],[ItemType]]="EVAP KIT SF GEN IV",Query1[[#This Row],[OrderQty]]+I903,I903)</f>
        <v>1007</v>
      </c>
      <c r="J904" s="1">
        <f>IF(Query1[[#This Row],[ItemType]]="EVAP KIT UNIVERSAL",Query1[[#This Row],[OrderQty]]+J903,J903)</f>
        <v>435</v>
      </c>
      <c r="K904" s="1">
        <f>Query1[[#This Row],[SF Running Total]]+Query1[[#This Row],[UNIV Running Total]]</f>
        <v>1442</v>
      </c>
      <c r="L904">
        <f>VLOOKUP(Query1[[#This Row],[Description]],'kits to boards'!$B$2:$E$156,2,FALSE)</f>
        <v>830048</v>
      </c>
      <c r="M904">
        <f>VLOOKUP(Query1[[#This Row],[Description]],'kits to boards'!$B$2:$E$156,3,FALSE)</f>
        <v>0</v>
      </c>
      <c r="N904">
        <f>VLOOKUP(Query1[[#This Row],[Description]],'kits to boards'!$B$2:$E$156,4,FALSE)</f>
        <v>0</v>
      </c>
      <c r="O904" t="str">
        <f>CONCATENATE(Query1[[#This Row],[Description]]," - ",Query1[[#This Row],[MB1]]," - ",Query1[[#This Row],[MB2]]," - ",Query1[[#This Row],[MB3]])</f>
        <v>EVAP KIT 66-67 NOVA - 830048 - 0 - 0</v>
      </c>
    </row>
    <row r="905" spans="1:15" x14ac:dyDescent="0.25">
      <c r="A905" s="1">
        <v>911346</v>
      </c>
      <c r="B905" s="1" t="s">
        <v>98</v>
      </c>
      <c r="C905" s="1" t="s">
        <v>99</v>
      </c>
      <c r="D905" s="2">
        <v>44609.354189664351</v>
      </c>
      <c r="E905" s="1" t="s">
        <v>11</v>
      </c>
      <c r="F905" s="1">
        <v>20</v>
      </c>
      <c r="G905" s="1">
        <v>0</v>
      </c>
      <c r="H905" s="6">
        <f>INT(Query1[[#This Row],[EntryDateTime]])</f>
        <v>44609</v>
      </c>
      <c r="I905" s="1">
        <f>IF(Query1[[#This Row],[ItemType]]="EVAP KIT SF GEN IV",Query1[[#This Row],[OrderQty]]+I904,I904)</f>
        <v>1007</v>
      </c>
      <c r="J905" s="1">
        <f>IF(Query1[[#This Row],[ItemType]]="EVAP KIT UNIVERSAL",Query1[[#This Row],[OrderQty]]+J904,J904)</f>
        <v>455</v>
      </c>
      <c r="K905" s="1">
        <f>Query1[[#This Row],[SF Running Total]]+Query1[[#This Row],[UNIV Running Total]]</f>
        <v>1462</v>
      </c>
      <c r="L905">
        <f>VLOOKUP(Query1[[#This Row],[Description]],'kits to boards'!$B$2:$E$156,2,FALSE)</f>
        <v>830099</v>
      </c>
      <c r="M905">
        <f>VLOOKUP(Query1[[#This Row],[Description]],'kits to boards'!$B$2:$E$156,3,FALSE)</f>
        <v>0</v>
      </c>
      <c r="N905">
        <f>VLOOKUP(Query1[[#This Row],[Description]],'kits to boards'!$B$2:$E$156,4,FALSE)</f>
        <v>0</v>
      </c>
      <c r="O905" t="str">
        <f>CONCATENATE(Query1[[#This Row],[Description]]," - ",Query1[[#This Row],[MB1]]," - ",Query1[[#This Row],[MB2]]," - ",Query1[[#This Row],[MB3]])</f>
        <v>MINI GEN II W/DEF - 830099 - 0 - 0</v>
      </c>
    </row>
    <row r="906" spans="1:15" x14ac:dyDescent="0.25">
      <c r="A906" s="1">
        <v>911346</v>
      </c>
      <c r="B906" s="1" t="s">
        <v>88</v>
      </c>
      <c r="C906" s="1" t="s">
        <v>89</v>
      </c>
      <c r="D906" s="2">
        <v>44609.354495219908</v>
      </c>
      <c r="E906" s="1" t="s">
        <v>8</v>
      </c>
      <c r="F906" s="1">
        <v>2</v>
      </c>
      <c r="G906" s="1">
        <v>0</v>
      </c>
      <c r="H906" s="6">
        <f>INT(Query1[[#This Row],[EntryDateTime]])</f>
        <v>44609</v>
      </c>
      <c r="I906" s="1">
        <f>IF(Query1[[#This Row],[ItemType]]="EVAP KIT SF GEN IV",Query1[[#This Row],[OrderQty]]+I905,I905)</f>
        <v>1009</v>
      </c>
      <c r="J906" s="1">
        <f>IF(Query1[[#This Row],[ItemType]]="EVAP KIT UNIVERSAL",Query1[[#This Row],[OrderQty]]+J905,J905)</f>
        <v>455</v>
      </c>
      <c r="K906" s="1">
        <f>Query1[[#This Row],[SF Running Total]]+Query1[[#This Row],[UNIV Running Total]]</f>
        <v>1464</v>
      </c>
      <c r="L906">
        <f>VLOOKUP(Query1[[#This Row],[Description]],'kits to boards'!$B$2:$E$156,2,FALSE)</f>
        <v>830003</v>
      </c>
      <c r="M906">
        <f>VLOOKUP(Query1[[#This Row],[Description]],'kits to boards'!$B$2:$E$156,3,FALSE)</f>
        <v>0</v>
      </c>
      <c r="N906">
        <f>VLOOKUP(Query1[[#This Row],[Description]],'kits to boards'!$B$2:$E$156,4,FALSE)</f>
        <v>0</v>
      </c>
      <c r="O906" t="str">
        <f>CONCATENATE(Query1[[#This Row],[Description]]," - ",Query1[[#This Row],[MB1]]," - ",Query1[[#This Row],[MB2]]," - ",Query1[[#This Row],[MB3]])</f>
        <v>EVAP KIT 81-87 CHEV P-UP WO AC - 830003 - 0 - 0</v>
      </c>
    </row>
    <row r="907" spans="1:15" x14ac:dyDescent="0.25">
      <c r="A907" s="1">
        <v>911351</v>
      </c>
      <c r="B907" s="1" t="s">
        <v>502</v>
      </c>
      <c r="C907" s="1" t="s">
        <v>503</v>
      </c>
      <c r="D907" s="2">
        <v>44609.357486030094</v>
      </c>
      <c r="E907" s="1" t="s">
        <v>677</v>
      </c>
      <c r="F907" s="1">
        <v>1</v>
      </c>
      <c r="G907" s="1">
        <v>0</v>
      </c>
      <c r="H907" s="6">
        <f>INT(Query1[[#This Row],[EntryDateTime]])</f>
        <v>44609</v>
      </c>
      <c r="I907" s="1">
        <f>IF(Query1[[#This Row],[ItemType]]="EVAP KIT SF GEN IV",Query1[[#This Row],[OrderQty]]+I906,I906)</f>
        <v>1009</v>
      </c>
      <c r="J907" s="1">
        <f>IF(Query1[[#This Row],[ItemType]]="EVAP KIT UNIVERSAL",Query1[[#This Row],[OrderQty]]+J906,J906)</f>
        <v>455</v>
      </c>
      <c r="K907" s="1">
        <f>Query1[[#This Row],[SF Running Total]]+Query1[[#This Row],[UNIV Running Total]]</f>
        <v>1464</v>
      </c>
      <c r="L907" t="e">
        <f>VLOOKUP(Query1[[#This Row],[Description]],'kits to boards'!$B$2:$E$156,2,FALSE)</f>
        <v>#N/A</v>
      </c>
      <c r="M907" t="e">
        <f>VLOOKUP(Query1[[#This Row],[Description]],'kits to boards'!$B$2:$E$156,3,FALSE)</f>
        <v>#N/A</v>
      </c>
      <c r="N907" t="e">
        <f>VLOOKUP(Query1[[#This Row],[Description]],'kits to boards'!$B$2:$E$156,4,FALSE)</f>
        <v>#N/A</v>
      </c>
      <c r="O907" t="e">
        <f>CONCATENATE(Query1[[#This Row],[Description]]," - ",Query1[[#This Row],[MB1]]," - ",Query1[[#This Row],[MB2]]," - ",Query1[[#This Row],[MB3]])</f>
        <v>#N/A</v>
      </c>
    </row>
    <row r="908" spans="1:15" x14ac:dyDescent="0.25">
      <c r="A908" s="1">
        <v>911348</v>
      </c>
      <c r="B908" s="1" t="s">
        <v>22</v>
      </c>
      <c r="C908" s="1" t="s">
        <v>23</v>
      </c>
      <c r="D908" s="2">
        <v>44609.358541435184</v>
      </c>
      <c r="E908" s="1" t="s">
        <v>8</v>
      </c>
      <c r="F908" s="1">
        <v>26</v>
      </c>
      <c r="G908" s="1">
        <v>0</v>
      </c>
      <c r="H908" s="6">
        <f>INT(Query1[[#This Row],[EntryDateTime]])</f>
        <v>44609</v>
      </c>
      <c r="I908" s="1">
        <f>IF(Query1[[#This Row],[ItemType]]="EVAP KIT SF GEN IV",Query1[[#This Row],[OrderQty]]+I907,I907)</f>
        <v>1035</v>
      </c>
      <c r="J908" s="1">
        <f>IF(Query1[[#This Row],[ItemType]]="EVAP KIT UNIVERSAL",Query1[[#This Row],[OrderQty]]+J907,J907)</f>
        <v>455</v>
      </c>
      <c r="K908" s="1">
        <f>Query1[[#This Row],[SF Running Total]]+Query1[[#This Row],[UNIV Running Total]]</f>
        <v>1490</v>
      </c>
      <c r="L908">
        <f>VLOOKUP(Query1[[#This Row],[Description]],'kits to boards'!$B$2:$E$156,2,FALSE)</f>
        <v>830083</v>
      </c>
      <c r="M908">
        <f>VLOOKUP(Query1[[#This Row],[Description]],'kits to boards'!$B$2:$E$156,3,FALSE)</f>
        <v>0</v>
      </c>
      <c r="N908">
        <f>VLOOKUP(Query1[[#This Row],[Description]],'kits to boards'!$B$2:$E$156,4,FALSE)</f>
        <v>0</v>
      </c>
      <c r="O908" t="str">
        <f>CONCATENATE(Query1[[#This Row],[Description]]," - ",Query1[[#This Row],[MB1]]," - ",Query1[[#This Row],[MB2]]," - ",Query1[[#This Row],[MB3]])</f>
        <v>GEN IV MAGNUM EVAP KIT - 830083 - 0 - 0</v>
      </c>
    </row>
    <row r="909" spans="1:15" x14ac:dyDescent="0.25">
      <c r="A909" s="1">
        <v>911354</v>
      </c>
      <c r="B909" s="1" t="s">
        <v>186</v>
      </c>
      <c r="C909" s="1" t="s">
        <v>187</v>
      </c>
      <c r="D909" s="2">
        <v>44609.365844826389</v>
      </c>
      <c r="E909" s="1" t="s">
        <v>8</v>
      </c>
      <c r="F909" s="1">
        <v>1</v>
      </c>
      <c r="G909" s="1">
        <v>0</v>
      </c>
      <c r="H909" s="6">
        <f>INT(Query1[[#This Row],[EntryDateTime]])</f>
        <v>44609</v>
      </c>
      <c r="I909" s="1">
        <f>IF(Query1[[#This Row],[ItemType]]="EVAP KIT SF GEN IV",Query1[[#This Row],[OrderQty]]+I908,I908)</f>
        <v>1036</v>
      </c>
      <c r="J909" s="1">
        <f>IF(Query1[[#This Row],[ItemType]]="EVAP KIT UNIVERSAL",Query1[[#This Row],[OrderQty]]+J908,J908)</f>
        <v>455</v>
      </c>
      <c r="K909" s="1">
        <f>Query1[[#This Row],[SF Running Total]]+Query1[[#This Row],[UNIV Running Total]]</f>
        <v>1491</v>
      </c>
      <c r="L909">
        <f>VLOOKUP(Query1[[#This Row],[Description]],'kits to boards'!$B$2:$E$156,2,FALSE)</f>
        <v>830125</v>
      </c>
      <c r="M909">
        <f>VLOOKUP(Query1[[#This Row],[Description]],'kits to boards'!$B$2:$E$156,3,FALSE)</f>
        <v>830126</v>
      </c>
      <c r="N909">
        <f>VLOOKUP(Query1[[#This Row],[Description]],'kits to boards'!$B$2:$E$156,4,FALSE)</f>
        <v>0</v>
      </c>
      <c r="O909" t="str">
        <f>CONCATENATE(Query1[[#This Row],[Description]]," - ",Query1[[#This Row],[MB1]]," - ",Query1[[#This Row],[MB2]]," - ",Query1[[#This Row],[MB3]])</f>
        <v>EVAP KIT 65-66 IMPALA WO/AC - 830125 - 830126 - 0</v>
      </c>
    </row>
    <row r="910" spans="1:15" x14ac:dyDescent="0.25">
      <c r="A910" s="1">
        <v>911354</v>
      </c>
      <c r="B910" s="1" t="s">
        <v>150</v>
      </c>
      <c r="C910" s="1" t="s">
        <v>151</v>
      </c>
      <c r="D910" s="2">
        <v>44609.36603005787</v>
      </c>
      <c r="E910" s="1" t="s">
        <v>8</v>
      </c>
      <c r="F910" s="1">
        <v>1</v>
      </c>
      <c r="G910" s="1">
        <v>0</v>
      </c>
      <c r="H910" s="6">
        <f>INT(Query1[[#This Row],[EntryDateTime]])</f>
        <v>44609</v>
      </c>
      <c r="I910" s="1">
        <f>IF(Query1[[#This Row],[ItemType]]="EVAP KIT SF GEN IV",Query1[[#This Row],[OrderQty]]+I909,I909)</f>
        <v>1037</v>
      </c>
      <c r="J910" s="1">
        <f>IF(Query1[[#This Row],[ItemType]]="EVAP KIT UNIVERSAL",Query1[[#This Row],[OrderQty]]+J909,J909)</f>
        <v>455</v>
      </c>
      <c r="K910" s="1">
        <f>Query1[[#This Row],[SF Running Total]]+Query1[[#This Row],[UNIV Running Total]]</f>
        <v>1492</v>
      </c>
      <c r="L910">
        <f>VLOOKUP(Query1[[#This Row],[Description]],'kits to boards'!$B$2:$E$156,2,FALSE)</f>
        <v>830010</v>
      </c>
      <c r="M910">
        <f>VLOOKUP(Query1[[#This Row],[Description]],'kits to boards'!$B$2:$E$156,3,FALSE)</f>
        <v>0</v>
      </c>
      <c r="N910">
        <f>VLOOKUP(Query1[[#This Row],[Description]],'kits to boards'!$B$2:$E$156,4,FALSE)</f>
        <v>0</v>
      </c>
      <c r="O910" t="str">
        <f>CONCATENATE(Query1[[#This Row],[Description]]," - ",Query1[[#This Row],[MB1]]," - ",Query1[[#This Row],[MB2]]," - ",Query1[[#This Row],[MB3]])</f>
        <v>EVAP KIT 70-72 MONTE CARLO W/AC - 830010 - 0 - 0</v>
      </c>
    </row>
    <row r="911" spans="1:15" x14ac:dyDescent="0.25">
      <c r="A911" s="1">
        <v>911354</v>
      </c>
      <c r="B911" s="1" t="s">
        <v>76</v>
      </c>
      <c r="C911" s="1" t="s">
        <v>77</v>
      </c>
      <c r="D911" s="2">
        <v>44609.366272071762</v>
      </c>
      <c r="E911" s="1" t="s">
        <v>11</v>
      </c>
      <c r="F911" s="1">
        <v>9</v>
      </c>
      <c r="G911" s="1">
        <v>0</v>
      </c>
      <c r="H911" s="6">
        <f>INT(Query1[[#This Row],[EntryDateTime]])</f>
        <v>44609</v>
      </c>
      <c r="I911" s="1">
        <f>IF(Query1[[#This Row],[ItemType]]="EVAP KIT SF GEN IV",Query1[[#This Row],[OrderQty]]+I910,I910)</f>
        <v>1037</v>
      </c>
      <c r="J911" s="1">
        <f>IF(Query1[[#This Row],[ItemType]]="EVAP KIT UNIVERSAL",Query1[[#This Row],[OrderQty]]+J910,J910)</f>
        <v>464</v>
      </c>
      <c r="K911" s="1">
        <f>Query1[[#This Row],[SF Running Total]]+Query1[[#This Row],[UNIV Running Total]]</f>
        <v>1501</v>
      </c>
      <c r="L911">
        <f>VLOOKUP(Query1[[#This Row],[Description]],'kits to boards'!$B$2:$E$156,2,FALSE)</f>
        <v>830099</v>
      </c>
      <c r="M911">
        <f>VLOOKUP(Query1[[#This Row],[Description]],'kits to boards'!$B$2:$E$156,3,FALSE)</f>
        <v>0</v>
      </c>
      <c r="N911">
        <f>VLOOKUP(Query1[[#This Row],[Description]],'kits to boards'!$B$2:$E$156,4,FALSE)</f>
        <v>0</v>
      </c>
      <c r="O911" t="str">
        <f>CONCATENATE(Query1[[#This Row],[Description]]," - ",Query1[[#This Row],[MB1]]," - ",Query1[[#This Row],[MB2]]," - ",Query1[[#This Row],[MB3]])</f>
        <v>MINI GEN II H/C - 830099 - 0 - 0</v>
      </c>
    </row>
    <row r="912" spans="1:15" x14ac:dyDescent="0.25">
      <c r="A912" s="1">
        <v>911354</v>
      </c>
      <c r="B912" s="1" t="s">
        <v>28</v>
      </c>
      <c r="C912" s="1" t="s">
        <v>29</v>
      </c>
      <c r="D912" s="2">
        <v>44609.366541550924</v>
      </c>
      <c r="E912" s="1" t="s">
        <v>8</v>
      </c>
      <c r="F912" s="1">
        <v>4</v>
      </c>
      <c r="G912" s="1">
        <v>0</v>
      </c>
      <c r="H912" s="6">
        <f>INT(Query1[[#This Row],[EntryDateTime]])</f>
        <v>44609</v>
      </c>
      <c r="I912" s="1">
        <f>IF(Query1[[#This Row],[ItemType]]="EVAP KIT SF GEN IV",Query1[[#This Row],[OrderQty]]+I911,I911)</f>
        <v>1041</v>
      </c>
      <c r="J912" s="1">
        <f>IF(Query1[[#This Row],[ItemType]]="EVAP KIT UNIVERSAL",Query1[[#This Row],[OrderQty]]+J911,J911)</f>
        <v>464</v>
      </c>
      <c r="K912" s="1">
        <f>Query1[[#This Row],[SF Running Total]]+Query1[[#This Row],[UNIV Running Total]]</f>
        <v>1505</v>
      </c>
      <c r="L912">
        <f>VLOOKUP(Query1[[#This Row],[Description]],'kits to boards'!$B$2:$E$156,2,FALSE)</f>
        <v>830001</v>
      </c>
      <c r="M912">
        <f>VLOOKUP(Query1[[#This Row],[Description]],'kits to boards'!$B$2:$E$156,3,FALSE)</f>
        <v>0</v>
      </c>
      <c r="N912">
        <f>VLOOKUP(Query1[[#This Row],[Description]],'kits to boards'!$B$2:$E$156,4,FALSE)</f>
        <v>0</v>
      </c>
      <c r="O912" t="str">
        <f>CONCATENATE(Query1[[#This Row],[Description]]," - ",Query1[[#This Row],[MB1]]," - ",Query1[[#This Row],[MB2]]," - ",Query1[[#This Row],[MB3]])</f>
        <v>EVAP KIT 73-80 CHEV P-UP W/AC - 830001 - 0 - 0</v>
      </c>
    </row>
    <row r="913" spans="1:15" x14ac:dyDescent="0.25">
      <c r="A913" s="1">
        <v>911358</v>
      </c>
      <c r="B913" s="1" t="s">
        <v>108</v>
      </c>
      <c r="C913" s="1" t="s">
        <v>109</v>
      </c>
      <c r="D913" s="2">
        <v>44609.368442592589</v>
      </c>
      <c r="E913" s="1" t="s">
        <v>8</v>
      </c>
      <c r="F913" s="1">
        <v>1</v>
      </c>
      <c r="G913" s="1">
        <v>0</v>
      </c>
      <c r="H913" s="6">
        <f>INT(Query1[[#This Row],[EntryDateTime]])</f>
        <v>44609</v>
      </c>
      <c r="I913" s="1">
        <f>IF(Query1[[#This Row],[ItemType]]="EVAP KIT SF GEN IV",Query1[[#This Row],[OrderQty]]+I912,I912)</f>
        <v>1042</v>
      </c>
      <c r="J913" s="1">
        <f>IF(Query1[[#This Row],[ItemType]]="EVAP KIT UNIVERSAL",Query1[[#This Row],[OrderQty]]+J912,J912)</f>
        <v>464</v>
      </c>
      <c r="K913" s="1">
        <f>Query1[[#This Row],[SF Running Total]]+Query1[[#This Row],[UNIV Running Total]]</f>
        <v>1506</v>
      </c>
      <c r="L913">
        <f>VLOOKUP(Query1[[#This Row],[Description]],'kits to boards'!$B$2:$E$156,2,FALSE)</f>
        <v>830105</v>
      </c>
      <c r="M913">
        <f>VLOOKUP(Query1[[#This Row],[Description]],'kits to boards'!$B$2:$E$156,3,FALSE)</f>
        <v>830106</v>
      </c>
      <c r="N913">
        <f>VLOOKUP(Query1[[#This Row],[Description]],'kits to boards'!$B$2:$E$156,4,FALSE)</f>
        <v>0</v>
      </c>
      <c r="O913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914" spans="1:15" x14ac:dyDescent="0.25">
      <c r="A914" s="1">
        <v>911359</v>
      </c>
      <c r="B914" s="1" t="s">
        <v>24</v>
      </c>
      <c r="C914" s="1" t="s">
        <v>25</v>
      </c>
      <c r="D914" s="2">
        <v>44609.369556944446</v>
      </c>
      <c r="E914" s="1" t="s">
        <v>11</v>
      </c>
      <c r="F914" s="1">
        <v>10</v>
      </c>
      <c r="G914" s="1">
        <v>0</v>
      </c>
      <c r="H914" s="6">
        <f>INT(Query1[[#This Row],[EntryDateTime]])</f>
        <v>44609</v>
      </c>
      <c r="I914" s="1">
        <f>IF(Query1[[#This Row],[ItemType]]="EVAP KIT SF GEN IV",Query1[[#This Row],[OrderQty]]+I913,I913)</f>
        <v>1042</v>
      </c>
      <c r="J914" s="1">
        <f>IF(Query1[[#This Row],[ItemType]]="EVAP KIT UNIVERSAL",Query1[[#This Row],[OrderQty]]+J913,J913)</f>
        <v>474</v>
      </c>
      <c r="K914" s="1">
        <f>Query1[[#This Row],[SF Running Total]]+Query1[[#This Row],[UNIV Running Total]]</f>
        <v>1516</v>
      </c>
      <c r="L914">
        <f>VLOOKUP(Query1[[#This Row],[Description]],'kits to boards'!$B$2:$E$156,2,FALSE)</f>
        <v>830029</v>
      </c>
      <c r="M914">
        <f>VLOOKUP(Query1[[#This Row],[Description]],'kits to boards'!$B$2:$E$156,3,FALSE)</f>
        <v>830030</v>
      </c>
      <c r="N914">
        <f>VLOOKUP(Query1[[#This Row],[Description]],'kits to boards'!$B$2:$E$156,4,FALSE)</f>
        <v>0</v>
      </c>
      <c r="O914" t="str">
        <f>CONCATENATE(Query1[[#This Row],[Description]]," - ",Query1[[#This Row],[MB1]]," - ",Query1[[#This Row],[MB2]]," - ",Query1[[#This Row],[MB3]])</f>
        <v>ComPac GEN II W/DEF - 830029 - 830030 - 0</v>
      </c>
    </row>
    <row r="915" spans="1:15" x14ac:dyDescent="0.25">
      <c r="A915" s="1">
        <v>911359</v>
      </c>
      <c r="B915" s="1" t="s">
        <v>104</v>
      </c>
      <c r="C915" s="1" t="s">
        <v>105</v>
      </c>
      <c r="D915" s="2">
        <v>44609.369819560183</v>
      </c>
      <c r="E915" s="1" t="s">
        <v>11</v>
      </c>
      <c r="F915" s="1">
        <v>10</v>
      </c>
      <c r="G915" s="1">
        <v>0</v>
      </c>
      <c r="H915" s="6">
        <f>INT(Query1[[#This Row],[EntryDateTime]])</f>
        <v>44609</v>
      </c>
      <c r="I915" s="1">
        <f>IF(Query1[[#This Row],[ItemType]]="EVAP KIT SF GEN IV",Query1[[#This Row],[OrderQty]]+I914,I914)</f>
        <v>1042</v>
      </c>
      <c r="J915" s="1">
        <f>IF(Query1[[#This Row],[ItemType]]="EVAP KIT UNIVERSAL",Query1[[#This Row],[OrderQty]]+J914,J914)</f>
        <v>484</v>
      </c>
      <c r="K915" s="1">
        <f>Query1[[#This Row],[SF Running Total]]+Query1[[#This Row],[UNIV Running Total]]</f>
        <v>1526</v>
      </c>
      <c r="L915">
        <f>VLOOKUP(Query1[[#This Row],[Description]],'kits to boards'!$B$2:$E$156,2,FALSE)</f>
        <v>0</v>
      </c>
      <c r="M915">
        <f>VLOOKUP(Query1[[#This Row],[Description]],'kits to boards'!$B$2:$E$156,3,FALSE)</f>
        <v>0</v>
      </c>
      <c r="N915">
        <f>VLOOKUP(Query1[[#This Row],[Description]],'kits to boards'!$B$2:$E$156,4,FALSE)</f>
        <v>0</v>
      </c>
      <c r="O915" t="str">
        <f>CONCATENATE(Query1[[#This Row],[Description]]," - ",Query1[[#This Row],[MB1]]," - ",Query1[[#This Row],[MB2]]," - ",Query1[[#This Row],[MB3]])</f>
        <v>HERITAGE BRUSHED EVAP KIT HEAT/COOL - 0 - 0 - 0</v>
      </c>
    </row>
    <row r="916" spans="1:15" x14ac:dyDescent="0.25">
      <c r="A916" s="1">
        <v>911361</v>
      </c>
      <c r="B916" s="1" t="s">
        <v>160</v>
      </c>
      <c r="C916" s="1" t="s">
        <v>161</v>
      </c>
      <c r="D916" s="2">
        <v>44609.375366435183</v>
      </c>
      <c r="E916" s="1" t="s">
        <v>8</v>
      </c>
      <c r="F916" s="1">
        <v>1</v>
      </c>
      <c r="G916" s="1">
        <v>0</v>
      </c>
      <c r="H916" s="6">
        <f>INT(Query1[[#This Row],[EntryDateTime]])</f>
        <v>44609</v>
      </c>
      <c r="I916" s="1">
        <f>IF(Query1[[#This Row],[ItemType]]="EVAP KIT SF GEN IV",Query1[[#This Row],[OrderQty]]+I915,I915)</f>
        <v>1043</v>
      </c>
      <c r="J916" s="1">
        <f>IF(Query1[[#This Row],[ItemType]]="EVAP KIT UNIVERSAL",Query1[[#This Row],[OrderQty]]+J915,J915)</f>
        <v>484</v>
      </c>
      <c r="K916" s="1">
        <f>Query1[[#This Row],[SF Running Total]]+Query1[[#This Row],[UNIV Running Total]]</f>
        <v>1527</v>
      </c>
      <c r="L916">
        <f>VLOOKUP(Query1[[#This Row],[Description]],'kits to boards'!$B$2:$E$156,2,FALSE)</f>
        <v>830083</v>
      </c>
      <c r="M916">
        <f>VLOOKUP(Query1[[#This Row],[Description]],'kits to boards'!$B$2:$E$156,3,FALSE)</f>
        <v>0</v>
      </c>
      <c r="N916">
        <f>VLOOKUP(Query1[[#This Row],[Description]],'kits to boards'!$B$2:$E$156,4,FALSE)</f>
        <v>0</v>
      </c>
      <c r="O916" t="str">
        <f>CONCATENATE(Query1[[#This Row],[Description]]," - ",Query1[[#This Row],[MB1]]," - ",Query1[[#This Row],[MB2]]," - ",Query1[[#This Row],[MB3]])</f>
        <v>EVAP KIT 70-74 CHALNGR/CUDA WO AC - 830083 - 0 - 0</v>
      </c>
    </row>
    <row r="917" spans="1:15" x14ac:dyDescent="0.25">
      <c r="A917" s="1">
        <v>911363</v>
      </c>
      <c r="B917" s="1" t="s">
        <v>38</v>
      </c>
      <c r="C917" s="1" t="s">
        <v>39</v>
      </c>
      <c r="D917" s="2">
        <v>44609.378757141203</v>
      </c>
      <c r="E917" s="1" t="s">
        <v>8</v>
      </c>
      <c r="F917" s="1">
        <v>1</v>
      </c>
      <c r="G917" s="1">
        <v>0</v>
      </c>
      <c r="H917" s="6">
        <f>INT(Query1[[#This Row],[EntryDateTime]])</f>
        <v>44609</v>
      </c>
      <c r="I917" s="1">
        <f>IF(Query1[[#This Row],[ItemType]]="EVAP KIT SF GEN IV",Query1[[#This Row],[OrderQty]]+I916,I916)</f>
        <v>1044</v>
      </c>
      <c r="J917" s="1">
        <f>IF(Query1[[#This Row],[ItemType]]="EVAP KIT UNIVERSAL",Query1[[#This Row],[OrderQty]]+J916,J916)</f>
        <v>484</v>
      </c>
      <c r="K917" s="1">
        <f>Query1[[#This Row],[SF Running Total]]+Query1[[#This Row],[UNIV Running Total]]</f>
        <v>1528</v>
      </c>
      <c r="L917">
        <f>VLOOKUP(Query1[[#This Row],[Description]],'kits to boards'!$B$2:$E$156,2,FALSE)</f>
        <v>830012</v>
      </c>
      <c r="M917">
        <f>VLOOKUP(Query1[[#This Row],[Description]],'kits to boards'!$B$2:$E$156,3,FALSE)</f>
        <v>0</v>
      </c>
      <c r="N917">
        <f>VLOOKUP(Query1[[#This Row],[Description]],'kits to boards'!$B$2:$E$156,4,FALSE)</f>
        <v>0</v>
      </c>
      <c r="O917" t="str">
        <f>CONCATENATE(Query1[[#This Row],[Description]]," - ",Query1[[#This Row],[MB1]]," - ",Query1[[#This Row],[MB2]]," - ",Query1[[#This Row],[MB3]])</f>
        <v>EVAP KIT 69 CAMARO W/AC - 830012 - 0 - 0</v>
      </c>
    </row>
    <row r="918" spans="1:15" x14ac:dyDescent="0.25">
      <c r="A918" s="1">
        <v>911364</v>
      </c>
      <c r="B918" s="1" t="s">
        <v>64</v>
      </c>
      <c r="C918" s="1" t="s">
        <v>65</v>
      </c>
      <c r="D918" s="2">
        <v>44609.380510381947</v>
      </c>
      <c r="E918" s="1" t="s">
        <v>8</v>
      </c>
      <c r="F918" s="1">
        <v>1</v>
      </c>
      <c r="G918" s="1">
        <v>0</v>
      </c>
      <c r="H918" s="6">
        <f>INT(Query1[[#This Row],[EntryDateTime]])</f>
        <v>44609</v>
      </c>
      <c r="I918" s="1">
        <f>IF(Query1[[#This Row],[ItemType]]="EVAP KIT SF GEN IV",Query1[[#This Row],[OrderQty]]+I917,I917)</f>
        <v>1045</v>
      </c>
      <c r="J918" s="1">
        <f>IF(Query1[[#This Row],[ItemType]]="EVAP KIT UNIVERSAL",Query1[[#This Row],[OrderQty]]+J917,J917)</f>
        <v>484</v>
      </c>
      <c r="K918" s="1">
        <f>Query1[[#This Row],[SF Running Total]]+Query1[[#This Row],[UNIV Running Total]]</f>
        <v>1529</v>
      </c>
      <c r="L918">
        <f>VLOOKUP(Query1[[#This Row],[Description]],'kits to boards'!$B$2:$E$156,2,FALSE)</f>
        <v>830067</v>
      </c>
      <c r="M918">
        <f>VLOOKUP(Query1[[#This Row],[Description]],'kits to boards'!$B$2:$E$156,3,FALSE)</f>
        <v>0</v>
      </c>
      <c r="N918">
        <f>VLOOKUP(Query1[[#This Row],[Description]],'kits to boards'!$B$2:$E$156,4,FALSE)</f>
        <v>0</v>
      </c>
      <c r="O918" t="str">
        <f>CONCATENATE(Query1[[#This Row],[Description]]," - ",Query1[[#This Row],[MB1]]," - ",Query1[[#This Row],[MB2]]," - ",Query1[[#This Row],[MB3]])</f>
        <v>EVAP KIT 59-60 CHEV CAR 4-LEVER - 830067 - 0 - 0</v>
      </c>
    </row>
    <row r="919" spans="1:15" x14ac:dyDescent="0.25">
      <c r="A919" s="1">
        <v>910502</v>
      </c>
      <c r="B919" s="1" t="s">
        <v>34</v>
      </c>
      <c r="C919" s="1" t="s">
        <v>35</v>
      </c>
      <c r="D919" s="2">
        <v>44609.380884641207</v>
      </c>
      <c r="E919" s="1" t="s">
        <v>8</v>
      </c>
      <c r="F919" s="1">
        <v>1</v>
      </c>
      <c r="G919" s="1">
        <v>0</v>
      </c>
      <c r="H919" s="6">
        <f>INT(Query1[[#This Row],[EntryDateTime]])</f>
        <v>44609</v>
      </c>
      <c r="I919" s="1">
        <f>IF(Query1[[#This Row],[ItemType]]="EVAP KIT SF GEN IV",Query1[[#This Row],[OrderQty]]+I918,I918)</f>
        <v>1046</v>
      </c>
      <c r="J919" s="1">
        <f>IF(Query1[[#This Row],[ItemType]]="EVAP KIT UNIVERSAL",Query1[[#This Row],[OrderQty]]+J918,J918)</f>
        <v>484</v>
      </c>
      <c r="K919" s="1">
        <f>Query1[[#This Row],[SF Running Total]]+Query1[[#This Row],[UNIV Running Total]]</f>
        <v>1530</v>
      </c>
      <c r="L919">
        <f>VLOOKUP(Query1[[#This Row],[Description]],'kits to boards'!$B$2:$E$156,2,FALSE)</f>
        <v>830065</v>
      </c>
      <c r="M919">
        <f>VLOOKUP(Query1[[#This Row],[Description]],'kits to boards'!$B$2:$E$156,3,FALSE)</f>
        <v>0</v>
      </c>
      <c r="N919">
        <f>VLOOKUP(Query1[[#This Row],[Description]],'kits to boards'!$B$2:$E$156,4,FALSE)</f>
        <v>0</v>
      </c>
      <c r="O919" t="str">
        <f>CONCATENATE(Query1[[#This Row],[Description]]," - ",Query1[[#This Row],[MB1]]," - ",Query1[[#This Row],[MB2]]," - ",Query1[[#This Row],[MB3]])</f>
        <v>EVAP KIT 57 CHEV WO AC - 830065 - 0 - 0</v>
      </c>
    </row>
    <row r="920" spans="1:15" x14ac:dyDescent="0.25">
      <c r="A920" s="1">
        <v>911366</v>
      </c>
      <c r="B920" s="1" t="s">
        <v>52</v>
      </c>
      <c r="C920" s="1" t="s">
        <v>53</v>
      </c>
      <c r="D920" s="2">
        <v>44609.382670636573</v>
      </c>
      <c r="E920" s="1" t="s">
        <v>8</v>
      </c>
      <c r="F920" s="1">
        <v>1</v>
      </c>
      <c r="G920" s="1">
        <v>0</v>
      </c>
      <c r="H920" s="6">
        <f>INT(Query1[[#This Row],[EntryDateTime]])</f>
        <v>44609</v>
      </c>
      <c r="I920" s="1">
        <f>IF(Query1[[#This Row],[ItemType]]="EVAP KIT SF GEN IV",Query1[[#This Row],[OrderQty]]+I919,I919)</f>
        <v>1047</v>
      </c>
      <c r="J920" s="1">
        <f>IF(Query1[[#This Row],[ItemType]]="EVAP KIT UNIVERSAL",Query1[[#This Row],[OrderQty]]+J919,J919)</f>
        <v>484</v>
      </c>
      <c r="K920" s="1">
        <f>Query1[[#This Row],[SF Running Total]]+Query1[[#This Row],[UNIV Running Total]]</f>
        <v>1531</v>
      </c>
      <c r="L920">
        <f>VLOOKUP(Query1[[#This Row],[Description]],'kits to boards'!$B$2:$E$156,2,FALSE)</f>
        <v>830017</v>
      </c>
      <c r="M920">
        <f>VLOOKUP(Query1[[#This Row],[Description]],'kits to boards'!$B$2:$E$156,3,FALSE)</f>
        <v>830119</v>
      </c>
      <c r="N920">
        <f>VLOOKUP(Query1[[#This Row],[Description]],'kits to boards'!$B$2:$E$156,4,FALSE)</f>
        <v>830120</v>
      </c>
      <c r="O920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921" spans="1:15" x14ac:dyDescent="0.25">
      <c r="A921" s="1">
        <v>911368</v>
      </c>
      <c r="B921" s="1" t="s">
        <v>56</v>
      </c>
      <c r="C921" s="1" t="s">
        <v>57</v>
      </c>
      <c r="D921" s="2">
        <v>44609.385976157406</v>
      </c>
      <c r="E921" s="1" t="s">
        <v>8</v>
      </c>
      <c r="F921" s="1">
        <v>1</v>
      </c>
      <c r="G921" s="1">
        <v>0</v>
      </c>
      <c r="H921" s="6">
        <f>INT(Query1[[#This Row],[EntryDateTime]])</f>
        <v>44609</v>
      </c>
      <c r="I921" s="1">
        <f>IF(Query1[[#This Row],[ItemType]]="EVAP KIT SF GEN IV",Query1[[#This Row],[OrderQty]]+I920,I920)</f>
        <v>1048</v>
      </c>
      <c r="J921" s="1">
        <f>IF(Query1[[#This Row],[ItemType]]="EVAP KIT UNIVERSAL",Query1[[#This Row],[OrderQty]]+J920,J920)</f>
        <v>484</v>
      </c>
      <c r="K921" s="1">
        <f>Query1[[#This Row],[SF Running Total]]+Query1[[#This Row],[UNIV Running Total]]</f>
        <v>1532</v>
      </c>
      <c r="L921">
        <f>VLOOKUP(Query1[[#This Row],[Description]],'kits to boards'!$B$2:$E$156,2,FALSE)</f>
        <v>830011</v>
      </c>
      <c r="M921">
        <f>VLOOKUP(Query1[[#This Row],[Description]],'kits to boards'!$B$2:$E$156,3,FALSE)</f>
        <v>0</v>
      </c>
      <c r="N921">
        <f>VLOOKUP(Query1[[#This Row],[Description]],'kits to boards'!$B$2:$E$156,4,FALSE)</f>
        <v>0</v>
      </c>
      <c r="O921" t="str">
        <f>CONCATENATE(Query1[[#This Row],[Description]]," - ",Query1[[#This Row],[MB1]]," - ",Query1[[#This Row],[MB2]]," - ",Query1[[#This Row],[MB3]])</f>
        <v>EVAP KIT 70-72 CHEVELLE W/AC - 830011 - 0 - 0</v>
      </c>
    </row>
    <row r="922" spans="1:15" x14ac:dyDescent="0.25">
      <c r="A922" s="1">
        <v>911179</v>
      </c>
      <c r="B922" s="1" t="s">
        <v>26</v>
      </c>
      <c r="C922" s="1" t="s">
        <v>27</v>
      </c>
      <c r="D922" s="2">
        <v>44609.392524502313</v>
      </c>
      <c r="E922" s="1" t="s">
        <v>8</v>
      </c>
      <c r="F922" s="1">
        <v>1</v>
      </c>
      <c r="G922" s="1">
        <v>0</v>
      </c>
      <c r="H922" s="6">
        <f>INT(Query1[[#This Row],[EntryDateTime]])</f>
        <v>44609</v>
      </c>
      <c r="I922" s="1">
        <f>IF(Query1[[#This Row],[ItemType]]="EVAP KIT SF GEN IV",Query1[[#This Row],[OrderQty]]+I921,I921)</f>
        <v>1049</v>
      </c>
      <c r="J922" s="1">
        <f>IF(Query1[[#This Row],[ItemType]]="EVAP KIT UNIVERSAL",Query1[[#This Row],[OrderQty]]+J921,J921)</f>
        <v>484</v>
      </c>
      <c r="K922" s="1">
        <f>Query1[[#This Row],[SF Running Total]]+Query1[[#This Row],[UNIV Running Total]]</f>
        <v>1533</v>
      </c>
      <c r="L922">
        <f>VLOOKUP(Query1[[#This Row],[Description]],'kits to boards'!$B$2:$E$156,2,FALSE)</f>
        <v>830013</v>
      </c>
      <c r="M922">
        <f>VLOOKUP(Query1[[#This Row],[Description]],'kits to boards'!$B$2:$E$156,3,FALSE)</f>
        <v>0</v>
      </c>
      <c r="N922">
        <f>VLOOKUP(Query1[[#This Row],[Description]],'kits to boards'!$B$2:$E$156,4,FALSE)</f>
        <v>0</v>
      </c>
      <c r="O922" t="str">
        <f>CONCATENATE(Query1[[#This Row],[Description]]," - ",Query1[[#This Row],[MB1]]," - ",Query1[[#This Row],[MB2]]," - ",Query1[[#This Row],[MB3]])</f>
        <v>EVAP KIT 67-72 CHEV P-UP W/AC - 830013 - 0 - 0</v>
      </c>
    </row>
    <row r="923" spans="1:15" x14ac:dyDescent="0.25">
      <c r="A923" s="1">
        <v>911245</v>
      </c>
      <c r="B923" s="1" t="s">
        <v>64</v>
      </c>
      <c r="C923" s="1" t="s">
        <v>65</v>
      </c>
      <c r="D923" s="2">
        <v>44609.395067476849</v>
      </c>
      <c r="E923" s="1" t="s">
        <v>8</v>
      </c>
      <c r="F923" s="1">
        <v>1</v>
      </c>
      <c r="G923" s="1">
        <v>0</v>
      </c>
      <c r="H923" s="6">
        <f>INT(Query1[[#This Row],[EntryDateTime]])</f>
        <v>44609</v>
      </c>
      <c r="I923" s="1">
        <f>IF(Query1[[#This Row],[ItemType]]="EVAP KIT SF GEN IV",Query1[[#This Row],[OrderQty]]+I922,I922)</f>
        <v>1050</v>
      </c>
      <c r="J923" s="1">
        <f>IF(Query1[[#This Row],[ItemType]]="EVAP KIT UNIVERSAL",Query1[[#This Row],[OrderQty]]+J922,J922)</f>
        <v>484</v>
      </c>
      <c r="K923" s="1">
        <f>Query1[[#This Row],[SF Running Total]]+Query1[[#This Row],[UNIV Running Total]]</f>
        <v>1534</v>
      </c>
      <c r="L923">
        <f>VLOOKUP(Query1[[#This Row],[Description]],'kits to boards'!$B$2:$E$156,2,FALSE)</f>
        <v>830067</v>
      </c>
      <c r="M923">
        <f>VLOOKUP(Query1[[#This Row],[Description]],'kits to boards'!$B$2:$E$156,3,FALSE)</f>
        <v>0</v>
      </c>
      <c r="N923">
        <f>VLOOKUP(Query1[[#This Row],[Description]],'kits to boards'!$B$2:$E$156,4,FALSE)</f>
        <v>0</v>
      </c>
      <c r="O923" t="str">
        <f>CONCATENATE(Query1[[#This Row],[Description]]," - ",Query1[[#This Row],[MB1]]," - ",Query1[[#This Row],[MB2]]," - ",Query1[[#This Row],[MB3]])</f>
        <v>EVAP KIT 59-60 CHEV CAR 4-LEVER - 830067 - 0 - 0</v>
      </c>
    </row>
    <row r="924" spans="1:15" x14ac:dyDescent="0.25">
      <c r="A924" s="1">
        <v>911256</v>
      </c>
      <c r="B924" s="1" t="s">
        <v>116</v>
      </c>
      <c r="C924" s="1" t="s">
        <v>117</v>
      </c>
      <c r="D924" s="2">
        <v>44609.399056134258</v>
      </c>
      <c r="E924" s="1" t="s">
        <v>8</v>
      </c>
      <c r="F924" s="1">
        <v>1</v>
      </c>
      <c r="G924" s="1">
        <v>0</v>
      </c>
      <c r="H924" s="6">
        <f>INT(Query1[[#This Row],[EntryDateTime]])</f>
        <v>44609</v>
      </c>
      <c r="I924" s="1">
        <f>IF(Query1[[#This Row],[ItemType]]="EVAP KIT SF GEN IV",Query1[[#This Row],[OrderQty]]+I923,I923)</f>
        <v>1051</v>
      </c>
      <c r="J924" s="1">
        <f>IF(Query1[[#This Row],[ItemType]]="EVAP KIT UNIVERSAL",Query1[[#This Row],[OrderQty]]+J923,J923)</f>
        <v>484</v>
      </c>
      <c r="K924" s="1">
        <f>Query1[[#This Row],[SF Running Total]]+Query1[[#This Row],[UNIV Running Total]]</f>
        <v>1535</v>
      </c>
      <c r="L924">
        <f>VLOOKUP(Query1[[#This Row],[Description]],'kits to boards'!$B$2:$E$156,2,FALSE)</f>
        <v>830058</v>
      </c>
      <c r="M924">
        <f>VLOOKUP(Query1[[#This Row],[Description]],'kits to boards'!$B$2:$E$156,3,FALSE)</f>
        <v>0</v>
      </c>
      <c r="N924">
        <f>VLOOKUP(Query1[[#This Row],[Description]],'kits to boards'!$B$2:$E$156,4,FALSE)</f>
        <v>0</v>
      </c>
      <c r="O924" t="str">
        <f>CONCATENATE(Query1[[#This Row],[Description]]," - ",Query1[[#This Row],[MB1]]," - ",Query1[[#This Row],[MB2]]," - ",Query1[[#This Row],[MB3]])</f>
        <v>EVAP KIT 64-65 CHEVELLE WO AC - 830058 - 0 - 0</v>
      </c>
    </row>
    <row r="925" spans="1:15" x14ac:dyDescent="0.25">
      <c r="A925" s="1">
        <v>911377</v>
      </c>
      <c r="B925" s="1" t="s">
        <v>98</v>
      </c>
      <c r="C925" s="1" t="s">
        <v>99</v>
      </c>
      <c r="D925" s="2">
        <v>44609.400979664351</v>
      </c>
      <c r="E925" s="1" t="s">
        <v>11</v>
      </c>
      <c r="F925" s="1">
        <v>1</v>
      </c>
      <c r="G925" s="1">
        <v>0</v>
      </c>
      <c r="H925" s="6">
        <f>INT(Query1[[#This Row],[EntryDateTime]])</f>
        <v>44609</v>
      </c>
      <c r="I925" s="1">
        <f>IF(Query1[[#This Row],[ItemType]]="EVAP KIT SF GEN IV",Query1[[#This Row],[OrderQty]]+I924,I924)</f>
        <v>1051</v>
      </c>
      <c r="J925" s="1">
        <f>IF(Query1[[#This Row],[ItemType]]="EVAP KIT UNIVERSAL",Query1[[#This Row],[OrderQty]]+J924,J924)</f>
        <v>485</v>
      </c>
      <c r="K925" s="1">
        <f>Query1[[#This Row],[SF Running Total]]+Query1[[#This Row],[UNIV Running Total]]</f>
        <v>1536</v>
      </c>
      <c r="L925">
        <f>VLOOKUP(Query1[[#This Row],[Description]],'kits to boards'!$B$2:$E$156,2,FALSE)</f>
        <v>830099</v>
      </c>
      <c r="M925">
        <f>VLOOKUP(Query1[[#This Row],[Description]],'kits to boards'!$B$2:$E$156,3,FALSE)</f>
        <v>0</v>
      </c>
      <c r="N925">
        <f>VLOOKUP(Query1[[#This Row],[Description]],'kits to boards'!$B$2:$E$156,4,FALSE)</f>
        <v>0</v>
      </c>
      <c r="O925" t="str">
        <f>CONCATENATE(Query1[[#This Row],[Description]]," - ",Query1[[#This Row],[MB1]]," - ",Query1[[#This Row],[MB2]]," - ",Query1[[#This Row],[MB3]])</f>
        <v>MINI GEN II W/DEF - 830099 - 0 - 0</v>
      </c>
    </row>
    <row r="926" spans="1:15" x14ac:dyDescent="0.25">
      <c r="A926" s="1">
        <v>911378</v>
      </c>
      <c r="B926" s="1" t="s">
        <v>22</v>
      </c>
      <c r="C926" s="1" t="s">
        <v>23</v>
      </c>
      <c r="D926" s="2">
        <v>44609.402046261574</v>
      </c>
      <c r="E926" s="1" t="s">
        <v>8</v>
      </c>
      <c r="F926" s="1">
        <v>1</v>
      </c>
      <c r="G926" s="1">
        <v>0</v>
      </c>
      <c r="H926" s="6">
        <f>INT(Query1[[#This Row],[EntryDateTime]])</f>
        <v>44609</v>
      </c>
      <c r="I926" s="1">
        <f>IF(Query1[[#This Row],[ItemType]]="EVAP KIT SF GEN IV",Query1[[#This Row],[OrderQty]]+I925,I925)</f>
        <v>1052</v>
      </c>
      <c r="J926" s="1">
        <f>IF(Query1[[#This Row],[ItemType]]="EVAP KIT UNIVERSAL",Query1[[#This Row],[OrderQty]]+J925,J925)</f>
        <v>485</v>
      </c>
      <c r="K926" s="1">
        <f>Query1[[#This Row],[SF Running Total]]+Query1[[#This Row],[UNIV Running Total]]</f>
        <v>1537</v>
      </c>
      <c r="L926">
        <f>VLOOKUP(Query1[[#This Row],[Description]],'kits to boards'!$B$2:$E$156,2,FALSE)</f>
        <v>830083</v>
      </c>
      <c r="M926">
        <f>VLOOKUP(Query1[[#This Row],[Description]],'kits to boards'!$B$2:$E$156,3,FALSE)</f>
        <v>0</v>
      </c>
      <c r="N926">
        <f>VLOOKUP(Query1[[#This Row],[Description]],'kits to boards'!$B$2:$E$156,4,FALSE)</f>
        <v>0</v>
      </c>
      <c r="O926" t="str">
        <f>CONCATENATE(Query1[[#This Row],[Description]]," - ",Query1[[#This Row],[MB1]]," - ",Query1[[#This Row],[MB2]]," - ",Query1[[#This Row],[MB3]])</f>
        <v>GEN IV MAGNUM EVAP KIT - 830083 - 0 - 0</v>
      </c>
    </row>
    <row r="927" spans="1:15" x14ac:dyDescent="0.25">
      <c r="A927" s="1">
        <v>911382</v>
      </c>
      <c r="B927" s="1" t="s">
        <v>72</v>
      </c>
      <c r="C927" s="1" t="s">
        <v>73</v>
      </c>
      <c r="D927" s="2">
        <v>44609.411085451386</v>
      </c>
      <c r="E927" s="1" t="s">
        <v>8</v>
      </c>
      <c r="F927" s="1">
        <v>1</v>
      </c>
      <c r="G927" s="1">
        <v>0</v>
      </c>
      <c r="H927" s="6">
        <f>INT(Query1[[#This Row],[EntryDateTime]])</f>
        <v>44609</v>
      </c>
      <c r="I927" s="1">
        <f>IF(Query1[[#This Row],[ItemType]]="EVAP KIT SF GEN IV",Query1[[#This Row],[OrderQty]]+I926,I926)</f>
        <v>1053</v>
      </c>
      <c r="J927" s="1">
        <f>IF(Query1[[#This Row],[ItemType]]="EVAP KIT UNIVERSAL",Query1[[#This Row],[OrderQty]]+J926,J926)</f>
        <v>485</v>
      </c>
      <c r="K927" s="1">
        <f>Query1[[#This Row],[SF Running Total]]+Query1[[#This Row],[UNIV Running Total]]</f>
        <v>1538</v>
      </c>
      <c r="L927">
        <f>VLOOKUP(Query1[[#This Row],[Description]],'kits to boards'!$B$2:$E$156,2,FALSE)</f>
        <v>830043</v>
      </c>
      <c r="M927">
        <f>VLOOKUP(Query1[[#This Row],[Description]],'kits to boards'!$B$2:$E$156,3,FALSE)</f>
        <v>0</v>
      </c>
      <c r="N927">
        <f>VLOOKUP(Query1[[#This Row],[Description]],'kits to boards'!$B$2:$E$156,4,FALSE)</f>
        <v>0</v>
      </c>
      <c r="O927" t="str">
        <f>CONCATENATE(Query1[[#This Row],[Description]]," - ",Query1[[#This Row],[MB1]]," - ",Query1[[#This Row],[MB2]]," - ",Query1[[#This Row],[MB3]])</f>
        <v>EVAP KIT 69-74 NOVA W/AC - 830043 - 0 - 0</v>
      </c>
    </row>
    <row r="928" spans="1:15" x14ac:dyDescent="0.25">
      <c r="A928" s="1">
        <v>911305</v>
      </c>
      <c r="B928" s="1" t="s">
        <v>122</v>
      </c>
      <c r="C928" s="1" t="s">
        <v>123</v>
      </c>
      <c r="D928" s="2">
        <v>44609.418883136575</v>
      </c>
      <c r="E928" s="1" t="s">
        <v>8</v>
      </c>
      <c r="F928" s="1">
        <v>1</v>
      </c>
      <c r="G928" s="1">
        <v>0</v>
      </c>
      <c r="H928" s="6">
        <f>INT(Query1[[#This Row],[EntryDateTime]])</f>
        <v>44609</v>
      </c>
      <c r="I928" s="1">
        <f>IF(Query1[[#This Row],[ItemType]]="EVAP KIT SF GEN IV",Query1[[#This Row],[OrderQty]]+I927,I927)</f>
        <v>1054</v>
      </c>
      <c r="J928" s="1">
        <f>IF(Query1[[#This Row],[ItemType]]="EVAP KIT UNIVERSAL",Query1[[#This Row],[OrderQty]]+J927,J927)</f>
        <v>485</v>
      </c>
      <c r="K928" s="1">
        <f>Query1[[#This Row],[SF Running Total]]+Query1[[#This Row],[UNIV Running Total]]</f>
        <v>1539</v>
      </c>
      <c r="L928">
        <f>VLOOKUP(Query1[[#This Row],[Description]],'kits to boards'!$B$2:$E$156,2,FALSE)</f>
        <v>830027</v>
      </c>
      <c r="M928">
        <f>VLOOKUP(Query1[[#This Row],[Description]],'kits to boards'!$B$2:$E$156,3,FALSE)</f>
        <v>0</v>
      </c>
      <c r="N928">
        <f>VLOOKUP(Query1[[#This Row],[Description]],'kits to boards'!$B$2:$E$156,4,FALSE)</f>
        <v>0</v>
      </c>
      <c r="O928" t="str">
        <f>CONCATENATE(Query1[[#This Row],[Description]]," - ",Query1[[#This Row],[MB1]]," - ",Query1[[#This Row],[MB2]]," - ",Query1[[#This Row],[MB3]])</f>
        <v>EVAP KIT 70-72 CUTLASS W/AC - 830027 - 0 - 0</v>
      </c>
    </row>
    <row r="929" spans="1:15" x14ac:dyDescent="0.25">
      <c r="A929" s="1">
        <v>911172</v>
      </c>
      <c r="B929" s="1" t="s">
        <v>106</v>
      </c>
      <c r="C929" s="1" t="s">
        <v>253</v>
      </c>
      <c r="D929" s="2">
        <v>44609.421846874997</v>
      </c>
      <c r="E929" s="1" t="s">
        <v>8</v>
      </c>
      <c r="F929" s="1">
        <v>1</v>
      </c>
      <c r="G929" s="1">
        <v>0</v>
      </c>
      <c r="H929" s="6">
        <f>INT(Query1[[#This Row],[EntryDateTime]])</f>
        <v>44609</v>
      </c>
      <c r="I929" s="1">
        <f>IF(Query1[[#This Row],[ItemType]]="EVAP KIT SF GEN IV",Query1[[#This Row],[OrderQty]]+I928,I928)</f>
        <v>1055</v>
      </c>
      <c r="J929" s="1">
        <f>IF(Query1[[#This Row],[ItemType]]="EVAP KIT UNIVERSAL",Query1[[#This Row],[OrderQty]]+J928,J928)</f>
        <v>485</v>
      </c>
      <c r="K929" s="1">
        <f>Query1[[#This Row],[SF Running Total]]+Query1[[#This Row],[UNIV Running Total]]</f>
        <v>1540</v>
      </c>
      <c r="L929">
        <f>VLOOKUP(Query1[[#This Row],[Description]],'kits to boards'!$B$2:$E$156,2,FALSE)</f>
        <v>830028</v>
      </c>
      <c r="M929">
        <f>VLOOKUP(Query1[[#This Row],[Description]],'kits to boards'!$B$2:$E$156,3,FALSE)</f>
        <v>0</v>
      </c>
      <c r="N929">
        <f>VLOOKUP(Query1[[#This Row],[Description]],'kits to boards'!$B$2:$E$156,4,FALSE)</f>
        <v>0</v>
      </c>
      <c r="O929" t="str">
        <f>CONCATENATE(Query1[[#This Row],[Description]]," - ",Query1[[#This Row],[MB1]]," - ",Query1[[#This Row],[MB2]]," - ",Query1[[#This Row],[MB3]])</f>
        <v>EVAP KIT 55-59 CHEV P-UP WO AC W/DELX  - 830028 - 0 - 0</v>
      </c>
    </row>
    <row r="930" spans="1:15" x14ac:dyDescent="0.25">
      <c r="A930" s="1">
        <v>911375</v>
      </c>
      <c r="B930" s="1" t="s">
        <v>218</v>
      </c>
      <c r="C930" s="1" t="s">
        <v>219</v>
      </c>
      <c r="D930" s="2">
        <v>44609.423160185186</v>
      </c>
      <c r="E930" s="1" t="s">
        <v>8</v>
      </c>
      <c r="F930" s="1">
        <v>1</v>
      </c>
      <c r="G930" s="1">
        <v>0</v>
      </c>
      <c r="H930" s="6">
        <f>INT(Query1[[#This Row],[EntryDateTime]])</f>
        <v>44609</v>
      </c>
      <c r="I930" s="1">
        <f>IF(Query1[[#This Row],[ItemType]]="EVAP KIT SF GEN IV",Query1[[#This Row],[OrderQty]]+I929,I929)</f>
        <v>1056</v>
      </c>
      <c r="J930" s="1">
        <f>IF(Query1[[#This Row],[ItemType]]="EVAP KIT UNIVERSAL",Query1[[#This Row],[OrderQty]]+J929,J929)</f>
        <v>485</v>
      </c>
      <c r="K930" s="1">
        <f>Query1[[#This Row],[SF Running Total]]+Query1[[#This Row],[UNIV Running Total]]</f>
        <v>1541</v>
      </c>
      <c r="L930">
        <f>VLOOKUP(Query1[[#This Row],[Description]],'kits to boards'!$B$2:$E$156,2,FALSE)</f>
        <v>830022</v>
      </c>
      <c r="M930">
        <f>VLOOKUP(Query1[[#This Row],[Description]],'kits to boards'!$B$2:$E$156,3,FALSE)</f>
        <v>0</v>
      </c>
      <c r="N930">
        <f>VLOOKUP(Query1[[#This Row],[Description]],'kits to boards'!$B$2:$E$156,4,FALSE)</f>
        <v>0</v>
      </c>
      <c r="O930" t="str">
        <f>CONCATENATE(Query1[[#This Row],[Description]]," - ",Query1[[#This Row],[MB1]]," - ",Query1[[#This Row],[MB2]]," - ",Query1[[#This Row],[MB3]])</f>
        <v>EVAP KIT 69 CUTLASS WO AC - 830022 - 0 - 0</v>
      </c>
    </row>
    <row r="931" spans="1:15" x14ac:dyDescent="0.25">
      <c r="A931" s="1">
        <v>911392</v>
      </c>
      <c r="B931" s="1" t="s">
        <v>26</v>
      </c>
      <c r="C931" s="1" t="s">
        <v>27</v>
      </c>
      <c r="D931" s="2">
        <v>44609.424347187502</v>
      </c>
      <c r="E931" s="1" t="s">
        <v>8</v>
      </c>
      <c r="F931" s="1">
        <v>1</v>
      </c>
      <c r="G931" s="1">
        <v>0</v>
      </c>
      <c r="H931" s="6">
        <f>INT(Query1[[#This Row],[EntryDateTime]])</f>
        <v>44609</v>
      </c>
      <c r="I931" s="1">
        <f>IF(Query1[[#This Row],[ItemType]]="EVAP KIT SF GEN IV",Query1[[#This Row],[OrderQty]]+I930,I930)</f>
        <v>1057</v>
      </c>
      <c r="J931" s="1">
        <f>IF(Query1[[#This Row],[ItemType]]="EVAP KIT UNIVERSAL",Query1[[#This Row],[OrderQty]]+J930,J930)</f>
        <v>485</v>
      </c>
      <c r="K931" s="1">
        <f>Query1[[#This Row],[SF Running Total]]+Query1[[#This Row],[UNIV Running Total]]</f>
        <v>1542</v>
      </c>
      <c r="L931">
        <f>VLOOKUP(Query1[[#This Row],[Description]],'kits to boards'!$B$2:$E$156,2,FALSE)</f>
        <v>830013</v>
      </c>
      <c r="M931">
        <f>VLOOKUP(Query1[[#This Row],[Description]],'kits to boards'!$B$2:$E$156,3,FALSE)</f>
        <v>0</v>
      </c>
      <c r="N931">
        <f>VLOOKUP(Query1[[#This Row],[Description]],'kits to boards'!$B$2:$E$156,4,FALSE)</f>
        <v>0</v>
      </c>
      <c r="O931" t="str">
        <f>CONCATENATE(Query1[[#This Row],[Description]]," - ",Query1[[#This Row],[MB1]]," - ",Query1[[#This Row],[MB2]]," - ",Query1[[#This Row],[MB3]])</f>
        <v>EVAP KIT 67-72 CHEV P-UP W/AC - 830013 - 0 - 0</v>
      </c>
    </row>
    <row r="932" spans="1:15" x14ac:dyDescent="0.25">
      <c r="A932" s="1">
        <v>911228</v>
      </c>
      <c r="B932" s="1" t="s">
        <v>42</v>
      </c>
      <c r="C932" s="1" t="s">
        <v>43</v>
      </c>
      <c r="D932" s="2">
        <v>44609.426726469908</v>
      </c>
      <c r="E932" s="1" t="s">
        <v>8</v>
      </c>
      <c r="F932" s="1">
        <v>1</v>
      </c>
      <c r="G932" s="1">
        <v>0</v>
      </c>
      <c r="H932" s="6">
        <f>INT(Query1[[#This Row],[EntryDateTime]])</f>
        <v>44609</v>
      </c>
      <c r="I932" s="1">
        <f>IF(Query1[[#This Row],[ItemType]]="EVAP KIT SF GEN IV",Query1[[#This Row],[OrderQty]]+I931,I931)</f>
        <v>1058</v>
      </c>
      <c r="J932" s="1">
        <f>IF(Query1[[#This Row],[ItemType]]="EVAP KIT UNIVERSAL",Query1[[#This Row],[OrderQty]]+J931,J931)</f>
        <v>485</v>
      </c>
      <c r="K932" s="1">
        <f>Query1[[#This Row],[SF Running Total]]+Query1[[#This Row],[UNIV Running Total]]</f>
        <v>1543</v>
      </c>
      <c r="L932">
        <f>VLOOKUP(Query1[[#This Row],[Description]],'kits to boards'!$B$2:$E$156,2,FALSE)</f>
        <v>830014</v>
      </c>
      <c r="M932">
        <f>VLOOKUP(Query1[[#This Row],[Description]],'kits to boards'!$B$2:$E$156,3,FALSE)</f>
        <v>0</v>
      </c>
      <c r="N932">
        <f>VLOOKUP(Query1[[#This Row],[Description]],'kits to boards'!$B$2:$E$156,4,FALSE)</f>
        <v>0</v>
      </c>
      <c r="O932" t="str">
        <f>CONCATENATE(Query1[[#This Row],[Description]]," - ",Query1[[#This Row],[MB1]]," - ",Query1[[#This Row],[MB2]]," - ",Query1[[#This Row],[MB3]])</f>
        <v>EVAP KIT 67-72 CHEV P-UP WO AC - 830014 - 0 - 0</v>
      </c>
    </row>
    <row r="933" spans="1:15" x14ac:dyDescent="0.25">
      <c r="A933" s="1">
        <v>911314</v>
      </c>
      <c r="B933" s="1" t="s">
        <v>120</v>
      </c>
      <c r="C933" s="1" t="s">
        <v>121</v>
      </c>
      <c r="D933" s="2">
        <v>44609.428061493054</v>
      </c>
      <c r="E933" s="1" t="s">
        <v>8</v>
      </c>
      <c r="F933" s="1">
        <v>1</v>
      </c>
      <c r="G933" s="1">
        <v>0</v>
      </c>
      <c r="H933" s="6">
        <f>INT(Query1[[#This Row],[EntryDateTime]])</f>
        <v>44609</v>
      </c>
      <c r="I933" s="1">
        <f>IF(Query1[[#This Row],[ItemType]]="EVAP KIT SF GEN IV",Query1[[#This Row],[OrderQty]]+I932,I932)</f>
        <v>1059</v>
      </c>
      <c r="J933" s="1">
        <f>IF(Query1[[#This Row],[ItemType]]="EVAP KIT UNIVERSAL",Query1[[#This Row],[OrderQty]]+J932,J932)</f>
        <v>485</v>
      </c>
      <c r="K933" s="1">
        <f>Query1[[#This Row],[SF Running Total]]+Query1[[#This Row],[UNIV Running Total]]</f>
        <v>1544</v>
      </c>
      <c r="L933">
        <f>VLOOKUP(Query1[[#This Row],[Description]],'kits to boards'!$B$2:$E$156,2,FALSE)</f>
        <v>830014</v>
      </c>
      <c r="M933">
        <f>VLOOKUP(Query1[[#This Row],[Description]],'kits to boards'!$B$2:$E$156,3,FALSE)</f>
        <v>0</v>
      </c>
      <c r="N933">
        <f>VLOOKUP(Query1[[#This Row],[Description]],'kits to boards'!$B$2:$E$156,4,FALSE)</f>
        <v>0</v>
      </c>
      <c r="O933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934" spans="1:15" x14ac:dyDescent="0.25">
      <c r="A934" s="1">
        <v>911398</v>
      </c>
      <c r="B934" s="1" t="s">
        <v>52</v>
      </c>
      <c r="C934" s="1" t="s">
        <v>53</v>
      </c>
      <c r="D934" s="2">
        <v>44609.429670451391</v>
      </c>
      <c r="E934" s="1" t="s">
        <v>8</v>
      </c>
      <c r="F934" s="1">
        <v>1</v>
      </c>
      <c r="G934" s="1">
        <v>0</v>
      </c>
      <c r="H934" s="6">
        <f>INT(Query1[[#This Row],[EntryDateTime]])</f>
        <v>44609</v>
      </c>
      <c r="I934" s="1">
        <f>IF(Query1[[#This Row],[ItemType]]="EVAP KIT SF GEN IV",Query1[[#This Row],[OrderQty]]+I933,I933)</f>
        <v>1060</v>
      </c>
      <c r="J934" s="1">
        <f>IF(Query1[[#This Row],[ItemType]]="EVAP KIT UNIVERSAL",Query1[[#This Row],[OrderQty]]+J933,J933)</f>
        <v>485</v>
      </c>
      <c r="K934" s="1">
        <f>Query1[[#This Row],[SF Running Total]]+Query1[[#This Row],[UNIV Running Total]]</f>
        <v>1545</v>
      </c>
      <c r="L934">
        <f>VLOOKUP(Query1[[#This Row],[Description]],'kits to boards'!$B$2:$E$156,2,FALSE)</f>
        <v>830017</v>
      </c>
      <c r="M934">
        <f>VLOOKUP(Query1[[#This Row],[Description]],'kits to boards'!$B$2:$E$156,3,FALSE)</f>
        <v>830119</v>
      </c>
      <c r="N934">
        <f>VLOOKUP(Query1[[#This Row],[Description]],'kits to boards'!$B$2:$E$156,4,FALSE)</f>
        <v>830120</v>
      </c>
      <c r="O934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935" spans="1:15" x14ac:dyDescent="0.25">
      <c r="A935" s="1">
        <v>911388</v>
      </c>
      <c r="B935" s="1" t="s">
        <v>128</v>
      </c>
      <c r="C935" s="1" t="s">
        <v>129</v>
      </c>
      <c r="D935" s="2">
        <v>44609.429977662039</v>
      </c>
      <c r="E935" s="1" t="s">
        <v>8</v>
      </c>
      <c r="F935" s="1">
        <v>1</v>
      </c>
      <c r="G935" s="1">
        <v>0</v>
      </c>
      <c r="H935" s="6">
        <f>INT(Query1[[#This Row],[EntryDateTime]])</f>
        <v>44609</v>
      </c>
      <c r="I935" s="1">
        <f>IF(Query1[[#This Row],[ItemType]]="EVAP KIT SF GEN IV",Query1[[#This Row],[OrderQty]]+I934,I934)</f>
        <v>1061</v>
      </c>
      <c r="J935" s="1">
        <f>IF(Query1[[#This Row],[ItemType]]="EVAP KIT UNIVERSAL",Query1[[#This Row],[OrderQty]]+J934,J934)</f>
        <v>485</v>
      </c>
      <c r="K935" s="1">
        <f>Query1[[#This Row],[SF Running Total]]+Query1[[#This Row],[UNIV Running Total]]</f>
        <v>1546</v>
      </c>
      <c r="L935">
        <f>VLOOKUP(Query1[[#This Row],[Description]],'kits to boards'!$B$2:$E$156,2,FALSE)</f>
        <v>830036</v>
      </c>
      <c r="M935">
        <f>VLOOKUP(Query1[[#This Row],[Description]],'kits to boards'!$B$2:$E$156,3,FALSE)</f>
        <v>830039</v>
      </c>
      <c r="N935">
        <f>VLOOKUP(Query1[[#This Row],[Description]],'kits to boards'!$B$2:$E$156,4,FALSE)</f>
        <v>0</v>
      </c>
      <c r="O935" t="str">
        <f>CONCATENATE(Query1[[#This Row],[Description]]," - ",Query1[[#This Row],[MB1]]," - ",Query1[[#This Row],[MB2]]," - ",Query1[[#This Row],[MB3]])</f>
        <v>EVAP KIT 63-66 VETTE WO AC - 830036 - 830039 - 0</v>
      </c>
    </row>
    <row r="936" spans="1:15" x14ac:dyDescent="0.25">
      <c r="A936" s="1">
        <v>911401</v>
      </c>
      <c r="B936" s="1" t="s">
        <v>32</v>
      </c>
      <c r="C936" s="1" t="s">
        <v>33</v>
      </c>
      <c r="D936" s="2">
        <v>44609.435447141201</v>
      </c>
      <c r="E936" s="1" t="s">
        <v>8</v>
      </c>
      <c r="F936" s="1">
        <v>1</v>
      </c>
      <c r="G936" s="1">
        <v>0</v>
      </c>
      <c r="H936" s="6">
        <f>INT(Query1[[#This Row],[EntryDateTime]])</f>
        <v>44609</v>
      </c>
      <c r="I936" s="1">
        <f>IF(Query1[[#This Row],[ItemType]]="EVAP KIT SF GEN IV",Query1[[#This Row],[OrderQty]]+I935,I935)</f>
        <v>1062</v>
      </c>
      <c r="J936" s="1">
        <f>IF(Query1[[#This Row],[ItemType]]="EVAP KIT UNIVERSAL",Query1[[#This Row],[OrderQty]]+J935,J935)</f>
        <v>485</v>
      </c>
      <c r="K936" s="1">
        <f>Query1[[#This Row],[SF Running Total]]+Query1[[#This Row],[UNIV Running Total]]</f>
        <v>1547</v>
      </c>
      <c r="L936">
        <f>VLOOKUP(Query1[[#This Row],[Description]],'kits to boards'!$B$2:$E$156,2,FALSE)</f>
        <v>830016</v>
      </c>
      <c r="M936">
        <f>VLOOKUP(Query1[[#This Row],[Description]],'kits to boards'!$B$2:$E$156,3,FALSE)</f>
        <v>0</v>
      </c>
      <c r="N936">
        <f>VLOOKUP(Query1[[#This Row],[Description]],'kits to boards'!$B$2:$E$156,4,FALSE)</f>
        <v>0</v>
      </c>
      <c r="O936" t="str">
        <f>CONCATENATE(Query1[[#This Row],[Description]]," - ",Query1[[#This Row],[MB1]]," - ",Query1[[#This Row],[MB2]]," - ",Query1[[#This Row],[MB3]])</f>
        <v>EVAP KIT 67-68 CAMARO/FIREBIRD W/AC - 830016 - 0 - 0</v>
      </c>
    </row>
    <row r="937" spans="1:15" x14ac:dyDescent="0.25">
      <c r="A937" s="1">
        <v>910687</v>
      </c>
      <c r="B937" s="1" t="s">
        <v>66</v>
      </c>
      <c r="C937" s="1" t="s">
        <v>67</v>
      </c>
      <c r="D937" s="2">
        <v>44609.437284803244</v>
      </c>
      <c r="E937" s="1" t="s">
        <v>8</v>
      </c>
      <c r="F937" s="1">
        <v>1</v>
      </c>
      <c r="G937" s="1">
        <v>0</v>
      </c>
      <c r="H937" s="6">
        <f>INT(Query1[[#This Row],[EntryDateTime]])</f>
        <v>44609</v>
      </c>
      <c r="I937" s="1">
        <f>IF(Query1[[#This Row],[ItemType]]="EVAP KIT SF GEN IV",Query1[[#This Row],[OrderQty]]+I936,I936)</f>
        <v>1063</v>
      </c>
      <c r="J937" s="1">
        <f>IF(Query1[[#This Row],[ItemType]]="EVAP KIT UNIVERSAL",Query1[[#This Row],[OrderQty]]+J936,J936)</f>
        <v>485</v>
      </c>
      <c r="K937" s="1">
        <f>Query1[[#This Row],[SF Running Total]]+Query1[[#This Row],[UNIV Running Total]]</f>
        <v>1548</v>
      </c>
      <c r="L937">
        <f>VLOOKUP(Query1[[#This Row],[Description]],'kits to boards'!$B$2:$E$156,2,FALSE)</f>
        <v>830060</v>
      </c>
      <c r="M937">
        <f>VLOOKUP(Query1[[#This Row],[Description]],'kits to boards'!$B$2:$E$156,3,FALSE)</f>
        <v>0</v>
      </c>
      <c r="N937">
        <f>VLOOKUP(Query1[[#This Row],[Description]],'kits to boards'!$B$2:$E$156,4,FALSE)</f>
        <v>0</v>
      </c>
      <c r="O937" t="str">
        <f>CONCATENATE(Query1[[#This Row],[Description]]," - ",Query1[[#This Row],[MB1]]," - ",Query1[[#This Row],[MB2]]," - ",Query1[[#This Row],[MB3]])</f>
        <v>EVAP KIT 66-67 CHEVELLE WO AC - 830060 - 0 - 0</v>
      </c>
    </row>
    <row r="938" spans="1:15" x14ac:dyDescent="0.25">
      <c r="A938" s="1">
        <v>911407</v>
      </c>
      <c r="B938" s="1" t="s">
        <v>64</v>
      </c>
      <c r="C938" s="1" t="s">
        <v>65</v>
      </c>
      <c r="D938" s="2">
        <v>44609.443310682873</v>
      </c>
      <c r="E938" s="1" t="s">
        <v>8</v>
      </c>
      <c r="F938" s="1">
        <v>1</v>
      </c>
      <c r="G938" s="1">
        <v>0</v>
      </c>
      <c r="H938" s="6">
        <f>INT(Query1[[#This Row],[EntryDateTime]])</f>
        <v>44609</v>
      </c>
      <c r="I938" s="1">
        <f>IF(Query1[[#This Row],[ItemType]]="EVAP KIT SF GEN IV",Query1[[#This Row],[OrderQty]]+I937,I937)</f>
        <v>1064</v>
      </c>
      <c r="J938" s="1">
        <f>IF(Query1[[#This Row],[ItemType]]="EVAP KIT UNIVERSAL",Query1[[#This Row],[OrderQty]]+J937,J937)</f>
        <v>485</v>
      </c>
      <c r="K938" s="1">
        <f>Query1[[#This Row],[SF Running Total]]+Query1[[#This Row],[UNIV Running Total]]</f>
        <v>1549</v>
      </c>
      <c r="L938">
        <f>VLOOKUP(Query1[[#This Row],[Description]],'kits to boards'!$B$2:$E$156,2,FALSE)</f>
        <v>830067</v>
      </c>
      <c r="M938">
        <f>VLOOKUP(Query1[[#This Row],[Description]],'kits to boards'!$B$2:$E$156,3,FALSE)</f>
        <v>0</v>
      </c>
      <c r="N938">
        <f>VLOOKUP(Query1[[#This Row],[Description]],'kits to boards'!$B$2:$E$156,4,FALSE)</f>
        <v>0</v>
      </c>
      <c r="O938" t="str">
        <f>CONCATENATE(Query1[[#This Row],[Description]]," - ",Query1[[#This Row],[MB1]]," - ",Query1[[#This Row],[MB2]]," - ",Query1[[#This Row],[MB3]])</f>
        <v>EVAP KIT 59-60 CHEV CAR 4-LEVER - 830067 - 0 - 0</v>
      </c>
    </row>
    <row r="939" spans="1:15" x14ac:dyDescent="0.25">
      <c r="A939" s="1">
        <v>911408</v>
      </c>
      <c r="B939" s="1" t="s">
        <v>22</v>
      </c>
      <c r="C939" s="1" t="s">
        <v>23</v>
      </c>
      <c r="D939" s="2">
        <v>44609.443757094909</v>
      </c>
      <c r="E939" s="1" t="s">
        <v>8</v>
      </c>
      <c r="F939" s="1">
        <v>1</v>
      </c>
      <c r="G939" s="1">
        <v>0</v>
      </c>
      <c r="H939" s="6">
        <f>INT(Query1[[#This Row],[EntryDateTime]])</f>
        <v>44609</v>
      </c>
      <c r="I939" s="1">
        <f>IF(Query1[[#This Row],[ItemType]]="EVAP KIT SF GEN IV",Query1[[#This Row],[OrderQty]]+I938,I938)</f>
        <v>1065</v>
      </c>
      <c r="J939" s="1">
        <f>IF(Query1[[#This Row],[ItemType]]="EVAP KIT UNIVERSAL",Query1[[#This Row],[OrderQty]]+J938,J938)</f>
        <v>485</v>
      </c>
      <c r="K939" s="1">
        <f>Query1[[#This Row],[SF Running Total]]+Query1[[#This Row],[UNIV Running Total]]</f>
        <v>1550</v>
      </c>
      <c r="L939">
        <f>VLOOKUP(Query1[[#This Row],[Description]],'kits to boards'!$B$2:$E$156,2,FALSE)</f>
        <v>830083</v>
      </c>
      <c r="M939">
        <f>VLOOKUP(Query1[[#This Row],[Description]],'kits to boards'!$B$2:$E$156,3,FALSE)</f>
        <v>0</v>
      </c>
      <c r="N939">
        <f>VLOOKUP(Query1[[#This Row],[Description]],'kits to boards'!$B$2:$E$156,4,FALSE)</f>
        <v>0</v>
      </c>
      <c r="O939" t="str">
        <f>CONCATENATE(Query1[[#This Row],[Description]]," - ",Query1[[#This Row],[MB1]]," - ",Query1[[#This Row],[MB2]]," - ",Query1[[#This Row],[MB3]])</f>
        <v>GEN IV MAGNUM EVAP KIT - 830083 - 0 - 0</v>
      </c>
    </row>
    <row r="940" spans="1:15" x14ac:dyDescent="0.25">
      <c r="A940" s="1">
        <v>911414</v>
      </c>
      <c r="B940" s="1" t="s">
        <v>168</v>
      </c>
      <c r="C940" s="1" t="s">
        <v>169</v>
      </c>
      <c r="D940" s="2">
        <v>44609.447522835646</v>
      </c>
      <c r="E940" s="1" t="s">
        <v>8</v>
      </c>
      <c r="F940" s="1">
        <v>1</v>
      </c>
      <c r="G940" s="1">
        <v>0</v>
      </c>
      <c r="H940" s="6">
        <f>INT(Query1[[#This Row],[EntryDateTime]])</f>
        <v>44609</v>
      </c>
      <c r="I940" s="1">
        <f>IF(Query1[[#This Row],[ItemType]]="EVAP KIT SF GEN IV",Query1[[#This Row],[OrderQty]]+I939,I939)</f>
        <v>1066</v>
      </c>
      <c r="J940" s="1">
        <f>IF(Query1[[#This Row],[ItemType]]="EVAP KIT UNIVERSAL",Query1[[#This Row],[OrderQty]]+J939,J939)</f>
        <v>485</v>
      </c>
      <c r="K940" s="1">
        <f>Query1[[#This Row],[SF Running Total]]+Query1[[#This Row],[UNIV Running Total]]</f>
        <v>1551</v>
      </c>
      <c r="L940">
        <f>VLOOKUP(Query1[[#This Row],[Description]],'kits to boards'!$B$2:$E$156,2,FALSE)</f>
        <v>830028</v>
      </c>
      <c r="M940">
        <f>VLOOKUP(Query1[[#This Row],[Description]],'kits to boards'!$B$2:$E$156,3,FALSE)</f>
        <v>0</v>
      </c>
      <c r="N940">
        <f>VLOOKUP(Query1[[#This Row],[Description]],'kits to boards'!$B$2:$E$156,4,FALSE)</f>
        <v>0</v>
      </c>
      <c r="O940" t="str">
        <f>CONCATENATE(Query1[[#This Row],[Description]]," - ",Query1[[#This Row],[MB1]]," - ",Query1[[#This Row],[MB2]]," - ",Query1[[#This Row],[MB3]])</f>
        <v>EVAP KIT 55-59 CHEV P-UP WO AC W/STD  - 830028 - 0 - 0</v>
      </c>
    </row>
    <row r="941" spans="1:15" x14ac:dyDescent="0.25">
      <c r="A941" s="1">
        <v>911416</v>
      </c>
      <c r="B941" s="1" t="s">
        <v>216</v>
      </c>
      <c r="C941" s="1" t="s">
        <v>217</v>
      </c>
      <c r="D941" s="2">
        <v>44609.448316087961</v>
      </c>
      <c r="E941" s="1" t="s">
        <v>8</v>
      </c>
      <c r="F941" s="1">
        <v>1</v>
      </c>
      <c r="G941" s="1">
        <v>0</v>
      </c>
      <c r="H941" s="6">
        <f>INT(Query1[[#This Row],[EntryDateTime]])</f>
        <v>44609</v>
      </c>
      <c r="I941" s="1">
        <f>IF(Query1[[#This Row],[ItemType]]="EVAP KIT SF GEN IV",Query1[[#This Row],[OrderQty]]+I940,I940)</f>
        <v>1067</v>
      </c>
      <c r="J941" s="1">
        <f>IF(Query1[[#This Row],[ItemType]]="EVAP KIT UNIVERSAL",Query1[[#This Row],[OrderQty]]+J940,J940)</f>
        <v>485</v>
      </c>
      <c r="K941" s="1">
        <f>Query1[[#This Row],[SF Running Total]]+Query1[[#This Row],[UNIV Running Total]]</f>
        <v>1552</v>
      </c>
      <c r="L941">
        <f>VLOOKUP(Query1[[#This Row],[Description]],'kits to boards'!$B$2:$E$156,2,FALSE)</f>
        <v>830072</v>
      </c>
      <c r="M941">
        <f>VLOOKUP(Query1[[#This Row],[Description]],'kits to boards'!$B$2:$E$156,3,FALSE)</f>
        <v>830075</v>
      </c>
      <c r="N941">
        <f>VLOOKUP(Query1[[#This Row],[Description]],'kits to boards'!$B$2:$E$156,4,FALSE)</f>
        <v>0</v>
      </c>
      <c r="O941" t="str">
        <f>CONCATENATE(Query1[[#This Row],[Description]]," - ",Query1[[#This Row],[MB1]]," - ",Query1[[#This Row],[MB2]]," - ",Query1[[#This Row],[MB3]])</f>
        <v>EVAP KIT 69-70 MOPAR B BODY W/AC - 830072 - 830075 - 0</v>
      </c>
    </row>
    <row r="942" spans="1:15" x14ac:dyDescent="0.25">
      <c r="A942" s="1">
        <v>910640</v>
      </c>
      <c r="B942" s="1" t="s">
        <v>84</v>
      </c>
      <c r="C942" s="1" t="s">
        <v>85</v>
      </c>
      <c r="D942" s="2">
        <v>44609.449143900463</v>
      </c>
      <c r="E942" s="1" t="s">
        <v>8</v>
      </c>
      <c r="F942" s="1">
        <v>1</v>
      </c>
      <c r="G942" s="1">
        <v>0</v>
      </c>
      <c r="H942" s="6">
        <f>INT(Query1[[#This Row],[EntryDateTime]])</f>
        <v>44609</v>
      </c>
      <c r="I942" s="1">
        <f>IF(Query1[[#This Row],[ItemType]]="EVAP KIT SF GEN IV",Query1[[#This Row],[OrderQty]]+I941,I941)</f>
        <v>1068</v>
      </c>
      <c r="J942" s="1">
        <f>IF(Query1[[#This Row],[ItemType]]="EVAP KIT UNIVERSAL",Query1[[#This Row],[OrderQty]]+J941,J941)</f>
        <v>485</v>
      </c>
      <c r="K942" s="1">
        <f>Query1[[#This Row],[SF Running Total]]+Query1[[#This Row],[UNIV Running Total]]</f>
        <v>1553</v>
      </c>
      <c r="L942">
        <f>VLOOKUP(Query1[[#This Row],[Description]],'kits to boards'!$B$2:$E$156,2,FALSE)</f>
        <v>830085</v>
      </c>
      <c r="M942">
        <f>VLOOKUP(Query1[[#This Row],[Description]],'kits to boards'!$B$2:$E$156,3,FALSE)</f>
        <v>0</v>
      </c>
      <c r="N942">
        <f>VLOOKUP(Query1[[#This Row],[Description]],'kits to boards'!$B$2:$E$156,4,FALSE)</f>
        <v>0</v>
      </c>
      <c r="O942" t="str">
        <f>CONCATENATE(Query1[[#This Row],[Description]]," - ",Query1[[#This Row],[MB1]]," - ",Query1[[#This Row],[MB2]]," - ",Query1[[#This Row],[MB3]])</f>
        <v>EVAP KIT 66-77 BRONCO 4-VENT PLENUM - 830085 - 0 - 0</v>
      </c>
    </row>
    <row r="943" spans="1:15" x14ac:dyDescent="0.25">
      <c r="A943" s="1">
        <v>911423</v>
      </c>
      <c r="B943" s="1" t="s">
        <v>60</v>
      </c>
      <c r="C943" s="1" t="s">
        <v>61</v>
      </c>
      <c r="D943" s="2">
        <v>44609.460381712961</v>
      </c>
      <c r="E943" s="1" t="s">
        <v>8</v>
      </c>
      <c r="F943" s="1">
        <v>1</v>
      </c>
      <c r="G943" s="1">
        <v>0</v>
      </c>
      <c r="H943" s="6">
        <f>INT(Query1[[#This Row],[EntryDateTime]])</f>
        <v>44609</v>
      </c>
      <c r="I943" s="1">
        <f>IF(Query1[[#This Row],[ItemType]]="EVAP KIT SF GEN IV",Query1[[#This Row],[OrderQty]]+I942,I942)</f>
        <v>1069</v>
      </c>
      <c r="J943" s="1">
        <f>IF(Query1[[#This Row],[ItemType]]="EVAP KIT UNIVERSAL",Query1[[#This Row],[OrderQty]]+J942,J942)</f>
        <v>485</v>
      </c>
      <c r="K943" s="1">
        <f>Query1[[#This Row],[SF Running Total]]+Query1[[#This Row],[UNIV Running Total]]</f>
        <v>1554</v>
      </c>
      <c r="L943">
        <f>VLOOKUP(Query1[[#This Row],[Description]],'kits to boards'!$B$2:$E$156,2,FALSE)</f>
        <v>830062</v>
      </c>
      <c r="M943">
        <f>VLOOKUP(Query1[[#This Row],[Description]],'kits to boards'!$B$2:$E$156,3,FALSE)</f>
        <v>0</v>
      </c>
      <c r="N943">
        <f>VLOOKUP(Query1[[#This Row],[Description]],'kits to boards'!$B$2:$E$156,4,FALSE)</f>
        <v>0</v>
      </c>
      <c r="O943" t="str">
        <f>CONCATENATE(Query1[[#This Row],[Description]]," - ",Query1[[#This Row],[MB1]]," - ",Query1[[#This Row],[MB2]]," - ",Query1[[#This Row],[MB3]])</f>
        <v>EVAP KIT 68-69 CHEVELLE WO AC - 830062 - 0 - 0</v>
      </c>
    </row>
    <row r="944" spans="1:15" x14ac:dyDescent="0.25">
      <c r="A944" s="1">
        <v>911409</v>
      </c>
      <c r="B944" s="1" t="s">
        <v>26</v>
      </c>
      <c r="C944" s="1" t="s">
        <v>27</v>
      </c>
      <c r="D944" s="2">
        <v>44609.486577777781</v>
      </c>
      <c r="E944" s="1" t="s">
        <v>8</v>
      </c>
      <c r="F944" s="1">
        <v>1</v>
      </c>
      <c r="G944" s="1">
        <v>0</v>
      </c>
      <c r="H944" s="6">
        <f>INT(Query1[[#This Row],[EntryDateTime]])</f>
        <v>44609</v>
      </c>
      <c r="I944" s="1">
        <f>IF(Query1[[#This Row],[ItemType]]="EVAP KIT SF GEN IV",Query1[[#This Row],[OrderQty]]+I943,I943)</f>
        <v>1070</v>
      </c>
      <c r="J944" s="1">
        <f>IF(Query1[[#This Row],[ItemType]]="EVAP KIT UNIVERSAL",Query1[[#This Row],[OrderQty]]+J943,J943)</f>
        <v>485</v>
      </c>
      <c r="K944" s="1">
        <f>Query1[[#This Row],[SF Running Total]]+Query1[[#This Row],[UNIV Running Total]]</f>
        <v>1555</v>
      </c>
      <c r="L944">
        <f>VLOOKUP(Query1[[#This Row],[Description]],'kits to boards'!$B$2:$E$156,2,FALSE)</f>
        <v>830013</v>
      </c>
      <c r="M944">
        <f>VLOOKUP(Query1[[#This Row],[Description]],'kits to boards'!$B$2:$E$156,3,FALSE)</f>
        <v>0</v>
      </c>
      <c r="N944">
        <f>VLOOKUP(Query1[[#This Row],[Description]],'kits to boards'!$B$2:$E$156,4,FALSE)</f>
        <v>0</v>
      </c>
      <c r="O944" t="str">
        <f>CONCATENATE(Query1[[#This Row],[Description]]," - ",Query1[[#This Row],[MB1]]," - ",Query1[[#This Row],[MB2]]," - ",Query1[[#This Row],[MB3]])</f>
        <v>EVAP KIT 67-72 CHEV P-UP W/AC - 830013 - 0 - 0</v>
      </c>
    </row>
    <row r="945" spans="1:15" x14ac:dyDescent="0.25">
      <c r="A945" s="1">
        <v>911431</v>
      </c>
      <c r="B945" s="1" t="s">
        <v>22</v>
      </c>
      <c r="C945" s="1" t="s">
        <v>23</v>
      </c>
      <c r="D945" s="2">
        <v>44609.48922635417</v>
      </c>
      <c r="E945" s="1" t="s">
        <v>8</v>
      </c>
      <c r="F945" s="1">
        <v>1</v>
      </c>
      <c r="G945" s="1">
        <v>0</v>
      </c>
      <c r="H945" s="6">
        <f>INT(Query1[[#This Row],[EntryDateTime]])</f>
        <v>44609</v>
      </c>
      <c r="I945" s="1">
        <f>IF(Query1[[#This Row],[ItemType]]="EVAP KIT SF GEN IV",Query1[[#This Row],[OrderQty]]+I944,I944)</f>
        <v>1071</v>
      </c>
      <c r="J945" s="1">
        <f>IF(Query1[[#This Row],[ItemType]]="EVAP KIT UNIVERSAL",Query1[[#This Row],[OrderQty]]+J944,J944)</f>
        <v>485</v>
      </c>
      <c r="K945" s="1">
        <f>Query1[[#This Row],[SF Running Total]]+Query1[[#This Row],[UNIV Running Total]]</f>
        <v>1556</v>
      </c>
      <c r="L945">
        <f>VLOOKUP(Query1[[#This Row],[Description]],'kits to boards'!$B$2:$E$156,2,FALSE)</f>
        <v>830083</v>
      </c>
      <c r="M945">
        <f>VLOOKUP(Query1[[#This Row],[Description]],'kits to boards'!$B$2:$E$156,3,FALSE)</f>
        <v>0</v>
      </c>
      <c r="N945">
        <f>VLOOKUP(Query1[[#This Row],[Description]],'kits to boards'!$B$2:$E$156,4,FALSE)</f>
        <v>0</v>
      </c>
      <c r="O945" t="str">
        <f>CONCATENATE(Query1[[#This Row],[Description]]," - ",Query1[[#This Row],[MB1]]," - ",Query1[[#This Row],[MB2]]," - ",Query1[[#This Row],[MB3]])</f>
        <v>GEN IV MAGNUM EVAP KIT - 830083 - 0 - 0</v>
      </c>
    </row>
    <row r="946" spans="1:15" x14ac:dyDescent="0.25">
      <c r="A946" s="1">
        <v>911165</v>
      </c>
      <c r="B946" s="1" t="s">
        <v>96</v>
      </c>
      <c r="C946" s="1" t="s">
        <v>97</v>
      </c>
      <c r="D946" s="2">
        <v>44609.495524074075</v>
      </c>
      <c r="E946" s="1" t="s">
        <v>8</v>
      </c>
      <c r="F946" s="1">
        <v>1</v>
      </c>
      <c r="G946" s="1">
        <v>0</v>
      </c>
      <c r="H946" s="6">
        <f>INT(Query1[[#This Row],[EntryDateTime]])</f>
        <v>44609</v>
      </c>
      <c r="I946" s="1">
        <f>IF(Query1[[#This Row],[ItemType]]="EVAP KIT SF GEN IV",Query1[[#This Row],[OrderQty]]+I945,I945)</f>
        <v>1072</v>
      </c>
      <c r="J946" s="1">
        <f>IF(Query1[[#This Row],[ItemType]]="EVAP KIT UNIVERSAL",Query1[[#This Row],[OrderQty]]+J945,J945)</f>
        <v>485</v>
      </c>
      <c r="K946" s="1">
        <f>Query1[[#This Row],[SF Running Total]]+Query1[[#This Row],[UNIV Running Total]]</f>
        <v>1557</v>
      </c>
      <c r="L946">
        <f>VLOOKUP(Query1[[#This Row],[Description]],'kits to boards'!$B$2:$E$156,2,FALSE)</f>
        <v>830004</v>
      </c>
      <c r="M946">
        <f>VLOOKUP(Query1[[#This Row],[Description]],'kits to boards'!$B$2:$E$156,3,FALSE)</f>
        <v>0</v>
      </c>
      <c r="N946">
        <f>VLOOKUP(Query1[[#This Row],[Description]],'kits to boards'!$B$2:$E$156,4,FALSE)</f>
        <v>0</v>
      </c>
      <c r="O946" t="str">
        <f>CONCATENATE(Query1[[#This Row],[Description]]," - ",Query1[[#This Row],[MB1]]," - ",Query1[[#This Row],[MB2]]," - ",Query1[[#This Row],[MB3]])</f>
        <v>EVAP KIT 81-87 CHEV P-UP W/AC - 830004 - 0 - 0</v>
      </c>
    </row>
    <row r="947" spans="1:15" x14ac:dyDescent="0.25">
      <c r="A947" s="1">
        <v>911434</v>
      </c>
      <c r="B947" s="1" t="s">
        <v>192</v>
      </c>
      <c r="C947" s="1" t="s">
        <v>193</v>
      </c>
      <c r="D947" s="2">
        <v>44609.500332372685</v>
      </c>
      <c r="E947" s="1" t="s">
        <v>8</v>
      </c>
      <c r="F947" s="1">
        <v>1</v>
      </c>
      <c r="G947" s="1">
        <v>0</v>
      </c>
      <c r="H947" s="6">
        <f>INT(Query1[[#This Row],[EntryDateTime]])</f>
        <v>44609</v>
      </c>
      <c r="I947" s="1">
        <f>IF(Query1[[#This Row],[ItemType]]="EVAP KIT SF GEN IV",Query1[[#This Row],[OrderQty]]+I946,I946)</f>
        <v>1073</v>
      </c>
      <c r="J947" s="1">
        <f>IF(Query1[[#This Row],[ItemType]]="EVAP KIT UNIVERSAL",Query1[[#This Row],[OrderQty]]+J946,J946)</f>
        <v>485</v>
      </c>
      <c r="K947" s="1">
        <f>Query1[[#This Row],[SF Running Total]]+Query1[[#This Row],[UNIV Running Total]]</f>
        <v>1558</v>
      </c>
      <c r="L947">
        <f>VLOOKUP(Query1[[#This Row],[Description]],'kits to boards'!$B$2:$E$156,2,FALSE)</f>
        <v>830094</v>
      </c>
      <c r="M947">
        <f>VLOOKUP(Query1[[#This Row],[Description]],'kits to boards'!$B$2:$E$156,3,FALSE)</f>
        <v>0</v>
      </c>
      <c r="N947">
        <f>VLOOKUP(Query1[[#This Row],[Description]],'kits to boards'!$B$2:$E$156,4,FALSE)</f>
        <v>0</v>
      </c>
      <c r="O947" t="str">
        <f>CONCATENATE(Query1[[#This Row],[Description]]," - ",Query1[[#This Row],[MB1]]," - ",Query1[[#This Row],[MB2]]," - ",Query1[[#This Row],[MB3]])</f>
        <v>EVAP KIT 69-73 VETTE W/AC - 830094 - 0 - 0</v>
      </c>
    </row>
    <row r="948" spans="1:15" x14ac:dyDescent="0.25">
      <c r="A948" s="1">
        <v>911436</v>
      </c>
      <c r="B948" s="1" t="s">
        <v>22</v>
      </c>
      <c r="C948" s="1" t="s">
        <v>23</v>
      </c>
      <c r="D948" s="2">
        <v>44609.505180706015</v>
      </c>
      <c r="E948" s="1" t="s">
        <v>8</v>
      </c>
      <c r="F948" s="1">
        <v>1</v>
      </c>
      <c r="G948" s="1">
        <v>0</v>
      </c>
      <c r="H948" s="6">
        <f>INT(Query1[[#This Row],[EntryDateTime]])</f>
        <v>44609</v>
      </c>
      <c r="I948" s="1">
        <f>IF(Query1[[#This Row],[ItemType]]="EVAP KIT SF GEN IV",Query1[[#This Row],[OrderQty]]+I947,I947)</f>
        <v>1074</v>
      </c>
      <c r="J948" s="1">
        <f>IF(Query1[[#This Row],[ItemType]]="EVAP KIT UNIVERSAL",Query1[[#This Row],[OrderQty]]+J947,J947)</f>
        <v>485</v>
      </c>
      <c r="K948" s="1">
        <f>Query1[[#This Row],[SF Running Total]]+Query1[[#This Row],[UNIV Running Total]]</f>
        <v>1559</v>
      </c>
      <c r="L948">
        <f>VLOOKUP(Query1[[#This Row],[Description]],'kits to boards'!$B$2:$E$156,2,FALSE)</f>
        <v>830083</v>
      </c>
      <c r="M948">
        <f>VLOOKUP(Query1[[#This Row],[Description]],'kits to boards'!$B$2:$E$156,3,FALSE)</f>
        <v>0</v>
      </c>
      <c r="N948">
        <f>VLOOKUP(Query1[[#This Row],[Description]],'kits to boards'!$B$2:$E$156,4,FALSE)</f>
        <v>0</v>
      </c>
      <c r="O948" t="str">
        <f>CONCATENATE(Query1[[#This Row],[Description]]," - ",Query1[[#This Row],[MB1]]," - ",Query1[[#This Row],[MB2]]," - ",Query1[[#This Row],[MB3]])</f>
        <v>GEN IV MAGNUM EVAP KIT - 830083 - 0 - 0</v>
      </c>
    </row>
    <row r="949" spans="1:15" x14ac:dyDescent="0.25">
      <c r="A949" s="1">
        <v>910755</v>
      </c>
      <c r="B949" s="1" t="s">
        <v>120</v>
      </c>
      <c r="C949" s="1" t="s">
        <v>121</v>
      </c>
      <c r="D949" s="2">
        <v>44609.519177349539</v>
      </c>
      <c r="E949" s="1" t="s">
        <v>8</v>
      </c>
      <c r="F949" s="1">
        <v>1</v>
      </c>
      <c r="G949" s="1">
        <v>0</v>
      </c>
      <c r="H949" s="6">
        <f>INT(Query1[[#This Row],[EntryDateTime]])</f>
        <v>44609</v>
      </c>
      <c r="I949" s="1">
        <f>IF(Query1[[#This Row],[ItemType]]="EVAP KIT SF GEN IV",Query1[[#This Row],[OrderQty]]+I948,I948)</f>
        <v>1075</v>
      </c>
      <c r="J949" s="1">
        <f>IF(Query1[[#This Row],[ItemType]]="EVAP KIT UNIVERSAL",Query1[[#This Row],[OrderQty]]+J948,J948)</f>
        <v>485</v>
      </c>
      <c r="K949" s="1">
        <f>Query1[[#This Row],[SF Running Total]]+Query1[[#This Row],[UNIV Running Total]]</f>
        <v>1560</v>
      </c>
      <c r="L949">
        <f>VLOOKUP(Query1[[#This Row],[Description]],'kits to boards'!$B$2:$E$156,2,FALSE)</f>
        <v>830014</v>
      </c>
      <c r="M949">
        <f>VLOOKUP(Query1[[#This Row],[Description]],'kits to boards'!$B$2:$E$156,3,FALSE)</f>
        <v>0</v>
      </c>
      <c r="N949">
        <f>VLOOKUP(Query1[[#This Row],[Description]],'kits to boards'!$B$2:$E$156,4,FALSE)</f>
        <v>0</v>
      </c>
      <c r="O949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950" spans="1:15" x14ac:dyDescent="0.25">
      <c r="A950" s="1">
        <v>911442</v>
      </c>
      <c r="B950" s="1" t="s">
        <v>506</v>
      </c>
      <c r="C950" s="1" t="s">
        <v>507</v>
      </c>
      <c r="D950" s="2">
        <v>44609.519894444442</v>
      </c>
      <c r="E950" s="1" t="s">
        <v>677</v>
      </c>
      <c r="F950" s="1">
        <v>1</v>
      </c>
      <c r="G950" s="1">
        <v>0</v>
      </c>
      <c r="H950" s="6">
        <f>INT(Query1[[#This Row],[EntryDateTime]])</f>
        <v>44609</v>
      </c>
      <c r="I950" s="1">
        <f>IF(Query1[[#This Row],[ItemType]]="EVAP KIT SF GEN IV",Query1[[#This Row],[OrderQty]]+I949,I949)</f>
        <v>1075</v>
      </c>
      <c r="J950" s="1">
        <f>IF(Query1[[#This Row],[ItemType]]="EVAP KIT UNIVERSAL",Query1[[#This Row],[OrderQty]]+J949,J949)</f>
        <v>485</v>
      </c>
      <c r="K950" s="1">
        <f>Query1[[#This Row],[SF Running Total]]+Query1[[#This Row],[UNIV Running Total]]</f>
        <v>1560</v>
      </c>
      <c r="L950" t="e">
        <f>VLOOKUP(Query1[[#This Row],[Description]],'kits to boards'!$B$2:$E$156,2,FALSE)</f>
        <v>#N/A</v>
      </c>
      <c r="M950" t="e">
        <f>VLOOKUP(Query1[[#This Row],[Description]],'kits to boards'!$B$2:$E$156,3,FALSE)</f>
        <v>#N/A</v>
      </c>
      <c r="N950" t="e">
        <f>VLOOKUP(Query1[[#This Row],[Description]],'kits to boards'!$B$2:$E$156,4,FALSE)</f>
        <v>#N/A</v>
      </c>
      <c r="O950" t="e">
        <f>CONCATENATE(Query1[[#This Row],[Description]]," - ",Query1[[#This Row],[MB1]]," - ",Query1[[#This Row],[MB2]]," - ",Query1[[#This Row],[MB3]])</f>
        <v>#N/A</v>
      </c>
    </row>
    <row r="951" spans="1:15" x14ac:dyDescent="0.25">
      <c r="A951" s="1">
        <v>911450</v>
      </c>
      <c r="B951" s="1" t="s">
        <v>116</v>
      </c>
      <c r="C951" s="1" t="s">
        <v>117</v>
      </c>
      <c r="D951" s="2">
        <v>44609.535438506944</v>
      </c>
      <c r="E951" s="1" t="s">
        <v>8</v>
      </c>
      <c r="F951" s="1">
        <v>1</v>
      </c>
      <c r="G951" s="1">
        <v>0</v>
      </c>
      <c r="H951" s="6">
        <f>INT(Query1[[#This Row],[EntryDateTime]])</f>
        <v>44609</v>
      </c>
      <c r="I951" s="1">
        <f>IF(Query1[[#This Row],[ItemType]]="EVAP KIT SF GEN IV",Query1[[#This Row],[OrderQty]]+I950,I950)</f>
        <v>1076</v>
      </c>
      <c r="J951" s="1">
        <f>IF(Query1[[#This Row],[ItemType]]="EVAP KIT UNIVERSAL",Query1[[#This Row],[OrderQty]]+J950,J950)</f>
        <v>485</v>
      </c>
      <c r="K951" s="1">
        <f>Query1[[#This Row],[SF Running Total]]+Query1[[#This Row],[UNIV Running Total]]</f>
        <v>1561</v>
      </c>
      <c r="L951">
        <f>VLOOKUP(Query1[[#This Row],[Description]],'kits to boards'!$B$2:$E$156,2,FALSE)</f>
        <v>830058</v>
      </c>
      <c r="M951">
        <f>VLOOKUP(Query1[[#This Row],[Description]],'kits to boards'!$B$2:$E$156,3,FALSE)</f>
        <v>0</v>
      </c>
      <c r="N951">
        <f>VLOOKUP(Query1[[#This Row],[Description]],'kits to boards'!$B$2:$E$156,4,FALSE)</f>
        <v>0</v>
      </c>
      <c r="O951" t="str">
        <f>CONCATENATE(Query1[[#This Row],[Description]]," - ",Query1[[#This Row],[MB1]]," - ",Query1[[#This Row],[MB2]]," - ",Query1[[#This Row],[MB3]])</f>
        <v>EVAP KIT 64-65 CHEVELLE WO AC - 830058 - 0 - 0</v>
      </c>
    </row>
    <row r="952" spans="1:15" x14ac:dyDescent="0.25">
      <c r="A952" s="1">
        <v>911449</v>
      </c>
      <c r="B952" s="1" t="s">
        <v>14</v>
      </c>
      <c r="C952" s="1" t="s">
        <v>15</v>
      </c>
      <c r="D952" s="2">
        <v>44609.536042361113</v>
      </c>
      <c r="E952" s="1" t="s">
        <v>8</v>
      </c>
      <c r="F952" s="1">
        <v>1</v>
      </c>
      <c r="G952" s="1">
        <v>0</v>
      </c>
      <c r="H952" s="6">
        <f>INT(Query1[[#This Row],[EntryDateTime]])</f>
        <v>44609</v>
      </c>
      <c r="I952" s="1">
        <f>IF(Query1[[#This Row],[ItemType]]="EVAP KIT SF GEN IV",Query1[[#This Row],[OrderQty]]+I951,I951)</f>
        <v>1077</v>
      </c>
      <c r="J952" s="1">
        <f>IF(Query1[[#This Row],[ItemType]]="EVAP KIT UNIVERSAL",Query1[[#This Row],[OrderQty]]+J951,J951)</f>
        <v>485</v>
      </c>
      <c r="K952" s="1">
        <f>Query1[[#This Row],[SF Running Total]]+Query1[[#This Row],[UNIV Running Total]]</f>
        <v>1562</v>
      </c>
      <c r="L952">
        <f>VLOOKUP(Query1[[#This Row],[Description]],'kits to boards'!$B$2:$E$156,2,FALSE)</f>
        <v>830054</v>
      </c>
      <c r="M952">
        <f>VLOOKUP(Query1[[#This Row],[Description]],'kits to boards'!$B$2:$E$156,3,FALSE)</f>
        <v>0</v>
      </c>
      <c r="N952">
        <f>VLOOKUP(Query1[[#This Row],[Description]],'kits to boards'!$B$2:$E$156,4,FALSE)</f>
        <v>0</v>
      </c>
      <c r="O952" t="str">
        <f>CONCATENATE(Query1[[#This Row],[Description]]," - ",Query1[[#This Row],[MB1]]," - ",Query1[[#This Row],[MB2]]," - ",Query1[[#This Row],[MB3]])</f>
        <v>EVAP KIT 55-56 CHEVY - 830054 - 0 - 0</v>
      </c>
    </row>
    <row r="953" spans="1:15" x14ac:dyDescent="0.25">
      <c r="A953" s="1">
        <v>911453</v>
      </c>
      <c r="B953" s="1" t="s">
        <v>44</v>
      </c>
      <c r="C953" s="1" t="s">
        <v>45</v>
      </c>
      <c r="D953" s="2">
        <v>44609.540017858795</v>
      </c>
      <c r="E953" s="1" t="s">
        <v>8</v>
      </c>
      <c r="F953" s="1">
        <v>1</v>
      </c>
      <c r="G953" s="1">
        <v>0</v>
      </c>
      <c r="H953" s="6">
        <f>INT(Query1[[#This Row],[EntryDateTime]])</f>
        <v>44609</v>
      </c>
      <c r="I953" s="1">
        <f>IF(Query1[[#This Row],[ItemType]]="EVAP KIT SF GEN IV",Query1[[#This Row],[OrderQty]]+I952,I952)</f>
        <v>1078</v>
      </c>
      <c r="J953" s="1">
        <f>IF(Query1[[#This Row],[ItemType]]="EVAP KIT UNIVERSAL",Query1[[#This Row],[OrderQty]]+J952,J952)</f>
        <v>485</v>
      </c>
      <c r="K953" s="1">
        <f>Query1[[#This Row],[SF Running Total]]+Query1[[#This Row],[UNIV Running Total]]</f>
        <v>1563</v>
      </c>
      <c r="L953">
        <f>VLOOKUP(Query1[[#This Row],[Description]],'kits to boards'!$B$2:$E$156,2,FALSE)</f>
        <v>830085</v>
      </c>
      <c r="M953">
        <f>VLOOKUP(Query1[[#This Row],[Description]],'kits to boards'!$B$2:$E$156,3,FALSE)</f>
        <v>0</v>
      </c>
      <c r="N953">
        <f>VLOOKUP(Query1[[#This Row],[Description]],'kits to boards'!$B$2:$E$156,4,FALSE)</f>
        <v>0</v>
      </c>
      <c r="O953" t="str">
        <f>CONCATENATE(Query1[[#This Row],[Description]]," - ",Query1[[#This Row],[MB1]]," - ",Query1[[#This Row],[MB2]]," - ",Query1[[#This Row],[MB3]])</f>
        <v>EVAP KIT 66-77 BRONCO - 830085 - 0 - 0</v>
      </c>
    </row>
    <row r="954" spans="1:15" x14ac:dyDescent="0.25">
      <c r="A954" s="1">
        <v>911454</v>
      </c>
      <c r="B954" s="1" t="s">
        <v>34</v>
      </c>
      <c r="C954" s="1" t="s">
        <v>35</v>
      </c>
      <c r="D954" s="2">
        <v>44609.541253391202</v>
      </c>
      <c r="E954" s="1" t="s">
        <v>8</v>
      </c>
      <c r="F954" s="1">
        <v>1</v>
      </c>
      <c r="G954" s="1">
        <v>0</v>
      </c>
      <c r="H954" s="6">
        <f>INT(Query1[[#This Row],[EntryDateTime]])</f>
        <v>44609</v>
      </c>
      <c r="I954" s="1">
        <f>IF(Query1[[#This Row],[ItemType]]="EVAP KIT SF GEN IV",Query1[[#This Row],[OrderQty]]+I953,I953)</f>
        <v>1079</v>
      </c>
      <c r="J954" s="1">
        <f>IF(Query1[[#This Row],[ItemType]]="EVAP KIT UNIVERSAL",Query1[[#This Row],[OrderQty]]+J953,J953)</f>
        <v>485</v>
      </c>
      <c r="K954" s="1">
        <f>Query1[[#This Row],[SF Running Total]]+Query1[[#This Row],[UNIV Running Total]]</f>
        <v>1564</v>
      </c>
      <c r="L954">
        <f>VLOOKUP(Query1[[#This Row],[Description]],'kits to boards'!$B$2:$E$156,2,FALSE)</f>
        <v>830065</v>
      </c>
      <c r="M954">
        <f>VLOOKUP(Query1[[#This Row],[Description]],'kits to boards'!$B$2:$E$156,3,FALSE)</f>
        <v>0</v>
      </c>
      <c r="N954">
        <f>VLOOKUP(Query1[[#This Row],[Description]],'kits to boards'!$B$2:$E$156,4,FALSE)</f>
        <v>0</v>
      </c>
      <c r="O954" t="str">
        <f>CONCATENATE(Query1[[#This Row],[Description]]," - ",Query1[[#This Row],[MB1]]," - ",Query1[[#This Row],[MB2]]," - ",Query1[[#This Row],[MB3]])</f>
        <v>EVAP KIT 57 CHEV WO AC - 830065 - 0 - 0</v>
      </c>
    </row>
    <row r="955" spans="1:15" x14ac:dyDescent="0.25">
      <c r="A955" s="1">
        <v>911456</v>
      </c>
      <c r="B955" s="1" t="s">
        <v>60</v>
      </c>
      <c r="C955" s="1" t="s">
        <v>61</v>
      </c>
      <c r="D955" s="2">
        <v>44609.542908530093</v>
      </c>
      <c r="E955" s="1" t="s">
        <v>8</v>
      </c>
      <c r="F955" s="1">
        <v>1</v>
      </c>
      <c r="G955" s="1">
        <v>0</v>
      </c>
      <c r="H955" s="6">
        <f>INT(Query1[[#This Row],[EntryDateTime]])</f>
        <v>44609</v>
      </c>
      <c r="I955" s="1">
        <f>IF(Query1[[#This Row],[ItemType]]="EVAP KIT SF GEN IV",Query1[[#This Row],[OrderQty]]+I954,I954)</f>
        <v>1080</v>
      </c>
      <c r="J955" s="1">
        <f>IF(Query1[[#This Row],[ItemType]]="EVAP KIT UNIVERSAL",Query1[[#This Row],[OrderQty]]+J954,J954)</f>
        <v>485</v>
      </c>
      <c r="K955" s="1">
        <f>Query1[[#This Row],[SF Running Total]]+Query1[[#This Row],[UNIV Running Total]]</f>
        <v>1565</v>
      </c>
      <c r="L955">
        <f>VLOOKUP(Query1[[#This Row],[Description]],'kits to boards'!$B$2:$E$156,2,FALSE)</f>
        <v>830062</v>
      </c>
      <c r="M955">
        <f>VLOOKUP(Query1[[#This Row],[Description]],'kits to boards'!$B$2:$E$156,3,FALSE)</f>
        <v>0</v>
      </c>
      <c r="N955">
        <f>VLOOKUP(Query1[[#This Row],[Description]],'kits to boards'!$B$2:$E$156,4,FALSE)</f>
        <v>0</v>
      </c>
      <c r="O955" t="str">
        <f>CONCATENATE(Query1[[#This Row],[Description]]," - ",Query1[[#This Row],[MB1]]," - ",Query1[[#This Row],[MB2]]," - ",Query1[[#This Row],[MB3]])</f>
        <v>EVAP KIT 68-69 CHEVELLE WO AC - 830062 - 0 - 0</v>
      </c>
    </row>
    <row r="956" spans="1:15" x14ac:dyDescent="0.25">
      <c r="A956" s="1">
        <v>911459</v>
      </c>
      <c r="B956" s="1" t="s">
        <v>48</v>
      </c>
      <c r="C956" s="1" t="s">
        <v>49</v>
      </c>
      <c r="D956" s="2">
        <v>44609.545545567133</v>
      </c>
      <c r="E956" s="1" t="s">
        <v>8</v>
      </c>
      <c r="F956" s="1">
        <v>1</v>
      </c>
      <c r="G956" s="1">
        <v>0</v>
      </c>
      <c r="H956" s="6">
        <f>INT(Query1[[#This Row],[EntryDateTime]])</f>
        <v>44609</v>
      </c>
      <c r="I956" s="1">
        <f>IF(Query1[[#This Row],[ItemType]]="EVAP KIT SF GEN IV",Query1[[#This Row],[OrderQty]]+I955,I955)</f>
        <v>1081</v>
      </c>
      <c r="J956" s="1">
        <f>IF(Query1[[#This Row],[ItemType]]="EVAP KIT UNIVERSAL",Query1[[#This Row],[OrderQty]]+J955,J955)</f>
        <v>485</v>
      </c>
      <c r="K956" s="1">
        <f>Query1[[#This Row],[SF Running Total]]+Query1[[#This Row],[UNIV Running Total]]</f>
        <v>1566</v>
      </c>
      <c r="L956">
        <f>VLOOKUP(Query1[[#This Row],[Description]],'kits to boards'!$B$2:$E$156,2,FALSE)</f>
        <v>830015</v>
      </c>
      <c r="M956">
        <f>VLOOKUP(Query1[[#This Row],[Description]],'kits to boards'!$B$2:$E$156,3,FALSE)</f>
        <v>0</v>
      </c>
      <c r="N956">
        <f>VLOOKUP(Query1[[#This Row],[Description]],'kits to boards'!$B$2:$E$156,4,FALSE)</f>
        <v>0</v>
      </c>
      <c r="O956" t="str">
        <f>CONCATENATE(Query1[[#This Row],[Description]]," - ",Query1[[#This Row],[MB1]]," - ",Query1[[#This Row],[MB2]]," - ",Query1[[#This Row],[MB3]])</f>
        <v>EVAP KIT 64-66 CHEV P-UP WO AC W/DELX - 830015 - 0 - 0</v>
      </c>
    </row>
    <row r="957" spans="1:15" x14ac:dyDescent="0.25">
      <c r="A957" s="1">
        <v>911460</v>
      </c>
      <c r="B957" s="1" t="s">
        <v>54</v>
      </c>
      <c r="C957" s="1" t="s">
        <v>55</v>
      </c>
      <c r="D957" s="2">
        <v>44609.546760497688</v>
      </c>
      <c r="E957" s="1" t="s">
        <v>8</v>
      </c>
      <c r="F957" s="1">
        <v>1</v>
      </c>
      <c r="G957" s="1">
        <v>0</v>
      </c>
      <c r="H957" s="6">
        <f>INT(Query1[[#This Row],[EntryDateTime]])</f>
        <v>44609</v>
      </c>
      <c r="I957" s="1">
        <f>IF(Query1[[#This Row],[ItemType]]="EVAP KIT SF GEN IV",Query1[[#This Row],[OrderQty]]+I956,I956)</f>
        <v>1082</v>
      </c>
      <c r="J957" s="1">
        <f>IF(Query1[[#This Row],[ItemType]]="EVAP KIT UNIVERSAL",Query1[[#This Row],[OrderQty]]+J956,J956)</f>
        <v>485</v>
      </c>
      <c r="K957" s="1">
        <f>Query1[[#This Row],[SF Running Total]]+Query1[[#This Row],[UNIV Running Total]]</f>
        <v>1567</v>
      </c>
      <c r="L957">
        <f>VLOOKUP(Query1[[#This Row],[Description]],'kits to boards'!$B$2:$E$156,2,FALSE)</f>
        <v>830037</v>
      </c>
      <c r="M957">
        <f>VLOOKUP(Query1[[#This Row],[Description]],'kits to boards'!$B$2:$E$156,3,FALSE)</f>
        <v>0</v>
      </c>
      <c r="N957">
        <f>VLOOKUP(Query1[[#This Row],[Description]],'kits to boards'!$B$2:$E$156,4,FALSE)</f>
        <v>0</v>
      </c>
      <c r="O957" t="str">
        <f>CONCATENATE(Query1[[#This Row],[Description]]," - ",Query1[[#This Row],[MB1]]," - ",Query1[[#This Row],[MB2]]," - ",Query1[[#This Row],[MB3]])</f>
        <v>EVAP KIT 70-81 FIREBIRD W/AC - 830037 - 0 - 0</v>
      </c>
    </row>
    <row r="958" spans="1:15" x14ac:dyDescent="0.25">
      <c r="A958" s="1">
        <v>911452</v>
      </c>
      <c r="B958" s="1" t="s">
        <v>222</v>
      </c>
      <c r="C958" s="1" t="s">
        <v>223</v>
      </c>
      <c r="D958" s="2">
        <v>44609.551313344906</v>
      </c>
      <c r="E958" s="1" t="s">
        <v>8</v>
      </c>
      <c r="F958" s="1">
        <v>1</v>
      </c>
      <c r="G958" s="1">
        <v>0</v>
      </c>
      <c r="H958" s="6">
        <f>INT(Query1[[#This Row],[EntryDateTime]])</f>
        <v>44609</v>
      </c>
      <c r="I958" s="1">
        <f>IF(Query1[[#This Row],[ItemType]]="EVAP KIT SF GEN IV",Query1[[#This Row],[OrderQty]]+I957,I957)</f>
        <v>1083</v>
      </c>
      <c r="J958" s="1">
        <f>IF(Query1[[#This Row],[ItemType]]="EVAP KIT UNIVERSAL",Query1[[#This Row],[OrderQty]]+J957,J957)</f>
        <v>485</v>
      </c>
      <c r="K958" s="1">
        <f>Query1[[#This Row],[SF Running Total]]+Query1[[#This Row],[UNIV Running Total]]</f>
        <v>1568</v>
      </c>
      <c r="L958">
        <f>VLOOKUP(Query1[[#This Row],[Description]],'kits to boards'!$B$2:$E$156,2,FALSE)</f>
        <v>830093</v>
      </c>
      <c r="M958">
        <f>VLOOKUP(Query1[[#This Row],[Description]],'kits to boards'!$B$2:$E$156,3,FALSE)</f>
        <v>0</v>
      </c>
      <c r="N958">
        <f>VLOOKUP(Query1[[#This Row],[Description]],'kits to boards'!$B$2:$E$156,4,FALSE)</f>
        <v>0</v>
      </c>
      <c r="O958" t="str">
        <f>CONCATENATE(Query1[[#This Row],[Description]]," - ",Query1[[#This Row],[MB1]]," - ",Query1[[#This Row],[MB2]]," - ",Query1[[#This Row],[MB3]])</f>
        <v>EVAP KIT 67 VETTE WO AC - 830093 - 0 - 0</v>
      </c>
    </row>
    <row r="959" spans="1:15" x14ac:dyDescent="0.25">
      <c r="A959" s="1">
        <v>911452</v>
      </c>
      <c r="B959" s="1" t="s">
        <v>226</v>
      </c>
      <c r="C959" s="1" t="s">
        <v>227</v>
      </c>
      <c r="D959" s="2">
        <v>44609.551313344906</v>
      </c>
      <c r="E959" s="1" t="s">
        <v>8</v>
      </c>
      <c r="F959" s="1">
        <v>1</v>
      </c>
      <c r="G959" s="1">
        <v>0</v>
      </c>
      <c r="H959" s="6">
        <f>INT(Query1[[#This Row],[EntryDateTime]])</f>
        <v>44609</v>
      </c>
      <c r="I959" s="1">
        <f>IF(Query1[[#This Row],[ItemType]]="EVAP KIT SF GEN IV",Query1[[#This Row],[OrderQty]]+I958,I958)</f>
        <v>1084</v>
      </c>
      <c r="J959" s="1">
        <f>IF(Query1[[#This Row],[ItemType]]="EVAP KIT UNIVERSAL",Query1[[#This Row],[OrderQty]]+J958,J958)</f>
        <v>485</v>
      </c>
      <c r="K959" s="1">
        <f>Query1[[#This Row],[SF Running Total]]+Query1[[#This Row],[UNIV Running Total]]</f>
        <v>1569</v>
      </c>
      <c r="L959">
        <f>VLOOKUP(Query1[[#This Row],[Description]],'kits to boards'!$B$2:$E$156,2,FALSE)</f>
        <v>830124</v>
      </c>
      <c r="M959">
        <f>VLOOKUP(Query1[[#This Row],[Description]],'kits to boards'!$B$2:$E$156,3,FALSE)</f>
        <v>0</v>
      </c>
      <c r="N959">
        <f>VLOOKUP(Query1[[#This Row],[Description]],'kits to boards'!$B$2:$E$156,4,FALSE)</f>
        <v>0</v>
      </c>
      <c r="O959" t="str">
        <f>CONCATENATE(Query1[[#This Row],[Description]]," - ",Query1[[#This Row],[MB1]]," - ",Query1[[#This Row],[MB2]]," - ",Query1[[#This Row],[MB3]])</f>
        <v>EVAP KIT 70-72 GTO W/AC - 830124 - 0 - 0</v>
      </c>
    </row>
    <row r="960" spans="1:15" x14ac:dyDescent="0.25">
      <c r="A960" s="1">
        <v>911452</v>
      </c>
      <c r="B960" s="1" t="s">
        <v>128</v>
      </c>
      <c r="C960" s="1" t="s">
        <v>129</v>
      </c>
      <c r="D960" s="2">
        <v>44609.551313344906</v>
      </c>
      <c r="E960" s="1" t="s">
        <v>8</v>
      </c>
      <c r="F960" s="1">
        <v>1</v>
      </c>
      <c r="G960" s="1">
        <v>0</v>
      </c>
      <c r="H960" s="6">
        <f>INT(Query1[[#This Row],[EntryDateTime]])</f>
        <v>44609</v>
      </c>
      <c r="I960" s="1">
        <f>IF(Query1[[#This Row],[ItemType]]="EVAP KIT SF GEN IV",Query1[[#This Row],[OrderQty]]+I959,I959)</f>
        <v>1085</v>
      </c>
      <c r="J960" s="1">
        <f>IF(Query1[[#This Row],[ItemType]]="EVAP KIT UNIVERSAL",Query1[[#This Row],[OrderQty]]+J959,J959)</f>
        <v>485</v>
      </c>
      <c r="K960" s="1">
        <f>Query1[[#This Row],[SF Running Total]]+Query1[[#This Row],[UNIV Running Total]]</f>
        <v>1570</v>
      </c>
      <c r="L960">
        <f>VLOOKUP(Query1[[#This Row],[Description]],'kits to boards'!$B$2:$E$156,2,FALSE)</f>
        <v>830036</v>
      </c>
      <c r="M960">
        <f>VLOOKUP(Query1[[#This Row],[Description]],'kits to boards'!$B$2:$E$156,3,FALSE)</f>
        <v>830039</v>
      </c>
      <c r="N960">
        <f>VLOOKUP(Query1[[#This Row],[Description]],'kits to boards'!$B$2:$E$156,4,FALSE)</f>
        <v>0</v>
      </c>
      <c r="O960" t="str">
        <f>CONCATENATE(Query1[[#This Row],[Description]]," - ",Query1[[#This Row],[MB1]]," - ",Query1[[#This Row],[MB2]]," - ",Query1[[#This Row],[MB3]])</f>
        <v>EVAP KIT 63-66 VETTE WO AC - 830036 - 830039 - 0</v>
      </c>
    </row>
    <row r="961" spans="1:15" x14ac:dyDescent="0.25">
      <c r="A961" s="1">
        <v>911452</v>
      </c>
      <c r="B961" s="1" t="s">
        <v>128</v>
      </c>
      <c r="C961" s="1" t="s">
        <v>129</v>
      </c>
      <c r="D961" s="2">
        <v>44609.551313344906</v>
      </c>
      <c r="E961" s="1" t="s">
        <v>8</v>
      </c>
      <c r="F961" s="1">
        <v>2</v>
      </c>
      <c r="G961" s="1">
        <v>0</v>
      </c>
      <c r="H961" s="6">
        <f>INT(Query1[[#This Row],[EntryDateTime]])</f>
        <v>44609</v>
      </c>
      <c r="I961" s="1">
        <f>IF(Query1[[#This Row],[ItemType]]="EVAP KIT SF GEN IV",Query1[[#This Row],[OrderQty]]+I960,I960)</f>
        <v>1087</v>
      </c>
      <c r="J961" s="1">
        <f>IF(Query1[[#This Row],[ItemType]]="EVAP KIT UNIVERSAL",Query1[[#This Row],[OrderQty]]+J960,J960)</f>
        <v>485</v>
      </c>
      <c r="K961" s="1">
        <f>Query1[[#This Row],[SF Running Total]]+Query1[[#This Row],[UNIV Running Total]]</f>
        <v>1572</v>
      </c>
      <c r="L961">
        <f>VLOOKUP(Query1[[#This Row],[Description]],'kits to boards'!$B$2:$E$156,2,FALSE)</f>
        <v>830036</v>
      </c>
      <c r="M961">
        <f>VLOOKUP(Query1[[#This Row],[Description]],'kits to boards'!$B$2:$E$156,3,FALSE)</f>
        <v>830039</v>
      </c>
      <c r="N961">
        <f>VLOOKUP(Query1[[#This Row],[Description]],'kits to boards'!$B$2:$E$156,4,FALSE)</f>
        <v>0</v>
      </c>
      <c r="O961" t="str">
        <f>CONCATENATE(Query1[[#This Row],[Description]]," - ",Query1[[#This Row],[MB1]]," - ",Query1[[#This Row],[MB2]]," - ",Query1[[#This Row],[MB3]])</f>
        <v>EVAP KIT 63-66 VETTE WO AC - 830036 - 830039 - 0</v>
      </c>
    </row>
    <row r="962" spans="1:15" x14ac:dyDescent="0.25">
      <c r="A962" s="1">
        <v>911452</v>
      </c>
      <c r="B962" s="1" t="s">
        <v>128</v>
      </c>
      <c r="C962" s="1" t="s">
        <v>129</v>
      </c>
      <c r="D962" s="2">
        <v>44609.551313344906</v>
      </c>
      <c r="E962" s="1" t="s">
        <v>8</v>
      </c>
      <c r="F962" s="1">
        <v>1</v>
      </c>
      <c r="G962" s="1">
        <v>0</v>
      </c>
      <c r="H962" s="6">
        <f>INT(Query1[[#This Row],[EntryDateTime]])</f>
        <v>44609</v>
      </c>
      <c r="I962" s="1">
        <f>IF(Query1[[#This Row],[ItemType]]="EVAP KIT SF GEN IV",Query1[[#This Row],[OrderQty]]+I961,I961)</f>
        <v>1088</v>
      </c>
      <c r="J962" s="1">
        <f>IF(Query1[[#This Row],[ItemType]]="EVAP KIT UNIVERSAL",Query1[[#This Row],[OrderQty]]+J961,J961)</f>
        <v>485</v>
      </c>
      <c r="K962" s="1">
        <f>Query1[[#This Row],[SF Running Total]]+Query1[[#This Row],[UNIV Running Total]]</f>
        <v>1573</v>
      </c>
      <c r="L962">
        <f>VLOOKUP(Query1[[#This Row],[Description]],'kits to boards'!$B$2:$E$156,2,FALSE)</f>
        <v>830036</v>
      </c>
      <c r="M962">
        <f>VLOOKUP(Query1[[#This Row],[Description]],'kits to boards'!$B$2:$E$156,3,FALSE)</f>
        <v>830039</v>
      </c>
      <c r="N962">
        <f>VLOOKUP(Query1[[#This Row],[Description]],'kits to boards'!$B$2:$E$156,4,FALSE)</f>
        <v>0</v>
      </c>
      <c r="O962" t="str">
        <f>CONCATENATE(Query1[[#This Row],[Description]]," - ",Query1[[#This Row],[MB1]]," - ",Query1[[#This Row],[MB2]]," - ",Query1[[#This Row],[MB3]])</f>
        <v>EVAP KIT 63-66 VETTE WO AC - 830036 - 830039 - 0</v>
      </c>
    </row>
    <row r="963" spans="1:15" x14ac:dyDescent="0.25">
      <c r="A963" s="1">
        <v>911470</v>
      </c>
      <c r="B963" s="1" t="s">
        <v>52</v>
      </c>
      <c r="C963" s="1" t="s">
        <v>53</v>
      </c>
      <c r="D963" s="2">
        <v>44609.557687881941</v>
      </c>
      <c r="E963" s="1" t="s">
        <v>8</v>
      </c>
      <c r="F963" s="1">
        <v>1</v>
      </c>
      <c r="G963" s="1">
        <v>0</v>
      </c>
      <c r="H963" s="6">
        <f>INT(Query1[[#This Row],[EntryDateTime]])</f>
        <v>44609</v>
      </c>
      <c r="I963" s="1">
        <f>IF(Query1[[#This Row],[ItemType]]="EVAP KIT SF GEN IV",Query1[[#This Row],[OrderQty]]+I962,I962)</f>
        <v>1089</v>
      </c>
      <c r="J963" s="1">
        <f>IF(Query1[[#This Row],[ItemType]]="EVAP KIT UNIVERSAL",Query1[[#This Row],[OrderQty]]+J962,J962)</f>
        <v>485</v>
      </c>
      <c r="K963" s="1">
        <f>Query1[[#This Row],[SF Running Total]]+Query1[[#This Row],[UNIV Running Total]]</f>
        <v>1574</v>
      </c>
      <c r="L963">
        <f>VLOOKUP(Query1[[#This Row],[Description]],'kits to boards'!$B$2:$E$156,2,FALSE)</f>
        <v>830017</v>
      </c>
      <c r="M963">
        <f>VLOOKUP(Query1[[#This Row],[Description]],'kits to boards'!$B$2:$E$156,3,FALSE)</f>
        <v>830119</v>
      </c>
      <c r="N963">
        <f>VLOOKUP(Query1[[#This Row],[Description]],'kits to boards'!$B$2:$E$156,4,FALSE)</f>
        <v>830120</v>
      </c>
      <c r="O963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964" spans="1:15" x14ac:dyDescent="0.25">
      <c r="A964" s="1">
        <v>911477</v>
      </c>
      <c r="B964" s="1" t="s">
        <v>160</v>
      </c>
      <c r="C964" s="1" t="s">
        <v>161</v>
      </c>
      <c r="D964" s="2">
        <v>44609.568741701391</v>
      </c>
      <c r="E964" s="1" t="s">
        <v>8</v>
      </c>
      <c r="F964" s="1">
        <v>1</v>
      </c>
      <c r="G964" s="1">
        <v>0</v>
      </c>
      <c r="H964" s="6">
        <f>INT(Query1[[#This Row],[EntryDateTime]])</f>
        <v>44609</v>
      </c>
      <c r="I964" s="1">
        <f>IF(Query1[[#This Row],[ItemType]]="EVAP KIT SF GEN IV",Query1[[#This Row],[OrderQty]]+I963,I963)</f>
        <v>1090</v>
      </c>
      <c r="J964" s="1">
        <f>IF(Query1[[#This Row],[ItemType]]="EVAP KIT UNIVERSAL",Query1[[#This Row],[OrderQty]]+J963,J963)</f>
        <v>485</v>
      </c>
      <c r="K964" s="1">
        <f>Query1[[#This Row],[SF Running Total]]+Query1[[#This Row],[UNIV Running Total]]</f>
        <v>1575</v>
      </c>
      <c r="L964">
        <f>VLOOKUP(Query1[[#This Row],[Description]],'kits to boards'!$B$2:$E$156,2,FALSE)</f>
        <v>830083</v>
      </c>
      <c r="M964">
        <f>VLOOKUP(Query1[[#This Row],[Description]],'kits to boards'!$B$2:$E$156,3,FALSE)</f>
        <v>0</v>
      </c>
      <c r="N964">
        <f>VLOOKUP(Query1[[#This Row],[Description]],'kits to boards'!$B$2:$E$156,4,FALSE)</f>
        <v>0</v>
      </c>
      <c r="O964" t="str">
        <f>CONCATENATE(Query1[[#This Row],[Description]]," - ",Query1[[#This Row],[MB1]]," - ",Query1[[#This Row],[MB2]]," - ",Query1[[#This Row],[MB3]])</f>
        <v>EVAP KIT 70-74 CHALNGR/CUDA WO AC - 830083 - 0 - 0</v>
      </c>
    </row>
    <row r="965" spans="1:15" x14ac:dyDescent="0.25">
      <c r="A965" s="1">
        <v>911477</v>
      </c>
      <c r="B965" s="1" t="s">
        <v>86</v>
      </c>
      <c r="C965" s="1" t="s">
        <v>87</v>
      </c>
      <c r="D965" s="2">
        <v>44609.569690243057</v>
      </c>
      <c r="E965" s="1" t="s">
        <v>8</v>
      </c>
      <c r="F965" s="1">
        <v>1</v>
      </c>
      <c r="G965" s="1">
        <v>0</v>
      </c>
      <c r="H965" s="6">
        <f>INT(Query1[[#This Row],[EntryDateTime]])</f>
        <v>44609</v>
      </c>
      <c r="I965" s="1">
        <f>IF(Query1[[#This Row],[ItemType]]="EVAP KIT SF GEN IV",Query1[[#This Row],[OrderQty]]+I964,I964)</f>
        <v>1091</v>
      </c>
      <c r="J965" s="1">
        <f>IF(Query1[[#This Row],[ItemType]]="EVAP KIT UNIVERSAL",Query1[[#This Row],[OrderQty]]+J964,J964)</f>
        <v>485</v>
      </c>
      <c r="K965" s="1">
        <f>Query1[[#This Row],[SF Running Total]]+Query1[[#This Row],[UNIV Running Total]]</f>
        <v>1576</v>
      </c>
      <c r="L965">
        <f>VLOOKUP(Query1[[#This Row],[Description]],'kits to boards'!$B$2:$E$156,2,FALSE)</f>
        <v>830048</v>
      </c>
      <c r="M965">
        <f>VLOOKUP(Query1[[#This Row],[Description]],'kits to boards'!$B$2:$E$156,3,FALSE)</f>
        <v>0</v>
      </c>
      <c r="N965">
        <f>VLOOKUP(Query1[[#This Row],[Description]],'kits to boards'!$B$2:$E$156,4,FALSE)</f>
        <v>0</v>
      </c>
      <c r="O965" t="str">
        <f>CONCATENATE(Query1[[#This Row],[Description]]," - ",Query1[[#This Row],[MB1]]," - ",Query1[[#This Row],[MB2]]," - ",Query1[[#This Row],[MB3]])</f>
        <v>EVAP KIT 66-67 NOVA - 830048 - 0 - 0</v>
      </c>
    </row>
    <row r="966" spans="1:15" x14ac:dyDescent="0.25">
      <c r="A966" s="1">
        <v>911481</v>
      </c>
      <c r="B966" s="1" t="s">
        <v>16</v>
      </c>
      <c r="C966" s="1" t="s">
        <v>17</v>
      </c>
      <c r="D966" s="2">
        <v>44609.574518553243</v>
      </c>
      <c r="E966" s="1" t="s">
        <v>8</v>
      </c>
      <c r="F966" s="1">
        <v>1</v>
      </c>
      <c r="G966" s="1">
        <v>0</v>
      </c>
      <c r="H966" s="6">
        <f>INT(Query1[[#This Row],[EntryDateTime]])</f>
        <v>44609</v>
      </c>
      <c r="I966" s="1">
        <f>IF(Query1[[#This Row],[ItemType]]="EVAP KIT SF GEN IV",Query1[[#This Row],[OrderQty]]+I965,I965)</f>
        <v>1092</v>
      </c>
      <c r="J966" s="1">
        <f>IF(Query1[[#This Row],[ItemType]]="EVAP KIT UNIVERSAL",Query1[[#This Row],[OrderQty]]+J965,J965)</f>
        <v>485</v>
      </c>
      <c r="K966" s="1">
        <f>Query1[[#This Row],[SF Running Total]]+Query1[[#This Row],[UNIV Running Total]]</f>
        <v>1577</v>
      </c>
      <c r="L966">
        <f>VLOOKUP(Query1[[#This Row],[Description]],'kits to boards'!$B$2:$E$156,2,FALSE)</f>
        <v>830061</v>
      </c>
      <c r="M966">
        <f>VLOOKUP(Query1[[#This Row],[Description]],'kits to boards'!$B$2:$E$156,3,FALSE)</f>
        <v>0</v>
      </c>
      <c r="N966">
        <f>VLOOKUP(Query1[[#This Row],[Description]],'kits to boards'!$B$2:$E$156,4,FALSE)</f>
        <v>0</v>
      </c>
      <c r="O966" t="str">
        <f>CONCATENATE(Query1[[#This Row],[Description]]," - ",Query1[[#This Row],[MB1]]," - ",Query1[[#This Row],[MB2]]," - ",Query1[[#This Row],[MB3]])</f>
        <v>EVAP KIT 68-69 CHEVELLE W/AC - 830061 - 0 - 0</v>
      </c>
    </row>
    <row r="967" spans="1:15" x14ac:dyDescent="0.25">
      <c r="A967" s="1">
        <v>911491</v>
      </c>
      <c r="B967" s="1" t="s">
        <v>92</v>
      </c>
      <c r="C967" s="1" t="s">
        <v>93</v>
      </c>
      <c r="D967" s="2">
        <v>44609.600422222225</v>
      </c>
      <c r="E967" s="1" t="s">
        <v>8</v>
      </c>
      <c r="F967" s="1">
        <v>1</v>
      </c>
      <c r="G967" s="1">
        <v>0</v>
      </c>
      <c r="H967" s="6">
        <f>INT(Query1[[#This Row],[EntryDateTime]])</f>
        <v>44609</v>
      </c>
      <c r="I967" s="1">
        <f>IF(Query1[[#This Row],[ItemType]]="EVAP KIT SF GEN IV",Query1[[#This Row],[OrderQty]]+I966,I966)</f>
        <v>1093</v>
      </c>
      <c r="J967" s="1">
        <f>IF(Query1[[#This Row],[ItemType]]="EVAP KIT UNIVERSAL",Query1[[#This Row],[OrderQty]]+J966,J966)</f>
        <v>485</v>
      </c>
      <c r="K967" s="1">
        <f>Query1[[#This Row],[SF Running Total]]+Query1[[#This Row],[UNIV Running Total]]</f>
        <v>1578</v>
      </c>
      <c r="L967">
        <f>VLOOKUP(Query1[[#This Row],[Description]],'kits to boards'!$B$2:$E$156,2,FALSE)</f>
        <v>830063</v>
      </c>
      <c r="M967">
        <f>VLOOKUP(Query1[[#This Row],[Description]],'kits to boards'!$B$2:$E$156,3,FALSE)</f>
        <v>0</v>
      </c>
      <c r="N967">
        <f>VLOOKUP(Query1[[#This Row],[Description]],'kits to boards'!$B$2:$E$156,4,FALSE)</f>
        <v>0</v>
      </c>
      <c r="O967" t="str">
        <f>CONCATENATE(Query1[[#This Row],[Description]]," - ",Query1[[#This Row],[MB1]]," - ",Query1[[#This Row],[MB2]]," - ",Query1[[#This Row],[MB3]])</f>
        <v>EVAP KIT 50-53 CHEV P-UP GEN IV - 830063 - 0 - 0</v>
      </c>
    </row>
    <row r="968" spans="1:15" x14ac:dyDescent="0.25">
      <c r="A968" s="1">
        <v>911498</v>
      </c>
      <c r="B968" s="1" t="s">
        <v>244</v>
      </c>
      <c r="C968" s="1" t="s">
        <v>245</v>
      </c>
      <c r="D968" s="2">
        <v>44609.607320752315</v>
      </c>
      <c r="E968" s="1" t="s">
        <v>8</v>
      </c>
      <c r="F968" s="1">
        <v>1</v>
      </c>
      <c r="G968" s="1">
        <v>0</v>
      </c>
      <c r="H968" s="6">
        <f>INT(Query1[[#This Row],[EntryDateTime]])</f>
        <v>44609</v>
      </c>
      <c r="I968" s="1">
        <f>IF(Query1[[#This Row],[ItemType]]="EVAP KIT SF GEN IV",Query1[[#This Row],[OrderQty]]+I967,I967)</f>
        <v>1094</v>
      </c>
      <c r="J968" s="1">
        <f>IF(Query1[[#This Row],[ItemType]]="EVAP KIT UNIVERSAL",Query1[[#This Row],[OrderQty]]+J967,J967)</f>
        <v>485</v>
      </c>
      <c r="K968" s="1">
        <f>Query1[[#This Row],[SF Running Total]]+Query1[[#This Row],[UNIV Running Total]]</f>
        <v>1579</v>
      </c>
      <c r="L968">
        <f>VLOOKUP(Query1[[#This Row],[Description]],'kits to boards'!$B$2:$E$156,2,FALSE)</f>
        <v>830100</v>
      </c>
      <c r="M968">
        <f>VLOOKUP(Query1[[#This Row],[Description]],'kits to boards'!$B$2:$E$156,3,FALSE)</f>
        <v>0</v>
      </c>
      <c r="N968">
        <f>VLOOKUP(Query1[[#This Row],[Description]],'kits to boards'!$B$2:$E$156,4,FALSE)</f>
        <v>0</v>
      </c>
      <c r="O968" t="str">
        <f>CONCATENATE(Query1[[#This Row],[Description]]," - ",Query1[[#This Row],[MB1]]," - ",Query1[[#This Row],[MB2]]," - ",Query1[[#This Row],[MB3]])</f>
        <v>EVAP KIT 68-76 VETTE WO AC - 830100 - 0 - 0</v>
      </c>
    </row>
    <row r="969" spans="1:15" x14ac:dyDescent="0.25">
      <c r="A969" s="1">
        <v>910768</v>
      </c>
      <c r="B969" s="1" t="s">
        <v>42</v>
      </c>
      <c r="C969" s="1" t="s">
        <v>43</v>
      </c>
      <c r="D969" s="2">
        <v>44609.611552233793</v>
      </c>
      <c r="E969" s="1" t="s">
        <v>8</v>
      </c>
      <c r="F969" s="1">
        <v>1</v>
      </c>
      <c r="G969" s="1">
        <v>0</v>
      </c>
      <c r="H969" s="6">
        <f>INT(Query1[[#This Row],[EntryDateTime]])</f>
        <v>44609</v>
      </c>
      <c r="I969" s="1">
        <f>IF(Query1[[#This Row],[ItemType]]="EVAP KIT SF GEN IV",Query1[[#This Row],[OrderQty]]+I968,I968)</f>
        <v>1095</v>
      </c>
      <c r="J969" s="1">
        <f>IF(Query1[[#This Row],[ItemType]]="EVAP KIT UNIVERSAL",Query1[[#This Row],[OrderQty]]+J968,J968)</f>
        <v>485</v>
      </c>
      <c r="K969" s="1">
        <f>Query1[[#This Row],[SF Running Total]]+Query1[[#This Row],[UNIV Running Total]]</f>
        <v>1580</v>
      </c>
      <c r="L969">
        <f>VLOOKUP(Query1[[#This Row],[Description]],'kits to boards'!$B$2:$E$156,2,FALSE)</f>
        <v>830014</v>
      </c>
      <c r="M969">
        <f>VLOOKUP(Query1[[#This Row],[Description]],'kits to boards'!$B$2:$E$156,3,FALSE)</f>
        <v>0</v>
      </c>
      <c r="N969">
        <f>VLOOKUP(Query1[[#This Row],[Description]],'kits to boards'!$B$2:$E$156,4,FALSE)</f>
        <v>0</v>
      </c>
      <c r="O969" t="str">
        <f>CONCATENATE(Query1[[#This Row],[Description]]," - ",Query1[[#This Row],[MB1]]," - ",Query1[[#This Row],[MB2]]," - ",Query1[[#This Row],[MB3]])</f>
        <v>EVAP KIT 67-72 CHEV P-UP WO AC - 830014 - 0 - 0</v>
      </c>
    </row>
    <row r="970" spans="1:15" x14ac:dyDescent="0.25">
      <c r="A970" s="1">
        <v>911508</v>
      </c>
      <c r="B970" s="1" t="s">
        <v>96</v>
      </c>
      <c r="C970" s="1" t="s">
        <v>97</v>
      </c>
      <c r="D970" s="2">
        <v>44609.619210648147</v>
      </c>
      <c r="E970" s="1" t="s">
        <v>8</v>
      </c>
      <c r="F970" s="1">
        <v>1</v>
      </c>
      <c r="G970" s="1">
        <v>0</v>
      </c>
      <c r="H970" s="6">
        <f>INT(Query1[[#This Row],[EntryDateTime]])</f>
        <v>44609</v>
      </c>
      <c r="I970" s="1">
        <f>IF(Query1[[#This Row],[ItemType]]="EVAP KIT SF GEN IV",Query1[[#This Row],[OrderQty]]+I969,I969)</f>
        <v>1096</v>
      </c>
      <c r="J970" s="1">
        <f>IF(Query1[[#This Row],[ItemType]]="EVAP KIT UNIVERSAL",Query1[[#This Row],[OrderQty]]+J969,J969)</f>
        <v>485</v>
      </c>
      <c r="K970" s="1">
        <f>Query1[[#This Row],[SF Running Total]]+Query1[[#This Row],[UNIV Running Total]]</f>
        <v>1581</v>
      </c>
      <c r="L970">
        <f>VLOOKUP(Query1[[#This Row],[Description]],'kits to boards'!$B$2:$E$156,2,FALSE)</f>
        <v>830004</v>
      </c>
      <c r="M970">
        <f>VLOOKUP(Query1[[#This Row],[Description]],'kits to boards'!$B$2:$E$156,3,FALSE)</f>
        <v>0</v>
      </c>
      <c r="N970">
        <f>VLOOKUP(Query1[[#This Row],[Description]],'kits to boards'!$B$2:$E$156,4,FALSE)</f>
        <v>0</v>
      </c>
      <c r="O970" t="str">
        <f>CONCATENATE(Query1[[#This Row],[Description]]," - ",Query1[[#This Row],[MB1]]," - ",Query1[[#This Row],[MB2]]," - ",Query1[[#This Row],[MB3]])</f>
        <v>EVAP KIT 81-87 CHEV P-UP W/AC - 830004 - 0 - 0</v>
      </c>
    </row>
    <row r="971" spans="1:15" x14ac:dyDescent="0.25">
      <c r="A971" s="1">
        <v>910932</v>
      </c>
      <c r="B971" s="1" t="s">
        <v>40</v>
      </c>
      <c r="C971" s="1" t="s">
        <v>41</v>
      </c>
      <c r="D971" s="2">
        <v>44609.622910648148</v>
      </c>
      <c r="E971" s="1" t="s">
        <v>8</v>
      </c>
      <c r="F971" s="1">
        <v>1</v>
      </c>
      <c r="G971" s="1">
        <v>0</v>
      </c>
      <c r="H971" s="6">
        <f>INT(Query1[[#This Row],[EntryDateTime]])</f>
        <v>44609</v>
      </c>
      <c r="I971" s="1">
        <f>IF(Query1[[#This Row],[ItemType]]="EVAP KIT SF GEN IV",Query1[[#This Row],[OrderQty]]+I970,I970)</f>
        <v>1097</v>
      </c>
      <c r="J971" s="1">
        <f>IF(Query1[[#This Row],[ItemType]]="EVAP KIT UNIVERSAL",Query1[[#This Row],[OrderQty]]+J970,J970)</f>
        <v>485</v>
      </c>
      <c r="K971" s="1">
        <f>Query1[[#This Row],[SF Running Total]]+Query1[[#This Row],[UNIV Running Total]]</f>
        <v>1582</v>
      </c>
      <c r="L971">
        <f>VLOOKUP(Query1[[#This Row],[Description]],'kits to boards'!$B$2:$E$156,2,FALSE)</f>
        <v>830024</v>
      </c>
      <c r="M971">
        <f>VLOOKUP(Query1[[#This Row],[Description]],'kits to boards'!$B$2:$E$156,3,FALSE)</f>
        <v>0</v>
      </c>
      <c r="N971">
        <f>VLOOKUP(Query1[[#This Row],[Description]],'kits to boards'!$B$2:$E$156,4,FALSE)</f>
        <v>0</v>
      </c>
      <c r="O971" t="str">
        <f>CONCATENATE(Query1[[#This Row],[Description]]," - ",Query1[[#This Row],[MB1]]," - ",Query1[[#This Row],[MB2]]," - ",Query1[[#This Row],[MB3]])</f>
        <v>EVAP KIT 79-81 CAMARO W/AC - 830024 - 0 - 0</v>
      </c>
    </row>
    <row r="972" spans="1:15" x14ac:dyDescent="0.25">
      <c r="A972" s="1">
        <v>911435</v>
      </c>
      <c r="B972" s="1" t="s">
        <v>42</v>
      </c>
      <c r="C972" s="1" t="s">
        <v>43</v>
      </c>
      <c r="D972" s="2">
        <v>44609.623003935187</v>
      </c>
      <c r="E972" s="1" t="s">
        <v>8</v>
      </c>
      <c r="F972" s="1">
        <v>1</v>
      </c>
      <c r="G972" s="1">
        <v>0</v>
      </c>
      <c r="H972" s="6">
        <f>INT(Query1[[#This Row],[EntryDateTime]])</f>
        <v>44609</v>
      </c>
      <c r="I972" s="1">
        <f>IF(Query1[[#This Row],[ItemType]]="EVAP KIT SF GEN IV",Query1[[#This Row],[OrderQty]]+I971,I971)</f>
        <v>1098</v>
      </c>
      <c r="J972" s="1">
        <f>IF(Query1[[#This Row],[ItemType]]="EVAP KIT UNIVERSAL",Query1[[#This Row],[OrderQty]]+J971,J971)</f>
        <v>485</v>
      </c>
      <c r="K972" s="1">
        <f>Query1[[#This Row],[SF Running Total]]+Query1[[#This Row],[UNIV Running Total]]</f>
        <v>1583</v>
      </c>
      <c r="L972">
        <f>VLOOKUP(Query1[[#This Row],[Description]],'kits to boards'!$B$2:$E$156,2,FALSE)</f>
        <v>830014</v>
      </c>
      <c r="M972">
        <f>VLOOKUP(Query1[[#This Row],[Description]],'kits to boards'!$B$2:$E$156,3,FALSE)</f>
        <v>0</v>
      </c>
      <c r="N972">
        <f>VLOOKUP(Query1[[#This Row],[Description]],'kits to boards'!$B$2:$E$156,4,FALSE)</f>
        <v>0</v>
      </c>
      <c r="O972" t="str">
        <f>CONCATENATE(Query1[[#This Row],[Description]]," - ",Query1[[#This Row],[MB1]]," - ",Query1[[#This Row],[MB2]]," - ",Query1[[#This Row],[MB3]])</f>
        <v>EVAP KIT 67-72 CHEV P-UP WO AC - 830014 - 0 - 0</v>
      </c>
    </row>
    <row r="973" spans="1:15" x14ac:dyDescent="0.25">
      <c r="A973" s="1">
        <v>911510</v>
      </c>
      <c r="B973" s="1" t="s">
        <v>26</v>
      </c>
      <c r="C973" s="1" t="s">
        <v>27</v>
      </c>
      <c r="D973" s="2">
        <v>44609.623811574071</v>
      </c>
      <c r="E973" s="1" t="s">
        <v>8</v>
      </c>
      <c r="F973" s="1">
        <v>1</v>
      </c>
      <c r="G973" s="1">
        <v>0</v>
      </c>
      <c r="H973" s="6">
        <f>INT(Query1[[#This Row],[EntryDateTime]])</f>
        <v>44609</v>
      </c>
      <c r="I973" s="1">
        <f>IF(Query1[[#This Row],[ItemType]]="EVAP KIT SF GEN IV",Query1[[#This Row],[OrderQty]]+I972,I972)</f>
        <v>1099</v>
      </c>
      <c r="J973" s="1">
        <f>IF(Query1[[#This Row],[ItemType]]="EVAP KIT UNIVERSAL",Query1[[#This Row],[OrderQty]]+J972,J972)</f>
        <v>485</v>
      </c>
      <c r="K973" s="1">
        <f>Query1[[#This Row],[SF Running Total]]+Query1[[#This Row],[UNIV Running Total]]</f>
        <v>1584</v>
      </c>
      <c r="L973">
        <f>VLOOKUP(Query1[[#This Row],[Description]],'kits to boards'!$B$2:$E$156,2,FALSE)</f>
        <v>830013</v>
      </c>
      <c r="M973">
        <f>VLOOKUP(Query1[[#This Row],[Description]],'kits to boards'!$B$2:$E$156,3,FALSE)</f>
        <v>0</v>
      </c>
      <c r="N973">
        <f>VLOOKUP(Query1[[#This Row],[Description]],'kits to boards'!$B$2:$E$156,4,FALSE)</f>
        <v>0</v>
      </c>
      <c r="O973" t="str">
        <f>CONCATENATE(Query1[[#This Row],[Description]]," - ",Query1[[#This Row],[MB1]]," - ",Query1[[#This Row],[MB2]]," - ",Query1[[#This Row],[MB3]])</f>
        <v>EVAP KIT 67-72 CHEV P-UP W/AC - 830013 - 0 - 0</v>
      </c>
    </row>
    <row r="974" spans="1:15" x14ac:dyDescent="0.25">
      <c r="A974" s="1">
        <v>911512</v>
      </c>
      <c r="B974" s="1" t="s">
        <v>52</v>
      </c>
      <c r="C974" s="1" t="s">
        <v>53</v>
      </c>
      <c r="D974" s="2">
        <v>44609.625420486111</v>
      </c>
      <c r="E974" s="1" t="s">
        <v>8</v>
      </c>
      <c r="F974" s="1">
        <v>1</v>
      </c>
      <c r="G974" s="1">
        <v>0</v>
      </c>
      <c r="H974" s="6">
        <f>INT(Query1[[#This Row],[EntryDateTime]])</f>
        <v>44609</v>
      </c>
      <c r="I974" s="1">
        <f>IF(Query1[[#This Row],[ItemType]]="EVAP KIT SF GEN IV",Query1[[#This Row],[OrderQty]]+I973,I973)</f>
        <v>1100</v>
      </c>
      <c r="J974" s="1">
        <f>IF(Query1[[#This Row],[ItemType]]="EVAP KIT UNIVERSAL",Query1[[#This Row],[OrderQty]]+J973,J973)</f>
        <v>485</v>
      </c>
      <c r="K974" s="1">
        <f>Query1[[#This Row],[SF Running Total]]+Query1[[#This Row],[UNIV Running Total]]</f>
        <v>1585</v>
      </c>
      <c r="L974">
        <f>VLOOKUP(Query1[[#This Row],[Description]],'kits to boards'!$B$2:$E$156,2,FALSE)</f>
        <v>830017</v>
      </c>
      <c r="M974">
        <f>VLOOKUP(Query1[[#This Row],[Description]],'kits to boards'!$B$2:$E$156,3,FALSE)</f>
        <v>830119</v>
      </c>
      <c r="N974">
        <f>VLOOKUP(Query1[[#This Row],[Description]],'kits to boards'!$B$2:$E$156,4,FALSE)</f>
        <v>830120</v>
      </c>
      <c r="O974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975" spans="1:15" x14ac:dyDescent="0.25">
      <c r="A975" s="1">
        <v>911505</v>
      </c>
      <c r="B975" s="1" t="s">
        <v>106</v>
      </c>
      <c r="C975" s="1" t="s">
        <v>107</v>
      </c>
      <c r="D975" s="2">
        <v>44609.625836261577</v>
      </c>
      <c r="E975" s="1" t="s">
        <v>8</v>
      </c>
      <c r="F975" s="1">
        <v>1</v>
      </c>
      <c r="G975" s="1">
        <v>0</v>
      </c>
      <c r="H975" s="6">
        <f>INT(Query1[[#This Row],[EntryDateTime]])</f>
        <v>44609</v>
      </c>
      <c r="I975" s="1">
        <f>IF(Query1[[#This Row],[ItemType]]="EVAP KIT SF GEN IV",Query1[[#This Row],[OrderQty]]+I974,I974)</f>
        <v>1101</v>
      </c>
      <c r="J975" s="1">
        <f>IF(Query1[[#This Row],[ItemType]]="EVAP KIT UNIVERSAL",Query1[[#This Row],[OrderQty]]+J974,J974)</f>
        <v>485</v>
      </c>
      <c r="K975" s="1">
        <f>Query1[[#This Row],[SF Running Total]]+Query1[[#This Row],[UNIV Running Total]]</f>
        <v>1586</v>
      </c>
      <c r="L975">
        <f>VLOOKUP(Query1[[#This Row],[Description]],'kits to boards'!$B$2:$E$156,2,FALSE)</f>
        <v>830028</v>
      </c>
      <c r="M975">
        <f>VLOOKUP(Query1[[#This Row],[Description]],'kits to boards'!$B$2:$E$156,3,FALSE)</f>
        <v>0</v>
      </c>
      <c r="N975">
        <f>VLOOKUP(Query1[[#This Row],[Description]],'kits to boards'!$B$2:$E$156,4,FALSE)</f>
        <v>0</v>
      </c>
      <c r="O975" t="str">
        <f>CONCATENATE(Query1[[#This Row],[Description]]," - ",Query1[[#This Row],[MB1]]," - ",Query1[[#This Row],[MB2]]," - ",Query1[[#This Row],[MB3]])</f>
        <v>EVAP KIT 55-59 CHEV P-UP WO AC W/DELX - 830028 - 0 - 0</v>
      </c>
    </row>
    <row r="976" spans="1:15" x14ac:dyDescent="0.25">
      <c r="A976" s="1">
        <v>911516</v>
      </c>
      <c r="B976" s="1" t="s">
        <v>168</v>
      </c>
      <c r="C976" s="1" t="s">
        <v>169</v>
      </c>
      <c r="D976" s="2">
        <v>44609.632476701387</v>
      </c>
      <c r="E976" s="1" t="s">
        <v>8</v>
      </c>
      <c r="F976" s="1">
        <v>1</v>
      </c>
      <c r="G976" s="1">
        <v>0</v>
      </c>
      <c r="H976" s="6">
        <f>INT(Query1[[#This Row],[EntryDateTime]])</f>
        <v>44609</v>
      </c>
      <c r="I976" s="1">
        <f>IF(Query1[[#This Row],[ItemType]]="EVAP KIT SF GEN IV",Query1[[#This Row],[OrderQty]]+I975,I975)</f>
        <v>1102</v>
      </c>
      <c r="J976" s="1">
        <f>IF(Query1[[#This Row],[ItemType]]="EVAP KIT UNIVERSAL",Query1[[#This Row],[OrderQty]]+J975,J975)</f>
        <v>485</v>
      </c>
      <c r="K976" s="1">
        <f>Query1[[#This Row],[SF Running Total]]+Query1[[#This Row],[UNIV Running Total]]</f>
        <v>1587</v>
      </c>
      <c r="L976">
        <f>VLOOKUP(Query1[[#This Row],[Description]],'kits to boards'!$B$2:$E$156,2,FALSE)</f>
        <v>830028</v>
      </c>
      <c r="M976">
        <f>VLOOKUP(Query1[[#This Row],[Description]],'kits to boards'!$B$2:$E$156,3,FALSE)</f>
        <v>0</v>
      </c>
      <c r="N976">
        <f>VLOOKUP(Query1[[#This Row],[Description]],'kits to boards'!$B$2:$E$156,4,FALSE)</f>
        <v>0</v>
      </c>
      <c r="O976" t="str">
        <f>CONCATENATE(Query1[[#This Row],[Description]]," - ",Query1[[#This Row],[MB1]]," - ",Query1[[#This Row],[MB2]]," - ",Query1[[#This Row],[MB3]])</f>
        <v>EVAP KIT 55-59 CHEV P-UP WO AC W/STD  - 830028 - 0 - 0</v>
      </c>
    </row>
    <row r="977" spans="1:15" x14ac:dyDescent="0.25">
      <c r="A977" s="1">
        <v>911517</v>
      </c>
      <c r="B977" s="1" t="s">
        <v>256</v>
      </c>
      <c r="C977" s="1" t="s">
        <v>257</v>
      </c>
      <c r="D977" s="2">
        <v>44609.633547997684</v>
      </c>
      <c r="E977" s="1" t="s">
        <v>8</v>
      </c>
      <c r="F977" s="1">
        <v>1</v>
      </c>
      <c r="G977" s="1">
        <v>0</v>
      </c>
      <c r="H977" s="6">
        <f>INT(Query1[[#This Row],[EntryDateTime]])</f>
        <v>44609</v>
      </c>
      <c r="I977" s="1">
        <f>IF(Query1[[#This Row],[ItemType]]="EVAP KIT SF GEN IV",Query1[[#This Row],[OrderQty]]+I976,I976)</f>
        <v>1103</v>
      </c>
      <c r="J977" s="1">
        <f>IF(Query1[[#This Row],[ItemType]]="EVAP KIT UNIVERSAL",Query1[[#This Row],[OrderQty]]+J976,J976)</f>
        <v>485</v>
      </c>
      <c r="K977" s="1">
        <f>Query1[[#This Row],[SF Running Total]]+Query1[[#This Row],[UNIV Running Total]]</f>
        <v>1588</v>
      </c>
      <c r="L977">
        <f>VLOOKUP(Query1[[#This Row],[Description]],'kits to boards'!$B$2:$E$156,2,FALSE)</f>
        <v>830025</v>
      </c>
      <c r="M977">
        <f>VLOOKUP(Query1[[#This Row],[Description]],'kits to boards'!$B$2:$E$156,3,FALSE)</f>
        <v>830022</v>
      </c>
      <c r="N977">
        <f>VLOOKUP(Query1[[#This Row],[Description]],'kits to boards'!$B$2:$E$156,4,FALSE)</f>
        <v>0</v>
      </c>
      <c r="O977" t="str">
        <f>CONCATENATE(Query1[[#This Row],[Description]]," - ",Query1[[#This Row],[MB1]]," - ",Query1[[#This Row],[MB2]]," - ",Query1[[#This Row],[MB3]])</f>
        <v>EVAP KIT 68-69 CUTLASS W/AC - 830025 - 830022 - 0</v>
      </c>
    </row>
    <row r="978" spans="1:15" x14ac:dyDescent="0.25">
      <c r="A978" s="1">
        <v>911518</v>
      </c>
      <c r="B978" s="1" t="s">
        <v>216</v>
      </c>
      <c r="C978" s="1" t="s">
        <v>217</v>
      </c>
      <c r="D978" s="2">
        <v>44609.635948726849</v>
      </c>
      <c r="E978" s="1" t="s">
        <v>8</v>
      </c>
      <c r="F978" s="1">
        <v>1</v>
      </c>
      <c r="G978" s="1">
        <v>0</v>
      </c>
      <c r="H978" s="6">
        <f>INT(Query1[[#This Row],[EntryDateTime]])</f>
        <v>44609</v>
      </c>
      <c r="I978" s="1">
        <f>IF(Query1[[#This Row],[ItemType]]="EVAP KIT SF GEN IV",Query1[[#This Row],[OrderQty]]+I977,I977)</f>
        <v>1104</v>
      </c>
      <c r="J978" s="1">
        <f>IF(Query1[[#This Row],[ItemType]]="EVAP KIT UNIVERSAL",Query1[[#This Row],[OrderQty]]+J977,J977)</f>
        <v>485</v>
      </c>
      <c r="K978" s="1">
        <f>Query1[[#This Row],[SF Running Total]]+Query1[[#This Row],[UNIV Running Total]]</f>
        <v>1589</v>
      </c>
      <c r="L978">
        <f>VLOOKUP(Query1[[#This Row],[Description]],'kits to boards'!$B$2:$E$156,2,FALSE)</f>
        <v>830072</v>
      </c>
      <c r="M978">
        <f>VLOOKUP(Query1[[#This Row],[Description]],'kits to boards'!$B$2:$E$156,3,FALSE)</f>
        <v>830075</v>
      </c>
      <c r="N978">
        <f>VLOOKUP(Query1[[#This Row],[Description]],'kits to boards'!$B$2:$E$156,4,FALSE)</f>
        <v>0</v>
      </c>
      <c r="O978" t="str">
        <f>CONCATENATE(Query1[[#This Row],[Description]]," - ",Query1[[#This Row],[MB1]]," - ",Query1[[#This Row],[MB2]]," - ",Query1[[#This Row],[MB3]])</f>
        <v>EVAP KIT 69-70 MOPAR B BODY W/AC - 830072 - 830075 - 0</v>
      </c>
    </row>
    <row r="979" spans="1:15" x14ac:dyDescent="0.25">
      <c r="A979" s="1">
        <v>911521</v>
      </c>
      <c r="B979" s="1" t="s">
        <v>22</v>
      </c>
      <c r="C979" s="1" t="s">
        <v>23</v>
      </c>
      <c r="D979" s="2">
        <v>44609.639455243057</v>
      </c>
      <c r="E979" s="1" t="s">
        <v>8</v>
      </c>
      <c r="F979" s="1">
        <v>1</v>
      </c>
      <c r="G979" s="1">
        <v>0</v>
      </c>
      <c r="H979" s="6">
        <f>INT(Query1[[#This Row],[EntryDateTime]])</f>
        <v>44609</v>
      </c>
      <c r="I979" s="1">
        <f>IF(Query1[[#This Row],[ItemType]]="EVAP KIT SF GEN IV",Query1[[#This Row],[OrderQty]]+I978,I978)</f>
        <v>1105</v>
      </c>
      <c r="J979" s="1">
        <f>IF(Query1[[#This Row],[ItemType]]="EVAP KIT UNIVERSAL",Query1[[#This Row],[OrderQty]]+J978,J978)</f>
        <v>485</v>
      </c>
      <c r="K979" s="1">
        <f>Query1[[#This Row],[SF Running Total]]+Query1[[#This Row],[UNIV Running Total]]</f>
        <v>1590</v>
      </c>
      <c r="L979">
        <f>VLOOKUP(Query1[[#This Row],[Description]],'kits to boards'!$B$2:$E$156,2,FALSE)</f>
        <v>830083</v>
      </c>
      <c r="M979">
        <f>VLOOKUP(Query1[[#This Row],[Description]],'kits to boards'!$B$2:$E$156,3,FALSE)</f>
        <v>0</v>
      </c>
      <c r="N979">
        <f>VLOOKUP(Query1[[#This Row],[Description]],'kits to boards'!$B$2:$E$156,4,FALSE)</f>
        <v>0</v>
      </c>
      <c r="O979" t="str">
        <f>CONCATENATE(Query1[[#This Row],[Description]]," - ",Query1[[#This Row],[MB1]]," - ",Query1[[#This Row],[MB2]]," - ",Query1[[#This Row],[MB3]])</f>
        <v>GEN IV MAGNUM EVAP KIT - 830083 - 0 - 0</v>
      </c>
    </row>
    <row r="980" spans="1:15" x14ac:dyDescent="0.25">
      <c r="A980" s="1">
        <v>911524</v>
      </c>
      <c r="B980" s="1" t="s">
        <v>22</v>
      </c>
      <c r="C980" s="1" t="s">
        <v>23</v>
      </c>
      <c r="D980" s="2">
        <v>44609.644724224534</v>
      </c>
      <c r="E980" s="1" t="s">
        <v>8</v>
      </c>
      <c r="F980" s="1">
        <v>3</v>
      </c>
      <c r="G980" s="1">
        <v>0</v>
      </c>
      <c r="H980" s="6">
        <f>INT(Query1[[#This Row],[EntryDateTime]])</f>
        <v>44609</v>
      </c>
      <c r="I980" s="1">
        <f>IF(Query1[[#This Row],[ItemType]]="EVAP KIT SF GEN IV",Query1[[#This Row],[OrderQty]]+I979,I979)</f>
        <v>1108</v>
      </c>
      <c r="J980" s="1">
        <f>IF(Query1[[#This Row],[ItemType]]="EVAP KIT UNIVERSAL",Query1[[#This Row],[OrderQty]]+J979,J979)</f>
        <v>485</v>
      </c>
      <c r="K980" s="1">
        <f>Query1[[#This Row],[SF Running Total]]+Query1[[#This Row],[UNIV Running Total]]</f>
        <v>1593</v>
      </c>
      <c r="L980">
        <f>VLOOKUP(Query1[[#This Row],[Description]],'kits to boards'!$B$2:$E$156,2,FALSE)</f>
        <v>830083</v>
      </c>
      <c r="M980">
        <f>VLOOKUP(Query1[[#This Row],[Description]],'kits to boards'!$B$2:$E$156,3,FALSE)</f>
        <v>0</v>
      </c>
      <c r="N980">
        <f>VLOOKUP(Query1[[#This Row],[Description]],'kits to boards'!$B$2:$E$156,4,FALSE)</f>
        <v>0</v>
      </c>
      <c r="O980" t="str">
        <f>CONCATENATE(Query1[[#This Row],[Description]]," - ",Query1[[#This Row],[MB1]]," - ",Query1[[#This Row],[MB2]]," - ",Query1[[#This Row],[MB3]])</f>
        <v>GEN IV MAGNUM EVAP KIT - 830083 - 0 - 0</v>
      </c>
    </row>
    <row r="981" spans="1:15" x14ac:dyDescent="0.25">
      <c r="A981" s="1">
        <v>911440</v>
      </c>
      <c r="B981" s="1" t="s">
        <v>66</v>
      </c>
      <c r="C981" s="1" t="s">
        <v>67</v>
      </c>
      <c r="D981" s="2">
        <v>44609.646175231479</v>
      </c>
      <c r="E981" s="1" t="s">
        <v>8</v>
      </c>
      <c r="F981" s="1">
        <v>1</v>
      </c>
      <c r="G981" s="1">
        <v>0</v>
      </c>
      <c r="H981" s="6">
        <f>INT(Query1[[#This Row],[EntryDateTime]])</f>
        <v>44609</v>
      </c>
      <c r="I981" s="1">
        <f>IF(Query1[[#This Row],[ItemType]]="EVAP KIT SF GEN IV",Query1[[#This Row],[OrderQty]]+I980,I980)</f>
        <v>1109</v>
      </c>
      <c r="J981" s="1">
        <f>IF(Query1[[#This Row],[ItemType]]="EVAP KIT UNIVERSAL",Query1[[#This Row],[OrderQty]]+J980,J980)</f>
        <v>485</v>
      </c>
      <c r="K981" s="1">
        <f>Query1[[#This Row],[SF Running Total]]+Query1[[#This Row],[UNIV Running Total]]</f>
        <v>1594</v>
      </c>
      <c r="L981">
        <f>VLOOKUP(Query1[[#This Row],[Description]],'kits to boards'!$B$2:$E$156,2,FALSE)</f>
        <v>830060</v>
      </c>
      <c r="M981">
        <f>VLOOKUP(Query1[[#This Row],[Description]],'kits to boards'!$B$2:$E$156,3,FALSE)</f>
        <v>0</v>
      </c>
      <c r="N981">
        <f>VLOOKUP(Query1[[#This Row],[Description]],'kits to boards'!$B$2:$E$156,4,FALSE)</f>
        <v>0</v>
      </c>
      <c r="O981" t="str">
        <f>CONCATENATE(Query1[[#This Row],[Description]]," - ",Query1[[#This Row],[MB1]]," - ",Query1[[#This Row],[MB2]]," - ",Query1[[#This Row],[MB3]])</f>
        <v>EVAP KIT 66-67 CHEVELLE WO AC - 830060 - 0 - 0</v>
      </c>
    </row>
    <row r="982" spans="1:15" x14ac:dyDescent="0.25">
      <c r="A982" s="1">
        <v>911525</v>
      </c>
      <c r="B982" s="1" t="s">
        <v>94</v>
      </c>
      <c r="C982" s="1" t="s">
        <v>95</v>
      </c>
      <c r="D982" s="2">
        <v>44609.64669869213</v>
      </c>
      <c r="E982" s="1" t="s">
        <v>8</v>
      </c>
      <c r="F982" s="1">
        <v>1</v>
      </c>
      <c r="G982" s="1">
        <v>0</v>
      </c>
      <c r="H982" s="6">
        <f>INT(Query1[[#This Row],[EntryDateTime]])</f>
        <v>44609</v>
      </c>
      <c r="I982" s="1">
        <f>IF(Query1[[#This Row],[ItemType]]="EVAP KIT SF GEN IV",Query1[[#This Row],[OrderQty]]+I981,I981)</f>
        <v>1110</v>
      </c>
      <c r="J982" s="1">
        <f>IF(Query1[[#This Row],[ItemType]]="EVAP KIT UNIVERSAL",Query1[[#This Row],[OrderQty]]+J981,J981)</f>
        <v>485</v>
      </c>
      <c r="K982" s="1">
        <f>Query1[[#This Row],[SF Running Total]]+Query1[[#This Row],[UNIV Running Total]]</f>
        <v>1595</v>
      </c>
      <c r="L982">
        <f>VLOOKUP(Query1[[#This Row],[Description]],'kits to boards'!$B$2:$E$156,2,FALSE)</f>
        <v>830076</v>
      </c>
      <c r="M982">
        <f>VLOOKUP(Query1[[#This Row],[Description]],'kits to boards'!$B$2:$E$156,3,FALSE)</f>
        <v>0</v>
      </c>
      <c r="N982">
        <f>VLOOKUP(Query1[[#This Row],[Description]],'kits to boards'!$B$2:$E$156,4,FALSE)</f>
        <v>0</v>
      </c>
      <c r="O982" t="str">
        <f>CONCATENATE(Query1[[#This Row],[Description]]," - ",Query1[[#This Row],[MB1]]," - ",Query1[[#This Row],[MB2]]," - ",Query1[[#This Row],[MB3]])</f>
        <v>EVAP KIT 64 1/2- 66 MUSTANG  - 830076 - 0 - 0</v>
      </c>
    </row>
    <row r="983" spans="1:15" x14ac:dyDescent="0.25">
      <c r="A983" s="1">
        <v>911528</v>
      </c>
      <c r="B983" s="1" t="s">
        <v>222</v>
      </c>
      <c r="C983" s="1" t="s">
        <v>223</v>
      </c>
      <c r="D983" s="2">
        <v>44609.651710648148</v>
      </c>
      <c r="E983" s="1" t="s">
        <v>8</v>
      </c>
      <c r="F983" s="1">
        <v>1</v>
      </c>
      <c r="G983" s="1">
        <v>0</v>
      </c>
      <c r="H983" s="6">
        <f>INT(Query1[[#This Row],[EntryDateTime]])</f>
        <v>44609</v>
      </c>
      <c r="I983" s="1">
        <f>IF(Query1[[#This Row],[ItemType]]="EVAP KIT SF GEN IV",Query1[[#This Row],[OrderQty]]+I982,I982)</f>
        <v>1111</v>
      </c>
      <c r="J983" s="1">
        <f>IF(Query1[[#This Row],[ItemType]]="EVAP KIT UNIVERSAL",Query1[[#This Row],[OrderQty]]+J982,J982)</f>
        <v>485</v>
      </c>
      <c r="K983" s="1">
        <f>Query1[[#This Row],[SF Running Total]]+Query1[[#This Row],[UNIV Running Total]]</f>
        <v>1596</v>
      </c>
      <c r="L983">
        <f>VLOOKUP(Query1[[#This Row],[Description]],'kits to boards'!$B$2:$E$156,2,FALSE)</f>
        <v>830093</v>
      </c>
      <c r="M983">
        <f>VLOOKUP(Query1[[#This Row],[Description]],'kits to boards'!$B$2:$E$156,3,FALSE)</f>
        <v>0</v>
      </c>
      <c r="N983">
        <f>VLOOKUP(Query1[[#This Row],[Description]],'kits to boards'!$B$2:$E$156,4,FALSE)</f>
        <v>0</v>
      </c>
      <c r="O983" t="str">
        <f>CONCATENATE(Query1[[#This Row],[Description]]," - ",Query1[[#This Row],[MB1]]," - ",Query1[[#This Row],[MB2]]," - ",Query1[[#This Row],[MB3]])</f>
        <v>EVAP KIT 67 VETTE WO AC - 830093 - 0 - 0</v>
      </c>
    </row>
    <row r="984" spans="1:15" x14ac:dyDescent="0.25">
      <c r="A984" s="1">
        <v>908777</v>
      </c>
      <c r="B984" s="1" t="s">
        <v>22</v>
      </c>
      <c r="C984" s="1" t="s">
        <v>23</v>
      </c>
      <c r="D984" s="2">
        <v>44609.652332835649</v>
      </c>
      <c r="E984" s="1" t="s">
        <v>8</v>
      </c>
      <c r="F984" s="1">
        <v>1</v>
      </c>
      <c r="G984" s="1">
        <v>0</v>
      </c>
      <c r="H984" s="6">
        <f>INT(Query1[[#This Row],[EntryDateTime]])</f>
        <v>44609</v>
      </c>
      <c r="I984" s="1">
        <f>IF(Query1[[#This Row],[ItemType]]="EVAP KIT SF GEN IV",Query1[[#This Row],[OrderQty]]+I983,I983)</f>
        <v>1112</v>
      </c>
      <c r="J984" s="1">
        <f>IF(Query1[[#This Row],[ItemType]]="EVAP KIT UNIVERSAL",Query1[[#This Row],[OrderQty]]+J983,J983)</f>
        <v>485</v>
      </c>
      <c r="K984" s="1">
        <f>Query1[[#This Row],[SF Running Total]]+Query1[[#This Row],[UNIV Running Total]]</f>
        <v>1597</v>
      </c>
      <c r="L984">
        <f>VLOOKUP(Query1[[#This Row],[Description]],'kits to boards'!$B$2:$E$156,2,FALSE)</f>
        <v>830083</v>
      </c>
      <c r="M984">
        <f>VLOOKUP(Query1[[#This Row],[Description]],'kits to boards'!$B$2:$E$156,3,FALSE)</f>
        <v>0</v>
      </c>
      <c r="N984">
        <f>VLOOKUP(Query1[[#This Row],[Description]],'kits to boards'!$B$2:$E$156,4,FALSE)</f>
        <v>0</v>
      </c>
      <c r="O984" t="str">
        <f>CONCATENATE(Query1[[#This Row],[Description]]," - ",Query1[[#This Row],[MB1]]," - ",Query1[[#This Row],[MB2]]," - ",Query1[[#This Row],[MB3]])</f>
        <v>GEN IV MAGNUM EVAP KIT - 830083 - 0 - 0</v>
      </c>
    </row>
    <row r="985" spans="1:15" x14ac:dyDescent="0.25">
      <c r="A985" s="1">
        <v>908777</v>
      </c>
      <c r="B985" s="1" t="s">
        <v>14</v>
      </c>
      <c r="C985" s="1" t="s">
        <v>15</v>
      </c>
      <c r="D985" s="2">
        <v>44609.652332835649</v>
      </c>
      <c r="E985" s="1" t="s">
        <v>8</v>
      </c>
      <c r="F985" s="1">
        <v>2</v>
      </c>
      <c r="G985" s="1">
        <v>0</v>
      </c>
      <c r="H985" s="6">
        <f>INT(Query1[[#This Row],[EntryDateTime]])</f>
        <v>44609</v>
      </c>
      <c r="I985" s="1">
        <f>IF(Query1[[#This Row],[ItemType]]="EVAP KIT SF GEN IV",Query1[[#This Row],[OrderQty]]+I984,I984)</f>
        <v>1114</v>
      </c>
      <c r="J985" s="1">
        <f>IF(Query1[[#This Row],[ItemType]]="EVAP KIT UNIVERSAL",Query1[[#This Row],[OrderQty]]+J984,J984)</f>
        <v>485</v>
      </c>
      <c r="K985" s="1">
        <f>Query1[[#This Row],[SF Running Total]]+Query1[[#This Row],[UNIV Running Total]]</f>
        <v>1599</v>
      </c>
      <c r="L985">
        <f>VLOOKUP(Query1[[#This Row],[Description]],'kits to boards'!$B$2:$E$156,2,FALSE)</f>
        <v>830054</v>
      </c>
      <c r="M985">
        <f>VLOOKUP(Query1[[#This Row],[Description]],'kits to boards'!$B$2:$E$156,3,FALSE)</f>
        <v>0</v>
      </c>
      <c r="N985">
        <f>VLOOKUP(Query1[[#This Row],[Description]],'kits to boards'!$B$2:$E$156,4,FALSE)</f>
        <v>0</v>
      </c>
      <c r="O985" t="str">
        <f>CONCATENATE(Query1[[#This Row],[Description]]," - ",Query1[[#This Row],[MB1]]," - ",Query1[[#This Row],[MB2]]," - ",Query1[[#This Row],[MB3]])</f>
        <v>EVAP KIT 55-56 CHEVY - 830054 - 0 - 0</v>
      </c>
    </row>
    <row r="986" spans="1:15" x14ac:dyDescent="0.25">
      <c r="A986" s="1">
        <v>908777</v>
      </c>
      <c r="B986" s="1" t="s">
        <v>78</v>
      </c>
      <c r="C986" s="1" t="s">
        <v>79</v>
      </c>
      <c r="D986" s="2">
        <v>44609.652332835649</v>
      </c>
      <c r="E986" s="1" t="s">
        <v>11</v>
      </c>
      <c r="F986" s="1">
        <v>2</v>
      </c>
      <c r="G986" s="1">
        <v>0</v>
      </c>
      <c r="H986" s="6">
        <f>INT(Query1[[#This Row],[EntryDateTime]])</f>
        <v>44609</v>
      </c>
      <c r="I986" s="1">
        <f>IF(Query1[[#This Row],[ItemType]]="EVAP KIT SF GEN IV",Query1[[#This Row],[OrderQty]]+I985,I985)</f>
        <v>1114</v>
      </c>
      <c r="J986" s="1">
        <f>IF(Query1[[#This Row],[ItemType]]="EVAP KIT UNIVERSAL",Query1[[#This Row],[OrderQty]]+J985,J985)</f>
        <v>487</v>
      </c>
      <c r="K986" s="1">
        <f>Query1[[#This Row],[SF Running Total]]+Query1[[#This Row],[UNIV Running Total]]</f>
        <v>1601</v>
      </c>
      <c r="L986">
        <f>VLOOKUP(Query1[[#This Row],[Description]],'kits to boards'!$B$2:$E$156,2,FALSE)</f>
        <v>0</v>
      </c>
      <c r="M986">
        <f>VLOOKUP(Query1[[#This Row],[Description]],'kits to boards'!$B$2:$E$156,3,FALSE)</f>
        <v>0</v>
      </c>
      <c r="N986">
        <f>VLOOKUP(Query1[[#This Row],[Description]],'kits to boards'!$B$2:$E$156,4,FALSE)</f>
        <v>0</v>
      </c>
      <c r="O986" t="str">
        <f>CONCATENATE(Query1[[#This Row],[Description]]," - ",Query1[[#This Row],[MB1]]," - ",Query1[[#This Row],[MB2]]," - ",Query1[[#This Row],[MB3]])</f>
        <v>MARK IV STYLELINE UNDERDASH EVAP - 0 - 0 - 0</v>
      </c>
    </row>
    <row r="987" spans="1:15" x14ac:dyDescent="0.25">
      <c r="A987" s="1">
        <v>908777</v>
      </c>
      <c r="B987" s="1" t="s">
        <v>18</v>
      </c>
      <c r="C987" s="1" t="s">
        <v>19</v>
      </c>
      <c r="D987" s="2">
        <v>44609.652332835649</v>
      </c>
      <c r="E987" s="1" t="s">
        <v>8</v>
      </c>
      <c r="F987" s="1">
        <v>1</v>
      </c>
      <c r="G987" s="1">
        <v>0</v>
      </c>
      <c r="H987" s="6">
        <f>INT(Query1[[#This Row],[EntryDateTime]])</f>
        <v>44609</v>
      </c>
      <c r="I987" s="1">
        <f>IF(Query1[[#This Row],[ItemType]]="EVAP KIT SF GEN IV",Query1[[#This Row],[OrderQty]]+I986,I986)</f>
        <v>1115</v>
      </c>
      <c r="J987" s="1">
        <f>IF(Query1[[#This Row],[ItemType]]="EVAP KIT UNIVERSAL",Query1[[#This Row],[OrderQty]]+J986,J986)</f>
        <v>487</v>
      </c>
      <c r="K987" s="1">
        <f>Query1[[#This Row],[SF Running Total]]+Query1[[#This Row],[UNIV Running Total]]</f>
        <v>1602</v>
      </c>
      <c r="L987">
        <f>VLOOKUP(Query1[[#This Row],[Description]],'kits to boards'!$B$2:$E$156,2,FALSE)</f>
        <v>830051</v>
      </c>
      <c r="M987">
        <f>VLOOKUP(Query1[[#This Row],[Description]],'kits to boards'!$B$2:$E$156,3,FALSE)</f>
        <v>0</v>
      </c>
      <c r="N987">
        <f>VLOOKUP(Query1[[#This Row],[Description]],'kits to boards'!$B$2:$E$156,4,FALSE)</f>
        <v>0</v>
      </c>
      <c r="O987" t="str">
        <f>CONCATENATE(Query1[[#This Row],[Description]]," - ",Query1[[#This Row],[MB1]]," - ",Query1[[#This Row],[MB2]]," - ",Query1[[#This Row],[MB3]])</f>
        <v>EVAP KIT 70-78 CAMARO W/AC - 830051 - 0 - 0</v>
      </c>
    </row>
    <row r="988" spans="1:15" x14ac:dyDescent="0.25">
      <c r="A988" s="1">
        <v>908777</v>
      </c>
      <c r="B988" s="1" t="s">
        <v>70</v>
      </c>
      <c r="C988" s="1" t="s">
        <v>71</v>
      </c>
      <c r="D988" s="2">
        <v>44609.652332835649</v>
      </c>
      <c r="E988" s="1" t="s">
        <v>8</v>
      </c>
      <c r="F988" s="1">
        <v>1</v>
      </c>
      <c r="G988" s="1">
        <v>0</v>
      </c>
      <c r="H988" s="6">
        <f>INT(Query1[[#This Row],[EntryDateTime]])</f>
        <v>44609</v>
      </c>
      <c r="I988" s="1">
        <f>IF(Query1[[#This Row],[ItemType]]="EVAP KIT SF GEN IV",Query1[[#This Row],[OrderQty]]+I987,I987)</f>
        <v>1116</v>
      </c>
      <c r="J988" s="1">
        <f>IF(Query1[[#This Row],[ItemType]]="EVAP KIT UNIVERSAL",Query1[[#This Row],[OrderQty]]+J987,J987)</f>
        <v>487</v>
      </c>
      <c r="K988" s="1">
        <f>Query1[[#This Row],[SF Running Total]]+Query1[[#This Row],[UNIV Running Total]]</f>
        <v>1603</v>
      </c>
      <c r="L988">
        <f>VLOOKUP(Query1[[#This Row],[Description]],'kits to boards'!$B$2:$E$156,2,FALSE)</f>
        <v>830050</v>
      </c>
      <c r="M988">
        <f>VLOOKUP(Query1[[#This Row],[Description]],'kits to boards'!$B$2:$E$156,3,FALSE)</f>
        <v>0</v>
      </c>
      <c r="N988">
        <f>VLOOKUP(Query1[[#This Row],[Description]],'kits to boards'!$B$2:$E$156,4,FALSE)</f>
        <v>0</v>
      </c>
      <c r="O988" t="str">
        <f>CONCATENATE(Query1[[#This Row],[Description]]," - ",Query1[[#This Row],[MB1]]," - ",Query1[[#This Row],[MB2]]," - ",Query1[[#This Row],[MB3]])</f>
        <v>EVAP KIT 70-78 CAMARO WO AC - 830050 - 0 - 0</v>
      </c>
    </row>
    <row r="989" spans="1:15" x14ac:dyDescent="0.25">
      <c r="A989" s="1">
        <v>908777</v>
      </c>
      <c r="B989" s="1" t="s">
        <v>68</v>
      </c>
      <c r="C989" s="1" t="s">
        <v>69</v>
      </c>
      <c r="D989" s="2">
        <v>44609.652332835649</v>
      </c>
      <c r="E989" s="1" t="s">
        <v>8</v>
      </c>
      <c r="F989" s="1">
        <v>1</v>
      </c>
      <c r="G989" s="1">
        <v>0</v>
      </c>
      <c r="H989" s="6">
        <f>INT(Query1[[#This Row],[EntryDateTime]])</f>
        <v>44609</v>
      </c>
      <c r="I989" s="1">
        <f>IF(Query1[[#This Row],[ItemType]]="EVAP KIT SF GEN IV",Query1[[#This Row],[OrderQty]]+I988,I988)</f>
        <v>1117</v>
      </c>
      <c r="J989" s="1">
        <f>IF(Query1[[#This Row],[ItemType]]="EVAP KIT UNIVERSAL",Query1[[#This Row],[OrderQty]]+J988,J988)</f>
        <v>487</v>
      </c>
      <c r="K989" s="1">
        <f>Query1[[#This Row],[SF Running Total]]+Query1[[#This Row],[UNIV Running Total]]</f>
        <v>1604</v>
      </c>
      <c r="L989">
        <f>VLOOKUP(Query1[[#This Row],[Description]],'kits to boards'!$B$2:$E$156,2,FALSE)</f>
        <v>830010</v>
      </c>
      <c r="M989">
        <f>VLOOKUP(Query1[[#This Row],[Description]],'kits to boards'!$B$2:$E$156,3,FALSE)</f>
        <v>0</v>
      </c>
      <c r="N989">
        <f>VLOOKUP(Query1[[#This Row],[Description]],'kits to boards'!$B$2:$E$156,4,FALSE)</f>
        <v>0</v>
      </c>
      <c r="O989" t="str">
        <f>CONCATENATE(Query1[[#This Row],[Description]]," - ",Query1[[#This Row],[MB1]]," - ",Query1[[#This Row],[MB2]]," - ",Query1[[#This Row],[MB3]])</f>
        <v>EVAP KIT 70-72 CHEVELLE WO AC - 830010 - 0 - 0</v>
      </c>
    </row>
    <row r="990" spans="1:15" x14ac:dyDescent="0.25">
      <c r="A990" s="1">
        <v>911531</v>
      </c>
      <c r="B990" s="1" t="s">
        <v>70</v>
      </c>
      <c r="C990" s="1" t="s">
        <v>71</v>
      </c>
      <c r="D990" s="2">
        <v>44609.656997418984</v>
      </c>
      <c r="E990" s="1" t="s">
        <v>8</v>
      </c>
      <c r="F990" s="1">
        <v>1</v>
      </c>
      <c r="G990" s="1">
        <v>0</v>
      </c>
      <c r="H990" s="6">
        <f>INT(Query1[[#This Row],[EntryDateTime]])</f>
        <v>44609</v>
      </c>
      <c r="I990" s="1">
        <f>IF(Query1[[#This Row],[ItemType]]="EVAP KIT SF GEN IV",Query1[[#This Row],[OrderQty]]+I989,I989)</f>
        <v>1118</v>
      </c>
      <c r="J990" s="1">
        <f>IF(Query1[[#This Row],[ItemType]]="EVAP KIT UNIVERSAL",Query1[[#This Row],[OrderQty]]+J989,J989)</f>
        <v>487</v>
      </c>
      <c r="K990" s="1">
        <f>Query1[[#This Row],[SF Running Total]]+Query1[[#This Row],[UNIV Running Total]]</f>
        <v>1605</v>
      </c>
      <c r="L990">
        <f>VLOOKUP(Query1[[#This Row],[Description]],'kits to boards'!$B$2:$E$156,2,FALSE)</f>
        <v>830050</v>
      </c>
      <c r="M990">
        <f>VLOOKUP(Query1[[#This Row],[Description]],'kits to boards'!$B$2:$E$156,3,FALSE)</f>
        <v>0</v>
      </c>
      <c r="N990">
        <f>VLOOKUP(Query1[[#This Row],[Description]],'kits to boards'!$B$2:$E$156,4,FALSE)</f>
        <v>0</v>
      </c>
      <c r="O990" t="str">
        <f>CONCATENATE(Query1[[#This Row],[Description]]," - ",Query1[[#This Row],[MB1]]," - ",Query1[[#This Row],[MB2]]," - ",Query1[[#This Row],[MB3]])</f>
        <v>EVAP KIT 70-78 CAMARO WO AC - 830050 - 0 - 0</v>
      </c>
    </row>
    <row r="991" spans="1:15" x14ac:dyDescent="0.25">
      <c r="A991" s="1">
        <v>911532</v>
      </c>
      <c r="B991" s="1" t="s">
        <v>92</v>
      </c>
      <c r="C991" s="1" t="s">
        <v>93</v>
      </c>
      <c r="D991" s="2">
        <v>44609.658299456016</v>
      </c>
      <c r="E991" s="1" t="s">
        <v>8</v>
      </c>
      <c r="F991" s="1">
        <v>1</v>
      </c>
      <c r="G991" s="1">
        <v>0</v>
      </c>
      <c r="H991" s="6">
        <f>INT(Query1[[#This Row],[EntryDateTime]])</f>
        <v>44609</v>
      </c>
      <c r="I991" s="1">
        <f>IF(Query1[[#This Row],[ItemType]]="EVAP KIT SF GEN IV",Query1[[#This Row],[OrderQty]]+I990,I990)</f>
        <v>1119</v>
      </c>
      <c r="J991" s="1">
        <f>IF(Query1[[#This Row],[ItemType]]="EVAP KIT UNIVERSAL",Query1[[#This Row],[OrderQty]]+J990,J990)</f>
        <v>487</v>
      </c>
      <c r="K991" s="1">
        <f>Query1[[#This Row],[SF Running Total]]+Query1[[#This Row],[UNIV Running Total]]</f>
        <v>1606</v>
      </c>
      <c r="L991">
        <f>VLOOKUP(Query1[[#This Row],[Description]],'kits to boards'!$B$2:$E$156,2,FALSE)</f>
        <v>830063</v>
      </c>
      <c r="M991">
        <f>VLOOKUP(Query1[[#This Row],[Description]],'kits to boards'!$B$2:$E$156,3,FALSE)</f>
        <v>0</v>
      </c>
      <c r="N991">
        <f>VLOOKUP(Query1[[#This Row],[Description]],'kits to boards'!$B$2:$E$156,4,FALSE)</f>
        <v>0</v>
      </c>
      <c r="O991" t="str">
        <f>CONCATENATE(Query1[[#This Row],[Description]]," - ",Query1[[#This Row],[MB1]]," - ",Query1[[#This Row],[MB2]]," - ",Query1[[#This Row],[MB3]])</f>
        <v>EVAP KIT 50-53 CHEV P-UP GEN IV - 830063 - 0 - 0</v>
      </c>
    </row>
    <row r="992" spans="1:15" x14ac:dyDescent="0.25">
      <c r="A992" s="1">
        <v>911534</v>
      </c>
      <c r="B992" s="1" t="s">
        <v>82</v>
      </c>
      <c r="C992" s="1" t="s">
        <v>83</v>
      </c>
      <c r="D992" s="2">
        <v>44609.660240659723</v>
      </c>
      <c r="E992" s="1" t="s">
        <v>11</v>
      </c>
      <c r="F992" s="1">
        <v>1</v>
      </c>
      <c r="G992" s="1">
        <v>0</v>
      </c>
      <c r="H992" s="6">
        <f>INT(Query1[[#This Row],[EntryDateTime]])</f>
        <v>44609</v>
      </c>
      <c r="I992" s="1">
        <f>IF(Query1[[#This Row],[ItemType]]="EVAP KIT SF GEN IV",Query1[[#This Row],[OrderQty]]+I991,I991)</f>
        <v>1119</v>
      </c>
      <c r="J992" s="1">
        <f>IF(Query1[[#This Row],[ItemType]]="EVAP KIT UNIVERSAL",Query1[[#This Row],[OrderQty]]+J991,J991)</f>
        <v>488</v>
      </c>
      <c r="K992" s="1">
        <f>Query1[[#This Row],[SF Running Total]]+Query1[[#This Row],[UNIV Running Total]]</f>
        <v>1607</v>
      </c>
      <c r="L992">
        <f>VLOOKUP(Query1[[#This Row],[Description]],'kits to boards'!$B$2:$E$156,2,FALSE)</f>
        <v>830029</v>
      </c>
      <c r="M992">
        <f>VLOOKUP(Query1[[#This Row],[Description]],'kits to boards'!$B$2:$E$156,3,FALSE)</f>
        <v>830030</v>
      </c>
      <c r="N992">
        <f>VLOOKUP(Query1[[#This Row],[Description]],'kits to boards'!$B$2:$E$156,4,FALSE)</f>
        <v>0</v>
      </c>
      <c r="O992" t="str">
        <f>CONCATENATE(Query1[[#This Row],[Description]]," - ",Query1[[#This Row],[MB1]]," - ",Query1[[#This Row],[MB2]]," - ",Query1[[#This Row],[MB3]])</f>
        <v>ComPac GEN II H/C - 830029 - 830030 - 0</v>
      </c>
    </row>
    <row r="993" spans="1:15" x14ac:dyDescent="0.25">
      <c r="A993" s="1">
        <v>911540</v>
      </c>
      <c r="B993" s="1" t="s">
        <v>166</v>
      </c>
      <c r="C993" s="1" t="s">
        <v>167</v>
      </c>
      <c r="D993" s="2">
        <v>44609.678383993058</v>
      </c>
      <c r="E993" s="1" t="s">
        <v>8</v>
      </c>
      <c r="F993" s="1">
        <v>1</v>
      </c>
      <c r="G993" s="1">
        <v>0</v>
      </c>
      <c r="H993" s="6">
        <f>INT(Query1[[#This Row],[EntryDateTime]])</f>
        <v>44609</v>
      </c>
      <c r="I993" s="1">
        <f>IF(Query1[[#This Row],[ItemType]]="EVAP KIT SF GEN IV",Query1[[#This Row],[OrderQty]]+I992,I992)</f>
        <v>1120</v>
      </c>
      <c r="J993" s="1">
        <f>IF(Query1[[#This Row],[ItemType]]="EVAP KIT UNIVERSAL",Query1[[#This Row],[OrderQty]]+J992,J992)</f>
        <v>488</v>
      </c>
      <c r="K993" s="1">
        <f>Query1[[#This Row],[SF Running Total]]+Query1[[#This Row],[UNIV Running Total]]</f>
        <v>1608</v>
      </c>
      <c r="L993">
        <f>VLOOKUP(Query1[[#This Row],[Description]],'kits to boards'!$B$2:$E$156,2,FALSE)</f>
        <v>830063</v>
      </c>
      <c r="M993">
        <f>VLOOKUP(Query1[[#This Row],[Description]],'kits to boards'!$B$2:$E$156,3,FALSE)</f>
        <v>0</v>
      </c>
      <c r="N993">
        <f>VLOOKUP(Query1[[#This Row],[Description]],'kits to boards'!$B$2:$E$156,4,FALSE)</f>
        <v>0</v>
      </c>
      <c r="O993" t="str">
        <f>CONCATENATE(Query1[[#This Row],[Description]]," - ",Query1[[#This Row],[MB1]]," - ",Query1[[#This Row],[MB2]]," - ",Query1[[#This Row],[MB3]])</f>
        <v>EVAP KIT 47-49 CHEV P-UP GEN IV - 830063 - 0 - 0</v>
      </c>
    </row>
    <row r="994" spans="1:15" x14ac:dyDescent="0.25">
      <c r="A994" s="1">
        <v>911541</v>
      </c>
      <c r="B994" s="1" t="s">
        <v>26</v>
      </c>
      <c r="C994" s="1" t="s">
        <v>27</v>
      </c>
      <c r="D994" s="2">
        <v>44609.679214618052</v>
      </c>
      <c r="E994" s="1" t="s">
        <v>8</v>
      </c>
      <c r="F994" s="1">
        <v>1</v>
      </c>
      <c r="G994" s="1">
        <v>0</v>
      </c>
      <c r="H994" s="6">
        <f>INT(Query1[[#This Row],[EntryDateTime]])</f>
        <v>44609</v>
      </c>
      <c r="I994" s="1">
        <f>IF(Query1[[#This Row],[ItemType]]="EVAP KIT SF GEN IV",Query1[[#This Row],[OrderQty]]+I993,I993)</f>
        <v>1121</v>
      </c>
      <c r="J994" s="1">
        <f>IF(Query1[[#This Row],[ItemType]]="EVAP KIT UNIVERSAL",Query1[[#This Row],[OrderQty]]+J993,J993)</f>
        <v>488</v>
      </c>
      <c r="K994" s="1">
        <f>Query1[[#This Row],[SF Running Total]]+Query1[[#This Row],[UNIV Running Total]]</f>
        <v>1609</v>
      </c>
      <c r="L994">
        <f>VLOOKUP(Query1[[#This Row],[Description]],'kits to boards'!$B$2:$E$156,2,FALSE)</f>
        <v>830013</v>
      </c>
      <c r="M994">
        <f>VLOOKUP(Query1[[#This Row],[Description]],'kits to boards'!$B$2:$E$156,3,FALSE)</f>
        <v>0</v>
      </c>
      <c r="N994">
        <f>VLOOKUP(Query1[[#This Row],[Description]],'kits to boards'!$B$2:$E$156,4,FALSE)</f>
        <v>0</v>
      </c>
      <c r="O994" t="str">
        <f>CONCATENATE(Query1[[#This Row],[Description]]," - ",Query1[[#This Row],[MB1]]," - ",Query1[[#This Row],[MB2]]," - ",Query1[[#This Row],[MB3]])</f>
        <v>EVAP KIT 67-72 CHEV P-UP W/AC - 830013 - 0 - 0</v>
      </c>
    </row>
    <row r="995" spans="1:15" x14ac:dyDescent="0.25">
      <c r="A995" s="1">
        <v>911546</v>
      </c>
      <c r="B995" s="1" t="s">
        <v>90</v>
      </c>
      <c r="C995" s="1" t="s">
        <v>91</v>
      </c>
      <c r="D995" s="2">
        <v>44609.680975694442</v>
      </c>
      <c r="E995" s="1" t="s">
        <v>8</v>
      </c>
      <c r="F995" s="1">
        <v>1</v>
      </c>
      <c r="G995" s="1">
        <v>0</v>
      </c>
      <c r="H995" s="6">
        <f>INT(Query1[[#This Row],[EntryDateTime]])</f>
        <v>44609</v>
      </c>
      <c r="I995" s="1">
        <f>IF(Query1[[#This Row],[ItemType]]="EVAP KIT SF GEN IV",Query1[[#This Row],[OrderQty]]+I994,I994)</f>
        <v>1122</v>
      </c>
      <c r="J995" s="1">
        <f>IF(Query1[[#This Row],[ItemType]]="EVAP KIT UNIVERSAL",Query1[[#This Row],[OrderQty]]+J994,J994)</f>
        <v>488</v>
      </c>
      <c r="K995" s="1">
        <f>Query1[[#This Row],[SF Running Total]]+Query1[[#This Row],[UNIV Running Total]]</f>
        <v>1610</v>
      </c>
      <c r="L995">
        <f>VLOOKUP(Query1[[#This Row],[Description]],'kits to boards'!$B$2:$E$156,2,FALSE)</f>
        <v>830105</v>
      </c>
      <c r="M995">
        <f>VLOOKUP(Query1[[#This Row],[Description]],'kits to boards'!$B$2:$E$156,3,FALSE)</f>
        <v>830106</v>
      </c>
      <c r="N995">
        <f>VLOOKUP(Query1[[#This Row],[Description]],'kits to boards'!$B$2:$E$156,4,FALSE)</f>
        <v>0</v>
      </c>
      <c r="O995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996" spans="1:15" x14ac:dyDescent="0.25">
      <c r="A996" s="1">
        <v>911554</v>
      </c>
      <c r="B996" s="1" t="s">
        <v>14</v>
      </c>
      <c r="C996" s="1" t="s">
        <v>15</v>
      </c>
      <c r="D996" s="2">
        <v>44609.69395547454</v>
      </c>
      <c r="E996" s="1" t="s">
        <v>8</v>
      </c>
      <c r="F996" s="1">
        <v>1</v>
      </c>
      <c r="G996" s="1">
        <v>0</v>
      </c>
      <c r="H996" s="6">
        <f>INT(Query1[[#This Row],[EntryDateTime]])</f>
        <v>44609</v>
      </c>
      <c r="I996" s="1">
        <f>IF(Query1[[#This Row],[ItemType]]="EVAP KIT SF GEN IV",Query1[[#This Row],[OrderQty]]+I995,I995)</f>
        <v>1123</v>
      </c>
      <c r="J996" s="1">
        <f>IF(Query1[[#This Row],[ItemType]]="EVAP KIT UNIVERSAL",Query1[[#This Row],[OrderQty]]+J995,J995)</f>
        <v>488</v>
      </c>
      <c r="K996" s="1">
        <f>Query1[[#This Row],[SF Running Total]]+Query1[[#This Row],[UNIV Running Total]]</f>
        <v>1611</v>
      </c>
      <c r="L996">
        <f>VLOOKUP(Query1[[#This Row],[Description]],'kits to boards'!$B$2:$E$156,2,FALSE)</f>
        <v>830054</v>
      </c>
      <c r="M996">
        <f>VLOOKUP(Query1[[#This Row],[Description]],'kits to boards'!$B$2:$E$156,3,FALSE)</f>
        <v>0</v>
      </c>
      <c r="N996">
        <f>VLOOKUP(Query1[[#This Row],[Description]],'kits to boards'!$B$2:$E$156,4,FALSE)</f>
        <v>0</v>
      </c>
      <c r="O996" t="str">
        <f>CONCATENATE(Query1[[#This Row],[Description]]," - ",Query1[[#This Row],[MB1]]," - ",Query1[[#This Row],[MB2]]," - ",Query1[[#This Row],[MB3]])</f>
        <v>EVAP KIT 55-56 CHEVY - 830054 - 0 - 0</v>
      </c>
    </row>
    <row r="997" spans="1:15" x14ac:dyDescent="0.25">
      <c r="A997" s="1">
        <v>911557</v>
      </c>
      <c r="B997" s="1" t="s">
        <v>251</v>
      </c>
      <c r="C997" s="1" t="s">
        <v>252</v>
      </c>
      <c r="D997" s="2">
        <v>44609.696337766203</v>
      </c>
      <c r="E997" s="1" t="s">
        <v>8</v>
      </c>
      <c r="F997" s="1">
        <v>1</v>
      </c>
      <c r="G997" s="1">
        <v>0</v>
      </c>
      <c r="H997" s="6">
        <f>INT(Query1[[#This Row],[EntryDateTime]])</f>
        <v>44609</v>
      </c>
      <c r="I997" s="1">
        <f>IF(Query1[[#This Row],[ItemType]]="EVAP KIT SF GEN IV",Query1[[#This Row],[OrderQty]]+I996,I996)</f>
        <v>1124</v>
      </c>
      <c r="J997" s="1">
        <f>IF(Query1[[#This Row],[ItemType]]="EVAP KIT UNIVERSAL",Query1[[#This Row],[OrderQty]]+J996,J996)</f>
        <v>488</v>
      </c>
      <c r="K997" s="1">
        <f>Query1[[#This Row],[SF Running Total]]+Query1[[#This Row],[UNIV Running Total]]</f>
        <v>1612</v>
      </c>
      <c r="L997">
        <f>VLOOKUP(Query1[[#This Row],[Description]],'kits to boards'!$B$2:$E$156,2,FALSE)</f>
        <v>830020</v>
      </c>
      <c r="M997">
        <f>VLOOKUP(Query1[[#This Row],[Description]],'kits to boards'!$B$2:$E$156,3,FALSE)</f>
        <v>0</v>
      </c>
      <c r="N997">
        <f>VLOOKUP(Query1[[#This Row],[Description]],'kits to boards'!$B$2:$E$156,4,FALSE)</f>
        <v>0</v>
      </c>
      <c r="O997" t="str">
        <f>CONCATENATE(Query1[[#This Row],[Description]]," - ",Query1[[#This Row],[MB1]]," - ",Query1[[#This Row],[MB2]]," - ",Query1[[#This Row],[MB3]])</f>
        <v>EVAP KIT 69 FIREBIRD WO AC - 830020 - 0 - 0</v>
      </c>
    </row>
    <row r="998" spans="1:15" x14ac:dyDescent="0.25">
      <c r="A998" s="1">
        <v>911558</v>
      </c>
      <c r="B998" s="1" t="s">
        <v>30</v>
      </c>
      <c r="C998" s="1" t="s">
        <v>31</v>
      </c>
      <c r="D998" s="2">
        <v>44609.699434756942</v>
      </c>
      <c r="E998" s="1" t="s">
        <v>8</v>
      </c>
      <c r="F998" s="1">
        <v>1</v>
      </c>
      <c r="G998" s="1">
        <v>0</v>
      </c>
      <c r="H998" s="6">
        <f>INT(Query1[[#This Row],[EntryDateTime]])</f>
        <v>44609</v>
      </c>
      <c r="I998" s="1">
        <f>IF(Query1[[#This Row],[ItemType]]="EVAP KIT SF GEN IV",Query1[[#This Row],[OrderQty]]+I997,I997)</f>
        <v>1125</v>
      </c>
      <c r="J998" s="1">
        <f>IF(Query1[[#This Row],[ItemType]]="EVAP KIT UNIVERSAL",Query1[[#This Row],[OrderQty]]+J997,J997)</f>
        <v>488</v>
      </c>
      <c r="K998" s="1">
        <f>Query1[[#This Row],[SF Running Total]]+Query1[[#This Row],[UNIV Running Total]]</f>
        <v>1613</v>
      </c>
      <c r="L998">
        <f>VLOOKUP(Query1[[#This Row],[Description]],'kits to boards'!$B$2:$E$156,2,FALSE)</f>
        <v>830054</v>
      </c>
      <c r="M998">
        <f>VLOOKUP(Query1[[#This Row],[Description]],'kits to boards'!$B$2:$E$156,3,FALSE)</f>
        <v>0</v>
      </c>
      <c r="N998">
        <f>VLOOKUP(Query1[[#This Row],[Description]],'kits to boards'!$B$2:$E$156,4,FALSE)</f>
        <v>0</v>
      </c>
      <c r="O998" t="str">
        <f>CONCATENATE(Query1[[#This Row],[Description]]," - ",Query1[[#This Row],[MB1]]," - ",Query1[[#This Row],[MB2]]," - ",Query1[[#This Row],[MB3]])</f>
        <v>EVAP KIT 55-56 CHEVY 4-VENT - 830054 - 0 - 0</v>
      </c>
    </row>
    <row r="999" spans="1:15" x14ac:dyDescent="0.25">
      <c r="A999" s="1">
        <v>911391</v>
      </c>
      <c r="B999" s="1" t="s">
        <v>9</v>
      </c>
      <c r="C999" s="1" t="s">
        <v>10</v>
      </c>
      <c r="D999" s="2">
        <v>44609.704364120371</v>
      </c>
      <c r="E999" s="1" t="s">
        <v>11</v>
      </c>
      <c r="F999" s="1">
        <v>1</v>
      </c>
      <c r="G999" s="1">
        <v>0</v>
      </c>
      <c r="H999" s="6">
        <f>INT(Query1[[#This Row],[EntryDateTime]])</f>
        <v>44609</v>
      </c>
      <c r="I999" s="1">
        <f>IF(Query1[[#This Row],[ItemType]]="EVAP KIT SF GEN IV",Query1[[#This Row],[OrderQty]]+I998,I998)</f>
        <v>1125</v>
      </c>
      <c r="J999" s="1">
        <f>IF(Query1[[#This Row],[ItemType]]="EVAP KIT UNIVERSAL",Query1[[#This Row],[OrderQty]]+J998,J998)</f>
        <v>489</v>
      </c>
      <c r="K999" s="1">
        <f>Query1[[#This Row],[SF Running Total]]+Query1[[#This Row],[UNIV Running Total]]</f>
        <v>1614</v>
      </c>
      <c r="L999">
        <f>VLOOKUP(Query1[[#This Row],[Description]],'kits to boards'!$B$2:$E$156,2,FALSE)</f>
        <v>830069</v>
      </c>
      <c r="M999">
        <f>VLOOKUP(Query1[[#This Row],[Description]],'kits to boards'!$B$2:$E$156,3,FALSE)</f>
        <v>0</v>
      </c>
      <c r="N999">
        <f>VLOOKUP(Query1[[#This Row],[Description]],'kits to boards'!$B$2:$E$156,4,FALSE)</f>
        <v>0</v>
      </c>
      <c r="O999" t="str">
        <f>CONCATENATE(Query1[[#This Row],[Description]]," - ",Query1[[#This Row],[MB1]]," - ",Query1[[#This Row],[MB2]]," - ",Query1[[#This Row],[MB3]])</f>
        <v>SLIMLINE H/C W/DEF STD LOUVER - 830069 - 0 - 0</v>
      </c>
    </row>
    <row r="1000" spans="1:15" x14ac:dyDescent="0.25">
      <c r="A1000" s="1">
        <v>911391</v>
      </c>
      <c r="B1000" s="1" t="s">
        <v>263</v>
      </c>
      <c r="C1000" s="1" t="s">
        <v>264</v>
      </c>
      <c r="D1000" s="2">
        <v>44609.704364120371</v>
      </c>
      <c r="E1000" s="1" t="s">
        <v>11</v>
      </c>
      <c r="F1000" s="1">
        <v>2</v>
      </c>
      <c r="G1000" s="1">
        <v>0</v>
      </c>
      <c r="H1000" s="6">
        <f>INT(Query1[[#This Row],[EntryDateTime]])</f>
        <v>44609</v>
      </c>
      <c r="I1000" s="1">
        <f>IF(Query1[[#This Row],[ItemType]]="EVAP KIT SF GEN IV",Query1[[#This Row],[OrderQty]]+I999,I999)</f>
        <v>1125</v>
      </c>
      <c r="J1000" s="1">
        <f>IF(Query1[[#This Row],[ItemType]]="EVAP KIT UNIVERSAL",Query1[[#This Row],[OrderQty]]+J999,J999)</f>
        <v>491</v>
      </c>
      <c r="K1000" s="1">
        <f>Query1[[#This Row],[SF Running Total]]+Query1[[#This Row],[UNIV Running Total]]</f>
        <v>1616</v>
      </c>
      <c r="L1000">
        <f>VLOOKUP(Query1[[#This Row],[Description]],'kits to boards'!$B$2:$E$156,2,FALSE)</f>
        <v>830069</v>
      </c>
      <c r="M1000">
        <f>VLOOKUP(Query1[[#This Row],[Description]],'kits to boards'!$B$2:$E$156,3,FALSE)</f>
        <v>0</v>
      </c>
      <c r="N1000">
        <f>VLOOKUP(Query1[[#This Row],[Description]],'kits to boards'!$B$2:$E$156,4,FALSE)</f>
        <v>0</v>
      </c>
      <c r="O1000" t="str">
        <f>CONCATENATE(Query1[[#This Row],[Description]]," - ",Query1[[#This Row],[MB1]]," - ",Query1[[#This Row],[MB2]]," - ",Query1[[#This Row],[MB3]])</f>
        <v>SLIMLINE COOL STD LOUVER - 830069 - 0 - 0</v>
      </c>
    </row>
    <row r="1001" spans="1:15" x14ac:dyDescent="0.25">
      <c r="A1001" s="1">
        <v>911391</v>
      </c>
      <c r="B1001" s="1" t="s">
        <v>188</v>
      </c>
      <c r="C1001" s="1" t="s">
        <v>189</v>
      </c>
      <c r="D1001" s="2">
        <v>44609.704364120371</v>
      </c>
      <c r="E1001" s="1" t="s">
        <v>11</v>
      </c>
      <c r="F1001" s="1">
        <v>1</v>
      </c>
      <c r="G1001" s="1">
        <v>0</v>
      </c>
      <c r="H1001" s="6">
        <f>INT(Query1[[#This Row],[EntryDateTime]])</f>
        <v>44609</v>
      </c>
      <c r="I1001" s="1">
        <f>IF(Query1[[#This Row],[ItemType]]="EVAP KIT SF GEN IV",Query1[[#This Row],[OrderQty]]+I1000,I1000)</f>
        <v>1125</v>
      </c>
      <c r="J1001" s="1">
        <f>IF(Query1[[#This Row],[ItemType]]="EVAP KIT UNIVERSAL",Query1[[#This Row],[OrderQty]]+J1000,J1000)</f>
        <v>492</v>
      </c>
      <c r="K1001" s="1">
        <f>Query1[[#This Row],[SF Running Total]]+Query1[[#This Row],[UNIV Running Total]]</f>
        <v>1617</v>
      </c>
      <c r="L1001">
        <f>VLOOKUP(Query1[[#This Row],[Description]],'kits to boards'!$B$2:$E$156,2,FALSE)</f>
        <v>830069</v>
      </c>
      <c r="M1001">
        <f>VLOOKUP(Query1[[#This Row],[Description]],'kits to boards'!$B$2:$E$156,3,FALSE)</f>
        <v>0</v>
      </c>
      <c r="N1001">
        <f>VLOOKUP(Query1[[#This Row],[Description]],'kits to boards'!$B$2:$E$156,4,FALSE)</f>
        <v>0</v>
      </c>
      <c r="O1001" t="str">
        <f>CONCATENATE(Query1[[#This Row],[Description]]," - ",Query1[[#This Row],[MB1]]," - ",Query1[[#This Row],[MB2]]," - ",Query1[[#This Row],[MB3]])</f>
        <v>SLIMLINE H/C STD LOUVER - 830069 - 0 - 0</v>
      </c>
    </row>
    <row r="1002" spans="1:15" x14ac:dyDescent="0.25">
      <c r="A1002" s="1">
        <v>911503</v>
      </c>
      <c r="B1002" s="1" t="s">
        <v>122</v>
      </c>
      <c r="C1002" s="1" t="s">
        <v>123</v>
      </c>
      <c r="D1002" s="2">
        <v>44610.314419178241</v>
      </c>
      <c r="E1002" s="1" t="s">
        <v>8</v>
      </c>
      <c r="F1002" s="1">
        <v>1</v>
      </c>
      <c r="G1002" s="1">
        <v>0</v>
      </c>
      <c r="H1002" s="6">
        <f>INT(Query1[[#This Row],[EntryDateTime]])</f>
        <v>44610</v>
      </c>
      <c r="I1002" s="1">
        <f>IF(Query1[[#This Row],[ItemType]]="EVAP KIT SF GEN IV",Query1[[#This Row],[OrderQty]]+I1001,I1001)</f>
        <v>1126</v>
      </c>
      <c r="J1002" s="1">
        <f>IF(Query1[[#This Row],[ItemType]]="EVAP KIT UNIVERSAL",Query1[[#This Row],[OrderQty]]+J1001,J1001)</f>
        <v>492</v>
      </c>
      <c r="K1002" s="1">
        <f>Query1[[#This Row],[SF Running Total]]+Query1[[#This Row],[UNIV Running Total]]</f>
        <v>1618</v>
      </c>
      <c r="L1002">
        <f>VLOOKUP(Query1[[#This Row],[Description]],'kits to boards'!$B$2:$E$156,2,FALSE)</f>
        <v>830027</v>
      </c>
      <c r="M1002">
        <f>VLOOKUP(Query1[[#This Row],[Description]],'kits to boards'!$B$2:$E$156,3,FALSE)</f>
        <v>0</v>
      </c>
      <c r="N1002">
        <f>VLOOKUP(Query1[[#This Row],[Description]],'kits to boards'!$B$2:$E$156,4,FALSE)</f>
        <v>0</v>
      </c>
      <c r="O1002" t="str">
        <f>CONCATENATE(Query1[[#This Row],[Description]]," - ",Query1[[#This Row],[MB1]]," - ",Query1[[#This Row],[MB2]]," - ",Query1[[#This Row],[MB3]])</f>
        <v>EVAP KIT 70-72 CUTLASS W/AC - 830027 - 0 - 0</v>
      </c>
    </row>
    <row r="1003" spans="1:15" x14ac:dyDescent="0.25">
      <c r="A1003" s="1">
        <v>910305</v>
      </c>
      <c r="B1003" s="1" t="s">
        <v>112</v>
      </c>
      <c r="C1003" s="1" t="s">
        <v>113</v>
      </c>
      <c r="D1003" s="2">
        <v>44610.314977314818</v>
      </c>
      <c r="E1003" s="1" t="s">
        <v>8</v>
      </c>
      <c r="F1003" s="1">
        <v>1</v>
      </c>
      <c r="G1003" s="1">
        <v>0</v>
      </c>
      <c r="H1003" s="6">
        <f>INT(Query1[[#This Row],[EntryDateTime]])</f>
        <v>44610</v>
      </c>
      <c r="I1003" s="1">
        <f>IF(Query1[[#This Row],[ItemType]]="EVAP KIT SF GEN IV",Query1[[#This Row],[OrderQty]]+I1002,I1002)</f>
        <v>1127</v>
      </c>
      <c r="J1003" s="1">
        <f>IF(Query1[[#This Row],[ItemType]]="EVAP KIT UNIVERSAL",Query1[[#This Row],[OrderQty]]+J1002,J1002)</f>
        <v>492</v>
      </c>
      <c r="K1003" s="1">
        <f>Query1[[#This Row],[SF Running Total]]+Query1[[#This Row],[UNIV Running Total]]</f>
        <v>1619</v>
      </c>
      <c r="L1003">
        <f>VLOOKUP(Query1[[#This Row],[Description]],'kits to boards'!$B$2:$E$156,2,FALSE)</f>
        <v>830063</v>
      </c>
      <c r="M1003">
        <f>VLOOKUP(Query1[[#This Row],[Description]],'kits to boards'!$B$2:$E$156,3,FALSE)</f>
        <v>0</v>
      </c>
      <c r="N1003">
        <f>VLOOKUP(Query1[[#This Row],[Description]],'kits to boards'!$B$2:$E$156,4,FALSE)</f>
        <v>0</v>
      </c>
      <c r="O1003" t="str">
        <f>CONCATENATE(Query1[[#This Row],[Description]]," - ",Query1[[#This Row],[MB1]]," - ",Query1[[#This Row],[MB2]]," - ",Query1[[#This Row],[MB3]])</f>
        <v>EVAP KIT 54-55 CHEV P-UP GEN IV - 830063 - 0 - 0</v>
      </c>
    </row>
    <row r="1004" spans="1:15" x14ac:dyDescent="0.25">
      <c r="A1004" s="1">
        <v>911055</v>
      </c>
      <c r="B1004" s="1" t="s">
        <v>16</v>
      </c>
      <c r="C1004" s="1" t="s">
        <v>17</v>
      </c>
      <c r="D1004" s="2">
        <v>44610.315547256941</v>
      </c>
      <c r="E1004" s="1" t="s">
        <v>8</v>
      </c>
      <c r="F1004" s="1">
        <v>1</v>
      </c>
      <c r="G1004" s="1">
        <v>0</v>
      </c>
      <c r="H1004" s="6">
        <f>INT(Query1[[#This Row],[EntryDateTime]])</f>
        <v>44610</v>
      </c>
      <c r="I1004" s="1">
        <f>IF(Query1[[#This Row],[ItemType]]="EVAP KIT SF GEN IV",Query1[[#This Row],[OrderQty]]+I1003,I1003)</f>
        <v>1128</v>
      </c>
      <c r="J1004" s="1">
        <f>IF(Query1[[#This Row],[ItemType]]="EVAP KIT UNIVERSAL",Query1[[#This Row],[OrderQty]]+J1003,J1003)</f>
        <v>492</v>
      </c>
      <c r="K1004" s="1">
        <f>Query1[[#This Row],[SF Running Total]]+Query1[[#This Row],[UNIV Running Total]]</f>
        <v>1620</v>
      </c>
      <c r="L1004">
        <f>VLOOKUP(Query1[[#This Row],[Description]],'kits to boards'!$B$2:$E$156,2,FALSE)</f>
        <v>830061</v>
      </c>
      <c r="M1004">
        <f>VLOOKUP(Query1[[#This Row],[Description]],'kits to boards'!$B$2:$E$156,3,FALSE)</f>
        <v>0</v>
      </c>
      <c r="N1004">
        <f>VLOOKUP(Query1[[#This Row],[Description]],'kits to boards'!$B$2:$E$156,4,FALSE)</f>
        <v>0</v>
      </c>
      <c r="O1004" t="str">
        <f>CONCATENATE(Query1[[#This Row],[Description]]," - ",Query1[[#This Row],[MB1]]," - ",Query1[[#This Row],[MB2]]," - ",Query1[[#This Row],[MB3]])</f>
        <v>EVAP KIT 68-69 CHEVELLE W/AC - 830061 - 0 - 0</v>
      </c>
    </row>
    <row r="1005" spans="1:15" x14ac:dyDescent="0.25">
      <c r="A1005" s="1">
        <v>911057</v>
      </c>
      <c r="B1005" s="1" t="s">
        <v>166</v>
      </c>
      <c r="C1005" s="1" t="s">
        <v>167</v>
      </c>
      <c r="D1005" s="2">
        <v>44610.316779201392</v>
      </c>
      <c r="E1005" s="1" t="s">
        <v>8</v>
      </c>
      <c r="F1005" s="1">
        <v>1</v>
      </c>
      <c r="G1005" s="1">
        <v>0</v>
      </c>
      <c r="H1005" s="6">
        <f>INT(Query1[[#This Row],[EntryDateTime]])</f>
        <v>44610</v>
      </c>
      <c r="I1005" s="1">
        <f>IF(Query1[[#This Row],[ItemType]]="EVAP KIT SF GEN IV",Query1[[#This Row],[OrderQty]]+I1004,I1004)</f>
        <v>1129</v>
      </c>
      <c r="J1005" s="1">
        <f>IF(Query1[[#This Row],[ItemType]]="EVAP KIT UNIVERSAL",Query1[[#This Row],[OrderQty]]+J1004,J1004)</f>
        <v>492</v>
      </c>
      <c r="K1005" s="1">
        <f>Query1[[#This Row],[SF Running Total]]+Query1[[#This Row],[UNIV Running Total]]</f>
        <v>1621</v>
      </c>
      <c r="L1005">
        <f>VLOOKUP(Query1[[#This Row],[Description]],'kits to boards'!$B$2:$E$156,2,FALSE)</f>
        <v>830063</v>
      </c>
      <c r="M1005">
        <f>VLOOKUP(Query1[[#This Row],[Description]],'kits to boards'!$B$2:$E$156,3,FALSE)</f>
        <v>0</v>
      </c>
      <c r="N1005">
        <f>VLOOKUP(Query1[[#This Row],[Description]],'kits to boards'!$B$2:$E$156,4,FALSE)</f>
        <v>0</v>
      </c>
      <c r="O1005" t="str">
        <f>CONCATENATE(Query1[[#This Row],[Description]]," - ",Query1[[#This Row],[MB1]]," - ",Query1[[#This Row],[MB2]]," - ",Query1[[#This Row],[MB3]])</f>
        <v>EVAP KIT 47-49 CHEV P-UP GEN IV - 830063 - 0 - 0</v>
      </c>
    </row>
    <row r="1006" spans="1:15" x14ac:dyDescent="0.25">
      <c r="A1006" s="1">
        <v>911068</v>
      </c>
      <c r="B1006" s="1" t="s">
        <v>86</v>
      </c>
      <c r="C1006" s="1" t="s">
        <v>87</v>
      </c>
      <c r="D1006" s="2">
        <v>44610.317397951389</v>
      </c>
      <c r="E1006" s="1" t="s">
        <v>8</v>
      </c>
      <c r="F1006" s="1">
        <v>1</v>
      </c>
      <c r="G1006" s="1">
        <v>0</v>
      </c>
      <c r="H1006" s="6">
        <f>INT(Query1[[#This Row],[EntryDateTime]])</f>
        <v>44610</v>
      </c>
      <c r="I1006" s="1">
        <f>IF(Query1[[#This Row],[ItemType]]="EVAP KIT SF GEN IV",Query1[[#This Row],[OrderQty]]+I1005,I1005)</f>
        <v>1130</v>
      </c>
      <c r="J1006" s="1">
        <f>IF(Query1[[#This Row],[ItemType]]="EVAP KIT UNIVERSAL",Query1[[#This Row],[OrderQty]]+J1005,J1005)</f>
        <v>492</v>
      </c>
      <c r="K1006" s="1">
        <f>Query1[[#This Row],[SF Running Total]]+Query1[[#This Row],[UNIV Running Total]]</f>
        <v>1622</v>
      </c>
      <c r="L1006">
        <f>VLOOKUP(Query1[[#This Row],[Description]],'kits to boards'!$B$2:$E$156,2,FALSE)</f>
        <v>830048</v>
      </c>
      <c r="M1006">
        <f>VLOOKUP(Query1[[#This Row],[Description]],'kits to boards'!$B$2:$E$156,3,FALSE)</f>
        <v>0</v>
      </c>
      <c r="N1006">
        <f>VLOOKUP(Query1[[#This Row],[Description]],'kits to boards'!$B$2:$E$156,4,FALSE)</f>
        <v>0</v>
      </c>
      <c r="O1006" t="str">
        <f>CONCATENATE(Query1[[#This Row],[Description]]," - ",Query1[[#This Row],[MB1]]," - ",Query1[[#This Row],[MB2]]," - ",Query1[[#This Row],[MB3]])</f>
        <v>EVAP KIT 66-67 NOVA - 830048 - 0 - 0</v>
      </c>
    </row>
    <row r="1007" spans="1:15" x14ac:dyDescent="0.25">
      <c r="A1007" s="1">
        <v>911211</v>
      </c>
      <c r="B1007" s="1" t="s">
        <v>251</v>
      </c>
      <c r="C1007" s="1" t="s">
        <v>252</v>
      </c>
      <c r="D1007" s="2">
        <v>44610.319410995369</v>
      </c>
      <c r="E1007" s="1" t="s">
        <v>8</v>
      </c>
      <c r="F1007" s="1">
        <v>1</v>
      </c>
      <c r="G1007" s="1">
        <v>0</v>
      </c>
      <c r="H1007" s="6">
        <f>INT(Query1[[#This Row],[EntryDateTime]])</f>
        <v>44610</v>
      </c>
      <c r="I1007" s="1">
        <f>IF(Query1[[#This Row],[ItemType]]="EVAP KIT SF GEN IV",Query1[[#This Row],[OrderQty]]+I1006,I1006)</f>
        <v>1131</v>
      </c>
      <c r="J1007" s="1">
        <f>IF(Query1[[#This Row],[ItemType]]="EVAP KIT UNIVERSAL",Query1[[#This Row],[OrderQty]]+J1006,J1006)</f>
        <v>492</v>
      </c>
      <c r="K1007" s="1">
        <f>Query1[[#This Row],[SF Running Total]]+Query1[[#This Row],[UNIV Running Total]]</f>
        <v>1623</v>
      </c>
      <c r="L1007">
        <f>VLOOKUP(Query1[[#This Row],[Description]],'kits to boards'!$B$2:$E$156,2,FALSE)</f>
        <v>830020</v>
      </c>
      <c r="M1007">
        <f>VLOOKUP(Query1[[#This Row],[Description]],'kits to boards'!$B$2:$E$156,3,FALSE)</f>
        <v>0</v>
      </c>
      <c r="N1007">
        <f>VLOOKUP(Query1[[#This Row],[Description]],'kits to boards'!$B$2:$E$156,4,FALSE)</f>
        <v>0</v>
      </c>
      <c r="O1007" t="str">
        <f>CONCATENATE(Query1[[#This Row],[Description]]," - ",Query1[[#This Row],[MB1]]," - ",Query1[[#This Row],[MB2]]," - ",Query1[[#This Row],[MB3]])</f>
        <v>EVAP KIT 69 FIREBIRD WO AC - 830020 - 0 - 0</v>
      </c>
    </row>
    <row r="1008" spans="1:15" x14ac:dyDescent="0.25">
      <c r="A1008" s="1">
        <v>911213</v>
      </c>
      <c r="B1008" s="1" t="s">
        <v>16</v>
      </c>
      <c r="C1008" s="1" t="s">
        <v>17</v>
      </c>
      <c r="D1008" s="2">
        <v>44610.320418206022</v>
      </c>
      <c r="E1008" s="1" t="s">
        <v>8</v>
      </c>
      <c r="F1008" s="1">
        <v>1</v>
      </c>
      <c r="G1008" s="1">
        <v>0</v>
      </c>
      <c r="H1008" s="6">
        <f>INT(Query1[[#This Row],[EntryDateTime]])</f>
        <v>44610</v>
      </c>
      <c r="I1008" s="1">
        <f>IF(Query1[[#This Row],[ItemType]]="EVAP KIT SF GEN IV",Query1[[#This Row],[OrderQty]]+I1007,I1007)</f>
        <v>1132</v>
      </c>
      <c r="J1008" s="1">
        <f>IF(Query1[[#This Row],[ItemType]]="EVAP KIT UNIVERSAL",Query1[[#This Row],[OrderQty]]+J1007,J1007)</f>
        <v>492</v>
      </c>
      <c r="K1008" s="1">
        <f>Query1[[#This Row],[SF Running Total]]+Query1[[#This Row],[UNIV Running Total]]</f>
        <v>1624</v>
      </c>
      <c r="L1008">
        <f>VLOOKUP(Query1[[#This Row],[Description]],'kits to boards'!$B$2:$E$156,2,FALSE)</f>
        <v>830061</v>
      </c>
      <c r="M1008">
        <f>VLOOKUP(Query1[[#This Row],[Description]],'kits to boards'!$B$2:$E$156,3,FALSE)</f>
        <v>0</v>
      </c>
      <c r="N1008">
        <f>VLOOKUP(Query1[[#This Row],[Description]],'kits to boards'!$B$2:$E$156,4,FALSE)</f>
        <v>0</v>
      </c>
      <c r="O1008" t="str">
        <f>CONCATENATE(Query1[[#This Row],[Description]]," - ",Query1[[#This Row],[MB1]]," - ",Query1[[#This Row],[MB2]]," - ",Query1[[#This Row],[MB3]])</f>
        <v>EVAP KIT 68-69 CHEVELLE W/AC - 830061 - 0 - 0</v>
      </c>
    </row>
    <row r="1009" spans="1:15" x14ac:dyDescent="0.25">
      <c r="A1009" s="1">
        <v>911212</v>
      </c>
      <c r="B1009" s="1" t="s">
        <v>122</v>
      </c>
      <c r="C1009" s="1" t="s">
        <v>123</v>
      </c>
      <c r="D1009" s="2">
        <v>44610.321900150462</v>
      </c>
      <c r="E1009" s="1" t="s">
        <v>8</v>
      </c>
      <c r="F1009" s="1">
        <v>1</v>
      </c>
      <c r="G1009" s="1">
        <v>0</v>
      </c>
      <c r="H1009" s="6">
        <f>INT(Query1[[#This Row],[EntryDateTime]])</f>
        <v>44610</v>
      </c>
      <c r="I1009" s="1">
        <f>IF(Query1[[#This Row],[ItemType]]="EVAP KIT SF GEN IV",Query1[[#This Row],[OrderQty]]+I1008,I1008)</f>
        <v>1133</v>
      </c>
      <c r="J1009" s="1">
        <f>IF(Query1[[#This Row],[ItemType]]="EVAP KIT UNIVERSAL",Query1[[#This Row],[OrderQty]]+J1008,J1008)</f>
        <v>492</v>
      </c>
      <c r="K1009" s="1">
        <f>Query1[[#This Row],[SF Running Total]]+Query1[[#This Row],[UNIV Running Total]]</f>
        <v>1625</v>
      </c>
      <c r="L1009">
        <f>VLOOKUP(Query1[[#This Row],[Description]],'kits to boards'!$B$2:$E$156,2,FALSE)</f>
        <v>830027</v>
      </c>
      <c r="M1009">
        <f>VLOOKUP(Query1[[#This Row],[Description]],'kits to boards'!$B$2:$E$156,3,FALSE)</f>
        <v>0</v>
      </c>
      <c r="N1009">
        <f>VLOOKUP(Query1[[#This Row],[Description]],'kits to boards'!$B$2:$E$156,4,FALSE)</f>
        <v>0</v>
      </c>
      <c r="O1009" t="str">
        <f>CONCATENATE(Query1[[#This Row],[Description]]," - ",Query1[[#This Row],[MB1]]," - ",Query1[[#This Row],[MB2]]," - ",Query1[[#This Row],[MB3]])</f>
        <v>EVAP KIT 70-72 CUTLASS W/AC - 830027 - 0 - 0</v>
      </c>
    </row>
    <row r="1010" spans="1:15" x14ac:dyDescent="0.25">
      <c r="A1010" s="1">
        <v>911569</v>
      </c>
      <c r="B1010" s="1" t="s">
        <v>22</v>
      </c>
      <c r="C1010" s="1" t="s">
        <v>23</v>
      </c>
      <c r="D1010" s="2">
        <v>44610.327979895832</v>
      </c>
      <c r="E1010" s="1" t="s">
        <v>8</v>
      </c>
      <c r="F1010" s="1">
        <v>3</v>
      </c>
      <c r="G1010" s="1">
        <v>0</v>
      </c>
      <c r="H1010" s="6">
        <f>INT(Query1[[#This Row],[EntryDateTime]])</f>
        <v>44610</v>
      </c>
      <c r="I1010" s="1">
        <f>IF(Query1[[#This Row],[ItemType]]="EVAP KIT SF GEN IV",Query1[[#This Row],[OrderQty]]+I1009,I1009)</f>
        <v>1136</v>
      </c>
      <c r="J1010" s="1">
        <f>IF(Query1[[#This Row],[ItemType]]="EVAP KIT UNIVERSAL",Query1[[#This Row],[OrderQty]]+J1009,J1009)</f>
        <v>492</v>
      </c>
      <c r="K1010" s="1">
        <f>Query1[[#This Row],[SF Running Total]]+Query1[[#This Row],[UNIV Running Total]]</f>
        <v>1628</v>
      </c>
      <c r="L1010">
        <f>VLOOKUP(Query1[[#This Row],[Description]],'kits to boards'!$B$2:$E$156,2,FALSE)</f>
        <v>830083</v>
      </c>
      <c r="M1010">
        <f>VLOOKUP(Query1[[#This Row],[Description]],'kits to boards'!$B$2:$E$156,3,FALSE)</f>
        <v>0</v>
      </c>
      <c r="N1010">
        <f>VLOOKUP(Query1[[#This Row],[Description]],'kits to boards'!$B$2:$E$156,4,FALSE)</f>
        <v>0</v>
      </c>
      <c r="O1010" t="str">
        <f>CONCATENATE(Query1[[#This Row],[Description]]," - ",Query1[[#This Row],[MB1]]," - ",Query1[[#This Row],[MB2]]," - ",Query1[[#This Row],[MB3]])</f>
        <v>GEN IV MAGNUM EVAP KIT - 830083 - 0 - 0</v>
      </c>
    </row>
    <row r="1011" spans="1:15" x14ac:dyDescent="0.25">
      <c r="A1011" s="1">
        <v>911569</v>
      </c>
      <c r="B1011" s="1" t="s">
        <v>96</v>
      </c>
      <c r="C1011" s="1" t="s">
        <v>97</v>
      </c>
      <c r="D1011" s="2">
        <v>44610.328125115739</v>
      </c>
      <c r="E1011" s="1" t="s">
        <v>8</v>
      </c>
      <c r="F1011" s="1">
        <v>1</v>
      </c>
      <c r="G1011" s="1">
        <v>0</v>
      </c>
      <c r="H1011" s="6">
        <f>INT(Query1[[#This Row],[EntryDateTime]])</f>
        <v>44610</v>
      </c>
      <c r="I1011" s="1">
        <f>IF(Query1[[#This Row],[ItemType]]="EVAP KIT SF GEN IV",Query1[[#This Row],[OrderQty]]+I1010,I1010)</f>
        <v>1137</v>
      </c>
      <c r="J1011" s="1">
        <f>IF(Query1[[#This Row],[ItemType]]="EVAP KIT UNIVERSAL",Query1[[#This Row],[OrderQty]]+J1010,J1010)</f>
        <v>492</v>
      </c>
      <c r="K1011" s="1">
        <f>Query1[[#This Row],[SF Running Total]]+Query1[[#This Row],[UNIV Running Total]]</f>
        <v>1629</v>
      </c>
      <c r="L1011">
        <f>VLOOKUP(Query1[[#This Row],[Description]],'kits to boards'!$B$2:$E$156,2,FALSE)</f>
        <v>830004</v>
      </c>
      <c r="M1011">
        <f>VLOOKUP(Query1[[#This Row],[Description]],'kits to boards'!$B$2:$E$156,3,FALSE)</f>
        <v>0</v>
      </c>
      <c r="N1011">
        <f>VLOOKUP(Query1[[#This Row],[Description]],'kits to boards'!$B$2:$E$156,4,FALSE)</f>
        <v>0</v>
      </c>
      <c r="O1011" t="str">
        <f>CONCATENATE(Query1[[#This Row],[Description]]," - ",Query1[[#This Row],[MB1]]," - ",Query1[[#This Row],[MB2]]," - ",Query1[[#This Row],[MB3]])</f>
        <v>EVAP KIT 81-87 CHEV P-UP W/AC - 830004 - 0 - 0</v>
      </c>
    </row>
    <row r="1012" spans="1:15" x14ac:dyDescent="0.25">
      <c r="A1012" s="1">
        <v>911569</v>
      </c>
      <c r="B1012" s="1" t="s">
        <v>110</v>
      </c>
      <c r="C1012" s="1" t="s">
        <v>111</v>
      </c>
      <c r="D1012" s="2">
        <v>44610.328236608795</v>
      </c>
      <c r="E1012" s="1" t="s">
        <v>8</v>
      </c>
      <c r="F1012" s="1">
        <v>1</v>
      </c>
      <c r="G1012" s="1">
        <v>0</v>
      </c>
      <c r="H1012" s="6">
        <f>INT(Query1[[#This Row],[EntryDateTime]])</f>
        <v>44610</v>
      </c>
      <c r="I1012" s="1">
        <f>IF(Query1[[#This Row],[ItemType]]="EVAP KIT SF GEN IV",Query1[[#This Row],[OrderQty]]+I1011,I1011)</f>
        <v>1138</v>
      </c>
      <c r="J1012" s="1">
        <f>IF(Query1[[#This Row],[ItemType]]="EVAP KIT UNIVERSAL",Query1[[#This Row],[OrderQty]]+J1011,J1011)</f>
        <v>492</v>
      </c>
      <c r="K1012" s="1">
        <f>Query1[[#This Row],[SF Running Total]]+Query1[[#This Row],[UNIV Running Total]]</f>
        <v>1630</v>
      </c>
      <c r="L1012">
        <f>VLOOKUP(Query1[[#This Row],[Description]],'kits to boards'!$B$2:$E$156,2,FALSE)</f>
        <v>830053</v>
      </c>
      <c r="M1012">
        <f>VLOOKUP(Query1[[#This Row],[Description]],'kits to boards'!$B$2:$E$156,3,FALSE)</f>
        <v>0</v>
      </c>
      <c r="N1012">
        <f>VLOOKUP(Query1[[#This Row],[Description]],'kits to boards'!$B$2:$E$156,4,FALSE)</f>
        <v>0</v>
      </c>
      <c r="O1012" t="str">
        <f>CONCATENATE(Query1[[#This Row],[Description]]," - ",Query1[[#This Row],[MB1]]," - ",Query1[[#This Row],[MB2]]," - ",Query1[[#This Row],[MB3]])</f>
        <v>EVAP KIT 65-66 FORD F-100 - 830053 - 0 - 0</v>
      </c>
    </row>
    <row r="1013" spans="1:15" x14ac:dyDescent="0.25">
      <c r="A1013" s="1">
        <v>911569</v>
      </c>
      <c r="B1013" s="1" t="s">
        <v>44</v>
      </c>
      <c r="C1013" s="1" t="s">
        <v>45</v>
      </c>
      <c r="D1013" s="2">
        <v>44610.328386030094</v>
      </c>
      <c r="E1013" s="1" t="s">
        <v>8</v>
      </c>
      <c r="F1013" s="1">
        <v>2</v>
      </c>
      <c r="G1013" s="1">
        <v>0</v>
      </c>
      <c r="H1013" s="6">
        <f>INT(Query1[[#This Row],[EntryDateTime]])</f>
        <v>44610</v>
      </c>
      <c r="I1013" s="1">
        <f>IF(Query1[[#This Row],[ItemType]]="EVAP KIT SF GEN IV",Query1[[#This Row],[OrderQty]]+I1012,I1012)</f>
        <v>1140</v>
      </c>
      <c r="J1013" s="1">
        <f>IF(Query1[[#This Row],[ItemType]]="EVAP KIT UNIVERSAL",Query1[[#This Row],[OrderQty]]+J1012,J1012)</f>
        <v>492</v>
      </c>
      <c r="K1013" s="1">
        <f>Query1[[#This Row],[SF Running Total]]+Query1[[#This Row],[UNIV Running Total]]</f>
        <v>1632</v>
      </c>
      <c r="L1013">
        <f>VLOOKUP(Query1[[#This Row],[Description]],'kits to boards'!$B$2:$E$156,2,FALSE)</f>
        <v>830085</v>
      </c>
      <c r="M1013">
        <f>VLOOKUP(Query1[[#This Row],[Description]],'kits to boards'!$B$2:$E$156,3,FALSE)</f>
        <v>0</v>
      </c>
      <c r="N1013">
        <f>VLOOKUP(Query1[[#This Row],[Description]],'kits to boards'!$B$2:$E$156,4,FALSE)</f>
        <v>0</v>
      </c>
      <c r="O1013" t="str">
        <f>CONCATENATE(Query1[[#This Row],[Description]]," - ",Query1[[#This Row],[MB1]]," - ",Query1[[#This Row],[MB2]]," - ",Query1[[#This Row],[MB3]])</f>
        <v>EVAP KIT 66-77 BRONCO - 830085 - 0 - 0</v>
      </c>
    </row>
    <row r="1014" spans="1:15" x14ac:dyDescent="0.25">
      <c r="A1014" s="1">
        <v>911569</v>
      </c>
      <c r="B1014" s="1" t="s">
        <v>502</v>
      </c>
      <c r="C1014" s="1" t="s">
        <v>503</v>
      </c>
      <c r="D1014" s="2">
        <v>44610.328642824075</v>
      </c>
      <c r="E1014" s="1" t="s">
        <v>677</v>
      </c>
      <c r="F1014" s="1">
        <v>2</v>
      </c>
      <c r="G1014" s="1">
        <v>0</v>
      </c>
      <c r="H1014" s="6">
        <f>INT(Query1[[#This Row],[EntryDateTime]])</f>
        <v>44610</v>
      </c>
      <c r="I1014" s="1">
        <f>IF(Query1[[#This Row],[ItemType]]="EVAP KIT SF GEN IV",Query1[[#This Row],[OrderQty]]+I1013,I1013)</f>
        <v>1140</v>
      </c>
      <c r="J1014" s="1">
        <f>IF(Query1[[#This Row],[ItemType]]="EVAP KIT UNIVERSAL",Query1[[#This Row],[OrderQty]]+J1013,J1013)</f>
        <v>492</v>
      </c>
      <c r="K1014" s="1">
        <f>Query1[[#This Row],[SF Running Total]]+Query1[[#This Row],[UNIV Running Total]]</f>
        <v>1632</v>
      </c>
      <c r="L1014" t="e">
        <f>VLOOKUP(Query1[[#This Row],[Description]],'kits to boards'!$B$2:$E$156,2,FALSE)</f>
        <v>#N/A</v>
      </c>
      <c r="M1014" t="e">
        <f>VLOOKUP(Query1[[#This Row],[Description]],'kits to boards'!$B$2:$E$156,3,FALSE)</f>
        <v>#N/A</v>
      </c>
      <c r="N1014" t="e">
        <f>VLOOKUP(Query1[[#This Row],[Description]],'kits to boards'!$B$2:$E$156,4,FALSE)</f>
        <v>#N/A</v>
      </c>
      <c r="O1014" t="e">
        <f>CONCATENATE(Query1[[#This Row],[Description]]," - ",Query1[[#This Row],[MB1]]," - ",Query1[[#This Row],[MB2]]," - ",Query1[[#This Row],[MB3]])</f>
        <v>#N/A</v>
      </c>
    </row>
    <row r="1015" spans="1:15" x14ac:dyDescent="0.25">
      <c r="A1015" s="1">
        <v>911569</v>
      </c>
      <c r="B1015" s="1" t="s">
        <v>18</v>
      </c>
      <c r="C1015" s="1" t="s">
        <v>19</v>
      </c>
      <c r="D1015" s="2">
        <v>44610.329778240739</v>
      </c>
      <c r="E1015" s="1" t="s">
        <v>8</v>
      </c>
      <c r="F1015" s="1">
        <v>1</v>
      </c>
      <c r="G1015" s="1">
        <v>0</v>
      </c>
      <c r="H1015" s="6">
        <f>INT(Query1[[#This Row],[EntryDateTime]])</f>
        <v>44610</v>
      </c>
      <c r="I1015" s="1">
        <f>IF(Query1[[#This Row],[ItemType]]="EVAP KIT SF GEN IV",Query1[[#This Row],[OrderQty]]+I1014,I1014)</f>
        <v>1141</v>
      </c>
      <c r="J1015" s="1">
        <f>IF(Query1[[#This Row],[ItemType]]="EVAP KIT UNIVERSAL",Query1[[#This Row],[OrderQty]]+J1014,J1014)</f>
        <v>492</v>
      </c>
      <c r="K1015" s="1">
        <f>Query1[[#This Row],[SF Running Total]]+Query1[[#This Row],[UNIV Running Total]]</f>
        <v>1633</v>
      </c>
      <c r="L1015">
        <f>VLOOKUP(Query1[[#This Row],[Description]],'kits to boards'!$B$2:$E$156,2,FALSE)</f>
        <v>830051</v>
      </c>
      <c r="M1015">
        <f>VLOOKUP(Query1[[#This Row],[Description]],'kits to boards'!$B$2:$E$156,3,FALSE)</f>
        <v>0</v>
      </c>
      <c r="N1015">
        <f>VLOOKUP(Query1[[#This Row],[Description]],'kits to boards'!$B$2:$E$156,4,FALSE)</f>
        <v>0</v>
      </c>
      <c r="O1015" t="str">
        <f>CONCATENATE(Query1[[#This Row],[Description]]," - ",Query1[[#This Row],[MB1]]," - ",Query1[[#This Row],[MB2]]," - ",Query1[[#This Row],[MB3]])</f>
        <v>EVAP KIT 70-78 CAMARO W/AC - 830051 - 0 - 0</v>
      </c>
    </row>
    <row r="1016" spans="1:15" x14ac:dyDescent="0.25">
      <c r="A1016" s="1">
        <v>911569</v>
      </c>
      <c r="B1016" s="1" t="s">
        <v>42</v>
      </c>
      <c r="C1016" s="1" t="s">
        <v>43</v>
      </c>
      <c r="D1016" s="2">
        <v>44610.330371724536</v>
      </c>
      <c r="E1016" s="1" t="s">
        <v>8</v>
      </c>
      <c r="F1016" s="1">
        <v>1</v>
      </c>
      <c r="G1016" s="1">
        <v>0</v>
      </c>
      <c r="H1016" s="6">
        <f>INT(Query1[[#This Row],[EntryDateTime]])</f>
        <v>44610</v>
      </c>
      <c r="I1016" s="1">
        <f>IF(Query1[[#This Row],[ItemType]]="EVAP KIT SF GEN IV",Query1[[#This Row],[OrderQty]]+I1015,I1015)</f>
        <v>1142</v>
      </c>
      <c r="J1016" s="1">
        <f>IF(Query1[[#This Row],[ItemType]]="EVAP KIT UNIVERSAL",Query1[[#This Row],[OrderQty]]+J1015,J1015)</f>
        <v>492</v>
      </c>
      <c r="K1016" s="1">
        <f>Query1[[#This Row],[SF Running Total]]+Query1[[#This Row],[UNIV Running Total]]</f>
        <v>1634</v>
      </c>
      <c r="L1016">
        <f>VLOOKUP(Query1[[#This Row],[Description]],'kits to boards'!$B$2:$E$156,2,FALSE)</f>
        <v>830014</v>
      </c>
      <c r="M1016">
        <f>VLOOKUP(Query1[[#This Row],[Description]],'kits to boards'!$B$2:$E$156,3,FALSE)</f>
        <v>0</v>
      </c>
      <c r="N1016">
        <f>VLOOKUP(Query1[[#This Row],[Description]],'kits to boards'!$B$2:$E$156,4,FALSE)</f>
        <v>0</v>
      </c>
      <c r="O1016" t="str">
        <f>CONCATENATE(Query1[[#This Row],[Description]]," - ",Query1[[#This Row],[MB1]]," - ",Query1[[#This Row],[MB2]]," - ",Query1[[#This Row],[MB3]])</f>
        <v>EVAP KIT 67-72 CHEV P-UP WO AC - 830014 - 0 - 0</v>
      </c>
    </row>
    <row r="1017" spans="1:15" x14ac:dyDescent="0.25">
      <c r="A1017" s="1">
        <v>911569</v>
      </c>
      <c r="B1017" s="1" t="s">
        <v>54</v>
      </c>
      <c r="C1017" s="1" t="s">
        <v>55</v>
      </c>
      <c r="D1017" s="2">
        <v>44610.330996643519</v>
      </c>
      <c r="E1017" s="1" t="s">
        <v>8</v>
      </c>
      <c r="F1017" s="1">
        <v>1</v>
      </c>
      <c r="G1017" s="1">
        <v>0</v>
      </c>
      <c r="H1017" s="6">
        <f>INT(Query1[[#This Row],[EntryDateTime]])</f>
        <v>44610</v>
      </c>
      <c r="I1017" s="1">
        <f>IF(Query1[[#This Row],[ItemType]]="EVAP KIT SF GEN IV",Query1[[#This Row],[OrderQty]]+I1016,I1016)</f>
        <v>1143</v>
      </c>
      <c r="J1017" s="1">
        <f>IF(Query1[[#This Row],[ItemType]]="EVAP KIT UNIVERSAL",Query1[[#This Row],[OrderQty]]+J1016,J1016)</f>
        <v>492</v>
      </c>
      <c r="K1017" s="1">
        <f>Query1[[#This Row],[SF Running Total]]+Query1[[#This Row],[UNIV Running Total]]</f>
        <v>1635</v>
      </c>
      <c r="L1017">
        <f>VLOOKUP(Query1[[#This Row],[Description]],'kits to boards'!$B$2:$E$156,2,FALSE)</f>
        <v>830037</v>
      </c>
      <c r="M1017">
        <f>VLOOKUP(Query1[[#This Row],[Description]],'kits to boards'!$B$2:$E$156,3,FALSE)</f>
        <v>0</v>
      </c>
      <c r="N1017">
        <f>VLOOKUP(Query1[[#This Row],[Description]],'kits to boards'!$B$2:$E$156,4,FALSE)</f>
        <v>0</v>
      </c>
      <c r="O1017" t="str">
        <f>CONCATENATE(Query1[[#This Row],[Description]]," - ",Query1[[#This Row],[MB1]]," - ",Query1[[#This Row],[MB2]]," - ",Query1[[#This Row],[MB3]])</f>
        <v>EVAP KIT 70-81 FIREBIRD W/AC - 830037 - 0 - 0</v>
      </c>
    </row>
    <row r="1018" spans="1:15" x14ac:dyDescent="0.25">
      <c r="A1018" s="1">
        <v>911573</v>
      </c>
      <c r="B1018" s="1" t="s">
        <v>92</v>
      </c>
      <c r="C1018" s="1" t="s">
        <v>93</v>
      </c>
      <c r="D1018" s="2">
        <v>44610.359690775462</v>
      </c>
      <c r="E1018" s="1" t="s">
        <v>8</v>
      </c>
      <c r="F1018" s="1">
        <v>1</v>
      </c>
      <c r="G1018" s="1">
        <v>0</v>
      </c>
      <c r="H1018" s="6">
        <f>INT(Query1[[#This Row],[EntryDateTime]])</f>
        <v>44610</v>
      </c>
      <c r="I1018" s="1">
        <f>IF(Query1[[#This Row],[ItemType]]="EVAP KIT SF GEN IV",Query1[[#This Row],[OrderQty]]+I1017,I1017)</f>
        <v>1144</v>
      </c>
      <c r="J1018" s="1">
        <f>IF(Query1[[#This Row],[ItemType]]="EVAP KIT UNIVERSAL",Query1[[#This Row],[OrderQty]]+J1017,J1017)</f>
        <v>492</v>
      </c>
      <c r="K1018" s="1">
        <f>Query1[[#This Row],[SF Running Total]]+Query1[[#This Row],[UNIV Running Total]]</f>
        <v>1636</v>
      </c>
      <c r="L1018">
        <f>VLOOKUP(Query1[[#This Row],[Description]],'kits to boards'!$B$2:$E$156,2,FALSE)</f>
        <v>830063</v>
      </c>
      <c r="M1018">
        <f>VLOOKUP(Query1[[#This Row],[Description]],'kits to boards'!$B$2:$E$156,3,FALSE)</f>
        <v>0</v>
      </c>
      <c r="N1018">
        <f>VLOOKUP(Query1[[#This Row],[Description]],'kits to boards'!$B$2:$E$156,4,FALSE)</f>
        <v>0</v>
      </c>
      <c r="O1018" t="str">
        <f>CONCATENATE(Query1[[#This Row],[Description]]," - ",Query1[[#This Row],[MB1]]," - ",Query1[[#This Row],[MB2]]," - ",Query1[[#This Row],[MB3]])</f>
        <v>EVAP KIT 50-53 CHEV P-UP GEN IV - 830063 - 0 - 0</v>
      </c>
    </row>
    <row r="1019" spans="1:15" x14ac:dyDescent="0.25">
      <c r="A1019" s="1">
        <v>911573</v>
      </c>
      <c r="B1019" s="1" t="s">
        <v>42</v>
      </c>
      <c r="C1019" s="1" t="s">
        <v>43</v>
      </c>
      <c r="D1019" s="2">
        <v>44610.359690775462</v>
      </c>
      <c r="E1019" s="1" t="s">
        <v>8</v>
      </c>
      <c r="F1019" s="1">
        <v>1</v>
      </c>
      <c r="G1019" s="1">
        <v>0</v>
      </c>
      <c r="H1019" s="6">
        <f>INT(Query1[[#This Row],[EntryDateTime]])</f>
        <v>44610</v>
      </c>
      <c r="I1019" s="1">
        <f>IF(Query1[[#This Row],[ItemType]]="EVAP KIT SF GEN IV",Query1[[#This Row],[OrderQty]]+I1018,I1018)</f>
        <v>1145</v>
      </c>
      <c r="J1019" s="1">
        <f>IF(Query1[[#This Row],[ItemType]]="EVAP KIT UNIVERSAL",Query1[[#This Row],[OrderQty]]+J1018,J1018)</f>
        <v>492</v>
      </c>
      <c r="K1019" s="1">
        <f>Query1[[#This Row],[SF Running Total]]+Query1[[#This Row],[UNIV Running Total]]</f>
        <v>1637</v>
      </c>
      <c r="L1019">
        <f>VLOOKUP(Query1[[#This Row],[Description]],'kits to boards'!$B$2:$E$156,2,FALSE)</f>
        <v>830014</v>
      </c>
      <c r="M1019">
        <f>VLOOKUP(Query1[[#This Row],[Description]],'kits to boards'!$B$2:$E$156,3,FALSE)</f>
        <v>0</v>
      </c>
      <c r="N1019">
        <f>VLOOKUP(Query1[[#This Row],[Description]],'kits to boards'!$B$2:$E$156,4,FALSE)</f>
        <v>0</v>
      </c>
      <c r="O1019" t="str">
        <f>CONCATENATE(Query1[[#This Row],[Description]]," - ",Query1[[#This Row],[MB1]]," - ",Query1[[#This Row],[MB2]]," - ",Query1[[#This Row],[MB3]])</f>
        <v>EVAP KIT 67-72 CHEV P-UP WO AC - 830014 - 0 - 0</v>
      </c>
    </row>
    <row r="1020" spans="1:15" x14ac:dyDescent="0.25">
      <c r="A1020" s="1">
        <v>911584</v>
      </c>
      <c r="B1020" s="1" t="s">
        <v>52</v>
      </c>
      <c r="C1020" s="1" t="s">
        <v>53</v>
      </c>
      <c r="D1020" s="2">
        <v>44610.370421412037</v>
      </c>
      <c r="E1020" s="1" t="s">
        <v>8</v>
      </c>
      <c r="F1020" s="1">
        <v>1</v>
      </c>
      <c r="G1020" s="1">
        <v>0</v>
      </c>
      <c r="H1020" s="6">
        <f>INT(Query1[[#This Row],[EntryDateTime]])</f>
        <v>44610</v>
      </c>
      <c r="I1020" s="1">
        <f>IF(Query1[[#This Row],[ItemType]]="EVAP KIT SF GEN IV",Query1[[#This Row],[OrderQty]]+I1019,I1019)</f>
        <v>1146</v>
      </c>
      <c r="J1020" s="1">
        <f>IF(Query1[[#This Row],[ItemType]]="EVAP KIT UNIVERSAL",Query1[[#This Row],[OrderQty]]+J1019,J1019)</f>
        <v>492</v>
      </c>
      <c r="K1020" s="1">
        <f>Query1[[#This Row],[SF Running Total]]+Query1[[#This Row],[UNIV Running Total]]</f>
        <v>1638</v>
      </c>
      <c r="L1020">
        <f>VLOOKUP(Query1[[#This Row],[Description]],'kits to boards'!$B$2:$E$156,2,FALSE)</f>
        <v>830017</v>
      </c>
      <c r="M1020">
        <f>VLOOKUP(Query1[[#This Row],[Description]],'kits to boards'!$B$2:$E$156,3,FALSE)</f>
        <v>830119</v>
      </c>
      <c r="N1020">
        <f>VLOOKUP(Query1[[#This Row],[Description]],'kits to boards'!$B$2:$E$156,4,FALSE)</f>
        <v>830120</v>
      </c>
      <c r="O1020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1021" spans="1:15" x14ac:dyDescent="0.25">
      <c r="A1021" s="1">
        <v>911590</v>
      </c>
      <c r="B1021" s="1" t="s">
        <v>98</v>
      </c>
      <c r="C1021" s="1" t="s">
        <v>99</v>
      </c>
      <c r="D1021" s="2">
        <v>44610.38438171296</v>
      </c>
      <c r="E1021" s="1" t="s">
        <v>11</v>
      </c>
      <c r="F1021" s="1">
        <v>2</v>
      </c>
      <c r="G1021" s="1">
        <v>0</v>
      </c>
      <c r="H1021" s="6">
        <f>INT(Query1[[#This Row],[EntryDateTime]])</f>
        <v>44610</v>
      </c>
      <c r="I1021" s="1">
        <f>IF(Query1[[#This Row],[ItemType]]="EVAP KIT SF GEN IV",Query1[[#This Row],[OrderQty]]+I1020,I1020)</f>
        <v>1146</v>
      </c>
      <c r="J1021" s="1">
        <f>IF(Query1[[#This Row],[ItemType]]="EVAP KIT UNIVERSAL",Query1[[#This Row],[OrderQty]]+J1020,J1020)</f>
        <v>494</v>
      </c>
      <c r="K1021" s="1">
        <f>Query1[[#This Row],[SF Running Total]]+Query1[[#This Row],[UNIV Running Total]]</f>
        <v>1640</v>
      </c>
      <c r="L1021">
        <f>VLOOKUP(Query1[[#This Row],[Description]],'kits to boards'!$B$2:$E$156,2,FALSE)</f>
        <v>830099</v>
      </c>
      <c r="M1021">
        <f>VLOOKUP(Query1[[#This Row],[Description]],'kits to boards'!$B$2:$E$156,3,FALSE)</f>
        <v>0</v>
      </c>
      <c r="N1021">
        <f>VLOOKUP(Query1[[#This Row],[Description]],'kits to boards'!$B$2:$E$156,4,FALSE)</f>
        <v>0</v>
      </c>
      <c r="O1021" t="str">
        <f>CONCATENATE(Query1[[#This Row],[Description]]," - ",Query1[[#This Row],[MB1]]," - ",Query1[[#This Row],[MB2]]," - ",Query1[[#This Row],[MB3]])</f>
        <v>MINI GEN II W/DEF - 830099 - 0 - 0</v>
      </c>
    </row>
    <row r="1022" spans="1:15" x14ac:dyDescent="0.25">
      <c r="A1022" s="1">
        <v>911590</v>
      </c>
      <c r="B1022" s="1" t="s">
        <v>24</v>
      </c>
      <c r="C1022" s="1" t="s">
        <v>25</v>
      </c>
      <c r="D1022" s="2">
        <v>44610.384478125001</v>
      </c>
      <c r="E1022" s="1" t="s">
        <v>11</v>
      </c>
      <c r="F1022" s="1">
        <v>2</v>
      </c>
      <c r="G1022" s="1">
        <v>0</v>
      </c>
      <c r="H1022" s="6">
        <f>INT(Query1[[#This Row],[EntryDateTime]])</f>
        <v>44610</v>
      </c>
      <c r="I1022" s="1">
        <f>IF(Query1[[#This Row],[ItemType]]="EVAP KIT SF GEN IV",Query1[[#This Row],[OrderQty]]+I1021,I1021)</f>
        <v>1146</v>
      </c>
      <c r="J1022" s="1">
        <f>IF(Query1[[#This Row],[ItemType]]="EVAP KIT UNIVERSAL",Query1[[#This Row],[OrderQty]]+J1021,J1021)</f>
        <v>496</v>
      </c>
      <c r="K1022" s="1">
        <f>Query1[[#This Row],[SF Running Total]]+Query1[[#This Row],[UNIV Running Total]]</f>
        <v>1642</v>
      </c>
      <c r="L1022">
        <f>VLOOKUP(Query1[[#This Row],[Description]],'kits to boards'!$B$2:$E$156,2,FALSE)</f>
        <v>830029</v>
      </c>
      <c r="M1022">
        <f>VLOOKUP(Query1[[#This Row],[Description]],'kits to boards'!$B$2:$E$156,3,FALSE)</f>
        <v>830030</v>
      </c>
      <c r="N1022">
        <f>VLOOKUP(Query1[[#This Row],[Description]],'kits to boards'!$B$2:$E$156,4,FALSE)</f>
        <v>0</v>
      </c>
      <c r="O1022" t="str">
        <f>CONCATENATE(Query1[[#This Row],[Description]]," - ",Query1[[#This Row],[MB1]]," - ",Query1[[#This Row],[MB2]]," - ",Query1[[#This Row],[MB3]])</f>
        <v>ComPac GEN II W/DEF - 830029 - 830030 - 0</v>
      </c>
    </row>
    <row r="1023" spans="1:15" x14ac:dyDescent="0.25">
      <c r="A1023" s="1">
        <v>911593</v>
      </c>
      <c r="B1023" s="1" t="s">
        <v>16</v>
      </c>
      <c r="C1023" s="1" t="s">
        <v>17</v>
      </c>
      <c r="D1023" s="2">
        <v>44610.398702280094</v>
      </c>
      <c r="E1023" s="1" t="s">
        <v>8</v>
      </c>
      <c r="F1023" s="1">
        <v>1</v>
      </c>
      <c r="G1023" s="1">
        <v>0</v>
      </c>
      <c r="H1023" s="6">
        <f>INT(Query1[[#This Row],[EntryDateTime]])</f>
        <v>44610</v>
      </c>
      <c r="I1023" s="1">
        <f>IF(Query1[[#This Row],[ItemType]]="EVAP KIT SF GEN IV",Query1[[#This Row],[OrderQty]]+I1022,I1022)</f>
        <v>1147</v>
      </c>
      <c r="J1023" s="1">
        <f>IF(Query1[[#This Row],[ItemType]]="EVAP KIT UNIVERSAL",Query1[[#This Row],[OrderQty]]+J1022,J1022)</f>
        <v>496</v>
      </c>
      <c r="K1023" s="1">
        <f>Query1[[#This Row],[SF Running Total]]+Query1[[#This Row],[UNIV Running Total]]</f>
        <v>1643</v>
      </c>
      <c r="L1023">
        <f>VLOOKUP(Query1[[#This Row],[Description]],'kits to boards'!$B$2:$E$156,2,FALSE)</f>
        <v>830061</v>
      </c>
      <c r="M1023">
        <f>VLOOKUP(Query1[[#This Row],[Description]],'kits to boards'!$B$2:$E$156,3,FALSE)</f>
        <v>0</v>
      </c>
      <c r="N1023">
        <f>VLOOKUP(Query1[[#This Row],[Description]],'kits to boards'!$B$2:$E$156,4,FALSE)</f>
        <v>0</v>
      </c>
      <c r="O1023" t="str">
        <f>CONCATENATE(Query1[[#This Row],[Description]]," - ",Query1[[#This Row],[MB1]]," - ",Query1[[#This Row],[MB2]]," - ",Query1[[#This Row],[MB3]])</f>
        <v>EVAP KIT 68-69 CHEVELLE W/AC - 830061 - 0 - 0</v>
      </c>
    </row>
    <row r="1024" spans="1:15" x14ac:dyDescent="0.25">
      <c r="A1024" s="1">
        <v>911585</v>
      </c>
      <c r="B1024" s="1" t="s">
        <v>86</v>
      </c>
      <c r="C1024" s="1" t="s">
        <v>87</v>
      </c>
      <c r="D1024" s="2">
        <v>44610.402753854163</v>
      </c>
      <c r="E1024" s="1" t="s">
        <v>8</v>
      </c>
      <c r="F1024" s="1">
        <v>2</v>
      </c>
      <c r="G1024" s="1">
        <v>0</v>
      </c>
      <c r="H1024" s="6">
        <f>INT(Query1[[#This Row],[EntryDateTime]])</f>
        <v>44610</v>
      </c>
      <c r="I1024" s="1">
        <f>IF(Query1[[#This Row],[ItemType]]="EVAP KIT SF GEN IV",Query1[[#This Row],[OrderQty]]+I1023,I1023)</f>
        <v>1149</v>
      </c>
      <c r="J1024" s="1">
        <f>IF(Query1[[#This Row],[ItemType]]="EVAP KIT UNIVERSAL",Query1[[#This Row],[OrderQty]]+J1023,J1023)</f>
        <v>496</v>
      </c>
      <c r="K1024" s="1">
        <f>Query1[[#This Row],[SF Running Total]]+Query1[[#This Row],[UNIV Running Total]]</f>
        <v>1645</v>
      </c>
      <c r="L1024">
        <f>VLOOKUP(Query1[[#This Row],[Description]],'kits to boards'!$B$2:$E$156,2,FALSE)</f>
        <v>830048</v>
      </c>
      <c r="M1024">
        <f>VLOOKUP(Query1[[#This Row],[Description]],'kits to boards'!$B$2:$E$156,3,FALSE)</f>
        <v>0</v>
      </c>
      <c r="N1024">
        <f>VLOOKUP(Query1[[#This Row],[Description]],'kits to boards'!$B$2:$E$156,4,FALSE)</f>
        <v>0</v>
      </c>
      <c r="O1024" t="str">
        <f>CONCATENATE(Query1[[#This Row],[Description]]," - ",Query1[[#This Row],[MB1]]," - ",Query1[[#This Row],[MB2]]," - ",Query1[[#This Row],[MB3]])</f>
        <v>EVAP KIT 66-67 NOVA - 830048 - 0 - 0</v>
      </c>
    </row>
    <row r="1025" spans="1:15" x14ac:dyDescent="0.25">
      <c r="A1025" s="1">
        <v>911585</v>
      </c>
      <c r="B1025" s="1" t="s">
        <v>52</v>
      </c>
      <c r="C1025" s="1" t="s">
        <v>53</v>
      </c>
      <c r="D1025" s="2">
        <v>44610.403173344908</v>
      </c>
      <c r="E1025" s="1" t="s">
        <v>8</v>
      </c>
      <c r="F1025" s="1">
        <v>1</v>
      </c>
      <c r="G1025" s="1">
        <v>0</v>
      </c>
      <c r="H1025" s="6">
        <f>INT(Query1[[#This Row],[EntryDateTime]])</f>
        <v>44610</v>
      </c>
      <c r="I1025" s="1">
        <f>IF(Query1[[#This Row],[ItemType]]="EVAP KIT SF GEN IV",Query1[[#This Row],[OrderQty]]+I1024,I1024)</f>
        <v>1150</v>
      </c>
      <c r="J1025" s="1">
        <f>IF(Query1[[#This Row],[ItemType]]="EVAP KIT UNIVERSAL",Query1[[#This Row],[OrderQty]]+J1024,J1024)</f>
        <v>496</v>
      </c>
      <c r="K1025" s="1">
        <f>Query1[[#This Row],[SF Running Total]]+Query1[[#This Row],[UNIV Running Total]]</f>
        <v>1646</v>
      </c>
      <c r="L1025">
        <f>VLOOKUP(Query1[[#This Row],[Description]],'kits to boards'!$B$2:$E$156,2,FALSE)</f>
        <v>830017</v>
      </c>
      <c r="M1025">
        <f>VLOOKUP(Query1[[#This Row],[Description]],'kits to boards'!$B$2:$E$156,3,FALSE)</f>
        <v>830119</v>
      </c>
      <c r="N1025">
        <f>VLOOKUP(Query1[[#This Row],[Description]],'kits to boards'!$B$2:$E$156,4,FALSE)</f>
        <v>830120</v>
      </c>
      <c r="O1025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1026" spans="1:15" x14ac:dyDescent="0.25">
      <c r="A1026" s="1">
        <v>911585</v>
      </c>
      <c r="B1026" s="1" t="s">
        <v>34</v>
      </c>
      <c r="C1026" s="1" t="s">
        <v>35</v>
      </c>
      <c r="D1026" s="2">
        <v>44610.403531562501</v>
      </c>
      <c r="E1026" s="1" t="s">
        <v>8</v>
      </c>
      <c r="F1026" s="1">
        <v>1</v>
      </c>
      <c r="G1026" s="1">
        <v>0</v>
      </c>
      <c r="H1026" s="6">
        <f>INT(Query1[[#This Row],[EntryDateTime]])</f>
        <v>44610</v>
      </c>
      <c r="I1026" s="1">
        <f>IF(Query1[[#This Row],[ItemType]]="EVAP KIT SF GEN IV",Query1[[#This Row],[OrderQty]]+I1025,I1025)</f>
        <v>1151</v>
      </c>
      <c r="J1026" s="1">
        <f>IF(Query1[[#This Row],[ItemType]]="EVAP KIT UNIVERSAL",Query1[[#This Row],[OrderQty]]+J1025,J1025)</f>
        <v>496</v>
      </c>
      <c r="K1026" s="1">
        <f>Query1[[#This Row],[SF Running Total]]+Query1[[#This Row],[UNIV Running Total]]</f>
        <v>1647</v>
      </c>
      <c r="L1026">
        <f>VLOOKUP(Query1[[#This Row],[Description]],'kits to boards'!$B$2:$E$156,2,FALSE)</f>
        <v>830065</v>
      </c>
      <c r="M1026">
        <f>VLOOKUP(Query1[[#This Row],[Description]],'kits to boards'!$B$2:$E$156,3,FALSE)</f>
        <v>0</v>
      </c>
      <c r="N1026">
        <f>VLOOKUP(Query1[[#This Row],[Description]],'kits to boards'!$B$2:$E$156,4,FALSE)</f>
        <v>0</v>
      </c>
      <c r="O1026" t="str">
        <f>CONCATENATE(Query1[[#This Row],[Description]]," - ",Query1[[#This Row],[MB1]]," - ",Query1[[#This Row],[MB2]]," - ",Query1[[#This Row],[MB3]])</f>
        <v>EVAP KIT 57 CHEV WO AC - 830065 - 0 - 0</v>
      </c>
    </row>
    <row r="1027" spans="1:15" x14ac:dyDescent="0.25">
      <c r="A1027" s="1">
        <v>911585</v>
      </c>
      <c r="B1027" s="1" t="s">
        <v>20</v>
      </c>
      <c r="C1027" s="1" t="s">
        <v>21</v>
      </c>
      <c r="D1027" s="2">
        <v>44610.403957256945</v>
      </c>
      <c r="E1027" s="1" t="s">
        <v>11</v>
      </c>
      <c r="F1027" s="1">
        <v>15</v>
      </c>
      <c r="G1027" s="1">
        <v>0</v>
      </c>
      <c r="H1027" s="6">
        <f>INT(Query1[[#This Row],[EntryDateTime]])</f>
        <v>44610</v>
      </c>
      <c r="I1027" s="1">
        <f>IF(Query1[[#This Row],[ItemType]]="EVAP KIT SF GEN IV",Query1[[#This Row],[OrderQty]]+I1026,I1026)</f>
        <v>1151</v>
      </c>
      <c r="J1027" s="1">
        <f>IF(Query1[[#This Row],[ItemType]]="EVAP KIT UNIVERSAL",Query1[[#This Row],[OrderQty]]+J1026,J1026)</f>
        <v>511</v>
      </c>
      <c r="K1027" s="1">
        <f>Query1[[#This Row],[SF Running Total]]+Query1[[#This Row],[UNIV Running Total]]</f>
        <v>1662</v>
      </c>
      <c r="L1027">
        <f>VLOOKUP(Query1[[#This Row],[Description]],'kits to boards'!$B$2:$E$156,2,FALSE)</f>
        <v>830102</v>
      </c>
      <c r="M1027">
        <f>VLOOKUP(Query1[[#This Row],[Description]],'kits to boards'!$B$2:$E$156,3,FALSE)</f>
        <v>0</v>
      </c>
      <c r="N1027">
        <f>VLOOKUP(Query1[[#This Row],[Description]],'kits to boards'!$B$2:$E$156,4,FALSE)</f>
        <v>0</v>
      </c>
      <c r="O1027" t="str">
        <f>CONCATENATE(Query1[[#This Row],[Description]]," - ",Query1[[#This Row],[MB1]]," - ",Query1[[#This Row],[MB2]]," - ",Query1[[#This Row],[MB3]])</f>
        <v>SUPER GEN II W/DEF - 830102 - 0 - 0</v>
      </c>
    </row>
    <row r="1028" spans="1:15" x14ac:dyDescent="0.25">
      <c r="A1028" s="1">
        <v>911585</v>
      </c>
      <c r="B1028" s="1" t="s">
        <v>76</v>
      </c>
      <c r="C1028" s="1" t="s">
        <v>77</v>
      </c>
      <c r="D1028" s="2">
        <v>44610.404837696762</v>
      </c>
      <c r="E1028" s="1" t="s">
        <v>11</v>
      </c>
      <c r="F1028" s="1">
        <v>1</v>
      </c>
      <c r="G1028" s="1">
        <v>0</v>
      </c>
      <c r="H1028" s="6">
        <f>INT(Query1[[#This Row],[EntryDateTime]])</f>
        <v>44610</v>
      </c>
      <c r="I1028" s="1">
        <f>IF(Query1[[#This Row],[ItemType]]="EVAP KIT SF GEN IV",Query1[[#This Row],[OrderQty]]+I1027,I1027)</f>
        <v>1151</v>
      </c>
      <c r="J1028" s="1">
        <f>IF(Query1[[#This Row],[ItemType]]="EVAP KIT UNIVERSAL",Query1[[#This Row],[OrderQty]]+J1027,J1027)</f>
        <v>512</v>
      </c>
      <c r="K1028" s="1">
        <f>Query1[[#This Row],[SF Running Total]]+Query1[[#This Row],[UNIV Running Total]]</f>
        <v>1663</v>
      </c>
      <c r="L1028">
        <f>VLOOKUP(Query1[[#This Row],[Description]],'kits to boards'!$B$2:$E$156,2,FALSE)</f>
        <v>830099</v>
      </c>
      <c r="M1028">
        <f>VLOOKUP(Query1[[#This Row],[Description]],'kits to boards'!$B$2:$E$156,3,FALSE)</f>
        <v>0</v>
      </c>
      <c r="N1028">
        <f>VLOOKUP(Query1[[#This Row],[Description]],'kits to boards'!$B$2:$E$156,4,FALSE)</f>
        <v>0</v>
      </c>
      <c r="O1028" t="str">
        <f>CONCATENATE(Query1[[#This Row],[Description]]," - ",Query1[[#This Row],[MB1]]," - ",Query1[[#This Row],[MB2]]," - ",Query1[[#This Row],[MB3]])</f>
        <v>MINI GEN II H/C - 830099 - 0 - 0</v>
      </c>
    </row>
    <row r="1029" spans="1:15" x14ac:dyDescent="0.25">
      <c r="A1029" s="1">
        <v>911585</v>
      </c>
      <c r="B1029" s="1" t="s">
        <v>120</v>
      </c>
      <c r="C1029" s="1" t="s">
        <v>121</v>
      </c>
      <c r="D1029" s="2">
        <v>44610.406254479167</v>
      </c>
      <c r="E1029" s="1" t="s">
        <v>8</v>
      </c>
      <c r="F1029" s="1">
        <v>1</v>
      </c>
      <c r="G1029" s="1">
        <v>0</v>
      </c>
      <c r="H1029" s="6">
        <f>INT(Query1[[#This Row],[EntryDateTime]])</f>
        <v>44610</v>
      </c>
      <c r="I1029" s="1">
        <f>IF(Query1[[#This Row],[ItemType]]="EVAP KIT SF GEN IV",Query1[[#This Row],[OrderQty]]+I1028,I1028)</f>
        <v>1152</v>
      </c>
      <c r="J1029" s="1">
        <f>IF(Query1[[#This Row],[ItemType]]="EVAP KIT UNIVERSAL",Query1[[#This Row],[OrderQty]]+J1028,J1028)</f>
        <v>512</v>
      </c>
      <c r="K1029" s="1">
        <f>Query1[[#This Row],[SF Running Total]]+Query1[[#This Row],[UNIV Running Total]]</f>
        <v>1664</v>
      </c>
      <c r="L1029">
        <f>VLOOKUP(Query1[[#This Row],[Description]],'kits to boards'!$B$2:$E$156,2,FALSE)</f>
        <v>830014</v>
      </c>
      <c r="M1029">
        <f>VLOOKUP(Query1[[#This Row],[Description]],'kits to boards'!$B$2:$E$156,3,FALSE)</f>
        <v>0</v>
      </c>
      <c r="N1029">
        <f>VLOOKUP(Query1[[#This Row],[Description]],'kits to boards'!$B$2:$E$156,4,FALSE)</f>
        <v>0</v>
      </c>
      <c r="O1029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1030" spans="1:15" x14ac:dyDescent="0.25">
      <c r="A1030" s="1">
        <v>911596</v>
      </c>
      <c r="B1030" s="1" t="s">
        <v>88</v>
      </c>
      <c r="C1030" s="1" t="s">
        <v>89</v>
      </c>
      <c r="D1030" s="2">
        <v>44610.406670370372</v>
      </c>
      <c r="E1030" s="1" t="s">
        <v>8</v>
      </c>
      <c r="F1030" s="1">
        <v>1</v>
      </c>
      <c r="G1030" s="1">
        <v>0</v>
      </c>
      <c r="H1030" s="6">
        <f>INT(Query1[[#This Row],[EntryDateTime]])</f>
        <v>44610</v>
      </c>
      <c r="I1030" s="1">
        <f>IF(Query1[[#This Row],[ItemType]]="EVAP KIT SF GEN IV",Query1[[#This Row],[OrderQty]]+I1029,I1029)</f>
        <v>1153</v>
      </c>
      <c r="J1030" s="1">
        <f>IF(Query1[[#This Row],[ItemType]]="EVAP KIT UNIVERSAL",Query1[[#This Row],[OrderQty]]+J1029,J1029)</f>
        <v>512</v>
      </c>
      <c r="K1030" s="1">
        <f>Query1[[#This Row],[SF Running Total]]+Query1[[#This Row],[UNIV Running Total]]</f>
        <v>1665</v>
      </c>
      <c r="L1030">
        <f>VLOOKUP(Query1[[#This Row],[Description]],'kits to boards'!$B$2:$E$156,2,FALSE)</f>
        <v>830003</v>
      </c>
      <c r="M1030">
        <f>VLOOKUP(Query1[[#This Row],[Description]],'kits to boards'!$B$2:$E$156,3,FALSE)</f>
        <v>0</v>
      </c>
      <c r="N1030">
        <f>VLOOKUP(Query1[[#This Row],[Description]],'kits to boards'!$B$2:$E$156,4,FALSE)</f>
        <v>0</v>
      </c>
      <c r="O1030" t="str">
        <f>CONCATENATE(Query1[[#This Row],[Description]]," - ",Query1[[#This Row],[MB1]]," - ",Query1[[#This Row],[MB2]]," - ",Query1[[#This Row],[MB3]])</f>
        <v>EVAP KIT 81-87 CHEV P-UP WO AC - 830003 - 0 - 0</v>
      </c>
    </row>
    <row r="1031" spans="1:15" x14ac:dyDescent="0.25">
      <c r="A1031" s="1">
        <v>911601</v>
      </c>
      <c r="B1031" s="1" t="s">
        <v>108</v>
      </c>
      <c r="C1031" s="1" t="s">
        <v>109</v>
      </c>
      <c r="D1031" s="2">
        <v>44610.411413969909</v>
      </c>
      <c r="E1031" s="1" t="s">
        <v>8</v>
      </c>
      <c r="F1031" s="1">
        <v>1</v>
      </c>
      <c r="G1031" s="1">
        <v>0</v>
      </c>
      <c r="H1031" s="6">
        <f>INT(Query1[[#This Row],[EntryDateTime]])</f>
        <v>44610</v>
      </c>
      <c r="I1031" s="1">
        <f>IF(Query1[[#This Row],[ItemType]]="EVAP KIT SF GEN IV",Query1[[#This Row],[OrderQty]]+I1030,I1030)</f>
        <v>1154</v>
      </c>
      <c r="J1031" s="1">
        <f>IF(Query1[[#This Row],[ItemType]]="EVAP KIT UNIVERSAL",Query1[[#This Row],[OrderQty]]+J1030,J1030)</f>
        <v>512</v>
      </c>
      <c r="K1031" s="1">
        <f>Query1[[#This Row],[SF Running Total]]+Query1[[#This Row],[UNIV Running Total]]</f>
        <v>1666</v>
      </c>
      <c r="L1031">
        <f>VLOOKUP(Query1[[#This Row],[Description]],'kits to boards'!$B$2:$E$156,2,FALSE)</f>
        <v>830105</v>
      </c>
      <c r="M1031">
        <f>VLOOKUP(Query1[[#This Row],[Description]],'kits to boards'!$B$2:$E$156,3,FALSE)</f>
        <v>830106</v>
      </c>
      <c r="N1031">
        <f>VLOOKUP(Query1[[#This Row],[Description]],'kits to boards'!$B$2:$E$156,4,FALSE)</f>
        <v>0</v>
      </c>
      <c r="O1031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1032" spans="1:15" x14ac:dyDescent="0.25">
      <c r="A1032" s="1">
        <v>911602</v>
      </c>
      <c r="B1032" s="1" t="s">
        <v>34</v>
      </c>
      <c r="C1032" s="1" t="s">
        <v>35</v>
      </c>
      <c r="D1032" s="2">
        <v>44610.412213113428</v>
      </c>
      <c r="E1032" s="1" t="s">
        <v>8</v>
      </c>
      <c r="F1032" s="1">
        <v>1</v>
      </c>
      <c r="G1032" s="1">
        <v>0</v>
      </c>
      <c r="H1032" s="6">
        <f>INT(Query1[[#This Row],[EntryDateTime]])</f>
        <v>44610</v>
      </c>
      <c r="I1032" s="1">
        <f>IF(Query1[[#This Row],[ItemType]]="EVAP KIT SF GEN IV",Query1[[#This Row],[OrderQty]]+I1031,I1031)</f>
        <v>1155</v>
      </c>
      <c r="J1032" s="1">
        <f>IF(Query1[[#This Row],[ItemType]]="EVAP KIT UNIVERSAL",Query1[[#This Row],[OrderQty]]+J1031,J1031)</f>
        <v>512</v>
      </c>
      <c r="K1032" s="1">
        <f>Query1[[#This Row],[SF Running Total]]+Query1[[#This Row],[UNIV Running Total]]</f>
        <v>1667</v>
      </c>
      <c r="L1032">
        <f>VLOOKUP(Query1[[#This Row],[Description]],'kits to boards'!$B$2:$E$156,2,FALSE)</f>
        <v>830065</v>
      </c>
      <c r="M1032">
        <f>VLOOKUP(Query1[[#This Row],[Description]],'kits to boards'!$B$2:$E$156,3,FALSE)</f>
        <v>0</v>
      </c>
      <c r="N1032">
        <f>VLOOKUP(Query1[[#This Row],[Description]],'kits to boards'!$B$2:$E$156,4,FALSE)</f>
        <v>0</v>
      </c>
      <c r="O1032" t="str">
        <f>CONCATENATE(Query1[[#This Row],[Description]]," - ",Query1[[#This Row],[MB1]]," - ",Query1[[#This Row],[MB2]]," - ",Query1[[#This Row],[MB3]])</f>
        <v>EVAP KIT 57 CHEV WO AC - 830065 - 0 - 0</v>
      </c>
    </row>
    <row r="1033" spans="1:15" x14ac:dyDescent="0.25">
      <c r="A1033" s="1">
        <v>911603</v>
      </c>
      <c r="B1033" s="1" t="s">
        <v>160</v>
      </c>
      <c r="C1033" s="1" t="s">
        <v>161</v>
      </c>
      <c r="D1033" s="2">
        <v>44610.413265509262</v>
      </c>
      <c r="E1033" s="1" t="s">
        <v>8</v>
      </c>
      <c r="F1033" s="1">
        <v>1</v>
      </c>
      <c r="G1033" s="1">
        <v>0</v>
      </c>
      <c r="H1033" s="6">
        <f>INT(Query1[[#This Row],[EntryDateTime]])</f>
        <v>44610</v>
      </c>
      <c r="I1033" s="1">
        <f>IF(Query1[[#This Row],[ItemType]]="EVAP KIT SF GEN IV",Query1[[#This Row],[OrderQty]]+I1032,I1032)</f>
        <v>1156</v>
      </c>
      <c r="J1033" s="1">
        <f>IF(Query1[[#This Row],[ItemType]]="EVAP KIT UNIVERSAL",Query1[[#This Row],[OrderQty]]+J1032,J1032)</f>
        <v>512</v>
      </c>
      <c r="K1033" s="1">
        <f>Query1[[#This Row],[SF Running Total]]+Query1[[#This Row],[UNIV Running Total]]</f>
        <v>1668</v>
      </c>
      <c r="L1033">
        <f>VLOOKUP(Query1[[#This Row],[Description]],'kits to boards'!$B$2:$E$156,2,FALSE)</f>
        <v>830083</v>
      </c>
      <c r="M1033">
        <f>VLOOKUP(Query1[[#This Row],[Description]],'kits to boards'!$B$2:$E$156,3,FALSE)</f>
        <v>0</v>
      </c>
      <c r="N1033">
        <f>VLOOKUP(Query1[[#This Row],[Description]],'kits to boards'!$B$2:$E$156,4,FALSE)</f>
        <v>0</v>
      </c>
      <c r="O1033" t="str">
        <f>CONCATENATE(Query1[[#This Row],[Description]]," - ",Query1[[#This Row],[MB1]]," - ",Query1[[#This Row],[MB2]]," - ",Query1[[#This Row],[MB3]])</f>
        <v>EVAP KIT 70-74 CHALNGR/CUDA WO AC - 830083 - 0 - 0</v>
      </c>
    </row>
    <row r="1034" spans="1:15" x14ac:dyDescent="0.25">
      <c r="A1034" s="1">
        <v>911604</v>
      </c>
      <c r="B1034" s="1" t="s">
        <v>122</v>
      </c>
      <c r="C1034" s="1" t="s">
        <v>123</v>
      </c>
      <c r="D1034" s="2">
        <v>44610.415846446762</v>
      </c>
      <c r="E1034" s="1" t="s">
        <v>8</v>
      </c>
      <c r="F1034" s="1">
        <v>1</v>
      </c>
      <c r="G1034" s="1">
        <v>0</v>
      </c>
      <c r="H1034" s="6">
        <f>INT(Query1[[#This Row],[EntryDateTime]])</f>
        <v>44610</v>
      </c>
      <c r="I1034" s="1">
        <f>IF(Query1[[#This Row],[ItemType]]="EVAP KIT SF GEN IV",Query1[[#This Row],[OrderQty]]+I1033,I1033)</f>
        <v>1157</v>
      </c>
      <c r="J1034" s="1">
        <f>IF(Query1[[#This Row],[ItemType]]="EVAP KIT UNIVERSAL",Query1[[#This Row],[OrderQty]]+J1033,J1033)</f>
        <v>512</v>
      </c>
      <c r="K1034" s="1">
        <f>Query1[[#This Row],[SF Running Total]]+Query1[[#This Row],[UNIV Running Total]]</f>
        <v>1669</v>
      </c>
      <c r="L1034">
        <f>VLOOKUP(Query1[[#This Row],[Description]],'kits to boards'!$B$2:$E$156,2,FALSE)</f>
        <v>830027</v>
      </c>
      <c r="M1034">
        <f>VLOOKUP(Query1[[#This Row],[Description]],'kits to boards'!$B$2:$E$156,3,FALSE)</f>
        <v>0</v>
      </c>
      <c r="N1034">
        <f>VLOOKUP(Query1[[#This Row],[Description]],'kits to boards'!$B$2:$E$156,4,FALSE)</f>
        <v>0</v>
      </c>
      <c r="O1034" t="str">
        <f>CONCATENATE(Query1[[#This Row],[Description]]," - ",Query1[[#This Row],[MB1]]," - ",Query1[[#This Row],[MB2]]," - ",Query1[[#This Row],[MB3]])</f>
        <v>EVAP KIT 70-72 CUTLASS W/AC - 830027 - 0 - 0</v>
      </c>
    </row>
    <row r="1035" spans="1:15" x14ac:dyDescent="0.25">
      <c r="A1035" s="1">
        <v>911607</v>
      </c>
      <c r="B1035" s="1" t="s">
        <v>44</v>
      </c>
      <c r="C1035" s="1" t="s">
        <v>45</v>
      </c>
      <c r="D1035" s="2">
        <v>44610.418000034719</v>
      </c>
      <c r="E1035" s="1" t="s">
        <v>8</v>
      </c>
      <c r="F1035" s="1">
        <v>1</v>
      </c>
      <c r="G1035" s="1">
        <v>0</v>
      </c>
      <c r="H1035" s="6">
        <f>INT(Query1[[#This Row],[EntryDateTime]])</f>
        <v>44610</v>
      </c>
      <c r="I1035" s="1">
        <f>IF(Query1[[#This Row],[ItemType]]="EVAP KIT SF GEN IV",Query1[[#This Row],[OrderQty]]+I1034,I1034)</f>
        <v>1158</v>
      </c>
      <c r="J1035" s="1">
        <f>IF(Query1[[#This Row],[ItemType]]="EVAP KIT UNIVERSAL",Query1[[#This Row],[OrderQty]]+J1034,J1034)</f>
        <v>512</v>
      </c>
      <c r="K1035" s="1">
        <f>Query1[[#This Row],[SF Running Total]]+Query1[[#This Row],[UNIV Running Total]]</f>
        <v>1670</v>
      </c>
      <c r="L1035">
        <f>VLOOKUP(Query1[[#This Row],[Description]],'kits to boards'!$B$2:$E$156,2,FALSE)</f>
        <v>830085</v>
      </c>
      <c r="M1035">
        <f>VLOOKUP(Query1[[#This Row],[Description]],'kits to boards'!$B$2:$E$156,3,FALSE)</f>
        <v>0</v>
      </c>
      <c r="N1035">
        <f>VLOOKUP(Query1[[#This Row],[Description]],'kits to boards'!$B$2:$E$156,4,FALSE)</f>
        <v>0</v>
      </c>
      <c r="O1035" t="str">
        <f>CONCATENATE(Query1[[#This Row],[Description]]," - ",Query1[[#This Row],[MB1]]," - ",Query1[[#This Row],[MB2]]," - ",Query1[[#This Row],[MB3]])</f>
        <v>EVAP KIT 66-77 BRONCO - 830085 - 0 - 0</v>
      </c>
    </row>
    <row r="1036" spans="1:15" x14ac:dyDescent="0.25">
      <c r="A1036" s="1">
        <v>911612</v>
      </c>
      <c r="B1036" s="1" t="s">
        <v>74</v>
      </c>
      <c r="C1036" s="1" t="s">
        <v>75</v>
      </c>
      <c r="D1036" s="2">
        <v>44610.43419644676</v>
      </c>
      <c r="E1036" s="1" t="s">
        <v>8</v>
      </c>
      <c r="F1036" s="1">
        <v>1</v>
      </c>
      <c r="G1036" s="1">
        <v>0</v>
      </c>
      <c r="H1036" s="6">
        <f>INT(Query1[[#This Row],[EntryDateTime]])</f>
        <v>44610</v>
      </c>
      <c r="I1036" s="1">
        <f>IF(Query1[[#This Row],[ItemType]]="EVAP KIT SF GEN IV",Query1[[#This Row],[OrderQty]]+I1035,I1035)</f>
        <v>1159</v>
      </c>
      <c r="J1036" s="1">
        <f>IF(Query1[[#This Row],[ItemType]]="EVAP KIT UNIVERSAL",Query1[[#This Row],[OrderQty]]+J1035,J1035)</f>
        <v>512</v>
      </c>
      <c r="K1036" s="1">
        <f>Query1[[#This Row],[SF Running Total]]+Query1[[#This Row],[UNIV Running Total]]</f>
        <v>1671</v>
      </c>
      <c r="L1036">
        <f>VLOOKUP(Query1[[#This Row],[Description]],'kits to boards'!$B$2:$E$156,2,FALSE)</f>
        <v>830065</v>
      </c>
      <c r="M1036">
        <f>VLOOKUP(Query1[[#This Row],[Description]],'kits to boards'!$B$2:$E$156,3,FALSE)</f>
        <v>0</v>
      </c>
      <c r="N1036">
        <f>VLOOKUP(Query1[[#This Row],[Description]],'kits to boards'!$B$2:$E$156,4,FALSE)</f>
        <v>0</v>
      </c>
      <c r="O1036" t="str">
        <f>CONCATENATE(Query1[[#This Row],[Description]]," - ",Query1[[#This Row],[MB1]]," - ",Query1[[#This Row],[MB2]]," - ",Query1[[#This Row],[MB3]])</f>
        <v>EVAP KIT 57 CHEV WO AC 4-VENT PLENUM - 830065 - 0 - 0</v>
      </c>
    </row>
    <row r="1037" spans="1:15" x14ac:dyDescent="0.25">
      <c r="A1037" s="1">
        <v>911615</v>
      </c>
      <c r="B1037" s="1" t="s">
        <v>9</v>
      </c>
      <c r="C1037" s="1" t="s">
        <v>10</v>
      </c>
      <c r="D1037" s="2">
        <v>44610.439420752315</v>
      </c>
      <c r="E1037" s="1" t="s">
        <v>11</v>
      </c>
      <c r="F1037" s="1">
        <v>1</v>
      </c>
      <c r="G1037" s="1">
        <v>0</v>
      </c>
      <c r="H1037" s="6">
        <f>INT(Query1[[#This Row],[EntryDateTime]])</f>
        <v>44610</v>
      </c>
      <c r="I1037" s="1">
        <f>IF(Query1[[#This Row],[ItemType]]="EVAP KIT SF GEN IV",Query1[[#This Row],[OrderQty]]+I1036,I1036)</f>
        <v>1159</v>
      </c>
      <c r="J1037" s="1">
        <f>IF(Query1[[#This Row],[ItemType]]="EVAP KIT UNIVERSAL",Query1[[#This Row],[OrderQty]]+J1036,J1036)</f>
        <v>513</v>
      </c>
      <c r="K1037" s="1">
        <f>Query1[[#This Row],[SF Running Total]]+Query1[[#This Row],[UNIV Running Total]]</f>
        <v>1672</v>
      </c>
      <c r="L1037">
        <f>VLOOKUP(Query1[[#This Row],[Description]],'kits to boards'!$B$2:$E$156,2,FALSE)</f>
        <v>830069</v>
      </c>
      <c r="M1037">
        <f>VLOOKUP(Query1[[#This Row],[Description]],'kits to boards'!$B$2:$E$156,3,FALSE)</f>
        <v>0</v>
      </c>
      <c r="N1037">
        <f>VLOOKUP(Query1[[#This Row],[Description]],'kits to boards'!$B$2:$E$156,4,FALSE)</f>
        <v>0</v>
      </c>
      <c r="O1037" t="str">
        <f>CONCATENATE(Query1[[#This Row],[Description]]," - ",Query1[[#This Row],[MB1]]," - ",Query1[[#This Row],[MB2]]," - ",Query1[[#This Row],[MB3]])</f>
        <v>SLIMLINE H/C W/DEF STD LOUVER - 830069 - 0 - 0</v>
      </c>
    </row>
    <row r="1038" spans="1:15" x14ac:dyDescent="0.25">
      <c r="A1038" s="1">
        <v>911615</v>
      </c>
      <c r="B1038" s="1" t="s">
        <v>126</v>
      </c>
      <c r="C1038" s="1" t="s">
        <v>127</v>
      </c>
      <c r="D1038" s="2">
        <v>44610.44556015046</v>
      </c>
      <c r="E1038" s="1" t="s">
        <v>8</v>
      </c>
      <c r="F1038" s="1">
        <v>1</v>
      </c>
      <c r="G1038" s="1">
        <v>0</v>
      </c>
      <c r="H1038" s="6">
        <f>INT(Query1[[#This Row],[EntryDateTime]])</f>
        <v>44610</v>
      </c>
      <c r="I1038" s="1">
        <f>IF(Query1[[#This Row],[ItemType]]="EVAP KIT SF GEN IV",Query1[[#This Row],[OrderQty]]+I1037,I1037)</f>
        <v>1160</v>
      </c>
      <c r="J1038" s="1">
        <f>IF(Query1[[#This Row],[ItemType]]="EVAP KIT UNIVERSAL",Query1[[#This Row],[OrderQty]]+J1037,J1037)</f>
        <v>513</v>
      </c>
      <c r="K1038" s="1">
        <f>Query1[[#This Row],[SF Running Total]]+Query1[[#This Row],[UNIV Running Total]]</f>
        <v>1673</v>
      </c>
      <c r="L1038">
        <f>VLOOKUP(Query1[[#This Row],[Description]],'kits to boards'!$B$2:$E$156,2,FALSE)</f>
        <v>830080</v>
      </c>
      <c r="M1038">
        <f>VLOOKUP(Query1[[#This Row],[Description]],'kits to boards'!$B$2:$E$156,3,FALSE)</f>
        <v>0</v>
      </c>
      <c r="N1038">
        <f>VLOOKUP(Query1[[#This Row],[Description]],'kits to boards'!$B$2:$E$156,4,FALSE)</f>
        <v>0</v>
      </c>
      <c r="O1038" t="str">
        <f>CONCATENATE(Query1[[#This Row],[Description]]," - ",Query1[[#This Row],[MB1]]," - ",Query1[[#This Row],[MB2]]," - ",Query1[[#This Row],[MB3]])</f>
        <v>EVAP KIT 69-70 MUSTANG WO AC  - 830080 - 0 - 0</v>
      </c>
    </row>
    <row r="1039" spans="1:15" x14ac:dyDescent="0.25">
      <c r="A1039" s="1">
        <v>911615</v>
      </c>
      <c r="B1039" s="1" t="s">
        <v>52</v>
      </c>
      <c r="C1039" s="1" t="s">
        <v>53</v>
      </c>
      <c r="D1039" s="2">
        <v>44610.445748692131</v>
      </c>
      <c r="E1039" s="1" t="s">
        <v>8</v>
      </c>
      <c r="F1039" s="1">
        <v>1</v>
      </c>
      <c r="G1039" s="1">
        <v>0</v>
      </c>
      <c r="H1039" s="6">
        <f>INT(Query1[[#This Row],[EntryDateTime]])</f>
        <v>44610</v>
      </c>
      <c r="I1039" s="1">
        <f>IF(Query1[[#This Row],[ItemType]]="EVAP KIT SF GEN IV",Query1[[#This Row],[OrderQty]]+I1038,I1038)</f>
        <v>1161</v>
      </c>
      <c r="J1039" s="1">
        <f>IF(Query1[[#This Row],[ItemType]]="EVAP KIT UNIVERSAL",Query1[[#This Row],[OrderQty]]+J1038,J1038)</f>
        <v>513</v>
      </c>
      <c r="K1039" s="1">
        <f>Query1[[#This Row],[SF Running Total]]+Query1[[#This Row],[UNIV Running Total]]</f>
        <v>1674</v>
      </c>
      <c r="L1039">
        <f>VLOOKUP(Query1[[#This Row],[Description]],'kits to boards'!$B$2:$E$156,2,FALSE)</f>
        <v>830017</v>
      </c>
      <c r="M1039">
        <f>VLOOKUP(Query1[[#This Row],[Description]],'kits to boards'!$B$2:$E$156,3,FALSE)</f>
        <v>830119</v>
      </c>
      <c r="N1039">
        <f>VLOOKUP(Query1[[#This Row],[Description]],'kits to boards'!$B$2:$E$156,4,FALSE)</f>
        <v>830120</v>
      </c>
      <c r="O1039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1040" spans="1:15" x14ac:dyDescent="0.25">
      <c r="A1040" s="1">
        <v>911615</v>
      </c>
      <c r="B1040" s="1" t="s">
        <v>102</v>
      </c>
      <c r="C1040" s="1" t="s">
        <v>103</v>
      </c>
      <c r="D1040" s="2">
        <v>44610.445948032408</v>
      </c>
      <c r="E1040" s="1" t="s">
        <v>8</v>
      </c>
      <c r="F1040" s="1">
        <v>1</v>
      </c>
      <c r="G1040" s="1">
        <v>0</v>
      </c>
      <c r="H1040" s="6">
        <f>INT(Query1[[#This Row],[EntryDateTime]])</f>
        <v>44610</v>
      </c>
      <c r="I1040" s="1">
        <f>IF(Query1[[#This Row],[ItemType]]="EVAP KIT SF GEN IV",Query1[[#This Row],[OrderQty]]+I1039,I1039)</f>
        <v>1162</v>
      </c>
      <c r="J1040" s="1">
        <f>IF(Query1[[#This Row],[ItemType]]="EVAP KIT UNIVERSAL",Query1[[#This Row],[OrderQty]]+J1039,J1039)</f>
        <v>513</v>
      </c>
      <c r="K1040" s="1">
        <f>Query1[[#This Row],[SF Running Total]]+Query1[[#This Row],[UNIV Running Total]]</f>
        <v>1675</v>
      </c>
      <c r="L1040">
        <f>VLOOKUP(Query1[[#This Row],[Description]],'kits to boards'!$B$2:$E$156,2,FALSE)</f>
        <v>830012</v>
      </c>
      <c r="M1040">
        <f>VLOOKUP(Query1[[#This Row],[Description]],'kits to boards'!$B$2:$E$156,3,FALSE)</f>
        <v>0</v>
      </c>
      <c r="N1040">
        <f>VLOOKUP(Query1[[#This Row],[Description]],'kits to boards'!$B$2:$E$156,4,FALSE)</f>
        <v>0</v>
      </c>
      <c r="O1040" t="str">
        <f>CONCATENATE(Query1[[#This Row],[Description]]," - ",Query1[[#This Row],[MB1]]," - ",Query1[[#This Row],[MB2]]," - ",Query1[[#This Row],[MB3]])</f>
        <v>EVAP KIT 69 CAMARO WO/AC - 830012 - 0 - 0</v>
      </c>
    </row>
    <row r="1041" spans="1:15" x14ac:dyDescent="0.25">
      <c r="A1041" s="1">
        <v>911615</v>
      </c>
      <c r="B1041" s="1" t="s">
        <v>14</v>
      </c>
      <c r="C1041" s="1" t="s">
        <v>15</v>
      </c>
      <c r="D1041" s="2">
        <v>44610.446192939817</v>
      </c>
      <c r="E1041" s="1" t="s">
        <v>8</v>
      </c>
      <c r="F1041" s="1">
        <v>2</v>
      </c>
      <c r="G1041" s="1">
        <v>0</v>
      </c>
      <c r="H1041" s="6">
        <f>INT(Query1[[#This Row],[EntryDateTime]])</f>
        <v>44610</v>
      </c>
      <c r="I1041" s="1">
        <f>IF(Query1[[#This Row],[ItemType]]="EVAP KIT SF GEN IV",Query1[[#This Row],[OrderQty]]+I1040,I1040)</f>
        <v>1164</v>
      </c>
      <c r="J1041" s="1">
        <f>IF(Query1[[#This Row],[ItemType]]="EVAP KIT UNIVERSAL",Query1[[#This Row],[OrderQty]]+J1040,J1040)</f>
        <v>513</v>
      </c>
      <c r="K1041" s="1">
        <f>Query1[[#This Row],[SF Running Total]]+Query1[[#This Row],[UNIV Running Total]]</f>
        <v>1677</v>
      </c>
      <c r="L1041">
        <f>VLOOKUP(Query1[[#This Row],[Description]],'kits to boards'!$B$2:$E$156,2,FALSE)</f>
        <v>830054</v>
      </c>
      <c r="M1041">
        <f>VLOOKUP(Query1[[#This Row],[Description]],'kits to boards'!$B$2:$E$156,3,FALSE)</f>
        <v>0</v>
      </c>
      <c r="N1041">
        <f>VLOOKUP(Query1[[#This Row],[Description]],'kits to boards'!$B$2:$E$156,4,FALSE)</f>
        <v>0</v>
      </c>
      <c r="O1041" t="str">
        <f>CONCATENATE(Query1[[#This Row],[Description]]," - ",Query1[[#This Row],[MB1]]," - ",Query1[[#This Row],[MB2]]," - ",Query1[[#This Row],[MB3]])</f>
        <v>EVAP KIT 55-56 CHEVY - 830054 - 0 - 0</v>
      </c>
    </row>
    <row r="1042" spans="1:15" x14ac:dyDescent="0.25">
      <c r="A1042" s="1">
        <v>911615</v>
      </c>
      <c r="B1042" s="1" t="s">
        <v>32</v>
      </c>
      <c r="C1042" s="1" t="s">
        <v>33</v>
      </c>
      <c r="D1042" s="2">
        <v>44610.446397418978</v>
      </c>
      <c r="E1042" s="1" t="s">
        <v>8</v>
      </c>
      <c r="F1042" s="1">
        <v>1</v>
      </c>
      <c r="G1042" s="1">
        <v>0</v>
      </c>
      <c r="H1042" s="6">
        <f>INT(Query1[[#This Row],[EntryDateTime]])</f>
        <v>44610</v>
      </c>
      <c r="I1042" s="1">
        <f>IF(Query1[[#This Row],[ItemType]]="EVAP KIT SF GEN IV",Query1[[#This Row],[OrderQty]]+I1041,I1041)</f>
        <v>1165</v>
      </c>
      <c r="J1042" s="1">
        <f>IF(Query1[[#This Row],[ItemType]]="EVAP KIT UNIVERSAL",Query1[[#This Row],[OrderQty]]+J1041,J1041)</f>
        <v>513</v>
      </c>
      <c r="K1042" s="1">
        <f>Query1[[#This Row],[SF Running Total]]+Query1[[#This Row],[UNIV Running Total]]</f>
        <v>1678</v>
      </c>
      <c r="L1042">
        <f>VLOOKUP(Query1[[#This Row],[Description]],'kits to boards'!$B$2:$E$156,2,FALSE)</f>
        <v>830016</v>
      </c>
      <c r="M1042">
        <f>VLOOKUP(Query1[[#This Row],[Description]],'kits to boards'!$B$2:$E$156,3,FALSE)</f>
        <v>0</v>
      </c>
      <c r="N1042">
        <f>VLOOKUP(Query1[[#This Row],[Description]],'kits to boards'!$B$2:$E$156,4,FALSE)</f>
        <v>0</v>
      </c>
      <c r="O1042" t="str">
        <f>CONCATENATE(Query1[[#This Row],[Description]]," - ",Query1[[#This Row],[MB1]]," - ",Query1[[#This Row],[MB2]]," - ",Query1[[#This Row],[MB3]])</f>
        <v>EVAP KIT 67-68 CAMARO/FIREBIRD W/AC - 830016 - 0 - 0</v>
      </c>
    </row>
    <row r="1043" spans="1:15" x14ac:dyDescent="0.25">
      <c r="A1043" s="1">
        <v>911615</v>
      </c>
      <c r="B1043" s="1" t="s">
        <v>20</v>
      </c>
      <c r="C1043" s="1" t="s">
        <v>21</v>
      </c>
      <c r="D1043" s="2">
        <v>44610.44664548611</v>
      </c>
      <c r="E1043" s="1" t="s">
        <v>11</v>
      </c>
      <c r="F1043" s="1">
        <v>6</v>
      </c>
      <c r="G1043" s="1">
        <v>0</v>
      </c>
      <c r="H1043" s="6">
        <f>INT(Query1[[#This Row],[EntryDateTime]])</f>
        <v>44610</v>
      </c>
      <c r="I1043" s="1">
        <f>IF(Query1[[#This Row],[ItemType]]="EVAP KIT SF GEN IV",Query1[[#This Row],[OrderQty]]+I1042,I1042)</f>
        <v>1165</v>
      </c>
      <c r="J1043" s="1">
        <f>IF(Query1[[#This Row],[ItemType]]="EVAP KIT UNIVERSAL",Query1[[#This Row],[OrderQty]]+J1042,J1042)</f>
        <v>519</v>
      </c>
      <c r="K1043" s="1">
        <f>Query1[[#This Row],[SF Running Total]]+Query1[[#This Row],[UNIV Running Total]]</f>
        <v>1684</v>
      </c>
      <c r="L1043">
        <f>VLOOKUP(Query1[[#This Row],[Description]],'kits to boards'!$B$2:$E$156,2,FALSE)</f>
        <v>830102</v>
      </c>
      <c r="M1043">
        <f>VLOOKUP(Query1[[#This Row],[Description]],'kits to boards'!$B$2:$E$156,3,FALSE)</f>
        <v>0</v>
      </c>
      <c r="N1043">
        <f>VLOOKUP(Query1[[#This Row],[Description]],'kits to boards'!$B$2:$E$156,4,FALSE)</f>
        <v>0</v>
      </c>
      <c r="O1043" t="str">
        <f>CONCATENATE(Query1[[#This Row],[Description]]," - ",Query1[[#This Row],[MB1]]," - ",Query1[[#This Row],[MB2]]," - ",Query1[[#This Row],[MB3]])</f>
        <v>SUPER GEN II W/DEF - 830102 - 0 - 0</v>
      </c>
    </row>
    <row r="1044" spans="1:15" x14ac:dyDescent="0.25">
      <c r="A1044" s="1">
        <v>911615</v>
      </c>
      <c r="B1044" s="1" t="s">
        <v>94</v>
      </c>
      <c r="C1044" s="1" t="s">
        <v>95</v>
      </c>
      <c r="D1044" s="2">
        <v>44610.448903738426</v>
      </c>
      <c r="E1044" s="1" t="s">
        <v>8</v>
      </c>
      <c r="F1044" s="1">
        <v>1</v>
      </c>
      <c r="G1044" s="1">
        <v>0</v>
      </c>
      <c r="H1044" s="6">
        <f>INT(Query1[[#This Row],[EntryDateTime]])</f>
        <v>44610</v>
      </c>
      <c r="I1044" s="1">
        <f>IF(Query1[[#This Row],[ItemType]]="EVAP KIT SF GEN IV",Query1[[#This Row],[OrderQty]]+I1043,I1043)</f>
        <v>1166</v>
      </c>
      <c r="J1044" s="1">
        <f>IF(Query1[[#This Row],[ItemType]]="EVAP KIT UNIVERSAL",Query1[[#This Row],[OrderQty]]+J1043,J1043)</f>
        <v>519</v>
      </c>
      <c r="K1044" s="1">
        <f>Query1[[#This Row],[SF Running Total]]+Query1[[#This Row],[UNIV Running Total]]</f>
        <v>1685</v>
      </c>
      <c r="L1044">
        <f>VLOOKUP(Query1[[#This Row],[Description]],'kits to boards'!$B$2:$E$156,2,FALSE)</f>
        <v>830076</v>
      </c>
      <c r="M1044">
        <f>VLOOKUP(Query1[[#This Row],[Description]],'kits to boards'!$B$2:$E$156,3,FALSE)</f>
        <v>0</v>
      </c>
      <c r="N1044">
        <f>VLOOKUP(Query1[[#This Row],[Description]],'kits to boards'!$B$2:$E$156,4,FALSE)</f>
        <v>0</v>
      </c>
      <c r="O1044" t="str">
        <f>CONCATENATE(Query1[[#This Row],[Description]]," - ",Query1[[#This Row],[MB1]]," - ",Query1[[#This Row],[MB2]]," - ",Query1[[#This Row],[MB3]])</f>
        <v>EVAP KIT 64 1/2- 66 MUSTANG  - 830076 - 0 - 0</v>
      </c>
    </row>
    <row r="1045" spans="1:15" x14ac:dyDescent="0.25">
      <c r="A1045" s="1">
        <v>911615</v>
      </c>
      <c r="B1045" s="1" t="s">
        <v>76</v>
      </c>
      <c r="C1045" s="1" t="s">
        <v>77</v>
      </c>
      <c r="D1045" s="2">
        <v>44610.449981712962</v>
      </c>
      <c r="E1045" s="1" t="s">
        <v>11</v>
      </c>
      <c r="F1045" s="1">
        <v>1</v>
      </c>
      <c r="G1045" s="1">
        <v>0</v>
      </c>
      <c r="H1045" s="6">
        <f>INT(Query1[[#This Row],[EntryDateTime]])</f>
        <v>44610</v>
      </c>
      <c r="I1045" s="1">
        <f>IF(Query1[[#This Row],[ItemType]]="EVAP KIT SF GEN IV",Query1[[#This Row],[OrderQty]]+I1044,I1044)</f>
        <v>1166</v>
      </c>
      <c r="J1045" s="1">
        <f>IF(Query1[[#This Row],[ItemType]]="EVAP KIT UNIVERSAL",Query1[[#This Row],[OrderQty]]+J1044,J1044)</f>
        <v>520</v>
      </c>
      <c r="K1045" s="1">
        <f>Query1[[#This Row],[SF Running Total]]+Query1[[#This Row],[UNIV Running Total]]</f>
        <v>1686</v>
      </c>
      <c r="L1045">
        <f>VLOOKUP(Query1[[#This Row],[Description]],'kits to boards'!$B$2:$E$156,2,FALSE)</f>
        <v>830099</v>
      </c>
      <c r="M1045">
        <f>VLOOKUP(Query1[[#This Row],[Description]],'kits to boards'!$B$2:$E$156,3,FALSE)</f>
        <v>0</v>
      </c>
      <c r="N1045">
        <f>VLOOKUP(Query1[[#This Row],[Description]],'kits to boards'!$B$2:$E$156,4,FALSE)</f>
        <v>0</v>
      </c>
      <c r="O1045" t="str">
        <f>CONCATENATE(Query1[[#This Row],[Description]]," - ",Query1[[#This Row],[MB1]]," - ",Query1[[#This Row],[MB2]]," - ",Query1[[#This Row],[MB3]])</f>
        <v>MINI GEN II H/C - 830099 - 0 - 0</v>
      </c>
    </row>
    <row r="1046" spans="1:15" x14ac:dyDescent="0.25">
      <c r="A1046" s="1">
        <v>911615</v>
      </c>
      <c r="B1046" s="1" t="s">
        <v>98</v>
      </c>
      <c r="C1046" s="1" t="s">
        <v>99</v>
      </c>
      <c r="D1046" s="2">
        <v>44610.450290081018</v>
      </c>
      <c r="E1046" s="1" t="s">
        <v>11</v>
      </c>
      <c r="F1046" s="1">
        <v>4</v>
      </c>
      <c r="G1046" s="1">
        <v>0</v>
      </c>
      <c r="H1046" s="6">
        <f>INT(Query1[[#This Row],[EntryDateTime]])</f>
        <v>44610</v>
      </c>
      <c r="I1046" s="1">
        <f>IF(Query1[[#This Row],[ItemType]]="EVAP KIT SF GEN IV",Query1[[#This Row],[OrderQty]]+I1045,I1045)</f>
        <v>1166</v>
      </c>
      <c r="J1046" s="1">
        <f>IF(Query1[[#This Row],[ItemType]]="EVAP KIT UNIVERSAL",Query1[[#This Row],[OrderQty]]+J1045,J1045)</f>
        <v>524</v>
      </c>
      <c r="K1046" s="1">
        <f>Query1[[#This Row],[SF Running Total]]+Query1[[#This Row],[UNIV Running Total]]</f>
        <v>1690</v>
      </c>
      <c r="L1046">
        <f>VLOOKUP(Query1[[#This Row],[Description]],'kits to boards'!$B$2:$E$156,2,FALSE)</f>
        <v>830099</v>
      </c>
      <c r="M1046">
        <f>VLOOKUP(Query1[[#This Row],[Description]],'kits to boards'!$B$2:$E$156,3,FALSE)</f>
        <v>0</v>
      </c>
      <c r="N1046">
        <f>VLOOKUP(Query1[[#This Row],[Description]],'kits to boards'!$B$2:$E$156,4,FALSE)</f>
        <v>0</v>
      </c>
      <c r="O1046" t="str">
        <f>CONCATENATE(Query1[[#This Row],[Description]]," - ",Query1[[#This Row],[MB1]]," - ",Query1[[#This Row],[MB2]]," - ",Query1[[#This Row],[MB3]])</f>
        <v>MINI GEN II W/DEF - 830099 - 0 - 0</v>
      </c>
    </row>
    <row r="1047" spans="1:15" x14ac:dyDescent="0.25">
      <c r="A1047" s="1">
        <v>911615</v>
      </c>
      <c r="B1047" s="1" t="s">
        <v>82</v>
      </c>
      <c r="C1047" s="1" t="s">
        <v>83</v>
      </c>
      <c r="D1047" s="2">
        <v>44610.450625428239</v>
      </c>
      <c r="E1047" s="1" t="s">
        <v>11</v>
      </c>
      <c r="F1047" s="1">
        <v>2</v>
      </c>
      <c r="G1047" s="1">
        <v>0</v>
      </c>
      <c r="H1047" s="6">
        <f>INT(Query1[[#This Row],[EntryDateTime]])</f>
        <v>44610</v>
      </c>
      <c r="I1047" s="1">
        <f>IF(Query1[[#This Row],[ItemType]]="EVAP KIT SF GEN IV",Query1[[#This Row],[OrderQty]]+I1046,I1046)</f>
        <v>1166</v>
      </c>
      <c r="J1047" s="1">
        <f>IF(Query1[[#This Row],[ItemType]]="EVAP KIT UNIVERSAL",Query1[[#This Row],[OrderQty]]+J1046,J1046)</f>
        <v>526</v>
      </c>
      <c r="K1047" s="1">
        <f>Query1[[#This Row],[SF Running Total]]+Query1[[#This Row],[UNIV Running Total]]</f>
        <v>1692</v>
      </c>
      <c r="L1047">
        <f>VLOOKUP(Query1[[#This Row],[Description]],'kits to boards'!$B$2:$E$156,2,FALSE)</f>
        <v>830029</v>
      </c>
      <c r="M1047">
        <f>VLOOKUP(Query1[[#This Row],[Description]],'kits to boards'!$B$2:$E$156,3,FALSE)</f>
        <v>830030</v>
      </c>
      <c r="N1047">
        <f>VLOOKUP(Query1[[#This Row],[Description]],'kits to boards'!$B$2:$E$156,4,FALSE)</f>
        <v>0</v>
      </c>
      <c r="O1047" t="str">
        <f>CONCATENATE(Query1[[#This Row],[Description]]," - ",Query1[[#This Row],[MB1]]," - ",Query1[[#This Row],[MB2]]," - ",Query1[[#This Row],[MB3]])</f>
        <v>ComPac GEN II H/C - 830029 - 830030 - 0</v>
      </c>
    </row>
    <row r="1048" spans="1:15" x14ac:dyDescent="0.25">
      <c r="A1048" s="1">
        <v>911051</v>
      </c>
      <c r="B1048" s="1" t="s">
        <v>216</v>
      </c>
      <c r="C1048" s="1" t="s">
        <v>217</v>
      </c>
      <c r="D1048" s="2">
        <v>44610.450659918984</v>
      </c>
      <c r="E1048" s="1" t="s">
        <v>8</v>
      </c>
      <c r="F1048" s="1">
        <v>1</v>
      </c>
      <c r="G1048" s="1">
        <v>0</v>
      </c>
      <c r="H1048" s="6">
        <f>INT(Query1[[#This Row],[EntryDateTime]])</f>
        <v>44610</v>
      </c>
      <c r="I1048" s="1">
        <f>IF(Query1[[#This Row],[ItemType]]="EVAP KIT SF GEN IV",Query1[[#This Row],[OrderQty]]+I1047,I1047)</f>
        <v>1167</v>
      </c>
      <c r="J1048" s="1">
        <f>IF(Query1[[#This Row],[ItemType]]="EVAP KIT UNIVERSAL",Query1[[#This Row],[OrderQty]]+J1047,J1047)</f>
        <v>526</v>
      </c>
      <c r="K1048" s="1">
        <f>Query1[[#This Row],[SF Running Total]]+Query1[[#This Row],[UNIV Running Total]]</f>
        <v>1693</v>
      </c>
      <c r="L1048">
        <f>VLOOKUP(Query1[[#This Row],[Description]],'kits to boards'!$B$2:$E$156,2,FALSE)</f>
        <v>830072</v>
      </c>
      <c r="M1048">
        <f>VLOOKUP(Query1[[#This Row],[Description]],'kits to boards'!$B$2:$E$156,3,FALSE)</f>
        <v>830075</v>
      </c>
      <c r="N1048">
        <f>VLOOKUP(Query1[[#This Row],[Description]],'kits to boards'!$B$2:$E$156,4,FALSE)</f>
        <v>0</v>
      </c>
      <c r="O1048" t="str">
        <f>CONCATENATE(Query1[[#This Row],[Description]]," - ",Query1[[#This Row],[MB1]]," - ",Query1[[#This Row],[MB2]]," - ",Query1[[#This Row],[MB3]])</f>
        <v>EVAP KIT 69-70 MOPAR B BODY W/AC - 830072 - 830075 - 0</v>
      </c>
    </row>
    <row r="1049" spans="1:15" x14ac:dyDescent="0.25">
      <c r="A1049" s="1">
        <v>911615</v>
      </c>
      <c r="B1049" s="1" t="s">
        <v>24</v>
      </c>
      <c r="C1049" s="1" t="s">
        <v>25</v>
      </c>
      <c r="D1049" s="2">
        <v>44610.45093900463</v>
      </c>
      <c r="E1049" s="1" t="s">
        <v>11</v>
      </c>
      <c r="F1049" s="1">
        <v>4</v>
      </c>
      <c r="G1049" s="1">
        <v>0</v>
      </c>
      <c r="H1049" s="6">
        <f>INT(Query1[[#This Row],[EntryDateTime]])</f>
        <v>44610</v>
      </c>
      <c r="I1049" s="1">
        <f>IF(Query1[[#This Row],[ItemType]]="EVAP KIT SF GEN IV",Query1[[#This Row],[OrderQty]]+I1048,I1048)</f>
        <v>1167</v>
      </c>
      <c r="J1049" s="1">
        <f>IF(Query1[[#This Row],[ItemType]]="EVAP KIT UNIVERSAL",Query1[[#This Row],[OrderQty]]+J1048,J1048)</f>
        <v>530</v>
      </c>
      <c r="K1049" s="1">
        <f>Query1[[#This Row],[SF Running Total]]+Query1[[#This Row],[UNIV Running Total]]</f>
        <v>1697</v>
      </c>
      <c r="L1049">
        <f>VLOOKUP(Query1[[#This Row],[Description]],'kits to boards'!$B$2:$E$156,2,FALSE)</f>
        <v>830029</v>
      </c>
      <c r="M1049">
        <f>VLOOKUP(Query1[[#This Row],[Description]],'kits to boards'!$B$2:$E$156,3,FALSE)</f>
        <v>830030</v>
      </c>
      <c r="N1049">
        <f>VLOOKUP(Query1[[#This Row],[Description]],'kits to boards'!$B$2:$E$156,4,FALSE)</f>
        <v>0</v>
      </c>
      <c r="O1049" t="str">
        <f>CONCATENATE(Query1[[#This Row],[Description]]," - ",Query1[[#This Row],[MB1]]," - ",Query1[[#This Row],[MB2]]," - ",Query1[[#This Row],[MB3]])</f>
        <v>ComPac GEN II W/DEF - 830029 - 830030 - 0</v>
      </c>
    </row>
    <row r="1050" spans="1:15" x14ac:dyDescent="0.25">
      <c r="A1050" s="1">
        <v>911615</v>
      </c>
      <c r="B1050" s="1" t="s">
        <v>42</v>
      </c>
      <c r="C1050" s="1" t="s">
        <v>43</v>
      </c>
      <c r="D1050" s="2">
        <v>44610.451460069446</v>
      </c>
      <c r="E1050" s="1" t="s">
        <v>8</v>
      </c>
      <c r="F1050" s="1">
        <v>1</v>
      </c>
      <c r="G1050" s="1">
        <v>0</v>
      </c>
      <c r="H1050" s="6">
        <f>INT(Query1[[#This Row],[EntryDateTime]])</f>
        <v>44610</v>
      </c>
      <c r="I1050" s="1">
        <f>IF(Query1[[#This Row],[ItemType]]="EVAP KIT SF GEN IV",Query1[[#This Row],[OrderQty]]+I1049,I1049)</f>
        <v>1168</v>
      </c>
      <c r="J1050" s="1">
        <f>IF(Query1[[#This Row],[ItemType]]="EVAP KIT UNIVERSAL",Query1[[#This Row],[OrderQty]]+J1049,J1049)</f>
        <v>530</v>
      </c>
      <c r="K1050" s="1">
        <f>Query1[[#This Row],[SF Running Total]]+Query1[[#This Row],[UNIV Running Total]]</f>
        <v>1698</v>
      </c>
      <c r="L1050">
        <f>VLOOKUP(Query1[[#This Row],[Description]],'kits to boards'!$B$2:$E$156,2,FALSE)</f>
        <v>830014</v>
      </c>
      <c r="M1050">
        <f>VLOOKUP(Query1[[#This Row],[Description]],'kits to boards'!$B$2:$E$156,3,FALSE)</f>
        <v>0</v>
      </c>
      <c r="N1050">
        <f>VLOOKUP(Query1[[#This Row],[Description]],'kits to boards'!$B$2:$E$156,4,FALSE)</f>
        <v>0</v>
      </c>
      <c r="O1050" t="str">
        <f>CONCATENATE(Query1[[#This Row],[Description]]," - ",Query1[[#This Row],[MB1]]," - ",Query1[[#This Row],[MB2]]," - ",Query1[[#This Row],[MB3]])</f>
        <v>EVAP KIT 67-72 CHEV P-UP WO AC - 830014 - 0 - 0</v>
      </c>
    </row>
    <row r="1051" spans="1:15" x14ac:dyDescent="0.25">
      <c r="A1051" s="1">
        <v>911615</v>
      </c>
      <c r="B1051" s="1" t="s">
        <v>96</v>
      </c>
      <c r="C1051" s="1" t="s">
        <v>97</v>
      </c>
      <c r="D1051" s="2">
        <v>44610.451723726852</v>
      </c>
      <c r="E1051" s="1" t="s">
        <v>8</v>
      </c>
      <c r="F1051" s="1">
        <v>1</v>
      </c>
      <c r="G1051" s="1">
        <v>0</v>
      </c>
      <c r="H1051" s="6">
        <f>INT(Query1[[#This Row],[EntryDateTime]])</f>
        <v>44610</v>
      </c>
      <c r="I1051" s="1">
        <f>IF(Query1[[#This Row],[ItemType]]="EVAP KIT SF GEN IV",Query1[[#This Row],[OrderQty]]+I1050,I1050)</f>
        <v>1169</v>
      </c>
      <c r="J1051" s="1">
        <f>IF(Query1[[#This Row],[ItemType]]="EVAP KIT UNIVERSAL",Query1[[#This Row],[OrderQty]]+J1050,J1050)</f>
        <v>530</v>
      </c>
      <c r="K1051" s="1">
        <f>Query1[[#This Row],[SF Running Total]]+Query1[[#This Row],[UNIV Running Total]]</f>
        <v>1699</v>
      </c>
      <c r="L1051">
        <f>VLOOKUP(Query1[[#This Row],[Description]],'kits to boards'!$B$2:$E$156,2,FALSE)</f>
        <v>830004</v>
      </c>
      <c r="M1051">
        <f>VLOOKUP(Query1[[#This Row],[Description]],'kits to boards'!$B$2:$E$156,3,FALSE)</f>
        <v>0</v>
      </c>
      <c r="N1051">
        <f>VLOOKUP(Query1[[#This Row],[Description]],'kits to boards'!$B$2:$E$156,4,FALSE)</f>
        <v>0</v>
      </c>
      <c r="O1051" t="str">
        <f>CONCATENATE(Query1[[#This Row],[Description]]," - ",Query1[[#This Row],[MB1]]," - ",Query1[[#This Row],[MB2]]," - ",Query1[[#This Row],[MB3]])</f>
        <v>EVAP KIT 81-87 CHEV P-UP W/AC - 830004 - 0 - 0</v>
      </c>
    </row>
    <row r="1052" spans="1:15" x14ac:dyDescent="0.25">
      <c r="A1052" s="1">
        <v>911615</v>
      </c>
      <c r="B1052" s="1" t="s">
        <v>52</v>
      </c>
      <c r="C1052" s="1" t="s">
        <v>53</v>
      </c>
      <c r="D1052" s="2">
        <v>44610.45215478009</v>
      </c>
      <c r="E1052" s="1" t="s">
        <v>8</v>
      </c>
      <c r="F1052" s="1">
        <v>1</v>
      </c>
      <c r="G1052" s="1">
        <v>0</v>
      </c>
      <c r="H1052" s="6">
        <f>INT(Query1[[#This Row],[EntryDateTime]])</f>
        <v>44610</v>
      </c>
      <c r="I1052" s="1">
        <f>IF(Query1[[#This Row],[ItemType]]="EVAP KIT SF GEN IV",Query1[[#This Row],[OrderQty]]+I1051,I1051)</f>
        <v>1170</v>
      </c>
      <c r="J1052" s="1">
        <f>IF(Query1[[#This Row],[ItemType]]="EVAP KIT UNIVERSAL",Query1[[#This Row],[OrderQty]]+J1051,J1051)</f>
        <v>530</v>
      </c>
      <c r="K1052" s="1">
        <f>Query1[[#This Row],[SF Running Total]]+Query1[[#This Row],[UNIV Running Total]]</f>
        <v>1700</v>
      </c>
      <c r="L1052">
        <f>VLOOKUP(Query1[[#This Row],[Description]],'kits to boards'!$B$2:$E$156,2,FALSE)</f>
        <v>830017</v>
      </c>
      <c r="M1052">
        <f>VLOOKUP(Query1[[#This Row],[Description]],'kits to boards'!$B$2:$E$156,3,FALSE)</f>
        <v>830119</v>
      </c>
      <c r="N1052">
        <f>VLOOKUP(Query1[[#This Row],[Description]],'kits to boards'!$B$2:$E$156,4,FALSE)</f>
        <v>830120</v>
      </c>
      <c r="O1052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1053" spans="1:15" x14ac:dyDescent="0.25">
      <c r="A1053" s="1">
        <v>911620</v>
      </c>
      <c r="B1053" s="1" t="s">
        <v>154</v>
      </c>
      <c r="C1053" s="1" t="s">
        <v>155</v>
      </c>
      <c r="D1053" s="2">
        <v>44610.455882638889</v>
      </c>
      <c r="E1053" s="1" t="s">
        <v>8</v>
      </c>
      <c r="F1053" s="1">
        <v>1</v>
      </c>
      <c r="G1053" s="1">
        <v>0</v>
      </c>
      <c r="H1053" s="6">
        <f>INT(Query1[[#This Row],[EntryDateTime]])</f>
        <v>44610</v>
      </c>
      <c r="I1053" s="1">
        <f>IF(Query1[[#This Row],[ItemType]]="EVAP KIT SF GEN IV",Query1[[#This Row],[OrderQty]]+I1052,I1052)</f>
        <v>1171</v>
      </c>
      <c r="J1053" s="1">
        <f>IF(Query1[[#This Row],[ItemType]]="EVAP KIT UNIVERSAL",Query1[[#This Row],[OrderQty]]+J1052,J1052)</f>
        <v>530</v>
      </c>
      <c r="K1053" s="1">
        <f>Query1[[#This Row],[SF Running Total]]+Query1[[#This Row],[UNIV Running Total]]</f>
        <v>1701</v>
      </c>
      <c r="L1053">
        <f>VLOOKUP(Query1[[#This Row],[Description]],'kits to boards'!$B$2:$E$156,2,FALSE)</f>
        <v>830124</v>
      </c>
      <c r="M1053">
        <f>VLOOKUP(Query1[[#This Row],[Description]],'kits to boards'!$B$2:$E$156,3,FALSE)</f>
        <v>0</v>
      </c>
      <c r="N1053">
        <f>VLOOKUP(Query1[[#This Row],[Description]],'kits to boards'!$B$2:$E$156,4,FALSE)</f>
        <v>0</v>
      </c>
      <c r="O1053" t="str">
        <f>CONCATENATE(Query1[[#This Row],[Description]]," - ",Query1[[#This Row],[MB1]]," - ",Query1[[#This Row],[MB2]]," - ",Query1[[#This Row],[MB3]])</f>
        <v>EVAP KIT 69 GTO W/AC - 830124 - 0 - 0</v>
      </c>
    </row>
    <row r="1054" spans="1:15" x14ac:dyDescent="0.25">
      <c r="A1054" s="1">
        <v>911626</v>
      </c>
      <c r="B1054" s="1" t="s">
        <v>16</v>
      </c>
      <c r="C1054" s="1" t="s">
        <v>17</v>
      </c>
      <c r="D1054" s="2">
        <v>44610.477251585646</v>
      </c>
      <c r="E1054" s="1" t="s">
        <v>8</v>
      </c>
      <c r="F1054" s="1">
        <v>1</v>
      </c>
      <c r="G1054" s="1">
        <v>0</v>
      </c>
      <c r="H1054" s="6">
        <f>INT(Query1[[#This Row],[EntryDateTime]])</f>
        <v>44610</v>
      </c>
      <c r="I1054" s="1">
        <f>IF(Query1[[#This Row],[ItemType]]="EVAP KIT SF GEN IV",Query1[[#This Row],[OrderQty]]+I1053,I1053)</f>
        <v>1172</v>
      </c>
      <c r="J1054" s="1">
        <f>IF(Query1[[#This Row],[ItemType]]="EVAP KIT UNIVERSAL",Query1[[#This Row],[OrderQty]]+J1053,J1053)</f>
        <v>530</v>
      </c>
      <c r="K1054" s="1">
        <f>Query1[[#This Row],[SF Running Total]]+Query1[[#This Row],[UNIV Running Total]]</f>
        <v>1702</v>
      </c>
      <c r="L1054">
        <f>VLOOKUP(Query1[[#This Row],[Description]],'kits to boards'!$B$2:$E$156,2,FALSE)</f>
        <v>830061</v>
      </c>
      <c r="M1054">
        <f>VLOOKUP(Query1[[#This Row],[Description]],'kits to boards'!$B$2:$E$156,3,FALSE)</f>
        <v>0</v>
      </c>
      <c r="N1054">
        <f>VLOOKUP(Query1[[#This Row],[Description]],'kits to boards'!$B$2:$E$156,4,FALSE)</f>
        <v>0</v>
      </c>
      <c r="O1054" t="str">
        <f>CONCATENATE(Query1[[#This Row],[Description]]," - ",Query1[[#This Row],[MB1]]," - ",Query1[[#This Row],[MB2]]," - ",Query1[[#This Row],[MB3]])</f>
        <v>EVAP KIT 68-69 CHEVELLE W/AC - 830061 - 0 - 0</v>
      </c>
    </row>
    <row r="1055" spans="1:15" x14ac:dyDescent="0.25">
      <c r="A1055" s="1">
        <v>911628</v>
      </c>
      <c r="B1055" s="1" t="s">
        <v>22</v>
      </c>
      <c r="C1055" s="1" t="s">
        <v>23</v>
      </c>
      <c r="D1055" s="2">
        <v>44610.481803090275</v>
      </c>
      <c r="E1055" s="1" t="s">
        <v>8</v>
      </c>
      <c r="F1055" s="1">
        <v>1</v>
      </c>
      <c r="G1055" s="1">
        <v>0</v>
      </c>
      <c r="H1055" s="6">
        <f>INT(Query1[[#This Row],[EntryDateTime]])</f>
        <v>44610</v>
      </c>
      <c r="I1055" s="1">
        <f>IF(Query1[[#This Row],[ItemType]]="EVAP KIT SF GEN IV",Query1[[#This Row],[OrderQty]]+I1054,I1054)</f>
        <v>1173</v>
      </c>
      <c r="J1055" s="1">
        <f>IF(Query1[[#This Row],[ItemType]]="EVAP KIT UNIVERSAL",Query1[[#This Row],[OrderQty]]+J1054,J1054)</f>
        <v>530</v>
      </c>
      <c r="K1055" s="1">
        <f>Query1[[#This Row],[SF Running Total]]+Query1[[#This Row],[UNIV Running Total]]</f>
        <v>1703</v>
      </c>
      <c r="L1055">
        <f>VLOOKUP(Query1[[#This Row],[Description]],'kits to boards'!$B$2:$E$156,2,FALSE)</f>
        <v>830083</v>
      </c>
      <c r="M1055">
        <f>VLOOKUP(Query1[[#This Row],[Description]],'kits to boards'!$B$2:$E$156,3,FALSE)</f>
        <v>0</v>
      </c>
      <c r="N1055">
        <f>VLOOKUP(Query1[[#This Row],[Description]],'kits to boards'!$B$2:$E$156,4,FALSE)</f>
        <v>0</v>
      </c>
      <c r="O1055" t="str">
        <f>CONCATENATE(Query1[[#This Row],[Description]]," - ",Query1[[#This Row],[MB1]]," - ",Query1[[#This Row],[MB2]]," - ",Query1[[#This Row],[MB3]])</f>
        <v>GEN IV MAGNUM EVAP KIT - 830083 - 0 - 0</v>
      </c>
    </row>
    <row r="1056" spans="1:15" x14ac:dyDescent="0.25">
      <c r="A1056" s="1">
        <v>911629</v>
      </c>
      <c r="B1056" s="1" t="s">
        <v>34</v>
      </c>
      <c r="C1056" s="1" t="s">
        <v>35</v>
      </c>
      <c r="D1056" s="2">
        <v>44610.488405358796</v>
      </c>
      <c r="E1056" s="1" t="s">
        <v>8</v>
      </c>
      <c r="F1056" s="1">
        <v>1</v>
      </c>
      <c r="G1056" s="1">
        <v>0</v>
      </c>
      <c r="H1056" s="6">
        <f>INT(Query1[[#This Row],[EntryDateTime]])</f>
        <v>44610</v>
      </c>
      <c r="I1056" s="1">
        <f>IF(Query1[[#This Row],[ItemType]]="EVAP KIT SF GEN IV",Query1[[#This Row],[OrderQty]]+I1055,I1055)</f>
        <v>1174</v>
      </c>
      <c r="J1056" s="1">
        <f>IF(Query1[[#This Row],[ItemType]]="EVAP KIT UNIVERSAL",Query1[[#This Row],[OrderQty]]+J1055,J1055)</f>
        <v>530</v>
      </c>
      <c r="K1056" s="1">
        <f>Query1[[#This Row],[SF Running Total]]+Query1[[#This Row],[UNIV Running Total]]</f>
        <v>1704</v>
      </c>
      <c r="L1056">
        <f>VLOOKUP(Query1[[#This Row],[Description]],'kits to boards'!$B$2:$E$156,2,FALSE)</f>
        <v>830065</v>
      </c>
      <c r="M1056">
        <f>VLOOKUP(Query1[[#This Row],[Description]],'kits to boards'!$B$2:$E$156,3,FALSE)</f>
        <v>0</v>
      </c>
      <c r="N1056">
        <f>VLOOKUP(Query1[[#This Row],[Description]],'kits to boards'!$B$2:$E$156,4,FALSE)</f>
        <v>0</v>
      </c>
      <c r="O1056" t="str">
        <f>CONCATENATE(Query1[[#This Row],[Description]]," - ",Query1[[#This Row],[MB1]]," - ",Query1[[#This Row],[MB2]]," - ",Query1[[#This Row],[MB3]])</f>
        <v>EVAP KIT 57 CHEV WO AC - 830065 - 0 - 0</v>
      </c>
    </row>
    <row r="1057" spans="1:15" x14ac:dyDescent="0.25">
      <c r="A1057" s="1">
        <v>911230</v>
      </c>
      <c r="B1057" s="1" t="s">
        <v>52</v>
      </c>
      <c r="C1057" s="1" t="s">
        <v>53</v>
      </c>
      <c r="D1057" s="2">
        <v>44610.493811886576</v>
      </c>
      <c r="E1057" s="1" t="s">
        <v>8</v>
      </c>
      <c r="F1057" s="1">
        <v>1</v>
      </c>
      <c r="G1057" s="1">
        <v>0</v>
      </c>
      <c r="H1057" s="6">
        <f>INT(Query1[[#This Row],[EntryDateTime]])</f>
        <v>44610</v>
      </c>
      <c r="I1057" s="1">
        <f>IF(Query1[[#This Row],[ItemType]]="EVAP KIT SF GEN IV",Query1[[#This Row],[OrderQty]]+I1056,I1056)</f>
        <v>1175</v>
      </c>
      <c r="J1057" s="1">
        <f>IF(Query1[[#This Row],[ItemType]]="EVAP KIT UNIVERSAL",Query1[[#This Row],[OrderQty]]+J1056,J1056)</f>
        <v>530</v>
      </c>
      <c r="K1057" s="1">
        <f>Query1[[#This Row],[SF Running Total]]+Query1[[#This Row],[UNIV Running Total]]</f>
        <v>1705</v>
      </c>
      <c r="L1057">
        <f>VLOOKUP(Query1[[#This Row],[Description]],'kits to boards'!$B$2:$E$156,2,FALSE)</f>
        <v>830017</v>
      </c>
      <c r="M1057">
        <f>VLOOKUP(Query1[[#This Row],[Description]],'kits to boards'!$B$2:$E$156,3,FALSE)</f>
        <v>830119</v>
      </c>
      <c r="N1057">
        <f>VLOOKUP(Query1[[#This Row],[Description]],'kits to boards'!$B$2:$E$156,4,FALSE)</f>
        <v>830120</v>
      </c>
      <c r="O1057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1058" spans="1:15" x14ac:dyDescent="0.25">
      <c r="A1058" s="1">
        <v>911637</v>
      </c>
      <c r="B1058" s="1" t="s">
        <v>52</v>
      </c>
      <c r="C1058" s="1" t="s">
        <v>53</v>
      </c>
      <c r="D1058" s="2">
        <v>44610.507024039354</v>
      </c>
      <c r="E1058" s="1" t="s">
        <v>8</v>
      </c>
      <c r="F1058" s="1">
        <v>1</v>
      </c>
      <c r="G1058" s="1">
        <v>0</v>
      </c>
      <c r="H1058" s="6">
        <f>INT(Query1[[#This Row],[EntryDateTime]])</f>
        <v>44610</v>
      </c>
      <c r="I1058" s="1">
        <f>IF(Query1[[#This Row],[ItemType]]="EVAP KIT SF GEN IV",Query1[[#This Row],[OrderQty]]+I1057,I1057)</f>
        <v>1176</v>
      </c>
      <c r="J1058" s="1">
        <f>IF(Query1[[#This Row],[ItemType]]="EVAP KIT UNIVERSAL",Query1[[#This Row],[OrderQty]]+J1057,J1057)</f>
        <v>530</v>
      </c>
      <c r="K1058" s="1">
        <f>Query1[[#This Row],[SF Running Total]]+Query1[[#This Row],[UNIV Running Total]]</f>
        <v>1706</v>
      </c>
      <c r="L1058">
        <f>VLOOKUP(Query1[[#This Row],[Description]],'kits to boards'!$B$2:$E$156,2,FALSE)</f>
        <v>830017</v>
      </c>
      <c r="M1058">
        <f>VLOOKUP(Query1[[#This Row],[Description]],'kits to boards'!$B$2:$E$156,3,FALSE)</f>
        <v>830119</v>
      </c>
      <c r="N1058">
        <f>VLOOKUP(Query1[[#This Row],[Description]],'kits to boards'!$B$2:$E$156,4,FALSE)</f>
        <v>830120</v>
      </c>
      <c r="O1058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1059" spans="1:15" x14ac:dyDescent="0.25">
      <c r="A1059" s="1">
        <v>911640</v>
      </c>
      <c r="B1059" s="1" t="s">
        <v>102</v>
      </c>
      <c r="C1059" s="1" t="s">
        <v>103</v>
      </c>
      <c r="D1059" s="2">
        <v>44610.508430324073</v>
      </c>
      <c r="E1059" s="1" t="s">
        <v>8</v>
      </c>
      <c r="F1059" s="1">
        <v>1</v>
      </c>
      <c r="G1059" s="1">
        <v>0</v>
      </c>
      <c r="H1059" s="6">
        <f>INT(Query1[[#This Row],[EntryDateTime]])</f>
        <v>44610</v>
      </c>
      <c r="I1059" s="1">
        <f>IF(Query1[[#This Row],[ItemType]]="EVAP KIT SF GEN IV",Query1[[#This Row],[OrderQty]]+I1058,I1058)</f>
        <v>1177</v>
      </c>
      <c r="J1059" s="1">
        <f>IF(Query1[[#This Row],[ItemType]]="EVAP KIT UNIVERSAL",Query1[[#This Row],[OrderQty]]+J1058,J1058)</f>
        <v>530</v>
      </c>
      <c r="K1059" s="1">
        <f>Query1[[#This Row],[SF Running Total]]+Query1[[#This Row],[UNIV Running Total]]</f>
        <v>1707</v>
      </c>
      <c r="L1059">
        <f>VLOOKUP(Query1[[#This Row],[Description]],'kits to boards'!$B$2:$E$156,2,FALSE)</f>
        <v>830012</v>
      </c>
      <c r="M1059">
        <f>VLOOKUP(Query1[[#This Row],[Description]],'kits to boards'!$B$2:$E$156,3,FALSE)</f>
        <v>0</v>
      </c>
      <c r="N1059">
        <f>VLOOKUP(Query1[[#This Row],[Description]],'kits to boards'!$B$2:$E$156,4,FALSE)</f>
        <v>0</v>
      </c>
      <c r="O1059" t="str">
        <f>CONCATENATE(Query1[[#This Row],[Description]]," - ",Query1[[#This Row],[MB1]]," - ",Query1[[#This Row],[MB2]]," - ",Query1[[#This Row],[MB3]])</f>
        <v>EVAP KIT 69 CAMARO WO/AC - 830012 - 0 - 0</v>
      </c>
    </row>
    <row r="1060" spans="1:15" x14ac:dyDescent="0.25">
      <c r="A1060" s="1">
        <v>911641</v>
      </c>
      <c r="B1060" s="1" t="s">
        <v>114</v>
      </c>
      <c r="C1060" s="1" t="s">
        <v>115</v>
      </c>
      <c r="D1060" s="2">
        <v>44610.508595636573</v>
      </c>
      <c r="E1060" s="1" t="s">
        <v>8</v>
      </c>
      <c r="F1060" s="1">
        <v>1</v>
      </c>
      <c r="G1060" s="1">
        <v>0</v>
      </c>
      <c r="H1060" s="6">
        <f>INT(Query1[[#This Row],[EntryDateTime]])</f>
        <v>44610</v>
      </c>
      <c r="I1060" s="1">
        <f>IF(Query1[[#This Row],[ItemType]]="EVAP KIT SF GEN IV",Query1[[#This Row],[OrderQty]]+I1059,I1059)</f>
        <v>1178</v>
      </c>
      <c r="J1060" s="1">
        <f>IF(Query1[[#This Row],[ItemType]]="EVAP KIT UNIVERSAL",Query1[[#This Row],[OrderQty]]+J1059,J1059)</f>
        <v>530</v>
      </c>
      <c r="K1060" s="1">
        <f>Query1[[#This Row],[SF Running Total]]+Query1[[#This Row],[UNIV Running Total]]</f>
        <v>1708</v>
      </c>
      <c r="L1060">
        <f>VLOOKUP(Query1[[#This Row],[Description]],'kits to boards'!$B$2:$E$156,2,FALSE)</f>
        <v>830059</v>
      </c>
      <c r="M1060">
        <f>VLOOKUP(Query1[[#This Row],[Description]],'kits to boards'!$B$2:$E$156,3,FALSE)</f>
        <v>0</v>
      </c>
      <c r="N1060">
        <f>VLOOKUP(Query1[[#This Row],[Description]],'kits to boards'!$B$2:$E$156,4,FALSE)</f>
        <v>0</v>
      </c>
      <c r="O1060" t="str">
        <f>CONCATENATE(Query1[[#This Row],[Description]]," - ",Query1[[#This Row],[MB1]]," - ",Query1[[#This Row],[MB2]]," - ",Query1[[#This Row],[MB3]])</f>
        <v>EVAP KIT 66-67 CHEVELLE W/AC - 830059 - 0 - 0</v>
      </c>
    </row>
    <row r="1061" spans="1:15" x14ac:dyDescent="0.25">
      <c r="A1061" s="1">
        <v>911642</v>
      </c>
      <c r="B1061" s="1" t="s">
        <v>114</v>
      </c>
      <c r="C1061" s="1" t="s">
        <v>115</v>
      </c>
      <c r="D1061" s="2">
        <v>44610.510293402775</v>
      </c>
      <c r="E1061" s="1" t="s">
        <v>8</v>
      </c>
      <c r="F1061" s="1">
        <v>1</v>
      </c>
      <c r="G1061" s="1">
        <v>0</v>
      </c>
      <c r="H1061" s="6">
        <f>INT(Query1[[#This Row],[EntryDateTime]])</f>
        <v>44610</v>
      </c>
      <c r="I1061" s="1">
        <f>IF(Query1[[#This Row],[ItemType]]="EVAP KIT SF GEN IV",Query1[[#This Row],[OrderQty]]+I1060,I1060)</f>
        <v>1179</v>
      </c>
      <c r="J1061" s="1">
        <f>IF(Query1[[#This Row],[ItemType]]="EVAP KIT UNIVERSAL",Query1[[#This Row],[OrderQty]]+J1060,J1060)</f>
        <v>530</v>
      </c>
      <c r="K1061" s="1">
        <f>Query1[[#This Row],[SF Running Total]]+Query1[[#This Row],[UNIV Running Total]]</f>
        <v>1709</v>
      </c>
      <c r="L1061">
        <f>VLOOKUP(Query1[[#This Row],[Description]],'kits to boards'!$B$2:$E$156,2,FALSE)</f>
        <v>830059</v>
      </c>
      <c r="M1061">
        <f>VLOOKUP(Query1[[#This Row],[Description]],'kits to boards'!$B$2:$E$156,3,FALSE)</f>
        <v>0</v>
      </c>
      <c r="N1061">
        <f>VLOOKUP(Query1[[#This Row],[Description]],'kits to boards'!$B$2:$E$156,4,FALSE)</f>
        <v>0</v>
      </c>
      <c r="O1061" t="str">
        <f>CONCATENATE(Query1[[#This Row],[Description]]," - ",Query1[[#This Row],[MB1]]," - ",Query1[[#This Row],[MB2]]," - ",Query1[[#This Row],[MB3]])</f>
        <v>EVAP KIT 66-67 CHEVELLE W/AC - 830059 - 0 - 0</v>
      </c>
    </row>
    <row r="1062" spans="1:15" x14ac:dyDescent="0.25">
      <c r="A1062" s="1">
        <v>911644</v>
      </c>
      <c r="B1062" s="1" t="s">
        <v>60</v>
      </c>
      <c r="C1062" s="1" t="s">
        <v>61</v>
      </c>
      <c r="D1062" s="2">
        <v>44610.514084803239</v>
      </c>
      <c r="E1062" s="1" t="s">
        <v>8</v>
      </c>
      <c r="F1062" s="1">
        <v>1</v>
      </c>
      <c r="G1062" s="1">
        <v>0</v>
      </c>
      <c r="H1062" s="6">
        <f>INT(Query1[[#This Row],[EntryDateTime]])</f>
        <v>44610</v>
      </c>
      <c r="I1062" s="1">
        <f>IF(Query1[[#This Row],[ItemType]]="EVAP KIT SF GEN IV",Query1[[#This Row],[OrderQty]]+I1061,I1061)</f>
        <v>1180</v>
      </c>
      <c r="J1062" s="1">
        <f>IF(Query1[[#This Row],[ItemType]]="EVAP KIT UNIVERSAL",Query1[[#This Row],[OrderQty]]+J1061,J1061)</f>
        <v>530</v>
      </c>
      <c r="K1062" s="1">
        <f>Query1[[#This Row],[SF Running Total]]+Query1[[#This Row],[UNIV Running Total]]</f>
        <v>1710</v>
      </c>
      <c r="L1062">
        <f>VLOOKUP(Query1[[#This Row],[Description]],'kits to boards'!$B$2:$E$156,2,FALSE)</f>
        <v>830062</v>
      </c>
      <c r="M1062">
        <f>VLOOKUP(Query1[[#This Row],[Description]],'kits to boards'!$B$2:$E$156,3,FALSE)</f>
        <v>0</v>
      </c>
      <c r="N1062">
        <f>VLOOKUP(Query1[[#This Row],[Description]],'kits to boards'!$B$2:$E$156,4,FALSE)</f>
        <v>0</v>
      </c>
      <c r="O1062" t="str">
        <f>CONCATENATE(Query1[[#This Row],[Description]]," - ",Query1[[#This Row],[MB1]]," - ",Query1[[#This Row],[MB2]]," - ",Query1[[#This Row],[MB3]])</f>
        <v>EVAP KIT 68-69 CHEVELLE WO AC - 830062 - 0 - 0</v>
      </c>
    </row>
    <row r="1063" spans="1:15" x14ac:dyDescent="0.25">
      <c r="A1063" s="1">
        <v>911645</v>
      </c>
      <c r="B1063" s="1" t="s">
        <v>506</v>
      </c>
      <c r="C1063" s="1" t="s">
        <v>507</v>
      </c>
      <c r="D1063" s="2">
        <v>44610.514598993053</v>
      </c>
      <c r="E1063" s="1" t="s">
        <v>677</v>
      </c>
      <c r="F1063" s="1">
        <v>1</v>
      </c>
      <c r="G1063" s="1">
        <v>0</v>
      </c>
      <c r="H1063" s="6">
        <f>INT(Query1[[#This Row],[EntryDateTime]])</f>
        <v>44610</v>
      </c>
      <c r="I1063" s="1">
        <f>IF(Query1[[#This Row],[ItemType]]="EVAP KIT SF GEN IV",Query1[[#This Row],[OrderQty]]+I1062,I1062)</f>
        <v>1180</v>
      </c>
      <c r="J1063" s="1">
        <f>IF(Query1[[#This Row],[ItemType]]="EVAP KIT UNIVERSAL",Query1[[#This Row],[OrderQty]]+J1062,J1062)</f>
        <v>530</v>
      </c>
      <c r="K1063" s="1">
        <f>Query1[[#This Row],[SF Running Total]]+Query1[[#This Row],[UNIV Running Total]]</f>
        <v>1710</v>
      </c>
      <c r="L1063" t="e">
        <f>VLOOKUP(Query1[[#This Row],[Description]],'kits to boards'!$B$2:$E$156,2,FALSE)</f>
        <v>#N/A</v>
      </c>
      <c r="M1063" t="e">
        <f>VLOOKUP(Query1[[#This Row],[Description]],'kits to boards'!$B$2:$E$156,3,FALSE)</f>
        <v>#N/A</v>
      </c>
      <c r="N1063" t="e">
        <f>VLOOKUP(Query1[[#This Row],[Description]],'kits to boards'!$B$2:$E$156,4,FALSE)</f>
        <v>#N/A</v>
      </c>
      <c r="O1063" t="e">
        <f>CONCATENATE(Query1[[#This Row],[Description]]," - ",Query1[[#This Row],[MB1]]," - ",Query1[[#This Row],[MB2]]," - ",Query1[[#This Row],[MB3]])</f>
        <v>#N/A</v>
      </c>
    </row>
    <row r="1064" spans="1:15" x14ac:dyDescent="0.25">
      <c r="A1064" s="1">
        <v>911648</v>
      </c>
      <c r="B1064" s="1" t="s">
        <v>124</v>
      </c>
      <c r="C1064" s="1" t="s">
        <v>125</v>
      </c>
      <c r="D1064" s="2">
        <v>44610.521243287039</v>
      </c>
      <c r="E1064" s="1" t="s">
        <v>8</v>
      </c>
      <c r="F1064" s="1">
        <v>1</v>
      </c>
      <c r="G1064" s="1">
        <v>0</v>
      </c>
      <c r="H1064" s="6">
        <f>INT(Query1[[#This Row],[EntryDateTime]])</f>
        <v>44610</v>
      </c>
      <c r="I1064" s="1">
        <f>IF(Query1[[#This Row],[ItemType]]="EVAP KIT SF GEN IV",Query1[[#This Row],[OrderQty]]+I1063,I1063)</f>
        <v>1181</v>
      </c>
      <c r="J1064" s="1">
        <f>IF(Query1[[#This Row],[ItemType]]="EVAP KIT UNIVERSAL",Query1[[#This Row],[OrderQty]]+J1063,J1063)</f>
        <v>530</v>
      </c>
      <c r="K1064" s="1">
        <f>Query1[[#This Row],[SF Running Total]]+Query1[[#This Row],[UNIV Running Total]]</f>
        <v>1711</v>
      </c>
      <c r="L1064">
        <f>VLOOKUP(Query1[[#This Row],[Description]],'kits to boards'!$B$2:$E$156,2,FALSE)</f>
        <v>830002</v>
      </c>
      <c r="M1064">
        <f>VLOOKUP(Query1[[#This Row],[Description]],'kits to boards'!$B$2:$E$156,3,FALSE)</f>
        <v>0</v>
      </c>
      <c r="N1064">
        <f>VLOOKUP(Query1[[#This Row],[Description]],'kits to boards'!$B$2:$E$156,4,FALSE)</f>
        <v>0</v>
      </c>
      <c r="O1064" t="str">
        <f>CONCATENATE(Query1[[#This Row],[Description]]," - ",Query1[[#This Row],[MB1]]," - ",Query1[[#This Row],[MB2]]," - ",Query1[[#This Row],[MB3]])</f>
        <v>EVAP KIT 73-80 CHEV P-UP WO AC - 830002 - 0 - 0</v>
      </c>
    </row>
    <row r="1065" spans="1:15" x14ac:dyDescent="0.25">
      <c r="A1065" s="1">
        <v>908478</v>
      </c>
      <c r="B1065" s="1" t="s">
        <v>56</v>
      </c>
      <c r="C1065" s="1" t="s">
        <v>57</v>
      </c>
      <c r="D1065" s="2">
        <v>44610.526201539353</v>
      </c>
      <c r="E1065" s="1" t="s">
        <v>8</v>
      </c>
      <c r="F1065" s="1">
        <v>1</v>
      </c>
      <c r="G1065" s="1">
        <v>0</v>
      </c>
      <c r="H1065" s="6">
        <f>INT(Query1[[#This Row],[EntryDateTime]])</f>
        <v>44610</v>
      </c>
      <c r="I1065" s="1">
        <f>IF(Query1[[#This Row],[ItemType]]="EVAP KIT SF GEN IV",Query1[[#This Row],[OrderQty]]+I1064,I1064)</f>
        <v>1182</v>
      </c>
      <c r="J1065" s="1">
        <f>IF(Query1[[#This Row],[ItemType]]="EVAP KIT UNIVERSAL",Query1[[#This Row],[OrderQty]]+J1064,J1064)</f>
        <v>530</v>
      </c>
      <c r="K1065" s="1">
        <f>Query1[[#This Row],[SF Running Total]]+Query1[[#This Row],[UNIV Running Total]]</f>
        <v>1712</v>
      </c>
      <c r="L1065">
        <f>VLOOKUP(Query1[[#This Row],[Description]],'kits to boards'!$B$2:$E$156,2,FALSE)</f>
        <v>830011</v>
      </c>
      <c r="M1065">
        <f>VLOOKUP(Query1[[#This Row],[Description]],'kits to boards'!$B$2:$E$156,3,FALSE)</f>
        <v>0</v>
      </c>
      <c r="N1065">
        <f>VLOOKUP(Query1[[#This Row],[Description]],'kits to boards'!$B$2:$E$156,4,FALSE)</f>
        <v>0</v>
      </c>
      <c r="O1065" t="str">
        <f>CONCATENATE(Query1[[#This Row],[Description]]," - ",Query1[[#This Row],[MB1]]," - ",Query1[[#This Row],[MB2]]," - ",Query1[[#This Row],[MB3]])</f>
        <v>EVAP KIT 70-72 CHEVELLE W/AC - 830011 - 0 - 0</v>
      </c>
    </row>
    <row r="1066" spans="1:15" x14ac:dyDescent="0.25">
      <c r="A1066" s="1">
        <v>911653</v>
      </c>
      <c r="B1066" s="1" t="s">
        <v>210</v>
      </c>
      <c r="C1066" s="1" t="s">
        <v>211</v>
      </c>
      <c r="D1066" s="2">
        <v>44610.534095636576</v>
      </c>
      <c r="E1066" s="1" t="s">
        <v>8</v>
      </c>
      <c r="F1066" s="1">
        <v>1</v>
      </c>
      <c r="G1066" s="1">
        <v>0</v>
      </c>
      <c r="H1066" s="6">
        <f>INT(Query1[[#This Row],[EntryDateTime]])</f>
        <v>44610</v>
      </c>
      <c r="I1066" s="1">
        <f>IF(Query1[[#This Row],[ItemType]]="EVAP KIT SF GEN IV",Query1[[#This Row],[OrderQty]]+I1065,I1065)</f>
        <v>1183</v>
      </c>
      <c r="J1066" s="1">
        <f>IF(Query1[[#This Row],[ItemType]]="EVAP KIT UNIVERSAL",Query1[[#This Row],[OrderQty]]+J1065,J1065)</f>
        <v>530</v>
      </c>
      <c r="K1066" s="1">
        <f>Query1[[#This Row],[SF Running Total]]+Query1[[#This Row],[UNIV Running Total]]</f>
        <v>1713</v>
      </c>
      <c r="L1066">
        <f>VLOOKUP(Query1[[#This Row],[Description]],'kits to boards'!$B$2:$E$156,2,FALSE)</f>
        <v>830094</v>
      </c>
      <c r="M1066">
        <f>VLOOKUP(Query1[[#This Row],[Description]],'kits to boards'!$B$2:$E$156,3,FALSE)</f>
        <v>0</v>
      </c>
      <c r="N1066">
        <f>VLOOKUP(Query1[[#This Row],[Description]],'kits to boards'!$B$2:$E$156,4,FALSE)</f>
        <v>0</v>
      </c>
      <c r="O1066" t="str">
        <f>CONCATENATE(Query1[[#This Row],[Description]]," - ",Query1[[#This Row],[MB1]]," - ",Query1[[#This Row],[MB2]]," - ",Query1[[#This Row],[MB3]])</f>
        <v>EVAP KIT 74-76 VETTE W/AC - 830094 - 0 - 0</v>
      </c>
    </row>
    <row r="1067" spans="1:15" x14ac:dyDescent="0.25">
      <c r="A1067" s="1">
        <v>911658</v>
      </c>
      <c r="B1067" s="1" t="s">
        <v>86</v>
      </c>
      <c r="C1067" s="1" t="s">
        <v>87</v>
      </c>
      <c r="D1067" s="2">
        <v>44610.541769710646</v>
      </c>
      <c r="E1067" s="1" t="s">
        <v>8</v>
      </c>
      <c r="F1067" s="1">
        <v>1</v>
      </c>
      <c r="G1067" s="1">
        <v>0</v>
      </c>
      <c r="H1067" s="6">
        <f>INT(Query1[[#This Row],[EntryDateTime]])</f>
        <v>44610</v>
      </c>
      <c r="I1067" s="1">
        <f>IF(Query1[[#This Row],[ItemType]]="EVAP KIT SF GEN IV",Query1[[#This Row],[OrderQty]]+I1066,I1066)</f>
        <v>1184</v>
      </c>
      <c r="J1067" s="1">
        <f>IF(Query1[[#This Row],[ItemType]]="EVAP KIT UNIVERSAL",Query1[[#This Row],[OrderQty]]+J1066,J1066)</f>
        <v>530</v>
      </c>
      <c r="K1067" s="1">
        <f>Query1[[#This Row],[SF Running Total]]+Query1[[#This Row],[UNIV Running Total]]</f>
        <v>1714</v>
      </c>
      <c r="L1067">
        <f>VLOOKUP(Query1[[#This Row],[Description]],'kits to boards'!$B$2:$E$156,2,FALSE)</f>
        <v>830048</v>
      </c>
      <c r="M1067">
        <f>VLOOKUP(Query1[[#This Row],[Description]],'kits to boards'!$B$2:$E$156,3,FALSE)</f>
        <v>0</v>
      </c>
      <c r="N1067">
        <f>VLOOKUP(Query1[[#This Row],[Description]],'kits to boards'!$B$2:$E$156,4,FALSE)</f>
        <v>0</v>
      </c>
      <c r="O1067" t="str">
        <f>CONCATENATE(Query1[[#This Row],[Description]]," - ",Query1[[#This Row],[MB1]]," - ",Query1[[#This Row],[MB2]]," - ",Query1[[#This Row],[MB3]])</f>
        <v>EVAP KIT 66-67 NOVA - 830048 - 0 - 0</v>
      </c>
    </row>
    <row r="1068" spans="1:15" x14ac:dyDescent="0.25">
      <c r="A1068" s="1">
        <v>910495</v>
      </c>
      <c r="B1068" s="1" t="s">
        <v>24</v>
      </c>
      <c r="C1068" s="1" t="s">
        <v>25</v>
      </c>
      <c r="D1068" s="2">
        <v>44610.550016238427</v>
      </c>
      <c r="E1068" s="1" t="s">
        <v>11</v>
      </c>
      <c r="F1068" s="1">
        <v>1</v>
      </c>
      <c r="G1068" s="1">
        <v>0</v>
      </c>
      <c r="H1068" s="6">
        <f>INT(Query1[[#This Row],[EntryDateTime]])</f>
        <v>44610</v>
      </c>
      <c r="I1068" s="1">
        <f>IF(Query1[[#This Row],[ItemType]]="EVAP KIT SF GEN IV",Query1[[#This Row],[OrderQty]]+I1067,I1067)</f>
        <v>1184</v>
      </c>
      <c r="J1068" s="1">
        <f>IF(Query1[[#This Row],[ItemType]]="EVAP KIT UNIVERSAL",Query1[[#This Row],[OrderQty]]+J1067,J1067)</f>
        <v>531</v>
      </c>
      <c r="K1068" s="1">
        <f>Query1[[#This Row],[SF Running Total]]+Query1[[#This Row],[UNIV Running Total]]</f>
        <v>1715</v>
      </c>
      <c r="L1068">
        <f>VLOOKUP(Query1[[#This Row],[Description]],'kits to boards'!$B$2:$E$156,2,FALSE)</f>
        <v>830029</v>
      </c>
      <c r="M1068">
        <f>VLOOKUP(Query1[[#This Row],[Description]],'kits to boards'!$B$2:$E$156,3,FALSE)</f>
        <v>830030</v>
      </c>
      <c r="N1068">
        <f>VLOOKUP(Query1[[#This Row],[Description]],'kits to boards'!$B$2:$E$156,4,FALSE)</f>
        <v>0</v>
      </c>
      <c r="O1068" t="str">
        <f>CONCATENATE(Query1[[#This Row],[Description]]," - ",Query1[[#This Row],[MB1]]," - ",Query1[[#This Row],[MB2]]," - ",Query1[[#This Row],[MB3]])</f>
        <v>ComPac GEN II W/DEF - 830029 - 830030 - 0</v>
      </c>
    </row>
    <row r="1069" spans="1:15" x14ac:dyDescent="0.25">
      <c r="A1069" s="1">
        <v>911667</v>
      </c>
      <c r="B1069" s="1" t="s">
        <v>132</v>
      </c>
      <c r="C1069" s="1" t="s">
        <v>133</v>
      </c>
      <c r="D1069" s="2">
        <v>44610.556057372683</v>
      </c>
      <c r="E1069" s="1" t="s">
        <v>8</v>
      </c>
      <c r="F1069" s="1">
        <v>1</v>
      </c>
      <c r="G1069" s="1">
        <v>0</v>
      </c>
      <c r="H1069" s="6">
        <f>INT(Query1[[#This Row],[EntryDateTime]])</f>
        <v>44610</v>
      </c>
      <c r="I1069" s="1">
        <f>IF(Query1[[#This Row],[ItemType]]="EVAP KIT SF GEN IV",Query1[[#This Row],[OrderQty]]+I1068,I1068)</f>
        <v>1185</v>
      </c>
      <c r="J1069" s="1">
        <f>IF(Query1[[#This Row],[ItemType]]="EVAP KIT UNIVERSAL",Query1[[#This Row],[OrderQty]]+J1068,J1068)</f>
        <v>531</v>
      </c>
      <c r="K1069" s="1">
        <f>Query1[[#This Row],[SF Running Total]]+Query1[[#This Row],[UNIV Running Total]]</f>
        <v>1716</v>
      </c>
      <c r="L1069">
        <f>VLOOKUP(Query1[[#This Row],[Description]],'kits to boards'!$B$2:$E$156,2,FALSE)</f>
        <v>830005</v>
      </c>
      <c r="M1069">
        <f>VLOOKUP(Query1[[#This Row],[Description]],'kits to boards'!$B$2:$E$156,3,FALSE)</f>
        <v>0</v>
      </c>
      <c r="N1069">
        <f>VLOOKUP(Query1[[#This Row],[Description]],'kits to boards'!$B$2:$E$156,4,FALSE)</f>
        <v>0</v>
      </c>
      <c r="O1069" t="str">
        <f>CONCATENATE(Query1[[#This Row],[Description]]," - ",Query1[[#This Row],[MB1]]," - ",Query1[[#This Row],[MB2]]," - ",Query1[[#This Row],[MB3]])</f>
        <v>EVAP KIT 61-62 IMPALA WO AC - 830005 - 0 - 0</v>
      </c>
    </row>
    <row r="1070" spans="1:15" x14ac:dyDescent="0.25">
      <c r="A1070" s="1">
        <v>911667</v>
      </c>
      <c r="B1070" s="1" t="s">
        <v>134</v>
      </c>
      <c r="C1070" s="1" t="s">
        <v>135</v>
      </c>
      <c r="D1070" s="2">
        <v>44610.556296643517</v>
      </c>
      <c r="E1070" s="1" t="s">
        <v>8</v>
      </c>
      <c r="F1070" s="1">
        <v>1</v>
      </c>
      <c r="G1070" s="1">
        <v>0</v>
      </c>
      <c r="H1070" s="6">
        <f>INT(Query1[[#This Row],[EntryDateTime]])</f>
        <v>44610</v>
      </c>
      <c r="I1070" s="1">
        <f>IF(Query1[[#This Row],[ItemType]]="EVAP KIT SF GEN IV",Query1[[#This Row],[OrderQty]]+I1069,I1069)</f>
        <v>1186</v>
      </c>
      <c r="J1070" s="1">
        <f>IF(Query1[[#This Row],[ItemType]]="EVAP KIT UNIVERSAL",Query1[[#This Row],[OrderQty]]+J1069,J1069)</f>
        <v>531</v>
      </c>
      <c r="K1070" s="1">
        <f>Query1[[#This Row],[SF Running Total]]+Query1[[#This Row],[UNIV Running Total]]</f>
        <v>1717</v>
      </c>
      <c r="L1070">
        <f>VLOOKUP(Query1[[#This Row],[Description]],'kits to boards'!$B$2:$E$156,2,FALSE)</f>
        <v>830007</v>
      </c>
      <c r="M1070">
        <f>VLOOKUP(Query1[[#This Row],[Description]],'kits to boards'!$B$2:$E$156,3,FALSE)</f>
        <v>0</v>
      </c>
      <c r="N1070">
        <f>VLOOKUP(Query1[[#This Row],[Description]],'kits to boards'!$B$2:$E$156,4,FALSE)</f>
        <v>0</v>
      </c>
      <c r="O1070" t="str">
        <f>CONCATENATE(Query1[[#This Row],[Description]]," - ",Query1[[#This Row],[MB1]]," - ",Query1[[#This Row],[MB2]]," - ",Query1[[#This Row],[MB3]])</f>
        <v>EVAP KIT 64 IMPALA WO AC - 830007 - 0 - 0</v>
      </c>
    </row>
    <row r="1071" spans="1:15" x14ac:dyDescent="0.25">
      <c r="A1071" s="1">
        <v>911592</v>
      </c>
      <c r="B1071" s="1" t="s">
        <v>126</v>
      </c>
      <c r="C1071" s="1" t="s">
        <v>127</v>
      </c>
      <c r="D1071" s="2">
        <v>44610.561666979163</v>
      </c>
      <c r="E1071" s="1" t="s">
        <v>8</v>
      </c>
      <c r="F1071" s="1">
        <v>1</v>
      </c>
      <c r="G1071" s="1">
        <v>0</v>
      </c>
      <c r="H1071" s="6">
        <f>INT(Query1[[#This Row],[EntryDateTime]])</f>
        <v>44610</v>
      </c>
      <c r="I1071" s="1">
        <f>IF(Query1[[#This Row],[ItemType]]="EVAP KIT SF GEN IV",Query1[[#This Row],[OrderQty]]+I1070,I1070)</f>
        <v>1187</v>
      </c>
      <c r="J1071" s="1">
        <f>IF(Query1[[#This Row],[ItemType]]="EVAP KIT UNIVERSAL",Query1[[#This Row],[OrderQty]]+J1070,J1070)</f>
        <v>531</v>
      </c>
      <c r="K1071" s="1">
        <f>Query1[[#This Row],[SF Running Total]]+Query1[[#This Row],[UNIV Running Total]]</f>
        <v>1718</v>
      </c>
      <c r="L1071">
        <f>VLOOKUP(Query1[[#This Row],[Description]],'kits to boards'!$B$2:$E$156,2,FALSE)</f>
        <v>830080</v>
      </c>
      <c r="M1071">
        <f>VLOOKUP(Query1[[#This Row],[Description]],'kits to boards'!$B$2:$E$156,3,FALSE)</f>
        <v>0</v>
      </c>
      <c r="N1071">
        <f>VLOOKUP(Query1[[#This Row],[Description]],'kits to boards'!$B$2:$E$156,4,FALSE)</f>
        <v>0</v>
      </c>
      <c r="O1071" t="str">
        <f>CONCATENATE(Query1[[#This Row],[Description]]," - ",Query1[[#This Row],[MB1]]," - ",Query1[[#This Row],[MB2]]," - ",Query1[[#This Row],[MB3]])</f>
        <v>EVAP KIT 69-70 MUSTANG WO AC  - 830080 - 0 - 0</v>
      </c>
    </row>
    <row r="1072" spans="1:15" x14ac:dyDescent="0.25">
      <c r="A1072" s="1">
        <v>911671</v>
      </c>
      <c r="B1072" s="1" t="s">
        <v>54</v>
      </c>
      <c r="C1072" s="1" t="s">
        <v>55</v>
      </c>
      <c r="D1072" s="2">
        <v>44610.573254629628</v>
      </c>
      <c r="E1072" s="1" t="s">
        <v>8</v>
      </c>
      <c r="F1072" s="1">
        <v>1</v>
      </c>
      <c r="G1072" s="1">
        <v>0</v>
      </c>
      <c r="H1072" s="6">
        <f>INT(Query1[[#This Row],[EntryDateTime]])</f>
        <v>44610</v>
      </c>
      <c r="I1072" s="1">
        <f>IF(Query1[[#This Row],[ItemType]]="EVAP KIT SF GEN IV",Query1[[#This Row],[OrderQty]]+I1071,I1071)</f>
        <v>1188</v>
      </c>
      <c r="J1072" s="1">
        <f>IF(Query1[[#This Row],[ItemType]]="EVAP KIT UNIVERSAL",Query1[[#This Row],[OrderQty]]+J1071,J1071)</f>
        <v>531</v>
      </c>
      <c r="K1072" s="1">
        <f>Query1[[#This Row],[SF Running Total]]+Query1[[#This Row],[UNIV Running Total]]</f>
        <v>1719</v>
      </c>
      <c r="L1072">
        <f>VLOOKUP(Query1[[#This Row],[Description]],'kits to boards'!$B$2:$E$156,2,FALSE)</f>
        <v>830037</v>
      </c>
      <c r="M1072">
        <f>VLOOKUP(Query1[[#This Row],[Description]],'kits to boards'!$B$2:$E$156,3,FALSE)</f>
        <v>0</v>
      </c>
      <c r="N1072">
        <f>VLOOKUP(Query1[[#This Row],[Description]],'kits to boards'!$B$2:$E$156,4,FALSE)</f>
        <v>0</v>
      </c>
      <c r="O1072" t="str">
        <f>CONCATENATE(Query1[[#This Row],[Description]]," - ",Query1[[#This Row],[MB1]]," - ",Query1[[#This Row],[MB2]]," - ",Query1[[#This Row],[MB3]])</f>
        <v>EVAP KIT 70-81 FIREBIRD W/AC - 830037 - 0 - 0</v>
      </c>
    </row>
    <row r="1073" spans="1:15" x14ac:dyDescent="0.25">
      <c r="A1073" s="1">
        <v>911672</v>
      </c>
      <c r="B1073" s="1" t="s">
        <v>70</v>
      </c>
      <c r="C1073" s="1" t="s">
        <v>71</v>
      </c>
      <c r="D1073" s="2">
        <v>44610.574213344909</v>
      </c>
      <c r="E1073" s="1" t="s">
        <v>8</v>
      </c>
      <c r="F1073" s="1">
        <v>1</v>
      </c>
      <c r="G1073" s="1">
        <v>0</v>
      </c>
      <c r="H1073" s="6">
        <f>INT(Query1[[#This Row],[EntryDateTime]])</f>
        <v>44610</v>
      </c>
      <c r="I1073" s="1">
        <f>IF(Query1[[#This Row],[ItemType]]="EVAP KIT SF GEN IV",Query1[[#This Row],[OrderQty]]+I1072,I1072)</f>
        <v>1189</v>
      </c>
      <c r="J1073" s="1">
        <f>IF(Query1[[#This Row],[ItemType]]="EVAP KIT UNIVERSAL",Query1[[#This Row],[OrderQty]]+J1072,J1072)</f>
        <v>531</v>
      </c>
      <c r="K1073" s="1">
        <f>Query1[[#This Row],[SF Running Total]]+Query1[[#This Row],[UNIV Running Total]]</f>
        <v>1720</v>
      </c>
      <c r="L1073">
        <f>VLOOKUP(Query1[[#This Row],[Description]],'kits to boards'!$B$2:$E$156,2,FALSE)</f>
        <v>830050</v>
      </c>
      <c r="M1073">
        <f>VLOOKUP(Query1[[#This Row],[Description]],'kits to boards'!$B$2:$E$156,3,FALSE)</f>
        <v>0</v>
      </c>
      <c r="N1073">
        <f>VLOOKUP(Query1[[#This Row],[Description]],'kits to boards'!$B$2:$E$156,4,FALSE)</f>
        <v>0</v>
      </c>
      <c r="O1073" t="str">
        <f>CONCATENATE(Query1[[#This Row],[Description]]," - ",Query1[[#This Row],[MB1]]," - ",Query1[[#This Row],[MB2]]," - ",Query1[[#This Row],[MB3]])</f>
        <v>EVAP KIT 70-78 CAMARO WO AC - 830050 - 0 - 0</v>
      </c>
    </row>
    <row r="1074" spans="1:15" x14ac:dyDescent="0.25">
      <c r="A1074" s="1">
        <v>909890</v>
      </c>
      <c r="B1074" s="1" t="s">
        <v>22</v>
      </c>
      <c r="C1074" s="1" t="s">
        <v>23</v>
      </c>
      <c r="D1074" s="2">
        <v>44610.575355439818</v>
      </c>
      <c r="E1074" s="1" t="s">
        <v>8</v>
      </c>
      <c r="F1074" s="1">
        <v>1</v>
      </c>
      <c r="G1074" s="1">
        <v>0</v>
      </c>
      <c r="H1074" s="6">
        <f>INT(Query1[[#This Row],[EntryDateTime]])</f>
        <v>44610</v>
      </c>
      <c r="I1074" s="1">
        <f>IF(Query1[[#This Row],[ItemType]]="EVAP KIT SF GEN IV",Query1[[#This Row],[OrderQty]]+I1073,I1073)</f>
        <v>1190</v>
      </c>
      <c r="J1074" s="1">
        <f>IF(Query1[[#This Row],[ItemType]]="EVAP KIT UNIVERSAL",Query1[[#This Row],[OrderQty]]+J1073,J1073)</f>
        <v>531</v>
      </c>
      <c r="K1074" s="1">
        <f>Query1[[#This Row],[SF Running Total]]+Query1[[#This Row],[UNIV Running Total]]</f>
        <v>1721</v>
      </c>
      <c r="L1074">
        <f>VLOOKUP(Query1[[#This Row],[Description]],'kits to boards'!$B$2:$E$156,2,FALSE)</f>
        <v>830083</v>
      </c>
      <c r="M1074">
        <f>VLOOKUP(Query1[[#This Row],[Description]],'kits to boards'!$B$2:$E$156,3,FALSE)</f>
        <v>0</v>
      </c>
      <c r="N1074">
        <f>VLOOKUP(Query1[[#This Row],[Description]],'kits to boards'!$B$2:$E$156,4,FALSE)</f>
        <v>0</v>
      </c>
      <c r="O1074" t="str">
        <f>CONCATENATE(Query1[[#This Row],[Description]]," - ",Query1[[#This Row],[MB1]]," - ",Query1[[#This Row],[MB2]]," - ",Query1[[#This Row],[MB3]])</f>
        <v>GEN IV MAGNUM EVAP KIT - 830083 - 0 - 0</v>
      </c>
    </row>
    <row r="1075" spans="1:15" x14ac:dyDescent="0.25">
      <c r="A1075" s="1">
        <v>911676</v>
      </c>
      <c r="B1075" s="1" t="s">
        <v>30</v>
      </c>
      <c r="C1075" s="1" t="s">
        <v>31</v>
      </c>
      <c r="D1075" s="2">
        <v>44610.576427465276</v>
      </c>
      <c r="E1075" s="1" t="s">
        <v>8</v>
      </c>
      <c r="F1075" s="1">
        <v>1</v>
      </c>
      <c r="G1075" s="1">
        <v>0</v>
      </c>
      <c r="H1075" s="6">
        <f>INT(Query1[[#This Row],[EntryDateTime]])</f>
        <v>44610</v>
      </c>
      <c r="I1075" s="1">
        <f>IF(Query1[[#This Row],[ItemType]]="EVAP KIT SF GEN IV",Query1[[#This Row],[OrderQty]]+I1074,I1074)</f>
        <v>1191</v>
      </c>
      <c r="J1075" s="1">
        <f>IF(Query1[[#This Row],[ItemType]]="EVAP KIT UNIVERSAL",Query1[[#This Row],[OrderQty]]+J1074,J1074)</f>
        <v>531</v>
      </c>
      <c r="K1075" s="1">
        <f>Query1[[#This Row],[SF Running Total]]+Query1[[#This Row],[UNIV Running Total]]</f>
        <v>1722</v>
      </c>
      <c r="L1075">
        <f>VLOOKUP(Query1[[#This Row],[Description]],'kits to boards'!$B$2:$E$156,2,FALSE)</f>
        <v>830054</v>
      </c>
      <c r="M1075">
        <f>VLOOKUP(Query1[[#This Row],[Description]],'kits to boards'!$B$2:$E$156,3,FALSE)</f>
        <v>0</v>
      </c>
      <c r="N1075">
        <f>VLOOKUP(Query1[[#This Row],[Description]],'kits to boards'!$B$2:$E$156,4,FALSE)</f>
        <v>0</v>
      </c>
      <c r="O1075" t="str">
        <f>CONCATENATE(Query1[[#This Row],[Description]]," - ",Query1[[#This Row],[MB1]]," - ",Query1[[#This Row],[MB2]]," - ",Query1[[#This Row],[MB3]])</f>
        <v>EVAP KIT 55-56 CHEVY 4-VENT - 830054 - 0 - 0</v>
      </c>
    </row>
    <row r="1076" spans="1:15" x14ac:dyDescent="0.25">
      <c r="A1076" s="1">
        <v>911285</v>
      </c>
      <c r="B1076" s="1" t="s">
        <v>156</v>
      </c>
      <c r="C1076" s="1" t="s">
        <v>157</v>
      </c>
      <c r="D1076" s="2">
        <v>44610.581078124997</v>
      </c>
      <c r="E1076" s="1" t="s">
        <v>8</v>
      </c>
      <c r="F1076" s="1">
        <v>1</v>
      </c>
      <c r="G1076" s="1">
        <v>0</v>
      </c>
      <c r="H1076" s="6">
        <f>INT(Query1[[#This Row],[EntryDateTime]])</f>
        <v>44610</v>
      </c>
      <c r="I1076" s="1">
        <f>IF(Query1[[#This Row],[ItemType]]="EVAP KIT SF GEN IV",Query1[[#This Row],[OrderQty]]+I1075,I1075)</f>
        <v>1192</v>
      </c>
      <c r="J1076" s="1">
        <f>IF(Query1[[#This Row],[ItemType]]="EVAP KIT UNIVERSAL",Query1[[#This Row],[OrderQty]]+J1075,J1075)</f>
        <v>531</v>
      </c>
      <c r="K1076" s="1">
        <f>Query1[[#This Row],[SF Running Total]]+Query1[[#This Row],[UNIV Running Total]]</f>
        <v>1723</v>
      </c>
      <c r="L1076">
        <f>VLOOKUP(Query1[[#This Row],[Description]],'kits to boards'!$B$2:$E$156,2,FALSE)</f>
        <v>830019</v>
      </c>
      <c r="M1076">
        <f>VLOOKUP(Query1[[#This Row],[Description]],'kits to boards'!$B$2:$E$156,3,FALSE)</f>
        <v>0</v>
      </c>
      <c r="N1076">
        <f>VLOOKUP(Query1[[#This Row],[Description]],'kits to boards'!$B$2:$E$156,4,FALSE)</f>
        <v>0</v>
      </c>
      <c r="O1076" t="str">
        <f>CONCATENATE(Query1[[#This Row],[Description]]," - ",Query1[[#This Row],[MB1]]," - ",Query1[[#This Row],[MB2]]," - ",Query1[[#This Row],[MB3]])</f>
        <v>EVAP KIT 70-81 FIREBIRD WO AC - 830019 - 0 - 0</v>
      </c>
    </row>
    <row r="1077" spans="1:15" x14ac:dyDescent="0.25">
      <c r="A1077" s="1">
        <v>911631</v>
      </c>
      <c r="B1077" s="1" t="s">
        <v>22</v>
      </c>
      <c r="C1077" s="1" t="s">
        <v>23</v>
      </c>
      <c r="D1077" s="2">
        <v>44610.581417511574</v>
      </c>
      <c r="E1077" s="1" t="s">
        <v>8</v>
      </c>
      <c r="F1077" s="1">
        <v>1</v>
      </c>
      <c r="G1077" s="1">
        <v>0</v>
      </c>
      <c r="H1077" s="6">
        <f>INT(Query1[[#This Row],[EntryDateTime]])</f>
        <v>44610</v>
      </c>
      <c r="I1077" s="1">
        <f>IF(Query1[[#This Row],[ItemType]]="EVAP KIT SF GEN IV",Query1[[#This Row],[OrderQty]]+I1076,I1076)</f>
        <v>1193</v>
      </c>
      <c r="J1077" s="1">
        <f>IF(Query1[[#This Row],[ItemType]]="EVAP KIT UNIVERSAL",Query1[[#This Row],[OrderQty]]+J1076,J1076)</f>
        <v>531</v>
      </c>
      <c r="K1077" s="1">
        <f>Query1[[#This Row],[SF Running Total]]+Query1[[#This Row],[UNIV Running Total]]</f>
        <v>1724</v>
      </c>
      <c r="L1077">
        <f>VLOOKUP(Query1[[#This Row],[Description]],'kits to boards'!$B$2:$E$156,2,FALSE)</f>
        <v>830083</v>
      </c>
      <c r="M1077">
        <f>VLOOKUP(Query1[[#This Row],[Description]],'kits to boards'!$B$2:$E$156,3,FALSE)</f>
        <v>0</v>
      </c>
      <c r="N1077">
        <f>VLOOKUP(Query1[[#This Row],[Description]],'kits to boards'!$B$2:$E$156,4,FALSE)</f>
        <v>0</v>
      </c>
      <c r="O1077" t="str">
        <f>CONCATENATE(Query1[[#This Row],[Description]]," - ",Query1[[#This Row],[MB1]]," - ",Query1[[#This Row],[MB2]]," - ",Query1[[#This Row],[MB3]])</f>
        <v>GEN IV MAGNUM EVAP KIT - 830083 - 0 - 0</v>
      </c>
    </row>
    <row r="1078" spans="1:15" x14ac:dyDescent="0.25">
      <c r="A1078" s="1">
        <v>910561</v>
      </c>
      <c r="B1078" s="1" t="s">
        <v>14</v>
      </c>
      <c r="C1078" s="1" t="s">
        <v>15</v>
      </c>
      <c r="D1078" s="2">
        <v>44610.584859872688</v>
      </c>
      <c r="E1078" s="1" t="s">
        <v>8</v>
      </c>
      <c r="F1078" s="1">
        <v>1</v>
      </c>
      <c r="G1078" s="1">
        <v>0</v>
      </c>
      <c r="H1078" s="6">
        <f>INT(Query1[[#This Row],[EntryDateTime]])</f>
        <v>44610</v>
      </c>
      <c r="I1078" s="1">
        <f>IF(Query1[[#This Row],[ItemType]]="EVAP KIT SF GEN IV",Query1[[#This Row],[OrderQty]]+I1077,I1077)</f>
        <v>1194</v>
      </c>
      <c r="J1078" s="1">
        <f>IF(Query1[[#This Row],[ItemType]]="EVAP KIT UNIVERSAL",Query1[[#This Row],[OrderQty]]+J1077,J1077)</f>
        <v>531</v>
      </c>
      <c r="K1078" s="1">
        <f>Query1[[#This Row],[SF Running Total]]+Query1[[#This Row],[UNIV Running Total]]</f>
        <v>1725</v>
      </c>
      <c r="L1078">
        <f>VLOOKUP(Query1[[#This Row],[Description]],'kits to boards'!$B$2:$E$156,2,FALSE)</f>
        <v>830054</v>
      </c>
      <c r="M1078">
        <f>VLOOKUP(Query1[[#This Row],[Description]],'kits to boards'!$B$2:$E$156,3,FALSE)</f>
        <v>0</v>
      </c>
      <c r="N1078">
        <f>VLOOKUP(Query1[[#This Row],[Description]],'kits to boards'!$B$2:$E$156,4,FALSE)</f>
        <v>0</v>
      </c>
      <c r="O1078" t="str">
        <f>CONCATENATE(Query1[[#This Row],[Description]]," - ",Query1[[#This Row],[MB1]]," - ",Query1[[#This Row],[MB2]]," - ",Query1[[#This Row],[MB3]])</f>
        <v>EVAP KIT 55-56 CHEVY - 830054 - 0 - 0</v>
      </c>
    </row>
    <row r="1079" spans="1:15" x14ac:dyDescent="0.25">
      <c r="A1079" s="1">
        <v>911681</v>
      </c>
      <c r="B1079" s="1" t="s">
        <v>22</v>
      </c>
      <c r="C1079" s="1" t="s">
        <v>23</v>
      </c>
      <c r="D1079" s="2">
        <v>44610.585652465277</v>
      </c>
      <c r="E1079" s="1" t="s">
        <v>8</v>
      </c>
      <c r="F1079" s="1">
        <v>1</v>
      </c>
      <c r="G1079" s="1">
        <v>0</v>
      </c>
      <c r="H1079" s="6">
        <f>INT(Query1[[#This Row],[EntryDateTime]])</f>
        <v>44610</v>
      </c>
      <c r="I1079" s="1">
        <f>IF(Query1[[#This Row],[ItemType]]="EVAP KIT SF GEN IV",Query1[[#This Row],[OrderQty]]+I1078,I1078)</f>
        <v>1195</v>
      </c>
      <c r="J1079" s="1">
        <f>IF(Query1[[#This Row],[ItemType]]="EVAP KIT UNIVERSAL",Query1[[#This Row],[OrderQty]]+J1078,J1078)</f>
        <v>531</v>
      </c>
      <c r="K1079" s="1">
        <f>Query1[[#This Row],[SF Running Total]]+Query1[[#This Row],[UNIV Running Total]]</f>
        <v>1726</v>
      </c>
      <c r="L1079">
        <f>VLOOKUP(Query1[[#This Row],[Description]],'kits to boards'!$B$2:$E$156,2,FALSE)</f>
        <v>830083</v>
      </c>
      <c r="M1079">
        <f>VLOOKUP(Query1[[#This Row],[Description]],'kits to boards'!$B$2:$E$156,3,FALSE)</f>
        <v>0</v>
      </c>
      <c r="N1079">
        <f>VLOOKUP(Query1[[#This Row],[Description]],'kits to boards'!$B$2:$E$156,4,FALSE)</f>
        <v>0</v>
      </c>
      <c r="O1079" t="str">
        <f>CONCATENATE(Query1[[#This Row],[Description]]," - ",Query1[[#This Row],[MB1]]," - ",Query1[[#This Row],[MB2]]," - ",Query1[[#This Row],[MB3]])</f>
        <v>GEN IV MAGNUM EVAP KIT - 830083 - 0 - 0</v>
      </c>
    </row>
    <row r="1080" spans="1:15" x14ac:dyDescent="0.25">
      <c r="A1080" s="1">
        <v>908839</v>
      </c>
      <c r="B1080" s="1" t="s">
        <v>94</v>
      </c>
      <c r="C1080" s="1" t="s">
        <v>95</v>
      </c>
      <c r="D1080" s="2">
        <v>44610.588039120368</v>
      </c>
      <c r="E1080" s="1" t="s">
        <v>8</v>
      </c>
      <c r="F1080" s="1">
        <v>1</v>
      </c>
      <c r="G1080" s="1">
        <v>0</v>
      </c>
      <c r="H1080" s="6">
        <f>INT(Query1[[#This Row],[EntryDateTime]])</f>
        <v>44610</v>
      </c>
      <c r="I1080" s="1">
        <f>IF(Query1[[#This Row],[ItemType]]="EVAP KIT SF GEN IV",Query1[[#This Row],[OrderQty]]+I1079,I1079)</f>
        <v>1196</v>
      </c>
      <c r="J1080" s="1">
        <f>IF(Query1[[#This Row],[ItemType]]="EVAP KIT UNIVERSAL",Query1[[#This Row],[OrderQty]]+J1079,J1079)</f>
        <v>531</v>
      </c>
      <c r="K1080" s="1">
        <f>Query1[[#This Row],[SF Running Total]]+Query1[[#This Row],[UNIV Running Total]]</f>
        <v>1727</v>
      </c>
      <c r="L1080">
        <f>VLOOKUP(Query1[[#This Row],[Description]],'kits to boards'!$B$2:$E$156,2,FALSE)</f>
        <v>830076</v>
      </c>
      <c r="M1080">
        <f>VLOOKUP(Query1[[#This Row],[Description]],'kits to boards'!$B$2:$E$156,3,FALSE)</f>
        <v>0</v>
      </c>
      <c r="N1080">
        <f>VLOOKUP(Query1[[#This Row],[Description]],'kits to boards'!$B$2:$E$156,4,FALSE)</f>
        <v>0</v>
      </c>
      <c r="O1080" t="str">
        <f>CONCATENATE(Query1[[#This Row],[Description]]," - ",Query1[[#This Row],[MB1]]," - ",Query1[[#This Row],[MB2]]," - ",Query1[[#This Row],[MB3]])</f>
        <v>EVAP KIT 64 1/2- 66 MUSTANG  - 830076 - 0 - 0</v>
      </c>
    </row>
    <row r="1081" spans="1:15" x14ac:dyDescent="0.25">
      <c r="A1081" s="1">
        <v>906427</v>
      </c>
      <c r="B1081" s="1" t="s">
        <v>22</v>
      </c>
      <c r="C1081" s="1" t="s">
        <v>23</v>
      </c>
      <c r="D1081" s="2">
        <v>44610.58948440972</v>
      </c>
      <c r="E1081" s="1" t="s">
        <v>8</v>
      </c>
      <c r="F1081" s="1">
        <v>1</v>
      </c>
      <c r="G1081" s="1">
        <v>0</v>
      </c>
      <c r="H1081" s="6">
        <f>INT(Query1[[#This Row],[EntryDateTime]])</f>
        <v>44610</v>
      </c>
      <c r="I1081" s="1">
        <f>IF(Query1[[#This Row],[ItemType]]="EVAP KIT SF GEN IV",Query1[[#This Row],[OrderQty]]+I1080,I1080)</f>
        <v>1197</v>
      </c>
      <c r="J1081" s="1">
        <f>IF(Query1[[#This Row],[ItemType]]="EVAP KIT UNIVERSAL",Query1[[#This Row],[OrderQty]]+J1080,J1080)</f>
        <v>531</v>
      </c>
      <c r="K1081" s="1">
        <f>Query1[[#This Row],[SF Running Total]]+Query1[[#This Row],[UNIV Running Total]]</f>
        <v>1728</v>
      </c>
      <c r="L1081">
        <f>VLOOKUP(Query1[[#This Row],[Description]],'kits to boards'!$B$2:$E$156,2,FALSE)</f>
        <v>830083</v>
      </c>
      <c r="M1081">
        <f>VLOOKUP(Query1[[#This Row],[Description]],'kits to boards'!$B$2:$E$156,3,FALSE)</f>
        <v>0</v>
      </c>
      <c r="N1081">
        <f>VLOOKUP(Query1[[#This Row],[Description]],'kits to boards'!$B$2:$E$156,4,FALSE)</f>
        <v>0</v>
      </c>
      <c r="O1081" t="str">
        <f>CONCATENATE(Query1[[#This Row],[Description]]," - ",Query1[[#This Row],[MB1]]," - ",Query1[[#This Row],[MB2]]," - ",Query1[[#This Row],[MB3]])</f>
        <v>GEN IV MAGNUM EVAP KIT - 830083 - 0 - 0</v>
      </c>
    </row>
    <row r="1082" spans="1:15" x14ac:dyDescent="0.25">
      <c r="A1082" s="1">
        <v>911683</v>
      </c>
      <c r="B1082" s="1" t="s">
        <v>64</v>
      </c>
      <c r="C1082" s="1" t="s">
        <v>65</v>
      </c>
      <c r="D1082" s="2">
        <v>44610.591996145835</v>
      </c>
      <c r="E1082" s="1" t="s">
        <v>8</v>
      </c>
      <c r="F1082" s="1">
        <v>1</v>
      </c>
      <c r="G1082" s="1">
        <v>0</v>
      </c>
      <c r="H1082" s="6">
        <f>INT(Query1[[#This Row],[EntryDateTime]])</f>
        <v>44610</v>
      </c>
      <c r="I1082" s="1">
        <f>IF(Query1[[#This Row],[ItemType]]="EVAP KIT SF GEN IV",Query1[[#This Row],[OrderQty]]+I1081,I1081)</f>
        <v>1198</v>
      </c>
      <c r="J1082" s="1">
        <f>IF(Query1[[#This Row],[ItemType]]="EVAP KIT UNIVERSAL",Query1[[#This Row],[OrderQty]]+J1081,J1081)</f>
        <v>531</v>
      </c>
      <c r="K1082" s="1">
        <f>Query1[[#This Row],[SF Running Total]]+Query1[[#This Row],[UNIV Running Total]]</f>
        <v>1729</v>
      </c>
      <c r="L1082">
        <f>VLOOKUP(Query1[[#This Row],[Description]],'kits to boards'!$B$2:$E$156,2,FALSE)</f>
        <v>830067</v>
      </c>
      <c r="M1082">
        <f>VLOOKUP(Query1[[#This Row],[Description]],'kits to boards'!$B$2:$E$156,3,FALSE)</f>
        <v>0</v>
      </c>
      <c r="N1082">
        <f>VLOOKUP(Query1[[#This Row],[Description]],'kits to boards'!$B$2:$E$156,4,FALSE)</f>
        <v>0</v>
      </c>
      <c r="O1082" t="str">
        <f>CONCATENATE(Query1[[#This Row],[Description]]," - ",Query1[[#This Row],[MB1]]," - ",Query1[[#This Row],[MB2]]," - ",Query1[[#This Row],[MB3]])</f>
        <v>EVAP KIT 59-60 CHEV CAR 4-LEVER - 830067 - 0 - 0</v>
      </c>
    </row>
    <row r="1083" spans="1:15" x14ac:dyDescent="0.25">
      <c r="A1083" s="1">
        <v>911687</v>
      </c>
      <c r="B1083" s="1" t="s">
        <v>76</v>
      </c>
      <c r="C1083" s="1" t="s">
        <v>77</v>
      </c>
      <c r="D1083" s="2">
        <v>44610.595252118059</v>
      </c>
      <c r="E1083" s="1" t="s">
        <v>11</v>
      </c>
      <c r="F1083" s="1">
        <v>3</v>
      </c>
      <c r="G1083" s="1">
        <v>0</v>
      </c>
      <c r="H1083" s="6">
        <f>INT(Query1[[#This Row],[EntryDateTime]])</f>
        <v>44610</v>
      </c>
      <c r="I1083" s="1">
        <f>IF(Query1[[#This Row],[ItemType]]="EVAP KIT SF GEN IV",Query1[[#This Row],[OrderQty]]+I1082,I1082)</f>
        <v>1198</v>
      </c>
      <c r="J1083" s="1">
        <f>IF(Query1[[#This Row],[ItemType]]="EVAP KIT UNIVERSAL",Query1[[#This Row],[OrderQty]]+J1082,J1082)</f>
        <v>534</v>
      </c>
      <c r="K1083" s="1">
        <f>Query1[[#This Row],[SF Running Total]]+Query1[[#This Row],[UNIV Running Total]]</f>
        <v>1732</v>
      </c>
      <c r="L1083">
        <f>VLOOKUP(Query1[[#This Row],[Description]],'kits to boards'!$B$2:$E$156,2,FALSE)</f>
        <v>830099</v>
      </c>
      <c r="M1083">
        <f>VLOOKUP(Query1[[#This Row],[Description]],'kits to boards'!$B$2:$E$156,3,FALSE)</f>
        <v>0</v>
      </c>
      <c r="N1083">
        <f>VLOOKUP(Query1[[#This Row],[Description]],'kits to boards'!$B$2:$E$156,4,FALSE)</f>
        <v>0</v>
      </c>
      <c r="O1083" t="str">
        <f>CONCATENATE(Query1[[#This Row],[Description]]," - ",Query1[[#This Row],[MB1]]," - ",Query1[[#This Row],[MB2]]," - ",Query1[[#This Row],[MB3]])</f>
        <v>MINI GEN II H/C - 830099 - 0 - 0</v>
      </c>
    </row>
    <row r="1084" spans="1:15" x14ac:dyDescent="0.25">
      <c r="A1084" s="1">
        <v>911692</v>
      </c>
      <c r="B1084" s="1" t="s">
        <v>70</v>
      </c>
      <c r="C1084" s="1" t="s">
        <v>71</v>
      </c>
      <c r="D1084" s="2">
        <v>44610.597272719904</v>
      </c>
      <c r="E1084" s="1" t="s">
        <v>8</v>
      </c>
      <c r="F1084" s="1">
        <v>1</v>
      </c>
      <c r="G1084" s="1">
        <v>0</v>
      </c>
      <c r="H1084" s="6">
        <f>INT(Query1[[#This Row],[EntryDateTime]])</f>
        <v>44610</v>
      </c>
      <c r="I1084" s="1">
        <f>IF(Query1[[#This Row],[ItemType]]="EVAP KIT SF GEN IV",Query1[[#This Row],[OrderQty]]+I1083,I1083)</f>
        <v>1199</v>
      </c>
      <c r="J1084" s="1">
        <f>IF(Query1[[#This Row],[ItemType]]="EVAP KIT UNIVERSAL",Query1[[#This Row],[OrderQty]]+J1083,J1083)</f>
        <v>534</v>
      </c>
      <c r="K1084" s="1">
        <f>Query1[[#This Row],[SF Running Total]]+Query1[[#This Row],[UNIV Running Total]]</f>
        <v>1733</v>
      </c>
      <c r="L1084">
        <f>VLOOKUP(Query1[[#This Row],[Description]],'kits to boards'!$B$2:$E$156,2,FALSE)</f>
        <v>830050</v>
      </c>
      <c r="M1084">
        <f>VLOOKUP(Query1[[#This Row],[Description]],'kits to boards'!$B$2:$E$156,3,FALSE)</f>
        <v>0</v>
      </c>
      <c r="N1084">
        <f>VLOOKUP(Query1[[#This Row],[Description]],'kits to boards'!$B$2:$E$156,4,FALSE)</f>
        <v>0</v>
      </c>
      <c r="O1084" t="str">
        <f>CONCATENATE(Query1[[#This Row],[Description]]," - ",Query1[[#This Row],[MB1]]," - ",Query1[[#This Row],[MB2]]," - ",Query1[[#This Row],[MB3]])</f>
        <v>EVAP KIT 70-78 CAMARO WO AC - 830050 - 0 - 0</v>
      </c>
    </row>
    <row r="1085" spans="1:15" x14ac:dyDescent="0.25">
      <c r="A1085" s="1">
        <v>911691</v>
      </c>
      <c r="B1085" s="1" t="s">
        <v>277</v>
      </c>
      <c r="C1085" s="1" t="s">
        <v>278</v>
      </c>
      <c r="D1085" s="2">
        <v>44610.597685960645</v>
      </c>
      <c r="E1085" s="1" t="s">
        <v>8</v>
      </c>
      <c r="F1085" s="1">
        <v>1</v>
      </c>
      <c r="G1085" s="1">
        <v>0</v>
      </c>
      <c r="H1085" s="6">
        <f>INT(Query1[[#This Row],[EntryDateTime]])</f>
        <v>44610</v>
      </c>
      <c r="I1085" s="1">
        <f>IF(Query1[[#This Row],[ItemType]]="EVAP KIT SF GEN IV",Query1[[#This Row],[OrderQty]]+I1084,I1084)</f>
        <v>1200</v>
      </c>
      <c r="J1085" s="1">
        <f>IF(Query1[[#This Row],[ItemType]]="EVAP KIT UNIVERSAL",Query1[[#This Row],[OrderQty]]+J1084,J1084)</f>
        <v>534</v>
      </c>
      <c r="K1085" s="1">
        <f>Query1[[#This Row],[SF Running Total]]+Query1[[#This Row],[UNIV Running Total]]</f>
        <v>1734</v>
      </c>
      <c r="L1085">
        <f>VLOOKUP(Query1[[#This Row],[Description]],'kits to boards'!$B$2:$E$156,2,FALSE)</f>
        <v>830047</v>
      </c>
      <c r="M1085">
        <f>VLOOKUP(Query1[[#This Row],[Description]],'kits to boards'!$B$2:$E$156,3,FALSE)</f>
        <v>0</v>
      </c>
      <c r="N1085">
        <f>VLOOKUP(Query1[[#This Row],[Description]],'kits to boards'!$B$2:$E$156,4,FALSE)</f>
        <v>0</v>
      </c>
      <c r="O1085" t="str">
        <f>CONCATENATE(Query1[[#This Row],[Description]]," - ",Query1[[#This Row],[MB1]]," - ",Query1[[#This Row],[MB2]]," - ",Query1[[#This Row],[MB3]])</f>
        <v>EVAP KIT 68 NOVA WO AC - 830047 - 0 - 0</v>
      </c>
    </row>
    <row r="1086" spans="1:15" x14ac:dyDescent="0.25">
      <c r="A1086" s="1">
        <v>911693</v>
      </c>
      <c r="B1086" s="1" t="s">
        <v>98</v>
      </c>
      <c r="C1086" s="1" t="s">
        <v>99</v>
      </c>
      <c r="D1086" s="2">
        <v>44610.598246377318</v>
      </c>
      <c r="E1086" s="1" t="s">
        <v>11</v>
      </c>
      <c r="F1086" s="1">
        <v>2</v>
      </c>
      <c r="G1086" s="1">
        <v>0</v>
      </c>
      <c r="H1086" s="6">
        <f>INT(Query1[[#This Row],[EntryDateTime]])</f>
        <v>44610</v>
      </c>
      <c r="I1086" s="1">
        <f>IF(Query1[[#This Row],[ItemType]]="EVAP KIT SF GEN IV",Query1[[#This Row],[OrderQty]]+I1085,I1085)</f>
        <v>1200</v>
      </c>
      <c r="J1086" s="1">
        <f>IF(Query1[[#This Row],[ItemType]]="EVAP KIT UNIVERSAL",Query1[[#This Row],[OrderQty]]+J1085,J1085)</f>
        <v>536</v>
      </c>
      <c r="K1086" s="1">
        <f>Query1[[#This Row],[SF Running Total]]+Query1[[#This Row],[UNIV Running Total]]</f>
        <v>1736</v>
      </c>
      <c r="L1086">
        <f>VLOOKUP(Query1[[#This Row],[Description]],'kits to boards'!$B$2:$E$156,2,FALSE)</f>
        <v>830099</v>
      </c>
      <c r="M1086">
        <f>VLOOKUP(Query1[[#This Row],[Description]],'kits to boards'!$B$2:$E$156,3,FALSE)</f>
        <v>0</v>
      </c>
      <c r="N1086">
        <f>VLOOKUP(Query1[[#This Row],[Description]],'kits to boards'!$B$2:$E$156,4,FALSE)</f>
        <v>0</v>
      </c>
      <c r="O1086" t="str">
        <f>CONCATENATE(Query1[[#This Row],[Description]]," - ",Query1[[#This Row],[MB1]]," - ",Query1[[#This Row],[MB2]]," - ",Query1[[#This Row],[MB3]])</f>
        <v>MINI GEN II W/DEF - 830099 - 0 - 0</v>
      </c>
    </row>
    <row r="1087" spans="1:15" x14ac:dyDescent="0.25">
      <c r="A1087" s="1">
        <v>911693</v>
      </c>
      <c r="B1087" s="1" t="s">
        <v>24</v>
      </c>
      <c r="C1087" s="1" t="s">
        <v>25</v>
      </c>
      <c r="D1087" s="2">
        <v>44610.598366087965</v>
      </c>
      <c r="E1087" s="1" t="s">
        <v>11</v>
      </c>
      <c r="F1087" s="1">
        <v>4</v>
      </c>
      <c r="G1087" s="1">
        <v>0</v>
      </c>
      <c r="H1087" s="6">
        <f>INT(Query1[[#This Row],[EntryDateTime]])</f>
        <v>44610</v>
      </c>
      <c r="I1087" s="1">
        <f>IF(Query1[[#This Row],[ItemType]]="EVAP KIT SF GEN IV",Query1[[#This Row],[OrderQty]]+I1086,I1086)</f>
        <v>1200</v>
      </c>
      <c r="J1087" s="1">
        <f>IF(Query1[[#This Row],[ItemType]]="EVAP KIT UNIVERSAL",Query1[[#This Row],[OrderQty]]+J1086,J1086)</f>
        <v>540</v>
      </c>
      <c r="K1087" s="1">
        <f>Query1[[#This Row],[SF Running Total]]+Query1[[#This Row],[UNIV Running Total]]</f>
        <v>1740</v>
      </c>
      <c r="L1087">
        <f>VLOOKUP(Query1[[#This Row],[Description]],'kits to boards'!$B$2:$E$156,2,FALSE)</f>
        <v>830029</v>
      </c>
      <c r="M1087">
        <f>VLOOKUP(Query1[[#This Row],[Description]],'kits to boards'!$B$2:$E$156,3,FALSE)</f>
        <v>830030</v>
      </c>
      <c r="N1087">
        <f>VLOOKUP(Query1[[#This Row],[Description]],'kits to boards'!$B$2:$E$156,4,FALSE)</f>
        <v>0</v>
      </c>
      <c r="O1087" t="str">
        <f>CONCATENATE(Query1[[#This Row],[Description]]," - ",Query1[[#This Row],[MB1]]," - ",Query1[[#This Row],[MB2]]," - ",Query1[[#This Row],[MB3]])</f>
        <v>ComPac GEN II W/DEF - 830029 - 830030 - 0</v>
      </c>
    </row>
    <row r="1088" spans="1:15" x14ac:dyDescent="0.25">
      <c r="A1088" s="1">
        <v>911694</v>
      </c>
      <c r="B1088" s="1" t="s">
        <v>114</v>
      </c>
      <c r="C1088" s="1" t="s">
        <v>115</v>
      </c>
      <c r="D1088" s="2">
        <v>44610.600732557868</v>
      </c>
      <c r="E1088" s="1" t="s">
        <v>8</v>
      </c>
      <c r="F1088" s="1">
        <v>1</v>
      </c>
      <c r="G1088" s="1">
        <v>0</v>
      </c>
      <c r="H1088" s="6">
        <f>INT(Query1[[#This Row],[EntryDateTime]])</f>
        <v>44610</v>
      </c>
      <c r="I1088" s="1">
        <f>IF(Query1[[#This Row],[ItemType]]="EVAP KIT SF GEN IV",Query1[[#This Row],[OrderQty]]+I1087,I1087)</f>
        <v>1201</v>
      </c>
      <c r="J1088" s="1">
        <f>IF(Query1[[#This Row],[ItemType]]="EVAP KIT UNIVERSAL",Query1[[#This Row],[OrderQty]]+J1087,J1087)</f>
        <v>540</v>
      </c>
      <c r="K1088" s="1">
        <f>Query1[[#This Row],[SF Running Total]]+Query1[[#This Row],[UNIV Running Total]]</f>
        <v>1741</v>
      </c>
      <c r="L1088">
        <f>VLOOKUP(Query1[[#This Row],[Description]],'kits to boards'!$B$2:$E$156,2,FALSE)</f>
        <v>830059</v>
      </c>
      <c r="M1088">
        <f>VLOOKUP(Query1[[#This Row],[Description]],'kits to boards'!$B$2:$E$156,3,FALSE)</f>
        <v>0</v>
      </c>
      <c r="N1088">
        <f>VLOOKUP(Query1[[#This Row],[Description]],'kits to boards'!$B$2:$E$156,4,FALSE)</f>
        <v>0</v>
      </c>
      <c r="O1088" t="str">
        <f>CONCATENATE(Query1[[#This Row],[Description]]," - ",Query1[[#This Row],[MB1]]," - ",Query1[[#This Row],[MB2]]," - ",Query1[[#This Row],[MB3]])</f>
        <v>EVAP KIT 66-67 CHEVELLE W/AC - 830059 - 0 - 0</v>
      </c>
    </row>
    <row r="1089" spans="1:15" x14ac:dyDescent="0.25">
      <c r="A1089" s="1">
        <v>911701</v>
      </c>
      <c r="B1089" s="1" t="s">
        <v>106</v>
      </c>
      <c r="C1089" s="1" t="s">
        <v>107</v>
      </c>
      <c r="D1089" s="2">
        <v>44610.610900081017</v>
      </c>
      <c r="E1089" s="1" t="s">
        <v>8</v>
      </c>
      <c r="F1089" s="1">
        <v>1</v>
      </c>
      <c r="G1089" s="1">
        <v>0</v>
      </c>
      <c r="H1089" s="6">
        <f>INT(Query1[[#This Row],[EntryDateTime]])</f>
        <v>44610</v>
      </c>
      <c r="I1089" s="1">
        <f>IF(Query1[[#This Row],[ItemType]]="EVAP KIT SF GEN IV",Query1[[#This Row],[OrderQty]]+I1088,I1088)</f>
        <v>1202</v>
      </c>
      <c r="J1089" s="1">
        <f>IF(Query1[[#This Row],[ItemType]]="EVAP KIT UNIVERSAL",Query1[[#This Row],[OrderQty]]+J1088,J1088)</f>
        <v>540</v>
      </c>
      <c r="K1089" s="1">
        <f>Query1[[#This Row],[SF Running Total]]+Query1[[#This Row],[UNIV Running Total]]</f>
        <v>1742</v>
      </c>
      <c r="L1089">
        <f>VLOOKUP(Query1[[#This Row],[Description]],'kits to boards'!$B$2:$E$156,2,FALSE)</f>
        <v>830028</v>
      </c>
      <c r="M1089">
        <f>VLOOKUP(Query1[[#This Row],[Description]],'kits to boards'!$B$2:$E$156,3,FALSE)</f>
        <v>0</v>
      </c>
      <c r="N1089">
        <f>VLOOKUP(Query1[[#This Row],[Description]],'kits to boards'!$B$2:$E$156,4,FALSE)</f>
        <v>0</v>
      </c>
      <c r="O1089" t="str">
        <f>CONCATENATE(Query1[[#This Row],[Description]]," - ",Query1[[#This Row],[MB1]]," - ",Query1[[#This Row],[MB2]]," - ",Query1[[#This Row],[MB3]])</f>
        <v>EVAP KIT 55-59 CHEV P-UP WO AC W/DELX - 830028 - 0 - 0</v>
      </c>
    </row>
    <row r="1090" spans="1:15" x14ac:dyDescent="0.25">
      <c r="A1090" s="1">
        <v>911703</v>
      </c>
      <c r="B1090" s="1" t="s">
        <v>24</v>
      </c>
      <c r="C1090" s="1" t="s">
        <v>25</v>
      </c>
      <c r="D1090" s="2">
        <v>44610.612396145836</v>
      </c>
      <c r="E1090" s="1" t="s">
        <v>11</v>
      </c>
      <c r="F1090" s="1">
        <v>1</v>
      </c>
      <c r="G1090" s="1">
        <v>0</v>
      </c>
      <c r="H1090" s="6">
        <f>INT(Query1[[#This Row],[EntryDateTime]])</f>
        <v>44610</v>
      </c>
      <c r="I1090" s="1">
        <f>IF(Query1[[#This Row],[ItemType]]="EVAP KIT SF GEN IV",Query1[[#This Row],[OrderQty]]+I1089,I1089)</f>
        <v>1202</v>
      </c>
      <c r="J1090" s="1">
        <f>IF(Query1[[#This Row],[ItemType]]="EVAP KIT UNIVERSAL",Query1[[#This Row],[OrderQty]]+J1089,J1089)</f>
        <v>541</v>
      </c>
      <c r="K1090" s="1">
        <f>Query1[[#This Row],[SF Running Total]]+Query1[[#This Row],[UNIV Running Total]]</f>
        <v>1743</v>
      </c>
      <c r="L1090">
        <f>VLOOKUP(Query1[[#This Row],[Description]],'kits to boards'!$B$2:$E$156,2,FALSE)</f>
        <v>830029</v>
      </c>
      <c r="M1090">
        <f>VLOOKUP(Query1[[#This Row],[Description]],'kits to boards'!$B$2:$E$156,3,FALSE)</f>
        <v>830030</v>
      </c>
      <c r="N1090">
        <f>VLOOKUP(Query1[[#This Row],[Description]],'kits to boards'!$B$2:$E$156,4,FALSE)</f>
        <v>0</v>
      </c>
      <c r="O1090" t="str">
        <f>CONCATENATE(Query1[[#This Row],[Description]]," - ",Query1[[#This Row],[MB1]]," - ",Query1[[#This Row],[MB2]]," - ",Query1[[#This Row],[MB3]])</f>
        <v>ComPac GEN II W/DEF - 830029 - 830030 - 0</v>
      </c>
    </row>
    <row r="1091" spans="1:15" x14ac:dyDescent="0.25">
      <c r="A1091" s="1">
        <v>911349</v>
      </c>
      <c r="B1091" s="1" t="s">
        <v>68</v>
      </c>
      <c r="C1091" s="1" t="s">
        <v>69</v>
      </c>
      <c r="D1091" s="2">
        <v>44610.618234988426</v>
      </c>
      <c r="E1091" s="1" t="s">
        <v>8</v>
      </c>
      <c r="F1091" s="1">
        <v>1</v>
      </c>
      <c r="G1091" s="1">
        <v>0</v>
      </c>
      <c r="H1091" s="6">
        <f>INT(Query1[[#This Row],[EntryDateTime]])</f>
        <v>44610</v>
      </c>
      <c r="I1091" s="1">
        <f>IF(Query1[[#This Row],[ItemType]]="EVAP KIT SF GEN IV",Query1[[#This Row],[OrderQty]]+I1090,I1090)</f>
        <v>1203</v>
      </c>
      <c r="J1091" s="1">
        <f>IF(Query1[[#This Row],[ItemType]]="EVAP KIT UNIVERSAL",Query1[[#This Row],[OrderQty]]+J1090,J1090)</f>
        <v>541</v>
      </c>
      <c r="K1091" s="1">
        <f>Query1[[#This Row],[SF Running Total]]+Query1[[#This Row],[UNIV Running Total]]</f>
        <v>1744</v>
      </c>
      <c r="L1091">
        <f>VLOOKUP(Query1[[#This Row],[Description]],'kits to boards'!$B$2:$E$156,2,FALSE)</f>
        <v>830010</v>
      </c>
      <c r="M1091">
        <f>VLOOKUP(Query1[[#This Row],[Description]],'kits to boards'!$B$2:$E$156,3,FALSE)</f>
        <v>0</v>
      </c>
      <c r="N1091">
        <f>VLOOKUP(Query1[[#This Row],[Description]],'kits to boards'!$B$2:$E$156,4,FALSE)</f>
        <v>0</v>
      </c>
      <c r="O1091" t="str">
        <f>CONCATENATE(Query1[[#This Row],[Description]]," - ",Query1[[#This Row],[MB1]]," - ",Query1[[#This Row],[MB2]]," - ",Query1[[#This Row],[MB3]])</f>
        <v>EVAP KIT 70-72 CHEVELLE WO AC - 830010 - 0 - 0</v>
      </c>
    </row>
    <row r="1092" spans="1:15" x14ac:dyDescent="0.25">
      <c r="A1092" s="1">
        <v>911707</v>
      </c>
      <c r="B1092" s="1" t="s">
        <v>236</v>
      </c>
      <c r="C1092" s="1" t="s">
        <v>237</v>
      </c>
      <c r="D1092" s="2">
        <v>44610.623303622684</v>
      </c>
      <c r="E1092" s="1" t="s">
        <v>8</v>
      </c>
      <c r="F1092" s="1">
        <v>1</v>
      </c>
      <c r="G1092" s="1">
        <v>0</v>
      </c>
      <c r="H1092" s="6">
        <f>INT(Query1[[#This Row],[EntryDateTime]])</f>
        <v>44610</v>
      </c>
      <c r="I1092" s="1">
        <f>IF(Query1[[#This Row],[ItemType]]="EVAP KIT SF GEN IV",Query1[[#This Row],[OrderQty]]+I1091,I1091)</f>
        <v>1204</v>
      </c>
      <c r="J1092" s="1">
        <f>IF(Query1[[#This Row],[ItemType]]="EVAP KIT UNIVERSAL",Query1[[#This Row],[OrderQty]]+J1091,J1091)</f>
        <v>541</v>
      </c>
      <c r="K1092" s="1">
        <f>Query1[[#This Row],[SF Running Total]]+Query1[[#This Row],[UNIV Running Total]]</f>
        <v>1745</v>
      </c>
      <c r="L1092">
        <f>VLOOKUP(Query1[[#This Row],[Description]],'kits to boards'!$B$2:$E$156,2,FALSE)</f>
        <v>830026</v>
      </c>
      <c r="M1092">
        <f>VLOOKUP(Query1[[#This Row],[Description]],'kits to boards'!$B$2:$E$156,3,FALSE)</f>
        <v>0</v>
      </c>
      <c r="N1092">
        <f>VLOOKUP(Query1[[#This Row],[Description]],'kits to boards'!$B$2:$E$156,4,FALSE)</f>
        <v>0</v>
      </c>
      <c r="O1092" t="str">
        <f>CONCATENATE(Query1[[#This Row],[Description]]," - ",Query1[[#This Row],[MB1]]," - ",Query1[[#This Row],[MB2]]," - ",Query1[[#This Row],[MB3]])</f>
        <v>EVAP KIT 70-72 CUTLASS WO AC - 830026 - 0 - 0</v>
      </c>
    </row>
    <row r="1093" spans="1:15" x14ac:dyDescent="0.25">
      <c r="A1093" s="1">
        <v>911480</v>
      </c>
      <c r="B1093" s="1" t="s">
        <v>72</v>
      </c>
      <c r="C1093" s="1" t="s">
        <v>73</v>
      </c>
      <c r="D1093" s="2">
        <v>44610.626169756943</v>
      </c>
      <c r="E1093" s="1" t="s">
        <v>8</v>
      </c>
      <c r="F1093" s="1">
        <v>1</v>
      </c>
      <c r="G1093" s="1">
        <v>0</v>
      </c>
      <c r="H1093" s="6">
        <f>INT(Query1[[#This Row],[EntryDateTime]])</f>
        <v>44610</v>
      </c>
      <c r="I1093" s="1">
        <f>IF(Query1[[#This Row],[ItemType]]="EVAP KIT SF GEN IV",Query1[[#This Row],[OrderQty]]+I1092,I1092)</f>
        <v>1205</v>
      </c>
      <c r="J1093" s="1">
        <f>IF(Query1[[#This Row],[ItemType]]="EVAP KIT UNIVERSAL",Query1[[#This Row],[OrderQty]]+J1092,J1092)</f>
        <v>541</v>
      </c>
      <c r="K1093" s="1">
        <f>Query1[[#This Row],[SF Running Total]]+Query1[[#This Row],[UNIV Running Total]]</f>
        <v>1746</v>
      </c>
      <c r="L1093">
        <f>VLOOKUP(Query1[[#This Row],[Description]],'kits to boards'!$B$2:$E$156,2,FALSE)</f>
        <v>830043</v>
      </c>
      <c r="M1093">
        <f>VLOOKUP(Query1[[#This Row],[Description]],'kits to boards'!$B$2:$E$156,3,FALSE)</f>
        <v>0</v>
      </c>
      <c r="N1093">
        <f>VLOOKUP(Query1[[#This Row],[Description]],'kits to boards'!$B$2:$E$156,4,FALSE)</f>
        <v>0</v>
      </c>
      <c r="O1093" t="str">
        <f>CONCATENATE(Query1[[#This Row],[Description]]," - ",Query1[[#This Row],[MB1]]," - ",Query1[[#This Row],[MB2]]," - ",Query1[[#This Row],[MB3]])</f>
        <v>EVAP KIT 69-74 NOVA W/AC - 830043 - 0 - 0</v>
      </c>
    </row>
    <row r="1094" spans="1:15" x14ac:dyDescent="0.25">
      <c r="A1094" s="1">
        <v>911716</v>
      </c>
      <c r="B1094" s="1" t="s">
        <v>44</v>
      </c>
      <c r="C1094" s="1" t="s">
        <v>45</v>
      </c>
      <c r="D1094" s="2">
        <v>44610.633164085652</v>
      </c>
      <c r="E1094" s="1" t="s">
        <v>8</v>
      </c>
      <c r="F1094" s="1">
        <v>1</v>
      </c>
      <c r="G1094" s="1">
        <v>0</v>
      </c>
      <c r="H1094" s="6">
        <f>INT(Query1[[#This Row],[EntryDateTime]])</f>
        <v>44610</v>
      </c>
      <c r="I1094" s="1">
        <f>IF(Query1[[#This Row],[ItemType]]="EVAP KIT SF GEN IV",Query1[[#This Row],[OrderQty]]+I1093,I1093)</f>
        <v>1206</v>
      </c>
      <c r="J1094" s="1">
        <f>IF(Query1[[#This Row],[ItemType]]="EVAP KIT UNIVERSAL",Query1[[#This Row],[OrderQty]]+J1093,J1093)</f>
        <v>541</v>
      </c>
      <c r="K1094" s="1">
        <f>Query1[[#This Row],[SF Running Total]]+Query1[[#This Row],[UNIV Running Total]]</f>
        <v>1747</v>
      </c>
      <c r="L1094">
        <f>VLOOKUP(Query1[[#This Row],[Description]],'kits to boards'!$B$2:$E$156,2,FALSE)</f>
        <v>830085</v>
      </c>
      <c r="M1094">
        <f>VLOOKUP(Query1[[#This Row],[Description]],'kits to boards'!$B$2:$E$156,3,FALSE)</f>
        <v>0</v>
      </c>
      <c r="N1094">
        <f>VLOOKUP(Query1[[#This Row],[Description]],'kits to boards'!$B$2:$E$156,4,FALSE)</f>
        <v>0</v>
      </c>
      <c r="O1094" t="str">
        <f>CONCATENATE(Query1[[#This Row],[Description]]," - ",Query1[[#This Row],[MB1]]," - ",Query1[[#This Row],[MB2]]," - ",Query1[[#This Row],[MB3]])</f>
        <v>EVAP KIT 66-77 BRONCO - 830085 - 0 - 0</v>
      </c>
    </row>
    <row r="1095" spans="1:15" x14ac:dyDescent="0.25">
      <c r="A1095" s="1">
        <v>911718</v>
      </c>
      <c r="B1095" s="1" t="s">
        <v>26</v>
      </c>
      <c r="C1095" s="1" t="s">
        <v>27</v>
      </c>
      <c r="D1095" s="2">
        <v>44610.633660104169</v>
      </c>
      <c r="E1095" s="1" t="s">
        <v>8</v>
      </c>
      <c r="F1095" s="1">
        <v>1</v>
      </c>
      <c r="G1095" s="1">
        <v>0</v>
      </c>
      <c r="H1095" s="6">
        <f>INT(Query1[[#This Row],[EntryDateTime]])</f>
        <v>44610</v>
      </c>
      <c r="I1095" s="1">
        <f>IF(Query1[[#This Row],[ItemType]]="EVAP KIT SF GEN IV",Query1[[#This Row],[OrderQty]]+I1094,I1094)</f>
        <v>1207</v>
      </c>
      <c r="J1095" s="1">
        <f>IF(Query1[[#This Row],[ItemType]]="EVAP KIT UNIVERSAL",Query1[[#This Row],[OrderQty]]+J1094,J1094)</f>
        <v>541</v>
      </c>
      <c r="K1095" s="1">
        <f>Query1[[#This Row],[SF Running Total]]+Query1[[#This Row],[UNIV Running Total]]</f>
        <v>1748</v>
      </c>
      <c r="L1095">
        <f>VLOOKUP(Query1[[#This Row],[Description]],'kits to boards'!$B$2:$E$156,2,FALSE)</f>
        <v>830013</v>
      </c>
      <c r="M1095">
        <f>VLOOKUP(Query1[[#This Row],[Description]],'kits to boards'!$B$2:$E$156,3,FALSE)</f>
        <v>0</v>
      </c>
      <c r="N1095">
        <f>VLOOKUP(Query1[[#This Row],[Description]],'kits to boards'!$B$2:$E$156,4,FALSE)</f>
        <v>0</v>
      </c>
      <c r="O1095" t="str">
        <f>CONCATENATE(Query1[[#This Row],[Description]]," - ",Query1[[#This Row],[MB1]]," - ",Query1[[#This Row],[MB2]]," - ",Query1[[#This Row],[MB3]])</f>
        <v>EVAP KIT 67-72 CHEV P-UP W/AC - 830013 - 0 - 0</v>
      </c>
    </row>
    <row r="1096" spans="1:15" x14ac:dyDescent="0.25">
      <c r="A1096" s="1">
        <v>911717</v>
      </c>
      <c r="B1096" s="1" t="s">
        <v>32</v>
      </c>
      <c r="C1096" s="1" t="s">
        <v>33</v>
      </c>
      <c r="D1096" s="2">
        <v>44610.63370810185</v>
      </c>
      <c r="E1096" s="1" t="s">
        <v>8</v>
      </c>
      <c r="F1096" s="1">
        <v>1</v>
      </c>
      <c r="G1096" s="1">
        <v>0</v>
      </c>
      <c r="H1096" s="6">
        <f>INT(Query1[[#This Row],[EntryDateTime]])</f>
        <v>44610</v>
      </c>
      <c r="I1096" s="1">
        <f>IF(Query1[[#This Row],[ItemType]]="EVAP KIT SF GEN IV",Query1[[#This Row],[OrderQty]]+I1095,I1095)</f>
        <v>1208</v>
      </c>
      <c r="J1096" s="1">
        <f>IF(Query1[[#This Row],[ItemType]]="EVAP KIT UNIVERSAL",Query1[[#This Row],[OrderQty]]+J1095,J1095)</f>
        <v>541</v>
      </c>
      <c r="K1096" s="1">
        <f>Query1[[#This Row],[SF Running Total]]+Query1[[#This Row],[UNIV Running Total]]</f>
        <v>1749</v>
      </c>
      <c r="L1096">
        <f>VLOOKUP(Query1[[#This Row],[Description]],'kits to boards'!$B$2:$E$156,2,FALSE)</f>
        <v>830016</v>
      </c>
      <c r="M1096">
        <f>VLOOKUP(Query1[[#This Row],[Description]],'kits to boards'!$B$2:$E$156,3,FALSE)</f>
        <v>0</v>
      </c>
      <c r="N1096">
        <f>VLOOKUP(Query1[[#This Row],[Description]],'kits to boards'!$B$2:$E$156,4,FALSE)</f>
        <v>0</v>
      </c>
      <c r="O1096" t="str">
        <f>CONCATENATE(Query1[[#This Row],[Description]]," - ",Query1[[#This Row],[MB1]]," - ",Query1[[#This Row],[MB2]]," - ",Query1[[#This Row],[MB3]])</f>
        <v>EVAP KIT 67-68 CAMARO/FIREBIRD W/AC - 830016 - 0 - 0</v>
      </c>
    </row>
    <row r="1097" spans="1:15" x14ac:dyDescent="0.25">
      <c r="A1097" s="1">
        <v>911710</v>
      </c>
      <c r="B1097" s="1" t="s">
        <v>168</v>
      </c>
      <c r="C1097" s="1" t="s">
        <v>169</v>
      </c>
      <c r="D1097" s="2">
        <v>44610.635316666667</v>
      </c>
      <c r="E1097" s="1" t="s">
        <v>8</v>
      </c>
      <c r="F1097" s="1">
        <v>1</v>
      </c>
      <c r="G1097" s="1">
        <v>0</v>
      </c>
      <c r="H1097" s="6">
        <f>INT(Query1[[#This Row],[EntryDateTime]])</f>
        <v>44610</v>
      </c>
      <c r="I1097" s="1">
        <f>IF(Query1[[#This Row],[ItemType]]="EVAP KIT SF GEN IV",Query1[[#This Row],[OrderQty]]+I1096,I1096)</f>
        <v>1209</v>
      </c>
      <c r="J1097" s="1">
        <f>IF(Query1[[#This Row],[ItemType]]="EVAP KIT UNIVERSAL",Query1[[#This Row],[OrderQty]]+J1096,J1096)</f>
        <v>541</v>
      </c>
      <c r="K1097" s="1">
        <f>Query1[[#This Row],[SF Running Total]]+Query1[[#This Row],[UNIV Running Total]]</f>
        <v>1750</v>
      </c>
      <c r="L1097">
        <f>VLOOKUP(Query1[[#This Row],[Description]],'kits to boards'!$B$2:$E$156,2,FALSE)</f>
        <v>830028</v>
      </c>
      <c r="M1097">
        <f>VLOOKUP(Query1[[#This Row],[Description]],'kits to boards'!$B$2:$E$156,3,FALSE)</f>
        <v>0</v>
      </c>
      <c r="N1097">
        <f>VLOOKUP(Query1[[#This Row],[Description]],'kits to boards'!$B$2:$E$156,4,FALSE)</f>
        <v>0</v>
      </c>
      <c r="O1097" t="str">
        <f>CONCATENATE(Query1[[#This Row],[Description]]," - ",Query1[[#This Row],[MB1]]," - ",Query1[[#This Row],[MB2]]," - ",Query1[[#This Row],[MB3]])</f>
        <v>EVAP KIT 55-59 CHEV P-UP WO AC W/STD  - 830028 - 0 - 0</v>
      </c>
    </row>
    <row r="1098" spans="1:15" x14ac:dyDescent="0.25">
      <c r="A1098" s="1">
        <v>911723</v>
      </c>
      <c r="B1098" s="1" t="s">
        <v>228</v>
      </c>
      <c r="C1098" s="1" t="s">
        <v>229</v>
      </c>
      <c r="D1098" s="2">
        <v>44610.639880590279</v>
      </c>
      <c r="E1098" s="1" t="s">
        <v>8</v>
      </c>
      <c r="F1098" s="1">
        <v>1</v>
      </c>
      <c r="G1098" s="1">
        <v>0</v>
      </c>
      <c r="H1098" s="6">
        <f>INT(Query1[[#This Row],[EntryDateTime]])</f>
        <v>44610</v>
      </c>
      <c r="I1098" s="1">
        <f>IF(Query1[[#This Row],[ItemType]]="EVAP KIT SF GEN IV",Query1[[#This Row],[OrderQty]]+I1097,I1097)</f>
        <v>1210</v>
      </c>
      <c r="J1098" s="1">
        <f>IF(Query1[[#This Row],[ItemType]]="EVAP KIT UNIVERSAL",Query1[[#This Row],[OrderQty]]+J1097,J1097)</f>
        <v>541</v>
      </c>
      <c r="K1098" s="1">
        <f>Query1[[#This Row],[SF Running Total]]+Query1[[#This Row],[UNIV Running Total]]</f>
        <v>1751</v>
      </c>
      <c r="L1098">
        <f>VLOOKUP(Query1[[#This Row],[Description]],'kits to boards'!$B$2:$E$156,2,FALSE)</f>
        <v>830044</v>
      </c>
      <c r="M1098">
        <f>VLOOKUP(Query1[[#This Row],[Description]],'kits to boards'!$B$2:$E$156,3,FALSE)</f>
        <v>0</v>
      </c>
      <c r="N1098">
        <f>VLOOKUP(Query1[[#This Row],[Description]],'kits to boards'!$B$2:$E$156,4,FALSE)</f>
        <v>0</v>
      </c>
      <c r="O1098" t="str">
        <f>CONCATENATE(Query1[[#This Row],[Description]]," - ",Query1[[#This Row],[MB1]]," - ",Query1[[#This Row],[MB2]]," - ",Query1[[#This Row],[MB3]])</f>
        <v>EVAP KIT 64-65 FALCON/RANCHERO - 830044 - 0 - 0</v>
      </c>
    </row>
    <row r="1099" spans="1:15" x14ac:dyDescent="0.25">
      <c r="A1099" s="1">
        <v>911725</v>
      </c>
      <c r="B1099" s="1" t="s">
        <v>94</v>
      </c>
      <c r="C1099" s="1" t="s">
        <v>95</v>
      </c>
      <c r="D1099" s="2">
        <v>44610.641288310188</v>
      </c>
      <c r="E1099" s="1" t="s">
        <v>8</v>
      </c>
      <c r="F1099" s="1">
        <v>1</v>
      </c>
      <c r="G1099" s="1">
        <v>0</v>
      </c>
      <c r="H1099" s="6">
        <f>INT(Query1[[#This Row],[EntryDateTime]])</f>
        <v>44610</v>
      </c>
      <c r="I1099" s="1">
        <f>IF(Query1[[#This Row],[ItemType]]="EVAP KIT SF GEN IV",Query1[[#This Row],[OrderQty]]+I1098,I1098)</f>
        <v>1211</v>
      </c>
      <c r="J1099" s="1">
        <f>IF(Query1[[#This Row],[ItemType]]="EVAP KIT UNIVERSAL",Query1[[#This Row],[OrderQty]]+J1098,J1098)</f>
        <v>541</v>
      </c>
      <c r="K1099" s="1">
        <f>Query1[[#This Row],[SF Running Total]]+Query1[[#This Row],[UNIV Running Total]]</f>
        <v>1752</v>
      </c>
      <c r="L1099">
        <f>VLOOKUP(Query1[[#This Row],[Description]],'kits to boards'!$B$2:$E$156,2,FALSE)</f>
        <v>830076</v>
      </c>
      <c r="M1099">
        <f>VLOOKUP(Query1[[#This Row],[Description]],'kits to boards'!$B$2:$E$156,3,FALSE)</f>
        <v>0</v>
      </c>
      <c r="N1099">
        <f>VLOOKUP(Query1[[#This Row],[Description]],'kits to boards'!$B$2:$E$156,4,FALSE)</f>
        <v>0</v>
      </c>
      <c r="O1099" t="str">
        <f>CONCATENATE(Query1[[#This Row],[Description]]," - ",Query1[[#This Row],[MB1]]," - ",Query1[[#This Row],[MB2]]," - ",Query1[[#This Row],[MB3]])</f>
        <v>EVAP KIT 64 1/2- 66 MUSTANG  - 830076 - 0 - 0</v>
      </c>
    </row>
    <row r="1100" spans="1:15" x14ac:dyDescent="0.25">
      <c r="A1100" s="1">
        <v>911047</v>
      </c>
      <c r="B1100" s="1" t="s">
        <v>42</v>
      </c>
      <c r="C1100" s="1" t="s">
        <v>43</v>
      </c>
      <c r="D1100" s="2">
        <v>44610.647610613429</v>
      </c>
      <c r="E1100" s="1" t="s">
        <v>8</v>
      </c>
      <c r="F1100" s="1">
        <v>1</v>
      </c>
      <c r="G1100" s="1">
        <v>0</v>
      </c>
      <c r="H1100" s="6">
        <f>INT(Query1[[#This Row],[EntryDateTime]])</f>
        <v>44610</v>
      </c>
      <c r="I1100" s="1">
        <f>IF(Query1[[#This Row],[ItemType]]="EVAP KIT SF GEN IV",Query1[[#This Row],[OrderQty]]+I1099,I1099)</f>
        <v>1212</v>
      </c>
      <c r="J1100" s="1">
        <f>IF(Query1[[#This Row],[ItemType]]="EVAP KIT UNIVERSAL",Query1[[#This Row],[OrderQty]]+J1099,J1099)</f>
        <v>541</v>
      </c>
      <c r="K1100" s="1">
        <f>Query1[[#This Row],[SF Running Total]]+Query1[[#This Row],[UNIV Running Total]]</f>
        <v>1753</v>
      </c>
      <c r="L1100">
        <f>VLOOKUP(Query1[[#This Row],[Description]],'kits to boards'!$B$2:$E$156,2,FALSE)</f>
        <v>830014</v>
      </c>
      <c r="M1100">
        <f>VLOOKUP(Query1[[#This Row],[Description]],'kits to boards'!$B$2:$E$156,3,FALSE)</f>
        <v>0</v>
      </c>
      <c r="N1100">
        <f>VLOOKUP(Query1[[#This Row],[Description]],'kits to boards'!$B$2:$E$156,4,FALSE)</f>
        <v>0</v>
      </c>
      <c r="O1100" t="str">
        <f>CONCATENATE(Query1[[#This Row],[Description]]," - ",Query1[[#This Row],[MB1]]," - ",Query1[[#This Row],[MB2]]," - ",Query1[[#This Row],[MB3]])</f>
        <v>EVAP KIT 67-72 CHEV P-UP WO AC - 830014 - 0 - 0</v>
      </c>
    </row>
    <row r="1101" spans="1:15" x14ac:dyDescent="0.25">
      <c r="A1101" s="1">
        <v>907534</v>
      </c>
      <c r="B1101" s="1" t="s">
        <v>42</v>
      </c>
      <c r="C1101" s="1" t="s">
        <v>43</v>
      </c>
      <c r="D1101" s="2">
        <v>44610.65284505787</v>
      </c>
      <c r="E1101" s="1" t="s">
        <v>8</v>
      </c>
      <c r="F1101" s="1">
        <v>1</v>
      </c>
      <c r="G1101" s="1">
        <v>0</v>
      </c>
      <c r="H1101" s="6">
        <f>INT(Query1[[#This Row],[EntryDateTime]])</f>
        <v>44610</v>
      </c>
      <c r="I1101" s="1">
        <f>IF(Query1[[#This Row],[ItemType]]="EVAP KIT SF GEN IV",Query1[[#This Row],[OrderQty]]+I1100,I1100)</f>
        <v>1213</v>
      </c>
      <c r="J1101" s="1">
        <f>IF(Query1[[#This Row],[ItemType]]="EVAP KIT UNIVERSAL",Query1[[#This Row],[OrderQty]]+J1100,J1100)</f>
        <v>541</v>
      </c>
      <c r="K1101" s="1">
        <f>Query1[[#This Row],[SF Running Total]]+Query1[[#This Row],[UNIV Running Total]]</f>
        <v>1754</v>
      </c>
      <c r="L1101">
        <f>VLOOKUP(Query1[[#This Row],[Description]],'kits to boards'!$B$2:$E$156,2,FALSE)</f>
        <v>830014</v>
      </c>
      <c r="M1101">
        <f>VLOOKUP(Query1[[#This Row],[Description]],'kits to boards'!$B$2:$E$156,3,FALSE)</f>
        <v>0</v>
      </c>
      <c r="N1101">
        <f>VLOOKUP(Query1[[#This Row],[Description]],'kits to boards'!$B$2:$E$156,4,FALSE)</f>
        <v>0</v>
      </c>
      <c r="O1101" t="str">
        <f>CONCATENATE(Query1[[#This Row],[Description]]," - ",Query1[[#This Row],[MB1]]," - ",Query1[[#This Row],[MB2]]," - ",Query1[[#This Row],[MB3]])</f>
        <v>EVAP KIT 67-72 CHEV P-UP WO AC - 830014 - 0 - 0</v>
      </c>
    </row>
    <row r="1102" spans="1:15" x14ac:dyDescent="0.25">
      <c r="A1102" s="1">
        <v>911733</v>
      </c>
      <c r="B1102" s="1" t="s">
        <v>178</v>
      </c>
      <c r="C1102" s="1" t="s">
        <v>179</v>
      </c>
      <c r="D1102" s="2">
        <v>44610.663164965277</v>
      </c>
      <c r="E1102" s="1" t="s">
        <v>8</v>
      </c>
      <c r="F1102" s="1">
        <v>1</v>
      </c>
      <c r="G1102" s="1">
        <v>0</v>
      </c>
      <c r="H1102" s="6">
        <f>INT(Query1[[#This Row],[EntryDateTime]])</f>
        <v>44610</v>
      </c>
      <c r="I1102" s="1">
        <f>IF(Query1[[#This Row],[ItemType]]="EVAP KIT SF GEN IV",Query1[[#This Row],[OrderQty]]+I1101,I1101)</f>
        <v>1214</v>
      </c>
      <c r="J1102" s="1">
        <f>IF(Query1[[#This Row],[ItemType]]="EVAP KIT UNIVERSAL",Query1[[#This Row],[OrderQty]]+J1101,J1101)</f>
        <v>541</v>
      </c>
      <c r="K1102" s="1">
        <f>Query1[[#This Row],[SF Running Total]]+Query1[[#This Row],[UNIV Running Total]]</f>
        <v>1755</v>
      </c>
      <c r="L1102">
        <f>VLOOKUP(Query1[[#This Row],[Description]],'kits to boards'!$B$2:$E$156,2,FALSE)</f>
        <v>830009</v>
      </c>
      <c r="M1102">
        <f>VLOOKUP(Query1[[#This Row],[Description]],'kits to boards'!$B$2:$E$156,3,FALSE)</f>
        <v>0</v>
      </c>
      <c r="N1102">
        <f>VLOOKUP(Query1[[#This Row],[Description]],'kits to boards'!$B$2:$E$156,4,FALSE)</f>
        <v>0</v>
      </c>
      <c r="O1102" t="str">
        <f>CONCATENATE(Query1[[#This Row],[Description]]," - ",Query1[[#This Row],[MB1]]," - ",Query1[[#This Row],[MB2]]," - ",Query1[[#This Row],[MB3]])</f>
        <v>EVAP KIT 63 IMPALA W/AC - 830009 - 0 - 0</v>
      </c>
    </row>
    <row r="1103" spans="1:15" x14ac:dyDescent="0.25">
      <c r="A1103" s="1">
        <v>911734</v>
      </c>
      <c r="B1103" s="1" t="s">
        <v>86</v>
      </c>
      <c r="C1103" s="1" t="s">
        <v>87</v>
      </c>
      <c r="D1103" s="2">
        <v>44610.663780405092</v>
      </c>
      <c r="E1103" s="1" t="s">
        <v>8</v>
      </c>
      <c r="F1103" s="1">
        <v>1</v>
      </c>
      <c r="G1103" s="1">
        <v>0</v>
      </c>
      <c r="H1103" s="6">
        <f>INT(Query1[[#This Row],[EntryDateTime]])</f>
        <v>44610</v>
      </c>
      <c r="I1103" s="1">
        <f>IF(Query1[[#This Row],[ItemType]]="EVAP KIT SF GEN IV",Query1[[#This Row],[OrderQty]]+I1102,I1102)</f>
        <v>1215</v>
      </c>
      <c r="J1103" s="1">
        <f>IF(Query1[[#This Row],[ItemType]]="EVAP KIT UNIVERSAL",Query1[[#This Row],[OrderQty]]+J1102,J1102)</f>
        <v>541</v>
      </c>
      <c r="K1103" s="1">
        <f>Query1[[#This Row],[SF Running Total]]+Query1[[#This Row],[UNIV Running Total]]</f>
        <v>1756</v>
      </c>
      <c r="L1103">
        <f>VLOOKUP(Query1[[#This Row],[Description]],'kits to boards'!$B$2:$E$156,2,FALSE)</f>
        <v>830048</v>
      </c>
      <c r="M1103">
        <f>VLOOKUP(Query1[[#This Row],[Description]],'kits to boards'!$B$2:$E$156,3,FALSE)</f>
        <v>0</v>
      </c>
      <c r="N1103">
        <f>VLOOKUP(Query1[[#This Row],[Description]],'kits to boards'!$B$2:$E$156,4,FALSE)</f>
        <v>0</v>
      </c>
      <c r="O1103" t="str">
        <f>CONCATENATE(Query1[[#This Row],[Description]]," - ",Query1[[#This Row],[MB1]]," - ",Query1[[#This Row],[MB2]]," - ",Query1[[#This Row],[MB3]])</f>
        <v>EVAP KIT 66-67 NOVA - 830048 - 0 - 0</v>
      </c>
    </row>
    <row r="1104" spans="1:15" x14ac:dyDescent="0.25">
      <c r="A1104" s="1">
        <v>911688</v>
      </c>
      <c r="B1104" s="1" t="s">
        <v>30</v>
      </c>
      <c r="C1104" s="1" t="s">
        <v>31</v>
      </c>
      <c r="D1104" s="2">
        <v>44610.664316354167</v>
      </c>
      <c r="E1104" s="1" t="s">
        <v>8</v>
      </c>
      <c r="F1104" s="1">
        <v>1</v>
      </c>
      <c r="G1104" s="1">
        <v>0</v>
      </c>
      <c r="H1104" s="6">
        <f>INT(Query1[[#This Row],[EntryDateTime]])</f>
        <v>44610</v>
      </c>
      <c r="I1104" s="1">
        <f>IF(Query1[[#This Row],[ItemType]]="EVAP KIT SF GEN IV",Query1[[#This Row],[OrderQty]]+I1103,I1103)</f>
        <v>1216</v>
      </c>
      <c r="J1104" s="1">
        <f>IF(Query1[[#This Row],[ItemType]]="EVAP KIT UNIVERSAL",Query1[[#This Row],[OrderQty]]+J1103,J1103)</f>
        <v>541</v>
      </c>
      <c r="K1104" s="1">
        <f>Query1[[#This Row],[SF Running Total]]+Query1[[#This Row],[UNIV Running Total]]</f>
        <v>1757</v>
      </c>
      <c r="L1104">
        <f>VLOOKUP(Query1[[#This Row],[Description]],'kits to boards'!$B$2:$E$156,2,FALSE)</f>
        <v>830054</v>
      </c>
      <c r="M1104">
        <f>VLOOKUP(Query1[[#This Row],[Description]],'kits to boards'!$B$2:$E$156,3,FALSE)</f>
        <v>0</v>
      </c>
      <c r="N1104">
        <f>VLOOKUP(Query1[[#This Row],[Description]],'kits to boards'!$B$2:$E$156,4,FALSE)</f>
        <v>0</v>
      </c>
      <c r="O1104" t="str">
        <f>CONCATENATE(Query1[[#This Row],[Description]]," - ",Query1[[#This Row],[MB1]]," - ",Query1[[#This Row],[MB2]]," - ",Query1[[#This Row],[MB3]])</f>
        <v>EVAP KIT 55-56 CHEVY 4-VENT - 830054 - 0 - 0</v>
      </c>
    </row>
    <row r="1105" spans="1:15" x14ac:dyDescent="0.25">
      <c r="A1105" s="1">
        <v>911735</v>
      </c>
      <c r="B1105" s="1" t="s">
        <v>14</v>
      </c>
      <c r="C1105" s="1" t="s">
        <v>15</v>
      </c>
      <c r="D1105" s="2">
        <v>44610.666762928238</v>
      </c>
      <c r="E1105" s="1" t="s">
        <v>8</v>
      </c>
      <c r="F1105" s="1">
        <v>1</v>
      </c>
      <c r="G1105" s="1">
        <v>0</v>
      </c>
      <c r="H1105" s="6">
        <f>INT(Query1[[#This Row],[EntryDateTime]])</f>
        <v>44610</v>
      </c>
      <c r="I1105" s="1">
        <f>IF(Query1[[#This Row],[ItemType]]="EVAP KIT SF GEN IV",Query1[[#This Row],[OrderQty]]+I1104,I1104)</f>
        <v>1217</v>
      </c>
      <c r="J1105" s="1">
        <f>IF(Query1[[#This Row],[ItemType]]="EVAP KIT UNIVERSAL",Query1[[#This Row],[OrderQty]]+J1104,J1104)</f>
        <v>541</v>
      </c>
      <c r="K1105" s="1">
        <f>Query1[[#This Row],[SF Running Total]]+Query1[[#This Row],[UNIV Running Total]]</f>
        <v>1758</v>
      </c>
      <c r="L1105">
        <f>VLOOKUP(Query1[[#This Row],[Description]],'kits to boards'!$B$2:$E$156,2,FALSE)</f>
        <v>830054</v>
      </c>
      <c r="M1105">
        <f>VLOOKUP(Query1[[#This Row],[Description]],'kits to boards'!$B$2:$E$156,3,FALSE)</f>
        <v>0</v>
      </c>
      <c r="N1105">
        <f>VLOOKUP(Query1[[#This Row],[Description]],'kits to boards'!$B$2:$E$156,4,FALSE)</f>
        <v>0</v>
      </c>
      <c r="O1105" t="str">
        <f>CONCATENATE(Query1[[#This Row],[Description]]," - ",Query1[[#This Row],[MB1]]," - ",Query1[[#This Row],[MB2]]," - ",Query1[[#This Row],[MB3]])</f>
        <v>EVAP KIT 55-56 CHEVY - 830054 - 0 - 0</v>
      </c>
    </row>
    <row r="1106" spans="1:15" x14ac:dyDescent="0.25">
      <c r="A1106" s="1">
        <v>911736</v>
      </c>
      <c r="B1106" s="1" t="s">
        <v>26</v>
      </c>
      <c r="C1106" s="1" t="s">
        <v>27</v>
      </c>
      <c r="D1106" s="2">
        <v>44610.669360995373</v>
      </c>
      <c r="E1106" s="1" t="s">
        <v>8</v>
      </c>
      <c r="F1106" s="1">
        <v>1</v>
      </c>
      <c r="G1106" s="1">
        <v>0</v>
      </c>
      <c r="H1106" s="6">
        <f>INT(Query1[[#This Row],[EntryDateTime]])</f>
        <v>44610</v>
      </c>
      <c r="I1106" s="1">
        <f>IF(Query1[[#This Row],[ItemType]]="EVAP KIT SF GEN IV",Query1[[#This Row],[OrderQty]]+I1105,I1105)</f>
        <v>1218</v>
      </c>
      <c r="J1106" s="1">
        <f>IF(Query1[[#This Row],[ItemType]]="EVAP KIT UNIVERSAL",Query1[[#This Row],[OrderQty]]+J1105,J1105)</f>
        <v>541</v>
      </c>
      <c r="K1106" s="1">
        <f>Query1[[#This Row],[SF Running Total]]+Query1[[#This Row],[UNIV Running Total]]</f>
        <v>1759</v>
      </c>
      <c r="L1106">
        <f>VLOOKUP(Query1[[#This Row],[Description]],'kits to boards'!$B$2:$E$156,2,FALSE)</f>
        <v>830013</v>
      </c>
      <c r="M1106">
        <f>VLOOKUP(Query1[[#This Row],[Description]],'kits to boards'!$B$2:$E$156,3,FALSE)</f>
        <v>0</v>
      </c>
      <c r="N1106">
        <f>VLOOKUP(Query1[[#This Row],[Description]],'kits to boards'!$B$2:$E$156,4,FALSE)</f>
        <v>0</v>
      </c>
      <c r="O1106" t="str">
        <f>CONCATENATE(Query1[[#This Row],[Description]]," - ",Query1[[#This Row],[MB1]]," - ",Query1[[#This Row],[MB2]]," - ",Query1[[#This Row],[MB3]])</f>
        <v>EVAP KIT 67-72 CHEV P-UP W/AC - 830013 - 0 - 0</v>
      </c>
    </row>
    <row r="1107" spans="1:15" x14ac:dyDescent="0.25">
      <c r="A1107" s="1">
        <v>911697</v>
      </c>
      <c r="B1107" s="1" t="s">
        <v>26</v>
      </c>
      <c r="C1107" s="1" t="s">
        <v>27</v>
      </c>
      <c r="D1107" s="2">
        <v>44610.670615509262</v>
      </c>
      <c r="E1107" s="1" t="s">
        <v>8</v>
      </c>
      <c r="F1107" s="1">
        <v>1</v>
      </c>
      <c r="G1107" s="1">
        <v>0</v>
      </c>
      <c r="H1107" s="6">
        <f>INT(Query1[[#This Row],[EntryDateTime]])</f>
        <v>44610</v>
      </c>
      <c r="I1107" s="1">
        <f>IF(Query1[[#This Row],[ItemType]]="EVAP KIT SF GEN IV",Query1[[#This Row],[OrderQty]]+I1106,I1106)</f>
        <v>1219</v>
      </c>
      <c r="J1107" s="1">
        <f>IF(Query1[[#This Row],[ItemType]]="EVAP KIT UNIVERSAL",Query1[[#This Row],[OrderQty]]+J1106,J1106)</f>
        <v>541</v>
      </c>
      <c r="K1107" s="1">
        <f>Query1[[#This Row],[SF Running Total]]+Query1[[#This Row],[UNIV Running Total]]</f>
        <v>1760</v>
      </c>
      <c r="L1107">
        <f>VLOOKUP(Query1[[#This Row],[Description]],'kits to boards'!$B$2:$E$156,2,FALSE)</f>
        <v>830013</v>
      </c>
      <c r="M1107">
        <f>VLOOKUP(Query1[[#This Row],[Description]],'kits to boards'!$B$2:$E$156,3,FALSE)</f>
        <v>0</v>
      </c>
      <c r="N1107">
        <f>VLOOKUP(Query1[[#This Row],[Description]],'kits to boards'!$B$2:$E$156,4,FALSE)</f>
        <v>0</v>
      </c>
      <c r="O1107" t="str">
        <f>CONCATENATE(Query1[[#This Row],[Description]]," - ",Query1[[#This Row],[MB1]]," - ",Query1[[#This Row],[MB2]]," - ",Query1[[#This Row],[MB3]])</f>
        <v>EVAP KIT 67-72 CHEV P-UP W/AC - 830013 - 0 - 0</v>
      </c>
    </row>
    <row r="1108" spans="1:15" x14ac:dyDescent="0.25">
      <c r="A1108" s="1">
        <v>911738</v>
      </c>
      <c r="B1108" s="1" t="s">
        <v>84</v>
      </c>
      <c r="C1108" s="1" t="s">
        <v>85</v>
      </c>
      <c r="D1108" s="2">
        <v>44613.317017939815</v>
      </c>
      <c r="E1108" s="1" t="s">
        <v>8</v>
      </c>
      <c r="F1108" s="1">
        <v>1</v>
      </c>
      <c r="G1108" s="1">
        <v>0</v>
      </c>
      <c r="H1108" s="6">
        <f>INT(Query1[[#This Row],[EntryDateTime]])</f>
        <v>44613</v>
      </c>
      <c r="I1108" s="1">
        <f>IF(Query1[[#This Row],[ItemType]]="EVAP KIT SF GEN IV",Query1[[#This Row],[OrderQty]]+I1107,I1107)</f>
        <v>1220</v>
      </c>
      <c r="J1108" s="1">
        <f>IF(Query1[[#This Row],[ItemType]]="EVAP KIT UNIVERSAL",Query1[[#This Row],[OrderQty]]+J1107,J1107)</f>
        <v>541</v>
      </c>
      <c r="K1108" s="1">
        <f>Query1[[#This Row],[SF Running Total]]+Query1[[#This Row],[UNIV Running Total]]</f>
        <v>1761</v>
      </c>
      <c r="L1108">
        <f>VLOOKUP(Query1[[#This Row],[Description]],'kits to boards'!$B$2:$E$156,2,FALSE)</f>
        <v>830085</v>
      </c>
      <c r="M1108">
        <f>VLOOKUP(Query1[[#This Row],[Description]],'kits to boards'!$B$2:$E$156,3,FALSE)</f>
        <v>0</v>
      </c>
      <c r="N1108">
        <f>VLOOKUP(Query1[[#This Row],[Description]],'kits to boards'!$B$2:$E$156,4,FALSE)</f>
        <v>0</v>
      </c>
      <c r="O1108" t="str">
        <f>CONCATENATE(Query1[[#This Row],[Description]]," - ",Query1[[#This Row],[MB1]]," - ",Query1[[#This Row],[MB2]]," - ",Query1[[#This Row],[MB3]])</f>
        <v>EVAP KIT 66-77 BRONCO 4-VENT PLENUM - 830085 - 0 - 0</v>
      </c>
    </row>
    <row r="1109" spans="1:15" x14ac:dyDescent="0.25">
      <c r="A1109" s="1">
        <v>911752</v>
      </c>
      <c r="B1109" s="1" t="s">
        <v>251</v>
      </c>
      <c r="C1109" s="1" t="s">
        <v>252</v>
      </c>
      <c r="D1109" s="2">
        <v>44613.327961724535</v>
      </c>
      <c r="E1109" s="1" t="s">
        <v>8</v>
      </c>
      <c r="F1109" s="1">
        <v>1</v>
      </c>
      <c r="G1109" s="1">
        <v>0</v>
      </c>
      <c r="H1109" s="6">
        <f>INT(Query1[[#This Row],[EntryDateTime]])</f>
        <v>44613</v>
      </c>
      <c r="I1109" s="1">
        <f>IF(Query1[[#This Row],[ItemType]]="EVAP KIT SF GEN IV",Query1[[#This Row],[OrderQty]]+I1108,I1108)</f>
        <v>1221</v>
      </c>
      <c r="J1109" s="1">
        <f>IF(Query1[[#This Row],[ItemType]]="EVAP KIT UNIVERSAL",Query1[[#This Row],[OrderQty]]+J1108,J1108)</f>
        <v>541</v>
      </c>
      <c r="K1109" s="1">
        <f>Query1[[#This Row],[SF Running Total]]+Query1[[#This Row],[UNIV Running Total]]</f>
        <v>1762</v>
      </c>
      <c r="L1109">
        <f>VLOOKUP(Query1[[#This Row],[Description]],'kits to boards'!$B$2:$E$156,2,FALSE)</f>
        <v>830020</v>
      </c>
      <c r="M1109">
        <f>VLOOKUP(Query1[[#This Row],[Description]],'kits to boards'!$B$2:$E$156,3,FALSE)</f>
        <v>0</v>
      </c>
      <c r="N1109">
        <f>VLOOKUP(Query1[[#This Row],[Description]],'kits to boards'!$B$2:$E$156,4,FALSE)</f>
        <v>0</v>
      </c>
      <c r="O1109" t="str">
        <f>CONCATENATE(Query1[[#This Row],[Description]]," - ",Query1[[#This Row],[MB1]]," - ",Query1[[#This Row],[MB2]]," - ",Query1[[#This Row],[MB3]])</f>
        <v>EVAP KIT 69 FIREBIRD WO AC - 830020 - 0 - 0</v>
      </c>
    </row>
    <row r="1110" spans="1:15" x14ac:dyDescent="0.25">
      <c r="A1110" s="1">
        <v>911757</v>
      </c>
      <c r="B1110" s="1" t="s">
        <v>24</v>
      </c>
      <c r="C1110" s="1" t="s">
        <v>25</v>
      </c>
      <c r="D1110" s="2">
        <v>44613.332595636573</v>
      </c>
      <c r="E1110" s="1" t="s">
        <v>11</v>
      </c>
      <c r="F1110" s="1">
        <v>4</v>
      </c>
      <c r="G1110" s="1">
        <v>0</v>
      </c>
      <c r="H1110" s="6">
        <f>INT(Query1[[#This Row],[EntryDateTime]])</f>
        <v>44613</v>
      </c>
      <c r="I1110" s="1">
        <f>IF(Query1[[#This Row],[ItemType]]="EVAP KIT SF GEN IV",Query1[[#This Row],[OrderQty]]+I1109,I1109)</f>
        <v>1221</v>
      </c>
      <c r="J1110" s="1">
        <f>IF(Query1[[#This Row],[ItemType]]="EVAP KIT UNIVERSAL",Query1[[#This Row],[OrderQty]]+J1109,J1109)</f>
        <v>545</v>
      </c>
      <c r="K1110" s="1">
        <f>Query1[[#This Row],[SF Running Total]]+Query1[[#This Row],[UNIV Running Total]]</f>
        <v>1766</v>
      </c>
      <c r="L1110">
        <f>VLOOKUP(Query1[[#This Row],[Description]],'kits to boards'!$B$2:$E$156,2,FALSE)</f>
        <v>830029</v>
      </c>
      <c r="M1110">
        <f>VLOOKUP(Query1[[#This Row],[Description]],'kits to boards'!$B$2:$E$156,3,FALSE)</f>
        <v>830030</v>
      </c>
      <c r="N1110">
        <f>VLOOKUP(Query1[[#This Row],[Description]],'kits to boards'!$B$2:$E$156,4,FALSE)</f>
        <v>0</v>
      </c>
      <c r="O1110" t="str">
        <f>CONCATENATE(Query1[[#This Row],[Description]]," - ",Query1[[#This Row],[MB1]]," - ",Query1[[#This Row],[MB2]]," - ",Query1[[#This Row],[MB3]])</f>
        <v>ComPac GEN II W/DEF - 830029 - 830030 - 0</v>
      </c>
    </row>
    <row r="1111" spans="1:15" x14ac:dyDescent="0.25">
      <c r="A1111" s="1">
        <v>911743</v>
      </c>
      <c r="B1111" s="1" t="s">
        <v>126</v>
      </c>
      <c r="C1111" s="1" t="s">
        <v>127</v>
      </c>
      <c r="D1111" s="2">
        <v>44613.33262951389</v>
      </c>
      <c r="E1111" s="1" t="s">
        <v>8</v>
      </c>
      <c r="F1111" s="1">
        <v>1</v>
      </c>
      <c r="G1111" s="1">
        <v>0</v>
      </c>
      <c r="H1111" s="6">
        <f>INT(Query1[[#This Row],[EntryDateTime]])</f>
        <v>44613</v>
      </c>
      <c r="I1111" s="1">
        <f>IF(Query1[[#This Row],[ItemType]]="EVAP KIT SF GEN IV",Query1[[#This Row],[OrderQty]]+I1110,I1110)</f>
        <v>1222</v>
      </c>
      <c r="J1111" s="1">
        <f>IF(Query1[[#This Row],[ItemType]]="EVAP KIT UNIVERSAL",Query1[[#This Row],[OrderQty]]+J1110,J1110)</f>
        <v>545</v>
      </c>
      <c r="K1111" s="1">
        <f>Query1[[#This Row],[SF Running Total]]+Query1[[#This Row],[UNIV Running Total]]</f>
        <v>1767</v>
      </c>
      <c r="L1111">
        <f>VLOOKUP(Query1[[#This Row],[Description]],'kits to boards'!$B$2:$E$156,2,FALSE)</f>
        <v>830080</v>
      </c>
      <c r="M1111">
        <f>VLOOKUP(Query1[[#This Row],[Description]],'kits to boards'!$B$2:$E$156,3,FALSE)</f>
        <v>0</v>
      </c>
      <c r="N1111">
        <f>VLOOKUP(Query1[[#This Row],[Description]],'kits to boards'!$B$2:$E$156,4,FALSE)</f>
        <v>0</v>
      </c>
      <c r="O1111" t="str">
        <f>CONCATENATE(Query1[[#This Row],[Description]]," - ",Query1[[#This Row],[MB1]]," - ",Query1[[#This Row],[MB2]]," - ",Query1[[#This Row],[MB3]])</f>
        <v>EVAP KIT 69-70 MUSTANG WO AC  - 830080 - 0 - 0</v>
      </c>
    </row>
    <row r="1112" spans="1:15" x14ac:dyDescent="0.25">
      <c r="A1112" s="1">
        <v>911743</v>
      </c>
      <c r="B1112" s="1" t="s">
        <v>134</v>
      </c>
      <c r="C1112" s="1" t="s">
        <v>135</v>
      </c>
      <c r="D1112" s="2">
        <v>44613.33262951389</v>
      </c>
      <c r="E1112" s="1" t="s">
        <v>8</v>
      </c>
      <c r="F1112" s="1">
        <v>1</v>
      </c>
      <c r="G1112" s="1">
        <v>0</v>
      </c>
      <c r="H1112" s="6">
        <f>INT(Query1[[#This Row],[EntryDateTime]])</f>
        <v>44613</v>
      </c>
      <c r="I1112" s="1">
        <f>IF(Query1[[#This Row],[ItemType]]="EVAP KIT SF GEN IV",Query1[[#This Row],[OrderQty]]+I1111,I1111)</f>
        <v>1223</v>
      </c>
      <c r="J1112" s="1">
        <f>IF(Query1[[#This Row],[ItemType]]="EVAP KIT UNIVERSAL",Query1[[#This Row],[OrderQty]]+J1111,J1111)</f>
        <v>545</v>
      </c>
      <c r="K1112" s="1">
        <f>Query1[[#This Row],[SF Running Total]]+Query1[[#This Row],[UNIV Running Total]]</f>
        <v>1768</v>
      </c>
      <c r="L1112">
        <f>VLOOKUP(Query1[[#This Row],[Description]],'kits to boards'!$B$2:$E$156,2,FALSE)</f>
        <v>830007</v>
      </c>
      <c r="M1112">
        <f>VLOOKUP(Query1[[#This Row],[Description]],'kits to boards'!$B$2:$E$156,3,FALSE)</f>
        <v>0</v>
      </c>
      <c r="N1112">
        <f>VLOOKUP(Query1[[#This Row],[Description]],'kits to boards'!$B$2:$E$156,4,FALSE)</f>
        <v>0</v>
      </c>
      <c r="O1112" t="str">
        <f>CONCATENATE(Query1[[#This Row],[Description]]," - ",Query1[[#This Row],[MB1]]," - ",Query1[[#This Row],[MB2]]," - ",Query1[[#This Row],[MB3]])</f>
        <v>EVAP KIT 64 IMPALA WO AC - 830007 - 0 - 0</v>
      </c>
    </row>
    <row r="1113" spans="1:15" x14ac:dyDescent="0.25">
      <c r="A1113" s="1">
        <v>911743</v>
      </c>
      <c r="B1113" s="1" t="s">
        <v>110</v>
      </c>
      <c r="C1113" s="1" t="s">
        <v>111</v>
      </c>
      <c r="D1113" s="2">
        <v>44613.33262951389</v>
      </c>
      <c r="E1113" s="1" t="s">
        <v>8</v>
      </c>
      <c r="F1113" s="1">
        <v>1</v>
      </c>
      <c r="G1113" s="1">
        <v>0</v>
      </c>
      <c r="H1113" s="6">
        <f>INT(Query1[[#This Row],[EntryDateTime]])</f>
        <v>44613</v>
      </c>
      <c r="I1113" s="1">
        <f>IF(Query1[[#This Row],[ItemType]]="EVAP KIT SF GEN IV",Query1[[#This Row],[OrderQty]]+I1112,I1112)</f>
        <v>1224</v>
      </c>
      <c r="J1113" s="1">
        <f>IF(Query1[[#This Row],[ItemType]]="EVAP KIT UNIVERSAL",Query1[[#This Row],[OrderQty]]+J1112,J1112)</f>
        <v>545</v>
      </c>
      <c r="K1113" s="1">
        <f>Query1[[#This Row],[SF Running Total]]+Query1[[#This Row],[UNIV Running Total]]</f>
        <v>1769</v>
      </c>
      <c r="L1113">
        <f>VLOOKUP(Query1[[#This Row],[Description]],'kits to boards'!$B$2:$E$156,2,FALSE)</f>
        <v>830053</v>
      </c>
      <c r="M1113">
        <f>VLOOKUP(Query1[[#This Row],[Description]],'kits to boards'!$B$2:$E$156,3,FALSE)</f>
        <v>0</v>
      </c>
      <c r="N1113">
        <f>VLOOKUP(Query1[[#This Row],[Description]],'kits to boards'!$B$2:$E$156,4,FALSE)</f>
        <v>0</v>
      </c>
      <c r="O1113" t="str">
        <f>CONCATENATE(Query1[[#This Row],[Description]]," - ",Query1[[#This Row],[MB1]]," - ",Query1[[#This Row],[MB2]]," - ",Query1[[#This Row],[MB3]])</f>
        <v>EVAP KIT 65-66 FORD F-100 - 830053 - 0 - 0</v>
      </c>
    </row>
    <row r="1114" spans="1:15" x14ac:dyDescent="0.25">
      <c r="A1114" s="1">
        <v>911743</v>
      </c>
      <c r="B1114" s="1" t="s">
        <v>68</v>
      </c>
      <c r="C1114" s="1" t="s">
        <v>69</v>
      </c>
      <c r="D1114" s="2">
        <v>44613.33262951389</v>
      </c>
      <c r="E1114" s="1" t="s">
        <v>8</v>
      </c>
      <c r="F1114" s="1">
        <v>1</v>
      </c>
      <c r="G1114" s="1">
        <v>0</v>
      </c>
      <c r="H1114" s="6">
        <f>INT(Query1[[#This Row],[EntryDateTime]])</f>
        <v>44613</v>
      </c>
      <c r="I1114" s="1">
        <f>IF(Query1[[#This Row],[ItemType]]="EVAP KIT SF GEN IV",Query1[[#This Row],[OrderQty]]+I1113,I1113)</f>
        <v>1225</v>
      </c>
      <c r="J1114" s="1">
        <f>IF(Query1[[#This Row],[ItemType]]="EVAP KIT UNIVERSAL",Query1[[#This Row],[OrderQty]]+J1113,J1113)</f>
        <v>545</v>
      </c>
      <c r="K1114" s="1">
        <f>Query1[[#This Row],[SF Running Total]]+Query1[[#This Row],[UNIV Running Total]]</f>
        <v>1770</v>
      </c>
      <c r="L1114">
        <f>VLOOKUP(Query1[[#This Row],[Description]],'kits to boards'!$B$2:$E$156,2,FALSE)</f>
        <v>830010</v>
      </c>
      <c r="M1114">
        <f>VLOOKUP(Query1[[#This Row],[Description]],'kits to boards'!$B$2:$E$156,3,FALSE)</f>
        <v>0</v>
      </c>
      <c r="N1114">
        <f>VLOOKUP(Query1[[#This Row],[Description]],'kits to boards'!$B$2:$E$156,4,FALSE)</f>
        <v>0</v>
      </c>
      <c r="O1114" t="str">
        <f>CONCATENATE(Query1[[#This Row],[Description]]," - ",Query1[[#This Row],[MB1]]," - ",Query1[[#This Row],[MB2]]," - ",Query1[[#This Row],[MB3]])</f>
        <v>EVAP KIT 70-72 CHEVELLE WO AC - 830010 - 0 - 0</v>
      </c>
    </row>
    <row r="1115" spans="1:15" x14ac:dyDescent="0.25">
      <c r="A1115" s="1">
        <v>911743</v>
      </c>
      <c r="B1115" s="1" t="s">
        <v>90</v>
      </c>
      <c r="C1115" s="1" t="s">
        <v>91</v>
      </c>
      <c r="D1115" s="2">
        <v>44613.33262951389</v>
      </c>
      <c r="E1115" s="1" t="s">
        <v>8</v>
      </c>
      <c r="F1115" s="1">
        <v>1</v>
      </c>
      <c r="G1115" s="1">
        <v>0</v>
      </c>
      <c r="H1115" s="6">
        <f>INT(Query1[[#This Row],[EntryDateTime]])</f>
        <v>44613</v>
      </c>
      <c r="I1115" s="1">
        <f>IF(Query1[[#This Row],[ItemType]]="EVAP KIT SF GEN IV",Query1[[#This Row],[OrderQty]]+I1114,I1114)</f>
        <v>1226</v>
      </c>
      <c r="J1115" s="1">
        <f>IF(Query1[[#This Row],[ItemType]]="EVAP KIT UNIVERSAL",Query1[[#This Row],[OrderQty]]+J1114,J1114)</f>
        <v>545</v>
      </c>
      <c r="K1115" s="1">
        <f>Query1[[#This Row],[SF Running Total]]+Query1[[#This Row],[UNIV Running Total]]</f>
        <v>1771</v>
      </c>
      <c r="L1115">
        <f>VLOOKUP(Query1[[#This Row],[Description]],'kits to boards'!$B$2:$E$156,2,FALSE)</f>
        <v>830105</v>
      </c>
      <c r="M1115">
        <f>VLOOKUP(Query1[[#This Row],[Description]],'kits to boards'!$B$2:$E$156,3,FALSE)</f>
        <v>830106</v>
      </c>
      <c r="N1115">
        <f>VLOOKUP(Query1[[#This Row],[Description]],'kits to boards'!$B$2:$E$156,4,FALSE)</f>
        <v>0</v>
      </c>
      <c r="O1115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1116" spans="1:15" x14ac:dyDescent="0.25">
      <c r="A1116" s="1">
        <v>911743</v>
      </c>
      <c r="B1116" s="1" t="s">
        <v>36</v>
      </c>
      <c r="C1116" s="1" t="s">
        <v>37</v>
      </c>
      <c r="D1116" s="2">
        <v>44613.33262951389</v>
      </c>
      <c r="E1116" s="1" t="s">
        <v>8</v>
      </c>
      <c r="F1116" s="1">
        <v>1</v>
      </c>
      <c r="G1116" s="1">
        <v>0</v>
      </c>
      <c r="H1116" s="6">
        <f>INT(Query1[[#This Row],[EntryDateTime]])</f>
        <v>44613</v>
      </c>
      <c r="I1116" s="1">
        <f>IF(Query1[[#This Row],[ItemType]]="EVAP KIT SF GEN IV",Query1[[#This Row],[OrderQty]]+I1115,I1115)</f>
        <v>1227</v>
      </c>
      <c r="J1116" s="1">
        <f>IF(Query1[[#This Row],[ItemType]]="EVAP KIT UNIVERSAL",Query1[[#This Row],[OrderQty]]+J1115,J1115)</f>
        <v>545</v>
      </c>
      <c r="K1116" s="1">
        <f>Query1[[#This Row],[SF Running Total]]+Query1[[#This Row],[UNIV Running Total]]</f>
        <v>1772</v>
      </c>
      <c r="L1116">
        <f>VLOOKUP(Query1[[#This Row],[Description]],'kits to boards'!$B$2:$E$156,2,FALSE)</f>
        <v>830015</v>
      </c>
      <c r="M1116">
        <f>VLOOKUP(Query1[[#This Row],[Description]],'kits to boards'!$B$2:$E$156,3,FALSE)</f>
        <v>0</v>
      </c>
      <c r="N1116">
        <f>VLOOKUP(Query1[[#This Row],[Description]],'kits to boards'!$B$2:$E$156,4,FALSE)</f>
        <v>0</v>
      </c>
      <c r="O1116" t="str">
        <f>CONCATENATE(Query1[[#This Row],[Description]]," - ",Query1[[#This Row],[MB1]]," - ",Query1[[#This Row],[MB2]]," - ",Query1[[#This Row],[MB3]])</f>
        <v>EVAP KIT 64-66 CHEV P-UP WO AC W/STD - 830015 - 0 - 0</v>
      </c>
    </row>
    <row r="1117" spans="1:15" x14ac:dyDescent="0.25">
      <c r="A1117" s="1">
        <v>911743</v>
      </c>
      <c r="B1117" s="1" t="s">
        <v>28</v>
      </c>
      <c r="C1117" s="1" t="s">
        <v>29</v>
      </c>
      <c r="D1117" s="2">
        <v>44613.33262951389</v>
      </c>
      <c r="E1117" s="1" t="s">
        <v>8</v>
      </c>
      <c r="F1117" s="1">
        <v>2</v>
      </c>
      <c r="G1117" s="1">
        <v>0</v>
      </c>
      <c r="H1117" s="6">
        <f>INT(Query1[[#This Row],[EntryDateTime]])</f>
        <v>44613</v>
      </c>
      <c r="I1117" s="1">
        <f>IF(Query1[[#This Row],[ItemType]]="EVAP KIT SF GEN IV",Query1[[#This Row],[OrderQty]]+I1116,I1116)</f>
        <v>1229</v>
      </c>
      <c r="J1117" s="1">
        <f>IF(Query1[[#This Row],[ItemType]]="EVAP KIT UNIVERSAL",Query1[[#This Row],[OrderQty]]+J1116,J1116)</f>
        <v>545</v>
      </c>
      <c r="K1117" s="1">
        <f>Query1[[#This Row],[SF Running Total]]+Query1[[#This Row],[UNIV Running Total]]</f>
        <v>1774</v>
      </c>
      <c r="L1117">
        <f>VLOOKUP(Query1[[#This Row],[Description]],'kits to boards'!$B$2:$E$156,2,FALSE)</f>
        <v>830001</v>
      </c>
      <c r="M1117">
        <f>VLOOKUP(Query1[[#This Row],[Description]],'kits to boards'!$B$2:$E$156,3,FALSE)</f>
        <v>0</v>
      </c>
      <c r="N1117">
        <f>VLOOKUP(Query1[[#This Row],[Description]],'kits to boards'!$B$2:$E$156,4,FALSE)</f>
        <v>0</v>
      </c>
      <c r="O1117" t="str">
        <f>CONCATENATE(Query1[[#This Row],[Description]]," - ",Query1[[#This Row],[MB1]]," - ",Query1[[#This Row],[MB2]]," - ",Query1[[#This Row],[MB3]])</f>
        <v>EVAP KIT 73-80 CHEV P-UP W/AC - 830001 - 0 - 0</v>
      </c>
    </row>
    <row r="1118" spans="1:15" x14ac:dyDescent="0.25">
      <c r="A1118" s="1">
        <v>911743</v>
      </c>
      <c r="B1118" s="1" t="s">
        <v>158</v>
      </c>
      <c r="C1118" s="1" t="s">
        <v>159</v>
      </c>
      <c r="D1118" s="2">
        <v>44613.33262951389</v>
      </c>
      <c r="E1118" s="1" t="s">
        <v>8</v>
      </c>
      <c r="F1118" s="1">
        <v>1</v>
      </c>
      <c r="G1118" s="1">
        <v>0</v>
      </c>
      <c r="H1118" s="6">
        <f>INT(Query1[[#This Row],[EntryDateTime]])</f>
        <v>44613</v>
      </c>
      <c r="I1118" s="1">
        <f>IF(Query1[[#This Row],[ItemType]]="EVAP KIT SF GEN IV",Query1[[#This Row],[OrderQty]]+I1117,I1117)</f>
        <v>1230</v>
      </c>
      <c r="J1118" s="1">
        <f>IF(Query1[[#This Row],[ItemType]]="EVAP KIT UNIVERSAL",Query1[[#This Row],[OrderQty]]+J1117,J1117)</f>
        <v>545</v>
      </c>
      <c r="K1118" s="1">
        <f>Query1[[#This Row],[SF Running Total]]+Query1[[#This Row],[UNIV Running Total]]</f>
        <v>1775</v>
      </c>
      <c r="L1118">
        <f>VLOOKUP(Query1[[#This Row],[Description]],'kits to boards'!$B$2:$E$156,2,FALSE)</f>
        <v>830080</v>
      </c>
      <c r="M1118">
        <f>VLOOKUP(Query1[[#This Row],[Description]],'kits to boards'!$B$2:$E$156,3,FALSE)</f>
        <v>830046</v>
      </c>
      <c r="N1118">
        <f>VLOOKUP(Query1[[#This Row],[Description]],'kits to boards'!$B$2:$E$156,4,FALSE)</f>
        <v>0</v>
      </c>
      <c r="O1118" t="str">
        <f>CONCATENATE(Query1[[#This Row],[Description]]," - ",Query1[[#This Row],[MB1]]," - ",Query1[[#This Row],[MB2]]," - ",Query1[[#This Row],[MB3]])</f>
        <v>EVAP KIT 69-70 MUSTANG W/AC  - 830080 - 830046 - 0</v>
      </c>
    </row>
    <row r="1119" spans="1:15" x14ac:dyDescent="0.25">
      <c r="A1119" s="1">
        <v>911743</v>
      </c>
      <c r="B1119" s="1" t="s">
        <v>30</v>
      </c>
      <c r="C1119" s="1" t="s">
        <v>31</v>
      </c>
      <c r="D1119" s="2">
        <v>44613.33262951389</v>
      </c>
      <c r="E1119" s="1" t="s">
        <v>8</v>
      </c>
      <c r="F1119" s="1">
        <v>2</v>
      </c>
      <c r="G1119" s="1">
        <v>0</v>
      </c>
      <c r="H1119" s="6">
        <f>INT(Query1[[#This Row],[EntryDateTime]])</f>
        <v>44613</v>
      </c>
      <c r="I1119" s="1">
        <f>IF(Query1[[#This Row],[ItemType]]="EVAP KIT SF GEN IV",Query1[[#This Row],[OrderQty]]+I1118,I1118)</f>
        <v>1232</v>
      </c>
      <c r="J1119" s="1">
        <f>IF(Query1[[#This Row],[ItemType]]="EVAP KIT UNIVERSAL",Query1[[#This Row],[OrderQty]]+J1118,J1118)</f>
        <v>545</v>
      </c>
      <c r="K1119" s="1">
        <f>Query1[[#This Row],[SF Running Total]]+Query1[[#This Row],[UNIV Running Total]]</f>
        <v>1777</v>
      </c>
      <c r="L1119">
        <f>VLOOKUP(Query1[[#This Row],[Description]],'kits to boards'!$B$2:$E$156,2,FALSE)</f>
        <v>830054</v>
      </c>
      <c r="M1119">
        <f>VLOOKUP(Query1[[#This Row],[Description]],'kits to boards'!$B$2:$E$156,3,FALSE)</f>
        <v>0</v>
      </c>
      <c r="N1119">
        <f>VLOOKUP(Query1[[#This Row],[Description]],'kits to boards'!$B$2:$E$156,4,FALSE)</f>
        <v>0</v>
      </c>
      <c r="O1119" t="str">
        <f>CONCATENATE(Query1[[#This Row],[Description]]," - ",Query1[[#This Row],[MB1]]," - ",Query1[[#This Row],[MB2]]," - ",Query1[[#This Row],[MB3]])</f>
        <v>EVAP KIT 55-56 CHEVY 4-VENT - 830054 - 0 - 0</v>
      </c>
    </row>
    <row r="1120" spans="1:15" x14ac:dyDescent="0.25">
      <c r="A1120" s="1">
        <v>911743</v>
      </c>
      <c r="B1120" s="1" t="s">
        <v>88</v>
      </c>
      <c r="C1120" s="1" t="s">
        <v>89</v>
      </c>
      <c r="D1120" s="2">
        <v>44613.33262951389</v>
      </c>
      <c r="E1120" s="1" t="s">
        <v>8</v>
      </c>
      <c r="F1120" s="1">
        <v>2</v>
      </c>
      <c r="G1120" s="1">
        <v>0</v>
      </c>
      <c r="H1120" s="6">
        <f>INT(Query1[[#This Row],[EntryDateTime]])</f>
        <v>44613</v>
      </c>
      <c r="I1120" s="1">
        <f>IF(Query1[[#This Row],[ItemType]]="EVAP KIT SF GEN IV",Query1[[#This Row],[OrderQty]]+I1119,I1119)</f>
        <v>1234</v>
      </c>
      <c r="J1120" s="1">
        <f>IF(Query1[[#This Row],[ItemType]]="EVAP KIT UNIVERSAL",Query1[[#This Row],[OrderQty]]+J1119,J1119)</f>
        <v>545</v>
      </c>
      <c r="K1120" s="1">
        <f>Query1[[#This Row],[SF Running Total]]+Query1[[#This Row],[UNIV Running Total]]</f>
        <v>1779</v>
      </c>
      <c r="L1120">
        <f>VLOOKUP(Query1[[#This Row],[Description]],'kits to boards'!$B$2:$E$156,2,FALSE)</f>
        <v>830003</v>
      </c>
      <c r="M1120">
        <f>VLOOKUP(Query1[[#This Row],[Description]],'kits to boards'!$B$2:$E$156,3,FALSE)</f>
        <v>0</v>
      </c>
      <c r="N1120">
        <f>VLOOKUP(Query1[[#This Row],[Description]],'kits to boards'!$B$2:$E$156,4,FALSE)</f>
        <v>0</v>
      </c>
      <c r="O1120" t="str">
        <f>CONCATENATE(Query1[[#This Row],[Description]]," - ",Query1[[#This Row],[MB1]]," - ",Query1[[#This Row],[MB2]]," - ",Query1[[#This Row],[MB3]])</f>
        <v>EVAP KIT 81-87 CHEV P-UP WO AC - 830003 - 0 - 0</v>
      </c>
    </row>
    <row r="1121" spans="1:15" x14ac:dyDescent="0.25">
      <c r="A1121" s="1">
        <v>911743</v>
      </c>
      <c r="B1121" s="1" t="s">
        <v>259</v>
      </c>
      <c r="C1121" s="1" t="s">
        <v>260</v>
      </c>
      <c r="D1121" s="2">
        <v>44613.33262951389</v>
      </c>
      <c r="E1121" s="1" t="s">
        <v>8</v>
      </c>
      <c r="F1121" s="1">
        <v>1</v>
      </c>
      <c r="G1121" s="1">
        <v>0</v>
      </c>
      <c r="H1121" s="6">
        <f>INT(Query1[[#This Row],[EntryDateTime]])</f>
        <v>44613</v>
      </c>
      <c r="I1121" s="1">
        <f>IF(Query1[[#This Row],[ItemType]]="EVAP KIT SF GEN IV",Query1[[#This Row],[OrderQty]]+I1120,I1120)</f>
        <v>1235</v>
      </c>
      <c r="J1121" s="1">
        <f>IF(Query1[[#This Row],[ItemType]]="EVAP KIT UNIVERSAL",Query1[[#This Row],[OrderQty]]+J1120,J1120)</f>
        <v>545</v>
      </c>
      <c r="K1121" s="1">
        <f>Query1[[#This Row],[SF Running Total]]+Query1[[#This Row],[UNIV Running Total]]</f>
        <v>1780</v>
      </c>
      <c r="L1121">
        <f>VLOOKUP(Query1[[#This Row],[Description]],'kits to boards'!$B$2:$E$156,2,FALSE)</f>
        <v>830025</v>
      </c>
      <c r="M1121">
        <f>VLOOKUP(Query1[[#This Row],[Description]],'kits to boards'!$B$2:$E$156,3,FALSE)</f>
        <v>0</v>
      </c>
      <c r="N1121">
        <f>VLOOKUP(Query1[[#This Row],[Description]],'kits to boards'!$B$2:$E$156,4,FALSE)</f>
        <v>0</v>
      </c>
      <c r="O1121" t="str">
        <f>CONCATENATE(Query1[[#This Row],[Description]]," - ",Query1[[#This Row],[MB1]]," - ",Query1[[#This Row],[MB2]]," - ",Query1[[#This Row],[MB3]])</f>
        <v>EVAP KIT 68 CUTLASS WO AC - 830025 - 0 - 0</v>
      </c>
    </row>
    <row r="1122" spans="1:15" x14ac:dyDescent="0.25">
      <c r="A1122" s="1">
        <v>911743</v>
      </c>
      <c r="B1122" s="1" t="s">
        <v>192</v>
      </c>
      <c r="C1122" s="1" t="s">
        <v>193</v>
      </c>
      <c r="D1122" s="2">
        <v>44613.33262951389</v>
      </c>
      <c r="E1122" s="1" t="s">
        <v>8</v>
      </c>
      <c r="F1122" s="1">
        <v>1</v>
      </c>
      <c r="G1122" s="1">
        <v>0</v>
      </c>
      <c r="H1122" s="6">
        <f>INT(Query1[[#This Row],[EntryDateTime]])</f>
        <v>44613</v>
      </c>
      <c r="I1122" s="1">
        <f>IF(Query1[[#This Row],[ItemType]]="EVAP KIT SF GEN IV",Query1[[#This Row],[OrderQty]]+I1121,I1121)</f>
        <v>1236</v>
      </c>
      <c r="J1122" s="1">
        <f>IF(Query1[[#This Row],[ItemType]]="EVAP KIT UNIVERSAL",Query1[[#This Row],[OrderQty]]+J1121,J1121)</f>
        <v>545</v>
      </c>
      <c r="K1122" s="1">
        <f>Query1[[#This Row],[SF Running Total]]+Query1[[#This Row],[UNIV Running Total]]</f>
        <v>1781</v>
      </c>
      <c r="L1122">
        <f>VLOOKUP(Query1[[#This Row],[Description]],'kits to boards'!$B$2:$E$156,2,FALSE)</f>
        <v>830094</v>
      </c>
      <c r="M1122">
        <f>VLOOKUP(Query1[[#This Row],[Description]],'kits to boards'!$B$2:$E$156,3,FALSE)</f>
        <v>0</v>
      </c>
      <c r="N1122">
        <f>VLOOKUP(Query1[[#This Row],[Description]],'kits to boards'!$B$2:$E$156,4,FALSE)</f>
        <v>0</v>
      </c>
      <c r="O1122" t="str">
        <f>CONCATENATE(Query1[[#This Row],[Description]]," - ",Query1[[#This Row],[MB1]]," - ",Query1[[#This Row],[MB2]]," - ",Query1[[#This Row],[MB3]])</f>
        <v>EVAP KIT 69-73 VETTE W/AC - 830094 - 0 - 0</v>
      </c>
    </row>
    <row r="1123" spans="1:15" x14ac:dyDescent="0.25">
      <c r="A1123" s="1">
        <v>911743</v>
      </c>
      <c r="B1123" s="1" t="s">
        <v>56</v>
      </c>
      <c r="C1123" s="1" t="s">
        <v>57</v>
      </c>
      <c r="D1123" s="2">
        <v>44613.33262951389</v>
      </c>
      <c r="E1123" s="1" t="s">
        <v>8</v>
      </c>
      <c r="F1123" s="1">
        <v>2</v>
      </c>
      <c r="G1123" s="1">
        <v>0</v>
      </c>
      <c r="H1123" s="6">
        <f>INT(Query1[[#This Row],[EntryDateTime]])</f>
        <v>44613</v>
      </c>
      <c r="I1123" s="1">
        <f>IF(Query1[[#This Row],[ItemType]]="EVAP KIT SF GEN IV",Query1[[#This Row],[OrderQty]]+I1122,I1122)</f>
        <v>1238</v>
      </c>
      <c r="J1123" s="1">
        <f>IF(Query1[[#This Row],[ItemType]]="EVAP KIT UNIVERSAL",Query1[[#This Row],[OrderQty]]+J1122,J1122)</f>
        <v>545</v>
      </c>
      <c r="K1123" s="1">
        <f>Query1[[#This Row],[SF Running Total]]+Query1[[#This Row],[UNIV Running Total]]</f>
        <v>1783</v>
      </c>
      <c r="L1123">
        <f>VLOOKUP(Query1[[#This Row],[Description]],'kits to boards'!$B$2:$E$156,2,FALSE)</f>
        <v>830011</v>
      </c>
      <c r="M1123">
        <f>VLOOKUP(Query1[[#This Row],[Description]],'kits to boards'!$B$2:$E$156,3,FALSE)</f>
        <v>0</v>
      </c>
      <c r="N1123">
        <f>VLOOKUP(Query1[[#This Row],[Description]],'kits to boards'!$B$2:$E$156,4,FALSE)</f>
        <v>0</v>
      </c>
      <c r="O1123" t="str">
        <f>CONCATENATE(Query1[[#This Row],[Description]]," - ",Query1[[#This Row],[MB1]]," - ",Query1[[#This Row],[MB2]]," - ",Query1[[#This Row],[MB3]])</f>
        <v>EVAP KIT 70-72 CHEVELLE W/AC - 830011 - 0 - 0</v>
      </c>
    </row>
    <row r="1124" spans="1:15" x14ac:dyDescent="0.25">
      <c r="A1124" s="1">
        <v>911743</v>
      </c>
      <c r="B1124" s="1" t="s">
        <v>18</v>
      </c>
      <c r="C1124" s="1" t="s">
        <v>19</v>
      </c>
      <c r="D1124" s="2">
        <v>44613.33262951389</v>
      </c>
      <c r="E1124" s="1" t="s">
        <v>8</v>
      </c>
      <c r="F1124" s="1">
        <v>1</v>
      </c>
      <c r="G1124" s="1">
        <v>0</v>
      </c>
      <c r="H1124" s="6">
        <f>INT(Query1[[#This Row],[EntryDateTime]])</f>
        <v>44613</v>
      </c>
      <c r="I1124" s="1">
        <f>IF(Query1[[#This Row],[ItemType]]="EVAP KIT SF GEN IV",Query1[[#This Row],[OrderQty]]+I1123,I1123)</f>
        <v>1239</v>
      </c>
      <c r="J1124" s="1">
        <f>IF(Query1[[#This Row],[ItemType]]="EVAP KIT UNIVERSAL",Query1[[#This Row],[OrderQty]]+J1123,J1123)</f>
        <v>545</v>
      </c>
      <c r="K1124" s="1">
        <f>Query1[[#This Row],[SF Running Total]]+Query1[[#This Row],[UNIV Running Total]]</f>
        <v>1784</v>
      </c>
      <c r="L1124">
        <f>VLOOKUP(Query1[[#This Row],[Description]],'kits to boards'!$B$2:$E$156,2,FALSE)</f>
        <v>830051</v>
      </c>
      <c r="M1124">
        <f>VLOOKUP(Query1[[#This Row],[Description]],'kits to boards'!$B$2:$E$156,3,FALSE)</f>
        <v>0</v>
      </c>
      <c r="N1124">
        <f>VLOOKUP(Query1[[#This Row],[Description]],'kits to boards'!$B$2:$E$156,4,FALSE)</f>
        <v>0</v>
      </c>
      <c r="O1124" t="str">
        <f>CONCATENATE(Query1[[#This Row],[Description]]," - ",Query1[[#This Row],[MB1]]," - ",Query1[[#This Row],[MB2]]," - ",Query1[[#This Row],[MB3]])</f>
        <v>EVAP KIT 70-78 CAMARO W/AC - 830051 - 0 - 0</v>
      </c>
    </row>
    <row r="1125" spans="1:15" x14ac:dyDescent="0.25">
      <c r="A1125" s="1">
        <v>911743</v>
      </c>
      <c r="B1125" s="1" t="s">
        <v>96</v>
      </c>
      <c r="C1125" s="1" t="s">
        <v>97</v>
      </c>
      <c r="D1125" s="2">
        <v>44613.33262951389</v>
      </c>
      <c r="E1125" s="1" t="s">
        <v>8</v>
      </c>
      <c r="F1125" s="1">
        <v>4</v>
      </c>
      <c r="G1125" s="1">
        <v>0</v>
      </c>
      <c r="H1125" s="6">
        <f>INT(Query1[[#This Row],[EntryDateTime]])</f>
        <v>44613</v>
      </c>
      <c r="I1125" s="1">
        <f>IF(Query1[[#This Row],[ItemType]]="EVAP KIT SF GEN IV",Query1[[#This Row],[OrderQty]]+I1124,I1124)</f>
        <v>1243</v>
      </c>
      <c r="J1125" s="1">
        <f>IF(Query1[[#This Row],[ItemType]]="EVAP KIT UNIVERSAL",Query1[[#This Row],[OrderQty]]+J1124,J1124)</f>
        <v>545</v>
      </c>
      <c r="K1125" s="1">
        <f>Query1[[#This Row],[SF Running Total]]+Query1[[#This Row],[UNIV Running Total]]</f>
        <v>1788</v>
      </c>
      <c r="L1125">
        <f>VLOOKUP(Query1[[#This Row],[Description]],'kits to boards'!$B$2:$E$156,2,FALSE)</f>
        <v>830004</v>
      </c>
      <c r="M1125">
        <f>VLOOKUP(Query1[[#This Row],[Description]],'kits to boards'!$B$2:$E$156,3,FALSE)</f>
        <v>0</v>
      </c>
      <c r="N1125">
        <f>VLOOKUP(Query1[[#This Row],[Description]],'kits to boards'!$B$2:$E$156,4,FALSE)</f>
        <v>0</v>
      </c>
      <c r="O1125" t="str">
        <f>CONCATENATE(Query1[[#This Row],[Description]]," - ",Query1[[#This Row],[MB1]]," - ",Query1[[#This Row],[MB2]]," - ",Query1[[#This Row],[MB3]])</f>
        <v>EVAP KIT 81-87 CHEV P-UP W/AC - 830004 - 0 - 0</v>
      </c>
    </row>
    <row r="1126" spans="1:15" x14ac:dyDescent="0.25">
      <c r="A1126" s="1">
        <v>911743</v>
      </c>
      <c r="B1126" s="1" t="s">
        <v>247</v>
      </c>
      <c r="C1126" s="1" t="s">
        <v>248</v>
      </c>
      <c r="D1126" s="2">
        <v>44613.33262951389</v>
      </c>
      <c r="E1126" s="1" t="s">
        <v>8</v>
      </c>
      <c r="F1126" s="1">
        <v>1</v>
      </c>
      <c r="G1126" s="1">
        <v>0</v>
      </c>
      <c r="H1126" s="6">
        <f>INT(Query1[[#This Row],[EntryDateTime]])</f>
        <v>44613</v>
      </c>
      <c r="I1126" s="1">
        <f>IF(Query1[[#This Row],[ItemType]]="EVAP KIT SF GEN IV",Query1[[#This Row],[OrderQty]]+I1125,I1125)</f>
        <v>1244</v>
      </c>
      <c r="J1126" s="1">
        <f>IF(Query1[[#This Row],[ItemType]]="EVAP KIT UNIVERSAL",Query1[[#This Row],[OrderQty]]+J1125,J1125)</f>
        <v>545</v>
      </c>
      <c r="K1126" s="1">
        <f>Query1[[#This Row],[SF Running Total]]+Query1[[#This Row],[UNIV Running Total]]</f>
        <v>1789</v>
      </c>
      <c r="L1126">
        <f>VLOOKUP(Query1[[#This Row],[Description]],'kits to boards'!$B$2:$E$156,2,FALSE)</f>
        <v>830107</v>
      </c>
      <c r="M1126">
        <f>VLOOKUP(Query1[[#This Row],[Description]],'kits to boards'!$B$2:$E$156,3,FALSE)</f>
        <v>0</v>
      </c>
      <c r="N1126">
        <f>VLOOKUP(Query1[[#This Row],[Description]],'kits to boards'!$B$2:$E$156,4,FALSE)</f>
        <v>0</v>
      </c>
      <c r="O1126" t="str">
        <f>CONCATENATE(Query1[[#This Row],[Description]]," - ",Query1[[#This Row],[MB1]]," - ",Query1[[#This Row],[MB2]]," - ",Query1[[#This Row],[MB3]])</f>
        <v>EVAP KIT 69 FIREBIRD W/AC - 830107 - 0 - 0</v>
      </c>
    </row>
    <row r="1127" spans="1:15" x14ac:dyDescent="0.25">
      <c r="A1127" s="1">
        <v>911743</v>
      </c>
      <c r="B1127" s="1" t="s">
        <v>14</v>
      </c>
      <c r="C1127" s="1" t="s">
        <v>15</v>
      </c>
      <c r="D1127" s="2">
        <v>44613.33262951389</v>
      </c>
      <c r="E1127" s="1" t="s">
        <v>8</v>
      </c>
      <c r="F1127" s="1">
        <v>1</v>
      </c>
      <c r="G1127" s="1">
        <v>0</v>
      </c>
      <c r="H1127" s="6">
        <f>INT(Query1[[#This Row],[EntryDateTime]])</f>
        <v>44613</v>
      </c>
      <c r="I1127" s="1">
        <f>IF(Query1[[#This Row],[ItemType]]="EVAP KIT SF GEN IV",Query1[[#This Row],[OrderQty]]+I1126,I1126)</f>
        <v>1245</v>
      </c>
      <c r="J1127" s="1">
        <f>IF(Query1[[#This Row],[ItemType]]="EVAP KIT UNIVERSAL",Query1[[#This Row],[OrderQty]]+J1126,J1126)</f>
        <v>545</v>
      </c>
      <c r="K1127" s="1">
        <f>Query1[[#This Row],[SF Running Total]]+Query1[[#This Row],[UNIV Running Total]]</f>
        <v>1790</v>
      </c>
      <c r="L1127">
        <f>VLOOKUP(Query1[[#This Row],[Description]],'kits to boards'!$B$2:$E$156,2,FALSE)</f>
        <v>830054</v>
      </c>
      <c r="M1127">
        <f>VLOOKUP(Query1[[#This Row],[Description]],'kits to boards'!$B$2:$E$156,3,FALSE)</f>
        <v>0</v>
      </c>
      <c r="N1127">
        <f>VLOOKUP(Query1[[#This Row],[Description]],'kits to boards'!$B$2:$E$156,4,FALSE)</f>
        <v>0</v>
      </c>
      <c r="O1127" t="str">
        <f>CONCATENATE(Query1[[#This Row],[Description]]," - ",Query1[[#This Row],[MB1]]," - ",Query1[[#This Row],[MB2]]," - ",Query1[[#This Row],[MB3]])</f>
        <v>EVAP KIT 55-56 CHEVY - 830054 - 0 - 0</v>
      </c>
    </row>
    <row r="1128" spans="1:15" x14ac:dyDescent="0.25">
      <c r="A1128" s="1">
        <v>911743</v>
      </c>
      <c r="B1128" s="1" t="s">
        <v>16</v>
      </c>
      <c r="C1128" s="1" t="s">
        <v>17</v>
      </c>
      <c r="D1128" s="2">
        <v>44613.33262951389</v>
      </c>
      <c r="E1128" s="1" t="s">
        <v>8</v>
      </c>
      <c r="F1128" s="1">
        <v>1</v>
      </c>
      <c r="G1128" s="1">
        <v>0</v>
      </c>
      <c r="H1128" s="6">
        <f>INT(Query1[[#This Row],[EntryDateTime]])</f>
        <v>44613</v>
      </c>
      <c r="I1128" s="1">
        <f>IF(Query1[[#This Row],[ItemType]]="EVAP KIT SF GEN IV",Query1[[#This Row],[OrderQty]]+I1127,I1127)</f>
        <v>1246</v>
      </c>
      <c r="J1128" s="1">
        <f>IF(Query1[[#This Row],[ItemType]]="EVAP KIT UNIVERSAL",Query1[[#This Row],[OrderQty]]+J1127,J1127)</f>
        <v>545</v>
      </c>
      <c r="K1128" s="1">
        <f>Query1[[#This Row],[SF Running Total]]+Query1[[#This Row],[UNIV Running Total]]</f>
        <v>1791</v>
      </c>
      <c r="L1128">
        <f>VLOOKUP(Query1[[#This Row],[Description]],'kits to boards'!$B$2:$E$156,2,FALSE)</f>
        <v>830061</v>
      </c>
      <c r="M1128">
        <f>VLOOKUP(Query1[[#This Row],[Description]],'kits to boards'!$B$2:$E$156,3,FALSE)</f>
        <v>0</v>
      </c>
      <c r="N1128">
        <f>VLOOKUP(Query1[[#This Row],[Description]],'kits to boards'!$B$2:$E$156,4,FALSE)</f>
        <v>0</v>
      </c>
      <c r="O1128" t="str">
        <f>CONCATENATE(Query1[[#This Row],[Description]]," - ",Query1[[#This Row],[MB1]]," - ",Query1[[#This Row],[MB2]]," - ",Query1[[#This Row],[MB3]])</f>
        <v>EVAP KIT 68-69 CHEVELLE W/AC - 830061 - 0 - 0</v>
      </c>
    </row>
    <row r="1129" spans="1:15" x14ac:dyDescent="0.25">
      <c r="A1129" s="1">
        <v>911743</v>
      </c>
      <c r="B1129" s="1" t="s">
        <v>6</v>
      </c>
      <c r="C1129" s="1" t="s">
        <v>7</v>
      </c>
      <c r="D1129" s="2">
        <v>44613.33262951389</v>
      </c>
      <c r="E1129" s="1" t="s">
        <v>8</v>
      </c>
      <c r="F1129" s="1">
        <v>2</v>
      </c>
      <c r="G1129" s="1">
        <v>0</v>
      </c>
      <c r="H1129" s="6">
        <f>INT(Query1[[#This Row],[EntryDateTime]])</f>
        <v>44613</v>
      </c>
      <c r="I1129" s="1">
        <f>IF(Query1[[#This Row],[ItemType]]="EVAP KIT SF GEN IV",Query1[[#This Row],[OrderQty]]+I1128,I1128)</f>
        <v>1248</v>
      </c>
      <c r="J1129" s="1">
        <f>IF(Query1[[#This Row],[ItemType]]="EVAP KIT UNIVERSAL",Query1[[#This Row],[OrderQty]]+J1128,J1128)</f>
        <v>545</v>
      </c>
      <c r="K1129" s="1">
        <f>Query1[[#This Row],[SF Running Total]]+Query1[[#This Row],[UNIV Running Total]]</f>
        <v>1793</v>
      </c>
      <c r="L1129">
        <f>VLOOKUP(Query1[[#This Row],[Description]],'kits to boards'!$B$2:$E$156,2,FALSE)</f>
        <v>830132</v>
      </c>
      <c r="M1129">
        <f>VLOOKUP(Query1[[#This Row],[Description]],'kits to boards'!$B$2:$E$156,3,FALSE)</f>
        <v>0</v>
      </c>
      <c r="N1129">
        <f>VLOOKUP(Query1[[#This Row],[Description]],'kits to boards'!$B$2:$E$156,4,FALSE)</f>
        <v>0</v>
      </c>
      <c r="O1129" t="str">
        <f>CONCATENATE(Query1[[#This Row],[Description]]," - ",Query1[[#This Row],[MB1]]," - ",Query1[[#This Row],[MB2]]," - ",Query1[[#This Row],[MB3]])</f>
        <v>EVAP KIT 82-88 MONTE CARLO/EL CAMINO - 830132 - 0 - 0</v>
      </c>
    </row>
    <row r="1130" spans="1:15" x14ac:dyDescent="0.25">
      <c r="A1130" s="1">
        <v>911743</v>
      </c>
      <c r="B1130" s="1" t="s">
        <v>140</v>
      </c>
      <c r="C1130" s="1" t="s">
        <v>141</v>
      </c>
      <c r="D1130" s="2">
        <v>44613.33262951389</v>
      </c>
      <c r="E1130" s="1" t="s">
        <v>8</v>
      </c>
      <c r="F1130" s="1">
        <v>1</v>
      </c>
      <c r="G1130" s="1">
        <v>0</v>
      </c>
      <c r="H1130" s="6">
        <f>INT(Query1[[#This Row],[EntryDateTime]])</f>
        <v>44613</v>
      </c>
      <c r="I1130" s="1">
        <f>IF(Query1[[#This Row],[ItemType]]="EVAP KIT SF GEN IV",Query1[[#This Row],[OrderQty]]+I1129,I1129)</f>
        <v>1249</v>
      </c>
      <c r="J1130" s="1">
        <f>IF(Query1[[#This Row],[ItemType]]="EVAP KIT UNIVERSAL",Query1[[#This Row],[OrderQty]]+J1129,J1129)</f>
        <v>545</v>
      </c>
      <c r="K1130" s="1">
        <f>Query1[[#This Row],[SF Running Total]]+Query1[[#This Row],[UNIV Running Total]]</f>
        <v>1794</v>
      </c>
      <c r="L1130">
        <f>VLOOKUP(Query1[[#This Row],[Description]],'kits to boards'!$B$2:$E$156,2,FALSE)</f>
        <v>830066</v>
      </c>
      <c r="M1130">
        <f>VLOOKUP(Query1[[#This Row],[Description]],'kits to boards'!$B$2:$E$156,3,FALSE)</f>
        <v>0</v>
      </c>
      <c r="N1130">
        <f>VLOOKUP(Query1[[#This Row],[Description]],'kits to boards'!$B$2:$E$156,4,FALSE)</f>
        <v>0</v>
      </c>
      <c r="O1130" t="str">
        <f>CONCATENATE(Query1[[#This Row],[Description]]," - ",Query1[[#This Row],[MB1]]," - ",Query1[[#This Row],[MB2]]," - ",Query1[[#This Row],[MB3]])</f>
        <v>EVAP KIT 60-63 CHEV P-UP WO AC - 830066 - 0 - 0</v>
      </c>
    </row>
    <row r="1131" spans="1:15" x14ac:dyDescent="0.25">
      <c r="A1131" s="1">
        <v>911743</v>
      </c>
      <c r="B1131" s="1" t="s">
        <v>150</v>
      </c>
      <c r="C1131" s="1" t="s">
        <v>151</v>
      </c>
      <c r="D1131" s="2">
        <v>44613.33262951389</v>
      </c>
      <c r="E1131" s="1" t="s">
        <v>8</v>
      </c>
      <c r="F1131" s="1">
        <v>1</v>
      </c>
      <c r="G1131" s="1">
        <v>0</v>
      </c>
      <c r="H1131" s="6">
        <f>INT(Query1[[#This Row],[EntryDateTime]])</f>
        <v>44613</v>
      </c>
      <c r="I1131" s="1">
        <f>IF(Query1[[#This Row],[ItemType]]="EVAP KIT SF GEN IV",Query1[[#This Row],[OrderQty]]+I1130,I1130)</f>
        <v>1250</v>
      </c>
      <c r="J1131" s="1">
        <f>IF(Query1[[#This Row],[ItemType]]="EVAP KIT UNIVERSAL",Query1[[#This Row],[OrderQty]]+J1130,J1130)</f>
        <v>545</v>
      </c>
      <c r="K1131" s="1">
        <f>Query1[[#This Row],[SF Running Total]]+Query1[[#This Row],[UNIV Running Total]]</f>
        <v>1795</v>
      </c>
      <c r="L1131">
        <f>VLOOKUP(Query1[[#This Row],[Description]],'kits to boards'!$B$2:$E$156,2,FALSE)</f>
        <v>830010</v>
      </c>
      <c r="M1131">
        <f>VLOOKUP(Query1[[#This Row],[Description]],'kits to boards'!$B$2:$E$156,3,FALSE)</f>
        <v>0</v>
      </c>
      <c r="N1131">
        <f>VLOOKUP(Query1[[#This Row],[Description]],'kits to boards'!$B$2:$E$156,4,FALSE)</f>
        <v>0</v>
      </c>
      <c r="O1131" t="str">
        <f>CONCATENATE(Query1[[#This Row],[Description]]," - ",Query1[[#This Row],[MB1]]," - ",Query1[[#This Row],[MB2]]," - ",Query1[[#This Row],[MB3]])</f>
        <v>EVAP KIT 70-72 MONTE CARLO W/AC - 830010 - 0 - 0</v>
      </c>
    </row>
    <row r="1132" spans="1:15" x14ac:dyDescent="0.25">
      <c r="A1132" s="1">
        <v>911743</v>
      </c>
      <c r="B1132" s="1" t="s">
        <v>26</v>
      </c>
      <c r="C1132" s="1" t="s">
        <v>27</v>
      </c>
      <c r="D1132" s="2">
        <v>44613.33262951389</v>
      </c>
      <c r="E1132" s="1" t="s">
        <v>8</v>
      </c>
      <c r="F1132" s="1">
        <v>2</v>
      </c>
      <c r="G1132" s="1">
        <v>0</v>
      </c>
      <c r="H1132" s="6">
        <f>INT(Query1[[#This Row],[EntryDateTime]])</f>
        <v>44613</v>
      </c>
      <c r="I1132" s="1">
        <f>IF(Query1[[#This Row],[ItemType]]="EVAP KIT SF GEN IV",Query1[[#This Row],[OrderQty]]+I1131,I1131)</f>
        <v>1252</v>
      </c>
      <c r="J1132" s="1">
        <f>IF(Query1[[#This Row],[ItemType]]="EVAP KIT UNIVERSAL",Query1[[#This Row],[OrderQty]]+J1131,J1131)</f>
        <v>545</v>
      </c>
      <c r="K1132" s="1">
        <f>Query1[[#This Row],[SF Running Total]]+Query1[[#This Row],[UNIV Running Total]]</f>
        <v>1797</v>
      </c>
      <c r="L1132">
        <f>VLOOKUP(Query1[[#This Row],[Description]],'kits to boards'!$B$2:$E$156,2,FALSE)</f>
        <v>830013</v>
      </c>
      <c r="M1132">
        <f>VLOOKUP(Query1[[#This Row],[Description]],'kits to boards'!$B$2:$E$156,3,FALSE)</f>
        <v>0</v>
      </c>
      <c r="N1132">
        <f>VLOOKUP(Query1[[#This Row],[Description]],'kits to boards'!$B$2:$E$156,4,FALSE)</f>
        <v>0</v>
      </c>
      <c r="O1132" t="str">
        <f>CONCATENATE(Query1[[#This Row],[Description]]," - ",Query1[[#This Row],[MB1]]," - ",Query1[[#This Row],[MB2]]," - ",Query1[[#This Row],[MB3]])</f>
        <v>EVAP KIT 67-72 CHEV P-UP W/AC - 830013 - 0 - 0</v>
      </c>
    </row>
    <row r="1133" spans="1:15" x14ac:dyDescent="0.25">
      <c r="A1133" s="1">
        <v>911758</v>
      </c>
      <c r="B1133" s="1" t="s">
        <v>228</v>
      </c>
      <c r="C1133" s="1" t="s">
        <v>229</v>
      </c>
      <c r="D1133" s="2">
        <v>44613.334601817129</v>
      </c>
      <c r="E1133" s="1" t="s">
        <v>8</v>
      </c>
      <c r="F1133" s="1">
        <v>1</v>
      </c>
      <c r="G1133" s="1">
        <v>0</v>
      </c>
      <c r="H1133" s="6">
        <f>INT(Query1[[#This Row],[EntryDateTime]])</f>
        <v>44613</v>
      </c>
      <c r="I1133" s="1">
        <f>IF(Query1[[#This Row],[ItemType]]="EVAP KIT SF GEN IV",Query1[[#This Row],[OrderQty]]+I1132,I1132)</f>
        <v>1253</v>
      </c>
      <c r="J1133" s="1">
        <f>IF(Query1[[#This Row],[ItemType]]="EVAP KIT UNIVERSAL",Query1[[#This Row],[OrderQty]]+J1132,J1132)</f>
        <v>545</v>
      </c>
      <c r="K1133" s="1">
        <f>Query1[[#This Row],[SF Running Total]]+Query1[[#This Row],[UNIV Running Total]]</f>
        <v>1798</v>
      </c>
      <c r="L1133">
        <f>VLOOKUP(Query1[[#This Row],[Description]],'kits to boards'!$B$2:$E$156,2,FALSE)</f>
        <v>830044</v>
      </c>
      <c r="M1133">
        <f>VLOOKUP(Query1[[#This Row],[Description]],'kits to boards'!$B$2:$E$156,3,FALSE)</f>
        <v>0</v>
      </c>
      <c r="N1133">
        <f>VLOOKUP(Query1[[#This Row],[Description]],'kits to boards'!$B$2:$E$156,4,FALSE)</f>
        <v>0</v>
      </c>
      <c r="O1133" t="str">
        <f>CONCATENATE(Query1[[#This Row],[Description]]," - ",Query1[[#This Row],[MB1]]," - ",Query1[[#This Row],[MB2]]," - ",Query1[[#This Row],[MB3]])</f>
        <v>EVAP KIT 64-65 FALCON/RANCHERO - 830044 - 0 - 0</v>
      </c>
    </row>
    <row r="1134" spans="1:15" x14ac:dyDescent="0.25">
      <c r="A1134" s="1">
        <v>911761</v>
      </c>
      <c r="B1134" s="1" t="s">
        <v>14</v>
      </c>
      <c r="C1134" s="1" t="s">
        <v>15</v>
      </c>
      <c r="D1134" s="2">
        <v>44613.337700312499</v>
      </c>
      <c r="E1134" s="1" t="s">
        <v>8</v>
      </c>
      <c r="F1134" s="1">
        <v>1</v>
      </c>
      <c r="G1134" s="1">
        <v>0</v>
      </c>
      <c r="H1134" s="6">
        <f>INT(Query1[[#This Row],[EntryDateTime]])</f>
        <v>44613</v>
      </c>
      <c r="I1134" s="1">
        <f>IF(Query1[[#This Row],[ItemType]]="EVAP KIT SF GEN IV",Query1[[#This Row],[OrderQty]]+I1133,I1133)</f>
        <v>1254</v>
      </c>
      <c r="J1134" s="1">
        <f>IF(Query1[[#This Row],[ItemType]]="EVAP KIT UNIVERSAL",Query1[[#This Row],[OrderQty]]+J1133,J1133)</f>
        <v>545</v>
      </c>
      <c r="K1134" s="1">
        <f>Query1[[#This Row],[SF Running Total]]+Query1[[#This Row],[UNIV Running Total]]</f>
        <v>1799</v>
      </c>
      <c r="L1134">
        <f>VLOOKUP(Query1[[#This Row],[Description]],'kits to boards'!$B$2:$E$156,2,FALSE)</f>
        <v>830054</v>
      </c>
      <c r="M1134">
        <f>VLOOKUP(Query1[[#This Row],[Description]],'kits to boards'!$B$2:$E$156,3,FALSE)</f>
        <v>0</v>
      </c>
      <c r="N1134">
        <f>VLOOKUP(Query1[[#This Row],[Description]],'kits to boards'!$B$2:$E$156,4,FALSE)</f>
        <v>0</v>
      </c>
      <c r="O1134" t="str">
        <f>CONCATENATE(Query1[[#This Row],[Description]]," - ",Query1[[#This Row],[MB1]]," - ",Query1[[#This Row],[MB2]]," - ",Query1[[#This Row],[MB3]])</f>
        <v>EVAP KIT 55-56 CHEVY - 830054 - 0 - 0</v>
      </c>
    </row>
    <row r="1135" spans="1:15" x14ac:dyDescent="0.25">
      <c r="A1135" s="1">
        <v>911765</v>
      </c>
      <c r="B1135" s="1" t="s">
        <v>54</v>
      </c>
      <c r="C1135" s="1" t="s">
        <v>55</v>
      </c>
      <c r="D1135" s="2">
        <v>44613.343372569441</v>
      </c>
      <c r="E1135" s="1" t="s">
        <v>8</v>
      </c>
      <c r="F1135" s="1">
        <v>1</v>
      </c>
      <c r="G1135" s="1">
        <v>0</v>
      </c>
      <c r="H1135" s="6">
        <f>INT(Query1[[#This Row],[EntryDateTime]])</f>
        <v>44613</v>
      </c>
      <c r="I1135" s="1">
        <f>IF(Query1[[#This Row],[ItemType]]="EVAP KIT SF GEN IV",Query1[[#This Row],[OrderQty]]+I1134,I1134)</f>
        <v>1255</v>
      </c>
      <c r="J1135" s="1">
        <f>IF(Query1[[#This Row],[ItemType]]="EVAP KIT UNIVERSAL",Query1[[#This Row],[OrderQty]]+J1134,J1134)</f>
        <v>545</v>
      </c>
      <c r="K1135" s="1">
        <f>Query1[[#This Row],[SF Running Total]]+Query1[[#This Row],[UNIV Running Total]]</f>
        <v>1800</v>
      </c>
      <c r="L1135">
        <f>VLOOKUP(Query1[[#This Row],[Description]],'kits to boards'!$B$2:$E$156,2,FALSE)</f>
        <v>830037</v>
      </c>
      <c r="M1135">
        <f>VLOOKUP(Query1[[#This Row],[Description]],'kits to boards'!$B$2:$E$156,3,FALSE)</f>
        <v>0</v>
      </c>
      <c r="N1135">
        <f>VLOOKUP(Query1[[#This Row],[Description]],'kits to boards'!$B$2:$E$156,4,FALSE)</f>
        <v>0</v>
      </c>
      <c r="O1135" t="str">
        <f>CONCATENATE(Query1[[#This Row],[Description]]," - ",Query1[[#This Row],[MB1]]," - ",Query1[[#This Row],[MB2]]," - ",Query1[[#This Row],[MB3]])</f>
        <v>EVAP KIT 70-81 FIREBIRD W/AC - 830037 - 0 - 0</v>
      </c>
    </row>
    <row r="1136" spans="1:15" x14ac:dyDescent="0.25">
      <c r="A1136" s="1">
        <v>911767</v>
      </c>
      <c r="B1136" s="1" t="s">
        <v>12</v>
      </c>
      <c r="C1136" s="1" t="s">
        <v>13</v>
      </c>
      <c r="D1136" s="2">
        <v>44613.345435300929</v>
      </c>
      <c r="E1136" s="1" t="s">
        <v>8</v>
      </c>
      <c r="F1136" s="1">
        <v>1</v>
      </c>
      <c r="G1136" s="1">
        <v>0</v>
      </c>
      <c r="H1136" s="6">
        <f>INT(Query1[[#This Row],[EntryDateTime]])</f>
        <v>44613</v>
      </c>
      <c r="I1136" s="1">
        <f>IF(Query1[[#This Row],[ItemType]]="EVAP KIT SF GEN IV",Query1[[#This Row],[OrderQty]]+I1135,I1135)</f>
        <v>1256</v>
      </c>
      <c r="J1136" s="1">
        <f>IF(Query1[[#This Row],[ItemType]]="EVAP KIT UNIVERSAL",Query1[[#This Row],[OrderQty]]+J1135,J1135)</f>
        <v>545</v>
      </c>
      <c r="K1136" s="1">
        <f>Query1[[#This Row],[SF Running Total]]+Query1[[#This Row],[UNIV Running Total]]</f>
        <v>1801</v>
      </c>
      <c r="L1136">
        <f>VLOOKUP(Query1[[#This Row],[Description]],'kits to boards'!$B$2:$E$156,2,FALSE)</f>
        <v>830079</v>
      </c>
      <c r="M1136">
        <f>VLOOKUP(Query1[[#This Row],[Description]],'kits to boards'!$B$2:$E$156,3,FALSE)</f>
        <v>830046</v>
      </c>
      <c r="N1136">
        <f>VLOOKUP(Query1[[#This Row],[Description]],'kits to boards'!$B$2:$E$156,4,FALSE)</f>
        <v>0</v>
      </c>
      <c r="O1136" t="str">
        <f>CONCATENATE(Query1[[#This Row],[Description]]," - ",Query1[[#This Row],[MB1]]," - ",Query1[[#This Row],[MB2]]," - ",Query1[[#This Row],[MB3]])</f>
        <v>EVAP KIT 67-68 MUSTANG/COUGAR W/AC - 830079 - 830046 - 0</v>
      </c>
    </row>
    <row r="1137" spans="1:15" x14ac:dyDescent="0.25">
      <c r="A1137" s="1">
        <v>911769</v>
      </c>
      <c r="B1137" s="1" t="s">
        <v>52</v>
      </c>
      <c r="C1137" s="1" t="s">
        <v>53</v>
      </c>
      <c r="D1137" s="2">
        <v>44613.347711574075</v>
      </c>
      <c r="E1137" s="1" t="s">
        <v>8</v>
      </c>
      <c r="F1137" s="1">
        <v>1</v>
      </c>
      <c r="G1137" s="1">
        <v>0</v>
      </c>
      <c r="H1137" s="6">
        <f>INT(Query1[[#This Row],[EntryDateTime]])</f>
        <v>44613</v>
      </c>
      <c r="I1137" s="1">
        <f>IF(Query1[[#This Row],[ItemType]]="EVAP KIT SF GEN IV",Query1[[#This Row],[OrderQty]]+I1136,I1136)</f>
        <v>1257</v>
      </c>
      <c r="J1137" s="1">
        <f>IF(Query1[[#This Row],[ItemType]]="EVAP KIT UNIVERSAL",Query1[[#This Row],[OrderQty]]+J1136,J1136)</f>
        <v>545</v>
      </c>
      <c r="K1137" s="1">
        <f>Query1[[#This Row],[SF Running Total]]+Query1[[#This Row],[UNIV Running Total]]</f>
        <v>1802</v>
      </c>
      <c r="L1137">
        <f>VLOOKUP(Query1[[#This Row],[Description]],'kits to boards'!$B$2:$E$156,2,FALSE)</f>
        <v>830017</v>
      </c>
      <c r="M1137">
        <f>VLOOKUP(Query1[[#This Row],[Description]],'kits to boards'!$B$2:$E$156,3,FALSE)</f>
        <v>830119</v>
      </c>
      <c r="N1137">
        <f>VLOOKUP(Query1[[#This Row],[Description]],'kits to boards'!$B$2:$E$156,4,FALSE)</f>
        <v>830120</v>
      </c>
      <c r="O1137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1138" spans="1:15" x14ac:dyDescent="0.25">
      <c r="A1138" s="1">
        <v>911770</v>
      </c>
      <c r="B1138" s="1" t="s">
        <v>176</v>
      </c>
      <c r="C1138" s="1" t="s">
        <v>177</v>
      </c>
      <c r="D1138" s="2">
        <v>44613.349813229164</v>
      </c>
      <c r="E1138" s="1" t="s">
        <v>8</v>
      </c>
      <c r="F1138" s="1">
        <v>1</v>
      </c>
      <c r="G1138" s="1">
        <v>0</v>
      </c>
      <c r="H1138" s="6">
        <f>INT(Query1[[#This Row],[EntryDateTime]])</f>
        <v>44613</v>
      </c>
      <c r="I1138" s="1">
        <f>IF(Query1[[#This Row],[ItemType]]="EVAP KIT SF GEN IV",Query1[[#This Row],[OrderQty]]+I1137,I1137)</f>
        <v>1258</v>
      </c>
      <c r="J1138" s="1">
        <f>IF(Query1[[#This Row],[ItemType]]="EVAP KIT UNIVERSAL",Query1[[#This Row],[OrderQty]]+J1137,J1137)</f>
        <v>545</v>
      </c>
      <c r="K1138" s="1">
        <f>Query1[[#This Row],[SF Running Total]]+Query1[[#This Row],[UNIV Running Total]]</f>
        <v>1803</v>
      </c>
      <c r="L1138">
        <f>VLOOKUP(Query1[[#This Row],[Description]],'kits to boards'!$B$2:$E$156,2,FALSE)</f>
        <v>830125</v>
      </c>
      <c r="M1138">
        <f>VLOOKUP(Query1[[#This Row],[Description]],'kits to boards'!$B$2:$E$156,3,FALSE)</f>
        <v>0</v>
      </c>
      <c r="N1138">
        <f>VLOOKUP(Query1[[#This Row],[Description]],'kits to boards'!$B$2:$E$156,4,FALSE)</f>
        <v>0</v>
      </c>
      <c r="O1138" t="str">
        <f>CONCATENATE(Query1[[#This Row],[Description]]," - ",Query1[[#This Row],[MB1]]," - ",Query1[[#This Row],[MB2]]," - ",Query1[[#This Row],[MB3]])</f>
        <v>EVAP KIT 65-66 IMPALA W/AC - 830125 - 0 - 0</v>
      </c>
    </row>
    <row r="1139" spans="1:15" x14ac:dyDescent="0.25">
      <c r="A1139" s="1">
        <v>911774</v>
      </c>
      <c r="B1139" s="1" t="s">
        <v>194</v>
      </c>
      <c r="C1139" s="1" t="s">
        <v>195</v>
      </c>
      <c r="D1139" s="2">
        <v>44613.352611805552</v>
      </c>
      <c r="E1139" s="1" t="s">
        <v>8</v>
      </c>
      <c r="F1139" s="1">
        <v>1</v>
      </c>
      <c r="G1139" s="1">
        <v>0</v>
      </c>
      <c r="H1139" s="6">
        <f>INT(Query1[[#This Row],[EntryDateTime]])</f>
        <v>44613</v>
      </c>
      <c r="I1139" s="1">
        <f>IF(Query1[[#This Row],[ItemType]]="EVAP KIT SF GEN IV",Query1[[#This Row],[OrderQty]]+I1138,I1138)</f>
        <v>1259</v>
      </c>
      <c r="J1139" s="1">
        <f>IF(Query1[[#This Row],[ItemType]]="EVAP KIT UNIVERSAL",Query1[[#This Row],[OrderQty]]+J1138,J1138)</f>
        <v>545</v>
      </c>
      <c r="K1139" s="1">
        <f>Query1[[#This Row],[SF Running Total]]+Query1[[#This Row],[UNIV Running Total]]</f>
        <v>1804</v>
      </c>
      <c r="L1139">
        <f>VLOOKUP(Query1[[#This Row],[Description]],'kits to boards'!$B$2:$E$156,2,FALSE)</f>
        <v>830103</v>
      </c>
      <c r="M1139">
        <f>VLOOKUP(Query1[[#This Row],[Description]],'kits to boards'!$B$2:$E$156,3,FALSE)</f>
        <v>0</v>
      </c>
      <c r="N1139">
        <f>VLOOKUP(Query1[[#This Row],[Description]],'kits to boards'!$B$2:$E$156,4,FALSE)</f>
        <v>0</v>
      </c>
      <c r="O1139" t="str">
        <f>CONCATENATE(Query1[[#This Row],[Description]]," - ",Query1[[#This Row],[MB1]]," - ",Query1[[#This Row],[MB2]]," - ",Query1[[#This Row],[MB3]])</f>
        <v>EVAP KIT 78-82 VETTE W/AC - 830103 - 0 - 0</v>
      </c>
    </row>
    <row r="1140" spans="1:15" x14ac:dyDescent="0.25">
      <c r="A1140" s="1">
        <v>911741</v>
      </c>
      <c r="B1140" s="1" t="s">
        <v>20</v>
      </c>
      <c r="C1140" s="1" t="s">
        <v>21</v>
      </c>
      <c r="D1140" s="2">
        <v>44613.354626354165</v>
      </c>
      <c r="E1140" s="1" t="s">
        <v>11</v>
      </c>
      <c r="F1140" s="1">
        <v>1</v>
      </c>
      <c r="G1140" s="1">
        <v>0</v>
      </c>
      <c r="H1140" s="6">
        <f>INT(Query1[[#This Row],[EntryDateTime]])</f>
        <v>44613</v>
      </c>
      <c r="I1140" s="1">
        <f>IF(Query1[[#This Row],[ItemType]]="EVAP KIT SF GEN IV",Query1[[#This Row],[OrderQty]]+I1139,I1139)</f>
        <v>1259</v>
      </c>
      <c r="J1140" s="1">
        <f>IF(Query1[[#This Row],[ItemType]]="EVAP KIT UNIVERSAL",Query1[[#This Row],[OrderQty]]+J1139,J1139)</f>
        <v>546</v>
      </c>
      <c r="K1140" s="1">
        <f>Query1[[#This Row],[SF Running Total]]+Query1[[#This Row],[UNIV Running Total]]</f>
        <v>1805</v>
      </c>
      <c r="L1140">
        <f>VLOOKUP(Query1[[#This Row],[Description]],'kits to boards'!$B$2:$E$156,2,FALSE)</f>
        <v>830102</v>
      </c>
      <c r="M1140">
        <f>VLOOKUP(Query1[[#This Row],[Description]],'kits to boards'!$B$2:$E$156,3,FALSE)</f>
        <v>0</v>
      </c>
      <c r="N1140">
        <f>VLOOKUP(Query1[[#This Row],[Description]],'kits to boards'!$B$2:$E$156,4,FALSE)</f>
        <v>0</v>
      </c>
      <c r="O1140" t="str">
        <f>CONCATENATE(Query1[[#This Row],[Description]]," - ",Query1[[#This Row],[MB1]]," - ",Query1[[#This Row],[MB2]]," - ",Query1[[#This Row],[MB3]])</f>
        <v>SUPER GEN II W/DEF - 830102 - 0 - 0</v>
      </c>
    </row>
    <row r="1141" spans="1:15" x14ac:dyDescent="0.25">
      <c r="A1141" s="1">
        <v>911777</v>
      </c>
      <c r="B1141" s="1" t="s">
        <v>20</v>
      </c>
      <c r="C1141" s="1" t="s">
        <v>21</v>
      </c>
      <c r="D1141" s="2">
        <v>44613.355663923612</v>
      </c>
      <c r="E1141" s="1" t="s">
        <v>11</v>
      </c>
      <c r="F1141" s="1">
        <v>5</v>
      </c>
      <c r="G1141" s="1">
        <v>0</v>
      </c>
      <c r="H1141" s="6">
        <f>INT(Query1[[#This Row],[EntryDateTime]])</f>
        <v>44613</v>
      </c>
      <c r="I1141" s="1">
        <f>IF(Query1[[#This Row],[ItemType]]="EVAP KIT SF GEN IV",Query1[[#This Row],[OrderQty]]+I1140,I1140)</f>
        <v>1259</v>
      </c>
      <c r="J1141" s="1">
        <f>IF(Query1[[#This Row],[ItemType]]="EVAP KIT UNIVERSAL",Query1[[#This Row],[OrderQty]]+J1140,J1140)</f>
        <v>551</v>
      </c>
      <c r="K1141" s="1">
        <f>Query1[[#This Row],[SF Running Total]]+Query1[[#This Row],[UNIV Running Total]]</f>
        <v>1810</v>
      </c>
      <c r="L1141">
        <f>VLOOKUP(Query1[[#This Row],[Description]],'kits to boards'!$B$2:$E$156,2,FALSE)</f>
        <v>830102</v>
      </c>
      <c r="M1141">
        <f>VLOOKUP(Query1[[#This Row],[Description]],'kits to boards'!$B$2:$E$156,3,FALSE)</f>
        <v>0</v>
      </c>
      <c r="N1141">
        <f>VLOOKUP(Query1[[#This Row],[Description]],'kits to boards'!$B$2:$E$156,4,FALSE)</f>
        <v>0</v>
      </c>
      <c r="O1141" t="str">
        <f>CONCATENATE(Query1[[#This Row],[Description]]," - ",Query1[[#This Row],[MB1]]," - ",Query1[[#This Row],[MB2]]," - ",Query1[[#This Row],[MB3]])</f>
        <v>SUPER GEN II W/DEF - 830102 - 0 - 0</v>
      </c>
    </row>
    <row r="1142" spans="1:15" x14ac:dyDescent="0.25">
      <c r="A1142" s="1">
        <v>911777</v>
      </c>
      <c r="B1142" s="1" t="s">
        <v>98</v>
      </c>
      <c r="C1142" s="1" t="s">
        <v>99</v>
      </c>
      <c r="D1142" s="2">
        <v>44613.356225000003</v>
      </c>
      <c r="E1142" s="1" t="s">
        <v>11</v>
      </c>
      <c r="F1142" s="1">
        <v>8</v>
      </c>
      <c r="G1142" s="1">
        <v>0</v>
      </c>
      <c r="H1142" s="6">
        <f>INT(Query1[[#This Row],[EntryDateTime]])</f>
        <v>44613</v>
      </c>
      <c r="I1142" s="1">
        <f>IF(Query1[[#This Row],[ItemType]]="EVAP KIT SF GEN IV",Query1[[#This Row],[OrderQty]]+I1141,I1141)</f>
        <v>1259</v>
      </c>
      <c r="J1142" s="1">
        <f>IF(Query1[[#This Row],[ItemType]]="EVAP KIT UNIVERSAL",Query1[[#This Row],[OrderQty]]+J1141,J1141)</f>
        <v>559</v>
      </c>
      <c r="K1142" s="1">
        <f>Query1[[#This Row],[SF Running Total]]+Query1[[#This Row],[UNIV Running Total]]</f>
        <v>1818</v>
      </c>
      <c r="L1142">
        <f>VLOOKUP(Query1[[#This Row],[Description]],'kits to boards'!$B$2:$E$156,2,FALSE)</f>
        <v>830099</v>
      </c>
      <c r="M1142">
        <f>VLOOKUP(Query1[[#This Row],[Description]],'kits to boards'!$B$2:$E$156,3,FALSE)</f>
        <v>0</v>
      </c>
      <c r="N1142">
        <f>VLOOKUP(Query1[[#This Row],[Description]],'kits to boards'!$B$2:$E$156,4,FALSE)</f>
        <v>0</v>
      </c>
      <c r="O1142" t="str">
        <f>CONCATENATE(Query1[[#This Row],[Description]]," - ",Query1[[#This Row],[MB1]]," - ",Query1[[#This Row],[MB2]]," - ",Query1[[#This Row],[MB3]])</f>
        <v>MINI GEN II W/DEF - 830099 - 0 - 0</v>
      </c>
    </row>
    <row r="1143" spans="1:15" x14ac:dyDescent="0.25">
      <c r="A1143" s="1">
        <v>911777</v>
      </c>
      <c r="B1143" s="1" t="s">
        <v>24</v>
      </c>
      <c r="C1143" s="1" t="s">
        <v>25</v>
      </c>
      <c r="D1143" s="2">
        <v>44613.356346793982</v>
      </c>
      <c r="E1143" s="1" t="s">
        <v>11</v>
      </c>
      <c r="F1143" s="1">
        <v>8</v>
      </c>
      <c r="G1143" s="1">
        <v>0</v>
      </c>
      <c r="H1143" s="6">
        <f>INT(Query1[[#This Row],[EntryDateTime]])</f>
        <v>44613</v>
      </c>
      <c r="I1143" s="1">
        <f>IF(Query1[[#This Row],[ItemType]]="EVAP KIT SF GEN IV",Query1[[#This Row],[OrderQty]]+I1142,I1142)</f>
        <v>1259</v>
      </c>
      <c r="J1143" s="1">
        <f>IF(Query1[[#This Row],[ItemType]]="EVAP KIT UNIVERSAL",Query1[[#This Row],[OrderQty]]+J1142,J1142)</f>
        <v>567</v>
      </c>
      <c r="K1143" s="1">
        <f>Query1[[#This Row],[SF Running Total]]+Query1[[#This Row],[UNIV Running Total]]</f>
        <v>1826</v>
      </c>
      <c r="L1143">
        <f>VLOOKUP(Query1[[#This Row],[Description]],'kits to boards'!$B$2:$E$156,2,FALSE)</f>
        <v>830029</v>
      </c>
      <c r="M1143">
        <f>VLOOKUP(Query1[[#This Row],[Description]],'kits to boards'!$B$2:$E$156,3,FALSE)</f>
        <v>830030</v>
      </c>
      <c r="N1143">
        <f>VLOOKUP(Query1[[#This Row],[Description]],'kits to boards'!$B$2:$E$156,4,FALSE)</f>
        <v>0</v>
      </c>
      <c r="O1143" t="str">
        <f>CONCATENATE(Query1[[#This Row],[Description]]," - ",Query1[[#This Row],[MB1]]," - ",Query1[[#This Row],[MB2]]," - ",Query1[[#This Row],[MB3]])</f>
        <v>ComPac GEN II W/DEF - 830029 - 830030 - 0</v>
      </c>
    </row>
    <row r="1144" spans="1:15" x14ac:dyDescent="0.25">
      <c r="A1144" s="1">
        <v>911777</v>
      </c>
      <c r="B1144" s="1" t="s">
        <v>9</v>
      </c>
      <c r="C1144" s="1" t="s">
        <v>10</v>
      </c>
      <c r="D1144" s="2">
        <v>44613.356652662034</v>
      </c>
      <c r="E1144" s="1" t="s">
        <v>11</v>
      </c>
      <c r="F1144" s="1">
        <v>5</v>
      </c>
      <c r="G1144" s="1">
        <v>0</v>
      </c>
      <c r="H1144" s="6">
        <f>INT(Query1[[#This Row],[EntryDateTime]])</f>
        <v>44613</v>
      </c>
      <c r="I1144" s="1">
        <f>IF(Query1[[#This Row],[ItemType]]="EVAP KIT SF GEN IV",Query1[[#This Row],[OrderQty]]+I1143,I1143)</f>
        <v>1259</v>
      </c>
      <c r="J1144" s="1">
        <f>IF(Query1[[#This Row],[ItemType]]="EVAP KIT UNIVERSAL",Query1[[#This Row],[OrderQty]]+J1143,J1143)</f>
        <v>572</v>
      </c>
      <c r="K1144" s="1">
        <f>Query1[[#This Row],[SF Running Total]]+Query1[[#This Row],[UNIV Running Total]]</f>
        <v>1831</v>
      </c>
      <c r="L1144">
        <f>VLOOKUP(Query1[[#This Row],[Description]],'kits to boards'!$B$2:$E$156,2,FALSE)</f>
        <v>830069</v>
      </c>
      <c r="M1144">
        <f>VLOOKUP(Query1[[#This Row],[Description]],'kits to boards'!$B$2:$E$156,3,FALSE)</f>
        <v>0</v>
      </c>
      <c r="N1144">
        <f>VLOOKUP(Query1[[#This Row],[Description]],'kits to boards'!$B$2:$E$156,4,FALSE)</f>
        <v>0</v>
      </c>
      <c r="O1144" t="str">
        <f>CONCATENATE(Query1[[#This Row],[Description]]," - ",Query1[[#This Row],[MB1]]," - ",Query1[[#This Row],[MB2]]," - ",Query1[[#This Row],[MB3]])</f>
        <v>SLIMLINE H/C W/DEF STD LOUVER - 830069 - 0 - 0</v>
      </c>
    </row>
    <row r="1145" spans="1:15" x14ac:dyDescent="0.25">
      <c r="A1145" s="1">
        <v>911777</v>
      </c>
      <c r="B1145" s="1" t="s">
        <v>118</v>
      </c>
      <c r="C1145" s="1" t="s">
        <v>119</v>
      </c>
      <c r="D1145" s="2">
        <v>44613.356830555553</v>
      </c>
      <c r="E1145" s="1" t="s">
        <v>11</v>
      </c>
      <c r="F1145" s="1">
        <v>4</v>
      </c>
      <c r="G1145" s="1">
        <v>0</v>
      </c>
      <c r="H1145" s="6">
        <f>INT(Query1[[#This Row],[EntryDateTime]])</f>
        <v>44613</v>
      </c>
      <c r="I1145" s="1">
        <f>IF(Query1[[#This Row],[ItemType]]="EVAP KIT SF GEN IV",Query1[[#This Row],[OrderQty]]+I1144,I1144)</f>
        <v>1259</v>
      </c>
      <c r="J1145" s="1">
        <f>IF(Query1[[#This Row],[ItemType]]="EVAP KIT UNIVERSAL",Query1[[#This Row],[OrderQty]]+J1144,J1144)</f>
        <v>576</v>
      </c>
      <c r="K1145" s="1">
        <f>Query1[[#This Row],[SF Running Total]]+Query1[[#This Row],[UNIV Running Total]]</f>
        <v>1835</v>
      </c>
      <c r="L1145">
        <f>VLOOKUP(Query1[[#This Row],[Description]],'kits to boards'!$B$2:$E$156,2,FALSE)</f>
        <v>830069</v>
      </c>
      <c r="M1145">
        <f>VLOOKUP(Query1[[#This Row],[Description]],'kits to boards'!$B$2:$E$156,3,FALSE)</f>
        <v>0</v>
      </c>
      <c r="N1145">
        <f>VLOOKUP(Query1[[#This Row],[Description]],'kits to boards'!$B$2:$E$156,4,FALSE)</f>
        <v>0</v>
      </c>
      <c r="O1145" t="str">
        <f>CONCATENATE(Query1[[#This Row],[Description]]," - ",Query1[[#This Row],[MB1]]," - ",Query1[[#This Row],[MB2]]," - ",Query1[[#This Row],[MB3]])</f>
        <v>SLIMLINE H/C W/DEF BLK LOUVER - 830069 - 0 - 0</v>
      </c>
    </row>
    <row r="1146" spans="1:15" x14ac:dyDescent="0.25">
      <c r="A1146" s="1">
        <v>911791</v>
      </c>
      <c r="B1146" s="1" t="s">
        <v>273</v>
      </c>
      <c r="C1146" s="1" t="s">
        <v>274</v>
      </c>
      <c r="D1146" s="2">
        <v>44613.369473923609</v>
      </c>
      <c r="E1146" s="1" t="s">
        <v>8</v>
      </c>
      <c r="F1146" s="1">
        <v>1</v>
      </c>
      <c r="G1146" s="1">
        <v>0</v>
      </c>
      <c r="H1146" s="6">
        <f>INT(Query1[[#This Row],[EntryDateTime]])</f>
        <v>44613</v>
      </c>
      <c r="I1146" s="1">
        <f>IF(Query1[[#This Row],[ItemType]]="EVAP KIT SF GEN IV",Query1[[#This Row],[OrderQty]]+I1145,I1145)</f>
        <v>1260</v>
      </c>
      <c r="J1146" s="1">
        <f>IF(Query1[[#This Row],[ItemType]]="EVAP KIT UNIVERSAL",Query1[[#This Row],[OrderQty]]+J1145,J1145)</f>
        <v>576</v>
      </c>
      <c r="K1146" s="1">
        <f>Query1[[#This Row],[SF Running Total]]+Query1[[#This Row],[UNIV Running Total]]</f>
        <v>1836</v>
      </c>
      <c r="L1146">
        <f>VLOOKUP(Query1[[#This Row],[Description]],'kits to boards'!$B$2:$E$156,2,FALSE)</f>
        <v>830056</v>
      </c>
      <c r="M1146">
        <f>VLOOKUP(Query1[[#This Row],[Description]],'kits to boards'!$B$2:$E$156,3,FALSE)</f>
        <v>0</v>
      </c>
      <c r="N1146">
        <f>VLOOKUP(Query1[[#This Row],[Description]],'kits to boards'!$B$2:$E$156,4,FALSE)</f>
        <v>0</v>
      </c>
      <c r="O1146" t="str">
        <f>CONCATENATE(Query1[[#This Row],[Description]]," - ",Query1[[#This Row],[MB1]]," - ",Query1[[#This Row],[MB2]]," - ",Query1[[#This Row],[MB3]])</f>
        <v>EVAP KIT 64-65 CHEVELLE W/AC - 830056 - 0 - 0</v>
      </c>
    </row>
    <row r="1147" spans="1:15" x14ac:dyDescent="0.25">
      <c r="A1147" s="1">
        <v>911793</v>
      </c>
      <c r="B1147" s="1" t="s">
        <v>20</v>
      </c>
      <c r="C1147" s="1" t="s">
        <v>21</v>
      </c>
      <c r="D1147" s="2">
        <v>44613.370190821763</v>
      </c>
      <c r="E1147" s="1" t="s">
        <v>11</v>
      </c>
      <c r="F1147" s="1">
        <v>2</v>
      </c>
      <c r="G1147" s="1">
        <v>0</v>
      </c>
      <c r="H1147" s="6">
        <f>INT(Query1[[#This Row],[EntryDateTime]])</f>
        <v>44613</v>
      </c>
      <c r="I1147" s="1">
        <f>IF(Query1[[#This Row],[ItemType]]="EVAP KIT SF GEN IV",Query1[[#This Row],[OrderQty]]+I1146,I1146)</f>
        <v>1260</v>
      </c>
      <c r="J1147" s="1">
        <f>IF(Query1[[#This Row],[ItemType]]="EVAP KIT UNIVERSAL",Query1[[#This Row],[OrderQty]]+J1146,J1146)</f>
        <v>578</v>
      </c>
      <c r="K1147" s="1">
        <f>Query1[[#This Row],[SF Running Total]]+Query1[[#This Row],[UNIV Running Total]]</f>
        <v>1838</v>
      </c>
      <c r="L1147">
        <f>VLOOKUP(Query1[[#This Row],[Description]],'kits to boards'!$B$2:$E$156,2,FALSE)</f>
        <v>830102</v>
      </c>
      <c r="M1147">
        <f>VLOOKUP(Query1[[#This Row],[Description]],'kits to boards'!$B$2:$E$156,3,FALSE)</f>
        <v>0</v>
      </c>
      <c r="N1147">
        <f>VLOOKUP(Query1[[#This Row],[Description]],'kits to boards'!$B$2:$E$156,4,FALSE)</f>
        <v>0</v>
      </c>
      <c r="O1147" t="str">
        <f>CONCATENATE(Query1[[#This Row],[Description]]," - ",Query1[[#This Row],[MB1]]," - ",Query1[[#This Row],[MB2]]," - ",Query1[[#This Row],[MB3]])</f>
        <v>SUPER GEN II W/DEF - 830102 - 0 - 0</v>
      </c>
    </row>
    <row r="1148" spans="1:15" x14ac:dyDescent="0.25">
      <c r="A1148" s="1">
        <v>911801</v>
      </c>
      <c r="B1148" s="1" t="s">
        <v>90</v>
      </c>
      <c r="C1148" s="1" t="s">
        <v>91</v>
      </c>
      <c r="D1148" s="2">
        <v>44613.387237997682</v>
      </c>
      <c r="E1148" s="1" t="s">
        <v>8</v>
      </c>
      <c r="F1148" s="1">
        <v>1</v>
      </c>
      <c r="G1148" s="1">
        <v>0</v>
      </c>
      <c r="H1148" s="6">
        <f>INT(Query1[[#This Row],[EntryDateTime]])</f>
        <v>44613</v>
      </c>
      <c r="I1148" s="1">
        <f>IF(Query1[[#This Row],[ItemType]]="EVAP KIT SF GEN IV",Query1[[#This Row],[OrderQty]]+I1147,I1147)</f>
        <v>1261</v>
      </c>
      <c r="J1148" s="1">
        <f>IF(Query1[[#This Row],[ItemType]]="EVAP KIT UNIVERSAL",Query1[[#This Row],[OrderQty]]+J1147,J1147)</f>
        <v>578</v>
      </c>
      <c r="K1148" s="1">
        <f>Query1[[#This Row],[SF Running Total]]+Query1[[#This Row],[UNIV Running Total]]</f>
        <v>1839</v>
      </c>
      <c r="L1148">
        <f>VLOOKUP(Query1[[#This Row],[Description]],'kits to boards'!$B$2:$E$156,2,FALSE)</f>
        <v>830105</v>
      </c>
      <c r="M1148">
        <f>VLOOKUP(Query1[[#This Row],[Description]],'kits to boards'!$B$2:$E$156,3,FALSE)</f>
        <v>830106</v>
      </c>
      <c r="N1148">
        <f>VLOOKUP(Query1[[#This Row],[Description]],'kits to boards'!$B$2:$E$156,4,FALSE)</f>
        <v>0</v>
      </c>
      <c r="O1148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1149" spans="1:15" x14ac:dyDescent="0.25">
      <c r="A1149" s="1">
        <v>911737</v>
      </c>
      <c r="B1149" s="1" t="s">
        <v>22</v>
      </c>
      <c r="C1149" s="1" t="s">
        <v>23</v>
      </c>
      <c r="D1149" s="2">
        <v>44613.40039609954</v>
      </c>
      <c r="E1149" s="1" t="s">
        <v>8</v>
      </c>
      <c r="F1149" s="1">
        <v>1</v>
      </c>
      <c r="G1149" s="1">
        <v>0</v>
      </c>
      <c r="H1149" s="6">
        <f>INT(Query1[[#This Row],[EntryDateTime]])</f>
        <v>44613</v>
      </c>
      <c r="I1149" s="1">
        <f>IF(Query1[[#This Row],[ItemType]]="EVAP KIT SF GEN IV",Query1[[#This Row],[OrderQty]]+I1148,I1148)</f>
        <v>1262</v>
      </c>
      <c r="J1149" s="1">
        <f>IF(Query1[[#This Row],[ItemType]]="EVAP KIT UNIVERSAL",Query1[[#This Row],[OrderQty]]+J1148,J1148)</f>
        <v>578</v>
      </c>
      <c r="K1149" s="1">
        <f>Query1[[#This Row],[SF Running Total]]+Query1[[#This Row],[UNIV Running Total]]</f>
        <v>1840</v>
      </c>
      <c r="L1149">
        <f>VLOOKUP(Query1[[#This Row],[Description]],'kits to boards'!$B$2:$E$156,2,FALSE)</f>
        <v>830083</v>
      </c>
      <c r="M1149">
        <f>VLOOKUP(Query1[[#This Row],[Description]],'kits to boards'!$B$2:$E$156,3,FALSE)</f>
        <v>0</v>
      </c>
      <c r="N1149">
        <f>VLOOKUP(Query1[[#This Row],[Description]],'kits to boards'!$B$2:$E$156,4,FALSE)</f>
        <v>0</v>
      </c>
      <c r="O1149" t="str">
        <f>CONCATENATE(Query1[[#This Row],[Description]]," - ",Query1[[#This Row],[MB1]]," - ",Query1[[#This Row],[MB2]]," - ",Query1[[#This Row],[MB3]])</f>
        <v>GEN IV MAGNUM EVAP KIT - 830083 - 0 - 0</v>
      </c>
    </row>
    <row r="1150" spans="1:15" x14ac:dyDescent="0.25">
      <c r="A1150" s="1">
        <v>911812</v>
      </c>
      <c r="B1150" s="1" t="s">
        <v>289</v>
      </c>
      <c r="C1150" s="1" t="s">
        <v>290</v>
      </c>
      <c r="D1150" s="2">
        <v>44613.405641168982</v>
      </c>
      <c r="E1150" s="1" t="s">
        <v>11</v>
      </c>
      <c r="F1150" s="1">
        <v>1</v>
      </c>
      <c r="G1150" s="1">
        <v>0</v>
      </c>
      <c r="H1150" s="6">
        <f>INT(Query1[[#This Row],[EntryDateTime]])</f>
        <v>44613</v>
      </c>
      <c r="I1150" s="1">
        <f>IF(Query1[[#This Row],[ItemType]]="EVAP KIT SF GEN IV",Query1[[#This Row],[OrderQty]]+I1149,I1149)</f>
        <v>1262</v>
      </c>
      <c r="J1150" s="1">
        <f>IF(Query1[[#This Row],[ItemType]]="EVAP KIT UNIVERSAL",Query1[[#This Row],[OrderQty]]+J1149,J1149)</f>
        <v>579</v>
      </c>
      <c r="K1150" s="1">
        <f>Query1[[#This Row],[SF Running Total]]+Query1[[#This Row],[UNIV Running Total]]</f>
        <v>1841</v>
      </c>
      <c r="L1150">
        <f>VLOOKUP(Query1[[#This Row],[Description]],'kits to boards'!$B$2:$E$156,2,FALSE)</f>
        <v>830069</v>
      </c>
      <c r="M1150">
        <f>VLOOKUP(Query1[[#This Row],[Description]],'kits to boards'!$B$2:$E$156,3,FALSE)</f>
        <v>0</v>
      </c>
      <c r="N1150">
        <f>VLOOKUP(Query1[[#This Row],[Description]],'kits to boards'!$B$2:$E$156,4,FALSE)</f>
        <v>0</v>
      </c>
      <c r="O1150" t="str">
        <f>CONCATENATE(Query1[[#This Row],[Description]]," - ",Query1[[#This Row],[MB1]]," - ",Query1[[#This Row],[MB2]]," - ",Query1[[#This Row],[MB3]])</f>
        <v>SLIMLINE H/C BLK LOUVER - 830069 - 0 - 0</v>
      </c>
    </row>
    <row r="1151" spans="1:15" x14ac:dyDescent="0.25">
      <c r="A1151" s="1">
        <v>911812</v>
      </c>
      <c r="B1151" s="1" t="s">
        <v>78</v>
      </c>
      <c r="C1151" s="1" t="s">
        <v>79</v>
      </c>
      <c r="D1151" s="2">
        <v>44613.405761724534</v>
      </c>
      <c r="E1151" s="1" t="s">
        <v>11</v>
      </c>
      <c r="F1151" s="1">
        <v>1</v>
      </c>
      <c r="G1151" s="1">
        <v>0</v>
      </c>
      <c r="H1151" s="6">
        <f>INT(Query1[[#This Row],[EntryDateTime]])</f>
        <v>44613</v>
      </c>
      <c r="I1151" s="1">
        <f>IF(Query1[[#This Row],[ItemType]]="EVAP KIT SF GEN IV",Query1[[#This Row],[OrderQty]]+I1150,I1150)</f>
        <v>1262</v>
      </c>
      <c r="J1151" s="1">
        <f>IF(Query1[[#This Row],[ItemType]]="EVAP KIT UNIVERSAL",Query1[[#This Row],[OrderQty]]+J1150,J1150)</f>
        <v>580</v>
      </c>
      <c r="K1151" s="1">
        <f>Query1[[#This Row],[SF Running Total]]+Query1[[#This Row],[UNIV Running Total]]</f>
        <v>1842</v>
      </c>
      <c r="L1151">
        <f>VLOOKUP(Query1[[#This Row],[Description]],'kits to boards'!$B$2:$E$156,2,FALSE)</f>
        <v>0</v>
      </c>
      <c r="M1151">
        <f>VLOOKUP(Query1[[#This Row],[Description]],'kits to boards'!$B$2:$E$156,3,FALSE)</f>
        <v>0</v>
      </c>
      <c r="N1151">
        <f>VLOOKUP(Query1[[#This Row],[Description]],'kits to boards'!$B$2:$E$156,4,FALSE)</f>
        <v>0</v>
      </c>
      <c r="O1151" t="str">
        <f>CONCATENATE(Query1[[#This Row],[Description]]," - ",Query1[[#This Row],[MB1]]," - ",Query1[[#This Row],[MB2]]," - ",Query1[[#This Row],[MB3]])</f>
        <v>MARK IV STYLELINE UNDERDASH EVAP - 0 - 0 - 0</v>
      </c>
    </row>
    <row r="1152" spans="1:15" x14ac:dyDescent="0.25">
      <c r="A1152" s="1">
        <v>911824</v>
      </c>
      <c r="B1152" s="1" t="s">
        <v>22</v>
      </c>
      <c r="C1152" s="1" t="s">
        <v>23</v>
      </c>
      <c r="D1152" s="2">
        <v>44613.432370219911</v>
      </c>
      <c r="E1152" s="1" t="s">
        <v>8</v>
      </c>
      <c r="F1152" s="1">
        <v>1</v>
      </c>
      <c r="G1152" s="1">
        <v>0</v>
      </c>
      <c r="H1152" s="6">
        <f>INT(Query1[[#This Row],[EntryDateTime]])</f>
        <v>44613</v>
      </c>
      <c r="I1152" s="1">
        <f>IF(Query1[[#This Row],[ItemType]]="EVAP KIT SF GEN IV",Query1[[#This Row],[OrderQty]]+I1151,I1151)</f>
        <v>1263</v>
      </c>
      <c r="J1152" s="1">
        <f>IF(Query1[[#This Row],[ItemType]]="EVAP KIT UNIVERSAL",Query1[[#This Row],[OrderQty]]+J1151,J1151)</f>
        <v>580</v>
      </c>
      <c r="K1152" s="1">
        <f>Query1[[#This Row],[SF Running Total]]+Query1[[#This Row],[UNIV Running Total]]</f>
        <v>1843</v>
      </c>
      <c r="L1152">
        <f>VLOOKUP(Query1[[#This Row],[Description]],'kits to boards'!$B$2:$E$156,2,FALSE)</f>
        <v>830083</v>
      </c>
      <c r="M1152">
        <f>VLOOKUP(Query1[[#This Row],[Description]],'kits to boards'!$B$2:$E$156,3,FALSE)</f>
        <v>0</v>
      </c>
      <c r="N1152">
        <f>VLOOKUP(Query1[[#This Row],[Description]],'kits to boards'!$B$2:$E$156,4,FALSE)</f>
        <v>0</v>
      </c>
      <c r="O1152" t="str">
        <f>CONCATENATE(Query1[[#This Row],[Description]]," - ",Query1[[#This Row],[MB1]]," - ",Query1[[#This Row],[MB2]]," - ",Query1[[#This Row],[MB3]])</f>
        <v>GEN IV MAGNUM EVAP KIT - 830083 - 0 - 0</v>
      </c>
    </row>
    <row r="1153" spans="1:15" x14ac:dyDescent="0.25">
      <c r="A1153" s="1">
        <v>911766</v>
      </c>
      <c r="B1153" s="1" t="s">
        <v>48</v>
      </c>
      <c r="C1153" s="1" t="s">
        <v>49</v>
      </c>
      <c r="D1153" s="2">
        <v>44613.435912928238</v>
      </c>
      <c r="E1153" s="1" t="s">
        <v>8</v>
      </c>
      <c r="F1153" s="1">
        <v>1</v>
      </c>
      <c r="G1153" s="1">
        <v>0</v>
      </c>
      <c r="H1153" s="6">
        <f>INT(Query1[[#This Row],[EntryDateTime]])</f>
        <v>44613</v>
      </c>
      <c r="I1153" s="1">
        <f>IF(Query1[[#This Row],[ItemType]]="EVAP KIT SF GEN IV",Query1[[#This Row],[OrderQty]]+I1152,I1152)</f>
        <v>1264</v>
      </c>
      <c r="J1153" s="1">
        <f>IF(Query1[[#This Row],[ItemType]]="EVAP KIT UNIVERSAL",Query1[[#This Row],[OrderQty]]+J1152,J1152)</f>
        <v>580</v>
      </c>
      <c r="K1153" s="1">
        <f>Query1[[#This Row],[SF Running Total]]+Query1[[#This Row],[UNIV Running Total]]</f>
        <v>1844</v>
      </c>
      <c r="L1153">
        <f>VLOOKUP(Query1[[#This Row],[Description]],'kits to boards'!$B$2:$E$156,2,FALSE)</f>
        <v>830015</v>
      </c>
      <c r="M1153">
        <f>VLOOKUP(Query1[[#This Row],[Description]],'kits to boards'!$B$2:$E$156,3,FALSE)</f>
        <v>0</v>
      </c>
      <c r="N1153">
        <f>VLOOKUP(Query1[[#This Row],[Description]],'kits to boards'!$B$2:$E$156,4,FALSE)</f>
        <v>0</v>
      </c>
      <c r="O1153" t="str">
        <f>CONCATENATE(Query1[[#This Row],[Description]]," - ",Query1[[#This Row],[MB1]]," - ",Query1[[#This Row],[MB2]]," - ",Query1[[#This Row],[MB3]])</f>
        <v>EVAP KIT 64-66 CHEV P-UP WO AC W/DELX - 830015 - 0 - 0</v>
      </c>
    </row>
    <row r="1154" spans="1:15" x14ac:dyDescent="0.25">
      <c r="A1154" s="1">
        <v>911830</v>
      </c>
      <c r="B1154" s="1" t="s">
        <v>114</v>
      </c>
      <c r="C1154" s="1" t="s">
        <v>115</v>
      </c>
      <c r="D1154" s="2">
        <v>44613.438280555558</v>
      </c>
      <c r="E1154" s="1" t="s">
        <v>8</v>
      </c>
      <c r="F1154" s="1">
        <v>1</v>
      </c>
      <c r="G1154" s="1">
        <v>0</v>
      </c>
      <c r="H1154" s="6">
        <f>INT(Query1[[#This Row],[EntryDateTime]])</f>
        <v>44613</v>
      </c>
      <c r="I1154" s="1">
        <f>IF(Query1[[#This Row],[ItemType]]="EVAP KIT SF GEN IV",Query1[[#This Row],[OrderQty]]+I1153,I1153)</f>
        <v>1265</v>
      </c>
      <c r="J1154" s="1">
        <f>IF(Query1[[#This Row],[ItemType]]="EVAP KIT UNIVERSAL",Query1[[#This Row],[OrderQty]]+J1153,J1153)</f>
        <v>580</v>
      </c>
      <c r="K1154" s="1">
        <f>Query1[[#This Row],[SF Running Total]]+Query1[[#This Row],[UNIV Running Total]]</f>
        <v>1845</v>
      </c>
      <c r="L1154">
        <f>VLOOKUP(Query1[[#This Row],[Description]],'kits to boards'!$B$2:$E$156,2,FALSE)</f>
        <v>830059</v>
      </c>
      <c r="M1154">
        <f>VLOOKUP(Query1[[#This Row],[Description]],'kits to boards'!$B$2:$E$156,3,FALSE)</f>
        <v>0</v>
      </c>
      <c r="N1154">
        <f>VLOOKUP(Query1[[#This Row],[Description]],'kits to boards'!$B$2:$E$156,4,FALSE)</f>
        <v>0</v>
      </c>
      <c r="O1154" t="str">
        <f>CONCATENATE(Query1[[#This Row],[Description]]," - ",Query1[[#This Row],[MB1]]," - ",Query1[[#This Row],[MB2]]," - ",Query1[[#This Row],[MB3]])</f>
        <v>EVAP KIT 66-67 CHEVELLE W/AC - 830059 - 0 - 0</v>
      </c>
    </row>
    <row r="1155" spans="1:15" x14ac:dyDescent="0.25">
      <c r="A1155" s="1">
        <v>911827</v>
      </c>
      <c r="B1155" s="1" t="s">
        <v>64</v>
      </c>
      <c r="C1155" s="1" t="s">
        <v>65</v>
      </c>
      <c r="D1155" s="2">
        <v>44613.440385497684</v>
      </c>
      <c r="E1155" s="1" t="s">
        <v>8</v>
      </c>
      <c r="F1155" s="1">
        <v>1</v>
      </c>
      <c r="G1155" s="1">
        <v>0</v>
      </c>
      <c r="H1155" s="6">
        <f>INT(Query1[[#This Row],[EntryDateTime]])</f>
        <v>44613</v>
      </c>
      <c r="I1155" s="1">
        <f>IF(Query1[[#This Row],[ItemType]]="EVAP KIT SF GEN IV",Query1[[#This Row],[OrderQty]]+I1154,I1154)</f>
        <v>1266</v>
      </c>
      <c r="J1155" s="1">
        <f>IF(Query1[[#This Row],[ItemType]]="EVAP KIT UNIVERSAL",Query1[[#This Row],[OrderQty]]+J1154,J1154)</f>
        <v>580</v>
      </c>
      <c r="K1155" s="1">
        <f>Query1[[#This Row],[SF Running Total]]+Query1[[#This Row],[UNIV Running Total]]</f>
        <v>1846</v>
      </c>
      <c r="L1155">
        <f>VLOOKUP(Query1[[#This Row],[Description]],'kits to boards'!$B$2:$E$156,2,FALSE)</f>
        <v>830067</v>
      </c>
      <c r="M1155">
        <f>VLOOKUP(Query1[[#This Row],[Description]],'kits to boards'!$B$2:$E$156,3,FALSE)</f>
        <v>0</v>
      </c>
      <c r="N1155">
        <f>VLOOKUP(Query1[[#This Row],[Description]],'kits to boards'!$B$2:$E$156,4,FALSE)</f>
        <v>0</v>
      </c>
      <c r="O1155" t="str">
        <f>CONCATENATE(Query1[[#This Row],[Description]]," - ",Query1[[#This Row],[MB1]]," - ",Query1[[#This Row],[MB2]]," - ",Query1[[#This Row],[MB3]])</f>
        <v>EVAP KIT 59-60 CHEV CAR 4-LEVER - 830067 - 0 - 0</v>
      </c>
    </row>
    <row r="1156" spans="1:15" x14ac:dyDescent="0.25">
      <c r="A1156" s="1">
        <v>911831</v>
      </c>
      <c r="B1156" s="1" t="s">
        <v>102</v>
      </c>
      <c r="C1156" s="1" t="s">
        <v>103</v>
      </c>
      <c r="D1156" s="2">
        <v>44613.441299768521</v>
      </c>
      <c r="E1156" s="1" t="s">
        <v>8</v>
      </c>
      <c r="F1156" s="1">
        <v>1</v>
      </c>
      <c r="G1156" s="1">
        <v>0</v>
      </c>
      <c r="H1156" s="6">
        <f>INT(Query1[[#This Row],[EntryDateTime]])</f>
        <v>44613</v>
      </c>
      <c r="I1156" s="1">
        <f>IF(Query1[[#This Row],[ItemType]]="EVAP KIT SF GEN IV",Query1[[#This Row],[OrderQty]]+I1155,I1155)</f>
        <v>1267</v>
      </c>
      <c r="J1156" s="1">
        <f>IF(Query1[[#This Row],[ItemType]]="EVAP KIT UNIVERSAL",Query1[[#This Row],[OrderQty]]+J1155,J1155)</f>
        <v>580</v>
      </c>
      <c r="K1156" s="1">
        <f>Query1[[#This Row],[SF Running Total]]+Query1[[#This Row],[UNIV Running Total]]</f>
        <v>1847</v>
      </c>
      <c r="L1156">
        <f>VLOOKUP(Query1[[#This Row],[Description]],'kits to boards'!$B$2:$E$156,2,FALSE)</f>
        <v>830012</v>
      </c>
      <c r="M1156">
        <f>VLOOKUP(Query1[[#This Row],[Description]],'kits to boards'!$B$2:$E$156,3,FALSE)</f>
        <v>0</v>
      </c>
      <c r="N1156">
        <f>VLOOKUP(Query1[[#This Row],[Description]],'kits to boards'!$B$2:$E$156,4,FALSE)</f>
        <v>0</v>
      </c>
      <c r="O1156" t="str">
        <f>CONCATENATE(Query1[[#This Row],[Description]]," - ",Query1[[#This Row],[MB1]]," - ",Query1[[#This Row],[MB2]]," - ",Query1[[#This Row],[MB3]])</f>
        <v>EVAP KIT 69 CAMARO WO/AC - 830012 - 0 - 0</v>
      </c>
    </row>
    <row r="1157" spans="1:15" x14ac:dyDescent="0.25">
      <c r="A1157" s="1">
        <v>911839</v>
      </c>
      <c r="B1157" s="1" t="s">
        <v>224</v>
      </c>
      <c r="C1157" s="1" t="s">
        <v>225</v>
      </c>
      <c r="D1157" s="2">
        <v>44613.473889733796</v>
      </c>
      <c r="E1157" s="1" t="s">
        <v>8</v>
      </c>
      <c r="F1157" s="1">
        <v>1</v>
      </c>
      <c r="G1157" s="1">
        <v>0</v>
      </c>
      <c r="H1157" s="6">
        <f>INT(Query1[[#This Row],[EntryDateTime]])</f>
        <v>44613</v>
      </c>
      <c r="I1157" s="1">
        <f>IF(Query1[[#This Row],[ItemType]]="EVAP KIT SF GEN IV",Query1[[#This Row],[OrderQty]]+I1156,I1156)</f>
        <v>1268</v>
      </c>
      <c r="J1157" s="1">
        <f>IF(Query1[[#This Row],[ItemType]]="EVAP KIT UNIVERSAL",Query1[[#This Row],[OrderQty]]+J1156,J1156)</f>
        <v>580</v>
      </c>
      <c r="K1157" s="1">
        <f>Query1[[#This Row],[SF Running Total]]+Query1[[#This Row],[UNIV Running Total]]</f>
        <v>1848</v>
      </c>
      <c r="L1157">
        <f>VLOOKUP(Query1[[#This Row],[Description]],'kits to boards'!$B$2:$E$156,2,FALSE)</f>
        <v>830124</v>
      </c>
      <c r="M1157">
        <f>VLOOKUP(Query1[[#This Row],[Description]],'kits to boards'!$B$2:$E$156,3,FALSE)</f>
        <v>0</v>
      </c>
      <c r="N1157">
        <f>VLOOKUP(Query1[[#This Row],[Description]],'kits to boards'!$B$2:$E$156,4,FALSE)</f>
        <v>0</v>
      </c>
      <c r="O1157" t="str">
        <f>CONCATENATE(Query1[[#This Row],[Description]]," - ",Query1[[#This Row],[MB1]]," - ",Query1[[#This Row],[MB2]]," - ",Query1[[#This Row],[MB3]])</f>
        <v>EVAP KIT 70-72 GTO WO/AC - 830124 - 0 - 0</v>
      </c>
    </row>
    <row r="1158" spans="1:15" x14ac:dyDescent="0.25">
      <c r="A1158" s="1">
        <v>911844</v>
      </c>
      <c r="B1158" s="1" t="s">
        <v>160</v>
      </c>
      <c r="C1158" s="1" t="s">
        <v>161</v>
      </c>
      <c r="D1158" s="2">
        <v>44613.490377696762</v>
      </c>
      <c r="E1158" s="1" t="s">
        <v>8</v>
      </c>
      <c r="F1158" s="1">
        <v>1</v>
      </c>
      <c r="G1158" s="1">
        <v>0</v>
      </c>
      <c r="H1158" s="6">
        <f>INT(Query1[[#This Row],[EntryDateTime]])</f>
        <v>44613</v>
      </c>
      <c r="I1158" s="1">
        <f>IF(Query1[[#This Row],[ItemType]]="EVAP KIT SF GEN IV",Query1[[#This Row],[OrderQty]]+I1157,I1157)</f>
        <v>1269</v>
      </c>
      <c r="J1158" s="1">
        <f>IF(Query1[[#This Row],[ItemType]]="EVAP KIT UNIVERSAL",Query1[[#This Row],[OrderQty]]+J1157,J1157)</f>
        <v>580</v>
      </c>
      <c r="K1158" s="1">
        <f>Query1[[#This Row],[SF Running Total]]+Query1[[#This Row],[UNIV Running Total]]</f>
        <v>1849</v>
      </c>
      <c r="L1158">
        <f>VLOOKUP(Query1[[#This Row],[Description]],'kits to boards'!$B$2:$E$156,2,FALSE)</f>
        <v>830083</v>
      </c>
      <c r="M1158">
        <f>VLOOKUP(Query1[[#This Row],[Description]],'kits to boards'!$B$2:$E$156,3,FALSE)</f>
        <v>0</v>
      </c>
      <c r="N1158">
        <f>VLOOKUP(Query1[[#This Row],[Description]],'kits to boards'!$B$2:$E$156,4,FALSE)</f>
        <v>0</v>
      </c>
      <c r="O1158" t="str">
        <f>CONCATENATE(Query1[[#This Row],[Description]]," - ",Query1[[#This Row],[MB1]]," - ",Query1[[#This Row],[MB2]]," - ",Query1[[#This Row],[MB3]])</f>
        <v>EVAP KIT 70-74 CHALNGR/CUDA WO AC - 830083 - 0 - 0</v>
      </c>
    </row>
    <row r="1159" spans="1:15" x14ac:dyDescent="0.25">
      <c r="A1159" s="1">
        <v>911847</v>
      </c>
      <c r="B1159" s="1" t="s">
        <v>136</v>
      </c>
      <c r="C1159" s="1" t="s">
        <v>137</v>
      </c>
      <c r="D1159" s="2">
        <v>44613.496512303238</v>
      </c>
      <c r="E1159" s="1" t="s">
        <v>11</v>
      </c>
      <c r="F1159" s="1">
        <v>1</v>
      </c>
      <c r="G1159" s="1">
        <v>0</v>
      </c>
      <c r="H1159" s="6">
        <f>INT(Query1[[#This Row],[EntryDateTime]])</f>
        <v>44613</v>
      </c>
      <c r="I1159" s="1">
        <f>IF(Query1[[#This Row],[ItemType]]="EVAP KIT SF GEN IV",Query1[[#This Row],[OrderQty]]+I1158,I1158)</f>
        <v>1269</v>
      </c>
      <c r="J1159" s="1">
        <f>IF(Query1[[#This Row],[ItemType]]="EVAP KIT UNIVERSAL",Query1[[#This Row],[OrderQty]]+J1158,J1158)</f>
        <v>581</v>
      </c>
      <c r="K1159" s="1">
        <f>Query1[[#This Row],[SF Running Total]]+Query1[[#This Row],[UNIV Running Total]]</f>
        <v>1850</v>
      </c>
      <c r="L1159">
        <f>VLOOKUP(Query1[[#This Row],[Description]],'kits to boards'!$B$2:$E$156,2,FALSE)</f>
        <v>0</v>
      </c>
      <c r="M1159">
        <f>VLOOKUP(Query1[[#This Row],[Description]],'kits to boards'!$B$2:$E$156,3,FALSE)</f>
        <v>0</v>
      </c>
      <c r="N1159">
        <f>VLOOKUP(Query1[[#This Row],[Description]],'kits to boards'!$B$2:$E$156,4,FALSE)</f>
        <v>0</v>
      </c>
      <c r="O1159" t="str">
        <f>CONCATENATE(Query1[[#This Row],[Description]]," - ",Query1[[#This Row],[MB1]]," - ",Query1[[#This Row],[MB2]]," - ",Query1[[#This Row],[MB3]])</f>
        <v>HERITAGE TURNED EVAP KIT HEAT/COOL - 0 - 0 - 0</v>
      </c>
    </row>
    <row r="1160" spans="1:15" x14ac:dyDescent="0.25">
      <c r="A1160" s="1">
        <v>911852</v>
      </c>
      <c r="B1160" s="1" t="s">
        <v>104</v>
      </c>
      <c r="C1160" s="1" t="s">
        <v>105</v>
      </c>
      <c r="D1160" s="2">
        <v>44613.508967476853</v>
      </c>
      <c r="E1160" s="1" t="s">
        <v>11</v>
      </c>
      <c r="F1160" s="1">
        <v>1</v>
      </c>
      <c r="G1160" s="1">
        <v>0</v>
      </c>
      <c r="H1160" s="6">
        <f>INT(Query1[[#This Row],[EntryDateTime]])</f>
        <v>44613</v>
      </c>
      <c r="I1160" s="1">
        <f>IF(Query1[[#This Row],[ItemType]]="EVAP KIT SF GEN IV",Query1[[#This Row],[OrderQty]]+I1159,I1159)</f>
        <v>1269</v>
      </c>
      <c r="J1160" s="1">
        <f>IF(Query1[[#This Row],[ItemType]]="EVAP KIT UNIVERSAL",Query1[[#This Row],[OrderQty]]+J1159,J1159)</f>
        <v>582</v>
      </c>
      <c r="K1160" s="1">
        <f>Query1[[#This Row],[SF Running Total]]+Query1[[#This Row],[UNIV Running Total]]</f>
        <v>1851</v>
      </c>
      <c r="L1160">
        <f>VLOOKUP(Query1[[#This Row],[Description]],'kits to boards'!$B$2:$E$156,2,FALSE)</f>
        <v>0</v>
      </c>
      <c r="M1160">
        <f>VLOOKUP(Query1[[#This Row],[Description]],'kits to boards'!$B$2:$E$156,3,FALSE)</f>
        <v>0</v>
      </c>
      <c r="N1160">
        <f>VLOOKUP(Query1[[#This Row],[Description]],'kits to boards'!$B$2:$E$156,4,FALSE)</f>
        <v>0</v>
      </c>
      <c r="O1160" t="str">
        <f>CONCATENATE(Query1[[#This Row],[Description]]," - ",Query1[[#This Row],[MB1]]," - ",Query1[[#This Row],[MB2]]," - ",Query1[[#This Row],[MB3]])</f>
        <v>HERITAGE BRUSHED EVAP KIT HEAT/COOL - 0 - 0 - 0</v>
      </c>
    </row>
    <row r="1161" spans="1:15" x14ac:dyDescent="0.25">
      <c r="A1161" s="1">
        <v>911855</v>
      </c>
      <c r="B1161" s="1" t="s">
        <v>6</v>
      </c>
      <c r="C1161" s="1" t="s">
        <v>7</v>
      </c>
      <c r="D1161" s="2">
        <v>44613.512214270835</v>
      </c>
      <c r="E1161" s="1" t="s">
        <v>8</v>
      </c>
      <c r="F1161" s="1">
        <v>1</v>
      </c>
      <c r="G1161" s="1">
        <v>0</v>
      </c>
      <c r="H1161" s="6">
        <f>INT(Query1[[#This Row],[EntryDateTime]])</f>
        <v>44613</v>
      </c>
      <c r="I1161" s="1">
        <f>IF(Query1[[#This Row],[ItemType]]="EVAP KIT SF GEN IV",Query1[[#This Row],[OrderQty]]+I1160,I1160)</f>
        <v>1270</v>
      </c>
      <c r="J1161" s="1">
        <f>IF(Query1[[#This Row],[ItemType]]="EVAP KIT UNIVERSAL",Query1[[#This Row],[OrderQty]]+J1160,J1160)</f>
        <v>582</v>
      </c>
      <c r="K1161" s="1">
        <f>Query1[[#This Row],[SF Running Total]]+Query1[[#This Row],[UNIV Running Total]]</f>
        <v>1852</v>
      </c>
      <c r="L1161">
        <f>VLOOKUP(Query1[[#This Row],[Description]],'kits to boards'!$B$2:$E$156,2,FALSE)</f>
        <v>830132</v>
      </c>
      <c r="M1161">
        <f>VLOOKUP(Query1[[#This Row],[Description]],'kits to boards'!$B$2:$E$156,3,FALSE)</f>
        <v>0</v>
      </c>
      <c r="N1161">
        <f>VLOOKUP(Query1[[#This Row],[Description]],'kits to boards'!$B$2:$E$156,4,FALSE)</f>
        <v>0</v>
      </c>
      <c r="O1161" t="str">
        <f>CONCATENATE(Query1[[#This Row],[Description]]," - ",Query1[[#This Row],[MB1]]," - ",Query1[[#This Row],[MB2]]," - ",Query1[[#This Row],[MB3]])</f>
        <v>EVAP KIT 82-88 MONTE CARLO/EL CAMINO - 830132 - 0 - 0</v>
      </c>
    </row>
    <row r="1162" spans="1:15" x14ac:dyDescent="0.25">
      <c r="A1162" s="1">
        <v>911860</v>
      </c>
      <c r="B1162" s="1" t="s">
        <v>122</v>
      </c>
      <c r="C1162" s="1" t="s">
        <v>123</v>
      </c>
      <c r="D1162" s="2">
        <v>44613.525737534721</v>
      </c>
      <c r="E1162" s="1" t="s">
        <v>8</v>
      </c>
      <c r="F1162" s="1">
        <v>1</v>
      </c>
      <c r="G1162" s="1">
        <v>0</v>
      </c>
      <c r="H1162" s="6">
        <f>INT(Query1[[#This Row],[EntryDateTime]])</f>
        <v>44613</v>
      </c>
      <c r="I1162" s="1">
        <f>IF(Query1[[#This Row],[ItemType]]="EVAP KIT SF GEN IV",Query1[[#This Row],[OrderQty]]+I1161,I1161)</f>
        <v>1271</v>
      </c>
      <c r="J1162" s="1">
        <f>IF(Query1[[#This Row],[ItemType]]="EVAP KIT UNIVERSAL",Query1[[#This Row],[OrderQty]]+J1161,J1161)</f>
        <v>582</v>
      </c>
      <c r="K1162" s="1">
        <f>Query1[[#This Row],[SF Running Total]]+Query1[[#This Row],[UNIV Running Total]]</f>
        <v>1853</v>
      </c>
      <c r="L1162">
        <f>VLOOKUP(Query1[[#This Row],[Description]],'kits to boards'!$B$2:$E$156,2,FALSE)</f>
        <v>830027</v>
      </c>
      <c r="M1162">
        <f>VLOOKUP(Query1[[#This Row],[Description]],'kits to boards'!$B$2:$E$156,3,FALSE)</f>
        <v>0</v>
      </c>
      <c r="N1162">
        <f>VLOOKUP(Query1[[#This Row],[Description]],'kits to boards'!$B$2:$E$156,4,FALSE)</f>
        <v>0</v>
      </c>
      <c r="O1162" t="str">
        <f>CONCATENATE(Query1[[#This Row],[Description]]," - ",Query1[[#This Row],[MB1]]," - ",Query1[[#This Row],[MB2]]," - ",Query1[[#This Row],[MB3]])</f>
        <v>EVAP KIT 70-72 CUTLASS W/AC - 830027 - 0 - 0</v>
      </c>
    </row>
    <row r="1163" spans="1:15" x14ac:dyDescent="0.25">
      <c r="A1163" s="1">
        <v>911865</v>
      </c>
      <c r="B1163" s="1" t="s">
        <v>210</v>
      </c>
      <c r="C1163" s="1" t="s">
        <v>211</v>
      </c>
      <c r="D1163" s="2">
        <v>44613.542815775465</v>
      </c>
      <c r="E1163" s="1" t="s">
        <v>8</v>
      </c>
      <c r="F1163" s="1">
        <v>1</v>
      </c>
      <c r="G1163" s="1">
        <v>0</v>
      </c>
      <c r="H1163" s="6">
        <f>INT(Query1[[#This Row],[EntryDateTime]])</f>
        <v>44613</v>
      </c>
      <c r="I1163" s="1">
        <f>IF(Query1[[#This Row],[ItemType]]="EVAP KIT SF GEN IV",Query1[[#This Row],[OrderQty]]+I1162,I1162)</f>
        <v>1272</v>
      </c>
      <c r="J1163" s="1">
        <f>IF(Query1[[#This Row],[ItemType]]="EVAP KIT UNIVERSAL",Query1[[#This Row],[OrderQty]]+J1162,J1162)</f>
        <v>582</v>
      </c>
      <c r="K1163" s="1">
        <f>Query1[[#This Row],[SF Running Total]]+Query1[[#This Row],[UNIV Running Total]]</f>
        <v>1854</v>
      </c>
      <c r="L1163">
        <f>VLOOKUP(Query1[[#This Row],[Description]],'kits to boards'!$B$2:$E$156,2,FALSE)</f>
        <v>830094</v>
      </c>
      <c r="M1163">
        <f>VLOOKUP(Query1[[#This Row],[Description]],'kits to boards'!$B$2:$E$156,3,FALSE)</f>
        <v>0</v>
      </c>
      <c r="N1163">
        <f>VLOOKUP(Query1[[#This Row],[Description]],'kits to boards'!$B$2:$E$156,4,FALSE)</f>
        <v>0</v>
      </c>
      <c r="O1163" t="str">
        <f>CONCATENATE(Query1[[#This Row],[Description]]," - ",Query1[[#This Row],[MB1]]," - ",Query1[[#This Row],[MB2]]," - ",Query1[[#This Row],[MB3]])</f>
        <v>EVAP KIT 74-76 VETTE W/AC - 830094 - 0 - 0</v>
      </c>
    </row>
    <row r="1164" spans="1:15" x14ac:dyDescent="0.25">
      <c r="A1164" s="1">
        <v>911872</v>
      </c>
      <c r="B1164" s="1" t="s">
        <v>42</v>
      </c>
      <c r="C1164" s="1" t="s">
        <v>43</v>
      </c>
      <c r="D1164" s="2">
        <v>44613.560708831021</v>
      </c>
      <c r="E1164" s="1" t="s">
        <v>8</v>
      </c>
      <c r="F1164" s="1">
        <v>1</v>
      </c>
      <c r="G1164" s="1">
        <v>0</v>
      </c>
      <c r="H1164" s="6">
        <f>INT(Query1[[#This Row],[EntryDateTime]])</f>
        <v>44613</v>
      </c>
      <c r="I1164" s="1">
        <f>IF(Query1[[#This Row],[ItemType]]="EVAP KIT SF GEN IV",Query1[[#This Row],[OrderQty]]+I1163,I1163)</f>
        <v>1273</v>
      </c>
      <c r="J1164" s="1">
        <f>IF(Query1[[#This Row],[ItemType]]="EVAP KIT UNIVERSAL",Query1[[#This Row],[OrderQty]]+J1163,J1163)</f>
        <v>582</v>
      </c>
      <c r="K1164" s="1">
        <f>Query1[[#This Row],[SF Running Total]]+Query1[[#This Row],[UNIV Running Total]]</f>
        <v>1855</v>
      </c>
      <c r="L1164">
        <f>VLOOKUP(Query1[[#This Row],[Description]],'kits to boards'!$B$2:$E$156,2,FALSE)</f>
        <v>830014</v>
      </c>
      <c r="M1164">
        <f>VLOOKUP(Query1[[#This Row],[Description]],'kits to boards'!$B$2:$E$156,3,FALSE)</f>
        <v>0</v>
      </c>
      <c r="N1164">
        <f>VLOOKUP(Query1[[#This Row],[Description]],'kits to boards'!$B$2:$E$156,4,FALSE)</f>
        <v>0</v>
      </c>
      <c r="O1164" t="str">
        <f>CONCATENATE(Query1[[#This Row],[Description]]," - ",Query1[[#This Row],[MB1]]," - ",Query1[[#This Row],[MB2]]," - ",Query1[[#This Row],[MB3]])</f>
        <v>EVAP KIT 67-72 CHEV P-UP WO AC - 830014 - 0 - 0</v>
      </c>
    </row>
    <row r="1165" spans="1:15" x14ac:dyDescent="0.25">
      <c r="A1165" s="1">
        <v>911572</v>
      </c>
      <c r="B1165" s="1" t="s">
        <v>192</v>
      </c>
      <c r="C1165" s="1" t="s">
        <v>193</v>
      </c>
      <c r="D1165" s="2">
        <v>44613.564730208331</v>
      </c>
      <c r="E1165" s="1" t="s">
        <v>8</v>
      </c>
      <c r="F1165" s="1">
        <v>1</v>
      </c>
      <c r="G1165" s="1">
        <v>0</v>
      </c>
      <c r="H1165" s="6">
        <f>INT(Query1[[#This Row],[EntryDateTime]])</f>
        <v>44613</v>
      </c>
      <c r="I1165" s="1">
        <f>IF(Query1[[#This Row],[ItemType]]="EVAP KIT SF GEN IV",Query1[[#This Row],[OrderQty]]+I1164,I1164)</f>
        <v>1274</v>
      </c>
      <c r="J1165" s="1">
        <f>IF(Query1[[#This Row],[ItemType]]="EVAP KIT UNIVERSAL",Query1[[#This Row],[OrderQty]]+J1164,J1164)</f>
        <v>582</v>
      </c>
      <c r="K1165" s="1">
        <f>Query1[[#This Row],[SF Running Total]]+Query1[[#This Row],[UNIV Running Total]]</f>
        <v>1856</v>
      </c>
      <c r="L1165">
        <f>VLOOKUP(Query1[[#This Row],[Description]],'kits to boards'!$B$2:$E$156,2,FALSE)</f>
        <v>830094</v>
      </c>
      <c r="M1165">
        <f>VLOOKUP(Query1[[#This Row],[Description]],'kits to boards'!$B$2:$E$156,3,FALSE)</f>
        <v>0</v>
      </c>
      <c r="N1165">
        <f>VLOOKUP(Query1[[#This Row],[Description]],'kits to boards'!$B$2:$E$156,4,FALSE)</f>
        <v>0</v>
      </c>
      <c r="O1165" t="str">
        <f>CONCATENATE(Query1[[#This Row],[Description]]," - ",Query1[[#This Row],[MB1]]," - ",Query1[[#This Row],[MB2]]," - ",Query1[[#This Row],[MB3]])</f>
        <v>EVAP KIT 69-73 VETTE W/AC - 830094 - 0 - 0</v>
      </c>
    </row>
    <row r="1166" spans="1:15" x14ac:dyDescent="0.25">
      <c r="A1166" s="1">
        <v>911876</v>
      </c>
      <c r="B1166" s="1" t="s">
        <v>108</v>
      </c>
      <c r="C1166" s="1" t="s">
        <v>109</v>
      </c>
      <c r="D1166" s="2">
        <v>44613.569332719904</v>
      </c>
      <c r="E1166" s="1" t="s">
        <v>8</v>
      </c>
      <c r="F1166" s="1">
        <v>1</v>
      </c>
      <c r="G1166" s="1">
        <v>0</v>
      </c>
      <c r="H1166" s="6">
        <f>INT(Query1[[#This Row],[EntryDateTime]])</f>
        <v>44613</v>
      </c>
      <c r="I1166" s="1">
        <f>IF(Query1[[#This Row],[ItemType]]="EVAP KIT SF GEN IV",Query1[[#This Row],[OrderQty]]+I1165,I1165)</f>
        <v>1275</v>
      </c>
      <c r="J1166" s="1">
        <f>IF(Query1[[#This Row],[ItemType]]="EVAP KIT UNIVERSAL",Query1[[#This Row],[OrderQty]]+J1165,J1165)</f>
        <v>582</v>
      </c>
      <c r="K1166" s="1">
        <f>Query1[[#This Row],[SF Running Total]]+Query1[[#This Row],[UNIV Running Total]]</f>
        <v>1857</v>
      </c>
      <c r="L1166">
        <f>VLOOKUP(Query1[[#This Row],[Description]],'kits to boards'!$B$2:$E$156,2,FALSE)</f>
        <v>830105</v>
      </c>
      <c r="M1166">
        <f>VLOOKUP(Query1[[#This Row],[Description]],'kits to boards'!$B$2:$E$156,3,FALSE)</f>
        <v>830106</v>
      </c>
      <c r="N1166">
        <f>VLOOKUP(Query1[[#This Row],[Description]],'kits to boards'!$B$2:$E$156,4,FALSE)</f>
        <v>0</v>
      </c>
      <c r="O1166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1167" spans="1:15" x14ac:dyDescent="0.25">
      <c r="A1167" s="1">
        <v>911881</v>
      </c>
      <c r="B1167" s="1" t="s">
        <v>14</v>
      </c>
      <c r="C1167" s="1" t="s">
        <v>15</v>
      </c>
      <c r="D1167" s="2">
        <v>44613.576529861108</v>
      </c>
      <c r="E1167" s="1" t="s">
        <v>8</v>
      </c>
      <c r="F1167" s="1">
        <v>1</v>
      </c>
      <c r="G1167" s="1">
        <v>0</v>
      </c>
      <c r="H1167" s="6">
        <f>INT(Query1[[#This Row],[EntryDateTime]])</f>
        <v>44613</v>
      </c>
      <c r="I1167" s="1">
        <f>IF(Query1[[#This Row],[ItemType]]="EVAP KIT SF GEN IV",Query1[[#This Row],[OrderQty]]+I1166,I1166)</f>
        <v>1276</v>
      </c>
      <c r="J1167" s="1">
        <f>IF(Query1[[#This Row],[ItemType]]="EVAP KIT UNIVERSAL",Query1[[#This Row],[OrderQty]]+J1166,J1166)</f>
        <v>582</v>
      </c>
      <c r="K1167" s="1">
        <f>Query1[[#This Row],[SF Running Total]]+Query1[[#This Row],[UNIV Running Total]]</f>
        <v>1858</v>
      </c>
      <c r="L1167">
        <f>VLOOKUP(Query1[[#This Row],[Description]],'kits to boards'!$B$2:$E$156,2,FALSE)</f>
        <v>830054</v>
      </c>
      <c r="M1167">
        <f>VLOOKUP(Query1[[#This Row],[Description]],'kits to boards'!$B$2:$E$156,3,FALSE)</f>
        <v>0</v>
      </c>
      <c r="N1167">
        <f>VLOOKUP(Query1[[#This Row],[Description]],'kits to boards'!$B$2:$E$156,4,FALSE)</f>
        <v>0</v>
      </c>
      <c r="O1167" t="str">
        <f>CONCATENATE(Query1[[#This Row],[Description]]," - ",Query1[[#This Row],[MB1]]," - ",Query1[[#This Row],[MB2]]," - ",Query1[[#This Row],[MB3]])</f>
        <v>EVAP KIT 55-56 CHEVY - 830054 - 0 - 0</v>
      </c>
    </row>
    <row r="1168" spans="1:15" x14ac:dyDescent="0.25">
      <c r="A1168" s="1">
        <v>911884</v>
      </c>
      <c r="B1168" s="1" t="s">
        <v>32</v>
      </c>
      <c r="C1168" s="1" t="s">
        <v>33</v>
      </c>
      <c r="D1168" s="2">
        <v>44613.581136608795</v>
      </c>
      <c r="E1168" s="1" t="s">
        <v>8</v>
      </c>
      <c r="F1168" s="1">
        <v>1</v>
      </c>
      <c r="G1168" s="1">
        <v>0</v>
      </c>
      <c r="H1168" s="6">
        <f>INT(Query1[[#This Row],[EntryDateTime]])</f>
        <v>44613</v>
      </c>
      <c r="I1168" s="1">
        <f>IF(Query1[[#This Row],[ItemType]]="EVAP KIT SF GEN IV",Query1[[#This Row],[OrderQty]]+I1167,I1167)</f>
        <v>1277</v>
      </c>
      <c r="J1168" s="1">
        <f>IF(Query1[[#This Row],[ItemType]]="EVAP KIT UNIVERSAL",Query1[[#This Row],[OrderQty]]+J1167,J1167)</f>
        <v>582</v>
      </c>
      <c r="K1168" s="1">
        <f>Query1[[#This Row],[SF Running Total]]+Query1[[#This Row],[UNIV Running Total]]</f>
        <v>1859</v>
      </c>
      <c r="L1168">
        <f>VLOOKUP(Query1[[#This Row],[Description]],'kits to boards'!$B$2:$E$156,2,FALSE)</f>
        <v>830016</v>
      </c>
      <c r="M1168">
        <f>VLOOKUP(Query1[[#This Row],[Description]],'kits to boards'!$B$2:$E$156,3,FALSE)</f>
        <v>0</v>
      </c>
      <c r="N1168">
        <f>VLOOKUP(Query1[[#This Row],[Description]],'kits to boards'!$B$2:$E$156,4,FALSE)</f>
        <v>0</v>
      </c>
      <c r="O1168" t="str">
        <f>CONCATENATE(Query1[[#This Row],[Description]]," - ",Query1[[#This Row],[MB1]]," - ",Query1[[#This Row],[MB2]]," - ",Query1[[#This Row],[MB3]])</f>
        <v>EVAP KIT 67-68 CAMARO/FIREBIRD W/AC - 830016 - 0 - 0</v>
      </c>
    </row>
    <row r="1169" spans="1:15" x14ac:dyDescent="0.25">
      <c r="A1169" s="1">
        <v>911885</v>
      </c>
      <c r="B1169" s="1" t="s">
        <v>210</v>
      </c>
      <c r="C1169" s="1" t="s">
        <v>211</v>
      </c>
      <c r="D1169" s="2">
        <v>44613.58154741898</v>
      </c>
      <c r="E1169" s="1" t="s">
        <v>8</v>
      </c>
      <c r="F1169" s="1">
        <v>1</v>
      </c>
      <c r="G1169" s="1">
        <v>0</v>
      </c>
      <c r="H1169" s="6">
        <f>INT(Query1[[#This Row],[EntryDateTime]])</f>
        <v>44613</v>
      </c>
      <c r="I1169" s="1">
        <f>IF(Query1[[#This Row],[ItemType]]="EVAP KIT SF GEN IV",Query1[[#This Row],[OrderQty]]+I1168,I1168)</f>
        <v>1278</v>
      </c>
      <c r="J1169" s="1">
        <f>IF(Query1[[#This Row],[ItemType]]="EVAP KIT UNIVERSAL",Query1[[#This Row],[OrderQty]]+J1168,J1168)</f>
        <v>582</v>
      </c>
      <c r="K1169" s="1">
        <f>Query1[[#This Row],[SF Running Total]]+Query1[[#This Row],[UNIV Running Total]]</f>
        <v>1860</v>
      </c>
      <c r="L1169">
        <f>VLOOKUP(Query1[[#This Row],[Description]],'kits to boards'!$B$2:$E$156,2,FALSE)</f>
        <v>830094</v>
      </c>
      <c r="M1169">
        <f>VLOOKUP(Query1[[#This Row],[Description]],'kits to boards'!$B$2:$E$156,3,FALSE)</f>
        <v>0</v>
      </c>
      <c r="N1169">
        <f>VLOOKUP(Query1[[#This Row],[Description]],'kits to boards'!$B$2:$E$156,4,FALSE)</f>
        <v>0</v>
      </c>
      <c r="O1169" t="str">
        <f>CONCATENATE(Query1[[#This Row],[Description]]," - ",Query1[[#This Row],[MB1]]," - ",Query1[[#This Row],[MB2]]," - ",Query1[[#This Row],[MB3]])</f>
        <v>EVAP KIT 74-76 VETTE W/AC - 830094 - 0 - 0</v>
      </c>
    </row>
    <row r="1170" spans="1:15" x14ac:dyDescent="0.25">
      <c r="A1170" s="1">
        <v>911886</v>
      </c>
      <c r="B1170" s="1" t="s">
        <v>94</v>
      </c>
      <c r="C1170" s="1" t="s">
        <v>95</v>
      </c>
      <c r="D1170" s="2">
        <v>44613.584140162035</v>
      </c>
      <c r="E1170" s="1" t="s">
        <v>8</v>
      </c>
      <c r="F1170" s="1">
        <v>1</v>
      </c>
      <c r="G1170" s="1">
        <v>0</v>
      </c>
      <c r="H1170" s="6">
        <f>INT(Query1[[#This Row],[EntryDateTime]])</f>
        <v>44613</v>
      </c>
      <c r="I1170" s="1">
        <f>IF(Query1[[#This Row],[ItemType]]="EVAP KIT SF GEN IV",Query1[[#This Row],[OrderQty]]+I1169,I1169)</f>
        <v>1279</v>
      </c>
      <c r="J1170" s="1">
        <f>IF(Query1[[#This Row],[ItemType]]="EVAP KIT UNIVERSAL",Query1[[#This Row],[OrderQty]]+J1169,J1169)</f>
        <v>582</v>
      </c>
      <c r="K1170" s="1">
        <f>Query1[[#This Row],[SF Running Total]]+Query1[[#This Row],[UNIV Running Total]]</f>
        <v>1861</v>
      </c>
      <c r="L1170">
        <f>VLOOKUP(Query1[[#This Row],[Description]],'kits to boards'!$B$2:$E$156,2,FALSE)</f>
        <v>830076</v>
      </c>
      <c r="M1170">
        <f>VLOOKUP(Query1[[#This Row],[Description]],'kits to boards'!$B$2:$E$156,3,FALSE)</f>
        <v>0</v>
      </c>
      <c r="N1170">
        <f>VLOOKUP(Query1[[#This Row],[Description]],'kits to boards'!$B$2:$E$156,4,FALSE)</f>
        <v>0</v>
      </c>
      <c r="O1170" t="str">
        <f>CONCATENATE(Query1[[#This Row],[Description]]," - ",Query1[[#This Row],[MB1]]," - ",Query1[[#This Row],[MB2]]," - ",Query1[[#This Row],[MB3]])</f>
        <v>EVAP KIT 64 1/2- 66 MUSTANG  - 830076 - 0 - 0</v>
      </c>
    </row>
    <row r="1171" spans="1:15" x14ac:dyDescent="0.25">
      <c r="A1171" s="1">
        <v>911889</v>
      </c>
      <c r="B1171" s="1" t="s">
        <v>40</v>
      </c>
      <c r="C1171" s="1" t="s">
        <v>41</v>
      </c>
      <c r="D1171" s="2">
        <v>44613.585166747682</v>
      </c>
      <c r="E1171" s="1" t="s">
        <v>8</v>
      </c>
      <c r="F1171" s="1">
        <v>1</v>
      </c>
      <c r="G1171" s="1">
        <v>0</v>
      </c>
      <c r="H1171" s="6">
        <f>INT(Query1[[#This Row],[EntryDateTime]])</f>
        <v>44613</v>
      </c>
      <c r="I1171" s="1">
        <f>IF(Query1[[#This Row],[ItemType]]="EVAP KIT SF GEN IV",Query1[[#This Row],[OrderQty]]+I1170,I1170)</f>
        <v>1280</v>
      </c>
      <c r="J1171" s="1">
        <f>IF(Query1[[#This Row],[ItemType]]="EVAP KIT UNIVERSAL",Query1[[#This Row],[OrderQty]]+J1170,J1170)</f>
        <v>582</v>
      </c>
      <c r="K1171" s="1">
        <f>Query1[[#This Row],[SF Running Total]]+Query1[[#This Row],[UNIV Running Total]]</f>
        <v>1862</v>
      </c>
      <c r="L1171">
        <f>VLOOKUP(Query1[[#This Row],[Description]],'kits to boards'!$B$2:$E$156,2,FALSE)</f>
        <v>830024</v>
      </c>
      <c r="M1171">
        <f>VLOOKUP(Query1[[#This Row],[Description]],'kits to boards'!$B$2:$E$156,3,FALSE)</f>
        <v>0</v>
      </c>
      <c r="N1171">
        <f>VLOOKUP(Query1[[#This Row],[Description]],'kits to boards'!$B$2:$E$156,4,FALSE)</f>
        <v>0</v>
      </c>
      <c r="O1171" t="str">
        <f>CONCATENATE(Query1[[#This Row],[Description]]," - ",Query1[[#This Row],[MB1]]," - ",Query1[[#This Row],[MB2]]," - ",Query1[[#This Row],[MB3]])</f>
        <v>EVAP KIT 79-81 CAMARO W/AC - 830024 - 0 - 0</v>
      </c>
    </row>
    <row r="1172" spans="1:15" x14ac:dyDescent="0.25">
      <c r="A1172" s="1">
        <v>911890</v>
      </c>
      <c r="B1172" s="1" t="s">
        <v>236</v>
      </c>
      <c r="C1172" s="1" t="s">
        <v>237</v>
      </c>
      <c r="D1172" s="2">
        <v>44613.58571890046</v>
      </c>
      <c r="E1172" s="1" t="s">
        <v>8</v>
      </c>
      <c r="F1172" s="1">
        <v>1</v>
      </c>
      <c r="G1172" s="1">
        <v>0</v>
      </c>
      <c r="H1172" s="6">
        <f>INT(Query1[[#This Row],[EntryDateTime]])</f>
        <v>44613</v>
      </c>
      <c r="I1172" s="1">
        <f>IF(Query1[[#This Row],[ItemType]]="EVAP KIT SF GEN IV",Query1[[#This Row],[OrderQty]]+I1171,I1171)</f>
        <v>1281</v>
      </c>
      <c r="J1172" s="1">
        <f>IF(Query1[[#This Row],[ItemType]]="EVAP KIT UNIVERSAL",Query1[[#This Row],[OrderQty]]+J1171,J1171)</f>
        <v>582</v>
      </c>
      <c r="K1172" s="1">
        <f>Query1[[#This Row],[SF Running Total]]+Query1[[#This Row],[UNIV Running Total]]</f>
        <v>1863</v>
      </c>
      <c r="L1172">
        <f>VLOOKUP(Query1[[#This Row],[Description]],'kits to boards'!$B$2:$E$156,2,FALSE)</f>
        <v>830026</v>
      </c>
      <c r="M1172">
        <f>VLOOKUP(Query1[[#This Row],[Description]],'kits to boards'!$B$2:$E$156,3,FALSE)</f>
        <v>0</v>
      </c>
      <c r="N1172">
        <f>VLOOKUP(Query1[[#This Row],[Description]],'kits to boards'!$B$2:$E$156,4,FALSE)</f>
        <v>0</v>
      </c>
      <c r="O1172" t="str">
        <f>CONCATENATE(Query1[[#This Row],[Description]]," - ",Query1[[#This Row],[MB1]]," - ",Query1[[#This Row],[MB2]]," - ",Query1[[#This Row],[MB3]])</f>
        <v>EVAP KIT 70-72 CUTLASS WO AC - 830026 - 0 - 0</v>
      </c>
    </row>
    <row r="1173" spans="1:15" x14ac:dyDescent="0.25">
      <c r="A1173" s="1">
        <v>911899</v>
      </c>
      <c r="B1173" s="1" t="s">
        <v>236</v>
      </c>
      <c r="C1173" s="1" t="s">
        <v>237</v>
      </c>
      <c r="D1173" s="2">
        <v>44613.595837152781</v>
      </c>
      <c r="E1173" s="1" t="s">
        <v>8</v>
      </c>
      <c r="F1173" s="1">
        <v>1</v>
      </c>
      <c r="G1173" s="1">
        <v>0</v>
      </c>
      <c r="H1173" s="6">
        <f>INT(Query1[[#This Row],[EntryDateTime]])</f>
        <v>44613</v>
      </c>
      <c r="I1173" s="1">
        <f>IF(Query1[[#This Row],[ItemType]]="EVAP KIT SF GEN IV",Query1[[#This Row],[OrderQty]]+I1172,I1172)</f>
        <v>1282</v>
      </c>
      <c r="J1173" s="1">
        <f>IF(Query1[[#This Row],[ItemType]]="EVAP KIT UNIVERSAL",Query1[[#This Row],[OrderQty]]+J1172,J1172)</f>
        <v>582</v>
      </c>
      <c r="K1173" s="1">
        <f>Query1[[#This Row],[SF Running Total]]+Query1[[#This Row],[UNIV Running Total]]</f>
        <v>1864</v>
      </c>
      <c r="L1173">
        <f>VLOOKUP(Query1[[#This Row],[Description]],'kits to boards'!$B$2:$E$156,2,FALSE)</f>
        <v>830026</v>
      </c>
      <c r="M1173">
        <f>VLOOKUP(Query1[[#This Row],[Description]],'kits to boards'!$B$2:$E$156,3,FALSE)</f>
        <v>0</v>
      </c>
      <c r="N1173">
        <f>VLOOKUP(Query1[[#This Row],[Description]],'kits to boards'!$B$2:$E$156,4,FALSE)</f>
        <v>0</v>
      </c>
      <c r="O1173" t="str">
        <f>CONCATENATE(Query1[[#This Row],[Description]]," - ",Query1[[#This Row],[MB1]]," - ",Query1[[#This Row],[MB2]]," - ",Query1[[#This Row],[MB3]])</f>
        <v>EVAP KIT 70-72 CUTLASS WO AC - 830026 - 0 - 0</v>
      </c>
    </row>
    <row r="1174" spans="1:15" x14ac:dyDescent="0.25">
      <c r="A1174" s="1">
        <v>911907</v>
      </c>
      <c r="B1174" s="1" t="s">
        <v>22</v>
      </c>
      <c r="C1174" s="1" t="s">
        <v>23</v>
      </c>
      <c r="D1174" s="2">
        <v>44613.602896875003</v>
      </c>
      <c r="E1174" s="1" t="s">
        <v>8</v>
      </c>
      <c r="F1174" s="1">
        <v>1</v>
      </c>
      <c r="G1174" s="1">
        <v>0</v>
      </c>
      <c r="H1174" s="6">
        <f>INT(Query1[[#This Row],[EntryDateTime]])</f>
        <v>44613</v>
      </c>
      <c r="I1174" s="1">
        <f>IF(Query1[[#This Row],[ItemType]]="EVAP KIT SF GEN IV",Query1[[#This Row],[OrderQty]]+I1173,I1173)</f>
        <v>1283</v>
      </c>
      <c r="J1174" s="1">
        <f>IF(Query1[[#This Row],[ItemType]]="EVAP KIT UNIVERSAL",Query1[[#This Row],[OrderQty]]+J1173,J1173)</f>
        <v>582</v>
      </c>
      <c r="K1174" s="1">
        <f>Query1[[#This Row],[SF Running Total]]+Query1[[#This Row],[UNIV Running Total]]</f>
        <v>1865</v>
      </c>
      <c r="L1174">
        <f>VLOOKUP(Query1[[#This Row],[Description]],'kits to boards'!$B$2:$E$156,2,FALSE)</f>
        <v>830083</v>
      </c>
      <c r="M1174">
        <f>VLOOKUP(Query1[[#This Row],[Description]],'kits to boards'!$B$2:$E$156,3,FALSE)</f>
        <v>0</v>
      </c>
      <c r="N1174">
        <f>VLOOKUP(Query1[[#This Row],[Description]],'kits to boards'!$B$2:$E$156,4,FALSE)</f>
        <v>0</v>
      </c>
      <c r="O1174" t="str">
        <f>CONCATENATE(Query1[[#This Row],[Description]]," - ",Query1[[#This Row],[MB1]]," - ",Query1[[#This Row],[MB2]]," - ",Query1[[#This Row],[MB3]])</f>
        <v>GEN IV MAGNUM EVAP KIT - 830083 - 0 - 0</v>
      </c>
    </row>
    <row r="1175" spans="1:15" x14ac:dyDescent="0.25">
      <c r="A1175" s="1">
        <v>911779</v>
      </c>
      <c r="B1175" s="1" t="s">
        <v>124</v>
      </c>
      <c r="C1175" s="1" t="s">
        <v>125</v>
      </c>
      <c r="D1175" s="2">
        <v>44613.610064780092</v>
      </c>
      <c r="E1175" s="1" t="s">
        <v>8</v>
      </c>
      <c r="F1175" s="1">
        <v>1</v>
      </c>
      <c r="G1175" s="1">
        <v>0</v>
      </c>
      <c r="H1175" s="6">
        <f>INT(Query1[[#This Row],[EntryDateTime]])</f>
        <v>44613</v>
      </c>
      <c r="I1175" s="1">
        <f>IF(Query1[[#This Row],[ItemType]]="EVAP KIT SF GEN IV",Query1[[#This Row],[OrderQty]]+I1174,I1174)</f>
        <v>1284</v>
      </c>
      <c r="J1175" s="1">
        <f>IF(Query1[[#This Row],[ItemType]]="EVAP KIT UNIVERSAL",Query1[[#This Row],[OrderQty]]+J1174,J1174)</f>
        <v>582</v>
      </c>
      <c r="K1175" s="1">
        <f>Query1[[#This Row],[SF Running Total]]+Query1[[#This Row],[UNIV Running Total]]</f>
        <v>1866</v>
      </c>
      <c r="L1175">
        <f>VLOOKUP(Query1[[#This Row],[Description]],'kits to boards'!$B$2:$E$156,2,FALSE)</f>
        <v>830002</v>
      </c>
      <c r="M1175">
        <f>VLOOKUP(Query1[[#This Row],[Description]],'kits to boards'!$B$2:$E$156,3,FALSE)</f>
        <v>0</v>
      </c>
      <c r="N1175">
        <f>VLOOKUP(Query1[[#This Row],[Description]],'kits to boards'!$B$2:$E$156,4,FALSE)</f>
        <v>0</v>
      </c>
      <c r="O1175" t="str">
        <f>CONCATENATE(Query1[[#This Row],[Description]]," - ",Query1[[#This Row],[MB1]]," - ",Query1[[#This Row],[MB2]]," - ",Query1[[#This Row],[MB3]])</f>
        <v>EVAP KIT 73-80 CHEV P-UP WO AC - 830002 - 0 - 0</v>
      </c>
    </row>
    <row r="1176" spans="1:15" x14ac:dyDescent="0.25">
      <c r="A1176" s="1">
        <v>911918</v>
      </c>
      <c r="B1176" s="1" t="s">
        <v>66</v>
      </c>
      <c r="C1176" s="1" t="s">
        <v>67</v>
      </c>
      <c r="D1176" s="2">
        <v>44613.627764120371</v>
      </c>
      <c r="E1176" s="1" t="s">
        <v>8</v>
      </c>
      <c r="F1176" s="1">
        <v>1</v>
      </c>
      <c r="G1176" s="1">
        <v>0</v>
      </c>
      <c r="H1176" s="6">
        <f>INT(Query1[[#This Row],[EntryDateTime]])</f>
        <v>44613</v>
      </c>
      <c r="I1176" s="1">
        <f>IF(Query1[[#This Row],[ItemType]]="EVAP KIT SF GEN IV",Query1[[#This Row],[OrderQty]]+I1175,I1175)</f>
        <v>1285</v>
      </c>
      <c r="J1176" s="1">
        <f>IF(Query1[[#This Row],[ItemType]]="EVAP KIT UNIVERSAL",Query1[[#This Row],[OrderQty]]+J1175,J1175)</f>
        <v>582</v>
      </c>
      <c r="K1176" s="1">
        <f>Query1[[#This Row],[SF Running Total]]+Query1[[#This Row],[UNIV Running Total]]</f>
        <v>1867</v>
      </c>
      <c r="L1176">
        <f>VLOOKUP(Query1[[#This Row],[Description]],'kits to boards'!$B$2:$E$156,2,FALSE)</f>
        <v>830060</v>
      </c>
      <c r="M1176">
        <f>VLOOKUP(Query1[[#This Row],[Description]],'kits to boards'!$B$2:$E$156,3,FALSE)</f>
        <v>0</v>
      </c>
      <c r="N1176">
        <f>VLOOKUP(Query1[[#This Row],[Description]],'kits to boards'!$B$2:$E$156,4,FALSE)</f>
        <v>0</v>
      </c>
      <c r="O1176" t="str">
        <f>CONCATENATE(Query1[[#This Row],[Description]]," - ",Query1[[#This Row],[MB1]]," - ",Query1[[#This Row],[MB2]]," - ",Query1[[#This Row],[MB3]])</f>
        <v>EVAP KIT 66-67 CHEVELLE WO AC - 830060 - 0 - 0</v>
      </c>
    </row>
    <row r="1177" spans="1:15" x14ac:dyDescent="0.25">
      <c r="A1177" s="1">
        <v>911925</v>
      </c>
      <c r="B1177" s="1" t="s">
        <v>24</v>
      </c>
      <c r="C1177" s="1" t="s">
        <v>25</v>
      </c>
      <c r="D1177" s="2">
        <v>44613.64458576389</v>
      </c>
      <c r="E1177" s="1" t="s">
        <v>11</v>
      </c>
      <c r="F1177" s="1">
        <v>1</v>
      </c>
      <c r="G1177" s="1">
        <v>0</v>
      </c>
      <c r="H1177" s="6">
        <f>INT(Query1[[#This Row],[EntryDateTime]])</f>
        <v>44613</v>
      </c>
      <c r="I1177" s="1">
        <f>IF(Query1[[#This Row],[ItemType]]="EVAP KIT SF GEN IV",Query1[[#This Row],[OrderQty]]+I1176,I1176)</f>
        <v>1285</v>
      </c>
      <c r="J1177" s="1">
        <f>IF(Query1[[#This Row],[ItemType]]="EVAP KIT UNIVERSAL",Query1[[#This Row],[OrderQty]]+J1176,J1176)</f>
        <v>583</v>
      </c>
      <c r="K1177" s="1">
        <f>Query1[[#This Row],[SF Running Total]]+Query1[[#This Row],[UNIV Running Total]]</f>
        <v>1868</v>
      </c>
      <c r="L1177">
        <f>VLOOKUP(Query1[[#This Row],[Description]],'kits to boards'!$B$2:$E$156,2,FALSE)</f>
        <v>830029</v>
      </c>
      <c r="M1177">
        <f>VLOOKUP(Query1[[#This Row],[Description]],'kits to boards'!$B$2:$E$156,3,FALSE)</f>
        <v>830030</v>
      </c>
      <c r="N1177">
        <f>VLOOKUP(Query1[[#This Row],[Description]],'kits to boards'!$B$2:$E$156,4,FALSE)</f>
        <v>0</v>
      </c>
      <c r="O1177" t="str">
        <f>CONCATENATE(Query1[[#This Row],[Description]]," - ",Query1[[#This Row],[MB1]]," - ",Query1[[#This Row],[MB2]]," - ",Query1[[#This Row],[MB3]])</f>
        <v>ComPac GEN II W/DEF - 830029 - 830030 - 0</v>
      </c>
    </row>
    <row r="1178" spans="1:15" x14ac:dyDescent="0.25">
      <c r="A1178" s="1">
        <v>911929</v>
      </c>
      <c r="B1178" s="1" t="s">
        <v>42</v>
      </c>
      <c r="C1178" s="1" t="s">
        <v>43</v>
      </c>
      <c r="D1178" s="2">
        <v>44613.652260763891</v>
      </c>
      <c r="E1178" s="1" t="s">
        <v>8</v>
      </c>
      <c r="F1178" s="1">
        <v>1</v>
      </c>
      <c r="G1178" s="1">
        <v>0</v>
      </c>
      <c r="H1178" s="6">
        <f>INT(Query1[[#This Row],[EntryDateTime]])</f>
        <v>44613</v>
      </c>
      <c r="I1178" s="1">
        <f>IF(Query1[[#This Row],[ItemType]]="EVAP KIT SF GEN IV",Query1[[#This Row],[OrderQty]]+I1177,I1177)</f>
        <v>1286</v>
      </c>
      <c r="J1178" s="1">
        <f>IF(Query1[[#This Row],[ItemType]]="EVAP KIT UNIVERSAL",Query1[[#This Row],[OrderQty]]+J1177,J1177)</f>
        <v>583</v>
      </c>
      <c r="K1178" s="1">
        <f>Query1[[#This Row],[SF Running Total]]+Query1[[#This Row],[UNIV Running Total]]</f>
        <v>1869</v>
      </c>
      <c r="L1178">
        <f>VLOOKUP(Query1[[#This Row],[Description]],'kits to boards'!$B$2:$E$156,2,FALSE)</f>
        <v>830014</v>
      </c>
      <c r="M1178">
        <f>VLOOKUP(Query1[[#This Row],[Description]],'kits to boards'!$B$2:$E$156,3,FALSE)</f>
        <v>0</v>
      </c>
      <c r="N1178">
        <f>VLOOKUP(Query1[[#This Row],[Description]],'kits to boards'!$B$2:$E$156,4,FALSE)</f>
        <v>0</v>
      </c>
      <c r="O1178" t="str">
        <f>CONCATENATE(Query1[[#This Row],[Description]]," - ",Query1[[#This Row],[MB1]]," - ",Query1[[#This Row],[MB2]]," - ",Query1[[#This Row],[MB3]])</f>
        <v>EVAP KIT 67-72 CHEV P-UP WO AC - 830014 - 0 - 0</v>
      </c>
    </row>
    <row r="1179" spans="1:15" x14ac:dyDescent="0.25">
      <c r="A1179" s="1">
        <v>911933</v>
      </c>
      <c r="B1179" s="1" t="s">
        <v>212</v>
      </c>
      <c r="C1179" s="1" t="s">
        <v>213</v>
      </c>
      <c r="D1179" s="2">
        <v>44613.660937037035</v>
      </c>
      <c r="E1179" s="1" t="s">
        <v>8</v>
      </c>
      <c r="F1179" s="1">
        <v>1</v>
      </c>
      <c r="G1179" s="1">
        <v>0</v>
      </c>
      <c r="H1179" s="6">
        <f>INT(Query1[[#This Row],[EntryDateTime]])</f>
        <v>44613</v>
      </c>
      <c r="I1179" s="1">
        <f>IF(Query1[[#This Row],[ItemType]]="EVAP KIT SF GEN IV",Query1[[#This Row],[OrderQty]]+I1178,I1178)</f>
        <v>1287</v>
      </c>
      <c r="J1179" s="1">
        <f>IF(Query1[[#This Row],[ItemType]]="EVAP KIT UNIVERSAL",Query1[[#This Row],[OrderQty]]+J1178,J1178)</f>
        <v>583</v>
      </c>
      <c r="K1179" s="1">
        <f>Query1[[#This Row],[SF Running Total]]+Query1[[#This Row],[UNIV Running Total]]</f>
        <v>1870</v>
      </c>
      <c r="L1179">
        <f>VLOOKUP(Query1[[#This Row],[Description]],'kits to boards'!$B$2:$E$156,2,FALSE)</f>
        <v>830034</v>
      </c>
      <c r="M1179">
        <f>VLOOKUP(Query1[[#This Row],[Description]],'kits to boards'!$B$2:$E$156,3,FALSE)</f>
        <v>0</v>
      </c>
      <c r="N1179">
        <f>VLOOKUP(Query1[[#This Row],[Description]],'kits to boards'!$B$2:$E$156,4,FALSE)</f>
        <v>0</v>
      </c>
      <c r="O1179" t="str">
        <f>CONCATENATE(Query1[[#This Row],[Description]]," - ",Query1[[#This Row],[MB1]]," - ",Query1[[#This Row],[MB2]]," - ",Query1[[#This Row],[MB3]])</f>
        <v>EVAP KIT 64-67 GTO W/AC - 830034 - 0 - 0</v>
      </c>
    </row>
    <row r="1180" spans="1:15" x14ac:dyDescent="0.25">
      <c r="A1180" s="1">
        <v>911933</v>
      </c>
      <c r="B1180" s="1" t="s">
        <v>110</v>
      </c>
      <c r="C1180" s="1" t="s">
        <v>111</v>
      </c>
      <c r="D1180" s="2">
        <v>44613.661030706018</v>
      </c>
      <c r="E1180" s="1" t="s">
        <v>8</v>
      </c>
      <c r="F1180" s="1">
        <v>1</v>
      </c>
      <c r="G1180" s="1">
        <v>0</v>
      </c>
      <c r="H1180" s="6">
        <f>INT(Query1[[#This Row],[EntryDateTime]])</f>
        <v>44613</v>
      </c>
      <c r="I1180" s="1">
        <f>IF(Query1[[#This Row],[ItemType]]="EVAP KIT SF GEN IV",Query1[[#This Row],[OrderQty]]+I1179,I1179)</f>
        <v>1288</v>
      </c>
      <c r="J1180" s="1">
        <f>IF(Query1[[#This Row],[ItemType]]="EVAP KIT UNIVERSAL",Query1[[#This Row],[OrderQty]]+J1179,J1179)</f>
        <v>583</v>
      </c>
      <c r="K1180" s="1">
        <f>Query1[[#This Row],[SF Running Total]]+Query1[[#This Row],[UNIV Running Total]]</f>
        <v>1871</v>
      </c>
      <c r="L1180">
        <f>VLOOKUP(Query1[[#This Row],[Description]],'kits to boards'!$B$2:$E$156,2,FALSE)</f>
        <v>830053</v>
      </c>
      <c r="M1180">
        <f>VLOOKUP(Query1[[#This Row],[Description]],'kits to boards'!$B$2:$E$156,3,FALSE)</f>
        <v>0</v>
      </c>
      <c r="N1180">
        <f>VLOOKUP(Query1[[#This Row],[Description]],'kits to boards'!$B$2:$E$156,4,FALSE)</f>
        <v>0</v>
      </c>
      <c r="O1180" t="str">
        <f>CONCATENATE(Query1[[#This Row],[Description]]," - ",Query1[[#This Row],[MB1]]," - ",Query1[[#This Row],[MB2]]," - ",Query1[[#This Row],[MB3]])</f>
        <v>EVAP KIT 65-66 FORD F-100 - 830053 - 0 - 0</v>
      </c>
    </row>
    <row r="1181" spans="1:15" x14ac:dyDescent="0.25">
      <c r="A1181" s="1">
        <v>911933</v>
      </c>
      <c r="B1181" s="1" t="s">
        <v>506</v>
      </c>
      <c r="C1181" s="1" t="s">
        <v>507</v>
      </c>
      <c r="D1181" s="2">
        <v>44613.661156909722</v>
      </c>
      <c r="E1181" s="1" t="s">
        <v>677</v>
      </c>
      <c r="F1181" s="1">
        <v>1</v>
      </c>
      <c r="G1181" s="1">
        <v>0</v>
      </c>
      <c r="H1181" s="6">
        <f>INT(Query1[[#This Row],[EntryDateTime]])</f>
        <v>44613</v>
      </c>
      <c r="I1181" s="1">
        <f>IF(Query1[[#This Row],[ItemType]]="EVAP KIT SF GEN IV",Query1[[#This Row],[OrderQty]]+I1180,I1180)</f>
        <v>1288</v>
      </c>
      <c r="J1181" s="1">
        <f>IF(Query1[[#This Row],[ItemType]]="EVAP KIT UNIVERSAL",Query1[[#This Row],[OrderQty]]+J1180,J1180)</f>
        <v>583</v>
      </c>
      <c r="K1181" s="1">
        <f>Query1[[#This Row],[SF Running Total]]+Query1[[#This Row],[UNIV Running Total]]</f>
        <v>1871</v>
      </c>
      <c r="L1181" t="e">
        <f>VLOOKUP(Query1[[#This Row],[Description]],'kits to boards'!$B$2:$E$156,2,FALSE)</f>
        <v>#N/A</v>
      </c>
      <c r="M1181" t="e">
        <f>VLOOKUP(Query1[[#This Row],[Description]],'kits to boards'!$B$2:$E$156,3,FALSE)</f>
        <v>#N/A</v>
      </c>
      <c r="N1181" t="e">
        <f>VLOOKUP(Query1[[#This Row],[Description]],'kits to boards'!$B$2:$E$156,4,FALSE)</f>
        <v>#N/A</v>
      </c>
      <c r="O1181" t="e">
        <f>CONCATENATE(Query1[[#This Row],[Description]]," - ",Query1[[#This Row],[MB1]]," - ",Query1[[#This Row],[MB2]]," - ",Query1[[#This Row],[MB3]])</f>
        <v>#N/A</v>
      </c>
    </row>
    <row r="1182" spans="1:15" x14ac:dyDescent="0.25">
      <c r="A1182" s="1">
        <v>911934</v>
      </c>
      <c r="B1182" s="1" t="s">
        <v>152</v>
      </c>
      <c r="C1182" s="1" t="s">
        <v>153</v>
      </c>
      <c r="D1182" s="2">
        <v>44613.661880092593</v>
      </c>
      <c r="E1182" s="1" t="s">
        <v>8</v>
      </c>
      <c r="F1182" s="1">
        <v>1</v>
      </c>
      <c r="G1182" s="1">
        <v>0</v>
      </c>
      <c r="H1182" s="6">
        <f>INT(Query1[[#This Row],[EntryDateTime]])</f>
        <v>44613</v>
      </c>
      <c r="I1182" s="1">
        <f>IF(Query1[[#This Row],[ItemType]]="EVAP KIT SF GEN IV",Query1[[#This Row],[OrderQty]]+I1181,I1181)</f>
        <v>1289</v>
      </c>
      <c r="J1182" s="1">
        <f>IF(Query1[[#This Row],[ItemType]]="EVAP KIT UNIVERSAL",Query1[[#This Row],[OrderQty]]+J1181,J1181)</f>
        <v>583</v>
      </c>
      <c r="K1182" s="1">
        <f>Query1[[#This Row],[SF Running Total]]+Query1[[#This Row],[UNIV Running Total]]</f>
        <v>1872</v>
      </c>
      <c r="L1182">
        <f>VLOOKUP(Query1[[#This Row],[Description]],'kits to boards'!$B$2:$E$156,2,FALSE)</f>
        <v>830034</v>
      </c>
      <c r="M1182">
        <f>VLOOKUP(Query1[[#This Row],[Description]],'kits to boards'!$B$2:$E$156,3,FALSE)</f>
        <v>0</v>
      </c>
      <c r="N1182">
        <f>VLOOKUP(Query1[[#This Row],[Description]],'kits to boards'!$B$2:$E$156,4,FALSE)</f>
        <v>0</v>
      </c>
      <c r="O1182" t="str">
        <f>CONCATENATE(Query1[[#This Row],[Description]]," - ",Query1[[#This Row],[MB1]]," - ",Query1[[#This Row],[MB2]]," - ",Query1[[#This Row],[MB3]])</f>
        <v>EVAP KIT 64-67 GTO WO AC - 830034 - 0 - 0</v>
      </c>
    </row>
    <row r="1183" spans="1:15" x14ac:dyDescent="0.25">
      <c r="A1183" s="1">
        <v>911934</v>
      </c>
      <c r="B1183" s="1" t="s">
        <v>128</v>
      </c>
      <c r="C1183" s="1" t="s">
        <v>129</v>
      </c>
      <c r="D1183" s="2">
        <v>44613.661975428244</v>
      </c>
      <c r="E1183" s="1" t="s">
        <v>8</v>
      </c>
      <c r="F1183" s="1">
        <v>1</v>
      </c>
      <c r="G1183" s="1">
        <v>0</v>
      </c>
      <c r="H1183" s="6">
        <f>INT(Query1[[#This Row],[EntryDateTime]])</f>
        <v>44613</v>
      </c>
      <c r="I1183" s="1">
        <f>IF(Query1[[#This Row],[ItemType]]="EVAP KIT SF GEN IV",Query1[[#This Row],[OrderQty]]+I1182,I1182)</f>
        <v>1290</v>
      </c>
      <c r="J1183" s="1">
        <f>IF(Query1[[#This Row],[ItemType]]="EVAP KIT UNIVERSAL",Query1[[#This Row],[OrderQty]]+J1182,J1182)</f>
        <v>583</v>
      </c>
      <c r="K1183" s="1">
        <f>Query1[[#This Row],[SF Running Total]]+Query1[[#This Row],[UNIV Running Total]]</f>
        <v>1873</v>
      </c>
      <c r="L1183">
        <f>VLOOKUP(Query1[[#This Row],[Description]],'kits to boards'!$B$2:$E$156,2,FALSE)</f>
        <v>830036</v>
      </c>
      <c r="M1183">
        <f>VLOOKUP(Query1[[#This Row],[Description]],'kits to boards'!$B$2:$E$156,3,FALSE)</f>
        <v>830039</v>
      </c>
      <c r="N1183">
        <f>VLOOKUP(Query1[[#This Row],[Description]],'kits to boards'!$B$2:$E$156,4,FALSE)</f>
        <v>0</v>
      </c>
      <c r="O1183" t="str">
        <f>CONCATENATE(Query1[[#This Row],[Description]]," - ",Query1[[#This Row],[MB1]]," - ",Query1[[#This Row],[MB2]]," - ",Query1[[#This Row],[MB3]])</f>
        <v>EVAP KIT 63-66 VETTE WO AC - 830036 - 830039 - 0</v>
      </c>
    </row>
    <row r="1184" spans="1:15" x14ac:dyDescent="0.25">
      <c r="A1184" s="1">
        <v>911934</v>
      </c>
      <c r="B1184" s="1" t="s">
        <v>142</v>
      </c>
      <c r="C1184" s="1" t="s">
        <v>143</v>
      </c>
      <c r="D1184" s="2">
        <v>44613.662110613426</v>
      </c>
      <c r="E1184" s="1" t="s">
        <v>8</v>
      </c>
      <c r="F1184" s="1">
        <v>1</v>
      </c>
      <c r="G1184" s="1">
        <v>0</v>
      </c>
      <c r="H1184" s="6">
        <f>INT(Query1[[#This Row],[EntryDateTime]])</f>
        <v>44613</v>
      </c>
      <c r="I1184" s="1">
        <f>IF(Query1[[#This Row],[ItemType]]="EVAP KIT SF GEN IV",Query1[[#This Row],[OrderQty]]+I1183,I1183)</f>
        <v>1291</v>
      </c>
      <c r="J1184" s="1">
        <f>IF(Query1[[#This Row],[ItemType]]="EVAP KIT UNIVERSAL",Query1[[#This Row],[OrderQty]]+J1183,J1183)</f>
        <v>583</v>
      </c>
      <c r="K1184" s="1">
        <f>Query1[[#This Row],[SF Running Total]]+Query1[[#This Row],[UNIV Running Total]]</f>
        <v>1874</v>
      </c>
      <c r="L1184">
        <f>VLOOKUP(Query1[[#This Row],[Description]],'kits to boards'!$B$2:$E$156,2,FALSE)</f>
        <v>830052</v>
      </c>
      <c r="M1184">
        <f>VLOOKUP(Query1[[#This Row],[Description]],'kits to boards'!$B$2:$E$156,3,FALSE)</f>
        <v>0</v>
      </c>
      <c r="N1184">
        <f>VLOOKUP(Query1[[#This Row],[Description]],'kits to boards'!$B$2:$E$156,4,FALSE)</f>
        <v>0</v>
      </c>
      <c r="O1184" t="str">
        <f>CONCATENATE(Query1[[#This Row],[Description]]," - ",Query1[[#This Row],[MB1]]," - ",Query1[[#This Row],[MB2]]," - ",Query1[[#This Row],[MB3]])</f>
        <v>EVAP KIT 61-64 FORD F-100 - 830052 - 0 - 0</v>
      </c>
    </row>
    <row r="1185" spans="1:15" x14ac:dyDescent="0.25">
      <c r="A1185" s="1">
        <v>911934</v>
      </c>
      <c r="B1185" s="1" t="s">
        <v>90</v>
      </c>
      <c r="C1185" s="1" t="s">
        <v>91</v>
      </c>
      <c r="D1185" s="2">
        <v>44613.662231863425</v>
      </c>
      <c r="E1185" s="1" t="s">
        <v>8</v>
      </c>
      <c r="F1185" s="1">
        <v>1</v>
      </c>
      <c r="G1185" s="1">
        <v>0</v>
      </c>
      <c r="H1185" s="6">
        <f>INT(Query1[[#This Row],[EntryDateTime]])</f>
        <v>44613</v>
      </c>
      <c r="I1185" s="1">
        <f>IF(Query1[[#This Row],[ItemType]]="EVAP KIT SF GEN IV",Query1[[#This Row],[OrderQty]]+I1184,I1184)</f>
        <v>1292</v>
      </c>
      <c r="J1185" s="1">
        <f>IF(Query1[[#This Row],[ItemType]]="EVAP KIT UNIVERSAL",Query1[[#This Row],[OrderQty]]+J1184,J1184)</f>
        <v>583</v>
      </c>
      <c r="K1185" s="1">
        <f>Query1[[#This Row],[SF Running Total]]+Query1[[#This Row],[UNIV Running Total]]</f>
        <v>1875</v>
      </c>
      <c r="L1185">
        <f>VLOOKUP(Query1[[#This Row],[Description]],'kits to boards'!$B$2:$E$156,2,FALSE)</f>
        <v>830105</v>
      </c>
      <c r="M1185">
        <f>VLOOKUP(Query1[[#This Row],[Description]],'kits to boards'!$B$2:$E$156,3,FALSE)</f>
        <v>830106</v>
      </c>
      <c r="N1185">
        <f>VLOOKUP(Query1[[#This Row],[Description]],'kits to boards'!$B$2:$E$156,4,FALSE)</f>
        <v>0</v>
      </c>
      <c r="O1185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1186" spans="1:15" x14ac:dyDescent="0.25">
      <c r="A1186" s="1">
        <v>911936</v>
      </c>
      <c r="B1186" s="1" t="s">
        <v>168</v>
      </c>
      <c r="C1186" s="1" t="s">
        <v>169</v>
      </c>
      <c r="D1186" s="2">
        <v>44613.663221331015</v>
      </c>
      <c r="E1186" s="1" t="s">
        <v>8</v>
      </c>
      <c r="F1186" s="1">
        <v>1</v>
      </c>
      <c r="G1186" s="1">
        <v>0</v>
      </c>
      <c r="H1186" s="6">
        <f>INT(Query1[[#This Row],[EntryDateTime]])</f>
        <v>44613</v>
      </c>
      <c r="I1186" s="1">
        <f>IF(Query1[[#This Row],[ItemType]]="EVAP KIT SF GEN IV",Query1[[#This Row],[OrderQty]]+I1185,I1185)</f>
        <v>1293</v>
      </c>
      <c r="J1186" s="1">
        <f>IF(Query1[[#This Row],[ItemType]]="EVAP KIT UNIVERSAL",Query1[[#This Row],[OrderQty]]+J1185,J1185)</f>
        <v>583</v>
      </c>
      <c r="K1186" s="1">
        <f>Query1[[#This Row],[SF Running Total]]+Query1[[#This Row],[UNIV Running Total]]</f>
        <v>1876</v>
      </c>
      <c r="L1186">
        <f>VLOOKUP(Query1[[#This Row],[Description]],'kits to boards'!$B$2:$E$156,2,FALSE)</f>
        <v>830028</v>
      </c>
      <c r="M1186">
        <f>VLOOKUP(Query1[[#This Row],[Description]],'kits to boards'!$B$2:$E$156,3,FALSE)</f>
        <v>0</v>
      </c>
      <c r="N1186">
        <f>VLOOKUP(Query1[[#This Row],[Description]],'kits to boards'!$B$2:$E$156,4,FALSE)</f>
        <v>0</v>
      </c>
      <c r="O1186" t="str">
        <f>CONCATENATE(Query1[[#This Row],[Description]]," - ",Query1[[#This Row],[MB1]]," - ",Query1[[#This Row],[MB2]]," - ",Query1[[#This Row],[MB3]])</f>
        <v>EVAP KIT 55-59 CHEV P-UP WO AC W/STD  - 830028 - 0 - 0</v>
      </c>
    </row>
    <row r="1187" spans="1:15" x14ac:dyDescent="0.25">
      <c r="A1187" s="1">
        <v>911936</v>
      </c>
      <c r="B1187" s="1" t="s">
        <v>142</v>
      </c>
      <c r="C1187" s="1" t="s">
        <v>143</v>
      </c>
      <c r="D1187" s="2">
        <v>44613.663321493055</v>
      </c>
      <c r="E1187" s="1" t="s">
        <v>8</v>
      </c>
      <c r="F1187" s="1">
        <v>1</v>
      </c>
      <c r="G1187" s="1">
        <v>0</v>
      </c>
      <c r="H1187" s="6">
        <f>INT(Query1[[#This Row],[EntryDateTime]])</f>
        <v>44613</v>
      </c>
      <c r="I1187" s="1">
        <f>IF(Query1[[#This Row],[ItemType]]="EVAP KIT SF GEN IV",Query1[[#This Row],[OrderQty]]+I1186,I1186)</f>
        <v>1294</v>
      </c>
      <c r="J1187" s="1">
        <f>IF(Query1[[#This Row],[ItemType]]="EVAP KIT UNIVERSAL",Query1[[#This Row],[OrderQty]]+J1186,J1186)</f>
        <v>583</v>
      </c>
      <c r="K1187" s="1">
        <f>Query1[[#This Row],[SF Running Total]]+Query1[[#This Row],[UNIV Running Total]]</f>
        <v>1877</v>
      </c>
      <c r="L1187">
        <f>VLOOKUP(Query1[[#This Row],[Description]],'kits to boards'!$B$2:$E$156,2,FALSE)</f>
        <v>830052</v>
      </c>
      <c r="M1187">
        <f>VLOOKUP(Query1[[#This Row],[Description]],'kits to boards'!$B$2:$E$156,3,FALSE)</f>
        <v>0</v>
      </c>
      <c r="N1187">
        <f>VLOOKUP(Query1[[#This Row],[Description]],'kits to boards'!$B$2:$E$156,4,FALSE)</f>
        <v>0</v>
      </c>
      <c r="O1187" t="str">
        <f>CONCATENATE(Query1[[#This Row],[Description]]," - ",Query1[[#This Row],[MB1]]," - ",Query1[[#This Row],[MB2]]," - ",Query1[[#This Row],[MB3]])</f>
        <v>EVAP KIT 61-64 FORD F-100 - 830052 - 0 - 0</v>
      </c>
    </row>
    <row r="1188" spans="1:15" x14ac:dyDescent="0.25">
      <c r="A1188" s="1">
        <v>911940</v>
      </c>
      <c r="B1188" s="1" t="s">
        <v>102</v>
      </c>
      <c r="C1188" s="1" t="s">
        <v>103</v>
      </c>
      <c r="D1188" s="2">
        <v>44613.665819363428</v>
      </c>
      <c r="E1188" s="1" t="s">
        <v>8</v>
      </c>
      <c r="F1188" s="1">
        <v>1</v>
      </c>
      <c r="G1188" s="1">
        <v>0</v>
      </c>
      <c r="H1188" s="6">
        <f>INT(Query1[[#This Row],[EntryDateTime]])</f>
        <v>44613</v>
      </c>
      <c r="I1188" s="1">
        <f>IF(Query1[[#This Row],[ItemType]]="EVAP KIT SF GEN IV",Query1[[#This Row],[OrderQty]]+I1187,I1187)</f>
        <v>1295</v>
      </c>
      <c r="J1188" s="1">
        <f>IF(Query1[[#This Row],[ItemType]]="EVAP KIT UNIVERSAL",Query1[[#This Row],[OrderQty]]+J1187,J1187)</f>
        <v>583</v>
      </c>
      <c r="K1188" s="1">
        <f>Query1[[#This Row],[SF Running Total]]+Query1[[#This Row],[UNIV Running Total]]</f>
        <v>1878</v>
      </c>
      <c r="L1188">
        <f>VLOOKUP(Query1[[#This Row],[Description]],'kits to boards'!$B$2:$E$156,2,FALSE)</f>
        <v>830012</v>
      </c>
      <c r="M1188">
        <f>VLOOKUP(Query1[[#This Row],[Description]],'kits to boards'!$B$2:$E$156,3,FALSE)</f>
        <v>0</v>
      </c>
      <c r="N1188">
        <f>VLOOKUP(Query1[[#This Row],[Description]],'kits to boards'!$B$2:$E$156,4,FALSE)</f>
        <v>0</v>
      </c>
      <c r="O1188" t="str">
        <f>CONCATENATE(Query1[[#This Row],[Description]]," - ",Query1[[#This Row],[MB1]]," - ",Query1[[#This Row],[MB2]]," - ",Query1[[#This Row],[MB3]])</f>
        <v>EVAP KIT 69 CAMARO WO/AC - 830012 - 0 - 0</v>
      </c>
    </row>
    <row r="1189" spans="1:15" x14ac:dyDescent="0.25">
      <c r="A1189" s="1">
        <v>911939</v>
      </c>
      <c r="B1189" s="1" t="s">
        <v>148</v>
      </c>
      <c r="C1189" s="1" t="s">
        <v>149</v>
      </c>
      <c r="D1189" s="2">
        <v>44613.666022800928</v>
      </c>
      <c r="E1189" s="1" t="s">
        <v>8</v>
      </c>
      <c r="F1189" s="1">
        <v>1</v>
      </c>
      <c r="G1189" s="1">
        <v>0</v>
      </c>
      <c r="H1189" s="6">
        <f>INT(Query1[[#This Row],[EntryDateTime]])</f>
        <v>44613</v>
      </c>
      <c r="I1189" s="1">
        <f>IF(Query1[[#This Row],[ItemType]]="EVAP KIT SF GEN IV",Query1[[#This Row],[OrderQty]]+I1188,I1188)</f>
        <v>1296</v>
      </c>
      <c r="J1189" s="1">
        <f>IF(Query1[[#This Row],[ItemType]]="EVAP KIT UNIVERSAL",Query1[[#This Row],[OrderQty]]+J1188,J1188)</f>
        <v>583</v>
      </c>
      <c r="K1189" s="1">
        <f>Query1[[#This Row],[SF Running Total]]+Query1[[#This Row],[UNIV Running Total]]</f>
        <v>1879</v>
      </c>
      <c r="L1189">
        <f>VLOOKUP(Query1[[#This Row],[Description]],'kits to boards'!$B$2:$E$156,2,FALSE)</f>
        <v>830098</v>
      </c>
      <c r="M1189">
        <f>VLOOKUP(Query1[[#This Row],[Description]],'kits to boards'!$B$2:$E$156,3,FALSE)</f>
        <v>0</v>
      </c>
      <c r="N1189">
        <f>VLOOKUP(Query1[[#This Row],[Description]],'kits to boards'!$B$2:$E$156,4,FALSE)</f>
        <v>0</v>
      </c>
      <c r="O1189" t="str">
        <f>CONCATENATE(Query1[[#This Row],[Description]]," - ",Query1[[#This Row],[MB1]]," - ",Query1[[#This Row],[MB2]]," - ",Query1[[#This Row],[MB3]])</f>
        <v>EVAP KIT 77 VETTE W/AC - 830098 - 0 - 0</v>
      </c>
    </row>
    <row r="1190" spans="1:15" x14ac:dyDescent="0.25">
      <c r="A1190" s="1">
        <v>911947</v>
      </c>
      <c r="B1190" s="1" t="s">
        <v>46</v>
      </c>
      <c r="C1190" s="1" t="s">
        <v>47</v>
      </c>
      <c r="D1190" s="2">
        <v>44613.67598915509</v>
      </c>
      <c r="E1190" s="1" t="s">
        <v>8</v>
      </c>
      <c r="F1190" s="1">
        <v>1</v>
      </c>
      <c r="G1190" s="1">
        <v>0</v>
      </c>
      <c r="H1190" s="6">
        <f>INT(Query1[[#This Row],[EntryDateTime]])</f>
        <v>44613</v>
      </c>
      <c r="I1190" s="1">
        <f>IF(Query1[[#This Row],[ItemType]]="EVAP KIT SF GEN IV",Query1[[#This Row],[OrderQty]]+I1189,I1189)</f>
        <v>1297</v>
      </c>
      <c r="J1190" s="1">
        <f>IF(Query1[[#This Row],[ItemType]]="EVAP KIT UNIVERSAL",Query1[[#This Row],[OrderQty]]+J1189,J1189)</f>
        <v>583</v>
      </c>
      <c r="K1190" s="1">
        <f>Query1[[#This Row],[SF Running Total]]+Query1[[#This Row],[UNIV Running Total]]</f>
        <v>1880</v>
      </c>
      <c r="L1190">
        <f>VLOOKUP(Query1[[#This Row],[Description]],'kits to boards'!$B$2:$E$156,2,FALSE)</f>
        <v>830018</v>
      </c>
      <c r="M1190">
        <f>VLOOKUP(Query1[[#This Row],[Description]],'kits to boards'!$B$2:$E$156,3,FALSE)</f>
        <v>0</v>
      </c>
      <c r="N1190">
        <f>VLOOKUP(Query1[[#This Row],[Description]],'kits to boards'!$B$2:$E$156,4,FALSE)</f>
        <v>0</v>
      </c>
      <c r="O1190" t="str">
        <f>CONCATENATE(Query1[[#This Row],[Description]]," - ",Query1[[#This Row],[MB1]]," - ",Query1[[#This Row],[MB2]]," - ",Query1[[#This Row],[MB3]])</f>
        <v>EVAP KIT 68-72 FORD P-UP F-100 - 830018 - 0 - 0</v>
      </c>
    </row>
    <row r="1191" spans="1:15" x14ac:dyDescent="0.25">
      <c r="A1191" s="1">
        <v>911948</v>
      </c>
      <c r="B1191" s="1" t="s">
        <v>106</v>
      </c>
      <c r="C1191" s="1" t="s">
        <v>107</v>
      </c>
      <c r="D1191" s="2">
        <v>44613.679313275461</v>
      </c>
      <c r="E1191" s="1" t="s">
        <v>8</v>
      </c>
      <c r="F1191" s="1">
        <v>1</v>
      </c>
      <c r="G1191" s="1">
        <v>0</v>
      </c>
      <c r="H1191" s="6">
        <f>INT(Query1[[#This Row],[EntryDateTime]])</f>
        <v>44613</v>
      </c>
      <c r="I1191" s="1">
        <f>IF(Query1[[#This Row],[ItemType]]="EVAP KIT SF GEN IV",Query1[[#This Row],[OrderQty]]+I1190,I1190)</f>
        <v>1298</v>
      </c>
      <c r="J1191" s="1">
        <f>IF(Query1[[#This Row],[ItemType]]="EVAP KIT UNIVERSAL",Query1[[#This Row],[OrderQty]]+J1190,J1190)</f>
        <v>583</v>
      </c>
      <c r="K1191" s="1">
        <f>Query1[[#This Row],[SF Running Total]]+Query1[[#This Row],[UNIV Running Total]]</f>
        <v>1881</v>
      </c>
      <c r="L1191">
        <f>VLOOKUP(Query1[[#This Row],[Description]],'kits to boards'!$B$2:$E$156,2,FALSE)</f>
        <v>830028</v>
      </c>
      <c r="M1191">
        <f>VLOOKUP(Query1[[#This Row],[Description]],'kits to boards'!$B$2:$E$156,3,FALSE)</f>
        <v>0</v>
      </c>
      <c r="N1191">
        <f>VLOOKUP(Query1[[#This Row],[Description]],'kits to boards'!$B$2:$E$156,4,FALSE)</f>
        <v>0</v>
      </c>
      <c r="O1191" t="str">
        <f>CONCATENATE(Query1[[#This Row],[Description]]," - ",Query1[[#This Row],[MB1]]," - ",Query1[[#This Row],[MB2]]," - ",Query1[[#This Row],[MB3]])</f>
        <v>EVAP KIT 55-59 CHEV P-UP WO AC W/DELX - 830028 - 0 - 0</v>
      </c>
    </row>
    <row r="1192" spans="1:15" x14ac:dyDescent="0.25">
      <c r="A1192" s="1">
        <v>911949</v>
      </c>
      <c r="B1192" s="1" t="s">
        <v>98</v>
      </c>
      <c r="C1192" s="1" t="s">
        <v>99</v>
      </c>
      <c r="D1192" s="2">
        <v>44613.680060914354</v>
      </c>
      <c r="E1192" s="1" t="s">
        <v>11</v>
      </c>
      <c r="F1192" s="1">
        <v>1</v>
      </c>
      <c r="G1192" s="1">
        <v>0</v>
      </c>
      <c r="H1192" s="6">
        <f>INT(Query1[[#This Row],[EntryDateTime]])</f>
        <v>44613</v>
      </c>
      <c r="I1192" s="1">
        <f>IF(Query1[[#This Row],[ItemType]]="EVAP KIT SF GEN IV",Query1[[#This Row],[OrderQty]]+I1191,I1191)</f>
        <v>1298</v>
      </c>
      <c r="J1192" s="1">
        <f>IF(Query1[[#This Row],[ItemType]]="EVAP KIT UNIVERSAL",Query1[[#This Row],[OrderQty]]+J1191,J1191)</f>
        <v>584</v>
      </c>
      <c r="K1192" s="1">
        <f>Query1[[#This Row],[SF Running Total]]+Query1[[#This Row],[UNIV Running Total]]</f>
        <v>1882</v>
      </c>
      <c r="L1192">
        <f>VLOOKUP(Query1[[#This Row],[Description]],'kits to boards'!$B$2:$E$156,2,FALSE)</f>
        <v>830099</v>
      </c>
      <c r="M1192">
        <f>VLOOKUP(Query1[[#This Row],[Description]],'kits to boards'!$B$2:$E$156,3,FALSE)</f>
        <v>0</v>
      </c>
      <c r="N1192">
        <f>VLOOKUP(Query1[[#This Row],[Description]],'kits to boards'!$B$2:$E$156,4,FALSE)</f>
        <v>0</v>
      </c>
      <c r="O1192" t="str">
        <f>CONCATENATE(Query1[[#This Row],[Description]]," - ",Query1[[#This Row],[MB1]]," - ",Query1[[#This Row],[MB2]]," - ",Query1[[#This Row],[MB3]])</f>
        <v>MINI GEN II W/DEF - 830099 - 0 - 0</v>
      </c>
    </row>
    <row r="1193" spans="1:15" x14ac:dyDescent="0.25">
      <c r="A1193" s="1">
        <v>911957</v>
      </c>
      <c r="B1193" s="1" t="s">
        <v>198</v>
      </c>
      <c r="C1193" s="1" t="s">
        <v>199</v>
      </c>
      <c r="D1193" s="2">
        <v>44613.691677395836</v>
      </c>
      <c r="E1193" s="1" t="s">
        <v>8</v>
      </c>
      <c r="F1193" s="1">
        <v>1</v>
      </c>
      <c r="G1193" s="1">
        <v>0</v>
      </c>
      <c r="H1193" s="6">
        <f>INT(Query1[[#This Row],[EntryDateTime]])</f>
        <v>44613</v>
      </c>
      <c r="I1193" s="1">
        <f>IF(Query1[[#This Row],[ItemType]]="EVAP KIT SF GEN IV",Query1[[#This Row],[OrderQty]]+I1192,I1192)</f>
        <v>1299</v>
      </c>
      <c r="J1193" s="1">
        <f>IF(Query1[[#This Row],[ItemType]]="EVAP KIT UNIVERSAL",Query1[[#This Row],[OrderQty]]+J1192,J1192)</f>
        <v>584</v>
      </c>
      <c r="K1193" s="1">
        <f>Query1[[#This Row],[SF Running Total]]+Query1[[#This Row],[UNIV Running Total]]</f>
        <v>1883</v>
      </c>
      <c r="L1193">
        <f>VLOOKUP(Query1[[#This Row],[Description]],'kits to boards'!$B$2:$E$156,2,FALSE)</f>
        <v>830042</v>
      </c>
      <c r="M1193">
        <f>VLOOKUP(Query1[[#This Row],[Description]],'kits to boards'!$B$2:$E$156,3,FALSE)</f>
        <v>0</v>
      </c>
      <c r="N1193">
        <f>VLOOKUP(Query1[[#This Row],[Description]],'kits to boards'!$B$2:$E$156,4,FALSE)</f>
        <v>0</v>
      </c>
      <c r="O1193" t="str">
        <f>CONCATENATE(Query1[[#This Row],[Description]]," - ",Query1[[#This Row],[MB1]]," - ",Query1[[#This Row],[MB2]]," - ",Query1[[#This Row],[MB3]])</f>
        <v>EVAP KIT 68-83 TOYOTA FJ40 ULTRA HIGH PERF - 830042 - 0 - 0</v>
      </c>
    </row>
    <row r="1194" spans="1:15" x14ac:dyDescent="0.25">
      <c r="A1194" s="1">
        <v>911962</v>
      </c>
      <c r="B1194" s="1" t="s">
        <v>502</v>
      </c>
      <c r="C1194" s="1" t="s">
        <v>503</v>
      </c>
      <c r="D1194" s="2">
        <v>44613.698523298612</v>
      </c>
      <c r="E1194" s="1" t="s">
        <v>677</v>
      </c>
      <c r="F1194" s="1">
        <v>1</v>
      </c>
      <c r="G1194" s="1">
        <v>0</v>
      </c>
      <c r="H1194" s="6">
        <f>INT(Query1[[#This Row],[EntryDateTime]])</f>
        <v>44613</v>
      </c>
      <c r="I1194" s="1">
        <f>IF(Query1[[#This Row],[ItemType]]="EVAP KIT SF GEN IV",Query1[[#This Row],[OrderQty]]+I1193,I1193)</f>
        <v>1299</v>
      </c>
      <c r="J1194" s="1">
        <f>IF(Query1[[#This Row],[ItemType]]="EVAP KIT UNIVERSAL",Query1[[#This Row],[OrderQty]]+J1193,J1193)</f>
        <v>584</v>
      </c>
      <c r="K1194" s="1">
        <f>Query1[[#This Row],[SF Running Total]]+Query1[[#This Row],[UNIV Running Total]]</f>
        <v>1883</v>
      </c>
      <c r="L1194" t="e">
        <f>VLOOKUP(Query1[[#This Row],[Description]],'kits to boards'!$B$2:$E$156,2,FALSE)</f>
        <v>#N/A</v>
      </c>
      <c r="M1194" t="e">
        <f>VLOOKUP(Query1[[#This Row],[Description]],'kits to boards'!$B$2:$E$156,3,FALSE)</f>
        <v>#N/A</v>
      </c>
      <c r="N1194" t="e">
        <f>VLOOKUP(Query1[[#This Row],[Description]],'kits to boards'!$B$2:$E$156,4,FALSE)</f>
        <v>#N/A</v>
      </c>
      <c r="O1194" t="e">
        <f>CONCATENATE(Query1[[#This Row],[Description]]," - ",Query1[[#This Row],[MB1]]," - ",Query1[[#This Row],[MB2]]," - ",Query1[[#This Row],[MB3]])</f>
        <v>#N/A</v>
      </c>
    </row>
    <row r="1195" spans="1:15" x14ac:dyDescent="0.25">
      <c r="A1195" s="1">
        <v>911965</v>
      </c>
      <c r="B1195" s="1" t="s">
        <v>54</v>
      </c>
      <c r="C1195" s="1" t="s">
        <v>55</v>
      </c>
      <c r="D1195" s="2">
        <v>44613.703275034721</v>
      </c>
      <c r="E1195" s="1" t="s">
        <v>8</v>
      </c>
      <c r="F1195" s="1">
        <v>1</v>
      </c>
      <c r="G1195" s="1">
        <v>0</v>
      </c>
      <c r="H1195" s="6">
        <f>INT(Query1[[#This Row],[EntryDateTime]])</f>
        <v>44613</v>
      </c>
      <c r="I1195" s="1">
        <f>IF(Query1[[#This Row],[ItemType]]="EVAP KIT SF GEN IV",Query1[[#This Row],[OrderQty]]+I1194,I1194)</f>
        <v>1300</v>
      </c>
      <c r="J1195" s="1">
        <f>IF(Query1[[#This Row],[ItemType]]="EVAP KIT UNIVERSAL",Query1[[#This Row],[OrderQty]]+J1194,J1194)</f>
        <v>584</v>
      </c>
      <c r="K1195" s="1">
        <f>Query1[[#This Row],[SF Running Total]]+Query1[[#This Row],[UNIV Running Total]]</f>
        <v>1884</v>
      </c>
      <c r="L1195">
        <f>VLOOKUP(Query1[[#This Row],[Description]],'kits to boards'!$B$2:$E$156,2,FALSE)</f>
        <v>830037</v>
      </c>
      <c r="M1195">
        <f>VLOOKUP(Query1[[#This Row],[Description]],'kits to boards'!$B$2:$E$156,3,FALSE)</f>
        <v>0</v>
      </c>
      <c r="N1195">
        <f>VLOOKUP(Query1[[#This Row],[Description]],'kits to boards'!$B$2:$E$156,4,FALSE)</f>
        <v>0</v>
      </c>
      <c r="O1195" t="str">
        <f>CONCATENATE(Query1[[#This Row],[Description]]," - ",Query1[[#This Row],[MB1]]," - ",Query1[[#This Row],[MB2]]," - ",Query1[[#This Row],[MB3]])</f>
        <v>EVAP KIT 70-81 FIREBIRD W/AC - 830037 - 0 - 0</v>
      </c>
    </row>
    <row r="1196" spans="1:15" x14ac:dyDescent="0.25">
      <c r="A1196" s="1">
        <v>911971</v>
      </c>
      <c r="B1196" s="1" t="s">
        <v>56</v>
      </c>
      <c r="C1196" s="1" t="s">
        <v>57</v>
      </c>
      <c r="D1196" s="2">
        <v>44613.714606828704</v>
      </c>
      <c r="E1196" s="1" t="s">
        <v>8</v>
      </c>
      <c r="F1196" s="1">
        <v>1</v>
      </c>
      <c r="G1196" s="1">
        <v>0</v>
      </c>
      <c r="H1196" s="6">
        <f>INT(Query1[[#This Row],[EntryDateTime]])</f>
        <v>44613</v>
      </c>
      <c r="I1196" s="1">
        <f>IF(Query1[[#This Row],[ItemType]]="EVAP KIT SF GEN IV",Query1[[#This Row],[OrderQty]]+I1195,I1195)</f>
        <v>1301</v>
      </c>
      <c r="J1196" s="1">
        <f>IF(Query1[[#This Row],[ItemType]]="EVAP KIT UNIVERSAL",Query1[[#This Row],[OrderQty]]+J1195,J1195)</f>
        <v>584</v>
      </c>
      <c r="K1196" s="1">
        <f>Query1[[#This Row],[SF Running Total]]+Query1[[#This Row],[UNIV Running Total]]</f>
        <v>1885</v>
      </c>
      <c r="L1196">
        <f>VLOOKUP(Query1[[#This Row],[Description]],'kits to boards'!$B$2:$E$156,2,FALSE)</f>
        <v>830011</v>
      </c>
      <c r="M1196">
        <f>VLOOKUP(Query1[[#This Row],[Description]],'kits to boards'!$B$2:$E$156,3,FALSE)</f>
        <v>0</v>
      </c>
      <c r="N1196">
        <f>VLOOKUP(Query1[[#This Row],[Description]],'kits to boards'!$B$2:$E$156,4,FALSE)</f>
        <v>0</v>
      </c>
      <c r="O1196" t="str">
        <f>CONCATENATE(Query1[[#This Row],[Description]]," - ",Query1[[#This Row],[MB1]]," - ",Query1[[#This Row],[MB2]]," - ",Query1[[#This Row],[MB3]])</f>
        <v>EVAP KIT 70-72 CHEVELLE W/AC - 830011 - 0 - 0</v>
      </c>
    </row>
    <row r="1197" spans="1:15" x14ac:dyDescent="0.25">
      <c r="A1197" s="1">
        <v>911973</v>
      </c>
      <c r="B1197" s="1" t="s">
        <v>54</v>
      </c>
      <c r="C1197" s="1" t="s">
        <v>55</v>
      </c>
      <c r="D1197" s="2">
        <v>44613.71776550926</v>
      </c>
      <c r="E1197" s="1" t="s">
        <v>8</v>
      </c>
      <c r="F1197" s="1">
        <v>1</v>
      </c>
      <c r="G1197" s="1">
        <v>0</v>
      </c>
      <c r="H1197" s="6">
        <f>INT(Query1[[#This Row],[EntryDateTime]])</f>
        <v>44613</v>
      </c>
      <c r="I1197" s="1">
        <f>IF(Query1[[#This Row],[ItemType]]="EVAP KIT SF GEN IV",Query1[[#This Row],[OrderQty]]+I1196,I1196)</f>
        <v>1302</v>
      </c>
      <c r="J1197" s="1">
        <f>IF(Query1[[#This Row],[ItemType]]="EVAP KIT UNIVERSAL",Query1[[#This Row],[OrderQty]]+J1196,J1196)</f>
        <v>584</v>
      </c>
      <c r="K1197" s="1">
        <f>Query1[[#This Row],[SF Running Total]]+Query1[[#This Row],[UNIV Running Total]]</f>
        <v>1886</v>
      </c>
      <c r="L1197">
        <f>VLOOKUP(Query1[[#This Row],[Description]],'kits to boards'!$B$2:$E$156,2,FALSE)</f>
        <v>830037</v>
      </c>
      <c r="M1197">
        <f>VLOOKUP(Query1[[#This Row],[Description]],'kits to boards'!$B$2:$E$156,3,FALSE)</f>
        <v>0</v>
      </c>
      <c r="N1197">
        <f>VLOOKUP(Query1[[#This Row],[Description]],'kits to boards'!$B$2:$E$156,4,FALSE)</f>
        <v>0</v>
      </c>
      <c r="O1197" t="str">
        <f>CONCATENATE(Query1[[#This Row],[Description]]," - ",Query1[[#This Row],[MB1]]," - ",Query1[[#This Row],[MB2]]," - ",Query1[[#This Row],[MB3]])</f>
        <v>EVAP KIT 70-81 FIREBIRD W/AC - 830037 - 0 - 0</v>
      </c>
    </row>
    <row r="1198" spans="1:15" x14ac:dyDescent="0.25">
      <c r="A1198" s="1">
        <v>911956</v>
      </c>
      <c r="B1198" s="1" t="s">
        <v>22</v>
      </c>
      <c r="C1198" s="1" t="s">
        <v>23</v>
      </c>
      <c r="D1198" s="2">
        <v>44614.315605011572</v>
      </c>
      <c r="E1198" s="1" t="s">
        <v>8</v>
      </c>
      <c r="F1198" s="1">
        <v>1</v>
      </c>
      <c r="G1198" s="1">
        <v>0</v>
      </c>
      <c r="H1198" s="6">
        <f>INT(Query1[[#This Row],[EntryDateTime]])</f>
        <v>44614</v>
      </c>
      <c r="I1198" s="1">
        <f>IF(Query1[[#This Row],[ItemType]]="EVAP KIT SF GEN IV",Query1[[#This Row],[OrderQty]]+I1197,I1197)</f>
        <v>1303</v>
      </c>
      <c r="J1198" s="1">
        <f>IF(Query1[[#This Row],[ItemType]]="EVAP KIT UNIVERSAL",Query1[[#This Row],[OrderQty]]+J1197,J1197)</f>
        <v>584</v>
      </c>
      <c r="K1198" s="1">
        <f>Query1[[#This Row],[SF Running Total]]+Query1[[#This Row],[UNIV Running Total]]</f>
        <v>1887</v>
      </c>
      <c r="L1198">
        <f>VLOOKUP(Query1[[#This Row],[Description]],'kits to boards'!$B$2:$E$156,2,FALSE)</f>
        <v>830083</v>
      </c>
      <c r="M1198">
        <f>VLOOKUP(Query1[[#This Row],[Description]],'kits to boards'!$B$2:$E$156,3,FALSE)</f>
        <v>0</v>
      </c>
      <c r="N1198">
        <f>VLOOKUP(Query1[[#This Row],[Description]],'kits to boards'!$B$2:$E$156,4,FALSE)</f>
        <v>0</v>
      </c>
      <c r="O1198" t="str">
        <f>CONCATENATE(Query1[[#This Row],[Description]]," - ",Query1[[#This Row],[MB1]]," - ",Query1[[#This Row],[MB2]]," - ",Query1[[#This Row],[MB3]])</f>
        <v>GEN IV MAGNUM EVAP KIT - 830083 - 0 - 0</v>
      </c>
    </row>
    <row r="1199" spans="1:15" x14ac:dyDescent="0.25">
      <c r="A1199" s="1">
        <v>911988</v>
      </c>
      <c r="B1199" s="1" t="s">
        <v>259</v>
      </c>
      <c r="C1199" s="1" t="s">
        <v>260</v>
      </c>
      <c r="D1199" s="2">
        <v>44614.323827743057</v>
      </c>
      <c r="E1199" s="1" t="s">
        <v>8</v>
      </c>
      <c r="F1199" s="1">
        <v>1</v>
      </c>
      <c r="G1199" s="1">
        <v>0</v>
      </c>
      <c r="H1199" s="6">
        <f>INT(Query1[[#This Row],[EntryDateTime]])</f>
        <v>44614</v>
      </c>
      <c r="I1199" s="1">
        <f>IF(Query1[[#This Row],[ItemType]]="EVAP KIT SF GEN IV",Query1[[#This Row],[OrderQty]]+I1198,I1198)</f>
        <v>1304</v>
      </c>
      <c r="J1199" s="1">
        <f>IF(Query1[[#This Row],[ItemType]]="EVAP KIT UNIVERSAL",Query1[[#This Row],[OrderQty]]+J1198,J1198)</f>
        <v>584</v>
      </c>
      <c r="K1199" s="1">
        <f>Query1[[#This Row],[SF Running Total]]+Query1[[#This Row],[UNIV Running Total]]</f>
        <v>1888</v>
      </c>
      <c r="L1199">
        <f>VLOOKUP(Query1[[#This Row],[Description]],'kits to boards'!$B$2:$E$156,2,FALSE)</f>
        <v>830025</v>
      </c>
      <c r="M1199">
        <f>VLOOKUP(Query1[[#This Row],[Description]],'kits to boards'!$B$2:$E$156,3,FALSE)</f>
        <v>0</v>
      </c>
      <c r="N1199">
        <f>VLOOKUP(Query1[[#This Row],[Description]],'kits to boards'!$B$2:$E$156,4,FALSE)</f>
        <v>0</v>
      </c>
      <c r="O1199" t="str">
        <f>CONCATENATE(Query1[[#This Row],[Description]]," - ",Query1[[#This Row],[MB1]]," - ",Query1[[#This Row],[MB2]]," - ",Query1[[#This Row],[MB3]])</f>
        <v>EVAP KIT 68 CUTLASS WO AC - 830025 - 0 - 0</v>
      </c>
    </row>
    <row r="1200" spans="1:15" x14ac:dyDescent="0.25">
      <c r="A1200" s="1">
        <v>911739</v>
      </c>
      <c r="B1200" s="1" t="s">
        <v>62</v>
      </c>
      <c r="C1200" s="1" t="s">
        <v>63</v>
      </c>
      <c r="D1200" s="2">
        <v>44614.340942361108</v>
      </c>
      <c r="E1200" s="1" t="s">
        <v>8</v>
      </c>
      <c r="F1200" s="1">
        <v>2</v>
      </c>
      <c r="G1200" s="1">
        <v>0</v>
      </c>
      <c r="H1200" s="6">
        <f>INT(Query1[[#This Row],[EntryDateTime]])</f>
        <v>44614</v>
      </c>
      <c r="I1200" s="1">
        <f>IF(Query1[[#This Row],[ItemType]]="EVAP KIT SF GEN IV",Query1[[#This Row],[OrderQty]]+I1199,I1199)</f>
        <v>1306</v>
      </c>
      <c r="J1200" s="1">
        <f>IF(Query1[[#This Row],[ItemType]]="EVAP KIT UNIVERSAL",Query1[[#This Row],[OrderQty]]+J1199,J1199)</f>
        <v>584</v>
      </c>
      <c r="K1200" s="1">
        <f>Query1[[#This Row],[SF Running Total]]+Query1[[#This Row],[UNIV Running Total]]</f>
        <v>1890</v>
      </c>
      <c r="L1200">
        <f>VLOOKUP(Query1[[#This Row],[Description]],'kits to boards'!$B$2:$E$156,2,FALSE)</f>
        <v>830079</v>
      </c>
      <c r="M1200">
        <f>VLOOKUP(Query1[[#This Row],[Description]],'kits to boards'!$B$2:$E$156,3,FALSE)</f>
        <v>830046</v>
      </c>
      <c r="N1200">
        <f>VLOOKUP(Query1[[#This Row],[Description]],'kits to boards'!$B$2:$E$156,4,FALSE)</f>
        <v>0</v>
      </c>
      <c r="O1200" t="str">
        <f>CONCATENATE(Query1[[#This Row],[Description]]," - ",Query1[[#This Row],[MB1]]," - ",Query1[[#This Row],[MB2]]," - ",Query1[[#This Row],[MB3]])</f>
        <v>EVAP KIT 67-68 MUSTANG/COUGAR WO AC - 830079 - 830046 - 0</v>
      </c>
    </row>
    <row r="1201" spans="1:15" x14ac:dyDescent="0.25">
      <c r="A1201" s="1">
        <v>911888</v>
      </c>
      <c r="B1201" s="1" t="s">
        <v>6</v>
      </c>
      <c r="C1201" s="1" t="s">
        <v>7</v>
      </c>
      <c r="D1201" s="2">
        <v>44614.341859918983</v>
      </c>
      <c r="E1201" s="1" t="s">
        <v>8</v>
      </c>
      <c r="F1201" s="1">
        <v>1</v>
      </c>
      <c r="G1201" s="1">
        <v>0</v>
      </c>
      <c r="H1201" s="6">
        <f>INT(Query1[[#This Row],[EntryDateTime]])</f>
        <v>44614</v>
      </c>
      <c r="I1201" s="1">
        <f>IF(Query1[[#This Row],[ItemType]]="EVAP KIT SF GEN IV",Query1[[#This Row],[OrderQty]]+I1200,I1200)</f>
        <v>1307</v>
      </c>
      <c r="J1201" s="1">
        <f>IF(Query1[[#This Row],[ItemType]]="EVAP KIT UNIVERSAL",Query1[[#This Row],[OrderQty]]+J1200,J1200)</f>
        <v>584</v>
      </c>
      <c r="K1201" s="1">
        <f>Query1[[#This Row],[SF Running Total]]+Query1[[#This Row],[UNIV Running Total]]</f>
        <v>1891</v>
      </c>
      <c r="L1201">
        <f>VLOOKUP(Query1[[#This Row],[Description]],'kits to boards'!$B$2:$E$156,2,FALSE)</f>
        <v>830132</v>
      </c>
      <c r="M1201">
        <f>VLOOKUP(Query1[[#This Row],[Description]],'kits to boards'!$B$2:$E$156,3,FALSE)</f>
        <v>0</v>
      </c>
      <c r="N1201">
        <f>VLOOKUP(Query1[[#This Row],[Description]],'kits to boards'!$B$2:$E$156,4,FALSE)</f>
        <v>0</v>
      </c>
      <c r="O1201" t="str">
        <f>CONCATENATE(Query1[[#This Row],[Description]]," - ",Query1[[#This Row],[MB1]]," - ",Query1[[#This Row],[MB2]]," - ",Query1[[#This Row],[MB3]])</f>
        <v>EVAP KIT 82-88 MONTE CARLO/EL CAMINO - 830132 - 0 - 0</v>
      </c>
    </row>
    <row r="1202" spans="1:15" x14ac:dyDescent="0.25">
      <c r="A1202" s="1">
        <v>912007</v>
      </c>
      <c r="B1202" s="1" t="s">
        <v>30</v>
      </c>
      <c r="C1202" s="1" t="s">
        <v>31</v>
      </c>
      <c r="D1202" s="2">
        <v>44614.347872719911</v>
      </c>
      <c r="E1202" s="1" t="s">
        <v>8</v>
      </c>
      <c r="F1202" s="1">
        <v>1</v>
      </c>
      <c r="G1202" s="1">
        <v>0</v>
      </c>
      <c r="H1202" s="6">
        <f>INT(Query1[[#This Row],[EntryDateTime]])</f>
        <v>44614</v>
      </c>
      <c r="I1202" s="1">
        <f>IF(Query1[[#This Row],[ItemType]]="EVAP KIT SF GEN IV",Query1[[#This Row],[OrderQty]]+I1201,I1201)</f>
        <v>1308</v>
      </c>
      <c r="J1202" s="1">
        <f>IF(Query1[[#This Row],[ItemType]]="EVAP KIT UNIVERSAL",Query1[[#This Row],[OrderQty]]+J1201,J1201)</f>
        <v>584</v>
      </c>
      <c r="K1202" s="1">
        <f>Query1[[#This Row],[SF Running Total]]+Query1[[#This Row],[UNIV Running Total]]</f>
        <v>1892</v>
      </c>
      <c r="L1202">
        <f>VLOOKUP(Query1[[#This Row],[Description]],'kits to boards'!$B$2:$E$156,2,FALSE)</f>
        <v>830054</v>
      </c>
      <c r="M1202">
        <f>VLOOKUP(Query1[[#This Row],[Description]],'kits to boards'!$B$2:$E$156,3,FALSE)</f>
        <v>0</v>
      </c>
      <c r="N1202">
        <f>VLOOKUP(Query1[[#This Row],[Description]],'kits to boards'!$B$2:$E$156,4,FALSE)</f>
        <v>0</v>
      </c>
      <c r="O1202" t="str">
        <f>CONCATENATE(Query1[[#This Row],[Description]]," - ",Query1[[#This Row],[MB1]]," - ",Query1[[#This Row],[MB2]]," - ",Query1[[#This Row],[MB3]])</f>
        <v>EVAP KIT 55-56 CHEVY 4-VENT - 830054 - 0 - 0</v>
      </c>
    </row>
    <row r="1203" spans="1:15" x14ac:dyDescent="0.25">
      <c r="A1203" s="1">
        <v>912010</v>
      </c>
      <c r="B1203" s="1" t="s">
        <v>54</v>
      </c>
      <c r="C1203" s="1" t="s">
        <v>55</v>
      </c>
      <c r="D1203" s="2">
        <v>44614.353671099539</v>
      </c>
      <c r="E1203" s="1" t="s">
        <v>8</v>
      </c>
      <c r="F1203" s="1">
        <v>2</v>
      </c>
      <c r="G1203" s="1">
        <v>0</v>
      </c>
      <c r="H1203" s="6">
        <f>INT(Query1[[#This Row],[EntryDateTime]])</f>
        <v>44614</v>
      </c>
      <c r="I1203" s="1">
        <f>IF(Query1[[#This Row],[ItemType]]="EVAP KIT SF GEN IV",Query1[[#This Row],[OrderQty]]+I1202,I1202)</f>
        <v>1310</v>
      </c>
      <c r="J1203" s="1">
        <f>IF(Query1[[#This Row],[ItemType]]="EVAP KIT UNIVERSAL",Query1[[#This Row],[OrderQty]]+J1202,J1202)</f>
        <v>584</v>
      </c>
      <c r="K1203" s="1">
        <f>Query1[[#This Row],[SF Running Total]]+Query1[[#This Row],[UNIV Running Total]]</f>
        <v>1894</v>
      </c>
      <c r="L1203">
        <f>VLOOKUP(Query1[[#This Row],[Description]],'kits to boards'!$B$2:$E$156,2,FALSE)</f>
        <v>830037</v>
      </c>
      <c r="M1203">
        <f>VLOOKUP(Query1[[#This Row],[Description]],'kits to boards'!$B$2:$E$156,3,FALSE)</f>
        <v>0</v>
      </c>
      <c r="N1203">
        <f>VLOOKUP(Query1[[#This Row],[Description]],'kits to boards'!$B$2:$E$156,4,FALSE)</f>
        <v>0</v>
      </c>
      <c r="O1203" t="str">
        <f>CONCATENATE(Query1[[#This Row],[Description]]," - ",Query1[[#This Row],[MB1]]," - ",Query1[[#This Row],[MB2]]," - ",Query1[[#This Row],[MB3]])</f>
        <v>EVAP KIT 70-81 FIREBIRD W/AC - 830037 - 0 - 0</v>
      </c>
    </row>
    <row r="1204" spans="1:15" x14ac:dyDescent="0.25">
      <c r="A1204" s="1">
        <v>912012</v>
      </c>
      <c r="B1204" s="1" t="s">
        <v>32</v>
      </c>
      <c r="C1204" s="1" t="s">
        <v>33</v>
      </c>
      <c r="D1204" s="2">
        <v>44614.355122951391</v>
      </c>
      <c r="E1204" s="1" t="s">
        <v>8</v>
      </c>
      <c r="F1204" s="1">
        <v>1</v>
      </c>
      <c r="G1204" s="1">
        <v>0</v>
      </c>
      <c r="H1204" s="6">
        <f>INT(Query1[[#This Row],[EntryDateTime]])</f>
        <v>44614</v>
      </c>
      <c r="I1204" s="1">
        <f>IF(Query1[[#This Row],[ItemType]]="EVAP KIT SF GEN IV",Query1[[#This Row],[OrderQty]]+I1203,I1203)</f>
        <v>1311</v>
      </c>
      <c r="J1204" s="1">
        <f>IF(Query1[[#This Row],[ItemType]]="EVAP KIT UNIVERSAL",Query1[[#This Row],[OrderQty]]+J1203,J1203)</f>
        <v>584</v>
      </c>
      <c r="K1204" s="1">
        <f>Query1[[#This Row],[SF Running Total]]+Query1[[#This Row],[UNIV Running Total]]</f>
        <v>1895</v>
      </c>
      <c r="L1204">
        <f>VLOOKUP(Query1[[#This Row],[Description]],'kits to boards'!$B$2:$E$156,2,FALSE)</f>
        <v>830016</v>
      </c>
      <c r="M1204">
        <f>VLOOKUP(Query1[[#This Row],[Description]],'kits to boards'!$B$2:$E$156,3,FALSE)</f>
        <v>0</v>
      </c>
      <c r="N1204">
        <f>VLOOKUP(Query1[[#This Row],[Description]],'kits to boards'!$B$2:$E$156,4,FALSE)</f>
        <v>0</v>
      </c>
      <c r="O1204" t="str">
        <f>CONCATENATE(Query1[[#This Row],[Description]]," - ",Query1[[#This Row],[MB1]]," - ",Query1[[#This Row],[MB2]]," - ",Query1[[#This Row],[MB3]])</f>
        <v>EVAP KIT 67-68 CAMARO/FIREBIRD W/AC - 830016 - 0 - 0</v>
      </c>
    </row>
    <row r="1205" spans="1:15" x14ac:dyDescent="0.25">
      <c r="A1205" s="1">
        <v>912016</v>
      </c>
      <c r="B1205" s="1" t="s">
        <v>126</v>
      </c>
      <c r="C1205" s="1" t="s">
        <v>127</v>
      </c>
      <c r="D1205" s="2">
        <v>44614.360060497682</v>
      </c>
      <c r="E1205" s="1" t="s">
        <v>8</v>
      </c>
      <c r="F1205" s="1">
        <v>1</v>
      </c>
      <c r="G1205" s="1">
        <v>0</v>
      </c>
      <c r="H1205" s="6">
        <f>INT(Query1[[#This Row],[EntryDateTime]])</f>
        <v>44614</v>
      </c>
      <c r="I1205" s="1">
        <f>IF(Query1[[#This Row],[ItemType]]="EVAP KIT SF GEN IV",Query1[[#This Row],[OrderQty]]+I1204,I1204)</f>
        <v>1312</v>
      </c>
      <c r="J1205" s="1">
        <f>IF(Query1[[#This Row],[ItemType]]="EVAP KIT UNIVERSAL",Query1[[#This Row],[OrderQty]]+J1204,J1204)</f>
        <v>584</v>
      </c>
      <c r="K1205" s="1">
        <f>Query1[[#This Row],[SF Running Total]]+Query1[[#This Row],[UNIV Running Total]]</f>
        <v>1896</v>
      </c>
      <c r="L1205">
        <f>VLOOKUP(Query1[[#This Row],[Description]],'kits to boards'!$B$2:$E$156,2,FALSE)</f>
        <v>830080</v>
      </c>
      <c r="M1205">
        <f>VLOOKUP(Query1[[#This Row],[Description]],'kits to boards'!$B$2:$E$156,3,FALSE)</f>
        <v>0</v>
      </c>
      <c r="N1205">
        <f>VLOOKUP(Query1[[#This Row],[Description]],'kits to boards'!$B$2:$E$156,4,FALSE)</f>
        <v>0</v>
      </c>
      <c r="O1205" t="str">
        <f>CONCATENATE(Query1[[#This Row],[Description]]," - ",Query1[[#This Row],[MB1]]," - ",Query1[[#This Row],[MB2]]," - ",Query1[[#This Row],[MB3]])</f>
        <v>EVAP KIT 69-70 MUSTANG WO AC  - 830080 - 0 - 0</v>
      </c>
    </row>
    <row r="1206" spans="1:15" x14ac:dyDescent="0.25">
      <c r="A1206" s="1">
        <v>912017</v>
      </c>
      <c r="B1206" s="1" t="s">
        <v>176</v>
      </c>
      <c r="C1206" s="1" t="s">
        <v>177</v>
      </c>
      <c r="D1206" s="2">
        <v>44614.361314467591</v>
      </c>
      <c r="E1206" s="1" t="s">
        <v>8</v>
      </c>
      <c r="F1206" s="1">
        <v>1</v>
      </c>
      <c r="G1206" s="1">
        <v>0</v>
      </c>
      <c r="H1206" s="6">
        <f>INT(Query1[[#This Row],[EntryDateTime]])</f>
        <v>44614</v>
      </c>
      <c r="I1206" s="1">
        <f>IF(Query1[[#This Row],[ItemType]]="EVAP KIT SF GEN IV",Query1[[#This Row],[OrderQty]]+I1205,I1205)</f>
        <v>1313</v>
      </c>
      <c r="J1206" s="1">
        <f>IF(Query1[[#This Row],[ItemType]]="EVAP KIT UNIVERSAL",Query1[[#This Row],[OrderQty]]+J1205,J1205)</f>
        <v>584</v>
      </c>
      <c r="K1206" s="1">
        <f>Query1[[#This Row],[SF Running Total]]+Query1[[#This Row],[UNIV Running Total]]</f>
        <v>1897</v>
      </c>
      <c r="L1206">
        <f>VLOOKUP(Query1[[#This Row],[Description]],'kits to boards'!$B$2:$E$156,2,FALSE)</f>
        <v>830125</v>
      </c>
      <c r="M1206">
        <f>VLOOKUP(Query1[[#This Row],[Description]],'kits to boards'!$B$2:$E$156,3,FALSE)</f>
        <v>0</v>
      </c>
      <c r="N1206">
        <f>VLOOKUP(Query1[[#This Row],[Description]],'kits to boards'!$B$2:$E$156,4,FALSE)</f>
        <v>0</v>
      </c>
      <c r="O1206" t="str">
        <f>CONCATENATE(Query1[[#This Row],[Description]]," - ",Query1[[#This Row],[MB1]]," - ",Query1[[#This Row],[MB2]]," - ",Query1[[#This Row],[MB3]])</f>
        <v>EVAP KIT 65-66 IMPALA W/AC - 830125 - 0 - 0</v>
      </c>
    </row>
    <row r="1207" spans="1:15" x14ac:dyDescent="0.25">
      <c r="A1207" s="1">
        <v>912032</v>
      </c>
      <c r="B1207" s="1" t="s">
        <v>86</v>
      </c>
      <c r="C1207" s="1" t="s">
        <v>87</v>
      </c>
      <c r="D1207" s="2">
        <v>44614.386528553237</v>
      </c>
      <c r="E1207" s="1" t="s">
        <v>8</v>
      </c>
      <c r="F1207" s="1">
        <v>1</v>
      </c>
      <c r="G1207" s="1">
        <v>0</v>
      </c>
      <c r="H1207" s="6">
        <f>INT(Query1[[#This Row],[EntryDateTime]])</f>
        <v>44614</v>
      </c>
      <c r="I1207" s="1">
        <f>IF(Query1[[#This Row],[ItemType]]="EVAP KIT SF GEN IV",Query1[[#This Row],[OrderQty]]+I1206,I1206)</f>
        <v>1314</v>
      </c>
      <c r="J1207" s="1">
        <f>IF(Query1[[#This Row],[ItemType]]="EVAP KIT UNIVERSAL",Query1[[#This Row],[OrderQty]]+J1206,J1206)</f>
        <v>584</v>
      </c>
      <c r="K1207" s="1">
        <f>Query1[[#This Row],[SF Running Total]]+Query1[[#This Row],[UNIV Running Total]]</f>
        <v>1898</v>
      </c>
      <c r="L1207">
        <f>VLOOKUP(Query1[[#This Row],[Description]],'kits to boards'!$B$2:$E$156,2,FALSE)</f>
        <v>830048</v>
      </c>
      <c r="M1207">
        <f>VLOOKUP(Query1[[#This Row],[Description]],'kits to boards'!$B$2:$E$156,3,FALSE)</f>
        <v>0</v>
      </c>
      <c r="N1207">
        <f>VLOOKUP(Query1[[#This Row],[Description]],'kits to boards'!$B$2:$E$156,4,FALSE)</f>
        <v>0</v>
      </c>
      <c r="O1207" t="str">
        <f>CONCATENATE(Query1[[#This Row],[Description]]," - ",Query1[[#This Row],[MB1]]," - ",Query1[[#This Row],[MB2]]," - ",Query1[[#This Row],[MB3]])</f>
        <v>EVAP KIT 66-67 NOVA - 830048 - 0 - 0</v>
      </c>
    </row>
    <row r="1208" spans="1:15" x14ac:dyDescent="0.25">
      <c r="A1208" s="1">
        <v>912033</v>
      </c>
      <c r="B1208" s="1" t="s">
        <v>224</v>
      </c>
      <c r="C1208" s="1" t="s">
        <v>225</v>
      </c>
      <c r="D1208" s="2">
        <v>44614.392816053238</v>
      </c>
      <c r="E1208" s="1" t="s">
        <v>8</v>
      </c>
      <c r="F1208" s="1">
        <v>1</v>
      </c>
      <c r="G1208" s="1">
        <v>0</v>
      </c>
      <c r="H1208" s="6">
        <f>INT(Query1[[#This Row],[EntryDateTime]])</f>
        <v>44614</v>
      </c>
      <c r="I1208" s="1">
        <f>IF(Query1[[#This Row],[ItemType]]="EVAP KIT SF GEN IV",Query1[[#This Row],[OrderQty]]+I1207,I1207)</f>
        <v>1315</v>
      </c>
      <c r="J1208" s="1">
        <f>IF(Query1[[#This Row],[ItemType]]="EVAP KIT UNIVERSAL",Query1[[#This Row],[OrderQty]]+J1207,J1207)</f>
        <v>584</v>
      </c>
      <c r="K1208" s="1">
        <f>Query1[[#This Row],[SF Running Total]]+Query1[[#This Row],[UNIV Running Total]]</f>
        <v>1899</v>
      </c>
      <c r="L1208">
        <f>VLOOKUP(Query1[[#This Row],[Description]],'kits to boards'!$B$2:$E$156,2,FALSE)</f>
        <v>830124</v>
      </c>
      <c r="M1208">
        <f>VLOOKUP(Query1[[#This Row],[Description]],'kits to boards'!$B$2:$E$156,3,FALSE)</f>
        <v>0</v>
      </c>
      <c r="N1208">
        <f>VLOOKUP(Query1[[#This Row],[Description]],'kits to boards'!$B$2:$E$156,4,FALSE)</f>
        <v>0</v>
      </c>
      <c r="O1208" t="str">
        <f>CONCATENATE(Query1[[#This Row],[Description]]," - ",Query1[[#This Row],[MB1]]," - ",Query1[[#This Row],[MB2]]," - ",Query1[[#This Row],[MB3]])</f>
        <v>EVAP KIT 70-72 GTO WO/AC - 830124 - 0 - 0</v>
      </c>
    </row>
    <row r="1209" spans="1:15" x14ac:dyDescent="0.25">
      <c r="A1209" s="1">
        <v>912040</v>
      </c>
      <c r="B1209" s="1" t="s">
        <v>176</v>
      </c>
      <c r="C1209" s="1" t="s">
        <v>177</v>
      </c>
      <c r="D1209" s="2">
        <v>44614.406129016206</v>
      </c>
      <c r="E1209" s="1" t="s">
        <v>8</v>
      </c>
      <c r="F1209" s="1">
        <v>1</v>
      </c>
      <c r="G1209" s="1">
        <v>0</v>
      </c>
      <c r="H1209" s="6">
        <f>INT(Query1[[#This Row],[EntryDateTime]])</f>
        <v>44614</v>
      </c>
      <c r="I1209" s="1">
        <f>IF(Query1[[#This Row],[ItemType]]="EVAP KIT SF GEN IV",Query1[[#This Row],[OrderQty]]+I1208,I1208)</f>
        <v>1316</v>
      </c>
      <c r="J1209" s="1">
        <f>IF(Query1[[#This Row],[ItemType]]="EVAP KIT UNIVERSAL",Query1[[#This Row],[OrderQty]]+J1208,J1208)</f>
        <v>584</v>
      </c>
      <c r="K1209" s="1">
        <f>Query1[[#This Row],[SF Running Total]]+Query1[[#This Row],[UNIV Running Total]]</f>
        <v>1900</v>
      </c>
      <c r="L1209">
        <f>VLOOKUP(Query1[[#This Row],[Description]],'kits to boards'!$B$2:$E$156,2,FALSE)</f>
        <v>830125</v>
      </c>
      <c r="M1209">
        <f>VLOOKUP(Query1[[#This Row],[Description]],'kits to boards'!$B$2:$E$156,3,FALSE)</f>
        <v>0</v>
      </c>
      <c r="N1209">
        <f>VLOOKUP(Query1[[#This Row],[Description]],'kits to boards'!$B$2:$E$156,4,FALSE)</f>
        <v>0</v>
      </c>
      <c r="O1209" t="str">
        <f>CONCATENATE(Query1[[#This Row],[Description]]," - ",Query1[[#This Row],[MB1]]," - ",Query1[[#This Row],[MB2]]," - ",Query1[[#This Row],[MB3]])</f>
        <v>EVAP KIT 65-66 IMPALA W/AC - 830125 - 0 - 0</v>
      </c>
    </row>
    <row r="1210" spans="1:15" x14ac:dyDescent="0.25">
      <c r="A1210" s="1">
        <v>912042</v>
      </c>
      <c r="B1210" s="1" t="s">
        <v>20</v>
      </c>
      <c r="C1210" s="1" t="s">
        <v>21</v>
      </c>
      <c r="D1210" s="2">
        <v>44614.410543518519</v>
      </c>
      <c r="E1210" s="1" t="s">
        <v>11</v>
      </c>
      <c r="F1210" s="1">
        <v>1</v>
      </c>
      <c r="G1210" s="1">
        <v>0</v>
      </c>
      <c r="H1210" s="6">
        <f>INT(Query1[[#This Row],[EntryDateTime]])</f>
        <v>44614</v>
      </c>
      <c r="I1210" s="1">
        <f>IF(Query1[[#This Row],[ItemType]]="EVAP KIT SF GEN IV",Query1[[#This Row],[OrderQty]]+I1209,I1209)</f>
        <v>1316</v>
      </c>
      <c r="J1210" s="1">
        <f>IF(Query1[[#This Row],[ItemType]]="EVAP KIT UNIVERSAL",Query1[[#This Row],[OrderQty]]+J1209,J1209)</f>
        <v>585</v>
      </c>
      <c r="K1210" s="1">
        <f>Query1[[#This Row],[SF Running Total]]+Query1[[#This Row],[UNIV Running Total]]</f>
        <v>1901</v>
      </c>
      <c r="L1210">
        <f>VLOOKUP(Query1[[#This Row],[Description]],'kits to boards'!$B$2:$E$156,2,FALSE)</f>
        <v>830102</v>
      </c>
      <c r="M1210">
        <f>VLOOKUP(Query1[[#This Row],[Description]],'kits to boards'!$B$2:$E$156,3,FALSE)</f>
        <v>0</v>
      </c>
      <c r="N1210">
        <f>VLOOKUP(Query1[[#This Row],[Description]],'kits to boards'!$B$2:$E$156,4,FALSE)</f>
        <v>0</v>
      </c>
      <c r="O1210" t="str">
        <f>CONCATENATE(Query1[[#This Row],[Description]]," - ",Query1[[#This Row],[MB1]]," - ",Query1[[#This Row],[MB2]]," - ",Query1[[#This Row],[MB3]])</f>
        <v>SUPER GEN II W/DEF - 830102 - 0 - 0</v>
      </c>
    </row>
    <row r="1211" spans="1:15" x14ac:dyDescent="0.25">
      <c r="A1211" s="1">
        <v>911771</v>
      </c>
      <c r="B1211" s="1" t="s">
        <v>62</v>
      </c>
      <c r="C1211" s="1" t="s">
        <v>63</v>
      </c>
      <c r="D1211" s="2">
        <v>44614.413375694443</v>
      </c>
      <c r="E1211" s="1" t="s">
        <v>8</v>
      </c>
      <c r="F1211" s="1">
        <v>1</v>
      </c>
      <c r="G1211" s="1">
        <v>0</v>
      </c>
      <c r="H1211" s="6">
        <f>INT(Query1[[#This Row],[EntryDateTime]])</f>
        <v>44614</v>
      </c>
      <c r="I1211" s="1">
        <f>IF(Query1[[#This Row],[ItemType]]="EVAP KIT SF GEN IV",Query1[[#This Row],[OrderQty]]+I1210,I1210)</f>
        <v>1317</v>
      </c>
      <c r="J1211" s="1">
        <f>IF(Query1[[#This Row],[ItemType]]="EVAP KIT UNIVERSAL",Query1[[#This Row],[OrderQty]]+J1210,J1210)</f>
        <v>585</v>
      </c>
      <c r="K1211" s="1">
        <f>Query1[[#This Row],[SF Running Total]]+Query1[[#This Row],[UNIV Running Total]]</f>
        <v>1902</v>
      </c>
      <c r="L1211">
        <f>VLOOKUP(Query1[[#This Row],[Description]],'kits to boards'!$B$2:$E$156,2,FALSE)</f>
        <v>830079</v>
      </c>
      <c r="M1211">
        <f>VLOOKUP(Query1[[#This Row],[Description]],'kits to boards'!$B$2:$E$156,3,FALSE)</f>
        <v>830046</v>
      </c>
      <c r="N1211">
        <f>VLOOKUP(Query1[[#This Row],[Description]],'kits to boards'!$B$2:$E$156,4,FALSE)</f>
        <v>0</v>
      </c>
      <c r="O1211" t="str">
        <f>CONCATENATE(Query1[[#This Row],[Description]]," - ",Query1[[#This Row],[MB1]]," - ",Query1[[#This Row],[MB2]]," - ",Query1[[#This Row],[MB3]])</f>
        <v>EVAP KIT 67-68 MUSTANG/COUGAR WO AC - 830079 - 830046 - 0</v>
      </c>
    </row>
    <row r="1212" spans="1:15" x14ac:dyDescent="0.25">
      <c r="A1212" s="1">
        <v>911999</v>
      </c>
      <c r="B1212" s="1" t="s">
        <v>26</v>
      </c>
      <c r="C1212" s="1" t="s">
        <v>27</v>
      </c>
      <c r="D1212" s="2">
        <v>44614.415541087961</v>
      </c>
      <c r="E1212" s="1" t="s">
        <v>8</v>
      </c>
      <c r="F1212" s="1">
        <v>1</v>
      </c>
      <c r="G1212" s="1">
        <v>0</v>
      </c>
      <c r="H1212" s="6">
        <f>INT(Query1[[#This Row],[EntryDateTime]])</f>
        <v>44614</v>
      </c>
      <c r="I1212" s="1">
        <f>IF(Query1[[#This Row],[ItemType]]="EVAP KIT SF GEN IV",Query1[[#This Row],[OrderQty]]+I1211,I1211)</f>
        <v>1318</v>
      </c>
      <c r="J1212" s="1">
        <f>IF(Query1[[#This Row],[ItemType]]="EVAP KIT UNIVERSAL",Query1[[#This Row],[OrderQty]]+J1211,J1211)</f>
        <v>585</v>
      </c>
      <c r="K1212" s="1">
        <f>Query1[[#This Row],[SF Running Total]]+Query1[[#This Row],[UNIV Running Total]]</f>
        <v>1903</v>
      </c>
      <c r="L1212">
        <f>VLOOKUP(Query1[[#This Row],[Description]],'kits to boards'!$B$2:$E$156,2,FALSE)</f>
        <v>830013</v>
      </c>
      <c r="M1212">
        <f>VLOOKUP(Query1[[#This Row],[Description]],'kits to boards'!$B$2:$E$156,3,FALSE)</f>
        <v>0</v>
      </c>
      <c r="N1212">
        <f>VLOOKUP(Query1[[#This Row],[Description]],'kits to boards'!$B$2:$E$156,4,FALSE)</f>
        <v>0</v>
      </c>
      <c r="O1212" t="str">
        <f>CONCATENATE(Query1[[#This Row],[Description]]," - ",Query1[[#This Row],[MB1]]," - ",Query1[[#This Row],[MB2]]," - ",Query1[[#This Row],[MB3]])</f>
        <v>EVAP KIT 67-72 CHEV P-UP W/AC - 830013 - 0 - 0</v>
      </c>
    </row>
    <row r="1213" spans="1:15" x14ac:dyDescent="0.25">
      <c r="A1213" s="1">
        <v>912047</v>
      </c>
      <c r="B1213" s="1" t="s">
        <v>26</v>
      </c>
      <c r="C1213" s="1" t="s">
        <v>27</v>
      </c>
      <c r="D1213" s="2">
        <v>44614.417613576392</v>
      </c>
      <c r="E1213" s="1" t="s">
        <v>8</v>
      </c>
      <c r="F1213" s="1">
        <v>1</v>
      </c>
      <c r="G1213" s="1">
        <v>0</v>
      </c>
      <c r="H1213" s="6">
        <f>INT(Query1[[#This Row],[EntryDateTime]])</f>
        <v>44614</v>
      </c>
      <c r="I1213" s="1">
        <f>IF(Query1[[#This Row],[ItemType]]="EVAP KIT SF GEN IV",Query1[[#This Row],[OrderQty]]+I1212,I1212)</f>
        <v>1319</v>
      </c>
      <c r="J1213" s="1">
        <f>IF(Query1[[#This Row],[ItemType]]="EVAP KIT UNIVERSAL",Query1[[#This Row],[OrderQty]]+J1212,J1212)</f>
        <v>585</v>
      </c>
      <c r="K1213" s="1">
        <f>Query1[[#This Row],[SF Running Total]]+Query1[[#This Row],[UNIV Running Total]]</f>
        <v>1904</v>
      </c>
      <c r="L1213">
        <f>VLOOKUP(Query1[[#This Row],[Description]],'kits to boards'!$B$2:$E$156,2,FALSE)</f>
        <v>830013</v>
      </c>
      <c r="M1213">
        <f>VLOOKUP(Query1[[#This Row],[Description]],'kits to boards'!$B$2:$E$156,3,FALSE)</f>
        <v>0</v>
      </c>
      <c r="N1213">
        <f>VLOOKUP(Query1[[#This Row],[Description]],'kits to boards'!$B$2:$E$156,4,FALSE)</f>
        <v>0</v>
      </c>
      <c r="O1213" t="str">
        <f>CONCATENATE(Query1[[#This Row],[Description]]," - ",Query1[[#This Row],[MB1]]," - ",Query1[[#This Row],[MB2]]," - ",Query1[[#This Row],[MB3]])</f>
        <v>EVAP KIT 67-72 CHEV P-UP W/AC - 830013 - 0 - 0</v>
      </c>
    </row>
    <row r="1214" spans="1:15" x14ac:dyDescent="0.25">
      <c r="A1214" s="1">
        <v>912042</v>
      </c>
      <c r="B1214" s="1" t="s">
        <v>52</v>
      </c>
      <c r="C1214" s="1" t="s">
        <v>53</v>
      </c>
      <c r="D1214" s="2">
        <v>44614.419221064818</v>
      </c>
      <c r="E1214" s="1" t="s">
        <v>8</v>
      </c>
      <c r="F1214" s="1">
        <v>1</v>
      </c>
      <c r="G1214" s="1">
        <v>0</v>
      </c>
      <c r="H1214" s="6">
        <f>INT(Query1[[#This Row],[EntryDateTime]])</f>
        <v>44614</v>
      </c>
      <c r="I1214" s="1">
        <f>IF(Query1[[#This Row],[ItemType]]="EVAP KIT SF GEN IV",Query1[[#This Row],[OrderQty]]+I1213,I1213)</f>
        <v>1320</v>
      </c>
      <c r="J1214" s="1">
        <f>IF(Query1[[#This Row],[ItemType]]="EVAP KIT UNIVERSAL",Query1[[#This Row],[OrderQty]]+J1213,J1213)</f>
        <v>585</v>
      </c>
      <c r="K1214" s="1">
        <f>Query1[[#This Row],[SF Running Total]]+Query1[[#This Row],[UNIV Running Total]]</f>
        <v>1905</v>
      </c>
      <c r="L1214">
        <f>VLOOKUP(Query1[[#This Row],[Description]],'kits to boards'!$B$2:$E$156,2,FALSE)</f>
        <v>830017</v>
      </c>
      <c r="M1214">
        <f>VLOOKUP(Query1[[#This Row],[Description]],'kits to boards'!$B$2:$E$156,3,FALSE)</f>
        <v>830119</v>
      </c>
      <c r="N1214">
        <f>VLOOKUP(Query1[[#This Row],[Description]],'kits to boards'!$B$2:$E$156,4,FALSE)</f>
        <v>830120</v>
      </c>
      <c r="O1214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1215" spans="1:15" x14ac:dyDescent="0.25">
      <c r="A1215" s="1">
        <v>912042</v>
      </c>
      <c r="B1215" s="1" t="s">
        <v>60</v>
      </c>
      <c r="C1215" s="1" t="s">
        <v>61</v>
      </c>
      <c r="D1215" s="2">
        <v>44614.420238078703</v>
      </c>
      <c r="E1215" s="1" t="s">
        <v>8</v>
      </c>
      <c r="F1215" s="1">
        <v>1</v>
      </c>
      <c r="G1215" s="1">
        <v>0</v>
      </c>
      <c r="H1215" s="6">
        <f>INT(Query1[[#This Row],[EntryDateTime]])</f>
        <v>44614</v>
      </c>
      <c r="I1215" s="1">
        <f>IF(Query1[[#This Row],[ItemType]]="EVAP KIT SF GEN IV",Query1[[#This Row],[OrderQty]]+I1214,I1214)</f>
        <v>1321</v>
      </c>
      <c r="J1215" s="1">
        <f>IF(Query1[[#This Row],[ItemType]]="EVAP KIT UNIVERSAL",Query1[[#This Row],[OrderQty]]+J1214,J1214)</f>
        <v>585</v>
      </c>
      <c r="K1215" s="1">
        <f>Query1[[#This Row],[SF Running Total]]+Query1[[#This Row],[UNIV Running Total]]</f>
        <v>1906</v>
      </c>
      <c r="L1215">
        <f>VLOOKUP(Query1[[#This Row],[Description]],'kits to boards'!$B$2:$E$156,2,FALSE)</f>
        <v>830062</v>
      </c>
      <c r="M1215">
        <f>VLOOKUP(Query1[[#This Row],[Description]],'kits to boards'!$B$2:$E$156,3,FALSE)</f>
        <v>0</v>
      </c>
      <c r="N1215">
        <f>VLOOKUP(Query1[[#This Row],[Description]],'kits to boards'!$B$2:$E$156,4,FALSE)</f>
        <v>0</v>
      </c>
      <c r="O1215" t="str">
        <f>CONCATENATE(Query1[[#This Row],[Description]]," - ",Query1[[#This Row],[MB1]]," - ",Query1[[#This Row],[MB2]]," - ",Query1[[#This Row],[MB3]])</f>
        <v>EVAP KIT 68-69 CHEVELLE WO AC - 830062 - 0 - 0</v>
      </c>
    </row>
    <row r="1216" spans="1:15" x14ac:dyDescent="0.25">
      <c r="A1216" s="1">
        <v>912042</v>
      </c>
      <c r="B1216" s="1" t="s">
        <v>30</v>
      </c>
      <c r="C1216" s="1" t="s">
        <v>31</v>
      </c>
      <c r="D1216" s="2">
        <v>44614.421023298608</v>
      </c>
      <c r="E1216" s="1" t="s">
        <v>8</v>
      </c>
      <c r="F1216" s="1">
        <v>1</v>
      </c>
      <c r="G1216" s="1">
        <v>0</v>
      </c>
      <c r="H1216" s="6">
        <f>INT(Query1[[#This Row],[EntryDateTime]])</f>
        <v>44614</v>
      </c>
      <c r="I1216" s="1">
        <f>IF(Query1[[#This Row],[ItemType]]="EVAP KIT SF GEN IV",Query1[[#This Row],[OrderQty]]+I1215,I1215)</f>
        <v>1322</v>
      </c>
      <c r="J1216" s="1">
        <f>IF(Query1[[#This Row],[ItemType]]="EVAP KIT UNIVERSAL",Query1[[#This Row],[OrderQty]]+J1215,J1215)</f>
        <v>585</v>
      </c>
      <c r="K1216" s="1">
        <f>Query1[[#This Row],[SF Running Total]]+Query1[[#This Row],[UNIV Running Total]]</f>
        <v>1907</v>
      </c>
      <c r="L1216">
        <f>VLOOKUP(Query1[[#This Row],[Description]],'kits to boards'!$B$2:$E$156,2,FALSE)</f>
        <v>830054</v>
      </c>
      <c r="M1216">
        <f>VLOOKUP(Query1[[#This Row],[Description]],'kits to boards'!$B$2:$E$156,3,FALSE)</f>
        <v>0</v>
      </c>
      <c r="N1216">
        <f>VLOOKUP(Query1[[#This Row],[Description]],'kits to boards'!$B$2:$E$156,4,FALSE)</f>
        <v>0</v>
      </c>
      <c r="O1216" t="str">
        <f>CONCATENATE(Query1[[#This Row],[Description]]," - ",Query1[[#This Row],[MB1]]," - ",Query1[[#This Row],[MB2]]," - ",Query1[[#This Row],[MB3]])</f>
        <v>EVAP KIT 55-56 CHEVY 4-VENT - 830054 - 0 - 0</v>
      </c>
    </row>
    <row r="1217" spans="1:15" x14ac:dyDescent="0.25">
      <c r="A1217" s="1">
        <v>912042</v>
      </c>
      <c r="B1217" s="1" t="s">
        <v>96</v>
      </c>
      <c r="C1217" s="1" t="s">
        <v>97</v>
      </c>
      <c r="D1217" s="2">
        <v>44614.421359178239</v>
      </c>
      <c r="E1217" s="1" t="s">
        <v>8</v>
      </c>
      <c r="F1217" s="1">
        <v>1</v>
      </c>
      <c r="G1217" s="1">
        <v>0</v>
      </c>
      <c r="H1217" s="6">
        <f>INT(Query1[[#This Row],[EntryDateTime]])</f>
        <v>44614</v>
      </c>
      <c r="I1217" s="1">
        <f>IF(Query1[[#This Row],[ItemType]]="EVAP KIT SF GEN IV",Query1[[#This Row],[OrderQty]]+I1216,I1216)</f>
        <v>1323</v>
      </c>
      <c r="J1217" s="1">
        <f>IF(Query1[[#This Row],[ItemType]]="EVAP KIT UNIVERSAL",Query1[[#This Row],[OrderQty]]+J1216,J1216)</f>
        <v>585</v>
      </c>
      <c r="K1217" s="1">
        <f>Query1[[#This Row],[SF Running Total]]+Query1[[#This Row],[UNIV Running Total]]</f>
        <v>1908</v>
      </c>
      <c r="L1217">
        <f>VLOOKUP(Query1[[#This Row],[Description]],'kits to boards'!$B$2:$E$156,2,FALSE)</f>
        <v>830004</v>
      </c>
      <c r="M1217">
        <f>VLOOKUP(Query1[[#This Row],[Description]],'kits to boards'!$B$2:$E$156,3,FALSE)</f>
        <v>0</v>
      </c>
      <c r="N1217">
        <f>VLOOKUP(Query1[[#This Row],[Description]],'kits to boards'!$B$2:$E$156,4,FALSE)</f>
        <v>0</v>
      </c>
      <c r="O1217" t="str">
        <f>CONCATENATE(Query1[[#This Row],[Description]]," - ",Query1[[#This Row],[MB1]]," - ",Query1[[#This Row],[MB2]]," - ",Query1[[#This Row],[MB3]])</f>
        <v>EVAP KIT 81-87 CHEV P-UP W/AC - 830004 - 0 - 0</v>
      </c>
    </row>
    <row r="1218" spans="1:15" x14ac:dyDescent="0.25">
      <c r="A1218" s="1">
        <v>911867</v>
      </c>
      <c r="B1218" s="1" t="s">
        <v>32</v>
      </c>
      <c r="C1218" s="1" t="s">
        <v>33</v>
      </c>
      <c r="D1218" s="2">
        <v>44614.421510995373</v>
      </c>
      <c r="E1218" s="1" t="s">
        <v>8</v>
      </c>
      <c r="F1218" s="1">
        <v>1</v>
      </c>
      <c r="G1218" s="1">
        <v>0</v>
      </c>
      <c r="H1218" s="6">
        <f>INT(Query1[[#This Row],[EntryDateTime]])</f>
        <v>44614</v>
      </c>
      <c r="I1218" s="1">
        <f>IF(Query1[[#This Row],[ItemType]]="EVAP KIT SF GEN IV",Query1[[#This Row],[OrderQty]]+I1217,I1217)</f>
        <v>1324</v>
      </c>
      <c r="J1218" s="1">
        <f>IF(Query1[[#This Row],[ItemType]]="EVAP KIT UNIVERSAL",Query1[[#This Row],[OrderQty]]+J1217,J1217)</f>
        <v>585</v>
      </c>
      <c r="K1218" s="1">
        <f>Query1[[#This Row],[SF Running Total]]+Query1[[#This Row],[UNIV Running Total]]</f>
        <v>1909</v>
      </c>
      <c r="L1218">
        <f>VLOOKUP(Query1[[#This Row],[Description]],'kits to boards'!$B$2:$E$156,2,FALSE)</f>
        <v>830016</v>
      </c>
      <c r="M1218">
        <f>VLOOKUP(Query1[[#This Row],[Description]],'kits to boards'!$B$2:$E$156,3,FALSE)</f>
        <v>0</v>
      </c>
      <c r="N1218">
        <f>VLOOKUP(Query1[[#This Row],[Description]],'kits to boards'!$B$2:$E$156,4,FALSE)</f>
        <v>0</v>
      </c>
      <c r="O1218" t="str">
        <f>CONCATENATE(Query1[[#This Row],[Description]]," - ",Query1[[#This Row],[MB1]]," - ",Query1[[#This Row],[MB2]]," - ",Query1[[#This Row],[MB3]])</f>
        <v>EVAP KIT 67-68 CAMARO/FIREBIRD W/AC - 830016 - 0 - 0</v>
      </c>
    </row>
    <row r="1219" spans="1:15" x14ac:dyDescent="0.25">
      <c r="A1219" s="1">
        <v>912042</v>
      </c>
      <c r="B1219" s="1" t="s">
        <v>36</v>
      </c>
      <c r="C1219" s="1" t="s">
        <v>37</v>
      </c>
      <c r="D1219" s="2">
        <v>44614.422635648145</v>
      </c>
      <c r="E1219" s="1" t="s">
        <v>8</v>
      </c>
      <c r="F1219" s="1">
        <v>1</v>
      </c>
      <c r="G1219" s="1">
        <v>0</v>
      </c>
      <c r="H1219" s="6">
        <f>INT(Query1[[#This Row],[EntryDateTime]])</f>
        <v>44614</v>
      </c>
      <c r="I1219" s="1">
        <f>IF(Query1[[#This Row],[ItemType]]="EVAP KIT SF GEN IV",Query1[[#This Row],[OrderQty]]+I1218,I1218)</f>
        <v>1325</v>
      </c>
      <c r="J1219" s="1">
        <f>IF(Query1[[#This Row],[ItemType]]="EVAP KIT UNIVERSAL",Query1[[#This Row],[OrderQty]]+J1218,J1218)</f>
        <v>585</v>
      </c>
      <c r="K1219" s="1">
        <f>Query1[[#This Row],[SF Running Total]]+Query1[[#This Row],[UNIV Running Total]]</f>
        <v>1910</v>
      </c>
      <c r="L1219">
        <f>VLOOKUP(Query1[[#This Row],[Description]],'kits to boards'!$B$2:$E$156,2,FALSE)</f>
        <v>830015</v>
      </c>
      <c r="M1219">
        <f>VLOOKUP(Query1[[#This Row],[Description]],'kits to boards'!$B$2:$E$156,3,FALSE)</f>
        <v>0</v>
      </c>
      <c r="N1219">
        <f>VLOOKUP(Query1[[#This Row],[Description]],'kits to boards'!$B$2:$E$156,4,FALSE)</f>
        <v>0</v>
      </c>
      <c r="O1219" t="str">
        <f>CONCATENATE(Query1[[#This Row],[Description]]," - ",Query1[[#This Row],[MB1]]," - ",Query1[[#This Row],[MB2]]," - ",Query1[[#This Row],[MB3]])</f>
        <v>EVAP KIT 64-66 CHEV P-UP WO AC W/STD - 830015 - 0 - 0</v>
      </c>
    </row>
    <row r="1220" spans="1:15" x14ac:dyDescent="0.25">
      <c r="A1220" s="1">
        <v>912042</v>
      </c>
      <c r="B1220" s="1" t="s">
        <v>52</v>
      </c>
      <c r="C1220" s="1" t="s">
        <v>53</v>
      </c>
      <c r="D1220" s="2">
        <v>44614.423554317131</v>
      </c>
      <c r="E1220" s="1" t="s">
        <v>8</v>
      </c>
      <c r="F1220" s="1">
        <v>1</v>
      </c>
      <c r="G1220" s="1">
        <v>0</v>
      </c>
      <c r="H1220" s="6">
        <f>INT(Query1[[#This Row],[EntryDateTime]])</f>
        <v>44614</v>
      </c>
      <c r="I1220" s="1">
        <f>IF(Query1[[#This Row],[ItemType]]="EVAP KIT SF GEN IV",Query1[[#This Row],[OrderQty]]+I1219,I1219)</f>
        <v>1326</v>
      </c>
      <c r="J1220" s="1">
        <f>IF(Query1[[#This Row],[ItemType]]="EVAP KIT UNIVERSAL",Query1[[#This Row],[OrderQty]]+J1219,J1219)</f>
        <v>585</v>
      </c>
      <c r="K1220" s="1">
        <f>Query1[[#This Row],[SF Running Total]]+Query1[[#This Row],[UNIV Running Total]]</f>
        <v>1911</v>
      </c>
      <c r="L1220">
        <f>VLOOKUP(Query1[[#This Row],[Description]],'kits to boards'!$B$2:$E$156,2,FALSE)</f>
        <v>830017</v>
      </c>
      <c r="M1220">
        <f>VLOOKUP(Query1[[#This Row],[Description]],'kits to boards'!$B$2:$E$156,3,FALSE)</f>
        <v>830119</v>
      </c>
      <c r="N1220">
        <f>VLOOKUP(Query1[[#This Row],[Description]],'kits to boards'!$B$2:$E$156,4,FALSE)</f>
        <v>830120</v>
      </c>
      <c r="O1220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1221" spans="1:15" x14ac:dyDescent="0.25">
      <c r="A1221" s="1">
        <v>912042</v>
      </c>
      <c r="B1221" s="1" t="s">
        <v>54</v>
      </c>
      <c r="C1221" s="1" t="s">
        <v>55</v>
      </c>
      <c r="D1221" s="2">
        <v>44614.42527728009</v>
      </c>
      <c r="E1221" s="1" t="s">
        <v>8</v>
      </c>
      <c r="F1221" s="1">
        <v>1</v>
      </c>
      <c r="G1221" s="1">
        <v>0</v>
      </c>
      <c r="H1221" s="6">
        <f>INT(Query1[[#This Row],[EntryDateTime]])</f>
        <v>44614</v>
      </c>
      <c r="I1221" s="1">
        <f>IF(Query1[[#This Row],[ItemType]]="EVAP KIT SF GEN IV",Query1[[#This Row],[OrderQty]]+I1220,I1220)</f>
        <v>1327</v>
      </c>
      <c r="J1221" s="1">
        <f>IF(Query1[[#This Row],[ItemType]]="EVAP KIT UNIVERSAL",Query1[[#This Row],[OrderQty]]+J1220,J1220)</f>
        <v>585</v>
      </c>
      <c r="K1221" s="1">
        <f>Query1[[#This Row],[SF Running Total]]+Query1[[#This Row],[UNIV Running Total]]</f>
        <v>1912</v>
      </c>
      <c r="L1221">
        <f>VLOOKUP(Query1[[#This Row],[Description]],'kits to boards'!$B$2:$E$156,2,FALSE)</f>
        <v>830037</v>
      </c>
      <c r="M1221">
        <f>VLOOKUP(Query1[[#This Row],[Description]],'kits to boards'!$B$2:$E$156,3,FALSE)</f>
        <v>0</v>
      </c>
      <c r="N1221">
        <f>VLOOKUP(Query1[[#This Row],[Description]],'kits to boards'!$B$2:$E$156,4,FALSE)</f>
        <v>0</v>
      </c>
      <c r="O1221" t="str">
        <f>CONCATENATE(Query1[[#This Row],[Description]]," - ",Query1[[#This Row],[MB1]]," - ",Query1[[#This Row],[MB2]]," - ",Query1[[#This Row],[MB3]])</f>
        <v>EVAP KIT 70-81 FIREBIRD W/AC - 830037 - 0 - 0</v>
      </c>
    </row>
    <row r="1222" spans="1:15" x14ac:dyDescent="0.25">
      <c r="A1222" s="1">
        <v>912042</v>
      </c>
      <c r="B1222" s="1" t="s">
        <v>68</v>
      </c>
      <c r="C1222" s="1" t="s">
        <v>69</v>
      </c>
      <c r="D1222" s="2">
        <v>44614.425677928244</v>
      </c>
      <c r="E1222" s="1" t="s">
        <v>8</v>
      </c>
      <c r="F1222" s="1">
        <v>1</v>
      </c>
      <c r="G1222" s="1">
        <v>0</v>
      </c>
      <c r="H1222" s="6">
        <f>INT(Query1[[#This Row],[EntryDateTime]])</f>
        <v>44614</v>
      </c>
      <c r="I1222" s="1">
        <f>IF(Query1[[#This Row],[ItemType]]="EVAP KIT SF GEN IV",Query1[[#This Row],[OrderQty]]+I1221,I1221)</f>
        <v>1328</v>
      </c>
      <c r="J1222" s="1">
        <f>IF(Query1[[#This Row],[ItemType]]="EVAP KIT UNIVERSAL",Query1[[#This Row],[OrderQty]]+J1221,J1221)</f>
        <v>585</v>
      </c>
      <c r="K1222" s="1">
        <f>Query1[[#This Row],[SF Running Total]]+Query1[[#This Row],[UNIV Running Total]]</f>
        <v>1913</v>
      </c>
      <c r="L1222">
        <f>VLOOKUP(Query1[[#This Row],[Description]],'kits to boards'!$B$2:$E$156,2,FALSE)</f>
        <v>830010</v>
      </c>
      <c r="M1222">
        <f>VLOOKUP(Query1[[#This Row],[Description]],'kits to boards'!$B$2:$E$156,3,FALSE)</f>
        <v>0</v>
      </c>
      <c r="N1222">
        <f>VLOOKUP(Query1[[#This Row],[Description]],'kits to boards'!$B$2:$E$156,4,FALSE)</f>
        <v>0</v>
      </c>
      <c r="O1222" t="str">
        <f>CONCATENATE(Query1[[#This Row],[Description]]," - ",Query1[[#This Row],[MB1]]," - ",Query1[[#This Row],[MB2]]," - ",Query1[[#This Row],[MB3]])</f>
        <v>EVAP KIT 70-72 CHEVELLE WO AC - 830010 - 0 - 0</v>
      </c>
    </row>
    <row r="1223" spans="1:15" x14ac:dyDescent="0.25">
      <c r="A1223" s="1">
        <v>912042</v>
      </c>
      <c r="B1223" s="1" t="s">
        <v>66</v>
      </c>
      <c r="C1223" s="1" t="s">
        <v>67</v>
      </c>
      <c r="D1223" s="2">
        <v>44614.426989155094</v>
      </c>
      <c r="E1223" s="1" t="s">
        <v>8</v>
      </c>
      <c r="F1223" s="1">
        <v>1</v>
      </c>
      <c r="G1223" s="1">
        <v>0</v>
      </c>
      <c r="H1223" s="6">
        <f>INT(Query1[[#This Row],[EntryDateTime]])</f>
        <v>44614</v>
      </c>
      <c r="I1223" s="1">
        <f>IF(Query1[[#This Row],[ItemType]]="EVAP KIT SF GEN IV",Query1[[#This Row],[OrderQty]]+I1222,I1222)</f>
        <v>1329</v>
      </c>
      <c r="J1223" s="1">
        <f>IF(Query1[[#This Row],[ItemType]]="EVAP KIT UNIVERSAL",Query1[[#This Row],[OrderQty]]+J1222,J1222)</f>
        <v>585</v>
      </c>
      <c r="K1223" s="1">
        <f>Query1[[#This Row],[SF Running Total]]+Query1[[#This Row],[UNIV Running Total]]</f>
        <v>1914</v>
      </c>
      <c r="L1223">
        <f>VLOOKUP(Query1[[#This Row],[Description]],'kits to boards'!$B$2:$E$156,2,FALSE)</f>
        <v>830060</v>
      </c>
      <c r="M1223">
        <f>VLOOKUP(Query1[[#This Row],[Description]],'kits to boards'!$B$2:$E$156,3,FALSE)</f>
        <v>0</v>
      </c>
      <c r="N1223">
        <f>VLOOKUP(Query1[[#This Row],[Description]],'kits to boards'!$B$2:$E$156,4,FALSE)</f>
        <v>0</v>
      </c>
      <c r="O1223" t="str">
        <f>CONCATENATE(Query1[[#This Row],[Description]]," - ",Query1[[#This Row],[MB1]]," - ",Query1[[#This Row],[MB2]]," - ",Query1[[#This Row],[MB3]])</f>
        <v>EVAP KIT 66-67 CHEVELLE WO AC - 830060 - 0 - 0</v>
      </c>
    </row>
    <row r="1224" spans="1:15" x14ac:dyDescent="0.25">
      <c r="A1224" s="1">
        <v>912042</v>
      </c>
      <c r="B1224" s="1" t="s">
        <v>158</v>
      </c>
      <c r="C1224" s="1" t="s">
        <v>159</v>
      </c>
      <c r="D1224" s="2">
        <v>44614.428341053244</v>
      </c>
      <c r="E1224" s="1" t="s">
        <v>8</v>
      </c>
      <c r="F1224" s="1">
        <v>1</v>
      </c>
      <c r="G1224" s="1">
        <v>0</v>
      </c>
      <c r="H1224" s="6">
        <f>INT(Query1[[#This Row],[EntryDateTime]])</f>
        <v>44614</v>
      </c>
      <c r="I1224" s="1">
        <f>IF(Query1[[#This Row],[ItemType]]="EVAP KIT SF GEN IV",Query1[[#This Row],[OrderQty]]+I1223,I1223)</f>
        <v>1330</v>
      </c>
      <c r="J1224" s="1">
        <f>IF(Query1[[#This Row],[ItemType]]="EVAP KIT UNIVERSAL",Query1[[#This Row],[OrderQty]]+J1223,J1223)</f>
        <v>585</v>
      </c>
      <c r="K1224" s="1">
        <f>Query1[[#This Row],[SF Running Total]]+Query1[[#This Row],[UNIV Running Total]]</f>
        <v>1915</v>
      </c>
      <c r="L1224">
        <f>VLOOKUP(Query1[[#This Row],[Description]],'kits to boards'!$B$2:$E$156,2,FALSE)</f>
        <v>830080</v>
      </c>
      <c r="M1224">
        <f>VLOOKUP(Query1[[#This Row],[Description]],'kits to boards'!$B$2:$E$156,3,FALSE)</f>
        <v>830046</v>
      </c>
      <c r="N1224">
        <f>VLOOKUP(Query1[[#This Row],[Description]],'kits to boards'!$B$2:$E$156,4,FALSE)</f>
        <v>0</v>
      </c>
      <c r="O1224" t="str">
        <f>CONCATENATE(Query1[[#This Row],[Description]]," - ",Query1[[#This Row],[MB1]]," - ",Query1[[#This Row],[MB2]]," - ",Query1[[#This Row],[MB3]])</f>
        <v>EVAP KIT 69-70 MUSTANG W/AC  - 830080 - 830046 - 0</v>
      </c>
    </row>
    <row r="1225" spans="1:15" x14ac:dyDescent="0.25">
      <c r="A1225" s="1">
        <v>911903</v>
      </c>
      <c r="B1225" s="1" t="s">
        <v>148</v>
      </c>
      <c r="C1225" s="1" t="s">
        <v>149</v>
      </c>
      <c r="D1225" s="2">
        <v>44614.436511458334</v>
      </c>
      <c r="E1225" s="1" t="s">
        <v>8</v>
      </c>
      <c r="F1225" s="1">
        <v>1</v>
      </c>
      <c r="G1225" s="1">
        <v>0</v>
      </c>
      <c r="H1225" s="6">
        <f>INT(Query1[[#This Row],[EntryDateTime]])</f>
        <v>44614</v>
      </c>
      <c r="I1225" s="1">
        <f>IF(Query1[[#This Row],[ItemType]]="EVAP KIT SF GEN IV",Query1[[#This Row],[OrderQty]]+I1224,I1224)</f>
        <v>1331</v>
      </c>
      <c r="J1225" s="1">
        <f>IF(Query1[[#This Row],[ItemType]]="EVAP KIT UNIVERSAL",Query1[[#This Row],[OrderQty]]+J1224,J1224)</f>
        <v>585</v>
      </c>
      <c r="K1225" s="1">
        <f>Query1[[#This Row],[SF Running Total]]+Query1[[#This Row],[UNIV Running Total]]</f>
        <v>1916</v>
      </c>
      <c r="L1225">
        <f>VLOOKUP(Query1[[#This Row],[Description]],'kits to boards'!$B$2:$E$156,2,FALSE)</f>
        <v>830098</v>
      </c>
      <c r="M1225">
        <f>VLOOKUP(Query1[[#This Row],[Description]],'kits to boards'!$B$2:$E$156,3,FALSE)</f>
        <v>0</v>
      </c>
      <c r="N1225">
        <f>VLOOKUP(Query1[[#This Row],[Description]],'kits to boards'!$B$2:$E$156,4,FALSE)</f>
        <v>0</v>
      </c>
      <c r="O1225" t="str">
        <f>CONCATENATE(Query1[[#This Row],[Description]]," - ",Query1[[#This Row],[MB1]]," - ",Query1[[#This Row],[MB2]]," - ",Query1[[#This Row],[MB3]])</f>
        <v>EVAP KIT 77 VETTE W/AC - 830098 - 0 - 0</v>
      </c>
    </row>
    <row r="1226" spans="1:15" x14ac:dyDescent="0.25">
      <c r="A1226" s="1">
        <v>911863</v>
      </c>
      <c r="B1226" s="1" t="s">
        <v>28</v>
      </c>
      <c r="C1226" s="1" t="s">
        <v>29</v>
      </c>
      <c r="D1226" s="2">
        <v>44614.43946076389</v>
      </c>
      <c r="E1226" s="1" t="s">
        <v>8</v>
      </c>
      <c r="F1226" s="1">
        <v>1</v>
      </c>
      <c r="G1226" s="1">
        <v>0</v>
      </c>
      <c r="H1226" s="6">
        <f>INT(Query1[[#This Row],[EntryDateTime]])</f>
        <v>44614</v>
      </c>
      <c r="I1226" s="1">
        <f>IF(Query1[[#This Row],[ItemType]]="EVAP KIT SF GEN IV",Query1[[#This Row],[OrderQty]]+I1225,I1225)</f>
        <v>1332</v>
      </c>
      <c r="J1226" s="1">
        <f>IF(Query1[[#This Row],[ItemType]]="EVAP KIT UNIVERSAL",Query1[[#This Row],[OrderQty]]+J1225,J1225)</f>
        <v>585</v>
      </c>
      <c r="K1226" s="1">
        <f>Query1[[#This Row],[SF Running Total]]+Query1[[#This Row],[UNIV Running Total]]</f>
        <v>1917</v>
      </c>
      <c r="L1226">
        <f>VLOOKUP(Query1[[#This Row],[Description]],'kits to boards'!$B$2:$E$156,2,FALSE)</f>
        <v>830001</v>
      </c>
      <c r="M1226">
        <f>VLOOKUP(Query1[[#This Row],[Description]],'kits to boards'!$B$2:$E$156,3,FALSE)</f>
        <v>0</v>
      </c>
      <c r="N1226">
        <f>VLOOKUP(Query1[[#This Row],[Description]],'kits to boards'!$B$2:$E$156,4,FALSE)</f>
        <v>0</v>
      </c>
      <c r="O1226" t="str">
        <f>CONCATENATE(Query1[[#This Row],[Description]]," - ",Query1[[#This Row],[MB1]]," - ",Query1[[#This Row],[MB2]]," - ",Query1[[#This Row],[MB3]])</f>
        <v>EVAP KIT 73-80 CHEV P-UP W/AC - 830001 - 0 - 0</v>
      </c>
    </row>
    <row r="1227" spans="1:15" x14ac:dyDescent="0.25">
      <c r="A1227" s="1">
        <v>912069</v>
      </c>
      <c r="B1227" s="1" t="s">
        <v>66</v>
      </c>
      <c r="C1227" s="1" t="s">
        <v>67</v>
      </c>
      <c r="D1227" s="2">
        <v>44614.459208020831</v>
      </c>
      <c r="E1227" s="1" t="s">
        <v>8</v>
      </c>
      <c r="F1227" s="1">
        <v>1</v>
      </c>
      <c r="G1227" s="1">
        <v>0</v>
      </c>
      <c r="H1227" s="6">
        <f>INT(Query1[[#This Row],[EntryDateTime]])</f>
        <v>44614</v>
      </c>
      <c r="I1227" s="1">
        <f>IF(Query1[[#This Row],[ItemType]]="EVAP KIT SF GEN IV",Query1[[#This Row],[OrderQty]]+I1226,I1226)</f>
        <v>1333</v>
      </c>
      <c r="J1227" s="1">
        <f>IF(Query1[[#This Row],[ItemType]]="EVAP KIT UNIVERSAL",Query1[[#This Row],[OrderQty]]+J1226,J1226)</f>
        <v>585</v>
      </c>
      <c r="K1227" s="1">
        <f>Query1[[#This Row],[SF Running Total]]+Query1[[#This Row],[UNIV Running Total]]</f>
        <v>1918</v>
      </c>
      <c r="L1227">
        <f>VLOOKUP(Query1[[#This Row],[Description]],'kits to boards'!$B$2:$E$156,2,FALSE)</f>
        <v>830060</v>
      </c>
      <c r="M1227">
        <f>VLOOKUP(Query1[[#This Row],[Description]],'kits to boards'!$B$2:$E$156,3,FALSE)</f>
        <v>0</v>
      </c>
      <c r="N1227">
        <f>VLOOKUP(Query1[[#This Row],[Description]],'kits to boards'!$B$2:$E$156,4,FALSE)</f>
        <v>0</v>
      </c>
      <c r="O1227" t="str">
        <f>CONCATENATE(Query1[[#This Row],[Description]]," - ",Query1[[#This Row],[MB1]]," - ",Query1[[#This Row],[MB2]]," - ",Query1[[#This Row],[MB3]])</f>
        <v>EVAP KIT 66-67 CHEVELLE WO AC - 830060 - 0 - 0</v>
      </c>
    </row>
    <row r="1228" spans="1:15" x14ac:dyDescent="0.25">
      <c r="A1228" s="1">
        <v>912072</v>
      </c>
      <c r="B1228" s="1" t="s">
        <v>46</v>
      </c>
      <c r="C1228" s="1" t="s">
        <v>47</v>
      </c>
      <c r="D1228" s="2">
        <v>44614.467371261577</v>
      </c>
      <c r="E1228" s="1" t="s">
        <v>8</v>
      </c>
      <c r="F1228" s="1">
        <v>1</v>
      </c>
      <c r="G1228" s="1">
        <v>0</v>
      </c>
      <c r="H1228" s="6">
        <f>INT(Query1[[#This Row],[EntryDateTime]])</f>
        <v>44614</v>
      </c>
      <c r="I1228" s="1">
        <f>IF(Query1[[#This Row],[ItemType]]="EVAP KIT SF GEN IV",Query1[[#This Row],[OrderQty]]+I1227,I1227)</f>
        <v>1334</v>
      </c>
      <c r="J1228" s="1">
        <f>IF(Query1[[#This Row],[ItemType]]="EVAP KIT UNIVERSAL",Query1[[#This Row],[OrderQty]]+J1227,J1227)</f>
        <v>585</v>
      </c>
      <c r="K1228" s="1">
        <f>Query1[[#This Row],[SF Running Total]]+Query1[[#This Row],[UNIV Running Total]]</f>
        <v>1919</v>
      </c>
      <c r="L1228">
        <f>VLOOKUP(Query1[[#This Row],[Description]],'kits to boards'!$B$2:$E$156,2,FALSE)</f>
        <v>830018</v>
      </c>
      <c r="M1228">
        <f>VLOOKUP(Query1[[#This Row],[Description]],'kits to boards'!$B$2:$E$156,3,FALSE)</f>
        <v>0</v>
      </c>
      <c r="N1228">
        <f>VLOOKUP(Query1[[#This Row],[Description]],'kits to boards'!$B$2:$E$156,4,FALSE)</f>
        <v>0</v>
      </c>
      <c r="O1228" t="str">
        <f>CONCATENATE(Query1[[#This Row],[Description]]," - ",Query1[[#This Row],[MB1]]," - ",Query1[[#This Row],[MB2]]," - ",Query1[[#This Row],[MB3]])</f>
        <v>EVAP KIT 68-72 FORD P-UP F-100 - 830018 - 0 - 0</v>
      </c>
    </row>
    <row r="1229" spans="1:15" x14ac:dyDescent="0.25">
      <c r="A1229" s="1">
        <v>912080</v>
      </c>
      <c r="B1229" s="1" t="s">
        <v>94</v>
      </c>
      <c r="C1229" s="1" t="s">
        <v>95</v>
      </c>
      <c r="D1229" s="2">
        <v>44614.481863923611</v>
      </c>
      <c r="E1229" s="1" t="s">
        <v>8</v>
      </c>
      <c r="F1229" s="1">
        <v>1</v>
      </c>
      <c r="G1229" s="1">
        <v>0</v>
      </c>
      <c r="H1229" s="6">
        <f>INT(Query1[[#This Row],[EntryDateTime]])</f>
        <v>44614</v>
      </c>
      <c r="I1229" s="1">
        <f>IF(Query1[[#This Row],[ItemType]]="EVAP KIT SF GEN IV",Query1[[#This Row],[OrderQty]]+I1228,I1228)</f>
        <v>1335</v>
      </c>
      <c r="J1229" s="1">
        <f>IF(Query1[[#This Row],[ItemType]]="EVAP KIT UNIVERSAL",Query1[[#This Row],[OrderQty]]+J1228,J1228)</f>
        <v>585</v>
      </c>
      <c r="K1229" s="1">
        <f>Query1[[#This Row],[SF Running Total]]+Query1[[#This Row],[UNIV Running Total]]</f>
        <v>1920</v>
      </c>
      <c r="L1229">
        <f>VLOOKUP(Query1[[#This Row],[Description]],'kits to boards'!$B$2:$E$156,2,FALSE)</f>
        <v>830076</v>
      </c>
      <c r="M1229">
        <f>VLOOKUP(Query1[[#This Row],[Description]],'kits to boards'!$B$2:$E$156,3,FALSE)</f>
        <v>0</v>
      </c>
      <c r="N1229">
        <f>VLOOKUP(Query1[[#This Row],[Description]],'kits to boards'!$B$2:$E$156,4,FALSE)</f>
        <v>0</v>
      </c>
      <c r="O1229" t="str">
        <f>CONCATENATE(Query1[[#This Row],[Description]]," - ",Query1[[#This Row],[MB1]]," - ",Query1[[#This Row],[MB2]]," - ",Query1[[#This Row],[MB3]])</f>
        <v>EVAP KIT 64 1/2- 66 MUSTANG  - 830076 - 0 - 0</v>
      </c>
    </row>
    <row r="1230" spans="1:15" x14ac:dyDescent="0.25">
      <c r="A1230" s="1">
        <v>912082</v>
      </c>
      <c r="B1230" s="1" t="s">
        <v>30</v>
      </c>
      <c r="C1230" s="1" t="s">
        <v>31</v>
      </c>
      <c r="D1230" s="2">
        <v>44614.48945439815</v>
      </c>
      <c r="E1230" s="1" t="s">
        <v>8</v>
      </c>
      <c r="F1230" s="1">
        <v>1</v>
      </c>
      <c r="G1230" s="1">
        <v>0</v>
      </c>
      <c r="H1230" s="6">
        <f>INT(Query1[[#This Row],[EntryDateTime]])</f>
        <v>44614</v>
      </c>
      <c r="I1230" s="1">
        <f>IF(Query1[[#This Row],[ItemType]]="EVAP KIT SF GEN IV",Query1[[#This Row],[OrderQty]]+I1229,I1229)</f>
        <v>1336</v>
      </c>
      <c r="J1230" s="1">
        <f>IF(Query1[[#This Row],[ItemType]]="EVAP KIT UNIVERSAL",Query1[[#This Row],[OrderQty]]+J1229,J1229)</f>
        <v>585</v>
      </c>
      <c r="K1230" s="1">
        <f>Query1[[#This Row],[SF Running Total]]+Query1[[#This Row],[UNIV Running Total]]</f>
        <v>1921</v>
      </c>
      <c r="L1230">
        <f>VLOOKUP(Query1[[#This Row],[Description]],'kits to boards'!$B$2:$E$156,2,FALSE)</f>
        <v>830054</v>
      </c>
      <c r="M1230">
        <f>VLOOKUP(Query1[[#This Row],[Description]],'kits to boards'!$B$2:$E$156,3,FALSE)</f>
        <v>0</v>
      </c>
      <c r="N1230">
        <f>VLOOKUP(Query1[[#This Row],[Description]],'kits to boards'!$B$2:$E$156,4,FALSE)</f>
        <v>0</v>
      </c>
      <c r="O1230" t="str">
        <f>CONCATENATE(Query1[[#This Row],[Description]]," - ",Query1[[#This Row],[MB1]]," - ",Query1[[#This Row],[MB2]]," - ",Query1[[#This Row],[MB3]])</f>
        <v>EVAP KIT 55-56 CHEVY 4-VENT - 830054 - 0 - 0</v>
      </c>
    </row>
    <row r="1231" spans="1:15" x14ac:dyDescent="0.25">
      <c r="A1231" s="1">
        <v>912085</v>
      </c>
      <c r="B1231" s="1" t="s">
        <v>28</v>
      </c>
      <c r="C1231" s="1" t="s">
        <v>29</v>
      </c>
      <c r="D1231" s="2">
        <v>44614.491348298609</v>
      </c>
      <c r="E1231" s="1" t="s">
        <v>8</v>
      </c>
      <c r="F1231" s="1">
        <v>1</v>
      </c>
      <c r="G1231" s="1">
        <v>0</v>
      </c>
      <c r="H1231" s="6">
        <f>INT(Query1[[#This Row],[EntryDateTime]])</f>
        <v>44614</v>
      </c>
      <c r="I1231" s="1">
        <f>IF(Query1[[#This Row],[ItemType]]="EVAP KIT SF GEN IV",Query1[[#This Row],[OrderQty]]+I1230,I1230)</f>
        <v>1337</v>
      </c>
      <c r="J1231" s="1">
        <f>IF(Query1[[#This Row],[ItemType]]="EVAP KIT UNIVERSAL",Query1[[#This Row],[OrderQty]]+J1230,J1230)</f>
        <v>585</v>
      </c>
      <c r="K1231" s="1">
        <f>Query1[[#This Row],[SF Running Total]]+Query1[[#This Row],[UNIV Running Total]]</f>
        <v>1922</v>
      </c>
      <c r="L1231">
        <f>VLOOKUP(Query1[[#This Row],[Description]],'kits to boards'!$B$2:$E$156,2,FALSE)</f>
        <v>830001</v>
      </c>
      <c r="M1231">
        <f>VLOOKUP(Query1[[#This Row],[Description]],'kits to boards'!$B$2:$E$156,3,FALSE)</f>
        <v>0</v>
      </c>
      <c r="N1231">
        <f>VLOOKUP(Query1[[#This Row],[Description]],'kits to boards'!$B$2:$E$156,4,FALSE)</f>
        <v>0</v>
      </c>
      <c r="O1231" t="str">
        <f>CONCATENATE(Query1[[#This Row],[Description]]," - ",Query1[[#This Row],[MB1]]," - ",Query1[[#This Row],[MB2]]," - ",Query1[[#This Row],[MB3]])</f>
        <v>EVAP KIT 73-80 CHEV P-UP W/AC - 830001 - 0 - 0</v>
      </c>
    </row>
    <row r="1232" spans="1:15" x14ac:dyDescent="0.25">
      <c r="A1232" s="1">
        <v>912087</v>
      </c>
      <c r="B1232" s="1" t="s">
        <v>102</v>
      </c>
      <c r="C1232" s="1" t="s">
        <v>103</v>
      </c>
      <c r="D1232" s="2">
        <v>44614.495394942132</v>
      </c>
      <c r="E1232" s="1" t="s">
        <v>8</v>
      </c>
      <c r="F1232" s="1">
        <v>1</v>
      </c>
      <c r="G1232" s="1">
        <v>0</v>
      </c>
      <c r="H1232" s="6">
        <f>INT(Query1[[#This Row],[EntryDateTime]])</f>
        <v>44614</v>
      </c>
      <c r="I1232" s="1">
        <f>IF(Query1[[#This Row],[ItemType]]="EVAP KIT SF GEN IV",Query1[[#This Row],[OrderQty]]+I1231,I1231)</f>
        <v>1338</v>
      </c>
      <c r="J1232" s="1">
        <f>IF(Query1[[#This Row],[ItemType]]="EVAP KIT UNIVERSAL",Query1[[#This Row],[OrderQty]]+J1231,J1231)</f>
        <v>585</v>
      </c>
      <c r="K1232" s="1">
        <f>Query1[[#This Row],[SF Running Total]]+Query1[[#This Row],[UNIV Running Total]]</f>
        <v>1923</v>
      </c>
      <c r="L1232">
        <f>VLOOKUP(Query1[[#This Row],[Description]],'kits to boards'!$B$2:$E$156,2,FALSE)</f>
        <v>830012</v>
      </c>
      <c r="M1232">
        <f>VLOOKUP(Query1[[#This Row],[Description]],'kits to boards'!$B$2:$E$156,3,FALSE)</f>
        <v>0</v>
      </c>
      <c r="N1232">
        <f>VLOOKUP(Query1[[#This Row],[Description]],'kits to boards'!$B$2:$E$156,4,FALSE)</f>
        <v>0</v>
      </c>
      <c r="O1232" t="str">
        <f>CONCATENATE(Query1[[#This Row],[Description]]," - ",Query1[[#This Row],[MB1]]," - ",Query1[[#This Row],[MB2]]," - ",Query1[[#This Row],[MB3]])</f>
        <v>EVAP KIT 69 CAMARO WO/AC - 830012 - 0 - 0</v>
      </c>
    </row>
    <row r="1233" spans="1:15" x14ac:dyDescent="0.25">
      <c r="A1233" s="1">
        <v>912090</v>
      </c>
      <c r="B1233" s="1" t="s">
        <v>96</v>
      </c>
      <c r="C1233" s="1" t="s">
        <v>97</v>
      </c>
      <c r="D1233" s="2">
        <v>44614.498285995367</v>
      </c>
      <c r="E1233" s="1" t="s">
        <v>8</v>
      </c>
      <c r="F1233" s="1">
        <v>1</v>
      </c>
      <c r="G1233" s="1">
        <v>0</v>
      </c>
      <c r="H1233" s="6">
        <f>INT(Query1[[#This Row],[EntryDateTime]])</f>
        <v>44614</v>
      </c>
      <c r="I1233" s="1">
        <f>IF(Query1[[#This Row],[ItemType]]="EVAP KIT SF GEN IV",Query1[[#This Row],[OrderQty]]+I1232,I1232)</f>
        <v>1339</v>
      </c>
      <c r="J1233" s="1">
        <f>IF(Query1[[#This Row],[ItemType]]="EVAP KIT UNIVERSAL",Query1[[#This Row],[OrderQty]]+J1232,J1232)</f>
        <v>585</v>
      </c>
      <c r="K1233" s="1">
        <f>Query1[[#This Row],[SF Running Total]]+Query1[[#This Row],[UNIV Running Total]]</f>
        <v>1924</v>
      </c>
      <c r="L1233">
        <f>VLOOKUP(Query1[[#This Row],[Description]],'kits to boards'!$B$2:$E$156,2,FALSE)</f>
        <v>830004</v>
      </c>
      <c r="M1233">
        <f>VLOOKUP(Query1[[#This Row],[Description]],'kits to boards'!$B$2:$E$156,3,FALSE)</f>
        <v>0</v>
      </c>
      <c r="N1233">
        <f>VLOOKUP(Query1[[#This Row],[Description]],'kits to boards'!$B$2:$E$156,4,FALSE)</f>
        <v>0</v>
      </c>
      <c r="O1233" t="str">
        <f>CONCATENATE(Query1[[#This Row],[Description]]," - ",Query1[[#This Row],[MB1]]," - ",Query1[[#This Row],[MB2]]," - ",Query1[[#This Row],[MB3]])</f>
        <v>EVAP KIT 81-87 CHEV P-UP W/AC - 830004 - 0 - 0</v>
      </c>
    </row>
    <row r="1234" spans="1:15" x14ac:dyDescent="0.25">
      <c r="A1234" s="1">
        <v>912101</v>
      </c>
      <c r="B1234" s="1" t="s">
        <v>50</v>
      </c>
      <c r="C1234" s="1" t="s">
        <v>51</v>
      </c>
      <c r="D1234" s="2">
        <v>44614.516715891201</v>
      </c>
      <c r="E1234" s="1" t="s">
        <v>8</v>
      </c>
      <c r="F1234" s="1">
        <v>1</v>
      </c>
      <c r="G1234" s="1">
        <v>0</v>
      </c>
      <c r="H1234" s="6">
        <f>INT(Query1[[#This Row],[EntryDateTime]])</f>
        <v>44614</v>
      </c>
      <c r="I1234" s="1">
        <f>IF(Query1[[#This Row],[ItemType]]="EVAP KIT SF GEN IV",Query1[[#This Row],[OrderQty]]+I1233,I1233)</f>
        <v>1340</v>
      </c>
      <c r="J1234" s="1">
        <f>IF(Query1[[#This Row],[ItemType]]="EVAP KIT UNIVERSAL",Query1[[#This Row],[OrderQty]]+J1233,J1233)</f>
        <v>585</v>
      </c>
      <c r="K1234" s="1">
        <f>Query1[[#This Row],[SF Running Total]]+Query1[[#This Row],[UNIV Running Total]]</f>
        <v>1925</v>
      </c>
      <c r="L1234">
        <f>VLOOKUP(Query1[[#This Row],[Description]],'kits to boards'!$B$2:$E$156,2,FALSE)</f>
        <v>830043</v>
      </c>
      <c r="M1234">
        <f>VLOOKUP(Query1[[#This Row],[Description]],'kits to boards'!$B$2:$E$156,3,FALSE)</f>
        <v>0</v>
      </c>
      <c r="N1234">
        <f>VLOOKUP(Query1[[#This Row],[Description]],'kits to boards'!$B$2:$E$156,4,FALSE)</f>
        <v>0</v>
      </c>
      <c r="O1234" t="str">
        <f>CONCATENATE(Query1[[#This Row],[Description]]," - ",Query1[[#This Row],[MB1]]," - ",Query1[[#This Row],[MB2]]," - ",Query1[[#This Row],[MB3]])</f>
        <v>EVAP KIT 69-74 NOVA WO AC - 830043 - 0 - 0</v>
      </c>
    </row>
    <row r="1235" spans="1:15" x14ac:dyDescent="0.25">
      <c r="A1235" s="1">
        <v>912101</v>
      </c>
      <c r="B1235" s="1" t="s">
        <v>78</v>
      </c>
      <c r="C1235" s="1" t="s">
        <v>79</v>
      </c>
      <c r="D1235" s="2">
        <v>44614.516720983796</v>
      </c>
      <c r="E1235" s="1" t="s">
        <v>11</v>
      </c>
      <c r="F1235" s="1">
        <v>2</v>
      </c>
      <c r="G1235" s="1">
        <v>0</v>
      </c>
      <c r="H1235" s="6">
        <f>INT(Query1[[#This Row],[EntryDateTime]])</f>
        <v>44614</v>
      </c>
      <c r="I1235" s="1">
        <f>IF(Query1[[#This Row],[ItemType]]="EVAP KIT SF GEN IV",Query1[[#This Row],[OrderQty]]+I1234,I1234)</f>
        <v>1340</v>
      </c>
      <c r="J1235" s="1">
        <f>IF(Query1[[#This Row],[ItemType]]="EVAP KIT UNIVERSAL",Query1[[#This Row],[OrderQty]]+J1234,J1234)</f>
        <v>587</v>
      </c>
      <c r="K1235" s="1">
        <f>Query1[[#This Row],[SF Running Total]]+Query1[[#This Row],[UNIV Running Total]]</f>
        <v>1927</v>
      </c>
      <c r="L1235">
        <f>VLOOKUP(Query1[[#This Row],[Description]],'kits to boards'!$B$2:$E$156,2,FALSE)</f>
        <v>0</v>
      </c>
      <c r="M1235">
        <f>VLOOKUP(Query1[[#This Row],[Description]],'kits to boards'!$B$2:$E$156,3,FALSE)</f>
        <v>0</v>
      </c>
      <c r="N1235">
        <f>VLOOKUP(Query1[[#This Row],[Description]],'kits to boards'!$B$2:$E$156,4,FALSE)</f>
        <v>0</v>
      </c>
      <c r="O1235" t="str">
        <f>CONCATENATE(Query1[[#This Row],[Description]]," - ",Query1[[#This Row],[MB1]]," - ",Query1[[#This Row],[MB2]]," - ",Query1[[#This Row],[MB3]])</f>
        <v>MARK IV STYLELINE UNDERDASH EVAP - 0 - 0 - 0</v>
      </c>
    </row>
    <row r="1236" spans="1:15" x14ac:dyDescent="0.25">
      <c r="A1236" s="1">
        <v>912101</v>
      </c>
      <c r="B1236" s="1" t="s">
        <v>96</v>
      </c>
      <c r="C1236" s="1" t="s">
        <v>97</v>
      </c>
      <c r="D1236" s="2">
        <v>44614.516724386573</v>
      </c>
      <c r="E1236" s="1" t="s">
        <v>8</v>
      </c>
      <c r="F1236" s="1">
        <v>1</v>
      </c>
      <c r="G1236" s="1">
        <v>0</v>
      </c>
      <c r="H1236" s="6">
        <f>INT(Query1[[#This Row],[EntryDateTime]])</f>
        <v>44614</v>
      </c>
      <c r="I1236" s="1">
        <f>IF(Query1[[#This Row],[ItemType]]="EVAP KIT SF GEN IV",Query1[[#This Row],[OrderQty]]+I1235,I1235)</f>
        <v>1341</v>
      </c>
      <c r="J1236" s="1">
        <f>IF(Query1[[#This Row],[ItemType]]="EVAP KIT UNIVERSAL",Query1[[#This Row],[OrderQty]]+J1235,J1235)</f>
        <v>587</v>
      </c>
      <c r="K1236" s="1">
        <f>Query1[[#This Row],[SF Running Total]]+Query1[[#This Row],[UNIV Running Total]]</f>
        <v>1928</v>
      </c>
      <c r="L1236">
        <f>VLOOKUP(Query1[[#This Row],[Description]],'kits to boards'!$B$2:$E$156,2,FALSE)</f>
        <v>830004</v>
      </c>
      <c r="M1236">
        <f>VLOOKUP(Query1[[#This Row],[Description]],'kits to boards'!$B$2:$E$156,3,FALSE)</f>
        <v>0</v>
      </c>
      <c r="N1236">
        <f>VLOOKUP(Query1[[#This Row],[Description]],'kits to boards'!$B$2:$E$156,4,FALSE)</f>
        <v>0</v>
      </c>
      <c r="O1236" t="str">
        <f>CONCATENATE(Query1[[#This Row],[Description]]," - ",Query1[[#This Row],[MB1]]," - ",Query1[[#This Row],[MB2]]," - ",Query1[[#This Row],[MB3]])</f>
        <v>EVAP KIT 81-87 CHEV P-UP W/AC - 830004 - 0 - 0</v>
      </c>
    </row>
    <row r="1237" spans="1:15" x14ac:dyDescent="0.25">
      <c r="A1237" s="1">
        <v>912109</v>
      </c>
      <c r="B1237" s="1" t="s">
        <v>140</v>
      </c>
      <c r="C1237" s="1" t="s">
        <v>141</v>
      </c>
      <c r="D1237" s="2">
        <v>44614.528002696759</v>
      </c>
      <c r="E1237" s="1" t="s">
        <v>8</v>
      </c>
      <c r="F1237" s="1">
        <v>1</v>
      </c>
      <c r="G1237" s="1">
        <v>0</v>
      </c>
      <c r="H1237" s="6">
        <f>INT(Query1[[#This Row],[EntryDateTime]])</f>
        <v>44614</v>
      </c>
      <c r="I1237" s="1">
        <f>IF(Query1[[#This Row],[ItemType]]="EVAP KIT SF GEN IV",Query1[[#This Row],[OrderQty]]+I1236,I1236)</f>
        <v>1342</v>
      </c>
      <c r="J1237" s="1">
        <f>IF(Query1[[#This Row],[ItemType]]="EVAP KIT UNIVERSAL",Query1[[#This Row],[OrderQty]]+J1236,J1236)</f>
        <v>587</v>
      </c>
      <c r="K1237" s="1">
        <f>Query1[[#This Row],[SF Running Total]]+Query1[[#This Row],[UNIV Running Total]]</f>
        <v>1929</v>
      </c>
      <c r="L1237">
        <f>VLOOKUP(Query1[[#This Row],[Description]],'kits to boards'!$B$2:$E$156,2,FALSE)</f>
        <v>830066</v>
      </c>
      <c r="M1237">
        <f>VLOOKUP(Query1[[#This Row],[Description]],'kits to boards'!$B$2:$E$156,3,FALSE)</f>
        <v>0</v>
      </c>
      <c r="N1237">
        <f>VLOOKUP(Query1[[#This Row],[Description]],'kits to boards'!$B$2:$E$156,4,FALSE)</f>
        <v>0</v>
      </c>
      <c r="O1237" t="str">
        <f>CONCATENATE(Query1[[#This Row],[Description]]," - ",Query1[[#This Row],[MB1]]," - ",Query1[[#This Row],[MB2]]," - ",Query1[[#This Row],[MB3]])</f>
        <v>EVAP KIT 60-63 CHEV P-UP WO AC - 830066 - 0 - 0</v>
      </c>
    </row>
    <row r="1238" spans="1:15" x14ac:dyDescent="0.25">
      <c r="A1238" s="1">
        <v>910296</v>
      </c>
      <c r="B1238" s="1" t="s">
        <v>24</v>
      </c>
      <c r="C1238" s="1" t="s">
        <v>25</v>
      </c>
      <c r="D1238" s="2">
        <v>44614.541301585647</v>
      </c>
      <c r="E1238" s="1" t="s">
        <v>11</v>
      </c>
      <c r="F1238" s="1">
        <v>1</v>
      </c>
      <c r="G1238" s="1">
        <v>0</v>
      </c>
      <c r="H1238" s="6">
        <f>INT(Query1[[#This Row],[EntryDateTime]])</f>
        <v>44614</v>
      </c>
      <c r="I1238" s="1">
        <f>IF(Query1[[#This Row],[ItemType]]="EVAP KIT SF GEN IV",Query1[[#This Row],[OrderQty]]+I1237,I1237)</f>
        <v>1342</v>
      </c>
      <c r="J1238" s="1">
        <f>IF(Query1[[#This Row],[ItemType]]="EVAP KIT UNIVERSAL",Query1[[#This Row],[OrderQty]]+J1237,J1237)</f>
        <v>588</v>
      </c>
      <c r="K1238" s="1">
        <f>Query1[[#This Row],[SF Running Total]]+Query1[[#This Row],[UNIV Running Total]]</f>
        <v>1930</v>
      </c>
      <c r="L1238">
        <f>VLOOKUP(Query1[[#This Row],[Description]],'kits to boards'!$B$2:$E$156,2,FALSE)</f>
        <v>830029</v>
      </c>
      <c r="M1238">
        <f>VLOOKUP(Query1[[#This Row],[Description]],'kits to boards'!$B$2:$E$156,3,FALSE)</f>
        <v>830030</v>
      </c>
      <c r="N1238">
        <f>VLOOKUP(Query1[[#This Row],[Description]],'kits to boards'!$B$2:$E$156,4,FALSE)</f>
        <v>0</v>
      </c>
      <c r="O1238" t="str">
        <f>CONCATENATE(Query1[[#This Row],[Description]]," - ",Query1[[#This Row],[MB1]]," - ",Query1[[#This Row],[MB2]]," - ",Query1[[#This Row],[MB3]])</f>
        <v>ComPac GEN II W/DEF - 830029 - 830030 - 0</v>
      </c>
    </row>
    <row r="1239" spans="1:15" x14ac:dyDescent="0.25">
      <c r="A1239" s="1">
        <v>912125</v>
      </c>
      <c r="B1239" s="1" t="s">
        <v>90</v>
      </c>
      <c r="C1239" s="1" t="s">
        <v>91</v>
      </c>
      <c r="D1239" s="2">
        <v>44614.547025196756</v>
      </c>
      <c r="E1239" s="1" t="s">
        <v>8</v>
      </c>
      <c r="F1239" s="1">
        <v>1</v>
      </c>
      <c r="G1239" s="1">
        <v>0</v>
      </c>
      <c r="H1239" s="6">
        <f>INT(Query1[[#This Row],[EntryDateTime]])</f>
        <v>44614</v>
      </c>
      <c r="I1239" s="1">
        <f>IF(Query1[[#This Row],[ItemType]]="EVAP KIT SF GEN IV",Query1[[#This Row],[OrderQty]]+I1238,I1238)</f>
        <v>1343</v>
      </c>
      <c r="J1239" s="1">
        <f>IF(Query1[[#This Row],[ItemType]]="EVAP KIT UNIVERSAL",Query1[[#This Row],[OrderQty]]+J1238,J1238)</f>
        <v>588</v>
      </c>
      <c r="K1239" s="1">
        <f>Query1[[#This Row],[SF Running Total]]+Query1[[#This Row],[UNIV Running Total]]</f>
        <v>1931</v>
      </c>
      <c r="L1239">
        <f>VLOOKUP(Query1[[#This Row],[Description]],'kits to boards'!$B$2:$E$156,2,FALSE)</f>
        <v>830105</v>
      </c>
      <c r="M1239">
        <f>VLOOKUP(Query1[[#This Row],[Description]],'kits to boards'!$B$2:$E$156,3,FALSE)</f>
        <v>830106</v>
      </c>
      <c r="N1239">
        <f>VLOOKUP(Query1[[#This Row],[Description]],'kits to boards'!$B$2:$E$156,4,FALSE)</f>
        <v>0</v>
      </c>
      <c r="O1239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1240" spans="1:15" x14ac:dyDescent="0.25">
      <c r="A1240" s="1">
        <v>912126</v>
      </c>
      <c r="B1240" s="1" t="s">
        <v>28</v>
      </c>
      <c r="C1240" s="1" t="s">
        <v>29</v>
      </c>
      <c r="D1240" s="2">
        <v>44614.547410451392</v>
      </c>
      <c r="E1240" s="1" t="s">
        <v>8</v>
      </c>
      <c r="F1240" s="1">
        <v>1</v>
      </c>
      <c r="G1240" s="1">
        <v>0</v>
      </c>
      <c r="H1240" s="6">
        <f>INT(Query1[[#This Row],[EntryDateTime]])</f>
        <v>44614</v>
      </c>
      <c r="I1240" s="1">
        <f>IF(Query1[[#This Row],[ItemType]]="EVAP KIT SF GEN IV",Query1[[#This Row],[OrderQty]]+I1239,I1239)</f>
        <v>1344</v>
      </c>
      <c r="J1240" s="1">
        <f>IF(Query1[[#This Row],[ItemType]]="EVAP KIT UNIVERSAL",Query1[[#This Row],[OrderQty]]+J1239,J1239)</f>
        <v>588</v>
      </c>
      <c r="K1240" s="1">
        <f>Query1[[#This Row],[SF Running Total]]+Query1[[#This Row],[UNIV Running Total]]</f>
        <v>1932</v>
      </c>
      <c r="L1240">
        <f>VLOOKUP(Query1[[#This Row],[Description]],'kits to boards'!$B$2:$E$156,2,FALSE)</f>
        <v>830001</v>
      </c>
      <c r="M1240">
        <f>VLOOKUP(Query1[[#This Row],[Description]],'kits to boards'!$B$2:$E$156,3,FALSE)</f>
        <v>0</v>
      </c>
      <c r="N1240">
        <f>VLOOKUP(Query1[[#This Row],[Description]],'kits to boards'!$B$2:$E$156,4,FALSE)</f>
        <v>0</v>
      </c>
      <c r="O1240" t="str">
        <f>CONCATENATE(Query1[[#This Row],[Description]]," - ",Query1[[#This Row],[MB1]]," - ",Query1[[#This Row],[MB2]]," - ",Query1[[#This Row],[MB3]])</f>
        <v>EVAP KIT 73-80 CHEV P-UP W/AC - 830001 - 0 - 0</v>
      </c>
    </row>
    <row r="1241" spans="1:15" x14ac:dyDescent="0.25">
      <c r="A1241" s="1">
        <v>912128</v>
      </c>
      <c r="B1241" s="1" t="s">
        <v>50</v>
      </c>
      <c r="C1241" s="1" t="s">
        <v>51</v>
      </c>
      <c r="D1241" s="2">
        <v>44614.549867592592</v>
      </c>
      <c r="E1241" s="1" t="s">
        <v>8</v>
      </c>
      <c r="F1241" s="1">
        <v>1</v>
      </c>
      <c r="G1241" s="1">
        <v>0</v>
      </c>
      <c r="H1241" s="6">
        <f>INT(Query1[[#This Row],[EntryDateTime]])</f>
        <v>44614</v>
      </c>
      <c r="I1241" s="1">
        <f>IF(Query1[[#This Row],[ItemType]]="EVAP KIT SF GEN IV",Query1[[#This Row],[OrderQty]]+I1240,I1240)</f>
        <v>1345</v>
      </c>
      <c r="J1241" s="1">
        <f>IF(Query1[[#This Row],[ItemType]]="EVAP KIT UNIVERSAL",Query1[[#This Row],[OrderQty]]+J1240,J1240)</f>
        <v>588</v>
      </c>
      <c r="K1241" s="1">
        <f>Query1[[#This Row],[SF Running Total]]+Query1[[#This Row],[UNIV Running Total]]</f>
        <v>1933</v>
      </c>
      <c r="L1241">
        <f>VLOOKUP(Query1[[#This Row],[Description]],'kits to boards'!$B$2:$E$156,2,FALSE)</f>
        <v>830043</v>
      </c>
      <c r="M1241">
        <f>VLOOKUP(Query1[[#This Row],[Description]],'kits to boards'!$B$2:$E$156,3,FALSE)</f>
        <v>0</v>
      </c>
      <c r="N1241">
        <f>VLOOKUP(Query1[[#This Row],[Description]],'kits to boards'!$B$2:$E$156,4,FALSE)</f>
        <v>0</v>
      </c>
      <c r="O1241" t="str">
        <f>CONCATENATE(Query1[[#This Row],[Description]]," - ",Query1[[#This Row],[MB1]]," - ",Query1[[#This Row],[MB2]]," - ",Query1[[#This Row],[MB3]])</f>
        <v>EVAP KIT 69-74 NOVA WO AC - 830043 - 0 - 0</v>
      </c>
    </row>
    <row r="1242" spans="1:15" x14ac:dyDescent="0.25">
      <c r="A1242" s="1">
        <v>912129</v>
      </c>
      <c r="B1242" s="1" t="s">
        <v>214</v>
      </c>
      <c r="C1242" s="1" t="s">
        <v>215</v>
      </c>
      <c r="D1242" s="2">
        <v>44614.553717361108</v>
      </c>
      <c r="E1242" s="1" t="s">
        <v>8</v>
      </c>
      <c r="F1242" s="1">
        <v>1</v>
      </c>
      <c r="G1242" s="1">
        <v>0</v>
      </c>
      <c r="H1242" s="6">
        <f>INT(Query1[[#This Row],[EntryDateTime]])</f>
        <v>44614</v>
      </c>
      <c r="I1242" s="1">
        <f>IF(Query1[[#This Row],[ItemType]]="EVAP KIT SF GEN IV",Query1[[#This Row],[OrderQty]]+I1241,I1241)</f>
        <v>1346</v>
      </c>
      <c r="J1242" s="1">
        <f>IF(Query1[[#This Row],[ItemType]]="EVAP KIT UNIVERSAL",Query1[[#This Row],[OrderQty]]+J1241,J1241)</f>
        <v>588</v>
      </c>
      <c r="K1242" s="1">
        <f>Query1[[#This Row],[SF Running Total]]+Query1[[#This Row],[UNIV Running Total]]</f>
        <v>1934</v>
      </c>
      <c r="L1242">
        <f>VLOOKUP(Query1[[#This Row],[Description]],'kits to boards'!$B$2:$E$156,2,FALSE)</f>
        <v>830072</v>
      </c>
      <c r="M1242">
        <f>VLOOKUP(Query1[[#This Row],[Description]],'kits to boards'!$B$2:$E$156,3,FALSE)</f>
        <v>0</v>
      </c>
      <c r="N1242">
        <f>VLOOKUP(Query1[[#This Row],[Description]],'kits to boards'!$B$2:$E$156,4,FALSE)</f>
        <v>0</v>
      </c>
      <c r="O1242" t="str">
        <f>CONCATENATE(Query1[[#This Row],[Description]]," - ",Query1[[#This Row],[MB1]]," - ",Query1[[#This Row],[MB2]]," - ",Query1[[#This Row],[MB3]])</f>
        <v>EVAP KIT 68 MOPAR B BODY WO AC - 830072 - 0 - 0</v>
      </c>
    </row>
    <row r="1243" spans="1:15" x14ac:dyDescent="0.25">
      <c r="A1243" s="1">
        <v>912131</v>
      </c>
      <c r="B1243" s="1" t="s">
        <v>46</v>
      </c>
      <c r="C1243" s="1" t="s">
        <v>47</v>
      </c>
      <c r="D1243" s="2">
        <v>44614.556774652781</v>
      </c>
      <c r="E1243" s="1" t="s">
        <v>8</v>
      </c>
      <c r="F1243" s="1">
        <v>1</v>
      </c>
      <c r="G1243" s="1">
        <v>0</v>
      </c>
      <c r="H1243" s="6">
        <f>INT(Query1[[#This Row],[EntryDateTime]])</f>
        <v>44614</v>
      </c>
      <c r="I1243" s="1">
        <f>IF(Query1[[#This Row],[ItemType]]="EVAP KIT SF GEN IV",Query1[[#This Row],[OrderQty]]+I1242,I1242)</f>
        <v>1347</v>
      </c>
      <c r="J1243" s="1">
        <f>IF(Query1[[#This Row],[ItemType]]="EVAP KIT UNIVERSAL",Query1[[#This Row],[OrderQty]]+J1242,J1242)</f>
        <v>588</v>
      </c>
      <c r="K1243" s="1">
        <f>Query1[[#This Row],[SF Running Total]]+Query1[[#This Row],[UNIV Running Total]]</f>
        <v>1935</v>
      </c>
      <c r="L1243">
        <f>VLOOKUP(Query1[[#This Row],[Description]],'kits to boards'!$B$2:$E$156,2,FALSE)</f>
        <v>830018</v>
      </c>
      <c r="M1243">
        <f>VLOOKUP(Query1[[#This Row],[Description]],'kits to boards'!$B$2:$E$156,3,FALSE)</f>
        <v>0</v>
      </c>
      <c r="N1243">
        <f>VLOOKUP(Query1[[#This Row],[Description]],'kits to boards'!$B$2:$E$156,4,FALSE)</f>
        <v>0</v>
      </c>
      <c r="O1243" t="str">
        <f>CONCATENATE(Query1[[#This Row],[Description]]," - ",Query1[[#This Row],[MB1]]," - ",Query1[[#This Row],[MB2]]," - ",Query1[[#This Row],[MB3]])</f>
        <v>EVAP KIT 68-72 FORD P-UP F-100 - 830018 - 0 - 0</v>
      </c>
    </row>
    <row r="1244" spans="1:15" x14ac:dyDescent="0.25">
      <c r="A1244" s="1">
        <v>912138</v>
      </c>
      <c r="B1244" s="1" t="s">
        <v>156</v>
      </c>
      <c r="C1244" s="1" t="s">
        <v>157</v>
      </c>
      <c r="D1244" s="2">
        <v>44614.568505405092</v>
      </c>
      <c r="E1244" s="1" t="s">
        <v>8</v>
      </c>
      <c r="F1244" s="1">
        <v>1</v>
      </c>
      <c r="G1244" s="1">
        <v>0</v>
      </c>
      <c r="H1244" s="6">
        <f>INT(Query1[[#This Row],[EntryDateTime]])</f>
        <v>44614</v>
      </c>
      <c r="I1244" s="1">
        <f>IF(Query1[[#This Row],[ItemType]]="EVAP KIT SF GEN IV",Query1[[#This Row],[OrderQty]]+I1243,I1243)</f>
        <v>1348</v>
      </c>
      <c r="J1244" s="1">
        <f>IF(Query1[[#This Row],[ItemType]]="EVAP KIT UNIVERSAL",Query1[[#This Row],[OrderQty]]+J1243,J1243)</f>
        <v>588</v>
      </c>
      <c r="K1244" s="1">
        <f>Query1[[#This Row],[SF Running Total]]+Query1[[#This Row],[UNIV Running Total]]</f>
        <v>1936</v>
      </c>
      <c r="L1244">
        <f>VLOOKUP(Query1[[#This Row],[Description]],'kits to boards'!$B$2:$E$156,2,FALSE)</f>
        <v>830019</v>
      </c>
      <c r="M1244">
        <f>VLOOKUP(Query1[[#This Row],[Description]],'kits to boards'!$B$2:$E$156,3,FALSE)</f>
        <v>0</v>
      </c>
      <c r="N1244">
        <f>VLOOKUP(Query1[[#This Row],[Description]],'kits to boards'!$B$2:$E$156,4,FALSE)</f>
        <v>0</v>
      </c>
      <c r="O1244" t="str">
        <f>CONCATENATE(Query1[[#This Row],[Description]]," - ",Query1[[#This Row],[MB1]]," - ",Query1[[#This Row],[MB2]]," - ",Query1[[#This Row],[MB3]])</f>
        <v>EVAP KIT 70-81 FIREBIRD WO AC - 830019 - 0 - 0</v>
      </c>
    </row>
    <row r="1245" spans="1:15" x14ac:dyDescent="0.25">
      <c r="A1245" s="1">
        <v>912137</v>
      </c>
      <c r="B1245" s="1" t="s">
        <v>14</v>
      </c>
      <c r="C1245" s="1" t="s">
        <v>15</v>
      </c>
      <c r="D1245" s="2">
        <v>44614.569870104169</v>
      </c>
      <c r="E1245" s="1" t="s">
        <v>8</v>
      </c>
      <c r="F1245" s="1">
        <v>1</v>
      </c>
      <c r="G1245" s="1">
        <v>0</v>
      </c>
      <c r="H1245" s="6">
        <f>INT(Query1[[#This Row],[EntryDateTime]])</f>
        <v>44614</v>
      </c>
      <c r="I1245" s="1">
        <f>IF(Query1[[#This Row],[ItemType]]="EVAP KIT SF GEN IV",Query1[[#This Row],[OrderQty]]+I1244,I1244)</f>
        <v>1349</v>
      </c>
      <c r="J1245" s="1">
        <f>IF(Query1[[#This Row],[ItemType]]="EVAP KIT UNIVERSAL",Query1[[#This Row],[OrderQty]]+J1244,J1244)</f>
        <v>588</v>
      </c>
      <c r="K1245" s="1">
        <f>Query1[[#This Row],[SF Running Total]]+Query1[[#This Row],[UNIV Running Total]]</f>
        <v>1937</v>
      </c>
      <c r="L1245">
        <f>VLOOKUP(Query1[[#This Row],[Description]],'kits to boards'!$B$2:$E$156,2,FALSE)</f>
        <v>830054</v>
      </c>
      <c r="M1245">
        <f>VLOOKUP(Query1[[#This Row],[Description]],'kits to boards'!$B$2:$E$156,3,FALSE)</f>
        <v>0</v>
      </c>
      <c r="N1245">
        <f>VLOOKUP(Query1[[#This Row],[Description]],'kits to boards'!$B$2:$E$156,4,FALSE)</f>
        <v>0</v>
      </c>
      <c r="O1245" t="str">
        <f>CONCATENATE(Query1[[#This Row],[Description]]," - ",Query1[[#This Row],[MB1]]," - ",Query1[[#This Row],[MB2]]," - ",Query1[[#This Row],[MB3]])</f>
        <v>EVAP KIT 55-56 CHEVY - 830054 - 0 - 0</v>
      </c>
    </row>
    <row r="1246" spans="1:15" x14ac:dyDescent="0.25">
      <c r="A1246" s="1">
        <v>911680</v>
      </c>
      <c r="B1246" s="1" t="s">
        <v>184</v>
      </c>
      <c r="C1246" s="1" t="s">
        <v>185</v>
      </c>
      <c r="D1246" s="2">
        <v>44614.572374074072</v>
      </c>
      <c r="E1246" s="1" t="s">
        <v>8</v>
      </c>
      <c r="F1246" s="1">
        <v>1</v>
      </c>
      <c r="G1246" s="1">
        <v>0</v>
      </c>
      <c r="H1246" s="6">
        <f>INT(Query1[[#This Row],[EntryDateTime]])</f>
        <v>44614</v>
      </c>
      <c r="I1246" s="1">
        <f>IF(Query1[[#This Row],[ItemType]]="EVAP KIT SF GEN IV",Query1[[#This Row],[OrderQty]]+I1245,I1245)</f>
        <v>1350</v>
      </c>
      <c r="J1246" s="1">
        <f>IF(Query1[[#This Row],[ItemType]]="EVAP KIT UNIVERSAL",Query1[[#This Row],[OrderQty]]+J1245,J1245)</f>
        <v>588</v>
      </c>
      <c r="K1246" s="1">
        <f>Query1[[#This Row],[SF Running Total]]+Query1[[#This Row],[UNIV Running Total]]</f>
        <v>1938</v>
      </c>
      <c r="L1246">
        <f>VLOOKUP(Query1[[#This Row],[Description]],'kits to boards'!$B$2:$E$156,2,FALSE)</f>
        <v>830042</v>
      </c>
      <c r="M1246">
        <f>VLOOKUP(Query1[[#This Row],[Description]],'kits to boards'!$B$2:$E$156,3,FALSE)</f>
        <v>0</v>
      </c>
      <c r="N1246">
        <f>VLOOKUP(Query1[[#This Row],[Description]],'kits to boards'!$B$2:$E$156,4,FALSE)</f>
        <v>0</v>
      </c>
      <c r="O1246" t="str">
        <f>CONCATENATE(Query1[[#This Row],[Description]]," - ",Query1[[#This Row],[MB1]]," - ",Query1[[#This Row],[MB2]]," - ",Query1[[#This Row],[MB3]])</f>
        <v>EVAP KIT 68-83 TOYOTA FJ40 - 830042 - 0 - 0</v>
      </c>
    </row>
    <row r="1247" spans="1:15" x14ac:dyDescent="0.25">
      <c r="A1247" s="1">
        <v>912163</v>
      </c>
      <c r="B1247" s="1" t="s">
        <v>222</v>
      </c>
      <c r="C1247" s="1" t="s">
        <v>223</v>
      </c>
      <c r="D1247" s="2">
        <v>44614.608329282404</v>
      </c>
      <c r="E1247" s="1" t="s">
        <v>8</v>
      </c>
      <c r="F1247" s="1">
        <v>1</v>
      </c>
      <c r="G1247" s="1">
        <v>0</v>
      </c>
      <c r="H1247" s="6">
        <f>INT(Query1[[#This Row],[EntryDateTime]])</f>
        <v>44614</v>
      </c>
      <c r="I1247" s="1">
        <f>IF(Query1[[#This Row],[ItemType]]="EVAP KIT SF GEN IV",Query1[[#This Row],[OrderQty]]+I1246,I1246)</f>
        <v>1351</v>
      </c>
      <c r="J1247" s="1">
        <f>IF(Query1[[#This Row],[ItemType]]="EVAP KIT UNIVERSAL",Query1[[#This Row],[OrderQty]]+J1246,J1246)</f>
        <v>588</v>
      </c>
      <c r="K1247" s="1">
        <f>Query1[[#This Row],[SF Running Total]]+Query1[[#This Row],[UNIV Running Total]]</f>
        <v>1939</v>
      </c>
      <c r="L1247">
        <f>VLOOKUP(Query1[[#This Row],[Description]],'kits to boards'!$B$2:$E$156,2,FALSE)</f>
        <v>830093</v>
      </c>
      <c r="M1247">
        <f>VLOOKUP(Query1[[#This Row],[Description]],'kits to boards'!$B$2:$E$156,3,FALSE)</f>
        <v>0</v>
      </c>
      <c r="N1247">
        <f>VLOOKUP(Query1[[#This Row],[Description]],'kits to boards'!$B$2:$E$156,4,FALSE)</f>
        <v>0</v>
      </c>
      <c r="O1247" t="str">
        <f>CONCATENATE(Query1[[#This Row],[Description]]," - ",Query1[[#This Row],[MB1]]," - ",Query1[[#This Row],[MB2]]," - ",Query1[[#This Row],[MB3]])</f>
        <v>EVAP KIT 67 VETTE WO AC - 830093 - 0 - 0</v>
      </c>
    </row>
    <row r="1248" spans="1:15" x14ac:dyDescent="0.25">
      <c r="A1248" s="1">
        <v>912170</v>
      </c>
      <c r="B1248" s="1" t="s">
        <v>90</v>
      </c>
      <c r="C1248" s="1" t="s">
        <v>91</v>
      </c>
      <c r="D1248" s="2">
        <v>44614.623878703707</v>
      </c>
      <c r="E1248" s="1" t="s">
        <v>8</v>
      </c>
      <c r="F1248" s="1">
        <v>1</v>
      </c>
      <c r="G1248" s="1">
        <v>0</v>
      </c>
      <c r="H1248" s="6">
        <f>INT(Query1[[#This Row],[EntryDateTime]])</f>
        <v>44614</v>
      </c>
      <c r="I1248" s="1">
        <f>IF(Query1[[#This Row],[ItemType]]="EVAP KIT SF GEN IV",Query1[[#This Row],[OrderQty]]+I1247,I1247)</f>
        <v>1352</v>
      </c>
      <c r="J1248" s="1">
        <f>IF(Query1[[#This Row],[ItemType]]="EVAP KIT UNIVERSAL",Query1[[#This Row],[OrderQty]]+J1247,J1247)</f>
        <v>588</v>
      </c>
      <c r="K1248" s="1">
        <f>Query1[[#This Row],[SF Running Total]]+Query1[[#This Row],[UNIV Running Total]]</f>
        <v>1940</v>
      </c>
      <c r="L1248">
        <f>VLOOKUP(Query1[[#This Row],[Description]],'kits to boards'!$B$2:$E$156,2,FALSE)</f>
        <v>830105</v>
      </c>
      <c r="M1248">
        <f>VLOOKUP(Query1[[#This Row],[Description]],'kits to boards'!$B$2:$E$156,3,FALSE)</f>
        <v>830106</v>
      </c>
      <c r="N1248">
        <f>VLOOKUP(Query1[[#This Row],[Description]],'kits to boards'!$B$2:$E$156,4,FALSE)</f>
        <v>0</v>
      </c>
      <c r="O1248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1249" spans="1:15" x14ac:dyDescent="0.25">
      <c r="A1249" s="1">
        <v>912171</v>
      </c>
      <c r="B1249" s="1" t="s">
        <v>28</v>
      </c>
      <c r="C1249" s="1" t="s">
        <v>29</v>
      </c>
      <c r="D1249" s="2">
        <v>44614.625877627317</v>
      </c>
      <c r="E1249" s="1" t="s">
        <v>8</v>
      </c>
      <c r="F1249" s="1">
        <v>1</v>
      </c>
      <c r="G1249" s="1">
        <v>0</v>
      </c>
      <c r="H1249" s="6">
        <f>INT(Query1[[#This Row],[EntryDateTime]])</f>
        <v>44614</v>
      </c>
      <c r="I1249" s="1">
        <f>IF(Query1[[#This Row],[ItemType]]="EVAP KIT SF GEN IV",Query1[[#This Row],[OrderQty]]+I1248,I1248)</f>
        <v>1353</v>
      </c>
      <c r="J1249" s="1">
        <f>IF(Query1[[#This Row],[ItemType]]="EVAP KIT UNIVERSAL",Query1[[#This Row],[OrderQty]]+J1248,J1248)</f>
        <v>588</v>
      </c>
      <c r="K1249" s="1">
        <f>Query1[[#This Row],[SF Running Total]]+Query1[[#This Row],[UNIV Running Total]]</f>
        <v>1941</v>
      </c>
      <c r="L1249">
        <f>VLOOKUP(Query1[[#This Row],[Description]],'kits to boards'!$B$2:$E$156,2,FALSE)</f>
        <v>830001</v>
      </c>
      <c r="M1249">
        <f>VLOOKUP(Query1[[#This Row],[Description]],'kits to boards'!$B$2:$E$156,3,FALSE)</f>
        <v>0</v>
      </c>
      <c r="N1249">
        <f>VLOOKUP(Query1[[#This Row],[Description]],'kits to boards'!$B$2:$E$156,4,FALSE)</f>
        <v>0</v>
      </c>
      <c r="O1249" t="str">
        <f>CONCATENATE(Query1[[#This Row],[Description]]," - ",Query1[[#This Row],[MB1]]," - ",Query1[[#This Row],[MB2]]," - ",Query1[[#This Row],[MB3]])</f>
        <v>EVAP KIT 73-80 CHEV P-UP W/AC - 830001 - 0 - 0</v>
      </c>
    </row>
    <row r="1250" spans="1:15" x14ac:dyDescent="0.25">
      <c r="A1250" s="1">
        <v>912174</v>
      </c>
      <c r="B1250" s="1" t="s">
        <v>112</v>
      </c>
      <c r="C1250" s="1" t="s">
        <v>113</v>
      </c>
      <c r="D1250" s="2">
        <v>44614.631737581018</v>
      </c>
      <c r="E1250" s="1" t="s">
        <v>8</v>
      </c>
      <c r="F1250" s="1">
        <v>1</v>
      </c>
      <c r="G1250" s="1">
        <v>0</v>
      </c>
      <c r="H1250" s="6">
        <f>INT(Query1[[#This Row],[EntryDateTime]])</f>
        <v>44614</v>
      </c>
      <c r="I1250" s="1">
        <f>IF(Query1[[#This Row],[ItemType]]="EVAP KIT SF GEN IV",Query1[[#This Row],[OrderQty]]+I1249,I1249)</f>
        <v>1354</v>
      </c>
      <c r="J1250" s="1">
        <f>IF(Query1[[#This Row],[ItemType]]="EVAP KIT UNIVERSAL",Query1[[#This Row],[OrderQty]]+J1249,J1249)</f>
        <v>588</v>
      </c>
      <c r="K1250" s="1">
        <f>Query1[[#This Row],[SF Running Total]]+Query1[[#This Row],[UNIV Running Total]]</f>
        <v>1942</v>
      </c>
      <c r="L1250">
        <f>VLOOKUP(Query1[[#This Row],[Description]],'kits to boards'!$B$2:$E$156,2,FALSE)</f>
        <v>830063</v>
      </c>
      <c r="M1250">
        <f>VLOOKUP(Query1[[#This Row],[Description]],'kits to boards'!$B$2:$E$156,3,FALSE)</f>
        <v>0</v>
      </c>
      <c r="N1250">
        <f>VLOOKUP(Query1[[#This Row],[Description]],'kits to boards'!$B$2:$E$156,4,FALSE)</f>
        <v>0</v>
      </c>
      <c r="O1250" t="str">
        <f>CONCATENATE(Query1[[#This Row],[Description]]," - ",Query1[[#This Row],[MB1]]," - ",Query1[[#This Row],[MB2]]," - ",Query1[[#This Row],[MB3]])</f>
        <v>EVAP KIT 54-55 CHEV P-UP GEN IV - 830063 - 0 - 0</v>
      </c>
    </row>
    <row r="1251" spans="1:15" x14ac:dyDescent="0.25">
      <c r="A1251" s="1">
        <v>912113</v>
      </c>
      <c r="B1251" s="1" t="s">
        <v>66</v>
      </c>
      <c r="C1251" s="1" t="s">
        <v>67</v>
      </c>
      <c r="D1251" s="2">
        <v>44614.643034490742</v>
      </c>
      <c r="E1251" s="1" t="s">
        <v>8</v>
      </c>
      <c r="F1251" s="1">
        <v>1</v>
      </c>
      <c r="G1251" s="1">
        <v>0</v>
      </c>
      <c r="H1251" s="6">
        <f>INT(Query1[[#This Row],[EntryDateTime]])</f>
        <v>44614</v>
      </c>
      <c r="I1251" s="1">
        <f>IF(Query1[[#This Row],[ItemType]]="EVAP KIT SF GEN IV",Query1[[#This Row],[OrderQty]]+I1250,I1250)</f>
        <v>1355</v>
      </c>
      <c r="J1251" s="1">
        <f>IF(Query1[[#This Row],[ItemType]]="EVAP KIT UNIVERSAL",Query1[[#This Row],[OrderQty]]+J1250,J1250)</f>
        <v>588</v>
      </c>
      <c r="K1251" s="1">
        <f>Query1[[#This Row],[SF Running Total]]+Query1[[#This Row],[UNIV Running Total]]</f>
        <v>1943</v>
      </c>
      <c r="L1251">
        <f>VLOOKUP(Query1[[#This Row],[Description]],'kits to boards'!$B$2:$E$156,2,FALSE)</f>
        <v>830060</v>
      </c>
      <c r="M1251">
        <f>VLOOKUP(Query1[[#This Row],[Description]],'kits to boards'!$B$2:$E$156,3,FALSE)</f>
        <v>0</v>
      </c>
      <c r="N1251">
        <f>VLOOKUP(Query1[[#This Row],[Description]],'kits to boards'!$B$2:$E$156,4,FALSE)</f>
        <v>0</v>
      </c>
      <c r="O1251" t="str">
        <f>CONCATENATE(Query1[[#This Row],[Description]]," - ",Query1[[#This Row],[MB1]]," - ",Query1[[#This Row],[MB2]]," - ",Query1[[#This Row],[MB3]])</f>
        <v>EVAP KIT 66-67 CHEVELLE WO AC - 830060 - 0 - 0</v>
      </c>
    </row>
    <row r="1252" spans="1:15" x14ac:dyDescent="0.25">
      <c r="A1252" s="1">
        <v>912179</v>
      </c>
      <c r="B1252" s="1" t="s">
        <v>198</v>
      </c>
      <c r="C1252" s="1" t="s">
        <v>199</v>
      </c>
      <c r="D1252" s="2">
        <v>44614.644871180557</v>
      </c>
      <c r="E1252" s="1" t="s">
        <v>8</v>
      </c>
      <c r="F1252" s="1">
        <v>1</v>
      </c>
      <c r="G1252" s="1">
        <v>0</v>
      </c>
      <c r="H1252" s="6">
        <f>INT(Query1[[#This Row],[EntryDateTime]])</f>
        <v>44614</v>
      </c>
      <c r="I1252" s="1">
        <f>IF(Query1[[#This Row],[ItemType]]="EVAP KIT SF GEN IV",Query1[[#This Row],[OrderQty]]+I1251,I1251)</f>
        <v>1356</v>
      </c>
      <c r="J1252" s="1">
        <f>IF(Query1[[#This Row],[ItemType]]="EVAP KIT UNIVERSAL",Query1[[#This Row],[OrderQty]]+J1251,J1251)</f>
        <v>588</v>
      </c>
      <c r="K1252" s="1">
        <f>Query1[[#This Row],[SF Running Total]]+Query1[[#This Row],[UNIV Running Total]]</f>
        <v>1944</v>
      </c>
      <c r="L1252">
        <f>VLOOKUP(Query1[[#This Row],[Description]],'kits to boards'!$B$2:$E$156,2,FALSE)</f>
        <v>830042</v>
      </c>
      <c r="M1252">
        <f>VLOOKUP(Query1[[#This Row],[Description]],'kits to boards'!$B$2:$E$156,3,FALSE)</f>
        <v>0</v>
      </c>
      <c r="N1252">
        <f>VLOOKUP(Query1[[#This Row],[Description]],'kits to boards'!$B$2:$E$156,4,FALSE)</f>
        <v>0</v>
      </c>
      <c r="O1252" t="str">
        <f>CONCATENATE(Query1[[#This Row],[Description]]," - ",Query1[[#This Row],[MB1]]," - ",Query1[[#This Row],[MB2]]," - ",Query1[[#This Row],[MB3]])</f>
        <v>EVAP KIT 68-83 TOYOTA FJ40 ULTRA HIGH PERF - 830042 - 0 - 0</v>
      </c>
    </row>
    <row r="1253" spans="1:15" x14ac:dyDescent="0.25">
      <c r="A1253" s="1">
        <v>912187</v>
      </c>
      <c r="B1253" s="1" t="s">
        <v>22</v>
      </c>
      <c r="C1253" s="1" t="s">
        <v>23</v>
      </c>
      <c r="D1253" s="2">
        <v>44614.66563171296</v>
      </c>
      <c r="E1253" s="1" t="s">
        <v>8</v>
      </c>
      <c r="F1253" s="1">
        <v>1</v>
      </c>
      <c r="G1253" s="1">
        <v>0</v>
      </c>
      <c r="H1253" s="6">
        <f>INT(Query1[[#This Row],[EntryDateTime]])</f>
        <v>44614</v>
      </c>
      <c r="I1253" s="1">
        <f>IF(Query1[[#This Row],[ItemType]]="EVAP KIT SF GEN IV",Query1[[#This Row],[OrderQty]]+I1252,I1252)</f>
        <v>1357</v>
      </c>
      <c r="J1253" s="1">
        <f>IF(Query1[[#This Row],[ItemType]]="EVAP KIT UNIVERSAL",Query1[[#This Row],[OrderQty]]+J1252,J1252)</f>
        <v>588</v>
      </c>
      <c r="K1253" s="1">
        <f>Query1[[#This Row],[SF Running Total]]+Query1[[#This Row],[UNIV Running Total]]</f>
        <v>1945</v>
      </c>
      <c r="L1253">
        <f>VLOOKUP(Query1[[#This Row],[Description]],'kits to boards'!$B$2:$E$156,2,FALSE)</f>
        <v>830083</v>
      </c>
      <c r="M1253">
        <f>VLOOKUP(Query1[[#This Row],[Description]],'kits to boards'!$B$2:$E$156,3,FALSE)</f>
        <v>0</v>
      </c>
      <c r="N1253">
        <f>VLOOKUP(Query1[[#This Row],[Description]],'kits to boards'!$B$2:$E$156,4,FALSE)</f>
        <v>0</v>
      </c>
      <c r="O1253" t="str">
        <f>CONCATENATE(Query1[[#This Row],[Description]]," - ",Query1[[#This Row],[MB1]]," - ",Query1[[#This Row],[MB2]]," - ",Query1[[#This Row],[MB3]])</f>
        <v>GEN IV MAGNUM EVAP KIT - 830083 - 0 - 0</v>
      </c>
    </row>
    <row r="1254" spans="1:15" x14ac:dyDescent="0.25">
      <c r="A1254" s="1">
        <v>912189</v>
      </c>
      <c r="B1254" s="1" t="s">
        <v>54</v>
      </c>
      <c r="C1254" s="1" t="s">
        <v>55</v>
      </c>
      <c r="D1254" s="2">
        <v>44614.669478090276</v>
      </c>
      <c r="E1254" s="1" t="s">
        <v>8</v>
      </c>
      <c r="F1254" s="1">
        <v>1</v>
      </c>
      <c r="G1254" s="1">
        <v>0</v>
      </c>
      <c r="H1254" s="6">
        <f>INT(Query1[[#This Row],[EntryDateTime]])</f>
        <v>44614</v>
      </c>
      <c r="I1254" s="1">
        <f>IF(Query1[[#This Row],[ItemType]]="EVAP KIT SF GEN IV",Query1[[#This Row],[OrderQty]]+I1253,I1253)</f>
        <v>1358</v>
      </c>
      <c r="J1254" s="1">
        <f>IF(Query1[[#This Row],[ItemType]]="EVAP KIT UNIVERSAL",Query1[[#This Row],[OrderQty]]+J1253,J1253)</f>
        <v>588</v>
      </c>
      <c r="K1254" s="1">
        <f>Query1[[#This Row],[SF Running Total]]+Query1[[#This Row],[UNIV Running Total]]</f>
        <v>1946</v>
      </c>
      <c r="L1254">
        <f>VLOOKUP(Query1[[#This Row],[Description]],'kits to boards'!$B$2:$E$156,2,FALSE)</f>
        <v>830037</v>
      </c>
      <c r="M1254">
        <f>VLOOKUP(Query1[[#This Row],[Description]],'kits to boards'!$B$2:$E$156,3,FALSE)</f>
        <v>0</v>
      </c>
      <c r="N1254">
        <f>VLOOKUP(Query1[[#This Row],[Description]],'kits to boards'!$B$2:$E$156,4,FALSE)</f>
        <v>0</v>
      </c>
      <c r="O1254" t="str">
        <f>CONCATENATE(Query1[[#This Row],[Description]]," - ",Query1[[#This Row],[MB1]]," - ",Query1[[#This Row],[MB2]]," - ",Query1[[#This Row],[MB3]])</f>
        <v>EVAP KIT 70-81 FIREBIRD W/AC - 830037 - 0 - 0</v>
      </c>
    </row>
    <row r="1255" spans="1:15" x14ac:dyDescent="0.25">
      <c r="A1255" s="1">
        <v>912190</v>
      </c>
      <c r="B1255" s="1" t="s">
        <v>92</v>
      </c>
      <c r="C1255" s="1" t="s">
        <v>93</v>
      </c>
      <c r="D1255" s="2">
        <v>44614.670769479169</v>
      </c>
      <c r="E1255" s="1" t="s">
        <v>8</v>
      </c>
      <c r="F1255" s="1">
        <v>1</v>
      </c>
      <c r="G1255" s="1">
        <v>0</v>
      </c>
      <c r="H1255" s="6">
        <f>INT(Query1[[#This Row],[EntryDateTime]])</f>
        <v>44614</v>
      </c>
      <c r="I1255" s="1">
        <f>IF(Query1[[#This Row],[ItemType]]="EVAP KIT SF GEN IV",Query1[[#This Row],[OrderQty]]+I1254,I1254)</f>
        <v>1359</v>
      </c>
      <c r="J1255" s="1">
        <f>IF(Query1[[#This Row],[ItemType]]="EVAP KIT UNIVERSAL",Query1[[#This Row],[OrderQty]]+J1254,J1254)</f>
        <v>588</v>
      </c>
      <c r="K1255" s="1">
        <f>Query1[[#This Row],[SF Running Total]]+Query1[[#This Row],[UNIV Running Total]]</f>
        <v>1947</v>
      </c>
      <c r="L1255">
        <f>VLOOKUP(Query1[[#This Row],[Description]],'kits to boards'!$B$2:$E$156,2,FALSE)</f>
        <v>830063</v>
      </c>
      <c r="M1255">
        <f>VLOOKUP(Query1[[#This Row],[Description]],'kits to boards'!$B$2:$E$156,3,FALSE)</f>
        <v>0</v>
      </c>
      <c r="N1255">
        <f>VLOOKUP(Query1[[#This Row],[Description]],'kits to boards'!$B$2:$E$156,4,FALSE)</f>
        <v>0</v>
      </c>
      <c r="O1255" t="str">
        <f>CONCATENATE(Query1[[#This Row],[Description]]," - ",Query1[[#This Row],[MB1]]," - ",Query1[[#This Row],[MB2]]," - ",Query1[[#This Row],[MB3]])</f>
        <v>EVAP KIT 50-53 CHEV P-UP GEN IV - 830063 - 0 - 0</v>
      </c>
    </row>
    <row r="1256" spans="1:15" x14ac:dyDescent="0.25">
      <c r="A1256" s="1">
        <v>912103</v>
      </c>
      <c r="B1256" s="1" t="s">
        <v>92</v>
      </c>
      <c r="C1256" s="1" t="s">
        <v>93</v>
      </c>
      <c r="D1256" s="2">
        <v>44614.672144756943</v>
      </c>
      <c r="E1256" s="1" t="s">
        <v>8</v>
      </c>
      <c r="F1256" s="1">
        <v>1</v>
      </c>
      <c r="G1256" s="1">
        <v>0</v>
      </c>
      <c r="H1256" s="6">
        <f>INT(Query1[[#This Row],[EntryDateTime]])</f>
        <v>44614</v>
      </c>
      <c r="I1256" s="1">
        <f>IF(Query1[[#This Row],[ItemType]]="EVAP KIT SF GEN IV",Query1[[#This Row],[OrderQty]]+I1255,I1255)</f>
        <v>1360</v>
      </c>
      <c r="J1256" s="1">
        <f>IF(Query1[[#This Row],[ItemType]]="EVAP KIT UNIVERSAL",Query1[[#This Row],[OrderQty]]+J1255,J1255)</f>
        <v>588</v>
      </c>
      <c r="K1256" s="1">
        <f>Query1[[#This Row],[SF Running Total]]+Query1[[#This Row],[UNIV Running Total]]</f>
        <v>1948</v>
      </c>
      <c r="L1256">
        <f>VLOOKUP(Query1[[#This Row],[Description]],'kits to boards'!$B$2:$E$156,2,FALSE)</f>
        <v>830063</v>
      </c>
      <c r="M1256">
        <f>VLOOKUP(Query1[[#This Row],[Description]],'kits to boards'!$B$2:$E$156,3,FALSE)</f>
        <v>0</v>
      </c>
      <c r="N1256">
        <f>VLOOKUP(Query1[[#This Row],[Description]],'kits to boards'!$B$2:$E$156,4,FALSE)</f>
        <v>0</v>
      </c>
      <c r="O1256" t="str">
        <f>CONCATENATE(Query1[[#This Row],[Description]]," - ",Query1[[#This Row],[MB1]]," - ",Query1[[#This Row],[MB2]]," - ",Query1[[#This Row],[MB3]])</f>
        <v>EVAP KIT 50-53 CHEV P-UP GEN IV - 830063 - 0 - 0</v>
      </c>
    </row>
    <row r="1257" spans="1:15" x14ac:dyDescent="0.25">
      <c r="A1257" s="1">
        <v>912100</v>
      </c>
      <c r="B1257" s="1" t="s">
        <v>92</v>
      </c>
      <c r="C1257" s="1" t="s">
        <v>93</v>
      </c>
      <c r="D1257" s="2">
        <v>44614.675565740741</v>
      </c>
      <c r="E1257" s="1" t="s">
        <v>8</v>
      </c>
      <c r="F1257" s="1">
        <v>1</v>
      </c>
      <c r="G1257" s="1">
        <v>0</v>
      </c>
      <c r="H1257" s="6">
        <f>INT(Query1[[#This Row],[EntryDateTime]])</f>
        <v>44614</v>
      </c>
      <c r="I1257" s="1">
        <f>IF(Query1[[#This Row],[ItemType]]="EVAP KIT SF GEN IV",Query1[[#This Row],[OrderQty]]+I1256,I1256)</f>
        <v>1361</v>
      </c>
      <c r="J1257" s="1">
        <f>IF(Query1[[#This Row],[ItemType]]="EVAP KIT UNIVERSAL",Query1[[#This Row],[OrderQty]]+J1256,J1256)</f>
        <v>588</v>
      </c>
      <c r="K1257" s="1">
        <f>Query1[[#This Row],[SF Running Total]]+Query1[[#This Row],[UNIV Running Total]]</f>
        <v>1949</v>
      </c>
      <c r="L1257">
        <f>VLOOKUP(Query1[[#This Row],[Description]],'kits to boards'!$B$2:$E$156,2,FALSE)</f>
        <v>830063</v>
      </c>
      <c r="M1257">
        <f>VLOOKUP(Query1[[#This Row],[Description]],'kits to boards'!$B$2:$E$156,3,FALSE)</f>
        <v>0</v>
      </c>
      <c r="N1257">
        <f>VLOOKUP(Query1[[#This Row],[Description]],'kits to boards'!$B$2:$E$156,4,FALSE)</f>
        <v>0</v>
      </c>
      <c r="O1257" t="str">
        <f>CONCATENATE(Query1[[#This Row],[Description]]," - ",Query1[[#This Row],[MB1]]," - ",Query1[[#This Row],[MB2]]," - ",Query1[[#This Row],[MB3]])</f>
        <v>EVAP KIT 50-53 CHEV P-UP GEN IV - 830063 - 0 - 0</v>
      </c>
    </row>
    <row r="1258" spans="1:15" x14ac:dyDescent="0.25">
      <c r="A1258" s="1">
        <v>912193</v>
      </c>
      <c r="B1258" s="1" t="s">
        <v>74</v>
      </c>
      <c r="C1258" s="1" t="s">
        <v>75</v>
      </c>
      <c r="D1258" s="2">
        <v>44614.684619479165</v>
      </c>
      <c r="E1258" s="1" t="s">
        <v>8</v>
      </c>
      <c r="F1258" s="1">
        <v>1</v>
      </c>
      <c r="G1258" s="1">
        <v>0</v>
      </c>
      <c r="H1258" s="6">
        <f>INT(Query1[[#This Row],[EntryDateTime]])</f>
        <v>44614</v>
      </c>
      <c r="I1258" s="1">
        <f>IF(Query1[[#This Row],[ItemType]]="EVAP KIT SF GEN IV",Query1[[#This Row],[OrderQty]]+I1257,I1257)</f>
        <v>1362</v>
      </c>
      <c r="J1258" s="1">
        <f>IF(Query1[[#This Row],[ItemType]]="EVAP KIT UNIVERSAL",Query1[[#This Row],[OrderQty]]+J1257,J1257)</f>
        <v>588</v>
      </c>
      <c r="K1258" s="1">
        <f>Query1[[#This Row],[SF Running Total]]+Query1[[#This Row],[UNIV Running Total]]</f>
        <v>1950</v>
      </c>
      <c r="L1258">
        <f>VLOOKUP(Query1[[#This Row],[Description]],'kits to boards'!$B$2:$E$156,2,FALSE)</f>
        <v>830065</v>
      </c>
      <c r="M1258">
        <f>VLOOKUP(Query1[[#This Row],[Description]],'kits to boards'!$B$2:$E$156,3,FALSE)</f>
        <v>0</v>
      </c>
      <c r="N1258">
        <f>VLOOKUP(Query1[[#This Row],[Description]],'kits to boards'!$B$2:$E$156,4,FALSE)</f>
        <v>0</v>
      </c>
      <c r="O1258" t="str">
        <f>CONCATENATE(Query1[[#This Row],[Description]]," - ",Query1[[#This Row],[MB1]]," - ",Query1[[#This Row],[MB2]]," - ",Query1[[#This Row],[MB3]])</f>
        <v>EVAP KIT 57 CHEV WO AC 4-VENT PLENUM - 830065 - 0 - 0</v>
      </c>
    </row>
    <row r="1259" spans="1:15" x14ac:dyDescent="0.25">
      <c r="A1259" s="1">
        <v>912197</v>
      </c>
      <c r="B1259" s="1" t="s">
        <v>94</v>
      </c>
      <c r="C1259" s="1" t="s">
        <v>95</v>
      </c>
      <c r="D1259" s="2">
        <v>44614.692049155092</v>
      </c>
      <c r="E1259" s="1" t="s">
        <v>8</v>
      </c>
      <c r="F1259" s="1">
        <v>1</v>
      </c>
      <c r="G1259" s="1">
        <v>0</v>
      </c>
      <c r="H1259" s="6">
        <f>INT(Query1[[#This Row],[EntryDateTime]])</f>
        <v>44614</v>
      </c>
      <c r="I1259" s="1">
        <f>IF(Query1[[#This Row],[ItemType]]="EVAP KIT SF GEN IV",Query1[[#This Row],[OrderQty]]+I1258,I1258)</f>
        <v>1363</v>
      </c>
      <c r="J1259" s="1">
        <f>IF(Query1[[#This Row],[ItemType]]="EVAP KIT UNIVERSAL",Query1[[#This Row],[OrderQty]]+J1258,J1258)</f>
        <v>588</v>
      </c>
      <c r="K1259" s="1">
        <f>Query1[[#This Row],[SF Running Total]]+Query1[[#This Row],[UNIV Running Total]]</f>
        <v>1951</v>
      </c>
      <c r="L1259">
        <f>VLOOKUP(Query1[[#This Row],[Description]],'kits to boards'!$B$2:$E$156,2,FALSE)</f>
        <v>830076</v>
      </c>
      <c r="M1259">
        <f>VLOOKUP(Query1[[#This Row],[Description]],'kits to boards'!$B$2:$E$156,3,FALSE)</f>
        <v>0</v>
      </c>
      <c r="N1259">
        <f>VLOOKUP(Query1[[#This Row],[Description]],'kits to boards'!$B$2:$E$156,4,FALSE)</f>
        <v>0</v>
      </c>
      <c r="O1259" t="str">
        <f>CONCATENATE(Query1[[#This Row],[Description]]," - ",Query1[[#This Row],[MB1]]," - ",Query1[[#This Row],[MB2]]," - ",Query1[[#This Row],[MB3]])</f>
        <v>EVAP KIT 64 1/2- 66 MUSTANG  - 830076 - 0 - 0</v>
      </c>
    </row>
    <row r="1260" spans="1:15" x14ac:dyDescent="0.25">
      <c r="A1260" s="1">
        <v>912199</v>
      </c>
      <c r="B1260" s="1" t="s">
        <v>110</v>
      </c>
      <c r="C1260" s="1" t="s">
        <v>111</v>
      </c>
      <c r="D1260" s="2">
        <v>44614.69871420139</v>
      </c>
      <c r="E1260" s="1" t="s">
        <v>8</v>
      </c>
      <c r="F1260" s="1">
        <v>1</v>
      </c>
      <c r="G1260" s="1">
        <v>0</v>
      </c>
      <c r="H1260" s="6">
        <f>INT(Query1[[#This Row],[EntryDateTime]])</f>
        <v>44614</v>
      </c>
      <c r="I1260" s="1">
        <f>IF(Query1[[#This Row],[ItemType]]="EVAP KIT SF GEN IV",Query1[[#This Row],[OrderQty]]+I1259,I1259)</f>
        <v>1364</v>
      </c>
      <c r="J1260" s="1">
        <f>IF(Query1[[#This Row],[ItemType]]="EVAP KIT UNIVERSAL",Query1[[#This Row],[OrderQty]]+J1259,J1259)</f>
        <v>588</v>
      </c>
      <c r="K1260" s="1">
        <f>Query1[[#This Row],[SF Running Total]]+Query1[[#This Row],[UNIV Running Total]]</f>
        <v>1952</v>
      </c>
      <c r="L1260">
        <f>VLOOKUP(Query1[[#This Row],[Description]],'kits to boards'!$B$2:$E$156,2,FALSE)</f>
        <v>830053</v>
      </c>
      <c r="M1260">
        <f>VLOOKUP(Query1[[#This Row],[Description]],'kits to boards'!$B$2:$E$156,3,FALSE)</f>
        <v>0</v>
      </c>
      <c r="N1260">
        <f>VLOOKUP(Query1[[#This Row],[Description]],'kits to boards'!$B$2:$E$156,4,FALSE)</f>
        <v>0</v>
      </c>
      <c r="O1260" t="str">
        <f>CONCATENATE(Query1[[#This Row],[Description]]," - ",Query1[[#This Row],[MB1]]," - ",Query1[[#This Row],[MB2]]," - ",Query1[[#This Row],[MB3]])</f>
        <v>EVAP KIT 65-66 FORD F-100 - 830053 - 0 - 0</v>
      </c>
    </row>
    <row r="1261" spans="1:15" x14ac:dyDescent="0.25">
      <c r="A1261" s="1">
        <v>912202</v>
      </c>
      <c r="B1261" s="1" t="s">
        <v>26</v>
      </c>
      <c r="C1261" s="1" t="s">
        <v>27</v>
      </c>
      <c r="D1261" s="2">
        <v>44615.307662766201</v>
      </c>
      <c r="E1261" s="1" t="s">
        <v>8</v>
      </c>
      <c r="F1261" s="1">
        <v>1</v>
      </c>
      <c r="G1261" s="1">
        <v>0</v>
      </c>
      <c r="H1261" s="6">
        <f>INT(Query1[[#This Row],[EntryDateTime]])</f>
        <v>44615</v>
      </c>
      <c r="I1261" s="1">
        <f>IF(Query1[[#This Row],[ItemType]]="EVAP KIT SF GEN IV",Query1[[#This Row],[OrderQty]]+I1260,I1260)</f>
        <v>1365</v>
      </c>
      <c r="J1261" s="1">
        <f>IF(Query1[[#This Row],[ItemType]]="EVAP KIT UNIVERSAL",Query1[[#This Row],[OrderQty]]+J1260,J1260)</f>
        <v>588</v>
      </c>
      <c r="K1261" s="1">
        <f>Query1[[#This Row],[SF Running Total]]+Query1[[#This Row],[UNIV Running Total]]</f>
        <v>1953</v>
      </c>
      <c r="L1261">
        <f>VLOOKUP(Query1[[#This Row],[Description]],'kits to boards'!$B$2:$E$156,2,FALSE)</f>
        <v>830013</v>
      </c>
      <c r="M1261">
        <f>VLOOKUP(Query1[[#This Row],[Description]],'kits to boards'!$B$2:$E$156,3,FALSE)</f>
        <v>0</v>
      </c>
      <c r="N1261">
        <f>VLOOKUP(Query1[[#This Row],[Description]],'kits to boards'!$B$2:$E$156,4,FALSE)</f>
        <v>0</v>
      </c>
      <c r="O1261" t="str">
        <f>CONCATENATE(Query1[[#This Row],[Description]]," - ",Query1[[#This Row],[MB1]]," - ",Query1[[#This Row],[MB2]]," - ",Query1[[#This Row],[MB3]])</f>
        <v>EVAP KIT 67-72 CHEV P-UP W/AC - 830013 - 0 - 0</v>
      </c>
    </row>
    <row r="1262" spans="1:15" x14ac:dyDescent="0.25">
      <c r="A1262" s="1">
        <v>912204</v>
      </c>
      <c r="B1262" s="1" t="s">
        <v>18</v>
      </c>
      <c r="C1262" s="1" t="s">
        <v>19</v>
      </c>
      <c r="D1262" s="2">
        <v>44615.314009374997</v>
      </c>
      <c r="E1262" s="1" t="s">
        <v>8</v>
      </c>
      <c r="F1262" s="1">
        <v>1</v>
      </c>
      <c r="G1262" s="1">
        <v>0</v>
      </c>
      <c r="H1262" s="6">
        <f>INT(Query1[[#This Row],[EntryDateTime]])</f>
        <v>44615</v>
      </c>
      <c r="I1262" s="1">
        <f>IF(Query1[[#This Row],[ItemType]]="EVAP KIT SF GEN IV",Query1[[#This Row],[OrderQty]]+I1261,I1261)</f>
        <v>1366</v>
      </c>
      <c r="J1262" s="1">
        <f>IF(Query1[[#This Row],[ItemType]]="EVAP KIT UNIVERSAL",Query1[[#This Row],[OrderQty]]+J1261,J1261)</f>
        <v>588</v>
      </c>
      <c r="K1262" s="1">
        <f>Query1[[#This Row],[SF Running Total]]+Query1[[#This Row],[UNIV Running Total]]</f>
        <v>1954</v>
      </c>
      <c r="L1262">
        <f>VLOOKUP(Query1[[#This Row],[Description]],'kits to boards'!$B$2:$E$156,2,FALSE)</f>
        <v>830051</v>
      </c>
      <c r="M1262">
        <f>VLOOKUP(Query1[[#This Row],[Description]],'kits to boards'!$B$2:$E$156,3,FALSE)</f>
        <v>0</v>
      </c>
      <c r="N1262">
        <f>VLOOKUP(Query1[[#This Row],[Description]],'kits to boards'!$B$2:$E$156,4,FALSE)</f>
        <v>0</v>
      </c>
      <c r="O1262" t="str">
        <f>CONCATENATE(Query1[[#This Row],[Description]]," - ",Query1[[#This Row],[MB1]]," - ",Query1[[#This Row],[MB2]]," - ",Query1[[#This Row],[MB3]])</f>
        <v>EVAP KIT 70-78 CAMARO W/AC - 830051 - 0 - 0</v>
      </c>
    </row>
    <row r="1263" spans="1:15" x14ac:dyDescent="0.25">
      <c r="A1263" s="1">
        <v>912211</v>
      </c>
      <c r="B1263" s="1" t="s">
        <v>108</v>
      </c>
      <c r="C1263" s="1" t="s">
        <v>109</v>
      </c>
      <c r="D1263" s="2">
        <v>44615.33186377315</v>
      </c>
      <c r="E1263" s="1" t="s">
        <v>8</v>
      </c>
      <c r="F1263" s="1">
        <v>1</v>
      </c>
      <c r="G1263" s="1">
        <v>0</v>
      </c>
      <c r="H1263" s="6">
        <f>INT(Query1[[#This Row],[EntryDateTime]])</f>
        <v>44615</v>
      </c>
      <c r="I1263" s="1">
        <f>IF(Query1[[#This Row],[ItemType]]="EVAP KIT SF GEN IV",Query1[[#This Row],[OrderQty]]+I1262,I1262)</f>
        <v>1367</v>
      </c>
      <c r="J1263" s="1">
        <f>IF(Query1[[#This Row],[ItemType]]="EVAP KIT UNIVERSAL",Query1[[#This Row],[OrderQty]]+J1262,J1262)</f>
        <v>588</v>
      </c>
      <c r="K1263" s="1">
        <f>Query1[[#This Row],[SF Running Total]]+Query1[[#This Row],[UNIV Running Total]]</f>
        <v>1955</v>
      </c>
      <c r="L1263">
        <f>VLOOKUP(Query1[[#This Row],[Description]],'kits to boards'!$B$2:$E$156,2,FALSE)</f>
        <v>830105</v>
      </c>
      <c r="M1263">
        <f>VLOOKUP(Query1[[#This Row],[Description]],'kits to boards'!$B$2:$E$156,3,FALSE)</f>
        <v>830106</v>
      </c>
      <c r="N1263">
        <f>VLOOKUP(Query1[[#This Row],[Description]],'kits to boards'!$B$2:$E$156,4,FALSE)</f>
        <v>0</v>
      </c>
      <c r="O1263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1264" spans="1:15" x14ac:dyDescent="0.25">
      <c r="A1264" s="1">
        <v>912215</v>
      </c>
      <c r="B1264" s="1" t="s">
        <v>32</v>
      </c>
      <c r="C1264" s="1" t="s">
        <v>33</v>
      </c>
      <c r="D1264" s="2">
        <v>44615.334824074074</v>
      </c>
      <c r="E1264" s="1" t="s">
        <v>8</v>
      </c>
      <c r="F1264" s="1">
        <v>1</v>
      </c>
      <c r="G1264" s="1">
        <v>0</v>
      </c>
      <c r="H1264" s="6">
        <f>INT(Query1[[#This Row],[EntryDateTime]])</f>
        <v>44615</v>
      </c>
      <c r="I1264" s="1">
        <f>IF(Query1[[#This Row],[ItemType]]="EVAP KIT SF GEN IV",Query1[[#This Row],[OrderQty]]+I1263,I1263)</f>
        <v>1368</v>
      </c>
      <c r="J1264" s="1">
        <f>IF(Query1[[#This Row],[ItemType]]="EVAP KIT UNIVERSAL",Query1[[#This Row],[OrderQty]]+J1263,J1263)</f>
        <v>588</v>
      </c>
      <c r="K1264" s="1">
        <f>Query1[[#This Row],[SF Running Total]]+Query1[[#This Row],[UNIV Running Total]]</f>
        <v>1956</v>
      </c>
      <c r="L1264">
        <f>VLOOKUP(Query1[[#This Row],[Description]],'kits to boards'!$B$2:$E$156,2,FALSE)</f>
        <v>830016</v>
      </c>
      <c r="M1264">
        <f>VLOOKUP(Query1[[#This Row],[Description]],'kits to boards'!$B$2:$E$156,3,FALSE)</f>
        <v>0</v>
      </c>
      <c r="N1264">
        <f>VLOOKUP(Query1[[#This Row],[Description]],'kits to boards'!$B$2:$E$156,4,FALSE)</f>
        <v>0</v>
      </c>
      <c r="O1264" t="str">
        <f>CONCATENATE(Query1[[#This Row],[Description]]," - ",Query1[[#This Row],[MB1]]," - ",Query1[[#This Row],[MB2]]," - ",Query1[[#This Row],[MB3]])</f>
        <v>EVAP KIT 67-68 CAMARO/FIREBIRD W/AC - 830016 - 0 - 0</v>
      </c>
    </row>
    <row r="1265" spans="1:15" x14ac:dyDescent="0.25">
      <c r="A1265" s="1">
        <v>912219</v>
      </c>
      <c r="B1265" s="1" t="s">
        <v>76</v>
      </c>
      <c r="C1265" s="1" t="s">
        <v>77</v>
      </c>
      <c r="D1265" s="2">
        <v>44615.336243437501</v>
      </c>
      <c r="E1265" s="1" t="s">
        <v>11</v>
      </c>
      <c r="F1265" s="1">
        <v>1</v>
      </c>
      <c r="G1265" s="1">
        <v>0</v>
      </c>
      <c r="H1265" s="6">
        <f>INT(Query1[[#This Row],[EntryDateTime]])</f>
        <v>44615</v>
      </c>
      <c r="I1265" s="1">
        <f>IF(Query1[[#This Row],[ItemType]]="EVAP KIT SF GEN IV",Query1[[#This Row],[OrderQty]]+I1264,I1264)</f>
        <v>1368</v>
      </c>
      <c r="J1265" s="1">
        <f>IF(Query1[[#This Row],[ItemType]]="EVAP KIT UNIVERSAL",Query1[[#This Row],[OrderQty]]+J1264,J1264)</f>
        <v>589</v>
      </c>
      <c r="K1265" s="1">
        <f>Query1[[#This Row],[SF Running Total]]+Query1[[#This Row],[UNIV Running Total]]</f>
        <v>1957</v>
      </c>
      <c r="L1265">
        <f>VLOOKUP(Query1[[#This Row],[Description]],'kits to boards'!$B$2:$E$156,2,FALSE)</f>
        <v>830099</v>
      </c>
      <c r="M1265">
        <f>VLOOKUP(Query1[[#This Row],[Description]],'kits to boards'!$B$2:$E$156,3,FALSE)</f>
        <v>0</v>
      </c>
      <c r="N1265">
        <f>VLOOKUP(Query1[[#This Row],[Description]],'kits to boards'!$B$2:$E$156,4,FALSE)</f>
        <v>0</v>
      </c>
      <c r="O1265" t="str">
        <f>CONCATENATE(Query1[[#This Row],[Description]]," - ",Query1[[#This Row],[MB1]]," - ",Query1[[#This Row],[MB2]]," - ",Query1[[#This Row],[MB3]])</f>
        <v>MINI GEN II H/C - 830099 - 0 - 0</v>
      </c>
    </row>
    <row r="1266" spans="1:15" x14ac:dyDescent="0.25">
      <c r="A1266" s="1">
        <v>912224</v>
      </c>
      <c r="B1266" s="1" t="s">
        <v>76</v>
      </c>
      <c r="C1266" s="1" t="s">
        <v>77</v>
      </c>
      <c r="D1266" s="2">
        <v>44615.340070983795</v>
      </c>
      <c r="E1266" s="1" t="s">
        <v>11</v>
      </c>
      <c r="F1266" s="1">
        <v>1</v>
      </c>
      <c r="G1266" s="1">
        <v>0</v>
      </c>
      <c r="H1266" s="6">
        <f>INT(Query1[[#This Row],[EntryDateTime]])</f>
        <v>44615</v>
      </c>
      <c r="I1266" s="1">
        <f>IF(Query1[[#This Row],[ItemType]]="EVAP KIT SF GEN IV",Query1[[#This Row],[OrderQty]]+I1265,I1265)</f>
        <v>1368</v>
      </c>
      <c r="J1266" s="1">
        <f>IF(Query1[[#This Row],[ItemType]]="EVAP KIT UNIVERSAL",Query1[[#This Row],[OrderQty]]+J1265,J1265)</f>
        <v>590</v>
      </c>
      <c r="K1266" s="1">
        <f>Query1[[#This Row],[SF Running Total]]+Query1[[#This Row],[UNIV Running Total]]</f>
        <v>1958</v>
      </c>
      <c r="L1266">
        <f>VLOOKUP(Query1[[#This Row],[Description]],'kits to boards'!$B$2:$E$156,2,FALSE)</f>
        <v>830099</v>
      </c>
      <c r="M1266">
        <f>VLOOKUP(Query1[[#This Row],[Description]],'kits to boards'!$B$2:$E$156,3,FALSE)</f>
        <v>0</v>
      </c>
      <c r="N1266">
        <f>VLOOKUP(Query1[[#This Row],[Description]],'kits to boards'!$B$2:$E$156,4,FALSE)</f>
        <v>0</v>
      </c>
      <c r="O1266" t="str">
        <f>CONCATENATE(Query1[[#This Row],[Description]]," - ",Query1[[#This Row],[MB1]]," - ",Query1[[#This Row],[MB2]]," - ",Query1[[#This Row],[MB3]])</f>
        <v>MINI GEN II H/C - 830099 - 0 - 0</v>
      </c>
    </row>
    <row r="1267" spans="1:15" x14ac:dyDescent="0.25">
      <c r="A1267" s="1">
        <v>912227</v>
      </c>
      <c r="B1267" s="1" t="s">
        <v>76</v>
      </c>
      <c r="C1267" s="1" t="s">
        <v>77</v>
      </c>
      <c r="D1267" s="2">
        <v>44615.343839895831</v>
      </c>
      <c r="E1267" s="1" t="s">
        <v>11</v>
      </c>
      <c r="F1267" s="1">
        <v>1</v>
      </c>
      <c r="G1267" s="1">
        <v>0</v>
      </c>
      <c r="H1267" s="6">
        <f>INT(Query1[[#This Row],[EntryDateTime]])</f>
        <v>44615</v>
      </c>
      <c r="I1267" s="1">
        <f>IF(Query1[[#This Row],[ItemType]]="EVAP KIT SF GEN IV",Query1[[#This Row],[OrderQty]]+I1266,I1266)</f>
        <v>1368</v>
      </c>
      <c r="J1267" s="1">
        <f>IF(Query1[[#This Row],[ItemType]]="EVAP KIT UNIVERSAL",Query1[[#This Row],[OrderQty]]+J1266,J1266)</f>
        <v>591</v>
      </c>
      <c r="K1267" s="1">
        <f>Query1[[#This Row],[SF Running Total]]+Query1[[#This Row],[UNIV Running Total]]</f>
        <v>1959</v>
      </c>
      <c r="L1267">
        <f>VLOOKUP(Query1[[#This Row],[Description]],'kits to boards'!$B$2:$E$156,2,FALSE)</f>
        <v>830099</v>
      </c>
      <c r="M1267">
        <f>VLOOKUP(Query1[[#This Row],[Description]],'kits to boards'!$B$2:$E$156,3,FALSE)</f>
        <v>0</v>
      </c>
      <c r="N1267">
        <f>VLOOKUP(Query1[[#This Row],[Description]],'kits to boards'!$B$2:$E$156,4,FALSE)</f>
        <v>0</v>
      </c>
      <c r="O1267" t="str">
        <f>CONCATENATE(Query1[[#This Row],[Description]]," - ",Query1[[#This Row],[MB1]]," - ",Query1[[#This Row],[MB2]]," - ",Query1[[#This Row],[MB3]])</f>
        <v>MINI GEN II H/C - 830099 - 0 - 0</v>
      </c>
    </row>
    <row r="1268" spans="1:15" x14ac:dyDescent="0.25">
      <c r="A1268" s="1">
        <v>912228</v>
      </c>
      <c r="B1268" s="1" t="s">
        <v>240</v>
      </c>
      <c r="C1268" s="1" t="s">
        <v>241</v>
      </c>
      <c r="D1268" s="2">
        <v>44615.344907905092</v>
      </c>
      <c r="E1268" s="1" t="s">
        <v>8</v>
      </c>
      <c r="F1268" s="1">
        <v>1</v>
      </c>
      <c r="G1268" s="1">
        <v>0</v>
      </c>
      <c r="H1268" s="6">
        <f>INT(Query1[[#This Row],[EntryDateTime]])</f>
        <v>44615</v>
      </c>
      <c r="I1268" s="1">
        <f>IF(Query1[[#This Row],[ItemType]]="EVAP KIT SF GEN IV",Query1[[#This Row],[OrderQty]]+I1267,I1267)</f>
        <v>1369</v>
      </c>
      <c r="J1268" s="1">
        <f>IF(Query1[[#This Row],[ItemType]]="EVAP KIT UNIVERSAL",Query1[[#This Row],[OrderQty]]+J1267,J1267)</f>
        <v>591</v>
      </c>
      <c r="K1268" s="1">
        <f>Query1[[#This Row],[SF Running Total]]+Query1[[#This Row],[UNIV Running Total]]</f>
        <v>1960</v>
      </c>
      <c r="L1268">
        <f>VLOOKUP(Query1[[#This Row],[Description]],'kits to boards'!$B$2:$E$156,2,FALSE)</f>
        <v>830032</v>
      </c>
      <c r="M1268">
        <f>VLOOKUP(Query1[[#This Row],[Description]],'kits to boards'!$B$2:$E$156,3,FALSE)</f>
        <v>0</v>
      </c>
      <c r="N1268">
        <f>VLOOKUP(Query1[[#This Row],[Description]],'kits to boards'!$B$2:$E$156,4,FALSE)</f>
        <v>0</v>
      </c>
      <c r="O1268" t="str">
        <f>CONCATENATE(Query1[[#This Row],[Description]]," - ",Query1[[#This Row],[MB1]]," - ",Query1[[#This Row],[MB2]]," - ",Query1[[#This Row],[MB3]])</f>
        <v>EVAP KIT 58-60 VETTE - 830032 - 0 - 0</v>
      </c>
    </row>
    <row r="1269" spans="1:15" x14ac:dyDescent="0.25">
      <c r="A1269" s="1">
        <v>912231</v>
      </c>
      <c r="B1269" s="1" t="s">
        <v>251</v>
      </c>
      <c r="C1269" s="1" t="s">
        <v>252</v>
      </c>
      <c r="D1269" s="2">
        <v>44615.34722974537</v>
      </c>
      <c r="E1269" s="1" t="s">
        <v>8</v>
      </c>
      <c r="F1269" s="1">
        <v>1</v>
      </c>
      <c r="G1269" s="1">
        <v>0</v>
      </c>
      <c r="H1269" s="6">
        <f>INT(Query1[[#This Row],[EntryDateTime]])</f>
        <v>44615</v>
      </c>
      <c r="I1269" s="1">
        <f>IF(Query1[[#This Row],[ItemType]]="EVAP KIT SF GEN IV",Query1[[#This Row],[OrderQty]]+I1268,I1268)</f>
        <v>1370</v>
      </c>
      <c r="J1269" s="1">
        <f>IF(Query1[[#This Row],[ItemType]]="EVAP KIT UNIVERSAL",Query1[[#This Row],[OrderQty]]+J1268,J1268)</f>
        <v>591</v>
      </c>
      <c r="K1269" s="1">
        <f>Query1[[#This Row],[SF Running Total]]+Query1[[#This Row],[UNIV Running Total]]</f>
        <v>1961</v>
      </c>
      <c r="L1269">
        <f>VLOOKUP(Query1[[#This Row],[Description]],'kits to boards'!$B$2:$E$156,2,FALSE)</f>
        <v>830020</v>
      </c>
      <c r="M1269">
        <f>VLOOKUP(Query1[[#This Row],[Description]],'kits to boards'!$B$2:$E$156,3,FALSE)</f>
        <v>0</v>
      </c>
      <c r="N1269">
        <f>VLOOKUP(Query1[[#This Row],[Description]],'kits to boards'!$B$2:$E$156,4,FALSE)</f>
        <v>0</v>
      </c>
      <c r="O1269" t="str">
        <f>CONCATENATE(Query1[[#This Row],[Description]]," - ",Query1[[#This Row],[MB1]]," - ",Query1[[#This Row],[MB2]]," - ",Query1[[#This Row],[MB3]])</f>
        <v>EVAP KIT 69 FIREBIRD WO AC - 830020 - 0 - 0</v>
      </c>
    </row>
    <row r="1270" spans="1:15" x14ac:dyDescent="0.25">
      <c r="A1270" s="1">
        <v>912234</v>
      </c>
      <c r="B1270" s="1" t="s">
        <v>502</v>
      </c>
      <c r="C1270" s="1" t="s">
        <v>503</v>
      </c>
      <c r="D1270" s="2">
        <v>44615.351494675924</v>
      </c>
      <c r="E1270" s="1" t="s">
        <v>677</v>
      </c>
      <c r="F1270" s="1">
        <v>1</v>
      </c>
      <c r="G1270" s="1">
        <v>0</v>
      </c>
      <c r="H1270" s="6">
        <f>INT(Query1[[#This Row],[EntryDateTime]])</f>
        <v>44615</v>
      </c>
      <c r="I1270" s="1">
        <f>IF(Query1[[#This Row],[ItemType]]="EVAP KIT SF GEN IV",Query1[[#This Row],[OrderQty]]+I1269,I1269)</f>
        <v>1370</v>
      </c>
      <c r="J1270" s="1">
        <f>IF(Query1[[#This Row],[ItemType]]="EVAP KIT UNIVERSAL",Query1[[#This Row],[OrderQty]]+J1269,J1269)</f>
        <v>591</v>
      </c>
      <c r="K1270" s="1">
        <f>Query1[[#This Row],[SF Running Total]]+Query1[[#This Row],[UNIV Running Total]]</f>
        <v>1961</v>
      </c>
      <c r="L1270" t="e">
        <f>VLOOKUP(Query1[[#This Row],[Description]],'kits to boards'!$B$2:$E$156,2,FALSE)</f>
        <v>#N/A</v>
      </c>
      <c r="M1270" t="e">
        <f>VLOOKUP(Query1[[#This Row],[Description]],'kits to boards'!$B$2:$E$156,3,FALSE)</f>
        <v>#N/A</v>
      </c>
      <c r="N1270" t="e">
        <f>VLOOKUP(Query1[[#This Row],[Description]],'kits to boards'!$B$2:$E$156,4,FALSE)</f>
        <v>#N/A</v>
      </c>
      <c r="O1270" t="e">
        <f>CONCATENATE(Query1[[#This Row],[Description]]," - ",Query1[[#This Row],[MB1]]," - ",Query1[[#This Row],[MB2]]," - ",Query1[[#This Row],[MB3]])</f>
        <v>#N/A</v>
      </c>
    </row>
    <row r="1271" spans="1:15" x14ac:dyDescent="0.25">
      <c r="A1271" s="1">
        <v>912241</v>
      </c>
      <c r="B1271" s="1" t="s">
        <v>106</v>
      </c>
      <c r="C1271" s="1" t="s">
        <v>253</v>
      </c>
      <c r="D1271" s="2">
        <v>44615.363986261575</v>
      </c>
      <c r="E1271" s="1" t="s">
        <v>8</v>
      </c>
      <c r="F1271" s="1">
        <v>1</v>
      </c>
      <c r="G1271" s="1">
        <v>0</v>
      </c>
      <c r="H1271" s="6">
        <f>INT(Query1[[#This Row],[EntryDateTime]])</f>
        <v>44615</v>
      </c>
      <c r="I1271" s="1">
        <f>IF(Query1[[#This Row],[ItemType]]="EVAP KIT SF GEN IV",Query1[[#This Row],[OrderQty]]+I1270,I1270)</f>
        <v>1371</v>
      </c>
      <c r="J1271" s="1">
        <f>IF(Query1[[#This Row],[ItemType]]="EVAP KIT UNIVERSAL",Query1[[#This Row],[OrderQty]]+J1270,J1270)</f>
        <v>591</v>
      </c>
      <c r="K1271" s="1">
        <f>Query1[[#This Row],[SF Running Total]]+Query1[[#This Row],[UNIV Running Total]]</f>
        <v>1962</v>
      </c>
      <c r="L1271">
        <f>VLOOKUP(Query1[[#This Row],[Description]],'kits to boards'!$B$2:$E$156,2,FALSE)</f>
        <v>830028</v>
      </c>
      <c r="M1271">
        <f>VLOOKUP(Query1[[#This Row],[Description]],'kits to boards'!$B$2:$E$156,3,FALSE)</f>
        <v>0</v>
      </c>
      <c r="N1271">
        <f>VLOOKUP(Query1[[#This Row],[Description]],'kits to boards'!$B$2:$E$156,4,FALSE)</f>
        <v>0</v>
      </c>
      <c r="O1271" t="str">
        <f>CONCATENATE(Query1[[#This Row],[Description]]," - ",Query1[[#This Row],[MB1]]," - ",Query1[[#This Row],[MB2]]," - ",Query1[[#This Row],[MB3]])</f>
        <v>EVAP KIT 55-59 CHEV P-UP WO AC W/DELX  - 830028 - 0 - 0</v>
      </c>
    </row>
    <row r="1272" spans="1:15" x14ac:dyDescent="0.25">
      <c r="A1272" s="1">
        <v>912245</v>
      </c>
      <c r="B1272" s="1" t="s">
        <v>66</v>
      </c>
      <c r="C1272" s="1" t="s">
        <v>67</v>
      </c>
      <c r="D1272" s="2">
        <v>44615.372266053244</v>
      </c>
      <c r="E1272" s="1" t="s">
        <v>8</v>
      </c>
      <c r="F1272" s="1">
        <v>4</v>
      </c>
      <c r="G1272" s="1">
        <v>0</v>
      </c>
      <c r="H1272" s="6">
        <f>INT(Query1[[#This Row],[EntryDateTime]])</f>
        <v>44615</v>
      </c>
      <c r="I1272" s="1">
        <f>IF(Query1[[#This Row],[ItemType]]="EVAP KIT SF GEN IV",Query1[[#This Row],[OrderQty]]+I1271,I1271)</f>
        <v>1375</v>
      </c>
      <c r="J1272" s="1">
        <f>IF(Query1[[#This Row],[ItemType]]="EVAP KIT UNIVERSAL",Query1[[#This Row],[OrderQty]]+J1271,J1271)</f>
        <v>591</v>
      </c>
      <c r="K1272" s="1">
        <f>Query1[[#This Row],[SF Running Total]]+Query1[[#This Row],[UNIV Running Total]]</f>
        <v>1966</v>
      </c>
      <c r="L1272">
        <f>VLOOKUP(Query1[[#This Row],[Description]],'kits to boards'!$B$2:$E$156,2,FALSE)</f>
        <v>830060</v>
      </c>
      <c r="M1272">
        <f>VLOOKUP(Query1[[#This Row],[Description]],'kits to boards'!$B$2:$E$156,3,FALSE)</f>
        <v>0</v>
      </c>
      <c r="N1272">
        <f>VLOOKUP(Query1[[#This Row],[Description]],'kits to boards'!$B$2:$E$156,4,FALSE)</f>
        <v>0</v>
      </c>
      <c r="O1272" t="str">
        <f>CONCATENATE(Query1[[#This Row],[Description]]," - ",Query1[[#This Row],[MB1]]," - ",Query1[[#This Row],[MB2]]," - ",Query1[[#This Row],[MB3]])</f>
        <v>EVAP KIT 66-67 CHEVELLE WO AC - 830060 - 0 - 0</v>
      </c>
    </row>
    <row r="1273" spans="1:15" x14ac:dyDescent="0.25">
      <c r="A1273" s="1">
        <v>912245</v>
      </c>
      <c r="B1273" s="1" t="s">
        <v>34</v>
      </c>
      <c r="C1273" s="1" t="s">
        <v>35</v>
      </c>
      <c r="D1273" s="2">
        <v>44615.372267939812</v>
      </c>
      <c r="E1273" s="1" t="s">
        <v>8</v>
      </c>
      <c r="F1273" s="1">
        <v>5</v>
      </c>
      <c r="G1273" s="1">
        <v>0</v>
      </c>
      <c r="H1273" s="6">
        <f>INT(Query1[[#This Row],[EntryDateTime]])</f>
        <v>44615</v>
      </c>
      <c r="I1273" s="1">
        <f>IF(Query1[[#This Row],[ItemType]]="EVAP KIT SF GEN IV",Query1[[#This Row],[OrderQty]]+I1272,I1272)</f>
        <v>1380</v>
      </c>
      <c r="J1273" s="1">
        <f>IF(Query1[[#This Row],[ItemType]]="EVAP KIT UNIVERSAL",Query1[[#This Row],[OrderQty]]+J1272,J1272)</f>
        <v>591</v>
      </c>
      <c r="K1273" s="1">
        <f>Query1[[#This Row],[SF Running Total]]+Query1[[#This Row],[UNIV Running Total]]</f>
        <v>1971</v>
      </c>
      <c r="L1273">
        <f>VLOOKUP(Query1[[#This Row],[Description]],'kits to boards'!$B$2:$E$156,2,FALSE)</f>
        <v>830065</v>
      </c>
      <c r="M1273">
        <f>VLOOKUP(Query1[[#This Row],[Description]],'kits to boards'!$B$2:$E$156,3,FALSE)</f>
        <v>0</v>
      </c>
      <c r="N1273">
        <f>VLOOKUP(Query1[[#This Row],[Description]],'kits to boards'!$B$2:$E$156,4,FALSE)</f>
        <v>0</v>
      </c>
      <c r="O1273" t="str">
        <f>CONCATENATE(Query1[[#This Row],[Description]]," - ",Query1[[#This Row],[MB1]]," - ",Query1[[#This Row],[MB2]]," - ",Query1[[#This Row],[MB3]])</f>
        <v>EVAP KIT 57 CHEV WO AC - 830065 - 0 - 0</v>
      </c>
    </row>
    <row r="1274" spans="1:15" x14ac:dyDescent="0.25">
      <c r="A1274" s="1">
        <v>912245</v>
      </c>
      <c r="B1274" s="1" t="s">
        <v>96</v>
      </c>
      <c r="C1274" s="1" t="s">
        <v>97</v>
      </c>
      <c r="D1274" s="2">
        <v>44615.372276307869</v>
      </c>
      <c r="E1274" s="1" t="s">
        <v>8</v>
      </c>
      <c r="F1274" s="1">
        <v>7</v>
      </c>
      <c r="G1274" s="1">
        <v>0</v>
      </c>
      <c r="H1274" s="6">
        <f>INT(Query1[[#This Row],[EntryDateTime]])</f>
        <v>44615</v>
      </c>
      <c r="I1274" s="1">
        <f>IF(Query1[[#This Row],[ItemType]]="EVAP KIT SF GEN IV",Query1[[#This Row],[OrderQty]]+I1273,I1273)</f>
        <v>1387</v>
      </c>
      <c r="J1274" s="1">
        <f>IF(Query1[[#This Row],[ItemType]]="EVAP KIT UNIVERSAL",Query1[[#This Row],[OrderQty]]+J1273,J1273)</f>
        <v>591</v>
      </c>
      <c r="K1274" s="1">
        <f>Query1[[#This Row],[SF Running Total]]+Query1[[#This Row],[UNIV Running Total]]</f>
        <v>1978</v>
      </c>
      <c r="L1274">
        <f>VLOOKUP(Query1[[#This Row],[Description]],'kits to boards'!$B$2:$E$156,2,FALSE)</f>
        <v>830004</v>
      </c>
      <c r="M1274">
        <f>VLOOKUP(Query1[[#This Row],[Description]],'kits to boards'!$B$2:$E$156,3,FALSE)</f>
        <v>0</v>
      </c>
      <c r="N1274">
        <f>VLOOKUP(Query1[[#This Row],[Description]],'kits to boards'!$B$2:$E$156,4,FALSE)</f>
        <v>0</v>
      </c>
      <c r="O1274" t="str">
        <f>CONCATENATE(Query1[[#This Row],[Description]]," - ",Query1[[#This Row],[MB1]]," - ",Query1[[#This Row],[MB2]]," - ",Query1[[#This Row],[MB3]])</f>
        <v>EVAP KIT 81-87 CHEV P-UP W/AC - 830004 - 0 - 0</v>
      </c>
    </row>
    <row r="1275" spans="1:15" x14ac:dyDescent="0.25">
      <c r="A1275" s="1">
        <v>912247</v>
      </c>
      <c r="B1275" s="1" t="s">
        <v>52</v>
      </c>
      <c r="C1275" s="1" t="s">
        <v>53</v>
      </c>
      <c r="D1275" s="2">
        <v>44615.374202974534</v>
      </c>
      <c r="E1275" s="1" t="s">
        <v>8</v>
      </c>
      <c r="F1275" s="1">
        <v>6</v>
      </c>
      <c r="G1275" s="1">
        <v>0</v>
      </c>
      <c r="H1275" s="6">
        <f>INT(Query1[[#This Row],[EntryDateTime]])</f>
        <v>44615</v>
      </c>
      <c r="I1275" s="1">
        <f>IF(Query1[[#This Row],[ItemType]]="EVAP KIT SF GEN IV",Query1[[#This Row],[OrderQty]]+I1274,I1274)</f>
        <v>1393</v>
      </c>
      <c r="J1275" s="1">
        <f>IF(Query1[[#This Row],[ItemType]]="EVAP KIT UNIVERSAL",Query1[[#This Row],[OrderQty]]+J1274,J1274)</f>
        <v>591</v>
      </c>
      <c r="K1275" s="1">
        <f>Query1[[#This Row],[SF Running Total]]+Query1[[#This Row],[UNIV Running Total]]</f>
        <v>1984</v>
      </c>
      <c r="L1275">
        <f>VLOOKUP(Query1[[#This Row],[Description]],'kits to boards'!$B$2:$E$156,2,FALSE)</f>
        <v>830017</v>
      </c>
      <c r="M1275">
        <f>VLOOKUP(Query1[[#This Row],[Description]],'kits to boards'!$B$2:$E$156,3,FALSE)</f>
        <v>830119</v>
      </c>
      <c r="N1275">
        <f>VLOOKUP(Query1[[#This Row],[Description]],'kits to boards'!$B$2:$E$156,4,FALSE)</f>
        <v>830120</v>
      </c>
      <c r="O1275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1276" spans="1:15" x14ac:dyDescent="0.25">
      <c r="A1276" s="1">
        <v>912247</v>
      </c>
      <c r="B1276" s="1" t="s">
        <v>76</v>
      </c>
      <c r="C1276" s="1" t="s">
        <v>77</v>
      </c>
      <c r="D1276" s="2">
        <v>44615.374208564812</v>
      </c>
      <c r="E1276" s="1" t="s">
        <v>11</v>
      </c>
      <c r="F1276" s="1">
        <v>9</v>
      </c>
      <c r="G1276" s="1">
        <v>0</v>
      </c>
      <c r="H1276" s="6">
        <f>INT(Query1[[#This Row],[EntryDateTime]])</f>
        <v>44615</v>
      </c>
      <c r="I1276" s="1">
        <f>IF(Query1[[#This Row],[ItemType]]="EVAP KIT SF GEN IV",Query1[[#This Row],[OrderQty]]+I1275,I1275)</f>
        <v>1393</v>
      </c>
      <c r="J1276" s="1">
        <f>IF(Query1[[#This Row],[ItemType]]="EVAP KIT UNIVERSAL",Query1[[#This Row],[OrderQty]]+J1275,J1275)</f>
        <v>600</v>
      </c>
      <c r="K1276" s="1">
        <f>Query1[[#This Row],[SF Running Total]]+Query1[[#This Row],[UNIV Running Total]]</f>
        <v>1993</v>
      </c>
      <c r="L1276">
        <f>VLOOKUP(Query1[[#This Row],[Description]],'kits to boards'!$B$2:$E$156,2,FALSE)</f>
        <v>830099</v>
      </c>
      <c r="M1276">
        <f>VLOOKUP(Query1[[#This Row],[Description]],'kits to boards'!$B$2:$E$156,3,FALSE)</f>
        <v>0</v>
      </c>
      <c r="N1276">
        <f>VLOOKUP(Query1[[#This Row],[Description]],'kits to boards'!$B$2:$E$156,4,FALSE)</f>
        <v>0</v>
      </c>
      <c r="O1276" t="str">
        <f>CONCATENATE(Query1[[#This Row],[Description]]," - ",Query1[[#This Row],[MB1]]," - ",Query1[[#This Row],[MB2]]," - ",Query1[[#This Row],[MB3]])</f>
        <v>MINI GEN II H/C - 830099 - 0 - 0</v>
      </c>
    </row>
    <row r="1277" spans="1:15" x14ac:dyDescent="0.25">
      <c r="A1277" s="1">
        <v>912247</v>
      </c>
      <c r="B1277" s="1" t="s">
        <v>84</v>
      </c>
      <c r="C1277" s="1" t="s">
        <v>85</v>
      </c>
      <c r="D1277" s="2">
        <v>44615.374212152776</v>
      </c>
      <c r="E1277" s="1" t="s">
        <v>8</v>
      </c>
      <c r="F1277" s="1">
        <v>5</v>
      </c>
      <c r="G1277" s="1">
        <v>0</v>
      </c>
      <c r="H1277" s="6">
        <f>INT(Query1[[#This Row],[EntryDateTime]])</f>
        <v>44615</v>
      </c>
      <c r="I1277" s="1">
        <f>IF(Query1[[#This Row],[ItemType]]="EVAP KIT SF GEN IV",Query1[[#This Row],[OrderQty]]+I1276,I1276)</f>
        <v>1398</v>
      </c>
      <c r="J1277" s="1">
        <f>IF(Query1[[#This Row],[ItemType]]="EVAP KIT UNIVERSAL",Query1[[#This Row],[OrderQty]]+J1276,J1276)</f>
        <v>600</v>
      </c>
      <c r="K1277" s="1">
        <f>Query1[[#This Row],[SF Running Total]]+Query1[[#This Row],[UNIV Running Total]]</f>
        <v>1998</v>
      </c>
      <c r="L1277">
        <f>VLOOKUP(Query1[[#This Row],[Description]],'kits to boards'!$B$2:$E$156,2,FALSE)</f>
        <v>830085</v>
      </c>
      <c r="M1277">
        <f>VLOOKUP(Query1[[#This Row],[Description]],'kits to boards'!$B$2:$E$156,3,FALSE)</f>
        <v>0</v>
      </c>
      <c r="N1277">
        <f>VLOOKUP(Query1[[#This Row],[Description]],'kits to boards'!$B$2:$E$156,4,FALSE)</f>
        <v>0</v>
      </c>
      <c r="O1277" t="str">
        <f>CONCATENATE(Query1[[#This Row],[Description]]," - ",Query1[[#This Row],[MB1]]," - ",Query1[[#This Row],[MB2]]," - ",Query1[[#This Row],[MB3]])</f>
        <v>EVAP KIT 66-77 BRONCO 4-VENT PLENUM - 830085 - 0 - 0</v>
      </c>
    </row>
    <row r="1278" spans="1:15" x14ac:dyDescent="0.25">
      <c r="A1278" s="1">
        <v>912250</v>
      </c>
      <c r="B1278" s="1" t="s">
        <v>66</v>
      </c>
      <c r="C1278" s="1" t="s">
        <v>67</v>
      </c>
      <c r="D1278" s="2">
        <v>44615.375635798613</v>
      </c>
      <c r="E1278" s="1" t="s">
        <v>8</v>
      </c>
      <c r="F1278" s="1">
        <v>5</v>
      </c>
      <c r="G1278" s="1">
        <v>0</v>
      </c>
      <c r="H1278" s="6">
        <f>INT(Query1[[#This Row],[EntryDateTime]])</f>
        <v>44615</v>
      </c>
      <c r="I1278" s="1">
        <f>IF(Query1[[#This Row],[ItemType]]="EVAP KIT SF GEN IV",Query1[[#This Row],[OrderQty]]+I1277,I1277)</f>
        <v>1403</v>
      </c>
      <c r="J1278" s="1">
        <f>IF(Query1[[#This Row],[ItemType]]="EVAP KIT UNIVERSAL",Query1[[#This Row],[OrderQty]]+J1277,J1277)</f>
        <v>600</v>
      </c>
      <c r="K1278" s="1">
        <f>Query1[[#This Row],[SF Running Total]]+Query1[[#This Row],[UNIV Running Total]]</f>
        <v>2003</v>
      </c>
      <c r="L1278">
        <f>VLOOKUP(Query1[[#This Row],[Description]],'kits to boards'!$B$2:$E$156,2,FALSE)</f>
        <v>830060</v>
      </c>
      <c r="M1278">
        <f>VLOOKUP(Query1[[#This Row],[Description]],'kits to boards'!$B$2:$E$156,3,FALSE)</f>
        <v>0</v>
      </c>
      <c r="N1278">
        <f>VLOOKUP(Query1[[#This Row],[Description]],'kits to boards'!$B$2:$E$156,4,FALSE)</f>
        <v>0</v>
      </c>
      <c r="O1278" t="str">
        <f>CONCATENATE(Query1[[#This Row],[Description]]," - ",Query1[[#This Row],[MB1]]," - ",Query1[[#This Row],[MB2]]," - ",Query1[[#This Row],[MB3]])</f>
        <v>EVAP KIT 66-67 CHEVELLE WO AC - 830060 - 0 - 0</v>
      </c>
    </row>
    <row r="1279" spans="1:15" x14ac:dyDescent="0.25">
      <c r="A1279" s="1">
        <v>912250</v>
      </c>
      <c r="B1279" s="1" t="s">
        <v>76</v>
      </c>
      <c r="C1279" s="1" t="s">
        <v>77</v>
      </c>
      <c r="D1279" s="2">
        <v>44615.375639155092</v>
      </c>
      <c r="E1279" s="1" t="s">
        <v>11</v>
      </c>
      <c r="F1279" s="1">
        <v>8</v>
      </c>
      <c r="G1279" s="1">
        <v>0</v>
      </c>
      <c r="H1279" s="6">
        <f>INT(Query1[[#This Row],[EntryDateTime]])</f>
        <v>44615</v>
      </c>
      <c r="I1279" s="1">
        <f>IF(Query1[[#This Row],[ItemType]]="EVAP KIT SF GEN IV",Query1[[#This Row],[OrderQty]]+I1278,I1278)</f>
        <v>1403</v>
      </c>
      <c r="J1279" s="1">
        <f>IF(Query1[[#This Row],[ItemType]]="EVAP KIT UNIVERSAL",Query1[[#This Row],[OrderQty]]+J1278,J1278)</f>
        <v>608</v>
      </c>
      <c r="K1279" s="1">
        <f>Query1[[#This Row],[SF Running Total]]+Query1[[#This Row],[UNIV Running Total]]</f>
        <v>2011</v>
      </c>
      <c r="L1279">
        <f>VLOOKUP(Query1[[#This Row],[Description]],'kits to boards'!$B$2:$E$156,2,FALSE)</f>
        <v>830099</v>
      </c>
      <c r="M1279">
        <f>VLOOKUP(Query1[[#This Row],[Description]],'kits to boards'!$B$2:$E$156,3,FALSE)</f>
        <v>0</v>
      </c>
      <c r="N1279">
        <f>VLOOKUP(Query1[[#This Row],[Description]],'kits to boards'!$B$2:$E$156,4,FALSE)</f>
        <v>0</v>
      </c>
      <c r="O1279" t="str">
        <f>CONCATENATE(Query1[[#This Row],[Description]]," - ",Query1[[#This Row],[MB1]]," - ",Query1[[#This Row],[MB2]]," - ",Query1[[#This Row],[MB3]])</f>
        <v>MINI GEN II H/C - 830099 - 0 - 0</v>
      </c>
    </row>
    <row r="1280" spans="1:15" x14ac:dyDescent="0.25">
      <c r="A1280" s="1">
        <v>912252</v>
      </c>
      <c r="B1280" s="1" t="s">
        <v>132</v>
      </c>
      <c r="C1280" s="1" t="s">
        <v>133</v>
      </c>
      <c r="D1280" s="2">
        <v>44615.377123379629</v>
      </c>
      <c r="E1280" s="1" t="s">
        <v>8</v>
      </c>
      <c r="F1280" s="1">
        <v>6</v>
      </c>
      <c r="G1280" s="1">
        <v>0</v>
      </c>
      <c r="H1280" s="6">
        <f>INT(Query1[[#This Row],[EntryDateTime]])</f>
        <v>44615</v>
      </c>
      <c r="I1280" s="1">
        <f>IF(Query1[[#This Row],[ItemType]]="EVAP KIT SF GEN IV",Query1[[#This Row],[OrderQty]]+I1279,I1279)</f>
        <v>1409</v>
      </c>
      <c r="J1280" s="1">
        <f>IF(Query1[[#This Row],[ItemType]]="EVAP KIT UNIVERSAL",Query1[[#This Row],[OrderQty]]+J1279,J1279)</f>
        <v>608</v>
      </c>
      <c r="K1280" s="1">
        <f>Query1[[#This Row],[SF Running Total]]+Query1[[#This Row],[UNIV Running Total]]</f>
        <v>2017</v>
      </c>
      <c r="L1280">
        <f>VLOOKUP(Query1[[#This Row],[Description]],'kits to boards'!$B$2:$E$156,2,FALSE)</f>
        <v>830005</v>
      </c>
      <c r="M1280">
        <f>VLOOKUP(Query1[[#This Row],[Description]],'kits to boards'!$B$2:$E$156,3,FALSE)</f>
        <v>0</v>
      </c>
      <c r="N1280">
        <f>VLOOKUP(Query1[[#This Row],[Description]],'kits to boards'!$B$2:$E$156,4,FALSE)</f>
        <v>0</v>
      </c>
      <c r="O1280" t="str">
        <f>CONCATENATE(Query1[[#This Row],[Description]]," - ",Query1[[#This Row],[MB1]]," - ",Query1[[#This Row],[MB2]]," - ",Query1[[#This Row],[MB3]])</f>
        <v>EVAP KIT 61-62 IMPALA WO AC - 830005 - 0 - 0</v>
      </c>
    </row>
    <row r="1281" spans="1:15" x14ac:dyDescent="0.25">
      <c r="A1281" s="1">
        <v>912252</v>
      </c>
      <c r="B1281" s="1" t="s">
        <v>144</v>
      </c>
      <c r="C1281" s="1" t="s">
        <v>145</v>
      </c>
      <c r="D1281" s="2">
        <v>44615.377128321757</v>
      </c>
      <c r="E1281" s="1" t="s">
        <v>11</v>
      </c>
      <c r="F1281" s="1">
        <v>13</v>
      </c>
      <c r="G1281" s="1">
        <v>0</v>
      </c>
      <c r="H1281" s="6">
        <f>INT(Query1[[#This Row],[EntryDateTime]])</f>
        <v>44615</v>
      </c>
      <c r="I1281" s="1">
        <f>IF(Query1[[#This Row],[ItemType]]="EVAP KIT SF GEN IV",Query1[[#This Row],[OrderQty]]+I1280,I1280)</f>
        <v>1409</v>
      </c>
      <c r="J1281" s="1">
        <f>IF(Query1[[#This Row],[ItemType]]="EVAP KIT UNIVERSAL",Query1[[#This Row],[OrderQty]]+J1280,J1280)</f>
        <v>621</v>
      </c>
      <c r="K1281" s="1">
        <f>Query1[[#This Row],[SF Running Total]]+Query1[[#This Row],[UNIV Running Total]]</f>
        <v>2030</v>
      </c>
      <c r="L1281">
        <f>VLOOKUP(Query1[[#This Row],[Description]],'kits to boards'!$B$2:$E$156,2,FALSE)</f>
        <v>830102</v>
      </c>
      <c r="M1281">
        <f>VLOOKUP(Query1[[#This Row],[Description]],'kits to boards'!$B$2:$E$156,3,FALSE)</f>
        <v>0</v>
      </c>
      <c r="N1281">
        <f>VLOOKUP(Query1[[#This Row],[Description]],'kits to boards'!$B$2:$E$156,4,FALSE)</f>
        <v>0</v>
      </c>
      <c r="O1281" t="str">
        <f>CONCATENATE(Query1[[#This Row],[Description]]," - ",Query1[[#This Row],[MB1]]," - ",Query1[[#This Row],[MB2]]," - ",Query1[[#This Row],[MB3]])</f>
        <v>SUPER GEN II H/C - 830102 - 0 - 0</v>
      </c>
    </row>
    <row r="1282" spans="1:15" x14ac:dyDescent="0.25">
      <c r="A1282" s="1">
        <v>912252</v>
      </c>
      <c r="B1282" s="1" t="s">
        <v>90</v>
      </c>
      <c r="C1282" s="1" t="s">
        <v>91</v>
      </c>
      <c r="D1282" s="2">
        <v>44615.377130439818</v>
      </c>
      <c r="E1282" s="1" t="s">
        <v>8</v>
      </c>
      <c r="F1282" s="1">
        <v>6</v>
      </c>
      <c r="G1282" s="1">
        <v>0</v>
      </c>
      <c r="H1282" s="6">
        <f>INT(Query1[[#This Row],[EntryDateTime]])</f>
        <v>44615</v>
      </c>
      <c r="I1282" s="1">
        <f>IF(Query1[[#This Row],[ItemType]]="EVAP KIT SF GEN IV",Query1[[#This Row],[OrderQty]]+I1281,I1281)</f>
        <v>1415</v>
      </c>
      <c r="J1282" s="1">
        <f>IF(Query1[[#This Row],[ItemType]]="EVAP KIT UNIVERSAL",Query1[[#This Row],[OrderQty]]+J1281,J1281)</f>
        <v>621</v>
      </c>
      <c r="K1282" s="1">
        <f>Query1[[#This Row],[SF Running Total]]+Query1[[#This Row],[UNIV Running Total]]</f>
        <v>2036</v>
      </c>
      <c r="L1282">
        <f>VLOOKUP(Query1[[#This Row],[Description]],'kits to boards'!$B$2:$E$156,2,FALSE)</f>
        <v>830105</v>
      </c>
      <c r="M1282">
        <f>VLOOKUP(Query1[[#This Row],[Description]],'kits to boards'!$B$2:$E$156,3,FALSE)</f>
        <v>830106</v>
      </c>
      <c r="N1282">
        <f>VLOOKUP(Query1[[#This Row],[Description]],'kits to boards'!$B$2:$E$156,4,FALSE)</f>
        <v>0</v>
      </c>
      <c r="O1282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1283" spans="1:15" x14ac:dyDescent="0.25">
      <c r="A1283" s="1">
        <v>912260</v>
      </c>
      <c r="B1283" s="1" t="s">
        <v>104</v>
      </c>
      <c r="C1283" s="1" t="s">
        <v>105</v>
      </c>
      <c r="D1283" s="2">
        <v>44615.383644097223</v>
      </c>
      <c r="E1283" s="1" t="s">
        <v>11</v>
      </c>
      <c r="F1283" s="1">
        <v>1</v>
      </c>
      <c r="G1283" s="1">
        <v>0</v>
      </c>
      <c r="H1283" s="6">
        <f>INT(Query1[[#This Row],[EntryDateTime]])</f>
        <v>44615</v>
      </c>
      <c r="I1283" s="1">
        <f>IF(Query1[[#This Row],[ItemType]]="EVAP KIT SF GEN IV",Query1[[#This Row],[OrderQty]]+I1282,I1282)</f>
        <v>1415</v>
      </c>
      <c r="J1283" s="1">
        <f>IF(Query1[[#This Row],[ItemType]]="EVAP KIT UNIVERSAL",Query1[[#This Row],[OrderQty]]+J1282,J1282)</f>
        <v>622</v>
      </c>
      <c r="K1283" s="1">
        <f>Query1[[#This Row],[SF Running Total]]+Query1[[#This Row],[UNIV Running Total]]</f>
        <v>2037</v>
      </c>
      <c r="L1283">
        <f>VLOOKUP(Query1[[#This Row],[Description]],'kits to boards'!$B$2:$E$156,2,FALSE)</f>
        <v>0</v>
      </c>
      <c r="M1283">
        <f>VLOOKUP(Query1[[#This Row],[Description]],'kits to boards'!$B$2:$E$156,3,FALSE)</f>
        <v>0</v>
      </c>
      <c r="N1283">
        <f>VLOOKUP(Query1[[#This Row],[Description]],'kits to boards'!$B$2:$E$156,4,FALSE)</f>
        <v>0</v>
      </c>
      <c r="O1283" t="str">
        <f>CONCATENATE(Query1[[#This Row],[Description]]," - ",Query1[[#This Row],[MB1]]," - ",Query1[[#This Row],[MB2]]," - ",Query1[[#This Row],[MB3]])</f>
        <v>HERITAGE BRUSHED EVAP KIT HEAT/COOL - 0 - 0 - 0</v>
      </c>
    </row>
    <row r="1284" spans="1:15" x14ac:dyDescent="0.25">
      <c r="A1284" s="1">
        <v>912260</v>
      </c>
      <c r="B1284" s="1" t="s">
        <v>58</v>
      </c>
      <c r="C1284" s="1" t="s">
        <v>59</v>
      </c>
      <c r="D1284" s="2">
        <v>44615.386728668978</v>
      </c>
      <c r="E1284" s="1" t="s">
        <v>11</v>
      </c>
      <c r="F1284" s="1">
        <v>1</v>
      </c>
      <c r="G1284" s="1">
        <v>0</v>
      </c>
      <c r="H1284" s="6">
        <f>INT(Query1[[#This Row],[EntryDateTime]])</f>
        <v>44615</v>
      </c>
      <c r="I1284" s="1">
        <f>IF(Query1[[#This Row],[ItemType]]="EVAP KIT SF GEN IV",Query1[[#This Row],[OrderQty]]+I1283,I1283)</f>
        <v>1415</v>
      </c>
      <c r="J1284" s="1">
        <f>IF(Query1[[#This Row],[ItemType]]="EVAP KIT UNIVERSAL",Query1[[#This Row],[OrderQty]]+J1283,J1283)</f>
        <v>623</v>
      </c>
      <c r="K1284" s="1">
        <f>Query1[[#This Row],[SF Running Total]]+Query1[[#This Row],[UNIV Running Total]]</f>
        <v>2038</v>
      </c>
      <c r="L1284">
        <f>VLOOKUP(Query1[[#This Row],[Description]],'kits to boards'!$B$2:$E$156,2,FALSE)</f>
        <v>830088</v>
      </c>
      <c r="M1284">
        <f>VLOOKUP(Query1[[#This Row],[Description]],'kits to boards'!$B$2:$E$156,3,FALSE)</f>
        <v>830099</v>
      </c>
      <c r="N1284">
        <f>VLOOKUP(Query1[[#This Row],[Description]],'kits to boards'!$B$2:$E$156,4,FALSE)</f>
        <v>0</v>
      </c>
      <c r="O1284" t="str">
        <f>CONCATENATE(Query1[[#This Row],[Description]]," - ",Query1[[#This Row],[MB1]]," - ",Query1[[#This Row],[MB2]]," - ",Query1[[#This Row],[MB3]])</f>
        <v>MONSTER TRUNK UNIT COOL - 830088 - 830099 - 0</v>
      </c>
    </row>
    <row r="1285" spans="1:15" x14ac:dyDescent="0.25">
      <c r="A1285" s="1">
        <v>912261</v>
      </c>
      <c r="B1285" s="1" t="s">
        <v>6</v>
      </c>
      <c r="C1285" s="1" t="s">
        <v>7</v>
      </c>
      <c r="D1285" s="2">
        <v>44615.388377627314</v>
      </c>
      <c r="E1285" s="1" t="s">
        <v>8</v>
      </c>
      <c r="F1285" s="1">
        <v>1</v>
      </c>
      <c r="G1285" s="1">
        <v>0</v>
      </c>
      <c r="H1285" s="6">
        <f>INT(Query1[[#This Row],[EntryDateTime]])</f>
        <v>44615</v>
      </c>
      <c r="I1285" s="1">
        <f>IF(Query1[[#This Row],[ItemType]]="EVAP KIT SF GEN IV",Query1[[#This Row],[OrderQty]]+I1284,I1284)</f>
        <v>1416</v>
      </c>
      <c r="J1285" s="1">
        <f>IF(Query1[[#This Row],[ItemType]]="EVAP KIT UNIVERSAL",Query1[[#This Row],[OrderQty]]+J1284,J1284)</f>
        <v>623</v>
      </c>
      <c r="K1285" s="1">
        <f>Query1[[#This Row],[SF Running Total]]+Query1[[#This Row],[UNIV Running Total]]</f>
        <v>2039</v>
      </c>
      <c r="L1285">
        <f>VLOOKUP(Query1[[#This Row],[Description]],'kits to boards'!$B$2:$E$156,2,FALSE)</f>
        <v>830132</v>
      </c>
      <c r="M1285">
        <f>VLOOKUP(Query1[[#This Row],[Description]],'kits to boards'!$B$2:$E$156,3,FALSE)</f>
        <v>0</v>
      </c>
      <c r="N1285">
        <f>VLOOKUP(Query1[[#This Row],[Description]],'kits to boards'!$B$2:$E$156,4,FALSE)</f>
        <v>0</v>
      </c>
      <c r="O1285" t="str">
        <f>CONCATENATE(Query1[[#This Row],[Description]]," - ",Query1[[#This Row],[MB1]]," - ",Query1[[#This Row],[MB2]]," - ",Query1[[#This Row],[MB3]])</f>
        <v>EVAP KIT 82-88 MONTE CARLO/EL CAMINO - 830132 - 0 - 0</v>
      </c>
    </row>
    <row r="1286" spans="1:15" x14ac:dyDescent="0.25">
      <c r="A1286" s="1">
        <v>912264</v>
      </c>
      <c r="B1286" s="1" t="s">
        <v>26</v>
      </c>
      <c r="C1286" s="1" t="s">
        <v>27</v>
      </c>
      <c r="D1286" s="2">
        <v>44615.401271145834</v>
      </c>
      <c r="E1286" s="1" t="s">
        <v>8</v>
      </c>
      <c r="F1286" s="1">
        <v>1</v>
      </c>
      <c r="G1286" s="1">
        <v>0</v>
      </c>
      <c r="H1286" s="6">
        <f>INT(Query1[[#This Row],[EntryDateTime]])</f>
        <v>44615</v>
      </c>
      <c r="I1286" s="1">
        <f>IF(Query1[[#This Row],[ItemType]]="EVAP KIT SF GEN IV",Query1[[#This Row],[OrderQty]]+I1285,I1285)</f>
        <v>1417</v>
      </c>
      <c r="J1286" s="1">
        <f>IF(Query1[[#This Row],[ItemType]]="EVAP KIT UNIVERSAL",Query1[[#This Row],[OrderQty]]+J1285,J1285)</f>
        <v>623</v>
      </c>
      <c r="K1286" s="1">
        <f>Query1[[#This Row],[SF Running Total]]+Query1[[#This Row],[UNIV Running Total]]</f>
        <v>2040</v>
      </c>
      <c r="L1286">
        <f>VLOOKUP(Query1[[#This Row],[Description]],'kits to boards'!$B$2:$E$156,2,FALSE)</f>
        <v>830013</v>
      </c>
      <c r="M1286">
        <f>VLOOKUP(Query1[[#This Row],[Description]],'kits to boards'!$B$2:$E$156,3,FALSE)</f>
        <v>0</v>
      </c>
      <c r="N1286">
        <f>VLOOKUP(Query1[[#This Row],[Description]],'kits to boards'!$B$2:$E$156,4,FALSE)</f>
        <v>0</v>
      </c>
      <c r="O1286" t="str">
        <f>CONCATENATE(Query1[[#This Row],[Description]]," - ",Query1[[#This Row],[MB1]]," - ",Query1[[#This Row],[MB2]]," - ",Query1[[#This Row],[MB3]])</f>
        <v>EVAP KIT 67-72 CHEV P-UP W/AC - 830013 - 0 - 0</v>
      </c>
    </row>
    <row r="1287" spans="1:15" x14ac:dyDescent="0.25">
      <c r="A1287" s="1">
        <v>912266</v>
      </c>
      <c r="B1287" s="1" t="s">
        <v>26</v>
      </c>
      <c r="C1287" s="1" t="s">
        <v>27</v>
      </c>
      <c r="D1287" s="2">
        <v>44615.405557094906</v>
      </c>
      <c r="E1287" s="1" t="s">
        <v>8</v>
      </c>
      <c r="F1287" s="1">
        <v>1</v>
      </c>
      <c r="G1287" s="1">
        <v>0</v>
      </c>
      <c r="H1287" s="6">
        <f>INT(Query1[[#This Row],[EntryDateTime]])</f>
        <v>44615</v>
      </c>
      <c r="I1287" s="1">
        <f>IF(Query1[[#This Row],[ItemType]]="EVAP KIT SF GEN IV",Query1[[#This Row],[OrderQty]]+I1286,I1286)</f>
        <v>1418</v>
      </c>
      <c r="J1287" s="1">
        <f>IF(Query1[[#This Row],[ItemType]]="EVAP KIT UNIVERSAL",Query1[[#This Row],[OrderQty]]+J1286,J1286)</f>
        <v>623</v>
      </c>
      <c r="K1287" s="1">
        <f>Query1[[#This Row],[SF Running Total]]+Query1[[#This Row],[UNIV Running Total]]</f>
        <v>2041</v>
      </c>
      <c r="L1287">
        <f>VLOOKUP(Query1[[#This Row],[Description]],'kits to boards'!$B$2:$E$156,2,FALSE)</f>
        <v>830013</v>
      </c>
      <c r="M1287">
        <f>VLOOKUP(Query1[[#This Row],[Description]],'kits to boards'!$B$2:$E$156,3,FALSE)</f>
        <v>0</v>
      </c>
      <c r="N1287">
        <f>VLOOKUP(Query1[[#This Row],[Description]],'kits to boards'!$B$2:$E$156,4,FALSE)</f>
        <v>0</v>
      </c>
      <c r="O1287" t="str">
        <f>CONCATENATE(Query1[[#This Row],[Description]]," - ",Query1[[#This Row],[MB1]]," - ",Query1[[#This Row],[MB2]]," - ",Query1[[#This Row],[MB3]])</f>
        <v>EVAP KIT 67-72 CHEV P-UP W/AC - 830013 - 0 - 0</v>
      </c>
    </row>
    <row r="1288" spans="1:15" x14ac:dyDescent="0.25">
      <c r="A1288" s="1">
        <v>912269</v>
      </c>
      <c r="B1288" s="1" t="s">
        <v>42</v>
      </c>
      <c r="C1288" s="1" t="s">
        <v>43</v>
      </c>
      <c r="D1288" s="2">
        <v>44615.409706099534</v>
      </c>
      <c r="E1288" s="1" t="s">
        <v>8</v>
      </c>
      <c r="F1288" s="1">
        <v>1</v>
      </c>
      <c r="G1288" s="1">
        <v>0</v>
      </c>
      <c r="H1288" s="6">
        <f>INT(Query1[[#This Row],[EntryDateTime]])</f>
        <v>44615</v>
      </c>
      <c r="I1288" s="1">
        <f>IF(Query1[[#This Row],[ItemType]]="EVAP KIT SF GEN IV",Query1[[#This Row],[OrderQty]]+I1287,I1287)</f>
        <v>1419</v>
      </c>
      <c r="J1288" s="1">
        <f>IF(Query1[[#This Row],[ItemType]]="EVAP KIT UNIVERSAL",Query1[[#This Row],[OrderQty]]+J1287,J1287)</f>
        <v>623</v>
      </c>
      <c r="K1288" s="1">
        <f>Query1[[#This Row],[SF Running Total]]+Query1[[#This Row],[UNIV Running Total]]</f>
        <v>2042</v>
      </c>
      <c r="L1288">
        <f>VLOOKUP(Query1[[#This Row],[Description]],'kits to boards'!$B$2:$E$156,2,FALSE)</f>
        <v>830014</v>
      </c>
      <c r="M1288">
        <f>VLOOKUP(Query1[[#This Row],[Description]],'kits to boards'!$B$2:$E$156,3,FALSE)</f>
        <v>0</v>
      </c>
      <c r="N1288">
        <f>VLOOKUP(Query1[[#This Row],[Description]],'kits to boards'!$B$2:$E$156,4,FALSE)</f>
        <v>0</v>
      </c>
      <c r="O1288" t="str">
        <f>CONCATENATE(Query1[[#This Row],[Description]]," - ",Query1[[#This Row],[MB1]]," - ",Query1[[#This Row],[MB2]]," - ",Query1[[#This Row],[MB3]])</f>
        <v>EVAP KIT 67-72 CHEV P-UP WO AC - 830014 - 0 - 0</v>
      </c>
    </row>
    <row r="1289" spans="1:15" x14ac:dyDescent="0.25">
      <c r="A1289" s="1">
        <v>912270</v>
      </c>
      <c r="B1289" s="1" t="s">
        <v>128</v>
      </c>
      <c r="C1289" s="1" t="s">
        <v>129</v>
      </c>
      <c r="D1289" s="2">
        <v>44615.410993831021</v>
      </c>
      <c r="E1289" s="1" t="s">
        <v>8</v>
      </c>
      <c r="F1289" s="1">
        <v>1</v>
      </c>
      <c r="G1289" s="1">
        <v>0</v>
      </c>
      <c r="H1289" s="6">
        <f>INT(Query1[[#This Row],[EntryDateTime]])</f>
        <v>44615</v>
      </c>
      <c r="I1289" s="1">
        <f>IF(Query1[[#This Row],[ItemType]]="EVAP KIT SF GEN IV",Query1[[#This Row],[OrderQty]]+I1288,I1288)</f>
        <v>1420</v>
      </c>
      <c r="J1289" s="1">
        <f>IF(Query1[[#This Row],[ItemType]]="EVAP KIT UNIVERSAL",Query1[[#This Row],[OrderQty]]+J1288,J1288)</f>
        <v>623</v>
      </c>
      <c r="K1289" s="1">
        <f>Query1[[#This Row],[SF Running Total]]+Query1[[#This Row],[UNIV Running Total]]</f>
        <v>2043</v>
      </c>
      <c r="L1289">
        <f>VLOOKUP(Query1[[#This Row],[Description]],'kits to boards'!$B$2:$E$156,2,FALSE)</f>
        <v>830036</v>
      </c>
      <c r="M1289">
        <f>VLOOKUP(Query1[[#This Row],[Description]],'kits to boards'!$B$2:$E$156,3,FALSE)</f>
        <v>830039</v>
      </c>
      <c r="N1289">
        <f>VLOOKUP(Query1[[#This Row],[Description]],'kits to boards'!$B$2:$E$156,4,FALSE)</f>
        <v>0</v>
      </c>
      <c r="O1289" t="str">
        <f>CONCATENATE(Query1[[#This Row],[Description]]," - ",Query1[[#This Row],[MB1]]," - ",Query1[[#This Row],[MB2]]," - ",Query1[[#This Row],[MB3]])</f>
        <v>EVAP KIT 63-66 VETTE WO AC - 830036 - 830039 - 0</v>
      </c>
    </row>
    <row r="1290" spans="1:15" x14ac:dyDescent="0.25">
      <c r="A1290" s="1">
        <v>912160</v>
      </c>
      <c r="B1290" s="1" t="s">
        <v>102</v>
      </c>
      <c r="C1290" s="1" t="s">
        <v>103</v>
      </c>
      <c r="D1290" s="2">
        <v>44615.412128206015</v>
      </c>
      <c r="E1290" s="1" t="s">
        <v>8</v>
      </c>
      <c r="F1290" s="1">
        <v>1</v>
      </c>
      <c r="G1290" s="1">
        <v>0</v>
      </c>
      <c r="H1290" s="6">
        <f>INT(Query1[[#This Row],[EntryDateTime]])</f>
        <v>44615</v>
      </c>
      <c r="I1290" s="1">
        <f>IF(Query1[[#This Row],[ItemType]]="EVAP KIT SF GEN IV",Query1[[#This Row],[OrderQty]]+I1289,I1289)</f>
        <v>1421</v>
      </c>
      <c r="J1290" s="1">
        <f>IF(Query1[[#This Row],[ItemType]]="EVAP KIT UNIVERSAL",Query1[[#This Row],[OrderQty]]+J1289,J1289)</f>
        <v>623</v>
      </c>
      <c r="K1290" s="1">
        <f>Query1[[#This Row],[SF Running Total]]+Query1[[#This Row],[UNIV Running Total]]</f>
        <v>2044</v>
      </c>
      <c r="L1290">
        <f>VLOOKUP(Query1[[#This Row],[Description]],'kits to boards'!$B$2:$E$156,2,FALSE)</f>
        <v>830012</v>
      </c>
      <c r="M1290">
        <f>VLOOKUP(Query1[[#This Row],[Description]],'kits to boards'!$B$2:$E$156,3,FALSE)</f>
        <v>0</v>
      </c>
      <c r="N1290">
        <f>VLOOKUP(Query1[[#This Row],[Description]],'kits to boards'!$B$2:$E$156,4,FALSE)</f>
        <v>0</v>
      </c>
      <c r="O1290" t="str">
        <f>CONCATENATE(Query1[[#This Row],[Description]]," - ",Query1[[#This Row],[MB1]]," - ",Query1[[#This Row],[MB2]]," - ",Query1[[#This Row],[MB3]])</f>
        <v>EVAP KIT 69 CAMARO WO/AC - 830012 - 0 - 0</v>
      </c>
    </row>
    <row r="1291" spans="1:15" x14ac:dyDescent="0.25">
      <c r="A1291" s="1">
        <v>912232</v>
      </c>
      <c r="B1291" s="1" t="s">
        <v>146</v>
      </c>
      <c r="C1291" s="1" t="s">
        <v>147</v>
      </c>
      <c r="D1291" s="2">
        <v>44615.415493055552</v>
      </c>
      <c r="E1291" s="1" t="s">
        <v>11</v>
      </c>
      <c r="F1291" s="1">
        <v>1</v>
      </c>
      <c r="G1291" s="1">
        <v>0</v>
      </c>
      <c r="H1291" s="6">
        <f>INT(Query1[[#This Row],[EntryDateTime]])</f>
        <v>44615</v>
      </c>
      <c r="I1291" s="1">
        <f>IF(Query1[[#This Row],[ItemType]]="EVAP KIT SF GEN IV",Query1[[#This Row],[OrderQty]]+I1290,I1290)</f>
        <v>1421</v>
      </c>
      <c r="J1291" s="1">
        <f>IF(Query1[[#This Row],[ItemType]]="EVAP KIT UNIVERSAL",Query1[[#This Row],[OrderQty]]+J1290,J1290)</f>
        <v>624</v>
      </c>
      <c r="K1291" s="1">
        <f>Query1[[#This Row],[SF Running Total]]+Query1[[#This Row],[UNIV Running Total]]</f>
        <v>2045</v>
      </c>
      <c r="L1291">
        <f>VLOOKUP(Query1[[#This Row],[Description]],'kits to boards'!$B$2:$E$156,2,FALSE)</f>
        <v>0</v>
      </c>
      <c r="M1291">
        <f>VLOOKUP(Query1[[#This Row],[Description]],'kits to boards'!$B$2:$E$156,3,FALSE)</f>
        <v>0</v>
      </c>
      <c r="N1291">
        <f>VLOOKUP(Query1[[#This Row],[Description]],'kits to boards'!$B$2:$E$156,4,FALSE)</f>
        <v>0</v>
      </c>
      <c r="O1291" t="str">
        <f>CONCATENATE(Query1[[#This Row],[Description]]," - ",Query1[[#This Row],[MB1]]," - ",Query1[[#This Row],[MB2]]," - ",Query1[[#This Row],[MB3]])</f>
        <v>HERITAGE BLACK TURNED EVAP KIT COOL ONLY - 0 - 0 - 0</v>
      </c>
    </row>
    <row r="1292" spans="1:15" x14ac:dyDescent="0.25">
      <c r="A1292" s="1">
        <v>912273</v>
      </c>
      <c r="B1292" s="1" t="s">
        <v>84</v>
      </c>
      <c r="C1292" s="1" t="s">
        <v>85</v>
      </c>
      <c r="D1292" s="2">
        <v>44615.419746643522</v>
      </c>
      <c r="E1292" s="1" t="s">
        <v>8</v>
      </c>
      <c r="F1292" s="1">
        <v>1</v>
      </c>
      <c r="G1292" s="1">
        <v>0</v>
      </c>
      <c r="H1292" s="6">
        <f>INT(Query1[[#This Row],[EntryDateTime]])</f>
        <v>44615</v>
      </c>
      <c r="I1292" s="1">
        <f>IF(Query1[[#This Row],[ItemType]]="EVAP KIT SF GEN IV",Query1[[#This Row],[OrderQty]]+I1291,I1291)</f>
        <v>1422</v>
      </c>
      <c r="J1292" s="1">
        <f>IF(Query1[[#This Row],[ItemType]]="EVAP KIT UNIVERSAL",Query1[[#This Row],[OrderQty]]+J1291,J1291)</f>
        <v>624</v>
      </c>
      <c r="K1292" s="1">
        <f>Query1[[#This Row],[SF Running Total]]+Query1[[#This Row],[UNIV Running Total]]</f>
        <v>2046</v>
      </c>
      <c r="L1292">
        <f>VLOOKUP(Query1[[#This Row],[Description]],'kits to boards'!$B$2:$E$156,2,FALSE)</f>
        <v>830085</v>
      </c>
      <c r="M1292">
        <f>VLOOKUP(Query1[[#This Row],[Description]],'kits to boards'!$B$2:$E$156,3,FALSE)</f>
        <v>0</v>
      </c>
      <c r="N1292">
        <f>VLOOKUP(Query1[[#This Row],[Description]],'kits to boards'!$B$2:$E$156,4,FALSE)</f>
        <v>0</v>
      </c>
      <c r="O1292" t="str">
        <f>CONCATENATE(Query1[[#This Row],[Description]]," - ",Query1[[#This Row],[MB1]]," - ",Query1[[#This Row],[MB2]]," - ",Query1[[#This Row],[MB3]])</f>
        <v>EVAP KIT 66-77 BRONCO 4-VENT PLENUM - 830085 - 0 - 0</v>
      </c>
    </row>
    <row r="1293" spans="1:15" x14ac:dyDescent="0.25">
      <c r="A1293" s="1">
        <v>912014</v>
      </c>
      <c r="B1293" s="1" t="s">
        <v>506</v>
      </c>
      <c r="C1293" s="1" t="s">
        <v>507</v>
      </c>
      <c r="D1293" s="2">
        <v>44615.430048576389</v>
      </c>
      <c r="E1293" s="1" t="s">
        <v>677</v>
      </c>
      <c r="F1293" s="1">
        <v>1</v>
      </c>
      <c r="G1293" s="1">
        <v>0</v>
      </c>
      <c r="H1293" s="6">
        <f>INT(Query1[[#This Row],[EntryDateTime]])</f>
        <v>44615</v>
      </c>
      <c r="I1293" s="1">
        <f>IF(Query1[[#This Row],[ItemType]]="EVAP KIT SF GEN IV",Query1[[#This Row],[OrderQty]]+I1292,I1292)</f>
        <v>1422</v>
      </c>
      <c r="J1293" s="1">
        <f>IF(Query1[[#This Row],[ItemType]]="EVAP KIT UNIVERSAL",Query1[[#This Row],[OrderQty]]+J1292,J1292)</f>
        <v>624</v>
      </c>
      <c r="K1293" s="1">
        <f>Query1[[#This Row],[SF Running Total]]+Query1[[#This Row],[UNIV Running Total]]</f>
        <v>2046</v>
      </c>
      <c r="L1293" t="e">
        <f>VLOOKUP(Query1[[#This Row],[Description]],'kits to boards'!$B$2:$E$156,2,FALSE)</f>
        <v>#N/A</v>
      </c>
      <c r="M1293" t="e">
        <f>VLOOKUP(Query1[[#This Row],[Description]],'kits to boards'!$B$2:$E$156,3,FALSE)</f>
        <v>#N/A</v>
      </c>
      <c r="N1293" t="e">
        <f>VLOOKUP(Query1[[#This Row],[Description]],'kits to boards'!$B$2:$E$156,4,FALSE)</f>
        <v>#N/A</v>
      </c>
      <c r="O1293" t="e">
        <f>CONCATENATE(Query1[[#This Row],[Description]]," - ",Query1[[#This Row],[MB1]]," - ",Query1[[#This Row],[MB2]]," - ",Query1[[#This Row],[MB3]])</f>
        <v>#N/A</v>
      </c>
    </row>
    <row r="1294" spans="1:15" x14ac:dyDescent="0.25">
      <c r="A1294" s="1">
        <v>912300</v>
      </c>
      <c r="B1294" s="1" t="s">
        <v>164</v>
      </c>
      <c r="C1294" s="1" t="s">
        <v>165</v>
      </c>
      <c r="D1294" s="2">
        <v>44615.445018749997</v>
      </c>
      <c r="E1294" s="1" t="s">
        <v>8</v>
      </c>
      <c r="F1294" s="1">
        <v>1</v>
      </c>
      <c r="G1294" s="1">
        <v>0</v>
      </c>
      <c r="H1294" s="6">
        <f>INT(Query1[[#This Row],[EntryDateTime]])</f>
        <v>44615</v>
      </c>
      <c r="I1294" s="1">
        <f>IF(Query1[[#This Row],[ItemType]]="EVAP KIT SF GEN IV",Query1[[#This Row],[OrderQty]]+I1293,I1293)</f>
        <v>1423</v>
      </c>
      <c r="J1294" s="1">
        <f>IF(Query1[[#This Row],[ItemType]]="EVAP KIT UNIVERSAL",Query1[[#This Row],[OrderQty]]+J1293,J1293)</f>
        <v>624</v>
      </c>
      <c r="K1294" s="1">
        <f>Query1[[#This Row],[SF Running Total]]+Query1[[#This Row],[UNIV Running Total]]</f>
        <v>2047</v>
      </c>
      <c r="L1294">
        <f>VLOOKUP(Query1[[#This Row],[Description]],'kits to boards'!$B$2:$E$156,2,FALSE)</f>
        <v>830083</v>
      </c>
      <c r="M1294">
        <f>VLOOKUP(Query1[[#This Row],[Description]],'kits to boards'!$B$2:$E$156,3,FALSE)</f>
        <v>0</v>
      </c>
      <c r="N1294">
        <f>VLOOKUP(Query1[[#This Row],[Description]],'kits to boards'!$B$2:$E$156,4,FALSE)</f>
        <v>0</v>
      </c>
      <c r="O1294" t="str">
        <f>CONCATENATE(Query1[[#This Row],[Description]]," - ",Query1[[#This Row],[MB1]]," - ",Query1[[#This Row],[MB2]]," - ",Query1[[#This Row],[MB3]])</f>
        <v>EVAP KIT 70-74 CHALNGR/CUDA W/AC - 830083 - 0 - 0</v>
      </c>
    </row>
    <row r="1295" spans="1:15" x14ac:dyDescent="0.25">
      <c r="A1295" s="1">
        <v>912287</v>
      </c>
      <c r="B1295" s="1" t="s">
        <v>26</v>
      </c>
      <c r="C1295" s="1" t="s">
        <v>27</v>
      </c>
      <c r="D1295" s="2">
        <v>44615.447504548611</v>
      </c>
      <c r="E1295" s="1" t="s">
        <v>8</v>
      </c>
      <c r="F1295" s="1">
        <v>1</v>
      </c>
      <c r="G1295" s="1">
        <v>0</v>
      </c>
      <c r="H1295" s="6">
        <f>INT(Query1[[#This Row],[EntryDateTime]])</f>
        <v>44615</v>
      </c>
      <c r="I1295" s="1">
        <f>IF(Query1[[#This Row],[ItemType]]="EVAP KIT SF GEN IV",Query1[[#This Row],[OrderQty]]+I1294,I1294)</f>
        <v>1424</v>
      </c>
      <c r="J1295" s="1">
        <f>IF(Query1[[#This Row],[ItemType]]="EVAP KIT UNIVERSAL",Query1[[#This Row],[OrderQty]]+J1294,J1294)</f>
        <v>624</v>
      </c>
      <c r="K1295" s="1">
        <f>Query1[[#This Row],[SF Running Total]]+Query1[[#This Row],[UNIV Running Total]]</f>
        <v>2048</v>
      </c>
      <c r="L1295">
        <f>VLOOKUP(Query1[[#This Row],[Description]],'kits to boards'!$B$2:$E$156,2,FALSE)</f>
        <v>830013</v>
      </c>
      <c r="M1295">
        <f>VLOOKUP(Query1[[#This Row],[Description]],'kits to boards'!$B$2:$E$156,3,FALSE)</f>
        <v>0</v>
      </c>
      <c r="N1295">
        <f>VLOOKUP(Query1[[#This Row],[Description]],'kits to boards'!$B$2:$E$156,4,FALSE)</f>
        <v>0</v>
      </c>
      <c r="O1295" t="str">
        <f>CONCATENATE(Query1[[#This Row],[Description]]," - ",Query1[[#This Row],[MB1]]," - ",Query1[[#This Row],[MB2]]," - ",Query1[[#This Row],[MB3]])</f>
        <v>EVAP KIT 67-72 CHEV P-UP W/AC - 830013 - 0 - 0</v>
      </c>
    </row>
    <row r="1296" spans="1:15" x14ac:dyDescent="0.25">
      <c r="A1296" s="1">
        <v>912298</v>
      </c>
      <c r="B1296" s="1" t="s">
        <v>68</v>
      </c>
      <c r="C1296" s="1" t="s">
        <v>69</v>
      </c>
      <c r="D1296" s="2">
        <v>44615.449183217592</v>
      </c>
      <c r="E1296" s="1" t="s">
        <v>8</v>
      </c>
      <c r="F1296" s="1">
        <v>1</v>
      </c>
      <c r="G1296" s="1">
        <v>0</v>
      </c>
      <c r="H1296" s="6">
        <f>INT(Query1[[#This Row],[EntryDateTime]])</f>
        <v>44615</v>
      </c>
      <c r="I1296" s="1">
        <f>IF(Query1[[#This Row],[ItemType]]="EVAP KIT SF GEN IV",Query1[[#This Row],[OrderQty]]+I1295,I1295)</f>
        <v>1425</v>
      </c>
      <c r="J1296" s="1">
        <f>IF(Query1[[#This Row],[ItemType]]="EVAP KIT UNIVERSAL",Query1[[#This Row],[OrderQty]]+J1295,J1295)</f>
        <v>624</v>
      </c>
      <c r="K1296" s="1">
        <f>Query1[[#This Row],[SF Running Total]]+Query1[[#This Row],[UNIV Running Total]]</f>
        <v>2049</v>
      </c>
      <c r="L1296">
        <f>VLOOKUP(Query1[[#This Row],[Description]],'kits to boards'!$B$2:$E$156,2,FALSE)</f>
        <v>830010</v>
      </c>
      <c r="M1296">
        <f>VLOOKUP(Query1[[#This Row],[Description]],'kits to boards'!$B$2:$E$156,3,FALSE)</f>
        <v>0</v>
      </c>
      <c r="N1296">
        <f>VLOOKUP(Query1[[#This Row],[Description]],'kits to boards'!$B$2:$E$156,4,FALSE)</f>
        <v>0</v>
      </c>
      <c r="O1296" t="str">
        <f>CONCATENATE(Query1[[#This Row],[Description]]," - ",Query1[[#This Row],[MB1]]," - ",Query1[[#This Row],[MB2]]," - ",Query1[[#This Row],[MB3]])</f>
        <v>EVAP KIT 70-72 CHEVELLE WO AC - 830010 - 0 - 0</v>
      </c>
    </row>
    <row r="1297" spans="1:15" x14ac:dyDescent="0.25">
      <c r="A1297" s="1">
        <v>912305</v>
      </c>
      <c r="B1297" s="1" t="s">
        <v>32</v>
      </c>
      <c r="C1297" s="1" t="s">
        <v>33</v>
      </c>
      <c r="D1297" s="2">
        <v>44615.449564467592</v>
      </c>
      <c r="E1297" s="1" t="s">
        <v>8</v>
      </c>
      <c r="F1297" s="1">
        <v>1</v>
      </c>
      <c r="G1297" s="1">
        <v>0</v>
      </c>
      <c r="H1297" s="6">
        <f>INT(Query1[[#This Row],[EntryDateTime]])</f>
        <v>44615</v>
      </c>
      <c r="I1297" s="1">
        <f>IF(Query1[[#This Row],[ItemType]]="EVAP KIT SF GEN IV",Query1[[#This Row],[OrderQty]]+I1296,I1296)</f>
        <v>1426</v>
      </c>
      <c r="J1297" s="1">
        <f>IF(Query1[[#This Row],[ItemType]]="EVAP KIT UNIVERSAL",Query1[[#This Row],[OrderQty]]+J1296,J1296)</f>
        <v>624</v>
      </c>
      <c r="K1297" s="1">
        <f>Query1[[#This Row],[SF Running Total]]+Query1[[#This Row],[UNIV Running Total]]</f>
        <v>2050</v>
      </c>
      <c r="L1297">
        <f>VLOOKUP(Query1[[#This Row],[Description]],'kits to boards'!$B$2:$E$156,2,FALSE)</f>
        <v>830016</v>
      </c>
      <c r="M1297">
        <f>VLOOKUP(Query1[[#This Row],[Description]],'kits to boards'!$B$2:$E$156,3,FALSE)</f>
        <v>0</v>
      </c>
      <c r="N1297">
        <f>VLOOKUP(Query1[[#This Row],[Description]],'kits to boards'!$B$2:$E$156,4,FALSE)</f>
        <v>0</v>
      </c>
      <c r="O1297" t="str">
        <f>CONCATENATE(Query1[[#This Row],[Description]]," - ",Query1[[#This Row],[MB1]]," - ",Query1[[#This Row],[MB2]]," - ",Query1[[#This Row],[MB3]])</f>
        <v>EVAP KIT 67-68 CAMARO/FIREBIRD W/AC - 830016 - 0 - 0</v>
      </c>
    </row>
    <row r="1298" spans="1:15" x14ac:dyDescent="0.25">
      <c r="A1298" s="1">
        <v>912259</v>
      </c>
      <c r="B1298" s="1" t="s">
        <v>168</v>
      </c>
      <c r="C1298" s="1" t="s">
        <v>169</v>
      </c>
      <c r="D1298" s="2">
        <v>44615.451784143515</v>
      </c>
      <c r="E1298" s="1" t="s">
        <v>8</v>
      </c>
      <c r="F1298" s="1">
        <v>1</v>
      </c>
      <c r="G1298" s="1">
        <v>0</v>
      </c>
      <c r="H1298" s="6">
        <f>INT(Query1[[#This Row],[EntryDateTime]])</f>
        <v>44615</v>
      </c>
      <c r="I1298" s="1">
        <f>IF(Query1[[#This Row],[ItemType]]="EVAP KIT SF GEN IV",Query1[[#This Row],[OrderQty]]+I1297,I1297)</f>
        <v>1427</v>
      </c>
      <c r="J1298" s="1">
        <f>IF(Query1[[#This Row],[ItemType]]="EVAP KIT UNIVERSAL",Query1[[#This Row],[OrderQty]]+J1297,J1297)</f>
        <v>624</v>
      </c>
      <c r="K1298" s="1">
        <f>Query1[[#This Row],[SF Running Total]]+Query1[[#This Row],[UNIV Running Total]]</f>
        <v>2051</v>
      </c>
      <c r="L1298">
        <f>VLOOKUP(Query1[[#This Row],[Description]],'kits to boards'!$B$2:$E$156,2,FALSE)</f>
        <v>830028</v>
      </c>
      <c r="M1298">
        <f>VLOOKUP(Query1[[#This Row],[Description]],'kits to boards'!$B$2:$E$156,3,FALSE)</f>
        <v>0</v>
      </c>
      <c r="N1298">
        <f>VLOOKUP(Query1[[#This Row],[Description]],'kits to boards'!$B$2:$E$156,4,FALSE)</f>
        <v>0</v>
      </c>
      <c r="O1298" t="str">
        <f>CONCATENATE(Query1[[#This Row],[Description]]," - ",Query1[[#This Row],[MB1]]," - ",Query1[[#This Row],[MB2]]," - ",Query1[[#This Row],[MB3]])</f>
        <v>EVAP KIT 55-59 CHEV P-UP WO AC W/STD  - 830028 - 0 - 0</v>
      </c>
    </row>
    <row r="1299" spans="1:15" x14ac:dyDescent="0.25">
      <c r="A1299" s="1">
        <v>912306</v>
      </c>
      <c r="B1299" s="1" t="s">
        <v>24</v>
      </c>
      <c r="C1299" s="1" t="s">
        <v>25</v>
      </c>
      <c r="D1299" s="2">
        <v>44615.461792858798</v>
      </c>
      <c r="E1299" s="1" t="s">
        <v>11</v>
      </c>
      <c r="F1299" s="1">
        <v>1</v>
      </c>
      <c r="G1299" s="1">
        <v>0</v>
      </c>
      <c r="H1299" s="6">
        <f>INT(Query1[[#This Row],[EntryDateTime]])</f>
        <v>44615</v>
      </c>
      <c r="I1299" s="1">
        <f>IF(Query1[[#This Row],[ItemType]]="EVAP KIT SF GEN IV",Query1[[#This Row],[OrderQty]]+I1298,I1298)</f>
        <v>1427</v>
      </c>
      <c r="J1299" s="1">
        <f>IF(Query1[[#This Row],[ItemType]]="EVAP KIT UNIVERSAL",Query1[[#This Row],[OrderQty]]+J1298,J1298)</f>
        <v>625</v>
      </c>
      <c r="K1299" s="1">
        <f>Query1[[#This Row],[SF Running Total]]+Query1[[#This Row],[UNIV Running Total]]</f>
        <v>2052</v>
      </c>
      <c r="L1299">
        <f>VLOOKUP(Query1[[#This Row],[Description]],'kits to boards'!$B$2:$E$156,2,FALSE)</f>
        <v>830029</v>
      </c>
      <c r="M1299">
        <f>VLOOKUP(Query1[[#This Row],[Description]],'kits to boards'!$B$2:$E$156,3,FALSE)</f>
        <v>830030</v>
      </c>
      <c r="N1299">
        <f>VLOOKUP(Query1[[#This Row],[Description]],'kits to boards'!$B$2:$E$156,4,FALSE)</f>
        <v>0</v>
      </c>
      <c r="O1299" t="str">
        <f>CONCATENATE(Query1[[#This Row],[Description]]," - ",Query1[[#This Row],[MB1]]," - ",Query1[[#This Row],[MB2]]," - ",Query1[[#This Row],[MB3]])</f>
        <v>ComPac GEN II W/DEF - 830029 - 830030 - 0</v>
      </c>
    </row>
    <row r="1300" spans="1:15" x14ac:dyDescent="0.25">
      <c r="A1300" s="1">
        <v>912316</v>
      </c>
      <c r="B1300" s="1" t="s">
        <v>212</v>
      </c>
      <c r="C1300" s="1" t="s">
        <v>213</v>
      </c>
      <c r="D1300" s="2">
        <v>44615.477349733796</v>
      </c>
      <c r="E1300" s="1" t="s">
        <v>8</v>
      </c>
      <c r="F1300" s="1">
        <v>1</v>
      </c>
      <c r="G1300" s="1">
        <v>0</v>
      </c>
      <c r="H1300" s="6">
        <f>INT(Query1[[#This Row],[EntryDateTime]])</f>
        <v>44615</v>
      </c>
      <c r="I1300" s="1">
        <f>IF(Query1[[#This Row],[ItemType]]="EVAP KIT SF GEN IV",Query1[[#This Row],[OrderQty]]+I1299,I1299)</f>
        <v>1428</v>
      </c>
      <c r="J1300" s="1">
        <f>IF(Query1[[#This Row],[ItemType]]="EVAP KIT UNIVERSAL",Query1[[#This Row],[OrderQty]]+J1299,J1299)</f>
        <v>625</v>
      </c>
      <c r="K1300" s="1">
        <f>Query1[[#This Row],[SF Running Total]]+Query1[[#This Row],[UNIV Running Total]]</f>
        <v>2053</v>
      </c>
      <c r="L1300">
        <f>VLOOKUP(Query1[[#This Row],[Description]],'kits to boards'!$B$2:$E$156,2,FALSE)</f>
        <v>830034</v>
      </c>
      <c r="M1300">
        <f>VLOOKUP(Query1[[#This Row],[Description]],'kits to boards'!$B$2:$E$156,3,FALSE)</f>
        <v>0</v>
      </c>
      <c r="N1300">
        <f>VLOOKUP(Query1[[#This Row],[Description]],'kits to boards'!$B$2:$E$156,4,FALSE)</f>
        <v>0</v>
      </c>
      <c r="O1300" t="str">
        <f>CONCATENATE(Query1[[#This Row],[Description]]," - ",Query1[[#This Row],[MB1]]," - ",Query1[[#This Row],[MB2]]," - ",Query1[[#This Row],[MB3]])</f>
        <v>EVAP KIT 64-67 GTO W/AC - 830034 - 0 - 0</v>
      </c>
    </row>
    <row r="1301" spans="1:15" x14ac:dyDescent="0.25">
      <c r="A1301" s="1">
        <v>912123</v>
      </c>
      <c r="B1301" s="1" t="s">
        <v>102</v>
      </c>
      <c r="C1301" s="1" t="s">
        <v>103</v>
      </c>
      <c r="D1301" s="2">
        <v>44615.480389317127</v>
      </c>
      <c r="E1301" s="1" t="s">
        <v>8</v>
      </c>
      <c r="F1301" s="1">
        <v>1</v>
      </c>
      <c r="G1301" s="1">
        <v>0</v>
      </c>
      <c r="H1301" s="6">
        <f>INT(Query1[[#This Row],[EntryDateTime]])</f>
        <v>44615</v>
      </c>
      <c r="I1301" s="1">
        <f>IF(Query1[[#This Row],[ItemType]]="EVAP KIT SF GEN IV",Query1[[#This Row],[OrderQty]]+I1300,I1300)</f>
        <v>1429</v>
      </c>
      <c r="J1301" s="1">
        <f>IF(Query1[[#This Row],[ItemType]]="EVAP KIT UNIVERSAL",Query1[[#This Row],[OrderQty]]+J1300,J1300)</f>
        <v>625</v>
      </c>
      <c r="K1301" s="1">
        <f>Query1[[#This Row],[SF Running Total]]+Query1[[#This Row],[UNIV Running Total]]</f>
        <v>2054</v>
      </c>
      <c r="L1301">
        <f>VLOOKUP(Query1[[#This Row],[Description]],'kits to boards'!$B$2:$E$156,2,FALSE)</f>
        <v>830012</v>
      </c>
      <c r="M1301">
        <f>VLOOKUP(Query1[[#This Row],[Description]],'kits to boards'!$B$2:$E$156,3,FALSE)</f>
        <v>0</v>
      </c>
      <c r="N1301">
        <f>VLOOKUP(Query1[[#This Row],[Description]],'kits to boards'!$B$2:$E$156,4,FALSE)</f>
        <v>0</v>
      </c>
      <c r="O1301" t="str">
        <f>CONCATENATE(Query1[[#This Row],[Description]]," - ",Query1[[#This Row],[MB1]]," - ",Query1[[#This Row],[MB2]]," - ",Query1[[#This Row],[MB3]])</f>
        <v>EVAP KIT 69 CAMARO WO/AC - 830012 - 0 - 0</v>
      </c>
    </row>
    <row r="1302" spans="1:15" x14ac:dyDescent="0.25">
      <c r="A1302" s="1">
        <v>912265</v>
      </c>
      <c r="B1302" s="1" t="s">
        <v>46</v>
      </c>
      <c r="C1302" s="1" t="s">
        <v>47</v>
      </c>
      <c r="D1302" s="2">
        <v>44615.550548032406</v>
      </c>
      <c r="E1302" s="1" t="s">
        <v>8</v>
      </c>
      <c r="F1302" s="1">
        <v>1</v>
      </c>
      <c r="G1302" s="1">
        <v>0</v>
      </c>
      <c r="H1302" s="6">
        <f>INT(Query1[[#This Row],[EntryDateTime]])</f>
        <v>44615</v>
      </c>
      <c r="I1302" s="1">
        <f>IF(Query1[[#This Row],[ItemType]]="EVAP KIT SF GEN IV",Query1[[#This Row],[OrderQty]]+I1301,I1301)</f>
        <v>1430</v>
      </c>
      <c r="J1302" s="1">
        <f>IF(Query1[[#This Row],[ItemType]]="EVAP KIT UNIVERSAL",Query1[[#This Row],[OrderQty]]+J1301,J1301)</f>
        <v>625</v>
      </c>
      <c r="K1302" s="1">
        <f>Query1[[#This Row],[SF Running Total]]+Query1[[#This Row],[UNIV Running Total]]</f>
        <v>2055</v>
      </c>
      <c r="L1302">
        <f>VLOOKUP(Query1[[#This Row],[Description]],'kits to boards'!$B$2:$E$156,2,FALSE)</f>
        <v>830018</v>
      </c>
      <c r="M1302">
        <f>VLOOKUP(Query1[[#This Row],[Description]],'kits to boards'!$B$2:$E$156,3,FALSE)</f>
        <v>0</v>
      </c>
      <c r="N1302">
        <f>VLOOKUP(Query1[[#This Row],[Description]],'kits to boards'!$B$2:$E$156,4,FALSE)</f>
        <v>0</v>
      </c>
      <c r="O1302" t="str">
        <f>CONCATENATE(Query1[[#This Row],[Description]]," - ",Query1[[#This Row],[MB1]]," - ",Query1[[#This Row],[MB2]]," - ",Query1[[#This Row],[MB3]])</f>
        <v>EVAP KIT 68-72 FORD P-UP F-100 - 830018 - 0 - 0</v>
      </c>
    </row>
    <row r="1303" spans="1:15" x14ac:dyDescent="0.25">
      <c r="A1303" s="1">
        <v>912320</v>
      </c>
      <c r="B1303" s="1" t="s">
        <v>94</v>
      </c>
      <c r="C1303" s="1" t="s">
        <v>95</v>
      </c>
      <c r="D1303" s="2">
        <v>44615.552054942127</v>
      </c>
      <c r="E1303" s="1" t="s">
        <v>8</v>
      </c>
      <c r="F1303" s="1">
        <v>1</v>
      </c>
      <c r="G1303" s="1">
        <v>0</v>
      </c>
      <c r="H1303" s="6">
        <f>INT(Query1[[#This Row],[EntryDateTime]])</f>
        <v>44615</v>
      </c>
      <c r="I1303" s="1">
        <f>IF(Query1[[#This Row],[ItemType]]="EVAP KIT SF GEN IV",Query1[[#This Row],[OrderQty]]+I1302,I1302)</f>
        <v>1431</v>
      </c>
      <c r="J1303" s="1">
        <f>IF(Query1[[#This Row],[ItemType]]="EVAP KIT UNIVERSAL",Query1[[#This Row],[OrderQty]]+J1302,J1302)</f>
        <v>625</v>
      </c>
      <c r="K1303" s="1">
        <f>Query1[[#This Row],[SF Running Total]]+Query1[[#This Row],[UNIV Running Total]]</f>
        <v>2056</v>
      </c>
      <c r="L1303">
        <f>VLOOKUP(Query1[[#This Row],[Description]],'kits to boards'!$B$2:$E$156,2,FALSE)</f>
        <v>830076</v>
      </c>
      <c r="M1303">
        <f>VLOOKUP(Query1[[#This Row],[Description]],'kits to boards'!$B$2:$E$156,3,FALSE)</f>
        <v>0</v>
      </c>
      <c r="N1303">
        <f>VLOOKUP(Query1[[#This Row],[Description]],'kits to boards'!$B$2:$E$156,4,FALSE)</f>
        <v>0</v>
      </c>
      <c r="O1303" t="str">
        <f>CONCATENATE(Query1[[#This Row],[Description]]," - ",Query1[[#This Row],[MB1]]," - ",Query1[[#This Row],[MB2]]," - ",Query1[[#This Row],[MB3]])</f>
        <v>EVAP KIT 64 1/2- 66 MUSTANG  - 830076 - 0 - 0</v>
      </c>
    </row>
    <row r="1304" spans="1:15" x14ac:dyDescent="0.25">
      <c r="A1304" s="1">
        <v>912177</v>
      </c>
      <c r="B1304" s="1" t="s">
        <v>28</v>
      </c>
      <c r="C1304" s="1" t="s">
        <v>29</v>
      </c>
      <c r="D1304" s="2">
        <v>44615.562574386575</v>
      </c>
      <c r="E1304" s="1" t="s">
        <v>8</v>
      </c>
      <c r="F1304" s="1">
        <v>1</v>
      </c>
      <c r="G1304" s="1">
        <v>0</v>
      </c>
      <c r="H1304" s="6">
        <f>INT(Query1[[#This Row],[EntryDateTime]])</f>
        <v>44615</v>
      </c>
      <c r="I1304" s="1">
        <f>IF(Query1[[#This Row],[ItemType]]="EVAP KIT SF GEN IV",Query1[[#This Row],[OrderQty]]+I1303,I1303)</f>
        <v>1432</v>
      </c>
      <c r="J1304" s="1">
        <f>IF(Query1[[#This Row],[ItemType]]="EVAP KIT UNIVERSAL",Query1[[#This Row],[OrderQty]]+J1303,J1303)</f>
        <v>625</v>
      </c>
      <c r="K1304" s="1">
        <f>Query1[[#This Row],[SF Running Total]]+Query1[[#This Row],[UNIV Running Total]]</f>
        <v>2057</v>
      </c>
      <c r="L1304">
        <f>VLOOKUP(Query1[[#This Row],[Description]],'kits to boards'!$B$2:$E$156,2,FALSE)</f>
        <v>830001</v>
      </c>
      <c r="M1304">
        <f>VLOOKUP(Query1[[#This Row],[Description]],'kits to boards'!$B$2:$E$156,3,FALSE)</f>
        <v>0</v>
      </c>
      <c r="N1304">
        <f>VLOOKUP(Query1[[#This Row],[Description]],'kits to boards'!$B$2:$E$156,4,FALSE)</f>
        <v>0</v>
      </c>
      <c r="O1304" t="str">
        <f>CONCATENATE(Query1[[#This Row],[Description]]," - ",Query1[[#This Row],[MB1]]," - ",Query1[[#This Row],[MB2]]," - ",Query1[[#This Row],[MB3]])</f>
        <v>EVAP KIT 73-80 CHEV P-UP W/AC - 830001 - 0 - 0</v>
      </c>
    </row>
    <row r="1305" spans="1:15" x14ac:dyDescent="0.25">
      <c r="A1305" s="1">
        <v>912334</v>
      </c>
      <c r="B1305" s="1" t="s">
        <v>78</v>
      </c>
      <c r="C1305" s="1" t="s">
        <v>79</v>
      </c>
      <c r="D1305" s="2">
        <v>44615.575934756947</v>
      </c>
      <c r="E1305" s="1" t="s">
        <v>11</v>
      </c>
      <c r="F1305" s="1">
        <v>1</v>
      </c>
      <c r="G1305" s="1">
        <v>0</v>
      </c>
      <c r="H1305" s="6">
        <f>INT(Query1[[#This Row],[EntryDateTime]])</f>
        <v>44615</v>
      </c>
      <c r="I1305" s="1">
        <f>IF(Query1[[#This Row],[ItemType]]="EVAP KIT SF GEN IV",Query1[[#This Row],[OrderQty]]+I1304,I1304)</f>
        <v>1432</v>
      </c>
      <c r="J1305" s="1">
        <f>IF(Query1[[#This Row],[ItemType]]="EVAP KIT UNIVERSAL",Query1[[#This Row],[OrderQty]]+J1304,J1304)</f>
        <v>626</v>
      </c>
      <c r="K1305" s="1">
        <f>Query1[[#This Row],[SF Running Total]]+Query1[[#This Row],[UNIV Running Total]]</f>
        <v>2058</v>
      </c>
      <c r="L1305">
        <f>VLOOKUP(Query1[[#This Row],[Description]],'kits to boards'!$B$2:$E$156,2,FALSE)</f>
        <v>0</v>
      </c>
      <c r="M1305">
        <f>VLOOKUP(Query1[[#This Row],[Description]],'kits to boards'!$B$2:$E$156,3,FALSE)</f>
        <v>0</v>
      </c>
      <c r="N1305">
        <f>VLOOKUP(Query1[[#This Row],[Description]],'kits to boards'!$B$2:$E$156,4,FALSE)</f>
        <v>0</v>
      </c>
      <c r="O1305" t="str">
        <f>CONCATENATE(Query1[[#This Row],[Description]]," - ",Query1[[#This Row],[MB1]]," - ",Query1[[#This Row],[MB2]]," - ",Query1[[#This Row],[MB3]])</f>
        <v>MARK IV STYLELINE UNDERDASH EVAP - 0 - 0 - 0</v>
      </c>
    </row>
    <row r="1306" spans="1:15" x14ac:dyDescent="0.25">
      <c r="A1306" s="1">
        <v>912337</v>
      </c>
      <c r="B1306" s="1" t="s">
        <v>94</v>
      </c>
      <c r="C1306" s="1" t="s">
        <v>95</v>
      </c>
      <c r="D1306" s="2">
        <v>44615.579968483798</v>
      </c>
      <c r="E1306" s="1" t="s">
        <v>8</v>
      </c>
      <c r="F1306" s="1">
        <v>1</v>
      </c>
      <c r="G1306" s="1">
        <v>0</v>
      </c>
      <c r="H1306" s="6">
        <f>INT(Query1[[#This Row],[EntryDateTime]])</f>
        <v>44615</v>
      </c>
      <c r="I1306" s="1">
        <f>IF(Query1[[#This Row],[ItemType]]="EVAP KIT SF GEN IV",Query1[[#This Row],[OrderQty]]+I1305,I1305)</f>
        <v>1433</v>
      </c>
      <c r="J1306" s="1">
        <f>IF(Query1[[#This Row],[ItemType]]="EVAP KIT UNIVERSAL",Query1[[#This Row],[OrderQty]]+J1305,J1305)</f>
        <v>626</v>
      </c>
      <c r="K1306" s="1">
        <f>Query1[[#This Row],[SF Running Total]]+Query1[[#This Row],[UNIV Running Total]]</f>
        <v>2059</v>
      </c>
      <c r="L1306">
        <f>VLOOKUP(Query1[[#This Row],[Description]],'kits to boards'!$B$2:$E$156,2,FALSE)</f>
        <v>830076</v>
      </c>
      <c r="M1306">
        <f>VLOOKUP(Query1[[#This Row],[Description]],'kits to boards'!$B$2:$E$156,3,FALSE)</f>
        <v>0</v>
      </c>
      <c r="N1306">
        <f>VLOOKUP(Query1[[#This Row],[Description]],'kits to boards'!$B$2:$E$156,4,FALSE)</f>
        <v>0</v>
      </c>
      <c r="O1306" t="str">
        <f>CONCATENATE(Query1[[#This Row],[Description]]," - ",Query1[[#This Row],[MB1]]," - ",Query1[[#This Row],[MB2]]," - ",Query1[[#This Row],[MB3]])</f>
        <v>EVAP KIT 64 1/2- 66 MUSTANG  - 830076 - 0 - 0</v>
      </c>
    </row>
    <row r="1307" spans="1:15" x14ac:dyDescent="0.25">
      <c r="A1307" s="1">
        <v>912331</v>
      </c>
      <c r="B1307" s="1" t="s">
        <v>50</v>
      </c>
      <c r="C1307" s="1" t="s">
        <v>51</v>
      </c>
      <c r="D1307" s="2">
        <v>44615.582315775464</v>
      </c>
      <c r="E1307" s="1" t="s">
        <v>8</v>
      </c>
      <c r="F1307" s="1">
        <v>1</v>
      </c>
      <c r="G1307" s="1">
        <v>0</v>
      </c>
      <c r="H1307" s="6">
        <f>INT(Query1[[#This Row],[EntryDateTime]])</f>
        <v>44615</v>
      </c>
      <c r="I1307" s="1">
        <f>IF(Query1[[#This Row],[ItemType]]="EVAP KIT SF GEN IV",Query1[[#This Row],[OrderQty]]+I1306,I1306)</f>
        <v>1434</v>
      </c>
      <c r="J1307" s="1">
        <f>IF(Query1[[#This Row],[ItemType]]="EVAP KIT UNIVERSAL",Query1[[#This Row],[OrderQty]]+J1306,J1306)</f>
        <v>626</v>
      </c>
      <c r="K1307" s="1">
        <f>Query1[[#This Row],[SF Running Total]]+Query1[[#This Row],[UNIV Running Total]]</f>
        <v>2060</v>
      </c>
      <c r="L1307">
        <f>VLOOKUP(Query1[[#This Row],[Description]],'kits to boards'!$B$2:$E$156,2,FALSE)</f>
        <v>830043</v>
      </c>
      <c r="M1307">
        <f>VLOOKUP(Query1[[#This Row],[Description]],'kits to boards'!$B$2:$E$156,3,FALSE)</f>
        <v>0</v>
      </c>
      <c r="N1307">
        <f>VLOOKUP(Query1[[#This Row],[Description]],'kits to boards'!$B$2:$E$156,4,FALSE)</f>
        <v>0</v>
      </c>
      <c r="O1307" t="str">
        <f>CONCATENATE(Query1[[#This Row],[Description]]," - ",Query1[[#This Row],[MB1]]," - ",Query1[[#This Row],[MB2]]," - ",Query1[[#This Row],[MB3]])</f>
        <v>EVAP KIT 69-74 NOVA WO AC - 830043 - 0 - 0</v>
      </c>
    </row>
    <row r="1308" spans="1:15" x14ac:dyDescent="0.25">
      <c r="A1308" s="1">
        <v>912337</v>
      </c>
      <c r="B1308" s="1" t="s">
        <v>22</v>
      </c>
      <c r="C1308" s="1" t="s">
        <v>23</v>
      </c>
      <c r="D1308" s="2">
        <v>44615.583939155091</v>
      </c>
      <c r="E1308" s="1" t="s">
        <v>8</v>
      </c>
      <c r="F1308" s="1">
        <v>1</v>
      </c>
      <c r="G1308" s="1">
        <v>0</v>
      </c>
      <c r="H1308" s="6">
        <f>INT(Query1[[#This Row],[EntryDateTime]])</f>
        <v>44615</v>
      </c>
      <c r="I1308" s="1">
        <f>IF(Query1[[#This Row],[ItemType]]="EVAP KIT SF GEN IV",Query1[[#This Row],[OrderQty]]+I1307,I1307)</f>
        <v>1435</v>
      </c>
      <c r="J1308" s="1">
        <f>IF(Query1[[#This Row],[ItemType]]="EVAP KIT UNIVERSAL",Query1[[#This Row],[OrderQty]]+J1307,J1307)</f>
        <v>626</v>
      </c>
      <c r="K1308" s="1">
        <f>Query1[[#This Row],[SF Running Total]]+Query1[[#This Row],[UNIV Running Total]]</f>
        <v>2061</v>
      </c>
      <c r="L1308">
        <f>VLOOKUP(Query1[[#This Row],[Description]],'kits to boards'!$B$2:$E$156,2,FALSE)</f>
        <v>830083</v>
      </c>
      <c r="M1308">
        <f>VLOOKUP(Query1[[#This Row],[Description]],'kits to boards'!$B$2:$E$156,3,FALSE)</f>
        <v>0</v>
      </c>
      <c r="N1308">
        <f>VLOOKUP(Query1[[#This Row],[Description]],'kits to boards'!$B$2:$E$156,4,FALSE)</f>
        <v>0</v>
      </c>
      <c r="O1308" t="str">
        <f>CONCATENATE(Query1[[#This Row],[Description]]," - ",Query1[[#This Row],[MB1]]," - ",Query1[[#This Row],[MB2]]," - ",Query1[[#This Row],[MB3]])</f>
        <v>GEN IV MAGNUM EVAP KIT - 830083 - 0 - 0</v>
      </c>
    </row>
    <row r="1309" spans="1:15" x14ac:dyDescent="0.25">
      <c r="A1309" s="1">
        <v>912349</v>
      </c>
      <c r="B1309" s="1" t="s">
        <v>44</v>
      </c>
      <c r="C1309" s="1" t="s">
        <v>45</v>
      </c>
      <c r="D1309" s="2">
        <v>44615.595539351852</v>
      </c>
      <c r="E1309" s="1" t="s">
        <v>8</v>
      </c>
      <c r="F1309" s="1">
        <v>1</v>
      </c>
      <c r="G1309" s="1">
        <v>0</v>
      </c>
      <c r="H1309" s="6">
        <f>INT(Query1[[#This Row],[EntryDateTime]])</f>
        <v>44615</v>
      </c>
      <c r="I1309" s="1">
        <f>IF(Query1[[#This Row],[ItemType]]="EVAP KIT SF GEN IV",Query1[[#This Row],[OrderQty]]+I1308,I1308)</f>
        <v>1436</v>
      </c>
      <c r="J1309" s="1">
        <f>IF(Query1[[#This Row],[ItemType]]="EVAP KIT UNIVERSAL",Query1[[#This Row],[OrderQty]]+J1308,J1308)</f>
        <v>626</v>
      </c>
      <c r="K1309" s="1">
        <f>Query1[[#This Row],[SF Running Total]]+Query1[[#This Row],[UNIV Running Total]]</f>
        <v>2062</v>
      </c>
      <c r="L1309">
        <f>VLOOKUP(Query1[[#This Row],[Description]],'kits to boards'!$B$2:$E$156,2,FALSE)</f>
        <v>830085</v>
      </c>
      <c r="M1309">
        <f>VLOOKUP(Query1[[#This Row],[Description]],'kits to boards'!$B$2:$E$156,3,FALSE)</f>
        <v>0</v>
      </c>
      <c r="N1309">
        <f>VLOOKUP(Query1[[#This Row],[Description]],'kits to boards'!$B$2:$E$156,4,FALSE)</f>
        <v>0</v>
      </c>
      <c r="O1309" t="str">
        <f>CONCATENATE(Query1[[#This Row],[Description]]," - ",Query1[[#This Row],[MB1]]," - ",Query1[[#This Row],[MB2]]," - ",Query1[[#This Row],[MB3]])</f>
        <v>EVAP KIT 66-77 BRONCO - 830085 - 0 - 0</v>
      </c>
    </row>
    <row r="1310" spans="1:15" x14ac:dyDescent="0.25">
      <c r="A1310" s="1">
        <v>912351</v>
      </c>
      <c r="B1310" s="1" t="s">
        <v>32</v>
      </c>
      <c r="C1310" s="1" t="s">
        <v>33</v>
      </c>
      <c r="D1310" s="2">
        <v>44615.596817442129</v>
      </c>
      <c r="E1310" s="1" t="s">
        <v>8</v>
      </c>
      <c r="F1310" s="1">
        <v>1</v>
      </c>
      <c r="G1310" s="1">
        <v>0</v>
      </c>
      <c r="H1310" s="6">
        <f>INT(Query1[[#This Row],[EntryDateTime]])</f>
        <v>44615</v>
      </c>
      <c r="I1310" s="1">
        <f>IF(Query1[[#This Row],[ItemType]]="EVAP KIT SF GEN IV",Query1[[#This Row],[OrderQty]]+I1309,I1309)</f>
        <v>1437</v>
      </c>
      <c r="J1310" s="1">
        <f>IF(Query1[[#This Row],[ItemType]]="EVAP KIT UNIVERSAL",Query1[[#This Row],[OrderQty]]+J1309,J1309)</f>
        <v>626</v>
      </c>
      <c r="K1310" s="1">
        <f>Query1[[#This Row],[SF Running Total]]+Query1[[#This Row],[UNIV Running Total]]</f>
        <v>2063</v>
      </c>
      <c r="L1310">
        <f>VLOOKUP(Query1[[#This Row],[Description]],'kits to boards'!$B$2:$E$156,2,FALSE)</f>
        <v>830016</v>
      </c>
      <c r="M1310">
        <f>VLOOKUP(Query1[[#This Row],[Description]],'kits to boards'!$B$2:$E$156,3,FALSE)</f>
        <v>0</v>
      </c>
      <c r="N1310">
        <f>VLOOKUP(Query1[[#This Row],[Description]],'kits to boards'!$B$2:$E$156,4,FALSE)</f>
        <v>0</v>
      </c>
      <c r="O1310" t="str">
        <f>CONCATENATE(Query1[[#This Row],[Description]]," - ",Query1[[#This Row],[MB1]]," - ",Query1[[#This Row],[MB2]]," - ",Query1[[#This Row],[MB3]])</f>
        <v>EVAP KIT 67-68 CAMARO/FIREBIRD W/AC - 830016 - 0 - 0</v>
      </c>
    </row>
    <row r="1311" spans="1:15" x14ac:dyDescent="0.25">
      <c r="A1311" s="1">
        <v>912360</v>
      </c>
      <c r="B1311" s="1" t="s">
        <v>210</v>
      </c>
      <c r="C1311" s="1" t="s">
        <v>211</v>
      </c>
      <c r="D1311" s="2">
        <v>44615.606363541665</v>
      </c>
      <c r="E1311" s="1" t="s">
        <v>8</v>
      </c>
      <c r="F1311" s="1">
        <v>1</v>
      </c>
      <c r="G1311" s="1">
        <v>0</v>
      </c>
      <c r="H1311" s="6">
        <f>INT(Query1[[#This Row],[EntryDateTime]])</f>
        <v>44615</v>
      </c>
      <c r="I1311" s="1">
        <f>IF(Query1[[#This Row],[ItemType]]="EVAP KIT SF GEN IV",Query1[[#This Row],[OrderQty]]+I1310,I1310)</f>
        <v>1438</v>
      </c>
      <c r="J1311" s="1">
        <f>IF(Query1[[#This Row],[ItemType]]="EVAP KIT UNIVERSAL",Query1[[#This Row],[OrderQty]]+J1310,J1310)</f>
        <v>626</v>
      </c>
      <c r="K1311" s="1">
        <f>Query1[[#This Row],[SF Running Total]]+Query1[[#This Row],[UNIV Running Total]]</f>
        <v>2064</v>
      </c>
      <c r="L1311">
        <f>VLOOKUP(Query1[[#This Row],[Description]],'kits to boards'!$B$2:$E$156,2,FALSE)</f>
        <v>830094</v>
      </c>
      <c r="M1311">
        <f>VLOOKUP(Query1[[#This Row],[Description]],'kits to boards'!$B$2:$E$156,3,FALSE)</f>
        <v>0</v>
      </c>
      <c r="N1311">
        <f>VLOOKUP(Query1[[#This Row],[Description]],'kits to boards'!$B$2:$E$156,4,FALSE)</f>
        <v>0</v>
      </c>
      <c r="O1311" t="str">
        <f>CONCATENATE(Query1[[#This Row],[Description]]," - ",Query1[[#This Row],[MB1]]," - ",Query1[[#This Row],[MB2]]," - ",Query1[[#This Row],[MB3]])</f>
        <v>EVAP KIT 74-76 VETTE W/AC - 830094 - 0 - 0</v>
      </c>
    </row>
    <row r="1312" spans="1:15" x14ac:dyDescent="0.25">
      <c r="A1312" s="1">
        <v>912365</v>
      </c>
      <c r="B1312" s="1" t="s">
        <v>38</v>
      </c>
      <c r="C1312" s="1" t="s">
        <v>39</v>
      </c>
      <c r="D1312" s="2">
        <v>44615.6105690162</v>
      </c>
      <c r="E1312" s="1" t="s">
        <v>8</v>
      </c>
      <c r="F1312" s="1">
        <v>1</v>
      </c>
      <c r="G1312" s="1">
        <v>0</v>
      </c>
      <c r="H1312" s="6">
        <f>INT(Query1[[#This Row],[EntryDateTime]])</f>
        <v>44615</v>
      </c>
      <c r="I1312" s="1">
        <f>IF(Query1[[#This Row],[ItemType]]="EVAP KIT SF GEN IV",Query1[[#This Row],[OrderQty]]+I1311,I1311)</f>
        <v>1439</v>
      </c>
      <c r="J1312" s="1">
        <f>IF(Query1[[#This Row],[ItemType]]="EVAP KIT UNIVERSAL",Query1[[#This Row],[OrderQty]]+J1311,J1311)</f>
        <v>626</v>
      </c>
      <c r="K1312" s="1">
        <f>Query1[[#This Row],[SF Running Total]]+Query1[[#This Row],[UNIV Running Total]]</f>
        <v>2065</v>
      </c>
      <c r="L1312">
        <f>VLOOKUP(Query1[[#This Row],[Description]],'kits to boards'!$B$2:$E$156,2,FALSE)</f>
        <v>830012</v>
      </c>
      <c r="M1312">
        <f>VLOOKUP(Query1[[#This Row],[Description]],'kits to boards'!$B$2:$E$156,3,FALSE)</f>
        <v>0</v>
      </c>
      <c r="N1312">
        <f>VLOOKUP(Query1[[#This Row],[Description]],'kits to boards'!$B$2:$E$156,4,FALSE)</f>
        <v>0</v>
      </c>
      <c r="O1312" t="str">
        <f>CONCATENATE(Query1[[#This Row],[Description]]," - ",Query1[[#This Row],[MB1]]," - ",Query1[[#This Row],[MB2]]," - ",Query1[[#This Row],[MB3]])</f>
        <v>EVAP KIT 69 CAMARO W/AC - 830012 - 0 - 0</v>
      </c>
    </row>
    <row r="1313" spans="1:15" x14ac:dyDescent="0.25">
      <c r="A1313" s="1">
        <v>911039</v>
      </c>
      <c r="B1313" s="1" t="s">
        <v>34</v>
      </c>
      <c r="C1313" s="1" t="s">
        <v>35</v>
      </c>
      <c r="D1313" s="2">
        <v>44615.614890393517</v>
      </c>
      <c r="E1313" s="1" t="s">
        <v>8</v>
      </c>
      <c r="F1313" s="1">
        <v>1</v>
      </c>
      <c r="G1313" s="1">
        <v>0</v>
      </c>
      <c r="H1313" s="6">
        <f>INT(Query1[[#This Row],[EntryDateTime]])</f>
        <v>44615</v>
      </c>
      <c r="I1313" s="1">
        <f>IF(Query1[[#This Row],[ItemType]]="EVAP KIT SF GEN IV",Query1[[#This Row],[OrderQty]]+I1312,I1312)</f>
        <v>1440</v>
      </c>
      <c r="J1313" s="1">
        <f>IF(Query1[[#This Row],[ItemType]]="EVAP KIT UNIVERSAL",Query1[[#This Row],[OrderQty]]+J1312,J1312)</f>
        <v>626</v>
      </c>
      <c r="K1313" s="1">
        <f>Query1[[#This Row],[SF Running Total]]+Query1[[#This Row],[UNIV Running Total]]</f>
        <v>2066</v>
      </c>
      <c r="L1313">
        <f>VLOOKUP(Query1[[#This Row],[Description]],'kits to boards'!$B$2:$E$156,2,FALSE)</f>
        <v>830065</v>
      </c>
      <c r="M1313">
        <f>VLOOKUP(Query1[[#This Row],[Description]],'kits to boards'!$B$2:$E$156,3,FALSE)</f>
        <v>0</v>
      </c>
      <c r="N1313">
        <f>VLOOKUP(Query1[[#This Row],[Description]],'kits to boards'!$B$2:$E$156,4,FALSE)</f>
        <v>0</v>
      </c>
      <c r="O1313" t="str">
        <f>CONCATENATE(Query1[[#This Row],[Description]]," - ",Query1[[#This Row],[MB1]]," - ",Query1[[#This Row],[MB2]]," - ",Query1[[#This Row],[MB3]])</f>
        <v>EVAP KIT 57 CHEV WO AC - 830065 - 0 - 0</v>
      </c>
    </row>
    <row r="1314" spans="1:15" x14ac:dyDescent="0.25">
      <c r="A1314" s="1">
        <v>912370</v>
      </c>
      <c r="B1314" s="1" t="s">
        <v>64</v>
      </c>
      <c r="C1314" s="1" t="s">
        <v>65</v>
      </c>
      <c r="D1314" s="2">
        <v>44615.618422337961</v>
      </c>
      <c r="E1314" s="1" t="s">
        <v>8</v>
      </c>
      <c r="F1314" s="1">
        <v>1</v>
      </c>
      <c r="G1314" s="1">
        <v>0</v>
      </c>
      <c r="H1314" s="6">
        <f>INT(Query1[[#This Row],[EntryDateTime]])</f>
        <v>44615</v>
      </c>
      <c r="I1314" s="1">
        <f>IF(Query1[[#This Row],[ItemType]]="EVAP KIT SF GEN IV",Query1[[#This Row],[OrderQty]]+I1313,I1313)</f>
        <v>1441</v>
      </c>
      <c r="J1314" s="1">
        <f>IF(Query1[[#This Row],[ItemType]]="EVAP KIT UNIVERSAL",Query1[[#This Row],[OrderQty]]+J1313,J1313)</f>
        <v>626</v>
      </c>
      <c r="K1314" s="1">
        <f>Query1[[#This Row],[SF Running Total]]+Query1[[#This Row],[UNIV Running Total]]</f>
        <v>2067</v>
      </c>
      <c r="L1314">
        <f>VLOOKUP(Query1[[#This Row],[Description]],'kits to boards'!$B$2:$E$156,2,FALSE)</f>
        <v>830067</v>
      </c>
      <c r="M1314">
        <f>VLOOKUP(Query1[[#This Row],[Description]],'kits to boards'!$B$2:$E$156,3,FALSE)</f>
        <v>0</v>
      </c>
      <c r="N1314">
        <f>VLOOKUP(Query1[[#This Row],[Description]],'kits to boards'!$B$2:$E$156,4,FALSE)</f>
        <v>0</v>
      </c>
      <c r="O1314" t="str">
        <f>CONCATENATE(Query1[[#This Row],[Description]]," - ",Query1[[#This Row],[MB1]]," - ",Query1[[#This Row],[MB2]]," - ",Query1[[#This Row],[MB3]])</f>
        <v>EVAP KIT 59-60 CHEV CAR 4-LEVER - 830067 - 0 - 0</v>
      </c>
    </row>
    <row r="1315" spans="1:15" x14ac:dyDescent="0.25">
      <c r="A1315" s="1">
        <v>912373</v>
      </c>
      <c r="B1315" s="1" t="s">
        <v>6</v>
      </c>
      <c r="C1315" s="1" t="s">
        <v>7</v>
      </c>
      <c r="D1315" s="2">
        <v>44615.621170949074</v>
      </c>
      <c r="E1315" s="1" t="s">
        <v>8</v>
      </c>
      <c r="F1315" s="1">
        <v>1</v>
      </c>
      <c r="G1315" s="1">
        <v>0</v>
      </c>
      <c r="H1315" s="6">
        <f>INT(Query1[[#This Row],[EntryDateTime]])</f>
        <v>44615</v>
      </c>
      <c r="I1315" s="1">
        <f>IF(Query1[[#This Row],[ItemType]]="EVAP KIT SF GEN IV",Query1[[#This Row],[OrderQty]]+I1314,I1314)</f>
        <v>1442</v>
      </c>
      <c r="J1315" s="1">
        <f>IF(Query1[[#This Row],[ItemType]]="EVAP KIT UNIVERSAL",Query1[[#This Row],[OrderQty]]+J1314,J1314)</f>
        <v>626</v>
      </c>
      <c r="K1315" s="1">
        <f>Query1[[#This Row],[SF Running Total]]+Query1[[#This Row],[UNIV Running Total]]</f>
        <v>2068</v>
      </c>
      <c r="L1315">
        <f>VLOOKUP(Query1[[#This Row],[Description]],'kits to boards'!$B$2:$E$156,2,FALSE)</f>
        <v>830132</v>
      </c>
      <c r="M1315">
        <f>VLOOKUP(Query1[[#This Row],[Description]],'kits to boards'!$B$2:$E$156,3,FALSE)</f>
        <v>0</v>
      </c>
      <c r="N1315">
        <f>VLOOKUP(Query1[[#This Row],[Description]],'kits to boards'!$B$2:$E$156,4,FALSE)</f>
        <v>0</v>
      </c>
      <c r="O1315" t="str">
        <f>CONCATENATE(Query1[[#This Row],[Description]]," - ",Query1[[#This Row],[MB1]]," - ",Query1[[#This Row],[MB2]]," - ",Query1[[#This Row],[MB3]])</f>
        <v>EVAP KIT 82-88 MONTE CARLO/EL CAMINO - 830132 - 0 - 0</v>
      </c>
    </row>
    <row r="1316" spans="1:15" x14ac:dyDescent="0.25">
      <c r="A1316" s="1">
        <v>912374</v>
      </c>
      <c r="B1316" s="1" t="s">
        <v>134</v>
      </c>
      <c r="C1316" s="1" t="s">
        <v>135</v>
      </c>
      <c r="D1316" s="2">
        <v>44615.621755127315</v>
      </c>
      <c r="E1316" s="1" t="s">
        <v>8</v>
      </c>
      <c r="F1316" s="1">
        <v>1</v>
      </c>
      <c r="G1316" s="1">
        <v>0</v>
      </c>
      <c r="H1316" s="6">
        <f>INT(Query1[[#This Row],[EntryDateTime]])</f>
        <v>44615</v>
      </c>
      <c r="I1316" s="1">
        <f>IF(Query1[[#This Row],[ItemType]]="EVAP KIT SF GEN IV",Query1[[#This Row],[OrderQty]]+I1315,I1315)</f>
        <v>1443</v>
      </c>
      <c r="J1316" s="1">
        <f>IF(Query1[[#This Row],[ItemType]]="EVAP KIT UNIVERSAL",Query1[[#This Row],[OrderQty]]+J1315,J1315)</f>
        <v>626</v>
      </c>
      <c r="K1316" s="1">
        <f>Query1[[#This Row],[SF Running Total]]+Query1[[#This Row],[UNIV Running Total]]</f>
        <v>2069</v>
      </c>
      <c r="L1316">
        <f>VLOOKUP(Query1[[#This Row],[Description]],'kits to boards'!$B$2:$E$156,2,FALSE)</f>
        <v>830007</v>
      </c>
      <c r="M1316">
        <f>VLOOKUP(Query1[[#This Row],[Description]],'kits to boards'!$B$2:$E$156,3,FALSE)</f>
        <v>0</v>
      </c>
      <c r="N1316">
        <f>VLOOKUP(Query1[[#This Row],[Description]],'kits to boards'!$B$2:$E$156,4,FALSE)</f>
        <v>0</v>
      </c>
      <c r="O1316" t="str">
        <f>CONCATENATE(Query1[[#This Row],[Description]]," - ",Query1[[#This Row],[MB1]]," - ",Query1[[#This Row],[MB2]]," - ",Query1[[#This Row],[MB3]])</f>
        <v>EVAP KIT 64 IMPALA WO AC - 830007 - 0 - 0</v>
      </c>
    </row>
    <row r="1317" spans="1:15" x14ac:dyDescent="0.25">
      <c r="A1317" s="1">
        <v>912376</v>
      </c>
      <c r="B1317" s="1" t="s">
        <v>96</v>
      </c>
      <c r="C1317" s="1" t="s">
        <v>97</v>
      </c>
      <c r="D1317" s="2">
        <v>44615.622472951392</v>
      </c>
      <c r="E1317" s="1" t="s">
        <v>8</v>
      </c>
      <c r="F1317" s="1">
        <v>1</v>
      </c>
      <c r="G1317" s="1">
        <v>0</v>
      </c>
      <c r="H1317" s="6">
        <f>INT(Query1[[#This Row],[EntryDateTime]])</f>
        <v>44615</v>
      </c>
      <c r="I1317" s="1">
        <f>IF(Query1[[#This Row],[ItemType]]="EVAP KIT SF GEN IV",Query1[[#This Row],[OrderQty]]+I1316,I1316)</f>
        <v>1444</v>
      </c>
      <c r="J1317" s="1">
        <f>IF(Query1[[#This Row],[ItemType]]="EVAP KIT UNIVERSAL",Query1[[#This Row],[OrderQty]]+J1316,J1316)</f>
        <v>626</v>
      </c>
      <c r="K1317" s="1">
        <f>Query1[[#This Row],[SF Running Total]]+Query1[[#This Row],[UNIV Running Total]]</f>
        <v>2070</v>
      </c>
      <c r="L1317">
        <f>VLOOKUP(Query1[[#This Row],[Description]],'kits to boards'!$B$2:$E$156,2,FALSE)</f>
        <v>830004</v>
      </c>
      <c r="M1317">
        <f>VLOOKUP(Query1[[#This Row],[Description]],'kits to boards'!$B$2:$E$156,3,FALSE)</f>
        <v>0</v>
      </c>
      <c r="N1317">
        <f>VLOOKUP(Query1[[#This Row],[Description]],'kits to boards'!$B$2:$E$156,4,FALSE)</f>
        <v>0</v>
      </c>
      <c r="O1317" t="str">
        <f>CONCATENATE(Query1[[#This Row],[Description]]," - ",Query1[[#This Row],[MB1]]," - ",Query1[[#This Row],[MB2]]," - ",Query1[[#This Row],[MB3]])</f>
        <v>EVAP KIT 81-87 CHEV P-UP W/AC - 830004 - 0 - 0</v>
      </c>
    </row>
    <row r="1318" spans="1:15" x14ac:dyDescent="0.25">
      <c r="A1318" s="1">
        <v>912375</v>
      </c>
      <c r="B1318" s="1" t="s">
        <v>100</v>
      </c>
      <c r="C1318" s="1" t="s">
        <v>101</v>
      </c>
      <c r="D1318" s="2">
        <v>44615.622866469908</v>
      </c>
      <c r="E1318" s="1" t="s">
        <v>8</v>
      </c>
      <c r="F1318" s="1">
        <v>1</v>
      </c>
      <c r="G1318" s="1">
        <v>0</v>
      </c>
      <c r="H1318" s="6">
        <f>INT(Query1[[#This Row],[EntryDateTime]])</f>
        <v>44615</v>
      </c>
      <c r="I1318" s="1">
        <f>IF(Query1[[#This Row],[ItemType]]="EVAP KIT SF GEN IV",Query1[[#This Row],[OrderQty]]+I1317,I1317)</f>
        <v>1445</v>
      </c>
      <c r="J1318" s="1">
        <f>IF(Query1[[#This Row],[ItemType]]="EVAP KIT UNIVERSAL",Query1[[#This Row],[OrderQty]]+J1317,J1317)</f>
        <v>626</v>
      </c>
      <c r="K1318" s="1">
        <f>Query1[[#This Row],[SF Running Total]]+Query1[[#This Row],[UNIV Running Total]]</f>
        <v>2071</v>
      </c>
      <c r="L1318">
        <f>VLOOKUP(Query1[[#This Row],[Description]],'kits to boards'!$B$2:$E$156,2,FALSE)</f>
        <v>830096</v>
      </c>
      <c r="M1318">
        <f>VLOOKUP(Query1[[#This Row],[Description]],'kits to boards'!$B$2:$E$156,3,FALSE)</f>
        <v>0</v>
      </c>
      <c r="N1318">
        <f>VLOOKUP(Query1[[#This Row],[Description]],'kits to boards'!$B$2:$E$156,4,FALSE)</f>
        <v>0</v>
      </c>
      <c r="O1318" t="str">
        <f>CONCATENATE(Query1[[#This Row],[Description]]," - ",Query1[[#This Row],[MB1]]," - ",Query1[[#This Row],[MB2]]," - ",Query1[[#This Row],[MB3]])</f>
        <v>EVAP KIT 62-65 NOVA - 830096 - 0 - 0</v>
      </c>
    </row>
    <row r="1319" spans="1:15" x14ac:dyDescent="0.25">
      <c r="A1319" s="1">
        <v>912381</v>
      </c>
      <c r="B1319" s="1" t="s">
        <v>114</v>
      </c>
      <c r="C1319" s="1" t="s">
        <v>115</v>
      </c>
      <c r="D1319" s="2">
        <v>44615.626593402776</v>
      </c>
      <c r="E1319" s="1" t="s">
        <v>8</v>
      </c>
      <c r="F1319" s="1">
        <v>1</v>
      </c>
      <c r="G1319" s="1">
        <v>0</v>
      </c>
      <c r="H1319" s="6">
        <f>INT(Query1[[#This Row],[EntryDateTime]])</f>
        <v>44615</v>
      </c>
      <c r="I1319" s="1">
        <f>IF(Query1[[#This Row],[ItemType]]="EVAP KIT SF GEN IV",Query1[[#This Row],[OrderQty]]+I1318,I1318)</f>
        <v>1446</v>
      </c>
      <c r="J1319" s="1">
        <f>IF(Query1[[#This Row],[ItemType]]="EVAP KIT UNIVERSAL",Query1[[#This Row],[OrderQty]]+J1318,J1318)</f>
        <v>626</v>
      </c>
      <c r="K1319" s="1">
        <f>Query1[[#This Row],[SF Running Total]]+Query1[[#This Row],[UNIV Running Total]]</f>
        <v>2072</v>
      </c>
      <c r="L1319">
        <f>VLOOKUP(Query1[[#This Row],[Description]],'kits to boards'!$B$2:$E$156,2,FALSE)</f>
        <v>830059</v>
      </c>
      <c r="M1319">
        <f>VLOOKUP(Query1[[#This Row],[Description]],'kits to boards'!$B$2:$E$156,3,FALSE)</f>
        <v>0</v>
      </c>
      <c r="N1319">
        <f>VLOOKUP(Query1[[#This Row],[Description]],'kits to boards'!$B$2:$E$156,4,FALSE)</f>
        <v>0</v>
      </c>
      <c r="O1319" t="str">
        <f>CONCATENATE(Query1[[#This Row],[Description]]," - ",Query1[[#This Row],[MB1]]," - ",Query1[[#This Row],[MB2]]," - ",Query1[[#This Row],[MB3]])</f>
        <v>EVAP KIT 66-67 CHEVELLE W/AC - 830059 - 0 - 0</v>
      </c>
    </row>
    <row r="1320" spans="1:15" x14ac:dyDescent="0.25">
      <c r="A1320" s="1">
        <v>912384</v>
      </c>
      <c r="B1320" s="1" t="s">
        <v>38</v>
      </c>
      <c r="C1320" s="1" t="s">
        <v>39</v>
      </c>
      <c r="D1320" s="2">
        <v>44615.630609953703</v>
      </c>
      <c r="E1320" s="1" t="s">
        <v>8</v>
      </c>
      <c r="F1320" s="1">
        <v>1</v>
      </c>
      <c r="G1320" s="1">
        <v>0</v>
      </c>
      <c r="H1320" s="6">
        <f>INT(Query1[[#This Row],[EntryDateTime]])</f>
        <v>44615</v>
      </c>
      <c r="I1320" s="1">
        <f>IF(Query1[[#This Row],[ItemType]]="EVAP KIT SF GEN IV",Query1[[#This Row],[OrderQty]]+I1319,I1319)</f>
        <v>1447</v>
      </c>
      <c r="J1320" s="1">
        <f>IF(Query1[[#This Row],[ItemType]]="EVAP KIT UNIVERSAL",Query1[[#This Row],[OrderQty]]+J1319,J1319)</f>
        <v>626</v>
      </c>
      <c r="K1320" s="1">
        <f>Query1[[#This Row],[SF Running Total]]+Query1[[#This Row],[UNIV Running Total]]</f>
        <v>2073</v>
      </c>
      <c r="L1320">
        <f>VLOOKUP(Query1[[#This Row],[Description]],'kits to boards'!$B$2:$E$156,2,FALSE)</f>
        <v>830012</v>
      </c>
      <c r="M1320">
        <f>VLOOKUP(Query1[[#This Row],[Description]],'kits to boards'!$B$2:$E$156,3,FALSE)</f>
        <v>0</v>
      </c>
      <c r="N1320">
        <f>VLOOKUP(Query1[[#This Row],[Description]],'kits to boards'!$B$2:$E$156,4,FALSE)</f>
        <v>0</v>
      </c>
      <c r="O1320" t="str">
        <f>CONCATENATE(Query1[[#This Row],[Description]]," - ",Query1[[#This Row],[MB1]]," - ",Query1[[#This Row],[MB2]]," - ",Query1[[#This Row],[MB3]])</f>
        <v>EVAP KIT 69 CAMARO W/AC - 830012 - 0 - 0</v>
      </c>
    </row>
    <row r="1321" spans="1:15" x14ac:dyDescent="0.25">
      <c r="A1321" s="1">
        <v>912378</v>
      </c>
      <c r="B1321" s="1" t="s">
        <v>122</v>
      </c>
      <c r="C1321" s="1" t="s">
        <v>123</v>
      </c>
      <c r="D1321" s="2">
        <v>44615.63811403935</v>
      </c>
      <c r="E1321" s="1" t="s">
        <v>8</v>
      </c>
      <c r="F1321" s="1">
        <v>1</v>
      </c>
      <c r="G1321" s="1">
        <v>0</v>
      </c>
      <c r="H1321" s="6">
        <f>INT(Query1[[#This Row],[EntryDateTime]])</f>
        <v>44615</v>
      </c>
      <c r="I1321" s="1">
        <f>IF(Query1[[#This Row],[ItemType]]="EVAP KIT SF GEN IV",Query1[[#This Row],[OrderQty]]+I1320,I1320)</f>
        <v>1448</v>
      </c>
      <c r="J1321" s="1">
        <f>IF(Query1[[#This Row],[ItemType]]="EVAP KIT UNIVERSAL",Query1[[#This Row],[OrderQty]]+J1320,J1320)</f>
        <v>626</v>
      </c>
      <c r="K1321" s="1">
        <f>Query1[[#This Row],[SF Running Total]]+Query1[[#This Row],[UNIV Running Total]]</f>
        <v>2074</v>
      </c>
      <c r="L1321">
        <f>VLOOKUP(Query1[[#This Row],[Description]],'kits to boards'!$B$2:$E$156,2,FALSE)</f>
        <v>830027</v>
      </c>
      <c r="M1321">
        <f>VLOOKUP(Query1[[#This Row],[Description]],'kits to boards'!$B$2:$E$156,3,FALSE)</f>
        <v>0</v>
      </c>
      <c r="N1321">
        <f>VLOOKUP(Query1[[#This Row],[Description]],'kits to boards'!$B$2:$E$156,4,FALSE)</f>
        <v>0</v>
      </c>
      <c r="O1321" t="str">
        <f>CONCATENATE(Query1[[#This Row],[Description]]," - ",Query1[[#This Row],[MB1]]," - ",Query1[[#This Row],[MB2]]," - ",Query1[[#This Row],[MB3]])</f>
        <v>EVAP KIT 70-72 CUTLASS W/AC - 830027 - 0 - 0</v>
      </c>
    </row>
    <row r="1322" spans="1:15" x14ac:dyDescent="0.25">
      <c r="A1322" s="1">
        <v>912399</v>
      </c>
      <c r="B1322" s="1" t="s">
        <v>22</v>
      </c>
      <c r="C1322" s="1" t="s">
        <v>23</v>
      </c>
      <c r="D1322" s="2">
        <v>44615.650599768516</v>
      </c>
      <c r="E1322" s="1" t="s">
        <v>8</v>
      </c>
      <c r="F1322" s="1">
        <v>1</v>
      </c>
      <c r="G1322" s="1">
        <v>0</v>
      </c>
      <c r="H1322" s="6">
        <f>INT(Query1[[#This Row],[EntryDateTime]])</f>
        <v>44615</v>
      </c>
      <c r="I1322" s="1">
        <f>IF(Query1[[#This Row],[ItemType]]="EVAP KIT SF GEN IV",Query1[[#This Row],[OrderQty]]+I1321,I1321)</f>
        <v>1449</v>
      </c>
      <c r="J1322" s="1">
        <f>IF(Query1[[#This Row],[ItemType]]="EVAP KIT UNIVERSAL",Query1[[#This Row],[OrderQty]]+J1321,J1321)</f>
        <v>626</v>
      </c>
      <c r="K1322" s="1">
        <f>Query1[[#This Row],[SF Running Total]]+Query1[[#This Row],[UNIV Running Total]]</f>
        <v>2075</v>
      </c>
      <c r="L1322">
        <f>VLOOKUP(Query1[[#This Row],[Description]],'kits to boards'!$B$2:$E$156,2,FALSE)</f>
        <v>830083</v>
      </c>
      <c r="M1322">
        <f>VLOOKUP(Query1[[#This Row],[Description]],'kits to boards'!$B$2:$E$156,3,FALSE)</f>
        <v>0</v>
      </c>
      <c r="N1322">
        <f>VLOOKUP(Query1[[#This Row],[Description]],'kits to boards'!$B$2:$E$156,4,FALSE)</f>
        <v>0</v>
      </c>
      <c r="O1322" t="str">
        <f>CONCATENATE(Query1[[#This Row],[Description]]," - ",Query1[[#This Row],[MB1]]," - ",Query1[[#This Row],[MB2]]," - ",Query1[[#This Row],[MB3]])</f>
        <v>GEN IV MAGNUM EVAP KIT - 830083 - 0 - 0</v>
      </c>
    </row>
    <row r="1323" spans="1:15" x14ac:dyDescent="0.25">
      <c r="A1323" s="1">
        <v>912396</v>
      </c>
      <c r="B1323" s="1" t="s">
        <v>14</v>
      </c>
      <c r="C1323" s="1" t="s">
        <v>15</v>
      </c>
      <c r="D1323" s="2">
        <v>44615.653583796295</v>
      </c>
      <c r="E1323" s="1" t="s">
        <v>8</v>
      </c>
      <c r="F1323" s="1">
        <v>1</v>
      </c>
      <c r="G1323" s="1">
        <v>0</v>
      </c>
      <c r="H1323" s="6">
        <f>INT(Query1[[#This Row],[EntryDateTime]])</f>
        <v>44615</v>
      </c>
      <c r="I1323" s="1">
        <f>IF(Query1[[#This Row],[ItemType]]="EVAP KIT SF GEN IV",Query1[[#This Row],[OrderQty]]+I1322,I1322)</f>
        <v>1450</v>
      </c>
      <c r="J1323" s="1">
        <f>IF(Query1[[#This Row],[ItemType]]="EVAP KIT UNIVERSAL",Query1[[#This Row],[OrderQty]]+J1322,J1322)</f>
        <v>626</v>
      </c>
      <c r="K1323" s="1">
        <f>Query1[[#This Row],[SF Running Total]]+Query1[[#This Row],[UNIV Running Total]]</f>
        <v>2076</v>
      </c>
      <c r="L1323">
        <f>VLOOKUP(Query1[[#This Row],[Description]],'kits to boards'!$B$2:$E$156,2,FALSE)</f>
        <v>830054</v>
      </c>
      <c r="M1323">
        <f>VLOOKUP(Query1[[#This Row],[Description]],'kits to boards'!$B$2:$E$156,3,FALSE)</f>
        <v>0</v>
      </c>
      <c r="N1323">
        <f>VLOOKUP(Query1[[#This Row],[Description]],'kits to boards'!$B$2:$E$156,4,FALSE)</f>
        <v>0</v>
      </c>
      <c r="O1323" t="str">
        <f>CONCATENATE(Query1[[#This Row],[Description]]," - ",Query1[[#This Row],[MB1]]," - ",Query1[[#This Row],[MB2]]," - ",Query1[[#This Row],[MB3]])</f>
        <v>EVAP KIT 55-56 CHEVY - 830054 - 0 - 0</v>
      </c>
    </row>
    <row r="1324" spans="1:15" x14ac:dyDescent="0.25">
      <c r="A1324" s="1">
        <v>912411</v>
      </c>
      <c r="B1324" s="1" t="s">
        <v>152</v>
      </c>
      <c r="C1324" s="1" t="s">
        <v>153</v>
      </c>
      <c r="D1324" s="2">
        <v>44615.687366782404</v>
      </c>
      <c r="E1324" s="1" t="s">
        <v>8</v>
      </c>
      <c r="F1324" s="1">
        <v>1</v>
      </c>
      <c r="G1324" s="1">
        <v>0</v>
      </c>
      <c r="H1324" s="6">
        <f>INT(Query1[[#This Row],[EntryDateTime]])</f>
        <v>44615</v>
      </c>
      <c r="I1324" s="1">
        <f>IF(Query1[[#This Row],[ItemType]]="EVAP KIT SF GEN IV",Query1[[#This Row],[OrderQty]]+I1323,I1323)</f>
        <v>1451</v>
      </c>
      <c r="J1324" s="1">
        <f>IF(Query1[[#This Row],[ItemType]]="EVAP KIT UNIVERSAL",Query1[[#This Row],[OrderQty]]+J1323,J1323)</f>
        <v>626</v>
      </c>
      <c r="K1324" s="1">
        <f>Query1[[#This Row],[SF Running Total]]+Query1[[#This Row],[UNIV Running Total]]</f>
        <v>2077</v>
      </c>
      <c r="L1324">
        <f>VLOOKUP(Query1[[#This Row],[Description]],'kits to boards'!$B$2:$E$156,2,FALSE)</f>
        <v>830034</v>
      </c>
      <c r="M1324">
        <f>VLOOKUP(Query1[[#This Row],[Description]],'kits to boards'!$B$2:$E$156,3,FALSE)</f>
        <v>0</v>
      </c>
      <c r="N1324">
        <f>VLOOKUP(Query1[[#This Row],[Description]],'kits to boards'!$B$2:$E$156,4,FALSE)</f>
        <v>0</v>
      </c>
      <c r="O1324" t="str">
        <f>CONCATENATE(Query1[[#This Row],[Description]]," - ",Query1[[#This Row],[MB1]]," - ",Query1[[#This Row],[MB2]]," - ",Query1[[#This Row],[MB3]])</f>
        <v>EVAP KIT 64-67 GTO WO AC - 830034 - 0 - 0</v>
      </c>
    </row>
    <row r="1325" spans="1:15" x14ac:dyDescent="0.25">
      <c r="A1325" s="1">
        <v>911897</v>
      </c>
      <c r="B1325" s="1" t="s">
        <v>66</v>
      </c>
      <c r="C1325" s="1" t="s">
        <v>67</v>
      </c>
      <c r="D1325" s="2">
        <v>44615.690214814815</v>
      </c>
      <c r="E1325" s="1" t="s">
        <v>8</v>
      </c>
      <c r="F1325" s="1">
        <v>1</v>
      </c>
      <c r="G1325" s="1">
        <v>0</v>
      </c>
      <c r="H1325" s="6">
        <f>INT(Query1[[#This Row],[EntryDateTime]])</f>
        <v>44615</v>
      </c>
      <c r="I1325" s="1">
        <f>IF(Query1[[#This Row],[ItemType]]="EVAP KIT SF GEN IV",Query1[[#This Row],[OrderQty]]+I1324,I1324)</f>
        <v>1452</v>
      </c>
      <c r="J1325" s="1">
        <f>IF(Query1[[#This Row],[ItemType]]="EVAP KIT UNIVERSAL",Query1[[#This Row],[OrderQty]]+J1324,J1324)</f>
        <v>626</v>
      </c>
      <c r="K1325" s="1">
        <f>Query1[[#This Row],[SF Running Total]]+Query1[[#This Row],[UNIV Running Total]]</f>
        <v>2078</v>
      </c>
      <c r="L1325">
        <f>VLOOKUP(Query1[[#This Row],[Description]],'kits to boards'!$B$2:$E$156,2,FALSE)</f>
        <v>830060</v>
      </c>
      <c r="M1325">
        <f>VLOOKUP(Query1[[#This Row],[Description]],'kits to boards'!$B$2:$E$156,3,FALSE)</f>
        <v>0</v>
      </c>
      <c r="N1325">
        <f>VLOOKUP(Query1[[#This Row],[Description]],'kits to boards'!$B$2:$E$156,4,FALSE)</f>
        <v>0</v>
      </c>
      <c r="O1325" t="str">
        <f>CONCATENATE(Query1[[#This Row],[Description]]," - ",Query1[[#This Row],[MB1]]," - ",Query1[[#This Row],[MB2]]," - ",Query1[[#This Row],[MB3]])</f>
        <v>EVAP KIT 66-67 CHEVELLE WO AC - 830060 - 0 - 0</v>
      </c>
    </row>
    <row r="1326" spans="1:15" x14ac:dyDescent="0.25">
      <c r="A1326" s="1">
        <v>912413</v>
      </c>
      <c r="B1326" s="1" t="s">
        <v>54</v>
      </c>
      <c r="C1326" s="1" t="s">
        <v>55</v>
      </c>
      <c r="D1326" s="2">
        <v>44615.693167361111</v>
      </c>
      <c r="E1326" s="1" t="s">
        <v>8</v>
      </c>
      <c r="F1326" s="1">
        <v>1</v>
      </c>
      <c r="G1326" s="1">
        <v>0</v>
      </c>
      <c r="H1326" s="6">
        <f>INT(Query1[[#This Row],[EntryDateTime]])</f>
        <v>44615</v>
      </c>
      <c r="I1326" s="1">
        <f>IF(Query1[[#This Row],[ItemType]]="EVAP KIT SF GEN IV",Query1[[#This Row],[OrderQty]]+I1325,I1325)</f>
        <v>1453</v>
      </c>
      <c r="J1326" s="1">
        <f>IF(Query1[[#This Row],[ItemType]]="EVAP KIT UNIVERSAL",Query1[[#This Row],[OrderQty]]+J1325,J1325)</f>
        <v>626</v>
      </c>
      <c r="K1326" s="1">
        <f>Query1[[#This Row],[SF Running Total]]+Query1[[#This Row],[UNIV Running Total]]</f>
        <v>2079</v>
      </c>
      <c r="L1326">
        <f>VLOOKUP(Query1[[#This Row],[Description]],'kits to boards'!$B$2:$E$156,2,FALSE)</f>
        <v>830037</v>
      </c>
      <c r="M1326">
        <f>VLOOKUP(Query1[[#This Row],[Description]],'kits to boards'!$B$2:$E$156,3,FALSE)</f>
        <v>0</v>
      </c>
      <c r="N1326">
        <f>VLOOKUP(Query1[[#This Row],[Description]],'kits to boards'!$B$2:$E$156,4,FALSE)</f>
        <v>0</v>
      </c>
      <c r="O1326" t="str">
        <f>CONCATENATE(Query1[[#This Row],[Description]]," - ",Query1[[#This Row],[MB1]]," - ",Query1[[#This Row],[MB2]]," - ",Query1[[#This Row],[MB3]])</f>
        <v>EVAP KIT 70-81 FIREBIRD W/AC - 830037 - 0 - 0</v>
      </c>
    </row>
    <row r="1327" spans="1:15" x14ac:dyDescent="0.25">
      <c r="A1327" s="1">
        <v>912416</v>
      </c>
      <c r="B1327" s="1" t="s">
        <v>42</v>
      </c>
      <c r="C1327" s="1" t="s">
        <v>43</v>
      </c>
      <c r="D1327" s="2">
        <v>44615.69914571759</v>
      </c>
      <c r="E1327" s="1" t="s">
        <v>8</v>
      </c>
      <c r="F1327" s="1">
        <v>1</v>
      </c>
      <c r="G1327" s="1">
        <v>0</v>
      </c>
      <c r="H1327" s="6">
        <f>INT(Query1[[#This Row],[EntryDateTime]])</f>
        <v>44615</v>
      </c>
      <c r="I1327" s="1">
        <f>IF(Query1[[#This Row],[ItemType]]="EVAP KIT SF GEN IV",Query1[[#This Row],[OrderQty]]+I1326,I1326)</f>
        <v>1454</v>
      </c>
      <c r="J1327" s="1">
        <f>IF(Query1[[#This Row],[ItemType]]="EVAP KIT UNIVERSAL",Query1[[#This Row],[OrderQty]]+J1326,J1326)</f>
        <v>626</v>
      </c>
      <c r="K1327" s="1">
        <f>Query1[[#This Row],[SF Running Total]]+Query1[[#This Row],[UNIV Running Total]]</f>
        <v>2080</v>
      </c>
      <c r="L1327">
        <f>VLOOKUP(Query1[[#This Row],[Description]],'kits to boards'!$B$2:$E$156,2,FALSE)</f>
        <v>830014</v>
      </c>
      <c r="M1327">
        <f>VLOOKUP(Query1[[#This Row],[Description]],'kits to boards'!$B$2:$E$156,3,FALSE)</f>
        <v>0</v>
      </c>
      <c r="N1327">
        <f>VLOOKUP(Query1[[#This Row],[Description]],'kits to boards'!$B$2:$E$156,4,FALSE)</f>
        <v>0</v>
      </c>
      <c r="O1327" t="str">
        <f>CONCATENATE(Query1[[#This Row],[Description]]," - ",Query1[[#This Row],[MB1]]," - ",Query1[[#This Row],[MB2]]," - ",Query1[[#This Row],[MB3]])</f>
        <v>EVAP KIT 67-72 CHEV P-UP WO AC - 830014 - 0 - 0</v>
      </c>
    </row>
    <row r="1328" spans="1:15" x14ac:dyDescent="0.25">
      <c r="A1328" s="1">
        <v>912422</v>
      </c>
      <c r="B1328" s="1" t="s">
        <v>56</v>
      </c>
      <c r="C1328" s="1" t="s">
        <v>57</v>
      </c>
      <c r="D1328" s="2">
        <v>44616.327368321756</v>
      </c>
      <c r="E1328" s="1" t="s">
        <v>8</v>
      </c>
      <c r="F1328" s="1">
        <v>1</v>
      </c>
      <c r="G1328" s="1">
        <v>0</v>
      </c>
      <c r="H1328" s="6">
        <f>INT(Query1[[#This Row],[EntryDateTime]])</f>
        <v>44616</v>
      </c>
      <c r="I1328" s="1">
        <f>IF(Query1[[#This Row],[ItemType]]="EVAP KIT SF GEN IV",Query1[[#This Row],[OrderQty]]+I1327,I1327)</f>
        <v>1455</v>
      </c>
      <c r="J1328" s="1">
        <f>IF(Query1[[#This Row],[ItemType]]="EVAP KIT UNIVERSAL",Query1[[#This Row],[OrderQty]]+J1327,J1327)</f>
        <v>626</v>
      </c>
      <c r="K1328" s="1">
        <f>Query1[[#This Row],[SF Running Total]]+Query1[[#This Row],[UNIV Running Total]]</f>
        <v>2081</v>
      </c>
      <c r="L1328">
        <f>VLOOKUP(Query1[[#This Row],[Description]],'kits to boards'!$B$2:$E$156,2,FALSE)</f>
        <v>830011</v>
      </c>
      <c r="M1328">
        <f>VLOOKUP(Query1[[#This Row],[Description]],'kits to boards'!$B$2:$E$156,3,FALSE)</f>
        <v>0</v>
      </c>
      <c r="N1328">
        <f>VLOOKUP(Query1[[#This Row],[Description]],'kits to boards'!$B$2:$E$156,4,FALSE)</f>
        <v>0</v>
      </c>
      <c r="O1328" t="str">
        <f>CONCATENATE(Query1[[#This Row],[Description]]," - ",Query1[[#This Row],[MB1]]," - ",Query1[[#This Row],[MB2]]," - ",Query1[[#This Row],[MB3]])</f>
        <v>EVAP KIT 70-72 CHEVELLE W/AC - 830011 - 0 - 0</v>
      </c>
    </row>
    <row r="1329" spans="1:15" x14ac:dyDescent="0.25">
      <c r="A1329" s="1">
        <v>912424</v>
      </c>
      <c r="B1329" s="1" t="s">
        <v>100</v>
      </c>
      <c r="C1329" s="1" t="s">
        <v>101</v>
      </c>
      <c r="D1329" s="2">
        <v>44616.329902974539</v>
      </c>
      <c r="E1329" s="1" t="s">
        <v>8</v>
      </c>
      <c r="F1329" s="1">
        <v>1</v>
      </c>
      <c r="G1329" s="1">
        <v>0</v>
      </c>
      <c r="H1329" s="6">
        <f>INT(Query1[[#This Row],[EntryDateTime]])</f>
        <v>44616</v>
      </c>
      <c r="I1329" s="1">
        <f>IF(Query1[[#This Row],[ItemType]]="EVAP KIT SF GEN IV",Query1[[#This Row],[OrderQty]]+I1328,I1328)</f>
        <v>1456</v>
      </c>
      <c r="J1329" s="1">
        <f>IF(Query1[[#This Row],[ItemType]]="EVAP KIT UNIVERSAL",Query1[[#This Row],[OrderQty]]+J1328,J1328)</f>
        <v>626</v>
      </c>
      <c r="K1329" s="1">
        <f>Query1[[#This Row],[SF Running Total]]+Query1[[#This Row],[UNIV Running Total]]</f>
        <v>2082</v>
      </c>
      <c r="L1329">
        <f>VLOOKUP(Query1[[#This Row],[Description]],'kits to boards'!$B$2:$E$156,2,FALSE)</f>
        <v>830096</v>
      </c>
      <c r="M1329">
        <f>VLOOKUP(Query1[[#This Row],[Description]],'kits to boards'!$B$2:$E$156,3,FALSE)</f>
        <v>0</v>
      </c>
      <c r="N1329">
        <f>VLOOKUP(Query1[[#This Row],[Description]],'kits to boards'!$B$2:$E$156,4,FALSE)</f>
        <v>0</v>
      </c>
      <c r="O1329" t="str">
        <f>CONCATENATE(Query1[[#This Row],[Description]]," - ",Query1[[#This Row],[MB1]]," - ",Query1[[#This Row],[MB2]]," - ",Query1[[#This Row],[MB3]])</f>
        <v>EVAP KIT 62-65 NOVA - 830096 - 0 - 0</v>
      </c>
    </row>
    <row r="1330" spans="1:15" x14ac:dyDescent="0.25">
      <c r="A1330" s="1">
        <v>912427</v>
      </c>
      <c r="B1330" s="1" t="s">
        <v>96</v>
      </c>
      <c r="C1330" s="1" t="s">
        <v>97</v>
      </c>
      <c r="D1330" s="2">
        <v>44616.335230127312</v>
      </c>
      <c r="E1330" s="1" t="s">
        <v>8</v>
      </c>
      <c r="F1330" s="1">
        <v>1</v>
      </c>
      <c r="G1330" s="1">
        <v>0</v>
      </c>
      <c r="H1330" s="6">
        <f>INT(Query1[[#This Row],[EntryDateTime]])</f>
        <v>44616</v>
      </c>
      <c r="I1330" s="1">
        <f>IF(Query1[[#This Row],[ItemType]]="EVAP KIT SF GEN IV",Query1[[#This Row],[OrderQty]]+I1329,I1329)</f>
        <v>1457</v>
      </c>
      <c r="J1330" s="1">
        <f>IF(Query1[[#This Row],[ItemType]]="EVAP KIT UNIVERSAL",Query1[[#This Row],[OrderQty]]+J1329,J1329)</f>
        <v>626</v>
      </c>
      <c r="K1330" s="1">
        <f>Query1[[#This Row],[SF Running Total]]+Query1[[#This Row],[UNIV Running Total]]</f>
        <v>2083</v>
      </c>
      <c r="L1330">
        <f>VLOOKUP(Query1[[#This Row],[Description]],'kits to boards'!$B$2:$E$156,2,FALSE)</f>
        <v>830004</v>
      </c>
      <c r="M1330">
        <f>VLOOKUP(Query1[[#This Row],[Description]],'kits to boards'!$B$2:$E$156,3,FALSE)</f>
        <v>0</v>
      </c>
      <c r="N1330">
        <f>VLOOKUP(Query1[[#This Row],[Description]],'kits to boards'!$B$2:$E$156,4,FALSE)</f>
        <v>0</v>
      </c>
      <c r="O1330" t="str">
        <f>CONCATENATE(Query1[[#This Row],[Description]]," - ",Query1[[#This Row],[MB1]]," - ",Query1[[#This Row],[MB2]]," - ",Query1[[#This Row],[MB3]])</f>
        <v>EVAP KIT 81-87 CHEV P-UP W/AC - 830004 - 0 - 0</v>
      </c>
    </row>
    <row r="1331" spans="1:15" x14ac:dyDescent="0.25">
      <c r="A1331" s="1">
        <v>912430</v>
      </c>
      <c r="B1331" s="1" t="s">
        <v>140</v>
      </c>
      <c r="C1331" s="1" t="s">
        <v>141</v>
      </c>
      <c r="D1331" s="2">
        <v>44616.337953622686</v>
      </c>
      <c r="E1331" s="1" t="s">
        <v>8</v>
      </c>
      <c r="F1331" s="1">
        <v>1</v>
      </c>
      <c r="G1331" s="1">
        <v>0</v>
      </c>
      <c r="H1331" s="6">
        <f>INT(Query1[[#This Row],[EntryDateTime]])</f>
        <v>44616</v>
      </c>
      <c r="I1331" s="1">
        <f>IF(Query1[[#This Row],[ItemType]]="EVAP KIT SF GEN IV",Query1[[#This Row],[OrderQty]]+I1330,I1330)</f>
        <v>1458</v>
      </c>
      <c r="J1331" s="1">
        <f>IF(Query1[[#This Row],[ItemType]]="EVAP KIT UNIVERSAL",Query1[[#This Row],[OrderQty]]+J1330,J1330)</f>
        <v>626</v>
      </c>
      <c r="K1331" s="1">
        <f>Query1[[#This Row],[SF Running Total]]+Query1[[#This Row],[UNIV Running Total]]</f>
        <v>2084</v>
      </c>
      <c r="L1331">
        <f>VLOOKUP(Query1[[#This Row],[Description]],'kits to boards'!$B$2:$E$156,2,FALSE)</f>
        <v>830066</v>
      </c>
      <c r="M1331">
        <f>VLOOKUP(Query1[[#This Row],[Description]],'kits to boards'!$B$2:$E$156,3,FALSE)</f>
        <v>0</v>
      </c>
      <c r="N1331">
        <f>VLOOKUP(Query1[[#This Row],[Description]],'kits to boards'!$B$2:$E$156,4,FALSE)</f>
        <v>0</v>
      </c>
      <c r="O1331" t="str">
        <f>CONCATENATE(Query1[[#This Row],[Description]]," - ",Query1[[#This Row],[MB1]]," - ",Query1[[#This Row],[MB2]]," - ",Query1[[#This Row],[MB3]])</f>
        <v>EVAP KIT 60-63 CHEV P-UP WO AC - 830066 - 0 - 0</v>
      </c>
    </row>
    <row r="1332" spans="1:15" x14ac:dyDescent="0.25">
      <c r="A1332" s="1">
        <v>912432</v>
      </c>
      <c r="B1332" s="1" t="s">
        <v>192</v>
      </c>
      <c r="C1332" s="1" t="s">
        <v>193</v>
      </c>
      <c r="D1332" s="2">
        <v>44616.341665509259</v>
      </c>
      <c r="E1332" s="1" t="s">
        <v>8</v>
      </c>
      <c r="F1332" s="1">
        <v>1</v>
      </c>
      <c r="G1332" s="1">
        <v>0</v>
      </c>
      <c r="H1332" s="6">
        <f>INT(Query1[[#This Row],[EntryDateTime]])</f>
        <v>44616</v>
      </c>
      <c r="I1332" s="1">
        <f>IF(Query1[[#This Row],[ItemType]]="EVAP KIT SF GEN IV",Query1[[#This Row],[OrderQty]]+I1331,I1331)</f>
        <v>1459</v>
      </c>
      <c r="J1332" s="1">
        <f>IF(Query1[[#This Row],[ItemType]]="EVAP KIT UNIVERSAL",Query1[[#This Row],[OrderQty]]+J1331,J1331)</f>
        <v>626</v>
      </c>
      <c r="K1332" s="1">
        <f>Query1[[#This Row],[SF Running Total]]+Query1[[#This Row],[UNIV Running Total]]</f>
        <v>2085</v>
      </c>
      <c r="L1332">
        <f>VLOOKUP(Query1[[#This Row],[Description]],'kits to boards'!$B$2:$E$156,2,FALSE)</f>
        <v>830094</v>
      </c>
      <c r="M1332">
        <f>VLOOKUP(Query1[[#This Row],[Description]],'kits to boards'!$B$2:$E$156,3,FALSE)</f>
        <v>0</v>
      </c>
      <c r="N1332">
        <f>VLOOKUP(Query1[[#This Row],[Description]],'kits to boards'!$B$2:$E$156,4,FALSE)</f>
        <v>0</v>
      </c>
      <c r="O1332" t="str">
        <f>CONCATENATE(Query1[[#This Row],[Description]]," - ",Query1[[#This Row],[MB1]]," - ",Query1[[#This Row],[MB2]]," - ",Query1[[#This Row],[MB3]])</f>
        <v>EVAP KIT 69-73 VETTE W/AC - 830094 - 0 - 0</v>
      </c>
    </row>
    <row r="1333" spans="1:15" x14ac:dyDescent="0.25">
      <c r="A1333" s="1">
        <v>912426</v>
      </c>
      <c r="B1333" s="1" t="s">
        <v>112</v>
      </c>
      <c r="C1333" s="1" t="s">
        <v>113</v>
      </c>
      <c r="D1333" s="2">
        <v>44616.341965891203</v>
      </c>
      <c r="E1333" s="1" t="s">
        <v>8</v>
      </c>
      <c r="F1333" s="1">
        <v>1</v>
      </c>
      <c r="G1333" s="1">
        <v>0</v>
      </c>
      <c r="H1333" s="6">
        <f>INT(Query1[[#This Row],[EntryDateTime]])</f>
        <v>44616</v>
      </c>
      <c r="I1333" s="1">
        <f>IF(Query1[[#This Row],[ItemType]]="EVAP KIT SF GEN IV",Query1[[#This Row],[OrderQty]]+I1332,I1332)</f>
        <v>1460</v>
      </c>
      <c r="J1333" s="1">
        <f>IF(Query1[[#This Row],[ItemType]]="EVAP KIT UNIVERSAL",Query1[[#This Row],[OrderQty]]+J1332,J1332)</f>
        <v>626</v>
      </c>
      <c r="K1333" s="1">
        <f>Query1[[#This Row],[SF Running Total]]+Query1[[#This Row],[UNIV Running Total]]</f>
        <v>2086</v>
      </c>
      <c r="L1333">
        <f>VLOOKUP(Query1[[#This Row],[Description]],'kits to boards'!$B$2:$E$156,2,FALSE)</f>
        <v>830063</v>
      </c>
      <c r="M1333">
        <f>VLOOKUP(Query1[[#This Row],[Description]],'kits to boards'!$B$2:$E$156,3,FALSE)</f>
        <v>0</v>
      </c>
      <c r="N1333">
        <f>VLOOKUP(Query1[[#This Row],[Description]],'kits to boards'!$B$2:$E$156,4,FALSE)</f>
        <v>0</v>
      </c>
      <c r="O1333" t="str">
        <f>CONCATENATE(Query1[[#This Row],[Description]]," - ",Query1[[#This Row],[MB1]]," - ",Query1[[#This Row],[MB2]]," - ",Query1[[#This Row],[MB3]])</f>
        <v>EVAP KIT 54-55 CHEV P-UP GEN IV - 830063 - 0 - 0</v>
      </c>
    </row>
    <row r="1334" spans="1:15" x14ac:dyDescent="0.25">
      <c r="A1334" s="1">
        <v>912434</v>
      </c>
      <c r="B1334" s="1" t="s">
        <v>94</v>
      </c>
      <c r="C1334" s="1" t="s">
        <v>95</v>
      </c>
      <c r="D1334" s="2">
        <v>44616.343235266206</v>
      </c>
      <c r="E1334" s="1" t="s">
        <v>8</v>
      </c>
      <c r="F1334" s="1">
        <v>1</v>
      </c>
      <c r="G1334" s="1">
        <v>0</v>
      </c>
      <c r="H1334" s="6">
        <f>INT(Query1[[#This Row],[EntryDateTime]])</f>
        <v>44616</v>
      </c>
      <c r="I1334" s="1">
        <f>IF(Query1[[#This Row],[ItemType]]="EVAP KIT SF GEN IV",Query1[[#This Row],[OrderQty]]+I1333,I1333)</f>
        <v>1461</v>
      </c>
      <c r="J1334" s="1">
        <f>IF(Query1[[#This Row],[ItemType]]="EVAP KIT UNIVERSAL",Query1[[#This Row],[OrderQty]]+J1333,J1333)</f>
        <v>626</v>
      </c>
      <c r="K1334" s="1">
        <f>Query1[[#This Row],[SF Running Total]]+Query1[[#This Row],[UNIV Running Total]]</f>
        <v>2087</v>
      </c>
      <c r="L1334">
        <f>VLOOKUP(Query1[[#This Row],[Description]],'kits to boards'!$B$2:$E$156,2,FALSE)</f>
        <v>830076</v>
      </c>
      <c r="M1334">
        <f>VLOOKUP(Query1[[#This Row],[Description]],'kits to boards'!$B$2:$E$156,3,FALSE)</f>
        <v>0</v>
      </c>
      <c r="N1334">
        <f>VLOOKUP(Query1[[#This Row],[Description]],'kits to boards'!$B$2:$E$156,4,FALSE)</f>
        <v>0</v>
      </c>
      <c r="O1334" t="str">
        <f>CONCATENATE(Query1[[#This Row],[Description]]," - ",Query1[[#This Row],[MB1]]," - ",Query1[[#This Row],[MB2]]," - ",Query1[[#This Row],[MB3]])</f>
        <v>EVAP KIT 64 1/2- 66 MUSTANG  - 830076 - 0 - 0</v>
      </c>
    </row>
    <row r="1335" spans="1:15" x14ac:dyDescent="0.25">
      <c r="A1335" s="1">
        <v>912436</v>
      </c>
      <c r="B1335" s="1" t="s">
        <v>128</v>
      </c>
      <c r="C1335" s="1" t="s">
        <v>129</v>
      </c>
      <c r="D1335" s="2">
        <v>44616.346663923614</v>
      </c>
      <c r="E1335" s="1" t="s">
        <v>8</v>
      </c>
      <c r="F1335" s="1">
        <v>1</v>
      </c>
      <c r="G1335" s="1">
        <v>0</v>
      </c>
      <c r="H1335" s="6">
        <f>INT(Query1[[#This Row],[EntryDateTime]])</f>
        <v>44616</v>
      </c>
      <c r="I1335" s="1">
        <f>IF(Query1[[#This Row],[ItemType]]="EVAP KIT SF GEN IV",Query1[[#This Row],[OrderQty]]+I1334,I1334)</f>
        <v>1462</v>
      </c>
      <c r="J1335" s="1">
        <f>IF(Query1[[#This Row],[ItemType]]="EVAP KIT UNIVERSAL",Query1[[#This Row],[OrderQty]]+J1334,J1334)</f>
        <v>626</v>
      </c>
      <c r="K1335" s="1">
        <f>Query1[[#This Row],[SF Running Total]]+Query1[[#This Row],[UNIV Running Total]]</f>
        <v>2088</v>
      </c>
      <c r="L1335">
        <f>VLOOKUP(Query1[[#This Row],[Description]],'kits to boards'!$B$2:$E$156,2,FALSE)</f>
        <v>830036</v>
      </c>
      <c r="M1335">
        <f>VLOOKUP(Query1[[#This Row],[Description]],'kits to boards'!$B$2:$E$156,3,FALSE)</f>
        <v>830039</v>
      </c>
      <c r="N1335">
        <f>VLOOKUP(Query1[[#This Row],[Description]],'kits to boards'!$B$2:$E$156,4,FALSE)</f>
        <v>0</v>
      </c>
      <c r="O1335" t="str">
        <f>CONCATENATE(Query1[[#This Row],[Description]]," - ",Query1[[#This Row],[MB1]]," - ",Query1[[#This Row],[MB2]]," - ",Query1[[#This Row],[MB3]])</f>
        <v>EVAP KIT 63-66 VETTE WO AC - 830036 - 830039 - 0</v>
      </c>
    </row>
    <row r="1336" spans="1:15" x14ac:dyDescent="0.25">
      <c r="A1336" s="1">
        <v>912438</v>
      </c>
      <c r="B1336" s="1" t="s">
        <v>128</v>
      </c>
      <c r="C1336" s="1" t="s">
        <v>129</v>
      </c>
      <c r="D1336" s="2">
        <v>44616.348398726848</v>
      </c>
      <c r="E1336" s="1" t="s">
        <v>8</v>
      </c>
      <c r="F1336" s="1">
        <v>1</v>
      </c>
      <c r="G1336" s="1">
        <v>0</v>
      </c>
      <c r="H1336" s="6">
        <f>INT(Query1[[#This Row],[EntryDateTime]])</f>
        <v>44616</v>
      </c>
      <c r="I1336" s="1">
        <f>IF(Query1[[#This Row],[ItemType]]="EVAP KIT SF GEN IV",Query1[[#This Row],[OrderQty]]+I1335,I1335)</f>
        <v>1463</v>
      </c>
      <c r="J1336" s="1">
        <f>IF(Query1[[#This Row],[ItemType]]="EVAP KIT UNIVERSAL",Query1[[#This Row],[OrderQty]]+J1335,J1335)</f>
        <v>626</v>
      </c>
      <c r="K1336" s="1">
        <f>Query1[[#This Row],[SF Running Total]]+Query1[[#This Row],[UNIV Running Total]]</f>
        <v>2089</v>
      </c>
      <c r="L1336">
        <f>VLOOKUP(Query1[[#This Row],[Description]],'kits to boards'!$B$2:$E$156,2,FALSE)</f>
        <v>830036</v>
      </c>
      <c r="M1336">
        <f>VLOOKUP(Query1[[#This Row],[Description]],'kits to boards'!$B$2:$E$156,3,FALSE)</f>
        <v>830039</v>
      </c>
      <c r="N1336">
        <f>VLOOKUP(Query1[[#This Row],[Description]],'kits to boards'!$B$2:$E$156,4,FALSE)</f>
        <v>0</v>
      </c>
      <c r="O1336" t="str">
        <f>CONCATENATE(Query1[[#This Row],[Description]]," - ",Query1[[#This Row],[MB1]]," - ",Query1[[#This Row],[MB2]]," - ",Query1[[#This Row],[MB3]])</f>
        <v>EVAP KIT 63-66 VETTE WO AC - 830036 - 830039 - 0</v>
      </c>
    </row>
    <row r="1337" spans="1:15" x14ac:dyDescent="0.25">
      <c r="A1337" s="1">
        <v>911780</v>
      </c>
      <c r="B1337" s="1" t="s">
        <v>26</v>
      </c>
      <c r="C1337" s="1" t="s">
        <v>27</v>
      </c>
      <c r="D1337" s="2">
        <v>44616.356226967589</v>
      </c>
      <c r="E1337" s="1" t="s">
        <v>8</v>
      </c>
      <c r="F1337" s="1">
        <v>1</v>
      </c>
      <c r="G1337" s="1">
        <v>0</v>
      </c>
      <c r="H1337" s="6">
        <f>INT(Query1[[#This Row],[EntryDateTime]])</f>
        <v>44616</v>
      </c>
      <c r="I1337" s="1">
        <f>IF(Query1[[#This Row],[ItemType]]="EVAP KIT SF GEN IV",Query1[[#This Row],[OrderQty]]+I1336,I1336)</f>
        <v>1464</v>
      </c>
      <c r="J1337" s="1">
        <f>IF(Query1[[#This Row],[ItemType]]="EVAP KIT UNIVERSAL",Query1[[#This Row],[OrderQty]]+J1336,J1336)</f>
        <v>626</v>
      </c>
      <c r="K1337" s="1">
        <f>Query1[[#This Row],[SF Running Total]]+Query1[[#This Row],[UNIV Running Total]]</f>
        <v>2090</v>
      </c>
      <c r="L1337">
        <f>VLOOKUP(Query1[[#This Row],[Description]],'kits to boards'!$B$2:$E$156,2,FALSE)</f>
        <v>830013</v>
      </c>
      <c r="M1337">
        <f>VLOOKUP(Query1[[#This Row],[Description]],'kits to boards'!$B$2:$E$156,3,FALSE)</f>
        <v>0</v>
      </c>
      <c r="N1337">
        <f>VLOOKUP(Query1[[#This Row],[Description]],'kits to boards'!$B$2:$E$156,4,FALSE)</f>
        <v>0</v>
      </c>
      <c r="O1337" t="str">
        <f>CONCATENATE(Query1[[#This Row],[Description]]," - ",Query1[[#This Row],[MB1]]," - ",Query1[[#This Row],[MB2]]," - ",Query1[[#This Row],[MB3]])</f>
        <v>EVAP KIT 67-72 CHEV P-UP W/AC - 830013 - 0 - 0</v>
      </c>
    </row>
    <row r="1338" spans="1:15" x14ac:dyDescent="0.25">
      <c r="A1338" s="1">
        <v>912440</v>
      </c>
      <c r="B1338" s="1" t="s">
        <v>62</v>
      </c>
      <c r="C1338" s="1" t="s">
        <v>63</v>
      </c>
      <c r="D1338" s="2">
        <v>44616.360975497686</v>
      </c>
      <c r="E1338" s="1" t="s">
        <v>8</v>
      </c>
      <c r="F1338" s="1">
        <v>1</v>
      </c>
      <c r="G1338" s="1">
        <v>0</v>
      </c>
      <c r="H1338" s="6">
        <f>INT(Query1[[#This Row],[EntryDateTime]])</f>
        <v>44616</v>
      </c>
      <c r="I1338" s="1">
        <f>IF(Query1[[#This Row],[ItemType]]="EVAP KIT SF GEN IV",Query1[[#This Row],[OrderQty]]+I1337,I1337)</f>
        <v>1465</v>
      </c>
      <c r="J1338" s="1">
        <f>IF(Query1[[#This Row],[ItemType]]="EVAP KIT UNIVERSAL",Query1[[#This Row],[OrderQty]]+J1337,J1337)</f>
        <v>626</v>
      </c>
      <c r="K1338" s="1">
        <f>Query1[[#This Row],[SF Running Total]]+Query1[[#This Row],[UNIV Running Total]]</f>
        <v>2091</v>
      </c>
      <c r="L1338">
        <f>VLOOKUP(Query1[[#This Row],[Description]],'kits to boards'!$B$2:$E$156,2,FALSE)</f>
        <v>830079</v>
      </c>
      <c r="M1338">
        <f>VLOOKUP(Query1[[#This Row],[Description]],'kits to boards'!$B$2:$E$156,3,FALSE)</f>
        <v>830046</v>
      </c>
      <c r="N1338">
        <f>VLOOKUP(Query1[[#This Row],[Description]],'kits to boards'!$B$2:$E$156,4,FALSE)</f>
        <v>0</v>
      </c>
      <c r="O1338" t="str">
        <f>CONCATENATE(Query1[[#This Row],[Description]]," - ",Query1[[#This Row],[MB1]]," - ",Query1[[#This Row],[MB2]]," - ",Query1[[#This Row],[MB3]])</f>
        <v>EVAP KIT 67-68 MUSTANG/COUGAR WO AC - 830079 - 830046 - 0</v>
      </c>
    </row>
    <row r="1339" spans="1:15" x14ac:dyDescent="0.25">
      <c r="A1339" s="1">
        <v>912443</v>
      </c>
      <c r="B1339" s="1" t="s">
        <v>62</v>
      </c>
      <c r="C1339" s="1" t="s">
        <v>63</v>
      </c>
      <c r="D1339" s="2">
        <v>44616.362238078706</v>
      </c>
      <c r="E1339" s="1" t="s">
        <v>8</v>
      </c>
      <c r="F1339" s="1">
        <v>1</v>
      </c>
      <c r="G1339" s="1">
        <v>0</v>
      </c>
      <c r="H1339" s="6">
        <f>INT(Query1[[#This Row],[EntryDateTime]])</f>
        <v>44616</v>
      </c>
      <c r="I1339" s="1">
        <f>IF(Query1[[#This Row],[ItemType]]="EVAP KIT SF GEN IV",Query1[[#This Row],[OrderQty]]+I1338,I1338)</f>
        <v>1466</v>
      </c>
      <c r="J1339" s="1">
        <f>IF(Query1[[#This Row],[ItemType]]="EVAP KIT UNIVERSAL",Query1[[#This Row],[OrderQty]]+J1338,J1338)</f>
        <v>626</v>
      </c>
      <c r="K1339" s="1">
        <f>Query1[[#This Row],[SF Running Total]]+Query1[[#This Row],[UNIV Running Total]]</f>
        <v>2092</v>
      </c>
      <c r="L1339">
        <f>VLOOKUP(Query1[[#This Row],[Description]],'kits to boards'!$B$2:$E$156,2,FALSE)</f>
        <v>830079</v>
      </c>
      <c r="M1339">
        <f>VLOOKUP(Query1[[#This Row],[Description]],'kits to boards'!$B$2:$E$156,3,FALSE)</f>
        <v>830046</v>
      </c>
      <c r="N1339">
        <f>VLOOKUP(Query1[[#This Row],[Description]],'kits to boards'!$B$2:$E$156,4,FALSE)</f>
        <v>0</v>
      </c>
      <c r="O1339" t="str">
        <f>CONCATENATE(Query1[[#This Row],[Description]]," - ",Query1[[#This Row],[MB1]]," - ",Query1[[#This Row],[MB2]]," - ",Query1[[#This Row],[MB3]])</f>
        <v>EVAP KIT 67-68 MUSTANG/COUGAR WO AC - 830079 - 830046 - 0</v>
      </c>
    </row>
    <row r="1340" spans="1:15" x14ac:dyDescent="0.25">
      <c r="A1340" s="1">
        <v>912444</v>
      </c>
      <c r="B1340" s="1" t="s">
        <v>94</v>
      </c>
      <c r="C1340" s="1" t="s">
        <v>95</v>
      </c>
      <c r="D1340" s="2">
        <v>44616.363684687502</v>
      </c>
      <c r="E1340" s="1" t="s">
        <v>8</v>
      </c>
      <c r="F1340" s="1">
        <v>1</v>
      </c>
      <c r="G1340" s="1">
        <v>0</v>
      </c>
      <c r="H1340" s="6">
        <f>INT(Query1[[#This Row],[EntryDateTime]])</f>
        <v>44616</v>
      </c>
      <c r="I1340" s="1">
        <f>IF(Query1[[#This Row],[ItemType]]="EVAP KIT SF GEN IV",Query1[[#This Row],[OrderQty]]+I1339,I1339)</f>
        <v>1467</v>
      </c>
      <c r="J1340" s="1">
        <f>IF(Query1[[#This Row],[ItemType]]="EVAP KIT UNIVERSAL",Query1[[#This Row],[OrderQty]]+J1339,J1339)</f>
        <v>626</v>
      </c>
      <c r="K1340" s="1">
        <f>Query1[[#This Row],[SF Running Total]]+Query1[[#This Row],[UNIV Running Total]]</f>
        <v>2093</v>
      </c>
      <c r="L1340">
        <f>VLOOKUP(Query1[[#This Row],[Description]],'kits to boards'!$B$2:$E$156,2,FALSE)</f>
        <v>830076</v>
      </c>
      <c r="M1340">
        <f>VLOOKUP(Query1[[#This Row],[Description]],'kits to boards'!$B$2:$E$156,3,FALSE)</f>
        <v>0</v>
      </c>
      <c r="N1340">
        <f>VLOOKUP(Query1[[#This Row],[Description]],'kits to boards'!$B$2:$E$156,4,FALSE)</f>
        <v>0</v>
      </c>
      <c r="O1340" t="str">
        <f>CONCATENATE(Query1[[#This Row],[Description]]," - ",Query1[[#This Row],[MB1]]," - ",Query1[[#This Row],[MB2]]," - ",Query1[[#This Row],[MB3]])</f>
        <v>EVAP KIT 64 1/2- 66 MUSTANG  - 830076 - 0 - 0</v>
      </c>
    </row>
    <row r="1341" spans="1:15" x14ac:dyDescent="0.25">
      <c r="A1341" s="1">
        <v>912445</v>
      </c>
      <c r="B1341" s="1" t="s">
        <v>94</v>
      </c>
      <c r="C1341" s="1" t="s">
        <v>95</v>
      </c>
      <c r="D1341" s="2">
        <v>44616.364828738428</v>
      </c>
      <c r="E1341" s="1" t="s">
        <v>8</v>
      </c>
      <c r="F1341" s="1">
        <v>1</v>
      </c>
      <c r="G1341" s="1">
        <v>0</v>
      </c>
      <c r="H1341" s="6">
        <f>INT(Query1[[#This Row],[EntryDateTime]])</f>
        <v>44616</v>
      </c>
      <c r="I1341" s="1">
        <f>IF(Query1[[#This Row],[ItemType]]="EVAP KIT SF GEN IV",Query1[[#This Row],[OrderQty]]+I1340,I1340)</f>
        <v>1468</v>
      </c>
      <c r="J1341" s="1">
        <f>IF(Query1[[#This Row],[ItemType]]="EVAP KIT UNIVERSAL",Query1[[#This Row],[OrderQty]]+J1340,J1340)</f>
        <v>626</v>
      </c>
      <c r="K1341" s="1">
        <f>Query1[[#This Row],[SF Running Total]]+Query1[[#This Row],[UNIV Running Total]]</f>
        <v>2094</v>
      </c>
      <c r="L1341">
        <f>VLOOKUP(Query1[[#This Row],[Description]],'kits to boards'!$B$2:$E$156,2,FALSE)</f>
        <v>830076</v>
      </c>
      <c r="M1341">
        <f>VLOOKUP(Query1[[#This Row],[Description]],'kits to boards'!$B$2:$E$156,3,FALSE)</f>
        <v>0</v>
      </c>
      <c r="N1341">
        <f>VLOOKUP(Query1[[#This Row],[Description]],'kits to boards'!$B$2:$E$156,4,FALSE)</f>
        <v>0</v>
      </c>
      <c r="O1341" t="str">
        <f>CONCATENATE(Query1[[#This Row],[Description]]," - ",Query1[[#This Row],[MB1]]," - ",Query1[[#This Row],[MB2]]," - ",Query1[[#This Row],[MB3]])</f>
        <v>EVAP KIT 64 1/2- 66 MUSTANG  - 830076 - 0 - 0</v>
      </c>
    </row>
    <row r="1342" spans="1:15" x14ac:dyDescent="0.25">
      <c r="A1342" s="1">
        <v>912446</v>
      </c>
      <c r="B1342" s="1" t="s">
        <v>126</v>
      </c>
      <c r="C1342" s="1" t="s">
        <v>127</v>
      </c>
      <c r="D1342" s="2">
        <v>44616.365843865744</v>
      </c>
      <c r="E1342" s="1" t="s">
        <v>8</v>
      </c>
      <c r="F1342" s="1">
        <v>1</v>
      </c>
      <c r="G1342" s="1">
        <v>0</v>
      </c>
      <c r="H1342" s="6">
        <f>INT(Query1[[#This Row],[EntryDateTime]])</f>
        <v>44616</v>
      </c>
      <c r="I1342" s="1">
        <f>IF(Query1[[#This Row],[ItemType]]="EVAP KIT SF GEN IV",Query1[[#This Row],[OrderQty]]+I1341,I1341)</f>
        <v>1469</v>
      </c>
      <c r="J1342" s="1">
        <f>IF(Query1[[#This Row],[ItemType]]="EVAP KIT UNIVERSAL",Query1[[#This Row],[OrderQty]]+J1341,J1341)</f>
        <v>626</v>
      </c>
      <c r="K1342" s="1">
        <f>Query1[[#This Row],[SF Running Total]]+Query1[[#This Row],[UNIV Running Total]]</f>
        <v>2095</v>
      </c>
      <c r="L1342">
        <f>VLOOKUP(Query1[[#This Row],[Description]],'kits to boards'!$B$2:$E$156,2,FALSE)</f>
        <v>830080</v>
      </c>
      <c r="M1342">
        <f>VLOOKUP(Query1[[#This Row],[Description]],'kits to boards'!$B$2:$E$156,3,FALSE)</f>
        <v>0</v>
      </c>
      <c r="N1342">
        <f>VLOOKUP(Query1[[#This Row],[Description]],'kits to boards'!$B$2:$E$156,4,FALSE)</f>
        <v>0</v>
      </c>
      <c r="O1342" t="str">
        <f>CONCATENATE(Query1[[#This Row],[Description]]," - ",Query1[[#This Row],[MB1]]," - ",Query1[[#This Row],[MB2]]," - ",Query1[[#This Row],[MB3]])</f>
        <v>EVAP KIT 69-70 MUSTANG WO AC  - 830080 - 0 - 0</v>
      </c>
    </row>
    <row r="1343" spans="1:15" x14ac:dyDescent="0.25">
      <c r="A1343" s="1">
        <v>912447</v>
      </c>
      <c r="B1343" s="1" t="s">
        <v>126</v>
      </c>
      <c r="C1343" s="1" t="s">
        <v>127</v>
      </c>
      <c r="D1343" s="2">
        <v>44616.36702982639</v>
      </c>
      <c r="E1343" s="1" t="s">
        <v>8</v>
      </c>
      <c r="F1343" s="1">
        <v>1</v>
      </c>
      <c r="G1343" s="1">
        <v>0</v>
      </c>
      <c r="H1343" s="6">
        <f>INT(Query1[[#This Row],[EntryDateTime]])</f>
        <v>44616</v>
      </c>
      <c r="I1343" s="1">
        <f>IF(Query1[[#This Row],[ItemType]]="EVAP KIT SF GEN IV",Query1[[#This Row],[OrderQty]]+I1342,I1342)</f>
        <v>1470</v>
      </c>
      <c r="J1343" s="1">
        <f>IF(Query1[[#This Row],[ItemType]]="EVAP KIT UNIVERSAL",Query1[[#This Row],[OrderQty]]+J1342,J1342)</f>
        <v>626</v>
      </c>
      <c r="K1343" s="1">
        <f>Query1[[#This Row],[SF Running Total]]+Query1[[#This Row],[UNIV Running Total]]</f>
        <v>2096</v>
      </c>
      <c r="L1343">
        <f>VLOOKUP(Query1[[#This Row],[Description]],'kits to boards'!$B$2:$E$156,2,FALSE)</f>
        <v>830080</v>
      </c>
      <c r="M1343">
        <f>VLOOKUP(Query1[[#This Row],[Description]],'kits to boards'!$B$2:$E$156,3,FALSE)</f>
        <v>0</v>
      </c>
      <c r="N1343">
        <f>VLOOKUP(Query1[[#This Row],[Description]],'kits to boards'!$B$2:$E$156,4,FALSE)</f>
        <v>0</v>
      </c>
      <c r="O1343" t="str">
        <f>CONCATENATE(Query1[[#This Row],[Description]]," - ",Query1[[#This Row],[MB1]]," - ",Query1[[#This Row],[MB2]]," - ",Query1[[#This Row],[MB3]])</f>
        <v>EVAP KIT 69-70 MUSTANG WO AC  - 830080 - 0 - 0</v>
      </c>
    </row>
    <row r="1344" spans="1:15" x14ac:dyDescent="0.25">
      <c r="A1344" s="1">
        <v>912460</v>
      </c>
      <c r="B1344" s="1" t="s">
        <v>94</v>
      </c>
      <c r="C1344" s="1" t="s">
        <v>95</v>
      </c>
      <c r="D1344" s="2">
        <v>44616.393409571756</v>
      </c>
      <c r="E1344" s="1" t="s">
        <v>8</v>
      </c>
      <c r="F1344" s="1">
        <v>1</v>
      </c>
      <c r="G1344" s="1">
        <v>0</v>
      </c>
      <c r="H1344" s="6">
        <f>INT(Query1[[#This Row],[EntryDateTime]])</f>
        <v>44616</v>
      </c>
      <c r="I1344" s="1">
        <f>IF(Query1[[#This Row],[ItemType]]="EVAP KIT SF GEN IV",Query1[[#This Row],[OrderQty]]+I1343,I1343)</f>
        <v>1471</v>
      </c>
      <c r="J1344" s="1">
        <f>IF(Query1[[#This Row],[ItemType]]="EVAP KIT UNIVERSAL",Query1[[#This Row],[OrderQty]]+J1343,J1343)</f>
        <v>626</v>
      </c>
      <c r="K1344" s="1">
        <f>Query1[[#This Row],[SF Running Total]]+Query1[[#This Row],[UNIV Running Total]]</f>
        <v>2097</v>
      </c>
      <c r="L1344">
        <f>VLOOKUP(Query1[[#This Row],[Description]],'kits to boards'!$B$2:$E$156,2,FALSE)</f>
        <v>830076</v>
      </c>
      <c r="M1344">
        <f>VLOOKUP(Query1[[#This Row],[Description]],'kits to boards'!$B$2:$E$156,3,FALSE)</f>
        <v>0</v>
      </c>
      <c r="N1344">
        <f>VLOOKUP(Query1[[#This Row],[Description]],'kits to boards'!$B$2:$E$156,4,FALSE)</f>
        <v>0</v>
      </c>
      <c r="O1344" t="str">
        <f>CONCATENATE(Query1[[#This Row],[Description]]," - ",Query1[[#This Row],[MB1]]," - ",Query1[[#This Row],[MB2]]," - ",Query1[[#This Row],[MB3]])</f>
        <v>EVAP KIT 64 1/2- 66 MUSTANG  - 830076 - 0 - 0</v>
      </c>
    </row>
    <row r="1345" spans="1:15" x14ac:dyDescent="0.25">
      <c r="A1345" s="1">
        <v>912393</v>
      </c>
      <c r="B1345" s="1" t="s">
        <v>14</v>
      </c>
      <c r="C1345" s="1" t="s">
        <v>15</v>
      </c>
      <c r="D1345" s="2">
        <v>44616.393616631947</v>
      </c>
      <c r="E1345" s="1" t="s">
        <v>8</v>
      </c>
      <c r="F1345" s="1">
        <v>1</v>
      </c>
      <c r="G1345" s="1">
        <v>0</v>
      </c>
      <c r="H1345" s="6">
        <f>INT(Query1[[#This Row],[EntryDateTime]])</f>
        <v>44616</v>
      </c>
      <c r="I1345" s="1">
        <f>IF(Query1[[#This Row],[ItemType]]="EVAP KIT SF GEN IV",Query1[[#This Row],[OrderQty]]+I1344,I1344)</f>
        <v>1472</v>
      </c>
      <c r="J1345" s="1">
        <f>IF(Query1[[#This Row],[ItemType]]="EVAP KIT UNIVERSAL",Query1[[#This Row],[OrderQty]]+J1344,J1344)</f>
        <v>626</v>
      </c>
      <c r="K1345" s="1">
        <f>Query1[[#This Row],[SF Running Total]]+Query1[[#This Row],[UNIV Running Total]]</f>
        <v>2098</v>
      </c>
      <c r="L1345">
        <f>VLOOKUP(Query1[[#This Row],[Description]],'kits to boards'!$B$2:$E$156,2,FALSE)</f>
        <v>830054</v>
      </c>
      <c r="M1345">
        <f>VLOOKUP(Query1[[#This Row],[Description]],'kits to boards'!$B$2:$E$156,3,FALSE)</f>
        <v>0</v>
      </c>
      <c r="N1345">
        <f>VLOOKUP(Query1[[#This Row],[Description]],'kits to boards'!$B$2:$E$156,4,FALSE)</f>
        <v>0</v>
      </c>
      <c r="O1345" t="str">
        <f>CONCATENATE(Query1[[#This Row],[Description]]," - ",Query1[[#This Row],[MB1]]," - ",Query1[[#This Row],[MB2]]," - ",Query1[[#This Row],[MB3]])</f>
        <v>EVAP KIT 55-56 CHEVY - 830054 - 0 - 0</v>
      </c>
    </row>
    <row r="1346" spans="1:15" x14ac:dyDescent="0.25">
      <c r="A1346" s="1">
        <v>912466</v>
      </c>
      <c r="B1346" s="1" t="s">
        <v>38</v>
      </c>
      <c r="C1346" s="1" t="s">
        <v>39</v>
      </c>
      <c r="D1346" s="2">
        <v>44616.414351354164</v>
      </c>
      <c r="E1346" s="1" t="s">
        <v>8</v>
      </c>
      <c r="F1346" s="1">
        <v>1</v>
      </c>
      <c r="G1346" s="1">
        <v>0</v>
      </c>
      <c r="H1346" s="6">
        <f>INT(Query1[[#This Row],[EntryDateTime]])</f>
        <v>44616</v>
      </c>
      <c r="I1346" s="1">
        <f>IF(Query1[[#This Row],[ItemType]]="EVAP KIT SF GEN IV",Query1[[#This Row],[OrderQty]]+I1345,I1345)</f>
        <v>1473</v>
      </c>
      <c r="J1346" s="1">
        <f>IF(Query1[[#This Row],[ItemType]]="EVAP KIT UNIVERSAL",Query1[[#This Row],[OrderQty]]+J1345,J1345)</f>
        <v>626</v>
      </c>
      <c r="K1346" s="1">
        <f>Query1[[#This Row],[SF Running Total]]+Query1[[#This Row],[UNIV Running Total]]</f>
        <v>2099</v>
      </c>
      <c r="L1346">
        <f>VLOOKUP(Query1[[#This Row],[Description]],'kits to boards'!$B$2:$E$156,2,FALSE)</f>
        <v>830012</v>
      </c>
      <c r="M1346">
        <f>VLOOKUP(Query1[[#This Row],[Description]],'kits to boards'!$B$2:$E$156,3,FALSE)</f>
        <v>0</v>
      </c>
      <c r="N1346">
        <f>VLOOKUP(Query1[[#This Row],[Description]],'kits to boards'!$B$2:$E$156,4,FALSE)</f>
        <v>0</v>
      </c>
      <c r="O1346" t="str">
        <f>CONCATENATE(Query1[[#This Row],[Description]]," - ",Query1[[#This Row],[MB1]]," - ",Query1[[#This Row],[MB2]]," - ",Query1[[#This Row],[MB3]])</f>
        <v>EVAP KIT 69 CAMARO W/AC - 830012 - 0 - 0</v>
      </c>
    </row>
    <row r="1347" spans="1:15" x14ac:dyDescent="0.25">
      <c r="A1347" s="1">
        <v>912457</v>
      </c>
      <c r="B1347" s="1" t="s">
        <v>128</v>
      </c>
      <c r="C1347" s="1" t="s">
        <v>129</v>
      </c>
      <c r="D1347" s="2">
        <v>44616.416346099541</v>
      </c>
      <c r="E1347" s="1" t="s">
        <v>8</v>
      </c>
      <c r="F1347" s="1">
        <v>1</v>
      </c>
      <c r="G1347" s="1">
        <v>0</v>
      </c>
      <c r="H1347" s="6">
        <f>INT(Query1[[#This Row],[EntryDateTime]])</f>
        <v>44616</v>
      </c>
      <c r="I1347" s="1">
        <f>IF(Query1[[#This Row],[ItemType]]="EVAP KIT SF GEN IV",Query1[[#This Row],[OrderQty]]+I1346,I1346)</f>
        <v>1474</v>
      </c>
      <c r="J1347" s="1">
        <f>IF(Query1[[#This Row],[ItemType]]="EVAP KIT UNIVERSAL",Query1[[#This Row],[OrderQty]]+J1346,J1346)</f>
        <v>626</v>
      </c>
      <c r="K1347" s="1">
        <f>Query1[[#This Row],[SF Running Total]]+Query1[[#This Row],[UNIV Running Total]]</f>
        <v>2100</v>
      </c>
      <c r="L1347">
        <f>VLOOKUP(Query1[[#This Row],[Description]],'kits to boards'!$B$2:$E$156,2,FALSE)</f>
        <v>830036</v>
      </c>
      <c r="M1347">
        <f>VLOOKUP(Query1[[#This Row],[Description]],'kits to boards'!$B$2:$E$156,3,FALSE)</f>
        <v>830039</v>
      </c>
      <c r="N1347">
        <f>VLOOKUP(Query1[[#This Row],[Description]],'kits to boards'!$B$2:$E$156,4,FALSE)</f>
        <v>0</v>
      </c>
      <c r="O1347" t="str">
        <f>CONCATENATE(Query1[[#This Row],[Description]]," - ",Query1[[#This Row],[MB1]]," - ",Query1[[#This Row],[MB2]]," - ",Query1[[#This Row],[MB3]])</f>
        <v>EVAP KIT 63-66 VETTE WO AC - 830036 - 830039 - 0</v>
      </c>
    </row>
    <row r="1348" spans="1:15" x14ac:dyDescent="0.25">
      <c r="A1348" s="1">
        <v>912468</v>
      </c>
      <c r="B1348" s="1" t="s">
        <v>108</v>
      </c>
      <c r="C1348" s="1" t="s">
        <v>109</v>
      </c>
      <c r="D1348" s="2">
        <v>44616.417853159721</v>
      </c>
      <c r="E1348" s="1" t="s">
        <v>8</v>
      </c>
      <c r="F1348" s="1">
        <v>1</v>
      </c>
      <c r="G1348" s="1">
        <v>0</v>
      </c>
      <c r="H1348" s="6">
        <f>INT(Query1[[#This Row],[EntryDateTime]])</f>
        <v>44616</v>
      </c>
      <c r="I1348" s="1">
        <f>IF(Query1[[#This Row],[ItemType]]="EVAP KIT SF GEN IV",Query1[[#This Row],[OrderQty]]+I1347,I1347)</f>
        <v>1475</v>
      </c>
      <c r="J1348" s="1">
        <f>IF(Query1[[#This Row],[ItemType]]="EVAP KIT UNIVERSAL",Query1[[#This Row],[OrderQty]]+J1347,J1347)</f>
        <v>626</v>
      </c>
      <c r="K1348" s="1">
        <f>Query1[[#This Row],[SF Running Total]]+Query1[[#This Row],[UNIV Running Total]]</f>
        <v>2101</v>
      </c>
      <c r="L1348">
        <f>VLOOKUP(Query1[[#This Row],[Description]],'kits to boards'!$B$2:$E$156,2,FALSE)</f>
        <v>830105</v>
      </c>
      <c r="M1348">
        <f>VLOOKUP(Query1[[#This Row],[Description]],'kits to boards'!$B$2:$E$156,3,FALSE)</f>
        <v>830106</v>
      </c>
      <c r="N1348">
        <f>VLOOKUP(Query1[[#This Row],[Description]],'kits to boards'!$B$2:$E$156,4,FALSE)</f>
        <v>0</v>
      </c>
      <c r="O1348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1349" spans="1:15" x14ac:dyDescent="0.25">
      <c r="A1349" s="1">
        <v>912469</v>
      </c>
      <c r="B1349" s="1" t="s">
        <v>134</v>
      </c>
      <c r="C1349" s="1" t="s">
        <v>135</v>
      </c>
      <c r="D1349" s="2">
        <v>44616.420487650466</v>
      </c>
      <c r="E1349" s="1" t="s">
        <v>8</v>
      </c>
      <c r="F1349" s="1">
        <v>1</v>
      </c>
      <c r="G1349" s="1">
        <v>0</v>
      </c>
      <c r="H1349" s="6">
        <f>INT(Query1[[#This Row],[EntryDateTime]])</f>
        <v>44616</v>
      </c>
      <c r="I1349" s="1">
        <f>IF(Query1[[#This Row],[ItemType]]="EVAP KIT SF GEN IV",Query1[[#This Row],[OrderQty]]+I1348,I1348)</f>
        <v>1476</v>
      </c>
      <c r="J1349" s="1">
        <f>IF(Query1[[#This Row],[ItemType]]="EVAP KIT UNIVERSAL",Query1[[#This Row],[OrderQty]]+J1348,J1348)</f>
        <v>626</v>
      </c>
      <c r="K1349" s="1">
        <f>Query1[[#This Row],[SF Running Total]]+Query1[[#This Row],[UNIV Running Total]]</f>
        <v>2102</v>
      </c>
      <c r="L1349">
        <f>VLOOKUP(Query1[[#This Row],[Description]],'kits to boards'!$B$2:$E$156,2,FALSE)</f>
        <v>830007</v>
      </c>
      <c r="M1349">
        <f>VLOOKUP(Query1[[#This Row],[Description]],'kits to boards'!$B$2:$E$156,3,FALSE)</f>
        <v>0</v>
      </c>
      <c r="N1349">
        <f>VLOOKUP(Query1[[#This Row],[Description]],'kits to boards'!$B$2:$E$156,4,FALSE)</f>
        <v>0</v>
      </c>
      <c r="O1349" t="str">
        <f>CONCATENATE(Query1[[#This Row],[Description]]," - ",Query1[[#This Row],[MB1]]," - ",Query1[[#This Row],[MB2]]," - ",Query1[[#This Row],[MB3]])</f>
        <v>EVAP KIT 64 IMPALA WO AC - 830007 - 0 - 0</v>
      </c>
    </row>
    <row r="1350" spans="1:15" x14ac:dyDescent="0.25">
      <c r="A1350" s="1">
        <v>912476</v>
      </c>
      <c r="B1350" s="1" t="s">
        <v>46</v>
      </c>
      <c r="C1350" s="1" t="s">
        <v>47</v>
      </c>
      <c r="D1350" s="2">
        <v>44616.438856631947</v>
      </c>
      <c r="E1350" s="1" t="s">
        <v>8</v>
      </c>
      <c r="F1350" s="1">
        <v>1</v>
      </c>
      <c r="G1350" s="1">
        <v>0</v>
      </c>
      <c r="H1350" s="6">
        <f>INT(Query1[[#This Row],[EntryDateTime]])</f>
        <v>44616</v>
      </c>
      <c r="I1350" s="1">
        <f>IF(Query1[[#This Row],[ItemType]]="EVAP KIT SF GEN IV",Query1[[#This Row],[OrderQty]]+I1349,I1349)</f>
        <v>1477</v>
      </c>
      <c r="J1350" s="1">
        <f>IF(Query1[[#This Row],[ItemType]]="EVAP KIT UNIVERSAL",Query1[[#This Row],[OrderQty]]+J1349,J1349)</f>
        <v>626</v>
      </c>
      <c r="K1350" s="1">
        <f>Query1[[#This Row],[SF Running Total]]+Query1[[#This Row],[UNIV Running Total]]</f>
        <v>2103</v>
      </c>
      <c r="L1350">
        <f>VLOOKUP(Query1[[#This Row],[Description]],'kits to boards'!$B$2:$E$156,2,FALSE)</f>
        <v>830018</v>
      </c>
      <c r="M1350">
        <f>VLOOKUP(Query1[[#This Row],[Description]],'kits to boards'!$B$2:$E$156,3,FALSE)</f>
        <v>0</v>
      </c>
      <c r="N1350">
        <f>VLOOKUP(Query1[[#This Row],[Description]],'kits to boards'!$B$2:$E$156,4,FALSE)</f>
        <v>0</v>
      </c>
      <c r="O1350" t="str">
        <f>CONCATENATE(Query1[[#This Row],[Description]]," - ",Query1[[#This Row],[MB1]]," - ",Query1[[#This Row],[MB2]]," - ",Query1[[#This Row],[MB3]])</f>
        <v>EVAP KIT 68-72 FORD P-UP F-100 - 830018 - 0 - 0</v>
      </c>
    </row>
    <row r="1351" spans="1:15" x14ac:dyDescent="0.25">
      <c r="A1351" s="1">
        <v>912431</v>
      </c>
      <c r="B1351" s="1" t="s">
        <v>60</v>
      </c>
      <c r="C1351" s="1" t="s">
        <v>61</v>
      </c>
      <c r="D1351" s="2">
        <v>44616.440412615739</v>
      </c>
      <c r="E1351" s="1" t="s">
        <v>8</v>
      </c>
      <c r="F1351" s="1">
        <v>1</v>
      </c>
      <c r="G1351" s="1">
        <v>0</v>
      </c>
      <c r="H1351" s="6">
        <f>INT(Query1[[#This Row],[EntryDateTime]])</f>
        <v>44616</v>
      </c>
      <c r="I1351" s="1">
        <f>IF(Query1[[#This Row],[ItemType]]="EVAP KIT SF GEN IV",Query1[[#This Row],[OrderQty]]+I1350,I1350)</f>
        <v>1478</v>
      </c>
      <c r="J1351" s="1">
        <f>IF(Query1[[#This Row],[ItemType]]="EVAP KIT UNIVERSAL",Query1[[#This Row],[OrderQty]]+J1350,J1350)</f>
        <v>626</v>
      </c>
      <c r="K1351" s="1">
        <f>Query1[[#This Row],[SF Running Total]]+Query1[[#This Row],[UNIV Running Total]]</f>
        <v>2104</v>
      </c>
      <c r="L1351">
        <f>VLOOKUP(Query1[[#This Row],[Description]],'kits to boards'!$B$2:$E$156,2,FALSE)</f>
        <v>830062</v>
      </c>
      <c r="M1351">
        <f>VLOOKUP(Query1[[#This Row],[Description]],'kits to boards'!$B$2:$E$156,3,FALSE)</f>
        <v>0</v>
      </c>
      <c r="N1351">
        <f>VLOOKUP(Query1[[#This Row],[Description]],'kits to boards'!$B$2:$E$156,4,FALSE)</f>
        <v>0</v>
      </c>
      <c r="O1351" t="str">
        <f>CONCATENATE(Query1[[#This Row],[Description]]," - ",Query1[[#This Row],[MB1]]," - ",Query1[[#This Row],[MB2]]," - ",Query1[[#This Row],[MB3]])</f>
        <v>EVAP KIT 68-69 CHEVELLE WO AC - 830062 - 0 - 0</v>
      </c>
    </row>
    <row r="1352" spans="1:15" x14ac:dyDescent="0.25">
      <c r="A1352" s="1">
        <v>912483</v>
      </c>
      <c r="B1352" s="1" t="s">
        <v>72</v>
      </c>
      <c r="C1352" s="1" t="s">
        <v>73</v>
      </c>
      <c r="D1352" s="2">
        <v>44616.458948414351</v>
      </c>
      <c r="E1352" s="1" t="s">
        <v>8</v>
      </c>
      <c r="F1352" s="1">
        <v>1</v>
      </c>
      <c r="G1352" s="1">
        <v>0</v>
      </c>
      <c r="H1352" s="6">
        <f>INT(Query1[[#This Row],[EntryDateTime]])</f>
        <v>44616</v>
      </c>
      <c r="I1352" s="1">
        <f>IF(Query1[[#This Row],[ItemType]]="EVAP KIT SF GEN IV",Query1[[#This Row],[OrderQty]]+I1351,I1351)</f>
        <v>1479</v>
      </c>
      <c r="J1352" s="1">
        <f>IF(Query1[[#This Row],[ItemType]]="EVAP KIT UNIVERSAL",Query1[[#This Row],[OrderQty]]+J1351,J1351)</f>
        <v>626</v>
      </c>
      <c r="K1352" s="1">
        <f>Query1[[#This Row],[SF Running Total]]+Query1[[#This Row],[UNIV Running Total]]</f>
        <v>2105</v>
      </c>
      <c r="L1352">
        <f>VLOOKUP(Query1[[#This Row],[Description]],'kits to boards'!$B$2:$E$156,2,FALSE)</f>
        <v>830043</v>
      </c>
      <c r="M1352">
        <f>VLOOKUP(Query1[[#This Row],[Description]],'kits to boards'!$B$2:$E$156,3,FALSE)</f>
        <v>0</v>
      </c>
      <c r="N1352">
        <f>VLOOKUP(Query1[[#This Row],[Description]],'kits to boards'!$B$2:$E$156,4,FALSE)</f>
        <v>0</v>
      </c>
      <c r="O1352" t="str">
        <f>CONCATENATE(Query1[[#This Row],[Description]]," - ",Query1[[#This Row],[MB1]]," - ",Query1[[#This Row],[MB2]]," - ",Query1[[#This Row],[MB3]])</f>
        <v>EVAP KIT 69-74 NOVA W/AC - 830043 - 0 - 0</v>
      </c>
    </row>
    <row r="1353" spans="1:15" x14ac:dyDescent="0.25">
      <c r="A1353" s="1">
        <v>912488</v>
      </c>
      <c r="B1353" s="1" t="s">
        <v>76</v>
      </c>
      <c r="C1353" s="1" t="s">
        <v>77</v>
      </c>
      <c r="D1353" s="2">
        <v>44616.467558252312</v>
      </c>
      <c r="E1353" s="1" t="s">
        <v>11</v>
      </c>
      <c r="F1353" s="1">
        <v>1</v>
      </c>
      <c r="G1353" s="1">
        <v>0</v>
      </c>
      <c r="H1353" s="6">
        <f>INT(Query1[[#This Row],[EntryDateTime]])</f>
        <v>44616</v>
      </c>
      <c r="I1353" s="1">
        <f>IF(Query1[[#This Row],[ItemType]]="EVAP KIT SF GEN IV",Query1[[#This Row],[OrderQty]]+I1352,I1352)</f>
        <v>1479</v>
      </c>
      <c r="J1353" s="1">
        <f>IF(Query1[[#This Row],[ItemType]]="EVAP KIT UNIVERSAL",Query1[[#This Row],[OrderQty]]+J1352,J1352)</f>
        <v>627</v>
      </c>
      <c r="K1353" s="1">
        <f>Query1[[#This Row],[SF Running Total]]+Query1[[#This Row],[UNIV Running Total]]</f>
        <v>2106</v>
      </c>
      <c r="L1353">
        <f>VLOOKUP(Query1[[#This Row],[Description]],'kits to boards'!$B$2:$E$156,2,FALSE)</f>
        <v>830099</v>
      </c>
      <c r="M1353">
        <f>VLOOKUP(Query1[[#This Row],[Description]],'kits to boards'!$B$2:$E$156,3,FALSE)</f>
        <v>0</v>
      </c>
      <c r="N1353">
        <f>VLOOKUP(Query1[[#This Row],[Description]],'kits to boards'!$B$2:$E$156,4,FALSE)</f>
        <v>0</v>
      </c>
      <c r="O1353" t="str">
        <f>CONCATENATE(Query1[[#This Row],[Description]]," - ",Query1[[#This Row],[MB1]]," - ",Query1[[#This Row],[MB2]]," - ",Query1[[#This Row],[MB3]])</f>
        <v>MINI GEN II H/C - 830099 - 0 - 0</v>
      </c>
    </row>
    <row r="1354" spans="1:15" x14ac:dyDescent="0.25">
      <c r="A1354" s="1">
        <v>912480</v>
      </c>
      <c r="B1354" s="1" t="s">
        <v>28</v>
      </c>
      <c r="C1354" s="1" t="s">
        <v>29</v>
      </c>
      <c r="D1354" s="2">
        <v>44616.468068599534</v>
      </c>
      <c r="E1354" s="1" t="s">
        <v>8</v>
      </c>
      <c r="F1354" s="1">
        <v>1</v>
      </c>
      <c r="G1354" s="1">
        <v>0</v>
      </c>
      <c r="H1354" s="6">
        <f>INT(Query1[[#This Row],[EntryDateTime]])</f>
        <v>44616</v>
      </c>
      <c r="I1354" s="1">
        <f>IF(Query1[[#This Row],[ItemType]]="EVAP KIT SF GEN IV",Query1[[#This Row],[OrderQty]]+I1353,I1353)</f>
        <v>1480</v>
      </c>
      <c r="J1354" s="1">
        <f>IF(Query1[[#This Row],[ItemType]]="EVAP KIT UNIVERSAL",Query1[[#This Row],[OrderQty]]+J1353,J1353)</f>
        <v>627</v>
      </c>
      <c r="K1354" s="1">
        <f>Query1[[#This Row],[SF Running Total]]+Query1[[#This Row],[UNIV Running Total]]</f>
        <v>2107</v>
      </c>
      <c r="L1354">
        <f>VLOOKUP(Query1[[#This Row],[Description]],'kits to boards'!$B$2:$E$156,2,FALSE)</f>
        <v>830001</v>
      </c>
      <c r="M1354">
        <f>VLOOKUP(Query1[[#This Row],[Description]],'kits to boards'!$B$2:$E$156,3,FALSE)</f>
        <v>0</v>
      </c>
      <c r="N1354">
        <f>VLOOKUP(Query1[[#This Row],[Description]],'kits to boards'!$B$2:$E$156,4,FALSE)</f>
        <v>0</v>
      </c>
      <c r="O1354" t="str">
        <f>CONCATENATE(Query1[[#This Row],[Description]]," - ",Query1[[#This Row],[MB1]]," - ",Query1[[#This Row],[MB2]]," - ",Query1[[#This Row],[MB3]])</f>
        <v>EVAP KIT 73-80 CHEV P-UP W/AC - 830001 - 0 - 0</v>
      </c>
    </row>
    <row r="1355" spans="1:15" x14ac:dyDescent="0.25">
      <c r="A1355" s="1">
        <v>912492</v>
      </c>
      <c r="B1355" s="1" t="s">
        <v>134</v>
      </c>
      <c r="C1355" s="1" t="s">
        <v>135</v>
      </c>
      <c r="D1355" s="2">
        <v>44616.470785069447</v>
      </c>
      <c r="E1355" s="1" t="s">
        <v>8</v>
      </c>
      <c r="F1355" s="1">
        <v>1</v>
      </c>
      <c r="G1355" s="1">
        <v>0</v>
      </c>
      <c r="H1355" s="6">
        <f>INT(Query1[[#This Row],[EntryDateTime]])</f>
        <v>44616</v>
      </c>
      <c r="I1355" s="1">
        <f>IF(Query1[[#This Row],[ItemType]]="EVAP KIT SF GEN IV",Query1[[#This Row],[OrderQty]]+I1354,I1354)</f>
        <v>1481</v>
      </c>
      <c r="J1355" s="1">
        <f>IF(Query1[[#This Row],[ItemType]]="EVAP KIT UNIVERSAL",Query1[[#This Row],[OrderQty]]+J1354,J1354)</f>
        <v>627</v>
      </c>
      <c r="K1355" s="1">
        <f>Query1[[#This Row],[SF Running Total]]+Query1[[#This Row],[UNIV Running Total]]</f>
        <v>2108</v>
      </c>
      <c r="L1355">
        <f>VLOOKUP(Query1[[#This Row],[Description]],'kits to boards'!$B$2:$E$156,2,FALSE)</f>
        <v>830007</v>
      </c>
      <c r="M1355">
        <f>VLOOKUP(Query1[[#This Row],[Description]],'kits to boards'!$B$2:$E$156,3,FALSE)</f>
        <v>0</v>
      </c>
      <c r="N1355">
        <f>VLOOKUP(Query1[[#This Row],[Description]],'kits to boards'!$B$2:$E$156,4,FALSE)</f>
        <v>0</v>
      </c>
      <c r="O1355" t="str">
        <f>CONCATENATE(Query1[[#This Row],[Description]]," - ",Query1[[#This Row],[MB1]]," - ",Query1[[#This Row],[MB2]]," - ",Query1[[#This Row],[MB3]])</f>
        <v>EVAP KIT 64 IMPALA WO AC - 830007 - 0 - 0</v>
      </c>
    </row>
    <row r="1356" spans="1:15" x14ac:dyDescent="0.25">
      <c r="A1356" s="1">
        <v>912494</v>
      </c>
      <c r="B1356" s="1" t="s">
        <v>24</v>
      </c>
      <c r="C1356" s="1" t="s">
        <v>25</v>
      </c>
      <c r="D1356" s="2">
        <v>44616.478988541669</v>
      </c>
      <c r="E1356" s="1" t="s">
        <v>11</v>
      </c>
      <c r="F1356" s="1">
        <v>1</v>
      </c>
      <c r="G1356" s="1">
        <v>0</v>
      </c>
      <c r="H1356" s="6">
        <f>INT(Query1[[#This Row],[EntryDateTime]])</f>
        <v>44616</v>
      </c>
      <c r="I1356" s="1">
        <f>IF(Query1[[#This Row],[ItemType]]="EVAP KIT SF GEN IV",Query1[[#This Row],[OrderQty]]+I1355,I1355)</f>
        <v>1481</v>
      </c>
      <c r="J1356" s="1">
        <f>IF(Query1[[#This Row],[ItemType]]="EVAP KIT UNIVERSAL",Query1[[#This Row],[OrderQty]]+J1355,J1355)</f>
        <v>628</v>
      </c>
      <c r="K1356" s="1">
        <f>Query1[[#This Row],[SF Running Total]]+Query1[[#This Row],[UNIV Running Total]]</f>
        <v>2109</v>
      </c>
      <c r="L1356">
        <f>VLOOKUP(Query1[[#This Row],[Description]],'kits to boards'!$B$2:$E$156,2,FALSE)</f>
        <v>830029</v>
      </c>
      <c r="M1356">
        <f>VLOOKUP(Query1[[#This Row],[Description]],'kits to boards'!$B$2:$E$156,3,FALSE)</f>
        <v>830030</v>
      </c>
      <c r="N1356">
        <f>VLOOKUP(Query1[[#This Row],[Description]],'kits to boards'!$B$2:$E$156,4,FALSE)</f>
        <v>0</v>
      </c>
      <c r="O1356" t="str">
        <f>CONCATENATE(Query1[[#This Row],[Description]]," - ",Query1[[#This Row],[MB1]]," - ",Query1[[#This Row],[MB2]]," - ",Query1[[#This Row],[MB3]])</f>
        <v>ComPac GEN II W/DEF - 830029 - 830030 - 0</v>
      </c>
    </row>
    <row r="1357" spans="1:15" x14ac:dyDescent="0.25">
      <c r="A1357" s="1">
        <v>912346</v>
      </c>
      <c r="B1357" s="1" t="s">
        <v>26</v>
      </c>
      <c r="C1357" s="1" t="s">
        <v>27</v>
      </c>
      <c r="D1357" s="2">
        <v>44616.490716284723</v>
      </c>
      <c r="E1357" s="1" t="s">
        <v>8</v>
      </c>
      <c r="F1357" s="1">
        <v>1</v>
      </c>
      <c r="G1357" s="1">
        <v>0</v>
      </c>
      <c r="H1357" s="6">
        <f>INT(Query1[[#This Row],[EntryDateTime]])</f>
        <v>44616</v>
      </c>
      <c r="I1357" s="1">
        <f>IF(Query1[[#This Row],[ItemType]]="EVAP KIT SF GEN IV",Query1[[#This Row],[OrderQty]]+I1356,I1356)</f>
        <v>1482</v>
      </c>
      <c r="J1357" s="1">
        <f>IF(Query1[[#This Row],[ItemType]]="EVAP KIT UNIVERSAL",Query1[[#This Row],[OrderQty]]+J1356,J1356)</f>
        <v>628</v>
      </c>
      <c r="K1357" s="1">
        <f>Query1[[#This Row],[SF Running Total]]+Query1[[#This Row],[UNIV Running Total]]</f>
        <v>2110</v>
      </c>
      <c r="L1357">
        <f>VLOOKUP(Query1[[#This Row],[Description]],'kits to boards'!$B$2:$E$156,2,FALSE)</f>
        <v>830013</v>
      </c>
      <c r="M1357">
        <f>VLOOKUP(Query1[[#This Row],[Description]],'kits to boards'!$B$2:$E$156,3,FALSE)</f>
        <v>0</v>
      </c>
      <c r="N1357">
        <f>VLOOKUP(Query1[[#This Row],[Description]],'kits to boards'!$B$2:$E$156,4,FALSE)</f>
        <v>0</v>
      </c>
      <c r="O1357" t="str">
        <f>CONCATENATE(Query1[[#This Row],[Description]]," - ",Query1[[#This Row],[MB1]]," - ",Query1[[#This Row],[MB2]]," - ",Query1[[#This Row],[MB3]])</f>
        <v>EVAP KIT 67-72 CHEV P-UP W/AC - 830013 - 0 - 0</v>
      </c>
    </row>
    <row r="1358" spans="1:15" x14ac:dyDescent="0.25">
      <c r="A1358" s="1">
        <v>912503</v>
      </c>
      <c r="B1358" s="1" t="s">
        <v>6</v>
      </c>
      <c r="C1358" s="1" t="s">
        <v>7</v>
      </c>
      <c r="D1358" s="2">
        <v>44616.498846377312</v>
      </c>
      <c r="E1358" s="1" t="s">
        <v>8</v>
      </c>
      <c r="F1358" s="1">
        <v>1</v>
      </c>
      <c r="G1358" s="1">
        <v>0</v>
      </c>
      <c r="H1358" s="6">
        <f>INT(Query1[[#This Row],[EntryDateTime]])</f>
        <v>44616</v>
      </c>
      <c r="I1358" s="1">
        <f>IF(Query1[[#This Row],[ItemType]]="EVAP KIT SF GEN IV",Query1[[#This Row],[OrderQty]]+I1357,I1357)</f>
        <v>1483</v>
      </c>
      <c r="J1358" s="1">
        <f>IF(Query1[[#This Row],[ItemType]]="EVAP KIT UNIVERSAL",Query1[[#This Row],[OrderQty]]+J1357,J1357)</f>
        <v>628</v>
      </c>
      <c r="K1358" s="1">
        <f>Query1[[#This Row],[SF Running Total]]+Query1[[#This Row],[UNIV Running Total]]</f>
        <v>2111</v>
      </c>
      <c r="L1358">
        <f>VLOOKUP(Query1[[#This Row],[Description]],'kits to boards'!$B$2:$E$156,2,FALSE)</f>
        <v>830132</v>
      </c>
      <c r="M1358">
        <f>VLOOKUP(Query1[[#This Row],[Description]],'kits to boards'!$B$2:$E$156,3,FALSE)</f>
        <v>0</v>
      </c>
      <c r="N1358">
        <f>VLOOKUP(Query1[[#This Row],[Description]],'kits to boards'!$B$2:$E$156,4,FALSE)</f>
        <v>0</v>
      </c>
      <c r="O1358" t="str">
        <f>CONCATENATE(Query1[[#This Row],[Description]]," - ",Query1[[#This Row],[MB1]]," - ",Query1[[#This Row],[MB2]]," - ",Query1[[#This Row],[MB3]])</f>
        <v>EVAP KIT 82-88 MONTE CARLO/EL CAMINO - 830132 - 0 - 0</v>
      </c>
    </row>
    <row r="1359" spans="1:15" x14ac:dyDescent="0.25">
      <c r="A1359" s="1">
        <v>912511</v>
      </c>
      <c r="B1359" s="1" t="s">
        <v>52</v>
      </c>
      <c r="C1359" s="1" t="s">
        <v>53</v>
      </c>
      <c r="D1359" s="2">
        <v>44616.507823726854</v>
      </c>
      <c r="E1359" s="1" t="s">
        <v>8</v>
      </c>
      <c r="F1359" s="1">
        <v>1</v>
      </c>
      <c r="G1359" s="1">
        <v>0</v>
      </c>
      <c r="H1359" s="6">
        <f>INT(Query1[[#This Row],[EntryDateTime]])</f>
        <v>44616</v>
      </c>
      <c r="I1359" s="1">
        <f>IF(Query1[[#This Row],[ItemType]]="EVAP KIT SF GEN IV",Query1[[#This Row],[OrderQty]]+I1358,I1358)</f>
        <v>1484</v>
      </c>
      <c r="J1359" s="1">
        <f>IF(Query1[[#This Row],[ItemType]]="EVAP KIT UNIVERSAL",Query1[[#This Row],[OrderQty]]+J1358,J1358)</f>
        <v>628</v>
      </c>
      <c r="K1359" s="1">
        <f>Query1[[#This Row],[SF Running Total]]+Query1[[#This Row],[UNIV Running Total]]</f>
        <v>2112</v>
      </c>
      <c r="L1359">
        <f>VLOOKUP(Query1[[#This Row],[Description]],'kits to boards'!$B$2:$E$156,2,FALSE)</f>
        <v>830017</v>
      </c>
      <c r="M1359">
        <f>VLOOKUP(Query1[[#This Row],[Description]],'kits to boards'!$B$2:$E$156,3,FALSE)</f>
        <v>830119</v>
      </c>
      <c r="N1359">
        <f>VLOOKUP(Query1[[#This Row],[Description]],'kits to boards'!$B$2:$E$156,4,FALSE)</f>
        <v>830120</v>
      </c>
      <c r="O1359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1360" spans="1:15" x14ac:dyDescent="0.25">
      <c r="A1360" s="1">
        <v>912512</v>
      </c>
      <c r="B1360" s="1" t="s">
        <v>92</v>
      </c>
      <c r="C1360" s="1" t="s">
        <v>93</v>
      </c>
      <c r="D1360" s="2">
        <v>44616.50960795139</v>
      </c>
      <c r="E1360" s="1" t="s">
        <v>8</v>
      </c>
      <c r="F1360" s="1">
        <v>1</v>
      </c>
      <c r="G1360" s="1">
        <v>0</v>
      </c>
      <c r="H1360" s="6">
        <f>INT(Query1[[#This Row],[EntryDateTime]])</f>
        <v>44616</v>
      </c>
      <c r="I1360" s="1">
        <f>IF(Query1[[#This Row],[ItemType]]="EVAP KIT SF GEN IV",Query1[[#This Row],[OrderQty]]+I1359,I1359)</f>
        <v>1485</v>
      </c>
      <c r="J1360" s="1">
        <f>IF(Query1[[#This Row],[ItemType]]="EVAP KIT UNIVERSAL",Query1[[#This Row],[OrderQty]]+J1359,J1359)</f>
        <v>628</v>
      </c>
      <c r="K1360" s="1">
        <f>Query1[[#This Row],[SF Running Total]]+Query1[[#This Row],[UNIV Running Total]]</f>
        <v>2113</v>
      </c>
      <c r="L1360">
        <f>VLOOKUP(Query1[[#This Row],[Description]],'kits to boards'!$B$2:$E$156,2,FALSE)</f>
        <v>830063</v>
      </c>
      <c r="M1360">
        <f>VLOOKUP(Query1[[#This Row],[Description]],'kits to boards'!$B$2:$E$156,3,FALSE)</f>
        <v>0</v>
      </c>
      <c r="N1360">
        <f>VLOOKUP(Query1[[#This Row],[Description]],'kits to boards'!$B$2:$E$156,4,FALSE)</f>
        <v>0</v>
      </c>
      <c r="O1360" t="str">
        <f>CONCATENATE(Query1[[#This Row],[Description]]," - ",Query1[[#This Row],[MB1]]," - ",Query1[[#This Row],[MB2]]," - ",Query1[[#This Row],[MB3]])</f>
        <v>EVAP KIT 50-53 CHEV P-UP GEN IV - 830063 - 0 - 0</v>
      </c>
    </row>
    <row r="1361" spans="1:15" x14ac:dyDescent="0.25">
      <c r="A1361" s="1">
        <v>912514</v>
      </c>
      <c r="B1361" s="1" t="s">
        <v>92</v>
      </c>
      <c r="C1361" s="1" t="s">
        <v>93</v>
      </c>
      <c r="D1361" s="2">
        <v>44616.518650428239</v>
      </c>
      <c r="E1361" s="1" t="s">
        <v>8</v>
      </c>
      <c r="F1361" s="1">
        <v>1</v>
      </c>
      <c r="G1361" s="1">
        <v>0</v>
      </c>
      <c r="H1361" s="6">
        <f>INT(Query1[[#This Row],[EntryDateTime]])</f>
        <v>44616</v>
      </c>
      <c r="I1361" s="1">
        <f>IF(Query1[[#This Row],[ItemType]]="EVAP KIT SF GEN IV",Query1[[#This Row],[OrderQty]]+I1360,I1360)</f>
        <v>1486</v>
      </c>
      <c r="J1361" s="1">
        <f>IF(Query1[[#This Row],[ItemType]]="EVAP KIT UNIVERSAL",Query1[[#This Row],[OrderQty]]+J1360,J1360)</f>
        <v>628</v>
      </c>
      <c r="K1361" s="1">
        <f>Query1[[#This Row],[SF Running Total]]+Query1[[#This Row],[UNIV Running Total]]</f>
        <v>2114</v>
      </c>
      <c r="L1361">
        <f>VLOOKUP(Query1[[#This Row],[Description]],'kits to boards'!$B$2:$E$156,2,FALSE)</f>
        <v>830063</v>
      </c>
      <c r="M1361">
        <f>VLOOKUP(Query1[[#This Row],[Description]],'kits to boards'!$B$2:$E$156,3,FALSE)</f>
        <v>0</v>
      </c>
      <c r="N1361">
        <f>VLOOKUP(Query1[[#This Row],[Description]],'kits to boards'!$B$2:$E$156,4,FALSE)</f>
        <v>0</v>
      </c>
      <c r="O1361" t="str">
        <f>CONCATENATE(Query1[[#This Row],[Description]]," - ",Query1[[#This Row],[MB1]]," - ",Query1[[#This Row],[MB2]]," - ",Query1[[#This Row],[MB3]])</f>
        <v>EVAP KIT 50-53 CHEV P-UP GEN IV - 830063 - 0 - 0</v>
      </c>
    </row>
    <row r="1362" spans="1:15" x14ac:dyDescent="0.25">
      <c r="A1362" s="1">
        <v>912522</v>
      </c>
      <c r="B1362" s="1" t="s">
        <v>259</v>
      </c>
      <c r="C1362" s="1" t="s">
        <v>260</v>
      </c>
      <c r="D1362" s="2">
        <v>44616.529361805558</v>
      </c>
      <c r="E1362" s="1" t="s">
        <v>8</v>
      </c>
      <c r="F1362" s="1">
        <v>1</v>
      </c>
      <c r="G1362" s="1">
        <v>0</v>
      </c>
      <c r="H1362" s="6">
        <f>INT(Query1[[#This Row],[EntryDateTime]])</f>
        <v>44616</v>
      </c>
      <c r="I1362" s="1">
        <f>IF(Query1[[#This Row],[ItemType]]="EVAP KIT SF GEN IV",Query1[[#This Row],[OrderQty]]+I1361,I1361)</f>
        <v>1487</v>
      </c>
      <c r="J1362" s="1">
        <f>IF(Query1[[#This Row],[ItemType]]="EVAP KIT UNIVERSAL",Query1[[#This Row],[OrderQty]]+J1361,J1361)</f>
        <v>628</v>
      </c>
      <c r="K1362" s="1">
        <f>Query1[[#This Row],[SF Running Total]]+Query1[[#This Row],[UNIV Running Total]]</f>
        <v>2115</v>
      </c>
      <c r="L1362">
        <f>VLOOKUP(Query1[[#This Row],[Description]],'kits to boards'!$B$2:$E$156,2,FALSE)</f>
        <v>830025</v>
      </c>
      <c r="M1362">
        <f>VLOOKUP(Query1[[#This Row],[Description]],'kits to boards'!$B$2:$E$156,3,FALSE)</f>
        <v>0</v>
      </c>
      <c r="N1362">
        <f>VLOOKUP(Query1[[#This Row],[Description]],'kits to boards'!$B$2:$E$156,4,FALSE)</f>
        <v>0</v>
      </c>
      <c r="O1362" t="str">
        <f>CONCATENATE(Query1[[#This Row],[Description]]," - ",Query1[[#This Row],[MB1]]," - ",Query1[[#This Row],[MB2]]," - ",Query1[[#This Row],[MB3]])</f>
        <v>EVAP KIT 68 CUTLASS WO AC - 830025 - 0 - 0</v>
      </c>
    </row>
    <row r="1363" spans="1:15" x14ac:dyDescent="0.25">
      <c r="A1363" s="1">
        <v>912519</v>
      </c>
      <c r="B1363" s="1" t="s">
        <v>158</v>
      </c>
      <c r="C1363" s="1" t="s">
        <v>159</v>
      </c>
      <c r="D1363" s="2">
        <v>44616.538434062502</v>
      </c>
      <c r="E1363" s="1" t="s">
        <v>8</v>
      </c>
      <c r="F1363" s="1">
        <v>1</v>
      </c>
      <c r="G1363" s="1">
        <v>0</v>
      </c>
      <c r="H1363" s="6">
        <f>INT(Query1[[#This Row],[EntryDateTime]])</f>
        <v>44616</v>
      </c>
      <c r="I1363" s="1">
        <f>IF(Query1[[#This Row],[ItemType]]="EVAP KIT SF GEN IV",Query1[[#This Row],[OrderQty]]+I1362,I1362)</f>
        <v>1488</v>
      </c>
      <c r="J1363" s="1">
        <f>IF(Query1[[#This Row],[ItemType]]="EVAP KIT UNIVERSAL",Query1[[#This Row],[OrderQty]]+J1362,J1362)</f>
        <v>628</v>
      </c>
      <c r="K1363" s="1">
        <f>Query1[[#This Row],[SF Running Total]]+Query1[[#This Row],[UNIV Running Total]]</f>
        <v>2116</v>
      </c>
      <c r="L1363">
        <f>VLOOKUP(Query1[[#This Row],[Description]],'kits to boards'!$B$2:$E$156,2,FALSE)</f>
        <v>830080</v>
      </c>
      <c r="M1363">
        <f>VLOOKUP(Query1[[#This Row],[Description]],'kits to boards'!$B$2:$E$156,3,FALSE)</f>
        <v>830046</v>
      </c>
      <c r="N1363">
        <f>VLOOKUP(Query1[[#This Row],[Description]],'kits to boards'!$B$2:$E$156,4,FALSE)</f>
        <v>0</v>
      </c>
      <c r="O1363" t="str">
        <f>CONCATENATE(Query1[[#This Row],[Description]]," - ",Query1[[#This Row],[MB1]]," - ",Query1[[#This Row],[MB2]]," - ",Query1[[#This Row],[MB3]])</f>
        <v>EVAP KIT 69-70 MUSTANG W/AC  - 830080 - 830046 - 0</v>
      </c>
    </row>
    <row r="1364" spans="1:15" x14ac:dyDescent="0.25">
      <c r="A1364" s="1">
        <v>912534</v>
      </c>
      <c r="B1364" s="1" t="s">
        <v>24</v>
      </c>
      <c r="C1364" s="1" t="s">
        <v>25</v>
      </c>
      <c r="D1364" s="2">
        <v>44616.555043865737</v>
      </c>
      <c r="E1364" s="1" t="s">
        <v>11</v>
      </c>
      <c r="F1364" s="1">
        <v>40</v>
      </c>
      <c r="G1364" s="1">
        <v>0</v>
      </c>
      <c r="H1364" s="6">
        <f>INT(Query1[[#This Row],[EntryDateTime]])</f>
        <v>44616</v>
      </c>
      <c r="I1364" s="1">
        <f>IF(Query1[[#This Row],[ItemType]]="EVAP KIT SF GEN IV",Query1[[#This Row],[OrderQty]]+I1363,I1363)</f>
        <v>1488</v>
      </c>
      <c r="J1364" s="1">
        <f>IF(Query1[[#This Row],[ItemType]]="EVAP KIT UNIVERSAL",Query1[[#This Row],[OrderQty]]+J1363,J1363)</f>
        <v>668</v>
      </c>
      <c r="K1364" s="1">
        <f>Query1[[#This Row],[SF Running Total]]+Query1[[#This Row],[UNIV Running Total]]</f>
        <v>2156</v>
      </c>
      <c r="L1364">
        <f>VLOOKUP(Query1[[#This Row],[Description]],'kits to boards'!$B$2:$E$156,2,FALSE)</f>
        <v>830029</v>
      </c>
      <c r="M1364">
        <f>VLOOKUP(Query1[[#This Row],[Description]],'kits to boards'!$B$2:$E$156,3,FALSE)</f>
        <v>830030</v>
      </c>
      <c r="N1364">
        <f>VLOOKUP(Query1[[#This Row],[Description]],'kits to boards'!$B$2:$E$156,4,FALSE)</f>
        <v>0</v>
      </c>
      <c r="O1364" t="str">
        <f>CONCATENATE(Query1[[#This Row],[Description]]," - ",Query1[[#This Row],[MB1]]," - ",Query1[[#This Row],[MB2]]," - ",Query1[[#This Row],[MB3]])</f>
        <v>ComPac GEN II W/DEF - 830029 - 830030 - 0</v>
      </c>
    </row>
    <row r="1365" spans="1:15" x14ac:dyDescent="0.25">
      <c r="A1365" s="1">
        <v>912534</v>
      </c>
      <c r="B1365" s="1" t="s">
        <v>220</v>
      </c>
      <c r="C1365" s="1" t="s">
        <v>221</v>
      </c>
      <c r="D1365" s="2">
        <v>44616.555305902781</v>
      </c>
      <c r="E1365" s="1" t="s">
        <v>11</v>
      </c>
      <c r="F1365" s="1">
        <v>10</v>
      </c>
      <c r="G1365" s="1">
        <v>0</v>
      </c>
      <c r="H1365" s="6">
        <f>INT(Query1[[#This Row],[EntryDateTime]])</f>
        <v>44616</v>
      </c>
      <c r="I1365" s="1">
        <f>IF(Query1[[#This Row],[ItemType]]="EVAP KIT SF GEN IV",Query1[[#This Row],[OrderQty]]+I1364,I1364)</f>
        <v>1488</v>
      </c>
      <c r="J1365" s="1">
        <f>IF(Query1[[#This Row],[ItemType]]="EVAP KIT UNIVERSAL",Query1[[#This Row],[OrderQty]]+J1364,J1364)</f>
        <v>678</v>
      </c>
      <c r="K1365" s="1">
        <f>Query1[[#This Row],[SF Running Total]]+Query1[[#This Row],[UNIV Running Total]]</f>
        <v>2166</v>
      </c>
      <c r="L1365">
        <f>VLOOKUP(Query1[[#This Row],[Description]],'kits to boards'!$B$2:$E$156,2,FALSE)</f>
        <v>0</v>
      </c>
      <c r="M1365">
        <f>VLOOKUP(Query1[[#This Row],[Description]],'kits to boards'!$B$2:$E$156,3,FALSE)</f>
        <v>0</v>
      </c>
      <c r="N1365">
        <f>VLOOKUP(Query1[[#This Row],[Description]],'kits to boards'!$B$2:$E$156,4,FALSE)</f>
        <v>0</v>
      </c>
      <c r="O1365" t="str">
        <f>CONCATENATE(Query1[[#This Row],[Description]]," - ",Query1[[#This Row],[MB1]]," - ",Query1[[#This Row],[MB2]]," - ",Query1[[#This Row],[MB3]])</f>
        <v>HERITAGE PEARL EVAP KIT HEAT/COOL - 0 - 0 - 0</v>
      </c>
    </row>
    <row r="1366" spans="1:15" x14ac:dyDescent="0.25">
      <c r="A1366" s="1">
        <v>912534</v>
      </c>
      <c r="B1366" s="1" t="s">
        <v>136</v>
      </c>
      <c r="C1366" s="1" t="s">
        <v>137</v>
      </c>
      <c r="D1366" s="2">
        <v>44616.555556631945</v>
      </c>
      <c r="E1366" s="1" t="s">
        <v>11</v>
      </c>
      <c r="F1366" s="1">
        <v>10</v>
      </c>
      <c r="G1366" s="1">
        <v>0</v>
      </c>
      <c r="H1366" s="6">
        <f>INT(Query1[[#This Row],[EntryDateTime]])</f>
        <v>44616</v>
      </c>
      <c r="I1366" s="1">
        <f>IF(Query1[[#This Row],[ItemType]]="EVAP KIT SF GEN IV",Query1[[#This Row],[OrderQty]]+I1365,I1365)</f>
        <v>1488</v>
      </c>
      <c r="J1366" s="1">
        <f>IF(Query1[[#This Row],[ItemType]]="EVAP KIT UNIVERSAL",Query1[[#This Row],[OrderQty]]+J1365,J1365)</f>
        <v>688</v>
      </c>
      <c r="K1366" s="1">
        <f>Query1[[#This Row],[SF Running Total]]+Query1[[#This Row],[UNIV Running Total]]</f>
        <v>2176</v>
      </c>
      <c r="L1366">
        <f>VLOOKUP(Query1[[#This Row],[Description]],'kits to boards'!$B$2:$E$156,2,FALSE)</f>
        <v>0</v>
      </c>
      <c r="M1366">
        <f>VLOOKUP(Query1[[#This Row],[Description]],'kits to boards'!$B$2:$E$156,3,FALSE)</f>
        <v>0</v>
      </c>
      <c r="N1366">
        <f>VLOOKUP(Query1[[#This Row],[Description]],'kits to boards'!$B$2:$E$156,4,FALSE)</f>
        <v>0</v>
      </c>
      <c r="O1366" t="str">
        <f>CONCATENATE(Query1[[#This Row],[Description]]," - ",Query1[[#This Row],[MB1]]," - ",Query1[[#This Row],[MB2]]," - ",Query1[[#This Row],[MB3]])</f>
        <v>HERITAGE TURNED EVAP KIT HEAT/COOL - 0 - 0 - 0</v>
      </c>
    </row>
    <row r="1367" spans="1:15" x14ac:dyDescent="0.25">
      <c r="A1367" s="1">
        <v>912534</v>
      </c>
      <c r="B1367" s="1" t="s">
        <v>104</v>
      </c>
      <c r="C1367" s="1" t="s">
        <v>105</v>
      </c>
      <c r="D1367" s="2">
        <v>44616.555756365742</v>
      </c>
      <c r="E1367" s="1" t="s">
        <v>11</v>
      </c>
      <c r="F1367" s="1">
        <v>20</v>
      </c>
      <c r="G1367" s="1">
        <v>0</v>
      </c>
      <c r="H1367" s="6">
        <f>INT(Query1[[#This Row],[EntryDateTime]])</f>
        <v>44616</v>
      </c>
      <c r="I1367" s="1">
        <f>IF(Query1[[#This Row],[ItemType]]="EVAP KIT SF GEN IV",Query1[[#This Row],[OrderQty]]+I1366,I1366)</f>
        <v>1488</v>
      </c>
      <c r="J1367" s="1">
        <f>IF(Query1[[#This Row],[ItemType]]="EVAP KIT UNIVERSAL",Query1[[#This Row],[OrderQty]]+J1366,J1366)</f>
        <v>708</v>
      </c>
      <c r="K1367" s="1">
        <f>Query1[[#This Row],[SF Running Total]]+Query1[[#This Row],[UNIV Running Total]]</f>
        <v>2196</v>
      </c>
      <c r="L1367">
        <f>VLOOKUP(Query1[[#This Row],[Description]],'kits to boards'!$B$2:$E$156,2,FALSE)</f>
        <v>0</v>
      </c>
      <c r="M1367">
        <f>VLOOKUP(Query1[[#This Row],[Description]],'kits to boards'!$B$2:$E$156,3,FALSE)</f>
        <v>0</v>
      </c>
      <c r="N1367">
        <f>VLOOKUP(Query1[[#This Row],[Description]],'kits to boards'!$B$2:$E$156,4,FALSE)</f>
        <v>0</v>
      </c>
      <c r="O1367" t="str">
        <f>CONCATENATE(Query1[[#This Row],[Description]]," - ",Query1[[#This Row],[MB1]]," - ",Query1[[#This Row],[MB2]]," - ",Query1[[#This Row],[MB3]])</f>
        <v>HERITAGE BRUSHED EVAP KIT HEAT/COOL - 0 - 0 - 0</v>
      </c>
    </row>
    <row r="1368" spans="1:15" x14ac:dyDescent="0.25">
      <c r="A1368" s="1">
        <v>912534</v>
      </c>
      <c r="B1368" s="1" t="s">
        <v>24</v>
      </c>
      <c r="C1368" s="1" t="s">
        <v>25</v>
      </c>
      <c r="D1368" s="2">
        <v>44616.556021261575</v>
      </c>
      <c r="E1368" s="1" t="s">
        <v>11</v>
      </c>
      <c r="F1368" s="1">
        <v>6</v>
      </c>
      <c r="G1368" s="1">
        <v>0</v>
      </c>
      <c r="H1368" s="6">
        <f>INT(Query1[[#This Row],[EntryDateTime]])</f>
        <v>44616</v>
      </c>
      <c r="I1368" s="1">
        <f>IF(Query1[[#This Row],[ItemType]]="EVAP KIT SF GEN IV",Query1[[#This Row],[OrderQty]]+I1367,I1367)</f>
        <v>1488</v>
      </c>
      <c r="J1368" s="1">
        <f>IF(Query1[[#This Row],[ItemType]]="EVAP KIT UNIVERSAL",Query1[[#This Row],[OrderQty]]+J1367,J1367)</f>
        <v>714</v>
      </c>
      <c r="K1368" s="1">
        <f>Query1[[#This Row],[SF Running Total]]+Query1[[#This Row],[UNIV Running Total]]</f>
        <v>2202</v>
      </c>
      <c r="L1368">
        <f>VLOOKUP(Query1[[#This Row],[Description]],'kits to boards'!$B$2:$E$156,2,FALSE)</f>
        <v>830029</v>
      </c>
      <c r="M1368">
        <f>VLOOKUP(Query1[[#This Row],[Description]],'kits to boards'!$B$2:$E$156,3,FALSE)</f>
        <v>830030</v>
      </c>
      <c r="N1368">
        <f>VLOOKUP(Query1[[#This Row],[Description]],'kits to boards'!$B$2:$E$156,4,FALSE)</f>
        <v>0</v>
      </c>
      <c r="O1368" t="str">
        <f>CONCATENATE(Query1[[#This Row],[Description]]," - ",Query1[[#This Row],[MB1]]," - ",Query1[[#This Row],[MB2]]," - ",Query1[[#This Row],[MB3]])</f>
        <v>ComPac GEN II W/DEF - 830029 - 830030 - 0</v>
      </c>
    </row>
    <row r="1369" spans="1:15" x14ac:dyDescent="0.25">
      <c r="A1369" s="1">
        <v>912534</v>
      </c>
      <c r="B1369" s="1" t="s">
        <v>20</v>
      </c>
      <c r="C1369" s="1" t="s">
        <v>21</v>
      </c>
      <c r="D1369" s="2">
        <v>44616.556781331019</v>
      </c>
      <c r="E1369" s="1" t="s">
        <v>11</v>
      </c>
      <c r="F1369" s="1">
        <v>5</v>
      </c>
      <c r="G1369" s="1">
        <v>0</v>
      </c>
      <c r="H1369" s="6">
        <f>INT(Query1[[#This Row],[EntryDateTime]])</f>
        <v>44616</v>
      </c>
      <c r="I1369" s="1">
        <f>IF(Query1[[#This Row],[ItemType]]="EVAP KIT SF GEN IV",Query1[[#This Row],[OrderQty]]+I1368,I1368)</f>
        <v>1488</v>
      </c>
      <c r="J1369" s="1">
        <f>IF(Query1[[#This Row],[ItemType]]="EVAP KIT UNIVERSAL",Query1[[#This Row],[OrderQty]]+J1368,J1368)</f>
        <v>719</v>
      </c>
      <c r="K1369" s="1">
        <f>Query1[[#This Row],[SF Running Total]]+Query1[[#This Row],[UNIV Running Total]]</f>
        <v>2207</v>
      </c>
      <c r="L1369">
        <f>VLOOKUP(Query1[[#This Row],[Description]],'kits to boards'!$B$2:$E$156,2,FALSE)</f>
        <v>830102</v>
      </c>
      <c r="M1369">
        <f>VLOOKUP(Query1[[#This Row],[Description]],'kits to boards'!$B$2:$E$156,3,FALSE)</f>
        <v>0</v>
      </c>
      <c r="N1369">
        <f>VLOOKUP(Query1[[#This Row],[Description]],'kits to boards'!$B$2:$E$156,4,FALSE)</f>
        <v>0</v>
      </c>
      <c r="O1369" t="str">
        <f>CONCATENATE(Query1[[#This Row],[Description]]," - ",Query1[[#This Row],[MB1]]," - ",Query1[[#This Row],[MB2]]," - ",Query1[[#This Row],[MB3]])</f>
        <v>SUPER GEN II W/DEF - 830102 - 0 - 0</v>
      </c>
    </row>
    <row r="1370" spans="1:15" x14ac:dyDescent="0.25">
      <c r="A1370" s="1">
        <v>912534</v>
      </c>
      <c r="B1370" s="1" t="s">
        <v>98</v>
      </c>
      <c r="C1370" s="1" t="s">
        <v>99</v>
      </c>
      <c r="D1370" s="2">
        <v>44616.556992280093</v>
      </c>
      <c r="E1370" s="1" t="s">
        <v>11</v>
      </c>
      <c r="F1370" s="1">
        <v>15</v>
      </c>
      <c r="G1370" s="1">
        <v>0</v>
      </c>
      <c r="H1370" s="6">
        <f>INT(Query1[[#This Row],[EntryDateTime]])</f>
        <v>44616</v>
      </c>
      <c r="I1370" s="1">
        <f>IF(Query1[[#This Row],[ItemType]]="EVAP KIT SF GEN IV",Query1[[#This Row],[OrderQty]]+I1369,I1369)</f>
        <v>1488</v>
      </c>
      <c r="J1370" s="1">
        <f>IF(Query1[[#This Row],[ItemType]]="EVAP KIT UNIVERSAL",Query1[[#This Row],[OrderQty]]+J1369,J1369)</f>
        <v>734</v>
      </c>
      <c r="K1370" s="1">
        <f>Query1[[#This Row],[SF Running Total]]+Query1[[#This Row],[UNIV Running Total]]</f>
        <v>2222</v>
      </c>
      <c r="L1370">
        <f>VLOOKUP(Query1[[#This Row],[Description]],'kits to boards'!$B$2:$E$156,2,FALSE)</f>
        <v>830099</v>
      </c>
      <c r="M1370">
        <f>VLOOKUP(Query1[[#This Row],[Description]],'kits to boards'!$B$2:$E$156,3,FALSE)</f>
        <v>0</v>
      </c>
      <c r="N1370">
        <f>VLOOKUP(Query1[[#This Row],[Description]],'kits to boards'!$B$2:$E$156,4,FALSE)</f>
        <v>0</v>
      </c>
      <c r="O1370" t="str">
        <f>CONCATENATE(Query1[[#This Row],[Description]]," - ",Query1[[#This Row],[MB1]]," - ",Query1[[#This Row],[MB2]]," - ",Query1[[#This Row],[MB3]])</f>
        <v>MINI GEN II W/DEF - 830099 - 0 - 0</v>
      </c>
    </row>
    <row r="1371" spans="1:15" x14ac:dyDescent="0.25">
      <c r="A1371" s="1">
        <v>912535</v>
      </c>
      <c r="B1371" s="1" t="s">
        <v>26</v>
      </c>
      <c r="C1371" s="1" t="s">
        <v>27</v>
      </c>
      <c r="D1371" s="2">
        <v>44616.567690011572</v>
      </c>
      <c r="E1371" s="1" t="s">
        <v>8</v>
      </c>
      <c r="F1371" s="1">
        <v>1</v>
      </c>
      <c r="G1371" s="1">
        <v>0</v>
      </c>
      <c r="H1371" s="6">
        <f>INT(Query1[[#This Row],[EntryDateTime]])</f>
        <v>44616</v>
      </c>
      <c r="I1371" s="1">
        <f>IF(Query1[[#This Row],[ItemType]]="EVAP KIT SF GEN IV",Query1[[#This Row],[OrderQty]]+I1370,I1370)</f>
        <v>1489</v>
      </c>
      <c r="J1371" s="1">
        <f>IF(Query1[[#This Row],[ItemType]]="EVAP KIT UNIVERSAL",Query1[[#This Row],[OrderQty]]+J1370,J1370)</f>
        <v>734</v>
      </c>
      <c r="K1371" s="1">
        <f>Query1[[#This Row],[SF Running Total]]+Query1[[#This Row],[UNIV Running Total]]</f>
        <v>2223</v>
      </c>
      <c r="L1371">
        <f>VLOOKUP(Query1[[#This Row],[Description]],'kits to boards'!$B$2:$E$156,2,FALSE)</f>
        <v>830013</v>
      </c>
      <c r="M1371">
        <f>VLOOKUP(Query1[[#This Row],[Description]],'kits to boards'!$B$2:$E$156,3,FALSE)</f>
        <v>0</v>
      </c>
      <c r="N1371">
        <f>VLOOKUP(Query1[[#This Row],[Description]],'kits to boards'!$B$2:$E$156,4,FALSE)</f>
        <v>0</v>
      </c>
      <c r="O1371" t="str">
        <f>CONCATENATE(Query1[[#This Row],[Description]]," - ",Query1[[#This Row],[MB1]]," - ",Query1[[#This Row],[MB2]]," - ",Query1[[#This Row],[MB3]])</f>
        <v>EVAP KIT 67-72 CHEV P-UP W/AC - 830013 - 0 - 0</v>
      </c>
    </row>
    <row r="1372" spans="1:15" x14ac:dyDescent="0.25">
      <c r="A1372" s="1">
        <v>912539</v>
      </c>
      <c r="B1372" s="1" t="s">
        <v>96</v>
      </c>
      <c r="C1372" s="1" t="s">
        <v>97</v>
      </c>
      <c r="D1372" s="2">
        <v>44616.57206431713</v>
      </c>
      <c r="E1372" s="1" t="s">
        <v>8</v>
      </c>
      <c r="F1372" s="1">
        <v>1</v>
      </c>
      <c r="G1372" s="1">
        <v>0</v>
      </c>
      <c r="H1372" s="6">
        <f>INT(Query1[[#This Row],[EntryDateTime]])</f>
        <v>44616</v>
      </c>
      <c r="I1372" s="1">
        <f>IF(Query1[[#This Row],[ItemType]]="EVAP KIT SF GEN IV",Query1[[#This Row],[OrderQty]]+I1371,I1371)</f>
        <v>1490</v>
      </c>
      <c r="J1372" s="1">
        <f>IF(Query1[[#This Row],[ItemType]]="EVAP KIT UNIVERSAL",Query1[[#This Row],[OrderQty]]+J1371,J1371)</f>
        <v>734</v>
      </c>
      <c r="K1372" s="1">
        <f>Query1[[#This Row],[SF Running Total]]+Query1[[#This Row],[UNIV Running Total]]</f>
        <v>2224</v>
      </c>
      <c r="L1372">
        <f>VLOOKUP(Query1[[#This Row],[Description]],'kits to boards'!$B$2:$E$156,2,FALSE)</f>
        <v>830004</v>
      </c>
      <c r="M1372">
        <f>VLOOKUP(Query1[[#This Row],[Description]],'kits to boards'!$B$2:$E$156,3,FALSE)</f>
        <v>0</v>
      </c>
      <c r="N1372">
        <f>VLOOKUP(Query1[[#This Row],[Description]],'kits to boards'!$B$2:$E$156,4,FALSE)</f>
        <v>0</v>
      </c>
      <c r="O1372" t="str">
        <f>CONCATENATE(Query1[[#This Row],[Description]]," - ",Query1[[#This Row],[MB1]]," - ",Query1[[#This Row],[MB2]]," - ",Query1[[#This Row],[MB3]])</f>
        <v>EVAP KIT 81-87 CHEV P-UP W/AC - 830004 - 0 - 0</v>
      </c>
    </row>
    <row r="1373" spans="1:15" x14ac:dyDescent="0.25">
      <c r="A1373" s="1">
        <v>912542</v>
      </c>
      <c r="B1373" s="1" t="s">
        <v>6</v>
      </c>
      <c r="C1373" s="1" t="s">
        <v>7</v>
      </c>
      <c r="D1373" s="2">
        <v>44616.574824340278</v>
      </c>
      <c r="E1373" s="1" t="s">
        <v>8</v>
      </c>
      <c r="F1373" s="1">
        <v>1</v>
      </c>
      <c r="G1373" s="1">
        <v>0</v>
      </c>
      <c r="H1373" s="6">
        <f>INT(Query1[[#This Row],[EntryDateTime]])</f>
        <v>44616</v>
      </c>
      <c r="I1373" s="1">
        <f>IF(Query1[[#This Row],[ItemType]]="EVAP KIT SF GEN IV",Query1[[#This Row],[OrderQty]]+I1372,I1372)</f>
        <v>1491</v>
      </c>
      <c r="J1373" s="1">
        <f>IF(Query1[[#This Row],[ItemType]]="EVAP KIT UNIVERSAL",Query1[[#This Row],[OrderQty]]+J1372,J1372)</f>
        <v>734</v>
      </c>
      <c r="K1373" s="1">
        <f>Query1[[#This Row],[SF Running Total]]+Query1[[#This Row],[UNIV Running Total]]</f>
        <v>2225</v>
      </c>
      <c r="L1373">
        <f>VLOOKUP(Query1[[#This Row],[Description]],'kits to boards'!$B$2:$E$156,2,FALSE)</f>
        <v>830132</v>
      </c>
      <c r="M1373">
        <f>VLOOKUP(Query1[[#This Row],[Description]],'kits to boards'!$B$2:$E$156,3,FALSE)</f>
        <v>0</v>
      </c>
      <c r="N1373">
        <f>VLOOKUP(Query1[[#This Row],[Description]],'kits to boards'!$B$2:$E$156,4,FALSE)</f>
        <v>0</v>
      </c>
      <c r="O1373" t="str">
        <f>CONCATENATE(Query1[[#This Row],[Description]]," - ",Query1[[#This Row],[MB1]]," - ",Query1[[#This Row],[MB2]]," - ",Query1[[#This Row],[MB3]])</f>
        <v>EVAP KIT 82-88 MONTE CARLO/EL CAMINO - 830132 - 0 - 0</v>
      </c>
    </row>
    <row r="1374" spans="1:15" x14ac:dyDescent="0.25">
      <c r="A1374" s="1">
        <v>912178</v>
      </c>
      <c r="B1374" s="1" t="s">
        <v>22</v>
      </c>
      <c r="C1374" s="1" t="s">
        <v>23</v>
      </c>
      <c r="D1374" s="2">
        <v>44616.575081134259</v>
      </c>
      <c r="E1374" s="1" t="s">
        <v>8</v>
      </c>
      <c r="F1374" s="1">
        <v>1</v>
      </c>
      <c r="G1374" s="1">
        <v>0</v>
      </c>
      <c r="H1374" s="6">
        <f>INT(Query1[[#This Row],[EntryDateTime]])</f>
        <v>44616</v>
      </c>
      <c r="I1374" s="1">
        <f>IF(Query1[[#This Row],[ItemType]]="EVAP KIT SF GEN IV",Query1[[#This Row],[OrderQty]]+I1373,I1373)</f>
        <v>1492</v>
      </c>
      <c r="J1374" s="1">
        <f>IF(Query1[[#This Row],[ItemType]]="EVAP KIT UNIVERSAL",Query1[[#This Row],[OrderQty]]+J1373,J1373)</f>
        <v>734</v>
      </c>
      <c r="K1374" s="1">
        <f>Query1[[#This Row],[SF Running Total]]+Query1[[#This Row],[UNIV Running Total]]</f>
        <v>2226</v>
      </c>
      <c r="L1374">
        <f>VLOOKUP(Query1[[#This Row],[Description]],'kits to boards'!$B$2:$E$156,2,FALSE)</f>
        <v>830083</v>
      </c>
      <c r="M1374">
        <f>VLOOKUP(Query1[[#This Row],[Description]],'kits to boards'!$B$2:$E$156,3,FALSE)</f>
        <v>0</v>
      </c>
      <c r="N1374">
        <f>VLOOKUP(Query1[[#This Row],[Description]],'kits to boards'!$B$2:$E$156,4,FALSE)</f>
        <v>0</v>
      </c>
      <c r="O1374" t="str">
        <f>CONCATENATE(Query1[[#This Row],[Description]]," - ",Query1[[#This Row],[MB1]]," - ",Query1[[#This Row],[MB2]]," - ",Query1[[#This Row],[MB3]])</f>
        <v>GEN IV MAGNUM EVAP KIT - 830083 - 0 - 0</v>
      </c>
    </row>
    <row r="1375" spans="1:15" x14ac:dyDescent="0.25">
      <c r="A1375" s="1">
        <v>912545</v>
      </c>
      <c r="B1375" s="1" t="s">
        <v>42</v>
      </c>
      <c r="C1375" s="1" t="s">
        <v>43</v>
      </c>
      <c r="D1375" s="2">
        <v>44616.584799074073</v>
      </c>
      <c r="E1375" s="1" t="s">
        <v>8</v>
      </c>
      <c r="F1375" s="1">
        <v>1</v>
      </c>
      <c r="G1375" s="1">
        <v>0</v>
      </c>
      <c r="H1375" s="6">
        <f>INT(Query1[[#This Row],[EntryDateTime]])</f>
        <v>44616</v>
      </c>
      <c r="I1375" s="1">
        <f>IF(Query1[[#This Row],[ItemType]]="EVAP KIT SF GEN IV",Query1[[#This Row],[OrderQty]]+I1374,I1374)</f>
        <v>1493</v>
      </c>
      <c r="J1375" s="1">
        <f>IF(Query1[[#This Row],[ItemType]]="EVAP KIT UNIVERSAL",Query1[[#This Row],[OrderQty]]+J1374,J1374)</f>
        <v>734</v>
      </c>
      <c r="K1375" s="1">
        <f>Query1[[#This Row],[SF Running Total]]+Query1[[#This Row],[UNIV Running Total]]</f>
        <v>2227</v>
      </c>
      <c r="L1375">
        <f>VLOOKUP(Query1[[#This Row],[Description]],'kits to boards'!$B$2:$E$156,2,FALSE)</f>
        <v>830014</v>
      </c>
      <c r="M1375">
        <f>VLOOKUP(Query1[[#This Row],[Description]],'kits to boards'!$B$2:$E$156,3,FALSE)</f>
        <v>0</v>
      </c>
      <c r="N1375">
        <f>VLOOKUP(Query1[[#This Row],[Description]],'kits to boards'!$B$2:$E$156,4,FALSE)</f>
        <v>0</v>
      </c>
      <c r="O1375" t="str">
        <f>CONCATENATE(Query1[[#This Row],[Description]]," - ",Query1[[#This Row],[MB1]]," - ",Query1[[#This Row],[MB2]]," - ",Query1[[#This Row],[MB3]])</f>
        <v>EVAP KIT 67-72 CHEV P-UP WO AC - 830014 - 0 - 0</v>
      </c>
    </row>
    <row r="1376" spans="1:15" x14ac:dyDescent="0.25">
      <c r="A1376" s="1">
        <v>912425</v>
      </c>
      <c r="B1376" s="1" t="s">
        <v>28</v>
      </c>
      <c r="C1376" s="1" t="s">
        <v>29</v>
      </c>
      <c r="D1376" s="2">
        <v>44616.591002743058</v>
      </c>
      <c r="E1376" s="1" t="s">
        <v>8</v>
      </c>
      <c r="F1376" s="1">
        <v>1</v>
      </c>
      <c r="G1376" s="1">
        <v>0</v>
      </c>
      <c r="H1376" s="6">
        <f>INT(Query1[[#This Row],[EntryDateTime]])</f>
        <v>44616</v>
      </c>
      <c r="I1376" s="1">
        <f>IF(Query1[[#This Row],[ItemType]]="EVAP KIT SF GEN IV",Query1[[#This Row],[OrderQty]]+I1375,I1375)</f>
        <v>1494</v>
      </c>
      <c r="J1376" s="1">
        <f>IF(Query1[[#This Row],[ItemType]]="EVAP KIT UNIVERSAL",Query1[[#This Row],[OrderQty]]+J1375,J1375)</f>
        <v>734</v>
      </c>
      <c r="K1376" s="1">
        <f>Query1[[#This Row],[SF Running Total]]+Query1[[#This Row],[UNIV Running Total]]</f>
        <v>2228</v>
      </c>
      <c r="L1376">
        <f>VLOOKUP(Query1[[#This Row],[Description]],'kits to boards'!$B$2:$E$156,2,FALSE)</f>
        <v>830001</v>
      </c>
      <c r="M1376">
        <f>VLOOKUP(Query1[[#This Row],[Description]],'kits to boards'!$B$2:$E$156,3,FALSE)</f>
        <v>0</v>
      </c>
      <c r="N1376">
        <f>VLOOKUP(Query1[[#This Row],[Description]],'kits to boards'!$B$2:$E$156,4,FALSE)</f>
        <v>0</v>
      </c>
      <c r="O1376" t="str">
        <f>CONCATENATE(Query1[[#This Row],[Description]]," - ",Query1[[#This Row],[MB1]]," - ",Query1[[#This Row],[MB2]]," - ",Query1[[#This Row],[MB3]])</f>
        <v>EVAP KIT 73-80 CHEV P-UP W/AC - 830001 - 0 - 0</v>
      </c>
    </row>
    <row r="1377" spans="1:15" x14ac:dyDescent="0.25">
      <c r="A1377" s="1">
        <v>911539</v>
      </c>
      <c r="B1377" s="1" t="s">
        <v>18</v>
      </c>
      <c r="C1377" s="1" t="s">
        <v>19</v>
      </c>
      <c r="D1377" s="2">
        <v>44616.591302430556</v>
      </c>
      <c r="E1377" s="1" t="s">
        <v>8</v>
      </c>
      <c r="F1377" s="1">
        <v>1</v>
      </c>
      <c r="G1377" s="1">
        <v>0</v>
      </c>
      <c r="H1377" s="6">
        <f>INT(Query1[[#This Row],[EntryDateTime]])</f>
        <v>44616</v>
      </c>
      <c r="I1377" s="1">
        <f>IF(Query1[[#This Row],[ItemType]]="EVAP KIT SF GEN IV",Query1[[#This Row],[OrderQty]]+I1376,I1376)</f>
        <v>1495</v>
      </c>
      <c r="J1377" s="1">
        <f>IF(Query1[[#This Row],[ItemType]]="EVAP KIT UNIVERSAL",Query1[[#This Row],[OrderQty]]+J1376,J1376)</f>
        <v>734</v>
      </c>
      <c r="K1377" s="1">
        <f>Query1[[#This Row],[SF Running Total]]+Query1[[#This Row],[UNIV Running Total]]</f>
        <v>2229</v>
      </c>
      <c r="L1377">
        <f>VLOOKUP(Query1[[#This Row],[Description]],'kits to boards'!$B$2:$E$156,2,FALSE)</f>
        <v>830051</v>
      </c>
      <c r="M1377">
        <f>VLOOKUP(Query1[[#This Row],[Description]],'kits to boards'!$B$2:$E$156,3,FALSE)</f>
        <v>0</v>
      </c>
      <c r="N1377">
        <f>VLOOKUP(Query1[[#This Row],[Description]],'kits to boards'!$B$2:$E$156,4,FALSE)</f>
        <v>0</v>
      </c>
      <c r="O1377" t="str">
        <f>CONCATENATE(Query1[[#This Row],[Description]]," - ",Query1[[#This Row],[MB1]]," - ",Query1[[#This Row],[MB2]]," - ",Query1[[#This Row],[MB3]])</f>
        <v>EVAP KIT 70-78 CAMARO W/AC - 830051 - 0 - 0</v>
      </c>
    </row>
    <row r="1378" spans="1:15" x14ac:dyDescent="0.25">
      <c r="A1378" s="1">
        <v>911963</v>
      </c>
      <c r="B1378" s="1" t="s">
        <v>92</v>
      </c>
      <c r="C1378" s="1" t="s">
        <v>93</v>
      </c>
      <c r="D1378" s="2">
        <v>44616.592630358798</v>
      </c>
      <c r="E1378" s="1" t="s">
        <v>8</v>
      </c>
      <c r="F1378" s="1">
        <v>1</v>
      </c>
      <c r="G1378" s="1">
        <v>0</v>
      </c>
      <c r="H1378" s="6">
        <f>INT(Query1[[#This Row],[EntryDateTime]])</f>
        <v>44616</v>
      </c>
      <c r="I1378" s="1">
        <f>IF(Query1[[#This Row],[ItemType]]="EVAP KIT SF GEN IV",Query1[[#This Row],[OrderQty]]+I1377,I1377)</f>
        <v>1496</v>
      </c>
      <c r="J1378" s="1">
        <f>IF(Query1[[#This Row],[ItemType]]="EVAP KIT UNIVERSAL",Query1[[#This Row],[OrderQty]]+J1377,J1377)</f>
        <v>734</v>
      </c>
      <c r="K1378" s="1">
        <f>Query1[[#This Row],[SF Running Total]]+Query1[[#This Row],[UNIV Running Total]]</f>
        <v>2230</v>
      </c>
      <c r="L1378">
        <f>VLOOKUP(Query1[[#This Row],[Description]],'kits to boards'!$B$2:$E$156,2,FALSE)</f>
        <v>830063</v>
      </c>
      <c r="M1378">
        <f>VLOOKUP(Query1[[#This Row],[Description]],'kits to boards'!$B$2:$E$156,3,FALSE)</f>
        <v>0</v>
      </c>
      <c r="N1378">
        <f>VLOOKUP(Query1[[#This Row],[Description]],'kits to boards'!$B$2:$E$156,4,FALSE)</f>
        <v>0</v>
      </c>
      <c r="O1378" t="str">
        <f>CONCATENATE(Query1[[#This Row],[Description]]," - ",Query1[[#This Row],[MB1]]," - ",Query1[[#This Row],[MB2]]," - ",Query1[[#This Row],[MB3]])</f>
        <v>EVAP KIT 50-53 CHEV P-UP GEN IV - 830063 - 0 - 0</v>
      </c>
    </row>
    <row r="1379" spans="1:15" x14ac:dyDescent="0.25">
      <c r="A1379" s="1">
        <v>912558</v>
      </c>
      <c r="B1379" s="1" t="s">
        <v>60</v>
      </c>
      <c r="C1379" s="1" t="s">
        <v>61</v>
      </c>
      <c r="D1379" s="2">
        <v>44616.593289351855</v>
      </c>
      <c r="E1379" s="1" t="s">
        <v>8</v>
      </c>
      <c r="F1379" s="1">
        <v>1</v>
      </c>
      <c r="G1379" s="1">
        <v>0</v>
      </c>
      <c r="H1379" s="6">
        <f>INT(Query1[[#This Row],[EntryDateTime]])</f>
        <v>44616</v>
      </c>
      <c r="I1379" s="1">
        <f>IF(Query1[[#This Row],[ItemType]]="EVAP KIT SF GEN IV",Query1[[#This Row],[OrderQty]]+I1378,I1378)</f>
        <v>1497</v>
      </c>
      <c r="J1379" s="1">
        <f>IF(Query1[[#This Row],[ItemType]]="EVAP KIT UNIVERSAL",Query1[[#This Row],[OrderQty]]+J1378,J1378)</f>
        <v>734</v>
      </c>
      <c r="K1379" s="1">
        <f>Query1[[#This Row],[SF Running Total]]+Query1[[#This Row],[UNIV Running Total]]</f>
        <v>2231</v>
      </c>
      <c r="L1379">
        <f>VLOOKUP(Query1[[#This Row],[Description]],'kits to boards'!$B$2:$E$156,2,FALSE)</f>
        <v>830062</v>
      </c>
      <c r="M1379">
        <f>VLOOKUP(Query1[[#This Row],[Description]],'kits to boards'!$B$2:$E$156,3,FALSE)</f>
        <v>0</v>
      </c>
      <c r="N1379">
        <f>VLOOKUP(Query1[[#This Row],[Description]],'kits to boards'!$B$2:$E$156,4,FALSE)</f>
        <v>0</v>
      </c>
      <c r="O1379" t="str">
        <f>CONCATENATE(Query1[[#This Row],[Description]]," - ",Query1[[#This Row],[MB1]]," - ",Query1[[#This Row],[MB2]]," - ",Query1[[#This Row],[MB3]])</f>
        <v>EVAP KIT 68-69 CHEVELLE WO AC - 830062 - 0 - 0</v>
      </c>
    </row>
    <row r="1380" spans="1:15" x14ac:dyDescent="0.25">
      <c r="A1380" s="1">
        <v>912481</v>
      </c>
      <c r="B1380" s="1" t="s">
        <v>24</v>
      </c>
      <c r="C1380" s="1" t="s">
        <v>25</v>
      </c>
      <c r="D1380" s="2">
        <v>44616.605069675927</v>
      </c>
      <c r="E1380" s="1" t="s">
        <v>11</v>
      </c>
      <c r="F1380" s="1">
        <v>1</v>
      </c>
      <c r="G1380" s="1">
        <v>0</v>
      </c>
      <c r="H1380" s="6">
        <f>INT(Query1[[#This Row],[EntryDateTime]])</f>
        <v>44616</v>
      </c>
      <c r="I1380" s="1">
        <f>IF(Query1[[#This Row],[ItemType]]="EVAP KIT SF GEN IV",Query1[[#This Row],[OrderQty]]+I1379,I1379)</f>
        <v>1497</v>
      </c>
      <c r="J1380" s="1">
        <f>IF(Query1[[#This Row],[ItemType]]="EVAP KIT UNIVERSAL",Query1[[#This Row],[OrderQty]]+J1379,J1379)</f>
        <v>735</v>
      </c>
      <c r="K1380" s="1">
        <f>Query1[[#This Row],[SF Running Total]]+Query1[[#This Row],[UNIV Running Total]]</f>
        <v>2232</v>
      </c>
      <c r="L1380">
        <f>VLOOKUP(Query1[[#This Row],[Description]],'kits to boards'!$B$2:$E$156,2,FALSE)</f>
        <v>830029</v>
      </c>
      <c r="M1380">
        <f>VLOOKUP(Query1[[#This Row],[Description]],'kits to boards'!$B$2:$E$156,3,FALSE)</f>
        <v>830030</v>
      </c>
      <c r="N1380">
        <f>VLOOKUP(Query1[[#This Row],[Description]],'kits to boards'!$B$2:$E$156,4,FALSE)</f>
        <v>0</v>
      </c>
      <c r="O1380" t="str">
        <f>CONCATENATE(Query1[[#This Row],[Description]]," - ",Query1[[#This Row],[MB1]]," - ",Query1[[#This Row],[MB2]]," - ",Query1[[#This Row],[MB3]])</f>
        <v>ComPac GEN II W/DEF - 830029 - 830030 - 0</v>
      </c>
    </row>
    <row r="1381" spans="1:15" x14ac:dyDescent="0.25">
      <c r="A1381" s="1">
        <v>912025</v>
      </c>
      <c r="B1381" s="1" t="s">
        <v>32</v>
      </c>
      <c r="C1381" s="1" t="s">
        <v>33</v>
      </c>
      <c r="D1381" s="2">
        <v>44616.609094942127</v>
      </c>
      <c r="E1381" s="1" t="s">
        <v>8</v>
      </c>
      <c r="F1381" s="1">
        <v>1</v>
      </c>
      <c r="G1381" s="1">
        <v>0</v>
      </c>
      <c r="H1381" s="6">
        <f>INT(Query1[[#This Row],[EntryDateTime]])</f>
        <v>44616</v>
      </c>
      <c r="I1381" s="1">
        <f>IF(Query1[[#This Row],[ItemType]]="EVAP KIT SF GEN IV",Query1[[#This Row],[OrderQty]]+I1380,I1380)</f>
        <v>1498</v>
      </c>
      <c r="J1381" s="1">
        <f>IF(Query1[[#This Row],[ItemType]]="EVAP KIT UNIVERSAL",Query1[[#This Row],[OrderQty]]+J1380,J1380)</f>
        <v>735</v>
      </c>
      <c r="K1381" s="1">
        <f>Query1[[#This Row],[SF Running Total]]+Query1[[#This Row],[UNIV Running Total]]</f>
        <v>2233</v>
      </c>
      <c r="L1381">
        <f>VLOOKUP(Query1[[#This Row],[Description]],'kits to boards'!$B$2:$E$156,2,FALSE)</f>
        <v>830016</v>
      </c>
      <c r="M1381">
        <f>VLOOKUP(Query1[[#This Row],[Description]],'kits to boards'!$B$2:$E$156,3,FALSE)</f>
        <v>0</v>
      </c>
      <c r="N1381">
        <f>VLOOKUP(Query1[[#This Row],[Description]],'kits to boards'!$B$2:$E$156,4,FALSE)</f>
        <v>0</v>
      </c>
      <c r="O1381" t="str">
        <f>CONCATENATE(Query1[[#This Row],[Description]]," - ",Query1[[#This Row],[MB1]]," - ",Query1[[#This Row],[MB2]]," - ",Query1[[#This Row],[MB3]])</f>
        <v>EVAP KIT 67-68 CAMARO/FIREBIRD W/AC - 830016 - 0 - 0</v>
      </c>
    </row>
    <row r="1382" spans="1:15" x14ac:dyDescent="0.25">
      <c r="A1382" s="1">
        <v>912564</v>
      </c>
      <c r="B1382" s="1" t="s">
        <v>52</v>
      </c>
      <c r="C1382" s="1" t="s">
        <v>53</v>
      </c>
      <c r="D1382" s="2">
        <v>44616.609800925929</v>
      </c>
      <c r="E1382" s="1" t="s">
        <v>8</v>
      </c>
      <c r="F1382" s="1">
        <v>1</v>
      </c>
      <c r="G1382" s="1">
        <v>0</v>
      </c>
      <c r="H1382" s="6">
        <f>INT(Query1[[#This Row],[EntryDateTime]])</f>
        <v>44616</v>
      </c>
      <c r="I1382" s="1">
        <f>IF(Query1[[#This Row],[ItemType]]="EVAP KIT SF GEN IV",Query1[[#This Row],[OrderQty]]+I1381,I1381)</f>
        <v>1499</v>
      </c>
      <c r="J1382" s="1">
        <f>IF(Query1[[#This Row],[ItemType]]="EVAP KIT UNIVERSAL",Query1[[#This Row],[OrderQty]]+J1381,J1381)</f>
        <v>735</v>
      </c>
      <c r="K1382" s="1">
        <f>Query1[[#This Row],[SF Running Total]]+Query1[[#This Row],[UNIV Running Total]]</f>
        <v>2234</v>
      </c>
      <c r="L1382">
        <f>VLOOKUP(Query1[[#This Row],[Description]],'kits to boards'!$B$2:$E$156,2,FALSE)</f>
        <v>830017</v>
      </c>
      <c r="M1382">
        <f>VLOOKUP(Query1[[#This Row],[Description]],'kits to boards'!$B$2:$E$156,3,FALSE)</f>
        <v>830119</v>
      </c>
      <c r="N1382">
        <f>VLOOKUP(Query1[[#This Row],[Description]],'kits to boards'!$B$2:$E$156,4,FALSE)</f>
        <v>830120</v>
      </c>
      <c r="O1382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1383" spans="1:15" x14ac:dyDescent="0.25">
      <c r="A1383" s="1">
        <v>912566</v>
      </c>
      <c r="B1383" s="1" t="s">
        <v>22</v>
      </c>
      <c r="C1383" s="1" t="s">
        <v>23</v>
      </c>
      <c r="D1383" s="2">
        <v>44616.612715162039</v>
      </c>
      <c r="E1383" s="1" t="s">
        <v>8</v>
      </c>
      <c r="F1383" s="1">
        <v>7</v>
      </c>
      <c r="G1383" s="1">
        <v>0</v>
      </c>
      <c r="H1383" s="6">
        <f>INT(Query1[[#This Row],[EntryDateTime]])</f>
        <v>44616</v>
      </c>
      <c r="I1383" s="1">
        <f>IF(Query1[[#This Row],[ItemType]]="EVAP KIT SF GEN IV",Query1[[#This Row],[OrderQty]]+I1382,I1382)</f>
        <v>1506</v>
      </c>
      <c r="J1383" s="1">
        <f>IF(Query1[[#This Row],[ItemType]]="EVAP KIT UNIVERSAL",Query1[[#This Row],[OrderQty]]+J1382,J1382)</f>
        <v>735</v>
      </c>
      <c r="K1383" s="1">
        <f>Query1[[#This Row],[SF Running Total]]+Query1[[#This Row],[UNIV Running Total]]</f>
        <v>2241</v>
      </c>
      <c r="L1383">
        <f>VLOOKUP(Query1[[#This Row],[Description]],'kits to boards'!$B$2:$E$156,2,FALSE)</f>
        <v>830083</v>
      </c>
      <c r="M1383">
        <f>VLOOKUP(Query1[[#This Row],[Description]],'kits to boards'!$B$2:$E$156,3,FALSE)</f>
        <v>0</v>
      </c>
      <c r="N1383">
        <f>VLOOKUP(Query1[[#This Row],[Description]],'kits to boards'!$B$2:$E$156,4,FALSE)</f>
        <v>0</v>
      </c>
      <c r="O1383" t="str">
        <f>CONCATENATE(Query1[[#This Row],[Description]]," - ",Query1[[#This Row],[MB1]]," - ",Query1[[#This Row],[MB2]]," - ",Query1[[#This Row],[MB3]])</f>
        <v>GEN IV MAGNUM EVAP KIT - 830083 - 0 - 0</v>
      </c>
    </row>
    <row r="1384" spans="1:15" x14ac:dyDescent="0.25">
      <c r="A1384" s="1">
        <v>912566</v>
      </c>
      <c r="B1384" s="1" t="s">
        <v>26</v>
      </c>
      <c r="C1384" s="1" t="s">
        <v>27</v>
      </c>
      <c r="D1384" s="2">
        <v>44616.612897303239</v>
      </c>
      <c r="E1384" s="1" t="s">
        <v>8</v>
      </c>
      <c r="F1384" s="1">
        <v>2</v>
      </c>
      <c r="G1384" s="1">
        <v>0</v>
      </c>
      <c r="H1384" s="6">
        <f>INT(Query1[[#This Row],[EntryDateTime]])</f>
        <v>44616</v>
      </c>
      <c r="I1384" s="1">
        <f>IF(Query1[[#This Row],[ItemType]]="EVAP KIT SF GEN IV",Query1[[#This Row],[OrderQty]]+I1383,I1383)</f>
        <v>1508</v>
      </c>
      <c r="J1384" s="1">
        <f>IF(Query1[[#This Row],[ItemType]]="EVAP KIT UNIVERSAL",Query1[[#This Row],[OrderQty]]+J1383,J1383)</f>
        <v>735</v>
      </c>
      <c r="K1384" s="1">
        <f>Query1[[#This Row],[SF Running Total]]+Query1[[#This Row],[UNIV Running Total]]</f>
        <v>2243</v>
      </c>
      <c r="L1384">
        <f>VLOOKUP(Query1[[#This Row],[Description]],'kits to boards'!$B$2:$E$156,2,FALSE)</f>
        <v>830013</v>
      </c>
      <c r="M1384">
        <f>VLOOKUP(Query1[[#This Row],[Description]],'kits to boards'!$B$2:$E$156,3,FALSE)</f>
        <v>0</v>
      </c>
      <c r="N1384">
        <f>VLOOKUP(Query1[[#This Row],[Description]],'kits to boards'!$B$2:$E$156,4,FALSE)</f>
        <v>0</v>
      </c>
      <c r="O1384" t="str">
        <f>CONCATENATE(Query1[[#This Row],[Description]]," - ",Query1[[#This Row],[MB1]]," - ",Query1[[#This Row],[MB2]]," - ",Query1[[#This Row],[MB3]])</f>
        <v>EVAP KIT 67-72 CHEV P-UP W/AC - 830013 - 0 - 0</v>
      </c>
    </row>
    <row r="1385" spans="1:15" x14ac:dyDescent="0.25">
      <c r="A1385" s="1">
        <v>912367</v>
      </c>
      <c r="B1385" s="1" t="s">
        <v>96</v>
      </c>
      <c r="C1385" s="1" t="s">
        <v>97</v>
      </c>
      <c r="D1385" s="2">
        <v>44616.622166053239</v>
      </c>
      <c r="E1385" s="1" t="s">
        <v>8</v>
      </c>
      <c r="F1385" s="1">
        <v>1</v>
      </c>
      <c r="G1385" s="1">
        <v>0</v>
      </c>
      <c r="H1385" s="6">
        <f>INT(Query1[[#This Row],[EntryDateTime]])</f>
        <v>44616</v>
      </c>
      <c r="I1385" s="1">
        <f>IF(Query1[[#This Row],[ItemType]]="EVAP KIT SF GEN IV",Query1[[#This Row],[OrderQty]]+I1384,I1384)</f>
        <v>1509</v>
      </c>
      <c r="J1385" s="1">
        <f>IF(Query1[[#This Row],[ItemType]]="EVAP KIT UNIVERSAL",Query1[[#This Row],[OrderQty]]+J1384,J1384)</f>
        <v>735</v>
      </c>
      <c r="K1385" s="1">
        <f>Query1[[#This Row],[SF Running Total]]+Query1[[#This Row],[UNIV Running Total]]</f>
        <v>2244</v>
      </c>
      <c r="L1385">
        <f>VLOOKUP(Query1[[#This Row],[Description]],'kits to boards'!$B$2:$E$156,2,FALSE)</f>
        <v>830004</v>
      </c>
      <c r="M1385">
        <f>VLOOKUP(Query1[[#This Row],[Description]],'kits to boards'!$B$2:$E$156,3,FALSE)</f>
        <v>0</v>
      </c>
      <c r="N1385">
        <f>VLOOKUP(Query1[[#This Row],[Description]],'kits to boards'!$B$2:$E$156,4,FALSE)</f>
        <v>0</v>
      </c>
      <c r="O1385" t="str">
        <f>CONCATENATE(Query1[[#This Row],[Description]]," - ",Query1[[#This Row],[MB1]]," - ",Query1[[#This Row],[MB2]]," - ",Query1[[#This Row],[MB3]])</f>
        <v>EVAP KIT 81-87 CHEV P-UP W/AC - 830004 - 0 - 0</v>
      </c>
    </row>
    <row r="1386" spans="1:15" x14ac:dyDescent="0.25">
      <c r="A1386" s="1">
        <v>912571</v>
      </c>
      <c r="B1386" s="1" t="s">
        <v>46</v>
      </c>
      <c r="C1386" s="1" t="s">
        <v>47</v>
      </c>
      <c r="D1386" s="2">
        <v>44616.623486956021</v>
      </c>
      <c r="E1386" s="1" t="s">
        <v>8</v>
      </c>
      <c r="F1386" s="1">
        <v>1</v>
      </c>
      <c r="G1386" s="1">
        <v>0</v>
      </c>
      <c r="H1386" s="6">
        <f>INT(Query1[[#This Row],[EntryDateTime]])</f>
        <v>44616</v>
      </c>
      <c r="I1386" s="1">
        <f>IF(Query1[[#This Row],[ItemType]]="EVAP KIT SF GEN IV",Query1[[#This Row],[OrderQty]]+I1385,I1385)</f>
        <v>1510</v>
      </c>
      <c r="J1386" s="1">
        <f>IF(Query1[[#This Row],[ItemType]]="EVAP KIT UNIVERSAL",Query1[[#This Row],[OrderQty]]+J1385,J1385)</f>
        <v>735</v>
      </c>
      <c r="K1386" s="1">
        <f>Query1[[#This Row],[SF Running Total]]+Query1[[#This Row],[UNIV Running Total]]</f>
        <v>2245</v>
      </c>
      <c r="L1386">
        <f>VLOOKUP(Query1[[#This Row],[Description]],'kits to boards'!$B$2:$E$156,2,FALSE)</f>
        <v>830018</v>
      </c>
      <c r="M1386">
        <f>VLOOKUP(Query1[[#This Row],[Description]],'kits to boards'!$B$2:$E$156,3,FALSE)</f>
        <v>0</v>
      </c>
      <c r="N1386">
        <f>VLOOKUP(Query1[[#This Row],[Description]],'kits to boards'!$B$2:$E$156,4,FALSE)</f>
        <v>0</v>
      </c>
      <c r="O1386" t="str">
        <f>CONCATENATE(Query1[[#This Row],[Description]]," - ",Query1[[#This Row],[MB1]]," - ",Query1[[#This Row],[MB2]]," - ",Query1[[#This Row],[MB3]])</f>
        <v>EVAP KIT 68-72 FORD P-UP F-100 - 830018 - 0 - 0</v>
      </c>
    </row>
    <row r="1387" spans="1:15" x14ac:dyDescent="0.25">
      <c r="A1387" s="1">
        <v>912573</v>
      </c>
      <c r="B1387" s="1" t="s">
        <v>26</v>
      </c>
      <c r="C1387" s="1" t="s">
        <v>27</v>
      </c>
      <c r="D1387" s="2">
        <v>44616.626497650461</v>
      </c>
      <c r="E1387" s="1" t="s">
        <v>8</v>
      </c>
      <c r="F1387" s="1">
        <v>1</v>
      </c>
      <c r="G1387" s="1">
        <v>0</v>
      </c>
      <c r="H1387" s="6">
        <f>INT(Query1[[#This Row],[EntryDateTime]])</f>
        <v>44616</v>
      </c>
      <c r="I1387" s="1">
        <f>IF(Query1[[#This Row],[ItemType]]="EVAP KIT SF GEN IV",Query1[[#This Row],[OrderQty]]+I1386,I1386)</f>
        <v>1511</v>
      </c>
      <c r="J1387" s="1">
        <f>IF(Query1[[#This Row],[ItemType]]="EVAP KIT UNIVERSAL",Query1[[#This Row],[OrderQty]]+J1386,J1386)</f>
        <v>735</v>
      </c>
      <c r="K1387" s="1">
        <f>Query1[[#This Row],[SF Running Total]]+Query1[[#This Row],[UNIV Running Total]]</f>
        <v>2246</v>
      </c>
      <c r="L1387">
        <f>VLOOKUP(Query1[[#This Row],[Description]],'kits to boards'!$B$2:$E$156,2,FALSE)</f>
        <v>830013</v>
      </c>
      <c r="M1387">
        <f>VLOOKUP(Query1[[#This Row],[Description]],'kits to boards'!$B$2:$E$156,3,FALSE)</f>
        <v>0</v>
      </c>
      <c r="N1387">
        <f>VLOOKUP(Query1[[#This Row],[Description]],'kits to boards'!$B$2:$E$156,4,FALSE)</f>
        <v>0</v>
      </c>
      <c r="O1387" t="str">
        <f>CONCATENATE(Query1[[#This Row],[Description]]," - ",Query1[[#This Row],[MB1]]," - ",Query1[[#This Row],[MB2]]," - ",Query1[[#This Row],[MB3]])</f>
        <v>EVAP KIT 67-72 CHEV P-UP W/AC - 830013 - 0 - 0</v>
      </c>
    </row>
    <row r="1388" spans="1:15" x14ac:dyDescent="0.25">
      <c r="A1388" s="1">
        <v>912574</v>
      </c>
      <c r="B1388" s="1" t="s">
        <v>94</v>
      </c>
      <c r="C1388" s="1" t="s">
        <v>95</v>
      </c>
      <c r="D1388" s="2">
        <v>44616.628525659726</v>
      </c>
      <c r="E1388" s="1" t="s">
        <v>8</v>
      </c>
      <c r="F1388" s="1">
        <v>1</v>
      </c>
      <c r="G1388" s="1">
        <v>0</v>
      </c>
      <c r="H1388" s="6">
        <f>INT(Query1[[#This Row],[EntryDateTime]])</f>
        <v>44616</v>
      </c>
      <c r="I1388" s="1">
        <f>IF(Query1[[#This Row],[ItemType]]="EVAP KIT SF GEN IV",Query1[[#This Row],[OrderQty]]+I1387,I1387)</f>
        <v>1512</v>
      </c>
      <c r="J1388" s="1">
        <f>IF(Query1[[#This Row],[ItemType]]="EVAP KIT UNIVERSAL",Query1[[#This Row],[OrderQty]]+J1387,J1387)</f>
        <v>735</v>
      </c>
      <c r="K1388" s="1">
        <f>Query1[[#This Row],[SF Running Total]]+Query1[[#This Row],[UNIV Running Total]]</f>
        <v>2247</v>
      </c>
      <c r="L1388">
        <f>VLOOKUP(Query1[[#This Row],[Description]],'kits to boards'!$B$2:$E$156,2,FALSE)</f>
        <v>830076</v>
      </c>
      <c r="M1388">
        <f>VLOOKUP(Query1[[#This Row],[Description]],'kits to boards'!$B$2:$E$156,3,FALSE)</f>
        <v>0</v>
      </c>
      <c r="N1388">
        <f>VLOOKUP(Query1[[#This Row],[Description]],'kits to boards'!$B$2:$E$156,4,FALSE)</f>
        <v>0</v>
      </c>
      <c r="O1388" t="str">
        <f>CONCATENATE(Query1[[#This Row],[Description]]," - ",Query1[[#This Row],[MB1]]," - ",Query1[[#This Row],[MB2]]," - ",Query1[[#This Row],[MB3]])</f>
        <v>EVAP KIT 64 1/2- 66 MUSTANG  - 830076 - 0 - 0</v>
      </c>
    </row>
    <row r="1389" spans="1:15" x14ac:dyDescent="0.25">
      <c r="A1389" s="1">
        <v>912575</v>
      </c>
      <c r="B1389" s="1" t="s">
        <v>160</v>
      </c>
      <c r="C1389" s="1" t="s">
        <v>161</v>
      </c>
      <c r="D1389" s="2">
        <v>44616.628797685182</v>
      </c>
      <c r="E1389" s="1" t="s">
        <v>8</v>
      </c>
      <c r="F1389" s="1">
        <v>1</v>
      </c>
      <c r="G1389" s="1">
        <v>0</v>
      </c>
      <c r="H1389" s="6">
        <f>INT(Query1[[#This Row],[EntryDateTime]])</f>
        <v>44616</v>
      </c>
      <c r="I1389" s="1">
        <f>IF(Query1[[#This Row],[ItemType]]="EVAP KIT SF GEN IV",Query1[[#This Row],[OrderQty]]+I1388,I1388)</f>
        <v>1513</v>
      </c>
      <c r="J1389" s="1">
        <f>IF(Query1[[#This Row],[ItemType]]="EVAP KIT UNIVERSAL",Query1[[#This Row],[OrderQty]]+J1388,J1388)</f>
        <v>735</v>
      </c>
      <c r="K1389" s="1">
        <f>Query1[[#This Row],[SF Running Total]]+Query1[[#This Row],[UNIV Running Total]]</f>
        <v>2248</v>
      </c>
      <c r="L1389">
        <f>VLOOKUP(Query1[[#This Row],[Description]],'kits to boards'!$B$2:$E$156,2,FALSE)</f>
        <v>830083</v>
      </c>
      <c r="M1389">
        <f>VLOOKUP(Query1[[#This Row],[Description]],'kits to boards'!$B$2:$E$156,3,FALSE)</f>
        <v>0</v>
      </c>
      <c r="N1389">
        <f>VLOOKUP(Query1[[#This Row],[Description]],'kits to boards'!$B$2:$E$156,4,FALSE)</f>
        <v>0</v>
      </c>
      <c r="O1389" t="str">
        <f>CONCATENATE(Query1[[#This Row],[Description]]," - ",Query1[[#This Row],[MB1]]," - ",Query1[[#This Row],[MB2]]," - ",Query1[[#This Row],[MB3]])</f>
        <v>EVAP KIT 70-74 CHALNGR/CUDA WO AC - 830083 - 0 - 0</v>
      </c>
    </row>
    <row r="1390" spans="1:15" x14ac:dyDescent="0.25">
      <c r="A1390" s="1">
        <v>912579</v>
      </c>
      <c r="B1390" s="1" t="s">
        <v>52</v>
      </c>
      <c r="C1390" s="1" t="s">
        <v>53</v>
      </c>
      <c r="D1390" s="2">
        <v>44616.63740644676</v>
      </c>
      <c r="E1390" s="1" t="s">
        <v>8</v>
      </c>
      <c r="F1390" s="1">
        <v>1</v>
      </c>
      <c r="G1390" s="1">
        <v>0</v>
      </c>
      <c r="H1390" s="6">
        <f>INT(Query1[[#This Row],[EntryDateTime]])</f>
        <v>44616</v>
      </c>
      <c r="I1390" s="1">
        <f>IF(Query1[[#This Row],[ItemType]]="EVAP KIT SF GEN IV",Query1[[#This Row],[OrderQty]]+I1389,I1389)</f>
        <v>1514</v>
      </c>
      <c r="J1390" s="1">
        <f>IF(Query1[[#This Row],[ItemType]]="EVAP KIT UNIVERSAL",Query1[[#This Row],[OrderQty]]+J1389,J1389)</f>
        <v>735</v>
      </c>
      <c r="K1390" s="1">
        <f>Query1[[#This Row],[SF Running Total]]+Query1[[#This Row],[UNIV Running Total]]</f>
        <v>2249</v>
      </c>
      <c r="L1390">
        <f>VLOOKUP(Query1[[#This Row],[Description]],'kits to boards'!$B$2:$E$156,2,FALSE)</f>
        <v>830017</v>
      </c>
      <c r="M1390">
        <f>VLOOKUP(Query1[[#This Row],[Description]],'kits to boards'!$B$2:$E$156,3,FALSE)</f>
        <v>830119</v>
      </c>
      <c r="N1390">
        <f>VLOOKUP(Query1[[#This Row],[Description]],'kits to boards'!$B$2:$E$156,4,FALSE)</f>
        <v>830120</v>
      </c>
      <c r="O1390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1391" spans="1:15" x14ac:dyDescent="0.25">
      <c r="A1391" s="1">
        <v>912183</v>
      </c>
      <c r="B1391" s="1" t="s">
        <v>94</v>
      </c>
      <c r="C1391" s="1" t="s">
        <v>95</v>
      </c>
      <c r="D1391" s="2">
        <v>44616.642855983795</v>
      </c>
      <c r="E1391" s="1" t="s">
        <v>8</v>
      </c>
      <c r="F1391" s="1">
        <v>1</v>
      </c>
      <c r="G1391" s="1">
        <v>0</v>
      </c>
      <c r="H1391" s="6">
        <f>INT(Query1[[#This Row],[EntryDateTime]])</f>
        <v>44616</v>
      </c>
      <c r="I1391" s="1">
        <f>IF(Query1[[#This Row],[ItemType]]="EVAP KIT SF GEN IV",Query1[[#This Row],[OrderQty]]+I1390,I1390)</f>
        <v>1515</v>
      </c>
      <c r="J1391" s="1">
        <f>IF(Query1[[#This Row],[ItemType]]="EVAP KIT UNIVERSAL",Query1[[#This Row],[OrderQty]]+J1390,J1390)</f>
        <v>735</v>
      </c>
      <c r="K1391" s="1">
        <f>Query1[[#This Row],[SF Running Total]]+Query1[[#This Row],[UNIV Running Total]]</f>
        <v>2250</v>
      </c>
      <c r="L1391">
        <f>VLOOKUP(Query1[[#This Row],[Description]],'kits to boards'!$B$2:$E$156,2,FALSE)</f>
        <v>830076</v>
      </c>
      <c r="M1391">
        <f>VLOOKUP(Query1[[#This Row],[Description]],'kits to boards'!$B$2:$E$156,3,FALSE)</f>
        <v>0</v>
      </c>
      <c r="N1391">
        <f>VLOOKUP(Query1[[#This Row],[Description]],'kits to boards'!$B$2:$E$156,4,FALSE)</f>
        <v>0</v>
      </c>
      <c r="O1391" t="str">
        <f>CONCATENATE(Query1[[#This Row],[Description]]," - ",Query1[[#This Row],[MB1]]," - ",Query1[[#This Row],[MB2]]," - ",Query1[[#This Row],[MB3]])</f>
        <v>EVAP KIT 64 1/2- 66 MUSTANG  - 830076 - 0 - 0</v>
      </c>
    </row>
    <row r="1392" spans="1:15" x14ac:dyDescent="0.25">
      <c r="A1392" s="1">
        <v>912134</v>
      </c>
      <c r="B1392" s="1" t="s">
        <v>192</v>
      </c>
      <c r="C1392" s="1" t="s">
        <v>193</v>
      </c>
      <c r="D1392" s="2">
        <v>44616.64615104167</v>
      </c>
      <c r="E1392" s="1" t="s">
        <v>8</v>
      </c>
      <c r="F1392" s="1">
        <v>1</v>
      </c>
      <c r="G1392" s="1">
        <v>0</v>
      </c>
      <c r="H1392" s="6">
        <f>INT(Query1[[#This Row],[EntryDateTime]])</f>
        <v>44616</v>
      </c>
      <c r="I1392" s="1">
        <f>IF(Query1[[#This Row],[ItemType]]="EVAP KIT SF GEN IV",Query1[[#This Row],[OrderQty]]+I1391,I1391)</f>
        <v>1516</v>
      </c>
      <c r="J1392" s="1">
        <f>IF(Query1[[#This Row],[ItemType]]="EVAP KIT UNIVERSAL",Query1[[#This Row],[OrderQty]]+J1391,J1391)</f>
        <v>735</v>
      </c>
      <c r="K1392" s="1">
        <f>Query1[[#This Row],[SF Running Total]]+Query1[[#This Row],[UNIV Running Total]]</f>
        <v>2251</v>
      </c>
      <c r="L1392">
        <f>VLOOKUP(Query1[[#This Row],[Description]],'kits to boards'!$B$2:$E$156,2,FALSE)</f>
        <v>830094</v>
      </c>
      <c r="M1392">
        <f>VLOOKUP(Query1[[#This Row],[Description]],'kits to boards'!$B$2:$E$156,3,FALSE)</f>
        <v>0</v>
      </c>
      <c r="N1392">
        <f>VLOOKUP(Query1[[#This Row],[Description]],'kits to boards'!$B$2:$E$156,4,FALSE)</f>
        <v>0</v>
      </c>
      <c r="O1392" t="str">
        <f>CONCATENATE(Query1[[#This Row],[Description]]," - ",Query1[[#This Row],[MB1]]," - ",Query1[[#This Row],[MB2]]," - ",Query1[[#This Row],[MB3]])</f>
        <v>EVAP KIT 69-73 VETTE W/AC - 830094 - 0 - 0</v>
      </c>
    </row>
    <row r="1393" spans="1:15" x14ac:dyDescent="0.25">
      <c r="A1393" s="1">
        <v>912583</v>
      </c>
      <c r="B1393" s="1" t="s">
        <v>96</v>
      </c>
      <c r="C1393" s="1" t="s">
        <v>97</v>
      </c>
      <c r="D1393" s="2">
        <v>44616.652870335645</v>
      </c>
      <c r="E1393" s="1" t="s">
        <v>8</v>
      </c>
      <c r="F1393" s="1">
        <v>1</v>
      </c>
      <c r="G1393" s="1">
        <v>0</v>
      </c>
      <c r="H1393" s="6">
        <f>INT(Query1[[#This Row],[EntryDateTime]])</f>
        <v>44616</v>
      </c>
      <c r="I1393" s="1">
        <f>IF(Query1[[#This Row],[ItemType]]="EVAP KIT SF GEN IV",Query1[[#This Row],[OrderQty]]+I1392,I1392)</f>
        <v>1517</v>
      </c>
      <c r="J1393" s="1">
        <f>IF(Query1[[#This Row],[ItemType]]="EVAP KIT UNIVERSAL",Query1[[#This Row],[OrderQty]]+J1392,J1392)</f>
        <v>735</v>
      </c>
      <c r="K1393" s="1">
        <f>Query1[[#This Row],[SF Running Total]]+Query1[[#This Row],[UNIV Running Total]]</f>
        <v>2252</v>
      </c>
      <c r="L1393">
        <f>VLOOKUP(Query1[[#This Row],[Description]],'kits to boards'!$B$2:$E$156,2,FALSE)</f>
        <v>830004</v>
      </c>
      <c r="M1393">
        <f>VLOOKUP(Query1[[#This Row],[Description]],'kits to boards'!$B$2:$E$156,3,FALSE)</f>
        <v>0</v>
      </c>
      <c r="N1393">
        <f>VLOOKUP(Query1[[#This Row],[Description]],'kits to boards'!$B$2:$E$156,4,FALSE)</f>
        <v>0</v>
      </c>
      <c r="O1393" t="str">
        <f>CONCATENATE(Query1[[#This Row],[Description]]," - ",Query1[[#This Row],[MB1]]," - ",Query1[[#This Row],[MB2]]," - ",Query1[[#This Row],[MB3]])</f>
        <v>EVAP KIT 81-87 CHEV P-UP W/AC - 830004 - 0 - 0</v>
      </c>
    </row>
    <row r="1394" spans="1:15" x14ac:dyDescent="0.25">
      <c r="A1394" s="1">
        <v>912586</v>
      </c>
      <c r="B1394" s="1" t="s">
        <v>194</v>
      </c>
      <c r="C1394" s="1" t="s">
        <v>195</v>
      </c>
      <c r="D1394" s="2">
        <v>44616.655190821759</v>
      </c>
      <c r="E1394" s="1" t="s">
        <v>8</v>
      </c>
      <c r="F1394" s="1">
        <v>1</v>
      </c>
      <c r="G1394" s="1">
        <v>0</v>
      </c>
      <c r="H1394" s="6">
        <f>INT(Query1[[#This Row],[EntryDateTime]])</f>
        <v>44616</v>
      </c>
      <c r="I1394" s="1">
        <f>IF(Query1[[#This Row],[ItemType]]="EVAP KIT SF GEN IV",Query1[[#This Row],[OrderQty]]+I1393,I1393)</f>
        <v>1518</v>
      </c>
      <c r="J1394" s="1">
        <f>IF(Query1[[#This Row],[ItemType]]="EVAP KIT UNIVERSAL",Query1[[#This Row],[OrderQty]]+J1393,J1393)</f>
        <v>735</v>
      </c>
      <c r="K1394" s="1">
        <f>Query1[[#This Row],[SF Running Total]]+Query1[[#This Row],[UNIV Running Total]]</f>
        <v>2253</v>
      </c>
      <c r="L1394">
        <f>VLOOKUP(Query1[[#This Row],[Description]],'kits to boards'!$B$2:$E$156,2,FALSE)</f>
        <v>830103</v>
      </c>
      <c r="M1394">
        <f>VLOOKUP(Query1[[#This Row],[Description]],'kits to boards'!$B$2:$E$156,3,FALSE)</f>
        <v>0</v>
      </c>
      <c r="N1394">
        <f>VLOOKUP(Query1[[#This Row],[Description]],'kits to boards'!$B$2:$E$156,4,FALSE)</f>
        <v>0</v>
      </c>
      <c r="O1394" t="str">
        <f>CONCATENATE(Query1[[#This Row],[Description]]," - ",Query1[[#This Row],[MB1]]," - ",Query1[[#This Row],[MB2]]," - ",Query1[[#This Row],[MB3]])</f>
        <v>EVAP KIT 78-82 VETTE W/AC - 830103 - 0 - 0</v>
      </c>
    </row>
    <row r="1395" spans="1:15" x14ac:dyDescent="0.25">
      <c r="A1395" s="1">
        <v>912057</v>
      </c>
      <c r="B1395" s="1" t="s">
        <v>244</v>
      </c>
      <c r="C1395" s="1" t="s">
        <v>245</v>
      </c>
      <c r="D1395" s="2">
        <v>44616.659376354168</v>
      </c>
      <c r="E1395" s="1" t="s">
        <v>8</v>
      </c>
      <c r="F1395" s="1">
        <v>1</v>
      </c>
      <c r="G1395" s="1">
        <v>0</v>
      </c>
      <c r="H1395" s="6">
        <f>INT(Query1[[#This Row],[EntryDateTime]])</f>
        <v>44616</v>
      </c>
      <c r="I1395" s="1">
        <f>IF(Query1[[#This Row],[ItemType]]="EVAP KIT SF GEN IV",Query1[[#This Row],[OrderQty]]+I1394,I1394)</f>
        <v>1519</v>
      </c>
      <c r="J1395" s="1">
        <f>IF(Query1[[#This Row],[ItemType]]="EVAP KIT UNIVERSAL",Query1[[#This Row],[OrderQty]]+J1394,J1394)</f>
        <v>735</v>
      </c>
      <c r="K1395" s="1">
        <f>Query1[[#This Row],[SF Running Total]]+Query1[[#This Row],[UNIV Running Total]]</f>
        <v>2254</v>
      </c>
      <c r="L1395">
        <f>VLOOKUP(Query1[[#This Row],[Description]],'kits to boards'!$B$2:$E$156,2,FALSE)</f>
        <v>830100</v>
      </c>
      <c r="M1395">
        <f>VLOOKUP(Query1[[#This Row],[Description]],'kits to boards'!$B$2:$E$156,3,FALSE)</f>
        <v>0</v>
      </c>
      <c r="N1395">
        <f>VLOOKUP(Query1[[#This Row],[Description]],'kits to boards'!$B$2:$E$156,4,FALSE)</f>
        <v>0</v>
      </c>
      <c r="O1395" t="str">
        <f>CONCATENATE(Query1[[#This Row],[Description]]," - ",Query1[[#This Row],[MB1]]," - ",Query1[[#This Row],[MB2]]," - ",Query1[[#This Row],[MB3]])</f>
        <v>EVAP KIT 68-76 VETTE WO AC - 830100 - 0 - 0</v>
      </c>
    </row>
    <row r="1396" spans="1:15" x14ac:dyDescent="0.25">
      <c r="A1396" s="1">
        <v>912589</v>
      </c>
      <c r="B1396" s="1" t="s">
        <v>48</v>
      </c>
      <c r="C1396" s="1" t="s">
        <v>49</v>
      </c>
      <c r="D1396" s="2">
        <v>44616.665218321759</v>
      </c>
      <c r="E1396" s="1" t="s">
        <v>8</v>
      </c>
      <c r="F1396" s="1">
        <v>1</v>
      </c>
      <c r="G1396" s="1">
        <v>0</v>
      </c>
      <c r="H1396" s="6">
        <f>INT(Query1[[#This Row],[EntryDateTime]])</f>
        <v>44616</v>
      </c>
      <c r="I1396" s="1">
        <f>IF(Query1[[#This Row],[ItemType]]="EVAP KIT SF GEN IV",Query1[[#This Row],[OrderQty]]+I1395,I1395)</f>
        <v>1520</v>
      </c>
      <c r="J1396" s="1">
        <f>IF(Query1[[#This Row],[ItemType]]="EVAP KIT UNIVERSAL",Query1[[#This Row],[OrderQty]]+J1395,J1395)</f>
        <v>735</v>
      </c>
      <c r="K1396" s="1">
        <f>Query1[[#This Row],[SF Running Total]]+Query1[[#This Row],[UNIV Running Total]]</f>
        <v>2255</v>
      </c>
      <c r="L1396">
        <f>VLOOKUP(Query1[[#This Row],[Description]],'kits to boards'!$B$2:$E$156,2,FALSE)</f>
        <v>830015</v>
      </c>
      <c r="M1396">
        <f>VLOOKUP(Query1[[#This Row],[Description]],'kits to boards'!$B$2:$E$156,3,FALSE)</f>
        <v>0</v>
      </c>
      <c r="N1396">
        <f>VLOOKUP(Query1[[#This Row],[Description]],'kits to boards'!$B$2:$E$156,4,FALSE)</f>
        <v>0</v>
      </c>
      <c r="O1396" t="str">
        <f>CONCATENATE(Query1[[#This Row],[Description]]," - ",Query1[[#This Row],[MB1]]," - ",Query1[[#This Row],[MB2]]," - ",Query1[[#This Row],[MB3]])</f>
        <v>EVAP KIT 64-66 CHEV P-UP WO AC W/DELX - 830015 - 0 - 0</v>
      </c>
    </row>
    <row r="1397" spans="1:15" x14ac:dyDescent="0.25">
      <c r="A1397" s="1">
        <v>912594</v>
      </c>
      <c r="B1397" s="1" t="s">
        <v>124</v>
      </c>
      <c r="C1397" s="1" t="s">
        <v>125</v>
      </c>
      <c r="D1397" s="2">
        <v>44616.68480505787</v>
      </c>
      <c r="E1397" s="1" t="s">
        <v>8</v>
      </c>
      <c r="F1397" s="1">
        <v>1</v>
      </c>
      <c r="G1397" s="1">
        <v>0</v>
      </c>
      <c r="H1397" s="6">
        <f>INT(Query1[[#This Row],[EntryDateTime]])</f>
        <v>44616</v>
      </c>
      <c r="I1397" s="1">
        <f>IF(Query1[[#This Row],[ItemType]]="EVAP KIT SF GEN IV",Query1[[#This Row],[OrderQty]]+I1396,I1396)</f>
        <v>1521</v>
      </c>
      <c r="J1397" s="1">
        <f>IF(Query1[[#This Row],[ItemType]]="EVAP KIT UNIVERSAL",Query1[[#This Row],[OrderQty]]+J1396,J1396)</f>
        <v>735</v>
      </c>
      <c r="K1397" s="1">
        <f>Query1[[#This Row],[SF Running Total]]+Query1[[#This Row],[UNIV Running Total]]</f>
        <v>2256</v>
      </c>
      <c r="L1397">
        <f>VLOOKUP(Query1[[#This Row],[Description]],'kits to boards'!$B$2:$E$156,2,FALSE)</f>
        <v>830002</v>
      </c>
      <c r="M1397">
        <f>VLOOKUP(Query1[[#This Row],[Description]],'kits to boards'!$B$2:$E$156,3,FALSE)</f>
        <v>0</v>
      </c>
      <c r="N1397">
        <f>VLOOKUP(Query1[[#This Row],[Description]],'kits to boards'!$B$2:$E$156,4,FALSE)</f>
        <v>0</v>
      </c>
      <c r="O1397" t="str">
        <f>CONCATENATE(Query1[[#This Row],[Description]]," - ",Query1[[#This Row],[MB1]]," - ",Query1[[#This Row],[MB2]]," - ",Query1[[#This Row],[MB3]])</f>
        <v>EVAP KIT 73-80 CHEV P-UP WO AC - 830002 - 0 - 0</v>
      </c>
    </row>
    <row r="1398" spans="1:15" x14ac:dyDescent="0.25">
      <c r="A1398" s="1">
        <v>912597</v>
      </c>
      <c r="B1398" s="1" t="s">
        <v>72</v>
      </c>
      <c r="C1398" s="1" t="s">
        <v>73</v>
      </c>
      <c r="D1398" s="2">
        <v>44616.697307719907</v>
      </c>
      <c r="E1398" s="1" t="s">
        <v>8</v>
      </c>
      <c r="F1398" s="1">
        <v>1</v>
      </c>
      <c r="G1398" s="1">
        <v>0</v>
      </c>
      <c r="H1398" s="6">
        <f>INT(Query1[[#This Row],[EntryDateTime]])</f>
        <v>44616</v>
      </c>
      <c r="I1398" s="1">
        <f>IF(Query1[[#This Row],[ItemType]]="EVAP KIT SF GEN IV",Query1[[#This Row],[OrderQty]]+I1397,I1397)</f>
        <v>1522</v>
      </c>
      <c r="J1398" s="1">
        <f>IF(Query1[[#This Row],[ItemType]]="EVAP KIT UNIVERSAL",Query1[[#This Row],[OrderQty]]+J1397,J1397)</f>
        <v>735</v>
      </c>
      <c r="K1398" s="1">
        <f>Query1[[#This Row],[SF Running Total]]+Query1[[#This Row],[UNIV Running Total]]</f>
        <v>2257</v>
      </c>
      <c r="L1398">
        <f>VLOOKUP(Query1[[#This Row],[Description]],'kits to boards'!$B$2:$E$156,2,FALSE)</f>
        <v>830043</v>
      </c>
      <c r="M1398">
        <f>VLOOKUP(Query1[[#This Row],[Description]],'kits to boards'!$B$2:$E$156,3,FALSE)</f>
        <v>0</v>
      </c>
      <c r="N1398">
        <f>VLOOKUP(Query1[[#This Row],[Description]],'kits to boards'!$B$2:$E$156,4,FALSE)</f>
        <v>0</v>
      </c>
      <c r="O1398" t="str">
        <f>CONCATENATE(Query1[[#This Row],[Description]]," - ",Query1[[#This Row],[MB1]]," - ",Query1[[#This Row],[MB2]]," - ",Query1[[#This Row],[MB3]])</f>
        <v>EVAP KIT 69-74 NOVA W/AC - 830043 - 0 - 0</v>
      </c>
    </row>
    <row r="1399" spans="1:15" x14ac:dyDescent="0.25">
      <c r="A1399" s="1">
        <v>912597</v>
      </c>
      <c r="B1399" s="1" t="s">
        <v>14</v>
      </c>
      <c r="C1399" s="1" t="s">
        <v>15</v>
      </c>
      <c r="D1399" s="2">
        <v>44616.697492627318</v>
      </c>
      <c r="E1399" s="1" t="s">
        <v>8</v>
      </c>
      <c r="F1399" s="1">
        <v>1</v>
      </c>
      <c r="G1399" s="1">
        <v>0</v>
      </c>
      <c r="H1399" s="6">
        <f>INT(Query1[[#This Row],[EntryDateTime]])</f>
        <v>44616</v>
      </c>
      <c r="I1399" s="1">
        <f>IF(Query1[[#This Row],[ItemType]]="EVAP KIT SF GEN IV",Query1[[#This Row],[OrderQty]]+I1398,I1398)</f>
        <v>1523</v>
      </c>
      <c r="J1399" s="1">
        <f>IF(Query1[[#This Row],[ItemType]]="EVAP KIT UNIVERSAL",Query1[[#This Row],[OrderQty]]+J1398,J1398)</f>
        <v>735</v>
      </c>
      <c r="K1399" s="1">
        <f>Query1[[#This Row],[SF Running Total]]+Query1[[#This Row],[UNIV Running Total]]</f>
        <v>2258</v>
      </c>
      <c r="L1399">
        <f>VLOOKUP(Query1[[#This Row],[Description]],'kits to boards'!$B$2:$E$156,2,FALSE)</f>
        <v>830054</v>
      </c>
      <c r="M1399">
        <f>VLOOKUP(Query1[[#This Row],[Description]],'kits to boards'!$B$2:$E$156,3,FALSE)</f>
        <v>0</v>
      </c>
      <c r="N1399">
        <f>VLOOKUP(Query1[[#This Row],[Description]],'kits to boards'!$B$2:$E$156,4,FALSE)</f>
        <v>0</v>
      </c>
      <c r="O1399" t="str">
        <f>CONCATENATE(Query1[[#This Row],[Description]]," - ",Query1[[#This Row],[MB1]]," - ",Query1[[#This Row],[MB2]]," - ",Query1[[#This Row],[MB3]])</f>
        <v>EVAP KIT 55-56 CHEVY - 830054 - 0 - 0</v>
      </c>
    </row>
    <row r="1400" spans="1:15" x14ac:dyDescent="0.25">
      <c r="A1400" s="1">
        <v>912595</v>
      </c>
      <c r="B1400" s="1" t="s">
        <v>52</v>
      </c>
      <c r="C1400" s="1" t="s">
        <v>53</v>
      </c>
      <c r="D1400" s="2">
        <v>44616.701953356482</v>
      </c>
      <c r="E1400" s="1" t="s">
        <v>8</v>
      </c>
      <c r="F1400" s="1">
        <v>1</v>
      </c>
      <c r="G1400" s="1">
        <v>0</v>
      </c>
      <c r="H1400" s="6">
        <f>INT(Query1[[#This Row],[EntryDateTime]])</f>
        <v>44616</v>
      </c>
      <c r="I1400" s="1">
        <f>IF(Query1[[#This Row],[ItemType]]="EVAP KIT SF GEN IV",Query1[[#This Row],[OrderQty]]+I1399,I1399)</f>
        <v>1524</v>
      </c>
      <c r="J1400" s="1">
        <f>IF(Query1[[#This Row],[ItemType]]="EVAP KIT UNIVERSAL",Query1[[#This Row],[OrderQty]]+J1399,J1399)</f>
        <v>735</v>
      </c>
      <c r="K1400" s="1">
        <f>Query1[[#This Row],[SF Running Total]]+Query1[[#This Row],[UNIV Running Total]]</f>
        <v>2259</v>
      </c>
      <c r="L1400">
        <f>VLOOKUP(Query1[[#This Row],[Description]],'kits to boards'!$B$2:$E$156,2,FALSE)</f>
        <v>830017</v>
      </c>
      <c r="M1400">
        <f>VLOOKUP(Query1[[#This Row],[Description]],'kits to boards'!$B$2:$E$156,3,FALSE)</f>
        <v>830119</v>
      </c>
      <c r="N1400">
        <f>VLOOKUP(Query1[[#This Row],[Description]],'kits to boards'!$B$2:$E$156,4,FALSE)</f>
        <v>830120</v>
      </c>
      <c r="O1400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1401" spans="1:15" x14ac:dyDescent="0.25">
      <c r="A1401" s="1">
        <v>912600</v>
      </c>
      <c r="B1401" s="1" t="s">
        <v>44</v>
      </c>
      <c r="C1401" s="1" t="s">
        <v>45</v>
      </c>
      <c r="D1401" s="2">
        <v>44617.309150081019</v>
      </c>
      <c r="E1401" s="1" t="s">
        <v>8</v>
      </c>
      <c r="F1401" s="1">
        <v>1</v>
      </c>
      <c r="G1401" s="1">
        <v>0</v>
      </c>
      <c r="H1401" s="6">
        <f>INT(Query1[[#This Row],[EntryDateTime]])</f>
        <v>44617</v>
      </c>
      <c r="I1401" s="1">
        <f>IF(Query1[[#This Row],[ItemType]]="EVAP KIT SF GEN IV",Query1[[#This Row],[OrderQty]]+I1400,I1400)</f>
        <v>1525</v>
      </c>
      <c r="J1401" s="1">
        <f>IF(Query1[[#This Row],[ItemType]]="EVAP KIT UNIVERSAL",Query1[[#This Row],[OrderQty]]+J1400,J1400)</f>
        <v>735</v>
      </c>
      <c r="K1401" s="1">
        <f>Query1[[#This Row],[SF Running Total]]+Query1[[#This Row],[UNIV Running Total]]</f>
        <v>2260</v>
      </c>
      <c r="L1401">
        <f>VLOOKUP(Query1[[#This Row],[Description]],'kits to boards'!$B$2:$E$156,2,FALSE)</f>
        <v>830085</v>
      </c>
      <c r="M1401">
        <f>VLOOKUP(Query1[[#This Row],[Description]],'kits to boards'!$B$2:$E$156,3,FALSE)</f>
        <v>0</v>
      </c>
      <c r="N1401">
        <f>VLOOKUP(Query1[[#This Row],[Description]],'kits to boards'!$B$2:$E$156,4,FALSE)</f>
        <v>0</v>
      </c>
      <c r="O1401" t="str">
        <f>CONCATENATE(Query1[[#This Row],[Description]]," - ",Query1[[#This Row],[MB1]]," - ",Query1[[#This Row],[MB2]]," - ",Query1[[#This Row],[MB3]])</f>
        <v>EVAP KIT 66-77 BRONCO - 830085 - 0 - 0</v>
      </c>
    </row>
    <row r="1402" spans="1:15" x14ac:dyDescent="0.25">
      <c r="A1402" s="1">
        <v>912601</v>
      </c>
      <c r="B1402" s="1" t="s">
        <v>120</v>
      </c>
      <c r="C1402" s="1" t="s">
        <v>121</v>
      </c>
      <c r="D1402" s="2">
        <v>44617.310929861109</v>
      </c>
      <c r="E1402" s="1" t="s">
        <v>8</v>
      </c>
      <c r="F1402" s="1">
        <v>1</v>
      </c>
      <c r="G1402" s="1">
        <v>0</v>
      </c>
      <c r="H1402" s="6">
        <f>INT(Query1[[#This Row],[EntryDateTime]])</f>
        <v>44617</v>
      </c>
      <c r="I1402" s="1">
        <f>IF(Query1[[#This Row],[ItemType]]="EVAP KIT SF GEN IV",Query1[[#This Row],[OrderQty]]+I1401,I1401)</f>
        <v>1526</v>
      </c>
      <c r="J1402" s="1">
        <f>IF(Query1[[#This Row],[ItemType]]="EVAP KIT UNIVERSAL",Query1[[#This Row],[OrderQty]]+J1401,J1401)</f>
        <v>735</v>
      </c>
      <c r="K1402" s="1">
        <f>Query1[[#This Row],[SF Running Total]]+Query1[[#This Row],[UNIV Running Total]]</f>
        <v>2261</v>
      </c>
      <c r="L1402">
        <f>VLOOKUP(Query1[[#This Row],[Description]],'kits to boards'!$B$2:$E$156,2,FALSE)</f>
        <v>830014</v>
      </c>
      <c r="M1402">
        <f>VLOOKUP(Query1[[#This Row],[Description]],'kits to boards'!$B$2:$E$156,3,FALSE)</f>
        <v>0</v>
      </c>
      <c r="N1402">
        <f>VLOOKUP(Query1[[#This Row],[Description]],'kits to boards'!$B$2:$E$156,4,FALSE)</f>
        <v>0</v>
      </c>
      <c r="O1402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1403" spans="1:15" x14ac:dyDescent="0.25">
      <c r="A1403" s="1">
        <v>912602</v>
      </c>
      <c r="B1403" s="1" t="s">
        <v>26</v>
      </c>
      <c r="C1403" s="1" t="s">
        <v>27</v>
      </c>
      <c r="D1403" s="2">
        <v>44617.315018252317</v>
      </c>
      <c r="E1403" s="1" t="s">
        <v>8</v>
      </c>
      <c r="F1403" s="1">
        <v>1</v>
      </c>
      <c r="G1403" s="1">
        <v>0</v>
      </c>
      <c r="H1403" s="6">
        <f>INT(Query1[[#This Row],[EntryDateTime]])</f>
        <v>44617</v>
      </c>
      <c r="I1403" s="1">
        <f>IF(Query1[[#This Row],[ItemType]]="EVAP KIT SF GEN IV",Query1[[#This Row],[OrderQty]]+I1402,I1402)</f>
        <v>1527</v>
      </c>
      <c r="J1403" s="1">
        <f>IF(Query1[[#This Row],[ItemType]]="EVAP KIT UNIVERSAL",Query1[[#This Row],[OrderQty]]+J1402,J1402)</f>
        <v>735</v>
      </c>
      <c r="K1403" s="1">
        <f>Query1[[#This Row],[SF Running Total]]+Query1[[#This Row],[UNIV Running Total]]</f>
        <v>2262</v>
      </c>
      <c r="L1403">
        <f>VLOOKUP(Query1[[#This Row],[Description]],'kits to boards'!$B$2:$E$156,2,FALSE)</f>
        <v>830013</v>
      </c>
      <c r="M1403">
        <f>VLOOKUP(Query1[[#This Row],[Description]],'kits to boards'!$B$2:$E$156,3,FALSE)</f>
        <v>0</v>
      </c>
      <c r="N1403">
        <f>VLOOKUP(Query1[[#This Row],[Description]],'kits to boards'!$B$2:$E$156,4,FALSE)</f>
        <v>0</v>
      </c>
      <c r="O1403" t="str">
        <f>CONCATENATE(Query1[[#This Row],[Description]]," - ",Query1[[#This Row],[MB1]]," - ",Query1[[#This Row],[MB2]]," - ",Query1[[#This Row],[MB3]])</f>
        <v>EVAP KIT 67-72 CHEV P-UP W/AC - 830013 - 0 - 0</v>
      </c>
    </row>
    <row r="1404" spans="1:15" x14ac:dyDescent="0.25">
      <c r="A1404" s="1">
        <v>912605</v>
      </c>
      <c r="B1404" s="1" t="s">
        <v>6</v>
      </c>
      <c r="C1404" s="1" t="s">
        <v>7</v>
      </c>
      <c r="D1404" s="2">
        <v>44617.327424224539</v>
      </c>
      <c r="E1404" s="1" t="s">
        <v>8</v>
      </c>
      <c r="F1404" s="1">
        <v>1</v>
      </c>
      <c r="G1404" s="1">
        <v>0</v>
      </c>
      <c r="H1404" s="6">
        <f>INT(Query1[[#This Row],[EntryDateTime]])</f>
        <v>44617</v>
      </c>
      <c r="I1404" s="1">
        <f>IF(Query1[[#This Row],[ItemType]]="EVAP KIT SF GEN IV",Query1[[#This Row],[OrderQty]]+I1403,I1403)</f>
        <v>1528</v>
      </c>
      <c r="J1404" s="1">
        <f>IF(Query1[[#This Row],[ItemType]]="EVAP KIT UNIVERSAL",Query1[[#This Row],[OrderQty]]+J1403,J1403)</f>
        <v>735</v>
      </c>
      <c r="K1404" s="1">
        <f>Query1[[#This Row],[SF Running Total]]+Query1[[#This Row],[UNIV Running Total]]</f>
        <v>2263</v>
      </c>
      <c r="L1404">
        <f>VLOOKUP(Query1[[#This Row],[Description]],'kits to boards'!$B$2:$E$156,2,FALSE)</f>
        <v>830132</v>
      </c>
      <c r="M1404">
        <f>VLOOKUP(Query1[[#This Row],[Description]],'kits to boards'!$B$2:$E$156,3,FALSE)</f>
        <v>0</v>
      </c>
      <c r="N1404">
        <f>VLOOKUP(Query1[[#This Row],[Description]],'kits to boards'!$B$2:$E$156,4,FALSE)</f>
        <v>0</v>
      </c>
      <c r="O1404" t="str">
        <f>CONCATENATE(Query1[[#This Row],[Description]]," - ",Query1[[#This Row],[MB1]]," - ",Query1[[#This Row],[MB2]]," - ",Query1[[#This Row],[MB3]])</f>
        <v>EVAP KIT 82-88 MONTE CARLO/EL CAMINO - 830132 - 0 - 0</v>
      </c>
    </row>
    <row r="1405" spans="1:15" x14ac:dyDescent="0.25">
      <c r="A1405" s="1">
        <v>912423</v>
      </c>
      <c r="B1405" s="1" t="s">
        <v>14</v>
      </c>
      <c r="C1405" s="1" t="s">
        <v>15</v>
      </c>
      <c r="D1405" s="2">
        <v>44617.332077349536</v>
      </c>
      <c r="E1405" s="1" t="s">
        <v>8</v>
      </c>
      <c r="F1405" s="1">
        <v>1</v>
      </c>
      <c r="G1405" s="1">
        <v>0</v>
      </c>
      <c r="H1405" s="6">
        <f>INT(Query1[[#This Row],[EntryDateTime]])</f>
        <v>44617</v>
      </c>
      <c r="I1405" s="1">
        <f>IF(Query1[[#This Row],[ItemType]]="EVAP KIT SF GEN IV",Query1[[#This Row],[OrderQty]]+I1404,I1404)</f>
        <v>1529</v>
      </c>
      <c r="J1405" s="1">
        <f>IF(Query1[[#This Row],[ItemType]]="EVAP KIT UNIVERSAL",Query1[[#This Row],[OrderQty]]+J1404,J1404)</f>
        <v>735</v>
      </c>
      <c r="K1405" s="1">
        <f>Query1[[#This Row],[SF Running Total]]+Query1[[#This Row],[UNIV Running Total]]</f>
        <v>2264</v>
      </c>
      <c r="L1405">
        <f>VLOOKUP(Query1[[#This Row],[Description]],'kits to boards'!$B$2:$E$156,2,FALSE)</f>
        <v>830054</v>
      </c>
      <c r="M1405">
        <f>VLOOKUP(Query1[[#This Row],[Description]],'kits to boards'!$B$2:$E$156,3,FALSE)</f>
        <v>0</v>
      </c>
      <c r="N1405">
        <f>VLOOKUP(Query1[[#This Row],[Description]],'kits to boards'!$B$2:$E$156,4,FALSE)</f>
        <v>0</v>
      </c>
      <c r="O1405" t="str">
        <f>CONCATENATE(Query1[[#This Row],[Description]]," - ",Query1[[#This Row],[MB1]]," - ",Query1[[#This Row],[MB2]]," - ",Query1[[#This Row],[MB3]])</f>
        <v>EVAP KIT 55-56 CHEVY - 830054 - 0 - 0</v>
      </c>
    </row>
    <row r="1406" spans="1:15" x14ac:dyDescent="0.25">
      <c r="A1406" s="1">
        <v>912609</v>
      </c>
      <c r="B1406" s="1" t="s">
        <v>275</v>
      </c>
      <c r="C1406" s="1" t="s">
        <v>276</v>
      </c>
      <c r="D1406" s="2">
        <v>44617.333338460645</v>
      </c>
      <c r="E1406" s="1" t="s">
        <v>8</v>
      </c>
      <c r="F1406" s="1">
        <v>1</v>
      </c>
      <c r="G1406" s="1">
        <v>0</v>
      </c>
      <c r="H1406" s="6">
        <f>INT(Query1[[#This Row],[EntryDateTime]])</f>
        <v>44617</v>
      </c>
      <c r="I1406" s="1">
        <f>IF(Query1[[#This Row],[ItemType]]="EVAP KIT SF GEN IV",Query1[[#This Row],[OrderQty]]+I1405,I1405)</f>
        <v>1530</v>
      </c>
      <c r="J1406" s="1">
        <f>IF(Query1[[#This Row],[ItemType]]="EVAP KIT UNIVERSAL",Query1[[#This Row],[OrderQty]]+J1405,J1405)</f>
        <v>735</v>
      </c>
      <c r="K1406" s="1">
        <f>Query1[[#This Row],[SF Running Total]]+Query1[[#This Row],[UNIV Running Total]]</f>
        <v>2265</v>
      </c>
      <c r="L1406">
        <f>VLOOKUP(Query1[[#This Row],[Description]],'kits to boards'!$B$2:$E$156,2,FALSE)</f>
        <v>830124</v>
      </c>
      <c r="M1406">
        <f>VLOOKUP(Query1[[#This Row],[Description]],'kits to boards'!$B$2:$E$156,3,FALSE)</f>
        <v>0</v>
      </c>
      <c r="N1406">
        <f>VLOOKUP(Query1[[#This Row],[Description]],'kits to boards'!$B$2:$E$156,4,FALSE)</f>
        <v>0</v>
      </c>
      <c r="O1406" t="str">
        <f>CONCATENATE(Query1[[#This Row],[Description]]," - ",Query1[[#This Row],[MB1]]," - ",Query1[[#This Row],[MB2]]," - ",Query1[[#This Row],[MB3]])</f>
        <v>EVAP KIT 69 GTO WO/AC - 830124 - 0 - 0</v>
      </c>
    </row>
    <row r="1407" spans="1:15" x14ac:dyDescent="0.25">
      <c r="A1407" s="1">
        <v>912612</v>
      </c>
      <c r="B1407" s="1" t="s">
        <v>192</v>
      </c>
      <c r="C1407" s="1" t="s">
        <v>193</v>
      </c>
      <c r="D1407" s="2">
        <v>44617.335649502318</v>
      </c>
      <c r="E1407" s="1" t="s">
        <v>8</v>
      </c>
      <c r="F1407" s="1">
        <v>1</v>
      </c>
      <c r="G1407" s="1">
        <v>0</v>
      </c>
      <c r="H1407" s="6">
        <f>INT(Query1[[#This Row],[EntryDateTime]])</f>
        <v>44617</v>
      </c>
      <c r="I1407" s="1">
        <f>IF(Query1[[#This Row],[ItemType]]="EVAP KIT SF GEN IV",Query1[[#This Row],[OrderQty]]+I1406,I1406)</f>
        <v>1531</v>
      </c>
      <c r="J1407" s="1">
        <f>IF(Query1[[#This Row],[ItemType]]="EVAP KIT UNIVERSAL",Query1[[#This Row],[OrderQty]]+J1406,J1406)</f>
        <v>735</v>
      </c>
      <c r="K1407" s="1">
        <f>Query1[[#This Row],[SF Running Total]]+Query1[[#This Row],[UNIV Running Total]]</f>
        <v>2266</v>
      </c>
      <c r="L1407">
        <f>VLOOKUP(Query1[[#This Row],[Description]],'kits to boards'!$B$2:$E$156,2,FALSE)</f>
        <v>830094</v>
      </c>
      <c r="M1407">
        <f>VLOOKUP(Query1[[#This Row],[Description]],'kits to boards'!$B$2:$E$156,3,FALSE)</f>
        <v>0</v>
      </c>
      <c r="N1407">
        <f>VLOOKUP(Query1[[#This Row],[Description]],'kits to boards'!$B$2:$E$156,4,FALSE)</f>
        <v>0</v>
      </c>
      <c r="O1407" t="str">
        <f>CONCATENATE(Query1[[#This Row],[Description]]," - ",Query1[[#This Row],[MB1]]," - ",Query1[[#This Row],[MB2]]," - ",Query1[[#This Row],[MB3]])</f>
        <v>EVAP KIT 69-73 VETTE W/AC - 830094 - 0 - 0</v>
      </c>
    </row>
    <row r="1408" spans="1:15" x14ac:dyDescent="0.25">
      <c r="A1408" s="1">
        <v>912613</v>
      </c>
      <c r="B1408" s="1" t="s">
        <v>62</v>
      </c>
      <c r="C1408" s="1" t="s">
        <v>63</v>
      </c>
      <c r="D1408" s="2">
        <v>44617.337073148148</v>
      </c>
      <c r="E1408" s="1" t="s">
        <v>8</v>
      </c>
      <c r="F1408" s="1">
        <v>1</v>
      </c>
      <c r="G1408" s="1">
        <v>0</v>
      </c>
      <c r="H1408" s="6">
        <f>INT(Query1[[#This Row],[EntryDateTime]])</f>
        <v>44617</v>
      </c>
      <c r="I1408" s="1">
        <f>IF(Query1[[#This Row],[ItemType]]="EVAP KIT SF GEN IV",Query1[[#This Row],[OrderQty]]+I1407,I1407)</f>
        <v>1532</v>
      </c>
      <c r="J1408" s="1">
        <f>IF(Query1[[#This Row],[ItemType]]="EVAP KIT UNIVERSAL",Query1[[#This Row],[OrderQty]]+J1407,J1407)</f>
        <v>735</v>
      </c>
      <c r="K1408" s="1">
        <f>Query1[[#This Row],[SF Running Total]]+Query1[[#This Row],[UNIV Running Total]]</f>
        <v>2267</v>
      </c>
      <c r="L1408">
        <f>VLOOKUP(Query1[[#This Row],[Description]],'kits to boards'!$B$2:$E$156,2,FALSE)</f>
        <v>830079</v>
      </c>
      <c r="M1408">
        <f>VLOOKUP(Query1[[#This Row],[Description]],'kits to boards'!$B$2:$E$156,3,FALSE)</f>
        <v>830046</v>
      </c>
      <c r="N1408">
        <f>VLOOKUP(Query1[[#This Row],[Description]],'kits to boards'!$B$2:$E$156,4,FALSE)</f>
        <v>0</v>
      </c>
      <c r="O1408" t="str">
        <f>CONCATENATE(Query1[[#This Row],[Description]]," - ",Query1[[#This Row],[MB1]]," - ",Query1[[#This Row],[MB2]]," - ",Query1[[#This Row],[MB3]])</f>
        <v>EVAP KIT 67-68 MUSTANG/COUGAR WO AC - 830079 - 830046 - 0</v>
      </c>
    </row>
    <row r="1409" spans="1:15" x14ac:dyDescent="0.25">
      <c r="A1409" s="1">
        <v>912617</v>
      </c>
      <c r="B1409" s="1" t="s">
        <v>106</v>
      </c>
      <c r="C1409" s="1" t="s">
        <v>253</v>
      </c>
      <c r="D1409" s="2">
        <v>44617.343655358796</v>
      </c>
      <c r="E1409" s="1" t="s">
        <v>8</v>
      </c>
      <c r="F1409" s="1">
        <v>1</v>
      </c>
      <c r="G1409" s="1">
        <v>0</v>
      </c>
      <c r="H1409" s="6">
        <f>INT(Query1[[#This Row],[EntryDateTime]])</f>
        <v>44617</v>
      </c>
      <c r="I1409" s="1">
        <f>IF(Query1[[#This Row],[ItemType]]="EVAP KIT SF GEN IV",Query1[[#This Row],[OrderQty]]+I1408,I1408)</f>
        <v>1533</v>
      </c>
      <c r="J1409" s="1">
        <f>IF(Query1[[#This Row],[ItemType]]="EVAP KIT UNIVERSAL",Query1[[#This Row],[OrderQty]]+J1408,J1408)</f>
        <v>735</v>
      </c>
      <c r="K1409" s="1">
        <f>Query1[[#This Row],[SF Running Total]]+Query1[[#This Row],[UNIV Running Total]]</f>
        <v>2268</v>
      </c>
      <c r="L1409">
        <f>VLOOKUP(Query1[[#This Row],[Description]],'kits to boards'!$B$2:$E$156,2,FALSE)</f>
        <v>830028</v>
      </c>
      <c r="M1409">
        <f>VLOOKUP(Query1[[#This Row],[Description]],'kits to boards'!$B$2:$E$156,3,FALSE)</f>
        <v>0</v>
      </c>
      <c r="N1409">
        <f>VLOOKUP(Query1[[#This Row],[Description]],'kits to boards'!$B$2:$E$156,4,FALSE)</f>
        <v>0</v>
      </c>
      <c r="O1409" t="str">
        <f>CONCATENATE(Query1[[#This Row],[Description]]," - ",Query1[[#This Row],[MB1]]," - ",Query1[[#This Row],[MB2]]," - ",Query1[[#This Row],[MB3]])</f>
        <v>EVAP KIT 55-59 CHEV P-UP WO AC W/DELX  - 830028 - 0 - 0</v>
      </c>
    </row>
    <row r="1410" spans="1:15" x14ac:dyDescent="0.25">
      <c r="A1410" s="1">
        <v>912619</v>
      </c>
      <c r="B1410" s="1" t="s">
        <v>24</v>
      </c>
      <c r="C1410" s="1" t="s">
        <v>25</v>
      </c>
      <c r="D1410" s="2">
        <v>44617.345300810186</v>
      </c>
      <c r="E1410" s="1" t="s">
        <v>11</v>
      </c>
      <c r="F1410" s="1">
        <v>3</v>
      </c>
      <c r="G1410" s="1">
        <v>0</v>
      </c>
      <c r="H1410" s="6">
        <f>INT(Query1[[#This Row],[EntryDateTime]])</f>
        <v>44617</v>
      </c>
      <c r="I1410" s="1">
        <f>IF(Query1[[#This Row],[ItemType]]="EVAP KIT SF GEN IV",Query1[[#This Row],[OrderQty]]+I1409,I1409)</f>
        <v>1533</v>
      </c>
      <c r="J1410" s="1">
        <f>IF(Query1[[#This Row],[ItemType]]="EVAP KIT UNIVERSAL",Query1[[#This Row],[OrderQty]]+J1409,J1409)</f>
        <v>738</v>
      </c>
      <c r="K1410" s="1">
        <f>Query1[[#This Row],[SF Running Total]]+Query1[[#This Row],[UNIV Running Total]]</f>
        <v>2271</v>
      </c>
      <c r="L1410">
        <f>VLOOKUP(Query1[[#This Row],[Description]],'kits to boards'!$B$2:$E$156,2,FALSE)</f>
        <v>830029</v>
      </c>
      <c r="M1410">
        <f>VLOOKUP(Query1[[#This Row],[Description]],'kits to boards'!$B$2:$E$156,3,FALSE)</f>
        <v>830030</v>
      </c>
      <c r="N1410">
        <f>VLOOKUP(Query1[[#This Row],[Description]],'kits to boards'!$B$2:$E$156,4,FALSE)</f>
        <v>0</v>
      </c>
      <c r="O1410" t="str">
        <f>CONCATENATE(Query1[[#This Row],[Description]]," - ",Query1[[#This Row],[MB1]]," - ",Query1[[#This Row],[MB2]]," - ",Query1[[#This Row],[MB3]])</f>
        <v>ComPac GEN II W/DEF - 830029 - 830030 - 0</v>
      </c>
    </row>
    <row r="1411" spans="1:15" x14ac:dyDescent="0.25">
      <c r="A1411" s="1">
        <v>912619</v>
      </c>
      <c r="B1411" s="1" t="s">
        <v>22</v>
      </c>
      <c r="C1411" s="1" t="s">
        <v>23</v>
      </c>
      <c r="D1411" s="2">
        <v>44617.34549216435</v>
      </c>
      <c r="E1411" s="1" t="s">
        <v>8</v>
      </c>
      <c r="F1411" s="1">
        <v>2</v>
      </c>
      <c r="G1411" s="1">
        <v>0</v>
      </c>
      <c r="H1411" s="6">
        <f>INT(Query1[[#This Row],[EntryDateTime]])</f>
        <v>44617</v>
      </c>
      <c r="I1411" s="1">
        <f>IF(Query1[[#This Row],[ItemType]]="EVAP KIT SF GEN IV",Query1[[#This Row],[OrderQty]]+I1410,I1410)</f>
        <v>1535</v>
      </c>
      <c r="J1411" s="1">
        <f>IF(Query1[[#This Row],[ItemType]]="EVAP KIT UNIVERSAL",Query1[[#This Row],[OrderQty]]+J1410,J1410)</f>
        <v>738</v>
      </c>
      <c r="K1411" s="1">
        <f>Query1[[#This Row],[SF Running Total]]+Query1[[#This Row],[UNIV Running Total]]</f>
        <v>2273</v>
      </c>
      <c r="L1411">
        <f>VLOOKUP(Query1[[#This Row],[Description]],'kits to boards'!$B$2:$E$156,2,FALSE)</f>
        <v>830083</v>
      </c>
      <c r="M1411">
        <f>VLOOKUP(Query1[[#This Row],[Description]],'kits to boards'!$B$2:$E$156,3,FALSE)</f>
        <v>0</v>
      </c>
      <c r="N1411">
        <f>VLOOKUP(Query1[[#This Row],[Description]],'kits to boards'!$B$2:$E$156,4,FALSE)</f>
        <v>0</v>
      </c>
      <c r="O1411" t="str">
        <f>CONCATENATE(Query1[[#This Row],[Description]]," - ",Query1[[#This Row],[MB1]]," - ",Query1[[#This Row],[MB2]]," - ",Query1[[#This Row],[MB3]])</f>
        <v>GEN IV MAGNUM EVAP KIT - 830083 - 0 - 0</v>
      </c>
    </row>
    <row r="1412" spans="1:15" x14ac:dyDescent="0.25">
      <c r="A1412" s="1">
        <v>912619</v>
      </c>
      <c r="B1412" s="1" t="s">
        <v>9</v>
      </c>
      <c r="C1412" s="1" t="s">
        <v>10</v>
      </c>
      <c r="D1412" s="2">
        <v>44617.345913773148</v>
      </c>
      <c r="E1412" s="1" t="s">
        <v>11</v>
      </c>
      <c r="F1412" s="1">
        <v>2</v>
      </c>
      <c r="G1412" s="1">
        <v>0</v>
      </c>
      <c r="H1412" s="6">
        <f>INT(Query1[[#This Row],[EntryDateTime]])</f>
        <v>44617</v>
      </c>
      <c r="I1412" s="1">
        <f>IF(Query1[[#This Row],[ItemType]]="EVAP KIT SF GEN IV",Query1[[#This Row],[OrderQty]]+I1411,I1411)</f>
        <v>1535</v>
      </c>
      <c r="J1412" s="1">
        <f>IF(Query1[[#This Row],[ItemType]]="EVAP KIT UNIVERSAL",Query1[[#This Row],[OrderQty]]+J1411,J1411)</f>
        <v>740</v>
      </c>
      <c r="K1412" s="1">
        <f>Query1[[#This Row],[SF Running Total]]+Query1[[#This Row],[UNIV Running Total]]</f>
        <v>2275</v>
      </c>
      <c r="L1412">
        <f>VLOOKUP(Query1[[#This Row],[Description]],'kits to boards'!$B$2:$E$156,2,FALSE)</f>
        <v>830069</v>
      </c>
      <c r="M1412">
        <f>VLOOKUP(Query1[[#This Row],[Description]],'kits to boards'!$B$2:$E$156,3,FALSE)</f>
        <v>0</v>
      </c>
      <c r="N1412">
        <f>VLOOKUP(Query1[[#This Row],[Description]],'kits to boards'!$B$2:$E$156,4,FALSE)</f>
        <v>0</v>
      </c>
      <c r="O1412" t="str">
        <f>CONCATENATE(Query1[[#This Row],[Description]]," - ",Query1[[#This Row],[MB1]]," - ",Query1[[#This Row],[MB2]]," - ",Query1[[#This Row],[MB3]])</f>
        <v>SLIMLINE H/C W/DEF STD LOUVER - 830069 - 0 - 0</v>
      </c>
    </row>
    <row r="1413" spans="1:15" x14ac:dyDescent="0.25">
      <c r="A1413" s="1">
        <v>912619</v>
      </c>
      <c r="B1413" s="1" t="s">
        <v>26</v>
      </c>
      <c r="C1413" s="1" t="s">
        <v>27</v>
      </c>
      <c r="D1413" s="2">
        <v>44617.346046331018</v>
      </c>
      <c r="E1413" s="1" t="s">
        <v>8</v>
      </c>
      <c r="F1413" s="1">
        <v>2</v>
      </c>
      <c r="G1413" s="1">
        <v>0</v>
      </c>
      <c r="H1413" s="6">
        <f>INT(Query1[[#This Row],[EntryDateTime]])</f>
        <v>44617</v>
      </c>
      <c r="I1413" s="1">
        <f>IF(Query1[[#This Row],[ItemType]]="EVAP KIT SF GEN IV",Query1[[#This Row],[OrderQty]]+I1412,I1412)</f>
        <v>1537</v>
      </c>
      <c r="J1413" s="1">
        <f>IF(Query1[[#This Row],[ItemType]]="EVAP KIT UNIVERSAL",Query1[[#This Row],[OrderQty]]+J1412,J1412)</f>
        <v>740</v>
      </c>
      <c r="K1413" s="1">
        <f>Query1[[#This Row],[SF Running Total]]+Query1[[#This Row],[UNIV Running Total]]</f>
        <v>2277</v>
      </c>
      <c r="L1413">
        <f>VLOOKUP(Query1[[#This Row],[Description]],'kits to boards'!$B$2:$E$156,2,FALSE)</f>
        <v>830013</v>
      </c>
      <c r="M1413">
        <f>VLOOKUP(Query1[[#This Row],[Description]],'kits to boards'!$B$2:$E$156,3,FALSE)</f>
        <v>0</v>
      </c>
      <c r="N1413">
        <f>VLOOKUP(Query1[[#This Row],[Description]],'kits to boards'!$B$2:$E$156,4,FALSE)</f>
        <v>0</v>
      </c>
      <c r="O1413" t="str">
        <f>CONCATENATE(Query1[[#This Row],[Description]]," - ",Query1[[#This Row],[MB1]]," - ",Query1[[#This Row],[MB2]]," - ",Query1[[#This Row],[MB3]])</f>
        <v>EVAP KIT 67-72 CHEV P-UP W/AC - 830013 - 0 - 0</v>
      </c>
    </row>
    <row r="1414" spans="1:15" x14ac:dyDescent="0.25">
      <c r="A1414" s="1">
        <v>912619</v>
      </c>
      <c r="B1414" s="1" t="s">
        <v>502</v>
      </c>
      <c r="C1414" s="1" t="s">
        <v>503</v>
      </c>
      <c r="D1414" s="2">
        <v>44617.347096759258</v>
      </c>
      <c r="E1414" s="1" t="s">
        <v>677</v>
      </c>
      <c r="F1414" s="1">
        <v>1</v>
      </c>
      <c r="G1414" s="1">
        <v>0</v>
      </c>
      <c r="H1414" s="6">
        <f>INT(Query1[[#This Row],[EntryDateTime]])</f>
        <v>44617</v>
      </c>
      <c r="I1414" s="1">
        <f>IF(Query1[[#This Row],[ItemType]]="EVAP KIT SF GEN IV",Query1[[#This Row],[OrderQty]]+I1413,I1413)</f>
        <v>1537</v>
      </c>
      <c r="J1414" s="1">
        <f>IF(Query1[[#This Row],[ItemType]]="EVAP KIT UNIVERSAL",Query1[[#This Row],[OrderQty]]+J1413,J1413)</f>
        <v>740</v>
      </c>
      <c r="K1414" s="1">
        <f>Query1[[#This Row],[SF Running Total]]+Query1[[#This Row],[UNIV Running Total]]</f>
        <v>2277</v>
      </c>
      <c r="L1414" t="e">
        <f>VLOOKUP(Query1[[#This Row],[Description]],'kits to boards'!$B$2:$E$156,2,FALSE)</f>
        <v>#N/A</v>
      </c>
      <c r="M1414" t="e">
        <f>VLOOKUP(Query1[[#This Row],[Description]],'kits to boards'!$B$2:$E$156,3,FALSE)</f>
        <v>#N/A</v>
      </c>
      <c r="N1414" t="e">
        <f>VLOOKUP(Query1[[#This Row],[Description]],'kits to boards'!$B$2:$E$156,4,FALSE)</f>
        <v>#N/A</v>
      </c>
      <c r="O1414" t="e">
        <f>CONCATENATE(Query1[[#This Row],[Description]]," - ",Query1[[#This Row],[MB1]]," - ",Query1[[#This Row],[MB2]]," - ",Query1[[#This Row],[MB3]])</f>
        <v>#N/A</v>
      </c>
    </row>
    <row r="1415" spans="1:15" x14ac:dyDescent="0.25">
      <c r="A1415" s="1">
        <v>912619</v>
      </c>
      <c r="B1415" s="1" t="s">
        <v>212</v>
      </c>
      <c r="C1415" s="1" t="s">
        <v>213</v>
      </c>
      <c r="D1415" s="2">
        <v>44617.347794363428</v>
      </c>
      <c r="E1415" s="1" t="s">
        <v>8</v>
      </c>
      <c r="F1415" s="1">
        <v>1</v>
      </c>
      <c r="G1415" s="1">
        <v>0</v>
      </c>
      <c r="H1415" s="6">
        <f>INT(Query1[[#This Row],[EntryDateTime]])</f>
        <v>44617</v>
      </c>
      <c r="I1415" s="1">
        <f>IF(Query1[[#This Row],[ItemType]]="EVAP KIT SF GEN IV",Query1[[#This Row],[OrderQty]]+I1414,I1414)</f>
        <v>1538</v>
      </c>
      <c r="J1415" s="1">
        <f>IF(Query1[[#This Row],[ItemType]]="EVAP KIT UNIVERSAL",Query1[[#This Row],[OrderQty]]+J1414,J1414)</f>
        <v>740</v>
      </c>
      <c r="K1415" s="1">
        <f>Query1[[#This Row],[SF Running Total]]+Query1[[#This Row],[UNIV Running Total]]</f>
        <v>2278</v>
      </c>
      <c r="L1415">
        <f>VLOOKUP(Query1[[#This Row],[Description]],'kits to boards'!$B$2:$E$156,2,FALSE)</f>
        <v>830034</v>
      </c>
      <c r="M1415">
        <f>VLOOKUP(Query1[[#This Row],[Description]],'kits to boards'!$B$2:$E$156,3,FALSE)</f>
        <v>0</v>
      </c>
      <c r="N1415">
        <f>VLOOKUP(Query1[[#This Row],[Description]],'kits to boards'!$B$2:$E$156,4,FALSE)</f>
        <v>0</v>
      </c>
      <c r="O1415" t="str">
        <f>CONCATENATE(Query1[[#This Row],[Description]]," - ",Query1[[#This Row],[MB1]]," - ",Query1[[#This Row],[MB2]]," - ",Query1[[#This Row],[MB3]])</f>
        <v>EVAP KIT 64-67 GTO W/AC - 830034 - 0 - 0</v>
      </c>
    </row>
    <row r="1416" spans="1:15" x14ac:dyDescent="0.25">
      <c r="A1416" s="1">
        <v>912619</v>
      </c>
      <c r="B1416" s="1" t="s">
        <v>156</v>
      </c>
      <c r="C1416" s="1" t="s">
        <v>157</v>
      </c>
      <c r="D1416" s="2">
        <v>44617.348495057871</v>
      </c>
      <c r="E1416" s="1" t="s">
        <v>8</v>
      </c>
      <c r="F1416" s="1">
        <v>1</v>
      </c>
      <c r="G1416" s="1">
        <v>0</v>
      </c>
      <c r="H1416" s="6">
        <f>INT(Query1[[#This Row],[EntryDateTime]])</f>
        <v>44617</v>
      </c>
      <c r="I1416" s="1">
        <f>IF(Query1[[#This Row],[ItemType]]="EVAP KIT SF GEN IV",Query1[[#This Row],[OrderQty]]+I1415,I1415)</f>
        <v>1539</v>
      </c>
      <c r="J1416" s="1">
        <f>IF(Query1[[#This Row],[ItemType]]="EVAP KIT UNIVERSAL",Query1[[#This Row],[OrderQty]]+J1415,J1415)</f>
        <v>740</v>
      </c>
      <c r="K1416" s="1">
        <f>Query1[[#This Row],[SF Running Total]]+Query1[[#This Row],[UNIV Running Total]]</f>
        <v>2279</v>
      </c>
      <c r="L1416">
        <f>VLOOKUP(Query1[[#This Row],[Description]],'kits to boards'!$B$2:$E$156,2,FALSE)</f>
        <v>830019</v>
      </c>
      <c r="M1416">
        <f>VLOOKUP(Query1[[#This Row],[Description]],'kits to boards'!$B$2:$E$156,3,FALSE)</f>
        <v>0</v>
      </c>
      <c r="N1416">
        <f>VLOOKUP(Query1[[#This Row],[Description]],'kits to boards'!$B$2:$E$156,4,FALSE)</f>
        <v>0</v>
      </c>
      <c r="O1416" t="str">
        <f>CONCATENATE(Query1[[#This Row],[Description]]," - ",Query1[[#This Row],[MB1]]," - ",Query1[[#This Row],[MB2]]," - ",Query1[[#This Row],[MB3]])</f>
        <v>EVAP KIT 70-81 FIREBIRD WO AC - 830019 - 0 - 0</v>
      </c>
    </row>
    <row r="1417" spans="1:15" x14ac:dyDescent="0.25">
      <c r="A1417" s="1">
        <v>912619</v>
      </c>
      <c r="B1417" s="1" t="s">
        <v>46</v>
      </c>
      <c r="C1417" s="1" t="s">
        <v>47</v>
      </c>
      <c r="D1417" s="2">
        <v>44617.349081250002</v>
      </c>
      <c r="E1417" s="1" t="s">
        <v>8</v>
      </c>
      <c r="F1417" s="1">
        <v>1</v>
      </c>
      <c r="G1417" s="1">
        <v>0</v>
      </c>
      <c r="H1417" s="6">
        <f>INT(Query1[[#This Row],[EntryDateTime]])</f>
        <v>44617</v>
      </c>
      <c r="I1417" s="1">
        <f>IF(Query1[[#This Row],[ItemType]]="EVAP KIT SF GEN IV",Query1[[#This Row],[OrderQty]]+I1416,I1416)</f>
        <v>1540</v>
      </c>
      <c r="J1417" s="1">
        <f>IF(Query1[[#This Row],[ItemType]]="EVAP KIT UNIVERSAL",Query1[[#This Row],[OrderQty]]+J1416,J1416)</f>
        <v>740</v>
      </c>
      <c r="K1417" s="1">
        <f>Query1[[#This Row],[SF Running Total]]+Query1[[#This Row],[UNIV Running Total]]</f>
        <v>2280</v>
      </c>
      <c r="L1417">
        <f>VLOOKUP(Query1[[#This Row],[Description]],'kits to boards'!$B$2:$E$156,2,FALSE)</f>
        <v>830018</v>
      </c>
      <c r="M1417">
        <f>VLOOKUP(Query1[[#This Row],[Description]],'kits to boards'!$B$2:$E$156,3,FALSE)</f>
        <v>0</v>
      </c>
      <c r="N1417">
        <f>VLOOKUP(Query1[[#This Row],[Description]],'kits to boards'!$B$2:$E$156,4,FALSE)</f>
        <v>0</v>
      </c>
      <c r="O1417" t="str">
        <f>CONCATENATE(Query1[[#This Row],[Description]]," - ",Query1[[#This Row],[MB1]]," - ",Query1[[#This Row],[MB2]]," - ",Query1[[#This Row],[MB3]])</f>
        <v>EVAP KIT 68-72 FORD P-UP F-100 - 830018 - 0 - 0</v>
      </c>
    </row>
    <row r="1418" spans="1:15" x14ac:dyDescent="0.25">
      <c r="A1418" s="1">
        <v>912619</v>
      </c>
      <c r="B1418" s="1" t="s">
        <v>92</v>
      </c>
      <c r="C1418" s="1" t="s">
        <v>93</v>
      </c>
      <c r="D1418" s="2">
        <v>44617.349631215278</v>
      </c>
      <c r="E1418" s="1" t="s">
        <v>8</v>
      </c>
      <c r="F1418" s="1">
        <v>1</v>
      </c>
      <c r="G1418" s="1">
        <v>0</v>
      </c>
      <c r="H1418" s="6">
        <f>INT(Query1[[#This Row],[EntryDateTime]])</f>
        <v>44617</v>
      </c>
      <c r="I1418" s="1">
        <f>IF(Query1[[#This Row],[ItemType]]="EVAP KIT SF GEN IV",Query1[[#This Row],[OrderQty]]+I1417,I1417)</f>
        <v>1541</v>
      </c>
      <c r="J1418" s="1">
        <f>IF(Query1[[#This Row],[ItemType]]="EVAP KIT UNIVERSAL",Query1[[#This Row],[OrderQty]]+J1417,J1417)</f>
        <v>740</v>
      </c>
      <c r="K1418" s="1">
        <f>Query1[[#This Row],[SF Running Total]]+Query1[[#This Row],[UNIV Running Total]]</f>
        <v>2281</v>
      </c>
      <c r="L1418">
        <f>VLOOKUP(Query1[[#This Row],[Description]],'kits to boards'!$B$2:$E$156,2,FALSE)</f>
        <v>830063</v>
      </c>
      <c r="M1418">
        <f>VLOOKUP(Query1[[#This Row],[Description]],'kits to boards'!$B$2:$E$156,3,FALSE)</f>
        <v>0</v>
      </c>
      <c r="N1418">
        <f>VLOOKUP(Query1[[#This Row],[Description]],'kits to boards'!$B$2:$E$156,4,FALSE)</f>
        <v>0</v>
      </c>
      <c r="O1418" t="str">
        <f>CONCATENATE(Query1[[#This Row],[Description]]," - ",Query1[[#This Row],[MB1]]," - ",Query1[[#This Row],[MB2]]," - ",Query1[[#This Row],[MB3]])</f>
        <v>EVAP KIT 50-53 CHEV P-UP GEN IV - 830063 - 0 - 0</v>
      </c>
    </row>
    <row r="1419" spans="1:15" x14ac:dyDescent="0.25">
      <c r="A1419" s="1">
        <v>912619</v>
      </c>
      <c r="B1419" s="1" t="s">
        <v>186</v>
      </c>
      <c r="C1419" s="1" t="s">
        <v>187</v>
      </c>
      <c r="D1419" s="2">
        <v>44617.350701585645</v>
      </c>
      <c r="E1419" s="1" t="s">
        <v>8</v>
      </c>
      <c r="F1419" s="1">
        <v>1</v>
      </c>
      <c r="G1419" s="1">
        <v>0</v>
      </c>
      <c r="H1419" s="6">
        <f>INT(Query1[[#This Row],[EntryDateTime]])</f>
        <v>44617</v>
      </c>
      <c r="I1419" s="1">
        <f>IF(Query1[[#This Row],[ItemType]]="EVAP KIT SF GEN IV",Query1[[#This Row],[OrderQty]]+I1418,I1418)</f>
        <v>1542</v>
      </c>
      <c r="J1419" s="1">
        <f>IF(Query1[[#This Row],[ItemType]]="EVAP KIT UNIVERSAL",Query1[[#This Row],[OrderQty]]+J1418,J1418)</f>
        <v>740</v>
      </c>
      <c r="K1419" s="1">
        <f>Query1[[#This Row],[SF Running Total]]+Query1[[#This Row],[UNIV Running Total]]</f>
        <v>2282</v>
      </c>
      <c r="L1419">
        <f>VLOOKUP(Query1[[#This Row],[Description]],'kits to boards'!$B$2:$E$156,2,FALSE)</f>
        <v>830125</v>
      </c>
      <c r="M1419">
        <f>VLOOKUP(Query1[[#This Row],[Description]],'kits to boards'!$B$2:$E$156,3,FALSE)</f>
        <v>830126</v>
      </c>
      <c r="N1419">
        <f>VLOOKUP(Query1[[#This Row],[Description]],'kits to boards'!$B$2:$E$156,4,FALSE)</f>
        <v>0</v>
      </c>
      <c r="O1419" t="str">
        <f>CONCATENATE(Query1[[#This Row],[Description]]," - ",Query1[[#This Row],[MB1]]," - ",Query1[[#This Row],[MB2]]," - ",Query1[[#This Row],[MB3]])</f>
        <v>EVAP KIT 65-66 IMPALA WO/AC - 830125 - 830126 - 0</v>
      </c>
    </row>
    <row r="1420" spans="1:15" x14ac:dyDescent="0.25">
      <c r="A1420" s="1">
        <v>912621</v>
      </c>
      <c r="B1420" s="1" t="s">
        <v>291</v>
      </c>
      <c r="C1420" s="1" t="s">
        <v>292</v>
      </c>
      <c r="D1420" s="2">
        <v>44617.350844328706</v>
      </c>
      <c r="E1420" s="1" t="s">
        <v>8</v>
      </c>
      <c r="F1420" s="1">
        <v>40</v>
      </c>
      <c r="G1420" s="1">
        <v>0</v>
      </c>
      <c r="H1420" s="6">
        <f>INT(Query1[[#This Row],[EntryDateTime]])</f>
        <v>44617</v>
      </c>
      <c r="I1420" s="1">
        <f>IF(Query1[[#This Row],[ItemType]]="EVAP KIT SF GEN IV",Query1[[#This Row],[OrderQty]]+I1419,I1419)</f>
        <v>1582</v>
      </c>
      <c r="J1420" s="1">
        <f>IF(Query1[[#This Row],[ItemType]]="EVAP KIT UNIVERSAL",Query1[[#This Row],[OrderQty]]+J1419,J1419)</f>
        <v>740</v>
      </c>
      <c r="K1420" s="1">
        <f>Query1[[#This Row],[SF Running Total]]+Query1[[#This Row],[UNIV Running Total]]</f>
        <v>2322</v>
      </c>
      <c r="L1420" t="e">
        <f>VLOOKUP(Query1[[#This Row],[Description]],'kits to boards'!$B$2:$E$156,2,FALSE)</f>
        <v>#N/A</v>
      </c>
      <c r="M1420" t="e">
        <f>VLOOKUP(Query1[[#This Row],[Description]],'kits to boards'!$B$2:$E$156,3,FALSE)</f>
        <v>#N/A</v>
      </c>
      <c r="N1420" t="e">
        <f>VLOOKUP(Query1[[#This Row],[Description]],'kits to boards'!$B$2:$E$156,4,FALSE)</f>
        <v>#N/A</v>
      </c>
      <c r="O1420" t="e">
        <f>CONCATENATE(Query1[[#This Row],[Description]]," - ",Query1[[#This Row],[MB1]]," - ",Query1[[#This Row],[MB2]]," - ",Query1[[#This Row],[MB3]])</f>
        <v>#N/A</v>
      </c>
    </row>
    <row r="1421" spans="1:15" x14ac:dyDescent="0.25">
      <c r="A1421" s="1">
        <v>912474</v>
      </c>
      <c r="B1421" s="1" t="s">
        <v>124</v>
      </c>
      <c r="C1421" s="1" t="s">
        <v>125</v>
      </c>
      <c r="D1421" s="2">
        <v>44617.355213078707</v>
      </c>
      <c r="E1421" s="1" t="s">
        <v>8</v>
      </c>
      <c r="F1421" s="1">
        <v>1</v>
      </c>
      <c r="G1421" s="1">
        <v>0</v>
      </c>
      <c r="H1421" s="6">
        <f>INT(Query1[[#This Row],[EntryDateTime]])</f>
        <v>44617</v>
      </c>
      <c r="I1421" s="1">
        <f>IF(Query1[[#This Row],[ItemType]]="EVAP KIT SF GEN IV",Query1[[#This Row],[OrderQty]]+I1420,I1420)</f>
        <v>1583</v>
      </c>
      <c r="J1421" s="1">
        <f>IF(Query1[[#This Row],[ItemType]]="EVAP KIT UNIVERSAL",Query1[[#This Row],[OrderQty]]+J1420,J1420)</f>
        <v>740</v>
      </c>
      <c r="K1421" s="1">
        <f>Query1[[#This Row],[SF Running Total]]+Query1[[#This Row],[UNIV Running Total]]</f>
        <v>2323</v>
      </c>
      <c r="L1421">
        <f>VLOOKUP(Query1[[#This Row],[Description]],'kits to boards'!$B$2:$E$156,2,FALSE)</f>
        <v>830002</v>
      </c>
      <c r="M1421">
        <f>VLOOKUP(Query1[[#This Row],[Description]],'kits to boards'!$B$2:$E$156,3,FALSE)</f>
        <v>0</v>
      </c>
      <c r="N1421">
        <f>VLOOKUP(Query1[[#This Row],[Description]],'kits to boards'!$B$2:$E$156,4,FALSE)</f>
        <v>0</v>
      </c>
      <c r="O1421" t="str">
        <f>CONCATENATE(Query1[[#This Row],[Description]]," - ",Query1[[#This Row],[MB1]]," - ",Query1[[#This Row],[MB2]]," - ",Query1[[#This Row],[MB3]])</f>
        <v>EVAP KIT 73-80 CHEV P-UP WO AC - 830002 - 0 - 0</v>
      </c>
    </row>
    <row r="1422" spans="1:15" x14ac:dyDescent="0.25">
      <c r="A1422" s="1">
        <v>912065</v>
      </c>
      <c r="B1422" s="1" t="s">
        <v>110</v>
      </c>
      <c r="C1422" s="1" t="s">
        <v>111</v>
      </c>
      <c r="D1422" s="2">
        <v>44617.355647685188</v>
      </c>
      <c r="E1422" s="1" t="s">
        <v>8</v>
      </c>
      <c r="F1422" s="1">
        <v>1</v>
      </c>
      <c r="G1422" s="1">
        <v>0</v>
      </c>
      <c r="H1422" s="6">
        <f>INT(Query1[[#This Row],[EntryDateTime]])</f>
        <v>44617</v>
      </c>
      <c r="I1422" s="1">
        <f>IF(Query1[[#This Row],[ItemType]]="EVAP KIT SF GEN IV",Query1[[#This Row],[OrderQty]]+I1421,I1421)</f>
        <v>1584</v>
      </c>
      <c r="J1422" s="1">
        <f>IF(Query1[[#This Row],[ItemType]]="EVAP KIT UNIVERSAL",Query1[[#This Row],[OrderQty]]+J1421,J1421)</f>
        <v>740</v>
      </c>
      <c r="K1422" s="1">
        <f>Query1[[#This Row],[SF Running Total]]+Query1[[#This Row],[UNIV Running Total]]</f>
        <v>2324</v>
      </c>
      <c r="L1422">
        <f>VLOOKUP(Query1[[#This Row],[Description]],'kits to boards'!$B$2:$E$156,2,FALSE)</f>
        <v>830053</v>
      </c>
      <c r="M1422">
        <f>VLOOKUP(Query1[[#This Row],[Description]],'kits to boards'!$B$2:$E$156,3,FALSE)</f>
        <v>0</v>
      </c>
      <c r="N1422">
        <f>VLOOKUP(Query1[[#This Row],[Description]],'kits to boards'!$B$2:$E$156,4,FALSE)</f>
        <v>0</v>
      </c>
      <c r="O1422" t="str">
        <f>CONCATENATE(Query1[[#This Row],[Description]]," - ",Query1[[#This Row],[MB1]]," - ",Query1[[#This Row],[MB2]]," - ",Query1[[#This Row],[MB3]])</f>
        <v>EVAP KIT 65-66 FORD F-100 - 830053 - 0 - 0</v>
      </c>
    </row>
    <row r="1423" spans="1:15" x14ac:dyDescent="0.25">
      <c r="A1423" s="1">
        <v>912633</v>
      </c>
      <c r="B1423" s="1" t="s">
        <v>192</v>
      </c>
      <c r="C1423" s="1" t="s">
        <v>193</v>
      </c>
      <c r="D1423" s="2">
        <v>44617.373325462962</v>
      </c>
      <c r="E1423" s="1" t="s">
        <v>8</v>
      </c>
      <c r="F1423" s="1">
        <v>1</v>
      </c>
      <c r="G1423" s="1">
        <v>0</v>
      </c>
      <c r="H1423" s="6">
        <f>INT(Query1[[#This Row],[EntryDateTime]])</f>
        <v>44617</v>
      </c>
      <c r="I1423" s="1">
        <f>IF(Query1[[#This Row],[ItemType]]="EVAP KIT SF GEN IV",Query1[[#This Row],[OrderQty]]+I1422,I1422)</f>
        <v>1585</v>
      </c>
      <c r="J1423" s="1">
        <f>IF(Query1[[#This Row],[ItemType]]="EVAP KIT UNIVERSAL",Query1[[#This Row],[OrderQty]]+J1422,J1422)</f>
        <v>740</v>
      </c>
      <c r="K1423" s="1">
        <f>Query1[[#This Row],[SF Running Total]]+Query1[[#This Row],[UNIV Running Total]]</f>
        <v>2325</v>
      </c>
      <c r="L1423">
        <f>VLOOKUP(Query1[[#This Row],[Description]],'kits to boards'!$B$2:$E$156,2,FALSE)</f>
        <v>830094</v>
      </c>
      <c r="M1423">
        <f>VLOOKUP(Query1[[#This Row],[Description]],'kits to boards'!$B$2:$E$156,3,FALSE)</f>
        <v>0</v>
      </c>
      <c r="N1423">
        <f>VLOOKUP(Query1[[#This Row],[Description]],'kits to boards'!$B$2:$E$156,4,FALSE)</f>
        <v>0</v>
      </c>
      <c r="O1423" t="str">
        <f>CONCATENATE(Query1[[#This Row],[Description]]," - ",Query1[[#This Row],[MB1]]," - ",Query1[[#This Row],[MB2]]," - ",Query1[[#This Row],[MB3]])</f>
        <v>EVAP KIT 69-73 VETTE W/AC - 830094 - 0 - 0</v>
      </c>
    </row>
    <row r="1424" spans="1:15" x14ac:dyDescent="0.25">
      <c r="A1424" s="1">
        <v>912636</v>
      </c>
      <c r="B1424" s="1" t="s">
        <v>70</v>
      </c>
      <c r="C1424" s="1" t="s">
        <v>71</v>
      </c>
      <c r="D1424" s="2">
        <v>44617.378029942127</v>
      </c>
      <c r="E1424" s="1" t="s">
        <v>8</v>
      </c>
      <c r="F1424" s="1">
        <v>1</v>
      </c>
      <c r="G1424" s="1">
        <v>0</v>
      </c>
      <c r="H1424" s="6">
        <f>INT(Query1[[#This Row],[EntryDateTime]])</f>
        <v>44617</v>
      </c>
      <c r="I1424" s="1">
        <f>IF(Query1[[#This Row],[ItemType]]="EVAP KIT SF GEN IV",Query1[[#This Row],[OrderQty]]+I1423,I1423)</f>
        <v>1586</v>
      </c>
      <c r="J1424" s="1">
        <f>IF(Query1[[#This Row],[ItemType]]="EVAP KIT UNIVERSAL",Query1[[#This Row],[OrderQty]]+J1423,J1423)</f>
        <v>740</v>
      </c>
      <c r="K1424" s="1">
        <f>Query1[[#This Row],[SF Running Total]]+Query1[[#This Row],[UNIV Running Total]]</f>
        <v>2326</v>
      </c>
      <c r="L1424">
        <f>VLOOKUP(Query1[[#This Row],[Description]],'kits to boards'!$B$2:$E$156,2,FALSE)</f>
        <v>830050</v>
      </c>
      <c r="M1424">
        <f>VLOOKUP(Query1[[#This Row],[Description]],'kits to boards'!$B$2:$E$156,3,FALSE)</f>
        <v>0</v>
      </c>
      <c r="N1424">
        <f>VLOOKUP(Query1[[#This Row],[Description]],'kits to boards'!$B$2:$E$156,4,FALSE)</f>
        <v>0</v>
      </c>
      <c r="O1424" t="str">
        <f>CONCATENATE(Query1[[#This Row],[Description]]," - ",Query1[[#This Row],[MB1]]," - ",Query1[[#This Row],[MB2]]," - ",Query1[[#This Row],[MB3]])</f>
        <v>EVAP KIT 70-78 CAMARO WO AC - 830050 - 0 - 0</v>
      </c>
    </row>
    <row r="1425" spans="1:15" x14ac:dyDescent="0.25">
      <c r="A1425" s="1">
        <v>911004</v>
      </c>
      <c r="B1425" s="1" t="s">
        <v>68</v>
      </c>
      <c r="C1425" s="1" t="s">
        <v>69</v>
      </c>
      <c r="D1425" s="2">
        <v>44617.410016238427</v>
      </c>
      <c r="E1425" s="1" t="s">
        <v>8</v>
      </c>
      <c r="F1425" s="1">
        <v>1</v>
      </c>
      <c r="G1425" s="1">
        <v>0</v>
      </c>
      <c r="H1425" s="6">
        <f>INT(Query1[[#This Row],[EntryDateTime]])</f>
        <v>44617</v>
      </c>
      <c r="I1425" s="1">
        <f>IF(Query1[[#This Row],[ItemType]]="EVAP KIT SF GEN IV",Query1[[#This Row],[OrderQty]]+I1424,I1424)</f>
        <v>1587</v>
      </c>
      <c r="J1425" s="1">
        <f>IF(Query1[[#This Row],[ItemType]]="EVAP KIT UNIVERSAL",Query1[[#This Row],[OrderQty]]+J1424,J1424)</f>
        <v>740</v>
      </c>
      <c r="K1425" s="1">
        <f>Query1[[#This Row],[SF Running Total]]+Query1[[#This Row],[UNIV Running Total]]</f>
        <v>2327</v>
      </c>
      <c r="L1425">
        <f>VLOOKUP(Query1[[#This Row],[Description]],'kits to boards'!$B$2:$E$156,2,FALSE)</f>
        <v>830010</v>
      </c>
      <c r="M1425">
        <f>VLOOKUP(Query1[[#This Row],[Description]],'kits to boards'!$B$2:$E$156,3,FALSE)</f>
        <v>0</v>
      </c>
      <c r="N1425">
        <f>VLOOKUP(Query1[[#This Row],[Description]],'kits to boards'!$B$2:$E$156,4,FALSE)</f>
        <v>0</v>
      </c>
      <c r="O1425" t="str">
        <f>CONCATENATE(Query1[[#This Row],[Description]]," - ",Query1[[#This Row],[MB1]]," - ",Query1[[#This Row],[MB2]]," - ",Query1[[#This Row],[MB3]])</f>
        <v>EVAP KIT 70-72 CHEVELLE WO AC - 830010 - 0 - 0</v>
      </c>
    </row>
    <row r="1426" spans="1:15" x14ac:dyDescent="0.25">
      <c r="A1426" s="1">
        <v>912654</v>
      </c>
      <c r="B1426" s="1" t="s">
        <v>52</v>
      </c>
      <c r="C1426" s="1" t="s">
        <v>53</v>
      </c>
      <c r="D1426" s="2">
        <v>44617.418847800924</v>
      </c>
      <c r="E1426" s="1" t="s">
        <v>8</v>
      </c>
      <c r="F1426" s="1">
        <v>1</v>
      </c>
      <c r="G1426" s="1">
        <v>0</v>
      </c>
      <c r="H1426" s="6">
        <f>INT(Query1[[#This Row],[EntryDateTime]])</f>
        <v>44617</v>
      </c>
      <c r="I1426" s="1">
        <f>IF(Query1[[#This Row],[ItemType]]="EVAP KIT SF GEN IV",Query1[[#This Row],[OrderQty]]+I1425,I1425)</f>
        <v>1588</v>
      </c>
      <c r="J1426" s="1">
        <f>IF(Query1[[#This Row],[ItemType]]="EVAP KIT UNIVERSAL",Query1[[#This Row],[OrderQty]]+J1425,J1425)</f>
        <v>740</v>
      </c>
      <c r="K1426" s="1">
        <f>Query1[[#This Row],[SF Running Total]]+Query1[[#This Row],[UNIV Running Total]]</f>
        <v>2328</v>
      </c>
      <c r="L1426">
        <f>VLOOKUP(Query1[[#This Row],[Description]],'kits to boards'!$B$2:$E$156,2,FALSE)</f>
        <v>830017</v>
      </c>
      <c r="M1426">
        <f>VLOOKUP(Query1[[#This Row],[Description]],'kits to boards'!$B$2:$E$156,3,FALSE)</f>
        <v>830119</v>
      </c>
      <c r="N1426">
        <f>VLOOKUP(Query1[[#This Row],[Description]],'kits to boards'!$B$2:$E$156,4,FALSE)</f>
        <v>830120</v>
      </c>
      <c r="O1426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1427" spans="1:15" x14ac:dyDescent="0.25">
      <c r="A1427" s="1">
        <v>912660</v>
      </c>
      <c r="B1427" s="1" t="s">
        <v>216</v>
      </c>
      <c r="C1427" s="1" t="s">
        <v>217</v>
      </c>
      <c r="D1427" s="2">
        <v>44617.428481400464</v>
      </c>
      <c r="E1427" s="1" t="s">
        <v>8</v>
      </c>
      <c r="F1427" s="1">
        <v>1</v>
      </c>
      <c r="G1427" s="1">
        <v>0</v>
      </c>
      <c r="H1427" s="6">
        <f>INT(Query1[[#This Row],[EntryDateTime]])</f>
        <v>44617</v>
      </c>
      <c r="I1427" s="1">
        <f>IF(Query1[[#This Row],[ItemType]]="EVAP KIT SF GEN IV",Query1[[#This Row],[OrderQty]]+I1426,I1426)</f>
        <v>1589</v>
      </c>
      <c r="J1427" s="1">
        <f>IF(Query1[[#This Row],[ItemType]]="EVAP KIT UNIVERSAL",Query1[[#This Row],[OrderQty]]+J1426,J1426)</f>
        <v>740</v>
      </c>
      <c r="K1427" s="1">
        <f>Query1[[#This Row],[SF Running Total]]+Query1[[#This Row],[UNIV Running Total]]</f>
        <v>2329</v>
      </c>
      <c r="L1427">
        <f>VLOOKUP(Query1[[#This Row],[Description]],'kits to boards'!$B$2:$E$156,2,FALSE)</f>
        <v>830072</v>
      </c>
      <c r="M1427">
        <f>VLOOKUP(Query1[[#This Row],[Description]],'kits to boards'!$B$2:$E$156,3,FALSE)</f>
        <v>830075</v>
      </c>
      <c r="N1427">
        <f>VLOOKUP(Query1[[#This Row],[Description]],'kits to boards'!$B$2:$E$156,4,FALSE)</f>
        <v>0</v>
      </c>
      <c r="O1427" t="str">
        <f>CONCATENATE(Query1[[#This Row],[Description]]," - ",Query1[[#This Row],[MB1]]," - ",Query1[[#This Row],[MB2]]," - ",Query1[[#This Row],[MB3]])</f>
        <v>EVAP KIT 69-70 MOPAR B BODY W/AC - 830072 - 830075 - 0</v>
      </c>
    </row>
    <row r="1428" spans="1:15" x14ac:dyDescent="0.25">
      <c r="A1428" s="1">
        <v>912664</v>
      </c>
      <c r="B1428" s="1" t="s">
        <v>26</v>
      </c>
      <c r="C1428" s="1" t="s">
        <v>27</v>
      </c>
      <c r="D1428" s="2">
        <v>44617.44021508102</v>
      </c>
      <c r="E1428" s="1" t="s">
        <v>8</v>
      </c>
      <c r="F1428" s="1">
        <v>1</v>
      </c>
      <c r="G1428" s="1">
        <v>0</v>
      </c>
      <c r="H1428" s="6">
        <f>INT(Query1[[#This Row],[EntryDateTime]])</f>
        <v>44617</v>
      </c>
      <c r="I1428" s="1">
        <f>IF(Query1[[#This Row],[ItemType]]="EVAP KIT SF GEN IV",Query1[[#This Row],[OrderQty]]+I1427,I1427)</f>
        <v>1590</v>
      </c>
      <c r="J1428" s="1">
        <f>IF(Query1[[#This Row],[ItemType]]="EVAP KIT UNIVERSAL",Query1[[#This Row],[OrderQty]]+J1427,J1427)</f>
        <v>740</v>
      </c>
      <c r="K1428" s="1">
        <f>Query1[[#This Row],[SF Running Total]]+Query1[[#This Row],[UNIV Running Total]]</f>
        <v>2330</v>
      </c>
      <c r="L1428">
        <f>VLOOKUP(Query1[[#This Row],[Description]],'kits to boards'!$B$2:$E$156,2,FALSE)</f>
        <v>830013</v>
      </c>
      <c r="M1428">
        <f>VLOOKUP(Query1[[#This Row],[Description]],'kits to boards'!$B$2:$E$156,3,FALSE)</f>
        <v>0</v>
      </c>
      <c r="N1428">
        <f>VLOOKUP(Query1[[#This Row],[Description]],'kits to boards'!$B$2:$E$156,4,FALSE)</f>
        <v>0</v>
      </c>
      <c r="O1428" t="str">
        <f>CONCATENATE(Query1[[#This Row],[Description]]," - ",Query1[[#This Row],[MB1]]," - ",Query1[[#This Row],[MB2]]," - ",Query1[[#This Row],[MB3]])</f>
        <v>EVAP KIT 67-72 CHEV P-UP W/AC - 830013 - 0 - 0</v>
      </c>
    </row>
    <row r="1429" spans="1:15" x14ac:dyDescent="0.25">
      <c r="A1429" s="1">
        <v>912614</v>
      </c>
      <c r="B1429" s="1" t="s">
        <v>104</v>
      </c>
      <c r="C1429" s="1" t="s">
        <v>105</v>
      </c>
      <c r="D1429" s="2">
        <v>44617.450074074077</v>
      </c>
      <c r="E1429" s="1" t="s">
        <v>11</v>
      </c>
      <c r="F1429" s="1">
        <v>1</v>
      </c>
      <c r="G1429" s="1">
        <v>0</v>
      </c>
      <c r="H1429" s="6">
        <f>INT(Query1[[#This Row],[EntryDateTime]])</f>
        <v>44617</v>
      </c>
      <c r="I1429" s="1">
        <f>IF(Query1[[#This Row],[ItemType]]="EVAP KIT SF GEN IV",Query1[[#This Row],[OrderQty]]+I1428,I1428)</f>
        <v>1590</v>
      </c>
      <c r="J1429" s="1">
        <f>IF(Query1[[#This Row],[ItemType]]="EVAP KIT UNIVERSAL",Query1[[#This Row],[OrderQty]]+J1428,J1428)</f>
        <v>741</v>
      </c>
      <c r="K1429" s="1">
        <f>Query1[[#This Row],[SF Running Total]]+Query1[[#This Row],[UNIV Running Total]]</f>
        <v>2331</v>
      </c>
      <c r="L1429">
        <f>VLOOKUP(Query1[[#This Row],[Description]],'kits to boards'!$B$2:$E$156,2,FALSE)</f>
        <v>0</v>
      </c>
      <c r="M1429">
        <f>VLOOKUP(Query1[[#This Row],[Description]],'kits to boards'!$B$2:$E$156,3,FALSE)</f>
        <v>0</v>
      </c>
      <c r="N1429">
        <f>VLOOKUP(Query1[[#This Row],[Description]],'kits to boards'!$B$2:$E$156,4,FALSE)</f>
        <v>0</v>
      </c>
      <c r="O1429" t="str">
        <f>CONCATENATE(Query1[[#This Row],[Description]]," - ",Query1[[#This Row],[MB1]]," - ",Query1[[#This Row],[MB2]]," - ",Query1[[#This Row],[MB3]])</f>
        <v>HERITAGE BRUSHED EVAP KIT HEAT/COOL - 0 - 0 - 0</v>
      </c>
    </row>
    <row r="1430" spans="1:15" x14ac:dyDescent="0.25">
      <c r="A1430" s="1">
        <v>912667</v>
      </c>
      <c r="B1430" s="1" t="s">
        <v>166</v>
      </c>
      <c r="C1430" s="1" t="s">
        <v>167</v>
      </c>
      <c r="D1430" s="2">
        <v>44617.454502002314</v>
      </c>
      <c r="E1430" s="1" t="s">
        <v>8</v>
      </c>
      <c r="F1430" s="1">
        <v>1</v>
      </c>
      <c r="G1430" s="1">
        <v>0</v>
      </c>
      <c r="H1430" s="6">
        <f>INT(Query1[[#This Row],[EntryDateTime]])</f>
        <v>44617</v>
      </c>
      <c r="I1430" s="1">
        <f>IF(Query1[[#This Row],[ItemType]]="EVAP KIT SF GEN IV",Query1[[#This Row],[OrderQty]]+I1429,I1429)</f>
        <v>1591</v>
      </c>
      <c r="J1430" s="1">
        <f>IF(Query1[[#This Row],[ItemType]]="EVAP KIT UNIVERSAL",Query1[[#This Row],[OrderQty]]+J1429,J1429)</f>
        <v>741</v>
      </c>
      <c r="K1430" s="1">
        <f>Query1[[#This Row],[SF Running Total]]+Query1[[#This Row],[UNIV Running Total]]</f>
        <v>2332</v>
      </c>
      <c r="L1430">
        <f>VLOOKUP(Query1[[#This Row],[Description]],'kits to boards'!$B$2:$E$156,2,FALSE)</f>
        <v>830063</v>
      </c>
      <c r="M1430">
        <f>VLOOKUP(Query1[[#This Row],[Description]],'kits to boards'!$B$2:$E$156,3,FALSE)</f>
        <v>0</v>
      </c>
      <c r="N1430">
        <f>VLOOKUP(Query1[[#This Row],[Description]],'kits to boards'!$B$2:$E$156,4,FALSE)</f>
        <v>0</v>
      </c>
      <c r="O1430" t="str">
        <f>CONCATENATE(Query1[[#This Row],[Description]]," - ",Query1[[#This Row],[MB1]]," - ",Query1[[#This Row],[MB2]]," - ",Query1[[#This Row],[MB3]])</f>
        <v>EVAP KIT 47-49 CHEV P-UP GEN IV - 830063 - 0 - 0</v>
      </c>
    </row>
    <row r="1431" spans="1:15" x14ac:dyDescent="0.25">
      <c r="A1431" s="1">
        <v>912672</v>
      </c>
      <c r="B1431" s="1" t="s">
        <v>26</v>
      </c>
      <c r="C1431" s="1" t="s">
        <v>27</v>
      </c>
      <c r="D1431" s="2">
        <v>44617.462879513892</v>
      </c>
      <c r="E1431" s="1" t="s">
        <v>8</v>
      </c>
      <c r="F1431" s="1">
        <v>1</v>
      </c>
      <c r="G1431" s="1">
        <v>0</v>
      </c>
      <c r="H1431" s="6">
        <f>INT(Query1[[#This Row],[EntryDateTime]])</f>
        <v>44617</v>
      </c>
      <c r="I1431" s="1">
        <f>IF(Query1[[#This Row],[ItemType]]="EVAP KIT SF GEN IV",Query1[[#This Row],[OrderQty]]+I1430,I1430)</f>
        <v>1592</v>
      </c>
      <c r="J1431" s="1">
        <f>IF(Query1[[#This Row],[ItemType]]="EVAP KIT UNIVERSAL",Query1[[#This Row],[OrderQty]]+J1430,J1430)</f>
        <v>741</v>
      </c>
      <c r="K1431" s="1">
        <f>Query1[[#This Row],[SF Running Total]]+Query1[[#This Row],[UNIV Running Total]]</f>
        <v>2333</v>
      </c>
      <c r="L1431">
        <f>VLOOKUP(Query1[[#This Row],[Description]],'kits to boards'!$B$2:$E$156,2,FALSE)</f>
        <v>830013</v>
      </c>
      <c r="M1431">
        <f>VLOOKUP(Query1[[#This Row],[Description]],'kits to boards'!$B$2:$E$156,3,FALSE)</f>
        <v>0</v>
      </c>
      <c r="N1431">
        <f>VLOOKUP(Query1[[#This Row],[Description]],'kits to boards'!$B$2:$E$156,4,FALSE)</f>
        <v>0</v>
      </c>
      <c r="O1431" t="str">
        <f>CONCATENATE(Query1[[#This Row],[Description]]," - ",Query1[[#This Row],[MB1]]," - ",Query1[[#This Row],[MB2]]," - ",Query1[[#This Row],[MB3]])</f>
        <v>EVAP KIT 67-72 CHEV P-UP W/AC - 830013 - 0 - 0</v>
      </c>
    </row>
    <row r="1432" spans="1:15" x14ac:dyDescent="0.25">
      <c r="A1432" s="1">
        <v>912486</v>
      </c>
      <c r="B1432" s="1" t="s">
        <v>96</v>
      </c>
      <c r="C1432" s="1" t="s">
        <v>97</v>
      </c>
      <c r="D1432" s="2">
        <v>44617.464923414351</v>
      </c>
      <c r="E1432" s="1" t="s">
        <v>8</v>
      </c>
      <c r="F1432" s="1">
        <v>1</v>
      </c>
      <c r="G1432" s="1">
        <v>0</v>
      </c>
      <c r="H1432" s="6">
        <f>INT(Query1[[#This Row],[EntryDateTime]])</f>
        <v>44617</v>
      </c>
      <c r="I1432" s="1">
        <f>IF(Query1[[#This Row],[ItemType]]="EVAP KIT SF GEN IV",Query1[[#This Row],[OrderQty]]+I1431,I1431)</f>
        <v>1593</v>
      </c>
      <c r="J1432" s="1">
        <f>IF(Query1[[#This Row],[ItemType]]="EVAP KIT UNIVERSAL",Query1[[#This Row],[OrderQty]]+J1431,J1431)</f>
        <v>741</v>
      </c>
      <c r="K1432" s="1">
        <f>Query1[[#This Row],[SF Running Total]]+Query1[[#This Row],[UNIV Running Total]]</f>
        <v>2334</v>
      </c>
      <c r="L1432">
        <f>VLOOKUP(Query1[[#This Row],[Description]],'kits to boards'!$B$2:$E$156,2,FALSE)</f>
        <v>830004</v>
      </c>
      <c r="M1432">
        <f>VLOOKUP(Query1[[#This Row],[Description]],'kits to boards'!$B$2:$E$156,3,FALSE)</f>
        <v>0</v>
      </c>
      <c r="N1432">
        <f>VLOOKUP(Query1[[#This Row],[Description]],'kits to boards'!$B$2:$E$156,4,FALSE)</f>
        <v>0</v>
      </c>
      <c r="O1432" t="str">
        <f>CONCATENATE(Query1[[#This Row],[Description]]," - ",Query1[[#This Row],[MB1]]," - ",Query1[[#This Row],[MB2]]," - ",Query1[[#This Row],[MB3]])</f>
        <v>EVAP KIT 81-87 CHEV P-UP W/AC - 830004 - 0 - 0</v>
      </c>
    </row>
    <row r="1433" spans="1:15" x14ac:dyDescent="0.25">
      <c r="A1433" s="1">
        <v>912670</v>
      </c>
      <c r="B1433" s="1" t="s">
        <v>152</v>
      </c>
      <c r="C1433" s="1" t="s">
        <v>153</v>
      </c>
      <c r="D1433" s="2">
        <v>44617.465407175929</v>
      </c>
      <c r="E1433" s="1" t="s">
        <v>8</v>
      </c>
      <c r="F1433" s="1">
        <v>1</v>
      </c>
      <c r="G1433" s="1">
        <v>0</v>
      </c>
      <c r="H1433" s="6">
        <f>INT(Query1[[#This Row],[EntryDateTime]])</f>
        <v>44617</v>
      </c>
      <c r="I1433" s="1">
        <f>IF(Query1[[#This Row],[ItemType]]="EVAP KIT SF GEN IV",Query1[[#This Row],[OrderQty]]+I1432,I1432)</f>
        <v>1594</v>
      </c>
      <c r="J1433" s="1">
        <f>IF(Query1[[#This Row],[ItemType]]="EVAP KIT UNIVERSAL",Query1[[#This Row],[OrderQty]]+J1432,J1432)</f>
        <v>741</v>
      </c>
      <c r="K1433" s="1">
        <f>Query1[[#This Row],[SF Running Total]]+Query1[[#This Row],[UNIV Running Total]]</f>
        <v>2335</v>
      </c>
      <c r="L1433">
        <f>VLOOKUP(Query1[[#This Row],[Description]],'kits to boards'!$B$2:$E$156,2,FALSE)</f>
        <v>830034</v>
      </c>
      <c r="M1433">
        <f>VLOOKUP(Query1[[#This Row],[Description]],'kits to boards'!$B$2:$E$156,3,FALSE)</f>
        <v>0</v>
      </c>
      <c r="N1433">
        <f>VLOOKUP(Query1[[#This Row],[Description]],'kits to boards'!$B$2:$E$156,4,FALSE)</f>
        <v>0</v>
      </c>
      <c r="O1433" t="str">
        <f>CONCATENATE(Query1[[#This Row],[Description]]," - ",Query1[[#This Row],[MB1]]," - ",Query1[[#This Row],[MB2]]," - ",Query1[[#This Row],[MB3]])</f>
        <v>EVAP KIT 64-67 GTO WO AC - 830034 - 0 - 0</v>
      </c>
    </row>
    <row r="1434" spans="1:15" x14ac:dyDescent="0.25">
      <c r="A1434" s="1">
        <v>912676</v>
      </c>
      <c r="B1434" s="1" t="s">
        <v>62</v>
      </c>
      <c r="C1434" s="1" t="s">
        <v>63</v>
      </c>
      <c r="D1434" s="2">
        <v>44617.470723842591</v>
      </c>
      <c r="E1434" s="1" t="s">
        <v>8</v>
      </c>
      <c r="F1434" s="1">
        <v>1</v>
      </c>
      <c r="G1434" s="1">
        <v>0</v>
      </c>
      <c r="H1434" s="6">
        <f>INT(Query1[[#This Row],[EntryDateTime]])</f>
        <v>44617</v>
      </c>
      <c r="I1434" s="1">
        <f>IF(Query1[[#This Row],[ItemType]]="EVAP KIT SF GEN IV",Query1[[#This Row],[OrderQty]]+I1433,I1433)</f>
        <v>1595</v>
      </c>
      <c r="J1434" s="1">
        <f>IF(Query1[[#This Row],[ItemType]]="EVAP KIT UNIVERSAL",Query1[[#This Row],[OrderQty]]+J1433,J1433)</f>
        <v>741</v>
      </c>
      <c r="K1434" s="1">
        <f>Query1[[#This Row],[SF Running Total]]+Query1[[#This Row],[UNIV Running Total]]</f>
        <v>2336</v>
      </c>
      <c r="L1434">
        <f>VLOOKUP(Query1[[#This Row],[Description]],'kits to boards'!$B$2:$E$156,2,FALSE)</f>
        <v>830079</v>
      </c>
      <c r="M1434">
        <f>VLOOKUP(Query1[[#This Row],[Description]],'kits to boards'!$B$2:$E$156,3,FALSE)</f>
        <v>830046</v>
      </c>
      <c r="N1434">
        <f>VLOOKUP(Query1[[#This Row],[Description]],'kits to boards'!$B$2:$E$156,4,FALSE)</f>
        <v>0</v>
      </c>
      <c r="O1434" t="str">
        <f>CONCATENATE(Query1[[#This Row],[Description]]," - ",Query1[[#This Row],[MB1]]," - ",Query1[[#This Row],[MB2]]," - ",Query1[[#This Row],[MB3]])</f>
        <v>EVAP KIT 67-68 MUSTANG/COUGAR WO AC - 830079 - 830046 - 0</v>
      </c>
    </row>
    <row r="1435" spans="1:15" x14ac:dyDescent="0.25">
      <c r="A1435" s="1">
        <v>912668</v>
      </c>
      <c r="B1435" s="1" t="s">
        <v>52</v>
      </c>
      <c r="C1435" s="1" t="s">
        <v>53</v>
      </c>
      <c r="D1435" s="2">
        <v>44617.482100347224</v>
      </c>
      <c r="E1435" s="1" t="s">
        <v>8</v>
      </c>
      <c r="F1435" s="1">
        <v>1</v>
      </c>
      <c r="G1435" s="1">
        <v>0</v>
      </c>
      <c r="H1435" s="6">
        <f>INT(Query1[[#This Row],[EntryDateTime]])</f>
        <v>44617</v>
      </c>
      <c r="I1435" s="1">
        <f>IF(Query1[[#This Row],[ItemType]]="EVAP KIT SF GEN IV",Query1[[#This Row],[OrderQty]]+I1434,I1434)</f>
        <v>1596</v>
      </c>
      <c r="J1435" s="1">
        <f>IF(Query1[[#This Row],[ItemType]]="EVAP KIT UNIVERSAL",Query1[[#This Row],[OrderQty]]+J1434,J1434)</f>
        <v>741</v>
      </c>
      <c r="K1435" s="1">
        <f>Query1[[#This Row],[SF Running Total]]+Query1[[#This Row],[UNIV Running Total]]</f>
        <v>2337</v>
      </c>
      <c r="L1435">
        <f>VLOOKUP(Query1[[#This Row],[Description]],'kits to boards'!$B$2:$E$156,2,FALSE)</f>
        <v>830017</v>
      </c>
      <c r="M1435">
        <f>VLOOKUP(Query1[[#This Row],[Description]],'kits to boards'!$B$2:$E$156,3,FALSE)</f>
        <v>830119</v>
      </c>
      <c r="N1435">
        <f>VLOOKUP(Query1[[#This Row],[Description]],'kits to boards'!$B$2:$E$156,4,FALSE)</f>
        <v>830120</v>
      </c>
      <c r="O1435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1436" spans="1:15" x14ac:dyDescent="0.25">
      <c r="A1436" s="1">
        <v>912681</v>
      </c>
      <c r="B1436" s="1" t="s">
        <v>102</v>
      </c>
      <c r="C1436" s="1" t="s">
        <v>103</v>
      </c>
      <c r="D1436" s="2">
        <v>44617.492395914349</v>
      </c>
      <c r="E1436" s="1" t="s">
        <v>8</v>
      </c>
      <c r="F1436" s="1">
        <v>1</v>
      </c>
      <c r="G1436" s="1">
        <v>0</v>
      </c>
      <c r="H1436" s="6">
        <f>INT(Query1[[#This Row],[EntryDateTime]])</f>
        <v>44617</v>
      </c>
      <c r="I1436" s="1">
        <f>IF(Query1[[#This Row],[ItemType]]="EVAP KIT SF GEN IV",Query1[[#This Row],[OrderQty]]+I1435,I1435)</f>
        <v>1597</v>
      </c>
      <c r="J1436" s="1">
        <f>IF(Query1[[#This Row],[ItemType]]="EVAP KIT UNIVERSAL",Query1[[#This Row],[OrderQty]]+J1435,J1435)</f>
        <v>741</v>
      </c>
      <c r="K1436" s="1">
        <f>Query1[[#This Row],[SF Running Total]]+Query1[[#This Row],[UNIV Running Total]]</f>
        <v>2338</v>
      </c>
      <c r="L1436">
        <f>VLOOKUP(Query1[[#This Row],[Description]],'kits to boards'!$B$2:$E$156,2,FALSE)</f>
        <v>830012</v>
      </c>
      <c r="M1436">
        <f>VLOOKUP(Query1[[#This Row],[Description]],'kits to boards'!$B$2:$E$156,3,FALSE)</f>
        <v>0</v>
      </c>
      <c r="N1436">
        <f>VLOOKUP(Query1[[#This Row],[Description]],'kits to boards'!$B$2:$E$156,4,FALSE)</f>
        <v>0</v>
      </c>
      <c r="O1436" t="str">
        <f>CONCATENATE(Query1[[#This Row],[Description]]," - ",Query1[[#This Row],[MB1]]," - ",Query1[[#This Row],[MB2]]," - ",Query1[[#This Row],[MB3]])</f>
        <v>EVAP KIT 69 CAMARO WO/AC - 830012 - 0 - 0</v>
      </c>
    </row>
    <row r="1437" spans="1:15" x14ac:dyDescent="0.25">
      <c r="A1437" s="1">
        <v>912663</v>
      </c>
      <c r="B1437" s="1" t="s">
        <v>42</v>
      </c>
      <c r="C1437" s="1" t="s">
        <v>43</v>
      </c>
      <c r="D1437" s="2">
        <v>44617.506224849538</v>
      </c>
      <c r="E1437" s="1" t="s">
        <v>8</v>
      </c>
      <c r="F1437" s="1">
        <v>1</v>
      </c>
      <c r="G1437" s="1">
        <v>0</v>
      </c>
      <c r="H1437" s="6">
        <f>INT(Query1[[#This Row],[EntryDateTime]])</f>
        <v>44617</v>
      </c>
      <c r="I1437" s="1">
        <f>IF(Query1[[#This Row],[ItemType]]="EVAP KIT SF GEN IV",Query1[[#This Row],[OrderQty]]+I1436,I1436)</f>
        <v>1598</v>
      </c>
      <c r="J1437" s="1">
        <f>IF(Query1[[#This Row],[ItemType]]="EVAP KIT UNIVERSAL",Query1[[#This Row],[OrderQty]]+J1436,J1436)</f>
        <v>741</v>
      </c>
      <c r="K1437" s="1">
        <f>Query1[[#This Row],[SF Running Total]]+Query1[[#This Row],[UNIV Running Total]]</f>
        <v>2339</v>
      </c>
      <c r="L1437">
        <f>VLOOKUP(Query1[[#This Row],[Description]],'kits to boards'!$B$2:$E$156,2,FALSE)</f>
        <v>830014</v>
      </c>
      <c r="M1437">
        <f>VLOOKUP(Query1[[#This Row],[Description]],'kits to boards'!$B$2:$E$156,3,FALSE)</f>
        <v>0</v>
      </c>
      <c r="N1437">
        <f>VLOOKUP(Query1[[#This Row],[Description]],'kits to boards'!$B$2:$E$156,4,FALSE)</f>
        <v>0</v>
      </c>
      <c r="O1437" t="str">
        <f>CONCATENATE(Query1[[#This Row],[Description]]," - ",Query1[[#This Row],[MB1]]," - ",Query1[[#This Row],[MB2]]," - ",Query1[[#This Row],[MB3]])</f>
        <v>EVAP KIT 67-72 CHEV P-UP WO AC - 830014 - 0 - 0</v>
      </c>
    </row>
    <row r="1438" spans="1:15" x14ac:dyDescent="0.25">
      <c r="A1438" s="1">
        <v>912687</v>
      </c>
      <c r="B1438" s="1" t="s">
        <v>98</v>
      </c>
      <c r="C1438" s="1" t="s">
        <v>99</v>
      </c>
      <c r="D1438" s="2">
        <v>44617.535509988425</v>
      </c>
      <c r="E1438" s="1" t="s">
        <v>11</v>
      </c>
      <c r="F1438" s="1">
        <v>1</v>
      </c>
      <c r="G1438" s="1">
        <v>0</v>
      </c>
      <c r="H1438" s="6">
        <f>INT(Query1[[#This Row],[EntryDateTime]])</f>
        <v>44617</v>
      </c>
      <c r="I1438" s="1">
        <f>IF(Query1[[#This Row],[ItemType]]="EVAP KIT SF GEN IV",Query1[[#This Row],[OrderQty]]+I1437,I1437)</f>
        <v>1598</v>
      </c>
      <c r="J1438" s="1">
        <f>IF(Query1[[#This Row],[ItemType]]="EVAP KIT UNIVERSAL",Query1[[#This Row],[OrderQty]]+J1437,J1437)</f>
        <v>742</v>
      </c>
      <c r="K1438" s="1">
        <f>Query1[[#This Row],[SF Running Total]]+Query1[[#This Row],[UNIV Running Total]]</f>
        <v>2340</v>
      </c>
      <c r="L1438">
        <f>VLOOKUP(Query1[[#This Row],[Description]],'kits to boards'!$B$2:$E$156,2,FALSE)</f>
        <v>830099</v>
      </c>
      <c r="M1438">
        <f>VLOOKUP(Query1[[#This Row],[Description]],'kits to boards'!$B$2:$E$156,3,FALSE)</f>
        <v>0</v>
      </c>
      <c r="N1438">
        <f>VLOOKUP(Query1[[#This Row],[Description]],'kits to boards'!$B$2:$E$156,4,FALSE)</f>
        <v>0</v>
      </c>
      <c r="O1438" t="str">
        <f>CONCATENATE(Query1[[#This Row],[Description]]," - ",Query1[[#This Row],[MB1]]," - ",Query1[[#This Row],[MB2]]," - ",Query1[[#This Row],[MB3]])</f>
        <v>MINI GEN II W/DEF - 830099 - 0 - 0</v>
      </c>
    </row>
    <row r="1439" spans="1:15" x14ac:dyDescent="0.25">
      <c r="A1439" s="1">
        <v>912690</v>
      </c>
      <c r="B1439" s="1" t="s">
        <v>120</v>
      </c>
      <c r="C1439" s="1" t="s">
        <v>121</v>
      </c>
      <c r="D1439" s="2">
        <v>44617.54537511574</v>
      </c>
      <c r="E1439" s="1" t="s">
        <v>8</v>
      </c>
      <c r="F1439" s="1">
        <v>1</v>
      </c>
      <c r="G1439" s="1">
        <v>0</v>
      </c>
      <c r="H1439" s="6">
        <f>INT(Query1[[#This Row],[EntryDateTime]])</f>
        <v>44617</v>
      </c>
      <c r="I1439" s="1">
        <f>IF(Query1[[#This Row],[ItemType]]="EVAP KIT SF GEN IV",Query1[[#This Row],[OrderQty]]+I1438,I1438)</f>
        <v>1599</v>
      </c>
      <c r="J1439" s="1">
        <f>IF(Query1[[#This Row],[ItemType]]="EVAP KIT UNIVERSAL",Query1[[#This Row],[OrderQty]]+J1438,J1438)</f>
        <v>742</v>
      </c>
      <c r="K1439" s="1">
        <f>Query1[[#This Row],[SF Running Total]]+Query1[[#This Row],[UNIV Running Total]]</f>
        <v>2341</v>
      </c>
      <c r="L1439">
        <f>VLOOKUP(Query1[[#This Row],[Description]],'kits to boards'!$B$2:$E$156,2,FALSE)</f>
        <v>830014</v>
      </c>
      <c r="M1439">
        <f>VLOOKUP(Query1[[#This Row],[Description]],'kits to boards'!$B$2:$E$156,3,FALSE)</f>
        <v>0</v>
      </c>
      <c r="N1439">
        <f>VLOOKUP(Query1[[#This Row],[Description]],'kits to boards'!$B$2:$E$156,4,FALSE)</f>
        <v>0</v>
      </c>
      <c r="O1439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1440" spans="1:15" x14ac:dyDescent="0.25">
      <c r="A1440" s="1">
        <v>912691</v>
      </c>
      <c r="B1440" s="1" t="s">
        <v>94</v>
      </c>
      <c r="C1440" s="1" t="s">
        <v>95</v>
      </c>
      <c r="D1440" s="2">
        <v>44617.546780474535</v>
      </c>
      <c r="E1440" s="1" t="s">
        <v>8</v>
      </c>
      <c r="F1440" s="1">
        <v>1</v>
      </c>
      <c r="G1440" s="1">
        <v>0</v>
      </c>
      <c r="H1440" s="6">
        <f>INT(Query1[[#This Row],[EntryDateTime]])</f>
        <v>44617</v>
      </c>
      <c r="I1440" s="1">
        <f>IF(Query1[[#This Row],[ItemType]]="EVAP KIT SF GEN IV",Query1[[#This Row],[OrderQty]]+I1439,I1439)</f>
        <v>1600</v>
      </c>
      <c r="J1440" s="1">
        <f>IF(Query1[[#This Row],[ItemType]]="EVAP KIT UNIVERSAL",Query1[[#This Row],[OrderQty]]+J1439,J1439)</f>
        <v>742</v>
      </c>
      <c r="K1440" s="1">
        <f>Query1[[#This Row],[SF Running Total]]+Query1[[#This Row],[UNIV Running Total]]</f>
        <v>2342</v>
      </c>
      <c r="L1440">
        <f>VLOOKUP(Query1[[#This Row],[Description]],'kits to boards'!$B$2:$E$156,2,FALSE)</f>
        <v>830076</v>
      </c>
      <c r="M1440">
        <f>VLOOKUP(Query1[[#This Row],[Description]],'kits to boards'!$B$2:$E$156,3,FALSE)</f>
        <v>0</v>
      </c>
      <c r="N1440">
        <f>VLOOKUP(Query1[[#This Row],[Description]],'kits to boards'!$B$2:$E$156,4,FALSE)</f>
        <v>0</v>
      </c>
      <c r="O1440" t="str">
        <f>CONCATENATE(Query1[[#This Row],[Description]]," - ",Query1[[#This Row],[MB1]]," - ",Query1[[#This Row],[MB2]]," - ",Query1[[#This Row],[MB3]])</f>
        <v>EVAP KIT 64 1/2- 66 MUSTANG  - 830076 - 0 - 0</v>
      </c>
    </row>
    <row r="1441" spans="1:15" x14ac:dyDescent="0.25">
      <c r="A1441" s="1">
        <v>912696</v>
      </c>
      <c r="B1441" s="1" t="s">
        <v>158</v>
      </c>
      <c r="C1441" s="1" t="s">
        <v>159</v>
      </c>
      <c r="D1441" s="2">
        <v>44617.558482291664</v>
      </c>
      <c r="E1441" s="1" t="s">
        <v>8</v>
      </c>
      <c r="F1441" s="1">
        <v>1</v>
      </c>
      <c r="G1441" s="1">
        <v>0</v>
      </c>
      <c r="H1441" s="6">
        <f>INT(Query1[[#This Row],[EntryDateTime]])</f>
        <v>44617</v>
      </c>
      <c r="I1441" s="1">
        <f>IF(Query1[[#This Row],[ItemType]]="EVAP KIT SF GEN IV",Query1[[#This Row],[OrderQty]]+I1440,I1440)</f>
        <v>1601</v>
      </c>
      <c r="J1441" s="1">
        <f>IF(Query1[[#This Row],[ItemType]]="EVAP KIT UNIVERSAL",Query1[[#This Row],[OrderQty]]+J1440,J1440)</f>
        <v>742</v>
      </c>
      <c r="K1441" s="1">
        <f>Query1[[#This Row],[SF Running Total]]+Query1[[#This Row],[UNIV Running Total]]</f>
        <v>2343</v>
      </c>
      <c r="L1441">
        <f>VLOOKUP(Query1[[#This Row],[Description]],'kits to boards'!$B$2:$E$156,2,FALSE)</f>
        <v>830080</v>
      </c>
      <c r="M1441">
        <f>VLOOKUP(Query1[[#This Row],[Description]],'kits to boards'!$B$2:$E$156,3,FALSE)</f>
        <v>830046</v>
      </c>
      <c r="N1441">
        <f>VLOOKUP(Query1[[#This Row],[Description]],'kits to boards'!$B$2:$E$156,4,FALSE)</f>
        <v>0</v>
      </c>
      <c r="O1441" t="str">
        <f>CONCATENATE(Query1[[#This Row],[Description]]," - ",Query1[[#This Row],[MB1]]," - ",Query1[[#This Row],[MB2]]," - ",Query1[[#This Row],[MB3]])</f>
        <v>EVAP KIT 69-70 MUSTANG W/AC  - 830080 - 830046 - 0</v>
      </c>
    </row>
    <row r="1442" spans="1:15" x14ac:dyDescent="0.25">
      <c r="A1442" s="1">
        <v>912697</v>
      </c>
      <c r="B1442" s="1" t="s">
        <v>118</v>
      </c>
      <c r="C1442" s="1" t="s">
        <v>119</v>
      </c>
      <c r="D1442" s="2">
        <v>44617.560544675929</v>
      </c>
      <c r="E1442" s="1" t="s">
        <v>11</v>
      </c>
      <c r="F1442" s="1">
        <v>1</v>
      </c>
      <c r="G1442" s="1">
        <v>0</v>
      </c>
      <c r="H1442" s="6">
        <f>INT(Query1[[#This Row],[EntryDateTime]])</f>
        <v>44617</v>
      </c>
      <c r="I1442" s="1">
        <f>IF(Query1[[#This Row],[ItemType]]="EVAP KIT SF GEN IV",Query1[[#This Row],[OrderQty]]+I1441,I1441)</f>
        <v>1601</v>
      </c>
      <c r="J1442" s="1">
        <f>IF(Query1[[#This Row],[ItemType]]="EVAP KIT UNIVERSAL",Query1[[#This Row],[OrderQty]]+J1441,J1441)</f>
        <v>743</v>
      </c>
      <c r="K1442" s="1">
        <f>Query1[[#This Row],[SF Running Total]]+Query1[[#This Row],[UNIV Running Total]]</f>
        <v>2344</v>
      </c>
      <c r="L1442">
        <f>VLOOKUP(Query1[[#This Row],[Description]],'kits to boards'!$B$2:$E$156,2,FALSE)</f>
        <v>830069</v>
      </c>
      <c r="M1442">
        <f>VLOOKUP(Query1[[#This Row],[Description]],'kits to boards'!$B$2:$E$156,3,FALSE)</f>
        <v>0</v>
      </c>
      <c r="N1442">
        <f>VLOOKUP(Query1[[#This Row],[Description]],'kits to boards'!$B$2:$E$156,4,FALSE)</f>
        <v>0</v>
      </c>
      <c r="O1442" t="str">
        <f>CONCATENATE(Query1[[#This Row],[Description]]," - ",Query1[[#This Row],[MB1]]," - ",Query1[[#This Row],[MB2]]," - ",Query1[[#This Row],[MB3]])</f>
        <v>SLIMLINE H/C W/DEF BLK LOUVER - 830069 - 0 - 0</v>
      </c>
    </row>
    <row r="1443" spans="1:15" x14ac:dyDescent="0.25">
      <c r="A1443" s="1">
        <v>912703</v>
      </c>
      <c r="B1443" s="1" t="s">
        <v>52</v>
      </c>
      <c r="C1443" s="1" t="s">
        <v>53</v>
      </c>
      <c r="D1443" s="2">
        <v>44617.572196608795</v>
      </c>
      <c r="E1443" s="1" t="s">
        <v>8</v>
      </c>
      <c r="F1443" s="1">
        <v>1</v>
      </c>
      <c r="G1443" s="1">
        <v>0</v>
      </c>
      <c r="H1443" s="6">
        <f>INT(Query1[[#This Row],[EntryDateTime]])</f>
        <v>44617</v>
      </c>
      <c r="I1443" s="1">
        <f>IF(Query1[[#This Row],[ItemType]]="EVAP KIT SF GEN IV",Query1[[#This Row],[OrderQty]]+I1442,I1442)</f>
        <v>1602</v>
      </c>
      <c r="J1443" s="1">
        <f>IF(Query1[[#This Row],[ItemType]]="EVAP KIT UNIVERSAL",Query1[[#This Row],[OrderQty]]+J1442,J1442)</f>
        <v>743</v>
      </c>
      <c r="K1443" s="1">
        <f>Query1[[#This Row],[SF Running Total]]+Query1[[#This Row],[UNIV Running Total]]</f>
        <v>2345</v>
      </c>
      <c r="L1443">
        <f>VLOOKUP(Query1[[#This Row],[Description]],'kits to boards'!$B$2:$E$156,2,FALSE)</f>
        <v>830017</v>
      </c>
      <c r="M1443">
        <f>VLOOKUP(Query1[[#This Row],[Description]],'kits to boards'!$B$2:$E$156,3,FALSE)</f>
        <v>830119</v>
      </c>
      <c r="N1443">
        <f>VLOOKUP(Query1[[#This Row],[Description]],'kits to boards'!$B$2:$E$156,4,FALSE)</f>
        <v>830120</v>
      </c>
      <c r="O1443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1444" spans="1:15" x14ac:dyDescent="0.25">
      <c r="A1444" s="1">
        <v>911469</v>
      </c>
      <c r="B1444" s="1" t="s">
        <v>74</v>
      </c>
      <c r="C1444" s="1" t="s">
        <v>75</v>
      </c>
      <c r="D1444" s="2">
        <v>44617.587731828702</v>
      </c>
      <c r="E1444" s="1" t="s">
        <v>8</v>
      </c>
      <c r="F1444" s="1">
        <v>1</v>
      </c>
      <c r="G1444" s="1">
        <v>0</v>
      </c>
      <c r="H1444" s="6">
        <f>INT(Query1[[#This Row],[EntryDateTime]])</f>
        <v>44617</v>
      </c>
      <c r="I1444" s="1">
        <f>IF(Query1[[#This Row],[ItemType]]="EVAP KIT SF GEN IV",Query1[[#This Row],[OrderQty]]+I1443,I1443)</f>
        <v>1603</v>
      </c>
      <c r="J1444" s="1">
        <f>IF(Query1[[#This Row],[ItemType]]="EVAP KIT UNIVERSAL",Query1[[#This Row],[OrderQty]]+J1443,J1443)</f>
        <v>743</v>
      </c>
      <c r="K1444" s="1">
        <f>Query1[[#This Row],[SF Running Total]]+Query1[[#This Row],[UNIV Running Total]]</f>
        <v>2346</v>
      </c>
      <c r="L1444">
        <f>VLOOKUP(Query1[[#This Row],[Description]],'kits to boards'!$B$2:$E$156,2,FALSE)</f>
        <v>830065</v>
      </c>
      <c r="M1444">
        <f>VLOOKUP(Query1[[#This Row],[Description]],'kits to boards'!$B$2:$E$156,3,FALSE)</f>
        <v>0</v>
      </c>
      <c r="N1444">
        <f>VLOOKUP(Query1[[#This Row],[Description]],'kits to boards'!$B$2:$E$156,4,FALSE)</f>
        <v>0</v>
      </c>
      <c r="O1444" t="str">
        <f>CONCATENATE(Query1[[#This Row],[Description]]," - ",Query1[[#This Row],[MB1]]," - ",Query1[[#This Row],[MB2]]," - ",Query1[[#This Row],[MB3]])</f>
        <v>EVAP KIT 57 CHEV WO AC 4-VENT PLENUM - 830065 - 0 - 0</v>
      </c>
    </row>
    <row r="1445" spans="1:15" x14ac:dyDescent="0.25">
      <c r="A1445" s="1">
        <v>912715</v>
      </c>
      <c r="B1445" s="1" t="s">
        <v>152</v>
      </c>
      <c r="C1445" s="1" t="s">
        <v>153</v>
      </c>
      <c r="D1445" s="2">
        <v>44617.596865891202</v>
      </c>
      <c r="E1445" s="1" t="s">
        <v>8</v>
      </c>
      <c r="F1445" s="1">
        <v>1</v>
      </c>
      <c r="G1445" s="1">
        <v>0</v>
      </c>
      <c r="H1445" s="6">
        <f>INT(Query1[[#This Row],[EntryDateTime]])</f>
        <v>44617</v>
      </c>
      <c r="I1445" s="1">
        <f>IF(Query1[[#This Row],[ItemType]]="EVAP KIT SF GEN IV",Query1[[#This Row],[OrderQty]]+I1444,I1444)</f>
        <v>1604</v>
      </c>
      <c r="J1445" s="1">
        <f>IF(Query1[[#This Row],[ItemType]]="EVAP KIT UNIVERSAL",Query1[[#This Row],[OrderQty]]+J1444,J1444)</f>
        <v>743</v>
      </c>
      <c r="K1445" s="1">
        <f>Query1[[#This Row],[SF Running Total]]+Query1[[#This Row],[UNIV Running Total]]</f>
        <v>2347</v>
      </c>
      <c r="L1445">
        <f>VLOOKUP(Query1[[#This Row],[Description]],'kits to boards'!$B$2:$E$156,2,FALSE)</f>
        <v>830034</v>
      </c>
      <c r="M1445">
        <f>VLOOKUP(Query1[[#This Row],[Description]],'kits to boards'!$B$2:$E$156,3,FALSE)</f>
        <v>0</v>
      </c>
      <c r="N1445">
        <f>VLOOKUP(Query1[[#This Row],[Description]],'kits to boards'!$B$2:$E$156,4,FALSE)</f>
        <v>0</v>
      </c>
      <c r="O1445" t="str">
        <f>CONCATENATE(Query1[[#This Row],[Description]]," - ",Query1[[#This Row],[MB1]]," - ",Query1[[#This Row],[MB2]]," - ",Query1[[#This Row],[MB3]])</f>
        <v>EVAP KIT 64-67 GTO WO AC - 830034 - 0 - 0</v>
      </c>
    </row>
    <row r="1446" spans="1:15" x14ac:dyDescent="0.25">
      <c r="A1446" s="1">
        <v>912719</v>
      </c>
      <c r="B1446" s="1" t="s">
        <v>226</v>
      </c>
      <c r="C1446" s="1" t="s">
        <v>227</v>
      </c>
      <c r="D1446" s="2">
        <v>44617.608683599537</v>
      </c>
      <c r="E1446" s="1" t="s">
        <v>8</v>
      </c>
      <c r="F1446" s="1">
        <v>1</v>
      </c>
      <c r="G1446" s="1">
        <v>0</v>
      </c>
      <c r="H1446" s="6">
        <f>INT(Query1[[#This Row],[EntryDateTime]])</f>
        <v>44617</v>
      </c>
      <c r="I1446" s="1">
        <f>IF(Query1[[#This Row],[ItemType]]="EVAP KIT SF GEN IV",Query1[[#This Row],[OrderQty]]+I1445,I1445)</f>
        <v>1605</v>
      </c>
      <c r="J1446" s="1">
        <f>IF(Query1[[#This Row],[ItemType]]="EVAP KIT UNIVERSAL",Query1[[#This Row],[OrderQty]]+J1445,J1445)</f>
        <v>743</v>
      </c>
      <c r="K1446" s="1">
        <f>Query1[[#This Row],[SF Running Total]]+Query1[[#This Row],[UNIV Running Total]]</f>
        <v>2348</v>
      </c>
      <c r="L1446">
        <f>VLOOKUP(Query1[[#This Row],[Description]],'kits to boards'!$B$2:$E$156,2,FALSE)</f>
        <v>830124</v>
      </c>
      <c r="M1446">
        <f>VLOOKUP(Query1[[#This Row],[Description]],'kits to boards'!$B$2:$E$156,3,FALSE)</f>
        <v>0</v>
      </c>
      <c r="N1446">
        <f>VLOOKUP(Query1[[#This Row],[Description]],'kits to boards'!$B$2:$E$156,4,FALSE)</f>
        <v>0</v>
      </c>
      <c r="O1446" t="str">
        <f>CONCATENATE(Query1[[#This Row],[Description]]," - ",Query1[[#This Row],[MB1]]," - ",Query1[[#This Row],[MB2]]," - ",Query1[[#This Row],[MB3]])</f>
        <v>EVAP KIT 70-72 GTO W/AC - 830124 - 0 - 0</v>
      </c>
    </row>
    <row r="1447" spans="1:15" x14ac:dyDescent="0.25">
      <c r="A1447" s="1">
        <v>912721</v>
      </c>
      <c r="B1447" s="1" t="s">
        <v>60</v>
      </c>
      <c r="C1447" s="1" t="s">
        <v>61</v>
      </c>
      <c r="D1447" s="2">
        <v>44617.613320173608</v>
      </c>
      <c r="E1447" s="1" t="s">
        <v>8</v>
      </c>
      <c r="F1447" s="1">
        <v>1</v>
      </c>
      <c r="G1447" s="1">
        <v>0</v>
      </c>
      <c r="H1447" s="6">
        <f>INT(Query1[[#This Row],[EntryDateTime]])</f>
        <v>44617</v>
      </c>
      <c r="I1447" s="1">
        <f>IF(Query1[[#This Row],[ItemType]]="EVAP KIT SF GEN IV",Query1[[#This Row],[OrderQty]]+I1446,I1446)</f>
        <v>1606</v>
      </c>
      <c r="J1447" s="1">
        <f>IF(Query1[[#This Row],[ItemType]]="EVAP KIT UNIVERSAL",Query1[[#This Row],[OrderQty]]+J1446,J1446)</f>
        <v>743</v>
      </c>
      <c r="K1447" s="1">
        <f>Query1[[#This Row],[SF Running Total]]+Query1[[#This Row],[UNIV Running Total]]</f>
        <v>2349</v>
      </c>
      <c r="L1447">
        <f>VLOOKUP(Query1[[#This Row],[Description]],'kits to boards'!$B$2:$E$156,2,FALSE)</f>
        <v>830062</v>
      </c>
      <c r="M1447">
        <f>VLOOKUP(Query1[[#This Row],[Description]],'kits to boards'!$B$2:$E$156,3,FALSE)</f>
        <v>0</v>
      </c>
      <c r="N1447">
        <f>VLOOKUP(Query1[[#This Row],[Description]],'kits to boards'!$B$2:$E$156,4,FALSE)</f>
        <v>0</v>
      </c>
      <c r="O1447" t="str">
        <f>CONCATENATE(Query1[[#This Row],[Description]]," - ",Query1[[#This Row],[MB1]]," - ",Query1[[#This Row],[MB2]]," - ",Query1[[#This Row],[MB3]])</f>
        <v>EVAP KIT 68-69 CHEVELLE WO AC - 830062 - 0 - 0</v>
      </c>
    </row>
    <row r="1448" spans="1:15" x14ac:dyDescent="0.25">
      <c r="A1448" s="1">
        <v>912724</v>
      </c>
      <c r="B1448" s="1" t="s">
        <v>82</v>
      </c>
      <c r="C1448" s="1" t="s">
        <v>83</v>
      </c>
      <c r="D1448" s="2">
        <v>44617.614048229167</v>
      </c>
      <c r="E1448" s="1" t="s">
        <v>11</v>
      </c>
      <c r="F1448" s="1">
        <v>1</v>
      </c>
      <c r="G1448" s="1">
        <v>0</v>
      </c>
      <c r="H1448" s="6">
        <f>INT(Query1[[#This Row],[EntryDateTime]])</f>
        <v>44617</v>
      </c>
      <c r="I1448" s="1">
        <f>IF(Query1[[#This Row],[ItemType]]="EVAP KIT SF GEN IV",Query1[[#This Row],[OrderQty]]+I1447,I1447)</f>
        <v>1606</v>
      </c>
      <c r="J1448" s="1">
        <f>IF(Query1[[#This Row],[ItemType]]="EVAP KIT UNIVERSAL",Query1[[#This Row],[OrderQty]]+J1447,J1447)</f>
        <v>744</v>
      </c>
      <c r="K1448" s="1">
        <f>Query1[[#This Row],[SF Running Total]]+Query1[[#This Row],[UNIV Running Total]]</f>
        <v>2350</v>
      </c>
      <c r="L1448">
        <f>VLOOKUP(Query1[[#This Row],[Description]],'kits to boards'!$B$2:$E$156,2,FALSE)</f>
        <v>830029</v>
      </c>
      <c r="M1448">
        <f>VLOOKUP(Query1[[#This Row],[Description]],'kits to boards'!$B$2:$E$156,3,FALSE)</f>
        <v>830030</v>
      </c>
      <c r="N1448">
        <f>VLOOKUP(Query1[[#This Row],[Description]],'kits to boards'!$B$2:$E$156,4,FALSE)</f>
        <v>0</v>
      </c>
      <c r="O1448" t="str">
        <f>CONCATENATE(Query1[[#This Row],[Description]]," - ",Query1[[#This Row],[MB1]]," - ",Query1[[#This Row],[MB2]]," - ",Query1[[#This Row],[MB3]])</f>
        <v>ComPac GEN II H/C - 830029 - 830030 - 0</v>
      </c>
    </row>
    <row r="1449" spans="1:15" x14ac:dyDescent="0.25">
      <c r="A1449" s="1">
        <v>912725</v>
      </c>
      <c r="B1449" s="1" t="s">
        <v>192</v>
      </c>
      <c r="C1449" s="1" t="s">
        <v>193</v>
      </c>
      <c r="D1449" s="2">
        <v>44617.615782060187</v>
      </c>
      <c r="E1449" s="1" t="s">
        <v>8</v>
      </c>
      <c r="F1449" s="1">
        <v>1</v>
      </c>
      <c r="G1449" s="1">
        <v>0</v>
      </c>
      <c r="H1449" s="6">
        <f>INT(Query1[[#This Row],[EntryDateTime]])</f>
        <v>44617</v>
      </c>
      <c r="I1449" s="1">
        <f>IF(Query1[[#This Row],[ItemType]]="EVAP KIT SF GEN IV",Query1[[#This Row],[OrderQty]]+I1448,I1448)</f>
        <v>1607</v>
      </c>
      <c r="J1449" s="1">
        <f>IF(Query1[[#This Row],[ItemType]]="EVAP KIT UNIVERSAL",Query1[[#This Row],[OrderQty]]+J1448,J1448)</f>
        <v>744</v>
      </c>
      <c r="K1449" s="1">
        <f>Query1[[#This Row],[SF Running Total]]+Query1[[#This Row],[UNIV Running Total]]</f>
        <v>2351</v>
      </c>
      <c r="L1449">
        <f>VLOOKUP(Query1[[#This Row],[Description]],'kits to boards'!$B$2:$E$156,2,FALSE)</f>
        <v>830094</v>
      </c>
      <c r="M1449">
        <f>VLOOKUP(Query1[[#This Row],[Description]],'kits to boards'!$B$2:$E$156,3,FALSE)</f>
        <v>0</v>
      </c>
      <c r="N1449">
        <f>VLOOKUP(Query1[[#This Row],[Description]],'kits to boards'!$B$2:$E$156,4,FALSE)</f>
        <v>0</v>
      </c>
      <c r="O1449" t="str">
        <f>CONCATENATE(Query1[[#This Row],[Description]]," - ",Query1[[#This Row],[MB1]]," - ",Query1[[#This Row],[MB2]]," - ",Query1[[#This Row],[MB3]])</f>
        <v>EVAP KIT 69-73 VETTE W/AC - 830094 - 0 - 0</v>
      </c>
    </row>
    <row r="1450" spans="1:15" x14ac:dyDescent="0.25">
      <c r="A1450" s="1">
        <v>912728</v>
      </c>
      <c r="B1450" s="1" t="s">
        <v>140</v>
      </c>
      <c r="C1450" s="1" t="s">
        <v>141</v>
      </c>
      <c r="D1450" s="2">
        <v>44617.619691898151</v>
      </c>
      <c r="E1450" s="1" t="s">
        <v>8</v>
      </c>
      <c r="F1450" s="1">
        <v>1</v>
      </c>
      <c r="G1450" s="1">
        <v>0</v>
      </c>
      <c r="H1450" s="6">
        <f>INT(Query1[[#This Row],[EntryDateTime]])</f>
        <v>44617</v>
      </c>
      <c r="I1450" s="1">
        <f>IF(Query1[[#This Row],[ItemType]]="EVAP KIT SF GEN IV",Query1[[#This Row],[OrderQty]]+I1449,I1449)</f>
        <v>1608</v>
      </c>
      <c r="J1450" s="1">
        <f>IF(Query1[[#This Row],[ItemType]]="EVAP KIT UNIVERSAL",Query1[[#This Row],[OrderQty]]+J1449,J1449)</f>
        <v>744</v>
      </c>
      <c r="K1450" s="1">
        <f>Query1[[#This Row],[SF Running Total]]+Query1[[#This Row],[UNIV Running Total]]</f>
        <v>2352</v>
      </c>
      <c r="L1450">
        <f>VLOOKUP(Query1[[#This Row],[Description]],'kits to boards'!$B$2:$E$156,2,FALSE)</f>
        <v>830066</v>
      </c>
      <c r="M1450">
        <f>VLOOKUP(Query1[[#This Row],[Description]],'kits to boards'!$B$2:$E$156,3,FALSE)</f>
        <v>0</v>
      </c>
      <c r="N1450">
        <f>VLOOKUP(Query1[[#This Row],[Description]],'kits to boards'!$B$2:$E$156,4,FALSE)</f>
        <v>0</v>
      </c>
      <c r="O1450" t="str">
        <f>CONCATENATE(Query1[[#This Row],[Description]]," - ",Query1[[#This Row],[MB1]]," - ",Query1[[#This Row],[MB2]]," - ",Query1[[#This Row],[MB3]])</f>
        <v>EVAP KIT 60-63 CHEV P-UP WO AC - 830066 - 0 - 0</v>
      </c>
    </row>
    <row r="1451" spans="1:15" x14ac:dyDescent="0.25">
      <c r="A1451" s="1">
        <v>912709</v>
      </c>
      <c r="B1451" s="1" t="s">
        <v>44</v>
      </c>
      <c r="C1451" s="1" t="s">
        <v>45</v>
      </c>
      <c r="D1451" s="2">
        <v>44617.619842094908</v>
      </c>
      <c r="E1451" s="1" t="s">
        <v>8</v>
      </c>
      <c r="F1451" s="1">
        <v>1</v>
      </c>
      <c r="G1451" s="1">
        <v>0</v>
      </c>
      <c r="H1451" s="6">
        <f>INT(Query1[[#This Row],[EntryDateTime]])</f>
        <v>44617</v>
      </c>
      <c r="I1451" s="1">
        <f>IF(Query1[[#This Row],[ItemType]]="EVAP KIT SF GEN IV",Query1[[#This Row],[OrderQty]]+I1450,I1450)</f>
        <v>1609</v>
      </c>
      <c r="J1451" s="1">
        <f>IF(Query1[[#This Row],[ItemType]]="EVAP KIT UNIVERSAL",Query1[[#This Row],[OrderQty]]+J1450,J1450)</f>
        <v>744</v>
      </c>
      <c r="K1451" s="1">
        <f>Query1[[#This Row],[SF Running Total]]+Query1[[#This Row],[UNIV Running Total]]</f>
        <v>2353</v>
      </c>
      <c r="L1451">
        <f>VLOOKUP(Query1[[#This Row],[Description]],'kits to boards'!$B$2:$E$156,2,FALSE)</f>
        <v>830085</v>
      </c>
      <c r="M1451">
        <f>VLOOKUP(Query1[[#This Row],[Description]],'kits to boards'!$B$2:$E$156,3,FALSE)</f>
        <v>0</v>
      </c>
      <c r="N1451">
        <f>VLOOKUP(Query1[[#This Row],[Description]],'kits to boards'!$B$2:$E$156,4,FALSE)</f>
        <v>0</v>
      </c>
      <c r="O1451" t="str">
        <f>CONCATENATE(Query1[[#This Row],[Description]]," - ",Query1[[#This Row],[MB1]]," - ",Query1[[#This Row],[MB2]]," - ",Query1[[#This Row],[MB3]])</f>
        <v>EVAP KIT 66-77 BRONCO - 830085 - 0 - 0</v>
      </c>
    </row>
    <row r="1452" spans="1:15" x14ac:dyDescent="0.25">
      <c r="A1452" s="1">
        <v>912707</v>
      </c>
      <c r="B1452" s="1" t="s">
        <v>90</v>
      </c>
      <c r="C1452" s="1" t="s">
        <v>91</v>
      </c>
      <c r="D1452" s="2">
        <v>44617.621308368056</v>
      </c>
      <c r="E1452" s="1" t="s">
        <v>8</v>
      </c>
      <c r="F1452" s="1">
        <v>1</v>
      </c>
      <c r="G1452" s="1">
        <v>0</v>
      </c>
      <c r="H1452" s="6">
        <f>INT(Query1[[#This Row],[EntryDateTime]])</f>
        <v>44617</v>
      </c>
      <c r="I1452" s="1">
        <f>IF(Query1[[#This Row],[ItemType]]="EVAP KIT SF GEN IV",Query1[[#This Row],[OrderQty]]+I1451,I1451)</f>
        <v>1610</v>
      </c>
      <c r="J1452" s="1">
        <f>IF(Query1[[#This Row],[ItemType]]="EVAP KIT UNIVERSAL",Query1[[#This Row],[OrderQty]]+J1451,J1451)</f>
        <v>744</v>
      </c>
      <c r="K1452" s="1">
        <f>Query1[[#This Row],[SF Running Total]]+Query1[[#This Row],[UNIV Running Total]]</f>
        <v>2354</v>
      </c>
      <c r="L1452">
        <f>VLOOKUP(Query1[[#This Row],[Description]],'kits to boards'!$B$2:$E$156,2,FALSE)</f>
        <v>830105</v>
      </c>
      <c r="M1452">
        <f>VLOOKUP(Query1[[#This Row],[Description]],'kits to boards'!$B$2:$E$156,3,FALSE)</f>
        <v>830106</v>
      </c>
      <c r="N1452">
        <f>VLOOKUP(Query1[[#This Row],[Description]],'kits to boards'!$B$2:$E$156,4,FALSE)</f>
        <v>0</v>
      </c>
      <c r="O1452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1453" spans="1:15" x14ac:dyDescent="0.25">
      <c r="A1453" s="1">
        <v>912737</v>
      </c>
      <c r="B1453" s="1" t="s">
        <v>26</v>
      </c>
      <c r="C1453" s="1" t="s">
        <v>27</v>
      </c>
      <c r="D1453" s="2">
        <v>44617.634935266207</v>
      </c>
      <c r="E1453" s="1" t="s">
        <v>8</v>
      </c>
      <c r="F1453" s="1">
        <v>2</v>
      </c>
      <c r="G1453" s="1">
        <v>0</v>
      </c>
      <c r="H1453" s="6">
        <f>INT(Query1[[#This Row],[EntryDateTime]])</f>
        <v>44617</v>
      </c>
      <c r="I1453" s="1">
        <f>IF(Query1[[#This Row],[ItemType]]="EVAP KIT SF GEN IV",Query1[[#This Row],[OrderQty]]+I1452,I1452)</f>
        <v>1612</v>
      </c>
      <c r="J1453" s="1">
        <f>IF(Query1[[#This Row],[ItemType]]="EVAP KIT UNIVERSAL",Query1[[#This Row],[OrderQty]]+J1452,J1452)</f>
        <v>744</v>
      </c>
      <c r="K1453" s="1">
        <f>Query1[[#This Row],[SF Running Total]]+Query1[[#This Row],[UNIV Running Total]]</f>
        <v>2356</v>
      </c>
      <c r="L1453">
        <f>VLOOKUP(Query1[[#This Row],[Description]],'kits to boards'!$B$2:$E$156,2,FALSE)</f>
        <v>830013</v>
      </c>
      <c r="M1453">
        <f>VLOOKUP(Query1[[#This Row],[Description]],'kits to boards'!$B$2:$E$156,3,FALSE)</f>
        <v>0</v>
      </c>
      <c r="N1453">
        <f>VLOOKUP(Query1[[#This Row],[Description]],'kits to boards'!$B$2:$E$156,4,FALSE)</f>
        <v>0</v>
      </c>
      <c r="O1453" t="str">
        <f>CONCATENATE(Query1[[#This Row],[Description]]," - ",Query1[[#This Row],[MB1]]," - ",Query1[[#This Row],[MB2]]," - ",Query1[[#This Row],[MB3]])</f>
        <v>EVAP KIT 67-72 CHEV P-UP W/AC - 830013 - 0 - 0</v>
      </c>
    </row>
    <row r="1454" spans="1:15" x14ac:dyDescent="0.25">
      <c r="A1454" s="1">
        <v>912739</v>
      </c>
      <c r="B1454" s="1" t="s">
        <v>70</v>
      </c>
      <c r="C1454" s="1" t="s">
        <v>71</v>
      </c>
      <c r="D1454" s="2">
        <v>44617.636208217591</v>
      </c>
      <c r="E1454" s="1" t="s">
        <v>8</v>
      </c>
      <c r="F1454" s="1">
        <v>1</v>
      </c>
      <c r="G1454" s="1">
        <v>0</v>
      </c>
      <c r="H1454" s="6">
        <f>INT(Query1[[#This Row],[EntryDateTime]])</f>
        <v>44617</v>
      </c>
      <c r="I1454" s="1">
        <f>IF(Query1[[#This Row],[ItemType]]="EVAP KIT SF GEN IV",Query1[[#This Row],[OrderQty]]+I1453,I1453)</f>
        <v>1613</v>
      </c>
      <c r="J1454" s="1">
        <f>IF(Query1[[#This Row],[ItemType]]="EVAP KIT UNIVERSAL",Query1[[#This Row],[OrderQty]]+J1453,J1453)</f>
        <v>744</v>
      </c>
      <c r="K1454" s="1">
        <f>Query1[[#This Row],[SF Running Total]]+Query1[[#This Row],[UNIV Running Total]]</f>
        <v>2357</v>
      </c>
      <c r="L1454">
        <f>VLOOKUP(Query1[[#This Row],[Description]],'kits to boards'!$B$2:$E$156,2,FALSE)</f>
        <v>830050</v>
      </c>
      <c r="M1454">
        <f>VLOOKUP(Query1[[#This Row],[Description]],'kits to boards'!$B$2:$E$156,3,FALSE)</f>
        <v>0</v>
      </c>
      <c r="N1454">
        <f>VLOOKUP(Query1[[#This Row],[Description]],'kits to boards'!$B$2:$E$156,4,FALSE)</f>
        <v>0</v>
      </c>
      <c r="O1454" t="str">
        <f>CONCATENATE(Query1[[#This Row],[Description]]," - ",Query1[[#This Row],[MB1]]," - ",Query1[[#This Row],[MB2]]," - ",Query1[[#This Row],[MB3]])</f>
        <v>EVAP KIT 70-78 CAMARO WO AC - 830050 - 0 - 0</v>
      </c>
    </row>
    <row r="1455" spans="1:15" x14ac:dyDescent="0.25">
      <c r="A1455" s="1">
        <v>912740</v>
      </c>
      <c r="B1455" s="1" t="s">
        <v>112</v>
      </c>
      <c r="C1455" s="1" t="s">
        <v>113</v>
      </c>
      <c r="D1455" s="2">
        <v>44617.637809027779</v>
      </c>
      <c r="E1455" s="1" t="s">
        <v>8</v>
      </c>
      <c r="F1455" s="1">
        <v>1</v>
      </c>
      <c r="G1455" s="1">
        <v>0</v>
      </c>
      <c r="H1455" s="6">
        <f>INT(Query1[[#This Row],[EntryDateTime]])</f>
        <v>44617</v>
      </c>
      <c r="I1455" s="1">
        <f>IF(Query1[[#This Row],[ItemType]]="EVAP KIT SF GEN IV",Query1[[#This Row],[OrderQty]]+I1454,I1454)</f>
        <v>1614</v>
      </c>
      <c r="J1455" s="1">
        <f>IF(Query1[[#This Row],[ItemType]]="EVAP KIT UNIVERSAL",Query1[[#This Row],[OrderQty]]+J1454,J1454)</f>
        <v>744</v>
      </c>
      <c r="K1455" s="1">
        <f>Query1[[#This Row],[SF Running Total]]+Query1[[#This Row],[UNIV Running Total]]</f>
        <v>2358</v>
      </c>
      <c r="L1455">
        <f>VLOOKUP(Query1[[#This Row],[Description]],'kits to boards'!$B$2:$E$156,2,FALSE)</f>
        <v>830063</v>
      </c>
      <c r="M1455">
        <f>VLOOKUP(Query1[[#This Row],[Description]],'kits to boards'!$B$2:$E$156,3,FALSE)</f>
        <v>0</v>
      </c>
      <c r="N1455">
        <f>VLOOKUP(Query1[[#This Row],[Description]],'kits to boards'!$B$2:$E$156,4,FALSE)</f>
        <v>0</v>
      </c>
      <c r="O1455" t="str">
        <f>CONCATENATE(Query1[[#This Row],[Description]]," - ",Query1[[#This Row],[MB1]]," - ",Query1[[#This Row],[MB2]]," - ",Query1[[#This Row],[MB3]])</f>
        <v>EVAP KIT 54-55 CHEV P-UP GEN IV - 830063 - 0 - 0</v>
      </c>
    </row>
    <row r="1456" spans="1:15" x14ac:dyDescent="0.25">
      <c r="A1456" s="1">
        <v>912744</v>
      </c>
      <c r="B1456" s="1" t="s">
        <v>244</v>
      </c>
      <c r="C1456" s="1" t="s">
        <v>245</v>
      </c>
      <c r="D1456" s="2">
        <v>44617.645864583334</v>
      </c>
      <c r="E1456" s="1" t="s">
        <v>8</v>
      </c>
      <c r="F1456" s="1">
        <v>1</v>
      </c>
      <c r="G1456" s="1">
        <v>0</v>
      </c>
      <c r="H1456" s="6">
        <f>INT(Query1[[#This Row],[EntryDateTime]])</f>
        <v>44617</v>
      </c>
      <c r="I1456" s="1">
        <f>IF(Query1[[#This Row],[ItemType]]="EVAP KIT SF GEN IV",Query1[[#This Row],[OrderQty]]+I1455,I1455)</f>
        <v>1615</v>
      </c>
      <c r="J1456" s="1">
        <f>IF(Query1[[#This Row],[ItemType]]="EVAP KIT UNIVERSAL",Query1[[#This Row],[OrderQty]]+J1455,J1455)</f>
        <v>744</v>
      </c>
      <c r="K1456" s="1">
        <f>Query1[[#This Row],[SF Running Total]]+Query1[[#This Row],[UNIV Running Total]]</f>
        <v>2359</v>
      </c>
      <c r="L1456">
        <f>VLOOKUP(Query1[[#This Row],[Description]],'kits to boards'!$B$2:$E$156,2,FALSE)</f>
        <v>830100</v>
      </c>
      <c r="M1456">
        <f>VLOOKUP(Query1[[#This Row],[Description]],'kits to boards'!$B$2:$E$156,3,FALSE)</f>
        <v>0</v>
      </c>
      <c r="N1456">
        <f>VLOOKUP(Query1[[#This Row],[Description]],'kits to boards'!$B$2:$E$156,4,FALSE)</f>
        <v>0</v>
      </c>
      <c r="O1456" t="str">
        <f>CONCATENATE(Query1[[#This Row],[Description]]," - ",Query1[[#This Row],[MB1]]," - ",Query1[[#This Row],[MB2]]," - ",Query1[[#This Row],[MB3]])</f>
        <v>EVAP KIT 68-76 VETTE WO AC - 830100 - 0 - 0</v>
      </c>
    </row>
    <row r="1457" spans="1:15" x14ac:dyDescent="0.25">
      <c r="A1457" s="1">
        <v>912735</v>
      </c>
      <c r="B1457" s="1" t="s">
        <v>12</v>
      </c>
      <c r="C1457" s="1" t="s">
        <v>13</v>
      </c>
      <c r="D1457" s="2">
        <v>44617.646853819446</v>
      </c>
      <c r="E1457" s="1" t="s">
        <v>8</v>
      </c>
      <c r="F1457" s="1">
        <v>1</v>
      </c>
      <c r="G1457" s="1">
        <v>0</v>
      </c>
      <c r="H1457" s="6">
        <f>INT(Query1[[#This Row],[EntryDateTime]])</f>
        <v>44617</v>
      </c>
      <c r="I1457" s="1">
        <f>IF(Query1[[#This Row],[ItemType]]="EVAP KIT SF GEN IV",Query1[[#This Row],[OrderQty]]+I1456,I1456)</f>
        <v>1616</v>
      </c>
      <c r="J1457" s="1">
        <f>IF(Query1[[#This Row],[ItemType]]="EVAP KIT UNIVERSAL",Query1[[#This Row],[OrderQty]]+J1456,J1456)</f>
        <v>744</v>
      </c>
      <c r="K1457" s="1">
        <f>Query1[[#This Row],[SF Running Total]]+Query1[[#This Row],[UNIV Running Total]]</f>
        <v>2360</v>
      </c>
      <c r="L1457">
        <f>VLOOKUP(Query1[[#This Row],[Description]],'kits to boards'!$B$2:$E$156,2,FALSE)</f>
        <v>830079</v>
      </c>
      <c r="M1457">
        <f>VLOOKUP(Query1[[#This Row],[Description]],'kits to boards'!$B$2:$E$156,3,FALSE)</f>
        <v>830046</v>
      </c>
      <c r="N1457">
        <f>VLOOKUP(Query1[[#This Row],[Description]],'kits to boards'!$B$2:$E$156,4,FALSE)</f>
        <v>0</v>
      </c>
      <c r="O1457" t="str">
        <f>CONCATENATE(Query1[[#This Row],[Description]]," - ",Query1[[#This Row],[MB1]]," - ",Query1[[#This Row],[MB2]]," - ",Query1[[#This Row],[MB3]])</f>
        <v>EVAP KIT 67-68 MUSTANG/COUGAR W/AC - 830079 - 830046 - 0</v>
      </c>
    </row>
    <row r="1458" spans="1:15" x14ac:dyDescent="0.25">
      <c r="A1458" s="1">
        <v>912746</v>
      </c>
      <c r="B1458" s="1" t="s">
        <v>94</v>
      </c>
      <c r="C1458" s="1" t="s">
        <v>95</v>
      </c>
      <c r="D1458" s="2">
        <v>44617.649856481483</v>
      </c>
      <c r="E1458" s="1" t="s">
        <v>8</v>
      </c>
      <c r="F1458" s="1">
        <v>1</v>
      </c>
      <c r="G1458" s="1">
        <v>0</v>
      </c>
      <c r="H1458" s="6">
        <f>INT(Query1[[#This Row],[EntryDateTime]])</f>
        <v>44617</v>
      </c>
      <c r="I1458" s="1">
        <f>IF(Query1[[#This Row],[ItemType]]="EVAP KIT SF GEN IV",Query1[[#This Row],[OrderQty]]+I1457,I1457)</f>
        <v>1617</v>
      </c>
      <c r="J1458" s="1">
        <f>IF(Query1[[#This Row],[ItemType]]="EVAP KIT UNIVERSAL",Query1[[#This Row],[OrderQty]]+J1457,J1457)</f>
        <v>744</v>
      </c>
      <c r="K1458" s="1">
        <f>Query1[[#This Row],[SF Running Total]]+Query1[[#This Row],[UNIV Running Total]]</f>
        <v>2361</v>
      </c>
      <c r="L1458">
        <f>VLOOKUP(Query1[[#This Row],[Description]],'kits to boards'!$B$2:$E$156,2,FALSE)</f>
        <v>830076</v>
      </c>
      <c r="M1458">
        <f>VLOOKUP(Query1[[#This Row],[Description]],'kits to boards'!$B$2:$E$156,3,FALSE)</f>
        <v>0</v>
      </c>
      <c r="N1458">
        <f>VLOOKUP(Query1[[#This Row],[Description]],'kits to boards'!$B$2:$E$156,4,FALSE)</f>
        <v>0</v>
      </c>
      <c r="O1458" t="str">
        <f>CONCATENATE(Query1[[#This Row],[Description]]," - ",Query1[[#This Row],[MB1]]," - ",Query1[[#This Row],[MB2]]," - ",Query1[[#This Row],[MB3]])</f>
        <v>EVAP KIT 64 1/2- 66 MUSTANG  - 830076 - 0 - 0</v>
      </c>
    </row>
    <row r="1459" spans="1:15" x14ac:dyDescent="0.25">
      <c r="A1459" s="1">
        <v>912754</v>
      </c>
      <c r="B1459" s="1" t="s">
        <v>106</v>
      </c>
      <c r="C1459" s="1" t="s">
        <v>107</v>
      </c>
      <c r="D1459" s="2">
        <v>44620.306339317132</v>
      </c>
      <c r="E1459" s="1" t="s">
        <v>8</v>
      </c>
      <c r="F1459" s="1">
        <v>2</v>
      </c>
      <c r="G1459" s="1">
        <v>0</v>
      </c>
      <c r="H1459" s="6">
        <f>INT(Query1[[#This Row],[EntryDateTime]])</f>
        <v>44620</v>
      </c>
      <c r="I1459" s="1">
        <f>IF(Query1[[#This Row],[ItemType]]="EVAP KIT SF GEN IV",Query1[[#This Row],[OrderQty]]+I1458,I1458)</f>
        <v>1619</v>
      </c>
      <c r="J1459" s="1">
        <f>IF(Query1[[#This Row],[ItemType]]="EVAP KIT UNIVERSAL",Query1[[#This Row],[OrderQty]]+J1458,J1458)</f>
        <v>744</v>
      </c>
      <c r="K1459" s="1">
        <f>Query1[[#This Row],[SF Running Total]]+Query1[[#This Row],[UNIV Running Total]]</f>
        <v>2363</v>
      </c>
      <c r="L1459">
        <f>VLOOKUP(Query1[[#This Row],[Description]],'kits to boards'!$B$2:$E$156,2,FALSE)</f>
        <v>830028</v>
      </c>
      <c r="M1459">
        <f>VLOOKUP(Query1[[#This Row],[Description]],'kits to boards'!$B$2:$E$156,3,FALSE)</f>
        <v>0</v>
      </c>
      <c r="N1459">
        <f>VLOOKUP(Query1[[#This Row],[Description]],'kits to boards'!$B$2:$E$156,4,FALSE)</f>
        <v>0</v>
      </c>
      <c r="O1459" t="str">
        <f>CONCATENATE(Query1[[#This Row],[Description]]," - ",Query1[[#This Row],[MB1]]," - ",Query1[[#This Row],[MB2]]," - ",Query1[[#This Row],[MB3]])</f>
        <v>EVAP KIT 55-59 CHEV P-UP WO AC W/DELX - 830028 - 0 - 0</v>
      </c>
    </row>
    <row r="1460" spans="1:15" x14ac:dyDescent="0.25">
      <c r="A1460" s="1">
        <v>912754</v>
      </c>
      <c r="B1460" s="1" t="s">
        <v>166</v>
      </c>
      <c r="C1460" s="1" t="s">
        <v>167</v>
      </c>
      <c r="D1460" s="2">
        <v>44620.306339317132</v>
      </c>
      <c r="E1460" s="1" t="s">
        <v>8</v>
      </c>
      <c r="F1460" s="1">
        <v>1</v>
      </c>
      <c r="G1460" s="1">
        <v>0</v>
      </c>
      <c r="H1460" s="6">
        <f>INT(Query1[[#This Row],[EntryDateTime]])</f>
        <v>44620</v>
      </c>
      <c r="I1460" s="1">
        <f>IF(Query1[[#This Row],[ItemType]]="EVAP KIT SF GEN IV",Query1[[#This Row],[OrderQty]]+I1459,I1459)</f>
        <v>1620</v>
      </c>
      <c r="J1460" s="1">
        <f>IF(Query1[[#This Row],[ItemType]]="EVAP KIT UNIVERSAL",Query1[[#This Row],[OrderQty]]+J1459,J1459)</f>
        <v>744</v>
      </c>
      <c r="K1460" s="1">
        <f>Query1[[#This Row],[SF Running Total]]+Query1[[#This Row],[UNIV Running Total]]</f>
        <v>2364</v>
      </c>
      <c r="L1460">
        <f>VLOOKUP(Query1[[#This Row],[Description]],'kits to boards'!$B$2:$E$156,2,FALSE)</f>
        <v>830063</v>
      </c>
      <c r="M1460">
        <f>VLOOKUP(Query1[[#This Row],[Description]],'kits to boards'!$B$2:$E$156,3,FALSE)</f>
        <v>0</v>
      </c>
      <c r="N1460">
        <f>VLOOKUP(Query1[[#This Row],[Description]],'kits to boards'!$B$2:$E$156,4,FALSE)</f>
        <v>0</v>
      </c>
      <c r="O1460" t="str">
        <f>CONCATENATE(Query1[[#This Row],[Description]]," - ",Query1[[#This Row],[MB1]]," - ",Query1[[#This Row],[MB2]]," - ",Query1[[#This Row],[MB3]])</f>
        <v>EVAP KIT 47-49 CHEV P-UP GEN IV - 830063 - 0 - 0</v>
      </c>
    </row>
    <row r="1461" spans="1:15" x14ac:dyDescent="0.25">
      <c r="A1461" s="1">
        <v>912754</v>
      </c>
      <c r="B1461" s="1" t="s">
        <v>240</v>
      </c>
      <c r="C1461" s="1" t="s">
        <v>241</v>
      </c>
      <c r="D1461" s="2">
        <v>44620.306339317132</v>
      </c>
      <c r="E1461" s="1" t="s">
        <v>8</v>
      </c>
      <c r="F1461" s="1">
        <v>2</v>
      </c>
      <c r="G1461" s="1">
        <v>0</v>
      </c>
      <c r="H1461" s="6">
        <f>INT(Query1[[#This Row],[EntryDateTime]])</f>
        <v>44620</v>
      </c>
      <c r="I1461" s="1">
        <f>IF(Query1[[#This Row],[ItemType]]="EVAP KIT SF GEN IV",Query1[[#This Row],[OrderQty]]+I1460,I1460)</f>
        <v>1622</v>
      </c>
      <c r="J1461" s="1">
        <f>IF(Query1[[#This Row],[ItemType]]="EVAP KIT UNIVERSAL",Query1[[#This Row],[OrderQty]]+J1460,J1460)</f>
        <v>744</v>
      </c>
      <c r="K1461" s="1">
        <f>Query1[[#This Row],[SF Running Total]]+Query1[[#This Row],[UNIV Running Total]]</f>
        <v>2366</v>
      </c>
      <c r="L1461">
        <f>VLOOKUP(Query1[[#This Row],[Description]],'kits to boards'!$B$2:$E$156,2,FALSE)</f>
        <v>830032</v>
      </c>
      <c r="M1461">
        <f>VLOOKUP(Query1[[#This Row],[Description]],'kits to boards'!$B$2:$E$156,3,FALSE)</f>
        <v>0</v>
      </c>
      <c r="N1461">
        <f>VLOOKUP(Query1[[#This Row],[Description]],'kits to boards'!$B$2:$E$156,4,FALSE)</f>
        <v>0</v>
      </c>
      <c r="O1461" t="str">
        <f>CONCATENATE(Query1[[#This Row],[Description]]," - ",Query1[[#This Row],[MB1]]," - ",Query1[[#This Row],[MB2]]," - ",Query1[[#This Row],[MB3]])</f>
        <v>EVAP KIT 58-60 VETTE - 830032 - 0 - 0</v>
      </c>
    </row>
    <row r="1462" spans="1:15" x14ac:dyDescent="0.25">
      <c r="A1462" s="1">
        <v>912754</v>
      </c>
      <c r="B1462" s="1" t="s">
        <v>96</v>
      </c>
      <c r="C1462" s="1" t="s">
        <v>97</v>
      </c>
      <c r="D1462" s="2">
        <v>44620.306339317132</v>
      </c>
      <c r="E1462" s="1" t="s">
        <v>8</v>
      </c>
      <c r="F1462" s="1">
        <v>5</v>
      </c>
      <c r="G1462" s="1">
        <v>0</v>
      </c>
      <c r="H1462" s="6">
        <f>INT(Query1[[#This Row],[EntryDateTime]])</f>
        <v>44620</v>
      </c>
      <c r="I1462" s="1">
        <f>IF(Query1[[#This Row],[ItemType]]="EVAP KIT SF GEN IV",Query1[[#This Row],[OrderQty]]+I1461,I1461)</f>
        <v>1627</v>
      </c>
      <c r="J1462" s="1">
        <f>IF(Query1[[#This Row],[ItemType]]="EVAP KIT UNIVERSAL",Query1[[#This Row],[OrderQty]]+J1461,J1461)</f>
        <v>744</v>
      </c>
      <c r="K1462" s="1">
        <f>Query1[[#This Row],[SF Running Total]]+Query1[[#This Row],[UNIV Running Total]]</f>
        <v>2371</v>
      </c>
      <c r="L1462">
        <f>VLOOKUP(Query1[[#This Row],[Description]],'kits to boards'!$B$2:$E$156,2,FALSE)</f>
        <v>830004</v>
      </c>
      <c r="M1462">
        <f>VLOOKUP(Query1[[#This Row],[Description]],'kits to boards'!$B$2:$E$156,3,FALSE)</f>
        <v>0</v>
      </c>
      <c r="N1462">
        <f>VLOOKUP(Query1[[#This Row],[Description]],'kits to boards'!$B$2:$E$156,4,FALSE)</f>
        <v>0</v>
      </c>
      <c r="O1462" t="str">
        <f>CONCATENATE(Query1[[#This Row],[Description]]," - ",Query1[[#This Row],[MB1]]," - ",Query1[[#This Row],[MB2]]," - ",Query1[[#This Row],[MB3]])</f>
        <v>EVAP KIT 81-87 CHEV P-UP W/AC - 830004 - 0 - 0</v>
      </c>
    </row>
    <row r="1463" spans="1:15" x14ac:dyDescent="0.25">
      <c r="A1463" s="1">
        <v>912754</v>
      </c>
      <c r="B1463" s="1" t="s">
        <v>14</v>
      </c>
      <c r="C1463" s="1" t="s">
        <v>15</v>
      </c>
      <c r="D1463" s="2">
        <v>44620.306339317132</v>
      </c>
      <c r="E1463" s="1" t="s">
        <v>8</v>
      </c>
      <c r="F1463" s="1">
        <v>2</v>
      </c>
      <c r="G1463" s="1">
        <v>0</v>
      </c>
      <c r="H1463" s="6">
        <f>INT(Query1[[#This Row],[EntryDateTime]])</f>
        <v>44620</v>
      </c>
      <c r="I1463" s="1">
        <f>IF(Query1[[#This Row],[ItemType]]="EVAP KIT SF GEN IV",Query1[[#This Row],[OrderQty]]+I1462,I1462)</f>
        <v>1629</v>
      </c>
      <c r="J1463" s="1">
        <f>IF(Query1[[#This Row],[ItemType]]="EVAP KIT UNIVERSAL",Query1[[#This Row],[OrderQty]]+J1462,J1462)</f>
        <v>744</v>
      </c>
      <c r="K1463" s="1">
        <f>Query1[[#This Row],[SF Running Total]]+Query1[[#This Row],[UNIV Running Total]]</f>
        <v>2373</v>
      </c>
      <c r="L1463">
        <f>VLOOKUP(Query1[[#This Row],[Description]],'kits to boards'!$B$2:$E$156,2,FALSE)</f>
        <v>830054</v>
      </c>
      <c r="M1463">
        <f>VLOOKUP(Query1[[#This Row],[Description]],'kits to boards'!$B$2:$E$156,3,FALSE)</f>
        <v>0</v>
      </c>
      <c r="N1463">
        <f>VLOOKUP(Query1[[#This Row],[Description]],'kits to boards'!$B$2:$E$156,4,FALSE)</f>
        <v>0</v>
      </c>
      <c r="O1463" t="str">
        <f>CONCATENATE(Query1[[#This Row],[Description]]," - ",Query1[[#This Row],[MB1]]," - ",Query1[[#This Row],[MB2]]," - ",Query1[[#This Row],[MB3]])</f>
        <v>EVAP KIT 55-56 CHEVY - 830054 - 0 - 0</v>
      </c>
    </row>
    <row r="1464" spans="1:15" x14ac:dyDescent="0.25">
      <c r="A1464" s="1">
        <v>912754</v>
      </c>
      <c r="B1464" s="1" t="s">
        <v>48</v>
      </c>
      <c r="C1464" s="1" t="s">
        <v>49</v>
      </c>
      <c r="D1464" s="2">
        <v>44620.306339317132</v>
      </c>
      <c r="E1464" s="1" t="s">
        <v>8</v>
      </c>
      <c r="F1464" s="1">
        <v>2</v>
      </c>
      <c r="G1464" s="1">
        <v>0</v>
      </c>
      <c r="H1464" s="6">
        <f>INT(Query1[[#This Row],[EntryDateTime]])</f>
        <v>44620</v>
      </c>
      <c r="I1464" s="1">
        <f>IF(Query1[[#This Row],[ItemType]]="EVAP KIT SF GEN IV",Query1[[#This Row],[OrderQty]]+I1463,I1463)</f>
        <v>1631</v>
      </c>
      <c r="J1464" s="1">
        <f>IF(Query1[[#This Row],[ItemType]]="EVAP KIT UNIVERSAL",Query1[[#This Row],[OrderQty]]+J1463,J1463)</f>
        <v>744</v>
      </c>
      <c r="K1464" s="1">
        <f>Query1[[#This Row],[SF Running Total]]+Query1[[#This Row],[UNIV Running Total]]</f>
        <v>2375</v>
      </c>
      <c r="L1464">
        <f>VLOOKUP(Query1[[#This Row],[Description]],'kits to boards'!$B$2:$E$156,2,FALSE)</f>
        <v>830015</v>
      </c>
      <c r="M1464">
        <f>VLOOKUP(Query1[[#This Row],[Description]],'kits to boards'!$B$2:$E$156,3,FALSE)</f>
        <v>0</v>
      </c>
      <c r="N1464">
        <f>VLOOKUP(Query1[[#This Row],[Description]],'kits to boards'!$B$2:$E$156,4,FALSE)</f>
        <v>0</v>
      </c>
      <c r="O1464" t="str">
        <f>CONCATENATE(Query1[[#This Row],[Description]]," - ",Query1[[#This Row],[MB1]]," - ",Query1[[#This Row],[MB2]]," - ",Query1[[#This Row],[MB3]])</f>
        <v>EVAP KIT 64-66 CHEV P-UP WO AC W/DELX - 830015 - 0 - 0</v>
      </c>
    </row>
    <row r="1465" spans="1:15" x14ac:dyDescent="0.25">
      <c r="A1465" s="1">
        <v>912754</v>
      </c>
      <c r="B1465" s="1" t="s">
        <v>62</v>
      </c>
      <c r="C1465" s="1" t="s">
        <v>63</v>
      </c>
      <c r="D1465" s="2">
        <v>44620.306339317132</v>
      </c>
      <c r="E1465" s="1" t="s">
        <v>8</v>
      </c>
      <c r="F1465" s="1">
        <v>2</v>
      </c>
      <c r="G1465" s="1">
        <v>0</v>
      </c>
      <c r="H1465" s="6">
        <f>INT(Query1[[#This Row],[EntryDateTime]])</f>
        <v>44620</v>
      </c>
      <c r="I1465" s="1">
        <f>IF(Query1[[#This Row],[ItemType]]="EVAP KIT SF GEN IV",Query1[[#This Row],[OrderQty]]+I1464,I1464)</f>
        <v>1633</v>
      </c>
      <c r="J1465" s="1">
        <f>IF(Query1[[#This Row],[ItemType]]="EVAP KIT UNIVERSAL",Query1[[#This Row],[OrderQty]]+J1464,J1464)</f>
        <v>744</v>
      </c>
      <c r="K1465" s="1">
        <f>Query1[[#This Row],[SF Running Total]]+Query1[[#This Row],[UNIV Running Total]]</f>
        <v>2377</v>
      </c>
      <c r="L1465">
        <f>VLOOKUP(Query1[[#This Row],[Description]],'kits to boards'!$B$2:$E$156,2,FALSE)</f>
        <v>830079</v>
      </c>
      <c r="M1465">
        <f>VLOOKUP(Query1[[#This Row],[Description]],'kits to boards'!$B$2:$E$156,3,FALSE)</f>
        <v>830046</v>
      </c>
      <c r="N1465">
        <f>VLOOKUP(Query1[[#This Row],[Description]],'kits to boards'!$B$2:$E$156,4,FALSE)</f>
        <v>0</v>
      </c>
      <c r="O1465" t="str">
        <f>CONCATENATE(Query1[[#This Row],[Description]]," - ",Query1[[#This Row],[MB1]]," - ",Query1[[#This Row],[MB2]]," - ",Query1[[#This Row],[MB3]])</f>
        <v>EVAP KIT 67-68 MUSTANG/COUGAR WO AC - 830079 - 830046 - 0</v>
      </c>
    </row>
    <row r="1466" spans="1:15" x14ac:dyDescent="0.25">
      <c r="A1466" s="1">
        <v>912754</v>
      </c>
      <c r="B1466" s="1" t="s">
        <v>238</v>
      </c>
      <c r="C1466" s="1" t="s">
        <v>239</v>
      </c>
      <c r="D1466" s="2">
        <v>44620.306339317132</v>
      </c>
      <c r="E1466" s="1" t="s">
        <v>8</v>
      </c>
      <c r="F1466" s="1">
        <v>2</v>
      </c>
      <c r="G1466" s="1">
        <v>0</v>
      </c>
      <c r="H1466" s="6">
        <f>INT(Query1[[#This Row],[EntryDateTime]])</f>
        <v>44620</v>
      </c>
      <c r="I1466" s="1">
        <f>IF(Query1[[#This Row],[ItemType]]="EVAP KIT SF GEN IV",Query1[[#This Row],[OrderQty]]+I1465,I1465)</f>
        <v>1635</v>
      </c>
      <c r="J1466" s="1">
        <f>IF(Query1[[#This Row],[ItemType]]="EVAP KIT UNIVERSAL",Query1[[#This Row],[OrderQty]]+J1465,J1465)</f>
        <v>744</v>
      </c>
      <c r="K1466" s="1">
        <f>Query1[[#This Row],[SF Running Total]]+Query1[[#This Row],[UNIV Running Total]]</f>
        <v>2379</v>
      </c>
      <c r="L1466">
        <f>VLOOKUP(Query1[[#This Row],[Description]],'kits to boards'!$B$2:$E$156,2,FALSE)</f>
        <v>830073</v>
      </c>
      <c r="M1466">
        <f>VLOOKUP(Query1[[#This Row],[Description]],'kits to boards'!$B$2:$E$156,3,FALSE)</f>
        <v>0</v>
      </c>
      <c r="N1466">
        <f>VLOOKUP(Query1[[#This Row],[Description]],'kits to boards'!$B$2:$E$156,4,FALSE)</f>
        <v>0</v>
      </c>
      <c r="O1466" t="str">
        <f>CONCATENATE(Query1[[#This Row],[Description]]," - ",Query1[[#This Row],[MB1]]," - ",Query1[[#This Row],[MB2]]," - ",Query1[[#This Row],[MB3]])</f>
        <v>EVAP KIT 66-67 BELV,SALIT,GTX W/AC - 830073 - 0 - 0</v>
      </c>
    </row>
    <row r="1467" spans="1:15" x14ac:dyDescent="0.25">
      <c r="A1467" s="1">
        <v>912754</v>
      </c>
      <c r="B1467" s="1" t="s">
        <v>158</v>
      </c>
      <c r="C1467" s="1" t="s">
        <v>159</v>
      </c>
      <c r="D1467" s="2">
        <v>44620.306339317132</v>
      </c>
      <c r="E1467" s="1" t="s">
        <v>8</v>
      </c>
      <c r="F1467" s="1">
        <v>2</v>
      </c>
      <c r="G1467" s="1">
        <v>0</v>
      </c>
      <c r="H1467" s="6">
        <f>INT(Query1[[#This Row],[EntryDateTime]])</f>
        <v>44620</v>
      </c>
      <c r="I1467" s="1">
        <f>IF(Query1[[#This Row],[ItemType]]="EVAP KIT SF GEN IV",Query1[[#This Row],[OrderQty]]+I1466,I1466)</f>
        <v>1637</v>
      </c>
      <c r="J1467" s="1">
        <f>IF(Query1[[#This Row],[ItemType]]="EVAP KIT UNIVERSAL",Query1[[#This Row],[OrderQty]]+J1466,J1466)</f>
        <v>744</v>
      </c>
      <c r="K1467" s="1">
        <f>Query1[[#This Row],[SF Running Total]]+Query1[[#This Row],[UNIV Running Total]]</f>
        <v>2381</v>
      </c>
      <c r="L1467">
        <f>VLOOKUP(Query1[[#This Row],[Description]],'kits to boards'!$B$2:$E$156,2,FALSE)</f>
        <v>830080</v>
      </c>
      <c r="M1467">
        <f>VLOOKUP(Query1[[#This Row],[Description]],'kits to boards'!$B$2:$E$156,3,FALSE)</f>
        <v>830046</v>
      </c>
      <c r="N1467">
        <f>VLOOKUP(Query1[[#This Row],[Description]],'kits to boards'!$B$2:$E$156,4,FALSE)</f>
        <v>0</v>
      </c>
      <c r="O1467" t="str">
        <f>CONCATENATE(Query1[[#This Row],[Description]]," - ",Query1[[#This Row],[MB1]]," - ",Query1[[#This Row],[MB2]]," - ",Query1[[#This Row],[MB3]])</f>
        <v>EVAP KIT 69-70 MUSTANG W/AC  - 830080 - 830046 - 0</v>
      </c>
    </row>
    <row r="1468" spans="1:15" x14ac:dyDescent="0.25">
      <c r="A1468" s="1">
        <v>912754</v>
      </c>
      <c r="B1468" s="1" t="s">
        <v>148</v>
      </c>
      <c r="C1468" s="1" t="s">
        <v>149</v>
      </c>
      <c r="D1468" s="2">
        <v>44620.306339317132</v>
      </c>
      <c r="E1468" s="1" t="s">
        <v>8</v>
      </c>
      <c r="F1468" s="1">
        <v>2</v>
      </c>
      <c r="G1468" s="1">
        <v>0</v>
      </c>
      <c r="H1468" s="6">
        <f>INT(Query1[[#This Row],[EntryDateTime]])</f>
        <v>44620</v>
      </c>
      <c r="I1468" s="1">
        <f>IF(Query1[[#This Row],[ItemType]]="EVAP KIT SF GEN IV",Query1[[#This Row],[OrderQty]]+I1467,I1467)</f>
        <v>1639</v>
      </c>
      <c r="J1468" s="1">
        <f>IF(Query1[[#This Row],[ItemType]]="EVAP KIT UNIVERSAL",Query1[[#This Row],[OrderQty]]+J1467,J1467)</f>
        <v>744</v>
      </c>
      <c r="K1468" s="1">
        <f>Query1[[#This Row],[SF Running Total]]+Query1[[#This Row],[UNIV Running Total]]</f>
        <v>2383</v>
      </c>
      <c r="L1468">
        <f>VLOOKUP(Query1[[#This Row],[Description]],'kits to boards'!$B$2:$E$156,2,FALSE)</f>
        <v>830098</v>
      </c>
      <c r="M1468">
        <f>VLOOKUP(Query1[[#This Row],[Description]],'kits to boards'!$B$2:$E$156,3,FALSE)</f>
        <v>0</v>
      </c>
      <c r="N1468">
        <f>VLOOKUP(Query1[[#This Row],[Description]],'kits to boards'!$B$2:$E$156,4,FALSE)</f>
        <v>0</v>
      </c>
      <c r="O1468" t="str">
        <f>CONCATENATE(Query1[[#This Row],[Description]]," - ",Query1[[#This Row],[MB1]]," - ",Query1[[#This Row],[MB2]]," - ",Query1[[#This Row],[MB3]])</f>
        <v>EVAP KIT 77 VETTE W/AC - 830098 - 0 - 0</v>
      </c>
    </row>
    <row r="1469" spans="1:15" x14ac:dyDescent="0.25">
      <c r="A1469" s="1">
        <v>912754</v>
      </c>
      <c r="B1469" s="1" t="s">
        <v>254</v>
      </c>
      <c r="C1469" s="1" t="s">
        <v>255</v>
      </c>
      <c r="D1469" s="2">
        <v>44620.306339317132</v>
      </c>
      <c r="E1469" s="1" t="s">
        <v>8</v>
      </c>
      <c r="F1469" s="1">
        <v>2</v>
      </c>
      <c r="G1469" s="1">
        <v>0</v>
      </c>
      <c r="H1469" s="6">
        <f>INT(Query1[[#This Row],[EntryDateTime]])</f>
        <v>44620</v>
      </c>
      <c r="I1469" s="1">
        <f>IF(Query1[[#This Row],[ItemType]]="EVAP KIT SF GEN IV",Query1[[#This Row],[OrderQty]]+I1468,I1468)</f>
        <v>1641</v>
      </c>
      <c r="J1469" s="1">
        <f>IF(Query1[[#This Row],[ItemType]]="EVAP KIT UNIVERSAL",Query1[[#This Row],[OrderQty]]+J1468,J1468)</f>
        <v>744</v>
      </c>
      <c r="K1469" s="1">
        <f>Query1[[#This Row],[SF Running Total]]+Query1[[#This Row],[UNIV Running Total]]</f>
        <v>2385</v>
      </c>
      <c r="L1469">
        <f>VLOOKUP(Query1[[#This Row],[Description]],'kits to boards'!$B$2:$E$156,2,FALSE)</f>
        <v>830073</v>
      </c>
      <c r="M1469">
        <f>VLOOKUP(Query1[[#This Row],[Description]],'kits to boards'!$B$2:$E$156,3,FALSE)</f>
        <v>0</v>
      </c>
      <c r="N1469">
        <f>VLOOKUP(Query1[[#This Row],[Description]],'kits to boards'!$B$2:$E$156,4,FALSE)</f>
        <v>0</v>
      </c>
      <c r="O1469" t="str">
        <f>CONCATENATE(Query1[[#This Row],[Description]]," - ",Query1[[#This Row],[MB1]]," - ",Query1[[#This Row],[MB2]]," - ",Query1[[#This Row],[MB3]])</f>
        <v>EVAP KIT 66-67 BELV,SALIT,GTX WO AC - 830073 - 0 - 0</v>
      </c>
    </row>
    <row r="1470" spans="1:15" x14ac:dyDescent="0.25">
      <c r="A1470" s="1">
        <v>912754</v>
      </c>
      <c r="B1470" s="1" t="s">
        <v>126</v>
      </c>
      <c r="C1470" s="1" t="s">
        <v>127</v>
      </c>
      <c r="D1470" s="2">
        <v>44620.306339317132</v>
      </c>
      <c r="E1470" s="1" t="s">
        <v>8</v>
      </c>
      <c r="F1470" s="1">
        <v>2</v>
      </c>
      <c r="G1470" s="1">
        <v>0</v>
      </c>
      <c r="H1470" s="6">
        <f>INT(Query1[[#This Row],[EntryDateTime]])</f>
        <v>44620</v>
      </c>
      <c r="I1470" s="1">
        <f>IF(Query1[[#This Row],[ItemType]]="EVAP KIT SF GEN IV",Query1[[#This Row],[OrderQty]]+I1469,I1469)</f>
        <v>1643</v>
      </c>
      <c r="J1470" s="1">
        <f>IF(Query1[[#This Row],[ItemType]]="EVAP KIT UNIVERSAL",Query1[[#This Row],[OrderQty]]+J1469,J1469)</f>
        <v>744</v>
      </c>
      <c r="K1470" s="1">
        <f>Query1[[#This Row],[SF Running Total]]+Query1[[#This Row],[UNIV Running Total]]</f>
        <v>2387</v>
      </c>
      <c r="L1470">
        <f>VLOOKUP(Query1[[#This Row],[Description]],'kits to boards'!$B$2:$E$156,2,FALSE)</f>
        <v>830080</v>
      </c>
      <c r="M1470">
        <f>VLOOKUP(Query1[[#This Row],[Description]],'kits to boards'!$B$2:$E$156,3,FALSE)</f>
        <v>0</v>
      </c>
      <c r="N1470">
        <f>VLOOKUP(Query1[[#This Row],[Description]],'kits to boards'!$B$2:$E$156,4,FALSE)</f>
        <v>0</v>
      </c>
      <c r="O1470" t="str">
        <f>CONCATENATE(Query1[[#This Row],[Description]]," - ",Query1[[#This Row],[MB1]]," - ",Query1[[#This Row],[MB2]]," - ",Query1[[#This Row],[MB3]])</f>
        <v>EVAP KIT 69-70 MUSTANG WO AC  - 830080 - 0 - 0</v>
      </c>
    </row>
    <row r="1471" spans="1:15" x14ac:dyDescent="0.25">
      <c r="A1471" s="1">
        <v>912754</v>
      </c>
      <c r="B1471" s="1" t="s">
        <v>28</v>
      </c>
      <c r="C1471" s="1" t="s">
        <v>29</v>
      </c>
      <c r="D1471" s="2">
        <v>44620.306339317132</v>
      </c>
      <c r="E1471" s="1" t="s">
        <v>8</v>
      </c>
      <c r="F1471" s="1">
        <v>4</v>
      </c>
      <c r="G1471" s="1">
        <v>0</v>
      </c>
      <c r="H1471" s="6">
        <f>INT(Query1[[#This Row],[EntryDateTime]])</f>
        <v>44620</v>
      </c>
      <c r="I1471" s="1">
        <f>IF(Query1[[#This Row],[ItemType]]="EVAP KIT SF GEN IV",Query1[[#This Row],[OrderQty]]+I1470,I1470)</f>
        <v>1647</v>
      </c>
      <c r="J1471" s="1">
        <f>IF(Query1[[#This Row],[ItemType]]="EVAP KIT UNIVERSAL",Query1[[#This Row],[OrderQty]]+J1470,J1470)</f>
        <v>744</v>
      </c>
      <c r="K1471" s="1">
        <f>Query1[[#This Row],[SF Running Total]]+Query1[[#This Row],[UNIV Running Total]]</f>
        <v>2391</v>
      </c>
      <c r="L1471">
        <f>VLOOKUP(Query1[[#This Row],[Description]],'kits to boards'!$B$2:$E$156,2,FALSE)</f>
        <v>830001</v>
      </c>
      <c r="M1471">
        <f>VLOOKUP(Query1[[#This Row],[Description]],'kits to boards'!$B$2:$E$156,3,FALSE)</f>
        <v>0</v>
      </c>
      <c r="N1471">
        <f>VLOOKUP(Query1[[#This Row],[Description]],'kits to boards'!$B$2:$E$156,4,FALSE)</f>
        <v>0</v>
      </c>
      <c r="O1471" t="str">
        <f>CONCATENATE(Query1[[#This Row],[Description]]," - ",Query1[[#This Row],[MB1]]," - ",Query1[[#This Row],[MB2]]," - ",Query1[[#This Row],[MB3]])</f>
        <v>EVAP KIT 73-80 CHEV P-UP W/AC - 830001 - 0 - 0</v>
      </c>
    </row>
    <row r="1472" spans="1:15" x14ac:dyDescent="0.25">
      <c r="A1472" s="1">
        <v>912754</v>
      </c>
      <c r="B1472" s="1" t="s">
        <v>128</v>
      </c>
      <c r="C1472" s="1" t="s">
        <v>129</v>
      </c>
      <c r="D1472" s="2">
        <v>44620.306339317132</v>
      </c>
      <c r="E1472" s="1" t="s">
        <v>8</v>
      </c>
      <c r="F1472" s="1">
        <v>2</v>
      </c>
      <c r="G1472" s="1">
        <v>0</v>
      </c>
      <c r="H1472" s="6">
        <f>INT(Query1[[#This Row],[EntryDateTime]])</f>
        <v>44620</v>
      </c>
      <c r="I1472" s="1">
        <f>IF(Query1[[#This Row],[ItemType]]="EVAP KIT SF GEN IV",Query1[[#This Row],[OrderQty]]+I1471,I1471)</f>
        <v>1649</v>
      </c>
      <c r="J1472" s="1">
        <f>IF(Query1[[#This Row],[ItemType]]="EVAP KIT UNIVERSAL",Query1[[#This Row],[OrderQty]]+J1471,J1471)</f>
        <v>744</v>
      </c>
      <c r="K1472" s="1">
        <f>Query1[[#This Row],[SF Running Total]]+Query1[[#This Row],[UNIV Running Total]]</f>
        <v>2393</v>
      </c>
      <c r="L1472">
        <f>VLOOKUP(Query1[[#This Row],[Description]],'kits to boards'!$B$2:$E$156,2,FALSE)</f>
        <v>830036</v>
      </c>
      <c r="M1472">
        <f>VLOOKUP(Query1[[#This Row],[Description]],'kits to boards'!$B$2:$E$156,3,FALSE)</f>
        <v>830039</v>
      </c>
      <c r="N1472">
        <f>VLOOKUP(Query1[[#This Row],[Description]],'kits to boards'!$B$2:$E$156,4,FALSE)</f>
        <v>0</v>
      </c>
      <c r="O1472" t="str">
        <f>CONCATENATE(Query1[[#This Row],[Description]]," - ",Query1[[#This Row],[MB1]]," - ",Query1[[#This Row],[MB2]]," - ",Query1[[#This Row],[MB3]])</f>
        <v>EVAP KIT 63-66 VETTE WO AC - 830036 - 830039 - 0</v>
      </c>
    </row>
    <row r="1473" spans="1:15" x14ac:dyDescent="0.25">
      <c r="A1473" s="1">
        <v>912754</v>
      </c>
      <c r="B1473" s="1" t="s">
        <v>108</v>
      </c>
      <c r="C1473" s="1" t="s">
        <v>109</v>
      </c>
      <c r="D1473" s="2">
        <v>44620.306339317132</v>
      </c>
      <c r="E1473" s="1" t="s">
        <v>8</v>
      </c>
      <c r="F1473" s="1">
        <v>2</v>
      </c>
      <c r="G1473" s="1">
        <v>0</v>
      </c>
      <c r="H1473" s="6">
        <f>INT(Query1[[#This Row],[EntryDateTime]])</f>
        <v>44620</v>
      </c>
      <c r="I1473" s="1">
        <f>IF(Query1[[#This Row],[ItemType]]="EVAP KIT SF GEN IV",Query1[[#This Row],[OrderQty]]+I1472,I1472)</f>
        <v>1651</v>
      </c>
      <c r="J1473" s="1">
        <f>IF(Query1[[#This Row],[ItemType]]="EVAP KIT UNIVERSAL",Query1[[#This Row],[OrderQty]]+J1472,J1472)</f>
        <v>744</v>
      </c>
      <c r="K1473" s="1">
        <f>Query1[[#This Row],[SF Running Total]]+Query1[[#This Row],[UNIV Running Total]]</f>
        <v>2395</v>
      </c>
      <c r="L1473">
        <f>VLOOKUP(Query1[[#This Row],[Description]],'kits to boards'!$B$2:$E$156,2,FALSE)</f>
        <v>830105</v>
      </c>
      <c r="M1473">
        <f>VLOOKUP(Query1[[#This Row],[Description]],'kits to boards'!$B$2:$E$156,3,FALSE)</f>
        <v>830106</v>
      </c>
      <c r="N1473">
        <f>VLOOKUP(Query1[[#This Row],[Description]],'kits to boards'!$B$2:$E$156,4,FALSE)</f>
        <v>0</v>
      </c>
      <c r="O1473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1474" spans="1:15" x14ac:dyDescent="0.25">
      <c r="A1474" s="1">
        <v>912754</v>
      </c>
      <c r="B1474" s="1" t="s">
        <v>52</v>
      </c>
      <c r="C1474" s="1" t="s">
        <v>53</v>
      </c>
      <c r="D1474" s="2">
        <v>44620.306339317132</v>
      </c>
      <c r="E1474" s="1" t="s">
        <v>8</v>
      </c>
      <c r="F1474" s="1">
        <v>3</v>
      </c>
      <c r="G1474" s="1">
        <v>0</v>
      </c>
      <c r="H1474" s="6">
        <f>INT(Query1[[#This Row],[EntryDateTime]])</f>
        <v>44620</v>
      </c>
      <c r="I1474" s="1">
        <f>IF(Query1[[#This Row],[ItemType]]="EVAP KIT SF GEN IV",Query1[[#This Row],[OrderQty]]+I1473,I1473)</f>
        <v>1654</v>
      </c>
      <c r="J1474" s="1">
        <f>IF(Query1[[#This Row],[ItemType]]="EVAP KIT UNIVERSAL",Query1[[#This Row],[OrderQty]]+J1473,J1473)</f>
        <v>744</v>
      </c>
      <c r="K1474" s="1">
        <f>Query1[[#This Row],[SF Running Total]]+Query1[[#This Row],[UNIV Running Total]]</f>
        <v>2398</v>
      </c>
      <c r="L1474">
        <f>VLOOKUP(Query1[[#This Row],[Description]],'kits to boards'!$B$2:$E$156,2,FALSE)</f>
        <v>830017</v>
      </c>
      <c r="M1474">
        <f>VLOOKUP(Query1[[#This Row],[Description]],'kits to boards'!$B$2:$E$156,3,FALSE)</f>
        <v>830119</v>
      </c>
      <c r="N1474">
        <f>VLOOKUP(Query1[[#This Row],[Description]],'kits to boards'!$B$2:$E$156,4,FALSE)</f>
        <v>830120</v>
      </c>
      <c r="O1474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1475" spans="1:15" x14ac:dyDescent="0.25">
      <c r="A1475" s="1">
        <v>912754</v>
      </c>
      <c r="B1475" s="1" t="s">
        <v>42</v>
      </c>
      <c r="C1475" s="1" t="s">
        <v>43</v>
      </c>
      <c r="D1475" s="2">
        <v>44620.306339317132</v>
      </c>
      <c r="E1475" s="1" t="s">
        <v>8</v>
      </c>
      <c r="F1475" s="1">
        <v>5</v>
      </c>
      <c r="G1475" s="1">
        <v>0</v>
      </c>
      <c r="H1475" s="6">
        <f>INT(Query1[[#This Row],[EntryDateTime]])</f>
        <v>44620</v>
      </c>
      <c r="I1475" s="1">
        <f>IF(Query1[[#This Row],[ItemType]]="EVAP KIT SF GEN IV",Query1[[#This Row],[OrderQty]]+I1474,I1474)</f>
        <v>1659</v>
      </c>
      <c r="J1475" s="1">
        <f>IF(Query1[[#This Row],[ItemType]]="EVAP KIT UNIVERSAL",Query1[[#This Row],[OrderQty]]+J1474,J1474)</f>
        <v>744</v>
      </c>
      <c r="K1475" s="1">
        <f>Query1[[#This Row],[SF Running Total]]+Query1[[#This Row],[UNIV Running Total]]</f>
        <v>2403</v>
      </c>
      <c r="L1475">
        <f>VLOOKUP(Query1[[#This Row],[Description]],'kits to boards'!$B$2:$E$156,2,FALSE)</f>
        <v>830014</v>
      </c>
      <c r="M1475">
        <f>VLOOKUP(Query1[[#This Row],[Description]],'kits to boards'!$B$2:$E$156,3,FALSE)</f>
        <v>0</v>
      </c>
      <c r="N1475">
        <f>VLOOKUP(Query1[[#This Row],[Description]],'kits to boards'!$B$2:$E$156,4,FALSE)</f>
        <v>0</v>
      </c>
      <c r="O1475" t="str">
        <f>CONCATENATE(Query1[[#This Row],[Description]]," - ",Query1[[#This Row],[MB1]]," - ",Query1[[#This Row],[MB2]]," - ",Query1[[#This Row],[MB3]])</f>
        <v>EVAP KIT 67-72 CHEV P-UP WO AC - 830014 - 0 - 0</v>
      </c>
    </row>
    <row r="1476" spans="1:15" x14ac:dyDescent="0.25">
      <c r="A1476" s="1">
        <v>912754</v>
      </c>
      <c r="B1476" s="1" t="s">
        <v>18</v>
      </c>
      <c r="C1476" s="1" t="s">
        <v>19</v>
      </c>
      <c r="D1476" s="2">
        <v>44620.306339317132</v>
      </c>
      <c r="E1476" s="1" t="s">
        <v>8</v>
      </c>
      <c r="F1476" s="1">
        <v>4</v>
      </c>
      <c r="G1476" s="1">
        <v>0</v>
      </c>
      <c r="H1476" s="6">
        <f>INT(Query1[[#This Row],[EntryDateTime]])</f>
        <v>44620</v>
      </c>
      <c r="I1476" s="1">
        <f>IF(Query1[[#This Row],[ItemType]]="EVAP KIT SF GEN IV",Query1[[#This Row],[OrderQty]]+I1475,I1475)</f>
        <v>1663</v>
      </c>
      <c r="J1476" s="1">
        <f>IF(Query1[[#This Row],[ItemType]]="EVAP KIT UNIVERSAL",Query1[[#This Row],[OrderQty]]+J1475,J1475)</f>
        <v>744</v>
      </c>
      <c r="K1476" s="1">
        <f>Query1[[#This Row],[SF Running Total]]+Query1[[#This Row],[UNIV Running Total]]</f>
        <v>2407</v>
      </c>
      <c r="L1476">
        <f>VLOOKUP(Query1[[#This Row],[Description]],'kits to boards'!$B$2:$E$156,2,FALSE)</f>
        <v>830051</v>
      </c>
      <c r="M1476">
        <f>VLOOKUP(Query1[[#This Row],[Description]],'kits to boards'!$B$2:$E$156,3,FALSE)</f>
        <v>0</v>
      </c>
      <c r="N1476">
        <f>VLOOKUP(Query1[[#This Row],[Description]],'kits to boards'!$B$2:$E$156,4,FALSE)</f>
        <v>0</v>
      </c>
      <c r="O1476" t="str">
        <f>CONCATENATE(Query1[[#This Row],[Description]]," - ",Query1[[#This Row],[MB1]]," - ",Query1[[#This Row],[MB2]]," - ",Query1[[#This Row],[MB3]])</f>
        <v>EVAP KIT 70-78 CAMARO W/AC - 830051 - 0 - 0</v>
      </c>
    </row>
    <row r="1477" spans="1:15" x14ac:dyDescent="0.25">
      <c r="A1477" s="1">
        <v>912754</v>
      </c>
      <c r="B1477" s="1" t="s">
        <v>26</v>
      </c>
      <c r="C1477" s="1" t="s">
        <v>27</v>
      </c>
      <c r="D1477" s="2">
        <v>44620.306339317132</v>
      </c>
      <c r="E1477" s="1" t="s">
        <v>8</v>
      </c>
      <c r="F1477" s="1">
        <v>4</v>
      </c>
      <c r="G1477" s="1">
        <v>0</v>
      </c>
      <c r="H1477" s="6">
        <f>INT(Query1[[#This Row],[EntryDateTime]])</f>
        <v>44620</v>
      </c>
      <c r="I1477" s="1">
        <f>IF(Query1[[#This Row],[ItemType]]="EVAP KIT SF GEN IV",Query1[[#This Row],[OrderQty]]+I1476,I1476)</f>
        <v>1667</v>
      </c>
      <c r="J1477" s="1">
        <f>IF(Query1[[#This Row],[ItemType]]="EVAP KIT UNIVERSAL",Query1[[#This Row],[OrderQty]]+J1476,J1476)</f>
        <v>744</v>
      </c>
      <c r="K1477" s="1">
        <f>Query1[[#This Row],[SF Running Total]]+Query1[[#This Row],[UNIV Running Total]]</f>
        <v>2411</v>
      </c>
      <c r="L1477">
        <f>VLOOKUP(Query1[[#This Row],[Description]],'kits to boards'!$B$2:$E$156,2,FALSE)</f>
        <v>830013</v>
      </c>
      <c r="M1477">
        <f>VLOOKUP(Query1[[#This Row],[Description]],'kits to boards'!$B$2:$E$156,3,FALSE)</f>
        <v>0</v>
      </c>
      <c r="N1477">
        <f>VLOOKUP(Query1[[#This Row],[Description]],'kits to boards'!$B$2:$E$156,4,FALSE)</f>
        <v>0</v>
      </c>
      <c r="O1477" t="str">
        <f>CONCATENATE(Query1[[#This Row],[Description]]," - ",Query1[[#This Row],[MB1]]," - ",Query1[[#This Row],[MB2]]," - ",Query1[[#This Row],[MB3]])</f>
        <v>EVAP KIT 67-72 CHEV P-UP W/AC - 830013 - 0 - 0</v>
      </c>
    </row>
    <row r="1478" spans="1:15" x14ac:dyDescent="0.25">
      <c r="A1478" s="1">
        <v>912754</v>
      </c>
      <c r="B1478" s="1" t="s">
        <v>132</v>
      </c>
      <c r="C1478" s="1" t="s">
        <v>133</v>
      </c>
      <c r="D1478" s="2">
        <v>44620.306339317132</v>
      </c>
      <c r="E1478" s="1" t="s">
        <v>8</v>
      </c>
      <c r="F1478" s="1">
        <v>1</v>
      </c>
      <c r="G1478" s="1">
        <v>0</v>
      </c>
      <c r="H1478" s="6">
        <f>INT(Query1[[#This Row],[EntryDateTime]])</f>
        <v>44620</v>
      </c>
      <c r="I1478" s="1">
        <f>IF(Query1[[#This Row],[ItemType]]="EVAP KIT SF GEN IV",Query1[[#This Row],[OrderQty]]+I1477,I1477)</f>
        <v>1668</v>
      </c>
      <c r="J1478" s="1">
        <f>IF(Query1[[#This Row],[ItemType]]="EVAP KIT UNIVERSAL",Query1[[#This Row],[OrderQty]]+J1477,J1477)</f>
        <v>744</v>
      </c>
      <c r="K1478" s="1">
        <f>Query1[[#This Row],[SF Running Total]]+Query1[[#This Row],[UNIV Running Total]]</f>
        <v>2412</v>
      </c>
      <c r="L1478">
        <f>VLOOKUP(Query1[[#This Row],[Description]],'kits to boards'!$B$2:$E$156,2,FALSE)</f>
        <v>830005</v>
      </c>
      <c r="M1478">
        <f>VLOOKUP(Query1[[#This Row],[Description]],'kits to boards'!$B$2:$E$156,3,FALSE)</f>
        <v>0</v>
      </c>
      <c r="N1478">
        <f>VLOOKUP(Query1[[#This Row],[Description]],'kits to boards'!$B$2:$E$156,4,FALSE)</f>
        <v>0</v>
      </c>
      <c r="O1478" t="str">
        <f>CONCATENATE(Query1[[#This Row],[Description]]," - ",Query1[[#This Row],[MB1]]," - ",Query1[[#This Row],[MB2]]," - ",Query1[[#This Row],[MB3]])</f>
        <v>EVAP KIT 61-62 IMPALA WO AC - 830005 - 0 - 0</v>
      </c>
    </row>
    <row r="1479" spans="1:15" x14ac:dyDescent="0.25">
      <c r="A1479" s="1">
        <v>912754</v>
      </c>
      <c r="B1479" s="1" t="s">
        <v>124</v>
      </c>
      <c r="C1479" s="1" t="s">
        <v>125</v>
      </c>
      <c r="D1479" s="2">
        <v>44620.306339317132</v>
      </c>
      <c r="E1479" s="1" t="s">
        <v>8</v>
      </c>
      <c r="F1479" s="1">
        <v>2</v>
      </c>
      <c r="G1479" s="1">
        <v>0</v>
      </c>
      <c r="H1479" s="6">
        <f>INT(Query1[[#This Row],[EntryDateTime]])</f>
        <v>44620</v>
      </c>
      <c r="I1479" s="1">
        <f>IF(Query1[[#This Row],[ItemType]]="EVAP KIT SF GEN IV",Query1[[#This Row],[OrderQty]]+I1478,I1478)</f>
        <v>1670</v>
      </c>
      <c r="J1479" s="1">
        <f>IF(Query1[[#This Row],[ItemType]]="EVAP KIT UNIVERSAL",Query1[[#This Row],[OrderQty]]+J1478,J1478)</f>
        <v>744</v>
      </c>
      <c r="K1479" s="1">
        <f>Query1[[#This Row],[SF Running Total]]+Query1[[#This Row],[UNIV Running Total]]</f>
        <v>2414</v>
      </c>
      <c r="L1479">
        <f>VLOOKUP(Query1[[#This Row],[Description]],'kits to boards'!$B$2:$E$156,2,FALSE)</f>
        <v>830002</v>
      </c>
      <c r="M1479">
        <f>VLOOKUP(Query1[[#This Row],[Description]],'kits to boards'!$B$2:$E$156,3,FALSE)</f>
        <v>0</v>
      </c>
      <c r="N1479">
        <f>VLOOKUP(Query1[[#This Row],[Description]],'kits to boards'!$B$2:$E$156,4,FALSE)</f>
        <v>0</v>
      </c>
      <c r="O1479" t="str">
        <f>CONCATENATE(Query1[[#This Row],[Description]]," - ",Query1[[#This Row],[MB1]]," - ",Query1[[#This Row],[MB2]]," - ",Query1[[#This Row],[MB3]])</f>
        <v>EVAP KIT 73-80 CHEV P-UP WO AC - 830002 - 0 - 0</v>
      </c>
    </row>
    <row r="1480" spans="1:15" x14ac:dyDescent="0.25">
      <c r="A1480" s="1">
        <v>912754</v>
      </c>
      <c r="B1480" s="1" t="s">
        <v>134</v>
      </c>
      <c r="C1480" s="1" t="s">
        <v>135</v>
      </c>
      <c r="D1480" s="2">
        <v>44620.306339317132</v>
      </c>
      <c r="E1480" s="1" t="s">
        <v>8</v>
      </c>
      <c r="F1480" s="1">
        <v>2</v>
      </c>
      <c r="G1480" s="1">
        <v>0</v>
      </c>
      <c r="H1480" s="6">
        <f>INT(Query1[[#This Row],[EntryDateTime]])</f>
        <v>44620</v>
      </c>
      <c r="I1480" s="1">
        <f>IF(Query1[[#This Row],[ItemType]]="EVAP KIT SF GEN IV",Query1[[#This Row],[OrderQty]]+I1479,I1479)</f>
        <v>1672</v>
      </c>
      <c r="J1480" s="1">
        <f>IF(Query1[[#This Row],[ItemType]]="EVAP KIT UNIVERSAL",Query1[[#This Row],[OrderQty]]+J1479,J1479)</f>
        <v>744</v>
      </c>
      <c r="K1480" s="1">
        <f>Query1[[#This Row],[SF Running Total]]+Query1[[#This Row],[UNIV Running Total]]</f>
        <v>2416</v>
      </c>
      <c r="L1480">
        <f>VLOOKUP(Query1[[#This Row],[Description]],'kits to boards'!$B$2:$E$156,2,FALSE)</f>
        <v>830007</v>
      </c>
      <c r="M1480">
        <f>VLOOKUP(Query1[[#This Row],[Description]],'kits to boards'!$B$2:$E$156,3,FALSE)</f>
        <v>0</v>
      </c>
      <c r="N1480">
        <f>VLOOKUP(Query1[[#This Row],[Description]],'kits to boards'!$B$2:$E$156,4,FALSE)</f>
        <v>0</v>
      </c>
      <c r="O1480" t="str">
        <f>CONCATENATE(Query1[[#This Row],[Description]]," - ",Query1[[#This Row],[MB1]]," - ",Query1[[#This Row],[MB2]]," - ",Query1[[#This Row],[MB3]])</f>
        <v>EVAP KIT 64 IMPALA WO AC - 830007 - 0 - 0</v>
      </c>
    </row>
    <row r="1481" spans="1:15" x14ac:dyDescent="0.25">
      <c r="A1481" s="1">
        <v>912754</v>
      </c>
      <c r="B1481" s="1" t="s">
        <v>192</v>
      </c>
      <c r="C1481" s="1" t="s">
        <v>193</v>
      </c>
      <c r="D1481" s="2">
        <v>44620.306339317132</v>
      </c>
      <c r="E1481" s="1" t="s">
        <v>8</v>
      </c>
      <c r="F1481" s="1">
        <v>2</v>
      </c>
      <c r="G1481" s="1">
        <v>0</v>
      </c>
      <c r="H1481" s="6">
        <f>INT(Query1[[#This Row],[EntryDateTime]])</f>
        <v>44620</v>
      </c>
      <c r="I1481" s="1">
        <f>IF(Query1[[#This Row],[ItemType]]="EVAP KIT SF GEN IV",Query1[[#This Row],[OrderQty]]+I1480,I1480)</f>
        <v>1674</v>
      </c>
      <c r="J1481" s="1">
        <f>IF(Query1[[#This Row],[ItemType]]="EVAP KIT UNIVERSAL",Query1[[#This Row],[OrderQty]]+J1480,J1480)</f>
        <v>744</v>
      </c>
      <c r="K1481" s="1">
        <f>Query1[[#This Row],[SF Running Total]]+Query1[[#This Row],[UNIV Running Total]]</f>
        <v>2418</v>
      </c>
      <c r="L1481">
        <f>VLOOKUP(Query1[[#This Row],[Description]],'kits to boards'!$B$2:$E$156,2,FALSE)</f>
        <v>830094</v>
      </c>
      <c r="M1481">
        <f>VLOOKUP(Query1[[#This Row],[Description]],'kits to boards'!$B$2:$E$156,3,FALSE)</f>
        <v>0</v>
      </c>
      <c r="N1481">
        <f>VLOOKUP(Query1[[#This Row],[Description]],'kits to boards'!$B$2:$E$156,4,FALSE)</f>
        <v>0</v>
      </c>
      <c r="O1481" t="str">
        <f>CONCATENATE(Query1[[#This Row],[Description]]," - ",Query1[[#This Row],[MB1]]," - ",Query1[[#This Row],[MB2]]," - ",Query1[[#This Row],[MB3]])</f>
        <v>EVAP KIT 69-73 VETTE W/AC - 830094 - 0 - 0</v>
      </c>
    </row>
    <row r="1482" spans="1:15" x14ac:dyDescent="0.25">
      <c r="A1482" s="1">
        <v>912756</v>
      </c>
      <c r="B1482" s="1" t="s">
        <v>24</v>
      </c>
      <c r="C1482" s="1" t="s">
        <v>25</v>
      </c>
      <c r="D1482" s="2">
        <v>44620.307734062502</v>
      </c>
      <c r="E1482" s="1" t="s">
        <v>11</v>
      </c>
      <c r="F1482" s="1">
        <v>1</v>
      </c>
      <c r="G1482" s="1">
        <v>0</v>
      </c>
      <c r="H1482" s="6">
        <f>INT(Query1[[#This Row],[EntryDateTime]])</f>
        <v>44620</v>
      </c>
      <c r="I1482" s="1">
        <f>IF(Query1[[#This Row],[ItemType]]="EVAP KIT SF GEN IV",Query1[[#This Row],[OrderQty]]+I1481,I1481)</f>
        <v>1674</v>
      </c>
      <c r="J1482" s="1">
        <f>IF(Query1[[#This Row],[ItemType]]="EVAP KIT UNIVERSAL",Query1[[#This Row],[OrderQty]]+J1481,J1481)</f>
        <v>745</v>
      </c>
      <c r="K1482" s="1">
        <f>Query1[[#This Row],[SF Running Total]]+Query1[[#This Row],[UNIV Running Total]]</f>
        <v>2419</v>
      </c>
      <c r="L1482">
        <f>VLOOKUP(Query1[[#This Row],[Description]],'kits to boards'!$B$2:$E$156,2,FALSE)</f>
        <v>830029</v>
      </c>
      <c r="M1482">
        <f>VLOOKUP(Query1[[#This Row],[Description]],'kits to boards'!$B$2:$E$156,3,FALSE)</f>
        <v>830030</v>
      </c>
      <c r="N1482">
        <f>VLOOKUP(Query1[[#This Row],[Description]],'kits to boards'!$B$2:$E$156,4,FALSE)</f>
        <v>0</v>
      </c>
      <c r="O1482" t="str">
        <f>CONCATENATE(Query1[[#This Row],[Description]]," - ",Query1[[#This Row],[MB1]]," - ",Query1[[#This Row],[MB2]]," - ",Query1[[#This Row],[MB3]])</f>
        <v>ComPac GEN II W/DEF - 830029 - 830030 - 0</v>
      </c>
    </row>
    <row r="1483" spans="1:15" x14ac:dyDescent="0.25">
      <c r="A1483" s="1">
        <v>912757</v>
      </c>
      <c r="B1483" s="1" t="s">
        <v>44</v>
      </c>
      <c r="C1483" s="1" t="s">
        <v>45</v>
      </c>
      <c r="D1483" s="2">
        <v>44620.308757372688</v>
      </c>
      <c r="E1483" s="1" t="s">
        <v>8</v>
      </c>
      <c r="F1483" s="1">
        <v>1</v>
      </c>
      <c r="G1483" s="1">
        <v>0</v>
      </c>
      <c r="H1483" s="6">
        <f>INT(Query1[[#This Row],[EntryDateTime]])</f>
        <v>44620</v>
      </c>
      <c r="I1483" s="1">
        <f>IF(Query1[[#This Row],[ItemType]]="EVAP KIT SF GEN IV",Query1[[#This Row],[OrderQty]]+I1482,I1482)</f>
        <v>1675</v>
      </c>
      <c r="J1483" s="1">
        <f>IF(Query1[[#This Row],[ItemType]]="EVAP KIT UNIVERSAL",Query1[[#This Row],[OrderQty]]+J1482,J1482)</f>
        <v>745</v>
      </c>
      <c r="K1483" s="1">
        <f>Query1[[#This Row],[SF Running Total]]+Query1[[#This Row],[UNIV Running Total]]</f>
        <v>2420</v>
      </c>
      <c r="L1483">
        <f>VLOOKUP(Query1[[#This Row],[Description]],'kits to boards'!$B$2:$E$156,2,FALSE)</f>
        <v>830085</v>
      </c>
      <c r="M1483">
        <f>VLOOKUP(Query1[[#This Row],[Description]],'kits to boards'!$B$2:$E$156,3,FALSE)</f>
        <v>0</v>
      </c>
      <c r="N1483">
        <f>VLOOKUP(Query1[[#This Row],[Description]],'kits to boards'!$B$2:$E$156,4,FALSE)</f>
        <v>0</v>
      </c>
      <c r="O1483" t="str">
        <f>CONCATENATE(Query1[[#This Row],[Description]]," - ",Query1[[#This Row],[MB1]]," - ",Query1[[#This Row],[MB2]]," - ",Query1[[#This Row],[MB3]])</f>
        <v>EVAP KIT 66-77 BRONCO - 830085 - 0 - 0</v>
      </c>
    </row>
    <row r="1484" spans="1:15" x14ac:dyDescent="0.25">
      <c r="A1484" s="1">
        <v>912758</v>
      </c>
      <c r="B1484" s="1" t="s">
        <v>90</v>
      </c>
      <c r="C1484" s="1" t="s">
        <v>91</v>
      </c>
      <c r="D1484" s="2">
        <v>44620.309473298614</v>
      </c>
      <c r="E1484" s="1" t="s">
        <v>8</v>
      </c>
      <c r="F1484" s="1">
        <v>1</v>
      </c>
      <c r="G1484" s="1">
        <v>0</v>
      </c>
      <c r="H1484" s="6">
        <f>INT(Query1[[#This Row],[EntryDateTime]])</f>
        <v>44620</v>
      </c>
      <c r="I1484" s="1">
        <f>IF(Query1[[#This Row],[ItemType]]="EVAP KIT SF GEN IV",Query1[[#This Row],[OrderQty]]+I1483,I1483)</f>
        <v>1676</v>
      </c>
      <c r="J1484" s="1">
        <f>IF(Query1[[#This Row],[ItemType]]="EVAP KIT UNIVERSAL",Query1[[#This Row],[OrderQty]]+J1483,J1483)</f>
        <v>745</v>
      </c>
      <c r="K1484" s="1">
        <f>Query1[[#This Row],[SF Running Total]]+Query1[[#This Row],[UNIV Running Total]]</f>
        <v>2421</v>
      </c>
      <c r="L1484">
        <f>VLOOKUP(Query1[[#This Row],[Description]],'kits to boards'!$B$2:$E$156,2,FALSE)</f>
        <v>830105</v>
      </c>
      <c r="M1484">
        <f>VLOOKUP(Query1[[#This Row],[Description]],'kits to boards'!$B$2:$E$156,3,FALSE)</f>
        <v>830106</v>
      </c>
      <c r="N1484">
        <f>VLOOKUP(Query1[[#This Row],[Description]],'kits to boards'!$B$2:$E$156,4,FALSE)</f>
        <v>0</v>
      </c>
      <c r="O1484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1485" spans="1:15" x14ac:dyDescent="0.25">
      <c r="A1485" s="1">
        <v>912759</v>
      </c>
      <c r="B1485" s="1" t="s">
        <v>78</v>
      </c>
      <c r="C1485" s="1" t="s">
        <v>79</v>
      </c>
      <c r="D1485" s="2">
        <v>44620.312057210649</v>
      </c>
      <c r="E1485" s="1" t="s">
        <v>11</v>
      </c>
      <c r="F1485" s="1">
        <v>4</v>
      </c>
      <c r="G1485" s="1">
        <v>0</v>
      </c>
      <c r="H1485" s="6">
        <f>INT(Query1[[#This Row],[EntryDateTime]])</f>
        <v>44620</v>
      </c>
      <c r="I1485" s="1">
        <f>IF(Query1[[#This Row],[ItemType]]="EVAP KIT SF GEN IV",Query1[[#This Row],[OrderQty]]+I1484,I1484)</f>
        <v>1676</v>
      </c>
      <c r="J1485" s="1">
        <f>IF(Query1[[#This Row],[ItemType]]="EVAP KIT UNIVERSAL",Query1[[#This Row],[OrderQty]]+J1484,J1484)</f>
        <v>749</v>
      </c>
      <c r="K1485" s="1">
        <f>Query1[[#This Row],[SF Running Total]]+Query1[[#This Row],[UNIV Running Total]]</f>
        <v>2425</v>
      </c>
      <c r="L1485">
        <f>VLOOKUP(Query1[[#This Row],[Description]],'kits to boards'!$B$2:$E$156,2,FALSE)</f>
        <v>0</v>
      </c>
      <c r="M1485">
        <f>VLOOKUP(Query1[[#This Row],[Description]],'kits to boards'!$B$2:$E$156,3,FALSE)</f>
        <v>0</v>
      </c>
      <c r="N1485">
        <f>VLOOKUP(Query1[[#This Row],[Description]],'kits to boards'!$B$2:$E$156,4,FALSE)</f>
        <v>0</v>
      </c>
      <c r="O1485" t="str">
        <f>CONCATENATE(Query1[[#This Row],[Description]]," - ",Query1[[#This Row],[MB1]]," - ",Query1[[#This Row],[MB2]]," - ",Query1[[#This Row],[MB3]])</f>
        <v>MARK IV STYLELINE UNDERDASH EVAP - 0 - 0 - 0</v>
      </c>
    </row>
    <row r="1486" spans="1:15" x14ac:dyDescent="0.25">
      <c r="A1486" s="1">
        <v>912759</v>
      </c>
      <c r="B1486" s="1" t="s">
        <v>98</v>
      </c>
      <c r="C1486" s="1" t="s">
        <v>99</v>
      </c>
      <c r="D1486" s="2">
        <v>44620.312195752318</v>
      </c>
      <c r="E1486" s="1" t="s">
        <v>11</v>
      </c>
      <c r="F1486" s="1">
        <v>10</v>
      </c>
      <c r="G1486" s="1">
        <v>0</v>
      </c>
      <c r="H1486" s="6">
        <f>INT(Query1[[#This Row],[EntryDateTime]])</f>
        <v>44620</v>
      </c>
      <c r="I1486" s="1">
        <f>IF(Query1[[#This Row],[ItemType]]="EVAP KIT SF GEN IV",Query1[[#This Row],[OrderQty]]+I1485,I1485)</f>
        <v>1676</v>
      </c>
      <c r="J1486" s="1">
        <f>IF(Query1[[#This Row],[ItemType]]="EVAP KIT UNIVERSAL",Query1[[#This Row],[OrderQty]]+J1485,J1485)</f>
        <v>759</v>
      </c>
      <c r="K1486" s="1">
        <f>Query1[[#This Row],[SF Running Total]]+Query1[[#This Row],[UNIV Running Total]]</f>
        <v>2435</v>
      </c>
      <c r="L1486">
        <f>VLOOKUP(Query1[[#This Row],[Description]],'kits to boards'!$B$2:$E$156,2,FALSE)</f>
        <v>830099</v>
      </c>
      <c r="M1486">
        <f>VLOOKUP(Query1[[#This Row],[Description]],'kits to boards'!$B$2:$E$156,3,FALSE)</f>
        <v>0</v>
      </c>
      <c r="N1486">
        <f>VLOOKUP(Query1[[#This Row],[Description]],'kits to boards'!$B$2:$E$156,4,FALSE)</f>
        <v>0</v>
      </c>
      <c r="O1486" t="str">
        <f>CONCATENATE(Query1[[#This Row],[Description]]," - ",Query1[[#This Row],[MB1]]," - ",Query1[[#This Row],[MB2]]," - ",Query1[[#This Row],[MB3]])</f>
        <v>MINI GEN II W/DEF - 830099 - 0 - 0</v>
      </c>
    </row>
    <row r="1487" spans="1:15" x14ac:dyDescent="0.25">
      <c r="A1487" s="1">
        <v>912760</v>
      </c>
      <c r="B1487" s="1" t="s">
        <v>28</v>
      </c>
      <c r="C1487" s="1" t="s">
        <v>29</v>
      </c>
      <c r="D1487" s="2">
        <v>44620.316191701386</v>
      </c>
      <c r="E1487" s="1" t="s">
        <v>8</v>
      </c>
      <c r="F1487" s="1">
        <v>1</v>
      </c>
      <c r="G1487" s="1">
        <v>0</v>
      </c>
      <c r="H1487" s="6">
        <f>INT(Query1[[#This Row],[EntryDateTime]])</f>
        <v>44620</v>
      </c>
      <c r="I1487" s="1">
        <f>IF(Query1[[#This Row],[ItemType]]="EVAP KIT SF GEN IV",Query1[[#This Row],[OrderQty]]+I1486,I1486)</f>
        <v>1677</v>
      </c>
      <c r="J1487" s="1">
        <f>IF(Query1[[#This Row],[ItemType]]="EVAP KIT UNIVERSAL",Query1[[#This Row],[OrderQty]]+J1486,J1486)</f>
        <v>759</v>
      </c>
      <c r="K1487" s="1">
        <f>Query1[[#This Row],[SF Running Total]]+Query1[[#This Row],[UNIV Running Total]]</f>
        <v>2436</v>
      </c>
      <c r="L1487">
        <f>VLOOKUP(Query1[[#This Row],[Description]],'kits to boards'!$B$2:$E$156,2,FALSE)</f>
        <v>830001</v>
      </c>
      <c r="M1487">
        <f>VLOOKUP(Query1[[#This Row],[Description]],'kits to boards'!$B$2:$E$156,3,FALSE)</f>
        <v>0</v>
      </c>
      <c r="N1487">
        <f>VLOOKUP(Query1[[#This Row],[Description]],'kits to boards'!$B$2:$E$156,4,FALSE)</f>
        <v>0</v>
      </c>
      <c r="O1487" t="str">
        <f>CONCATENATE(Query1[[#This Row],[Description]]," - ",Query1[[#This Row],[MB1]]," - ",Query1[[#This Row],[MB2]]," - ",Query1[[#This Row],[MB3]])</f>
        <v>EVAP KIT 73-80 CHEV P-UP W/AC - 830001 - 0 - 0</v>
      </c>
    </row>
    <row r="1488" spans="1:15" x14ac:dyDescent="0.25">
      <c r="A1488" s="1">
        <v>912763</v>
      </c>
      <c r="B1488" s="1" t="s">
        <v>26</v>
      </c>
      <c r="C1488" s="1" t="s">
        <v>27</v>
      </c>
      <c r="D1488" s="2">
        <v>44620.32530084491</v>
      </c>
      <c r="E1488" s="1" t="s">
        <v>8</v>
      </c>
      <c r="F1488" s="1">
        <v>1</v>
      </c>
      <c r="G1488" s="1">
        <v>0</v>
      </c>
      <c r="H1488" s="6">
        <f>INT(Query1[[#This Row],[EntryDateTime]])</f>
        <v>44620</v>
      </c>
      <c r="I1488" s="1">
        <f>IF(Query1[[#This Row],[ItemType]]="EVAP KIT SF GEN IV",Query1[[#This Row],[OrderQty]]+I1487,I1487)</f>
        <v>1678</v>
      </c>
      <c r="J1488" s="1">
        <f>IF(Query1[[#This Row],[ItemType]]="EVAP KIT UNIVERSAL",Query1[[#This Row],[OrderQty]]+J1487,J1487)</f>
        <v>759</v>
      </c>
      <c r="K1488" s="1">
        <f>Query1[[#This Row],[SF Running Total]]+Query1[[#This Row],[UNIV Running Total]]</f>
        <v>2437</v>
      </c>
      <c r="L1488">
        <f>VLOOKUP(Query1[[#This Row],[Description]],'kits to boards'!$B$2:$E$156,2,FALSE)</f>
        <v>830013</v>
      </c>
      <c r="M1488">
        <f>VLOOKUP(Query1[[#This Row],[Description]],'kits to boards'!$B$2:$E$156,3,FALSE)</f>
        <v>0</v>
      </c>
      <c r="N1488">
        <f>VLOOKUP(Query1[[#This Row],[Description]],'kits to boards'!$B$2:$E$156,4,FALSE)</f>
        <v>0</v>
      </c>
      <c r="O1488" t="str">
        <f>CONCATENATE(Query1[[#This Row],[Description]]," - ",Query1[[#This Row],[MB1]]," - ",Query1[[#This Row],[MB2]]," - ",Query1[[#This Row],[MB3]])</f>
        <v>EVAP KIT 67-72 CHEV P-UP W/AC - 830013 - 0 - 0</v>
      </c>
    </row>
    <row r="1489" spans="1:15" x14ac:dyDescent="0.25">
      <c r="A1489" s="1">
        <v>912770</v>
      </c>
      <c r="B1489" s="1" t="s">
        <v>100</v>
      </c>
      <c r="C1489" s="1" t="s">
        <v>101</v>
      </c>
      <c r="D1489" s="2">
        <v>44620.329775497688</v>
      </c>
      <c r="E1489" s="1" t="s">
        <v>8</v>
      </c>
      <c r="F1489" s="1">
        <v>1</v>
      </c>
      <c r="G1489" s="1">
        <v>0</v>
      </c>
      <c r="H1489" s="6">
        <f>INT(Query1[[#This Row],[EntryDateTime]])</f>
        <v>44620</v>
      </c>
      <c r="I1489" s="1">
        <f>IF(Query1[[#This Row],[ItemType]]="EVAP KIT SF GEN IV",Query1[[#This Row],[OrderQty]]+I1488,I1488)</f>
        <v>1679</v>
      </c>
      <c r="J1489" s="1">
        <f>IF(Query1[[#This Row],[ItemType]]="EVAP KIT UNIVERSAL",Query1[[#This Row],[OrderQty]]+J1488,J1488)</f>
        <v>759</v>
      </c>
      <c r="K1489" s="1">
        <f>Query1[[#This Row],[SF Running Total]]+Query1[[#This Row],[UNIV Running Total]]</f>
        <v>2438</v>
      </c>
      <c r="L1489">
        <f>VLOOKUP(Query1[[#This Row],[Description]],'kits to boards'!$B$2:$E$156,2,FALSE)</f>
        <v>830096</v>
      </c>
      <c r="M1489">
        <f>VLOOKUP(Query1[[#This Row],[Description]],'kits to boards'!$B$2:$E$156,3,FALSE)</f>
        <v>0</v>
      </c>
      <c r="N1489">
        <f>VLOOKUP(Query1[[#This Row],[Description]],'kits to boards'!$B$2:$E$156,4,FALSE)</f>
        <v>0</v>
      </c>
      <c r="O1489" t="str">
        <f>CONCATENATE(Query1[[#This Row],[Description]]," - ",Query1[[#This Row],[MB1]]," - ",Query1[[#This Row],[MB2]]," - ",Query1[[#This Row],[MB3]])</f>
        <v>EVAP KIT 62-65 NOVA - 830096 - 0 - 0</v>
      </c>
    </row>
    <row r="1490" spans="1:15" x14ac:dyDescent="0.25">
      <c r="A1490" s="1">
        <v>912773</v>
      </c>
      <c r="B1490" s="1" t="s">
        <v>208</v>
      </c>
      <c r="C1490" s="1" t="s">
        <v>209</v>
      </c>
      <c r="D1490" s="2">
        <v>44620.331937465278</v>
      </c>
      <c r="E1490" s="1" t="s">
        <v>8</v>
      </c>
      <c r="F1490" s="1">
        <v>1</v>
      </c>
      <c r="G1490" s="1">
        <v>0</v>
      </c>
      <c r="H1490" s="6">
        <f>INT(Query1[[#This Row],[EntryDateTime]])</f>
        <v>44620</v>
      </c>
      <c r="I1490" s="1">
        <f>IF(Query1[[#This Row],[ItemType]]="EVAP KIT SF GEN IV",Query1[[#This Row],[OrderQty]]+I1489,I1489)</f>
        <v>1680</v>
      </c>
      <c r="J1490" s="1">
        <f>IF(Query1[[#This Row],[ItemType]]="EVAP KIT UNIVERSAL",Query1[[#This Row],[OrderQty]]+J1489,J1489)</f>
        <v>759</v>
      </c>
      <c r="K1490" s="1">
        <f>Query1[[#This Row],[SF Running Total]]+Query1[[#This Row],[UNIV Running Total]]</f>
        <v>2439</v>
      </c>
      <c r="L1490">
        <f>VLOOKUP(Query1[[#This Row],[Description]],'kits to boards'!$B$2:$E$156,2,FALSE)</f>
        <v>830094</v>
      </c>
      <c r="M1490">
        <f>VLOOKUP(Query1[[#This Row],[Description]],'kits to boards'!$B$2:$E$156,3,FALSE)</f>
        <v>0</v>
      </c>
      <c r="N1490">
        <f>VLOOKUP(Query1[[#This Row],[Description]],'kits to boards'!$B$2:$E$156,4,FALSE)</f>
        <v>0</v>
      </c>
      <c r="O1490" t="str">
        <f>CONCATENATE(Query1[[#This Row],[Description]]," - ",Query1[[#This Row],[MB1]]," - ",Query1[[#This Row],[MB2]]," - ",Query1[[#This Row],[MB3]])</f>
        <v>EVAP KIT 68 VETTE W/AC - 830094 - 0 - 0</v>
      </c>
    </row>
    <row r="1491" spans="1:15" x14ac:dyDescent="0.25">
      <c r="A1491" s="1">
        <v>912775</v>
      </c>
      <c r="B1491" s="1" t="s">
        <v>54</v>
      </c>
      <c r="C1491" s="1" t="s">
        <v>55</v>
      </c>
      <c r="D1491" s="2">
        <v>44620.336856828704</v>
      </c>
      <c r="E1491" s="1" t="s">
        <v>8</v>
      </c>
      <c r="F1491" s="1">
        <v>1</v>
      </c>
      <c r="G1491" s="1">
        <v>0</v>
      </c>
      <c r="H1491" s="6">
        <f>INT(Query1[[#This Row],[EntryDateTime]])</f>
        <v>44620</v>
      </c>
      <c r="I1491" s="1">
        <f>IF(Query1[[#This Row],[ItemType]]="EVAP KIT SF GEN IV",Query1[[#This Row],[OrderQty]]+I1490,I1490)</f>
        <v>1681</v>
      </c>
      <c r="J1491" s="1">
        <f>IF(Query1[[#This Row],[ItemType]]="EVAP KIT UNIVERSAL",Query1[[#This Row],[OrderQty]]+J1490,J1490)</f>
        <v>759</v>
      </c>
      <c r="K1491" s="1">
        <f>Query1[[#This Row],[SF Running Total]]+Query1[[#This Row],[UNIV Running Total]]</f>
        <v>2440</v>
      </c>
      <c r="L1491">
        <f>VLOOKUP(Query1[[#This Row],[Description]],'kits to boards'!$B$2:$E$156,2,FALSE)</f>
        <v>830037</v>
      </c>
      <c r="M1491">
        <f>VLOOKUP(Query1[[#This Row],[Description]],'kits to boards'!$B$2:$E$156,3,FALSE)</f>
        <v>0</v>
      </c>
      <c r="N1491">
        <f>VLOOKUP(Query1[[#This Row],[Description]],'kits to boards'!$B$2:$E$156,4,FALSE)</f>
        <v>0</v>
      </c>
      <c r="O1491" t="str">
        <f>CONCATENATE(Query1[[#This Row],[Description]]," - ",Query1[[#This Row],[MB1]]," - ",Query1[[#This Row],[MB2]]," - ",Query1[[#This Row],[MB3]])</f>
        <v>EVAP KIT 70-81 FIREBIRD W/AC - 830037 - 0 - 0</v>
      </c>
    </row>
    <row r="1492" spans="1:15" x14ac:dyDescent="0.25">
      <c r="A1492" s="1">
        <v>912776</v>
      </c>
      <c r="B1492" s="1" t="s">
        <v>46</v>
      </c>
      <c r="C1492" s="1" t="s">
        <v>47</v>
      </c>
      <c r="D1492" s="2">
        <v>44620.337681400466</v>
      </c>
      <c r="E1492" s="1" t="s">
        <v>8</v>
      </c>
      <c r="F1492" s="1">
        <v>1</v>
      </c>
      <c r="G1492" s="1">
        <v>0</v>
      </c>
      <c r="H1492" s="6">
        <f>INT(Query1[[#This Row],[EntryDateTime]])</f>
        <v>44620</v>
      </c>
      <c r="I1492" s="1">
        <f>IF(Query1[[#This Row],[ItemType]]="EVAP KIT SF GEN IV",Query1[[#This Row],[OrderQty]]+I1491,I1491)</f>
        <v>1682</v>
      </c>
      <c r="J1492" s="1">
        <f>IF(Query1[[#This Row],[ItemType]]="EVAP KIT UNIVERSAL",Query1[[#This Row],[OrderQty]]+J1491,J1491)</f>
        <v>759</v>
      </c>
      <c r="K1492" s="1">
        <f>Query1[[#This Row],[SF Running Total]]+Query1[[#This Row],[UNIV Running Total]]</f>
        <v>2441</v>
      </c>
      <c r="L1492">
        <f>VLOOKUP(Query1[[#This Row],[Description]],'kits to boards'!$B$2:$E$156,2,FALSE)</f>
        <v>830018</v>
      </c>
      <c r="M1492">
        <f>VLOOKUP(Query1[[#This Row],[Description]],'kits to boards'!$B$2:$E$156,3,FALSE)</f>
        <v>0</v>
      </c>
      <c r="N1492">
        <f>VLOOKUP(Query1[[#This Row],[Description]],'kits to boards'!$B$2:$E$156,4,FALSE)</f>
        <v>0</v>
      </c>
      <c r="O1492" t="str">
        <f>CONCATENATE(Query1[[#This Row],[Description]]," - ",Query1[[#This Row],[MB1]]," - ",Query1[[#This Row],[MB2]]," - ",Query1[[#This Row],[MB3]])</f>
        <v>EVAP KIT 68-72 FORD P-UP F-100 - 830018 - 0 - 0</v>
      </c>
    </row>
    <row r="1493" spans="1:15" x14ac:dyDescent="0.25">
      <c r="A1493" s="1">
        <v>912779</v>
      </c>
      <c r="B1493" s="1" t="s">
        <v>32</v>
      </c>
      <c r="C1493" s="1" t="s">
        <v>33</v>
      </c>
      <c r="D1493" s="2">
        <v>44620.33993746528</v>
      </c>
      <c r="E1493" s="1" t="s">
        <v>8</v>
      </c>
      <c r="F1493" s="1">
        <v>1</v>
      </c>
      <c r="G1493" s="1">
        <v>0</v>
      </c>
      <c r="H1493" s="6">
        <f>INT(Query1[[#This Row],[EntryDateTime]])</f>
        <v>44620</v>
      </c>
      <c r="I1493" s="1">
        <f>IF(Query1[[#This Row],[ItemType]]="EVAP KIT SF GEN IV",Query1[[#This Row],[OrderQty]]+I1492,I1492)</f>
        <v>1683</v>
      </c>
      <c r="J1493" s="1">
        <f>IF(Query1[[#This Row],[ItemType]]="EVAP KIT UNIVERSAL",Query1[[#This Row],[OrderQty]]+J1492,J1492)</f>
        <v>759</v>
      </c>
      <c r="K1493" s="1">
        <f>Query1[[#This Row],[SF Running Total]]+Query1[[#This Row],[UNIV Running Total]]</f>
        <v>2442</v>
      </c>
      <c r="L1493">
        <f>VLOOKUP(Query1[[#This Row],[Description]],'kits to boards'!$B$2:$E$156,2,FALSE)</f>
        <v>830016</v>
      </c>
      <c r="M1493">
        <f>VLOOKUP(Query1[[#This Row],[Description]],'kits to boards'!$B$2:$E$156,3,FALSE)</f>
        <v>0</v>
      </c>
      <c r="N1493">
        <f>VLOOKUP(Query1[[#This Row],[Description]],'kits to boards'!$B$2:$E$156,4,FALSE)</f>
        <v>0</v>
      </c>
      <c r="O1493" t="str">
        <f>CONCATENATE(Query1[[#This Row],[Description]]," - ",Query1[[#This Row],[MB1]]," - ",Query1[[#This Row],[MB2]]," - ",Query1[[#This Row],[MB3]])</f>
        <v>EVAP KIT 67-68 CAMARO/FIREBIRD W/AC - 830016 - 0 - 0</v>
      </c>
    </row>
    <row r="1494" spans="1:15" x14ac:dyDescent="0.25">
      <c r="A1494" s="1">
        <v>912783</v>
      </c>
      <c r="B1494" s="1" t="s">
        <v>96</v>
      </c>
      <c r="C1494" s="1" t="s">
        <v>97</v>
      </c>
      <c r="D1494" s="2">
        <v>44620.341589814816</v>
      </c>
      <c r="E1494" s="1" t="s">
        <v>8</v>
      </c>
      <c r="F1494" s="1">
        <v>1</v>
      </c>
      <c r="G1494" s="1">
        <v>0</v>
      </c>
      <c r="H1494" s="6">
        <f>INT(Query1[[#This Row],[EntryDateTime]])</f>
        <v>44620</v>
      </c>
      <c r="I1494" s="1">
        <f>IF(Query1[[#This Row],[ItemType]]="EVAP KIT SF GEN IV",Query1[[#This Row],[OrderQty]]+I1493,I1493)</f>
        <v>1684</v>
      </c>
      <c r="J1494" s="1">
        <f>IF(Query1[[#This Row],[ItemType]]="EVAP KIT UNIVERSAL",Query1[[#This Row],[OrderQty]]+J1493,J1493)</f>
        <v>759</v>
      </c>
      <c r="K1494" s="1">
        <f>Query1[[#This Row],[SF Running Total]]+Query1[[#This Row],[UNIV Running Total]]</f>
        <v>2443</v>
      </c>
      <c r="L1494">
        <f>VLOOKUP(Query1[[#This Row],[Description]],'kits to boards'!$B$2:$E$156,2,FALSE)</f>
        <v>830004</v>
      </c>
      <c r="M1494">
        <f>VLOOKUP(Query1[[#This Row],[Description]],'kits to boards'!$B$2:$E$156,3,FALSE)</f>
        <v>0</v>
      </c>
      <c r="N1494">
        <f>VLOOKUP(Query1[[#This Row],[Description]],'kits to boards'!$B$2:$E$156,4,FALSE)</f>
        <v>0</v>
      </c>
      <c r="O1494" t="str">
        <f>CONCATENATE(Query1[[#This Row],[Description]]," - ",Query1[[#This Row],[MB1]]," - ",Query1[[#This Row],[MB2]]," - ",Query1[[#This Row],[MB3]])</f>
        <v>EVAP KIT 81-87 CHEV P-UP W/AC - 830004 - 0 - 0</v>
      </c>
    </row>
    <row r="1495" spans="1:15" x14ac:dyDescent="0.25">
      <c r="A1495" s="1">
        <v>912784</v>
      </c>
      <c r="B1495" s="1" t="s">
        <v>98</v>
      </c>
      <c r="C1495" s="1" t="s">
        <v>99</v>
      </c>
      <c r="D1495" s="2">
        <v>44620.342419907407</v>
      </c>
      <c r="E1495" s="1" t="s">
        <v>11</v>
      </c>
      <c r="F1495" s="1">
        <v>1</v>
      </c>
      <c r="G1495" s="1">
        <v>0</v>
      </c>
      <c r="H1495" s="6">
        <f>INT(Query1[[#This Row],[EntryDateTime]])</f>
        <v>44620</v>
      </c>
      <c r="I1495" s="1">
        <f>IF(Query1[[#This Row],[ItemType]]="EVAP KIT SF GEN IV",Query1[[#This Row],[OrderQty]]+I1494,I1494)</f>
        <v>1684</v>
      </c>
      <c r="J1495" s="1">
        <f>IF(Query1[[#This Row],[ItemType]]="EVAP KIT UNIVERSAL",Query1[[#This Row],[OrderQty]]+J1494,J1494)</f>
        <v>760</v>
      </c>
      <c r="K1495" s="1">
        <f>Query1[[#This Row],[SF Running Total]]+Query1[[#This Row],[UNIV Running Total]]</f>
        <v>2444</v>
      </c>
      <c r="L1495">
        <f>VLOOKUP(Query1[[#This Row],[Description]],'kits to boards'!$B$2:$E$156,2,FALSE)</f>
        <v>830099</v>
      </c>
      <c r="M1495">
        <f>VLOOKUP(Query1[[#This Row],[Description]],'kits to boards'!$B$2:$E$156,3,FALSE)</f>
        <v>0</v>
      </c>
      <c r="N1495">
        <f>VLOOKUP(Query1[[#This Row],[Description]],'kits to boards'!$B$2:$E$156,4,FALSE)</f>
        <v>0</v>
      </c>
      <c r="O1495" t="str">
        <f>CONCATENATE(Query1[[#This Row],[Description]]," - ",Query1[[#This Row],[MB1]]," - ",Query1[[#This Row],[MB2]]," - ",Query1[[#This Row],[MB3]])</f>
        <v>MINI GEN II W/DEF - 830099 - 0 - 0</v>
      </c>
    </row>
    <row r="1496" spans="1:15" x14ac:dyDescent="0.25">
      <c r="A1496" s="1">
        <v>912784</v>
      </c>
      <c r="B1496" s="1" t="s">
        <v>220</v>
      </c>
      <c r="C1496" s="1" t="s">
        <v>221</v>
      </c>
      <c r="D1496" s="2">
        <v>44620.342503969907</v>
      </c>
      <c r="E1496" s="1" t="s">
        <v>11</v>
      </c>
      <c r="F1496" s="1">
        <v>1</v>
      </c>
      <c r="G1496" s="1">
        <v>0</v>
      </c>
      <c r="H1496" s="6">
        <f>INT(Query1[[#This Row],[EntryDateTime]])</f>
        <v>44620</v>
      </c>
      <c r="I1496" s="1">
        <f>IF(Query1[[#This Row],[ItemType]]="EVAP KIT SF GEN IV",Query1[[#This Row],[OrderQty]]+I1495,I1495)</f>
        <v>1684</v>
      </c>
      <c r="J1496" s="1">
        <f>IF(Query1[[#This Row],[ItemType]]="EVAP KIT UNIVERSAL",Query1[[#This Row],[OrderQty]]+J1495,J1495)</f>
        <v>761</v>
      </c>
      <c r="K1496" s="1">
        <f>Query1[[#This Row],[SF Running Total]]+Query1[[#This Row],[UNIV Running Total]]</f>
        <v>2445</v>
      </c>
      <c r="L1496">
        <f>VLOOKUP(Query1[[#This Row],[Description]],'kits to boards'!$B$2:$E$156,2,FALSE)</f>
        <v>0</v>
      </c>
      <c r="M1496">
        <f>VLOOKUP(Query1[[#This Row],[Description]],'kits to boards'!$B$2:$E$156,3,FALSE)</f>
        <v>0</v>
      </c>
      <c r="N1496">
        <f>VLOOKUP(Query1[[#This Row],[Description]],'kits to boards'!$B$2:$E$156,4,FALSE)</f>
        <v>0</v>
      </c>
      <c r="O1496" t="str">
        <f>CONCATENATE(Query1[[#This Row],[Description]]," - ",Query1[[#This Row],[MB1]]," - ",Query1[[#This Row],[MB2]]," - ",Query1[[#This Row],[MB3]])</f>
        <v>HERITAGE PEARL EVAP KIT HEAT/COOL - 0 - 0 - 0</v>
      </c>
    </row>
    <row r="1497" spans="1:15" x14ac:dyDescent="0.25">
      <c r="A1497" s="1">
        <v>912788</v>
      </c>
      <c r="B1497" s="1" t="s">
        <v>156</v>
      </c>
      <c r="C1497" s="1" t="s">
        <v>157</v>
      </c>
      <c r="D1497" s="2">
        <v>44620.345509293984</v>
      </c>
      <c r="E1497" s="1" t="s">
        <v>8</v>
      </c>
      <c r="F1497" s="1">
        <v>1</v>
      </c>
      <c r="G1497" s="1">
        <v>0</v>
      </c>
      <c r="H1497" s="6">
        <f>INT(Query1[[#This Row],[EntryDateTime]])</f>
        <v>44620</v>
      </c>
      <c r="I1497" s="1">
        <f>IF(Query1[[#This Row],[ItemType]]="EVAP KIT SF GEN IV",Query1[[#This Row],[OrderQty]]+I1496,I1496)</f>
        <v>1685</v>
      </c>
      <c r="J1497" s="1">
        <f>IF(Query1[[#This Row],[ItemType]]="EVAP KIT UNIVERSAL",Query1[[#This Row],[OrderQty]]+J1496,J1496)</f>
        <v>761</v>
      </c>
      <c r="K1497" s="1">
        <f>Query1[[#This Row],[SF Running Total]]+Query1[[#This Row],[UNIV Running Total]]</f>
        <v>2446</v>
      </c>
      <c r="L1497">
        <f>VLOOKUP(Query1[[#This Row],[Description]],'kits to boards'!$B$2:$E$156,2,FALSE)</f>
        <v>830019</v>
      </c>
      <c r="M1497">
        <f>VLOOKUP(Query1[[#This Row],[Description]],'kits to boards'!$B$2:$E$156,3,FALSE)</f>
        <v>0</v>
      </c>
      <c r="N1497">
        <f>VLOOKUP(Query1[[#This Row],[Description]],'kits to boards'!$B$2:$E$156,4,FALSE)</f>
        <v>0</v>
      </c>
      <c r="O1497" t="str">
        <f>CONCATENATE(Query1[[#This Row],[Description]]," - ",Query1[[#This Row],[MB1]]," - ",Query1[[#This Row],[MB2]]," - ",Query1[[#This Row],[MB3]])</f>
        <v>EVAP KIT 70-81 FIREBIRD WO AC - 830019 - 0 - 0</v>
      </c>
    </row>
    <row r="1498" spans="1:15" x14ac:dyDescent="0.25">
      <c r="A1498" s="1">
        <v>912791</v>
      </c>
      <c r="B1498" s="1" t="s">
        <v>102</v>
      </c>
      <c r="C1498" s="1" t="s">
        <v>103</v>
      </c>
      <c r="D1498" s="2">
        <v>44620.348896840274</v>
      </c>
      <c r="E1498" s="1" t="s">
        <v>8</v>
      </c>
      <c r="F1498" s="1">
        <v>1</v>
      </c>
      <c r="G1498" s="1">
        <v>0</v>
      </c>
      <c r="H1498" s="6">
        <f>INT(Query1[[#This Row],[EntryDateTime]])</f>
        <v>44620</v>
      </c>
      <c r="I1498" s="1">
        <f>IF(Query1[[#This Row],[ItemType]]="EVAP KIT SF GEN IV",Query1[[#This Row],[OrderQty]]+I1497,I1497)</f>
        <v>1686</v>
      </c>
      <c r="J1498" s="1">
        <f>IF(Query1[[#This Row],[ItemType]]="EVAP KIT UNIVERSAL",Query1[[#This Row],[OrderQty]]+J1497,J1497)</f>
        <v>761</v>
      </c>
      <c r="K1498" s="1">
        <f>Query1[[#This Row],[SF Running Total]]+Query1[[#This Row],[UNIV Running Total]]</f>
        <v>2447</v>
      </c>
      <c r="L1498">
        <f>VLOOKUP(Query1[[#This Row],[Description]],'kits to boards'!$B$2:$E$156,2,FALSE)</f>
        <v>830012</v>
      </c>
      <c r="M1498">
        <f>VLOOKUP(Query1[[#This Row],[Description]],'kits to boards'!$B$2:$E$156,3,FALSE)</f>
        <v>0</v>
      </c>
      <c r="N1498">
        <f>VLOOKUP(Query1[[#This Row],[Description]],'kits to boards'!$B$2:$E$156,4,FALSE)</f>
        <v>0</v>
      </c>
      <c r="O1498" t="str">
        <f>CONCATENATE(Query1[[#This Row],[Description]]," - ",Query1[[#This Row],[MB1]]," - ",Query1[[#This Row],[MB2]]," - ",Query1[[#This Row],[MB3]])</f>
        <v>EVAP KIT 69 CAMARO WO/AC - 830012 - 0 - 0</v>
      </c>
    </row>
    <row r="1499" spans="1:15" x14ac:dyDescent="0.25">
      <c r="A1499" s="1">
        <v>912797</v>
      </c>
      <c r="B1499" s="1" t="s">
        <v>44</v>
      </c>
      <c r="C1499" s="1" t="s">
        <v>45</v>
      </c>
      <c r="D1499" s="2">
        <v>44620.35550150463</v>
      </c>
      <c r="E1499" s="1" t="s">
        <v>8</v>
      </c>
      <c r="F1499" s="1">
        <v>1</v>
      </c>
      <c r="G1499" s="1">
        <v>0</v>
      </c>
      <c r="H1499" s="6">
        <f>INT(Query1[[#This Row],[EntryDateTime]])</f>
        <v>44620</v>
      </c>
      <c r="I1499" s="1">
        <f>IF(Query1[[#This Row],[ItemType]]="EVAP KIT SF GEN IV",Query1[[#This Row],[OrderQty]]+I1498,I1498)</f>
        <v>1687</v>
      </c>
      <c r="J1499" s="1">
        <f>IF(Query1[[#This Row],[ItemType]]="EVAP KIT UNIVERSAL",Query1[[#This Row],[OrderQty]]+J1498,J1498)</f>
        <v>761</v>
      </c>
      <c r="K1499" s="1">
        <f>Query1[[#This Row],[SF Running Total]]+Query1[[#This Row],[UNIV Running Total]]</f>
        <v>2448</v>
      </c>
      <c r="L1499">
        <f>VLOOKUP(Query1[[#This Row],[Description]],'kits to boards'!$B$2:$E$156,2,FALSE)</f>
        <v>830085</v>
      </c>
      <c r="M1499">
        <f>VLOOKUP(Query1[[#This Row],[Description]],'kits to boards'!$B$2:$E$156,3,FALSE)</f>
        <v>0</v>
      </c>
      <c r="N1499">
        <f>VLOOKUP(Query1[[#This Row],[Description]],'kits to boards'!$B$2:$E$156,4,FALSE)</f>
        <v>0</v>
      </c>
      <c r="O1499" t="str">
        <f>CONCATENATE(Query1[[#This Row],[Description]]," - ",Query1[[#This Row],[MB1]]," - ",Query1[[#This Row],[MB2]]," - ",Query1[[#This Row],[MB3]])</f>
        <v>EVAP KIT 66-77 BRONCO - 830085 - 0 - 0</v>
      </c>
    </row>
    <row r="1500" spans="1:15" x14ac:dyDescent="0.25">
      <c r="A1500" s="1">
        <v>912778</v>
      </c>
      <c r="B1500" s="1" t="s">
        <v>140</v>
      </c>
      <c r="C1500" s="1" t="s">
        <v>141</v>
      </c>
      <c r="D1500" s="2">
        <v>44620.356116006944</v>
      </c>
      <c r="E1500" s="1" t="s">
        <v>8</v>
      </c>
      <c r="F1500" s="1">
        <v>1</v>
      </c>
      <c r="G1500" s="1">
        <v>0</v>
      </c>
      <c r="H1500" s="6">
        <f>INT(Query1[[#This Row],[EntryDateTime]])</f>
        <v>44620</v>
      </c>
      <c r="I1500" s="1">
        <f>IF(Query1[[#This Row],[ItemType]]="EVAP KIT SF GEN IV",Query1[[#This Row],[OrderQty]]+I1499,I1499)</f>
        <v>1688</v>
      </c>
      <c r="J1500" s="1">
        <f>IF(Query1[[#This Row],[ItemType]]="EVAP KIT UNIVERSAL",Query1[[#This Row],[OrderQty]]+J1499,J1499)</f>
        <v>761</v>
      </c>
      <c r="K1500" s="1">
        <f>Query1[[#This Row],[SF Running Total]]+Query1[[#This Row],[UNIV Running Total]]</f>
        <v>2449</v>
      </c>
      <c r="L1500">
        <f>VLOOKUP(Query1[[#This Row],[Description]],'kits to boards'!$B$2:$E$156,2,FALSE)</f>
        <v>830066</v>
      </c>
      <c r="M1500">
        <f>VLOOKUP(Query1[[#This Row],[Description]],'kits to boards'!$B$2:$E$156,3,FALSE)</f>
        <v>0</v>
      </c>
      <c r="N1500">
        <f>VLOOKUP(Query1[[#This Row],[Description]],'kits to boards'!$B$2:$E$156,4,FALSE)</f>
        <v>0</v>
      </c>
      <c r="O1500" t="str">
        <f>CONCATENATE(Query1[[#This Row],[Description]]," - ",Query1[[#This Row],[MB1]]," - ",Query1[[#This Row],[MB2]]," - ",Query1[[#This Row],[MB3]])</f>
        <v>EVAP KIT 60-63 CHEV P-UP WO AC - 830066 - 0 - 0</v>
      </c>
    </row>
    <row r="1501" spans="1:15" x14ac:dyDescent="0.25">
      <c r="A1501" s="1">
        <v>912806</v>
      </c>
      <c r="B1501" s="1" t="s">
        <v>198</v>
      </c>
      <c r="C1501" s="1" t="s">
        <v>199</v>
      </c>
      <c r="D1501" s="2">
        <v>44620.371727465281</v>
      </c>
      <c r="E1501" s="1" t="s">
        <v>8</v>
      </c>
      <c r="F1501" s="1">
        <v>1</v>
      </c>
      <c r="G1501" s="1">
        <v>0</v>
      </c>
      <c r="H1501" s="6">
        <f>INT(Query1[[#This Row],[EntryDateTime]])</f>
        <v>44620</v>
      </c>
      <c r="I1501" s="1">
        <f>IF(Query1[[#This Row],[ItemType]]="EVAP KIT SF GEN IV",Query1[[#This Row],[OrderQty]]+I1500,I1500)</f>
        <v>1689</v>
      </c>
      <c r="J1501" s="1">
        <f>IF(Query1[[#This Row],[ItemType]]="EVAP KIT UNIVERSAL",Query1[[#This Row],[OrderQty]]+J1500,J1500)</f>
        <v>761</v>
      </c>
      <c r="K1501" s="1">
        <f>Query1[[#This Row],[SF Running Total]]+Query1[[#This Row],[UNIV Running Total]]</f>
        <v>2450</v>
      </c>
      <c r="L1501">
        <f>VLOOKUP(Query1[[#This Row],[Description]],'kits to boards'!$B$2:$E$156,2,FALSE)</f>
        <v>830042</v>
      </c>
      <c r="M1501">
        <f>VLOOKUP(Query1[[#This Row],[Description]],'kits to boards'!$B$2:$E$156,3,FALSE)</f>
        <v>0</v>
      </c>
      <c r="N1501">
        <f>VLOOKUP(Query1[[#This Row],[Description]],'kits to boards'!$B$2:$E$156,4,FALSE)</f>
        <v>0</v>
      </c>
      <c r="O1501" t="str">
        <f>CONCATENATE(Query1[[#This Row],[Description]]," - ",Query1[[#This Row],[MB1]]," - ",Query1[[#This Row],[MB2]]," - ",Query1[[#This Row],[MB3]])</f>
        <v>EVAP KIT 68-83 TOYOTA FJ40 ULTRA HIGH PERF - 830042 - 0 - 0</v>
      </c>
    </row>
    <row r="1502" spans="1:15" x14ac:dyDescent="0.25">
      <c r="A1502" s="1">
        <v>912233</v>
      </c>
      <c r="B1502" s="1" t="s">
        <v>506</v>
      </c>
      <c r="C1502" s="1" t="s">
        <v>507</v>
      </c>
      <c r="D1502" s="2">
        <v>44620.372736921294</v>
      </c>
      <c r="E1502" s="1" t="s">
        <v>677</v>
      </c>
      <c r="F1502" s="1">
        <v>1</v>
      </c>
      <c r="G1502" s="1">
        <v>0</v>
      </c>
      <c r="H1502" s="6">
        <f>INT(Query1[[#This Row],[EntryDateTime]])</f>
        <v>44620</v>
      </c>
      <c r="I1502" s="1">
        <f>IF(Query1[[#This Row],[ItemType]]="EVAP KIT SF GEN IV",Query1[[#This Row],[OrderQty]]+I1501,I1501)</f>
        <v>1689</v>
      </c>
      <c r="J1502" s="1">
        <f>IF(Query1[[#This Row],[ItemType]]="EVAP KIT UNIVERSAL",Query1[[#This Row],[OrderQty]]+J1501,J1501)</f>
        <v>761</v>
      </c>
      <c r="K1502" s="1">
        <f>Query1[[#This Row],[SF Running Total]]+Query1[[#This Row],[UNIV Running Total]]</f>
        <v>2450</v>
      </c>
      <c r="L1502" t="e">
        <f>VLOOKUP(Query1[[#This Row],[Description]],'kits to boards'!$B$2:$E$156,2,FALSE)</f>
        <v>#N/A</v>
      </c>
      <c r="M1502" t="e">
        <f>VLOOKUP(Query1[[#This Row],[Description]],'kits to boards'!$B$2:$E$156,3,FALSE)</f>
        <v>#N/A</v>
      </c>
      <c r="N1502" t="e">
        <f>VLOOKUP(Query1[[#This Row],[Description]],'kits to boards'!$B$2:$E$156,4,FALSE)</f>
        <v>#N/A</v>
      </c>
      <c r="O1502" t="e">
        <f>CONCATENATE(Query1[[#This Row],[Description]]," - ",Query1[[#This Row],[MB1]]," - ",Query1[[#This Row],[MB2]]," - ",Query1[[#This Row],[MB3]])</f>
        <v>#N/A</v>
      </c>
    </row>
    <row r="1503" spans="1:15" x14ac:dyDescent="0.25">
      <c r="A1503" s="1">
        <v>912385</v>
      </c>
      <c r="B1503" s="1" t="s">
        <v>42</v>
      </c>
      <c r="C1503" s="1" t="s">
        <v>43</v>
      </c>
      <c r="D1503" s="2">
        <v>44620.385271493054</v>
      </c>
      <c r="E1503" s="1" t="s">
        <v>8</v>
      </c>
      <c r="F1503" s="1">
        <v>1</v>
      </c>
      <c r="G1503" s="1">
        <v>0</v>
      </c>
      <c r="H1503" s="6">
        <f>INT(Query1[[#This Row],[EntryDateTime]])</f>
        <v>44620</v>
      </c>
      <c r="I1503" s="1">
        <f>IF(Query1[[#This Row],[ItemType]]="EVAP KIT SF GEN IV",Query1[[#This Row],[OrderQty]]+I1502,I1502)</f>
        <v>1690</v>
      </c>
      <c r="J1503" s="1">
        <f>IF(Query1[[#This Row],[ItemType]]="EVAP KIT UNIVERSAL",Query1[[#This Row],[OrderQty]]+J1502,J1502)</f>
        <v>761</v>
      </c>
      <c r="K1503" s="1">
        <f>Query1[[#This Row],[SF Running Total]]+Query1[[#This Row],[UNIV Running Total]]</f>
        <v>2451</v>
      </c>
      <c r="L1503">
        <f>VLOOKUP(Query1[[#This Row],[Description]],'kits to boards'!$B$2:$E$156,2,FALSE)</f>
        <v>830014</v>
      </c>
      <c r="M1503">
        <f>VLOOKUP(Query1[[#This Row],[Description]],'kits to boards'!$B$2:$E$156,3,FALSE)</f>
        <v>0</v>
      </c>
      <c r="N1503">
        <f>VLOOKUP(Query1[[#This Row],[Description]],'kits to boards'!$B$2:$E$156,4,FALSE)</f>
        <v>0</v>
      </c>
      <c r="O1503" t="str">
        <f>CONCATENATE(Query1[[#This Row],[Description]]," - ",Query1[[#This Row],[MB1]]," - ",Query1[[#This Row],[MB2]]," - ",Query1[[#This Row],[MB3]])</f>
        <v>EVAP KIT 67-72 CHEV P-UP WO AC - 830014 - 0 - 0</v>
      </c>
    </row>
    <row r="1504" spans="1:15" x14ac:dyDescent="0.25">
      <c r="A1504" s="1">
        <v>912208</v>
      </c>
      <c r="B1504" s="1" t="s">
        <v>14</v>
      </c>
      <c r="C1504" s="1" t="s">
        <v>15</v>
      </c>
      <c r="D1504" s="2">
        <v>44620.390221261572</v>
      </c>
      <c r="E1504" s="1" t="s">
        <v>8</v>
      </c>
      <c r="F1504" s="1">
        <v>1</v>
      </c>
      <c r="G1504" s="1">
        <v>0</v>
      </c>
      <c r="H1504" s="6">
        <f>INT(Query1[[#This Row],[EntryDateTime]])</f>
        <v>44620</v>
      </c>
      <c r="I1504" s="1">
        <f>IF(Query1[[#This Row],[ItemType]]="EVAP KIT SF GEN IV",Query1[[#This Row],[OrderQty]]+I1503,I1503)</f>
        <v>1691</v>
      </c>
      <c r="J1504" s="1">
        <f>IF(Query1[[#This Row],[ItemType]]="EVAP KIT UNIVERSAL",Query1[[#This Row],[OrderQty]]+J1503,J1503)</f>
        <v>761</v>
      </c>
      <c r="K1504" s="1">
        <f>Query1[[#This Row],[SF Running Total]]+Query1[[#This Row],[UNIV Running Total]]</f>
        <v>2452</v>
      </c>
      <c r="L1504">
        <f>VLOOKUP(Query1[[#This Row],[Description]],'kits to boards'!$B$2:$E$156,2,FALSE)</f>
        <v>830054</v>
      </c>
      <c r="M1504">
        <f>VLOOKUP(Query1[[#This Row],[Description]],'kits to boards'!$B$2:$E$156,3,FALSE)</f>
        <v>0</v>
      </c>
      <c r="N1504">
        <f>VLOOKUP(Query1[[#This Row],[Description]],'kits to boards'!$B$2:$E$156,4,FALSE)</f>
        <v>0</v>
      </c>
      <c r="O1504" t="str">
        <f>CONCATENATE(Query1[[#This Row],[Description]]," - ",Query1[[#This Row],[MB1]]," - ",Query1[[#This Row],[MB2]]," - ",Query1[[#This Row],[MB3]])</f>
        <v>EVAP KIT 55-56 CHEVY - 830054 - 0 - 0</v>
      </c>
    </row>
    <row r="1505" spans="1:15" x14ac:dyDescent="0.25">
      <c r="A1505" s="1">
        <v>912821</v>
      </c>
      <c r="B1505" s="1" t="s">
        <v>66</v>
      </c>
      <c r="C1505" s="1" t="s">
        <v>67</v>
      </c>
      <c r="D1505" s="2">
        <v>44620.394507372686</v>
      </c>
      <c r="E1505" s="1" t="s">
        <v>8</v>
      </c>
      <c r="F1505" s="1">
        <v>1</v>
      </c>
      <c r="G1505" s="1">
        <v>0</v>
      </c>
      <c r="H1505" s="6">
        <f>INT(Query1[[#This Row],[EntryDateTime]])</f>
        <v>44620</v>
      </c>
      <c r="I1505" s="1">
        <f>IF(Query1[[#This Row],[ItemType]]="EVAP KIT SF GEN IV",Query1[[#This Row],[OrderQty]]+I1504,I1504)</f>
        <v>1692</v>
      </c>
      <c r="J1505" s="1">
        <f>IF(Query1[[#This Row],[ItemType]]="EVAP KIT UNIVERSAL",Query1[[#This Row],[OrderQty]]+J1504,J1504)</f>
        <v>761</v>
      </c>
      <c r="K1505" s="1">
        <f>Query1[[#This Row],[SF Running Total]]+Query1[[#This Row],[UNIV Running Total]]</f>
        <v>2453</v>
      </c>
      <c r="L1505">
        <f>VLOOKUP(Query1[[#This Row],[Description]],'kits to boards'!$B$2:$E$156,2,FALSE)</f>
        <v>830060</v>
      </c>
      <c r="M1505">
        <f>VLOOKUP(Query1[[#This Row],[Description]],'kits to boards'!$B$2:$E$156,3,FALSE)</f>
        <v>0</v>
      </c>
      <c r="N1505">
        <f>VLOOKUP(Query1[[#This Row],[Description]],'kits to boards'!$B$2:$E$156,4,FALSE)</f>
        <v>0</v>
      </c>
      <c r="O1505" t="str">
        <f>CONCATENATE(Query1[[#This Row],[Description]]," - ",Query1[[#This Row],[MB1]]," - ",Query1[[#This Row],[MB2]]," - ",Query1[[#This Row],[MB3]])</f>
        <v>EVAP KIT 66-67 CHEVELLE WO AC - 830060 - 0 - 0</v>
      </c>
    </row>
    <row r="1506" spans="1:15" x14ac:dyDescent="0.25">
      <c r="A1506" s="1">
        <v>912826</v>
      </c>
      <c r="B1506" s="1" t="s">
        <v>128</v>
      </c>
      <c r="C1506" s="1" t="s">
        <v>129</v>
      </c>
      <c r="D1506" s="2">
        <v>44620.396800312497</v>
      </c>
      <c r="E1506" s="1" t="s">
        <v>8</v>
      </c>
      <c r="F1506" s="1">
        <v>1</v>
      </c>
      <c r="G1506" s="1">
        <v>0</v>
      </c>
      <c r="H1506" s="6">
        <f>INT(Query1[[#This Row],[EntryDateTime]])</f>
        <v>44620</v>
      </c>
      <c r="I1506" s="1">
        <f>IF(Query1[[#This Row],[ItemType]]="EVAP KIT SF GEN IV",Query1[[#This Row],[OrderQty]]+I1505,I1505)</f>
        <v>1693</v>
      </c>
      <c r="J1506" s="1">
        <f>IF(Query1[[#This Row],[ItemType]]="EVAP KIT UNIVERSAL",Query1[[#This Row],[OrderQty]]+J1505,J1505)</f>
        <v>761</v>
      </c>
      <c r="K1506" s="1">
        <f>Query1[[#This Row],[SF Running Total]]+Query1[[#This Row],[UNIV Running Total]]</f>
        <v>2454</v>
      </c>
      <c r="L1506">
        <f>VLOOKUP(Query1[[#This Row],[Description]],'kits to boards'!$B$2:$E$156,2,FALSE)</f>
        <v>830036</v>
      </c>
      <c r="M1506">
        <f>VLOOKUP(Query1[[#This Row],[Description]],'kits to boards'!$B$2:$E$156,3,FALSE)</f>
        <v>830039</v>
      </c>
      <c r="N1506">
        <f>VLOOKUP(Query1[[#This Row],[Description]],'kits to boards'!$B$2:$E$156,4,FALSE)</f>
        <v>0</v>
      </c>
      <c r="O1506" t="str">
        <f>CONCATENATE(Query1[[#This Row],[Description]]," - ",Query1[[#This Row],[MB1]]," - ",Query1[[#This Row],[MB2]]," - ",Query1[[#This Row],[MB3]])</f>
        <v>EVAP KIT 63-66 VETTE WO AC - 830036 - 830039 - 0</v>
      </c>
    </row>
    <row r="1507" spans="1:15" x14ac:dyDescent="0.25">
      <c r="A1507" s="1">
        <v>912828</v>
      </c>
      <c r="B1507" s="1" t="s">
        <v>30</v>
      </c>
      <c r="C1507" s="1" t="s">
        <v>31</v>
      </c>
      <c r="D1507" s="2">
        <v>44620.398980752318</v>
      </c>
      <c r="E1507" s="1" t="s">
        <v>8</v>
      </c>
      <c r="F1507" s="1">
        <v>1</v>
      </c>
      <c r="G1507" s="1">
        <v>0</v>
      </c>
      <c r="H1507" s="6">
        <f>INT(Query1[[#This Row],[EntryDateTime]])</f>
        <v>44620</v>
      </c>
      <c r="I1507" s="1">
        <f>IF(Query1[[#This Row],[ItemType]]="EVAP KIT SF GEN IV",Query1[[#This Row],[OrderQty]]+I1506,I1506)</f>
        <v>1694</v>
      </c>
      <c r="J1507" s="1">
        <f>IF(Query1[[#This Row],[ItemType]]="EVAP KIT UNIVERSAL",Query1[[#This Row],[OrderQty]]+J1506,J1506)</f>
        <v>761</v>
      </c>
      <c r="K1507" s="1">
        <f>Query1[[#This Row],[SF Running Total]]+Query1[[#This Row],[UNIV Running Total]]</f>
        <v>2455</v>
      </c>
      <c r="L1507">
        <f>VLOOKUP(Query1[[#This Row],[Description]],'kits to boards'!$B$2:$E$156,2,FALSE)</f>
        <v>830054</v>
      </c>
      <c r="M1507">
        <f>VLOOKUP(Query1[[#This Row],[Description]],'kits to boards'!$B$2:$E$156,3,FALSE)</f>
        <v>0</v>
      </c>
      <c r="N1507">
        <f>VLOOKUP(Query1[[#This Row],[Description]],'kits to boards'!$B$2:$E$156,4,FALSE)</f>
        <v>0</v>
      </c>
      <c r="O1507" t="str">
        <f>CONCATENATE(Query1[[#This Row],[Description]]," - ",Query1[[#This Row],[MB1]]," - ",Query1[[#This Row],[MB2]]," - ",Query1[[#This Row],[MB3]])</f>
        <v>EVAP KIT 55-56 CHEVY 4-VENT - 830054 - 0 - 0</v>
      </c>
    </row>
    <row r="1508" spans="1:15" x14ac:dyDescent="0.25">
      <c r="A1508" s="1">
        <v>912831</v>
      </c>
      <c r="B1508" s="1" t="s">
        <v>244</v>
      </c>
      <c r="C1508" s="1" t="s">
        <v>245</v>
      </c>
      <c r="D1508" s="2">
        <v>44620.401797951388</v>
      </c>
      <c r="E1508" s="1" t="s">
        <v>8</v>
      </c>
      <c r="F1508" s="1">
        <v>1</v>
      </c>
      <c r="G1508" s="1">
        <v>0</v>
      </c>
      <c r="H1508" s="6">
        <f>INT(Query1[[#This Row],[EntryDateTime]])</f>
        <v>44620</v>
      </c>
      <c r="I1508" s="1">
        <f>IF(Query1[[#This Row],[ItemType]]="EVAP KIT SF GEN IV",Query1[[#This Row],[OrderQty]]+I1507,I1507)</f>
        <v>1695</v>
      </c>
      <c r="J1508" s="1">
        <f>IF(Query1[[#This Row],[ItemType]]="EVAP KIT UNIVERSAL",Query1[[#This Row],[OrderQty]]+J1507,J1507)</f>
        <v>761</v>
      </c>
      <c r="K1508" s="1">
        <f>Query1[[#This Row],[SF Running Total]]+Query1[[#This Row],[UNIV Running Total]]</f>
        <v>2456</v>
      </c>
      <c r="L1508">
        <f>VLOOKUP(Query1[[#This Row],[Description]],'kits to boards'!$B$2:$E$156,2,FALSE)</f>
        <v>830100</v>
      </c>
      <c r="M1508">
        <f>VLOOKUP(Query1[[#This Row],[Description]],'kits to boards'!$B$2:$E$156,3,FALSE)</f>
        <v>0</v>
      </c>
      <c r="N1508">
        <f>VLOOKUP(Query1[[#This Row],[Description]],'kits to boards'!$B$2:$E$156,4,FALSE)</f>
        <v>0</v>
      </c>
      <c r="O1508" t="str">
        <f>CONCATENATE(Query1[[#This Row],[Description]]," - ",Query1[[#This Row],[MB1]]," - ",Query1[[#This Row],[MB2]]," - ",Query1[[#This Row],[MB3]])</f>
        <v>EVAP KIT 68-76 VETTE WO AC - 830100 - 0 - 0</v>
      </c>
    </row>
    <row r="1509" spans="1:15" x14ac:dyDescent="0.25">
      <c r="A1509" s="1">
        <v>912798</v>
      </c>
      <c r="B1509" s="1" t="s">
        <v>56</v>
      </c>
      <c r="C1509" s="1" t="s">
        <v>57</v>
      </c>
      <c r="D1509" s="2">
        <v>44620.405309988426</v>
      </c>
      <c r="E1509" s="1" t="s">
        <v>8</v>
      </c>
      <c r="F1509" s="1">
        <v>1</v>
      </c>
      <c r="G1509" s="1">
        <v>0</v>
      </c>
      <c r="H1509" s="6">
        <f>INT(Query1[[#This Row],[EntryDateTime]])</f>
        <v>44620</v>
      </c>
      <c r="I1509" s="1">
        <f>IF(Query1[[#This Row],[ItemType]]="EVAP KIT SF GEN IV",Query1[[#This Row],[OrderQty]]+I1508,I1508)</f>
        <v>1696</v>
      </c>
      <c r="J1509" s="1">
        <f>IF(Query1[[#This Row],[ItemType]]="EVAP KIT UNIVERSAL",Query1[[#This Row],[OrderQty]]+J1508,J1508)</f>
        <v>761</v>
      </c>
      <c r="K1509" s="1">
        <f>Query1[[#This Row],[SF Running Total]]+Query1[[#This Row],[UNIV Running Total]]</f>
        <v>2457</v>
      </c>
      <c r="L1509">
        <f>VLOOKUP(Query1[[#This Row],[Description]],'kits to boards'!$B$2:$E$156,2,FALSE)</f>
        <v>830011</v>
      </c>
      <c r="M1509">
        <f>VLOOKUP(Query1[[#This Row],[Description]],'kits to boards'!$B$2:$E$156,3,FALSE)</f>
        <v>0</v>
      </c>
      <c r="N1509">
        <f>VLOOKUP(Query1[[#This Row],[Description]],'kits to boards'!$B$2:$E$156,4,FALSE)</f>
        <v>0</v>
      </c>
      <c r="O1509" t="str">
        <f>CONCATENATE(Query1[[#This Row],[Description]]," - ",Query1[[#This Row],[MB1]]," - ",Query1[[#This Row],[MB2]]," - ",Query1[[#This Row],[MB3]])</f>
        <v>EVAP KIT 70-72 CHEVELLE W/AC - 830011 - 0 - 0</v>
      </c>
    </row>
    <row r="1510" spans="1:15" x14ac:dyDescent="0.25">
      <c r="A1510" s="1">
        <v>912673</v>
      </c>
      <c r="B1510" s="1" t="s">
        <v>218</v>
      </c>
      <c r="C1510" s="1" t="s">
        <v>219</v>
      </c>
      <c r="D1510" s="2">
        <v>44620.406134062498</v>
      </c>
      <c r="E1510" s="1" t="s">
        <v>8</v>
      </c>
      <c r="F1510" s="1">
        <v>1</v>
      </c>
      <c r="G1510" s="1">
        <v>0</v>
      </c>
      <c r="H1510" s="6">
        <f>INT(Query1[[#This Row],[EntryDateTime]])</f>
        <v>44620</v>
      </c>
      <c r="I1510" s="1">
        <f>IF(Query1[[#This Row],[ItemType]]="EVAP KIT SF GEN IV",Query1[[#This Row],[OrderQty]]+I1509,I1509)</f>
        <v>1697</v>
      </c>
      <c r="J1510" s="1">
        <f>IF(Query1[[#This Row],[ItemType]]="EVAP KIT UNIVERSAL",Query1[[#This Row],[OrderQty]]+J1509,J1509)</f>
        <v>761</v>
      </c>
      <c r="K1510" s="1">
        <f>Query1[[#This Row],[SF Running Total]]+Query1[[#This Row],[UNIV Running Total]]</f>
        <v>2458</v>
      </c>
      <c r="L1510">
        <f>VLOOKUP(Query1[[#This Row],[Description]],'kits to boards'!$B$2:$E$156,2,FALSE)</f>
        <v>830022</v>
      </c>
      <c r="M1510">
        <f>VLOOKUP(Query1[[#This Row],[Description]],'kits to boards'!$B$2:$E$156,3,FALSE)</f>
        <v>0</v>
      </c>
      <c r="N1510">
        <f>VLOOKUP(Query1[[#This Row],[Description]],'kits to boards'!$B$2:$E$156,4,FALSE)</f>
        <v>0</v>
      </c>
      <c r="O1510" t="str">
        <f>CONCATENATE(Query1[[#This Row],[Description]]," - ",Query1[[#This Row],[MB1]]," - ",Query1[[#This Row],[MB2]]," - ",Query1[[#This Row],[MB3]])</f>
        <v>EVAP KIT 69 CUTLASS WO AC - 830022 - 0 - 0</v>
      </c>
    </row>
    <row r="1511" spans="1:15" x14ac:dyDescent="0.25">
      <c r="A1511" s="1">
        <v>912838</v>
      </c>
      <c r="B1511" s="1" t="s">
        <v>72</v>
      </c>
      <c r="C1511" s="1" t="s">
        <v>73</v>
      </c>
      <c r="D1511" s="2">
        <v>44620.409205208336</v>
      </c>
      <c r="E1511" s="1" t="s">
        <v>8</v>
      </c>
      <c r="F1511" s="1">
        <v>1</v>
      </c>
      <c r="G1511" s="1">
        <v>0</v>
      </c>
      <c r="H1511" s="6">
        <f>INT(Query1[[#This Row],[EntryDateTime]])</f>
        <v>44620</v>
      </c>
      <c r="I1511" s="1">
        <f>IF(Query1[[#This Row],[ItemType]]="EVAP KIT SF GEN IV",Query1[[#This Row],[OrderQty]]+I1510,I1510)</f>
        <v>1698</v>
      </c>
      <c r="J1511" s="1">
        <f>IF(Query1[[#This Row],[ItemType]]="EVAP KIT UNIVERSAL",Query1[[#This Row],[OrderQty]]+J1510,J1510)</f>
        <v>761</v>
      </c>
      <c r="K1511" s="1">
        <f>Query1[[#This Row],[SF Running Total]]+Query1[[#This Row],[UNIV Running Total]]</f>
        <v>2459</v>
      </c>
      <c r="L1511">
        <f>VLOOKUP(Query1[[#This Row],[Description]],'kits to boards'!$B$2:$E$156,2,FALSE)</f>
        <v>830043</v>
      </c>
      <c r="M1511">
        <f>VLOOKUP(Query1[[#This Row],[Description]],'kits to boards'!$B$2:$E$156,3,FALSE)</f>
        <v>0</v>
      </c>
      <c r="N1511">
        <f>VLOOKUP(Query1[[#This Row],[Description]],'kits to boards'!$B$2:$E$156,4,FALSE)</f>
        <v>0</v>
      </c>
      <c r="O1511" t="str">
        <f>CONCATENATE(Query1[[#This Row],[Description]]," - ",Query1[[#This Row],[MB1]]," - ",Query1[[#This Row],[MB2]]," - ",Query1[[#This Row],[MB3]])</f>
        <v>EVAP KIT 69-74 NOVA W/AC - 830043 - 0 - 0</v>
      </c>
    </row>
    <row r="1512" spans="1:15" x14ac:dyDescent="0.25">
      <c r="A1512" s="1">
        <v>912842</v>
      </c>
      <c r="B1512" s="1" t="s">
        <v>140</v>
      </c>
      <c r="C1512" s="1" t="s">
        <v>141</v>
      </c>
      <c r="D1512" s="2">
        <v>44620.412362037037</v>
      </c>
      <c r="E1512" s="1" t="s">
        <v>8</v>
      </c>
      <c r="F1512" s="1">
        <v>1</v>
      </c>
      <c r="G1512" s="1">
        <v>0</v>
      </c>
      <c r="H1512" s="6">
        <f>INT(Query1[[#This Row],[EntryDateTime]])</f>
        <v>44620</v>
      </c>
      <c r="I1512" s="1">
        <f>IF(Query1[[#This Row],[ItemType]]="EVAP KIT SF GEN IV",Query1[[#This Row],[OrderQty]]+I1511,I1511)</f>
        <v>1699</v>
      </c>
      <c r="J1512" s="1">
        <f>IF(Query1[[#This Row],[ItemType]]="EVAP KIT UNIVERSAL",Query1[[#This Row],[OrderQty]]+J1511,J1511)</f>
        <v>761</v>
      </c>
      <c r="K1512" s="1">
        <f>Query1[[#This Row],[SF Running Total]]+Query1[[#This Row],[UNIV Running Total]]</f>
        <v>2460</v>
      </c>
      <c r="L1512">
        <f>VLOOKUP(Query1[[#This Row],[Description]],'kits to boards'!$B$2:$E$156,2,FALSE)</f>
        <v>830066</v>
      </c>
      <c r="M1512">
        <f>VLOOKUP(Query1[[#This Row],[Description]],'kits to boards'!$B$2:$E$156,3,FALSE)</f>
        <v>0</v>
      </c>
      <c r="N1512">
        <f>VLOOKUP(Query1[[#This Row],[Description]],'kits to boards'!$B$2:$E$156,4,FALSE)</f>
        <v>0</v>
      </c>
      <c r="O1512" t="str">
        <f>CONCATENATE(Query1[[#This Row],[Description]]," - ",Query1[[#This Row],[MB1]]," - ",Query1[[#This Row],[MB2]]," - ",Query1[[#This Row],[MB3]])</f>
        <v>EVAP KIT 60-63 CHEV P-UP WO AC - 830066 - 0 - 0</v>
      </c>
    </row>
    <row r="1513" spans="1:15" x14ac:dyDescent="0.25">
      <c r="A1513" s="1">
        <v>912840</v>
      </c>
      <c r="B1513" s="1" t="s">
        <v>156</v>
      </c>
      <c r="C1513" s="1" t="s">
        <v>157</v>
      </c>
      <c r="D1513" s="2">
        <v>44620.412892905093</v>
      </c>
      <c r="E1513" s="1" t="s">
        <v>8</v>
      </c>
      <c r="F1513" s="1">
        <v>1</v>
      </c>
      <c r="G1513" s="1">
        <v>0</v>
      </c>
      <c r="H1513" s="6">
        <f>INT(Query1[[#This Row],[EntryDateTime]])</f>
        <v>44620</v>
      </c>
      <c r="I1513" s="1">
        <f>IF(Query1[[#This Row],[ItemType]]="EVAP KIT SF GEN IV",Query1[[#This Row],[OrderQty]]+I1512,I1512)</f>
        <v>1700</v>
      </c>
      <c r="J1513" s="1">
        <f>IF(Query1[[#This Row],[ItemType]]="EVAP KIT UNIVERSAL",Query1[[#This Row],[OrderQty]]+J1512,J1512)</f>
        <v>761</v>
      </c>
      <c r="K1513" s="1">
        <f>Query1[[#This Row],[SF Running Total]]+Query1[[#This Row],[UNIV Running Total]]</f>
        <v>2461</v>
      </c>
      <c r="L1513">
        <f>VLOOKUP(Query1[[#This Row],[Description]],'kits to boards'!$B$2:$E$156,2,FALSE)</f>
        <v>830019</v>
      </c>
      <c r="M1513">
        <f>VLOOKUP(Query1[[#This Row],[Description]],'kits to boards'!$B$2:$E$156,3,FALSE)</f>
        <v>0</v>
      </c>
      <c r="N1513">
        <f>VLOOKUP(Query1[[#This Row],[Description]],'kits to boards'!$B$2:$E$156,4,FALSE)</f>
        <v>0</v>
      </c>
      <c r="O1513" t="str">
        <f>CONCATENATE(Query1[[#This Row],[Description]]," - ",Query1[[#This Row],[MB1]]," - ",Query1[[#This Row],[MB2]]," - ",Query1[[#This Row],[MB3]])</f>
        <v>EVAP KIT 70-81 FIREBIRD WO AC - 830019 - 0 - 0</v>
      </c>
    </row>
    <row r="1514" spans="1:15" x14ac:dyDescent="0.25">
      <c r="A1514" s="1">
        <v>912834</v>
      </c>
      <c r="B1514" s="1" t="s">
        <v>293</v>
      </c>
      <c r="C1514" s="1" t="s">
        <v>193</v>
      </c>
      <c r="D1514" s="2">
        <v>44620.413509606478</v>
      </c>
      <c r="E1514" s="1" t="s">
        <v>8</v>
      </c>
      <c r="F1514" s="1">
        <v>1</v>
      </c>
      <c r="G1514" s="1">
        <v>0</v>
      </c>
      <c r="H1514" s="6">
        <f>INT(Query1[[#This Row],[EntryDateTime]])</f>
        <v>44620</v>
      </c>
      <c r="I1514" s="1">
        <f>IF(Query1[[#This Row],[ItemType]]="EVAP KIT SF GEN IV",Query1[[#This Row],[OrderQty]]+I1513,I1513)</f>
        <v>1701</v>
      </c>
      <c r="J1514" s="1">
        <f>IF(Query1[[#This Row],[ItemType]]="EVAP KIT UNIVERSAL",Query1[[#This Row],[OrderQty]]+J1513,J1513)</f>
        <v>761</v>
      </c>
      <c r="K1514" s="1">
        <f>Query1[[#This Row],[SF Running Total]]+Query1[[#This Row],[UNIV Running Total]]</f>
        <v>2462</v>
      </c>
      <c r="L1514">
        <f>VLOOKUP(Query1[[#This Row],[Description]],'kits to boards'!$B$2:$E$156,2,FALSE)</f>
        <v>830094</v>
      </c>
      <c r="M1514">
        <f>VLOOKUP(Query1[[#This Row],[Description]],'kits to boards'!$B$2:$E$156,3,FALSE)</f>
        <v>0</v>
      </c>
      <c r="N1514">
        <f>VLOOKUP(Query1[[#This Row],[Description]],'kits to boards'!$B$2:$E$156,4,FALSE)</f>
        <v>0</v>
      </c>
      <c r="O1514" t="str">
        <f>CONCATENATE(Query1[[#This Row],[Description]]," - ",Query1[[#This Row],[MB1]]," - ",Query1[[#This Row],[MB2]]," - ",Query1[[#This Row],[MB3]])</f>
        <v>EVAP KIT 69-73 VETTE W/AC - 830094 - 0 - 0</v>
      </c>
    </row>
    <row r="1515" spans="1:15" x14ac:dyDescent="0.25">
      <c r="A1515" s="1">
        <v>912847</v>
      </c>
      <c r="B1515" s="1" t="s">
        <v>22</v>
      </c>
      <c r="C1515" s="1" t="s">
        <v>23</v>
      </c>
      <c r="D1515" s="2">
        <v>44620.419432673611</v>
      </c>
      <c r="E1515" s="1" t="s">
        <v>8</v>
      </c>
      <c r="F1515" s="1">
        <v>1</v>
      </c>
      <c r="G1515" s="1">
        <v>0</v>
      </c>
      <c r="H1515" s="6">
        <f>INT(Query1[[#This Row],[EntryDateTime]])</f>
        <v>44620</v>
      </c>
      <c r="I1515" s="1">
        <f>IF(Query1[[#This Row],[ItemType]]="EVAP KIT SF GEN IV",Query1[[#This Row],[OrderQty]]+I1514,I1514)</f>
        <v>1702</v>
      </c>
      <c r="J1515" s="1">
        <f>IF(Query1[[#This Row],[ItemType]]="EVAP KIT UNIVERSAL",Query1[[#This Row],[OrderQty]]+J1514,J1514)</f>
        <v>761</v>
      </c>
      <c r="K1515" s="1">
        <f>Query1[[#This Row],[SF Running Total]]+Query1[[#This Row],[UNIV Running Total]]</f>
        <v>2463</v>
      </c>
      <c r="L1515">
        <f>VLOOKUP(Query1[[#This Row],[Description]],'kits to boards'!$B$2:$E$156,2,FALSE)</f>
        <v>830083</v>
      </c>
      <c r="M1515">
        <f>VLOOKUP(Query1[[#This Row],[Description]],'kits to boards'!$B$2:$E$156,3,FALSE)</f>
        <v>0</v>
      </c>
      <c r="N1515">
        <f>VLOOKUP(Query1[[#This Row],[Description]],'kits to boards'!$B$2:$E$156,4,FALSE)</f>
        <v>0</v>
      </c>
      <c r="O1515" t="str">
        <f>CONCATENATE(Query1[[#This Row],[Description]]," - ",Query1[[#This Row],[MB1]]," - ",Query1[[#This Row],[MB2]]," - ",Query1[[#This Row],[MB3]])</f>
        <v>GEN IV MAGNUM EVAP KIT - 830083 - 0 - 0</v>
      </c>
    </row>
    <row r="1516" spans="1:15" x14ac:dyDescent="0.25">
      <c r="A1516" s="1">
        <v>912849</v>
      </c>
      <c r="B1516" s="1" t="s">
        <v>68</v>
      </c>
      <c r="C1516" s="1" t="s">
        <v>69</v>
      </c>
      <c r="D1516" s="2">
        <v>44620.422124456018</v>
      </c>
      <c r="E1516" s="1" t="s">
        <v>8</v>
      </c>
      <c r="F1516" s="1">
        <v>1</v>
      </c>
      <c r="G1516" s="1">
        <v>0</v>
      </c>
      <c r="H1516" s="6">
        <f>INT(Query1[[#This Row],[EntryDateTime]])</f>
        <v>44620</v>
      </c>
      <c r="I1516" s="1">
        <f>IF(Query1[[#This Row],[ItemType]]="EVAP KIT SF GEN IV",Query1[[#This Row],[OrderQty]]+I1515,I1515)</f>
        <v>1703</v>
      </c>
      <c r="J1516" s="1">
        <f>IF(Query1[[#This Row],[ItemType]]="EVAP KIT UNIVERSAL",Query1[[#This Row],[OrderQty]]+J1515,J1515)</f>
        <v>761</v>
      </c>
      <c r="K1516" s="1">
        <f>Query1[[#This Row],[SF Running Total]]+Query1[[#This Row],[UNIV Running Total]]</f>
        <v>2464</v>
      </c>
      <c r="L1516">
        <f>VLOOKUP(Query1[[#This Row],[Description]],'kits to boards'!$B$2:$E$156,2,FALSE)</f>
        <v>830010</v>
      </c>
      <c r="M1516">
        <f>VLOOKUP(Query1[[#This Row],[Description]],'kits to boards'!$B$2:$E$156,3,FALSE)</f>
        <v>0</v>
      </c>
      <c r="N1516">
        <f>VLOOKUP(Query1[[#This Row],[Description]],'kits to boards'!$B$2:$E$156,4,FALSE)</f>
        <v>0</v>
      </c>
      <c r="O1516" t="str">
        <f>CONCATENATE(Query1[[#This Row],[Description]]," - ",Query1[[#This Row],[MB1]]," - ",Query1[[#This Row],[MB2]]," - ",Query1[[#This Row],[MB3]])</f>
        <v>EVAP KIT 70-72 CHEVELLE WO AC - 830010 - 0 - 0</v>
      </c>
    </row>
    <row r="1517" spans="1:15" x14ac:dyDescent="0.25">
      <c r="A1517" s="1">
        <v>912855</v>
      </c>
      <c r="B1517" s="1" t="s">
        <v>134</v>
      </c>
      <c r="C1517" s="1" t="s">
        <v>135</v>
      </c>
      <c r="D1517" s="2">
        <v>44620.42759417824</v>
      </c>
      <c r="E1517" s="1" t="s">
        <v>8</v>
      </c>
      <c r="F1517" s="1">
        <v>1</v>
      </c>
      <c r="G1517" s="1">
        <v>0</v>
      </c>
      <c r="H1517" s="6">
        <f>INT(Query1[[#This Row],[EntryDateTime]])</f>
        <v>44620</v>
      </c>
      <c r="I1517" s="1">
        <f>IF(Query1[[#This Row],[ItemType]]="EVAP KIT SF GEN IV",Query1[[#This Row],[OrderQty]]+I1516,I1516)</f>
        <v>1704</v>
      </c>
      <c r="J1517" s="1">
        <f>IF(Query1[[#This Row],[ItemType]]="EVAP KIT UNIVERSAL",Query1[[#This Row],[OrderQty]]+J1516,J1516)</f>
        <v>761</v>
      </c>
      <c r="K1517" s="1">
        <f>Query1[[#This Row],[SF Running Total]]+Query1[[#This Row],[UNIV Running Total]]</f>
        <v>2465</v>
      </c>
      <c r="L1517">
        <f>VLOOKUP(Query1[[#This Row],[Description]],'kits to boards'!$B$2:$E$156,2,FALSE)</f>
        <v>830007</v>
      </c>
      <c r="M1517">
        <f>VLOOKUP(Query1[[#This Row],[Description]],'kits to boards'!$B$2:$E$156,3,FALSE)</f>
        <v>0</v>
      </c>
      <c r="N1517">
        <f>VLOOKUP(Query1[[#This Row],[Description]],'kits to boards'!$B$2:$E$156,4,FALSE)</f>
        <v>0</v>
      </c>
      <c r="O1517" t="str">
        <f>CONCATENATE(Query1[[#This Row],[Description]]," - ",Query1[[#This Row],[MB1]]," - ",Query1[[#This Row],[MB2]]," - ",Query1[[#This Row],[MB3]])</f>
        <v>EVAP KIT 64 IMPALA WO AC - 830007 - 0 - 0</v>
      </c>
    </row>
    <row r="1518" spans="1:15" x14ac:dyDescent="0.25">
      <c r="A1518" s="1">
        <v>912271</v>
      </c>
      <c r="B1518" s="1" t="s">
        <v>22</v>
      </c>
      <c r="C1518" s="1" t="s">
        <v>23</v>
      </c>
      <c r="D1518" s="2">
        <v>44620.428084108797</v>
      </c>
      <c r="E1518" s="1" t="s">
        <v>8</v>
      </c>
      <c r="F1518" s="1">
        <v>1</v>
      </c>
      <c r="G1518" s="1">
        <v>0</v>
      </c>
      <c r="H1518" s="6">
        <f>INT(Query1[[#This Row],[EntryDateTime]])</f>
        <v>44620</v>
      </c>
      <c r="I1518" s="1">
        <f>IF(Query1[[#This Row],[ItemType]]="EVAP KIT SF GEN IV",Query1[[#This Row],[OrderQty]]+I1517,I1517)</f>
        <v>1705</v>
      </c>
      <c r="J1518" s="1">
        <f>IF(Query1[[#This Row],[ItemType]]="EVAP KIT UNIVERSAL",Query1[[#This Row],[OrderQty]]+J1517,J1517)</f>
        <v>761</v>
      </c>
      <c r="K1518" s="1">
        <f>Query1[[#This Row],[SF Running Total]]+Query1[[#This Row],[UNIV Running Total]]</f>
        <v>2466</v>
      </c>
      <c r="L1518">
        <f>VLOOKUP(Query1[[#This Row],[Description]],'kits to boards'!$B$2:$E$156,2,FALSE)</f>
        <v>830083</v>
      </c>
      <c r="M1518">
        <f>VLOOKUP(Query1[[#This Row],[Description]],'kits to boards'!$B$2:$E$156,3,FALSE)</f>
        <v>0</v>
      </c>
      <c r="N1518">
        <f>VLOOKUP(Query1[[#This Row],[Description]],'kits to boards'!$B$2:$E$156,4,FALSE)</f>
        <v>0</v>
      </c>
      <c r="O1518" t="str">
        <f>CONCATENATE(Query1[[#This Row],[Description]]," - ",Query1[[#This Row],[MB1]]," - ",Query1[[#This Row],[MB2]]," - ",Query1[[#This Row],[MB3]])</f>
        <v>GEN IV MAGNUM EVAP KIT - 830083 - 0 - 0</v>
      </c>
    </row>
    <row r="1519" spans="1:15" x14ac:dyDescent="0.25">
      <c r="A1519" s="1">
        <v>912856</v>
      </c>
      <c r="B1519" s="1" t="s">
        <v>90</v>
      </c>
      <c r="C1519" s="1" t="s">
        <v>91</v>
      </c>
      <c r="D1519" s="2">
        <v>44620.429339965274</v>
      </c>
      <c r="E1519" s="1" t="s">
        <v>8</v>
      </c>
      <c r="F1519" s="1">
        <v>1</v>
      </c>
      <c r="G1519" s="1">
        <v>0</v>
      </c>
      <c r="H1519" s="6">
        <f>INT(Query1[[#This Row],[EntryDateTime]])</f>
        <v>44620</v>
      </c>
      <c r="I1519" s="1">
        <f>IF(Query1[[#This Row],[ItemType]]="EVAP KIT SF GEN IV",Query1[[#This Row],[OrderQty]]+I1518,I1518)</f>
        <v>1706</v>
      </c>
      <c r="J1519" s="1">
        <f>IF(Query1[[#This Row],[ItemType]]="EVAP KIT UNIVERSAL",Query1[[#This Row],[OrderQty]]+J1518,J1518)</f>
        <v>761</v>
      </c>
      <c r="K1519" s="1">
        <f>Query1[[#This Row],[SF Running Total]]+Query1[[#This Row],[UNIV Running Total]]</f>
        <v>2467</v>
      </c>
      <c r="L1519">
        <f>VLOOKUP(Query1[[#This Row],[Description]],'kits to boards'!$B$2:$E$156,2,FALSE)</f>
        <v>830105</v>
      </c>
      <c r="M1519">
        <f>VLOOKUP(Query1[[#This Row],[Description]],'kits to boards'!$B$2:$E$156,3,FALSE)</f>
        <v>830106</v>
      </c>
      <c r="N1519">
        <f>VLOOKUP(Query1[[#This Row],[Description]],'kits to boards'!$B$2:$E$156,4,FALSE)</f>
        <v>0</v>
      </c>
      <c r="O1519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1520" spans="1:15" x14ac:dyDescent="0.25">
      <c r="A1520" s="1">
        <v>912858</v>
      </c>
      <c r="B1520" s="1" t="s">
        <v>14</v>
      </c>
      <c r="C1520" s="1" t="s">
        <v>15</v>
      </c>
      <c r="D1520" s="2">
        <v>44620.436475428243</v>
      </c>
      <c r="E1520" s="1" t="s">
        <v>8</v>
      </c>
      <c r="F1520" s="1">
        <v>1</v>
      </c>
      <c r="G1520" s="1">
        <v>0</v>
      </c>
      <c r="H1520" s="6">
        <f>INT(Query1[[#This Row],[EntryDateTime]])</f>
        <v>44620</v>
      </c>
      <c r="I1520" s="1">
        <f>IF(Query1[[#This Row],[ItemType]]="EVAP KIT SF GEN IV",Query1[[#This Row],[OrderQty]]+I1519,I1519)</f>
        <v>1707</v>
      </c>
      <c r="J1520" s="1">
        <f>IF(Query1[[#This Row],[ItemType]]="EVAP KIT UNIVERSAL",Query1[[#This Row],[OrderQty]]+J1519,J1519)</f>
        <v>761</v>
      </c>
      <c r="K1520" s="1">
        <f>Query1[[#This Row],[SF Running Total]]+Query1[[#This Row],[UNIV Running Total]]</f>
        <v>2468</v>
      </c>
      <c r="L1520">
        <f>VLOOKUP(Query1[[#This Row],[Description]],'kits to boards'!$B$2:$E$156,2,FALSE)</f>
        <v>830054</v>
      </c>
      <c r="M1520">
        <f>VLOOKUP(Query1[[#This Row],[Description]],'kits to boards'!$B$2:$E$156,3,FALSE)</f>
        <v>0</v>
      </c>
      <c r="N1520">
        <f>VLOOKUP(Query1[[#This Row],[Description]],'kits to boards'!$B$2:$E$156,4,FALSE)</f>
        <v>0</v>
      </c>
      <c r="O1520" t="str">
        <f>CONCATENATE(Query1[[#This Row],[Description]]," - ",Query1[[#This Row],[MB1]]," - ",Query1[[#This Row],[MB2]]," - ",Query1[[#This Row],[MB3]])</f>
        <v>EVAP KIT 55-56 CHEVY - 830054 - 0 - 0</v>
      </c>
    </row>
    <row r="1521" spans="1:15" x14ac:dyDescent="0.25">
      <c r="A1521" s="1">
        <v>912876</v>
      </c>
      <c r="B1521" s="1" t="s">
        <v>26</v>
      </c>
      <c r="C1521" s="1" t="s">
        <v>27</v>
      </c>
      <c r="D1521" s="2">
        <v>44620.456152118059</v>
      </c>
      <c r="E1521" s="1" t="s">
        <v>8</v>
      </c>
      <c r="F1521" s="1">
        <v>1</v>
      </c>
      <c r="G1521" s="1">
        <v>0</v>
      </c>
      <c r="H1521" s="6">
        <f>INT(Query1[[#This Row],[EntryDateTime]])</f>
        <v>44620</v>
      </c>
      <c r="I1521" s="1">
        <f>IF(Query1[[#This Row],[ItemType]]="EVAP KIT SF GEN IV",Query1[[#This Row],[OrderQty]]+I1520,I1520)</f>
        <v>1708</v>
      </c>
      <c r="J1521" s="1">
        <f>IF(Query1[[#This Row],[ItemType]]="EVAP KIT UNIVERSAL",Query1[[#This Row],[OrderQty]]+J1520,J1520)</f>
        <v>761</v>
      </c>
      <c r="K1521" s="1">
        <f>Query1[[#This Row],[SF Running Total]]+Query1[[#This Row],[UNIV Running Total]]</f>
        <v>2469</v>
      </c>
      <c r="L1521">
        <f>VLOOKUP(Query1[[#This Row],[Description]],'kits to boards'!$B$2:$E$156,2,FALSE)</f>
        <v>830013</v>
      </c>
      <c r="M1521">
        <f>VLOOKUP(Query1[[#This Row],[Description]],'kits to boards'!$B$2:$E$156,3,FALSE)</f>
        <v>0</v>
      </c>
      <c r="N1521">
        <f>VLOOKUP(Query1[[#This Row],[Description]],'kits to boards'!$B$2:$E$156,4,FALSE)</f>
        <v>0</v>
      </c>
      <c r="O1521" t="str">
        <f>CONCATENATE(Query1[[#This Row],[Description]]," - ",Query1[[#This Row],[MB1]]," - ",Query1[[#This Row],[MB2]]," - ",Query1[[#This Row],[MB3]])</f>
        <v>EVAP KIT 67-72 CHEV P-UP W/AC - 830013 - 0 - 0</v>
      </c>
    </row>
    <row r="1522" spans="1:15" x14ac:dyDescent="0.25">
      <c r="A1522" s="1">
        <v>912877</v>
      </c>
      <c r="B1522" s="1" t="s">
        <v>72</v>
      </c>
      <c r="C1522" s="1" t="s">
        <v>73</v>
      </c>
      <c r="D1522" s="2">
        <v>44620.457504942133</v>
      </c>
      <c r="E1522" s="1" t="s">
        <v>8</v>
      </c>
      <c r="F1522" s="1">
        <v>1</v>
      </c>
      <c r="G1522" s="1">
        <v>0</v>
      </c>
      <c r="H1522" s="6">
        <f>INT(Query1[[#This Row],[EntryDateTime]])</f>
        <v>44620</v>
      </c>
      <c r="I1522" s="1">
        <f>IF(Query1[[#This Row],[ItemType]]="EVAP KIT SF GEN IV",Query1[[#This Row],[OrderQty]]+I1521,I1521)</f>
        <v>1709</v>
      </c>
      <c r="J1522" s="1">
        <f>IF(Query1[[#This Row],[ItemType]]="EVAP KIT UNIVERSAL",Query1[[#This Row],[OrderQty]]+J1521,J1521)</f>
        <v>761</v>
      </c>
      <c r="K1522" s="1">
        <f>Query1[[#This Row],[SF Running Total]]+Query1[[#This Row],[UNIV Running Total]]</f>
        <v>2470</v>
      </c>
      <c r="L1522">
        <f>VLOOKUP(Query1[[#This Row],[Description]],'kits to boards'!$B$2:$E$156,2,FALSE)</f>
        <v>830043</v>
      </c>
      <c r="M1522">
        <f>VLOOKUP(Query1[[#This Row],[Description]],'kits to boards'!$B$2:$E$156,3,FALSE)</f>
        <v>0</v>
      </c>
      <c r="N1522">
        <f>VLOOKUP(Query1[[#This Row],[Description]],'kits to boards'!$B$2:$E$156,4,FALSE)</f>
        <v>0</v>
      </c>
      <c r="O1522" t="str">
        <f>CONCATENATE(Query1[[#This Row],[Description]]," - ",Query1[[#This Row],[MB1]]," - ",Query1[[#This Row],[MB2]]," - ",Query1[[#This Row],[MB3]])</f>
        <v>EVAP KIT 69-74 NOVA W/AC - 830043 - 0 - 0</v>
      </c>
    </row>
    <row r="1523" spans="1:15" x14ac:dyDescent="0.25">
      <c r="A1523" s="1">
        <v>912881</v>
      </c>
      <c r="B1523" s="1" t="s">
        <v>92</v>
      </c>
      <c r="C1523" s="1" t="s">
        <v>93</v>
      </c>
      <c r="D1523" s="2">
        <v>44620.461303472221</v>
      </c>
      <c r="E1523" s="1" t="s">
        <v>8</v>
      </c>
      <c r="F1523" s="1">
        <v>1</v>
      </c>
      <c r="G1523" s="1">
        <v>0</v>
      </c>
      <c r="H1523" s="6">
        <f>INT(Query1[[#This Row],[EntryDateTime]])</f>
        <v>44620</v>
      </c>
      <c r="I1523" s="1">
        <f>IF(Query1[[#This Row],[ItemType]]="EVAP KIT SF GEN IV",Query1[[#This Row],[OrderQty]]+I1522,I1522)</f>
        <v>1710</v>
      </c>
      <c r="J1523" s="1">
        <f>IF(Query1[[#This Row],[ItemType]]="EVAP KIT UNIVERSAL",Query1[[#This Row],[OrderQty]]+J1522,J1522)</f>
        <v>761</v>
      </c>
      <c r="K1523" s="1">
        <f>Query1[[#This Row],[SF Running Total]]+Query1[[#This Row],[UNIV Running Total]]</f>
        <v>2471</v>
      </c>
      <c r="L1523">
        <f>VLOOKUP(Query1[[#This Row],[Description]],'kits to boards'!$B$2:$E$156,2,FALSE)</f>
        <v>830063</v>
      </c>
      <c r="M1523">
        <f>VLOOKUP(Query1[[#This Row],[Description]],'kits to boards'!$B$2:$E$156,3,FALSE)</f>
        <v>0</v>
      </c>
      <c r="N1523">
        <f>VLOOKUP(Query1[[#This Row],[Description]],'kits to boards'!$B$2:$E$156,4,FALSE)</f>
        <v>0</v>
      </c>
      <c r="O1523" t="str">
        <f>CONCATENATE(Query1[[#This Row],[Description]]," - ",Query1[[#This Row],[MB1]]," - ",Query1[[#This Row],[MB2]]," - ",Query1[[#This Row],[MB3]])</f>
        <v>EVAP KIT 50-53 CHEV P-UP GEN IV - 830063 - 0 - 0</v>
      </c>
    </row>
    <row r="1524" spans="1:15" x14ac:dyDescent="0.25">
      <c r="A1524" s="1">
        <v>912824</v>
      </c>
      <c r="B1524" s="1" t="s">
        <v>42</v>
      </c>
      <c r="C1524" s="1" t="s">
        <v>43</v>
      </c>
      <c r="D1524" s="2">
        <v>44620.461821412035</v>
      </c>
      <c r="E1524" s="1" t="s">
        <v>8</v>
      </c>
      <c r="F1524" s="1">
        <v>1</v>
      </c>
      <c r="G1524" s="1">
        <v>0</v>
      </c>
      <c r="H1524" s="6">
        <f>INT(Query1[[#This Row],[EntryDateTime]])</f>
        <v>44620</v>
      </c>
      <c r="I1524" s="1">
        <f>IF(Query1[[#This Row],[ItemType]]="EVAP KIT SF GEN IV",Query1[[#This Row],[OrderQty]]+I1523,I1523)</f>
        <v>1711</v>
      </c>
      <c r="J1524" s="1">
        <f>IF(Query1[[#This Row],[ItemType]]="EVAP KIT UNIVERSAL",Query1[[#This Row],[OrderQty]]+J1523,J1523)</f>
        <v>761</v>
      </c>
      <c r="K1524" s="1">
        <f>Query1[[#This Row],[SF Running Total]]+Query1[[#This Row],[UNIV Running Total]]</f>
        <v>2472</v>
      </c>
      <c r="L1524">
        <f>VLOOKUP(Query1[[#This Row],[Description]],'kits to boards'!$B$2:$E$156,2,FALSE)</f>
        <v>830014</v>
      </c>
      <c r="M1524">
        <f>VLOOKUP(Query1[[#This Row],[Description]],'kits to boards'!$B$2:$E$156,3,FALSE)</f>
        <v>0</v>
      </c>
      <c r="N1524">
        <f>VLOOKUP(Query1[[#This Row],[Description]],'kits to boards'!$B$2:$E$156,4,FALSE)</f>
        <v>0</v>
      </c>
      <c r="O1524" t="str">
        <f>CONCATENATE(Query1[[#This Row],[Description]]," - ",Query1[[#This Row],[MB1]]," - ",Query1[[#This Row],[MB2]]," - ",Query1[[#This Row],[MB3]])</f>
        <v>EVAP KIT 67-72 CHEV P-UP WO AC - 830014 - 0 - 0</v>
      </c>
    </row>
    <row r="1525" spans="1:15" x14ac:dyDescent="0.25">
      <c r="A1525" s="1">
        <v>912882</v>
      </c>
      <c r="B1525" s="1" t="s">
        <v>56</v>
      </c>
      <c r="C1525" s="1" t="s">
        <v>57</v>
      </c>
      <c r="D1525" s="2">
        <v>44620.469710879632</v>
      </c>
      <c r="E1525" s="1" t="s">
        <v>8</v>
      </c>
      <c r="F1525" s="1">
        <v>1</v>
      </c>
      <c r="G1525" s="1">
        <v>0</v>
      </c>
      <c r="H1525" s="6">
        <f>INT(Query1[[#This Row],[EntryDateTime]])</f>
        <v>44620</v>
      </c>
      <c r="I1525" s="1">
        <f>IF(Query1[[#This Row],[ItemType]]="EVAP KIT SF GEN IV",Query1[[#This Row],[OrderQty]]+I1524,I1524)</f>
        <v>1712</v>
      </c>
      <c r="J1525" s="1">
        <f>IF(Query1[[#This Row],[ItemType]]="EVAP KIT UNIVERSAL",Query1[[#This Row],[OrderQty]]+J1524,J1524)</f>
        <v>761</v>
      </c>
      <c r="K1525" s="1">
        <f>Query1[[#This Row],[SF Running Total]]+Query1[[#This Row],[UNIV Running Total]]</f>
        <v>2473</v>
      </c>
      <c r="L1525">
        <f>VLOOKUP(Query1[[#This Row],[Description]],'kits to boards'!$B$2:$E$156,2,FALSE)</f>
        <v>830011</v>
      </c>
      <c r="M1525">
        <f>VLOOKUP(Query1[[#This Row],[Description]],'kits to boards'!$B$2:$E$156,3,FALSE)</f>
        <v>0</v>
      </c>
      <c r="N1525">
        <f>VLOOKUP(Query1[[#This Row],[Description]],'kits to boards'!$B$2:$E$156,4,FALSE)</f>
        <v>0</v>
      </c>
      <c r="O1525" t="str">
        <f>CONCATENATE(Query1[[#This Row],[Description]]," - ",Query1[[#This Row],[MB1]]," - ",Query1[[#This Row],[MB2]]," - ",Query1[[#This Row],[MB3]])</f>
        <v>EVAP KIT 70-72 CHEVELLE W/AC - 830011 - 0 - 0</v>
      </c>
    </row>
    <row r="1526" spans="1:15" x14ac:dyDescent="0.25">
      <c r="A1526" s="1">
        <v>912884</v>
      </c>
      <c r="B1526" s="1" t="s">
        <v>52</v>
      </c>
      <c r="C1526" s="1" t="s">
        <v>53</v>
      </c>
      <c r="D1526" s="2">
        <v>44620.47140952546</v>
      </c>
      <c r="E1526" s="1" t="s">
        <v>8</v>
      </c>
      <c r="F1526" s="1">
        <v>1</v>
      </c>
      <c r="G1526" s="1">
        <v>0</v>
      </c>
      <c r="H1526" s="6">
        <f>INT(Query1[[#This Row],[EntryDateTime]])</f>
        <v>44620</v>
      </c>
      <c r="I1526" s="1">
        <f>IF(Query1[[#This Row],[ItemType]]="EVAP KIT SF GEN IV",Query1[[#This Row],[OrderQty]]+I1525,I1525)</f>
        <v>1713</v>
      </c>
      <c r="J1526" s="1">
        <f>IF(Query1[[#This Row],[ItemType]]="EVAP KIT UNIVERSAL",Query1[[#This Row],[OrderQty]]+J1525,J1525)</f>
        <v>761</v>
      </c>
      <c r="K1526" s="1">
        <f>Query1[[#This Row],[SF Running Total]]+Query1[[#This Row],[UNIV Running Total]]</f>
        <v>2474</v>
      </c>
      <c r="L1526">
        <f>VLOOKUP(Query1[[#This Row],[Description]],'kits to boards'!$B$2:$E$156,2,FALSE)</f>
        <v>830017</v>
      </c>
      <c r="M1526">
        <f>VLOOKUP(Query1[[#This Row],[Description]],'kits to boards'!$B$2:$E$156,3,FALSE)</f>
        <v>830119</v>
      </c>
      <c r="N1526">
        <f>VLOOKUP(Query1[[#This Row],[Description]],'kits to boards'!$B$2:$E$156,4,FALSE)</f>
        <v>830120</v>
      </c>
      <c r="O1526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1527" spans="1:15" x14ac:dyDescent="0.25">
      <c r="A1527" s="1">
        <v>912886</v>
      </c>
      <c r="B1527" s="1" t="s">
        <v>14</v>
      </c>
      <c r="C1527" s="1" t="s">
        <v>15</v>
      </c>
      <c r="D1527" s="2">
        <v>44620.476913738428</v>
      </c>
      <c r="E1527" s="1" t="s">
        <v>8</v>
      </c>
      <c r="F1527" s="1">
        <v>1</v>
      </c>
      <c r="G1527" s="1">
        <v>0</v>
      </c>
      <c r="H1527" s="6">
        <f>INT(Query1[[#This Row],[EntryDateTime]])</f>
        <v>44620</v>
      </c>
      <c r="I1527" s="1">
        <f>IF(Query1[[#This Row],[ItemType]]="EVAP KIT SF GEN IV",Query1[[#This Row],[OrderQty]]+I1526,I1526)</f>
        <v>1714</v>
      </c>
      <c r="J1527" s="1">
        <f>IF(Query1[[#This Row],[ItemType]]="EVAP KIT UNIVERSAL",Query1[[#This Row],[OrderQty]]+J1526,J1526)</f>
        <v>761</v>
      </c>
      <c r="K1527" s="1">
        <f>Query1[[#This Row],[SF Running Total]]+Query1[[#This Row],[UNIV Running Total]]</f>
        <v>2475</v>
      </c>
      <c r="L1527">
        <f>VLOOKUP(Query1[[#This Row],[Description]],'kits to boards'!$B$2:$E$156,2,FALSE)</f>
        <v>830054</v>
      </c>
      <c r="M1527">
        <f>VLOOKUP(Query1[[#This Row],[Description]],'kits to boards'!$B$2:$E$156,3,FALSE)</f>
        <v>0</v>
      </c>
      <c r="N1527">
        <f>VLOOKUP(Query1[[#This Row],[Description]],'kits to boards'!$B$2:$E$156,4,FALSE)</f>
        <v>0</v>
      </c>
      <c r="O1527" t="str">
        <f>CONCATENATE(Query1[[#This Row],[Description]]," - ",Query1[[#This Row],[MB1]]," - ",Query1[[#This Row],[MB2]]," - ",Query1[[#This Row],[MB3]])</f>
        <v>EVAP KIT 55-56 CHEVY - 830054 - 0 - 0</v>
      </c>
    </row>
    <row r="1528" spans="1:15" x14ac:dyDescent="0.25">
      <c r="A1528" s="1">
        <v>912810</v>
      </c>
      <c r="B1528" s="1" t="s">
        <v>106</v>
      </c>
      <c r="C1528" s="1" t="s">
        <v>253</v>
      </c>
      <c r="D1528" s="2">
        <v>44620.481092858798</v>
      </c>
      <c r="E1528" s="1" t="s">
        <v>8</v>
      </c>
      <c r="F1528" s="1">
        <v>1</v>
      </c>
      <c r="G1528" s="1">
        <v>0</v>
      </c>
      <c r="H1528" s="6">
        <f>INT(Query1[[#This Row],[EntryDateTime]])</f>
        <v>44620</v>
      </c>
      <c r="I1528" s="1">
        <f>IF(Query1[[#This Row],[ItemType]]="EVAP KIT SF GEN IV",Query1[[#This Row],[OrderQty]]+I1527,I1527)</f>
        <v>1715</v>
      </c>
      <c r="J1528" s="1">
        <f>IF(Query1[[#This Row],[ItemType]]="EVAP KIT UNIVERSAL",Query1[[#This Row],[OrderQty]]+J1527,J1527)</f>
        <v>761</v>
      </c>
      <c r="K1528" s="1">
        <f>Query1[[#This Row],[SF Running Total]]+Query1[[#This Row],[UNIV Running Total]]</f>
        <v>2476</v>
      </c>
      <c r="L1528">
        <f>VLOOKUP(Query1[[#This Row],[Description]],'kits to boards'!$B$2:$E$156,2,FALSE)</f>
        <v>830028</v>
      </c>
      <c r="M1528">
        <f>VLOOKUP(Query1[[#This Row],[Description]],'kits to boards'!$B$2:$E$156,3,FALSE)</f>
        <v>0</v>
      </c>
      <c r="N1528">
        <f>VLOOKUP(Query1[[#This Row],[Description]],'kits to boards'!$B$2:$E$156,4,FALSE)</f>
        <v>0</v>
      </c>
      <c r="O1528" t="str">
        <f>CONCATENATE(Query1[[#This Row],[Description]]," - ",Query1[[#This Row],[MB1]]," - ",Query1[[#This Row],[MB2]]," - ",Query1[[#This Row],[MB3]])</f>
        <v>EVAP KIT 55-59 CHEV P-UP WO AC W/DELX  - 830028 - 0 - 0</v>
      </c>
    </row>
    <row r="1529" spans="1:15" x14ac:dyDescent="0.25">
      <c r="A1529" s="1">
        <v>912891</v>
      </c>
      <c r="B1529" s="1" t="s">
        <v>44</v>
      </c>
      <c r="C1529" s="1" t="s">
        <v>45</v>
      </c>
      <c r="D1529" s="2">
        <v>44620.482491782408</v>
      </c>
      <c r="E1529" s="1" t="s">
        <v>8</v>
      </c>
      <c r="F1529" s="1">
        <v>1</v>
      </c>
      <c r="G1529" s="1">
        <v>0</v>
      </c>
      <c r="H1529" s="6">
        <f>INT(Query1[[#This Row],[EntryDateTime]])</f>
        <v>44620</v>
      </c>
      <c r="I1529" s="1">
        <f>IF(Query1[[#This Row],[ItemType]]="EVAP KIT SF GEN IV",Query1[[#This Row],[OrderQty]]+I1528,I1528)</f>
        <v>1716</v>
      </c>
      <c r="J1529" s="1">
        <f>IF(Query1[[#This Row],[ItemType]]="EVAP KIT UNIVERSAL",Query1[[#This Row],[OrderQty]]+J1528,J1528)</f>
        <v>761</v>
      </c>
      <c r="K1529" s="1">
        <f>Query1[[#This Row],[SF Running Total]]+Query1[[#This Row],[UNIV Running Total]]</f>
        <v>2477</v>
      </c>
      <c r="L1529">
        <f>VLOOKUP(Query1[[#This Row],[Description]],'kits to boards'!$B$2:$E$156,2,FALSE)</f>
        <v>830085</v>
      </c>
      <c r="M1529">
        <f>VLOOKUP(Query1[[#This Row],[Description]],'kits to boards'!$B$2:$E$156,3,FALSE)</f>
        <v>0</v>
      </c>
      <c r="N1529">
        <f>VLOOKUP(Query1[[#This Row],[Description]],'kits to boards'!$B$2:$E$156,4,FALSE)</f>
        <v>0</v>
      </c>
      <c r="O1529" t="str">
        <f>CONCATENATE(Query1[[#This Row],[Description]]," - ",Query1[[#This Row],[MB1]]," - ",Query1[[#This Row],[MB2]]," - ",Query1[[#This Row],[MB3]])</f>
        <v>EVAP KIT 66-77 BRONCO - 830085 - 0 - 0</v>
      </c>
    </row>
    <row r="1530" spans="1:15" x14ac:dyDescent="0.25">
      <c r="A1530" s="1">
        <v>912893</v>
      </c>
      <c r="B1530" s="1" t="s">
        <v>66</v>
      </c>
      <c r="C1530" s="1" t="s">
        <v>67</v>
      </c>
      <c r="D1530" s="2">
        <v>44620.488331562497</v>
      </c>
      <c r="E1530" s="1" t="s">
        <v>8</v>
      </c>
      <c r="F1530" s="1">
        <v>1</v>
      </c>
      <c r="G1530" s="1">
        <v>0</v>
      </c>
      <c r="H1530" s="6">
        <f>INT(Query1[[#This Row],[EntryDateTime]])</f>
        <v>44620</v>
      </c>
      <c r="I1530" s="1">
        <f>IF(Query1[[#This Row],[ItemType]]="EVAP KIT SF GEN IV",Query1[[#This Row],[OrderQty]]+I1529,I1529)</f>
        <v>1717</v>
      </c>
      <c r="J1530" s="1">
        <f>IF(Query1[[#This Row],[ItemType]]="EVAP KIT UNIVERSAL",Query1[[#This Row],[OrderQty]]+J1529,J1529)</f>
        <v>761</v>
      </c>
      <c r="K1530" s="1">
        <f>Query1[[#This Row],[SF Running Total]]+Query1[[#This Row],[UNIV Running Total]]</f>
        <v>2478</v>
      </c>
      <c r="L1530">
        <f>VLOOKUP(Query1[[#This Row],[Description]],'kits to boards'!$B$2:$E$156,2,FALSE)</f>
        <v>830060</v>
      </c>
      <c r="M1530">
        <f>VLOOKUP(Query1[[#This Row],[Description]],'kits to boards'!$B$2:$E$156,3,FALSE)</f>
        <v>0</v>
      </c>
      <c r="N1530">
        <f>VLOOKUP(Query1[[#This Row],[Description]],'kits to boards'!$B$2:$E$156,4,FALSE)</f>
        <v>0</v>
      </c>
      <c r="O1530" t="str">
        <f>CONCATENATE(Query1[[#This Row],[Description]]," - ",Query1[[#This Row],[MB1]]," - ",Query1[[#This Row],[MB2]]," - ",Query1[[#This Row],[MB3]])</f>
        <v>EVAP KIT 66-67 CHEVELLE WO AC - 830060 - 0 - 0</v>
      </c>
    </row>
    <row r="1531" spans="1:15" x14ac:dyDescent="0.25">
      <c r="A1531" s="1">
        <v>912893</v>
      </c>
      <c r="B1531" s="1" t="s">
        <v>64</v>
      </c>
      <c r="C1531" s="1" t="s">
        <v>65</v>
      </c>
      <c r="D1531" s="2">
        <v>44620.489974270837</v>
      </c>
      <c r="E1531" s="1" t="s">
        <v>8</v>
      </c>
      <c r="F1531" s="1">
        <v>1</v>
      </c>
      <c r="G1531" s="1">
        <v>0</v>
      </c>
      <c r="H1531" s="6">
        <f>INT(Query1[[#This Row],[EntryDateTime]])</f>
        <v>44620</v>
      </c>
      <c r="I1531" s="1">
        <f>IF(Query1[[#This Row],[ItemType]]="EVAP KIT SF GEN IV",Query1[[#This Row],[OrderQty]]+I1530,I1530)</f>
        <v>1718</v>
      </c>
      <c r="J1531" s="1">
        <f>IF(Query1[[#This Row],[ItemType]]="EVAP KIT UNIVERSAL",Query1[[#This Row],[OrderQty]]+J1530,J1530)</f>
        <v>761</v>
      </c>
      <c r="K1531" s="1">
        <f>Query1[[#This Row],[SF Running Total]]+Query1[[#This Row],[UNIV Running Total]]</f>
        <v>2479</v>
      </c>
      <c r="L1531">
        <f>VLOOKUP(Query1[[#This Row],[Description]],'kits to boards'!$B$2:$E$156,2,FALSE)</f>
        <v>830067</v>
      </c>
      <c r="M1531">
        <f>VLOOKUP(Query1[[#This Row],[Description]],'kits to boards'!$B$2:$E$156,3,FALSE)</f>
        <v>0</v>
      </c>
      <c r="N1531">
        <f>VLOOKUP(Query1[[#This Row],[Description]],'kits to boards'!$B$2:$E$156,4,FALSE)</f>
        <v>0</v>
      </c>
      <c r="O1531" t="str">
        <f>CONCATENATE(Query1[[#This Row],[Description]]," - ",Query1[[#This Row],[MB1]]," - ",Query1[[#This Row],[MB2]]," - ",Query1[[#This Row],[MB3]])</f>
        <v>EVAP KIT 59-60 CHEV CAR 4-LEVER - 830067 - 0 - 0</v>
      </c>
    </row>
    <row r="1532" spans="1:15" x14ac:dyDescent="0.25">
      <c r="A1532" s="1">
        <v>912899</v>
      </c>
      <c r="B1532" s="1" t="s">
        <v>192</v>
      </c>
      <c r="C1532" s="1" t="s">
        <v>193</v>
      </c>
      <c r="D1532" s="2">
        <v>44620.495821377313</v>
      </c>
      <c r="E1532" s="1" t="s">
        <v>8</v>
      </c>
      <c r="F1532" s="1">
        <v>1</v>
      </c>
      <c r="G1532" s="1">
        <v>0</v>
      </c>
      <c r="H1532" s="6">
        <f>INT(Query1[[#This Row],[EntryDateTime]])</f>
        <v>44620</v>
      </c>
      <c r="I1532" s="1">
        <f>IF(Query1[[#This Row],[ItemType]]="EVAP KIT SF GEN IV",Query1[[#This Row],[OrderQty]]+I1531,I1531)</f>
        <v>1719</v>
      </c>
      <c r="J1532" s="1">
        <f>IF(Query1[[#This Row],[ItemType]]="EVAP KIT UNIVERSAL",Query1[[#This Row],[OrderQty]]+J1531,J1531)</f>
        <v>761</v>
      </c>
      <c r="K1532" s="1">
        <f>Query1[[#This Row],[SF Running Total]]+Query1[[#This Row],[UNIV Running Total]]</f>
        <v>2480</v>
      </c>
      <c r="L1532">
        <f>VLOOKUP(Query1[[#This Row],[Description]],'kits to boards'!$B$2:$E$156,2,FALSE)</f>
        <v>830094</v>
      </c>
      <c r="M1532">
        <f>VLOOKUP(Query1[[#This Row],[Description]],'kits to boards'!$B$2:$E$156,3,FALSE)</f>
        <v>0</v>
      </c>
      <c r="N1532">
        <f>VLOOKUP(Query1[[#This Row],[Description]],'kits to boards'!$B$2:$E$156,4,FALSE)</f>
        <v>0</v>
      </c>
      <c r="O1532" t="str">
        <f>CONCATENATE(Query1[[#This Row],[Description]]," - ",Query1[[#This Row],[MB1]]," - ",Query1[[#This Row],[MB2]]," - ",Query1[[#This Row],[MB3]])</f>
        <v>EVAP KIT 69-73 VETTE W/AC - 830094 - 0 - 0</v>
      </c>
    </row>
    <row r="1533" spans="1:15" x14ac:dyDescent="0.25">
      <c r="A1533" s="1">
        <v>912910</v>
      </c>
      <c r="B1533" s="1" t="s">
        <v>38</v>
      </c>
      <c r="C1533" s="1" t="s">
        <v>39</v>
      </c>
      <c r="D1533" s="2">
        <v>44620.521048414354</v>
      </c>
      <c r="E1533" s="1" t="s">
        <v>8</v>
      </c>
      <c r="F1533" s="1">
        <v>1</v>
      </c>
      <c r="G1533" s="1">
        <v>0</v>
      </c>
      <c r="H1533" s="6">
        <f>INT(Query1[[#This Row],[EntryDateTime]])</f>
        <v>44620</v>
      </c>
      <c r="I1533" s="1">
        <f>IF(Query1[[#This Row],[ItemType]]="EVAP KIT SF GEN IV",Query1[[#This Row],[OrderQty]]+I1532,I1532)</f>
        <v>1720</v>
      </c>
      <c r="J1533" s="1">
        <f>IF(Query1[[#This Row],[ItemType]]="EVAP KIT UNIVERSAL",Query1[[#This Row],[OrderQty]]+J1532,J1532)</f>
        <v>761</v>
      </c>
      <c r="K1533" s="1">
        <f>Query1[[#This Row],[SF Running Total]]+Query1[[#This Row],[UNIV Running Total]]</f>
        <v>2481</v>
      </c>
      <c r="L1533">
        <f>VLOOKUP(Query1[[#This Row],[Description]],'kits to boards'!$B$2:$E$156,2,FALSE)</f>
        <v>830012</v>
      </c>
      <c r="M1533">
        <f>VLOOKUP(Query1[[#This Row],[Description]],'kits to boards'!$B$2:$E$156,3,FALSE)</f>
        <v>0</v>
      </c>
      <c r="N1533">
        <f>VLOOKUP(Query1[[#This Row],[Description]],'kits to boards'!$B$2:$E$156,4,FALSE)</f>
        <v>0</v>
      </c>
      <c r="O1533" t="str">
        <f>CONCATENATE(Query1[[#This Row],[Description]]," - ",Query1[[#This Row],[MB1]]," - ",Query1[[#This Row],[MB2]]," - ",Query1[[#This Row],[MB3]])</f>
        <v>EVAP KIT 69 CAMARO W/AC - 830012 - 0 - 0</v>
      </c>
    </row>
    <row r="1534" spans="1:15" x14ac:dyDescent="0.25">
      <c r="A1534" s="1">
        <v>912912</v>
      </c>
      <c r="B1534" s="1" t="s">
        <v>62</v>
      </c>
      <c r="C1534" s="1" t="s">
        <v>63</v>
      </c>
      <c r="D1534" s="2">
        <v>44620.525463854166</v>
      </c>
      <c r="E1534" s="1" t="s">
        <v>8</v>
      </c>
      <c r="F1534" s="1">
        <v>1</v>
      </c>
      <c r="G1534" s="1">
        <v>0</v>
      </c>
      <c r="H1534" s="6">
        <f>INT(Query1[[#This Row],[EntryDateTime]])</f>
        <v>44620</v>
      </c>
      <c r="I1534" s="1">
        <f>IF(Query1[[#This Row],[ItemType]]="EVAP KIT SF GEN IV",Query1[[#This Row],[OrderQty]]+I1533,I1533)</f>
        <v>1721</v>
      </c>
      <c r="J1534" s="1">
        <f>IF(Query1[[#This Row],[ItemType]]="EVAP KIT UNIVERSAL",Query1[[#This Row],[OrderQty]]+J1533,J1533)</f>
        <v>761</v>
      </c>
      <c r="K1534" s="1">
        <f>Query1[[#This Row],[SF Running Total]]+Query1[[#This Row],[UNIV Running Total]]</f>
        <v>2482</v>
      </c>
      <c r="L1534">
        <f>VLOOKUP(Query1[[#This Row],[Description]],'kits to boards'!$B$2:$E$156,2,FALSE)</f>
        <v>830079</v>
      </c>
      <c r="M1534">
        <f>VLOOKUP(Query1[[#This Row],[Description]],'kits to boards'!$B$2:$E$156,3,FALSE)</f>
        <v>830046</v>
      </c>
      <c r="N1534">
        <f>VLOOKUP(Query1[[#This Row],[Description]],'kits to boards'!$B$2:$E$156,4,FALSE)</f>
        <v>0</v>
      </c>
      <c r="O1534" t="str">
        <f>CONCATENATE(Query1[[#This Row],[Description]]," - ",Query1[[#This Row],[MB1]]," - ",Query1[[#This Row],[MB2]]," - ",Query1[[#This Row],[MB3]])</f>
        <v>EVAP KIT 67-68 MUSTANG/COUGAR WO AC - 830079 - 830046 - 0</v>
      </c>
    </row>
    <row r="1535" spans="1:15" x14ac:dyDescent="0.25">
      <c r="A1535" s="1">
        <v>912921</v>
      </c>
      <c r="B1535" s="1" t="s">
        <v>60</v>
      </c>
      <c r="C1535" s="1" t="s">
        <v>61</v>
      </c>
      <c r="D1535" s="2">
        <v>44620.540392361108</v>
      </c>
      <c r="E1535" s="1" t="s">
        <v>8</v>
      </c>
      <c r="F1535" s="1">
        <v>1</v>
      </c>
      <c r="G1535" s="1">
        <v>0</v>
      </c>
      <c r="H1535" s="6">
        <f>INT(Query1[[#This Row],[EntryDateTime]])</f>
        <v>44620</v>
      </c>
      <c r="I1535" s="1">
        <f>IF(Query1[[#This Row],[ItemType]]="EVAP KIT SF GEN IV",Query1[[#This Row],[OrderQty]]+I1534,I1534)</f>
        <v>1722</v>
      </c>
      <c r="J1535" s="1">
        <f>IF(Query1[[#This Row],[ItemType]]="EVAP KIT UNIVERSAL",Query1[[#This Row],[OrderQty]]+J1534,J1534)</f>
        <v>761</v>
      </c>
      <c r="K1535" s="1">
        <f>Query1[[#This Row],[SF Running Total]]+Query1[[#This Row],[UNIV Running Total]]</f>
        <v>2483</v>
      </c>
      <c r="L1535">
        <f>VLOOKUP(Query1[[#This Row],[Description]],'kits to boards'!$B$2:$E$156,2,FALSE)</f>
        <v>830062</v>
      </c>
      <c r="M1535">
        <f>VLOOKUP(Query1[[#This Row],[Description]],'kits to boards'!$B$2:$E$156,3,FALSE)</f>
        <v>0</v>
      </c>
      <c r="N1535">
        <f>VLOOKUP(Query1[[#This Row],[Description]],'kits to boards'!$B$2:$E$156,4,FALSE)</f>
        <v>0</v>
      </c>
      <c r="O1535" t="str">
        <f>CONCATENATE(Query1[[#This Row],[Description]]," - ",Query1[[#This Row],[MB1]]," - ",Query1[[#This Row],[MB2]]," - ",Query1[[#This Row],[MB3]])</f>
        <v>EVAP KIT 68-69 CHEVELLE WO AC - 830062 - 0 - 0</v>
      </c>
    </row>
    <row r="1536" spans="1:15" x14ac:dyDescent="0.25">
      <c r="A1536" s="1">
        <v>912929</v>
      </c>
      <c r="B1536" s="1" t="s">
        <v>108</v>
      </c>
      <c r="C1536" s="1" t="s">
        <v>109</v>
      </c>
      <c r="D1536" s="2">
        <v>44620.548952777775</v>
      </c>
      <c r="E1536" s="1" t="s">
        <v>8</v>
      </c>
      <c r="F1536" s="1">
        <v>1</v>
      </c>
      <c r="G1536" s="1">
        <v>0</v>
      </c>
      <c r="H1536" s="6">
        <f>INT(Query1[[#This Row],[EntryDateTime]])</f>
        <v>44620</v>
      </c>
      <c r="I1536" s="1">
        <f>IF(Query1[[#This Row],[ItemType]]="EVAP KIT SF GEN IV",Query1[[#This Row],[OrderQty]]+I1535,I1535)</f>
        <v>1723</v>
      </c>
      <c r="J1536" s="1">
        <f>IF(Query1[[#This Row],[ItemType]]="EVAP KIT UNIVERSAL",Query1[[#This Row],[OrderQty]]+J1535,J1535)</f>
        <v>761</v>
      </c>
      <c r="K1536" s="1">
        <f>Query1[[#This Row],[SF Running Total]]+Query1[[#This Row],[UNIV Running Total]]</f>
        <v>2484</v>
      </c>
      <c r="L1536">
        <f>VLOOKUP(Query1[[#This Row],[Description]],'kits to boards'!$B$2:$E$156,2,FALSE)</f>
        <v>830105</v>
      </c>
      <c r="M1536">
        <f>VLOOKUP(Query1[[#This Row],[Description]],'kits to boards'!$B$2:$E$156,3,FALSE)</f>
        <v>830106</v>
      </c>
      <c r="N1536">
        <f>VLOOKUP(Query1[[#This Row],[Description]],'kits to boards'!$B$2:$E$156,4,FALSE)</f>
        <v>0</v>
      </c>
      <c r="O1536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1537" spans="1:15" x14ac:dyDescent="0.25">
      <c r="A1537" s="1">
        <v>912944</v>
      </c>
      <c r="B1537" s="1" t="s">
        <v>102</v>
      </c>
      <c r="C1537" s="1" t="s">
        <v>103</v>
      </c>
      <c r="D1537" s="2">
        <v>44620.566959988428</v>
      </c>
      <c r="E1537" s="1" t="s">
        <v>8</v>
      </c>
      <c r="F1537" s="1">
        <v>1</v>
      </c>
      <c r="G1537" s="1">
        <v>0</v>
      </c>
      <c r="H1537" s="6">
        <f>INT(Query1[[#This Row],[EntryDateTime]])</f>
        <v>44620</v>
      </c>
      <c r="I1537" s="1">
        <f>IF(Query1[[#This Row],[ItemType]]="EVAP KIT SF GEN IV",Query1[[#This Row],[OrderQty]]+I1536,I1536)</f>
        <v>1724</v>
      </c>
      <c r="J1537" s="1">
        <f>IF(Query1[[#This Row],[ItemType]]="EVAP KIT UNIVERSAL",Query1[[#This Row],[OrderQty]]+J1536,J1536)</f>
        <v>761</v>
      </c>
      <c r="K1537" s="1">
        <f>Query1[[#This Row],[SF Running Total]]+Query1[[#This Row],[UNIV Running Total]]</f>
        <v>2485</v>
      </c>
      <c r="L1537">
        <f>VLOOKUP(Query1[[#This Row],[Description]],'kits to boards'!$B$2:$E$156,2,FALSE)</f>
        <v>830012</v>
      </c>
      <c r="M1537">
        <f>VLOOKUP(Query1[[#This Row],[Description]],'kits to boards'!$B$2:$E$156,3,FALSE)</f>
        <v>0</v>
      </c>
      <c r="N1537">
        <f>VLOOKUP(Query1[[#This Row],[Description]],'kits to boards'!$B$2:$E$156,4,FALSE)</f>
        <v>0</v>
      </c>
      <c r="O1537" t="str">
        <f>CONCATENATE(Query1[[#This Row],[Description]]," - ",Query1[[#This Row],[MB1]]," - ",Query1[[#This Row],[MB2]]," - ",Query1[[#This Row],[MB3]])</f>
        <v>EVAP KIT 69 CAMARO WO/AC - 830012 - 0 - 0</v>
      </c>
    </row>
    <row r="1538" spans="1:15" x14ac:dyDescent="0.25">
      <c r="A1538" s="1">
        <v>912946</v>
      </c>
      <c r="B1538" s="1" t="s">
        <v>26</v>
      </c>
      <c r="C1538" s="1" t="s">
        <v>27</v>
      </c>
      <c r="D1538" s="2">
        <v>44620.568890891205</v>
      </c>
      <c r="E1538" s="1" t="s">
        <v>8</v>
      </c>
      <c r="F1538" s="1">
        <v>1</v>
      </c>
      <c r="G1538" s="1">
        <v>0</v>
      </c>
      <c r="H1538" s="6">
        <f>INT(Query1[[#This Row],[EntryDateTime]])</f>
        <v>44620</v>
      </c>
      <c r="I1538" s="1">
        <f>IF(Query1[[#This Row],[ItemType]]="EVAP KIT SF GEN IV",Query1[[#This Row],[OrderQty]]+I1537,I1537)</f>
        <v>1725</v>
      </c>
      <c r="J1538" s="1">
        <f>IF(Query1[[#This Row],[ItemType]]="EVAP KIT UNIVERSAL",Query1[[#This Row],[OrderQty]]+J1537,J1537)</f>
        <v>761</v>
      </c>
      <c r="K1538" s="1">
        <f>Query1[[#This Row],[SF Running Total]]+Query1[[#This Row],[UNIV Running Total]]</f>
        <v>2486</v>
      </c>
      <c r="L1538">
        <f>VLOOKUP(Query1[[#This Row],[Description]],'kits to boards'!$B$2:$E$156,2,FALSE)</f>
        <v>830013</v>
      </c>
      <c r="M1538">
        <f>VLOOKUP(Query1[[#This Row],[Description]],'kits to boards'!$B$2:$E$156,3,FALSE)</f>
        <v>0</v>
      </c>
      <c r="N1538">
        <f>VLOOKUP(Query1[[#This Row],[Description]],'kits to boards'!$B$2:$E$156,4,FALSE)</f>
        <v>0</v>
      </c>
      <c r="O1538" t="str">
        <f>CONCATENATE(Query1[[#This Row],[Description]]," - ",Query1[[#This Row],[MB1]]," - ",Query1[[#This Row],[MB2]]," - ",Query1[[#This Row],[MB3]])</f>
        <v>EVAP KIT 67-72 CHEV P-UP W/AC - 830013 - 0 - 0</v>
      </c>
    </row>
    <row r="1539" spans="1:15" x14ac:dyDescent="0.25">
      <c r="A1539" s="1">
        <v>912947</v>
      </c>
      <c r="B1539" s="1" t="s">
        <v>30</v>
      </c>
      <c r="C1539" s="1" t="s">
        <v>31</v>
      </c>
      <c r="D1539" s="2">
        <v>44620.570044178239</v>
      </c>
      <c r="E1539" s="1" t="s">
        <v>8</v>
      </c>
      <c r="F1539" s="1">
        <v>1</v>
      </c>
      <c r="G1539" s="1">
        <v>0</v>
      </c>
      <c r="H1539" s="6">
        <f>INT(Query1[[#This Row],[EntryDateTime]])</f>
        <v>44620</v>
      </c>
      <c r="I1539" s="1">
        <f>IF(Query1[[#This Row],[ItemType]]="EVAP KIT SF GEN IV",Query1[[#This Row],[OrderQty]]+I1538,I1538)</f>
        <v>1726</v>
      </c>
      <c r="J1539" s="1">
        <f>IF(Query1[[#This Row],[ItemType]]="EVAP KIT UNIVERSAL",Query1[[#This Row],[OrderQty]]+J1538,J1538)</f>
        <v>761</v>
      </c>
      <c r="K1539" s="1">
        <f>Query1[[#This Row],[SF Running Total]]+Query1[[#This Row],[UNIV Running Total]]</f>
        <v>2487</v>
      </c>
      <c r="L1539">
        <f>VLOOKUP(Query1[[#This Row],[Description]],'kits to boards'!$B$2:$E$156,2,FALSE)</f>
        <v>830054</v>
      </c>
      <c r="M1539">
        <f>VLOOKUP(Query1[[#This Row],[Description]],'kits to boards'!$B$2:$E$156,3,FALSE)</f>
        <v>0</v>
      </c>
      <c r="N1539">
        <f>VLOOKUP(Query1[[#This Row],[Description]],'kits to boards'!$B$2:$E$156,4,FALSE)</f>
        <v>0</v>
      </c>
      <c r="O1539" t="str">
        <f>CONCATENATE(Query1[[#This Row],[Description]]," - ",Query1[[#This Row],[MB1]]," - ",Query1[[#This Row],[MB2]]," - ",Query1[[#This Row],[MB3]])</f>
        <v>EVAP KIT 55-56 CHEVY 4-VENT - 830054 - 0 - 0</v>
      </c>
    </row>
    <row r="1540" spans="1:15" x14ac:dyDescent="0.25">
      <c r="A1540" s="1">
        <v>912502</v>
      </c>
      <c r="B1540" s="1" t="s">
        <v>160</v>
      </c>
      <c r="C1540" s="1" t="s">
        <v>161</v>
      </c>
      <c r="D1540" s="2">
        <v>44620.57109513889</v>
      </c>
      <c r="E1540" s="1" t="s">
        <v>8</v>
      </c>
      <c r="F1540" s="1">
        <v>1</v>
      </c>
      <c r="G1540" s="1">
        <v>0</v>
      </c>
      <c r="H1540" s="6">
        <f>INT(Query1[[#This Row],[EntryDateTime]])</f>
        <v>44620</v>
      </c>
      <c r="I1540" s="1">
        <f>IF(Query1[[#This Row],[ItemType]]="EVAP KIT SF GEN IV",Query1[[#This Row],[OrderQty]]+I1539,I1539)</f>
        <v>1727</v>
      </c>
      <c r="J1540" s="1">
        <f>IF(Query1[[#This Row],[ItemType]]="EVAP KIT UNIVERSAL",Query1[[#This Row],[OrderQty]]+J1539,J1539)</f>
        <v>761</v>
      </c>
      <c r="K1540" s="1">
        <f>Query1[[#This Row],[SF Running Total]]+Query1[[#This Row],[UNIV Running Total]]</f>
        <v>2488</v>
      </c>
      <c r="L1540">
        <f>VLOOKUP(Query1[[#This Row],[Description]],'kits to boards'!$B$2:$E$156,2,FALSE)</f>
        <v>830083</v>
      </c>
      <c r="M1540">
        <f>VLOOKUP(Query1[[#This Row],[Description]],'kits to boards'!$B$2:$E$156,3,FALSE)</f>
        <v>0</v>
      </c>
      <c r="N1540">
        <f>VLOOKUP(Query1[[#This Row],[Description]],'kits to boards'!$B$2:$E$156,4,FALSE)</f>
        <v>0</v>
      </c>
      <c r="O1540" t="str">
        <f>CONCATENATE(Query1[[#This Row],[Description]]," - ",Query1[[#This Row],[MB1]]," - ",Query1[[#This Row],[MB2]]," - ",Query1[[#This Row],[MB3]])</f>
        <v>EVAP KIT 70-74 CHALNGR/CUDA WO AC - 830083 - 0 - 0</v>
      </c>
    </row>
    <row r="1541" spans="1:15" x14ac:dyDescent="0.25">
      <c r="A1541" s="1">
        <v>912952</v>
      </c>
      <c r="B1541" s="1" t="s">
        <v>60</v>
      </c>
      <c r="C1541" s="1" t="s">
        <v>61</v>
      </c>
      <c r="D1541" s="2">
        <v>44620.579277546298</v>
      </c>
      <c r="E1541" s="1" t="s">
        <v>8</v>
      </c>
      <c r="F1541" s="1">
        <v>1</v>
      </c>
      <c r="G1541" s="1">
        <v>0</v>
      </c>
      <c r="H1541" s="6">
        <f>INT(Query1[[#This Row],[EntryDateTime]])</f>
        <v>44620</v>
      </c>
      <c r="I1541" s="1">
        <f>IF(Query1[[#This Row],[ItemType]]="EVAP KIT SF GEN IV",Query1[[#This Row],[OrderQty]]+I1540,I1540)</f>
        <v>1728</v>
      </c>
      <c r="J1541" s="1">
        <f>IF(Query1[[#This Row],[ItemType]]="EVAP KIT UNIVERSAL",Query1[[#This Row],[OrderQty]]+J1540,J1540)</f>
        <v>761</v>
      </c>
      <c r="K1541" s="1">
        <f>Query1[[#This Row],[SF Running Total]]+Query1[[#This Row],[UNIV Running Total]]</f>
        <v>2489</v>
      </c>
      <c r="L1541">
        <f>VLOOKUP(Query1[[#This Row],[Description]],'kits to boards'!$B$2:$E$156,2,FALSE)</f>
        <v>830062</v>
      </c>
      <c r="M1541">
        <f>VLOOKUP(Query1[[#This Row],[Description]],'kits to boards'!$B$2:$E$156,3,FALSE)</f>
        <v>0</v>
      </c>
      <c r="N1541">
        <f>VLOOKUP(Query1[[#This Row],[Description]],'kits to boards'!$B$2:$E$156,4,FALSE)</f>
        <v>0</v>
      </c>
      <c r="O1541" t="str">
        <f>CONCATENATE(Query1[[#This Row],[Description]]," - ",Query1[[#This Row],[MB1]]," - ",Query1[[#This Row],[MB2]]," - ",Query1[[#This Row],[MB3]])</f>
        <v>EVAP KIT 68-69 CHEVELLE WO AC - 830062 - 0 - 0</v>
      </c>
    </row>
    <row r="1542" spans="1:15" x14ac:dyDescent="0.25">
      <c r="A1542" s="1">
        <v>912954</v>
      </c>
      <c r="B1542" s="1" t="s">
        <v>112</v>
      </c>
      <c r="C1542" s="1" t="s">
        <v>113</v>
      </c>
      <c r="D1542" s="2">
        <v>44620.583024571759</v>
      </c>
      <c r="E1542" s="1" t="s">
        <v>8</v>
      </c>
      <c r="F1542" s="1">
        <v>1</v>
      </c>
      <c r="G1542" s="1">
        <v>0</v>
      </c>
      <c r="H1542" s="6">
        <f>INT(Query1[[#This Row],[EntryDateTime]])</f>
        <v>44620</v>
      </c>
      <c r="I1542" s="1">
        <f>IF(Query1[[#This Row],[ItemType]]="EVAP KIT SF GEN IV",Query1[[#This Row],[OrderQty]]+I1541,I1541)</f>
        <v>1729</v>
      </c>
      <c r="J1542" s="1">
        <f>IF(Query1[[#This Row],[ItemType]]="EVAP KIT UNIVERSAL",Query1[[#This Row],[OrderQty]]+J1541,J1541)</f>
        <v>761</v>
      </c>
      <c r="K1542" s="1">
        <f>Query1[[#This Row],[SF Running Total]]+Query1[[#This Row],[UNIV Running Total]]</f>
        <v>2490</v>
      </c>
      <c r="L1542">
        <f>VLOOKUP(Query1[[#This Row],[Description]],'kits to boards'!$B$2:$E$156,2,FALSE)</f>
        <v>830063</v>
      </c>
      <c r="M1542">
        <f>VLOOKUP(Query1[[#This Row],[Description]],'kits to boards'!$B$2:$E$156,3,FALSE)</f>
        <v>0</v>
      </c>
      <c r="N1542">
        <f>VLOOKUP(Query1[[#This Row],[Description]],'kits to boards'!$B$2:$E$156,4,FALSE)</f>
        <v>0</v>
      </c>
      <c r="O1542" t="str">
        <f>CONCATENATE(Query1[[#This Row],[Description]]," - ",Query1[[#This Row],[MB1]]," - ",Query1[[#This Row],[MB2]]," - ",Query1[[#This Row],[MB3]])</f>
        <v>EVAP KIT 54-55 CHEV P-UP GEN IV - 830063 - 0 - 0</v>
      </c>
    </row>
    <row r="1543" spans="1:15" x14ac:dyDescent="0.25">
      <c r="A1543" s="1">
        <v>912977</v>
      </c>
      <c r="B1543" s="1" t="s">
        <v>48</v>
      </c>
      <c r="C1543" s="1" t="s">
        <v>49</v>
      </c>
      <c r="D1543" s="2">
        <v>44620.612479050928</v>
      </c>
      <c r="E1543" s="1" t="s">
        <v>8</v>
      </c>
      <c r="F1543" s="1">
        <v>1</v>
      </c>
      <c r="G1543" s="1">
        <v>0</v>
      </c>
      <c r="H1543" s="6">
        <f>INT(Query1[[#This Row],[EntryDateTime]])</f>
        <v>44620</v>
      </c>
      <c r="I1543" s="1">
        <f>IF(Query1[[#This Row],[ItemType]]="EVAP KIT SF GEN IV",Query1[[#This Row],[OrderQty]]+I1542,I1542)</f>
        <v>1730</v>
      </c>
      <c r="J1543" s="1">
        <f>IF(Query1[[#This Row],[ItemType]]="EVAP KIT UNIVERSAL",Query1[[#This Row],[OrderQty]]+J1542,J1542)</f>
        <v>761</v>
      </c>
      <c r="K1543" s="1">
        <f>Query1[[#This Row],[SF Running Total]]+Query1[[#This Row],[UNIV Running Total]]</f>
        <v>2491</v>
      </c>
      <c r="L1543">
        <f>VLOOKUP(Query1[[#This Row],[Description]],'kits to boards'!$B$2:$E$156,2,FALSE)</f>
        <v>830015</v>
      </c>
      <c r="M1543">
        <f>VLOOKUP(Query1[[#This Row],[Description]],'kits to boards'!$B$2:$E$156,3,FALSE)</f>
        <v>0</v>
      </c>
      <c r="N1543">
        <f>VLOOKUP(Query1[[#This Row],[Description]],'kits to boards'!$B$2:$E$156,4,FALSE)</f>
        <v>0</v>
      </c>
      <c r="O1543" t="str">
        <f>CONCATENATE(Query1[[#This Row],[Description]]," - ",Query1[[#This Row],[MB1]]," - ",Query1[[#This Row],[MB2]]," - ",Query1[[#This Row],[MB3]])</f>
        <v>EVAP KIT 64-66 CHEV P-UP WO AC W/DELX - 830015 - 0 - 0</v>
      </c>
    </row>
    <row r="1544" spans="1:15" x14ac:dyDescent="0.25">
      <c r="A1544" s="1">
        <v>912965</v>
      </c>
      <c r="B1544" s="1" t="s">
        <v>42</v>
      </c>
      <c r="C1544" s="1" t="s">
        <v>43</v>
      </c>
      <c r="D1544" s="2">
        <v>44620.624929201389</v>
      </c>
      <c r="E1544" s="1" t="s">
        <v>8</v>
      </c>
      <c r="F1544" s="1">
        <v>1</v>
      </c>
      <c r="G1544" s="1">
        <v>0</v>
      </c>
      <c r="H1544" s="6">
        <f>INT(Query1[[#This Row],[EntryDateTime]])</f>
        <v>44620</v>
      </c>
      <c r="I1544" s="1">
        <f>IF(Query1[[#This Row],[ItemType]]="EVAP KIT SF GEN IV",Query1[[#This Row],[OrderQty]]+I1543,I1543)</f>
        <v>1731</v>
      </c>
      <c r="J1544" s="1">
        <f>IF(Query1[[#This Row],[ItemType]]="EVAP KIT UNIVERSAL",Query1[[#This Row],[OrderQty]]+J1543,J1543)</f>
        <v>761</v>
      </c>
      <c r="K1544" s="1">
        <f>Query1[[#This Row],[SF Running Total]]+Query1[[#This Row],[UNIV Running Total]]</f>
        <v>2492</v>
      </c>
      <c r="L1544">
        <f>VLOOKUP(Query1[[#This Row],[Description]],'kits to boards'!$B$2:$E$156,2,FALSE)</f>
        <v>830014</v>
      </c>
      <c r="M1544">
        <f>VLOOKUP(Query1[[#This Row],[Description]],'kits to boards'!$B$2:$E$156,3,FALSE)</f>
        <v>0</v>
      </c>
      <c r="N1544">
        <f>VLOOKUP(Query1[[#This Row],[Description]],'kits to boards'!$B$2:$E$156,4,FALSE)</f>
        <v>0</v>
      </c>
      <c r="O1544" t="str">
        <f>CONCATENATE(Query1[[#This Row],[Description]]," - ",Query1[[#This Row],[MB1]]," - ",Query1[[#This Row],[MB2]]," - ",Query1[[#This Row],[MB3]])</f>
        <v>EVAP KIT 67-72 CHEV P-UP WO AC - 830014 - 0 - 0</v>
      </c>
    </row>
    <row r="1545" spans="1:15" x14ac:dyDescent="0.25">
      <c r="A1545" s="1">
        <v>912984</v>
      </c>
      <c r="B1545" s="1" t="s">
        <v>52</v>
      </c>
      <c r="C1545" s="1" t="s">
        <v>53</v>
      </c>
      <c r="D1545" s="2">
        <v>44620.625790706021</v>
      </c>
      <c r="E1545" s="1" t="s">
        <v>8</v>
      </c>
      <c r="F1545" s="1">
        <v>1</v>
      </c>
      <c r="G1545" s="1">
        <v>0</v>
      </c>
      <c r="H1545" s="6">
        <f>INT(Query1[[#This Row],[EntryDateTime]])</f>
        <v>44620</v>
      </c>
      <c r="I1545" s="1">
        <f>IF(Query1[[#This Row],[ItemType]]="EVAP KIT SF GEN IV",Query1[[#This Row],[OrderQty]]+I1544,I1544)</f>
        <v>1732</v>
      </c>
      <c r="J1545" s="1">
        <f>IF(Query1[[#This Row],[ItemType]]="EVAP KIT UNIVERSAL",Query1[[#This Row],[OrderQty]]+J1544,J1544)</f>
        <v>761</v>
      </c>
      <c r="K1545" s="1">
        <f>Query1[[#This Row],[SF Running Total]]+Query1[[#This Row],[UNIV Running Total]]</f>
        <v>2493</v>
      </c>
      <c r="L1545">
        <f>VLOOKUP(Query1[[#This Row],[Description]],'kits to boards'!$B$2:$E$156,2,FALSE)</f>
        <v>830017</v>
      </c>
      <c r="M1545">
        <f>VLOOKUP(Query1[[#This Row],[Description]],'kits to boards'!$B$2:$E$156,3,FALSE)</f>
        <v>830119</v>
      </c>
      <c r="N1545">
        <f>VLOOKUP(Query1[[#This Row],[Description]],'kits to boards'!$B$2:$E$156,4,FALSE)</f>
        <v>830120</v>
      </c>
      <c r="O1545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1546" spans="1:15" x14ac:dyDescent="0.25">
      <c r="A1546" s="1">
        <v>912986</v>
      </c>
      <c r="B1546" s="1" t="s">
        <v>56</v>
      </c>
      <c r="C1546" s="1" t="s">
        <v>57</v>
      </c>
      <c r="D1546" s="2">
        <v>44620.629727743057</v>
      </c>
      <c r="E1546" s="1" t="s">
        <v>8</v>
      </c>
      <c r="F1546" s="1">
        <v>1</v>
      </c>
      <c r="G1546" s="1">
        <v>0</v>
      </c>
      <c r="H1546" s="6">
        <f>INT(Query1[[#This Row],[EntryDateTime]])</f>
        <v>44620</v>
      </c>
      <c r="I1546" s="1">
        <f>IF(Query1[[#This Row],[ItemType]]="EVAP KIT SF GEN IV",Query1[[#This Row],[OrderQty]]+I1545,I1545)</f>
        <v>1733</v>
      </c>
      <c r="J1546" s="1">
        <f>IF(Query1[[#This Row],[ItemType]]="EVAP KIT UNIVERSAL",Query1[[#This Row],[OrderQty]]+J1545,J1545)</f>
        <v>761</v>
      </c>
      <c r="K1546" s="1">
        <f>Query1[[#This Row],[SF Running Total]]+Query1[[#This Row],[UNIV Running Total]]</f>
        <v>2494</v>
      </c>
      <c r="L1546">
        <f>VLOOKUP(Query1[[#This Row],[Description]],'kits to boards'!$B$2:$E$156,2,FALSE)</f>
        <v>830011</v>
      </c>
      <c r="M1546">
        <f>VLOOKUP(Query1[[#This Row],[Description]],'kits to boards'!$B$2:$E$156,3,FALSE)</f>
        <v>0</v>
      </c>
      <c r="N1546">
        <f>VLOOKUP(Query1[[#This Row],[Description]],'kits to boards'!$B$2:$E$156,4,FALSE)</f>
        <v>0</v>
      </c>
      <c r="O1546" t="str">
        <f>CONCATENATE(Query1[[#This Row],[Description]]," - ",Query1[[#This Row],[MB1]]," - ",Query1[[#This Row],[MB2]]," - ",Query1[[#This Row],[MB3]])</f>
        <v>EVAP KIT 70-72 CHEVELLE W/AC - 830011 - 0 - 0</v>
      </c>
    </row>
    <row r="1547" spans="1:15" x14ac:dyDescent="0.25">
      <c r="A1547" s="1">
        <v>912989</v>
      </c>
      <c r="B1547" s="1" t="s">
        <v>26</v>
      </c>
      <c r="C1547" s="1" t="s">
        <v>27</v>
      </c>
      <c r="D1547" s="2">
        <v>44620.635127199072</v>
      </c>
      <c r="E1547" s="1" t="s">
        <v>8</v>
      </c>
      <c r="F1547" s="1">
        <v>1</v>
      </c>
      <c r="G1547" s="1">
        <v>0</v>
      </c>
      <c r="H1547" s="6">
        <f>INT(Query1[[#This Row],[EntryDateTime]])</f>
        <v>44620</v>
      </c>
      <c r="I1547" s="1">
        <f>IF(Query1[[#This Row],[ItemType]]="EVAP KIT SF GEN IV",Query1[[#This Row],[OrderQty]]+I1546,I1546)</f>
        <v>1734</v>
      </c>
      <c r="J1547" s="1">
        <f>IF(Query1[[#This Row],[ItemType]]="EVAP KIT UNIVERSAL",Query1[[#This Row],[OrderQty]]+J1546,J1546)</f>
        <v>761</v>
      </c>
      <c r="K1547" s="1">
        <f>Query1[[#This Row],[SF Running Total]]+Query1[[#This Row],[UNIV Running Total]]</f>
        <v>2495</v>
      </c>
      <c r="L1547">
        <f>VLOOKUP(Query1[[#This Row],[Description]],'kits to boards'!$B$2:$E$156,2,FALSE)</f>
        <v>830013</v>
      </c>
      <c r="M1547">
        <f>VLOOKUP(Query1[[#This Row],[Description]],'kits to boards'!$B$2:$E$156,3,FALSE)</f>
        <v>0</v>
      </c>
      <c r="N1547">
        <f>VLOOKUP(Query1[[#This Row],[Description]],'kits to boards'!$B$2:$E$156,4,FALSE)</f>
        <v>0</v>
      </c>
      <c r="O1547" t="str">
        <f>CONCATENATE(Query1[[#This Row],[Description]]," - ",Query1[[#This Row],[MB1]]," - ",Query1[[#This Row],[MB2]]," - ",Query1[[#This Row],[MB3]])</f>
        <v>EVAP KIT 67-72 CHEV P-UP W/AC - 830013 - 0 - 0</v>
      </c>
    </row>
    <row r="1548" spans="1:15" x14ac:dyDescent="0.25">
      <c r="A1548" s="1">
        <v>912991</v>
      </c>
      <c r="B1548" s="1" t="s">
        <v>12</v>
      </c>
      <c r="C1548" s="1" t="s">
        <v>13</v>
      </c>
      <c r="D1548" s="2">
        <v>44620.63715732639</v>
      </c>
      <c r="E1548" s="1" t="s">
        <v>8</v>
      </c>
      <c r="F1548" s="1">
        <v>3</v>
      </c>
      <c r="G1548" s="1">
        <v>0</v>
      </c>
      <c r="H1548" s="6">
        <f>INT(Query1[[#This Row],[EntryDateTime]])</f>
        <v>44620</v>
      </c>
      <c r="I1548" s="1">
        <f>IF(Query1[[#This Row],[ItemType]]="EVAP KIT SF GEN IV",Query1[[#This Row],[OrderQty]]+I1547,I1547)</f>
        <v>1737</v>
      </c>
      <c r="J1548" s="1">
        <f>IF(Query1[[#This Row],[ItemType]]="EVAP KIT UNIVERSAL",Query1[[#This Row],[OrderQty]]+J1547,J1547)</f>
        <v>761</v>
      </c>
      <c r="K1548" s="1">
        <f>Query1[[#This Row],[SF Running Total]]+Query1[[#This Row],[UNIV Running Total]]</f>
        <v>2498</v>
      </c>
      <c r="L1548">
        <f>VLOOKUP(Query1[[#This Row],[Description]],'kits to boards'!$B$2:$E$156,2,FALSE)</f>
        <v>830079</v>
      </c>
      <c r="M1548">
        <f>VLOOKUP(Query1[[#This Row],[Description]],'kits to boards'!$B$2:$E$156,3,FALSE)</f>
        <v>830046</v>
      </c>
      <c r="N1548">
        <f>VLOOKUP(Query1[[#This Row],[Description]],'kits to boards'!$B$2:$E$156,4,FALSE)</f>
        <v>0</v>
      </c>
      <c r="O1548" t="str">
        <f>CONCATENATE(Query1[[#This Row],[Description]]," - ",Query1[[#This Row],[MB1]]," - ",Query1[[#This Row],[MB2]]," - ",Query1[[#This Row],[MB3]])</f>
        <v>EVAP KIT 67-68 MUSTANG/COUGAR W/AC - 830079 - 830046 - 0</v>
      </c>
    </row>
    <row r="1549" spans="1:15" x14ac:dyDescent="0.25">
      <c r="A1549" s="1">
        <v>912920</v>
      </c>
      <c r="B1549" s="1" t="s">
        <v>256</v>
      </c>
      <c r="C1549" s="1" t="s">
        <v>257</v>
      </c>
      <c r="D1549" s="2">
        <v>44620.65241732639</v>
      </c>
      <c r="E1549" s="1" t="s">
        <v>8</v>
      </c>
      <c r="F1549" s="1">
        <v>1</v>
      </c>
      <c r="G1549" s="1">
        <v>0</v>
      </c>
      <c r="H1549" s="6">
        <f>INT(Query1[[#This Row],[EntryDateTime]])</f>
        <v>44620</v>
      </c>
      <c r="I1549" s="1">
        <f>IF(Query1[[#This Row],[ItemType]]="EVAP KIT SF GEN IV",Query1[[#This Row],[OrderQty]]+I1548,I1548)</f>
        <v>1738</v>
      </c>
      <c r="J1549" s="1">
        <f>IF(Query1[[#This Row],[ItemType]]="EVAP KIT UNIVERSAL",Query1[[#This Row],[OrderQty]]+J1548,J1548)</f>
        <v>761</v>
      </c>
      <c r="K1549" s="1">
        <f>Query1[[#This Row],[SF Running Total]]+Query1[[#This Row],[UNIV Running Total]]</f>
        <v>2499</v>
      </c>
      <c r="L1549">
        <f>VLOOKUP(Query1[[#This Row],[Description]],'kits to boards'!$B$2:$E$156,2,FALSE)</f>
        <v>830025</v>
      </c>
      <c r="M1549">
        <f>VLOOKUP(Query1[[#This Row],[Description]],'kits to boards'!$B$2:$E$156,3,FALSE)</f>
        <v>830022</v>
      </c>
      <c r="N1549">
        <f>VLOOKUP(Query1[[#This Row],[Description]],'kits to boards'!$B$2:$E$156,4,FALSE)</f>
        <v>0</v>
      </c>
      <c r="O1549" t="str">
        <f>CONCATENATE(Query1[[#This Row],[Description]]," - ",Query1[[#This Row],[MB1]]," - ",Query1[[#This Row],[MB2]]," - ",Query1[[#This Row],[MB3]])</f>
        <v>EVAP KIT 68-69 CUTLASS W/AC - 830025 - 830022 - 0</v>
      </c>
    </row>
    <row r="1550" spans="1:15" x14ac:dyDescent="0.25">
      <c r="A1550" s="1">
        <v>913001</v>
      </c>
      <c r="B1550" s="1" t="s">
        <v>42</v>
      </c>
      <c r="C1550" s="1" t="s">
        <v>43</v>
      </c>
      <c r="D1550" s="2">
        <v>44620.65429583333</v>
      </c>
      <c r="E1550" s="1" t="s">
        <v>8</v>
      </c>
      <c r="F1550" s="1">
        <v>1</v>
      </c>
      <c r="G1550" s="1">
        <v>0</v>
      </c>
      <c r="H1550" s="6">
        <f>INT(Query1[[#This Row],[EntryDateTime]])</f>
        <v>44620</v>
      </c>
      <c r="I1550" s="1">
        <f>IF(Query1[[#This Row],[ItemType]]="EVAP KIT SF GEN IV",Query1[[#This Row],[OrderQty]]+I1549,I1549)</f>
        <v>1739</v>
      </c>
      <c r="J1550" s="1">
        <f>IF(Query1[[#This Row],[ItemType]]="EVAP KIT UNIVERSAL",Query1[[#This Row],[OrderQty]]+J1549,J1549)</f>
        <v>761</v>
      </c>
      <c r="K1550" s="1">
        <f>Query1[[#This Row],[SF Running Total]]+Query1[[#This Row],[UNIV Running Total]]</f>
        <v>2500</v>
      </c>
      <c r="L1550">
        <f>VLOOKUP(Query1[[#This Row],[Description]],'kits to boards'!$B$2:$E$156,2,FALSE)</f>
        <v>830014</v>
      </c>
      <c r="M1550">
        <f>VLOOKUP(Query1[[#This Row],[Description]],'kits to boards'!$B$2:$E$156,3,FALSE)</f>
        <v>0</v>
      </c>
      <c r="N1550">
        <f>VLOOKUP(Query1[[#This Row],[Description]],'kits to boards'!$B$2:$E$156,4,FALSE)</f>
        <v>0</v>
      </c>
      <c r="O1550" t="str">
        <f>CONCATENATE(Query1[[#This Row],[Description]]," - ",Query1[[#This Row],[MB1]]," - ",Query1[[#This Row],[MB2]]," - ",Query1[[#This Row],[MB3]])</f>
        <v>EVAP KIT 67-72 CHEV P-UP WO AC - 830014 - 0 - 0</v>
      </c>
    </row>
    <row r="1551" spans="1:15" x14ac:dyDescent="0.25">
      <c r="A1551" s="1">
        <v>913004</v>
      </c>
      <c r="B1551" s="1" t="s">
        <v>120</v>
      </c>
      <c r="C1551" s="1" t="s">
        <v>121</v>
      </c>
      <c r="D1551" s="2">
        <v>44620.655727928242</v>
      </c>
      <c r="E1551" s="1" t="s">
        <v>8</v>
      </c>
      <c r="F1551" s="1">
        <v>1</v>
      </c>
      <c r="G1551" s="1">
        <v>0</v>
      </c>
      <c r="H1551" s="6">
        <f>INT(Query1[[#This Row],[EntryDateTime]])</f>
        <v>44620</v>
      </c>
      <c r="I1551" s="1">
        <f>IF(Query1[[#This Row],[ItemType]]="EVAP KIT SF GEN IV",Query1[[#This Row],[OrderQty]]+I1550,I1550)</f>
        <v>1740</v>
      </c>
      <c r="J1551" s="1">
        <f>IF(Query1[[#This Row],[ItemType]]="EVAP KIT UNIVERSAL",Query1[[#This Row],[OrderQty]]+J1550,J1550)</f>
        <v>761</v>
      </c>
      <c r="K1551" s="1">
        <f>Query1[[#This Row],[SF Running Total]]+Query1[[#This Row],[UNIV Running Total]]</f>
        <v>2501</v>
      </c>
      <c r="L1551">
        <f>VLOOKUP(Query1[[#This Row],[Description]],'kits to boards'!$B$2:$E$156,2,FALSE)</f>
        <v>830014</v>
      </c>
      <c r="M1551">
        <f>VLOOKUP(Query1[[#This Row],[Description]],'kits to boards'!$B$2:$E$156,3,FALSE)</f>
        <v>0</v>
      </c>
      <c r="N1551">
        <f>VLOOKUP(Query1[[#This Row],[Description]],'kits to boards'!$B$2:$E$156,4,FALSE)</f>
        <v>0</v>
      </c>
      <c r="O1551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1552" spans="1:15" x14ac:dyDescent="0.25">
      <c r="A1552" s="1">
        <v>912894</v>
      </c>
      <c r="B1552" s="1" t="s">
        <v>192</v>
      </c>
      <c r="C1552" s="1" t="s">
        <v>193</v>
      </c>
      <c r="D1552" s="2">
        <v>44620.656276851849</v>
      </c>
      <c r="E1552" s="1" t="s">
        <v>8</v>
      </c>
      <c r="F1552" s="1">
        <v>1</v>
      </c>
      <c r="G1552" s="1">
        <v>0</v>
      </c>
      <c r="H1552" s="6">
        <f>INT(Query1[[#This Row],[EntryDateTime]])</f>
        <v>44620</v>
      </c>
      <c r="I1552" s="1">
        <f>IF(Query1[[#This Row],[ItemType]]="EVAP KIT SF GEN IV",Query1[[#This Row],[OrderQty]]+I1551,I1551)</f>
        <v>1741</v>
      </c>
      <c r="J1552" s="1">
        <f>IF(Query1[[#This Row],[ItemType]]="EVAP KIT UNIVERSAL",Query1[[#This Row],[OrderQty]]+J1551,J1551)</f>
        <v>761</v>
      </c>
      <c r="K1552" s="1">
        <f>Query1[[#This Row],[SF Running Total]]+Query1[[#This Row],[UNIV Running Total]]</f>
        <v>2502</v>
      </c>
      <c r="L1552">
        <f>VLOOKUP(Query1[[#This Row],[Description]],'kits to boards'!$B$2:$E$156,2,FALSE)</f>
        <v>830094</v>
      </c>
      <c r="M1552">
        <f>VLOOKUP(Query1[[#This Row],[Description]],'kits to boards'!$B$2:$E$156,3,FALSE)</f>
        <v>0</v>
      </c>
      <c r="N1552">
        <f>VLOOKUP(Query1[[#This Row],[Description]],'kits to boards'!$B$2:$E$156,4,FALSE)</f>
        <v>0</v>
      </c>
      <c r="O1552" t="str">
        <f>CONCATENATE(Query1[[#This Row],[Description]]," - ",Query1[[#This Row],[MB1]]," - ",Query1[[#This Row],[MB2]]," - ",Query1[[#This Row],[MB3]])</f>
        <v>EVAP KIT 69-73 VETTE W/AC - 830094 - 0 - 0</v>
      </c>
    </row>
    <row r="1553" spans="1:15" x14ac:dyDescent="0.25">
      <c r="A1553" s="1">
        <v>913005</v>
      </c>
      <c r="B1553" s="1" t="s">
        <v>66</v>
      </c>
      <c r="C1553" s="1" t="s">
        <v>67</v>
      </c>
      <c r="D1553" s="2">
        <v>44620.658001655094</v>
      </c>
      <c r="E1553" s="1" t="s">
        <v>8</v>
      </c>
      <c r="F1553" s="1">
        <v>1</v>
      </c>
      <c r="G1553" s="1">
        <v>0</v>
      </c>
      <c r="H1553" s="6">
        <f>INT(Query1[[#This Row],[EntryDateTime]])</f>
        <v>44620</v>
      </c>
      <c r="I1553" s="1">
        <f>IF(Query1[[#This Row],[ItemType]]="EVAP KIT SF GEN IV",Query1[[#This Row],[OrderQty]]+I1552,I1552)</f>
        <v>1742</v>
      </c>
      <c r="J1553" s="1">
        <f>IF(Query1[[#This Row],[ItemType]]="EVAP KIT UNIVERSAL",Query1[[#This Row],[OrderQty]]+J1552,J1552)</f>
        <v>761</v>
      </c>
      <c r="K1553" s="1">
        <f>Query1[[#This Row],[SF Running Total]]+Query1[[#This Row],[UNIV Running Total]]</f>
        <v>2503</v>
      </c>
      <c r="L1553">
        <f>VLOOKUP(Query1[[#This Row],[Description]],'kits to boards'!$B$2:$E$156,2,FALSE)</f>
        <v>830060</v>
      </c>
      <c r="M1553">
        <f>VLOOKUP(Query1[[#This Row],[Description]],'kits to boards'!$B$2:$E$156,3,FALSE)</f>
        <v>0</v>
      </c>
      <c r="N1553">
        <f>VLOOKUP(Query1[[#This Row],[Description]],'kits to boards'!$B$2:$E$156,4,FALSE)</f>
        <v>0</v>
      </c>
      <c r="O1553" t="str">
        <f>CONCATENATE(Query1[[#This Row],[Description]]," - ",Query1[[#This Row],[MB1]]," - ",Query1[[#This Row],[MB2]]," - ",Query1[[#This Row],[MB3]])</f>
        <v>EVAP KIT 66-67 CHEVELLE WO AC - 830060 - 0 - 0</v>
      </c>
    </row>
    <row r="1554" spans="1:15" x14ac:dyDescent="0.25">
      <c r="A1554" s="1">
        <v>913011</v>
      </c>
      <c r="B1554" s="1" t="s">
        <v>256</v>
      </c>
      <c r="C1554" s="1" t="s">
        <v>257</v>
      </c>
      <c r="D1554" s="2">
        <v>44620.666582407408</v>
      </c>
      <c r="E1554" s="1" t="s">
        <v>8</v>
      </c>
      <c r="F1554" s="1">
        <v>1</v>
      </c>
      <c r="G1554" s="1">
        <v>0</v>
      </c>
      <c r="H1554" s="6">
        <f>INT(Query1[[#This Row],[EntryDateTime]])</f>
        <v>44620</v>
      </c>
      <c r="I1554" s="1">
        <f>IF(Query1[[#This Row],[ItemType]]="EVAP KIT SF GEN IV",Query1[[#This Row],[OrderQty]]+I1553,I1553)</f>
        <v>1743</v>
      </c>
      <c r="J1554" s="1">
        <f>IF(Query1[[#This Row],[ItemType]]="EVAP KIT UNIVERSAL",Query1[[#This Row],[OrderQty]]+J1553,J1553)</f>
        <v>761</v>
      </c>
      <c r="K1554" s="1">
        <f>Query1[[#This Row],[SF Running Total]]+Query1[[#This Row],[UNIV Running Total]]</f>
        <v>2504</v>
      </c>
      <c r="L1554">
        <f>VLOOKUP(Query1[[#This Row],[Description]],'kits to boards'!$B$2:$E$156,2,FALSE)</f>
        <v>830025</v>
      </c>
      <c r="M1554">
        <f>VLOOKUP(Query1[[#This Row],[Description]],'kits to boards'!$B$2:$E$156,3,FALSE)</f>
        <v>830022</v>
      </c>
      <c r="N1554">
        <f>VLOOKUP(Query1[[#This Row],[Description]],'kits to boards'!$B$2:$E$156,4,FALSE)</f>
        <v>0</v>
      </c>
      <c r="O1554" t="str">
        <f>CONCATENATE(Query1[[#This Row],[Description]]," - ",Query1[[#This Row],[MB1]]," - ",Query1[[#This Row],[MB2]]," - ",Query1[[#This Row],[MB3]])</f>
        <v>EVAP KIT 68-69 CUTLASS W/AC - 830025 - 830022 - 0</v>
      </c>
    </row>
    <row r="1555" spans="1:15" x14ac:dyDescent="0.25">
      <c r="A1555" s="1">
        <v>912851</v>
      </c>
      <c r="B1555" s="1" t="s">
        <v>152</v>
      </c>
      <c r="C1555" s="1" t="s">
        <v>153</v>
      </c>
      <c r="D1555" s="2">
        <v>44620.667976192133</v>
      </c>
      <c r="E1555" s="1" t="s">
        <v>8</v>
      </c>
      <c r="F1555" s="1">
        <v>1</v>
      </c>
      <c r="G1555" s="1">
        <v>0</v>
      </c>
      <c r="H1555" s="6">
        <f>INT(Query1[[#This Row],[EntryDateTime]])</f>
        <v>44620</v>
      </c>
      <c r="I1555" s="1">
        <f>IF(Query1[[#This Row],[ItemType]]="EVAP KIT SF GEN IV",Query1[[#This Row],[OrderQty]]+I1554,I1554)</f>
        <v>1744</v>
      </c>
      <c r="J1555" s="1">
        <f>IF(Query1[[#This Row],[ItemType]]="EVAP KIT UNIVERSAL",Query1[[#This Row],[OrderQty]]+J1554,J1554)</f>
        <v>761</v>
      </c>
      <c r="K1555" s="1">
        <f>Query1[[#This Row],[SF Running Total]]+Query1[[#This Row],[UNIV Running Total]]</f>
        <v>2505</v>
      </c>
      <c r="L1555">
        <f>VLOOKUP(Query1[[#This Row],[Description]],'kits to boards'!$B$2:$E$156,2,FALSE)</f>
        <v>830034</v>
      </c>
      <c r="M1555">
        <f>VLOOKUP(Query1[[#This Row],[Description]],'kits to boards'!$B$2:$E$156,3,FALSE)</f>
        <v>0</v>
      </c>
      <c r="N1555">
        <f>VLOOKUP(Query1[[#This Row],[Description]],'kits to boards'!$B$2:$E$156,4,FALSE)</f>
        <v>0</v>
      </c>
      <c r="O1555" t="str">
        <f>CONCATENATE(Query1[[#This Row],[Description]]," - ",Query1[[#This Row],[MB1]]," - ",Query1[[#This Row],[MB2]]," - ",Query1[[#This Row],[MB3]])</f>
        <v>EVAP KIT 64-67 GTO WO AC - 830034 - 0 - 0</v>
      </c>
    </row>
    <row r="1556" spans="1:15" x14ac:dyDescent="0.25">
      <c r="A1556" s="1">
        <v>912213</v>
      </c>
      <c r="B1556" s="1" t="s">
        <v>96</v>
      </c>
      <c r="C1556" s="1" t="s">
        <v>97</v>
      </c>
      <c r="D1556" s="2">
        <v>44620.672075115741</v>
      </c>
      <c r="E1556" s="1" t="s">
        <v>8</v>
      </c>
      <c r="F1556" s="1">
        <v>1</v>
      </c>
      <c r="G1556" s="1">
        <v>0</v>
      </c>
      <c r="H1556" s="6">
        <f>INT(Query1[[#This Row],[EntryDateTime]])</f>
        <v>44620</v>
      </c>
      <c r="I1556" s="1">
        <f>IF(Query1[[#This Row],[ItemType]]="EVAP KIT SF GEN IV",Query1[[#This Row],[OrderQty]]+I1555,I1555)</f>
        <v>1745</v>
      </c>
      <c r="J1556" s="1">
        <f>IF(Query1[[#This Row],[ItemType]]="EVAP KIT UNIVERSAL",Query1[[#This Row],[OrderQty]]+J1555,J1555)</f>
        <v>761</v>
      </c>
      <c r="K1556" s="1">
        <f>Query1[[#This Row],[SF Running Total]]+Query1[[#This Row],[UNIV Running Total]]</f>
        <v>2506</v>
      </c>
      <c r="L1556">
        <f>VLOOKUP(Query1[[#This Row],[Description]],'kits to boards'!$B$2:$E$156,2,FALSE)</f>
        <v>830004</v>
      </c>
      <c r="M1556">
        <f>VLOOKUP(Query1[[#This Row],[Description]],'kits to boards'!$B$2:$E$156,3,FALSE)</f>
        <v>0</v>
      </c>
      <c r="N1556">
        <f>VLOOKUP(Query1[[#This Row],[Description]],'kits to boards'!$B$2:$E$156,4,FALSE)</f>
        <v>0</v>
      </c>
      <c r="O1556" t="str">
        <f>CONCATENATE(Query1[[#This Row],[Description]]," - ",Query1[[#This Row],[MB1]]," - ",Query1[[#This Row],[MB2]]," - ",Query1[[#This Row],[MB3]])</f>
        <v>EVAP KIT 81-87 CHEV P-UP W/AC - 830004 - 0 - 0</v>
      </c>
    </row>
    <row r="1557" spans="1:15" x14ac:dyDescent="0.25">
      <c r="A1557" s="1">
        <v>913021</v>
      </c>
      <c r="B1557" s="1" t="s">
        <v>44</v>
      </c>
      <c r="C1557" s="1" t="s">
        <v>45</v>
      </c>
      <c r="D1557" s="2">
        <v>44620.682283217589</v>
      </c>
      <c r="E1557" s="1" t="s">
        <v>8</v>
      </c>
      <c r="F1557" s="1">
        <v>1</v>
      </c>
      <c r="G1557" s="1">
        <v>0</v>
      </c>
      <c r="H1557" s="6">
        <f>INT(Query1[[#This Row],[EntryDateTime]])</f>
        <v>44620</v>
      </c>
      <c r="I1557" s="1">
        <f>IF(Query1[[#This Row],[ItemType]]="EVAP KIT SF GEN IV",Query1[[#This Row],[OrderQty]]+I1556,I1556)</f>
        <v>1746</v>
      </c>
      <c r="J1557" s="1">
        <f>IF(Query1[[#This Row],[ItemType]]="EVAP KIT UNIVERSAL",Query1[[#This Row],[OrderQty]]+J1556,J1556)</f>
        <v>761</v>
      </c>
      <c r="K1557" s="1">
        <f>Query1[[#This Row],[SF Running Total]]+Query1[[#This Row],[UNIV Running Total]]</f>
        <v>2507</v>
      </c>
      <c r="L1557">
        <f>VLOOKUP(Query1[[#This Row],[Description]],'kits to boards'!$B$2:$E$156,2,FALSE)</f>
        <v>830085</v>
      </c>
      <c r="M1557">
        <f>VLOOKUP(Query1[[#This Row],[Description]],'kits to boards'!$B$2:$E$156,3,FALSE)</f>
        <v>0</v>
      </c>
      <c r="N1557">
        <f>VLOOKUP(Query1[[#This Row],[Description]],'kits to boards'!$B$2:$E$156,4,FALSE)</f>
        <v>0</v>
      </c>
      <c r="O1557" t="str">
        <f>CONCATENATE(Query1[[#This Row],[Description]]," - ",Query1[[#This Row],[MB1]]," - ",Query1[[#This Row],[MB2]]," - ",Query1[[#This Row],[MB3]])</f>
        <v>EVAP KIT 66-77 BRONCO - 830085 - 0 - 0</v>
      </c>
    </row>
    <row r="1558" spans="1:15" x14ac:dyDescent="0.25">
      <c r="A1558" s="1">
        <v>912959</v>
      </c>
      <c r="B1558" s="1" t="s">
        <v>52</v>
      </c>
      <c r="C1558" s="1" t="s">
        <v>53</v>
      </c>
      <c r="D1558" s="2">
        <v>44620.686627430558</v>
      </c>
      <c r="E1558" s="1" t="s">
        <v>8</v>
      </c>
      <c r="F1558" s="1">
        <v>1</v>
      </c>
      <c r="G1558" s="1">
        <v>0</v>
      </c>
      <c r="H1558" s="6">
        <f>INT(Query1[[#This Row],[EntryDateTime]])</f>
        <v>44620</v>
      </c>
      <c r="I1558" s="1">
        <f>IF(Query1[[#This Row],[ItemType]]="EVAP KIT SF GEN IV",Query1[[#This Row],[OrderQty]]+I1557,I1557)</f>
        <v>1747</v>
      </c>
      <c r="J1558" s="1">
        <f>IF(Query1[[#This Row],[ItemType]]="EVAP KIT UNIVERSAL",Query1[[#This Row],[OrderQty]]+J1557,J1557)</f>
        <v>761</v>
      </c>
      <c r="K1558" s="1">
        <f>Query1[[#This Row],[SF Running Total]]+Query1[[#This Row],[UNIV Running Total]]</f>
        <v>2508</v>
      </c>
      <c r="L1558">
        <f>VLOOKUP(Query1[[#This Row],[Description]],'kits to boards'!$B$2:$E$156,2,FALSE)</f>
        <v>830017</v>
      </c>
      <c r="M1558">
        <f>VLOOKUP(Query1[[#This Row],[Description]],'kits to boards'!$B$2:$E$156,3,FALSE)</f>
        <v>830119</v>
      </c>
      <c r="N1558">
        <f>VLOOKUP(Query1[[#This Row],[Description]],'kits to boards'!$B$2:$E$156,4,FALSE)</f>
        <v>830120</v>
      </c>
      <c r="O1558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1559" spans="1:15" x14ac:dyDescent="0.25">
      <c r="A1559" s="1">
        <v>913022</v>
      </c>
      <c r="B1559" s="1" t="s">
        <v>42</v>
      </c>
      <c r="C1559" s="1" t="s">
        <v>43</v>
      </c>
      <c r="D1559" s="2">
        <v>44620.687893668983</v>
      </c>
      <c r="E1559" s="1" t="s">
        <v>8</v>
      </c>
      <c r="F1559" s="1">
        <v>1</v>
      </c>
      <c r="G1559" s="1">
        <v>0</v>
      </c>
      <c r="H1559" s="6">
        <f>INT(Query1[[#This Row],[EntryDateTime]])</f>
        <v>44620</v>
      </c>
      <c r="I1559" s="1">
        <f>IF(Query1[[#This Row],[ItemType]]="EVAP KIT SF GEN IV",Query1[[#This Row],[OrderQty]]+I1558,I1558)</f>
        <v>1748</v>
      </c>
      <c r="J1559" s="1">
        <f>IF(Query1[[#This Row],[ItemType]]="EVAP KIT UNIVERSAL",Query1[[#This Row],[OrderQty]]+J1558,J1558)</f>
        <v>761</v>
      </c>
      <c r="K1559" s="1">
        <f>Query1[[#This Row],[SF Running Total]]+Query1[[#This Row],[UNIV Running Total]]</f>
        <v>2509</v>
      </c>
      <c r="L1559">
        <f>VLOOKUP(Query1[[#This Row],[Description]],'kits to boards'!$B$2:$E$156,2,FALSE)</f>
        <v>830014</v>
      </c>
      <c r="M1559">
        <f>VLOOKUP(Query1[[#This Row],[Description]],'kits to boards'!$B$2:$E$156,3,FALSE)</f>
        <v>0</v>
      </c>
      <c r="N1559">
        <f>VLOOKUP(Query1[[#This Row],[Description]],'kits to boards'!$B$2:$E$156,4,FALSE)</f>
        <v>0</v>
      </c>
      <c r="O1559" t="str">
        <f>CONCATENATE(Query1[[#This Row],[Description]]," - ",Query1[[#This Row],[MB1]]," - ",Query1[[#This Row],[MB2]]," - ",Query1[[#This Row],[MB3]])</f>
        <v>EVAP KIT 67-72 CHEV P-UP WO AC - 830014 - 0 - 0</v>
      </c>
    </row>
    <row r="1560" spans="1:15" x14ac:dyDescent="0.25">
      <c r="A1560" s="1">
        <v>912976</v>
      </c>
      <c r="B1560" s="1" t="s">
        <v>132</v>
      </c>
      <c r="C1560" s="1" t="s">
        <v>133</v>
      </c>
      <c r="D1560" s="2">
        <v>44620.688154247684</v>
      </c>
      <c r="E1560" s="1" t="s">
        <v>8</v>
      </c>
      <c r="F1560" s="1">
        <v>1</v>
      </c>
      <c r="G1560" s="1">
        <v>0</v>
      </c>
      <c r="H1560" s="6">
        <f>INT(Query1[[#This Row],[EntryDateTime]])</f>
        <v>44620</v>
      </c>
      <c r="I1560" s="1">
        <f>IF(Query1[[#This Row],[ItemType]]="EVAP KIT SF GEN IV",Query1[[#This Row],[OrderQty]]+I1559,I1559)</f>
        <v>1749</v>
      </c>
      <c r="J1560" s="1">
        <f>IF(Query1[[#This Row],[ItemType]]="EVAP KIT UNIVERSAL",Query1[[#This Row],[OrderQty]]+J1559,J1559)</f>
        <v>761</v>
      </c>
      <c r="K1560" s="1">
        <f>Query1[[#This Row],[SF Running Total]]+Query1[[#This Row],[UNIV Running Total]]</f>
        <v>2510</v>
      </c>
      <c r="L1560">
        <f>VLOOKUP(Query1[[#This Row],[Description]],'kits to boards'!$B$2:$E$156,2,FALSE)</f>
        <v>830005</v>
      </c>
      <c r="M1560">
        <f>VLOOKUP(Query1[[#This Row],[Description]],'kits to boards'!$B$2:$E$156,3,FALSE)</f>
        <v>0</v>
      </c>
      <c r="N1560">
        <f>VLOOKUP(Query1[[#This Row],[Description]],'kits to boards'!$B$2:$E$156,4,FALSE)</f>
        <v>0</v>
      </c>
      <c r="O1560" t="str">
        <f>CONCATENATE(Query1[[#This Row],[Description]]," - ",Query1[[#This Row],[MB1]]," - ",Query1[[#This Row],[MB2]]," - ",Query1[[#This Row],[MB3]])</f>
        <v>EVAP KIT 61-62 IMPALA WO AC - 830005 - 0 - 0</v>
      </c>
    </row>
    <row r="1561" spans="1:15" x14ac:dyDescent="0.25">
      <c r="A1561" s="1">
        <v>913028</v>
      </c>
      <c r="B1561" s="1" t="s">
        <v>102</v>
      </c>
      <c r="C1561" s="1" t="s">
        <v>103</v>
      </c>
      <c r="D1561" s="2">
        <v>44620.705090937503</v>
      </c>
      <c r="E1561" s="1" t="s">
        <v>8</v>
      </c>
      <c r="F1561" s="1">
        <v>1</v>
      </c>
      <c r="G1561" s="1">
        <v>0</v>
      </c>
      <c r="H1561" s="6">
        <f>INT(Query1[[#This Row],[EntryDateTime]])</f>
        <v>44620</v>
      </c>
      <c r="I1561" s="1">
        <f>IF(Query1[[#This Row],[ItemType]]="EVAP KIT SF GEN IV",Query1[[#This Row],[OrderQty]]+I1560,I1560)</f>
        <v>1750</v>
      </c>
      <c r="J1561" s="1">
        <f>IF(Query1[[#This Row],[ItemType]]="EVAP KIT UNIVERSAL",Query1[[#This Row],[OrderQty]]+J1560,J1560)</f>
        <v>761</v>
      </c>
      <c r="K1561" s="1">
        <f>Query1[[#This Row],[SF Running Total]]+Query1[[#This Row],[UNIV Running Total]]</f>
        <v>2511</v>
      </c>
      <c r="L1561">
        <f>VLOOKUP(Query1[[#This Row],[Description]],'kits to boards'!$B$2:$E$156,2,FALSE)</f>
        <v>830012</v>
      </c>
      <c r="M1561">
        <f>VLOOKUP(Query1[[#This Row],[Description]],'kits to boards'!$B$2:$E$156,3,FALSE)</f>
        <v>0</v>
      </c>
      <c r="N1561">
        <f>VLOOKUP(Query1[[#This Row],[Description]],'kits to boards'!$B$2:$E$156,4,FALSE)</f>
        <v>0</v>
      </c>
      <c r="O1561" t="str">
        <f>CONCATENATE(Query1[[#This Row],[Description]]," - ",Query1[[#This Row],[MB1]]," - ",Query1[[#This Row],[MB2]]," - ",Query1[[#This Row],[MB3]])</f>
        <v>EVAP KIT 69 CAMARO WO/AC - 830012 - 0 - 0</v>
      </c>
    </row>
    <row r="1562" spans="1:15" x14ac:dyDescent="0.25">
      <c r="A1562" s="1">
        <v>913029</v>
      </c>
      <c r="B1562" s="1" t="s">
        <v>102</v>
      </c>
      <c r="C1562" s="1" t="s">
        <v>103</v>
      </c>
      <c r="D1562" s="2">
        <v>44620.709281516203</v>
      </c>
      <c r="E1562" s="1" t="s">
        <v>8</v>
      </c>
      <c r="F1562" s="1">
        <v>1</v>
      </c>
      <c r="G1562" s="1">
        <v>0</v>
      </c>
      <c r="H1562" s="6">
        <f>INT(Query1[[#This Row],[EntryDateTime]])</f>
        <v>44620</v>
      </c>
      <c r="I1562" s="1">
        <f>IF(Query1[[#This Row],[ItemType]]="EVAP KIT SF GEN IV",Query1[[#This Row],[OrderQty]]+I1561,I1561)</f>
        <v>1751</v>
      </c>
      <c r="J1562" s="1">
        <f>IF(Query1[[#This Row],[ItemType]]="EVAP KIT UNIVERSAL",Query1[[#This Row],[OrderQty]]+J1561,J1561)</f>
        <v>761</v>
      </c>
      <c r="K1562" s="1">
        <f>Query1[[#This Row],[SF Running Total]]+Query1[[#This Row],[UNIV Running Total]]</f>
        <v>2512</v>
      </c>
      <c r="L1562">
        <f>VLOOKUP(Query1[[#This Row],[Description]],'kits to boards'!$B$2:$E$156,2,FALSE)</f>
        <v>830012</v>
      </c>
      <c r="M1562">
        <f>VLOOKUP(Query1[[#This Row],[Description]],'kits to boards'!$B$2:$E$156,3,FALSE)</f>
        <v>0</v>
      </c>
      <c r="N1562">
        <f>VLOOKUP(Query1[[#This Row],[Description]],'kits to boards'!$B$2:$E$156,4,FALSE)</f>
        <v>0</v>
      </c>
      <c r="O1562" t="str">
        <f>CONCATENATE(Query1[[#This Row],[Description]]," - ",Query1[[#This Row],[MB1]]," - ",Query1[[#This Row],[MB2]]," - ",Query1[[#This Row],[MB3]])</f>
        <v>EVAP KIT 69 CAMARO WO/AC - 830012 - 0 - 0</v>
      </c>
    </row>
    <row r="1563" spans="1:15" x14ac:dyDescent="0.25">
      <c r="A1563" s="1">
        <v>913031</v>
      </c>
      <c r="B1563" s="1" t="s">
        <v>68</v>
      </c>
      <c r="C1563" s="1" t="s">
        <v>69</v>
      </c>
      <c r="D1563" s="2">
        <v>44621.298933101854</v>
      </c>
      <c r="E1563" s="1" t="s">
        <v>8</v>
      </c>
      <c r="F1563" s="1">
        <v>1</v>
      </c>
      <c r="G1563" s="1">
        <v>0</v>
      </c>
      <c r="H1563" s="6">
        <f>INT(Query1[[#This Row],[EntryDateTime]])</f>
        <v>44621</v>
      </c>
      <c r="I1563" s="1">
        <f>IF(Query1[[#This Row],[ItemType]]="EVAP KIT SF GEN IV",Query1[[#This Row],[OrderQty]]+I1562,I1562)</f>
        <v>1752</v>
      </c>
      <c r="J1563" s="1">
        <f>IF(Query1[[#This Row],[ItemType]]="EVAP KIT UNIVERSAL",Query1[[#This Row],[OrderQty]]+J1562,J1562)</f>
        <v>761</v>
      </c>
      <c r="K1563" s="1">
        <f>Query1[[#This Row],[SF Running Total]]+Query1[[#This Row],[UNIV Running Total]]</f>
        <v>2513</v>
      </c>
      <c r="L1563">
        <f>VLOOKUP(Query1[[#This Row],[Description]],'kits to boards'!$B$2:$E$156,2,FALSE)</f>
        <v>830010</v>
      </c>
      <c r="M1563">
        <f>VLOOKUP(Query1[[#This Row],[Description]],'kits to boards'!$B$2:$E$156,3,FALSE)</f>
        <v>0</v>
      </c>
      <c r="N1563">
        <f>VLOOKUP(Query1[[#This Row],[Description]],'kits to boards'!$B$2:$E$156,4,FALSE)</f>
        <v>0</v>
      </c>
      <c r="O1563" t="str">
        <f>CONCATENATE(Query1[[#This Row],[Description]]," - ",Query1[[#This Row],[MB1]]," - ",Query1[[#This Row],[MB2]]," - ",Query1[[#This Row],[MB3]])</f>
        <v>EVAP KIT 70-72 CHEVELLE WO AC - 830010 - 0 - 0</v>
      </c>
    </row>
    <row r="1564" spans="1:15" x14ac:dyDescent="0.25">
      <c r="A1564" s="1">
        <v>912429</v>
      </c>
      <c r="B1564" s="1" t="s">
        <v>228</v>
      </c>
      <c r="C1564" s="1" t="s">
        <v>229</v>
      </c>
      <c r="D1564" s="2">
        <v>44621.316573344906</v>
      </c>
      <c r="E1564" s="1" t="s">
        <v>8</v>
      </c>
      <c r="F1564" s="1">
        <v>1</v>
      </c>
      <c r="G1564" s="1">
        <v>0</v>
      </c>
      <c r="H1564" s="6">
        <f>INT(Query1[[#This Row],[EntryDateTime]])</f>
        <v>44621</v>
      </c>
      <c r="I1564" s="1">
        <f>IF(Query1[[#This Row],[ItemType]]="EVAP KIT SF GEN IV",Query1[[#This Row],[OrderQty]]+I1563,I1563)</f>
        <v>1753</v>
      </c>
      <c r="J1564" s="1">
        <f>IF(Query1[[#This Row],[ItemType]]="EVAP KIT UNIVERSAL",Query1[[#This Row],[OrderQty]]+J1563,J1563)</f>
        <v>761</v>
      </c>
      <c r="K1564" s="1">
        <f>Query1[[#This Row],[SF Running Total]]+Query1[[#This Row],[UNIV Running Total]]</f>
        <v>2514</v>
      </c>
      <c r="L1564">
        <f>VLOOKUP(Query1[[#This Row],[Description]],'kits to boards'!$B$2:$E$156,2,FALSE)</f>
        <v>830044</v>
      </c>
      <c r="M1564">
        <f>VLOOKUP(Query1[[#This Row],[Description]],'kits to boards'!$B$2:$E$156,3,FALSE)</f>
        <v>0</v>
      </c>
      <c r="N1564">
        <f>VLOOKUP(Query1[[#This Row],[Description]],'kits to boards'!$B$2:$E$156,4,FALSE)</f>
        <v>0</v>
      </c>
      <c r="O1564" t="str">
        <f>CONCATENATE(Query1[[#This Row],[Description]]," - ",Query1[[#This Row],[MB1]]," - ",Query1[[#This Row],[MB2]]," - ",Query1[[#This Row],[MB3]])</f>
        <v>EVAP KIT 64-65 FALCON/RANCHERO - 830044 - 0 - 0</v>
      </c>
    </row>
    <row r="1565" spans="1:15" x14ac:dyDescent="0.25">
      <c r="A1565" s="1">
        <v>912955</v>
      </c>
      <c r="B1565" s="1" t="s">
        <v>26</v>
      </c>
      <c r="C1565" s="1" t="s">
        <v>27</v>
      </c>
      <c r="D1565" s="2">
        <v>44621.319352696759</v>
      </c>
      <c r="E1565" s="1" t="s">
        <v>8</v>
      </c>
      <c r="F1565" s="1">
        <v>1</v>
      </c>
      <c r="G1565" s="1">
        <v>0</v>
      </c>
      <c r="H1565" s="6">
        <f>INT(Query1[[#This Row],[EntryDateTime]])</f>
        <v>44621</v>
      </c>
      <c r="I1565" s="1">
        <f>IF(Query1[[#This Row],[ItemType]]="EVAP KIT SF GEN IV",Query1[[#This Row],[OrderQty]]+I1564,I1564)</f>
        <v>1754</v>
      </c>
      <c r="J1565" s="1">
        <f>IF(Query1[[#This Row],[ItemType]]="EVAP KIT UNIVERSAL",Query1[[#This Row],[OrderQty]]+J1564,J1564)</f>
        <v>761</v>
      </c>
      <c r="K1565" s="1">
        <f>Query1[[#This Row],[SF Running Total]]+Query1[[#This Row],[UNIV Running Total]]</f>
        <v>2515</v>
      </c>
      <c r="L1565">
        <f>VLOOKUP(Query1[[#This Row],[Description]],'kits to boards'!$B$2:$E$156,2,FALSE)</f>
        <v>830013</v>
      </c>
      <c r="M1565">
        <f>VLOOKUP(Query1[[#This Row],[Description]],'kits to boards'!$B$2:$E$156,3,FALSE)</f>
        <v>0</v>
      </c>
      <c r="N1565">
        <f>VLOOKUP(Query1[[#This Row],[Description]],'kits to boards'!$B$2:$E$156,4,FALSE)</f>
        <v>0</v>
      </c>
      <c r="O1565" t="str">
        <f>CONCATENATE(Query1[[#This Row],[Description]]," - ",Query1[[#This Row],[MB1]]," - ",Query1[[#This Row],[MB2]]," - ",Query1[[#This Row],[MB3]])</f>
        <v>EVAP KIT 67-72 CHEV P-UP W/AC - 830013 - 0 - 0</v>
      </c>
    </row>
    <row r="1566" spans="1:15" x14ac:dyDescent="0.25">
      <c r="A1566" s="1">
        <v>913035</v>
      </c>
      <c r="B1566" s="1" t="s">
        <v>52</v>
      </c>
      <c r="C1566" s="1" t="s">
        <v>53</v>
      </c>
      <c r="D1566" s="2">
        <v>44621.324400729165</v>
      </c>
      <c r="E1566" s="1" t="s">
        <v>8</v>
      </c>
      <c r="F1566" s="1">
        <v>1</v>
      </c>
      <c r="G1566" s="1">
        <v>0</v>
      </c>
      <c r="H1566" s="6">
        <f>INT(Query1[[#This Row],[EntryDateTime]])</f>
        <v>44621</v>
      </c>
      <c r="I1566" s="1">
        <f>IF(Query1[[#This Row],[ItemType]]="EVAP KIT SF GEN IV",Query1[[#This Row],[OrderQty]]+I1565,I1565)</f>
        <v>1755</v>
      </c>
      <c r="J1566" s="1">
        <f>IF(Query1[[#This Row],[ItemType]]="EVAP KIT UNIVERSAL",Query1[[#This Row],[OrderQty]]+J1565,J1565)</f>
        <v>761</v>
      </c>
      <c r="K1566" s="1">
        <f>Query1[[#This Row],[SF Running Total]]+Query1[[#This Row],[UNIV Running Total]]</f>
        <v>2516</v>
      </c>
      <c r="L1566">
        <f>VLOOKUP(Query1[[#This Row],[Description]],'kits to boards'!$B$2:$E$156,2,FALSE)</f>
        <v>830017</v>
      </c>
      <c r="M1566">
        <f>VLOOKUP(Query1[[#This Row],[Description]],'kits to boards'!$B$2:$E$156,3,FALSE)</f>
        <v>830119</v>
      </c>
      <c r="N1566">
        <f>VLOOKUP(Query1[[#This Row],[Description]],'kits to boards'!$B$2:$E$156,4,FALSE)</f>
        <v>830120</v>
      </c>
      <c r="O1566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1567" spans="1:15" x14ac:dyDescent="0.25">
      <c r="A1567" s="1">
        <v>913036</v>
      </c>
      <c r="B1567" s="1" t="s">
        <v>42</v>
      </c>
      <c r="C1567" s="1" t="s">
        <v>43</v>
      </c>
      <c r="D1567" s="2">
        <v>44621.324792164349</v>
      </c>
      <c r="E1567" s="1" t="s">
        <v>8</v>
      </c>
      <c r="F1567" s="1">
        <v>1</v>
      </c>
      <c r="G1567" s="1">
        <v>0</v>
      </c>
      <c r="H1567" s="6">
        <f>INT(Query1[[#This Row],[EntryDateTime]])</f>
        <v>44621</v>
      </c>
      <c r="I1567" s="1">
        <f>IF(Query1[[#This Row],[ItemType]]="EVAP KIT SF GEN IV",Query1[[#This Row],[OrderQty]]+I1566,I1566)</f>
        <v>1756</v>
      </c>
      <c r="J1567" s="1">
        <f>IF(Query1[[#This Row],[ItemType]]="EVAP KIT UNIVERSAL",Query1[[#This Row],[OrderQty]]+J1566,J1566)</f>
        <v>761</v>
      </c>
      <c r="K1567" s="1">
        <f>Query1[[#This Row],[SF Running Total]]+Query1[[#This Row],[UNIV Running Total]]</f>
        <v>2517</v>
      </c>
      <c r="L1567">
        <f>VLOOKUP(Query1[[#This Row],[Description]],'kits to boards'!$B$2:$E$156,2,FALSE)</f>
        <v>830014</v>
      </c>
      <c r="M1567">
        <f>VLOOKUP(Query1[[#This Row],[Description]],'kits to boards'!$B$2:$E$156,3,FALSE)</f>
        <v>0</v>
      </c>
      <c r="N1567">
        <f>VLOOKUP(Query1[[#This Row],[Description]],'kits to boards'!$B$2:$E$156,4,FALSE)</f>
        <v>0</v>
      </c>
      <c r="O1567" t="str">
        <f>CONCATENATE(Query1[[#This Row],[Description]]," - ",Query1[[#This Row],[MB1]]," - ",Query1[[#This Row],[MB2]]," - ",Query1[[#This Row],[MB3]])</f>
        <v>EVAP KIT 67-72 CHEV P-UP WO AC - 830014 - 0 - 0</v>
      </c>
    </row>
    <row r="1568" spans="1:15" x14ac:dyDescent="0.25">
      <c r="A1568" s="1">
        <v>913051</v>
      </c>
      <c r="B1568" s="1" t="s">
        <v>50</v>
      </c>
      <c r="C1568" s="1" t="s">
        <v>51</v>
      </c>
      <c r="D1568" s="2">
        <v>44621.352537500003</v>
      </c>
      <c r="E1568" s="1" t="s">
        <v>8</v>
      </c>
      <c r="F1568" s="1">
        <v>1</v>
      </c>
      <c r="G1568" s="1">
        <v>0</v>
      </c>
      <c r="H1568" s="6">
        <f>INT(Query1[[#This Row],[EntryDateTime]])</f>
        <v>44621</v>
      </c>
      <c r="I1568" s="1">
        <f>IF(Query1[[#This Row],[ItemType]]="EVAP KIT SF GEN IV",Query1[[#This Row],[OrderQty]]+I1567,I1567)</f>
        <v>1757</v>
      </c>
      <c r="J1568" s="1">
        <f>IF(Query1[[#This Row],[ItemType]]="EVAP KIT UNIVERSAL",Query1[[#This Row],[OrderQty]]+J1567,J1567)</f>
        <v>761</v>
      </c>
      <c r="K1568" s="1">
        <f>Query1[[#This Row],[SF Running Total]]+Query1[[#This Row],[UNIV Running Total]]</f>
        <v>2518</v>
      </c>
      <c r="L1568">
        <f>VLOOKUP(Query1[[#This Row],[Description]],'kits to boards'!$B$2:$E$156,2,FALSE)</f>
        <v>830043</v>
      </c>
      <c r="M1568">
        <f>VLOOKUP(Query1[[#This Row],[Description]],'kits to boards'!$B$2:$E$156,3,FALSE)</f>
        <v>0</v>
      </c>
      <c r="N1568">
        <f>VLOOKUP(Query1[[#This Row],[Description]],'kits to boards'!$B$2:$E$156,4,FALSE)</f>
        <v>0</v>
      </c>
      <c r="O1568" t="str">
        <f>CONCATENATE(Query1[[#This Row],[Description]]," - ",Query1[[#This Row],[MB1]]," - ",Query1[[#This Row],[MB2]]," - ",Query1[[#This Row],[MB3]])</f>
        <v>EVAP KIT 69-74 NOVA WO AC - 830043 - 0 - 0</v>
      </c>
    </row>
    <row r="1569" spans="1:15" x14ac:dyDescent="0.25">
      <c r="A1569" s="1">
        <v>913053</v>
      </c>
      <c r="B1569" s="1" t="s">
        <v>98</v>
      </c>
      <c r="C1569" s="1" t="s">
        <v>99</v>
      </c>
      <c r="D1569" s="2">
        <v>44621.353983831017</v>
      </c>
      <c r="E1569" s="1" t="s">
        <v>11</v>
      </c>
      <c r="F1569" s="1">
        <v>5</v>
      </c>
      <c r="G1569" s="1">
        <v>0</v>
      </c>
      <c r="H1569" s="6">
        <f>INT(Query1[[#This Row],[EntryDateTime]])</f>
        <v>44621</v>
      </c>
      <c r="I1569" s="1">
        <f>IF(Query1[[#This Row],[ItemType]]="EVAP KIT SF GEN IV",Query1[[#This Row],[OrderQty]]+I1568,I1568)</f>
        <v>1757</v>
      </c>
      <c r="J1569" s="1">
        <f>IF(Query1[[#This Row],[ItemType]]="EVAP KIT UNIVERSAL",Query1[[#This Row],[OrderQty]]+J1568,J1568)</f>
        <v>766</v>
      </c>
      <c r="K1569" s="1">
        <f>Query1[[#This Row],[SF Running Total]]+Query1[[#This Row],[UNIV Running Total]]</f>
        <v>2523</v>
      </c>
      <c r="L1569">
        <f>VLOOKUP(Query1[[#This Row],[Description]],'kits to boards'!$B$2:$E$156,2,FALSE)</f>
        <v>830099</v>
      </c>
      <c r="M1569">
        <f>VLOOKUP(Query1[[#This Row],[Description]],'kits to boards'!$B$2:$E$156,3,FALSE)</f>
        <v>0</v>
      </c>
      <c r="N1569">
        <f>VLOOKUP(Query1[[#This Row],[Description]],'kits to boards'!$B$2:$E$156,4,FALSE)</f>
        <v>0</v>
      </c>
      <c r="O1569" t="str">
        <f>CONCATENATE(Query1[[#This Row],[Description]]," - ",Query1[[#This Row],[MB1]]," - ",Query1[[#This Row],[MB2]]," - ",Query1[[#This Row],[MB3]])</f>
        <v>MINI GEN II W/DEF - 830099 - 0 - 0</v>
      </c>
    </row>
    <row r="1570" spans="1:15" x14ac:dyDescent="0.25">
      <c r="A1570" s="1">
        <v>913053</v>
      </c>
      <c r="B1570" s="1" t="s">
        <v>24</v>
      </c>
      <c r="C1570" s="1" t="s">
        <v>25</v>
      </c>
      <c r="D1570" s="2">
        <v>44621.354053124996</v>
      </c>
      <c r="E1570" s="1" t="s">
        <v>11</v>
      </c>
      <c r="F1570" s="1">
        <v>1</v>
      </c>
      <c r="G1570" s="1">
        <v>0</v>
      </c>
      <c r="H1570" s="6">
        <f>INT(Query1[[#This Row],[EntryDateTime]])</f>
        <v>44621</v>
      </c>
      <c r="I1570" s="1">
        <f>IF(Query1[[#This Row],[ItemType]]="EVAP KIT SF GEN IV",Query1[[#This Row],[OrderQty]]+I1569,I1569)</f>
        <v>1757</v>
      </c>
      <c r="J1570" s="1">
        <f>IF(Query1[[#This Row],[ItemType]]="EVAP KIT UNIVERSAL",Query1[[#This Row],[OrderQty]]+J1569,J1569)</f>
        <v>767</v>
      </c>
      <c r="K1570" s="1">
        <f>Query1[[#This Row],[SF Running Total]]+Query1[[#This Row],[UNIV Running Total]]</f>
        <v>2524</v>
      </c>
      <c r="L1570">
        <f>VLOOKUP(Query1[[#This Row],[Description]],'kits to boards'!$B$2:$E$156,2,FALSE)</f>
        <v>830029</v>
      </c>
      <c r="M1570">
        <f>VLOOKUP(Query1[[#This Row],[Description]],'kits to boards'!$B$2:$E$156,3,FALSE)</f>
        <v>830030</v>
      </c>
      <c r="N1570">
        <f>VLOOKUP(Query1[[#This Row],[Description]],'kits to boards'!$B$2:$E$156,4,FALSE)</f>
        <v>0</v>
      </c>
      <c r="O1570" t="str">
        <f>CONCATENATE(Query1[[#This Row],[Description]]," - ",Query1[[#This Row],[MB1]]," - ",Query1[[#This Row],[MB2]]," - ",Query1[[#This Row],[MB3]])</f>
        <v>ComPac GEN II W/DEF - 830029 - 830030 - 0</v>
      </c>
    </row>
    <row r="1571" spans="1:15" x14ac:dyDescent="0.25">
      <c r="A1571" s="1">
        <v>913053</v>
      </c>
      <c r="B1571" s="1" t="s">
        <v>20</v>
      </c>
      <c r="C1571" s="1" t="s">
        <v>21</v>
      </c>
      <c r="D1571" s="2">
        <v>44621.354158831018</v>
      </c>
      <c r="E1571" s="1" t="s">
        <v>11</v>
      </c>
      <c r="F1571" s="1">
        <v>2</v>
      </c>
      <c r="G1571" s="1">
        <v>0</v>
      </c>
      <c r="H1571" s="6">
        <f>INT(Query1[[#This Row],[EntryDateTime]])</f>
        <v>44621</v>
      </c>
      <c r="I1571" s="1">
        <f>IF(Query1[[#This Row],[ItemType]]="EVAP KIT SF GEN IV",Query1[[#This Row],[OrderQty]]+I1570,I1570)</f>
        <v>1757</v>
      </c>
      <c r="J1571" s="1">
        <f>IF(Query1[[#This Row],[ItemType]]="EVAP KIT UNIVERSAL",Query1[[#This Row],[OrderQty]]+J1570,J1570)</f>
        <v>769</v>
      </c>
      <c r="K1571" s="1">
        <f>Query1[[#This Row],[SF Running Total]]+Query1[[#This Row],[UNIV Running Total]]</f>
        <v>2526</v>
      </c>
      <c r="L1571">
        <f>VLOOKUP(Query1[[#This Row],[Description]],'kits to boards'!$B$2:$E$156,2,FALSE)</f>
        <v>830102</v>
      </c>
      <c r="M1571">
        <f>VLOOKUP(Query1[[#This Row],[Description]],'kits to boards'!$B$2:$E$156,3,FALSE)</f>
        <v>0</v>
      </c>
      <c r="N1571">
        <f>VLOOKUP(Query1[[#This Row],[Description]],'kits to boards'!$B$2:$E$156,4,FALSE)</f>
        <v>0</v>
      </c>
      <c r="O1571" t="str">
        <f>CONCATENATE(Query1[[#This Row],[Description]]," - ",Query1[[#This Row],[MB1]]," - ",Query1[[#This Row],[MB2]]," - ",Query1[[#This Row],[MB3]])</f>
        <v>SUPER GEN II W/DEF - 830102 - 0 - 0</v>
      </c>
    </row>
    <row r="1572" spans="1:15" x14ac:dyDescent="0.25">
      <c r="A1572" s="1">
        <v>913052</v>
      </c>
      <c r="B1572" s="1" t="s">
        <v>216</v>
      </c>
      <c r="C1572" s="1" t="s">
        <v>217</v>
      </c>
      <c r="D1572" s="2">
        <v>44621.354359837962</v>
      </c>
      <c r="E1572" s="1" t="s">
        <v>8</v>
      </c>
      <c r="F1572" s="1">
        <v>1</v>
      </c>
      <c r="G1572" s="1">
        <v>0</v>
      </c>
      <c r="H1572" s="6">
        <f>INT(Query1[[#This Row],[EntryDateTime]])</f>
        <v>44621</v>
      </c>
      <c r="I1572" s="1">
        <f>IF(Query1[[#This Row],[ItemType]]="EVAP KIT SF GEN IV",Query1[[#This Row],[OrderQty]]+I1571,I1571)</f>
        <v>1758</v>
      </c>
      <c r="J1572" s="1">
        <f>IF(Query1[[#This Row],[ItemType]]="EVAP KIT UNIVERSAL",Query1[[#This Row],[OrderQty]]+J1571,J1571)</f>
        <v>769</v>
      </c>
      <c r="K1572" s="1">
        <f>Query1[[#This Row],[SF Running Total]]+Query1[[#This Row],[UNIV Running Total]]</f>
        <v>2527</v>
      </c>
      <c r="L1572">
        <f>VLOOKUP(Query1[[#This Row],[Description]],'kits to boards'!$B$2:$E$156,2,FALSE)</f>
        <v>830072</v>
      </c>
      <c r="M1572">
        <f>VLOOKUP(Query1[[#This Row],[Description]],'kits to boards'!$B$2:$E$156,3,FALSE)</f>
        <v>830075</v>
      </c>
      <c r="N1572">
        <f>VLOOKUP(Query1[[#This Row],[Description]],'kits to boards'!$B$2:$E$156,4,FALSE)</f>
        <v>0</v>
      </c>
      <c r="O1572" t="str">
        <f>CONCATENATE(Query1[[#This Row],[Description]]," - ",Query1[[#This Row],[MB1]]," - ",Query1[[#This Row],[MB2]]," - ",Query1[[#This Row],[MB3]])</f>
        <v>EVAP KIT 69-70 MOPAR B BODY W/AC - 830072 - 830075 - 0</v>
      </c>
    </row>
    <row r="1573" spans="1:15" x14ac:dyDescent="0.25">
      <c r="A1573" s="1">
        <v>913054</v>
      </c>
      <c r="B1573" s="1" t="s">
        <v>251</v>
      </c>
      <c r="C1573" s="1" t="s">
        <v>252</v>
      </c>
      <c r="D1573" s="2">
        <v>44621.35606377315</v>
      </c>
      <c r="E1573" s="1" t="s">
        <v>8</v>
      </c>
      <c r="F1573" s="1">
        <v>1</v>
      </c>
      <c r="G1573" s="1">
        <v>0</v>
      </c>
      <c r="H1573" s="6">
        <f>INT(Query1[[#This Row],[EntryDateTime]])</f>
        <v>44621</v>
      </c>
      <c r="I1573" s="1">
        <f>IF(Query1[[#This Row],[ItemType]]="EVAP KIT SF GEN IV",Query1[[#This Row],[OrderQty]]+I1572,I1572)</f>
        <v>1759</v>
      </c>
      <c r="J1573" s="1">
        <f>IF(Query1[[#This Row],[ItemType]]="EVAP KIT UNIVERSAL",Query1[[#This Row],[OrderQty]]+J1572,J1572)</f>
        <v>769</v>
      </c>
      <c r="K1573" s="1">
        <f>Query1[[#This Row],[SF Running Total]]+Query1[[#This Row],[UNIV Running Total]]</f>
        <v>2528</v>
      </c>
      <c r="L1573">
        <f>VLOOKUP(Query1[[#This Row],[Description]],'kits to boards'!$B$2:$E$156,2,FALSE)</f>
        <v>830020</v>
      </c>
      <c r="M1573">
        <f>VLOOKUP(Query1[[#This Row],[Description]],'kits to boards'!$B$2:$E$156,3,FALSE)</f>
        <v>0</v>
      </c>
      <c r="N1573">
        <f>VLOOKUP(Query1[[#This Row],[Description]],'kits to boards'!$B$2:$E$156,4,FALSE)</f>
        <v>0</v>
      </c>
      <c r="O1573" t="str">
        <f>CONCATENATE(Query1[[#This Row],[Description]]," - ",Query1[[#This Row],[MB1]]," - ",Query1[[#This Row],[MB2]]," - ",Query1[[#This Row],[MB3]])</f>
        <v>EVAP KIT 69 FIREBIRD WO AC - 830020 - 0 - 0</v>
      </c>
    </row>
    <row r="1574" spans="1:15" x14ac:dyDescent="0.25">
      <c r="A1574" s="1">
        <v>913058</v>
      </c>
      <c r="B1574" s="1" t="s">
        <v>134</v>
      </c>
      <c r="C1574" s="1" t="s">
        <v>135</v>
      </c>
      <c r="D1574" s="2">
        <v>44621.361087881945</v>
      </c>
      <c r="E1574" s="1" t="s">
        <v>8</v>
      </c>
      <c r="F1574" s="1">
        <v>1</v>
      </c>
      <c r="G1574" s="1">
        <v>0</v>
      </c>
      <c r="H1574" s="6">
        <f>INT(Query1[[#This Row],[EntryDateTime]])</f>
        <v>44621</v>
      </c>
      <c r="I1574" s="1">
        <f>IF(Query1[[#This Row],[ItemType]]="EVAP KIT SF GEN IV",Query1[[#This Row],[OrderQty]]+I1573,I1573)</f>
        <v>1760</v>
      </c>
      <c r="J1574" s="1">
        <f>IF(Query1[[#This Row],[ItemType]]="EVAP KIT UNIVERSAL",Query1[[#This Row],[OrderQty]]+J1573,J1573)</f>
        <v>769</v>
      </c>
      <c r="K1574" s="1">
        <f>Query1[[#This Row],[SF Running Total]]+Query1[[#This Row],[UNIV Running Total]]</f>
        <v>2529</v>
      </c>
      <c r="L1574">
        <f>VLOOKUP(Query1[[#This Row],[Description]],'kits to boards'!$B$2:$E$156,2,FALSE)</f>
        <v>830007</v>
      </c>
      <c r="M1574">
        <f>VLOOKUP(Query1[[#This Row],[Description]],'kits to boards'!$B$2:$E$156,3,FALSE)</f>
        <v>0</v>
      </c>
      <c r="N1574">
        <f>VLOOKUP(Query1[[#This Row],[Description]],'kits to boards'!$B$2:$E$156,4,FALSE)</f>
        <v>0</v>
      </c>
      <c r="O1574" t="str">
        <f>CONCATENATE(Query1[[#This Row],[Description]]," - ",Query1[[#This Row],[MB1]]," - ",Query1[[#This Row],[MB2]]," - ",Query1[[#This Row],[MB3]])</f>
        <v>EVAP KIT 64 IMPALA WO AC - 830007 - 0 - 0</v>
      </c>
    </row>
    <row r="1575" spans="1:15" x14ac:dyDescent="0.25">
      <c r="A1575" s="1">
        <v>913077</v>
      </c>
      <c r="B1575" s="1" t="s">
        <v>36</v>
      </c>
      <c r="C1575" s="1" t="s">
        <v>37</v>
      </c>
      <c r="D1575" s="2">
        <v>44621.398994872688</v>
      </c>
      <c r="E1575" s="1" t="s">
        <v>8</v>
      </c>
      <c r="F1575" s="1">
        <v>1</v>
      </c>
      <c r="G1575" s="1">
        <v>0</v>
      </c>
      <c r="H1575" s="6">
        <f>INT(Query1[[#This Row],[EntryDateTime]])</f>
        <v>44621</v>
      </c>
      <c r="I1575" s="1">
        <f>IF(Query1[[#This Row],[ItemType]]="EVAP KIT SF GEN IV",Query1[[#This Row],[OrderQty]]+I1574,I1574)</f>
        <v>1761</v>
      </c>
      <c r="J1575" s="1">
        <f>IF(Query1[[#This Row],[ItemType]]="EVAP KIT UNIVERSAL",Query1[[#This Row],[OrderQty]]+J1574,J1574)</f>
        <v>769</v>
      </c>
      <c r="K1575" s="1">
        <f>Query1[[#This Row],[SF Running Total]]+Query1[[#This Row],[UNIV Running Total]]</f>
        <v>2530</v>
      </c>
      <c r="L1575">
        <f>VLOOKUP(Query1[[#This Row],[Description]],'kits to boards'!$B$2:$E$156,2,FALSE)</f>
        <v>830015</v>
      </c>
      <c r="M1575">
        <f>VLOOKUP(Query1[[#This Row],[Description]],'kits to boards'!$B$2:$E$156,3,FALSE)</f>
        <v>0</v>
      </c>
      <c r="N1575">
        <f>VLOOKUP(Query1[[#This Row],[Description]],'kits to boards'!$B$2:$E$156,4,FALSE)</f>
        <v>0</v>
      </c>
      <c r="O1575" t="str">
        <f>CONCATENATE(Query1[[#This Row],[Description]]," - ",Query1[[#This Row],[MB1]]," - ",Query1[[#This Row],[MB2]]," - ",Query1[[#This Row],[MB3]])</f>
        <v>EVAP KIT 64-66 CHEV P-UP WO AC W/STD - 830015 - 0 - 0</v>
      </c>
    </row>
    <row r="1576" spans="1:15" x14ac:dyDescent="0.25">
      <c r="A1576" s="1">
        <v>913078</v>
      </c>
      <c r="B1576" s="1" t="s">
        <v>194</v>
      </c>
      <c r="C1576" s="1" t="s">
        <v>195</v>
      </c>
      <c r="D1576" s="2">
        <v>44621.401092094908</v>
      </c>
      <c r="E1576" s="1" t="s">
        <v>8</v>
      </c>
      <c r="F1576" s="1">
        <v>1</v>
      </c>
      <c r="G1576" s="1">
        <v>0</v>
      </c>
      <c r="H1576" s="6">
        <f>INT(Query1[[#This Row],[EntryDateTime]])</f>
        <v>44621</v>
      </c>
      <c r="I1576" s="1">
        <f>IF(Query1[[#This Row],[ItemType]]="EVAP KIT SF GEN IV",Query1[[#This Row],[OrderQty]]+I1575,I1575)</f>
        <v>1762</v>
      </c>
      <c r="J1576" s="1">
        <f>IF(Query1[[#This Row],[ItemType]]="EVAP KIT UNIVERSAL",Query1[[#This Row],[OrderQty]]+J1575,J1575)</f>
        <v>769</v>
      </c>
      <c r="K1576" s="1">
        <f>Query1[[#This Row],[SF Running Total]]+Query1[[#This Row],[UNIV Running Total]]</f>
        <v>2531</v>
      </c>
      <c r="L1576">
        <f>VLOOKUP(Query1[[#This Row],[Description]],'kits to boards'!$B$2:$E$156,2,FALSE)</f>
        <v>830103</v>
      </c>
      <c r="M1576">
        <f>VLOOKUP(Query1[[#This Row],[Description]],'kits to boards'!$B$2:$E$156,3,FALSE)</f>
        <v>0</v>
      </c>
      <c r="N1576">
        <f>VLOOKUP(Query1[[#This Row],[Description]],'kits to boards'!$B$2:$E$156,4,FALSE)</f>
        <v>0</v>
      </c>
      <c r="O1576" t="str">
        <f>CONCATENATE(Query1[[#This Row],[Description]]," - ",Query1[[#This Row],[MB1]]," - ",Query1[[#This Row],[MB2]]," - ",Query1[[#This Row],[MB3]])</f>
        <v>EVAP KIT 78-82 VETTE W/AC - 830103 - 0 - 0</v>
      </c>
    </row>
    <row r="1577" spans="1:15" x14ac:dyDescent="0.25">
      <c r="A1577" s="1">
        <v>913080</v>
      </c>
      <c r="B1577" s="1" t="s">
        <v>66</v>
      </c>
      <c r="C1577" s="1" t="s">
        <v>67</v>
      </c>
      <c r="D1577" s="2">
        <v>44621.404011423612</v>
      </c>
      <c r="E1577" s="1" t="s">
        <v>8</v>
      </c>
      <c r="F1577" s="1">
        <v>1</v>
      </c>
      <c r="G1577" s="1">
        <v>0</v>
      </c>
      <c r="H1577" s="6">
        <f>INT(Query1[[#This Row],[EntryDateTime]])</f>
        <v>44621</v>
      </c>
      <c r="I1577" s="1">
        <f>IF(Query1[[#This Row],[ItemType]]="EVAP KIT SF GEN IV",Query1[[#This Row],[OrderQty]]+I1576,I1576)</f>
        <v>1763</v>
      </c>
      <c r="J1577" s="1">
        <f>IF(Query1[[#This Row],[ItemType]]="EVAP KIT UNIVERSAL",Query1[[#This Row],[OrderQty]]+J1576,J1576)</f>
        <v>769</v>
      </c>
      <c r="K1577" s="1">
        <f>Query1[[#This Row],[SF Running Total]]+Query1[[#This Row],[UNIV Running Total]]</f>
        <v>2532</v>
      </c>
      <c r="L1577">
        <f>VLOOKUP(Query1[[#This Row],[Description]],'kits to boards'!$B$2:$E$156,2,FALSE)</f>
        <v>830060</v>
      </c>
      <c r="M1577">
        <f>VLOOKUP(Query1[[#This Row],[Description]],'kits to boards'!$B$2:$E$156,3,FALSE)</f>
        <v>0</v>
      </c>
      <c r="N1577">
        <f>VLOOKUP(Query1[[#This Row],[Description]],'kits to boards'!$B$2:$E$156,4,FALSE)</f>
        <v>0</v>
      </c>
      <c r="O1577" t="str">
        <f>CONCATENATE(Query1[[#This Row],[Description]]," - ",Query1[[#This Row],[MB1]]," - ",Query1[[#This Row],[MB2]]," - ",Query1[[#This Row],[MB3]])</f>
        <v>EVAP KIT 66-67 CHEVELLE WO AC - 830060 - 0 - 0</v>
      </c>
    </row>
    <row r="1578" spans="1:15" x14ac:dyDescent="0.25">
      <c r="A1578" s="1">
        <v>913081</v>
      </c>
      <c r="B1578" s="1" t="s">
        <v>18</v>
      </c>
      <c r="C1578" s="1" t="s">
        <v>19</v>
      </c>
      <c r="D1578" s="2">
        <v>44621.406081516201</v>
      </c>
      <c r="E1578" s="1" t="s">
        <v>8</v>
      </c>
      <c r="F1578" s="1">
        <v>1</v>
      </c>
      <c r="G1578" s="1">
        <v>0</v>
      </c>
      <c r="H1578" s="6">
        <f>INT(Query1[[#This Row],[EntryDateTime]])</f>
        <v>44621</v>
      </c>
      <c r="I1578" s="1">
        <f>IF(Query1[[#This Row],[ItemType]]="EVAP KIT SF GEN IV",Query1[[#This Row],[OrderQty]]+I1577,I1577)</f>
        <v>1764</v>
      </c>
      <c r="J1578" s="1">
        <f>IF(Query1[[#This Row],[ItemType]]="EVAP KIT UNIVERSAL",Query1[[#This Row],[OrderQty]]+J1577,J1577)</f>
        <v>769</v>
      </c>
      <c r="K1578" s="1">
        <f>Query1[[#This Row],[SF Running Total]]+Query1[[#This Row],[UNIV Running Total]]</f>
        <v>2533</v>
      </c>
      <c r="L1578">
        <f>VLOOKUP(Query1[[#This Row],[Description]],'kits to boards'!$B$2:$E$156,2,FALSE)</f>
        <v>830051</v>
      </c>
      <c r="M1578">
        <f>VLOOKUP(Query1[[#This Row],[Description]],'kits to boards'!$B$2:$E$156,3,FALSE)</f>
        <v>0</v>
      </c>
      <c r="N1578">
        <f>VLOOKUP(Query1[[#This Row],[Description]],'kits to boards'!$B$2:$E$156,4,FALSE)</f>
        <v>0</v>
      </c>
      <c r="O1578" t="str">
        <f>CONCATENATE(Query1[[#This Row],[Description]]," - ",Query1[[#This Row],[MB1]]," - ",Query1[[#This Row],[MB2]]," - ",Query1[[#This Row],[MB3]])</f>
        <v>EVAP KIT 70-78 CAMARO W/AC - 830051 - 0 - 0</v>
      </c>
    </row>
    <row r="1579" spans="1:15" x14ac:dyDescent="0.25">
      <c r="A1579" s="1">
        <v>913092</v>
      </c>
      <c r="B1579" s="1" t="s">
        <v>182</v>
      </c>
      <c r="C1579" s="1" t="s">
        <v>183</v>
      </c>
      <c r="D1579" s="2">
        <v>44621.425898923611</v>
      </c>
      <c r="E1579" s="1" t="s">
        <v>8</v>
      </c>
      <c r="F1579" s="1">
        <v>1</v>
      </c>
      <c r="G1579" s="1">
        <v>0</v>
      </c>
      <c r="H1579" s="6">
        <f>INT(Query1[[#This Row],[EntryDateTime]])</f>
        <v>44621</v>
      </c>
      <c r="I1579" s="1">
        <f>IF(Query1[[#This Row],[ItemType]]="EVAP KIT SF GEN IV",Query1[[#This Row],[OrderQty]]+I1578,I1578)</f>
        <v>1765</v>
      </c>
      <c r="J1579" s="1">
        <f>IF(Query1[[#This Row],[ItemType]]="EVAP KIT UNIVERSAL",Query1[[#This Row],[OrderQty]]+J1578,J1578)</f>
        <v>769</v>
      </c>
      <c r="K1579" s="1">
        <f>Query1[[#This Row],[SF Running Total]]+Query1[[#This Row],[UNIV Running Total]]</f>
        <v>2534</v>
      </c>
      <c r="L1579">
        <f>VLOOKUP(Query1[[#This Row],[Description]],'kits to boards'!$B$2:$E$156,2,FALSE)</f>
        <v>830075</v>
      </c>
      <c r="M1579">
        <f>VLOOKUP(Query1[[#This Row],[Description]],'kits to boards'!$B$2:$E$156,3,FALSE)</f>
        <v>0</v>
      </c>
      <c r="N1579">
        <f>VLOOKUP(Query1[[#This Row],[Description]],'kits to boards'!$B$2:$E$156,4,FALSE)</f>
        <v>0</v>
      </c>
      <c r="O1579" t="str">
        <f>CONCATENATE(Query1[[#This Row],[Description]]," - ",Query1[[#This Row],[MB1]]," - ",Query1[[#This Row],[MB2]]," - ",Query1[[#This Row],[MB3]])</f>
        <v>EVAP KIT 69-70 MOPAR B BODY WO AC - 830075 - 0 - 0</v>
      </c>
    </row>
    <row r="1580" spans="1:15" x14ac:dyDescent="0.25">
      <c r="A1580" s="1">
        <v>913097</v>
      </c>
      <c r="B1580" s="1" t="s">
        <v>180</v>
      </c>
      <c r="C1580" s="1" t="s">
        <v>181</v>
      </c>
      <c r="D1580" s="2">
        <v>44621.433312731482</v>
      </c>
      <c r="E1580" s="1" t="s">
        <v>8</v>
      </c>
      <c r="F1580" s="1">
        <v>1</v>
      </c>
      <c r="G1580" s="1">
        <v>0</v>
      </c>
      <c r="H1580" s="6">
        <f>INT(Query1[[#This Row],[EntryDateTime]])</f>
        <v>44621</v>
      </c>
      <c r="I1580" s="1">
        <f>IF(Query1[[#This Row],[ItemType]]="EVAP KIT SF GEN IV",Query1[[#This Row],[OrderQty]]+I1579,I1579)</f>
        <v>1766</v>
      </c>
      <c r="J1580" s="1">
        <f>IF(Query1[[#This Row],[ItemType]]="EVAP KIT UNIVERSAL",Query1[[#This Row],[OrderQty]]+J1579,J1579)</f>
        <v>769</v>
      </c>
      <c r="K1580" s="1">
        <f>Query1[[#This Row],[SF Running Total]]+Query1[[#This Row],[UNIV Running Total]]</f>
        <v>2535</v>
      </c>
      <c r="L1580">
        <f>VLOOKUP(Query1[[#This Row],[Description]],'kits to boards'!$B$2:$E$156,2,FALSE)</f>
        <v>830123</v>
      </c>
      <c r="M1580">
        <f>VLOOKUP(Query1[[#This Row],[Description]],'kits to boards'!$B$2:$E$156,3,FALSE)</f>
        <v>0</v>
      </c>
      <c r="N1580">
        <f>VLOOKUP(Query1[[#This Row],[Description]],'kits to boards'!$B$2:$E$156,4,FALSE)</f>
        <v>0</v>
      </c>
      <c r="O1580" t="str">
        <f>CONCATENATE(Query1[[#This Row],[Description]]," - ",Query1[[#This Row],[MB1]]," - ",Query1[[#This Row],[MB2]]," - ",Query1[[#This Row],[MB3]])</f>
        <v>EVAP KIT 68 GTO W/AC - 830123 - 0 - 0</v>
      </c>
    </row>
    <row r="1581" spans="1:15" x14ac:dyDescent="0.25">
      <c r="A1581" s="1">
        <v>913100</v>
      </c>
      <c r="B1581" s="1" t="s">
        <v>102</v>
      </c>
      <c r="C1581" s="1" t="s">
        <v>103</v>
      </c>
      <c r="D1581" s="2">
        <v>44621.440499687502</v>
      </c>
      <c r="E1581" s="1" t="s">
        <v>8</v>
      </c>
      <c r="F1581" s="1">
        <v>1</v>
      </c>
      <c r="G1581" s="1">
        <v>0</v>
      </c>
      <c r="H1581" s="6">
        <f>INT(Query1[[#This Row],[EntryDateTime]])</f>
        <v>44621</v>
      </c>
      <c r="I1581" s="1">
        <f>IF(Query1[[#This Row],[ItemType]]="EVAP KIT SF GEN IV",Query1[[#This Row],[OrderQty]]+I1580,I1580)</f>
        <v>1767</v>
      </c>
      <c r="J1581" s="1">
        <f>IF(Query1[[#This Row],[ItemType]]="EVAP KIT UNIVERSAL",Query1[[#This Row],[OrderQty]]+J1580,J1580)</f>
        <v>769</v>
      </c>
      <c r="K1581" s="1">
        <f>Query1[[#This Row],[SF Running Total]]+Query1[[#This Row],[UNIV Running Total]]</f>
        <v>2536</v>
      </c>
      <c r="L1581">
        <f>VLOOKUP(Query1[[#This Row],[Description]],'kits to boards'!$B$2:$E$156,2,FALSE)</f>
        <v>830012</v>
      </c>
      <c r="M1581">
        <f>VLOOKUP(Query1[[#This Row],[Description]],'kits to boards'!$B$2:$E$156,3,FALSE)</f>
        <v>0</v>
      </c>
      <c r="N1581">
        <f>VLOOKUP(Query1[[#This Row],[Description]],'kits to boards'!$B$2:$E$156,4,FALSE)</f>
        <v>0</v>
      </c>
      <c r="O1581" t="str">
        <f>CONCATENATE(Query1[[#This Row],[Description]]," - ",Query1[[#This Row],[MB1]]," - ",Query1[[#This Row],[MB2]]," - ",Query1[[#This Row],[MB3]])</f>
        <v>EVAP KIT 69 CAMARO WO/AC - 830012 - 0 - 0</v>
      </c>
    </row>
    <row r="1582" spans="1:15" x14ac:dyDescent="0.25">
      <c r="A1582" s="1">
        <v>913105</v>
      </c>
      <c r="B1582" s="1" t="s">
        <v>84</v>
      </c>
      <c r="C1582" s="1" t="s">
        <v>85</v>
      </c>
      <c r="D1582" s="2">
        <v>44621.450226273148</v>
      </c>
      <c r="E1582" s="1" t="s">
        <v>8</v>
      </c>
      <c r="F1582" s="1">
        <v>1</v>
      </c>
      <c r="G1582" s="1">
        <v>0</v>
      </c>
      <c r="H1582" s="6">
        <f>INT(Query1[[#This Row],[EntryDateTime]])</f>
        <v>44621</v>
      </c>
      <c r="I1582" s="1">
        <f>IF(Query1[[#This Row],[ItemType]]="EVAP KIT SF GEN IV",Query1[[#This Row],[OrderQty]]+I1581,I1581)</f>
        <v>1768</v>
      </c>
      <c r="J1582" s="1">
        <f>IF(Query1[[#This Row],[ItemType]]="EVAP KIT UNIVERSAL",Query1[[#This Row],[OrderQty]]+J1581,J1581)</f>
        <v>769</v>
      </c>
      <c r="K1582" s="1">
        <f>Query1[[#This Row],[SF Running Total]]+Query1[[#This Row],[UNIV Running Total]]</f>
        <v>2537</v>
      </c>
      <c r="L1582">
        <f>VLOOKUP(Query1[[#This Row],[Description]],'kits to boards'!$B$2:$E$156,2,FALSE)</f>
        <v>830085</v>
      </c>
      <c r="M1582">
        <f>VLOOKUP(Query1[[#This Row],[Description]],'kits to boards'!$B$2:$E$156,3,FALSE)</f>
        <v>0</v>
      </c>
      <c r="N1582">
        <f>VLOOKUP(Query1[[#This Row],[Description]],'kits to boards'!$B$2:$E$156,4,FALSE)</f>
        <v>0</v>
      </c>
      <c r="O1582" t="str">
        <f>CONCATENATE(Query1[[#This Row],[Description]]," - ",Query1[[#This Row],[MB1]]," - ",Query1[[#This Row],[MB2]]," - ",Query1[[#This Row],[MB3]])</f>
        <v>EVAP KIT 66-77 BRONCO 4-VENT PLENUM - 830085 - 0 - 0</v>
      </c>
    </row>
    <row r="1583" spans="1:15" x14ac:dyDescent="0.25">
      <c r="A1583" s="1">
        <v>913107</v>
      </c>
      <c r="B1583" s="1" t="s">
        <v>42</v>
      </c>
      <c r="C1583" s="1" t="s">
        <v>43</v>
      </c>
      <c r="D1583" s="2">
        <v>44621.453239155089</v>
      </c>
      <c r="E1583" s="1" t="s">
        <v>8</v>
      </c>
      <c r="F1583" s="1">
        <v>1</v>
      </c>
      <c r="G1583" s="1">
        <v>0</v>
      </c>
      <c r="H1583" s="6">
        <f>INT(Query1[[#This Row],[EntryDateTime]])</f>
        <v>44621</v>
      </c>
      <c r="I1583" s="1">
        <f>IF(Query1[[#This Row],[ItemType]]="EVAP KIT SF GEN IV",Query1[[#This Row],[OrderQty]]+I1582,I1582)</f>
        <v>1769</v>
      </c>
      <c r="J1583" s="1">
        <f>IF(Query1[[#This Row],[ItemType]]="EVAP KIT UNIVERSAL",Query1[[#This Row],[OrderQty]]+J1582,J1582)</f>
        <v>769</v>
      </c>
      <c r="K1583" s="1">
        <f>Query1[[#This Row],[SF Running Total]]+Query1[[#This Row],[UNIV Running Total]]</f>
        <v>2538</v>
      </c>
      <c r="L1583">
        <f>VLOOKUP(Query1[[#This Row],[Description]],'kits to boards'!$B$2:$E$156,2,FALSE)</f>
        <v>830014</v>
      </c>
      <c r="M1583">
        <f>VLOOKUP(Query1[[#This Row],[Description]],'kits to boards'!$B$2:$E$156,3,FALSE)</f>
        <v>0</v>
      </c>
      <c r="N1583">
        <f>VLOOKUP(Query1[[#This Row],[Description]],'kits to boards'!$B$2:$E$156,4,FALSE)</f>
        <v>0</v>
      </c>
      <c r="O1583" t="str">
        <f>CONCATENATE(Query1[[#This Row],[Description]]," - ",Query1[[#This Row],[MB1]]," - ",Query1[[#This Row],[MB2]]," - ",Query1[[#This Row],[MB3]])</f>
        <v>EVAP KIT 67-72 CHEV P-UP WO AC - 830014 - 0 - 0</v>
      </c>
    </row>
    <row r="1584" spans="1:15" x14ac:dyDescent="0.25">
      <c r="A1584" s="1">
        <v>913110</v>
      </c>
      <c r="B1584" s="1" t="s">
        <v>46</v>
      </c>
      <c r="C1584" s="1" t="s">
        <v>47</v>
      </c>
      <c r="D1584" s="2">
        <v>44621.462902349536</v>
      </c>
      <c r="E1584" s="1" t="s">
        <v>8</v>
      </c>
      <c r="F1584" s="1">
        <v>1</v>
      </c>
      <c r="G1584" s="1">
        <v>0</v>
      </c>
      <c r="H1584" s="6">
        <f>INT(Query1[[#This Row],[EntryDateTime]])</f>
        <v>44621</v>
      </c>
      <c r="I1584" s="1">
        <f>IF(Query1[[#This Row],[ItemType]]="EVAP KIT SF GEN IV",Query1[[#This Row],[OrderQty]]+I1583,I1583)</f>
        <v>1770</v>
      </c>
      <c r="J1584" s="1">
        <f>IF(Query1[[#This Row],[ItemType]]="EVAP KIT UNIVERSAL",Query1[[#This Row],[OrderQty]]+J1583,J1583)</f>
        <v>769</v>
      </c>
      <c r="K1584" s="1">
        <f>Query1[[#This Row],[SF Running Total]]+Query1[[#This Row],[UNIV Running Total]]</f>
        <v>2539</v>
      </c>
      <c r="L1584">
        <f>VLOOKUP(Query1[[#This Row],[Description]],'kits to boards'!$B$2:$E$156,2,FALSE)</f>
        <v>830018</v>
      </c>
      <c r="M1584">
        <f>VLOOKUP(Query1[[#This Row],[Description]],'kits to boards'!$B$2:$E$156,3,FALSE)</f>
        <v>0</v>
      </c>
      <c r="N1584">
        <f>VLOOKUP(Query1[[#This Row],[Description]],'kits to boards'!$B$2:$E$156,4,FALSE)</f>
        <v>0</v>
      </c>
      <c r="O1584" t="str">
        <f>CONCATENATE(Query1[[#This Row],[Description]]," - ",Query1[[#This Row],[MB1]]," - ",Query1[[#This Row],[MB2]]," - ",Query1[[#This Row],[MB3]])</f>
        <v>EVAP KIT 68-72 FORD P-UP F-100 - 830018 - 0 - 0</v>
      </c>
    </row>
    <row r="1585" spans="1:15" x14ac:dyDescent="0.25">
      <c r="A1585" s="1">
        <v>913113</v>
      </c>
      <c r="B1585" s="1" t="s">
        <v>86</v>
      </c>
      <c r="C1585" s="1" t="s">
        <v>87</v>
      </c>
      <c r="D1585" s="2">
        <v>44621.471188275464</v>
      </c>
      <c r="E1585" s="1" t="s">
        <v>8</v>
      </c>
      <c r="F1585" s="1">
        <v>1</v>
      </c>
      <c r="G1585" s="1">
        <v>0</v>
      </c>
      <c r="H1585" s="6">
        <f>INT(Query1[[#This Row],[EntryDateTime]])</f>
        <v>44621</v>
      </c>
      <c r="I1585" s="1">
        <f>IF(Query1[[#This Row],[ItemType]]="EVAP KIT SF GEN IV",Query1[[#This Row],[OrderQty]]+I1584,I1584)</f>
        <v>1771</v>
      </c>
      <c r="J1585" s="1">
        <f>IF(Query1[[#This Row],[ItemType]]="EVAP KIT UNIVERSAL",Query1[[#This Row],[OrderQty]]+J1584,J1584)</f>
        <v>769</v>
      </c>
      <c r="K1585" s="1">
        <f>Query1[[#This Row],[SF Running Total]]+Query1[[#This Row],[UNIV Running Total]]</f>
        <v>2540</v>
      </c>
      <c r="L1585">
        <f>VLOOKUP(Query1[[#This Row],[Description]],'kits to boards'!$B$2:$E$156,2,FALSE)</f>
        <v>830048</v>
      </c>
      <c r="M1585">
        <f>VLOOKUP(Query1[[#This Row],[Description]],'kits to boards'!$B$2:$E$156,3,FALSE)</f>
        <v>0</v>
      </c>
      <c r="N1585">
        <f>VLOOKUP(Query1[[#This Row],[Description]],'kits to boards'!$B$2:$E$156,4,FALSE)</f>
        <v>0</v>
      </c>
      <c r="O1585" t="str">
        <f>CONCATENATE(Query1[[#This Row],[Description]]," - ",Query1[[#This Row],[MB1]]," - ",Query1[[#This Row],[MB2]]," - ",Query1[[#This Row],[MB3]])</f>
        <v>EVAP KIT 66-67 NOVA - 830048 - 0 - 0</v>
      </c>
    </row>
    <row r="1586" spans="1:15" x14ac:dyDescent="0.25">
      <c r="A1586" s="1">
        <v>913124</v>
      </c>
      <c r="B1586" s="1" t="s">
        <v>94</v>
      </c>
      <c r="C1586" s="1" t="s">
        <v>95</v>
      </c>
      <c r="D1586" s="2">
        <v>44621.508097453705</v>
      </c>
      <c r="E1586" s="1" t="s">
        <v>8</v>
      </c>
      <c r="F1586" s="1">
        <v>1</v>
      </c>
      <c r="G1586" s="1">
        <v>0</v>
      </c>
      <c r="H1586" s="6">
        <f>INT(Query1[[#This Row],[EntryDateTime]])</f>
        <v>44621</v>
      </c>
      <c r="I1586" s="1">
        <f>IF(Query1[[#This Row],[ItemType]]="EVAP KIT SF GEN IV",Query1[[#This Row],[OrderQty]]+I1585,I1585)</f>
        <v>1772</v>
      </c>
      <c r="J1586" s="1">
        <f>IF(Query1[[#This Row],[ItemType]]="EVAP KIT UNIVERSAL",Query1[[#This Row],[OrderQty]]+J1585,J1585)</f>
        <v>769</v>
      </c>
      <c r="K1586" s="1">
        <f>Query1[[#This Row],[SF Running Total]]+Query1[[#This Row],[UNIV Running Total]]</f>
        <v>2541</v>
      </c>
      <c r="L1586">
        <f>VLOOKUP(Query1[[#This Row],[Description]],'kits to boards'!$B$2:$E$156,2,FALSE)</f>
        <v>830076</v>
      </c>
      <c r="M1586">
        <f>VLOOKUP(Query1[[#This Row],[Description]],'kits to boards'!$B$2:$E$156,3,FALSE)</f>
        <v>0</v>
      </c>
      <c r="N1586">
        <f>VLOOKUP(Query1[[#This Row],[Description]],'kits to boards'!$B$2:$E$156,4,FALSE)</f>
        <v>0</v>
      </c>
      <c r="O1586" t="str">
        <f>CONCATENATE(Query1[[#This Row],[Description]]," - ",Query1[[#This Row],[MB1]]," - ",Query1[[#This Row],[MB2]]," - ",Query1[[#This Row],[MB3]])</f>
        <v>EVAP KIT 64 1/2- 66 MUSTANG  - 830076 - 0 - 0</v>
      </c>
    </row>
    <row r="1587" spans="1:15" x14ac:dyDescent="0.25">
      <c r="A1587" s="1">
        <v>913128</v>
      </c>
      <c r="B1587" s="1" t="s">
        <v>206</v>
      </c>
      <c r="C1587" s="1" t="s">
        <v>207</v>
      </c>
      <c r="D1587" s="2">
        <v>44621.522067013888</v>
      </c>
      <c r="E1587" s="1" t="s">
        <v>8</v>
      </c>
      <c r="F1587" s="1">
        <v>1</v>
      </c>
      <c r="G1587" s="1">
        <v>0</v>
      </c>
      <c r="H1587" s="6">
        <f>INT(Query1[[#This Row],[EntryDateTime]])</f>
        <v>44621</v>
      </c>
      <c r="I1587" s="1">
        <f>IF(Query1[[#This Row],[ItemType]]="EVAP KIT SF GEN IV",Query1[[#This Row],[OrderQty]]+I1586,I1586)</f>
        <v>1773</v>
      </c>
      <c r="J1587" s="1">
        <f>IF(Query1[[#This Row],[ItemType]]="EVAP KIT UNIVERSAL",Query1[[#This Row],[OrderQty]]+J1586,J1586)</f>
        <v>769</v>
      </c>
      <c r="K1587" s="1">
        <f>Query1[[#This Row],[SF Running Total]]+Query1[[#This Row],[UNIV Running Total]]</f>
        <v>2542</v>
      </c>
      <c r="L1587">
        <f>VLOOKUP(Query1[[#This Row],[Description]],'kits to boards'!$B$2:$E$156,2,FALSE)</f>
        <v>830032</v>
      </c>
      <c r="M1587">
        <f>VLOOKUP(Query1[[#This Row],[Description]],'kits to boards'!$B$2:$E$156,3,FALSE)</f>
        <v>0</v>
      </c>
      <c r="N1587">
        <f>VLOOKUP(Query1[[#This Row],[Description]],'kits to boards'!$B$2:$E$156,4,FALSE)</f>
        <v>0</v>
      </c>
      <c r="O1587" t="str">
        <f>CONCATENATE(Query1[[#This Row],[Description]]," - ",Query1[[#This Row],[MB1]]," - ",Query1[[#This Row],[MB2]]," - ",Query1[[#This Row],[MB3]])</f>
        <v>EVAP KIT 61-62 VETTE - 830032 - 0 - 0</v>
      </c>
    </row>
    <row r="1588" spans="1:15" x14ac:dyDescent="0.25">
      <c r="A1588" s="1">
        <v>913129</v>
      </c>
      <c r="B1588" s="1" t="s">
        <v>30</v>
      </c>
      <c r="C1588" s="1" t="s">
        <v>31</v>
      </c>
      <c r="D1588" s="2">
        <v>44621.527093252313</v>
      </c>
      <c r="E1588" s="1" t="s">
        <v>8</v>
      </c>
      <c r="F1588" s="1">
        <v>1</v>
      </c>
      <c r="G1588" s="1">
        <v>0</v>
      </c>
      <c r="H1588" s="6">
        <f>INT(Query1[[#This Row],[EntryDateTime]])</f>
        <v>44621</v>
      </c>
      <c r="I1588" s="1">
        <f>IF(Query1[[#This Row],[ItemType]]="EVAP KIT SF GEN IV",Query1[[#This Row],[OrderQty]]+I1587,I1587)</f>
        <v>1774</v>
      </c>
      <c r="J1588" s="1">
        <f>IF(Query1[[#This Row],[ItemType]]="EVAP KIT UNIVERSAL",Query1[[#This Row],[OrderQty]]+J1587,J1587)</f>
        <v>769</v>
      </c>
      <c r="K1588" s="1">
        <f>Query1[[#This Row],[SF Running Total]]+Query1[[#This Row],[UNIV Running Total]]</f>
        <v>2543</v>
      </c>
      <c r="L1588">
        <f>VLOOKUP(Query1[[#This Row],[Description]],'kits to boards'!$B$2:$E$156,2,FALSE)</f>
        <v>830054</v>
      </c>
      <c r="M1588">
        <f>VLOOKUP(Query1[[#This Row],[Description]],'kits to boards'!$B$2:$E$156,3,FALSE)</f>
        <v>0</v>
      </c>
      <c r="N1588">
        <f>VLOOKUP(Query1[[#This Row],[Description]],'kits to boards'!$B$2:$E$156,4,FALSE)</f>
        <v>0</v>
      </c>
      <c r="O1588" t="str">
        <f>CONCATENATE(Query1[[#This Row],[Description]]," - ",Query1[[#This Row],[MB1]]," - ",Query1[[#This Row],[MB2]]," - ",Query1[[#This Row],[MB3]])</f>
        <v>EVAP KIT 55-56 CHEVY 4-VENT - 830054 - 0 - 0</v>
      </c>
    </row>
    <row r="1589" spans="1:15" x14ac:dyDescent="0.25">
      <c r="A1589" s="1">
        <v>913139</v>
      </c>
      <c r="B1589" s="1" t="s">
        <v>14</v>
      </c>
      <c r="C1589" s="1" t="s">
        <v>15</v>
      </c>
      <c r="D1589" s="2">
        <v>44621.542123298612</v>
      </c>
      <c r="E1589" s="1" t="s">
        <v>8</v>
      </c>
      <c r="F1589" s="1">
        <v>1</v>
      </c>
      <c r="G1589" s="1">
        <v>0</v>
      </c>
      <c r="H1589" s="6">
        <f>INT(Query1[[#This Row],[EntryDateTime]])</f>
        <v>44621</v>
      </c>
      <c r="I1589" s="1">
        <f>IF(Query1[[#This Row],[ItemType]]="EVAP KIT SF GEN IV",Query1[[#This Row],[OrderQty]]+I1588,I1588)</f>
        <v>1775</v>
      </c>
      <c r="J1589" s="1">
        <f>IF(Query1[[#This Row],[ItemType]]="EVAP KIT UNIVERSAL",Query1[[#This Row],[OrderQty]]+J1588,J1588)</f>
        <v>769</v>
      </c>
      <c r="K1589" s="1">
        <f>Query1[[#This Row],[SF Running Total]]+Query1[[#This Row],[UNIV Running Total]]</f>
        <v>2544</v>
      </c>
      <c r="L1589">
        <f>VLOOKUP(Query1[[#This Row],[Description]],'kits to boards'!$B$2:$E$156,2,FALSE)</f>
        <v>830054</v>
      </c>
      <c r="M1589">
        <f>VLOOKUP(Query1[[#This Row],[Description]],'kits to boards'!$B$2:$E$156,3,FALSE)</f>
        <v>0</v>
      </c>
      <c r="N1589">
        <f>VLOOKUP(Query1[[#This Row],[Description]],'kits to boards'!$B$2:$E$156,4,FALSE)</f>
        <v>0</v>
      </c>
      <c r="O1589" t="str">
        <f>CONCATENATE(Query1[[#This Row],[Description]]," - ",Query1[[#This Row],[MB1]]," - ",Query1[[#This Row],[MB2]]," - ",Query1[[#This Row],[MB3]])</f>
        <v>EVAP KIT 55-56 CHEVY - 830054 - 0 - 0</v>
      </c>
    </row>
    <row r="1590" spans="1:15" x14ac:dyDescent="0.25">
      <c r="A1590" s="1">
        <v>913141</v>
      </c>
      <c r="B1590" s="1" t="s">
        <v>14</v>
      </c>
      <c r="C1590" s="1" t="s">
        <v>15</v>
      </c>
      <c r="D1590" s="2">
        <v>44621.545270104165</v>
      </c>
      <c r="E1590" s="1" t="s">
        <v>8</v>
      </c>
      <c r="F1590" s="1">
        <v>1</v>
      </c>
      <c r="G1590" s="1">
        <v>0</v>
      </c>
      <c r="H1590" s="6">
        <f>INT(Query1[[#This Row],[EntryDateTime]])</f>
        <v>44621</v>
      </c>
      <c r="I1590" s="1">
        <f>IF(Query1[[#This Row],[ItemType]]="EVAP KIT SF GEN IV",Query1[[#This Row],[OrderQty]]+I1589,I1589)</f>
        <v>1776</v>
      </c>
      <c r="J1590" s="1">
        <f>IF(Query1[[#This Row],[ItemType]]="EVAP KIT UNIVERSAL",Query1[[#This Row],[OrderQty]]+J1589,J1589)</f>
        <v>769</v>
      </c>
      <c r="K1590" s="1">
        <f>Query1[[#This Row],[SF Running Total]]+Query1[[#This Row],[UNIV Running Total]]</f>
        <v>2545</v>
      </c>
      <c r="L1590">
        <f>VLOOKUP(Query1[[#This Row],[Description]],'kits to boards'!$B$2:$E$156,2,FALSE)</f>
        <v>830054</v>
      </c>
      <c r="M1590">
        <f>VLOOKUP(Query1[[#This Row],[Description]],'kits to boards'!$B$2:$E$156,3,FALSE)</f>
        <v>0</v>
      </c>
      <c r="N1590">
        <f>VLOOKUP(Query1[[#This Row],[Description]],'kits to boards'!$B$2:$E$156,4,FALSE)</f>
        <v>0</v>
      </c>
      <c r="O1590" t="str">
        <f>CONCATENATE(Query1[[#This Row],[Description]]," - ",Query1[[#This Row],[MB1]]," - ",Query1[[#This Row],[MB2]]," - ",Query1[[#This Row],[MB3]])</f>
        <v>EVAP KIT 55-56 CHEVY - 830054 - 0 - 0</v>
      </c>
    </row>
    <row r="1591" spans="1:15" x14ac:dyDescent="0.25">
      <c r="A1591" s="1">
        <v>913143</v>
      </c>
      <c r="B1591" s="1" t="s">
        <v>108</v>
      </c>
      <c r="C1591" s="1" t="s">
        <v>109</v>
      </c>
      <c r="D1591" s="2">
        <v>44621.555145682869</v>
      </c>
      <c r="E1591" s="1" t="s">
        <v>8</v>
      </c>
      <c r="F1591" s="1">
        <v>1</v>
      </c>
      <c r="G1591" s="1">
        <v>0</v>
      </c>
      <c r="H1591" s="6">
        <f>INT(Query1[[#This Row],[EntryDateTime]])</f>
        <v>44621</v>
      </c>
      <c r="I1591" s="1">
        <f>IF(Query1[[#This Row],[ItemType]]="EVAP KIT SF GEN IV",Query1[[#This Row],[OrderQty]]+I1590,I1590)</f>
        <v>1777</v>
      </c>
      <c r="J1591" s="1">
        <f>IF(Query1[[#This Row],[ItemType]]="EVAP KIT UNIVERSAL",Query1[[#This Row],[OrderQty]]+J1590,J1590)</f>
        <v>769</v>
      </c>
      <c r="K1591" s="1">
        <f>Query1[[#This Row],[SF Running Total]]+Query1[[#This Row],[UNIV Running Total]]</f>
        <v>2546</v>
      </c>
      <c r="L1591">
        <f>VLOOKUP(Query1[[#This Row],[Description]],'kits to boards'!$B$2:$E$156,2,FALSE)</f>
        <v>830105</v>
      </c>
      <c r="M1591">
        <f>VLOOKUP(Query1[[#This Row],[Description]],'kits to boards'!$B$2:$E$156,3,FALSE)</f>
        <v>830106</v>
      </c>
      <c r="N1591">
        <f>VLOOKUP(Query1[[#This Row],[Description]],'kits to boards'!$B$2:$E$156,4,FALSE)</f>
        <v>0</v>
      </c>
      <c r="O1591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1592" spans="1:15" x14ac:dyDescent="0.25">
      <c r="A1592" s="1">
        <v>913133</v>
      </c>
      <c r="B1592" s="1" t="s">
        <v>42</v>
      </c>
      <c r="C1592" s="1" t="s">
        <v>43</v>
      </c>
      <c r="D1592" s="2">
        <v>44621.559737581018</v>
      </c>
      <c r="E1592" s="1" t="s">
        <v>8</v>
      </c>
      <c r="F1592" s="1">
        <v>1</v>
      </c>
      <c r="G1592" s="1">
        <v>0</v>
      </c>
      <c r="H1592" s="6">
        <f>INT(Query1[[#This Row],[EntryDateTime]])</f>
        <v>44621</v>
      </c>
      <c r="I1592" s="1">
        <f>IF(Query1[[#This Row],[ItemType]]="EVAP KIT SF GEN IV",Query1[[#This Row],[OrderQty]]+I1591,I1591)</f>
        <v>1778</v>
      </c>
      <c r="J1592" s="1">
        <f>IF(Query1[[#This Row],[ItemType]]="EVAP KIT UNIVERSAL",Query1[[#This Row],[OrderQty]]+J1591,J1591)</f>
        <v>769</v>
      </c>
      <c r="K1592" s="1">
        <f>Query1[[#This Row],[SF Running Total]]+Query1[[#This Row],[UNIV Running Total]]</f>
        <v>2547</v>
      </c>
      <c r="L1592">
        <f>VLOOKUP(Query1[[#This Row],[Description]],'kits to boards'!$B$2:$E$156,2,FALSE)</f>
        <v>830014</v>
      </c>
      <c r="M1592">
        <f>VLOOKUP(Query1[[#This Row],[Description]],'kits to boards'!$B$2:$E$156,3,FALSE)</f>
        <v>0</v>
      </c>
      <c r="N1592">
        <f>VLOOKUP(Query1[[#This Row],[Description]],'kits to boards'!$B$2:$E$156,4,FALSE)</f>
        <v>0</v>
      </c>
      <c r="O1592" t="str">
        <f>CONCATENATE(Query1[[#This Row],[Description]]," - ",Query1[[#This Row],[MB1]]," - ",Query1[[#This Row],[MB2]]," - ",Query1[[#This Row],[MB3]])</f>
        <v>EVAP KIT 67-72 CHEV P-UP WO AC - 830014 - 0 - 0</v>
      </c>
    </row>
    <row r="1593" spans="1:15" x14ac:dyDescent="0.25">
      <c r="A1593" s="1">
        <v>913146</v>
      </c>
      <c r="B1593" s="1" t="s">
        <v>88</v>
      </c>
      <c r="C1593" s="1" t="s">
        <v>89</v>
      </c>
      <c r="D1593" s="2">
        <v>44621.568125497688</v>
      </c>
      <c r="E1593" s="1" t="s">
        <v>8</v>
      </c>
      <c r="F1593" s="1">
        <v>1</v>
      </c>
      <c r="G1593" s="1">
        <v>0</v>
      </c>
      <c r="H1593" s="6">
        <f>INT(Query1[[#This Row],[EntryDateTime]])</f>
        <v>44621</v>
      </c>
      <c r="I1593" s="1">
        <f>IF(Query1[[#This Row],[ItemType]]="EVAP KIT SF GEN IV",Query1[[#This Row],[OrderQty]]+I1592,I1592)</f>
        <v>1779</v>
      </c>
      <c r="J1593" s="1">
        <f>IF(Query1[[#This Row],[ItemType]]="EVAP KIT UNIVERSAL",Query1[[#This Row],[OrderQty]]+J1592,J1592)</f>
        <v>769</v>
      </c>
      <c r="K1593" s="1">
        <f>Query1[[#This Row],[SF Running Total]]+Query1[[#This Row],[UNIV Running Total]]</f>
        <v>2548</v>
      </c>
      <c r="L1593">
        <f>VLOOKUP(Query1[[#This Row],[Description]],'kits to boards'!$B$2:$E$156,2,FALSE)</f>
        <v>830003</v>
      </c>
      <c r="M1593">
        <f>VLOOKUP(Query1[[#This Row],[Description]],'kits to boards'!$B$2:$E$156,3,FALSE)</f>
        <v>0</v>
      </c>
      <c r="N1593">
        <f>VLOOKUP(Query1[[#This Row],[Description]],'kits to boards'!$B$2:$E$156,4,FALSE)</f>
        <v>0</v>
      </c>
      <c r="O1593" t="str">
        <f>CONCATENATE(Query1[[#This Row],[Description]]," - ",Query1[[#This Row],[MB1]]," - ",Query1[[#This Row],[MB2]]," - ",Query1[[#This Row],[MB3]])</f>
        <v>EVAP KIT 81-87 CHEV P-UP WO AC - 830003 - 0 - 0</v>
      </c>
    </row>
    <row r="1594" spans="1:15" x14ac:dyDescent="0.25">
      <c r="A1594" s="1">
        <v>913147</v>
      </c>
      <c r="B1594" s="1" t="s">
        <v>60</v>
      </c>
      <c r="C1594" s="1" t="s">
        <v>61</v>
      </c>
      <c r="D1594" s="2">
        <v>44621.571020405092</v>
      </c>
      <c r="E1594" s="1" t="s">
        <v>8</v>
      </c>
      <c r="F1594" s="1">
        <v>1</v>
      </c>
      <c r="G1594" s="1">
        <v>0</v>
      </c>
      <c r="H1594" s="6">
        <f>INT(Query1[[#This Row],[EntryDateTime]])</f>
        <v>44621</v>
      </c>
      <c r="I1594" s="1">
        <f>IF(Query1[[#This Row],[ItemType]]="EVAP KIT SF GEN IV",Query1[[#This Row],[OrderQty]]+I1593,I1593)</f>
        <v>1780</v>
      </c>
      <c r="J1594" s="1">
        <f>IF(Query1[[#This Row],[ItemType]]="EVAP KIT UNIVERSAL",Query1[[#This Row],[OrderQty]]+J1593,J1593)</f>
        <v>769</v>
      </c>
      <c r="K1594" s="1">
        <f>Query1[[#This Row],[SF Running Total]]+Query1[[#This Row],[UNIV Running Total]]</f>
        <v>2549</v>
      </c>
      <c r="L1594">
        <f>VLOOKUP(Query1[[#This Row],[Description]],'kits to boards'!$B$2:$E$156,2,FALSE)</f>
        <v>830062</v>
      </c>
      <c r="M1594">
        <f>VLOOKUP(Query1[[#This Row],[Description]],'kits to boards'!$B$2:$E$156,3,FALSE)</f>
        <v>0</v>
      </c>
      <c r="N1594">
        <f>VLOOKUP(Query1[[#This Row],[Description]],'kits to boards'!$B$2:$E$156,4,FALSE)</f>
        <v>0</v>
      </c>
      <c r="O1594" t="str">
        <f>CONCATENATE(Query1[[#This Row],[Description]]," - ",Query1[[#This Row],[MB1]]," - ",Query1[[#This Row],[MB2]]," - ",Query1[[#This Row],[MB3]])</f>
        <v>EVAP KIT 68-69 CHEVELLE WO AC - 830062 - 0 - 0</v>
      </c>
    </row>
    <row r="1595" spans="1:15" x14ac:dyDescent="0.25">
      <c r="A1595" s="1">
        <v>913154</v>
      </c>
      <c r="B1595" s="1" t="s">
        <v>92</v>
      </c>
      <c r="C1595" s="1" t="s">
        <v>93</v>
      </c>
      <c r="D1595" s="2">
        <v>44621.576872372687</v>
      </c>
      <c r="E1595" s="1" t="s">
        <v>8</v>
      </c>
      <c r="F1595" s="1">
        <v>1</v>
      </c>
      <c r="G1595" s="1">
        <v>0</v>
      </c>
      <c r="H1595" s="6">
        <f>INT(Query1[[#This Row],[EntryDateTime]])</f>
        <v>44621</v>
      </c>
      <c r="I1595" s="1">
        <f>IF(Query1[[#This Row],[ItemType]]="EVAP KIT SF GEN IV",Query1[[#This Row],[OrderQty]]+I1594,I1594)</f>
        <v>1781</v>
      </c>
      <c r="J1595" s="1">
        <f>IF(Query1[[#This Row],[ItemType]]="EVAP KIT UNIVERSAL",Query1[[#This Row],[OrderQty]]+J1594,J1594)</f>
        <v>769</v>
      </c>
      <c r="K1595" s="1">
        <f>Query1[[#This Row],[SF Running Total]]+Query1[[#This Row],[UNIV Running Total]]</f>
        <v>2550</v>
      </c>
      <c r="L1595">
        <f>VLOOKUP(Query1[[#This Row],[Description]],'kits to boards'!$B$2:$E$156,2,FALSE)</f>
        <v>830063</v>
      </c>
      <c r="M1595">
        <f>VLOOKUP(Query1[[#This Row],[Description]],'kits to boards'!$B$2:$E$156,3,FALSE)</f>
        <v>0</v>
      </c>
      <c r="N1595">
        <f>VLOOKUP(Query1[[#This Row],[Description]],'kits to boards'!$B$2:$E$156,4,FALSE)</f>
        <v>0</v>
      </c>
      <c r="O1595" t="str">
        <f>CONCATENATE(Query1[[#This Row],[Description]]," - ",Query1[[#This Row],[MB1]]," - ",Query1[[#This Row],[MB2]]," - ",Query1[[#This Row],[MB3]])</f>
        <v>EVAP KIT 50-53 CHEV P-UP GEN IV - 830063 - 0 - 0</v>
      </c>
    </row>
    <row r="1596" spans="1:15" x14ac:dyDescent="0.25">
      <c r="A1596" s="1">
        <v>913156</v>
      </c>
      <c r="B1596" s="1" t="s">
        <v>94</v>
      </c>
      <c r="C1596" s="1" t="s">
        <v>95</v>
      </c>
      <c r="D1596" s="2">
        <v>44621.577514201388</v>
      </c>
      <c r="E1596" s="1" t="s">
        <v>8</v>
      </c>
      <c r="F1596" s="1">
        <v>1</v>
      </c>
      <c r="G1596" s="1">
        <v>0</v>
      </c>
      <c r="H1596" s="6">
        <f>INT(Query1[[#This Row],[EntryDateTime]])</f>
        <v>44621</v>
      </c>
      <c r="I1596" s="1">
        <f>IF(Query1[[#This Row],[ItemType]]="EVAP KIT SF GEN IV",Query1[[#This Row],[OrderQty]]+I1595,I1595)</f>
        <v>1782</v>
      </c>
      <c r="J1596" s="1">
        <f>IF(Query1[[#This Row],[ItemType]]="EVAP KIT UNIVERSAL",Query1[[#This Row],[OrderQty]]+J1595,J1595)</f>
        <v>769</v>
      </c>
      <c r="K1596" s="1">
        <f>Query1[[#This Row],[SF Running Total]]+Query1[[#This Row],[UNIV Running Total]]</f>
        <v>2551</v>
      </c>
      <c r="L1596">
        <f>VLOOKUP(Query1[[#This Row],[Description]],'kits to boards'!$B$2:$E$156,2,FALSE)</f>
        <v>830076</v>
      </c>
      <c r="M1596">
        <f>VLOOKUP(Query1[[#This Row],[Description]],'kits to boards'!$B$2:$E$156,3,FALSE)</f>
        <v>0</v>
      </c>
      <c r="N1596">
        <f>VLOOKUP(Query1[[#This Row],[Description]],'kits to boards'!$B$2:$E$156,4,FALSE)</f>
        <v>0</v>
      </c>
      <c r="O1596" t="str">
        <f>CONCATENATE(Query1[[#This Row],[Description]]," - ",Query1[[#This Row],[MB1]]," - ",Query1[[#This Row],[MB2]]," - ",Query1[[#This Row],[MB3]])</f>
        <v>EVAP KIT 64 1/2- 66 MUSTANG  - 830076 - 0 - 0</v>
      </c>
    </row>
    <row r="1597" spans="1:15" x14ac:dyDescent="0.25">
      <c r="A1597" s="1">
        <v>913157</v>
      </c>
      <c r="B1597" s="1" t="s">
        <v>22</v>
      </c>
      <c r="C1597" s="1" t="s">
        <v>23</v>
      </c>
      <c r="D1597" s="2">
        <v>44621.580441666665</v>
      </c>
      <c r="E1597" s="1" t="s">
        <v>8</v>
      </c>
      <c r="F1597" s="1">
        <v>1</v>
      </c>
      <c r="G1597" s="1">
        <v>0</v>
      </c>
      <c r="H1597" s="6">
        <f>INT(Query1[[#This Row],[EntryDateTime]])</f>
        <v>44621</v>
      </c>
      <c r="I1597" s="1">
        <f>IF(Query1[[#This Row],[ItemType]]="EVAP KIT SF GEN IV",Query1[[#This Row],[OrderQty]]+I1596,I1596)</f>
        <v>1783</v>
      </c>
      <c r="J1597" s="1">
        <f>IF(Query1[[#This Row],[ItemType]]="EVAP KIT UNIVERSAL",Query1[[#This Row],[OrderQty]]+J1596,J1596)</f>
        <v>769</v>
      </c>
      <c r="K1597" s="1">
        <f>Query1[[#This Row],[SF Running Total]]+Query1[[#This Row],[UNIV Running Total]]</f>
        <v>2552</v>
      </c>
      <c r="L1597">
        <f>VLOOKUP(Query1[[#This Row],[Description]],'kits to boards'!$B$2:$E$156,2,FALSE)</f>
        <v>830083</v>
      </c>
      <c r="M1597">
        <f>VLOOKUP(Query1[[#This Row],[Description]],'kits to boards'!$B$2:$E$156,3,FALSE)</f>
        <v>0</v>
      </c>
      <c r="N1597">
        <f>VLOOKUP(Query1[[#This Row],[Description]],'kits to boards'!$B$2:$E$156,4,FALSE)</f>
        <v>0</v>
      </c>
      <c r="O1597" t="str">
        <f>CONCATENATE(Query1[[#This Row],[Description]]," - ",Query1[[#This Row],[MB1]]," - ",Query1[[#This Row],[MB2]]," - ",Query1[[#This Row],[MB3]])</f>
        <v>GEN IV MAGNUM EVAP KIT - 830083 - 0 - 0</v>
      </c>
    </row>
    <row r="1598" spans="1:15" x14ac:dyDescent="0.25">
      <c r="A1598" s="1">
        <v>912450</v>
      </c>
      <c r="B1598" s="1" t="s">
        <v>86</v>
      </c>
      <c r="C1598" s="1" t="s">
        <v>87</v>
      </c>
      <c r="D1598" s="2">
        <v>44621.586510069443</v>
      </c>
      <c r="E1598" s="1" t="s">
        <v>8</v>
      </c>
      <c r="F1598" s="1">
        <v>1</v>
      </c>
      <c r="G1598" s="1">
        <v>0</v>
      </c>
      <c r="H1598" s="6">
        <f>INT(Query1[[#This Row],[EntryDateTime]])</f>
        <v>44621</v>
      </c>
      <c r="I1598" s="1">
        <f>IF(Query1[[#This Row],[ItemType]]="EVAP KIT SF GEN IV",Query1[[#This Row],[OrderQty]]+I1597,I1597)</f>
        <v>1784</v>
      </c>
      <c r="J1598" s="1">
        <f>IF(Query1[[#This Row],[ItemType]]="EVAP KIT UNIVERSAL",Query1[[#This Row],[OrderQty]]+J1597,J1597)</f>
        <v>769</v>
      </c>
      <c r="K1598" s="1">
        <f>Query1[[#This Row],[SF Running Total]]+Query1[[#This Row],[UNIV Running Total]]</f>
        <v>2553</v>
      </c>
      <c r="L1598">
        <f>VLOOKUP(Query1[[#This Row],[Description]],'kits to boards'!$B$2:$E$156,2,FALSE)</f>
        <v>830048</v>
      </c>
      <c r="M1598">
        <f>VLOOKUP(Query1[[#This Row],[Description]],'kits to boards'!$B$2:$E$156,3,FALSE)</f>
        <v>0</v>
      </c>
      <c r="N1598">
        <f>VLOOKUP(Query1[[#This Row],[Description]],'kits to boards'!$B$2:$E$156,4,FALSE)</f>
        <v>0</v>
      </c>
      <c r="O1598" t="str">
        <f>CONCATENATE(Query1[[#This Row],[Description]]," - ",Query1[[#This Row],[MB1]]," - ",Query1[[#This Row],[MB2]]," - ",Query1[[#This Row],[MB3]])</f>
        <v>EVAP KIT 66-67 NOVA - 830048 - 0 - 0</v>
      </c>
    </row>
    <row r="1599" spans="1:15" x14ac:dyDescent="0.25">
      <c r="A1599" s="1">
        <v>913094</v>
      </c>
      <c r="B1599" s="1" t="s">
        <v>44</v>
      </c>
      <c r="C1599" s="1" t="s">
        <v>45</v>
      </c>
      <c r="D1599" s="2">
        <v>44621.58781420139</v>
      </c>
      <c r="E1599" s="1" t="s">
        <v>8</v>
      </c>
      <c r="F1599" s="1">
        <v>1</v>
      </c>
      <c r="G1599" s="1">
        <v>0</v>
      </c>
      <c r="H1599" s="6">
        <f>INT(Query1[[#This Row],[EntryDateTime]])</f>
        <v>44621</v>
      </c>
      <c r="I1599" s="1">
        <f>IF(Query1[[#This Row],[ItemType]]="EVAP KIT SF GEN IV",Query1[[#This Row],[OrderQty]]+I1598,I1598)</f>
        <v>1785</v>
      </c>
      <c r="J1599" s="1">
        <f>IF(Query1[[#This Row],[ItemType]]="EVAP KIT UNIVERSAL",Query1[[#This Row],[OrderQty]]+J1598,J1598)</f>
        <v>769</v>
      </c>
      <c r="K1599" s="1">
        <f>Query1[[#This Row],[SF Running Total]]+Query1[[#This Row],[UNIV Running Total]]</f>
        <v>2554</v>
      </c>
      <c r="L1599">
        <f>VLOOKUP(Query1[[#This Row],[Description]],'kits to boards'!$B$2:$E$156,2,FALSE)</f>
        <v>830085</v>
      </c>
      <c r="M1599">
        <f>VLOOKUP(Query1[[#This Row],[Description]],'kits to boards'!$B$2:$E$156,3,FALSE)</f>
        <v>0</v>
      </c>
      <c r="N1599">
        <f>VLOOKUP(Query1[[#This Row],[Description]],'kits to boards'!$B$2:$E$156,4,FALSE)</f>
        <v>0</v>
      </c>
      <c r="O1599" t="str">
        <f>CONCATENATE(Query1[[#This Row],[Description]]," - ",Query1[[#This Row],[MB1]]," - ",Query1[[#This Row],[MB2]]," - ",Query1[[#This Row],[MB3]])</f>
        <v>EVAP KIT 66-77 BRONCO - 830085 - 0 - 0</v>
      </c>
    </row>
    <row r="1600" spans="1:15" x14ac:dyDescent="0.25">
      <c r="A1600" s="1">
        <v>913164</v>
      </c>
      <c r="B1600" s="1" t="s">
        <v>84</v>
      </c>
      <c r="C1600" s="1" t="s">
        <v>85</v>
      </c>
      <c r="D1600" s="2">
        <v>44621.598739386573</v>
      </c>
      <c r="E1600" s="1" t="s">
        <v>8</v>
      </c>
      <c r="F1600" s="1">
        <v>1</v>
      </c>
      <c r="G1600" s="1">
        <v>0</v>
      </c>
      <c r="H1600" s="6">
        <f>INT(Query1[[#This Row],[EntryDateTime]])</f>
        <v>44621</v>
      </c>
      <c r="I1600" s="1">
        <f>IF(Query1[[#This Row],[ItemType]]="EVAP KIT SF GEN IV",Query1[[#This Row],[OrderQty]]+I1599,I1599)</f>
        <v>1786</v>
      </c>
      <c r="J1600" s="1">
        <f>IF(Query1[[#This Row],[ItemType]]="EVAP KIT UNIVERSAL",Query1[[#This Row],[OrderQty]]+J1599,J1599)</f>
        <v>769</v>
      </c>
      <c r="K1600" s="1">
        <f>Query1[[#This Row],[SF Running Total]]+Query1[[#This Row],[UNIV Running Total]]</f>
        <v>2555</v>
      </c>
      <c r="L1600">
        <f>VLOOKUP(Query1[[#This Row],[Description]],'kits to boards'!$B$2:$E$156,2,FALSE)</f>
        <v>830085</v>
      </c>
      <c r="M1600">
        <f>VLOOKUP(Query1[[#This Row],[Description]],'kits to boards'!$B$2:$E$156,3,FALSE)</f>
        <v>0</v>
      </c>
      <c r="N1600">
        <f>VLOOKUP(Query1[[#This Row],[Description]],'kits to boards'!$B$2:$E$156,4,FALSE)</f>
        <v>0</v>
      </c>
      <c r="O1600" t="str">
        <f>CONCATENATE(Query1[[#This Row],[Description]]," - ",Query1[[#This Row],[MB1]]," - ",Query1[[#This Row],[MB2]]," - ",Query1[[#This Row],[MB3]])</f>
        <v>EVAP KIT 66-77 BRONCO 4-VENT PLENUM - 830085 - 0 - 0</v>
      </c>
    </row>
    <row r="1601" spans="1:15" x14ac:dyDescent="0.25">
      <c r="A1601" s="1">
        <v>913162</v>
      </c>
      <c r="B1601" s="1" t="s">
        <v>88</v>
      </c>
      <c r="C1601" s="1" t="s">
        <v>89</v>
      </c>
      <c r="D1601" s="2">
        <v>44621.599496180555</v>
      </c>
      <c r="E1601" s="1" t="s">
        <v>8</v>
      </c>
      <c r="F1601" s="1">
        <v>1</v>
      </c>
      <c r="G1601" s="1">
        <v>0</v>
      </c>
      <c r="H1601" s="6">
        <f>INT(Query1[[#This Row],[EntryDateTime]])</f>
        <v>44621</v>
      </c>
      <c r="I1601" s="1">
        <f>IF(Query1[[#This Row],[ItemType]]="EVAP KIT SF GEN IV",Query1[[#This Row],[OrderQty]]+I1600,I1600)</f>
        <v>1787</v>
      </c>
      <c r="J1601" s="1">
        <f>IF(Query1[[#This Row],[ItemType]]="EVAP KIT UNIVERSAL",Query1[[#This Row],[OrderQty]]+J1600,J1600)</f>
        <v>769</v>
      </c>
      <c r="K1601" s="1">
        <f>Query1[[#This Row],[SF Running Total]]+Query1[[#This Row],[UNIV Running Total]]</f>
        <v>2556</v>
      </c>
      <c r="L1601">
        <f>VLOOKUP(Query1[[#This Row],[Description]],'kits to boards'!$B$2:$E$156,2,FALSE)</f>
        <v>830003</v>
      </c>
      <c r="M1601">
        <f>VLOOKUP(Query1[[#This Row],[Description]],'kits to boards'!$B$2:$E$156,3,FALSE)</f>
        <v>0</v>
      </c>
      <c r="N1601">
        <f>VLOOKUP(Query1[[#This Row],[Description]],'kits to boards'!$B$2:$E$156,4,FALSE)</f>
        <v>0</v>
      </c>
      <c r="O1601" t="str">
        <f>CONCATENATE(Query1[[#This Row],[Description]]," - ",Query1[[#This Row],[MB1]]," - ",Query1[[#This Row],[MB2]]," - ",Query1[[#This Row],[MB3]])</f>
        <v>EVAP KIT 81-87 CHEV P-UP WO AC - 830003 - 0 - 0</v>
      </c>
    </row>
    <row r="1602" spans="1:15" x14ac:dyDescent="0.25">
      <c r="A1602" s="1">
        <v>912000</v>
      </c>
      <c r="B1602" s="1" t="s">
        <v>36</v>
      </c>
      <c r="C1602" s="1" t="s">
        <v>37</v>
      </c>
      <c r="D1602" s="2">
        <v>44621.603291550928</v>
      </c>
      <c r="E1602" s="1" t="s">
        <v>8</v>
      </c>
      <c r="F1602" s="1">
        <v>1</v>
      </c>
      <c r="G1602" s="1">
        <v>0</v>
      </c>
      <c r="H1602" s="6">
        <f>INT(Query1[[#This Row],[EntryDateTime]])</f>
        <v>44621</v>
      </c>
      <c r="I1602" s="1">
        <f>IF(Query1[[#This Row],[ItemType]]="EVAP KIT SF GEN IV",Query1[[#This Row],[OrderQty]]+I1601,I1601)</f>
        <v>1788</v>
      </c>
      <c r="J1602" s="1">
        <f>IF(Query1[[#This Row],[ItemType]]="EVAP KIT UNIVERSAL",Query1[[#This Row],[OrderQty]]+J1601,J1601)</f>
        <v>769</v>
      </c>
      <c r="K1602" s="1">
        <f>Query1[[#This Row],[SF Running Total]]+Query1[[#This Row],[UNIV Running Total]]</f>
        <v>2557</v>
      </c>
      <c r="L1602">
        <f>VLOOKUP(Query1[[#This Row],[Description]],'kits to boards'!$B$2:$E$156,2,FALSE)</f>
        <v>830015</v>
      </c>
      <c r="M1602">
        <f>VLOOKUP(Query1[[#This Row],[Description]],'kits to boards'!$B$2:$E$156,3,FALSE)</f>
        <v>0</v>
      </c>
      <c r="N1602">
        <f>VLOOKUP(Query1[[#This Row],[Description]],'kits to boards'!$B$2:$E$156,4,FALSE)</f>
        <v>0</v>
      </c>
      <c r="O1602" t="str">
        <f>CONCATENATE(Query1[[#This Row],[Description]]," - ",Query1[[#This Row],[MB1]]," - ",Query1[[#This Row],[MB2]]," - ",Query1[[#This Row],[MB3]])</f>
        <v>EVAP KIT 64-66 CHEV P-UP WO AC W/STD - 830015 - 0 - 0</v>
      </c>
    </row>
    <row r="1603" spans="1:15" x14ac:dyDescent="0.25">
      <c r="A1603" s="1">
        <v>913169</v>
      </c>
      <c r="B1603" s="1" t="s">
        <v>98</v>
      </c>
      <c r="C1603" s="1" t="s">
        <v>99</v>
      </c>
      <c r="D1603" s="2">
        <v>44621.604975729169</v>
      </c>
      <c r="E1603" s="1" t="s">
        <v>11</v>
      </c>
      <c r="F1603" s="1">
        <v>1</v>
      </c>
      <c r="G1603" s="1">
        <v>0</v>
      </c>
      <c r="H1603" s="6">
        <f>INT(Query1[[#This Row],[EntryDateTime]])</f>
        <v>44621</v>
      </c>
      <c r="I1603" s="1">
        <f>IF(Query1[[#This Row],[ItemType]]="EVAP KIT SF GEN IV",Query1[[#This Row],[OrderQty]]+I1602,I1602)</f>
        <v>1788</v>
      </c>
      <c r="J1603" s="1">
        <f>IF(Query1[[#This Row],[ItemType]]="EVAP KIT UNIVERSAL",Query1[[#This Row],[OrderQty]]+J1602,J1602)</f>
        <v>770</v>
      </c>
      <c r="K1603" s="1">
        <f>Query1[[#This Row],[SF Running Total]]+Query1[[#This Row],[UNIV Running Total]]</f>
        <v>2558</v>
      </c>
      <c r="L1603">
        <f>VLOOKUP(Query1[[#This Row],[Description]],'kits to boards'!$B$2:$E$156,2,FALSE)</f>
        <v>830099</v>
      </c>
      <c r="M1603">
        <f>VLOOKUP(Query1[[#This Row],[Description]],'kits to boards'!$B$2:$E$156,3,FALSE)</f>
        <v>0</v>
      </c>
      <c r="N1603">
        <f>VLOOKUP(Query1[[#This Row],[Description]],'kits to boards'!$B$2:$E$156,4,FALSE)</f>
        <v>0</v>
      </c>
      <c r="O1603" t="str">
        <f>CONCATENATE(Query1[[#This Row],[Description]]," - ",Query1[[#This Row],[MB1]]," - ",Query1[[#This Row],[MB2]]," - ",Query1[[#This Row],[MB3]])</f>
        <v>MINI GEN II W/DEF - 830099 - 0 - 0</v>
      </c>
    </row>
    <row r="1604" spans="1:15" x14ac:dyDescent="0.25">
      <c r="A1604" s="1">
        <v>913177</v>
      </c>
      <c r="B1604" s="1" t="s">
        <v>34</v>
      </c>
      <c r="C1604" s="1" t="s">
        <v>35</v>
      </c>
      <c r="D1604" s="2">
        <v>44621.616824618053</v>
      </c>
      <c r="E1604" s="1" t="s">
        <v>8</v>
      </c>
      <c r="F1604" s="1">
        <v>1</v>
      </c>
      <c r="G1604" s="1">
        <v>0</v>
      </c>
      <c r="H1604" s="6">
        <f>INT(Query1[[#This Row],[EntryDateTime]])</f>
        <v>44621</v>
      </c>
      <c r="I1604" s="1">
        <f>IF(Query1[[#This Row],[ItemType]]="EVAP KIT SF GEN IV",Query1[[#This Row],[OrderQty]]+I1603,I1603)</f>
        <v>1789</v>
      </c>
      <c r="J1604" s="1">
        <f>IF(Query1[[#This Row],[ItemType]]="EVAP KIT UNIVERSAL",Query1[[#This Row],[OrderQty]]+J1603,J1603)</f>
        <v>770</v>
      </c>
      <c r="K1604" s="1">
        <f>Query1[[#This Row],[SF Running Total]]+Query1[[#This Row],[UNIV Running Total]]</f>
        <v>2559</v>
      </c>
      <c r="L1604">
        <f>VLOOKUP(Query1[[#This Row],[Description]],'kits to boards'!$B$2:$E$156,2,FALSE)</f>
        <v>830065</v>
      </c>
      <c r="M1604">
        <f>VLOOKUP(Query1[[#This Row],[Description]],'kits to boards'!$B$2:$E$156,3,FALSE)</f>
        <v>0</v>
      </c>
      <c r="N1604">
        <f>VLOOKUP(Query1[[#This Row],[Description]],'kits to boards'!$B$2:$E$156,4,FALSE)</f>
        <v>0</v>
      </c>
      <c r="O1604" t="str">
        <f>CONCATENATE(Query1[[#This Row],[Description]]," - ",Query1[[#This Row],[MB1]]," - ",Query1[[#This Row],[MB2]]," - ",Query1[[#This Row],[MB3]])</f>
        <v>EVAP KIT 57 CHEV WO AC - 830065 - 0 - 0</v>
      </c>
    </row>
    <row r="1605" spans="1:15" x14ac:dyDescent="0.25">
      <c r="A1605" s="1">
        <v>913180</v>
      </c>
      <c r="B1605" s="1" t="s">
        <v>98</v>
      </c>
      <c r="C1605" s="1" t="s">
        <v>99</v>
      </c>
      <c r="D1605" s="2">
        <v>44621.618594178239</v>
      </c>
      <c r="E1605" s="1" t="s">
        <v>11</v>
      </c>
      <c r="F1605" s="1">
        <v>1</v>
      </c>
      <c r="G1605" s="1">
        <v>0</v>
      </c>
      <c r="H1605" s="6">
        <f>INT(Query1[[#This Row],[EntryDateTime]])</f>
        <v>44621</v>
      </c>
      <c r="I1605" s="1">
        <f>IF(Query1[[#This Row],[ItemType]]="EVAP KIT SF GEN IV",Query1[[#This Row],[OrderQty]]+I1604,I1604)</f>
        <v>1789</v>
      </c>
      <c r="J1605" s="1">
        <f>IF(Query1[[#This Row],[ItemType]]="EVAP KIT UNIVERSAL",Query1[[#This Row],[OrderQty]]+J1604,J1604)</f>
        <v>771</v>
      </c>
      <c r="K1605" s="1">
        <f>Query1[[#This Row],[SF Running Total]]+Query1[[#This Row],[UNIV Running Total]]</f>
        <v>2560</v>
      </c>
      <c r="L1605">
        <f>VLOOKUP(Query1[[#This Row],[Description]],'kits to boards'!$B$2:$E$156,2,FALSE)</f>
        <v>830099</v>
      </c>
      <c r="M1605">
        <f>VLOOKUP(Query1[[#This Row],[Description]],'kits to boards'!$B$2:$E$156,3,FALSE)</f>
        <v>0</v>
      </c>
      <c r="N1605">
        <f>VLOOKUP(Query1[[#This Row],[Description]],'kits to boards'!$B$2:$E$156,4,FALSE)</f>
        <v>0</v>
      </c>
      <c r="O1605" t="str">
        <f>CONCATENATE(Query1[[#This Row],[Description]]," - ",Query1[[#This Row],[MB1]]," - ",Query1[[#This Row],[MB2]]," - ",Query1[[#This Row],[MB3]])</f>
        <v>MINI GEN II W/DEF - 830099 - 0 - 0</v>
      </c>
    </row>
    <row r="1606" spans="1:15" x14ac:dyDescent="0.25">
      <c r="A1606" s="1">
        <v>913204</v>
      </c>
      <c r="B1606" s="1" t="s">
        <v>62</v>
      </c>
      <c r="C1606" s="1" t="s">
        <v>63</v>
      </c>
      <c r="D1606" s="2">
        <v>44621.645843368053</v>
      </c>
      <c r="E1606" s="1" t="s">
        <v>8</v>
      </c>
      <c r="F1606" s="1">
        <v>1</v>
      </c>
      <c r="G1606" s="1">
        <v>0</v>
      </c>
      <c r="H1606" s="6">
        <f>INT(Query1[[#This Row],[EntryDateTime]])</f>
        <v>44621</v>
      </c>
      <c r="I1606" s="1">
        <f>IF(Query1[[#This Row],[ItemType]]="EVAP KIT SF GEN IV",Query1[[#This Row],[OrderQty]]+I1605,I1605)</f>
        <v>1790</v>
      </c>
      <c r="J1606" s="1">
        <f>IF(Query1[[#This Row],[ItemType]]="EVAP KIT UNIVERSAL",Query1[[#This Row],[OrderQty]]+J1605,J1605)</f>
        <v>771</v>
      </c>
      <c r="K1606" s="1">
        <f>Query1[[#This Row],[SF Running Total]]+Query1[[#This Row],[UNIV Running Total]]</f>
        <v>2561</v>
      </c>
      <c r="L1606">
        <f>VLOOKUP(Query1[[#This Row],[Description]],'kits to boards'!$B$2:$E$156,2,FALSE)</f>
        <v>830079</v>
      </c>
      <c r="M1606">
        <f>VLOOKUP(Query1[[#This Row],[Description]],'kits to boards'!$B$2:$E$156,3,FALSE)</f>
        <v>830046</v>
      </c>
      <c r="N1606">
        <f>VLOOKUP(Query1[[#This Row],[Description]],'kits to boards'!$B$2:$E$156,4,FALSE)</f>
        <v>0</v>
      </c>
      <c r="O1606" t="str">
        <f>CONCATENATE(Query1[[#This Row],[Description]]," - ",Query1[[#This Row],[MB1]]," - ",Query1[[#This Row],[MB2]]," - ",Query1[[#This Row],[MB3]])</f>
        <v>EVAP KIT 67-68 MUSTANG/COUGAR WO AC - 830079 - 830046 - 0</v>
      </c>
    </row>
    <row r="1607" spans="1:15" x14ac:dyDescent="0.25">
      <c r="A1607" s="1">
        <v>913213</v>
      </c>
      <c r="B1607" s="1" t="s">
        <v>50</v>
      </c>
      <c r="C1607" s="1" t="s">
        <v>51</v>
      </c>
      <c r="D1607" s="2">
        <v>44621.654359803244</v>
      </c>
      <c r="E1607" s="1" t="s">
        <v>8</v>
      </c>
      <c r="F1607" s="1">
        <v>1</v>
      </c>
      <c r="G1607" s="1">
        <v>0</v>
      </c>
      <c r="H1607" s="6">
        <f>INT(Query1[[#This Row],[EntryDateTime]])</f>
        <v>44621</v>
      </c>
      <c r="I1607" s="1">
        <f>IF(Query1[[#This Row],[ItemType]]="EVAP KIT SF GEN IV",Query1[[#This Row],[OrderQty]]+I1606,I1606)</f>
        <v>1791</v>
      </c>
      <c r="J1607" s="1">
        <f>IF(Query1[[#This Row],[ItemType]]="EVAP KIT UNIVERSAL",Query1[[#This Row],[OrderQty]]+J1606,J1606)</f>
        <v>771</v>
      </c>
      <c r="K1607" s="1">
        <f>Query1[[#This Row],[SF Running Total]]+Query1[[#This Row],[UNIV Running Total]]</f>
        <v>2562</v>
      </c>
      <c r="L1607">
        <f>VLOOKUP(Query1[[#This Row],[Description]],'kits to boards'!$B$2:$E$156,2,FALSE)</f>
        <v>830043</v>
      </c>
      <c r="M1607">
        <f>VLOOKUP(Query1[[#This Row],[Description]],'kits to boards'!$B$2:$E$156,3,FALSE)</f>
        <v>0</v>
      </c>
      <c r="N1607">
        <f>VLOOKUP(Query1[[#This Row],[Description]],'kits to boards'!$B$2:$E$156,4,FALSE)</f>
        <v>0</v>
      </c>
      <c r="O1607" t="str">
        <f>CONCATENATE(Query1[[#This Row],[Description]]," - ",Query1[[#This Row],[MB1]]," - ",Query1[[#This Row],[MB2]]," - ",Query1[[#This Row],[MB3]])</f>
        <v>EVAP KIT 69-74 NOVA WO AC - 830043 - 0 - 0</v>
      </c>
    </row>
    <row r="1608" spans="1:15" x14ac:dyDescent="0.25">
      <c r="A1608" s="1">
        <v>913213</v>
      </c>
      <c r="B1608" s="1" t="s">
        <v>52</v>
      </c>
      <c r="C1608" s="1" t="s">
        <v>53</v>
      </c>
      <c r="D1608" s="2">
        <v>44621.654361458335</v>
      </c>
      <c r="E1608" s="1" t="s">
        <v>8</v>
      </c>
      <c r="F1608" s="1">
        <v>2</v>
      </c>
      <c r="G1608" s="1">
        <v>0</v>
      </c>
      <c r="H1608" s="6">
        <f>INT(Query1[[#This Row],[EntryDateTime]])</f>
        <v>44621</v>
      </c>
      <c r="I1608" s="1">
        <f>IF(Query1[[#This Row],[ItemType]]="EVAP KIT SF GEN IV",Query1[[#This Row],[OrderQty]]+I1607,I1607)</f>
        <v>1793</v>
      </c>
      <c r="J1608" s="1">
        <f>IF(Query1[[#This Row],[ItemType]]="EVAP KIT UNIVERSAL",Query1[[#This Row],[OrderQty]]+J1607,J1607)</f>
        <v>771</v>
      </c>
      <c r="K1608" s="1">
        <f>Query1[[#This Row],[SF Running Total]]+Query1[[#This Row],[UNIV Running Total]]</f>
        <v>2564</v>
      </c>
      <c r="L1608">
        <f>VLOOKUP(Query1[[#This Row],[Description]],'kits to boards'!$B$2:$E$156,2,FALSE)</f>
        <v>830017</v>
      </c>
      <c r="M1608">
        <f>VLOOKUP(Query1[[#This Row],[Description]],'kits to boards'!$B$2:$E$156,3,FALSE)</f>
        <v>830119</v>
      </c>
      <c r="N1608">
        <f>VLOOKUP(Query1[[#This Row],[Description]],'kits to boards'!$B$2:$E$156,4,FALSE)</f>
        <v>830120</v>
      </c>
      <c r="O1608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1609" spans="1:15" x14ac:dyDescent="0.25">
      <c r="A1609" s="1">
        <v>913213</v>
      </c>
      <c r="B1609" s="1" t="s">
        <v>16</v>
      </c>
      <c r="C1609" s="1" t="s">
        <v>17</v>
      </c>
      <c r="D1609" s="2">
        <v>44621.654363113426</v>
      </c>
      <c r="E1609" s="1" t="s">
        <v>8</v>
      </c>
      <c r="F1609" s="1">
        <v>1</v>
      </c>
      <c r="G1609" s="1">
        <v>0</v>
      </c>
      <c r="H1609" s="6">
        <f>INT(Query1[[#This Row],[EntryDateTime]])</f>
        <v>44621</v>
      </c>
      <c r="I1609" s="1">
        <f>IF(Query1[[#This Row],[ItemType]]="EVAP KIT SF GEN IV",Query1[[#This Row],[OrderQty]]+I1608,I1608)</f>
        <v>1794</v>
      </c>
      <c r="J1609" s="1">
        <f>IF(Query1[[#This Row],[ItemType]]="EVAP KIT UNIVERSAL",Query1[[#This Row],[OrderQty]]+J1608,J1608)</f>
        <v>771</v>
      </c>
      <c r="K1609" s="1">
        <f>Query1[[#This Row],[SF Running Total]]+Query1[[#This Row],[UNIV Running Total]]</f>
        <v>2565</v>
      </c>
      <c r="L1609">
        <f>VLOOKUP(Query1[[#This Row],[Description]],'kits to boards'!$B$2:$E$156,2,FALSE)</f>
        <v>830061</v>
      </c>
      <c r="M1609">
        <f>VLOOKUP(Query1[[#This Row],[Description]],'kits to boards'!$B$2:$E$156,3,FALSE)</f>
        <v>0</v>
      </c>
      <c r="N1609">
        <f>VLOOKUP(Query1[[#This Row],[Description]],'kits to boards'!$B$2:$E$156,4,FALSE)</f>
        <v>0</v>
      </c>
      <c r="O1609" t="str">
        <f>CONCATENATE(Query1[[#This Row],[Description]]," - ",Query1[[#This Row],[MB1]]," - ",Query1[[#This Row],[MB2]]," - ",Query1[[#This Row],[MB3]])</f>
        <v>EVAP KIT 68-69 CHEVELLE W/AC - 830061 - 0 - 0</v>
      </c>
    </row>
    <row r="1610" spans="1:15" x14ac:dyDescent="0.25">
      <c r="A1610" s="1">
        <v>913213</v>
      </c>
      <c r="B1610" s="1" t="s">
        <v>56</v>
      </c>
      <c r="C1610" s="1" t="s">
        <v>57</v>
      </c>
      <c r="D1610" s="2">
        <v>44621.654365775466</v>
      </c>
      <c r="E1610" s="1" t="s">
        <v>8</v>
      </c>
      <c r="F1610" s="1">
        <v>2</v>
      </c>
      <c r="G1610" s="1">
        <v>0</v>
      </c>
      <c r="H1610" s="6">
        <f>INT(Query1[[#This Row],[EntryDateTime]])</f>
        <v>44621</v>
      </c>
      <c r="I1610" s="1">
        <f>IF(Query1[[#This Row],[ItemType]]="EVAP KIT SF GEN IV",Query1[[#This Row],[OrderQty]]+I1609,I1609)</f>
        <v>1796</v>
      </c>
      <c r="J1610" s="1">
        <f>IF(Query1[[#This Row],[ItemType]]="EVAP KIT UNIVERSAL",Query1[[#This Row],[OrderQty]]+J1609,J1609)</f>
        <v>771</v>
      </c>
      <c r="K1610" s="1">
        <f>Query1[[#This Row],[SF Running Total]]+Query1[[#This Row],[UNIV Running Total]]</f>
        <v>2567</v>
      </c>
      <c r="L1610">
        <f>VLOOKUP(Query1[[#This Row],[Description]],'kits to boards'!$B$2:$E$156,2,FALSE)</f>
        <v>830011</v>
      </c>
      <c r="M1610">
        <f>VLOOKUP(Query1[[#This Row],[Description]],'kits to boards'!$B$2:$E$156,3,FALSE)</f>
        <v>0</v>
      </c>
      <c r="N1610">
        <f>VLOOKUP(Query1[[#This Row],[Description]],'kits to boards'!$B$2:$E$156,4,FALSE)</f>
        <v>0</v>
      </c>
      <c r="O1610" t="str">
        <f>CONCATENATE(Query1[[#This Row],[Description]]," - ",Query1[[#This Row],[MB1]]," - ",Query1[[#This Row],[MB2]]," - ",Query1[[#This Row],[MB3]])</f>
        <v>EVAP KIT 70-72 CHEVELLE W/AC - 830011 - 0 - 0</v>
      </c>
    </row>
    <row r="1611" spans="1:15" x14ac:dyDescent="0.25">
      <c r="A1611" s="1">
        <v>913213</v>
      </c>
      <c r="B1611" s="1" t="s">
        <v>42</v>
      </c>
      <c r="C1611" s="1" t="s">
        <v>43</v>
      </c>
      <c r="D1611" s="2">
        <v>44621.654390358795</v>
      </c>
      <c r="E1611" s="1" t="s">
        <v>8</v>
      </c>
      <c r="F1611" s="1">
        <v>2</v>
      </c>
      <c r="G1611" s="1">
        <v>0</v>
      </c>
      <c r="H1611" s="6">
        <f>INT(Query1[[#This Row],[EntryDateTime]])</f>
        <v>44621</v>
      </c>
      <c r="I1611" s="1">
        <f>IF(Query1[[#This Row],[ItemType]]="EVAP KIT SF GEN IV",Query1[[#This Row],[OrderQty]]+I1610,I1610)</f>
        <v>1798</v>
      </c>
      <c r="J1611" s="1">
        <f>IF(Query1[[#This Row],[ItemType]]="EVAP KIT UNIVERSAL",Query1[[#This Row],[OrderQty]]+J1610,J1610)</f>
        <v>771</v>
      </c>
      <c r="K1611" s="1">
        <f>Query1[[#This Row],[SF Running Total]]+Query1[[#This Row],[UNIV Running Total]]</f>
        <v>2569</v>
      </c>
      <c r="L1611">
        <f>VLOOKUP(Query1[[#This Row],[Description]],'kits to boards'!$B$2:$E$156,2,FALSE)</f>
        <v>830014</v>
      </c>
      <c r="M1611">
        <f>VLOOKUP(Query1[[#This Row],[Description]],'kits to boards'!$B$2:$E$156,3,FALSE)</f>
        <v>0</v>
      </c>
      <c r="N1611">
        <f>VLOOKUP(Query1[[#This Row],[Description]],'kits to boards'!$B$2:$E$156,4,FALSE)</f>
        <v>0</v>
      </c>
      <c r="O1611" t="str">
        <f>CONCATENATE(Query1[[#This Row],[Description]]," - ",Query1[[#This Row],[MB1]]," - ",Query1[[#This Row],[MB2]]," - ",Query1[[#This Row],[MB3]])</f>
        <v>EVAP KIT 67-72 CHEV P-UP WO AC - 830014 - 0 - 0</v>
      </c>
    </row>
    <row r="1612" spans="1:15" x14ac:dyDescent="0.25">
      <c r="A1612" s="1">
        <v>913213</v>
      </c>
      <c r="B1612" s="1" t="s">
        <v>120</v>
      </c>
      <c r="C1612" s="1" t="s">
        <v>121</v>
      </c>
      <c r="D1612" s="2">
        <v>44621.654392013887</v>
      </c>
      <c r="E1612" s="1" t="s">
        <v>8</v>
      </c>
      <c r="F1612" s="1">
        <v>1</v>
      </c>
      <c r="G1612" s="1">
        <v>0</v>
      </c>
      <c r="H1612" s="6">
        <f>INT(Query1[[#This Row],[EntryDateTime]])</f>
        <v>44621</v>
      </c>
      <c r="I1612" s="1">
        <f>IF(Query1[[#This Row],[ItemType]]="EVAP KIT SF GEN IV",Query1[[#This Row],[OrderQty]]+I1611,I1611)</f>
        <v>1799</v>
      </c>
      <c r="J1612" s="1">
        <f>IF(Query1[[#This Row],[ItemType]]="EVAP KIT UNIVERSAL",Query1[[#This Row],[OrderQty]]+J1611,J1611)</f>
        <v>771</v>
      </c>
      <c r="K1612" s="1">
        <f>Query1[[#This Row],[SF Running Total]]+Query1[[#This Row],[UNIV Running Total]]</f>
        <v>2570</v>
      </c>
      <c r="L1612">
        <f>VLOOKUP(Query1[[#This Row],[Description]],'kits to boards'!$B$2:$E$156,2,FALSE)</f>
        <v>830014</v>
      </c>
      <c r="M1612">
        <f>VLOOKUP(Query1[[#This Row],[Description]],'kits to boards'!$B$2:$E$156,3,FALSE)</f>
        <v>0</v>
      </c>
      <c r="N1612">
        <f>VLOOKUP(Query1[[#This Row],[Description]],'kits to boards'!$B$2:$E$156,4,FALSE)</f>
        <v>0</v>
      </c>
      <c r="O1612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1613" spans="1:15" x14ac:dyDescent="0.25">
      <c r="A1613" s="1">
        <v>913213</v>
      </c>
      <c r="B1613" s="1" t="s">
        <v>96</v>
      </c>
      <c r="C1613" s="1" t="s">
        <v>97</v>
      </c>
      <c r="D1613" s="2">
        <v>44621.654394641206</v>
      </c>
      <c r="E1613" s="1" t="s">
        <v>8</v>
      </c>
      <c r="F1613" s="1">
        <v>2</v>
      </c>
      <c r="G1613" s="1">
        <v>0</v>
      </c>
      <c r="H1613" s="6">
        <f>INT(Query1[[#This Row],[EntryDateTime]])</f>
        <v>44621</v>
      </c>
      <c r="I1613" s="1">
        <f>IF(Query1[[#This Row],[ItemType]]="EVAP KIT SF GEN IV",Query1[[#This Row],[OrderQty]]+I1612,I1612)</f>
        <v>1801</v>
      </c>
      <c r="J1613" s="1">
        <f>IF(Query1[[#This Row],[ItemType]]="EVAP KIT UNIVERSAL",Query1[[#This Row],[OrderQty]]+J1612,J1612)</f>
        <v>771</v>
      </c>
      <c r="K1613" s="1">
        <f>Query1[[#This Row],[SF Running Total]]+Query1[[#This Row],[UNIV Running Total]]</f>
        <v>2572</v>
      </c>
      <c r="L1613">
        <f>VLOOKUP(Query1[[#This Row],[Description]],'kits to boards'!$B$2:$E$156,2,FALSE)</f>
        <v>830004</v>
      </c>
      <c r="M1613">
        <f>VLOOKUP(Query1[[#This Row],[Description]],'kits to boards'!$B$2:$E$156,3,FALSE)</f>
        <v>0</v>
      </c>
      <c r="N1613">
        <f>VLOOKUP(Query1[[#This Row],[Description]],'kits to boards'!$B$2:$E$156,4,FALSE)</f>
        <v>0</v>
      </c>
      <c r="O1613" t="str">
        <f>CONCATENATE(Query1[[#This Row],[Description]]," - ",Query1[[#This Row],[MB1]]," - ",Query1[[#This Row],[MB2]]," - ",Query1[[#This Row],[MB3]])</f>
        <v>EVAP KIT 81-87 CHEV P-UP W/AC - 830004 - 0 - 0</v>
      </c>
    </row>
    <row r="1614" spans="1:15" x14ac:dyDescent="0.25">
      <c r="A1614" s="1">
        <v>913218</v>
      </c>
      <c r="B1614" s="1" t="s">
        <v>52</v>
      </c>
      <c r="C1614" s="1" t="s">
        <v>53</v>
      </c>
      <c r="D1614" s="2">
        <v>44621.670322337966</v>
      </c>
      <c r="E1614" s="1" t="s">
        <v>8</v>
      </c>
      <c r="F1614" s="1">
        <v>1</v>
      </c>
      <c r="G1614" s="1">
        <v>0</v>
      </c>
      <c r="H1614" s="6">
        <f>INT(Query1[[#This Row],[EntryDateTime]])</f>
        <v>44621</v>
      </c>
      <c r="I1614" s="1">
        <f>IF(Query1[[#This Row],[ItemType]]="EVAP KIT SF GEN IV",Query1[[#This Row],[OrderQty]]+I1613,I1613)</f>
        <v>1802</v>
      </c>
      <c r="J1614" s="1">
        <f>IF(Query1[[#This Row],[ItemType]]="EVAP KIT UNIVERSAL",Query1[[#This Row],[OrderQty]]+J1613,J1613)</f>
        <v>771</v>
      </c>
      <c r="K1614" s="1">
        <f>Query1[[#This Row],[SF Running Total]]+Query1[[#This Row],[UNIV Running Total]]</f>
        <v>2573</v>
      </c>
      <c r="L1614">
        <f>VLOOKUP(Query1[[#This Row],[Description]],'kits to boards'!$B$2:$E$156,2,FALSE)</f>
        <v>830017</v>
      </c>
      <c r="M1614">
        <f>VLOOKUP(Query1[[#This Row],[Description]],'kits to boards'!$B$2:$E$156,3,FALSE)</f>
        <v>830119</v>
      </c>
      <c r="N1614">
        <f>VLOOKUP(Query1[[#This Row],[Description]],'kits to boards'!$B$2:$E$156,4,FALSE)</f>
        <v>830120</v>
      </c>
      <c r="O1614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1615" spans="1:15" x14ac:dyDescent="0.25">
      <c r="A1615" s="1">
        <v>913219</v>
      </c>
      <c r="B1615" s="1" t="s">
        <v>244</v>
      </c>
      <c r="C1615" s="1" t="s">
        <v>245</v>
      </c>
      <c r="D1615" s="2">
        <v>44621.671813194444</v>
      </c>
      <c r="E1615" s="1" t="s">
        <v>8</v>
      </c>
      <c r="F1615" s="1">
        <v>1</v>
      </c>
      <c r="G1615" s="1">
        <v>0</v>
      </c>
      <c r="H1615" s="6">
        <f>INT(Query1[[#This Row],[EntryDateTime]])</f>
        <v>44621</v>
      </c>
      <c r="I1615" s="1">
        <f>IF(Query1[[#This Row],[ItemType]]="EVAP KIT SF GEN IV",Query1[[#This Row],[OrderQty]]+I1614,I1614)</f>
        <v>1803</v>
      </c>
      <c r="J1615" s="1">
        <f>IF(Query1[[#This Row],[ItemType]]="EVAP KIT UNIVERSAL",Query1[[#This Row],[OrderQty]]+J1614,J1614)</f>
        <v>771</v>
      </c>
      <c r="K1615" s="1">
        <f>Query1[[#This Row],[SF Running Total]]+Query1[[#This Row],[UNIV Running Total]]</f>
        <v>2574</v>
      </c>
      <c r="L1615">
        <f>VLOOKUP(Query1[[#This Row],[Description]],'kits to boards'!$B$2:$E$156,2,FALSE)</f>
        <v>830100</v>
      </c>
      <c r="M1615">
        <f>VLOOKUP(Query1[[#This Row],[Description]],'kits to boards'!$B$2:$E$156,3,FALSE)</f>
        <v>0</v>
      </c>
      <c r="N1615">
        <f>VLOOKUP(Query1[[#This Row],[Description]],'kits to boards'!$B$2:$E$156,4,FALSE)</f>
        <v>0</v>
      </c>
      <c r="O1615" t="str">
        <f>CONCATENATE(Query1[[#This Row],[Description]]," - ",Query1[[#This Row],[MB1]]," - ",Query1[[#This Row],[MB2]]," - ",Query1[[#This Row],[MB3]])</f>
        <v>EVAP KIT 68-76 VETTE WO AC - 830100 - 0 - 0</v>
      </c>
    </row>
    <row r="1616" spans="1:15" x14ac:dyDescent="0.25">
      <c r="A1616" s="1">
        <v>913212</v>
      </c>
      <c r="B1616" s="1" t="s">
        <v>106</v>
      </c>
      <c r="C1616" s="1" t="s">
        <v>107</v>
      </c>
      <c r="D1616" s="2">
        <v>44621.678471180552</v>
      </c>
      <c r="E1616" s="1" t="s">
        <v>8</v>
      </c>
      <c r="F1616" s="1">
        <v>1</v>
      </c>
      <c r="G1616" s="1">
        <v>0</v>
      </c>
      <c r="H1616" s="6">
        <f>INT(Query1[[#This Row],[EntryDateTime]])</f>
        <v>44621</v>
      </c>
      <c r="I1616" s="1">
        <f>IF(Query1[[#This Row],[ItemType]]="EVAP KIT SF GEN IV",Query1[[#This Row],[OrderQty]]+I1615,I1615)</f>
        <v>1804</v>
      </c>
      <c r="J1616" s="1">
        <f>IF(Query1[[#This Row],[ItemType]]="EVAP KIT UNIVERSAL",Query1[[#This Row],[OrderQty]]+J1615,J1615)</f>
        <v>771</v>
      </c>
      <c r="K1616" s="1">
        <f>Query1[[#This Row],[SF Running Total]]+Query1[[#This Row],[UNIV Running Total]]</f>
        <v>2575</v>
      </c>
      <c r="L1616">
        <f>VLOOKUP(Query1[[#This Row],[Description]],'kits to boards'!$B$2:$E$156,2,FALSE)</f>
        <v>830028</v>
      </c>
      <c r="M1616">
        <f>VLOOKUP(Query1[[#This Row],[Description]],'kits to boards'!$B$2:$E$156,3,FALSE)</f>
        <v>0</v>
      </c>
      <c r="N1616">
        <f>VLOOKUP(Query1[[#This Row],[Description]],'kits to boards'!$B$2:$E$156,4,FALSE)</f>
        <v>0</v>
      </c>
      <c r="O1616" t="str">
        <f>CONCATENATE(Query1[[#This Row],[Description]]," - ",Query1[[#This Row],[MB1]]," - ",Query1[[#This Row],[MB2]]," - ",Query1[[#This Row],[MB3]])</f>
        <v>EVAP KIT 55-59 CHEV P-UP WO AC W/DELX - 830028 - 0 - 0</v>
      </c>
    </row>
    <row r="1617" spans="1:15" x14ac:dyDescent="0.25">
      <c r="A1617" s="1">
        <v>913221</v>
      </c>
      <c r="B1617" s="1" t="s">
        <v>174</v>
      </c>
      <c r="C1617" s="1" t="s">
        <v>175</v>
      </c>
      <c r="D1617" s="2">
        <v>44621.679881215277</v>
      </c>
      <c r="E1617" s="1" t="s">
        <v>8</v>
      </c>
      <c r="F1617" s="1">
        <v>1</v>
      </c>
      <c r="G1617" s="1">
        <v>0</v>
      </c>
      <c r="H1617" s="6">
        <f>INT(Query1[[#This Row],[EntryDateTime]])</f>
        <v>44621</v>
      </c>
      <c r="I1617" s="1">
        <f>IF(Query1[[#This Row],[ItemType]]="EVAP KIT SF GEN IV",Query1[[#This Row],[OrderQty]]+I1616,I1616)</f>
        <v>1805</v>
      </c>
      <c r="J1617" s="1">
        <f>IF(Query1[[#This Row],[ItemType]]="EVAP KIT UNIVERSAL",Query1[[#This Row],[OrderQty]]+J1616,J1616)</f>
        <v>771</v>
      </c>
      <c r="K1617" s="1">
        <f>Query1[[#This Row],[SF Running Total]]+Query1[[#This Row],[UNIV Running Total]]</f>
        <v>2576</v>
      </c>
      <c r="L1617">
        <f>VLOOKUP(Query1[[#This Row],[Description]],'kits to boards'!$B$2:$E$156,2,FALSE)</f>
        <v>830007</v>
      </c>
      <c r="M1617">
        <f>VLOOKUP(Query1[[#This Row],[Description]],'kits to boards'!$B$2:$E$156,3,FALSE)</f>
        <v>0</v>
      </c>
      <c r="N1617">
        <f>VLOOKUP(Query1[[#This Row],[Description]],'kits to boards'!$B$2:$E$156,4,FALSE)</f>
        <v>0</v>
      </c>
      <c r="O1617" t="str">
        <f>CONCATENATE(Query1[[#This Row],[Description]]," - ",Query1[[#This Row],[MB1]]," - ",Query1[[#This Row],[MB2]]," - ",Query1[[#This Row],[MB3]])</f>
        <v>EVAP KIT 64 IMPALA W/AC - 830007 - 0 - 0</v>
      </c>
    </row>
    <row r="1618" spans="1:15" x14ac:dyDescent="0.25">
      <c r="A1618" s="1">
        <v>913226</v>
      </c>
      <c r="B1618" s="1" t="s">
        <v>124</v>
      </c>
      <c r="C1618" s="1" t="s">
        <v>125</v>
      </c>
      <c r="D1618" s="2">
        <v>44621.684455937502</v>
      </c>
      <c r="E1618" s="1" t="s">
        <v>8</v>
      </c>
      <c r="F1618" s="1">
        <v>2</v>
      </c>
      <c r="G1618" s="1">
        <v>0</v>
      </c>
      <c r="H1618" s="6">
        <f>INT(Query1[[#This Row],[EntryDateTime]])</f>
        <v>44621</v>
      </c>
      <c r="I1618" s="1">
        <f>IF(Query1[[#This Row],[ItemType]]="EVAP KIT SF GEN IV",Query1[[#This Row],[OrderQty]]+I1617,I1617)</f>
        <v>1807</v>
      </c>
      <c r="J1618" s="1">
        <f>IF(Query1[[#This Row],[ItemType]]="EVAP KIT UNIVERSAL",Query1[[#This Row],[OrderQty]]+J1617,J1617)</f>
        <v>771</v>
      </c>
      <c r="K1618" s="1">
        <f>Query1[[#This Row],[SF Running Total]]+Query1[[#This Row],[UNIV Running Total]]</f>
        <v>2578</v>
      </c>
      <c r="L1618">
        <f>VLOOKUP(Query1[[#This Row],[Description]],'kits to boards'!$B$2:$E$156,2,FALSE)</f>
        <v>830002</v>
      </c>
      <c r="M1618">
        <f>VLOOKUP(Query1[[#This Row],[Description]],'kits to boards'!$B$2:$E$156,3,FALSE)</f>
        <v>0</v>
      </c>
      <c r="N1618">
        <f>VLOOKUP(Query1[[#This Row],[Description]],'kits to boards'!$B$2:$E$156,4,FALSE)</f>
        <v>0</v>
      </c>
      <c r="O1618" t="str">
        <f>CONCATENATE(Query1[[#This Row],[Description]]," - ",Query1[[#This Row],[MB1]]," - ",Query1[[#This Row],[MB2]]," - ",Query1[[#This Row],[MB3]])</f>
        <v>EVAP KIT 73-80 CHEV P-UP WO AC - 830002 - 0 - 0</v>
      </c>
    </row>
    <row r="1619" spans="1:15" x14ac:dyDescent="0.25">
      <c r="A1619" s="1">
        <v>913239</v>
      </c>
      <c r="B1619" s="1" t="s">
        <v>108</v>
      </c>
      <c r="C1619" s="1" t="s">
        <v>109</v>
      </c>
      <c r="D1619" s="2">
        <v>44622.307794293978</v>
      </c>
      <c r="E1619" s="1" t="s">
        <v>8</v>
      </c>
      <c r="F1619" s="1">
        <v>1</v>
      </c>
      <c r="G1619" s="1">
        <v>0</v>
      </c>
      <c r="H1619" s="6">
        <f>INT(Query1[[#This Row],[EntryDateTime]])</f>
        <v>44622</v>
      </c>
      <c r="I1619" s="1">
        <f>IF(Query1[[#This Row],[ItemType]]="EVAP KIT SF GEN IV",Query1[[#This Row],[OrderQty]]+I1618,I1618)</f>
        <v>1808</v>
      </c>
      <c r="J1619" s="1">
        <f>IF(Query1[[#This Row],[ItemType]]="EVAP KIT UNIVERSAL",Query1[[#This Row],[OrderQty]]+J1618,J1618)</f>
        <v>771</v>
      </c>
      <c r="K1619" s="1">
        <f>Query1[[#This Row],[SF Running Total]]+Query1[[#This Row],[UNIV Running Total]]</f>
        <v>2579</v>
      </c>
      <c r="L1619">
        <f>VLOOKUP(Query1[[#This Row],[Description]],'kits to boards'!$B$2:$E$156,2,FALSE)</f>
        <v>830105</v>
      </c>
      <c r="M1619">
        <f>VLOOKUP(Query1[[#This Row],[Description]],'kits to boards'!$B$2:$E$156,3,FALSE)</f>
        <v>830106</v>
      </c>
      <c r="N1619">
        <f>VLOOKUP(Query1[[#This Row],[Description]],'kits to boards'!$B$2:$E$156,4,FALSE)</f>
        <v>0</v>
      </c>
      <c r="O1619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1620" spans="1:15" x14ac:dyDescent="0.25">
      <c r="A1620" s="1">
        <v>913241</v>
      </c>
      <c r="B1620" s="1" t="s">
        <v>106</v>
      </c>
      <c r="C1620" s="1" t="s">
        <v>107</v>
      </c>
      <c r="D1620" s="2">
        <v>44622.316738275462</v>
      </c>
      <c r="E1620" s="1" t="s">
        <v>8</v>
      </c>
      <c r="F1620" s="1">
        <v>1</v>
      </c>
      <c r="G1620" s="1">
        <v>0</v>
      </c>
      <c r="H1620" s="6">
        <f>INT(Query1[[#This Row],[EntryDateTime]])</f>
        <v>44622</v>
      </c>
      <c r="I1620" s="1">
        <f>IF(Query1[[#This Row],[ItemType]]="EVAP KIT SF GEN IV",Query1[[#This Row],[OrderQty]]+I1619,I1619)</f>
        <v>1809</v>
      </c>
      <c r="J1620" s="1">
        <f>IF(Query1[[#This Row],[ItemType]]="EVAP KIT UNIVERSAL",Query1[[#This Row],[OrderQty]]+J1619,J1619)</f>
        <v>771</v>
      </c>
      <c r="K1620" s="1">
        <f>Query1[[#This Row],[SF Running Total]]+Query1[[#This Row],[UNIV Running Total]]</f>
        <v>2580</v>
      </c>
      <c r="L1620">
        <f>VLOOKUP(Query1[[#This Row],[Description]],'kits to boards'!$B$2:$E$156,2,FALSE)</f>
        <v>830028</v>
      </c>
      <c r="M1620">
        <f>VLOOKUP(Query1[[#This Row],[Description]],'kits to boards'!$B$2:$E$156,3,FALSE)</f>
        <v>0</v>
      </c>
      <c r="N1620">
        <f>VLOOKUP(Query1[[#This Row],[Description]],'kits to boards'!$B$2:$E$156,4,FALSE)</f>
        <v>0</v>
      </c>
      <c r="O1620" t="str">
        <f>CONCATENATE(Query1[[#This Row],[Description]]," - ",Query1[[#This Row],[MB1]]," - ",Query1[[#This Row],[MB2]]," - ",Query1[[#This Row],[MB3]])</f>
        <v>EVAP KIT 55-59 CHEV P-UP WO AC W/DELX - 830028 - 0 - 0</v>
      </c>
    </row>
    <row r="1621" spans="1:15" x14ac:dyDescent="0.25">
      <c r="A1621" s="1">
        <v>912937</v>
      </c>
      <c r="B1621" s="1" t="s">
        <v>158</v>
      </c>
      <c r="C1621" s="1" t="s">
        <v>159</v>
      </c>
      <c r="D1621" s="2">
        <v>44622.318134259258</v>
      </c>
      <c r="E1621" s="1" t="s">
        <v>8</v>
      </c>
      <c r="F1621" s="1">
        <v>1</v>
      </c>
      <c r="G1621" s="1">
        <v>0</v>
      </c>
      <c r="H1621" s="6">
        <f>INT(Query1[[#This Row],[EntryDateTime]])</f>
        <v>44622</v>
      </c>
      <c r="I1621" s="1">
        <f>IF(Query1[[#This Row],[ItemType]]="EVAP KIT SF GEN IV",Query1[[#This Row],[OrderQty]]+I1620,I1620)</f>
        <v>1810</v>
      </c>
      <c r="J1621" s="1">
        <f>IF(Query1[[#This Row],[ItemType]]="EVAP KIT UNIVERSAL",Query1[[#This Row],[OrderQty]]+J1620,J1620)</f>
        <v>771</v>
      </c>
      <c r="K1621" s="1">
        <f>Query1[[#This Row],[SF Running Total]]+Query1[[#This Row],[UNIV Running Total]]</f>
        <v>2581</v>
      </c>
      <c r="L1621">
        <f>VLOOKUP(Query1[[#This Row],[Description]],'kits to boards'!$B$2:$E$156,2,FALSE)</f>
        <v>830080</v>
      </c>
      <c r="M1621">
        <f>VLOOKUP(Query1[[#This Row],[Description]],'kits to boards'!$B$2:$E$156,3,FALSE)</f>
        <v>830046</v>
      </c>
      <c r="N1621">
        <f>VLOOKUP(Query1[[#This Row],[Description]],'kits to boards'!$B$2:$E$156,4,FALSE)</f>
        <v>0</v>
      </c>
      <c r="O1621" t="str">
        <f>CONCATENATE(Query1[[#This Row],[Description]]," - ",Query1[[#This Row],[MB1]]," - ",Query1[[#This Row],[MB2]]," - ",Query1[[#This Row],[MB3]])</f>
        <v>EVAP KIT 69-70 MUSTANG W/AC  - 830080 - 830046 - 0</v>
      </c>
    </row>
    <row r="1622" spans="1:15" x14ac:dyDescent="0.25">
      <c r="A1622" s="1">
        <v>913243</v>
      </c>
      <c r="B1622" s="1" t="s">
        <v>38</v>
      </c>
      <c r="C1622" s="1" t="s">
        <v>39</v>
      </c>
      <c r="D1622" s="2">
        <v>44622.322911192132</v>
      </c>
      <c r="E1622" s="1" t="s">
        <v>8</v>
      </c>
      <c r="F1622" s="1">
        <v>1</v>
      </c>
      <c r="G1622" s="1">
        <v>0</v>
      </c>
      <c r="H1622" s="6">
        <f>INT(Query1[[#This Row],[EntryDateTime]])</f>
        <v>44622</v>
      </c>
      <c r="I1622" s="1">
        <f>IF(Query1[[#This Row],[ItemType]]="EVAP KIT SF GEN IV",Query1[[#This Row],[OrderQty]]+I1621,I1621)</f>
        <v>1811</v>
      </c>
      <c r="J1622" s="1">
        <f>IF(Query1[[#This Row],[ItemType]]="EVAP KIT UNIVERSAL",Query1[[#This Row],[OrderQty]]+J1621,J1621)</f>
        <v>771</v>
      </c>
      <c r="K1622" s="1">
        <f>Query1[[#This Row],[SF Running Total]]+Query1[[#This Row],[UNIV Running Total]]</f>
        <v>2582</v>
      </c>
      <c r="L1622">
        <f>VLOOKUP(Query1[[#This Row],[Description]],'kits to boards'!$B$2:$E$156,2,FALSE)</f>
        <v>830012</v>
      </c>
      <c r="M1622">
        <f>VLOOKUP(Query1[[#This Row],[Description]],'kits to boards'!$B$2:$E$156,3,FALSE)</f>
        <v>0</v>
      </c>
      <c r="N1622">
        <f>VLOOKUP(Query1[[#This Row],[Description]],'kits to boards'!$B$2:$E$156,4,FALSE)</f>
        <v>0</v>
      </c>
      <c r="O1622" t="str">
        <f>CONCATENATE(Query1[[#This Row],[Description]]," - ",Query1[[#This Row],[MB1]]," - ",Query1[[#This Row],[MB2]]," - ",Query1[[#This Row],[MB3]])</f>
        <v>EVAP KIT 69 CAMARO W/AC - 830012 - 0 - 0</v>
      </c>
    </row>
    <row r="1623" spans="1:15" x14ac:dyDescent="0.25">
      <c r="A1623" s="1">
        <v>913245</v>
      </c>
      <c r="B1623" s="1" t="s">
        <v>128</v>
      </c>
      <c r="C1623" s="1" t="s">
        <v>129</v>
      </c>
      <c r="D1623" s="2">
        <v>44622.324464548612</v>
      </c>
      <c r="E1623" s="1" t="s">
        <v>8</v>
      </c>
      <c r="F1623" s="1">
        <v>1</v>
      </c>
      <c r="G1623" s="1">
        <v>0</v>
      </c>
      <c r="H1623" s="6">
        <f>INT(Query1[[#This Row],[EntryDateTime]])</f>
        <v>44622</v>
      </c>
      <c r="I1623" s="1">
        <f>IF(Query1[[#This Row],[ItemType]]="EVAP KIT SF GEN IV",Query1[[#This Row],[OrderQty]]+I1622,I1622)</f>
        <v>1812</v>
      </c>
      <c r="J1623" s="1">
        <f>IF(Query1[[#This Row],[ItemType]]="EVAP KIT UNIVERSAL",Query1[[#This Row],[OrderQty]]+J1622,J1622)</f>
        <v>771</v>
      </c>
      <c r="K1623" s="1">
        <f>Query1[[#This Row],[SF Running Total]]+Query1[[#This Row],[UNIV Running Total]]</f>
        <v>2583</v>
      </c>
      <c r="L1623">
        <f>VLOOKUP(Query1[[#This Row],[Description]],'kits to boards'!$B$2:$E$156,2,FALSE)</f>
        <v>830036</v>
      </c>
      <c r="M1623">
        <f>VLOOKUP(Query1[[#This Row],[Description]],'kits to boards'!$B$2:$E$156,3,FALSE)</f>
        <v>830039</v>
      </c>
      <c r="N1623">
        <f>VLOOKUP(Query1[[#This Row],[Description]],'kits to boards'!$B$2:$E$156,4,FALSE)</f>
        <v>0</v>
      </c>
      <c r="O1623" t="str">
        <f>CONCATENATE(Query1[[#This Row],[Description]]," - ",Query1[[#This Row],[MB1]]," - ",Query1[[#This Row],[MB2]]," - ",Query1[[#This Row],[MB3]])</f>
        <v>EVAP KIT 63-66 VETTE WO AC - 830036 - 830039 - 0</v>
      </c>
    </row>
    <row r="1624" spans="1:15" x14ac:dyDescent="0.25">
      <c r="A1624" s="1">
        <v>913247</v>
      </c>
      <c r="B1624" s="1" t="s">
        <v>294</v>
      </c>
      <c r="C1624" s="1" t="s">
        <v>295</v>
      </c>
      <c r="D1624" s="2">
        <v>44622.32586646991</v>
      </c>
      <c r="E1624" s="1" t="s">
        <v>8</v>
      </c>
      <c r="F1624" s="1">
        <v>1</v>
      </c>
      <c r="G1624" s="1">
        <v>0</v>
      </c>
      <c r="H1624" s="6">
        <f>INT(Query1[[#This Row],[EntryDateTime]])</f>
        <v>44622</v>
      </c>
      <c r="I1624" s="1">
        <f>IF(Query1[[#This Row],[ItemType]]="EVAP KIT SF GEN IV",Query1[[#This Row],[OrderQty]]+I1623,I1623)</f>
        <v>1813</v>
      </c>
      <c r="J1624" s="1">
        <f>IF(Query1[[#This Row],[ItemType]]="EVAP KIT UNIVERSAL",Query1[[#This Row],[OrderQty]]+J1623,J1623)</f>
        <v>771</v>
      </c>
      <c r="K1624" s="1">
        <f>Query1[[#This Row],[SF Running Total]]+Query1[[#This Row],[UNIV Running Total]]</f>
        <v>2584</v>
      </c>
      <c r="L1624">
        <f>VLOOKUP(Query1[[#This Row],[Description]],'kits to boards'!$B$2:$E$156,2,FALSE)</f>
        <v>830006</v>
      </c>
      <c r="M1624">
        <f>VLOOKUP(Query1[[#This Row],[Description]],'kits to boards'!$B$2:$E$156,3,FALSE)</f>
        <v>0</v>
      </c>
      <c r="N1624">
        <f>VLOOKUP(Query1[[#This Row],[Description]],'kits to boards'!$B$2:$E$156,4,FALSE)</f>
        <v>0</v>
      </c>
      <c r="O1624" t="str">
        <f>CONCATENATE(Query1[[#This Row],[Description]]," - ",Query1[[#This Row],[MB1]]," - ",Query1[[#This Row],[MB2]]," - ",Query1[[#This Row],[MB3]])</f>
        <v>EVAP KIT 61-62 IMPALA W/AC - 830006 - 0 - 0</v>
      </c>
    </row>
    <row r="1625" spans="1:15" x14ac:dyDescent="0.25">
      <c r="A1625" s="1">
        <v>913250</v>
      </c>
      <c r="B1625" s="1" t="s">
        <v>96</v>
      </c>
      <c r="C1625" s="1" t="s">
        <v>97</v>
      </c>
      <c r="D1625" s="2">
        <v>44622.329245370369</v>
      </c>
      <c r="E1625" s="1" t="s">
        <v>8</v>
      </c>
      <c r="F1625" s="1">
        <v>1</v>
      </c>
      <c r="G1625" s="1">
        <v>0</v>
      </c>
      <c r="H1625" s="6">
        <f>INT(Query1[[#This Row],[EntryDateTime]])</f>
        <v>44622</v>
      </c>
      <c r="I1625" s="1">
        <f>IF(Query1[[#This Row],[ItemType]]="EVAP KIT SF GEN IV",Query1[[#This Row],[OrderQty]]+I1624,I1624)</f>
        <v>1814</v>
      </c>
      <c r="J1625" s="1">
        <f>IF(Query1[[#This Row],[ItemType]]="EVAP KIT UNIVERSAL",Query1[[#This Row],[OrderQty]]+J1624,J1624)</f>
        <v>771</v>
      </c>
      <c r="K1625" s="1">
        <f>Query1[[#This Row],[SF Running Total]]+Query1[[#This Row],[UNIV Running Total]]</f>
        <v>2585</v>
      </c>
      <c r="L1625">
        <f>VLOOKUP(Query1[[#This Row],[Description]],'kits to boards'!$B$2:$E$156,2,FALSE)</f>
        <v>830004</v>
      </c>
      <c r="M1625">
        <f>VLOOKUP(Query1[[#This Row],[Description]],'kits to boards'!$B$2:$E$156,3,FALSE)</f>
        <v>0</v>
      </c>
      <c r="N1625">
        <f>VLOOKUP(Query1[[#This Row],[Description]],'kits to boards'!$B$2:$E$156,4,FALSE)</f>
        <v>0</v>
      </c>
      <c r="O1625" t="str">
        <f>CONCATENATE(Query1[[#This Row],[Description]]," - ",Query1[[#This Row],[MB1]]," - ",Query1[[#This Row],[MB2]]," - ",Query1[[#This Row],[MB3]])</f>
        <v>EVAP KIT 81-87 CHEV P-UP W/AC - 830004 - 0 - 0</v>
      </c>
    </row>
    <row r="1626" spans="1:15" x14ac:dyDescent="0.25">
      <c r="A1626" s="1">
        <v>913008</v>
      </c>
      <c r="B1626" s="1" t="s">
        <v>56</v>
      </c>
      <c r="C1626" s="1" t="s">
        <v>57</v>
      </c>
      <c r="D1626" s="2">
        <v>44622.358866516202</v>
      </c>
      <c r="E1626" s="1" t="s">
        <v>8</v>
      </c>
      <c r="F1626" s="1">
        <v>1</v>
      </c>
      <c r="G1626" s="1">
        <v>0</v>
      </c>
      <c r="H1626" s="6">
        <f>INT(Query1[[#This Row],[EntryDateTime]])</f>
        <v>44622</v>
      </c>
      <c r="I1626" s="1">
        <f>IF(Query1[[#This Row],[ItemType]]="EVAP KIT SF GEN IV",Query1[[#This Row],[OrderQty]]+I1625,I1625)</f>
        <v>1815</v>
      </c>
      <c r="J1626" s="1">
        <f>IF(Query1[[#This Row],[ItemType]]="EVAP KIT UNIVERSAL",Query1[[#This Row],[OrderQty]]+J1625,J1625)</f>
        <v>771</v>
      </c>
      <c r="K1626" s="1">
        <f>Query1[[#This Row],[SF Running Total]]+Query1[[#This Row],[UNIV Running Total]]</f>
        <v>2586</v>
      </c>
      <c r="L1626">
        <f>VLOOKUP(Query1[[#This Row],[Description]],'kits to boards'!$B$2:$E$156,2,FALSE)</f>
        <v>830011</v>
      </c>
      <c r="M1626">
        <f>VLOOKUP(Query1[[#This Row],[Description]],'kits to boards'!$B$2:$E$156,3,FALSE)</f>
        <v>0</v>
      </c>
      <c r="N1626">
        <f>VLOOKUP(Query1[[#This Row],[Description]],'kits to boards'!$B$2:$E$156,4,FALSE)</f>
        <v>0</v>
      </c>
      <c r="O1626" t="str">
        <f>CONCATENATE(Query1[[#This Row],[Description]]," - ",Query1[[#This Row],[MB1]]," - ",Query1[[#This Row],[MB2]]," - ",Query1[[#This Row],[MB3]])</f>
        <v>EVAP KIT 70-72 CHEVELLE W/AC - 830011 - 0 - 0</v>
      </c>
    </row>
    <row r="1627" spans="1:15" x14ac:dyDescent="0.25">
      <c r="A1627" s="1">
        <v>913258</v>
      </c>
      <c r="B1627" s="1" t="s">
        <v>94</v>
      </c>
      <c r="C1627" s="1" t="s">
        <v>95</v>
      </c>
      <c r="D1627" s="2">
        <v>44622.367552546297</v>
      </c>
      <c r="E1627" s="1" t="s">
        <v>8</v>
      </c>
      <c r="F1627" s="1">
        <v>1</v>
      </c>
      <c r="G1627" s="1">
        <v>0</v>
      </c>
      <c r="H1627" s="6">
        <f>INT(Query1[[#This Row],[EntryDateTime]])</f>
        <v>44622</v>
      </c>
      <c r="I1627" s="1">
        <f>IF(Query1[[#This Row],[ItemType]]="EVAP KIT SF GEN IV",Query1[[#This Row],[OrderQty]]+I1626,I1626)</f>
        <v>1816</v>
      </c>
      <c r="J1627" s="1">
        <f>IF(Query1[[#This Row],[ItemType]]="EVAP KIT UNIVERSAL",Query1[[#This Row],[OrderQty]]+J1626,J1626)</f>
        <v>771</v>
      </c>
      <c r="K1627" s="1">
        <f>Query1[[#This Row],[SF Running Total]]+Query1[[#This Row],[UNIV Running Total]]</f>
        <v>2587</v>
      </c>
      <c r="L1627">
        <f>VLOOKUP(Query1[[#This Row],[Description]],'kits to boards'!$B$2:$E$156,2,FALSE)</f>
        <v>830076</v>
      </c>
      <c r="M1627">
        <f>VLOOKUP(Query1[[#This Row],[Description]],'kits to boards'!$B$2:$E$156,3,FALSE)</f>
        <v>0</v>
      </c>
      <c r="N1627">
        <f>VLOOKUP(Query1[[#This Row],[Description]],'kits to boards'!$B$2:$E$156,4,FALSE)</f>
        <v>0</v>
      </c>
      <c r="O1627" t="str">
        <f>CONCATENATE(Query1[[#This Row],[Description]]," - ",Query1[[#This Row],[MB1]]," - ",Query1[[#This Row],[MB2]]," - ",Query1[[#This Row],[MB3]])</f>
        <v>EVAP KIT 64 1/2- 66 MUSTANG  - 830076 - 0 - 0</v>
      </c>
    </row>
    <row r="1628" spans="1:15" x14ac:dyDescent="0.25">
      <c r="A1628" s="1">
        <v>913266</v>
      </c>
      <c r="B1628" s="1" t="s">
        <v>26</v>
      </c>
      <c r="C1628" s="1" t="s">
        <v>27</v>
      </c>
      <c r="D1628" s="2">
        <v>44622.369004166663</v>
      </c>
      <c r="E1628" s="1" t="s">
        <v>8</v>
      </c>
      <c r="F1628" s="1">
        <v>1</v>
      </c>
      <c r="G1628" s="1">
        <v>0</v>
      </c>
      <c r="H1628" s="6">
        <f>INT(Query1[[#This Row],[EntryDateTime]])</f>
        <v>44622</v>
      </c>
      <c r="I1628" s="1">
        <f>IF(Query1[[#This Row],[ItemType]]="EVAP KIT SF GEN IV",Query1[[#This Row],[OrderQty]]+I1627,I1627)</f>
        <v>1817</v>
      </c>
      <c r="J1628" s="1">
        <f>IF(Query1[[#This Row],[ItemType]]="EVAP KIT UNIVERSAL",Query1[[#This Row],[OrderQty]]+J1627,J1627)</f>
        <v>771</v>
      </c>
      <c r="K1628" s="1">
        <f>Query1[[#This Row],[SF Running Total]]+Query1[[#This Row],[UNIV Running Total]]</f>
        <v>2588</v>
      </c>
      <c r="L1628">
        <f>VLOOKUP(Query1[[#This Row],[Description]],'kits to boards'!$B$2:$E$156,2,FALSE)</f>
        <v>830013</v>
      </c>
      <c r="M1628">
        <f>VLOOKUP(Query1[[#This Row],[Description]],'kits to boards'!$B$2:$E$156,3,FALSE)</f>
        <v>0</v>
      </c>
      <c r="N1628">
        <f>VLOOKUP(Query1[[#This Row],[Description]],'kits to boards'!$B$2:$E$156,4,FALSE)</f>
        <v>0</v>
      </c>
      <c r="O1628" t="str">
        <f>CONCATENATE(Query1[[#This Row],[Description]]," - ",Query1[[#This Row],[MB1]]," - ",Query1[[#This Row],[MB2]]," - ",Query1[[#This Row],[MB3]])</f>
        <v>EVAP KIT 67-72 CHEV P-UP W/AC - 830013 - 0 - 0</v>
      </c>
    </row>
    <row r="1629" spans="1:15" x14ac:dyDescent="0.25">
      <c r="A1629" s="1">
        <v>913279</v>
      </c>
      <c r="B1629" s="1" t="s">
        <v>80</v>
      </c>
      <c r="C1629" s="1" t="s">
        <v>81</v>
      </c>
      <c r="D1629" s="2">
        <v>44622.37990767361</v>
      </c>
      <c r="E1629" s="1" t="s">
        <v>11</v>
      </c>
      <c r="F1629" s="1">
        <v>1</v>
      </c>
      <c r="G1629" s="1">
        <v>0</v>
      </c>
      <c r="H1629" s="6">
        <f>INT(Query1[[#This Row],[EntryDateTime]])</f>
        <v>44622</v>
      </c>
      <c r="I1629" s="1">
        <f>IF(Query1[[#This Row],[ItemType]]="EVAP KIT SF GEN IV",Query1[[#This Row],[OrderQty]]+I1628,I1628)</f>
        <v>1817</v>
      </c>
      <c r="J1629" s="1">
        <f>IF(Query1[[#This Row],[ItemType]]="EVAP KIT UNIVERSAL",Query1[[#This Row],[OrderQty]]+J1628,J1628)</f>
        <v>772</v>
      </c>
      <c r="K1629" s="1">
        <f>Query1[[#This Row],[SF Running Total]]+Query1[[#This Row],[UNIV Running Total]]</f>
        <v>2589</v>
      </c>
      <c r="L1629">
        <f>VLOOKUP(Query1[[#This Row],[Description]],'kits to boards'!$B$2:$E$156,2,FALSE)</f>
        <v>0</v>
      </c>
      <c r="M1629">
        <f>VLOOKUP(Query1[[#This Row],[Description]],'kits to boards'!$B$2:$E$156,3,FALSE)</f>
        <v>0</v>
      </c>
      <c r="N1629">
        <f>VLOOKUP(Query1[[#This Row],[Description]],'kits to boards'!$B$2:$E$156,4,FALSE)</f>
        <v>0</v>
      </c>
      <c r="O1629" t="str">
        <f>CONCATENATE(Query1[[#This Row],[Description]]," - ",Query1[[#This Row],[MB1]]," - ",Query1[[#This Row],[MB2]]," - ",Query1[[#This Row],[MB3]])</f>
        <v>HERITAGE BRUSHED EVAP KIT COOL ONLY - 0 - 0 - 0</v>
      </c>
    </row>
    <row r="1630" spans="1:15" x14ac:dyDescent="0.25">
      <c r="A1630" s="1">
        <v>913287</v>
      </c>
      <c r="B1630" s="1" t="s">
        <v>24</v>
      </c>
      <c r="C1630" s="1" t="s">
        <v>25</v>
      </c>
      <c r="D1630" s="2">
        <v>44622.389162187501</v>
      </c>
      <c r="E1630" s="1" t="s">
        <v>11</v>
      </c>
      <c r="F1630" s="1">
        <v>1</v>
      </c>
      <c r="G1630" s="1">
        <v>0</v>
      </c>
      <c r="H1630" s="6">
        <f>INT(Query1[[#This Row],[EntryDateTime]])</f>
        <v>44622</v>
      </c>
      <c r="I1630" s="1">
        <f>IF(Query1[[#This Row],[ItemType]]="EVAP KIT SF GEN IV",Query1[[#This Row],[OrderQty]]+I1629,I1629)</f>
        <v>1817</v>
      </c>
      <c r="J1630" s="1">
        <f>IF(Query1[[#This Row],[ItemType]]="EVAP KIT UNIVERSAL",Query1[[#This Row],[OrderQty]]+J1629,J1629)</f>
        <v>773</v>
      </c>
      <c r="K1630" s="1">
        <f>Query1[[#This Row],[SF Running Total]]+Query1[[#This Row],[UNIV Running Total]]</f>
        <v>2590</v>
      </c>
      <c r="L1630">
        <f>VLOOKUP(Query1[[#This Row],[Description]],'kits to boards'!$B$2:$E$156,2,FALSE)</f>
        <v>830029</v>
      </c>
      <c r="M1630">
        <f>VLOOKUP(Query1[[#This Row],[Description]],'kits to boards'!$B$2:$E$156,3,FALSE)</f>
        <v>830030</v>
      </c>
      <c r="N1630">
        <f>VLOOKUP(Query1[[#This Row],[Description]],'kits to boards'!$B$2:$E$156,4,FALSE)</f>
        <v>0</v>
      </c>
      <c r="O1630" t="str">
        <f>CONCATENATE(Query1[[#This Row],[Description]]," - ",Query1[[#This Row],[MB1]]," - ",Query1[[#This Row],[MB2]]," - ",Query1[[#This Row],[MB3]])</f>
        <v>ComPac GEN II W/DEF - 830029 - 830030 - 0</v>
      </c>
    </row>
    <row r="1631" spans="1:15" x14ac:dyDescent="0.25">
      <c r="A1631" s="1">
        <v>913289</v>
      </c>
      <c r="B1631" s="1" t="s">
        <v>24</v>
      </c>
      <c r="C1631" s="1" t="s">
        <v>25</v>
      </c>
      <c r="D1631" s="2">
        <v>44622.394804247684</v>
      </c>
      <c r="E1631" s="1" t="s">
        <v>11</v>
      </c>
      <c r="F1631" s="1">
        <v>1</v>
      </c>
      <c r="G1631" s="1">
        <v>0</v>
      </c>
      <c r="H1631" s="6">
        <f>INT(Query1[[#This Row],[EntryDateTime]])</f>
        <v>44622</v>
      </c>
      <c r="I1631" s="1">
        <f>IF(Query1[[#This Row],[ItemType]]="EVAP KIT SF GEN IV",Query1[[#This Row],[OrderQty]]+I1630,I1630)</f>
        <v>1817</v>
      </c>
      <c r="J1631" s="1">
        <f>IF(Query1[[#This Row],[ItemType]]="EVAP KIT UNIVERSAL",Query1[[#This Row],[OrderQty]]+J1630,J1630)</f>
        <v>774</v>
      </c>
      <c r="K1631" s="1">
        <f>Query1[[#This Row],[SF Running Total]]+Query1[[#This Row],[UNIV Running Total]]</f>
        <v>2591</v>
      </c>
      <c r="L1631">
        <f>VLOOKUP(Query1[[#This Row],[Description]],'kits to boards'!$B$2:$E$156,2,FALSE)</f>
        <v>830029</v>
      </c>
      <c r="M1631">
        <f>VLOOKUP(Query1[[#This Row],[Description]],'kits to boards'!$B$2:$E$156,3,FALSE)</f>
        <v>830030</v>
      </c>
      <c r="N1631">
        <f>VLOOKUP(Query1[[#This Row],[Description]],'kits to boards'!$B$2:$E$156,4,FALSE)</f>
        <v>0</v>
      </c>
      <c r="O1631" t="str">
        <f>CONCATENATE(Query1[[#This Row],[Description]]," - ",Query1[[#This Row],[MB1]]," - ",Query1[[#This Row],[MB2]]," - ",Query1[[#This Row],[MB3]])</f>
        <v>ComPac GEN II W/DEF - 830029 - 830030 - 0</v>
      </c>
    </row>
    <row r="1632" spans="1:15" x14ac:dyDescent="0.25">
      <c r="A1632" s="1">
        <v>913291</v>
      </c>
      <c r="B1632" s="1" t="s">
        <v>108</v>
      </c>
      <c r="C1632" s="1" t="s">
        <v>109</v>
      </c>
      <c r="D1632" s="2">
        <v>44622.406953043981</v>
      </c>
      <c r="E1632" s="1" t="s">
        <v>8</v>
      </c>
      <c r="F1632" s="1">
        <v>1</v>
      </c>
      <c r="G1632" s="1">
        <v>0</v>
      </c>
      <c r="H1632" s="6">
        <f>INT(Query1[[#This Row],[EntryDateTime]])</f>
        <v>44622</v>
      </c>
      <c r="I1632" s="1">
        <f>IF(Query1[[#This Row],[ItemType]]="EVAP KIT SF GEN IV",Query1[[#This Row],[OrderQty]]+I1631,I1631)</f>
        <v>1818</v>
      </c>
      <c r="J1632" s="1">
        <f>IF(Query1[[#This Row],[ItemType]]="EVAP KIT UNIVERSAL",Query1[[#This Row],[OrderQty]]+J1631,J1631)</f>
        <v>774</v>
      </c>
      <c r="K1632" s="1">
        <f>Query1[[#This Row],[SF Running Total]]+Query1[[#This Row],[UNIV Running Total]]</f>
        <v>2592</v>
      </c>
      <c r="L1632">
        <f>VLOOKUP(Query1[[#This Row],[Description]],'kits to boards'!$B$2:$E$156,2,FALSE)</f>
        <v>830105</v>
      </c>
      <c r="M1632">
        <f>VLOOKUP(Query1[[#This Row],[Description]],'kits to boards'!$B$2:$E$156,3,FALSE)</f>
        <v>830106</v>
      </c>
      <c r="N1632">
        <f>VLOOKUP(Query1[[#This Row],[Description]],'kits to boards'!$B$2:$E$156,4,FALSE)</f>
        <v>0</v>
      </c>
      <c r="O1632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1633" spans="1:15" x14ac:dyDescent="0.25">
      <c r="A1633" s="1">
        <v>913292</v>
      </c>
      <c r="B1633" s="1" t="s">
        <v>34</v>
      </c>
      <c r="C1633" s="1" t="s">
        <v>35</v>
      </c>
      <c r="D1633" s="2">
        <v>44622.410292326385</v>
      </c>
      <c r="E1633" s="1" t="s">
        <v>8</v>
      </c>
      <c r="F1633" s="1">
        <v>1</v>
      </c>
      <c r="G1633" s="1">
        <v>0</v>
      </c>
      <c r="H1633" s="6">
        <f>INT(Query1[[#This Row],[EntryDateTime]])</f>
        <v>44622</v>
      </c>
      <c r="I1633" s="1">
        <f>IF(Query1[[#This Row],[ItemType]]="EVAP KIT SF GEN IV",Query1[[#This Row],[OrderQty]]+I1632,I1632)</f>
        <v>1819</v>
      </c>
      <c r="J1633" s="1">
        <f>IF(Query1[[#This Row],[ItemType]]="EVAP KIT UNIVERSAL",Query1[[#This Row],[OrderQty]]+J1632,J1632)</f>
        <v>774</v>
      </c>
      <c r="K1633" s="1">
        <f>Query1[[#This Row],[SF Running Total]]+Query1[[#This Row],[UNIV Running Total]]</f>
        <v>2593</v>
      </c>
      <c r="L1633">
        <f>VLOOKUP(Query1[[#This Row],[Description]],'kits to boards'!$B$2:$E$156,2,FALSE)</f>
        <v>830065</v>
      </c>
      <c r="M1633">
        <f>VLOOKUP(Query1[[#This Row],[Description]],'kits to boards'!$B$2:$E$156,3,FALSE)</f>
        <v>0</v>
      </c>
      <c r="N1633">
        <f>VLOOKUP(Query1[[#This Row],[Description]],'kits to boards'!$B$2:$E$156,4,FALSE)</f>
        <v>0</v>
      </c>
      <c r="O1633" t="str">
        <f>CONCATENATE(Query1[[#This Row],[Description]]," - ",Query1[[#This Row],[MB1]]," - ",Query1[[#This Row],[MB2]]," - ",Query1[[#This Row],[MB3]])</f>
        <v>EVAP KIT 57 CHEV WO AC - 830065 - 0 - 0</v>
      </c>
    </row>
    <row r="1634" spans="1:15" x14ac:dyDescent="0.25">
      <c r="A1634" s="1">
        <v>913293</v>
      </c>
      <c r="B1634" s="1" t="s">
        <v>108</v>
      </c>
      <c r="C1634" s="1" t="s">
        <v>109</v>
      </c>
      <c r="D1634" s="2">
        <v>44622.416158298613</v>
      </c>
      <c r="E1634" s="1" t="s">
        <v>8</v>
      </c>
      <c r="F1634" s="1">
        <v>1</v>
      </c>
      <c r="G1634" s="1">
        <v>0</v>
      </c>
      <c r="H1634" s="6">
        <f>INT(Query1[[#This Row],[EntryDateTime]])</f>
        <v>44622</v>
      </c>
      <c r="I1634" s="1">
        <f>IF(Query1[[#This Row],[ItemType]]="EVAP KIT SF GEN IV",Query1[[#This Row],[OrderQty]]+I1633,I1633)</f>
        <v>1820</v>
      </c>
      <c r="J1634" s="1">
        <f>IF(Query1[[#This Row],[ItemType]]="EVAP KIT UNIVERSAL",Query1[[#This Row],[OrderQty]]+J1633,J1633)</f>
        <v>774</v>
      </c>
      <c r="K1634" s="1">
        <f>Query1[[#This Row],[SF Running Total]]+Query1[[#This Row],[UNIV Running Total]]</f>
        <v>2594</v>
      </c>
      <c r="L1634">
        <f>VLOOKUP(Query1[[#This Row],[Description]],'kits to boards'!$B$2:$E$156,2,FALSE)</f>
        <v>830105</v>
      </c>
      <c r="M1634">
        <f>VLOOKUP(Query1[[#This Row],[Description]],'kits to boards'!$B$2:$E$156,3,FALSE)</f>
        <v>830106</v>
      </c>
      <c r="N1634">
        <f>VLOOKUP(Query1[[#This Row],[Description]],'kits to boards'!$B$2:$E$156,4,FALSE)</f>
        <v>0</v>
      </c>
      <c r="O1634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1635" spans="1:15" x14ac:dyDescent="0.25">
      <c r="A1635" s="1">
        <v>911809</v>
      </c>
      <c r="B1635" s="1" t="s">
        <v>70</v>
      </c>
      <c r="C1635" s="1" t="s">
        <v>71</v>
      </c>
      <c r="D1635" s="2">
        <v>44622.428379432873</v>
      </c>
      <c r="E1635" s="1" t="s">
        <v>8</v>
      </c>
      <c r="F1635" s="1">
        <v>1</v>
      </c>
      <c r="G1635" s="1">
        <v>0</v>
      </c>
      <c r="H1635" s="6">
        <f>INT(Query1[[#This Row],[EntryDateTime]])</f>
        <v>44622</v>
      </c>
      <c r="I1635" s="1">
        <f>IF(Query1[[#This Row],[ItemType]]="EVAP KIT SF GEN IV",Query1[[#This Row],[OrderQty]]+I1634,I1634)</f>
        <v>1821</v>
      </c>
      <c r="J1635" s="1">
        <f>IF(Query1[[#This Row],[ItemType]]="EVAP KIT UNIVERSAL",Query1[[#This Row],[OrderQty]]+J1634,J1634)</f>
        <v>774</v>
      </c>
      <c r="K1635" s="1">
        <f>Query1[[#This Row],[SF Running Total]]+Query1[[#This Row],[UNIV Running Total]]</f>
        <v>2595</v>
      </c>
      <c r="L1635">
        <f>VLOOKUP(Query1[[#This Row],[Description]],'kits to boards'!$B$2:$E$156,2,FALSE)</f>
        <v>830050</v>
      </c>
      <c r="M1635">
        <f>VLOOKUP(Query1[[#This Row],[Description]],'kits to boards'!$B$2:$E$156,3,FALSE)</f>
        <v>0</v>
      </c>
      <c r="N1635">
        <f>VLOOKUP(Query1[[#This Row],[Description]],'kits to boards'!$B$2:$E$156,4,FALSE)</f>
        <v>0</v>
      </c>
      <c r="O1635" t="str">
        <f>CONCATENATE(Query1[[#This Row],[Description]]," - ",Query1[[#This Row],[MB1]]," - ",Query1[[#This Row],[MB2]]," - ",Query1[[#This Row],[MB3]])</f>
        <v>EVAP KIT 70-78 CAMARO WO AC - 830050 - 0 - 0</v>
      </c>
    </row>
    <row r="1636" spans="1:15" x14ac:dyDescent="0.25">
      <c r="A1636" s="1">
        <v>913307</v>
      </c>
      <c r="B1636" s="1" t="s">
        <v>36</v>
      </c>
      <c r="C1636" s="1" t="s">
        <v>37</v>
      </c>
      <c r="D1636" s="2">
        <v>44622.454161145833</v>
      </c>
      <c r="E1636" s="1" t="s">
        <v>8</v>
      </c>
      <c r="F1636" s="1">
        <v>1</v>
      </c>
      <c r="G1636" s="1">
        <v>0</v>
      </c>
      <c r="H1636" s="6">
        <f>INT(Query1[[#This Row],[EntryDateTime]])</f>
        <v>44622</v>
      </c>
      <c r="I1636" s="1">
        <f>IF(Query1[[#This Row],[ItemType]]="EVAP KIT SF GEN IV",Query1[[#This Row],[OrderQty]]+I1635,I1635)</f>
        <v>1822</v>
      </c>
      <c r="J1636" s="1">
        <f>IF(Query1[[#This Row],[ItemType]]="EVAP KIT UNIVERSAL",Query1[[#This Row],[OrderQty]]+J1635,J1635)</f>
        <v>774</v>
      </c>
      <c r="K1636" s="1">
        <f>Query1[[#This Row],[SF Running Total]]+Query1[[#This Row],[UNIV Running Total]]</f>
        <v>2596</v>
      </c>
      <c r="L1636">
        <f>VLOOKUP(Query1[[#This Row],[Description]],'kits to boards'!$B$2:$E$156,2,FALSE)</f>
        <v>830015</v>
      </c>
      <c r="M1636">
        <f>VLOOKUP(Query1[[#This Row],[Description]],'kits to boards'!$B$2:$E$156,3,FALSE)</f>
        <v>0</v>
      </c>
      <c r="N1636">
        <f>VLOOKUP(Query1[[#This Row],[Description]],'kits to boards'!$B$2:$E$156,4,FALSE)</f>
        <v>0</v>
      </c>
      <c r="O1636" t="str">
        <f>CONCATENATE(Query1[[#This Row],[Description]]," - ",Query1[[#This Row],[MB1]]," - ",Query1[[#This Row],[MB2]]," - ",Query1[[#This Row],[MB3]])</f>
        <v>EVAP KIT 64-66 CHEV P-UP WO AC W/STD - 830015 - 0 - 0</v>
      </c>
    </row>
    <row r="1637" spans="1:15" x14ac:dyDescent="0.25">
      <c r="A1637" s="1">
        <v>913335</v>
      </c>
      <c r="B1637" s="1" t="s">
        <v>60</v>
      </c>
      <c r="C1637" s="1" t="s">
        <v>61</v>
      </c>
      <c r="D1637" s="2">
        <v>44622.500842326386</v>
      </c>
      <c r="E1637" s="1" t="s">
        <v>8</v>
      </c>
      <c r="F1637" s="1">
        <v>1</v>
      </c>
      <c r="G1637" s="1">
        <v>0</v>
      </c>
      <c r="H1637" s="6">
        <f>INT(Query1[[#This Row],[EntryDateTime]])</f>
        <v>44622</v>
      </c>
      <c r="I1637" s="1">
        <f>IF(Query1[[#This Row],[ItemType]]="EVAP KIT SF GEN IV",Query1[[#This Row],[OrderQty]]+I1636,I1636)</f>
        <v>1823</v>
      </c>
      <c r="J1637" s="1">
        <f>IF(Query1[[#This Row],[ItemType]]="EVAP KIT UNIVERSAL",Query1[[#This Row],[OrderQty]]+J1636,J1636)</f>
        <v>774</v>
      </c>
      <c r="K1637" s="1">
        <f>Query1[[#This Row],[SF Running Total]]+Query1[[#This Row],[UNIV Running Total]]</f>
        <v>2597</v>
      </c>
      <c r="L1637">
        <f>VLOOKUP(Query1[[#This Row],[Description]],'kits to boards'!$B$2:$E$156,2,FALSE)</f>
        <v>830062</v>
      </c>
      <c r="M1637">
        <f>VLOOKUP(Query1[[#This Row],[Description]],'kits to boards'!$B$2:$E$156,3,FALSE)</f>
        <v>0</v>
      </c>
      <c r="N1637">
        <f>VLOOKUP(Query1[[#This Row],[Description]],'kits to boards'!$B$2:$E$156,4,FALSE)</f>
        <v>0</v>
      </c>
      <c r="O1637" t="str">
        <f>CONCATENATE(Query1[[#This Row],[Description]]," - ",Query1[[#This Row],[MB1]]," - ",Query1[[#This Row],[MB2]]," - ",Query1[[#This Row],[MB3]])</f>
        <v>EVAP KIT 68-69 CHEVELLE WO AC - 830062 - 0 - 0</v>
      </c>
    </row>
    <row r="1638" spans="1:15" x14ac:dyDescent="0.25">
      <c r="A1638" s="1">
        <v>913351</v>
      </c>
      <c r="B1638" s="1" t="s">
        <v>26</v>
      </c>
      <c r="C1638" s="1" t="s">
        <v>27</v>
      </c>
      <c r="D1638" s="2">
        <v>44622.534907291665</v>
      </c>
      <c r="E1638" s="1" t="s">
        <v>8</v>
      </c>
      <c r="F1638" s="1">
        <v>1</v>
      </c>
      <c r="G1638" s="1">
        <v>0</v>
      </c>
      <c r="H1638" s="6">
        <f>INT(Query1[[#This Row],[EntryDateTime]])</f>
        <v>44622</v>
      </c>
      <c r="I1638" s="1">
        <f>IF(Query1[[#This Row],[ItemType]]="EVAP KIT SF GEN IV",Query1[[#This Row],[OrderQty]]+I1637,I1637)</f>
        <v>1824</v>
      </c>
      <c r="J1638" s="1">
        <f>IF(Query1[[#This Row],[ItemType]]="EVAP KIT UNIVERSAL",Query1[[#This Row],[OrderQty]]+J1637,J1637)</f>
        <v>774</v>
      </c>
      <c r="K1638" s="1">
        <f>Query1[[#This Row],[SF Running Total]]+Query1[[#This Row],[UNIV Running Total]]</f>
        <v>2598</v>
      </c>
      <c r="L1638">
        <f>VLOOKUP(Query1[[#This Row],[Description]],'kits to boards'!$B$2:$E$156,2,FALSE)</f>
        <v>830013</v>
      </c>
      <c r="M1638">
        <f>VLOOKUP(Query1[[#This Row],[Description]],'kits to boards'!$B$2:$E$156,3,FALSE)</f>
        <v>0</v>
      </c>
      <c r="N1638">
        <f>VLOOKUP(Query1[[#This Row],[Description]],'kits to boards'!$B$2:$E$156,4,FALSE)</f>
        <v>0</v>
      </c>
      <c r="O1638" t="str">
        <f>CONCATENATE(Query1[[#This Row],[Description]]," - ",Query1[[#This Row],[MB1]]," - ",Query1[[#This Row],[MB2]]," - ",Query1[[#This Row],[MB3]])</f>
        <v>EVAP KIT 67-72 CHEV P-UP W/AC - 830013 - 0 - 0</v>
      </c>
    </row>
    <row r="1639" spans="1:15" x14ac:dyDescent="0.25">
      <c r="A1639" s="1">
        <v>913137</v>
      </c>
      <c r="B1639" s="1" t="s">
        <v>90</v>
      </c>
      <c r="C1639" s="1" t="s">
        <v>91</v>
      </c>
      <c r="D1639" s="2">
        <v>44622.557258645837</v>
      </c>
      <c r="E1639" s="1" t="s">
        <v>8</v>
      </c>
      <c r="F1639" s="1">
        <v>1</v>
      </c>
      <c r="G1639" s="1">
        <v>0</v>
      </c>
      <c r="H1639" s="6">
        <f>INT(Query1[[#This Row],[EntryDateTime]])</f>
        <v>44622</v>
      </c>
      <c r="I1639" s="1">
        <f>IF(Query1[[#This Row],[ItemType]]="EVAP KIT SF GEN IV",Query1[[#This Row],[OrderQty]]+I1638,I1638)</f>
        <v>1825</v>
      </c>
      <c r="J1639" s="1">
        <f>IF(Query1[[#This Row],[ItemType]]="EVAP KIT UNIVERSAL",Query1[[#This Row],[OrderQty]]+J1638,J1638)</f>
        <v>774</v>
      </c>
      <c r="K1639" s="1">
        <f>Query1[[#This Row],[SF Running Total]]+Query1[[#This Row],[UNIV Running Total]]</f>
        <v>2599</v>
      </c>
      <c r="L1639">
        <f>VLOOKUP(Query1[[#This Row],[Description]],'kits to boards'!$B$2:$E$156,2,FALSE)</f>
        <v>830105</v>
      </c>
      <c r="M1639">
        <f>VLOOKUP(Query1[[#This Row],[Description]],'kits to boards'!$B$2:$E$156,3,FALSE)</f>
        <v>830106</v>
      </c>
      <c r="N1639">
        <f>VLOOKUP(Query1[[#This Row],[Description]],'kits to boards'!$B$2:$E$156,4,FALSE)</f>
        <v>0</v>
      </c>
      <c r="O1639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1640" spans="1:15" x14ac:dyDescent="0.25">
      <c r="A1640" s="1">
        <v>913338</v>
      </c>
      <c r="B1640" s="1" t="s">
        <v>28</v>
      </c>
      <c r="C1640" s="1" t="s">
        <v>29</v>
      </c>
      <c r="D1640" s="2">
        <v>44622.557587499999</v>
      </c>
      <c r="E1640" s="1" t="s">
        <v>8</v>
      </c>
      <c r="F1640" s="1">
        <v>1</v>
      </c>
      <c r="G1640" s="1">
        <v>0</v>
      </c>
      <c r="H1640" s="6">
        <f>INT(Query1[[#This Row],[EntryDateTime]])</f>
        <v>44622</v>
      </c>
      <c r="I1640" s="1">
        <f>IF(Query1[[#This Row],[ItemType]]="EVAP KIT SF GEN IV",Query1[[#This Row],[OrderQty]]+I1639,I1639)</f>
        <v>1826</v>
      </c>
      <c r="J1640" s="1">
        <f>IF(Query1[[#This Row],[ItemType]]="EVAP KIT UNIVERSAL",Query1[[#This Row],[OrderQty]]+J1639,J1639)</f>
        <v>774</v>
      </c>
      <c r="K1640" s="1">
        <f>Query1[[#This Row],[SF Running Total]]+Query1[[#This Row],[UNIV Running Total]]</f>
        <v>2600</v>
      </c>
      <c r="L1640">
        <f>VLOOKUP(Query1[[#This Row],[Description]],'kits to boards'!$B$2:$E$156,2,FALSE)</f>
        <v>830001</v>
      </c>
      <c r="M1640">
        <f>VLOOKUP(Query1[[#This Row],[Description]],'kits to boards'!$B$2:$E$156,3,FALSE)</f>
        <v>0</v>
      </c>
      <c r="N1640">
        <f>VLOOKUP(Query1[[#This Row],[Description]],'kits to boards'!$B$2:$E$156,4,FALSE)</f>
        <v>0</v>
      </c>
      <c r="O1640" t="str">
        <f>CONCATENATE(Query1[[#This Row],[Description]]," - ",Query1[[#This Row],[MB1]]," - ",Query1[[#This Row],[MB2]]," - ",Query1[[#This Row],[MB3]])</f>
        <v>EVAP KIT 73-80 CHEV P-UP W/AC - 830001 - 0 - 0</v>
      </c>
    </row>
    <row r="1641" spans="1:15" x14ac:dyDescent="0.25">
      <c r="A1641" s="1">
        <v>913336</v>
      </c>
      <c r="B1641" s="1" t="s">
        <v>62</v>
      </c>
      <c r="C1641" s="1" t="s">
        <v>63</v>
      </c>
      <c r="D1641" s="2">
        <v>44622.562890856483</v>
      </c>
      <c r="E1641" s="1" t="s">
        <v>8</v>
      </c>
      <c r="F1641" s="1">
        <v>1</v>
      </c>
      <c r="G1641" s="1">
        <v>0</v>
      </c>
      <c r="H1641" s="6">
        <f>INT(Query1[[#This Row],[EntryDateTime]])</f>
        <v>44622</v>
      </c>
      <c r="I1641" s="1">
        <f>IF(Query1[[#This Row],[ItemType]]="EVAP KIT SF GEN IV",Query1[[#This Row],[OrderQty]]+I1640,I1640)</f>
        <v>1827</v>
      </c>
      <c r="J1641" s="1">
        <f>IF(Query1[[#This Row],[ItemType]]="EVAP KIT UNIVERSAL",Query1[[#This Row],[OrderQty]]+J1640,J1640)</f>
        <v>774</v>
      </c>
      <c r="K1641" s="1">
        <f>Query1[[#This Row],[SF Running Total]]+Query1[[#This Row],[UNIV Running Total]]</f>
        <v>2601</v>
      </c>
      <c r="L1641">
        <f>VLOOKUP(Query1[[#This Row],[Description]],'kits to boards'!$B$2:$E$156,2,FALSE)</f>
        <v>830079</v>
      </c>
      <c r="M1641">
        <f>VLOOKUP(Query1[[#This Row],[Description]],'kits to boards'!$B$2:$E$156,3,FALSE)</f>
        <v>830046</v>
      </c>
      <c r="N1641">
        <f>VLOOKUP(Query1[[#This Row],[Description]],'kits to boards'!$B$2:$E$156,4,FALSE)</f>
        <v>0</v>
      </c>
      <c r="O1641" t="str">
        <f>CONCATENATE(Query1[[#This Row],[Description]]," - ",Query1[[#This Row],[MB1]]," - ",Query1[[#This Row],[MB2]]," - ",Query1[[#This Row],[MB3]])</f>
        <v>EVAP KIT 67-68 MUSTANG/COUGAR WO AC - 830079 - 830046 - 0</v>
      </c>
    </row>
    <row r="1642" spans="1:15" x14ac:dyDescent="0.25">
      <c r="A1642" s="1">
        <v>913333</v>
      </c>
      <c r="B1642" s="1" t="s">
        <v>36</v>
      </c>
      <c r="C1642" s="1" t="s">
        <v>37</v>
      </c>
      <c r="D1642" s="2">
        <v>44622.563584178242</v>
      </c>
      <c r="E1642" s="1" t="s">
        <v>8</v>
      </c>
      <c r="F1642" s="1">
        <v>1</v>
      </c>
      <c r="G1642" s="1">
        <v>0</v>
      </c>
      <c r="H1642" s="6">
        <f>INT(Query1[[#This Row],[EntryDateTime]])</f>
        <v>44622</v>
      </c>
      <c r="I1642" s="1">
        <f>IF(Query1[[#This Row],[ItemType]]="EVAP KIT SF GEN IV",Query1[[#This Row],[OrderQty]]+I1641,I1641)</f>
        <v>1828</v>
      </c>
      <c r="J1642" s="1">
        <f>IF(Query1[[#This Row],[ItemType]]="EVAP KIT UNIVERSAL",Query1[[#This Row],[OrderQty]]+J1641,J1641)</f>
        <v>774</v>
      </c>
      <c r="K1642" s="1">
        <f>Query1[[#This Row],[SF Running Total]]+Query1[[#This Row],[UNIV Running Total]]</f>
        <v>2602</v>
      </c>
      <c r="L1642">
        <f>VLOOKUP(Query1[[#This Row],[Description]],'kits to boards'!$B$2:$E$156,2,FALSE)</f>
        <v>830015</v>
      </c>
      <c r="M1642">
        <f>VLOOKUP(Query1[[#This Row],[Description]],'kits to boards'!$B$2:$E$156,3,FALSE)</f>
        <v>0</v>
      </c>
      <c r="N1642">
        <f>VLOOKUP(Query1[[#This Row],[Description]],'kits to boards'!$B$2:$E$156,4,FALSE)</f>
        <v>0</v>
      </c>
      <c r="O1642" t="str">
        <f>CONCATENATE(Query1[[#This Row],[Description]]," - ",Query1[[#This Row],[MB1]]," - ",Query1[[#This Row],[MB2]]," - ",Query1[[#This Row],[MB3]])</f>
        <v>EVAP KIT 64-66 CHEV P-UP WO AC W/STD - 830015 - 0 - 0</v>
      </c>
    </row>
    <row r="1643" spans="1:15" x14ac:dyDescent="0.25">
      <c r="A1643" s="1">
        <v>913359</v>
      </c>
      <c r="B1643" s="1" t="s">
        <v>40</v>
      </c>
      <c r="C1643" s="1" t="s">
        <v>246</v>
      </c>
      <c r="D1643" s="2">
        <v>44622.563904664348</v>
      </c>
      <c r="E1643" s="1" t="s">
        <v>8</v>
      </c>
      <c r="F1643" s="1">
        <v>1</v>
      </c>
      <c r="G1643" s="1">
        <v>0</v>
      </c>
      <c r="H1643" s="6">
        <f>INT(Query1[[#This Row],[EntryDateTime]])</f>
        <v>44622</v>
      </c>
      <c r="I1643" s="1">
        <f>IF(Query1[[#This Row],[ItemType]]="EVAP KIT SF GEN IV",Query1[[#This Row],[OrderQty]]+I1642,I1642)</f>
        <v>1829</v>
      </c>
      <c r="J1643" s="1">
        <f>IF(Query1[[#This Row],[ItemType]]="EVAP KIT UNIVERSAL",Query1[[#This Row],[OrderQty]]+J1642,J1642)</f>
        <v>774</v>
      </c>
      <c r="K1643" s="1">
        <f>Query1[[#This Row],[SF Running Total]]+Query1[[#This Row],[UNIV Running Total]]</f>
        <v>2603</v>
      </c>
      <c r="L1643" t="e">
        <f>VLOOKUP(Query1[[#This Row],[Description]],'kits to boards'!$B$2:$E$156,2,FALSE)</f>
        <v>#N/A</v>
      </c>
      <c r="M1643" t="e">
        <f>VLOOKUP(Query1[[#This Row],[Description]],'kits to boards'!$B$2:$E$156,3,FALSE)</f>
        <v>#N/A</v>
      </c>
      <c r="N1643" t="e">
        <f>VLOOKUP(Query1[[#This Row],[Description]],'kits to boards'!$B$2:$E$156,4,FALSE)</f>
        <v>#N/A</v>
      </c>
      <c r="O1643" t="e">
        <f>CONCATENATE(Query1[[#This Row],[Description]]," - ",Query1[[#This Row],[MB1]]," - ",Query1[[#This Row],[MB2]]," - ",Query1[[#This Row],[MB3]])</f>
        <v>#N/A</v>
      </c>
    </row>
    <row r="1644" spans="1:15" x14ac:dyDescent="0.25">
      <c r="A1644" s="1">
        <v>913363</v>
      </c>
      <c r="B1644" s="1" t="s">
        <v>38</v>
      </c>
      <c r="C1644" s="1" t="s">
        <v>39</v>
      </c>
      <c r="D1644" s="2">
        <v>44622.573387187498</v>
      </c>
      <c r="E1644" s="1" t="s">
        <v>8</v>
      </c>
      <c r="F1644" s="1">
        <v>1</v>
      </c>
      <c r="G1644" s="1">
        <v>0</v>
      </c>
      <c r="H1644" s="6">
        <f>INT(Query1[[#This Row],[EntryDateTime]])</f>
        <v>44622</v>
      </c>
      <c r="I1644" s="1">
        <f>IF(Query1[[#This Row],[ItemType]]="EVAP KIT SF GEN IV",Query1[[#This Row],[OrderQty]]+I1643,I1643)</f>
        <v>1830</v>
      </c>
      <c r="J1644" s="1">
        <f>IF(Query1[[#This Row],[ItemType]]="EVAP KIT UNIVERSAL",Query1[[#This Row],[OrderQty]]+J1643,J1643)</f>
        <v>774</v>
      </c>
      <c r="K1644" s="1">
        <f>Query1[[#This Row],[SF Running Total]]+Query1[[#This Row],[UNIV Running Total]]</f>
        <v>2604</v>
      </c>
      <c r="L1644">
        <f>VLOOKUP(Query1[[#This Row],[Description]],'kits to boards'!$B$2:$E$156,2,FALSE)</f>
        <v>830012</v>
      </c>
      <c r="M1644">
        <f>VLOOKUP(Query1[[#This Row],[Description]],'kits to boards'!$B$2:$E$156,3,FALSE)</f>
        <v>0</v>
      </c>
      <c r="N1644">
        <f>VLOOKUP(Query1[[#This Row],[Description]],'kits to boards'!$B$2:$E$156,4,FALSE)</f>
        <v>0</v>
      </c>
      <c r="O1644" t="str">
        <f>CONCATENATE(Query1[[#This Row],[Description]]," - ",Query1[[#This Row],[MB1]]," - ",Query1[[#This Row],[MB2]]," - ",Query1[[#This Row],[MB3]])</f>
        <v>EVAP KIT 69 CAMARO W/AC - 830012 - 0 - 0</v>
      </c>
    </row>
    <row r="1645" spans="1:15" x14ac:dyDescent="0.25">
      <c r="A1645" s="1">
        <v>913364</v>
      </c>
      <c r="B1645" s="1" t="s">
        <v>54</v>
      </c>
      <c r="C1645" s="1" t="s">
        <v>55</v>
      </c>
      <c r="D1645" s="2">
        <v>44622.577005358798</v>
      </c>
      <c r="E1645" s="1" t="s">
        <v>8</v>
      </c>
      <c r="F1645" s="1">
        <v>1</v>
      </c>
      <c r="G1645" s="1">
        <v>0</v>
      </c>
      <c r="H1645" s="6">
        <f>INT(Query1[[#This Row],[EntryDateTime]])</f>
        <v>44622</v>
      </c>
      <c r="I1645" s="1">
        <f>IF(Query1[[#This Row],[ItemType]]="EVAP KIT SF GEN IV",Query1[[#This Row],[OrderQty]]+I1644,I1644)</f>
        <v>1831</v>
      </c>
      <c r="J1645" s="1">
        <f>IF(Query1[[#This Row],[ItemType]]="EVAP KIT UNIVERSAL",Query1[[#This Row],[OrderQty]]+J1644,J1644)</f>
        <v>774</v>
      </c>
      <c r="K1645" s="1">
        <f>Query1[[#This Row],[SF Running Total]]+Query1[[#This Row],[UNIV Running Total]]</f>
        <v>2605</v>
      </c>
      <c r="L1645">
        <f>VLOOKUP(Query1[[#This Row],[Description]],'kits to boards'!$B$2:$E$156,2,FALSE)</f>
        <v>830037</v>
      </c>
      <c r="M1645">
        <f>VLOOKUP(Query1[[#This Row],[Description]],'kits to boards'!$B$2:$E$156,3,FALSE)</f>
        <v>0</v>
      </c>
      <c r="N1645">
        <f>VLOOKUP(Query1[[#This Row],[Description]],'kits to boards'!$B$2:$E$156,4,FALSE)</f>
        <v>0</v>
      </c>
      <c r="O1645" t="str">
        <f>CONCATENATE(Query1[[#This Row],[Description]]," - ",Query1[[#This Row],[MB1]]," - ",Query1[[#This Row],[MB2]]," - ",Query1[[#This Row],[MB3]])</f>
        <v>EVAP KIT 70-81 FIREBIRD W/AC - 830037 - 0 - 0</v>
      </c>
    </row>
    <row r="1646" spans="1:15" x14ac:dyDescent="0.25">
      <c r="A1646" s="1">
        <v>913377</v>
      </c>
      <c r="B1646" s="1" t="s">
        <v>84</v>
      </c>
      <c r="C1646" s="1" t="s">
        <v>85</v>
      </c>
      <c r="D1646" s="2">
        <v>44622.618647372685</v>
      </c>
      <c r="E1646" s="1" t="s">
        <v>8</v>
      </c>
      <c r="F1646" s="1">
        <v>1</v>
      </c>
      <c r="G1646" s="1">
        <v>0</v>
      </c>
      <c r="H1646" s="6">
        <f>INT(Query1[[#This Row],[EntryDateTime]])</f>
        <v>44622</v>
      </c>
      <c r="I1646" s="1">
        <f>IF(Query1[[#This Row],[ItemType]]="EVAP KIT SF GEN IV",Query1[[#This Row],[OrderQty]]+I1645,I1645)</f>
        <v>1832</v>
      </c>
      <c r="J1646" s="1">
        <f>IF(Query1[[#This Row],[ItemType]]="EVAP KIT UNIVERSAL",Query1[[#This Row],[OrderQty]]+J1645,J1645)</f>
        <v>774</v>
      </c>
      <c r="K1646" s="1">
        <f>Query1[[#This Row],[SF Running Total]]+Query1[[#This Row],[UNIV Running Total]]</f>
        <v>2606</v>
      </c>
      <c r="L1646">
        <f>VLOOKUP(Query1[[#This Row],[Description]],'kits to boards'!$B$2:$E$156,2,FALSE)</f>
        <v>830085</v>
      </c>
      <c r="M1646">
        <f>VLOOKUP(Query1[[#This Row],[Description]],'kits to boards'!$B$2:$E$156,3,FALSE)</f>
        <v>0</v>
      </c>
      <c r="N1646">
        <f>VLOOKUP(Query1[[#This Row],[Description]],'kits to boards'!$B$2:$E$156,4,FALSE)</f>
        <v>0</v>
      </c>
      <c r="O1646" t="str">
        <f>CONCATENATE(Query1[[#This Row],[Description]]," - ",Query1[[#This Row],[MB1]]," - ",Query1[[#This Row],[MB2]]," - ",Query1[[#This Row],[MB3]])</f>
        <v>EVAP KIT 66-77 BRONCO 4-VENT PLENUM - 830085 - 0 - 0</v>
      </c>
    </row>
    <row r="1647" spans="1:15" x14ac:dyDescent="0.25">
      <c r="A1647" s="1">
        <v>913385</v>
      </c>
      <c r="B1647" s="1" t="s">
        <v>198</v>
      </c>
      <c r="C1647" s="1" t="s">
        <v>199</v>
      </c>
      <c r="D1647" s="2">
        <v>44622.626287928244</v>
      </c>
      <c r="E1647" s="1" t="s">
        <v>8</v>
      </c>
      <c r="F1647" s="1">
        <v>1</v>
      </c>
      <c r="G1647" s="1">
        <v>0</v>
      </c>
      <c r="H1647" s="6">
        <f>INT(Query1[[#This Row],[EntryDateTime]])</f>
        <v>44622</v>
      </c>
      <c r="I1647" s="1">
        <f>IF(Query1[[#This Row],[ItemType]]="EVAP KIT SF GEN IV",Query1[[#This Row],[OrderQty]]+I1646,I1646)</f>
        <v>1833</v>
      </c>
      <c r="J1647" s="1">
        <f>IF(Query1[[#This Row],[ItemType]]="EVAP KIT UNIVERSAL",Query1[[#This Row],[OrderQty]]+J1646,J1646)</f>
        <v>774</v>
      </c>
      <c r="K1647" s="1">
        <f>Query1[[#This Row],[SF Running Total]]+Query1[[#This Row],[UNIV Running Total]]</f>
        <v>2607</v>
      </c>
      <c r="L1647">
        <f>VLOOKUP(Query1[[#This Row],[Description]],'kits to boards'!$B$2:$E$156,2,FALSE)</f>
        <v>830042</v>
      </c>
      <c r="M1647">
        <f>VLOOKUP(Query1[[#This Row],[Description]],'kits to boards'!$B$2:$E$156,3,FALSE)</f>
        <v>0</v>
      </c>
      <c r="N1647">
        <f>VLOOKUP(Query1[[#This Row],[Description]],'kits to boards'!$B$2:$E$156,4,FALSE)</f>
        <v>0</v>
      </c>
      <c r="O1647" t="str">
        <f>CONCATENATE(Query1[[#This Row],[Description]]," - ",Query1[[#This Row],[MB1]]," - ",Query1[[#This Row],[MB2]]," - ",Query1[[#This Row],[MB3]])</f>
        <v>EVAP KIT 68-83 TOYOTA FJ40 ULTRA HIGH PERF - 830042 - 0 - 0</v>
      </c>
    </row>
    <row r="1648" spans="1:15" x14ac:dyDescent="0.25">
      <c r="A1648" s="1">
        <v>913391</v>
      </c>
      <c r="B1648" s="1" t="s">
        <v>216</v>
      </c>
      <c r="C1648" s="1" t="s">
        <v>217</v>
      </c>
      <c r="D1648" s="2">
        <v>44622.632850231479</v>
      </c>
      <c r="E1648" s="1" t="s">
        <v>8</v>
      </c>
      <c r="F1648" s="1">
        <v>1</v>
      </c>
      <c r="G1648" s="1">
        <v>0</v>
      </c>
      <c r="H1648" s="6">
        <f>INT(Query1[[#This Row],[EntryDateTime]])</f>
        <v>44622</v>
      </c>
      <c r="I1648" s="1">
        <f>IF(Query1[[#This Row],[ItemType]]="EVAP KIT SF GEN IV",Query1[[#This Row],[OrderQty]]+I1647,I1647)</f>
        <v>1834</v>
      </c>
      <c r="J1648" s="1">
        <f>IF(Query1[[#This Row],[ItemType]]="EVAP KIT UNIVERSAL",Query1[[#This Row],[OrderQty]]+J1647,J1647)</f>
        <v>774</v>
      </c>
      <c r="K1648" s="1">
        <f>Query1[[#This Row],[SF Running Total]]+Query1[[#This Row],[UNIV Running Total]]</f>
        <v>2608</v>
      </c>
      <c r="L1648">
        <f>VLOOKUP(Query1[[#This Row],[Description]],'kits to boards'!$B$2:$E$156,2,FALSE)</f>
        <v>830072</v>
      </c>
      <c r="M1648">
        <f>VLOOKUP(Query1[[#This Row],[Description]],'kits to boards'!$B$2:$E$156,3,FALSE)</f>
        <v>830075</v>
      </c>
      <c r="N1648">
        <f>VLOOKUP(Query1[[#This Row],[Description]],'kits to boards'!$B$2:$E$156,4,FALSE)</f>
        <v>0</v>
      </c>
      <c r="O1648" t="str">
        <f>CONCATENATE(Query1[[#This Row],[Description]]," - ",Query1[[#This Row],[MB1]]," - ",Query1[[#This Row],[MB2]]," - ",Query1[[#This Row],[MB3]])</f>
        <v>EVAP KIT 69-70 MOPAR B BODY W/AC - 830072 - 830075 - 0</v>
      </c>
    </row>
    <row r="1649" spans="1:15" x14ac:dyDescent="0.25">
      <c r="A1649" s="1">
        <v>913394</v>
      </c>
      <c r="B1649" s="1" t="s">
        <v>56</v>
      </c>
      <c r="C1649" s="1" t="s">
        <v>57</v>
      </c>
      <c r="D1649" s="2">
        <v>44622.636219016204</v>
      </c>
      <c r="E1649" s="1" t="s">
        <v>8</v>
      </c>
      <c r="F1649" s="1">
        <v>1</v>
      </c>
      <c r="G1649" s="1">
        <v>0</v>
      </c>
      <c r="H1649" s="6">
        <f>INT(Query1[[#This Row],[EntryDateTime]])</f>
        <v>44622</v>
      </c>
      <c r="I1649" s="1">
        <f>IF(Query1[[#This Row],[ItemType]]="EVAP KIT SF GEN IV",Query1[[#This Row],[OrderQty]]+I1648,I1648)</f>
        <v>1835</v>
      </c>
      <c r="J1649" s="1">
        <f>IF(Query1[[#This Row],[ItemType]]="EVAP KIT UNIVERSAL",Query1[[#This Row],[OrderQty]]+J1648,J1648)</f>
        <v>774</v>
      </c>
      <c r="K1649" s="1">
        <f>Query1[[#This Row],[SF Running Total]]+Query1[[#This Row],[UNIV Running Total]]</f>
        <v>2609</v>
      </c>
      <c r="L1649">
        <f>VLOOKUP(Query1[[#This Row],[Description]],'kits to boards'!$B$2:$E$156,2,FALSE)</f>
        <v>830011</v>
      </c>
      <c r="M1649">
        <f>VLOOKUP(Query1[[#This Row],[Description]],'kits to boards'!$B$2:$E$156,3,FALSE)</f>
        <v>0</v>
      </c>
      <c r="N1649">
        <f>VLOOKUP(Query1[[#This Row],[Description]],'kits to boards'!$B$2:$E$156,4,FALSE)</f>
        <v>0</v>
      </c>
      <c r="O1649" t="str">
        <f>CONCATENATE(Query1[[#This Row],[Description]]," - ",Query1[[#This Row],[MB1]]," - ",Query1[[#This Row],[MB2]]," - ",Query1[[#This Row],[MB3]])</f>
        <v>EVAP KIT 70-72 CHEVELLE W/AC - 830011 - 0 - 0</v>
      </c>
    </row>
    <row r="1650" spans="1:15" x14ac:dyDescent="0.25">
      <c r="A1650" s="1">
        <v>913280</v>
      </c>
      <c r="B1650" s="1" t="s">
        <v>194</v>
      </c>
      <c r="C1650" s="1" t="s">
        <v>195</v>
      </c>
      <c r="D1650" s="2">
        <v>44622.648491516207</v>
      </c>
      <c r="E1650" s="1" t="s">
        <v>8</v>
      </c>
      <c r="F1650" s="1">
        <v>1</v>
      </c>
      <c r="G1650" s="1">
        <v>0</v>
      </c>
      <c r="H1650" s="6">
        <f>INT(Query1[[#This Row],[EntryDateTime]])</f>
        <v>44622</v>
      </c>
      <c r="I1650" s="1">
        <f>IF(Query1[[#This Row],[ItemType]]="EVAP KIT SF GEN IV",Query1[[#This Row],[OrderQty]]+I1649,I1649)</f>
        <v>1836</v>
      </c>
      <c r="J1650" s="1">
        <f>IF(Query1[[#This Row],[ItemType]]="EVAP KIT UNIVERSAL",Query1[[#This Row],[OrderQty]]+J1649,J1649)</f>
        <v>774</v>
      </c>
      <c r="K1650" s="1">
        <f>Query1[[#This Row],[SF Running Total]]+Query1[[#This Row],[UNIV Running Total]]</f>
        <v>2610</v>
      </c>
      <c r="L1650">
        <f>VLOOKUP(Query1[[#This Row],[Description]],'kits to boards'!$B$2:$E$156,2,FALSE)</f>
        <v>830103</v>
      </c>
      <c r="M1650">
        <f>VLOOKUP(Query1[[#This Row],[Description]],'kits to boards'!$B$2:$E$156,3,FALSE)</f>
        <v>0</v>
      </c>
      <c r="N1650">
        <f>VLOOKUP(Query1[[#This Row],[Description]],'kits to boards'!$B$2:$E$156,4,FALSE)</f>
        <v>0</v>
      </c>
      <c r="O1650" t="str">
        <f>CONCATENATE(Query1[[#This Row],[Description]]," - ",Query1[[#This Row],[MB1]]," - ",Query1[[#This Row],[MB2]]," - ",Query1[[#This Row],[MB3]])</f>
        <v>EVAP KIT 78-82 VETTE W/AC - 830103 - 0 - 0</v>
      </c>
    </row>
    <row r="1651" spans="1:15" x14ac:dyDescent="0.25">
      <c r="A1651" s="1">
        <v>913398</v>
      </c>
      <c r="B1651" s="1" t="s">
        <v>98</v>
      </c>
      <c r="C1651" s="1" t="s">
        <v>99</v>
      </c>
      <c r="D1651" s="2">
        <v>44622.650076041667</v>
      </c>
      <c r="E1651" s="1" t="s">
        <v>11</v>
      </c>
      <c r="F1651" s="1">
        <v>4</v>
      </c>
      <c r="G1651" s="1">
        <v>0</v>
      </c>
      <c r="H1651" s="6">
        <f>INT(Query1[[#This Row],[EntryDateTime]])</f>
        <v>44622</v>
      </c>
      <c r="I1651" s="1">
        <f>IF(Query1[[#This Row],[ItemType]]="EVAP KIT SF GEN IV",Query1[[#This Row],[OrderQty]]+I1650,I1650)</f>
        <v>1836</v>
      </c>
      <c r="J1651" s="1">
        <f>IF(Query1[[#This Row],[ItemType]]="EVAP KIT UNIVERSAL",Query1[[#This Row],[OrderQty]]+J1650,J1650)</f>
        <v>778</v>
      </c>
      <c r="K1651" s="1">
        <f>Query1[[#This Row],[SF Running Total]]+Query1[[#This Row],[UNIV Running Total]]</f>
        <v>2614</v>
      </c>
      <c r="L1651">
        <f>VLOOKUP(Query1[[#This Row],[Description]],'kits to boards'!$B$2:$E$156,2,FALSE)</f>
        <v>830099</v>
      </c>
      <c r="M1651">
        <f>VLOOKUP(Query1[[#This Row],[Description]],'kits to boards'!$B$2:$E$156,3,FALSE)</f>
        <v>0</v>
      </c>
      <c r="N1651">
        <f>VLOOKUP(Query1[[#This Row],[Description]],'kits to boards'!$B$2:$E$156,4,FALSE)</f>
        <v>0</v>
      </c>
      <c r="O1651" t="str">
        <f>CONCATENATE(Query1[[#This Row],[Description]]," - ",Query1[[#This Row],[MB1]]," - ",Query1[[#This Row],[MB2]]," - ",Query1[[#This Row],[MB3]])</f>
        <v>MINI GEN II W/DEF - 830099 - 0 - 0</v>
      </c>
    </row>
    <row r="1652" spans="1:15" x14ac:dyDescent="0.25">
      <c r="A1652" s="1">
        <v>913375</v>
      </c>
      <c r="B1652" s="1" t="s">
        <v>130</v>
      </c>
      <c r="C1652" s="1" t="s">
        <v>131</v>
      </c>
      <c r="D1652" s="2">
        <v>44622.672391284723</v>
      </c>
      <c r="E1652" s="1" t="s">
        <v>8</v>
      </c>
      <c r="F1652" s="1">
        <v>1</v>
      </c>
      <c r="G1652" s="1">
        <v>0</v>
      </c>
      <c r="H1652" s="6">
        <f>INT(Query1[[#This Row],[EntryDateTime]])</f>
        <v>44622</v>
      </c>
      <c r="I1652" s="1">
        <f>IF(Query1[[#This Row],[ItemType]]="EVAP KIT SF GEN IV",Query1[[#This Row],[OrderQty]]+I1651,I1651)</f>
        <v>1837</v>
      </c>
      <c r="J1652" s="1">
        <f>IF(Query1[[#This Row],[ItemType]]="EVAP KIT UNIVERSAL",Query1[[#This Row],[OrderQty]]+J1651,J1651)</f>
        <v>778</v>
      </c>
      <c r="K1652" s="1">
        <f>Query1[[#This Row],[SF Running Total]]+Query1[[#This Row],[UNIV Running Total]]</f>
        <v>2615</v>
      </c>
      <c r="L1652">
        <f>VLOOKUP(Query1[[#This Row],[Description]],'kits to boards'!$B$2:$E$156,2,FALSE)</f>
        <v>830123</v>
      </c>
      <c r="M1652">
        <f>VLOOKUP(Query1[[#This Row],[Description]],'kits to boards'!$B$2:$E$156,3,FALSE)</f>
        <v>0</v>
      </c>
      <c r="N1652">
        <f>VLOOKUP(Query1[[#This Row],[Description]],'kits to boards'!$B$2:$E$156,4,FALSE)</f>
        <v>0</v>
      </c>
      <c r="O1652" t="str">
        <f>CONCATENATE(Query1[[#This Row],[Description]]," - ",Query1[[#This Row],[MB1]]," - ",Query1[[#This Row],[MB2]]," - ",Query1[[#This Row],[MB3]])</f>
        <v>EVAP KIT 68 GTO WO/AC - 830123 - 0 - 0</v>
      </c>
    </row>
    <row r="1653" spans="1:15" x14ac:dyDescent="0.25">
      <c r="A1653" s="1">
        <v>913417</v>
      </c>
      <c r="B1653" s="1" t="s">
        <v>98</v>
      </c>
      <c r="C1653" s="1" t="s">
        <v>99</v>
      </c>
      <c r="D1653" s="2">
        <v>44622.678166631944</v>
      </c>
      <c r="E1653" s="1" t="s">
        <v>11</v>
      </c>
      <c r="F1653" s="1">
        <v>1</v>
      </c>
      <c r="G1653" s="1">
        <v>0</v>
      </c>
      <c r="H1653" s="6">
        <f>INT(Query1[[#This Row],[EntryDateTime]])</f>
        <v>44622</v>
      </c>
      <c r="I1653" s="1">
        <f>IF(Query1[[#This Row],[ItemType]]="EVAP KIT SF GEN IV",Query1[[#This Row],[OrderQty]]+I1652,I1652)</f>
        <v>1837</v>
      </c>
      <c r="J1653" s="1">
        <f>IF(Query1[[#This Row],[ItemType]]="EVAP KIT UNIVERSAL",Query1[[#This Row],[OrderQty]]+J1652,J1652)</f>
        <v>779</v>
      </c>
      <c r="K1653" s="1">
        <f>Query1[[#This Row],[SF Running Total]]+Query1[[#This Row],[UNIV Running Total]]</f>
        <v>2616</v>
      </c>
      <c r="L1653">
        <f>VLOOKUP(Query1[[#This Row],[Description]],'kits to boards'!$B$2:$E$156,2,FALSE)</f>
        <v>830099</v>
      </c>
      <c r="M1653">
        <f>VLOOKUP(Query1[[#This Row],[Description]],'kits to boards'!$B$2:$E$156,3,FALSE)</f>
        <v>0</v>
      </c>
      <c r="N1653">
        <f>VLOOKUP(Query1[[#This Row],[Description]],'kits to boards'!$B$2:$E$156,4,FALSE)</f>
        <v>0</v>
      </c>
      <c r="O1653" t="str">
        <f>CONCATENATE(Query1[[#This Row],[Description]]," - ",Query1[[#This Row],[MB1]]," - ",Query1[[#This Row],[MB2]]," - ",Query1[[#This Row],[MB3]])</f>
        <v>MINI GEN II W/DEF - 830099 - 0 - 0</v>
      </c>
    </row>
    <row r="1654" spans="1:15" x14ac:dyDescent="0.25">
      <c r="A1654" s="1">
        <v>913398</v>
      </c>
      <c r="B1654" s="1" t="s">
        <v>20</v>
      </c>
      <c r="C1654" s="1" t="s">
        <v>21</v>
      </c>
      <c r="D1654" s="2">
        <v>44622.680817743058</v>
      </c>
      <c r="E1654" s="1" t="s">
        <v>11</v>
      </c>
      <c r="F1654" s="1">
        <v>2</v>
      </c>
      <c r="G1654" s="1">
        <v>0</v>
      </c>
      <c r="H1654" s="6">
        <f>INT(Query1[[#This Row],[EntryDateTime]])</f>
        <v>44622</v>
      </c>
      <c r="I1654" s="1">
        <f>IF(Query1[[#This Row],[ItemType]]="EVAP KIT SF GEN IV",Query1[[#This Row],[OrderQty]]+I1653,I1653)</f>
        <v>1837</v>
      </c>
      <c r="J1654" s="1">
        <f>IF(Query1[[#This Row],[ItemType]]="EVAP KIT UNIVERSAL",Query1[[#This Row],[OrderQty]]+J1653,J1653)</f>
        <v>781</v>
      </c>
      <c r="K1654" s="1">
        <f>Query1[[#This Row],[SF Running Total]]+Query1[[#This Row],[UNIV Running Total]]</f>
        <v>2618</v>
      </c>
      <c r="L1654">
        <f>VLOOKUP(Query1[[#This Row],[Description]],'kits to boards'!$B$2:$E$156,2,FALSE)</f>
        <v>830102</v>
      </c>
      <c r="M1654">
        <f>VLOOKUP(Query1[[#This Row],[Description]],'kits to boards'!$B$2:$E$156,3,FALSE)</f>
        <v>0</v>
      </c>
      <c r="N1654">
        <f>VLOOKUP(Query1[[#This Row],[Description]],'kits to boards'!$B$2:$E$156,4,FALSE)</f>
        <v>0</v>
      </c>
      <c r="O1654" t="str">
        <f>CONCATENATE(Query1[[#This Row],[Description]]," - ",Query1[[#This Row],[MB1]]," - ",Query1[[#This Row],[MB2]]," - ",Query1[[#This Row],[MB3]])</f>
        <v>SUPER GEN II W/DEF - 830102 - 0 - 0</v>
      </c>
    </row>
    <row r="1655" spans="1:15" x14ac:dyDescent="0.25">
      <c r="A1655" s="1">
        <v>913422</v>
      </c>
      <c r="B1655" s="1" t="s">
        <v>68</v>
      </c>
      <c r="C1655" s="1" t="s">
        <v>69</v>
      </c>
      <c r="D1655" s="2">
        <v>44622.682022569446</v>
      </c>
      <c r="E1655" s="1" t="s">
        <v>8</v>
      </c>
      <c r="F1655" s="1">
        <v>5</v>
      </c>
      <c r="G1655" s="1">
        <v>0</v>
      </c>
      <c r="H1655" s="6">
        <f>INT(Query1[[#This Row],[EntryDateTime]])</f>
        <v>44622</v>
      </c>
      <c r="I1655" s="1">
        <f>IF(Query1[[#This Row],[ItemType]]="EVAP KIT SF GEN IV",Query1[[#This Row],[OrderQty]]+I1654,I1654)</f>
        <v>1842</v>
      </c>
      <c r="J1655" s="1">
        <f>IF(Query1[[#This Row],[ItemType]]="EVAP KIT UNIVERSAL",Query1[[#This Row],[OrderQty]]+J1654,J1654)</f>
        <v>781</v>
      </c>
      <c r="K1655" s="1">
        <f>Query1[[#This Row],[SF Running Total]]+Query1[[#This Row],[UNIV Running Total]]</f>
        <v>2623</v>
      </c>
      <c r="L1655">
        <f>VLOOKUP(Query1[[#This Row],[Description]],'kits to boards'!$B$2:$E$156,2,FALSE)</f>
        <v>830010</v>
      </c>
      <c r="M1655">
        <f>VLOOKUP(Query1[[#This Row],[Description]],'kits to boards'!$B$2:$E$156,3,FALSE)</f>
        <v>0</v>
      </c>
      <c r="N1655">
        <f>VLOOKUP(Query1[[#This Row],[Description]],'kits to boards'!$B$2:$E$156,4,FALSE)</f>
        <v>0</v>
      </c>
      <c r="O1655" t="str">
        <f>CONCATENATE(Query1[[#This Row],[Description]]," - ",Query1[[#This Row],[MB1]]," - ",Query1[[#This Row],[MB2]]," - ",Query1[[#This Row],[MB3]])</f>
        <v>EVAP KIT 70-72 CHEVELLE WO AC - 830010 - 0 - 0</v>
      </c>
    </row>
    <row r="1656" spans="1:15" x14ac:dyDescent="0.25">
      <c r="A1656" s="1">
        <v>913422</v>
      </c>
      <c r="B1656" s="1" t="s">
        <v>56</v>
      </c>
      <c r="C1656" s="1" t="s">
        <v>57</v>
      </c>
      <c r="D1656" s="2">
        <v>44622.682024224538</v>
      </c>
      <c r="E1656" s="1" t="s">
        <v>8</v>
      </c>
      <c r="F1656" s="1">
        <v>5</v>
      </c>
      <c r="G1656" s="1">
        <v>0</v>
      </c>
      <c r="H1656" s="6">
        <f>INT(Query1[[#This Row],[EntryDateTime]])</f>
        <v>44622</v>
      </c>
      <c r="I1656" s="1">
        <f>IF(Query1[[#This Row],[ItemType]]="EVAP KIT SF GEN IV",Query1[[#This Row],[OrderQty]]+I1655,I1655)</f>
        <v>1847</v>
      </c>
      <c r="J1656" s="1">
        <f>IF(Query1[[#This Row],[ItemType]]="EVAP KIT UNIVERSAL",Query1[[#This Row],[OrderQty]]+J1655,J1655)</f>
        <v>781</v>
      </c>
      <c r="K1656" s="1">
        <f>Query1[[#This Row],[SF Running Total]]+Query1[[#This Row],[UNIV Running Total]]</f>
        <v>2628</v>
      </c>
      <c r="L1656">
        <f>VLOOKUP(Query1[[#This Row],[Description]],'kits to boards'!$B$2:$E$156,2,FALSE)</f>
        <v>830011</v>
      </c>
      <c r="M1656">
        <f>VLOOKUP(Query1[[#This Row],[Description]],'kits to boards'!$B$2:$E$156,3,FALSE)</f>
        <v>0</v>
      </c>
      <c r="N1656">
        <f>VLOOKUP(Query1[[#This Row],[Description]],'kits to boards'!$B$2:$E$156,4,FALSE)</f>
        <v>0</v>
      </c>
      <c r="O1656" t="str">
        <f>CONCATENATE(Query1[[#This Row],[Description]]," - ",Query1[[#This Row],[MB1]]," - ",Query1[[#This Row],[MB2]]," - ",Query1[[#This Row],[MB3]])</f>
        <v>EVAP KIT 70-72 CHEVELLE W/AC - 830011 - 0 - 0</v>
      </c>
    </row>
    <row r="1657" spans="1:15" x14ac:dyDescent="0.25">
      <c r="A1657" s="1">
        <v>913422</v>
      </c>
      <c r="B1657" s="1" t="s">
        <v>20</v>
      </c>
      <c r="C1657" s="1" t="s">
        <v>21</v>
      </c>
      <c r="D1657" s="2">
        <v>44622.682025844908</v>
      </c>
      <c r="E1657" s="1" t="s">
        <v>11</v>
      </c>
      <c r="F1657" s="1">
        <v>14</v>
      </c>
      <c r="G1657" s="1">
        <v>0</v>
      </c>
      <c r="H1657" s="6">
        <f>INT(Query1[[#This Row],[EntryDateTime]])</f>
        <v>44622</v>
      </c>
      <c r="I1657" s="1">
        <f>IF(Query1[[#This Row],[ItemType]]="EVAP KIT SF GEN IV",Query1[[#This Row],[OrderQty]]+I1656,I1656)</f>
        <v>1847</v>
      </c>
      <c r="J1657" s="1">
        <f>IF(Query1[[#This Row],[ItemType]]="EVAP KIT UNIVERSAL",Query1[[#This Row],[OrderQty]]+J1656,J1656)</f>
        <v>795</v>
      </c>
      <c r="K1657" s="1">
        <f>Query1[[#This Row],[SF Running Total]]+Query1[[#This Row],[UNIV Running Total]]</f>
        <v>2642</v>
      </c>
      <c r="L1657">
        <f>VLOOKUP(Query1[[#This Row],[Description]],'kits to boards'!$B$2:$E$156,2,FALSE)</f>
        <v>830102</v>
      </c>
      <c r="M1657">
        <f>VLOOKUP(Query1[[#This Row],[Description]],'kits to boards'!$B$2:$E$156,3,FALSE)</f>
        <v>0</v>
      </c>
      <c r="N1657">
        <f>VLOOKUP(Query1[[#This Row],[Description]],'kits to boards'!$B$2:$E$156,4,FALSE)</f>
        <v>0</v>
      </c>
      <c r="O1657" t="str">
        <f>CONCATENATE(Query1[[#This Row],[Description]]," - ",Query1[[#This Row],[MB1]]," - ",Query1[[#This Row],[MB2]]," - ",Query1[[#This Row],[MB3]])</f>
        <v>SUPER GEN II W/DEF - 830102 - 0 - 0</v>
      </c>
    </row>
    <row r="1658" spans="1:15" x14ac:dyDescent="0.25">
      <c r="A1658" s="1">
        <v>913422</v>
      </c>
      <c r="B1658" s="1" t="s">
        <v>22</v>
      </c>
      <c r="C1658" s="1" t="s">
        <v>23</v>
      </c>
      <c r="D1658" s="2">
        <v>44622.682029247684</v>
      </c>
      <c r="E1658" s="1" t="s">
        <v>8</v>
      </c>
      <c r="F1658" s="1">
        <v>22</v>
      </c>
      <c r="G1658" s="1">
        <v>0</v>
      </c>
      <c r="H1658" s="6">
        <f>INT(Query1[[#This Row],[EntryDateTime]])</f>
        <v>44622</v>
      </c>
      <c r="I1658" s="1">
        <f>IF(Query1[[#This Row],[ItemType]]="EVAP KIT SF GEN IV",Query1[[#This Row],[OrderQty]]+I1657,I1657)</f>
        <v>1869</v>
      </c>
      <c r="J1658" s="1">
        <f>IF(Query1[[#This Row],[ItemType]]="EVAP KIT UNIVERSAL",Query1[[#This Row],[OrderQty]]+J1657,J1657)</f>
        <v>795</v>
      </c>
      <c r="K1658" s="1">
        <f>Query1[[#This Row],[SF Running Total]]+Query1[[#This Row],[UNIV Running Total]]</f>
        <v>2664</v>
      </c>
      <c r="L1658">
        <f>VLOOKUP(Query1[[#This Row],[Description]],'kits to boards'!$B$2:$E$156,2,FALSE)</f>
        <v>830083</v>
      </c>
      <c r="M1658">
        <f>VLOOKUP(Query1[[#This Row],[Description]],'kits to boards'!$B$2:$E$156,3,FALSE)</f>
        <v>0</v>
      </c>
      <c r="N1658">
        <f>VLOOKUP(Query1[[#This Row],[Description]],'kits to boards'!$B$2:$E$156,4,FALSE)</f>
        <v>0</v>
      </c>
      <c r="O1658" t="str">
        <f>CONCATENATE(Query1[[#This Row],[Description]]," - ",Query1[[#This Row],[MB1]]," - ",Query1[[#This Row],[MB2]]," - ",Query1[[#This Row],[MB3]])</f>
        <v>GEN IV MAGNUM EVAP KIT - 830083 - 0 - 0</v>
      </c>
    </row>
    <row r="1659" spans="1:15" x14ac:dyDescent="0.25">
      <c r="A1659" s="1">
        <v>913422</v>
      </c>
      <c r="B1659" s="1" t="s">
        <v>82</v>
      </c>
      <c r="C1659" s="1" t="s">
        <v>83</v>
      </c>
      <c r="D1659" s="2">
        <v>44622.68203171296</v>
      </c>
      <c r="E1659" s="1" t="s">
        <v>11</v>
      </c>
      <c r="F1659" s="1">
        <v>5</v>
      </c>
      <c r="G1659" s="1">
        <v>0</v>
      </c>
      <c r="H1659" s="6">
        <f>INT(Query1[[#This Row],[EntryDateTime]])</f>
        <v>44622</v>
      </c>
      <c r="I1659" s="1">
        <f>IF(Query1[[#This Row],[ItemType]]="EVAP KIT SF GEN IV",Query1[[#This Row],[OrderQty]]+I1658,I1658)</f>
        <v>1869</v>
      </c>
      <c r="J1659" s="1">
        <f>IF(Query1[[#This Row],[ItemType]]="EVAP KIT UNIVERSAL",Query1[[#This Row],[OrderQty]]+J1658,J1658)</f>
        <v>800</v>
      </c>
      <c r="K1659" s="1">
        <f>Query1[[#This Row],[SF Running Total]]+Query1[[#This Row],[UNIV Running Total]]</f>
        <v>2669</v>
      </c>
      <c r="L1659">
        <f>VLOOKUP(Query1[[#This Row],[Description]],'kits to boards'!$B$2:$E$156,2,FALSE)</f>
        <v>830029</v>
      </c>
      <c r="M1659">
        <f>VLOOKUP(Query1[[#This Row],[Description]],'kits to boards'!$B$2:$E$156,3,FALSE)</f>
        <v>830030</v>
      </c>
      <c r="N1659">
        <f>VLOOKUP(Query1[[#This Row],[Description]],'kits to boards'!$B$2:$E$156,4,FALSE)</f>
        <v>0</v>
      </c>
      <c r="O1659" t="str">
        <f>CONCATENATE(Query1[[#This Row],[Description]]," - ",Query1[[#This Row],[MB1]]," - ",Query1[[#This Row],[MB2]]," - ",Query1[[#This Row],[MB3]])</f>
        <v>ComPac GEN II H/C - 830029 - 830030 - 0</v>
      </c>
    </row>
    <row r="1660" spans="1:15" x14ac:dyDescent="0.25">
      <c r="A1660" s="1">
        <v>913422</v>
      </c>
      <c r="B1660" s="1" t="s">
        <v>42</v>
      </c>
      <c r="C1660" s="1" t="s">
        <v>43</v>
      </c>
      <c r="D1660" s="2">
        <v>44622.682033761572</v>
      </c>
      <c r="E1660" s="1" t="s">
        <v>8</v>
      </c>
      <c r="F1660" s="1">
        <v>6</v>
      </c>
      <c r="G1660" s="1">
        <v>0</v>
      </c>
      <c r="H1660" s="6">
        <f>INT(Query1[[#This Row],[EntryDateTime]])</f>
        <v>44622</v>
      </c>
      <c r="I1660" s="1">
        <f>IF(Query1[[#This Row],[ItemType]]="EVAP KIT SF GEN IV",Query1[[#This Row],[OrderQty]]+I1659,I1659)</f>
        <v>1875</v>
      </c>
      <c r="J1660" s="1">
        <f>IF(Query1[[#This Row],[ItemType]]="EVAP KIT UNIVERSAL",Query1[[#This Row],[OrderQty]]+J1659,J1659)</f>
        <v>800</v>
      </c>
      <c r="K1660" s="1">
        <f>Query1[[#This Row],[SF Running Total]]+Query1[[#This Row],[UNIV Running Total]]</f>
        <v>2675</v>
      </c>
      <c r="L1660">
        <f>VLOOKUP(Query1[[#This Row],[Description]],'kits to boards'!$B$2:$E$156,2,FALSE)</f>
        <v>830014</v>
      </c>
      <c r="M1660">
        <f>VLOOKUP(Query1[[#This Row],[Description]],'kits to boards'!$B$2:$E$156,3,FALSE)</f>
        <v>0</v>
      </c>
      <c r="N1660">
        <f>VLOOKUP(Query1[[#This Row],[Description]],'kits to boards'!$B$2:$E$156,4,FALSE)</f>
        <v>0</v>
      </c>
      <c r="O1660" t="str">
        <f>CONCATENATE(Query1[[#This Row],[Description]]," - ",Query1[[#This Row],[MB1]]," - ",Query1[[#This Row],[MB2]]," - ",Query1[[#This Row],[MB3]])</f>
        <v>EVAP KIT 67-72 CHEV P-UP WO AC - 830014 - 0 - 0</v>
      </c>
    </row>
    <row r="1661" spans="1:15" x14ac:dyDescent="0.25">
      <c r="A1661" s="1">
        <v>913423</v>
      </c>
      <c r="B1661" s="1" t="s">
        <v>122</v>
      </c>
      <c r="C1661" s="1" t="s">
        <v>123</v>
      </c>
      <c r="D1661" s="2">
        <v>44622.683164085647</v>
      </c>
      <c r="E1661" s="1" t="s">
        <v>8</v>
      </c>
      <c r="F1661" s="1">
        <v>1</v>
      </c>
      <c r="G1661" s="1">
        <v>0</v>
      </c>
      <c r="H1661" s="6">
        <f>INT(Query1[[#This Row],[EntryDateTime]])</f>
        <v>44622</v>
      </c>
      <c r="I1661" s="1">
        <f>IF(Query1[[#This Row],[ItemType]]="EVAP KIT SF GEN IV",Query1[[#This Row],[OrderQty]]+I1660,I1660)</f>
        <v>1876</v>
      </c>
      <c r="J1661" s="1">
        <f>IF(Query1[[#This Row],[ItemType]]="EVAP KIT UNIVERSAL",Query1[[#This Row],[OrderQty]]+J1660,J1660)</f>
        <v>800</v>
      </c>
      <c r="K1661" s="1">
        <f>Query1[[#This Row],[SF Running Total]]+Query1[[#This Row],[UNIV Running Total]]</f>
        <v>2676</v>
      </c>
      <c r="L1661">
        <f>VLOOKUP(Query1[[#This Row],[Description]],'kits to boards'!$B$2:$E$156,2,FALSE)</f>
        <v>830027</v>
      </c>
      <c r="M1661">
        <f>VLOOKUP(Query1[[#This Row],[Description]],'kits to boards'!$B$2:$E$156,3,FALSE)</f>
        <v>0</v>
      </c>
      <c r="N1661">
        <f>VLOOKUP(Query1[[#This Row],[Description]],'kits to boards'!$B$2:$E$156,4,FALSE)</f>
        <v>0</v>
      </c>
      <c r="O1661" t="str">
        <f>CONCATENATE(Query1[[#This Row],[Description]]," - ",Query1[[#This Row],[MB1]]," - ",Query1[[#This Row],[MB2]]," - ",Query1[[#This Row],[MB3]])</f>
        <v>EVAP KIT 70-72 CUTLASS W/AC - 830027 - 0 - 0</v>
      </c>
    </row>
    <row r="1662" spans="1:15" x14ac:dyDescent="0.25">
      <c r="A1662" s="1">
        <v>913426</v>
      </c>
      <c r="B1662" s="1" t="s">
        <v>116</v>
      </c>
      <c r="C1662" s="1" t="s">
        <v>117</v>
      </c>
      <c r="D1662" s="2">
        <v>44622.68664216435</v>
      </c>
      <c r="E1662" s="1" t="s">
        <v>8</v>
      </c>
      <c r="F1662" s="1">
        <v>2</v>
      </c>
      <c r="G1662" s="1">
        <v>0</v>
      </c>
      <c r="H1662" s="6">
        <f>INT(Query1[[#This Row],[EntryDateTime]])</f>
        <v>44622</v>
      </c>
      <c r="I1662" s="1">
        <f>IF(Query1[[#This Row],[ItemType]]="EVAP KIT SF GEN IV",Query1[[#This Row],[OrderQty]]+I1661,I1661)</f>
        <v>1878</v>
      </c>
      <c r="J1662" s="1">
        <f>IF(Query1[[#This Row],[ItemType]]="EVAP KIT UNIVERSAL",Query1[[#This Row],[OrderQty]]+J1661,J1661)</f>
        <v>800</v>
      </c>
      <c r="K1662" s="1">
        <f>Query1[[#This Row],[SF Running Total]]+Query1[[#This Row],[UNIV Running Total]]</f>
        <v>2678</v>
      </c>
      <c r="L1662">
        <f>VLOOKUP(Query1[[#This Row],[Description]],'kits to boards'!$B$2:$E$156,2,FALSE)</f>
        <v>830058</v>
      </c>
      <c r="M1662">
        <f>VLOOKUP(Query1[[#This Row],[Description]],'kits to boards'!$B$2:$E$156,3,FALSE)</f>
        <v>0</v>
      </c>
      <c r="N1662">
        <f>VLOOKUP(Query1[[#This Row],[Description]],'kits to boards'!$B$2:$E$156,4,FALSE)</f>
        <v>0</v>
      </c>
      <c r="O1662" t="str">
        <f>CONCATENATE(Query1[[#This Row],[Description]]," - ",Query1[[#This Row],[MB1]]," - ",Query1[[#This Row],[MB2]]," - ",Query1[[#This Row],[MB3]])</f>
        <v>EVAP KIT 64-65 CHEVELLE WO AC - 830058 - 0 - 0</v>
      </c>
    </row>
    <row r="1663" spans="1:15" x14ac:dyDescent="0.25">
      <c r="A1663" s="1">
        <v>913426</v>
      </c>
      <c r="B1663" s="1" t="s">
        <v>68</v>
      </c>
      <c r="C1663" s="1" t="s">
        <v>69</v>
      </c>
      <c r="D1663" s="2">
        <v>44622.686643946756</v>
      </c>
      <c r="E1663" s="1" t="s">
        <v>8</v>
      </c>
      <c r="F1663" s="1">
        <v>4</v>
      </c>
      <c r="G1663" s="1">
        <v>0</v>
      </c>
      <c r="H1663" s="6">
        <f>INT(Query1[[#This Row],[EntryDateTime]])</f>
        <v>44622</v>
      </c>
      <c r="I1663" s="1">
        <f>IF(Query1[[#This Row],[ItemType]]="EVAP KIT SF GEN IV",Query1[[#This Row],[OrderQty]]+I1662,I1662)</f>
        <v>1882</v>
      </c>
      <c r="J1663" s="1">
        <f>IF(Query1[[#This Row],[ItemType]]="EVAP KIT UNIVERSAL",Query1[[#This Row],[OrderQty]]+J1662,J1662)</f>
        <v>800</v>
      </c>
      <c r="K1663" s="1">
        <f>Query1[[#This Row],[SF Running Total]]+Query1[[#This Row],[UNIV Running Total]]</f>
        <v>2682</v>
      </c>
      <c r="L1663">
        <f>VLOOKUP(Query1[[#This Row],[Description]],'kits to boards'!$B$2:$E$156,2,FALSE)</f>
        <v>830010</v>
      </c>
      <c r="M1663">
        <f>VLOOKUP(Query1[[#This Row],[Description]],'kits to boards'!$B$2:$E$156,3,FALSE)</f>
        <v>0</v>
      </c>
      <c r="N1663">
        <f>VLOOKUP(Query1[[#This Row],[Description]],'kits to boards'!$B$2:$E$156,4,FALSE)</f>
        <v>0</v>
      </c>
      <c r="O1663" t="str">
        <f>CONCATENATE(Query1[[#This Row],[Description]]," - ",Query1[[#This Row],[MB1]]," - ",Query1[[#This Row],[MB2]]," - ",Query1[[#This Row],[MB3]])</f>
        <v>EVAP KIT 70-72 CHEVELLE WO AC - 830010 - 0 - 0</v>
      </c>
    </row>
    <row r="1664" spans="1:15" x14ac:dyDescent="0.25">
      <c r="A1664" s="1">
        <v>913426</v>
      </c>
      <c r="B1664" s="1" t="s">
        <v>102</v>
      </c>
      <c r="C1664" s="1" t="s">
        <v>103</v>
      </c>
      <c r="D1664" s="2">
        <v>44622.686645833332</v>
      </c>
      <c r="E1664" s="1" t="s">
        <v>8</v>
      </c>
      <c r="F1664" s="1">
        <v>5</v>
      </c>
      <c r="G1664" s="1">
        <v>0</v>
      </c>
      <c r="H1664" s="6">
        <f>INT(Query1[[#This Row],[EntryDateTime]])</f>
        <v>44622</v>
      </c>
      <c r="I1664" s="1">
        <f>IF(Query1[[#This Row],[ItemType]]="EVAP KIT SF GEN IV",Query1[[#This Row],[OrderQty]]+I1663,I1663)</f>
        <v>1887</v>
      </c>
      <c r="J1664" s="1">
        <f>IF(Query1[[#This Row],[ItemType]]="EVAP KIT UNIVERSAL",Query1[[#This Row],[OrderQty]]+J1663,J1663)</f>
        <v>800</v>
      </c>
      <c r="K1664" s="1">
        <f>Query1[[#This Row],[SF Running Total]]+Query1[[#This Row],[UNIV Running Total]]</f>
        <v>2687</v>
      </c>
      <c r="L1664">
        <f>VLOOKUP(Query1[[#This Row],[Description]],'kits to boards'!$B$2:$E$156,2,FALSE)</f>
        <v>830012</v>
      </c>
      <c r="M1664">
        <f>VLOOKUP(Query1[[#This Row],[Description]],'kits to boards'!$B$2:$E$156,3,FALSE)</f>
        <v>0</v>
      </c>
      <c r="N1664">
        <f>VLOOKUP(Query1[[#This Row],[Description]],'kits to boards'!$B$2:$E$156,4,FALSE)</f>
        <v>0</v>
      </c>
      <c r="O1664" t="str">
        <f>CONCATENATE(Query1[[#This Row],[Description]]," - ",Query1[[#This Row],[MB1]]," - ",Query1[[#This Row],[MB2]]," - ",Query1[[#This Row],[MB3]])</f>
        <v>EVAP KIT 69 CAMARO WO/AC - 830012 - 0 - 0</v>
      </c>
    </row>
    <row r="1665" spans="1:15" x14ac:dyDescent="0.25">
      <c r="A1665" s="1">
        <v>913426</v>
      </c>
      <c r="B1665" s="1" t="s">
        <v>30</v>
      </c>
      <c r="C1665" s="1" t="s">
        <v>31</v>
      </c>
      <c r="D1665" s="2">
        <v>44622.686647604169</v>
      </c>
      <c r="E1665" s="1" t="s">
        <v>8</v>
      </c>
      <c r="F1665" s="1">
        <v>8</v>
      </c>
      <c r="G1665" s="1">
        <v>0</v>
      </c>
      <c r="H1665" s="6">
        <f>INT(Query1[[#This Row],[EntryDateTime]])</f>
        <v>44622</v>
      </c>
      <c r="I1665" s="1">
        <f>IF(Query1[[#This Row],[ItemType]]="EVAP KIT SF GEN IV",Query1[[#This Row],[OrderQty]]+I1664,I1664)</f>
        <v>1895</v>
      </c>
      <c r="J1665" s="1">
        <f>IF(Query1[[#This Row],[ItemType]]="EVAP KIT UNIVERSAL",Query1[[#This Row],[OrderQty]]+J1664,J1664)</f>
        <v>800</v>
      </c>
      <c r="K1665" s="1">
        <f>Query1[[#This Row],[SF Running Total]]+Query1[[#This Row],[UNIV Running Total]]</f>
        <v>2695</v>
      </c>
      <c r="L1665">
        <f>VLOOKUP(Query1[[#This Row],[Description]],'kits to boards'!$B$2:$E$156,2,FALSE)</f>
        <v>830054</v>
      </c>
      <c r="M1665">
        <f>VLOOKUP(Query1[[#This Row],[Description]],'kits to boards'!$B$2:$E$156,3,FALSE)</f>
        <v>0</v>
      </c>
      <c r="N1665">
        <f>VLOOKUP(Query1[[#This Row],[Description]],'kits to boards'!$B$2:$E$156,4,FALSE)</f>
        <v>0</v>
      </c>
      <c r="O1665" t="str">
        <f>CONCATENATE(Query1[[#This Row],[Description]]," - ",Query1[[#This Row],[MB1]]," - ",Query1[[#This Row],[MB2]]," - ",Query1[[#This Row],[MB3]])</f>
        <v>EVAP KIT 55-56 CHEVY 4-VENT - 830054 - 0 - 0</v>
      </c>
    </row>
    <row r="1666" spans="1:15" x14ac:dyDescent="0.25">
      <c r="A1666" s="1">
        <v>913426</v>
      </c>
      <c r="B1666" s="1" t="s">
        <v>20</v>
      </c>
      <c r="C1666" s="1" t="s">
        <v>21</v>
      </c>
      <c r="D1666" s="2">
        <v>44622.686649340278</v>
      </c>
      <c r="E1666" s="1" t="s">
        <v>11</v>
      </c>
      <c r="F1666" s="1">
        <v>15</v>
      </c>
      <c r="G1666" s="1">
        <v>0</v>
      </c>
      <c r="H1666" s="6">
        <f>INT(Query1[[#This Row],[EntryDateTime]])</f>
        <v>44622</v>
      </c>
      <c r="I1666" s="1">
        <f>IF(Query1[[#This Row],[ItemType]]="EVAP KIT SF GEN IV",Query1[[#This Row],[OrderQty]]+I1665,I1665)</f>
        <v>1895</v>
      </c>
      <c r="J1666" s="1">
        <f>IF(Query1[[#This Row],[ItemType]]="EVAP KIT UNIVERSAL",Query1[[#This Row],[OrderQty]]+J1665,J1665)</f>
        <v>815</v>
      </c>
      <c r="K1666" s="1">
        <f>Query1[[#This Row],[SF Running Total]]+Query1[[#This Row],[UNIV Running Total]]</f>
        <v>2710</v>
      </c>
      <c r="L1666">
        <f>VLOOKUP(Query1[[#This Row],[Description]],'kits to boards'!$B$2:$E$156,2,FALSE)</f>
        <v>830102</v>
      </c>
      <c r="M1666">
        <f>VLOOKUP(Query1[[#This Row],[Description]],'kits to boards'!$B$2:$E$156,3,FALSE)</f>
        <v>0</v>
      </c>
      <c r="N1666">
        <f>VLOOKUP(Query1[[#This Row],[Description]],'kits to boards'!$B$2:$E$156,4,FALSE)</f>
        <v>0</v>
      </c>
      <c r="O1666" t="str">
        <f>CONCATENATE(Query1[[#This Row],[Description]]," - ",Query1[[#This Row],[MB1]]," - ",Query1[[#This Row],[MB2]]," - ",Query1[[#This Row],[MB3]])</f>
        <v>SUPER GEN II W/DEF - 830102 - 0 - 0</v>
      </c>
    </row>
    <row r="1667" spans="1:15" x14ac:dyDescent="0.25">
      <c r="A1667" s="1">
        <v>913426</v>
      </c>
      <c r="B1667" s="1" t="s">
        <v>98</v>
      </c>
      <c r="C1667" s="1" t="s">
        <v>99</v>
      </c>
      <c r="D1667" s="2">
        <v>44622.686653506942</v>
      </c>
      <c r="E1667" s="1" t="s">
        <v>11</v>
      </c>
      <c r="F1667" s="1">
        <v>40</v>
      </c>
      <c r="G1667" s="1">
        <v>0</v>
      </c>
      <c r="H1667" s="6">
        <f>INT(Query1[[#This Row],[EntryDateTime]])</f>
        <v>44622</v>
      </c>
      <c r="I1667" s="1">
        <f>IF(Query1[[#This Row],[ItemType]]="EVAP KIT SF GEN IV",Query1[[#This Row],[OrderQty]]+I1666,I1666)</f>
        <v>1895</v>
      </c>
      <c r="J1667" s="1">
        <f>IF(Query1[[#This Row],[ItemType]]="EVAP KIT UNIVERSAL",Query1[[#This Row],[OrderQty]]+J1666,J1666)</f>
        <v>855</v>
      </c>
      <c r="K1667" s="1">
        <f>Query1[[#This Row],[SF Running Total]]+Query1[[#This Row],[UNIV Running Total]]</f>
        <v>2750</v>
      </c>
      <c r="L1667">
        <f>VLOOKUP(Query1[[#This Row],[Description]],'kits to boards'!$B$2:$E$156,2,FALSE)</f>
        <v>830099</v>
      </c>
      <c r="M1667">
        <f>VLOOKUP(Query1[[#This Row],[Description]],'kits to boards'!$B$2:$E$156,3,FALSE)</f>
        <v>0</v>
      </c>
      <c r="N1667">
        <f>VLOOKUP(Query1[[#This Row],[Description]],'kits to boards'!$B$2:$E$156,4,FALSE)</f>
        <v>0</v>
      </c>
      <c r="O1667" t="str">
        <f>CONCATENATE(Query1[[#This Row],[Description]]," - ",Query1[[#This Row],[MB1]]," - ",Query1[[#This Row],[MB2]]," - ",Query1[[#This Row],[MB3]])</f>
        <v>MINI GEN II W/DEF - 830099 - 0 - 0</v>
      </c>
    </row>
    <row r="1668" spans="1:15" x14ac:dyDescent="0.25">
      <c r="A1668" s="1">
        <v>913426</v>
      </c>
      <c r="B1668" s="1" t="s">
        <v>84</v>
      </c>
      <c r="C1668" s="1" t="s">
        <v>85</v>
      </c>
      <c r="D1668" s="2">
        <v>44622.686655555553</v>
      </c>
      <c r="E1668" s="1" t="s">
        <v>8</v>
      </c>
      <c r="F1668" s="1">
        <v>6</v>
      </c>
      <c r="G1668" s="1">
        <v>0</v>
      </c>
      <c r="H1668" s="6">
        <f>INT(Query1[[#This Row],[EntryDateTime]])</f>
        <v>44622</v>
      </c>
      <c r="I1668" s="1">
        <f>IF(Query1[[#This Row],[ItemType]]="EVAP KIT SF GEN IV",Query1[[#This Row],[OrderQty]]+I1667,I1667)</f>
        <v>1901</v>
      </c>
      <c r="J1668" s="1">
        <f>IF(Query1[[#This Row],[ItemType]]="EVAP KIT UNIVERSAL",Query1[[#This Row],[OrderQty]]+J1667,J1667)</f>
        <v>855</v>
      </c>
      <c r="K1668" s="1">
        <f>Query1[[#This Row],[SF Running Total]]+Query1[[#This Row],[UNIV Running Total]]</f>
        <v>2756</v>
      </c>
      <c r="L1668">
        <f>VLOOKUP(Query1[[#This Row],[Description]],'kits to boards'!$B$2:$E$156,2,FALSE)</f>
        <v>830085</v>
      </c>
      <c r="M1668">
        <f>VLOOKUP(Query1[[#This Row],[Description]],'kits to boards'!$B$2:$E$156,3,FALSE)</f>
        <v>0</v>
      </c>
      <c r="N1668">
        <f>VLOOKUP(Query1[[#This Row],[Description]],'kits to boards'!$B$2:$E$156,4,FALSE)</f>
        <v>0</v>
      </c>
      <c r="O1668" t="str">
        <f>CONCATENATE(Query1[[#This Row],[Description]]," - ",Query1[[#This Row],[MB1]]," - ",Query1[[#This Row],[MB2]]," - ",Query1[[#This Row],[MB3]])</f>
        <v>EVAP KIT 66-77 BRONCO 4-VENT PLENUM - 830085 - 0 - 0</v>
      </c>
    </row>
    <row r="1669" spans="1:15" x14ac:dyDescent="0.25">
      <c r="A1669" s="1">
        <v>913426</v>
      </c>
      <c r="B1669" s="1" t="s">
        <v>42</v>
      </c>
      <c r="C1669" s="1" t="s">
        <v>43</v>
      </c>
      <c r="D1669" s="2">
        <v>44622.686658182873</v>
      </c>
      <c r="E1669" s="1" t="s">
        <v>8</v>
      </c>
      <c r="F1669" s="1">
        <v>6</v>
      </c>
      <c r="G1669" s="1">
        <v>0</v>
      </c>
      <c r="H1669" s="6">
        <f>INT(Query1[[#This Row],[EntryDateTime]])</f>
        <v>44622</v>
      </c>
      <c r="I1669" s="1">
        <f>IF(Query1[[#This Row],[ItemType]]="EVAP KIT SF GEN IV",Query1[[#This Row],[OrderQty]]+I1668,I1668)</f>
        <v>1907</v>
      </c>
      <c r="J1669" s="1">
        <f>IF(Query1[[#This Row],[ItemType]]="EVAP KIT UNIVERSAL",Query1[[#This Row],[OrderQty]]+J1668,J1668)</f>
        <v>855</v>
      </c>
      <c r="K1669" s="1">
        <f>Query1[[#This Row],[SF Running Total]]+Query1[[#This Row],[UNIV Running Total]]</f>
        <v>2762</v>
      </c>
      <c r="L1669">
        <f>VLOOKUP(Query1[[#This Row],[Description]],'kits to boards'!$B$2:$E$156,2,FALSE)</f>
        <v>830014</v>
      </c>
      <c r="M1669">
        <f>VLOOKUP(Query1[[#This Row],[Description]],'kits to boards'!$B$2:$E$156,3,FALSE)</f>
        <v>0</v>
      </c>
      <c r="N1669">
        <f>VLOOKUP(Query1[[#This Row],[Description]],'kits to boards'!$B$2:$E$156,4,FALSE)</f>
        <v>0</v>
      </c>
      <c r="O1669" t="str">
        <f>CONCATENATE(Query1[[#This Row],[Description]]," - ",Query1[[#This Row],[MB1]]," - ",Query1[[#This Row],[MB2]]," - ",Query1[[#This Row],[MB3]])</f>
        <v>EVAP KIT 67-72 CHEV P-UP WO AC - 830014 - 0 - 0</v>
      </c>
    </row>
    <row r="1670" spans="1:15" x14ac:dyDescent="0.25">
      <c r="A1670" s="1">
        <v>913429</v>
      </c>
      <c r="B1670" s="1" t="s">
        <v>50</v>
      </c>
      <c r="C1670" s="1" t="s">
        <v>51</v>
      </c>
      <c r="D1670" s="2">
        <v>44622.688217210649</v>
      </c>
      <c r="E1670" s="1" t="s">
        <v>8</v>
      </c>
      <c r="F1670" s="1">
        <v>10</v>
      </c>
      <c r="G1670" s="1">
        <v>0</v>
      </c>
      <c r="H1670" s="6">
        <f>INT(Query1[[#This Row],[EntryDateTime]])</f>
        <v>44622</v>
      </c>
      <c r="I1670" s="1">
        <f>IF(Query1[[#This Row],[ItemType]]="EVAP KIT SF GEN IV",Query1[[#This Row],[OrderQty]]+I1669,I1669)</f>
        <v>1917</v>
      </c>
      <c r="J1670" s="1">
        <f>IF(Query1[[#This Row],[ItemType]]="EVAP KIT UNIVERSAL",Query1[[#This Row],[OrderQty]]+J1669,J1669)</f>
        <v>855</v>
      </c>
      <c r="K1670" s="1">
        <f>Query1[[#This Row],[SF Running Total]]+Query1[[#This Row],[UNIV Running Total]]</f>
        <v>2772</v>
      </c>
      <c r="L1670">
        <f>VLOOKUP(Query1[[#This Row],[Description]],'kits to boards'!$B$2:$E$156,2,FALSE)</f>
        <v>830043</v>
      </c>
      <c r="M1670">
        <f>VLOOKUP(Query1[[#This Row],[Description]],'kits to boards'!$B$2:$E$156,3,FALSE)</f>
        <v>0</v>
      </c>
      <c r="N1670">
        <f>VLOOKUP(Query1[[#This Row],[Description]],'kits to boards'!$B$2:$E$156,4,FALSE)</f>
        <v>0</v>
      </c>
      <c r="O1670" t="str">
        <f>CONCATENATE(Query1[[#This Row],[Description]]," - ",Query1[[#This Row],[MB1]]," - ",Query1[[#This Row],[MB2]]," - ",Query1[[#This Row],[MB3]])</f>
        <v>EVAP KIT 69-74 NOVA WO AC - 830043 - 0 - 0</v>
      </c>
    </row>
    <row r="1671" spans="1:15" x14ac:dyDescent="0.25">
      <c r="A1671" s="1">
        <v>913428</v>
      </c>
      <c r="B1671" s="1" t="s">
        <v>506</v>
      </c>
      <c r="C1671" s="1" t="s">
        <v>507</v>
      </c>
      <c r="D1671" s="2">
        <v>44622.68936103009</v>
      </c>
      <c r="E1671" s="1" t="s">
        <v>677</v>
      </c>
      <c r="F1671" s="1">
        <v>1</v>
      </c>
      <c r="G1671" s="1">
        <v>0</v>
      </c>
      <c r="H1671" s="6">
        <f>INT(Query1[[#This Row],[EntryDateTime]])</f>
        <v>44622</v>
      </c>
      <c r="I1671" s="1">
        <f>IF(Query1[[#This Row],[ItemType]]="EVAP KIT SF GEN IV",Query1[[#This Row],[OrderQty]]+I1670,I1670)</f>
        <v>1917</v>
      </c>
      <c r="J1671" s="1">
        <f>IF(Query1[[#This Row],[ItemType]]="EVAP KIT UNIVERSAL",Query1[[#This Row],[OrderQty]]+J1670,J1670)</f>
        <v>855</v>
      </c>
      <c r="K1671" s="1">
        <f>Query1[[#This Row],[SF Running Total]]+Query1[[#This Row],[UNIV Running Total]]</f>
        <v>2772</v>
      </c>
      <c r="L1671" t="e">
        <f>VLOOKUP(Query1[[#This Row],[Description]],'kits to boards'!$B$2:$E$156,2,FALSE)</f>
        <v>#N/A</v>
      </c>
      <c r="M1671" t="e">
        <f>VLOOKUP(Query1[[#This Row],[Description]],'kits to boards'!$B$2:$E$156,3,FALSE)</f>
        <v>#N/A</v>
      </c>
      <c r="N1671" t="e">
        <f>VLOOKUP(Query1[[#This Row],[Description]],'kits to boards'!$B$2:$E$156,4,FALSE)</f>
        <v>#N/A</v>
      </c>
      <c r="O1671" t="e">
        <f>CONCATENATE(Query1[[#This Row],[Description]]," - ",Query1[[#This Row],[MB1]]," - ",Query1[[#This Row],[MB2]]," - ",Query1[[#This Row],[MB3]])</f>
        <v>#N/A</v>
      </c>
    </row>
    <row r="1672" spans="1:15" x14ac:dyDescent="0.25">
      <c r="A1672" s="1">
        <v>913431</v>
      </c>
      <c r="B1672" s="1" t="s">
        <v>82</v>
      </c>
      <c r="C1672" s="1" t="s">
        <v>83</v>
      </c>
      <c r="D1672" s="2">
        <v>44622.689663888887</v>
      </c>
      <c r="E1672" s="1" t="s">
        <v>11</v>
      </c>
      <c r="F1672" s="1">
        <v>4</v>
      </c>
      <c r="G1672" s="1">
        <v>0</v>
      </c>
      <c r="H1672" s="6">
        <f>INT(Query1[[#This Row],[EntryDateTime]])</f>
        <v>44622</v>
      </c>
      <c r="I1672" s="1">
        <f>IF(Query1[[#This Row],[ItemType]]="EVAP KIT SF GEN IV",Query1[[#This Row],[OrderQty]]+I1671,I1671)</f>
        <v>1917</v>
      </c>
      <c r="J1672" s="1">
        <f>IF(Query1[[#This Row],[ItemType]]="EVAP KIT UNIVERSAL",Query1[[#This Row],[OrderQty]]+J1671,J1671)</f>
        <v>859</v>
      </c>
      <c r="K1672" s="1">
        <f>Query1[[#This Row],[SF Running Total]]+Query1[[#This Row],[UNIV Running Total]]</f>
        <v>2776</v>
      </c>
      <c r="L1672">
        <f>VLOOKUP(Query1[[#This Row],[Description]],'kits to boards'!$B$2:$E$156,2,FALSE)</f>
        <v>830029</v>
      </c>
      <c r="M1672">
        <f>VLOOKUP(Query1[[#This Row],[Description]],'kits to boards'!$B$2:$E$156,3,FALSE)</f>
        <v>830030</v>
      </c>
      <c r="N1672">
        <f>VLOOKUP(Query1[[#This Row],[Description]],'kits to boards'!$B$2:$E$156,4,FALSE)</f>
        <v>0</v>
      </c>
      <c r="O1672" t="str">
        <f>CONCATENATE(Query1[[#This Row],[Description]]," - ",Query1[[#This Row],[MB1]]," - ",Query1[[#This Row],[MB2]]," - ",Query1[[#This Row],[MB3]])</f>
        <v>ComPac GEN II H/C - 830029 - 830030 - 0</v>
      </c>
    </row>
    <row r="1673" spans="1:15" x14ac:dyDescent="0.25">
      <c r="A1673" s="1">
        <v>913431</v>
      </c>
      <c r="B1673" s="1" t="s">
        <v>24</v>
      </c>
      <c r="C1673" s="1" t="s">
        <v>25</v>
      </c>
      <c r="D1673" s="2">
        <v>44622.689665659724</v>
      </c>
      <c r="E1673" s="1" t="s">
        <v>11</v>
      </c>
      <c r="F1673" s="1">
        <v>14</v>
      </c>
      <c r="G1673" s="1">
        <v>0</v>
      </c>
      <c r="H1673" s="6">
        <f>INT(Query1[[#This Row],[EntryDateTime]])</f>
        <v>44622</v>
      </c>
      <c r="I1673" s="1">
        <f>IF(Query1[[#This Row],[ItemType]]="EVAP KIT SF GEN IV",Query1[[#This Row],[OrderQty]]+I1672,I1672)</f>
        <v>1917</v>
      </c>
      <c r="J1673" s="1">
        <f>IF(Query1[[#This Row],[ItemType]]="EVAP KIT UNIVERSAL",Query1[[#This Row],[OrderQty]]+J1672,J1672)</f>
        <v>873</v>
      </c>
      <c r="K1673" s="1">
        <f>Query1[[#This Row],[SF Running Total]]+Query1[[#This Row],[UNIV Running Total]]</f>
        <v>2790</v>
      </c>
      <c r="L1673">
        <f>VLOOKUP(Query1[[#This Row],[Description]],'kits to boards'!$B$2:$E$156,2,FALSE)</f>
        <v>830029</v>
      </c>
      <c r="M1673">
        <f>VLOOKUP(Query1[[#This Row],[Description]],'kits to boards'!$B$2:$E$156,3,FALSE)</f>
        <v>830030</v>
      </c>
      <c r="N1673">
        <f>VLOOKUP(Query1[[#This Row],[Description]],'kits to boards'!$B$2:$E$156,4,FALSE)</f>
        <v>0</v>
      </c>
      <c r="O1673" t="str">
        <f>CONCATENATE(Query1[[#This Row],[Description]]," - ",Query1[[#This Row],[MB1]]," - ",Query1[[#This Row],[MB2]]," - ",Query1[[#This Row],[MB3]])</f>
        <v>ComPac GEN II W/DEF - 830029 - 830030 - 0</v>
      </c>
    </row>
    <row r="1674" spans="1:15" x14ac:dyDescent="0.25">
      <c r="A1674" s="1">
        <v>913431</v>
      </c>
      <c r="B1674" s="1" t="s">
        <v>44</v>
      </c>
      <c r="C1674" s="1" t="s">
        <v>45</v>
      </c>
      <c r="D1674" s="2">
        <v>44622.689667395833</v>
      </c>
      <c r="E1674" s="1" t="s">
        <v>8</v>
      </c>
      <c r="F1674" s="1">
        <v>11</v>
      </c>
      <c r="G1674" s="1">
        <v>0</v>
      </c>
      <c r="H1674" s="6">
        <f>INT(Query1[[#This Row],[EntryDateTime]])</f>
        <v>44622</v>
      </c>
      <c r="I1674" s="1">
        <f>IF(Query1[[#This Row],[ItemType]]="EVAP KIT SF GEN IV",Query1[[#This Row],[OrderQty]]+I1673,I1673)</f>
        <v>1928</v>
      </c>
      <c r="J1674" s="1">
        <f>IF(Query1[[#This Row],[ItemType]]="EVAP KIT UNIVERSAL",Query1[[#This Row],[OrderQty]]+J1673,J1673)</f>
        <v>873</v>
      </c>
      <c r="K1674" s="1">
        <f>Query1[[#This Row],[SF Running Total]]+Query1[[#This Row],[UNIV Running Total]]</f>
        <v>2801</v>
      </c>
      <c r="L1674">
        <f>VLOOKUP(Query1[[#This Row],[Description]],'kits to boards'!$B$2:$E$156,2,FALSE)</f>
        <v>830085</v>
      </c>
      <c r="M1674">
        <f>VLOOKUP(Query1[[#This Row],[Description]],'kits to boards'!$B$2:$E$156,3,FALSE)</f>
        <v>0</v>
      </c>
      <c r="N1674">
        <f>VLOOKUP(Query1[[#This Row],[Description]],'kits to boards'!$B$2:$E$156,4,FALSE)</f>
        <v>0</v>
      </c>
      <c r="O1674" t="str">
        <f>CONCATENATE(Query1[[#This Row],[Description]]," - ",Query1[[#This Row],[MB1]]," - ",Query1[[#This Row],[MB2]]," - ",Query1[[#This Row],[MB3]])</f>
        <v>EVAP KIT 66-77 BRONCO - 830085 - 0 - 0</v>
      </c>
    </row>
    <row r="1675" spans="1:15" x14ac:dyDescent="0.25">
      <c r="A1675" s="1">
        <v>913431</v>
      </c>
      <c r="B1675" s="1" t="s">
        <v>42</v>
      </c>
      <c r="C1675" s="1" t="s">
        <v>43</v>
      </c>
      <c r="D1675" s="2">
        <v>44622.689669178239</v>
      </c>
      <c r="E1675" s="1" t="s">
        <v>8</v>
      </c>
      <c r="F1675" s="1">
        <v>5</v>
      </c>
      <c r="G1675" s="1">
        <v>0</v>
      </c>
      <c r="H1675" s="6">
        <f>INT(Query1[[#This Row],[EntryDateTime]])</f>
        <v>44622</v>
      </c>
      <c r="I1675" s="1">
        <f>IF(Query1[[#This Row],[ItemType]]="EVAP KIT SF GEN IV",Query1[[#This Row],[OrderQty]]+I1674,I1674)</f>
        <v>1933</v>
      </c>
      <c r="J1675" s="1">
        <f>IF(Query1[[#This Row],[ItemType]]="EVAP KIT UNIVERSAL",Query1[[#This Row],[OrderQty]]+J1674,J1674)</f>
        <v>873</v>
      </c>
      <c r="K1675" s="1">
        <f>Query1[[#This Row],[SF Running Total]]+Query1[[#This Row],[UNIV Running Total]]</f>
        <v>2806</v>
      </c>
      <c r="L1675">
        <f>VLOOKUP(Query1[[#This Row],[Description]],'kits to boards'!$B$2:$E$156,2,FALSE)</f>
        <v>830014</v>
      </c>
      <c r="M1675">
        <f>VLOOKUP(Query1[[#This Row],[Description]],'kits to boards'!$B$2:$E$156,3,FALSE)</f>
        <v>0</v>
      </c>
      <c r="N1675">
        <f>VLOOKUP(Query1[[#This Row],[Description]],'kits to boards'!$B$2:$E$156,4,FALSE)</f>
        <v>0</v>
      </c>
      <c r="O1675" t="str">
        <f>CONCATENATE(Query1[[#This Row],[Description]]," - ",Query1[[#This Row],[MB1]]," - ",Query1[[#This Row],[MB2]]," - ",Query1[[#This Row],[MB3]])</f>
        <v>EVAP KIT 67-72 CHEV P-UP WO AC - 830014 - 0 - 0</v>
      </c>
    </row>
    <row r="1676" spans="1:15" x14ac:dyDescent="0.25">
      <c r="A1676" s="1">
        <v>913432</v>
      </c>
      <c r="B1676" s="1" t="s">
        <v>98</v>
      </c>
      <c r="C1676" s="1" t="s">
        <v>99</v>
      </c>
      <c r="D1676" s="2">
        <v>44622.693378668984</v>
      </c>
      <c r="E1676" s="1" t="s">
        <v>11</v>
      </c>
      <c r="F1676" s="1">
        <v>1</v>
      </c>
      <c r="G1676" s="1">
        <v>0</v>
      </c>
      <c r="H1676" s="6">
        <f>INT(Query1[[#This Row],[EntryDateTime]])</f>
        <v>44622</v>
      </c>
      <c r="I1676" s="1">
        <f>IF(Query1[[#This Row],[ItemType]]="EVAP KIT SF GEN IV",Query1[[#This Row],[OrderQty]]+I1675,I1675)</f>
        <v>1933</v>
      </c>
      <c r="J1676" s="1">
        <f>IF(Query1[[#This Row],[ItemType]]="EVAP KIT UNIVERSAL",Query1[[#This Row],[OrderQty]]+J1675,J1675)</f>
        <v>874</v>
      </c>
      <c r="K1676" s="1">
        <f>Query1[[#This Row],[SF Running Total]]+Query1[[#This Row],[UNIV Running Total]]</f>
        <v>2807</v>
      </c>
      <c r="L1676">
        <f>VLOOKUP(Query1[[#This Row],[Description]],'kits to boards'!$B$2:$E$156,2,FALSE)</f>
        <v>830099</v>
      </c>
      <c r="M1676">
        <f>VLOOKUP(Query1[[#This Row],[Description]],'kits to boards'!$B$2:$E$156,3,FALSE)</f>
        <v>0</v>
      </c>
      <c r="N1676">
        <f>VLOOKUP(Query1[[#This Row],[Description]],'kits to boards'!$B$2:$E$156,4,FALSE)</f>
        <v>0</v>
      </c>
      <c r="O1676" t="str">
        <f>CONCATENATE(Query1[[#This Row],[Description]]," - ",Query1[[#This Row],[MB1]]," - ",Query1[[#This Row],[MB2]]," - ",Query1[[#This Row],[MB3]])</f>
        <v>MINI GEN II W/DEF - 830099 - 0 - 0</v>
      </c>
    </row>
    <row r="1677" spans="1:15" x14ac:dyDescent="0.25">
      <c r="A1677" s="1">
        <v>913432</v>
      </c>
      <c r="B1677" s="1" t="s">
        <v>24</v>
      </c>
      <c r="C1677" s="1" t="s">
        <v>25</v>
      </c>
      <c r="D1677" s="2">
        <v>44622.693475081018</v>
      </c>
      <c r="E1677" s="1" t="s">
        <v>11</v>
      </c>
      <c r="F1677" s="1">
        <v>1</v>
      </c>
      <c r="G1677" s="1">
        <v>0</v>
      </c>
      <c r="H1677" s="6">
        <f>INT(Query1[[#This Row],[EntryDateTime]])</f>
        <v>44622</v>
      </c>
      <c r="I1677" s="1">
        <f>IF(Query1[[#This Row],[ItemType]]="EVAP KIT SF GEN IV",Query1[[#This Row],[OrderQty]]+I1676,I1676)</f>
        <v>1933</v>
      </c>
      <c r="J1677" s="1">
        <f>IF(Query1[[#This Row],[ItemType]]="EVAP KIT UNIVERSAL",Query1[[#This Row],[OrderQty]]+J1676,J1676)</f>
        <v>875</v>
      </c>
      <c r="K1677" s="1">
        <f>Query1[[#This Row],[SF Running Total]]+Query1[[#This Row],[UNIV Running Total]]</f>
        <v>2808</v>
      </c>
      <c r="L1677">
        <f>VLOOKUP(Query1[[#This Row],[Description]],'kits to boards'!$B$2:$E$156,2,FALSE)</f>
        <v>830029</v>
      </c>
      <c r="M1677">
        <f>VLOOKUP(Query1[[#This Row],[Description]],'kits to boards'!$B$2:$E$156,3,FALSE)</f>
        <v>830030</v>
      </c>
      <c r="N1677">
        <f>VLOOKUP(Query1[[#This Row],[Description]],'kits to boards'!$B$2:$E$156,4,FALSE)</f>
        <v>0</v>
      </c>
      <c r="O1677" t="str">
        <f>CONCATENATE(Query1[[#This Row],[Description]]," - ",Query1[[#This Row],[MB1]]," - ",Query1[[#This Row],[MB2]]," - ",Query1[[#This Row],[MB3]])</f>
        <v>ComPac GEN II W/DEF - 830029 - 830030 - 0</v>
      </c>
    </row>
    <row r="1678" spans="1:15" x14ac:dyDescent="0.25">
      <c r="A1678" s="1">
        <v>913433</v>
      </c>
      <c r="B1678" s="1" t="s">
        <v>132</v>
      </c>
      <c r="C1678" s="1" t="s">
        <v>133</v>
      </c>
      <c r="D1678" s="2">
        <v>44622.694643206021</v>
      </c>
      <c r="E1678" s="1" t="s">
        <v>8</v>
      </c>
      <c r="F1678" s="1">
        <v>1</v>
      </c>
      <c r="G1678" s="1">
        <v>0</v>
      </c>
      <c r="H1678" s="6">
        <f>INT(Query1[[#This Row],[EntryDateTime]])</f>
        <v>44622</v>
      </c>
      <c r="I1678" s="1">
        <f>IF(Query1[[#This Row],[ItemType]]="EVAP KIT SF GEN IV",Query1[[#This Row],[OrderQty]]+I1677,I1677)</f>
        <v>1934</v>
      </c>
      <c r="J1678" s="1">
        <f>IF(Query1[[#This Row],[ItemType]]="EVAP KIT UNIVERSAL",Query1[[#This Row],[OrderQty]]+J1677,J1677)</f>
        <v>875</v>
      </c>
      <c r="K1678" s="1">
        <f>Query1[[#This Row],[SF Running Total]]+Query1[[#This Row],[UNIV Running Total]]</f>
        <v>2809</v>
      </c>
      <c r="L1678">
        <f>VLOOKUP(Query1[[#This Row],[Description]],'kits to boards'!$B$2:$E$156,2,FALSE)</f>
        <v>830005</v>
      </c>
      <c r="M1678">
        <f>VLOOKUP(Query1[[#This Row],[Description]],'kits to boards'!$B$2:$E$156,3,FALSE)</f>
        <v>0</v>
      </c>
      <c r="N1678">
        <f>VLOOKUP(Query1[[#This Row],[Description]],'kits to boards'!$B$2:$E$156,4,FALSE)</f>
        <v>0</v>
      </c>
      <c r="O1678" t="str">
        <f>CONCATENATE(Query1[[#This Row],[Description]]," - ",Query1[[#This Row],[MB1]]," - ",Query1[[#This Row],[MB2]]," - ",Query1[[#This Row],[MB3]])</f>
        <v>EVAP KIT 61-62 IMPALA WO AC - 830005 - 0 - 0</v>
      </c>
    </row>
    <row r="1679" spans="1:15" x14ac:dyDescent="0.25">
      <c r="A1679" s="1">
        <v>913443</v>
      </c>
      <c r="B1679" s="1" t="s">
        <v>110</v>
      </c>
      <c r="C1679" s="1" t="s">
        <v>111</v>
      </c>
      <c r="D1679" s="2">
        <v>44623.306416319443</v>
      </c>
      <c r="E1679" s="1" t="s">
        <v>8</v>
      </c>
      <c r="F1679" s="1">
        <v>1</v>
      </c>
      <c r="G1679" s="1">
        <v>0</v>
      </c>
      <c r="H1679" s="6">
        <f>INT(Query1[[#This Row],[EntryDateTime]])</f>
        <v>44623</v>
      </c>
      <c r="I1679" s="1">
        <f>IF(Query1[[#This Row],[ItemType]]="EVAP KIT SF GEN IV",Query1[[#This Row],[OrderQty]]+I1678,I1678)</f>
        <v>1935</v>
      </c>
      <c r="J1679" s="1">
        <f>IF(Query1[[#This Row],[ItemType]]="EVAP KIT UNIVERSAL",Query1[[#This Row],[OrderQty]]+J1678,J1678)</f>
        <v>875</v>
      </c>
      <c r="K1679" s="1">
        <f>Query1[[#This Row],[SF Running Total]]+Query1[[#This Row],[UNIV Running Total]]</f>
        <v>2810</v>
      </c>
      <c r="L1679">
        <f>VLOOKUP(Query1[[#This Row],[Description]],'kits to boards'!$B$2:$E$156,2,FALSE)</f>
        <v>830053</v>
      </c>
      <c r="M1679">
        <f>VLOOKUP(Query1[[#This Row],[Description]],'kits to boards'!$B$2:$E$156,3,FALSE)</f>
        <v>0</v>
      </c>
      <c r="N1679">
        <f>VLOOKUP(Query1[[#This Row],[Description]],'kits to boards'!$B$2:$E$156,4,FALSE)</f>
        <v>0</v>
      </c>
      <c r="O1679" t="str">
        <f>CONCATENATE(Query1[[#This Row],[Description]]," - ",Query1[[#This Row],[MB1]]," - ",Query1[[#This Row],[MB2]]," - ",Query1[[#This Row],[MB3]])</f>
        <v>EVAP KIT 65-66 FORD F-100 - 830053 - 0 - 0</v>
      </c>
    </row>
    <row r="1680" spans="1:15" x14ac:dyDescent="0.25">
      <c r="A1680" s="1">
        <v>913443</v>
      </c>
      <c r="B1680" s="1" t="s">
        <v>52</v>
      </c>
      <c r="C1680" s="1" t="s">
        <v>53</v>
      </c>
      <c r="D1680" s="2">
        <v>44623.306911805557</v>
      </c>
      <c r="E1680" s="1" t="s">
        <v>8</v>
      </c>
      <c r="F1680" s="1">
        <v>1</v>
      </c>
      <c r="G1680" s="1">
        <v>0</v>
      </c>
      <c r="H1680" s="6">
        <f>INT(Query1[[#This Row],[EntryDateTime]])</f>
        <v>44623</v>
      </c>
      <c r="I1680" s="1">
        <f>IF(Query1[[#This Row],[ItemType]]="EVAP KIT SF GEN IV",Query1[[#This Row],[OrderQty]]+I1679,I1679)</f>
        <v>1936</v>
      </c>
      <c r="J1680" s="1">
        <f>IF(Query1[[#This Row],[ItemType]]="EVAP KIT UNIVERSAL",Query1[[#This Row],[OrderQty]]+J1679,J1679)</f>
        <v>875</v>
      </c>
      <c r="K1680" s="1">
        <f>Query1[[#This Row],[SF Running Total]]+Query1[[#This Row],[UNIV Running Total]]</f>
        <v>2811</v>
      </c>
      <c r="L1680">
        <f>VLOOKUP(Query1[[#This Row],[Description]],'kits to boards'!$B$2:$E$156,2,FALSE)</f>
        <v>830017</v>
      </c>
      <c r="M1680">
        <f>VLOOKUP(Query1[[#This Row],[Description]],'kits to boards'!$B$2:$E$156,3,FALSE)</f>
        <v>830119</v>
      </c>
      <c r="N1680">
        <f>VLOOKUP(Query1[[#This Row],[Description]],'kits to boards'!$B$2:$E$156,4,FALSE)</f>
        <v>830120</v>
      </c>
      <c r="O1680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1681" spans="1:15" x14ac:dyDescent="0.25">
      <c r="A1681" s="1">
        <v>913443</v>
      </c>
      <c r="B1681" s="1" t="s">
        <v>22</v>
      </c>
      <c r="C1681" s="1" t="s">
        <v>23</v>
      </c>
      <c r="D1681" s="2">
        <v>44623.307057986109</v>
      </c>
      <c r="E1681" s="1" t="s">
        <v>8</v>
      </c>
      <c r="F1681" s="1">
        <v>2</v>
      </c>
      <c r="G1681" s="1">
        <v>0</v>
      </c>
      <c r="H1681" s="6">
        <f>INT(Query1[[#This Row],[EntryDateTime]])</f>
        <v>44623</v>
      </c>
      <c r="I1681" s="1">
        <f>IF(Query1[[#This Row],[ItemType]]="EVAP KIT SF GEN IV",Query1[[#This Row],[OrderQty]]+I1680,I1680)</f>
        <v>1938</v>
      </c>
      <c r="J1681" s="1">
        <f>IF(Query1[[#This Row],[ItemType]]="EVAP KIT UNIVERSAL",Query1[[#This Row],[OrderQty]]+J1680,J1680)</f>
        <v>875</v>
      </c>
      <c r="K1681" s="1">
        <f>Query1[[#This Row],[SF Running Total]]+Query1[[#This Row],[UNIV Running Total]]</f>
        <v>2813</v>
      </c>
      <c r="L1681">
        <f>VLOOKUP(Query1[[#This Row],[Description]],'kits to boards'!$B$2:$E$156,2,FALSE)</f>
        <v>830083</v>
      </c>
      <c r="M1681">
        <f>VLOOKUP(Query1[[#This Row],[Description]],'kits to boards'!$B$2:$E$156,3,FALSE)</f>
        <v>0</v>
      </c>
      <c r="N1681">
        <f>VLOOKUP(Query1[[#This Row],[Description]],'kits to boards'!$B$2:$E$156,4,FALSE)</f>
        <v>0</v>
      </c>
      <c r="O1681" t="str">
        <f>CONCATENATE(Query1[[#This Row],[Description]]," - ",Query1[[#This Row],[MB1]]," - ",Query1[[#This Row],[MB2]]," - ",Query1[[#This Row],[MB3]])</f>
        <v>GEN IV MAGNUM EVAP KIT - 830083 - 0 - 0</v>
      </c>
    </row>
    <row r="1682" spans="1:15" x14ac:dyDescent="0.25">
      <c r="A1682" s="1">
        <v>913444</v>
      </c>
      <c r="B1682" s="1" t="s">
        <v>36</v>
      </c>
      <c r="C1682" s="1" t="s">
        <v>37</v>
      </c>
      <c r="D1682" s="2">
        <v>44623.308279861114</v>
      </c>
      <c r="E1682" s="1" t="s">
        <v>8</v>
      </c>
      <c r="F1682" s="1">
        <v>1</v>
      </c>
      <c r="G1682" s="1">
        <v>0</v>
      </c>
      <c r="H1682" s="6">
        <f>INT(Query1[[#This Row],[EntryDateTime]])</f>
        <v>44623</v>
      </c>
      <c r="I1682" s="1">
        <f>IF(Query1[[#This Row],[ItemType]]="EVAP KIT SF GEN IV",Query1[[#This Row],[OrderQty]]+I1681,I1681)</f>
        <v>1939</v>
      </c>
      <c r="J1682" s="1">
        <f>IF(Query1[[#This Row],[ItemType]]="EVAP KIT UNIVERSAL",Query1[[#This Row],[OrderQty]]+J1681,J1681)</f>
        <v>875</v>
      </c>
      <c r="K1682" s="1">
        <f>Query1[[#This Row],[SF Running Total]]+Query1[[#This Row],[UNIV Running Total]]</f>
        <v>2814</v>
      </c>
      <c r="L1682">
        <f>VLOOKUP(Query1[[#This Row],[Description]],'kits to boards'!$B$2:$E$156,2,FALSE)</f>
        <v>830015</v>
      </c>
      <c r="M1682">
        <f>VLOOKUP(Query1[[#This Row],[Description]],'kits to boards'!$B$2:$E$156,3,FALSE)</f>
        <v>0</v>
      </c>
      <c r="N1682">
        <f>VLOOKUP(Query1[[#This Row],[Description]],'kits to boards'!$B$2:$E$156,4,FALSE)</f>
        <v>0</v>
      </c>
      <c r="O1682" t="str">
        <f>CONCATENATE(Query1[[#This Row],[Description]]," - ",Query1[[#This Row],[MB1]]," - ",Query1[[#This Row],[MB2]]," - ",Query1[[#This Row],[MB3]])</f>
        <v>EVAP KIT 64-66 CHEV P-UP WO AC W/STD - 830015 - 0 - 0</v>
      </c>
    </row>
    <row r="1683" spans="1:15" x14ac:dyDescent="0.25">
      <c r="A1683" s="1">
        <v>913039</v>
      </c>
      <c r="B1683" s="1" t="s">
        <v>54</v>
      </c>
      <c r="C1683" s="1" t="s">
        <v>55</v>
      </c>
      <c r="D1683" s="2">
        <v>44623.318154710651</v>
      </c>
      <c r="E1683" s="1" t="s">
        <v>8</v>
      </c>
      <c r="F1683" s="1">
        <v>1</v>
      </c>
      <c r="G1683" s="1">
        <v>0</v>
      </c>
      <c r="H1683" s="6">
        <f>INT(Query1[[#This Row],[EntryDateTime]])</f>
        <v>44623</v>
      </c>
      <c r="I1683" s="1">
        <f>IF(Query1[[#This Row],[ItemType]]="EVAP KIT SF GEN IV",Query1[[#This Row],[OrderQty]]+I1682,I1682)</f>
        <v>1940</v>
      </c>
      <c r="J1683" s="1">
        <f>IF(Query1[[#This Row],[ItemType]]="EVAP KIT UNIVERSAL",Query1[[#This Row],[OrderQty]]+J1682,J1682)</f>
        <v>875</v>
      </c>
      <c r="K1683" s="1">
        <f>Query1[[#This Row],[SF Running Total]]+Query1[[#This Row],[UNIV Running Total]]</f>
        <v>2815</v>
      </c>
      <c r="L1683">
        <f>VLOOKUP(Query1[[#This Row],[Description]],'kits to boards'!$B$2:$E$156,2,FALSE)</f>
        <v>830037</v>
      </c>
      <c r="M1683">
        <f>VLOOKUP(Query1[[#This Row],[Description]],'kits to boards'!$B$2:$E$156,3,FALSE)</f>
        <v>0</v>
      </c>
      <c r="N1683">
        <f>VLOOKUP(Query1[[#This Row],[Description]],'kits to boards'!$B$2:$E$156,4,FALSE)</f>
        <v>0</v>
      </c>
      <c r="O1683" t="str">
        <f>CONCATENATE(Query1[[#This Row],[Description]]," - ",Query1[[#This Row],[MB1]]," - ",Query1[[#This Row],[MB2]]," - ",Query1[[#This Row],[MB3]])</f>
        <v>EVAP KIT 70-81 FIREBIRD W/AC - 830037 - 0 - 0</v>
      </c>
    </row>
    <row r="1684" spans="1:15" x14ac:dyDescent="0.25">
      <c r="A1684" s="1">
        <v>913450</v>
      </c>
      <c r="B1684" s="1" t="s">
        <v>18</v>
      </c>
      <c r="C1684" s="1" t="s">
        <v>19</v>
      </c>
      <c r="D1684" s="2">
        <v>44623.318467708334</v>
      </c>
      <c r="E1684" s="1" t="s">
        <v>8</v>
      </c>
      <c r="F1684" s="1">
        <v>1</v>
      </c>
      <c r="G1684" s="1">
        <v>0</v>
      </c>
      <c r="H1684" s="6">
        <f>INT(Query1[[#This Row],[EntryDateTime]])</f>
        <v>44623</v>
      </c>
      <c r="I1684" s="1">
        <f>IF(Query1[[#This Row],[ItemType]]="EVAP KIT SF GEN IV",Query1[[#This Row],[OrderQty]]+I1683,I1683)</f>
        <v>1941</v>
      </c>
      <c r="J1684" s="1">
        <f>IF(Query1[[#This Row],[ItemType]]="EVAP KIT UNIVERSAL",Query1[[#This Row],[OrderQty]]+J1683,J1683)</f>
        <v>875</v>
      </c>
      <c r="K1684" s="1">
        <f>Query1[[#This Row],[SF Running Total]]+Query1[[#This Row],[UNIV Running Total]]</f>
        <v>2816</v>
      </c>
      <c r="L1684">
        <f>VLOOKUP(Query1[[#This Row],[Description]],'kits to boards'!$B$2:$E$156,2,FALSE)</f>
        <v>830051</v>
      </c>
      <c r="M1684">
        <f>VLOOKUP(Query1[[#This Row],[Description]],'kits to boards'!$B$2:$E$156,3,FALSE)</f>
        <v>0</v>
      </c>
      <c r="N1684">
        <f>VLOOKUP(Query1[[#This Row],[Description]],'kits to boards'!$B$2:$E$156,4,FALSE)</f>
        <v>0</v>
      </c>
      <c r="O1684" t="str">
        <f>CONCATENATE(Query1[[#This Row],[Description]]," - ",Query1[[#This Row],[MB1]]," - ",Query1[[#This Row],[MB2]]," - ",Query1[[#This Row],[MB3]])</f>
        <v>EVAP KIT 70-78 CAMARO W/AC - 830051 - 0 - 0</v>
      </c>
    </row>
    <row r="1685" spans="1:15" x14ac:dyDescent="0.25">
      <c r="A1685" s="1">
        <v>913453</v>
      </c>
      <c r="B1685" s="1" t="s">
        <v>156</v>
      </c>
      <c r="C1685" s="1" t="s">
        <v>157</v>
      </c>
      <c r="D1685" s="2">
        <v>44623.325166238428</v>
      </c>
      <c r="E1685" s="1" t="s">
        <v>8</v>
      </c>
      <c r="F1685" s="1">
        <v>1</v>
      </c>
      <c r="G1685" s="1">
        <v>0</v>
      </c>
      <c r="H1685" s="6">
        <f>INT(Query1[[#This Row],[EntryDateTime]])</f>
        <v>44623</v>
      </c>
      <c r="I1685" s="1">
        <f>IF(Query1[[#This Row],[ItemType]]="EVAP KIT SF GEN IV",Query1[[#This Row],[OrderQty]]+I1684,I1684)</f>
        <v>1942</v>
      </c>
      <c r="J1685" s="1">
        <f>IF(Query1[[#This Row],[ItemType]]="EVAP KIT UNIVERSAL",Query1[[#This Row],[OrderQty]]+J1684,J1684)</f>
        <v>875</v>
      </c>
      <c r="K1685" s="1">
        <f>Query1[[#This Row],[SF Running Total]]+Query1[[#This Row],[UNIV Running Total]]</f>
        <v>2817</v>
      </c>
      <c r="L1685">
        <f>VLOOKUP(Query1[[#This Row],[Description]],'kits to boards'!$B$2:$E$156,2,FALSE)</f>
        <v>830019</v>
      </c>
      <c r="M1685">
        <f>VLOOKUP(Query1[[#This Row],[Description]],'kits to boards'!$B$2:$E$156,3,FALSE)</f>
        <v>0</v>
      </c>
      <c r="N1685">
        <f>VLOOKUP(Query1[[#This Row],[Description]],'kits to boards'!$B$2:$E$156,4,FALSE)</f>
        <v>0</v>
      </c>
      <c r="O1685" t="str">
        <f>CONCATENATE(Query1[[#This Row],[Description]]," - ",Query1[[#This Row],[MB1]]," - ",Query1[[#This Row],[MB2]]," - ",Query1[[#This Row],[MB3]])</f>
        <v>EVAP KIT 70-81 FIREBIRD WO AC - 830019 - 0 - 0</v>
      </c>
    </row>
    <row r="1686" spans="1:15" x14ac:dyDescent="0.25">
      <c r="A1686" s="1">
        <v>913458</v>
      </c>
      <c r="B1686" s="1" t="s">
        <v>38</v>
      </c>
      <c r="C1686" s="1" t="s">
        <v>39</v>
      </c>
      <c r="D1686" s="2">
        <v>44623.339643749998</v>
      </c>
      <c r="E1686" s="1" t="s">
        <v>8</v>
      </c>
      <c r="F1686" s="1">
        <v>1</v>
      </c>
      <c r="G1686" s="1">
        <v>0</v>
      </c>
      <c r="H1686" s="6">
        <f>INT(Query1[[#This Row],[EntryDateTime]])</f>
        <v>44623</v>
      </c>
      <c r="I1686" s="1">
        <f>IF(Query1[[#This Row],[ItemType]]="EVAP KIT SF GEN IV",Query1[[#This Row],[OrderQty]]+I1685,I1685)</f>
        <v>1943</v>
      </c>
      <c r="J1686" s="1">
        <f>IF(Query1[[#This Row],[ItemType]]="EVAP KIT UNIVERSAL",Query1[[#This Row],[OrderQty]]+J1685,J1685)</f>
        <v>875</v>
      </c>
      <c r="K1686" s="1">
        <f>Query1[[#This Row],[SF Running Total]]+Query1[[#This Row],[UNIV Running Total]]</f>
        <v>2818</v>
      </c>
      <c r="L1686">
        <f>VLOOKUP(Query1[[#This Row],[Description]],'kits to boards'!$B$2:$E$156,2,FALSE)</f>
        <v>830012</v>
      </c>
      <c r="M1686">
        <f>VLOOKUP(Query1[[#This Row],[Description]],'kits to boards'!$B$2:$E$156,3,FALSE)</f>
        <v>0</v>
      </c>
      <c r="N1686">
        <f>VLOOKUP(Query1[[#This Row],[Description]],'kits to boards'!$B$2:$E$156,4,FALSE)</f>
        <v>0</v>
      </c>
      <c r="O1686" t="str">
        <f>CONCATENATE(Query1[[#This Row],[Description]]," - ",Query1[[#This Row],[MB1]]," - ",Query1[[#This Row],[MB2]]," - ",Query1[[#This Row],[MB3]])</f>
        <v>EVAP KIT 69 CAMARO W/AC - 830012 - 0 - 0</v>
      </c>
    </row>
    <row r="1687" spans="1:15" x14ac:dyDescent="0.25">
      <c r="A1687" s="1">
        <v>913424</v>
      </c>
      <c r="B1687" s="1" t="s">
        <v>50</v>
      </c>
      <c r="C1687" s="1" t="s">
        <v>51</v>
      </c>
      <c r="D1687" s="2">
        <v>44623.352184490737</v>
      </c>
      <c r="E1687" s="1" t="s">
        <v>8</v>
      </c>
      <c r="F1687" s="1">
        <v>1</v>
      </c>
      <c r="G1687" s="1">
        <v>0</v>
      </c>
      <c r="H1687" s="6">
        <f>INT(Query1[[#This Row],[EntryDateTime]])</f>
        <v>44623</v>
      </c>
      <c r="I1687" s="1">
        <f>IF(Query1[[#This Row],[ItemType]]="EVAP KIT SF GEN IV",Query1[[#This Row],[OrderQty]]+I1686,I1686)</f>
        <v>1944</v>
      </c>
      <c r="J1687" s="1">
        <f>IF(Query1[[#This Row],[ItemType]]="EVAP KIT UNIVERSAL",Query1[[#This Row],[OrderQty]]+J1686,J1686)</f>
        <v>875</v>
      </c>
      <c r="K1687" s="1">
        <f>Query1[[#This Row],[SF Running Total]]+Query1[[#This Row],[UNIV Running Total]]</f>
        <v>2819</v>
      </c>
      <c r="L1687">
        <f>VLOOKUP(Query1[[#This Row],[Description]],'kits to boards'!$B$2:$E$156,2,FALSE)</f>
        <v>830043</v>
      </c>
      <c r="M1687">
        <f>VLOOKUP(Query1[[#This Row],[Description]],'kits to boards'!$B$2:$E$156,3,FALSE)</f>
        <v>0</v>
      </c>
      <c r="N1687">
        <f>VLOOKUP(Query1[[#This Row],[Description]],'kits to boards'!$B$2:$E$156,4,FALSE)</f>
        <v>0</v>
      </c>
      <c r="O1687" t="str">
        <f>CONCATENATE(Query1[[#This Row],[Description]]," - ",Query1[[#This Row],[MB1]]," - ",Query1[[#This Row],[MB2]]," - ",Query1[[#This Row],[MB3]])</f>
        <v>EVAP KIT 69-74 NOVA WO AC - 830043 - 0 - 0</v>
      </c>
    </row>
    <row r="1688" spans="1:15" x14ac:dyDescent="0.25">
      <c r="A1688" s="1">
        <v>913471</v>
      </c>
      <c r="B1688" s="1" t="s">
        <v>110</v>
      </c>
      <c r="C1688" s="1" t="s">
        <v>111</v>
      </c>
      <c r="D1688" s="2">
        <v>44623.371907060187</v>
      </c>
      <c r="E1688" s="1" t="s">
        <v>8</v>
      </c>
      <c r="F1688" s="1">
        <v>1</v>
      </c>
      <c r="G1688" s="1">
        <v>0</v>
      </c>
      <c r="H1688" s="6">
        <f>INT(Query1[[#This Row],[EntryDateTime]])</f>
        <v>44623</v>
      </c>
      <c r="I1688" s="1">
        <f>IF(Query1[[#This Row],[ItemType]]="EVAP KIT SF GEN IV",Query1[[#This Row],[OrderQty]]+I1687,I1687)</f>
        <v>1945</v>
      </c>
      <c r="J1688" s="1">
        <f>IF(Query1[[#This Row],[ItemType]]="EVAP KIT UNIVERSAL",Query1[[#This Row],[OrderQty]]+J1687,J1687)</f>
        <v>875</v>
      </c>
      <c r="K1688" s="1">
        <f>Query1[[#This Row],[SF Running Total]]+Query1[[#This Row],[UNIV Running Total]]</f>
        <v>2820</v>
      </c>
      <c r="L1688">
        <f>VLOOKUP(Query1[[#This Row],[Description]],'kits to boards'!$B$2:$E$156,2,FALSE)</f>
        <v>830053</v>
      </c>
      <c r="M1688">
        <f>VLOOKUP(Query1[[#This Row],[Description]],'kits to boards'!$B$2:$E$156,3,FALSE)</f>
        <v>0</v>
      </c>
      <c r="N1688">
        <f>VLOOKUP(Query1[[#This Row],[Description]],'kits to boards'!$B$2:$E$156,4,FALSE)</f>
        <v>0</v>
      </c>
      <c r="O1688" t="str">
        <f>CONCATENATE(Query1[[#This Row],[Description]]," - ",Query1[[#This Row],[MB1]]," - ",Query1[[#This Row],[MB2]]," - ",Query1[[#This Row],[MB3]])</f>
        <v>EVAP KIT 65-66 FORD F-100 - 830053 - 0 - 0</v>
      </c>
    </row>
    <row r="1689" spans="1:15" x14ac:dyDescent="0.25">
      <c r="A1689" s="1">
        <v>912339</v>
      </c>
      <c r="B1689" s="1" t="s">
        <v>22</v>
      </c>
      <c r="C1689" s="1" t="s">
        <v>23</v>
      </c>
      <c r="D1689" s="2">
        <v>44623.374399155095</v>
      </c>
      <c r="E1689" s="1" t="s">
        <v>8</v>
      </c>
      <c r="F1689" s="1">
        <v>1</v>
      </c>
      <c r="G1689" s="1">
        <v>0</v>
      </c>
      <c r="H1689" s="6">
        <f>INT(Query1[[#This Row],[EntryDateTime]])</f>
        <v>44623</v>
      </c>
      <c r="I1689" s="1">
        <f>IF(Query1[[#This Row],[ItemType]]="EVAP KIT SF GEN IV",Query1[[#This Row],[OrderQty]]+I1688,I1688)</f>
        <v>1946</v>
      </c>
      <c r="J1689" s="1">
        <f>IF(Query1[[#This Row],[ItemType]]="EVAP KIT UNIVERSAL",Query1[[#This Row],[OrderQty]]+J1688,J1688)</f>
        <v>875</v>
      </c>
      <c r="K1689" s="1">
        <f>Query1[[#This Row],[SF Running Total]]+Query1[[#This Row],[UNIV Running Total]]</f>
        <v>2821</v>
      </c>
      <c r="L1689">
        <f>VLOOKUP(Query1[[#This Row],[Description]],'kits to boards'!$B$2:$E$156,2,FALSE)</f>
        <v>830083</v>
      </c>
      <c r="M1689">
        <f>VLOOKUP(Query1[[#This Row],[Description]],'kits to boards'!$B$2:$E$156,3,FALSE)</f>
        <v>0</v>
      </c>
      <c r="N1689">
        <f>VLOOKUP(Query1[[#This Row],[Description]],'kits to boards'!$B$2:$E$156,4,FALSE)</f>
        <v>0</v>
      </c>
      <c r="O1689" t="str">
        <f>CONCATENATE(Query1[[#This Row],[Description]]," - ",Query1[[#This Row],[MB1]]," - ",Query1[[#This Row],[MB2]]," - ",Query1[[#This Row],[MB3]])</f>
        <v>GEN IV MAGNUM EVAP KIT - 830083 - 0 - 0</v>
      </c>
    </row>
    <row r="1690" spans="1:15" x14ac:dyDescent="0.25">
      <c r="A1690" s="1">
        <v>912339</v>
      </c>
      <c r="B1690" s="1" t="s">
        <v>12</v>
      </c>
      <c r="C1690" s="1" t="s">
        <v>13</v>
      </c>
      <c r="D1690" s="2">
        <v>44623.374399155095</v>
      </c>
      <c r="E1690" s="1" t="s">
        <v>8</v>
      </c>
      <c r="F1690" s="1">
        <v>1</v>
      </c>
      <c r="G1690" s="1">
        <v>0</v>
      </c>
      <c r="H1690" s="6">
        <f>INT(Query1[[#This Row],[EntryDateTime]])</f>
        <v>44623</v>
      </c>
      <c r="I1690" s="1">
        <f>IF(Query1[[#This Row],[ItemType]]="EVAP KIT SF GEN IV",Query1[[#This Row],[OrderQty]]+I1689,I1689)</f>
        <v>1947</v>
      </c>
      <c r="J1690" s="1">
        <f>IF(Query1[[#This Row],[ItemType]]="EVAP KIT UNIVERSAL",Query1[[#This Row],[OrderQty]]+J1689,J1689)</f>
        <v>875</v>
      </c>
      <c r="K1690" s="1">
        <f>Query1[[#This Row],[SF Running Total]]+Query1[[#This Row],[UNIV Running Total]]</f>
        <v>2822</v>
      </c>
      <c r="L1690">
        <f>VLOOKUP(Query1[[#This Row],[Description]],'kits to boards'!$B$2:$E$156,2,FALSE)</f>
        <v>830079</v>
      </c>
      <c r="M1690">
        <f>VLOOKUP(Query1[[#This Row],[Description]],'kits to boards'!$B$2:$E$156,3,FALSE)</f>
        <v>830046</v>
      </c>
      <c r="N1690">
        <f>VLOOKUP(Query1[[#This Row],[Description]],'kits to boards'!$B$2:$E$156,4,FALSE)</f>
        <v>0</v>
      </c>
      <c r="O1690" t="str">
        <f>CONCATENATE(Query1[[#This Row],[Description]]," - ",Query1[[#This Row],[MB1]]," - ",Query1[[#This Row],[MB2]]," - ",Query1[[#This Row],[MB3]])</f>
        <v>EVAP KIT 67-68 MUSTANG/COUGAR W/AC - 830079 - 830046 - 0</v>
      </c>
    </row>
    <row r="1691" spans="1:15" x14ac:dyDescent="0.25">
      <c r="A1691" s="1">
        <v>913481</v>
      </c>
      <c r="B1691" s="1" t="s">
        <v>106</v>
      </c>
      <c r="C1691" s="1" t="s">
        <v>107</v>
      </c>
      <c r="D1691" s="2">
        <v>44623.386554016201</v>
      </c>
      <c r="E1691" s="1" t="s">
        <v>8</v>
      </c>
      <c r="F1691" s="1">
        <v>1</v>
      </c>
      <c r="G1691" s="1">
        <v>0</v>
      </c>
      <c r="H1691" s="6">
        <f>INT(Query1[[#This Row],[EntryDateTime]])</f>
        <v>44623</v>
      </c>
      <c r="I1691" s="1">
        <f>IF(Query1[[#This Row],[ItemType]]="EVAP KIT SF GEN IV",Query1[[#This Row],[OrderQty]]+I1690,I1690)</f>
        <v>1948</v>
      </c>
      <c r="J1691" s="1">
        <f>IF(Query1[[#This Row],[ItemType]]="EVAP KIT UNIVERSAL",Query1[[#This Row],[OrderQty]]+J1690,J1690)</f>
        <v>875</v>
      </c>
      <c r="K1691" s="1">
        <f>Query1[[#This Row],[SF Running Total]]+Query1[[#This Row],[UNIV Running Total]]</f>
        <v>2823</v>
      </c>
      <c r="L1691">
        <f>VLOOKUP(Query1[[#This Row],[Description]],'kits to boards'!$B$2:$E$156,2,FALSE)</f>
        <v>830028</v>
      </c>
      <c r="M1691">
        <f>VLOOKUP(Query1[[#This Row],[Description]],'kits to boards'!$B$2:$E$156,3,FALSE)</f>
        <v>0</v>
      </c>
      <c r="N1691">
        <f>VLOOKUP(Query1[[#This Row],[Description]],'kits to boards'!$B$2:$E$156,4,FALSE)</f>
        <v>0</v>
      </c>
      <c r="O1691" t="str">
        <f>CONCATENATE(Query1[[#This Row],[Description]]," - ",Query1[[#This Row],[MB1]]," - ",Query1[[#This Row],[MB2]]," - ",Query1[[#This Row],[MB3]])</f>
        <v>EVAP KIT 55-59 CHEV P-UP WO AC W/DELX - 830028 - 0 - 0</v>
      </c>
    </row>
    <row r="1692" spans="1:15" x14ac:dyDescent="0.25">
      <c r="A1692" s="1">
        <v>913481</v>
      </c>
      <c r="B1692" s="1" t="s">
        <v>106</v>
      </c>
      <c r="C1692" s="1" t="s">
        <v>107</v>
      </c>
      <c r="D1692" s="2">
        <v>44623.386987812497</v>
      </c>
      <c r="E1692" s="1" t="s">
        <v>8</v>
      </c>
      <c r="F1692" s="1">
        <v>1</v>
      </c>
      <c r="G1692" s="1">
        <v>0</v>
      </c>
      <c r="H1692" s="6">
        <f>INT(Query1[[#This Row],[EntryDateTime]])</f>
        <v>44623</v>
      </c>
      <c r="I1692" s="1">
        <f>IF(Query1[[#This Row],[ItemType]]="EVAP KIT SF GEN IV",Query1[[#This Row],[OrderQty]]+I1691,I1691)</f>
        <v>1949</v>
      </c>
      <c r="J1692" s="1">
        <f>IF(Query1[[#This Row],[ItemType]]="EVAP KIT UNIVERSAL",Query1[[#This Row],[OrderQty]]+J1691,J1691)</f>
        <v>875</v>
      </c>
      <c r="K1692" s="1">
        <f>Query1[[#This Row],[SF Running Total]]+Query1[[#This Row],[UNIV Running Total]]</f>
        <v>2824</v>
      </c>
      <c r="L1692">
        <f>VLOOKUP(Query1[[#This Row],[Description]],'kits to boards'!$B$2:$E$156,2,FALSE)</f>
        <v>830028</v>
      </c>
      <c r="M1692">
        <f>VLOOKUP(Query1[[#This Row],[Description]],'kits to boards'!$B$2:$E$156,3,FALSE)</f>
        <v>0</v>
      </c>
      <c r="N1692">
        <f>VLOOKUP(Query1[[#This Row],[Description]],'kits to boards'!$B$2:$E$156,4,FALSE)</f>
        <v>0</v>
      </c>
      <c r="O1692" t="str">
        <f>CONCATENATE(Query1[[#This Row],[Description]]," - ",Query1[[#This Row],[MB1]]," - ",Query1[[#This Row],[MB2]]," - ",Query1[[#This Row],[MB3]])</f>
        <v>EVAP KIT 55-59 CHEV P-UP WO AC W/DELX - 830028 - 0 - 0</v>
      </c>
    </row>
    <row r="1693" spans="1:15" x14ac:dyDescent="0.25">
      <c r="A1693" s="1">
        <v>913481</v>
      </c>
      <c r="B1693" s="1" t="s">
        <v>24</v>
      </c>
      <c r="C1693" s="1" t="s">
        <v>25</v>
      </c>
      <c r="D1693" s="2">
        <v>44623.388867557871</v>
      </c>
      <c r="E1693" s="1" t="s">
        <v>11</v>
      </c>
      <c r="F1693" s="1">
        <v>1</v>
      </c>
      <c r="G1693" s="1">
        <v>0</v>
      </c>
      <c r="H1693" s="6">
        <f>INT(Query1[[#This Row],[EntryDateTime]])</f>
        <v>44623</v>
      </c>
      <c r="I1693" s="1">
        <f>IF(Query1[[#This Row],[ItemType]]="EVAP KIT SF GEN IV",Query1[[#This Row],[OrderQty]]+I1692,I1692)</f>
        <v>1949</v>
      </c>
      <c r="J1693" s="1">
        <f>IF(Query1[[#This Row],[ItemType]]="EVAP KIT UNIVERSAL",Query1[[#This Row],[OrderQty]]+J1692,J1692)</f>
        <v>876</v>
      </c>
      <c r="K1693" s="1">
        <f>Query1[[#This Row],[SF Running Total]]+Query1[[#This Row],[UNIV Running Total]]</f>
        <v>2825</v>
      </c>
      <c r="L1693">
        <f>VLOOKUP(Query1[[#This Row],[Description]],'kits to boards'!$B$2:$E$156,2,FALSE)</f>
        <v>830029</v>
      </c>
      <c r="M1693">
        <f>VLOOKUP(Query1[[#This Row],[Description]],'kits to boards'!$B$2:$E$156,3,FALSE)</f>
        <v>830030</v>
      </c>
      <c r="N1693">
        <f>VLOOKUP(Query1[[#This Row],[Description]],'kits to boards'!$B$2:$E$156,4,FALSE)</f>
        <v>0</v>
      </c>
      <c r="O1693" t="str">
        <f>CONCATENATE(Query1[[#This Row],[Description]]," - ",Query1[[#This Row],[MB1]]," - ",Query1[[#This Row],[MB2]]," - ",Query1[[#This Row],[MB3]])</f>
        <v>ComPac GEN II W/DEF - 830029 - 830030 - 0</v>
      </c>
    </row>
    <row r="1694" spans="1:15" x14ac:dyDescent="0.25">
      <c r="A1694" s="1">
        <v>913470</v>
      </c>
      <c r="B1694" s="1" t="s">
        <v>204</v>
      </c>
      <c r="C1694" s="1" t="s">
        <v>205</v>
      </c>
      <c r="D1694" s="2">
        <v>44623.391007789352</v>
      </c>
      <c r="E1694" s="1" t="s">
        <v>8</v>
      </c>
      <c r="F1694" s="1">
        <v>1</v>
      </c>
      <c r="G1694" s="1">
        <v>0</v>
      </c>
      <c r="H1694" s="6">
        <f>INT(Query1[[#This Row],[EntryDateTime]])</f>
        <v>44623</v>
      </c>
      <c r="I1694" s="1">
        <f>IF(Query1[[#This Row],[ItemType]]="EVAP KIT SF GEN IV",Query1[[#This Row],[OrderQty]]+I1693,I1693)</f>
        <v>1950</v>
      </c>
      <c r="J1694" s="1">
        <f>IF(Query1[[#This Row],[ItemType]]="EVAP KIT UNIVERSAL",Query1[[#This Row],[OrderQty]]+J1693,J1693)</f>
        <v>876</v>
      </c>
      <c r="K1694" s="1">
        <f>Query1[[#This Row],[SF Running Total]]+Query1[[#This Row],[UNIV Running Total]]</f>
        <v>2826</v>
      </c>
      <c r="L1694">
        <f>VLOOKUP(Query1[[#This Row],[Description]],'kits to boards'!$B$2:$E$156,2,FALSE)</f>
        <v>830108</v>
      </c>
      <c r="M1694">
        <f>VLOOKUP(Query1[[#This Row],[Description]],'kits to boards'!$B$2:$E$156,3,FALSE)</f>
        <v>0</v>
      </c>
      <c r="N1694">
        <f>VLOOKUP(Query1[[#This Row],[Description]],'kits to boards'!$B$2:$E$156,4,FALSE)</f>
        <v>0</v>
      </c>
      <c r="O1694" t="str">
        <f>CONCATENATE(Query1[[#This Row],[Description]]," - ",Query1[[#This Row],[MB1]]," - ",Query1[[#This Row],[MB2]]," - ",Query1[[#This Row],[MB3]])</f>
        <v>EVAP KIT 79-81 CAMARO WO AC  - 830108 - 0 - 0</v>
      </c>
    </row>
    <row r="1695" spans="1:15" x14ac:dyDescent="0.25">
      <c r="A1695" s="1">
        <v>913485</v>
      </c>
      <c r="B1695" s="1" t="s">
        <v>136</v>
      </c>
      <c r="C1695" s="1" t="s">
        <v>137</v>
      </c>
      <c r="D1695" s="2">
        <v>44623.400242939817</v>
      </c>
      <c r="E1695" s="1" t="s">
        <v>11</v>
      </c>
      <c r="F1695" s="1">
        <v>1</v>
      </c>
      <c r="G1695" s="1">
        <v>0</v>
      </c>
      <c r="H1695" s="6">
        <f>INT(Query1[[#This Row],[EntryDateTime]])</f>
        <v>44623</v>
      </c>
      <c r="I1695" s="1">
        <f>IF(Query1[[#This Row],[ItemType]]="EVAP KIT SF GEN IV",Query1[[#This Row],[OrderQty]]+I1694,I1694)</f>
        <v>1950</v>
      </c>
      <c r="J1695" s="1">
        <f>IF(Query1[[#This Row],[ItemType]]="EVAP KIT UNIVERSAL",Query1[[#This Row],[OrderQty]]+J1694,J1694)</f>
        <v>877</v>
      </c>
      <c r="K1695" s="1">
        <f>Query1[[#This Row],[SF Running Total]]+Query1[[#This Row],[UNIV Running Total]]</f>
        <v>2827</v>
      </c>
      <c r="L1695">
        <f>VLOOKUP(Query1[[#This Row],[Description]],'kits to boards'!$B$2:$E$156,2,FALSE)</f>
        <v>0</v>
      </c>
      <c r="M1695">
        <f>VLOOKUP(Query1[[#This Row],[Description]],'kits to boards'!$B$2:$E$156,3,FALSE)</f>
        <v>0</v>
      </c>
      <c r="N1695">
        <f>VLOOKUP(Query1[[#This Row],[Description]],'kits to boards'!$B$2:$E$156,4,FALSE)</f>
        <v>0</v>
      </c>
      <c r="O1695" t="str">
        <f>CONCATENATE(Query1[[#This Row],[Description]]," - ",Query1[[#This Row],[MB1]]," - ",Query1[[#This Row],[MB2]]," - ",Query1[[#This Row],[MB3]])</f>
        <v>HERITAGE TURNED EVAP KIT HEAT/COOL - 0 - 0 - 0</v>
      </c>
    </row>
    <row r="1696" spans="1:15" x14ac:dyDescent="0.25">
      <c r="A1696" s="1">
        <v>913487</v>
      </c>
      <c r="B1696" s="1" t="s">
        <v>52</v>
      </c>
      <c r="C1696" s="1" t="s">
        <v>53</v>
      </c>
      <c r="D1696" s="2">
        <v>44623.402927627314</v>
      </c>
      <c r="E1696" s="1" t="s">
        <v>8</v>
      </c>
      <c r="F1696" s="1">
        <v>1</v>
      </c>
      <c r="G1696" s="1">
        <v>0</v>
      </c>
      <c r="H1696" s="6">
        <f>INT(Query1[[#This Row],[EntryDateTime]])</f>
        <v>44623</v>
      </c>
      <c r="I1696" s="1">
        <f>IF(Query1[[#This Row],[ItemType]]="EVAP KIT SF GEN IV",Query1[[#This Row],[OrderQty]]+I1695,I1695)</f>
        <v>1951</v>
      </c>
      <c r="J1696" s="1">
        <f>IF(Query1[[#This Row],[ItemType]]="EVAP KIT UNIVERSAL",Query1[[#This Row],[OrderQty]]+J1695,J1695)</f>
        <v>877</v>
      </c>
      <c r="K1696" s="1">
        <f>Query1[[#This Row],[SF Running Total]]+Query1[[#This Row],[UNIV Running Total]]</f>
        <v>2828</v>
      </c>
      <c r="L1696">
        <f>VLOOKUP(Query1[[#This Row],[Description]],'kits to boards'!$B$2:$E$156,2,FALSE)</f>
        <v>830017</v>
      </c>
      <c r="M1696">
        <f>VLOOKUP(Query1[[#This Row],[Description]],'kits to boards'!$B$2:$E$156,3,FALSE)</f>
        <v>830119</v>
      </c>
      <c r="N1696">
        <f>VLOOKUP(Query1[[#This Row],[Description]],'kits to boards'!$B$2:$E$156,4,FALSE)</f>
        <v>830120</v>
      </c>
      <c r="O1696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1697" spans="1:15" x14ac:dyDescent="0.25">
      <c r="A1697" s="1">
        <v>913455</v>
      </c>
      <c r="B1697" s="1" t="s">
        <v>56</v>
      </c>
      <c r="C1697" s="1" t="s">
        <v>57</v>
      </c>
      <c r="D1697" s="2">
        <v>44623.429905590281</v>
      </c>
      <c r="E1697" s="1" t="s">
        <v>8</v>
      </c>
      <c r="F1697" s="1">
        <v>1</v>
      </c>
      <c r="G1697" s="1">
        <v>0</v>
      </c>
      <c r="H1697" s="6">
        <f>INT(Query1[[#This Row],[EntryDateTime]])</f>
        <v>44623</v>
      </c>
      <c r="I1697" s="1">
        <f>IF(Query1[[#This Row],[ItemType]]="EVAP KIT SF GEN IV",Query1[[#This Row],[OrderQty]]+I1696,I1696)</f>
        <v>1952</v>
      </c>
      <c r="J1697" s="1">
        <f>IF(Query1[[#This Row],[ItemType]]="EVAP KIT UNIVERSAL",Query1[[#This Row],[OrderQty]]+J1696,J1696)</f>
        <v>877</v>
      </c>
      <c r="K1697" s="1">
        <f>Query1[[#This Row],[SF Running Total]]+Query1[[#This Row],[UNIV Running Total]]</f>
        <v>2829</v>
      </c>
      <c r="L1697">
        <f>VLOOKUP(Query1[[#This Row],[Description]],'kits to boards'!$B$2:$E$156,2,FALSE)</f>
        <v>830011</v>
      </c>
      <c r="M1697">
        <f>VLOOKUP(Query1[[#This Row],[Description]],'kits to boards'!$B$2:$E$156,3,FALSE)</f>
        <v>0</v>
      </c>
      <c r="N1697">
        <f>VLOOKUP(Query1[[#This Row],[Description]],'kits to boards'!$B$2:$E$156,4,FALSE)</f>
        <v>0</v>
      </c>
      <c r="O1697" t="str">
        <f>CONCATENATE(Query1[[#This Row],[Description]]," - ",Query1[[#This Row],[MB1]]," - ",Query1[[#This Row],[MB2]]," - ",Query1[[#This Row],[MB3]])</f>
        <v>EVAP KIT 70-72 CHEVELLE W/AC - 830011 - 0 - 0</v>
      </c>
    </row>
    <row r="1698" spans="1:15" x14ac:dyDescent="0.25">
      <c r="A1698" s="1">
        <v>913207</v>
      </c>
      <c r="B1698" s="1" t="s">
        <v>251</v>
      </c>
      <c r="C1698" s="1" t="s">
        <v>252</v>
      </c>
      <c r="D1698" s="2">
        <v>44623.454536111109</v>
      </c>
      <c r="E1698" s="1" t="s">
        <v>8</v>
      </c>
      <c r="F1698" s="1">
        <v>1</v>
      </c>
      <c r="G1698" s="1">
        <v>0</v>
      </c>
      <c r="H1698" s="6">
        <f>INT(Query1[[#This Row],[EntryDateTime]])</f>
        <v>44623</v>
      </c>
      <c r="I1698" s="1">
        <f>IF(Query1[[#This Row],[ItemType]]="EVAP KIT SF GEN IV",Query1[[#This Row],[OrderQty]]+I1697,I1697)</f>
        <v>1953</v>
      </c>
      <c r="J1698" s="1">
        <f>IF(Query1[[#This Row],[ItemType]]="EVAP KIT UNIVERSAL",Query1[[#This Row],[OrderQty]]+J1697,J1697)</f>
        <v>877</v>
      </c>
      <c r="K1698" s="1">
        <f>Query1[[#This Row],[SF Running Total]]+Query1[[#This Row],[UNIV Running Total]]</f>
        <v>2830</v>
      </c>
      <c r="L1698">
        <f>VLOOKUP(Query1[[#This Row],[Description]],'kits to boards'!$B$2:$E$156,2,FALSE)</f>
        <v>830020</v>
      </c>
      <c r="M1698">
        <f>VLOOKUP(Query1[[#This Row],[Description]],'kits to boards'!$B$2:$E$156,3,FALSE)</f>
        <v>0</v>
      </c>
      <c r="N1698">
        <f>VLOOKUP(Query1[[#This Row],[Description]],'kits to boards'!$B$2:$E$156,4,FALSE)</f>
        <v>0</v>
      </c>
      <c r="O1698" t="str">
        <f>CONCATENATE(Query1[[#This Row],[Description]]," - ",Query1[[#This Row],[MB1]]," - ",Query1[[#This Row],[MB2]]," - ",Query1[[#This Row],[MB3]])</f>
        <v>EVAP KIT 69 FIREBIRD WO AC - 830020 - 0 - 0</v>
      </c>
    </row>
    <row r="1699" spans="1:15" x14ac:dyDescent="0.25">
      <c r="A1699" s="1">
        <v>913511</v>
      </c>
      <c r="B1699" s="1" t="s">
        <v>76</v>
      </c>
      <c r="C1699" s="1" t="s">
        <v>77</v>
      </c>
      <c r="D1699" s="2">
        <v>44623.461975810184</v>
      </c>
      <c r="E1699" s="1" t="s">
        <v>11</v>
      </c>
      <c r="F1699" s="1">
        <v>1</v>
      </c>
      <c r="G1699" s="1">
        <v>0</v>
      </c>
      <c r="H1699" s="6">
        <f>INT(Query1[[#This Row],[EntryDateTime]])</f>
        <v>44623</v>
      </c>
      <c r="I1699" s="1">
        <f>IF(Query1[[#This Row],[ItemType]]="EVAP KIT SF GEN IV",Query1[[#This Row],[OrderQty]]+I1698,I1698)</f>
        <v>1953</v>
      </c>
      <c r="J1699" s="1">
        <f>IF(Query1[[#This Row],[ItemType]]="EVAP KIT UNIVERSAL",Query1[[#This Row],[OrderQty]]+J1698,J1698)</f>
        <v>878</v>
      </c>
      <c r="K1699" s="1">
        <f>Query1[[#This Row],[SF Running Total]]+Query1[[#This Row],[UNIV Running Total]]</f>
        <v>2831</v>
      </c>
      <c r="L1699">
        <f>VLOOKUP(Query1[[#This Row],[Description]],'kits to boards'!$B$2:$E$156,2,FALSE)</f>
        <v>830099</v>
      </c>
      <c r="M1699">
        <f>VLOOKUP(Query1[[#This Row],[Description]],'kits to boards'!$B$2:$E$156,3,FALSE)</f>
        <v>0</v>
      </c>
      <c r="N1699">
        <f>VLOOKUP(Query1[[#This Row],[Description]],'kits to boards'!$B$2:$E$156,4,FALSE)</f>
        <v>0</v>
      </c>
      <c r="O1699" t="str">
        <f>CONCATENATE(Query1[[#This Row],[Description]]," - ",Query1[[#This Row],[MB1]]," - ",Query1[[#This Row],[MB2]]," - ",Query1[[#This Row],[MB3]])</f>
        <v>MINI GEN II H/C - 830099 - 0 - 0</v>
      </c>
    </row>
    <row r="1700" spans="1:15" x14ac:dyDescent="0.25">
      <c r="A1700" s="1">
        <v>913513</v>
      </c>
      <c r="B1700" s="1" t="s">
        <v>70</v>
      </c>
      <c r="C1700" s="1" t="s">
        <v>71</v>
      </c>
      <c r="D1700" s="2">
        <v>44623.478786377316</v>
      </c>
      <c r="E1700" s="1" t="s">
        <v>8</v>
      </c>
      <c r="F1700" s="1">
        <v>1</v>
      </c>
      <c r="G1700" s="1">
        <v>0</v>
      </c>
      <c r="H1700" s="6">
        <f>INT(Query1[[#This Row],[EntryDateTime]])</f>
        <v>44623</v>
      </c>
      <c r="I1700" s="1">
        <f>IF(Query1[[#This Row],[ItemType]]="EVAP KIT SF GEN IV",Query1[[#This Row],[OrderQty]]+I1699,I1699)</f>
        <v>1954</v>
      </c>
      <c r="J1700" s="1">
        <f>IF(Query1[[#This Row],[ItemType]]="EVAP KIT UNIVERSAL",Query1[[#This Row],[OrderQty]]+J1699,J1699)</f>
        <v>878</v>
      </c>
      <c r="K1700" s="1">
        <f>Query1[[#This Row],[SF Running Total]]+Query1[[#This Row],[UNIV Running Total]]</f>
        <v>2832</v>
      </c>
      <c r="L1700">
        <f>VLOOKUP(Query1[[#This Row],[Description]],'kits to boards'!$B$2:$E$156,2,FALSE)</f>
        <v>830050</v>
      </c>
      <c r="M1700">
        <f>VLOOKUP(Query1[[#This Row],[Description]],'kits to boards'!$B$2:$E$156,3,FALSE)</f>
        <v>0</v>
      </c>
      <c r="N1700">
        <f>VLOOKUP(Query1[[#This Row],[Description]],'kits to boards'!$B$2:$E$156,4,FALSE)</f>
        <v>0</v>
      </c>
      <c r="O1700" t="str">
        <f>CONCATENATE(Query1[[#This Row],[Description]]," - ",Query1[[#This Row],[MB1]]," - ",Query1[[#This Row],[MB2]]," - ",Query1[[#This Row],[MB3]])</f>
        <v>EVAP KIT 70-78 CAMARO WO AC - 830050 - 0 - 0</v>
      </c>
    </row>
    <row r="1701" spans="1:15" x14ac:dyDescent="0.25">
      <c r="A1701" s="1">
        <v>913520</v>
      </c>
      <c r="B1701" s="1" t="s">
        <v>102</v>
      </c>
      <c r="C1701" s="1" t="s">
        <v>103</v>
      </c>
      <c r="D1701" s="2">
        <v>44623.497803472223</v>
      </c>
      <c r="E1701" s="1" t="s">
        <v>8</v>
      </c>
      <c r="F1701" s="1">
        <v>1</v>
      </c>
      <c r="G1701" s="1">
        <v>0</v>
      </c>
      <c r="H1701" s="6">
        <f>INT(Query1[[#This Row],[EntryDateTime]])</f>
        <v>44623</v>
      </c>
      <c r="I1701" s="1">
        <f>IF(Query1[[#This Row],[ItemType]]="EVAP KIT SF GEN IV",Query1[[#This Row],[OrderQty]]+I1700,I1700)</f>
        <v>1955</v>
      </c>
      <c r="J1701" s="1">
        <f>IF(Query1[[#This Row],[ItemType]]="EVAP KIT UNIVERSAL",Query1[[#This Row],[OrderQty]]+J1700,J1700)</f>
        <v>878</v>
      </c>
      <c r="K1701" s="1">
        <f>Query1[[#This Row],[SF Running Total]]+Query1[[#This Row],[UNIV Running Total]]</f>
        <v>2833</v>
      </c>
      <c r="L1701">
        <f>VLOOKUP(Query1[[#This Row],[Description]],'kits to boards'!$B$2:$E$156,2,FALSE)</f>
        <v>830012</v>
      </c>
      <c r="M1701">
        <f>VLOOKUP(Query1[[#This Row],[Description]],'kits to boards'!$B$2:$E$156,3,FALSE)</f>
        <v>0</v>
      </c>
      <c r="N1701">
        <f>VLOOKUP(Query1[[#This Row],[Description]],'kits to boards'!$B$2:$E$156,4,FALSE)</f>
        <v>0</v>
      </c>
      <c r="O1701" t="str">
        <f>CONCATENATE(Query1[[#This Row],[Description]]," - ",Query1[[#This Row],[MB1]]," - ",Query1[[#This Row],[MB2]]," - ",Query1[[#This Row],[MB3]])</f>
        <v>EVAP KIT 69 CAMARO WO/AC - 830012 - 0 - 0</v>
      </c>
    </row>
    <row r="1702" spans="1:15" x14ac:dyDescent="0.25">
      <c r="A1702" s="1">
        <v>913524</v>
      </c>
      <c r="B1702" s="1" t="s">
        <v>190</v>
      </c>
      <c r="C1702" s="1" t="s">
        <v>191</v>
      </c>
      <c r="D1702" s="2">
        <v>44623.501663113428</v>
      </c>
      <c r="E1702" s="1" t="s">
        <v>8</v>
      </c>
      <c r="F1702" s="1">
        <v>1</v>
      </c>
      <c r="G1702" s="1">
        <v>0</v>
      </c>
      <c r="H1702" s="6">
        <f>INT(Query1[[#This Row],[EntryDateTime]])</f>
        <v>44623</v>
      </c>
      <c r="I1702" s="1">
        <f>IF(Query1[[#This Row],[ItemType]]="EVAP KIT SF GEN IV",Query1[[#This Row],[OrderQty]]+I1701,I1701)</f>
        <v>1956</v>
      </c>
      <c r="J1702" s="1">
        <f>IF(Query1[[#This Row],[ItemType]]="EVAP KIT UNIVERSAL",Query1[[#This Row],[OrderQty]]+J1701,J1701)</f>
        <v>878</v>
      </c>
      <c r="K1702" s="1">
        <f>Query1[[#This Row],[SF Running Total]]+Query1[[#This Row],[UNIV Running Total]]</f>
        <v>2834</v>
      </c>
      <c r="L1702">
        <f>VLOOKUP(Query1[[#This Row],[Description]],'kits to boards'!$B$2:$E$156,2,FALSE)</f>
        <v>830008</v>
      </c>
      <c r="M1702">
        <f>VLOOKUP(Query1[[#This Row],[Description]],'kits to boards'!$B$2:$E$156,3,FALSE)</f>
        <v>0</v>
      </c>
      <c r="N1702">
        <f>VLOOKUP(Query1[[#This Row],[Description]],'kits to boards'!$B$2:$E$156,4,FALSE)</f>
        <v>0</v>
      </c>
      <c r="O1702" t="str">
        <f>CONCATENATE(Query1[[#This Row],[Description]]," - ",Query1[[#This Row],[MB1]]," - ",Query1[[#This Row],[MB2]]," - ",Query1[[#This Row],[MB3]])</f>
        <v>EVAP KIT 63 IMPALA WO AC - 830008 - 0 - 0</v>
      </c>
    </row>
    <row r="1703" spans="1:15" x14ac:dyDescent="0.25">
      <c r="A1703" s="1">
        <v>913527</v>
      </c>
      <c r="B1703" s="1" t="s">
        <v>108</v>
      </c>
      <c r="C1703" s="1" t="s">
        <v>109</v>
      </c>
      <c r="D1703" s="2">
        <v>44623.503499039354</v>
      </c>
      <c r="E1703" s="1" t="s">
        <v>8</v>
      </c>
      <c r="F1703" s="1">
        <v>1</v>
      </c>
      <c r="G1703" s="1">
        <v>0</v>
      </c>
      <c r="H1703" s="6">
        <f>INT(Query1[[#This Row],[EntryDateTime]])</f>
        <v>44623</v>
      </c>
      <c r="I1703" s="1">
        <f>IF(Query1[[#This Row],[ItemType]]="EVAP KIT SF GEN IV",Query1[[#This Row],[OrderQty]]+I1702,I1702)</f>
        <v>1957</v>
      </c>
      <c r="J1703" s="1">
        <f>IF(Query1[[#This Row],[ItemType]]="EVAP KIT UNIVERSAL",Query1[[#This Row],[OrderQty]]+J1702,J1702)</f>
        <v>878</v>
      </c>
      <c r="K1703" s="1">
        <f>Query1[[#This Row],[SF Running Total]]+Query1[[#This Row],[UNIV Running Total]]</f>
        <v>2835</v>
      </c>
      <c r="L1703">
        <f>VLOOKUP(Query1[[#This Row],[Description]],'kits to boards'!$B$2:$E$156,2,FALSE)</f>
        <v>830105</v>
      </c>
      <c r="M1703">
        <f>VLOOKUP(Query1[[#This Row],[Description]],'kits to boards'!$B$2:$E$156,3,FALSE)</f>
        <v>830106</v>
      </c>
      <c r="N1703">
        <f>VLOOKUP(Query1[[#This Row],[Description]],'kits to boards'!$B$2:$E$156,4,FALSE)</f>
        <v>0</v>
      </c>
      <c r="O1703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1704" spans="1:15" x14ac:dyDescent="0.25">
      <c r="A1704" s="1">
        <v>913528</v>
      </c>
      <c r="B1704" s="1" t="s">
        <v>120</v>
      </c>
      <c r="C1704" s="1" t="s">
        <v>121</v>
      </c>
      <c r="D1704" s="2">
        <v>44623.505975578701</v>
      </c>
      <c r="E1704" s="1" t="s">
        <v>8</v>
      </c>
      <c r="F1704" s="1">
        <v>1</v>
      </c>
      <c r="G1704" s="1">
        <v>0</v>
      </c>
      <c r="H1704" s="6">
        <f>INT(Query1[[#This Row],[EntryDateTime]])</f>
        <v>44623</v>
      </c>
      <c r="I1704" s="1">
        <f>IF(Query1[[#This Row],[ItemType]]="EVAP KIT SF GEN IV",Query1[[#This Row],[OrderQty]]+I1703,I1703)</f>
        <v>1958</v>
      </c>
      <c r="J1704" s="1">
        <f>IF(Query1[[#This Row],[ItemType]]="EVAP KIT UNIVERSAL",Query1[[#This Row],[OrderQty]]+J1703,J1703)</f>
        <v>878</v>
      </c>
      <c r="K1704" s="1">
        <f>Query1[[#This Row],[SF Running Total]]+Query1[[#This Row],[UNIV Running Total]]</f>
        <v>2836</v>
      </c>
      <c r="L1704">
        <f>VLOOKUP(Query1[[#This Row],[Description]],'kits to boards'!$B$2:$E$156,2,FALSE)</f>
        <v>830014</v>
      </c>
      <c r="M1704">
        <f>VLOOKUP(Query1[[#This Row],[Description]],'kits to boards'!$B$2:$E$156,3,FALSE)</f>
        <v>0</v>
      </c>
      <c r="N1704">
        <f>VLOOKUP(Query1[[#This Row],[Description]],'kits to boards'!$B$2:$E$156,4,FALSE)</f>
        <v>0</v>
      </c>
      <c r="O1704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1705" spans="1:15" x14ac:dyDescent="0.25">
      <c r="A1705" s="1">
        <v>913538</v>
      </c>
      <c r="B1705" s="1" t="s">
        <v>110</v>
      </c>
      <c r="C1705" s="1" t="s">
        <v>111</v>
      </c>
      <c r="D1705" s="2">
        <v>44623.524198993058</v>
      </c>
      <c r="E1705" s="1" t="s">
        <v>8</v>
      </c>
      <c r="F1705" s="1">
        <v>1</v>
      </c>
      <c r="G1705" s="1">
        <v>0</v>
      </c>
      <c r="H1705" s="6">
        <f>INT(Query1[[#This Row],[EntryDateTime]])</f>
        <v>44623</v>
      </c>
      <c r="I1705" s="1">
        <f>IF(Query1[[#This Row],[ItemType]]="EVAP KIT SF GEN IV",Query1[[#This Row],[OrderQty]]+I1704,I1704)</f>
        <v>1959</v>
      </c>
      <c r="J1705" s="1">
        <f>IF(Query1[[#This Row],[ItemType]]="EVAP KIT UNIVERSAL",Query1[[#This Row],[OrderQty]]+J1704,J1704)</f>
        <v>878</v>
      </c>
      <c r="K1705" s="1">
        <f>Query1[[#This Row],[SF Running Total]]+Query1[[#This Row],[UNIV Running Total]]</f>
        <v>2837</v>
      </c>
      <c r="L1705">
        <f>VLOOKUP(Query1[[#This Row],[Description]],'kits to boards'!$B$2:$E$156,2,FALSE)</f>
        <v>830053</v>
      </c>
      <c r="M1705">
        <f>VLOOKUP(Query1[[#This Row],[Description]],'kits to boards'!$B$2:$E$156,3,FALSE)</f>
        <v>0</v>
      </c>
      <c r="N1705">
        <f>VLOOKUP(Query1[[#This Row],[Description]],'kits to boards'!$B$2:$E$156,4,FALSE)</f>
        <v>0</v>
      </c>
      <c r="O1705" t="str">
        <f>CONCATENATE(Query1[[#This Row],[Description]]," - ",Query1[[#This Row],[MB1]]," - ",Query1[[#This Row],[MB2]]," - ",Query1[[#This Row],[MB3]])</f>
        <v>EVAP KIT 65-66 FORD F-100 - 830053 - 0 - 0</v>
      </c>
    </row>
    <row r="1706" spans="1:15" x14ac:dyDescent="0.25">
      <c r="A1706" s="1">
        <v>913515</v>
      </c>
      <c r="B1706" s="1" t="s">
        <v>64</v>
      </c>
      <c r="C1706" s="1" t="s">
        <v>65</v>
      </c>
      <c r="D1706" s="2">
        <v>44623.529895451386</v>
      </c>
      <c r="E1706" s="1" t="s">
        <v>8</v>
      </c>
      <c r="F1706" s="1">
        <v>1</v>
      </c>
      <c r="G1706" s="1">
        <v>0</v>
      </c>
      <c r="H1706" s="6">
        <f>INT(Query1[[#This Row],[EntryDateTime]])</f>
        <v>44623</v>
      </c>
      <c r="I1706" s="1">
        <f>IF(Query1[[#This Row],[ItemType]]="EVAP KIT SF GEN IV",Query1[[#This Row],[OrderQty]]+I1705,I1705)</f>
        <v>1960</v>
      </c>
      <c r="J1706" s="1">
        <f>IF(Query1[[#This Row],[ItemType]]="EVAP KIT UNIVERSAL",Query1[[#This Row],[OrderQty]]+J1705,J1705)</f>
        <v>878</v>
      </c>
      <c r="K1706" s="1">
        <f>Query1[[#This Row],[SF Running Total]]+Query1[[#This Row],[UNIV Running Total]]</f>
        <v>2838</v>
      </c>
      <c r="L1706">
        <f>VLOOKUP(Query1[[#This Row],[Description]],'kits to boards'!$B$2:$E$156,2,FALSE)</f>
        <v>830067</v>
      </c>
      <c r="M1706">
        <f>VLOOKUP(Query1[[#This Row],[Description]],'kits to boards'!$B$2:$E$156,3,FALSE)</f>
        <v>0</v>
      </c>
      <c r="N1706">
        <f>VLOOKUP(Query1[[#This Row],[Description]],'kits to boards'!$B$2:$E$156,4,FALSE)</f>
        <v>0</v>
      </c>
      <c r="O1706" t="str">
        <f>CONCATENATE(Query1[[#This Row],[Description]]," - ",Query1[[#This Row],[MB1]]," - ",Query1[[#This Row],[MB2]]," - ",Query1[[#This Row],[MB3]])</f>
        <v>EVAP KIT 59-60 CHEV CAR 4-LEVER - 830067 - 0 - 0</v>
      </c>
    </row>
    <row r="1707" spans="1:15" x14ac:dyDescent="0.25">
      <c r="A1707" s="1">
        <v>913037</v>
      </c>
      <c r="B1707" s="1" t="s">
        <v>14</v>
      </c>
      <c r="C1707" s="1" t="s">
        <v>15</v>
      </c>
      <c r="D1707" s="2">
        <v>44623.541634641202</v>
      </c>
      <c r="E1707" s="1" t="s">
        <v>8</v>
      </c>
      <c r="F1707" s="1">
        <v>1</v>
      </c>
      <c r="G1707" s="1">
        <v>0</v>
      </c>
      <c r="H1707" s="6">
        <f>INT(Query1[[#This Row],[EntryDateTime]])</f>
        <v>44623</v>
      </c>
      <c r="I1707" s="1">
        <f>IF(Query1[[#This Row],[ItemType]]="EVAP KIT SF GEN IV",Query1[[#This Row],[OrderQty]]+I1706,I1706)</f>
        <v>1961</v>
      </c>
      <c r="J1707" s="1">
        <f>IF(Query1[[#This Row],[ItemType]]="EVAP KIT UNIVERSAL",Query1[[#This Row],[OrderQty]]+J1706,J1706)</f>
        <v>878</v>
      </c>
      <c r="K1707" s="1">
        <f>Query1[[#This Row],[SF Running Total]]+Query1[[#This Row],[UNIV Running Total]]</f>
        <v>2839</v>
      </c>
      <c r="L1707">
        <f>VLOOKUP(Query1[[#This Row],[Description]],'kits to boards'!$B$2:$E$156,2,FALSE)</f>
        <v>830054</v>
      </c>
      <c r="M1707">
        <f>VLOOKUP(Query1[[#This Row],[Description]],'kits to boards'!$B$2:$E$156,3,FALSE)</f>
        <v>0</v>
      </c>
      <c r="N1707">
        <f>VLOOKUP(Query1[[#This Row],[Description]],'kits to boards'!$B$2:$E$156,4,FALSE)</f>
        <v>0</v>
      </c>
      <c r="O1707" t="str">
        <f>CONCATENATE(Query1[[#This Row],[Description]]," - ",Query1[[#This Row],[MB1]]," - ",Query1[[#This Row],[MB2]]," - ",Query1[[#This Row],[MB3]])</f>
        <v>EVAP KIT 55-56 CHEVY - 830054 - 0 - 0</v>
      </c>
    </row>
    <row r="1708" spans="1:15" x14ac:dyDescent="0.25">
      <c r="A1708" s="1">
        <v>913544</v>
      </c>
      <c r="B1708" s="1" t="s">
        <v>54</v>
      </c>
      <c r="C1708" s="1" t="s">
        <v>55</v>
      </c>
      <c r="D1708" s="2">
        <v>44623.547349305554</v>
      </c>
      <c r="E1708" s="1" t="s">
        <v>8</v>
      </c>
      <c r="F1708" s="1">
        <v>1</v>
      </c>
      <c r="G1708" s="1">
        <v>0</v>
      </c>
      <c r="H1708" s="6">
        <f>INT(Query1[[#This Row],[EntryDateTime]])</f>
        <v>44623</v>
      </c>
      <c r="I1708" s="1">
        <f>IF(Query1[[#This Row],[ItemType]]="EVAP KIT SF GEN IV",Query1[[#This Row],[OrderQty]]+I1707,I1707)</f>
        <v>1962</v>
      </c>
      <c r="J1708" s="1">
        <f>IF(Query1[[#This Row],[ItemType]]="EVAP KIT UNIVERSAL",Query1[[#This Row],[OrderQty]]+J1707,J1707)</f>
        <v>878</v>
      </c>
      <c r="K1708" s="1">
        <f>Query1[[#This Row],[SF Running Total]]+Query1[[#This Row],[UNIV Running Total]]</f>
        <v>2840</v>
      </c>
      <c r="L1708">
        <f>VLOOKUP(Query1[[#This Row],[Description]],'kits to boards'!$B$2:$E$156,2,FALSE)</f>
        <v>830037</v>
      </c>
      <c r="M1708">
        <f>VLOOKUP(Query1[[#This Row],[Description]],'kits to boards'!$B$2:$E$156,3,FALSE)</f>
        <v>0</v>
      </c>
      <c r="N1708">
        <f>VLOOKUP(Query1[[#This Row],[Description]],'kits to boards'!$B$2:$E$156,4,FALSE)</f>
        <v>0</v>
      </c>
      <c r="O1708" t="str">
        <f>CONCATENATE(Query1[[#This Row],[Description]]," - ",Query1[[#This Row],[MB1]]," - ",Query1[[#This Row],[MB2]]," - ",Query1[[#This Row],[MB3]])</f>
        <v>EVAP KIT 70-81 FIREBIRD W/AC - 830037 - 0 - 0</v>
      </c>
    </row>
    <row r="1709" spans="1:15" x14ac:dyDescent="0.25">
      <c r="A1709" s="1">
        <v>913048</v>
      </c>
      <c r="B1709" s="1" t="s">
        <v>42</v>
      </c>
      <c r="C1709" s="1" t="s">
        <v>43</v>
      </c>
      <c r="D1709" s="2">
        <v>44623.568583333334</v>
      </c>
      <c r="E1709" s="1" t="s">
        <v>8</v>
      </c>
      <c r="F1709" s="1">
        <v>1</v>
      </c>
      <c r="G1709" s="1">
        <v>0</v>
      </c>
      <c r="H1709" s="6">
        <f>INT(Query1[[#This Row],[EntryDateTime]])</f>
        <v>44623</v>
      </c>
      <c r="I1709" s="1">
        <f>IF(Query1[[#This Row],[ItemType]]="EVAP KIT SF GEN IV",Query1[[#This Row],[OrderQty]]+I1708,I1708)</f>
        <v>1963</v>
      </c>
      <c r="J1709" s="1">
        <f>IF(Query1[[#This Row],[ItemType]]="EVAP KIT UNIVERSAL",Query1[[#This Row],[OrderQty]]+J1708,J1708)</f>
        <v>878</v>
      </c>
      <c r="K1709" s="1">
        <f>Query1[[#This Row],[SF Running Total]]+Query1[[#This Row],[UNIV Running Total]]</f>
        <v>2841</v>
      </c>
      <c r="L1709">
        <f>VLOOKUP(Query1[[#This Row],[Description]],'kits to boards'!$B$2:$E$156,2,FALSE)</f>
        <v>830014</v>
      </c>
      <c r="M1709">
        <f>VLOOKUP(Query1[[#This Row],[Description]],'kits to boards'!$B$2:$E$156,3,FALSE)</f>
        <v>0</v>
      </c>
      <c r="N1709">
        <f>VLOOKUP(Query1[[#This Row],[Description]],'kits to boards'!$B$2:$E$156,4,FALSE)</f>
        <v>0</v>
      </c>
      <c r="O1709" t="str">
        <f>CONCATENATE(Query1[[#This Row],[Description]]," - ",Query1[[#This Row],[MB1]]," - ",Query1[[#This Row],[MB2]]," - ",Query1[[#This Row],[MB3]])</f>
        <v>EVAP KIT 67-72 CHEV P-UP WO AC - 830014 - 0 - 0</v>
      </c>
    </row>
    <row r="1710" spans="1:15" x14ac:dyDescent="0.25">
      <c r="A1710" s="1">
        <v>913551</v>
      </c>
      <c r="B1710" s="1" t="s">
        <v>134</v>
      </c>
      <c r="C1710" s="1" t="s">
        <v>135</v>
      </c>
      <c r="D1710" s="2">
        <v>44623.570596493053</v>
      </c>
      <c r="E1710" s="1" t="s">
        <v>8</v>
      </c>
      <c r="F1710" s="1">
        <v>1</v>
      </c>
      <c r="G1710" s="1">
        <v>0</v>
      </c>
      <c r="H1710" s="6">
        <f>INT(Query1[[#This Row],[EntryDateTime]])</f>
        <v>44623</v>
      </c>
      <c r="I1710" s="1">
        <f>IF(Query1[[#This Row],[ItemType]]="EVAP KIT SF GEN IV",Query1[[#This Row],[OrderQty]]+I1709,I1709)</f>
        <v>1964</v>
      </c>
      <c r="J1710" s="1">
        <f>IF(Query1[[#This Row],[ItemType]]="EVAP KIT UNIVERSAL",Query1[[#This Row],[OrderQty]]+J1709,J1709)</f>
        <v>878</v>
      </c>
      <c r="K1710" s="1">
        <f>Query1[[#This Row],[SF Running Total]]+Query1[[#This Row],[UNIV Running Total]]</f>
        <v>2842</v>
      </c>
      <c r="L1710">
        <f>VLOOKUP(Query1[[#This Row],[Description]],'kits to boards'!$B$2:$E$156,2,FALSE)</f>
        <v>830007</v>
      </c>
      <c r="M1710">
        <f>VLOOKUP(Query1[[#This Row],[Description]],'kits to boards'!$B$2:$E$156,3,FALSE)</f>
        <v>0</v>
      </c>
      <c r="N1710">
        <f>VLOOKUP(Query1[[#This Row],[Description]],'kits to boards'!$B$2:$E$156,4,FALSE)</f>
        <v>0</v>
      </c>
      <c r="O1710" t="str">
        <f>CONCATENATE(Query1[[#This Row],[Description]]," - ",Query1[[#This Row],[MB1]]," - ",Query1[[#This Row],[MB2]]," - ",Query1[[#This Row],[MB3]])</f>
        <v>EVAP KIT 64 IMPALA WO AC - 830007 - 0 - 0</v>
      </c>
    </row>
    <row r="1711" spans="1:15" x14ac:dyDescent="0.25">
      <c r="A1711" s="1">
        <v>913552</v>
      </c>
      <c r="B1711" s="1" t="s">
        <v>34</v>
      </c>
      <c r="C1711" s="1" t="s">
        <v>35</v>
      </c>
      <c r="D1711" s="2">
        <v>44623.573085069445</v>
      </c>
      <c r="E1711" s="1" t="s">
        <v>8</v>
      </c>
      <c r="F1711" s="1">
        <v>1</v>
      </c>
      <c r="G1711" s="1">
        <v>0</v>
      </c>
      <c r="H1711" s="6">
        <f>INT(Query1[[#This Row],[EntryDateTime]])</f>
        <v>44623</v>
      </c>
      <c r="I1711" s="1">
        <f>IF(Query1[[#This Row],[ItemType]]="EVAP KIT SF GEN IV",Query1[[#This Row],[OrderQty]]+I1710,I1710)</f>
        <v>1965</v>
      </c>
      <c r="J1711" s="1">
        <f>IF(Query1[[#This Row],[ItemType]]="EVAP KIT UNIVERSAL",Query1[[#This Row],[OrderQty]]+J1710,J1710)</f>
        <v>878</v>
      </c>
      <c r="K1711" s="1">
        <f>Query1[[#This Row],[SF Running Total]]+Query1[[#This Row],[UNIV Running Total]]</f>
        <v>2843</v>
      </c>
      <c r="L1711">
        <f>VLOOKUP(Query1[[#This Row],[Description]],'kits to boards'!$B$2:$E$156,2,FALSE)</f>
        <v>830065</v>
      </c>
      <c r="M1711">
        <f>VLOOKUP(Query1[[#This Row],[Description]],'kits to boards'!$B$2:$E$156,3,FALSE)</f>
        <v>0</v>
      </c>
      <c r="N1711">
        <f>VLOOKUP(Query1[[#This Row],[Description]],'kits to boards'!$B$2:$E$156,4,FALSE)</f>
        <v>0</v>
      </c>
      <c r="O1711" t="str">
        <f>CONCATENATE(Query1[[#This Row],[Description]]," - ",Query1[[#This Row],[MB1]]," - ",Query1[[#This Row],[MB2]]," - ",Query1[[#This Row],[MB3]])</f>
        <v>EVAP KIT 57 CHEV WO AC - 830065 - 0 - 0</v>
      </c>
    </row>
    <row r="1712" spans="1:15" x14ac:dyDescent="0.25">
      <c r="A1712" s="1">
        <v>913555</v>
      </c>
      <c r="B1712" s="1" t="s">
        <v>22</v>
      </c>
      <c r="C1712" s="1" t="s">
        <v>23</v>
      </c>
      <c r="D1712" s="2">
        <v>44623.575615046298</v>
      </c>
      <c r="E1712" s="1" t="s">
        <v>8</v>
      </c>
      <c r="F1712" s="1">
        <v>1</v>
      </c>
      <c r="G1712" s="1">
        <v>0</v>
      </c>
      <c r="H1712" s="6">
        <f>INT(Query1[[#This Row],[EntryDateTime]])</f>
        <v>44623</v>
      </c>
      <c r="I1712" s="1">
        <f>IF(Query1[[#This Row],[ItemType]]="EVAP KIT SF GEN IV",Query1[[#This Row],[OrderQty]]+I1711,I1711)</f>
        <v>1966</v>
      </c>
      <c r="J1712" s="1">
        <f>IF(Query1[[#This Row],[ItemType]]="EVAP KIT UNIVERSAL",Query1[[#This Row],[OrderQty]]+J1711,J1711)</f>
        <v>878</v>
      </c>
      <c r="K1712" s="1">
        <f>Query1[[#This Row],[SF Running Total]]+Query1[[#This Row],[UNIV Running Total]]</f>
        <v>2844</v>
      </c>
      <c r="L1712">
        <f>VLOOKUP(Query1[[#This Row],[Description]],'kits to boards'!$B$2:$E$156,2,FALSE)</f>
        <v>830083</v>
      </c>
      <c r="M1712">
        <f>VLOOKUP(Query1[[#This Row],[Description]],'kits to boards'!$B$2:$E$156,3,FALSE)</f>
        <v>0</v>
      </c>
      <c r="N1712">
        <f>VLOOKUP(Query1[[#This Row],[Description]],'kits to boards'!$B$2:$E$156,4,FALSE)</f>
        <v>0</v>
      </c>
      <c r="O1712" t="str">
        <f>CONCATENATE(Query1[[#This Row],[Description]]," - ",Query1[[#This Row],[MB1]]," - ",Query1[[#This Row],[MB2]]," - ",Query1[[#This Row],[MB3]])</f>
        <v>GEN IV MAGNUM EVAP KIT - 830083 - 0 - 0</v>
      </c>
    </row>
    <row r="1713" spans="1:15" x14ac:dyDescent="0.25">
      <c r="A1713" s="1">
        <v>913557</v>
      </c>
      <c r="B1713" s="1" t="s">
        <v>42</v>
      </c>
      <c r="C1713" s="1" t="s">
        <v>43</v>
      </c>
      <c r="D1713" s="2">
        <v>44623.5777246875</v>
      </c>
      <c r="E1713" s="1" t="s">
        <v>8</v>
      </c>
      <c r="F1713" s="1">
        <v>1</v>
      </c>
      <c r="G1713" s="1">
        <v>0</v>
      </c>
      <c r="H1713" s="6">
        <f>INT(Query1[[#This Row],[EntryDateTime]])</f>
        <v>44623</v>
      </c>
      <c r="I1713" s="1">
        <f>IF(Query1[[#This Row],[ItemType]]="EVAP KIT SF GEN IV",Query1[[#This Row],[OrderQty]]+I1712,I1712)</f>
        <v>1967</v>
      </c>
      <c r="J1713" s="1">
        <f>IF(Query1[[#This Row],[ItemType]]="EVAP KIT UNIVERSAL",Query1[[#This Row],[OrderQty]]+J1712,J1712)</f>
        <v>878</v>
      </c>
      <c r="K1713" s="1">
        <f>Query1[[#This Row],[SF Running Total]]+Query1[[#This Row],[UNIV Running Total]]</f>
        <v>2845</v>
      </c>
      <c r="L1713">
        <f>VLOOKUP(Query1[[#This Row],[Description]],'kits to boards'!$B$2:$E$156,2,FALSE)</f>
        <v>830014</v>
      </c>
      <c r="M1713">
        <f>VLOOKUP(Query1[[#This Row],[Description]],'kits to boards'!$B$2:$E$156,3,FALSE)</f>
        <v>0</v>
      </c>
      <c r="N1713">
        <f>VLOOKUP(Query1[[#This Row],[Description]],'kits to boards'!$B$2:$E$156,4,FALSE)</f>
        <v>0</v>
      </c>
      <c r="O1713" t="str">
        <f>CONCATENATE(Query1[[#This Row],[Description]]," - ",Query1[[#This Row],[MB1]]," - ",Query1[[#This Row],[MB2]]," - ",Query1[[#This Row],[MB3]])</f>
        <v>EVAP KIT 67-72 CHEV P-UP WO AC - 830014 - 0 - 0</v>
      </c>
    </row>
    <row r="1714" spans="1:15" x14ac:dyDescent="0.25">
      <c r="A1714" s="1">
        <v>913559</v>
      </c>
      <c r="B1714" s="1" t="s">
        <v>271</v>
      </c>
      <c r="C1714" s="1" t="s">
        <v>272</v>
      </c>
      <c r="D1714" s="2">
        <v>44623.580325150462</v>
      </c>
      <c r="E1714" s="1" t="s">
        <v>11</v>
      </c>
      <c r="F1714" s="1">
        <v>1</v>
      </c>
      <c r="G1714" s="1">
        <v>0</v>
      </c>
      <c r="H1714" s="6">
        <f>INT(Query1[[#This Row],[EntryDateTime]])</f>
        <v>44623</v>
      </c>
      <c r="I1714" s="1">
        <f>IF(Query1[[#This Row],[ItemType]]="EVAP KIT SF GEN IV",Query1[[#This Row],[OrderQty]]+I1713,I1713)</f>
        <v>1967</v>
      </c>
      <c r="J1714" s="1">
        <f>IF(Query1[[#This Row],[ItemType]]="EVAP KIT UNIVERSAL",Query1[[#This Row],[OrderQty]]+J1713,J1713)</f>
        <v>879</v>
      </c>
      <c r="K1714" s="1">
        <f>Query1[[#This Row],[SF Running Total]]+Query1[[#This Row],[UNIV Running Total]]</f>
        <v>2846</v>
      </c>
      <c r="L1714">
        <f>VLOOKUP(Query1[[#This Row],[Description]],'kits to boards'!$B$2:$E$156,2,FALSE)</f>
        <v>0</v>
      </c>
      <c r="M1714">
        <f>VLOOKUP(Query1[[#This Row],[Description]],'kits to boards'!$B$2:$E$156,3,FALSE)</f>
        <v>0</v>
      </c>
      <c r="N1714">
        <f>VLOOKUP(Query1[[#This Row],[Description]],'kits to boards'!$B$2:$E$156,4,FALSE)</f>
        <v>0</v>
      </c>
      <c r="O1714" t="str">
        <f>CONCATENATE(Query1[[#This Row],[Description]]," - ",Query1[[#This Row],[MB1]]," - ",Query1[[#This Row],[MB2]]," - ",Query1[[#This Row],[MB3]])</f>
        <v>EVAP KIT RCR SL-C - 0 - 0 - 0</v>
      </c>
    </row>
    <row r="1715" spans="1:15" x14ac:dyDescent="0.25">
      <c r="A1715" s="1">
        <v>913561</v>
      </c>
      <c r="B1715" s="1" t="s">
        <v>271</v>
      </c>
      <c r="C1715" s="1" t="s">
        <v>272</v>
      </c>
      <c r="D1715" s="2">
        <v>44623.586724039349</v>
      </c>
      <c r="E1715" s="1" t="s">
        <v>11</v>
      </c>
      <c r="F1715" s="1">
        <v>1</v>
      </c>
      <c r="G1715" s="1">
        <v>0</v>
      </c>
      <c r="H1715" s="6">
        <f>INT(Query1[[#This Row],[EntryDateTime]])</f>
        <v>44623</v>
      </c>
      <c r="I1715" s="1">
        <f>IF(Query1[[#This Row],[ItemType]]="EVAP KIT SF GEN IV",Query1[[#This Row],[OrderQty]]+I1714,I1714)</f>
        <v>1967</v>
      </c>
      <c r="J1715" s="1">
        <f>IF(Query1[[#This Row],[ItemType]]="EVAP KIT UNIVERSAL",Query1[[#This Row],[OrderQty]]+J1714,J1714)</f>
        <v>880</v>
      </c>
      <c r="K1715" s="1">
        <f>Query1[[#This Row],[SF Running Total]]+Query1[[#This Row],[UNIV Running Total]]</f>
        <v>2847</v>
      </c>
      <c r="L1715">
        <f>VLOOKUP(Query1[[#This Row],[Description]],'kits to boards'!$B$2:$E$156,2,FALSE)</f>
        <v>0</v>
      </c>
      <c r="M1715">
        <f>VLOOKUP(Query1[[#This Row],[Description]],'kits to boards'!$B$2:$E$156,3,FALSE)</f>
        <v>0</v>
      </c>
      <c r="N1715">
        <f>VLOOKUP(Query1[[#This Row],[Description]],'kits to boards'!$B$2:$E$156,4,FALSE)</f>
        <v>0</v>
      </c>
      <c r="O1715" t="str">
        <f>CONCATENATE(Query1[[#This Row],[Description]]," - ",Query1[[#This Row],[MB1]]," - ",Query1[[#This Row],[MB2]]," - ",Query1[[#This Row],[MB3]])</f>
        <v>EVAP KIT RCR SL-C - 0 - 0 - 0</v>
      </c>
    </row>
    <row r="1716" spans="1:15" x14ac:dyDescent="0.25">
      <c r="A1716" s="1">
        <v>913563</v>
      </c>
      <c r="B1716" s="1" t="s">
        <v>114</v>
      </c>
      <c r="C1716" s="1" t="s">
        <v>115</v>
      </c>
      <c r="D1716" s="2">
        <v>44623.588591122687</v>
      </c>
      <c r="E1716" s="1" t="s">
        <v>8</v>
      </c>
      <c r="F1716" s="1">
        <v>1</v>
      </c>
      <c r="G1716" s="1">
        <v>0</v>
      </c>
      <c r="H1716" s="6">
        <f>INT(Query1[[#This Row],[EntryDateTime]])</f>
        <v>44623</v>
      </c>
      <c r="I1716" s="1">
        <f>IF(Query1[[#This Row],[ItemType]]="EVAP KIT SF GEN IV",Query1[[#This Row],[OrderQty]]+I1715,I1715)</f>
        <v>1968</v>
      </c>
      <c r="J1716" s="1">
        <f>IF(Query1[[#This Row],[ItemType]]="EVAP KIT UNIVERSAL",Query1[[#This Row],[OrderQty]]+J1715,J1715)</f>
        <v>880</v>
      </c>
      <c r="K1716" s="1">
        <f>Query1[[#This Row],[SF Running Total]]+Query1[[#This Row],[UNIV Running Total]]</f>
        <v>2848</v>
      </c>
      <c r="L1716">
        <f>VLOOKUP(Query1[[#This Row],[Description]],'kits to boards'!$B$2:$E$156,2,FALSE)</f>
        <v>830059</v>
      </c>
      <c r="M1716">
        <f>VLOOKUP(Query1[[#This Row],[Description]],'kits to boards'!$B$2:$E$156,3,FALSE)</f>
        <v>0</v>
      </c>
      <c r="N1716">
        <f>VLOOKUP(Query1[[#This Row],[Description]],'kits to boards'!$B$2:$E$156,4,FALSE)</f>
        <v>0</v>
      </c>
      <c r="O1716" t="str">
        <f>CONCATENATE(Query1[[#This Row],[Description]]," - ",Query1[[#This Row],[MB1]]," - ",Query1[[#This Row],[MB2]]," - ",Query1[[#This Row],[MB3]])</f>
        <v>EVAP KIT 66-67 CHEVELLE W/AC - 830059 - 0 - 0</v>
      </c>
    </row>
    <row r="1717" spans="1:15" x14ac:dyDescent="0.25">
      <c r="A1717" s="1">
        <v>913569</v>
      </c>
      <c r="B1717" s="1" t="s">
        <v>275</v>
      </c>
      <c r="C1717" s="1" t="s">
        <v>276</v>
      </c>
      <c r="D1717" s="2">
        <v>44623.598765393515</v>
      </c>
      <c r="E1717" s="1" t="s">
        <v>8</v>
      </c>
      <c r="F1717" s="1">
        <v>1</v>
      </c>
      <c r="G1717" s="1">
        <v>0</v>
      </c>
      <c r="H1717" s="6">
        <f>INT(Query1[[#This Row],[EntryDateTime]])</f>
        <v>44623</v>
      </c>
      <c r="I1717" s="1">
        <f>IF(Query1[[#This Row],[ItemType]]="EVAP KIT SF GEN IV",Query1[[#This Row],[OrderQty]]+I1716,I1716)</f>
        <v>1969</v>
      </c>
      <c r="J1717" s="1">
        <f>IF(Query1[[#This Row],[ItemType]]="EVAP KIT UNIVERSAL",Query1[[#This Row],[OrderQty]]+J1716,J1716)</f>
        <v>880</v>
      </c>
      <c r="K1717" s="1">
        <f>Query1[[#This Row],[SF Running Total]]+Query1[[#This Row],[UNIV Running Total]]</f>
        <v>2849</v>
      </c>
      <c r="L1717">
        <f>VLOOKUP(Query1[[#This Row],[Description]],'kits to boards'!$B$2:$E$156,2,FALSE)</f>
        <v>830124</v>
      </c>
      <c r="M1717">
        <f>VLOOKUP(Query1[[#This Row],[Description]],'kits to boards'!$B$2:$E$156,3,FALSE)</f>
        <v>0</v>
      </c>
      <c r="N1717">
        <f>VLOOKUP(Query1[[#This Row],[Description]],'kits to boards'!$B$2:$E$156,4,FALSE)</f>
        <v>0</v>
      </c>
      <c r="O1717" t="str">
        <f>CONCATENATE(Query1[[#This Row],[Description]]," - ",Query1[[#This Row],[MB1]]," - ",Query1[[#This Row],[MB2]]," - ",Query1[[#This Row],[MB3]])</f>
        <v>EVAP KIT 69 GTO WO/AC - 830124 - 0 - 0</v>
      </c>
    </row>
    <row r="1718" spans="1:15" x14ac:dyDescent="0.25">
      <c r="A1718" s="1">
        <v>913571</v>
      </c>
      <c r="B1718" s="1" t="s">
        <v>22</v>
      </c>
      <c r="C1718" s="1" t="s">
        <v>23</v>
      </c>
      <c r="D1718" s="2">
        <v>44623.602724918979</v>
      </c>
      <c r="E1718" s="1" t="s">
        <v>8</v>
      </c>
      <c r="F1718" s="1">
        <v>1</v>
      </c>
      <c r="G1718" s="1">
        <v>0</v>
      </c>
      <c r="H1718" s="6">
        <f>INT(Query1[[#This Row],[EntryDateTime]])</f>
        <v>44623</v>
      </c>
      <c r="I1718" s="1">
        <f>IF(Query1[[#This Row],[ItemType]]="EVAP KIT SF GEN IV",Query1[[#This Row],[OrderQty]]+I1717,I1717)</f>
        <v>1970</v>
      </c>
      <c r="J1718" s="1">
        <f>IF(Query1[[#This Row],[ItemType]]="EVAP KIT UNIVERSAL",Query1[[#This Row],[OrderQty]]+J1717,J1717)</f>
        <v>880</v>
      </c>
      <c r="K1718" s="1">
        <f>Query1[[#This Row],[SF Running Total]]+Query1[[#This Row],[UNIV Running Total]]</f>
        <v>2850</v>
      </c>
      <c r="L1718">
        <f>VLOOKUP(Query1[[#This Row],[Description]],'kits to boards'!$B$2:$E$156,2,FALSE)</f>
        <v>830083</v>
      </c>
      <c r="M1718">
        <f>VLOOKUP(Query1[[#This Row],[Description]],'kits to boards'!$B$2:$E$156,3,FALSE)</f>
        <v>0</v>
      </c>
      <c r="N1718">
        <f>VLOOKUP(Query1[[#This Row],[Description]],'kits to boards'!$B$2:$E$156,4,FALSE)</f>
        <v>0</v>
      </c>
      <c r="O1718" t="str">
        <f>CONCATENATE(Query1[[#This Row],[Description]]," - ",Query1[[#This Row],[MB1]]," - ",Query1[[#This Row],[MB2]]," - ",Query1[[#This Row],[MB3]])</f>
        <v>GEN IV MAGNUM EVAP KIT - 830083 - 0 - 0</v>
      </c>
    </row>
    <row r="1719" spans="1:15" x14ac:dyDescent="0.25">
      <c r="A1719" s="1">
        <v>913541</v>
      </c>
      <c r="B1719" s="1" t="s">
        <v>152</v>
      </c>
      <c r="C1719" s="1" t="s">
        <v>153</v>
      </c>
      <c r="D1719" s="2">
        <v>44623.627863622685</v>
      </c>
      <c r="E1719" s="1" t="s">
        <v>8</v>
      </c>
      <c r="F1719" s="1">
        <v>1</v>
      </c>
      <c r="G1719" s="1">
        <v>0</v>
      </c>
      <c r="H1719" s="6">
        <f>INT(Query1[[#This Row],[EntryDateTime]])</f>
        <v>44623</v>
      </c>
      <c r="I1719" s="1">
        <f>IF(Query1[[#This Row],[ItemType]]="EVAP KIT SF GEN IV",Query1[[#This Row],[OrderQty]]+I1718,I1718)</f>
        <v>1971</v>
      </c>
      <c r="J1719" s="1">
        <f>IF(Query1[[#This Row],[ItemType]]="EVAP KIT UNIVERSAL",Query1[[#This Row],[OrderQty]]+J1718,J1718)</f>
        <v>880</v>
      </c>
      <c r="K1719" s="1">
        <f>Query1[[#This Row],[SF Running Total]]+Query1[[#This Row],[UNIV Running Total]]</f>
        <v>2851</v>
      </c>
      <c r="L1719">
        <f>VLOOKUP(Query1[[#This Row],[Description]],'kits to boards'!$B$2:$E$156,2,FALSE)</f>
        <v>830034</v>
      </c>
      <c r="M1719">
        <f>VLOOKUP(Query1[[#This Row],[Description]],'kits to boards'!$B$2:$E$156,3,FALSE)</f>
        <v>0</v>
      </c>
      <c r="N1719">
        <f>VLOOKUP(Query1[[#This Row],[Description]],'kits to boards'!$B$2:$E$156,4,FALSE)</f>
        <v>0</v>
      </c>
      <c r="O1719" t="str">
        <f>CONCATENATE(Query1[[#This Row],[Description]]," - ",Query1[[#This Row],[MB1]]," - ",Query1[[#This Row],[MB2]]," - ",Query1[[#This Row],[MB3]])</f>
        <v>EVAP KIT 64-67 GTO WO AC - 830034 - 0 - 0</v>
      </c>
    </row>
    <row r="1720" spans="1:15" x14ac:dyDescent="0.25">
      <c r="A1720" s="1">
        <v>913587</v>
      </c>
      <c r="B1720" s="1" t="s">
        <v>186</v>
      </c>
      <c r="C1720" s="1" t="s">
        <v>187</v>
      </c>
      <c r="D1720" s="2">
        <v>44623.632996608794</v>
      </c>
      <c r="E1720" s="1" t="s">
        <v>8</v>
      </c>
      <c r="F1720" s="1">
        <v>1</v>
      </c>
      <c r="G1720" s="1">
        <v>0</v>
      </c>
      <c r="H1720" s="6">
        <f>INT(Query1[[#This Row],[EntryDateTime]])</f>
        <v>44623</v>
      </c>
      <c r="I1720" s="1">
        <f>IF(Query1[[#This Row],[ItemType]]="EVAP KIT SF GEN IV",Query1[[#This Row],[OrderQty]]+I1719,I1719)</f>
        <v>1972</v>
      </c>
      <c r="J1720" s="1">
        <f>IF(Query1[[#This Row],[ItemType]]="EVAP KIT UNIVERSAL",Query1[[#This Row],[OrderQty]]+J1719,J1719)</f>
        <v>880</v>
      </c>
      <c r="K1720" s="1">
        <f>Query1[[#This Row],[SF Running Total]]+Query1[[#This Row],[UNIV Running Total]]</f>
        <v>2852</v>
      </c>
      <c r="L1720">
        <f>VLOOKUP(Query1[[#This Row],[Description]],'kits to boards'!$B$2:$E$156,2,FALSE)</f>
        <v>830125</v>
      </c>
      <c r="M1720">
        <f>VLOOKUP(Query1[[#This Row],[Description]],'kits to boards'!$B$2:$E$156,3,FALSE)</f>
        <v>830126</v>
      </c>
      <c r="N1720">
        <f>VLOOKUP(Query1[[#This Row],[Description]],'kits to boards'!$B$2:$E$156,4,FALSE)</f>
        <v>0</v>
      </c>
      <c r="O1720" t="str">
        <f>CONCATENATE(Query1[[#This Row],[Description]]," - ",Query1[[#This Row],[MB1]]," - ",Query1[[#This Row],[MB2]]," - ",Query1[[#This Row],[MB3]])</f>
        <v>EVAP KIT 65-66 IMPALA WO/AC - 830125 - 830126 - 0</v>
      </c>
    </row>
    <row r="1721" spans="1:15" x14ac:dyDescent="0.25">
      <c r="A1721" s="1">
        <v>913588</v>
      </c>
      <c r="B1721" s="1" t="s">
        <v>244</v>
      </c>
      <c r="C1721" s="1" t="s">
        <v>245</v>
      </c>
      <c r="D1721" s="2">
        <v>44623.633440011574</v>
      </c>
      <c r="E1721" s="1" t="s">
        <v>8</v>
      </c>
      <c r="F1721" s="1">
        <v>1</v>
      </c>
      <c r="G1721" s="1">
        <v>0</v>
      </c>
      <c r="H1721" s="6">
        <f>INT(Query1[[#This Row],[EntryDateTime]])</f>
        <v>44623</v>
      </c>
      <c r="I1721" s="1">
        <f>IF(Query1[[#This Row],[ItemType]]="EVAP KIT SF GEN IV",Query1[[#This Row],[OrderQty]]+I1720,I1720)</f>
        <v>1973</v>
      </c>
      <c r="J1721" s="1">
        <f>IF(Query1[[#This Row],[ItemType]]="EVAP KIT UNIVERSAL",Query1[[#This Row],[OrderQty]]+J1720,J1720)</f>
        <v>880</v>
      </c>
      <c r="K1721" s="1">
        <f>Query1[[#This Row],[SF Running Total]]+Query1[[#This Row],[UNIV Running Total]]</f>
        <v>2853</v>
      </c>
      <c r="L1721">
        <f>VLOOKUP(Query1[[#This Row],[Description]],'kits to boards'!$B$2:$E$156,2,FALSE)</f>
        <v>830100</v>
      </c>
      <c r="M1721">
        <f>VLOOKUP(Query1[[#This Row],[Description]],'kits to boards'!$B$2:$E$156,3,FALSE)</f>
        <v>0</v>
      </c>
      <c r="N1721">
        <f>VLOOKUP(Query1[[#This Row],[Description]],'kits to boards'!$B$2:$E$156,4,FALSE)</f>
        <v>0</v>
      </c>
      <c r="O1721" t="str">
        <f>CONCATENATE(Query1[[#This Row],[Description]]," - ",Query1[[#This Row],[MB1]]," - ",Query1[[#This Row],[MB2]]," - ",Query1[[#This Row],[MB3]])</f>
        <v>EVAP KIT 68-76 VETTE WO AC - 830100 - 0 - 0</v>
      </c>
    </row>
    <row r="1722" spans="1:15" x14ac:dyDescent="0.25">
      <c r="A1722" s="1">
        <v>913590</v>
      </c>
      <c r="B1722" s="1" t="s">
        <v>104</v>
      </c>
      <c r="C1722" s="1" t="s">
        <v>105</v>
      </c>
      <c r="D1722" s="2">
        <v>44623.634552164352</v>
      </c>
      <c r="E1722" s="1" t="s">
        <v>11</v>
      </c>
      <c r="F1722" s="1">
        <v>1</v>
      </c>
      <c r="G1722" s="1">
        <v>0</v>
      </c>
      <c r="H1722" s="6">
        <f>INT(Query1[[#This Row],[EntryDateTime]])</f>
        <v>44623</v>
      </c>
      <c r="I1722" s="1">
        <f>IF(Query1[[#This Row],[ItemType]]="EVAP KIT SF GEN IV",Query1[[#This Row],[OrderQty]]+I1721,I1721)</f>
        <v>1973</v>
      </c>
      <c r="J1722" s="1">
        <f>IF(Query1[[#This Row],[ItemType]]="EVAP KIT UNIVERSAL",Query1[[#This Row],[OrderQty]]+J1721,J1721)</f>
        <v>881</v>
      </c>
      <c r="K1722" s="1">
        <f>Query1[[#This Row],[SF Running Total]]+Query1[[#This Row],[UNIV Running Total]]</f>
        <v>2854</v>
      </c>
      <c r="L1722">
        <f>VLOOKUP(Query1[[#This Row],[Description]],'kits to boards'!$B$2:$E$156,2,FALSE)</f>
        <v>0</v>
      </c>
      <c r="M1722">
        <f>VLOOKUP(Query1[[#This Row],[Description]],'kits to boards'!$B$2:$E$156,3,FALSE)</f>
        <v>0</v>
      </c>
      <c r="N1722">
        <f>VLOOKUP(Query1[[#This Row],[Description]],'kits to boards'!$B$2:$E$156,4,FALSE)</f>
        <v>0</v>
      </c>
      <c r="O1722" t="str">
        <f>CONCATENATE(Query1[[#This Row],[Description]]," - ",Query1[[#This Row],[MB1]]," - ",Query1[[#This Row],[MB2]]," - ",Query1[[#This Row],[MB3]])</f>
        <v>HERITAGE BRUSHED EVAP KIT HEAT/COOL - 0 - 0 - 0</v>
      </c>
    </row>
    <row r="1723" spans="1:15" x14ac:dyDescent="0.25">
      <c r="A1723" s="1">
        <v>913592</v>
      </c>
      <c r="B1723" s="1" t="s">
        <v>48</v>
      </c>
      <c r="C1723" s="1" t="s">
        <v>49</v>
      </c>
      <c r="D1723" s="2">
        <v>44623.638826932867</v>
      </c>
      <c r="E1723" s="1" t="s">
        <v>8</v>
      </c>
      <c r="F1723" s="1">
        <v>1</v>
      </c>
      <c r="G1723" s="1">
        <v>0</v>
      </c>
      <c r="H1723" s="6">
        <f>INT(Query1[[#This Row],[EntryDateTime]])</f>
        <v>44623</v>
      </c>
      <c r="I1723" s="1">
        <f>IF(Query1[[#This Row],[ItemType]]="EVAP KIT SF GEN IV",Query1[[#This Row],[OrderQty]]+I1722,I1722)</f>
        <v>1974</v>
      </c>
      <c r="J1723" s="1">
        <f>IF(Query1[[#This Row],[ItemType]]="EVAP KIT UNIVERSAL",Query1[[#This Row],[OrderQty]]+J1722,J1722)</f>
        <v>881</v>
      </c>
      <c r="K1723" s="1">
        <f>Query1[[#This Row],[SF Running Total]]+Query1[[#This Row],[UNIV Running Total]]</f>
        <v>2855</v>
      </c>
      <c r="L1723">
        <f>VLOOKUP(Query1[[#This Row],[Description]],'kits to boards'!$B$2:$E$156,2,FALSE)</f>
        <v>830015</v>
      </c>
      <c r="M1723">
        <f>VLOOKUP(Query1[[#This Row],[Description]],'kits to boards'!$B$2:$E$156,3,FALSE)</f>
        <v>0</v>
      </c>
      <c r="N1723">
        <f>VLOOKUP(Query1[[#This Row],[Description]],'kits to boards'!$B$2:$E$156,4,FALSE)</f>
        <v>0</v>
      </c>
      <c r="O1723" t="str">
        <f>CONCATENATE(Query1[[#This Row],[Description]]," - ",Query1[[#This Row],[MB1]]," - ",Query1[[#This Row],[MB2]]," - ",Query1[[#This Row],[MB3]])</f>
        <v>EVAP KIT 64-66 CHEV P-UP WO AC W/DELX - 830015 - 0 - 0</v>
      </c>
    </row>
    <row r="1724" spans="1:15" x14ac:dyDescent="0.25">
      <c r="A1724" s="1">
        <v>913595</v>
      </c>
      <c r="B1724" s="1" t="s">
        <v>202</v>
      </c>
      <c r="C1724" s="1" t="s">
        <v>203</v>
      </c>
      <c r="D1724" s="2">
        <v>44623.64658572917</v>
      </c>
      <c r="E1724" s="1" t="s">
        <v>11</v>
      </c>
      <c r="F1724" s="1">
        <v>1</v>
      </c>
      <c r="G1724" s="1">
        <v>0</v>
      </c>
      <c r="H1724" s="6">
        <f>INT(Query1[[#This Row],[EntryDateTime]])</f>
        <v>44623</v>
      </c>
      <c r="I1724" s="1">
        <f>IF(Query1[[#This Row],[ItemType]]="EVAP KIT SF GEN IV",Query1[[#This Row],[OrderQty]]+I1723,I1723)</f>
        <v>1974</v>
      </c>
      <c r="J1724" s="1">
        <f>IF(Query1[[#This Row],[ItemType]]="EVAP KIT UNIVERSAL",Query1[[#This Row],[OrderQty]]+J1723,J1723)</f>
        <v>882</v>
      </c>
      <c r="K1724" s="1">
        <f>Query1[[#This Row],[SF Running Total]]+Query1[[#This Row],[UNIV Running Total]]</f>
        <v>2856</v>
      </c>
      <c r="L1724">
        <f>VLOOKUP(Query1[[#This Row],[Description]],'kits to boards'!$B$2:$E$156,2,FALSE)</f>
        <v>830090</v>
      </c>
      <c r="M1724">
        <f>VLOOKUP(Query1[[#This Row],[Description]],'kits to boards'!$B$2:$E$156,3,FALSE)</f>
        <v>0</v>
      </c>
      <c r="N1724">
        <f>VLOOKUP(Query1[[#This Row],[Description]],'kits to boards'!$B$2:$E$156,4,FALSE)</f>
        <v>0</v>
      </c>
      <c r="O1724" t="str">
        <f>CONCATENATE(Query1[[#This Row],[Description]]," - ",Query1[[#This Row],[MB1]]," - ",Query1[[#This Row],[MB2]]," - ",Query1[[#This Row],[MB3]])</f>
        <v>TRUNK UNIT COOL ONLY 134a - 830090 - 0 - 0</v>
      </c>
    </row>
    <row r="1725" spans="1:15" x14ac:dyDescent="0.25">
      <c r="A1725" s="1">
        <v>913603</v>
      </c>
      <c r="B1725" s="1" t="s">
        <v>116</v>
      </c>
      <c r="C1725" s="1" t="s">
        <v>117</v>
      </c>
      <c r="D1725" s="2">
        <v>44623.658221064812</v>
      </c>
      <c r="E1725" s="1" t="s">
        <v>8</v>
      </c>
      <c r="F1725" s="1">
        <v>1</v>
      </c>
      <c r="G1725" s="1">
        <v>0</v>
      </c>
      <c r="H1725" s="6">
        <f>INT(Query1[[#This Row],[EntryDateTime]])</f>
        <v>44623</v>
      </c>
      <c r="I1725" s="1">
        <f>IF(Query1[[#This Row],[ItemType]]="EVAP KIT SF GEN IV",Query1[[#This Row],[OrderQty]]+I1724,I1724)</f>
        <v>1975</v>
      </c>
      <c r="J1725" s="1">
        <f>IF(Query1[[#This Row],[ItemType]]="EVAP KIT UNIVERSAL",Query1[[#This Row],[OrderQty]]+J1724,J1724)</f>
        <v>882</v>
      </c>
      <c r="K1725" s="1">
        <f>Query1[[#This Row],[SF Running Total]]+Query1[[#This Row],[UNIV Running Total]]</f>
        <v>2857</v>
      </c>
      <c r="L1725">
        <f>VLOOKUP(Query1[[#This Row],[Description]],'kits to boards'!$B$2:$E$156,2,FALSE)</f>
        <v>830058</v>
      </c>
      <c r="M1725">
        <f>VLOOKUP(Query1[[#This Row],[Description]],'kits to boards'!$B$2:$E$156,3,FALSE)</f>
        <v>0</v>
      </c>
      <c r="N1725">
        <f>VLOOKUP(Query1[[#This Row],[Description]],'kits to boards'!$B$2:$E$156,4,FALSE)</f>
        <v>0</v>
      </c>
      <c r="O1725" t="str">
        <f>CONCATENATE(Query1[[#This Row],[Description]]," - ",Query1[[#This Row],[MB1]]," - ",Query1[[#This Row],[MB2]]," - ",Query1[[#This Row],[MB3]])</f>
        <v>EVAP KIT 64-65 CHEVELLE WO AC - 830058 - 0 - 0</v>
      </c>
    </row>
    <row r="1726" spans="1:15" x14ac:dyDescent="0.25">
      <c r="A1726" s="1">
        <v>913605</v>
      </c>
      <c r="B1726" s="1" t="s">
        <v>502</v>
      </c>
      <c r="C1726" s="1" t="s">
        <v>503</v>
      </c>
      <c r="D1726" s="2">
        <v>44623.659543287038</v>
      </c>
      <c r="E1726" s="1" t="s">
        <v>677</v>
      </c>
      <c r="F1726" s="1">
        <v>1</v>
      </c>
      <c r="G1726" s="1">
        <v>0</v>
      </c>
      <c r="H1726" s="6">
        <f>INT(Query1[[#This Row],[EntryDateTime]])</f>
        <v>44623</v>
      </c>
      <c r="I1726" s="1">
        <f>IF(Query1[[#This Row],[ItemType]]="EVAP KIT SF GEN IV",Query1[[#This Row],[OrderQty]]+I1725,I1725)</f>
        <v>1975</v>
      </c>
      <c r="J1726" s="1">
        <f>IF(Query1[[#This Row],[ItemType]]="EVAP KIT UNIVERSAL",Query1[[#This Row],[OrderQty]]+J1725,J1725)</f>
        <v>882</v>
      </c>
      <c r="K1726" s="1">
        <f>Query1[[#This Row],[SF Running Total]]+Query1[[#This Row],[UNIV Running Total]]</f>
        <v>2857</v>
      </c>
      <c r="L1726" t="e">
        <f>VLOOKUP(Query1[[#This Row],[Description]],'kits to boards'!$B$2:$E$156,2,FALSE)</f>
        <v>#N/A</v>
      </c>
      <c r="M1726" t="e">
        <f>VLOOKUP(Query1[[#This Row],[Description]],'kits to boards'!$B$2:$E$156,3,FALSE)</f>
        <v>#N/A</v>
      </c>
      <c r="N1726" t="e">
        <f>VLOOKUP(Query1[[#This Row],[Description]],'kits to boards'!$B$2:$E$156,4,FALSE)</f>
        <v>#N/A</v>
      </c>
      <c r="O1726" t="e">
        <f>CONCATENATE(Query1[[#This Row],[Description]]," - ",Query1[[#This Row],[MB1]]," - ",Query1[[#This Row],[MB2]]," - ",Query1[[#This Row],[MB3]])</f>
        <v>#N/A</v>
      </c>
    </row>
    <row r="1727" spans="1:15" x14ac:dyDescent="0.25">
      <c r="A1727" s="1">
        <v>913602</v>
      </c>
      <c r="B1727" s="1" t="s">
        <v>36</v>
      </c>
      <c r="C1727" s="1" t="s">
        <v>37</v>
      </c>
      <c r="D1727" s="2">
        <v>44623.664944293982</v>
      </c>
      <c r="E1727" s="1" t="s">
        <v>8</v>
      </c>
      <c r="F1727" s="1">
        <v>1</v>
      </c>
      <c r="G1727" s="1">
        <v>0</v>
      </c>
      <c r="H1727" s="6">
        <f>INT(Query1[[#This Row],[EntryDateTime]])</f>
        <v>44623</v>
      </c>
      <c r="I1727" s="1">
        <f>IF(Query1[[#This Row],[ItemType]]="EVAP KIT SF GEN IV",Query1[[#This Row],[OrderQty]]+I1726,I1726)</f>
        <v>1976</v>
      </c>
      <c r="J1727" s="1">
        <f>IF(Query1[[#This Row],[ItemType]]="EVAP KIT UNIVERSAL",Query1[[#This Row],[OrderQty]]+J1726,J1726)</f>
        <v>882</v>
      </c>
      <c r="K1727" s="1">
        <f>Query1[[#This Row],[SF Running Total]]+Query1[[#This Row],[UNIV Running Total]]</f>
        <v>2858</v>
      </c>
      <c r="L1727">
        <f>VLOOKUP(Query1[[#This Row],[Description]],'kits to boards'!$B$2:$E$156,2,FALSE)</f>
        <v>830015</v>
      </c>
      <c r="M1727">
        <f>VLOOKUP(Query1[[#This Row],[Description]],'kits to boards'!$B$2:$E$156,3,FALSE)</f>
        <v>0</v>
      </c>
      <c r="N1727">
        <f>VLOOKUP(Query1[[#This Row],[Description]],'kits to boards'!$B$2:$E$156,4,FALSE)</f>
        <v>0</v>
      </c>
      <c r="O1727" t="str">
        <f>CONCATENATE(Query1[[#This Row],[Description]]," - ",Query1[[#This Row],[MB1]]," - ",Query1[[#This Row],[MB2]]," - ",Query1[[#This Row],[MB3]])</f>
        <v>EVAP KIT 64-66 CHEV P-UP WO AC W/STD - 830015 - 0 - 0</v>
      </c>
    </row>
    <row r="1728" spans="1:15" x14ac:dyDescent="0.25">
      <c r="A1728" s="1">
        <v>913610</v>
      </c>
      <c r="B1728" s="1" t="s">
        <v>66</v>
      </c>
      <c r="C1728" s="1" t="s">
        <v>67</v>
      </c>
      <c r="D1728" s="2">
        <v>44623.670091631946</v>
      </c>
      <c r="E1728" s="1" t="s">
        <v>8</v>
      </c>
      <c r="F1728" s="1">
        <v>1</v>
      </c>
      <c r="G1728" s="1">
        <v>0</v>
      </c>
      <c r="H1728" s="6">
        <f>INT(Query1[[#This Row],[EntryDateTime]])</f>
        <v>44623</v>
      </c>
      <c r="I1728" s="1">
        <f>IF(Query1[[#This Row],[ItemType]]="EVAP KIT SF GEN IV",Query1[[#This Row],[OrderQty]]+I1727,I1727)</f>
        <v>1977</v>
      </c>
      <c r="J1728" s="1">
        <f>IF(Query1[[#This Row],[ItemType]]="EVAP KIT UNIVERSAL",Query1[[#This Row],[OrderQty]]+J1727,J1727)</f>
        <v>882</v>
      </c>
      <c r="K1728" s="1">
        <f>Query1[[#This Row],[SF Running Total]]+Query1[[#This Row],[UNIV Running Total]]</f>
        <v>2859</v>
      </c>
      <c r="L1728">
        <f>VLOOKUP(Query1[[#This Row],[Description]],'kits to boards'!$B$2:$E$156,2,FALSE)</f>
        <v>830060</v>
      </c>
      <c r="M1728">
        <f>VLOOKUP(Query1[[#This Row],[Description]],'kits to boards'!$B$2:$E$156,3,FALSE)</f>
        <v>0</v>
      </c>
      <c r="N1728">
        <f>VLOOKUP(Query1[[#This Row],[Description]],'kits to boards'!$B$2:$E$156,4,FALSE)</f>
        <v>0</v>
      </c>
      <c r="O1728" t="str">
        <f>CONCATENATE(Query1[[#This Row],[Description]]," - ",Query1[[#This Row],[MB1]]," - ",Query1[[#This Row],[MB2]]," - ",Query1[[#This Row],[MB3]])</f>
        <v>EVAP KIT 66-67 CHEVELLE WO AC - 830060 - 0 - 0</v>
      </c>
    </row>
    <row r="1729" spans="1:15" x14ac:dyDescent="0.25">
      <c r="A1729" s="1">
        <v>913612</v>
      </c>
      <c r="B1729" s="1" t="s">
        <v>156</v>
      </c>
      <c r="C1729" s="1" t="s">
        <v>157</v>
      </c>
      <c r="D1729" s="2">
        <v>44623.672999884257</v>
      </c>
      <c r="E1729" s="1" t="s">
        <v>8</v>
      </c>
      <c r="F1729" s="1">
        <v>1</v>
      </c>
      <c r="G1729" s="1">
        <v>0</v>
      </c>
      <c r="H1729" s="6">
        <f>INT(Query1[[#This Row],[EntryDateTime]])</f>
        <v>44623</v>
      </c>
      <c r="I1729" s="1">
        <f>IF(Query1[[#This Row],[ItemType]]="EVAP KIT SF GEN IV",Query1[[#This Row],[OrderQty]]+I1728,I1728)</f>
        <v>1978</v>
      </c>
      <c r="J1729" s="1">
        <f>IF(Query1[[#This Row],[ItemType]]="EVAP KIT UNIVERSAL",Query1[[#This Row],[OrderQty]]+J1728,J1728)</f>
        <v>882</v>
      </c>
      <c r="K1729" s="1">
        <f>Query1[[#This Row],[SF Running Total]]+Query1[[#This Row],[UNIV Running Total]]</f>
        <v>2860</v>
      </c>
      <c r="L1729">
        <f>VLOOKUP(Query1[[#This Row],[Description]],'kits to boards'!$B$2:$E$156,2,FALSE)</f>
        <v>830019</v>
      </c>
      <c r="M1729">
        <f>VLOOKUP(Query1[[#This Row],[Description]],'kits to boards'!$B$2:$E$156,3,FALSE)</f>
        <v>0</v>
      </c>
      <c r="N1729">
        <f>VLOOKUP(Query1[[#This Row],[Description]],'kits to boards'!$B$2:$E$156,4,FALSE)</f>
        <v>0</v>
      </c>
      <c r="O1729" t="str">
        <f>CONCATENATE(Query1[[#This Row],[Description]]," - ",Query1[[#This Row],[MB1]]," - ",Query1[[#This Row],[MB2]]," - ",Query1[[#This Row],[MB3]])</f>
        <v>EVAP KIT 70-81 FIREBIRD WO AC - 830019 - 0 - 0</v>
      </c>
    </row>
    <row r="1730" spans="1:15" x14ac:dyDescent="0.25">
      <c r="A1730" s="1">
        <v>913614</v>
      </c>
      <c r="B1730" s="1" t="s">
        <v>190</v>
      </c>
      <c r="C1730" s="1" t="s">
        <v>191</v>
      </c>
      <c r="D1730" s="2">
        <v>44623.677902974538</v>
      </c>
      <c r="E1730" s="1" t="s">
        <v>8</v>
      </c>
      <c r="F1730" s="1">
        <v>1</v>
      </c>
      <c r="G1730" s="1">
        <v>0</v>
      </c>
      <c r="H1730" s="6">
        <f>INT(Query1[[#This Row],[EntryDateTime]])</f>
        <v>44623</v>
      </c>
      <c r="I1730" s="1">
        <f>IF(Query1[[#This Row],[ItemType]]="EVAP KIT SF GEN IV",Query1[[#This Row],[OrderQty]]+I1729,I1729)</f>
        <v>1979</v>
      </c>
      <c r="J1730" s="1">
        <f>IF(Query1[[#This Row],[ItemType]]="EVAP KIT UNIVERSAL",Query1[[#This Row],[OrderQty]]+J1729,J1729)</f>
        <v>882</v>
      </c>
      <c r="K1730" s="1">
        <f>Query1[[#This Row],[SF Running Total]]+Query1[[#This Row],[UNIV Running Total]]</f>
        <v>2861</v>
      </c>
      <c r="L1730">
        <f>VLOOKUP(Query1[[#This Row],[Description]],'kits to boards'!$B$2:$E$156,2,FALSE)</f>
        <v>830008</v>
      </c>
      <c r="M1730">
        <f>VLOOKUP(Query1[[#This Row],[Description]],'kits to boards'!$B$2:$E$156,3,FALSE)</f>
        <v>0</v>
      </c>
      <c r="N1730">
        <f>VLOOKUP(Query1[[#This Row],[Description]],'kits to boards'!$B$2:$E$156,4,FALSE)</f>
        <v>0</v>
      </c>
      <c r="O1730" t="str">
        <f>CONCATENATE(Query1[[#This Row],[Description]]," - ",Query1[[#This Row],[MB1]]," - ",Query1[[#This Row],[MB2]]," - ",Query1[[#This Row],[MB3]])</f>
        <v>EVAP KIT 63 IMPALA WO AC - 830008 - 0 - 0</v>
      </c>
    </row>
    <row r="1731" spans="1:15" x14ac:dyDescent="0.25">
      <c r="A1731" s="1">
        <v>913466</v>
      </c>
      <c r="B1731" s="1" t="s">
        <v>44</v>
      </c>
      <c r="C1731" s="1" t="s">
        <v>45</v>
      </c>
      <c r="D1731" s="2">
        <v>44623.679608877312</v>
      </c>
      <c r="E1731" s="1" t="s">
        <v>8</v>
      </c>
      <c r="F1731" s="1">
        <v>1</v>
      </c>
      <c r="G1731" s="1">
        <v>0</v>
      </c>
      <c r="H1731" s="6">
        <f>INT(Query1[[#This Row],[EntryDateTime]])</f>
        <v>44623</v>
      </c>
      <c r="I1731" s="1">
        <f>IF(Query1[[#This Row],[ItemType]]="EVAP KIT SF GEN IV",Query1[[#This Row],[OrderQty]]+I1730,I1730)</f>
        <v>1980</v>
      </c>
      <c r="J1731" s="1">
        <f>IF(Query1[[#This Row],[ItemType]]="EVAP KIT UNIVERSAL",Query1[[#This Row],[OrderQty]]+J1730,J1730)</f>
        <v>882</v>
      </c>
      <c r="K1731" s="1">
        <f>Query1[[#This Row],[SF Running Total]]+Query1[[#This Row],[UNIV Running Total]]</f>
        <v>2862</v>
      </c>
      <c r="L1731">
        <f>VLOOKUP(Query1[[#This Row],[Description]],'kits to boards'!$B$2:$E$156,2,FALSE)</f>
        <v>830085</v>
      </c>
      <c r="M1731">
        <f>VLOOKUP(Query1[[#This Row],[Description]],'kits to boards'!$B$2:$E$156,3,FALSE)</f>
        <v>0</v>
      </c>
      <c r="N1731">
        <f>VLOOKUP(Query1[[#This Row],[Description]],'kits to boards'!$B$2:$E$156,4,FALSE)</f>
        <v>0</v>
      </c>
      <c r="O1731" t="str">
        <f>CONCATENATE(Query1[[#This Row],[Description]]," - ",Query1[[#This Row],[MB1]]," - ",Query1[[#This Row],[MB2]]," - ",Query1[[#This Row],[MB3]])</f>
        <v>EVAP KIT 66-77 BRONCO - 830085 - 0 - 0</v>
      </c>
    </row>
    <row r="1732" spans="1:15" x14ac:dyDescent="0.25">
      <c r="A1732" s="1">
        <v>912419</v>
      </c>
      <c r="B1732" s="1" t="s">
        <v>108</v>
      </c>
      <c r="C1732" s="1" t="s">
        <v>109</v>
      </c>
      <c r="D1732" s="2">
        <v>44623.680365277774</v>
      </c>
      <c r="E1732" s="1" t="s">
        <v>8</v>
      </c>
      <c r="F1732" s="1">
        <v>1</v>
      </c>
      <c r="G1732" s="1">
        <v>0</v>
      </c>
      <c r="H1732" s="6">
        <f>INT(Query1[[#This Row],[EntryDateTime]])</f>
        <v>44623</v>
      </c>
      <c r="I1732" s="1">
        <f>IF(Query1[[#This Row],[ItemType]]="EVAP KIT SF GEN IV",Query1[[#This Row],[OrderQty]]+I1731,I1731)</f>
        <v>1981</v>
      </c>
      <c r="J1732" s="1">
        <f>IF(Query1[[#This Row],[ItemType]]="EVAP KIT UNIVERSAL",Query1[[#This Row],[OrderQty]]+J1731,J1731)</f>
        <v>882</v>
      </c>
      <c r="K1732" s="1">
        <f>Query1[[#This Row],[SF Running Total]]+Query1[[#This Row],[UNIV Running Total]]</f>
        <v>2863</v>
      </c>
      <c r="L1732">
        <f>VLOOKUP(Query1[[#This Row],[Description]],'kits to boards'!$B$2:$E$156,2,FALSE)</f>
        <v>830105</v>
      </c>
      <c r="M1732">
        <f>VLOOKUP(Query1[[#This Row],[Description]],'kits to boards'!$B$2:$E$156,3,FALSE)</f>
        <v>830106</v>
      </c>
      <c r="N1732">
        <f>VLOOKUP(Query1[[#This Row],[Description]],'kits to boards'!$B$2:$E$156,4,FALSE)</f>
        <v>0</v>
      </c>
      <c r="O1732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1733" spans="1:15" x14ac:dyDescent="0.25">
      <c r="A1733" s="1">
        <v>913615</v>
      </c>
      <c r="B1733" s="1" t="s">
        <v>42</v>
      </c>
      <c r="C1733" s="1" t="s">
        <v>43</v>
      </c>
      <c r="D1733" s="2">
        <v>44623.681295173614</v>
      </c>
      <c r="E1733" s="1" t="s">
        <v>8</v>
      </c>
      <c r="F1733" s="1">
        <v>1</v>
      </c>
      <c r="G1733" s="1">
        <v>0</v>
      </c>
      <c r="H1733" s="6">
        <f>INT(Query1[[#This Row],[EntryDateTime]])</f>
        <v>44623</v>
      </c>
      <c r="I1733" s="1">
        <f>IF(Query1[[#This Row],[ItemType]]="EVAP KIT SF GEN IV",Query1[[#This Row],[OrderQty]]+I1732,I1732)</f>
        <v>1982</v>
      </c>
      <c r="J1733" s="1">
        <f>IF(Query1[[#This Row],[ItemType]]="EVAP KIT UNIVERSAL",Query1[[#This Row],[OrderQty]]+J1732,J1732)</f>
        <v>882</v>
      </c>
      <c r="K1733" s="1">
        <f>Query1[[#This Row],[SF Running Total]]+Query1[[#This Row],[UNIV Running Total]]</f>
        <v>2864</v>
      </c>
      <c r="L1733">
        <f>VLOOKUP(Query1[[#This Row],[Description]],'kits to boards'!$B$2:$E$156,2,FALSE)</f>
        <v>830014</v>
      </c>
      <c r="M1733">
        <f>VLOOKUP(Query1[[#This Row],[Description]],'kits to boards'!$B$2:$E$156,3,FALSE)</f>
        <v>0</v>
      </c>
      <c r="N1733">
        <f>VLOOKUP(Query1[[#This Row],[Description]],'kits to boards'!$B$2:$E$156,4,FALSE)</f>
        <v>0</v>
      </c>
      <c r="O1733" t="str">
        <f>CONCATENATE(Query1[[#This Row],[Description]]," - ",Query1[[#This Row],[MB1]]," - ",Query1[[#This Row],[MB2]]," - ",Query1[[#This Row],[MB3]])</f>
        <v>EVAP KIT 67-72 CHEV P-UP WO AC - 830014 - 0 - 0</v>
      </c>
    </row>
    <row r="1734" spans="1:15" x14ac:dyDescent="0.25">
      <c r="A1734" s="1">
        <v>913616</v>
      </c>
      <c r="B1734" s="1" t="s">
        <v>36</v>
      </c>
      <c r="C1734" s="1" t="s">
        <v>37</v>
      </c>
      <c r="D1734" s="2">
        <v>44623.68836565972</v>
      </c>
      <c r="E1734" s="1" t="s">
        <v>8</v>
      </c>
      <c r="F1734" s="1">
        <v>1</v>
      </c>
      <c r="G1734" s="1">
        <v>0</v>
      </c>
      <c r="H1734" s="6">
        <f>INT(Query1[[#This Row],[EntryDateTime]])</f>
        <v>44623</v>
      </c>
      <c r="I1734" s="1">
        <f>IF(Query1[[#This Row],[ItemType]]="EVAP KIT SF GEN IV",Query1[[#This Row],[OrderQty]]+I1733,I1733)</f>
        <v>1983</v>
      </c>
      <c r="J1734" s="1">
        <f>IF(Query1[[#This Row],[ItemType]]="EVAP KIT UNIVERSAL",Query1[[#This Row],[OrderQty]]+J1733,J1733)</f>
        <v>882</v>
      </c>
      <c r="K1734" s="1">
        <f>Query1[[#This Row],[SF Running Total]]+Query1[[#This Row],[UNIV Running Total]]</f>
        <v>2865</v>
      </c>
      <c r="L1734">
        <f>VLOOKUP(Query1[[#This Row],[Description]],'kits to boards'!$B$2:$E$156,2,FALSE)</f>
        <v>830015</v>
      </c>
      <c r="M1734">
        <f>VLOOKUP(Query1[[#This Row],[Description]],'kits to boards'!$B$2:$E$156,3,FALSE)</f>
        <v>0</v>
      </c>
      <c r="N1734">
        <f>VLOOKUP(Query1[[#This Row],[Description]],'kits to boards'!$B$2:$E$156,4,FALSE)</f>
        <v>0</v>
      </c>
      <c r="O1734" t="str">
        <f>CONCATENATE(Query1[[#This Row],[Description]]," - ",Query1[[#This Row],[MB1]]," - ",Query1[[#This Row],[MB2]]," - ",Query1[[#This Row],[MB3]])</f>
        <v>EVAP KIT 64-66 CHEV P-UP WO AC W/STD - 830015 - 0 - 0</v>
      </c>
    </row>
    <row r="1735" spans="1:15" x14ac:dyDescent="0.25">
      <c r="A1735" s="1">
        <v>913619</v>
      </c>
      <c r="B1735" s="1" t="s">
        <v>198</v>
      </c>
      <c r="C1735" s="1" t="s">
        <v>199</v>
      </c>
      <c r="D1735" s="2">
        <v>44623.694595335648</v>
      </c>
      <c r="E1735" s="1" t="s">
        <v>8</v>
      </c>
      <c r="F1735" s="1">
        <v>1</v>
      </c>
      <c r="G1735" s="1">
        <v>0</v>
      </c>
      <c r="H1735" s="6">
        <f>INT(Query1[[#This Row],[EntryDateTime]])</f>
        <v>44623</v>
      </c>
      <c r="I1735" s="1">
        <f>IF(Query1[[#This Row],[ItemType]]="EVAP KIT SF GEN IV",Query1[[#This Row],[OrderQty]]+I1734,I1734)</f>
        <v>1984</v>
      </c>
      <c r="J1735" s="1">
        <f>IF(Query1[[#This Row],[ItemType]]="EVAP KIT UNIVERSAL",Query1[[#This Row],[OrderQty]]+J1734,J1734)</f>
        <v>882</v>
      </c>
      <c r="K1735" s="1">
        <f>Query1[[#This Row],[SF Running Total]]+Query1[[#This Row],[UNIV Running Total]]</f>
        <v>2866</v>
      </c>
      <c r="L1735">
        <f>VLOOKUP(Query1[[#This Row],[Description]],'kits to boards'!$B$2:$E$156,2,FALSE)</f>
        <v>830042</v>
      </c>
      <c r="M1735">
        <f>VLOOKUP(Query1[[#This Row],[Description]],'kits to boards'!$B$2:$E$156,3,FALSE)</f>
        <v>0</v>
      </c>
      <c r="N1735">
        <f>VLOOKUP(Query1[[#This Row],[Description]],'kits to boards'!$B$2:$E$156,4,FALSE)</f>
        <v>0</v>
      </c>
      <c r="O1735" t="str">
        <f>CONCATENATE(Query1[[#This Row],[Description]]," - ",Query1[[#This Row],[MB1]]," - ",Query1[[#This Row],[MB2]]," - ",Query1[[#This Row],[MB3]])</f>
        <v>EVAP KIT 68-83 TOYOTA FJ40 ULTRA HIGH PERF - 830042 - 0 - 0</v>
      </c>
    </row>
    <row r="1736" spans="1:15" x14ac:dyDescent="0.25">
      <c r="A1736" s="1">
        <v>913456</v>
      </c>
      <c r="B1736" s="1" t="s">
        <v>166</v>
      </c>
      <c r="C1736" s="1" t="s">
        <v>167</v>
      </c>
      <c r="D1736" s="2">
        <v>44623.698047256941</v>
      </c>
      <c r="E1736" s="1" t="s">
        <v>8</v>
      </c>
      <c r="F1736" s="1">
        <v>1</v>
      </c>
      <c r="G1736" s="1">
        <v>0</v>
      </c>
      <c r="H1736" s="6">
        <f>INT(Query1[[#This Row],[EntryDateTime]])</f>
        <v>44623</v>
      </c>
      <c r="I1736" s="1">
        <f>IF(Query1[[#This Row],[ItemType]]="EVAP KIT SF GEN IV",Query1[[#This Row],[OrderQty]]+I1735,I1735)</f>
        <v>1985</v>
      </c>
      <c r="J1736" s="1">
        <f>IF(Query1[[#This Row],[ItemType]]="EVAP KIT UNIVERSAL",Query1[[#This Row],[OrderQty]]+J1735,J1735)</f>
        <v>882</v>
      </c>
      <c r="K1736" s="1">
        <f>Query1[[#This Row],[SF Running Total]]+Query1[[#This Row],[UNIV Running Total]]</f>
        <v>2867</v>
      </c>
      <c r="L1736">
        <f>VLOOKUP(Query1[[#This Row],[Description]],'kits to boards'!$B$2:$E$156,2,FALSE)</f>
        <v>830063</v>
      </c>
      <c r="M1736">
        <f>VLOOKUP(Query1[[#This Row],[Description]],'kits to boards'!$B$2:$E$156,3,FALSE)</f>
        <v>0</v>
      </c>
      <c r="N1736">
        <f>VLOOKUP(Query1[[#This Row],[Description]],'kits to boards'!$B$2:$E$156,4,FALSE)</f>
        <v>0</v>
      </c>
      <c r="O1736" t="str">
        <f>CONCATENATE(Query1[[#This Row],[Description]]," - ",Query1[[#This Row],[MB1]]," - ",Query1[[#This Row],[MB2]]," - ",Query1[[#This Row],[MB3]])</f>
        <v>EVAP KIT 47-49 CHEV P-UP GEN IV - 830063 - 0 - 0</v>
      </c>
    </row>
    <row r="1737" spans="1:15" x14ac:dyDescent="0.25">
      <c r="A1737" s="1">
        <v>913621</v>
      </c>
      <c r="B1737" s="1" t="s">
        <v>26</v>
      </c>
      <c r="C1737" s="1" t="s">
        <v>27</v>
      </c>
      <c r="D1737" s="2">
        <v>44624.305770219908</v>
      </c>
      <c r="E1737" s="1" t="s">
        <v>8</v>
      </c>
      <c r="F1737" s="1">
        <v>1</v>
      </c>
      <c r="G1737" s="1">
        <v>0</v>
      </c>
      <c r="H1737" s="6">
        <f>INT(Query1[[#This Row],[EntryDateTime]])</f>
        <v>44624</v>
      </c>
      <c r="I1737" s="1">
        <f>IF(Query1[[#This Row],[ItemType]]="EVAP KIT SF GEN IV",Query1[[#This Row],[OrderQty]]+I1736,I1736)</f>
        <v>1986</v>
      </c>
      <c r="J1737" s="1">
        <f>IF(Query1[[#This Row],[ItemType]]="EVAP KIT UNIVERSAL",Query1[[#This Row],[OrderQty]]+J1736,J1736)</f>
        <v>882</v>
      </c>
      <c r="K1737" s="1">
        <f>Query1[[#This Row],[SF Running Total]]+Query1[[#This Row],[UNIV Running Total]]</f>
        <v>2868</v>
      </c>
      <c r="L1737">
        <f>VLOOKUP(Query1[[#This Row],[Description]],'kits to boards'!$B$2:$E$156,2,FALSE)</f>
        <v>830013</v>
      </c>
      <c r="M1737">
        <f>VLOOKUP(Query1[[#This Row],[Description]],'kits to boards'!$B$2:$E$156,3,FALSE)</f>
        <v>0</v>
      </c>
      <c r="N1737">
        <f>VLOOKUP(Query1[[#This Row],[Description]],'kits to boards'!$B$2:$E$156,4,FALSE)</f>
        <v>0</v>
      </c>
      <c r="O1737" t="str">
        <f>CONCATENATE(Query1[[#This Row],[Description]]," - ",Query1[[#This Row],[MB1]]," - ",Query1[[#This Row],[MB2]]," - ",Query1[[#This Row],[MB3]])</f>
        <v>EVAP KIT 67-72 CHEV P-UP W/AC - 830013 - 0 - 0</v>
      </c>
    </row>
    <row r="1738" spans="1:15" x14ac:dyDescent="0.25">
      <c r="A1738" s="1">
        <v>913632</v>
      </c>
      <c r="B1738" s="1" t="s">
        <v>86</v>
      </c>
      <c r="C1738" s="1" t="s">
        <v>87</v>
      </c>
      <c r="D1738" s="2">
        <v>44624.351067974538</v>
      </c>
      <c r="E1738" s="1" t="s">
        <v>8</v>
      </c>
      <c r="F1738" s="1">
        <v>1</v>
      </c>
      <c r="G1738" s="1">
        <v>0</v>
      </c>
      <c r="H1738" s="6">
        <f>INT(Query1[[#This Row],[EntryDateTime]])</f>
        <v>44624</v>
      </c>
      <c r="I1738" s="1">
        <f>IF(Query1[[#This Row],[ItemType]]="EVAP KIT SF GEN IV",Query1[[#This Row],[OrderQty]]+I1737,I1737)</f>
        <v>1987</v>
      </c>
      <c r="J1738" s="1">
        <f>IF(Query1[[#This Row],[ItemType]]="EVAP KIT UNIVERSAL",Query1[[#This Row],[OrderQty]]+J1737,J1737)</f>
        <v>882</v>
      </c>
      <c r="K1738" s="1">
        <f>Query1[[#This Row],[SF Running Total]]+Query1[[#This Row],[UNIV Running Total]]</f>
        <v>2869</v>
      </c>
      <c r="L1738">
        <f>VLOOKUP(Query1[[#This Row],[Description]],'kits to boards'!$B$2:$E$156,2,FALSE)</f>
        <v>830048</v>
      </c>
      <c r="M1738">
        <f>VLOOKUP(Query1[[#This Row],[Description]],'kits to boards'!$B$2:$E$156,3,FALSE)</f>
        <v>0</v>
      </c>
      <c r="N1738">
        <f>VLOOKUP(Query1[[#This Row],[Description]],'kits to boards'!$B$2:$E$156,4,FALSE)</f>
        <v>0</v>
      </c>
      <c r="O1738" t="str">
        <f>CONCATENATE(Query1[[#This Row],[Description]]," - ",Query1[[#This Row],[MB1]]," - ",Query1[[#This Row],[MB2]]," - ",Query1[[#This Row],[MB3]])</f>
        <v>EVAP KIT 66-67 NOVA - 830048 - 0 - 0</v>
      </c>
    </row>
    <row r="1739" spans="1:15" x14ac:dyDescent="0.25">
      <c r="A1739" s="1">
        <v>913634</v>
      </c>
      <c r="B1739" s="1" t="s">
        <v>94</v>
      </c>
      <c r="C1739" s="1" t="s">
        <v>95</v>
      </c>
      <c r="D1739" s="2">
        <v>44624.360345335648</v>
      </c>
      <c r="E1739" s="1" t="s">
        <v>8</v>
      </c>
      <c r="F1739" s="1">
        <v>1</v>
      </c>
      <c r="G1739" s="1">
        <v>0</v>
      </c>
      <c r="H1739" s="6">
        <f>INT(Query1[[#This Row],[EntryDateTime]])</f>
        <v>44624</v>
      </c>
      <c r="I1739" s="1">
        <f>IF(Query1[[#This Row],[ItemType]]="EVAP KIT SF GEN IV",Query1[[#This Row],[OrderQty]]+I1738,I1738)</f>
        <v>1988</v>
      </c>
      <c r="J1739" s="1">
        <f>IF(Query1[[#This Row],[ItemType]]="EVAP KIT UNIVERSAL",Query1[[#This Row],[OrderQty]]+J1738,J1738)</f>
        <v>882</v>
      </c>
      <c r="K1739" s="1">
        <f>Query1[[#This Row],[SF Running Total]]+Query1[[#This Row],[UNIV Running Total]]</f>
        <v>2870</v>
      </c>
      <c r="L1739">
        <f>VLOOKUP(Query1[[#This Row],[Description]],'kits to boards'!$B$2:$E$156,2,FALSE)</f>
        <v>830076</v>
      </c>
      <c r="M1739">
        <f>VLOOKUP(Query1[[#This Row],[Description]],'kits to boards'!$B$2:$E$156,3,FALSE)</f>
        <v>0</v>
      </c>
      <c r="N1739">
        <f>VLOOKUP(Query1[[#This Row],[Description]],'kits to boards'!$B$2:$E$156,4,FALSE)</f>
        <v>0</v>
      </c>
      <c r="O1739" t="str">
        <f>CONCATENATE(Query1[[#This Row],[Description]]," - ",Query1[[#This Row],[MB1]]," - ",Query1[[#This Row],[MB2]]," - ",Query1[[#This Row],[MB3]])</f>
        <v>EVAP KIT 64 1/2- 66 MUSTANG  - 830076 - 0 - 0</v>
      </c>
    </row>
    <row r="1740" spans="1:15" x14ac:dyDescent="0.25">
      <c r="A1740" s="1">
        <v>913635</v>
      </c>
      <c r="B1740" s="1" t="s">
        <v>188</v>
      </c>
      <c r="C1740" s="1" t="s">
        <v>189</v>
      </c>
      <c r="D1740" s="2">
        <v>44624.365698923611</v>
      </c>
      <c r="E1740" s="1" t="s">
        <v>11</v>
      </c>
      <c r="F1740" s="1">
        <v>1</v>
      </c>
      <c r="G1740" s="1">
        <v>0</v>
      </c>
      <c r="H1740" s="6">
        <f>INT(Query1[[#This Row],[EntryDateTime]])</f>
        <v>44624</v>
      </c>
      <c r="I1740" s="1">
        <f>IF(Query1[[#This Row],[ItemType]]="EVAP KIT SF GEN IV",Query1[[#This Row],[OrderQty]]+I1739,I1739)</f>
        <v>1988</v>
      </c>
      <c r="J1740" s="1">
        <f>IF(Query1[[#This Row],[ItemType]]="EVAP KIT UNIVERSAL",Query1[[#This Row],[OrderQty]]+J1739,J1739)</f>
        <v>883</v>
      </c>
      <c r="K1740" s="1">
        <f>Query1[[#This Row],[SF Running Total]]+Query1[[#This Row],[UNIV Running Total]]</f>
        <v>2871</v>
      </c>
      <c r="L1740">
        <f>VLOOKUP(Query1[[#This Row],[Description]],'kits to boards'!$B$2:$E$156,2,FALSE)</f>
        <v>830069</v>
      </c>
      <c r="M1740">
        <f>VLOOKUP(Query1[[#This Row],[Description]],'kits to boards'!$B$2:$E$156,3,FALSE)</f>
        <v>0</v>
      </c>
      <c r="N1740">
        <f>VLOOKUP(Query1[[#This Row],[Description]],'kits to boards'!$B$2:$E$156,4,FALSE)</f>
        <v>0</v>
      </c>
      <c r="O1740" t="str">
        <f>CONCATENATE(Query1[[#This Row],[Description]]," - ",Query1[[#This Row],[MB1]]," - ",Query1[[#This Row],[MB2]]," - ",Query1[[#This Row],[MB3]])</f>
        <v>SLIMLINE H/C STD LOUVER - 830069 - 0 - 0</v>
      </c>
    </row>
    <row r="1741" spans="1:15" x14ac:dyDescent="0.25">
      <c r="A1741" s="1">
        <v>913639</v>
      </c>
      <c r="B1741" s="1" t="s">
        <v>196</v>
      </c>
      <c r="C1741" s="1" t="s">
        <v>197</v>
      </c>
      <c r="D1741" s="2">
        <v>44624.377797106485</v>
      </c>
      <c r="E1741" s="1" t="s">
        <v>11</v>
      </c>
      <c r="F1741" s="1">
        <v>1</v>
      </c>
      <c r="G1741" s="1">
        <v>0</v>
      </c>
      <c r="H1741" s="6">
        <f>INT(Query1[[#This Row],[EntryDateTime]])</f>
        <v>44624</v>
      </c>
      <c r="I1741" s="1">
        <f>IF(Query1[[#This Row],[ItemType]]="EVAP KIT SF GEN IV",Query1[[#This Row],[OrderQty]]+I1740,I1740)</f>
        <v>1988</v>
      </c>
      <c r="J1741" s="1">
        <f>IF(Query1[[#This Row],[ItemType]]="EVAP KIT UNIVERSAL",Query1[[#This Row],[OrderQty]]+J1740,J1740)</f>
        <v>884</v>
      </c>
      <c r="K1741" s="1">
        <f>Query1[[#This Row],[SF Running Total]]+Query1[[#This Row],[UNIV Running Total]]</f>
        <v>2872</v>
      </c>
      <c r="L1741">
        <f>VLOOKUP(Query1[[#This Row],[Description]],'kits to boards'!$B$2:$E$156,2,FALSE)</f>
        <v>830090</v>
      </c>
      <c r="M1741">
        <f>VLOOKUP(Query1[[#This Row],[Description]],'kits to boards'!$B$2:$E$156,3,FALSE)</f>
        <v>0</v>
      </c>
      <c r="N1741">
        <f>VLOOKUP(Query1[[#This Row],[Description]],'kits to boards'!$B$2:$E$156,4,FALSE)</f>
        <v>0</v>
      </c>
      <c r="O1741" t="str">
        <f>CONCATENATE(Query1[[#This Row],[Description]]," - ",Query1[[#This Row],[MB1]]," - ",Query1[[#This Row],[MB2]]," - ",Query1[[#This Row],[MB3]])</f>
        <v>TRUNK UNIT HEAT/COOL 134A - 830090 - 0 - 0</v>
      </c>
    </row>
    <row r="1742" spans="1:15" x14ac:dyDescent="0.25">
      <c r="A1742" s="1">
        <v>912742</v>
      </c>
      <c r="B1742" s="1" t="s">
        <v>52</v>
      </c>
      <c r="C1742" s="1" t="s">
        <v>53</v>
      </c>
      <c r="D1742" s="2">
        <v>44624.407111261571</v>
      </c>
      <c r="E1742" s="1" t="s">
        <v>8</v>
      </c>
      <c r="F1742" s="1">
        <v>1</v>
      </c>
      <c r="G1742" s="1">
        <v>0</v>
      </c>
      <c r="H1742" s="6">
        <f>INT(Query1[[#This Row],[EntryDateTime]])</f>
        <v>44624</v>
      </c>
      <c r="I1742" s="1">
        <f>IF(Query1[[#This Row],[ItemType]]="EVAP KIT SF GEN IV",Query1[[#This Row],[OrderQty]]+I1741,I1741)</f>
        <v>1989</v>
      </c>
      <c r="J1742" s="1">
        <f>IF(Query1[[#This Row],[ItemType]]="EVAP KIT UNIVERSAL",Query1[[#This Row],[OrderQty]]+J1741,J1741)</f>
        <v>884</v>
      </c>
      <c r="K1742" s="1">
        <f>Query1[[#This Row],[SF Running Total]]+Query1[[#This Row],[UNIV Running Total]]</f>
        <v>2873</v>
      </c>
      <c r="L1742">
        <f>VLOOKUP(Query1[[#This Row],[Description]],'kits to boards'!$B$2:$E$156,2,FALSE)</f>
        <v>830017</v>
      </c>
      <c r="M1742">
        <f>VLOOKUP(Query1[[#This Row],[Description]],'kits to boards'!$B$2:$E$156,3,FALSE)</f>
        <v>830119</v>
      </c>
      <c r="N1742">
        <f>VLOOKUP(Query1[[#This Row],[Description]],'kits to boards'!$B$2:$E$156,4,FALSE)</f>
        <v>830120</v>
      </c>
      <c r="O1742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1743" spans="1:15" x14ac:dyDescent="0.25">
      <c r="A1743" s="1">
        <v>913647</v>
      </c>
      <c r="B1743" s="1" t="s">
        <v>166</v>
      </c>
      <c r="C1743" s="1" t="s">
        <v>167</v>
      </c>
      <c r="D1743" s="2">
        <v>44624.408816435185</v>
      </c>
      <c r="E1743" s="1" t="s">
        <v>8</v>
      </c>
      <c r="F1743" s="1">
        <v>1</v>
      </c>
      <c r="G1743" s="1">
        <v>0</v>
      </c>
      <c r="H1743" s="6">
        <f>INT(Query1[[#This Row],[EntryDateTime]])</f>
        <v>44624</v>
      </c>
      <c r="I1743" s="1">
        <f>IF(Query1[[#This Row],[ItemType]]="EVAP KIT SF GEN IV",Query1[[#This Row],[OrderQty]]+I1742,I1742)</f>
        <v>1990</v>
      </c>
      <c r="J1743" s="1">
        <f>IF(Query1[[#This Row],[ItemType]]="EVAP KIT UNIVERSAL",Query1[[#This Row],[OrderQty]]+J1742,J1742)</f>
        <v>884</v>
      </c>
      <c r="K1743" s="1">
        <f>Query1[[#This Row],[SF Running Total]]+Query1[[#This Row],[UNIV Running Total]]</f>
        <v>2874</v>
      </c>
      <c r="L1743">
        <f>VLOOKUP(Query1[[#This Row],[Description]],'kits to boards'!$B$2:$E$156,2,FALSE)</f>
        <v>830063</v>
      </c>
      <c r="M1743">
        <f>VLOOKUP(Query1[[#This Row],[Description]],'kits to boards'!$B$2:$E$156,3,FALSE)</f>
        <v>0</v>
      </c>
      <c r="N1743">
        <f>VLOOKUP(Query1[[#This Row],[Description]],'kits to boards'!$B$2:$E$156,4,FALSE)</f>
        <v>0</v>
      </c>
      <c r="O1743" t="str">
        <f>CONCATENATE(Query1[[#This Row],[Description]]," - ",Query1[[#This Row],[MB1]]," - ",Query1[[#This Row],[MB2]]," - ",Query1[[#This Row],[MB3]])</f>
        <v>EVAP KIT 47-49 CHEV P-UP GEN IV - 830063 - 0 - 0</v>
      </c>
    </row>
    <row r="1744" spans="1:15" x14ac:dyDescent="0.25">
      <c r="A1744" s="1">
        <v>913650</v>
      </c>
      <c r="B1744" s="1" t="s">
        <v>140</v>
      </c>
      <c r="C1744" s="1" t="s">
        <v>141</v>
      </c>
      <c r="D1744" s="2">
        <v>44624.413104942127</v>
      </c>
      <c r="E1744" s="1" t="s">
        <v>8</v>
      </c>
      <c r="F1744" s="1">
        <v>1</v>
      </c>
      <c r="G1744" s="1">
        <v>0</v>
      </c>
      <c r="H1744" s="6">
        <f>INT(Query1[[#This Row],[EntryDateTime]])</f>
        <v>44624</v>
      </c>
      <c r="I1744" s="1">
        <f>IF(Query1[[#This Row],[ItemType]]="EVAP KIT SF GEN IV",Query1[[#This Row],[OrderQty]]+I1743,I1743)</f>
        <v>1991</v>
      </c>
      <c r="J1744" s="1">
        <f>IF(Query1[[#This Row],[ItemType]]="EVAP KIT UNIVERSAL",Query1[[#This Row],[OrderQty]]+J1743,J1743)</f>
        <v>884</v>
      </c>
      <c r="K1744" s="1">
        <f>Query1[[#This Row],[SF Running Total]]+Query1[[#This Row],[UNIV Running Total]]</f>
        <v>2875</v>
      </c>
      <c r="L1744">
        <f>VLOOKUP(Query1[[#This Row],[Description]],'kits to boards'!$B$2:$E$156,2,FALSE)</f>
        <v>830066</v>
      </c>
      <c r="M1744">
        <f>VLOOKUP(Query1[[#This Row],[Description]],'kits to boards'!$B$2:$E$156,3,FALSE)</f>
        <v>0</v>
      </c>
      <c r="N1744">
        <f>VLOOKUP(Query1[[#This Row],[Description]],'kits to boards'!$B$2:$E$156,4,FALSE)</f>
        <v>0</v>
      </c>
      <c r="O1744" t="str">
        <f>CONCATENATE(Query1[[#This Row],[Description]]," - ",Query1[[#This Row],[MB1]]," - ",Query1[[#This Row],[MB2]]," - ",Query1[[#This Row],[MB3]])</f>
        <v>EVAP KIT 60-63 CHEV P-UP WO AC - 830066 - 0 - 0</v>
      </c>
    </row>
    <row r="1745" spans="1:15" x14ac:dyDescent="0.25">
      <c r="A1745" s="1">
        <v>913653</v>
      </c>
      <c r="B1745" s="1" t="s">
        <v>192</v>
      </c>
      <c r="C1745" s="1" t="s">
        <v>193</v>
      </c>
      <c r="D1745" s="2">
        <v>44624.420409571758</v>
      </c>
      <c r="E1745" s="1" t="s">
        <v>8</v>
      </c>
      <c r="F1745" s="1">
        <v>1</v>
      </c>
      <c r="G1745" s="1">
        <v>0</v>
      </c>
      <c r="H1745" s="6">
        <f>INT(Query1[[#This Row],[EntryDateTime]])</f>
        <v>44624</v>
      </c>
      <c r="I1745" s="1">
        <f>IF(Query1[[#This Row],[ItemType]]="EVAP KIT SF GEN IV",Query1[[#This Row],[OrderQty]]+I1744,I1744)</f>
        <v>1992</v>
      </c>
      <c r="J1745" s="1">
        <f>IF(Query1[[#This Row],[ItemType]]="EVAP KIT UNIVERSAL",Query1[[#This Row],[OrderQty]]+J1744,J1744)</f>
        <v>884</v>
      </c>
      <c r="K1745" s="1">
        <f>Query1[[#This Row],[SF Running Total]]+Query1[[#This Row],[UNIV Running Total]]</f>
        <v>2876</v>
      </c>
      <c r="L1745">
        <f>VLOOKUP(Query1[[#This Row],[Description]],'kits to boards'!$B$2:$E$156,2,FALSE)</f>
        <v>830094</v>
      </c>
      <c r="M1745">
        <f>VLOOKUP(Query1[[#This Row],[Description]],'kits to boards'!$B$2:$E$156,3,FALSE)</f>
        <v>0</v>
      </c>
      <c r="N1745">
        <f>VLOOKUP(Query1[[#This Row],[Description]],'kits to boards'!$B$2:$E$156,4,FALSE)</f>
        <v>0</v>
      </c>
      <c r="O1745" t="str">
        <f>CONCATENATE(Query1[[#This Row],[Description]]," - ",Query1[[#This Row],[MB1]]," - ",Query1[[#This Row],[MB2]]," - ",Query1[[#This Row],[MB3]])</f>
        <v>EVAP KIT 69-73 VETTE W/AC - 830094 - 0 - 0</v>
      </c>
    </row>
    <row r="1746" spans="1:15" x14ac:dyDescent="0.25">
      <c r="A1746" s="1">
        <v>913659</v>
      </c>
      <c r="B1746" s="1" t="s">
        <v>114</v>
      </c>
      <c r="C1746" s="1" t="s">
        <v>115</v>
      </c>
      <c r="D1746" s="2">
        <v>44624.440510532404</v>
      </c>
      <c r="E1746" s="1" t="s">
        <v>8</v>
      </c>
      <c r="F1746" s="1">
        <v>1</v>
      </c>
      <c r="G1746" s="1">
        <v>0</v>
      </c>
      <c r="H1746" s="6">
        <f>INT(Query1[[#This Row],[EntryDateTime]])</f>
        <v>44624</v>
      </c>
      <c r="I1746" s="1">
        <f>IF(Query1[[#This Row],[ItemType]]="EVAP KIT SF GEN IV",Query1[[#This Row],[OrderQty]]+I1745,I1745)</f>
        <v>1993</v>
      </c>
      <c r="J1746" s="1">
        <f>IF(Query1[[#This Row],[ItemType]]="EVAP KIT UNIVERSAL",Query1[[#This Row],[OrderQty]]+J1745,J1745)</f>
        <v>884</v>
      </c>
      <c r="K1746" s="1">
        <f>Query1[[#This Row],[SF Running Total]]+Query1[[#This Row],[UNIV Running Total]]</f>
        <v>2877</v>
      </c>
      <c r="L1746">
        <f>VLOOKUP(Query1[[#This Row],[Description]],'kits to boards'!$B$2:$E$156,2,FALSE)</f>
        <v>830059</v>
      </c>
      <c r="M1746">
        <f>VLOOKUP(Query1[[#This Row],[Description]],'kits to boards'!$B$2:$E$156,3,FALSE)</f>
        <v>0</v>
      </c>
      <c r="N1746">
        <f>VLOOKUP(Query1[[#This Row],[Description]],'kits to boards'!$B$2:$E$156,4,FALSE)</f>
        <v>0</v>
      </c>
      <c r="O1746" t="str">
        <f>CONCATENATE(Query1[[#This Row],[Description]]," - ",Query1[[#This Row],[MB1]]," - ",Query1[[#This Row],[MB2]]," - ",Query1[[#This Row],[MB3]])</f>
        <v>EVAP KIT 66-67 CHEVELLE W/AC - 830059 - 0 - 0</v>
      </c>
    </row>
    <row r="1747" spans="1:15" x14ac:dyDescent="0.25">
      <c r="A1747" s="1">
        <v>913660</v>
      </c>
      <c r="B1747" s="1" t="s">
        <v>70</v>
      </c>
      <c r="C1747" s="1" t="s">
        <v>71</v>
      </c>
      <c r="D1747" s="2">
        <v>44624.445462650459</v>
      </c>
      <c r="E1747" s="1" t="s">
        <v>8</v>
      </c>
      <c r="F1747" s="1">
        <v>1</v>
      </c>
      <c r="G1747" s="1">
        <v>0</v>
      </c>
      <c r="H1747" s="6">
        <f>INT(Query1[[#This Row],[EntryDateTime]])</f>
        <v>44624</v>
      </c>
      <c r="I1747" s="1">
        <f>IF(Query1[[#This Row],[ItemType]]="EVAP KIT SF GEN IV",Query1[[#This Row],[OrderQty]]+I1746,I1746)</f>
        <v>1994</v>
      </c>
      <c r="J1747" s="1">
        <f>IF(Query1[[#This Row],[ItemType]]="EVAP KIT UNIVERSAL",Query1[[#This Row],[OrderQty]]+J1746,J1746)</f>
        <v>884</v>
      </c>
      <c r="K1747" s="1">
        <f>Query1[[#This Row],[SF Running Total]]+Query1[[#This Row],[UNIV Running Total]]</f>
        <v>2878</v>
      </c>
      <c r="L1747">
        <f>VLOOKUP(Query1[[#This Row],[Description]],'kits to boards'!$B$2:$E$156,2,FALSE)</f>
        <v>830050</v>
      </c>
      <c r="M1747">
        <f>VLOOKUP(Query1[[#This Row],[Description]],'kits to boards'!$B$2:$E$156,3,FALSE)</f>
        <v>0</v>
      </c>
      <c r="N1747">
        <f>VLOOKUP(Query1[[#This Row],[Description]],'kits to boards'!$B$2:$E$156,4,FALSE)</f>
        <v>0</v>
      </c>
      <c r="O1747" t="str">
        <f>CONCATENATE(Query1[[#This Row],[Description]]," - ",Query1[[#This Row],[MB1]]," - ",Query1[[#This Row],[MB2]]," - ",Query1[[#This Row],[MB3]])</f>
        <v>EVAP KIT 70-78 CAMARO WO AC - 830050 - 0 - 0</v>
      </c>
    </row>
    <row r="1748" spans="1:15" x14ac:dyDescent="0.25">
      <c r="A1748" s="1">
        <v>913663</v>
      </c>
      <c r="B1748" s="1" t="s">
        <v>14</v>
      </c>
      <c r="C1748" s="1" t="s">
        <v>15</v>
      </c>
      <c r="D1748" s="2">
        <v>44624.451328622687</v>
      </c>
      <c r="E1748" s="1" t="s">
        <v>8</v>
      </c>
      <c r="F1748" s="1">
        <v>1</v>
      </c>
      <c r="G1748" s="1">
        <v>0</v>
      </c>
      <c r="H1748" s="6">
        <f>INT(Query1[[#This Row],[EntryDateTime]])</f>
        <v>44624</v>
      </c>
      <c r="I1748" s="1">
        <f>IF(Query1[[#This Row],[ItemType]]="EVAP KIT SF GEN IV",Query1[[#This Row],[OrderQty]]+I1747,I1747)</f>
        <v>1995</v>
      </c>
      <c r="J1748" s="1">
        <f>IF(Query1[[#This Row],[ItemType]]="EVAP KIT UNIVERSAL",Query1[[#This Row],[OrderQty]]+J1747,J1747)</f>
        <v>884</v>
      </c>
      <c r="K1748" s="1">
        <f>Query1[[#This Row],[SF Running Total]]+Query1[[#This Row],[UNIV Running Total]]</f>
        <v>2879</v>
      </c>
      <c r="L1748">
        <f>VLOOKUP(Query1[[#This Row],[Description]],'kits to boards'!$B$2:$E$156,2,FALSE)</f>
        <v>830054</v>
      </c>
      <c r="M1748">
        <f>VLOOKUP(Query1[[#This Row],[Description]],'kits to boards'!$B$2:$E$156,3,FALSE)</f>
        <v>0</v>
      </c>
      <c r="N1748">
        <f>VLOOKUP(Query1[[#This Row],[Description]],'kits to boards'!$B$2:$E$156,4,FALSE)</f>
        <v>0</v>
      </c>
      <c r="O1748" t="str">
        <f>CONCATENATE(Query1[[#This Row],[Description]]," - ",Query1[[#This Row],[MB1]]," - ",Query1[[#This Row],[MB2]]," - ",Query1[[#This Row],[MB3]])</f>
        <v>EVAP KIT 55-56 CHEVY - 830054 - 0 - 0</v>
      </c>
    </row>
    <row r="1749" spans="1:15" x14ac:dyDescent="0.25">
      <c r="A1749" s="1">
        <v>913667</v>
      </c>
      <c r="B1749" s="1" t="s">
        <v>26</v>
      </c>
      <c r="C1749" s="1" t="s">
        <v>27</v>
      </c>
      <c r="D1749" s="2">
        <v>44624.470670682873</v>
      </c>
      <c r="E1749" s="1" t="s">
        <v>8</v>
      </c>
      <c r="F1749" s="1">
        <v>1</v>
      </c>
      <c r="G1749" s="1">
        <v>0</v>
      </c>
      <c r="H1749" s="6">
        <f>INT(Query1[[#This Row],[EntryDateTime]])</f>
        <v>44624</v>
      </c>
      <c r="I1749" s="1">
        <f>IF(Query1[[#This Row],[ItemType]]="EVAP KIT SF GEN IV",Query1[[#This Row],[OrderQty]]+I1748,I1748)</f>
        <v>1996</v>
      </c>
      <c r="J1749" s="1">
        <f>IF(Query1[[#This Row],[ItemType]]="EVAP KIT UNIVERSAL",Query1[[#This Row],[OrderQty]]+J1748,J1748)</f>
        <v>884</v>
      </c>
      <c r="K1749" s="1">
        <f>Query1[[#This Row],[SF Running Total]]+Query1[[#This Row],[UNIV Running Total]]</f>
        <v>2880</v>
      </c>
      <c r="L1749">
        <f>VLOOKUP(Query1[[#This Row],[Description]],'kits to boards'!$B$2:$E$156,2,FALSE)</f>
        <v>830013</v>
      </c>
      <c r="M1749">
        <f>VLOOKUP(Query1[[#This Row],[Description]],'kits to boards'!$B$2:$E$156,3,FALSE)</f>
        <v>0</v>
      </c>
      <c r="N1749">
        <f>VLOOKUP(Query1[[#This Row],[Description]],'kits to boards'!$B$2:$E$156,4,FALSE)</f>
        <v>0</v>
      </c>
      <c r="O1749" t="str">
        <f>CONCATENATE(Query1[[#This Row],[Description]]," - ",Query1[[#This Row],[MB1]]," - ",Query1[[#This Row],[MB2]]," - ",Query1[[#This Row],[MB3]])</f>
        <v>EVAP KIT 67-72 CHEV P-UP W/AC - 830013 - 0 - 0</v>
      </c>
    </row>
    <row r="1750" spans="1:15" x14ac:dyDescent="0.25">
      <c r="A1750" s="1">
        <v>913670</v>
      </c>
      <c r="B1750" s="1" t="s">
        <v>102</v>
      </c>
      <c r="C1750" s="1" t="s">
        <v>103</v>
      </c>
      <c r="D1750" s="2">
        <v>44624.475722372685</v>
      </c>
      <c r="E1750" s="1" t="s">
        <v>8</v>
      </c>
      <c r="F1750" s="1">
        <v>1</v>
      </c>
      <c r="G1750" s="1">
        <v>0</v>
      </c>
      <c r="H1750" s="6">
        <f>INT(Query1[[#This Row],[EntryDateTime]])</f>
        <v>44624</v>
      </c>
      <c r="I1750" s="1">
        <f>IF(Query1[[#This Row],[ItemType]]="EVAP KIT SF GEN IV",Query1[[#This Row],[OrderQty]]+I1749,I1749)</f>
        <v>1997</v>
      </c>
      <c r="J1750" s="1">
        <f>IF(Query1[[#This Row],[ItemType]]="EVAP KIT UNIVERSAL",Query1[[#This Row],[OrderQty]]+J1749,J1749)</f>
        <v>884</v>
      </c>
      <c r="K1750" s="1">
        <f>Query1[[#This Row],[SF Running Total]]+Query1[[#This Row],[UNIV Running Total]]</f>
        <v>2881</v>
      </c>
      <c r="L1750">
        <f>VLOOKUP(Query1[[#This Row],[Description]],'kits to boards'!$B$2:$E$156,2,FALSE)</f>
        <v>830012</v>
      </c>
      <c r="M1750">
        <f>VLOOKUP(Query1[[#This Row],[Description]],'kits to boards'!$B$2:$E$156,3,FALSE)</f>
        <v>0</v>
      </c>
      <c r="N1750">
        <f>VLOOKUP(Query1[[#This Row],[Description]],'kits to boards'!$B$2:$E$156,4,FALSE)</f>
        <v>0</v>
      </c>
      <c r="O1750" t="str">
        <f>CONCATENATE(Query1[[#This Row],[Description]]," - ",Query1[[#This Row],[MB1]]," - ",Query1[[#This Row],[MB2]]," - ",Query1[[#This Row],[MB3]])</f>
        <v>EVAP KIT 69 CAMARO WO/AC - 830012 - 0 - 0</v>
      </c>
    </row>
    <row r="1751" spans="1:15" x14ac:dyDescent="0.25">
      <c r="A1751" s="1">
        <v>913676</v>
      </c>
      <c r="B1751" s="1" t="s">
        <v>24</v>
      </c>
      <c r="C1751" s="1" t="s">
        <v>25</v>
      </c>
      <c r="D1751" s="2">
        <v>44624.485863194444</v>
      </c>
      <c r="E1751" s="1" t="s">
        <v>11</v>
      </c>
      <c r="F1751" s="1">
        <v>1</v>
      </c>
      <c r="G1751" s="1">
        <v>0</v>
      </c>
      <c r="H1751" s="6">
        <f>INT(Query1[[#This Row],[EntryDateTime]])</f>
        <v>44624</v>
      </c>
      <c r="I1751" s="1">
        <f>IF(Query1[[#This Row],[ItemType]]="EVAP KIT SF GEN IV",Query1[[#This Row],[OrderQty]]+I1750,I1750)</f>
        <v>1997</v>
      </c>
      <c r="J1751" s="1">
        <f>IF(Query1[[#This Row],[ItemType]]="EVAP KIT UNIVERSAL",Query1[[#This Row],[OrderQty]]+J1750,J1750)</f>
        <v>885</v>
      </c>
      <c r="K1751" s="1">
        <f>Query1[[#This Row],[SF Running Total]]+Query1[[#This Row],[UNIV Running Total]]</f>
        <v>2882</v>
      </c>
      <c r="L1751">
        <f>VLOOKUP(Query1[[#This Row],[Description]],'kits to boards'!$B$2:$E$156,2,FALSE)</f>
        <v>830029</v>
      </c>
      <c r="M1751">
        <f>VLOOKUP(Query1[[#This Row],[Description]],'kits to boards'!$B$2:$E$156,3,FALSE)</f>
        <v>830030</v>
      </c>
      <c r="N1751">
        <f>VLOOKUP(Query1[[#This Row],[Description]],'kits to boards'!$B$2:$E$156,4,FALSE)</f>
        <v>0</v>
      </c>
      <c r="O1751" t="str">
        <f>CONCATENATE(Query1[[#This Row],[Description]]," - ",Query1[[#This Row],[MB1]]," - ",Query1[[#This Row],[MB2]]," - ",Query1[[#This Row],[MB3]])</f>
        <v>ComPac GEN II W/DEF - 830029 - 830030 - 0</v>
      </c>
    </row>
    <row r="1752" spans="1:15" x14ac:dyDescent="0.25">
      <c r="A1752" s="1">
        <v>913674</v>
      </c>
      <c r="B1752" s="1" t="s">
        <v>98</v>
      </c>
      <c r="C1752" s="1" t="s">
        <v>99</v>
      </c>
      <c r="D1752" s="2">
        <v>44624.499789467591</v>
      </c>
      <c r="E1752" s="1" t="s">
        <v>11</v>
      </c>
      <c r="F1752" s="1">
        <v>1</v>
      </c>
      <c r="G1752" s="1">
        <v>0</v>
      </c>
      <c r="H1752" s="6">
        <f>INT(Query1[[#This Row],[EntryDateTime]])</f>
        <v>44624</v>
      </c>
      <c r="I1752" s="1">
        <f>IF(Query1[[#This Row],[ItemType]]="EVAP KIT SF GEN IV",Query1[[#This Row],[OrderQty]]+I1751,I1751)</f>
        <v>1997</v>
      </c>
      <c r="J1752" s="1">
        <f>IF(Query1[[#This Row],[ItemType]]="EVAP KIT UNIVERSAL",Query1[[#This Row],[OrderQty]]+J1751,J1751)</f>
        <v>886</v>
      </c>
      <c r="K1752" s="1">
        <f>Query1[[#This Row],[SF Running Total]]+Query1[[#This Row],[UNIV Running Total]]</f>
        <v>2883</v>
      </c>
      <c r="L1752">
        <f>VLOOKUP(Query1[[#This Row],[Description]],'kits to boards'!$B$2:$E$156,2,FALSE)</f>
        <v>830099</v>
      </c>
      <c r="M1752">
        <f>VLOOKUP(Query1[[#This Row],[Description]],'kits to boards'!$B$2:$E$156,3,FALSE)</f>
        <v>0</v>
      </c>
      <c r="N1752">
        <f>VLOOKUP(Query1[[#This Row],[Description]],'kits to boards'!$B$2:$E$156,4,FALSE)</f>
        <v>0</v>
      </c>
      <c r="O1752" t="str">
        <f>CONCATENATE(Query1[[#This Row],[Description]]," - ",Query1[[#This Row],[MB1]]," - ",Query1[[#This Row],[MB2]]," - ",Query1[[#This Row],[MB3]])</f>
        <v>MINI GEN II W/DEF - 830099 - 0 - 0</v>
      </c>
    </row>
    <row r="1753" spans="1:15" x14ac:dyDescent="0.25">
      <c r="A1753" s="1">
        <v>913681</v>
      </c>
      <c r="B1753" s="1" t="s">
        <v>22</v>
      </c>
      <c r="C1753" s="1" t="s">
        <v>23</v>
      </c>
      <c r="D1753" s="2">
        <v>44624.517536111111</v>
      </c>
      <c r="E1753" s="1" t="s">
        <v>8</v>
      </c>
      <c r="F1753" s="1">
        <v>1</v>
      </c>
      <c r="G1753" s="1">
        <v>0</v>
      </c>
      <c r="H1753" s="6">
        <f>INT(Query1[[#This Row],[EntryDateTime]])</f>
        <v>44624</v>
      </c>
      <c r="I1753" s="1">
        <f>IF(Query1[[#This Row],[ItemType]]="EVAP KIT SF GEN IV",Query1[[#This Row],[OrderQty]]+I1752,I1752)</f>
        <v>1998</v>
      </c>
      <c r="J1753" s="1">
        <f>IF(Query1[[#This Row],[ItemType]]="EVAP KIT UNIVERSAL",Query1[[#This Row],[OrderQty]]+J1752,J1752)</f>
        <v>886</v>
      </c>
      <c r="K1753" s="1">
        <f>Query1[[#This Row],[SF Running Total]]+Query1[[#This Row],[UNIV Running Total]]</f>
        <v>2884</v>
      </c>
      <c r="L1753">
        <f>VLOOKUP(Query1[[#This Row],[Description]],'kits to boards'!$B$2:$E$156,2,FALSE)</f>
        <v>830083</v>
      </c>
      <c r="M1753">
        <f>VLOOKUP(Query1[[#This Row],[Description]],'kits to boards'!$B$2:$E$156,3,FALSE)</f>
        <v>0</v>
      </c>
      <c r="N1753">
        <f>VLOOKUP(Query1[[#This Row],[Description]],'kits to boards'!$B$2:$E$156,4,FALSE)</f>
        <v>0</v>
      </c>
      <c r="O1753" t="str">
        <f>CONCATENATE(Query1[[#This Row],[Description]]," - ",Query1[[#This Row],[MB1]]," - ",Query1[[#This Row],[MB2]]," - ",Query1[[#This Row],[MB3]])</f>
        <v>GEN IV MAGNUM EVAP KIT - 830083 - 0 - 0</v>
      </c>
    </row>
    <row r="1754" spans="1:15" x14ac:dyDescent="0.25">
      <c r="A1754" s="1">
        <v>913686</v>
      </c>
      <c r="B1754" s="1" t="s">
        <v>62</v>
      </c>
      <c r="C1754" s="1" t="s">
        <v>63</v>
      </c>
      <c r="D1754" s="2">
        <v>44624.52759189815</v>
      </c>
      <c r="E1754" s="1" t="s">
        <v>8</v>
      </c>
      <c r="F1754" s="1">
        <v>1</v>
      </c>
      <c r="G1754" s="1">
        <v>0</v>
      </c>
      <c r="H1754" s="6">
        <f>INT(Query1[[#This Row],[EntryDateTime]])</f>
        <v>44624</v>
      </c>
      <c r="I1754" s="1">
        <f>IF(Query1[[#This Row],[ItemType]]="EVAP KIT SF GEN IV",Query1[[#This Row],[OrderQty]]+I1753,I1753)</f>
        <v>1999</v>
      </c>
      <c r="J1754" s="1">
        <f>IF(Query1[[#This Row],[ItemType]]="EVAP KIT UNIVERSAL",Query1[[#This Row],[OrderQty]]+J1753,J1753)</f>
        <v>886</v>
      </c>
      <c r="K1754" s="1">
        <f>Query1[[#This Row],[SF Running Total]]+Query1[[#This Row],[UNIV Running Total]]</f>
        <v>2885</v>
      </c>
      <c r="L1754">
        <f>VLOOKUP(Query1[[#This Row],[Description]],'kits to boards'!$B$2:$E$156,2,FALSE)</f>
        <v>830079</v>
      </c>
      <c r="M1754">
        <f>VLOOKUP(Query1[[#This Row],[Description]],'kits to boards'!$B$2:$E$156,3,FALSE)</f>
        <v>830046</v>
      </c>
      <c r="N1754">
        <f>VLOOKUP(Query1[[#This Row],[Description]],'kits to boards'!$B$2:$E$156,4,FALSE)</f>
        <v>0</v>
      </c>
      <c r="O1754" t="str">
        <f>CONCATENATE(Query1[[#This Row],[Description]]," - ",Query1[[#This Row],[MB1]]," - ",Query1[[#This Row],[MB2]]," - ",Query1[[#This Row],[MB3]])</f>
        <v>EVAP KIT 67-68 MUSTANG/COUGAR WO AC - 830079 - 830046 - 0</v>
      </c>
    </row>
    <row r="1755" spans="1:15" x14ac:dyDescent="0.25">
      <c r="A1755" s="1">
        <v>913684</v>
      </c>
      <c r="B1755" s="1" t="s">
        <v>96</v>
      </c>
      <c r="C1755" s="1" t="s">
        <v>97</v>
      </c>
      <c r="D1755" s="2">
        <v>44624.528401076386</v>
      </c>
      <c r="E1755" s="1" t="s">
        <v>8</v>
      </c>
      <c r="F1755" s="1">
        <v>1</v>
      </c>
      <c r="G1755" s="1">
        <v>0</v>
      </c>
      <c r="H1755" s="6">
        <f>INT(Query1[[#This Row],[EntryDateTime]])</f>
        <v>44624</v>
      </c>
      <c r="I1755" s="1">
        <f>IF(Query1[[#This Row],[ItemType]]="EVAP KIT SF GEN IV",Query1[[#This Row],[OrderQty]]+I1754,I1754)</f>
        <v>2000</v>
      </c>
      <c r="J1755" s="1">
        <f>IF(Query1[[#This Row],[ItemType]]="EVAP KIT UNIVERSAL",Query1[[#This Row],[OrderQty]]+J1754,J1754)</f>
        <v>886</v>
      </c>
      <c r="K1755" s="1">
        <f>Query1[[#This Row],[SF Running Total]]+Query1[[#This Row],[UNIV Running Total]]</f>
        <v>2886</v>
      </c>
      <c r="L1755">
        <f>VLOOKUP(Query1[[#This Row],[Description]],'kits to boards'!$B$2:$E$156,2,FALSE)</f>
        <v>830004</v>
      </c>
      <c r="M1755">
        <f>VLOOKUP(Query1[[#This Row],[Description]],'kits to boards'!$B$2:$E$156,3,FALSE)</f>
        <v>0</v>
      </c>
      <c r="N1755">
        <f>VLOOKUP(Query1[[#This Row],[Description]],'kits to boards'!$B$2:$E$156,4,FALSE)</f>
        <v>0</v>
      </c>
      <c r="O1755" t="str">
        <f>CONCATENATE(Query1[[#This Row],[Description]]," - ",Query1[[#This Row],[MB1]]," - ",Query1[[#This Row],[MB2]]," - ",Query1[[#This Row],[MB3]])</f>
        <v>EVAP KIT 81-87 CHEV P-UP W/AC - 830004 - 0 - 0</v>
      </c>
    </row>
    <row r="1756" spans="1:15" x14ac:dyDescent="0.25">
      <c r="A1756" s="1">
        <v>913688</v>
      </c>
      <c r="B1756" s="1" t="s">
        <v>42</v>
      </c>
      <c r="C1756" s="1" t="s">
        <v>43</v>
      </c>
      <c r="D1756" s="2">
        <v>44624.541036261573</v>
      </c>
      <c r="E1756" s="1" t="s">
        <v>8</v>
      </c>
      <c r="F1756" s="1">
        <v>1</v>
      </c>
      <c r="G1756" s="1">
        <v>0</v>
      </c>
      <c r="H1756" s="6">
        <f>INT(Query1[[#This Row],[EntryDateTime]])</f>
        <v>44624</v>
      </c>
      <c r="I1756" s="1">
        <f>IF(Query1[[#This Row],[ItemType]]="EVAP KIT SF GEN IV",Query1[[#This Row],[OrderQty]]+I1755,I1755)</f>
        <v>2001</v>
      </c>
      <c r="J1756" s="1">
        <f>IF(Query1[[#This Row],[ItemType]]="EVAP KIT UNIVERSAL",Query1[[#This Row],[OrderQty]]+J1755,J1755)</f>
        <v>886</v>
      </c>
      <c r="K1756" s="1">
        <f>Query1[[#This Row],[SF Running Total]]+Query1[[#This Row],[UNIV Running Total]]</f>
        <v>2887</v>
      </c>
      <c r="L1756">
        <f>VLOOKUP(Query1[[#This Row],[Description]],'kits to boards'!$B$2:$E$156,2,FALSE)</f>
        <v>830014</v>
      </c>
      <c r="M1756">
        <f>VLOOKUP(Query1[[#This Row],[Description]],'kits to boards'!$B$2:$E$156,3,FALSE)</f>
        <v>0</v>
      </c>
      <c r="N1756">
        <f>VLOOKUP(Query1[[#This Row],[Description]],'kits to boards'!$B$2:$E$156,4,FALSE)</f>
        <v>0</v>
      </c>
      <c r="O1756" t="str">
        <f>CONCATENATE(Query1[[#This Row],[Description]]," - ",Query1[[#This Row],[MB1]]," - ",Query1[[#This Row],[MB2]]," - ",Query1[[#This Row],[MB3]])</f>
        <v>EVAP KIT 67-72 CHEV P-UP WO AC - 830014 - 0 - 0</v>
      </c>
    </row>
    <row r="1757" spans="1:15" x14ac:dyDescent="0.25">
      <c r="A1757" s="1">
        <v>913689</v>
      </c>
      <c r="B1757" s="1" t="s">
        <v>142</v>
      </c>
      <c r="C1757" s="1" t="s">
        <v>143</v>
      </c>
      <c r="D1757" s="2">
        <v>44624.541194756945</v>
      </c>
      <c r="E1757" s="1" t="s">
        <v>8</v>
      </c>
      <c r="F1757" s="1">
        <v>1</v>
      </c>
      <c r="G1757" s="1">
        <v>0</v>
      </c>
      <c r="H1757" s="6">
        <f>INT(Query1[[#This Row],[EntryDateTime]])</f>
        <v>44624</v>
      </c>
      <c r="I1757" s="1">
        <f>IF(Query1[[#This Row],[ItemType]]="EVAP KIT SF GEN IV",Query1[[#This Row],[OrderQty]]+I1756,I1756)</f>
        <v>2002</v>
      </c>
      <c r="J1757" s="1">
        <f>IF(Query1[[#This Row],[ItemType]]="EVAP KIT UNIVERSAL",Query1[[#This Row],[OrderQty]]+J1756,J1756)</f>
        <v>886</v>
      </c>
      <c r="K1757" s="1">
        <f>Query1[[#This Row],[SF Running Total]]+Query1[[#This Row],[UNIV Running Total]]</f>
        <v>2888</v>
      </c>
      <c r="L1757">
        <f>VLOOKUP(Query1[[#This Row],[Description]],'kits to boards'!$B$2:$E$156,2,FALSE)</f>
        <v>830052</v>
      </c>
      <c r="M1757">
        <f>VLOOKUP(Query1[[#This Row],[Description]],'kits to boards'!$B$2:$E$156,3,FALSE)</f>
        <v>0</v>
      </c>
      <c r="N1757">
        <f>VLOOKUP(Query1[[#This Row],[Description]],'kits to boards'!$B$2:$E$156,4,FALSE)</f>
        <v>0</v>
      </c>
      <c r="O1757" t="str">
        <f>CONCATENATE(Query1[[#This Row],[Description]]," - ",Query1[[#This Row],[MB1]]," - ",Query1[[#This Row],[MB2]]," - ",Query1[[#This Row],[MB3]])</f>
        <v>EVAP KIT 61-64 FORD F-100 - 830052 - 0 - 0</v>
      </c>
    </row>
    <row r="1758" spans="1:15" x14ac:dyDescent="0.25">
      <c r="A1758" s="1">
        <v>913693</v>
      </c>
      <c r="B1758" s="1" t="s">
        <v>283</v>
      </c>
      <c r="C1758" s="1" t="s">
        <v>284</v>
      </c>
      <c r="D1758" s="2">
        <v>44624.55801990741</v>
      </c>
      <c r="E1758" s="1" t="s">
        <v>8</v>
      </c>
      <c r="F1758" s="1">
        <v>1</v>
      </c>
      <c r="G1758" s="1">
        <v>0</v>
      </c>
      <c r="H1758" s="6">
        <f>INT(Query1[[#This Row],[EntryDateTime]])</f>
        <v>44624</v>
      </c>
      <c r="I1758" s="1">
        <f>IF(Query1[[#This Row],[ItemType]]="EVAP KIT SF GEN IV",Query1[[#This Row],[OrderQty]]+I1757,I1757)</f>
        <v>2003</v>
      </c>
      <c r="J1758" s="1">
        <f>IF(Query1[[#This Row],[ItemType]]="EVAP KIT UNIVERSAL",Query1[[#This Row],[OrderQty]]+J1757,J1757)</f>
        <v>886</v>
      </c>
      <c r="K1758" s="1">
        <f>Query1[[#This Row],[SF Running Total]]+Query1[[#This Row],[UNIV Running Total]]</f>
        <v>2889</v>
      </c>
      <c r="L1758">
        <f>VLOOKUP(Query1[[#This Row],[Description]],'kits to boards'!$B$2:$E$156,2,FALSE)</f>
        <v>830033</v>
      </c>
      <c r="M1758">
        <f>VLOOKUP(Query1[[#This Row],[Description]],'kits to boards'!$B$2:$E$156,3,FALSE)</f>
        <v>0</v>
      </c>
      <c r="N1758">
        <f>VLOOKUP(Query1[[#This Row],[Description]],'kits to boards'!$B$2:$E$156,4,FALSE)</f>
        <v>0</v>
      </c>
      <c r="O1758" t="str">
        <f>CONCATENATE(Query1[[#This Row],[Description]]," - ",Query1[[#This Row],[MB1]]," - ",Query1[[#This Row],[MB2]]," - ",Query1[[#This Row],[MB3]])</f>
        <v>EVAP KIT 66-67 CHARGER/CORONET WO AC - 830033 - 0 - 0</v>
      </c>
    </row>
    <row r="1759" spans="1:15" x14ac:dyDescent="0.25">
      <c r="A1759" s="1">
        <v>913475</v>
      </c>
      <c r="B1759" s="1" t="s">
        <v>44</v>
      </c>
      <c r="C1759" s="1" t="s">
        <v>45</v>
      </c>
      <c r="D1759" s="2">
        <v>44624.567629201389</v>
      </c>
      <c r="E1759" s="1" t="s">
        <v>8</v>
      </c>
      <c r="F1759" s="1">
        <v>10</v>
      </c>
      <c r="G1759" s="1">
        <v>0</v>
      </c>
      <c r="H1759" s="6">
        <f>INT(Query1[[#This Row],[EntryDateTime]])</f>
        <v>44624</v>
      </c>
      <c r="I1759" s="1">
        <f>IF(Query1[[#This Row],[ItemType]]="EVAP KIT SF GEN IV",Query1[[#This Row],[OrderQty]]+I1758,I1758)</f>
        <v>2013</v>
      </c>
      <c r="J1759" s="1">
        <f>IF(Query1[[#This Row],[ItemType]]="EVAP KIT UNIVERSAL",Query1[[#This Row],[OrderQty]]+J1758,J1758)</f>
        <v>886</v>
      </c>
      <c r="K1759" s="1">
        <f>Query1[[#This Row],[SF Running Total]]+Query1[[#This Row],[UNIV Running Total]]</f>
        <v>2899</v>
      </c>
      <c r="L1759">
        <f>VLOOKUP(Query1[[#This Row],[Description]],'kits to boards'!$B$2:$E$156,2,FALSE)</f>
        <v>830085</v>
      </c>
      <c r="M1759">
        <f>VLOOKUP(Query1[[#This Row],[Description]],'kits to boards'!$B$2:$E$156,3,FALSE)</f>
        <v>0</v>
      </c>
      <c r="N1759">
        <f>VLOOKUP(Query1[[#This Row],[Description]],'kits to boards'!$B$2:$E$156,4,FALSE)</f>
        <v>0</v>
      </c>
      <c r="O1759" t="str">
        <f>CONCATENATE(Query1[[#This Row],[Description]]," - ",Query1[[#This Row],[MB1]]," - ",Query1[[#This Row],[MB2]]," - ",Query1[[#This Row],[MB3]])</f>
        <v>EVAP KIT 66-77 BRONCO - 830085 - 0 - 0</v>
      </c>
    </row>
    <row r="1760" spans="1:15" x14ac:dyDescent="0.25">
      <c r="A1760" s="1">
        <v>913475</v>
      </c>
      <c r="B1760" s="1" t="s">
        <v>84</v>
      </c>
      <c r="C1760" s="1" t="s">
        <v>85</v>
      </c>
      <c r="D1760" s="2">
        <v>44624.567629201389</v>
      </c>
      <c r="E1760" s="1" t="s">
        <v>8</v>
      </c>
      <c r="F1760" s="1">
        <v>3</v>
      </c>
      <c r="G1760" s="1">
        <v>0</v>
      </c>
      <c r="H1760" s="6">
        <f>INT(Query1[[#This Row],[EntryDateTime]])</f>
        <v>44624</v>
      </c>
      <c r="I1760" s="1">
        <f>IF(Query1[[#This Row],[ItemType]]="EVAP KIT SF GEN IV",Query1[[#This Row],[OrderQty]]+I1759,I1759)</f>
        <v>2016</v>
      </c>
      <c r="J1760" s="1">
        <f>IF(Query1[[#This Row],[ItemType]]="EVAP KIT UNIVERSAL",Query1[[#This Row],[OrderQty]]+J1759,J1759)</f>
        <v>886</v>
      </c>
      <c r="K1760" s="1">
        <f>Query1[[#This Row],[SF Running Total]]+Query1[[#This Row],[UNIV Running Total]]</f>
        <v>2902</v>
      </c>
      <c r="L1760">
        <f>VLOOKUP(Query1[[#This Row],[Description]],'kits to boards'!$B$2:$E$156,2,FALSE)</f>
        <v>830085</v>
      </c>
      <c r="M1760">
        <f>VLOOKUP(Query1[[#This Row],[Description]],'kits to boards'!$B$2:$E$156,3,FALSE)</f>
        <v>0</v>
      </c>
      <c r="N1760">
        <f>VLOOKUP(Query1[[#This Row],[Description]],'kits to boards'!$B$2:$E$156,4,FALSE)</f>
        <v>0</v>
      </c>
      <c r="O1760" t="str">
        <f>CONCATENATE(Query1[[#This Row],[Description]]," - ",Query1[[#This Row],[MB1]]," - ",Query1[[#This Row],[MB2]]," - ",Query1[[#This Row],[MB3]])</f>
        <v>EVAP KIT 66-77 BRONCO 4-VENT PLENUM - 830085 - 0 - 0</v>
      </c>
    </row>
    <row r="1761" spans="1:15" x14ac:dyDescent="0.25">
      <c r="A1761" s="1">
        <v>913447</v>
      </c>
      <c r="B1761" s="1" t="s">
        <v>152</v>
      </c>
      <c r="C1761" s="1" t="s">
        <v>153</v>
      </c>
      <c r="D1761" s="2">
        <v>44624.573316585651</v>
      </c>
      <c r="E1761" s="1" t="s">
        <v>8</v>
      </c>
      <c r="F1761" s="1">
        <v>1</v>
      </c>
      <c r="G1761" s="1">
        <v>0</v>
      </c>
      <c r="H1761" s="6">
        <f>INT(Query1[[#This Row],[EntryDateTime]])</f>
        <v>44624</v>
      </c>
      <c r="I1761" s="1">
        <f>IF(Query1[[#This Row],[ItemType]]="EVAP KIT SF GEN IV",Query1[[#This Row],[OrderQty]]+I1760,I1760)</f>
        <v>2017</v>
      </c>
      <c r="J1761" s="1">
        <f>IF(Query1[[#This Row],[ItemType]]="EVAP KIT UNIVERSAL",Query1[[#This Row],[OrderQty]]+J1760,J1760)</f>
        <v>886</v>
      </c>
      <c r="K1761" s="1">
        <f>Query1[[#This Row],[SF Running Total]]+Query1[[#This Row],[UNIV Running Total]]</f>
        <v>2903</v>
      </c>
      <c r="L1761">
        <f>VLOOKUP(Query1[[#This Row],[Description]],'kits to boards'!$B$2:$E$156,2,FALSE)</f>
        <v>830034</v>
      </c>
      <c r="M1761">
        <f>VLOOKUP(Query1[[#This Row],[Description]],'kits to boards'!$B$2:$E$156,3,FALSE)</f>
        <v>0</v>
      </c>
      <c r="N1761">
        <f>VLOOKUP(Query1[[#This Row],[Description]],'kits to boards'!$B$2:$E$156,4,FALSE)</f>
        <v>0</v>
      </c>
      <c r="O1761" t="str">
        <f>CONCATENATE(Query1[[#This Row],[Description]]," - ",Query1[[#This Row],[MB1]]," - ",Query1[[#This Row],[MB2]]," - ",Query1[[#This Row],[MB3]])</f>
        <v>EVAP KIT 64-67 GTO WO AC - 830034 - 0 - 0</v>
      </c>
    </row>
    <row r="1762" spans="1:15" x14ac:dyDescent="0.25">
      <c r="A1762" s="1">
        <v>913700</v>
      </c>
      <c r="B1762" s="1" t="s">
        <v>9</v>
      </c>
      <c r="C1762" s="1" t="s">
        <v>10</v>
      </c>
      <c r="D1762" s="2">
        <v>44624.57634915509</v>
      </c>
      <c r="E1762" s="1" t="s">
        <v>11</v>
      </c>
      <c r="F1762" s="1">
        <v>1</v>
      </c>
      <c r="G1762" s="1">
        <v>0</v>
      </c>
      <c r="H1762" s="6">
        <f>INT(Query1[[#This Row],[EntryDateTime]])</f>
        <v>44624</v>
      </c>
      <c r="I1762" s="1">
        <f>IF(Query1[[#This Row],[ItemType]]="EVAP KIT SF GEN IV",Query1[[#This Row],[OrderQty]]+I1761,I1761)</f>
        <v>2017</v>
      </c>
      <c r="J1762" s="1">
        <f>IF(Query1[[#This Row],[ItemType]]="EVAP KIT UNIVERSAL",Query1[[#This Row],[OrderQty]]+J1761,J1761)</f>
        <v>887</v>
      </c>
      <c r="K1762" s="1">
        <f>Query1[[#This Row],[SF Running Total]]+Query1[[#This Row],[UNIV Running Total]]</f>
        <v>2904</v>
      </c>
      <c r="L1762">
        <f>VLOOKUP(Query1[[#This Row],[Description]],'kits to boards'!$B$2:$E$156,2,FALSE)</f>
        <v>830069</v>
      </c>
      <c r="M1762">
        <f>VLOOKUP(Query1[[#This Row],[Description]],'kits to boards'!$B$2:$E$156,3,FALSE)</f>
        <v>0</v>
      </c>
      <c r="N1762">
        <f>VLOOKUP(Query1[[#This Row],[Description]],'kits to boards'!$B$2:$E$156,4,FALSE)</f>
        <v>0</v>
      </c>
      <c r="O1762" t="str">
        <f>CONCATENATE(Query1[[#This Row],[Description]]," - ",Query1[[#This Row],[MB1]]," - ",Query1[[#This Row],[MB2]]," - ",Query1[[#This Row],[MB3]])</f>
        <v>SLIMLINE H/C W/DEF STD LOUVER - 830069 - 0 - 0</v>
      </c>
    </row>
    <row r="1763" spans="1:15" x14ac:dyDescent="0.25">
      <c r="A1763" s="1">
        <v>913700</v>
      </c>
      <c r="B1763" s="1" t="s">
        <v>188</v>
      </c>
      <c r="C1763" s="1" t="s">
        <v>189</v>
      </c>
      <c r="D1763" s="2">
        <v>44624.576471956017</v>
      </c>
      <c r="E1763" s="1" t="s">
        <v>11</v>
      </c>
      <c r="F1763" s="1">
        <v>1</v>
      </c>
      <c r="G1763" s="1">
        <v>0</v>
      </c>
      <c r="H1763" s="6">
        <f>INT(Query1[[#This Row],[EntryDateTime]])</f>
        <v>44624</v>
      </c>
      <c r="I1763" s="1">
        <f>IF(Query1[[#This Row],[ItemType]]="EVAP KIT SF GEN IV",Query1[[#This Row],[OrderQty]]+I1762,I1762)</f>
        <v>2017</v>
      </c>
      <c r="J1763" s="1">
        <f>IF(Query1[[#This Row],[ItemType]]="EVAP KIT UNIVERSAL",Query1[[#This Row],[OrderQty]]+J1762,J1762)</f>
        <v>888</v>
      </c>
      <c r="K1763" s="1">
        <f>Query1[[#This Row],[SF Running Total]]+Query1[[#This Row],[UNIV Running Total]]</f>
        <v>2905</v>
      </c>
      <c r="L1763">
        <f>VLOOKUP(Query1[[#This Row],[Description]],'kits to boards'!$B$2:$E$156,2,FALSE)</f>
        <v>830069</v>
      </c>
      <c r="M1763">
        <f>VLOOKUP(Query1[[#This Row],[Description]],'kits to boards'!$B$2:$E$156,3,FALSE)</f>
        <v>0</v>
      </c>
      <c r="N1763">
        <f>VLOOKUP(Query1[[#This Row],[Description]],'kits to boards'!$B$2:$E$156,4,FALSE)</f>
        <v>0</v>
      </c>
      <c r="O1763" t="str">
        <f>CONCATENATE(Query1[[#This Row],[Description]]," - ",Query1[[#This Row],[MB1]]," - ",Query1[[#This Row],[MB2]]," - ",Query1[[#This Row],[MB3]])</f>
        <v>SLIMLINE H/C STD LOUVER - 830069 - 0 - 0</v>
      </c>
    </row>
    <row r="1764" spans="1:15" x14ac:dyDescent="0.25">
      <c r="A1764" s="1">
        <v>913710</v>
      </c>
      <c r="B1764" s="1" t="s">
        <v>152</v>
      </c>
      <c r="C1764" s="1" t="s">
        <v>153</v>
      </c>
      <c r="D1764" s="2">
        <v>44624.592148414355</v>
      </c>
      <c r="E1764" s="1" t="s">
        <v>8</v>
      </c>
      <c r="F1764" s="1">
        <v>1</v>
      </c>
      <c r="G1764" s="1">
        <v>0</v>
      </c>
      <c r="H1764" s="6">
        <f>INT(Query1[[#This Row],[EntryDateTime]])</f>
        <v>44624</v>
      </c>
      <c r="I1764" s="1">
        <f>IF(Query1[[#This Row],[ItemType]]="EVAP KIT SF GEN IV",Query1[[#This Row],[OrderQty]]+I1763,I1763)</f>
        <v>2018</v>
      </c>
      <c r="J1764" s="1">
        <f>IF(Query1[[#This Row],[ItemType]]="EVAP KIT UNIVERSAL",Query1[[#This Row],[OrderQty]]+J1763,J1763)</f>
        <v>888</v>
      </c>
      <c r="K1764" s="1">
        <f>Query1[[#This Row],[SF Running Total]]+Query1[[#This Row],[UNIV Running Total]]</f>
        <v>2906</v>
      </c>
      <c r="L1764">
        <f>VLOOKUP(Query1[[#This Row],[Description]],'kits to boards'!$B$2:$E$156,2,FALSE)</f>
        <v>830034</v>
      </c>
      <c r="M1764">
        <f>VLOOKUP(Query1[[#This Row],[Description]],'kits to boards'!$B$2:$E$156,3,FALSE)</f>
        <v>0</v>
      </c>
      <c r="N1764">
        <f>VLOOKUP(Query1[[#This Row],[Description]],'kits to boards'!$B$2:$E$156,4,FALSE)</f>
        <v>0</v>
      </c>
      <c r="O1764" t="str">
        <f>CONCATENATE(Query1[[#This Row],[Description]]," - ",Query1[[#This Row],[MB1]]," - ",Query1[[#This Row],[MB2]]," - ",Query1[[#This Row],[MB3]])</f>
        <v>EVAP KIT 64-67 GTO WO AC - 830034 - 0 - 0</v>
      </c>
    </row>
    <row r="1765" spans="1:15" x14ac:dyDescent="0.25">
      <c r="A1765" s="1">
        <v>913713</v>
      </c>
      <c r="B1765" s="1" t="s">
        <v>62</v>
      </c>
      <c r="C1765" s="1" t="s">
        <v>63</v>
      </c>
      <c r="D1765" s="2">
        <v>44624.596587268519</v>
      </c>
      <c r="E1765" s="1" t="s">
        <v>8</v>
      </c>
      <c r="F1765" s="1">
        <v>1</v>
      </c>
      <c r="G1765" s="1">
        <v>0</v>
      </c>
      <c r="H1765" s="6">
        <f>INT(Query1[[#This Row],[EntryDateTime]])</f>
        <v>44624</v>
      </c>
      <c r="I1765" s="1">
        <f>IF(Query1[[#This Row],[ItemType]]="EVAP KIT SF GEN IV",Query1[[#This Row],[OrderQty]]+I1764,I1764)</f>
        <v>2019</v>
      </c>
      <c r="J1765" s="1">
        <f>IF(Query1[[#This Row],[ItemType]]="EVAP KIT UNIVERSAL",Query1[[#This Row],[OrderQty]]+J1764,J1764)</f>
        <v>888</v>
      </c>
      <c r="K1765" s="1">
        <f>Query1[[#This Row],[SF Running Total]]+Query1[[#This Row],[UNIV Running Total]]</f>
        <v>2907</v>
      </c>
      <c r="L1765">
        <f>VLOOKUP(Query1[[#This Row],[Description]],'kits to boards'!$B$2:$E$156,2,FALSE)</f>
        <v>830079</v>
      </c>
      <c r="M1765">
        <f>VLOOKUP(Query1[[#This Row],[Description]],'kits to boards'!$B$2:$E$156,3,FALSE)</f>
        <v>830046</v>
      </c>
      <c r="N1765">
        <f>VLOOKUP(Query1[[#This Row],[Description]],'kits to boards'!$B$2:$E$156,4,FALSE)</f>
        <v>0</v>
      </c>
      <c r="O1765" t="str">
        <f>CONCATENATE(Query1[[#This Row],[Description]]," - ",Query1[[#This Row],[MB1]]," - ",Query1[[#This Row],[MB2]]," - ",Query1[[#This Row],[MB3]])</f>
        <v>EVAP KIT 67-68 MUSTANG/COUGAR WO AC - 830079 - 830046 - 0</v>
      </c>
    </row>
    <row r="1766" spans="1:15" x14ac:dyDescent="0.25">
      <c r="A1766" s="1">
        <v>913715</v>
      </c>
      <c r="B1766" s="1" t="s">
        <v>44</v>
      </c>
      <c r="C1766" s="1" t="s">
        <v>45</v>
      </c>
      <c r="D1766" s="2">
        <v>44624.599715393517</v>
      </c>
      <c r="E1766" s="1" t="s">
        <v>8</v>
      </c>
      <c r="F1766" s="1">
        <v>1</v>
      </c>
      <c r="G1766" s="1">
        <v>0</v>
      </c>
      <c r="H1766" s="6">
        <f>INT(Query1[[#This Row],[EntryDateTime]])</f>
        <v>44624</v>
      </c>
      <c r="I1766" s="1">
        <f>IF(Query1[[#This Row],[ItemType]]="EVAP KIT SF GEN IV",Query1[[#This Row],[OrderQty]]+I1765,I1765)</f>
        <v>2020</v>
      </c>
      <c r="J1766" s="1">
        <f>IF(Query1[[#This Row],[ItemType]]="EVAP KIT UNIVERSAL",Query1[[#This Row],[OrderQty]]+J1765,J1765)</f>
        <v>888</v>
      </c>
      <c r="K1766" s="1">
        <f>Query1[[#This Row],[SF Running Total]]+Query1[[#This Row],[UNIV Running Total]]</f>
        <v>2908</v>
      </c>
      <c r="L1766">
        <f>VLOOKUP(Query1[[#This Row],[Description]],'kits to boards'!$B$2:$E$156,2,FALSE)</f>
        <v>830085</v>
      </c>
      <c r="M1766">
        <f>VLOOKUP(Query1[[#This Row],[Description]],'kits to boards'!$B$2:$E$156,3,FALSE)</f>
        <v>0</v>
      </c>
      <c r="N1766">
        <f>VLOOKUP(Query1[[#This Row],[Description]],'kits to boards'!$B$2:$E$156,4,FALSE)</f>
        <v>0</v>
      </c>
      <c r="O1766" t="str">
        <f>CONCATENATE(Query1[[#This Row],[Description]]," - ",Query1[[#This Row],[MB1]]," - ",Query1[[#This Row],[MB2]]," - ",Query1[[#This Row],[MB3]])</f>
        <v>EVAP KIT 66-77 BRONCO - 830085 - 0 - 0</v>
      </c>
    </row>
    <row r="1767" spans="1:15" x14ac:dyDescent="0.25">
      <c r="A1767" s="1">
        <v>913700</v>
      </c>
      <c r="B1767" s="1" t="s">
        <v>134</v>
      </c>
      <c r="C1767" s="1" t="s">
        <v>135</v>
      </c>
      <c r="D1767" s="2">
        <v>44624.609667673612</v>
      </c>
      <c r="E1767" s="1" t="s">
        <v>8</v>
      </c>
      <c r="F1767" s="1">
        <v>1</v>
      </c>
      <c r="G1767" s="1">
        <v>0</v>
      </c>
      <c r="H1767" s="6">
        <f>INT(Query1[[#This Row],[EntryDateTime]])</f>
        <v>44624</v>
      </c>
      <c r="I1767" s="1">
        <f>IF(Query1[[#This Row],[ItemType]]="EVAP KIT SF GEN IV",Query1[[#This Row],[OrderQty]]+I1766,I1766)</f>
        <v>2021</v>
      </c>
      <c r="J1767" s="1">
        <f>IF(Query1[[#This Row],[ItemType]]="EVAP KIT UNIVERSAL",Query1[[#This Row],[OrderQty]]+J1766,J1766)</f>
        <v>888</v>
      </c>
      <c r="K1767" s="1">
        <f>Query1[[#This Row],[SF Running Total]]+Query1[[#This Row],[UNIV Running Total]]</f>
        <v>2909</v>
      </c>
      <c r="L1767">
        <f>VLOOKUP(Query1[[#This Row],[Description]],'kits to boards'!$B$2:$E$156,2,FALSE)</f>
        <v>830007</v>
      </c>
      <c r="M1767">
        <f>VLOOKUP(Query1[[#This Row],[Description]],'kits to boards'!$B$2:$E$156,3,FALSE)</f>
        <v>0</v>
      </c>
      <c r="N1767">
        <f>VLOOKUP(Query1[[#This Row],[Description]],'kits to boards'!$B$2:$E$156,4,FALSE)</f>
        <v>0</v>
      </c>
      <c r="O1767" t="str">
        <f>CONCATENATE(Query1[[#This Row],[Description]]," - ",Query1[[#This Row],[MB1]]," - ",Query1[[#This Row],[MB2]]," - ",Query1[[#This Row],[MB3]])</f>
        <v>EVAP KIT 64 IMPALA WO AC - 830007 - 0 - 0</v>
      </c>
    </row>
    <row r="1768" spans="1:15" x14ac:dyDescent="0.25">
      <c r="A1768" s="1">
        <v>913721</v>
      </c>
      <c r="B1768" s="1" t="s">
        <v>168</v>
      </c>
      <c r="C1768" s="1" t="s">
        <v>169</v>
      </c>
      <c r="D1768" s="2">
        <v>44624.611800925923</v>
      </c>
      <c r="E1768" s="1" t="s">
        <v>8</v>
      </c>
      <c r="F1768" s="1">
        <v>1</v>
      </c>
      <c r="G1768" s="1">
        <v>0</v>
      </c>
      <c r="H1768" s="6">
        <f>INT(Query1[[#This Row],[EntryDateTime]])</f>
        <v>44624</v>
      </c>
      <c r="I1768" s="1">
        <f>IF(Query1[[#This Row],[ItemType]]="EVAP KIT SF GEN IV",Query1[[#This Row],[OrderQty]]+I1767,I1767)</f>
        <v>2022</v>
      </c>
      <c r="J1768" s="1">
        <f>IF(Query1[[#This Row],[ItemType]]="EVAP KIT UNIVERSAL",Query1[[#This Row],[OrderQty]]+J1767,J1767)</f>
        <v>888</v>
      </c>
      <c r="K1768" s="1">
        <f>Query1[[#This Row],[SF Running Total]]+Query1[[#This Row],[UNIV Running Total]]</f>
        <v>2910</v>
      </c>
      <c r="L1768">
        <f>VLOOKUP(Query1[[#This Row],[Description]],'kits to boards'!$B$2:$E$156,2,FALSE)</f>
        <v>830028</v>
      </c>
      <c r="M1768">
        <f>VLOOKUP(Query1[[#This Row],[Description]],'kits to boards'!$B$2:$E$156,3,FALSE)</f>
        <v>0</v>
      </c>
      <c r="N1768">
        <f>VLOOKUP(Query1[[#This Row],[Description]],'kits to boards'!$B$2:$E$156,4,FALSE)</f>
        <v>0</v>
      </c>
      <c r="O1768" t="str">
        <f>CONCATENATE(Query1[[#This Row],[Description]]," - ",Query1[[#This Row],[MB1]]," - ",Query1[[#This Row],[MB2]]," - ",Query1[[#This Row],[MB3]])</f>
        <v>EVAP KIT 55-59 CHEV P-UP WO AC W/STD  - 830028 - 0 - 0</v>
      </c>
    </row>
    <row r="1769" spans="1:15" x14ac:dyDescent="0.25">
      <c r="A1769" s="1">
        <v>913722</v>
      </c>
      <c r="B1769" s="1" t="s">
        <v>74</v>
      </c>
      <c r="C1769" s="1" t="s">
        <v>75</v>
      </c>
      <c r="D1769" s="2">
        <v>44624.612298495369</v>
      </c>
      <c r="E1769" s="1" t="s">
        <v>8</v>
      </c>
      <c r="F1769" s="1">
        <v>1</v>
      </c>
      <c r="G1769" s="1">
        <v>0</v>
      </c>
      <c r="H1769" s="6">
        <f>INT(Query1[[#This Row],[EntryDateTime]])</f>
        <v>44624</v>
      </c>
      <c r="I1769" s="1">
        <f>IF(Query1[[#This Row],[ItemType]]="EVAP KIT SF GEN IV",Query1[[#This Row],[OrderQty]]+I1768,I1768)</f>
        <v>2023</v>
      </c>
      <c r="J1769" s="1">
        <f>IF(Query1[[#This Row],[ItemType]]="EVAP KIT UNIVERSAL",Query1[[#This Row],[OrderQty]]+J1768,J1768)</f>
        <v>888</v>
      </c>
      <c r="K1769" s="1">
        <f>Query1[[#This Row],[SF Running Total]]+Query1[[#This Row],[UNIV Running Total]]</f>
        <v>2911</v>
      </c>
      <c r="L1769">
        <f>VLOOKUP(Query1[[#This Row],[Description]],'kits to boards'!$B$2:$E$156,2,FALSE)</f>
        <v>830065</v>
      </c>
      <c r="M1769">
        <f>VLOOKUP(Query1[[#This Row],[Description]],'kits to boards'!$B$2:$E$156,3,FALSE)</f>
        <v>0</v>
      </c>
      <c r="N1769">
        <f>VLOOKUP(Query1[[#This Row],[Description]],'kits to boards'!$B$2:$E$156,4,FALSE)</f>
        <v>0</v>
      </c>
      <c r="O1769" t="str">
        <f>CONCATENATE(Query1[[#This Row],[Description]]," - ",Query1[[#This Row],[MB1]]," - ",Query1[[#This Row],[MB2]]," - ",Query1[[#This Row],[MB3]])</f>
        <v>EVAP KIT 57 CHEV WO AC 4-VENT PLENUM - 830065 - 0 - 0</v>
      </c>
    </row>
    <row r="1770" spans="1:15" x14ac:dyDescent="0.25">
      <c r="A1770" s="1">
        <v>913724</v>
      </c>
      <c r="B1770" s="1" t="s">
        <v>68</v>
      </c>
      <c r="C1770" s="1" t="s">
        <v>69</v>
      </c>
      <c r="D1770" s="2">
        <v>44624.614037928244</v>
      </c>
      <c r="E1770" s="1" t="s">
        <v>8</v>
      </c>
      <c r="F1770" s="1">
        <v>1</v>
      </c>
      <c r="G1770" s="1">
        <v>0</v>
      </c>
      <c r="H1770" s="6">
        <f>INT(Query1[[#This Row],[EntryDateTime]])</f>
        <v>44624</v>
      </c>
      <c r="I1770" s="1">
        <f>IF(Query1[[#This Row],[ItemType]]="EVAP KIT SF GEN IV",Query1[[#This Row],[OrderQty]]+I1769,I1769)</f>
        <v>2024</v>
      </c>
      <c r="J1770" s="1">
        <f>IF(Query1[[#This Row],[ItemType]]="EVAP KIT UNIVERSAL",Query1[[#This Row],[OrderQty]]+J1769,J1769)</f>
        <v>888</v>
      </c>
      <c r="K1770" s="1">
        <f>Query1[[#This Row],[SF Running Total]]+Query1[[#This Row],[UNIV Running Total]]</f>
        <v>2912</v>
      </c>
      <c r="L1770">
        <f>VLOOKUP(Query1[[#This Row],[Description]],'kits to boards'!$B$2:$E$156,2,FALSE)</f>
        <v>830010</v>
      </c>
      <c r="M1770">
        <f>VLOOKUP(Query1[[#This Row],[Description]],'kits to boards'!$B$2:$E$156,3,FALSE)</f>
        <v>0</v>
      </c>
      <c r="N1770">
        <f>VLOOKUP(Query1[[#This Row],[Description]],'kits to boards'!$B$2:$E$156,4,FALSE)</f>
        <v>0</v>
      </c>
      <c r="O1770" t="str">
        <f>CONCATENATE(Query1[[#This Row],[Description]]," - ",Query1[[#This Row],[MB1]]," - ",Query1[[#This Row],[MB2]]," - ",Query1[[#This Row],[MB3]])</f>
        <v>EVAP KIT 70-72 CHEVELLE WO AC - 830010 - 0 - 0</v>
      </c>
    </row>
    <row r="1771" spans="1:15" x14ac:dyDescent="0.25">
      <c r="A1771" s="1">
        <v>913537</v>
      </c>
      <c r="B1771" s="1" t="s">
        <v>194</v>
      </c>
      <c r="C1771" s="1" t="s">
        <v>195</v>
      </c>
      <c r="D1771" s="2">
        <v>44624.614566203702</v>
      </c>
      <c r="E1771" s="1" t="s">
        <v>8</v>
      </c>
      <c r="F1771" s="1">
        <v>1</v>
      </c>
      <c r="G1771" s="1">
        <v>0</v>
      </c>
      <c r="H1771" s="6">
        <f>INT(Query1[[#This Row],[EntryDateTime]])</f>
        <v>44624</v>
      </c>
      <c r="I1771" s="1">
        <f>IF(Query1[[#This Row],[ItemType]]="EVAP KIT SF GEN IV",Query1[[#This Row],[OrderQty]]+I1770,I1770)</f>
        <v>2025</v>
      </c>
      <c r="J1771" s="1">
        <f>IF(Query1[[#This Row],[ItemType]]="EVAP KIT UNIVERSAL",Query1[[#This Row],[OrderQty]]+J1770,J1770)</f>
        <v>888</v>
      </c>
      <c r="K1771" s="1">
        <f>Query1[[#This Row],[SF Running Total]]+Query1[[#This Row],[UNIV Running Total]]</f>
        <v>2913</v>
      </c>
      <c r="L1771">
        <f>VLOOKUP(Query1[[#This Row],[Description]],'kits to boards'!$B$2:$E$156,2,FALSE)</f>
        <v>830103</v>
      </c>
      <c r="M1771">
        <f>VLOOKUP(Query1[[#This Row],[Description]],'kits to boards'!$B$2:$E$156,3,FALSE)</f>
        <v>0</v>
      </c>
      <c r="N1771">
        <f>VLOOKUP(Query1[[#This Row],[Description]],'kits to boards'!$B$2:$E$156,4,FALSE)</f>
        <v>0</v>
      </c>
      <c r="O1771" t="str">
        <f>CONCATENATE(Query1[[#This Row],[Description]]," - ",Query1[[#This Row],[MB1]]," - ",Query1[[#This Row],[MB2]]," - ",Query1[[#This Row],[MB3]])</f>
        <v>EVAP KIT 78-82 VETTE W/AC - 830103 - 0 - 0</v>
      </c>
    </row>
    <row r="1772" spans="1:15" x14ac:dyDescent="0.25">
      <c r="A1772" s="1">
        <v>913700</v>
      </c>
      <c r="B1772" s="1" t="s">
        <v>22</v>
      </c>
      <c r="C1772" s="1" t="s">
        <v>23</v>
      </c>
      <c r="D1772" s="2">
        <v>44624.616804016201</v>
      </c>
      <c r="E1772" s="1" t="s">
        <v>8</v>
      </c>
      <c r="F1772" s="1">
        <v>1</v>
      </c>
      <c r="G1772" s="1">
        <v>0</v>
      </c>
      <c r="H1772" s="6">
        <f>INT(Query1[[#This Row],[EntryDateTime]])</f>
        <v>44624</v>
      </c>
      <c r="I1772" s="1">
        <f>IF(Query1[[#This Row],[ItemType]]="EVAP KIT SF GEN IV",Query1[[#This Row],[OrderQty]]+I1771,I1771)</f>
        <v>2026</v>
      </c>
      <c r="J1772" s="1">
        <f>IF(Query1[[#This Row],[ItemType]]="EVAP KIT UNIVERSAL",Query1[[#This Row],[OrderQty]]+J1771,J1771)</f>
        <v>888</v>
      </c>
      <c r="K1772" s="1">
        <f>Query1[[#This Row],[SF Running Total]]+Query1[[#This Row],[UNIV Running Total]]</f>
        <v>2914</v>
      </c>
      <c r="L1772">
        <f>VLOOKUP(Query1[[#This Row],[Description]],'kits to boards'!$B$2:$E$156,2,FALSE)</f>
        <v>830083</v>
      </c>
      <c r="M1772">
        <f>VLOOKUP(Query1[[#This Row],[Description]],'kits to boards'!$B$2:$E$156,3,FALSE)</f>
        <v>0</v>
      </c>
      <c r="N1772">
        <f>VLOOKUP(Query1[[#This Row],[Description]],'kits to boards'!$B$2:$E$156,4,FALSE)</f>
        <v>0</v>
      </c>
      <c r="O1772" t="str">
        <f>CONCATENATE(Query1[[#This Row],[Description]]," - ",Query1[[#This Row],[MB1]]," - ",Query1[[#This Row],[MB2]]," - ",Query1[[#This Row],[MB3]])</f>
        <v>GEN IV MAGNUM EVAP KIT - 830083 - 0 - 0</v>
      </c>
    </row>
    <row r="1773" spans="1:15" x14ac:dyDescent="0.25">
      <c r="A1773" s="1">
        <v>913700</v>
      </c>
      <c r="B1773" s="1" t="s">
        <v>168</v>
      </c>
      <c r="C1773" s="1" t="s">
        <v>169</v>
      </c>
      <c r="D1773" s="2">
        <v>44624.617586342596</v>
      </c>
      <c r="E1773" s="1" t="s">
        <v>8</v>
      </c>
      <c r="F1773" s="1">
        <v>1</v>
      </c>
      <c r="G1773" s="1">
        <v>0</v>
      </c>
      <c r="H1773" s="6">
        <f>INT(Query1[[#This Row],[EntryDateTime]])</f>
        <v>44624</v>
      </c>
      <c r="I1773" s="1">
        <f>IF(Query1[[#This Row],[ItemType]]="EVAP KIT SF GEN IV",Query1[[#This Row],[OrderQty]]+I1772,I1772)</f>
        <v>2027</v>
      </c>
      <c r="J1773" s="1">
        <f>IF(Query1[[#This Row],[ItemType]]="EVAP KIT UNIVERSAL",Query1[[#This Row],[OrderQty]]+J1772,J1772)</f>
        <v>888</v>
      </c>
      <c r="K1773" s="1">
        <f>Query1[[#This Row],[SF Running Total]]+Query1[[#This Row],[UNIV Running Total]]</f>
        <v>2915</v>
      </c>
      <c r="L1773">
        <f>VLOOKUP(Query1[[#This Row],[Description]],'kits to boards'!$B$2:$E$156,2,FALSE)</f>
        <v>830028</v>
      </c>
      <c r="M1773">
        <f>VLOOKUP(Query1[[#This Row],[Description]],'kits to boards'!$B$2:$E$156,3,FALSE)</f>
        <v>0</v>
      </c>
      <c r="N1773">
        <f>VLOOKUP(Query1[[#This Row],[Description]],'kits to boards'!$B$2:$E$156,4,FALSE)</f>
        <v>0</v>
      </c>
      <c r="O1773" t="str">
        <f>CONCATENATE(Query1[[#This Row],[Description]]," - ",Query1[[#This Row],[MB1]]," - ",Query1[[#This Row],[MB2]]," - ",Query1[[#This Row],[MB3]])</f>
        <v>EVAP KIT 55-59 CHEV P-UP WO AC W/STD  - 830028 - 0 - 0</v>
      </c>
    </row>
    <row r="1774" spans="1:15" x14ac:dyDescent="0.25">
      <c r="A1774" s="1">
        <v>913700</v>
      </c>
      <c r="B1774" s="1" t="s">
        <v>162</v>
      </c>
      <c r="C1774" s="1" t="s">
        <v>163</v>
      </c>
      <c r="D1774" s="2">
        <v>44624.617882488426</v>
      </c>
      <c r="E1774" s="1" t="s">
        <v>8</v>
      </c>
      <c r="F1774" s="1">
        <v>1</v>
      </c>
      <c r="G1774" s="1">
        <v>0</v>
      </c>
      <c r="H1774" s="6">
        <f>INT(Query1[[#This Row],[EntryDateTime]])</f>
        <v>44624</v>
      </c>
      <c r="I1774" s="1">
        <f>IF(Query1[[#This Row],[ItemType]]="EVAP KIT SF GEN IV",Query1[[#This Row],[OrderQty]]+I1773,I1773)</f>
        <v>2028</v>
      </c>
      <c r="J1774" s="1">
        <f>IF(Query1[[#This Row],[ItemType]]="EVAP KIT UNIVERSAL",Query1[[#This Row],[OrderQty]]+J1773,J1773)</f>
        <v>888</v>
      </c>
      <c r="K1774" s="1">
        <f>Query1[[#This Row],[SF Running Total]]+Query1[[#This Row],[UNIV Running Total]]</f>
        <v>2916</v>
      </c>
      <c r="L1774">
        <f>VLOOKUP(Query1[[#This Row],[Description]],'kits to boards'!$B$2:$E$156,2,FALSE)</f>
        <v>830083</v>
      </c>
      <c r="M1774">
        <f>VLOOKUP(Query1[[#This Row],[Description]],'kits to boards'!$B$2:$E$156,3,FALSE)</f>
        <v>0</v>
      </c>
      <c r="N1774">
        <f>VLOOKUP(Query1[[#This Row],[Description]],'kits to boards'!$B$2:$E$156,4,FALSE)</f>
        <v>0</v>
      </c>
      <c r="O1774" t="str">
        <f>CONCATENATE(Query1[[#This Row],[Description]]," - ",Query1[[#This Row],[MB1]]," - ",Query1[[#This Row],[MB2]]," - ",Query1[[#This Row],[MB3]])</f>
        <v>EVAP KIT 70-74 CHALNGR/CUDA W/AC W/RD - 830083 - 0 - 0</v>
      </c>
    </row>
    <row r="1775" spans="1:15" x14ac:dyDescent="0.25">
      <c r="A1775" s="1">
        <v>913728</v>
      </c>
      <c r="B1775" s="1" t="s">
        <v>50</v>
      </c>
      <c r="C1775" s="1" t="s">
        <v>51</v>
      </c>
      <c r="D1775" s="2">
        <v>44624.622007986109</v>
      </c>
      <c r="E1775" s="1" t="s">
        <v>8</v>
      </c>
      <c r="F1775" s="1">
        <v>1</v>
      </c>
      <c r="G1775" s="1">
        <v>0</v>
      </c>
      <c r="H1775" s="6">
        <f>INT(Query1[[#This Row],[EntryDateTime]])</f>
        <v>44624</v>
      </c>
      <c r="I1775" s="1">
        <f>IF(Query1[[#This Row],[ItemType]]="EVAP KIT SF GEN IV",Query1[[#This Row],[OrderQty]]+I1774,I1774)</f>
        <v>2029</v>
      </c>
      <c r="J1775" s="1">
        <f>IF(Query1[[#This Row],[ItemType]]="EVAP KIT UNIVERSAL",Query1[[#This Row],[OrderQty]]+J1774,J1774)</f>
        <v>888</v>
      </c>
      <c r="K1775" s="1">
        <f>Query1[[#This Row],[SF Running Total]]+Query1[[#This Row],[UNIV Running Total]]</f>
        <v>2917</v>
      </c>
      <c r="L1775">
        <f>VLOOKUP(Query1[[#This Row],[Description]],'kits to boards'!$B$2:$E$156,2,FALSE)</f>
        <v>830043</v>
      </c>
      <c r="M1775">
        <f>VLOOKUP(Query1[[#This Row],[Description]],'kits to boards'!$B$2:$E$156,3,FALSE)</f>
        <v>0</v>
      </c>
      <c r="N1775">
        <f>VLOOKUP(Query1[[#This Row],[Description]],'kits to boards'!$B$2:$E$156,4,FALSE)</f>
        <v>0</v>
      </c>
      <c r="O1775" t="str">
        <f>CONCATENATE(Query1[[#This Row],[Description]]," - ",Query1[[#This Row],[MB1]]," - ",Query1[[#This Row],[MB2]]," - ",Query1[[#This Row],[MB3]])</f>
        <v>EVAP KIT 69-74 NOVA WO AC - 830043 - 0 - 0</v>
      </c>
    </row>
    <row r="1776" spans="1:15" x14ac:dyDescent="0.25">
      <c r="A1776" s="1">
        <v>913732</v>
      </c>
      <c r="B1776" s="1" t="s">
        <v>106</v>
      </c>
      <c r="C1776" s="1" t="s">
        <v>253</v>
      </c>
      <c r="D1776" s="2">
        <v>44624.627819328707</v>
      </c>
      <c r="E1776" s="1" t="s">
        <v>8</v>
      </c>
      <c r="F1776" s="1">
        <v>1</v>
      </c>
      <c r="G1776" s="1">
        <v>0</v>
      </c>
      <c r="H1776" s="6">
        <f>INT(Query1[[#This Row],[EntryDateTime]])</f>
        <v>44624</v>
      </c>
      <c r="I1776" s="1">
        <f>IF(Query1[[#This Row],[ItemType]]="EVAP KIT SF GEN IV",Query1[[#This Row],[OrderQty]]+I1775,I1775)</f>
        <v>2030</v>
      </c>
      <c r="J1776" s="1">
        <f>IF(Query1[[#This Row],[ItemType]]="EVAP KIT UNIVERSAL",Query1[[#This Row],[OrderQty]]+J1775,J1775)</f>
        <v>888</v>
      </c>
      <c r="K1776" s="1">
        <f>Query1[[#This Row],[SF Running Total]]+Query1[[#This Row],[UNIV Running Total]]</f>
        <v>2918</v>
      </c>
      <c r="L1776">
        <f>VLOOKUP(Query1[[#This Row],[Description]],'kits to boards'!$B$2:$E$156,2,FALSE)</f>
        <v>830028</v>
      </c>
      <c r="M1776">
        <f>VLOOKUP(Query1[[#This Row],[Description]],'kits to boards'!$B$2:$E$156,3,FALSE)</f>
        <v>0</v>
      </c>
      <c r="N1776">
        <f>VLOOKUP(Query1[[#This Row],[Description]],'kits to boards'!$B$2:$E$156,4,FALSE)</f>
        <v>0</v>
      </c>
      <c r="O1776" t="str">
        <f>CONCATENATE(Query1[[#This Row],[Description]]," - ",Query1[[#This Row],[MB1]]," - ",Query1[[#This Row],[MB2]]," - ",Query1[[#This Row],[MB3]])</f>
        <v>EVAP KIT 55-59 CHEV P-UP WO AC W/DELX  - 830028 - 0 - 0</v>
      </c>
    </row>
    <row r="1777" spans="1:15" x14ac:dyDescent="0.25">
      <c r="A1777" s="1">
        <v>913731</v>
      </c>
      <c r="B1777" s="1" t="s">
        <v>226</v>
      </c>
      <c r="C1777" s="1" t="s">
        <v>227</v>
      </c>
      <c r="D1777" s="2">
        <v>44624.628246145832</v>
      </c>
      <c r="E1777" s="1" t="s">
        <v>8</v>
      </c>
      <c r="F1777" s="1">
        <v>1</v>
      </c>
      <c r="G1777" s="1">
        <v>0</v>
      </c>
      <c r="H1777" s="6">
        <f>INT(Query1[[#This Row],[EntryDateTime]])</f>
        <v>44624</v>
      </c>
      <c r="I1777" s="1">
        <f>IF(Query1[[#This Row],[ItemType]]="EVAP KIT SF GEN IV",Query1[[#This Row],[OrderQty]]+I1776,I1776)</f>
        <v>2031</v>
      </c>
      <c r="J1777" s="1">
        <f>IF(Query1[[#This Row],[ItemType]]="EVAP KIT UNIVERSAL",Query1[[#This Row],[OrderQty]]+J1776,J1776)</f>
        <v>888</v>
      </c>
      <c r="K1777" s="1">
        <f>Query1[[#This Row],[SF Running Total]]+Query1[[#This Row],[UNIV Running Total]]</f>
        <v>2919</v>
      </c>
      <c r="L1777">
        <f>VLOOKUP(Query1[[#This Row],[Description]],'kits to boards'!$B$2:$E$156,2,FALSE)</f>
        <v>830124</v>
      </c>
      <c r="M1777">
        <f>VLOOKUP(Query1[[#This Row],[Description]],'kits to boards'!$B$2:$E$156,3,FALSE)</f>
        <v>0</v>
      </c>
      <c r="N1777">
        <f>VLOOKUP(Query1[[#This Row],[Description]],'kits to boards'!$B$2:$E$156,4,FALSE)</f>
        <v>0</v>
      </c>
      <c r="O1777" t="str">
        <f>CONCATENATE(Query1[[#This Row],[Description]]," - ",Query1[[#This Row],[MB1]]," - ",Query1[[#This Row],[MB2]]," - ",Query1[[#This Row],[MB3]])</f>
        <v>EVAP KIT 70-72 GTO W/AC - 830124 - 0 - 0</v>
      </c>
    </row>
    <row r="1778" spans="1:15" x14ac:dyDescent="0.25">
      <c r="A1778" s="1">
        <v>913734</v>
      </c>
      <c r="B1778" s="1" t="s">
        <v>152</v>
      </c>
      <c r="C1778" s="1" t="s">
        <v>153</v>
      </c>
      <c r="D1778" s="2">
        <v>44624.63106122685</v>
      </c>
      <c r="E1778" s="1" t="s">
        <v>8</v>
      </c>
      <c r="F1778" s="1">
        <v>1</v>
      </c>
      <c r="G1778" s="1">
        <v>0</v>
      </c>
      <c r="H1778" s="6">
        <f>INT(Query1[[#This Row],[EntryDateTime]])</f>
        <v>44624</v>
      </c>
      <c r="I1778" s="1">
        <f>IF(Query1[[#This Row],[ItemType]]="EVAP KIT SF GEN IV",Query1[[#This Row],[OrderQty]]+I1777,I1777)</f>
        <v>2032</v>
      </c>
      <c r="J1778" s="1">
        <f>IF(Query1[[#This Row],[ItemType]]="EVAP KIT UNIVERSAL",Query1[[#This Row],[OrderQty]]+J1777,J1777)</f>
        <v>888</v>
      </c>
      <c r="K1778" s="1">
        <f>Query1[[#This Row],[SF Running Total]]+Query1[[#This Row],[UNIV Running Total]]</f>
        <v>2920</v>
      </c>
      <c r="L1778">
        <f>VLOOKUP(Query1[[#This Row],[Description]],'kits to boards'!$B$2:$E$156,2,FALSE)</f>
        <v>830034</v>
      </c>
      <c r="M1778">
        <f>VLOOKUP(Query1[[#This Row],[Description]],'kits to boards'!$B$2:$E$156,3,FALSE)</f>
        <v>0</v>
      </c>
      <c r="N1778">
        <f>VLOOKUP(Query1[[#This Row],[Description]],'kits to boards'!$B$2:$E$156,4,FALSE)</f>
        <v>0</v>
      </c>
      <c r="O1778" t="str">
        <f>CONCATENATE(Query1[[#This Row],[Description]]," - ",Query1[[#This Row],[MB1]]," - ",Query1[[#This Row],[MB2]]," - ",Query1[[#This Row],[MB3]])</f>
        <v>EVAP KIT 64-67 GTO WO AC - 830034 - 0 - 0</v>
      </c>
    </row>
    <row r="1779" spans="1:15" x14ac:dyDescent="0.25">
      <c r="A1779" s="1">
        <v>913738</v>
      </c>
      <c r="B1779" s="1" t="s">
        <v>56</v>
      </c>
      <c r="C1779" s="1" t="s">
        <v>57</v>
      </c>
      <c r="D1779" s="2">
        <v>44624.634577280092</v>
      </c>
      <c r="E1779" s="1" t="s">
        <v>8</v>
      </c>
      <c r="F1779" s="1">
        <v>1</v>
      </c>
      <c r="G1779" s="1">
        <v>0</v>
      </c>
      <c r="H1779" s="6">
        <f>INT(Query1[[#This Row],[EntryDateTime]])</f>
        <v>44624</v>
      </c>
      <c r="I1779" s="1">
        <f>IF(Query1[[#This Row],[ItemType]]="EVAP KIT SF GEN IV",Query1[[#This Row],[OrderQty]]+I1778,I1778)</f>
        <v>2033</v>
      </c>
      <c r="J1779" s="1">
        <f>IF(Query1[[#This Row],[ItemType]]="EVAP KIT UNIVERSAL",Query1[[#This Row],[OrderQty]]+J1778,J1778)</f>
        <v>888</v>
      </c>
      <c r="K1779" s="1">
        <f>Query1[[#This Row],[SF Running Total]]+Query1[[#This Row],[UNIV Running Total]]</f>
        <v>2921</v>
      </c>
      <c r="L1779">
        <f>VLOOKUP(Query1[[#This Row],[Description]],'kits to boards'!$B$2:$E$156,2,FALSE)</f>
        <v>830011</v>
      </c>
      <c r="M1779">
        <f>VLOOKUP(Query1[[#This Row],[Description]],'kits to boards'!$B$2:$E$156,3,FALSE)</f>
        <v>0</v>
      </c>
      <c r="N1779">
        <f>VLOOKUP(Query1[[#This Row],[Description]],'kits to boards'!$B$2:$E$156,4,FALSE)</f>
        <v>0</v>
      </c>
      <c r="O1779" t="str">
        <f>CONCATENATE(Query1[[#This Row],[Description]]," - ",Query1[[#This Row],[MB1]]," - ",Query1[[#This Row],[MB2]]," - ",Query1[[#This Row],[MB3]])</f>
        <v>EVAP KIT 70-72 CHEVELLE W/AC - 830011 - 0 - 0</v>
      </c>
    </row>
    <row r="1780" spans="1:15" x14ac:dyDescent="0.25">
      <c r="A1780" s="1">
        <v>913349</v>
      </c>
      <c r="B1780" s="1" t="s">
        <v>9</v>
      </c>
      <c r="C1780" s="1" t="s">
        <v>10</v>
      </c>
      <c r="D1780" s="2">
        <v>44624.640564965281</v>
      </c>
      <c r="E1780" s="1" t="s">
        <v>11</v>
      </c>
      <c r="F1780" s="1">
        <v>1</v>
      </c>
      <c r="G1780" s="1">
        <v>0</v>
      </c>
      <c r="H1780" s="6">
        <f>INT(Query1[[#This Row],[EntryDateTime]])</f>
        <v>44624</v>
      </c>
      <c r="I1780" s="1">
        <f>IF(Query1[[#This Row],[ItemType]]="EVAP KIT SF GEN IV",Query1[[#This Row],[OrderQty]]+I1779,I1779)</f>
        <v>2033</v>
      </c>
      <c r="J1780" s="1">
        <f>IF(Query1[[#This Row],[ItemType]]="EVAP KIT UNIVERSAL",Query1[[#This Row],[OrderQty]]+J1779,J1779)</f>
        <v>889</v>
      </c>
      <c r="K1780" s="1">
        <f>Query1[[#This Row],[SF Running Total]]+Query1[[#This Row],[UNIV Running Total]]</f>
        <v>2922</v>
      </c>
      <c r="L1780">
        <f>VLOOKUP(Query1[[#This Row],[Description]],'kits to boards'!$B$2:$E$156,2,FALSE)</f>
        <v>830069</v>
      </c>
      <c r="M1780">
        <f>VLOOKUP(Query1[[#This Row],[Description]],'kits to boards'!$B$2:$E$156,3,FALSE)</f>
        <v>0</v>
      </c>
      <c r="N1780">
        <f>VLOOKUP(Query1[[#This Row],[Description]],'kits to boards'!$B$2:$E$156,4,FALSE)</f>
        <v>0</v>
      </c>
      <c r="O1780" t="str">
        <f>CONCATENATE(Query1[[#This Row],[Description]]," - ",Query1[[#This Row],[MB1]]," - ",Query1[[#This Row],[MB2]]," - ",Query1[[#This Row],[MB3]])</f>
        <v>SLIMLINE H/C W/DEF STD LOUVER - 830069 - 0 - 0</v>
      </c>
    </row>
    <row r="1781" spans="1:15" x14ac:dyDescent="0.25">
      <c r="A1781" s="1">
        <v>913757</v>
      </c>
      <c r="B1781" s="1" t="s">
        <v>68</v>
      </c>
      <c r="C1781" s="1" t="s">
        <v>69</v>
      </c>
      <c r="D1781" s="2">
        <v>44624.670395335648</v>
      </c>
      <c r="E1781" s="1" t="s">
        <v>8</v>
      </c>
      <c r="F1781" s="1">
        <v>1</v>
      </c>
      <c r="G1781" s="1">
        <v>0</v>
      </c>
      <c r="H1781" s="6">
        <f>INT(Query1[[#This Row],[EntryDateTime]])</f>
        <v>44624</v>
      </c>
      <c r="I1781" s="1">
        <f>IF(Query1[[#This Row],[ItemType]]="EVAP KIT SF GEN IV",Query1[[#This Row],[OrderQty]]+I1780,I1780)</f>
        <v>2034</v>
      </c>
      <c r="J1781" s="1">
        <f>IF(Query1[[#This Row],[ItemType]]="EVAP KIT UNIVERSAL",Query1[[#This Row],[OrderQty]]+J1780,J1780)</f>
        <v>889</v>
      </c>
      <c r="K1781" s="1">
        <f>Query1[[#This Row],[SF Running Total]]+Query1[[#This Row],[UNIV Running Total]]</f>
        <v>2923</v>
      </c>
      <c r="L1781">
        <f>VLOOKUP(Query1[[#This Row],[Description]],'kits to boards'!$B$2:$E$156,2,FALSE)</f>
        <v>830010</v>
      </c>
      <c r="M1781">
        <f>VLOOKUP(Query1[[#This Row],[Description]],'kits to boards'!$B$2:$E$156,3,FALSE)</f>
        <v>0</v>
      </c>
      <c r="N1781">
        <f>VLOOKUP(Query1[[#This Row],[Description]],'kits to boards'!$B$2:$E$156,4,FALSE)</f>
        <v>0</v>
      </c>
      <c r="O1781" t="str">
        <f>CONCATENATE(Query1[[#This Row],[Description]]," - ",Query1[[#This Row],[MB1]]," - ",Query1[[#This Row],[MB2]]," - ",Query1[[#This Row],[MB3]])</f>
        <v>EVAP KIT 70-72 CHEVELLE WO AC - 830010 - 0 - 0</v>
      </c>
    </row>
    <row r="1782" spans="1:15" x14ac:dyDescent="0.25">
      <c r="A1782" s="1">
        <v>913758</v>
      </c>
      <c r="B1782" s="1" t="s">
        <v>84</v>
      </c>
      <c r="C1782" s="1" t="s">
        <v>85</v>
      </c>
      <c r="D1782" s="2">
        <v>44627.303087002314</v>
      </c>
      <c r="E1782" s="1" t="s">
        <v>8</v>
      </c>
      <c r="F1782" s="1">
        <v>1</v>
      </c>
      <c r="G1782" s="1">
        <v>0</v>
      </c>
      <c r="H1782" s="6">
        <f>INT(Query1[[#This Row],[EntryDateTime]])</f>
        <v>44627</v>
      </c>
      <c r="I1782" s="1">
        <f>IF(Query1[[#This Row],[ItemType]]="EVAP KIT SF GEN IV",Query1[[#This Row],[OrderQty]]+I1781,I1781)</f>
        <v>2035</v>
      </c>
      <c r="J1782" s="1">
        <f>IF(Query1[[#This Row],[ItemType]]="EVAP KIT UNIVERSAL",Query1[[#This Row],[OrderQty]]+J1781,J1781)</f>
        <v>889</v>
      </c>
      <c r="K1782" s="1">
        <f>Query1[[#This Row],[SF Running Total]]+Query1[[#This Row],[UNIV Running Total]]</f>
        <v>2924</v>
      </c>
      <c r="L1782">
        <f>VLOOKUP(Query1[[#This Row],[Description]],'kits to boards'!$B$2:$E$156,2,FALSE)</f>
        <v>830085</v>
      </c>
      <c r="M1782">
        <f>VLOOKUP(Query1[[#This Row],[Description]],'kits to boards'!$B$2:$E$156,3,FALSE)</f>
        <v>0</v>
      </c>
      <c r="N1782">
        <f>VLOOKUP(Query1[[#This Row],[Description]],'kits to boards'!$B$2:$E$156,4,FALSE)</f>
        <v>0</v>
      </c>
      <c r="O1782" t="str">
        <f>CONCATENATE(Query1[[#This Row],[Description]]," - ",Query1[[#This Row],[MB1]]," - ",Query1[[#This Row],[MB2]]," - ",Query1[[#This Row],[MB3]])</f>
        <v>EVAP KIT 66-77 BRONCO 4-VENT PLENUM - 830085 - 0 - 0</v>
      </c>
    </row>
    <row r="1783" spans="1:15" x14ac:dyDescent="0.25">
      <c r="A1783" s="1">
        <v>913759</v>
      </c>
      <c r="B1783" s="1" t="s">
        <v>114</v>
      </c>
      <c r="C1783" s="1" t="s">
        <v>115</v>
      </c>
      <c r="D1783" s="2">
        <v>44627.304265393519</v>
      </c>
      <c r="E1783" s="1" t="s">
        <v>8</v>
      </c>
      <c r="F1783" s="1">
        <v>1</v>
      </c>
      <c r="G1783" s="1">
        <v>0</v>
      </c>
      <c r="H1783" s="6">
        <f>INT(Query1[[#This Row],[EntryDateTime]])</f>
        <v>44627</v>
      </c>
      <c r="I1783" s="1">
        <f>IF(Query1[[#This Row],[ItemType]]="EVAP KIT SF GEN IV",Query1[[#This Row],[OrderQty]]+I1782,I1782)</f>
        <v>2036</v>
      </c>
      <c r="J1783" s="1">
        <f>IF(Query1[[#This Row],[ItemType]]="EVAP KIT UNIVERSAL",Query1[[#This Row],[OrderQty]]+J1782,J1782)</f>
        <v>889</v>
      </c>
      <c r="K1783" s="1">
        <f>Query1[[#This Row],[SF Running Total]]+Query1[[#This Row],[UNIV Running Total]]</f>
        <v>2925</v>
      </c>
      <c r="L1783">
        <f>VLOOKUP(Query1[[#This Row],[Description]],'kits to boards'!$B$2:$E$156,2,FALSE)</f>
        <v>830059</v>
      </c>
      <c r="M1783">
        <f>VLOOKUP(Query1[[#This Row],[Description]],'kits to boards'!$B$2:$E$156,3,FALSE)</f>
        <v>0</v>
      </c>
      <c r="N1783">
        <f>VLOOKUP(Query1[[#This Row],[Description]],'kits to boards'!$B$2:$E$156,4,FALSE)</f>
        <v>0</v>
      </c>
      <c r="O1783" t="str">
        <f>CONCATENATE(Query1[[#This Row],[Description]]," - ",Query1[[#This Row],[MB1]]," - ",Query1[[#This Row],[MB2]]," - ",Query1[[#This Row],[MB3]])</f>
        <v>EVAP KIT 66-67 CHEVELLE W/AC - 830059 - 0 - 0</v>
      </c>
    </row>
    <row r="1784" spans="1:15" x14ac:dyDescent="0.25">
      <c r="A1784" s="1">
        <v>913759</v>
      </c>
      <c r="B1784" s="1" t="s">
        <v>94</v>
      </c>
      <c r="C1784" s="1" t="s">
        <v>95</v>
      </c>
      <c r="D1784" s="2">
        <v>44627.304265393519</v>
      </c>
      <c r="E1784" s="1" t="s">
        <v>8</v>
      </c>
      <c r="F1784" s="1">
        <v>2</v>
      </c>
      <c r="G1784" s="1">
        <v>0</v>
      </c>
      <c r="H1784" s="6">
        <f>INT(Query1[[#This Row],[EntryDateTime]])</f>
        <v>44627</v>
      </c>
      <c r="I1784" s="1">
        <f>IF(Query1[[#This Row],[ItemType]]="EVAP KIT SF GEN IV",Query1[[#This Row],[OrderQty]]+I1783,I1783)</f>
        <v>2038</v>
      </c>
      <c r="J1784" s="1">
        <f>IF(Query1[[#This Row],[ItemType]]="EVAP KIT UNIVERSAL",Query1[[#This Row],[OrderQty]]+J1783,J1783)</f>
        <v>889</v>
      </c>
      <c r="K1784" s="1">
        <f>Query1[[#This Row],[SF Running Total]]+Query1[[#This Row],[UNIV Running Total]]</f>
        <v>2927</v>
      </c>
      <c r="L1784">
        <f>VLOOKUP(Query1[[#This Row],[Description]],'kits to boards'!$B$2:$E$156,2,FALSE)</f>
        <v>830076</v>
      </c>
      <c r="M1784">
        <f>VLOOKUP(Query1[[#This Row],[Description]],'kits to boards'!$B$2:$E$156,3,FALSE)</f>
        <v>0</v>
      </c>
      <c r="N1784">
        <f>VLOOKUP(Query1[[#This Row],[Description]],'kits to boards'!$B$2:$E$156,4,FALSE)</f>
        <v>0</v>
      </c>
      <c r="O1784" t="str">
        <f>CONCATENATE(Query1[[#This Row],[Description]]," - ",Query1[[#This Row],[MB1]]," - ",Query1[[#This Row],[MB2]]," - ",Query1[[#This Row],[MB3]])</f>
        <v>EVAP KIT 64 1/2- 66 MUSTANG  - 830076 - 0 - 0</v>
      </c>
    </row>
    <row r="1785" spans="1:15" x14ac:dyDescent="0.25">
      <c r="A1785" s="1">
        <v>913759</v>
      </c>
      <c r="B1785" s="1" t="s">
        <v>226</v>
      </c>
      <c r="C1785" s="1" t="s">
        <v>227</v>
      </c>
      <c r="D1785" s="2">
        <v>44627.304265393519</v>
      </c>
      <c r="E1785" s="1" t="s">
        <v>8</v>
      </c>
      <c r="F1785" s="1">
        <v>2</v>
      </c>
      <c r="G1785" s="1">
        <v>0</v>
      </c>
      <c r="H1785" s="6">
        <f>INT(Query1[[#This Row],[EntryDateTime]])</f>
        <v>44627</v>
      </c>
      <c r="I1785" s="1">
        <f>IF(Query1[[#This Row],[ItemType]]="EVAP KIT SF GEN IV",Query1[[#This Row],[OrderQty]]+I1784,I1784)</f>
        <v>2040</v>
      </c>
      <c r="J1785" s="1">
        <f>IF(Query1[[#This Row],[ItemType]]="EVAP KIT UNIVERSAL",Query1[[#This Row],[OrderQty]]+J1784,J1784)</f>
        <v>889</v>
      </c>
      <c r="K1785" s="1">
        <f>Query1[[#This Row],[SF Running Total]]+Query1[[#This Row],[UNIV Running Total]]</f>
        <v>2929</v>
      </c>
      <c r="L1785">
        <f>VLOOKUP(Query1[[#This Row],[Description]],'kits to boards'!$B$2:$E$156,2,FALSE)</f>
        <v>830124</v>
      </c>
      <c r="M1785">
        <f>VLOOKUP(Query1[[#This Row],[Description]],'kits to boards'!$B$2:$E$156,3,FALSE)</f>
        <v>0</v>
      </c>
      <c r="N1785">
        <f>VLOOKUP(Query1[[#This Row],[Description]],'kits to boards'!$B$2:$E$156,4,FALSE)</f>
        <v>0</v>
      </c>
      <c r="O1785" t="str">
        <f>CONCATENATE(Query1[[#This Row],[Description]]," - ",Query1[[#This Row],[MB1]]," - ",Query1[[#This Row],[MB2]]," - ",Query1[[#This Row],[MB3]])</f>
        <v>EVAP KIT 70-72 GTO W/AC - 830124 - 0 - 0</v>
      </c>
    </row>
    <row r="1786" spans="1:15" x14ac:dyDescent="0.25">
      <c r="A1786" s="1">
        <v>913759</v>
      </c>
      <c r="B1786" s="1" t="s">
        <v>70</v>
      </c>
      <c r="C1786" s="1" t="s">
        <v>71</v>
      </c>
      <c r="D1786" s="2">
        <v>44627.304265393519</v>
      </c>
      <c r="E1786" s="1" t="s">
        <v>8</v>
      </c>
      <c r="F1786" s="1">
        <v>1</v>
      </c>
      <c r="G1786" s="1">
        <v>0</v>
      </c>
      <c r="H1786" s="6">
        <f>INT(Query1[[#This Row],[EntryDateTime]])</f>
        <v>44627</v>
      </c>
      <c r="I1786" s="1">
        <f>IF(Query1[[#This Row],[ItemType]]="EVAP KIT SF GEN IV",Query1[[#This Row],[OrderQty]]+I1785,I1785)</f>
        <v>2041</v>
      </c>
      <c r="J1786" s="1">
        <f>IF(Query1[[#This Row],[ItemType]]="EVAP KIT UNIVERSAL",Query1[[#This Row],[OrderQty]]+J1785,J1785)</f>
        <v>889</v>
      </c>
      <c r="K1786" s="1">
        <f>Query1[[#This Row],[SF Running Total]]+Query1[[#This Row],[UNIV Running Total]]</f>
        <v>2930</v>
      </c>
      <c r="L1786">
        <f>VLOOKUP(Query1[[#This Row],[Description]],'kits to boards'!$B$2:$E$156,2,FALSE)</f>
        <v>830050</v>
      </c>
      <c r="M1786">
        <f>VLOOKUP(Query1[[#This Row],[Description]],'kits to boards'!$B$2:$E$156,3,FALSE)</f>
        <v>0</v>
      </c>
      <c r="N1786">
        <f>VLOOKUP(Query1[[#This Row],[Description]],'kits to boards'!$B$2:$E$156,4,FALSE)</f>
        <v>0</v>
      </c>
      <c r="O1786" t="str">
        <f>CONCATENATE(Query1[[#This Row],[Description]]," - ",Query1[[#This Row],[MB1]]," - ",Query1[[#This Row],[MB2]]," - ",Query1[[#This Row],[MB3]])</f>
        <v>EVAP KIT 70-78 CAMARO WO AC - 830050 - 0 - 0</v>
      </c>
    </row>
    <row r="1787" spans="1:15" x14ac:dyDescent="0.25">
      <c r="A1787" s="1">
        <v>913759</v>
      </c>
      <c r="B1787" s="1" t="s">
        <v>198</v>
      </c>
      <c r="C1787" s="1" t="s">
        <v>199</v>
      </c>
      <c r="D1787" s="2">
        <v>44627.304265393519</v>
      </c>
      <c r="E1787" s="1" t="s">
        <v>8</v>
      </c>
      <c r="F1787" s="1">
        <v>1</v>
      </c>
      <c r="G1787" s="1">
        <v>0</v>
      </c>
      <c r="H1787" s="6">
        <f>INT(Query1[[#This Row],[EntryDateTime]])</f>
        <v>44627</v>
      </c>
      <c r="I1787" s="1">
        <f>IF(Query1[[#This Row],[ItemType]]="EVAP KIT SF GEN IV",Query1[[#This Row],[OrderQty]]+I1786,I1786)</f>
        <v>2042</v>
      </c>
      <c r="J1787" s="1">
        <f>IF(Query1[[#This Row],[ItemType]]="EVAP KIT UNIVERSAL",Query1[[#This Row],[OrderQty]]+J1786,J1786)</f>
        <v>889</v>
      </c>
      <c r="K1787" s="1">
        <f>Query1[[#This Row],[SF Running Total]]+Query1[[#This Row],[UNIV Running Total]]</f>
        <v>2931</v>
      </c>
      <c r="L1787">
        <f>VLOOKUP(Query1[[#This Row],[Description]],'kits to boards'!$B$2:$E$156,2,FALSE)</f>
        <v>830042</v>
      </c>
      <c r="M1787">
        <f>VLOOKUP(Query1[[#This Row],[Description]],'kits to boards'!$B$2:$E$156,3,FALSE)</f>
        <v>0</v>
      </c>
      <c r="N1787">
        <f>VLOOKUP(Query1[[#This Row],[Description]],'kits to boards'!$B$2:$E$156,4,FALSE)</f>
        <v>0</v>
      </c>
      <c r="O1787" t="str">
        <f>CONCATENATE(Query1[[#This Row],[Description]]," - ",Query1[[#This Row],[MB1]]," - ",Query1[[#This Row],[MB2]]," - ",Query1[[#This Row],[MB3]])</f>
        <v>EVAP KIT 68-83 TOYOTA FJ40 ULTRA HIGH PERF - 830042 - 0 - 0</v>
      </c>
    </row>
    <row r="1788" spans="1:15" x14ac:dyDescent="0.25">
      <c r="A1788" s="1">
        <v>913759</v>
      </c>
      <c r="B1788" s="1" t="s">
        <v>277</v>
      </c>
      <c r="C1788" s="1" t="s">
        <v>278</v>
      </c>
      <c r="D1788" s="2">
        <v>44627.304265393519</v>
      </c>
      <c r="E1788" s="1" t="s">
        <v>8</v>
      </c>
      <c r="F1788" s="1">
        <v>1</v>
      </c>
      <c r="G1788" s="1">
        <v>0</v>
      </c>
      <c r="H1788" s="6">
        <f>INT(Query1[[#This Row],[EntryDateTime]])</f>
        <v>44627</v>
      </c>
      <c r="I1788" s="1">
        <f>IF(Query1[[#This Row],[ItemType]]="EVAP KIT SF GEN IV",Query1[[#This Row],[OrderQty]]+I1787,I1787)</f>
        <v>2043</v>
      </c>
      <c r="J1788" s="1">
        <f>IF(Query1[[#This Row],[ItemType]]="EVAP KIT UNIVERSAL",Query1[[#This Row],[OrderQty]]+J1787,J1787)</f>
        <v>889</v>
      </c>
      <c r="K1788" s="1">
        <f>Query1[[#This Row],[SF Running Total]]+Query1[[#This Row],[UNIV Running Total]]</f>
        <v>2932</v>
      </c>
      <c r="L1788">
        <f>VLOOKUP(Query1[[#This Row],[Description]],'kits to boards'!$B$2:$E$156,2,FALSE)</f>
        <v>830047</v>
      </c>
      <c r="M1788">
        <f>VLOOKUP(Query1[[#This Row],[Description]],'kits to boards'!$B$2:$E$156,3,FALSE)</f>
        <v>0</v>
      </c>
      <c r="N1788">
        <f>VLOOKUP(Query1[[#This Row],[Description]],'kits to boards'!$B$2:$E$156,4,FALSE)</f>
        <v>0</v>
      </c>
      <c r="O1788" t="str">
        <f>CONCATENATE(Query1[[#This Row],[Description]]," - ",Query1[[#This Row],[MB1]]," - ",Query1[[#This Row],[MB2]]," - ",Query1[[#This Row],[MB3]])</f>
        <v>EVAP KIT 68 NOVA WO AC - 830047 - 0 - 0</v>
      </c>
    </row>
    <row r="1789" spans="1:15" x14ac:dyDescent="0.25">
      <c r="A1789" s="1">
        <v>913759</v>
      </c>
      <c r="B1789" s="1" t="s">
        <v>86</v>
      </c>
      <c r="C1789" s="1" t="s">
        <v>87</v>
      </c>
      <c r="D1789" s="2">
        <v>44627.304265393519</v>
      </c>
      <c r="E1789" s="1" t="s">
        <v>8</v>
      </c>
      <c r="F1789" s="1">
        <v>1</v>
      </c>
      <c r="G1789" s="1">
        <v>0</v>
      </c>
      <c r="H1789" s="6">
        <f>INT(Query1[[#This Row],[EntryDateTime]])</f>
        <v>44627</v>
      </c>
      <c r="I1789" s="1">
        <f>IF(Query1[[#This Row],[ItemType]]="EVAP KIT SF GEN IV",Query1[[#This Row],[OrderQty]]+I1788,I1788)</f>
        <v>2044</v>
      </c>
      <c r="J1789" s="1">
        <f>IF(Query1[[#This Row],[ItemType]]="EVAP KIT UNIVERSAL",Query1[[#This Row],[OrderQty]]+J1788,J1788)</f>
        <v>889</v>
      </c>
      <c r="K1789" s="1">
        <f>Query1[[#This Row],[SF Running Total]]+Query1[[#This Row],[UNIV Running Total]]</f>
        <v>2933</v>
      </c>
      <c r="L1789">
        <f>VLOOKUP(Query1[[#This Row],[Description]],'kits to boards'!$B$2:$E$156,2,FALSE)</f>
        <v>830048</v>
      </c>
      <c r="M1789">
        <f>VLOOKUP(Query1[[#This Row],[Description]],'kits to boards'!$B$2:$E$156,3,FALSE)</f>
        <v>0</v>
      </c>
      <c r="N1789">
        <f>VLOOKUP(Query1[[#This Row],[Description]],'kits to boards'!$B$2:$E$156,4,FALSE)</f>
        <v>0</v>
      </c>
      <c r="O1789" t="str">
        <f>CONCATENATE(Query1[[#This Row],[Description]]," - ",Query1[[#This Row],[MB1]]," - ",Query1[[#This Row],[MB2]]," - ",Query1[[#This Row],[MB3]])</f>
        <v>EVAP KIT 66-67 NOVA - 830048 - 0 - 0</v>
      </c>
    </row>
    <row r="1790" spans="1:15" x14ac:dyDescent="0.25">
      <c r="A1790" s="1">
        <v>913759</v>
      </c>
      <c r="B1790" s="1" t="s">
        <v>273</v>
      </c>
      <c r="C1790" s="1" t="s">
        <v>274</v>
      </c>
      <c r="D1790" s="2">
        <v>44627.304265393519</v>
      </c>
      <c r="E1790" s="1" t="s">
        <v>8</v>
      </c>
      <c r="F1790" s="1">
        <v>2</v>
      </c>
      <c r="G1790" s="1">
        <v>0</v>
      </c>
      <c r="H1790" s="6">
        <f>INT(Query1[[#This Row],[EntryDateTime]])</f>
        <v>44627</v>
      </c>
      <c r="I1790" s="1">
        <f>IF(Query1[[#This Row],[ItemType]]="EVAP KIT SF GEN IV",Query1[[#This Row],[OrderQty]]+I1789,I1789)</f>
        <v>2046</v>
      </c>
      <c r="J1790" s="1">
        <f>IF(Query1[[#This Row],[ItemType]]="EVAP KIT UNIVERSAL",Query1[[#This Row],[OrderQty]]+J1789,J1789)</f>
        <v>889</v>
      </c>
      <c r="K1790" s="1">
        <f>Query1[[#This Row],[SF Running Total]]+Query1[[#This Row],[UNIV Running Total]]</f>
        <v>2935</v>
      </c>
      <c r="L1790">
        <f>VLOOKUP(Query1[[#This Row],[Description]],'kits to boards'!$B$2:$E$156,2,FALSE)</f>
        <v>830056</v>
      </c>
      <c r="M1790">
        <f>VLOOKUP(Query1[[#This Row],[Description]],'kits to boards'!$B$2:$E$156,3,FALSE)</f>
        <v>0</v>
      </c>
      <c r="N1790">
        <f>VLOOKUP(Query1[[#This Row],[Description]],'kits to boards'!$B$2:$E$156,4,FALSE)</f>
        <v>0</v>
      </c>
      <c r="O1790" t="str">
        <f>CONCATENATE(Query1[[#This Row],[Description]]," - ",Query1[[#This Row],[MB1]]," - ",Query1[[#This Row],[MB2]]," - ",Query1[[#This Row],[MB3]])</f>
        <v>EVAP KIT 64-65 CHEVELLE W/AC - 830056 - 0 - 0</v>
      </c>
    </row>
    <row r="1791" spans="1:15" x14ac:dyDescent="0.25">
      <c r="A1791" s="1">
        <v>913759</v>
      </c>
      <c r="B1791" s="1" t="s">
        <v>120</v>
      </c>
      <c r="C1791" s="1" t="s">
        <v>121</v>
      </c>
      <c r="D1791" s="2">
        <v>44627.304265393519</v>
      </c>
      <c r="E1791" s="1" t="s">
        <v>8</v>
      </c>
      <c r="F1791" s="1">
        <v>1</v>
      </c>
      <c r="G1791" s="1">
        <v>0</v>
      </c>
      <c r="H1791" s="6">
        <f>INT(Query1[[#This Row],[EntryDateTime]])</f>
        <v>44627</v>
      </c>
      <c r="I1791" s="1">
        <f>IF(Query1[[#This Row],[ItemType]]="EVAP KIT SF GEN IV",Query1[[#This Row],[OrderQty]]+I1790,I1790)</f>
        <v>2047</v>
      </c>
      <c r="J1791" s="1">
        <f>IF(Query1[[#This Row],[ItemType]]="EVAP KIT UNIVERSAL",Query1[[#This Row],[OrderQty]]+J1790,J1790)</f>
        <v>889</v>
      </c>
      <c r="K1791" s="1">
        <f>Query1[[#This Row],[SF Running Total]]+Query1[[#This Row],[UNIV Running Total]]</f>
        <v>2936</v>
      </c>
      <c r="L1791">
        <f>VLOOKUP(Query1[[#This Row],[Description]],'kits to boards'!$B$2:$E$156,2,FALSE)</f>
        <v>830014</v>
      </c>
      <c r="M1791">
        <f>VLOOKUP(Query1[[#This Row],[Description]],'kits to boards'!$B$2:$E$156,3,FALSE)</f>
        <v>0</v>
      </c>
      <c r="N1791">
        <f>VLOOKUP(Query1[[#This Row],[Description]],'kits to boards'!$B$2:$E$156,4,FALSE)</f>
        <v>0</v>
      </c>
      <c r="O1791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1792" spans="1:15" x14ac:dyDescent="0.25">
      <c r="A1792" s="1">
        <v>913759</v>
      </c>
      <c r="B1792" s="1" t="s">
        <v>16</v>
      </c>
      <c r="C1792" s="1" t="s">
        <v>17</v>
      </c>
      <c r="D1792" s="2">
        <v>44627.304265393519</v>
      </c>
      <c r="E1792" s="1" t="s">
        <v>8</v>
      </c>
      <c r="F1792" s="1">
        <v>2</v>
      </c>
      <c r="G1792" s="1">
        <v>0</v>
      </c>
      <c r="H1792" s="6">
        <f>INT(Query1[[#This Row],[EntryDateTime]])</f>
        <v>44627</v>
      </c>
      <c r="I1792" s="1">
        <f>IF(Query1[[#This Row],[ItemType]]="EVAP KIT SF GEN IV",Query1[[#This Row],[OrderQty]]+I1791,I1791)</f>
        <v>2049</v>
      </c>
      <c r="J1792" s="1">
        <f>IF(Query1[[#This Row],[ItemType]]="EVAP KIT UNIVERSAL",Query1[[#This Row],[OrderQty]]+J1791,J1791)</f>
        <v>889</v>
      </c>
      <c r="K1792" s="1">
        <f>Query1[[#This Row],[SF Running Total]]+Query1[[#This Row],[UNIV Running Total]]</f>
        <v>2938</v>
      </c>
      <c r="L1792">
        <f>VLOOKUP(Query1[[#This Row],[Description]],'kits to boards'!$B$2:$E$156,2,FALSE)</f>
        <v>830061</v>
      </c>
      <c r="M1792">
        <f>VLOOKUP(Query1[[#This Row],[Description]],'kits to boards'!$B$2:$E$156,3,FALSE)</f>
        <v>0</v>
      </c>
      <c r="N1792">
        <f>VLOOKUP(Query1[[#This Row],[Description]],'kits to boards'!$B$2:$E$156,4,FALSE)</f>
        <v>0</v>
      </c>
      <c r="O1792" t="str">
        <f>CONCATENATE(Query1[[#This Row],[Description]]," - ",Query1[[#This Row],[MB1]]," - ",Query1[[#This Row],[MB2]]," - ",Query1[[#This Row],[MB3]])</f>
        <v>EVAP KIT 68-69 CHEVELLE W/AC - 830061 - 0 - 0</v>
      </c>
    </row>
    <row r="1793" spans="1:15" x14ac:dyDescent="0.25">
      <c r="A1793" s="1">
        <v>913759</v>
      </c>
      <c r="B1793" s="1" t="s">
        <v>216</v>
      </c>
      <c r="C1793" s="1" t="s">
        <v>217</v>
      </c>
      <c r="D1793" s="2">
        <v>44627.304265393519</v>
      </c>
      <c r="E1793" s="1" t="s">
        <v>8</v>
      </c>
      <c r="F1793" s="1">
        <v>2</v>
      </c>
      <c r="G1793" s="1">
        <v>0</v>
      </c>
      <c r="H1793" s="6">
        <f>INT(Query1[[#This Row],[EntryDateTime]])</f>
        <v>44627</v>
      </c>
      <c r="I1793" s="1">
        <f>IF(Query1[[#This Row],[ItemType]]="EVAP KIT SF GEN IV",Query1[[#This Row],[OrderQty]]+I1792,I1792)</f>
        <v>2051</v>
      </c>
      <c r="J1793" s="1">
        <f>IF(Query1[[#This Row],[ItemType]]="EVAP KIT UNIVERSAL",Query1[[#This Row],[OrderQty]]+J1792,J1792)</f>
        <v>889</v>
      </c>
      <c r="K1793" s="1">
        <f>Query1[[#This Row],[SF Running Total]]+Query1[[#This Row],[UNIV Running Total]]</f>
        <v>2940</v>
      </c>
      <c r="L1793">
        <f>VLOOKUP(Query1[[#This Row],[Description]],'kits to boards'!$B$2:$E$156,2,FALSE)</f>
        <v>830072</v>
      </c>
      <c r="M1793">
        <f>VLOOKUP(Query1[[#This Row],[Description]],'kits to boards'!$B$2:$E$156,3,FALSE)</f>
        <v>830075</v>
      </c>
      <c r="N1793">
        <f>VLOOKUP(Query1[[#This Row],[Description]],'kits to boards'!$B$2:$E$156,4,FALSE)</f>
        <v>0</v>
      </c>
      <c r="O1793" t="str">
        <f>CONCATENATE(Query1[[#This Row],[Description]]," - ",Query1[[#This Row],[MB1]]," - ",Query1[[#This Row],[MB2]]," - ",Query1[[#This Row],[MB3]])</f>
        <v>EVAP KIT 69-70 MOPAR B BODY W/AC - 830072 - 830075 - 0</v>
      </c>
    </row>
    <row r="1794" spans="1:15" x14ac:dyDescent="0.25">
      <c r="A1794" s="1">
        <v>913759</v>
      </c>
      <c r="B1794" s="1" t="s">
        <v>66</v>
      </c>
      <c r="C1794" s="1" t="s">
        <v>67</v>
      </c>
      <c r="D1794" s="2">
        <v>44627.304265393519</v>
      </c>
      <c r="E1794" s="1" t="s">
        <v>8</v>
      </c>
      <c r="F1794" s="1">
        <v>1</v>
      </c>
      <c r="G1794" s="1">
        <v>0</v>
      </c>
      <c r="H1794" s="6">
        <f>INT(Query1[[#This Row],[EntryDateTime]])</f>
        <v>44627</v>
      </c>
      <c r="I1794" s="1">
        <f>IF(Query1[[#This Row],[ItemType]]="EVAP KIT SF GEN IV",Query1[[#This Row],[OrderQty]]+I1793,I1793)</f>
        <v>2052</v>
      </c>
      <c r="J1794" s="1">
        <f>IF(Query1[[#This Row],[ItemType]]="EVAP KIT UNIVERSAL",Query1[[#This Row],[OrderQty]]+J1793,J1793)</f>
        <v>889</v>
      </c>
      <c r="K1794" s="1">
        <f>Query1[[#This Row],[SF Running Total]]+Query1[[#This Row],[UNIV Running Total]]</f>
        <v>2941</v>
      </c>
      <c r="L1794">
        <f>VLOOKUP(Query1[[#This Row],[Description]],'kits to boards'!$B$2:$E$156,2,FALSE)</f>
        <v>830060</v>
      </c>
      <c r="M1794">
        <f>VLOOKUP(Query1[[#This Row],[Description]],'kits to boards'!$B$2:$E$156,3,FALSE)</f>
        <v>0</v>
      </c>
      <c r="N1794">
        <f>VLOOKUP(Query1[[#This Row],[Description]],'kits to boards'!$B$2:$E$156,4,FALSE)</f>
        <v>0</v>
      </c>
      <c r="O1794" t="str">
        <f>CONCATENATE(Query1[[#This Row],[Description]]," - ",Query1[[#This Row],[MB1]]," - ",Query1[[#This Row],[MB2]]," - ",Query1[[#This Row],[MB3]])</f>
        <v>EVAP KIT 66-67 CHEVELLE WO AC - 830060 - 0 - 0</v>
      </c>
    </row>
    <row r="1795" spans="1:15" x14ac:dyDescent="0.25">
      <c r="A1795" s="1">
        <v>913759</v>
      </c>
      <c r="B1795" s="1" t="s">
        <v>140</v>
      </c>
      <c r="C1795" s="1" t="s">
        <v>141</v>
      </c>
      <c r="D1795" s="2">
        <v>44627.304265393519</v>
      </c>
      <c r="E1795" s="1" t="s">
        <v>8</v>
      </c>
      <c r="F1795" s="1">
        <v>1</v>
      </c>
      <c r="G1795" s="1">
        <v>0</v>
      </c>
      <c r="H1795" s="6">
        <f>INT(Query1[[#This Row],[EntryDateTime]])</f>
        <v>44627</v>
      </c>
      <c r="I1795" s="1">
        <f>IF(Query1[[#This Row],[ItemType]]="EVAP KIT SF GEN IV",Query1[[#This Row],[OrderQty]]+I1794,I1794)</f>
        <v>2053</v>
      </c>
      <c r="J1795" s="1">
        <f>IF(Query1[[#This Row],[ItemType]]="EVAP KIT UNIVERSAL",Query1[[#This Row],[OrderQty]]+J1794,J1794)</f>
        <v>889</v>
      </c>
      <c r="K1795" s="1">
        <f>Query1[[#This Row],[SF Running Total]]+Query1[[#This Row],[UNIV Running Total]]</f>
        <v>2942</v>
      </c>
      <c r="L1795">
        <f>VLOOKUP(Query1[[#This Row],[Description]],'kits to boards'!$B$2:$E$156,2,FALSE)</f>
        <v>830066</v>
      </c>
      <c r="M1795">
        <f>VLOOKUP(Query1[[#This Row],[Description]],'kits to boards'!$B$2:$E$156,3,FALSE)</f>
        <v>0</v>
      </c>
      <c r="N1795">
        <f>VLOOKUP(Query1[[#This Row],[Description]],'kits to boards'!$B$2:$E$156,4,FALSE)</f>
        <v>0</v>
      </c>
      <c r="O1795" t="str">
        <f>CONCATENATE(Query1[[#This Row],[Description]]," - ",Query1[[#This Row],[MB1]]," - ",Query1[[#This Row],[MB2]]," - ",Query1[[#This Row],[MB3]])</f>
        <v>EVAP KIT 60-63 CHEV P-UP WO AC - 830066 - 0 - 0</v>
      </c>
    </row>
    <row r="1796" spans="1:15" x14ac:dyDescent="0.25">
      <c r="A1796" s="1">
        <v>913759</v>
      </c>
      <c r="B1796" s="1" t="s">
        <v>50</v>
      </c>
      <c r="C1796" s="1" t="s">
        <v>51</v>
      </c>
      <c r="D1796" s="2">
        <v>44627.304265393519</v>
      </c>
      <c r="E1796" s="1" t="s">
        <v>8</v>
      </c>
      <c r="F1796" s="1">
        <v>2</v>
      </c>
      <c r="G1796" s="1">
        <v>0</v>
      </c>
      <c r="H1796" s="6">
        <f>INT(Query1[[#This Row],[EntryDateTime]])</f>
        <v>44627</v>
      </c>
      <c r="I1796" s="1">
        <f>IF(Query1[[#This Row],[ItemType]]="EVAP KIT SF GEN IV",Query1[[#This Row],[OrderQty]]+I1795,I1795)</f>
        <v>2055</v>
      </c>
      <c r="J1796" s="1">
        <f>IF(Query1[[#This Row],[ItemType]]="EVAP KIT UNIVERSAL",Query1[[#This Row],[OrderQty]]+J1795,J1795)</f>
        <v>889</v>
      </c>
      <c r="K1796" s="1">
        <f>Query1[[#This Row],[SF Running Total]]+Query1[[#This Row],[UNIV Running Total]]</f>
        <v>2944</v>
      </c>
      <c r="L1796">
        <f>VLOOKUP(Query1[[#This Row],[Description]],'kits to boards'!$B$2:$E$156,2,FALSE)</f>
        <v>830043</v>
      </c>
      <c r="M1796">
        <f>VLOOKUP(Query1[[#This Row],[Description]],'kits to boards'!$B$2:$E$156,3,FALSE)</f>
        <v>0</v>
      </c>
      <c r="N1796">
        <f>VLOOKUP(Query1[[#This Row],[Description]],'kits to boards'!$B$2:$E$156,4,FALSE)</f>
        <v>0</v>
      </c>
      <c r="O1796" t="str">
        <f>CONCATENATE(Query1[[#This Row],[Description]]," - ",Query1[[#This Row],[MB1]]," - ",Query1[[#This Row],[MB2]]," - ",Query1[[#This Row],[MB3]])</f>
        <v>EVAP KIT 69-74 NOVA WO AC - 830043 - 0 - 0</v>
      </c>
    </row>
    <row r="1797" spans="1:15" x14ac:dyDescent="0.25">
      <c r="A1797" s="1">
        <v>913759</v>
      </c>
      <c r="B1797" s="1" t="s">
        <v>32</v>
      </c>
      <c r="C1797" s="1" t="s">
        <v>33</v>
      </c>
      <c r="D1797" s="2">
        <v>44627.304265393519</v>
      </c>
      <c r="E1797" s="1" t="s">
        <v>8</v>
      </c>
      <c r="F1797" s="1">
        <v>1</v>
      </c>
      <c r="G1797" s="1">
        <v>0</v>
      </c>
      <c r="H1797" s="6">
        <f>INT(Query1[[#This Row],[EntryDateTime]])</f>
        <v>44627</v>
      </c>
      <c r="I1797" s="1">
        <f>IF(Query1[[#This Row],[ItemType]]="EVAP KIT SF GEN IV",Query1[[#This Row],[OrderQty]]+I1796,I1796)</f>
        <v>2056</v>
      </c>
      <c r="J1797" s="1">
        <f>IF(Query1[[#This Row],[ItemType]]="EVAP KIT UNIVERSAL",Query1[[#This Row],[OrderQty]]+J1796,J1796)</f>
        <v>889</v>
      </c>
      <c r="K1797" s="1">
        <f>Query1[[#This Row],[SF Running Total]]+Query1[[#This Row],[UNIV Running Total]]</f>
        <v>2945</v>
      </c>
      <c r="L1797">
        <f>VLOOKUP(Query1[[#This Row],[Description]],'kits to boards'!$B$2:$E$156,2,FALSE)</f>
        <v>830016</v>
      </c>
      <c r="M1797">
        <f>VLOOKUP(Query1[[#This Row],[Description]],'kits to boards'!$B$2:$E$156,3,FALSE)</f>
        <v>0</v>
      </c>
      <c r="N1797">
        <f>VLOOKUP(Query1[[#This Row],[Description]],'kits to boards'!$B$2:$E$156,4,FALSE)</f>
        <v>0</v>
      </c>
      <c r="O1797" t="str">
        <f>CONCATENATE(Query1[[#This Row],[Description]]," - ",Query1[[#This Row],[MB1]]," - ",Query1[[#This Row],[MB2]]," - ",Query1[[#This Row],[MB3]])</f>
        <v>EVAP KIT 67-68 CAMARO/FIREBIRD W/AC - 830016 - 0 - 0</v>
      </c>
    </row>
    <row r="1798" spans="1:15" x14ac:dyDescent="0.25">
      <c r="A1798" s="1">
        <v>913761</v>
      </c>
      <c r="B1798" s="1" t="s">
        <v>24</v>
      </c>
      <c r="C1798" s="1" t="s">
        <v>25</v>
      </c>
      <c r="D1798" s="2">
        <v>44627.30573359954</v>
      </c>
      <c r="E1798" s="1" t="s">
        <v>11</v>
      </c>
      <c r="F1798" s="1">
        <v>2</v>
      </c>
      <c r="G1798" s="1">
        <v>0</v>
      </c>
      <c r="H1798" s="6">
        <f>INT(Query1[[#This Row],[EntryDateTime]])</f>
        <v>44627</v>
      </c>
      <c r="I1798" s="1">
        <f>IF(Query1[[#This Row],[ItemType]]="EVAP KIT SF GEN IV",Query1[[#This Row],[OrderQty]]+I1797,I1797)</f>
        <v>2056</v>
      </c>
      <c r="J1798" s="1">
        <f>IF(Query1[[#This Row],[ItemType]]="EVAP KIT UNIVERSAL",Query1[[#This Row],[OrderQty]]+J1797,J1797)</f>
        <v>891</v>
      </c>
      <c r="K1798" s="1">
        <f>Query1[[#This Row],[SF Running Total]]+Query1[[#This Row],[UNIV Running Total]]</f>
        <v>2947</v>
      </c>
      <c r="L1798">
        <f>VLOOKUP(Query1[[#This Row],[Description]],'kits to boards'!$B$2:$E$156,2,FALSE)</f>
        <v>830029</v>
      </c>
      <c r="M1798">
        <f>VLOOKUP(Query1[[#This Row],[Description]],'kits to boards'!$B$2:$E$156,3,FALSE)</f>
        <v>830030</v>
      </c>
      <c r="N1798">
        <f>VLOOKUP(Query1[[#This Row],[Description]],'kits to boards'!$B$2:$E$156,4,FALSE)</f>
        <v>0</v>
      </c>
      <c r="O1798" t="str">
        <f>CONCATENATE(Query1[[#This Row],[Description]]," - ",Query1[[#This Row],[MB1]]," - ",Query1[[#This Row],[MB2]]," - ",Query1[[#This Row],[MB3]])</f>
        <v>ComPac GEN II W/DEF - 830029 - 830030 - 0</v>
      </c>
    </row>
    <row r="1799" spans="1:15" x14ac:dyDescent="0.25">
      <c r="A1799" s="1">
        <v>913761</v>
      </c>
      <c r="B1799" s="1" t="s">
        <v>98</v>
      </c>
      <c r="C1799" s="1" t="s">
        <v>99</v>
      </c>
      <c r="D1799" s="2">
        <v>44627.30573359954</v>
      </c>
      <c r="E1799" s="1" t="s">
        <v>11</v>
      </c>
      <c r="F1799" s="1">
        <v>1</v>
      </c>
      <c r="G1799" s="1">
        <v>0</v>
      </c>
      <c r="H1799" s="6">
        <f>INT(Query1[[#This Row],[EntryDateTime]])</f>
        <v>44627</v>
      </c>
      <c r="I1799" s="1">
        <f>IF(Query1[[#This Row],[ItemType]]="EVAP KIT SF GEN IV",Query1[[#This Row],[OrderQty]]+I1798,I1798)</f>
        <v>2056</v>
      </c>
      <c r="J1799" s="1">
        <f>IF(Query1[[#This Row],[ItemType]]="EVAP KIT UNIVERSAL",Query1[[#This Row],[OrderQty]]+J1798,J1798)</f>
        <v>892</v>
      </c>
      <c r="K1799" s="1">
        <f>Query1[[#This Row],[SF Running Total]]+Query1[[#This Row],[UNIV Running Total]]</f>
        <v>2948</v>
      </c>
      <c r="L1799">
        <f>VLOOKUP(Query1[[#This Row],[Description]],'kits to boards'!$B$2:$E$156,2,FALSE)</f>
        <v>830099</v>
      </c>
      <c r="M1799">
        <f>VLOOKUP(Query1[[#This Row],[Description]],'kits to boards'!$B$2:$E$156,3,FALSE)</f>
        <v>0</v>
      </c>
      <c r="N1799">
        <f>VLOOKUP(Query1[[#This Row],[Description]],'kits to boards'!$B$2:$E$156,4,FALSE)</f>
        <v>0</v>
      </c>
      <c r="O1799" t="str">
        <f>CONCATENATE(Query1[[#This Row],[Description]]," - ",Query1[[#This Row],[MB1]]," - ",Query1[[#This Row],[MB2]]," - ",Query1[[#This Row],[MB3]])</f>
        <v>MINI GEN II W/DEF - 830099 - 0 - 0</v>
      </c>
    </row>
    <row r="1800" spans="1:15" x14ac:dyDescent="0.25">
      <c r="A1800" s="1">
        <v>913761</v>
      </c>
      <c r="B1800" s="1" t="s">
        <v>76</v>
      </c>
      <c r="C1800" s="1" t="s">
        <v>77</v>
      </c>
      <c r="D1800" s="2">
        <v>44627.30573359954</v>
      </c>
      <c r="E1800" s="1" t="s">
        <v>11</v>
      </c>
      <c r="F1800" s="1">
        <v>1</v>
      </c>
      <c r="G1800" s="1">
        <v>0</v>
      </c>
      <c r="H1800" s="6">
        <f>INT(Query1[[#This Row],[EntryDateTime]])</f>
        <v>44627</v>
      </c>
      <c r="I1800" s="1">
        <f>IF(Query1[[#This Row],[ItemType]]="EVAP KIT SF GEN IV",Query1[[#This Row],[OrderQty]]+I1799,I1799)</f>
        <v>2056</v>
      </c>
      <c r="J1800" s="1">
        <f>IF(Query1[[#This Row],[ItemType]]="EVAP KIT UNIVERSAL",Query1[[#This Row],[OrderQty]]+J1799,J1799)</f>
        <v>893</v>
      </c>
      <c r="K1800" s="1">
        <f>Query1[[#This Row],[SF Running Total]]+Query1[[#This Row],[UNIV Running Total]]</f>
        <v>2949</v>
      </c>
      <c r="L1800">
        <f>VLOOKUP(Query1[[#This Row],[Description]],'kits to boards'!$B$2:$E$156,2,FALSE)</f>
        <v>830099</v>
      </c>
      <c r="M1800">
        <f>VLOOKUP(Query1[[#This Row],[Description]],'kits to boards'!$B$2:$E$156,3,FALSE)</f>
        <v>0</v>
      </c>
      <c r="N1800">
        <f>VLOOKUP(Query1[[#This Row],[Description]],'kits to boards'!$B$2:$E$156,4,FALSE)</f>
        <v>0</v>
      </c>
      <c r="O1800" t="str">
        <f>CONCATENATE(Query1[[#This Row],[Description]]," - ",Query1[[#This Row],[MB1]]," - ",Query1[[#This Row],[MB2]]," - ",Query1[[#This Row],[MB3]])</f>
        <v>MINI GEN II H/C - 830099 - 0 - 0</v>
      </c>
    </row>
    <row r="1801" spans="1:15" x14ac:dyDescent="0.25">
      <c r="A1801" s="1">
        <v>913761</v>
      </c>
      <c r="B1801" s="1" t="s">
        <v>196</v>
      </c>
      <c r="C1801" s="1" t="s">
        <v>197</v>
      </c>
      <c r="D1801" s="2">
        <v>44627.30573359954</v>
      </c>
      <c r="E1801" s="1" t="s">
        <v>11</v>
      </c>
      <c r="F1801" s="1">
        <v>1</v>
      </c>
      <c r="G1801" s="1">
        <v>0</v>
      </c>
      <c r="H1801" s="6">
        <f>INT(Query1[[#This Row],[EntryDateTime]])</f>
        <v>44627</v>
      </c>
      <c r="I1801" s="1">
        <f>IF(Query1[[#This Row],[ItemType]]="EVAP KIT SF GEN IV",Query1[[#This Row],[OrderQty]]+I1800,I1800)</f>
        <v>2056</v>
      </c>
      <c r="J1801" s="1">
        <f>IF(Query1[[#This Row],[ItemType]]="EVAP KIT UNIVERSAL",Query1[[#This Row],[OrderQty]]+J1800,J1800)</f>
        <v>894</v>
      </c>
      <c r="K1801" s="1">
        <f>Query1[[#This Row],[SF Running Total]]+Query1[[#This Row],[UNIV Running Total]]</f>
        <v>2950</v>
      </c>
      <c r="L1801">
        <f>VLOOKUP(Query1[[#This Row],[Description]],'kits to boards'!$B$2:$E$156,2,FALSE)</f>
        <v>830090</v>
      </c>
      <c r="M1801">
        <f>VLOOKUP(Query1[[#This Row],[Description]],'kits to boards'!$B$2:$E$156,3,FALSE)</f>
        <v>0</v>
      </c>
      <c r="N1801">
        <f>VLOOKUP(Query1[[#This Row],[Description]],'kits to boards'!$B$2:$E$156,4,FALSE)</f>
        <v>0</v>
      </c>
      <c r="O1801" t="str">
        <f>CONCATENATE(Query1[[#This Row],[Description]]," - ",Query1[[#This Row],[MB1]]," - ",Query1[[#This Row],[MB2]]," - ",Query1[[#This Row],[MB3]])</f>
        <v>TRUNK UNIT HEAT/COOL 134A - 830090 - 0 - 0</v>
      </c>
    </row>
    <row r="1802" spans="1:15" x14ac:dyDescent="0.25">
      <c r="A1802" s="1">
        <v>913765</v>
      </c>
      <c r="B1802" s="1" t="s">
        <v>98</v>
      </c>
      <c r="C1802" s="1" t="s">
        <v>99</v>
      </c>
      <c r="D1802" s="2">
        <v>44627.320065891203</v>
      </c>
      <c r="E1802" s="1" t="s">
        <v>11</v>
      </c>
      <c r="F1802" s="1">
        <v>1</v>
      </c>
      <c r="G1802" s="1">
        <v>0</v>
      </c>
      <c r="H1802" s="6">
        <f>INT(Query1[[#This Row],[EntryDateTime]])</f>
        <v>44627</v>
      </c>
      <c r="I1802" s="1">
        <f>IF(Query1[[#This Row],[ItemType]]="EVAP KIT SF GEN IV",Query1[[#This Row],[OrderQty]]+I1801,I1801)</f>
        <v>2056</v>
      </c>
      <c r="J1802" s="1">
        <f>IF(Query1[[#This Row],[ItemType]]="EVAP KIT UNIVERSAL",Query1[[#This Row],[OrderQty]]+J1801,J1801)</f>
        <v>895</v>
      </c>
      <c r="K1802" s="1">
        <f>Query1[[#This Row],[SF Running Total]]+Query1[[#This Row],[UNIV Running Total]]</f>
        <v>2951</v>
      </c>
      <c r="L1802">
        <f>VLOOKUP(Query1[[#This Row],[Description]],'kits to boards'!$B$2:$E$156,2,FALSE)</f>
        <v>830099</v>
      </c>
      <c r="M1802">
        <f>VLOOKUP(Query1[[#This Row],[Description]],'kits to boards'!$B$2:$E$156,3,FALSE)</f>
        <v>0</v>
      </c>
      <c r="N1802">
        <f>VLOOKUP(Query1[[#This Row],[Description]],'kits to boards'!$B$2:$E$156,4,FALSE)</f>
        <v>0</v>
      </c>
      <c r="O1802" t="str">
        <f>CONCATENATE(Query1[[#This Row],[Description]]," - ",Query1[[#This Row],[MB1]]," - ",Query1[[#This Row],[MB2]]," - ",Query1[[#This Row],[MB3]])</f>
        <v>MINI GEN II W/DEF - 830099 - 0 - 0</v>
      </c>
    </row>
    <row r="1803" spans="1:15" x14ac:dyDescent="0.25">
      <c r="A1803" s="1">
        <v>913765</v>
      </c>
      <c r="B1803" s="1" t="s">
        <v>22</v>
      </c>
      <c r="C1803" s="1" t="s">
        <v>23</v>
      </c>
      <c r="D1803" s="2">
        <v>44627.320332025462</v>
      </c>
      <c r="E1803" s="1" t="s">
        <v>8</v>
      </c>
      <c r="F1803" s="1">
        <v>4</v>
      </c>
      <c r="G1803" s="1">
        <v>0</v>
      </c>
      <c r="H1803" s="6">
        <f>INT(Query1[[#This Row],[EntryDateTime]])</f>
        <v>44627</v>
      </c>
      <c r="I1803" s="1">
        <f>IF(Query1[[#This Row],[ItemType]]="EVAP KIT SF GEN IV",Query1[[#This Row],[OrderQty]]+I1802,I1802)</f>
        <v>2060</v>
      </c>
      <c r="J1803" s="1">
        <f>IF(Query1[[#This Row],[ItemType]]="EVAP KIT UNIVERSAL",Query1[[#This Row],[OrderQty]]+J1802,J1802)</f>
        <v>895</v>
      </c>
      <c r="K1803" s="1">
        <f>Query1[[#This Row],[SF Running Total]]+Query1[[#This Row],[UNIV Running Total]]</f>
        <v>2955</v>
      </c>
      <c r="L1803">
        <f>VLOOKUP(Query1[[#This Row],[Description]],'kits to boards'!$B$2:$E$156,2,FALSE)</f>
        <v>830083</v>
      </c>
      <c r="M1803">
        <f>VLOOKUP(Query1[[#This Row],[Description]],'kits to boards'!$B$2:$E$156,3,FALSE)</f>
        <v>0</v>
      </c>
      <c r="N1803">
        <f>VLOOKUP(Query1[[#This Row],[Description]],'kits to boards'!$B$2:$E$156,4,FALSE)</f>
        <v>0</v>
      </c>
      <c r="O1803" t="str">
        <f>CONCATENATE(Query1[[#This Row],[Description]]," - ",Query1[[#This Row],[MB1]]," - ",Query1[[#This Row],[MB2]]," - ",Query1[[#This Row],[MB3]])</f>
        <v>GEN IV MAGNUM EVAP KIT - 830083 - 0 - 0</v>
      </c>
    </row>
    <row r="1804" spans="1:15" x14ac:dyDescent="0.25">
      <c r="A1804" s="1">
        <v>913765</v>
      </c>
      <c r="B1804" s="1" t="s">
        <v>28</v>
      </c>
      <c r="C1804" s="1" t="s">
        <v>29</v>
      </c>
      <c r="D1804" s="2">
        <v>44627.320466863428</v>
      </c>
      <c r="E1804" s="1" t="s">
        <v>8</v>
      </c>
      <c r="F1804" s="1">
        <v>1</v>
      </c>
      <c r="G1804" s="1">
        <v>0</v>
      </c>
      <c r="H1804" s="6">
        <f>INT(Query1[[#This Row],[EntryDateTime]])</f>
        <v>44627</v>
      </c>
      <c r="I1804" s="1">
        <f>IF(Query1[[#This Row],[ItemType]]="EVAP KIT SF GEN IV",Query1[[#This Row],[OrderQty]]+I1803,I1803)</f>
        <v>2061</v>
      </c>
      <c r="J1804" s="1">
        <f>IF(Query1[[#This Row],[ItemType]]="EVAP KIT UNIVERSAL",Query1[[#This Row],[OrderQty]]+J1803,J1803)</f>
        <v>895</v>
      </c>
      <c r="K1804" s="1">
        <f>Query1[[#This Row],[SF Running Total]]+Query1[[#This Row],[UNIV Running Total]]</f>
        <v>2956</v>
      </c>
      <c r="L1804">
        <f>VLOOKUP(Query1[[#This Row],[Description]],'kits to boards'!$B$2:$E$156,2,FALSE)</f>
        <v>830001</v>
      </c>
      <c r="M1804">
        <f>VLOOKUP(Query1[[#This Row],[Description]],'kits to boards'!$B$2:$E$156,3,FALSE)</f>
        <v>0</v>
      </c>
      <c r="N1804">
        <f>VLOOKUP(Query1[[#This Row],[Description]],'kits to boards'!$B$2:$E$156,4,FALSE)</f>
        <v>0</v>
      </c>
      <c r="O1804" t="str">
        <f>CONCATENATE(Query1[[#This Row],[Description]]," - ",Query1[[#This Row],[MB1]]," - ",Query1[[#This Row],[MB2]]," - ",Query1[[#This Row],[MB3]])</f>
        <v>EVAP KIT 73-80 CHEV P-UP W/AC - 830001 - 0 - 0</v>
      </c>
    </row>
    <row r="1805" spans="1:15" x14ac:dyDescent="0.25">
      <c r="A1805" s="1">
        <v>913765</v>
      </c>
      <c r="B1805" s="1" t="s">
        <v>178</v>
      </c>
      <c r="C1805" s="1" t="s">
        <v>179</v>
      </c>
      <c r="D1805" s="2">
        <v>44627.320848298608</v>
      </c>
      <c r="E1805" s="1" t="s">
        <v>8</v>
      </c>
      <c r="F1805" s="1">
        <v>1</v>
      </c>
      <c r="G1805" s="1">
        <v>0</v>
      </c>
      <c r="H1805" s="6">
        <f>INT(Query1[[#This Row],[EntryDateTime]])</f>
        <v>44627</v>
      </c>
      <c r="I1805" s="1">
        <f>IF(Query1[[#This Row],[ItemType]]="EVAP KIT SF GEN IV",Query1[[#This Row],[OrderQty]]+I1804,I1804)</f>
        <v>2062</v>
      </c>
      <c r="J1805" s="1">
        <f>IF(Query1[[#This Row],[ItemType]]="EVAP KIT UNIVERSAL",Query1[[#This Row],[OrderQty]]+J1804,J1804)</f>
        <v>895</v>
      </c>
      <c r="K1805" s="1">
        <f>Query1[[#This Row],[SF Running Total]]+Query1[[#This Row],[UNIV Running Total]]</f>
        <v>2957</v>
      </c>
      <c r="L1805">
        <f>VLOOKUP(Query1[[#This Row],[Description]],'kits to boards'!$B$2:$E$156,2,FALSE)</f>
        <v>830009</v>
      </c>
      <c r="M1805">
        <f>VLOOKUP(Query1[[#This Row],[Description]],'kits to boards'!$B$2:$E$156,3,FALSE)</f>
        <v>0</v>
      </c>
      <c r="N1805">
        <f>VLOOKUP(Query1[[#This Row],[Description]],'kits to boards'!$B$2:$E$156,4,FALSE)</f>
        <v>0</v>
      </c>
      <c r="O1805" t="str">
        <f>CONCATENATE(Query1[[#This Row],[Description]]," - ",Query1[[#This Row],[MB1]]," - ",Query1[[#This Row],[MB2]]," - ",Query1[[#This Row],[MB3]])</f>
        <v>EVAP KIT 63 IMPALA W/AC - 830009 - 0 - 0</v>
      </c>
    </row>
    <row r="1806" spans="1:15" x14ac:dyDescent="0.25">
      <c r="A1806" s="1">
        <v>913765</v>
      </c>
      <c r="B1806" s="1" t="s">
        <v>42</v>
      </c>
      <c r="C1806" s="1" t="s">
        <v>43</v>
      </c>
      <c r="D1806" s="2">
        <v>44627.321351539351</v>
      </c>
      <c r="E1806" s="1" t="s">
        <v>8</v>
      </c>
      <c r="F1806" s="1">
        <v>1</v>
      </c>
      <c r="G1806" s="1">
        <v>0</v>
      </c>
      <c r="H1806" s="6">
        <f>INT(Query1[[#This Row],[EntryDateTime]])</f>
        <v>44627</v>
      </c>
      <c r="I1806" s="1">
        <f>IF(Query1[[#This Row],[ItemType]]="EVAP KIT SF GEN IV",Query1[[#This Row],[OrderQty]]+I1805,I1805)</f>
        <v>2063</v>
      </c>
      <c r="J1806" s="1">
        <f>IF(Query1[[#This Row],[ItemType]]="EVAP KIT UNIVERSAL",Query1[[#This Row],[OrderQty]]+J1805,J1805)</f>
        <v>895</v>
      </c>
      <c r="K1806" s="1">
        <f>Query1[[#This Row],[SF Running Total]]+Query1[[#This Row],[UNIV Running Total]]</f>
        <v>2958</v>
      </c>
      <c r="L1806">
        <f>VLOOKUP(Query1[[#This Row],[Description]],'kits to boards'!$B$2:$E$156,2,FALSE)</f>
        <v>830014</v>
      </c>
      <c r="M1806">
        <f>VLOOKUP(Query1[[#This Row],[Description]],'kits to boards'!$B$2:$E$156,3,FALSE)</f>
        <v>0</v>
      </c>
      <c r="N1806">
        <f>VLOOKUP(Query1[[#This Row],[Description]],'kits to boards'!$B$2:$E$156,4,FALSE)</f>
        <v>0</v>
      </c>
      <c r="O1806" t="str">
        <f>CONCATENATE(Query1[[#This Row],[Description]]," - ",Query1[[#This Row],[MB1]]," - ",Query1[[#This Row],[MB2]]," - ",Query1[[#This Row],[MB3]])</f>
        <v>EVAP KIT 67-72 CHEV P-UP WO AC - 830014 - 0 - 0</v>
      </c>
    </row>
    <row r="1807" spans="1:15" x14ac:dyDescent="0.25">
      <c r="A1807" s="1">
        <v>913765</v>
      </c>
      <c r="B1807" s="1" t="s">
        <v>64</v>
      </c>
      <c r="C1807" s="1" t="s">
        <v>65</v>
      </c>
      <c r="D1807" s="2">
        <v>44627.321877048613</v>
      </c>
      <c r="E1807" s="1" t="s">
        <v>8</v>
      </c>
      <c r="F1807" s="1">
        <v>1</v>
      </c>
      <c r="G1807" s="1">
        <v>0</v>
      </c>
      <c r="H1807" s="6">
        <f>INT(Query1[[#This Row],[EntryDateTime]])</f>
        <v>44627</v>
      </c>
      <c r="I1807" s="1">
        <f>IF(Query1[[#This Row],[ItemType]]="EVAP KIT SF GEN IV",Query1[[#This Row],[OrderQty]]+I1806,I1806)</f>
        <v>2064</v>
      </c>
      <c r="J1807" s="1">
        <f>IF(Query1[[#This Row],[ItemType]]="EVAP KIT UNIVERSAL",Query1[[#This Row],[OrderQty]]+J1806,J1806)</f>
        <v>895</v>
      </c>
      <c r="K1807" s="1">
        <f>Query1[[#This Row],[SF Running Total]]+Query1[[#This Row],[UNIV Running Total]]</f>
        <v>2959</v>
      </c>
      <c r="L1807">
        <f>VLOOKUP(Query1[[#This Row],[Description]],'kits to boards'!$B$2:$E$156,2,FALSE)</f>
        <v>830067</v>
      </c>
      <c r="M1807">
        <f>VLOOKUP(Query1[[#This Row],[Description]],'kits to boards'!$B$2:$E$156,3,FALSE)</f>
        <v>0</v>
      </c>
      <c r="N1807">
        <f>VLOOKUP(Query1[[#This Row],[Description]],'kits to boards'!$B$2:$E$156,4,FALSE)</f>
        <v>0</v>
      </c>
      <c r="O1807" t="str">
        <f>CONCATENATE(Query1[[#This Row],[Description]]," - ",Query1[[#This Row],[MB1]]," - ",Query1[[#This Row],[MB2]]," - ",Query1[[#This Row],[MB3]])</f>
        <v>EVAP KIT 59-60 CHEV CAR 4-LEVER - 830067 - 0 - 0</v>
      </c>
    </row>
    <row r="1808" spans="1:15" x14ac:dyDescent="0.25">
      <c r="A1808" s="1">
        <v>913765</v>
      </c>
      <c r="B1808" s="1" t="s">
        <v>94</v>
      </c>
      <c r="C1808" s="1" t="s">
        <v>95</v>
      </c>
      <c r="D1808" s="2">
        <v>44627.322475266206</v>
      </c>
      <c r="E1808" s="1" t="s">
        <v>8</v>
      </c>
      <c r="F1808" s="1">
        <v>1</v>
      </c>
      <c r="G1808" s="1">
        <v>0</v>
      </c>
      <c r="H1808" s="6">
        <f>INT(Query1[[#This Row],[EntryDateTime]])</f>
        <v>44627</v>
      </c>
      <c r="I1808" s="1">
        <f>IF(Query1[[#This Row],[ItemType]]="EVAP KIT SF GEN IV",Query1[[#This Row],[OrderQty]]+I1807,I1807)</f>
        <v>2065</v>
      </c>
      <c r="J1808" s="1">
        <f>IF(Query1[[#This Row],[ItemType]]="EVAP KIT UNIVERSAL",Query1[[#This Row],[OrderQty]]+J1807,J1807)</f>
        <v>895</v>
      </c>
      <c r="K1808" s="1">
        <f>Query1[[#This Row],[SF Running Total]]+Query1[[#This Row],[UNIV Running Total]]</f>
        <v>2960</v>
      </c>
      <c r="L1808">
        <f>VLOOKUP(Query1[[#This Row],[Description]],'kits to boards'!$B$2:$E$156,2,FALSE)</f>
        <v>830076</v>
      </c>
      <c r="M1808">
        <f>VLOOKUP(Query1[[#This Row],[Description]],'kits to boards'!$B$2:$E$156,3,FALSE)</f>
        <v>0</v>
      </c>
      <c r="N1808">
        <f>VLOOKUP(Query1[[#This Row],[Description]],'kits to boards'!$B$2:$E$156,4,FALSE)</f>
        <v>0</v>
      </c>
      <c r="O1808" t="str">
        <f>CONCATENATE(Query1[[#This Row],[Description]]," - ",Query1[[#This Row],[MB1]]," - ",Query1[[#This Row],[MB2]]," - ",Query1[[#This Row],[MB3]])</f>
        <v>EVAP KIT 64 1/2- 66 MUSTANG  - 830076 - 0 - 0</v>
      </c>
    </row>
    <row r="1809" spans="1:15" x14ac:dyDescent="0.25">
      <c r="A1809" s="1">
        <v>913765</v>
      </c>
      <c r="B1809" s="1" t="s">
        <v>96</v>
      </c>
      <c r="C1809" s="1" t="s">
        <v>97</v>
      </c>
      <c r="D1809" s="2">
        <v>44627.323015856484</v>
      </c>
      <c r="E1809" s="1" t="s">
        <v>8</v>
      </c>
      <c r="F1809" s="1">
        <v>1</v>
      </c>
      <c r="G1809" s="1">
        <v>0</v>
      </c>
      <c r="H1809" s="6">
        <f>INT(Query1[[#This Row],[EntryDateTime]])</f>
        <v>44627</v>
      </c>
      <c r="I1809" s="1">
        <f>IF(Query1[[#This Row],[ItemType]]="EVAP KIT SF GEN IV",Query1[[#This Row],[OrderQty]]+I1808,I1808)</f>
        <v>2066</v>
      </c>
      <c r="J1809" s="1">
        <f>IF(Query1[[#This Row],[ItemType]]="EVAP KIT UNIVERSAL",Query1[[#This Row],[OrderQty]]+J1808,J1808)</f>
        <v>895</v>
      </c>
      <c r="K1809" s="1">
        <f>Query1[[#This Row],[SF Running Total]]+Query1[[#This Row],[UNIV Running Total]]</f>
        <v>2961</v>
      </c>
      <c r="L1809">
        <f>VLOOKUP(Query1[[#This Row],[Description]],'kits to boards'!$B$2:$E$156,2,FALSE)</f>
        <v>830004</v>
      </c>
      <c r="M1809">
        <f>VLOOKUP(Query1[[#This Row],[Description]],'kits to boards'!$B$2:$E$156,3,FALSE)</f>
        <v>0</v>
      </c>
      <c r="N1809">
        <f>VLOOKUP(Query1[[#This Row],[Description]],'kits to boards'!$B$2:$E$156,4,FALSE)</f>
        <v>0</v>
      </c>
      <c r="O1809" t="str">
        <f>CONCATENATE(Query1[[#This Row],[Description]]," - ",Query1[[#This Row],[MB1]]," - ",Query1[[#This Row],[MB2]]," - ",Query1[[#This Row],[MB3]])</f>
        <v>EVAP KIT 81-87 CHEV P-UP W/AC - 830004 - 0 - 0</v>
      </c>
    </row>
    <row r="1810" spans="1:15" x14ac:dyDescent="0.25">
      <c r="A1810" s="1">
        <v>913765</v>
      </c>
      <c r="B1810" s="1" t="s">
        <v>42</v>
      </c>
      <c r="C1810" s="1" t="s">
        <v>43</v>
      </c>
      <c r="D1810" s="2">
        <v>44627.323593749999</v>
      </c>
      <c r="E1810" s="1" t="s">
        <v>8</v>
      </c>
      <c r="F1810" s="1">
        <v>1</v>
      </c>
      <c r="G1810" s="1">
        <v>0</v>
      </c>
      <c r="H1810" s="6">
        <f>INT(Query1[[#This Row],[EntryDateTime]])</f>
        <v>44627</v>
      </c>
      <c r="I1810" s="1">
        <f>IF(Query1[[#This Row],[ItemType]]="EVAP KIT SF GEN IV",Query1[[#This Row],[OrderQty]]+I1809,I1809)</f>
        <v>2067</v>
      </c>
      <c r="J1810" s="1">
        <f>IF(Query1[[#This Row],[ItemType]]="EVAP KIT UNIVERSAL",Query1[[#This Row],[OrderQty]]+J1809,J1809)</f>
        <v>895</v>
      </c>
      <c r="K1810" s="1">
        <f>Query1[[#This Row],[SF Running Total]]+Query1[[#This Row],[UNIV Running Total]]</f>
        <v>2962</v>
      </c>
      <c r="L1810">
        <f>VLOOKUP(Query1[[#This Row],[Description]],'kits to boards'!$B$2:$E$156,2,FALSE)</f>
        <v>830014</v>
      </c>
      <c r="M1810">
        <f>VLOOKUP(Query1[[#This Row],[Description]],'kits to boards'!$B$2:$E$156,3,FALSE)</f>
        <v>0</v>
      </c>
      <c r="N1810">
        <f>VLOOKUP(Query1[[#This Row],[Description]],'kits to boards'!$B$2:$E$156,4,FALSE)</f>
        <v>0</v>
      </c>
      <c r="O1810" t="str">
        <f>CONCATENATE(Query1[[#This Row],[Description]]," - ",Query1[[#This Row],[MB1]]," - ",Query1[[#This Row],[MB2]]," - ",Query1[[#This Row],[MB3]])</f>
        <v>EVAP KIT 67-72 CHEV P-UP WO AC - 830014 - 0 - 0</v>
      </c>
    </row>
    <row r="1811" spans="1:15" x14ac:dyDescent="0.25">
      <c r="A1811" s="1">
        <v>913765</v>
      </c>
      <c r="B1811" s="1" t="s">
        <v>52</v>
      </c>
      <c r="C1811" s="1" t="s">
        <v>53</v>
      </c>
      <c r="D1811" s="2">
        <v>44627.324191782405</v>
      </c>
      <c r="E1811" s="1" t="s">
        <v>8</v>
      </c>
      <c r="F1811" s="1">
        <v>1</v>
      </c>
      <c r="G1811" s="1">
        <v>0</v>
      </c>
      <c r="H1811" s="6">
        <f>INT(Query1[[#This Row],[EntryDateTime]])</f>
        <v>44627</v>
      </c>
      <c r="I1811" s="1">
        <f>IF(Query1[[#This Row],[ItemType]]="EVAP KIT SF GEN IV",Query1[[#This Row],[OrderQty]]+I1810,I1810)</f>
        <v>2068</v>
      </c>
      <c r="J1811" s="1">
        <f>IF(Query1[[#This Row],[ItemType]]="EVAP KIT UNIVERSAL",Query1[[#This Row],[OrderQty]]+J1810,J1810)</f>
        <v>895</v>
      </c>
      <c r="K1811" s="1">
        <f>Query1[[#This Row],[SF Running Total]]+Query1[[#This Row],[UNIV Running Total]]</f>
        <v>2963</v>
      </c>
      <c r="L1811">
        <f>VLOOKUP(Query1[[#This Row],[Description]],'kits to boards'!$B$2:$E$156,2,FALSE)</f>
        <v>830017</v>
      </c>
      <c r="M1811">
        <f>VLOOKUP(Query1[[#This Row],[Description]],'kits to boards'!$B$2:$E$156,3,FALSE)</f>
        <v>830119</v>
      </c>
      <c r="N1811">
        <f>VLOOKUP(Query1[[#This Row],[Description]],'kits to boards'!$B$2:$E$156,4,FALSE)</f>
        <v>830120</v>
      </c>
      <c r="O1811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1812" spans="1:15" x14ac:dyDescent="0.25">
      <c r="A1812" s="1">
        <v>913765</v>
      </c>
      <c r="B1812" s="1" t="s">
        <v>150</v>
      </c>
      <c r="C1812" s="1" t="s">
        <v>151</v>
      </c>
      <c r="D1812" s="2">
        <v>44627.324776076392</v>
      </c>
      <c r="E1812" s="1" t="s">
        <v>8</v>
      </c>
      <c r="F1812" s="1">
        <v>1</v>
      </c>
      <c r="G1812" s="1">
        <v>0</v>
      </c>
      <c r="H1812" s="6">
        <f>INT(Query1[[#This Row],[EntryDateTime]])</f>
        <v>44627</v>
      </c>
      <c r="I1812" s="1">
        <f>IF(Query1[[#This Row],[ItemType]]="EVAP KIT SF GEN IV",Query1[[#This Row],[OrderQty]]+I1811,I1811)</f>
        <v>2069</v>
      </c>
      <c r="J1812" s="1">
        <f>IF(Query1[[#This Row],[ItemType]]="EVAP KIT UNIVERSAL",Query1[[#This Row],[OrderQty]]+J1811,J1811)</f>
        <v>895</v>
      </c>
      <c r="K1812" s="1">
        <f>Query1[[#This Row],[SF Running Total]]+Query1[[#This Row],[UNIV Running Total]]</f>
        <v>2964</v>
      </c>
      <c r="L1812">
        <f>VLOOKUP(Query1[[#This Row],[Description]],'kits to boards'!$B$2:$E$156,2,FALSE)</f>
        <v>830010</v>
      </c>
      <c r="M1812">
        <f>VLOOKUP(Query1[[#This Row],[Description]],'kits to boards'!$B$2:$E$156,3,FALSE)</f>
        <v>0</v>
      </c>
      <c r="N1812">
        <f>VLOOKUP(Query1[[#This Row],[Description]],'kits to boards'!$B$2:$E$156,4,FALSE)</f>
        <v>0</v>
      </c>
      <c r="O1812" t="str">
        <f>CONCATENATE(Query1[[#This Row],[Description]]," - ",Query1[[#This Row],[MB1]]," - ",Query1[[#This Row],[MB2]]," - ",Query1[[#This Row],[MB3]])</f>
        <v>EVAP KIT 70-72 MONTE CARLO W/AC - 830010 - 0 - 0</v>
      </c>
    </row>
    <row r="1813" spans="1:15" x14ac:dyDescent="0.25">
      <c r="A1813" s="1">
        <v>913772</v>
      </c>
      <c r="B1813" s="1" t="s">
        <v>94</v>
      </c>
      <c r="C1813" s="1" t="s">
        <v>95</v>
      </c>
      <c r="D1813" s="2">
        <v>44627.327735300925</v>
      </c>
      <c r="E1813" s="1" t="s">
        <v>8</v>
      </c>
      <c r="F1813" s="1">
        <v>1</v>
      </c>
      <c r="G1813" s="1">
        <v>0</v>
      </c>
      <c r="H1813" s="6">
        <f>INT(Query1[[#This Row],[EntryDateTime]])</f>
        <v>44627</v>
      </c>
      <c r="I1813" s="1">
        <f>IF(Query1[[#This Row],[ItemType]]="EVAP KIT SF GEN IV",Query1[[#This Row],[OrderQty]]+I1812,I1812)</f>
        <v>2070</v>
      </c>
      <c r="J1813" s="1">
        <f>IF(Query1[[#This Row],[ItemType]]="EVAP KIT UNIVERSAL",Query1[[#This Row],[OrderQty]]+J1812,J1812)</f>
        <v>895</v>
      </c>
      <c r="K1813" s="1">
        <f>Query1[[#This Row],[SF Running Total]]+Query1[[#This Row],[UNIV Running Total]]</f>
        <v>2965</v>
      </c>
      <c r="L1813">
        <f>VLOOKUP(Query1[[#This Row],[Description]],'kits to boards'!$B$2:$E$156,2,FALSE)</f>
        <v>830076</v>
      </c>
      <c r="M1813">
        <f>VLOOKUP(Query1[[#This Row],[Description]],'kits to boards'!$B$2:$E$156,3,FALSE)</f>
        <v>0</v>
      </c>
      <c r="N1813">
        <f>VLOOKUP(Query1[[#This Row],[Description]],'kits to boards'!$B$2:$E$156,4,FALSE)</f>
        <v>0</v>
      </c>
      <c r="O1813" t="str">
        <f>CONCATENATE(Query1[[#This Row],[Description]]," - ",Query1[[#This Row],[MB1]]," - ",Query1[[#This Row],[MB2]]," - ",Query1[[#This Row],[MB3]])</f>
        <v>EVAP KIT 64 1/2- 66 MUSTANG  - 830076 - 0 - 0</v>
      </c>
    </row>
    <row r="1814" spans="1:15" x14ac:dyDescent="0.25">
      <c r="A1814" s="1">
        <v>913781</v>
      </c>
      <c r="B1814" s="1" t="s">
        <v>192</v>
      </c>
      <c r="C1814" s="1" t="s">
        <v>193</v>
      </c>
      <c r="D1814" s="2">
        <v>44627.337493900464</v>
      </c>
      <c r="E1814" s="1" t="s">
        <v>8</v>
      </c>
      <c r="F1814" s="1">
        <v>1</v>
      </c>
      <c r="G1814" s="1">
        <v>0</v>
      </c>
      <c r="H1814" s="6">
        <f>INT(Query1[[#This Row],[EntryDateTime]])</f>
        <v>44627</v>
      </c>
      <c r="I1814" s="1">
        <f>IF(Query1[[#This Row],[ItemType]]="EVAP KIT SF GEN IV",Query1[[#This Row],[OrderQty]]+I1813,I1813)</f>
        <v>2071</v>
      </c>
      <c r="J1814" s="1">
        <f>IF(Query1[[#This Row],[ItemType]]="EVAP KIT UNIVERSAL",Query1[[#This Row],[OrderQty]]+J1813,J1813)</f>
        <v>895</v>
      </c>
      <c r="K1814" s="1">
        <f>Query1[[#This Row],[SF Running Total]]+Query1[[#This Row],[UNIV Running Total]]</f>
        <v>2966</v>
      </c>
      <c r="L1814">
        <f>VLOOKUP(Query1[[#This Row],[Description]],'kits to boards'!$B$2:$E$156,2,FALSE)</f>
        <v>830094</v>
      </c>
      <c r="M1814">
        <f>VLOOKUP(Query1[[#This Row],[Description]],'kits to boards'!$B$2:$E$156,3,FALSE)</f>
        <v>0</v>
      </c>
      <c r="N1814">
        <f>VLOOKUP(Query1[[#This Row],[Description]],'kits to boards'!$B$2:$E$156,4,FALSE)</f>
        <v>0</v>
      </c>
      <c r="O1814" t="str">
        <f>CONCATENATE(Query1[[#This Row],[Description]]," - ",Query1[[#This Row],[MB1]]," - ",Query1[[#This Row],[MB2]]," - ",Query1[[#This Row],[MB3]])</f>
        <v>EVAP KIT 69-73 VETTE W/AC - 830094 - 0 - 0</v>
      </c>
    </row>
    <row r="1815" spans="1:15" x14ac:dyDescent="0.25">
      <c r="A1815" s="1">
        <v>913784</v>
      </c>
      <c r="B1815" s="1" t="s">
        <v>102</v>
      </c>
      <c r="C1815" s="1" t="s">
        <v>103</v>
      </c>
      <c r="D1815" s="2">
        <v>44627.349520983793</v>
      </c>
      <c r="E1815" s="1" t="s">
        <v>8</v>
      </c>
      <c r="F1815" s="1">
        <v>1</v>
      </c>
      <c r="G1815" s="1">
        <v>0</v>
      </c>
      <c r="H1815" s="6">
        <f>INT(Query1[[#This Row],[EntryDateTime]])</f>
        <v>44627</v>
      </c>
      <c r="I1815" s="1">
        <f>IF(Query1[[#This Row],[ItemType]]="EVAP KIT SF GEN IV",Query1[[#This Row],[OrderQty]]+I1814,I1814)</f>
        <v>2072</v>
      </c>
      <c r="J1815" s="1">
        <f>IF(Query1[[#This Row],[ItemType]]="EVAP KIT UNIVERSAL",Query1[[#This Row],[OrderQty]]+J1814,J1814)</f>
        <v>895</v>
      </c>
      <c r="K1815" s="1">
        <f>Query1[[#This Row],[SF Running Total]]+Query1[[#This Row],[UNIV Running Total]]</f>
        <v>2967</v>
      </c>
      <c r="L1815">
        <f>VLOOKUP(Query1[[#This Row],[Description]],'kits to boards'!$B$2:$E$156,2,FALSE)</f>
        <v>830012</v>
      </c>
      <c r="M1815">
        <f>VLOOKUP(Query1[[#This Row],[Description]],'kits to boards'!$B$2:$E$156,3,FALSE)</f>
        <v>0</v>
      </c>
      <c r="N1815">
        <f>VLOOKUP(Query1[[#This Row],[Description]],'kits to boards'!$B$2:$E$156,4,FALSE)</f>
        <v>0</v>
      </c>
      <c r="O1815" t="str">
        <f>CONCATENATE(Query1[[#This Row],[Description]]," - ",Query1[[#This Row],[MB1]]," - ",Query1[[#This Row],[MB2]]," - ",Query1[[#This Row],[MB3]])</f>
        <v>EVAP KIT 69 CAMARO WO/AC - 830012 - 0 - 0</v>
      </c>
    </row>
    <row r="1816" spans="1:15" x14ac:dyDescent="0.25">
      <c r="A1816" s="1">
        <v>913629</v>
      </c>
      <c r="B1816" s="1" t="s">
        <v>36</v>
      </c>
      <c r="C1816" s="1" t="s">
        <v>37</v>
      </c>
      <c r="D1816" s="2">
        <v>44627.372291122687</v>
      </c>
      <c r="E1816" s="1" t="s">
        <v>8</v>
      </c>
      <c r="F1816" s="1">
        <v>1</v>
      </c>
      <c r="G1816" s="1">
        <v>0</v>
      </c>
      <c r="H1816" s="6">
        <f>INT(Query1[[#This Row],[EntryDateTime]])</f>
        <v>44627</v>
      </c>
      <c r="I1816" s="1">
        <f>IF(Query1[[#This Row],[ItemType]]="EVAP KIT SF GEN IV",Query1[[#This Row],[OrderQty]]+I1815,I1815)</f>
        <v>2073</v>
      </c>
      <c r="J1816" s="1">
        <f>IF(Query1[[#This Row],[ItemType]]="EVAP KIT UNIVERSAL",Query1[[#This Row],[OrderQty]]+J1815,J1815)</f>
        <v>895</v>
      </c>
      <c r="K1816" s="1">
        <f>Query1[[#This Row],[SF Running Total]]+Query1[[#This Row],[UNIV Running Total]]</f>
        <v>2968</v>
      </c>
      <c r="L1816">
        <f>VLOOKUP(Query1[[#This Row],[Description]],'kits to boards'!$B$2:$E$156,2,FALSE)</f>
        <v>830015</v>
      </c>
      <c r="M1816">
        <f>VLOOKUP(Query1[[#This Row],[Description]],'kits to boards'!$B$2:$E$156,3,FALSE)</f>
        <v>0</v>
      </c>
      <c r="N1816">
        <f>VLOOKUP(Query1[[#This Row],[Description]],'kits to boards'!$B$2:$E$156,4,FALSE)</f>
        <v>0</v>
      </c>
      <c r="O1816" t="str">
        <f>CONCATENATE(Query1[[#This Row],[Description]]," - ",Query1[[#This Row],[MB1]]," - ",Query1[[#This Row],[MB2]]," - ",Query1[[#This Row],[MB3]])</f>
        <v>EVAP KIT 64-66 CHEV P-UP WO AC W/STD - 830015 - 0 - 0</v>
      </c>
    </row>
    <row r="1817" spans="1:15" x14ac:dyDescent="0.25">
      <c r="A1817" s="1">
        <v>913794</v>
      </c>
      <c r="B1817" s="1" t="s">
        <v>28</v>
      </c>
      <c r="C1817" s="1" t="s">
        <v>29</v>
      </c>
      <c r="D1817" s="2">
        <v>44627.37313148148</v>
      </c>
      <c r="E1817" s="1" t="s">
        <v>8</v>
      </c>
      <c r="F1817" s="1">
        <v>1</v>
      </c>
      <c r="G1817" s="1">
        <v>0</v>
      </c>
      <c r="H1817" s="6">
        <f>INT(Query1[[#This Row],[EntryDateTime]])</f>
        <v>44627</v>
      </c>
      <c r="I1817" s="1">
        <f>IF(Query1[[#This Row],[ItemType]]="EVAP KIT SF GEN IV",Query1[[#This Row],[OrderQty]]+I1816,I1816)</f>
        <v>2074</v>
      </c>
      <c r="J1817" s="1">
        <f>IF(Query1[[#This Row],[ItemType]]="EVAP KIT UNIVERSAL",Query1[[#This Row],[OrderQty]]+J1816,J1816)</f>
        <v>895</v>
      </c>
      <c r="K1817" s="1">
        <f>Query1[[#This Row],[SF Running Total]]+Query1[[#This Row],[UNIV Running Total]]</f>
        <v>2969</v>
      </c>
      <c r="L1817">
        <f>VLOOKUP(Query1[[#This Row],[Description]],'kits to boards'!$B$2:$E$156,2,FALSE)</f>
        <v>830001</v>
      </c>
      <c r="M1817">
        <f>VLOOKUP(Query1[[#This Row],[Description]],'kits to boards'!$B$2:$E$156,3,FALSE)</f>
        <v>0</v>
      </c>
      <c r="N1817">
        <f>VLOOKUP(Query1[[#This Row],[Description]],'kits to boards'!$B$2:$E$156,4,FALSE)</f>
        <v>0</v>
      </c>
      <c r="O1817" t="str">
        <f>CONCATENATE(Query1[[#This Row],[Description]]," - ",Query1[[#This Row],[MB1]]," - ",Query1[[#This Row],[MB2]]," - ",Query1[[#This Row],[MB3]])</f>
        <v>EVAP KIT 73-80 CHEV P-UP W/AC - 830001 - 0 - 0</v>
      </c>
    </row>
    <row r="1818" spans="1:15" x14ac:dyDescent="0.25">
      <c r="A1818" s="1">
        <v>913800</v>
      </c>
      <c r="B1818" s="1" t="s">
        <v>184</v>
      </c>
      <c r="C1818" s="1" t="s">
        <v>185</v>
      </c>
      <c r="D1818" s="2">
        <v>44627.389801238423</v>
      </c>
      <c r="E1818" s="1" t="s">
        <v>8</v>
      </c>
      <c r="F1818" s="1">
        <v>1</v>
      </c>
      <c r="G1818" s="1">
        <v>0</v>
      </c>
      <c r="H1818" s="6">
        <f>INT(Query1[[#This Row],[EntryDateTime]])</f>
        <v>44627</v>
      </c>
      <c r="I1818" s="1">
        <f>IF(Query1[[#This Row],[ItemType]]="EVAP KIT SF GEN IV",Query1[[#This Row],[OrderQty]]+I1817,I1817)</f>
        <v>2075</v>
      </c>
      <c r="J1818" s="1">
        <f>IF(Query1[[#This Row],[ItemType]]="EVAP KIT UNIVERSAL",Query1[[#This Row],[OrderQty]]+J1817,J1817)</f>
        <v>895</v>
      </c>
      <c r="K1818" s="1">
        <f>Query1[[#This Row],[SF Running Total]]+Query1[[#This Row],[UNIV Running Total]]</f>
        <v>2970</v>
      </c>
      <c r="L1818">
        <f>VLOOKUP(Query1[[#This Row],[Description]],'kits to boards'!$B$2:$E$156,2,FALSE)</f>
        <v>830042</v>
      </c>
      <c r="M1818">
        <f>VLOOKUP(Query1[[#This Row],[Description]],'kits to boards'!$B$2:$E$156,3,FALSE)</f>
        <v>0</v>
      </c>
      <c r="N1818">
        <f>VLOOKUP(Query1[[#This Row],[Description]],'kits to boards'!$B$2:$E$156,4,FALSE)</f>
        <v>0</v>
      </c>
      <c r="O1818" t="str">
        <f>CONCATENATE(Query1[[#This Row],[Description]]," - ",Query1[[#This Row],[MB1]]," - ",Query1[[#This Row],[MB2]]," - ",Query1[[#This Row],[MB3]])</f>
        <v>EVAP KIT 68-83 TOYOTA FJ40 - 830042 - 0 - 0</v>
      </c>
    </row>
    <row r="1819" spans="1:15" x14ac:dyDescent="0.25">
      <c r="A1819" s="1">
        <v>913802</v>
      </c>
      <c r="B1819" s="1" t="s">
        <v>120</v>
      </c>
      <c r="C1819" s="1" t="s">
        <v>121</v>
      </c>
      <c r="D1819" s="2">
        <v>44627.398135798612</v>
      </c>
      <c r="E1819" s="1" t="s">
        <v>8</v>
      </c>
      <c r="F1819" s="1">
        <v>1</v>
      </c>
      <c r="G1819" s="1">
        <v>0</v>
      </c>
      <c r="H1819" s="6">
        <f>INT(Query1[[#This Row],[EntryDateTime]])</f>
        <v>44627</v>
      </c>
      <c r="I1819" s="1">
        <f>IF(Query1[[#This Row],[ItemType]]="EVAP KIT SF GEN IV",Query1[[#This Row],[OrderQty]]+I1818,I1818)</f>
        <v>2076</v>
      </c>
      <c r="J1819" s="1">
        <f>IF(Query1[[#This Row],[ItemType]]="EVAP KIT UNIVERSAL",Query1[[#This Row],[OrderQty]]+J1818,J1818)</f>
        <v>895</v>
      </c>
      <c r="K1819" s="1">
        <f>Query1[[#This Row],[SF Running Total]]+Query1[[#This Row],[UNIV Running Total]]</f>
        <v>2971</v>
      </c>
      <c r="L1819">
        <f>VLOOKUP(Query1[[#This Row],[Description]],'kits to boards'!$B$2:$E$156,2,FALSE)</f>
        <v>830014</v>
      </c>
      <c r="M1819">
        <f>VLOOKUP(Query1[[#This Row],[Description]],'kits to boards'!$B$2:$E$156,3,FALSE)</f>
        <v>0</v>
      </c>
      <c r="N1819">
        <f>VLOOKUP(Query1[[#This Row],[Description]],'kits to boards'!$B$2:$E$156,4,FALSE)</f>
        <v>0</v>
      </c>
      <c r="O1819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1820" spans="1:15" x14ac:dyDescent="0.25">
      <c r="A1820" s="1">
        <v>913806</v>
      </c>
      <c r="B1820" s="1" t="s">
        <v>90</v>
      </c>
      <c r="C1820" s="1" t="s">
        <v>91</v>
      </c>
      <c r="D1820" s="2">
        <v>44627.40025929398</v>
      </c>
      <c r="E1820" s="1" t="s">
        <v>8</v>
      </c>
      <c r="F1820" s="1">
        <v>1</v>
      </c>
      <c r="G1820" s="1">
        <v>0</v>
      </c>
      <c r="H1820" s="6">
        <f>INT(Query1[[#This Row],[EntryDateTime]])</f>
        <v>44627</v>
      </c>
      <c r="I1820" s="1">
        <f>IF(Query1[[#This Row],[ItemType]]="EVAP KIT SF GEN IV",Query1[[#This Row],[OrderQty]]+I1819,I1819)</f>
        <v>2077</v>
      </c>
      <c r="J1820" s="1">
        <f>IF(Query1[[#This Row],[ItemType]]="EVAP KIT UNIVERSAL",Query1[[#This Row],[OrderQty]]+J1819,J1819)</f>
        <v>895</v>
      </c>
      <c r="K1820" s="1">
        <f>Query1[[#This Row],[SF Running Total]]+Query1[[#This Row],[UNIV Running Total]]</f>
        <v>2972</v>
      </c>
      <c r="L1820">
        <f>VLOOKUP(Query1[[#This Row],[Description]],'kits to boards'!$B$2:$E$156,2,FALSE)</f>
        <v>830105</v>
      </c>
      <c r="M1820">
        <f>VLOOKUP(Query1[[#This Row],[Description]],'kits to boards'!$B$2:$E$156,3,FALSE)</f>
        <v>830106</v>
      </c>
      <c r="N1820">
        <f>VLOOKUP(Query1[[#This Row],[Description]],'kits to boards'!$B$2:$E$156,4,FALSE)</f>
        <v>0</v>
      </c>
      <c r="O1820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1821" spans="1:15" x14ac:dyDescent="0.25">
      <c r="A1821" s="1">
        <v>913807</v>
      </c>
      <c r="B1821" s="1" t="s">
        <v>120</v>
      </c>
      <c r="C1821" s="1" t="s">
        <v>121</v>
      </c>
      <c r="D1821" s="2">
        <v>44627.402362071756</v>
      </c>
      <c r="E1821" s="1" t="s">
        <v>8</v>
      </c>
      <c r="F1821" s="1">
        <v>1</v>
      </c>
      <c r="G1821" s="1">
        <v>0</v>
      </c>
      <c r="H1821" s="6">
        <f>INT(Query1[[#This Row],[EntryDateTime]])</f>
        <v>44627</v>
      </c>
      <c r="I1821" s="1">
        <f>IF(Query1[[#This Row],[ItemType]]="EVAP KIT SF GEN IV",Query1[[#This Row],[OrderQty]]+I1820,I1820)</f>
        <v>2078</v>
      </c>
      <c r="J1821" s="1">
        <f>IF(Query1[[#This Row],[ItemType]]="EVAP KIT UNIVERSAL",Query1[[#This Row],[OrderQty]]+J1820,J1820)</f>
        <v>895</v>
      </c>
      <c r="K1821" s="1">
        <f>Query1[[#This Row],[SF Running Total]]+Query1[[#This Row],[UNIV Running Total]]</f>
        <v>2973</v>
      </c>
      <c r="L1821">
        <f>VLOOKUP(Query1[[#This Row],[Description]],'kits to boards'!$B$2:$E$156,2,FALSE)</f>
        <v>830014</v>
      </c>
      <c r="M1821">
        <f>VLOOKUP(Query1[[#This Row],[Description]],'kits to boards'!$B$2:$E$156,3,FALSE)</f>
        <v>0</v>
      </c>
      <c r="N1821">
        <f>VLOOKUP(Query1[[#This Row],[Description]],'kits to boards'!$B$2:$E$156,4,FALSE)</f>
        <v>0</v>
      </c>
      <c r="O1821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1822" spans="1:15" x14ac:dyDescent="0.25">
      <c r="A1822" s="1">
        <v>913809</v>
      </c>
      <c r="B1822" s="1" t="s">
        <v>44</v>
      </c>
      <c r="C1822" s="1" t="s">
        <v>45</v>
      </c>
      <c r="D1822" s="2">
        <v>44627.404421527775</v>
      </c>
      <c r="E1822" s="1" t="s">
        <v>8</v>
      </c>
      <c r="F1822" s="1">
        <v>1</v>
      </c>
      <c r="G1822" s="1">
        <v>0</v>
      </c>
      <c r="H1822" s="6">
        <f>INT(Query1[[#This Row],[EntryDateTime]])</f>
        <v>44627</v>
      </c>
      <c r="I1822" s="1">
        <f>IF(Query1[[#This Row],[ItemType]]="EVAP KIT SF GEN IV",Query1[[#This Row],[OrderQty]]+I1821,I1821)</f>
        <v>2079</v>
      </c>
      <c r="J1822" s="1">
        <f>IF(Query1[[#This Row],[ItemType]]="EVAP KIT UNIVERSAL",Query1[[#This Row],[OrderQty]]+J1821,J1821)</f>
        <v>895</v>
      </c>
      <c r="K1822" s="1">
        <f>Query1[[#This Row],[SF Running Total]]+Query1[[#This Row],[UNIV Running Total]]</f>
        <v>2974</v>
      </c>
      <c r="L1822">
        <f>VLOOKUP(Query1[[#This Row],[Description]],'kits to boards'!$B$2:$E$156,2,FALSE)</f>
        <v>830085</v>
      </c>
      <c r="M1822">
        <f>VLOOKUP(Query1[[#This Row],[Description]],'kits to boards'!$B$2:$E$156,3,FALSE)</f>
        <v>0</v>
      </c>
      <c r="N1822">
        <f>VLOOKUP(Query1[[#This Row],[Description]],'kits to boards'!$B$2:$E$156,4,FALSE)</f>
        <v>0</v>
      </c>
      <c r="O1822" t="str">
        <f>CONCATENATE(Query1[[#This Row],[Description]]," - ",Query1[[#This Row],[MB1]]," - ",Query1[[#This Row],[MB2]]," - ",Query1[[#This Row],[MB3]])</f>
        <v>EVAP KIT 66-77 BRONCO - 830085 - 0 - 0</v>
      </c>
    </row>
    <row r="1823" spans="1:15" x14ac:dyDescent="0.25">
      <c r="A1823" s="1">
        <v>913810</v>
      </c>
      <c r="B1823" s="1" t="s">
        <v>130</v>
      </c>
      <c r="C1823" s="1" t="s">
        <v>131</v>
      </c>
      <c r="D1823" s="2">
        <v>44627.406389351854</v>
      </c>
      <c r="E1823" s="1" t="s">
        <v>8</v>
      </c>
      <c r="F1823" s="1">
        <v>1</v>
      </c>
      <c r="G1823" s="1">
        <v>0</v>
      </c>
      <c r="H1823" s="6">
        <f>INT(Query1[[#This Row],[EntryDateTime]])</f>
        <v>44627</v>
      </c>
      <c r="I1823" s="1">
        <f>IF(Query1[[#This Row],[ItemType]]="EVAP KIT SF GEN IV",Query1[[#This Row],[OrderQty]]+I1822,I1822)</f>
        <v>2080</v>
      </c>
      <c r="J1823" s="1">
        <f>IF(Query1[[#This Row],[ItemType]]="EVAP KIT UNIVERSAL",Query1[[#This Row],[OrderQty]]+J1822,J1822)</f>
        <v>895</v>
      </c>
      <c r="K1823" s="1">
        <f>Query1[[#This Row],[SF Running Total]]+Query1[[#This Row],[UNIV Running Total]]</f>
        <v>2975</v>
      </c>
      <c r="L1823">
        <f>VLOOKUP(Query1[[#This Row],[Description]],'kits to boards'!$B$2:$E$156,2,FALSE)</f>
        <v>830123</v>
      </c>
      <c r="M1823">
        <f>VLOOKUP(Query1[[#This Row],[Description]],'kits to boards'!$B$2:$E$156,3,FALSE)</f>
        <v>0</v>
      </c>
      <c r="N1823">
        <f>VLOOKUP(Query1[[#This Row],[Description]],'kits to boards'!$B$2:$E$156,4,FALSE)</f>
        <v>0</v>
      </c>
      <c r="O1823" t="str">
        <f>CONCATENATE(Query1[[#This Row],[Description]]," - ",Query1[[#This Row],[MB1]]," - ",Query1[[#This Row],[MB2]]," - ",Query1[[#This Row],[MB3]])</f>
        <v>EVAP KIT 68 GTO WO/AC - 830123 - 0 - 0</v>
      </c>
    </row>
    <row r="1824" spans="1:15" x14ac:dyDescent="0.25">
      <c r="A1824" s="1">
        <v>913775</v>
      </c>
      <c r="B1824" s="1" t="s">
        <v>96</v>
      </c>
      <c r="C1824" s="1" t="s">
        <v>97</v>
      </c>
      <c r="D1824" s="2">
        <v>44627.43100783565</v>
      </c>
      <c r="E1824" s="1" t="s">
        <v>8</v>
      </c>
      <c r="F1824" s="1">
        <v>1</v>
      </c>
      <c r="G1824" s="1">
        <v>0</v>
      </c>
      <c r="H1824" s="6">
        <f>INT(Query1[[#This Row],[EntryDateTime]])</f>
        <v>44627</v>
      </c>
      <c r="I1824" s="1">
        <f>IF(Query1[[#This Row],[ItemType]]="EVAP KIT SF GEN IV",Query1[[#This Row],[OrderQty]]+I1823,I1823)</f>
        <v>2081</v>
      </c>
      <c r="J1824" s="1">
        <f>IF(Query1[[#This Row],[ItemType]]="EVAP KIT UNIVERSAL",Query1[[#This Row],[OrderQty]]+J1823,J1823)</f>
        <v>895</v>
      </c>
      <c r="K1824" s="1">
        <f>Query1[[#This Row],[SF Running Total]]+Query1[[#This Row],[UNIV Running Total]]</f>
        <v>2976</v>
      </c>
      <c r="L1824">
        <f>VLOOKUP(Query1[[#This Row],[Description]],'kits to boards'!$B$2:$E$156,2,FALSE)</f>
        <v>830004</v>
      </c>
      <c r="M1824">
        <f>VLOOKUP(Query1[[#This Row],[Description]],'kits to boards'!$B$2:$E$156,3,FALSE)</f>
        <v>0</v>
      </c>
      <c r="N1824">
        <f>VLOOKUP(Query1[[#This Row],[Description]],'kits to boards'!$B$2:$E$156,4,FALSE)</f>
        <v>0</v>
      </c>
      <c r="O1824" t="str">
        <f>CONCATENATE(Query1[[#This Row],[Description]]," - ",Query1[[#This Row],[MB1]]," - ",Query1[[#This Row],[MB2]]," - ",Query1[[#This Row],[MB3]])</f>
        <v>EVAP KIT 81-87 CHEV P-UP W/AC - 830004 - 0 - 0</v>
      </c>
    </row>
    <row r="1825" spans="1:15" x14ac:dyDescent="0.25">
      <c r="A1825" s="1">
        <v>913821</v>
      </c>
      <c r="B1825" s="1" t="s">
        <v>182</v>
      </c>
      <c r="C1825" s="1" t="s">
        <v>183</v>
      </c>
      <c r="D1825" s="2">
        <v>44627.431967094904</v>
      </c>
      <c r="E1825" s="1" t="s">
        <v>8</v>
      </c>
      <c r="F1825" s="1">
        <v>1</v>
      </c>
      <c r="G1825" s="1">
        <v>0</v>
      </c>
      <c r="H1825" s="6">
        <f>INT(Query1[[#This Row],[EntryDateTime]])</f>
        <v>44627</v>
      </c>
      <c r="I1825" s="1">
        <f>IF(Query1[[#This Row],[ItemType]]="EVAP KIT SF GEN IV",Query1[[#This Row],[OrderQty]]+I1824,I1824)</f>
        <v>2082</v>
      </c>
      <c r="J1825" s="1">
        <f>IF(Query1[[#This Row],[ItemType]]="EVAP KIT UNIVERSAL",Query1[[#This Row],[OrderQty]]+J1824,J1824)</f>
        <v>895</v>
      </c>
      <c r="K1825" s="1">
        <f>Query1[[#This Row],[SF Running Total]]+Query1[[#This Row],[UNIV Running Total]]</f>
        <v>2977</v>
      </c>
      <c r="L1825">
        <f>VLOOKUP(Query1[[#This Row],[Description]],'kits to boards'!$B$2:$E$156,2,FALSE)</f>
        <v>830075</v>
      </c>
      <c r="M1825">
        <f>VLOOKUP(Query1[[#This Row],[Description]],'kits to boards'!$B$2:$E$156,3,FALSE)</f>
        <v>0</v>
      </c>
      <c r="N1825">
        <f>VLOOKUP(Query1[[#This Row],[Description]],'kits to boards'!$B$2:$E$156,4,FALSE)</f>
        <v>0</v>
      </c>
      <c r="O1825" t="str">
        <f>CONCATENATE(Query1[[#This Row],[Description]]," - ",Query1[[#This Row],[MB1]]," - ",Query1[[#This Row],[MB2]]," - ",Query1[[#This Row],[MB3]])</f>
        <v>EVAP KIT 69-70 MOPAR B BODY WO AC - 830075 - 0 - 0</v>
      </c>
    </row>
    <row r="1826" spans="1:15" x14ac:dyDescent="0.25">
      <c r="A1826" s="1">
        <v>913826</v>
      </c>
      <c r="B1826" s="1" t="s">
        <v>190</v>
      </c>
      <c r="C1826" s="1" t="s">
        <v>191</v>
      </c>
      <c r="D1826" s="2">
        <v>44627.440540706019</v>
      </c>
      <c r="E1826" s="1" t="s">
        <v>8</v>
      </c>
      <c r="F1826" s="1">
        <v>1</v>
      </c>
      <c r="G1826" s="1">
        <v>0</v>
      </c>
      <c r="H1826" s="6">
        <f>INT(Query1[[#This Row],[EntryDateTime]])</f>
        <v>44627</v>
      </c>
      <c r="I1826" s="1">
        <f>IF(Query1[[#This Row],[ItemType]]="EVAP KIT SF GEN IV",Query1[[#This Row],[OrderQty]]+I1825,I1825)</f>
        <v>2083</v>
      </c>
      <c r="J1826" s="1">
        <f>IF(Query1[[#This Row],[ItemType]]="EVAP KIT UNIVERSAL",Query1[[#This Row],[OrderQty]]+J1825,J1825)</f>
        <v>895</v>
      </c>
      <c r="K1826" s="1">
        <f>Query1[[#This Row],[SF Running Total]]+Query1[[#This Row],[UNIV Running Total]]</f>
        <v>2978</v>
      </c>
      <c r="L1826">
        <f>VLOOKUP(Query1[[#This Row],[Description]],'kits to boards'!$B$2:$E$156,2,FALSE)</f>
        <v>830008</v>
      </c>
      <c r="M1826">
        <f>VLOOKUP(Query1[[#This Row],[Description]],'kits to boards'!$B$2:$E$156,3,FALSE)</f>
        <v>0</v>
      </c>
      <c r="N1826">
        <f>VLOOKUP(Query1[[#This Row],[Description]],'kits to boards'!$B$2:$E$156,4,FALSE)</f>
        <v>0</v>
      </c>
      <c r="O1826" t="str">
        <f>CONCATENATE(Query1[[#This Row],[Description]]," - ",Query1[[#This Row],[MB1]]," - ",Query1[[#This Row],[MB2]]," - ",Query1[[#This Row],[MB3]])</f>
        <v>EVAP KIT 63 IMPALA WO AC - 830008 - 0 - 0</v>
      </c>
    </row>
    <row r="1827" spans="1:15" x14ac:dyDescent="0.25">
      <c r="A1827" s="1">
        <v>913830</v>
      </c>
      <c r="B1827" s="1" t="s">
        <v>54</v>
      </c>
      <c r="C1827" s="1" t="s">
        <v>55</v>
      </c>
      <c r="D1827" s="2">
        <v>44627.44371446759</v>
      </c>
      <c r="E1827" s="1" t="s">
        <v>8</v>
      </c>
      <c r="F1827" s="1">
        <v>1</v>
      </c>
      <c r="G1827" s="1">
        <v>0</v>
      </c>
      <c r="H1827" s="6">
        <f>INT(Query1[[#This Row],[EntryDateTime]])</f>
        <v>44627</v>
      </c>
      <c r="I1827" s="1">
        <f>IF(Query1[[#This Row],[ItemType]]="EVAP KIT SF GEN IV",Query1[[#This Row],[OrderQty]]+I1826,I1826)</f>
        <v>2084</v>
      </c>
      <c r="J1827" s="1">
        <f>IF(Query1[[#This Row],[ItemType]]="EVAP KIT UNIVERSAL",Query1[[#This Row],[OrderQty]]+J1826,J1826)</f>
        <v>895</v>
      </c>
      <c r="K1827" s="1">
        <f>Query1[[#This Row],[SF Running Total]]+Query1[[#This Row],[UNIV Running Total]]</f>
        <v>2979</v>
      </c>
      <c r="L1827">
        <f>VLOOKUP(Query1[[#This Row],[Description]],'kits to boards'!$B$2:$E$156,2,FALSE)</f>
        <v>830037</v>
      </c>
      <c r="M1827">
        <f>VLOOKUP(Query1[[#This Row],[Description]],'kits to boards'!$B$2:$E$156,3,FALSE)</f>
        <v>0</v>
      </c>
      <c r="N1827">
        <f>VLOOKUP(Query1[[#This Row],[Description]],'kits to boards'!$B$2:$E$156,4,FALSE)</f>
        <v>0</v>
      </c>
      <c r="O1827" t="str">
        <f>CONCATENATE(Query1[[#This Row],[Description]]," - ",Query1[[#This Row],[MB1]]," - ",Query1[[#This Row],[MB2]]," - ",Query1[[#This Row],[MB3]])</f>
        <v>EVAP KIT 70-81 FIREBIRD W/AC - 830037 - 0 - 0</v>
      </c>
    </row>
    <row r="1828" spans="1:15" x14ac:dyDescent="0.25">
      <c r="A1828" s="1">
        <v>913848</v>
      </c>
      <c r="B1828" s="1" t="s">
        <v>210</v>
      </c>
      <c r="C1828" s="1" t="s">
        <v>211</v>
      </c>
      <c r="D1828" s="2">
        <v>44627.467901076387</v>
      </c>
      <c r="E1828" s="1" t="s">
        <v>8</v>
      </c>
      <c r="F1828" s="1">
        <v>1</v>
      </c>
      <c r="G1828" s="1">
        <v>0</v>
      </c>
      <c r="H1828" s="6">
        <f>INT(Query1[[#This Row],[EntryDateTime]])</f>
        <v>44627</v>
      </c>
      <c r="I1828" s="1">
        <f>IF(Query1[[#This Row],[ItemType]]="EVAP KIT SF GEN IV",Query1[[#This Row],[OrderQty]]+I1827,I1827)</f>
        <v>2085</v>
      </c>
      <c r="J1828" s="1">
        <f>IF(Query1[[#This Row],[ItemType]]="EVAP KIT UNIVERSAL",Query1[[#This Row],[OrderQty]]+J1827,J1827)</f>
        <v>895</v>
      </c>
      <c r="K1828" s="1">
        <f>Query1[[#This Row],[SF Running Total]]+Query1[[#This Row],[UNIV Running Total]]</f>
        <v>2980</v>
      </c>
      <c r="L1828">
        <f>VLOOKUP(Query1[[#This Row],[Description]],'kits to boards'!$B$2:$E$156,2,FALSE)</f>
        <v>830094</v>
      </c>
      <c r="M1828">
        <f>VLOOKUP(Query1[[#This Row],[Description]],'kits to boards'!$B$2:$E$156,3,FALSE)</f>
        <v>0</v>
      </c>
      <c r="N1828">
        <f>VLOOKUP(Query1[[#This Row],[Description]],'kits to boards'!$B$2:$E$156,4,FALSE)</f>
        <v>0</v>
      </c>
      <c r="O1828" t="str">
        <f>CONCATENATE(Query1[[#This Row],[Description]]," - ",Query1[[#This Row],[MB1]]," - ",Query1[[#This Row],[MB2]]," - ",Query1[[#This Row],[MB3]])</f>
        <v>EVAP KIT 74-76 VETTE W/AC - 830094 - 0 - 0</v>
      </c>
    </row>
    <row r="1829" spans="1:15" x14ac:dyDescent="0.25">
      <c r="A1829" s="1">
        <v>913844</v>
      </c>
      <c r="B1829" s="1" t="s">
        <v>24</v>
      </c>
      <c r="C1829" s="1" t="s">
        <v>25</v>
      </c>
      <c r="D1829" s="2">
        <v>44627.470172881942</v>
      </c>
      <c r="E1829" s="1" t="s">
        <v>11</v>
      </c>
      <c r="F1829" s="1">
        <v>8</v>
      </c>
      <c r="G1829" s="1">
        <v>0</v>
      </c>
      <c r="H1829" s="6">
        <f>INT(Query1[[#This Row],[EntryDateTime]])</f>
        <v>44627</v>
      </c>
      <c r="I1829" s="1">
        <f>IF(Query1[[#This Row],[ItemType]]="EVAP KIT SF GEN IV",Query1[[#This Row],[OrderQty]]+I1828,I1828)</f>
        <v>2085</v>
      </c>
      <c r="J1829" s="1">
        <f>IF(Query1[[#This Row],[ItemType]]="EVAP KIT UNIVERSAL",Query1[[#This Row],[OrderQty]]+J1828,J1828)</f>
        <v>903</v>
      </c>
      <c r="K1829" s="1">
        <f>Query1[[#This Row],[SF Running Total]]+Query1[[#This Row],[UNIV Running Total]]</f>
        <v>2988</v>
      </c>
      <c r="L1829">
        <f>VLOOKUP(Query1[[#This Row],[Description]],'kits to boards'!$B$2:$E$156,2,FALSE)</f>
        <v>830029</v>
      </c>
      <c r="M1829">
        <f>VLOOKUP(Query1[[#This Row],[Description]],'kits to boards'!$B$2:$E$156,3,FALSE)</f>
        <v>830030</v>
      </c>
      <c r="N1829">
        <f>VLOOKUP(Query1[[#This Row],[Description]],'kits to boards'!$B$2:$E$156,4,FALSE)</f>
        <v>0</v>
      </c>
      <c r="O1829" t="str">
        <f>CONCATENATE(Query1[[#This Row],[Description]]," - ",Query1[[#This Row],[MB1]]," - ",Query1[[#This Row],[MB2]]," - ",Query1[[#This Row],[MB3]])</f>
        <v>ComPac GEN II W/DEF - 830029 - 830030 - 0</v>
      </c>
    </row>
    <row r="1830" spans="1:15" x14ac:dyDescent="0.25">
      <c r="A1830" s="1">
        <v>913852</v>
      </c>
      <c r="B1830" s="1" t="s">
        <v>102</v>
      </c>
      <c r="C1830" s="1" t="s">
        <v>103</v>
      </c>
      <c r="D1830" s="2">
        <v>44627.474962268519</v>
      </c>
      <c r="E1830" s="1" t="s">
        <v>8</v>
      </c>
      <c r="F1830" s="1">
        <v>1</v>
      </c>
      <c r="G1830" s="1">
        <v>0</v>
      </c>
      <c r="H1830" s="6">
        <f>INT(Query1[[#This Row],[EntryDateTime]])</f>
        <v>44627</v>
      </c>
      <c r="I1830" s="1">
        <f>IF(Query1[[#This Row],[ItemType]]="EVAP KIT SF GEN IV",Query1[[#This Row],[OrderQty]]+I1829,I1829)</f>
        <v>2086</v>
      </c>
      <c r="J1830" s="1">
        <f>IF(Query1[[#This Row],[ItemType]]="EVAP KIT UNIVERSAL",Query1[[#This Row],[OrderQty]]+J1829,J1829)</f>
        <v>903</v>
      </c>
      <c r="K1830" s="1">
        <f>Query1[[#This Row],[SF Running Total]]+Query1[[#This Row],[UNIV Running Total]]</f>
        <v>2989</v>
      </c>
      <c r="L1830">
        <f>VLOOKUP(Query1[[#This Row],[Description]],'kits to boards'!$B$2:$E$156,2,FALSE)</f>
        <v>830012</v>
      </c>
      <c r="M1830">
        <f>VLOOKUP(Query1[[#This Row],[Description]],'kits to boards'!$B$2:$E$156,3,FALSE)</f>
        <v>0</v>
      </c>
      <c r="N1830">
        <f>VLOOKUP(Query1[[#This Row],[Description]],'kits to boards'!$B$2:$E$156,4,FALSE)</f>
        <v>0</v>
      </c>
      <c r="O1830" t="str">
        <f>CONCATENATE(Query1[[#This Row],[Description]]," - ",Query1[[#This Row],[MB1]]," - ",Query1[[#This Row],[MB2]]," - ",Query1[[#This Row],[MB3]])</f>
        <v>EVAP KIT 69 CAMARO WO/AC - 830012 - 0 - 0</v>
      </c>
    </row>
    <row r="1831" spans="1:15" x14ac:dyDescent="0.25">
      <c r="A1831" s="1">
        <v>912830</v>
      </c>
      <c r="B1831" s="1" t="s">
        <v>28</v>
      </c>
      <c r="C1831" s="1" t="s">
        <v>29</v>
      </c>
      <c r="D1831" s="2">
        <v>44627.493407256945</v>
      </c>
      <c r="E1831" s="1" t="s">
        <v>8</v>
      </c>
      <c r="F1831" s="1">
        <v>1</v>
      </c>
      <c r="G1831" s="1">
        <v>0</v>
      </c>
      <c r="H1831" s="6">
        <f>INT(Query1[[#This Row],[EntryDateTime]])</f>
        <v>44627</v>
      </c>
      <c r="I1831" s="1">
        <f>IF(Query1[[#This Row],[ItemType]]="EVAP KIT SF GEN IV",Query1[[#This Row],[OrderQty]]+I1830,I1830)</f>
        <v>2087</v>
      </c>
      <c r="J1831" s="1">
        <f>IF(Query1[[#This Row],[ItemType]]="EVAP KIT UNIVERSAL",Query1[[#This Row],[OrderQty]]+J1830,J1830)</f>
        <v>903</v>
      </c>
      <c r="K1831" s="1">
        <f>Query1[[#This Row],[SF Running Total]]+Query1[[#This Row],[UNIV Running Total]]</f>
        <v>2990</v>
      </c>
      <c r="L1831">
        <f>VLOOKUP(Query1[[#This Row],[Description]],'kits to boards'!$B$2:$E$156,2,FALSE)</f>
        <v>830001</v>
      </c>
      <c r="M1831">
        <f>VLOOKUP(Query1[[#This Row],[Description]],'kits to boards'!$B$2:$E$156,3,FALSE)</f>
        <v>0</v>
      </c>
      <c r="N1831">
        <f>VLOOKUP(Query1[[#This Row],[Description]],'kits to boards'!$B$2:$E$156,4,FALSE)</f>
        <v>0</v>
      </c>
      <c r="O1831" t="str">
        <f>CONCATENATE(Query1[[#This Row],[Description]]," - ",Query1[[#This Row],[MB1]]," - ",Query1[[#This Row],[MB2]]," - ",Query1[[#This Row],[MB3]])</f>
        <v>EVAP KIT 73-80 CHEV P-UP W/AC - 830001 - 0 - 0</v>
      </c>
    </row>
    <row r="1832" spans="1:15" x14ac:dyDescent="0.25">
      <c r="A1832" s="1">
        <v>913866</v>
      </c>
      <c r="B1832" s="1" t="s">
        <v>128</v>
      </c>
      <c r="C1832" s="1" t="s">
        <v>129</v>
      </c>
      <c r="D1832" s="2">
        <v>44627.498199340276</v>
      </c>
      <c r="E1832" s="1" t="s">
        <v>8</v>
      </c>
      <c r="F1832" s="1">
        <v>1</v>
      </c>
      <c r="G1832" s="1">
        <v>0</v>
      </c>
      <c r="H1832" s="6">
        <f>INT(Query1[[#This Row],[EntryDateTime]])</f>
        <v>44627</v>
      </c>
      <c r="I1832" s="1">
        <f>IF(Query1[[#This Row],[ItemType]]="EVAP KIT SF GEN IV",Query1[[#This Row],[OrderQty]]+I1831,I1831)</f>
        <v>2088</v>
      </c>
      <c r="J1832" s="1">
        <f>IF(Query1[[#This Row],[ItemType]]="EVAP KIT UNIVERSAL",Query1[[#This Row],[OrderQty]]+J1831,J1831)</f>
        <v>903</v>
      </c>
      <c r="K1832" s="1">
        <f>Query1[[#This Row],[SF Running Total]]+Query1[[#This Row],[UNIV Running Total]]</f>
        <v>2991</v>
      </c>
      <c r="L1832">
        <f>VLOOKUP(Query1[[#This Row],[Description]],'kits to boards'!$B$2:$E$156,2,FALSE)</f>
        <v>830036</v>
      </c>
      <c r="M1832">
        <f>VLOOKUP(Query1[[#This Row],[Description]],'kits to boards'!$B$2:$E$156,3,FALSE)</f>
        <v>830039</v>
      </c>
      <c r="N1832">
        <f>VLOOKUP(Query1[[#This Row],[Description]],'kits to boards'!$B$2:$E$156,4,FALSE)</f>
        <v>0</v>
      </c>
      <c r="O1832" t="str">
        <f>CONCATENATE(Query1[[#This Row],[Description]]," - ",Query1[[#This Row],[MB1]]," - ",Query1[[#This Row],[MB2]]," - ",Query1[[#This Row],[MB3]])</f>
        <v>EVAP KIT 63-66 VETTE WO AC - 830036 - 830039 - 0</v>
      </c>
    </row>
    <row r="1833" spans="1:15" x14ac:dyDescent="0.25">
      <c r="A1833" s="1">
        <v>913867</v>
      </c>
      <c r="B1833" s="1" t="s">
        <v>240</v>
      </c>
      <c r="C1833" s="1" t="s">
        <v>241</v>
      </c>
      <c r="D1833" s="2">
        <v>44627.501098379631</v>
      </c>
      <c r="E1833" s="1" t="s">
        <v>8</v>
      </c>
      <c r="F1833" s="1">
        <v>1</v>
      </c>
      <c r="G1833" s="1">
        <v>0</v>
      </c>
      <c r="H1833" s="6">
        <f>INT(Query1[[#This Row],[EntryDateTime]])</f>
        <v>44627</v>
      </c>
      <c r="I1833" s="1">
        <f>IF(Query1[[#This Row],[ItemType]]="EVAP KIT SF GEN IV",Query1[[#This Row],[OrderQty]]+I1832,I1832)</f>
        <v>2089</v>
      </c>
      <c r="J1833" s="1">
        <f>IF(Query1[[#This Row],[ItemType]]="EVAP KIT UNIVERSAL",Query1[[#This Row],[OrderQty]]+J1832,J1832)</f>
        <v>903</v>
      </c>
      <c r="K1833" s="1">
        <f>Query1[[#This Row],[SF Running Total]]+Query1[[#This Row],[UNIV Running Total]]</f>
        <v>2992</v>
      </c>
      <c r="L1833">
        <f>VLOOKUP(Query1[[#This Row],[Description]],'kits to boards'!$B$2:$E$156,2,FALSE)</f>
        <v>830032</v>
      </c>
      <c r="M1833">
        <f>VLOOKUP(Query1[[#This Row],[Description]],'kits to boards'!$B$2:$E$156,3,FALSE)</f>
        <v>0</v>
      </c>
      <c r="N1833">
        <f>VLOOKUP(Query1[[#This Row],[Description]],'kits to boards'!$B$2:$E$156,4,FALSE)</f>
        <v>0</v>
      </c>
      <c r="O1833" t="str">
        <f>CONCATENATE(Query1[[#This Row],[Description]]," - ",Query1[[#This Row],[MB1]]," - ",Query1[[#This Row],[MB2]]," - ",Query1[[#This Row],[MB3]])</f>
        <v>EVAP KIT 58-60 VETTE - 830032 - 0 - 0</v>
      </c>
    </row>
    <row r="1834" spans="1:15" x14ac:dyDescent="0.25">
      <c r="A1834" s="1">
        <v>913695</v>
      </c>
      <c r="B1834" s="1" t="s">
        <v>24</v>
      </c>
      <c r="C1834" s="1" t="s">
        <v>25</v>
      </c>
      <c r="D1834" s="2">
        <v>44627.508658182873</v>
      </c>
      <c r="E1834" s="1" t="s">
        <v>11</v>
      </c>
      <c r="F1834" s="1">
        <v>1</v>
      </c>
      <c r="G1834" s="1">
        <v>0</v>
      </c>
      <c r="H1834" s="6">
        <f>INT(Query1[[#This Row],[EntryDateTime]])</f>
        <v>44627</v>
      </c>
      <c r="I1834" s="1">
        <f>IF(Query1[[#This Row],[ItemType]]="EVAP KIT SF GEN IV",Query1[[#This Row],[OrderQty]]+I1833,I1833)</f>
        <v>2089</v>
      </c>
      <c r="J1834" s="1">
        <f>IF(Query1[[#This Row],[ItemType]]="EVAP KIT UNIVERSAL",Query1[[#This Row],[OrderQty]]+J1833,J1833)</f>
        <v>904</v>
      </c>
      <c r="K1834" s="1">
        <f>Query1[[#This Row],[SF Running Total]]+Query1[[#This Row],[UNIV Running Total]]</f>
        <v>2993</v>
      </c>
      <c r="L1834">
        <f>VLOOKUP(Query1[[#This Row],[Description]],'kits to boards'!$B$2:$E$156,2,FALSE)</f>
        <v>830029</v>
      </c>
      <c r="M1834">
        <f>VLOOKUP(Query1[[#This Row],[Description]],'kits to boards'!$B$2:$E$156,3,FALSE)</f>
        <v>830030</v>
      </c>
      <c r="N1834">
        <f>VLOOKUP(Query1[[#This Row],[Description]],'kits to boards'!$B$2:$E$156,4,FALSE)</f>
        <v>0</v>
      </c>
      <c r="O1834" t="str">
        <f>CONCATENATE(Query1[[#This Row],[Description]]," - ",Query1[[#This Row],[MB1]]," - ",Query1[[#This Row],[MB2]]," - ",Query1[[#This Row],[MB3]])</f>
        <v>ComPac GEN II W/DEF - 830029 - 830030 - 0</v>
      </c>
    </row>
    <row r="1835" spans="1:15" x14ac:dyDescent="0.25">
      <c r="A1835" s="1">
        <v>913875</v>
      </c>
      <c r="B1835" s="1" t="s">
        <v>22</v>
      </c>
      <c r="C1835" s="1" t="s">
        <v>23</v>
      </c>
      <c r="D1835" s="2">
        <v>44627.526113194443</v>
      </c>
      <c r="E1835" s="1" t="s">
        <v>8</v>
      </c>
      <c r="F1835" s="1">
        <v>1</v>
      </c>
      <c r="G1835" s="1">
        <v>0</v>
      </c>
      <c r="H1835" s="6">
        <f>INT(Query1[[#This Row],[EntryDateTime]])</f>
        <v>44627</v>
      </c>
      <c r="I1835" s="1">
        <f>IF(Query1[[#This Row],[ItemType]]="EVAP KIT SF GEN IV",Query1[[#This Row],[OrderQty]]+I1834,I1834)</f>
        <v>2090</v>
      </c>
      <c r="J1835" s="1">
        <f>IF(Query1[[#This Row],[ItemType]]="EVAP KIT UNIVERSAL",Query1[[#This Row],[OrderQty]]+J1834,J1834)</f>
        <v>904</v>
      </c>
      <c r="K1835" s="1">
        <f>Query1[[#This Row],[SF Running Total]]+Query1[[#This Row],[UNIV Running Total]]</f>
        <v>2994</v>
      </c>
      <c r="L1835">
        <f>VLOOKUP(Query1[[#This Row],[Description]],'kits to boards'!$B$2:$E$156,2,FALSE)</f>
        <v>830083</v>
      </c>
      <c r="M1835">
        <f>VLOOKUP(Query1[[#This Row],[Description]],'kits to boards'!$B$2:$E$156,3,FALSE)</f>
        <v>0</v>
      </c>
      <c r="N1835">
        <f>VLOOKUP(Query1[[#This Row],[Description]],'kits to boards'!$B$2:$E$156,4,FALSE)</f>
        <v>0</v>
      </c>
      <c r="O1835" t="str">
        <f>CONCATENATE(Query1[[#This Row],[Description]]," - ",Query1[[#This Row],[MB1]]," - ",Query1[[#This Row],[MB2]]," - ",Query1[[#This Row],[MB3]])</f>
        <v>GEN IV MAGNUM EVAP KIT - 830083 - 0 - 0</v>
      </c>
    </row>
    <row r="1836" spans="1:15" x14ac:dyDescent="0.25">
      <c r="A1836" s="1">
        <v>913882</v>
      </c>
      <c r="B1836" s="1" t="s">
        <v>66</v>
      </c>
      <c r="C1836" s="1" t="s">
        <v>67</v>
      </c>
      <c r="D1836" s="2">
        <v>44627.540981215279</v>
      </c>
      <c r="E1836" s="1" t="s">
        <v>8</v>
      </c>
      <c r="F1836" s="1">
        <v>1</v>
      </c>
      <c r="G1836" s="1">
        <v>0</v>
      </c>
      <c r="H1836" s="6">
        <f>INT(Query1[[#This Row],[EntryDateTime]])</f>
        <v>44627</v>
      </c>
      <c r="I1836" s="1">
        <f>IF(Query1[[#This Row],[ItemType]]="EVAP KIT SF GEN IV",Query1[[#This Row],[OrderQty]]+I1835,I1835)</f>
        <v>2091</v>
      </c>
      <c r="J1836" s="1">
        <f>IF(Query1[[#This Row],[ItemType]]="EVAP KIT UNIVERSAL",Query1[[#This Row],[OrderQty]]+J1835,J1835)</f>
        <v>904</v>
      </c>
      <c r="K1836" s="1">
        <f>Query1[[#This Row],[SF Running Total]]+Query1[[#This Row],[UNIV Running Total]]</f>
        <v>2995</v>
      </c>
      <c r="L1836">
        <f>VLOOKUP(Query1[[#This Row],[Description]],'kits to boards'!$B$2:$E$156,2,FALSE)</f>
        <v>830060</v>
      </c>
      <c r="M1836">
        <f>VLOOKUP(Query1[[#This Row],[Description]],'kits to boards'!$B$2:$E$156,3,FALSE)</f>
        <v>0</v>
      </c>
      <c r="N1836">
        <f>VLOOKUP(Query1[[#This Row],[Description]],'kits to boards'!$B$2:$E$156,4,FALSE)</f>
        <v>0</v>
      </c>
      <c r="O1836" t="str">
        <f>CONCATENATE(Query1[[#This Row],[Description]]," - ",Query1[[#This Row],[MB1]]," - ",Query1[[#This Row],[MB2]]," - ",Query1[[#This Row],[MB3]])</f>
        <v>EVAP KIT 66-67 CHEVELLE WO AC - 830060 - 0 - 0</v>
      </c>
    </row>
    <row r="1837" spans="1:15" x14ac:dyDescent="0.25">
      <c r="A1837" s="1">
        <v>913889</v>
      </c>
      <c r="B1837" s="1" t="s">
        <v>224</v>
      </c>
      <c r="C1837" s="1" t="s">
        <v>225</v>
      </c>
      <c r="D1837" s="2">
        <v>44627.556350775463</v>
      </c>
      <c r="E1837" s="1" t="s">
        <v>8</v>
      </c>
      <c r="F1837" s="1">
        <v>1</v>
      </c>
      <c r="G1837" s="1">
        <v>0</v>
      </c>
      <c r="H1837" s="6">
        <f>INT(Query1[[#This Row],[EntryDateTime]])</f>
        <v>44627</v>
      </c>
      <c r="I1837" s="1">
        <f>IF(Query1[[#This Row],[ItemType]]="EVAP KIT SF GEN IV",Query1[[#This Row],[OrderQty]]+I1836,I1836)</f>
        <v>2092</v>
      </c>
      <c r="J1837" s="1">
        <f>IF(Query1[[#This Row],[ItemType]]="EVAP KIT UNIVERSAL",Query1[[#This Row],[OrderQty]]+J1836,J1836)</f>
        <v>904</v>
      </c>
      <c r="K1837" s="1">
        <f>Query1[[#This Row],[SF Running Total]]+Query1[[#This Row],[UNIV Running Total]]</f>
        <v>2996</v>
      </c>
      <c r="L1837">
        <f>VLOOKUP(Query1[[#This Row],[Description]],'kits to boards'!$B$2:$E$156,2,FALSE)</f>
        <v>830124</v>
      </c>
      <c r="M1837">
        <f>VLOOKUP(Query1[[#This Row],[Description]],'kits to boards'!$B$2:$E$156,3,FALSE)</f>
        <v>0</v>
      </c>
      <c r="N1837">
        <f>VLOOKUP(Query1[[#This Row],[Description]],'kits to boards'!$B$2:$E$156,4,FALSE)</f>
        <v>0</v>
      </c>
      <c r="O1837" t="str">
        <f>CONCATENATE(Query1[[#This Row],[Description]]," - ",Query1[[#This Row],[MB1]]," - ",Query1[[#This Row],[MB2]]," - ",Query1[[#This Row],[MB3]])</f>
        <v>EVAP KIT 70-72 GTO WO/AC - 830124 - 0 - 0</v>
      </c>
    </row>
    <row r="1838" spans="1:15" x14ac:dyDescent="0.25">
      <c r="A1838" s="1">
        <v>913896</v>
      </c>
      <c r="B1838" s="1" t="s">
        <v>26</v>
      </c>
      <c r="C1838" s="1" t="s">
        <v>27</v>
      </c>
      <c r="D1838" s="2">
        <v>44627.580968634262</v>
      </c>
      <c r="E1838" s="1" t="s">
        <v>8</v>
      </c>
      <c r="F1838" s="1">
        <v>1</v>
      </c>
      <c r="G1838" s="1">
        <v>0</v>
      </c>
      <c r="H1838" s="6">
        <f>INT(Query1[[#This Row],[EntryDateTime]])</f>
        <v>44627</v>
      </c>
      <c r="I1838" s="1">
        <f>IF(Query1[[#This Row],[ItemType]]="EVAP KIT SF GEN IV",Query1[[#This Row],[OrderQty]]+I1837,I1837)</f>
        <v>2093</v>
      </c>
      <c r="J1838" s="1">
        <f>IF(Query1[[#This Row],[ItemType]]="EVAP KIT UNIVERSAL",Query1[[#This Row],[OrderQty]]+J1837,J1837)</f>
        <v>904</v>
      </c>
      <c r="K1838" s="1">
        <f>Query1[[#This Row],[SF Running Total]]+Query1[[#This Row],[UNIV Running Total]]</f>
        <v>2997</v>
      </c>
      <c r="L1838">
        <f>VLOOKUP(Query1[[#This Row],[Description]],'kits to boards'!$B$2:$E$156,2,FALSE)</f>
        <v>830013</v>
      </c>
      <c r="M1838">
        <f>VLOOKUP(Query1[[#This Row],[Description]],'kits to boards'!$B$2:$E$156,3,FALSE)</f>
        <v>0</v>
      </c>
      <c r="N1838">
        <f>VLOOKUP(Query1[[#This Row],[Description]],'kits to boards'!$B$2:$E$156,4,FALSE)</f>
        <v>0</v>
      </c>
      <c r="O1838" t="str">
        <f>CONCATENATE(Query1[[#This Row],[Description]]," - ",Query1[[#This Row],[MB1]]," - ",Query1[[#This Row],[MB2]]," - ",Query1[[#This Row],[MB3]])</f>
        <v>EVAP KIT 67-72 CHEV P-UP W/AC - 830013 - 0 - 0</v>
      </c>
    </row>
    <row r="1839" spans="1:15" x14ac:dyDescent="0.25">
      <c r="A1839" s="1">
        <v>913900</v>
      </c>
      <c r="B1839" s="1" t="s">
        <v>94</v>
      </c>
      <c r="C1839" s="1" t="s">
        <v>95</v>
      </c>
      <c r="D1839" s="2">
        <v>44627.588316932874</v>
      </c>
      <c r="E1839" s="1" t="s">
        <v>8</v>
      </c>
      <c r="F1839" s="1">
        <v>1</v>
      </c>
      <c r="G1839" s="1">
        <v>0</v>
      </c>
      <c r="H1839" s="6">
        <f>INT(Query1[[#This Row],[EntryDateTime]])</f>
        <v>44627</v>
      </c>
      <c r="I1839" s="1">
        <f>IF(Query1[[#This Row],[ItemType]]="EVAP KIT SF GEN IV",Query1[[#This Row],[OrderQty]]+I1838,I1838)</f>
        <v>2094</v>
      </c>
      <c r="J1839" s="1">
        <f>IF(Query1[[#This Row],[ItemType]]="EVAP KIT UNIVERSAL",Query1[[#This Row],[OrderQty]]+J1838,J1838)</f>
        <v>904</v>
      </c>
      <c r="K1839" s="1">
        <f>Query1[[#This Row],[SF Running Total]]+Query1[[#This Row],[UNIV Running Total]]</f>
        <v>2998</v>
      </c>
      <c r="L1839">
        <f>VLOOKUP(Query1[[#This Row],[Description]],'kits to boards'!$B$2:$E$156,2,FALSE)</f>
        <v>830076</v>
      </c>
      <c r="M1839">
        <f>VLOOKUP(Query1[[#This Row],[Description]],'kits to boards'!$B$2:$E$156,3,FALSE)</f>
        <v>0</v>
      </c>
      <c r="N1839">
        <f>VLOOKUP(Query1[[#This Row],[Description]],'kits to boards'!$B$2:$E$156,4,FALSE)</f>
        <v>0</v>
      </c>
      <c r="O1839" t="str">
        <f>CONCATENATE(Query1[[#This Row],[Description]]," - ",Query1[[#This Row],[MB1]]," - ",Query1[[#This Row],[MB2]]," - ",Query1[[#This Row],[MB3]])</f>
        <v>EVAP KIT 64 1/2- 66 MUSTANG  - 830076 - 0 - 0</v>
      </c>
    </row>
    <row r="1840" spans="1:15" x14ac:dyDescent="0.25">
      <c r="A1840" s="1">
        <v>913902</v>
      </c>
      <c r="B1840" s="1" t="s">
        <v>66</v>
      </c>
      <c r="C1840" s="1" t="s">
        <v>67</v>
      </c>
      <c r="D1840" s="2">
        <v>44627.590464201392</v>
      </c>
      <c r="E1840" s="1" t="s">
        <v>8</v>
      </c>
      <c r="F1840" s="1">
        <v>1</v>
      </c>
      <c r="G1840" s="1">
        <v>0</v>
      </c>
      <c r="H1840" s="6">
        <f>INT(Query1[[#This Row],[EntryDateTime]])</f>
        <v>44627</v>
      </c>
      <c r="I1840" s="1">
        <f>IF(Query1[[#This Row],[ItemType]]="EVAP KIT SF GEN IV",Query1[[#This Row],[OrderQty]]+I1839,I1839)</f>
        <v>2095</v>
      </c>
      <c r="J1840" s="1">
        <f>IF(Query1[[#This Row],[ItemType]]="EVAP KIT UNIVERSAL",Query1[[#This Row],[OrderQty]]+J1839,J1839)</f>
        <v>904</v>
      </c>
      <c r="K1840" s="1">
        <f>Query1[[#This Row],[SF Running Total]]+Query1[[#This Row],[UNIV Running Total]]</f>
        <v>2999</v>
      </c>
      <c r="L1840">
        <f>VLOOKUP(Query1[[#This Row],[Description]],'kits to boards'!$B$2:$E$156,2,FALSE)</f>
        <v>830060</v>
      </c>
      <c r="M1840">
        <f>VLOOKUP(Query1[[#This Row],[Description]],'kits to boards'!$B$2:$E$156,3,FALSE)</f>
        <v>0</v>
      </c>
      <c r="N1840">
        <f>VLOOKUP(Query1[[#This Row],[Description]],'kits to boards'!$B$2:$E$156,4,FALSE)</f>
        <v>0</v>
      </c>
      <c r="O1840" t="str">
        <f>CONCATENATE(Query1[[#This Row],[Description]]," - ",Query1[[#This Row],[MB1]]," - ",Query1[[#This Row],[MB2]]," - ",Query1[[#This Row],[MB3]])</f>
        <v>EVAP KIT 66-67 CHEVELLE WO AC - 830060 - 0 - 0</v>
      </c>
    </row>
    <row r="1841" spans="1:15" x14ac:dyDescent="0.25">
      <c r="A1841" s="1">
        <v>913905</v>
      </c>
      <c r="B1841" s="1" t="s">
        <v>102</v>
      </c>
      <c r="C1841" s="1" t="s">
        <v>103</v>
      </c>
      <c r="D1841" s="2">
        <v>44627.593966932873</v>
      </c>
      <c r="E1841" s="1" t="s">
        <v>8</v>
      </c>
      <c r="F1841" s="1">
        <v>1</v>
      </c>
      <c r="G1841" s="1">
        <v>0</v>
      </c>
      <c r="H1841" s="6">
        <f>INT(Query1[[#This Row],[EntryDateTime]])</f>
        <v>44627</v>
      </c>
      <c r="I1841" s="1">
        <f>IF(Query1[[#This Row],[ItemType]]="EVAP KIT SF GEN IV",Query1[[#This Row],[OrderQty]]+I1840,I1840)</f>
        <v>2096</v>
      </c>
      <c r="J1841" s="1">
        <f>IF(Query1[[#This Row],[ItemType]]="EVAP KIT UNIVERSAL",Query1[[#This Row],[OrderQty]]+J1840,J1840)</f>
        <v>904</v>
      </c>
      <c r="K1841" s="1">
        <f>Query1[[#This Row],[SF Running Total]]+Query1[[#This Row],[UNIV Running Total]]</f>
        <v>3000</v>
      </c>
      <c r="L1841">
        <f>VLOOKUP(Query1[[#This Row],[Description]],'kits to boards'!$B$2:$E$156,2,FALSE)</f>
        <v>830012</v>
      </c>
      <c r="M1841">
        <f>VLOOKUP(Query1[[#This Row],[Description]],'kits to boards'!$B$2:$E$156,3,FALSE)</f>
        <v>0</v>
      </c>
      <c r="N1841">
        <f>VLOOKUP(Query1[[#This Row],[Description]],'kits to boards'!$B$2:$E$156,4,FALSE)</f>
        <v>0</v>
      </c>
      <c r="O1841" t="str">
        <f>CONCATENATE(Query1[[#This Row],[Description]]," - ",Query1[[#This Row],[MB1]]," - ",Query1[[#This Row],[MB2]]," - ",Query1[[#This Row],[MB3]])</f>
        <v>EVAP KIT 69 CAMARO WO/AC - 830012 - 0 - 0</v>
      </c>
    </row>
    <row r="1842" spans="1:15" x14ac:dyDescent="0.25">
      <c r="A1842" s="1">
        <v>913910</v>
      </c>
      <c r="B1842" s="1" t="s">
        <v>94</v>
      </c>
      <c r="C1842" s="1" t="s">
        <v>95</v>
      </c>
      <c r="D1842" s="2">
        <v>44627.602594675926</v>
      </c>
      <c r="E1842" s="1" t="s">
        <v>8</v>
      </c>
      <c r="F1842" s="1">
        <v>1</v>
      </c>
      <c r="G1842" s="1">
        <v>0</v>
      </c>
      <c r="H1842" s="6">
        <f>INT(Query1[[#This Row],[EntryDateTime]])</f>
        <v>44627</v>
      </c>
      <c r="I1842" s="1">
        <f>IF(Query1[[#This Row],[ItemType]]="EVAP KIT SF GEN IV",Query1[[#This Row],[OrderQty]]+I1841,I1841)</f>
        <v>2097</v>
      </c>
      <c r="J1842" s="1">
        <f>IF(Query1[[#This Row],[ItemType]]="EVAP KIT UNIVERSAL",Query1[[#This Row],[OrderQty]]+J1841,J1841)</f>
        <v>904</v>
      </c>
      <c r="K1842" s="1">
        <f>Query1[[#This Row],[SF Running Total]]+Query1[[#This Row],[UNIV Running Total]]</f>
        <v>3001</v>
      </c>
      <c r="L1842">
        <f>VLOOKUP(Query1[[#This Row],[Description]],'kits to boards'!$B$2:$E$156,2,FALSE)</f>
        <v>830076</v>
      </c>
      <c r="M1842">
        <f>VLOOKUP(Query1[[#This Row],[Description]],'kits to boards'!$B$2:$E$156,3,FALSE)</f>
        <v>0</v>
      </c>
      <c r="N1842">
        <f>VLOOKUP(Query1[[#This Row],[Description]],'kits to boards'!$B$2:$E$156,4,FALSE)</f>
        <v>0</v>
      </c>
      <c r="O1842" t="str">
        <f>CONCATENATE(Query1[[#This Row],[Description]]," - ",Query1[[#This Row],[MB1]]," - ",Query1[[#This Row],[MB2]]," - ",Query1[[#This Row],[MB3]])</f>
        <v>EVAP KIT 64 1/2- 66 MUSTANG  - 830076 - 0 - 0</v>
      </c>
    </row>
    <row r="1843" spans="1:15" x14ac:dyDescent="0.25">
      <c r="A1843" s="1">
        <v>913912</v>
      </c>
      <c r="B1843" s="1" t="s">
        <v>6</v>
      </c>
      <c r="C1843" s="1" t="s">
        <v>7</v>
      </c>
      <c r="D1843" s="2">
        <v>44627.606679317127</v>
      </c>
      <c r="E1843" s="1" t="s">
        <v>8</v>
      </c>
      <c r="F1843" s="1">
        <v>1</v>
      </c>
      <c r="G1843" s="1">
        <v>0</v>
      </c>
      <c r="H1843" s="6">
        <f>INT(Query1[[#This Row],[EntryDateTime]])</f>
        <v>44627</v>
      </c>
      <c r="I1843" s="1">
        <f>IF(Query1[[#This Row],[ItemType]]="EVAP KIT SF GEN IV",Query1[[#This Row],[OrderQty]]+I1842,I1842)</f>
        <v>2098</v>
      </c>
      <c r="J1843" s="1">
        <f>IF(Query1[[#This Row],[ItemType]]="EVAP KIT UNIVERSAL",Query1[[#This Row],[OrderQty]]+J1842,J1842)</f>
        <v>904</v>
      </c>
      <c r="K1843" s="1">
        <f>Query1[[#This Row],[SF Running Total]]+Query1[[#This Row],[UNIV Running Total]]</f>
        <v>3002</v>
      </c>
      <c r="L1843">
        <f>VLOOKUP(Query1[[#This Row],[Description]],'kits to boards'!$B$2:$E$156,2,FALSE)</f>
        <v>830132</v>
      </c>
      <c r="M1843">
        <f>VLOOKUP(Query1[[#This Row],[Description]],'kits to boards'!$B$2:$E$156,3,FALSE)</f>
        <v>0</v>
      </c>
      <c r="N1843">
        <f>VLOOKUP(Query1[[#This Row],[Description]],'kits to boards'!$B$2:$E$156,4,FALSE)</f>
        <v>0</v>
      </c>
      <c r="O1843" t="str">
        <f>CONCATENATE(Query1[[#This Row],[Description]]," - ",Query1[[#This Row],[MB1]]," - ",Query1[[#This Row],[MB2]]," - ",Query1[[#This Row],[MB3]])</f>
        <v>EVAP KIT 82-88 MONTE CARLO/EL CAMINO - 830132 - 0 - 0</v>
      </c>
    </row>
    <row r="1844" spans="1:15" x14ac:dyDescent="0.25">
      <c r="A1844" s="1">
        <v>913921</v>
      </c>
      <c r="B1844" s="1" t="s">
        <v>208</v>
      </c>
      <c r="C1844" s="1" t="s">
        <v>209</v>
      </c>
      <c r="D1844" s="2">
        <v>44627.622442164349</v>
      </c>
      <c r="E1844" s="1" t="s">
        <v>8</v>
      </c>
      <c r="F1844" s="1">
        <v>1</v>
      </c>
      <c r="G1844" s="1">
        <v>0</v>
      </c>
      <c r="H1844" s="6">
        <f>INT(Query1[[#This Row],[EntryDateTime]])</f>
        <v>44627</v>
      </c>
      <c r="I1844" s="1">
        <f>IF(Query1[[#This Row],[ItemType]]="EVAP KIT SF GEN IV",Query1[[#This Row],[OrderQty]]+I1843,I1843)</f>
        <v>2099</v>
      </c>
      <c r="J1844" s="1">
        <f>IF(Query1[[#This Row],[ItemType]]="EVAP KIT UNIVERSAL",Query1[[#This Row],[OrderQty]]+J1843,J1843)</f>
        <v>904</v>
      </c>
      <c r="K1844" s="1">
        <f>Query1[[#This Row],[SF Running Total]]+Query1[[#This Row],[UNIV Running Total]]</f>
        <v>3003</v>
      </c>
      <c r="L1844">
        <f>VLOOKUP(Query1[[#This Row],[Description]],'kits to boards'!$B$2:$E$156,2,FALSE)</f>
        <v>830094</v>
      </c>
      <c r="M1844">
        <f>VLOOKUP(Query1[[#This Row],[Description]],'kits to boards'!$B$2:$E$156,3,FALSE)</f>
        <v>0</v>
      </c>
      <c r="N1844">
        <f>VLOOKUP(Query1[[#This Row],[Description]],'kits to boards'!$B$2:$E$156,4,FALSE)</f>
        <v>0</v>
      </c>
      <c r="O1844" t="str">
        <f>CONCATENATE(Query1[[#This Row],[Description]]," - ",Query1[[#This Row],[MB1]]," - ",Query1[[#This Row],[MB2]]," - ",Query1[[#This Row],[MB3]])</f>
        <v>EVAP KIT 68 VETTE W/AC - 830094 - 0 - 0</v>
      </c>
    </row>
    <row r="1845" spans="1:15" x14ac:dyDescent="0.25">
      <c r="A1845" s="1">
        <v>913921</v>
      </c>
      <c r="B1845" s="1" t="s">
        <v>296</v>
      </c>
      <c r="C1845" s="1" t="s">
        <v>297</v>
      </c>
      <c r="D1845" s="2">
        <v>44627.622655405095</v>
      </c>
      <c r="E1845" s="1" t="s">
        <v>11</v>
      </c>
      <c r="F1845" s="1">
        <v>1</v>
      </c>
      <c r="G1845" s="1">
        <v>0</v>
      </c>
      <c r="H1845" s="6">
        <f>INT(Query1[[#This Row],[EntryDateTime]])</f>
        <v>44627</v>
      </c>
      <c r="I1845" s="1">
        <f>IF(Query1[[#This Row],[ItemType]]="EVAP KIT SF GEN IV",Query1[[#This Row],[OrderQty]]+I1844,I1844)</f>
        <v>2099</v>
      </c>
      <c r="J1845" s="1">
        <f>IF(Query1[[#This Row],[ItemType]]="EVAP KIT UNIVERSAL",Query1[[#This Row],[OrderQty]]+J1844,J1844)</f>
        <v>905</v>
      </c>
      <c r="K1845" s="1">
        <f>Query1[[#This Row],[SF Running Total]]+Query1[[#This Row],[UNIV Running Total]]</f>
        <v>3004</v>
      </c>
      <c r="L1845">
        <f>VLOOKUP(Query1[[#This Row],[Description]],'kits to boards'!$B$2:$E$156,2,FALSE)</f>
        <v>0</v>
      </c>
      <c r="M1845">
        <f>VLOOKUP(Query1[[#This Row],[Description]],'kits to boards'!$B$2:$E$156,3,FALSE)</f>
        <v>0</v>
      </c>
      <c r="N1845">
        <f>VLOOKUP(Query1[[#This Row],[Description]],'kits to boards'!$B$2:$E$156,4,FALSE)</f>
        <v>0</v>
      </c>
      <c r="O1845" t="str">
        <f>CONCATENATE(Query1[[#This Row],[Description]]," - ",Query1[[#This Row],[MB1]]," - ",Query1[[#This Row],[MB2]]," - ",Query1[[#This Row],[MB3]])</f>
        <v>HERITAGE TURNED EVAP KIT COOL ONLY - 0 - 0 - 0</v>
      </c>
    </row>
    <row r="1846" spans="1:15" x14ac:dyDescent="0.25">
      <c r="A1846" s="1">
        <v>913923</v>
      </c>
      <c r="B1846" s="1" t="s">
        <v>64</v>
      </c>
      <c r="C1846" s="1" t="s">
        <v>65</v>
      </c>
      <c r="D1846" s="2">
        <v>44627.623265937502</v>
      </c>
      <c r="E1846" s="1" t="s">
        <v>8</v>
      </c>
      <c r="F1846" s="1">
        <v>1</v>
      </c>
      <c r="G1846" s="1">
        <v>0</v>
      </c>
      <c r="H1846" s="6">
        <f>INT(Query1[[#This Row],[EntryDateTime]])</f>
        <v>44627</v>
      </c>
      <c r="I1846" s="1">
        <f>IF(Query1[[#This Row],[ItemType]]="EVAP KIT SF GEN IV",Query1[[#This Row],[OrderQty]]+I1845,I1845)</f>
        <v>2100</v>
      </c>
      <c r="J1846" s="1">
        <f>IF(Query1[[#This Row],[ItemType]]="EVAP KIT UNIVERSAL",Query1[[#This Row],[OrderQty]]+J1845,J1845)</f>
        <v>905</v>
      </c>
      <c r="K1846" s="1">
        <f>Query1[[#This Row],[SF Running Total]]+Query1[[#This Row],[UNIV Running Total]]</f>
        <v>3005</v>
      </c>
      <c r="L1846">
        <f>VLOOKUP(Query1[[#This Row],[Description]],'kits to boards'!$B$2:$E$156,2,FALSE)</f>
        <v>830067</v>
      </c>
      <c r="M1846">
        <f>VLOOKUP(Query1[[#This Row],[Description]],'kits to boards'!$B$2:$E$156,3,FALSE)</f>
        <v>0</v>
      </c>
      <c r="N1846">
        <f>VLOOKUP(Query1[[#This Row],[Description]],'kits to boards'!$B$2:$E$156,4,FALSE)</f>
        <v>0</v>
      </c>
      <c r="O1846" t="str">
        <f>CONCATENATE(Query1[[#This Row],[Description]]," - ",Query1[[#This Row],[MB1]]," - ",Query1[[#This Row],[MB2]]," - ",Query1[[#This Row],[MB3]])</f>
        <v>EVAP KIT 59-60 CHEV CAR 4-LEVER - 830067 - 0 - 0</v>
      </c>
    </row>
    <row r="1847" spans="1:15" x14ac:dyDescent="0.25">
      <c r="A1847" s="1">
        <v>913924</v>
      </c>
      <c r="B1847" s="1" t="s">
        <v>22</v>
      </c>
      <c r="C1847" s="1" t="s">
        <v>23</v>
      </c>
      <c r="D1847" s="2">
        <v>44627.62405150463</v>
      </c>
      <c r="E1847" s="1" t="s">
        <v>8</v>
      </c>
      <c r="F1847" s="1">
        <v>1</v>
      </c>
      <c r="G1847" s="1">
        <v>0</v>
      </c>
      <c r="H1847" s="6">
        <f>INT(Query1[[#This Row],[EntryDateTime]])</f>
        <v>44627</v>
      </c>
      <c r="I1847" s="1">
        <f>IF(Query1[[#This Row],[ItemType]]="EVAP KIT SF GEN IV",Query1[[#This Row],[OrderQty]]+I1846,I1846)</f>
        <v>2101</v>
      </c>
      <c r="J1847" s="1">
        <f>IF(Query1[[#This Row],[ItemType]]="EVAP KIT UNIVERSAL",Query1[[#This Row],[OrderQty]]+J1846,J1846)</f>
        <v>905</v>
      </c>
      <c r="K1847" s="1">
        <f>Query1[[#This Row],[SF Running Total]]+Query1[[#This Row],[UNIV Running Total]]</f>
        <v>3006</v>
      </c>
      <c r="L1847">
        <f>VLOOKUP(Query1[[#This Row],[Description]],'kits to boards'!$B$2:$E$156,2,FALSE)</f>
        <v>830083</v>
      </c>
      <c r="M1847">
        <f>VLOOKUP(Query1[[#This Row],[Description]],'kits to boards'!$B$2:$E$156,3,FALSE)</f>
        <v>0</v>
      </c>
      <c r="N1847">
        <f>VLOOKUP(Query1[[#This Row],[Description]],'kits to boards'!$B$2:$E$156,4,FALSE)</f>
        <v>0</v>
      </c>
      <c r="O1847" t="str">
        <f>CONCATENATE(Query1[[#This Row],[Description]]," - ",Query1[[#This Row],[MB1]]," - ",Query1[[#This Row],[MB2]]," - ",Query1[[#This Row],[MB3]])</f>
        <v>GEN IV MAGNUM EVAP KIT - 830083 - 0 - 0</v>
      </c>
    </row>
    <row r="1848" spans="1:15" x14ac:dyDescent="0.25">
      <c r="A1848" s="1">
        <v>913930</v>
      </c>
      <c r="B1848" s="1" t="s">
        <v>128</v>
      </c>
      <c r="C1848" s="1" t="s">
        <v>129</v>
      </c>
      <c r="D1848" s="2">
        <v>44627.634657488423</v>
      </c>
      <c r="E1848" s="1" t="s">
        <v>8</v>
      </c>
      <c r="F1848" s="1">
        <v>1</v>
      </c>
      <c r="G1848" s="1">
        <v>0</v>
      </c>
      <c r="H1848" s="6">
        <f>INT(Query1[[#This Row],[EntryDateTime]])</f>
        <v>44627</v>
      </c>
      <c r="I1848" s="1">
        <f>IF(Query1[[#This Row],[ItemType]]="EVAP KIT SF GEN IV",Query1[[#This Row],[OrderQty]]+I1847,I1847)</f>
        <v>2102</v>
      </c>
      <c r="J1848" s="1">
        <f>IF(Query1[[#This Row],[ItemType]]="EVAP KIT UNIVERSAL",Query1[[#This Row],[OrderQty]]+J1847,J1847)</f>
        <v>905</v>
      </c>
      <c r="K1848" s="1">
        <f>Query1[[#This Row],[SF Running Total]]+Query1[[#This Row],[UNIV Running Total]]</f>
        <v>3007</v>
      </c>
      <c r="L1848">
        <f>VLOOKUP(Query1[[#This Row],[Description]],'kits to boards'!$B$2:$E$156,2,FALSE)</f>
        <v>830036</v>
      </c>
      <c r="M1848">
        <f>VLOOKUP(Query1[[#This Row],[Description]],'kits to boards'!$B$2:$E$156,3,FALSE)</f>
        <v>830039</v>
      </c>
      <c r="N1848">
        <f>VLOOKUP(Query1[[#This Row],[Description]],'kits to boards'!$B$2:$E$156,4,FALSE)</f>
        <v>0</v>
      </c>
      <c r="O1848" t="str">
        <f>CONCATENATE(Query1[[#This Row],[Description]]," - ",Query1[[#This Row],[MB1]]," - ",Query1[[#This Row],[MB2]]," - ",Query1[[#This Row],[MB3]])</f>
        <v>EVAP KIT 63-66 VETTE WO AC - 830036 - 830039 - 0</v>
      </c>
    </row>
    <row r="1849" spans="1:15" x14ac:dyDescent="0.25">
      <c r="A1849" s="1">
        <v>913922</v>
      </c>
      <c r="B1849" s="1" t="s">
        <v>24</v>
      </c>
      <c r="C1849" s="1" t="s">
        <v>25</v>
      </c>
      <c r="D1849" s="2">
        <v>44627.642540856483</v>
      </c>
      <c r="E1849" s="1" t="s">
        <v>11</v>
      </c>
      <c r="F1849" s="1">
        <v>1</v>
      </c>
      <c r="G1849" s="1">
        <v>0</v>
      </c>
      <c r="H1849" s="6">
        <f>INT(Query1[[#This Row],[EntryDateTime]])</f>
        <v>44627</v>
      </c>
      <c r="I1849" s="1">
        <f>IF(Query1[[#This Row],[ItemType]]="EVAP KIT SF GEN IV",Query1[[#This Row],[OrderQty]]+I1848,I1848)</f>
        <v>2102</v>
      </c>
      <c r="J1849" s="1">
        <f>IF(Query1[[#This Row],[ItemType]]="EVAP KIT UNIVERSAL",Query1[[#This Row],[OrderQty]]+J1848,J1848)</f>
        <v>906</v>
      </c>
      <c r="K1849" s="1">
        <f>Query1[[#This Row],[SF Running Total]]+Query1[[#This Row],[UNIV Running Total]]</f>
        <v>3008</v>
      </c>
      <c r="L1849">
        <f>VLOOKUP(Query1[[#This Row],[Description]],'kits to boards'!$B$2:$E$156,2,FALSE)</f>
        <v>830029</v>
      </c>
      <c r="M1849">
        <f>VLOOKUP(Query1[[#This Row],[Description]],'kits to boards'!$B$2:$E$156,3,FALSE)</f>
        <v>830030</v>
      </c>
      <c r="N1849">
        <f>VLOOKUP(Query1[[#This Row],[Description]],'kits to boards'!$B$2:$E$156,4,FALSE)</f>
        <v>0</v>
      </c>
      <c r="O1849" t="str">
        <f>CONCATENATE(Query1[[#This Row],[Description]]," - ",Query1[[#This Row],[MB1]]," - ",Query1[[#This Row],[MB2]]," - ",Query1[[#This Row],[MB3]])</f>
        <v>ComPac GEN II W/DEF - 830029 - 830030 - 0</v>
      </c>
    </row>
    <row r="1850" spans="1:15" x14ac:dyDescent="0.25">
      <c r="A1850" s="1">
        <v>913938</v>
      </c>
      <c r="B1850" s="1" t="s">
        <v>30</v>
      </c>
      <c r="C1850" s="1" t="s">
        <v>31</v>
      </c>
      <c r="D1850" s="2">
        <v>44627.648485798614</v>
      </c>
      <c r="E1850" s="1" t="s">
        <v>8</v>
      </c>
      <c r="F1850" s="1">
        <v>1</v>
      </c>
      <c r="G1850" s="1">
        <v>0</v>
      </c>
      <c r="H1850" s="6">
        <f>INT(Query1[[#This Row],[EntryDateTime]])</f>
        <v>44627</v>
      </c>
      <c r="I1850" s="1">
        <f>IF(Query1[[#This Row],[ItemType]]="EVAP KIT SF GEN IV",Query1[[#This Row],[OrderQty]]+I1849,I1849)</f>
        <v>2103</v>
      </c>
      <c r="J1850" s="1">
        <f>IF(Query1[[#This Row],[ItemType]]="EVAP KIT UNIVERSAL",Query1[[#This Row],[OrderQty]]+J1849,J1849)</f>
        <v>906</v>
      </c>
      <c r="K1850" s="1">
        <f>Query1[[#This Row],[SF Running Total]]+Query1[[#This Row],[UNIV Running Total]]</f>
        <v>3009</v>
      </c>
      <c r="L1850">
        <f>VLOOKUP(Query1[[#This Row],[Description]],'kits to boards'!$B$2:$E$156,2,FALSE)</f>
        <v>830054</v>
      </c>
      <c r="M1850">
        <f>VLOOKUP(Query1[[#This Row],[Description]],'kits to boards'!$B$2:$E$156,3,FALSE)</f>
        <v>0</v>
      </c>
      <c r="N1850">
        <f>VLOOKUP(Query1[[#This Row],[Description]],'kits to boards'!$B$2:$E$156,4,FALSE)</f>
        <v>0</v>
      </c>
      <c r="O1850" t="str">
        <f>CONCATENATE(Query1[[#This Row],[Description]]," - ",Query1[[#This Row],[MB1]]," - ",Query1[[#This Row],[MB2]]," - ",Query1[[#This Row],[MB3]])</f>
        <v>EVAP KIT 55-56 CHEVY 4-VENT - 830054 - 0 - 0</v>
      </c>
    </row>
    <row r="1851" spans="1:15" x14ac:dyDescent="0.25">
      <c r="A1851" s="1">
        <v>913944</v>
      </c>
      <c r="B1851" s="1" t="s">
        <v>50</v>
      </c>
      <c r="C1851" s="1" t="s">
        <v>51</v>
      </c>
      <c r="D1851" s="2">
        <v>44627.654149189817</v>
      </c>
      <c r="E1851" s="1" t="s">
        <v>8</v>
      </c>
      <c r="F1851" s="1">
        <v>1</v>
      </c>
      <c r="G1851" s="1">
        <v>0</v>
      </c>
      <c r="H1851" s="6">
        <f>INT(Query1[[#This Row],[EntryDateTime]])</f>
        <v>44627</v>
      </c>
      <c r="I1851" s="1">
        <f>IF(Query1[[#This Row],[ItemType]]="EVAP KIT SF GEN IV",Query1[[#This Row],[OrderQty]]+I1850,I1850)</f>
        <v>2104</v>
      </c>
      <c r="J1851" s="1">
        <f>IF(Query1[[#This Row],[ItemType]]="EVAP KIT UNIVERSAL",Query1[[#This Row],[OrderQty]]+J1850,J1850)</f>
        <v>906</v>
      </c>
      <c r="K1851" s="1">
        <f>Query1[[#This Row],[SF Running Total]]+Query1[[#This Row],[UNIV Running Total]]</f>
        <v>3010</v>
      </c>
      <c r="L1851">
        <f>VLOOKUP(Query1[[#This Row],[Description]],'kits to boards'!$B$2:$E$156,2,FALSE)</f>
        <v>830043</v>
      </c>
      <c r="M1851">
        <f>VLOOKUP(Query1[[#This Row],[Description]],'kits to boards'!$B$2:$E$156,3,FALSE)</f>
        <v>0</v>
      </c>
      <c r="N1851">
        <f>VLOOKUP(Query1[[#This Row],[Description]],'kits to boards'!$B$2:$E$156,4,FALSE)</f>
        <v>0</v>
      </c>
      <c r="O1851" t="str">
        <f>CONCATENATE(Query1[[#This Row],[Description]]," - ",Query1[[#This Row],[MB1]]," - ",Query1[[#This Row],[MB2]]," - ",Query1[[#This Row],[MB3]])</f>
        <v>EVAP KIT 69-74 NOVA WO AC - 830043 - 0 - 0</v>
      </c>
    </row>
    <row r="1852" spans="1:15" x14ac:dyDescent="0.25">
      <c r="A1852" s="1">
        <v>913947</v>
      </c>
      <c r="B1852" s="1" t="s">
        <v>68</v>
      </c>
      <c r="C1852" s="1" t="s">
        <v>69</v>
      </c>
      <c r="D1852" s="2">
        <v>44627.658329398146</v>
      </c>
      <c r="E1852" s="1" t="s">
        <v>8</v>
      </c>
      <c r="F1852" s="1">
        <v>1</v>
      </c>
      <c r="G1852" s="1">
        <v>0</v>
      </c>
      <c r="H1852" s="6">
        <f>INT(Query1[[#This Row],[EntryDateTime]])</f>
        <v>44627</v>
      </c>
      <c r="I1852" s="1">
        <f>IF(Query1[[#This Row],[ItemType]]="EVAP KIT SF GEN IV",Query1[[#This Row],[OrderQty]]+I1851,I1851)</f>
        <v>2105</v>
      </c>
      <c r="J1852" s="1">
        <f>IF(Query1[[#This Row],[ItemType]]="EVAP KIT UNIVERSAL",Query1[[#This Row],[OrderQty]]+J1851,J1851)</f>
        <v>906</v>
      </c>
      <c r="K1852" s="1">
        <f>Query1[[#This Row],[SF Running Total]]+Query1[[#This Row],[UNIV Running Total]]</f>
        <v>3011</v>
      </c>
      <c r="L1852">
        <f>VLOOKUP(Query1[[#This Row],[Description]],'kits to boards'!$B$2:$E$156,2,FALSE)</f>
        <v>830010</v>
      </c>
      <c r="M1852">
        <f>VLOOKUP(Query1[[#This Row],[Description]],'kits to boards'!$B$2:$E$156,3,FALSE)</f>
        <v>0</v>
      </c>
      <c r="N1852">
        <f>VLOOKUP(Query1[[#This Row],[Description]],'kits to boards'!$B$2:$E$156,4,FALSE)</f>
        <v>0</v>
      </c>
      <c r="O1852" t="str">
        <f>CONCATENATE(Query1[[#This Row],[Description]]," - ",Query1[[#This Row],[MB1]]," - ",Query1[[#This Row],[MB2]]," - ",Query1[[#This Row],[MB3]])</f>
        <v>EVAP KIT 70-72 CHEVELLE WO AC - 830010 - 0 - 0</v>
      </c>
    </row>
    <row r="1853" spans="1:15" x14ac:dyDescent="0.25">
      <c r="A1853" s="1">
        <v>913947</v>
      </c>
      <c r="B1853" s="1" t="s">
        <v>68</v>
      </c>
      <c r="C1853" s="1" t="s">
        <v>69</v>
      </c>
      <c r="D1853" s="2">
        <v>44627.66066577546</v>
      </c>
      <c r="E1853" s="1" t="s">
        <v>8</v>
      </c>
      <c r="F1853" s="1">
        <v>1</v>
      </c>
      <c r="G1853" s="1">
        <v>0</v>
      </c>
      <c r="H1853" s="6">
        <f>INT(Query1[[#This Row],[EntryDateTime]])</f>
        <v>44627</v>
      </c>
      <c r="I1853" s="1">
        <f>IF(Query1[[#This Row],[ItemType]]="EVAP KIT SF GEN IV",Query1[[#This Row],[OrderQty]]+I1852,I1852)</f>
        <v>2106</v>
      </c>
      <c r="J1853" s="1">
        <f>IF(Query1[[#This Row],[ItemType]]="EVAP KIT UNIVERSAL",Query1[[#This Row],[OrderQty]]+J1852,J1852)</f>
        <v>906</v>
      </c>
      <c r="K1853" s="1">
        <f>Query1[[#This Row],[SF Running Total]]+Query1[[#This Row],[UNIV Running Total]]</f>
        <v>3012</v>
      </c>
      <c r="L1853">
        <f>VLOOKUP(Query1[[#This Row],[Description]],'kits to boards'!$B$2:$E$156,2,FALSE)</f>
        <v>830010</v>
      </c>
      <c r="M1853">
        <f>VLOOKUP(Query1[[#This Row],[Description]],'kits to boards'!$B$2:$E$156,3,FALSE)</f>
        <v>0</v>
      </c>
      <c r="N1853">
        <f>VLOOKUP(Query1[[#This Row],[Description]],'kits to boards'!$B$2:$E$156,4,FALSE)</f>
        <v>0</v>
      </c>
      <c r="O1853" t="str">
        <f>CONCATENATE(Query1[[#This Row],[Description]]," - ",Query1[[#This Row],[MB1]]," - ",Query1[[#This Row],[MB2]]," - ",Query1[[#This Row],[MB3]])</f>
        <v>EVAP KIT 70-72 CHEVELLE WO AC - 830010 - 0 - 0</v>
      </c>
    </row>
    <row r="1854" spans="1:15" x14ac:dyDescent="0.25">
      <c r="A1854" s="1">
        <v>913956</v>
      </c>
      <c r="B1854" s="1" t="s">
        <v>26</v>
      </c>
      <c r="C1854" s="1" t="s">
        <v>27</v>
      </c>
      <c r="D1854" s="2">
        <v>44627.675018518516</v>
      </c>
      <c r="E1854" s="1" t="s">
        <v>8</v>
      </c>
      <c r="F1854" s="1">
        <v>1</v>
      </c>
      <c r="G1854" s="1">
        <v>0</v>
      </c>
      <c r="H1854" s="6">
        <f>INT(Query1[[#This Row],[EntryDateTime]])</f>
        <v>44627</v>
      </c>
      <c r="I1854" s="1">
        <f>IF(Query1[[#This Row],[ItemType]]="EVAP KIT SF GEN IV",Query1[[#This Row],[OrderQty]]+I1853,I1853)</f>
        <v>2107</v>
      </c>
      <c r="J1854" s="1">
        <f>IF(Query1[[#This Row],[ItemType]]="EVAP KIT UNIVERSAL",Query1[[#This Row],[OrderQty]]+J1853,J1853)</f>
        <v>906</v>
      </c>
      <c r="K1854" s="1">
        <f>Query1[[#This Row],[SF Running Total]]+Query1[[#This Row],[UNIV Running Total]]</f>
        <v>3013</v>
      </c>
      <c r="L1854">
        <f>VLOOKUP(Query1[[#This Row],[Description]],'kits to boards'!$B$2:$E$156,2,FALSE)</f>
        <v>830013</v>
      </c>
      <c r="M1854">
        <f>VLOOKUP(Query1[[#This Row],[Description]],'kits to boards'!$B$2:$E$156,3,FALSE)</f>
        <v>0</v>
      </c>
      <c r="N1854">
        <f>VLOOKUP(Query1[[#This Row],[Description]],'kits to boards'!$B$2:$E$156,4,FALSE)</f>
        <v>0</v>
      </c>
      <c r="O1854" t="str">
        <f>CONCATENATE(Query1[[#This Row],[Description]]," - ",Query1[[#This Row],[MB1]]," - ",Query1[[#This Row],[MB2]]," - ",Query1[[#This Row],[MB3]])</f>
        <v>EVAP KIT 67-72 CHEV P-UP W/AC - 830013 - 0 - 0</v>
      </c>
    </row>
    <row r="1855" spans="1:15" x14ac:dyDescent="0.25">
      <c r="A1855" s="1">
        <v>913960</v>
      </c>
      <c r="B1855" s="1" t="s">
        <v>242</v>
      </c>
      <c r="C1855" s="1" t="s">
        <v>243</v>
      </c>
      <c r="D1855" s="2">
        <v>44627.687903622682</v>
      </c>
      <c r="E1855" s="1" t="s">
        <v>8</v>
      </c>
      <c r="F1855" s="1">
        <v>1</v>
      </c>
      <c r="G1855" s="1">
        <v>0</v>
      </c>
      <c r="H1855" s="6">
        <f>INT(Query1[[#This Row],[EntryDateTime]])</f>
        <v>44627</v>
      </c>
      <c r="I1855" s="1">
        <f>IF(Query1[[#This Row],[ItemType]]="EVAP KIT SF GEN IV",Query1[[#This Row],[OrderQty]]+I1854,I1854)</f>
        <v>2108</v>
      </c>
      <c r="J1855" s="1">
        <f>IF(Query1[[#This Row],[ItemType]]="EVAP KIT UNIVERSAL",Query1[[#This Row],[OrderQty]]+J1854,J1854)</f>
        <v>906</v>
      </c>
      <c r="K1855" s="1">
        <f>Query1[[#This Row],[SF Running Total]]+Query1[[#This Row],[UNIV Running Total]]</f>
        <v>3014</v>
      </c>
      <c r="L1855">
        <f>VLOOKUP(Query1[[#This Row],[Description]],'kits to boards'!$B$2:$E$156,2,FALSE)</f>
        <v>830036</v>
      </c>
      <c r="M1855">
        <f>VLOOKUP(Query1[[#This Row],[Description]],'kits to boards'!$B$2:$E$156,3,FALSE)</f>
        <v>830039</v>
      </c>
      <c r="N1855">
        <f>VLOOKUP(Query1[[#This Row],[Description]],'kits to boards'!$B$2:$E$156,4,FALSE)</f>
        <v>0</v>
      </c>
      <c r="O1855" t="str">
        <f>CONCATENATE(Query1[[#This Row],[Description]]," - ",Query1[[#This Row],[MB1]]," - ",Query1[[#This Row],[MB2]]," - ",Query1[[#This Row],[MB3]])</f>
        <v>EVAP KIT 63-66 VETTE W/AC - 830036 - 830039 - 0</v>
      </c>
    </row>
    <row r="1856" spans="1:15" x14ac:dyDescent="0.25">
      <c r="A1856" s="1">
        <v>913964</v>
      </c>
      <c r="B1856" s="1" t="s">
        <v>72</v>
      </c>
      <c r="C1856" s="1" t="s">
        <v>73</v>
      </c>
      <c r="D1856" s="2">
        <v>44627.693157951391</v>
      </c>
      <c r="E1856" s="1" t="s">
        <v>8</v>
      </c>
      <c r="F1856" s="1">
        <v>1</v>
      </c>
      <c r="G1856" s="1">
        <v>0</v>
      </c>
      <c r="H1856" s="6">
        <f>INT(Query1[[#This Row],[EntryDateTime]])</f>
        <v>44627</v>
      </c>
      <c r="I1856" s="1">
        <f>IF(Query1[[#This Row],[ItemType]]="EVAP KIT SF GEN IV",Query1[[#This Row],[OrderQty]]+I1855,I1855)</f>
        <v>2109</v>
      </c>
      <c r="J1856" s="1">
        <f>IF(Query1[[#This Row],[ItemType]]="EVAP KIT UNIVERSAL",Query1[[#This Row],[OrderQty]]+J1855,J1855)</f>
        <v>906</v>
      </c>
      <c r="K1856" s="1">
        <f>Query1[[#This Row],[SF Running Total]]+Query1[[#This Row],[UNIV Running Total]]</f>
        <v>3015</v>
      </c>
      <c r="L1856">
        <f>VLOOKUP(Query1[[#This Row],[Description]],'kits to boards'!$B$2:$E$156,2,FALSE)</f>
        <v>830043</v>
      </c>
      <c r="M1856">
        <f>VLOOKUP(Query1[[#This Row],[Description]],'kits to boards'!$B$2:$E$156,3,FALSE)</f>
        <v>0</v>
      </c>
      <c r="N1856">
        <f>VLOOKUP(Query1[[#This Row],[Description]],'kits to boards'!$B$2:$E$156,4,FALSE)</f>
        <v>0</v>
      </c>
      <c r="O1856" t="str">
        <f>CONCATENATE(Query1[[#This Row],[Description]]," - ",Query1[[#This Row],[MB1]]," - ",Query1[[#This Row],[MB2]]," - ",Query1[[#This Row],[MB3]])</f>
        <v>EVAP KIT 69-74 NOVA W/AC - 830043 - 0 - 0</v>
      </c>
    </row>
    <row r="1857" spans="1:15" x14ac:dyDescent="0.25">
      <c r="A1857" s="1">
        <v>913966</v>
      </c>
      <c r="B1857" s="1" t="s">
        <v>194</v>
      </c>
      <c r="C1857" s="1" t="s">
        <v>195</v>
      </c>
      <c r="D1857" s="2">
        <v>44627.696090891201</v>
      </c>
      <c r="E1857" s="1" t="s">
        <v>8</v>
      </c>
      <c r="F1857" s="1">
        <v>1</v>
      </c>
      <c r="G1857" s="1">
        <v>0</v>
      </c>
      <c r="H1857" s="6">
        <f>INT(Query1[[#This Row],[EntryDateTime]])</f>
        <v>44627</v>
      </c>
      <c r="I1857" s="1">
        <f>IF(Query1[[#This Row],[ItemType]]="EVAP KIT SF GEN IV",Query1[[#This Row],[OrderQty]]+I1856,I1856)</f>
        <v>2110</v>
      </c>
      <c r="J1857" s="1">
        <f>IF(Query1[[#This Row],[ItemType]]="EVAP KIT UNIVERSAL",Query1[[#This Row],[OrderQty]]+J1856,J1856)</f>
        <v>906</v>
      </c>
      <c r="K1857" s="1">
        <f>Query1[[#This Row],[SF Running Total]]+Query1[[#This Row],[UNIV Running Total]]</f>
        <v>3016</v>
      </c>
      <c r="L1857">
        <f>VLOOKUP(Query1[[#This Row],[Description]],'kits to boards'!$B$2:$E$156,2,FALSE)</f>
        <v>830103</v>
      </c>
      <c r="M1857">
        <f>VLOOKUP(Query1[[#This Row],[Description]],'kits to boards'!$B$2:$E$156,3,FALSE)</f>
        <v>0</v>
      </c>
      <c r="N1857">
        <f>VLOOKUP(Query1[[#This Row],[Description]],'kits to boards'!$B$2:$E$156,4,FALSE)</f>
        <v>0</v>
      </c>
      <c r="O1857" t="str">
        <f>CONCATENATE(Query1[[#This Row],[Description]]," - ",Query1[[#This Row],[MB1]]," - ",Query1[[#This Row],[MB2]]," - ",Query1[[#This Row],[MB3]])</f>
        <v>EVAP KIT 78-82 VETTE W/AC - 830103 - 0 - 0</v>
      </c>
    </row>
    <row r="1858" spans="1:15" x14ac:dyDescent="0.25">
      <c r="A1858" s="1">
        <v>913969</v>
      </c>
      <c r="B1858" s="1" t="s">
        <v>261</v>
      </c>
      <c r="C1858" s="1" t="s">
        <v>262</v>
      </c>
      <c r="D1858" s="2">
        <v>44627.700865590275</v>
      </c>
      <c r="E1858" s="1" t="s">
        <v>8</v>
      </c>
      <c r="F1858" s="1">
        <v>1</v>
      </c>
      <c r="G1858" s="1">
        <v>0</v>
      </c>
      <c r="H1858" s="6">
        <f>INT(Query1[[#This Row],[EntryDateTime]])</f>
        <v>44627</v>
      </c>
      <c r="I1858" s="1">
        <f>IF(Query1[[#This Row],[ItemType]]="EVAP KIT SF GEN IV",Query1[[#This Row],[OrderQty]]+I1857,I1857)</f>
        <v>2111</v>
      </c>
      <c r="J1858" s="1">
        <f>IF(Query1[[#This Row],[ItemType]]="EVAP KIT UNIVERSAL",Query1[[#This Row],[OrderQty]]+J1857,J1857)</f>
        <v>906</v>
      </c>
      <c r="K1858" s="1">
        <f>Query1[[#This Row],[SF Running Total]]+Query1[[#This Row],[UNIV Running Total]]</f>
        <v>3017</v>
      </c>
      <c r="L1858">
        <f>VLOOKUP(Query1[[#This Row],[Description]],'kits to boards'!$B$2:$E$156,2,FALSE)</f>
        <v>830074</v>
      </c>
      <c r="M1858">
        <f>VLOOKUP(Query1[[#This Row],[Description]],'kits to boards'!$B$2:$E$156,3,FALSE)</f>
        <v>0</v>
      </c>
      <c r="N1858">
        <f>VLOOKUP(Query1[[#This Row],[Description]],'kits to boards'!$B$2:$E$156,4,FALSE)</f>
        <v>0</v>
      </c>
      <c r="O1858" t="str">
        <f>CONCATENATE(Query1[[#This Row],[Description]]," - ",Query1[[#This Row],[MB1]]," - ",Query1[[#This Row],[MB2]]," - ",Query1[[#This Row],[MB3]])</f>
        <v>EVAP KIT 68 MOPAR B BODY W/AC - 830074 - 0 - 0</v>
      </c>
    </row>
    <row r="1859" spans="1:15" x14ac:dyDescent="0.25">
      <c r="A1859" s="1">
        <v>913974</v>
      </c>
      <c r="B1859" s="1" t="s">
        <v>222</v>
      </c>
      <c r="C1859" s="1" t="s">
        <v>223</v>
      </c>
      <c r="D1859" s="2">
        <v>44627.707332754631</v>
      </c>
      <c r="E1859" s="1" t="s">
        <v>8</v>
      </c>
      <c r="F1859" s="1">
        <v>1</v>
      </c>
      <c r="G1859" s="1">
        <v>0</v>
      </c>
      <c r="H1859" s="6">
        <f>INT(Query1[[#This Row],[EntryDateTime]])</f>
        <v>44627</v>
      </c>
      <c r="I1859" s="1">
        <f>IF(Query1[[#This Row],[ItemType]]="EVAP KIT SF GEN IV",Query1[[#This Row],[OrderQty]]+I1858,I1858)</f>
        <v>2112</v>
      </c>
      <c r="J1859" s="1">
        <f>IF(Query1[[#This Row],[ItemType]]="EVAP KIT UNIVERSAL",Query1[[#This Row],[OrderQty]]+J1858,J1858)</f>
        <v>906</v>
      </c>
      <c r="K1859" s="1">
        <f>Query1[[#This Row],[SF Running Total]]+Query1[[#This Row],[UNIV Running Total]]</f>
        <v>3018</v>
      </c>
      <c r="L1859">
        <f>VLOOKUP(Query1[[#This Row],[Description]],'kits to boards'!$B$2:$E$156,2,FALSE)</f>
        <v>830093</v>
      </c>
      <c r="M1859">
        <f>VLOOKUP(Query1[[#This Row],[Description]],'kits to boards'!$B$2:$E$156,3,FALSE)</f>
        <v>0</v>
      </c>
      <c r="N1859">
        <f>VLOOKUP(Query1[[#This Row],[Description]],'kits to boards'!$B$2:$E$156,4,FALSE)</f>
        <v>0</v>
      </c>
      <c r="O1859" t="str">
        <f>CONCATENATE(Query1[[#This Row],[Description]]," - ",Query1[[#This Row],[MB1]]," - ",Query1[[#This Row],[MB2]]," - ",Query1[[#This Row],[MB3]])</f>
        <v>EVAP KIT 67 VETTE WO AC - 830093 - 0 - 0</v>
      </c>
    </row>
    <row r="1860" spans="1:15" x14ac:dyDescent="0.25">
      <c r="A1860" s="1">
        <v>913979</v>
      </c>
      <c r="B1860" s="1" t="s">
        <v>54</v>
      </c>
      <c r="C1860" s="1" t="s">
        <v>55</v>
      </c>
      <c r="D1860" s="2">
        <v>44628.316024155094</v>
      </c>
      <c r="E1860" s="1" t="s">
        <v>8</v>
      </c>
      <c r="F1860" s="1">
        <v>1</v>
      </c>
      <c r="G1860" s="1">
        <v>0</v>
      </c>
      <c r="H1860" s="6">
        <f>INT(Query1[[#This Row],[EntryDateTime]])</f>
        <v>44628</v>
      </c>
      <c r="I1860" s="1">
        <f>IF(Query1[[#This Row],[ItemType]]="EVAP KIT SF GEN IV",Query1[[#This Row],[OrderQty]]+I1859,I1859)</f>
        <v>2113</v>
      </c>
      <c r="J1860" s="1">
        <f>IF(Query1[[#This Row],[ItemType]]="EVAP KIT UNIVERSAL",Query1[[#This Row],[OrderQty]]+J1859,J1859)</f>
        <v>906</v>
      </c>
      <c r="K1860" s="1">
        <f>Query1[[#This Row],[SF Running Total]]+Query1[[#This Row],[UNIV Running Total]]</f>
        <v>3019</v>
      </c>
      <c r="L1860">
        <f>VLOOKUP(Query1[[#This Row],[Description]],'kits to boards'!$B$2:$E$156,2,FALSE)</f>
        <v>830037</v>
      </c>
      <c r="M1860">
        <f>VLOOKUP(Query1[[#This Row],[Description]],'kits to boards'!$B$2:$E$156,3,FALSE)</f>
        <v>0</v>
      </c>
      <c r="N1860">
        <f>VLOOKUP(Query1[[#This Row],[Description]],'kits to boards'!$B$2:$E$156,4,FALSE)</f>
        <v>0</v>
      </c>
      <c r="O1860" t="str">
        <f>CONCATENATE(Query1[[#This Row],[Description]]," - ",Query1[[#This Row],[MB1]]," - ",Query1[[#This Row],[MB2]]," - ",Query1[[#This Row],[MB3]])</f>
        <v>EVAP KIT 70-81 FIREBIRD W/AC - 830037 - 0 - 0</v>
      </c>
    </row>
    <row r="1861" spans="1:15" x14ac:dyDescent="0.25">
      <c r="A1861" s="1">
        <v>913981</v>
      </c>
      <c r="B1861" s="1" t="s">
        <v>62</v>
      </c>
      <c r="C1861" s="1" t="s">
        <v>63</v>
      </c>
      <c r="D1861" s="2">
        <v>44628.319411608798</v>
      </c>
      <c r="E1861" s="1" t="s">
        <v>8</v>
      </c>
      <c r="F1861" s="1">
        <v>1</v>
      </c>
      <c r="G1861" s="1">
        <v>0</v>
      </c>
      <c r="H1861" s="6">
        <f>INT(Query1[[#This Row],[EntryDateTime]])</f>
        <v>44628</v>
      </c>
      <c r="I1861" s="1">
        <f>IF(Query1[[#This Row],[ItemType]]="EVAP KIT SF GEN IV",Query1[[#This Row],[OrderQty]]+I1860,I1860)</f>
        <v>2114</v>
      </c>
      <c r="J1861" s="1">
        <f>IF(Query1[[#This Row],[ItemType]]="EVAP KIT UNIVERSAL",Query1[[#This Row],[OrderQty]]+J1860,J1860)</f>
        <v>906</v>
      </c>
      <c r="K1861" s="1">
        <f>Query1[[#This Row],[SF Running Total]]+Query1[[#This Row],[UNIV Running Total]]</f>
        <v>3020</v>
      </c>
      <c r="L1861">
        <f>VLOOKUP(Query1[[#This Row],[Description]],'kits to boards'!$B$2:$E$156,2,FALSE)</f>
        <v>830079</v>
      </c>
      <c r="M1861">
        <f>VLOOKUP(Query1[[#This Row],[Description]],'kits to boards'!$B$2:$E$156,3,FALSE)</f>
        <v>830046</v>
      </c>
      <c r="N1861">
        <f>VLOOKUP(Query1[[#This Row],[Description]],'kits to boards'!$B$2:$E$156,4,FALSE)</f>
        <v>0</v>
      </c>
      <c r="O1861" t="str">
        <f>CONCATENATE(Query1[[#This Row],[Description]]," - ",Query1[[#This Row],[MB1]]," - ",Query1[[#This Row],[MB2]]," - ",Query1[[#This Row],[MB3]])</f>
        <v>EVAP KIT 67-68 MUSTANG/COUGAR WO AC - 830079 - 830046 - 0</v>
      </c>
    </row>
    <row r="1862" spans="1:15" x14ac:dyDescent="0.25">
      <c r="A1862" s="1">
        <v>913984</v>
      </c>
      <c r="B1862" s="1" t="s">
        <v>226</v>
      </c>
      <c r="C1862" s="1" t="s">
        <v>227</v>
      </c>
      <c r="D1862" s="2">
        <v>44628.321352199077</v>
      </c>
      <c r="E1862" s="1" t="s">
        <v>8</v>
      </c>
      <c r="F1862" s="1">
        <v>1</v>
      </c>
      <c r="G1862" s="1">
        <v>0</v>
      </c>
      <c r="H1862" s="6">
        <f>INT(Query1[[#This Row],[EntryDateTime]])</f>
        <v>44628</v>
      </c>
      <c r="I1862" s="1">
        <f>IF(Query1[[#This Row],[ItemType]]="EVAP KIT SF GEN IV",Query1[[#This Row],[OrderQty]]+I1861,I1861)</f>
        <v>2115</v>
      </c>
      <c r="J1862" s="1">
        <f>IF(Query1[[#This Row],[ItemType]]="EVAP KIT UNIVERSAL",Query1[[#This Row],[OrderQty]]+J1861,J1861)</f>
        <v>906</v>
      </c>
      <c r="K1862" s="1">
        <f>Query1[[#This Row],[SF Running Total]]+Query1[[#This Row],[UNIV Running Total]]</f>
        <v>3021</v>
      </c>
      <c r="L1862">
        <f>VLOOKUP(Query1[[#This Row],[Description]],'kits to boards'!$B$2:$E$156,2,FALSE)</f>
        <v>830124</v>
      </c>
      <c r="M1862">
        <f>VLOOKUP(Query1[[#This Row],[Description]],'kits to boards'!$B$2:$E$156,3,FALSE)</f>
        <v>0</v>
      </c>
      <c r="N1862">
        <f>VLOOKUP(Query1[[#This Row],[Description]],'kits to boards'!$B$2:$E$156,4,FALSE)</f>
        <v>0</v>
      </c>
      <c r="O1862" t="str">
        <f>CONCATENATE(Query1[[#This Row],[Description]]," - ",Query1[[#This Row],[MB1]]," - ",Query1[[#This Row],[MB2]]," - ",Query1[[#This Row],[MB3]])</f>
        <v>EVAP KIT 70-72 GTO W/AC - 830124 - 0 - 0</v>
      </c>
    </row>
    <row r="1863" spans="1:15" x14ac:dyDescent="0.25">
      <c r="A1863" s="1">
        <v>913985</v>
      </c>
      <c r="B1863" s="1" t="s">
        <v>216</v>
      </c>
      <c r="C1863" s="1" t="s">
        <v>217</v>
      </c>
      <c r="D1863" s="2">
        <v>44628.322729016203</v>
      </c>
      <c r="E1863" s="1" t="s">
        <v>8</v>
      </c>
      <c r="F1863" s="1">
        <v>1</v>
      </c>
      <c r="G1863" s="1">
        <v>0</v>
      </c>
      <c r="H1863" s="6">
        <f>INT(Query1[[#This Row],[EntryDateTime]])</f>
        <v>44628</v>
      </c>
      <c r="I1863" s="1">
        <f>IF(Query1[[#This Row],[ItemType]]="EVAP KIT SF GEN IV",Query1[[#This Row],[OrderQty]]+I1862,I1862)</f>
        <v>2116</v>
      </c>
      <c r="J1863" s="1">
        <f>IF(Query1[[#This Row],[ItemType]]="EVAP KIT UNIVERSAL",Query1[[#This Row],[OrderQty]]+J1862,J1862)</f>
        <v>906</v>
      </c>
      <c r="K1863" s="1">
        <f>Query1[[#This Row],[SF Running Total]]+Query1[[#This Row],[UNIV Running Total]]</f>
        <v>3022</v>
      </c>
      <c r="L1863">
        <f>VLOOKUP(Query1[[#This Row],[Description]],'kits to boards'!$B$2:$E$156,2,FALSE)</f>
        <v>830072</v>
      </c>
      <c r="M1863">
        <f>VLOOKUP(Query1[[#This Row],[Description]],'kits to boards'!$B$2:$E$156,3,FALSE)</f>
        <v>830075</v>
      </c>
      <c r="N1863">
        <f>VLOOKUP(Query1[[#This Row],[Description]],'kits to boards'!$B$2:$E$156,4,FALSE)</f>
        <v>0</v>
      </c>
      <c r="O1863" t="str">
        <f>CONCATENATE(Query1[[#This Row],[Description]]," - ",Query1[[#This Row],[MB1]]," - ",Query1[[#This Row],[MB2]]," - ",Query1[[#This Row],[MB3]])</f>
        <v>EVAP KIT 69-70 MOPAR B BODY W/AC - 830072 - 830075 - 0</v>
      </c>
    </row>
    <row r="1864" spans="1:15" x14ac:dyDescent="0.25">
      <c r="A1864" s="1">
        <v>912809</v>
      </c>
      <c r="B1864" s="1" t="s">
        <v>54</v>
      </c>
      <c r="C1864" s="1" t="s">
        <v>55</v>
      </c>
      <c r="D1864" s="2">
        <v>44628.326377743055</v>
      </c>
      <c r="E1864" s="1" t="s">
        <v>8</v>
      </c>
      <c r="F1864" s="1">
        <v>1</v>
      </c>
      <c r="G1864" s="1">
        <v>0</v>
      </c>
      <c r="H1864" s="6">
        <f>INT(Query1[[#This Row],[EntryDateTime]])</f>
        <v>44628</v>
      </c>
      <c r="I1864" s="1">
        <f>IF(Query1[[#This Row],[ItemType]]="EVAP KIT SF GEN IV",Query1[[#This Row],[OrderQty]]+I1863,I1863)</f>
        <v>2117</v>
      </c>
      <c r="J1864" s="1">
        <f>IF(Query1[[#This Row],[ItemType]]="EVAP KIT UNIVERSAL",Query1[[#This Row],[OrderQty]]+J1863,J1863)</f>
        <v>906</v>
      </c>
      <c r="K1864" s="1">
        <f>Query1[[#This Row],[SF Running Total]]+Query1[[#This Row],[UNIV Running Total]]</f>
        <v>3023</v>
      </c>
      <c r="L1864">
        <f>VLOOKUP(Query1[[#This Row],[Description]],'kits to boards'!$B$2:$E$156,2,FALSE)</f>
        <v>830037</v>
      </c>
      <c r="M1864">
        <f>VLOOKUP(Query1[[#This Row],[Description]],'kits to boards'!$B$2:$E$156,3,FALSE)</f>
        <v>0</v>
      </c>
      <c r="N1864">
        <f>VLOOKUP(Query1[[#This Row],[Description]],'kits to boards'!$B$2:$E$156,4,FALSE)</f>
        <v>0</v>
      </c>
      <c r="O1864" t="str">
        <f>CONCATENATE(Query1[[#This Row],[Description]]," - ",Query1[[#This Row],[MB1]]," - ",Query1[[#This Row],[MB2]]," - ",Query1[[#This Row],[MB3]])</f>
        <v>EVAP KIT 70-81 FIREBIRD W/AC - 830037 - 0 - 0</v>
      </c>
    </row>
    <row r="1865" spans="1:15" x14ac:dyDescent="0.25">
      <c r="A1865" s="1">
        <v>913986</v>
      </c>
      <c r="B1865" s="1" t="s">
        <v>158</v>
      </c>
      <c r="C1865" s="1" t="s">
        <v>159</v>
      </c>
      <c r="D1865" s="2">
        <v>44628.327232638891</v>
      </c>
      <c r="E1865" s="1" t="s">
        <v>8</v>
      </c>
      <c r="F1865" s="1">
        <v>1</v>
      </c>
      <c r="G1865" s="1">
        <v>0</v>
      </c>
      <c r="H1865" s="6">
        <f>INT(Query1[[#This Row],[EntryDateTime]])</f>
        <v>44628</v>
      </c>
      <c r="I1865" s="1">
        <f>IF(Query1[[#This Row],[ItemType]]="EVAP KIT SF GEN IV",Query1[[#This Row],[OrderQty]]+I1864,I1864)</f>
        <v>2118</v>
      </c>
      <c r="J1865" s="1">
        <f>IF(Query1[[#This Row],[ItemType]]="EVAP KIT UNIVERSAL",Query1[[#This Row],[OrderQty]]+J1864,J1864)</f>
        <v>906</v>
      </c>
      <c r="K1865" s="1">
        <f>Query1[[#This Row],[SF Running Total]]+Query1[[#This Row],[UNIV Running Total]]</f>
        <v>3024</v>
      </c>
      <c r="L1865">
        <f>VLOOKUP(Query1[[#This Row],[Description]],'kits to boards'!$B$2:$E$156,2,FALSE)</f>
        <v>830080</v>
      </c>
      <c r="M1865">
        <f>VLOOKUP(Query1[[#This Row],[Description]],'kits to boards'!$B$2:$E$156,3,FALSE)</f>
        <v>830046</v>
      </c>
      <c r="N1865">
        <f>VLOOKUP(Query1[[#This Row],[Description]],'kits to boards'!$B$2:$E$156,4,FALSE)</f>
        <v>0</v>
      </c>
      <c r="O1865" t="str">
        <f>CONCATENATE(Query1[[#This Row],[Description]]," - ",Query1[[#This Row],[MB1]]," - ",Query1[[#This Row],[MB2]]," - ",Query1[[#This Row],[MB3]])</f>
        <v>EVAP KIT 69-70 MUSTANG W/AC  - 830080 - 830046 - 0</v>
      </c>
    </row>
    <row r="1866" spans="1:15" x14ac:dyDescent="0.25">
      <c r="A1866" s="1">
        <v>913994</v>
      </c>
      <c r="B1866" s="1" t="s">
        <v>68</v>
      </c>
      <c r="C1866" s="1" t="s">
        <v>69</v>
      </c>
      <c r="D1866" s="2">
        <v>44628.328585416668</v>
      </c>
      <c r="E1866" s="1" t="s">
        <v>8</v>
      </c>
      <c r="F1866" s="1">
        <v>1</v>
      </c>
      <c r="G1866" s="1">
        <v>0</v>
      </c>
      <c r="H1866" s="6">
        <f>INT(Query1[[#This Row],[EntryDateTime]])</f>
        <v>44628</v>
      </c>
      <c r="I1866" s="1">
        <f>IF(Query1[[#This Row],[ItemType]]="EVAP KIT SF GEN IV",Query1[[#This Row],[OrderQty]]+I1865,I1865)</f>
        <v>2119</v>
      </c>
      <c r="J1866" s="1">
        <f>IF(Query1[[#This Row],[ItemType]]="EVAP KIT UNIVERSAL",Query1[[#This Row],[OrderQty]]+J1865,J1865)</f>
        <v>906</v>
      </c>
      <c r="K1866" s="1">
        <f>Query1[[#This Row],[SF Running Total]]+Query1[[#This Row],[UNIV Running Total]]</f>
        <v>3025</v>
      </c>
      <c r="L1866">
        <f>VLOOKUP(Query1[[#This Row],[Description]],'kits to boards'!$B$2:$E$156,2,FALSE)</f>
        <v>830010</v>
      </c>
      <c r="M1866">
        <f>VLOOKUP(Query1[[#This Row],[Description]],'kits to boards'!$B$2:$E$156,3,FALSE)</f>
        <v>0</v>
      </c>
      <c r="N1866">
        <f>VLOOKUP(Query1[[#This Row],[Description]],'kits to boards'!$B$2:$E$156,4,FALSE)</f>
        <v>0</v>
      </c>
      <c r="O1866" t="str">
        <f>CONCATENATE(Query1[[#This Row],[Description]]," - ",Query1[[#This Row],[MB1]]," - ",Query1[[#This Row],[MB2]]," - ",Query1[[#This Row],[MB3]])</f>
        <v>EVAP KIT 70-72 CHEVELLE WO AC - 830010 - 0 - 0</v>
      </c>
    </row>
    <row r="1867" spans="1:15" x14ac:dyDescent="0.25">
      <c r="A1867" s="1">
        <v>913980</v>
      </c>
      <c r="B1867" s="1" t="s">
        <v>106</v>
      </c>
      <c r="C1867" s="1" t="s">
        <v>107</v>
      </c>
      <c r="D1867" s="2">
        <v>44628.342301354169</v>
      </c>
      <c r="E1867" s="1" t="s">
        <v>8</v>
      </c>
      <c r="F1867" s="1">
        <v>1</v>
      </c>
      <c r="G1867" s="1">
        <v>0</v>
      </c>
      <c r="H1867" s="6">
        <f>INT(Query1[[#This Row],[EntryDateTime]])</f>
        <v>44628</v>
      </c>
      <c r="I1867" s="1">
        <f>IF(Query1[[#This Row],[ItemType]]="EVAP KIT SF GEN IV",Query1[[#This Row],[OrderQty]]+I1866,I1866)</f>
        <v>2120</v>
      </c>
      <c r="J1867" s="1">
        <f>IF(Query1[[#This Row],[ItemType]]="EVAP KIT UNIVERSAL",Query1[[#This Row],[OrderQty]]+J1866,J1866)</f>
        <v>906</v>
      </c>
      <c r="K1867" s="1">
        <f>Query1[[#This Row],[SF Running Total]]+Query1[[#This Row],[UNIV Running Total]]</f>
        <v>3026</v>
      </c>
      <c r="L1867">
        <f>VLOOKUP(Query1[[#This Row],[Description]],'kits to boards'!$B$2:$E$156,2,FALSE)</f>
        <v>830028</v>
      </c>
      <c r="M1867">
        <f>VLOOKUP(Query1[[#This Row],[Description]],'kits to boards'!$B$2:$E$156,3,FALSE)</f>
        <v>0</v>
      </c>
      <c r="N1867">
        <f>VLOOKUP(Query1[[#This Row],[Description]],'kits to boards'!$B$2:$E$156,4,FALSE)</f>
        <v>0</v>
      </c>
      <c r="O1867" t="str">
        <f>CONCATENATE(Query1[[#This Row],[Description]]," - ",Query1[[#This Row],[MB1]]," - ",Query1[[#This Row],[MB2]]," - ",Query1[[#This Row],[MB3]])</f>
        <v>EVAP KIT 55-59 CHEV P-UP WO AC W/DELX - 830028 - 0 - 0</v>
      </c>
    </row>
    <row r="1868" spans="1:15" x14ac:dyDescent="0.25">
      <c r="A1868" s="1">
        <v>913707</v>
      </c>
      <c r="B1868" s="1" t="s">
        <v>42</v>
      </c>
      <c r="C1868" s="1" t="s">
        <v>43</v>
      </c>
      <c r="D1868" s="2">
        <v>44628.342816898148</v>
      </c>
      <c r="E1868" s="1" t="s">
        <v>8</v>
      </c>
      <c r="F1868" s="1">
        <v>1</v>
      </c>
      <c r="G1868" s="1">
        <v>0</v>
      </c>
      <c r="H1868" s="6">
        <f>INT(Query1[[#This Row],[EntryDateTime]])</f>
        <v>44628</v>
      </c>
      <c r="I1868" s="1">
        <f>IF(Query1[[#This Row],[ItemType]]="EVAP KIT SF GEN IV",Query1[[#This Row],[OrderQty]]+I1867,I1867)</f>
        <v>2121</v>
      </c>
      <c r="J1868" s="1">
        <f>IF(Query1[[#This Row],[ItemType]]="EVAP KIT UNIVERSAL",Query1[[#This Row],[OrderQty]]+J1867,J1867)</f>
        <v>906</v>
      </c>
      <c r="K1868" s="1">
        <f>Query1[[#This Row],[SF Running Total]]+Query1[[#This Row],[UNIV Running Total]]</f>
        <v>3027</v>
      </c>
      <c r="L1868">
        <f>VLOOKUP(Query1[[#This Row],[Description]],'kits to boards'!$B$2:$E$156,2,FALSE)</f>
        <v>830014</v>
      </c>
      <c r="M1868">
        <f>VLOOKUP(Query1[[#This Row],[Description]],'kits to boards'!$B$2:$E$156,3,FALSE)</f>
        <v>0</v>
      </c>
      <c r="N1868">
        <f>VLOOKUP(Query1[[#This Row],[Description]],'kits to boards'!$B$2:$E$156,4,FALSE)</f>
        <v>0</v>
      </c>
      <c r="O1868" t="str">
        <f>CONCATENATE(Query1[[#This Row],[Description]]," - ",Query1[[#This Row],[MB1]]," - ",Query1[[#This Row],[MB2]]," - ",Query1[[#This Row],[MB3]])</f>
        <v>EVAP KIT 67-72 CHEV P-UP WO AC - 830014 - 0 - 0</v>
      </c>
    </row>
    <row r="1869" spans="1:15" x14ac:dyDescent="0.25">
      <c r="A1869" s="1">
        <v>913991</v>
      </c>
      <c r="B1869" s="1" t="s">
        <v>24</v>
      </c>
      <c r="C1869" s="1" t="s">
        <v>25</v>
      </c>
      <c r="D1869" s="2">
        <v>44628.343357835649</v>
      </c>
      <c r="E1869" s="1" t="s">
        <v>11</v>
      </c>
      <c r="F1869" s="1">
        <v>1</v>
      </c>
      <c r="G1869" s="1">
        <v>0</v>
      </c>
      <c r="H1869" s="6">
        <f>INT(Query1[[#This Row],[EntryDateTime]])</f>
        <v>44628</v>
      </c>
      <c r="I1869" s="1">
        <f>IF(Query1[[#This Row],[ItemType]]="EVAP KIT SF GEN IV",Query1[[#This Row],[OrderQty]]+I1868,I1868)</f>
        <v>2121</v>
      </c>
      <c r="J1869" s="1">
        <f>IF(Query1[[#This Row],[ItemType]]="EVAP KIT UNIVERSAL",Query1[[#This Row],[OrderQty]]+J1868,J1868)</f>
        <v>907</v>
      </c>
      <c r="K1869" s="1">
        <f>Query1[[#This Row],[SF Running Total]]+Query1[[#This Row],[UNIV Running Total]]</f>
        <v>3028</v>
      </c>
      <c r="L1869">
        <f>VLOOKUP(Query1[[#This Row],[Description]],'kits to boards'!$B$2:$E$156,2,FALSE)</f>
        <v>830029</v>
      </c>
      <c r="M1869">
        <f>VLOOKUP(Query1[[#This Row],[Description]],'kits to boards'!$B$2:$E$156,3,FALSE)</f>
        <v>830030</v>
      </c>
      <c r="N1869">
        <f>VLOOKUP(Query1[[#This Row],[Description]],'kits to boards'!$B$2:$E$156,4,FALSE)</f>
        <v>0</v>
      </c>
      <c r="O1869" t="str">
        <f>CONCATENATE(Query1[[#This Row],[Description]]," - ",Query1[[#This Row],[MB1]]," - ",Query1[[#This Row],[MB2]]," - ",Query1[[#This Row],[MB3]])</f>
        <v>ComPac GEN II W/DEF - 830029 - 830030 - 0</v>
      </c>
    </row>
    <row r="1870" spans="1:15" x14ac:dyDescent="0.25">
      <c r="A1870" s="1">
        <v>914019</v>
      </c>
      <c r="B1870" s="1" t="s">
        <v>102</v>
      </c>
      <c r="C1870" s="1" t="s">
        <v>103</v>
      </c>
      <c r="D1870" s="2">
        <v>44628.357274502312</v>
      </c>
      <c r="E1870" s="1" t="s">
        <v>8</v>
      </c>
      <c r="F1870" s="1">
        <v>1</v>
      </c>
      <c r="G1870" s="1">
        <v>0</v>
      </c>
      <c r="H1870" s="6">
        <f>INT(Query1[[#This Row],[EntryDateTime]])</f>
        <v>44628</v>
      </c>
      <c r="I1870" s="1">
        <f>IF(Query1[[#This Row],[ItemType]]="EVAP KIT SF GEN IV",Query1[[#This Row],[OrderQty]]+I1869,I1869)</f>
        <v>2122</v>
      </c>
      <c r="J1870" s="1">
        <f>IF(Query1[[#This Row],[ItemType]]="EVAP KIT UNIVERSAL",Query1[[#This Row],[OrderQty]]+J1869,J1869)</f>
        <v>907</v>
      </c>
      <c r="K1870" s="1">
        <f>Query1[[#This Row],[SF Running Total]]+Query1[[#This Row],[UNIV Running Total]]</f>
        <v>3029</v>
      </c>
      <c r="L1870">
        <f>VLOOKUP(Query1[[#This Row],[Description]],'kits to boards'!$B$2:$E$156,2,FALSE)</f>
        <v>830012</v>
      </c>
      <c r="M1870">
        <f>VLOOKUP(Query1[[#This Row],[Description]],'kits to boards'!$B$2:$E$156,3,FALSE)</f>
        <v>0</v>
      </c>
      <c r="N1870">
        <f>VLOOKUP(Query1[[#This Row],[Description]],'kits to boards'!$B$2:$E$156,4,FALSE)</f>
        <v>0</v>
      </c>
      <c r="O1870" t="str">
        <f>CONCATENATE(Query1[[#This Row],[Description]]," - ",Query1[[#This Row],[MB1]]," - ",Query1[[#This Row],[MB2]]," - ",Query1[[#This Row],[MB3]])</f>
        <v>EVAP KIT 69 CAMARO WO/AC - 830012 - 0 - 0</v>
      </c>
    </row>
    <row r="1871" spans="1:15" x14ac:dyDescent="0.25">
      <c r="A1871" s="1">
        <v>914020</v>
      </c>
      <c r="B1871" s="1" t="s">
        <v>32</v>
      </c>
      <c r="C1871" s="1" t="s">
        <v>33</v>
      </c>
      <c r="D1871" s="2">
        <v>44628.359245914355</v>
      </c>
      <c r="E1871" s="1" t="s">
        <v>8</v>
      </c>
      <c r="F1871" s="1">
        <v>1</v>
      </c>
      <c r="G1871" s="1">
        <v>0</v>
      </c>
      <c r="H1871" s="6">
        <f>INT(Query1[[#This Row],[EntryDateTime]])</f>
        <v>44628</v>
      </c>
      <c r="I1871" s="1">
        <f>IF(Query1[[#This Row],[ItemType]]="EVAP KIT SF GEN IV",Query1[[#This Row],[OrderQty]]+I1870,I1870)</f>
        <v>2123</v>
      </c>
      <c r="J1871" s="1">
        <f>IF(Query1[[#This Row],[ItemType]]="EVAP KIT UNIVERSAL",Query1[[#This Row],[OrderQty]]+J1870,J1870)</f>
        <v>907</v>
      </c>
      <c r="K1871" s="1">
        <f>Query1[[#This Row],[SF Running Total]]+Query1[[#This Row],[UNIV Running Total]]</f>
        <v>3030</v>
      </c>
      <c r="L1871">
        <f>VLOOKUP(Query1[[#This Row],[Description]],'kits to boards'!$B$2:$E$156,2,FALSE)</f>
        <v>830016</v>
      </c>
      <c r="M1871">
        <f>VLOOKUP(Query1[[#This Row],[Description]],'kits to boards'!$B$2:$E$156,3,FALSE)</f>
        <v>0</v>
      </c>
      <c r="N1871">
        <f>VLOOKUP(Query1[[#This Row],[Description]],'kits to boards'!$B$2:$E$156,4,FALSE)</f>
        <v>0</v>
      </c>
      <c r="O1871" t="str">
        <f>CONCATENATE(Query1[[#This Row],[Description]]," - ",Query1[[#This Row],[MB1]]," - ",Query1[[#This Row],[MB2]]," - ",Query1[[#This Row],[MB3]])</f>
        <v>EVAP KIT 67-68 CAMARO/FIREBIRD W/AC - 830016 - 0 - 0</v>
      </c>
    </row>
    <row r="1872" spans="1:15" x14ac:dyDescent="0.25">
      <c r="A1872" s="1">
        <v>914023</v>
      </c>
      <c r="B1872" s="1" t="s">
        <v>158</v>
      </c>
      <c r="C1872" s="1" t="s">
        <v>159</v>
      </c>
      <c r="D1872" s="2">
        <v>44628.364361956017</v>
      </c>
      <c r="E1872" s="1" t="s">
        <v>8</v>
      </c>
      <c r="F1872" s="1">
        <v>1</v>
      </c>
      <c r="G1872" s="1">
        <v>0</v>
      </c>
      <c r="H1872" s="6">
        <f>INT(Query1[[#This Row],[EntryDateTime]])</f>
        <v>44628</v>
      </c>
      <c r="I1872" s="1">
        <f>IF(Query1[[#This Row],[ItemType]]="EVAP KIT SF GEN IV",Query1[[#This Row],[OrderQty]]+I1871,I1871)</f>
        <v>2124</v>
      </c>
      <c r="J1872" s="1">
        <f>IF(Query1[[#This Row],[ItemType]]="EVAP KIT UNIVERSAL",Query1[[#This Row],[OrderQty]]+J1871,J1871)</f>
        <v>907</v>
      </c>
      <c r="K1872" s="1">
        <f>Query1[[#This Row],[SF Running Total]]+Query1[[#This Row],[UNIV Running Total]]</f>
        <v>3031</v>
      </c>
      <c r="L1872">
        <f>VLOOKUP(Query1[[#This Row],[Description]],'kits to boards'!$B$2:$E$156,2,FALSE)</f>
        <v>830080</v>
      </c>
      <c r="M1872">
        <f>VLOOKUP(Query1[[#This Row],[Description]],'kits to boards'!$B$2:$E$156,3,FALSE)</f>
        <v>830046</v>
      </c>
      <c r="N1872">
        <f>VLOOKUP(Query1[[#This Row],[Description]],'kits to boards'!$B$2:$E$156,4,FALSE)</f>
        <v>0</v>
      </c>
      <c r="O1872" t="str">
        <f>CONCATENATE(Query1[[#This Row],[Description]]," - ",Query1[[#This Row],[MB1]]," - ",Query1[[#This Row],[MB2]]," - ",Query1[[#This Row],[MB3]])</f>
        <v>EVAP KIT 69-70 MUSTANG W/AC  - 830080 - 830046 - 0</v>
      </c>
    </row>
    <row r="1873" spans="1:15" x14ac:dyDescent="0.25">
      <c r="A1873" s="1">
        <v>914026</v>
      </c>
      <c r="B1873" s="1" t="s">
        <v>242</v>
      </c>
      <c r="C1873" s="1" t="s">
        <v>243</v>
      </c>
      <c r="D1873" s="2">
        <v>44628.368376238424</v>
      </c>
      <c r="E1873" s="1" t="s">
        <v>8</v>
      </c>
      <c r="F1873" s="1">
        <v>1</v>
      </c>
      <c r="G1873" s="1">
        <v>0</v>
      </c>
      <c r="H1873" s="6">
        <f>INT(Query1[[#This Row],[EntryDateTime]])</f>
        <v>44628</v>
      </c>
      <c r="I1873" s="1">
        <f>IF(Query1[[#This Row],[ItemType]]="EVAP KIT SF GEN IV",Query1[[#This Row],[OrderQty]]+I1872,I1872)</f>
        <v>2125</v>
      </c>
      <c r="J1873" s="1">
        <f>IF(Query1[[#This Row],[ItemType]]="EVAP KIT UNIVERSAL",Query1[[#This Row],[OrderQty]]+J1872,J1872)</f>
        <v>907</v>
      </c>
      <c r="K1873" s="1">
        <f>Query1[[#This Row],[SF Running Total]]+Query1[[#This Row],[UNIV Running Total]]</f>
        <v>3032</v>
      </c>
      <c r="L1873">
        <f>VLOOKUP(Query1[[#This Row],[Description]],'kits to boards'!$B$2:$E$156,2,FALSE)</f>
        <v>830036</v>
      </c>
      <c r="M1873">
        <f>VLOOKUP(Query1[[#This Row],[Description]],'kits to boards'!$B$2:$E$156,3,FALSE)</f>
        <v>830039</v>
      </c>
      <c r="N1873">
        <f>VLOOKUP(Query1[[#This Row],[Description]],'kits to boards'!$B$2:$E$156,4,FALSE)</f>
        <v>0</v>
      </c>
      <c r="O1873" t="str">
        <f>CONCATENATE(Query1[[#This Row],[Description]]," - ",Query1[[#This Row],[MB1]]," - ",Query1[[#This Row],[MB2]]," - ",Query1[[#This Row],[MB3]])</f>
        <v>EVAP KIT 63-66 VETTE W/AC - 830036 - 830039 - 0</v>
      </c>
    </row>
    <row r="1874" spans="1:15" x14ac:dyDescent="0.25">
      <c r="A1874" s="1">
        <v>914030</v>
      </c>
      <c r="B1874" s="1" t="s">
        <v>84</v>
      </c>
      <c r="C1874" s="1" t="s">
        <v>85</v>
      </c>
      <c r="D1874" s="2">
        <v>44628.371626238426</v>
      </c>
      <c r="E1874" s="1" t="s">
        <v>8</v>
      </c>
      <c r="F1874" s="1">
        <v>1</v>
      </c>
      <c r="G1874" s="1">
        <v>0</v>
      </c>
      <c r="H1874" s="6">
        <f>INT(Query1[[#This Row],[EntryDateTime]])</f>
        <v>44628</v>
      </c>
      <c r="I1874" s="1">
        <f>IF(Query1[[#This Row],[ItemType]]="EVAP KIT SF GEN IV",Query1[[#This Row],[OrderQty]]+I1873,I1873)</f>
        <v>2126</v>
      </c>
      <c r="J1874" s="1">
        <f>IF(Query1[[#This Row],[ItemType]]="EVAP KIT UNIVERSAL",Query1[[#This Row],[OrderQty]]+J1873,J1873)</f>
        <v>907</v>
      </c>
      <c r="K1874" s="1">
        <f>Query1[[#This Row],[SF Running Total]]+Query1[[#This Row],[UNIV Running Total]]</f>
        <v>3033</v>
      </c>
      <c r="L1874">
        <f>VLOOKUP(Query1[[#This Row],[Description]],'kits to boards'!$B$2:$E$156,2,FALSE)</f>
        <v>830085</v>
      </c>
      <c r="M1874">
        <f>VLOOKUP(Query1[[#This Row],[Description]],'kits to boards'!$B$2:$E$156,3,FALSE)</f>
        <v>0</v>
      </c>
      <c r="N1874">
        <f>VLOOKUP(Query1[[#This Row],[Description]],'kits to boards'!$B$2:$E$156,4,FALSE)</f>
        <v>0</v>
      </c>
      <c r="O1874" t="str">
        <f>CONCATENATE(Query1[[#This Row],[Description]]," - ",Query1[[#This Row],[MB1]]," - ",Query1[[#This Row],[MB2]]," - ",Query1[[#This Row],[MB3]])</f>
        <v>EVAP KIT 66-77 BRONCO 4-VENT PLENUM - 830085 - 0 - 0</v>
      </c>
    </row>
    <row r="1875" spans="1:15" x14ac:dyDescent="0.25">
      <c r="A1875" s="1">
        <v>914032</v>
      </c>
      <c r="B1875" s="1" t="s">
        <v>116</v>
      </c>
      <c r="C1875" s="1" t="s">
        <v>117</v>
      </c>
      <c r="D1875" s="2">
        <v>44628.378756631944</v>
      </c>
      <c r="E1875" s="1" t="s">
        <v>8</v>
      </c>
      <c r="F1875" s="1">
        <v>1</v>
      </c>
      <c r="G1875" s="1">
        <v>0</v>
      </c>
      <c r="H1875" s="6">
        <f>INT(Query1[[#This Row],[EntryDateTime]])</f>
        <v>44628</v>
      </c>
      <c r="I1875" s="1">
        <f>IF(Query1[[#This Row],[ItemType]]="EVAP KIT SF GEN IV",Query1[[#This Row],[OrderQty]]+I1874,I1874)</f>
        <v>2127</v>
      </c>
      <c r="J1875" s="1">
        <f>IF(Query1[[#This Row],[ItemType]]="EVAP KIT UNIVERSAL",Query1[[#This Row],[OrderQty]]+J1874,J1874)</f>
        <v>907</v>
      </c>
      <c r="K1875" s="1">
        <f>Query1[[#This Row],[SF Running Total]]+Query1[[#This Row],[UNIV Running Total]]</f>
        <v>3034</v>
      </c>
      <c r="L1875">
        <f>VLOOKUP(Query1[[#This Row],[Description]],'kits to boards'!$B$2:$E$156,2,FALSE)</f>
        <v>830058</v>
      </c>
      <c r="M1875">
        <f>VLOOKUP(Query1[[#This Row],[Description]],'kits to boards'!$B$2:$E$156,3,FALSE)</f>
        <v>0</v>
      </c>
      <c r="N1875">
        <f>VLOOKUP(Query1[[#This Row],[Description]],'kits to boards'!$B$2:$E$156,4,FALSE)</f>
        <v>0</v>
      </c>
      <c r="O1875" t="str">
        <f>CONCATENATE(Query1[[#This Row],[Description]]," - ",Query1[[#This Row],[MB1]]," - ",Query1[[#This Row],[MB2]]," - ",Query1[[#This Row],[MB3]])</f>
        <v>EVAP KIT 64-65 CHEVELLE WO AC - 830058 - 0 - 0</v>
      </c>
    </row>
    <row r="1876" spans="1:15" x14ac:dyDescent="0.25">
      <c r="A1876" s="1">
        <v>914032</v>
      </c>
      <c r="B1876" s="1" t="s">
        <v>20</v>
      </c>
      <c r="C1876" s="1" t="s">
        <v>21</v>
      </c>
      <c r="D1876" s="2">
        <v>44628.378963275463</v>
      </c>
      <c r="E1876" s="1" t="s">
        <v>11</v>
      </c>
      <c r="F1876" s="1">
        <v>10</v>
      </c>
      <c r="G1876" s="1">
        <v>0</v>
      </c>
      <c r="H1876" s="6">
        <f>INT(Query1[[#This Row],[EntryDateTime]])</f>
        <v>44628</v>
      </c>
      <c r="I1876" s="1">
        <f>IF(Query1[[#This Row],[ItemType]]="EVAP KIT SF GEN IV",Query1[[#This Row],[OrderQty]]+I1875,I1875)</f>
        <v>2127</v>
      </c>
      <c r="J1876" s="1">
        <f>IF(Query1[[#This Row],[ItemType]]="EVAP KIT UNIVERSAL",Query1[[#This Row],[OrderQty]]+J1875,J1875)</f>
        <v>917</v>
      </c>
      <c r="K1876" s="1">
        <f>Query1[[#This Row],[SF Running Total]]+Query1[[#This Row],[UNIV Running Total]]</f>
        <v>3044</v>
      </c>
      <c r="L1876">
        <f>VLOOKUP(Query1[[#This Row],[Description]],'kits to boards'!$B$2:$E$156,2,FALSE)</f>
        <v>830102</v>
      </c>
      <c r="M1876">
        <f>VLOOKUP(Query1[[#This Row],[Description]],'kits to boards'!$B$2:$E$156,3,FALSE)</f>
        <v>0</v>
      </c>
      <c r="N1876">
        <f>VLOOKUP(Query1[[#This Row],[Description]],'kits to boards'!$B$2:$E$156,4,FALSE)</f>
        <v>0</v>
      </c>
      <c r="O1876" t="str">
        <f>CONCATENATE(Query1[[#This Row],[Description]]," - ",Query1[[#This Row],[MB1]]," - ",Query1[[#This Row],[MB2]]," - ",Query1[[#This Row],[MB3]])</f>
        <v>SUPER GEN II W/DEF - 830102 - 0 - 0</v>
      </c>
    </row>
    <row r="1877" spans="1:15" x14ac:dyDescent="0.25">
      <c r="A1877" s="1">
        <v>914032</v>
      </c>
      <c r="B1877" s="1" t="s">
        <v>22</v>
      </c>
      <c r="C1877" s="1" t="s">
        <v>23</v>
      </c>
      <c r="D1877" s="2">
        <v>44628.37958912037</v>
      </c>
      <c r="E1877" s="1" t="s">
        <v>8</v>
      </c>
      <c r="F1877" s="1">
        <v>65</v>
      </c>
      <c r="G1877" s="1">
        <v>0</v>
      </c>
      <c r="H1877" s="6">
        <f>INT(Query1[[#This Row],[EntryDateTime]])</f>
        <v>44628</v>
      </c>
      <c r="I1877" s="1">
        <f>IF(Query1[[#This Row],[ItemType]]="EVAP KIT SF GEN IV",Query1[[#This Row],[OrderQty]]+I1876,I1876)</f>
        <v>2192</v>
      </c>
      <c r="J1877" s="1">
        <f>IF(Query1[[#This Row],[ItemType]]="EVAP KIT UNIVERSAL",Query1[[#This Row],[OrderQty]]+J1876,J1876)</f>
        <v>917</v>
      </c>
      <c r="K1877" s="1">
        <f>Query1[[#This Row],[SF Running Total]]+Query1[[#This Row],[UNIV Running Total]]</f>
        <v>3109</v>
      </c>
      <c r="L1877">
        <f>VLOOKUP(Query1[[#This Row],[Description]],'kits to boards'!$B$2:$E$156,2,FALSE)</f>
        <v>830083</v>
      </c>
      <c r="M1877">
        <f>VLOOKUP(Query1[[#This Row],[Description]],'kits to boards'!$B$2:$E$156,3,FALSE)</f>
        <v>0</v>
      </c>
      <c r="N1877">
        <f>VLOOKUP(Query1[[#This Row],[Description]],'kits to boards'!$B$2:$E$156,4,FALSE)</f>
        <v>0</v>
      </c>
      <c r="O1877" t="str">
        <f>CONCATENATE(Query1[[#This Row],[Description]]," - ",Query1[[#This Row],[MB1]]," - ",Query1[[#This Row],[MB2]]," - ",Query1[[#This Row],[MB3]])</f>
        <v>GEN IV MAGNUM EVAP KIT - 830083 - 0 - 0</v>
      </c>
    </row>
    <row r="1878" spans="1:15" x14ac:dyDescent="0.25">
      <c r="A1878" s="1">
        <v>914032</v>
      </c>
      <c r="B1878" s="1" t="s">
        <v>42</v>
      </c>
      <c r="C1878" s="1" t="s">
        <v>43</v>
      </c>
      <c r="D1878" s="2">
        <v>44628.37982908565</v>
      </c>
      <c r="E1878" s="1" t="s">
        <v>8</v>
      </c>
      <c r="F1878" s="1">
        <v>3</v>
      </c>
      <c r="G1878" s="1">
        <v>0</v>
      </c>
      <c r="H1878" s="6">
        <f>INT(Query1[[#This Row],[EntryDateTime]])</f>
        <v>44628</v>
      </c>
      <c r="I1878" s="1">
        <f>IF(Query1[[#This Row],[ItemType]]="EVAP KIT SF GEN IV",Query1[[#This Row],[OrderQty]]+I1877,I1877)</f>
        <v>2195</v>
      </c>
      <c r="J1878" s="1">
        <f>IF(Query1[[#This Row],[ItemType]]="EVAP KIT UNIVERSAL",Query1[[#This Row],[OrderQty]]+J1877,J1877)</f>
        <v>917</v>
      </c>
      <c r="K1878" s="1">
        <f>Query1[[#This Row],[SF Running Total]]+Query1[[#This Row],[UNIV Running Total]]</f>
        <v>3112</v>
      </c>
      <c r="L1878">
        <f>VLOOKUP(Query1[[#This Row],[Description]],'kits to boards'!$B$2:$E$156,2,FALSE)</f>
        <v>830014</v>
      </c>
      <c r="M1878">
        <f>VLOOKUP(Query1[[#This Row],[Description]],'kits to boards'!$B$2:$E$156,3,FALSE)</f>
        <v>0</v>
      </c>
      <c r="N1878">
        <f>VLOOKUP(Query1[[#This Row],[Description]],'kits to boards'!$B$2:$E$156,4,FALSE)</f>
        <v>0</v>
      </c>
      <c r="O1878" t="str">
        <f>CONCATENATE(Query1[[#This Row],[Description]]," - ",Query1[[#This Row],[MB1]]," - ",Query1[[#This Row],[MB2]]," - ",Query1[[#This Row],[MB3]])</f>
        <v>EVAP KIT 67-72 CHEV P-UP WO AC - 830014 - 0 - 0</v>
      </c>
    </row>
    <row r="1879" spans="1:15" x14ac:dyDescent="0.25">
      <c r="A1879" s="1">
        <v>914032</v>
      </c>
      <c r="B1879" s="1" t="s">
        <v>70</v>
      </c>
      <c r="C1879" s="1" t="s">
        <v>71</v>
      </c>
      <c r="D1879" s="2">
        <v>44628.380054513887</v>
      </c>
      <c r="E1879" s="1" t="s">
        <v>8</v>
      </c>
      <c r="F1879" s="1">
        <v>1</v>
      </c>
      <c r="G1879" s="1">
        <v>0</v>
      </c>
      <c r="H1879" s="6">
        <f>INT(Query1[[#This Row],[EntryDateTime]])</f>
        <v>44628</v>
      </c>
      <c r="I1879" s="1">
        <f>IF(Query1[[#This Row],[ItemType]]="EVAP KIT SF GEN IV",Query1[[#This Row],[OrderQty]]+I1878,I1878)</f>
        <v>2196</v>
      </c>
      <c r="J1879" s="1">
        <f>IF(Query1[[#This Row],[ItemType]]="EVAP KIT UNIVERSAL",Query1[[#This Row],[OrderQty]]+J1878,J1878)</f>
        <v>917</v>
      </c>
      <c r="K1879" s="1">
        <f>Query1[[#This Row],[SF Running Total]]+Query1[[#This Row],[UNIV Running Total]]</f>
        <v>3113</v>
      </c>
      <c r="L1879">
        <f>VLOOKUP(Query1[[#This Row],[Description]],'kits to boards'!$B$2:$E$156,2,FALSE)</f>
        <v>830050</v>
      </c>
      <c r="M1879">
        <f>VLOOKUP(Query1[[#This Row],[Description]],'kits to boards'!$B$2:$E$156,3,FALSE)</f>
        <v>0</v>
      </c>
      <c r="N1879">
        <f>VLOOKUP(Query1[[#This Row],[Description]],'kits to boards'!$B$2:$E$156,4,FALSE)</f>
        <v>0</v>
      </c>
      <c r="O1879" t="str">
        <f>CONCATENATE(Query1[[#This Row],[Description]]," - ",Query1[[#This Row],[MB1]]," - ",Query1[[#This Row],[MB2]]," - ",Query1[[#This Row],[MB3]])</f>
        <v>EVAP KIT 70-78 CAMARO WO AC - 830050 - 0 - 0</v>
      </c>
    </row>
    <row r="1880" spans="1:15" x14ac:dyDescent="0.25">
      <c r="A1880" s="1">
        <v>914032</v>
      </c>
      <c r="B1880" s="1" t="s">
        <v>52</v>
      </c>
      <c r="C1880" s="1" t="s">
        <v>53</v>
      </c>
      <c r="D1880" s="2">
        <v>44628.380299884258</v>
      </c>
      <c r="E1880" s="1" t="s">
        <v>8</v>
      </c>
      <c r="F1880" s="1">
        <v>2</v>
      </c>
      <c r="G1880" s="1">
        <v>0</v>
      </c>
      <c r="H1880" s="6">
        <f>INT(Query1[[#This Row],[EntryDateTime]])</f>
        <v>44628</v>
      </c>
      <c r="I1880" s="1">
        <f>IF(Query1[[#This Row],[ItemType]]="EVAP KIT SF GEN IV",Query1[[#This Row],[OrderQty]]+I1879,I1879)</f>
        <v>2198</v>
      </c>
      <c r="J1880" s="1">
        <f>IF(Query1[[#This Row],[ItemType]]="EVAP KIT UNIVERSAL",Query1[[#This Row],[OrderQty]]+J1879,J1879)</f>
        <v>917</v>
      </c>
      <c r="K1880" s="1">
        <f>Query1[[#This Row],[SF Running Total]]+Query1[[#This Row],[UNIV Running Total]]</f>
        <v>3115</v>
      </c>
      <c r="L1880">
        <f>VLOOKUP(Query1[[#This Row],[Description]],'kits to boards'!$B$2:$E$156,2,FALSE)</f>
        <v>830017</v>
      </c>
      <c r="M1880">
        <f>VLOOKUP(Query1[[#This Row],[Description]],'kits to boards'!$B$2:$E$156,3,FALSE)</f>
        <v>830119</v>
      </c>
      <c r="N1880">
        <f>VLOOKUP(Query1[[#This Row],[Description]],'kits to boards'!$B$2:$E$156,4,FALSE)</f>
        <v>830120</v>
      </c>
      <c r="O1880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1881" spans="1:15" x14ac:dyDescent="0.25">
      <c r="A1881" s="1">
        <v>914036</v>
      </c>
      <c r="B1881" s="1" t="s">
        <v>70</v>
      </c>
      <c r="C1881" s="1" t="s">
        <v>71</v>
      </c>
      <c r="D1881" s="2">
        <v>44628.380551504626</v>
      </c>
      <c r="E1881" s="1" t="s">
        <v>8</v>
      </c>
      <c r="F1881" s="1">
        <v>1</v>
      </c>
      <c r="G1881" s="1">
        <v>0</v>
      </c>
      <c r="H1881" s="6">
        <f>INT(Query1[[#This Row],[EntryDateTime]])</f>
        <v>44628</v>
      </c>
      <c r="I1881" s="1">
        <f>IF(Query1[[#This Row],[ItemType]]="EVAP KIT SF GEN IV",Query1[[#This Row],[OrderQty]]+I1880,I1880)</f>
        <v>2199</v>
      </c>
      <c r="J1881" s="1">
        <f>IF(Query1[[#This Row],[ItemType]]="EVAP KIT UNIVERSAL",Query1[[#This Row],[OrderQty]]+J1880,J1880)</f>
        <v>917</v>
      </c>
      <c r="K1881" s="1">
        <f>Query1[[#This Row],[SF Running Total]]+Query1[[#This Row],[UNIV Running Total]]</f>
        <v>3116</v>
      </c>
      <c r="L1881">
        <f>VLOOKUP(Query1[[#This Row],[Description]],'kits to boards'!$B$2:$E$156,2,FALSE)</f>
        <v>830050</v>
      </c>
      <c r="M1881">
        <f>VLOOKUP(Query1[[#This Row],[Description]],'kits to boards'!$B$2:$E$156,3,FALSE)</f>
        <v>0</v>
      </c>
      <c r="N1881">
        <f>VLOOKUP(Query1[[#This Row],[Description]],'kits to boards'!$B$2:$E$156,4,FALSE)</f>
        <v>0</v>
      </c>
      <c r="O1881" t="str">
        <f>CONCATENATE(Query1[[#This Row],[Description]]," - ",Query1[[#This Row],[MB1]]," - ",Query1[[#This Row],[MB2]]," - ",Query1[[#This Row],[MB3]])</f>
        <v>EVAP KIT 70-78 CAMARO WO AC - 830050 - 0 - 0</v>
      </c>
    </row>
    <row r="1882" spans="1:15" x14ac:dyDescent="0.25">
      <c r="A1882" s="1">
        <v>914041</v>
      </c>
      <c r="B1882" s="1" t="s">
        <v>168</v>
      </c>
      <c r="C1882" s="1" t="s">
        <v>169</v>
      </c>
      <c r="D1882" s="2">
        <v>44628.382343287034</v>
      </c>
      <c r="E1882" s="1" t="s">
        <v>8</v>
      </c>
      <c r="F1882" s="1">
        <v>1</v>
      </c>
      <c r="G1882" s="1">
        <v>0</v>
      </c>
      <c r="H1882" s="6">
        <f>INT(Query1[[#This Row],[EntryDateTime]])</f>
        <v>44628</v>
      </c>
      <c r="I1882" s="1">
        <f>IF(Query1[[#This Row],[ItemType]]="EVAP KIT SF GEN IV",Query1[[#This Row],[OrderQty]]+I1881,I1881)</f>
        <v>2200</v>
      </c>
      <c r="J1882" s="1">
        <f>IF(Query1[[#This Row],[ItemType]]="EVAP KIT UNIVERSAL",Query1[[#This Row],[OrderQty]]+J1881,J1881)</f>
        <v>917</v>
      </c>
      <c r="K1882" s="1">
        <f>Query1[[#This Row],[SF Running Total]]+Query1[[#This Row],[UNIV Running Total]]</f>
        <v>3117</v>
      </c>
      <c r="L1882">
        <f>VLOOKUP(Query1[[#This Row],[Description]],'kits to boards'!$B$2:$E$156,2,FALSE)</f>
        <v>830028</v>
      </c>
      <c r="M1882">
        <f>VLOOKUP(Query1[[#This Row],[Description]],'kits to boards'!$B$2:$E$156,3,FALSE)</f>
        <v>0</v>
      </c>
      <c r="N1882">
        <f>VLOOKUP(Query1[[#This Row],[Description]],'kits to boards'!$B$2:$E$156,4,FALSE)</f>
        <v>0</v>
      </c>
      <c r="O1882" t="str">
        <f>CONCATENATE(Query1[[#This Row],[Description]]," - ",Query1[[#This Row],[MB1]]," - ",Query1[[#This Row],[MB2]]," - ",Query1[[#This Row],[MB3]])</f>
        <v>EVAP KIT 55-59 CHEV P-UP WO AC W/STD  - 830028 - 0 - 0</v>
      </c>
    </row>
    <row r="1883" spans="1:15" x14ac:dyDescent="0.25">
      <c r="A1883" s="1">
        <v>914043</v>
      </c>
      <c r="B1883" s="1" t="s">
        <v>42</v>
      </c>
      <c r="C1883" s="1" t="s">
        <v>43</v>
      </c>
      <c r="D1883" s="2">
        <v>44628.383747106483</v>
      </c>
      <c r="E1883" s="1" t="s">
        <v>8</v>
      </c>
      <c r="F1883" s="1">
        <v>1</v>
      </c>
      <c r="G1883" s="1">
        <v>0</v>
      </c>
      <c r="H1883" s="6">
        <f>INT(Query1[[#This Row],[EntryDateTime]])</f>
        <v>44628</v>
      </c>
      <c r="I1883" s="1">
        <f>IF(Query1[[#This Row],[ItemType]]="EVAP KIT SF GEN IV",Query1[[#This Row],[OrderQty]]+I1882,I1882)</f>
        <v>2201</v>
      </c>
      <c r="J1883" s="1">
        <f>IF(Query1[[#This Row],[ItemType]]="EVAP KIT UNIVERSAL",Query1[[#This Row],[OrderQty]]+J1882,J1882)</f>
        <v>917</v>
      </c>
      <c r="K1883" s="1">
        <f>Query1[[#This Row],[SF Running Total]]+Query1[[#This Row],[UNIV Running Total]]</f>
        <v>3118</v>
      </c>
      <c r="L1883">
        <f>VLOOKUP(Query1[[#This Row],[Description]],'kits to boards'!$B$2:$E$156,2,FALSE)</f>
        <v>830014</v>
      </c>
      <c r="M1883">
        <f>VLOOKUP(Query1[[#This Row],[Description]],'kits to boards'!$B$2:$E$156,3,FALSE)</f>
        <v>0</v>
      </c>
      <c r="N1883">
        <f>VLOOKUP(Query1[[#This Row],[Description]],'kits to boards'!$B$2:$E$156,4,FALSE)</f>
        <v>0</v>
      </c>
      <c r="O1883" t="str">
        <f>CONCATENATE(Query1[[#This Row],[Description]]," - ",Query1[[#This Row],[MB1]]," - ",Query1[[#This Row],[MB2]]," - ",Query1[[#This Row],[MB3]])</f>
        <v>EVAP KIT 67-72 CHEV P-UP WO AC - 830014 - 0 - 0</v>
      </c>
    </row>
    <row r="1884" spans="1:15" x14ac:dyDescent="0.25">
      <c r="A1884" s="1">
        <v>914042</v>
      </c>
      <c r="B1884" s="1" t="s">
        <v>46</v>
      </c>
      <c r="C1884" s="1" t="s">
        <v>47</v>
      </c>
      <c r="D1884" s="2">
        <v>44628.38411003472</v>
      </c>
      <c r="E1884" s="1" t="s">
        <v>8</v>
      </c>
      <c r="F1884" s="1">
        <v>1</v>
      </c>
      <c r="G1884" s="1">
        <v>0</v>
      </c>
      <c r="H1884" s="6">
        <f>INT(Query1[[#This Row],[EntryDateTime]])</f>
        <v>44628</v>
      </c>
      <c r="I1884" s="1">
        <f>IF(Query1[[#This Row],[ItemType]]="EVAP KIT SF GEN IV",Query1[[#This Row],[OrderQty]]+I1883,I1883)</f>
        <v>2202</v>
      </c>
      <c r="J1884" s="1">
        <f>IF(Query1[[#This Row],[ItemType]]="EVAP KIT UNIVERSAL",Query1[[#This Row],[OrderQty]]+J1883,J1883)</f>
        <v>917</v>
      </c>
      <c r="K1884" s="1">
        <f>Query1[[#This Row],[SF Running Total]]+Query1[[#This Row],[UNIV Running Total]]</f>
        <v>3119</v>
      </c>
      <c r="L1884">
        <f>VLOOKUP(Query1[[#This Row],[Description]],'kits to boards'!$B$2:$E$156,2,FALSE)</f>
        <v>830018</v>
      </c>
      <c r="M1884">
        <f>VLOOKUP(Query1[[#This Row],[Description]],'kits to boards'!$B$2:$E$156,3,FALSE)</f>
        <v>0</v>
      </c>
      <c r="N1884">
        <f>VLOOKUP(Query1[[#This Row],[Description]],'kits to boards'!$B$2:$E$156,4,FALSE)</f>
        <v>0</v>
      </c>
      <c r="O1884" t="str">
        <f>CONCATENATE(Query1[[#This Row],[Description]]," - ",Query1[[#This Row],[MB1]]," - ",Query1[[#This Row],[MB2]]," - ",Query1[[#This Row],[MB3]])</f>
        <v>EVAP KIT 68-72 FORD P-UP F-100 - 830018 - 0 - 0</v>
      </c>
    </row>
    <row r="1885" spans="1:15" x14ac:dyDescent="0.25">
      <c r="A1885" s="1">
        <v>914044</v>
      </c>
      <c r="B1885" s="1" t="s">
        <v>46</v>
      </c>
      <c r="C1885" s="1" t="s">
        <v>47</v>
      </c>
      <c r="D1885" s="2">
        <v>44628.385269212966</v>
      </c>
      <c r="E1885" s="1" t="s">
        <v>8</v>
      </c>
      <c r="F1885" s="1">
        <v>1</v>
      </c>
      <c r="G1885" s="1">
        <v>0</v>
      </c>
      <c r="H1885" s="6">
        <f>INT(Query1[[#This Row],[EntryDateTime]])</f>
        <v>44628</v>
      </c>
      <c r="I1885" s="1">
        <f>IF(Query1[[#This Row],[ItemType]]="EVAP KIT SF GEN IV",Query1[[#This Row],[OrderQty]]+I1884,I1884)</f>
        <v>2203</v>
      </c>
      <c r="J1885" s="1">
        <f>IF(Query1[[#This Row],[ItemType]]="EVAP KIT UNIVERSAL",Query1[[#This Row],[OrderQty]]+J1884,J1884)</f>
        <v>917</v>
      </c>
      <c r="K1885" s="1">
        <f>Query1[[#This Row],[SF Running Total]]+Query1[[#This Row],[UNIV Running Total]]</f>
        <v>3120</v>
      </c>
      <c r="L1885">
        <f>VLOOKUP(Query1[[#This Row],[Description]],'kits to boards'!$B$2:$E$156,2,FALSE)</f>
        <v>830018</v>
      </c>
      <c r="M1885">
        <f>VLOOKUP(Query1[[#This Row],[Description]],'kits to boards'!$B$2:$E$156,3,FALSE)</f>
        <v>0</v>
      </c>
      <c r="N1885">
        <f>VLOOKUP(Query1[[#This Row],[Description]],'kits to boards'!$B$2:$E$156,4,FALSE)</f>
        <v>0</v>
      </c>
      <c r="O1885" t="str">
        <f>CONCATENATE(Query1[[#This Row],[Description]]," - ",Query1[[#This Row],[MB1]]," - ",Query1[[#This Row],[MB2]]," - ",Query1[[#This Row],[MB3]])</f>
        <v>EVAP KIT 68-72 FORD P-UP F-100 - 830018 - 0 - 0</v>
      </c>
    </row>
    <row r="1886" spans="1:15" x14ac:dyDescent="0.25">
      <c r="A1886" s="1">
        <v>914046</v>
      </c>
      <c r="B1886" s="1" t="s">
        <v>62</v>
      </c>
      <c r="C1886" s="1" t="s">
        <v>63</v>
      </c>
      <c r="D1886" s="2">
        <v>44628.38630327546</v>
      </c>
      <c r="E1886" s="1" t="s">
        <v>8</v>
      </c>
      <c r="F1886" s="1">
        <v>1</v>
      </c>
      <c r="G1886" s="1">
        <v>0</v>
      </c>
      <c r="H1886" s="6">
        <f>INT(Query1[[#This Row],[EntryDateTime]])</f>
        <v>44628</v>
      </c>
      <c r="I1886" s="1">
        <f>IF(Query1[[#This Row],[ItemType]]="EVAP KIT SF GEN IV",Query1[[#This Row],[OrderQty]]+I1885,I1885)</f>
        <v>2204</v>
      </c>
      <c r="J1886" s="1">
        <f>IF(Query1[[#This Row],[ItemType]]="EVAP KIT UNIVERSAL",Query1[[#This Row],[OrderQty]]+J1885,J1885)</f>
        <v>917</v>
      </c>
      <c r="K1886" s="1">
        <f>Query1[[#This Row],[SF Running Total]]+Query1[[#This Row],[UNIV Running Total]]</f>
        <v>3121</v>
      </c>
      <c r="L1886">
        <f>VLOOKUP(Query1[[#This Row],[Description]],'kits to boards'!$B$2:$E$156,2,FALSE)</f>
        <v>830079</v>
      </c>
      <c r="M1886">
        <f>VLOOKUP(Query1[[#This Row],[Description]],'kits to boards'!$B$2:$E$156,3,FALSE)</f>
        <v>830046</v>
      </c>
      <c r="N1886">
        <f>VLOOKUP(Query1[[#This Row],[Description]],'kits to boards'!$B$2:$E$156,4,FALSE)</f>
        <v>0</v>
      </c>
      <c r="O1886" t="str">
        <f>CONCATENATE(Query1[[#This Row],[Description]]," - ",Query1[[#This Row],[MB1]]," - ",Query1[[#This Row],[MB2]]," - ",Query1[[#This Row],[MB3]])</f>
        <v>EVAP KIT 67-68 MUSTANG/COUGAR WO AC - 830079 - 830046 - 0</v>
      </c>
    </row>
    <row r="1887" spans="1:15" x14ac:dyDescent="0.25">
      <c r="A1887" s="1">
        <v>914047</v>
      </c>
      <c r="B1887" s="1" t="s">
        <v>90</v>
      </c>
      <c r="C1887" s="1" t="s">
        <v>91</v>
      </c>
      <c r="D1887" s="2">
        <v>44628.387551770837</v>
      </c>
      <c r="E1887" s="1" t="s">
        <v>8</v>
      </c>
      <c r="F1887" s="1">
        <v>1</v>
      </c>
      <c r="G1887" s="1">
        <v>0</v>
      </c>
      <c r="H1887" s="6">
        <f>INT(Query1[[#This Row],[EntryDateTime]])</f>
        <v>44628</v>
      </c>
      <c r="I1887" s="1">
        <f>IF(Query1[[#This Row],[ItemType]]="EVAP KIT SF GEN IV",Query1[[#This Row],[OrderQty]]+I1886,I1886)</f>
        <v>2205</v>
      </c>
      <c r="J1887" s="1">
        <f>IF(Query1[[#This Row],[ItemType]]="EVAP KIT UNIVERSAL",Query1[[#This Row],[OrderQty]]+J1886,J1886)</f>
        <v>917</v>
      </c>
      <c r="K1887" s="1">
        <f>Query1[[#This Row],[SF Running Total]]+Query1[[#This Row],[UNIV Running Total]]</f>
        <v>3122</v>
      </c>
      <c r="L1887">
        <f>VLOOKUP(Query1[[#This Row],[Description]],'kits to boards'!$B$2:$E$156,2,FALSE)</f>
        <v>830105</v>
      </c>
      <c r="M1887">
        <f>VLOOKUP(Query1[[#This Row],[Description]],'kits to boards'!$B$2:$E$156,3,FALSE)</f>
        <v>830106</v>
      </c>
      <c r="N1887">
        <f>VLOOKUP(Query1[[#This Row],[Description]],'kits to boards'!$B$2:$E$156,4,FALSE)</f>
        <v>0</v>
      </c>
      <c r="O1887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1888" spans="1:15" x14ac:dyDescent="0.25">
      <c r="A1888" s="1">
        <v>914050</v>
      </c>
      <c r="B1888" s="1" t="s">
        <v>192</v>
      </c>
      <c r="C1888" s="1" t="s">
        <v>193</v>
      </c>
      <c r="D1888" s="2">
        <v>44628.390959293982</v>
      </c>
      <c r="E1888" s="1" t="s">
        <v>8</v>
      </c>
      <c r="F1888" s="1">
        <v>1</v>
      </c>
      <c r="G1888" s="1">
        <v>0</v>
      </c>
      <c r="H1888" s="6">
        <f>INT(Query1[[#This Row],[EntryDateTime]])</f>
        <v>44628</v>
      </c>
      <c r="I1888" s="1">
        <f>IF(Query1[[#This Row],[ItemType]]="EVAP KIT SF GEN IV",Query1[[#This Row],[OrderQty]]+I1887,I1887)</f>
        <v>2206</v>
      </c>
      <c r="J1888" s="1">
        <f>IF(Query1[[#This Row],[ItemType]]="EVAP KIT UNIVERSAL",Query1[[#This Row],[OrderQty]]+J1887,J1887)</f>
        <v>917</v>
      </c>
      <c r="K1888" s="1">
        <f>Query1[[#This Row],[SF Running Total]]+Query1[[#This Row],[UNIV Running Total]]</f>
        <v>3123</v>
      </c>
      <c r="L1888">
        <f>VLOOKUP(Query1[[#This Row],[Description]],'kits to boards'!$B$2:$E$156,2,FALSE)</f>
        <v>830094</v>
      </c>
      <c r="M1888">
        <f>VLOOKUP(Query1[[#This Row],[Description]],'kits to boards'!$B$2:$E$156,3,FALSE)</f>
        <v>0</v>
      </c>
      <c r="N1888">
        <f>VLOOKUP(Query1[[#This Row],[Description]],'kits to boards'!$B$2:$E$156,4,FALSE)</f>
        <v>0</v>
      </c>
      <c r="O1888" t="str">
        <f>CONCATENATE(Query1[[#This Row],[Description]]," - ",Query1[[#This Row],[MB1]]," - ",Query1[[#This Row],[MB2]]," - ",Query1[[#This Row],[MB3]])</f>
        <v>EVAP KIT 69-73 VETTE W/AC - 830094 - 0 - 0</v>
      </c>
    </row>
    <row r="1889" spans="1:15" x14ac:dyDescent="0.25">
      <c r="A1889" s="1">
        <v>914051</v>
      </c>
      <c r="B1889" s="1" t="s">
        <v>94</v>
      </c>
      <c r="C1889" s="1" t="s">
        <v>95</v>
      </c>
      <c r="D1889" s="2">
        <v>44628.392255324077</v>
      </c>
      <c r="E1889" s="1" t="s">
        <v>8</v>
      </c>
      <c r="F1889" s="1">
        <v>1</v>
      </c>
      <c r="G1889" s="1">
        <v>0</v>
      </c>
      <c r="H1889" s="6">
        <f>INT(Query1[[#This Row],[EntryDateTime]])</f>
        <v>44628</v>
      </c>
      <c r="I1889" s="1">
        <f>IF(Query1[[#This Row],[ItemType]]="EVAP KIT SF GEN IV",Query1[[#This Row],[OrderQty]]+I1888,I1888)</f>
        <v>2207</v>
      </c>
      <c r="J1889" s="1">
        <f>IF(Query1[[#This Row],[ItemType]]="EVAP KIT UNIVERSAL",Query1[[#This Row],[OrderQty]]+J1888,J1888)</f>
        <v>917</v>
      </c>
      <c r="K1889" s="1">
        <f>Query1[[#This Row],[SF Running Total]]+Query1[[#This Row],[UNIV Running Total]]</f>
        <v>3124</v>
      </c>
      <c r="L1889">
        <f>VLOOKUP(Query1[[#This Row],[Description]],'kits to boards'!$B$2:$E$156,2,FALSE)</f>
        <v>830076</v>
      </c>
      <c r="M1889">
        <f>VLOOKUP(Query1[[#This Row],[Description]],'kits to boards'!$B$2:$E$156,3,FALSE)</f>
        <v>0</v>
      </c>
      <c r="N1889">
        <f>VLOOKUP(Query1[[#This Row],[Description]],'kits to boards'!$B$2:$E$156,4,FALSE)</f>
        <v>0</v>
      </c>
      <c r="O1889" t="str">
        <f>CONCATENATE(Query1[[#This Row],[Description]]," - ",Query1[[#This Row],[MB1]]," - ",Query1[[#This Row],[MB2]]," - ",Query1[[#This Row],[MB3]])</f>
        <v>EVAP KIT 64 1/2- 66 MUSTANG  - 830076 - 0 - 0</v>
      </c>
    </row>
    <row r="1890" spans="1:15" x14ac:dyDescent="0.25">
      <c r="A1890" s="1">
        <v>914053</v>
      </c>
      <c r="B1890" s="1" t="s">
        <v>94</v>
      </c>
      <c r="C1890" s="1" t="s">
        <v>95</v>
      </c>
      <c r="D1890" s="2">
        <v>44628.393481400461</v>
      </c>
      <c r="E1890" s="1" t="s">
        <v>8</v>
      </c>
      <c r="F1890" s="1">
        <v>1</v>
      </c>
      <c r="G1890" s="1">
        <v>0</v>
      </c>
      <c r="H1890" s="6">
        <f>INT(Query1[[#This Row],[EntryDateTime]])</f>
        <v>44628</v>
      </c>
      <c r="I1890" s="1">
        <f>IF(Query1[[#This Row],[ItemType]]="EVAP KIT SF GEN IV",Query1[[#This Row],[OrderQty]]+I1889,I1889)</f>
        <v>2208</v>
      </c>
      <c r="J1890" s="1">
        <f>IF(Query1[[#This Row],[ItemType]]="EVAP KIT UNIVERSAL",Query1[[#This Row],[OrderQty]]+J1889,J1889)</f>
        <v>917</v>
      </c>
      <c r="K1890" s="1">
        <f>Query1[[#This Row],[SF Running Total]]+Query1[[#This Row],[UNIV Running Total]]</f>
        <v>3125</v>
      </c>
      <c r="L1890">
        <f>VLOOKUP(Query1[[#This Row],[Description]],'kits to boards'!$B$2:$E$156,2,FALSE)</f>
        <v>830076</v>
      </c>
      <c r="M1890">
        <f>VLOOKUP(Query1[[#This Row],[Description]],'kits to boards'!$B$2:$E$156,3,FALSE)</f>
        <v>0</v>
      </c>
      <c r="N1890">
        <f>VLOOKUP(Query1[[#This Row],[Description]],'kits to boards'!$B$2:$E$156,4,FALSE)</f>
        <v>0</v>
      </c>
      <c r="O1890" t="str">
        <f>CONCATENATE(Query1[[#This Row],[Description]]," - ",Query1[[#This Row],[MB1]]," - ",Query1[[#This Row],[MB2]]," - ",Query1[[#This Row],[MB3]])</f>
        <v>EVAP KIT 64 1/2- 66 MUSTANG  - 830076 - 0 - 0</v>
      </c>
    </row>
    <row r="1891" spans="1:15" x14ac:dyDescent="0.25">
      <c r="A1891" s="1">
        <v>914055</v>
      </c>
      <c r="B1891" s="1" t="s">
        <v>94</v>
      </c>
      <c r="C1891" s="1" t="s">
        <v>95</v>
      </c>
      <c r="D1891" s="2">
        <v>44628.394678553239</v>
      </c>
      <c r="E1891" s="1" t="s">
        <v>8</v>
      </c>
      <c r="F1891" s="1">
        <v>1</v>
      </c>
      <c r="G1891" s="1">
        <v>0</v>
      </c>
      <c r="H1891" s="6">
        <f>INT(Query1[[#This Row],[EntryDateTime]])</f>
        <v>44628</v>
      </c>
      <c r="I1891" s="1">
        <f>IF(Query1[[#This Row],[ItemType]]="EVAP KIT SF GEN IV",Query1[[#This Row],[OrderQty]]+I1890,I1890)</f>
        <v>2209</v>
      </c>
      <c r="J1891" s="1">
        <f>IF(Query1[[#This Row],[ItemType]]="EVAP KIT UNIVERSAL",Query1[[#This Row],[OrderQty]]+J1890,J1890)</f>
        <v>917</v>
      </c>
      <c r="K1891" s="1">
        <f>Query1[[#This Row],[SF Running Total]]+Query1[[#This Row],[UNIV Running Total]]</f>
        <v>3126</v>
      </c>
      <c r="L1891">
        <f>VLOOKUP(Query1[[#This Row],[Description]],'kits to boards'!$B$2:$E$156,2,FALSE)</f>
        <v>830076</v>
      </c>
      <c r="M1891">
        <f>VLOOKUP(Query1[[#This Row],[Description]],'kits to boards'!$B$2:$E$156,3,FALSE)</f>
        <v>0</v>
      </c>
      <c r="N1891">
        <f>VLOOKUP(Query1[[#This Row],[Description]],'kits to boards'!$B$2:$E$156,4,FALSE)</f>
        <v>0</v>
      </c>
      <c r="O1891" t="str">
        <f>CONCATENATE(Query1[[#This Row],[Description]]," - ",Query1[[#This Row],[MB1]]," - ",Query1[[#This Row],[MB2]]," - ",Query1[[#This Row],[MB3]])</f>
        <v>EVAP KIT 64 1/2- 66 MUSTANG  - 830076 - 0 - 0</v>
      </c>
    </row>
    <row r="1892" spans="1:15" x14ac:dyDescent="0.25">
      <c r="A1892" s="1">
        <v>914054</v>
      </c>
      <c r="B1892" s="1" t="s">
        <v>28</v>
      </c>
      <c r="C1892" s="1" t="s">
        <v>29</v>
      </c>
      <c r="D1892" s="2">
        <v>44628.394796261571</v>
      </c>
      <c r="E1892" s="1" t="s">
        <v>8</v>
      </c>
      <c r="F1892" s="1">
        <v>1</v>
      </c>
      <c r="G1892" s="1">
        <v>0</v>
      </c>
      <c r="H1892" s="6">
        <f>INT(Query1[[#This Row],[EntryDateTime]])</f>
        <v>44628</v>
      </c>
      <c r="I1892" s="1">
        <f>IF(Query1[[#This Row],[ItemType]]="EVAP KIT SF GEN IV",Query1[[#This Row],[OrderQty]]+I1891,I1891)</f>
        <v>2210</v>
      </c>
      <c r="J1892" s="1">
        <f>IF(Query1[[#This Row],[ItemType]]="EVAP KIT UNIVERSAL",Query1[[#This Row],[OrderQty]]+J1891,J1891)</f>
        <v>917</v>
      </c>
      <c r="K1892" s="1">
        <f>Query1[[#This Row],[SF Running Total]]+Query1[[#This Row],[UNIV Running Total]]</f>
        <v>3127</v>
      </c>
      <c r="L1892">
        <f>VLOOKUP(Query1[[#This Row],[Description]],'kits to boards'!$B$2:$E$156,2,FALSE)</f>
        <v>830001</v>
      </c>
      <c r="M1892">
        <f>VLOOKUP(Query1[[#This Row],[Description]],'kits to boards'!$B$2:$E$156,3,FALSE)</f>
        <v>0</v>
      </c>
      <c r="N1892">
        <f>VLOOKUP(Query1[[#This Row],[Description]],'kits to boards'!$B$2:$E$156,4,FALSE)</f>
        <v>0</v>
      </c>
      <c r="O1892" t="str">
        <f>CONCATENATE(Query1[[#This Row],[Description]]," - ",Query1[[#This Row],[MB1]]," - ",Query1[[#This Row],[MB2]]," - ",Query1[[#This Row],[MB3]])</f>
        <v>EVAP KIT 73-80 CHEV P-UP W/AC - 830001 - 0 - 0</v>
      </c>
    </row>
    <row r="1893" spans="1:15" x14ac:dyDescent="0.25">
      <c r="A1893" s="1">
        <v>914056</v>
      </c>
      <c r="B1893" s="1" t="s">
        <v>42</v>
      </c>
      <c r="C1893" s="1" t="s">
        <v>43</v>
      </c>
      <c r="D1893" s="2">
        <v>44628.39541258102</v>
      </c>
      <c r="E1893" s="1" t="s">
        <v>8</v>
      </c>
      <c r="F1893" s="1">
        <v>1</v>
      </c>
      <c r="G1893" s="1">
        <v>0</v>
      </c>
      <c r="H1893" s="6">
        <f>INT(Query1[[#This Row],[EntryDateTime]])</f>
        <v>44628</v>
      </c>
      <c r="I1893" s="1">
        <f>IF(Query1[[#This Row],[ItemType]]="EVAP KIT SF GEN IV",Query1[[#This Row],[OrderQty]]+I1892,I1892)</f>
        <v>2211</v>
      </c>
      <c r="J1893" s="1">
        <f>IF(Query1[[#This Row],[ItemType]]="EVAP KIT UNIVERSAL",Query1[[#This Row],[OrderQty]]+J1892,J1892)</f>
        <v>917</v>
      </c>
      <c r="K1893" s="1">
        <f>Query1[[#This Row],[SF Running Total]]+Query1[[#This Row],[UNIV Running Total]]</f>
        <v>3128</v>
      </c>
      <c r="L1893">
        <f>VLOOKUP(Query1[[#This Row],[Description]],'kits to boards'!$B$2:$E$156,2,FALSE)</f>
        <v>830014</v>
      </c>
      <c r="M1893">
        <f>VLOOKUP(Query1[[#This Row],[Description]],'kits to boards'!$B$2:$E$156,3,FALSE)</f>
        <v>0</v>
      </c>
      <c r="N1893">
        <f>VLOOKUP(Query1[[#This Row],[Description]],'kits to boards'!$B$2:$E$156,4,FALSE)</f>
        <v>0</v>
      </c>
      <c r="O1893" t="str">
        <f>CONCATENATE(Query1[[#This Row],[Description]]," - ",Query1[[#This Row],[MB1]]," - ",Query1[[#This Row],[MB2]]," - ",Query1[[#This Row],[MB3]])</f>
        <v>EVAP KIT 67-72 CHEV P-UP WO AC - 830014 - 0 - 0</v>
      </c>
    </row>
    <row r="1894" spans="1:15" x14ac:dyDescent="0.25">
      <c r="A1894" s="1">
        <v>914057</v>
      </c>
      <c r="B1894" s="1" t="s">
        <v>94</v>
      </c>
      <c r="C1894" s="1" t="s">
        <v>95</v>
      </c>
      <c r="D1894" s="2">
        <v>44628.395850428242</v>
      </c>
      <c r="E1894" s="1" t="s">
        <v>8</v>
      </c>
      <c r="F1894" s="1">
        <v>1</v>
      </c>
      <c r="G1894" s="1">
        <v>0</v>
      </c>
      <c r="H1894" s="6">
        <f>INT(Query1[[#This Row],[EntryDateTime]])</f>
        <v>44628</v>
      </c>
      <c r="I1894" s="1">
        <f>IF(Query1[[#This Row],[ItemType]]="EVAP KIT SF GEN IV",Query1[[#This Row],[OrderQty]]+I1893,I1893)</f>
        <v>2212</v>
      </c>
      <c r="J1894" s="1">
        <f>IF(Query1[[#This Row],[ItemType]]="EVAP KIT UNIVERSAL",Query1[[#This Row],[OrderQty]]+J1893,J1893)</f>
        <v>917</v>
      </c>
      <c r="K1894" s="1">
        <f>Query1[[#This Row],[SF Running Total]]+Query1[[#This Row],[UNIV Running Total]]</f>
        <v>3129</v>
      </c>
      <c r="L1894">
        <f>VLOOKUP(Query1[[#This Row],[Description]],'kits to boards'!$B$2:$E$156,2,FALSE)</f>
        <v>830076</v>
      </c>
      <c r="M1894">
        <f>VLOOKUP(Query1[[#This Row],[Description]],'kits to boards'!$B$2:$E$156,3,FALSE)</f>
        <v>0</v>
      </c>
      <c r="N1894">
        <f>VLOOKUP(Query1[[#This Row],[Description]],'kits to boards'!$B$2:$E$156,4,FALSE)</f>
        <v>0</v>
      </c>
      <c r="O1894" t="str">
        <f>CONCATENATE(Query1[[#This Row],[Description]]," - ",Query1[[#This Row],[MB1]]," - ",Query1[[#This Row],[MB2]]," - ",Query1[[#This Row],[MB3]])</f>
        <v>EVAP KIT 64 1/2- 66 MUSTANG  - 830076 - 0 - 0</v>
      </c>
    </row>
    <row r="1895" spans="1:15" x14ac:dyDescent="0.25">
      <c r="A1895" s="1">
        <v>914059</v>
      </c>
      <c r="B1895" s="1" t="s">
        <v>94</v>
      </c>
      <c r="C1895" s="1" t="s">
        <v>95</v>
      </c>
      <c r="D1895" s="2">
        <v>44628.397292511574</v>
      </c>
      <c r="E1895" s="1" t="s">
        <v>8</v>
      </c>
      <c r="F1895" s="1">
        <v>1</v>
      </c>
      <c r="G1895" s="1">
        <v>0</v>
      </c>
      <c r="H1895" s="6">
        <f>INT(Query1[[#This Row],[EntryDateTime]])</f>
        <v>44628</v>
      </c>
      <c r="I1895" s="1">
        <f>IF(Query1[[#This Row],[ItemType]]="EVAP KIT SF GEN IV",Query1[[#This Row],[OrderQty]]+I1894,I1894)</f>
        <v>2213</v>
      </c>
      <c r="J1895" s="1">
        <f>IF(Query1[[#This Row],[ItemType]]="EVAP KIT UNIVERSAL",Query1[[#This Row],[OrderQty]]+J1894,J1894)</f>
        <v>917</v>
      </c>
      <c r="K1895" s="1">
        <f>Query1[[#This Row],[SF Running Total]]+Query1[[#This Row],[UNIV Running Total]]</f>
        <v>3130</v>
      </c>
      <c r="L1895">
        <f>VLOOKUP(Query1[[#This Row],[Description]],'kits to boards'!$B$2:$E$156,2,FALSE)</f>
        <v>830076</v>
      </c>
      <c r="M1895">
        <f>VLOOKUP(Query1[[#This Row],[Description]],'kits to boards'!$B$2:$E$156,3,FALSE)</f>
        <v>0</v>
      </c>
      <c r="N1895">
        <f>VLOOKUP(Query1[[#This Row],[Description]],'kits to boards'!$B$2:$E$156,4,FALSE)</f>
        <v>0</v>
      </c>
      <c r="O1895" t="str">
        <f>CONCATENATE(Query1[[#This Row],[Description]]," - ",Query1[[#This Row],[MB1]]," - ",Query1[[#This Row],[MB2]]," - ",Query1[[#This Row],[MB3]])</f>
        <v>EVAP KIT 64 1/2- 66 MUSTANG  - 830076 - 0 - 0</v>
      </c>
    </row>
    <row r="1896" spans="1:15" x14ac:dyDescent="0.25">
      <c r="A1896" s="1">
        <v>914060</v>
      </c>
      <c r="B1896" s="1" t="s">
        <v>94</v>
      </c>
      <c r="C1896" s="1" t="s">
        <v>95</v>
      </c>
      <c r="D1896" s="2">
        <v>44628.398360381943</v>
      </c>
      <c r="E1896" s="1" t="s">
        <v>8</v>
      </c>
      <c r="F1896" s="1">
        <v>1</v>
      </c>
      <c r="G1896" s="1">
        <v>0</v>
      </c>
      <c r="H1896" s="6">
        <f>INT(Query1[[#This Row],[EntryDateTime]])</f>
        <v>44628</v>
      </c>
      <c r="I1896" s="1">
        <f>IF(Query1[[#This Row],[ItemType]]="EVAP KIT SF GEN IV",Query1[[#This Row],[OrderQty]]+I1895,I1895)</f>
        <v>2214</v>
      </c>
      <c r="J1896" s="1">
        <f>IF(Query1[[#This Row],[ItemType]]="EVAP KIT UNIVERSAL",Query1[[#This Row],[OrderQty]]+J1895,J1895)</f>
        <v>917</v>
      </c>
      <c r="K1896" s="1">
        <f>Query1[[#This Row],[SF Running Total]]+Query1[[#This Row],[UNIV Running Total]]</f>
        <v>3131</v>
      </c>
      <c r="L1896">
        <f>VLOOKUP(Query1[[#This Row],[Description]],'kits to boards'!$B$2:$E$156,2,FALSE)</f>
        <v>830076</v>
      </c>
      <c r="M1896">
        <f>VLOOKUP(Query1[[#This Row],[Description]],'kits to boards'!$B$2:$E$156,3,FALSE)</f>
        <v>0</v>
      </c>
      <c r="N1896">
        <f>VLOOKUP(Query1[[#This Row],[Description]],'kits to boards'!$B$2:$E$156,4,FALSE)</f>
        <v>0</v>
      </c>
      <c r="O1896" t="str">
        <f>CONCATENATE(Query1[[#This Row],[Description]]," - ",Query1[[#This Row],[MB1]]," - ",Query1[[#This Row],[MB2]]," - ",Query1[[#This Row],[MB3]])</f>
        <v>EVAP KIT 64 1/2- 66 MUSTANG  - 830076 - 0 - 0</v>
      </c>
    </row>
    <row r="1897" spans="1:15" x14ac:dyDescent="0.25">
      <c r="A1897" s="1">
        <v>914061</v>
      </c>
      <c r="B1897" s="1" t="s">
        <v>94</v>
      </c>
      <c r="C1897" s="1" t="s">
        <v>95</v>
      </c>
      <c r="D1897" s="2">
        <v>44628.399328622683</v>
      </c>
      <c r="E1897" s="1" t="s">
        <v>8</v>
      </c>
      <c r="F1897" s="1">
        <v>1</v>
      </c>
      <c r="G1897" s="1">
        <v>0</v>
      </c>
      <c r="H1897" s="6">
        <f>INT(Query1[[#This Row],[EntryDateTime]])</f>
        <v>44628</v>
      </c>
      <c r="I1897" s="1">
        <f>IF(Query1[[#This Row],[ItemType]]="EVAP KIT SF GEN IV",Query1[[#This Row],[OrderQty]]+I1896,I1896)</f>
        <v>2215</v>
      </c>
      <c r="J1897" s="1">
        <f>IF(Query1[[#This Row],[ItemType]]="EVAP KIT UNIVERSAL",Query1[[#This Row],[OrderQty]]+J1896,J1896)</f>
        <v>917</v>
      </c>
      <c r="K1897" s="1">
        <f>Query1[[#This Row],[SF Running Total]]+Query1[[#This Row],[UNIV Running Total]]</f>
        <v>3132</v>
      </c>
      <c r="L1897">
        <f>VLOOKUP(Query1[[#This Row],[Description]],'kits to boards'!$B$2:$E$156,2,FALSE)</f>
        <v>830076</v>
      </c>
      <c r="M1897">
        <f>VLOOKUP(Query1[[#This Row],[Description]],'kits to boards'!$B$2:$E$156,3,FALSE)</f>
        <v>0</v>
      </c>
      <c r="N1897">
        <f>VLOOKUP(Query1[[#This Row],[Description]],'kits to boards'!$B$2:$E$156,4,FALSE)</f>
        <v>0</v>
      </c>
      <c r="O1897" t="str">
        <f>CONCATENATE(Query1[[#This Row],[Description]]," - ",Query1[[#This Row],[MB1]]," - ",Query1[[#This Row],[MB2]]," - ",Query1[[#This Row],[MB3]])</f>
        <v>EVAP KIT 64 1/2- 66 MUSTANG  - 830076 - 0 - 0</v>
      </c>
    </row>
    <row r="1898" spans="1:15" x14ac:dyDescent="0.25">
      <c r="A1898" s="1">
        <v>914062</v>
      </c>
      <c r="B1898" s="1" t="s">
        <v>94</v>
      </c>
      <c r="C1898" s="1" t="s">
        <v>95</v>
      </c>
      <c r="D1898" s="2">
        <v>44628.400514386572</v>
      </c>
      <c r="E1898" s="1" t="s">
        <v>8</v>
      </c>
      <c r="F1898" s="1">
        <v>1</v>
      </c>
      <c r="G1898" s="1">
        <v>0</v>
      </c>
      <c r="H1898" s="6">
        <f>INT(Query1[[#This Row],[EntryDateTime]])</f>
        <v>44628</v>
      </c>
      <c r="I1898" s="1">
        <f>IF(Query1[[#This Row],[ItemType]]="EVAP KIT SF GEN IV",Query1[[#This Row],[OrderQty]]+I1897,I1897)</f>
        <v>2216</v>
      </c>
      <c r="J1898" s="1">
        <f>IF(Query1[[#This Row],[ItemType]]="EVAP KIT UNIVERSAL",Query1[[#This Row],[OrderQty]]+J1897,J1897)</f>
        <v>917</v>
      </c>
      <c r="K1898" s="1">
        <f>Query1[[#This Row],[SF Running Total]]+Query1[[#This Row],[UNIV Running Total]]</f>
        <v>3133</v>
      </c>
      <c r="L1898">
        <f>VLOOKUP(Query1[[#This Row],[Description]],'kits to boards'!$B$2:$E$156,2,FALSE)</f>
        <v>830076</v>
      </c>
      <c r="M1898">
        <f>VLOOKUP(Query1[[#This Row],[Description]],'kits to boards'!$B$2:$E$156,3,FALSE)</f>
        <v>0</v>
      </c>
      <c r="N1898">
        <f>VLOOKUP(Query1[[#This Row],[Description]],'kits to boards'!$B$2:$E$156,4,FALSE)</f>
        <v>0</v>
      </c>
      <c r="O1898" t="str">
        <f>CONCATENATE(Query1[[#This Row],[Description]]," - ",Query1[[#This Row],[MB1]]," - ",Query1[[#This Row],[MB2]]," - ",Query1[[#This Row],[MB3]])</f>
        <v>EVAP KIT 64 1/2- 66 MUSTANG  - 830076 - 0 - 0</v>
      </c>
    </row>
    <row r="1899" spans="1:15" x14ac:dyDescent="0.25">
      <c r="A1899" s="1">
        <v>914063</v>
      </c>
      <c r="B1899" s="1" t="s">
        <v>94</v>
      </c>
      <c r="C1899" s="1" t="s">
        <v>95</v>
      </c>
      <c r="D1899" s="2">
        <v>44628.401541203704</v>
      </c>
      <c r="E1899" s="1" t="s">
        <v>8</v>
      </c>
      <c r="F1899" s="1">
        <v>1</v>
      </c>
      <c r="G1899" s="1">
        <v>0</v>
      </c>
      <c r="H1899" s="6">
        <f>INT(Query1[[#This Row],[EntryDateTime]])</f>
        <v>44628</v>
      </c>
      <c r="I1899" s="1">
        <f>IF(Query1[[#This Row],[ItemType]]="EVAP KIT SF GEN IV",Query1[[#This Row],[OrderQty]]+I1898,I1898)</f>
        <v>2217</v>
      </c>
      <c r="J1899" s="1">
        <f>IF(Query1[[#This Row],[ItemType]]="EVAP KIT UNIVERSAL",Query1[[#This Row],[OrderQty]]+J1898,J1898)</f>
        <v>917</v>
      </c>
      <c r="K1899" s="1">
        <f>Query1[[#This Row],[SF Running Total]]+Query1[[#This Row],[UNIV Running Total]]</f>
        <v>3134</v>
      </c>
      <c r="L1899">
        <f>VLOOKUP(Query1[[#This Row],[Description]],'kits to boards'!$B$2:$E$156,2,FALSE)</f>
        <v>830076</v>
      </c>
      <c r="M1899">
        <f>VLOOKUP(Query1[[#This Row],[Description]],'kits to boards'!$B$2:$E$156,3,FALSE)</f>
        <v>0</v>
      </c>
      <c r="N1899">
        <f>VLOOKUP(Query1[[#This Row],[Description]],'kits to boards'!$B$2:$E$156,4,FALSE)</f>
        <v>0</v>
      </c>
      <c r="O1899" t="str">
        <f>CONCATENATE(Query1[[#This Row],[Description]]," - ",Query1[[#This Row],[MB1]]," - ",Query1[[#This Row],[MB2]]," - ",Query1[[#This Row],[MB3]])</f>
        <v>EVAP KIT 64 1/2- 66 MUSTANG  - 830076 - 0 - 0</v>
      </c>
    </row>
    <row r="1900" spans="1:15" x14ac:dyDescent="0.25">
      <c r="A1900" s="1">
        <v>914064</v>
      </c>
      <c r="B1900" s="1" t="s">
        <v>94</v>
      </c>
      <c r="C1900" s="1" t="s">
        <v>95</v>
      </c>
      <c r="D1900" s="2">
        <v>44628.402578090281</v>
      </c>
      <c r="E1900" s="1" t="s">
        <v>8</v>
      </c>
      <c r="F1900" s="1">
        <v>1</v>
      </c>
      <c r="G1900" s="1">
        <v>0</v>
      </c>
      <c r="H1900" s="6">
        <f>INT(Query1[[#This Row],[EntryDateTime]])</f>
        <v>44628</v>
      </c>
      <c r="I1900" s="1">
        <f>IF(Query1[[#This Row],[ItemType]]="EVAP KIT SF GEN IV",Query1[[#This Row],[OrderQty]]+I1899,I1899)</f>
        <v>2218</v>
      </c>
      <c r="J1900" s="1">
        <f>IF(Query1[[#This Row],[ItemType]]="EVAP KIT UNIVERSAL",Query1[[#This Row],[OrderQty]]+J1899,J1899)</f>
        <v>917</v>
      </c>
      <c r="K1900" s="1">
        <f>Query1[[#This Row],[SF Running Total]]+Query1[[#This Row],[UNIV Running Total]]</f>
        <v>3135</v>
      </c>
      <c r="L1900">
        <f>VLOOKUP(Query1[[#This Row],[Description]],'kits to boards'!$B$2:$E$156,2,FALSE)</f>
        <v>830076</v>
      </c>
      <c r="M1900">
        <f>VLOOKUP(Query1[[#This Row],[Description]],'kits to boards'!$B$2:$E$156,3,FALSE)</f>
        <v>0</v>
      </c>
      <c r="N1900">
        <f>VLOOKUP(Query1[[#This Row],[Description]],'kits to boards'!$B$2:$E$156,4,FALSE)</f>
        <v>0</v>
      </c>
      <c r="O1900" t="str">
        <f>CONCATENATE(Query1[[#This Row],[Description]]," - ",Query1[[#This Row],[MB1]]," - ",Query1[[#This Row],[MB2]]," - ",Query1[[#This Row],[MB3]])</f>
        <v>EVAP KIT 64 1/2- 66 MUSTANG  - 830076 - 0 - 0</v>
      </c>
    </row>
    <row r="1901" spans="1:15" x14ac:dyDescent="0.25">
      <c r="A1901" s="1">
        <v>914065</v>
      </c>
      <c r="B1901" s="1" t="s">
        <v>94</v>
      </c>
      <c r="C1901" s="1" t="s">
        <v>95</v>
      </c>
      <c r="D1901" s="2">
        <v>44628.40349016204</v>
      </c>
      <c r="E1901" s="1" t="s">
        <v>8</v>
      </c>
      <c r="F1901" s="1">
        <v>1</v>
      </c>
      <c r="G1901" s="1">
        <v>0</v>
      </c>
      <c r="H1901" s="6">
        <f>INT(Query1[[#This Row],[EntryDateTime]])</f>
        <v>44628</v>
      </c>
      <c r="I1901" s="1">
        <f>IF(Query1[[#This Row],[ItemType]]="EVAP KIT SF GEN IV",Query1[[#This Row],[OrderQty]]+I1900,I1900)</f>
        <v>2219</v>
      </c>
      <c r="J1901" s="1">
        <f>IF(Query1[[#This Row],[ItemType]]="EVAP KIT UNIVERSAL",Query1[[#This Row],[OrderQty]]+J1900,J1900)</f>
        <v>917</v>
      </c>
      <c r="K1901" s="1">
        <f>Query1[[#This Row],[SF Running Total]]+Query1[[#This Row],[UNIV Running Total]]</f>
        <v>3136</v>
      </c>
      <c r="L1901">
        <f>VLOOKUP(Query1[[#This Row],[Description]],'kits to boards'!$B$2:$E$156,2,FALSE)</f>
        <v>830076</v>
      </c>
      <c r="M1901">
        <f>VLOOKUP(Query1[[#This Row],[Description]],'kits to boards'!$B$2:$E$156,3,FALSE)</f>
        <v>0</v>
      </c>
      <c r="N1901">
        <f>VLOOKUP(Query1[[#This Row],[Description]],'kits to boards'!$B$2:$E$156,4,FALSE)</f>
        <v>0</v>
      </c>
      <c r="O1901" t="str">
        <f>CONCATENATE(Query1[[#This Row],[Description]]," - ",Query1[[#This Row],[MB1]]," - ",Query1[[#This Row],[MB2]]," - ",Query1[[#This Row],[MB3]])</f>
        <v>EVAP KIT 64 1/2- 66 MUSTANG  - 830076 - 0 - 0</v>
      </c>
    </row>
    <row r="1902" spans="1:15" x14ac:dyDescent="0.25">
      <c r="A1902" s="1">
        <v>914066</v>
      </c>
      <c r="B1902" s="1" t="s">
        <v>94</v>
      </c>
      <c r="C1902" s="1" t="s">
        <v>95</v>
      </c>
      <c r="D1902" s="2">
        <v>44628.404739618054</v>
      </c>
      <c r="E1902" s="1" t="s">
        <v>8</v>
      </c>
      <c r="F1902" s="1">
        <v>1</v>
      </c>
      <c r="G1902" s="1">
        <v>0</v>
      </c>
      <c r="H1902" s="6">
        <f>INT(Query1[[#This Row],[EntryDateTime]])</f>
        <v>44628</v>
      </c>
      <c r="I1902" s="1">
        <f>IF(Query1[[#This Row],[ItemType]]="EVAP KIT SF GEN IV",Query1[[#This Row],[OrderQty]]+I1901,I1901)</f>
        <v>2220</v>
      </c>
      <c r="J1902" s="1">
        <f>IF(Query1[[#This Row],[ItemType]]="EVAP KIT UNIVERSAL",Query1[[#This Row],[OrderQty]]+J1901,J1901)</f>
        <v>917</v>
      </c>
      <c r="K1902" s="1">
        <f>Query1[[#This Row],[SF Running Total]]+Query1[[#This Row],[UNIV Running Total]]</f>
        <v>3137</v>
      </c>
      <c r="L1902">
        <f>VLOOKUP(Query1[[#This Row],[Description]],'kits to boards'!$B$2:$E$156,2,FALSE)</f>
        <v>830076</v>
      </c>
      <c r="M1902">
        <f>VLOOKUP(Query1[[#This Row],[Description]],'kits to boards'!$B$2:$E$156,3,FALSE)</f>
        <v>0</v>
      </c>
      <c r="N1902">
        <f>VLOOKUP(Query1[[#This Row],[Description]],'kits to boards'!$B$2:$E$156,4,FALSE)</f>
        <v>0</v>
      </c>
      <c r="O1902" t="str">
        <f>CONCATENATE(Query1[[#This Row],[Description]]," - ",Query1[[#This Row],[MB1]]," - ",Query1[[#This Row],[MB2]]," - ",Query1[[#This Row],[MB3]])</f>
        <v>EVAP KIT 64 1/2- 66 MUSTANG  - 830076 - 0 - 0</v>
      </c>
    </row>
    <row r="1903" spans="1:15" x14ac:dyDescent="0.25">
      <c r="A1903" s="1">
        <v>914067</v>
      </c>
      <c r="B1903" s="1" t="s">
        <v>94</v>
      </c>
      <c r="C1903" s="1" t="s">
        <v>95</v>
      </c>
      <c r="D1903" s="2">
        <v>44628.405832488424</v>
      </c>
      <c r="E1903" s="1" t="s">
        <v>8</v>
      </c>
      <c r="F1903" s="1">
        <v>1</v>
      </c>
      <c r="G1903" s="1">
        <v>0</v>
      </c>
      <c r="H1903" s="6">
        <f>INT(Query1[[#This Row],[EntryDateTime]])</f>
        <v>44628</v>
      </c>
      <c r="I1903" s="1">
        <f>IF(Query1[[#This Row],[ItemType]]="EVAP KIT SF GEN IV",Query1[[#This Row],[OrderQty]]+I1902,I1902)</f>
        <v>2221</v>
      </c>
      <c r="J1903" s="1">
        <f>IF(Query1[[#This Row],[ItemType]]="EVAP KIT UNIVERSAL",Query1[[#This Row],[OrderQty]]+J1902,J1902)</f>
        <v>917</v>
      </c>
      <c r="K1903" s="1">
        <f>Query1[[#This Row],[SF Running Total]]+Query1[[#This Row],[UNIV Running Total]]</f>
        <v>3138</v>
      </c>
      <c r="L1903">
        <f>VLOOKUP(Query1[[#This Row],[Description]],'kits to boards'!$B$2:$E$156,2,FALSE)</f>
        <v>830076</v>
      </c>
      <c r="M1903">
        <f>VLOOKUP(Query1[[#This Row],[Description]],'kits to boards'!$B$2:$E$156,3,FALSE)</f>
        <v>0</v>
      </c>
      <c r="N1903">
        <f>VLOOKUP(Query1[[#This Row],[Description]],'kits to boards'!$B$2:$E$156,4,FALSE)</f>
        <v>0</v>
      </c>
      <c r="O1903" t="str">
        <f>CONCATENATE(Query1[[#This Row],[Description]]," - ",Query1[[#This Row],[MB1]]," - ",Query1[[#This Row],[MB2]]," - ",Query1[[#This Row],[MB3]])</f>
        <v>EVAP KIT 64 1/2- 66 MUSTANG  - 830076 - 0 - 0</v>
      </c>
    </row>
    <row r="1904" spans="1:15" x14ac:dyDescent="0.25">
      <c r="A1904" s="1">
        <v>914068</v>
      </c>
      <c r="B1904" s="1" t="s">
        <v>94</v>
      </c>
      <c r="C1904" s="1" t="s">
        <v>95</v>
      </c>
      <c r="D1904" s="2">
        <v>44628.40714181713</v>
      </c>
      <c r="E1904" s="1" t="s">
        <v>8</v>
      </c>
      <c r="F1904" s="1">
        <v>1</v>
      </c>
      <c r="G1904" s="1">
        <v>0</v>
      </c>
      <c r="H1904" s="6">
        <f>INT(Query1[[#This Row],[EntryDateTime]])</f>
        <v>44628</v>
      </c>
      <c r="I1904" s="1">
        <f>IF(Query1[[#This Row],[ItemType]]="EVAP KIT SF GEN IV",Query1[[#This Row],[OrderQty]]+I1903,I1903)</f>
        <v>2222</v>
      </c>
      <c r="J1904" s="1">
        <f>IF(Query1[[#This Row],[ItemType]]="EVAP KIT UNIVERSAL",Query1[[#This Row],[OrderQty]]+J1903,J1903)</f>
        <v>917</v>
      </c>
      <c r="K1904" s="1">
        <f>Query1[[#This Row],[SF Running Total]]+Query1[[#This Row],[UNIV Running Total]]</f>
        <v>3139</v>
      </c>
      <c r="L1904">
        <f>VLOOKUP(Query1[[#This Row],[Description]],'kits to boards'!$B$2:$E$156,2,FALSE)</f>
        <v>830076</v>
      </c>
      <c r="M1904">
        <f>VLOOKUP(Query1[[#This Row],[Description]],'kits to boards'!$B$2:$E$156,3,FALSE)</f>
        <v>0</v>
      </c>
      <c r="N1904">
        <f>VLOOKUP(Query1[[#This Row],[Description]],'kits to boards'!$B$2:$E$156,4,FALSE)</f>
        <v>0</v>
      </c>
      <c r="O1904" t="str">
        <f>CONCATENATE(Query1[[#This Row],[Description]]," - ",Query1[[#This Row],[MB1]]," - ",Query1[[#This Row],[MB2]]," - ",Query1[[#This Row],[MB3]])</f>
        <v>EVAP KIT 64 1/2- 66 MUSTANG  - 830076 - 0 - 0</v>
      </c>
    </row>
    <row r="1905" spans="1:15" x14ac:dyDescent="0.25">
      <c r="A1905" s="1">
        <v>914070</v>
      </c>
      <c r="B1905" s="1" t="s">
        <v>94</v>
      </c>
      <c r="C1905" s="1" t="s">
        <v>95</v>
      </c>
      <c r="D1905" s="2">
        <v>44628.408632523147</v>
      </c>
      <c r="E1905" s="1" t="s">
        <v>8</v>
      </c>
      <c r="F1905" s="1">
        <v>1</v>
      </c>
      <c r="G1905" s="1">
        <v>0</v>
      </c>
      <c r="H1905" s="6">
        <f>INT(Query1[[#This Row],[EntryDateTime]])</f>
        <v>44628</v>
      </c>
      <c r="I1905" s="1">
        <f>IF(Query1[[#This Row],[ItemType]]="EVAP KIT SF GEN IV",Query1[[#This Row],[OrderQty]]+I1904,I1904)</f>
        <v>2223</v>
      </c>
      <c r="J1905" s="1">
        <f>IF(Query1[[#This Row],[ItemType]]="EVAP KIT UNIVERSAL",Query1[[#This Row],[OrderQty]]+J1904,J1904)</f>
        <v>917</v>
      </c>
      <c r="K1905" s="1">
        <f>Query1[[#This Row],[SF Running Total]]+Query1[[#This Row],[UNIV Running Total]]</f>
        <v>3140</v>
      </c>
      <c r="L1905">
        <f>VLOOKUP(Query1[[#This Row],[Description]],'kits to boards'!$B$2:$E$156,2,FALSE)</f>
        <v>830076</v>
      </c>
      <c r="M1905">
        <f>VLOOKUP(Query1[[#This Row],[Description]],'kits to boards'!$B$2:$E$156,3,FALSE)</f>
        <v>0</v>
      </c>
      <c r="N1905">
        <f>VLOOKUP(Query1[[#This Row],[Description]],'kits to boards'!$B$2:$E$156,4,FALSE)</f>
        <v>0</v>
      </c>
      <c r="O1905" t="str">
        <f>CONCATENATE(Query1[[#This Row],[Description]]," - ",Query1[[#This Row],[MB1]]," - ",Query1[[#This Row],[MB2]]," - ",Query1[[#This Row],[MB3]])</f>
        <v>EVAP KIT 64 1/2- 66 MUSTANG  - 830076 - 0 - 0</v>
      </c>
    </row>
    <row r="1906" spans="1:15" x14ac:dyDescent="0.25">
      <c r="A1906" s="1">
        <v>914071</v>
      </c>
      <c r="B1906" s="1" t="s">
        <v>94</v>
      </c>
      <c r="C1906" s="1" t="s">
        <v>95</v>
      </c>
      <c r="D1906" s="2">
        <v>44628.409715972222</v>
      </c>
      <c r="E1906" s="1" t="s">
        <v>8</v>
      </c>
      <c r="F1906" s="1">
        <v>1</v>
      </c>
      <c r="G1906" s="1">
        <v>0</v>
      </c>
      <c r="H1906" s="6">
        <f>INT(Query1[[#This Row],[EntryDateTime]])</f>
        <v>44628</v>
      </c>
      <c r="I1906" s="1">
        <f>IF(Query1[[#This Row],[ItemType]]="EVAP KIT SF GEN IV",Query1[[#This Row],[OrderQty]]+I1905,I1905)</f>
        <v>2224</v>
      </c>
      <c r="J1906" s="1">
        <f>IF(Query1[[#This Row],[ItemType]]="EVAP KIT UNIVERSAL",Query1[[#This Row],[OrderQty]]+J1905,J1905)</f>
        <v>917</v>
      </c>
      <c r="K1906" s="1">
        <f>Query1[[#This Row],[SF Running Total]]+Query1[[#This Row],[UNIV Running Total]]</f>
        <v>3141</v>
      </c>
      <c r="L1906">
        <f>VLOOKUP(Query1[[#This Row],[Description]],'kits to boards'!$B$2:$E$156,2,FALSE)</f>
        <v>830076</v>
      </c>
      <c r="M1906">
        <f>VLOOKUP(Query1[[#This Row],[Description]],'kits to boards'!$B$2:$E$156,3,FALSE)</f>
        <v>0</v>
      </c>
      <c r="N1906">
        <f>VLOOKUP(Query1[[#This Row],[Description]],'kits to boards'!$B$2:$E$156,4,FALSE)</f>
        <v>0</v>
      </c>
      <c r="O1906" t="str">
        <f>CONCATENATE(Query1[[#This Row],[Description]]," - ",Query1[[#This Row],[MB1]]," - ",Query1[[#This Row],[MB2]]," - ",Query1[[#This Row],[MB3]])</f>
        <v>EVAP KIT 64 1/2- 66 MUSTANG  - 830076 - 0 - 0</v>
      </c>
    </row>
    <row r="1907" spans="1:15" x14ac:dyDescent="0.25">
      <c r="A1907" s="1">
        <v>914072</v>
      </c>
      <c r="B1907" s="1" t="s">
        <v>88</v>
      </c>
      <c r="C1907" s="1" t="s">
        <v>89</v>
      </c>
      <c r="D1907" s="2">
        <v>44628.410237233795</v>
      </c>
      <c r="E1907" s="1" t="s">
        <v>8</v>
      </c>
      <c r="F1907" s="1">
        <v>1</v>
      </c>
      <c r="G1907" s="1">
        <v>0</v>
      </c>
      <c r="H1907" s="6">
        <f>INT(Query1[[#This Row],[EntryDateTime]])</f>
        <v>44628</v>
      </c>
      <c r="I1907" s="1">
        <f>IF(Query1[[#This Row],[ItemType]]="EVAP KIT SF GEN IV",Query1[[#This Row],[OrderQty]]+I1906,I1906)</f>
        <v>2225</v>
      </c>
      <c r="J1907" s="1">
        <f>IF(Query1[[#This Row],[ItemType]]="EVAP KIT UNIVERSAL",Query1[[#This Row],[OrderQty]]+J1906,J1906)</f>
        <v>917</v>
      </c>
      <c r="K1907" s="1">
        <f>Query1[[#This Row],[SF Running Total]]+Query1[[#This Row],[UNIV Running Total]]</f>
        <v>3142</v>
      </c>
      <c r="L1907">
        <f>VLOOKUP(Query1[[#This Row],[Description]],'kits to boards'!$B$2:$E$156,2,FALSE)</f>
        <v>830003</v>
      </c>
      <c r="M1907">
        <f>VLOOKUP(Query1[[#This Row],[Description]],'kits to boards'!$B$2:$E$156,3,FALSE)</f>
        <v>0</v>
      </c>
      <c r="N1907">
        <f>VLOOKUP(Query1[[#This Row],[Description]],'kits to boards'!$B$2:$E$156,4,FALSE)</f>
        <v>0</v>
      </c>
      <c r="O1907" t="str">
        <f>CONCATENATE(Query1[[#This Row],[Description]]," - ",Query1[[#This Row],[MB1]]," - ",Query1[[#This Row],[MB2]]," - ",Query1[[#This Row],[MB3]])</f>
        <v>EVAP KIT 81-87 CHEV P-UP WO AC - 830003 - 0 - 0</v>
      </c>
    </row>
    <row r="1908" spans="1:15" x14ac:dyDescent="0.25">
      <c r="A1908" s="1">
        <v>914079</v>
      </c>
      <c r="B1908" s="1" t="s">
        <v>14</v>
      </c>
      <c r="C1908" s="1" t="s">
        <v>15</v>
      </c>
      <c r="D1908" s="2">
        <v>44628.426401157405</v>
      </c>
      <c r="E1908" s="1" t="s">
        <v>8</v>
      </c>
      <c r="F1908" s="1">
        <v>1</v>
      </c>
      <c r="G1908" s="1">
        <v>0</v>
      </c>
      <c r="H1908" s="6">
        <f>INT(Query1[[#This Row],[EntryDateTime]])</f>
        <v>44628</v>
      </c>
      <c r="I1908" s="1">
        <f>IF(Query1[[#This Row],[ItemType]]="EVAP KIT SF GEN IV",Query1[[#This Row],[OrderQty]]+I1907,I1907)</f>
        <v>2226</v>
      </c>
      <c r="J1908" s="1">
        <f>IF(Query1[[#This Row],[ItemType]]="EVAP KIT UNIVERSAL",Query1[[#This Row],[OrderQty]]+J1907,J1907)</f>
        <v>917</v>
      </c>
      <c r="K1908" s="1">
        <f>Query1[[#This Row],[SF Running Total]]+Query1[[#This Row],[UNIV Running Total]]</f>
        <v>3143</v>
      </c>
      <c r="L1908">
        <f>VLOOKUP(Query1[[#This Row],[Description]],'kits to boards'!$B$2:$E$156,2,FALSE)</f>
        <v>830054</v>
      </c>
      <c r="M1908">
        <f>VLOOKUP(Query1[[#This Row],[Description]],'kits to boards'!$B$2:$E$156,3,FALSE)</f>
        <v>0</v>
      </c>
      <c r="N1908">
        <f>VLOOKUP(Query1[[#This Row],[Description]],'kits to boards'!$B$2:$E$156,4,FALSE)</f>
        <v>0</v>
      </c>
      <c r="O1908" t="str">
        <f>CONCATENATE(Query1[[#This Row],[Description]]," - ",Query1[[#This Row],[MB1]]," - ",Query1[[#This Row],[MB2]]," - ",Query1[[#This Row],[MB3]])</f>
        <v>EVAP KIT 55-56 CHEVY - 830054 - 0 - 0</v>
      </c>
    </row>
    <row r="1909" spans="1:15" x14ac:dyDescent="0.25">
      <c r="A1909" s="1">
        <v>914086</v>
      </c>
      <c r="B1909" s="1" t="s">
        <v>84</v>
      </c>
      <c r="C1909" s="1" t="s">
        <v>85</v>
      </c>
      <c r="D1909" s="2">
        <v>44628.430756516202</v>
      </c>
      <c r="E1909" s="1" t="s">
        <v>8</v>
      </c>
      <c r="F1909" s="1">
        <v>1</v>
      </c>
      <c r="G1909" s="1">
        <v>0</v>
      </c>
      <c r="H1909" s="6">
        <f>INT(Query1[[#This Row],[EntryDateTime]])</f>
        <v>44628</v>
      </c>
      <c r="I1909" s="1">
        <f>IF(Query1[[#This Row],[ItemType]]="EVAP KIT SF GEN IV",Query1[[#This Row],[OrderQty]]+I1908,I1908)</f>
        <v>2227</v>
      </c>
      <c r="J1909" s="1">
        <f>IF(Query1[[#This Row],[ItemType]]="EVAP KIT UNIVERSAL",Query1[[#This Row],[OrderQty]]+J1908,J1908)</f>
        <v>917</v>
      </c>
      <c r="K1909" s="1">
        <f>Query1[[#This Row],[SF Running Total]]+Query1[[#This Row],[UNIV Running Total]]</f>
        <v>3144</v>
      </c>
      <c r="L1909">
        <f>VLOOKUP(Query1[[#This Row],[Description]],'kits to boards'!$B$2:$E$156,2,FALSE)</f>
        <v>830085</v>
      </c>
      <c r="M1909">
        <f>VLOOKUP(Query1[[#This Row],[Description]],'kits to boards'!$B$2:$E$156,3,FALSE)</f>
        <v>0</v>
      </c>
      <c r="N1909">
        <f>VLOOKUP(Query1[[#This Row],[Description]],'kits to boards'!$B$2:$E$156,4,FALSE)</f>
        <v>0</v>
      </c>
      <c r="O1909" t="str">
        <f>CONCATENATE(Query1[[#This Row],[Description]]," - ",Query1[[#This Row],[MB1]]," - ",Query1[[#This Row],[MB2]]," - ",Query1[[#This Row],[MB3]])</f>
        <v>EVAP KIT 66-77 BRONCO 4-VENT PLENUM - 830085 - 0 - 0</v>
      </c>
    </row>
    <row r="1910" spans="1:15" x14ac:dyDescent="0.25">
      <c r="A1910" s="1">
        <v>914095</v>
      </c>
      <c r="B1910" s="1" t="s">
        <v>294</v>
      </c>
      <c r="C1910" s="1" t="s">
        <v>295</v>
      </c>
      <c r="D1910" s="2">
        <v>44628.441714201392</v>
      </c>
      <c r="E1910" s="1" t="s">
        <v>8</v>
      </c>
      <c r="F1910" s="1">
        <v>1</v>
      </c>
      <c r="G1910" s="1">
        <v>0</v>
      </c>
      <c r="H1910" s="6">
        <f>INT(Query1[[#This Row],[EntryDateTime]])</f>
        <v>44628</v>
      </c>
      <c r="I1910" s="1">
        <f>IF(Query1[[#This Row],[ItemType]]="EVAP KIT SF GEN IV",Query1[[#This Row],[OrderQty]]+I1909,I1909)</f>
        <v>2228</v>
      </c>
      <c r="J1910" s="1">
        <f>IF(Query1[[#This Row],[ItemType]]="EVAP KIT UNIVERSAL",Query1[[#This Row],[OrderQty]]+J1909,J1909)</f>
        <v>917</v>
      </c>
      <c r="K1910" s="1">
        <f>Query1[[#This Row],[SF Running Total]]+Query1[[#This Row],[UNIV Running Total]]</f>
        <v>3145</v>
      </c>
      <c r="L1910">
        <f>VLOOKUP(Query1[[#This Row],[Description]],'kits to boards'!$B$2:$E$156,2,FALSE)</f>
        <v>830006</v>
      </c>
      <c r="M1910">
        <f>VLOOKUP(Query1[[#This Row],[Description]],'kits to boards'!$B$2:$E$156,3,FALSE)</f>
        <v>0</v>
      </c>
      <c r="N1910">
        <f>VLOOKUP(Query1[[#This Row],[Description]],'kits to boards'!$B$2:$E$156,4,FALSE)</f>
        <v>0</v>
      </c>
      <c r="O1910" t="str">
        <f>CONCATENATE(Query1[[#This Row],[Description]]," - ",Query1[[#This Row],[MB1]]," - ",Query1[[#This Row],[MB2]]," - ",Query1[[#This Row],[MB3]])</f>
        <v>EVAP KIT 61-62 IMPALA W/AC - 830006 - 0 - 0</v>
      </c>
    </row>
    <row r="1911" spans="1:15" x14ac:dyDescent="0.25">
      <c r="A1911" s="1">
        <v>913942</v>
      </c>
      <c r="B1911" s="1" t="s">
        <v>112</v>
      </c>
      <c r="C1911" s="1" t="s">
        <v>113</v>
      </c>
      <c r="D1911" s="2">
        <v>44628.448952430554</v>
      </c>
      <c r="E1911" s="1" t="s">
        <v>8</v>
      </c>
      <c r="F1911" s="1">
        <v>1</v>
      </c>
      <c r="G1911" s="1">
        <v>0</v>
      </c>
      <c r="H1911" s="6">
        <f>INT(Query1[[#This Row],[EntryDateTime]])</f>
        <v>44628</v>
      </c>
      <c r="I1911" s="1">
        <f>IF(Query1[[#This Row],[ItemType]]="EVAP KIT SF GEN IV",Query1[[#This Row],[OrderQty]]+I1910,I1910)</f>
        <v>2229</v>
      </c>
      <c r="J1911" s="1">
        <f>IF(Query1[[#This Row],[ItemType]]="EVAP KIT UNIVERSAL",Query1[[#This Row],[OrderQty]]+J1910,J1910)</f>
        <v>917</v>
      </c>
      <c r="K1911" s="1">
        <f>Query1[[#This Row],[SF Running Total]]+Query1[[#This Row],[UNIV Running Total]]</f>
        <v>3146</v>
      </c>
      <c r="L1911">
        <f>VLOOKUP(Query1[[#This Row],[Description]],'kits to boards'!$B$2:$E$156,2,FALSE)</f>
        <v>830063</v>
      </c>
      <c r="M1911">
        <f>VLOOKUP(Query1[[#This Row],[Description]],'kits to boards'!$B$2:$E$156,3,FALSE)</f>
        <v>0</v>
      </c>
      <c r="N1911">
        <f>VLOOKUP(Query1[[#This Row],[Description]],'kits to boards'!$B$2:$E$156,4,FALSE)</f>
        <v>0</v>
      </c>
      <c r="O1911" t="str">
        <f>CONCATENATE(Query1[[#This Row],[Description]]," - ",Query1[[#This Row],[MB1]]," - ",Query1[[#This Row],[MB2]]," - ",Query1[[#This Row],[MB3]])</f>
        <v>EVAP KIT 54-55 CHEV P-UP GEN IV - 830063 - 0 - 0</v>
      </c>
    </row>
    <row r="1912" spans="1:15" x14ac:dyDescent="0.25">
      <c r="A1912" s="1">
        <v>914102</v>
      </c>
      <c r="B1912" s="1" t="s">
        <v>32</v>
      </c>
      <c r="C1912" s="1" t="s">
        <v>33</v>
      </c>
      <c r="D1912" s="2">
        <v>44628.45033954861</v>
      </c>
      <c r="E1912" s="1" t="s">
        <v>8</v>
      </c>
      <c r="F1912" s="1">
        <v>1</v>
      </c>
      <c r="G1912" s="1">
        <v>0</v>
      </c>
      <c r="H1912" s="6">
        <f>INT(Query1[[#This Row],[EntryDateTime]])</f>
        <v>44628</v>
      </c>
      <c r="I1912" s="1">
        <f>IF(Query1[[#This Row],[ItemType]]="EVAP KIT SF GEN IV",Query1[[#This Row],[OrderQty]]+I1911,I1911)</f>
        <v>2230</v>
      </c>
      <c r="J1912" s="1">
        <f>IF(Query1[[#This Row],[ItemType]]="EVAP KIT UNIVERSAL",Query1[[#This Row],[OrderQty]]+J1911,J1911)</f>
        <v>917</v>
      </c>
      <c r="K1912" s="1">
        <f>Query1[[#This Row],[SF Running Total]]+Query1[[#This Row],[UNIV Running Total]]</f>
        <v>3147</v>
      </c>
      <c r="L1912">
        <f>VLOOKUP(Query1[[#This Row],[Description]],'kits to boards'!$B$2:$E$156,2,FALSE)</f>
        <v>830016</v>
      </c>
      <c r="M1912">
        <f>VLOOKUP(Query1[[#This Row],[Description]],'kits to boards'!$B$2:$E$156,3,FALSE)</f>
        <v>0</v>
      </c>
      <c r="N1912">
        <f>VLOOKUP(Query1[[#This Row],[Description]],'kits to boards'!$B$2:$E$156,4,FALSE)</f>
        <v>0</v>
      </c>
      <c r="O1912" t="str">
        <f>CONCATENATE(Query1[[#This Row],[Description]]," - ",Query1[[#This Row],[MB1]]," - ",Query1[[#This Row],[MB2]]," - ",Query1[[#This Row],[MB3]])</f>
        <v>EVAP KIT 67-68 CAMARO/FIREBIRD W/AC - 830016 - 0 - 0</v>
      </c>
    </row>
    <row r="1913" spans="1:15" x14ac:dyDescent="0.25">
      <c r="A1913" s="1">
        <v>914094</v>
      </c>
      <c r="B1913" s="1" t="s">
        <v>40</v>
      </c>
      <c r="C1913" s="1" t="s">
        <v>41</v>
      </c>
      <c r="D1913" s="2">
        <v>44628.461725312503</v>
      </c>
      <c r="E1913" s="1" t="s">
        <v>8</v>
      </c>
      <c r="F1913" s="1">
        <v>1</v>
      </c>
      <c r="G1913" s="1">
        <v>0</v>
      </c>
      <c r="H1913" s="6">
        <f>INT(Query1[[#This Row],[EntryDateTime]])</f>
        <v>44628</v>
      </c>
      <c r="I1913" s="1">
        <f>IF(Query1[[#This Row],[ItemType]]="EVAP KIT SF GEN IV",Query1[[#This Row],[OrderQty]]+I1912,I1912)</f>
        <v>2231</v>
      </c>
      <c r="J1913" s="1">
        <f>IF(Query1[[#This Row],[ItemType]]="EVAP KIT UNIVERSAL",Query1[[#This Row],[OrderQty]]+J1912,J1912)</f>
        <v>917</v>
      </c>
      <c r="K1913" s="1">
        <f>Query1[[#This Row],[SF Running Total]]+Query1[[#This Row],[UNIV Running Total]]</f>
        <v>3148</v>
      </c>
      <c r="L1913">
        <f>VLOOKUP(Query1[[#This Row],[Description]],'kits to boards'!$B$2:$E$156,2,FALSE)</f>
        <v>830024</v>
      </c>
      <c r="M1913">
        <f>VLOOKUP(Query1[[#This Row],[Description]],'kits to boards'!$B$2:$E$156,3,FALSE)</f>
        <v>0</v>
      </c>
      <c r="N1913">
        <f>VLOOKUP(Query1[[#This Row],[Description]],'kits to boards'!$B$2:$E$156,4,FALSE)</f>
        <v>0</v>
      </c>
      <c r="O1913" t="str">
        <f>CONCATENATE(Query1[[#This Row],[Description]]," - ",Query1[[#This Row],[MB1]]," - ",Query1[[#This Row],[MB2]]," - ",Query1[[#This Row],[MB3]])</f>
        <v>EVAP KIT 79-81 CAMARO W/AC - 830024 - 0 - 0</v>
      </c>
    </row>
    <row r="1914" spans="1:15" x14ac:dyDescent="0.25">
      <c r="A1914" s="1">
        <v>914118</v>
      </c>
      <c r="B1914" s="1" t="s">
        <v>42</v>
      </c>
      <c r="C1914" s="1" t="s">
        <v>43</v>
      </c>
      <c r="D1914" s="2">
        <v>44628.484055092595</v>
      </c>
      <c r="E1914" s="1" t="s">
        <v>8</v>
      </c>
      <c r="F1914" s="1">
        <v>1</v>
      </c>
      <c r="G1914" s="1">
        <v>0</v>
      </c>
      <c r="H1914" s="6">
        <f>INT(Query1[[#This Row],[EntryDateTime]])</f>
        <v>44628</v>
      </c>
      <c r="I1914" s="1">
        <f>IF(Query1[[#This Row],[ItemType]]="EVAP KIT SF GEN IV",Query1[[#This Row],[OrderQty]]+I1913,I1913)</f>
        <v>2232</v>
      </c>
      <c r="J1914" s="1">
        <f>IF(Query1[[#This Row],[ItemType]]="EVAP KIT UNIVERSAL",Query1[[#This Row],[OrderQty]]+J1913,J1913)</f>
        <v>917</v>
      </c>
      <c r="K1914" s="1">
        <f>Query1[[#This Row],[SF Running Total]]+Query1[[#This Row],[UNIV Running Total]]</f>
        <v>3149</v>
      </c>
      <c r="L1914">
        <f>VLOOKUP(Query1[[#This Row],[Description]],'kits to boards'!$B$2:$E$156,2,FALSE)</f>
        <v>830014</v>
      </c>
      <c r="M1914">
        <f>VLOOKUP(Query1[[#This Row],[Description]],'kits to boards'!$B$2:$E$156,3,FALSE)</f>
        <v>0</v>
      </c>
      <c r="N1914">
        <f>VLOOKUP(Query1[[#This Row],[Description]],'kits to boards'!$B$2:$E$156,4,FALSE)</f>
        <v>0</v>
      </c>
      <c r="O1914" t="str">
        <f>CONCATENATE(Query1[[#This Row],[Description]]," - ",Query1[[#This Row],[MB1]]," - ",Query1[[#This Row],[MB2]]," - ",Query1[[#This Row],[MB3]])</f>
        <v>EVAP KIT 67-72 CHEV P-UP WO AC - 830014 - 0 - 0</v>
      </c>
    </row>
    <row r="1915" spans="1:15" x14ac:dyDescent="0.25">
      <c r="A1915" s="1">
        <v>914112</v>
      </c>
      <c r="B1915" s="1" t="s">
        <v>34</v>
      </c>
      <c r="C1915" s="1" t="s">
        <v>35</v>
      </c>
      <c r="D1915" s="2">
        <v>44628.503483680557</v>
      </c>
      <c r="E1915" s="1" t="s">
        <v>8</v>
      </c>
      <c r="F1915" s="1">
        <v>1</v>
      </c>
      <c r="G1915" s="1">
        <v>0</v>
      </c>
      <c r="H1915" s="6">
        <f>INT(Query1[[#This Row],[EntryDateTime]])</f>
        <v>44628</v>
      </c>
      <c r="I1915" s="1">
        <f>IF(Query1[[#This Row],[ItemType]]="EVAP KIT SF GEN IV",Query1[[#This Row],[OrderQty]]+I1914,I1914)</f>
        <v>2233</v>
      </c>
      <c r="J1915" s="1">
        <f>IF(Query1[[#This Row],[ItemType]]="EVAP KIT UNIVERSAL",Query1[[#This Row],[OrderQty]]+J1914,J1914)</f>
        <v>917</v>
      </c>
      <c r="K1915" s="1">
        <f>Query1[[#This Row],[SF Running Total]]+Query1[[#This Row],[UNIV Running Total]]</f>
        <v>3150</v>
      </c>
      <c r="L1915">
        <f>VLOOKUP(Query1[[#This Row],[Description]],'kits to boards'!$B$2:$E$156,2,FALSE)</f>
        <v>830065</v>
      </c>
      <c r="M1915">
        <f>VLOOKUP(Query1[[#This Row],[Description]],'kits to boards'!$B$2:$E$156,3,FALSE)</f>
        <v>0</v>
      </c>
      <c r="N1915">
        <f>VLOOKUP(Query1[[#This Row],[Description]],'kits to boards'!$B$2:$E$156,4,FALSE)</f>
        <v>0</v>
      </c>
      <c r="O1915" t="str">
        <f>CONCATENATE(Query1[[#This Row],[Description]]," - ",Query1[[#This Row],[MB1]]," - ",Query1[[#This Row],[MB2]]," - ",Query1[[#This Row],[MB3]])</f>
        <v>EVAP KIT 57 CHEV WO AC - 830065 - 0 - 0</v>
      </c>
    </row>
    <row r="1916" spans="1:15" x14ac:dyDescent="0.25">
      <c r="A1916" s="1">
        <v>914137</v>
      </c>
      <c r="B1916" s="1" t="s">
        <v>60</v>
      </c>
      <c r="C1916" s="1" t="s">
        <v>61</v>
      </c>
      <c r="D1916" s="2">
        <v>44628.527059525462</v>
      </c>
      <c r="E1916" s="1" t="s">
        <v>8</v>
      </c>
      <c r="F1916" s="1">
        <v>1</v>
      </c>
      <c r="G1916" s="1">
        <v>0</v>
      </c>
      <c r="H1916" s="6">
        <f>INT(Query1[[#This Row],[EntryDateTime]])</f>
        <v>44628</v>
      </c>
      <c r="I1916" s="1">
        <f>IF(Query1[[#This Row],[ItemType]]="EVAP KIT SF GEN IV",Query1[[#This Row],[OrderQty]]+I1915,I1915)</f>
        <v>2234</v>
      </c>
      <c r="J1916" s="1">
        <f>IF(Query1[[#This Row],[ItemType]]="EVAP KIT UNIVERSAL",Query1[[#This Row],[OrderQty]]+J1915,J1915)</f>
        <v>917</v>
      </c>
      <c r="K1916" s="1">
        <f>Query1[[#This Row],[SF Running Total]]+Query1[[#This Row],[UNIV Running Total]]</f>
        <v>3151</v>
      </c>
      <c r="L1916">
        <f>VLOOKUP(Query1[[#This Row],[Description]],'kits to boards'!$B$2:$E$156,2,FALSE)</f>
        <v>830062</v>
      </c>
      <c r="M1916">
        <f>VLOOKUP(Query1[[#This Row],[Description]],'kits to boards'!$B$2:$E$156,3,FALSE)</f>
        <v>0</v>
      </c>
      <c r="N1916">
        <f>VLOOKUP(Query1[[#This Row],[Description]],'kits to boards'!$B$2:$E$156,4,FALSE)</f>
        <v>0</v>
      </c>
      <c r="O1916" t="str">
        <f>CONCATENATE(Query1[[#This Row],[Description]]," - ",Query1[[#This Row],[MB1]]," - ",Query1[[#This Row],[MB2]]," - ",Query1[[#This Row],[MB3]])</f>
        <v>EVAP KIT 68-69 CHEVELLE WO AC - 830062 - 0 - 0</v>
      </c>
    </row>
    <row r="1917" spans="1:15" x14ac:dyDescent="0.25">
      <c r="A1917" s="1">
        <v>914143</v>
      </c>
      <c r="B1917" s="1" t="s">
        <v>6</v>
      </c>
      <c r="C1917" s="1" t="s">
        <v>7</v>
      </c>
      <c r="D1917" s="2">
        <v>44628.533594293978</v>
      </c>
      <c r="E1917" s="1" t="s">
        <v>8</v>
      </c>
      <c r="F1917" s="1">
        <v>1</v>
      </c>
      <c r="G1917" s="1">
        <v>0</v>
      </c>
      <c r="H1917" s="6">
        <f>INT(Query1[[#This Row],[EntryDateTime]])</f>
        <v>44628</v>
      </c>
      <c r="I1917" s="1">
        <f>IF(Query1[[#This Row],[ItemType]]="EVAP KIT SF GEN IV",Query1[[#This Row],[OrderQty]]+I1916,I1916)</f>
        <v>2235</v>
      </c>
      <c r="J1917" s="1">
        <f>IF(Query1[[#This Row],[ItemType]]="EVAP KIT UNIVERSAL",Query1[[#This Row],[OrderQty]]+J1916,J1916)</f>
        <v>917</v>
      </c>
      <c r="K1917" s="1">
        <f>Query1[[#This Row],[SF Running Total]]+Query1[[#This Row],[UNIV Running Total]]</f>
        <v>3152</v>
      </c>
      <c r="L1917">
        <f>VLOOKUP(Query1[[#This Row],[Description]],'kits to boards'!$B$2:$E$156,2,FALSE)</f>
        <v>830132</v>
      </c>
      <c r="M1917">
        <f>VLOOKUP(Query1[[#This Row],[Description]],'kits to boards'!$B$2:$E$156,3,FALSE)</f>
        <v>0</v>
      </c>
      <c r="N1917">
        <f>VLOOKUP(Query1[[#This Row],[Description]],'kits to boards'!$B$2:$E$156,4,FALSE)</f>
        <v>0</v>
      </c>
      <c r="O1917" t="str">
        <f>CONCATENATE(Query1[[#This Row],[Description]]," - ",Query1[[#This Row],[MB1]]," - ",Query1[[#This Row],[MB2]]," - ",Query1[[#This Row],[MB3]])</f>
        <v>EVAP KIT 82-88 MONTE CARLO/EL CAMINO - 830132 - 0 - 0</v>
      </c>
    </row>
    <row r="1918" spans="1:15" x14ac:dyDescent="0.25">
      <c r="A1918" s="1">
        <v>912296</v>
      </c>
      <c r="B1918" s="1" t="s">
        <v>94</v>
      </c>
      <c r="C1918" s="1" t="s">
        <v>95</v>
      </c>
      <c r="D1918" s="2">
        <v>44628.537383483796</v>
      </c>
      <c r="E1918" s="1" t="s">
        <v>8</v>
      </c>
      <c r="F1918" s="1">
        <v>1</v>
      </c>
      <c r="G1918" s="1">
        <v>0</v>
      </c>
      <c r="H1918" s="6">
        <f>INT(Query1[[#This Row],[EntryDateTime]])</f>
        <v>44628</v>
      </c>
      <c r="I1918" s="1">
        <f>IF(Query1[[#This Row],[ItemType]]="EVAP KIT SF GEN IV",Query1[[#This Row],[OrderQty]]+I1917,I1917)</f>
        <v>2236</v>
      </c>
      <c r="J1918" s="1">
        <f>IF(Query1[[#This Row],[ItemType]]="EVAP KIT UNIVERSAL",Query1[[#This Row],[OrderQty]]+J1917,J1917)</f>
        <v>917</v>
      </c>
      <c r="K1918" s="1">
        <f>Query1[[#This Row],[SF Running Total]]+Query1[[#This Row],[UNIV Running Total]]</f>
        <v>3153</v>
      </c>
      <c r="L1918">
        <f>VLOOKUP(Query1[[#This Row],[Description]],'kits to boards'!$B$2:$E$156,2,FALSE)</f>
        <v>830076</v>
      </c>
      <c r="M1918">
        <f>VLOOKUP(Query1[[#This Row],[Description]],'kits to boards'!$B$2:$E$156,3,FALSE)</f>
        <v>0</v>
      </c>
      <c r="N1918">
        <f>VLOOKUP(Query1[[#This Row],[Description]],'kits to boards'!$B$2:$E$156,4,FALSE)</f>
        <v>0</v>
      </c>
      <c r="O1918" t="str">
        <f>CONCATENATE(Query1[[#This Row],[Description]]," - ",Query1[[#This Row],[MB1]]," - ",Query1[[#This Row],[MB2]]," - ",Query1[[#This Row],[MB3]])</f>
        <v>EVAP KIT 64 1/2- 66 MUSTANG  - 830076 - 0 - 0</v>
      </c>
    </row>
    <row r="1919" spans="1:15" x14ac:dyDescent="0.25">
      <c r="A1919" s="1">
        <v>914152</v>
      </c>
      <c r="B1919" s="1" t="s">
        <v>152</v>
      </c>
      <c r="C1919" s="1" t="s">
        <v>153</v>
      </c>
      <c r="D1919" s="2">
        <v>44628.54171755787</v>
      </c>
      <c r="E1919" s="1" t="s">
        <v>8</v>
      </c>
      <c r="F1919" s="1">
        <v>1</v>
      </c>
      <c r="G1919" s="1">
        <v>0</v>
      </c>
      <c r="H1919" s="6">
        <f>INT(Query1[[#This Row],[EntryDateTime]])</f>
        <v>44628</v>
      </c>
      <c r="I1919" s="1">
        <f>IF(Query1[[#This Row],[ItemType]]="EVAP KIT SF GEN IV",Query1[[#This Row],[OrderQty]]+I1918,I1918)</f>
        <v>2237</v>
      </c>
      <c r="J1919" s="1">
        <f>IF(Query1[[#This Row],[ItemType]]="EVAP KIT UNIVERSAL",Query1[[#This Row],[OrderQty]]+J1918,J1918)</f>
        <v>917</v>
      </c>
      <c r="K1919" s="1">
        <f>Query1[[#This Row],[SF Running Total]]+Query1[[#This Row],[UNIV Running Total]]</f>
        <v>3154</v>
      </c>
      <c r="L1919">
        <f>VLOOKUP(Query1[[#This Row],[Description]],'kits to boards'!$B$2:$E$156,2,FALSE)</f>
        <v>830034</v>
      </c>
      <c r="M1919">
        <f>VLOOKUP(Query1[[#This Row],[Description]],'kits to boards'!$B$2:$E$156,3,FALSE)</f>
        <v>0</v>
      </c>
      <c r="N1919">
        <f>VLOOKUP(Query1[[#This Row],[Description]],'kits to boards'!$B$2:$E$156,4,FALSE)</f>
        <v>0</v>
      </c>
      <c r="O1919" t="str">
        <f>CONCATENATE(Query1[[#This Row],[Description]]," - ",Query1[[#This Row],[MB1]]," - ",Query1[[#This Row],[MB2]]," - ",Query1[[#This Row],[MB3]])</f>
        <v>EVAP KIT 64-67 GTO WO AC - 830034 - 0 - 0</v>
      </c>
    </row>
    <row r="1920" spans="1:15" x14ac:dyDescent="0.25">
      <c r="A1920" s="1">
        <v>914156</v>
      </c>
      <c r="B1920" s="1" t="s">
        <v>44</v>
      </c>
      <c r="C1920" s="1" t="s">
        <v>45</v>
      </c>
      <c r="D1920" s="2">
        <v>44628.547010416667</v>
      </c>
      <c r="E1920" s="1" t="s">
        <v>8</v>
      </c>
      <c r="F1920" s="1">
        <v>3</v>
      </c>
      <c r="G1920" s="1">
        <v>0</v>
      </c>
      <c r="H1920" s="6">
        <f>INT(Query1[[#This Row],[EntryDateTime]])</f>
        <v>44628</v>
      </c>
      <c r="I1920" s="1">
        <f>IF(Query1[[#This Row],[ItemType]]="EVAP KIT SF GEN IV",Query1[[#This Row],[OrderQty]]+I1919,I1919)</f>
        <v>2240</v>
      </c>
      <c r="J1920" s="1">
        <f>IF(Query1[[#This Row],[ItemType]]="EVAP KIT UNIVERSAL",Query1[[#This Row],[OrderQty]]+J1919,J1919)</f>
        <v>917</v>
      </c>
      <c r="K1920" s="1">
        <f>Query1[[#This Row],[SF Running Total]]+Query1[[#This Row],[UNIV Running Total]]</f>
        <v>3157</v>
      </c>
      <c r="L1920">
        <f>VLOOKUP(Query1[[#This Row],[Description]],'kits to boards'!$B$2:$E$156,2,FALSE)</f>
        <v>830085</v>
      </c>
      <c r="M1920">
        <f>VLOOKUP(Query1[[#This Row],[Description]],'kits to boards'!$B$2:$E$156,3,FALSE)</f>
        <v>0</v>
      </c>
      <c r="N1920">
        <f>VLOOKUP(Query1[[#This Row],[Description]],'kits to boards'!$B$2:$E$156,4,FALSE)</f>
        <v>0</v>
      </c>
      <c r="O1920" t="str">
        <f>CONCATENATE(Query1[[#This Row],[Description]]," - ",Query1[[#This Row],[MB1]]," - ",Query1[[#This Row],[MB2]]," - ",Query1[[#This Row],[MB3]])</f>
        <v>EVAP KIT 66-77 BRONCO - 830085 - 0 - 0</v>
      </c>
    </row>
    <row r="1921" spans="1:15" x14ac:dyDescent="0.25">
      <c r="A1921" s="1">
        <v>914159</v>
      </c>
      <c r="B1921" s="1" t="s">
        <v>240</v>
      </c>
      <c r="C1921" s="1" t="s">
        <v>241</v>
      </c>
      <c r="D1921" s="2">
        <v>44628.550682870373</v>
      </c>
      <c r="E1921" s="1" t="s">
        <v>8</v>
      </c>
      <c r="F1921" s="1">
        <v>1</v>
      </c>
      <c r="G1921" s="1">
        <v>0</v>
      </c>
      <c r="H1921" s="6">
        <f>INT(Query1[[#This Row],[EntryDateTime]])</f>
        <v>44628</v>
      </c>
      <c r="I1921" s="1">
        <f>IF(Query1[[#This Row],[ItemType]]="EVAP KIT SF GEN IV",Query1[[#This Row],[OrderQty]]+I1920,I1920)</f>
        <v>2241</v>
      </c>
      <c r="J1921" s="1">
        <f>IF(Query1[[#This Row],[ItemType]]="EVAP KIT UNIVERSAL",Query1[[#This Row],[OrderQty]]+J1920,J1920)</f>
        <v>917</v>
      </c>
      <c r="K1921" s="1">
        <f>Query1[[#This Row],[SF Running Total]]+Query1[[#This Row],[UNIV Running Total]]</f>
        <v>3158</v>
      </c>
      <c r="L1921">
        <f>VLOOKUP(Query1[[#This Row],[Description]],'kits to boards'!$B$2:$E$156,2,FALSE)</f>
        <v>830032</v>
      </c>
      <c r="M1921">
        <f>VLOOKUP(Query1[[#This Row],[Description]],'kits to boards'!$B$2:$E$156,3,FALSE)</f>
        <v>0</v>
      </c>
      <c r="N1921">
        <f>VLOOKUP(Query1[[#This Row],[Description]],'kits to boards'!$B$2:$E$156,4,FALSE)</f>
        <v>0</v>
      </c>
      <c r="O1921" t="str">
        <f>CONCATENATE(Query1[[#This Row],[Description]]," - ",Query1[[#This Row],[MB1]]," - ",Query1[[#This Row],[MB2]]," - ",Query1[[#This Row],[MB3]])</f>
        <v>EVAP KIT 58-60 VETTE - 830032 - 0 - 0</v>
      </c>
    </row>
    <row r="1922" spans="1:15" x14ac:dyDescent="0.25">
      <c r="A1922" s="1">
        <v>914168</v>
      </c>
      <c r="B1922" s="1" t="s">
        <v>114</v>
      </c>
      <c r="C1922" s="1" t="s">
        <v>115</v>
      </c>
      <c r="D1922" s="2">
        <v>44628.573360104165</v>
      </c>
      <c r="E1922" s="1" t="s">
        <v>8</v>
      </c>
      <c r="F1922" s="1">
        <v>1</v>
      </c>
      <c r="G1922" s="1">
        <v>0</v>
      </c>
      <c r="H1922" s="6">
        <f>INT(Query1[[#This Row],[EntryDateTime]])</f>
        <v>44628</v>
      </c>
      <c r="I1922" s="1">
        <f>IF(Query1[[#This Row],[ItemType]]="EVAP KIT SF GEN IV",Query1[[#This Row],[OrderQty]]+I1921,I1921)</f>
        <v>2242</v>
      </c>
      <c r="J1922" s="1">
        <f>IF(Query1[[#This Row],[ItemType]]="EVAP KIT UNIVERSAL",Query1[[#This Row],[OrderQty]]+J1921,J1921)</f>
        <v>917</v>
      </c>
      <c r="K1922" s="1">
        <f>Query1[[#This Row],[SF Running Total]]+Query1[[#This Row],[UNIV Running Total]]</f>
        <v>3159</v>
      </c>
      <c r="L1922">
        <f>VLOOKUP(Query1[[#This Row],[Description]],'kits to boards'!$B$2:$E$156,2,FALSE)</f>
        <v>830059</v>
      </c>
      <c r="M1922">
        <f>VLOOKUP(Query1[[#This Row],[Description]],'kits to boards'!$B$2:$E$156,3,FALSE)</f>
        <v>0</v>
      </c>
      <c r="N1922">
        <f>VLOOKUP(Query1[[#This Row],[Description]],'kits to boards'!$B$2:$E$156,4,FALSE)</f>
        <v>0</v>
      </c>
      <c r="O1922" t="str">
        <f>CONCATENATE(Query1[[#This Row],[Description]]," - ",Query1[[#This Row],[MB1]]," - ",Query1[[#This Row],[MB2]]," - ",Query1[[#This Row],[MB3]])</f>
        <v>EVAP KIT 66-67 CHEVELLE W/AC - 830059 - 0 - 0</v>
      </c>
    </row>
    <row r="1923" spans="1:15" x14ac:dyDescent="0.25">
      <c r="A1923" s="1">
        <v>914170</v>
      </c>
      <c r="B1923" s="1" t="s">
        <v>44</v>
      </c>
      <c r="C1923" s="1" t="s">
        <v>45</v>
      </c>
      <c r="D1923" s="2">
        <v>44628.575157407409</v>
      </c>
      <c r="E1923" s="1" t="s">
        <v>8</v>
      </c>
      <c r="F1923" s="1">
        <v>1</v>
      </c>
      <c r="G1923" s="1">
        <v>0</v>
      </c>
      <c r="H1923" s="6">
        <f>INT(Query1[[#This Row],[EntryDateTime]])</f>
        <v>44628</v>
      </c>
      <c r="I1923" s="1">
        <f>IF(Query1[[#This Row],[ItemType]]="EVAP KIT SF GEN IV",Query1[[#This Row],[OrderQty]]+I1922,I1922)</f>
        <v>2243</v>
      </c>
      <c r="J1923" s="1">
        <f>IF(Query1[[#This Row],[ItemType]]="EVAP KIT UNIVERSAL",Query1[[#This Row],[OrderQty]]+J1922,J1922)</f>
        <v>917</v>
      </c>
      <c r="K1923" s="1">
        <f>Query1[[#This Row],[SF Running Total]]+Query1[[#This Row],[UNIV Running Total]]</f>
        <v>3160</v>
      </c>
      <c r="L1923">
        <f>VLOOKUP(Query1[[#This Row],[Description]],'kits to boards'!$B$2:$E$156,2,FALSE)</f>
        <v>830085</v>
      </c>
      <c r="M1923">
        <f>VLOOKUP(Query1[[#This Row],[Description]],'kits to boards'!$B$2:$E$156,3,FALSE)</f>
        <v>0</v>
      </c>
      <c r="N1923">
        <f>VLOOKUP(Query1[[#This Row],[Description]],'kits to boards'!$B$2:$E$156,4,FALSE)</f>
        <v>0</v>
      </c>
      <c r="O1923" t="str">
        <f>CONCATENATE(Query1[[#This Row],[Description]]," - ",Query1[[#This Row],[MB1]]," - ",Query1[[#This Row],[MB2]]," - ",Query1[[#This Row],[MB3]])</f>
        <v>EVAP KIT 66-77 BRONCO - 830085 - 0 - 0</v>
      </c>
    </row>
    <row r="1924" spans="1:15" x14ac:dyDescent="0.25">
      <c r="A1924" s="1">
        <v>914171</v>
      </c>
      <c r="B1924" s="1" t="s">
        <v>98</v>
      </c>
      <c r="C1924" s="1" t="s">
        <v>99</v>
      </c>
      <c r="D1924" s="2">
        <v>44628.577116932873</v>
      </c>
      <c r="E1924" s="1" t="s">
        <v>11</v>
      </c>
      <c r="F1924" s="1">
        <v>1</v>
      </c>
      <c r="G1924" s="1">
        <v>0</v>
      </c>
      <c r="H1924" s="6">
        <f>INT(Query1[[#This Row],[EntryDateTime]])</f>
        <v>44628</v>
      </c>
      <c r="I1924" s="1">
        <f>IF(Query1[[#This Row],[ItemType]]="EVAP KIT SF GEN IV",Query1[[#This Row],[OrderQty]]+I1923,I1923)</f>
        <v>2243</v>
      </c>
      <c r="J1924" s="1">
        <f>IF(Query1[[#This Row],[ItemType]]="EVAP KIT UNIVERSAL",Query1[[#This Row],[OrderQty]]+J1923,J1923)</f>
        <v>918</v>
      </c>
      <c r="K1924" s="1">
        <f>Query1[[#This Row],[SF Running Total]]+Query1[[#This Row],[UNIV Running Total]]</f>
        <v>3161</v>
      </c>
      <c r="L1924">
        <f>VLOOKUP(Query1[[#This Row],[Description]],'kits to boards'!$B$2:$E$156,2,FALSE)</f>
        <v>830099</v>
      </c>
      <c r="M1924">
        <f>VLOOKUP(Query1[[#This Row],[Description]],'kits to boards'!$B$2:$E$156,3,FALSE)</f>
        <v>0</v>
      </c>
      <c r="N1924">
        <f>VLOOKUP(Query1[[#This Row],[Description]],'kits to boards'!$B$2:$E$156,4,FALSE)</f>
        <v>0</v>
      </c>
      <c r="O1924" t="str">
        <f>CONCATENATE(Query1[[#This Row],[Description]]," - ",Query1[[#This Row],[MB1]]," - ",Query1[[#This Row],[MB2]]," - ",Query1[[#This Row],[MB3]])</f>
        <v>MINI GEN II W/DEF - 830099 - 0 - 0</v>
      </c>
    </row>
    <row r="1925" spans="1:15" x14ac:dyDescent="0.25">
      <c r="A1925" s="1">
        <v>913860</v>
      </c>
      <c r="B1925" s="1" t="s">
        <v>14</v>
      </c>
      <c r="C1925" s="1" t="s">
        <v>15</v>
      </c>
      <c r="D1925" s="2">
        <v>44628.577198032406</v>
      </c>
      <c r="E1925" s="1" t="s">
        <v>8</v>
      </c>
      <c r="F1925" s="1">
        <v>1</v>
      </c>
      <c r="G1925" s="1">
        <v>0</v>
      </c>
      <c r="H1925" s="6">
        <f>INT(Query1[[#This Row],[EntryDateTime]])</f>
        <v>44628</v>
      </c>
      <c r="I1925" s="1">
        <f>IF(Query1[[#This Row],[ItemType]]="EVAP KIT SF GEN IV",Query1[[#This Row],[OrderQty]]+I1924,I1924)</f>
        <v>2244</v>
      </c>
      <c r="J1925" s="1">
        <f>IF(Query1[[#This Row],[ItemType]]="EVAP KIT UNIVERSAL",Query1[[#This Row],[OrderQty]]+J1924,J1924)</f>
        <v>918</v>
      </c>
      <c r="K1925" s="1">
        <f>Query1[[#This Row],[SF Running Total]]+Query1[[#This Row],[UNIV Running Total]]</f>
        <v>3162</v>
      </c>
      <c r="L1925">
        <f>VLOOKUP(Query1[[#This Row],[Description]],'kits to boards'!$B$2:$E$156,2,FALSE)</f>
        <v>830054</v>
      </c>
      <c r="M1925">
        <f>VLOOKUP(Query1[[#This Row],[Description]],'kits to boards'!$B$2:$E$156,3,FALSE)</f>
        <v>0</v>
      </c>
      <c r="N1925">
        <f>VLOOKUP(Query1[[#This Row],[Description]],'kits to boards'!$B$2:$E$156,4,FALSE)</f>
        <v>0</v>
      </c>
      <c r="O1925" t="str">
        <f>CONCATENATE(Query1[[#This Row],[Description]]," - ",Query1[[#This Row],[MB1]]," - ",Query1[[#This Row],[MB2]]," - ",Query1[[#This Row],[MB3]])</f>
        <v>EVAP KIT 55-56 CHEVY - 830054 - 0 - 0</v>
      </c>
    </row>
    <row r="1926" spans="1:15" x14ac:dyDescent="0.25">
      <c r="A1926" s="1">
        <v>914178</v>
      </c>
      <c r="B1926" s="1" t="s">
        <v>210</v>
      </c>
      <c r="C1926" s="1" t="s">
        <v>211</v>
      </c>
      <c r="D1926" s="2">
        <v>44628.58770181713</v>
      </c>
      <c r="E1926" s="1" t="s">
        <v>8</v>
      </c>
      <c r="F1926" s="1">
        <v>1</v>
      </c>
      <c r="G1926" s="1">
        <v>0</v>
      </c>
      <c r="H1926" s="6">
        <f>INT(Query1[[#This Row],[EntryDateTime]])</f>
        <v>44628</v>
      </c>
      <c r="I1926" s="1">
        <f>IF(Query1[[#This Row],[ItemType]]="EVAP KIT SF GEN IV",Query1[[#This Row],[OrderQty]]+I1925,I1925)</f>
        <v>2245</v>
      </c>
      <c r="J1926" s="1">
        <f>IF(Query1[[#This Row],[ItemType]]="EVAP KIT UNIVERSAL",Query1[[#This Row],[OrderQty]]+J1925,J1925)</f>
        <v>918</v>
      </c>
      <c r="K1926" s="1">
        <f>Query1[[#This Row],[SF Running Total]]+Query1[[#This Row],[UNIV Running Total]]</f>
        <v>3163</v>
      </c>
      <c r="L1926">
        <f>VLOOKUP(Query1[[#This Row],[Description]],'kits to boards'!$B$2:$E$156,2,FALSE)</f>
        <v>830094</v>
      </c>
      <c r="M1926">
        <f>VLOOKUP(Query1[[#This Row],[Description]],'kits to boards'!$B$2:$E$156,3,FALSE)</f>
        <v>0</v>
      </c>
      <c r="N1926">
        <f>VLOOKUP(Query1[[#This Row],[Description]],'kits to boards'!$B$2:$E$156,4,FALSE)</f>
        <v>0</v>
      </c>
      <c r="O1926" t="str">
        <f>CONCATENATE(Query1[[#This Row],[Description]]," - ",Query1[[#This Row],[MB1]]," - ",Query1[[#This Row],[MB2]]," - ",Query1[[#This Row],[MB3]])</f>
        <v>EVAP KIT 74-76 VETTE W/AC - 830094 - 0 - 0</v>
      </c>
    </row>
    <row r="1927" spans="1:15" x14ac:dyDescent="0.25">
      <c r="A1927" s="1">
        <v>914181</v>
      </c>
      <c r="B1927" s="1" t="s">
        <v>120</v>
      </c>
      <c r="C1927" s="1" t="s">
        <v>121</v>
      </c>
      <c r="D1927" s="2">
        <v>44628.592349803243</v>
      </c>
      <c r="E1927" s="1" t="s">
        <v>8</v>
      </c>
      <c r="F1927" s="1">
        <v>1</v>
      </c>
      <c r="G1927" s="1">
        <v>0</v>
      </c>
      <c r="H1927" s="6">
        <f>INT(Query1[[#This Row],[EntryDateTime]])</f>
        <v>44628</v>
      </c>
      <c r="I1927" s="1">
        <f>IF(Query1[[#This Row],[ItemType]]="EVAP KIT SF GEN IV",Query1[[#This Row],[OrderQty]]+I1926,I1926)</f>
        <v>2246</v>
      </c>
      <c r="J1927" s="1">
        <f>IF(Query1[[#This Row],[ItemType]]="EVAP KIT UNIVERSAL",Query1[[#This Row],[OrderQty]]+J1926,J1926)</f>
        <v>918</v>
      </c>
      <c r="K1927" s="1">
        <f>Query1[[#This Row],[SF Running Total]]+Query1[[#This Row],[UNIV Running Total]]</f>
        <v>3164</v>
      </c>
      <c r="L1927">
        <f>VLOOKUP(Query1[[#This Row],[Description]],'kits to boards'!$B$2:$E$156,2,FALSE)</f>
        <v>830014</v>
      </c>
      <c r="M1927">
        <f>VLOOKUP(Query1[[#This Row],[Description]],'kits to boards'!$B$2:$E$156,3,FALSE)</f>
        <v>0</v>
      </c>
      <c r="N1927">
        <f>VLOOKUP(Query1[[#This Row],[Description]],'kits to boards'!$B$2:$E$156,4,FALSE)</f>
        <v>0</v>
      </c>
      <c r="O1927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1928" spans="1:15" x14ac:dyDescent="0.25">
      <c r="A1928" s="1">
        <v>914183</v>
      </c>
      <c r="B1928" s="1" t="s">
        <v>52</v>
      </c>
      <c r="C1928" s="1" t="s">
        <v>53</v>
      </c>
      <c r="D1928" s="2">
        <v>44628.59510859954</v>
      </c>
      <c r="E1928" s="1" t="s">
        <v>8</v>
      </c>
      <c r="F1928" s="1">
        <v>1</v>
      </c>
      <c r="G1928" s="1">
        <v>0</v>
      </c>
      <c r="H1928" s="6">
        <f>INT(Query1[[#This Row],[EntryDateTime]])</f>
        <v>44628</v>
      </c>
      <c r="I1928" s="1">
        <f>IF(Query1[[#This Row],[ItemType]]="EVAP KIT SF GEN IV",Query1[[#This Row],[OrderQty]]+I1927,I1927)</f>
        <v>2247</v>
      </c>
      <c r="J1928" s="1">
        <f>IF(Query1[[#This Row],[ItemType]]="EVAP KIT UNIVERSAL",Query1[[#This Row],[OrderQty]]+J1927,J1927)</f>
        <v>918</v>
      </c>
      <c r="K1928" s="1">
        <f>Query1[[#This Row],[SF Running Total]]+Query1[[#This Row],[UNIV Running Total]]</f>
        <v>3165</v>
      </c>
      <c r="L1928">
        <f>VLOOKUP(Query1[[#This Row],[Description]],'kits to boards'!$B$2:$E$156,2,FALSE)</f>
        <v>830017</v>
      </c>
      <c r="M1928">
        <f>VLOOKUP(Query1[[#This Row],[Description]],'kits to boards'!$B$2:$E$156,3,FALSE)</f>
        <v>830119</v>
      </c>
      <c r="N1928">
        <f>VLOOKUP(Query1[[#This Row],[Description]],'kits to boards'!$B$2:$E$156,4,FALSE)</f>
        <v>830120</v>
      </c>
      <c r="O1928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1929" spans="1:15" x14ac:dyDescent="0.25">
      <c r="A1929" s="1">
        <v>914184</v>
      </c>
      <c r="B1929" s="1" t="s">
        <v>184</v>
      </c>
      <c r="C1929" s="1" t="s">
        <v>185</v>
      </c>
      <c r="D1929" s="2">
        <v>44628.595586655094</v>
      </c>
      <c r="E1929" s="1" t="s">
        <v>8</v>
      </c>
      <c r="F1929" s="1">
        <v>1</v>
      </c>
      <c r="G1929" s="1">
        <v>0</v>
      </c>
      <c r="H1929" s="6">
        <f>INT(Query1[[#This Row],[EntryDateTime]])</f>
        <v>44628</v>
      </c>
      <c r="I1929" s="1">
        <f>IF(Query1[[#This Row],[ItemType]]="EVAP KIT SF GEN IV",Query1[[#This Row],[OrderQty]]+I1928,I1928)</f>
        <v>2248</v>
      </c>
      <c r="J1929" s="1">
        <f>IF(Query1[[#This Row],[ItemType]]="EVAP KIT UNIVERSAL",Query1[[#This Row],[OrderQty]]+J1928,J1928)</f>
        <v>918</v>
      </c>
      <c r="K1929" s="1">
        <f>Query1[[#This Row],[SF Running Total]]+Query1[[#This Row],[UNIV Running Total]]</f>
        <v>3166</v>
      </c>
      <c r="L1929">
        <f>VLOOKUP(Query1[[#This Row],[Description]],'kits to boards'!$B$2:$E$156,2,FALSE)</f>
        <v>830042</v>
      </c>
      <c r="M1929">
        <f>VLOOKUP(Query1[[#This Row],[Description]],'kits to boards'!$B$2:$E$156,3,FALSE)</f>
        <v>0</v>
      </c>
      <c r="N1929">
        <f>VLOOKUP(Query1[[#This Row],[Description]],'kits to boards'!$B$2:$E$156,4,FALSE)</f>
        <v>0</v>
      </c>
      <c r="O1929" t="str">
        <f>CONCATENATE(Query1[[#This Row],[Description]]," - ",Query1[[#This Row],[MB1]]," - ",Query1[[#This Row],[MB2]]," - ",Query1[[#This Row],[MB3]])</f>
        <v>EVAP KIT 68-83 TOYOTA FJ40 - 830042 - 0 - 0</v>
      </c>
    </row>
    <row r="1930" spans="1:15" x14ac:dyDescent="0.25">
      <c r="A1930" s="1">
        <v>914186</v>
      </c>
      <c r="B1930" s="1" t="s">
        <v>26</v>
      </c>
      <c r="C1930" s="1" t="s">
        <v>27</v>
      </c>
      <c r="D1930" s="2">
        <v>44628.596646724538</v>
      </c>
      <c r="E1930" s="1" t="s">
        <v>8</v>
      </c>
      <c r="F1930" s="1">
        <v>1</v>
      </c>
      <c r="G1930" s="1">
        <v>0</v>
      </c>
      <c r="H1930" s="6">
        <f>INT(Query1[[#This Row],[EntryDateTime]])</f>
        <v>44628</v>
      </c>
      <c r="I1930" s="1">
        <f>IF(Query1[[#This Row],[ItemType]]="EVAP KIT SF GEN IV",Query1[[#This Row],[OrderQty]]+I1929,I1929)</f>
        <v>2249</v>
      </c>
      <c r="J1930" s="1">
        <f>IF(Query1[[#This Row],[ItemType]]="EVAP KIT UNIVERSAL",Query1[[#This Row],[OrderQty]]+J1929,J1929)</f>
        <v>918</v>
      </c>
      <c r="K1930" s="1">
        <f>Query1[[#This Row],[SF Running Total]]+Query1[[#This Row],[UNIV Running Total]]</f>
        <v>3167</v>
      </c>
      <c r="L1930">
        <f>VLOOKUP(Query1[[#This Row],[Description]],'kits to boards'!$B$2:$E$156,2,FALSE)</f>
        <v>830013</v>
      </c>
      <c r="M1930">
        <f>VLOOKUP(Query1[[#This Row],[Description]],'kits to boards'!$B$2:$E$156,3,FALSE)</f>
        <v>0</v>
      </c>
      <c r="N1930">
        <f>VLOOKUP(Query1[[#This Row],[Description]],'kits to boards'!$B$2:$E$156,4,FALSE)</f>
        <v>0</v>
      </c>
      <c r="O1930" t="str">
        <f>CONCATENATE(Query1[[#This Row],[Description]]," - ",Query1[[#This Row],[MB1]]," - ",Query1[[#This Row],[MB2]]," - ",Query1[[#This Row],[MB3]])</f>
        <v>EVAP KIT 67-72 CHEV P-UP W/AC - 830013 - 0 - 0</v>
      </c>
    </row>
    <row r="1931" spans="1:15" x14ac:dyDescent="0.25">
      <c r="A1931" s="1">
        <v>914188</v>
      </c>
      <c r="B1931" s="1" t="s">
        <v>94</v>
      </c>
      <c r="C1931" s="1" t="s">
        <v>95</v>
      </c>
      <c r="D1931" s="2">
        <v>44628.601138460646</v>
      </c>
      <c r="E1931" s="1" t="s">
        <v>8</v>
      </c>
      <c r="F1931" s="1">
        <v>1</v>
      </c>
      <c r="G1931" s="1">
        <v>0</v>
      </c>
      <c r="H1931" s="6">
        <f>INT(Query1[[#This Row],[EntryDateTime]])</f>
        <v>44628</v>
      </c>
      <c r="I1931" s="1">
        <f>IF(Query1[[#This Row],[ItemType]]="EVAP KIT SF GEN IV",Query1[[#This Row],[OrderQty]]+I1930,I1930)</f>
        <v>2250</v>
      </c>
      <c r="J1931" s="1">
        <f>IF(Query1[[#This Row],[ItemType]]="EVAP KIT UNIVERSAL",Query1[[#This Row],[OrderQty]]+J1930,J1930)</f>
        <v>918</v>
      </c>
      <c r="K1931" s="1">
        <f>Query1[[#This Row],[SF Running Total]]+Query1[[#This Row],[UNIV Running Total]]</f>
        <v>3168</v>
      </c>
      <c r="L1931">
        <f>VLOOKUP(Query1[[#This Row],[Description]],'kits to boards'!$B$2:$E$156,2,FALSE)</f>
        <v>830076</v>
      </c>
      <c r="M1931">
        <f>VLOOKUP(Query1[[#This Row],[Description]],'kits to boards'!$B$2:$E$156,3,FALSE)</f>
        <v>0</v>
      </c>
      <c r="N1931">
        <f>VLOOKUP(Query1[[#This Row],[Description]],'kits to boards'!$B$2:$E$156,4,FALSE)</f>
        <v>0</v>
      </c>
      <c r="O1931" t="str">
        <f>CONCATENATE(Query1[[#This Row],[Description]]," - ",Query1[[#This Row],[MB1]]," - ",Query1[[#This Row],[MB2]]," - ",Query1[[#This Row],[MB3]])</f>
        <v>EVAP KIT 64 1/2- 66 MUSTANG  - 830076 - 0 - 0</v>
      </c>
    </row>
    <row r="1932" spans="1:15" x14ac:dyDescent="0.25">
      <c r="A1932" s="1">
        <v>914188</v>
      </c>
      <c r="B1932" s="1" t="s">
        <v>60</v>
      </c>
      <c r="C1932" s="1" t="s">
        <v>61</v>
      </c>
      <c r="D1932" s="2">
        <v>44628.601142708336</v>
      </c>
      <c r="E1932" s="1" t="s">
        <v>8</v>
      </c>
      <c r="F1932" s="1">
        <v>4</v>
      </c>
      <c r="G1932" s="1">
        <v>0</v>
      </c>
      <c r="H1932" s="6">
        <f>INT(Query1[[#This Row],[EntryDateTime]])</f>
        <v>44628</v>
      </c>
      <c r="I1932" s="1">
        <f>IF(Query1[[#This Row],[ItemType]]="EVAP KIT SF GEN IV",Query1[[#This Row],[OrderQty]]+I1931,I1931)</f>
        <v>2254</v>
      </c>
      <c r="J1932" s="1">
        <f>IF(Query1[[#This Row],[ItemType]]="EVAP KIT UNIVERSAL",Query1[[#This Row],[OrderQty]]+J1931,J1931)</f>
        <v>918</v>
      </c>
      <c r="K1932" s="1">
        <f>Query1[[#This Row],[SF Running Total]]+Query1[[#This Row],[UNIV Running Total]]</f>
        <v>3172</v>
      </c>
      <c r="L1932">
        <f>VLOOKUP(Query1[[#This Row],[Description]],'kits to boards'!$B$2:$E$156,2,FALSE)</f>
        <v>830062</v>
      </c>
      <c r="M1932">
        <f>VLOOKUP(Query1[[#This Row],[Description]],'kits to boards'!$B$2:$E$156,3,FALSE)</f>
        <v>0</v>
      </c>
      <c r="N1932">
        <f>VLOOKUP(Query1[[#This Row],[Description]],'kits to boards'!$B$2:$E$156,4,FALSE)</f>
        <v>0</v>
      </c>
      <c r="O1932" t="str">
        <f>CONCATENATE(Query1[[#This Row],[Description]]," - ",Query1[[#This Row],[MB1]]," - ",Query1[[#This Row],[MB2]]," - ",Query1[[#This Row],[MB3]])</f>
        <v>EVAP KIT 68-69 CHEVELLE WO AC - 830062 - 0 - 0</v>
      </c>
    </row>
    <row r="1933" spans="1:15" x14ac:dyDescent="0.25">
      <c r="A1933" s="1">
        <v>914188</v>
      </c>
      <c r="B1933" s="1" t="s">
        <v>30</v>
      </c>
      <c r="C1933" s="1" t="s">
        <v>31</v>
      </c>
      <c r="D1933" s="2">
        <v>44628.601146562498</v>
      </c>
      <c r="E1933" s="1" t="s">
        <v>8</v>
      </c>
      <c r="F1933" s="1">
        <v>2</v>
      </c>
      <c r="G1933" s="1">
        <v>0</v>
      </c>
      <c r="H1933" s="6">
        <f>INT(Query1[[#This Row],[EntryDateTime]])</f>
        <v>44628</v>
      </c>
      <c r="I1933" s="1">
        <f>IF(Query1[[#This Row],[ItemType]]="EVAP KIT SF GEN IV",Query1[[#This Row],[OrderQty]]+I1932,I1932)</f>
        <v>2256</v>
      </c>
      <c r="J1933" s="1">
        <f>IF(Query1[[#This Row],[ItemType]]="EVAP KIT UNIVERSAL",Query1[[#This Row],[OrderQty]]+J1932,J1932)</f>
        <v>918</v>
      </c>
      <c r="K1933" s="1">
        <f>Query1[[#This Row],[SF Running Total]]+Query1[[#This Row],[UNIV Running Total]]</f>
        <v>3174</v>
      </c>
      <c r="L1933">
        <f>VLOOKUP(Query1[[#This Row],[Description]],'kits to boards'!$B$2:$E$156,2,FALSE)</f>
        <v>830054</v>
      </c>
      <c r="M1933">
        <f>VLOOKUP(Query1[[#This Row],[Description]],'kits to boards'!$B$2:$E$156,3,FALSE)</f>
        <v>0</v>
      </c>
      <c r="N1933">
        <f>VLOOKUP(Query1[[#This Row],[Description]],'kits to boards'!$B$2:$E$156,4,FALSE)</f>
        <v>0</v>
      </c>
      <c r="O1933" t="str">
        <f>CONCATENATE(Query1[[#This Row],[Description]]," - ",Query1[[#This Row],[MB1]]," - ",Query1[[#This Row],[MB2]]," - ",Query1[[#This Row],[MB3]])</f>
        <v>EVAP KIT 55-56 CHEVY 4-VENT - 830054 - 0 - 0</v>
      </c>
    </row>
    <row r="1934" spans="1:15" x14ac:dyDescent="0.25">
      <c r="A1934" s="1">
        <v>914188</v>
      </c>
      <c r="B1934" s="1" t="s">
        <v>98</v>
      </c>
      <c r="C1934" s="1" t="s">
        <v>99</v>
      </c>
      <c r="D1934" s="2">
        <v>44628.601161805556</v>
      </c>
      <c r="E1934" s="1" t="s">
        <v>11</v>
      </c>
      <c r="F1934" s="1">
        <v>1</v>
      </c>
      <c r="G1934" s="1">
        <v>0</v>
      </c>
      <c r="H1934" s="6">
        <f>INT(Query1[[#This Row],[EntryDateTime]])</f>
        <v>44628</v>
      </c>
      <c r="I1934" s="1">
        <f>IF(Query1[[#This Row],[ItemType]]="EVAP KIT SF GEN IV",Query1[[#This Row],[OrderQty]]+I1933,I1933)</f>
        <v>2256</v>
      </c>
      <c r="J1934" s="1">
        <f>IF(Query1[[#This Row],[ItemType]]="EVAP KIT UNIVERSAL",Query1[[#This Row],[OrderQty]]+J1933,J1933)</f>
        <v>919</v>
      </c>
      <c r="K1934" s="1">
        <f>Query1[[#This Row],[SF Running Total]]+Query1[[#This Row],[UNIV Running Total]]</f>
        <v>3175</v>
      </c>
      <c r="L1934">
        <f>VLOOKUP(Query1[[#This Row],[Description]],'kits to boards'!$B$2:$E$156,2,FALSE)</f>
        <v>830099</v>
      </c>
      <c r="M1934">
        <f>VLOOKUP(Query1[[#This Row],[Description]],'kits to boards'!$B$2:$E$156,3,FALSE)</f>
        <v>0</v>
      </c>
      <c r="N1934">
        <f>VLOOKUP(Query1[[#This Row],[Description]],'kits to boards'!$B$2:$E$156,4,FALSE)</f>
        <v>0</v>
      </c>
      <c r="O1934" t="str">
        <f>CONCATENATE(Query1[[#This Row],[Description]]," - ",Query1[[#This Row],[MB1]]," - ",Query1[[#This Row],[MB2]]," - ",Query1[[#This Row],[MB3]])</f>
        <v>MINI GEN II W/DEF - 830099 - 0 - 0</v>
      </c>
    </row>
    <row r="1935" spans="1:15" x14ac:dyDescent="0.25">
      <c r="A1935" s="1">
        <v>914188</v>
      </c>
      <c r="B1935" s="1" t="s">
        <v>78</v>
      </c>
      <c r="C1935" s="1" t="s">
        <v>79</v>
      </c>
      <c r="D1935" s="2">
        <v>44628.601169212961</v>
      </c>
      <c r="E1935" s="1" t="s">
        <v>11</v>
      </c>
      <c r="F1935" s="1">
        <v>5</v>
      </c>
      <c r="G1935" s="1">
        <v>0</v>
      </c>
      <c r="H1935" s="6">
        <f>INT(Query1[[#This Row],[EntryDateTime]])</f>
        <v>44628</v>
      </c>
      <c r="I1935" s="1">
        <f>IF(Query1[[#This Row],[ItemType]]="EVAP KIT SF GEN IV",Query1[[#This Row],[OrderQty]]+I1934,I1934)</f>
        <v>2256</v>
      </c>
      <c r="J1935" s="1">
        <f>IF(Query1[[#This Row],[ItemType]]="EVAP KIT UNIVERSAL",Query1[[#This Row],[OrderQty]]+J1934,J1934)</f>
        <v>924</v>
      </c>
      <c r="K1935" s="1">
        <f>Query1[[#This Row],[SF Running Total]]+Query1[[#This Row],[UNIV Running Total]]</f>
        <v>3180</v>
      </c>
      <c r="L1935">
        <f>VLOOKUP(Query1[[#This Row],[Description]],'kits to boards'!$B$2:$E$156,2,FALSE)</f>
        <v>0</v>
      </c>
      <c r="M1935">
        <f>VLOOKUP(Query1[[#This Row],[Description]],'kits to boards'!$B$2:$E$156,3,FALSE)</f>
        <v>0</v>
      </c>
      <c r="N1935">
        <f>VLOOKUP(Query1[[#This Row],[Description]],'kits to boards'!$B$2:$E$156,4,FALSE)</f>
        <v>0</v>
      </c>
      <c r="O1935" t="str">
        <f>CONCATENATE(Query1[[#This Row],[Description]]," - ",Query1[[#This Row],[MB1]]," - ",Query1[[#This Row],[MB2]]," - ",Query1[[#This Row],[MB3]])</f>
        <v>MARK IV STYLELINE UNDERDASH EVAP - 0 - 0 - 0</v>
      </c>
    </row>
    <row r="1936" spans="1:15" x14ac:dyDescent="0.25">
      <c r="A1936" s="1">
        <v>914188</v>
      </c>
      <c r="B1936" s="1" t="s">
        <v>42</v>
      </c>
      <c r="C1936" s="1" t="s">
        <v>43</v>
      </c>
      <c r="D1936" s="2">
        <v>44628.601184143517</v>
      </c>
      <c r="E1936" s="1" t="s">
        <v>8</v>
      </c>
      <c r="F1936" s="1">
        <v>4</v>
      </c>
      <c r="G1936" s="1">
        <v>0</v>
      </c>
      <c r="H1936" s="6">
        <f>INT(Query1[[#This Row],[EntryDateTime]])</f>
        <v>44628</v>
      </c>
      <c r="I1936" s="1">
        <f>IF(Query1[[#This Row],[ItemType]]="EVAP KIT SF GEN IV",Query1[[#This Row],[OrderQty]]+I1935,I1935)</f>
        <v>2260</v>
      </c>
      <c r="J1936" s="1">
        <f>IF(Query1[[#This Row],[ItemType]]="EVAP KIT UNIVERSAL",Query1[[#This Row],[OrderQty]]+J1935,J1935)</f>
        <v>924</v>
      </c>
      <c r="K1936" s="1">
        <f>Query1[[#This Row],[SF Running Total]]+Query1[[#This Row],[UNIV Running Total]]</f>
        <v>3184</v>
      </c>
      <c r="L1936">
        <f>VLOOKUP(Query1[[#This Row],[Description]],'kits to boards'!$B$2:$E$156,2,FALSE)</f>
        <v>830014</v>
      </c>
      <c r="M1936">
        <f>VLOOKUP(Query1[[#This Row],[Description]],'kits to boards'!$B$2:$E$156,3,FALSE)</f>
        <v>0</v>
      </c>
      <c r="N1936">
        <f>VLOOKUP(Query1[[#This Row],[Description]],'kits to boards'!$B$2:$E$156,4,FALSE)</f>
        <v>0</v>
      </c>
      <c r="O1936" t="str">
        <f>CONCATENATE(Query1[[#This Row],[Description]]," - ",Query1[[#This Row],[MB1]]," - ",Query1[[#This Row],[MB2]]," - ",Query1[[#This Row],[MB3]])</f>
        <v>EVAP KIT 67-72 CHEV P-UP WO AC - 830014 - 0 - 0</v>
      </c>
    </row>
    <row r="1937" spans="1:15" x14ac:dyDescent="0.25">
      <c r="A1937" s="1">
        <v>914182</v>
      </c>
      <c r="B1937" s="1" t="s">
        <v>218</v>
      </c>
      <c r="C1937" s="1" t="s">
        <v>219</v>
      </c>
      <c r="D1937" s="2">
        <v>44628.601502280093</v>
      </c>
      <c r="E1937" s="1" t="s">
        <v>8</v>
      </c>
      <c r="F1937" s="1">
        <v>1</v>
      </c>
      <c r="G1937" s="1">
        <v>0</v>
      </c>
      <c r="H1937" s="6">
        <f>INT(Query1[[#This Row],[EntryDateTime]])</f>
        <v>44628</v>
      </c>
      <c r="I1937" s="1">
        <f>IF(Query1[[#This Row],[ItemType]]="EVAP KIT SF GEN IV",Query1[[#This Row],[OrderQty]]+I1936,I1936)</f>
        <v>2261</v>
      </c>
      <c r="J1937" s="1">
        <f>IF(Query1[[#This Row],[ItemType]]="EVAP KIT UNIVERSAL",Query1[[#This Row],[OrderQty]]+J1936,J1936)</f>
        <v>924</v>
      </c>
      <c r="K1937" s="1">
        <f>Query1[[#This Row],[SF Running Total]]+Query1[[#This Row],[UNIV Running Total]]</f>
        <v>3185</v>
      </c>
      <c r="L1937">
        <f>VLOOKUP(Query1[[#This Row],[Description]],'kits to boards'!$B$2:$E$156,2,FALSE)</f>
        <v>830022</v>
      </c>
      <c r="M1937">
        <f>VLOOKUP(Query1[[#This Row],[Description]],'kits to boards'!$B$2:$E$156,3,FALSE)</f>
        <v>0</v>
      </c>
      <c r="N1937">
        <f>VLOOKUP(Query1[[#This Row],[Description]],'kits to boards'!$B$2:$E$156,4,FALSE)</f>
        <v>0</v>
      </c>
      <c r="O1937" t="str">
        <f>CONCATENATE(Query1[[#This Row],[Description]]," - ",Query1[[#This Row],[MB1]]," - ",Query1[[#This Row],[MB2]]," - ",Query1[[#This Row],[MB3]])</f>
        <v>EVAP KIT 69 CUTLASS WO AC - 830022 - 0 - 0</v>
      </c>
    </row>
    <row r="1938" spans="1:15" x14ac:dyDescent="0.25">
      <c r="A1938" s="1">
        <v>910472</v>
      </c>
      <c r="B1938" s="1" t="s">
        <v>126</v>
      </c>
      <c r="C1938" s="1" t="s">
        <v>127</v>
      </c>
      <c r="D1938" s="2">
        <v>44628.602745833334</v>
      </c>
      <c r="E1938" s="1" t="s">
        <v>8</v>
      </c>
      <c r="F1938" s="1">
        <v>1</v>
      </c>
      <c r="G1938" s="1">
        <v>0</v>
      </c>
      <c r="H1938" s="6">
        <f>INT(Query1[[#This Row],[EntryDateTime]])</f>
        <v>44628</v>
      </c>
      <c r="I1938" s="1">
        <f>IF(Query1[[#This Row],[ItemType]]="EVAP KIT SF GEN IV",Query1[[#This Row],[OrderQty]]+I1937,I1937)</f>
        <v>2262</v>
      </c>
      <c r="J1938" s="1">
        <f>IF(Query1[[#This Row],[ItemType]]="EVAP KIT UNIVERSAL",Query1[[#This Row],[OrderQty]]+J1937,J1937)</f>
        <v>924</v>
      </c>
      <c r="K1938" s="1">
        <f>Query1[[#This Row],[SF Running Total]]+Query1[[#This Row],[UNIV Running Total]]</f>
        <v>3186</v>
      </c>
      <c r="L1938">
        <f>VLOOKUP(Query1[[#This Row],[Description]],'kits to boards'!$B$2:$E$156,2,FALSE)</f>
        <v>830080</v>
      </c>
      <c r="M1938">
        <f>VLOOKUP(Query1[[#This Row],[Description]],'kits to boards'!$B$2:$E$156,3,FALSE)</f>
        <v>0</v>
      </c>
      <c r="N1938">
        <f>VLOOKUP(Query1[[#This Row],[Description]],'kits to boards'!$B$2:$E$156,4,FALSE)</f>
        <v>0</v>
      </c>
      <c r="O1938" t="str">
        <f>CONCATENATE(Query1[[#This Row],[Description]]," - ",Query1[[#This Row],[MB1]]," - ",Query1[[#This Row],[MB2]]," - ",Query1[[#This Row],[MB3]])</f>
        <v>EVAP KIT 69-70 MUSTANG WO AC  - 830080 - 0 - 0</v>
      </c>
    </row>
    <row r="1939" spans="1:15" x14ac:dyDescent="0.25">
      <c r="A1939" s="1">
        <v>914193</v>
      </c>
      <c r="B1939" s="1" t="s">
        <v>502</v>
      </c>
      <c r="C1939" s="1" t="s">
        <v>503</v>
      </c>
      <c r="D1939" s="2">
        <v>44628.610635729165</v>
      </c>
      <c r="E1939" s="1" t="s">
        <v>677</v>
      </c>
      <c r="F1939" s="1">
        <v>1</v>
      </c>
      <c r="G1939" s="1">
        <v>0</v>
      </c>
      <c r="H1939" s="6">
        <f>INT(Query1[[#This Row],[EntryDateTime]])</f>
        <v>44628</v>
      </c>
      <c r="I1939" s="1">
        <f>IF(Query1[[#This Row],[ItemType]]="EVAP KIT SF GEN IV",Query1[[#This Row],[OrderQty]]+I1938,I1938)</f>
        <v>2262</v>
      </c>
      <c r="J1939" s="1">
        <f>IF(Query1[[#This Row],[ItemType]]="EVAP KIT UNIVERSAL",Query1[[#This Row],[OrderQty]]+J1938,J1938)</f>
        <v>924</v>
      </c>
      <c r="K1939" s="1">
        <f>Query1[[#This Row],[SF Running Total]]+Query1[[#This Row],[UNIV Running Total]]</f>
        <v>3186</v>
      </c>
      <c r="L1939" t="e">
        <f>VLOOKUP(Query1[[#This Row],[Description]],'kits to boards'!$B$2:$E$156,2,FALSE)</f>
        <v>#N/A</v>
      </c>
      <c r="M1939" t="e">
        <f>VLOOKUP(Query1[[#This Row],[Description]],'kits to boards'!$B$2:$E$156,3,FALSE)</f>
        <v>#N/A</v>
      </c>
      <c r="N1939" t="e">
        <f>VLOOKUP(Query1[[#This Row],[Description]],'kits to boards'!$B$2:$E$156,4,FALSE)</f>
        <v>#N/A</v>
      </c>
      <c r="O1939" t="e">
        <f>CONCATENATE(Query1[[#This Row],[Description]]," - ",Query1[[#This Row],[MB1]]," - ",Query1[[#This Row],[MB2]]," - ",Query1[[#This Row],[MB3]])</f>
        <v>#N/A</v>
      </c>
    </row>
    <row r="1940" spans="1:15" x14ac:dyDescent="0.25">
      <c r="A1940" s="1">
        <v>914205</v>
      </c>
      <c r="B1940" s="1" t="s">
        <v>24</v>
      </c>
      <c r="C1940" s="1" t="s">
        <v>25</v>
      </c>
      <c r="D1940" s="2">
        <v>44628.622458993057</v>
      </c>
      <c r="E1940" s="1" t="s">
        <v>11</v>
      </c>
      <c r="F1940" s="1">
        <v>1</v>
      </c>
      <c r="G1940" s="1">
        <v>0</v>
      </c>
      <c r="H1940" s="6">
        <f>INT(Query1[[#This Row],[EntryDateTime]])</f>
        <v>44628</v>
      </c>
      <c r="I1940" s="1">
        <f>IF(Query1[[#This Row],[ItemType]]="EVAP KIT SF GEN IV",Query1[[#This Row],[OrderQty]]+I1939,I1939)</f>
        <v>2262</v>
      </c>
      <c r="J1940" s="1">
        <f>IF(Query1[[#This Row],[ItemType]]="EVAP KIT UNIVERSAL",Query1[[#This Row],[OrderQty]]+J1939,J1939)</f>
        <v>925</v>
      </c>
      <c r="K1940" s="1">
        <f>Query1[[#This Row],[SF Running Total]]+Query1[[#This Row],[UNIV Running Total]]</f>
        <v>3187</v>
      </c>
      <c r="L1940">
        <f>VLOOKUP(Query1[[#This Row],[Description]],'kits to boards'!$B$2:$E$156,2,FALSE)</f>
        <v>830029</v>
      </c>
      <c r="M1940">
        <f>VLOOKUP(Query1[[#This Row],[Description]],'kits to boards'!$B$2:$E$156,3,FALSE)</f>
        <v>830030</v>
      </c>
      <c r="N1940">
        <f>VLOOKUP(Query1[[#This Row],[Description]],'kits to boards'!$B$2:$E$156,4,FALSE)</f>
        <v>0</v>
      </c>
      <c r="O1940" t="str">
        <f>CONCATENATE(Query1[[#This Row],[Description]]," - ",Query1[[#This Row],[MB1]]," - ",Query1[[#This Row],[MB2]]," - ",Query1[[#This Row],[MB3]])</f>
        <v>ComPac GEN II W/DEF - 830029 - 830030 - 0</v>
      </c>
    </row>
    <row r="1941" spans="1:15" x14ac:dyDescent="0.25">
      <c r="A1941" s="1">
        <v>914206</v>
      </c>
      <c r="B1941" s="1" t="s">
        <v>298</v>
      </c>
      <c r="C1941" s="1" t="s">
        <v>299</v>
      </c>
      <c r="D1941" s="2">
        <v>44628.622890775463</v>
      </c>
      <c r="E1941" s="1" t="s">
        <v>11</v>
      </c>
      <c r="F1941" s="1">
        <v>1</v>
      </c>
      <c r="G1941" s="1">
        <v>0</v>
      </c>
      <c r="H1941" s="6">
        <f>INT(Query1[[#This Row],[EntryDateTime]])</f>
        <v>44628</v>
      </c>
      <c r="I1941" s="1">
        <f>IF(Query1[[#This Row],[ItemType]]="EVAP KIT SF GEN IV",Query1[[#This Row],[OrderQty]]+I1940,I1940)</f>
        <v>2262</v>
      </c>
      <c r="J1941" s="1">
        <f>IF(Query1[[#This Row],[ItemType]]="EVAP KIT UNIVERSAL",Query1[[#This Row],[OrderQty]]+J1940,J1940)</f>
        <v>926</v>
      </c>
      <c r="K1941" s="1">
        <f>Query1[[#This Row],[SF Running Total]]+Query1[[#This Row],[UNIV Running Total]]</f>
        <v>3188</v>
      </c>
      <c r="L1941">
        <f>VLOOKUP(Query1[[#This Row],[Description]],'kits to boards'!$B$2:$E$156,2,FALSE)</f>
        <v>830045</v>
      </c>
      <c r="M1941">
        <f>VLOOKUP(Query1[[#This Row],[Description]],'kits to boards'!$B$2:$E$156,3,FALSE)</f>
        <v>0</v>
      </c>
      <c r="N1941">
        <f>VLOOKUP(Query1[[#This Row],[Description]],'kits to boards'!$B$2:$E$156,4,FALSE)</f>
        <v>0</v>
      </c>
      <c r="O1941" t="str">
        <f>CONCATENATE(Query1[[#This Row],[Description]]," - ",Query1[[#This Row],[MB1]]," - ",Query1[[#This Row],[MB2]]," - ",Query1[[#This Row],[MB3]])</f>
        <v>MINI SLIMLINE COOL STD LOUVER - 830045 - 0 - 0</v>
      </c>
    </row>
    <row r="1942" spans="1:15" x14ac:dyDescent="0.25">
      <c r="A1942" s="1">
        <v>914203</v>
      </c>
      <c r="B1942" s="1" t="s">
        <v>94</v>
      </c>
      <c r="C1942" s="1" t="s">
        <v>95</v>
      </c>
      <c r="D1942" s="2">
        <v>44628.623082986109</v>
      </c>
      <c r="E1942" s="1" t="s">
        <v>8</v>
      </c>
      <c r="F1942" s="1">
        <v>1</v>
      </c>
      <c r="G1942" s="1">
        <v>0</v>
      </c>
      <c r="H1942" s="6">
        <f>INT(Query1[[#This Row],[EntryDateTime]])</f>
        <v>44628</v>
      </c>
      <c r="I1942" s="1">
        <f>IF(Query1[[#This Row],[ItemType]]="EVAP KIT SF GEN IV",Query1[[#This Row],[OrderQty]]+I1941,I1941)</f>
        <v>2263</v>
      </c>
      <c r="J1942" s="1">
        <f>IF(Query1[[#This Row],[ItemType]]="EVAP KIT UNIVERSAL",Query1[[#This Row],[OrderQty]]+J1941,J1941)</f>
        <v>926</v>
      </c>
      <c r="K1942" s="1">
        <f>Query1[[#This Row],[SF Running Total]]+Query1[[#This Row],[UNIV Running Total]]</f>
        <v>3189</v>
      </c>
      <c r="L1942">
        <f>VLOOKUP(Query1[[#This Row],[Description]],'kits to boards'!$B$2:$E$156,2,FALSE)</f>
        <v>830076</v>
      </c>
      <c r="M1942">
        <f>VLOOKUP(Query1[[#This Row],[Description]],'kits to boards'!$B$2:$E$156,3,FALSE)</f>
        <v>0</v>
      </c>
      <c r="N1942">
        <f>VLOOKUP(Query1[[#This Row],[Description]],'kits to boards'!$B$2:$E$156,4,FALSE)</f>
        <v>0</v>
      </c>
      <c r="O1942" t="str">
        <f>CONCATENATE(Query1[[#This Row],[Description]]," - ",Query1[[#This Row],[MB1]]," - ",Query1[[#This Row],[MB2]]," - ",Query1[[#This Row],[MB3]])</f>
        <v>EVAP KIT 64 1/2- 66 MUSTANG  - 830076 - 0 - 0</v>
      </c>
    </row>
    <row r="1943" spans="1:15" x14ac:dyDescent="0.25">
      <c r="A1943" s="1">
        <v>914209</v>
      </c>
      <c r="B1943" s="1" t="s">
        <v>20</v>
      </c>
      <c r="C1943" s="1" t="s">
        <v>21</v>
      </c>
      <c r="D1943" s="2">
        <v>44628.627830787038</v>
      </c>
      <c r="E1943" s="1" t="s">
        <v>11</v>
      </c>
      <c r="F1943" s="1">
        <v>5</v>
      </c>
      <c r="G1943" s="1">
        <v>0</v>
      </c>
      <c r="H1943" s="6">
        <f>INT(Query1[[#This Row],[EntryDateTime]])</f>
        <v>44628</v>
      </c>
      <c r="I1943" s="1">
        <f>IF(Query1[[#This Row],[ItemType]]="EVAP KIT SF GEN IV",Query1[[#This Row],[OrderQty]]+I1942,I1942)</f>
        <v>2263</v>
      </c>
      <c r="J1943" s="1">
        <f>IF(Query1[[#This Row],[ItemType]]="EVAP KIT UNIVERSAL",Query1[[#This Row],[OrderQty]]+J1942,J1942)</f>
        <v>931</v>
      </c>
      <c r="K1943" s="1">
        <f>Query1[[#This Row],[SF Running Total]]+Query1[[#This Row],[UNIV Running Total]]</f>
        <v>3194</v>
      </c>
      <c r="L1943">
        <f>VLOOKUP(Query1[[#This Row],[Description]],'kits to boards'!$B$2:$E$156,2,FALSE)</f>
        <v>830102</v>
      </c>
      <c r="M1943">
        <f>VLOOKUP(Query1[[#This Row],[Description]],'kits to boards'!$B$2:$E$156,3,FALSE)</f>
        <v>0</v>
      </c>
      <c r="N1943">
        <f>VLOOKUP(Query1[[#This Row],[Description]],'kits to boards'!$B$2:$E$156,4,FALSE)</f>
        <v>0</v>
      </c>
      <c r="O1943" t="str">
        <f>CONCATENATE(Query1[[#This Row],[Description]]," - ",Query1[[#This Row],[MB1]]," - ",Query1[[#This Row],[MB2]]," - ",Query1[[#This Row],[MB3]])</f>
        <v>SUPER GEN II W/DEF - 830102 - 0 - 0</v>
      </c>
    </row>
    <row r="1944" spans="1:15" x14ac:dyDescent="0.25">
      <c r="A1944" s="1">
        <v>914209</v>
      </c>
      <c r="B1944" s="1" t="s">
        <v>98</v>
      </c>
      <c r="C1944" s="1" t="s">
        <v>99</v>
      </c>
      <c r="D1944" s="2">
        <v>44628.627973379633</v>
      </c>
      <c r="E1944" s="1" t="s">
        <v>11</v>
      </c>
      <c r="F1944" s="1">
        <v>5</v>
      </c>
      <c r="G1944" s="1">
        <v>0</v>
      </c>
      <c r="H1944" s="6">
        <f>INT(Query1[[#This Row],[EntryDateTime]])</f>
        <v>44628</v>
      </c>
      <c r="I1944" s="1">
        <f>IF(Query1[[#This Row],[ItemType]]="EVAP KIT SF GEN IV",Query1[[#This Row],[OrderQty]]+I1943,I1943)</f>
        <v>2263</v>
      </c>
      <c r="J1944" s="1">
        <f>IF(Query1[[#This Row],[ItemType]]="EVAP KIT UNIVERSAL",Query1[[#This Row],[OrderQty]]+J1943,J1943)</f>
        <v>936</v>
      </c>
      <c r="K1944" s="1">
        <f>Query1[[#This Row],[SF Running Total]]+Query1[[#This Row],[UNIV Running Total]]</f>
        <v>3199</v>
      </c>
      <c r="L1944">
        <f>VLOOKUP(Query1[[#This Row],[Description]],'kits to boards'!$B$2:$E$156,2,FALSE)</f>
        <v>830099</v>
      </c>
      <c r="M1944">
        <f>VLOOKUP(Query1[[#This Row],[Description]],'kits to boards'!$B$2:$E$156,3,FALSE)</f>
        <v>0</v>
      </c>
      <c r="N1944">
        <f>VLOOKUP(Query1[[#This Row],[Description]],'kits to boards'!$B$2:$E$156,4,FALSE)</f>
        <v>0</v>
      </c>
      <c r="O1944" t="str">
        <f>CONCATENATE(Query1[[#This Row],[Description]]," - ",Query1[[#This Row],[MB1]]," - ",Query1[[#This Row],[MB2]]," - ",Query1[[#This Row],[MB3]])</f>
        <v>MINI GEN II W/DEF - 830099 - 0 - 0</v>
      </c>
    </row>
    <row r="1945" spans="1:15" x14ac:dyDescent="0.25">
      <c r="A1945" s="1">
        <v>914209</v>
      </c>
      <c r="B1945" s="1" t="s">
        <v>22</v>
      </c>
      <c r="C1945" s="1" t="s">
        <v>23</v>
      </c>
      <c r="D1945" s="2">
        <v>44628.628141469904</v>
      </c>
      <c r="E1945" s="1" t="s">
        <v>8</v>
      </c>
      <c r="F1945" s="1">
        <v>12</v>
      </c>
      <c r="G1945" s="1">
        <v>0</v>
      </c>
      <c r="H1945" s="6">
        <f>INT(Query1[[#This Row],[EntryDateTime]])</f>
        <v>44628</v>
      </c>
      <c r="I1945" s="1">
        <f>IF(Query1[[#This Row],[ItemType]]="EVAP KIT SF GEN IV",Query1[[#This Row],[OrderQty]]+I1944,I1944)</f>
        <v>2275</v>
      </c>
      <c r="J1945" s="1">
        <f>IF(Query1[[#This Row],[ItemType]]="EVAP KIT UNIVERSAL",Query1[[#This Row],[OrderQty]]+J1944,J1944)</f>
        <v>936</v>
      </c>
      <c r="K1945" s="1">
        <f>Query1[[#This Row],[SF Running Total]]+Query1[[#This Row],[UNIV Running Total]]</f>
        <v>3211</v>
      </c>
      <c r="L1945">
        <f>VLOOKUP(Query1[[#This Row],[Description]],'kits to boards'!$B$2:$E$156,2,FALSE)</f>
        <v>830083</v>
      </c>
      <c r="M1945">
        <f>VLOOKUP(Query1[[#This Row],[Description]],'kits to boards'!$B$2:$E$156,3,FALSE)</f>
        <v>0</v>
      </c>
      <c r="N1945">
        <f>VLOOKUP(Query1[[#This Row],[Description]],'kits to boards'!$B$2:$E$156,4,FALSE)</f>
        <v>0</v>
      </c>
      <c r="O1945" t="str">
        <f>CONCATENATE(Query1[[#This Row],[Description]]," - ",Query1[[#This Row],[MB1]]," - ",Query1[[#This Row],[MB2]]," - ",Query1[[#This Row],[MB3]])</f>
        <v>GEN IV MAGNUM EVAP KIT - 830083 - 0 - 0</v>
      </c>
    </row>
    <row r="1946" spans="1:15" x14ac:dyDescent="0.25">
      <c r="A1946" s="1">
        <v>914213</v>
      </c>
      <c r="B1946" s="1" t="s">
        <v>152</v>
      </c>
      <c r="C1946" s="1" t="s">
        <v>153</v>
      </c>
      <c r="D1946" s="2">
        <v>44628.629124918982</v>
      </c>
      <c r="E1946" s="1" t="s">
        <v>8</v>
      </c>
      <c r="F1946" s="1">
        <v>1</v>
      </c>
      <c r="G1946" s="1">
        <v>0</v>
      </c>
      <c r="H1946" s="6">
        <f>INT(Query1[[#This Row],[EntryDateTime]])</f>
        <v>44628</v>
      </c>
      <c r="I1946" s="1">
        <f>IF(Query1[[#This Row],[ItemType]]="EVAP KIT SF GEN IV",Query1[[#This Row],[OrderQty]]+I1945,I1945)</f>
        <v>2276</v>
      </c>
      <c r="J1946" s="1">
        <f>IF(Query1[[#This Row],[ItemType]]="EVAP KIT UNIVERSAL",Query1[[#This Row],[OrderQty]]+J1945,J1945)</f>
        <v>936</v>
      </c>
      <c r="K1946" s="1">
        <f>Query1[[#This Row],[SF Running Total]]+Query1[[#This Row],[UNIV Running Total]]</f>
        <v>3212</v>
      </c>
      <c r="L1946">
        <f>VLOOKUP(Query1[[#This Row],[Description]],'kits to boards'!$B$2:$E$156,2,FALSE)</f>
        <v>830034</v>
      </c>
      <c r="M1946">
        <f>VLOOKUP(Query1[[#This Row],[Description]],'kits to boards'!$B$2:$E$156,3,FALSE)</f>
        <v>0</v>
      </c>
      <c r="N1946">
        <f>VLOOKUP(Query1[[#This Row],[Description]],'kits to boards'!$B$2:$E$156,4,FALSE)</f>
        <v>0</v>
      </c>
      <c r="O1946" t="str">
        <f>CONCATENATE(Query1[[#This Row],[Description]]," - ",Query1[[#This Row],[MB1]]," - ",Query1[[#This Row],[MB2]]," - ",Query1[[#This Row],[MB3]])</f>
        <v>EVAP KIT 64-67 GTO WO AC - 830034 - 0 - 0</v>
      </c>
    </row>
    <row r="1947" spans="1:15" x14ac:dyDescent="0.25">
      <c r="A1947" s="1">
        <v>914214</v>
      </c>
      <c r="B1947" s="1" t="s">
        <v>152</v>
      </c>
      <c r="C1947" s="1" t="s">
        <v>153</v>
      </c>
      <c r="D1947" s="2">
        <v>44628.630215011573</v>
      </c>
      <c r="E1947" s="1" t="s">
        <v>8</v>
      </c>
      <c r="F1947" s="1">
        <v>1</v>
      </c>
      <c r="G1947" s="1">
        <v>0</v>
      </c>
      <c r="H1947" s="6">
        <f>INT(Query1[[#This Row],[EntryDateTime]])</f>
        <v>44628</v>
      </c>
      <c r="I1947" s="1">
        <f>IF(Query1[[#This Row],[ItemType]]="EVAP KIT SF GEN IV",Query1[[#This Row],[OrderQty]]+I1946,I1946)</f>
        <v>2277</v>
      </c>
      <c r="J1947" s="1">
        <f>IF(Query1[[#This Row],[ItemType]]="EVAP KIT UNIVERSAL",Query1[[#This Row],[OrderQty]]+J1946,J1946)</f>
        <v>936</v>
      </c>
      <c r="K1947" s="1">
        <f>Query1[[#This Row],[SF Running Total]]+Query1[[#This Row],[UNIV Running Total]]</f>
        <v>3213</v>
      </c>
      <c r="L1947">
        <f>VLOOKUP(Query1[[#This Row],[Description]],'kits to boards'!$B$2:$E$156,2,FALSE)</f>
        <v>830034</v>
      </c>
      <c r="M1947">
        <f>VLOOKUP(Query1[[#This Row],[Description]],'kits to boards'!$B$2:$E$156,3,FALSE)</f>
        <v>0</v>
      </c>
      <c r="N1947">
        <f>VLOOKUP(Query1[[#This Row],[Description]],'kits to boards'!$B$2:$E$156,4,FALSE)</f>
        <v>0</v>
      </c>
      <c r="O1947" t="str">
        <f>CONCATENATE(Query1[[#This Row],[Description]]," - ",Query1[[#This Row],[MB1]]," - ",Query1[[#This Row],[MB2]]," - ",Query1[[#This Row],[MB3]])</f>
        <v>EVAP KIT 64-67 GTO WO AC - 830034 - 0 - 0</v>
      </c>
    </row>
    <row r="1948" spans="1:15" x14ac:dyDescent="0.25">
      <c r="A1948" s="1">
        <v>913982</v>
      </c>
      <c r="B1948" s="1" t="s">
        <v>214</v>
      </c>
      <c r="C1948" s="1" t="s">
        <v>215</v>
      </c>
      <c r="D1948" s="2">
        <v>44628.63244872685</v>
      </c>
      <c r="E1948" s="1" t="s">
        <v>8</v>
      </c>
      <c r="F1948" s="1">
        <v>1</v>
      </c>
      <c r="G1948" s="1">
        <v>0</v>
      </c>
      <c r="H1948" s="6">
        <f>INT(Query1[[#This Row],[EntryDateTime]])</f>
        <v>44628</v>
      </c>
      <c r="I1948" s="1">
        <f>IF(Query1[[#This Row],[ItemType]]="EVAP KIT SF GEN IV",Query1[[#This Row],[OrderQty]]+I1947,I1947)</f>
        <v>2278</v>
      </c>
      <c r="J1948" s="1">
        <f>IF(Query1[[#This Row],[ItemType]]="EVAP KIT UNIVERSAL",Query1[[#This Row],[OrderQty]]+J1947,J1947)</f>
        <v>936</v>
      </c>
      <c r="K1948" s="1">
        <f>Query1[[#This Row],[SF Running Total]]+Query1[[#This Row],[UNIV Running Total]]</f>
        <v>3214</v>
      </c>
      <c r="L1948">
        <f>VLOOKUP(Query1[[#This Row],[Description]],'kits to boards'!$B$2:$E$156,2,FALSE)</f>
        <v>830072</v>
      </c>
      <c r="M1948">
        <f>VLOOKUP(Query1[[#This Row],[Description]],'kits to boards'!$B$2:$E$156,3,FALSE)</f>
        <v>0</v>
      </c>
      <c r="N1948">
        <f>VLOOKUP(Query1[[#This Row],[Description]],'kits to boards'!$B$2:$E$156,4,FALSE)</f>
        <v>0</v>
      </c>
      <c r="O1948" t="str">
        <f>CONCATENATE(Query1[[#This Row],[Description]]," - ",Query1[[#This Row],[MB1]]," - ",Query1[[#This Row],[MB2]]," - ",Query1[[#This Row],[MB3]])</f>
        <v>EVAP KIT 68 MOPAR B BODY WO AC - 830072 - 0 - 0</v>
      </c>
    </row>
    <row r="1949" spans="1:15" x14ac:dyDescent="0.25">
      <c r="A1949" s="1">
        <v>914154</v>
      </c>
      <c r="B1949" s="1" t="s">
        <v>66</v>
      </c>
      <c r="C1949" s="1" t="s">
        <v>67</v>
      </c>
      <c r="D1949" s="2">
        <v>44628.634391319443</v>
      </c>
      <c r="E1949" s="1" t="s">
        <v>8</v>
      </c>
      <c r="F1949" s="1">
        <v>1</v>
      </c>
      <c r="G1949" s="1">
        <v>0</v>
      </c>
      <c r="H1949" s="6">
        <f>INT(Query1[[#This Row],[EntryDateTime]])</f>
        <v>44628</v>
      </c>
      <c r="I1949" s="1">
        <f>IF(Query1[[#This Row],[ItemType]]="EVAP KIT SF GEN IV",Query1[[#This Row],[OrderQty]]+I1948,I1948)</f>
        <v>2279</v>
      </c>
      <c r="J1949" s="1">
        <f>IF(Query1[[#This Row],[ItemType]]="EVAP KIT UNIVERSAL",Query1[[#This Row],[OrderQty]]+J1948,J1948)</f>
        <v>936</v>
      </c>
      <c r="K1949" s="1">
        <f>Query1[[#This Row],[SF Running Total]]+Query1[[#This Row],[UNIV Running Total]]</f>
        <v>3215</v>
      </c>
      <c r="L1949">
        <f>VLOOKUP(Query1[[#This Row],[Description]],'kits to boards'!$B$2:$E$156,2,FALSE)</f>
        <v>830060</v>
      </c>
      <c r="M1949">
        <f>VLOOKUP(Query1[[#This Row],[Description]],'kits to boards'!$B$2:$E$156,3,FALSE)</f>
        <v>0</v>
      </c>
      <c r="N1949">
        <f>VLOOKUP(Query1[[#This Row],[Description]],'kits to boards'!$B$2:$E$156,4,FALSE)</f>
        <v>0</v>
      </c>
      <c r="O1949" t="str">
        <f>CONCATENATE(Query1[[#This Row],[Description]]," - ",Query1[[#This Row],[MB1]]," - ",Query1[[#This Row],[MB2]]," - ",Query1[[#This Row],[MB3]])</f>
        <v>EVAP KIT 66-67 CHEVELLE WO AC - 830060 - 0 - 0</v>
      </c>
    </row>
    <row r="1950" spans="1:15" x14ac:dyDescent="0.25">
      <c r="A1950" s="1">
        <v>914200</v>
      </c>
      <c r="B1950" s="1" t="s">
        <v>98</v>
      </c>
      <c r="C1950" s="1" t="s">
        <v>99</v>
      </c>
      <c r="D1950" s="2">
        <v>44628.64619684028</v>
      </c>
      <c r="E1950" s="1" t="s">
        <v>11</v>
      </c>
      <c r="F1950" s="1">
        <v>1</v>
      </c>
      <c r="G1950" s="1">
        <v>0</v>
      </c>
      <c r="H1950" s="6">
        <f>INT(Query1[[#This Row],[EntryDateTime]])</f>
        <v>44628</v>
      </c>
      <c r="I1950" s="1">
        <f>IF(Query1[[#This Row],[ItemType]]="EVAP KIT SF GEN IV",Query1[[#This Row],[OrderQty]]+I1949,I1949)</f>
        <v>2279</v>
      </c>
      <c r="J1950" s="1">
        <f>IF(Query1[[#This Row],[ItemType]]="EVAP KIT UNIVERSAL",Query1[[#This Row],[OrderQty]]+J1949,J1949)</f>
        <v>937</v>
      </c>
      <c r="K1950" s="1">
        <f>Query1[[#This Row],[SF Running Total]]+Query1[[#This Row],[UNIV Running Total]]</f>
        <v>3216</v>
      </c>
      <c r="L1950">
        <f>VLOOKUP(Query1[[#This Row],[Description]],'kits to boards'!$B$2:$E$156,2,FALSE)</f>
        <v>830099</v>
      </c>
      <c r="M1950">
        <f>VLOOKUP(Query1[[#This Row],[Description]],'kits to boards'!$B$2:$E$156,3,FALSE)</f>
        <v>0</v>
      </c>
      <c r="N1950">
        <f>VLOOKUP(Query1[[#This Row],[Description]],'kits to boards'!$B$2:$E$156,4,FALSE)</f>
        <v>0</v>
      </c>
      <c r="O1950" t="str">
        <f>CONCATENATE(Query1[[#This Row],[Description]]," - ",Query1[[#This Row],[MB1]]," - ",Query1[[#This Row],[MB2]]," - ",Query1[[#This Row],[MB3]])</f>
        <v>MINI GEN II W/DEF - 830099 - 0 - 0</v>
      </c>
    </row>
    <row r="1951" spans="1:15" x14ac:dyDescent="0.25">
      <c r="A1951" s="1">
        <v>914227</v>
      </c>
      <c r="B1951" s="1" t="s">
        <v>194</v>
      </c>
      <c r="C1951" s="1" t="s">
        <v>195</v>
      </c>
      <c r="D1951" s="2">
        <v>44628.648709525463</v>
      </c>
      <c r="E1951" s="1" t="s">
        <v>8</v>
      </c>
      <c r="F1951" s="1">
        <v>1</v>
      </c>
      <c r="G1951" s="1">
        <v>0</v>
      </c>
      <c r="H1951" s="6">
        <f>INT(Query1[[#This Row],[EntryDateTime]])</f>
        <v>44628</v>
      </c>
      <c r="I1951" s="1">
        <f>IF(Query1[[#This Row],[ItemType]]="EVAP KIT SF GEN IV",Query1[[#This Row],[OrderQty]]+I1950,I1950)</f>
        <v>2280</v>
      </c>
      <c r="J1951" s="1">
        <f>IF(Query1[[#This Row],[ItemType]]="EVAP KIT UNIVERSAL",Query1[[#This Row],[OrderQty]]+J1950,J1950)</f>
        <v>937</v>
      </c>
      <c r="K1951" s="1">
        <f>Query1[[#This Row],[SF Running Total]]+Query1[[#This Row],[UNIV Running Total]]</f>
        <v>3217</v>
      </c>
      <c r="L1951">
        <f>VLOOKUP(Query1[[#This Row],[Description]],'kits to boards'!$B$2:$E$156,2,FALSE)</f>
        <v>830103</v>
      </c>
      <c r="M1951">
        <f>VLOOKUP(Query1[[#This Row],[Description]],'kits to boards'!$B$2:$E$156,3,FALSE)</f>
        <v>0</v>
      </c>
      <c r="N1951">
        <f>VLOOKUP(Query1[[#This Row],[Description]],'kits to boards'!$B$2:$E$156,4,FALSE)</f>
        <v>0</v>
      </c>
      <c r="O1951" t="str">
        <f>CONCATENATE(Query1[[#This Row],[Description]]," - ",Query1[[#This Row],[MB1]]," - ",Query1[[#This Row],[MB2]]," - ",Query1[[#This Row],[MB3]])</f>
        <v>EVAP KIT 78-82 VETTE W/AC - 830103 - 0 - 0</v>
      </c>
    </row>
    <row r="1952" spans="1:15" x14ac:dyDescent="0.25">
      <c r="A1952" s="1">
        <v>914229</v>
      </c>
      <c r="B1952" s="1" t="s">
        <v>52</v>
      </c>
      <c r="C1952" s="1" t="s">
        <v>53</v>
      </c>
      <c r="D1952" s="2">
        <v>44628.650819756942</v>
      </c>
      <c r="E1952" s="1" t="s">
        <v>8</v>
      </c>
      <c r="F1952" s="1">
        <v>1</v>
      </c>
      <c r="G1952" s="1">
        <v>0</v>
      </c>
      <c r="H1952" s="6">
        <f>INT(Query1[[#This Row],[EntryDateTime]])</f>
        <v>44628</v>
      </c>
      <c r="I1952" s="1">
        <f>IF(Query1[[#This Row],[ItemType]]="EVAP KIT SF GEN IV",Query1[[#This Row],[OrderQty]]+I1951,I1951)</f>
        <v>2281</v>
      </c>
      <c r="J1952" s="1">
        <f>IF(Query1[[#This Row],[ItemType]]="EVAP KIT UNIVERSAL",Query1[[#This Row],[OrderQty]]+J1951,J1951)</f>
        <v>937</v>
      </c>
      <c r="K1952" s="1">
        <f>Query1[[#This Row],[SF Running Total]]+Query1[[#This Row],[UNIV Running Total]]</f>
        <v>3218</v>
      </c>
      <c r="L1952">
        <f>VLOOKUP(Query1[[#This Row],[Description]],'kits to boards'!$B$2:$E$156,2,FALSE)</f>
        <v>830017</v>
      </c>
      <c r="M1952">
        <f>VLOOKUP(Query1[[#This Row],[Description]],'kits to boards'!$B$2:$E$156,3,FALSE)</f>
        <v>830119</v>
      </c>
      <c r="N1952">
        <f>VLOOKUP(Query1[[#This Row],[Description]],'kits to boards'!$B$2:$E$156,4,FALSE)</f>
        <v>830120</v>
      </c>
      <c r="O1952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1953" spans="1:15" x14ac:dyDescent="0.25">
      <c r="A1953" s="1">
        <v>914232</v>
      </c>
      <c r="B1953" s="1" t="s">
        <v>281</v>
      </c>
      <c r="C1953" s="1" t="s">
        <v>282</v>
      </c>
      <c r="D1953" s="2">
        <v>44628.655131597225</v>
      </c>
      <c r="E1953" s="1" t="s">
        <v>8</v>
      </c>
      <c r="F1953" s="1">
        <v>1</v>
      </c>
      <c r="G1953" s="1">
        <v>0</v>
      </c>
      <c r="H1953" s="6">
        <f>INT(Query1[[#This Row],[EntryDateTime]])</f>
        <v>44628</v>
      </c>
      <c r="I1953" s="1">
        <f>IF(Query1[[#This Row],[ItemType]]="EVAP KIT SF GEN IV",Query1[[#This Row],[OrderQty]]+I1952,I1952)</f>
        <v>2282</v>
      </c>
      <c r="J1953" s="1">
        <f>IF(Query1[[#This Row],[ItemType]]="EVAP KIT UNIVERSAL",Query1[[#This Row],[OrderQty]]+J1952,J1952)</f>
        <v>937</v>
      </c>
      <c r="K1953" s="1">
        <f>Query1[[#This Row],[SF Running Total]]+Query1[[#This Row],[UNIV Running Total]]</f>
        <v>3219</v>
      </c>
      <c r="L1953">
        <f>VLOOKUP(Query1[[#This Row],[Description]],'kits to boards'!$B$2:$E$156,2,FALSE)</f>
        <v>830093</v>
      </c>
      <c r="M1953">
        <f>VLOOKUP(Query1[[#This Row],[Description]],'kits to boards'!$B$2:$E$156,3,FALSE)</f>
        <v>0</v>
      </c>
      <c r="N1953">
        <f>VLOOKUP(Query1[[#This Row],[Description]],'kits to boards'!$B$2:$E$156,4,FALSE)</f>
        <v>0</v>
      </c>
      <c r="O1953" t="str">
        <f>CONCATENATE(Query1[[#This Row],[Description]]," - ",Query1[[#This Row],[MB1]]," - ",Query1[[#This Row],[MB2]]," - ",Query1[[#This Row],[MB3]])</f>
        <v>EVAP KIT 67 VETTE W/AC - 830093 - 0 - 0</v>
      </c>
    </row>
    <row r="1954" spans="1:15" x14ac:dyDescent="0.25">
      <c r="A1954" s="1">
        <v>914238</v>
      </c>
      <c r="B1954" s="1" t="s">
        <v>128</v>
      </c>
      <c r="C1954" s="1" t="s">
        <v>129</v>
      </c>
      <c r="D1954" s="2">
        <v>44628.660041898147</v>
      </c>
      <c r="E1954" s="1" t="s">
        <v>8</v>
      </c>
      <c r="F1954" s="1">
        <v>10</v>
      </c>
      <c r="G1954" s="1">
        <v>0</v>
      </c>
      <c r="H1954" s="6">
        <f>INT(Query1[[#This Row],[EntryDateTime]])</f>
        <v>44628</v>
      </c>
      <c r="I1954" s="1">
        <f>IF(Query1[[#This Row],[ItemType]]="EVAP KIT SF GEN IV",Query1[[#This Row],[OrderQty]]+I1953,I1953)</f>
        <v>2292</v>
      </c>
      <c r="J1954" s="1">
        <f>IF(Query1[[#This Row],[ItemType]]="EVAP KIT UNIVERSAL",Query1[[#This Row],[OrderQty]]+J1953,J1953)</f>
        <v>937</v>
      </c>
      <c r="K1954" s="1">
        <f>Query1[[#This Row],[SF Running Total]]+Query1[[#This Row],[UNIV Running Total]]</f>
        <v>3229</v>
      </c>
      <c r="L1954">
        <f>VLOOKUP(Query1[[#This Row],[Description]],'kits to boards'!$B$2:$E$156,2,FALSE)</f>
        <v>830036</v>
      </c>
      <c r="M1954">
        <f>VLOOKUP(Query1[[#This Row],[Description]],'kits to boards'!$B$2:$E$156,3,FALSE)</f>
        <v>830039</v>
      </c>
      <c r="N1954">
        <f>VLOOKUP(Query1[[#This Row],[Description]],'kits to boards'!$B$2:$E$156,4,FALSE)</f>
        <v>0</v>
      </c>
      <c r="O1954" t="str">
        <f>CONCATENATE(Query1[[#This Row],[Description]]," - ",Query1[[#This Row],[MB1]]," - ",Query1[[#This Row],[MB2]]," - ",Query1[[#This Row],[MB3]])</f>
        <v>EVAP KIT 63-66 VETTE WO AC - 830036 - 830039 - 0</v>
      </c>
    </row>
    <row r="1955" spans="1:15" x14ac:dyDescent="0.25">
      <c r="A1955" s="1">
        <v>914241</v>
      </c>
      <c r="B1955" s="1" t="s">
        <v>62</v>
      </c>
      <c r="C1955" s="1" t="s">
        <v>63</v>
      </c>
      <c r="D1955" s="2">
        <v>44628.663994479168</v>
      </c>
      <c r="E1955" s="1" t="s">
        <v>8</v>
      </c>
      <c r="F1955" s="1">
        <v>6</v>
      </c>
      <c r="G1955" s="1">
        <v>0</v>
      </c>
      <c r="H1955" s="6">
        <f>INT(Query1[[#This Row],[EntryDateTime]])</f>
        <v>44628</v>
      </c>
      <c r="I1955" s="1">
        <f>IF(Query1[[#This Row],[ItemType]]="EVAP KIT SF GEN IV",Query1[[#This Row],[OrderQty]]+I1954,I1954)</f>
        <v>2298</v>
      </c>
      <c r="J1955" s="1">
        <f>IF(Query1[[#This Row],[ItemType]]="EVAP KIT UNIVERSAL",Query1[[#This Row],[OrderQty]]+J1954,J1954)</f>
        <v>937</v>
      </c>
      <c r="K1955" s="1">
        <f>Query1[[#This Row],[SF Running Total]]+Query1[[#This Row],[UNIV Running Total]]</f>
        <v>3235</v>
      </c>
      <c r="L1955">
        <f>VLOOKUP(Query1[[#This Row],[Description]],'kits to boards'!$B$2:$E$156,2,FALSE)</f>
        <v>830079</v>
      </c>
      <c r="M1955">
        <f>VLOOKUP(Query1[[#This Row],[Description]],'kits to boards'!$B$2:$E$156,3,FALSE)</f>
        <v>830046</v>
      </c>
      <c r="N1955">
        <f>VLOOKUP(Query1[[#This Row],[Description]],'kits to boards'!$B$2:$E$156,4,FALSE)</f>
        <v>0</v>
      </c>
      <c r="O1955" t="str">
        <f>CONCATENATE(Query1[[#This Row],[Description]]," - ",Query1[[#This Row],[MB1]]," - ",Query1[[#This Row],[MB2]]," - ",Query1[[#This Row],[MB3]])</f>
        <v>EVAP KIT 67-68 MUSTANG/COUGAR WO AC - 830079 - 830046 - 0</v>
      </c>
    </row>
    <row r="1956" spans="1:15" x14ac:dyDescent="0.25">
      <c r="A1956" s="1">
        <v>914241</v>
      </c>
      <c r="B1956" s="1" t="s">
        <v>146</v>
      </c>
      <c r="C1956" s="1" t="s">
        <v>147</v>
      </c>
      <c r="D1956" s="2">
        <v>44628.663997951386</v>
      </c>
      <c r="E1956" s="1" t="s">
        <v>11</v>
      </c>
      <c r="F1956" s="1">
        <v>7</v>
      </c>
      <c r="G1956" s="1">
        <v>0</v>
      </c>
      <c r="H1956" s="6">
        <f>INT(Query1[[#This Row],[EntryDateTime]])</f>
        <v>44628</v>
      </c>
      <c r="I1956" s="1">
        <f>IF(Query1[[#This Row],[ItemType]]="EVAP KIT SF GEN IV",Query1[[#This Row],[OrderQty]]+I1955,I1955)</f>
        <v>2298</v>
      </c>
      <c r="J1956" s="1">
        <f>IF(Query1[[#This Row],[ItemType]]="EVAP KIT UNIVERSAL",Query1[[#This Row],[OrderQty]]+J1955,J1955)</f>
        <v>944</v>
      </c>
      <c r="K1956" s="1">
        <f>Query1[[#This Row],[SF Running Total]]+Query1[[#This Row],[UNIV Running Total]]</f>
        <v>3242</v>
      </c>
      <c r="L1956">
        <f>VLOOKUP(Query1[[#This Row],[Description]],'kits to boards'!$B$2:$E$156,2,FALSE)</f>
        <v>0</v>
      </c>
      <c r="M1956">
        <f>VLOOKUP(Query1[[#This Row],[Description]],'kits to boards'!$B$2:$E$156,3,FALSE)</f>
        <v>0</v>
      </c>
      <c r="N1956">
        <f>VLOOKUP(Query1[[#This Row],[Description]],'kits to boards'!$B$2:$E$156,4,FALSE)</f>
        <v>0</v>
      </c>
      <c r="O1956" t="str">
        <f>CONCATENATE(Query1[[#This Row],[Description]]," - ",Query1[[#This Row],[MB1]]," - ",Query1[[#This Row],[MB2]]," - ",Query1[[#This Row],[MB3]])</f>
        <v>HERITAGE BLACK TURNED EVAP KIT COOL ONLY - 0 - 0 - 0</v>
      </c>
    </row>
    <row r="1957" spans="1:15" x14ac:dyDescent="0.25">
      <c r="A1957" s="1">
        <v>914242</v>
      </c>
      <c r="B1957" s="1" t="s">
        <v>9</v>
      </c>
      <c r="C1957" s="1" t="s">
        <v>10</v>
      </c>
      <c r="D1957" s="2">
        <v>44628.666481793982</v>
      </c>
      <c r="E1957" s="1" t="s">
        <v>11</v>
      </c>
      <c r="F1957" s="1">
        <v>12</v>
      </c>
      <c r="G1957" s="1">
        <v>0</v>
      </c>
      <c r="H1957" s="6">
        <f>INT(Query1[[#This Row],[EntryDateTime]])</f>
        <v>44628</v>
      </c>
      <c r="I1957" s="1">
        <f>IF(Query1[[#This Row],[ItemType]]="EVAP KIT SF GEN IV",Query1[[#This Row],[OrderQty]]+I1956,I1956)</f>
        <v>2298</v>
      </c>
      <c r="J1957" s="1">
        <f>IF(Query1[[#This Row],[ItemType]]="EVAP KIT UNIVERSAL",Query1[[#This Row],[OrderQty]]+J1956,J1956)</f>
        <v>956</v>
      </c>
      <c r="K1957" s="1">
        <f>Query1[[#This Row],[SF Running Total]]+Query1[[#This Row],[UNIV Running Total]]</f>
        <v>3254</v>
      </c>
      <c r="L1957">
        <f>VLOOKUP(Query1[[#This Row],[Description]],'kits to boards'!$B$2:$E$156,2,FALSE)</f>
        <v>830069</v>
      </c>
      <c r="M1957">
        <f>VLOOKUP(Query1[[#This Row],[Description]],'kits to boards'!$B$2:$E$156,3,FALSE)</f>
        <v>0</v>
      </c>
      <c r="N1957">
        <f>VLOOKUP(Query1[[#This Row],[Description]],'kits to boards'!$B$2:$E$156,4,FALSE)</f>
        <v>0</v>
      </c>
      <c r="O1957" t="str">
        <f>CONCATENATE(Query1[[#This Row],[Description]]," - ",Query1[[#This Row],[MB1]]," - ",Query1[[#This Row],[MB2]]," - ",Query1[[#This Row],[MB3]])</f>
        <v>SLIMLINE H/C W/DEF STD LOUVER - 830069 - 0 - 0</v>
      </c>
    </row>
    <row r="1958" spans="1:15" x14ac:dyDescent="0.25">
      <c r="A1958" s="1">
        <v>914242</v>
      </c>
      <c r="B1958" s="1" t="s">
        <v>50</v>
      </c>
      <c r="C1958" s="1" t="s">
        <v>51</v>
      </c>
      <c r="D1958" s="2">
        <v>44628.666507870374</v>
      </c>
      <c r="E1958" s="1" t="s">
        <v>8</v>
      </c>
      <c r="F1958" s="1">
        <v>2</v>
      </c>
      <c r="G1958" s="1">
        <v>0</v>
      </c>
      <c r="H1958" s="6">
        <f>INT(Query1[[#This Row],[EntryDateTime]])</f>
        <v>44628</v>
      </c>
      <c r="I1958" s="1">
        <f>IF(Query1[[#This Row],[ItemType]]="EVAP KIT SF GEN IV",Query1[[#This Row],[OrderQty]]+I1957,I1957)</f>
        <v>2300</v>
      </c>
      <c r="J1958" s="1">
        <f>IF(Query1[[#This Row],[ItemType]]="EVAP KIT UNIVERSAL",Query1[[#This Row],[OrderQty]]+J1957,J1957)</f>
        <v>956</v>
      </c>
      <c r="K1958" s="1">
        <f>Query1[[#This Row],[SF Running Total]]+Query1[[#This Row],[UNIV Running Total]]</f>
        <v>3256</v>
      </c>
      <c r="L1958">
        <f>VLOOKUP(Query1[[#This Row],[Description]],'kits to boards'!$B$2:$E$156,2,FALSE)</f>
        <v>830043</v>
      </c>
      <c r="M1958">
        <f>VLOOKUP(Query1[[#This Row],[Description]],'kits to boards'!$B$2:$E$156,3,FALSE)</f>
        <v>0</v>
      </c>
      <c r="N1958">
        <f>VLOOKUP(Query1[[#This Row],[Description]],'kits to boards'!$B$2:$E$156,4,FALSE)</f>
        <v>0</v>
      </c>
      <c r="O1958" t="str">
        <f>CONCATENATE(Query1[[#This Row],[Description]]," - ",Query1[[#This Row],[MB1]]," - ",Query1[[#This Row],[MB2]]," - ",Query1[[#This Row],[MB3]])</f>
        <v>EVAP KIT 69-74 NOVA WO AC - 830043 - 0 - 0</v>
      </c>
    </row>
    <row r="1959" spans="1:15" x14ac:dyDescent="0.25">
      <c r="A1959" s="1">
        <v>914242</v>
      </c>
      <c r="B1959" s="1" t="s">
        <v>124</v>
      </c>
      <c r="C1959" s="1" t="s">
        <v>125</v>
      </c>
      <c r="D1959" s="2">
        <v>44628.666511377312</v>
      </c>
      <c r="E1959" s="1" t="s">
        <v>8</v>
      </c>
      <c r="F1959" s="1">
        <v>2</v>
      </c>
      <c r="G1959" s="1">
        <v>0</v>
      </c>
      <c r="H1959" s="6">
        <f>INT(Query1[[#This Row],[EntryDateTime]])</f>
        <v>44628</v>
      </c>
      <c r="I1959" s="1">
        <f>IF(Query1[[#This Row],[ItemType]]="EVAP KIT SF GEN IV",Query1[[#This Row],[OrderQty]]+I1958,I1958)</f>
        <v>2302</v>
      </c>
      <c r="J1959" s="1">
        <f>IF(Query1[[#This Row],[ItemType]]="EVAP KIT UNIVERSAL",Query1[[#This Row],[OrderQty]]+J1958,J1958)</f>
        <v>956</v>
      </c>
      <c r="K1959" s="1">
        <f>Query1[[#This Row],[SF Running Total]]+Query1[[#This Row],[UNIV Running Total]]</f>
        <v>3258</v>
      </c>
      <c r="L1959">
        <f>VLOOKUP(Query1[[#This Row],[Description]],'kits to boards'!$B$2:$E$156,2,FALSE)</f>
        <v>830002</v>
      </c>
      <c r="M1959">
        <f>VLOOKUP(Query1[[#This Row],[Description]],'kits to boards'!$B$2:$E$156,3,FALSE)</f>
        <v>0</v>
      </c>
      <c r="N1959">
        <f>VLOOKUP(Query1[[#This Row],[Description]],'kits to boards'!$B$2:$E$156,4,FALSE)</f>
        <v>0</v>
      </c>
      <c r="O1959" t="str">
        <f>CONCATENATE(Query1[[#This Row],[Description]]," - ",Query1[[#This Row],[MB1]]," - ",Query1[[#This Row],[MB2]]," - ",Query1[[#This Row],[MB3]])</f>
        <v>EVAP KIT 73-80 CHEV P-UP WO AC - 830002 - 0 - 0</v>
      </c>
    </row>
    <row r="1960" spans="1:15" x14ac:dyDescent="0.25">
      <c r="A1960" s="1">
        <v>914242</v>
      </c>
      <c r="B1960" s="1" t="s">
        <v>26</v>
      </c>
      <c r="C1960" s="1" t="s">
        <v>27</v>
      </c>
      <c r="D1960" s="2">
        <v>44628.666513229167</v>
      </c>
      <c r="E1960" s="1" t="s">
        <v>8</v>
      </c>
      <c r="F1960" s="1">
        <v>5</v>
      </c>
      <c r="G1960" s="1">
        <v>0</v>
      </c>
      <c r="H1960" s="6">
        <f>INT(Query1[[#This Row],[EntryDateTime]])</f>
        <v>44628</v>
      </c>
      <c r="I1960" s="1">
        <f>IF(Query1[[#This Row],[ItemType]]="EVAP KIT SF GEN IV",Query1[[#This Row],[OrderQty]]+I1959,I1959)</f>
        <v>2307</v>
      </c>
      <c r="J1960" s="1">
        <f>IF(Query1[[#This Row],[ItemType]]="EVAP KIT UNIVERSAL",Query1[[#This Row],[OrderQty]]+J1959,J1959)</f>
        <v>956</v>
      </c>
      <c r="K1960" s="1">
        <f>Query1[[#This Row],[SF Running Total]]+Query1[[#This Row],[UNIV Running Total]]</f>
        <v>3263</v>
      </c>
      <c r="L1960">
        <f>VLOOKUP(Query1[[#This Row],[Description]],'kits to boards'!$B$2:$E$156,2,FALSE)</f>
        <v>830013</v>
      </c>
      <c r="M1960">
        <f>VLOOKUP(Query1[[#This Row],[Description]],'kits to boards'!$B$2:$E$156,3,FALSE)</f>
        <v>0</v>
      </c>
      <c r="N1960">
        <f>VLOOKUP(Query1[[#This Row],[Description]],'kits to boards'!$B$2:$E$156,4,FALSE)</f>
        <v>0</v>
      </c>
      <c r="O1960" t="str">
        <f>CONCATENATE(Query1[[#This Row],[Description]]," - ",Query1[[#This Row],[MB1]]," - ",Query1[[#This Row],[MB2]]," - ",Query1[[#This Row],[MB3]])</f>
        <v>EVAP KIT 67-72 CHEV P-UP W/AC - 830013 - 0 - 0</v>
      </c>
    </row>
    <row r="1961" spans="1:15" x14ac:dyDescent="0.25">
      <c r="A1961" s="1">
        <v>914245</v>
      </c>
      <c r="B1961" s="1" t="s">
        <v>156</v>
      </c>
      <c r="C1961" s="1" t="s">
        <v>157</v>
      </c>
      <c r="D1961" s="2">
        <v>44628.669281134258</v>
      </c>
      <c r="E1961" s="1" t="s">
        <v>8</v>
      </c>
      <c r="F1961" s="1">
        <v>1</v>
      </c>
      <c r="G1961" s="1">
        <v>0</v>
      </c>
      <c r="H1961" s="6">
        <f>INT(Query1[[#This Row],[EntryDateTime]])</f>
        <v>44628</v>
      </c>
      <c r="I1961" s="1">
        <f>IF(Query1[[#This Row],[ItemType]]="EVAP KIT SF GEN IV",Query1[[#This Row],[OrderQty]]+I1960,I1960)</f>
        <v>2308</v>
      </c>
      <c r="J1961" s="1">
        <f>IF(Query1[[#This Row],[ItemType]]="EVAP KIT UNIVERSAL",Query1[[#This Row],[OrderQty]]+J1960,J1960)</f>
        <v>956</v>
      </c>
      <c r="K1961" s="1">
        <f>Query1[[#This Row],[SF Running Total]]+Query1[[#This Row],[UNIV Running Total]]</f>
        <v>3264</v>
      </c>
      <c r="L1961">
        <f>VLOOKUP(Query1[[#This Row],[Description]],'kits to boards'!$B$2:$E$156,2,FALSE)</f>
        <v>830019</v>
      </c>
      <c r="M1961">
        <f>VLOOKUP(Query1[[#This Row],[Description]],'kits to boards'!$B$2:$E$156,3,FALSE)</f>
        <v>0</v>
      </c>
      <c r="N1961">
        <f>VLOOKUP(Query1[[#This Row],[Description]],'kits to boards'!$B$2:$E$156,4,FALSE)</f>
        <v>0</v>
      </c>
      <c r="O1961" t="str">
        <f>CONCATENATE(Query1[[#This Row],[Description]]," - ",Query1[[#This Row],[MB1]]," - ",Query1[[#This Row],[MB2]]," - ",Query1[[#This Row],[MB3]])</f>
        <v>EVAP KIT 70-81 FIREBIRD WO AC - 830019 - 0 - 0</v>
      </c>
    </row>
    <row r="1962" spans="1:15" x14ac:dyDescent="0.25">
      <c r="A1962" s="1">
        <v>914246</v>
      </c>
      <c r="B1962" s="1" t="s">
        <v>168</v>
      </c>
      <c r="C1962" s="1" t="s">
        <v>169</v>
      </c>
      <c r="D1962" s="2">
        <v>44628.673051967591</v>
      </c>
      <c r="E1962" s="1" t="s">
        <v>8</v>
      </c>
      <c r="F1962" s="1">
        <v>1</v>
      </c>
      <c r="G1962" s="1">
        <v>0</v>
      </c>
      <c r="H1962" s="6">
        <f>INT(Query1[[#This Row],[EntryDateTime]])</f>
        <v>44628</v>
      </c>
      <c r="I1962" s="1">
        <f>IF(Query1[[#This Row],[ItemType]]="EVAP KIT SF GEN IV",Query1[[#This Row],[OrderQty]]+I1961,I1961)</f>
        <v>2309</v>
      </c>
      <c r="J1962" s="1">
        <f>IF(Query1[[#This Row],[ItemType]]="EVAP KIT UNIVERSAL",Query1[[#This Row],[OrderQty]]+J1961,J1961)</f>
        <v>956</v>
      </c>
      <c r="K1962" s="1">
        <f>Query1[[#This Row],[SF Running Total]]+Query1[[#This Row],[UNIV Running Total]]</f>
        <v>3265</v>
      </c>
      <c r="L1962">
        <f>VLOOKUP(Query1[[#This Row],[Description]],'kits to boards'!$B$2:$E$156,2,FALSE)</f>
        <v>830028</v>
      </c>
      <c r="M1962">
        <f>VLOOKUP(Query1[[#This Row],[Description]],'kits to boards'!$B$2:$E$156,3,FALSE)</f>
        <v>0</v>
      </c>
      <c r="N1962">
        <f>VLOOKUP(Query1[[#This Row],[Description]],'kits to boards'!$B$2:$E$156,4,FALSE)</f>
        <v>0</v>
      </c>
      <c r="O1962" t="str">
        <f>CONCATENATE(Query1[[#This Row],[Description]]," - ",Query1[[#This Row],[MB1]]," - ",Query1[[#This Row],[MB2]]," - ",Query1[[#This Row],[MB3]])</f>
        <v>EVAP KIT 55-59 CHEV P-UP WO AC W/STD  - 830028 - 0 - 0</v>
      </c>
    </row>
    <row r="1963" spans="1:15" x14ac:dyDescent="0.25">
      <c r="A1963" s="1">
        <v>914247</v>
      </c>
      <c r="B1963" s="1" t="s">
        <v>42</v>
      </c>
      <c r="C1963" s="1" t="s">
        <v>43</v>
      </c>
      <c r="D1963" s="2">
        <v>44628.676150578707</v>
      </c>
      <c r="E1963" s="1" t="s">
        <v>8</v>
      </c>
      <c r="F1963" s="1">
        <v>1</v>
      </c>
      <c r="G1963" s="1">
        <v>0</v>
      </c>
      <c r="H1963" s="6">
        <f>INT(Query1[[#This Row],[EntryDateTime]])</f>
        <v>44628</v>
      </c>
      <c r="I1963" s="1">
        <f>IF(Query1[[#This Row],[ItemType]]="EVAP KIT SF GEN IV",Query1[[#This Row],[OrderQty]]+I1962,I1962)</f>
        <v>2310</v>
      </c>
      <c r="J1963" s="1">
        <f>IF(Query1[[#This Row],[ItemType]]="EVAP KIT UNIVERSAL",Query1[[#This Row],[OrderQty]]+J1962,J1962)</f>
        <v>956</v>
      </c>
      <c r="K1963" s="1">
        <f>Query1[[#This Row],[SF Running Total]]+Query1[[#This Row],[UNIV Running Total]]</f>
        <v>3266</v>
      </c>
      <c r="L1963">
        <f>VLOOKUP(Query1[[#This Row],[Description]],'kits to boards'!$B$2:$E$156,2,FALSE)</f>
        <v>830014</v>
      </c>
      <c r="M1963">
        <f>VLOOKUP(Query1[[#This Row],[Description]],'kits to boards'!$B$2:$E$156,3,FALSE)</f>
        <v>0</v>
      </c>
      <c r="N1963">
        <f>VLOOKUP(Query1[[#This Row],[Description]],'kits to boards'!$B$2:$E$156,4,FALSE)</f>
        <v>0</v>
      </c>
      <c r="O1963" t="str">
        <f>CONCATENATE(Query1[[#This Row],[Description]]," - ",Query1[[#This Row],[MB1]]," - ",Query1[[#This Row],[MB2]]," - ",Query1[[#This Row],[MB3]])</f>
        <v>EVAP KIT 67-72 CHEV P-UP WO AC - 830014 - 0 - 0</v>
      </c>
    </row>
    <row r="1964" spans="1:15" x14ac:dyDescent="0.25">
      <c r="A1964" s="1">
        <v>914253</v>
      </c>
      <c r="B1964" s="1" t="s">
        <v>84</v>
      </c>
      <c r="C1964" s="1" t="s">
        <v>85</v>
      </c>
      <c r="D1964" s="2">
        <v>44629.304443437497</v>
      </c>
      <c r="E1964" s="1" t="s">
        <v>8</v>
      </c>
      <c r="F1964" s="1">
        <v>1</v>
      </c>
      <c r="G1964" s="1">
        <v>0</v>
      </c>
      <c r="H1964" s="6">
        <f>INT(Query1[[#This Row],[EntryDateTime]])</f>
        <v>44629</v>
      </c>
      <c r="I1964" s="1">
        <f>IF(Query1[[#This Row],[ItemType]]="EVAP KIT SF GEN IV",Query1[[#This Row],[OrderQty]]+I1963,I1963)</f>
        <v>2311</v>
      </c>
      <c r="J1964" s="1">
        <f>IF(Query1[[#This Row],[ItemType]]="EVAP KIT UNIVERSAL",Query1[[#This Row],[OrderQty]]+J1963,J1963)</f>
        <v>956</v>
      </c>
      <c r="K1964" s="1">
        <f>Query1[[#This Row],[SF Running Total]]+Query1[[#This Row],[UNIV Running Total]]</f>
        <v>3267</v>
      </c>
      <c r="L1964">
        <f>VLOOKUP(Query1[[#This Row],[Description]],'kits to boards'!$B$2:$E$156,2,FALSE)</f>
        <v>830085</v>
      </c>
      <c r="M1964">
        <f>VLOOKUP(Query1[[#This Row],[Description]],'kits to boards'!$B$2:$E$156,3,FALSE)</f>
        <v>0</v>
      </c>
      <c r="N1964">
        <f>VLOOKUP(Query1[[#This Row],[Description]],'kits to boards'!$B$2:$E$156,4,FALSE)</f>
        <v>0</v>
      </c>
      <c r="O1964" t="str">
        <f>CONCATENATE(Query1[[#This Row],[Description]]," - ",Query1[[#This Row],[MB1]]," - ",Query1[[#This Row],[MB2]]," - ",Query1[[#This Row],[MB3]])</f>
        <v>EVAP KIT 66-77 BRONCO 4-VENT PLENUM - 830085 - 0 - 0</v>
      </c>
    </row>
    <row r="1965" spans="1:15" x14ac:dyDescent="0.25">
      <c r="A1965" s="1">
        <v>914261</v>
      </c>
      <c r="B1965" s="1" t="s">
        <v>194</v>
      </c>
      <c r="C1965" s="1" t="s">
        <v>195</v>
      </c>
      <c r="D1965" s="2">
        <v>44629.321690277779</v>
      </c>
      <c r="E1965" s="1" t="s">
        <v>8</v>
      </c>
      <c r="F1965" s="1">
        <v>1</v>
      </c>
      <c r="G1965" s="1">
        <v>0</v>
      </c>
      <c r="H1965" s="6">
        <f>INT(Query1[[#This Row],[EntryDateTime]])</f>
        <v>44629</v>
      </c>
      <c r="I1965" s="1">
        <f>IF(Query1[[#This Row],[ItemType]]="EVAP KIT SF GEN IV",Query1[[#This Row],[OrderQty]]+I1964,I1964)</f>
        <v>2312</v>
      </c>
      <c r="J1965" s="1">
        <f>IF(Query1[[#This Row],[ItemType]]="EVAP KIT UNIVERSAL",Query1[[#This Row],[OrderQty]]+J1964,J1964)</f>
        <v>956</v>
      </c>
      <c r="K1965" s="1">
        <f>Query1[[#This Row],[SF Running Total]]+Query1[[#This Row],[UNIV Running Total]]</f>
        <v>3268</v>
      </c>
      <c r="L1965">
        <f>VLOOKUP(Query1[[#This Row],[Description]],'kits to boards'!$B$2:$E$156,2,FALSE)</f>
        <v>830103</v>
      </c>
      <c r="M1965">
        <f>VLOOKUP(Query1[[#This Row],[Description]],'kits to boards'!$B$2:$E$156,3,FALSE)</f>
        <v>0</v>
      </c>
      <c r="N1965">
        <f>VLOOKUP(Query1[[#This Row],[Description]],'kits to boards'!$B$2:$E$156,4,FALSE)</f>
        <v>0</v>
      </c>
      <c r="O1965" t="str">
        <f>CONCATENATE(Query1[[#This Row],[Description]]," - ",Query1[[#This Row],[MB1]]," - ",Query1[[#This Row],[MB2]]," - ",Query1[[#This Row],[MB3]])</f>
        <v>EVAP KIT 78-82 VETTE W/AC - 830103 - 0 - 0</v>
      </c>
    </row>
    <row r="1966" spans="1:15" x14ac:dyDescent="0.25">
      <c r="A1966" s="1">
        <v>912506</v>
      </c>
      <c r="B1966" s="1" t="s">
        <v>66</v>
      </c>
      <c r="C1966" s="1" t="s">
        <v>67</v>
      </c>
      <c r="D1966" s="2">
        <v>44629.321719293985</v>
      </c>
      <c r="E1966" s="1" t="s">
        <v>8</v>
      </c>
      <c r="F1966" s="1">
        <v>1</v>
      </c>
      <c r="G1966" s="1">
        <v>0</v>
      </c>
      <c r="H1966" s="6">
        <f>INT(Query1[[#This Row],[EntryDateTime]])</f>
        <v>44629</v>
      </c>
      <c r="I1966" s="1">
        <f>IF(Query1[[#This Row],[ItemType]]="EVAP KIT SF GEN IV",Query1[[#This Row],[OrderQty]]+I1965,I1965)</f>
        <v>2313</v>
      </c>
      <c r="J1966" s="1">
        <f>IF(Query1[[#This Row],[ItemType]]="EVAP KIT UNIVERSAL",Query1[[#This Row],[OrderQty]]+J1965,J1965)</f>
        <v>956</v>
      </c>
      <c r="K1966" s="1">
        <f>Query1[[#This Row],[SF Running Total]]+Query1[[#This Row],[UNIV Running Total]]</f>
        <v>3269</v>
      </c>
      <c r="L1966">
        <f>VLOOKUP(Query1[[#This Row],[Description]],'kits to boards'!$B$2:$E$156,2,FALSE)</f>
        <v>830060</v>
      </c>
      <c r="M1966">
        <f>VLOOKUP(Query1[[#This Row],[Description]],'kits to boards'!$B$2:$E$156,3,FALSE)</f>
        <v>0</v>
      </c>
      <c r="N1966">
        <f>VLOOKUP(Query1[[#This Row],[Description]],'kits to boards'!$B$2:$E$156,4,FALSE)</f>
        <v>0</v>
      </c>
      <c r="O1966" t="str">
        <f>CONCATENATE(Query1[[#This Row],[Description]]," - ",Query1[[#This Row],[MB1]]," - ",Query1[[#This Row],[MB2]]," - ",Query1[[#This Row],[MB3]])</f>
        <v>EVAP KIT 66-67 CHEVELLE WO AC - 830060 - 0 - 0</v>
      </c>
    </row>
    <row r="1967" spans="1:15" x14ac:dyDescent="0.25">
      <c r="A1967" s="1">
        <v>914266</v>
      </c>
      <c r="B1967" s="1" t="s">
        <v>140</v>
      </c>
      <c r="C1967" s="1" t="s">
        <v>141</v>
      </c>
      <c r="D1967" s="2">
        <v>44629.32663452546</v>
      </c>
      <c r="E1967" s="1" t="s">
        <v>8</v>
      </c>
      <c r="F1967" s="1">
        <v>1</v>
      </c>
      <c r="G1967" s="1">
        <v>0</v>
      </c>
      <c r="H1967" s="6">
        <f>INT(Query1[[#This Row],[EntryDateTime]])</f>
        <v>44629</v>
      </c>
      <c r="I1967" s="1">
        <f>IF(Query1[[#This Row],[ItemType]]="EVAP KIT SF GEN IV",Query1[[#This Row],[OrderQty]]+I1966,I1966)</f>
        <v>2314</v>
      </c>
      <c r="J1967" s="1">
        <f>IF(Query1[[#This Row],[ItemType]]="EVAP KIT UNIVERSAL",Query1[[#This Row],[OrderQty]]+J1966,J1966)</f>
        <v>956</v>
      </c>
      <c r="K1967" s="1">
        <f>Query1[[#This Row],[SF Running Total]]+Query1[[#This Row],[UNIV Running Total]]</f>
        <v>3270</v>
      </c>
      <c r="L1967">
        <f>VLOOKUP(Query1[[#This Row],[Description]],'kits to boards'!$B$2:$E$156,2,FALSE)</f>
        <v>830066</v>
      </c>
      <c r="M1967">
        <f>VLOOKUP(Query1[[#This Row],[Description]],'kits to boards'!$B$2:$E$156,3,FALSE)</f>
        <v>0</v>
      </c>
      <c r="N1967">
        <f>VLOOKUP(Query1[[#This Row],[Description]],'kits to boards'!$B$2:$E$156,4,FALSE)</f>
        <v>0</v>
      </c>
      <c r="O1967" t="str">
        <f>CONCATENATE(Query1[[#This Row],[Description]]," - ",Query1[[#This Row],[MB1]]," - ",Query1[[#This Row],[MB2]]," - ",Query1[[#This Row],[MB3]])</f>
        <v>EVAP KIT 60-63 CHEV P-UP WO AC - 830066 - 0 - 0</v>
      </c>
    </row>
    <row r="1968" spans="1:15" x14ac:dyDescent="0.25">
      <c r="A1968" s="1">
        <v>914269</v>
      </c>
      <c r="B1968" s="1" t="s">
        <v>62</v>
      </c>
      <c r="C1968" s="1" t="s">
        <v>63</v>
      </c>
      <c r="D1968" s="2">
        <v>44629.329062997684</v>
      </c>
      <c r="E1968" s="1" t="s">
        <v>8</v>
      </c>
      <c r="F1968" s="1">
        <v>1</v>
      </c>
      <c r="G1968" s="1">
        <v>0</v>
      </c>
      <c r="H1968" s="6">
        <f>INT(Query1[[#This Row],[EntryDateTime]])</f>
        <v>44629</v>
      </c>
      <c r="I1968" s="1">
        <f>IF(Query1[[#This Row],[ItemType]]="EVAP KIT SF GEN IV",Query1[[#This Row],[OrderQty]]+I1967,I1967)</f>
        <v>2315</v>
      </c>
      <c r="J1968" s="1">
        <f>IF(Query1[[#This Row],[ItemType]]="EVAP KIT UNIVERSAL",Query1[[#This Row],[OrderQty]]+J1967,J1967)</f>
        <v>956</v>
      </c>
      <c r="K1968" s="1">
        <f>Query1[[#This Row],[SF Running Total]]+Query1[[#This Row],[UNIV Running Total]]</f>
        <v>3271</v>
      </c>
      <c r="L1968">
        <f>VLOOKUP(Query1[[#This Row],[Description]],'kits to boards'!$B$2:$E$156,2,FALSE)</f>
        <v>830079</v>
      </c>
      <c r="M1968">
        <f>VLOOKUP(Query1[[#This Row],[Description]],'kits to boards'!$B$2:$E$156,3,FALSE)</f>
        <v>830046</v>
      </c>
      <c r="N1968">
        <f>VLOOKUP(Query1[[#This Row],[Description]],'kits to boards'!$B$2:$E$156,4,FALSE)</f>
        <v>0</v>
      </c>
      <c r="O1968" t="str">
        <f>CONCATENATE(Query1[[#This Row],[Description]]," - ",Query1[[#This Row],[MB1]]," - ",Query1[[#This Row],[MB2]]," - ",Query1[[#This Row],[MB3]])</f>
        <v>EVAP KIT 67-68 MUSTANG/COUGAR WO AC - 830079 - 830046 - 0</v>
      </c>
    </row>
    <row r="1969" spans="1:15" x14ac:dyDescent="0.25">
      <c r="A1969" s="1">
        <v>914280</v>
      </c>
      <c r="B1969" s="1" t="s">
        <v>124</v>
      </c>
      <c r="C1969" s="1" t="s">
        <v>125</v>
      </c>
      <c r="D1969" s="2">
        <v>44629.33747071759</v>
      </c>
      <c r="E1969" s="1" t="s">
        <v>8</v>
      </c>
      <c r="F1969" s="1">
        <v>1</v>
      </c>
      <c r="G1969" s="1">
        <v>0</v>
      </c>
      <c r="H1969" s="6">
        <f>INT(Query1[[#This Row],[EntryDateTime]])</f>
        <v>44629</v>
      </c>
      <c r="I1969" s="1">
        <f>IF(Query1[[#This Row],[ItemType]]="EVAP KIT SF GEN IV",Query1[[#This Row],[OrderQty]]+I1968,I1968)</f>
        <v>2316</v>
      </c>
      <c r="J1969" s="1">
        <f>IF(Query1[[#This Row],[ItemType]]="EVAP KIT UNIVERSAL",Query1[[#This Row],[OrderQty]]+J1968,J1968)</f>
        <v>956</v>
      </c>
      <c r="K1969" s="1">
        <f>Query1[[#This Row],[SF Running Total]]+Query1[[#This Row],[UNIV Running Total]]</f>
        <v>3272</v>
      </c>
      <c r="L1969">
        <f>VLOOKUP(Query1[[#This Row],[Description]],'kits to boards'!$B$2:$E$156,2,FALSE)</f>
        <v>830002</v>
      </c>
      <c r="M1969">
        <f>VLOOKUP(Query1[[#This Row],[Description]],'kits to boards'!$B$2:$E$156,3,FALSE)</f>
        <v>0</v>
      </c>
      <c r="N1969">
        <f>VLOOKUP(Query1[[#This Row],[Description]],'kits to boards'!$B$2:$E$156,4,FALSE)</f>
        <v>0</v>
      </c>
      <c r="O1969" t="str">
        <f>CONCATENATE(Query1[[#This Row],[Description]]," - ",Query1[[#This Row],[MB1]]," - ",Query1[[#This Row],[MB2]]," - ",Query1[[#This Row],[MB3]])</f>
        <v>EVAP KIT 73-80 CHEV P-UP WO AC - 830002 - 0 - 0</v>
      </c>
    </row>
    <row r="1970" spans="1:15" x14ac:dyDescent="0.25">
      <c r="A1970" s="1">
        <v>913658</v>
      </c>
      <c r="B1970" s="1" t="s">
        <v>192</v>
      </c>
      <c r="C1970" s="1" t="s">
        <v>193</v>
      </c>
      <c r="D1970" s="2">
        <v>44629.342764085646</v>
      </c>
      <c r="E1970" s="1" t="s">
        <v>8</v>
      </c>
      <c r="F1970" s="1">
        <v>1</v>
      </c>
      <c r="G1970" s="1">
        <v>0</v>
      </c>
      <c r="H1970" s="6">
        <f>INT(Query1[[#This Row],[EntryDateTime]])</f>
        <v>44629</v>
      </c>
      <c r="I1970" s="1">
        <f>IF(Query1[[#This Row],[ItemType]]="EVAP KIT SF GEN IV",Query1[[#This Row],[OrderQty]]+I1969,I1969)</f>
        <v>2317</v>
      </c>
      <c r="J1970" s="1">
        <f>IF(Query1[[#This Row],[ItemType]]="EVAP KIT UNIVERSAL",Query1[[#This Row],[OrderQty]]+J1969,J1969)</f>
        <v>956</v>
      </c>
      <c r="K1970" s="1">
        <f>Query1[[#This Row],[SF Running Total]]+Query1[[#This Row],[UNIV Running Total]]</f>
        <v>3273</v>
      </c>
      <c r="L1970">
        <f>VLOOKUP(Query1[[#This Row],[Description]],'kits to boards'!$B$2:$E$156,2,FALSE)</f>
        <v>830094</v>
      </c>
      <c r="M1970">
        <f>VLOOKUP(Query1[[#This Row],[Description]],'kits to boards'!$B$2:$E$156,3,FALSE)</f>
        <v>0</v>
      </c>
      <c r="N1970">
        <f>VLOOKUP(Query1[[#This Row],[Description]],'kits to boards'!$B$2:$E$156,4,FALSE)</f>
        <v>0</v>
      </c>
      <c r="O1970" t="str">
        <f>CONCATENATE(Query1[[#This Row],[Description]]," - ",Query1[[#This Row],[MB1]]," - ",Query1[[#This Row],[MB2]]," - ",Query1[[#This Row],[MB3]])</f>
        <v>EVAP KIT 69-73 VETTE W/AC - 830094 - 0 - 0</v>
      </c>
    </row>
    <row r="1971" spans="1:15" x14ac:dyDescent="0.25">
      <c r="A1971" s="1">
        <v>913638</v>
      </c>
      <c r="B1971" s="1" t="s">
        <v>116</v>
      </c>
      <c r="C1971" s="1" t="s">
        <v>117</v>
      </c>
      <c r="D1971" s="2">
        <v>44629.351804826387</v>
      </c>
      <c r="E1971" s="1" t="s">
        <v>8</v>
      </c>
      <c r="F1971" s="1">
        <v>1</v>
      </c>
      <c r="G1971" s="1">
        <v>0</v>
      </c>
      <c r="H1971" s="6">
        <f>INT(Query1[[#This Row],[EntryDateTime]])</f>
        <v>44629</v>
      </c>
      <c r="I1971" s="1">
        <f>IF(Query1[[#This Row],[ItemType]]="EVAP KIT SF GEN IV",Query1[[#This Row],[OrderQty]]+I1970,I1970)</f>
        <v>2318</v>
      </c>
      <c r="J1971" s="1">
        <f>IF(Query1[[#This Row],[ItemType]]="EVAP KIT UNIVERSAL",Query1[[#This Row],[OrderQty]]+J1970,J1970)</f>
        <v>956</v>
      </c>
      <c r="K1971" s="1">
        <f>Query1[[#This Row],[SF Running Total]]+Query1[[#This Row],[UNIV Running Total]]</f>
        <v>3274</v>
      </c>
      <c r="L1971">
        <f>VLOOKUP(Query1[[#This Row],[Description]],'kits to boards'!$B$2:$E$156,2,FALSE)</f>
        <v>830058</v>
      </c>
      <c r="M1971">
        <f>VLOOKUP(Query1[[#This Row],[Description]],'kits to boards'!$B$2:$E$156,3,FALSE)</f>
        <v>0</v>
      </c>
      <c r="N1971">
        <f>VLOOKUP(Query1[[#This Row],[Description]],'kits to boards'!$B$2:$E$156,4,FALSE)</f>
        <v>0</v>
      </c>
      <c r="O1971" t="str">
        <f>CONCATENATE(Query1[[#This Row],[Description]]," - ",Query1[[#This Row],[MB1]]," - ",Query1[[#This Row],[MB2]]," - ",Query1[[#This Row],[MB3]])</f>
        <v>EVAP KIT 64-65 CHEVELLE WO AC - 830058 - 0 - 0</v>
      </c>
    </row>
    <row r="1972" spans="1:15" x14ac:dyDescent="0.25">
      <c r="A1972" s="1">
        <v>912747</v>
      </c>
      <c r="B1972" s="1" t="s">
        <v>92</v>
      </c>
      <c r="C1972" s="1" t="s">
        <v>93</v>
      </c>
      <c r="D1972" s="2">
        <v>44629.367637766205</v>
      </c>
      <c r="E1972" s="1" t="s">
        <v>8</v>
      </c>
      <c r="F1972" s="1">
        <v>1</v>
      </c>
      <c r="G1972" s="1">
        <v>0</v>
      </c>
      <c r="H1972" s="6">
        <f>INT(Query1[[#This Row],[EntryDateTime]])</f>
        <v>44629</v>
      </c>
      <c r="I1972" s="1">
        <f>IF(Query1[[#This Row],[ItemType]]="EVAP KIT SF GEN IV",Query1[[#This Row],[OrderQty]]+I1971,I1971)</f>
        <v>2319</v>
      </c>
      <c r="J1972" s="1">
        <f>IF(Query1[[#This Row],[ItemType]]="EVAP KIT UNIVERSAL",Query1[[#This Row],[OrderQty]]+J1971,J1971)</f>
        <v>956</v>
      </c>
      <c r="K1972" s="1">
        <f>Query1[[#This Row],[SF Running Total]]+Query1[[#This Row],[UNIV Running Total]]</f>
        <v>3275</v>
      </c>
      <c r="L1972">
        <f>VLOOKUP(Query1[[#This Row],[Description]],'kits to boards'!$B$2:$E$156,2,FALSE)</f>
        <v>830063</v>
      </c>
      <c r="M1972">
        <f>VLOOKUP(Query1[[#This Row],[Description]],'kits to boards'!$B$2:$E$156,3,FALSE)</f>
        <v>0</v>
      </c>
      <c r="N1972">
        <f>VLOOKUP(Query1[[#This Row],[Description]],'kits to boards'!$B$2:$E$156,4,FALSE)</f>
        <v>0</v>
      </c>
      <c r="O1972" t="str">
        <f>CONCATENATE(Query1[[#This Row],[Description]]," - ",Query1[[#This Row],[MB1]]," - ",Query1[[#This Row],[MB2]]," - ",Query1[[#This Row],[MB3]])</f>
        <v>EVAP KIT 50-53 CHEV P-UP GEN IV - 830063 - 0 - 0</v>
      </c>
    </row>
    <row r="1973" spans="1:15" x14ac:dyDescent="0.25">
      <c r="A1973" s="1">
        <v>914297</v>
      </c>
      <c r="B1973" s="1" t="s">
        <v>32</v>
      </c>
      <c r="C1973" s="1" t="s">
        <v>33</v>
      </c>
      <c r="D1973" s="2">
        <v>44629.372354513886</v>
      </c>
      <c r="E1973" s="1" t="s">
        <v>8</v>
      </c>
      <c r="F1973" s="1">
        <v>1</v>
      </c>
      <c r="G1973" s="1">
        <v>0</v>
      </c>
      <c r="H1973" s="6">
        <f>INT(Query1[[#This Row],[EntryDateTime]])</f>
        <v>44629</v>
      </c>
      <c r="I1973" s="1">
        <f>IF(Query1[[#This Row],[ItemType]]="EVAP KIT SF GEN IV",Query1[[#This Row],[OrderQty]]+I1972,I1972)</f>
        <v>2320</v>
      </c>
      <c r="J1973" s="1">
        <f>IF(Query1[[#This Row],[ItemType]]="EVAP KIT UNIVERSAL",Query1[[#This Row],[OrderQty]]+J1972,J1972)</f>
        <v>956</v>
      </c>
      <c r="K1973" s="1">
        <f>Query1[[#This Row],[SF Running Total]]+Query1[[#This Row],[UNIV Running Total]]</f>
        <v>3276</v>
      </c>
      <c r="L1973">
        <f>VLOOKUP(Query1[[#This Row],[Description]],'kits to boards'!$B$2:$E$156,2,FALSE)</f>
        <v>830016</v>
      </c>
      <c r="M1973">
        <f>VLOOKUP(Query1[[#This Row],[Description]],'kits to boards'!$B$2:$E$156,3,FALSE)</f>
        <v>0</v>
      </c>
      <c r="N1973">
        <f>VLOOKUP(Query1[[#This Row],[Description]],'kits to boards'!$B$2:$E$156,4,FALSE)</f>
        <v>0</v>
      </c>
      <c r="O1973" t="str">
        <f>CONCATENATE(Query1[[#This Row],[Description]]," - ",Query1[[#This Row],[MB1]]," - ",Query1[[#This Row],[MB2]]," - ",Query1[[#This Row],[MB3]])</f>
        <v>EVAP KIT 67-68 CAMARO/FIREBIRD W/AC - 830016 - 0 - 0</v>
      </c>
    </row>
    <row r="1974" spans="1:15" x14ac:dyDescent="0.25">
      <c r="A1974" s="1">
        <v>914307</v>
      </c>
      <c r="B1974" s="1" t="s">
        <v>84</v>
      </c>
      <c r="C1974" s="1" t="s">
        <v>85</v>
      </c>
      <c r="D1974" s="2">
        <v>44629.387337534725</v>
      </c>
      <c r="E1974" s="1" t="s">
        <v>8</v>
      </c>
      <c r="F1974" s="1">
        <v>1</v>
      </c>
      <c r="G1974" s="1">
        <v>0</v>
      </c>
      <c r="H1974" s="6">
        <f>INT(Query1[[#This Row],[EntryDateTime]])</f>
        <v>44629</v>
      </c>
      <c r="I1974" s="1">
        <f>IF(Query1[[#This Row],[ItemType]]="EVAP KIT SF GEN IV",Query1[[#This Row],[OrderQty]]+I1973,I1973)</f>
        <v>2321</v>
      </c>
      <c r="J1974" s="1">
        <f>IF(Query1[[#This Row],[ItemType]]="EVAP KIT UNIVERSAL",Query1[[#This Row],[OrderQty]]+J1973,J1973)</f>
        <v>956</v>
      </c>
      <c r="K1974" s="1">
        <f>Query1[[#This Row],[SF Running Total]]+Query1[[#This Row],[UNIV Running Total]]</f>
        <v>3277</v>
      </c>
      <c r="L1974">
        <f>VLOOKUP(Query1[[#This Row],[Description]],'kits to boards'!$B$2:$E$156,2,FALSE)</f>
        <v>830085</v>
      </c>
      <c r="M1974">
        <f>VLOOKUP(Query1[[#This Row],[Description]],'kits to boards'!$B$2:$E$156,3,FALSE)</f>
        <v>0</v>
      </c>
      <c r="N1974">
        <f>VLOOKUP(Query1[[#This Row],[Description]],'kits to boards'!$B$2:$E$156,4,FALSE)</f>
        <v>0</v>
      </c>
      <c r="O1974" t="str">
        <f>CONCATENATE(Query1[[#This Row],[Description]]," - ",Query1[[#This Row],[MB1]]," - ",Query1[[#This Row],[MB2]]," - ",Query1[[#This Row],[MB3]])</f>
        <v>EVAP KIT 66-77 BRONCO 4-VENT PLENUM - 830085 - 0 - 0</v>
      </c>
    </row>
    <row r="1975" spans="1:15" x14ac:dyDescent="0.25">
      <c r="A1975" s="1">
        <v>913469</v>
      </c>
      <c r="B1975" s="1" t="s">
        <v>108</v>
      </c>
      <c r="C1975" s="1" t="s">
        <v>109</v>
      </c>
      <c r="D1975" s="2">
        <v>44629.387925694442</v>
      </c>
      <c r="E1975" s="1" t="s">
        <v>8</v>
      </c>
      <c r="F1975" s="1">
        <v>1</v>
      </c>
      <c r="G1975" s="1">
        <v>0</v>
      </c>
      <c r="H1975" s="6">
        <f>INT(Query1[[#This Row],[EntryDateTime]])</f>
        <v>44629</v>
      </c>
      <c r="I1975" s="1">
        <f>IF(Query1[[#This Row],[ItemType]]="EVAP KIT SF GEN IV",Query1[[#This Row],[OrderQty]]+I1974,I1974)</f>
        <v>2322</v>
      </c>
      <c r="J1975" s="1">
        <f>IF(Query1[[#This Row],[ItemType]]="EVAP KIT UNIVERSAL",Query1[[#This Row],[OrderQty]]+J1974,J1974)</f>
        <v>956</v>
      </c>
      <c r="K1975" s="1">
        <f>Query1[[#This Row],[SF Running Total]]+Query1[[#This Row],[UNIV Running Total]]</f>
        <v>3278</v>
      </c>
      <c r="L1975">
        <f>VLOOKUP(Query1[[#This Row],[Description]],'kits to boards'!$B$2:$E$156,2,FALSE)</f>
        <v>830105</v>
      </c>
      <c r="M1975">
        <f>VLOOKUP(Query1[[#This Row],[Description]],'kits to boards'!$B$2:$E$156,3,FALSE)</f>
        <v>830106</v>
      </c>
      <c r="N1975">
        <f>VLOOKUP(Query1[[#This Row],[Description]],'kits to boards'!$B$2:$E$156,4,FALSE)</f>
        <v>0</v>
      </c>
      <c r="O1975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1976" spans="1:15" x14ac:dyDescent="0.25">
      <c r="A1976" s="1">
        <v>914328</v>
      </c>
      <c r="B1976" s="1" t="s">
        <v>42</v>
      </c>
      <c r="C1976" s="1" t="s">
        <v>43</v>
      </c>
      <c r="D1976" s="2">
        <v>44629.42844398148</v>
      </c>
      <c r="E1976" s="1" t="s">
        <v>8</v>
      </c>
      <c r="F1976" s="1">
        <v>1</v>
      </c>
      <c r="G1976" s="1">
        <v>0</v>
      </c>
      <c r="H1976" s="6">
        <f>INT(Query1[[#This Row],[EntryDateTime]])</f>
        <v>44629</v>
      </c>
      <c r="I1976" s="1">
        <f>IF(Query1[[#This Row],[ItemType]]="EVAP KIT SF GEN IV",Query1[[#This Row],[OrderQty]]+I1975,I1975)</f>
        <v>2323</v>
      </c>
      <c r="J1976" s="1">
        <f>IF(Query1[[#This Row],[ItemType]]="EVAP KIT UNIVERSAL",Query1[[#This Row],[OrderQty]]+J1975,J1975)</f>
        <v>956</v>
      </c>
      <c r="K1976" s="1">
        <f>Query1[[#This Row],[SF Running Total]]+Query1[[#This Row],[UNIV Running Total]]</f>
        <v>3279</v>
      </c>
      <c r="L1976">
        <f>VLOOKUP(Query1[[#This Row],[Description]],'kits to boards'!$B$2:$E$156,2,FALSE)</f>
        <v>830014</v>
      </c>
      <c r="M1976">
        <f>VLOOKUP(Query1[[#This Row],[Description]],'kits to boards'!$B$2:$E$156,3,FALSE)</f>
        <v>0</v>
      </c>
      <c r="N1976">
        <f>VLOOKUP(Query1[[#This Row],[Description]],'kits to boards'!$B$2:$E$156,4,FALSE)</f>
        <v>0</v>
      </c>
      <c r="O1976" t="str">
        <f>CONCATENATE(Query1[[#This Row],[Description]]," - ",Query1[[#This Row],[MB1]]," - ",Query1[[#This Row],[MB2]]," - ",Query1[[#This Row],[MB3]])</f>
        <v>EVAP KIT 67-72 CHEV P-UP WO AC - 830014 - 0 - 0</v>
      </c>
    </row>
    <row r="1977" spans="1:15" x14ac:dyDescent="0.25">
      <c r="A1977" s="1">
        <v>914333</v>
      </c>
      <c r="B1977" s="1" t="s">
        <v>116</v>
      </c>
      <c r="C1977" s="1" t="s">
        <v>117</v>
      </c>
      <c r="D1977" s="2">
        <v>44629.43570509259</v>
      </c>
      <c r="E1977" s="1" t="s">
        <v>8</v>
      </c>
      <c r="F1977" s="1">
        <v>1</v>
      </c>
      <c r="G1977" s="1">
        <v>0</v>
      </c>
      <c r="H1977" s="6">
        <f>INT(Query1[[#This Row],[EntryDateTime]])</f>
        <v>44629</v>
      </c>
      <c r="I1977" s="1">
        <f>IF(Query1[[#This Row],[ItemType]]="EVAP KIT SF GEN IV",Query1[[#This Row],[OrderQty]]+I1976,I1976)</f>
        <v>2324</v>
      </c>
      <c r="J1977" s="1">
        <f>IF(Query1[[#This Row],[ItemType]]="EVAP KIT UNIVERSAL",Query1[[#This Row],[OrderQty]]+J1976,J1976)</f>
        <v>956</v>
      </c>
      <c r="K1977" s="1">
        <f>Query1[[#This Row],[SF Running Total]]+Query1[[#This Row],[UNIV Running Total]]</f>
        <v>3280</v>
      </c>
      <c r="L1977">
        <f>VLOOKUP(Query1[[#This Row],[Description]],'kits to boards'!$B$2:$E$156,2,FALSE)</f>
        <v>830058</v>
      </c>
      <c r="M1977">
        <f>VLOOKUP(Query1[[#This Row],[Description]],'kits to boards'!$B$2:$E$156,3,FALSE)</f>
        <v>0</v>
      </c>
      <c r="N1977">
        <f>VLOOKUP(Query1[[#This Row],[Description]],'kits to boards'!$B$2:$E$156,4,FALSE)</f>
        <v>0</v>
      </c>
      <c r="O1977" t="str">
        <f>CONCATENATE(Query1[[#This Row],[Description]]," - ",Query1[[#This Row],[MB1]]," - ",Query1[[#This Row],[MB2]]," - ",Query1[[#This Row],[MB3]])</f>
        <v>EVAP KIT 64-65 CHEVELLE WO AC - 830058 - 0 - 0</v>
      </c>
    </row>
    <row r="1978" spans="1:15" x14ac:dyDescent="0.25">
      <c r="A1978" s="1">
        <v>914340</v>
      </c>
      <c r="B1978" s="1" t="s">
        <v>82</v>
      </c>
      <c r="C1978" s="1" t="s">
        <v>83</v>
      </c>
      <c r="D1978" s="2">
        <v>44629.447382407408</v>
      </c>
      <c r="E1978" s="1" t="s">
        <v>11</v>
      </c>
      <c r="F1978" s="1">
        <v>2</v>
      </c>
      <c r="G1978" s="1">
        <v>0</v>
      </c>
      <c r="H1978" s="6">
        <f>INT(Query1[[#This Row],[EntryDateTime]])</f>
        <v>44629</v>
      </c>
      <c r="I1978" s="1">
        <f>IF(Query1[[#This Row],[ItemType]]="EVAP KIT SF GEN IV",Query1[[#This Row],[OrderQty]]+I1977,I1977)</f>
        <v>2324</v>
      </c>
      <c r="J1978" s="1">
        <f>IF(Query1[[#This Row],[ItemType]]="EVAP KIT UNIVERSAL",Query1[[#This Row],[OrderQty]]+J1977,J1977)</f>
        <v>958</v>
      </c>
      <c r="K1978" s="1">
        <f>Query1[[#This Row],[SF Running Total]]+Query1[[#This Row],[UNIV Running Total]]</f>
        <v>3282</v>
      </c>
      <c r="L1978">
        <f>VLOOKUP(Query1[[#This Row],[Description]],'kits to boards'!$B$2:$E$156,2,FALSE)</f>
        <v>830029</v>
      </c>
      <c r="M1978">
        <f>VLOOKUP(Query1[[#This Row],[Description]],'kits to boards'!$B$2:$E$156,3,FALSE)</f>
        <v>830030</v>
      </c>
      <c r="N1978">
        <f>VLOOKUP(Query1[[#This Row],[Description]],'kits to boards'!$B$2:$E$156,4,FALSE)</f>
        <v>0</v>
      </c>
      <c r="O1978" t="str">
        <f>CONCATENATE(Query1[[#This Row],[Description]]," - ",Query1[[#This Row],[MB1]]," - ",Query1[[#This Row],[MB2]]," - ",Query1[[#This Row],[MB3]])</f>
        <v>ComPac GEN II H/C - 830029 - 830030 - 0</v>
      </c>
    </row>
    <row r="1979" spans="1:15" x14ac:dyDescent="0.25">
      <c r="A1979" s="1">
        <v>914048</v>
      </c>
      <c r="B1979" s="1" t="s">
        <v>92</v>
      </c>
      <c r="C1979" s="1" t="s">
        <v>93</v>
      </c>
      <c r="D1979" s="2">
        <v>44629.456255289355</v>
      </c>
      <c r="E1979" s="1" t="s">
        <v>8</v>
      </c>
      <c r="F1979" s="1">
        <v>1</v>
      </c>
      <c r="G1979" s="1">
        <v>0</v>
      </c>
      <c r="H1979" s="6">
        <f>INT(Query1[[#This Row],[EntryDateTime]])</f>
        <v>44629</v>
      </c>
      <c r="I1979" s="1">
        <f>IF(Query1[[#This Row],[ItemType]]="EVAP KIT SF GEN IV",Query1[[#This Row],[OrderQty]]+I1978,I1978)</f>
        <v>2325</v>
      </c>
      <c r="J1979" s="1">
        <f>IF(Query1[[#This Row],[ItemType]]="EVAP KIT UNIVERSAL",Query1[[#This Row],[OrderQty]]+J1978,J1978)</f>
        <v>958</v>
      </c>
      <c r="K1979" s="1">
        <f>Query1[[#This Row],[SF Running Total]]+Query1[[#This Row],[UNIV Running Total]]</f>
        <v>3283</v>
      </c>
      <c r="L1979">
        <f>VLOOKUP(Query1[[#This Row],[Description]],'kits to boards'!$B$2:$E$156,2,FALSE)</f>
        <v>830063</v>
      </c>
      <c r="M1979">
        <f>VLOOKUP(Query1[[#This Row],[Description]],'kits to boards'!$B$2:$E$156,3,FALSE)</f>
        <v>0</v>
      </c>
      <c r="N1979">
        <f>VLOOKUP(Query1[[#This Row],[Description]],'kits to boards'!$B$2:$E$156,4,FALSE)</f>
        <v>0</v>
      </c>
      <c r="O1979" t="str">
        <f>CONCATENATE(Query1[[#This Row],[Description]]," - ",Query1[[#This Row],[MB1]]," - ",Query1[[#This Row],[MB2]]," - ",Query1[[#This Row],[MB3]])</f>
        <v>EVAP KIT 50-53 CHEV P-UP GEN IV - 830063 - 0 - 0</v>
      </c>
    </row>
    <row r="1980" spans="1:15" x14ac:dyDescent="0.25">
      <c r="A1980" s="1">
        <v>914274</v>
      </c>
      <c r="B1980" s="1" t="s">
        <v>96</v>
      </c>
      <c r="C1980" s="1" t="s">
        <v>97</v>
      </c>
      <c r="D1980" s="2">
        <v>44629.490802812499</v>
      </c>
      <c r="E1980" s="1" t="s">
        <v>8</v>
      </c>
      <c r="F1980" s="1">
        <v>1</v>
      </c>
      <c r="G1980" s="1">
        <v>0</v>
      </c>
      <c r="H1980" s="6">
        <f>INT(Query1[[#This Row],[EntryDateTime]])</f>
        <v>44629</v>
      </c>
      <c r="I1980" s="1">
        <f>IF(Query1[[#This Row],[ItemType]]="EVAP KIT SF GEN IV",Query1[[#This Row],[OrderQty]]+I1979,I1979)</f>
        <v>2326</v>
      </c>
      <c r="J1980" s="1">
        <f>IF(Query1[[#This Row],[ItemType]]="EVAP KIT UNIVERSAL",Query1[[#This Row],[OrderQty]]+J1979,J1979)</f>
        <v>958</v>
      </c>
      <c r="K1980" s="1">
        <f>Query1[[#This Row],[SF Running Total]]+Query1[[#This Row],[UNIV Running Total]]</f>
        <v>3284</v>
      </c>
      <c r="L1980">
        <f>VLOOKUP(Query1[[#This Row],[Description]],'kits to boards'!$B$2:$E$156,2,FALSE)</f>
        <v>830004</v>
      </c>
      <c r="M1980">
        <f>VLOOKUP(Query1[[#This Row],[Description]],'kits to boards'!$B$2:$E$156,3,FALSE)</f>
        <v>0</v>
      </c>
      <c r="N1980">
        <f>VLOOKUP(Query1[[#This Row],[Description]],'kits to boards'!$B$2:$E$156,4,FALSE)</f>
        <v>0</v>
      </c>
      <c r="O1980" t="str">
        <f>CONCATENATE(Query1[[#This Row],[Description]]," - ",Query1[[#This Row],[MB1]]," - ",Query1[[#This Row],[MB2]]," - ",Query1[[#This Row],[MB3]])</f>
        <v>EVAP KIT 81-87 CHEV P-UP W/AC - 830004 - 0 - 0</v>
      </c>
    </row>
    <row r="1981" spans="1:15" x14ac:dyDescent="0.25">
      <c r="A1981" s="1">
        <v>914351</v>
      </c>
      <c r="B1981" s="1" t="s">
        <v>36</v>
      </c>
      <c r="C1981" s="1" t="s">
        <v>37</v>
      </c>
      <c r="D1981" s="2">
        <v>44629.492088460647</v>
      </c>
      <c r="E1981" s="1" t="s">
        <v>8</v>
      </c>
      <c r="F1981" s="1">
        <v>1</v>
      </c>
      <c r="G1981" s="1">
        <v>0</v>
      </c>
      <c r="H1981" s="6">
        <f>INT(Query1[[#This Row],[EntryDateTime]])</f>
        <v>44629</v>
      </c>
      <c r="I1981" s="1">
        <f>IF(Query1[[#This Row],[ItemType]]="EVAP KIT SF GEN IV",Query1[[#This Row],[OrderQty]]+I1980,I1980)</f>
        <v>2327</v>
      </c>
      <c r="J1981" s="1">
        <f>IF(Query1[[#This Row],[ItemType]]="EVAP KIT UNIVERSAL",Query1[[#This Row],[OrderQty]]+J1980,J1980)</f>
        <v>958</v>
      </c>
      <c r="K1981" s="1">
        <f>Query1[[#This Row],[SF Running Total]]+Query1[[#This Row],[UNIV Running Total]]</f>
        <v>3285</v>
      </c>
      <c r="L1981">
        <f>VLOOKUP(Query1[[#This Row],[Description]],'kits to boards'!$B$2:$E$156,2,FALSE)</f>
        <v>830015</v>
      </c>
      <c r="M1981">
        <f>VLOOKUP(Query1[[#This Row],[Description]],'kits to boards'!$B$2:$E$156,3,FALSE)</f>
        <v>0</v>
      </c>
      <c r="N1981">
        <f>VLOOKUP(Query1[[#This Row],[Description]],'kits to boards'!$B$2:$E$156,4,FALSE)</f>
        <v>0</v>
      </c>
      <c r="O1981" t="str">
        <f>CONCATENATE(Query1[[#This Row],[Description]]," - ",Query1[[#This Row],[MB1]]," - ",Query1[[#This Row],[MB2]]," - ",Query1[[#This Row],[MB3]])</f>
        <v>EVAP KIT 64-66 CHEV P-UP WO AC W/STD - 830015 - 0 - 0</v>
      </c>
    </row>
    <row r="1982" spans="1:15" x14ac:dyDescent="0.25">
      <c r="A1982" s="1">
        <v>913850</v>
      </c>
      <c r="B1982" s="1" t="s">
        <v>132</v>
      </c>
      <c r="C1982" s="1" t="s">
        <v>133</v>
      </c>
      <c r="D1982" s="2">
        <v>44629.495011574072</v>
      </c>
      <c r="E1982" s="1" t="s">
        <v>8</v>
      </c>
      <c r="F1982" s="1">
        <v>1</v>
      </c>
      <c r="G1982" s="1">
        <v>0</v>
      </c>
      <c r="H1982" s="6">
        <f>INT(Query1[[#This Row],[EntryDateTime]])</f>
        <v>44629</v>
      </c>
      <c r="I1982" s="1">
        <f>IF(Query1[[#This Row],[ItemType]]="EVAP KIT SF GEN IV",Query1[[#This Row],[OrderQty]]+I1981,I1981)</f>
        <v>2328</v>
      </c>
      <c r="J1982" s="1">
        <f>IF(Query1[[#This Row],[ItemType]]="EVAP KIT UNIVERSAL",Query1[[#This Row],[OrderQty]]+J1981,J1981)</f>
        <v>958</v>
      </c>
      <c r="K1982" s="1">
        <f>Query1[[#This Row],[SF Running Total]]+Query1[[#This Row],[UNIV Running Total]]</f>
        <v>3286</v>
      </c>
      <c r="L1982">
        <f>VLOOKUP(Query1[[#This Row],[Description]],'kits to boards'!$B$2:$E$156,2,FALSE)</f>
        <v>830005</v>
      </c>
      <c r="M1982">
        <f>VLOOKUP(Query1[[#This Row],[Description]],'kits to boards'!$B$2:$E$156,3,FALSE)</f>
        <v>0</v>
      </c>
      <c r="N1982">
        <f>VLOOKUP(Query1[[#This Row],[Description]],'kits to boards'!$B$2:$E$156,4,FALSE)</f>
        <v>0</v>
      </c>
      <c r="O1982" t="str">
        <f>CONCATENATE(Query1[[#This Row],[Description]]," - ",Query1[[#This Row],[MB1]]," - ",Query1[[#This Row],[MB2]]," - ",Query1[[#This Row],[MB3]])</f>
        <v>EVAP KIT 61-62 IMPALA WO AC - 830005 - 0 - 0</v>
      </c>
    </row>
    <row r="1983" spans="1:15" x14ac:dyDescent="0.25">
      <c r="A1983" s="1">
        <v>912114</v>
      </c>
      <c r="B1983" s="1" t="s">
        <v>106</v>
      </c>
      <c r="C1983" s="1" t="s">
        <v>253</v>
      </c>
      <c r="D1983" s="2">
        <v>44629.498310300929</v>
      </c>
      <c r="E1983" s="1" t="s">
        <v>8</v>
      </c>
      <c r="F1983" s="1">
        <v>1</v>
      </c>
      <c r="G1983" s="1">
        <v>0</v>
      </c>
      <c r="H1983" s="6">
        <f>INT(Query1[[#This Row],[EntryDateTime]])</f>
        <v>44629</v>
      </c>
      <c r="I1983" s="1">
        <f>IF(Query1[[#This Row],[ItemType]]="EVAP KIT SF GEN IV",Query1[[#This Row],[OrderQty]]+I1982,I1982)</f>
        <v>2329</v>
      </c>
      <c r="J1983" s="1">
        <f>IF(Query1[[#This Row],[ItemType]]="EVAP KIT UNIVERSAL",Query1[[#This Row],[OrderQty]]+J1982,J1982)</f>
        <v>958</v>
      </c>
      <c r="K1983" s="1">
        <f>Query1[[#This Row],[SF Running Total]]+Query1[[#This Row],[UNIV Running Total]]</f>
        <v>3287</v>
      </c>
      <c r="L1983">
        <f>VLOOKUP(Query1[[#This Row],[Description]],'kits to boards'!$B$2:$E$156,2,FALSE)</f>
        <v>830028</v>
      </c>
      <c r="M1983">
        <f>VLOOKUP(Query1[[#This Row],[Description]],'kits to boards'!$B$2:$E$156,3,FALSE)</f>
        <v>0</v>
      </c>
      <c r="N1983">
        <f>VLOOKUP(Query1[[#This Row],[Description]],'kits to boards'!$B$2:$E$156,4,FALSE)</f>
        <v>0</v>
      </c>
      <c r="O1983" t="str">
        <f>CONCATENATE(Query1[[#This Row],[Description]]," - ",Query1[[#This Row],[MB1]]," - ",Query1[[#This Row],[MB2]]," - ",Query1[[#This Row],[MB3]])</f>
        <v>EVAP KIT 55-59 CHEV P-UP WO AC W/DELX  - 830028 - 0 - 0</v>
      </c>
    </row>
    <row r="1984" spans="1:15" x14ac:dyDescent="0.25">
      <c r="A1984" s="1">
        <v>914354</v>
      </c>
      <c r="B1984" s="1" t="s">
        <v>24</v>
      </c>
      <c r="C1984" s="1" t="s">
        <v>25</v>
      </c>
      <c r="D1984" s="2">
        <v>44629.501737152779</v>
      </c>
      <c r="E1984" s="1" t="s">
        <v>11</v>
      </c>
      <c r="F1984" s="1">
        <v>6</v>
      </c>
      <c r="G1984" s="1">
        <v>0</v>
      </c>
      <c r="H1984" s="6">
        <f>INT(Query1[[#This Row],[EntryDateTime]])</f>
        <v>44629</v>
      </c>
      <c r="I1984" s="1">
        <f>IF(Query1[[#This Row],[ItemType]]="EVAP KIT SF GEN IV",Query1[[#This Row],[OrderQty]]+I1983,I1983)</f>
        <v>2329</v>
      </c>
      <c r="J1984" s="1">
        <f>IF(Query1[[#This Row],[ItemType]]="EVAP KIT UNIVERSAL",Query1[[#This Row],[OrderQty]]+J1983,J1983)</f>
        <v>964</v>
      </c>
      <c r="K1984" s="1">
        <f>Query1[[#This Row],[SF Running Total]]+Query1[[#This Row],[UNIV Running Total]]</f>
        <v>3293</v>
      </c>
      <c r="L1984">
        <f>VLOOKUP(Query1[[#This Row],[Description]],'kits to boards'!$B$2:$E$156,2,FALSE)</f>
        <v>830029</v>
      </c>
      <c r="M1984">
        <f>VLOOKUP(Query1[[#This Row],[Description]],'kits to boards'!$B$2:$E$156,3,FALSE)</f>
        <v>830030</v>
      </c>
      <c r="N1984">
        <f>VLOOKUP(Query1[[#This Row],[Description]],'kits to boards'!$B$2:$E$156,4,FALSE)</f>
        <v>0</v>
      </c>
      <c r="O1984" t="str">
        <f>CONCATENATE(Query1[[#This Row],[Description]]," - ",Query1[[#This Row],[MB1]]," - ",Query1[[#This Row],[MB2]]," - ",Query1[[#This Row],[MB3]])</f>
        <v>ComPac GEN II W/DEF - 830029 - 830030 - 0</v>
      </c>
    </row>
    <row r="1985" spans="1:15" x14ac:dyDescent="0.25">
      <c r="A1985" s="1">
        <v>914355</v>
      </c>
      <c r="B1985" s="1" t="s">
        <v>52</v>
      </c>
      <c r="C1985" s="1" t="s">
        <v>53</v>
      </c>
      <c r="D1985" s="2">
        <v>44629.507008333334</v>
      </c>
      <c r="E1985" s="1" t="s">
        <v>8</v>
      </c>
      <c r="F1985" s="1">
        <v>1</v>
      </c>
      <c r="G1985" s="1">
        <v>0</v>
      </c>
      <c r="H1985" s="6">
        <f>INT(Query1[[#This Row],[EntryDateTime]])</f>
        <v>44629</v>
      </c>
      <c r="I1985" s="1">
        <f>IF(Query1[[#This Row],[ItemType]]="EVAP KIT SF GEN IV",Query1[[#This Row],[OrderQty]]+I1984,I1984)</f>
        <v>2330</v>
      </c>
      <c r="J1985" s="1">
        <f>IF(Query1[[#This Row],[ItemType]]="EVAP KIT UNIVERSAL",Query1[[#This Row],[OrderQty]]+J1984,J1984)</f>
        <v>964</v>
      </c>
      <c r="K1985" s="1">
        <f>Query1[[#This Row],[SF Running Total]]+Query1[[#This Row],[UNIV Running Total]]</f>
        <v>3294</v>
      </c>
      <c r="L1985">
        <f>VLOOKUP(Query1[[#This Row],[Description]],'kits to boards'!$B$2:$E$156,2,FALSE)</f>
        <v>830017</v>
      </c>
      <c r="M1985">
        <f>VLOOKUP(Query1[[#This Row],[Description]],'kits to boards'!$B$2:$E$156,3,FALSE)</f>
        <v>830119</v>
      </c>
      <c r="N1985">
        <f>VLOOKUP(Query1[[#This Row],[Description]],'kits to boards'!$B$2:$E$156,4,FALSE)</f>
        <v>830120</v>
      </c>
      <c r="O1985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1986" spans="1:15" x14ac:dyDescent="0.25">
      <c r="A1986" s="1">
        <v>914356</v>
      </c>
      <c r="B1986" s="1" t="s">
        <v>36</v>
      </c>
      <c r="C1986" s="1" t="s">
        <v>37</v>
      </c>
      <c r="D1986" s="2">
        <v>44629.51137734954</v>
      </c>
      <c r="E1986" s="1" t="s">
        <v>8</v>
      </c>
      <c r="F1986" s="1">
        <v>1</v>
      </c>
      <c r="G1986" s="1">
        <v>0</v>
      </c>
      <c r="H1986" s="6">
        <f>INT(Query1[[#This Row],[EntryDateTime]])</f>
        <v>44629</v>
      </c>
      <c r="I1986" s="1">
        <f>IF(Query1[[#This Row],[ItemType]]="EVAP KIT SF GEN IV",Query1[[#This Row],[OrderQty]]+I1985,I1985)</f>
        <v>2331</v>
      </c>
      <c r="J1986" s="1">
        <f>IF(Query1[[#This Row],[ItemType]]="EVAP KIT UNIVERSAL",Query1[[#This Row],[OrderQty]]+J1985,J1985)</f>
        <v>964</v>
      </c>
      <c r="K1986" s="1">
        <f>Query1[[#This Row],[SF Running Total]]+Query1[[#This Row],[UNIV Running Total]]</f>
        <v>3295</v>
      </c>
      <c r="L1986">
        <f>VLOOKUP(Query1[[#This Row],[Description]],'kits to boards'!$B$2:$E$156,2,FALSE)</f>
        <v>830015</v>
      </c>
      <c r="M1986">
        <f>VLOOKUP(Query1[[#This Row],[Description]],'kits to boards'!$B$2:$E$156,3,FALSE)</f>
        <v>0</v>
      </c>
      <c r="N1986">
        <f>VLOOKUP(Query1[[#This Row],[Description]],'kits to boards'!$B$2:$E$156,4,FALSE)</f>
        <v>0</v>
      </c>
      <c r="O1986" t="str">
        <f>CONCATENATE(Query1[[#This Row],[Description]]," - ",Query1[[#This Row],[MB1]]," - ",Query1[[#This Row],[MB2]]," - ",Query1[[#This Row],[MB3]])</f>
        <v>EVAP KIT 64-66 CHEV P-UP WO AC W/STD - 830015 - 0 - 0</v>
      </c>
    </row>
    <row r="1987" spans="1:15" x14ac:dyDescent="0.25">
      <c r="A1987" s="1">
        <v>914357</v>
      </c>
      <c r="B1987" s="1" t="s">
        <v>72</v>
      </c>
      <c r="C1987" s="1" t="s">
        <v>73</v>
      </c>
      <c r="D1987" s="2">
        <v>44629.513870752315</v>
      </c>
      <c r="E1987" s="1" t="s">
        <v>8</v>
      </c>
      <c r="F1987" s="1">
        <v>1</v>
      </c>
      <c r="G1987" s="1">
        <v>0</v>
      </c>
      <c r="H1987" s="6">
        <f>INT(Query1[[#This Row],[EntryDateTime]])</f>
        <v>44629</v>
      </c>
      <c r="I1987" s="1">
        <f>IF(Query1[[#This Row],[ItemType]]="EVAP KIT SF GEN IV",Query1[[#This Row],[OrderQty]]+I1986,I1986)</f>
        <v>2332</v>
      </c>
      <c r="J1987" s="1">
        <f>IF(Query1[[#This Row],[ItemType]]="EVAP KIT UNIVERSAL",Query1[[#This Row],[OrderQty]]+J1986,J1986)</f>
        <v>964</v>
      </c>
      <c r="K1987" s="1">
        <f>Query1[[#This Row],[SF Running Total]]+Query1[[#This Row],[UNIV Running Total]]</f>
        <v>3296</v>
      </c>
      <c r="L1987">
        <f>VLOOKUP(Query1[[#This Row],[Description]],'kits to boards'!$B$2:$E$156,2,FALSE)</f>
        <v>830043</v>
      </c>
      <c r="M1987">
        <f>VLOOKUP(Query1[[#This Row],[Description]],'kits to boards'!$B$2:$E$156,3,FALSE)</f>
        <v>0</v>
      </c>
      <c r="N1987">
        <f>VLOOKUP(Query1[[#This Row],[Description]],'kits to boards'!$B$2:$E$156,4,FALSE)</f>
        <v>0</v>
      </c>
      <c r="O1987" t="str">
        <f>CONCATENATE(Query1[[#This Row],[Description]]," - ",Query1[[#This Row],[MB1]]," - ",Query1[[#This Row],[MB2]]," - ",Query1[[#This Row],[MB3]])</f>
        <v>EVAP KIT 69-74 NOVA W/AC - 830043 - 0 - 0</v>
      </c>
    </row>
    <row r="1988" spans="1:15" x14ac:dyDescent="0.25">
      <c r="A1988" s="1">
        <v>914358</v>
      </c>
      <c r="B1988" s="1" t="s">
        <v>26</v>
      </c>
      <c r="C1988" s="1" t="s">
        <v>27</v>
      </c>
      <c r="D1988" s="2">
        <v>44629.515024108798</v>
      </c>
      <c r="E1988" s="1" t="s">
        <v>8</v>
      </c>
      <c r="F1988" s="1">
        <v>1</v>
      </c>
      <c r="G1988" s="1">
        <v>0</v>
      </c>
      <c r="H1988" s="6">
        <f>INT(Query1[[#This Row],[EntryDateTime]])</f>
        <v>44629</v>
      </c>
      <c r="I1988" s="1">
        <f>IF(Query1[[#This Row],[ItemType]]="EVAP KIT SF GEN IV",Query1[[#This Row],[OrderQty]]+I1987,I1987)</f>
        <v>2333</v>
      </c>
      <c r="J1988" s="1">
        <f>IF(Query1[[#This Row],[ItemType]]="EVAP KIT UNIVERSAL",Query1[[#This Row],[OrderQty]]+J1987,J1987)</f>
        <v>964</v>
      </c>
      <c r="K1988" s="1">
        <f>Query1[[#This Row],[SF Running Total]]+Query1[[#This Row],[UNIV Running Total]]</f>
        <v>3297</v>
      </c>
      <c r="L1988">
        <f>VLOOKUP(Query1[[#This Row],[Description]],'kits to boards'!$B$2:$E$156,2,FALSE)</f>
        <v>830013</v>
      </c>
      <c r="M1988">
        <f>VLOOKUP(Query1[[#This Row],[Description]],'kits to boards'!$B$2:$E$156,3,FALSE)</f>
        <v>0</v>
      </c>
      <c r="N1988">
        <f>VLOOKUP(Query1[[#This Row],[Description]],'kits to boards'!$B$2:$E$156,4,FALSE)</f>
        <v>0</v>
      </c>
      <c r="O1988" t="str">
        <f>CONCATENATE(Query1[[#This Row],[Description]]," - ",Query1[[#This Row],[MB1]]," - ",Query1[[#This Row],[MB2]]," - ",Query1[[#This Row],[MB3]])</f>
        <v>EVAP KIT 67-72 CHEV P-UP W/AC - 830013 - 0 - 0</v>
      </c>
    </row>
    <row r="1989" spans="1:15" x14ac:dyDescent="0.25">
      <c r="A1989" s="1">
        <v>914361</v>
      </c>
      <c r="B1989" s="1" t="s">
        <v>22</v>
      </c>
      <c r="C1989" s="1" t="s">
        <v>23</v>
      </c>
      <c r="D1989" s="2">
        <v>44629.518052511572</v>
      </c>
      <c r="E1989" s="1" t="s">
        <v>8</v>
      </c>
      <c r="F1989" s="1">
        <v>1</v>
      </c>
      <c r="G1989" s="1">
        <v>0</v>
      </c>
      <c r="H1989" s="6">
        <f>INT(Query1[[#This Row],[EntryDateTime]])</f>
        <v>44629</v>
      </c>
      <c r="I1989" s="1">
        <f>IF(Query1[[#This Row],[ItemType]]="EVAP KIT SF GEN IV",Query1[[#This Row],[OrderQty]]+I1988,I1988)</f>
        <v>2334</v>
      </c>
      <c r="J1989" s="1">
        <f>IF(Query1[[#This Row],[ItemType]]="EVAP KIT UNIVERSAL",Query1[[#This Row],[OrderQty]]+J1988,J1988)</f>
        <v>964</v>
      </c>
      <c r="K1989" s="1">
        <f>Query1[[#This Row],[SF Running Total]]+Query1[[#This Row],[UNIV Running Total]]</f>
        <v>3298</v>
      </c>
      <c r="L1989">
        <f>VLOOKUP(Query1[[#This Row],[Description]],'kits to boards'!$B$2:$E$156,2,FALSE)</f>
        <v>830083</v>
      </c>
      <c r="M1989">
        <f>VLOOKUP(Query1[[#This Row],[Description]],'kits to boards'!$B$2:$E$156,3,FALSE)</f>
        <v>0</v>
      </c>
      <c r="N1989">
        <f>VLOOKUP(Query1[[#This Row],[Description]],'kits to boards'!$B$2:$E$156,4,FALSE)</f>
        <v>0</v>
      </c>
      <c r="O1989" t="str">
        <f>CONCATENATE(Query1[[#This Row],[Description]]," - ",Query1[[#This Row],[MB1]]," - ",Query1[[#This Row],[MB2]]," - ",Query1[[#This Row],[MB3]])</f>
        <v>GEN IV MAGNUM EVAP KIT - 830083 - 0 - 0</v>
      </c>
    </row>
    <row r="1990" spans="1:15" x14ac:dyDescent="0.25">
      <c r="A1990" s="1">
        <v>914362</v>
      </c>
      <c r="B1990" s="1" t="s">
        <v>32</v>
      </c>
      <c r="C1990" s="1" t="s">
        <v>33</v>
      </c>
      <c r="D1990" s="2">
        <v>44629.521361539351</v>
      </c>
      <c r="E1990" s="1" t="s">
        <v>8</v>
      </c>
      <c r="F1990" s="1">
        <v>2</v>
      </c>
      <c r="G1990" s="1">
        <v>0</v>
      </c>
      <c r="H1990" s="6">
        <f>INT(Query1[[#This Row],[EntryDateTime]])</f>
        <v>44629</v>
      </c>
      <c r="I1990" s="1">
        <f>IF(Query1[[#This Row],[ItemType]]="EVAP KIT SF GEN IV",Query1[[#This Row],[OrderQty]]+I1989,I1989)</f>
        <v>2336</v>
      </c>
      <c r="J1990" s="1">
        <f>IF(Query1[[#This Row],[ItemType]]="EVAP KIT UNIVERSAL",Query1[[#This Row],[OrderQty]]+J1989,J1989)</f>
        <v>964</v>
      </c>
      <c r="K1990" s="1">
        <f>Query1[[#This Row],[SF Running Total]]+Query1[[#This Row],[UNIV Running Total]]</f>
        <v>3300</v>
      </c>
      <c r="L1990">
        <f>VLOOKUP(Query1[[#This Row],[Description]],'kits to boards'!$B$2:$E$156,2,FALSE)</f>
        <v>830016</v>
      </c>
      <c r="M1990">
        <f>VLOOKUP(Query1[[#This Row],[Description]],'kits to boards'!$B$2:$E$156,3,FALSE)</f>
        <v>0</v>
      </c>
      <c r="N1990">
        <f>VLOOKUP(Query1[[#This Row],[Description]],'kits to boards'!$B$2:$E$156,4,FALSE)</f>
        <v>0</v>
      </c>
      <c r="O1990" t="str">
        <f>CONCATENATE(Query1[[#This Row],[Description]]," - ",Query1[[#This Row],[MB1]]," - ",Query1[[#This Row],[MB2]]," - ",Query1[[#This Row],[MB3]])</f>
        <v>EVAP KIT 67-68 CAMARO/FIREBIRD W/AC - 830016 - 0 - 0</v>
      </c>
    </row>
    <row r="1991" spans="1:15" x14ac:dyDescent="0.25">
      <c r="A1991" s="1">
        <v>914367</v>
      </c>
      <c r="B1991" s="1" t="s">
        <v>186</v>
      </c>
      <c r="C1991" s="1" t="s">
        <v>187</v>
      </c>
      <c r="D1991" s="2">
        <v>44629.525374571756</v>
      </c>
      <c r="E1991" s="1" t="s">
        <v>8</v>
      </c>
      <c r="F1991" s="1">
        <v>1</v>
      </c>
      <c r="G1991" s="1">
        <v>0</v>
      </c>
      <c r="H1991" s="6">
        <f>INT(Query1[[#This Row],[EntryDateTime]])</f>
        <v>44629</v>
      </c>
      <c r="I1991" s="1">
        <f>IF(Query1[[#This Row],[ItemType]]="EVAP KIT SF GEN IV",Query1[[#This Row],[OrderQty]]+I1990,I1990)</f>
        <v>2337</v>
      </c>
      <c r="J1991" s="1">
        <f>IF(Query1[[#This Row],[ItemType]]="EVAP KIT UNIVERSAL",Query1[[#This Row],[OrderQty]]+J1990,J1990)</f>
        <v>964</v>
      </c>
      <c r="K1991" s="1">
        <f>Query1[[#This Row],[SF Running Total]]+Query1[[#This Row],[UNIV Running Total]]</f>
        <v>3301</v>
      </c>
      <c r="L1991">
        <f>VLOOKUP(Query1[[#This Row],[Description]],'kits to boards'!$B$2:$E$156,2,FALSE)</f>
        <v>830125</v>
      </c>
      <c r="M1991">
        <f>VLOOKUP(Query1[[#This Row],[Description]],'kits to boards'!$B$2:$E$156,3,FALSE)</f>
        <v>830126</v>
      </c>
      <c r="N1991">
        <f>VLOOKUP(Query1[[#This Row],[Description]],'kits to boards'!$B$2:$E$156,4,FALSE)</f>
        <v>0</v>
      </c>
      <c r="O1991" t="str">
        <f>CONCATENATE(Query1[[#This Row],[Description]]," - ",Query1[[#This Row],[MB1]]," - ",Query1[[#This Row],[MB2]]," - ",Query1[[#This Row],[MB3]])</f>
        <v>EVAP KIT 65-66 IMPALA WO/AC - 830125 - 830126 - 0</v>
      </c>
    </row>
    <row r="1992" spans="1:15" x14ac:dyDescent="0.25">
      <c r="A1992" s="1">
        <v>914369</v>
      </c>
      <c r="B1992" s="1" t="s">
        <v>94</v>
      </c>
      <c r="C1992" s="1" t="s">
        <v>95</v>
      </c>
      <c r="D1992" s="2">
        <v>44629.530888310182</v>
      </c>
      <c r="E1992" s="1" t="s">
        <v>8</v>
      </c>
      <c r="F1992" s="1">
        <v>1</v>
      </c>
      <c r="G1992" s="1">
        <v>0</v>
      </c>
      <c r="H1992" s="6">
        <f>INT(Query1[[#This Row],[EntryDateTime]])</f>
        <v>44629</v>
      </c>
      <c r="I1992" s="1">
        <f>IF(Query1[[#This Row],[ItemType]]="EVAP KIT SF GEN IV",Query1[[#This Row],[OrderQty]]+I1991,I1991)</f>
        <v>2338</v>
      </c>
      <c r="J1992" s="1">
        <f>IF(Query1[[#This Row],[ItemType]]="EVAP KIT UNIVERSAL",Query1[[#This Row],[OrderQty]]+J1991,J1991)</f>
        <v>964</v>
      </c>
      <c r="K1992" s="1">
        <f>Query1[[#This Row],[SF Running Total]]+Query1[[#This Row],[UNIV Running Total]]</f>
        <v>3302</v>
      </c>
      <c r="L1992">
        <f>VLOOKUP(Query1[[#This Row],[Description]],'kits to boards'!$B$2:$E$156,2,FALSE)</f>
        <v>830076</v>
      </c>
      <c r="M1992">
        <f>VLOOKUP(Query1[[#This Row],[Description]],'kits to boards'!$B$2:$E$156,3,FALSE)</f>
        <v>0</v>
      </c>
      <c r="N1992">
        <f>VLOOKUP(Query1[[#This Row],[Description]],'kits to boards'!$B$2:$E$156,4,FALSE)</f>
        <v>0</v>
      </c>
      <c r="O1992" t="str">
        <f>CONCATENATE(Query1[[#This Row],[Description]]," - ",Query1[[#This Row],[MB1]]," - ",Query1[[#This Row],[MB2]]," - ",Query1[[#This Row],[MB3]])</f>
        <v>EVAP KIT 64 1/2- 66 MUSTANG  - 830076 - 0 - 0</v>
      </c>
    </row>
    <row r="1993" spans="1:15" x14ac:dyDescent="0.25">
      <c r="A1993" s="1">
        <v>914377</v>
      </c>
      <c r="B1993" s="1" t="s">
        <v>56</v>
      </c>
      <c r="C1993" s="1" t="s">
        <v>57</v>
      </c>
      <c r="D1993" s="2">
        <v>44629.555083680556</v>
      </c>
      <c r="E1993" s="1" t="s">
        <v>8</v>
      </c>
      <c r="F1993" s="1">
        <v>1</v>
      </c>
      <c r="G1993" s="1">
        <v>0</v>
      </c>
      <c r="H1993" s="6">
        <f>INT(Query1[[#This Row],[EntryDateTime]])</f>
        <v>44629</v>
      </c>
      <c r="I1993" s="1">
        <f>IF(Query1[[#This Row],[ItemType]]="EVAP KIT SF GEN IV",Query1[[#This Row],[OrderQty]]+I1992,I1992)</f>
        <v>2339</v>
      </c>
      <c r="J1993" s="1">
        <f>IF(Query1[[#This Row],[ItemType]]="EVAP KIT UNIVERSAL",Query1[[#This Row],[OrderQty]]+J1992,J1992)</f>
        <v>964</v>
      </c>
      <c r="K1993" s="1">
        <f>Query1[[#This Row],[SF Running Total]]+Query1[[#This Row],[UNIV Running Total]]</f>
        <v>3303</v>
      </c>
      <c r="L1993">
        <f>VLOOKUP(Query1[[#This Row],[Description]],'kits to boards'!$B$2:$E$156,2,FALSE)</f>
        <v>830011</v>
      </c>
      <c r="M1993">
        <f>VLOOKUP(Query1[[#This Row],[Description]],'kits to boards'!$B$2:$E$156,3,FALSE)</f>
        <v>0</v>
      </c>
      <c r="N1993">
        <f>VLOOKUP(Query1[[#This Row],[Description]],'kits to boards'!$B$2:$E$156,4,FALSE)</f>
        <v>0</v>
      </c>
      <c r="O1993" t="str">
        <f>CONCATENATE(Query1[[#This Row],[Description]]," - ",Query1[[#This Row],[MB1]]," - ",Query1[[#This Row],[MB2]]," - ",Query1[[#This Row],[MB3]])</f>
        <v>EVAP KIT 70-72 CHEVELLE W/AC - 830011 - 0 - 0</v>
      </c>
    </row>
    <row r="1994" spans="1:15" x14ac:dyDescent="0.25">
      <c r="A1994" s="1">
        <v>914382</v>
      </c>
      <c r="B1994" s="1" t="s">
        <v>228</v>
      </c>
      <c r="C1994" s="1" t="s">
        <v>229</v>
      </c>
      <c r="D1994" s="2">
        <v>44629.560396099536</v>
      </c>
      <c r="E1994" s="1" t="s">
        <v>8</v>
      </c>
      <c r="F1994" s="1">
        <v>1</v>
      </c>
      <c r="G1994" s="1">
        <v>0</v>
      </c>
      <c r="H1994" s="6">
        <f>INT(Query1[[#This Row],[EntryDateTime]])</f>
        <v>44629</v>
      </c>
      <c r="I1994" s="1">
        <f>IF(Query1[[#This Row],[ItemType]]="EVAP KIT SF GEN IV",Query1[[#This Row],[OrderQty]]+I1993,I1993)</f>
        <v>2340</v>
      </c>
      <c r="J1994" s="1">
        <f>IF(Query1[[#This Row],[ItemType]]="EVAP KIT UNIVERSAL",Query1[[#This Row],[OrderQty]]+J1993,J1993)</f>
        <v>964</v>
      </c>
      <c r="K1994" s="1">
        <f>Query1[[#This Row],[SF Running Total]]+Query1[[#This Row],[UNIV Running Total]]</f>
        <v>3304</v>
      </c>
      <c r="L1994">
        <f>VLOOKUP(Query1[[#This Row],[Description]],'kits to boards'!$B$2:$E$156,2,FALSE)</f>
        <v>830044</v>
      </c>
      <c r="M1994">
        <f>VLOOKUP(Query1[[#This Row],[Description]],'kits to boards'!$B$2:$E$156,3,FALSE)</f>
        <v>0</v>
      </c>
      <c r="N1994">
        <f>VLOOKUP(Query1[[#This Row],[Description]],'kits to boards'!$B$2:$E$156,4,FALSE)</f>
        <v>0</v>
      </c>
      <c r="O1994" t="str">
        <f>CONCATENATE(Query1[[#This Row],[Description]]," - ",Query1[[#This Row],[MB1]]," - ",Query1[[#This Row],[MB2]]," - ",Query1[[#This Row],[MB3]])</f>
        <v>EVAP KIT 64-65 FALCON/RANCHERO - 830044 - 0 - 0</v>
      </c>
    </row>
    <row r="1995" spans="1:15" x14ac:dyDescent="0.25">
      <c r="A1995" s="1">
        <v>914387</v>
      </c>
      <c r="B1995" s="1" t="s">
        <v>84</v>
      </c>
      <c r="C1995" s="1" t="s">
        <v>85</v>
      </c>
      <c r="D1995" s="2">
        <v>44629.567595601853</v>
      </c>
      <c r="E1995" s="1" t="s">
        <v>8</v>
      </c>
      <c r="F1995" s="1">
        <v>4</v>
      </c>
      <c r="G1995" s="1">
        <v>0</v>
      </c>
      <c r="H1995" s="6">
        <f>INT(Query1[[#This Row],[EntryDateTime]])</f>
        <v>44629</v>
      </c>
      <c r="I1995" s="1">
        <f>IF(Query1[[#This Row],[ItemType]]="EVAP KIT SF GEN IV",Query1[[#This Row],[OrderQty]]+I1994,I1994)</f>
        <v>2344</v>
      </c>
      <c r="J1995" s="1">
        <f>IF(Query1[[#This Row],[ItemType]]="EVAP KIT UNIVERSAL",Query1[[#This Row],[OrderQty]]+J1994,J1994)</f>
        <v>964</v>
      </c>
      <c r="K1995" s="1">
        <f>Query1[[#This Row],[SF Running Total]]+Query1[[#This Row],[UNIV Running Total]]</f>
        <v>3308</v>
      </c>
      <c r="L1995">
        <f>VLOOKUP(Query1[[#This Row],[Description]],'kits to boards'!$B$2:$E$156,2,FALSE)</f>
        <v>830085</v>
      </c>
      <c r="M1995">
        <f>VLOOKUP(Query1[[#This Row],[Description]],'kits to boards'!$B$2:$E$156,3,FALSE)</f>
        <v>0</v>
      </c>
      <c r="N1995">
        <f>VLOOKUP(Query1[[#This Row],[Description]],'kits to boards'!$B$2:$E$156,4,FALSE)</f>
        <v>0</v>
      </c>
      <c r="O1995" t="str">
        <f>CONCATENATE(Query1[[#This Row],[Description]]," - ",Query1[[#This Row],[MB1]]," - ",Query1[[#This Row],[MB2]]," - ",Query1[[#This Row],[MB3]])</f>
        <v>EVAP KIT 66-77 BRONCO 4-VENT PLENUM - 830085 - 0 - 0</v>
      </c>
    </row>
    <row r="1996" spans="1:15" x14ac:dyDescent="0.25">
      <c r="A1996" s="1">
        <v>914387</v>
      </c>
      <c r="B1996" s="1" t="s">
        <v>84</v>
      </c>
      <c r="C1996" s="1" t="s">
        <v>85</v>
      </c>
      <c r="D1996" s="2">
        <v>44629.569878437498</v>
      </c>
      <c r="E1996" s="1" t="s">
        <v>8</v>
      </c>
      <c r="F1996" s="1">
        <v>1</v>
      </c>
      <c r="G1996" s="1">
        <v>0</v>
      </c>
      <c r="H1996" s="6">
        <f>INT(Query1[[#This Row],[EntryDateTime]])</f>
        <v>44629</v>
      </c>
      <c r="I1996" s="1">
        <f>IF(Query1[[#This Row],[ItemType]]="EVAP KIT SF GEN IV",Query1[[#This Row],[OrderQty]]+I1995,I1995)</f>
        <v>2345</v>
      </c>
      <c r="J1996" s="1">
        <f>IF(Query1[[#This Row],[ItemType]]="EVAP KIT UNIVERSAL",Query1[[#This Row],[OrderQty]]+J1995,J1995)</f>
        <v>964</v>
      </c>
      <c r="K1996" s="1">
        <f>Query1[[#This Row],[SF Running Total]]+Query1[[#This Row],[UNIV Running Total]]</f>
        <v>3309</v>
      </c>
      <c r="L1996">
        <f>VLOOKUP(Query1[[#This Row],[Description]],'kits to boards'!$B$2:$E$156,2,FALSE)</f>
        <v>830085</v>
      </c>
      <c r="M1996">
        <f>VLOOKUP(Query1[[#This Row],[Description]],'kits to boards'!$B$2:$E$156,3,FALSE)</f>
        <v>0</v>
      </c>
      <c r="N1996">
        <f>VLOOKUP(Query1[[#This Row],[Description]],'kits to boards'!$B$2:$E$156,4,FALSE)</f>
        <v>0</v>
      </c>
      <c r="O1996" t="str">
        <f>CONCATENATE(Query1[[#This Row],[Description]]," - ",Query1[[#This Row],[MB1]]," - ",Query1[[#This Row],[MB2]]," - ",Query1[[#This Row],[MB3]])</f>
        <v>EVAP KIT 66-77 BRONCO 4-VENT PLENUM - 830085 - 0 - 0</v>
      </c>
    </row>
    <row r="1997" spans="1:15" x14ac:dyDescent="0.25">
      <c r="A1997" s="1">
        <v>914391</v>
      </c>
      <c r="B1997" s="1" t="s">
        <v>114</v>
      </c>
      <c r="C1997" s="1" t="s">
        <v>115</v>
      </c>
      <c r="D1997" s="2">
        <v>44629.575790821757</v>
      </c>
      <c r="E1997" s="1" t="s">
        <v>8</v>
      </c>
      <c r="F1997" s="1">
        <v>1</v>
      </c>
      <c r="G1997" s="1">
        <v>0</v>
      </c>
      <c r="H1997" s="6">
        <f>INT(Query1[[#This Row],[EntryDateTime]])</f>
        <v>44629</v>
      </c>
      <c r="I1997" s="1">
        <f>IF(Query1[[#This Row],[ItemType]]="EVAP KIT SF GEN IV",Query1[[#This Row],[OrderQty]]+I1996,I1996)</f>
        <v>2346</v>
      </c>
      <c r="J1997" s="1">
        <f>IF(Query1[[#This Row],[ItemType]]="EVAP KIT UNIVERSAL",Query1[[#This Row],[OrderQty]]+J1996,J1996)</f>
        <v>964</v>
      </c>
      <c r="K1997" s="1">
        <f>Query1[[#This Row],[SF Running Total]]+Query1[[#This Row],[UNIV Running Total]]</f>
        <v>3310</v>
      </c>
      <c r="L1997">
        <f>VLOOKUP(Query1[[#This Row],[Description]],'kits to boards'!$B$2:$E$156,2,FALSE)</f>
        <v>830059</v>
      </c>
      <c r="M1997">
        <f>VLOOKUP(Query1[[#This Row],[Description]],'kits to boards'!$B$2:$E$156,3,FALSE)</f>
        <v>0</v>
      </c>
      <c r="N1997">
        <f>VLOOKUP(Query1[[#This Row],[Description]],'kits to boards'!$B$2:$E$156,4,FALSE)</f>
        <v>0</v>
      </c>
      <c r="O1997" t="str">
        <f>CONCATENATE(Query1[[#This Row],[Description]]," - ",Query1[[#This Row],[MB1]]," - ",Query1[[#This Row],[MB2]]," - ",Query1[[#This Row],[MB3]])</f>
        <v>EVAP KIT 66-67 CHEVELLE W/AC - 830059 - 0 - 0</v>
      </c>
    </row>
    <row r="1998" spans="1:15" x14ac:dyDescent="0.25">
      <c r="A1998" s="1">
        <v>914392</v>
      </c>
      <c r="B1998" s="1" t="s">
        <v>62</v>
      </c>
      <c r="C1998" s="1" t="s">
        <v>63</v>
      </c>
      <c r="D1998" s="2">
        <v>44629.57685902778</v>
      </c>
      <c r="E1998" s="1" t="s">
        <v>8</v>
      </c>
      <c r="F1998" s="1">
        <v>1</v>
      </c>
      <c r="G1998" s="1">
        <v>0</v>
      </c>
      <c r="H1998" s="6">
        <f>INT(Query1[[#This Row],[EntryDateTime]])</f>
        <v>44629</v>
      </c>
      <c r="I1998" s="1">
        <f>IF(Query1[[#This Row],[ItemType]]="EVAP KIT SF GEN IV",Query1[[#This Row],[OrderQty]]+I1997,I1997)</f>
        <v>2347</v>
      </c>
      <c r="J1998" s="1">
        <f>IF(Query1[[#This Row],[ItemType]]="EVAP KIT UNIVERSAL",Query1[[#This Row],[OrderQty]]+J1997,J1997)</f>
        <v>964</v>
      </c>
      <c r="K1998" s="1">
        <f>Query1[[#This Row],[SF Running Total]]+Query1[[#This Row],[UNIV Running Total]]</f>
        <v>3311</v>
      </c>
      <c r="L1998">
        <f>VLOOKUP(Query1[[#This Row],[Description]],'kits to boards'!$B$2:$E$156,2,FALSE)</f>
        <v>830079</v>
      </c>
      <c r="M1998">
        <f>VLOOKUP(Query1[[#This Row],[Description]],'kits to boards'!$B$2:$E$156,3,FALSE)</f>
        <v>830046</v>
      </c>
      <c r="N1998">
        <f>VLOOKUP(Query1[[#This Row],[Description]],'kits to boards'!$B$2:$E$156,4,FALSE)</f>
        <v>0</v>
      </c>
      <c r="O1998" t="str">
        <f>CONCATENATE(Query1[[#This Row],[Description]]," - ",Query1[[#This Row],[MB1]]," - ",Query1[[#This Row],[MB2]]," - ",Query1[[#This Row],[MB3]])</f>
        <v>EVAP KIT 67-68 MUSTANG/COUGAR WO AC - 830079 - 830046 - 0</v>
      </c>
    </row>
    <row r="1999" spans="1:15" x14ac:dyDescent="0.25">
      <c r="A1999" s="1">
        <v>914393</v>
      </c>
      <c r="B1999" s="1" t="s">
        <v>22</v>
      </c>
      <c r="C1999" s="1" t="s">
        <v>23</v>
      </c>
      <c r="D1999" s="2">
        <v>44629.581306018517</v>
      </c>
      <c r="E1999" s="1" t="s">
        <v>8</v>
      </c>
      <c r="F1999" s="1">
        <v>2</v>
      </c>
      <c r="G1999" s="1">
        <v>0</v>
      </c>
      <c r="H1999" s="6">
        <f>INT(Query1[[#This Row],[EntryDateTime]])</f>
        <v>44629</v>
      </c>
      <c r="I1999" s="1">
        <f>IF(Query1[[#This Row],[ItemType]]="EVAP KIT SF GEN IV",Query1[[#This Row],[OrderQty]]+I1998,I1998)</f>
        <v>2349</v>
      </c>
      <c r="J1999" s="1">
        <f>IF(Query1[[#This Row],[ItemType]]="EVAP KIT UNIVERSAL",Query1[[#This Row],[OrderQty]]+J1998,J1998)</f>
        <v>964</v>
      </c>
      <c r="K1999" s="1">
        <f>Query1[[#This Row],[SF Running Total]]+Query1[[#This Row],[UNIV Running Total]]</f>
        <v>3313</v>
      </c>
      <c r="L1999">
        <f>VLOOKUP(Query1[[#This Row],[Description]],'kits to boards'!$B$2:$E$156,2,FALSE)</f>
        <v>830083</v>
      </c>
      <c r="M1999">
        <f>VLOOKUP(Query1[[#This Row],[Description]],'kits to boards'!$B$2:$E$156,3,FALSE)</f>
        <v>0</v>
      </c>
      <c r="N1999">
        <f>VLOOKUP(Query1[[#This Row],[Description]],'kits to boards'!$B$2:$E$156,4,FALSE)</f>
        <v>0</v>
      </c>
      <c r="O1999" t="str">
        <f>CONCATENATE(Query1[[#This Row],[Description]]," - ",Query1[[#This Row],[MB1]]," - ",Query1[[#This Row],[MB2]]," - ",Query1[[#This Row],[MB3]])</f>
        <v>GEN IV MAGNUM EVAP KIT - 830083 - 0 - 0</v>
      </c>
    </row>
    <row r="2000" spans="1:15" x14ac:dyDescent="0.25">
      <c r="A2000" s="1">
        <v>914025</v>
      </c>
      <c r="B2000" s="1" t="s">
        <v>84</v>
      </c>
      <c r="C2000" s="1" t="s">
        <v>85</v>
      </c>
      <c r="D2000" s="2">
        <v>44629.587777314817</v>
      </c>
      <c r="E2000" s="1" t="s">
        <v>8</v>
      </c>
      <c r="F2000" s="1">
        <v>1</v>
      </c>
      <c r="G2000" s="1">
        <v>0</v>
      </c>
      <c r="H2000" s="6">
        <f>INT(Query1[[#This Row],[EntryDateTime]])</f>
        <v>44629</v>
      </c>
      <c r="I2000" s="1">
        <f>IF(Query1[[#This Row],[ItemType]]="EVAP KIT SF GEN IV",Query1[[#This Row],[OrderQty]]+I1999,I1999)</f>
        <v>2350</v>
      </c>
      <c r="J2000" s="1">
        <f>IF(Query1[[#This Row],[ItemType]]="EVAP KIT UNIVERSAL",Query1[[#This Row],[OrderQty]]+J1999,J1999)</f>
        <v>964</v>
      </c>
      <c r="K2000" s="1">
        <f>Query1[[#This Row],[SF Running Total]]+Query1[[#This Row],[UNIV Running Total]]</f>
        <v>3314</v>
      </c>
      <c r="L2000">
        <f>VLOOKUP(Query1[[#This Row],[Description]],'kits to boards'!$B$2:$E$156,2,FALSE)</f>
        <v>830085</v>
      </c>
      <c r="M2000">
        <f>VLOOKUP(Query1[[#This Row],[Description]],'kits to boards'!$B$2:$E$156,3,FALSE)</f>
        <v>0</v>
      </c>
      <c r="N2000">
        <f>VLOOKUP(Query1[[#This Row],[Description]],'kits to boards'!$B$2:$E$156,4,FALSE)</f>
        <v>0</v>
      </c>
      <c r="O2000" t="str">
        <f>CONCATENATE(Query1[[#This Row],[Description]]," - ",Query1[[#This Row],[MB1]]," - ",Query1[[#This Row],[MB2]]," - ",Query1[[#This Row],[MB3]])</f>
        <v>EVAP KIT 66-77 BRONCO 4-VENT PLENUM - 830085 - 0 - 0</v>
      </c>
    </row>
    <row r="2001" spans="1:15" x14ac:dyDescent="0.25">
      <c r="A2001" s="1">
        <v>914403</v>
      </c>
      <c r="B2001" s="1" t="s">
        <v>160</v>
      </c>
      <c r="C2001" s="1" t="s">
        <v>161</v>
      </c>
      <c r="D2001" s="2">
        <v>44629.601521296296</v>
      </c>
      <c r="E2001" s="1" t="s">
        <v>8</v>
      </c>
      <c r="F2001" s="1">
        <v>1</v>
      </c>
      <c r="G2001" s="1">
        <v>0</v>
      </c>
      <c r="H2001" s="6">
        <f>INT(Query1[[#This Row],[EntryDateTime]])</f>
        <v>44629</v>
      </c>
      <c r="I2001" s="1">
        <f>IF(Query1[[#This Row],[ItemType]]="EVAP KIT SF GEN IV",Query1[[#This Row],[OrderQty]]+I2000,I2000)</f>
        <v>2351</v>
      </c>
      <c r="J2001" s="1">
        <f>IF(Query1[[#This Row],[ItemType]]="EVAP KIT UNIVERSAL",Query1[[#This Row],[OrderQty]]+J2000,J2000)</f>
        <v>964</v>
      </c>
      <c r="K2001" s="1">
        <f>Query1[[#This Row],[SF Running Total]]+Query1[[#This Row],[UNIV Running Total]]</f>
        <v>3315</v>
      </c>
      <c r="L2001">
        <f>VLOOKUP(Query1[[#This Row],[Description]],'kits to boards'!$B$2:$E$156,2,FALSE)</f>
        <v>830083</v>
      </c>
      <c r="M2001">
        <f>VLOOKUP(Query1[[#This Row],[Description]],'kits to boards'!$B$2:$E$156,3,FALSE)</f>
        <v>0</v>
      </c>
      <c r="N2001">
        <f>VLOOKUP(Query1[[#This Row],[Description]],'kits to boards'!$B$2:$E$156,4,FALSE)</f>
        <v>0</v>
      </c>
      <c r="O2001" t="str">
        <f>CONCATENATE(Query1[[#This Row],[Description]]," - ",Query1[[#This Row],[MB1]]," - ",Query1[[#This Row],[MB2]]," - ",Query1[[#This Row],[MB3]])</f>
        <v>EVAP KIT 70-74 CHALNGR/CUDA WO AC - 830083 - 0 - 0</v>
      </c>
    </row>
    <row r="2002" spans="1:15" x14ac:dyDescent="0.25">
      <c r="A2002" s="1">
        <v>913497</v>
      </c>
      <c r="B2002" s="1" t="s">
        <v>22</v>
      </c>
      <c r="C2002" s="1" t="s">
        <v>23</v>
      </c>
      <c r="D2002" s="2">
        <v>44629.604934571762</v>
      </c>
      <c r="E2002" s="1" t="s">
        <v>8</v>
      </c>
      <c r="F2002" s="1">
        <v>1</v>
      </c>
      <c r="G2002" s="1">
        <v>0</v>
      </c>
      <c r="H2002" s="6">
        <f>INT(Query1[[#This Row],[EntryDateTime]])</f>
        <v>44629</v>
      </c>
      <c r="I2002" s="1">
        <f>IF(Query1[[#This Row],[ItemType]]="EVAP KIT SF GEN IV",Query1[[#This Row],[OrderQty]]+I2001,I2001)</f>
        <v>2352</v>
      </c>
      <c r="J2002" s="1">
        <f>IF(Query1[[#This Row],[ItemType]]="EVAP KIT UNIVERSAL",Query1[[#This Row],[OrderQty]]+J2001,J2001)</f>
        <v>964</v>
      </c>
      <c r="K2002" s="1">
        <f>Query1[[#This Row],[SF Running Total]]+Query1[[#This Row],[UNIV Running Total]]</f>
        <v>3316</v>
      </c>
      <c r="L2002">
        <f>VLOOKUP(Query1[[#This Row],[Description]],'kits to boards'!$B$2:$E$156,2,FALSE)</f>
        <v>830083</v>
      </c>
      <c r="M2002">
        <f>VLOOKUP(Query1[[#This Row],[Description]],'kits to boards'!$B$2:$E$156,3,FALSE)</f>
        <v>0</v>
      </c>
      <c r="N2002">
        <f>VLOOKUP(Query1[[#This Row],[Description]],'kits to boards'!$B$2:$E$156,4,FALSE)</f>
        <v>0</v>
      </c>
      <c r="O2002" t="str">
        <f>CONCATENATE(Query1[[#This Row],[Description]]," - ",Query1[[#This Row],[MB1]]," - ",Query1[[#This Row],[MB2]]," - ",Query1[[#This Row],[MB3]])</f>
        <v>GEN IV MAGNUM EVAP KIT - 830083 - 0 - 0</v>
      </c>
    </row>
    <row r="2003" spans="1:15" x14ac:dyDescent="0.25">
      <c r="A2003" s="1">
        <v>914408</v>
      </c>
      <c r="B2003" s="1" t="s">
        <v>140</v>
      </c>
      <c r="C2003" s="1" t="s">
        <v>141</v>
      </c>
      <c r="D2003" s="2">
        <v>44629.614530057872</v>
      </c>
      <c r="E2003" s="1" t="s">
        <v>8</v>
      </c>
      <c r="F2003" s="1">
        <v>1</v>
      </c>
      <c r="G2003" s="1">
        <v>0</v>
      </c>
      <c r="H2003" s="6">
        <f>INT(Query1[[#This Row],[EntryDateTime]])</f>
        <v>44629</v>
      </c>
      <c r="I2003" s="1">
        <f>IF(Query1[[#This Row],[ItemType]]="EVAP KIT SF GEN IV",Query1[[#This Row],[OrderQty]]+I2002,I2002)</f>
        <v>2353</v>
      </c>
      <c r="J2003" s="1">
        <f>IF(Query1[[#This Row],[ItemType]]="EVAP KIT UNIVERSAL",Query1[[#This Row],[OrderQty]]+J2002,J2002)</f>
        <v>964</v>
      </c>
      <c r="K2003" s="1">
        <f>Query1[[#This Row],[SF Running Total]]+Query1[[#This Row],[UNIV Running Total]]</f>
        <v>3317</v>
      </c>
      <c r="L2003">
        <f>VLOOKUP(Query1[[#This Row],[Description]],'kits to boards'!$B$2:$E$156,2,FALSE)</f>
        <v>830066</v>
      </c>
      <c r="M2003">
        <f>VLOOKUP(Query1[[#This Row],[Description]],'kits to boards'!$B$2:$E$156,3,FALSE)</f>
        <v>0</v>
      </c>
      <c r="N2003">
        <f>VLOOKUP(Query1[[#This Row],[Description]],'kits to boards'!$B$2:$E$156,4,FALSE)</f>
        <v>0</v>
      </c>
      <c r="O2003" t="str">
        <f>CONCATENATE(Query1[[#This Row],[Description]]," - ",Query1[[#This Row],[MB1]]," - ",Query1[[#This Row],[MB2]]," - ",Query1[[#This Row],[MB3]])</f>
        <v>EVAP KIT 60-63 CHEV P-UP WO AC - 830066 - 0 - 0</v>
      </c>
    </row>
    <row r="2004" spans="1:15" x14ac:dyDescent="0.25">
      <c r="A2004" s="1">
        <v>914396</v>
      </c>
      <c r="B2004" s="1" t="s">
        <v>136</v>
      </c>
      <c r="C2004" s="1" t="s">
        <v>137</v>
      </c>
      <c r="D2004" s="2">
        <v>44629.614896874999</v>
      </c>
      <c r="E2004" s="1" t="s">
        <v>11</v>
      </c>
      <c r="F2004" s="1">
        <v>1</v>
      </c>
      <c r="G2004" s="1">
        <v>0</v>
      </c>
      <c r="H2004" s="6">
        <f>INT(Query1[[#This Row],[EntryDateTime]])</f>
        <v>44629</v>
      </c>
      <c r="I2004" s="1">
        <f>IF(Query1[[#This Row],[ItemType]]="EVAP KIT SF GEN IV",Query1[[#This Row],[OrderQty]]+I2003,I2003)</f>
        <v>2353</v>
      </c>
      <c r="J2004" s="1">
        <f>IF(Query1[[#This Row],[ItemType]]="EVAP KIT UNIVERSAL",Query1[[#This Row],[OrderQty]]+J2003,J2003)</f>
        <v>965</v>
      </c>
      <c r="K2004" s="1">
        <f>Query1[[#This Row],[SF Running Total]]+Query1[[#This Row],[UNIV Running Total]]</f>
        <v>3318</v>
      </c>
      <c r="L2004">
        <f>VLOOKUP(Query1[[#This Row],[Description]],'kits to boards'!$B$2:$E$156,2,FALSE)</f>
        <v>0</v>
      </c>
      <c r="M2004">
        <f>VLOOKUP(Query1[[#This Row],[Description]],'kits to boards'!$B$2:$E$156,3,FALSE)</f>
        <v>0</v>
      </c>
      <c r="N2004">
        <f>VLOOKUP(Query1[[#This Row],[Description]],'kits to boards'!$B$2:$E$156,4,FALSE)</f>
        <v>0</v>
      </c>
      <c r="O2004" t="str">
        <f>CONCATENATE(Query1[[#This Row],[Description]]," - ",Query1[[#This Row],[MB1]]," - ",Query1[[#This Row],[MB2]]," - ",Query1[[#This Row],[MB3]])</f>
        <v>HERITAGE TURNED EVAP KIT HEAT/COOL - 0 - 0 - 0</v>
      </c>
    </row>
    <row r="2005" spans="1:15" x14ac:dyDescent="0.25">
      <c r="A2005" s="1">
        <v>914409</v>
      </c>
      <c r="B2005" s="1" t="s">
        <v>106</v>
      </c>
      <c r="C2005" s="1" t="s">
        <v>107</v>
      </c>
      <c r="D2005" s="2">
        <v>44629.615873726849</v>
      </c>
      <c r="E2005" s="1" t="s">
        <v>8</v>
      </c>
      <c r="F2005" s="1">
        <v>1</v>
      </c>
      <c r="G2005" s="1">
        <v>0</v>
      </c>
      <c r="H2005" s="6">
        <f>INT(Query1[[#This Row],[EntryDateTime]])</f>
        <v>44629</v>
      </c>
      <c r="I2005" s="1">
        <f>IF(Query1[[#This Row],[ItemType]]="EVAP KIT SF GEN IV",Query1[[#This Row],[OrderQty]]+I2004,I2004)</f>
        <v>2354</v>
      </c>
      <c r="J2005" s="1">
        <f>IF(Query1[[#This Row],[ItemType]]="EVAP KIT UNIVERSAL",Query1[[#This Row],[OrderQty]]+J2004,J2004)</f>
        <v>965</v>
      </c>
      <c r="K2005" s="1">
        <f>Query1[[#This Row],[SF Running Total]]+Query1[[#This Row],[UNIV Running Total]]</f>
        <v>3319</v>
      </c>
      <c r="L2005">
        <f>VLOOKUP(Query1[[#This Row],[Description]],'kits to boards'!$B$2:$E$156,2,FALSE)</f>
        <v>830028</v>
      </c>
      <c r="M2005">
        <f>VLOOKUP(Query1[[#This Row],[Description]],'kits to boards'!$B$2:$E$156,3,FALSE)</f>
        <v>0</v>
      </c>
      <c r="N2005">
        <f>VLOOKUP(Query1[[#This Row],[Description]],'kits to boards'!$B$2:$E$156,4,FALSE)</f>
        <v>0</v>
      </c>
      <c r="O2005" t="str">
        <f>CONCATENATE(Query1[[#This Row],[Description]]," - ",Query1[[#This Row],[MB1]]," - ",Query1[[#This Row],[MB2]]," - ",Query1[[#This Row],[MB3]])</f>
        <v>EVAP KIT 55-59 CHEV P-UP WO AC W/DELX - 830028 - 0 - 0</v>
      </c>
    </row>
    <row r="2006" spans="1:15" x14ac:dyDescent="0.25">
      <c r="A2006" s="1">
        <v>914423</v>
      </c>
      <c r="B2006" s="1" t="s">
        <v>54</v>
      </c>
      <c r="C2006" s="1" t="s">
        <v>55</v>
      </c>
      <c r="D2006" s="2">
        <v>44629.638621412036</v>
      </c>
      <c r="E2006" s="1" t="s">
        <v>8</v>
      </c>
      <c r="F2006" s="1">
        <v>1</v>
      </c>
      <c r="G2006" s="1">
        <v>0</v>
      </c>
      <c r="H2006" s="6">
        <f>INT(Query1[[#This Row],[EntryDateTime]])</f>
        <v>44629</v>
      </c>
      <c r="I2006" s="1">
        <f>IF(Query1[[#This Row],[ItemType]]="EVAP KIT SF GEN IV",Query1[[#This Row],[OrderQty]]+I2005,I2005)</f>
        <v>2355</v>
      </c>
      <c r="J2006" s="1">
        <f>IF(Query1[[#This Row],[ItemType]]="EVAP KIT UNIVERSAL",Query1[[#This Row],[OrderQty]]+J2005,J2005)</f>
        <v>965</v>
      </c>
      <c r="K2006" s="1">
        <f>Query1[[#This Row],[SF Running Total]]+Query1[[#This Row],[UNIV Running Total]]</f>
        <v>3320</v>
      </c>
      <c r="L2006">
        <f>VLOOKUP(Query1[[#This Row],[Description]],'kits to boards'!$B$2:$E$156,2,FALSE)</f>
        <v>830037</v>
      </c>
      <c r="M2006">
        <f>VLOOKUP(Query1[[#This Row],[Description]],'kits to boards'!$B$2:$E$156,3,FALSE)</f>
        <v>0</v>
      </c>
      <c r="N2006">
        <f>VLOOKUP(Query1[[#This Row],[Description]],'kits to boards'!$B$2:$E$156,4,FALSE)</f>
        <v>0</v>
      </c>
      <c r="O2006" t="str">
        <f>CONCATENATE(Query1[[#This Row],[Description]]," - ",Query1[[#This Row],[MB1]]," - ",Query1[[#This Row],[MB2]]," - ",Query1[[#This Row],[MB3]])</f>
        <v>EVAP KIT 70-81 FIREBIRD W/AC - 830037 - 0 - 0</v>
      </c>
    </row>
    <row r="2007" spans="1:15" x14ac:dyDescent="0.25">
      <c r="A2007" s="1">
        <v>914418</v>
      </c>
      <c r="B2007" s="1" t="s">
        <v>128</v>
      </c>
      <c r="C2007" s="1" t="s">
        <v>129</v>
      </c>
      <c r="D2007" s="2">
        <v>44629.639231400462</v>
      </c>
      <c r="E2007" s="1" t="s">
        <v>8</v>
      </c>
      <c r="F2007" s="1">
        <v>1</v>
      </c>
      <c r="G2007" s="1">
        <v>0</v>
      </c>
      <c r="H2007" s="6">
        <f>INT(Query1[[#This Row],[EntryDateTime]])</f>
        <v>44629</v>
      </c>
      <c r="I2007" s="1">
        <f>IF(Query1[[#This Row],[ItemType]]="EVAP KIT SF GEN IV",Query1[[#This Row],[OrderQty]]+I2006,I2006)</f>
        <v>2356</v>
      </c>
      <c r="J2007" s="1">
        <f>IF(Query1[[#This Row],[ItemType]]="EVAP KIT UNIVERSAL",Query1[[#This Row],[OrderQty]]+J2006,J2006)</f>
        <v>965</v>
      </c>
      <c r="K2007" s="1">
        <f>Query1[[#This Row],[SF Running Total]]+Query1[[#This Row],[UNIV Running Total]]</f>
        <v>3321</v>
      </c>
      <c r="L2007">
        <f>VLOOKUP(Query1[[#This Row],[Description]],'kits to boards'!$B$2:$E$156,2,FALSE)</f>
        <v>830036</v>
      </c>
      <c r="M2007">
        <f>VLOOKUP(Query1[[#This Row],[Description]],'kits to boards'!$B$2:$E$156,3,FALSE)</f>
        <v>830039</v>
      </c>
      <c r="N2007">
        <f>VLOOKUP(Query1[[#This Row],[Description]],'kits to boards'!$B$2:$E$156,4,FALSE)</f>
        <v>0</v>
      </c>
      <c r="O2007" t="str">
        <f>CONCATENATE(Query1[[#This Row],[Description]]," - ",Query1[[#This Row],[MB1]]," - ",Query1[[#This Row],[MB2]]," - ",Query1[[#This Row],[MB3]])</f>
        <v>EVAP KIT 63-66 VETTE WO AC - 830036 - 830039 - 0</v>
      </c>
    </row>
    <row r="2008" spans="1:15" x14ac:dyDescent="0.25">
      <c r="A2008" s="1">
        <v>914306</v>
      </c>
      <c r="B2008" s="1" t="s">
        <v>210</v>
      </c>
      <c r="C2008" s="1" t="s">
        <v>211</v>
      </c>
      <c r="D2008" s="2">
        <v>44629.647240706021</v>
      </c>
      <c r="E2008" s="1" t="s">
        <v>8</v>
      </c>
      <c r="F2008" s="1">
        <v>1</v>
      </c>
      <c r="G2008" s="1">
        <v>0</v>
      </c>
      <c r="H2008" s="6">
        <f>INT(Query1[[#This Row],[EntryDateTime]])</f>
        <v>44629</v>
      </c>
      <c r="I2008" s="1">
        <f>IF(Query1[[#This Row],[ItemType]]="EVAP KIT SF GEN IV",Query1[[#This Row],[OrderQty]]+I2007,I2007)</f>
        <v>2357</v>
      </c>
      <c r="J2008" s="1">
        <f>IF(Query1[[#This Row],[ItemType]]="EVAP KIT UNIVERSAL",Query1[[#This Row],[OrderQty]]+J2007,J2007)</f>
        <v>965</v>
      </c>
      <c r="K2008" s="1">
        <f>Query1[[#This Row],[SF Running Total]]+Query1[[#This Row],[UNIV Running Total]]</f>
        <v>3322</v>
      </c>
      <c r="L2008">
        <f>VLOOKUP(Query1[[#This Row],[Description]],'kits to boards'!$B$2:$E$156,2,FALSE)</f>
        <v>830094</v>
      </c>
      <c r="M2008">
        <f>VLOOKUP(Query1[[#This Row],[Description]],'kits to boards'!$B$2:$E$156,3,FALSE)</f>
        <v>0</v>
      </c>
      <c r="N2008">
        <f>VLOOKUP(Query1[[#This Row],[Description]],'kits to boards'!$B$2:$E$156,4,FALSE)</f>
        <v>0</v>
      </c>
      <c r="O2008" t="str">
        <f>CONCATENATE(Query1[[#This Row],[Description]]," - ",Query1[[#This Row],[MB1]]," - ",Query1[[#This Row],[MB2]]," - ",Query1[[#This Row],[MB3]])</f>
        <v>EVAP KIT 74-76 VETTE W/AC - 830094 - 0 - 0</v>
      </c>
    </row>
    <row r="2009" spans="1:15" x14ac:dyDescent="0.25">
      <c r="A2009" s="1">
        <v>914428</v>
      </c>
      <c r="B2009" s="1" t="s">
        <v>24</v>
      </c>
      <c r="C2009" s="1" t="s">
        <v>25</v>
      </c>
      <c r="D2009" s="2">
        <v>44629.647912534725</v>
      </c>
      <c r="E2009" s="1" t="s">
        <v>11</v>
      </c>
      <c r="F2009" s="1">
        <v>1</v>
      </c>
      <c r="G2009" s="1">
        <v>0</v>
      </c>
      <c r="H2009" s="6">
        <f>INT(Query1[[#This Row],[EntryDateTime]])</f>
        <v>44629</v>
      </c>
      <c r="I2009" s="1">
        <f>IF(Query1[[#This Row],[ItemType]]="EVAP KIT SF GEN IV",Query1[[#This Row],[OrderQty]]+I2008,I2008)</f>
        <v>2357</v>
      </c>
      <c r="J2009" s="1">
        <f>IF(Query1[[#This Row],[ItemType]]="EVAP KIT UNIVERSAL",Query1[[#This Row],[OrderQty]]+J2008,J2008)</f>
        <v>966</v>
      </c>
      <c r="K2009" s="1">
        <f>Query1[[#This Row],[SF Running Total]]+Query1[[#This Row],[UNIV Running Total]]</f>
        <v>3323</v>
      </c>
      <c r="L2009">
        <f>VLOOKUP(Query1[[#This Row],[Description]],'kits to boards'!$B$2:$E$156,2,FALSE)</f>
        <v>830029</v>
      </c>
      <c r="M2009">
        <f>VLOOKUP(Query1[[#This Row],[Description]],'kits to boards'!$B$2:$E$156,3,FALSE)</f>
        <v>830030</v>
      </c>
      <c r="N2009">
        <f>VLOOKUP(Query1[[#This Row],[Description]],'kits to boards'!$B$2:$E$156,4,FALSE)</f>
        <v>0</v>
      </c>
      <c r="O2009" t="str">
        <f>CONCATENATE(Query1[[#This Row],[Description]]," - ",Query1[[#This Row],[MB1]]," - ",Query1[[#This Row],[MB2]]," - ",Query1[[#This Row],[MB3]])</f>
        <v>ComPac GEN II W/DEF - 830029 - 830030 - 0</v>
      </c>
    </row>
    <row r="2010" spans="1:15" x14ac:dyDescent="0.25">
      <c r="A2010" s="1">
        <v>914346</v>
      </c>
      <c r="B2010" s="1" t="s">
        <v>132</v>
      </c>
      <c r="C2010" s="1" t="s">
        <v>133</v>
      </c>
      <c r="D2010" s="2">
        <v>44629.652073182871</v>
      </c>
      <c r="E2010" s="1" t="s">
        <v>8</v>
      </c>
      <c r="F2010" s="1">
        <v>1</v>
      </c>
      <c r="G2010" s="1">
        <v>0</v>
      </c>
      <c r="H2010" s="6">
        <f>INT(Query1[[#This Row],[EntryDateTime]])</f>
        <v>44629</v>
      </c>
      <c r="I2010" s="1">
        <f>IF(Query1[[#This Row],[ItemType]]="EVAP KIT SF GEN IV",Query1[[#This Row],[OrderQty]]+I2009,I2009)</f>
        <v>2358</v>
      </c>
      <c r="J2010" s="1">
        <f>IF(Query1[[#This Row],[ItemType]]="EVAP KIT UNIVERSAL",Query1[[#This Row],[OrderQty]]+J2009,J2009)</f>
        <v>966</v>
      </c>
      <c r="K2010" s="1">
        <f>Query1[[#This Row],[SF Running Total]]+Query1[[#This Row],[UNIV Running Total]]</f>
        <v>3324</v>
      </c>
      <c r="L2010">
        <f>VLOOKUP(Query1[[#This Row],[Description]],'kits to boards'!$B$2:$E$156,2,FALSE)</f>
        <v>830005</v>
      </c>
      <c r="M2010">
        <f>VLOOKUP(Query1[[#This Row],[Description]],'kits to boards'!$B$2:$E$156,3,FALSE)</f>
        <v>0</v>
      </c>
      <c r="N2010">
        <f>VLOOKUP(Query1[[#This Row],[Description]],'kits to boards'!$B$2:$E$156,4,FALSE)</f>
        <v>0</v>
      </c>
      <c r="O2010" t="str">
        <f>CONCATENATE(Query1[[#This Row],[Description]]," - ",Query1[[#This Row],[MB1]]," - ",Query1[[#This Row],[MB2]]," - ",Query1[[#This Row],[MB3]])</f>
        <v>EVAP KIT 61-62 IMPALA WO AC - 830005 - 0 - 0</v>
      </c>
    </row>
    <row r="2011" spans="1:15" x14ac:dyDescent="0.25">
      <c r="A2011" s="1">
        <v>914439</v>
      </c>
      <c r="B2011" s="1" t="s">
        <v>102</v>
      </c>
      <c r="C2011" s="1" t="s">
        <v>103</v>
      </c>
      <c r="D2011" s="2">
        <v>44629.66659270833</v>
      </c>
      <c r="E2011" s="1" t="s">
        <v>8</v>
      </c>
      <c r="F2011" s="1">
        <v>1</v>
      </c>
      <c r="G2011" s="1">
        <v>0</v>
      </c>
      <c r="H2011" s="6">
        <f>INT(Query1[[#This Row],[EntryDateTime]])</f>
        <v>44629</v>
      </c>
      <c r="I2011" s="1">
        <f>IF(Query1[[#This Row],[ItemType]]="EVAP KIT SF GEN IV",Query1[[#This Row],[OrderQty]]+I2010,I2010)</f>
        <v>2359</v>
      </c>
      <c r="J2011" s="1">
        <f>IF(Query1[[#This Row],[ItemType]]="EVAP KIT UNIVERSAL",Query1[[#This Row],[OrderQty]]+J2010,J2010)</f>
        <v>966</v>
      </c>
      <c r="K2011" s="1">
        <f>Query1[[#This Row],[SF Running Total]]+Query1[[#This Row],[UNIV Running Total]]</f>
        <v>3325</v>
      </c>
      <c r="L2011">
        <f>VLOOKUP(Query1[[#This Row],[Description]],'kits to boards'!$B$2:$E$156,2,FALSE)</f>
        <v>830012</v>
      </c>
      <c r="M2011">
        <f>VLOOKUP(Query1[[#This Row],[Description]],'kits to boards'!$B$2:$E$156,3,FALSE)</f>
        <v>0</v>
      </c>
      <c r="N2011">
        <f>VLOOKUP(Query1[[#This Row],[Description]],'kits to boards'!$B$2:$E$156,4,FALSE)</f>
        <v>0</v>
      </c>
      <c r="O2011" t="str">
        <f>CONCATENATE(Query1[[#This Row],[Description]]," - ",Query1[[#This Row],[MB1]]," - ",Query1[[#This Row],[MB2]]," - ",Query1[[#This Row],[MB3]])</f>
        <v>EVAP KIT 69 CAMARO WO/AC - 830012 - 0 - 0</v>
      </c>
    </row>
    <row r="2012" spans="1:15" x14ac:dyDescent="0.25">
      <c r="A2012" s="1">
        <v>914438</v>
      </c>
      <c r="B2012" s="1" t="s">
        <v>42</v>
      </c>
      <c r="C2012" s="1" t="s">
        <v>43</v>
      </c>
      <c r="D2012" s="2">
        <v>44629.667176620373</v>
      </c>
      <c r="E2012" s="1" t="s">
        <v>8</v>
      </c>
      <c r="F2012" s="1">
        <v>1</v>
      </c>
      <c r="G2012" s="1">
        <v>0</v>
      </c>
      <c r="H2012" s="6">
        <f>INT(Query1[[#This Row],[EntryDateTime]])</f>
        <v>44629</v>
      </c>
      <c r="I2012" s="1">
        <f>IF(Query1[[#This Row],[ItemType]]="EVAP KIT SF GEN IV",Query1[[#This Row],[OrderQty]]+I2011,I2011)</f>
        <v>2360</v>
      </c>
      <c r="J2012" s="1">
        <f>IF(Query1[[#This Row],[ItemType]]="EVAP KIT UNIVERSAL",Query1[[#This Row],[OrderQty]]+J2011,J2011)</f>
        <v>966</v>
      </c>
      <c r="K2012" s="1">
        <f>Query1[[#This Row],[SF Running Total]]+Query1[[#This Row],[UNIV Running Total]]</f>
        <v>3326</v>
      </c>
      <c r="L2012">
        <f>VLOOKUP(Query1[[#This Row],[Description]],'kits to boards'!$B$2:$E$156,2,FALSE)</f>
        <v>830014</v>
      </c>
      <c r="M2012">
        <f>VLOOKUP(Query1[[#This Row],[Description]],'kits to boards'!$B$2:$E$156,3,FALSE)</f>
        <v>0</v>
      </c>
      <c r="N2012">
        <f>VLOOKUP(Query1[[#This Row],[Description]],'kits to boards'!$B$2:$E$156,4,FALSE)</f>
        <v>0</v>
      </c>
      <c r="O2012" t="str">
        <f>CONCATENATE(Query1[[#This Row],[Description]]," - ",Query1[[#This Row],[MB1]]," - ",Query1[[#This Row],[MB2]]," - ",Query1[[#This Row],[MB3]])</f>
        <v>EVAP KIT 67-72 CHEV P-UP WO AC - 830014 - 0 - 0</v>
      </c>
    </row>
    <row r="2013" spans="1:15" x14ac:dyDescent="0.25">
      <c r="A2013" s="1">
        <v>914283</v>
      </c>
      <c r="B2013" s="1" t="s">
        <v>192</v>
      </c>
      <c r="C2013" s="1" t="s">
        <v>193</v>
      </c>
      <c r="D2013" s="2">
        <v>44629.671896793981</v>
      </c>
      <c r="E2013" s="1" t="s">
        <v>8</v>
      </c>
      <c r="F2013" s="1">
        <v>1</v>
      </c>
      <c r="G2013" s="1">
        <v>0</v>
      </c>
      <c r="H2013" s="6">
        <f>INT(Query1[[#This Row],[EntryDateTime]])</f>
        <v>44629</v>
      </c>
      <c r="I2013" s="1">
        <f>IF(Query1[[#This Row],[ItemType]]="EVAP KIT SF GEN IV",Query1[[#This Row],[OrderQty]]+I2012,I2012)</f>
        <v>2361</v>
      </c>
      <c r="J2013" s="1">
        <f>IF(Query1[[#This Row],[ItemType]]="EVAP KIT UNIVERSAL",Query1[[#This Row],[OrderQty]]+J2012,J2012)</f>
        <v>966</v>
      </c>
      <c r="K2013" s="1">
        <f>Query1[[#This Row],[SF Running Total]]+Query1[[#This Row],[UNIV Running Total]]</f>
        <v>3327</v>
      </c>
      <c r="L2013">
        <f>VLOOKUP(Query1[[#This Row],[Description]],'kits to boards'!$B$2:$E$156,2,FALSE)</f>
        <v>830094</v>
      </c>
      <c r="M2013">
        <f>VLOOKUP(Query1[[#This Row],[Description]],'kits to boards'!$B$2:$E$156,3,FALSE)</f>
        <v>0</v>
      </c>
      <c r="N2013">
        <f>VLOOKUP(Query1[[#This Row],[Description]],'kits to boards'!$B$2:$E$156,4,FALSE)</f>
        <v>0</v>
      </c>
      <c r="O2013" t="str">
        <f>CONCATENATE(Query1[[#This Row],[Description]]," - ",Query1[[#This Row],[MB1]]," - ",Query1[[#This Row],[MB2]]," - ",Query1[[#This Row],[MB3]])</f>
        <v>EVAP KIT 69-73 VETTE W/AC - 830094 - 0 - 0</v>
      </c>
    </row>
    <row r="2014" spans="1:15" x14ac:dyDescent="0.25">
      <c r="A2014" s="1">
        <v>914444</v>
      </c>
      <c r="B2014" s="1" t="s">
        <v>90</v>
      </c>
      <c r="C2014" s="1" t="s">
        <v>91</v>
      </c>
      <c r="D2014" s="2">
        <v>44629.672799571759</v>
      </c>
      <c r="E2014" s="1" t="s">
        <v>8</v>
      </c>
      <c r="F2014" s="1">
        <v>1</v>
      </c>
      <c r="G2014" s="1">
        <v>0</v>
      </c>
      <c r="H2014" s="6">
        <f>INT(Query1[[#This Row],[EntryDateTime]])</f>
        <v>44629</v>
      </c>
      <c r="I2014" s="1">
        <f>IF(Query1[[#This Row],[ItemType]]="EVAP KIT SF GEN IV",Query1[[#This Row],[OrderQty]]+I2013,I2013)</f>
        <v>2362</v>
      </c>
      <c r="J2014" s="1">
        <f>IF(Query1[[#This Row],[ItemType]]="EVAP KIT UNIVERSAL",Query1[[#This Row],[OrderQty]]+J2013,J2013)</f>
        <v>966</v>
      </c>
      <c r="K2014" s="1">
        <f>Query1[[#This Row],[SF Running Total]]+Query1[[#This Row],[UNIV Running Total]]</f>
        <v>3328</v>
      </c>
      <c r="L2014">
        <f>VLOOKUP(Query1[[#This Row],[Description]],'kits to boards'!$B$2:$E$156,2,FALSE)</f>
        <v>830105</v>
      </c>
      <c r="M2014">
        <f>VLOOKUP(Query1[[#This Row],[Description]],'kits to boards'!$B$2:$E$156,3,FALSE)</f>
        <v>830106</v>
      </c>
      <c r="N2014">
        <f>VLOOKUP(Query1[[#This Row],[Description]],'kits to boards'!$B$2:$E$156,4,FALSE)</f>
        <v>0</v>
      </c>
      <c r="O2014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2015" spans="1:15" x14ac:dyDescent="0.25">
      <c r="A2015" s="1">
        <v>914447</v>
      </c>
      <c r="B2015" s="1" t="s">
        <v>14</v>
      </c>
      <c r="C2015" s="1" t="s">
        <v>15</v>
      </c>
      <c r="D2015" s="2">
        <v>44629.674215196763</v>
      </c>
      <c r="E2015" s="1" t="s">
        <v>8</v>
      </c>
      <c r="F2015" s="1">
        <v>1</v>
      </c>
      <c r="G2015" s="1">
        <v>0</v>
      </c>
      <c r="H2015" s="6">
        <f>INT(Query1[[#This Row],[EntryDateTime]])</f>
        <v>44629</v>
      </c>
      <c r="I2015" s="1">
        <f>IF(Query1[[#This Row],[ItemType]]="EVAP KIT SF GEN IV",Query1[[#This Row],[OrderQty]]+I2014,I2014)</f>
        <v>2363</v>
      </c>
      <c r="J2015" s="1">
        <f>IF(Query1[[#This Row],[ItemType]]="EVAP KIT UNIVERSAL",Query1[[#This Row],[OrderQty]]+J2014,J2014)</f>
        <v>966</v>
      </c>
      <c r="K2015" s="1">
        <f>Query1[[#This Row],[SF Running Total]]+Query1[[#This Row],[UNIV Running Total]]</f>
        <v>3329</v>
      </c>
      <c r="L2015">
        <f>VLOOKUP(Query1[[#This Row],[Description]],'kits to boards'!$B$2:$E$156,2,FALSE)</f>
        <v>830054</v>
      </c>
      <c r="M2015">
        <f>VLOOKUP(Query1[[#This Row],[Description]],'kits to boards'!$B$2:$E$156,3,FALSE)</f>
        <v>0</v>
      </c>
      <c r="N2015">
        <f>VLOOKUP(Query1[[#This Row],[Description]],'kits to boards'!$B$2:$E$156,4,FALSE)</f>
        <v>0</v>
      </c>
      <c r="O2015" t="str">
        <f>CONCATENATE(Query1[[#This Row],[Description]]," - ",Query1[[#This Row],[MB1]]," - ",Query1[[#This Row],[MB2]]," - ",Query1[[#This Row],[MB3]])</f>
        <v>EVAP KIT 55-56 CHEVY - 830054 - 0 - 0</v>
      </c>
    </row>
    <row r="2016" spans="1:15" x14ac:dyDescent="0.25">
      <c r="A2016" s="1">
        <v>914456</v>
      </c>
      <c r="B2016" s="1" t="s">
        <v>22</v>
      </c>
      <c r="C2016" s="1" t="s">
        <v>23</v>
      </c>
      <c r="D2016" s="2">
        <v>44629.681649652775</v>
      </c>
      <c r="E2016" s="1" t="s">
        <v>8</v>
      </c>
      <c r="F2016" s="1">
        <v>1</v>
      </c>
      <c r="G2016" s="1">
        <v>0</v>
      </c>
      <c r="H2016" s="6">
        <f>INT(Query1[[#This Row],[EntryDateTime]])</f>
        <v>44629</v>
      </c>
      <c r="I2016" s="1">
        <f>IF(Query1[[#This Row],[ItemType]]="EVAP KIT SF GEN IV",Query1[[#This Row],[OrderQty]]+I2015,I2015)</f>
        <v>2364</v>
      </c>
      <c r="J2016" s="1">
        <f>IF(Query1[[#This Row],[ItemType]]="EVAP KIT UNIVERSAL",Query1[[#This Row],[OrderQty]]+J2015,J2015)</f>
        <v>966</v>
      </c>
      <c r="K2016" s="1">
        <f>Query1[[#This Row],[SF Running Total]]+Query1[[#This Row],[UNIV Running Total]]</f>
        <v>3330</v>
      </c>
      <c r="L2016">
        <f>VLOOKUP(Query1[[#This Row],[Description]],'kits to boards'!$B$2:$E$156,2,FALSE)</f>
        <v>830083</v>
      </c>
      <c r="M2016">
        <f>VLOOKUP(Query1[[#This Row],[Description]],'kits to boards'!$B$2:$E$156,3,FALSE)</f>
        <v>0</v>
      </c>
      <c r="N2016">
        <f>VLOOKUP(Query1[[#This Row],[Description]],'kits to boards'!$B$2:$E$156,4,FALSE)</f>
        <v>0</v>
      </c>
      <c r="O2016" t="str">
        <f>CONCATENATE(Query1[[#This Row],[Description]]," - ",Query1[[#This Row],[MB1]]," - ",Query1[[#This Row],[MB2]]," - ",Query1[[#This Row],[MB3]])</f>
        <v>GEN IV MAGNUM EVAP KIT - 830083 - 0 - 0</v>
      </c>
    </row>
    <row r="2017" spans="1:15" x14ac:dyDescent="0.25">
      <c r="A2017" s="1">
        <v>914456</v>
      </c>
      <c r="B2017" s="1" t="s">
        <v>106</v>
      </c>
      <c r="C2017" s="1" t="s">
        <v>107</v>
      </c>
      <c r="D2017" s="2">
        <v>44629.68171704861</v>
      </c>
      <c r="E2017" s="1" t="s">
        <v>8</v>
      </c>
      <c r="F2017" s="1">
        <v>1</v>
      </c>
      <c r="G2017" s="1">
        <v>0</v>
      </c>
      <c r="H2017" s="6">
        <f>INT(Query1[[#This Row],[EntryDateTime]])</f>
        <v>44629</v>
      </c>
      <c r="I2017" s="1">
        <f>IF(Query1[[#This Row],[ItemType]]="EVAP KIT SF GEN IV",Query1[[#This Row],[OrderQty]]+I2016,I2016)</f>
        <v>2365</v>
      </c>
      <c r="J2017" s="1">
        <f>IF(Query1[[#This Row],[ItemType]]="EVAP KIT UNIVERSAL",Query1[[#This Row],[OrderQty]]+J2016,J2016)</f>
        <v>966</v>
      </c>
      <c r="K2017" s="1">
        <f>Query1[[#This Row],[SF Running Total]]+Query1[[#This Row],[UNIV Running Total]]</f>
        <v>3331</v>
      </c>
      <c r="L2017">
        <f>VLOOKUP(Query1[[#This Row],[Description]],'kits to boards'!$B$2:$E$156,2,FALSE)</f>
        <v>830028</v>
      </c>
      <c r="M2017">
        <f>VLOOKUP(Query1[[#This Row],[Description]],'kits to boards'!$B$2:$E$156,3,FALSE)</f>
        <v>0</v>
      </c>
      <c r="N2017">
        <f>VLOOKUP(Query1[[#This Row],[Description]],'kits to boards'!$B$2:$E$156,4,FALSE)</f>
        <v>0</v>
      </c>
      <c r="O2017" t="str">
        <f>CONCATENATE(Query1[[#This Row],[Description]]," - ",Query1[[#This Row],[MB1]]," - ",Query1[[#This Row],[MB2]]," - ",Query1[[#This Row],[MB3]])</f>
        <v>EVAP KIT 55-59 CHEV P-UP WO AC W/DELX - 830028 - 0 - 0</v>
      </c>
    </row>
    <row r="2018" spans="1:15" x14ac:dyDescent="0.25">
      <c r="A2018" s="1">
        <v>914460</v>
      </c>
      <c r="B2018" s="1" t="s">
        <v>84</v>
      </c>
      <c r="C2018" s="1" t="s">
        <v>85</v>
      </c>
      <c r="D2018" s="2">
        <v>44629.683732094905</v>
      </c>
      <c r="E2018" s="1" t="s">
        <v>8</v>
      </c>
      <c r="F2018" s="1">
        <v>12</v>
      </c>
      <c r="G2018" s="1">
        <v>0</v>
      </c>
      <c r="H2018" s="6">
        <f>INT(Query1[[#This Row],[EntryDateTime]])</f>
        <v>44629</v>
      </c>
      <c r="I2018" s="1">
        <f>IF(Query1[[#This Row],[ItemType]]="EVAP KIT SF GEN IV",Query1[[#This Row],[OrderQty]]+I2017,I2017)</f>
        <v>2377</v>
      </c>
      <c r="J2018" s="1">
        <f>IF(Query1[[#This Row],[ItemType]]="EVAP KIT UNIVERSAL",Query1[[#This Row],[OrderQty]]+J2017,J2017)</f>
        <v>966</v>
      </c>
      <c r="K2018" s="1">
        <f>Query1[[#This Row],[SF Running Total]]+Query1[[#This Row],[UNIV Running Total]]</f>
        <v>3343</v>
      </c>
      <c r="L2018">
        <f>VLOOKUP(Query1[[#This Row],[Description]],'kits to boards'!$B$2:$E$156,2,FALSE)</f>
        <v>830085</v>
      </c>
      <c r="M2018">
        <f>VLOOKUP(Query1[[#This Row],[Description]],'kits to boards'!$B$2:$E$156,3,FALSE)</f>
        <v>0</v>
      </c>
      <c r="N2018">
        <f>VLOOKUP(Query1[[#This Row],[Description]],'kits to boards'!$B$2:$E$156,4,FALSE)</f>
        <v>0</v>
      </c>
      <c r="O2018" t="str">
        <f>CONCATENATE(Query1[[#This Row],[Description]]," - ",Query1[[#This Row],[MB1]]," - ",Query1[[#This Row],[MB2]]," - ",Query1[[#This Row],[MB3]])</f>
        <v>EVAP KIT 66-77 BRONCO 4-VENT PLENUM - 830085 - 0 - 0</v>
      </c>
    </row>
    <row r="2019" spans="1:15" x14ac:dyDescent="0.25">
      <c r="A2019" s="1">
        <v>914463</v>
      </c>
      <c r="B2019" s="1" t="s">
        <v>206</v>
      </c>
      <c r="C2019" s="1" t="s">
        <v>207</v>
      </c>
      <c r="D2019" s="2">
        <v>44629.685295057869</v>
      </c>
      <c r="E2019" s="1" t="s">
        <v>8</v>
      </c>
      <c r="F2019" s="1">
        <v>1</v>
      </c>
      <c r="G2019" s="1">
        <v>0</v>
      </c>
      <c r="H2019" s="6">
        <f>INT(Query1[[#This Row],[EntryDateTime]])</f>
        <v>44629</v>
      </c>
      <c r="I2019" s="1">
        <f>IF(Query1[[#This Row],[ItemType]]="EVAP KIT SF GEN IV",Query1[[#This Row],[OrderQty]]+I2018,I2018)</f>
        <v>2378</v>
      </c>
      <c r="J2019" s="1">
        <f>IF(Query1[[#This Row],[ItemType]]="EVAP KIT UNIVERSAL",Query1[[#This Row],[OrderQty]]+J2018,J2018)</f>
        <v>966</v>
      </c>
      <c r="K2019" s="1">
        <f>Query1[[#This Row],[SF Running Total]]+Query1[[#This Row],[UNIV Running Total]]</f>
        <v>3344</v>
      </c>
      <c r="L2019">
        <f>VLOOKUP(Query1[[#This Row],[Description]],'kits to boards'!$B$2:$E$156,2,FALSE)</f>
        <v>830032</v>
      </c>
      <c r="M2019">
        <f>VLOOKUP(Query1[[#This Row],[Description]],'kits to boards'!$B$2:$E$156,3,FALSE)</f>
        <v>0</v>
      </c>
      <c r="N2019">
        <f>VLOOKUP(Query1[[#This Row],[Description]],'kits to boards'!$B$2:$E$156,4,FALSE)</f>
        <v>0</v>
      </c>
      <c r="O2019" t="str">
        <f>CONCATENATE(Query1[[#This Row],[Description]]," - ",Query1[[#This Row],[MB1]]," - ",Query1[[#This Row],[MB2]]," - ",Query1[[#This Row],[MB3]])</f>
        <v>EVAP KIT 61-62 VETTE - 830032 - 0 - 0</v>
      </c>
    </row>
    <row r="2020" spans="1:15" x14ac:dyDescent="0.25">
      <c r="A2020" s="1">
        <v>914440</v>
      </c>
      <c r="B2020" s="1" t="s">
        <v>86</v>
      </c>
      <c r="C2020" s="1" t="s">
        <v>87</v>
      </c>
      <c r="D2020" s="2">
        <v>44629.692956678242</v>
      </c>
      <c r="E2020" s="1" t="s">
        <v>8</v>
      </c>
      <c r="F2020" s="1">
        <v>1</v>
      </c>
      <c r="G2020" s="1">
        <v>0</v>
      </c>
      <c r="H2020" s="6">
        <f>INT(Query1[[#This Row],[EntryDateTime]])</f>
        <v>44629</v>
      </c>
      <c r="I2020" s="1">
        <f>IF(Query1[[#This Row],[ItemType]]="EVAP KIT SF GEN IV",Query1[[#This Row],[OrderQty]]+I2019,I2019)</f>
        <v>2379</v>
      </c>
      <c r="J2020" s="1">
        <f>IF(Query1[[#This Row],[ItemType]]="EVAP KIT UNIVERSAL",Query1[[#This Row],[OrderQty]]+J2019,J2019)</f>
        <v>966</v>
      </c>
      <c r="K2020" s="1">
        <f>Query1[[#This Row],[SF Running Total]]+Query1[[#This Row],[UNIV Running Total]]</f>
        <v>3345</v>
      </c>
      <c r="L2020">
        <f>VLOOKUP(Query1[[#This Row],[Description]],'kits to boards'!$B$2:$E$156,2,FALSE)</f>
        <v>830048</v>
      </c>
      <c r="M2020">
        <f>VLOOKUP(Query1[[#This Row],[Description]],'kits to boards'!$B$2:$E$156,3,FALSE)</f>
        <v>0</v>
      </c>
      <c r="N2020">
        <f>VLOOKUP(Query1[[#This Row],[Description]],'kits to boards'!$B$2:$E$156,4,FALSE)</f>
        <v>0</v>
      </c>
      <c r="O2020" t="str">
        <f>CONCATENATE(Query1[[#This Row],[Description]]," - ",Query1[[#This Row],[MB1]]," - ",Query1[[#This Row],[MB2]]," - ",Query1[[#This Row],[MB3]])</f>
        <v>EVAP KIT 66-67 NOVA - 830048 - 0 - 0</v>
      </c>
    </row>
    <row r="2021" spans="1:15" x14ac:dyDescent="0.25">
      <c r="A2021" s="1">
        <v>914469</v>
      </c>
      <c r="B2021" s="1" t="s">
        <v>36</v>
      </c>
      <c r="C2021" s="1" t="s">
        <v>37</v>
      </c>
      <c r="D2021" s="2">
        <v>44629.693773877312</v>
      </c>
      <c r="E2021" s="1" t="s">
        <v>8</v>
      </c>
      <c r="F2021" s="1">
        <v>1</v>
      </c>
      <c r="G2021" s="1">
        <v>0</v>
      </c>
      <c r="H2021" s="6">
        <f>INT(Query1[[#This Row],[EntryDateTime]])</f>
        <v>44629</v>
      </c>
      <c r="I2021" s="1">
        <f>IF(Query1[[#This Row],[ItemType]]="EVAP KIT SF GEN IV",Query1[[#This Row],[OrderQty]]+I2020,I2020)</f>
        <v>2380</v>
      </c>
      <c r="J2021" s="1">
        <f>IF(Query1[[#This Row],[ItemType]]="EVAP KIT UNIVERSAL",Query1[[#This Row],[OrderQty]]+J2020,J2020)</f>
        <v>966</v>
      </c>
      <c r="K2021" s="1">
        <f>Query1[[#This Row],[SF Running Total]]+Query1[[#This Row],[UNIV Running Total]]</f>
        <v>3346</v>
      </c>
      <c r="L2021">
        <f>VLOOKUP(Query1[[#This Row],[Description]],'kits to boards'!$B$2:$E$156,2,FALSE)</f>
        <v>830015</v>
      </c>
      <c r="M2021">
        <f>VLOOKUP(Query1[[#This Row],[Description]],'kits to boards'!$B$2:$E$156,3,FALSE)</f>
        <v>0</v>
      </c>
      <c r="N2021">
        <f>VLOOKUP(Query1[[#This Row],[Description]],'kits to boards'!$B$2:$E$156,4,FALSE)</f>
        <v>0</v>
      </c>
      <c r="O2021" t="str">
        <f>CONCATENATE(Query1[[#This Row],[Description]]," - ",Query1[[#This Row],[MB1]]," - ",Query1[[#This Row],[MB2]]," - ",Query1[[#This Row],[MB3]])</f>
        <v>EVAP KIT 64-66 CHEV P-UP WO AC W/STD - 830015 - 0 - 0</v>
      </c>
    </row>
    <row r="2022" spans="1:15" x14ac:dyDescent="0.25">
      <c r="A2022" s="1">
        <v>914440</v>
      </c>
      <c r="B2022" s="1" t="s">
        <v>38</v>
      </c>
      <c r="C2022" s="1" t="s">
        <v>39</v>
      </c>
      <c r="D2022" s="2">
        <v>44629.694087002317</v>
      </c>
      <c r="E2022" s="1" t="s">
        <v>8</v>
      </c>
      <c r="F2022" s="1">
        <v>1</v>
      </c>
      <c r="G2022" s="1">
        <v>0</v>
      </c>
      <c r="H2022" s="6">
        <f>INT(Query1[[#This Row],[EntryDateTime]])</f>
        <v>44629</v>
      </c>
      <c r="I2022" s="1">
        <f>IF(Query1[[#This Row],[ItemType]]="EVAP KIT SF GEN IV",Query1[[#This Row],[OrderQty]]+I2021,I2021)</f>
        <v>2381</v>
      </c>
      <c r="J2022" s="1">
        <f>IF(Query1[[#This Row],[ItemType]]="EVAP KIT UNIVERSAL",Query1[[#This Row],[OrderQty]]+J2021,J2021)</f>
        <v>966</v>
      </c>
      <c r="K2022" s="1">
        <f>Query1[[#This Row],[SF Running Total]]+Query1[[#This Row],[UNIV Running Total]]</f>
        <v>3347</v>
      </c>
      <c r="L2022">
        <f>VLOOKUP(Query1[[#This Row],[Description]],'kits to boards'!$B$2:$E$156,2,FALSE)</f>
        <v>830012</v>
      </c>
      <c r="M2022">
        <f>VLOOKUP(Query1[[#This Row],[Description]],'kits to boards'!$B$2:$E$156,3,FALSE)</f>
        <v>0</v>
      </c>
      <c r="N2022">
        <f>VLOOKUP(Query1[[#This Row],[Description]],'kits to boards'!$B$2:$E$156,4,FALSE)</f>
        <v>0</v>
      </c>
      <c r="O2022" t="str">
        <f>CONCATENATE(Query1[[#This Row],[Description]]," - ",Query1[[#This Row],[MB1]]," - ",Query1[[#This Row],[MB2]]," - ",Query1[[#This Row],[MB3]])</f>
        <v>EVAP KIT 69 CAMARO W/AC - 830012 - 0 - 0</v>
      </c>
    </row>
    <row r="2023" spans="1:15" x14ac:dyDescent="0.25">
      <c r="A2023" s="1">
        <v>914440</v>
      </c>
      <c r="B2023" s="1" t="s">
        <v>56</v>
      </c>
      <c r="C2023" s="1" t="s">
        <v>57</v>
      </c>
      <c r="D2023" s="2">
        <v>44629.694243437501</v>
      </c>
      <c r="E2023" s="1" t="s">
        <v>8</v>
      </c>
      <c r="F2023" s="1">
        <v>1</v>
      </c>
      <c r="G2023" s="1">
        <v>0</v>
      </c>
      <c r="H2023" s="6">
        <f>INT(Query1[[#This Row],[EntryDateTime]])</f>
        <v>44629</v>
      </c>
      <c r="I2023" s="1">
        <f>IF(Query1[[#This Row],[ItemType]]="EVAP KIT SF GEN IV",Query1[[#This Row],[OrderQty]]+I2022,I2022)</f>
        <v>2382</v>
      </c>
      <c r="J2023" s="1">
        <f>IF(Query1[[#This Row],[ItemType]]="EVAP KIT UNIVERSAL",Query1[[#This Row],[OrderQty]]+J2022,J2022)</f>
        <v>966</v>
      </c>
      <c r="K2023" s="1">
        <f>Query1[[#This Row],[SF Running Total]]+Query1[[#This Row],[UNIV Running Total]]</f>
        <v>3348</v>
      </c>
      <c r="L2023">
        <f>VLOOKUP(Query1[[#This Row],[Description]],'kits to boards'!$B$2:$E$156,2,FALSE)</f>
        <v>830011</v>
      </c>
      <c r="M2023">
        <f>VLOOKUP(Query1[[#This Row],[Description]],'kits to boards'!$B$2:$E$156,3,FALSE)</f>
        <v>0</v>
      </c>
      <c r="N2023">
        <f>VLOOKUP(Query1[[#This Row],[Description]],'kits to boards'!$B$2:$E$156,4,FALSE)</f>
        <v>0</v>
      </c>
      <c r="O2023" t="str">
        <f>CONCATENATE(Query1[[#This Row],[Description]]," - ",Query1[[#This Row],[MB1]]," - ",Query1[[#This Row],[MB2]]," - ",Query1[[#This Row],[MB3]])</f>
        <v>EVAP KIT 70-72 CHEVELLE W/AC - 830011 - 0 - 0</v>
      </c>
    </row>
    <row r="2024" spans="1:15" x14ac:dyDescent="0.25">
      <c r="A2024" s="1">
        <v>914473</v>
      </c>
      <c r="B2024" s="1" t="s">
        <v>42</v>
      </c>
      <c r="C2024" s="1" t="s">
        <v>43</v>
      </c>
      <c r="D2024" s="2">
        <v>44630.265260798609</v>
      </c>
      <c r="E2024" s="1" t="s">
        <v>8</v>
      </c>
      <c r="F2024" s="1">
        <v>1</v>
      </c>
      <c r="G2024" s="1">
        <v>0</v>
      </c>
      <c r="H2024" s="6">
        <f>INT(Query1[[#This Row],[EntryDateTime]])</f>
        <v>44630</v>
      </c>
      <c r="I2024" s="1">
        <f>IF(Query1[[#This Row],[ItemType]]="EVAP KIT SF GEN IV",Query1[[#This Row],[OrderQty]]+I2023,I2023)</f>
        <v>2383</v>
      </c>
      <c r="J2024" s="1">
        <f>IF(Query1[[#This Row],[ItemType]]="EVAP KIT UNIVERSAL",Query1[[#This Row],[OrderQty]]+J2023,J2023)</f>
        <v>966</v>
      </c>
      <c r="K2024" s="1">
        <f>Query1[[#This Row],[SF Running Total]]+Query1[[#This Row],[UNIV Running Total]]</f>
        <v>3349</v>
      </c>
      <c r="L2024">
        <f>VLOOKUP(Query1[[#This Row],[Description]],'kits to boards'!$B$2:$E$156,2,FALSE)</f>
        <v>830014</v>
      </c>
      <c r="M2024">
        <f>VLOOKUP(Query1[[#This Row],[Description]],'kits to boards'!$B$2:$E$156,3,FALSE)</f>
        <v>0</v>
      </c>
      <c r="N2024">
        <f>VLOOKUP(Query1[[#This Row],[Description]],'kits to boards'!$B$2:$E$156,4,FALSE)</f>
        <v>0</v>
      </c>
      <c r="O2024" t="str">
        <f>CONCATENATE(Query1[[#This Row],[Description]]," - ",Query1[[#This Row],[MB1]]," - ",Query1[[#This Row],[MB2]]," - ",Query1[[#This Row],[MB3]])</f>
        <v>EVAP KIT 67-72 CHEV P-UP WO AC - 830014 - 0 - 0</v>
      </c>
    </row>
    <row r="2025" spans="1:15" x14ac:dyDescent="0.25">
      <c r="A2025" s="1">
        <v>914475</v>
      </c>
      <c r="B2025" s="1" t="s">
        <v>36</v>
      </c>
      <c r="C2025" s="1" t="s">
        <v>37</v>
      </c>
      <c r="D2025" s="2">
        <v>44630.307248495374</v>
      </c>
      <c r="E2025" s="1" t="s">
        <v>8</v>
      </c>
      <c r="F2025" s="1">
        <v>1</v>
      </c>
      <c r="G2025" s="1">
        <v>0</v>
      </c>
      <c r="H2025" s="6">
        <f>INT(Query1[[#This Row],[EntryDateTime]])</f>
        <v>44630</v>
      </c>
      <c r="I2025" s="1">
        <f>IF(Query1[[#This Row],[ItemType]]="EVAP KIT SF GEN IV",Query1[[#This Row],[OrderQty]]+I2024,I2024)</f>
        <v>2384</v>
      </c>
      <c r="J2025" s="1">
        <f>IF(Query1[[#This Row],[ItemType]]="EVAP KIT UNIVERSAL",Query1[[#This Row],[OrderQty]]+J2024,J2024)</f>
        <v>966</v>
      </c>
      <c r="K2025" s="1">
        <f>Query1[[#This Row],[SF Running Total]]+Query1[[#This Row],[UNIV Running Total]]</f>
        <v>3350</v>
      </c>
      <c r="L2025">
        <f>VLOOKUP(Query1[[#This Row],[Description]],'kits to boards'!$B$2:$E$156,2,FALSE)</f>
        <v>830015</v>
      </c>
      <c r="M2025">
        <f>VLOOKUP(Query1[[#This Row],[Description]],'kits to boards'!$B$2:$E$156,3,FALSE)</f>
        <v>0</v>
      </c>
      <c r="N2025">
        <f>VLOOKUP(Query1[[#This Row],[Description]],'kits to boards'!$B$2:$E$156,4,FALSE)</f>
        <v>0</v>
      </c>
      <c r="O2025" t="str">
        <f>CONCATENATE(Query1[[#This Row],[Description]]," - ",Query1[[#This Row],[MB1]]," - ",Query1[[#This Row],[MB2]]," - ",Query1[[#This Row],[MB3]])</f>
        <v>EVAP KIT 64-66 CHEV P-UP WO AC W/STD - 830015 - 0 - 0</v>
      </c>
    </row>
    <row r="2026" spans="1:15" x14ac:dyDescent="0.25">
      <c r="A2026" s="1">
        <v>914475</v>
      </c>
      <c r="B2026" s="1" t="s">
        <v>46</v>
      </c>
      <c r="C2026" s="1" t="s">
        <v>47</v>
      </c>
      <c r="D2026" s="2">
        <v>44630.307708761575</v>
      </c>
      <c r="E2026" s="1" t="s">
        <v>8</v>
      </c>
      <c r="F2026" s="1">
        <v>1</v>
      </c>
      <c r="G2026" s="1">
        <v>0</v>
      </c>
      <c r="H2026" s="6">
        <f>INT(Query1[[#This Row],[EntryDateTime]])</f>
        <v>44630</v>
      </c>
      <c r="I2026" s="1">
        <f>IF(Query1[[#This Row],[ItemType]]="EVAP KIT SF GEN IV",Query1[[#This Row],[OrderQty]]+I2025,I2025)</f>
        <v>2385</v>
      </c>
      <c r="J2026" s="1">
        <f>IF(Query1[[#This Row],[ItemType]]="EVAP KIT UNIVERSAL",Query1[[#This Row],[OrderQty]]+J2025,J2025)</f>
        <v>966</v>
      </c>
      <c r="K2026" s="1">
        <f>Query1[[#This Row],[SF Running Total]]+Query1[[#This Row],[UNIV Running Total]]</f>
        <v>3351</v>
      </c>
      <c r="L2026">
        <f>VLOOKUP(Query1[[#This Row],[Description]],'kits to boards'!$B$2:$E$156,2,FALSE)</f>
        <v>830018</v>
      </c>
      <c r="M2026">
        <f>VLOOKUP(Query1[[#This Row],[Description]],'kits to boards'!$B$2:$E$156,3,FALSE)</f>
        <v>0</v>
      </c>
      <c r="N2026">
        <f>VLOOKUP(Query1[[#This Row],[Description]],'kits to boards'!$B$2:$E$156,4,FALSE)</f>
        <v>0</v>
      </c>
      <c r="O2026" t="str">
        <f>CONCATENATE(Query1[[#This Row],[Description]]," - ",Query1[[#This Row],[MB1]]," - ",Query1[[#This Row],[MB2]]," - ",Query1[[#This Row],[MB3]])</f>
        <v>EVAP KIT 68-72 FORD P-UP F-100 - 830018 - 0 - 0</v>
      </c>
    </row>
    <row r="2027" spans="1:15" x14ac:dyDescent="0.25">
      <c r="A2027" s="1">
        <v>914475</v>
      </c>
      <c r="B2027" s="1" t="s">
        <v>90</v>
      </c>
      <c r="C2027" s="1" t="s">
        <v>91</v>
      </c>
      <c r="D2027" s="2">
        <v>44630.307843865739</v>
      </c>
      <c r="E2027" s="1" t="s">
        <v>8</v>
      </c>
      <c r="F2027" s="1">
        <v>2</v>
      </c>
      <c r="G2027" s="1">
        <v>0</v>
      </c>
      <c r="H2027" s="6">
        <f>INT(Query1[[#This Row],[EntryDateTime]])</f>
        <v>44630</v>
      </c>
      <c r="I2027" s="1">
        <f>IF(Query1[[#This Row],[ItemType]]="EVAP KIT SF GEN IV",Query1[[#This Row],[OrderQty]]+I2026,I2026)</f>
        <v>2387</v>
      </c>
      <c r="J2027" s="1">
        <f>IF(Query1[[#This Row],[ItemType]]="EVAP KIT UNIVERSAL",Query1[[#This Row],[OrderQty]]+J2026,J2026)</f>
        <v>966</v>
      </c>
      <c r="K2027" s="1">
        <f>Query1[[#This Row],[SF Running Total]]+Query1[[#This Row],[UNIV Running Total]]</f>
        <v>3353</v>
      </c>
      <c r="L2027">
        <f>VLOOKUP(Query1[[#This Row],[Description]],'kits to boards'!$B$2:$E$156,2,FALSE)</f>
        <v>830105</v>
      </c>
      <c r="M2027">
        <f>VLOOKUP(Query1[[#This Row],[Description]],'kits to boards'!$B$2:$E$156,3,FALSE)</f>
        <v>830106</v>
      </c>
      <c r="N2027">
        <f>VLOOKUP(Query1[[#This Row],[Description]],'kits to boards'!$B$2:$E$156,4,FALSE)</f>
        <v>0</v>
      </c>
      <c r="O2027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2028" spans="1:15" x14ac:dyDescent="0.25">
      <c r="A2028" s="1">
        <v>913174</v>
      </c>
      <c r="B2028" s="1" t="s">
        <v>62</v>
      </c>
      <c r="C2028" s="1" t="s">
        <v>63</v>
      </c>
      <c r="D2028" s="2">
        <v>44630.318663229169</v>
      </c>
      <c r="E2028" s="1" t="s">
        <v>8</v>
      </c>
      <c r="F2028" s="1">
        <v>1</v>
      </c>
      <c r="G2028" s="1">
        <v>0</v>
      </c>
      <c r="H2028" s="6">
        <f>INT(Query1[[#This Row],[EntryDateTime]])</f>
        <v>44630</v>
      </c>
      <c r="I2028" s="1">
        <f>IF(Query1[[#This Row],[ItemType]]="EVAP KIT SF GEN IV",Query1[[#This Row],[OrderQty]]+I2027,I2027)</f>
        <v>2388</v>
      </c>
      <c r="J2028" s="1">
        <f>IF(Query1[[#This Row],[ItemType]]="EVAP KIT UNIVERSAL",Query1[[#This Row],[OrderQty]]+J2027,J2027)</f>
        <v>966</v>
      </c>
      <c r="K2028" s="1">
        <f>Query1[[#This Row],[SF Running Total]]+Query1[[#This Row],[UNIV Running Total]]</f>
        <v>3354</v>
      </c>
      <c r="L2028">
        <f>VLOOKUP(Query1[[#This Row],[Description]],'kits to boards'!$B$2:$E$156,2,FALSE)</f>
        <v>830079</v>
      </c>
      <c r="M2028">
        <f>VLOOKUP(Query1[[#This Row],[Description]],'kits to boards'!$B$2:$E$156,3,FALSE)</f>
        <v>830046</v>
      </c>
      <c r="N2028">
        <f>VLOOKUP(Query1[[#This Row],[Description]],'kits to boards'!$B$2:$E$156,4,FALSE)</f>
        <v>0</v>
      </c>
      <c r="O2028" t="str">
        <f>CONCATENATE(Query1[[#This Row],[Description]]," - ",Query1[[#This Row],[MB1]]," - ",Query1[[#This Row],[MB2]]," - ",Query1[[#This Row],[MB3]])</f>
        <v>EVAP KIT 67-68 MUSTANG/COUGAR WO AC - 830079 - 830046 - 0</v>
      </c>
    </row>
    <row r="2029" spans="1:15" x14ac:dyDescent="0.25">
      <c r="A2029" s="1">
        <v>913174</v>
      </c>
      <c r="B2029" s="1" t="s">
        <v>166</v>
      </c>
      <c r="C2029" s="1" t="s">
        <v>167</v>
      </c>
      <c r="D2029" s="2">
        <v>44630.318663229169</v>
      </c>
      <c r="E2029" s="1" t="s">
        <v>8</v>
      </c>
      <c r="F2029" s="1">
        <v>1</v>
      </c>
      <c r="G2029" s="1">
        <v>0</v>
      </c>
      <c r="H2029" s="6">
        <f>INT(Query1[[#This Row],[EntryDateTime]])</f>
        <v>44630</v>
      </c>
      <c r="I2029" s="1">
        <f>IF(Query1[[#This Row],[ItemType]]="EVAP KIT SF GEN IV",Query1[[#This Row],[OrderQty]]+I2028,I2028)</f>
        <v>2389</v>
      </c>
      <c r="J2029" s="1">
        <f>IF(Query1[[#This Row],[ItemType]]="EVAP KIT UNIVERSAL",Query1[[#This Row],[OrderQty]]+J2028,J2028)</f>
        <v>966</v>
      </c>
      <c r="K2029" s="1">
        <f>Query1[[#This Row],[SF Running Total]]+Query1[[#This Row],[UNIV Running Total]]</f>
        <v>3355</v>
      </c>
      <c r="L2029">
        <f>VLOOKUP(Query1[[#This Row],[Description]],'kits to boards'!$B$2:$E$156,2,FALSE)</f>
        <v>830063</v>
      </c>
      <c r="M2029">
        <f>VLOOKUP(Query1[[#This Row],[Description]],'kits to boards'!$B$2:$E$156,3,FALSE)</f>
        <v>0</v>
      </c>
      <c r="N2029">
        <f>VLOOKUP(Query1[[#This Row],[Description]],'kits to boards'!$B$2:$E$156,4,FALSE)</f>
        <v>0</v>
      </c>
      <c r="O2029" t="str">
        <f>CONCATENATE(Query1[[#This Row],[Description]]," - ",Query1[[#This Row],[MB1]]," - ",Query1[[#This Row],[MB2]]," - ",Query1[[#This Row],[MB3]])</f>
        <v>EVAP KIT 47-49 CHEV P-UP GEN IV - 830063 - 0 - 0</v>
      </c>
    </row>
    <row r="2030" spans="1:15" x14ac:dyDescent="0.25">
      <c r="A2030" s="1">
        <v>913174</v>
      </c>
      <c r="B2030" s="1" t="s">
        <v>102</v>
      </c>
      <c r="C2030" s="1" t="s">
        <v>103</v>
      </c>
      <c r="D2030" s="2">
        <v>44630.318663229169</v>
      </c>
      <c r="E2030" s="1" t="s">
        <v>8</v>
      </c>
      <c r="F2030" s="1">
        <v>1</v>
      </c>
      <c r="G2030" s="1">
        <v>0</v>
      </c>
      <c r="H2030" s="6">
        <f>INT(Query1[[#This Row],[EntryDateTime]])</f>
        <v>44630</v>
      </c>
      <c r="I2030" s="1">
        <f>IF(Query1[[#This Row],[ItemType]]="EVAP KIT SF GEN IV",Query1[[#This Row],[OrderQty]]+I2029,I2029)</f>
        <v>2390</v>
      </c>
      <c r="J2030" s="1">
        <f>IF(Query1[[#This Row],[ItemType]]="EVAP KIT UNIVERSAL",Query1[[#This Row],[OrderQty]]+J2029,J2029)</f>
        <v>966</v>
      </c>
      <c r="K2030" s="1">
        <f>Query1[[#This Row],[SF Running Total]]+Query1[[#This Row],[UNIV Running Total]]</f>
        <v>3356</v>
      </c>
      <c r="L2030">
        <f>VLOOKUP(Query1[[#This Row],[Description]],'kits to boards'!$B$2:$E$156,2,FALSE)</f>
        <v>830012</v>
      </c>
      <c r="M2030">
        <f>VLOOKUP(Query1[[#This Row],[Description]],'kits to boards'!$B$2:$E$156,3,FALSE)</f>
        <v>0</v>
      </c>
      <c r="N2030">
        <f>VLOOKUP(Query1[[#This Row],[Description]],'kits to boards'!$B$2:$E$156,4,FALSE)</f>
        <v>0</v>
      </c>
      <c r="O2030" t="str">
        <f>CONCATENATE(Query1[[#This Row],[Description]]," - ",Query1[[#This Row],[MB1]]," - ",Query1[[#This Row],[MB2]]," - ",Query1[[#This Row],[MB3]])</f>
        <v>EVAP KIT 69 CAMARO WO/AC - 830012 - 0 - 0</v>
      </c>
    </row>
    <row r="2031" spans="1:15" x14ac:dyDescent="0.25">
      <c r="A2031" s="1">
        <v>913174</v>
      </c>
      <c r="B2031" s="1" t="s">
        <v>70</v>
      </c>
      <c r="C2031" s="1" t="s">
        <v>71</v>
      </c>
      <c r="D2031" s="2">
        <v>44630.318663229169</v>
      </c>
      <c r="E2031" s="1" t="s">
        <v>8</v>
      </c>
      <c r="F2031" s="1">
        <v>1</v>
      </c>
      <c r="G2031" s="1">
        <v>0</v>
      </c>
      <c r="H2031" s="6">
        <f>INT(Query1[[#This Row],[EntryDateTime]])</f>
        <v>44630</v>
      </c>
      <c r="I2031" s="1">
        <f>IF(Query1[[#This Row],[ItemType]]="EVAP KIT SF GEN IV",Query1[[#This Row],[OrderQty]]+I2030,I2030)</f>
        <v>2391</v>
      </c>
      <c r="J2031" s="1">
        <f>IF(Query1[[#This Row],[ItemType]]="EVAP KIT UNIVERSAL",Query1[[#This Row],[OrderQty]]+J2030,J2030)</f>
        <v>966</v>
      </c>
      <c r="K2031" s="1">
        <f>Query1[[#This Row],[SF Running Total]]+Query1[[#This Row],[UNIV Running Total]]</f>
        <v>3357</v>
      </c>
      <c r="L2031">
        <f>VLOOKUP(Query1[[#This Row],[Description]],'kits to boards'!$B$2:$E$156,2,FALSE)</f>
        <v>830050</v>
      </c>
      <c r="M2031">
        <f>VLOOKUP(Query1[[#This Row],[Description]],'kits to boards'!$B$2:$E$156,3,FALSE)</f>
        <v>0</v>
      </c>
      <c r="N2031">
        <f>VLOOKUP(Query1[[#This Row],[Description]],'kits to boards'!$B$2:$E$156,4,FALSE)</f>
        <v>0</v>
      </c>
      <c r="O2031" t="str">
        <f>CONCATENATE(Query1[[#This Row],[Description]]," - ",Query1[[#This Row],[MB1]]," - ",Query1[[#This Row],[MB2]]," - ",Query1[[#This Row],[MB3]])</f>
        <v>EVAP KIT 70-78 CAMARO WO AC - 830050 - 0 - 0</v>
      </c>
    </row>
    <row r="2032" spans="1:15" x14ac:dyDescent="0.25">
      <c r="A2032" s="1">
        <v>913174</v>
      </c>
      <c r="B2032" s="1" t="s">
        <v>34</v>
      </c>
      <c r="C2032" s="1" t="s">
        <v>35</v>
      </c>
      <c r="D2032" s="2">
        <v>44630.318663229169</v>
      </c>
      <c r="E2032" s="1" t="s">
        <v>8</v>
      </c>
      <c r="F2032" s="1">
        <v>1</v>
      </c>
      <c r="G2032" s="1">
        <v>0</v>
      </c>
      <c r="H2032" s="6">
        <f>INT(Query1[[#This Row],[EntryDateTime]])</f>
        <v>44630</v>
      </c>
      <c r="I2032" s="1">
        <f>IF(Query1[[#This Row],[ItemType]]="EVAP KIT SF GEN IV",Query1[[#This Row],[OrderQty]]+I2031,I2031)</f>
        <v>2392</v>
      </c>
      <c r="J2032" s="1">
        <f>IF(Query1[[#This Row],[ItemType]]="EVAP KIT UNIVERSAL",Query1[[#This Row],[OrderQty]]+J2031,J2031)</f>
        <v>966</v>
      </c>
      <c r="K2032" s="1">
        <f>Query1[[#This Row],[SF Running Total]]+Query1[[#This Row],[UNIV Running Total]]</f>
        <v>3358</v>
      </c>
      <c r="L2032">
        <f>VLOOKUP(Query1[[#This Row],[Description]],'kits to boards'!$B$2:$E$156,2,FALSE)</f>
        <v>830065</v>
      </c>
      <c r="M2032">
        <f>VLOOKUP(Query1[[#This Row],[Description]],'kits to boards'!$B$2:$E$156,3,FALSE)</f>
        <v>0</v>
      </c>
      <c r="N2032">
        <f>VLOOKUP(Query1[[#This Row],[Description]],'kits to boards'!$B$2:$E$156,4,FALSE)</f>
        <v>0</v>
      </c>
      <c r="O2032" t="str">
        <f>CONCATENATE(Query1[[#This Row],[Description]]," - ",Query1[[#This Row],[MB1]]," - ",Query1[[#This Row],[MB2]]," - ",Query1[[#This Row],[MB3]])</f>
        <v>EVAP KIT 57 CHEV WO AC - 830065 - 0 - 0</v>
      </c>
    </row>
    <row r="2033" spans="1:15" x14ac:dyDescent="0.25">
      <c r="A2033" s="1">
        <v>913174</v>
      </c>
      <c r="B2033" s="1" t="s">
        <v>14</v>
      </c>
      <c r="C2033" s="1" t="s">
        <v>15</v>
      </c>
      <c r="D2033" s="2">
        <v>44630.318663229169</v>
      </c>
      <c r="E2033" s="1" t="s">
        <v>8</v>
      </c>
      <c r="F2033" s="1">
        <v>2</v>
      </c>
      <c r="G2033" s="1">
        <v>0</v>
      </c>
      <c r="H2033" s="6">
        <f>INT(Query1[[#This Row],[EntryDateTime]])</f>
        <v>44630</v>
      </c>
      <c r="I2033" s="1">
        <f>IF(Query1[[#This Row],[ItemType]]="EVAP KIT SF GEN IV",Query1[[#This Row],[OrderQty]]+I2032,I2032)</f>
        <v>2394</v>
      </c>
      <c r="J2033" s="1">
        <f>IF(Query1[[#This Row],[ItemType]]="EVAP KIT UNIVERSAL",Query1[[#This Row],[OrderQty]]+J2032,J2032)</f>
        <v>966</v>
      </c>
      <c r="K2033" s="1">
        <f>Query1[[#This Row],[SF Running Total]]+Query1[[#This Row],[UNIV Running Total]]</f>
        <v>3360</v>
      </c>
      <c r="L2033">
        <f>VLOOKUP(Query1[[#This Row],[Description]],'kits to boards'!$B$2:$E$156,2,FALSE)</f>
        <v>830054</v>
      </c>
      <c r="M2033">
        <f>VLOOKUP(Query1[[#This Row],[Description]],'kits to boards'!$B$2:$E$156,3,FALSE)</f>
        <v>0</v>
      </c>
      <c r="N2033">
        <f>VLOOKUP(Query1[[#This Row],[Description]],'kits to boards'!$B$2:$E$156,4,FALSE)</f>
        <v>0</v>
      </c>
      <c r="O2033" t="str">
        <f>CONCATENATE(Query1[[#This Row],[Description]]," - ",Query1[[#This Row],[MB1]]," - ",Query1[[#This Row],[MB2]]," - ",Query1[[#This Row],[MB3]])</f>
        <v>EVAP KIT 55-56 CHEVY - 830054 - 0 - 0</v>
      </c>
    </row>
    <row r="2034" spans="1:15" x14ac:dyDescent="0.25">
      <c r="A2034" s="1">
        <v>913174</v>
      </c>
      <c r="B2034" s="1" t="s">
        <v>52</v>
      </c>
      <c r="C2034" s="1" t="s">
        <v>53</v>
      </c>
      <c r="D2034" s="2">
        <v>44630.318663229169</v>
      </c>
      <c r="E2034" s="1" t="s">
        <v>8</v>
      </c>
      <c r="F2034" s="1">
        <v>1</v>
      </c>
      <c r="G2034" s="1">
        <v>0</v>
      </c>
      <c r="H2034" s="6">
        <f>INT(Query1[[#This Row],[EntryDateTime]])</f>
        <v>44630</v>
      </c>
      <c r="I2034" s="1">
        <f>IF(Query1[[#This Row],[ItemType]]="EVAP KIT SF GEN IV",Query1[[#This Row],[OrderQty]]+I2033,I2033)</f>
        <v>2395</v>
      </c>
      <c r="J2034" s="1">
        <f>IF(Query1[[#This Row],[ItemType]]="EVAP KIT UNIVERSAL",Query1[[#This Row],[OrderQty]]+J2033,J2033)</f>
        <v>966</v>
      </c>
      <c r="K2034" s="1">
        <f>Query1[[#This Row],[SF Running Total]]+Query1[[#This Row],[UNIV Running Total]]</f>
        <v>3361</v>
      </c>
      <c r="L2034">
        <f>VLOOKUP(Query1[[#This Row],[Description]],'kits to boards'!$B$2:$E$156,2,FALSE)</f>
        <v>830017</v>
      </c>
      <c r="M2034">
        <f>VLOOKUP(Query1[[#This Row],[Description]],'kits to boards'!$B$2:$E$156,3,FALSE)</f>
        <v>830119</v>
      </c>
      <c r="N2034">
        <f>VLOOKUP(Query1[[#This Row],[Description]],'kits to boards'!$B$2:$E$156,4,FALSE)</f>
        <v>830120</v>
      </c>
      <c r="O2034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2035" spans="1:15" x14ac:dyDescent="0.25">
      <c r="A2035" s="1">
        <v>913174</v>
      </c>
      <c r="B2035" s="1" t="s">
        <v>36</v>
      </c>
      <c r="C2035" s="1" t="s">
        <v>37</v>
      </c>
      <c r="D2035" s="2">
        <v>44630.318663229169</v>
      </c>
      <c r="E2035" s="1" t="s">
        <v>8</v>
      </c>
      <c r="F2035" s="1">
        <v>1</v>
      </c>
      <c r="G2035" s="1">
        <v>0</v>
      </c>
      <c r="H2035" s="6">
        <f>INT(Query1[[#This Row],[EntryDateTime]])</f>
        <v>44630</v>
      </c>
      <c r="I2035" s="1">
        <f>IF(Query1[[#This Row],[ItemType]]="EVAP KIT SF GEN IV",Query1[[#This Row],[OrderQty]]+I2034,I2034)</f>
        <v>2396</v>
      </c>
      <c r="J2035" s="1">
        <f>IF(Query1[[#This Row],[ItemType]]="EVAP KIT UNIVERSAL",Query1[[#This Row],[OrderQty]]+J2034,J2034)</f>
        <v>966</v>
      </c>
      <c r="K2035" s="1">
        <f>Query1[[#This Row],[SF Running Total]]+Query1[[#This Row],[UNIV Running Total]]</f>
        <v>3362</v>
      </c>
      <c r="L2035">
        <f>VLOOKUP(Query1[[#This Row],[Description]],'kits to boards'!$B$2:$E$156,2,FALSE)</f>
        <v>830015</v>
      </c>
      <c r="M2035">
        <f>VLOOKUP(Query1[[#This Row],[Description]],'kits to boards'!$B$2:$E$156,3,FALSE)</f>
        <v>0</v>
      </c>
      <c r="N2035">
        <f>VLOOKUP(Query1[[#This Row],[Description]],'kits to boards'!$B$2:$E$156,4,FALSE)</f>
        <v>0</v>
      </c>
      <c r="O2035" t="str">
        <f>CONCATENATE(Query1[[#This Row],[Description]]," - ",Query1[[#This Row],[MB1]]," - ",Query1[[#This Row],[MB2]]," - ",Query1[[#This Row],[MB3]])</f>
        <v>EVAP KIT 64-66 CHEV P-UP WO AC W/STD - 830015 - 0 - 0</v>
      </c>
    </row>
    <row r="2036" spans="1:15" x14ac:dyDescent="0.25">
      <c r="A2036" s="1">
        <v>913174</v>
      </c>
      <c r="B2036" s="1" t="s">
        <v>42</v>
      </c>
      <c r="C2036" s="1" t="s">
        <v>43</v>
      </c>
      <c r="D2036" s="2">
        <v>44630.318663229169</v>
      </c>
      <c r="E2036" s="1" t="s">
        <v>8</v>
      </c>
      <c r="F2036" s="1">
        <v>3</v>
      </c>
      <c r="G2036" s="1">
        <v>0</v>
      </c>
      <c r="H2036" s="6">
        <f>INT(Query1[[#This Row],[EntryDateTime]])</f>
        <v>44630</v>
      </c>
      <c r="I2036" s="1">
        <f>IF(Query1[[#This Row],[ItemType]]="EVAP KIT SF GEN IV",Query1[[#This Row],[OrderQty]]+I2035,I2035)</f>
        <v>2399</v>
      </c>
      <c r="J2036" s="1">
        <f>IF(Query1[[#This Row],[ItemType]]="EVAP KIT UNIVERSAL",Query1[[#This Row],[OrderQty]]+J2035,J2035)</f>
        <v>966</v>
      </c>
      <c r="K2036" s="1">
        <f>Query1[[#This Row],[SF Running Total]]+Query1[[#This Row],[UNIV Running Total]]</f>
        <v>3365</v>
      </c>
      <c r="L2036">
        <f>VLOOKUP(Query1[[#This Row],[Description]],'kits to boards'!$B$2:$E$156,2,FALSE)</f>
        <v>830014</v>
      </c>
      <c r="M2036">
        <f>VLOOKUP(Query1[[#This Row],[Description]],'kits to boards'!$B$2:$E$156,3,FALSE)</f>
        <v>0</v>
      </c>
      <c r="N2036">
        <f>VLOOKUP(Query1[[#This Row],[Description]],'kits to boards'!$B$2:$E$156,4,FALSE)</f>
        <v>0</v>
      </c>
      <c r="O2036" t="str">
        <f>CONCATENATE(Query1[[#This Row],[Description]]," - ",Query1[[#This Row],[MB1]]," - ",Query1[[#This Row],[MB2]]," - ",Query1[[#This Row],[MB3]])</f>
        <v>EVAP KIT 67-72 CHEV P-UP WO AC - 830014 - 0 - 0</v>
      </c>
    </row>
    <row r="2037" spans="1:15" x14ac:dyDescent="0.25">
      <c r="A2037" s="1">
        <v>914421</v>
      </c>
      <c r="B2037" s="1" t="s">
        <v>62</v>
      </c>
      <c r="C2037" s="1" t="s">
        <v>63</v>
      </c>
      <c r="D2037" s="2">
        <v>44630.323588969906</v>
      </c>
      <c r="E2037" s="1" t="s">
        <v>8</v>
      </c>
      <c r="F2037" s="1">
        <v>1</v>
      </c>
      <c r="G2037" s="1">
        <v>0</v>
      </c>
      <c r="H2037" s="6">
        <f>INT(Query1[[#This Row],[EntryDateTime]])</f>
        <v>44630</v>
      </c>
      <c r="I2037" s="1">
        <f>IF(Query1[[#This Row],[ItemType]]="EVAP KIT SF GEN IV",Query1[[#This Row],[OrderQty]]+I2036,I2036)</f>
        <v>2400</v>
      </c>
      <c r="J2037" s="1">
        <f>IF(Query1[[#This Row],[ItemType]]="EVAP KIT UNIVERSAL",Query1[[#This Row],[OrderQty]]+J2036,J2036)</f>
        <v>966</v>
      </c>
      <c r="K2037" s="1">
        <f>Query1[[#This Row],[SF Running Total]]+Query1[[#This Row],[UNIV Running Total]]</f>
        <v>3366</v>
      </c>
      <c r="L2037">
        <f>VLOOKUP(Query1[[#This Row],[Description]],'kits to boards'!$B$2:$E$156,2,FALSE)</f>
        <v>830079</v>
      </c>
      <c r="M2037">
        <f>VLOOKUP(Query1[[#This Row],[Description]],'kits to boards'!$B$2:$E$156,3,FALSE)</f>
        <v>830046</v>
      </c>
      <c r="N2037">
        <f>VLOOKUP(Query1[[#This Row],[Description]],'kits to boards'!$B$2:$E$156,4,FALSE)</f>
        <v>0</v>
      </c>
      <c r="O2037" t="str">
        <f>CONCATENATE(Query1[[#This Row],[Description]]," - ",Query1[[#This Row],[MB1]]," - ",Query1[[#This Row],[MB2]]," - ",Query1[[#This Row],[MB3]])</f>
        <v>EVAP KIT 67-68 MUSTANG/COUGAR WO AC - 830079 - 830046 - 0</v>
      </c>
    </row>
    <row r="2038" spans="1:15" x14ac:dyDescent="0.25">
      <c r="A2038" s="1">
        <v>914483</v>
      </c>
      <c r="B2038" s="1" t="s">
        <v>94</v>
      </c>
      <c r="C2038" s="1" t="s">
        <v>95</v>
      </c>
      <c r="D2038" s="2">
        <v>44630.32450396991</v>
      </c>
      <c r="E2038" s="1" t="s">
        <v>8</v>
      </c>
      <c r="F2038" s="1">
        <v>1</v>
      </c>
      <c r="G2038" s="1">
        <v>0</v>
      </c>
      <c r="H2038" s="6">
        <f>INT(Query1[[#This Row],[EntryDateTime]])</f>
        <v>44630</v>
      </c>
      <c r="I2038" s="1">
        <f>IF(Query1[[#This Row],[ItemType]]="EVAP KIT SF GEN IV",Query1[[#This Row],[OrderQty]]+I2037,I2037)</f>
        <v>2401</v>
      </c>
      <c r="J2038" s="1">
        <f>IF(Query1[[#This Row],[ItemType]]="EVAP KIT UNIVERSAL",Query1[[#This Row],[OrderQty]]+J2037,J2037)</f>
        <v>966</v>
      </c>
      <c r="K2038" s="1">
        <f>Query1[[#This Row],[SF Running Total]]+Query1[[#This Row],[UNIV Running Total]]</f>
        <v>3367</v>
      </c>
      <c r="L2038">
        <f>VLOOKUP(Query1[[#This Row],[Description]],'kits to boards'!$B$2:$E$156,2,FALSE)</f>
        <v>830076</v>
      </c>
      <c r="M2038">
        <f>VLOOKUP(Query1[[#This Row],[Description]],'kits to boards'!$B$2:$E$156,3,FALSE)</f>
        <v>0</v>
      </c>
      <c r="N2038">
        <f>VLOOKUP(Query1[[#This Row],[Description]],'kits to boards'!$B$2:$E$156,4,FALSE)</f>
        <v>0</v>
      </c>
      <c r="O2038" t="str">
        <f>CONCATENATE(Query1[[#This Row],[Description]]," - ",Query1[[#This Row],[MB1]]," - ",Query1[[#This Row],[MB2]]," - ",Query1[[#This Row],[MB3]])</f>
        <v>EVAP KIT 64 1/2- 66 MUSTANG  - 830076 - 0 - 0</v>
      </c>
    </row>
    <row r="2039" spans="1:15" x14ac:dyDescent="0.25">
      <c r="A2039" s="1">
        <v>914485</v>
      </c>
      <c r="B2039" s="1" t="s">
        <v>94</v>
      </c>
      <c r="C2039" s="1" t="s">
        <v>95</v>
      </c>
      <c r="D2039" s="2">
        <v>44630.325656678244</v>
      </c>
      <c r="E2039" s="1" t="s">
        <v>8</v>
      </c>
      <c r="F2039" s="1">
        <v>1</v>
      </c>
      <c r="G2039" s="1">
        <v>0</v>
      </c>
      <c r="H2039" s="6">
        <f>INT(Query1[[#This Row],[EntryDateTime]])</f>
        <v>44630</v>
      </c>
      <c r="I2039" s="1">
        <f>IF(Query1[[#This Row],[ItemType]]="EVAP KIT SF GEN IV",Query1[[#This Row],[OrderQty]]+I2038,I2038)</f>
        <v>2402</v>
      </c>
      <c r="J2039" s="1">
        <f>IF(Query1[[#This Row],[ItemType]]="EVAP KIT UNIVERSAL",Query1[[#This Row],[OrderQty]]+J2038,J2038)</f>
        <v>966</v>
      </c>
      <c r="K2039" s="1">
        <f>Query1[[#This Row],[SF Running Total]]+Query1[[#This Row],[UNIV Running Total]]</f>
        <v>3368</v>
      </c>
      <c r="L2039">
        <f>VLOOKUP(Query1[[#This Row],[Description]],'kits to boards'!$B$2:$E$156,2,FALSE)</f>
        <v>830076</v>
      </c>
      <c r="M2039">
        <f>VLOOKUP(Query1[[#This Row],[Description]],'kits to boards'!$B$2:$E$156,3,FALSE)</f>
        <v>0</v>
      </c>
      <c r="N2039">
        <f>VLOOKUP(Query1[[#This Row],[Description]],'kits to boards'!$B$2:$E$156,4,FALSE)</f>
        <v>0</v>
      </c>
      <c r="O2039" t="str">
        <f>CONCATENATE(Query1[[#This Row],[Description]]," - ",Query1[[#This Row],[MB1]]," - ",Query1[[#This Row],[MB2]]," - ",Query1[[#This Row],[MB3]])</f>
        <v>EVAP KIT 64 1/2- 66 MUSTANG  - 830076 - 0 - 0</v>
      </c>
    </row>
    <row r="2040" spans="1:15" x14ac:dyDescent="0.25">
      <c r="A2040" s="1">
        <v>914486</v>
      </c>
      <c r="B2040" s="1" t="s">
        <v>126</v>
      </c>
      <c r="C2040" s="1" t="s">
        <v>127</v>
      </c>
      <c r="D2040" s="2">
        <v>44630.326644409724</v>
      </c>
      <c r="E2040" s="1" t="s">
        <v>8</v>
      </c>
      <c r="F2040" s="1">
        <v>1</v>
      </c>
      <c r="G2040" s="1">
        <v>0</v>
      </c>
      <c r="H2040" s="6">
        <f>INT(Query1[[#This Row],[EntryDateTime]])</f>
        <v>44630</v>
      </c>
      <c r="I2040" s="1">
        <f>IF(Query1[[#This Row],[ItemType]]="EVAP KIT SF GEN IV",Query1[[#This Row],[OrderQty]]+I2039,I2039)</f>
        <v>2403</v>
      </c>
      <c r="J2040" s="1">
        <f>IF(Query1[[#This Row],[ItemType]]="EVAP KIT UNIVERSAL",Query1[[#This Row],[OrderQty]]+J2039,J2039)</f>
        <v>966</v>
      </c>
      <c r="K2040" s="1">
        <f>Query1[[#This Row],[SF Running Total]]+Query1[[#This Row],[UNIV Running Total]]</f>
        <v>3369</v>
      </c>
      <c r="L2040">
        <f>VLOOKUP(Query1[[#This Row],[Description]],'kits to boards'!$B$2:$E$156,2,FALSE)</f>
        <v>830080</v>
      </c>
      <c r="M2040">
        <f>VLOOKUP(Query1[[#This Row],[Description]],'kits to boards'!$B$2:$E$156,3,FALSE)</f>
        <v>0</v>
      </c>
      <c r="N2040">
        <f>VLOOKUP(Query1[[#This Row],[Description]],'kits to boards'!$B$2:$E$156,4,FALSE)</f>
        <v>0</v>
      </c>
      <c r="O2040" t="str">
        <f>CONCATENATE(Query1[[#This Row],[Description]]," - ",Query1[[#This Row],[MB1]]," - ",Query1[[#This Row],[MB2]]," - ",Query1[[#This Row],[MB3]])</f>
        <v>EVAP KIT 69-70 MUSTANG WO AC  - 830080 - 0 - 0</v>
      </c>
    </row>
    <row r="2041" spans="1:15" x14ac:dyDescent="0.25">
      <c r="A2041" s="1">
        <v>914497</v>
      </c>
      <c r="B2041" s="1" t="s">
        <v>166</v>
      </c>
      <c r="C2041" s="1" t="s">
        <v>167</v>
      </c>
      <c r="D2041" s="2">
        <v>44630.326961770836</v>
      </c>
      <c r="E2041" s="1" t="s">
        <v>8</v>
      </c>
      <c r="F2041" s="1">
        <v>1</v>
      </c>
      <c r="G2041" s="1">
        <v>0</v>
      </c>
      <c r="H2041" s="6">
        <f>INT(Query1[[#This Row],[EntryDateTime]])</f>
        <v>44630</v>
      </c>
      <c r="I2041" s="1">
        <f>IF(Query1[[#This Row],[ItemType]]="EVAP KIT SF GEN IV",Query1[[#This Row],[OrderQty]]+I2040,I2040)</f>
        <v>2404</v>
      </c>
      <c r="J2041" s="1">
        <f>IF(Query1[[#This Row],[ItemType]]="EVAP KIT UNIVERSAL",Query1[[#This Row],[OrderQty]]+J2040,J2040)</f>
        <v>966</v>
      </c>
      <c r="K2041" s="1">
        <f>Query1[[#This Row],[SF Running Total]]+Query1[[#This Row],[UNIV Running Total]]</f>
        <v>3370</v>
      </c>
      <c r="L2041">
        <f>VLOOKUP(Query1[[#This Row],[Description]],'kits to boards'!$B$2:$E$156,2,FALSE)</f>
        <v>830063</v>
      </c>
      <c r="M2041">
        <f>VLOOKUP(Query1[[#This Row],[Description]],'kits to boards'!$B$2:$E$156,3,FALSE)</f>
        <v>0</v>
      </c>
      <c r="N2041">
        <f>VLOOKUP(Query1[[#This Row],[Description]],'kits to boards'!$B$2:$E$156,4,FALSE)</f>
        <v>0</v>
      </c>
      <c r="O2041" t="str">
        <f>CONCATENATE(Query1[[#This Row],[Description]]," - ",Query1[[#This Row],[MB1]]," - ",Query1[[#This Row],[MB2]]," - ",Query1[[#This Row],[MB3]])</f>
        <v>EVAP KIT 47-49 CHEV P-UP GEN IV - 830063 - 0 - 0</v>
      </c>
    </row>
    <row r="2042" spans="1:15" x14ac:dyDescent="0.25">
      <c r="A2042" s="1">
        <v>914497</v>
      </c>
      <c r="B2042" s="1" t="s">
        <v>92</v>
      </c>
      <c r="C2042" s="1" t="s">
        <v>93</v>
      </c>
      <c r="D2042" s="2">
        <v>44630.32749221065</v>
      </c>
      <c r="E2042" s="1" t="s">
        <v>8</v>
      </c>
      <c r="F2042" s="1">
        <v>1</v>
      </c>
      <c r="G2042" s="1">
        <v>0</v>
      </c>
      <c r="H2042" s="6">
        <f>INT(Query1[[#This Row],[EntryDateTime]])</f>
        <v>44630</v>
      </c>
      <c r="I2042" s="1">
        <f>IF(Query1[[#This Row],[ItemType]]="EVAP KIT SF GEN IV",Query1[[#This Row],[OrderQty]]+I2041,I2041)</f>
        <v>2405</v>
      </c>
      <c r="J2042" s="1">
        <f>IF(Query1[[#This Row],[ItemType]]="EVAP KIT UNIVERSAL",Query1[[#This Row],[OrderQty]]+J2041,J2041)</f>
        <v>966</v>
      </c>
      <c r="K2042" s="1">
        <f>Query1[[#This Row],[SF Running Total]]+Query1[[#This Row],[UNIV Running Total]]</f>
        <v>3371</v>
      </c>
      <c r="L2042">
        <f>VLOOKUP(Query1[[#This Row],[Description]],'kits to boards'!$B$2:$E$156,2,FALSE)</f>
        <v>830063</v>
      </c>
      <c r="M2042">
        <f>VLOOKUP(Query1[[#This Row],[Description]],'kits to boards'!$B$2:$E$156,3,FALSE)</f>
        <v>0</v>
      </c>
      <c r="N2042">
        <f>VLOOKUP(Query1[[#This Row],[Description]],'kits to boards'!$B$2:$E$156,4,FALSE)</f>
        <v>0</v>
      </c>
      <c r="O2042" t="str">
        <f>CONCATENATE(Query1[[#This Row],[Description]]," - ",Query1[[#This Row],[MB1]]," - ",Query1[[#This Row],[MB2]]," - ",Query1[[#This Row],[MB3]])</f>
        <v>EVAP KIT 50-53 CHEV P-UP GEN IV - 830063 - 0 - 0</v>
      </c>
    </row>
    <row r="2043" spans="1:15" x14ac:dyDescent="0.25">
      <c r="A2043" s="1">
        <v>914497</v>
      </c>
      <c r="B2043" s="1" t="s">
        <v>168</v>
      </c>
      <c r="C2043" s="1" t="s">
        <v>169</v>
      </c>
      <c r="D2043" s="2">
        <v>44630.327585300925</v>
      </c>
      <c r="E2043" s="1" t="s">
        <v>8</v>
      </c>
      <c r="F2043" s="1">
        <v>1</v>
      </c>
      <c r="G2043" s="1">
        <v>0</v>
      </c>
      <c r="H2043" s="6">
        <f>INT(Query1[[#This Row],[EntryDateTime]])</f>
        <v>44630</v>
      </c>
      <c r="I2043" s="1">
        <f>IF(Query1[[#This Row],[ItemType]]="EVAP KIT SF GEN IV",Query1[[#This Row],[OrderQty]]+I2042,I2042)</f>
        <v>2406</v>
      </c>
      <c r="J2043" s="1">
        <f>IF(Query1[[#This Row],[ItemType]]="EVAP KIT UNIVERSAL",Query1[[#This Row],[OrderQty]]+J2042,J2042)</f>
        <v>966</v>
      </c>
      <c r="K2043" s="1">
        <f>Query1[[#This Row],[SF Running Total]]+Query1[[#This Row],[UNIV Running Total]]</f>
        <v>3372</v>
      </c>
      <c r="L2043">
        <f>VLOOKUP(Query1[[#This Row],[Description]],'kits to boards'!$B$2:$E$156,2,FALSE)</f>
        <v>830028</v>
      </c>
      <c r="M2043">
        <f>VLOOKUP(Query1[[#This Row],[Description]],'kits to boards'!$B$2:$E$156,3,FALSE)</f>
        <v>0</v>
      </c>
      <c r="N2043">
        <f>VLOOKUP(Query1[[#This Row],[Description]],'kits to boards'!$B$2:$E$156,4,FALSE)</f>
        <v>0</v>
      </c>
      <c r="O2043" t="str">
        <f>CONCATENATE(Query1[[#This Row],[Description]]," - ",Query1[[#This Row],[MB1]]," - ",Query1[[#This Row],[MB2]]," - ",Query1[[#This Row],[MB3]])</f>
        <v>EVAP KIT 55-59 CHEV P-UP WO AC W/STD  - 830028 - 0 - 0</v>
      </c>
    </row>
    <row r="2044" spans="1:15" x14ac:dyDescent="0.25">
      <c r="A2044" s="1">
        <v>914497</v>
      </c>
      <c r="B2044" s="1" t="s">
        <v>132</v>
      </c>
      <c r="C2044" s="1" t="s">
        <v>133</v>
      </c>
      <c r="D2044" s="2">
        <v>44630.327718402776</v>
      </c>
      <c r="E2044" s="1" t="s">
        <v>8</v>
      </c>
      <c r="F2044" s="1">
        <v>1</v>
      </c>
      <c r="G2044" s="1">
        <v>0</v>
      </c>
      <c r="H2044" s="6">
        <f>INT(Query1[[#This Row],[EntryDateTime]])</f>
        <v>44630</v>
      </c>
      <c r="I2044" s="1">
        <f>IF(Query1[[#This Row],[ItemType]]="EVAP KIT SF GEN IV",Query1[[#This Row],[OrderQty]]+I2043,I2043)</f>
        <v>2407</v>
      </c>
      <c r="J2044" s="1">
        <f>IF(Query1[[#This Row],[ItemType]]="EVAP KIT UNIVERSAL",Query1[[#This Row],[OrderQty]]+J2043,J2043)</f>
        <v>966</v>
      </c>
      <c r="K2044" s="1">
        <f>Query1[[#This Row],[SF Running Total]]+Query1[[#This Row],[UNIV Running Total]]</f>
        <v>3373</v>
      </c>
      <c r="L2044">
        <f>VLOOKUP(Query1[[#This Row],[Description]],'kits to boards'!$B$2:$E$156,2,FALSE)</f>
        <v>830005</v>
      </c>
      <c r="M2044">
        <f>VLOOKUP(Query1[[#This Row],[Description]],'kits to boards'!$B$2:$E$156,3,FALSE)</f>
        <v>0</v>
      </c>
      <c r="N2044">
        <f>VLOOKUP(Query1[[#This Row],[Description]],'kits to boards'!$B$2:$E$156,4,FALSE)</f>
        <v>0</v>
      </c>
      <c r="O2044" t="str">
        <f>CONCATENATE(Query1[[#This Row],[Description]]," - ",Query1[[#This Row],[MB1]]," - ",Query1[[#This Row],[MB2]]," - ",Query1[[#This Row],[MB3]])</f>
        <v>EVAP KIT 61-62 IMPALA WO AC - 830005 - 0 - 0</v>
      </c>
    </row>
    <row r="2045" spans="1:15" x14ac:dyDescent="0.25">
      <c r="A2045" s="1">
        <v>914497</v>
      </c>
      <c r="B2045" s="1" t="s">
        <v>102</v>
      </c>
      <c r="C2045" s="1" t="s">
        <v>103</v>
      </c>
      <c r="D2045" s="2">
        <v>44630.327866932872</v>
      </c>
      <c r="E2045" s="1" t="s">
        <v>8</v>
      </c>
      <c r="F2045" s="1">
        <v>1</v>
      </c>
      <c r="G2045" s="1">
        <v>0</v>
      </c>
      <c r="H2045" s="6">
        <f>INT(Query1[[#This Row],[EntryDateTime]])</f>
        <v>44630</v>
      </c>
      <c r="I2045" s="1">
        <f>IF(Query1[[#This Row],[ItemType]]="EVAP KIT SF GEN IV",Query1[[#This Row],[OrderQty]]+I2044,I2044)</f>
        <v>2408</v>
      </c>
      <c r="J2045" s="1">
        <f>IF(Query1[[#This Row],[ItemType]]="EVAP KIT UNIVERSAL",Query1[[#This Row],[OrderQty]]+J2044,J2044)</f>
        <v>966</v>
      </c>
      <c r="K2045" s="1">
        <f>Query1[[#This Row],[SF Running Total]]+Query1[[#This Row],[UNIV Running Total]]</f>
        <v>3374</v>
      </c>
      <c r="L2045">
        <f>VLOOKUP(Query1[[#This Row],[Description]],'kits to boards'!$B$2:$E$156,2,FALSE)</f>
        <v>830012</v>
      </c>
      <c r="M2045">
        <f>VLOOKUP(Query1[[#This Row],[Description]],'kits to boards'!$B$2:$E$156,3,FALSE)</f>
        <v>0</v>
      </c>
      <c r="N2045">
        <f>VLOOKUP(Query1[[#This Row],[Description]],'kits to boards'!$B$2:$E$156,4,FALSE)</f>
        <v>0</v>
      </c>
      <c r="O2045" t="str">
        <f>CONCATENATE(Query1[[#This Row],[Description]]," - ",Query1[[#This Row],[MB1]]," - ",Query1[[#This Row],[MB2]]," - ",Query1[[#This Row],[MB3]])</f>
        <v>EVAP KIT 69 CAMARO WO/AC - 830012 - 0 - 0</v>
      </c>
    </row>
    <row r="2046" spans="1:15" x14ac:dyDescent="0.25">
      <c r="A2046" s="1">
        <v>914487</v>
      </c>
      <c r="B2046" s="1" t="s">
        <v>158</v>
      </c>
      <c r="C2046" s="1" t="s">
        <v>159</v>
      </c>
      <c r="D2046" s="2">
        <v>44630.328023993054</v>
      </c>
      <c r="E2046" s="1" t="s">
        <v>8</v>
      </c>
      <c r="F2046" s="1">
        <v>1</v>
      </c>
      <c r="G2046" s="1">
        <v>0</v>
      </c>
      <c r="H2046" s="6">
        <f>INT(Query1[[#This Row],[EntryDateTime]])</f>
        <v>44630</v>
      </c>
      <c r="I2046" s="1">
        <f>IF(Query1[[#This Row],[ItemType]]="EVAP KIT SF GEN IV",Query1[[#This Row],[OrderQty]]+I2045,I2045)</f>
        <v>2409</v>
      </c>
      <c r="J2046" s="1">
        <f>IF(Query1[[#This Row],[ItemType]]="EVAP KIT UNIVERSAL",Query1[[#This Row],[OrderQty]]+J2045,J2045)</f>
        <v>966</v>
      </c>
      <c r="K2046" s="1">
        <f>Query1[[#This Row],[SF Running Total]]+Query1[[#This Row],[UNIV Running Total]]</f>
        <v>3375</v>
      </c>
      <c r="L2046">
        <f>VLOOKUP(Query1[[#This Row],[Description]],'kits to boards'!$B$2:$E$156,2,FALSE)</f>
        <v>830080</v>
      </c>
      <c r="M2046">
        <f>VLOOKUP(Query1[[#This Row],[Description]],'kits to boards'!$B$2:$E$156,3,FALSE)</f>
        <v>830046</v>
      </c>
      <c r="N2046">
        <f>VLOOKUP(Query1[[#This Row],[Description]],'kits to boards'!$B$2:$E$156,4,FALSE)</f>
        <v>0</v>
      </c>
      <c r="O2046" t="str">
        <f>CONCATENATE(Query1[[#This Row],[Description]]," - ",Query1[[#This Row],[MB1]]," - ",Query1[[#This Row],[MB2]]," - ",Query1[[#This Row],[MB3]])</f>
        <v>EVAP KIT 69-70 MUSTANG W/AC  - 830080 - 830046 - 0</v>
      </c>
    </row>
    <row r="2047" spans="1:15" x14ac:dyDescent="0.25">
      <c r="A2047" s="1">
        <v>914488</v>
      </c>
      <c r="B2047" s="1" t="s">
        <v>158</v>
      </c>
      <c r="C2047" s="1" t="s">
        <v>159</v>
      </c>
      <c r="D2047" s="2">
        <v>44630.329100925926</v>
      </c>
      <c r="E2047" s="1" t="s">
        <v>8</v>
      </c>
      <c r="F2047" s="1">
        <v>1</v>
      </c>
      <c r="G2047" s="1">
        <v>0</v>
      </c>
      <c r="H2047" s="6">
        <f>INT(Query1[[#This Row],[EntryDateTime]])</f>
        <v>44630</v>
      </c>
      <c r="I2047" s="1">
        <f>IF(Query1[[#This Row],[ItemType]]="EVAP KIT SF GEN IV",Query1[[#This Row],[OrderQty]]+I2046,I2046)</f>
        <v>2410</v>
      </c>
      <c r="J2047" s="1">
        <f>IF(Query1[[#This Row],[ItemType]]="EVAP KIT UNIVERSAL",Query1[[#This Row],[OrderQty]]+J2046,J2046)</f>
        <v>966</v>
      </c>
      <c r="K2047" s="1">
        <f>Query1[[#This Row],[SF Running Total]]+Query1[[#This Row],[UNIV Running Total]]</f>
        <v>3376</v>
      </c>
      <c r="L2047">
        <f>VLOOKUP(Query1[[#This Row],[Description]],'kits to boards'!$B$2:$E$156,2,FALSE)</f>
        <v>830080</v>
      </c>
      <c r="M2047">
        <f>VLOOKUP(Query1[[#This Row],[Description]],'kits to boards'!$B$2:$E$156,3,FALSE)</f>
        <v>830046</v>
      </c>
      <c r="N2047">
        <f>VLOOKUP(Query1[[#This Row],[Description]],'kits to boards'!$B$2:$E$156,4,FALSE)</f>
        <v>0</v>
      </c>
      <c r="O2047" t="str">
        <f>CONCATENATE(Query1[[#This Row],[Description]]," - ",Query1[[#This Row],[MB1]]," - ",Query1[[#This Row],[MB2]]," - ",Query1[[#This Row],[MB3]])</f>
        <v>EVAP KIT 69-70 MUSTANG W/AC  - 830080 - 830046 - 0</v>
      </c>
    </row>
    <row r="2048" spans="1:15" x14ac:dyDescent="0.25">
      <c r="A2048" s="1">
        <v>914498</v>
      </c>
      <c r="B2048" s="1" t="s">
        <v>18</v>
      </c>
      <c r="C2048" s="1" t="s">
        <v>19</v>
      </c>
      <c r="D2048" s="2">
        <v>44630.330009293983</v>
      </c>
      <c r="E2048" s="1" t="s">
        <v>8</v>
      </c>
      <c r="F2048" s="1">
        <v>1</v>
      </c>
      <c r="G2048" s="1">
        <v>0</v>
      </c>
      <c r="H2048" s="6">
        <f>INT(Query1[[#This Row],[EntryDateTime]])</f>
        <v>44630</v>
      </c>
      <c r="I2048" s="1">
        <f>IF(Query1[[#This Row],[ItemType]]="EVAP KIT SF GEN IV",Query1[[#This Row],[OrderQty]]+I2047,I2047)</f>
        <v>2411</v>
      </c>
      <c r="J2048" s="1">
        <f>IF(Query1[[#This Row],[ItemType]]="EVAP KIT UNIVERSAL",Query1[[#This Row],[OrderQty]]+J2047,J2047)</f>
        <v>966</v>
      </c>
      <c r="K2048" s="1">
        <f>Query1[[#This Row],[SF Running Total]]+Query1[[#This Row],[UNIV Running Total]]</f>
        <v>3377</v>
      </c>
      <c r="L2048">
        <f>VLOOKUP(Query1[[#This Row],[Description]],'kits to boards'!$B$2:$E$156,2,FALSE)</f>
        <v>830051</v>
      </c>
      <c r="M2048">
        <f>VLOOKUP(Query1[[#This Row],[Description]],'kits to boards'!$B$2:$E$156,3,FALSE)</f>
        <v>0</v>
      </c>
      <c r="N2048">
        <f>VLOOKUP(Query1[[#This Row],[Description]],'kits to boards'!$B$2:$E$156,4,FALSE)</f>
        <v>0</v>
      </c>
      <c r="O2048" t="str">
        <f>CONCATENATE(Query1[[#This Row],[Description]]," - ",Query1[[#This Row],[MB1]]," - ",Query1[[#This Row],[MB2]]," - ",Query1[[#This Row],[MB3]])</f>
        <v>EVAP KIT 70-78 CAMARO W/AC - 830051 - 0 - 0</v>
      </c>
    </row>
    <row r="2049" spans="1:15" x14ac:dyDescent="0.25">
      <c r="A2049" s="1">
        <v>914489</v>
      </c>
      <c r="B2049" s="1" t="s">
        <v>158</v>
      </c>
      <c r="C2049" s="1" t="s">
        <v>159</v>
      </c>
      <c r="D2049" s="2">
        <v>44630.330247256941</v>
      </c>
      <c r="E2049" s="1" t="s">
        <v>8</v>
      </c>
      <c r="F2049" s="1">
        <v>1</v>
      </c>
      <c r="G2049" s="1">
        <v>0</v>
      </c>
      <c r="H2049" s="6">
        <f>INT(Query1[[#This Row],[EntryDateTime]])</f>
        <v>44630</v>
      </c>
      <c r="I2049" s="1">
        <f>IF(Query1[[#This Row],[ItemType]]="EVAP KIT SF GEN IV",Query1[[#This Row],[OrderQty]]+I2048,I2048)</f>
        <v>2412</v>
      </c>
      <c r="J2049" s="1">
        <f>IF(Query1[[#This Row],[ItemType]]="EVAP KIT UNIVERSAL",Query1[[#This Row],[OrderQty]]+J2048,J2048)</f>
        <v>966</v>
      </c>
      <c r="K2049" s="1">
        <f>Query1[[#This Row],[SF Running Total]]+Query1[[#This Row],[UNIV Running Total]]</f>
        <v>3378</v>
      </c>
      <c r="L2049">
        <f>VLOOKUP(Query1[[#This Row],[Description]],'kits to boards'!$B$2:$E$156,2,FALSE)</f>
        <v>830080</v>
      </c>
      <c r="M2049">
        <f>VLOOKUP(Query1[[#This Row],[Description]],'kits to boards'!$B$2:$E$156,3,FALSE)</f>
        <v>830046</v>
      </c>
      <c r="N2049">
        <f>VLOOKUP(Query1[[#This Row],[Description]],'kits to boards'!$B$2:$E$156,4,FALSE)</f>
        <v>0</v>
      </c>
      <c r="O2049" t="str">
        <f>CONCATENATE(Query1[[#This Row],[Description]]," - ",Query1[[#This Row],[MB1]]," - ",Query1[[#This Row],[MB2]]," - ",Query1[[#This Row],[MB3]])</f>
        <v>EVAP KIT 69-70 MUSTANG W/AC  - 830080 - 830046 - 0</v>
      </c>
    </row>
    <row r="2050" spans="1:15" x14ac:dyDescent="0.25">
      <c r="A2050" s="1">
        <v>914490</v>
      </c>
      <c r="B2050" s="1" t="s">
        <v>158</v>
      </c>
      <c r="C2050" s="1" t="s">
        <v>159</v>
      </c>
      <c r="D2050" s="2">
        <v>44630.331434525462</v>
      </c>
      <c r="E2050" s="1" t="s">
        <v>8</v>
      </c>
      <c r="F2050" s="1">
        <v>1</v>
      </c>
      <c r="G2050" s="1">
        <v>0</v>
      </c>
      <c r="H2050" s="6">
        <f>INT(Query1[[#This Row],[EntryDateTime]])</f>
        <v>44630</v>
      </c>
      <c r="I2050" s="1">
        <f>IF(Query1[[#This Row],[ItemType]]="EVAP KIT SF GEN IV",Query1[[#This Row],[OrderQty]]+I2049,I2049)</f>
        <v>2413</v>
      </c>
      <c r="J2050" s="1">
        <f>IF(Query1[[#This Row],[ItemType]]="EVAP KIT UNIVERSAL",Query1[[#This Row],[OrderQty]]+J2049,J2049)</f>
        <v>966</v>
      </c>
      <c r="K2050" s="1">
        <f>Query1[[#This Row],[SF Running Total]]+Query1[[#This Row],[UNIV Running Total]]</f>
        <v>3379</v>
      </c>
      <c r="L2050">
        <f>VLOOKUP(Query1[[#This Row],[Description]],'kits to boards'!$B$2:$E$156,2,FALSE)</f>
        <v>830080</v>
      </c>
      <c r="M2050">
        <f>VLOOKUP(Query1[[#This Row],[Description]],'kits to boards'!$B$2:$E$156,3,FALSE)</f>
        <v>830046</v>
      </c>
      <c r="N2050">
        <f>VLOOKUP(Query1[[#This Row],[Description]],'kits to boards'!$B$2:$E$156,4,FALSE)</f>
        <v>0</v>
      </c>
      <c r="O2050" t="str">
        <f>CONCATENATE(Query1[[#This Row],[Description]]," - ",Query1[[#This Row],[MB1]]," - ",Query1[[#This Row],[MB2]]," - ",Query1[[#This Row],[MB3]])</f>
        <v>EVAP KIT 69-70 MUSTANG W/AC  - 830080 - 830046 - 0</v>
      </c>
    </row>
    <row r="2051" spans="1:15" x14ac:dyDescent="0.25">
      <c r="A2051" s="1">
        <v>914491</v>
      </c>
      <c r="B2051" s="1" t="s">
        <v>84</v>
      </c>
      <c r="C2051" s="1" t="s">
        <v>85</v>
      </c>
      <c r="D2051" s="2">
        <v>44630.332748726854</v>
      </c>
      <c r="E2051" s="1" t="s">
        <v>8</v>
      </c>
      <c r="F2051" s="1">
        <v>1</v>
      </c>
      <c r="G2051" s="1">
        <v>0</v>
      </c>
      <c r="H2051" s="6">
        <f>INT(Query1[[#This Row],[EntryDateTime]])</f>
        <v>44630</v>
      </c>
      <c r="I2051" s="1">
        <f>IF(Query1[[#This Row],[ItemType]]="EVAP KIT SF GEN IV",Query1[[#This Row],[OrderQty]]+I2050,I2050)</f>
        <v>2414</v>
      </c>
      <c r="J2051" s="1">
        <f>IF(Query1[[#This Row],[ItemType]]="EVAP KIT UNIVERSAL",Query1[[#This Row],[OrderQty]]+J2050,J2050)</f>
        <v>966</v>
      </c>
      <c r="K2051" s="1">
        <f>Query1[[#This Row],[SF Running Total]]+Query1[[#This Row],[UNIV Running Total]]</f>
        <v>3380</v>
      </c>
      <c r="L2051">
        <f>VLOOKUP(Query1[[#This Row],[Description]],'kits to boards'!$B$2:$E$156,2,FALSE)</f>
        <v>830085</v>
      </c>
      <c r="M2051">
        <f>VLOOKUP(Query1[[#This Row],[Description]],'kits to boards'!$B$2:$E$156,3,FALSE)</f>
        <v>0</v>
      </c>
      <c r="N2051">
        <f>VLOOKUP(Query1[[#This Row],[Description]],'kits to boards'!$B$2:$E$156,4,FALSE)</f>
        <v>0</v>
      </c>
      <c r="O2051" t="str">
        <f>CONCATENATE(Query1[[#This Row],[Description]]," - ",Query1[[#This Row],[MB1]]," - ",Query1[[#This Row],[MB2]]," - ",Query1[[#This Row],[MB3]])</f>
        <v>EVAP KIT 66-77 BRONCO 4-VENT PLENUM - 830085 - 0 - 0</v>
      </c>
    </row>
    <row r="2052" spans="1:15" x14ac:dyDescent="0.25">
      <c r="A2052" s="1">
        <v>914492</v>
      </c>
      <c r="B2052" s="1" t="s">
        <v>84</v>
      </c>
      <c r="C2052" s="1" t="s">
        <v>85</v>
      </c>
      <c r="D2052" s="2">
        <v>44630.333835185185</v>
      </c>
      <c r="E2052" s="1" t="s">
        <v>8</v>
      </c>
      <c r="F2052" s="1">
        <v>1</v>
      </c>
      <c r="G2052" s="1">
        <v>0</v>
      </c>
      <c r="H2052" s="6">
        <f>INT(Query1[[#This Row],[EntryDateTime]])</f>
        <v>44630</v>
      </c>
      <c r="I2052" s="1">
        <f>IF(Query1[[#This Row],[ItemType]]="EVAP KIT SF GEN IV",Query1[[#This Row],[OrderQty]]+I2051,I2051)</f>
        <v>2415</v>
      </c>
      <c r="J2052" s="1">
        <f>IF(Query1[[#This Row],[ItemType]]="EVAP KIT UNIVERSAL",Query1[[#This Row],[OrderQty]]+J2051,J2051)</f>
        <v>966</v>
      </c>
      <c r="K2052" s="1">
        <f>Query1[[#This Row],[SF Running Total]]+Query1[[#This Row],[UNIV Running Total]]</f>
        <v>3381</v>
      </c>
      <c r="L2052">
        <f>VLOOKUP(Query1[[#This Row],[Description]],'kits to boards'!$B$2:$E$156,2,FALSE)</f>
        <v>830085</v>
      </c>
      <c r="M2052">
        <f>VLOOKUP(Query1[[#This Row],[Description]],'kits to boards'!$B$2:$E$156,3,FALSE)</f>
        <v>0</v>
      </c>
      <c r="N2052">
        <f>VLOOKUP(Query1[[#This Row],[Description]],'kits to boards'!$B$2:$E$156,4,FALSE)</f>
        <v>0</v>
      </c>
      <c r="O2052" t="str">
        <f>CONCATENATE(Query1[[#This Row],[Description]]," - ",Query1[[#This Row],[MB1]]," - ",Query1[[#This Row],[MB2]]," - ",Query1[[#This Row],[MB3]])</f>
        <v>EVAP KIT 66-77 BRONCO 4-VENT PLENUM - 830085 - 0 - 0</v>
      </c>
    </row>
    <row r="2053" spans="1:15" x14ac:dyDescent="0.25">
      <c r="A2053" s="1">
        <v>914482</v>
      </c>
      <c r="B2053" s="1" t="s">
        <v>42</v>
      </c>
      <c r="C2053" s="1" t="s">
        <v>43</v>
      </c>
      <c r="D2053" s="2">
        <v>44630.33699502315</v>
      </c>
      <c r="E2053" s="1" t="s">
        <v>8</v>
      </c>
      <c r="F2053" s="1">
        <v>1</v>
      </c>
      <c r="G2053" s="1">
        <v>0</v>
      </c>
      <c r="H2053" s="6">
        <f>INT(Query1[[#This Row],[EntryDateTime]])</f>
        <v>44630</v>
      </c>
      <c r="I2053" s="1">
        <f>IF(Query1[[#This Row],[ItemType]]="EVAP KIT SF GEN IV",Query1[[#This Row],[OrderQty]]+I2052,I2052)</f>
        <v>2416</v>
      </c>
      <c r="J2053" s="1">
        <f>IF(Query1[[#This Row],[ItemType]]="EVAP KIT UNIVERSAL",Query1[[#This Row],[OrderQty]]+J2052,J2052)</f>
        <v>966</v>
      </c>
      <c r="K2053" s="1">
        <f>Query1[[#This Row],[SF Running Total]]+Query1[[#This Row],[UNIV Running Total]]</f>
        <v>3382</v>
      </c>
      <c r="L2053">
        <f>VLOOKUP(Query1[[#This Row],[Description]],'kits to boards'!$B$2:$E$156,2,FALSE)</f>
        <v>830014</v>
      </c>
      <c r="M2053">
        <f>VLOOKUP(Query1[[#This Row],[Description]],'kits to boards'!$B$2:$E$156,3,FALSE)</f>
        <v>0</v>
      </c>
      <c r="N2053">
        <f>VLOOKUP(Query1[[#This Row],[Description]],'kits to boards'!$B$2:$E$156,4,FALSE)</f>
        <v>0</v>
      </c>
      <c r="O2053" t="str">
        <f>CONCATENATE(Query1[[#This Row],[Description]]," - ",Query1[[#This Row],[MB1]]," - ",Query1[[#This Row],[MB2]]," - ",Query1[[#This Row],[MB3]])</f>
        <v>EVAP KIT 67-72 CHEV P-UP WO AC - 830014 - 0 - 0</v>
      </c>
    </row>
    <row r="2054" spans="1:15" x14ac:dyDescent="0.25">
      <c r="A2054" s="1">
        <v>914504</v>
      </c>
      <c r="B2054" s="1" t="s">
        <v>42</v>
      </c>
      <c r="C2054" s="1" t="s">
        <v>43</v>
      </c>
      <c r="D2054" s="2">
        <v>44630.337195335647</v>
      </c>
      <c r="E2054" s="1" t="s">
        <v>8</v>
      </c>
      <c r="F2054" s="1">
        <v>1</v>
      </c>
      <c r="G2054" s="1">
        <v>0</v>
      </c>
      <c r="H2054" s="6">
        <f>INT(Query1[[#This Row],[EntryDateTime]])</f>
        <v>44630</v>
      </c>
      <c r="I2054" s="1">
        <f>IF(Query1[[#This Row],[ItemType]]="EVAP KIT SF GEN IV",Query1[[#This Row],[OrderQty]]+I2053,I2053)</f>
        <v>2417</v>
      </c>
      <c r="J2054" s="1">
        <f>IF(Query1[[#This Row],[ItemType]]="EVAP KIT UNIVERSAL",Query1[[#This Row],[OrderQty]]+J2053,J2053)</f>
        <v>966</v>
      </c>
      <c r="K2054" s="1">
        <f>Query1[[#This Row],[SF Running Total]]+Query1[[#This Row],[UNIV Running Total]]</f>
        <v>3383</v>
      </c>
      <c r="L2054">
        <f>VLOOKUP(Query1[[#This Row],[Description]],'kits to boards'!$B$2:$E$156,2,FALSE)</f>
        <v>830014</v>
      </c>
      <c r="M2054">
        <f>VLOOKUP(Query1[[#This Row],[Description]],'kits to boards'!$B$2:$E$156,3,FALSE)</f>
        <v>0</v>
      </c>
      <c r="N2054">
        <f>VLOOKUP(Query1[[#This Row],[Description]],'kits to boards'!$B$2:$E$156,4,FALSE)</f>
        <v>0</v>
      </c>
      <c r="O2054" t="str">
        <f>CONCATENATE(Query1[[#This Row],[Description]]," - ",Query1[[#This Row],[MB1]]," - ",Query1[[#This Row],[MB2]]," - ",Query1[[#This Row],[MB3]])</f>
        <v>EVAP KIT 67-72 CHEV P-UP WO AC - 830014 - 0 - 0</v>
      </c>
    </row>
    <row r="2055" spans="1:15" x14ac:dyDescent="0.25">
      <c r="A2055" s="1">
        <v>914505</v>
      </c>
      <c r="B2055" s="1" t="s">
        <v>96</v>
      </c>
      <c r="C2055" s="1" t="s">
        <v>97</v>
      </c>
      <c r="D2055" s="2">
        <v>44630.338861886572</v>
      </c>
      <c r="E2055" s="1" t="s">
        <v>8</v>
      </c>
      <c r="F2055" s="1">
        <v>1</v>
      </c>
      <c r="G2055" s="1">
        <v>0</v>
      </c>
      <c r="H2055" s="6">
        <f>INT(Query1[[#This Row],[EntryDateTime]])</f>
        <v>44630</v>
      </c>
      <c r="I2055" s="1">
        <f>IF(Query1[[#This Row],[ItemType]]="EVAP KIT SF GEN IV",Query1[[#This Row],[OrderQty]]+I2054,I2054)</f>
        <v>2418</v>
      </c>
      <c r="J2055" s="1">
        <f>IF(Query1[[#This Row],[ItemType]]="EVAP KIT UNIVERSAL",Query1[[#This Row],[OrderQty]]+J2054,J2054)</f>
        <v>966</v>
      </c>
      <c r="K2055" s="1">
        <f>Query1[[#This Row],[SF Running Total]]+Query1[[#This Row],[UNIV Running Total]]</f>
        <v>3384</v>
      </c>
      <c r="L2055">
        <f>VLOOKUP(Query1[[#This Row],[Description]],'kits to boards'!$B$2:$E$156,2,FALSE)</f>
        <v>830004</v>
      </c>
      <c r="M2055">
        <f>VLOOKUP(Query1[[#This Row],[Description]],'kits to boards'!$B$2:$E$156,3,FALSE)</f>
        <v>0</v>
      </c>
      <c r="N2055">
        <f>VLOOKUP(Query1[[#This Row],[Description]],'kits to boards'!$B$2:$E$156,4,FALSE)</f>
        <v>0</v>
      </c>
      <c r="O2055" t="str">
        <f>CONCATENATE(Query1[[#This Row],[Description]]," - ",Query1[[#This Row],[MB1]]," - ",Query1[[#This Row],[MB2]]," - ",Query1[[#This Row],[MB3]])</f>
        <v>EVAP KIT 81-87 CHEV P-UP W/AC - 830004 - 0 - 0</v>
      </c>
    </row>
    <row r="2056" spans="1:15" x14ac:dyDescent="0.25">
      <c r="A2056" s="1">
        <v>914494</v>
      </c>
      <c r="B2056" s="1" t="s">
        <v>112</v>
      </c>
      <c r="C2056" s="1" t="s">
        <v>113</v>
      </c>
      <c r="D2056" s="2">
        <v>44630.339510532409</v>
      </c>
      <c r="E2056" s="1" t="s">
        <v>8</v>
      </c>
      <c r="F2056" s="1">
        <v>1</v>
      </c>
      <c r="G2056" s="1">
        <v>0</v>
      </c>
      <c r="H2056" s="6">
        <f>INT(Query1[[#This Row],[EntryDateTime]])</f>
        <v>44630</v>
      </c>
      <c r="I2056" s="1">
        <f>IF(Query1[[#This Row],[ItemType]]="EVAP KIT SF GEN IV",Query1[[#This Row],[OrderQty]]+I2055,I2055)</f>
        <v>2419</v>
      </c>
      <c r="J2056" s="1">
        <f>IF(Query1[[#This Row],[ItemType]]="EVAP KIT UNIVERSAL",Query1[[#This Row],[OrderQty]]+J2055,J2055)</f>
        <v>966</v>
      </c>
      <c r="K2056" s="1">
        <f>Query1[[#This Row],[SF Running Total]]+Query1[[#This Row],[UNIV Running Total]]</f>
        <v>3385</v>
      </c>
      <c r="L2056">
        <f>VLOOKUP(Query1[[#This Row],[Description]],'kits to boards'!$B$2:$E$156,2,FALSE)</f>
        <v>830063</v>
      </c>
      <c r="M2056">
        <f>VLOOKUP(Query1[[#This Row],[Description]],'kits to boards'!$B$2:$E$156,3,FALSE)</f>
        <v>0</v>
      </c>
      <c r="N2056">
        <f>VLOOKUP(Query1[[#This Row],[Description]],'kits to boards'!$B$2:$E$156,4,FALSE)</f>
        <v>0</v>
      </c>
      <c r="O2056" t="str">
        <f>CONCATENATE(Query1[[#This Row],[Description]]," - ",Query1[[#This Row],[MB1]]," - ",Query1[[#This Row],[MB2]]," - ",Query1[[#This Row],[MB3]])</f>
        <v>EVAP KIT 54-55 CHEV P-UP GEN IV - 830063 - 0 - 0</v>
      </c>
    </row>
    <row r="2057" spans="1:15" x14ac:dyDescent="0.25">
      <c r="A2057" s="1">
        <v>914506</v>
      </c>
      <c r="B2057" s="1" t="s">
        <v>86</v>
      </c>
      <c r="C2057" s="1" t="s">
        <v>87</v>
      </c>
      <c r="D2057" s="2">
        <v>44630.340577280091</v>
      </c>
      <c r="E2057" s="1" t="s">
        <v>8</v>
      </c>
      <c r="F2057" s="1">
        <v>1</v>
      </c>
      <c r="G2057" s="1">
        <v>0</v>
      </c>
      <c r="H2057" s="6">
        <f>INT(Query1[[#This Row],[EntryDateTime]])</f>
        <v>44630</v>
      </c>
      <c r="I2057" s="1">
        <f>IF(Query1[[#This Row],[ItemType]]="EVAP KIT SF GEN IV",Query1[[#This Row],[OrderQty]]+I2056,I2056)</f>
        <v>2420</v>
      </c>
      <c r="J2057" s="1">
        <f>IF(Query1[[#This Row],[ItemType]]="EVAP KIT UNIVERSAL",Query1[[#This Row],[OrderQty]]+J2056,J2056)</f>
        <v>966</v>
      </c>
      <c r="K2057" s="1">
        <f>Query1[[#This Row],[SF Running Total]]+Query1[[#This Row],[UNIV Running Total]]</f>
        <v>3386</v>
      </c>
      <c r="L2057">
        <f>VLOOKUP(Query1[[#This Row],[Description]],'kits to boards'!$B$2:$E$156,2,FALSE)</f>
        <v>830048</v>
      </c>
      <c r="M2057">
        <f>VLOOKUP(Query1[[#This Row],[Description]],'kits to boards'!$B$2:$E$156,3,FALSE)</f>
        <v>0</v>
      </c>
      <c r="N2057">
        <f>VLOOKUP(Query1[[#This Row],[Description]],'kits to boards'!$B$2:$E$156,4,FALSE)</f>
        <v>0</v>
      </c>
      <c r="O2057" t="str">
        <f>CONCATENATE(Query1[[#This Row],[Description]]," - ",Query1[[#This Row],[MB1]]," - ",Query1[[#This Row],[MB2]]," - ",Query1[[#This Row],[MB3]])</f>
        <v>EVAP KIT 66-67 NOVA - 830048 - 0 - 0</v>
      </c>
    </row>
    <row r="2058" spans="1:15" x14ac:dyDescent="0.25">
      <c r="A2058" s="1">
        <v>914515</v>
      </c>
      <c r="B2058" s="1" t="s">
        <v>134</v>
      </c>
      <c r="C2058" s="1" t="s">
        <v>135</v>
      </c>
      <c r="D2058" s="2">
        <v>44630.366862187497</v>
      </c>
      <c r="E2058" s="1" t="s">
        <v>8</v>
      </c>
      <c r="F2058" s="1">
        <v>1</v>
      </c>
      <c r="G2058" s="1">
        <v>0</v>
      </c>
      <c r="H2058" s="6">
        <f>INT(Query1[[#This Row],[EntryDateTime]])</f>
        <v>44630</v>
      </c>
      <c r="I2058" s="1">
        <f>IF(Query1[[#This Row],[ItemType]]="EVAP KIT SF GEN IV",Query1[[#This Row],[OrderQty]]+I2057,I2057)</f>
        <v>2421</v>
      </c>
      <c r="J2058" s="1">
        <f>IF(Query1[[#This Row],[ItemType]]="EVAP KIT UNIVERSAL",Query1[[#This Row],[OrderQty]]+J2057,J2057)</f>
        <v>966</v>
      </c>
      <c r="K2058" s="1">
        <f>Query1[[#This Row],[SF Running Total]]+Query1[[#This Row],[UNIV Running Total]]</f>
        <v>3387</v>
      </c>
      <c r="L2058">
        <f>VLOOKUP(Query1[[#This Row],[Description]],'kits to boards'!$B$2:$E$156,2,FALSE)</f>
        <v>830007</v>
      </c>
      <c r="M2058">
        <f>VLOOKUP(Query1[[#This Row],[Description]],'kits to boards'!$B$2:$E$156,3,FALSE)</f>
        <v>0</v>
      </c>
      <c r="N2058">
        <f>VLOOKUP(Query1[[#This Row],[Description]],'kits to boards'!$B$2:$E$156,4,FALSE)</f>
        <v>0</v>
      </c>
      <c r="O2058" t="str">
        <f>CONCATENATE(Query1[[#This Row],[Description]]," - ",Query1[[#This Row],[MB1]]," - ",Query1[[#This Row],[MB2]]," - ",Query1[[#This Row],[MB3]])</f>
        <v>EVAP KIT 64 IMPALA WO AC - 830007 - 0 - 0</v>
      </c>
    </row>
    <row r="2059" spans="1:15" x14ac:dyDescent="0.25">
      <c r="A2059" s="1">
        <v>914517</v>
      </c>
      <c r="B2059" s="1" t="s">
        <v>36</v>
      </c>
      <c r="C2059" s="1" t="s">
        <v>37</v>
      </c>
      <c r="D2059" s="2">
        <v>44630.368241932869</v>
      </c>
      <c r="E2059" s="1" t="s">
        <v>8</v>
      </c>
      <c r="F2059" s="1">
        <v>1</v>
      </c>
      <c r="G2059" s="1">
        <v>0</v>
      </c>
      <c r="H2059" s="6">
        <f>INT(Query1[[#This Row],[EntryDateTime]])</f>
        <v>44630</v>
      </c>
      <c r="I2059" s="1">
        <f>IF(Query1[[#This Row],[ItemType]]="EVAP KIT SF GEN IV",Query1[[#This Row],[OrderQty]]+I2058,I2058)</f>
        <v>2422</v>
      </c>
      <c r="J2059" s="1">
        <f>IF(Query1[[#This Row],[ItemType]]="EVAP KIT UNIVERSAL",Query1[[#This Row],[OrderQty]]+J2058,J2058)</f>
        <v>966</v>
      </c>
      <c r="K2059" s="1">
        <f>Query1[[#This Row],[SF Running Total]]+Query1[[#This Row],[UNIV Running Total]]</f>
        <v>3388</v>
      </c>
      <c r="L2059">
        <f>VLOOKUP(Query1[[#This Row],[Description]],'kits to boards'!$B$2:$E$156,2,FALSE)</f>
        <v>830015</v>
      </c>
      <c r="M2059">
        <f>VLOOKUP(Query1[[#This Row],[Description]],'kits to boards'!$B$2:$E$156,3,FALSE)</f>
        <v>0</v>
      </c>
      <c r="N2059">
        <f>VLOOKUP(Query1[[#This Row],[Description]],'kits to boards'!$B$2:$E$156,4,FALSE)</f>
        <v>0</v>
      </c>
      <c r="O2059" t="str">
        <f>CONCATENATE(Query1[[#This Row],[Description]]," - ",Query1[[#This Row],[MB1]]," - ",Query1[[#This Row],[MB2]]," - ",Query1[[#This Row],[MB3]])</f>
        <v>EVAP KIT 64-66 CHEV P-UP WO AC W/STD - 830015 - 0 - 0</v>
      </c>
    </row>
    <row r="2060" spans="1:15" x14ac:dyDescent="0.25">
      <c r="A2060" s="1">
        <v>914518</v>
      </c>
      <c r="B2060" s="1" t="s">
        <v>256</v>
      </c>
      <c r="C2060" s="1" t="s">
        <v>257</v>
      </c>
      <c r="D2060" s="2">
        <v>44630.36828260417</v>
      </c>
      <c r="E2060" s="1" t="s">
        <v>8</v>
      </c>
      <c r="F2060" s="1">
        <v>1</v>
      </c>
      <c r="G2060" s="1">
        <v>0</v>
      </c>
      <c r="H2060" s="6">
        <f>INT(Query1[[#This Row],[EntryDateTime]])</f>
        <v>44630</v>
      </c>
      <c r="I2060" s="1">
        <f>IF(Query1[[#This Row],[ItemType]]="EVAP KIT SF GEN IV",Query1[[#This Row],[OrderQty]]+I2059,I2059)</f>
        <v>2423</v>
      </c>
      <c r="J2060" s="1">
        <f>IF(Query1[[#This Row],[ItemType]]="EVAP KIT UNIVERSAL",Query1[[#This Row],[OrderQty]]+J2059,J2059)</f>
        <v>966</v>
      </c>
      <c r="K2060" s="1">
        <f>Query1[[#This Row],[SF Running Total]]+Query1[[#This Row],[UNIV Running Total]]</f>
        <v>3389</v>
      </c>
      <c r="L2060">
        <f>VLOOKUP(Query1[[#This Row],[Description]],'kits to boards'!$B$2:$E$156,2,FALSE)</f>
        <v>830025</v>
      </c>
      <c r="M2060">
        <f>VLOOKUP(Query1[[#This Row],[Description]],'kits to boards'!$B$2:$E$156,3,FALSE)</f>
        <v>830022</v>
      </c>
      <c r="N2060">
        <f>VLOOKUP(Query1[[#This Row],[Description]],'kits to boards'!$B$2:$E$156,4,FALSE)</f>
        <v>0</v>
      </c>
      <c r="O2060" t="str">
        <f>CONCATENATE(Query1[[#This Row],[Description]]," - ",Query1[[#This Row],[MB1]]," - ",Query1[[#This Row],[MB2]]," - ",Query1[[#This Row],[MB3]])</f>
        <v>EVAP KIT 68-69 CUTLASS W/AC - 830025 - 830022 - 0</v>
      </c>
    </row>
    <row r="2061" spans="1:15" x14ac:dyDescent="0.25">
      <c r="A2061" s="1">
        <v>914520</v>
      </c>
      <c r="B2061" s="1" t="s">
        <v>52</v>
      </c>
      <c r="C2061" s="1" t="s">
        <v>53</v>
      </c>
      <c r="D2061" s="2">
        <v>44630.370048958335</v>
      </c>
      <c r="E2061" s="1" t="s">
        <v>8</v>
      </c>
      <c r="F2061" s="1">
        <v>1</v>
      </c>
      <c r="G2061" s="1">
        <v>0</v>
      </c>
      <c r="H2061" s="6">
        <f>INT(Query1[[#This Row],[EntryDateTime]])</f>
        <v>44630</v>
      </c>
      <c r="I2061" s="1">
        <f>IF(Query1[[#This Row],[ItemType]]="EVAP KIT SF GEN IV",Query1[[#This Row],[OrderQty]]+I2060,I2060)</f>
        <v>2424</v>
      </c>
      <c r="J2061" s="1">
        <f>IF(Query1[[#This Row],[ItemType]]="EVAP KIT UNIVERSAL",Query1[[#This Row],[OrderQty]]+J2060,J2060)</f>
        <v>966</v>
      </c>
      <c r="K2061" s="1">
        <f>Query1[[#This Row],[SF Running Total]]+Query1[[#This Row],[UNIV Running Total]]</f>
        <v>3390</v>
      </c>
      <c r="L2061">
        <f>VLOOKUP(Query1[[#This Row],[Description]],'kits to boards'!$B$2:$E$156,2,FALSE)</f>
        <v>830017</v>
      </c>
      <c r="M2061">
        <f>VLOOKUP(Query1[[#This Row],[Description]],'kits to boards'!$B$2:$E$156,3,FALSE)</f>
        <v>830119</v>
      </c>
      <c r="N2061">
        <f>VLOOKUP(Query1[[#This Row],[Description]],'kits to boards'!$B$2:$E$156,4,FALSE)</f>
        <v>830120</v>
      </c>
      <c r="O2061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2062" spans="1:15" x14ac:dyDescent="0.25">
      <c r="A2062" s="1">
        <v>914522</v>
      </c>
      <c r="B2062" s="1" t="s">
        <v>140</v>
      </c>
      <c r="C2062" s="1" t="s">
        <v>141</v>
      </c>
      <c r="D2062" s="2">
        <v>44630.378240625003</v>
      </c>
      <c r="E2062" s="1" t="s">
        <v>8</v>
      </c>
      <c r="F2062" s="1">
        <v>1</v>
      </c>
      <c r="G2062" s="1">
        <v>0</v>
      </c>
      <c r="H2062" s="6">
        <f>INT(Query1[[#This Row],[EntryDateTime]])</f>
        <v>44630</v>
      </c>
      <c r="I2062" s="1">
        <f>IF(Query1[[#This Row],[ItemType]]="EVAP KIT SF GEN IV",Query1[[#This Row],[OrderQty]]+I2061,I2061)</f>
        <v>2425</v>
      </c>
      <c r="J2062" s="1">
        <f>IF(Query1[[#This Row],[ItemType]]="EVAP KIT UNIVERSAL",Query1[[#This Row],[OrderQty]]+J2061,J2061)</f>
        <v>966</v>
      </c>
      <c r="K2062" s="1">
        <f>Query1[[#This Row],[SF Running Total]]+Query1[[#This Row],[UNIV Running Total]]</f>
        <v>3391</v>
      </c>
      <c r="L2062">
        <f>VLOOKUP(Query1[[#This Row],[Description]],'kits to boards'!$B$2:$E$156,2,FALSE)</f>
        <v>830066</v>
      </c>
      <c r="M2062">
        <f>VLOOKUP(Query1[[#This Row],[Description]],'kits to boards'!$B$2:$E$156,3,FALSE)</f>
        <v>0</v>
      </c>
      <c r="N2062">
        <f>VLOOKUP(Query1[[#This Row],[Description]],'kits to boards'!$B$2:$E$156,4,FALSE)</f>
        <v>0</v>
      </c>
      <c r="O2062" t="str">
        <f>CONCATENATE(Query1[[#This Row],[Description]]," - ",Query1[[#This Row],[MB1]]," - ",Query1[[#This Row],[MB2]]," - ",Query1[[#This Row],[MB3]])</f>
        <v>EVAP KIT 60-63 CHEV P-UP WO AC - 830066 - 0 - 0</v>
      </c>
    </row>
    <row r="2063" spans="1:15" x14ac:dyDescent="0.25">
      <c r="A2063" s="1">
        <v>914522</v>
      </c>
      <c r="B2063" s="1" t="s">
        <v>36</v>
      </c>
      <c r="C2063" s="1" t="s">
        <v>37</v>
      </c>
      <c r="D2063" s="2">
        <v>44630.378626307873</v>
      </c>
      <c r="E2063" s="1" t="s">
        <v>8</v>
      </c>
      <c r="F2063" s="1">
        <v>3</v>
      </c>
      <c r="G2063" s="1">
        <v>0</v>
      </c>
      <c r="H2063" s="6">
        <f>INT(Query1[[#This Row],[EntryDateTime]])</f>
        <v>44630</v>
      </c>
      <c r="I2063" s="1">
        <f>IF(Query1[[#This Row],[ItemType]]="EVAP KIT SF GEN IV",Query1[[#This Row],[OrderQty]]+I2062,I2062)</f>
        <v>2428</v>
      </c>
      <c r="J2063" s="1">
        <f>IF(Query1[[#This Row],[ItemType]]="EVAP KIT UNIVERSAL",Query1[[#This Row],[OrderQty]]+J2062,J2062)</f>
        <v>966</v>
      </c>
      <c r="K2063" s="1">
        <f>Query1[[#This Row],[SF Running Total]]+Query1[[#This Row],[UNIV Running Total]]</f>
        <v>3394</v>
      </c>
      <c r="L2063">
        <f>VLOOKUP(Query1[[#This Row],[Description]],'kits to boards'!$B$2:$E$156,2,FALSE)</f>
        <v>830015</v>
      </c>
      <c r="M2063">
        <f>VLOOKUP(Query1[[#This Row],[Description]],'kits to boards'!$B$2:$E$156,3,FALSE)</f>
        <v>0</v>
      </c>
      <c r="N2063">
        <f>VLOOKUP(Query1[[#This Row],[Description]],'kits to boards'!$B$2:$E$156,4,FALSE)</f>
        <v>0</v>
      </c>
      <c r="O2063" t="str">
        <f>CONCATENATE(Query1[[#This Row],[Description]]," - ",Query1[[#This Row],[MB1]]," - ",Query1[[#This Row],[MB2]]," - ",Query1[[#This Row],[MB3]])</f>
        <v>EVAP KIT 64-66 CHEV P-UP WO AC W/STD - 830015 - 0 - 0</v>
      </c>
    </row>
    <row r="2064" spans="1:15" x14ac:dyDescent="0.25">
      <c r="A2064" s="1">
        <v>914522</v>
      </c>
      <c r="B2064" s="1" t="s">
        <v>42</v>
      </c>
      <c r="C2064" s="1" t="s">
        <v>43</v>
      </c>
      <c r="D2064" s="2">
        <v>44630.379150891204</v>
      </c>
      <c r="E2064" s="1" t="s">
        <v>8</v>
      </c>
      <c r="F2064" s="1">
        <v>4</v>
      </c>
      <c r="G2064" s="1">
        <v>0</v>
      </c>
      <c r="H2064" s="6">
        <f>INT(Query1[[#This Row],[EntryDateTime]])</f>
        <v>44630</v>
      </c>
      <c r="I2064" s="1">
        <f>IF(Query1[[#This Row],[ItemType]]="EVAP KIT SF GEN IV",Query1[[#This Row],[OrderQty]]+I2063,I2063)</f>
        <v>2432</v>
      </c>
      <c r="J2064" s="1">
        <f>IF(Query1[[#This Row],[ItemType]]="EVAP KIT UNIVERSAL",Query1[[#This Row],[OrderQty]]+J2063,J2063)</f>
        <v>966</v>
      </c>
      <c r="K2064" s="1">
        <f>Query1[[#This Row],[SF Running Total]]+Query1[[#This Row],[UNIV Running Total]]</f>
        <v>3398</v>
      </c>
      <c r="L2064">
        <f>VLOOKUP(Query1[[#This Row],[Description]],'kits to boards'!$B$2:$E$156,2,FALSE)</f>
        <v>830014</v>
      </c>
      <c r="M2064">
        <f>VLOOKUP(Query1[[#This Row],[Description]],'kits to boards'!$B$2:$E$156,3,FALSE)</f>
        <v>0</v>
      </c>
      <c r="N2064">
        <f>VLOOKUP(Query1[[#This Row],[Description]],'kits to boards'!$B$2:$E$156,4,FALSE)</f>
        <v>0</v>
      </c>
      <c r="O2064" t="str">
        <f>CONCATENATE(Query1[[#This Row],[Description]]," - ",Query1[[#This Row],[MB1]]," - ",Query1[[#This Row],[MB2]]," - ",Query1[[#This Row],[MB3]])</f>
        <v>EVAP KIT 67-72 CHEV P-UP WO AC - 830014 - 0 - 0</v>
      </c>
    </row>
    <row r="2065" spans="1:15" x14ac:dyDescent="0.25">
      <c r="A2065" s="1">
        <v>914522</v>
      </c>
      <c r="B2065" s="1" t="s">
        <v>120</v>
      </c>
      <c r="C2065" s="1" t="s">
        <v>121</v>
      </c>
      <c r="D2065" s="2">
        <v>44630.379275775464</v>
      </c>
      <c r="E2065" s="1" t="s">
        <v>8</v>
      </c>
      <c r="F2065" s="1">
        <v>4</v>
      </c>
      <c r="G2065" s="1">
        <v>0</v>
      </c>
      <c r="H2065" s="6">
        <f>INT(Query1[[#This Row],[EntryDateTime]])</f>
        <v>44630</v>
      </c>
      <c r="I2065" s="1">
        <f>IF(Query1[[#This Row],[ItemType]]="EVAP KIT SF GEN IV",Query1[[#This Row],[OrderQty]]+I2064,I2064)</f>
        <v>2436</v>
      </c>
      <c r="J2065" s="1">
        <f>IF(Query1[[#This Row],[ItemType]]="EVAP KIT UNIVERSAL",Query1[[#This Row],[OrderQty]]+J2064,J2064)</f>
        <v>966</v>
      </c>
      <c r="K2065" s="1">
        <f>Query1[[#This Row],[SF Running Total]]+Query1[[#This Row],[UNIV Running Total]]</f>
        <v>3402</v>
      </c>
      <c r="L2065">
        <f>VLOOKUP(Query1[[#This Row],[Description]],'kits to boards'!$B$2:$E$156,2,FALSE)</f>
        <v>830014</v>
      </c>
      <c r="M2065">
        <f>VLOOKUP(Query1[[#This Row],[Description]],'kits to boards'!$B$2:$E$156,3,FALSE)</f>
        <v>0</v>
      </c>
      <c r="N2065">
        <f>VLOOKUP(Query1[[#This Row],[Description]],'kits to boards'!$B$2:$E$156,4,FALSE)</f>
        <v>0</v>
      </c>
      <c r="O2065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2066" spans="1:15" x14ac:dyDescent="0.25">
      <c r="A2066" s="1">
        <v>914522</v>
      </c>
      <c r="B2066" s="1" t="s">
        <v>26</v>
      </c>
      <c r="C2066" s="1" t="s">
        <v>27</v>
      </c>
      <c r="D2066" s="2">
        <v>44630.379382488427</v>
      </c>
      <c r="E2066" s="1" t="s">
        <v>8</v>
      </c>
      <c r="F2066" s="1">
        <v>4</v>
      </c>
      <c r="G2066" s="1">
        <v>0</v>
      </c>
      <c r="H2066" s="6">
        <f>INT(Query1[[#This Row],[EntryDateTime]])</f>
        <v>44630</v>
      </c>
      <c r="I2066" s="1">
        <f>IF(Query1[[#This Row],[ItemType]]="EVAP KIT SF GEN IV",Query1[[#This Row],[OrderQty]]+I2065,I2065)</f>
        <v>2440</v>
      </c>
      <c r="J2066" s="1">
        <f>IF(Query1[[#This Row],[ItemType]]="EVAP KIT UNIVERSAL",Query1[[#This Row],[OrderQty]]+J2065,J2065)</f>
        <v>966</v>
      </c>
      <c r="K2066" s="1">
        <f>Query1[[#This Row],[SF Running Total]]+Query1[[#This Row],[UNIV Running Total]]</f>
        <v>3406</v>
      </c>
      <c r="L2066">
        <f>VLOOKUP(Query1[[#This Row],[Description]],'kits to boards'!$B$2:$E$156,2,FALSE)</f>
        <v>830013</v>
      </c>
      <c r="M2066">
        <f>VLOOKUP(Query1[[#This Row],[Description]],'kits to boards'!$B$2:$E$156,3,FALSE)</f>
        <v>0</v>
      </c>
      <c r="N2066">
        <f>VLOOKUP(Query1[[#This Row],[Description]],'kits to boards'!$B$2:$E$156,4,FALSE)</f>
        <v>0</v>
      </c>
      <c r="O2066" t="str">
        <f>CONCATENATE(Query1[[#This Row],[Description]]," - ",Query1[[#This Row],[MB1]]," - ",Query1[[#This Row],[MB2]]," - ",Query1[[#This Row],[MB3]])</f>
        <v>EVAP KIT 67-72 CHEV P-UP W/AC - 830013 - 0 - 0</v>
      </c>
    </row>
    <row r="2067" spans="1:15" x14ac:dyDescent="0.25">
      <c r="A2067" s="1">
        <v>914522</v>
      </c>
      <c r="B2067" s="1" t="s">
        <v>28</v>
      </c>
      <c r="C2067" s="1" t="s">
        <v>29</v>
      </c>
      <c r="D2067" s="2">
        <v>44630.379867592594</v>
      </c>
      <c r="E2067" s="1" t="s">
        <v>8</v>
      </c>
      <c r="F2067" s="1">
        <v>2</v>
      </c>
      <c r="G2067" s="1">
        <v>0</v>
      </c>
      <c r="H2067" s="6">
        <f>INT(Query1[[#This Row],[EntryDateTime]])</f>
        <v>44630</v>
      </c>
      <c r="I2067" s="1">
        <f>IF(Query1[[#This Row],[ItemType]]="EVAP KIT SF GEN IV",Query1[[#This Row],[OrderQty]]+I2066,I2066)</f>
        <v>2442</v>
      </c>
      <c r="J2067" s="1">
        <f>IF(Query1[[#This Row],[ItemType]]="EVAP KIT UNIVERSAL",Query1[[#This Row],[OrderQty]]+J2066,J2066)</f>
        <v>966</v>
      </c>
      <c r="K2067" s="1">
        <f>Query1[[#This Row],[SF Running Total]]+Query1[[#This Row],[UNIV Running Total]]</f>
        <v>3408</v>
      </c>
      <c r="L2067">
        <f>VLOOKUP(Query1[[#This Row],[Description]],'kits to boards'!$B$2:$E$156,2,FALSE)</f>
        <v>830001</v>
      </c>
      <c r="M2067">
        <f>VLOOKUP(Query1[[#This Row],[Description]],'kits to boards'!$B$2:$E$156,3,FALSE)</f>
        <v>0</v>
      </c>
      <c r="N2067">
        <f>VLOOKUP(Query1[[#This Row],[Description]],'kits to boards'!$B$2:$E$156,4,FALSE)</f>
        <v>0</v>
      </c>
      <c r="O2067" t="str">
        <f>CONCATENATE(Query1[[#This Row],[Description]]," - ",Query1[[#This Row],[MB1]]," - ",Query1[[#This Row],[MB2]]," - ",Query1[[#This Row],[MB3]])</f>
        <v>EVAP KIT 73-80 CHEV P-UP W/AC - 830001 - 0 - 0</v>
      </c>
    </row>
    <row r="2068" spans="1:15" x14ac:dyDescent="0.25">
      <c r="A2068" s="1">
        <v>914522</v>
      </c>
      <c r="B2068" s="1" t="s">
        <v>96</v>
      </c>
      <c r="C2068" s="1" t="s">
        <v>97</v>
      </c>
      <c r="D2068" s="2">
        <v>44630.380312499998</v>
      </c>
      <c r="E2068" s="1" t="s">
        <v>8</v>
      </c>
      <c r="F2068" s="1">
        <v>4</v>
      </c>
      <c r="G2068" s="1">
        <v>0</v>
      </c>
      <c r="H2068" s="6">
        <f>INT(Query1[[#This Row],[EntryDateTime]])</f>
        <v>44630</v>
      </c>
      <c r="I2068" s="1">
        <f>IF(Query1[[#This Row],[ItemType]]="EVAP KIT SF GEN IV",Query1[[#This Row],[OrderQty]]+I2067,I2067)</f>
        <v>2446</v>
      </c>
      <c r="J2068" s="1">
        <f>IF(Query1[[#This Row],[ItemType]]="EVAP KIT UNIVERSAL",Query1[[#This Row],[OrderQty]]+J2067,J2067)</f>
        <v>966</v>
      </c>
      <c r="K2068" s="1">
        <f>Query1[[#This Row],[SF Running Total]]+Query1[[#This Row],[UNIV Running Total]]</f>
        <v>3412</v>
      </c>
      <c r="L2068">
        <f>VLOOKUP(Query1[[#This Row],[Description]],'kits to boards'!$B$2:$E$156,2,FALSE)</f>
        <v>830004</v>
      </c>
      <c r="M2068">
        <f>VLOOKUP(Query1[[#This Row],[Description]],'kits to boards'!$B$2:$E$156,3,FALSE)</f>
        <v>0</v>
      </c>
      <c r="N2068">
        <f>VLOOKUP(Query1[[#This Row],[Description]],'kits to boards'!$B$2:$E$156,4,FALSE)</f>
        <v>0</v>
      </c>
      <c r="O2068" t="str">
        <f>CONCATENATE(Query1[[#This Row],[Description]]," - ",Query1[[#This Row],[MB1]]," - ",Query1[[#This Row],[MB2]]," - ",Query1[[#This Row],[MB3]])</f>
        <v>EVAP KIT 81-87 CHEV P-UP W/AC - 830004 - 0 - 0</v>
      </c>
    </row>
    <row r="2069" spans="1:15" x14ac:dyDescent="0.25">
      <c r="A2069" s="1">
        <v>914530</v>
      </c>
      <c r="B2069" s="1" t="s">
        <v>106</v>
      </c>
      <c r="C2069" s="1" t="s">
        <v>253</v>
      </c>
      <c r="D2069" s="2">
        <v>44630.385834375003</v>
      </c>
      <c r="E2069" s="1" t="s">
        <v>8</v>
      </c>
      <c r="F2069" s="1">
        <v>1</v>
      </c>
      <c r="G2069" s="1">
        <v>0</v>
      </c>
      <c r="H2069" s="6">
        <f>INT(Query1[[#This Row],[EntryDateTime]])</f>
        <v>44630</v>
      </c>
      <c r="I2069" s="1">
        <f>IF(Query1[[#This Row],[ItemType]]="EVAP KIT SF GEN IV",Query1[[#This Row],[OrderQty]]+I2068,I2068)</f>
        <v>2447</v>
      </c>
      <c r="J2069" s="1">
        <f>IF(Query1[[#This Row],[ItemType]]="EVAP KIT UNIVERSAL",Query1[[#This Row],[OrderQty]]+J2068,J2068)</f>
        <v>966</v>
      </c>
      <c r="K2069" s="1">
        <f>Query1[[#This Row],[SF Running Total]]+Query1[[#This Row],[UNIV Running Total]]</f>
        <v>3413</v>
      </c>
      <c r="L2069">
        <f>VLOOKUP(Query1[[#This Row],[Description]],'kits to boards'!$B$2:$E$156,2,FALSE)</f>
        <v>830028</v>
      </c>
      <c r="M2069">
        <f>VLOOKUP(Query1[[#This Row],[Description]],'kits to boards'!$B$2:$E$156,3,FALSE)</f>
        <v>0</v>
      </c>
      <c r="N2069">
        <f>VLOOKUP(Query1[[#This Row],[Description]],'kits to boards'!$B$2:$E$156,4,FALSE)</f>
        <v>0</v>
      </c>
      <c r="O2069" t="str">
        <f>CONCATENATE(Query1[[#This Row],[Description]]," - ",Query1[[#This Row],[MB1]]," - ",Query1[[#This Row],[MB2]]," - ",Query1[[#This Row],[MB3]])</f>
        <v>EVAP KIT 55-59 CHEV P-UP WO AC W/DELX  - 830028 - 0 - 0</v>
      </c>
    </row>
    <row r="2070" spans="1:15" x14ac:dyDescent="0.25">
      <c r="A2070" s="1">
        <v>914531</v>
      </c>
      <c r="B2070" s="1" t="s">
        <v>114</v>
      </c>
      <c r="C2070" s="1" t="s">
        <v>115</v>
      </c>
      <c r="D2070" s="2">
        <v>44630.386862071762</v>
      </c>
      <c r="E2070" s="1" t="s">
        <v>8</v>
      </c>
      <c r="F2070" s="1">
        <v>1</v>
      </c>
      <c r="G2070" s="1">
        <v>0</v>
      </c>
      <c r="H2070" s="6">
        <f>INT(Query1[[#This Row],[EntryDateTime]])</f>
        <v>44630</v>
      </c>
      <c r="I2070" s="1">
        <f>IF(Query1[[#This Row],[ItemType]]="EVAP KIT SF GEN IV",Query1[[#This Row],[OrderQty]]+I2069,I2069)</f>
        <v>2448</v>
      </c>
      <c r="J2070" s="1">
        <f>IF(Query1[[#This Row],[ItemType]]="EVAP KIT UNIVERSAL",Query1[[#This Row],[OrderQty]]+J2069,J2069)</f>
        <v>966</v>
      </c>
      <c r="K2070" s="1">
        <f>Query1[[#This Row],[SF Running Total]]+Query1[[#This Row],[UNIV Running Total]]</f>
        <v>3414</v>
      </c>
      <c r="L2070">
        <f>VLOOKUP(Query1[[#This Row],[Description]],'kits to boards'!$B$2:$E$156,2,FALSE)</f>
        <v>830059</v>
      </c>
      <c r="M2070">
        <f>VLOOKUP(Query1[[#This Row],[Description]],'kits to boards'!$B$2:$E$156,3,FALSE)</f>
        <v>0</v>
      </c>
      <c r="N2070">
        <f>VLOOKUP(Query1[[#This Row],[Description]],'kits to boards'!$B$2:$E$156,4,FALSE)</f>
        <v>0</v>
      </c>
      <c r="O2070" t="str">
        <f>CONCATENATE(Query1[[#This Row],[Description]]," - ",Query1[[#This Row],[MB1]]," - ",Query1[[#This Row],[MB2]]," - ",Query1[[#This Row],[MB3]])</f>
        <v>EVAP KIT 66-67 CHEVELLE W/AC - 830059 - 0 - 0</v>
      </c>
    </row>
    <row r="2071" spans="1:15" x14ac:dyDescent="0.25">
      <c r="A2071" s="1">
        <v>914529</v>
      </c>
      <c r="B2071" s="1" t="s">
        <v>160</v>
      </c>
      <c r="C2071" s="1" t="s">
        <v>161</v>
      </c>
      <c r="D2071" s="2">
        <v>44630.389766238426</v>
      </c>
      <c r="E2071" s="1" t="s">
        <v>8</v>
      </c>
      <c r="F2071" s="1">
        <v>2</v>
      </c>
      <c r="G2071" s="1">
        <v>0</v>
      </c>
      <c r="H2071" s="6">
        <f>INT(Query1[[#This Row],[EntryDateTime]])</f>
        <v>44630</v>
      </c>
      <c r="I2071" s="1">
        <f>IF(Query1[[#This Row],[ItemType]]="EVAP KIT SF GEN IV",Query1[[#This Row],[OrderQty]]+I2070,I2070)</f>
        <v>2450</v>
      </c>
      <c r="J2071" s="1">
        <f>IF(Query1[[#This Row],[ItemType]]="EVAP KIT UNIVERSAL",Query1[[#This Row],[OrderQty]]+J2070,J2070)</f>
        <v>966</v>
      </c>
      <c r="K2071" s="1">
        <f>Query1[[#This Row],[SF Running Total]]+Query1[[#This Row],[UNIV Running Total]]</f>
        <v>3416</v>
      </c>
      <c r="L2071">
        <f>VLOOKUP(Query1[[#This Row],[Description]],'kits to boards'!$B$2:$E$156,2,FALSE)</f>
        <v>830083</v>
      </c>
      <c r="M2071">
        <f>VLOOKUP(Query1[[#This Row],[Description]],'kits to boards'!$B$2:$E$156,3,FALSE)</f>
        <v>0</v>
      </c>
      <c r="N2071">
        <f>VLOOKUP(Query1[[#This Row],[Description]],'kits to boards'!$B$2:$E$156,4,FALSE)</f>
        <v>0</v>
      </c>
      <c r="O2071" t="str">
        <f>CONCATENATE(Query1[[#This Row],[Description]]," - ",Query1[[#This Row],[MB1]]," - ",Query1[[#This Row],[MB2]]," - ",Query1[[#This Row],[MB3]])</f>
        <v>EVAP KIT 70-74 CHALNGR/CUDA WO AC - 830083 - 0 - 0</v>
      </c>
    </row>
    <row r="2072" spans="1:15" x14ac:dyDescent="0.25">
      <c r="A2072" s="1">
        <v>914535</v>
      </c>
      <c r="B2072" s="1" t="s">
        <v>94</v>
      </c>
      <c r="C2072" s="1" t="s">
        <v>95</v>
      </c>
      <c r="D2072" s="2">
        <v>44630.395411805555</v>
      </c>
      <c r="E2072" s="1" t="s">
        <v>8</v>
      </c>
      <c r="F2072" s="1">
        <v>1</v>
      </c>
      <c r="G2072" s="1">
        <v>0</v>
      </c>
      <c r="H2072" s="6">
        <f>INT(Query1[[#This Row],[EntryDateTime]])</f>
        <v>44630</v>
      </c>
      <c r="I2072" s="1">
        <f>IF(Query1[[#This Row],[ItemType]]="EVAP KIT SF GEN IV",Query1[[#This Row],[OrderQty]]+I2071,I2071)</f>
        <v>2451</v>
      </c>
      <c r="J2072" s="1">
        <f>IF(Query1[[#This Row],[ItemType]]="EVAP KIT UNIVERSAL",Query1[[#This Row],[OrderQty]]+J2071,J2071)</f>
        <v>966</v>
      </c>
      <c r="K2072" s="1">
        <f>Query1[[#This Row],[SF Running Total]]+Query1[[#This Row],[UNIV Running Total]]</f>
        <v>3417</v>
      </c>
      <c r="L2072">
        <f>VLOOKUP(Query1[[#This Row],[Description]],'kits to boards'!$B$2:$E$156,2,FALSE)</f>
        <v>830076</v>
      </c>
      <c r="M2072">
        <f>VLOOKUP(Query1[[#This Row],[Description]],'kits to boards'!$B$2:$E$156,3,FALSE)</f>
        <v>0</v>
      </c>
      <c r="N2072">
        <f>VLOOKUP(Query1[[#This Row],[Description]],'kits to boards'!$B$2:$E$156,4,FALSE)</f>
        <v>0</v>
      </c>
      <c r="O2072" t="str">
        <f>CONCATENATE(Query1[[#This Row],[Description]]," - ",Query1[[#This Row],[MB1]]," - ",Query1[[#This Row],[MB2]]," - ",Query1[[#This Row],[MB3]])</f>
        <v>EVAP KIT 64 1/2- 66 MUSTANG  - 830076 - 0 - 0</v>
      </c>
    </row>
    <row r="2073" spans="1:15" x14ac:dyDescent="0.25">
      <c r="A2073" s="1">
        <v>914539</v>
      </c>
      <c r="B2073" s="1" t="s">
        <v>152</v>
      </c>
      <c r="C2073" s="1" t="s">
        <v>153</v>
      </c>
      <c r="D2073" s="2">
        <v>44630.412895254631</v>
      </c>
      <c r="E2073" s="1" t="s">
        <v>8</v>
      </c>
      <c r="F2073" s="1">
        <v>1</v>
      </c>
      <c r="G2073" s="1">
        <v>0</v>
      </c>
      <c r="H2073" s="6">
        <f>INT(Query1[[#This Row],[EntryDateTime]])</f>
        <v>44630</v>
      </c>
      <c r="I2073" s="1">
        <f>IF(Query1[[#This Row],[ItemType]]="EVAP KIT SF GEN IV",Query1[[#This Row],[OrderQty]]+I2072,I2072)</f>
        <v>2452</v>
      </c>
      <c r="J2073" s="1">
        <f>IF(Query1[[#This Row],[ItemType]]="EVAP KIT UNIVERSAL",Query1[[#This Row],[OrderQty]]+J2072,J2072)</f>
        <v>966</v>
      </c>
      <c r="K2073" s="1">
        <f>Query1[[#This Row],[SF Running Total]]+Query1[[#This Row],[UNIV Running Total]]</f>
        <v>3418</v>
      </c>
      <c r="L2073">
        <f>VLOOKUP(Query1[[#This Row],[Description]],'kits to boards'!$B$2:$E$156,2,FALSE)</f>
        <v>830034</v>
      </c>
      <c r="M2073">
        <f>VLOOKUP(Query1[[#This Row],[Description]],'kits to boards'!$B$2:$E$156,3,FALSE)</f>
        <v>0</v>
      </c>
      <c r="N2073">
        <f>VLOOKUP(Query1[[#This Row],[Description]],'kits to boards'!$B$2:$E$156,4,FALSE)</f>
        <v>0</v>
      </c>
      <c r="O2073" t="str">
        <f>CONCATENATE(Query1[[#This Row],[Description]]," - ",Query1[[#This Row],[MB1]]," - ",Query1[[#This Row],[MB2]]," - ",Query1[[#This Row],[MB3]])</f>
        <v>EVAP KIT 64-67 GTO WO AC - 830034 - 0 - 0</v>
      </c>
    </row>
    <row r="2074" spans="1:15" x14ac:dyDescent="0.25">
      <c r="A2074" s="1">
        <v>914310</v>
      </c>
      <c r="B2074" s="1" t="s">
        <v>6</v>
      </c>
      <c r="C2074" s="1" t="s">
        <v>7</v>
      </c>
      <c r="D2074" s="2">
        <v>44630.416042245372</v>
      </c>
      <c r="E2074" s="1" t="s">
        <v>8</v>
      </c>
      <c r="F2074" s="1">
        <v>1</v>
      </c>
      <c r="G2074" s="1">
        <v>0</v>
      </c>
      <c r="H2074" s="6">
        <f>INT(Query1[[#This Row],[EntryDateTime]])</f>
        <v>44630</v>
      </c>
      <c r="I2074" s="1">
        <f>IF(Query1[[#This Row],[ItemType]]="EVAP KIT SF GEN IV",Query1[[#This Row],[OrderQty]]+I2073,I2073)</f>
        <v>2453</v>
      </c>
      <c r="J2074" s="1">
        <f>IF(Query1[[#This Row],[ItemType]]="EVAP KIT UNIVERSAL",Query1[[#This Row],[OrderQty]]+J2073,J2073)</f>
        <v>966</v>
      </c>
      <c r="K2074" s="1">
        <f>Query1[[#This Row],[SF Running Total]]+Query1[[#This Row],[UNIV Running Total]]</f>
        <v>3419</v>
      </c>
      <c r="L2074">
        <f>VLOOKUP(Query1[[#This Row],[Description]],'kits to boards'!$B$2:$E$156,2,FALSE)</f>
        <v>830132</v>
      </c>
      <c r="M2074">
        <f>VLOOKUP(Query1[[#This Row],[Description]],'kits to boards'!$B$2:$E$156,3,FALSE)</f>
        <v>0</v>
      </c>
      <c r="N2074">
        <f>VLOOKUP(Query1[[#This Row],[Description]],'kits to boards'!$B$2:$E$156,4,FALSE)</f>
        <v>0</v>
      </c>
      <c r="O2074" t="str">
        <f>CONCATENATE(Query1[[#This Row],[Description]]," - ",Query1[[#This Row],[MB1]]," - ",Query1[[#This Row],[MB2]]," - ",Query1[[#This Row],[MB3]])</f>
        <v>EVAP KIT 82-88 MONTE CARLO/EL CAMINO - 830132 - 0 - 0</v>
      </c>
    </row>
    <row r="2075" spans="1:15" x14ac:dyDescent="0.25">
      <c r="A2075" s="1">
        <v>914308</v>
      </c>
      <c r="B2075" s="1" t="s">
        <v>176</v>
      </c>
      <c r="C2075" s="1" t="s">
        <v>177</v>
      </c>
      <c r="D2075" s="2">
        <v>44630.416986145836</v>
      </c>
      <c r="E2075" s="1" t="s">
        <v>8</v>
      </c>
      <c r="F2075" s="1">
        <v>1</v>
      </c>
      <c r="G2075" s="1">
        <v>0</v>
      </c>
      <c r="H2075" s="6">
        <f>INT(Query1[[#This Row],[EntryDateTime]])</f>
        <v>44630</v>
      </c>
      <c r="I2075" s="1">
        <f>IF(Query1[[#This Row],[ItemType]]="EVAP KIT SF GEN IV",Query1[[#This Row],[OrderQty]]+I2074,I2074)</f>
        <v>2454</v>
      </c>
      <c r="J2075" s="1">
        <f>IF(Query1[[#This Row],[ItemType]]="EVAP KIT UNIVERSAL",Query1[[#This Row],[OrderQty]]+J2074,J2074)</f>
        <v>966</v>
      </c>
      <c r="K2075" s="1">
        <f>Query1[[#This Row],[SF Running Total]]+Query1[[#This Row],[UNIV Running Total]]</f>
        <v>3420</v>
      </c>
      <c r="L2075">
        <f>VLOOKUP(Query1[[#This Row],[Description]],'kits to boards'!$B$2:$E$156,2,FALSE)</f>
        <v>830125</v>
      </c>
      <c r="M2075">
        <f>VLOOKUP(Query1[[#This Row],[Description]],'kits to boards'!$B$2:$E$156,3,FALSE)</f>
        <v>0</v>
      </c>
      <c r="N2075">
        <f>VLOOKUP(Query1[[#This Row],[Description]],'kits to boards'!$B$2:$E$156,4,FALSE)</f>
        <v>0</v>
      </c>
      <c r="O2075" t="str">
        <f>CONCATENATE(Query1[[#This Row],[Description]]," - ",Query1[[#This Row],[MB1]]," - ",Query1[[#This Row],[MB2]]," - ",Query1[[#This Row],[MB3]])</f>
        <v>EVAP KIT 65-66 IMPALA W/AC - 830125 - 0 - 0</v>
      </c>
    </row>
    <row r="2076" spans="1:15" x14ac:dyDescent="0.25">
      <c r="A2076" s="1">
        <v>914542</v>
      </c>
      <c r="B2076" s="1" t="s">
        <v>16</v>
      </c>
      <c r="C2076" s="1" t="s">
        <v>17</v>
      </c>
      <c r="D2076" s="2">
        <v>44630.418013888891</v>
      </c>
      <c r="E2076" s="1" t="s">
        <v>8</v>
      </c>
      <c r="F2076" s="1">
        <v>1</v>
      </c>
      <c r="G2076" s="1">
        <v>0</v>
      </c>
      <c r="H2076" s="6">
        <f>INT(Query1[[#This Row],[EntryDateTime]])</f>
        <v>44630</v>
      </c>
      <c r="I2076" s="1">
        <f>IF(Query1[[#This Row],[ItemType]]="EVAP KIT SF GEN IV",Query1[[#This Row],[OrderQty]]+I2075,I2075)</f>
        <v>2455</v>
      </c>
      <c r="J2076" s="1">
        <f>IF(Query1[[#This Row],[ItemType]]="EVAP KIT UNIVERSAL",Query1[[#This Row],[OrderQty]]+J2075,J2075)</f>
        <v>966</v>
      </c>
      <c r="K2076" s="1">
        <f>Query1[[#This Row],[SF Running Total]]+Query1[[#This Row],[UNIV Running Total]]</f>
        <v>3421</v>
      </c>
      <c r="L2076">
        <f>VLOOKUP(Query1[[#This Row],[Description]],'kits to boards'!$B$2:$E$156,2,FALSE)</f>
        <v>830061</v>
      </c>
      <c r="M2076">
        <f>VLOOKUP(Query1[[#This Row],[Description]],'kits to boards'!$B$2:$E$156,3,FALSE)</f>
        <v>0</v>
      </c>
      <c r="N2076">
        <f>VLOOKUP(Query1[[#This Row],[Description]],'kits to boards'!$B$2:$E$156,4,FALSE)</f>
        <v>0</v>
      </c>
      <c r="O2076" t="str">
        <f>CONCATENATE(Query1[[#This Row],[Description]]," - ",Query1[[#This Row],[MB1]]," - ",Query1[[#This Row],[MB2]]," - ",Query1[[#This Row],[MB3]])</f>
        <v>EVAP KIT 68-69 CHEVELLE W/AC - 830061 - 0 - 0</v>
      </c>
    </row>
    <row r="2077" spans="1:15" x14ac:dyDescent="0.25">
      <c r="A2077" s="1">
        <v>914553</v>
      </c>
      <c r="B2077" s="1" t="s">
        <v>56</v>
      </c>
      <c r="C2077" s="1" t="s">
        <v>57</v>
      </c>
      <c r="D2077" s="2">
        <v>44630.436747071763</v>
      </c>
      <c r="E2077" s="1" t="s">
        <v>8</v>
      </c>
      <c r="F2077" s="1">
        <v>1</v>
      </c>
      <c r="G2077" s="1">
        <v>0</v>
      </c>
      <c r="H2077" s="6">
        <f>INT(Query1[[#This Row],[EntryDateTime]])</f>
        <v>44630</v>
      </c>
      <c r="I2077" s="1">
        <f>IF(Query1[[#This Row],[ItemType]]="EVAP KIT SF GEN IV",Query1[[#This Row],[OrderQty]]+I2076,I2076)</f>
        <v>2456</v>
      </c>
      <c r="J2077" s="1">
        <f>IF(Query1[[#This Row],[ItemType]]="EVAP KIT UNIVERSAL",Query1[[#This Row],[OrderQty]]+J2076,J2076)</f>
        <v>966</v>
      </c>
      <c r="K2077" s="1">
        <f>Query1[[#This Row],[SF Running Total]]+Query1[[#This Row],[UNIV Running Total]]</f>
        <v>3422</v>
      </c>
      <c r="L2077">
        <f>VLOOKUP(Query1[[#This Row],[Description]],'kits to boards'!$B$2:$E$156,2,FALSE)</f>
        <v>830011</v>
      </c>
      <c r="M2077">
        <f>VLOOKUP(Query1[[#This Row],[Description]],'kits to boards'!$B$2:$E$156,3,FALSE)</f>
        <v>0</v>
      </c>
      <c r="N2077">
        <f>VLOOKUP(Query1[[#This Row],[Description]],'kits to boards'!$B$2:$E$156,4,FALSE)</f>
        <v>0</v>
      </c>
      <c r="O2077" t="str">
        <f>CONCATENATE(Query1[[#This Row],[Description]]," - ",Query1[[#This Row],[MB1]]," - ",Query1[[#This Row],[MB2]]," - ",Query1[[#This Row],[MB3]])</f>
        <v>EVAP KIT 70-72 CHEVELLE W/AC - 830011 - 0 - 0</v>
      </c>
    </row>
    <row r="2078" spans="1:15" x14ac:dyDescent="0.25">
      <c r="A2078" s="1">
        <v>914559</v>
      </c>
      <c r="B2078" s="1" t="s">
        <v>502</v>
      </c>
      <c r="C2078" s="1" t="s">
        <v>503</v>
      </c>
      <c r="D2078" s="2">
        <v>44630.445011377313</v>
      </c>
      <c r="E2078" s="1" t="s">
        <v>677</v>
      </c>
      <c r="F2078" s="1">
        <v>1</v>
      </c>
      <c r="G2078" s="1">
        <v>0</v>
      </c>
      <c r="H2078" s="6">
        <f>INT(Query1[[#This Row],[EntryDateTime]])</f>
        <v>44630</v>
      </c>
      <c r="I2078" s="1">
        <f>IF(Query1[[#This Row],[ItemType]]="EVAP KIT SF GEN IV",Query1[[#This Row],[OrderQty]]+I2077,I2077)</f>
        <v>2456</v>
      </c>
      <c r="J2078" s="1">
        <f>IF(Query1[[#This Row],[ItemType]]="EVAP KIT UNIVERSAL",Query1[[#This Row],[OrderQty]]+J2077,J2077)</f>
        <v>966</v>
      </c>
      <c r="K2078" s="1">
        <f>Query1[[#This Row],[SF Running Total]]+Query1[[#This Row],[UNIV Running Total]]</f>
        <v>3422</v>
      </c>
      <c r="L2078" t="e">
        <f>VLOOKUP(Query1[[#This Row],[Description]],'kits to boards'!$B$2:$E$156,2,FALSE)</f>
        <v>#N/A</v>
      </c>
      <c r="M2078" t="e">
        <f>VLOOKUP(Query1[[#This Row],[Description]],'kits to boards'!$B$2:$E$156,3,FALSE)</f>
        <v>#N/A</v>
      </c>
      <c r="N2078" t="e">
        <f>VLOOKUP(Query1[[#This Row],[Description]],'kits to boards'!$B$2:$E$156,4,FALSE)</f>
        <v>#N/A</v>
      </c>
      <c r="O2078" t="e">
        <f>CONCATENATE(Query1[[#This Row],[Description]]," - ",Query1[[#This Row],[MB1]]," - ",Query1[[#This Row],[MB2]]," - ",Query1[[#This Row],[MB3]])</f>
        <v>#N/A</v>
      </c>
    </row>
    <row r="2079" spans="1:15" x14ac:dyDescent="0.25">
      <c r="A2079" s="1">
        <v>914562</v>
      </c>
      <c r="B2079" s="1" t="s">
        <v>24</v>
      </c>
      <c r="C2079" s="1" t="s">
        <v>25</v>
      </c>
      <c r="D2079" s="2">
        <v>44630.448310185187</v>
      </c>
      <c r="E2079" s="1" t="s">
        <v>11</v>
      </c>
      <c r="F2079" s="1">
        <v>1</v>
      </c>
      <c r="G2079" s="1">
        <v>0</v>
      </c>
      <c r="H2079" s="6">
        <f>INT(Query1[[#This Row],[EntryDateTime]])</f>
        <v>44630</v>
      </c>
      <c r="I2079" s="1">
        <f>IF(Query1[[#This Row],[ItemType]]="EVAP KIT SF GEN IV",Query1[[#This Row],[OrderQty]]+I2078,I2078)</f>
        <v>2456</v>
      </c>
      <c r="J2079" s="1">
        <f>IF(Query1[[#This Row],[ItemType]]="EVAP KIT UNIVERSAL",Query1[[#This Row],[OrderQty]]+J2078,J2078)</f>
        <v>967</v>
      </c>
      <c r="K2079" s="1">
        <f>Query1[[#This Row],[SF Running Total]]+Query1[[#This Row],[UNIV Running Total]]</f>
        <v>3423</v>
      </c>
      <c r="L2079">
        <f>VLOOKUP(Query1[[#This Row],[Description]],'kits to boards'!$B$2:$E$156,2,FALSE)</f>
        <v>830029</v>
      </c>
      <c r="M2079">
        <f>VLOOKUP(Query1[[#This Row],[Description]],'kits to boards'!$B$2:$E$156,3,FALSE)</f>
        <v>830030</v>
      </c>
      <c r="N2079">
        <f>VLOOKUP(Query1[[#This Row],[Description]],'kits to boards'!$B$2:$E$156,4,FALSE)</f>
        <v>0</v>
      </c>
      <c r="O2079" t="str">
        <f>CONCATENATE(Query1[[#This Row],[Description]]," - ",Query1[[#This Row],[MB1]]," - ",Query1[[#This Row],[MB2]]," - ",Query1[[#This Row],[MB3]])</f>
        <v>ComPac GEN II W/DEF - 830029 - 830030 - 0</v>
      </c>
    </row>
    <row r="2080" spans="1:15" x14ac:dyDescent="0.25">
      <c r="A2080" s="1">
        <v>914564</v>
      </c>
      <c r="B2080" s="1" t="s">
        <v>194</v>
      </c>
      <c r="C2080" s="1" t="s">
        <v>195</v>
      </c>
      <c r="D2080" s="2">
        <v>44630.454155011575</v>
      </c>
      <c r="E2080" s="1" t="s">
        <v>8</v>
      </c>
      <c r="F2080" s="1">
        <v>1</v>
      </c>
      <c r="G2080" s="1">
        <v>0</v>
      </c>
      <c r="H2080" s="6">
        <f>INT(Query1[[#This Row],[EntryDateTime]])</f>
        <v>44630</v>
      </c>
      <c r="I2080" s="1">
        <f>IF(Query1[[#This Row],[ItemType]]="EVAP KIT SF GEN IV",Query1[[#This Row],[OrderQty]]+I2079,I2079)</f>
        <v>2457</v>
      </c>
      <c r="J2080" s="1">
        <f>IF(Query1[[#This Row],[ItemType]]="EVAP KIT UNIVERSAL",Query1[[#This Row],[OrderQty]]+J2079,J2079)</f>
        <v>967</v>
      </c>
      <c r="K2080" s="1">
        <f>Query1[[#This Row],[SF Running Total]]+Query1[[#This Row],[UNIV Running Total]]</f>
        <v>3424</v>
      </c>
      <c r="L2080">
        <f>VLOOKUP(Query1[[#This Row],[Description]],'kits to boards'!$B$2:$E$156,2,FALSE)</f>
        <v>830103</v>
      </c>
      <c r="M2080">
        <f>VLOOKUP(Query1[[#This Row],[Description]],'kits to boards'!$B$2:$E$156,3,FALSE)</f>
        <v>0</v>
      </c>
      <c r="N2080">
        <f>VLOOKUP(Query1[[#This Row],[Description]],'kits to boards'!$B$2:$E$156,4,FALSE)</f>
        <v>0</v>
      </c>
      <c r="O2080" t="str">
        <f>CONCATENATE(Query1[[#This Row],[Description]]," - ",Query1[[#This Row],[MB1]]," - ",Query1[[#This Row],[MB2]]," - ",Query1[[#This Row],[MB3]])</f>
        <v>EVAP KIT 78-82 VETTE W/AC - 830103 - 0 - 0</v>
      </c>
    </row>
    <row r="2081" spans="1:15" x14ac:dyDescent="0.25">
      <c r="A2081" s="1">
        <v>914566</v>
      </c>
      <c r="B2081" s="1" t="s">
        <v>76</v>
      </c>
      <c r="C2081" s="1" t="s">
        <v>77</v>
      </c>
      <c r="D2081" s="2">
        <v>44630.457177777775</v>
      </c>
      <c r="E2081" s="1" t="s">
        <v>11</v>
      </c>
      <c r="F2081" s="1">
        <v>1</v>
      </c>
      <c r="G2081" s="1">
        <v>0</v>
      </c>
      <c r="H2081" s="6">
        <f>INT(Query1[[#This Row],[EntryDateTime]])</f>
        <v>44630</v>
      </c>
      <c r="I2081" s="1">
        <f>IF(Query1[[#This Row],[ItemType]]="EVAP KIT SF GEN IV",Query1[[#This Row],[OrderQty]]+I2080,I2080)</f>
        <v>2457</v>
      </c>
      <c r="J2081" s="1">
        <f>IF(Query1[[#This Row],[ItemType]]="EVAP KIT UNIVERSAL",Query1[[#This Row],[OrderQty]]+J2080,J2080)</f>
        <v>968</v>
      </c>
      <c r="K2081" s="1">
        <f>Query1[[#This Row],[SF Running Total]]+Query1[[#This Row],[UNIV Running Total]]</f>
        <v>3425</v>
      </c>
      <c r="L2081">
        <f>VLOOKUP(Query1[[#This Row],[Description]],'kits to boards'!$B$2:$E$156,2,FALSE)</f>
        <v>830099</v>
      </c>
      <c r="M2081">
        <f>VLOOKUP(Query1[[#This Row],[Description]],'kits to boards'!$B$2:$E$156,3,FALSE)</f>
        <v>0</v>
      </c>
      <c r="N2081">
        <f>VLOOKUP(Query1[[#This Row],[Description]],'kits to boards'!$B$2:$E$156,4,FALSE)</f>
        <v>0</v>
      </c>
      <c r="O2081" t="str">
        <f>CONCATENATE(Query1[[#This Row],[Description]]," - ",Query1[[#This Row],[MB1]]," - ",Query1[[#This Row],[MB2]]," - ",Query1[[#This Row],[MB3]])</f>
        <v>MINI GEN II H/C - 830099 - 0 - 0</v>
      </c>
    </row>
    <row r="2082" spans="1:15" x14ac:dyDescent="0.25">
      <c r="A2082" s="1">
        <v>914568</v>
      </c>
      <c r="B2082" s="1" t="s">
        <v>174</v>
      </c>
      <c r="C2082" s="1" t="s">
        <v>175</v>
      </c>
      <c r="D2082" s="2">
        <v>44630.459422453707</v>
      </c>
      <c r="E2082" s="1" t="s">
        <v>8</v>
      </c>
      <c r="F2082" s="1">
        <v>1</v>
      </c>
      <c r="G2082" s="1">
        <v>0</v>
      </c>
      <c r="H2082" s="6">
        <f>INT(Query1[[#This Row],[EntryDateTime]])</f>
        <v>44630</v>
      </c>
      <c r="I2082" s="1">
        <f>IF(Query1[[#This Row],[ItemType]]="EVAP KIT SF GEN IV",Query1[[#This Row],[OrderQty]]+I2081,I2081)</f>
        <v>2458</v>
      </c>
      <c r="J2082" s="1">
        <f>IF(Query1[[#This Row],[ItemType]]="EVAP KIT UNIVERSAL",Query1[[#This Row],[OrderQty]]+J2081,J2081)</f>
        <v>968</v>
      </c>
      <c r="K2082" s="1">
        <f>Query1[[#This Row],[SF Running Total]]+Query1[[#This Row],[UNIV Running Total]]</f>
        <v>3426</v>
      </c>
      <c r="L2082">
        <f>VLOOKUP(Query1[[#This Row],[Description]],'kits to boards'!$B$2:$E$156,2,FALSE)</f>
        <v>830007</v>
      </c>
      <c r="M2082">
        <f>VLOOKUP(Query1[[#This Row],[Description]],'kits to boards'!$B$2:$E$156,3,FALSE)</f>
        <v>0</v>
      </c>
      <c r="N2082">
        <f>VLOOKUP(Query1[[#This Row],[Description]],'kits to boards'!$B$2:$E$156,4,FALSE)</f>
        <v>0</v>
      </c>
      <c r="O2082" t="str">
        <f>CONCATENATE(Query1[[#This Row],[Description]]," - ",Query1[[#This Row],[MB1]]," - ",Query1[[#This Row],[MB2]]," - ",Query1[[#This Row],[MB3]])</f>
        <v>EVAP KIT 64 IMPALA W/AC - 830007 - 0 - 0</v>
      </c>
    </row>
    <row r="2083" spans="1:15" x14ac:dyDescent="0.25">
      <c r="A2083" s="1">
        <v>914570</v>
      </c>
      <c r="B2083" s="1" t="s">
        <v>70</v>
      </c>
      <c r="C2083" s="1" t="s">
        <v>71</v>
      </c>
      <c r="D2083" s="2">
        <v>44630.4825871875</v>
      </c>
      <c r="E2083" s="1" t="s">
        <v>8</v>
      </c>
      <c r="F2083" s="1">
        <v>1</v>
      </c>
      <c r="G2083" s="1">
        <v>0</v>
      </c>
      <c r="H2083" s="6">
        <f>INT(Query1[[#This Row],[EntryDateTime]])</f>
        <v>44630</v>
      </c>
      <c r="I2083" s="1">
        <f>IF(Query1[[#This Row],[ItemType]]="EVAP KIT SF GEN IV",Query1[[#This Row],[OrderQty]]+I2082,I2082)</f>
        <v>2459</v>
      </c>
      <c r="J2083" s="1">
        <f>IF(Query1[[#This Row],[ItemType]]="EVAP KIT UNIVERSAL",Query1[[#This Row],[OrderQty]]+J2082,J2082)</f>
        <v>968</v>
      </c>
      <c r="K2083" s="1">
        <f>Query1[[#This Row],[SF Running Total]]+Query1[[#This Row],[UNIV Running Total]]</f>
        <v>3427</v>
      </c>
      <c r="L2083">
        <f>VLOOKUP(Query1[[#This Row],[Description]],'kits to boards'!$B$2:$E$156,2,FALSE)</f>
        <v>830050</v>
      </c>
      <c r="M2083">
        <f>VLOOKUP(Query1[[#This Row],[Description]],'kits to boards'!$B$2:$E$156,3,FALSE)</f>
        <v>0</v>
      </c>
      <c r="N2083">
        <f>VLOOKUP(Query1[[#This Row],[Description]],'kits to boards'!$B$2:$E$156,4,FALSE)</f>
        <v>0</v>
      </c>
      <c r="O2083" t="str">
        <f>CONCATENATE(Query1[[#This Row],[Description]]," - ",Query1[[#This Row],[MB1]]," - ",Query1[[#This Row],[MB2]]," - ",Query1[[#This Row],[MB3]])</f>
        <v>EVAP KIT 70-78 CAMARO WO AC - 830050 - 0 - 0</v>
      </c>
    </row>
    <row r="2084" spans="1:15" x14ac:dyDescent="0.25">
      <c r="A2084" s="1">
        <v>914572</v>
      </c>
      <c r="B2084" s="1" t="s">
        <v>182</v>
      </c>
      <c r="C2084" s="1" t="s">
        <v>183</v>
      </c>
      <c r="D2084" s="2">
        <v>44630.48329895833</v>
      </c>
      <c r="E2084" s="1" t="s">
        <v>8</v>
      </c>
      <c r="F2084" s="1">
        <v>1</v>
      </c>
      <c r="G2084" s="1">
        <v>0</v>
      </c>
      <c r="H2084" s="6">
        <f>INT(Query1[[#This Row],[EntryDateTime]])</f>
        <v>44630</v>
      </c>
      <c r="I2084" s="1">
        <f>IF(Query1[[#This Row],[ItemType]]="EVAP KIT SF GEN IV",Query1[[#This Row],[OrderQty]]+I2083,I2083)</f>
        <v>2460</v>
      </c>
      <c r="J2084" s="1">
        <f>IF(Query1[[#This Row],[ItemType]]="EVAP KIT UNIVERSAL",Query1[[#This Row],[OrderQty]]+J2083,J2083)</f>
        <v>968</v>
      </c>
      <c r="K2084" s="1">
        <f>Query1[[#This Row],[SF Running Total]]+Query1[[#This Row],[UNIV Running Total]]</f>
        <v>3428</v>
      </c>
      <c r="L2084">
        <f>VLOOKUP(Query1[[#This Row],[Description]],'kits to boards'!$B$2:$E$156,2,FALSE)</f>
        <v>830075</v>
      </c>
      <c r="M2084">
        <f>VLOOKUP(Query1[[#This Row],[Description]],'kits to boards'!$B$2:$E$156,3,FALSE)</f>
        <v>0</v>
      </c>
      <c r="N2084">
        <f>VLOOKUP(Query1[[#This Row],[Description]],'kits to boards'!$B$2:$E$156,4,FALSE)</f>
        <v>0</v>
      </c>
      <c r="O2084" t="str">
        <f>CONCATENATE(Query1[[#This Row],[Description]]," - ",Query1[[#This Row],[MB1]]," - ",Query1[[#This Row],[MB2]]," - ",Query1[[#This Row],[MB3]])</f>
        <v>EVAP KIT 69-70 MOPAR B BODY WO AC - 830075 - 0 - 0</v>
      </c>
    </row>
    <row r="2085" spans="1:15" x14ac:dyDescent="0.25">
      <c r="A2085" s="1">
        <v>914573</v>
      </c>
      <c r="B2085" s="1" t="s">
        <v>22</v>
      </c>
      <c r="C2085" s="1" t="s">
        <v>23</v>
      </c>
      <c r="D2085" s="2">
        <v>44630.484648379628</v>
      </c>
      <c r="E2085" s="1" t="s">
        <v>8</v>
      </c>
      <c r="F2085" s="1">
        <v>1</v>
      </c>
      <c r="G2085" s="1">
        <v>0</v>
      </c>
      <c r="H2085" s="6">
        <f>INT(Query1[[#This Row],[EntryDateTime]])</f>
        <v>44630</v>
      </c>
      <c r="I2085" s="1">
        <f>IF(Query1[[#This Row],[ItemType]]="EVAP KIT SF GEN IV",Query1[[#This Row],[OrderQty]]+I2084,I2084)</f>
        <v>2461</v>
      </c>
      <c r="J2085" s="1">
        <f>IF(Query1[[#This Row],[ItemType]]="EVAP KIT UNIVERSAL",Query1[[#This Row],[OrderQty]]+J2084,J2084)</f>
        <v>968</v>
      </c>
      <c r="K2085" s="1">
        <f>Query1[[#This Row],[SF Running Total]]+Query1[[#This Row],[UNIV Running Total]]</f>
        <v>3429</v>
      </c>
      <c r="L2085">
        <f>VLOOKUP(Query1[[#This Row],[Description]],'kits to boards'!$B$2:$E$156,2,FALSE)</f>
        <v>830083</v>
      </c>
      <c r="M2085">
        <f>VLOOKUP(Query1[[#This Row],[Description]],'kits to boards'!$B$2:$E$156,3,FALSE)</f>
        <v>0</v>
      </c>
      <c r="N2085">
        <f>VLOOKUP(Query1[[#This Row],[Description]],'kits to boards'!$B$2:$E$156,4,FALSE)</f>
        <v>0</v>
      </c>
      <c r="O2085" t="str">
        <f>CONCATENATE(Query1[[#This Row],[Description]]," - ",Query1[[#This Row],[MB1]]," - ",Query1[[#This Row],[MB2]]," - ",Query1[[#This Row],[MB3]])</f>
        <v>GEN IV MAGNUM EVAP KIT - 830083 - 0 - 0</v>
      </c>
    </row>
    <row r="2086" spans="1:15" x14ac:dyDescent="0.25">
      <c r="A2086" s="1">
        <v>914574</v>
      </c>
      <c r="B2086" s="1" t="s">
        <v>80</v>
      </c>
      <c r="C2086" s="1" t="s">
        <v>81</v>
      </c>
      <c r="D2086" s="2">
        <v>44630.485377118057</v>
      </c>
      <c r="E2086" s="1" t="s">
        <v>11</v>
      </c>
      <c r="F2086" s="1">
        <v>1</v>
      </c>
      <c r="G2086" s="1">
        <v>0</v>
      </c>
      <c r="H2086" s="6">
        <f>INT(Query1[[#This Row],[EntryDateTime]])</f>
        <v>44630</v>
      </c>
      <c r="I2086" s="1">
        <f>IF(Query1[[#This Row],[ItemType]]="EVAP KIT SF GEN IV",Query1[[#This Row],[OrderQty]]+I2085,I2085)</f>
        <v>2461</v>
      </c>
      <c r="J2086" s="1">
        <f>IF(Query1[[#This Row],[ItemType]]="EVAP KIT UNIVERSAL",Query1[[#This Row],[OrderQty]]+J2085,J2085)</f>
        <v>969</v>
      </c>
      <c r="K2086" s="1">
        <f>Query1[[#This Row],[SF Running Total]]+Query1[[#This Row],[UNIV Running Total]]</f>
        <v>3430</v>
      </c>
      <c r="L2086">
        <f>VLOOKUP(Query1[[#This Row],[Description]],'kits to boards'!$B$2:$E$156,2,FALSE)</f>
        <v>0</v>
      </c>
      <c r="M2086">
        <f>VLOOKUP(Query1[[#This Row],[Description]],'kits to boards'!$B$2:$E$156,3,FALSE)</f>
        <v>0</v>
      </c>
      <c r="N2086">
        <f>VLOOKUP(Query1[[#This Row],[Description]],'kits to boards'!$B$2:$E$156,4,FALSE)</f>
        <v>0</v>
      </c>
      <c r="O2086" t="str">
        <f>CONCATENATE(Query1[[#This Row],[Description]]," - ",Query1[[#This Row],[MB1]]," - ",Query1[[#This Row],[MB2]]," - ",Query1[[#This Row],[MB3]])</f>
        <v>HERITAGE BRUSHED EVAP KIT COOL ONLY - 0 - 0 - 0</v>
      </c>
    </row>
    <row r="2087" spans="1:15" x14ac:dyDescent="0.25">
      <c r="A2087" s="1">
        <v>914575</v>
      </c>
      <c r="B2087" s="1" t="s">
        <v>22</v>
      </c>
      <c r="C2087" s="1" t="s">
        <v>23</v>
      </c>
      <c r="D2087" s="2">
        <v>44630.486063425924</v>
      </c>
      <c r="E2087" s="1" t="s">
        <v>8</v>
      </c>
      <c r="F2087" s="1">
        <v>1</v>
      </c>
      <c r="G2087" s="1">
        <v>0</v>
      </c>
      <c r="H2087" s="6">
        <f>INT(Query1[[#This Row],[EntryDateTime]])</f>
        <v>44630</v>
      </c>
      <c r="I2087" s="1">
        <f>IF(Query1[[#This Row],[ItemType]]="EVAP KIT SF GEN IV",Query1[[#This Row],[OrderQty]]+I2086,I2086)</f>
        <v>2462</v>
      </c>
      <c r="J2087" s="1">
        <f>IF(Query1[[#This Row],[ItemType]]="EVAP KIT UNIVERSAL",Query1[[#This Row],[OrderQty]]+J2086,J2086)</f>
        <v>969</v>
      </c>
      <c r="K2087" s="1">
        <f>Query1[[#This Row],[SF Running Total]]+Query1[[#This Row],[UNIV Running Total]]</f>
        <v>3431</v>
      </c>
      <c r="L2087">
        <f>VLOOKUP(Query1[[#This Row],[Description]],'kits to boards'!$B$2:$E$156,2,FALSE)</f>
        <v>830083</v>
      </c>
      <c r="M2087">
        <f>VLOOKUP(Query1[[#This Row],[Description]],'kits to boards'!$B$2:$E$156,3,FALSE)</f>
        <v>0</v>
      </c>
      <c r="N2087">
        <f>VLOOKUP(Query1[[#This Row],[Description]],'kits to boards'!$B$2:$E$156,4,FALSE)</f>
        <v>0</v>
      </c>
      <c r="O2087" t="str">
        <f>CONCATENATE(Query1[[#This Row],[Description]]," - ",Query1[[#This Row],[MB1]]," - ",Query1[[#This Row],[MB2]]," - ",Query1[[#This Row],[MB3]])</f>
        <v>GEN IV MAGNUM EVAP KIT - 830083 - 0 - 0</v>
      </c>
    </row>
    <row r="2088" spans="1:15" x14ac:dyDescent="0.25">
      <c r="A2088" s="1">
        <v>914321</v>
      </c>
      <c r="B2088" s="1" t="s">
        <v>244</v>
      </c>
      <c r="C2088" s="1" t="s">
        <v>245</v>
      </c>
      <c r="D2088" s="2">
        <v>44630.48879502315</v>
      </c>
      <c r="E2088" s="1" t="s">
        <v>8</v>
      </c>
      <c r="F2088" s="1">
        <v>1</v>
      </c>
      <c r="G2088" s="1">
        <v>0</v>
      </c>
      <c r="H2088" s="6">
        <f>INT(Query1[[#This Row],[EntryDateTime]])</f>
        <v>44630</v>
      </c>
      <c r="I2088" s="1">
        <f>IF(Query1[[#This Row],[ItemType]]="EVAP KIT SF GEN IV",Query1[[#This Row],[OrderQty]]+I2087,I2087)</f>
        <v>2463</v>
      </c>
      <c r="J2088" s="1">
        <f>IF(Query1[[#This Row],[ItemType]]="EVAP KIT UNIVERSAL",Query1[[#This Row],[OrderQty]]+J2087,J2087)</f>
        <v>969</v>
      </c>
      <c r="K2088" s="1">
        <f>Query1[[#This Row],[SF Running Total]]+Query1[[#This Row],[UNIV Running Total]]</f>
        <v>3432</v>
      </c>
      <c r="L2088">
        <f>VLOOKUP(Query1[[#This Row],[Description]],'kits to boards'!$B$2:$E$156,2,FALSE)</f>
        <v>830100</v>
      </c>
      <c r="M2088">
        <f>VLOOKUP(Query1[[#This Row],[Description]],'kits to boards'!$B$2:$E$156,3,FALSE)</f>
        <v>0</v>
      </c>
      <c r="N2088">
        <f>VLOOKUP(Query1[[#This Row],[Description]],'kits to boards'!$B$2:$E$156,4,FALSE)</f>
        <v>0</v>
      </c>
      <c r="O2088" t="str">
        <f>CONCATENATE(Query1[[#This Row],[Description]]," - ",Query1[[#This Row],[MB1]]," - ",Query1[[#This Row],[MB2]]," - ",Query1[[#This Row],[MB3]])</f>
        <v>EVAP KIT 68-76 VETTE WO AC - 830100 - 0 - 0</v>
      </c>
    </row>
    <row r="2089" spans="1:15" x14ac:dyDescent="0.25">
      <c r="A2089" s="1">
        <v>914585</v>
      </c>
      <c r="B2089" s="1" t="s">
        <v>26</v>
      </c>
      <c r="C2089" s="1" t="s">
        <v>27</v>
      </c>
      <c r="D2089" s="2">
        <v>44630.497768402776</v>
      </c>
      <c r="E2089" s="1" t="s">
        <v>8</v>
      </c>
      <c r="F2089" s="1">
        <v>1</v>
      </c>
      <c r="G2089" s="1">
        <v>0</v>
      </c>
      <c r="H2089" s="6">
        <f>INT(Query1[[#This Row],[EntryDateTime]])</f>
        <v>44630</v>
      </c>
      <c r="I2089" s="1">
        <f>IF(Query1[[#This Row],[ItemType]]="EVAP KIT SF GEN IV",Query1[[#This Row],[OrderQty]]+I2088,I2088)</f>
        <v>2464</v>
      </c>
      <c r="J2089" s="1">
        <f>IF(Query1[[#This Row],[ItemType]]="EVAP KIT UNIVERSAL",Query1[[#This Row],[OrderQty]]+J2088,J2088)</f>
        <v>969</v>
      </c>
      <c r="K2089" s="1">
        <f>Query1[[#This Row],[SF Running Total]]+Query1[[#This Row],[UNIV Running Total]]</f>
        <v>3433</v>
      </c>
      <c r="L2089">
        <f>VLOOKUP(Query1[[#This Row],[Description]],'kits to boards'!$B$2:$E$156,2,FALSE)</f>
        <v>830013</v>
      </c>
      <c r="M2089">
        <f>VLOOKUP(Query1[[#This Row],[Description]],'kits to boards'!$B$2:$E$156,3,FALSE)</f>
        <v>0</v>
      </c>
      <c r="N2089">
        <f>VLOOKUP(Query1[[#This Row],[Description]],'kits to boards'!$B$2:$E$156,4,FALSE)</f>
        <v>0</v>
      </c>
      <c r="O2089" t="str">
        <f>CONCATENATE(Query1[[#This Row],[Description]]," - ",Query1[[#This Row],[MB1]]," - ",Query1[[#This Row],[MB2]]," - ",Query1[[#This Row],[MB3]])</f>
        <v>EVAP KIT 67-72 CHEV P-UP W/AC - 830013 - 0 - 0</v>
      </c>
    </row>
    <row r="2090" spans="1:15" x14ac:dyDescent="0.25">
      <c r="A2090" s="1">
        <v>914587</v>
      </c>
      <c r="B2090" s="1" t="s">
        <v>62</v>
      </c>
      <c r="C2090" s="1" t="s">
        <v>63</v>
      </c>
      <c r="D2090" s="2">
        <v>44630.502983136575</v>
      </c>
      <c r="E2090" s="1" t="s">
        <v>8</v>
      </c>
      <c r="F2090" s="1">
        <v>1</v>
      </c>
      <c r="G2090" s="1">
        <v>0</v>
      </c>
      <c r="H2090" s="6">
        <f>INT(Query1[[#This Row],[EntryDateTime]])</f>
        <v>44630</v>
      </c>
      <c r="I2090" s="1">
        <f>IF(Query1[[#This Row],[ItemType]]="EVAP KIT SF GEN IV",Query1[[#This Row],[OrderQty]]+I2089,I2089)</f>
        <v>2465</v>
      </c>
      <c r="J2090" s="1">
        <f>IF(Query1[[#This Row],[ItemType]]="EVAP KIT UNIVERSAL",Query1[[#This Row],[OrderQty]]+J2089,J2089)</f>
        <v>969</v>
      </c>
      <c r="K2090" s="1">
        <f>Query1[[#This Row],[SF Running Total]]+Query1[[#This Row],[UNIV Running Total]]</f>
        <v>3434</v>
      </c>
      <c r="L2090">
        <f>VLOOKUP(Query1[[#This Row],[Description]],'kits to boards'!$B$2:$E$156,2,FALSE)</f>
        <v>830079</v>
      </c>
      <c r="M2090">
        <f>VLOOKUP(Query1[[#This Row],[Description]],'kits to boards'!$B$2:$E$156,3,FALSE)</f>
        <v>830046</v>
      </c>
      <c r="N2090">
        <f>VLOOKUP(Query1[[#This Row],[Description]],'kits to boards'!$B$2:$E$156,4,FALSE)</f>
        <v>0</v>
      </c>
      <c r="O2090" t="str">
        <f>CONCATENATE(Query1[[#This Row],[Description]]," - ",Query1[[#This Row],[MB1]]," - ",Query1[[#This Row],[MB2]]," - ",Query1[[#This Row],[MB3]])</f>
        <v>EVAP KIT 67-68 MUSTANG/COUGAR WO AC - 830079 - 830046 - 0</v>
      </c>
    </row>
    <row r="2091" spans="1:15" x14ac:dyDescent="0.25">
      <c r="A2091" s="1">
        <v>914588</v>
      </c>
      <c r="B2091" s="1" t="s">
        <v>90</v>
      </c>
      <c r="C2091" s="1" t="s">
        <v>91</v>
      </c>
      <c r="D2091" s="2">
        <v>44630.503741053239</v>
      </c>
      <c r="E2091" s="1" t="s">
        <v>8</v>
      </c>
      <c r="F2091" s="1">
        <v>1</v>
      </c>
      <c r="G2091" s="1">
        <v>0</v>
      </c>
      <c r="H2091" s="6">
        <f>INT(Query1[[#This Row],[EntryDateTime]])</f>
        <v>44630</v>
      </c>
      <c r="I2091" s="1">
        <f>IF(Query1[[#This Row],[ItemType]]="EVAP KIT SF GEN IV",Query1[[#This Row],[OrderQty]]+I2090,I2090)</f>
        <v>2466</v>
      </c>
      <c r="J2091" s="1">
        <f>IF(Query1[[#This Row],[ItemType]]="EVAP KIT UNIVERSAL",Query1[[#This Row],[OrderQty]]+J2090,J2090)</f>
        <v>969</v>
      </c>
      <c r="K2091" s="1">
        <f>Query1[[#This Row],[SF Running Total]]+Query1[[#This Row],[UNIV Running Total]]</f>
        <v>3435</v>
      </c>
      <c r="L2091">
        <f>VLOOKUP(Query1[[#This Row],[Description]],'kits to boards'!$B$2:$E$156,2,FALSE)</f>
        <v>830105</v>
      </c>
      <c r="M2091">
        <f>VLOOKUP(Query1[[#This Row],[Description]],'kits to boards'!$B$2:$E$156,3,FALSE)</f>
        <v>830106</v>
      </c>
      <c r="N2091">
        <f>VLOOKUP(Query1[[#This Row],[Description]],'kits to boards'!$B$2:$E$156,4,FALSE)</f>
        <v>0</v>
      </c>
      <c r="O2091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2092" spans="1:15" x14ac:dyDescent="0.25">
      <c r="A2092" s="1">
        <v>914589</v>
      </c>
      <c r="B2092" s="1" t="s">
        <v>14</v>
      </c>
      <c r="C2092" s="1" t="s">
        <v>15</v>
      </c>
      <c r="D2092" s="2">
        <v>44630.504596608793</v>
      </c>
      <c r="E2092" s="1" t="s">
        <v>8</v>
      </c>
      <c r="F2092" s="1">
        <v>1</v>
      </c>
      <c r="G2092" s="1">
        <v>0</v>
      </c>
      <c r="H2092" s="6">
        <f>INT(Query1[[#This Row],[EntryDateTime]])</f>
        <v>44630</v>
      </c>
      <c r="I2092" s="1">
        <f>IF(Query1[[#This Row],[ItemType]]="EVAP KIT SF GEN IV",Query1[[#This Row],[OrderQty]]+I2091,I2091)</f>
        <v>2467</v>
      </c>
      <c r="J2092" s="1">
        <f>IF(Query1[[#This Row],[ItemType]]="EVAP KIT UNIVERSAL",Query1[[#This Row],[OrderQty]]+J2091,J2091)</f>
        <v>969</v>
      </c>
      <c r="K2092" s="1">
        <f>Query1[[#This Row],[SF Running Total]]+Query1[[#This Row],[UNIV Running Total]]</f>
        <v>3436</v>
      </c>
      <c r="L2092">
        <f>VLOOKUP(Query1[[#This Row],[Description]],'kits to boards'!$B$2:$E$156,2,FALSE)</f>
        <v>830054</v>
      </c>
      <c r="M2092">
        <f>VLOOKUP(Query1[[#This Row],[Description]],'kits to boards'!$B$2:$E$156,3,FALSE)</f>
        <v>0</v>
      </c>
      <c r="N2092">
        <f>VLOOKUP(Query1[[#This Row],[Description]],'kits to boards'!$B$2:$E$156,4,FALSE)</f>
        <v>0</v>
      </c>
      <c r="O2092" t="str">
        <f>CONCATENATE(Query1[[#This Row],[Description]]," - ",Query1[[#This Row],[MB1]]," - ",Query1[[#This Row],[MB2]]," - ",Query1[[#This Row],[MB3]])</f>
        <v>EVAP KIT 55-56 CHEVY - 830054 - 0 - 0</v>
      </c>
    </row>
    <row r="2093" spans="1:15" x14ac:dyDescent="0.25">
      <c r="A2093" s="1">
        <v>914334</v>
      </c>
      <c r="B2093" s="1" t="s">
        <v>28</v>
      </c>
      <c r="C2093" s="1" t="s">
        <v>29</v>
      </c>
      <c r="D2093" s="2">
        <v>44630.516499108795</v>
      </c>
      <c r="E2093" s="1" t="s">
        <v>8</v>
      </c>
      <c r="F2093" s="1">
        <v>1</v>
      </c>
      <c r="G2093" s="1">
        <v>0</v>
      </c>
      <c r="H2093" s="6">
        <f>INT(Query1[[#This Row],[EntryDateTime]])</f>
        <v>44630</v>
      </c>
      <c r="I2093" s="1">
        <f>IF(Query1[[#This Row],[ItemType]]="EVAP KIT SF GEN IV",Query1[[#This Row],[OrderQty]]+I2092,I2092)</f>
        <v>2468</v>
      </c>
      <c r="J2093" s="1">
        <f>IF(Query1[[#This Row],[ItemType]]="EVAP KIT UNIVERSAL",Query1[[#This Row],[OrderQty]]+J2092,J2092)</f>
        <v>969</v>
      </c>
      <c r="K2093" s="1">
        <f>Query1[[#This Row],[SF Running Total]]+Query1[[#This Row],[UNIV Running Total]]</f>
        <v>3437</v>
      </c>
      <c r="L2093">
        <f>VLOOKUP(Query1[[#This Row],[Description]],'kits to boards'!$B$2:$E$156,2,FALSE)</f>
        <v>830001</v>
      </c>
      <c r="M2093">
        <f>VLOOKUP(Query1[[#This Row],[Description]],'kits to boards'!$B$2:$E$156,3,FALSE)</f>
        <v>0</v>
      </c>
      <c r="N2093">
        <f>VLOOKUP(Query1[[#This Row],[Description]],'kits to boards'!$B$2:$E$156,4,FALSE)</f>
        <v>0</v>
      </c>
      <c r="O2093" t="str">
        <f>CONCATENATE(Query1[[#This Row],[Description]]," - ",Query1[[#This Row],[MB1]]," - ",Query1[[#This Row],[MB2]]," - ",Query1[[#This Row],[MB3]])</f>
        <v>EVAP KIT 73-80 CHEV P-UP W/AC - 830001 - 0 - 0</v>
      </c>
    </row>
    <row r="2094" spans="1:15" x14ac:dyDescent="0.25">
      <c r="A2094" s="1">
        <v>914173</v>
      </c>
      <c r="B2094" s="1" t="s">
        <v>152</v>
      </c>
      <c r="C2094" s="1" t="s">
        <v>153</v>
      </c>
      <c r="D2094" s="2">
        <v>44630.517351423608</v>
      </c>
      <c r="E2094" s="1" t="s">
        <v>8</v>
      </c>
      <c r="F2094" s="1">
        <v>1</v>
      </c>
      <c r="G2094" s="1">
        <v>0</v>
      </c>
      <c r="H2094" s="6">
        <f>INT(Query1[[#This Row],[EntryDateTime]])</f>
        <v>44630</v>
      </c>
      <c r="I2094" s="1">
        <f>IF(Query1[[#This Row],[ItemType]]="EVAP KIT SF GEN IV",Query1[[#This Row],[OrderQty]]+I2093,I2093)</f>
        <v>2469</v>
      </c>
      <c r="J2094" s="1">
        <f>IF(Query1[[#This Row],[ItemType]]="EVAP KIT UNIVERSAL",Query1[[#This Row],[OrderQty]]+J2093,J2093)</f>
        <v>969</v>
      </c>
      <c r="K2094" s="1">
        <f>Query1[[#This Row],[SF Running Total]]+Query1[[#This Row],[UNIV Running Total]]</f>
        <v>3438</v>
      </c>
      <c r="L2094">
        <f>VLOOKUP(Query1[[#This Row],[Description]],'kits to boards'!$B$2:$E$156,2,FALSE)</f>
        <v>830034</v>
      </c>
      <c r="M2094">
        <f>VLOOKUP(Query1[[#This Row],[Description]],'kits to boards'!$B$2:$E$156,3,FALSE)</f>
        <v>0</v>
      </c>
      <c r="N2094">
        <f>VLOOKUP(Query1[[#This Row],[Description]],'kits to boards'!$B$2:$E$156,4,FALSE)</f>
        <v>0</v>
      </c>
      <c r="O2094" t="str">
        <f>CONCATENATE(Query1[[#This Row],[Description]]," - ",Query1[[#This Row],[MB1]]," - ",Query1[[#This Row],[MB2]]," - ",Query1[[#This Row],[MB3]])</f>
        <v>EVAP KIT 64-67 GTO WO AC - 830034 - 0 - 0</v>
      </c>
    </row>
    <row r="2095" spans="1:15" x14ac:dyDescent="0.25">
      <c r="A2095" s="1">
        <v>914584</v>
      </c>
      <c r="B2095" s="1" t="s">
        <v>26</v>
      </c>
      <c r="C2095" s="1" t="s">
        <v>27</v>
      </c>
      <c r="D2095" s="2">
        <v>44630.518028321756</v>
      </c>
      <c r="E2095" s="1" t="s">
        <v>8</v>
      </c>
      <c r="F2095" s="1">
        <v>1</v>
      </c>
      <c r="G2095" s="1">
        <v>0</v>
      </c>
      <c r="H2095" s="6">
        <f>INT(Query1[[#This Row],[EntryDateTime]])</f>
        <v>44630</v>
      </c>
      <c r="I2095" s="1">
        <f>IF(Query1[[#This Row],[ItemType]]="EVAP KIT SF GEN IV",Query1[[#This Row],[OrderQty]]+I2094,I2094)</f>
        <v>2470</v>
      </c>
      <c r="J2095" s="1">
        <f>IF(Query1[[#This Row],[ItemType]]="EVAP KIT UNIVERSAL",Query1[[#This Row],[OrderQty]]+J2094,J2094)</f>
        <v>969</v>
      </c>
      <c r="K2095" s="1">
        <f>Query1[[#This Row],[SF Running Total]]+Query1[[#This Row],[UNIV Running Total]]</f>
        <v>3439</v>
      </c>
      <c r="L2095">
        <f>VLOOKUP(Query1[[#This Row],[Description]],'kits to boards'!$B$2:$E$156,2,FALSE)</f>
        <v>830013</v>
      </c>
      <c r="M2095">
        <f>VLOOKUP(Query1[[#This Row],[Description]],'kits to boards'!$B$2:$E$156,3,FALSE)</f>
        <v>0</v>
      </c>
      <c r="N2095">
        <f>VLOOKUP(Query1[[#This Row],[Description]],'kits to boards'!$B$2:$E$156,4,FALSE)</f>
        <v>0</v>
      </c>
      <c r="O2095" t="str">
        <f>CONCATENATE(Query1[[#This Row],[Description]]," - ",Query1[[#This Row],[MB1]]," - ",Query1[[#This Row],[MB2]]," - ",Query1[[#This Row],[MB3]])</f>
        <v>EVAP KIT 67-72 CHEV P-UP W/AC - 830013 - 0 - 0</v>
      </c>
    </row>
    <row r="2096" spans="1:15" x14ac:dyDescent="0.25">
      <c r="A2096" s="1">
        <v>914596</v>
      </c>
      <c r="B2096" s="1" t="s">
        <v>22</v>
      </c>
      <c r="C2096" s="1" t="s">
        <v>23</v>
      </c>
      <c r="D2096" s="2">
        <v>44630.522222800922</v>
      </c>
      <c r="E2096" s="1" t="s">
        <v>8</v>
      </c>
      <c r="F2096" s="1">
        <v>1</v>
      </c>
      <c r="G2096" s="1">
        <v>0</v>
      </c>
      <c r="H2096" s="6">
        <f>INT(Query1[[#This Row],[EntryDateTime]])</f>
        <v>44630</v>
      </c>
      <c r="I2096" s="1">
        <f>IF(Query1[[#This Row],[ItemType]]="EVAP KIT SF GEN IV",Query1[[#This Row],[OrderQty]]+I2095,I2095)</f>
        <v>2471</v>
      </c>
      <c r="J2096" s="1">
        <f>IF(Query1[[#This Row],[ItemType]]="EVAP KIT UNIVERSAL",Query1[[#This Row],[OrderQty]]+J2095,J2095)</f>
        <v>969</v>
      </c>
      <c r="K2096" s="1">
        <f>Query1[[#This Row],[SF Running Total]]+Query1[[#This Row],[UNIV Running Total]]</f>
        <v>3440</v>
      </c>
      <c r="L2096">
        <f>VLOOKUP(Query1[[#This Row],[Description]],'kits to boards'!$B$2:$E$156,2,FALSE)</f>
        <v>830083</v>
      </c>
      <c r="M2096">
        <f>VLOOKUP(Query1[[#This Row],[Description]],'kits to boards'!$B$2:$E$156,3,FALSE)</f>
        <v>0</v>
      </c>
      <c r="N2096">
        <f>VLOOKUP(Query1[[#This Row],[Description]],'kits to boards'!$B$2:$E$156,4,FALSE)</f>
        <v>0</v>
      </c>
      <c r="O2096" t="str">
        <f>CONCATENATE(Query1[[#This Row],[Description]]," - ",Query1[[#This Row],[MB1]]," - ",Query1[[#This Row],[MB2]]," - ",Query1[[#This Row],[MB3]])</f>
        <v>GEN IV MAGNUM EVAP KIT - 830083 - 0 - 0</v>
      </c>
    </row>
    <row r="2097" spans="1:15" x14ac:dyDescent="0.25">
      <c r="A2097" s="1">
        <v>914599</v>
      </c>
      <c r="B2097" s="1" t="s">
        <v>108</v>
      </c>
      <c r="C2097" s="1" t="s">
        <v>109</v>
      </c>
      <c r="D2097" s="2">
        <v>44630.52706226852</v>
      </c>
      <c r="E2097" s="1" t="s">
        <v>8</v>
      </c>
      <c r="F2097" s="1">
        <v>1</v>
      </c>
      <c r="G2097" s="1">
        <v>0</v>
      </c>
      <c r="H2097" s="6">
        <f>INT(Query1[[#This Row],[EntryDateTime]])</f>
        <v>44630</v>
      </c>
      <c r="I2097" s="1">
        <f>IF(Query1[[#This Row],[ItemType]]="EVAP KIT SF GEN IV",Query1[[#This Row],[OrderQty]]+I2096,I2096)</f>
        <v>2472</v>
      </c>
      <c r="J2097" s="1">
        <f>IF(Query1[[#This Row],[ItemType]]="EVAP KIT UNIVERSAL",Query1[[#This Row],[OrderQty]]+J2096,J2096)</f>
        <v>969</v>
      </c>
      <c r="K2097" s="1">
        <f>Query1[[#This Row],[SF Running Total]]+Query1[[#This Row],[UNIV Running Total]]</f>
        <v>3441</v>
      </c>
      <c r="L2097">
        <f>VLOOKUP(Query1[[#This Row],[Description]],'kits to boards'!$B$2:$E$156,2,FALSE)</f>
        <v>830105</v>
      </c>
      <c r="M2097">
        <f>VLOOKUP(Query1[[#This Row],[Description]],'kits to boards'!$B$2:$E$156,3,FALSE)</f>
        <v>830106</v>
      </c>
      <c r="N2097">
        <f>VLOOKUP(Query1[[#This Row],[Description]],'kits to boards'!$B$2:$E$156,4,FALSE)</f>
        <v>0</v>
      </c>
      <c r="O2097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2098" spans="1:15" x14ac:dyDescent="0.25">
      <c r="A2098" s="1">
        <v>914605</v>
      </c>
      <c r="B2098" s="1" t="s">
        <v>96</v>
      </c>
      <c r="C2098" s="1" t="s">
        <v>97</v>
      </c>
      <c r="D2098" s="2">
        <v>44630.534988425927</v>
      </c>
      <c r="E2098" s="1" t="s">
        <v>8</v>
      </c>
      <c r="F2098" s="1">
        <v>1</v>
      </c>
      <c r="G2098" s="1">
        <v>0</v>
      </c>
      <c r="H2098" s="6">
        <f>INT(Query1[[#This Row],[EntryDateTime]])</f>
        <v>44630</v>
      </c>
      <c r="I2098" s="1">
        <f>IF(Query1[[#This Row],[ItemType]]="EVAP KIT SF GEN IV",Query1[[#This Row],[OrderQty]]+I2097,I2097)</f>
        <v>2473</v>
      </c>
      <c r="J2098" s="1">
        <f>IF(Query1[[#This Row],[ItemType]]="EVAP KIT UNIVERSAL",Query1[[#This Row],[OrderQty]]+J2097,J2097)</f>
        <v>969</v>
      </c>
      <c r="K2098" s="1">
        <f>Query1[[#This Row],[SF Running Total]]+Query1[[#This Row],[UNIV Running Total]]</f>
        <v>3442</v>
      </c>
      <c r="L2098">
        <f>VLOOKUP(Query1[[#This Row],[Description]],'kits to boards'!$B$2:$E$156,2,FALSE)</f>
        <v>830004</v>
      </c>
      <c r="M2098">
        <f>VLOOKUP(Query1[[#This Row],[Description]],'kits to boards'!$B$2:$E$156,3,FALSE)</f>
        <v>0</v>
      </c>
      <c r="N2098">
        <f>VLOOKUP(Query1[[#This Row],[Description]],'kits to boards'!$B$2:$E$156,4,FALSE)</f>
        <v>0</v>
      </c>
      <c r="O2098" t="str">
        <f>CONCATENATE(Query1[[#This Row],[Description]]," - ",Query1[[#This Row],[MB1]]," - ",Query1[[#This Row],[MB2]]," - ",Query1[[#This Row],[MB3]])</f>
        <v>EVAP KIT 81-87 CHEV P-UP W/AC - 830004 - 0 - 0</v>
      </c>
    </row>
    <row r="2099" spans="1:15" x14ac:dyDescent="0.25">
      <c r="A2099" s="1">
        <v>914611</v>
      </c>
      <c r="B2099" s="1" t="s">
        <v>30</v>
      </c>
      <c r="C2099" s="1" t="s">
        <v>31</v>
      </c>
      <c r="D2099" s="2">
        <v>44630.54892739583</v>
      </c>
      <c r="E2099" s="1" t="s">
        <v>8</v>
      </c>
      <c r="F2099" s="1">
        <v>1</v>
      </c>
      <c r="G2099" s="1">
        <v>0</v>
      </c>
      <c r="H2099" s="6">
        <f>INT(Query1[[#This Row],[EntryDateTime]])</f>
        <v>44630</v>
      </c>
      <c r="I2099" s="1">
        <f>IF(Query1[[#This Row],[ItemType]]="EVAP KIT SF GEN IV",Query1[[#This Row],[OrderQty]]+I2098,I2098)</f>
        <v>2474</v>
      </c>
      <c r="J2099" s="1">
        <f>IF(Query1[[#This Row],[ItemType]]="EVAP KIT UNIVERSAL",Query1[[#This Row],[OrderQty]]+J2098,J2098)</f>
        <v>969</v>
      </c>
      <c r="K2099" s="1">
        <f>Query1[[#This Row],[SF Running Total]]+Query1[[#This Row],[UNIV Running Total]]</f>
        <v>3443</v>
      </c>
      <c r="L2099">
        <f>VLOOKUP(Query1[[#This Row],[Description]],'kits to boards'!$B$2:$E$156,2,FALSE)</f>
        <v>830054</v>
      </c>
      <c r="M2099">
        <f>VLOOKUP(Query1[[#This Row],[Description]],'kits to boards'!$B$2:$E$156,3,FALSE)</f>
        <v>0</v>
      </c>
      <c r="N2099">
        <f>VLOOKUP(Query1[[#This Row],[Description]],'kits to boards'!$B$2:$E$156,4,FALSE)</f>
        <v>0</v>
      </c>
      <c r="O2099" t="str">
        <f>CONCATENATE(Query1[[#This Row],[Description]]," - ",Query1[[#This Row],[MB1]]," - ",Query1[[#This Row],[MB2]]," - ",Query1[[#This Row],[MB3]])</f>
        <v>EVAP KIT 55-56 CHEVY 4-VENT - 830054 - 0 - 0</v>
      </c>
    </row>
    <row r="2100" spans="1:15" x14ac:dyDescent="0.25">
      <c r="A2100" s="1">
        <v>914613</v>
      </c>
      <c r="B2100" s="1" t="s">
        <v>22</v>
      </c>
      <c r="C2100" s="1" t="s">
        <v>23</v>
      </c>
      <c r="D2100" s="2">
        <v>44630.571135219907</v>
      </c>
      <c r="E2100" s="1" t="s">
        <v>8</v>
      </c>
      <c r="F2100" s="1">
        <v>1</v>
      </c>
      <c r="G2100" s="1">
        <v>0</v>
      </c>
      <c r="H2100" s="6">
        <f>INT(Query1[[#This Row],[EntryDateTime]])</f>
        <v>44630</v>
      </c>
      <c r="I2100" s="1">
        <f>IF(Query1[[#This Row],[ItemType]]="EVAP KIT SF GEN IV",Query1[[#This Row],[OrderQty]]+I2099,I2099)</f>
        <v>2475</v>
      </c>
      <c r="J2100" s="1">
        <f>IF(Query1[[#This Row],[ItemType]]="EVAP KIT UNIVERSAL",Query1[[#This Row],[OrderQty]]+J2099,J2099)</f>
        <v>969</v>
      </c>
      <c r="K2100" s="1">
        <f>Query1[[#This Row],[SF Running Total]]+Query1[[#This Row],[UNIV Running Total]]</f>
        <v>3444</v>
      </c>
      <c r="L2100">
        <f>VLOOKUP(Query1[[#This Row],[Description]],'kits to boards'!$B$2:$E$156,2,FALSE)</f>
        <v>830083</v>
      </c>
      <c r="M2100">
        <f>VLOOKUP(Query1[[#This Row],[Description]],'kits to boards'!$B$2:$E$156,3,FALSE)</f>
        <v>0</v>
      </c>
      <c r="N2100">
        <f>VLOOKUP(Query1[[#This Row],[Description]],'kits to boards'!$B$2:$E$156,4,FALSE)</f>
        <v>0</v>
      </c>
      <c r="O2100" t="str">
        <f>CONCATENATE(Query1[[#This Row],[Description]]," - ",Query1[[#This Row],[MB1]]," - ",Query1[[#This Row],[MB2]]," - ",Query1[[#This Row],[MB3]])</f>
        <v>GEN IV MAGNUM EVAP KIT - 830083 - 0 - 0</v>
      </c>
    </row>
    <row r="2101" spans="1:15" x14ac:dyDescent="0.25">
      <c r="A2101" s="1">
        <v>914614</v>
      </c>
      <c r="B2101" s="1" t="s">
        <v>281</v>
      </c>
      <c r="C2101" s="1" t="s">
        <v>282</v>
      </c>
      <c r="D2101" s="2">
        <v>44630.57190628472</v>
      </c>
      <c r="E2101" s="1" t="s">
        <v>8</v>
      </c>
      <c r="F2101" s="1">
        <v>1</v>
      </c>
      <c r="G2101" s="1">
        <v>0</v>
      </c>
      <c r="H2101" s="6">
        <f>INT(Query1[[#This Row],[EntryDateTime]])</f>
        <v>44630</v>
      </c>
      <c r="I2101" s="1">
        <f>IF(Query1[[#This Row],[ItemType]]="EVAP KIT SF GEN IV",Query1[[#This Row],[OrderQty]]+I2100,I2100)</f>
        <v>2476</v>
      </c>
      <c r="J2101" s="1">
        <f>IF(Query1[[#This Row],[ItemType]]="EVAP KIT UNIVERSAL",Query1[[#This Row],[OrderQty]]+J2100,J2100)</f>
        <v>969</v>
      </c>
      <c r="K2101" s="1">
        <f>Query1[[#This Row],[SF Running Total]]+Query1[[#This Row],[UNIV Running Total]]</f>
        <v>3445</v>
      </c>
      <c r="L2101">
        <f>VLOOKUP(Query1[[#This Row],[Description]],'kits to boards'!$B$2:$E$156,2,FALSE)</f>
        <v>830093</v>
      </c>
      <c r="M2101">
        <f>VLOOKUP(Query1[[#This Row],[Description]],'kits to boards'!$B$2:$E$156,3,FALSE)</f>
        <v>0</v>
      </c>
      <c r="N2101">
        <f>VLOOKUP(Query1[[#This Row],[Description]],'kits to boards'!$B$2:$E$156,4,FALSE)</f>
        <v>0</v>
      </c>
      <c r="O2101" t="str">
        <f>CONCATENATE(Query1[[#This Row],[Description]]," - ",Query1[[#This Row],[MB1]]," - ",Query1[[#This Row],[MB2]]," - ",Query1[[#This Row],[MB3]])</f>
        <v>EVAP KIT 67 VETTE W/AC - 830093 - 0 - 0</v>
      </c>
    </row>
    <row r="2102" spans="1:15" x14ac:dyDescent="0.25">
      <c r="A2102" s="1">
        <v>914626</v>
      </c>
      <c r="B2102" s="1" t="s">
        <v>138</v>
      </c>
      <c r="C2102" s="1" t="s">
        <v>139</v>
      </c>
      <c r="D2102" s="2">
        <v>44630.588559687501</v>
      </c>
      <c r="E2102" s="1" t="s">
        <v>11</v>
      </c>
      <c r="F2102" s="1">
        <v>1</v>
      </c>
      <c r="G2102" s="1">
        <v>0</v>
      </c>
      <c r="H2102" s="6">
        <f>INT(Query1[[#This Row],[EntryDateTime]])</f>
        <v>44630</v>
      </c>
      <c r="I2102" s="1">
        <f>IF(Query1[[#This Row],[ItemType]]="EVAP KIT SF GEN IV",Query1[[#This Row],[OrderQty]]+I2101,I2101)</f>
        <v>2476</v>
      </c>
      <c r="J2102" s="1">
        <f>IF(Query1[[#This Row],[ItemType]]="EVAP KIT UNIVERSAL",Query1[[#This Row],[OrderQty]]+J2101,J2101)</f>
        <v>970</v>
      </c>
      <c r="K2102" s="1">
        <f>Query1[[#This Row],[SF Running Total]]+Query1[[#This Row],[UNIV Running Total]]</f>
        <v>3446</v>
      </c>
      <c r="L2102">
        <f>VLOOKUP(Query1[[#This Row],[Description]],'kits to boards'!$B$2:$E$156,2,FALSE)</f>
        <v>0</v>
      </c>
      <c r="M2102">
        <f>VLOOKUP(Query1[[#This Row],[Description]],'kits to boards'!$B$2:$E$156,3,FALSE)</f>
        <v>0</v>
      </c>
      <c r="N2102">
        <f>VLOOKUP(Query1[[#This Row],[Description]],'kits to boards'!$B$2:$E$156,4,FALSE)</f>
        <v>0</v>
      </c>
      <c r="O2102" t="str">
        <f>CONCATENATE(Query1[[#This Row],[Description]]," - ",Query1[[#This Row],[MB1]]," - ",Query1[[#This Row],[MB2]]," - ",Query1[[#This Row],[MB3]])</f>
        <v>HERITAGE TURNED BLACK EVAP KIT HEAT/COOL - 0 - 0 - 0</v>
      </c>
    </row>
    <row r="2103" spans="1:15" x14ac:dyDescent="0.25">
      <c r="A2103" s="1">
        <v>914612</v>
      </c>
      <c r="B2103" s="1" t="s">
        <v>140</v>
      </c>
      <c r="C2103" s="1" t="s">
        <v>141</v>
      </c>
      <c r="D2103" s="2">
        <v>44630.593998495373</v>
      </c>
      <c r="E2103" s="1" t="s">
        <v>8</v>
      </c>
      <c r="F2103" s="1">
        <v>1</v>
      </c>
      <c r="G2103" s="1">
        <v>0</v>
      </c>
      <c r="H2103" s="6">
        <f>INT(Query1[[#This Row],[EntryDateTime]])</f>
        <v>44630</v>
      </c>
      <c r="I2103" s="1">
        <f>IF(Query1[[#This Row],[ItemType]]="EVAP KIT SF GEN IV",Query1[[#This Row],[OrderQty]]+I2102,I2102)</f>
        <v>2477</v>
      </c>
      <c r="J2103" s="1">
        <f>IF(Query1[[#This Row],[ItemType]]="EVAP KIT UNIVERSAL",Query1[[#This Row],[OrderQty]]+J2102,J2102)</f>
        <v>970</v>
      </c>
      <c r="K2103" s="1">
        <f>Query1[[#This Row],[SF Running Total]]+Query1[[#This Row],[UNIV Running Total]]</f>
        <v>3447</v>
      </c>
      <c r="L2103">
        <f>VLOOKUP(Query1[[#This Row],[Description]],'kits to boards'!$B$2:$E$156,2,FALSE)</f>
        <v>830066</v>
      </c>
      <c r="M2103">
        <f>VLOOKUP(Query1[[#This Row],[Description]],'kits to boards'!$B$2:$E$156,3,FALSE)</f>
        <v>0</v>
      </c>
      <c r="N2103">
        <f>VLOOKUP(Query1[[#This Row],[Description]],'kits to boards'!$B$2:$E$156,4,FALSE)</f>
        <v>0</v>
      </c>
      <c r="O2103" t="str">
        <f>CONCATENATE(Query1[[#This Row],[Description]]," - ",Query1[[#This Row],[MB1]]," - ",Query1[[#This Row],[MB2]]," - ",Query1[[#This Row],[MB3]])</f>
        <v>EVAP KIT 60-63 CHEV P-UP WO AC - 830066 - 0 - 0</v>
      </c>
    </row>
    <row r="2104" spans="1:15" x14ac:dyDescent="0.25">
      <c r="A2104" s="1">
        <v>913862</v>
      </c>
      <c r="B2104" s="1" t="s">
        <v>78</v>
      </c>
      <c r="C2104" s="1" t="s">
        <v>79</v>
      </c>
      <c r="D2104" s="2">
        <v>44630.595841516202</v>
      </c>
      <c r="E2104" s="1" t="s">
        <v>11</v>
      </c>
      <c r="F2104" s="1">
        <v>1</v>
      </c>
      <c r="G2104" s="1">
        <v>0</v>
      </c>
      <c r="H2104" s="6">
        <f>INT(Query1[[#This Row],[EntryDateTime]])</f>
        <v>44630</v>
      </c>
      <c r="I2104" s="1">
        <f>IF(Query1[[#This Row],[ItemType]]="EVAP KIT SF GEN IV",Query1[[#This Row],[OrderQty]]+I2103,I2103)</f>
        <v>2477</v>
      </c>
      <c r="J2104" s="1">
        <f>IF(Query1[[#This Row],[ItemType]]="EVAP KIT UNIVERSAL",Query1[[#This Row],[OrderQty]]+J2103,J2103)</f>
        <v>971</v>
      </c>
      <c r="K2104" s="1">
        <f>Query1[[#This Row],[SF Running Total]]+Query1[[#This Row],[UNIV Running Total]]</f>
        <v>3448</v>
      </c>
      <c r="L2104">
        <f>VLOOKUP(Query1[[#This Row],[Description]],'kits to boards'!$B$2:$E$156,2,FALSE)</f>
        <v>0</v>
      </c>
      <c r="M2104">
        <f>VLOOKUP(Query1[[#This Row],[Description]],'kits to boards'!$B$2:$E$156,3,FALSE)</f>
        <v>0</v>
      </c>
      <c r="N2104">
        <f>VLOOKUP(Query1[[#This Row],[Description]],'kits to boards'!$B$2:$E$156,4,FALSE)</f>
        <v>0</v>
      </c>
      <c r="O2104" t="str">
        <f>CONCATENATE(Query1[[#This Row],[Description]]," - ",Query1[[#This Row],[MB1]]," - ",Query1[[#This Row],[MB2]]," - ",Query1[[#This Row],[MB3]])</f>
        <v>MARK IV STYLELINE UNDERDASH EVAP - 0 - 0 - 0</v>
      </c>
    </row>
    <row r="2105" spans="1:15" x14ac:dyDescent="0.25">
      <c r="A2105" s="1">
        <v>914633</v>
      </c>
      <c r="B2105" s="1" t="s">
        <v>226</v>
      </c>
      <c r="C2105" s="1" t="s">
        <v>227</v>
      </c>
      <c r="D2105" s="2">
        <v>44630.606624618056</v>
      </c>
      <c r="E2105" s="1" t="s">
        <v>8</v>
      </c>
      <c r="F2105" s="1">
        <v>1</v>
      </c>
      <c r="G2105" s="1">
        <v>0</v>
      </c>
      <c r="H2105" s="6">
        <f>INT(Query1[[#This Row],[EntryDateTime]])</f>
        <v>44630</v>
      </c>
      <c r="I2105" s="1">
        <f>IF(Query1[[#This Row],[ItemType]]="EVAP KIT SF GEN IV",Query1[[#This Row],[OrderQty]]+I2104,I2104)</f>
        <v>2478</v>
      </c>
      <c r="J2105" s="1">
        <f>IF(Query1[[#This Row],[ItemType]]="EVAP KIT UNIVERSAL",Query1[[#This Row],[OrderQty]]+J2104,J2104)</f>
        <v>971</v>
      </c>
      <c r="K2105" s="1">
        <f>Query1[[#This Row],[SF Running Total]]+Query1[[#This Row],[UNIV Running Total]]</f>
        <v>3449</v>
      </c>
      <c r="L2105">
        <f>VLOOKUP(Query1[[#This Row],[Description]],'kits to boards'!$B$2:$E$156,2,FALSE)</f>
        <v>830124</v>
      </c>
      <c r="M2105">
        <f>VLOOKUP(Query1[[#This Row],[Description]],'kits to boards'!$B$2:$E$156,3,FALSE)</f>
        <v>0</v>
      </c>
      <c r="N2105">
        <f>VLOOKUP(Query1[[#This Row],[Description]],'kits to boards'!$B$2:$E$156,4,FALSE)</f>
        <v>0</v>
      </c>
      <c r="O2105" t="str">
        <f>CONCATENATE(Query1[[#This Row],[Description]]," - ",Query1[[#This Row],[MB1]]," - ",Query1[[#This Row],[MB2]]," - ",Query1[[#This Row],[MB3]])</f>
        <v>EVAP KIT 70-72 GTO W/AC - 830124 - 0 - 0</v>
      </c>
    </row>
    <row r="2106" spans="1:15" x14ac:dyDescent="0.25">
      <c r="A2106" s="1">
        <v>914634</v>
      </c>
      <c r="B2106" s="1" t="s">
        <v>198</v>
      </c>
      <c r="C2106" s="1" t="s">
        <v>199</v>
      </c>
      <c r="D2106" s="2">
        <v>44630.614582141206</v>
      </c>
      <c r="E2106" s="1" t="s">
        <v>8</v>
      </c>
      <c r="F2106" s="1">
        <v>1</v>
      </c>
      <c r="G2106" s="1">
        <v>0</v>
      </c>
      <c r="H2106" s="6">
        <f>INT(Query1[[#This Row],[EntryDateTime]])</f>
        <v>44630</v>
      </c>
      <c r="I2106" s="1">
        <f>IF(Query1[[#This Row],[ItemType]]="EVAP KIT SF GEN IV",Query1[[#This Row],[OrderQty]]+I2105,I2105)</f>
        <v>2479</v>
      </c>
      <c r="J2106" s="1">
        <f>IF(Query1[[#This Row],[ItemType]]="EVAP KIT UNIVERSAL",Query1[[#This Row],[OrderQty]]+J2105,J2105)</f>
        <v>971</v>
      </c>
      <c r="K2106" s="1">
        <f>Query1[[#This Row],[SF Running Total]]+Query1[[#This Row],[UNIV Running Total]]</f>
        <v>3450</v>
      </c>
      <c r="L2106">
        <f>VLOOKUP(Query1[[#This Row],[Description]],'kits to boards'!$B$2:$E$156,2,FALSE)</f>
        <v>830042</v>
      </c>
      <c r="M2106">
        <f>VLOOKUP(Query1[[#This Row],[Description]],'kits to boards'!$B$2:$E$156,3,FALSE)</f>
        <v>0</v>
      </c>
      <c r="N2106">
        <f>VLOOKUP(Query1[[#This Row],[Description]],'kits to boards'!$B$2:$E$156,4,FALSE)</f>
        <v>0</v>
      </c>
      <c r="O2106" t="str">
        <f>CONCATENATE(Query1[[#This Row],[Description]]," - ",Query1[[#This Row],[MB1]]," - ",Query1[[#This Row],[MB2]]," - ",Query1[[#This Row],[MB3]])</f>
        <v>EVAP KIT 68-83 TOYOTA FJ40 ULTRA HIGH PERF - 830042 - 0 - 0</v>
      </c>
    </row>
    <row r="2107" spans="1:15" x14ac:dyDescent="0.25">
      <c r="A2107" s="1">
        <v>914639</v>
      </c>
      <c r="B2107" s="1" t="s">
        <v>96</v>
      </c>
      <c r="C2107" s="1" t="s">
        <v>97</v>
      </c>
      <c r="D2107" s="2">
        <v>44630.615900115743</v>
      </c>
      <c r="E2107" s="1" t="s">
        <v>8</v>
      </c>
      <c r="F2107" s="1">
        <v>1</v>
      </c>
      <c r="G2107" s="1">
        <v>0</v>
      </c>
      <c r="H2107" s="6">
        <f>INT(Query1[[#This Row],[EntryDateTime]])</f>
        <v>44630</v>
      </c>
      <c r="I2107" s="1">
        <f>IF(Query1[[#This Row],[ItemType]]="EVAP KIT SF GEN IV",Query1[[#This Row],[OrderQty]]+I2106,I2106)</f>
        <v>2480</v>
      </c>
      <c r="J2107" s="1">
        <f>IF(Query1[[#This Row],[ItemType]]="EVAP KIT UNIVERSAL",Query1[[#This Row],[OrderQty]]+J2106,J2106)</f>
        <v>971</v>
      </c>
      <c r="K2107" s="1">
        <f>Query1[[#This Row],[SF Running Total]]+Query1[[#This Row],[UNIV Running Total]]</f>
        <v>3451</v>
      </c>
      <c r="L2107">
        <f>VLOOKUP(Query1[[#This Row],[Description]],'kits to boards'!$B$2:$E$156,2,FALSE)</f>
        <v>830004</v>
      </c>
      <c r="M2107">
        <f>VLOOKUP(Query1[[#This Row],[Description]],'kits to boards'!$B$2:$E$156,3,FALSE)</f>
        <v>0</v>
      </c>
      <c r="N2107">
        <f>VLOOKUP(Query1[[#This Row],[Description]],'kits to boards'!$B$2:$E$156,4,FALSE)</f>
        <v>0</v>
      </c>
      <c r="O2107" t="str">
        <f>CONCATENATE(Query1[[#This Row],[Description]]," - ",Query1[[#This Row],[MB1]]," - ",Query1[[#This Row],[MB2]]," - ",Query1[[#This Row],[MB3]])</f>
        <v>EVAP KIT 81-87 CHEV P-UP W/AC - 830004 - 0 - 0</v>
      </c>
    </row>
    <row r="2108" spans="1:15" x14ac:dyDescent="0.25">
      <c r="A2108" s="1">
        <v>914645</v>
      </c>
      <c r="B2108" s="1" t="s">
        <v>140</v>
      </c>
      <c r="C2108" s="1" t="s">
        <v>141</v>
      </c>
      <c r="D2108" s="2">
        <v>44630.637201817131</v>
      </c>
      <c r="E2108" s="1" t="s">
        <v>8</v>
      </c>
      <c r="F2108" s="1">
        <v>1</v>
      </c>
      <c r="G2108" s="1">
        <v>0</v>
      </c>
      <c r="H2108" s="6">
        <f>INT(Query1[[#This Row],[EntryDateTime]])</f>
        <v>44630</v>
      </c>
      <c r="I2108" s="1">
        <f>IF(Query1[[#This Row],[ItemType]]="EVAP KIT SF GEN IV",Query1[[#This Row],[OrderQty]]+I2107,I2107)</f>
        <v>2481</v>
      </c>
      <c r="J2108" s="1">
        <f>IF(Query1[[#This Row],[ItemType]]="EVAP KIT UNIVERSAL",Query1[[#This Row],[OrderQty]]+J2107,J2107)</f>
        <v>971</v>
      </c>
      <c r="K2108" s="1">
        <f>Query1[[#This Row],[SF Running Total]]+Query1[[#This Row],[UNIV Running Total]]</f>
        <v>3452</v>
      </c>
      <c r="L2108">
        <f>VLOOKUP(Query1[[#This Row],[Description]],'kits to boards'!$B$2:$E$156,2,FALSE)</f>
        <v>830066</v>
      </c>
      <c r="M2108">
        <f>VLOOKUP(Query1[[#This Row],[Description]],'kits to boards'!$B$2:$E$156,3,FALSE)</f>
        <v>0</v>
      </c>
      <c r="N2108">
        <f>VLOOKUP(Query1[[#This Row],[Description]],'kits to boards'!$B$2:$E$156,4,FALSE)</f>
        <v>0</v>
      </c>
      <c r="O2108" t="str">
        <f>CONCATENATE(Query1[[#This Row],[Description]]," - ",Query1[[#This Row],[MB1]]," - ",Query1[[#This Row],[MB2]]," - ",Query1[[#This Row],[MB3]])</f>
        <v>EVAP KIT 60-63 CHEV P-UP WO AC - 830066 - 0 - 0</v>
      </c>
    </row>
    <row r="2109" spans="1:15" x14ac:dyDescent="0.25">
      <c r="A2109" s="1">
        <v>914646</v>
      </c>
      <c r="B2109" s="1" t="s">
        <v>54</v>
      </c>
      <c r="C2109" s="1" t="s">
        <v>55</v>
      </c>
      <c r="D2109" s="2">
        <v>44630.639280243056</v>
      </c>
      <c r="E2109" s="1" t="s">
        <v>8</v>
      </c>
      <c r="F2109" s="1">
        <v>1</v>
      </c>
      <c r="G2109" s="1">
        <v>0</v>
      </c>
      <c r="H2109" s="6">
        <f>INT(Query1[[#This Row],[EntryDateTime]])</f>
        <v>44630</v>
      </c>
      <c r="I2109" s="1">
        <f>IF(Query1[[#This Row],[ItemType]]="EVAP KIT SF GEN IV",Query1[[#This Row],[OrderQty]]+I2108,I2108)</f>
        <v>2482</v>
      </c>
      <c r="J2109" s="1">
        <f>IF(Query1[[#This Row],[ItemType]]="EVAP KIT UNIVERSAL",Query1[[#This Row],[OrderQty]]+J2108,J2108)</f>
        <v>971</v>
      </c>
      <c r="K2109" s="1">
        <f>Query1[[#This Row],[SF Running Total]]+Query1[[#This Row],[UNIV Running Total]]</f>
        <v>3453</v>
      </c>
      <c r="L2109">
        <f>VLOOKUP(Query1[[#This Row],[Description]],'kits to boards'!$B$2:$E$156,2,FALSE)</f>
        <v>830037</v>
      </c>
      <c r="M2109">
        <f>VLOOKUP(Query1[[#This Row],[Description]],'kits to boards'!$B$2:$E$156,3,FALSE)</f>
        <v>0</v>
      </c>
      <c r="N2109">
        <f>VLOOKUP(Query1[[#This Row],[Description]],'kits to boards'!$B$2:$E$156,4,FALSE)</f>
        <v>0</v>
      </c>
      <c r="O2109" t="str">
        <f>CONCATENATE(Query1[[#This Row],[Description]]," - ",Query1[[#This Row],[MB1]]," - ",Query1[[#This Row],[MB2]]," - ",Query1[[#This Row],[MB3]])</f>
        <v>EVAP KIT 70-81 FIREBIRD W/AC - 830037 - 0 - 0</v>
      </c>
    </row>
    <row r="2110" spans="1:15" x14ac:dyDescent="0.25">
      <c r="A2110" s="1">
        <v>914606</v>
      </c>
      <c r="B2110" s="1" t="s">
        <v>84</v>
      </c>
      <c r="C2110" s="1" t="s">
        <v>85</v>
      </c>
      <c r="D2110" s="2">
        <v>44630.64077554398</v>
      </c>
      <c r="E2110" s="1" t="s">
        <v>8</v>
      </c>
      <c r="F2110" s="1">
        <v>3</v>
      </c>
      <c r="G2110" s="1">
        <v>0</v>
      </c>
      <c r="H2110" s="6">
        <f>INT(Query1[[#This Row],[EntryDateTime]])</f>
        <v>44630</v>
      </c>
      <c r="I2110" s="1">
        <f>IF(Query1[[#This Row],[ItemType]]="EVAP KIT SF GEN IV",Query1[[#This Row],[OrderQty]]+I2109,I2109)</f>
        <v>2485</v>
      </c>
      <c r="J2110" s="1">
        <f>IF(Query1[[#This Row],[ItemType]]="EVAP KIT UNIVERSAL",Query1[[#This Row],[OrderQty]]+J2109,J2109)</f>
        <v>971</v>
      </c>
      <c r="K2110" s="1">
        <f>Query1[[#This Row],[SF Running Total]]+Query1[[#This Row],[UNIV Running Total]]</f>
        <v>3456</v>
      </c>
      <c r="L2110">
        <f>VLOOKUP(Query1[[#This Row],[Description]],'kits to boards'!$B$2:$E$156,2,FALSE)</f>
        <v>830085</v>
      </c>
      <c r="M2110">
        <f>VLOOKUP(Query1[[#This Row],[Description]],'kits to boards'!$B$2:$E$156,3,FALSE)</f>
        <v>0</v>
      </c>
      <c r="N2110">
        <f>VLOOKUP(Query1[[#This Row],[Description]],'kits to boards'!$B$2:$E$156,4,FALSE)</f>
        <v>0</v>
      </c>
      <c r="O2110" t="str">
        <f>CONCATENATE(Query1[[#This Row],[Description]]," - ",Query1[[#This Row],[MB1]]," - ",Query1[[#This Row],[MB2]]," - ",Query1[[#This Row],[MB3]])</f>
        <v>EVAP KIT 66-77 BRONCO 4-VENT PLENUM - 830085 - 0 - 0</v>
      </c>
    </row>
    <row r="2111" spans="1:15" x14ac:dyDescent="0.25">
      <c r="A2111" s="1">
        <v>914648</v>
      </c>
      <c r="B2111" s="1" t="s">
        <v>194</v>
      </c>
      <c r="C2111" s="1" t="s">
        <v>195</v>
      </c>
      <c r="D2111" s="2">
        <v>44630.644284988426</v>
      </c>
      <c r="E2111" s="1" t="s">
        <v>8</v>
      </c>
      <c r="F2111" s="1">
        <v>1</v>
      </c>
      <c r="G2111" s="1">
        <v>0</v>
      </c>
      <c r="H2111" s="6">
        <f>INT(Query1[[#This Row],[EntryDateTime]])</f>
        <v>44630</v>
      </c>
      <c r="I2111" s="1">
        <f>IF(Query1[[#This Row],[ItemType]]="EVAP KIT SF GEN IV",Query1[[#This Row],[OrderQty]]+I2110,I2110)</f>
        <v>2486</v>
      </c>
      <c r="J2111" s="1">
        <f>IF(Query1[[#This Row],[ItemType]]="EVAP KIT UNIVERSAL",Query1[[#This Row],[OrderQty]]+J2110,J2110)</f>
        <v>971</v>
      </c>
      <c r="K2111" s="1">
        <f>Query1[[#This Row],[SF Running Total]]+Query1[[#This Row],[UNIV Running Total]]</f>
        <v>3457</v>
      </c>
      <c r="L2111">
        <f>VLOOKUP(Query1[[#This Row],[Description]],'kits to boards'!$B$2:$E$156,2,FALSE)</f>
        <v>830103</v>
      </c>
      <c r="M2111">
        <f>VLOOKUP(Query1[[#This Row],[Description]],'kits to boards'!$B$2:$E$156,3,FALSE)</f>
        <v>0</v>
      </c>
      <c r="N2111">
        <f>VLOOKUP(Query1[[#This Row],[Description]],'kits to boards'!$B$2:$E$156,4,FALSE)</f>
        <v>0</v>
      </c>
      <c r="O2111" t="str">
        <f>CONCATENATE(Query1[[#This Row],[Description]]," - ",Query1[[#This Row],[MB1]]," - ",Query1[[#This Row],[MB2]]," - ",Query1[[#This Row],[MB3]])</f>
        <v>EVAP KIT 78-82 VETTE W/AC - 830103 - 0 - 0</v>
      </c>
    </row>
    <row r="2112" spans="1:15" x14ac:dyDescent="0.25">
      <c r="A2112" s="1">
        <v>914638</v>
      </c>
      <c r="B2112" s="1" t="s">
        <v>94</v>
      </c>
      <c r="C2112" s="1" t="s">
        <v>95</v>
      </c>
      <c r="D2112" s="2">
        <v>44630.650369444447</v>
      </c>
      <c r="E2112" s="1" t="s">
        <v>8</v>
      </c>
      <c r="F2112" s="1">
        <v>1</v>
      </c>
      <c r="G2112" s="1">
        <v>0</v>
      </c>
      <c r="H2112" s="6">
        <f>INT(Query1[[#This Row],[EntryDateTime]])</f>
        <v>44630</v>
      </c>
      <c r="I2112" s="1">
        <f>IF(Query1[[#This Row],[ItemType]]="EVAP KIT SF GEN IV",Query1[[#This Row],[OrderQty]]+I2111,I2111)</f>
        <v>2487</v>
      </c>
      <c r="J2112" s="1">
        <f>IF(Query1[[#This Row],[ItemType]]="EVAP KIT UNIVERSAL",Query1[[#This Row],[OrderQty]]+J2111,J2111)</f>
        <v>971</v>
      </c>
      <c r="K2112" s="1">
        <f>Query1[[#This Row],[SF Running Total]]+Query1[[#This Row],[UNIV Running Total]]</f>
        <v>3458</v>
      </c>
      <c r="L2112">
        <f>VLOOKUP(Query1[[#This Row],[Description]],'kits to boards'!$B$2:$E$156,2,FALSE)</f>
        <v>830076</v>
      </c>
      <c r="M2112">
        <f>VLOOKUP(Query1[[#This Row],[Description]],'kits to boards'!$B$2:$E$156,3,FALSE)</f>
        <v>0</v>
      </c>
      <c r="N2112">
        <f>VLOOKUP(Query1[[#This Row],[Description]],'kits to boards'!$B$2:$E$156,4,FALSE)</f>
        <v>0</v>
      </c>
      <c r="O2112" t="str">
        <f>CONCATENATE(Query1[[#This Row],[Description]]," - ",Query1[[#This Row],[MB1]]," - ",Query1[[#This Row],[MB2]]," - ",Query1[[#This Row],[MB3]])</f>
        <v>EVAP KIT 64 1/2- 66 MUSTANG  - 830076 - 0 - 0</v>
      </c>
    </row>
    <row r="2113" spans="1:15" x14ac:dyDescent="0.25">
      <c r="A2113" s="1">
        <v>914561</v>
      </c>
      <c r="B2113" s="1" t="s">
        <v>122</v>
      </c>
      <c r="C2113" s="1" t="s">
        <v>123</v>
      </c>
      <c r="D2113" s="2">
        <v>44630.656746180553</v>
      </c>
      <c r="E2113" s="1" t="s">
        <v>8</v>
      </c>
      <c r="F2113" s="1">
        <v>1</v>
      </c>
      <c r="G2113" s="1">
        <v>0</v>
      </c>
      <c r="H2113" s="6">
        <f>INT(Query1[[#This Row],[EntryDateTime]])</f>
        <v>44630</v>
      </c>
      <c r="I2113" s="1">
        <f>IF(Query1[[#This Row],[ItemType]]="EVAP KIT SF GEN IV",Query1[[#This Row],[OrderQty]]+I2112,I2112)</f>
        <v>2488</v>
      </c>
      <c r="J2113" s="1">
        <f>IF(Query1[[#This Row],[ItemType]]="EVAP KIT UNIVERSAL",Query1[[#This Row],[OrderQty]]+J2112,J2112)</f>
        <v>971</v>
      </c>
      <c r="K2113" s="1">
        <f>Query1[[#This Row],[SF Running Total]]+Query1[[#This Row],[UNIV Running Total]]</f>
        <v>3459</v>
      </c>
      <c r="L2113">
        <f>VLOOKUP(Query1[[#This Row],[Description]],'kits to boards'!$B$2:$E$156,2,FALSE)</f>
        <v>830027</v>
      </c>
      <c r="M2113">
        <f>VLOOKUP(Query1[[#This Row],[Description]],'kits to boards'!$B$2:$E$156,3,FALSE)</f>
        <v>0</v>
      </c>
      <c r="N2113">
        <f>VLOOKUP(Query1[[#This Row],[Description]],'kits to boards'!$B$2:$E$156,4,FALSE)</f>
        <v>0</v>
      </c>
      <c r="O2113" t="str">
        <f>CONCATENATE(Query1[[#This Row],[Description]]," - ",Query1[[#This Row],[MB1]]," - ",Query1[[#This Row],[MB2]]," - ",Query1[[#This Row],[MB3]])</f>
        <v>EVAP KIT 70-72 CUTLASS W/AC - 830027 - 0 - 0</v>
      </c>
    </row>
    <row r="2114" spans="1:15" x14ac:dyDescent="0.25">
      <c r="A2114" s="1">
        <v>914656</v>
      </c>
      <c r="B2114" s="1" t="s">
        <v>54</v>
      </c>
      <c r="C2114" s="1" t="s">
        <v>55</v>
      </c>
      <c r="D2114" s="2">
        <v>44630.671731446761</v>
      </c>
      <c r="E2114" s="1" t="s">
        <v>8</v>
      </c>
      <c r="F2114" s="1">
        <v>1</v>
      </c>
      <c r="G2114" s="1">
        <v>0</v>
      </c>
      <c r="H2114" s="6">
        <f>INT(Query1[[#This Row],[EntryDateTime]])</f>
        <v>44630</v>
      </c>
      <c r="I2114" s="1">
        <f>IF(Query1[[#This Row],[ItemType]]="EVAP KIT SF GEN IV",Query1[[#This Row],[OrderQty]]+I2113,I2113)</f>
        <v>2489</v>
      </c>
      <c r="J2114" s="1">
        <f>IF(Query1[[#This Row],[ItemType]]="EVAP KIT UNIVERSAL",Query1[[#This Row],[OrderQty]]+J2113,J2113)</f>
        <v>971</v>
      </c>
      <c r="K2114" s="1">
        <f>Query1[[#This Row],[SF Running Total]]+Query1[[#This Row],[UNIV Running Total]]</f>
        <v>3460</v>
      </c>
      <c r="L2114">
        <f>VLOOKUP(Query1[[#This Row],[Description]],'kits to boards'!$B$2:$E$156,2,FALSE)</f>
        <v>830037</v>
      </c>
      <c r="M2114">
        <f>VLOOKUP(Query1[[#This Row],[Description]],'kits to boards'!$B$2:$E$156,3,FALSE)</f>
        <v>0</v>
      </c>
      <c r="N2114">
        <f>VLOOKUP(Query1[[#This Row],[Description]],'kits to boards'!$B$2:$E$156,4,FALSE)</f>
        <v>0</v>
      </c>
      <c r="O2114" t="str">
        <f>CONCATENATE(Query1[[#This Row],[Description]]," - ",Query1[[#This Row],[MB1]]," - ",Query1[[#This Row],[MB2]]," - ",Query1[[#This Row],[MB3]])</f>
        <v>EVAP KIT 70-81 FIREBIRD W/AC - 830037 - 0 - 0</v>
      </c>
    </row>
    <row r="2115" spans="1:15" x14ac:dyDescent="0.25">
      <c r="A2115" s="1">
        <v>914657</v>
      </c>
      <c r="B2115" s="1" t="s">
        <v>134</v>
      </c>
      <c r="C2115" s="1" t="s">
        <v>135</v>
      </c>
      <c r="D2115" s="2">
        <v>44630.672948298612</v>
      </c>
      <c r="E2115" s="1" t="s">
        <v>8</v>
      </c>
      <c r="F2115" s="1">
        <v>1</v>
      </c>
      <c r="G2115" s="1">
        <v>0</v>
      </c>
      <c r="H2115" s="6">
        <f>INT(Query1[[#This Row],[EntryDateTime]])</f>
        <v>44630</v>
      </c>
      <c r="I2115" s="1">
        <f>IF(Query1[[#This Row],[ItemType]]="EVAP KIT SF GEN IV",Query1[[#This Row],[OrderQty]]+I2114,I2114)</f>
        <v>2490</v>
      </c>
      <c r="J2115" s="1">
        <f>IF(Query1[[#This Row],[ItemType]]="EVAP KIT UNIVERSAL",Query1[[#This Row],[OrderQty]]+J2114,J2114)</f>
        <v>971</v>
      </c>
      <c r="K2115" s="1">
        <f>Query1[[#This Row],[SF Running Total]]+Query1[[#This Row],[UNIV Running Total]]</f>
        <v>3461</v>
      </c>
      <c r="L2115">
        <f>VLOOKUP(Query1[[#This Row],[Description]],'kits to boards'!$B$2:$E$156,2,FALSE)</f>
        <v>830007</v>
      </c>
      <c r="M2115">
        <f>VLOOKUP(Query1[[#This Row],[Description]],'kits to boards'!$B$2:$E$156,3,FALSE)</f>
        <v>0</v>
      </c>
      <c r="N2115">
        <f>VLOOKUP(Query1[[#This Row],[Description]],'kits to boards'!$B$2:$E$156,4,FALSE)</f>
        <v>0</v>
      </c>
      <c r="O2115" t="str">
        <f>CONCATENATE(Query1[[#This Row],[Description]]," - ",Query1[[#This Row],[MB1]]," - ",Query1[[#This Row],[MB2]]," - ",Query1[[#This Row],[MB3]])</f>
        <v>EVAP KIT 64 IMPALA WO AC - 830007 - 0 - 0</v>
      </c>
    </row>
    <row r="2116" spans="1:15" x14ac:dyDescent="0.25">
      <c r="A2116" s="1">
        <v>914660</v>
      </c>
      <c r="B2116" s="1" t="s">
        <v>184</v>
      </c>
      <c r="C2116" s="1" t="s">
        <v>185</v>
      </c>
      <c r="D2116" s="2">
        <v>44630.679085844909</v>
      </c>
      <c r="E2116" s="1" t="s">
        <v>8</v>
      </c>
      <c r="F2116" s="1">
        <v>1</v>
      </c>
      <c r="G2116" s="1">
        <v>0</v>
      </c>
      <c r="H2116" s="6">
        <f>INT(Query1[[#This Row],[EntryDateTime]])</f>
        <v>44630</v>
      </c>
      <c r="I2116" s="1">
        <f>IF(Query1[[#This Row],[ItemType]]="EVAP KIT SF GEN IV",Query1[[#This Row],[OrderQty]]+I2115,I2115)</f>
        <v>2491</v>
      </c>
      <c r="J2116" s="1">
        <f>IF(Query1[[#This Row],[ItemType]]="EVAP KIT UNIVERSAL",Query1[[#This Row],[OrderQty]]+J2115,J2115)</f>
        <v>971</v>
      </c>
      <c r="K2116" s="1">
        <f>Query1[[#This Row],[SF Running Total]]+Query1[[#This Row],[UNIV Running Total]]</f>
        <v>3462</v>
      </c>
      <c r="L2116">
        <f>VLOOKUP(Query1[[#This Row],[Description]],'kits to boards'!$B$2:$E$156,2,FALSE)</f>
        <v>830042</v>
      </c>
      <c r="M2116">
        <f>VLOOKUP(Query1[[#This Row],[Description]],'kits to boards'!$B$2:$E$156,3,FALSE)</f>
        <v>0</v>
      </c>
      <c r="N2116">
        <f>VLOOKUP(Query1[[#This Row],[Description]],'kits to boards'!$B$2:$E$156,4,FALSE)</f>
        <v>0</v>
      </c>
      <c r="O2116" t="str">
        <f>CONCATENATE(Query1[[#This Row],[Description]]," - ",Query1[[#This Row],[MB1]]," - ",Query1[[#This Row],[MB2]]," - ",Query1[[#This Row],[MB3]])</f>
        <v>EVAP KIT 68-83 TOYOTA FJ40 - 830042 - 0 - 0</v>
      </c>
    </row>
    <row r="2117" spans="1:15" x14ac:dyDescent="0.25">
      <c r="A2117" s="1">
        <v>914521</v>
      </c>
      <c r="B2117" s="1" t="s">
        <v>62</v>
      </c>
      <c r="C2117" s="1" t="s">
        <v>63</v>
      </c>
      <c r="D2117" s="2">
        <v>44630.681269872686</v>
      </c>
      <c r="E2117" s="1" t="s">
        <v>8</v>
      </c>
      <c r="F2117" s="1">
        <v>1</v>
      </c>
      <c r="G2117" s="1">
        <v>0</v>
      </c>
      <c r="H2117" s="6">
        <f>INT(Query1[[#This Row],[EntryDateTime]])</f>
        <v>44630</v>
      </c>
      <c r="I2117" s="1">
        <f>IF(Query1[[#This Row],[ItemType]]="EVAP KIT SF GEN IV",Query1[[#This Row],[OrderQty]]+I2116,I2116)</f>
        <v>2492</v>
      </c>
      <c r="J2117" s="1">
        <f>IF(Query1[[#This Row],[ItemType]]="EVAP KIT UNIVERSAL",Query1[[#This Row],[OrderQty]]+J2116,J2116)</f>
        <v>971</v>
      </c>
      <c r="K2117" s="1">
        <f>Query1[[#This Row],[SF Running Total]]+Query1[[#This Row],[UNIV Running Total]]</f>
        <v>3463</v>
      </c>
      <c r="L2117">
        <f>VLOOKUP(Query1[[#This Row],[Description]],'kits to boards'!$B$2:$E$156,2,FALSE)</f>
        <v>830079</v>
      </c>
      <c r="M2117">
        <f>VLOOKUP(Query1[[#This Row],[Description]],'kits to boards'!$B$2:$E$156,3,FALSE)</f>
        <v>830046</v>
      </c>
      <c r="N2117">
        <f>VLOOKUP(Query1[[#This Row],[Description]],'kits to boards'!$B$2:$E$156,4,FALSE)</f>
        <v>0</v>
      </c>
      <c r="O2117" t="str">
        <f>CONCATENATE(Query1[[#This Row],[Description]]," - ",Query1[[#This Row],[MB1]]," - ",Query1[[#This Row],[MB2]]," - ",Query1[[#This Row],[MB3]])</f>
        <v>EVAP KIT 67-68 MUSTANG/COUGAR WO AC - 830079 - 830046 - 0</v>
      </c>
    </row>
    <row r="2118" spans="1:15" x14ac:dyDescent="0.25">
      <c r="A2118" s="1">
        <v>914662</v>
      </c>
      <c r="B2118" s="1" t="s">
        <v>192</v>
      </c>
      <c r="C2118" s="1" t="s">
        <v>193</v>
      </c>
      <c r="D2118" s="2">
        <v>44630.682252511571</v>
      </c>
      <c r="E2118" s="1" t="s">
        <v>8</v>
      </c>
      <c r="F2118" s="1">
        <v>1</v>
      </c>
      <c r="G2118" s="1">
        <v>0</v>
      </c>
      <c r="H2118" s="6">
        <f>INT(Query1[[#This Row],[EntryDateTime]])</f>
        <v>44630</v>
      </c>
      <c r="I2118" s="1">
        <f>IF(Query1[[#This Row],[ItemType]]="EVAP KIT SF GEN IV",Query1[[#This Row],[OrderQty]]+I2117,I2117)</f>
        <v>2493</v>
      </c>
      <c r="J2118" s="1">
        <f>IF(Query1[[#This Row],[ItemType]]="EVAP KIT UNIVERSAL",Query1[[#This Row],[OrderQty]]+J2117,J2117)</f>
        <v>971</v>
      </c>
      <c r="K2118" s="1">
        <f>Query1[[#This Row],[SF Running Total]]+Query1[[#This Row],[UNIV Running Total]]</f>
        <v>3464</v>
      </c>
      <c r="L2118">
        <f>VLOOKUP(Query1[[#This Row],[Description]],'kits to boards'!$B$2:$E$156,2,FALSE)</f>
        <v>830094</v>
      </c>
      <c r="M2118">
        <f>VLOOKUP(Query1[[#This Row],[Description]],'kits to boards'!$B$2:$E$156,3,FALSE)</f>
        <v>0</v>
      </c>
      <c r="N2118">
        <f>VLOOKUP(Query1[[#This Row],[Description]],'kits to boards'!$B$2:$E$156,4,FALSE)</f>
        <v>0</v>
      </c>
      <c r="O2118" t="str">
        <f>CONCATENATE(Query1[[#This Row],[Description]]," - ",Query1[[#This Row],[MB1]]," - ",Query1[[#This Row],[MB2]]," - ",Query1[[#This Row],[MB3]])</f>
        <v>EVAP KIT 69-73 VETTE W/AC - 830094 - 0 - 0</v>
      </c>
    </row>
    <row r="2119" spans="1:15" x14ac:dyDescent="0.25">
      <c r="A2119" s="1">
        <v>914667</v>
      </c>
      <c r="B2119" s="1" t="s">
        <v>26</v>
      </c>
      <c r="C2119" s="1" t="s">
        <v>27</v>
      </c>
      <c r="D2119" s="2">
        <v>44630.687568252317</v>
      </c>
      <c r="E2119" s="1" t="s">
        <v>8</v>
      </c>
      <c r="F2119" s="1">
        <v>1</v>
      </c>
      <c r="G2119" s="1">
        <v>0</v>
      </c>
      <c r="H2119" s="6">
        <f>INT(Query1[[#This Row],[EntryDateTime]])</f>
        <v>44630</v>
      </c>
      <c r="I2119" s="1">
        <f>IF(Query1[[#This Row],[ItemType]]="EVAP KIT SF GEN IV",Query1[[#This Row],[OrderQty]]+I2118,I2118)</f>
        <v>2494</v>
      </c>
      <c r="J2119" s="1">
        <f>IF(Query1[[#This Row],[ItemType]]="EVAP KIT UNIVERSAL",Query1[[#This Row],[OrderQty]]+J2118,J2118)</f>
        <v>971</v>
      </c>
      <c r="K2119" s="1">
        <f>Query1[[#This Row],[SF Running Total]]+Query1[[#This Row],[UNIV Running Total]]</f>
        <v>3465</v>
      </c>
      <c r="L2119">
        <f>VLOOKUP(Query1[[#This Row],[Description]],'kits to boards'!$B$2:$E$156,2,FALSE)</f>
        <v>830013</v>
      </c>
      <c r="M2119">
        <f>VLOOKUP(Query1[[#This Row],[Description]],'kits to boards'!$B$2:$E$156,3,FALSE)</f>
        <v>0</v>
      </c>
      <c r="N2119">
        <f>VLOOKUP(Query1[[#This Row],[Description]],'kits to boards'!$B$2:$E$156,4,FALSE)</f>
        <v>0</v>
      </c>
      <c r="O2119" t="str">
        <f>CONCATENATE(Query1[[#This Row],[Description]]," - ",Query1[[#This Row],[MB1]]," - ",Query1[[#This Row],[MB2]]," - ",Query1[[#This Row],[MB3]])</f>
        <v>EVAP KIT 67-72 CHEV P-UP W/AC - 830013 - 0 - 0</v>
      </c>
    </row>
    <row r="2120" spans="1:15" x14ac:dyDescent="0.25">
      <c r="A2120" s="1">
        <v>914669</v>
      </c>
      <c r="B2120" s="1" t="s">
        <v>30</v>
      </c>
      <c r="C2120" s="1" t="s">
        <v>31</v>
      </c>
      <c r="D2120" s="2">
        <v>44630.690017673609</v>
      </c>
      <c r="E2120" s="1" t="s">
        <v>8</v>
      </c>
      <c r="F2120" s="1">
        <v>1</v>
      </c>
      <c r="G2120" s="1">
        <v>0</v>
      </c>
      <c r="H2120" s="6">
        <f>INT(Query1[[#This Row],[EntryDateTime]])</f>
        <v>44630</v>
      </c>
      <c r="I2120" s="1">
        <f>IF(Query1[[#This Row],[ItemType]]="EVAP KIT SF GEN IV",Query1[[#This Row],[OrderQty]]+I2119,I2119)</f>
        <v>2495</v>
      </c>
      <c r="J2120" s="1">
        <f>IF(Query1[[#This Row],[ItemType]]="EVAP KIT UNIVERSAL",Query1[[#This Row],[OrderQty]]+J2119,J2119)</f>
        <v>971</v>
      </c>
      <c r="K2120" s="1">
        <f>Query1[[#This Row],[SF Running Total]]+Query1[[#This Row],[UNIV Running Total]]</f>
        <v>3466</v>
      </c>
      <c r="L2120">
        <f>VLOOKUP(Query1[[#This Row],[Description]],'kits to boards'!$B$2:$E$156,2,FALSE)</f>
        <v>830054</v>
      </c>
      <c r="M2120">
        <f>VLOOKUP(Query1[[#This Row],[Description]],'kits to boards'!$B$2:$E$156,3,FALSE)</f>
        <v>0</v>
      </c>
      <c r="N2120">
        <f>VLOOKUP(Query1[[#This Row],[Description]],'kits to boards'!$B$2:$E$156,4,FALSE)</f>
        <v>0</v>
      </c>
      <c r="O2120" t="str">
        <f>CONCATENATE(Query1[[#This Row],[Description]]," - ",Query1[[#This Row],[MB1]]," - ",Query1[[#This Row],[MB2]]," - ",Query1[[#This Row],[MB3]])</f>
        <v>EVAP KIT 55-56 CHEVY 4-VENT - 830054 - 0 - 0</v>
      </c>
    </row>
    <row r="2121" spans="1:15" x14ac:dyDescent="0.25">
      <c r="A2121" s="1">
        <v>914653</v>
      </c>
      <c r="B2121" s="1" t="s">
        <v>42</v>
      </c>
      <c r="C2121" s="1" t="s">
        <v>43</v>
      </c>
      <c r="D2121" s="2">
        <v>44630.690064386574</v>
      </c>
      <c r="E2121" s="1" t="s">
        <v>8</v>
      </c>
      <c r="F2121" s="1">
        <v>20</v>
      </c>
      <c r="G2121" s="1">
        <v>0</v>
      </c>
      <c r="H2121" s="6">
        <f>INT(Query1[[#This Row],[EntryDateTime]])</f>
        <v>44630</v>
      </c>
      <c r="I2121" s="1">
        <f>IF(Query1[[#This Row],[ItemType]]="EVAP KIT SF GEN IV",Query1[[#This Row],[OrderQty]]+I2120,I2120)</f>
        <v>2515</v>
      </c>
      <c r="J2121" s="1">
        <f>IF(Query1[[#This Row],[ItemType]]="EVAP KIT UNIVERSAL",Query1[[#This Row],[OrderQty]]+J2120,J2120)</f>
        <v>971</v>
      </c>
      <c r="K2121" s="1">
        <f>Query1[[#This Row],[SF Running Total]]+Query1[[#This Row],[UNIV Running Total]]</f>
        <v>3486</v>
      </c>
      <c r="L2121">
        <f>VLOOKUP(Query1[[#This Row],[Description]],'kits to boards'!$B$2:$E$156,2,FALSE)</f>
        <v>830014</v>
      </c>
      <c r="M2121">
        <f>VLOOKUP(Query1[[#This Row],[Description]],'kits to boards'!$B$2:$E$156,3,FALSE)</f>
        <v>0</v>
      </c>
      <c r="N2121">
        <f>VLOOKUP(Query1[[#This Row],[Description]],'kits to boards'!$B$2:$E$156,4,FALSE)</f>
        <v>0</v>
      </c>
      <c r="O2121" t="str">
        <f>CONCATENATE(Query1[[#This Row],[Description]]," - ",Query1[[#This Row],[MB1]]," - ",Query1[[#This Row],[MB2]]," - ",Query1[[#This Row],[MB3]])</f>
        <v>EVAP KIT 67-72 CHEV P-UP WO AC - 830014 - 0 - 0</v>
      </c>
    </row>
    <row r="2122" spans="1:15" x14ac:dyDescent="0.25">
      <c r="A2122" s="1">
        <v>914676</v>
      </c>
      <c r="B2122" s="1" t="s">
        <v>140</v>
      </c>
      <c r="C2122" s="1" t="s">
        <v>141</v>
      </c>
      <c r="D2122" s="2">
        <v>44631.317341354166</v>
      </c>
      <c r="E2122" s="1" t="s">
        <v>8</v>
      </c>
      <c r="F2122" s="1">
        <v>1</v>
      </c>
      <c r="G2122" s="1">
        <v>0</v>
      </c>
      <c r="H2122" s="6">
        <f>INT(Query1[[#This Row],[EntryDateTime]])</f>
        <v>44631</v>
      </c>
      <c r="I2122" s="1">
        <f>IF(Query1[[#This Row],[ItemType]]="EVAP KIT SF GEN IV",Query1[[#This Row],[OrderQty]]+I2121,I2121)</f>
        <v>2516</v>
      </c>
      <c r="J2122" s="1">
        <f>IF(Query1[[#This Row],[ItemType]]="EVAP KIT UNIVERSAL",Query1[[#This Row],[OrderQty]]+J2121,J2121)</f>
        <v>971</v>
      </c>
      <c r="K2122" s="1">
        <f>Query1[[#This Row],[SF Running Total]]+Query1[[#This Row],[UNIV Running Total]]</f>
        <v>3487</v>
      </c>
      <c r="L2122">
        <f>VLOOKUP(Query1[[#This Row],[Description]],'kits to boards'!$B$2:$E$156,2,FALSE)</f>
        <v>830066</v>
      </c>
      <c r="M2122">
        <f>VLOOKUP(Query1[[#This Row],[Description]],'kits to boards'!$B$2:$E$156,3,FALSE)</f>
        <v>0</v>
      </c>
      <c r="N2122">
        <f>VLOOKUP(Query1[[#This Row],[Description]],'kits to boards'!$B$2:$E$156,4,FALSE)</f>
        <v>0</v>
      </c>
      <c r="O2122" t="str">
        <f>CONCATENATE(Query1[[#This Row],[Description]]," - ",Query1[[#This Row],[MB1]]," - ",Query1[[#This Row],[MB2]]," - ",Query1[[#This Row],[MB3]])</f>
        <v>EVAP KIT 60-63 CHEV P-UP WO AC - 830066 - 0 - 0</v>
      </c>
    </row>
    <row r="2123" spans="1:15" x14ac:dyDescent="0.25">
      <c r="A2123" s="1">
        <v>914676</v>
      </c>
      <c r="B2123" s="1" t="s">
        <v>24</v>
      </c>
      <c r="C2123" s="1" t="s">
        <v>25</v>
      </c>
      <c r="D2123" s="2">
        <v>44631.31838449074</v>
      </c>
      <c r="E2123" s="1" t="s">
        <v>11</v>
      </c>
      <c r="F2123" s="1">
        <v>3</v>
      </c>
      <c r="G2123" s="1">
        <v>0</v>
      </c>
      <c r="H2123" s="6">
        <f>INT(Query1[[#This Row],[EntryDateTime]])</f>
        <v>44631</v>
      </c>
      <c r="I2123" s="1">
        <f>IF(Query1[[#This Row],[ItemType]]="EVAP KIT SF GEN IV",Query1[[#This Row],[OrderQty]]+I2122,I2122)</f>
        <v>2516</v>
      </c>
      <c r="J2123" s="1">
        <f>IF(Query1[[#This Row],[ItemType]]="EVAP KIT UNIVERSAL",Query1[[#This Row],[OrderQty]]+J2122,J2122)</f>
        <v>974</v>
      </c>
      <c r="K2123" s="1">
        <f>Query1[[#This Row],[SF Running Total]]+Query1[[#This Row],[UNIV Running Total]]</f>
        <v>3490</v>
      </c>
      <c r="L2123">
        <f>VLOOKUP(Query1[[#This Row],[Description]],'kits to boards'!$B$2:$E$156,2,FALSE)</f>
        <v>830029</v>
      </c>
      <c r="M2123">
        <f>VLOOKUP(Query1[[#This Row],[Description]],'kits to boards'!$B$2:$E$156,3,FALSE)</f>
        <v>830030</v>
      </c>
      <c r="N2123">
        <f>VLOOKUP(Query1[[#This Row],[Description]],'kits to boards'!$B$2:$E$156,4,FALSE)</f>
        <v>0</v>
      </c>
      <c r="O2123" t="str">
        <f>CONCATENATE(Query1[[#This Row],[Description]]," - ",Query1[[#This Row],[MB1]]," - ",Query1[[#This Row],[MB2]]," - ",Query1[[#This Row],[MB3]])</f>
        <v>ComPac GEN II W/DEF - 830029 - 830030 - 0</v>
      </c>
    </row>
    <row r="2124" spans="1:15" x14ac:dyDescent="0.25">
      <c r="A2124" s="1">
        <v>914231</v>
      </c>
      <c r="B2124" s="1" t="s">
        <v>214</v>
      </c>
      <c r="C2124" s="1" t="s">
        <v>215</v>
      </c>
      <c r="D2124" s="2">
        <v>44631.320937962962</v>
      </c>
      <c r="E2124" s="1" t="s">
        <v>8</v>
      </c>
      <c r="F2124" s="1">
        <v>1</v>
      </c>
      <c r="G2124" s="1">
        <v>0</v>
      </c>
      <c r="H2124" s="6">
        <f>INT(Query1[[#This Row],[EntryDateTime]])</f>
        <v>44631</v>
      </c>
      <c r="I2124" s="1">
        <f>IF(Query1[[#This Row],[ItemType]]="EVAP KIT SF GEN IV",Query1[[#This Row],[OrderQty]]+I2123,I2123)</f>
        <v>2517</v>
      </c>
      <c r="J2124" s="1">
        <f>IF(Query1[[#This Row],[ItemType]]="EVAP KIT UNIVERSAL",Query1[[#This Row],[OrderQty]]+J2123,J2123)</f>
        <v>974</v>
      </c>
      <c r="K2124" s="1">
        <f>Query1[[#This Row],[SF Running Total]]+Query1[[#This Row],[UNIV Running Total]]</f>
        <v>3491</v>
      </c>
      <c r="L2124">
        <f>VLOOKUP(Query1[[#This Row],[Description]],'kits to boards'!$B$2:$E$156,2,FALSE)</f>
        <v>830072</v>
      </c>
      <c r="M2124">
        <f>VLOOKUP(Query1[[#This Row],[Description]],'kits to boards'!$B$2:$E$156,3,FALSE)</f>
        <v>0</v>
      </c>
      <c r="N2124">
        <f>VLOOKUP(Query1[[#This Row],[Description]],'kits to boards'!$B$2:$E$156,4,FALSE)</f>
        <v>0</v>
      </c>
      <c r="O2124" t="str">
        <f>CONCATENATE(Query1[[#This Row],[Description]]," - ",Query1[[#This Row],[MB1]]," - ",Query1[[#This Row],[MB2]]," - ",Query1[[#This Row],[MB3]])</f>
        <v>EVAP KIT 68 MOPAR B BODY WO AC - 830072 - 0 - 0</v>
      </c>
    </row>
    <row r="2125" spans="1:15" x14ac:dyDescent="0.25">
      <c r="A2125" s="1">
        <v>914683</v>
      </c>
      <c r="B2125" s="1" t="s">
        <v>98</v>
      </c>
      <c r="C2125" s="1" t="s">
        <v>99</v>
      </c>
      <c r="D2125" s="2">
        <v>44631.327420682872</v>
      </c>
      <c r="E2125" s="1" t="s">
        <v>11</v>
      </c>
      <c r="F2125" s="1">
        <v>1</v>
      </c>
      <c r="G2125" s="1">
        <v>0</v>
      </c>
      <c r="H2125" s="6">
        <f>INT(Query1[[#This Row],[EntryDateTime]])</f>
        <v>44631</v>
      </c>
      <c r="I2125" s="1">
        <f>IF(Query1[[#This Row],[ItemType]]="EVAP KIT SF GEN IV",Query1[[#This Row],[OrderQty]]+I2124,I2124)</f>
        <v>2517</v>
      </c>
      <c r="J2125" s="1">
        <f>IF(Query1[[#This Row],[ItemType]]="EVAP KIT UNIVERSAL",Query1[[#This Row],[OrderQty]]+J2124,J2124)</f>
        <v>975</v>
      </c>
      <c r="K2125" s="1">
        <f>Query1[[#This Row],[SF Running Total]]+Query1[[#This Row],[UNIV Running Total]]</f>
        <v>3492</v>
      </c>
      <c r="L2125">
        <f>VLOOKUP(Query1[[#This Row],[Description]],'kits to boards'!$B$2:$E$156,2,FALSE)</f>
        <v>830099</v>
      </c>
      <c r="M2125">
        <f>VLOOKUP(Query1[[#This Row],[Description]],'kits to boards'!$B$2:$E$156,3,FALSE)</f>
        <v>0</v>
      </c>
      <c r="N2125">
        <f>VLOOKUP(Query1[[#This Row],[Description]],'kits to boards'!$B$2:$E$156,4,FALSE)</f>
        <v>0</v>
      </c>
      <c r="O2125" t="str">
        <f>CONCATENATE(Query1[[#This Row],[Description]]," - ",Query1[[#This Row],[MB1]]," - ",Query1[[#This Row],[MB2]]," - ",Query1[[#This Row],[MB3]])</f>
        <v>MINI GEN II W/DEF - 830099 - 0 - 0</v>
      </c>
    </row>
    <row r="2126" spans="1:15" x14ac:dyDescent="0.25">
      <c r="A2126" s="1">
        <v>914683</v>
      </c>
      <c r="B2126" s="1" t="s">
        <v>22</v>
      </c>
      <c r="C2126" s="1" t="s">
        <v>23</v>
      </c>
      <c r="D2126" s="2">
        <v>44631.328338344909</v>
      </c>
      <c r="E2126" s="1" t="s">
        <v>8</v>
      </c>
      <c r="F2126" s="1">
        <v>3</v>
      </c>
      <c r="G2126" s="1">
        <v>0</v>
      </c>
      <c r="H2126" s="6">
        <f>INT(Query1[[#This Row],[EntryDateTime]])</f>
        <v>44631</v>
      </c>
      <c r="I2126" s="1">
        <f>IF(Query1[[#This Row],[ItemType]]="EVAP KIT SF GEN IV",Query1[[#This Row],[OrderQty]]+I2125,I2125)</f>
        <v>2520</v>
      </c>
      <c r="J2126" s="1">
        <f>IF(Query1[[#This Row],[ItemType]]="EVAP KIT UNIVERSAL",Query1[[#This Row],[OrderQty]]+J2125,J2125)</f>
        <v>975</v>
      </c>
      <c r="K2126" s="1">
        <f>Query1[[#This Row],[SF Running Total]]+Query1[[#This Row],[UNIV Running Total]]</f>
        <v>3495</v>
      </c>
      <c r="L2126">
        <f>VLOOKUP(Query1[[#This Row],[Description]],'kits to boards'!$B$2:$E$156,2,FALSE)</f>
        <v>830083</v>
      </c>
      <c r="M2126">
        <f>VLOOKUP(Query1[[#This Row],[Description]],'kits to boards'!$B$2:$E$156,3,FALSE)</f>
        <v>0</v>
      </c>
      <c r="N2126">
        <f>VLOOKUP(Query1[[#This Row],[Description]],'kits to boards'!$B$2:$E$156,4,FALSE)</f>
        <v>0</v>
      </c>
      <c r="O2126" t="str">
        <f>CONCATENATE(Query1[[#This Row],[Description]]," - ",Query1[[#This Row],[MB1]]," - ",Query1[[#This Row],[MB2]]," - ",Query1[[#This Row],[MB3]])</f>
        <v>GEN IV MAGNUM EVAP KIT - 830083 - 0 - 0</v>
      </c>
    </row>
    <row r="2127" spans="1:15" x14ac:dyDescent="0.25">
      <c r="A2127" s="1">
        <v>914683</v>
      </c>
      <c r="B2127" s="1" t="s">
        <v>32</v>
      </c>
      <c r="C2127" s="1" t="s">
        <v>33</v>
      </c>
      <c r="D2127" s="2">
        <v>44631.328428900466</v>
      </c>
      <c r="E2127" s="1" t="s">
        <v>8</v>
      </c>
      <c r="F2127" s="1">
        <v>1</v>
      </c>
      <c r="G2127" s="1">
        <v>0</v>
      </c>
      <c r="H2127" s="6">
        <f>INT(Query1[[#This Row],[EntryDateTime]])</f>
        <v>44631</v>
      </c>
      <c r="I2127" s="1">
        <f>IF(Query1[[#This Row],[ItemType]]="EVAP KIT SF GEN IV",Query1[[#This Row],[OrderQty]]+I2126,I2126)</f>
        <v>2521</v>
      </c>
      <c r="J2127" s="1">
        <f>IF(Query1[[#This Row],[ItemType]]="EVAP KIT UNIVERSAL",Query1[[#This Row],[OrderQty]]+J2126,J2126)</f>
        <v>975</v>
      </c>
      <c r="K2127" s="1">
        <f>Query1[[#This Row],[SF Running Total]]+Query1[[#This Row],[UNIV Running Total]]</f>
        <v>3496</v>
      </c>
      <c r="L2127">
        <f>VLOOKUP(Query1[[#This Row],[Description]],'kits to boards'!$B$2:$E$156,2,FALSE)</f>
        <v>830016</v>
      </c>
      <c r="M2127">
        <f>VLOOKUP(Query1[[#This Row],[Description]],'kits to boards'!$B$2:$E$156,3,FALSE)</f>
        <v>0</v>
      </c>
      <c r="N2127">
        <f>VLOOKUP(Query1[[#This Row],[Description]],'kits to boards'!$B$2:$E$156,4,FALSE)</f>
        <v>0</v>
      </c>
      <c r="O2127" t="str">
        <f>CONCATENATE(Query1[[#This Row],[Description]]," - ",Query1[[#This Row],[MB1]]," - ",Query1[[#This Row],[MB2]]," - ",Query1[[#This Row],[MB3]])</f>
        <v>EVAP KIT 67-68 CAMARO/FIREBIRD W/AC - 830016 - 0 - 0</v>
      </c>
    </row>
    <row r="2128" spans="1:15" x14ac:dyDescent="0.25">
      <c r="A2128" s="1">
        <v>914683</v>
      </c>
      <c r="B2128" s="1" t="s">
        <v>96</v>
      </c>
      <c r="C2128" s="1" t="s">
        <v>97</v>
      </c>
      <c r="D2128" s="2">
        <v>44631.328763391204</v>
      </c>
      <c r="E2128" s="1" t="s">
        <v>8</v>
      </c>
      <c r="F2128" s="1">
        <v>1</v>
      </c>
      <c r="G2128" s="1">
        <v>0</v>
      </c>
      <c r="H2128" s="6">
        <f>INT(Query1[[#This Row],[EntryDateTime]])</f>
        <v>44631</v>
      </c>
      <c r="I2128" s="1">
        <f>IF(Query1[[#This Row],[ItemType]]="EVAP KIT SF GEN IV",Query1[[#This Row],[OrderQty]]+I2127,I2127)</f>
        <v>2522</v>
      </c>
      <c r="J2128" s="1">
        <f>IF(Query1[[#This Row],[ItemType]]="EVAP KIT UNIVERSAL",Query1[[#This Row],[OrderQty]]+J2127,J2127)</f>
        <v>975</v>
      </c>
      <c r="K2128" s="1">
        <f>Query1[[#This Row],[SF Running Total]]+Query1[[#This Row],[UNIV Running Total]]</f>
        <v>3497</v>
      </c>
      <c r="L2128">
        <f>VLOOKUP(Query1[[#This Row],[Description]],'kits to boards'!$B$2:$E$156,2,FALSE)</f>
        <v>830004</v>
      </c>
      <c r="M2128">
        <f>VLOOKUP(Query1[[#This Row],[Description]],'kits to boards'!$B$2:$E$156,3,FALSE)</f>
        <v>0</v>
      </c>
      <c r="N2128">
        <f>VLOOKUP(Query1[[#This Row],[Description]],'kits to boards'!$B$2:$E$156,4,FALSE)</f>
        <v>0</v>
      </c>
      <c r="O2128" t="str">
        <f>CONCATENATE(Query1[[#This Row],[Description]]," - ",Query1[[#This Row],[MB1]]," - ",Query1[[#This Row],[MB2]]," - ",Query1[[#This Row],[MB3]])</f>
        <v>EVAP KIT 81-87 CHEV P-UP W/AC - 830004 - 0 - 0</v>
      </c>
    </row>
    <row r="2129" spans="1:15" x14ac:dyDescent="0.25">
      <c r="A2129" s="1">
        <v>914683</v>
      </c>
      <c r="B2129" s="1" t="s">
        <v>192</v>
      </c>
      <c r="C2129" s="1" t="s">
        <v>193</v>
      </c>
      <c r="D2129" s="2">
        <v>44631.329288113426</v>
      </c>
      <c r="E2129" s="1" t="s">
        <v>8</v>
      </c>
      <c r="F2129" s="1">
        <v>1</v>
      </c>
      <c r="G2129" s="1">
        <v>0</v>
      </c>
      <c r="H2129" s="6">
        <f>INT(Query1[[#This Row],[EntryDateTime]])</f>
        <v>44631</v>
      </c>
      <c r="I2129" s="1">
        <f>IF(Query1[[#This Row],[ItemType]]="EVAP KIT SF GEN IV",Query1[[#This Row],[OrderQty]]+I2128,I2128)</f>
        <v>2523</v>
      </c>
      <c r="J2129" s="1">
        <f>IF(Query1[[#This Row],[ItemType]]="EVAP KIT UNIVERSAL",Query1[[#This Row],[OrderQty]]+J2128,J2128)</f>
        <v>975</v>
      </c>
      <c r="K2129" s="1">
        <f>Query1[[#This Row],[SF Running Total]]+Query1[[#This Row],[UNIV Running Total]]</f>
        <v>3498</v>
      </c>
      <c r="L2129">
        <f>VLOOKUP(Query1[[#This Row],[Description]],'kits to boards'!$B$2:$E$156,2,FALSE)</f>
        <v>830094</v>
      </c>
      <c r="M2129">
        <f>VLOOKUP(Query1[[#This Row],[Description]],'kits to boards'!$B$2:$E$156,3,FALSE)</f>
        <v>0</v>
      </c>
      <c r="N2129">
        <f>VLOOKUP(Query1[[#This Row],[Description]],'kits to boards'!$B$2:$E$156,4,FALSE)</f>
        <v>0</v>
      </c>
      <c r="O2129" t="str">
        <f>CONCATENATE(Query1[[#This Row],[Description]]," - ",Query1[[#This Row],[MB1]]," - ",Query1[[#This Row],[MB2]]," - ",Query1[[#This Row],[MB3]])</f>
        <v>EVAP KIT 69-73 VETTE W/AC - 830094 - 0 - 0</v>
      </c>
    </row>
    <row r="2130" spans="1:15" x14ac:dyDescent="0.25">
      <c r="A2130" s="1">
        <v>914683</v>
      </c>
      <c r="B2130" s="1" t="s">
        <v>100</v>
      </c>
      <c r="C2130" s="1" t="s">
        <v>101</v>
      </c>
      <c r="D2130" s="2">
        <v>44631.330588425924</v>
      </c>
      <c r="E2130" s="1" t="s">
        <v>8</v>
      </c>
      <c r="F2130" s="1">
        <v>1</v>
      </c>
      <c r="G2130" s="1">
        <v>0</v>
      </c>
      <c r="H2130" s="6">
        <f>INT(Query1[[#This Row],[EntryDateTime]])</f>
        <v>44631</v>
      </c>
      <c r="I2130" s="1">
        <f>IF(Query1[[#This Row],[ItemType]]="EVAP KIT SF GEN IV",Query1[[#This Row],[OrderQty]]+I2129,I2129)</f>
        <v>2524</v>
      </c>
      <c r="J2130" s="1">
        <f>IF(Query1[[#This Row],[ItemType]]="EVAP KIT UNIVERSAL",Query1[[#This Row],[OrderQty]]+J2129,J2129)</f>
        <v>975</v>
      </c>
      <c r="K2130" s="1">
        <f>Query1[[#This Row],[SF Running Total]]+Query1[[#This Row],[UNIV Running Total]]</f>
        <v>3499</v>
      </c>
      <c r="L2130">
        <f>VLOOKUP(Query1[[#This Row],[Description]],'kits to boards'!$B$2:$E$156,2,FALSE)</f>
        <v>830096</v>
      </c>
      <c r="M2130">
        <f>VLOOKUP(Query1[[#This Row],[Description]],'kits to boards'!$B$2:$E$156,3,FALSE)</f>
        <v>0</v>
      </c>
      <c r="N2130">
        <f>VLOOKUP(Query1[[#This Row],[Description]],'kits to boards'!$B$2:$E$156,4,FALSE)</f>
        <v>0</v>
      </c>
      <c r="O2130" t="str">
        <f>CONCATENATE(Query1[[#This Row],[Description]]," - ",Query1[[#This Row],[MB1]]," - ",Query1[[#This Row],[MB2]]," - ",Query1[[#This Row],[MB3]])</f>
        <v>EVAP KIT 62-65 NOVA - 830096 - 0 - 0</v>
      </c>
    </row>
    <row r="2131" spans="1:15" x14ac:dyDescent="0.25">
      <c r="A2131" s="1">
        <v>914683</v>
      </c>
      <c r="B2131" s="1" t="s">
        <v>126</v>
      </c>
      <c r="C2131" s="1" t="s">
        <v>127</v>
      </c>
      <c r="D2131" s="2">
        <v>44631.3316003125</v>
      </c>
      <c r="E2131" s="1" t="s">
        <v>8</v>
      </c>
      <c r="F2131" s="1">
        <v>1</v>
      </c>
      <c r="G2131" s="1">
        <v>0</v>
      </c>
      <c r="H2131" s="6">
        <f>INT(Query1[[#This Row],[EntryDateTime]])</f>
        <v>44631</v>
      </c>
      <c r="I2131" s="1">
        <f>IF(Query1[[#This Row],[ItemType]]="EVAP KIT SF GEN IV",Query1[[#This Row],[OrderQty]]+I2130,I2130)</f>
        <v>2525</v>
      </c>
      <c r="J2131" s="1">
        <f>IF(Query1[[#This Row],[ItemType]]="EVAP KIT UNIVERSAL",Query1[[#This Row],[OrderQty]]+J2130,J2130)</f>
        <v>975</v>
      </c>
      <c r="K2131" s="1">
        <f>Query1[[#This Row],[SF Running Total]]+Query1[[#This Row],[UNIV Running Total]]</f>
        <v>3500</v>
      </c>
      <c r="L2131">
        <f>VLOOKUP(Query1[[#This Row],[Description]],'kits to boards'!$B$2:$E$156,2,FALSE)</f>
        <v>830080</v>
      </c>
      <c r="M2131">
        <f>VLOOKUP(Query1[[#This Row],[Description]],'kits to boards'!$B$2:$E$156,3,FALSE)</f>
        <v>0</v>
      </c>
      <c r="N2131">
        <f>VLOOKUP(Query1[[#This Row],[Description]],'kits to boards'!$B$2:$E$156,4,FALSE)</f>
        <v>0</v>
      </c>
      <c r="O2131" t="str">
        <f>CONCATENATE(Query1[[#This Row],[Description]]," - ",Query1[[#This Row],[MB1]]," - ",Query1[[#This Row],[MB2]]," - ",Query1[[#This Row],[MB3]])</f>
        <v>EVAP KIT 69-70 MUSTANG WO AC  - 830080 - 0 - 0</v>
      </c>
    </row>
    <row r="2132" spans="1:15" x14ac:dyDescent="0.25">
      <c r="A2132" s="1">
        <v>914683</v>
      </c>
      <c r="B2132" s="1" t="s">
        <v>42</v>
      </c>
      <c r="C2132" s="1" t="s">
        <v>43</v>
      </c>
      <c r="D2132" s="2">
        <v>44631.332413657408</v>
      </c>
      <c r="E2132" s="1" t="s">
        <v>8</v>
      </c>
      <c r="F2132" s="1">
        <v>1</v>
      </c>
      <c r="G2132" s="1">
        <v>0</v>
      </c>
      <c r="H2132" s="6">
        <f>INT(Query1[[#This Row],[EntryDateTime]])</f>
        <v>44631</v>
      </c>
      <c r="I2132" s="1">
        <f>IF(Query1[[#This Row],[ItemType]]="EVAP KIT SF GEN IV",Query1[[#This Row],[OrderQty]]+I2131,I2131)</f>
        <v>2526</v>
      </c>
      <c r="J2132" s="1">
        <f>IF(Query1[[#This Row],[ItemType]]="EVAP KIT UNIVERSAL",Query1[[#This Row],[OrderQty]]+J2131,J2131)</f>
        <v>975</v>
      </c>
      <c r="K2132" s="1">
        <f>Query1[[#This Row],[SF Running Total]]+Query1[[#This Row],[UNIV Running Total]]</f>
        <v>3501</v>
      </c>
      <c r="L2132">
        <f>VLOOKUP(Query1[[#This Row],[Description]],'kits to boards'!$B$2:$E$156,2,FALSE)</f>
        <v>830014</v>
      </c>
      <c r="M2132">
        <f>VLOOKUP(Query1[[#This Row],[Description]],'kits to boards'!$B$2:$E$156,3,FALSE)</f>
        <v>0</v>
      </c>
      <c r="N2132">
        <f>VLOOKUP(Query1[[#This Row],[Description]],'kits to boards'!$B$2:$E$156,4,FALSE)</f>
        <v>0</v>
      </c>
      <c r="O2132" t="str">
        <f>CONCATENATE(Query1[[#This Row],[Description]]," - ",Query1[[#This Row],[MB1]]," - ",Query1[[#This Row],[MB2]]," - ",Query1[[#This Row],[MB3]])</f>
        <v>EVAP KIT 67-72 CHEV P-UP WO AC - 830014 - 0 - 0</v>
      </c>
    </row>
    <row r="2133" spans="1:15" x14ac:dyDescent="0.25">
      <c r="A2133" s="1">
        <v>914683</v>
      </c>
      <c r="B2133" s="1" t="s">
        <v>92</v>
      </c>
      <c r="C2133" s="1" t="s">
        <v>93</v>
      </c>
      <c r="D2133" s="2">
        <v>44631.33287943287</v>
      </c>
      <c r="E2133" s="1" t="s">
        <v>8</v>
      </c>
      <c r="F2133" s="1">
        <v>1</v>
      </c>
      <c r="G2133" s="1">
        <v>0</v>
      </c>
      <c r="H2133" s="6">
        <f>INT(Query1[[#This Row],[EntryDateTime]])</f>
        <v>44631</v>
      </c>
      <c r="I2133" s="1">
        <f>IF(Query1[[#This Row],[ItemType]]="EVAP KIT SF GEN IV",Query1[[#This Row],[OrderQty]]+I2132,I2132)</f>
        <v>2527</v>
      </c>
      <c r="J2133" s="1">
        <f>IF(Query1[[#This Row],[ItemType]]="EVAP KIT UNIVERSAL",Query1[[#This Row],[OrderQty]]+J2132,J2132)</f>
        <v>975</v>
      </c>
      <c r="K2133" s="1">
        <f>Query1[[#This Row],[SF Running Total]]+Query1[[#This Row],[UNIV Running Total]]</f>
        <v>3502</v>
      </c>
      <c r="L2133">
        <f>VLOOKUP(Query1[[#This Row],[Description]],'kits to boards'!$B$2:$E$156,2,FALSE)</f>
        <v>830063</v>
      </c>
      <c r="M2133">
        <f>VLOOKUP(Query1[[#This Row],[Description]],'kits to boards'!$B$2:$E$156,3,FALSE)</f>
        <v>0</v>
      </c>
      <c r="N2133">
        <f>VLOOKUP(Query1[[#This Row],[Description]],'kits to boards'!$B$2:$E$156,4,FALSE)</f>
        <v>0</v>
      </c>
      <c r="O2133" t="str">
        <f>CONCATENATE(Query1[[#This Row],[Description]]," - ",Query1[[#This Row],[MB1]]," - ",Query1[[#This Row],[MB2]]," - ",Query1[[#This Row],[MB3]])</f>
        <v>EVAP KIT 50-53 CHEV P-UP GEN IV - 830063 - 0 - 0</v>
      </c>
    </row>
    <row r="2134" spans="1:15" x14ac:dyDescent="0.25">
      <c r="A2134" s="1">
        <v>914683</v>
      </c>
      <c r="B2134" s="1" t="s">
        <v>34</v>
      </c>
      <c r="C2134" s="1" t="s">
        <v>35</v>
      </c>
      <c r="D2134" s="2">
        <v>44631.333597997684</v>
      </c>
      <c r="E2134" s="1" t="s">
        <v>8</v>
      </c>
      <c r="F2134" s="1">
        <v>1</v>
      </c>
      <c r="G2134" s="1">
        <v>0</v>
      </c>
      <c r="H2134" s="6">
        <f>INT(Query1[[#This Row],[EntryDateTime]])</f>
        <v>44631</v>
      </c>
      <c r="I2134" s="1">
        <f>IF(Query1[[#This Row],[ItemType]]="EVAP KIT SF GEN IV",Query1[[#This Row],[OrderQty]]+I2133,I2133)</f>
        <v>2528</v>
      </c>
      <c r="J2134" s="1">
        <f>IF(Query1[[#This Row],[ItemType]]="EVAP KIT UNIVERSAL",Query1[[#This Row],[OrderQty]]+J2133,J2133)</f>
        <v>975</v>
      </c>
      <c r="K2134" s="1">
        <f>Query1[[#This Row],[SF Running Total]]+Query1[[#This Row],[UNIV Running Total]]</f>
        <v>3503</v>
      </c>
      <c r="L2134">
        <f>VLOOKUP(Query1[[#This Row],[Description]],'kits to boards'!$B$2:$E$156,2,FALSE)</f>
        <v>830065</v>
      </c>
      <c r="M2134">
        <f>VLOOKUP(Query1[[#This Row],[Description]],'kits to boards'!$B$2:$E$156,3,FALSE)</f>
        <v>0</v>
      </c>
      <c r="N2134">
        <f>VLOOKUP(Query1[[#This Row],[Description]],'kits to boards'!$B$2:$E$156,4,FALSE)</f>
        <v>0</v>
      </c>
      <c r="O2134" t="str">
        <f>CONCATENATE(Query1[[#This Row],[Description]]," - ",Query1[[#This Row],[MB1]]," - ",Query1[[#This Row],[MB2]]," - ",Query1[[#This Row],[MB3]])</f>
        <v>EVAP KIT 57 CHEV WO AC - 830065 - 0 - 0</v>
      </c>
    </row>
    <row r="2135" spans="1:15" x14ac:dyDescent="0.25">
      <c r="A2135" s="1">
        <v>914690</v>
      </c>
      <c r="B2135" s="1" t="s">
        <v>94</v>
      </c>
      <c r="C2135" s="1" t="s">
        <v>95</v>
      </c>
      <c r="D2135" s="2">
        <v>44631.336185185188</v>
      </c>
      <c r="E2135" s="1" t="s">
        <v>8</v>
      </c>
      <c r="F2135" s="1">
        <v>1</v>
      </c>
      <c r="G2135" s="1">
        <v>0</v>
      </c>
      <c r="H2135" s="6">
        <f>INT(Query1[[#This Row],[EntryDateTime]])</f>
        <v>44631</v>
      </c>
      <c r="I2135" s="1">
        <f>IF(Query1[[#This Row],[ItemType]]="EVAP KIT SF GEN IV",Query1[[#This Row],[OrderQty]]+I2134,I2134)</f>
        <v>2529</v>
      </c>
      <c r="J2135" s="1">
        <f>IF(Query1[[#This Row],[ItemType]]="EVAP KIT UNIVERSAL",Query1[[#This Row],[OrderQty]]+J2134,J2134)</f>
        <v>975</v>
      </c>
      <c r="K2135" s="1">
        <f>Query1[[#This Row],[SF Running Total]]+Query1[[#This Row],[UNIV Running Total]]</f>
        <v>3504</v>
      </c>
      <c r="L2135">
        <f>VLOOKUP(Query1[[#This Row],[Description]],'kits to boards'!$B$2:$E$156,2,FALSE)</f>
        <v>830076</v>
      </c>
      <c r="M2135">
        <f>VLOOKUP(Query1[[#This Row],[Description]],'kits to boards'!$B$2:$E$156,3,FALSE)</f>
        <v>0</v>
      </c>
      <c r="N2135">
        <f>VLOOKUP(Query1[[#This Row],[Description]],'kits to boards'!$B$2:$E$156,4,FALSE)</f>
        <v>0</v>
      </c>
      <c r="O2135" t="str">
        <f>CONCATENATE(Query1[[#This Row],[Description]]," - ",Query1[[#This Row],[MB1]]," - ",Query1[[#This Row],[MB2]]," - ",Query1[[#This Row],[MB3]])</f>
        <v>EVAP KIT 64 1/2- 66 MUSTANG  - 830076 - 0 - 0</v>
      </c>
    </row>
    <row r="2136" spans="1:15" x14ac:dyDescent="0.25">
      <c r="A2136" s="1">
        <v>914691</v>
      </c>
      <c r="B2136" s="1" t="s">
        <v>94</v>
      </c>
      <c r="C2136" s="1" t="s">
        <v>95</v>
      </c>
      <c r="D2136" s="2">
        <v>44631.337374224539</v>
      </c>
      <c r="E2136" s="1" t="s">
        <v>8</v>
      </c>
      <c r="F2136" s="1">
        <v>1</v>
      </c>
      <c r="G2136" s="1">
        <v>0</v>
      </c>
      <c r="H2136" s="6">
        <f>INT(Query1[[#This Row],[EntryDateTime]])</f>
        <v>44631</v>
      </c>
      <c r="I2136" s="1">
        <f>IF(Query1[[#This Row],[ItemType]]="EVAP KIT SF GEN IV",Query1[[#This Row],[OrderQty]]+I2135,I2135)</f>
        <v>2530</v>
      </c>
      <c r="J2136" s="1">
        <f>IF(Query1[[#This Row],[ItemType]]="EVAP KIT UNIVERSAL",Query1[[#This Row],[OrderQty]]+J2135,J2135)</f>
        <v>975</v>
      </c>
      <c r="K2136" s="1">
        <f>Query1[[#This Row],[SF Running Total]]+Query1[[#This Row],[UNIV Running Total]]</f>
        <v>3505</v>
      </c>
      <c r="L2136">
        <f>VLOOKUP(Query1[[#This Row],[Description]],'kits to boards'!$B$2:$E$156,2,FALSE)</f>
        <v>830076</v>
      </c>
      <c r="M2136">
        <f>VLOOKUP(Query1[[#This Row],[Description]],'kits to boards'!$B$2:$E$156,3,FALSE)</f>
        <v>0</v>
      </c>
      <c r="N2136">
        <f>VLOOKUP(Query1[[#This Row],[Description]],'kits to boards'!$B$2:$E$156,4,FALSE)</f>
        <v>0</v>
      </c>
      <c r="O2136" t="str">
        <f>CONCATENATE(Query1[[#This Row],[Description]]," - ",Query1[[#This Row],[MB1]]," - ",Query1[[#This Row],[MB2]]," - ",Query1[[#This Row],[MB3]])</f>
        <v>EVAP KIT 64 1/2- 66 MUSTANG  - 830076 - 0 - 0</v>
      </c>
    </row>
    <row r="2137" spans="1:15" x14ac:dyDescent="0.25">
      <c r="A2137" s="1">
        <v>914692</v>
      </c>
      <c r="B2137" s="1" t="s">
        <v>94</v>
      </c>
      <c r="C2137" s="1" t="s">
        <v>95</v>
      </c>
      <c r="D2137" s="2">
        <v>44631.338924687501</v>
      </c>
      <c r="E2137" s="1" t="s">
        <v>8</v>
      </c>
      <c r="F2137" s="1">
        <v>1</v>
      </c>
      <c r="G2137" s="1">
        <v>0</v>
      </c>
      <c r="H2137" s="6">
        <f>INT(Query1[[#This Row],[EntryDateTime]])</f>
        <v>44631</v>
      </c>
      <c r="I2137" s="1">
        <f>IF(Query1[[#This Row],[ItemType]]="EVAP KIT SF GEN IV",Query1[[#This Row],[OrderQty]]+I2136,I2136)</f>
        <v>2531</v>
      </c>
      <c r="J2137" s="1">
        <f>IF(Query1[[#This Row],[ItemType]]="EVAP KIT UNIVERSAL",Query1[[#This Row],[OrderQty]]+J2136,J2136)</f>
        <v>975</v>
      </c>
      <c r="K2137" s="1">
        <f>Query1[[#This Row],[SF Running Total]]+Query1[[#This Row],[UNIV Running Total]]</f>
        <v>3506</v>
      </c>
      <c r="L2137">
        <f>VLOOKUP(Query1[[#This Row],[Description]],'kits to boards'!$B$2:$E$156,2,FALSE)</f>
        <v>830076</v>
      </c>
      <c r="M2137">
        <f>VLOOKUP(Query1[[#This Row],[Description]],'kits to boards'!$B$2:$E$156,3,FALSE)</f>
        <v>0</v>
      </c>
      <c r="N2137">
        <f>VLOOKUP(Query1[[#This Row],[Description]],'kits to boards'!$B$2:$E$156,4,FALSE)</f>
        <v>0</v>
      </c>
      <c r="O2137" t="str">
        <f>CONCATENATE(Query1[[#This Row],[Description]]," - ",Query1[[#This Row],[MB1]]," - ",Query1[[#This Row],[MB2]]," - ",Query1[[#This Row],[MB3]])</f>
        <v>EVAP KIT 64 1/2- 66 MUSTANG  - 830076 - 0 - 0</v>
      </c>
    </row>
    <row r="2138" spans="1:15" x14ac:dyDescent="0.25">
      <c r="A2138" s="1">
        <v>914647</v>
      </c>
      <c r="B2138" s="1" t="s">
        <v>214</v>
      </c>
      <c r="C2138" s="1" t="s">
        <v>215</v>
      </c>
      <c r="D2138" s="2">
        <v>44631.33895096065</v>
      </c>
      <c r="E2138" s="1" t="s">
        <v>8</v>
      </c>
      <c r="F2138" s="1">
        <v>1</v>
      </c>
      <c r="G2138" s="1">
        <v>0</v>
      </c>
      <c r="H2138" s="6">
        <f>INT(Query1[[#This Row],[EntryDateTime]])</f>
        <v>44631</v>
      </c>
      <c r="I2138" s="1">
        <f>IF(Query1[[#This Row],[ItemType]]="EVAP KIT SF GEN IV",Query1[[#This Row],[OrderQty]]+I2137,I2137)</f>
        <v>2532</v>
      </c>
      <c r="J2138" s="1">
        <f>IF(Query1[[#This Row],[ItemType]]="EVAP KIT UNIVERSAL",Query1[[#This Row],[OrderQty]]+J2137,J2137)</f>
        <v>975</v>
      </c>
      <c r="K2138" s="1">
        <f>Query1[[#This Row],[SF Running Total]]+Query1[[#This Row],[UNIV Running Total]]</f>
        <v>3507</v>
      </c>
      <c r="L2138">
        <f>VLOOKUP(Query1[[#This Row],[Description]],'kits to boards'!$B$2:$E$156,2,FALSE)</f>
        <v>830072</v>
      </c>
      <c r="M2138">
        <f>VLOOKUP(Query1[[#This Row],[Description]],'kits to boards'!$B$2:$E$156,3,FALSE)</f>
        <v>0</v>
      </c>
      <c r="N2138">
        <f>VLOOKUP(Query1[[#This Row],[Description]],'kits to boards'!$B$2:$E$156,4,FALSE)</f>
        <v>0</v>
      </c>
      <c r="O2138" t="str">
        <f>CONCATENATE(Query1[[#This Row],[Description]]," - ",Query1[[#This Row],[MB1]]," - ",Query1[[#This Row],[MB2]]," - ",Query1[[#This Row],[MB3]])</f>
        <v>EVAP KIT 68 MOPAR B BODY WO AC - 830072 - 0 - 0</v>
      </c>
    </row>
    <row r="2139" spans="1:15" x14ac:dyDescent="0.25">
      <c r="A2139" s="1">
        <v>914693</v>
      </c>
      <c r="B2139" s="1" t="s">
        <v>14</v>
      </c>
      <c r="C2139" s="1" t="s">
        <v>15</v>
      </c>
      <c r="D2139" s="2">
        <v>44631.340163854169</v>
      </c>
      <c r="E2139" s="1" t="s">
        <v>8</v>
      </c>
      <c r="F2139" s="1">
        <v>1</v>
      </c>
      <c r="G2139" s="1">
        <v>0</v>
      </c>
      <c r="H2139" s="6">
        <f>INT(Query1[[#This Row],[EntryDateTime]])</f>
        <v>44631</v>
      </c>
      <c r="I2139" s="1">
        <f>IF(Query1[[#This Row],[ItemType]]="EVAP KIT SF GEN IV",Query1[[#This Row],[OrderQty]]+I2138,I2138)</f>
        <v>2533</v>
      </c>
      <c r="J2139" s="1">
        <f>IF(Query1[[#This Row],[ItemType]]="EVAP KIT UNIVERSAL",Query1[[#This Row],[OrderQty]]+J2138,J2138)</f>
        <v>975</v>
      </c>
      <c r="K2139" s="1">
        <f>Query1[[#This Row],[SF Running Total]]+Query1[[#This Row],[UNIV Running Total]]</f>
        <v>3508</v>
      </c>
      <c r="L2139">
        <f>VLOOKUP(Query1[[#This Row],[Description]],'kits to boards'!$B$2:$E$156,2,FALSE)</f>
        <v>830054</v>
      </c>
      <c r="M2139">
        <f>VLOOKUP(Query1[[#This Row],[Description]],'kits to boards'!$B$2:$E$156,3,FALSE)</f>
        <v>0</v>
      </c>
      <c r="N2139">
        <f>VLOOKUP(Query1[[#This Row],[Description]],'kits to boards'!$B$2:$E$156,4,FALSE)</f>
        <v>0</v>
      </c>
      <c r="O2139" t="str">
        <f>CONCATENATE(Query1[[#This Row],[Description]]," - ",Query1[[#This Row],[MB1]]," - ",Query1[[#This Row],[MB2]]," - ",Query1[[#This Row],[MB3]])</f>
        <v>EVAP KIT 55-56 CHEVY - 830054 - 0 - 0</v>
      </c>
    </row>
    <row r="2140" spans="1:15" x14ac:dyDescent="0.25">
      <c r="A2140" s="1">
        <v>914694</v>
      </c>
      <c r="B2140" s="1" t="s">
        <v>14</v>
      </c>
      <c r="C2140" s="1" t="s">
        <v>15</v>
      </c>
      <c r="D2140" s="2">
        <v>44631.341232094906</v>
      </c>
      <c r="E2140" s="1" t="s">
        <v>8</v>
      </c>
      <c r="F2140" s="1">
        <v>1</v>
      </c>
      <c r="G2140" s="1">
        <v>0</v>
      </c>
      <c r="H2140" s="6">
        <f>INT(Query1[[#This Row],[EntryDateTime]])</f>
        <v>44631</v>
      </c>
      <c r="I2140" s="1">
        <f>IF(Query1[[#This Row],[ItemType]]="EVAP KIT SF GEN IV",Query1[[#This Row],[OrderQty]]+I2139,I2139)</f>
        <v>2534</v>
      </c>
      <c r="J2140" s="1">
        <f>IF(Query1[[#This Row],[ItemType]]="EVAP KIT UNIVERSAL",Query1[[#This Row],[OrderQty]]+J2139,J2139)</f>
        <v>975</v>
      </c>
      <c r="K2140" s="1">
        <f>Query1[[#This Row],[SF Running Total]]+Query1[[#This Row],[UNIV Running Total]]</f>
        <v>3509</v>
      </c>
      <c r="L2140">
        <f>VLOOKUP(Query1[[#This Row],[Description]],'kits to boards'!$B$2:$E$156,2,FALSE)</f>
        <v>830054</v>
      </c>
      <c r="M2140">
        <f>VLOOKUP(Query1[[#This Row],[Description]],'kits to boards'!$B$2:$E$156,3,FALSE)</f>
        <v>0</v>
      </c>
      <c r="N2140">
        <f>VLOOKUP(Query1[[#This Row],[Description]],'kits to boards'!$B$2:$E$156,4,FALSE)</f>
        <v>0</v>
      </c>
      <c r="O2140" t="str">
        <f>CONCATENATE(Query1[[#This Row],[Description]]," - ",Query1[[#This Row],[MB1]]," - ",Query1[[#This Row],[MB2]]," - ",Query1[[#This Row],[MB3]])</f>
        <v>EVAP KIT 55-56 CHEVY - 830054 - 0 - 0</v>
      </c>
    </row>
    <row r="2141" spans="1:15" x14ac:dyDescent="0.25">
      <c r="A2141" s="1">
        <v>914700</v>
      </c>
      <c r="B2141" s="1" t="s">
        <v>240</v>
      </c>
      <c r="C2141" s="1" t="s">
        <v>241</v>
      </c>
      <c r="D2141" s="2">
        <v>44631.357368206016</v>
      </c>
      <c r="E2141" s="1" t="s">
        <v>8</v>
      </c>
      <c r="F2141" s="1">
        <v>1</v>
      </c>
      <c r="G2141" s="1">
        <v>0</v>
      </c>
      <c r="H2141" s="6">
        <f>INT(Query1[[#This Row],[EntryDateTime]])</f>
        <v>44631</v>
      </c>
      <c r="I2141" s="1">
        <f>IF(Query1[[#This Row],[ItemType]]="EVAP KIT SF GEN IV",Query1[[#This Row],[OrderQty]]+I2140,I2140)</f>
        <v>2535</v>
      </c>
      <c r="J2141" s="1">
        <f>IF(Query1[[#This Row],[ItemType]]="EVAP KIT UNIVERSAL",Query1[[#This Row],[OrderQty]]+J2140,J2140)</f>
        <v>975</v>
      </c>
      <c r="K2141" s="1">
        <f>Query1[[#This Row],[SF Running Total]]+Query1[[#This Row],[UNIV Running Total]]</f>
        <v>3510</v>
      </c>
      <c r="L2141">
        <f>VLOOKUP(Query1[[#This Row],[Description]],'kits to boards'!$B$2:$E$156,2,FALSE)</f>
        <v>830032</v>
      </c>
      <c r="M2141">
        <f>VLOOKUP(Query1[[#This Row],[Description]],'kits to boards'!$B$2:$E$156,3,FALSE)</f>
        <v>0</v>
      </c>
      <c r="N2141">
        <f>VLOOKUP(Query1[[#This Row],[Description]],'kits to boards'!$B$2:$E$156,4,FALSE)</f>
        <v>0</v>
      </c>
      <c r="O2141" t="str">
        <f>CONCATENATE(Query1[[#This Row],[Description]]," - ",Query1[[#This Row],[MB1]]," - ",Query1[[#This Row],[MB2]]," - ",Query1[[#This Row],[MB3]])</f>
        <v>EVAP KIT 58-60 VETTE - 830032 - 0 - 0</v>
      </c>
    </row>
    <row r="2142" spans="1:15" x14ac:dyDescent="0.25">
      <c r="A2142" s="1">
        <v>914714</v>
      </c>
      <c r="B2142" s="1" t="s">
        <v>170</v>
      </c>
      <c r="C2142" s="1" t="s">
        <v>171</v>
      </c>
      <c r="D2142" s="2">
        <v>44631.406378206018</v>
      </c>
      <c r="E2142" s="1" t="s">
        <v>8</v>
      </c>
      <c r="F2142" s="1">
        <v>1</v>
      </c>
      <c r="G2142" s="1">
        <v>0</v>
      </c>
      <c r="H2142" s="6">
        <f>INT(Query1[[#This Row],[EntryDateTime]])</f>
        <v>44631</v>
      </c>
      <c r="I2142" s="1">
        <f>IF(Query1[[#This Row],[ItemType]]="EVAP KIT SF GEN IV",Query1[[#This Row],[OrderQty]]+I2141,I2141)</f>
        <v>2536</v>
      </c>
      <c r="J2142" s="1">
        <f>IF(Query1[[#This Row],[ItemType]]="EVAP KIT UNIVERSAL",Query1[[#This Row],[OrderQty]]+J2141,J2141)</f>
        <v>975</v>
      </c>
      <c r="K2142" s="1">
        <f>Query1[[#This Row],[SF Running Total]]+Query1[[#This Row],[UNIV Running Total]]</f>
        <v>3511</v>
      </c>
      <c r="L2142">
        <f>VLOOKUP(Query1[[#This Row],[Description]],'kits to boards'!$B$2:$E$156,2,FALSE)</f>
        <v>830018</v>
      </c>
      <c r="M2142">
        <f>VLOOKUP(Query1[[#This Row],[Description]],'kits to boards'!$B$2:$E$156,3,FALSE)</f>
        <v>0</v>
      </c>
      <c r="N2142">
        <f>VLOOKUP(Query1[[#This Row],[Description]],'kits to boards'!$B$2:$E$156,4,FALSE)</f>
        <v>0</v>
      </c>
      <c r="O2142" t="str">
        <f>CONCATENATE(Query1[[#This Row],[Description]]," - ",Query1[[#This Row],[MB1]]," - ",Query1[[#This Row],[MB2]]," - ",Query1[[#This Row],[MB3]])</f>
        <v>EVAP KIT 67 FORD P-UP F-100 - 830018 - 0 - 0</v>
      </c>
    </row>
    <row r="2143" spans="1:15" x14ac:dyDescent="0.25">
      <c r="A2143" s="1">
        <v>910076</v>
      </c>
      <c r="B2143" s="1" t="s">
        <v>110</v>
      </c>
      <c r="C2143" s="1" t="s">
        <v>111</v>
      </c>
      <c r="D2143" s="2">
        <v>44631.416174652775</v>
      </c>
      <c r="E2143" s="1" t="s">
        <v>8</v>
      </c>
      <c r="F2143" s="1">
        <v>1</v>
      </c>
      <c r="G2143" s="1">
        <v>0</v>
      </c>
      <c r="H2143" s="6">
        <f>INT(Query1[[#This Row],[EntryDateTime]])</f>
        <v>44631</v>
      </c>
      <c r="I2143" s="1">
        <f>IF(Query1[[#This Row],[ItemType]]="EVAP KIT SF GEN IV",Query1[[#This Row],[OrderQty]]+I2142,I2142)</f>
        <v>2537</v>
      </c>
      <c r="J2143" s="1">
        <f>IF(Query1[[#This Row],[ItemType]]="EVAP KIT UNIVERSAL",Query1[[#This Row],[OrderQty]]+J2142,J2142)</f>
        <v>975</v>
      </c>
      <c r="K2143" s="1">
        <f>Query1[[#This Row],[SF Running Total]]+Query1[[#This Row],[UNIV Running Total]]</f>
        <v>3512</v>
      </c>
      <c r="L2143">
        <f>VLOOKUP(Query1[[#This Row],[Description]],'kits to boards'!$B$2:$E$156,2,FALSE)</f>
        <v>830053</v>
      </c>
      <c r="M2143">
        <f>VLOOKUP(Query1[[#This Row],[Description]],'kits to boards'!$B$2:$E$156,3,FALSE)</f>
        <v>0</v>
      </c>
      <c r="N2143">
        <f>VLOOKUP(Query1[[#This Row],[Description]],'kits to boards'!$B$2:$E$156,4,FALSE)</f>
        <v>0</v>
      </c>
      <c r="O2143" t="str">
        <f>CONCATENATE(Query1[[#This Row],[Description]]," - ",Query1[[#This Row],[MB1]]," - ",Query1[[#This Row],[MB2]]," - ",Query1[[#This Row],[MB3]])</f>
        <v>EVAP KIT 65-66 FORD F-100 - 830053 - 0 - 0</v>
      </c>
    </row>
    <row r="2144" spans="1:15" x14ac:dyDescent="0.25">
      <c r="A2144" s="1">
        <v>914721</v>
      </c>
      <c r="B2144" s="1" t="s">
        <v>166</v>
      </c>
      <c r="C2144" s="1" t="s">
        <v>167</v>
      </c>
      <c r="D2144" s="2">
        <v>44631.418436145832</v>
      </c>
      <c r="E2144" s="1" t="s">
        <v>8</v>
      </c>
      <c r="F2144" s="1">
        <v>1</v>
      </c>
      <c r="G2144" s="1">
        <v>0</v>
      </c>
      <c r="H2144" s="6">
        <f>INT(Query1[[#This Row],[EntryDateTime]])</f>
        <v>44631</v>
      </c>
      <c r="I2144" s="1">
        <f>IF(Query1[[#This Row],[ItemType]]="EVAP KIT SF GEN IV",Query1[[#This Row],[OrderQty]]+I2143,I2143)</f>
        <v>2538</v>
      </c>
      <c r="J2144" s="1">
        <f>IF(Query1[[#This Row],[ItemType]]="EVAP KIT UNIVERSAL",Query1[[#This Row],[OrderQty]]+J2143,J2143)</f>
        <v>975</v>
      </c>
      <c r="K2144" s="1">
        <f>Query1[[#This Row],[SF Running Total]]+Query1[[#This Row],[UNIV Running Total]]</f>
        <v>3513</v>
      </c>
      <c r="L2144">
        <f>VLOOKUP(Query1[[#This Row],[Description]],'kits to boards'!$B$2:$E$156,2,FALSE)</f>
        <v>830063</v>
      </c>
      <c r="M2144">
        <f>VLOOKUP(Query1[[#This Row],[Description]],'kits to boards'!$B$2:$E$156,3,FALSE)</f>
        <v>0</v>
      </c>
      <c r="N2144">
        <f>VLOOKUP(Query1[[#This Row],[Description]],'kits to boards'!$B$2:$E$156,4,FALSE)</f>
        <v>0</v>
      </c>
      <c r="O2144" t="str">
        <f>CONCATENATE(Query1[[#This Row],[Description]]," - ",Query1[[#This Row],[MB1]]," - ",Query1[[#This Row],[MB2]]," - ",Query1[[#This Row],[MB3]])</f>
        <v>EVAP KIT 47-49 CHEV P-UP GEN IV - 830063 - 0 - 0</v>
      </c>
    </row>
    <row r="2145" spans="1:15" x14ac:dyDescent="0.25">
      <c r="A2145" s="1">
        <v>914675</v>
      </c>
      <c r="B2145" s="1" t="s">
        <v>52</v>
      </c>
      <c r="C2145" s="1" t="s">
        <v>53</v>
      </c>
      <c r="D2145" s="2">
        <v>44631.419663692126</v>
      </c>
      <c r="E2145" s="1" t="s">
        <v>8</v>
      </c>
      <c r="F2145" s="1">
        <v>1</v>
      </c>
      <c r="G2145" s="1">
        <v>0</v>
      </c>
      <c r="H2145" s="6">
        <f>INT(Query1[[#This Row],[EntryDateTime]])</f>
        <v>44631</v>
      </c>
      <c r="I2145" s="1">
        <f>IF(Query1[[#This Row],[ItemType]]="EVAP KIT SF GEN IV",Query1[[#This Row],[OrderQty]]+I2144,I2144)</f>
        <v>2539</v>
      </c>
      <c r="J2145" s="1">
        <f>IF(Query1[[#This Row],[ItemType]]="EVAP KIT UNIVERSAL",Query1[[#This Row],[OrderQty]]+J2144,J2144)</f>
        <v>975</v>
      </c>
      <c r="K2145" s="1">
        <f>Query1[[#This Row],[SF Running Total]]+Query1[[#This Row],[UNIV Running Total]]</f>
        <v>3514</v>
      </c>
      <c r="L2145">
        <f>VLOOKUP(Query1[[#This Row],[Description]],'kits to boards'!$B$2:$E$156,2,FALSE)</f>
        <v>830017</v>
      </c>
      <c r="M2145">
        <f>VLOOKUP(Query1[[#This Row],[Description]],'kits to boards'!$B$2:$E$156,3,FALSE)</f>
        <v>830119</v>
      </c>
      <c r="N2145">
        <f>VLOOKUP(Query1[[#This Row],[Description]],'kits to boards'!$B$2:$E$156,4,FALSE)</f>
        <v>830120</v>
      </c>
      <c r="O2145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2146" spans="1:15" x14ac:dyDescent="0.25">
      <c r="A2146" s="1">
        <v>914722</v>
      </c>
      <c r="B2146" s="1" t="s">
        <v>28</v>
      </c>
      <c r="C2146" s="1" t="s">
        <v>29</v>
      </c>
      <c r="D2146" s="2">
        <v>44631.42002056713</v>
      </c>
      <c r="E2146" s="1" t="s">
        <v>8</v>
      </c>
      <c r="F2146" s="1">
        <v>1</v>
      </c>
      <c r="G2146" s="1">
        <v>0</v>
      </c>
      <c r="H2146" s="6">
        <f>INT(Query1[[#This Row],[EntryDateTime]])</f>
        <v>44631</v>
      </c>
      <c r="I2146" s="1">
        <f>IF(Query1[[#This Row],[ItemType]]="EVAP KIT SF GEN IV",Query1[[#This Row],[OrderQty]]+I2145,I2145)</f>
        <v>2540</v>
      </c>
      <c r="J2146" s="1">
        <f>IF(Query1[[#This Row],[ItemType]]="EVAP KIT UNIVERSAL",Query1[[#This Row],[OrderQty]]+J2145,J2145)</f>
        <v>975</v>
      </c>
      <c r="K2146" s="1">
        <f>Query1[[#This Row],[SF Running Total]]+Query1[[#This Row],[UNIV Running Total]]</f>
        <v>3515</v>
      </c>
      <c r="L2146">
        <f>VLOOKUP(Query1[[#This Row],[Description]],'kits to boards'!$B$2:$E$156,2,FALSE)</f>
        <v>830001</v>
      </c>
      <c r="M2146">
        <f>VLOOKUP(Query1[[#This Row],[Description]],'kits to boards'!$B$2:$E$156,3,FALSE)</f>
        <v>0</v>
      </c>
      <c r="N2146">
        <f>VLOOKUP(Query1[[#This Row],[Description]],'kits to boards'!$B$2:$E$156,4,FALSE)</f>
        <v>0</v>
      </c>
      <c r="O2146" t="str">
        <f>CONCATENATE(Query1[[#This Row],[Description]]," - ",Query1[[#This Row],[MB1]]," - ",Query1[[#This Row],[MB2]]," - ",Query1[[#This Row],[MB3]])</f>
        <v>EVAP KIT 73-80 CHEV P-UP W/AC - 830001 - 0 - 0</v>
      </c>
    </row>
    <row r="2147" spans="1:15" x14ac:dyDescent="0.25">
      <c r="A2147" s="1">
        <v>914724</v>
      </c>
      <c r="B2147" s="1" t="s">
        <v>56</v>
      </c>
      <c r="C2147" s="1" t="s">
        <v>57</v>
      </c>
      <c r="D2147" s="2">
        <v>44631.429223067127</v>
      </c>
      <c r="E2147" s="1" t="s">
        <v>8</v>
      </c>
      <c r="F2147" s="1">
        <v>1</v>
      </c>
      <c r="G2147" s="1">
        <v>0</v>
      </c>
      <c r="H2147" s="6">
        <f>INT(Query1[[#This Row],[EntryDateTime]])</f>
        <v>44631</v>
      </c>
      <c r="I2147" s="1">
        <f>IF(Query1[[#This Row],[ItemType]]="EVAP KIT SF GEN IV",Query1[[#This Row],[OrderQty]]+I2146,I2146)</f>
        <v>2541</v>
      </c>
      <c r="J2147" s="1">
        <f>IF(Query1[[#This Row],[ItemType]]="EVAP KIT UNIVERSAL",Query1[[#This Row],[OrderQty]]+J2146,J2146)</f>
        <v>975</v>
      </c>
      <c r="K2147" s="1">
        <f>Query1[[#This Row],[SF Running Total]]+Query1[[#This Row],[UNIV Running Total]]</f>
        <v>3516</v>
      </c>
      <c r="L2147">
        <f>VLOOKUP(Query1[[#This Row],[Description]],'kits to boards'!$B$2:$E$156,2,FALSE)</f>
        <v>830011</v>
      </c>
      <c r="M2147">
        <f>VLOOKUP(Query1[[#This Row],[Description]],'kits to boards'!$B$2:$E$156,3,FALSE)</f>
        <v>0</v>
      </c>
      <c r="N2147">
        <f>VLOOKUP(Query1[[#This Row],[Description]],'kits to boards'!$B$2:$E$156,4,FALSE)</f>
        <v>0</v>
      </c>
      <c r="O2147" t="str">
        <f>CONCATENATE(Query1[[#This Row],[Description]]," - ",Query1[[#This Row],[MB1]]," - ",Query1[[#This Row],[MB2]]," - ",Query1[[#This Row],[MB3]])</f>
        <v>EVAP KIT 70-72 CHEVELLE W/AC - 830011 - 0 - 0</v>
      </c>
    </row>
    <row r="2148" spans="1:15" x14ac:dyDescent="0.25">
      <c r="A2148" s="1">
        <v>914726</v>
      </c>
      <c r="B2148" s="1" t="s">
        <v>176</v>
      </c>
      <c r="C2148" s="1" t="s">
        <v>177</v>
      </c>
      <c r="D2148" s="2">
        <v>44631.432266435186</v>
      </c>
      <c r="E2148" s="1" t="s">
        <v>8</v>
      </c>
      <c r="F2148" s="1">
        <v>1</v>
      </c>
      <c r="G2148" s="1">
        <v>0</v>
      </c>
      <c r="H2148" s="6">
        <f>INT(Query1[[#This Row],[EntryDateTime]])</f>
        <v>44631</v>
      </c>
      <c r="I2148" s="1">
        <f>IF(Query1[[#This Row],[ItemType]]="EVAP KIT SF GEN IV",Query1[[#This Row],[OrderQty]]+I2147,I2147)</f>
        <v>2542</v>
      </c>
      <c r="J2148" s="1">
        <f>IF(Query1[[#This Row],[ItemType]]="EVAP KIT UNIVERSAL",Query1[[#This Row],[OrderQty]]+J2147,J2147)</f>
        <v>975</v>
      </c>
      <c r="K2148" s="1">
        <f>Query1[[#This Row],[SF Running Total]]+Query1[[#This Row],[UNIV Running Total]]</f>
        <v>3517</v>
      </c>
      <c r="L2148">
        <f>VLOOKUP(Query1[[#This Row],[Description]],'kits to boards'!$B$2:$E$156,2,FALSE)</f>
        <v>830125</v>
      </c>
      <c r="M2148">
        <f>VLOOKUP(Query1[[#This Row],[Description]],'kits to boards'!$B$2:$E$156,3,FALSE)</f>
        <v>0</v>
      </c>
      <c r="N2148">
        <f>VLOOKUP(Query1[[#This Row],[Description]],'kits to boards'!$B$2:$E$156,4,FALSE)</f>
        <v>0</v>
      </c>
      <c r="O2148" t="str">
        <f>CONCATENATE(Query1[[#This Row],[Description]]," - ",Query1[[#This Row],[MB1]]," - ",Query1[[#This Row],[MB2]]," - ",Query1[[#This Row],[MB3]])</f>
        <v>EVAP KIT 65-66 IMPALA W/AC - 830125 - 0 - 0</v>
      </c>
    </row>
    <row r="2149" spans="1:15" x14ac:dyDescent="0.25">
      <c r="A2149" s="1">
        <v>914727</v>
      </c>
      <c r="B2149" s="1" t="s">
        <v>46</v>
      </c>
      <c r="C2149" s="1" t="s">
        <v>47</v>
      </c>
      <c r="D2149" s="2">
        <v>44631.433626701386</v>
      </c>
      <c r="E2149" s="1" t="s">
        <v>8</v>
      </c>
      <c r="F2149" s="1">
        <v>1</v>
      </c>
      <c r="G2149" s="1">
        <v>0</v>
      </c>
      <c r="H2149" s="6">
        <f>INT(Query1[[#This Row],[EntryDateTime]])</f>
        <v>44631</v>
      </c>
      <c r="I2149" s="1">
        <f>IF(Query1[[#This Row],[ItemType]]="EVAP KIT SF GEN IV",Query1[[#This Row],[OrderQty]]+I2148,I2148)</f>
        <v>2543</v>
      </c>
      <c r="J2149" s="1">
        <f>IF(Query1[[#This Row],[ItemType]]="EVAP KIT UNIVERSAL",Query1[[#This Row],[OrderQty]]+J2148,J2148)</f>
        <v>975</v>
      </c>
      <c r="K2149" s="1">
        <f>Query1[[#This Row],[SF Running Total]]+Query1[[#This Row],[UNIV Running Total]]</f>
        <v>3518</v>
      </c>
      <c r="L2149">
        <f>VLOOKUP(Query1[[#This Row],[Description]],'kits to boards'!$B$2:$E$156,2,FALSE)</f>
        <v>830018</v>
      </c>
      <c r="M2149">
        <f>VLOOKUP(Query1[[#This Row],[Description]],'kits to boards'!$B$2:$E$156,3,FALSE)</f>
        <v>0</v>
      </c>
      <c r="N2149">
        <f>VLOOKUP(Query1[[#This Row],[Description]],'kits to boards'!$B$2:$E$156,4,FALSE)</f>
        <v>0</v>
      </c>
      <c r="O2149" t="str">
        <f>CONCATENATE(Query1[[#This Row],[Description]]," - ",Query1[[#This Row],[MB1]]," - ",Query1[[#This Row],[MB2]]," - ",Query1[[#This Row],[MB3]])</f>
        <v>EVAP KIT 68-72 FORD P-UP F-100 - 830018 - 0 - 0</v>
      </c>
    </row>
    <row r="2150" spans="1:15" x14ac:dyDescent="0.25">
      <c r="A2150" s="1">
        <v>914728</v>
      </c>
      <c r="B2150" s="1" t="s">
        <v>42</v>
      </c>
      <c r="C2150" s="1" t="s">
        <v>43</v>
      </c>
      <c r="D2150" s="2">
        <v>44631.436078356484</v>
      </c>
      <c r="E2150" s="1" t="s">
        <v>8</v>
      </c>
      <c r="F2150" s="1">
        <v>1</v>
      </c>
      <c r="G2150" s="1">
        <v>0</v>
      </c>
      <c r="H2150" s="6">
        <f>INT(Query1[[#This Row],[EntryDateTime]])</f>
        <v>44631</v>
      </c>
      <c r="I2150" s="1">
        <f>IF(Query1[[#This Row],[ItemType]]="EVAP KIT SF GEN IV",Query1[[#This Row],[OrderQty]]+I2149,I2149)</f>
        <v>2544</v>
      </c>
      <c r="J2150" s="1">
        <f>IF(Query1[[#This Row],[ItemType]]="EVAP KIT UNIVERSAL",Query1[[#This Row],[OrderQty]]+J2149,J2149)</f>
        <v>975</v>
      </c>
      <c r="K2150" s="1">
        <f>Query1[[#This Row],[SF Running Total]]+Query1[[#This Row],[UNIV Running Total]]</f>
        <v>3519</v>
      </c>
      <c r="L2150">
        <f>VLOOKUP(Query1[[#This Row],[Description]],'kits to boards'!$B$2:$E$156,2,FALSE)</f>
        <v>830014</v>
      </c>
      <c r="M2150">
        <f>VLOOKUP(Query1[[#This Row],[Description]],'kits to boards'!$B$2:$E$156,3,FALSE)</f>
        <v>0</v>
      </c>
      <c r="N2150">
        <f>VLOOKUP(Query1[[#This Row],[Description]],'kits to boards'!$B$2:$E$156,4,FALSE)</f>
        <v>0</v>
      </c>
      <c r="O2150" t="str">
        <f>CONCATENATE(Query1[[#This Row],[Description]]," - ",Query1[[#This Row],[MB1]]," - ",Query1[[#This Row],[MB2]]," - ",Query1[[#This Row],[MB3]])</f>
        <v>EVAP KIT 67-72 CHEV P-UP WO AC - 830014 - 0 - 0</v>
      </c>
    </row>
    <row r="2151" spans="1:15" x14ac:dyDescent="0.25">
      <c r="A2151" s="1">
        <v>914730</v>
      </c>
      <c r="B2151" s="1" t="s">
        <v>294</v>
      </c>
      <c r="C2151" s="1" t="s">
        <v>295</v>
      </c>
      <c r="D2151" s="2">
        <v>44631.444800266203</v>
      </c>
      <c r="E2151" s="1" t="s">
        <v>8</v>
      </c>
      <c r="F2151" s="1">
        <v>1</v>
      </c>
      <c r="G2151" s="1">
        <v>0</v>
      </c>
      <c r="H2151" s="6">
        <f>INT(Query1[[#This Row],[EntryDateTime]])</f>
        <v>44631</v>
      </c>
      <c r="I2151" s="1">
        <f>IF(Query1[[#This Row],[ItemType]]="EVAP KIT SF GEN IV",Query1[[#This Row],[OrderQty]]+I2150,I2150)</f>
        <v>2545</v>
      </c>
      <c r="J2151" s="1">
        <f>IF(Query1[[#This Row],[ItemType]]="EVAP KIT UNIVERSAL",Query1[[#This Row],[OrderQty]]+J2150,J2150)</f>
        <v>975</v>
      </c>
      <c r="K2151" s="1">
        <f>Query1[[#This Row],[SF Running Total]]+Query1[[#This Row],[UNIV Running Total]]</f>
        <v>3520</v>
      </c>
      <c r="L2151">
        <f>VLOOKUP(Query1[[#This Row],[Description]],'kits to boards'!$B$2:$E$156,2,FALSE)</f>
        <v>830006</v>
      </c>
      <c r="M2151">
        <f>VLOOKUP(Query1[[#This Row],[Description]],'kits to boards'!$B$2:$E$156,3,FALSE)</f>
        <v>0</v>
      </c>
      <c r="N2151">
        <f>VLOOKUP(Query1[[#This Row],[Description]],'kits to boards'!$B$2:$E$156,4,FALSE)</f>
        <v>0</v>
      </c>
      <c r="O2151" t="str">
        <f>CONCATENATE(Query1[[#This Row],[Description]]," - ",Query1[[#This Row],[MB1]]," - ",Query1[[#This Row],[MB2]]," - ",Query1[[#This Row],[MB3]])</f>
        <v>EVAP KIT 61-62 IMPALA W/AC - 830006 - 0 - 0</v>
      </c>
    </row>
    <row r="2152" spans="1:15" x14ac:dyDescent="0.25">
      <c r="A2152" s="1">
        <v>914734</v>
      </c>
      <c r="B2152" s="1" t="s">
        <v>198</v>
      </c>
      <c r="C2152" s="1" t="s">
        <v>199</v>
      </c>
      <c r="D2152" s="2">
        <v>44631.452046180559</v>
      </c>
      <c r="E2152" s="1" t="s">
        <v>8</v>
      </c>
      <c r="F2152" s="1">
        <v>1</v>
      </c>
      <c r="G2152" s="1">
        <v>0</v>
      </c>
      <c r="H2152" s="6">
        <f>INT(Query1[[#This Row],[EntryDateTime]])</f>
        <v>44631</v>
      </c>
      <c r="I2152" s="1">
        <f>IF(Query1[[#This Row],[ItemType]]="EVAP KIT SF GEN IV",Query1[[#This Row],[OrderQty]]+I2151,I2151)</f>
        <v>2546</v>
      </c>
      <c r="J2152" s="1">
        <f>IF(Query1[[#This Row],[ItemType]]="EVAP KIT UNIVERSAL",Query1[[#This Row],[OrderQty]]+J2151,J2151)</f>
        <v>975</v>
      </c>
      <c r="K2152" s="1">
        <f>Query1[[#This Row],[SF Running Total]]+Query1[[#This Row],[UNIV Running Total]]</f>
        <v>3521</v>
      </c>
      <c r="L2152">
        <f>VLOOKUP(Query1[[#This Row],[Description]],'kits to boards'!$B$2:$E$156,2,FALSE)</f>
        <v>830042</v>
      </c>
      <c r="M2152">
        <f>VLOOKUP(Query1[[#This Row],[Description]],'kits to boards'!$B$2:$E$156,3,FALSE)</f>
        <v>0</v>
      </c>
      <c r="N2152">
        <f>VLOOKUP(Query1[[#This Row],[Description]],'kits to boards'!$B$2:$E$156,4,FALSE)</f>
        <v>0</v>
      </c>
      <c r="O2152" t="str">
        <f>CONCATENATE(Query1[[#This Row],[Description]]," - ",Query1[[#This Row],[MB1]]," - ",Query1[[#This Row],[MB2]]," - ",Query1[[#This Row],[MB3]])</f>
        <v>EVAP KIT 68-83 TOYOTA FJ40 ULTRA HIGH PERF - 830042 - 0 - 0</v>
      </c>
    </row>
    <row r="2153" spans="1:15" x14ac:dyDescent="0.25">
      <c r="A2153" s="1">
        <v>914735</v>
      </c>
      <c r="B2153" s="1" t="s">
        <v>152</v>
      </c>
      <c r="C2153" s="1" t="s">
        <v>153</v>
      </c>
      <c r="D2153" s="2">
        <v>44631.454499618056</v>
      </c>
      <c r="E2153" s="1" t="s">
        <v>8</v>
      </c>
      <c r="F2153" s="1">
        <v>1</v>
      </c>
      <c r="G2153" s="1">
        <v>0</v>
      </c>
      <c r="H2153" s="6">
        <f>INT(Query1[[#This Row],[EntryDateTime]])</f>
        <v>44631</v>
      </c>
      <c r="I2153" s="1">
        <f>IF(Query1[[#This Row],[ItemType]]="EVAP KIT SF GEN IV",Query1[[#This Row],[OrderQty]]+I2152,I2152)</f>
        <v>2547</v>
      </c>
      <c r="J2153" s="1">
        <f>IF(Query1[[#This Row],[ItemType]]="EVAP KIT UNIVERSAL",Query1[[#This Row],[OrderQty]]+J2152,J2152)</f>
        <v>975</v>
      </c>
      <c r="K2153" s="1">
        <f>Query1[[#This Row],[SF Running Total]]+Query1[[#This Row],[UNIV Running Total]]</f>
        <v>3522</v>
      </c>
      <c r="L2153">
        <f>VLOOKUP(Query1[[#This Row],[Description]],'kits to boards'!$B$2:$E$156,2,FALSE)</f>
        <v>830034</v>
      </c>
      <c r="M2153">
        <f>VLOOKUP(Query1[[#This Row],[Description]],'kits to boards'!$B$2:$E$156,3,FALSE)</f>
        <v>0</v>
      </c>
      <c r="N2153">
        <f>VLOOKUP(Query1[[#This Row],[Description]],'kits to boards'!$B$2:$E$156,4,FALSE)</f>
        <v>0</v>
      </c>
      <c r="O2153" t="str">
        <f>CONCATENATE(Query1[[#This Row],[Description]]," - ",Query1[[#This Row],[MB1]]," - ",Query1[[#This Row],[MB2]]," - ",Query1[[#This Row],[MB3]])</f>
        <v>EVAP KIT 64-67 GTO WO AC - 830034 - 0 - 0</v>
      </c>
    </row>
    <row r="2154" spans="1:15" x14ac:dyDescent="0.25">
      <c r="A2154" s="1">
        <v>914737</v>
      </c>
      <c r="B2154" s="1" t="s">
        <v>176</v>
      </c>
      <c r="C2154" s="1" t="s">
        <v>177</v>
      </c>
      <c r="D2154" s="2">
        <v>44631.458233877318</v>
      </c>
      <c r="E2154" s="1" t="s">
        <v>8</v>
      </c>
      <c r="F2154" s="1">
        <v>1</v>
      </c>
      <c r="G2154" s="1">
        <v>0</v>
      </c>
      <c r="H2154" s="6">
        <f>INT(Query1[[#This Row],[EntryDateTime]])</f>
        <v>44631</v>
      </c>
      <c r="I2154" s="1">
        <f>IF(Query1[[#This Row],[ItemType]]="EVAP KIT SF GEN IV",Query1[[#This Row],[OrderQty]]+I2153,I2153)</f>
        <v>2548</v>
      </c>
      <c r="J2154" s="1">
        <f>IF(Query1[[#This Row],[ItemType]]="EVAP KIT UNIVERSAL",Query1[[#This Row],[OrderQty]]+J2153,J2153)</f>
        <v>975</v>
      </c>
      <c r="K2154" s="1">
        <f>Query1[[#This Row],[SF Running Total]]+Query1[[#This Row],[UNIV Running Total]]</f>
        <v>3523</v>
      </c>
      <c r="L2154">
        <f>VLOOKUP(Query1[[#This Row],[Description]],'kits to boards'!$B$2:$E$156,2,FALSE)</f>
        <v>830125</v>
      </c>
      <c r="M2154">
        <f>VLOOKUP(Query1[[#This Row],[Description]],'kits to boards'!$B$2:$E$156,3,FALSE)</f>
        <v>0</v>
      </c>
      <c r="N2154">
        <f>VLOOKUP(Query1[[#This Row],[Description]],'kits to boards'!$B$2:$E$156,4,FALSE)</f>
        <v>0</v>
      </c>
      <c r="O2154" t="str">
        <f>CONCATENATE(Query1[[#This Row],[Description]]," - ",Query1[[#This Row],[MB1]]," - ",Query1[[#This Row],[MB2]]," - ",Query1[[#This Row],[MB3]])</f>
        <v>EVAP KIT 65-66 IMPALA W/AC - 830125 - 0 - 0</v>
      </c>
    </row>
    <row r="2155" spans="1:15" x14ac:dyDescent="0.25">
      <c r="A2155" s="1">
        <v>914741</v>
      </c>
      <c r="B2155" s="1" t="s">
        <v>279</v>
      </c>
      <c r="C2155" s="1" t="s">
        <v>280</v>
      </c>
      <c r="D2155" s="2">
        <v>44631.467791898147</v>
      </c>
      <c r="E2155" s="1" t="s">
        <v>8</v>
      </c>
      <c r="F2155" s="1">
        <v>1</v>
      </c>
      <c r="G2155" s="1">
        <v>0</v>
      </c>
      <c r="H2155" s="6">
        <f>INT(Query1[[#This Row],[EntryDateTime]])</f>
        <v>44631</v>
      </c>
      <c r="I2155" s="1">
        <f>IF(Query1[[#This Row],[ItemType]]="EVAP KIT SF GEN IV",Query1[[#This Row],[OrderQty]]+I2154,I2154)</f>
        <v>2549</v>
      </c>
      <c r="J2155" s="1">
        <f>IF(Query1[[#This Row],[ItemType]]="EVAP KIT UNIVERSAL",Query1[[#This Row],[OrderQty]]+J2154,J2154)</f>
        <v>975</v>
      </c>
      <c r="K2155" s="1">
        <f>Query1[[#This Row],[SF Running Total]]+Query1[[#This Row],[UNIV Running Total]]</f>
        <v>3524</v>
      </c>
      <c r="L2155">
        <f>VLOOKUP(Query1[[#This Row],[Description]],'kits to boards'!$B$2:$E$156,2,FALSE)</f>
        <v>830067</v>
      </c>
      <c r="M2155">
        <f>VLOOKUP(Query1[[#This Row],[Description]],'kits to boards'!$B$2:$E$156,3,FALSE)</f>
        <v>0</v>
      </c>
      <c r="N2155">
        <f>VLOOKUP(Query1[[#This Row],[Description]],'kits to boards'!$B$2:$E$156,4,FALSE)</f>
        <v>0</v>
      </c>
      <c r="O2155" t="str">
        <f>CONCATENATE(Query1[[#This Row],[Description]]," - ",Query1[[#This Row],[MB1]]," - ",Query1[[#This Row],[MB2]]," - ",Query1[[#This Row],[MB3]])</f>
        <v>EVAP KIT 59-60 CHEV CAR 2-LEVER - 830067 - 0 - 0</v>
      </c>
    </row>
    <row r="2156" spans="1:15" x14ac:dyDescent="0.25">
      <c r="A2156" s="1">
        <v>914744</v>
      </c>
      <c r="B2156" s="1" t="s">
        <v>20</v>
      </c>
      <c r="C2156" s="1" t="s">
        <v>21</v>
      </c>
      <c r="D2156" s="2">
        <v>44631.48002210648</v>
      </c>
      <c r="E2156" s="1" t="s">
        <v>11</v>
      </c>
      <c r="F2156" s="1">
        <v>8</v>
      </c>
      <c r="G2156" s="1">
        <v>0</v>
      </c>
      <c r="H2156" s="6">
        <f>INT(Query1[[#This Row],[EntryDateTime]])</f>
        <v>44631</v>
      </c>
      <c r="I2156" s="1">
        <f>IF(Query1[[#This Row],[ItemType]]="EVAP KIT SF GEN IV",Query1[[#This Row],[OrderQty]]+I2155,I2155)</f>
        <v>2549</v>
      </c>
      <c r="J2156" s="1">
        <f>IF(Query1[[#This Row],[ItemType]]="EVAP KIT UNIVERSAL",Query1[[#This Row],[OrderQty]]+J2155,J2155)</f>
        <v>983</v>
      </c>
      <c r="K2156" s="1">
        <f>Query1[[#This Row],[SF Running Total]]+Query1[[#This Row],[UNIV Running Total]]</f>
        <v>3532</v>
      </c>
      <c r="L2156">
        <f>VLOOKUP(Query1[[#This Row],[Description]],'kits to boards'!$B$2:$E$156,2,FALSE)</f>
        <v>830102</v>
      </c>
      <c r="M2156">
        <f>VLOOKUP(Query1[[#This Row],[Description]],'kits to boards'!$B$2:$E$156,3,FALSE)</f>
        <v>0</v>
      </c>
      <c r="N2156">
        <f>VLOOKUP(Query1[[#This Row],[Description]],'kits to boards'!$B$2:$E$156,4,FALSE)</f>
        <v>0</v>
      </c>
      <c r="O2156" t="str">
        <f>CONCATENATE(Query1[[#This Row],[Description]]," - ",Query1[[#This Row],[MB1]]," - ",Query1[[#This Row],[MB2]]," - ",Query1[[#This Row],[MB3]])</f>
        <v>SUPER GEN II W/DEF - 830102 - 0 - 0</v>
      </c>
    </row>
    <row r="2157" spans="1:15" x14ac:dyDescent="0.25">
      <c r="A2157" s="1">
        <v>914744</v>
      </c>
      <c r="B2157" s="1" t="s">
        <v>76</v>
      </c>
      <c r="C2157" s="1" t="s">
        <v>77</v>
      </c>
      <c r="D2157" s="2">
        <v>44631.480025810182</v>
      </c>
      <c r="E2157" s="1" t="s">
        <v>11</v>
      </c>
      <c r="F2157" s="1">
        <v>7</v>
      </c>
      <c r="G2157" s="1">
        <v>0</v>
      </c>
      <c r="H2157" s="6">
        <f>INT(Query1[[#This Row],[EntryDateTime]])</f>
        <v>44631</v>
      </c>
      <c r="I2157" s="1">
        <f>IF(Query1[[#This Row],[ItemType]]="EVAP KIT SF GEN IV",Query1[[#This Row],[OrderQty]]+I2156,I2156)</f>
        <v>2549</v>
      </c>
      <c r="J2157" s="1">
        <f>IF(Query1[[#This Row],[ItemType]]="EVAP KIT UNIVERSAL",Query1[[#This Row],[OrderQty]]+J2156,J2156)</f>
        <v>990</v>
      </c>
      <c r="K2157" s="1">
        <f>Query1[[#This Row],[SF Running Total]]+Query1[[#This Row],[UNIV Running Total]]</f>
        <v>3539</v>
      </c>
      <c r="L2157">
        <f>VLOOKUP(Query1[[#This Row],[Description]],'kits to boards'!$B$2:$E$156,2,FALSE)</f>
        <v>830099</v>
      </c>
      <c r="M2157">
        <f>VLOOKUP(Query1[[#This Row],[Description]],'kits to boards'!$B$2:$E$156,3,FALSE)</f>
        <v>0</v>
      </c>
      <c r="N2157">
        <f>VLOOKUP(Query1[[#This Row],[Description]],'kits to boards'!$B$2:$E$156,4,FALSE)</f>
        <v>0</v>
      </c>
      <c r="O2157" t="str">
        <f>CONCATENATE(Query1[[#This Row],[Description]]," - ",Query1[[#This Row],[MB1]]," - ",Query1[[#This Row],[MB2]]," - ",Query1[[#This Row],[MB3]])</f>
        <v>MINI GEN II H/C - 830099 - 0 - 0</v>
      </c>
    </row>
    <row r="2158" spans="1:15" x14ac:dyDescent="0.25">
      <c r="A2158" s="1">
        <v>914744</v>
      </c>
      <c r="B2158" s="1" t="s">
        <v>98</v>
      </c>
      <c r="C2158" s="1" t="s">
        <v>99</v>
      </c>
      <c r="D2158" s="2">
        <v>44631.480029317128</v>
      </c>
      <c r="E2158" s="1" t="s">
        <v>11</v>
      </c>
      <c r="F2158" s="1">
        <v>28</v>
      </c>
      <c r="G2158" s="1">
        <v>0</v>
      </c>
      <c r="H2158" s="6">
        <f>INT(Query1[[#This Row],[EntryDateTime]])</f>
        <v>44631</v>
      </c>
      <c r="I2158" s="1">
        <f>IF(Query1[[#This Row],[ItemType]]="EVAP KIT SF GEN IV",Query1[[#This Row],[OrderQty]]+I2157,I2157)</f>
        <v>2549</v>
      </c>
      <c r="J2158" s="1">
        <f>IF(Query1[[#This Row],[ItemType]]="EVAP KIT UNIVERSAL",Query1[[#This Row],[OrderQty]]+J2157,J2157)</f>
        <v>1018</v>
      </c>
      <c r="K2158" s="1">
        <f>Query1[[#This Row],[SF Running Total]]+Query1[[#This Row],[UNIV Running Total]]</f>
        <v>3567</v>
      </c>
      <c r="L2158">
        <f>VLOOKUP(Query1[[#This Row],[Description]],'kits to boards'!$B$2:$E$156,2,FALSE)</f>
        <v>830099</v>
      </c>
      <c r="M2158">
        <f>VLOOKUP(Query1[[#This Row],[Description]],'kits to boards'!$B$2:$E$156,3,FALSE)</f>
        <v>0</v>
      </c>
      <c r="N2158">
        <f>VLOOKUP(Query1[[#This Row],[Description]],'kits to boards'!$B$2:$E$156,4,FALSE)</f>
        <v>0</v>
      </c>
      <c r="O2158" t="str">
        <f>CONCATENATE(Query1[[#This Row],[Description]]," - ",Query1[[#This Row],[MB1]]," - ",Query1[[#This Row],[MB2]]," - ",Query1[[#This Row],[MB3]])</f>
        <v>MINI GEN II W/DEF - 830099 - 0 - 0</v>
      </c>
    </row>
    <row r="2159" spans="1:15" x14ac:dyDescent="0.25">
      <c r="A2159" s="1">
        <v>914744</v>
      </c>
      <c r="B2159" s="1" t="s">
        <v>82</v>
      </c>
      <c r="C2159" s="1" t="s">
        <v>83</v>
      </c>
      <c r="D2159" s="2">
        <v>44631.480032870371</v>
      </c>
      <c r="E2159" s="1" t="s">
        <v>11</v>
      </c>
      <c r="F2159" s="1">
        <v>3</v>
      </c>
      <c r="G2159" s="1">
        <v>0</v>
      </c>
      <c r="H2159" s="6">
        <f>INT(Query1[[#This Row],[EntryDateTime]])</f>
        <v>44631</v>
      </c>
      <c r="I2159" s="1">
        <f>IF(Query1[[#This Row],[ItemType]]="EVAP KIT SF GEN IV",Query1[[#This Row],[OrderQty]]+I2158,I2158)</f>
        <v>2549</v>
      </c>
      <c r="J2159" s="1">
        <f>IF(Query1[[#This Row],[ItemType]]="EVAP KIT UNIVERSAL",Query1[[#This Row],[OrderQty]]+J2158,J2158)</f>
        <v>1021</v>
      </c>
      <c r="K2159" s="1">
        <f>Query1[[#This Row],[SF Running Total]]+Query1[[#This Row],[UNIV Running Total]]</f>
        <v>3570</v>
      </c>
      <c r="L2159">
        <f>VLOOKUP(Query1[[#This Row],[Description]],'kits to boards'!$B$2:$E$156,2,FALSE)</f>
        <v>830029</v>
      </c>
      <c r="M2159">
        <f>VLOOKUP(Query1[[#This Row],[Description]],'kits to boards'!$B$2:$E$156,3,FALSE)</f>
        <v>830030</v>
      </c>
      <c r="N2159">
        <f>VLOOKUP(Query1[[#This Row],[Description]],'kits to boards'!$B$2:$E$156,4,FALSE)</f>
        <v>0</v>
      </c>
      <c r="O2159" t="str">
        <f>CONCATENATE(Query1[[#This Row],[Description]]," - ",Query1[[#This Row],[MB1]]," - ",Query1[[#This Row],[MB2]]," - ",Query1[[#This Row],[MB3]])</f>
        <v>ComPac GEN II H/C - 830029 - 830030 - 0</v>
      </c>
    </row>
    <row r="2160" spans="1:15" x14ac:dyDescent="0.25">
      <c r="A2160" s="1">
        <v>914744</v>
      </c>
      <c r="B2160" s="1" t="s">
        <v>24</v>
      </c>
      <c r="C2160" s="1" t="s">
        <v>25</v>
      </c>
      <c r="D2160" s="2">
        <v>44631.480036493056</v>
      </c>
      <c r="E2160" s="1" t="s">
        <v>11</v>
      </c>
      <c r="F2160" s="1">
        <v>19</v>
      </c>
      <c r="G2160" s="1">
        <v>0</v>
      </c>
      <c r="H2160" s="6">
        <f>INT(Query1[[#This Row],[EntryDateTime]])</f>
        <v>44631</v>
      </c>
      <c r="I2160" s="1">
        <f>IF(Query1[[#This Row],[ItemType]]="EVAP KIT SF GEN IV",Query1[[#This Row],[OrderQty]]+I2159,I2159)</f>
        <v>2549</v>
      </c>
      <c r="J2160" s="1">
        <f>IF(Query1[[#This Row],[ItemType]]="EVAP KIT UNIVERSAL",Query1[[#This Row],[OrderQty]]+J2159,J2159)</f>
        <v>1040</v>
      </c>
      <c r="K2160" s="1">
        <f>Query1[[#This Row],[SF Running Total]]+Query1[[#This Row],[UNIV Running Total]]</f>
        <v>3589</v>
      </c>
      <c r="L2160">
        <f>VLOOKUP(Query1[[#This Row],[Description]],'kits to boards'!$B$2:$E$156,2,FALSE)</f>
        <v>830029</v>
      </c>
      <c r="M2160">
        <f>VLOOKUP(Query1[[#This Row],[Description]],'kits to boards'!$B$2:$E$156,3,FALSE)</f>
        <v>830030</v>
      </c>
      <c r="N2160">
        <f>VLOOKUP(Query1[[#This Row],[Description]],'kits to boards'!$B$2:$E$156,4,FALSE)</f>
        <v>0</v>
      </c>
      <c r="O2160" t="str">
        <f>CONCATENATE(Query1[[#This Row],[Description]]," - ",Query1[[#This Row],[MB1]]," - ",Query1[[#This Row],[MB2]]," - ",Query1[[#This Row],[MB3]])</f>
        <v>ComPac GEN II W/DEF - 830029 - 830030 - 0</v>
      </c>
    </row>
    <row r="2161" spans="1:15" x14ac:dyDescent="0.25">
      <c r="A2161" s="1">
        <v>914745</v>
      </c>
      <c r="B2161" s="1" t="s">
        <v>20</v>
      </c>
      <c r="C2161" s="1" t="s">
        <v>21</v>
      </c>
      <c r="D2161" s="2">
        <v>44631.481227777775</v>
      </c>
      <c r="E2161" s="1" t="s">
        <v>11</v>
      </c>
      <c r="F2161" s="1">
        <v>11</v>
      </c>
      <c r="G2161" s="1">
        <v>0</v>
      </c>
      <c r="H2161" s="6">
        <f>INT(Query1[[#This Row],[EntryDateTime]])</f>
        <v>44631</v>
      </c>
      <c r="I2161" s="1">
        <f>IF(Query1[[#This Row],[ItemType]]="EVAP KIT SF GEN IV",Query1[[#This Row],[OrderQty]]+I2160,I2160)</f>
        <v>2549</v>
      </c>
      <c r="J2161" s="1">
        <f>IF(Query1[[#This Row],[ItemType]]="EVAP KIT UNIVERSAL",Query1[[#This Row],[OrderQty]]+J2160,J2160)</f>
        <v>1051</v>
      </c>
      <c r="K2161" s="1">
        <f>Query1[[#This Row],[SF Running Total]]+Query1[[#This Row],[UNIV Running Total]]</f>
        <v>3600</v>
      </c>
      <c r="L2161">
        <f>VLOOKUP(Query1[[#This Row],[Description]],'kits to boards'!$B$2:$E$156,2,FALSE)</f>
        <v>830102</v>
      </c>
      <c r="M2161">
        <f>VLOOKUP(Query1[[#This Row],[Description]],'kits to boards'!$B$2:$E$156,3,FALSE)</f>
        <v>0</v>
      </c>
      <c r="N2161">
        <f>VLOOKUP(Query1[[#This Row],[Description]],'kits to boards'!$B$2:$E$156,4,FALSE)</f>
        <v>0</v>
      </c>
      <c r="O2161" t="str">
        <f>CONCATENATE(Query1[[#This Row],[Description]]," - ",Query1[[#This Row],[MB1]]," - ",Query1[[#This Row],[MB2]]," - ",Query1[[#This Row],[MB3]])</f>
        <v>SUPER GEN II W/DEF - 830102 - 0 - 0</v>
      </c>
    </row>
    <row r="2162" spans="1:15" x14ac:dyDescent="0.25">
      <c r="A2162" s="1">
        <v>914745</v>
      </c>
      <c r="B2162" s="1" t="s">
        <v>76</v>
      </c>
      <c r="C2162" s="1" t="s">
        <v>77</v>
      </c>
      <c r="D2162" s="2">
        <v>44631.48122947917</v>
      </c>
      <c r="E2162" s="1" t="s">
        <v>11</v>
      </c>
      <c r="F2162" s="1">
        <v>9</v>
      </c>
      <c r="G2162" s="1">
        <v>0</v>
      </c>
      <c r="H2162" s="6">
        <f>INT(Query1[[#This Row],[EntryDateTime]])</f>
        <v>44631</v>
      </c>
      <c r="I2162" s="1">
        <f>IF(Query1[[#This Row],[ItemType]]="EVAP KIT SF GEN IV",Query1[[#This Row],[OrderQty]]+I2161,I2161)</f>
        <v>2549</v>
      </c>
      <c r="J2162" s="1">
        <f>IF(Query1[[#This Row],[ItemType]]="EVAP KIT UNIVERSAL",Query1[[#This Row],[OrderQty]]+J2161,J2161)</f>
        <v>1060</v>
      </c>
      <c r="K2162" s="1">
        <f>Query1[[#This Row],[SF Running Total]]+Query1[[#This Row],[UNIV Running Total]]</f>
        <v>3609</v>
      </c>
      <c r="L2162">
        <f>VLOOKUP(Query1[[#This Row],[Description]],'kits to boards'!$B$2:$E$156,2,FALSE)</f>
        <v>830099</v>
      </c>
      <c r="M2162">
        <f>VLOOKUP(Query1[[#This Row],[Description]],'kits to boards'!$B$2:$E$156,3,FALSE)</f>
        <v>0</v>
      </c>
      <c r="N2162">
        <f>VLOOKUP(Query1[[#This Row],[Description]],'kits to boards'!$B$2:$E$156,4,FALSE)</f>
        <v>0</v>
      </c>
      <c r="O2162" t="str">
        <f>CONCATENATE(Query1[[#This Row],[Description]]," - ",Query1[[#This Row],[MB1]]," - ",Query1[[#This Row],[MB2]]," - ",Query1[[#This Row],[MB3]])</f>
        <v>MINI GEN II H/C - 830099 - 0 - 0</v>
      </c>
    </row>
    <row r="2163" spans="1:15" x14ac:dyDescent="0.25">
      <c r="A2163" s="1">
        <v>914745</v>
      </c>
      <c r="B2163" s="1" t="s">
        <v>98</v>
      </c>
      <c r="C2163" s="1" t="s">
        <v>99</v>
      </c>
      <c r="D2163" s="2">
        <v>44631.481231215279</v>
      </c>
      <c r="E2163" s="1" t="s">
        <v>11</v>
      </c>
      <c r="F2163" s="1">
        <v>19</v>
      </c>
      <c r="G2163" s="1">
        <v>0</v>
      </c>
      <c r="H2163" s="6">
        <f>INT(Query1[[#This Row],[EntryDateTime]])</f>
        <v>44631</v>
      </c>
      <c r="I2163" s="1">
        <f>IF(Query1[[#This Row],[ItemType]]="EVAP KIT SF GEN IV",Query1[[#This Row],[OrderQty]]+I2162,I2162)</f>
        <v>2549</v>
      </c>
      <c r="J2163" s="1">
        <f>IF(Query1[[#This Row],[ItemType]]="EVAP KIT UNIVERSAL",Query1[[#This Row],[OrderQty]]+J2162,J2162)</f>
        <v>1079</v>
      </c>
      <c r="K2163" s="1">
        <f>Query1[[#This Row],[SF Running Total]]+Query1[[#This Row],[UNIV Running Total]]</f>
        <v>3628</v>
      </c>
      <c r="L2163">
        <f>VLOOKUP(Query1[[#This Row],[Description]],'kits to boards'!$B$2:$E$156,2,FALSE)</f>
        <v>830099</v>
      </c>
      <c r="M2163">
        <f>VLOOKUP(Query1[[#This Row],[Description]],'kits to boards'!$B$2:$E$156,3,FALSE)</f>
        <v>0</v>
      </c>
      <c r="N2163">
        <f>VLOOKUP(Query1[[#This Row],[Description]],'kits to boards'!$B$2:$E$156,4,FALSE)</f>
        <v>0</v>
      </c>
      <c r="O2163" t="str">
        <f>CONCATENATE(Query1[[#This Row],[Description]]," - ",Query1[[#This Row],[MB1]]," - ",Query1[[#This Row],[MB2]]," - ",Query1[[#This Row],[MB3]])</f>
        <v>MINI GEN II W/DEF - 830099 - 0 - 0</v>
      </c>
    </row>
    <row r="2164" spans="1:15" x14ac:dyDescent="0.25">
      <c r="A2164" s="1">
        <v>914745</v>
      </c>
      <c r="B2164" s="1" t="s">
        <v>22</v>
      </c>
      <c r="C2164" s="1" t="s">
        <v>23</v>
      </c>
      <c r="D2164" s="2">
        <v>44631.481232905091</v>
      </c>
      <c r="E2164" s="1" t="s">
        <v>8</v>
      </c>
      <c r="F2164" s="1">
        <v>13</v>
      </c>
      <c r="G2164" s="1">
        <v>0</v>
      </c>
      <c r="H2164" s="6">
        <f>INT(Query1[[#This Row],[EntryDateTime]])</f>
        <v>44631</v>
      </c>
      <c r="I2164" s="1">
        <f>IF(Query1[[#This Row],[ItemType]]="EVAP KIT SF GEN IV",Query1[[#This Row],[OrderQty]]+I2163,I2163)</f>
        <v>2562</v>
      </c>
      <c r="J2164" s="1">
        <f>IF(Query1[[#This Row],[ItemType]]="EVAP KIT UNIVERSAL",Query1[[#This Row],[OrderQty]]+J2163,J2163)</f>
        <v>1079</v>
      </c>
      <c r="K2164" s="1">
        <f>Query1[[#This Row],[SF Running Total]]+Query1[[#This Row],[UNIV Running Total]]</f>
        <v>3641</v>
      </c>
      <c r="L2164">
        <f>VLOOKUP(Query1[[#This Row],[Description]],'kits to boards'!$B$2:$E$156,2,FALSE)</f>
        <v>830083</v>
      </c>
      <c r="M2164">
        <f>VLOOKUP(Query1[[#This Row],[Description]],'kits to boards'!$B$2:$E$156,3,FALSE)</f>
        <v>0</v>
      </c>
      <c r="N2164">
        <f>VLOOKUP(Query1[[#This Row],[Description]],'kits to boards'!$B$2:$E$156,4,FALSE)</f>
        <v>0</v>
      </c>
      <c r="O2164" t="str">
        <f>CONCATENATE(Query1[[#This Row],[Description]]," - ",Query1[[#This Row],[MB1]]," - ",Query1[[#This Row],[MB2]]," - ",Query1[[#This Row],[MB3]])</f>
        <v>GEN IV MAGNUM EVAP KIT - 830083 - 0 - 0</v>
      </c>
    </row>
    <row r="2165" spans="1:15" x14ac:dyDescent="0.25">
      <c r="A2165" s="1">
        <v>914745</v>
      </c>
      <c r="B2165" s="1" t="s">
        <v>82</v>
      </c>
      <c r="C2165" s="1" t="s">
        <v>83</v>
      </c>
      <c r="D2165" s="2">
        <v>44631.481234606479</v>
      </c>
      <c r="E2165" s="1" t="s">
        <v>11</v>
      </c>
      <c r="F2165" s="1">
        <v>8</v>
      </c>
      <c r="G2165" s="1">
        <v>0</v>
      </c>
      <c r="H2165" s="6">
        <f>INT(Query1[[#This Row],[EntryDateTime]])</f>
        <v>44631</v>
      </c>
      <c r="I2165" s="1">
        <f>IF(Query1[[#This Row],[ItemType]]="EVAP KIT SF GEN IV",Query1[[#This Row],[OrderQty]]+I2164,I2164)</f>
        <v>2562</v>
      </c>
      <c r="J2165" s="1">
        <f>IF(Query1[[#This Row],[ItemType]]="EVAP KIT UNIVERSAL",Query1[[#This Row],[OrderQty]]+J2164,J2164)</f>
        <v>1087</v>
      </c>
      <c r="K2165" s="1">
        <f>Query1[[#This Row],[SF Running Total]]+Query1[[#This Row],[UNIV Running Total]]</f>
        <v>3649</v>
      </c>
      <c r="L2165">
        <f>VLOOKUP(Query1[[#This Row],[Description]],'kits to boards'!$B$2:$E$156,2,FALSE)</f>
        <v>830029</v>
      </c>
      <c r="M2165">
        <f>VLOOKUP(Query1[[#This Row],[Description]],'kits to boards'!$B$2:$E$156,3,FALSE)</f>
        <v>830030</v>
      </c>
      <c r="N2165">
        <f>VLOOKUP(Query1[[#This Row],[Description]],'kits to boards'!$B$2:$E$156,4,FALSE)</f>
        <v>0</v>
      </c>
      <c r="O2165" t="str">
        <f>CONCATENATE(Query1[[#This Row],[Description]]," - ",Query1[[#This Row],[MB1]]," - ",Query1[[#This Row],[MB2]]," - ",Query1[[#This Row],[MB3]])</f>
        <v>ComPac GEN II H/C - 830029 - 830030 - 0</v>
      </c>
    </row>
    <row r="2166" spans="1:15" x14ac:dyDescent="0.25">
      <c r="A2166" s="1">
        <v>914745</v>
      </c>
      <c r="B2166" s="1" t="s">
        <v>24</v>
      </c>
      <c r="C2166" s="1" t="s">
        <v>25</v>
      </c>
      <c r="D2166" s="2">
        <v>44631.481236342595</v>
      </c>
      <c r="E2166" s="1" t="s">
        <v>11</v>
      </c>
      <c r="F2166" s="1">
        <v>25</v>
      </c>
      <c r="G2166" s="1">
        <v>0</v>
      </c>
      <c r="H2166" s="6">
        <f>INT(Query1[[#This Row],[EntryDateTime]])</f>
        <v>44631</v>
      </c>
      <c r="I2166" s="1">
        <f>IF(Query1[[#This Row],[ItemType]]="EVAP KIT SF GEN IV",Query1[[#This Row],[OrderQty]]+I2165,I2165)</f>
        <v>2562</v>
      </c>
      <c r="J2166" s="1">
        <f>IF(Query1[[#This Row],[ItemType]]="EVAP KIT UNIVERSAL",Query1[[#This Row],[OrderQty]]+J2165,J2165)</f>
        <v>1112</v>
      </c>
      <c r="K2166" s="1">
        <f>Query1[[#This Row],[SF Running Total]]+Query1[[#This Row],[UNIV Running Total]]</f>
        <v>3674</v>
      </c>
      <c r="L2166">
        <f>VLOOKUP(Query1[[#This Row],[Description]],'kits to boards'!$B$2:$E$156,2,FALSE)</f>
        <v>830029</v>
      </c>
      <c r="M2166">
        <f>VLOOKUP(Query1[[#This Row],[Description]],'kits to boards'!$B$2:$E$156,3,FALSE)</f>
        <v>830030</v>
      </c>
      <c r="N2166">
        <f>VLOOKUP(Query1[[#This Row],[Description]],'kits to boards'!$B$2:$E$156,4,FALSE)</f>
        <v>0</v>
      </c>
      <c r="O2166" t="str">
        <f>CONCATENATE(Query1[[#This Row],[Description]]," - ",Query1[[#This Row],[MB1]]," - ",Query1[[#This Row],[MB2]]," - ",Query1[[#This Row],[MB3]])</f>
        <v>ComPac GEN II W/DEF - 830029 - 830030 - 0</v>
      </c>
    </row>
    <row r="2167" spans="1:15" x14ac:dyDescent="0.25">
      <c r="A2167" s="1">
        <v>914746</v>
      </c>
      <c r="B2167" s="1" t="s">
        <v>20</v>
      </c>
      <c r="C2167" s="1" t="s">
        <v>21</v>
      </c>
      <c r="D2167" s="2">
        <v>44631.482399270833</v>
      </c>
      <c r="E2167" s="1" t="s">
        <v>11</v>
      </c>
      <c r="F2167" s="1">
        <v>14</v>
      </c>
      <c r="G2167" s="1">
        <v>0</v>
      </c>
      <c r="H2167" s="6">
        <f>INT(Query1[[#This Row],[EntryDateTime]])</f>
        <v>44631</v>
      </c>
      <c r="I2167" s="1">
        <f>IF(Query1[[#This Row],[ItemType]]="EVAP KIT SF GEN IV",Query1[[#This Row],[OrderQty]]+I2166,I2166)</f>
        <v>2562</v>
      </c>
      <c r="J2167" s="1">
        <f>IF(Query1[[#This Row],[ItemType]]="EVAP KIT UNIVERSAL",Query1[[#This Row],[OrderQty]]+J2166,J2166)</f>
        <v>1126</v>
      </c>
      <c r="K2167" s="1">
        <f>Query1[[#This Row],[SF Running Total]]+Query1[[#This Row],[UNIV Running Total]]</f>
        <v>3688</v>
      </c>
      <c r="L2167">
        <f>VLOOKUP(Query1[[#This Row],[Description]],'kits to boards'!$B$2:$E$156,2,FALSE)</f>
        <v>830102</v>
      </c>
      <c r="M2167">
        <f>VLOOKUP(Query1[[#This Row],[Description]],'kits to boards'!$B$2:$E$156,3,FALSE)</f>
        <v>0</v>
      </c>
      <c r="N2167">
        <f>VLOOKUP(Query1[[#This Row],[Description]],'kits to boards'!$B$2:$E$156,4,FALSE)</f>
        <v>0</v>
      </c>
      <c r="O2167" t="str">
        <f>CONCATENATE(Query1[[#This Row],[Description]]," - ",Query1[[#This Row],[MB1]]," - ",Query1[[#This Row],[MB2]]," - ",Query1[[#This Row],[MB3]])</f>
        <v>SUPER GEN II W/DEF - 830102 - 0 - 0</v>
      </c>
    </row>
    <row r="2168" spans="1:15" x14ac:dyDescent="0.25">
      <c r="A2168" s="1">
        <v>914746</v>
      </c>
      <c r="B2168" s="1" t="s">
        <v>76</v>
      </c>
      <c r="C2168" s="1" t="s">
        <v>77</v>
      </c>
      <c r="D2168" s="2">
        <v>44631.482401041663</v>
      </c>
      <c r="E2168" s="1" t="s">
        <v>11</v>
      </c>
      <c r="F2168" s="1">
        <v>4</v>
      </c>
      <c r="G2168" s="1">
        <v>0</v>
      </c>
      <c r="H2168" s="6">
        <f>INT(Query1[[#This Row],[EntryDateTime]])</f>
        <v>44631</v>
      </c>
      <c r="I2168" s="1">
        <f>IF(Query1[[#This Row],[ItemType]]="EVAP KIT SF GEN IV",Query1[[#This Row],[OrderQty]]+I2167,I2167)</f>
        <v>2562</v>
      </c>
      <c r="J2168" s="1">
        <f>IF(Query1[[#This Row],[ItemType]]="EVAP KIT UNIVERSAL",Query1[[#This Row],[OrderQty]]+J2167,J2167)</f>
        <v>1130</v>
      </c>
      <c r="K2168" s="1">
        <f>Query1[[#This Row],[SF Running Total]]+Query1[[#This Row],[UNIV Running Total]]</f>
        <v>3692</v>
      </c>
      <c r="L2168">
        <f>VLOOKUP(Query1[[#This Row],[Description]],'kits to boards'!$B$2:$E$156,2,FALSE)</f>
        <v>830099</v>
      </c>
      <c r="M2168">
        <f>VLOOKUP(Query1[[#This Row],[Description]],'kits to boards'!$B$2:$E$156,3,FALSE)</f>
        <v>0</v>
      </c>
      <c r="N2168">
        <f>VLOOKUP(Query1[[#This Row],[Description]],'kits to boards'!$B$2:$E$156,4,FALSE)</f>
        <v>0</v>
      </c>
      <c r="O2168" t="str">
        <f>CONCATENATE(Query1[[#This Row],[Description]]," - ",Query1[[#This Row],[MB1]]," - ",Query1[[#This Row],[MB2]]," - ",Query1[[#This Row],[MB3]])</f>
        <v>MINI GEN II H/C - 830099 - 0 - 0</v>
      </c>
    </row>
    <row r="2169" spans="1:15" x14ac:dyDescent="0.25">
      <c r="A2169" s="1">
        <v>914746</v>
      </c>
      <c r="B2169" s="1" t="s">
        <v>98</v>
      </c>
      <c r="C2169" s="1" t="s">
        <v>99</v>
      </c>
      <c r="D2169" s="2">
        <v>44631.482402858797</v>
      </c>
      <c r="E2169" s="1" t="s">
        <v>11</v>
      </c>
      <c r="F2169" s="1">
        <v>27</v>
      </c>
      <c r="G2169" s="1">
        <v>0</v>
      </c>
      <c r="H2169" s="6">
        <f>INT(Query1[[#This Row],[EntryDateTime]])</f>
        <v>44631</v>
      </c>
      <c r="I2169" s="1">
        <f>IF(Query1[[#This Row],[ItemType]]="EVAP KIT SF GEN IV",Query1[[#This Row],[OrderQty]]+I2168,I2168)</f>
        <v>2562</v>
      </c>
      <c r="J2169" s="1">
        <f>IF(Query1[[#This Row],[ItemType]]="EVAP KIT UNIVERSAL",Query1[[#This Row],[OrderQty]]+J2168,J2168)</f>
        <v>1157</v>
      </c>
      <c r="K2169" s="1">
        <f>Query1[[#This Row],[SF Running Total]]+Query1[[#This Row],[UNIV Running Total]]</f>
        <v>3719</v>
      </c>
      <c r="L2169">
        <f>VLOOKUP(Query1[[#This Row],[Description]],'kits to boards'!$B$2:$E$156,2,FALSE)</f>
        <v>830099</v>
      </c>
      <c r="M2169">
        <f>VLOOKUP(Query1[[#This Row],[Description]],'kits to boards'!$B$2:$E$156,3,FALSE)</f>
        <v>0</v>
      </c>
      <c r="N2169">
        <f>VLOOKUP(Query1[[#This Row],[Description]],'kits to boards'!$B$2:$E$156,4,FALSE)</f>
        <v>0</v>
      </c>
      <c r="O2169" t="str">
        <f>CONCATENATE(Query1[[#This Row],[Description]]," - ",Query1[[#This Row],[MB1]]," - ",Query1[[#This Row],[MB2]]," - ",Query1[[#This Row],[MB3]])</f>
        <v>MINI GEN II W/DEF - 830099 - 0 - 0</v>
      </c>
    </row>
    <row r="2170" spans="1:15" x14ac:dyDescent="0.25">
      <c r="A2170" s="1">
        <v>914746</v>
      </c>
      <c r="B2170" s="1" t="s">
        <v>22</v>
      </c>
      <c r="C2170" s="1" t="s">
        <v>23</v>
      </c>
      <c r="D2170" s="2">
        <v>44631.482404629627</v>
      </c>
      <c r="E2170" s="1" t="s">
        <v>8</v>
      </c>
      <c r="F2170" s="1">
        <v>7</v>
      </c>
      <c r="G2170" s="1">
        <v>0</v>
      </c>
      <c r="H2170" s="6">
        <f>INT(Query1[[#This Row],[EntryDateTime]])</f>
        <v>44631</v>
      </c>
      <c r="I2170" s="1">
        <f>IF(Query1[[#This Row],[ItemType]]="EVAP KIT SF GEN IV",Query1[[#This Row],[OrderQty]]+I2169,I2169)</f>
        <v>2569</v>
      </c>
      <c r="J2170" s="1">
        <f>IF(Query1[[#This Row],[ItemType]]="EVAP KIT UNIVERSAL",Query1[[#This Row],[OrderQty]]+J2169,J2169)</f>
        <v>1157</v>
      </c>
      <c r="K2170" s="1">
        <f>Query1[[#This Row],[SF Running Total]]+Query1[[#This Row],[UNIV Running Total]]</f>
        <v>3726</v>
      </c>
      <c r="L2170">
        <f>VLOOKUP(Query1[[#This Row],[Description]],'kits to boards'!$B$2:$E$156,2,FALSE)</f>
        <v>830083</v>
      </c>
      <c r="M2170">
        <f>VLOOKUP(Query1[[#This Row],[Description]],'kits to boards'!$B$2:$E$156,3,FALSE)</f>
        <v>0</v>
      </c>
      <c r="N2170">
        <f>VLOOKUP(Query1[[#This Row],[Description]],'kits to boards'!$B$2:$E$156,4,FALSE)</f>
        <v>0</v>
      </c>
      <c r="O2170" t="str">
        <f>CONCATENATE(Query1[[#This Row],[Description]]," - ",Query1[[#This Row],[MB1]]," - ",Query1[[#This Row],[MB2]]," - ",Query1[[#This Row],[MB3]])</f>
        <v>GEN IV MAGNUM EVAP KIT - 830083 - 0 - 0</v>
      </c>
    </row>
    <row r="2171" spans="1:15" x14ac:dyDescent="0.25">
      <c r="A2171" s="1">
        <v>914746</v>
      </c>
      <c r="B2171" s="1" t="s">
        <v>24</v>
      </c>
      <c r="C2171" s="1" t="s">
        <v>25</v>
      </c>
      <c r="D2171" s="2">
        <v>44631.482406747687</v>
      </c>
      <c r="E2171" s="1" t="s">
        <v>11</v>
      </c>
      <c r="F2171" s="1">
        <v>11</v>
      </c>
      <c r="G2171" s="1">
        <v>0</v>
      </c>
      <c r="H2171" s="6">
        <f>INT(Query1[[#This Row],[EntryDateTime]])</f>
        <v>44631</v>
      </c>
      <c r="I2171" s="1">
        <f>IF(Query1[[#This Row],[ItemType]]="EVAP KIT SF GEN IV",Query1[[#This Row],[OrderQty]]+I2170,I2170)</f>
        <v>2569</v>
      </c>
      <c r="J2171" s="1">
        <f>IF(Query1[[#This Row],[ItemType]]="EVAP KIT UNIVERSAL",Query1[[#This Row],[OrderQty]]+J2170,J2170)</f>
        <v>1168</v>
      </c>
      <c r="K2171" s="1">
        <f>Query1[[#This Row],[SF Running Total]]+Query1[[#This Row],[UNIV Running Total]]</f>
        <v>3737</v>
      </c>
      <c r="L2171">
        <f>VLOOKUP(Query1[[#This Row],[Description]],'kits to boards'!$B$2:$E$156,2,FALSE)</f>
        <v>830029</v>
      </c>
      <c r="M2171">
        <f>VLOOKUP(Query1[[#This Row],[Description]],'kits to boards'!$B$2:$E$156,3,FALSE)</f>
        <v>830030</v>
      </c>
      <c r="N2171">
        <f>VLOOKUP(Query1[[#This Row],[Description]],'kits to boards'!$B$2:$E$156,4,FALSE)</f>
        <v>0</v>
      </c>
      <c r="O2171" t="str">
        <f>CONCATENATE(Query1[[#This Row],[Description]]," - ",Query1[[#This Row],[MB1]]," - ",Query1[[#This Row],[MB2]]," - ",Query1[[#This Row],[MB3]])</f>
        <v>ComPac GEN II W/DEF - 830029 - 830030 - 0</v>
      </c>
    </row>
    <row r="2172" spans="1:15" x14ac:dyDescent="0.25">
      <c r="A2172" s="1">
        <v>914749</v>
      </c>
      <c r="B2172" s="1" t="s">
        <v>20</v>
      </c>
      <c r="C2172" s="1" t="s">
        <v>21</v>
      </c>
      <c r="D2172" s="2">
        <v>44631.48339922454</v>
      </c>
      <c r="E2172" s="1" t="s">
        <v>11</v>
      </c>
      <c r="F2172" s="1">
        <v>6</v>
      </c>
      <c r="G2172" s="1">
        <v>0</v>
      </c>
      <c r="H2172" s="6">
        <f>INT(Query1[[#This Row],[EntryDateTime]])</f>
        <v>44631</v>
      </c>
      <c r="I2172" s="1">
        <f>IF(Query1[[#This Row],[ItemType]]="EVAP KIT SF GEN IV",Query1[[#This Row],[OrderQty]]+I2171,I2171)</f>
        <v>2569</v>
      </c>
      <c r="J2172" s="1">
        <f>IF(Query1[[#This Row],[ItemType]]="EVAP KIT UNIVERSAL",Query1[[#This Row],[OrderQty]]+J2171,J2171)</f>
        <v>1174</v>
      </c>
      <c r="K2172" s="1">
        <f>Query1[[#This Row],[SF Running Total]]+Query1[[#This Row],[UNIV Running Total]]</f>
        <v>3743</v>
      </c>
      <c r="L2172">
        <f>VLOOKUP(Query1[[#This Row],[Description]],'kits to boards'!$B$2:$E$156,2,FALSE)</f>
        <v>830102</v>
      </c>
      <c r="M2172">
        <f>VLOOKUP(Query1[[#This Row],[Description]],'kits to boards'!$B$2:$E$156,3,FALSE)</f>
        <v>0</v>
      </c>
      <c r="N2172">
        <f>VLOOKUP(Query1[[#This Row],[Description]],'kits to boards'!$B$2:$E$156,4,FALSE)</f>
        <v>0</v>
      </c>
      <c r="O2172" t="str">
        <f>CONCATENATE(Query1[[#This Row],[Description]]," - ",Query1[[#This Row],[MB1]]," - ",Query1[[#This Row],[MB2]]," - ",Query1[[#This Row],[MB3]])</f>
        <v>SUPER GEN II W/DEF - 830102 - 0 - 0</v>
      </c>
    </row>
    <row r="2173" spans="1:15" x14ac:dyDescent="0.25">
      <c r="A2173" s="1">
        <v>914749</v>
      </c>
      <c r="B2173" s="1" t="s">
        <v>22</v>
      </c>
      <c r="C2173" s="1" t="s">
        <v>23</v>
      </c>
      <c r="D2173" s="2">
        <v>44631.483402199075</v>
      </c>
      <c r="E2173" s="1" t="s">
        <v>8</v>
      </c>
      <c r="F2173" s="1">
        <v>10</v>
      </c>
      <c r="G2173" s="1">
        <v>0</v>
      </c>
      <c r="H2173" s="6">
        <f>INT(Query1[[#This Row],[EntryDateTime]])</f>
        <v>44631</v>
      </c>
      <c r="I2173" s="1">
        <f>IF(Query1[[#This Row],[ItemType]]="EVAP KIT SF GEN IV",Query1[[#This Row],[OrderQty]]+I2172,I2172)</f>
        <v>2579</v>
      </c>
      <c r="J2173" s="1">
        <f>IF(Query1[[#This Row],[ItemType]]="EVAP KIT UNIVERSAL",Query1[[#This Row],[OrderQty]]+J2172,J2172)</f>
        <v>1174</v>
      </c>
      <c r="K2173" s="1">
        <f>Query1[[#This Row],[SF Running Total]]+Query1[[#This Row],[UNIV Running Total]]</f>
        <v>3753</v>
      </c>
      <c r="L2173">
        <f>VLOOKUP(Query1[[#This Row],[Description]],'kits to boards'!$B$2:$E$156,2,FALSE)</f>
        <v>830083</v>
      </c>
      <c r="M2173">
        <f>VLOOKUP(Query1[[#This Row],[Description]],'kits to boards'!$B$2:$E$156,3,FALSE)</f>
        <v>0</v>
      </c>
      <c r="N2173">
        <f>VLOOKUP(Query1[[#This Row],[Description]],'kits to boards'!$B$2:$E$156,4,FALSE)</f>
        <v>0</v>
      </c>
      <c r="O2173" t="str">
        <f>CONCATENATE(Query1[[#This Row],[Description]]," - ",Query1[[#This Row],[MB1]]," - ",Query1[[#This Row],[MB2]]," - ",Query1[[#This Row],[MB3]])</f>
        <v>GEN IV MAGNUM EVAP KIT - 830083 - 0 - 0</v>
      </c>
    </row>
    <row r="2174" spans="1:15" x14ac:dyDescent="0.25">
      <c r="A2174" s="1">
        <v>914753</v>
      </c>
      <c r="B2174" s="1" t="s">
        <v>158</v>
      </c>
      <c r="C2174" s="1" t="s">
        <v>159</v>
      </c>
      <c r="D2174" s="2">
        <v>44631.488095601853</v>
      </c>
      <c r="E2174" s="1" t="s">
        <v>8</v>
      </c>
      <c r="F2174" s="1">
        <v>1</v>
      </c>
      <c r="G2174" s="1">
        <v>0</v>
      </c>
      <c r="H2174" s="6">
        <f>INT(Query1[[#This Row],[EntryDateTime]])</f>
        <v>44631</v>
      </c>
      <c r="I2174" s="1">
        <f>IF(Query1[[#This Row],[ItemType]]="EVAP KIT SF GEN IV",Query1[[#This Row],[OrderQty]]+I2173,I2173)</f>
        <v>2580</v>
      </c>
      <c r="J2174" s="1">
        <f>IF(Query1[[#This Row],[ItemType]]="EVAP KIT UNIVERSAL",Query1[[#This Row],[OrderQty]]+J2173,J2173)</f>
        <v>1174</v>
      </c>
      <c r="K2174" s="1">
        <f>Query1[[#This Row],[SF Running Total]]+Query1[[#This Row],[UNIV Running Total]]</f>
        <v>3754</v>
      </c>
      <c r="L2174">
        <f>VLOOKUP(Query1[[#This Row],[Description]],'kits to boards'!$B$2:$E$156,2,FALSE)</f>
        <v>830080</v>
      </c>
      <c r="M2174">
        <f>VLOOKUP(Query1[[#This Row],[Description]],'kits to boards'!$B$2:$E$156,3,FALSE)</f>
        <v>830046</v>
      </c>
      <c r="N2174">
        <f>VLOOKUP(Query1[[#This Row],[Description]],'kits to boards'!$B$2:$E$156,4,FALSE)</f>
        <v>0</v>
      </c>
      <c r="O2174" t="str">
        <f>CONCATENATE(Query1[[#This Row],[Description]]," - ",Query1[[#This Row],[MB1]]," - ",Query1[[#This Row],[MB2]]," - ",Query1[[#This Row],[MB3]])</f>
        <v>EVAP KIT 69-70 MUSTANG W/AC  - 830080 - 830046 - 0</v>
      </c>
    </row>
    <row r="2175" spans="1:15" x14ac:dyDescent="0.25">
      <c r="A2175" s="1">
        <v>914754</v>
      </c>
      <c r="B2175" s="1" t="s">
        <v>28</v>
      </c>
      <c r="C2175" s="1" t="s">
        <v>29</v>
      </c>
      <c r="D2175" s="2">
        <v>44631.490413159721</v>
      </c>
      <c r="E2175" s="1" t="s">
        <v>8</v>
      </c>
      <c r="F2175" s="1">
        <v>1</v>
      </c>
      <c r="G2175" s="1">
        <v>0</v>
      </c>
      <c r="H2175" s="6">
        <f>INT(Query1[[#This Row],[EntryDateTime]])</f>
        <v>44631</v>
      </c>
      <c r="I2175" s="1">
        <f>IF(Query1[[#This Row],[ItemType]]="EVAP KIT SF GEN IV",Query1[[#This Row],[OrderQty]]+I2174,I2174)</f>
        <v>2581</v>
      </c>
      <c r="J2175" s="1">
        <f>IF(Query1[[#This Row],[ItemType]]="EVAP KIT UNIVERSAL",Query1[[#This Row],[OrderQty]]+J2174,J2174)</f>
        <v>1174</v>
      </c>
      <c r="K2175" s="1">
        <f>Query1[[#This Row],[SF Running Total]]+Query1[[#This Row],[UNIV Running Total]]</f>
        <v>3755</v>
      </c>
      <c r="L2175">
        <f>VLOOKUP(Query1[[#This Row],[Description]],'kits to boards'!$B$2:$E$156,2,FALSE)</f>
        <v>830001</v>
      </c>
      <c r="M2175">
        <f>VLOOKUP(Query1[[#This Row],[Description]],'kits to boards'!$B$2:$E$156,3,FALSE)</f>
        <v>0</v>
      </c>
      <c r="N2175">
        <f>VLOOKUP(Query1[[#This Row],[Description]],'kits to boards'!$B$2:$E$156,4,FALSE)</f>
        <v>0</v>
      </c>
      <c r="O2175" t="str">
        <f>CONCATENATE(Query1[[#This Row],[Description]]," - ",Query1[[#This Row],[MB1]]," - ",Query1[[#This Row],[MB2]]," - ",Query1[[#This Row],[MB3]])</f>
        <v>EVAP KIT 73-80 CHEV P-UP W/AC - 830001 - 0 - 0</v>
      </c>
    </row>
    <row r="2176" spans="1:15" x14ac:dyDescent="0.25">
      <c r="A2176" s="1">
        <v>914755</v>
      </c>
      <c r="B2176" s="1" t="s">
        <v>116</v>
      </c>
      <c r="C2176" s="1" t="s">
        <v>117</v>
      </c>
      <c r="D2176" s="2">
        <v>44631.49108472222</v>
      </c>
      <c r="E2176" s="1" t="s">
        <v>8</v>
      </c>
      <c r="F2176" s="1">
        <v>1</v>
      </c>
      <c r="G2176" s="1">
        <v>0</v>
      </c>
      <c r="H2176" s="6">
        <f>INT(Query1[[#This Row],[EntryDateTime]])</f>
        <v>44631</v>
      </c>
      <c r="I2176" s="1">
        <f>IF(Query1[[#This Row],[ItemType]]="EVAP KIT SF GEN IV",Query1[[#This Row],[OrderQty]]+I2175,I2175)</f>
        <v>2582</v>
      </c>
      <c r="J2176" s="1">
        <f>IF(Query1[[#This Row],[ItemType]]="EVAP KIT UNIVERSAL",Query1[[#This Row],[OrderQty]]+J2175,J2175)</f>
        <v>1174</v>
      </c>
      <c r="K2176" s="1">
        <f>Query1[[#This Row],[SF Running Total]]+Query1[[#This Row],[UNIV Running Total]]</f>
        <v>3756</v>
      </c>
      <c r="L2176">
        <f>VLOOKUP(Query1[[#This Row],[Description]],'kits to boards'!$B$2:$E$156,2,FALSE)</f>
        <v>830058</v>
      </c>
      <c r="M2176">
        <f>VLOOKUP(Query1[[#This Row],[Description]],'kits to boards'!$B$2:$E$156,3,FALSE)</f>
        <v>0</v>
      </c>
      <c r="N2176">
        <f>VLOOKUP(Query1[[#This Row],[Description]],'kits to boards'!$B$2:$E$156,4,FALSE)</f>
        <v>0</v>
      </c>
      <c r="O2176" t="str">
        <f>CONCATENATE(Query1[[#This Row],[Description]]," - ",Query1[[#This Row],[MB1]]," - ",Query1[[#This Row],[MB2]]," - ",Query1[[#This Row],[MB3]])</f>
        <v>EVAP KIT 64-65 CHEVELLE WO AC - 830058 - 0 - 0</v>
      </c>
    </row>
    <row r="2177" spans="1:15" x14ac:dyDescent="0.25">
      <c r="A2177" s="1">
        <v>914754</v>
      </c>
      <c r="B2177" s="1" t="s">
        <v>98</v>
      </c>
      <c r="C2177" s="1" t="s">
        <v>99</v>
      </c>
      <c r="D2177" s="2">
        <v>44631.491993020834</v>
      </c>
      <c r="E2177" s="1" t="s">
        <v>11</v>
      </c>
      <c r="F2177" s="1">
        <v>1</v>
      </c>
      <c r="G2177" s="1">
        <v>0</v>
      </c>
      <c r="H2177" s="6">
        <f>INT(Query1[[#This Row],[EntryDateTime]])</f>
        <v>44631</v>
      </c>
      <c r="I2177" s="1">
        <f>IF(Query1[[#This Row],[ItemType]]="EVAP KIT SF GEN IV",Query1[[#This Row],[OrderQty]]+I2176,I2176)</f>
        <v>2582</v>
      </c>
      <c r="J2177" s="1">
        <f>IF(Query1[[#This Row],[ItemType]]="EVAP KIT UNIVERSAL",Query1[[#This Row],[OrderQty]]+J2176,J2176)</f>
        <v>1175</v>
      </c>
      <c r="K2177" s="1">
        <f>Query1[[#This Row],[SF Running Total]]+Query1[[#This Row],[UNIV Running Total]]</f>
        <v>3757</v>
      </c>
      <c r="L2177">
        <f>VLOOKUP(Query1[[#This Row],[Description]],'kits to boards'!$B$2:$E$156,2,FALSE)</f>
        <v>830099</v>
      </c>
      <c r="M2177">
        <f>VLOOKUP(Query1[[#This Row],[Description]],'kits to boards'!$B$2:$E$156,3,FALSE)</f>
        <v>0</v>
      </c>
      <c r="N2177">
        <f>VLOOKUP(Query1[[#This Row],[Description]],'kits to boards'!$B$2:$E$156,4,FALSE)</f>
        <v>0</v>
      </c>
      <c r="O2177" t="str">
        <f>CONCATENATE(Query1[[#This Row],[Description]]," - ",Query1[[#This Row],[MB1]]," - ",Query1[[#This Row],[MB2]]," - ",Query1[[#This Row],[MB3]])</f>
        <v>MINI GEN II W/DEF - 830099 - 0 - 0</v>
      </c>
    </row>
    <row r="2178" spans="1:15" x14ac:dyDescent="0.25">
      <c r="A2178" s="1">
        <v>914757</v>
      </c>
      <c r="B2178" s="1" t="s">
        <v>32</v>
      </c>
      <c r="C2178" s="1" t="s">
        <v>33</v>
      </c>
      <c r="D2178" s="2">
        <v>44631.495277893519</v>
      </c>
      <c r="E2178" s="1" t="s">
        <v>8</v>
      </c>
      <c r="F2178" s="1">
        <v>1</v>
      </c>
      <c r="G2178" s="1">
        <v>0</v>
      </c>
      <c r="H2178" s="6">
        <f>INT(Query1[[#This Row],[EntryDateTime]])</f>
        <v>44631</v>
      </c>
      <c r="I2178" s="1">
        <f>IF(Query1[[#This Row],[ItemType]]="EVAP KIT SF GEN IV",Query1[[#This Row],[OrderQty]]+I2177,I2177)</f>
        <v>2583</v>
      </c>
      <c r="J2178" s="1">
        <f>IF(Query1[[#This Row],[ItemType]]="EVAP KIT UNIVERSAL",Query1[[#This Row],[OrderQty]]+J2177,J2177)</f>
        <v>1175</v>
      </c>
      <c r="K2178" s="1">
        <f>Query1[[#This Row],[SF Running Total]]+Query1[[#This Row],[UNIV Running Total]]</f>
        <v>3758</v>
      </c>
      <c r="L2178">
        <f>VLOOKUP(Query1[[#This Row],[Description]],'kits to boards'!$B$2:$E$156,2,FALSE)</f>
        <v>830016</v>
      </c>
      <c r="M2178">
        <f>VLOOKUP(Query1[[#This Row],[Description]],'kits to boards'!$B$2:$E$156,3,FALSE)</f>
        <v>0</v>
      </c>
      <c r="N2178">
        <f>VLOOKUP(Query1[[#This Row],[Description]],'kits to boards'!$B$2:$E$156,4,FALSE)</f>
        <v>0</v>
      </c>
      <c r="O2178" t="str">
        <f>CONCATENATE(Query1[[#This Row],[Description]]," - ",Query1[[#This Row],[MB1]]," - ",Query1[[#This Row],[MB2]]," - ",Query1[[#This Row],[MB3]])</f>
        <v>EVAP KIT 67-68 CAMARO/FIREBIRD W/AC - 830016 - 0 - 0</v>
      </c>
    </row>
    <row r="2179" spans="1:15" x14ac:dyDescent="0.25">
      <c r="A2179" s="1">
        <v>914758</v>
      </c>
      <c r="B2179" s="1" t="s">
        <v>68</v>
      </c>
      <c r="C2179" s="1" t="s">
        <v>69</v>
      </c>
      <c r="D2179" s="2">
        <v>44631.498424456018</v>
      </c>
      <c r="E2179" s="1" t="s">
        <v>8</v>
      </c>
      <c r="F2179" s="1">
        <v>1</v>
      </c>
      <c r="G2179" s="1">
        <v>0</v>
      </c>
      <c r="H2179" s="6">
        <f>INT(Query1[[#This Row],[EntryDateTime]])</f>
        <v>44631</v>
      </c>
      <c r="I2179" s="1">
        <f>IF(Query1[[#This Row],[ItemType]]="EVAP KIT SF GEN IV",Query1[[#This Row],[OrderQty]]+I2178,I2178)</f>
        <v>2584</v>
      </c>
      <c r="J2179" s="1">
        <f>IF(Query1[[#This Row],[ItemType]]="EVAP KIT UNIVERSAL",Query1[[#This Row],[OrderQty]]+J2178,J2178)</f>
        <v>1175</v>
      </c>
      <c r="K2179" s="1">
        <f>Query1[[#This Row],[SF Running Total]]+Query1[[#This Row],[UNIV Running Total]]</f>
        <v>3759</v>
      </c>
      <c r="L2179">
        <f>VLOOKUP(Query1[[#This Row],[Description]],'kits to boards'!$B$2:$E$156,2,FALSE)</f>
        <v>830010</v>
      </c>
      <c r="M2179">
        <f>VLOOKUP(Query1[[#This Row],[Description]],'kits to boards'!$B$2:$E$156,3,FALSE)</f>
        <v>0</v>
      </c>
      <c r="N2179">
        <f>VLOOKUP(Query1[[#This Row],[Description]],'kits to boards'!$B$2:$E$156,4,FALSE)</f>
        <v>0</v>
      </c>
      <c r="O2179" t="str">
        <f>CONCATENATE(Query1[[#This Row],[Description]]," - ",Query1[[#This Row],[MB1]]," - ",Query1[[#This Row],[MB2]]," - ",Query1[[#This Row],[MB3]])</f>
        <v>EVAP KIT 70-72 CHEVELLE WO AC - 830010 - 0 - 0</v>
      </c>
    </row>
    <row r="2180" spans="1:15" x14ac:dyDescent="0.25">
      <c r="A2180" s="1">
        <v>910400</v>
      </c>
      <c r="B2180" s="1" t="s">
        <v>96</v>
      </c>
      <c r="C2180" s="1" t="s">
        <v>97</v>
      </c>
      <c r="D2180" s="2">
        <v>44631.505690509257</v>
      </c>
      <c r="E2180" s="1" t="s">
        <v>8</v>
      </c>
      <c r="F2180" s="1">
        <v>1</v>
      </c>
      <c r="G2180" s="1">
        <v>0</v>
      </c>
      <c r="H2180" s="6">
        <f>INT(Query1[[#This Row],[EntryDateTime]])</f>
        <v>44631</v>
      </c>
      <c r="I2180" s="1">
        <f>IF(Query1[[#This Row],[ItemType]]="EVAP KIT SF GEN IV",Query1[[#This Row],[OrderQty]]+I2179,I2179)</f>
        <v>2585</v>
      </c>
      <c r="J2180" s="1">
        <f>IF(Query1[[#This Row],[ItemType]]="EVAP KIT UNIVERSAL",Query1[[#This Row],[OrderQty]]+J2179,J2179)</f>
        <v>1175</v>
      </c>
      <c r="K2180" s="1">
        <f>Query1[[#This Row],[SF Running Total]]+Query1[[#This Row],[UNIV Running Total]]</f>
        <v>3760</v>
      </c>
      <c r="L2180">
        <f>VLOOKUP(Query1[[#This Row],[Description]],'kits to boards'!$B$2:$E$156,2,FALSE)</f>
        <v>830004</v>
      </c>
      <c r="M2180">
        <f>VLOOKUP(Query1[[#This Row],[Description]],'kits to boards'!$B$2:$E$156,3,FALSE)</f>
        <v>0</v>
      </c>
      <c r="N2180">
        <f>VLOOKUP(Query1[[#This Row],[Description]],'kits to boards'!$B$2:$E$156,4,FALSE)</f>
        <v>0</v>
      </c>
      <c r="O2180" t="str">
        <f>CONCATENATE(Query1[[#This Row],[Description]]," - ",Query1[[#This Row],[MB1]]," - ",Query1[[#This Row],[MB2]]," - ",Query1[[#This Row],[MB3]])</f>
        <v>EVAP KIT 81-87 CHEV P-UP W/AC - 830004 - 0 - 0</v>
      </c>
    </row>
    <row r="2181" spans="1:15" x14ac:dyDescent="0.25">
      <c r="A2181" s="1">
        <v>914104</v>
      </c>
      <c r="B2181" s="1" t="s">
        <v>114</v>
      </c>
      <c r="C2181" s="1" t="s">
        <v>115</v>
      </c>
      <c r="D2181" s="2">
        <v>44631.50888966435</v>
      </c>
      <c r="E2181" s="1" t="s">
        <v>8</v>
      </c>
      <c r="F2181" s="1">
        <v>1</v>
      </c>
      <c r="G2181" s="1">
        <v>0</v>
      </c>
      <c r="H2181" s="6">
        <f>INT(Query1[[#This Row],[EntryDateTime]])</f>
        <v>44631</v>
      </c>
      <c r="I2181" s="1">
        <f>IF(Query1[[#This Row],[ItemType]]="EVAP KIT SF GEN IV",Query1[[#This Row],[OrderQty]]+I2180,I2180)</f>
        <v>2586</v>
      </c>
      <c r="J2181" s="1">
        <f>IF(Query1[[#This Row],[ItemType]]="EVAP KIT UNIVERSAL",Query1[[#This Row],[OrderQty]]+J2180,J2180)</f>
        <v>1175</v>
      </c>
      <c r="K2181" s="1">
        <f>Query1[[#This Row],[SF Running Total]]+Query1[[#This Row],[UNIV Running Total]]</f>
        <v>3761</v>
      </c>
      <c r="L2181">
        <f>VLOOKUP(Query1[[#This Row],[Description]],'kits to boards'!$B$2:$E$156,2,FALSE)</f>
        <v>830059</v>
      </c>
      <c r="M2181">
        <f>VLOOKUP(Query1[[#This Row],[Description]],'kits to boards'!$B$2:$E$156,3,FALSE)</f>
        <v>0</v>
      </c>
      <c r="N2181">
        <f>VLOOKUP(Query1[[#This Row],[Description]],'kits to boards'!$B$2:$E$156,4,FALSE)</f>
        <v>0</v>
      </c>
      <c r="O2181" t="str">
        <f>CONCATENATE(Query1[[#This Row],[Description]]," - ",Query1[[#This Row],[MB1]]," - ",Query1[[#This Row],[MB2]]," - ",Query1[[#This Row],[MB3]])</f>
        <v>EVAP KIT 66-67 CHEVELLE W/AC - 830059 - 0 - 0</v>
      </c>
    </row>
    <row r="2182" spans="1:15" x14ac:dyDescent="0.25">
      <c r="A2182" s="1">
        <v>914099</v>
      </c>
      <c r="B2182" s="1" t="s">
        <v>134</v>
      </c>
      <c r="C2182" s="1" t="s">
        <v>135</v>
      </c>
      <c r="D2182" s="2">
        <v>44631.524613194444</v>
      </c>
      <c r="E2182" s="1" t="s">
        <v>8</v>
      </c>
      <c r="F2182" s="1">
        <v>1</v>
      </c>
      <c r="G2182" s="1">
        <v>0</v>
      </c>
      <c r="H2182" s="6">
        <f>INT(Query1[[#This Row],[EntryDateTime]])</f>
        <v>44631</v>
      </c>
      <c r="I2182" s="1">
        <f>IF(Query1[[#This Row],[ItemType]]="EVAP KIT SF GEN IV",Query1[[#This Row],[OrderQty]]+I2181,I2181)</f>
        <v>2587</v>
      </c>
      <c r="J2182" s="1">
        <f>IF(Query1[[#This Row],[ItemType]]="EVAP KIT UNIVERSAL",Query1[[#This Row],[OrderQty]]+J2181,J2181)</f>
        <v>1175</v>
      </c>
      <c r="K2182" s="1">
        <f>Query1[[#This Row],[SF Running Total]]+Query1[[#This Row],[UNIV Running Total]]</f>
        <v>3762</v>
      </c>
      <c r="L2182">
        <f>VLOOKUP(Query1[[#This Row],[Description]],'kits to boards'!$B$2:$E$156,2,FALSE)</f>
        <v>830007</v>
      </c>
      <c r="M2182">
        <f>VLOOKUP(Query1[[#This Row],[Description]],'kits to boards'!$B$2:$E$156,3,FALSE)</f>
        <v>0</v>
      </c>
      <c r="N2182">
        <f>VLOOKUP(Query1[[#This Row],[Description]],'kits to boards'!$B$2:$E$156,4,FALSE)</f>
        <v>0</v>
      </c>
      <c r="O2182" t="str">
        <f>CONCATENATE(Query1[[#This Row],[Description]]," - ",Query1[[#This Row],[MB1]]," - ",Query1[[#This Row],[MB2]]," - ",Query1[[#This Row],[MB3]])</f>
        <v>EVAP KIT 64 IMPALA WO AC - 830007 - 0 - 0</v>
      </c>
    </row>
    <row r="2183" spans="1:15" x14ac:dyDescent="0.25">
      <c r="A2183" s="1">
        <v>914682</v>
      </c>
      <c r="B2183" s="1" t="s">
        <v>108</v>
      </c>
      <c r="C2183" s="1" t="s">
        <v>109</v>
      </c>
      <c r="D2183" s="2">
        <v>44631.530579247687</v>
      </c>
      <c r="E2183" s="1" t="s">
        <v>8</v>
      </c>
      <c r="F2183" s="1">
        <v>1</v>
      </c>
      <c r="G2183" s="1">
        <v>0</v>
      </c>
      <c r="H2183" s="6">
        <f>INT(Query1[[#This Row],[EntryDateTime]])</f>
        <v>44631</v>
      </c>
      <c r="I2183" s="1">
        <f>IF(Query1[[#This Row],[ItemType]]="EVAP KIT SF GEN IV",Query1[[#This Row],[OrderQty]]+I2182,I2182)</f>
        <v>2588</v>
      </c>
      <c r="J2183" s="1">
        <f>IF(Query1[[#This Row],[ItemType]]="EVAP KIT UNIVERSAL",Query1[[#This Row],[OrderQty]]+J2182,J2182)</f>
        <v>1175</v>
      </c>
      <c r="K2183" s="1">
        <f>Query1[[#This Row],[SF Running Total]]+Query1[[#This Row],[UNIV Running Total]]</f>
        <v>3763</v>
      </c>
      <c r="L2183">
        <f>VLOOKUP(Query1[[#This Row],[Description]],'kits to boards'!$B$2:$E$156,2,FALSE)</f>
        <v>830105</v>
      </c>
      <c r="M2183">
        <f>VLOOKUP(Query1[[#This Row],[Description]],'kits to boards'!$B$2:$E$156,3,FALSE)</f>
        <v>830106</v>
      </c>
      <c r="N2183">
        <f>VLOOKUP(Query1[[#This Row],[Description]],'kits to boards'!$B$2:$E$156,4,FALSE)</f>
        <v>0</v>
      </c>
      <c r="O2183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2184" spans="1:15" x14ac:dyDescent="0.25">
      <c r="A2184" s="1">
        <v>914332</v>
      </c>
      <c r="B2184" s="1" t="s">
        <v>14</v>
      </c>
      <c r="C2184" s="1" t="s">
        <v>15</v>
      </c>
      <c r="D2184" s="2">
        <v>44631.543206712966</v>
      </c>
      <c r="E2184" s="1" t="s">
        <v>8</v>
      </c>
      <c r="F2184" s="1">
        <v>1</v>
      </c>
      <c r="G2184" s="1">
        <v>0</v>
      </c>
      <c r="H2184" s="6">
        <f>INT(Query1[[#This Row],[EntryDateTime]])</f>
        <v>44631</v>
      </c>
      <c r="I2184" s="1">
        <f>IF(Query1[[#This Row],[ItemType]]="EVAP KIT SF GEN IV",Query1[[#This Row],[OrderQty]]+I2183,I2183)</f>
        <v>2589</v>
      </c>
      <c r="J2184" s="1">
        <f>IF(Query1[[#This Row],[ItemType]]="EVAP KIT UNIVERSAL",Query1[[#This Row],[OrderQty]]+J2183,J2183)</f>
        <v>1175</v>
      </c>
      <c r="K2184" s="1">
        <f>Query1[[#This Row],[SF Running Total]]+Query1[[#This Row],[UNIV Running Total]]</f>
        <v>3764</v>
      </c>
      <c r="L2184">
        <f>VLOOKUP(Query1[[#This Row],[Description]],'kits to boards'!$B$2:$E$156,2,FALSE)</f>
        <v>830054</v>
      </c>
      <c r="M2184">
        <f>VLOOKUP(Query1[[#This Row],[Description]],'kits to boards'!$B$2:$E$156,3,FALSE)</f>
        <v>0</v>
      </c>
      <c r="N2184">
        <f>VLOOKUP(Query1[[#This Row],[Description]],'kits to boards'!$B$2:$E$156,4,FALSE)</f>
        <v>0</v>
      </c>
      <c r="O2184" t="str">
        <f>CONCATENATE(Query1[[#This Row],[Description]]," - ",Query1[[#This Row],[MB1]]," - ",Query1[[#This Row],[MB2]]," - ",Query1[[#This Row],[MB3]])</f>
        <v>EVAP KIT 55-56 CHEVY - 830054 - 0 - 0</v>
      </c>
    </row>
    <row r="2185" spans="1:15" x14ac:dyDescent="0.25">
      <c r="A2185" s="1">
        <v>914770</v>
      </c>
      <c r="B2185" s="1" t="s">
        <v>198</v>
      </c>
      <c r="C2185" s="1" t="s">
        <v>199</v>
      </c>
      <c r="D2185" s="2">
        <v>44631.546815937501</v>
      </c>
      <c r="E2185" s="1" t="s">
        <v>8</v>
      </c>
      <c r="F2185" s="1">
        <v>1</v>
      </c>
      <c r="G2185" s="1">
        <v>0</v>
      </c>
      <c r="H2185" s="6">
        <f>INT(Query1[[#This Row],[EntryDateTime]])</f>
        <v>44631</v>
      </c>
      <c r="I2185" s="1">
        <f>IF(Query1[[#This Row],[ItemType]]="EVAP KIT SF GEN IV",Query1[[#This Row],[OrderQty]]+I2184,I2184)</f>
        <v>2590</v>
      </c>
      <c r="J2185" s="1">
        <f>IF(Query1[[#This Row],[ItemType]]="EVAP KIT UNIVERSAL",Query1[[#This Row],[OrderQty]]+J2184,J2184)</f>
        <v>1175</v>
      </c>
      <c r="K2185" s="1">
        <f>Query1[[#This Row],[SF Running Total]]+Query1[[#This Row],[UNIV Running Total]]</f>
        <v>3765</v>
      </c>
      <c r="L2185">
        <f>VLOOKUP(Query1[[#This Row],[Description]],'kits to boards'!$B$2:$E$156,2,FALSE)</f>
        <v>830042</v>
      </c>
      <c r="M2185">
        <f>VLOOKUP(Query1[[#This Row],[Description]],'kits to boards'!$B$2:$E$156,3,FALSE)</f>
        <v>0</v>
      </c>
      <c r="N2185">
        <f>VLOOKUP(Query1[[#This Row],[Description]],'kits to boards'!$B$2:$E$156,4,FALSE)</f>
        <v>0</v>
      </c>
      <c r="O2185" t="str">
        <f>CONCATENATE(Query1[[#This Row],[Description]]," - ",Query1[[#This Row],[MB1]]," - ",Query1[[#This Row],[MB2]]," - ",Query1[[#This Row],[MB3]])</f>
        <v>EVAP KIT 68-83 TOYOTA FJ40 ULTRA HIGH PERF - 830042 - 0 - 0</v>
      </c>
    </row>
    <row r="2186" spans="1:15" x14ac:dyDescent="0.25">
      <c r="A2186" s="1">
        <v>914774</v>
      </c>
      <c r="B2186" s="1" t="s">
        <v>84</v>
      </c>
      <c r="C2186" s="1" t="s">
        <v>85</v>
      </c>
      <c r="D2186" s="2">
        <v>44631.551346759261</v>
      </c>
      <c r="E2186" s="1" t="s">
        <v>8</v>
      </c>
      <c r="F2186" s="1">
        <v>2</v>
      </c>
      <c r="G2186" s="1">
        <v>0</v>
      </c>
      <c r="H2186" s="6">
        <f>INT(Query1[[#This Row],[EntryDateTime]])</f>
        <v>44631</v>
      </c>
      <c r="I2186" s="1">
        <f>IF(Query1[[#This Row],[ItemType]]="EVAP KIT SF GEN IV",Query1[[#This Row],[OrderQty]]+I2185,I2185)</f>
        <v>2592</v>
      </c>
      <c r="J2186" s="1">
        <f>IF(Query1[[#This Row],[ItemType]]="EVAP KIT UNIVERSAL",Query1[[#This Row],[OrderQty]]+J2185,J2185)</f>
        <v>1175</v>
      </c>
      <c r="K2186" s="1">
        <f>Query1[[#This Row],[SF Running Total]]+Query1[[#This Row],[UNIV Running Total]]</f>
        <v>3767</v>
      </c>
      <c r="L2186">
        <f>VLOOKUP(Query1[[#This Row],[Description]],'kits to boards'!$B$2:$E$156,2,FALSE)</f>
        <v>830085</v>
      </c>
      <c r="M2186">
        <f>VLOOKUP(Query1[[#This Row],[Description]],'kits to boards'!$B$2:$E$156,3,FALSE)</f>
        <v>0</v>
      </c>
      <c r="N2186">
        <f>VLOOKUP(Query1[[#This Row],[Description]],'kits to boards'!$B$2:$E$156,4,FALSE)</f>
        <v>0</v>
      </c>
      <c r="O2186" t="str">
        <f>CONCATENATE(Query1[[#This Row],[Description]]," - ",Query1[[#This Row],[MB1]]," - ",Query1[[#This Row],[MB2]]," - ",Query1[[#This Row],[MB3]])</f>
        <v>EVAP KIT 66-77 BRONCO 4-VENT PLENUM - 830085 - 0 - 0</v>
      </c>
    </row>
    <row r="2187" spans="1:15" x14ac:dyDescent="0.25">
      <c r="A2187" s="1">
        <v>914663</v>
      </c>
      <c r="B2187" s="1" t="s">
        <v>120</v>
      </c>
      <c r="C2187" s="1" t="s">
        <v>121</v>
      </c>
      <c r="D2187" s="2">
        <v>44631.560580243058</v>
      </c>
      <c r="E2187" s="1" t="s">
        <v>8</v>
      </c>
      <c r="F2187" s="1">
        <v>1</v>
      </c>
      <c r="G2187" s="1">
        <v>0</v>
      </c>
      <c r="H2187" s="6">
        <f>INT(Query1[[#This Row],[EntryDateTime]])</f>
        <v>44631</v>
      </c>
      <c r="I2187" s="1">
        <f>IF(Query1[[#This Row],[ItemType]]="EVAP KIT SF GEN IV",Query1[[#This Row],[OrderQty]]+I2186,I2186)</f>
        <v>2593</v>
      </c>
      <c r="J2187" s="1">
        <f>IF(Query1[[#This Row],[ItemType]]="EVAP KIT UNIVERSAL",Query1[[#This Row],[OrderQty]]+J2186,J2186)</f>
        <v>1175</v>
      </c>
      <c r="K2187" s="1">
        <f>Query1[[#This Row],[SF Running Total]]+Query1[[#This Row],[UNIV Running Total]]</f>
        <v>3768</v>
      </c>
      <c r="L2187">
        <f>VLOOKUP(Query1[[#This Row],[Description]],'kits to boards'!$B$2:$E$156,2,FALSE)</f>
        <v>830014</v>
      </c>
      <c r="M2187">
        <f>VLOOKUP(Query1[[#This Row],[Description]],'kits to boards'!$B$2:$E$156,3,FALSE)</f>
        <v>0</v>
      </c>
      <c r="N2187">
        <f>VLOOKUP(Query1[[#This Row],[Description]],'kits to boards'!$B$2:$E$156,4,FALSE)</f>
        <v>0</v>
      </c>
      <c r="O2187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2188" spans="1:15" x14ac:dyDescent="0.25">
      <c r="A2188" s="1">
        <v>914618</v>
      </c>
      <c r="B2188" s="1" t="s">
        <v>42</v>
      </c>
      <c r="C2188" s="1" t="s">
        <v>43</v>
      </c>
      <c r="D2188" s="2">
        <v>44631.566165937496</v>
      </c>
      <c r="E2188" s="1" t="s">
        <v>8</v>
      </c>
      <c r="F2188" s="1">
        <v>1</v>
      </c>
      <c r="G2188" s="1">
        <v>0</v>
      </c>
      <c r="H2188" s="6">
        <f>INT(Query1[[#This Row],[EntryDateTime]])</f>
        <v>44631</v>
      </c>
      <c r="I2188" s="1">
        <f>IF(Query1[[#This Row],[ItemType]]="EVAP KIT SF GEN IV",Query1[[#This Row],[OrderQty]]+I2187,I2187)</f>
        <v>2594</v>
      </c>
      <c r="J2188" s="1">
        <f>IF(Query1[[#This Row],[ItemType]]="EVAP KIT UNIVERSAL",Query1[[#This Row],[OrderQty]]+J2187,J2187)</f>
        <v>1175</v>
      </c>
      <c r="K2188" s="1">
        <f>Query1[[#This Row],[SF Running Total]]+Query1[[#This Row],[UNIV Running Total]]</f>
        <v>3769</v>
      </c>
      <c r="L2188">
        <f>VLOOKUP(Query1[[#This Row],[Description]],'kits to boards'!$B$2:$E$156,2,FALSE)</f>
        <v>830014</v>
      </c>
      <c r="M2188">
        <f>VLOOKUP(Query1[[#This Row],[Description]],'kits to boards'!$B$2:$E$156,3,FALSE)</f>
        <v>0</v>
      </c>
      <c r="N2188">
        <f>VLOOKUP(Query1[[#This Row],[Description]],'kits to boards'!$B$2:$E$156,4,FALSE)</f>
        <v>0</v>
      </c>
      <c r="O2188" t="str">
        <f>CONCATENATE(Query1[[#This Row],[Description]]," - ",Query1[[#This Row],[MB1]]," - ",Query1[[#This Row],[MB2]]," - ",Query1[[#This Row],[MB3]])</f>
        <v>EVAP KIT 67-72 CHEV P-UP WO AC - 830014 - 0 - 0</v>
      </c>
    </row>
    <row r="2189" spans="1:15" x14ac:dyDescent="0.25">
      <c r="A2189" s="1">
        <v>914791</v>
      </c>
      <c r="B2189" s="1" t="s">
        <v>68</v>
      </c>
      <c r="C2189" s="1" t="s">
        <v>69</v>
      </c>
      <c r="D2189" s="2">
        <v>44631.584422881948</v>
      </c>
      <c r="E2189" s="1" t="s">
        <v>8</v>
      </c>
      <c r="F2189" s="1">
        <v>1</v>
      </c>
      <c r="G2189" s="1">
        <v>0</v>
      </c>
      <c r="H2189" s="6">
        <f>INT(Query1[[#This Row],[EntryDateTime]])</f>
        <v>44631</v>
      </c>
      <c r="I2189" s="1">
        <f>IF(Query1[[#This Row],[ItemType]]="EVAP KIT SF GEN IV",Query1[[#This Row],[OrderQty]]+I2188,I2188)</f>
        <v>2595</v>
      </c>
      <c r="J2189" s="1">
        <f>IF(Query1[[#This Row],[ItemType]]="EVAP KIT UNIVERSAL",Query1[[#This Row],[OrderQty]]+J2188,J2188)</f>
        <v>1175</v>
      </c>
      <c r="K2189" s="1">
        <f>Query1[[#This Row],[SF Running Total]]+Query1[[#This Row],[UNIV Running Total]]</f>
        <v>3770</v>
      </c>
      <c r="L2189">
        <f>VLOOKUP(Query1[[#This Row],[Description]],'kits to boards'!$B$2:$E$156,2,FALSE)</f>
        <v>830010</v>
      </c>
      <c r="M2189">
        <f>VLOOKUP(Query1[[#This Row],[Description]],'kits to boards'!$B$2:$E$156,3,FALSE)</f>
        <v>0</v>
      </c>
      <c r="N2189">
        <f>VLOOKUP(Query1[[#This Row],[Description]],'kits to boards'!$B$2:$E$156,4,FALSE)</f>
        <v>0</v>
      </c>
      <c r="O2189" t="str">
        <f>CONCATENATE(Query1[[#This Row],[Description]]," - ",Query1[[#This Row],[MB1]]," - ",Query1[[#This Row],[MB2]]," - ",Query1[[#This Row],[MB3]])</f>
        <v>EVAP KIT 70-72 CHEVELLE WO AC - 830010 - 0 - 0</v>
      </c>
    </row>
    <row r="2190" spans="1:15" x14ac:dyDescent="0.25">
      <c r="A2190" s="1">
        <v>914793</v>
      </c>
      <c r="B2190" s="1" t="s">
        <v>30</v>
      </c>
      <c r="C2190" s="1" t="s">
        <v>31</v>
      </c>
      <c r="D2190" s="2">
        <v>44631.590622650459</v>
      </c>
      <c r="E2190" s="1" t="s">
        <v>8</v>
      </c>
      <c r="F2190" s="1">
        <v>1</v>
      </c>
      <c r="G2190" s="1">
        <v>0</v>
      </c>
      <c r="H2190" s="6">
        <f>INT(Query1[[#This Row],[EntryDateTime]])</f>
        <v>44631</v>
      </c>
      <c r="I2190" s="1">
        <f>IF(Query1[[#This Row],[ItemType]]="EVAP KIT SF GEN IV",Query1[[#This Row],[OrderQty]]+I2189,I2189)</f>
        <v>2596</v>
      </c>
      <c r="J2190" s="1">
        <f>IF(Query1[[#This Row],[ItemType]]="EVAP KIT UNIVERSAL",Query1[[#This Row],[OrderQty]]+J2189,J2189)</f>
        <v>1175</v>
      </c>
      <c r="K2190" s="1">
        <f>Query1[[#This Row],[SF Running Total]]+Query1[[#This Row],[UNIV Running Total]]</f>
        <v>3771</v>
      </c>
      <c r="L2190">
        <f>VLOOKUP(Query1[[#This Row],[Description]],'kits to boards'!$B$2:$E$156,2,FALSE)</f>
        <v>830054</v>
      </c>
      <c r="M2190">
        <f>VLOOKUP(Query1[[#This Row],[Description]],'kits to boards'!$B$2:$E$156,3,FALSE)</f>
        <v>0</v>
      </c>
      <c r="N2190">
        <f>VLOOKUP(Query1[[#This Row],[Description]],'kits to boards'!$B$2:$E$156,4,FALSE)</f>
        <v>0</v>
      </c>
      <c r="O2190" t="str">
        <f>CONCATENATE(Query1[[#This Row],[Description]]," - ",Query1[[#This Row],[MB1]]," - ",Query1[[#This Row],[MB2]]," - ",Query1[[#This Row],[MB3]])</f>
        <v>EVAP KIT 55-56 CHEVY 4-VENT - 830054 - 0 - 0</v>
      </c>
    </row>
    <row r="2191" spans="1:15" x14ac:dyDescent="0.25">
      <c r="A2191" s="1">
        <v>914800</v>
      </c>
      <c r="B2191" s="1" t="s">
        <v>22</v>
      </c>
      <c r="C2191" s="1" t="s">
        <v>23</v>
      </c>
      <c r="D2191" s="2">
        <v>44631.601085613423</v>
      </c>
      <c r="E2191" s="1" t="s">
        <v>8</v>
      </c>
      <c r="F2191" s="1">
        <v>2</v>
      </c>
      <c r="G2191" s="1">
        <v>0</v>
      </c>
      <c r="H2191" s="6">
        <f>INT(Query1[[#This Row],[EntryDateTime]])</f>
        <v>44631</v>
      </c>
      <c r="I2191" s="1">
        <f>IF(Query1[[#This Row],[ItemType]]="EVAP KIT SF GEN IV",Query1[[#This Row],[OrderQty]]+I2190,I2190)</f>
        <v>2598</v>
      </c>
      <c r="J2191" s="1">
        <f>IF(Query1[[#This Row],[ItemType]]="EVAP KIT UNIVERSAL",Query1[[#This Row],[OrderQty]]+J2190,J2190)</f>
        <v>1175</v>
      </c>
      <c r="K2191" s="1">
        <f>Query1[[#This Row],[SF Running Total]]+Query1[[#This Row],[UNIV Running Total]]</f>
        <v>3773</v>
      </c>
      <c r="L2191">
        <f>VLOOKUP(Query1[[#This Row],[Description]],'kits to boards'!$B$2:$E$156,2,FALSE)</f>
        <v>830083</v>
      </c>
      <c r="M2191">
        <f>VLOOKUP(Query1[[#This Row],[Description]],'kits to boards'!$B$2:$E$156,3,FALSE)</f>
        <v>0</v>
      </c>
      <c r="N2191">
        <f>VLOOKUP(Query1[[#This Row],[Description]],'kits to boards'!$B$2:$E$156,4,FALSE)</f>
        <v>0</v>
      </c>
      <c r="O2191" t="str">
        <f>CONCATENATE(Query1[[#This Row],[Description]]," - ",Query1[[#This Row],[MB1]]," - ",Query1[[#This Row],[MB2]]," - ",Query1[[#This Row],[MB3]])</f>
        <v>GEN IV MAGNUM EVAP KIT - 830083 - 0 - 0</v>
      </c>
    </row>
    <row r="2192" spans="1:15" x14ac:dyDescent="0.25">
      <c r="A2192" s="1">
        <v>914812</v>
      </c>
      <c r="B2192" s="1" t="s">
        <v>152</v>
      </c>
      <c r="C2192" s="1" t="s">
        <v>153</v>
      </c>
      <c r="D2192" s="2">
        <v>44631.624743287037</v>
      </c>
      <c r="E2192" s="1" t="s">
        <v>8</v>
      </c>
      <c r="F2192" s="1">
        <v>1</v>
      </c>
      <c r="G2192" s="1">
        <v>0</v>
      </c>
      <c r="H2192" s="6">
        <f>INT(Query1[[#This Row],[EntryDateTime]])</f>
        <v>44631</v>
      </c>
      <c r="I2192" s="1">
        <f>IF(Query1[[#This Row],[ItemType]]="EVAP KIT SF GEN IV",Query1[[#This Row],[OrderQty]]+I2191,I2191)</f>
        <v>2599</v>
      </c>
      <c r="J2192" s="1">
        <f>IF(Query1[[#This Row],[ItemType]]="EVAP KIT UNIVERSAL",Query1[[#This Row],[OrderQty]]+J2191,J2191)</f>
        <v>1175</v>
      </c>
      <c r="K2192" s="1">
        <f>Query1[[#This Row],[SF Running Total]]+Query1[[#This Row],[UNIV Running Total]]</f>
        <v>3774</v>
      </c>
      <c r="L2192">
        <f>VLOOKUP(Query1[[#This Row],[Description]],'kits to boards'!$B$2:$E$156,2,FALSE)</f>
        <v>830034</v>
      </c>
      <c r="M2192">
        <f>VLOOKUP(Query1[[#This Row],[Description]],'kits to boards'!$B$2:$E$156,3,FALSE)</f>
        <v>0</v>
      </c>
      <c r="N2192">
        <f>VLOOKUP(Query1[[#This Row],[Description]],'kits to boards'!$B$2:$E$156,4,FALSE)</f>
        <v>0</v>
      </c>
      <c r="O2192" t="str">
        <f>CONCATENATE(Query1[[#This Row],[Description]]," - ",Query1[[#This Row],[MB1]]," - ",Query1[[#This Row],[MB2]]," - ",Query1[[#This Row],[MB3]])</f>
        <v>EVAP KIT 64-67 GTO WO AC - 830034 - 0 - 0</v>
      </c>
    </row>
    <row r="2193" spans="1:15" x14ac:dyDescent="0.25">
      <c r="A2193" s="1">
        <v>914813</v>
      </c>
      <c r="B2193" s="1" t="s">
        <v>198</v>
      </c>
      <c r="C2193" s="1" t="s">
        <v>199</v>
      </c>
      <c r="D2193" s="2">
        <v>44631.632187997682</v>
      </c>
      <c r="E2193" s="1" t="s">
        <v>8</v>
      </c>
      <c r="F2193" s="1">
        <v>1</v>
      </c>
      <c r="G2193" s="1">
        <v>0</v>
      </c>
      <c r="H2193" s="6">
        <f>INT(Query1[[#This Row],[EntryDateTime]])</f>
        <v>44631</v>
      </c>
      <c r="I2193" s="1">
        <f>IF(Query1[[#This Row],[ItemType]]="EVAP KIT SF GEN IV",Query1[[#This Row],[OrderQty]]+I2192,I2192)</f>
        <v>2600</v>
      </c>
      <c r="J2193" s="1">
        <f>IF(Query1[[#This Row],[ItemType]]="EVAP KIT UNIVERSAL",Query1[[#This Row],[OrderQty]]+J2192,J2192)</f>
        <v>1175</v>
      </c>
      <c r="K2193" s="1">
        <f>Query1[[#This Row],[SF Running Total]]+Query1[[#This Row],[UNIV Running Total]]</f>
        <v>3775</v>
      </c>
      <c r="L2193">
        <f>VLOOKUP(Query1[[#This Row],[Description]],'kits to boards'!$B$2:$E$156,2,FALSE)</f>
        <v>830042</v>
      </c>
      <c r="M2193">
        <f>VLOOKUP(Query1[[#This Row],[Description]],'kits to boards'!$B$2:$E$156,3,FALSE)</f>
        <v>0</v>
      </c>
      <c r="N2193">
        <f>VLOOKUP(Query1[[#This Row],[Description]],'kits to boards'!$B$2:$E$156,4,FALSE)</f>
        <v>0</v>
      </c>
      <c r="O2193" t="str">
        <f>CONCATENATE(Query1[[#This Row],[Description]]," - ",Query1[[#This Row],[MB1]]," - ",Query1[[#This Row],[MB2]]," - ",Query1[[#This Row],[MB3]])</f>
        <v>EVAP KIT 68-83 TOYOTA FJ40 ULTRA HIGH PERF - 830042 - 0 - 0</v>
      </c>
    </row>
    <row r="2194" spans="1:15" x14ac:dyDescent="0.25">
      <c r="A2194" s="1">
        <v>914824</v>
      </c>
      <c r="B2194" s="1" t="s">
        <v>128</v>
      </c>
      <c r="C2194" s="1" t="s">
        <v>129</v>
      </c>
      <c r="D2194" s="2">
        <v>44631.655573379627</v>
      </c>
      <c r="E2194" s="1" t="s">
        <v>8</v>
      </c>
      <c r="F2194" s="1">
        <v>1</v>
      </c>
      <c r="G2194" s="1">
        <v>0</v>
      </c>
      <c r="H2194" s="6">
        <f>INT(Query1[[#This Row],[EntryDateTime]])</f>
        <v>44631</v>
      </c>
      <c r="I2194" s="1">
        <f>IF(Query1[[#This Row],[ItemType]]="EVAP KIT SF GEN IV",Query1[[#This Row],[OrderQty]]+I2193,I2193)</f>
        <v>2601</v>
      </c>
      <c r="J2194" s="1">
        <f>IF(Query1[[#This Row],[ItemType]]="EVAP KIT UNIVERSAL",Query1[[#This Row],[OrderQty]]+J2193,J2193)</f>
        <v>1175</v>
      </c>
      <c r="K2194" s="1">
        <f>Query1[[#This Row],[SF Running Total]]+Query1[[#This Row],[UNIV Running Total]]</f>
        <v>3776</v>
      </c>
      <c r="L2194">
        <f>VLOOKUP(Query1[[#This Row],[Description]],'kits to boards'!$B$2:$E$156,2,FALSE)</f>
        <v>830036</v>
      </c>
      <c r="M2194">
        <f>VLOOKUP(Query1[[#This Row],[Description]],'kits to boards'!$B$2:$E$156,3,FALSE)</f>
        <v>830039</v>
      </c>
      <c r="N2194">
        <f>VLOOKUP(Query1[[#This Row],[Description]],'kits to boards'!$B$2:$E$156,4,FALSE)</f>
        <v>0</v>
      </c>
      <c r="O2194" t="str">
        <f>CONCATENATE(Query1[[#This Row],[Description]]," - ",Query1[[#This Row],[MB1]]," - ",Query1[[#This Row],[MB2]]," - ",Query1[[#This Row],[MB3]])</f>
        <v>EVAP KIT 63-66 VETTE WO AC - 830036 - 830039 - 0</v>
      </c>
    </row>
    <row r="2195" spans="1:15" x14ac:dyDescent="0.25">
      <c r="A2195" s="1">
        <v>914823</v>
      </c>
      <c r="B2195" s="1" t="s">
        <v>84</v>
      </c>
      <c r="C2195" s="1" t="s">
        <v>85</v>
      </c>
      <c r="D2195" s="2">
        <v>44631.655643715276</v>
      </c>
      <c r="E2195" s="1" t="s">
        <v>8</v>
      </c>
      <c r="F2195" s="1">
        <v>1</v>
      </c>
      <c r="G2195" s="1">
        <v>0</v>
      </c>
      <c r="H2195" s="6">
        <f>INT(Query1[[#This Row],[EntryDateTime]])</f>
        <v>44631</v>
      </c>
      <c r="I2195" s="1">
        <f>IF(Query1[[#This Row],[ItemType]]="EVAP KIT SF GEN IV",Query1[[#This Row],[OrderQty]]+I2194,I2194)</f>
        <v>2602</v>
      </c>
      <c r="J2195" s="1">
        <f>IF(Query1[[#This Row],[ItemType]]="EVAP KIT UNIVERSAL",Query1[[#This Row],[OrderQty]]+J2194,J2194)</f>
        <v>1175</v>
      </c>
      <c r="K2195" s="1">
        <f>Query1[[#This Row],[SF Running Total]]+Query1[[#This Row],[UNIV Running Total]]</f>
        <v>3777</v>
      </c>
      <c r="L2195">
        <f>VLOOKUP(Query1[[#This Row],[Description]],'kits to boards'!$B$2:$E$156,2,FALSE)</f>
        <v>830085</v>
      </c>
      <c r="M2195">
        <f>VLOOKUP(Query1[[#This Row],[Description]],'kits to boards'!$B$2:$E$156,3,FALSE)</f>
        <v>0</v>
      </c>
      <c r="N2195">
        <f>VLOOKUP(Query1[[#This Row],[Description]],'kits to boards'!$B$2:$E$156,4,FALSE)</f>
        <v>0</v>
      </c>
      <c r="O2195" t="str">
        <f>CONCATENATE(Query1[[#This Row],[Description]]," - ",Query1[[#This Row],[MB1]]," - ",Query1[[#This Row],[MB2]]," - ",Query1[[#This Row],[MB3]])</f>
        <v>EVAP KIT 66-77 BRONCO 4-VENT PLENUM - 830085 - 0 - 0</v>
      </c>
    </row>
    <row r="2196" spans="1:15" x14ac:dyDescent="0.25">
      <c r="A2196" s="1">
        <v>914826</v>
      </c>
      <c r="B2196" s="1" t="s">
        <v>44</v>
      </c>
      <c r="C2196" s="1" t="s">
        <v>45</v>
      </c>
      <c r="D2196" s="2">
        <v>44634.306607905091</v>
      </c>
      <c r="E2196" s="1" t="s">
        <v>8</v>
      </c>
      <c r="F2196" s="1">
        <v>1</v>
      </c>
      <c r="G2196" s="1">
        <v>0</v>
      </c>
      <c r="H2196" s="6">
        <f>INT(Query1[[#This Row],[EntryDateTime]])</f>
        <v>44634</v>
      </c>
      <c r="I2196" s="1">
        <f>IF(Query1[[#This Row],[ItemType]]="EVAP KIT SF GEN IV",Query1[[#This Row],[OrderQty]]+I2195,I2195)</f>
        <v>2603</v>
      </c>
      <c r="J2196" s="1">
        <f>IF(Query1[[#This Row],[ItemType]]="EVAP KIT UNIVERSAL",Query1[[#This Row],[OrderQty]]+J2195,J2195)</f>
        <v>1175</v>
      </c>
      <c r="K2196" s="1">
        <f>Query1[[#This Row],[SF Running Total]]+Query1[[#This Row],[UNIV Running Total]]</f>
        <v>3778</v>
      </c>
      <c r="L2196">
        <f>VLOOKUP(Query1[[#This Row],[Description]],'kits to boards'!$B$2:$E$156,2,FALSE)</f>
        <v>830085</v>
      </c>
      <c r="M2196">
        <f>VLOOKUP(Query1[[#This Row],[Description]],'kits to boards'!$B$2:$E$156,3,FALSE)</f>
        <v>0</v>
      </c>
      <c r="N2196">
        <f>VLOOKUP(Query1[[#This Row],[Description]],'kits to boards'!$B$2:$E$156,4,FALSE)</f>
        <v>0</v>
      </c>
      <c r="O2196" t="str">
        <f>CONCATENATE(Query1[[#This Row],[Description]]," - ",Query1[[#This Row],[MB1]]," - ",Query1[[#This Row],[MB2]]," - ",Query1[[#This Row],[MB3]])</f>
        <v>EVAP KIT 66-77 BRONCO - 830085 - 0 - 0</v>
      </c>
    </row>
    <row r="2197" spans="1:15" x14ac:dyDescent="0.25">
      <c r="A2197" s="1">
        <v>914477</v>
      </c>
      <c r="B2197" s="1" t="s">
        <v>98</v>
      </c>
      <c r="C2197" s="1" t="s">
        <v>99</v>
      </c>
      <c r="D2197" s="2">
        <v>44634.318932407405</v>
      </c>
      <c r="E2197" s="1" t="s">
        <v>11</v>
      </c>
      <c r="F2197" s="1">
        <v>10</v>
      </c>
      <c r="G2197" s="1">
        <v>0</v>
      </c>
      <c r="H2197" s="6">
        <f>INT(Query1[[#This Row],[EntryDateTime]])</f>
        <v>44634</v>
      </c>
      <c r="I2197" s="1">
        <f>IF(Query1[[#This Row],[ItemType]]="EVAP KIT SF GEN IV",Query1[[#This Row],[OrderQty]]+I2196,I2196)</f>
        <v>2603</v>
      </c>
      <c r="J2197" s="1">
        <f>IF(Query1[[#This Row],[ItemType]]="EVAP KIT UNIVERSAL",Query1[[#This Row],[OrderQty]]+J2196,J2196)</f>
        <v>1185</v>
      </c>
      <c r="K2197" s="1">
        <f>Query1[[#This Row],[SF Running Total]]+Query1[[#This Row],[UNIV Running Total]]</f>
        <v>3788</v>
      </c>
      <c r="L2197">
        <f>VLOOKUP(Query1[[#This Row],[Description]],'kits to boards'!$B$2:$E$156,2,FALSE)</f>
        <v>830099</v>
      </c>
      <c r="M2197">
        <f>VLOOKUP(Query1[[#This Row],[Description]],'kits to boards'!$B$2:$E$156,3,FALSE)</f>
        <v>0</v>
      </c>
      <c r="N2197">
        <f>VLOOKUP(Query1[[#This Row],[Description]],'kits to boards'!$B$2:$E$156,4,FALSE)</f>
        <v>0</v>
      </c>
      <c r="O2197" t="str">
        <f>CONCATENATE(Query1[[#This Row],[Description]]," - ",Query1[[#This Row],[MB1]]," - ",Query1[[#This Row],[MB2]]," - ",Query1[[#This Row],[MB3]])</f>
        <v>MINI GEN II W/DEF - 830099 - 0 - 0</v>
      </c>
    </row>
    <row r="2198" spans="1:15" x14ac:dyDescent="0.25">
      <c r="A2198" s="1">
        <v>914827</v>
      </c>
      <c r="B2198" s="1" t="s">
        <v>54</v>
      </c>
      <c r="C2198" s="1" t="s">
        <v>55</v>
      </c>
      <c r="D2198" s="2">
        <v>44634.320377696757</v>
      </c>
      <c r="E2198" s="1" t="s">
        <v>8</v>
      </c>
      <c r="F2198" s="1">
        <v>1</v>
      </c>
      <c r="G2198" s="1">
        <v>0</v>
      </c>
      <c r="H2198" s="6">
        <f>INT(Query1[[#This Row],[EntryDateTime]])</f>
        <v>44634</v>
      </c>
      <c r="I2198" s="1">
        <f>IF(Query1[[#This Row],[ItemType]]="EVAP KIT SF GEN IV",Query1[[#This Row],[OrderQty]]+I2197,I2197)</f>
        <v>2604</v>
      </c>
      <c r="J2198" s="1">
        <f>IF(Query1[[#This Row],[ItemType]]="EVAP KIT UNIVERSAL",Query1[[#This Row],[OrderQty]]+J2197,J2197)</f>
        <v>1185</v>
      </c>
      <c r="K2198" s="1">
        <f>Query1[[#This Row],[SF Running Total]]+Query1[[#This Row],[UNIV Running Total]]</f>
        <v>3789</v>
      </c>
      <c r="L2198">
        <f>VLOOKUP(Query1[[#This Row],[Description]],'kits to boards'!$B$2:$E$156,2,FALSE)</f>
        <v>830037</v>
      </c>
      <c r="M2198">
        <f>VLOOKUP(Query1[[#This Row],[Description]],'kits to boards'!$B$2:$E$156,3,FALSE)</f>
        <v>0</v>
      </c>
      <c r="N2198">
        <f>VLOOKUP(Query1[[#This Row],[Description]],'kits to boards'!$B$2:$E$156,4,FALSE)</f>
        <v>0</v>
      </c>
      <c r="O2198" t="str">
        <f>CONCATENATE(Query1[[#This Row],[Description]]," - ",Query1[[#This Row],[MB1]]," - ",Query1[[#This Row],[MB2]]," - ",Query1[[#This Row],[MB3]])</f>
        <v>EVAP KIT 70-81 FIREBIRD W/AC - 830037 - 0 - 0</v>
      </c>
    </row>
    <row r="2199" spans="1:15" x14ac:dyDescent="0.25">
      <c r="A2199" s="1">
        <v>914829</v>
      </c>
      <c r="B2199" s="1" t="s">
        <v>22</v>
      </c>
      <c r="C2199" s="1" t="s">
        <v>23</v>
      </c>
      <c r="D2199" s="2">
        <v>44634.325362071759</v>
      </c>
      <c r="E2199" s="1" t="s">
        <v>8</v>
      </c>
      <c r="F2199" s="1">
        <v>1</v>
      </c>
      <c r="G2199" s="1">
        <v>0</v>
      </c>
      <c r="H2199" s="6">
        <f>INT(Query1[[#This Row],[EntryDateTime]])</f>
        <v>44634</v>
      </c>
      <c r="I2199" s="1">
        <f>IF(Query1[[#This Row],[ItemType]]="EVAP KIT SF GEN IV",Query1[[#This Row],[OrderQty]]+I2198,I2198)</f>
        <v>2605</v>
      </c>
      <c r="J2199" s="1">
        <f>IF(Query1[[#This Row],[ItemType]]="EVAP KIT UNIVERSAL",Query1[[#This Row],[OrderQty]]+J2198,J2198)</f>
        <v>1185</v>
      </c>
      <c r="K2199" s="1">
        <f>Query1[[#This Row],[SF Running Total]]+Query1[[#This Row],[UNIV Running Total]]</f>
        <v>3790</v>
      </c>
      <c r="L2199">
        <f>VLOOKUP(Query1[[#This Row],[Description]],'kits to boards'!$B$2:$E$156,2,FALSE)</f>
        <v>830083</v>
      </c>
      <c r="M2199">
        <f>VLOOKUP(Query1[[#This Row],[Description]],'kits to boards'!$B$2:$E$156,3,FALSE)</f>
        <v>0</v>
      </c>
      <c r="N2199">
        <f>VLOOKUP(Query1[[#This Row],[Description]],'kits to boards'!$B$2:$E$156,4,FALSE)</f>
        <v>0</v>
      </c>
      <c r="O2199" t="str">
        <f>CONCATENATE(Query1[[#This Row],[Description]]," - ",Query1[[#This Row],[MB1]]," - ",Query1[[#This Row],[MB2]]," - ",Query1[[#This Row],[MB3]])</f>
        <v>GEN IV MAGNUM EVAP KIT - 830083 - 0 - 0</v>
      </c>
    </row>
    <row r="2200" spans="1:15" x14ac:dyDescent="0.25">
      <c r="A2200" s="1">
        <v>914829</v>
      </c>
      <c r="B2200" s="1" t="s">
        <v>30</v>
      </c>
      <c r="C2200" s="1" t="s">
        <v>31</v>
      </c>
      <c r="D2200" s="2">
        <v>44634.325363888885</v>
      </c>
      <c r="E2200" s="1" t="s">
        <v>8</v>
      </c>
      <c r="F2200" s="1">
        <v>1</v>
      </c>
      <c r="G2200" s="1">
        <v>0</v>
      </c>
      <c r="H2200" s="6">
        <f>INT(Query1[[#This Row],[EntryDateTime]])</f>
        <v>44634</v>
      </c>
      <c r="I2200" s="1">
        <f>IF(Query1[[#This Row],[ItemType]]="EVAP KIT SF GEN IV",Query1[[#This Row],[OrderQty]]+I2199,I2199)</f>
        <v>2606</v>
      </c>
      <c r="J2200" s="1">
        <f>IF(Query1[[#This Row],[ItemType]]="EVAP KIT UNIVERSAL",Query1[[#This Row],[OrderQty]]+J2199,J2199)</f>
        <v>1185</v>
      </c>
      <c r="K2200" s="1">
        <f>Query1[[#This Row],[SF Running Total]]+Query1[[#This Row],[UNIV Running Total]]</f>
        <v>3791</v>
      </c>
      <c r="L2200">
        <f>VLOOKUP(Query1[[#This Row],[Description]],'kits to boards'!$B$2:$E$156,2,FALSE)</f>
        <v>830054</v>
      </c>
      <c r="M2200">
        <f>VLOOKUP(Query1[[#This Row],[Description]],'kits to boards'!$B$2:$E$156,3,FALSE)</f>
        <v>0</v>
      </c>
      <c r="N2200">
        <f>VLOOKUP(Query1[[#This Row],[Description]],'kits to boards'!$B$2:$E$156,4,FALSE)</f>
        <v>0</v>
      </c>
      <c r="O2200" t="str">
        <f>CONCATENATE(Query1[[#This Row],[Description]]," - ",Query1[[#This Row],[MB1]]," - ",Query1[[#This Row],[MB2]]," - ",Query1[[#This Row],[MB3]])</f>
        <v>EVAP KIT 55-56 CHEVY 4-VENT - 830054 - 0 - 0</v>
      </c>
    </row>
    <row r="2201" spans="1:15" x14ac:dyDescent="0.25">
      <c r="A2201" s="1">
        <v>914829</v>
      </c>
      <c r="B2201" s="1" t="s">
        <v>74</v>
      </c>
      <c r="C2201" s="1" t="s">
        <v>75</v>
      </c>
      <c r="D2201" s="2">
        <v>44634.325365775461</v>
      </c>
      <c r="E2201" s="1" t="s">
        <v>8</v>
      </c>
      <c r="F2201" s="1">
        <v>1</v>
      </c>
      <c r="G2201" s="1">
        <v>0</v>
      </c>
      <c r="H2201" s="6">
        <f>INT(Query1[[#This Row],[EntryDateTime]])</f>
        <v>44634</v>
      </c>
      <c r="I2201" s="1">
        <f>IF(Query1[[#This Row],[ItemType]]="EVAP KIT SF GEN IV",Query1[[#This Row],[OrderQty]]+I2200,I2200)</f>
        <v>2607</v>
      </c>
      <c r="J2201" s="1">
        <f>IF(Query1[[#This Row],[ItemType]]="EVAP KIT UNIVERSAL",Query1[[#This Row],[OrderQty]]+J2200,J2200)</f>
        <v>1185</v>
      </c>
      <c r="K2201" s="1">
        <f>Query1[[#This Row],[SF Running Total]]+Query1[[#This Row],[UNIV Running Total]]</f>
        <v>3792</v>
      </c>
      <c r="L2201">
        <f>VLOOKUP(Query1[[#This Row],[Description]],'kits to boards'!$B$2:$E$156,2,FALSE)</f>
        <v>830065</v>
      </c>
      <c r="M2201">
        <f>VLOOKUP(Query1[[#This Row],[Description]],'kits to boards'!$B$2:$E$156,3,FALSE)</f>
        <v>0</v>
      </c>
      <c r="N2201">
        <f>VLOOKUP(Query1[[#This Row],[Description]],'kits to boards'!$B$2:$E$156,4,FALSE)</f>
        <v>0</v>
      </c>
      <c r="O2201" t="str">
        <f>CONCATENATE(Query1[[#This Row],[Description]]," - ",Query1[[#This Row],[MB1]]," - ",Query1[[#This Row],[MB2]]," - ",Query1[[#This Row],[MB3]])</f>
        <v>EVAP KIT 57 CHEV WO AC 4-VENT PLENUM - 830065 - 0 - 0</v>
      </c>
    </row>
    <row r="2202" spans="1:15" x14ac:dyDescent="0.25">
      <c r="A2202" s="1">
        <v>914829</v>
      </c>
      <c r="B2202" s="1" t="s">
        <v>52</v>
      </c>
      <c r="C2202" s="1" t="s">
        <v>53</v>
      </c>
      <c r="D2202" s="2">
        <v>44634.325367592595</v>
      </c>
      <c r="E2202" s="1" t="s">
        <v>8</v>
      </c>
      <c r="F2202" s="1">
        <v>2</v>
      </c>
      <c r="G2202" s="1">
        <v>0</v>
      </c>
      <c r="H2202" s="6">
        <f>INT(Query1[[#This Row],[EntryDateTime]])</f>
        <v>44634</v>
      </c>
      <c r="I2202" s="1">
        <f>IF(Query1[[#This Row],[ItemType]]="EVAP KIT SF GEN IV",Query1[[#This Row],[OrderQty]]+I2201,I2201)</f>
        <v>2609</v>
      </c>
      <c r="J2202" s="1">
        <f>IF(Query1[[#This Row],[ItemType]]="EVAP KIT UNIVERSAL",Query1[[#This Row],[OrderQty]]+J2201,J2201)</f>
        <v>1185</v>
      </c>
      <c r="K2202" s="1">
        <f>Query1[[#This Row],[SF Running Total]]+Query1[[#This Row],[UNIV Running Total]]</f>
        <v>3794</v>
      </c>
      <c r="L2202">
        <f>VLOOKUP(Query1[[#This Row],[Description]],'kits to boards'!$B$2:$E$156,2,FALSE)</f>
        <v>830017</v>
      </c>
      <c r="M2202">
        <f>VLOOKUP(Query1[[#This Row],[Description]],'kits to boards'!$B$2:$E$156,3,FALSE)</f>
        <v>830119</v>
      </c>
      <c r="N2202">
        <f>VLOOKUP(Query1[[#This Row],[Description]],'kits to boards'!$B$2:$E$156,4,FALSE)</f>
        <v>830120</v>
      </c>
      <c r="O2202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2203" spans="1:15" x14ac:dyDescent="0.25">
      <c r="A2203" s="1">
        <v>914829</v>
      </c>
      <c r="B2203" s="1" t="s">
        <v>32</v>
      </c>
      <c r="C2203" s="1" t="s">
        <v>33</v>
      </c>
      <c r="D2203" s="2">
        <v>44634.325369444443</v>
      </c>
      <c r="E2203" s="1" t="s">
        <v>8</v>
      </c>
      <c r="F2203" s="1">
        <v>1</v>
      </c>
      <c r="G2203" s="1">
        <v>0</v>
      </c>
      <c r="H2203" s="6">
        <f>INT(Query1[[#This Row],[EntryDateTime]])</f>
        <v>44634</v>
      </c>
      <c r="I2203" s="1">
        <f>IF(Query1[[#This Row],[ItemType]]="EVAP KIT SF GEN IV",Query1[[#This Row],[OrderQty]]+I2202,I2202)</f>
        <v>2610</v>
      </c>
      <c r="J2203" s="1">
        <f>IF(Query1[[#This Row],[ItemType]]="EVAP KIT UNIVERSAL",Query1[[#This Row],[OrderQty]]+J2202,J2202)</f>
        <v>1185</v>
      </c>
      <c r="K2203" s="1">
        <f>Query1[[#This Row],[SF Running Total]]+Query1[[#This Row],[UNIV Running Total]]</f>
        <v>3795</v>
      </c>
      <c r="L2203">
        <f>VLOOKUP(Query1[[#This Row],[Description]],'kits to boards'!$B$2:$E$156,2,FALSE)</f>
        <v>830016</v>
      </c>
      <c r="M2203">
        <f>VLOOKUP(Query1[[#This Row],[Description]],'kits to boards'!$B$2:$E$156,3,FALSE)</f>
        <v>0</v>
      </c>
      <c r="N2203">
        <f>VLOOKUP(Query1[[#This Row],[Description]],'kits to boards'!$B$2:$E$156,4,FALSE)</f>
        <v>0</v>
      </c>
      <c r="O2203" t="str">
        <f>CONCATENATE(Query1[[#This Row],[Description]]," - ",Query1[[#This Row],[MB1]]," - ",Query1[[#This Row],[MB2]]," - ",Query1[[#This Row],[MB3]])</f>
        <v>EVAP KIT 67-68 CAMARO/FIREBIRD W/AC - 830016 - 0 - 0</v>
      </c>
    </row>
    <row r="2204" spans="1:15" x14ac:dyDescent="0.25">
      <c r="A2204" s="1">
        <v>914829</v>
      </c>
      <c r="B2204" s="1" t="s">
        <v>40</v>
      </c>
      <c r="C2204" s="1" t="s">
        <v>41</v>
      </c>
      <c r="D2204" s="2">
        <v>44634.325371261577</v>
      </c>
      <c r="E2204" s="1" t="s">
        <v>8</v>
      </c>
      <c r="F2204" s="1">
        <v>2</v>
      </c>
      <c r="G2204" s="1">
        <v>0</v>
      </c>
      <c r="H2204" s="6">
        <f>INT(Query1[[#This Row],[EntryDateTime]])</f>
        <v>44634</v>
      </c>
      <c r="I2204" s="1">
        <f>IF(Query1[[#This Row],[ItemType]]="EVAP KIT SF GEN IV",Query1[[#This Row],[OrderQty]]+I2203,I2203)</f>
        <v>2612</v>
      </c>
      <c r="J2204" s="1">
        <f>IF(Query1[[#This Row],[ItemType]]="EVAP KIT UNIVERSAL",Query1[[#This Row],[OrderQty]]+J2203,J2203)</f>
        <v>1185</v>
      </c>
      <c r="K2204" s="1">
        <f>Query1[[#This Row],[SF Running Total]]+Query1[[#This Row],[UNIV Running Total]]</f>
        <v>3797</v>
      </c>
      <c r="L2204">
        <f>VLOOKUP(Query1[[#This Row],[Description]],'kits to boards'!$B$2:$E$156,2,FALSE)</f>
        <v>830024</v>
      </c>
      <c r="M2204">
        <f>VLOOKUP(Query1[[#This Row],[Description]],'kits to boards'!$B$2:$E$156,3,FALSE)</f>
        <v>0</v>
      </c>
      <c r="N2204">
        <f>VLOOKUP(Query1[[#This Row],[Description]],'kits to boards'!$B$2:$E$156,4,FALSE)</f>
        <v>0</v>
      </c>
      <c r="O2204" t="str">
        <f>CONCATENATE(Query1[[#This Row],[Description]]," - ",Query1[[#This Row],[MB1]]," - ",Query1[[#This Row],[MB2]]," - ",Query1[[#This Row],[MB3]])</f>
        <v>EVAP KIT 79-81 CAMARO W/AC - 830024 - 0 - 0</v>
      </c>
    </row>
    <row r="2205" spans="1:15" x14ac:dyDescent="0.25">
      <c r="A2205" s="1">
        <v>914829</v>
      </c>
      <c r="B2205" s="1" t="s">
        <v>50</v>
      </c>
      <c r="C2205" s="1" t="s">
        <v>51</v>
      </c>
      <c r="D2205" s="2">
        <v>44634.325373067128</v>
      </c>
      <c r="E2205" s="1" t="s">
        <v>8</v>
      </c>
      <c r="F2205" s="1">
        <v>1</v>
      </c>
      <c r="G2205" s="1">
        <v>0</v>
      </c>
      <c r="H2205" s="6">
        <f>INT(Query1[[#This Row],[EntryDateTime]])</f>
        <v>44634</v>
      </c>
      <c r="I2205" s="1">
        <f>IF(Query1[[#This Row],[ItemType]]="EVAP KIT SF GEN IV",Query1[[#This Row],[OrderQty]]+I2204,I2204)</f>
        <v>2613</v>
      </c>
      <c r="J2205" s="1">
        <f>IF(Query1[[#This Row],[ItemType]]="EVAP KIT UNIVERSAL",Query1[[#This Row],[OrderQty]]+J2204,J2204)</f>
        <v>1185</v>
      </c>
      <c r="K2205" s="1">
        <f>Query1[[#This Row],[SF Running Total]]+Query1[[#This Row],[UNIV Running Total]]</f>
        <v>3798</v>
      </c>
      <c r="L2205">
        <f>VLOOKUP(Query1[[#This Row],[Description]],'kits to boards'!$B$2:$E$156,2,FALSE)</f>
        <v>830043</v>
      </c>
      <c r="M2205">
        <f>VLOOKUP(Query1[[#This Row],[Description]],'kits to boards'!$B$2:$E$156,3,FALSE)</f>
        <v>0</v>
      </c>
      <c r="N2205">
        <f>VLOOKUP(Query1[[#This Row],[Description]],'kits to boards'!$B$2:$E$156,4,FALSE)</f>
        <v>0</v>
      </c>
      <c r="O2205" t="str">
        <f>CONCATENATE(Query1[[#This Row],[Description]]," - ",Query1[[#This Row],[MB1]]," - ",Query1[[#This Row],[MB2]]," - ",Query1[[#This Row],[MB3]])</f>
        <v>EVAP KIT 69-74 NOVA WO AC - 830043 - 0 - 0</v>
      </c>
    </row>
    <row r="2206" spans="1:15" x14ac:dyDescent="0.25">
      <c r="A2206" s="1">
        <v>914829</v>
      </c>
      <c r="B2206" s="1" t="s">
        <v>72</v>
      </c>
      <c r="C2206" s="1" t="s">
        <v>73</v>
      </c>
      <c r="D2206" s="2">
        <v>44634.325374803244</v>
      </c>
      <c r="E2206" s="1" t="s">
        <v>8</v>
      </c>
      <c r="F2206" s="1">
        <v>2</v>
      </c>
      <c r="G2206" s="1">
        <v>0</v>
      </c>
      <c r="H2206" s="6">
        <f>INT(Query1[[#This Row],[EntryDateTime]])</f>
        <v>44634</v>
      </c>
      <c r="I2206" s="1">
        <f>IF(Query1[[#This Row],[ItemType]]="EVAP KIT SF GEN IV",Query1[[#This Row],[OrderQty]]+I2205,I2205)</f>
        <v>2615</v>
      </c>
      <c r="J2206" s="1">
        <f>IF(Query1[[#This Row],[ItemType]]="EVAP KIT UNIVERSAL",Query1[[#This Row],[OrderQty]]+J2205,J2205)</f>
        <v>1185</v>
      </c>
      <c r="K2206" s="1">
        <f>Query1[[#This Row],[SF Running Total]]+Query1[[#This Row],[UNIV Running Total]]</f>
        <v>3800</v>
      </c>
      <c r="L2206">
        <f>VLOOKUP(Query1[[#This Row],[Description]],'kits to boards'!$B$2:$E$156,2,FALSE)</f>
        <v>830043</v>
      </c>
      <c r="M2206">
        <f>VLOOKUP(Query1[[#This Row],[Description]],'kits to boards'!$B$2:$E$156,3,FALSE)</f>
        <v>0</v>
      </c>
      <c r="N2206">
        <f>VLOOKUP(Query1[[#This Row],[Description]],'kits to boards'!$B$2:$E$156,4,FALSE)</f>
        <v>0</v>
      </c>
      <c r="O2206" t="str">
        <f>CONCATENATE(Query1[[#This Row],[Description]]," - ",Query1[[#This Row],[MB1]]," - ",Query1[[#This Row],[MB2]]," - ",Query1[[#This Row],[MB3]])</f>
        <v>EVAP KIT 69-74 NOVA W/AC - 830043 - 0 - 0</v>
      </c>
    </row>
    <row r="2207" spans="1:15" x14ac:dyDescent="0.25">
      <c r="A2207" s="1">
        <v>914829</v>
      </c>
      <c r="B2207" s="1" t="s">
        <v>132</v>
      </c>
      <c r="C2207" s="1" t="s">
        <v>133</v>
      </c>
      <c r="D2207" s="2">
        <v>44634.325376620371</v>
      </c>
      <c r="E2207" s="1" t="s">
        <v>8</v>
      </c>
      <c r="F2207" s="1">
        <v>1</v>
      </c>
      <c r="G2207" s="1">
        <v>0</v>
      </c>
      <c r="H2207" s="6">
        <f>INT(Query1[[#This Row],[EntryDateTime]])</f>
        <v>44634</v>
      </c>
      <c r="I2207" s="1">
        <f>IF(Query1[[#This Row],[ItemType]]="EVAP KIT SF GEN IV",Query1[[#This Row],[OrderQty]]+I2206,I2206)</f>
        <v>2616</v>
      </c>
      <c r="J2207" s="1">
        <f>IF(Query1[[#This Row],[ItemType]]="EVAP KIT UNIVERSAL",Query1[[#This Row],[OrderQty]]+J2206,J2206)</f>
        <v>1185</v>
      </c>
      <c r="K2207" s="1">
        <f>Query1[[#This Row],[SF Running Total]]+Query1[[#This Row],[UNIV Running Total]]</f>
        <v>3801</v>
      </c>
      <c r="L2207">
        <f>VLOOKUP(Query1[[#This Row],[Description]],'kits to boards'!$B$2:$E$156,2,FALSE)</f>
        <v>830005</v>
      </c>
      <c r="M2207">
        <f>VLOOKUP(Query1[[#This Row],[Description]],'kits to boards'!$B$2:$E$156,3,FALSE)</f>
        <v>0</v>
      </c>
      <c r="N2207">
        <f>VLOOKUP(Query1[[#This Row],[Description]],'kits to boards'!$B$2:$E$156,4,FALSE)</f>
        <v>0</v>
      </c>
      <c r="O2207" t="str">
        <f>CONCATENATE(Query1[[#This Row],[Description]]," - ",Query1[[#This Row],[MB1]]," - ",Query1[[#This Row],[MB2]]," - ",Query1[[#This Row],[MB3]])</f>
        <v>EVAP KIT 61-62 IMPALA WO AC - 830005 - 0 - 0</v>
      </c>
    </row>
    <row r="2208" spans="1:15" x14ac:dyDescent="0.25">
      <c r="A2208" s="1">
        <v>914829</v>
      </c>
      <c r="B2208" s="1" t="s">
        <v>148</v>
      </c>
      <c r="C2208" s="1" t="s">
        <v>149</v>
      </c>
      <c r="D2208" s="2">
        <v>44634.32537835648</v>
      </c>
      <c r="E2208" s="1" t="s">
        <v>8</v>
      </c>
      <c r="F2208" s="1">
        <v>1</v>
      </c>
      <c r="G2208" s="1">
        <v>0</v>
      </c>
      <c r="H2208" s="6">
        <f>INT(Query1[[#This Row],[EntryDateTime]])</f>
        <v>44634</v>
      </c>
      <c r="I2208" s="1">
        <f>IF(Query1[[#This Row],[ItemType]]="EVAP KIT SF GEN IV",Query1[[#This Row],[OrderQty]]+I2207,I2207)</f>
        <v>2617</v>
      </c>
      <c r="J2208" s="1">
        <f>IF(Query1[[#This Row],[ItemType]]="EVAP KIT UNIVERSAL",Query1[[#This Row],[OrderQty]]+J2207,J2207)</f>
        <v>1185</v>
      </c>
      <c r="K2208" s="1">
        <f>Query1[[#This Row],[SF Running Total]]+Query1[[#This Row],[UNIV Running Total]]</f>
        <v>3802</v>
      </c>
      <c r="L2208">
        <f>VLOOKUP(Query1[[#This Row],[Description]],'kits to boards'!$B$2:$E$156,2,FALSE)</f>
        <v>830098</v>
      </c>
      <c r="M2208">
        <f>VLOOKUP(Query1[[#This Row],[Description]],'kits to boards'!$B$2:$E$156,3,FALSE)</f>
        <v>0</v>
      </c>
      <c r="N2208">
        <f>VLOOKUP(Query1[[#This Row],[Description]],'kits to boards'!$B$2:$E$156,4,FALSE)</f>
        <v>0</v>
      </c>
      <c r="O2208" t="str">
        <f>CONCATENATE(Query1[[#This Row],[Description]]," - ",Query1[[#This Row],[MB1]]," - ",Query1[[#This Row],[MB2]]," - ",Query1[[#This Row],[MB3]])</f>
        <v>EVAP KIT 77 VETTE W/AC - 830098 - 0 - 0</v>
      </c>
    </row>
    <row r="2209" spans="1:15" x14ac:dyDescent="0.25">
      <c r="A2209" s="1">
        <v>914829</v>
      </c>
      <c r="B2209" s="1" t="s">
        <v>56</v>
      </c>
      <c r="C2209" s="1" t="s">
        <v>57</v>
      </c>
      <c r="D2209" s="2">
        <v>44634.325380289352</v>
      </c>
      <c r="E2209" s="1" t="s">
        <v>8</v>
      </c>
      <c r="F2209" s="1">
        <v>2</v>
      </c>
      <c r="G2209" s="1">
        <v>0</v>
      </c>
      <c r="H2209" s="6">
        <f>INT(Query1[[#This Row],[EntryDateTime]])</f>
        <v>44634</v>
      </c>
      <c r="I2209" s="1">
        <f>IF(Query1[[#This Row],[ItemType]]="EVAP KIT SF GEN IV",Query1[[#This Row],[OrderQty]]+I2208,I2208)</f>
        <v>2619</v>
      </c>
      <c r="J2209" s="1">
        <f>IF(Query1[[#This Row],[ItemType]]="EVAP KIT UNIVERSAL",Query1[[#This Row],[OrderQty]]+J2208,J2208)</f>
        <v>1185</v>
      </c>
      <c r="K2209" s="1">
        <f>Query1[[#This Row],[SF Running Total]]+Query1[[#This Row],[UNIV Running Total]]</f>
        <v>3804</v>
      </c>
      <c r="L2209">
        <f>VLOOKUP(Query1[[#This Row],[Description]],'kits to boards'!$B$2:$E$156,2,FALSE)</f>
        <v>830011</v>
      </c>
      <c r="M2209">
        <f>VLOOKUP(Query1[[#This Row],[Description]],'kits to boards'!$B$2:$E$156,3,FALSE)</f>
        <v>0</v>
      </c>
      <c r="N2209">
        <f>VLOOKUP(Query1[[#This Row],[Description]],'kits to boards'!$B$2:$E$156,4,FALSE)</f>
        <v>0</v>
      </c>
      <c r="O2209" t="str">
        <f>CONCATENATE(Query1[[#This Row],[Description]]," - ",Query1[[#This Row],[MB1]]," - ",Query1[[#This Row],[MB2]]," - ",Query1[[#This Row],[MB3]])</f>
        <v>EVAP KIT 70-72 CHEVELLE W/AC - 830011 - 0 - 0</v>
      </c>
    </row>
    <row r="2210" spans="1:15" x14ac:dyDescent="0.25">
      <c r="A2210" s="1">
        <v>914829</v>
      </c>
      <c r="B2210" s="1" t="s">
        <v>150</v>
      </c>
      <c r="C2210" s="1" t="s">
        <v>151</v>
      </c>
      <c r="D2210" s="2">
        <v>44634.325382025461</v>
      </c>
      <c r="E2210" s="1" t="s">
        <v>8</v>
      </c>
      <c r="F2210" s="1">
        <v>2</v>
      </c>
      <c r="G2210" s="1">
        <v>0</v>
      </c>
      <c r="H2210" s="6">
        <f>INT(Query1[[#This Row],[EntryDateTime]])</f>
        <v>44634</v>
      </c>
      <c r="I2210" s="1">
        <f>IF(Query1[[#This Row],[ItemType]]="EVAP KIT SF GEN IV",Query1[[#This Row],[OrderQty]]+I2209,I2209)</f>
        <v>2621</v>
      </c>
      <c r="J2210" s="1">
        <f>IF(Query1[[#This Row],[ItemType]]="EVAP KIT UNIVERSAL",Query1[[#This Row],[OrderQty]]+J2209,J2209)</f>
        <v>1185</v>
      </c>
      <c r="K2210" s="1">
        <f>Query1[[#This Row],[SF Running Total]]+Query1[[#This Row],[UNIV Running Total]]</f>
        <v>3806</v>
      </c>
      <c r="L2210">
        <f>VLOOKUP(Query1[[#This Row],[Description]],'kits to boards'!$B$2:$E$156,2,FALSE)</f>
        <v>830010</v>
      </c>
      <c r="M2210">
        <f>VLOOKUP(Query1[[#This Row],[Description]],'kits to boards'!$B$2:$E$156,3,FALSE)</f>
        <v>0</v>
      </c>
      <c r="N2210">
        <f>VLOOKUP(Query1[[#This Row],[Description]],'kits to boards'!$B$2:$E$156,4,FALSE)</f>
        <v>0</v>
      </c>
      <c r="O2210" t="str">
        <f>CONCATENATE(Query1[[#This Row],[Description]]," - ",Query1[[#This Row],[MB1]]," - ",Query1[[#This Row],[MB2]]," - ",Query1[[#This Row],[MB3]])</f>
        <v>EVAP KIT 70-72 MONTE CARLO W/AC - 830010 - 0 - 0</v>
      </c>
    </row>
    <row r="2211" spans="1:15" x14ac:dyDescent="0.25">
      <c r="A2211" s="1">
        <v>914829</v>
      </c>
      <c r="B2211" s="1" t="s">
        <v>152</v>
      </c>
      <c r="C2211" s="1" t="s">
        <v>153</v>
      </c>
      <c r="D2211" s="2">
        <v>44634.325383761578</v>
      </c>
      <c r="E2211" s="1" t="s">
        <v>8</v>
      </c>
      <c r="F2211" s="1">
        <v>1</v>
      </c>
      <c r="G2211" s="1">
        <v>0</v>
      </c>
      <c r="H2211" s="6">
        <f>INT(Query1[[#This Row],[EntryDateTime]])</f>
        <v>44634</v>
      </c>
      <c r="I2211" s="1">
        <f>IF(Query1[[#This Row],[ItemType]]="EVAP KIT SF GEN IV",Query1[[#This Row],[OrderQty]]+I2210,I2210)</f>
        <v>2622</v>
      </c>
      <c r="J2211" s="1">
        <f>IF(Query1[[#This Row],[ItemType]]="EVAP KIT UNIVERSAL",Query1[[#This Row],[OrderQty]]+J2210,J2210)</f>
        <v>1185</v>
      </c>
      <c r="K2211" s="1">
        <f>Query1[[#This Row],[SF Running Total]]+Query1[[#This Row],[UNIV Running Total]]</f>
        <v>3807</v>
      </c>
      <c r="L2211">
        <f>VLOOKUP(Query1[[#This Row],[Description]],'kits to boards'!$B$2:$E$156,2,FALSE)</f>
        <v>830034</v>
      </c>
      <c r="M2211">
        <f>VLOOKUP(Query1[[#This Row],[Description]],'kits to boards'!$B$2:$E$156,3,FALSE)</f>
        <v>0</v>
      </c>
      <c r="N2211">
        <f>VLOOKUP(Query1[[#This Row],[Description]],'kits to boards'!$B$2:$E$156,4,FALSE)</f>
        <v>0</v>
      </c>
      <c r="O2211" t="str">
        <f>CONCATENATE(Query1[[#This Row],[Description]]," - ",Query1[[#This Row],[MB1]]," - ",Query1[[#This Row],[MB2]]," - ",Query1[[#This Row],[MB3]])</f>
        <v>EVAP KIT 64-67 GTO WO AC - 830034 - 0 - 0</v>
      </c>
    </row>
    <row r="2212" spans="1:15" x14ac:dyDescent="0.25">
      <c r="A2212" s="1">
        <v>914829</v>
      </c>
      <c r="B2212" s="1" t="s">
        <v>130</v>
      </c>
      <c r="C2212" s="1" t="s">
        <v>131</v>
      </c>
      <c r="D2212" s="2">
        <v>44634.325385567128</v>
      </c>
      <c r="E2212" s="1" t="s">
        <v>8</v>
      </c>
      <c r="F2212" s="1">
        <v>1</v>
      </c>
      <c r="G2212" s="1">
        <v>0</v>
      </c>
      <c r="H2212" s="6">
        <f>INT(Query1[[#This Row],[EntryDateTime]])</f>
        <v>44634</v>
      </c>
      <c r="I2212" s="1">
        <f>IF(Query1[[#This Row],[ItemType]]="EVAP KIT SF GEN IV",Query1[[#This Row],[OrderQty]]+I2211,I2211)</f>
        <v>2623</v>
      </c>
      <c r="J2212" s="1">
        <f>IF(Query1[[#This Row],[ItemType]]="EVAP KIT UNIVERSAL",Query1[[#This Row],[OrderQty]]+J2211,J2211)</f>
        <v>1185</v>
      </c>
      <c r="K2212" s="1">
        <f>Query1[[#This Row],[SF Running Total]]+Query1[[#This Row],[UNIV Running Total]]</f>
        <v>3808</v>
      </c>
      <c r="L2212">
        <f>VLOOKUP(Query1[[#This Row],[Description]],'kits to boards'!$B$2:$E$156,2,FALSE)</f>
        <v>830123</v>
      </c>
      <c r="M2212">
        <f>VLOOKUP(Query1[[#This Row],[Description]],'kits to boards'!$B$2:$E$156,3,FALSE)</f>
        <v>0</v>
      </c>
      <c r="N2212">
        <f>VLOOKUP(Query1[[#This Row],[Description]],'kits to boards'!$B$2:$E$156,4,FALSE)</f>
        <v>0</v>
      </c>
      <c r="O2212" t="str">
        <f>CONCATENATE(Query1[[#This Row],[Description]]," - ",Query1[[#This Row],[MB1]]," - ",Query1[[#This Row],[MB2]]," - ",Query1[[#This Row],[MB3]])</f>
        <v>EVAP KIT 68 GTO WO/AC - 830123 - 0 - 0</v>
      </c>
    </row>
    <row r="2213" spans="1:15" x14ac:dyDescent="0.25">
      <c r="A2213" s="1">
        <v>914829</v>
      </c>
      <c r="B2213" s="1" t="s">
        <v>154</v>
      </c>
      <c r="C2213" s="1" t="s">
        <v>155</v>
      </c>
      <c r="D2213" s="2">
        <v>44634.325387303237</v>
      </c>
      <c r="E2213" s="1" t="s">
        <v>8</v>
      </c>
      <c r="F2213" s="1">
        <v>1</v>
      </c>
      <c r="G2213" s="1">
        <v>0</v>
      </c>
      <c r="H2213" s="6">
        <f>INT(Query1[[#This Row],[EntryDateTime]])</f>
        <v>44634</v>
      </c>
      <c r="I2213" s="1">
        <f>IF(Query1[[#This Row],[ItemType]]="EVAP KIT SF GEN IV",Query1[[#This Row],[OrderQty]]+I2212,I2212)</f>
        <v>2624</v>
      </c>
      <c r="J2213" s="1">
        <f>IF(Query1[[#This Row],[ItemType]]="EVAP KIT UNIVERSAL",Query1[[#This Row],[OrderQty]]+J2212,J2212)</f>
        <v>1185</v>
      </c>
      <c r="K2213" s="1">
        <f>Query1[[#This Row],[SF Running Total]]+Query1[[#This Row],[UNIV Running Total]]</f>
        <v>3809</v>
      </c>
      <c r="L2213">
        <f>VLOOKUP(Query1[[#This Row],[Description]],'kits to boards'!$B$2:$E$156,2,FALSE)</f>
        <v>830124</v>
      </c>
      <c r="M2213">
        <f>VLOOKUP(Query1[[#This Row],[Description]],'kits to boards'!$B$2:$E$156,3,FALSE)</f>
        <v>0</v>
      </c>
      <c r="N2213">
        <f>VLOOKUP(Query1[[#This Row],[Description]],'kits to boards'!$B$2:$E$156,4,FALSE)</f>
        <v>0</v>
      </c>
      <c r="O2213" t="str">
        <f>CONCATENATE(Query1[[#This Row],[Description]]," - ",Query1[[#This Row],[MB1]]," - ",Query1[[#This Row],[MB2]]," - ",Query1[[#This Row],[MB3]])</f>
        <v>EVAP KIT 69 GTO W/AC - 830124 - 0 - 0</v>
      </c>
    </row>
    <row r="2214" spans="1:15" x14ac:dyDescent="0.25">
      <c r="A2214" s="1">
        <v>914829</v>
      </c>
      <c r="B2214" s="1" t="s">
        <v>156</v>
      </c>
      <c r="C2214" s="1" t="s">
        <v>157</v>
      </c>
      <c r="D2214" s="2">
        <v>44634.32538908565</v>
      </c>
      <c r="E2214" s="1" t="s">
        <v>8</v>
      </c>
      <c r="F2214" s="1">
        <v>1</v>
      </c>
      <c r="G2214" s="1">
        <v>0</v>
      </c>
      <c r="H2214" s="6">
        <f>INT(Query1[[#This Row],[EntryDateTime]])</f>
        <v>44634</v>
      </c>
      <c r="I2214" s="1">
        <f>IF(Query1[[#This Row],[ItemType]]="EVAP KIT SF GEN IV",Query1[[#This Row],[OrderQty]]+I2213,I2213)</f>
        <v>2625</v>
      </c>
      <c r="J2214" s="1">
        <f>IF(Query1[[#This Row],[ItemType]]="EVAP KIT UNIVERSAL",Query1[[#This Row],[OrderQty]]+J2213,J2213)</f>
        <v>1185</v>
      </c>
      <c r="K2214" s="1">
        <f>Query1[[#This Row],[SF Running Total]]+Query1[[#This Row],[UNIV Running Total]]</f>
        <v>3810</v>
      </c>
      <c r="L2214">
        <f>VLOOKUP(Query1[[#This Row],[Description]],'kits to boards'!$B$2:$E$156,2,FALSE)</f>
        <v>830019</v>
      </c>
      <c r="M2214">
        <f>VLOOKUP(Query1[[#This Row],[Description]],'kits to boards'!$B$2:$E$156,3,FALSE)</f>
        <v>0</v>
      </c>
      <c r="N2214">
        <f>VLOOKUP(Query1[[#This Row],[Description]],'kits to boards'!$B$2:$E$156,4,FALSE)</f>
        <v>0</v>
      </c>
      <c r="O2214" t="str">
        <f>CONCATENATE(Query1[[#This Row],[Description]]," - ",Query1[[#This Row],[MB1]]," - ",Query1[[#This Row],[MB2]]," - ",Query1[[#This Row],[MB3]])</f>
        <v>EVAP KIT 70-81 FIREBIRD WO AC - 830019 - 0 - 0</v>
      </c>
    </row>
    <row r="2215" spans="1:15" x14ac:dyDescent="0.25">
      <c r="A2215" s="1">
        <v>914829</v>
      </c>
      <c r="B2215" s="1" t="s">
        <v>54</v>
      </c>
      <c r="C2215" s="1" t="s">
        <v>55</v>
      </c>
      <c r="D2215" s="2">
        <v>44634.32539085648</v>
      </c>
      <c r="E2215" s="1" t="s">
        <v>8</v>
      </c>
      <c r="F2215" s="1">
        <v>3</v>
      </c>
      <c r="G2215" s="1">
        <v>0</v>
      </c>
      <c r="H2215" s="6">
        <f>INT(Query1[[#This Row],[EntryDateTime]])</f>
        <v>44634</v>
      </c>
      <c r="I2215" s="1">
        <f>IF(Query1[[#This Row],[ItemType]]="EVAP KIT SF GEN IV",Query1[[#This Row],[OrderQty]]+I2214,I2214)</f>
        <v>2628</v>
      </c>
      <c r="J2215" s="1">
        <f>IF(Query1[[#This Row],[ItemType]]="EVAP KIT UNIVERSAL",Query1[[#This Row],[OrderQty]]+J2214,J2214)</f>
        <v>1185</v>
      </c>
      <c r="K2215" s="1">
        <f>Query1[[#This Row],[SF Running Total]]+Query1[[#This Row],[UNIV Running Total]]</f>
        <v>3813</v>
      </c>
      <c r="L2215">
        <f>VLOOKUP(Query1[[#This Row],[Description]],'kits to boards'!$B$2:$E$156,2,FALSE)</f>
        <v>830037</v>
      </c>
      <c r="M2215">
        <f>VLOOKUP(Query1[[#This Row],[Description]],'kits to boards'!$B$2:$E$156,3,FALSE)</f>
        <v>0</v>
      </c>
      <c r="N2215">
        <f>VLOOKUP(Query1[[#This Row],[Description]],'kits to boards'!$B$2:$E$156,4,FALSE)</f>
        <v>0</v>
      </c>
      <c r="O2215" t="str">
        <f>CONCATENATE(Query1[[#This Row],[Description]]," - ",Query1[[#This Row],[MB1]]," - ",Query1[[#This Row],[MB2]]," - ",Query1[[#This Row],[MB3]])</f>
        <v>EVAP KIT 70-81 FIREBIRD W/AC - 830037 - 0 - 0</v>
      </c>
    </row>
    <row r="2216" spans="1:15" x14ac:dyDescent="0.25">
      <c r="A2216" s="1">
        <v>914829</v>
      </c>
      <c r="B2216" s="1" t="s">
        <v>122</v>
      </c>
      <c r="C2216" s="1" t="s">
        <v>123</v>
      </c>
      <c r="D2216" s="2">
        <v>44634.325392743056</v>
      </c>
      <c r="E2216" s="1" t="s">
        <v>8</v>
      </c>
      <c r="F2216" s="1">
        <v>1</v>
      </c>
      <c r="G2216" s="1">
        <v>0</v>
      </c>
      <c r="H2216" s="6">
        <f>INT(Query1[[#This Row],[EntryDateTime]])</f>
        <v>44634</v>
      </c>
      <c r="I2216" s="1">
        <f>IF(Query1[[#This Row],[ItemType]]="EVAP KIT SF GEN IV",Query1[[#This Row],[OrderQty]]+I2215,I2215)</f>
        <v>2629</v>
      </c>
      <c r="J2216" s="1">
        <f>IF(Query1[[#This Row],[ItemType]]="EVAP KIT UNIVERSAL",Query1[[#This Row],[OrderQty]]+J2215,J2215)</f>
        <v>1185</v>
      </c>
      <c r="K2216" s="1">
        <f>Query1[[#This Row],[SF Running Total]]+Query1[[#This Row],[UNIV Running Total]]</f>
        <v>3814</v>
      </c>
      <c r="L2216">
        <f>VLOOKUP(Query1[[#This Row],[Description]],'kits to boards'!$B$2:$E$156,2,FALSE)</f>
        <v>830027</v>
      </c>
      <c r="M2216">
        <f>VLOOKUP(Query1[[#This Row],[Description]],'kits to boards'!$B$2:$E$156,3,FALSE)</f>
        <v>0</v>
      </c>
      <c r="N2216">
        <f>VLOOKUP(Query1[[#This Row],[Description]],'kits to boards'!$B$2:$E$156,4,FALSE)</f>
        <v>0</v>
      </c>
      <c r="O2216" t="str">
        <f>CONCATENATE(Query1[[#This Row],[Description]]," - ",Query1[[#This Row],[MB1]]," - ",Query1[[#This Row],[MB2]]," - ",Query1[[#This Row],[MB3]])</f>
        <v>EVAP KIT 70-72 CUTLASS W/AC - 830027 - 0 - 0</v>
      </c>
    </row>
    <row r="2217" spans="1:15" x14ac:dyDescent="0.25">
      <c r="A2217" s="1">
        <v>914829</v>
      </c>
      <c r="B2217" s="1" t="s">
        <v>94</v>
      </c>
      <c r="C2217" s="1" t="s">
        <v>95</v>
      </c>
      <c r="D2217" s="2">
        <v>44634.325394479165</v>
      </c>
      <c r="E2217" s="1" t="s">
        <v>8</v>
      </c>
      <c r="F2217" s="1">
        <v>1</v>
      </c>
      <c r="G2217" s="1">
        <v>0</v>
      </c>
      <c r="H2217" s="6">
        <f>INT(Query1[[#This Row],[EntryDateTime]])</f>
        <v>44634</v>
      </c>
      <c r="I2217" s="1">
        <f>IF(Query1[[#This Row],[ItemType]]="EVAP KIT SF GEN IV",Query1[[#This Row],[OrderQty]]+I2216,I2216)</f>
        <v>2630</v>
      </c>
      <c r="J2217" s="1">
        <f>IF(Query1[[#This Row],[ItemType]]="EVAP KIT UNIVERSAL",Query1[[#This Row],[OrderQty]]+J2216,J2216)</f>
        <v>1185</v>
      </c>
      <c r="K2217" s="1">
        <f>Query1[[#This Row],[SF Running Total]]+Query1[[#This Row],[UNIV Running Total]]</f>
        <v>3815</v>
      </c>
      <c r="L2217">
        <f>VLOOKUP(Query1[[#This Row],[Description]],'kits to boards'!$B$2:$E$156,2,FALSE)</f>
        <v>830076</v>
      </c>
      <c r="M2217">
        <f>VLOOKUP(Query1[[#This Row],[Description]],'kits to boards'!$B$2:$E$156,3,FALSE)</f>
        <v>0</v>
      </c>
      <c r="N2217">
        <f>VLOOKUP(Query1[[#This Row],[Description]],'kits to boards'!$B$2:$E$156,4,FALSE)</f>
        <v>0</v>
      </c>
      <c r="O2217" t="str">
        <f>CONCATENATE(Query1[[#This Row],[Description]]," - ",Query1[[#This Row],[MB1]]," - ",Query1[[#This Row],[MB2]]," - ",Query1[[#This Row],[MB3]])</f>
        <v>EVAP KIT 64 1/2- 66 MUSTANG  - 830076 - 0 - 0</v>
      </c>
    </row>
    <row r="2218" spans="1:15" x14ac:dyDescent="0.25">
      <c r="A2218" s="1">
        <v>914829</v>
      </c>
      <c r="B2218" s="1" t="s">
        <v>158</v>
      </c>
      <c r="C2218" s="1" t="s">
        <v>159</v>
      </c>
      <c r="D2218" s="2">
        <v>44634.325396215281</v>
      </c>
      <c r="E2218" s="1" t="s">
        <v>8</v>
      </c>
      <c r="F2218" s="1">
        <v>1</v>
      </c>
      <c r="G2218" s="1">
        <v>0</v>
      </c>
      <c r="H2218" s="6">
        <f>INT(Query1[[#This Row],[EntryDateTime]])</f>
        <v>44634</v>
      </c>
      <c r="I2218" s="1">
        <f>IF(Query1[[#This Row],[ItemType]]="EVAP KIT SF GEN IV",Query1[[#This Row],[OrderQty]]+I2217,I2217)</f>
        <v>2631</v>
      </c>
      <c r="J2218" s="1">
        <f>IF(Query1[[#This Row],[ItemType]]="EVAP KIT UNIVERSAL",Query1[[#This Row],[OrderQty]]+J2217,J2217)</f>
        <v>1185</v>
      </c>
      <c r="K2218" s="1">
        <f>Query1[[#This Row],[SF Running Total]]+Query1[[#This Row],[UNIV Running Total]]</f>
        <v>3816</v>
      </c>
      <c r="L2218">
        <f>VLOOKUP(Query1[[#This Row],[Description]],'kits to boards'!$B$2:$E$156,2,FALSE)</f>
        <v>830080</v>
      </c>
      <c r="M2218">
        <f>VLOOKUP(Query1[[#This Row],[Description]],'kits to boards'!$B$2:$E$156,3,FALSE)</f>
        <v>830046</v>
      </c>
      <c r="N2218">
        <f>VLOOKUP(Query1[[#This Row],[Description]],'kits to boards'!$B$2:$E$156,4,FALSE)</f>
        <v>0</v>
      </c>
      <c r="O2218" t="str">
        <f>CONCATENATE(Query1[[#This Row],[Description]]," - ",Query1[[#This Row],[MB1]]," - ",Query1[[#This Row],[MB2]]," - ",Query1[[#This Row],[MB3]])</f>
        <v>EVAP KIT 69-70 MUSTANG W/AC  - 830080 - 830046 - 0</v>
      </c>
    </row>
    <row r="2219" spans="1:15" x14ac:dyDescent="0.25">
      <c r="A2219" s="1">
        <v>914829</v>
      </c>
      <c r="B2219" s="1" t="s">
        <v>160</v>
      </c>
      <c r="C2219" s="1" t="s">
        <v>161</v>
      </c>
      <c r="D2219" s="2">
        <v>44634.325397916669</v>
      </c>
      <c r="E2219" s="1" t="s">
        <v>8</v>
      </c>
      <c r="F2219" s="1">
        <v>2</v>
      </c>
      <c r="G2219" s="1">
        <v>0</v>
      </c>
      <c r="H2219" s="6">
        <f>INT(Query1[[#This Row],[EntryDateTime]])</f>
        <v>44634</v>
      </c>
      <c r="I2219" s="1">
        <f>IF(Query1[[#This Row],[ItemType]]="EVAP KIT SF GEN IV",Query1[[#This Row],[OrderQty]]+I2218,I2218)</f>
        <v>2633</v>
      </c>
      <c r="J2219" s="1">
        <f>IF(Query1[[#This Row],[ItemType]]="EVAP KIT UNIVERSAL",Query1[[#This Row],[OrderQty]]+J2218,J2218)</f>
        <v>1185</v>
      </c>
      <c r="K2219" s="1">
        <f>Query1[[#This Row],[SF Running Total]]+Query1[[#This Row],[UNIV Running Total]]</f>
        <v>3818</v>
      </c>
      <c r="L2219">
        <f>VLOOKUP(Query1[[#This Row],[Description]],'kits to boards'!$B$2:$E$156,2,FALSE)</f>
        <v>830083</v>
      </c>
      <c r="M2219">
        <f>VLOOKUP(Query1[[#This Row],[Description]],'kits to boards'!$B$2:$E$156,3,FALSE)</f>
        <v>0</v>
      </c>
      <c r="N2219">
        <f>VLOOKUP(Query1[[#This Row],[Description]],'kits to boards'!$B$2:$E$156,4,FALSE)</f>
        <v>0</v>
      </c>
      <c r="O2219" t="str">
        <f>CONCATENATE(Query1[[#This Row],[Description]]," - ",Query1[[#This Row],[MB1]]," - ",Query1[[#This Row],[MB2]]," - ",Query1[[#This Row],[MB3]])</f>
        <v>EVAP KIT 70-74 CHALNGR/CUDA WO AC - 830083 - 0 - 0</v>
      </c>
    </row>
    <row r="2220" spans="1:15" x14ac:dyDescent="0.25">
      <c r="A2220" s="1">
        <v>914829</v>
      </c>
      <c r="B2220" s="1" t="s">
        <v>162</v>
      </c>
      <c r="C2220" s="1" t="s">
        <v>163</v>
      </c>
      <c r="D2220" s="2">
        <v>44634.325399652778</v>
      </c>
      <c r="E2220" s="1" t="s">
        <v>8</v>
      </c>
      <c r="F2220" s="1">
        <v>1</v>
      </c>
      <c r="G2220" s="1">
        <v>0</v>
      </c>
      <c r="H2220" s="6">
        <f>INT(Query1[[#This Row],[EntryDateTime]])</f>
        <v>44634</v>
      </c>
      <c r="I2220" s="1">
        <f>IF(Query1[[#This Row],[ItemType]]="EVAP KIT SF GEN IV",Query1[[#This Row],[OrderQty]]+I2219,I2219)</f>
        <v>2634</v>
      </c>
      <c r="J2220" s="1">
        <f>IF(Query1[[#This Row],[ItemType]]="EVAP KIT UNIVERSAL",Query1[[#This Row],[OrderQty]]+J2219,J2219)</f>
        <v>1185</v>
      </c>
      <c r="K2220" s="1">
        <f>Query1[[#This Row],[SF Running Total]]+Query1[[#This Row],[UNIV Running Total]]</f>
        <v>3819</v>
      </c>
      <c r="L2220">
        <f>VLOOKUP(Query1[[#This Row],[Description]],'kits to boards'!$B$2:$E$156,2,FALSE)</f>
        <v>830083</v>
      </c>
      <c r="M2220">
        <f>VLOOKUP(Query1[[#This Row],[Description]],'kits to boards'!$B$2:$E$156,3,FALSE)</f>
        <v>0</v>
      </c>
      <c r="N2220">
        <f>VLOOKUP(Query1[[#This Row],[Description]],'kits to boards'!$B$2:$E$156,4,FALSE)</f>
        <v>0</v>
      </c>
      <c r="O2220" t="str">
        <f>CONCATENATE(Query1[[#This Row],[Description]]," - ",Query1[[#This Row],[MB1]]," - ",Query1[[#This Row],[MB2]]," - ",Query1[[#This Row],[MB3]])</f>
        <v>EVAP KIT 70-74 CHALNGR/CUDA W/AC W/RD - 830083 - 0 - 0</v>
      </c>
    </row>
    <row r="2221" spans="1:15" x14ac:dyDescent="0.25">
      <c r="A2221" s="1">
        <v>914829</v>
      </c>
      <c r="B2221" s="1" t="s">
        <v>164</v>
      </c>
      <c r="C2221" s="1" t="s">
        <v>165</v>
      </c>
      <c r="D2221" s="2">
        <v>44634.325401354166</v>
      </c>
      <c r="E2221" s="1" t="s">
        <v>8</v>
      </c>
      <c r="F2221" s="1">
        <v>1</v>
      </c>
      <c r="G2221" s="1">
        <v>0</v>
      </c>
      <c r="H2221" s="6">
        <f>INT(Query1[[#This Row],[EntryDateTime]])</f>
        <v>44634</v>
      </c>
      <c r="I2221" s="1">
        <f>IF(Query1[[#This Row],[ItemType]]="EVAP KIT SF GEN IV",Query1[[#This Row],[OrderQty]]+I2220,I2220)</f>
        <v>2635</v>
      </c>
      <c r="J2221" s="1">
        <f>IF(Query1[[#This Row],[ItemType]]="EVAP KIT UNIVERSAL",Query1[[#This Row],[OrderQty]]+J2220,J2220)</f>
        <v>1185</v>
      </c>
      <c r="K2221" s="1">
        <f>Query1[[#This Row],[SF Running Total]]+Query1[[#This Row],[UNIV Running Total]]</f>
        <v>3820</v>
      </c>
      <c r="L2221">
        <f>VLOOKUP(Query1[[#This Row],[Description]],'kits to boards'!$B$2:$E$156,2,FALSE)</f>
        <v>830083</v>
      </c>
      <c r="M2221">
        <f>VLOOKUP(Query1[[#This Row],[Description]],'kits to boards'!$B$2:$E$156,3,FALSE)</f>
        <v>0</v>
      </c>
      <c r="N2221">
        <f>VLOOKUP(Query1[[#This Row],[Description]],'kits to boards'!$B$2:$E$156,4,FALSE)</f>
        <v>0</v>
      </c>
      <c r="O2221" t="str">
        <f>CONCATENATE(Query1[[#This Row],[Description]]," - ",Query1[[#This Row],[MB1]]," - ",Query1[[#This Row],[MB2]]," - ",Query1[[#This Row],[MB3]])</f>
        <v>EVAP KIT 70-74 CHALNGR/CUDA W/AC - 830083 - 0 - 0</v>
      </c>
    </row>
    <row r="2222" spans="1:15" x14ac:dyDescent="0.25">
      <c r="A2222" s="1">
        <v>914829</v>
      </c>
      <c r="B2222" s="1" t="s">
        <v>166</v>
      </c>
      <c r="C2222" s="1" t="s">
        <v>167</v>
      </c>
      <c r="D2222" s="2">
        <v>44634.325403090275</v>
      </c>
      <c r="E2222" s="1" t="s">
        <v>8</v>
      </c>
      <c r="F2222" s="1">
        <v>2</v>
      </c>
      <c r="G2222" s="1">
        <v>0</v>
      </c>
      <c r="H2222" s="6">
        <f>INT(Query1[[#This Row],[EntryDateTime]])</f>
        <v>44634</v>
      </c>
      <c r="I2222" s="1">
        <f>IF(Query1[[#This Row],[ItemType]]="EVAP KIT SF GEN IV",Query1[[#This Row],[OrderQty]]+I2221,I2221)</f>
        <v>2637</v>
      </c>
      <c r="J2222" s="1">
        <f>IF(Query1[[#This Row],[ItemType]]="EVAP KIT UNIVERSAL",Query1[[#This Row],[OrderQty]]+J2221,J2221)</f>
        <v>1185</v>
      </c>
      <c r="K2222" s="1">
        <f>Query1[[#This Row],[SF Running Total]]+Query1[[#This Row],[UNIV Running Total]]</f>
        <v>3822</v>
      </c>
      <c r="L2222">
        <f>VLOOKUP(Query1[[#This Row],[Description]],'kits to boards'!$B$2:$E$156,2,FALSE)</f>
        <v>830063</v>
      </c>
      <c r="M2222">
        <f>VLOOKUP(Query1[[#This Row],[Description]],'kits to boards'!$B$2:$E$156,3,FALSE)</f>
        <v>0</v>
      </c>
      <c r="N2222">
        <f>VLOOKUP(Query1[[#This Row],[Description]],'kits to boards'!$B$2:$E$156,4,FALSE)</f>
        <v>0</v>
      </c>
      <c r="O2222" t="str">
        <f>CONCATENATE(Query1[[#This Row],[Description]]," - ",Query1[[#This Row],[MB1]]," - ",Query1[[#This Row],[MB2]]," - ",Query1[[#This Row],[MB3]])</f>
        <v>EVAP KIT 47-49 CHEV P-UP GEN IV - 830063 - 0 - 0</v>
      </c>
    </row>
    <row r="2223" spans="1:15" x14ac:dyDescent="0.25">
      <c r="A2223" s="1">
        <v>914829</v>
      </c>
      <c r="B2223" s="1" t="s">
        <v>92</v>
      </c>
      <c r="C2223" s="1" t="s">
        <v>93</v>
      </c>
      <c r="D2223" s="2">
        <v>44634.325404826392</v>
      </c>
      <c r="E2223" s="1" t="s">
        <v>8</v>
      </c>
      <c r="F2223" s="1">
        <v>1</v>
      </c>
      <c r="G2223" s="1">
        <v>0</v>
      </c>
      <c r="H2223" s="6">
        <f>INT(Query1[[#This Row],[EntryDateTime]])</f>
        <v>44634</v>
      </c>
      <c r="I2223" s="1">
        <f>IF(Query1[[#This Row],[ItemType]]="EVAP KIT SF GEN IV",Query1[[#This Row],[OrderQty]]+I2222,I2222)</f>
        <v>2638</v>
      </c>
      <c r="J2223" s="1">
        <f>IF(Query1[[#This Row],[ItemType]]="EVAP KIT UNIVERSAL",Query1[[#This Row],[OrderQty]]+J2222,J2222)</f>
        <v>1185</v>
      </c>
      <c r="K2223" s="1">
        <f>Query1[[#This Row],[SF Running Total]]+Query1[[#This Row],[UNIV Running Total]]</f>
        <v>3823</v>
      </c>
      <c r="L2223">
        <f>VLOOKUP(Query1[[#This Row],[Description]],'kits to boards'!$B$2:$E$156,2,FALSE)</f>
        <v>830063</v>
      </c>
      <c r="M2223">
        <f>VLOOKUP(Query1[[#This Row],[Description]],'kits to boards'!$B$2:$E$156,3,FALSE)</f>
        <v>0</v>
      </c>
      <c r="N2223">
        <f>VLOOKUP(Query1[[#This Row],[Description]],'kits to boards'!$B$2:$E$156,4,FALSE)</f>
        <v>0</v>
      </c>
      <c r="O2223" t="str">
        <f>CONCATENATE(Query1[[#This Row],[Description]]," - ",Query1[[#This Row],[MB1]]," - ",Query1[[#This Row],[MB2]]," - ",Query1[[#This Row],[MB3]])</f>
        <v>EVAP KIT 50-53 CHEV P-UP GEN IV - 830063 - 0 - 0</v>
      </c>
    </row>
    <row r="2224" spans="1:15" x14ac:dyDescent="0.25">
      <c r="A2224" s="1">
        <v>914829</v>
      </c>
      <c r="B2224" s="1" t="s">
        <v>168</v>
      </c>
      <c r="C2224" s="1" t="s">
        <v>169</v>
      </c>
      <c r="D2224" s="2">
        <v>44634.325406516204</v>
      </c>
      <c r="E2224" s="1" t="s">
        <v>8</v>
      </c>
      <c r="F2224" s="1">
        <v>1</v>
      </c>
      <c r="G2224" s="1">
        <v>0</v>
      </c>
      <c r="H2224" s="6">
        <f>INT(Query1[[#This Row],[EntryDateTime]])</f>
        <v>44634</v>
      </c>
      <c r="I2224" s="1">
        <f>IF(Query1[[#This Row],[ItemType]]="EVAP KIT SF GEN IV",Query1[[#This Row],[OrderQty]]+I2223,I2223)</f>
        <v>2639</v>
      </c>
      <c r="J2224" s="1">
        <f>IF(Query1[[#This Row],[ItemType]]="EVAP KIT UNIVERSAL",Query1[[#This Row],[OrderQty]]+J2223,J2223)</f>
        <v>1185</v>
      </c>
      <c r="K2224" s="1">
        <f>Query1[[#This Row],[SF Running Total]]+Query1[[#This Row],[UNIV Running Total]]</f>
        <v>3824</v>
      </c>
      <c r="L2224">
        <f>VLOOKUP(Query1[[#This Row],[Description]],'kits to boards'!$B$2:$E$156,2,FALSE)</f>
        <v>830028</v>
      </c>
      <c r="M2224">
        <f>VLOOKUP(Query1[[#This Row],[Description]],'kits to boards'!$B$2:$E$156,3,FALSE)</f>
        <v>0</v>
      </c>
      <c r="N2224">
        <f>VLOOKUP(Query1[[#This Row],[Description]],'kits to boards'!$B$2:$E$156,4,FALSE)</f>
        <v>0</v>
      </c>
      <c r="O2224" t="str">
        <f>CONCATENATE(Query1[[#This Row],[Description]]," - ",Query1[[#This Row],[MB1]]," - ",Query1[[#This Row],[MB2]]," - ",Query1[[#This Row],[MB3]])</f>
        <v>EVAP KIT 55-59 CHEV P-UP WO AC W/STD  - 830028 - 0 - 0</v>
      </c>
    </row>
    <row r="2225" spans="1:15" x14ac:dyDescent="0.25">
      <c r="A2225" s="1">
        <v>914829</v>
      </c>
      <c r="B2225" s="1" t="s">
        <v>36</v>
      </c>
      <c r="C2225" s="1" t="s">
        <v>37</v>
      </c>
      <c r="D2225" s="2">
        <v>44634.325408252313</v>
      </c>
      <c r="E2225" s="1" t="s">
        <v>8</v>
      </c>
      <c r="F2225" s="1">
        <v>2</v>
      </c>
      <c r="G2225" s="1">
        <v>0</v>
      </c>
      <c r="H2225" s="6">
        <f>INT(Query1[[#This Row],[EntryDateTime]])</f>
        <v>44634</v>
      </c>
      <c r="I2225" s="1">
        <f>IF(Query1[[#This Row],[ItemType]]="EVAP KIT SF GEN IV",Query1[[#This Row],[OrderQty]]+I2224,I2224)</f>
        <v>2641</v>
      </c>
      <c r="J2225" s="1">
        <f>IF(Query1[[#This Row],[ItemType]]="EVAP KIT UNIVERSAL",Query1[[#This Row],[OrderQty]]+J2224,J2224)</f>
        <v>1185</v>
      </c>
      <c r="K2225" s="1">
        <f>Query1[[#This Row],[SF Running Total]]+Query1[[#This Row],[UNIV Running Total]]</f>
        <v>3826</v>
      </c>
      <c r="L2225">
        <f>VLOOKUP(Query1[[#This Row],[Description]],'kits to boards'!$B$2:$E$156,2,FALSE)</f>
        <v>830015</v>
      </c>
      <c r="M2225">
        <f>VLOOKUP(Query1[[#This Row],[Description]],'kits to boards'!$B$2:$E$156,3,FALSE)</f>
        <v>0</v>
      </c>
      <c r="N2225">
        <f>VLOOKUP(Query1[[#This Row],[Description]],'kits to boards'!$B$2:$E$156,4,FALSE)</f>
        <v>0</v>
      </c>
      <c r="O2225" t="str">
        <f>CONCATENATE(Query1[[#This Row],[Description]]," - ",Query1[[#This Row],[MB1]]," - ",Query1[[#This Row],[MB2]]," - ",Query1[[#This Row],[MB3]])</f>
        <v>EVAP KIT 64-66 CHEV P-UP WO AC W/STD - 830015 - 0 - 0</v>
      </c>
    </row>
    <row r="2226" spans="1:15" x14ac:dyDescent="0.25">
      <c r="A2226" s="1">
        <v>914829</v>
      </c>
      <c r="B2226" s="1" t="s">
        <v>42</v>
      </c>
      <c r="C2226" s="1" t="s">
        <v>43</v>
      </c>
      <c r="D2226" s="2">
        <v>44634.325409953701</v>
      </c>
      <c r="E2226" s="1" t="s">
        <v>8</v>
      </c>
      <c r="F2226" s="1">
        <v>5</v>
      </c>
      <c r="G2226" s="1">
        <v>0</v>
      </c>
      <c r="H2226" s="6">
        <f>INT(Query1[[#This Row],[EntryDateTime]])</f>
        <v>44634</v>
      </c>
      <c r="I2226" s="1">
        <f>IF(Query1[[#This Row],[ItemType]]="EVAP KIT SF GEN IV",Query1[[#This Row],[OrderQty]]+I2225,I2225)</f>
        <v>2646</v>
      </c>
      <c r="J2226" s="1">
        <f>IF(Query1[[#This Row],[ItemType]]="EVAP KIT UNIVERSAL",Query1[[#This Row],[OrderQty]]+J2225,J2225)</f>
        <v>1185</v>
      </c>
      <c r="K2226" s="1">
        <f>Query1[[#This Row],[SF Running Total]]+Query1[[#This Row],[UNIV Running Total]]</f>
        <v>3831</v>
      </c>
      <c r="L2226">
        <f>VLOOKUP(Query1[[#This Row],[Description]],'kits to boards'!$B$2:$E$156,2,FALSE)</f>
        <v>830014</v>
      </c>
      <c r="M2226">
        <f>VLOOKUP(Query1[[#This Row],[Description]],'kits to boards'!$B$2:$E$156,3,FALSE)</f>
        <v>0</v>
      </c>
      <c r="N2226">
        <f>VLOOKUP(Query1[[#This Row],[Description]],'kits to boards'!$B$2:$E$156,4,FALSE)</f>
        <v>0</v>
      </c>
      <c r="O2226" t="str">
        <f>CONCATENATE(Query1[[#This Row],[Description]]," - ",Query1[[#This Row],[MB1]]," - ",Query1[[#This Row],[MB2]]," - ",Query1[[#This Row],[MB3]])</f>
        <v>EVAP KIT 67-72 CHEV P-UP WO AC - 830014 - 0 - 0</v>
      </c>
    </row>
    <row r="2227" spans="1:15" x14ac:dyDescent="0.25">
      <c r="A2227" s="1">
        <v>914829</v>
      </c>
      <c r="B2227" s="1" t="s">
        <v>26</v>
      </c>
      <c r="C2227" s="1" t="s">
        <v>27</v>
      </c>
      <c r="D2227" s="2">
        <v>44634.325411689817</v>
      </c>
      <c r="E2227" s="1" t="s">
        <v>8</v>
      </c>
      <c r="F2227" s="1">
        <v>4</v>
      </c>
      <c r="G2227" s="1">
        <v>0</v>
      </c>
      <c r="H2227" s="6">
        <f>INT(Query1[[#This Row],[EntryDateTime]])</f>
        <v>44634</v>
      </c>
      <c r="I2227" s="1">
        <f>IF(Query1[[#This Row],[ItemType]]="EVAP KIT SF GEN IV",Query1[[#This Row],[OrderQty]]+I2226,I2226)</f>
        <v>2650</v>
      </c>
      <c r="J2227" s="1">
        <f>IF(Query1[[#This Row],[ItemType]]="EVAP KIT UNIVERSAL",Query1[[#This Row],[OrderQty]]+J2226,J2226)</f>
        <v>1185</v>
      </c>
      <c r="K2227" s="1">
        <f>Query1[[#This Row],[SF Running Total]]+Query1[[#This Row],[UNIV Running Total]]</f>
        <v>3835</v>
      </c>
      <c r="L2227">
        <f>VLOOKUP(Query1[[#This Row],[Description]],'kits to boards'!$B$2:$E$156,2,FALSE)</f>
        <v>830013</v>
      </c>
      <c r="M2227">
        <f>VLOOKUP(Query1[[#This Row],[Description]],'kits to boards'!$B$2:$E$156,3,FALSE)</f>
        <v>0</v>
      </c>
      <c r="N2227">
        <f>VLOOKUP(Query1[[#This Row],[Description]],'kits to boards'!$B$2:$E$156,4,FALSE)</f>
        <v>0</v>
      </c>
      <c r="O2227" t="str">
        <f>CONCATENATE(Query1[[#This Row],[Description]]," - ",Query1[[#This Row],[MB1]]," - ",Query1[[#This Row],[MB2]]," - ",Query1[[#This Row],[MB3]])</f>
        <v>EVAP KIT 67-72 CHEV P-UP W/AC - 830013 - 0 - 0</v>
      </c>
    </row>
    <row r="2228" spans="1:15" x14ac:dyDescent="0.25">
      <c r="A2228" s="1">
        <v>914829</v>
      </c>
      <c r="B2228" s="1" t="s">
        <v>124</v>
      </c>
      <c r="C2228" s="1" t="s">
        <v>125</v>
      </c>
      <c r="D2228" s="2">
        <v>44634.325413391205</v>
      </c>
      <c r="E2228" s="1" t="s">
        <v>8</v>
      </c>
      <c r="F2228" s="1">
        <v>4</v>
      </c>
      <c r="G2228" s="1">
        <v>0</v>
      </c>
      <c r="H2228" s="6">
        <f>INT(Query1[[#This Row],[EntryDateTime]])</f>
        <v>44634</v>
      </c>
      <c r="I2228" s="1">
        <f>IF(Query1[[#This Row],[ItemType]]="EVAP KIT SF GEN IV",Query1[[#This Row],[OrderQty]]+I2227,I2227)</f>
        <v>2654</v>
      </c>
      <c r="J2228" s="1">
        <f>IF(Query1[[#This Row],[ItemType]]="EVAP KIT UNIVERSAL",Query1[[#This Row],[OrderQty]]+J2227,J2227)</f>
        <v>1185</v>
      </c>
      <c r="K2228" s="1">
        <f>Query1[[#This Row],[SF Running Total]]+Query1[[#This Row],[UNIV Running Total]]</f>
        <v>3839</v>
      </c>
      <c r="L2228">
        <f>VLOOKUP(Query1[[#This Row],[Description]],'kits to boards'!$B$2:$E$156,2,FALSE)</f>
        <v>830002</v>
      </c>
      <c r="M2228">
        <f>VLOOKUP(Query1[[#This Row],[Description]],'kits to boards'!$B$2:$E$156,3,FALSE)</f>
        <v>0</v>
      </c>
      <c r="N2228">
        <f>VLOOKUP(Query1[[#This Row],[Description]],'kits to boards'!$B$2:$E$156,4,FALSE)</f>
        <v>0</v>
      </c>
      <c r="O2228" t="str">
        <f>CONCATENATE(Query1[[#This Row],[Description]]," - ",Query1[[#This Row],[MB1]]," - ",Query1[[#This Row],[MB2]]," - ",Query1[[#This Row],[MB3]])</f>
        <v>EVAP KIT 73-80 CHEV P-UP WO AC - 830002 - 0 - 0</v>
      </c>
    </row>
    <row r="2229" spans="1:15" x14ac:dyDescent="0.25">
      <c r="A2229" s="1">
        <v>914829</v>
      </c>
      <c r="B2229" s="1" t="s">
        <v>28</v>
      </c>
      <c r="C2229" s="1" t="s">
        <v>29</v>
      </c>
      <c r="D2229" s="2">
        <v>44634.325415127314</v>
      </c>
      <c r="E2229" s="1" t="s">
        <v>8</v>
      </c>
      <c r="F2229" s="1">
        <v>3</v>
      </c>
      <c r="G2229" s="1">
        <v>0</v>
      </c>
      <c r="H2229" s="6">
        <f>INT(Query1[[#This Row],[EntryDateTime]])</f>
        <v>44634</v>
      </c>
      <c r="I2229" s="1">
        <f>IF(Query1[[#This Row],[ItemType]]="EVAP KIT SF GEN IV",Query1[[#This Row],[OrderQty]]+I2228,I2228)</f>
        <v>2657</v>
      </c>
      <c r="J2229" s="1">
        <f>IF(Query1[[#This Row],[ItemType]]="EVAP KIT UNIVERSAL",Query1[[#This Row],[OrderQty]]+J2228,J2228)</f>
        <v>1185</v>
      </c>
      <c r="K2229" s="1">
        <f>Query1[[#This Row],[SF Running Total]]+Query1[[#This Row],[UNIV Running Total]]</f>
        <v>3842</v>
      </c>
      <c r="L2229">
        <f>VLOOKUP(Query1[[#This Row],[Description]],'kits to boards'!$B$2:$E$156,2,FALSE)</f>
        <v>830001</v>
      </c>
      <c r="M2229">
        <f>VLOOKUP(Query1[[#This Row],[Description]],'kits to boards'!$B$2:$E$156,3,FALSE)</f>
        <v>0</v>
      </c>
      <c r="N2229">
        <f>VLOOKUP(Query1[[#This Row],[Description]],'kits to boards'!$B$2:$E$156,4,FALSE)</f>
        <v>0</v>
      </c>
      <c r="O2229" t="str">
        <f>CONCATENATE(Query1[[#This Row],[Description]]," - ",Query1[[#This Row],[MB1]]," - ",Query1[[#This Row],[MB2]]," - ",Query1[[#This Row],[MB3]])</f>
        <v>EVAP KIT 73-80 CHEV P-UP W/AC - 830001 - 0 - 0</v>
      </c>
    </row>
    <row r="2230" spans="1:15" x14ac:dyDescent="0.25">
      <c r="A2230" s="1">
        <v>914829</v>
      </c>
      <c r="B2230" s="1" t="s">
        <v>88</v>
      </c>
      <c r="C2230" s="1" t="s">
        <v>89</v>
      </c>
      <c r="D2230" s="2">
        <v>44634.325416817126</v>
      </c>
      <c r="E2230" s="1" t="s">
        <v>8</v>
      </c>
      <c r="F2230" s="1">
        <v>2</v>
      </c>
      <c r="G2230" s="1">
        <v>0</v>
      </c>
      <c r="H2230" s="6">
        <f>INT(Query1[[#This Row],[EntryDateTime]])</f>
        <v>44634</v>
      </c>
      <c r="I2230" s="1">
        <f>IF(Query1[[#This Row],[ItemType]]="EVAP KIT SF GEN IV",Query1[[#This Row],[OrderQty]]+I2229,I2229)</f>
        <v>2659</v>
      </c>
      <c r="J2230" s="1">
        <f>IF(Query1[[#This Row],[ItemType]]="EVAP KIT UNIVERSAL",Query1[[#This Row],[OrderQty]]+J2229,J2229)</f>
        <v>1185</v>
      </c>
      <c r="K2230" s="1">
        <f>Query1[[#This Row],[SF Running Total]]+Query1[[#This Row],[UNIV Running Total]]</f>
        <v>3844</v>
      </c>
      <c r="L2230">
        <f>VLOOKUP(Query1[[#This Row],[Description]],'kits to boards'!$B$2:$E$156,2,FALSE)</f>
        <v>830003</v>
      </c>
      <c r="M2230">
        <f>VLOOKUP(Query1[[#This Row],[Description]],'kits to boards'!$B$2:$E$156,3,FALSE)</f>
        <v>0</v>
      </c>
      <c r="N2230">
        <f>VLOOKUP(Query1[[#This Row],[Description]],'kits to boards'!$B$2:$E$156,4,FALSE)</f>
        <v>0</v>
      </c>
      <c r="O2230" t="str">
        <f>CONCATENATE(Query1[[#This Row],[Description]]," - ",Query1[[#This Row],[MB1]]," - ",Query1[[#This Row],[MB2]]," - ",Query1[[#This Row],[MB3]])</f>
        <v>EVAP KIT 81-87 CHEV P-UP WO AC - 830003 - 0 - 0</v>
      </c>
    </row>
    <row r="2231" spans="1:15" x14ac:dyDescent="0.25">
      <c r="A2231" s="1">
        <v>914829</v>
      </c>
      <c r="B2231" s="1" t="s">
        <v>96</v>
      </c>
      <c r="C2231" s="1" t="s">
        <v>97</v>
      </c>
      <c r="D2231" s="2">
        <v>44634.325418518521</v>
      </c>
      <c r="E2231" s="1" t="s">
        <v>8</v>
      </c>
      <c r="F2231" s="1">
        <v>8</v>
      </c>
      <c r="G2231" s="1">
        <v>0</v>
      </c>
      <c r="H2231" s="6">
        <f>INT(Query1[[#This Row],[EntryDateTime]])</f>
        <v>44634</v>
      </c>
      <c r="I2231" s="1">
        <f>IF(Query1[[#This Row],[ItemType]]="EVAP KIT SF GEN IV",Query1[[#This Row],[OrderQty]]+I2230,I2230)</f>
        <v>2667</v>
      </c>
      <c r="J2231" s="1">
        <f>IF(Query1[[#This Row],[ItemType]]="EVAP KIT UNIVERSAL",Query1[[#This Row],[OrderQty]]+J2230,J2230)</f>
        <v>1185</v>
      </c>
      <c r="K2231" s="1">
        <f>Query1[[#This Row],[SF Running Total]]+Query1[[#This Row],[UNIV Running Total]]</f>
        <v>3852</v>
      </c>
      <c r="L2231">
        <f>VLOOKUP(Query1[[#This Row],[Description]],'kits to boards'!$B$2:$E$156,2,FALSE)</f>
        <v>830004</v>
      </c>
      <c r="M2231">
        <f>VLOOKUP(Query1[[#This Row],[Description]],'kits to boards'!$B$2:$E$156,3,FALSE)</f>
        <v>0</v>
      </c>
      <c r="N2231">
        <f>VLOOKUP(Query1[[#This Row],[Description]],'kits to boards'!$B$2:$E$156,4,FALSE)</f>
        <v>0</v>
      </c>
      <c r="O2231" t="str">
        <f>CONCATENATE(Query1[[#This Row],[Description]]," - ",Query1[[#This Row],[MB1]]," - ",Query1[[#This Row],[MB2]]," - ",Query1[[#This Row],[MB3]])</f>
        <v>EVAP KIT 81-87 CHEV P-UP W/AC - 830004 - 0 - 0</v>
      </c>
    </row>
    <row r="2232" spans="1:15" x14ac:dyDescent="0.25">
      <c r="A2232" s="1">
        <v>914829</v>
      </c>
      <c r="B2232" s="1" t="s">
        <v>170</v>
      </c>
      <c r="C2232" s="1" t="s">
        <v>171</v>
      </c>
      <c r="D2232" s="2">
        <v>44634.32542025463</v>
      </c>
      <c r="E2232" s="1" t="s">
        <v>8</v>
      </c>
      <c r="F2232" s="1">
        <v>3</v>
      </c>
      <c r="G2232" s="1">
        <v>0</v>
      </c>
      <c r="H2232" s="6">
        <f>INT(Query1[[#This Row],[EntryDateTime]])</f>
        <v>44634</v>
      </c>
      <c r="I2232" s="1">
        <f>IF(Query1[[#This Row],[ItemType]]="EVAP KIT SF GEN IV",Query1[[#This Row],[OrderQty]]+I2231,I2231)</f>
        <v>2670</v>
      </c>
      <c r="J2232" s="1">
        <f>IF(Query1[[#This Row],[ItemType]]="EVAP KIT UNIVERSAL",Query1[[#This Row],[OrderQty]]+J2231,J2231)</f>
        <v>1185</v>
      </c>
      <c r="K2232" s="1">
        <f>Query1[[#This Row],[SF Running Total]]+Query1[[#This Row],[UNIV Running Total]]</f>
        <v>3855</v>
      </c>
      <c r="L2232">
        <f>VLOOKUP(Query1[[#This Row],[Description]],'kits to boards'!$B$2:$E$156,2,FALSE)</f>
        <v>830018</v>
      </c>
      <c r="M2232">
        <f>VLOOKUP(Query1[[#This Row],[Description]],'kits to boards'!$B$2:$E$156,3,FALSE)</f>
        <v>0</v>
      </c>
      <c r="N2232">
        <f>VLOOKUP(Query1[[#This Row],[Description]],'kits to boards'!$B$2:$E$156,4,FALSE)</f>
        <v>0</v>
      </c>
      <c r="O2232" t="str">
        <f>CONCATENATE(Query1[[#This Row],[Description]]," - ",Query1[[#This Row],[MB1]]," - ",Query1[[#This Row],[MB2]]," - ",Query1[[#This Row],[MB3]])</f>
        <v>EVAP KIT 67 FORD P-UP F-100 - 830018 - 0 - 0</v>
      </c>
    </row>
    <row r="2233" spans="1:15" x14ac:dyDescent="0.25">
      <c r="A2233" s="1">
        <v>914829</v>
      </c>
      <c r="B2233" s="1" t="s">
        <v>46</v>
      </c>
      <c r="C2233" s="1" t="s">
        <v>47</v>
      </c>
      <c r="D2233" s="2">
        <v>44634.325421956019</v>
      </c>
      <c r="E2233" s="1" t="s">
        <v>8</v>
      </c>
      <c r="F2233" s="1">
        <v>12</v>
      </c>
      <c r="G2233" s="1">
        <v>0</v>
      </c>
      <c r="H2233" s="6">
        <f>INT(Query1[[#This Row],[EntryDateTime]])</f>
        <v>44634</v>
      </c>
      <c r="I2233" s="1">
        <f>IF(Query1[[#This Row],[ItemType]]="EVAP KIT SF GEN IV",Query1[[#This Row],[OrderQty]]+I2232,I2232)</f>
        <v>2682</v>
      </c>
      <c r="J2233" s="1">
        <f>IF(Query1[[#This Row],[ItemType]]="EVAP KIT UNIVERSAL",Query1[[#This Row],[OrderQty]]+J2232,J2232)</f>
        <v>1185</v>
      </c>
      <c r="K2233" s="1">
        <f>Query1[[#This Row],[SF Running Total]]+Query1[[#This Row],[UNIV Running Total]]</f>
        <v>3867</v>
      </c>
      <c r="L2233">
        <f>VLOOKUP(Query1[[#This Row],[Description]],'kits to boards'!$B$2:$E$156,2,FALSE)</f>
        <v>830018</v>
      </c>
      <c r="M2233">
        <f>VLOOKUP(Query1[[#This Row],[Description]],'kits to boards'!$B$2:$E$156,3,FALSE)</f>
        <v>0</v>
      </c>
      <c r="N2233">
        <f>VLOOKUP(Query1[[#This Row],[Description]],'kits to boards'!$B$2:$E$156,4,FALSE)</f>
        <v>0</v>
      </c>
      <c r="O2233" t="str">
        <f>CONCATENATE(Query1[[#This Row],[Description]]," - ",Query1[[#This Row],[MB1]]," - ",Query1[[#This Row],[MB2]]," - ",Query1[[#This Row],[MB3]])</f>
        <v>EVAP KIT 68-72 FORD P-UP F-100 - 830018 - 0 - 0</v>
      </c>
    </row>
    <row r="2234" spans="1:15" x14ac:dyDescent="0.25">
      <c r="A2234" s="1">
        <v>914829</v>
      </c>
      <c r="B2234" s="1" t="s">
        <v>108</v>
      </c>
      <c r="C2234" s="1" t="s">
        <v>109</v>
      </c>
      <c r="D2234" s="2">
        <v>44634.325423692128</v>
      </c>
      <c r="E2234" s="1" t="s">
        <v>8</v>
      </c>
      <c r="F2234" s="1">
        <v>2</v>
      </c>
      <c r="G2234" s="1">
        <v>0</v>
      </c>
      <c r="H2234" s="6">
        <f>INT(Query1[[#This Row],[EntryDateTime]])</f>
        <v>44634</v>
      </c>
      <c r="I2234" s="1">
        <f>IF(Query1[[#This Row],[ItemType]]="EVAP KIT SF GEN IV",Query1[[#This Row],[OrderQty]]+I2233,I2233)</f>
        <v>2684</v>
      </c>
      <c r="J2234" s="1">
        <f>IF(Query1[[#This Row],[ItemType]]="EVAP KIT UNIVERSAL",Query1[[#This Row],[OrderQty]]+J2233,J2233)</f>
        <v>1185</v>
      </c>
      <c r="K2234" s="1">
        <f>Query1[[#This Row],[SF Running Total]]+Query1[[#This Row],[UNIV Running Total]]</f>
        <v>3869</v>
      </c>
      <c r="L2234">
        <f>VLOOKUP(Query1[[#This Row],[Description]],'kits to boards'!$B$2:$E$156,2,FALSE)</f>
        <v>830105</v>
      </c>
      <c r="M2234">
        <f>VLOOKUP(Query1[[#This Row],[Description]],'kits to boards'!$B$2:$E$156,3,FALSE)</f>
        <v>830106</v>
      </c>
      <c r="N2234">
        <f>VLOOKUP(Query1[[#This Row],[Description]],'kits to boards'!$B$2:$E$156,4,FALSE)</f>
        <v>0</v>
      </c>
      <c r="O2234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2235" spans="1:15" x14ac:dyDescent="0.25">
      <c r="A2235" s="1">
        <v>914829</v>
      </c>
      <c r="B2235" s="1" t="s">
        <v>90</v>
      </c>
      <c r="C2235" s="1" t="s">
        <v>91</v>
      </c>
      <c r="D2235" s="2">
        <v>44634.325425381947</v>
      </c>
      <c r="E2235" s="1" t="s">
        <v>8</v>
      </c>
      <c r="F2235" s="1">
        <v>2</v>
      </c>
      <c r="G2235" s="1">
        <v>0</v>
      </c>
      <c r="H2235" s="6">
        <f>INT(Query1[[#This Row],[EntryDateTime]])</f>
        <v>44634</v>
      </c>
      <c r="I2235" s="1">
        <f>IF(Query1[[#This Row],[ItemType]]="EVAP KIT SF GEN IV",Query1[[#This Row],[OrderQty]]+I2234,I2234)</f>
        <v>2686</v>
      </c>
      <c r="J2235" s="1">
        <f>IF(Query1[[#This Row],[ItemType]]="EVAP KIT UNIVERSAL",Query1[[#This Row],[OrderQty]]+J2234,J2234)</f>
        <v>1185</v>
      </c>
      <c r="K2235" s="1">
        <f>Query1[[#This Row],[SF Running Total]]+Query1[[#This Row],[UNIV Running Total]]</f>
        <v>3871</v>
      </c>
      <c r="L2235">
        <f>VLOOKUP(Query1[[#This Row],[Description]],'kits to boards'!$B$2:$E$156,2,FALSE)</f>
        <v>830105</v>
      </c>
      <c r="M2235">
        <f>VLOOKUP(Query1[[#This Row],[Description]],'kits to boards'!$B$2:$E$156,3,FALSE)</f>
        <v>830106</v>
      </c>
      <c r="N2235">
        <f>VLOOKUP(Query1[[#This Row],[Description]],'kits to boards'!$B$2:$E$156,4,FALSE)</f>
        <v>0</v>
      </c>
      <c r="O2235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2236" spans="1:15" x14ac:dyDescent="0.25">
      <c r="A2236" s="1">
        <v>914829</v>
      </c>
      <c r="B2236" s="1" t="s">
        <v>6</v>
      </c>
      <c r="C2236" s="1" t="s">
        <v>7</v>
      </c>
      <c r="D2236" s="2">
        <v>44634.325427118056</v>
      </c>
      <c r="E2236" s="1" t="s">
        <v>8</v>
      </c>
      <c r="F2236" s="1">
        <v>7</v>
      </c>
      <c r="G2236" s="1">
        <v>0</v>
      </c>
      <c r="H2236" s="6">
        <f>INT(Query1[[#This Row],[EntryDateTime]])</f>
        <v>44634</v>
      </c>
      <c r="I2236" s="1">
        <f>IF(Query1[[#This Row],[ItemType]]="EVAP KIT SF GEN IV",Query1[[#This Row],[OrderQty]]+I2235,I2235)</f>
        <v>2693</v>
      </c>
      <c r="J2236" s="1">
        <f>IF(Query1[[#This Row],[ItemType]]="EVAP KIT UNIVERSAL",Query1[[#This Row],[OrderQty]]+J2235,J2235)</f>
        <v>1185</v>
      </c>
      <c r="K2236" s="1">
        <f>Query1[[#This Row],[SF Running Total]]+Query1[[#This Row],[UNIV Running Total]]</f>
        <v>3878</v>
      </c>
      <c r="L2236">
        <f>VLOOKUP(Query1[[#This Row],[Description]],'kits to boards'!$B$2:$E$156,2,FALSE)</f>
        <v>830132</v>
      </c>
      <c r="M2236">
        <f>VLOOKUP(Query1[[#This Row],[Description]],'kits to boards'!$B$2:$E$156,3,FALSE)</f>
        <v>0</v>
      </c>
      <c r="N2236">
        <f>VLOOKUP(Query1[[#This Row],[Description]],'kits to boards'!$B$2:$E$156,4,FALSE)</f>
        <v>0</v>
      </c>
      <c r="O2236" t="str">
        <f>CONCATENATE(Query1[[#This Row],[Description]]," - ",Query1[[#This Row],[MB1]]," - ",Query1[[#This Row],[MB2]]," - ",Query1[[#This Row],[MB3]])</f>
        <v>EVAP KIT 82-88 MONTE CARLO/EL CAMINO - 830132 - 0 - 0</v>
      </c>
    </row>
    <row r="2237" spans="1:15" x14ac:dyDescent="0.25">
      <c r="A2237" s="1">
        <v>914834</v>
      </c>
      <c r="B2237" s="1" t="s">
        <v>502</v>
      </c>
      <c r="C2237" s="1" t="s">
        <v>503</v>
      </c>
      <c r="D2237" s="2">
        <v>44634.341129629633</v>
      </c>
      <c r="E2237" s="1" t="s">
        <v>677</v>
      </c>
      <c r="F2237" s="1">
        <v>1</v>
      </c>
      <c r="G2237" s="1">
        <v>0</v>
      </c>
      <c r="H2237" s="6">
        <f>INT(Query1[[#This Row],[EntryDateTime]])</f>
        <v>44634</v>
      </c>
      <c r="I2237" s="1">
        <f>IF(Query1[[#This Row],[ItemType]]="EVAP KIT SF GEN IV",Query1[[#This Row],[OrderQty]]+I2236,I2236)</f>
        <v>2693</v>
      </c>
      <c r="J2237" s="1">
        <f>IF(Query1[[#This Row],[ItemType]]="EVAP KIT UNIVERSAL",Query1[[#This Row],[OrderQty]]+J2236,J2236)</f>
        <v>1185</v>
      </c>
      <c r="K2237" s="1">
        <f>Query1[[#This Row],[SF Running Total]]+Query1[[#This Row],[UNIV Running Total]]</f>
        <v>3878</v>
      </c>
      <c r="L2237" t="e">
        <f>VLOOKUP(Query1[[#This Row],[Description]],'kits to boards'!$B$2:$E$156,2,FALSE)</f>
        <v>#N/A</v>
      </c>
      <c r="M2237" t="e">
        <f>VLOOKUP(Query1[[#This Row],[Description]],'kits to boards'!$B$2:$E$156,3,FALSE)</f>
        <v>#N/A</v>
      </c>
      <c r="N2237" t="e">
        <f>VLOOKUP(Query1[[#This Row],[Description]],'kits to boards'!$B$2:$E$156,4,FALSE)</f>
        <v>#N/A</v>
      </c>
      <c r="O2237" t="e">
        <f>CONCATENATE(Query1[[#This Row],[Description]]," - ",Query1[[#This Row],[MB1]]," - ",Query1[[#This Row],[MB2]]," - ",Query1[[#This Row],[MB3]])</f>
        <v>#N/A</v>
      </c>
    </row>
    <row r="2238" spans="1:15" x14ac:dyDescent="0.25">
      <c r="A2238" s="1">
        <v>914836</v>
      </c>
      <c r="B2238" s="1" t="s">
        <v>174</v>
      </c>
      <c r="C2238" s="1" t="s">
        <v>175</v>
      </c>
      <c r="D2238" s="2">
        <v>44634.343271874997</v>
      </c>
      <c r="E2238" s="1" t="s">
        <v>8</v>
      </c>
      <c r="F2238" s="1">
        <v>1</v>
      </c>
      <c r="G2238" s="1">
        <v>0</v>
      </c>
      <c r="H2238" s="6">
        <f>INT(Query1[[#This Row],[EntryDateTime]])</f>
        <v>44634</v>
      </c>
      <c r="I2238" s="1">
        <f>IF(Query1[[#This Row],[ItemType]]="EVAP KIT SF GEN IV",Query1[[#This Row],[OrderQty]]+I2237,I2237)</f>
        <v>2694</v>
      </c>
      <c r="J2238" s="1">
        <f>IF(Query1[[#This Row],[ItemType]]="EVAP KIT UNIVERSAL",Query1[[#This Row],[OrderQty]]+J2237,J2237)</f>
        <v>1185</v>
      </c>
      <c r="K2238" s="1">
        <f>Query1[[#This Row],[SF Running Total]]+Query1[[#This Row],[UNIV Running Total]]</f>
        <v>3879</v>
      </c>
      <c r="L2238">
        <f>VLOOKUP(Query1[[#This Row],[Description]],'kits to boards'!$B$2:$E$156,2,FALSE)</f>
        <v>830007</v>
      </c>
      <c r="M2238">
        <f>VLOOKUP(Query1[[#This Row],[Description]],'kits to boards'!$B$2:$E$156,3,FALSE)</f>
        <v>0</v>
      </c>
      <c r="N2238">
        <f>VLOOKUP(Query1[[#This Row],[Description]],'kits to boards'!$B$2:$E$156,4,FALSE)</f>
        <v>0</v>
      </c>
      <c r="O2238" t="str">
        <f>CONCATENATE(Query1[[#This Row],[Description]]," - ",Query1[[#This Row],[MB1]]," - ",Query1[[#This Row],[MB2]]," - ",Query1[[#This Row],[MB3]])</f>
        <v>EVAP KIT 64 IMPALA W/AC - 830007 - 0 - 0</v>
      </c>
    </row>
    <row r="2239" spans="1:15" x14ac:dyDescent="0.25">
      <c r="A2239" s="1">
        <v>914839</v>
      </c>
      <c r="B2239" s="1" t="s">
        <v>42</v>
      </c>
      <c r="C2239" s="1" t="s">
        <v>43</v>
      </c>
      <c r="D2239" s="2">
        <v>44634.344617939816</v>
      </c>
      <c r="E2239" s="1" t="s">
        <v>8</v>
      </c>
      <c r="F2239" s="1">
        <v>1</v>
      </c>
      <c r="G2239" s="1">
        <v>0</v>
      </c>
      <c r="H2239" s="6">
        <f>INT(Query1[[#This Row],[EntryDateTime]])</f>
        <v>44634</v>
      </c>
      <c r="I2239" s="1">
        <f>IF(Query1[[#This Row],[ItemType]]="EVAP KIT SF GEN IV",Query1[[#This Row],[OrderQty]]+I2238,I2238)</f>
        <v>2695</v>
      </c>
      <c r="J2239" s="1">
        <f>IF(Query1[[#This Row],[ItemType]]="EVAP KIT UNIVERSAL",Query1[[#This Row],[OrderQty]]+J2238,J2238)</f>
        <v>1185</v>
      </c>
      <c r="K2239" s="1">
        <f>Query1[[#This Row],[SF Running Total]]+Query1[[#This Row],[UNIV Running Total]]</f>
        <v>3880</v>
      </c>
      <c r="L2239">
        <f>VLOOKUP(Query1[[#This Row],[Description]],'kits to boards'!$B$2:$E$156,2,FALSE)</f>
        <v>830014</v>
      </c>
      <c r="M2239">
        <f>VLOOKUP(Query1[[#This Row],[Description]],'kits to boards'!$B$2:$E$156,3,FALSE)</f>
        <v>0</v>
      </c>
      <c r="N2239">
        <f>VLOOKUP(Query1[[#This Row],[Description]],'kits to boards'!$B$2:$E$156,4,FALSE)</f>
        <v>0</v>
      </c>
      <c r="O2239" t="str">
        <f>CONCATENATE(Query1[[#This Row],[Description]]," - ",Query1[[#This Row],[MB1]]," - ",Query1[[#This Row],[MB2]]," - ",Query1[[#This Row],[MB3]])</f>
        <v>EVAP KIT 67-72 CHEV P-UP WO AC - 830014 - 0 - 0</v>
      </c>
    </row>
    <row r="2240" spans="1:15" x14ac:dyDescent="0.25">
      <c r="A2240" s="1">
        <v>914441</v>
      </c>
      <c r="B2240" s="1" t="s">
        <v>506</v>
      </c>
      <c r="C2240" s="1" t="s">
        <v>507</v>
      </c>
      <c r="D2240" s="2">
        <v>44634.345752233799</v>
      </c>
      <c r="E2240" s="1" t="s">
        <v>677</v>
      </c>
      <c r="F2240" s="1">
        <v>1</v>
      </c>
      <c r="G2240" s="1">
        <v>0</v>
      </c>
      <c r="H2240" s="6">
        <f>INT(Query1[[#This Row],[EntryDateTime]])</f>
        <v>44634</v>
      </c>
      <c r="I2240" s="1">
        <f>IF(Query1[[#This Row],[ItemType]]="EVAP KIT SF GEN IV",Query1[[#This Row],[OrderQty]]+I2239,I2239)</f>
        <v>2695</v>
      </c>
      <c r="J2240" s="1">
        <f>IF(Query1[[#This Row],[ItemType]]="EVAP KIT UNIVERSAL",Query1[[#This Row],[OrderQty]]+J2239,J2239)</f>
        <v>1185</v>
      </c>
      <c r="K2240" s="1">
        <f>Query1[[#This Row],[SF Running Total]]+Query1[[#This Row],[UNIV Running Total]]</f>
        <v>3880</v>
      </c>
      <c r="L2240" t="e">
        <f>VLOOKUP(Query1[[#This Row],[Description]],'kits to boards'!$B$2:$E$156,2,FALSE)</f>
        <v>#N/A</v>
      </c>
      <c r="M2240" t="e">
        <f>VLOOKUP(Query1[[#This Row],[Description]],'kits to boards'!$B$2:$E$156,3,FALSE)</f>
        <v>#N/A</v>
      </c>
      <c r="N2240" t="e">
        <f>VLOOKUP(Query1[[#This Row],[Description]],'kits to boards'!$B$2:$E$156,4,FALSE)</f>
        <v>#N/A</v>
      </c>
      <c r="O2240" t="e">
        <f>CONCATENATE(Query1[[#This Row],[Description]]," - ",Query1[[#This Row],[MB1]]," - ",Query1[[#This Row],[MB2]]," - ",Query1[[#This Row],[MB3]])</f>
        <v>#N/A</v>
      </c>
    </row>
    <row r="2241" spans="1:15" x14ac:dyDescent="0.25">
      <c r="A2241" s="1">
        <v>914832</v>
      </c>
      <c r="B2241" s="1" t="s">
        <v>140</v>
      </c>
      <c r="C2241" s="1" t="s">
        <v>141</v>
      </c>
      <c r="D2241" s="2">
        <v>44634.345758449075</v>
      </c>
      <c r="E2241" s="1" t="s">
        <v>8</v>
      </c>
      <c r="F2241" s="1">
        <v>1</v>
      </c>
      <c r="G2241" s="1">
        <v>0</v>
      </c>
      <c r="H2241" s="6">
        <f>INT(Query1[[#This Row],[EntryDateTime]])</f>
        <v>44634</v>
      </c>
      <c r="I2241" s="1">
        <f>IF(Query1[[#This Row],[ItemType]]="EVAP KIT SF GEN IV",Query1[[#This Row],[OrderQty]]+I2240,I2240)</f>
        <v>2696</v>
      </c>
      <c r="J2241" s="1">
        <f>IF(Query1[[#This Row],[ItemType]]="EVAP KIT UNIVERSAL",Query1[[#This Row],[OrderQty]]+J2240,J2240)</f>
        <v>1185</v>
      </c>
      <c r="K2241" s="1">
        <f>Query1[[#This Row],[SF Running Total]]+Query1[[#This Row],[UNIV Running Total]]</f>
        <v>3881</v>
      </c>
      <c r="L2241">
        <f>VLOOKUP(Query1[[#This Row],[Description]],'kits to boards'!$B$2:$E$156,2,FALSE)</f>
        <v>830066</v>
      </c>
      <c r="M2241">
        <f>VLOOKUP(Query1[[#This Row],[Description]],'kits to boards'!$B$2:$E$156,3,FALSE)</f>
        <v>0</v>
      </c>
      <c r="N2241">
        <f>VLOOKUP(Query1[[#This Row],[Description]],'kits to boards'!$B$2:$E$156,4,FALSE)</f>
        <v>0</v>
      </c>
      <c r="O2241" t="str">
        <f>CONCATENATE(Query1[[#This Row],[Description]]," - ",Query1[[#This Row],[MB1]]," - ",Query1[[#This Row],[MB2]]," - ",Query1[[#This Row],[MB3]])</f>
        <v>EVAP KIT 60-63 CHEV P-UP WO AC - 830066 - 0 - 0</v>
      </c>
    </row>
    <row r="2242" spans="1:15" x14ac:dyDescent="0.25">
      <c r="A2242" s="1">
        <v>914838</v>
      </c>
      <c r="B2242" s="1" t="s">
        <v>74</v>
      </c>
      <c r="C2242" s="1" t="s">
        <v>75</v>
      </c>
      <c r="D2242" s="2">
        <v>44634.349160497688</v>
      </c>
      <c r="E2242" s="1" t="s">
        <v>8</v>
      </c>
      <c r="F2242" s="1">
        <v>1</v>
      </c>
      <c r="G2242" s="1">
        <v>0</v>
      </c>
      <c r="H2242" s="6">
        <f>INT(Query1[[#This Row],[EntryDateTime]])</f>
        <v>44634</v>
      </c>
      <c r="I2242" s="1">
        <f>IF(Query1[[#This Row],[ItemType]]="EVAP KIT SF GEN IV",Query1[[#This Row],[OrderQty]]+I2241,I2241)</f>
        <v>2697</v>
      </c>
      <c r="J2242" s="1">
        <f>IF(Query1[[#This Row],[ItemType]]="EVAP KIT UNIVERSAL",Query1[[#This Row],[OrderQty]]+J2241,J2241)</f>
        <v>1185</v>
      </c>
      <c r="K2242" s="1">
        <f>Query1[[#This Row],[SF Running Total]]+Query1[[#This Row],[UNIV Running Total]]</f>
        <v>3882</v>
      </c>
      <c r="L2242">
        <f>VLOOKUP(Query1[[#This Row],[Description]],'kits to boards'!$B$2:$E$156,2,FALSE)</f>
        <v>830065</v>
      </c>
      <c r="M2242">
        <f>VLOOKUP(Query1[[#This Row],[Description]],'kits to boards'!$B$2:$E$156,3,FALSE)</f>
        <v>0</v>
      </c>
      <c r="N2242">
        <f>VLOOKUP(Query1[[#This Row],[Description]],'kits to boards'!$B$2:$E$156,4,FALSE)</f>
        <v>0</v>
      </c>
      <c r="O2242" t="str">
        <f>CONCATENATE(Query1[[#This Row],[Description]]," - ",Query1[[#This Row],[MB1]]," - ",Query1[[#This Row],[MB2]]," - ",Query1[[#This Row],[MB3]])</f>
        <v>EVAP KIT 57 CHEV WO AC 4-VENT PLENUM - 830065 - 0 - 0</v>
      </c>
    </row>
    <row r="2243" spans="1:15" x14ac:dyDescent="0.25">
      <c r="A2243" s="1">
        <v>914851</v>
      </c>
      <c r="B2243" s="1" t="s">
        <v>24</v>
      </c>
      <c r="C2243" s="1" t="s">
        <v>25</v>
      </c>
      <c r="D2243" s="2">
        <v>44634.357552118054</v>
      </c>
      <c r="E2243" s="1" t="s">
        <v>11</v>
      </c>
      <c r="F2243" s="1">
        <v>1</v>
      </c>
      <c r="G2243" s="1">
        <v>0</v>
      </c>
      <c r="H2243" s="6">
        <f>INT(Query1[[#This Row],[EntryDateTime]])</f>
        <v>44634</v>
      </c>
      <c r="I2243" s="1">
        <f>IF(Query1[[#This Row],[ItemType]]="EVAP KIT SF GEN IV",Query1[[#This Row],[OrderQty]]+I2242,I2242)</f>
        <v>2697</v>
      </c>
      <c r="J2243" s="1">
        <f>IF(Query1[[#This Row],[ItemType]]="EVAP KIT UNIVERSAL",Query1[[#This Row],[OrderQty]]+J2242,J2242)</f>
        <v>1186</v>
      </c>
      <c r="K2243" s="1">
        <f>Query1[[#This Row],[SF Running Total]]+Query1[[#This Row],[UNIV Running Total]]</f>
        <v>3883</v>
      </c>
      <c r="L2243">
        <f>VLOOKUP(Query1[[#This Row],[Description]],'kits to boards'!$B$2:$E$156,2,FALSE)</f>
        <v>830029</v>
      </c>
      <c r="M2243">
        <f>VLOOKUP(Query1[[#This Row],[Description]],'kits to boards'!$B$2:$E$156,3,FALSE)</f>
        <v>830030</v>
      </c>
      <c r="N2243">
        <f>VLOOKUP(Query1[[#This Row],[Description]],'kits to boards'!$B$2:$E$156,4,FALSE)</f>
        <v>0</v>
      </c>
      <c r="O2243" t="str">
        <f>CONCATENATE(Query1[[#This Row],[Description]]," - ",Query1[[#This Row],[MB1]]," - ",Query1[[#This Row],[MB2]]," - ",Query1[[#This Row],[MB3]])</f>
        <v>ComPac GEN II W/DEF - 830029 - 830030 - 0</v>
      </c>
    </row>
    <row r="2244" spans="1:15" x14ac:dyDescent="0.25">
      <c r="A2244" s="1">
        <v>914852</v>
      </c>
      <c r="B2244" s="1" t="s">
        <v>172</v>
      </c>
      <c r="C2244" s="1" t="s">
        <v>173</v>
      </c>
      <c r="D2244" s="2">
        <v>44634.357623379627</v>
      </c>
      <c r="E2244" s="1" t="s">
        <v>11</v>
      </c>
      <c r="F2244" s="1">
        <v>1</v>
      </c>
      <c r="G2244" s="1">
        <v>0</v>
      </c>
      <c r="H2244" s="6">
        <f>INT(Query1[[#This Row],[EntryDateTime]])</f>
        <v>44634</v>
      </c>
      <c r="I2244" s="1">
        <f>IF(Query1[[#This Row],[ItemType]]="EVAP KIT SF GEN IV",Query1[[#This Row],[OrderQty]]+I2243,I2243)</f>
        <v>2697</v>
      </c>
      <c r="J2244" s="1">
        <f>IF(Query1[[#This Row],[ItemType]]="EVAP KIT UNIVERSAL",Query1[[#This Row],[OrderQty]]+J2243,J2243)</f>
        <v>1187</v>
      </c>
      <c r="K2244" s="1">
        <f>Query1[[#This Row],[SF Running Total]]+Query1[[#This Row],[UNIV Running Total]]</f>
        <v>3884</v>
      </c>
      <c r="L2244">
        <f>VLOOKUP(Query1[[#This Row],[Description]],'kits to boards'!$B$2:$E$156,2,FALSE)</f>
        <v>0</v>
      </c>
      <c r="M2244">
        <f>VLOOKUP(Query1[[#This Row],[Description]],'kits to boards'!$B$2:$E$156,3,FALSE)</f>
        <v>0</v>
      </c>
      <c r="N2244">
        <f>VLOOKUP(Query1[[#This Row],[Description]],'kits to boards'!$B$2:$E$156,4,FALSE)</f>
        <v>0</v>
      </c>
      <c r="O2244" t="str">
        <f>CONCATENATE(Query1[[#This Row],[Description]]," - ",Query1[[#This Row],[MB1]]," - ",Query1[[#This Row],[MB2]]," - ",Query1[[#This Row],[MB3]])</f>
        <v>HERITAGE PEARL EVAP KIT COOL ONLY - 0 - 0 - 0</v>
      </c>
    </row>
    <row r="2245" spans="1:15" x14ac:dyDescent="0.25">
      <c r="A2245" s="1">
        <v>914835</v>
      </c>
      <c r="B2245" s="1" t="s">
        <v>152</v>
      </c>
      <c r="C2245" s="1" t="s">
        <v>153</v>
      </c>
      <c r="D2245" s="2">
        <v>44634.36315798611</v>
      </c>
      <c r="E2245" s="1" t="s">
        <v>8</v>
      </c>
      <c r="F2245" s="1">
        <v>1</v>
      </c>
      <c r="G2245" s="1">
        <v>0</v>
      </c>
      <c r="H2245" s="6">
        <f>INT(Query1[[#This Row],[EntryDateTime]])</f>
        <v>44634</v>
      </c>
      <c r="I2245" s="1">
        <f>IF(Query1[[#This Row],[ItemType]]="EVAP KIT SF GEN IV",Query1[[#This Row],[OrderQty]]+I2244,I2244)</f>
        <v>2698</v>
      </c>
      <c r="J2245" s="1">
        <f>IF(Query1[[#This Row],[ItemType]]="EVAP KIT UNIVERSAL",Query1[[#This Row],[OrderQty]]+J2244,J2244)</f>
        <v>1187</v>
      </c>
      <c r="K2245" s="1">
        <f>Query1[[#This Row],[SF Running Total]]+Query1[[#This Row],[UNIV Running Total]]</f>
        <v>3885</v>
      </c>
      <c r="L2245">
        <f>VLOOKUP(Query1[[#This Row],[Description]],'kits to boards'!$B$2:$E$156,2,FALSE)</f>
        <v>830034</v>
      </c>
      <c r="M2245">
        <f>VLOOKUP(Query1[[#This Row],[Description]],'kits to boards'!$B$2:$E$156,3,FALSE)</f>
        <v>0</v>
      </c>
      <c r="N2245">
        <f>VLOOKUP(Query1[[#This Row],[Description]],'kits to boards'!$B$2:$E$156,4,FALSE)</f>
        <v>0</v>
      </c>
      <c r="O2245" t="str">
        <f>CONCATENATE(Query1[[#This Row],[Description]]," - ",Query1[[#This Row],[MB1]]," - ",Query1[[#This Row],[MB2]]," - ",Query1[[#This Row],[MB3]])</f>
        <v>EVAP KIT 64-67 GTO WO AC - 830034 - 0 - 0</v>
      </c>
    </row>
    <row r="2246" spans="1:15" x14ac:dyDescent="0.25">
      <c r="A2246" s="1">
        <v>914863</v>
      </c>
      <c r="B2246" s="1" t="s">
        <v>114</v>
      </c>
      <c r="C2246" s="1" t="s">
        <v>115</v>
      </c>
      <c r="D2246" s="2">
        <v>44634.374830243054</v>
      </c>
      <c r="E2246" s="1" t="s">
        <v>8</v>
      </c>
      <c r="F2246" s="1">
        <v>1</v>
      </c>
      <c r="G2246" s="1">
        <v>0</v>
      </c>
      <c r="H2246" s="6">
        <f>INT(Query1[[#This Row],[EntryDateTime]])</f>
        <v>44634</v>
      </c>
      <c r="I2246" s="1">
        <f>IF(Query1[[#This Row],[ItemType]]="EVAP KIT SF GEN IV",Query1[[#This Row],[OrderQty]]+I2245,I2245)</f>
        <v>2699</v>
      </c>
      <c r="J2246" s="1">
        <f>IF(Query1[[#This Row],[ItemType]]="EVAP KIT UNIVERSAL",Query1[[#This Row],[OrderQty]]+J2245,J2245)</f>
        <v>1187</v>
      </c>
      <c r="K2246" s="1">
        <f>Query1[[#This Row],[SF Running Total]]+Query1[[#This Row],[UNIV Running Total]]</f>
        <v>3886</v>
      </c>
      <c r="L2246">
        <f>VLOOKUP(Query1[[#This Row],[Description]],'kits to boards'!$B$2:$E$156,2,FALSE)</f>
        <v>830059</v>
      </c>
      <c r="M2246">
        <f>VLOOKUP(Query1[[#This Row],[Description]],'kits to boards'!$B$2:$E$156,3,FALSE)</f>
        <v>0</v>
      </c>
      <c r="N2246">
        <f>VLOOKUP(Query1[[#This Row],[Description]],'kits to boards'!$B$2:$E$156,4,FALSE)</f>
        <v>0</v>
      </c>
      <c r="O2246" t="str">
        <f>CONCATENATE(Query1[[#This Row],[Description]]," - ",Query1[[#This Row],[MB1]]," - ",Query1[[#This Row],[MB2]]," - ",Query1[[#This Row],[MB3]])</f>
        <v>EVAP KIT 66-67 CHEVELLE W/AC - 830059 - 0 - 0</v>
      </c>
    </row>
    <row r="2247" spans="1:15" x14ac:dyDescent="0.25">
      <c r="A2247" s="1">
        <v>914864</v>
      </c>
      <c r="B2247" s="1" t="s">
        <v>196</v>
      </c>
      <c r="C2247" s="1" t="s">
        <v>197</v>
      </c>
      <c r="D2247" s="2">
        <v>44634.376156053244</v>
      </c>
      <c r="E2247" s="1" t="s">
        <v>11</v>
      </c>
      <c r="F2247" s="1">
        <v>1</v>
      </c>
      <c r="G2247" s="1">
        <v>0</v>
      </c>
      <c r="H2247" s="6">
        <f>INT(Query1[[#This Row],[EntryDateTime]])</f>
        <v>44634</v>
      </c>
      <c r="I2247" s="1">
        <f>IF(Query1[[#This Row],[ItemType]]="EVAP KIT SF GEN IV",Query1[[#This Row],[OrderQty]]+I2246,I2246)</f>
        <v>2699</v>
      </c>
      <c r="J2247" s="1">
        <f>IF(Query1[[#This Row],[ItemType]]="EVAP KIT UNIVERSAL",Query1[[#This Row],[OrderQty]]+J2246,J2246)</f>
        <v>1188</v>
      </c>
      <c r="K2247" s="1">
        <f>Query1[[#This Row],[SF Running Total]]+Query1[[#This Row],[UNIV Running Total]]</f>
        <v>3887</v>
      </c>
      <c r="L2247">
        <f>VLOOKUP(Query1[[#This Row],[Description]],'kits to boards'!$B$2:$E$156,2,FALSE)</f>
        <v>830090</v>
      </c>
      <c r="M2247">
        <f>VLOOKUP(Query1[[#This Row],[Description]],'kits to boards'!$B$2:$E$156,3,FALSE)</f>
        <v>0</v>
      </c>
      <c r="N2247">
        <f>VLOOKUP(Query1[[#This Row],[Description]],'kits to boards'!$B$2:$E$156,4,FALSE)</f>
        <v>0</v>
      </c>
      <c r="O2247" t="str">
        <f>CONCATENATE(Query1[[#This Row],[Description]]," - ",Query1[[#This Row],[MB1]]," - ",Query1[[#This Row],[MB2]]," - ",Query1[[#This Row],[MB3]])</f>
        <v>TRUNK UNIT HEAT/COOL 134A - 830090 - 0 - 0</v>
      </c>
    </row>
    <row r="2248" spans="1:15" x14ac:dyDescent="0.25">
      <c r="A2248" s="1">
        <v>914353</v>
      </c>
      <c r="B2248" s="1" t="s">
        <v>30</v>
      </c>
      <c r="C2248" s="1" t="s">
        <v>31</v>
      </c>
      <c r="D2248" s="2">
        <v>44634.379507557867</v>
      </c>
      <c r="E2248" s="1" t="s">
        <v>8</v>
      </c>
      <c r="F2248" s="1">
        <v>1</v>
      </c>
      <c r="G2248" s="1">
        <v>0</v>
      </c>
      <c r="H2248" s="6">
        <f>INT(Query1[[#This Row],[EntryDateTime]])</f>
        <v>44634</v>
      </c>
      <c r="I2248" s="1">
        <f>IF(Query1[[#This Row],[ItemType]]="EVAP KIT SF GEN IV",Query1[[#This Row],[OrderQty]]+I2247,I2247)</f>
        <v>2700</v>
      </c>
      <c r="J2248" s="1">
        <f>IF(Query1[[#This Row],[ItemType]]="EVAP KIT UNIVERSAL",Query1[[#This Row],[OrderQty]]+J2247,J2247)</f>
        <v>1188</v>
      </c>
      <c r="K2248" s="1">
        <f>Query1[[#This Row],[SF Running Total]]+Query1[[#This Row],[UNIV Running Total]]</f>
        <v>3888</v>
      </c>
      <c r="L2248">
        <f>VLOOKUP(Query1[[#This Row],[Description]],'kits to boards'!$B$2:$E$156,2,FALSE)</f>
        <v>830054</v>
      </c>
      <c r="M2248">
        <f>VLOOKUP(Query1[[#This Row],[Description]],'kits to boards'!$B$2:$E$156,3,FALSE)</f>
        <v>0</v>
      </c>
      <c r="N2248">
        <f>VLOOKUP(Query1[[#This Row],[Description]],'kits to boards'!$B$2:$E$156,4,FALSE)</f>
        <v>0</v>
      </c>
      <c r="O2248" t="str">
        <f>CONCATENATE(Query1[[#This Row],[Description]]," - ",Query1[[#This Row],[MB1]]," - ",Query1[[#This Row],[MB2]]," - ",Query1[[#This Row],[MB3]])</f>
        <v>EVAP KIT 55-56 CHEVY 4-VENT - 830054 - 0 - 0</v>
      </c>
    </row>
    <row r="2249" spans="1:15" x14ac:dyDescent="0.25">
      <c r="A2249" s="1">
        <v>914869</v>
      </c>
      <c r="B2249" s="1" t="s">
        <v>26</v>
      </c>
      <c r="C2249" s="1" t="s">
        <v>27</v>
      </c>
      <c r="D2249" s="2">
        <v>44634.38182962963</v>
      </c>
      <c r="E2249" s="1" t="s">
        <v>8</v>
      </c>
      <c r="F2249" s="1">
        <v>1</v>
      </c>
      <c r="G2249" s="1">
        <v>0</v>
      </c>
      <c r="H2249" s="6">
        <f>INT(Query1[[#This Row],[EntryDateTime]])</f>
        <v>44634</v>
      </c>
      <c r="I2249" s="1">
        <f>IF(Query1[[#This Row],[ItemType]]="EVAP KIT SF GEN IV",Query1[[#This Row],[OrderQty]]+I2248,I2248)</f>
        <v>2701</v>
      </c>
      <c r="J2249" s="1">
        <f>IF(Query1[[#This Row],[ItemType]]="EVAP KIT UNIVERSAL",Query1[[#This Row],[OrderQty]]+J2248,J2248)</f>
        <v>1188</v>
      </c>
      <c r="K2249" s="1">
        <f>Query1[[#This Row],[SF Running Total]]+Query1[[#This Row],[UNIV Running Total]]</f>
        <v>3889</v>
      </c>
      <c r="L2249">
        <f>VLOOKUP(Query1[[#This Row],[Description]],'kits to boards'!$B$2:$E$156,2,FALSE)</f>
        <v>830013</v>
      </c>
      <c r="M2249">
        <f>VLOOKUP(Query1[[#This Row],[Description]],'kits to boards'!$B$2:$E$156,3,FALSE)</f>
        <v>0</v>
      </c>
      <c r="N2249">
        <f>VLOOKUP(Query1[[#This Row],[Description]],'kits to boards'!$B$2:$E$156,4,FALSE)</f>
        <v>0</v>
      </c>
      <c r="O2249" t="str">
        <f>CONCATENATE(Query1[[#This Row],[Description]]," - ",Query1[[#This Row],[MB1]]," - ",Query1[[#This Row],[MB2]]," - ",Query1[[#This Row],[MB3]])</f>
        <v>EVAP KIT 67-72 CHEV P-UP W/AC - 830013 - 0 - 0</v>
      </c>
    </row>
    <row r="2250" spans="1:15" x14ac:dyDescent="0.25">
      <c r="A2250" s="1">
        <v>914871</v>
      </c>
      <c r="B2250" s="1" t="s">
        <v>46</v>
      </c>
      <c r="C2250" s="1" t="s">
        <v>47</v>
      </c>
      <c r="D2250" s="2">
        <v>44634.383164780091</v>
      </c>
      <c r="E2250" s="1" t="s">
        <v>8</v>
      </c>
      <c r="F2250" s="1">
        <v>1</v>
      </c>
      <c r="G2250" s="1">
        <v>0</v>
      </c>
      <c r="H2250" s="6">
        <f>INT(Query1[[#This Row],[EntryDateTime]])</f>
        <v>44634</v>
      </c>
      <c r="I2250" s="1">
        <f>IF(Query1[[#This Row],[ItemType]]="EVAP KIT SF GEN IV",Query1[[#This Row],[OrderQty]]+I2249,I2249)</f>
        <v>2702</v>
      </c>
      <c r="J2250" s="1">
        <f>IF(Query1[[#This Row],[ItemType]]="EVAP KIT UNIVERSAL",Query1[[#This Row],[OrderQty]]+J2249,J2249)</f>
        <v>1188</v>
      </c>
      <c r="K2250" s="1">
        <f>Query1[[#This Row],[SF Running Total]]+Query1[[#This Row],[UNIV Running Total]]</f>
        <v>3890</v>
      </c>
      <c r="L2250">
        <f>VLOOKUP(Query1[[#This Row],[Description]],'kits to boards'!$B$2:$E$156,2,FALSE)</f>
        <v>830018</v>
      </c>
      <c r="M2250">
        <f>VLOOKUP(Query1[[#This Row],[Description]],'kits to boards'!$B$2:$E$156,3,FALSE)</f>
        <v>0</v>
      </c>
      <c r="N2250">
        <f>VLOOKUP(Query1[[#This Row],[Description]],'kits to boards'!$B$2:$E$156,4,FALSE)</f>
        <v>0</v>
      </c>
      <c r="O2250" t="str">
        <f>CONCATENATE(Query1[[#This Row],[Description]]," - ",Query1[[#This Row],[MB1]]," - ",Query1[[#This Row],[MB2]]," - ",Query1[[#This Row],[MB3]])</f>
        <v>EVAP KIT 68-72 FORD P-UP F-100 - 830018 - 0 - 0</v>
      </c>
    </row>
    <row r="2251" spans="1:15" x14ac:dyDescent="0.25">
      <c r="A2251" s="1">
        <v>914872</v>
      </c>
      <c r="B2251" s="1" t="s">
        <v>150</v>
      </c>
      <c r="C2251" s="1" t="s">
        <v>151</v>
      </c>
      <c r="D2251" s="2">
        <v>44634.385668784722</v>
      </c>
      <c r="E2251" s="1" t="s">
        <v>8</v>
      </c>
      <c r="F2251" s="1">
        <v>1</v>
      </c>
      <c r="G2251" s="1">
        <v>0</v>
      </c>
      <c r="H2251" s="6">
        <f>INT(Query1[[#This Row],[EntryDateTime]])</f>
        <v>44634</v>
      </c>
      <c r="I2251" s="1">
        <f>IF(Query1[[#This Row],[ItemType]]="EVAP KIT SF GEN IV",Query1[[#This Row],[OrderQty]]+I2250,I2250)</f>
        <v>2703</v>
      </c>
      <c r="J2251" s="1">
        <f>IF(Query1[[#This Row],[ItemType]]="EVAP KIT UNIVERSAL",Query1[[#This Row],[OrderQty]]+J2250,J2250)</f>
        <v>1188</v>
      </c>
      <c r="K2251" s="1">
        <f>Query1[[#This Row],[SF Running Total]]+Query1[[#This Row],[UNIV Running Total]]</f>
        <v>3891</v>
      </c>
      <c r="L2251">
        <f>VLOOKUP(Query1[[#This Row],[Description]],'kits to boards'!$B$2:$E$156,2,FALSE)</f>
        <v>830010</v>
      </c>
      <c r="M2251">
        <f>VLOOKUP(Query1[[#This Row],[Description]],'kits to boards'!$B$2:$E$156,3,FALSE)</f>
        <v>0</v>
      </c>
      <c r="N2251">
        <f>VLOOKUP(Query1[[#This Row],[Description]],'kits to boards'!$B$2:$E$156,4,FALSE)</f>
        <v>0</v>
      </c>
      <c r="O2251" t="str">
        <f>CONCATENATE(Query1[[#This Row],[Description]]," - ",Query1[[#This Row],[MB1]]," - ",Query1[[#This Row],[MB2]]," - ",Query1[[#This Row],[MB3]])</f>
        <v>EVAP KIT 70-72 MONTE CARLO W/AC - 830010 - 0 - 0</v>
      </c>
    </row>
    <row r="2252" spans="1:15" x14ac:dyDescent="0.25">
      <c r="A2252" s="1">
        <v>914875</v>
      </c>
      <c r="B2252" s="1" t="s">
        <v>94</v>
      </c>
      <c r="C2252" s="1" t="s">
        <v>95</v>
      </c>
      <c r="D2252" s="2">
        <v>44634.387197951386</v>
      </c>
      <c r="E2252" s="1" t="s">
        <v>8</v>
      </c>
      <c r="F2252" s="1">
        <v>1</v>
      </c>
      <c r="G2252" s="1">
        <v>0</v>
      </c>
      <c r="H2252" s="6">
        <f>INT(Query1[[#This Row],[EntryDateTime]])</f>
        <v>44634</v>
      </c>
      <c r="I2252" s="1">
        <f>IF(Query1[[#This Row],[ItemType]]="EVAP KIT SF GEN IV",Query1[[#This Row],[OrderQty]]+I2251,I2251)</f>
        <v>2704</v>
      </c>
      <c r="J2252" s="1">
        <f>IF(Query1[[#This Row],[ItemType]]="EVAP KIT UNIVERSAL",Query1[[#This Row],[OrderQty]]+J2251,J2251)</f>
        <v>1188</v>
      </c>
      <c r="K2252" s="1">
        <f>Query1[[#This Row],[SF Running Total]]+Query1[[#This Row],[UNIV Running Total]]</f>
        <v>3892</v>
      </c>
      <c r="L2252">
        <f>VLOOKUP(Query1[[#This Row],[Description]],'kits to boards'!$B$2:$E$156,2,FALSE)</f>
        <v>830076</v>
      </c>
      <c r="M2252">
        <f>VLOOKUP(Query1[[#This Row],[Description]],'kits to boards'!$B$2:$E$156,3,FALSE)</f>
        <v>0</v>
      </c>
      <c r="N2252">
        <f>VLOOKUP(Query1[[#This Row],[Description]],'kits to boards'!$B$2:$E$156,4,FALSE)</f>
        <v>0</v>
      </c>
      <c r="O2252" t="str">
        <f>CONCATENATE(Query1[[#This Row],[Description]]," - ",Query1[[#This Row],[MB1]]," - ",Query1[[#This Row],[MB2]]," - ",Query1[[#This Row],[MB3]])</f>
        <v>EVAP KIT 64 1/2- 66 MUSTANG  - 830076 - 0 - 0</v>
      </c>
    </row>
    <row r="2253" spans="1:15" x14ac:dyDescent="0.25">
      <c r="A2253" s="1">
        <v>914879</v>
      </c>
      <c r="B2253" s="1" t="s">
        <v>212</v>
      </c>
      <c r="C2253" s="1" t="s">
        <v>213</v>
      </c>
      <c r="D2253" s="2">
        <v>44634.392001157408</v>
      </c>
      <c r="E2253" s="1" t="s">
        <v>8</v>
      </c>
      <c r="F2253" s="1">
        <v>1</v>
      </c>
      <c r="G2253" s="1">
        <v>0</v>
      </c>
      <c r="H2253" s="6">
        <f>INT(Query1[[#This Row],[EntryDateTime]])</f>
        <v>44634</v>
      </c>
      <c r="I2253" s="1">
        <f>IF(Query1[[#This Row],[ItemType]]="EVAP KIT SF GEN IV",Query1[[#This Row],[OrderQty]]+I2252,I2252)</f>
        <v>2705</v>
      </c>
      <c r="J2253" s="1">
        <f>IF(Query1[[#This Row],[ItemType]]="EVAP KIT UNIVERSAL",Query1[[#This Row],[OrderQty]]+J2252,J2252)</f>
        <v>1188</v>
      </c>
      <c r="K2253" s="1">
        <f>Query1[[#This Row],[SF Running Total]]+Query1[[#This Row],[UNIV Running Total]]</f>
        <v>3893</v>
      </c>
      <c r="L2253">
        <f>VLOOKUP(Query1[[#This Row],[Description]],'kits to boards'!$B$2:$E$156,2,FALSE)</f>
        <v>830034</v>
      </c>
      <c r="M2253">
        <f>VLOOKUP(Query1[[#This Row],[Description]],'kits to boards'!$B$2:$E$156,3,FALSE)</f>
        <v>0</v>
      </c>
      <c r="N2253">
        <f>VLOOKUP(Query1[[#This Row],[Description]],'kits to boards'!$B$2:$E$156,4,FALSE)</f>
        <v>0</v>
      </c>
      <c r="O2253" t="str">
        <f>CONCATENATE(Query1[[#This Row],[Description]]," - ",Query1[[#This Row],[MB1]]," - ",Query1[[#This Row],[MB2]]," - ",Query1[[#This Row],[MB3]])</f>
        <v>EVAP KIT 64-67 GTO W/AC - 830034 - 0 - 0</v>
      </c>
    </row>
    <row r="2254" spans="1:15" x14ac:dyDescent="0.25">
      <c r="A2254" s="1">
        <v>914880</v>
      </c>
      <c r="B2254" s="1" t="s">
        <v>68</v>
      </c>
      <c r="C2254" s="1" t="s">
        <v>69</v>
      </c>
      <c r="D2254" s="2">
        <v>44634.393303391204</v>
      </c>
      <c r="E2254" s="1" t="s">
        <v>8</v>
      </c>
      <c r="F2254" s="1">
        <v>1</v>
      </c>
      <c r="G2254" s="1">
        <v>0</v>
      </c>
      <c r="H2254" s="6">
        <f>INT(Query1[[#This Row],[EntryDateTime]])</f>
        <v>44634</v>
      </c>
      <c r="I2254" s="1">
        <f>IF(Query1[[#This Row],[ItemType]]="EVAP KIT SF GEN IV",Query1[[#This Row],[OrderQty]]+I2253,I2253)</f>
        <v>2706</v>
      </c>
      <c r="J2254" s="1">
        <f>IF(Query1[[#This Row],[ItemType]]="EVAP KIT UNIVERSAL",Query1[[#This Row],[OrderQty]]+J2253,J2253)</f>
        <v>1188</v>
      </c>
      <c r="K2254" s="1">
        <f>Query1[[#This Row],[SF Running Total]]+Query1[[#This Row],[UNIV Running Total]]</f>
        <v>3894</v>
      </c>
      <c r="L2254">
        <f>VLOOKUP(Query1[[#This Row],[Description]],'kits to boards'!$B$2:$E$156,2,FALSE)</f>
        <v>830010</v>
      </c>
      <c r="M2254">
        <f>VLOOKUP(Query1[[#This Row],[Description]],'kits to boards'!$B$2:$E$156,3,FALSE)</f>
        <v>0</v>
      </c>
      <c r="N2254">
        <f>VLOOKUP(Query1[[#This Row],[Description]],'kits to boards'!$B$2:$E$156,4,FALSE)</f>
        <v>0</v>
      </c>
      <c r="O2254" t="str">
        <f>CONCATENATE(Query1[[#This Row],[Description]]," - ",Query1[[#This Row],[MB1]]," - ",Query1[[#This Row],[MB2]]," - ",Query1[[#This Row],[MB3]])</f>
        <v>EVAP KIT 70-72 CHEVELLE WO AC - 830010 - 0 - 0</v>
      </c>
    </row>
    <row r="2255" spans="1:15" x14ac:dyDescent="0.25">
      <c r="A2255" s="1">
        <v>914884</v>
      </c>
      <c r="B2255" s="1" t="s">
        <v>128</v>
      </c>
      <c r="C2255" s="1" t="s">
        <v>129</v>
      </c>
      <c r="D2255" s="2">
        <v>44634.397413344908</v>
      </c>
      <c r="E2255" s="1" t="s">
        <v>8</v>
      </c>
      <c r="F2255" s="1">
        <v>1</v>
      </c>
      <c r="G2255" s="1">
        <v>0</v>
      </c>
      <c r="H2255" s="6">
        <f>INT(Query1[[#This Row],[EntryDateTime]])</f>
        <v>44634</v>
      </c>
      <c r="I2255" s="1">
        <f>IF(Query1[[#This Row],[ItemType]]="EVAP KIT SF GEN IV",Query1[[#This Row],[OrderQty]]+I2254,I2254)</f>
        <v>2707</v>
      </c>
      <c r="J2255" s="1">
        <f>IF(Query1[[#This Row],[ItemType]]="EVAP KIT UNIVERSAL",Query1[[#This Row],[OrderQty]]+J2254,J2254)</f>
        <v>1188</v>
      </c>
      <c r="K2255" s="1">
        <f>Query1[[#This Row],[SF Running Total]]+Query1[[#This Row],[UNIV Running Total]]</f>
        <v>3895</v>
      </c>
      <c r="L2255">
        <f>VLOOKUP(Query1[[#This Row],[Description]],'kits to boards'!$B$2:$E$156,2,FALSE)</f>
        <v>830036</v>
      </c>
      <c r="M2255">
        <f>VLOOKUP(Query1[[#This Row],[Description]],'kits to boards'!$B$2:$E$156,3,FALSE)</f>
        <v>830039</v>
      </c>
      <c r="N2255">
        <f>VLOOKUP(Query1[[#This Row],[Description]],'kits to boards'!$B$2:$E$156,4,FALSE)</f>
        <v>0</v>
      </c>
      <c r="O2255" t="str">
        <f>CONCATENATE(Query1[[#This Row],[Description]]," - ",Query1[[#This Row],[MB1]]," - ",Query1[[#This Row],[MB2]]," - ",Query1[[#This Row],[MB3]])</f>
        <v>EVAP KIT 63-66 VETTE WO AC - 830036 - 830039 - 0</v>
      </c>
    </row>
    <row r="2256" spans="1:15" x14ac:dyDescent="0.25">
      <c r="A2256" s="1">
        <v>914886</v>
      </c>
      <c r="B2256" s="1" t="s">
        <v>34</v>
      </c>
      <c r="C2256" s="1" t="s">
        <v>35</v>
      </c>
      <c r="D2256" s="2">
        <v>44634.398741238423</v>
      </c>
      <c r="E2256" s="1" t="s">
        <v>8</v>
      </c>
      <c r="F2256" s="1">
        <v>1</v>
      </c>
      <c r="G2256" s="1">
        <v>0</v>
      </c>
      <c r="H2256" s="6">
        <f>INT(Query1[[#This Row],[EntryDateTime]])</f>
        <v>44634</v>
      </c>
      <c r="I2256" s="1">
        <f>IF(Query1[[#This Row],[ItemType]]="EVAP KIT SF GEN IV",Query1[[#This Row],[OrderQty]]+I2255,I2255)</f>
        <v>2708</v>
      </c>
      <c r="J2256" s="1">
        <f>IF(Query1[[#This Row],[ItemType]]="EVAP KIT UNIVERSAL",Query1[[#This Row],[OrderQty]]+J2255,J2255)</f>
        <v>1188</v>
      </c>
      <c r="K2256" s="1">
        <f>Query1[[#This Row],[SF Running Total]]+Query1[[#This Row],[UNIV Running Total]]</f>
        <v>3896</v>
      </c>
      <c r="L2256">
        <f>VLOOKUP(Query1[[#This Row],[Description]],'kits to boards'!$B$2:$E$156,2,FALSE)</f>
        <v>830065</v>
      </c>
      <c r="M2256">
        <f>VLOOKUP(Query1[[#This Row],[Description]],'kits to boards'!$B$2:$E$156,3,FALSE)</f>
        <v>0</v>
      </c>
      <c r="N2256">
        <f>VLOOKUP(Query1[[#This Row],[Description]],'kits to boards'!$B$2:$E$156,4,FALSE)</f>
        <v>0</v>
      </c>
      <c r="O2256" t="str">
        <f>CONCATENATE(Query1[[#This Row],[Description]]," - ",Query1[[#This Row],[MB1]]," - ",Query1[[#This Row],[MB2]]," - ",Query1[[#This Row],[MB3]])</f>
        <v>EVAP KIT 57 CHEV WO AC - 830065 - 0 - 0</v>
      </c>
    </row>
    <row r="2257" spans="1:15" x14ac:dyDescent="0.25">
      <c r="A2257" s="1">
        <v>914887</v>
      </c>
      <c r="B2257" s="1" t="s">
        <v>66</v>
      </c>
      <c r="C2257" s="1" t="s">
        <v>67</v>
      </c>
      <c r="D2257" s="2">
        <v>44634.400198148149</v>
      </c>
      <c r="E2257" s="1" t="s">
        <v>8</v>
      </c>
      <c r="F2257" s="1">
        <v>1</v>
      </c>
      <c r="G2257" s="1">
        <v>0</v>
      </c>
      <c r="H2257" s="6">
        <f>INT(Query1[[#This Row],[EntryDateTime]])</f>
        <v>44634</v>
      </c>
      <c r="I2257" s="1">
        <f>IF(Query1[[#This Row],[ItemType]]="EVAP KIT SF GEN IV",Query1[[#This Row],[OrderQty]]+I2256,I2256)</f>
        <v>2709</v>
      </c>
      <c r="J2257" s="1">
        <f>IF(Query1[[#This Row],[ItemType]]="EVAP KIT UNIVERSAL",Query1[[#This Row],[OrderQty]]+J2256,J2256)</f>
        <v>1188</v>
      </c>
      <c r="K2257" s="1">
        <f>Query1[[#This Row],[SF Running Total]]+Query1[[#This Row],[UNIV Running Total]]</f>
        <v>3897</v>
      </c>
      <c r="L2257">
        <f>VLOOKUP(Query1[[#This Row],[Description]],'kits to boards'!$B$2:$E$156,2,FALSE)</f>
        <v>830060</v>
      </c>
      <c r="M2257">
        <f>VLOOKUP(Query1[[#This Row],[Description]],'kits to boards'!$B$2:$E$156,3,FALSE)</f>
        <v>0</v>
      </c>
      <c r="N2257">
        <f>VLOOKUP(Query1[[#This Row],[Description]],'kits to boards'!$B$2:$E$156,4,FALSE)</f>
        <v>0</v>
      </c>
      <c r="O2257" t="str">
        <f>CONCATENATE(Query1[[#This Row],[Description]]," - ",Query1[[#This Row],[MB1]]," - ",Query1[[#This Row],[MB2]]," - ",Query1[[#This Row],[MB3]])</f>
        <v>EVAP KIT 66-67 CHEVELLE WO AC - 830060 - 0 - 0</v>
      </c>
    </row>
    <row r="2258" spans="1:15" x14ac:dyDescent="0.25">
      <c r="A2258" s="1">
        <v>914889</v>
      </c>
      <c r="B2258" s="1" t="s">
        <v>52</v>
      </c>
      <c r="C2258" s="1" t="s">
        <v>53</v>
      </c>
      <c r="D2258" s="2">
        <v>44634.401496909719</v>
      </c>
      <c r="E2258" s="1" t="s">
        <v>8</v>
      </c>
      <c r="F2258" s="1">
        <v>1</v>
      </c>
      <c r="G2258" s="1">
        <v>0</v>
      </c>
      <c r="H2258" s="6">
        <f>INT(Query1[[#This Row],[EntryDateTime]])</f>
        <v>44634</v>
      </c>
      <c r="I2258" s="1">
        <f>IF(Query1[[#This Row],[ItemType]]="EVAP KIT SF GEN IV",Query1[[#This Row],[OrderQty]]+I2257,I2257)</f>
        <v>2710</v>
      </c>
      <c r="J2258" s="1">
        <f>IF(Query1[[#This Row],[ItemType]]="EVAP KIT UNIVERSAL",Query1[[#This Row],[OrderQty]]+J2257,J2257)</f>
        <v>1188</v>
      </c>
      <c r="K2258" s="1">
        <f>Query1[[#This Row],[SF Running Total]]+Query1[[#This Row],[UNIV Running Total]]</f>
        <v>3898</v>
      </c>
      <c r="L2258">
        <f>VLOOKUP(Query1[[#This Row],[Description]],'kits to boards'!$B$2:$E$156,2,FALSE)</f>
        <v>830017</v>
      </c>
      <c r="M2258">
        <f>VLOOKUP(Query1[[#This Row],[Description]],'kits to boards'!$B$2:$E$156,3,FALSE)</f>
        <v>830119</v>
      </c>
      <c r="N2258">
        <f>VLOOKUP(Query1[[#This Row],[Description]],'kits to boards'!$B$2:$E$156,4,FALSE)</f>
        <v>830120</v>
      </c>
      <c r="O2258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2259" spans="1:15" x14ac:dyDescent="0.25">
      <c r="A2259" s="1">
        <v>912887</v>
      </c>
      <c r="B2259" s="1" t="s">
        <v>90</v>
      </c>
      <c r="C2259" s="1" t="s">
        <v>91</v>
      </c>
      <c r="D2259" s="2">
        <v>44634.409034143522</v>
      </c>
      <c r="E2259" s="1" t="s">
        <v>8</v>
      </c>
      <c r="F2259" s="1">
        <v>1</v>
      </c>
      <c r="G2259" s="1">
        <v>0</v>
      </c>
      <c r="H2259" s="6">
        <f>INT(Query1[[#This Row],[EntryDateTime]])</f>
        <v>44634</v>
      </c>
      <c r="I2259" s="1">
        <f>IF(Query1[[#This Row],[ItemType]]="EVAP KIT SF GEN IV",Query1[[#This Row],[OrderQty]]+I2258,I2258)</f>
        <v>2711</v>
      </c>
      <c r="J2259" s="1">
        <f>IF(Query1[[#This Row],[ItemType]]="EVAP KIT UNIVERSAL",Query1[[#This Row],[OrderQty]]+J2258,J2258)</f>
        <v>1188</v>
      </c>
      <c r="K2259" s="1">
        <f>Query1[[#This Row],[SF Running Total]]+Query1[[#This Row],[UNIV Running Total]]</f>
        <v>3899</v>
      </c>
      <c r="L2259">
        <f>VLOOKUP(Query1[[#This Row],[Description]],'kits to boards'!$B$2:$E$156,2,FALSE)</f>
        <v>830105</v>
      </c>
      <c r="M2259">
        <f>VLOOKUP(Query1[[#This Row],[Description]],'kits to boards'!$B$2:$E$156,3,FALSE)</f>
        <v>830106</v>
      </c>
      <c r="N2259">
        <f>VLOOKUP(Query1[[#This Row],[Description]],'kits to boards'!$B$2:$E$156,4,FALSE)</f>
        <v>0</v>
      </c>
      <c r="O2259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2260" spans="1:15" x14ac:dyDescent="0.25">
      <c r="A2260" s="1">
        <v>914415</v>
      </c>
      <c r="B2260" s="1" t="s">
        <v>98</v>
      </c>
      <c r="C2260" s="1" t="s">
        <v>99</v>
      </c>
      <c r="D2260" s="2">
        <v>44634.421528206018</v>
      </c>
      <c r="E2260" s="1" t="s">
        <v>11</v>
      </c>
      <c r="F2260" s="1">
        <v>1</v>
      </c>
      <c r="G2260" s="1">
        <v>0</v>
      </c>
      <c r="H2260" s="6">
        <f>INT(Query1[[#This Row],[EntryDateTime]])</f>
        <v>44634</v>
      </c>
      <c r="I2260" s="1">
        <f>IF(Query1[[#This Row],[ItemType]]="EVAP KIT SF GEN IV",Query1[[#This Row],[OrderQty]]+I2259,I2259)</f>
        <v>2711</v>
      </c>
      <c r="J2260" s="1">
        <f>IF(Query1[[#This Row],[ItemType]]="EVAP KIT UNIVERSAL",Query1[[#This Row],[OrderQty]]+J2259,J2259)</f>
        <v>1189</v>
      </c>
      <c r="K2260" s="1">
        <f>Query1[[#This Row],[SF Running Total]]+Query1[[#This Row],[UNIV Running Total]]</f>
        <v>3900</v>
      </c>
      <c r="L2260">
        <f>VLOOKUP(Query1[[#This Row],[Description]],'kits to boards'!$B$2:$E$156,2,FALSE)</f>
        <v>830099</v>
      </c>
      <c r="M2260">
        <f>VLOOKUP(Query1[[#This Row],[Description]],'kits to boards'!$B$2:$E$156,3,FALSE)</f>
        <v>0</v>
      </c>
      <c r="N2260">
        <f>VLOOKUP(Query1[[#This Row],[Description]],'kits to boards'!$B$2:$E$156,4,FALSE)</f>
        <v>0</v>
      </c>
      <c r="O2260" t="str">
        <f>CONCATENATE(Query1[[#This Row],[Description]]," - ",Query1[[#This Row],[MB1]]," - ",Query1[[#This Row],[MB2]]," - ",Query1[[#This Row],[MB3]])</f>
        <v>MINI GEN II W/DEF - 830099 - 0 - 0</v>
      </c>
    </row>
    <row r="2261" spans="1:15" x14ac:dyDescent="0.25">
      <c r="A2261" s="1">
        <v>914905</v>
      </c>
      <c r="B2261" s="1" t="s">
        <v>32</v>
      </c>
      <c r="C2261" s="1" t="s">
        <v>33</v>
      </c>
      <c r="D2261" s="2">
        <v>44634.438064467591</v>
      </c>
      <c r="E2261" s="1" t="s">
        <v>8</v>
      </c>
      <c r="F2261" s="1">
        <v>1</v>
      </c>
      <c r="G2261" s="1">
        <v>0</v>
      </c>
      <c r="H2261" s="6">
        <f>INT(Query1[[#This Row],[EntryDateTime]])</f>
        <v>44634</v>
      </c>
      <c r="I2261" s="1">
        <f>IF(Query1[[#This Row],[ItemType]]="EVAP KIT SF GEN IV",Query1[[#This Row],[OrderQty]]+I2260,I2260)</f>
        <v>2712</v>
      </c>
      <c r="J2261" s="1">
        <f>IF(Query1[[#This Row],[ItemType]]="EVAP KIT UNIVERSAL",Query1[[#This Row],[OrderQty]]+J2260,J2260)</f>
        <v>1189</v>
      </c>
      <c r="K2261" s="1">
        <f>Query1[[#This Row],[SF Running Total]]+Query1[[#This Row],[UNIV Running Total]]</f>
        <v>3901</v>
      </c>
      <c r="L2261">
        <f>VLOOKUP(Query1[[#This Row],[Description]],'kits to boards'!$B$2:$E$156,2,FALSE)</f>
        <v>830016</v>
      </c>
      <c r="M2261">
        <f>VLOOKUP(Query1[[#This Row],[Description]],'kits to boards'!$B$2:$E$156,3,FALSE)</f>
        <v>0</v>
      </c>
      <c r="N2261">
        <f>VLOOKUP(Query1[[#This Row],[Description]],'kits to boards'!$B$2:$E$156,4,FALSE)</f>
        <v>0</v>
      </c>
      <c r="O2261" t="str">
        <f>CONCATENATE(Query1[[#This Row],[Description]]," - ",Query1[[#This Row],[MB1]]," - ",Query1[[#This Row],[MB2]]," - ",Query1[[#This Row],[MB3]])</f>
        <v>EVAP KIT 67-68 CAMARO/FIREBIRD W/AC - 830016 - 0 - 0</v>
      </c>
    </row>
    <row r="2262" spans="1:15" x14ac:dyDescent="0.25">
      <c r="A2262" s="1">
        <v>914911</v>
      </c>
      <c r="B2262" s="1" t="s">
        <v>140</v>
      </c>
      <c r="C2262" s="1" t="s">
        <v>141</v>
      </c>
      <c r="D2262" s="2">
        <v>44634.442878819442</v>
      </c>
      <c r="E2262" s="1" t="s">
        <v>8</v>
      </c>
      <c r="F2262" s="1">
        <v>1</v>
      </c>
      <c r="G2262" s="1">
        <v>0</v>
      </c>
      <c r="H2262" s="6">
        <f>INT(Query1[[#This Row],[EntryDateTime]])</f>
        <v>44634</v>
      </c>
      <c r="I2262" s="1">
        <f>IF(Query1[[#This Row],[ItemType]]="EVAP KIT SF GEN IV",Query1[[#This Row],[OrderQty]]+I2261,I2261)</f>
        <v>2713</v>
      </c>
      <c r="J2262" s="1">
        <f>IF(Query1[[#This Row],[ItemType]]="EVAP KIT UNIVERSAL",Query1[[#This Row],[OrderQty]]+J2261,J2261)</f>
        <v>1189</v>
      </c>
      <c r="K2262" s="1">
        <f>Query1[[#This Row],[SF Running Total]]+Query1[[#This Row],[UNIV Running Total]]</f>
        <v>3902</v>
      </c>
      <c r="L2262">
        <f>VLOOKUP(Query1[[#This Row],[Description]],'kits to boards'!$B$2:$E$156,2,FALSE)</f>
        <v>830066</v>
      </c>
      <c r="M2262">
        <f>VLOOKUP(Query1[[#This Row],[Description]],'kits to boards'!$B$2:$E$156,3,FALSE)</f>
        <v>0</v>
      </c>
      <c r="N2262">
        <f>VLOOKUP(Query1[[#This Row],[Description]],'kits to boards'!$B$2:$E$156,4,FALSE)</f>
        <v>0</v>
      </c>
      <c r="O2262" t="str">
        <f>CONCATENATE(Query1[[#This Row],[Description]]," - ",Query1[[#This Row],[MB1]]," - ",Query1[[#This Row],[MB2]]," - ",Query1[[#This Row],[MB3]])</f>
        <v>EVAP KIT 60-63 CHEV P-UP WO AC - 830066 - 0 - 0</v>
      </c>
    </row>
    <row r="2263" spans="1:15" x14ac:dyDescent="0.25">
      <c r="A2263" s="1">
        <v>914912</v>
      </c>
      <c r="B2263" s="1" t="s">
        <v>222</v>
      </c>
      <c r="C2263" s="1" t="s">
        <v>223</v>
      </c>
      <c r="D2263" s="2">
        <v>44634.443652812501</v>
      </c>
      <c r="E2263" s="1" t="s">
        <v>8</v>
      </c>
      <c r="F2263" s="1">
        <v>1</v>
      </c>
      <c r="G2263" s="1">
        <v>0</v>
      </c>
      <c r="H2263" s="6">
        <f>INT(Query1[[#This Row],[EntryDateTime]])</f>
        <v>44634</v>
      </c>
      <c r="I2263" s="1">
        <f>IF(Query1[[#This Row],[ItemType]]="EVAP KIT SF GEN IV",Query1[[#This Row],[OrderQty]]+I2262,I2262)</f>
        <v>2714</v>
      </c>
      <c r="J2263" s="1">
        <f>IF(Query1[[#This Row],[ItemType]]="EVAP KIT UNIVERSAL",Query1[[#This Row],[OrderQty]]+J2262,J2262)</f>
        <v>1189</v>
      </c>
      <c r="K2263" s="1">
        <f>Query1[[#This Row],[SF Running Total]]+Query1[[#This Row],[UNIV Running Total]]</f>
        <v>3903</v>
      </c>
      <c r="L2263">
        <f>VLOOKUP(Query1[[#This Row],[Description]],'kits to boards'!$B$2:$E$156,2,FALSE)</f>
        <v>830093</v>
      </c>
      <c r="M2263">
        <f>VLOOKUP(Query1[[#This Row],[Description]],'kits to boards'!$B$2:$E$156,3,FALSE)</f>
        <v>0</v>
      </c>
      <c r="N2263">
        <f>VLOOKUP(Query1[[#This Row],[Description]],'kits to boards'!$B$2:$E$156,4,FALSE)</f>
        <v>0</v>
      </c>
      <c r="O2263" t="str">
        <f>CONCATENATE(Query1[[#This Row],[Description]]," - ",Query1[[#This Row],[MB1]]," - ",Query1[[#This Row],[MB2]]," - ",Query1[[#This Row],[MB3]])</f>
        <v>EVAP KIT 67 VETTE WO AC - 830093 - 0 - 0</v>
      </c>
    </row>
    <row r="2264" spans="1:15" x14ac:dyDescent="0.25">
      <c r="A2264" s="1">
        <v>914913</v>
      </c>
      <c r="B2264" s="1" t="s">
        <v>42</v>
      </c>
      <c r="C2264" s="1" t="s">
        <v>43</v>
      </c>
      <c r="D2264" s="2">
        <v>44634.444074421299</v>
      </c>
      <c r="E2264" s="1" t="s">
        <v>8</v>
      </c>
      <c r="F2264" s="1">
        <v>1</v>
      </c>
      <c r="G2264" s="1">
        <v>0</v>
      </c>
      <c r="H2264" s="6">
        <f>INT(Query1[[#This Row],[EntryDateTime]])</f>
        <v>44634</v>
      </c>
      <c r="I2264" s="1">
        <f>IF(Query1[[#This Row],[ItemType]]="EVAP KIT SF GEN IV",Query1[[#This Row],[OrderQty]]+I2263,I2263)</f>
        <v>2715</v>
      </c>
      <c r="J2264" s="1">
        <f>IF(Query1[[#This Row],[ItemType]]="EVAP KIT UNIVERSAL",Query1[[#This Row],[OrderQty]]+J2263,J2263)</f>
        <v>1189</v>
      </c>
      <c r="K2264" s="1">
        <f>Query1[[#This Row],[SF Running Total]]+Query1[[#This Row],[UNIV Running Total]]</f>
        <v>3904</v>
      </c>
      <c r="L2264">
        <f>VLOOKUP(Query1[[#This Row],[Description]],'kits to boards'!$B$2:$E$156,2,FALSE)</f>
        <v>830014</v>
      </c>
      <c r="M2264">
        <f>VLOOKUP(Query1[[#This Row],[Description]],'kits to boards'!$B$2:$E$156,3,FALSE)</f>
        <v>0</v>
      </c>
      <c r="N2264">
        <f>VLOOKUP(Query1[[#This Row],[Description]],'kits to boards'!$B$2:$E$156,4,FALSE)</f>
        <v>0</v>
      </c>
      <c r="O2264" t="str">
        <f>CONCATENATE(Query1[[#This Row],[Description]]," - ",Query1[[#This Row],[MB1]]," - ",Query1[[#This Row],[MB2]]," - ",Query1[[#This Row],[MB3]])</f>
        <v>EVAP KIT 67-72 CHEV P-UP WO AC - 830014 - 0 - 0</v>
      </c>
    </row>
    <row r="2265" spans="1:15" x14ac:dyDescent="0.25">
      <c r="A2265" s="1">
        <v>914914</v>
      </c>
      <c r="B2265" s="1" t="s">
        <v>48</v>
      </c>
      <c r="C2265" s="1" t="s">
        <v>49</v>
      </c>
      <c r="D2265" s="2">
        <v>44634.447518437497</v>
      </c>
      <c r="E2265" s="1" t="s">
        <v>8</v>
      </c>
      <c r="F2265" s="1">
        <v>1</v>
      </c>
      <c r="G2265" s="1">
        <v>0</v>
      </c>
      <c r="H2265" s="6">
        <f>INT(Query1[[#This Row],[EntryDateTime]])</f>
        <v>44634</v>
      </c>
      <c r="I2265" s="1">
        <f>IF(Query1[[#This Row],[ItemType]]="EVAP KIT SF GEN IV",Query1[[#This Row],[OrderQty]]+I2264,I2264)</f>
        <v>2716</v>
      </c>
      <c r="J2265" s="1">
        <f>IF(Query1[[#This Row],[ItemType]]="EVAP KIT UNIVERSAL",Query1[[#This Row],[OrderQty]]+J2264,J2264)</f>
        <v>1189</v>
      </c>
      <c r="K2265" s="1">
        <f>Query1[[#This Row],[SF Running Total]]+Query1[[#This Row],[UNIV Running Total]]</f>
        <v>3905</v>
      </c>
      <c r="L2265">
        <f>VLOOKUP(Query1[[#This Row],[Description]],'kits to boards'!$B$2:$E$156,2,FALSE)</f>
        <v>830015</v>
      </c>
      <c r="M2265">
        <f>VLOOKUP(Query1[[#This Row],[Description]],'kits to boards'!$B$2:$E$156,3,FALSE)</f>
        <v>0</v>
      </c>
      <c r="N2265">
        <f>VLOOKUP(Query1[[#This Row],[Description]],'kits to boards'!$B$2:$E$156,4,FALSE)</f>
        <v>0</v>
      </c>
      <c r="O2265" t="str">
        <f>CONCATENATE(Query1[[#This Row],[Description]]," - ",Query1[[#This Row],[MB1]]," - ",Query1[[#This Row],[MB2]]," - ",Query1[[#This Row],[MB3]])</f>
        <v>EVAP KIT 64-66 CHEV P-UP WO AC W/DELX - 830015 - 0 - 0</v>
      </c>
    </row>
    <row r="2266" spans="1:15" x14ac:dyDescent="0.25">
      <c r="A2266" s="1">
        <v>914027</v>
      </c>
      <c r="B2266" s="1" t="s">
        <v>158</v>
      </c>
      <c r="C2266" s="1" t="s">
        <v>159</v>
      </c>
      <c r="D2266" s="2">
        <v>44634.455523993056</v>
      </c>
      <c r="E2266" s="1" t="s">
        <v>8</v>
      </c>
      <c r="F2266" s="1">
        <v>1</v>
      </c>
      <c r="G2266" s="1">
        <v>0</v>
      </c>
      <c r="H2266" s="6">
        <f>INT(Query1[[#This Row],[EntryDateTime]])</f>
        <v>44634</v>
      </c>
      <c r="I2266" s="1">
        <f>IF(Query1[[#This Row],[ItemType]]="EVAP KIT SF GEN IV",Query1[[#This Row],[OrderQty]]+I2265,I2265)</f>
        <v>2717</v>
      </c>
      <c r="J2266" s="1">
        <f>IF(Query1[[#This Row],[ItemType]]="EVAP KIT UNIVERSAL",Query1[[#This Row],[OrderQty]]+J2265,J2265)</f>
        <v>1189</v>
      </c>
      <c r="K2266" s="1">
        <f>Query1[[#This Row],[SF Running Total]]+Query1[[#This Row],[UNIV Running Total]]</f>
        <v>3906</v>
      </c>
      <c r="L2266">
        <f>VLOOKUP(Query1[[#This Row],[Description]],'kits to boards'!$B$2:$E$156,2,FALSE)</f>
        <v>830080</v>
      </c>
      <c r="M2266">
        <f>VLOOKUP(Query1[[#This Row],[Description]],'kits to boards'!$B$2:$E$156,3,FALSE)</f>
        <v>830046</v>
      </c>
      <c r="N2266">
        <f>VLOOKUP(Query1[[#This Row],[Description]],'kits to boards'!$B$2:$E$156,4,FALSE)</f>
        <v>0</v>
      </c>
      <c r="O2266" t="str">
        <f>CONCATENATE(Query1[[#This Row],[Description]]," - ",Query1[[#This Row],[MB1]]," - ",Query1[[#This Row],[MB2]]," - ",Query1[[#This Row],[MB3]])</f>
        <v>EVAP KIT 69-70 MUSTANG W/AC  - 830080 - 830046 - 0</v>
      </c>
    </row>
    <row r="2267" spans="1:15" x14ac:dyDescent="0.25">
      <c r="A2267" s="1">
        <v>914922</v>
      </c>
      <c r="B2267" s="1" t="s">
        <v>26</v>
      </c>
      <c r="C2267" s="1" t="s">
        <v>27</v>
      </c>
      <c r="D2267" s="2">
        <v>44634.456762349539</v>
      </c>
      <c r="E2267" s="1" t="s">
        <v>8</v>
      </c>
      <c r="F2267" s="1">
        <v>1</v>
      </c>
      <c r="G2267" s="1">
        <v>0</v>
      </c>
      <c r="H2267" s="6">
        <f>INT(Query1[[#This Row],[EntryDateTime]])</f>
        <v>44634</v>
      </c>
      <c r="I2267" s="1">
        <f>IF(Query1[[#This Row],[ItemType]]="EVAP KIT SF GEN IV",Query1[[#This Row],[OrderQty]]+I2266,I2266)</f>
        <v>2718</v>
      </c>
      <c r="J2267" s="1">
        <f>IF(Query1[[#This Row],[ItemType]]="EVAP KIT UNIVERSAL",Query1[[#This Row],[OrderQty]]+J2266,J2266)</f>
        <v>1189</v>
      </c>
      <c r="K2267" s="1">
        <f>Query1[[#This Row],[SF Running Total]]+Query1[[#This Row],[UNIV Running Total]]</f>
        <v>3907</v>
      </c>
      <c r="L2267">
        <f>VLOOKUP(Query1[[#This Row],[Description]],'kits to boards'!$B$2:$E$156,2,FALSE)</f>
        <v>830013</v>
      </c>
      <c r="M2267">
        <f>VLOOKUP(Query1[[#This Row],[Description]],'kits to boards'!$B$2:$E$156,3,FALSE)</f>
        <v>0</v>
      </c>
      <c r="N2267">
        <f>VLOOKUP(Query1[[#This Row],[Description]],'kits to boards'!$B$2:$E$156,4,FALSE)</f>
        <v>0</v>
      </c>
      <c r="O2267" t="str">
        <f>CONCATENATE(Query1[[#This Row],[Description]]," - ",Query1[[#This Row],[MB1]]," - ",Query1[[#This Row],[MB2]]," - ",Query1[[#This Row],[MB3]])</f>
        <v>EVAP KIT 67-72 CHEV P-UP W/AC - 830013 - 0 - 0</v>
      </c>
    </row>
    <row r="2268" spans="1:15" x14ac:dyDescent="0.25">
      <c r="A2268" s="1">
        <v>914907</v>
      </c>
      <c r="B2268" s="1" t="s">
        <v>56</v>
      </c>
      <c r="C2268" s="1" t="s">
        <v>57</v>
      </c>
      <c r="D2268" s="2">
        <v>44634.489128472225</v>
      </c>
      <c r="E2268" s="1" t="s">
        <v>8</v>
      </c>
      <c r="F2268" s="1">
        <v>1</v>
      </c>
      <c r="G2268" s="1">
        <v>0</v>
      </c>
      <c r="H2268" s="6">
        <f>INT(Query1[[#This Row],[EntryDateTime]])</f>
        <v>44634</v>
      </c>
      <c r="I2268" s="1">
        <f>IF(Query1[[#This Row],[ItemType]]="EVAP KIT SF GEN IV",Query1[[#This Row],[OrderQty]]+I2267,I2267)</f>
        <v>2719</v>
      </c>
      <c r="J2268" s="1">
        <f>IF(Query1[[#This Row],[ItemType]]="EVAP KIT UNIVERSAL",Query1[[#This Row],[OrderQty]]+J2267,J2267)</f>
        <v>1189</v>
      </c>
      <c r="K2268" s="1">
        <f>Query1[[#This Row],[SF Running Total]]+Query1[[#This Row],[UNIV Running Total]]</f>
        <v>3908</v>
      </c>
      <c r="L2268">
        <f>VLOOKUP(Query1[[#This Row],[Description]],'kits to boards'!$B$2:$E$156,2,FALSE)</f>
        <v>830011</v>
      </c>
      <c r="M2268">
        <f>VLOOKUP(Query1[[#This Row],[Description]],'kits to boards'!$B$2:$E$156,3,FALSE)</f>
        <v>0</v>
      </c>
      <c r="N2268">
        <f>VLOOKUP(Query1[[#This Row],[Description]],'kits to boards'!$B$2:$E$156,4,FALSE)</f>
        <v>0</v>
      </c>
      <c r="O2268" t="str">
        <f>CONCATENATE(Query1[[#This Row],[Description]]," - ",Query1[[#This Row],[MB1]]," - ",Query1[[#This Row],[MB2]]," - ",Query1[[#This Row],[MB3]])</f>
        <v>EVAP KIT 70-72 CHEVELLE W/AC - 830011 - 0 - 0</v>
      </c>
    </row>
    <row r="2269" spans="1:15" x14ac:dyDescent="0.25">
      <c r="A2269" s="1">
        <v>914941</v>
      </c>
      <c r="B2269" s="1" t="s">
        <v>26</v>
      </c>
      <c r="C2269" s="1" t="s">
        <v>27</v>
      </c>
      <c r="D2269" s="2">
        <v>44634.492892743052</v>
      </c>
      <c r="E2269" s="1" t="s">
        <v>8</v>
      </c>
      <c r="F2269" s="1">
        <v>1</v>
      </c>
      <c r="G2269" s="1">
        <v>0</v>
      </c>
      <c r="H2269" s="6">
        <f>INT(Query1[[#This Row],[EntryDateTime]])</f>
        <v>44634</v>
      </c>
      <c r="I2269" s="1">
        <f>IF(Query1[[#This Row],[ItemType]]="EVAP KIT SF GEN IV",Query1[[#This Row],[OrderQty]]+I2268,I2268)</f>
        <v>2720</v>
      </c>
      <c r="J2269" s="1">
        <f>IF(Query1[[#This Row],[ItemType]]="EVAP KIT UNIVERSAL",Query1[[#This Row],[OrderQty]]+J2268,J2268)</f>
        <v>1189</v>
      </c>
      <c r="K2269" s="1">
        <f>Query1[[#This Row],[SF Running Total]]+Query1[[#This Row],[UNIV Running Total]]</f>
        <v>3909</v>
      </c>
      <c r="L2269">
        <f>VLOOKUP(Query1[[#This Row],[Description]],'kits to boards'!$B$2:$E$156,2,FALSE)</f>
        <v>830013</v>
      </c>
      <c r="M2269">
        <f>VLOOKUP(Query1[[#This Row],[Description]],'kits to boards'!$B$2:$E$156,3,FALSE)</f>
        <v>0</v>
      </c>
      <c r="N2269">
        <f>VLOOKUP(Query1[[#This Row],[Description]],'kits to boards'!$B$2:$E$156,4,FALSE)</f>
        <v>0</v>
      </c>
      <c r="O2269" t="str">
        <f>CONCATENATE(Query1[[#This Row],[Description]]," - ",Query1[[#This Row],[MB1]]," - ",Query1[[#This Row],[MB2]]," - ",Query1[[#This Row],[MB3]])</f>
        <v>EVAP KIT 67-72 CHEV P-UP W/AC - 830013 - 0 - 0</v>
      </c>
    </row>
    <row r="2270" spans="1:15" x14ac:dyDescent="0.25">
      <c r="A2270" s="1">
        <v>914942</v>
      </c>
      <c r="B2270" s="1" t="s">
        <v>14</v>
      </c>
      <c r="C2270" s="1" t="s">
        <v>15</v>
      </c>
      <c r="D2270" s="2">
        <v>44634.493527465274</v>
      </c>
      <c r="E2270" s="1" t="s">
        <v>8</v>
      </c>
      <c r="F2270" s="1">
        <v>1</v>
      </c>
      <c r="G2270" s="1">
        <v>0</v>
      </c>
      <c r="H2270" s="6">
        <f>INT(Query1[[#This Row],[EntryDateTime]])</f>
        <v>44634</v>
      </c>
      <c r="I2270" s="1">
        <f>IF(Query1[[#This Row],[ItemType]]="EVAP KIT SF GEN IV",Query1[[#This Row],[OrderQty]]+I2269,I2269)</f>
        <v>2721</v>
      </c>
      <c r="J2270" s="1">
        <f>IF(Query1[[#This Row],[ItemType]]="EVAP KIT UNIVERSAL",Query1[[#This Row],[OrderQty]]+J2269,J2269)</f>
        <v>1189</v>
      </c>
      <c r="K2270" s="1">
        <f>Query1[[#This Row],[SF Running Total]]+Query1[[#This Row],[UNIV Running Total]]</f>
        <v>3910</v>
      </c>
      <c r="L2270">
        <f>VLOOKUP(Query1[[#This Row],[Description]],'kits to boards'!$B$2:$E$156,2,FALSE)</f>
        <v>830054</v>
      </c>
      <c r="M2270">
        <f>VLOOKUP(Query1[[#This Row],[Description]],'kits to boards'!$B$2:$E$156,3,FALSE)</f>
        <v>0</v>
      </c>
      <c r="N2270">
        <f>VLOOKUP(Query1[[#This Row],[Description]],'kits to boards'!$B$2:$E$156,4,FALSE)</f>
        <v>0</v>
      </c>
      <c r="O2270" t="str">
        <f>CONCATENATE(Query1[[#This Row],[Description]]," - ",Query1[[#This Row],[MB1]]," - ",Query1[[#This Row],[MB2]]," - ",Query1[[#This Row],[MB3]])</f>
        <v>EVAP KIT 55-56 CHEVY - 830054 - 0 - 0</v>
      </c>
    </row>
    <row r="2271" spans="1:15" x14ac:dyDescent="0.25">
      <c r="A2271" s="1">
        <v>914945</v>
      </c>
      <c r="B2271" s="1" t="s">
        <v>124</v>
      </c>
      <c r="C2271" s="1" t="s">
        <v>125</v>
      </c>
      <c r="D2271" s="2">
        <v>44634.496349918983</v>
      </c>
      <c r="E2271" s="1" t="s">
        <v>8</v>
      </c>
      <c r="F2271" s="1">
        <v>1</v>
      </c>
      <c r="G2271" s="1">
        <v>0</v>
      </c>
      <c r="H2271" s="6">
        <f>INT(Query1[[#This Row],[EntryDateTime]])</f>
        <v>44634</v>
      </c>
      <c r="I2271" s="1">
        <f>IF(Query1[[#This Row],[ItemType]]="EVAP KIT SF GEN IV",Query1[[#This Row],[OrderQty]]+I2270,I2270)</f>
        <v>2722</v>
      </c>
      <c r="J2271" s="1">
        <f>IF(Query1[[#This Row],[ItemType]]="EVAP KIT UNIVERSAL",Query1[[#This Row],[OrderQty]]+J2270,J2270)</f>
        <v>1189</v>
      </c>
      <c r="K2271" s="1">
        <f>Query1[[#This Row],[SF Running Total]]+Query1[[#This Row],[UNIV Running Total]]</f>
        <v>3911</v>
      </c>
      <c r="L2271">
        <f>VLOOKUP(Query1[[#This Row],[Description]],'kits to boards'!$B$2:$E$156,2,FALSE)</f>
        <v>830002</v>
      </c>
      <c r="M2271">
        <f>VLOOKUP(Query1[[#This Row],[Description]],'kits to boards'!$B$2:$E$156,3,FALSE)</f>
        <v>0</v>
      </c>
      <c r="N2271">
        <f>VLOOKUP(Query1[[#This Row],[Description]],'kits to boards'!$B$2:$E$156,4,FALSE)</f>
        <v>0</v>
      </c>
      <c r="O2271" t="str">
        <f>CONCATENATE(Query1[[#This Row],[Description]]," - ",Query1[[#This Row],[MB1]]," - ",Query1[[#This Row],[MB2]]," - ",Query1[[#This Row],[MB3]])</f>
        <v>EVAP KIT 73-80 CHEV P-UP WO AC - 830002 - 0 - 0</v>
      </c>
    </row>
    <row r="2272" spans="1:15" x14ac:dyDescent="0.25">
      <c r="A2272" s="1">
        <v>914945</v>
      </c>
      <c r="B2272" s="1" t="s">
        <v>42</v>
      </c>
      <c r="C2272" s="1" t="s">
        <v>43</v>
      </c>
      <c r="D2272" s="2">
        <v>44634.496645104169</v>
      </c>
      <c r="E2272" s="1" t="s">
        <v>8</v>
      </c>
      <c r="F2272" s="1">
        <v>1</v>
      </c>
      <c r="G2272" s="1">
        <v>0</v>
      </c>
      <c r="H2272" s="6">
        <f>INT(Query1[[#This Row],[EntryDateTime]])</f>
        <v>44634</v>
      </c>
      <c r="I2272" s="1">
        <f>IF(Query1[[#This Row],[ItemType]]="EVAP KIT SF GEN IV",Query1[[#This Row],[OrderQty]]+I2271,I2271)</f>
        <v>2723</v>
      </c>
      <c r="J2272" s="1">
        <f>IF(Query1[[#This Row],[ItemType]]="EVAP KIT UNIVERSAL",Query1[[#This Row],[OrderQty]]+J2271,J2271)</f>
        <v>1189</v>
      </c>
      <c r="K2272" s="1">
        <f>Query1[[#This Row],[SF Running Total]]+Query1[[#This Row],[UNIV Running Total]]</f>
        <v>3912</v>
      </c>
      <c r="L2272">
        <f>VLOOKUP(Query1[[#This Row],[Description]],'kits to boards'!$B$2:$E$156,2,FALSE)</f>
        <v>830014</v>
      </c>
      <c r="M2272">
        <f>VLOOKUP(Query1[[#This Row],[Description]],'kits to boards'!$B$2:$E$156,3,FALSE)</f>
        <v>0</v>
      </c>
      <c r="N2272">
        <f>VLOOKUP(Query1[[#This Row],[Description]],'kits to boards'!$B$2:$E$156,4,FALSE)</f>
        <v>0</v>
      </c>
      <c r="O2272" t="str">
        <f>CONCATENATE(Query1[[#This Row],[Description]]," - ",Query1[[#This Row],[MB1]]," - ",Query1[[#This Row],[MB2]]," - ",Query1[[#This Row],[MB3]])</f>
        <v>EVAP KIT 67-72 CHEV P-UP WO AC - 830014 - 0 - 0</v>
      </c>
    </row>
    <row r="2273" spans="1:15" x14ac:dyDescent="0.25">
      <c r="A2273" s="1">
        <v>914951</v>
      </c>
      <c r="B2273" s="1" t="s">
        <v>66</v>
      </c>
      <c r="C2273" s="1" t="s">
        <v>67</v>
      </c>
      <c r="D2273" s="2">
        <v>44634.512233217596</v>
      </c>
      <c r="E2273" s="1" t="s">
        <v>8</v>
      </c>
      <c r="F2273" s="1">
        <v>1</v>
      </c>
      <c r="G2273" s="1">
        <v>0</v>
      </c>
      <c r="H2273" s="6">
        <f>INT(Query1[[#This Row],[EntryDateTime]])</f>
        <v>44634</v>
      </c>
      <c r="I2273" s="1">
        <f>IF(Query1[[#This Row],[ItemType]]="EVAP KIT SF GEN IV",Query1[[#This Row],[OrderQty]]+I2272,I2272)</f>
        <v>2724</v>
      </c>
      <c r="J2273" s="1">
        <f>IF(Query1[[#This Row],[ItemType]]="EVAP KIT UNIVERSAL",Query1[[#This Row],[OrderQty]]+J2272,J2272)</f>
        <v>1189</v>
      </c>
      <c r="K2273" s="1">
        <f>Query1[[#This Row],[SF Running Total]]+Query1[[#This Row],[UNIV Running Total]]</f>
        <v>3913</v>
      </c>
      <c r="L2273">
        <f>VLOOKUP(Query1[[#This Row],[Description]],'kits to boards'!$B$2:$E$156,2,FALSE)</f>
        <v>830060</v>
      </c>
      <c r="M2273">
        <f>VLOOKUP(Query1[[#This Row],[Description]],'kits to boards'!$B$2:$E$156,3,FALSE)</f>
        <v>0</v>
      </c>
      <c r="N2273">
        <f>VLOOKUP(Query1[[#This Row],[Description]],'kits to boards'!$B$2:$E$156,4,FALSE)</f>
        <v>0</v>
      </c>
      <c r="O2273" t="str">
        <f>CONCATENATE(Query1[[#This Row],[Description]]," - ",Query1[[#This Row],[MB1]]," - ",Query1[[#This Row],[MB2]]," - ",Query1[[#This Row],[MB3]])</f>
        <v>EVAP KIT 66-67 CHEVELLE WO AC - 830060 - 0 - 0</v>
      </c>
    </row>
    <row r="2274" spans="1:15" x14ac:dyDescent="0.25">
      <c r="A2274" s="1">
        <v>914949</v>
      </c>
      <c r="B2274" s="1" t="s">
        <v>60</v>
      </c>
      <c r="C2274" s="1" t="s">
        <v>61</v>
      </c>
      <c r="D2274" s="2">
        <v>44634.51229042824</v>
      </c>
      <c r="E2274" s="1" t="s">
        <v>8</v>
      </c>
      <c r="F2274" s="1">
        <v>1</v>
      </c>
      <c r="G2274" s="1">
        <v>0</v>
      </c>
      <c r="H2274" s="6">
        <f>INT(Query1[[#This Row],[EntryDateTime]])</f>
        <v>44634</v>
      </c>
      <c r="I2274" s="1">
        <f>IF(Query1[[#This Row],[ItemType]]="EVAP KIT SF GEN IV",Query1[[#This Row],[OrderQty]]+I2273,I2273)</f>
        <v>2725</v>
      </c>
      <c r="J2274" s="1">
        <f>IF(Query1[[#This Row],[ItemType]]="EVAP KIT UNIVERSAL",Query1[[#This Row],[OrderQty]]+J2273,J2273)</f>
        <v>1189</v>
      </c>
      <c r="K2274" s="1">
        <f>Query1[[#This Row],[SF Running Total]]+Query1[[#This Row],[UNIV Running Total]]</f>
        <v>3914</v>
      </c>
      <c r="L2274">
        <f>VLOOKUP(Query1[[#This Row],[Description]],'kits to boards'!$B$2:$E$156,2,FALSE)</f>
        <v>830062</v>
      </c>
      <c r="M2274">
        <f>VLOOKUP(Query1[[#This Row],[Description]],'kits to boards'!$B$2:$E$156,3,FALSE)</f>
        <v>0</v>
      </c>
      <c r="N2274">
        <f>VLOOKUP(Query1[[#This Row],[Description]],'kits to boards'!$B$2:$E$156,4,FALSE)</f>
        <v>0</v>
      </c>
      <c r="O2274" t="str">
        <f>CONCATENATE(Query1[[#This Row],[Description]]," - ",Query1[[#This Row],[MB1]]," - ",Query1[[#This Row],[MB2]]," - ",Query1[[#This Row],[MB3]])</f>
        <v>EVAP KIT 68-69 CHEVELLE WO AC - 830062 - 0 - 0</v>
      </c>
    </row>
    <row r="2275" spans="1:15" x14ac:dyDescent="0.25">
      <c r="A2275" s="1">
        <v>914953</v>
      </c>
      <c r="B2275" s="1" t="s">
        <v>212</v>
      </c>
      <c r="C2275" s="1" t="s">
        <v>213</v>
      </c>
      <c r="D2275" s="2">
        <v>44634.51570304398</v>
      </c>
      <c r="E2275" s="1" t="s">
        <v>8</v>
      </c>
      <c r="F2275" s="1">
        <v>1</v>
      </c>
      <c r="G2275" s="1">
        <v>0</v>
      </c>
      <c r="H2275" s="6">
        <f>INT(Query1[[#This Row],[EntryDateTime]])</f>
        <v>44634</v>
      </c>
      <c r="I2275" s="1">
        <f>IF(Query1[[#This Row],[ItemType]]="EVAP KIT SF GEN IV",Query1[[#This Row],[OrderQty]]+I2274,I2274)</f>
        <v>2726</v>
      </c>
      <c r="J2275" s="1">
        <f>IF(Query1[[#This Row],[ItemType]]="EVAP KIT UNIVERSAL",Query1[[#This Row],[OrderQty]]+J2274,J2274)</f>
        <v>1189</v>
      </c>
      <c r="K2275" s="1">
        <f>Query1[[#This Row],[SF Running Total]]+Query1[[#This Row],[UNIV Running Total]]</f>
        <v>3915</v>
      </c>
      <c r="L2275">
        <f>VLOOKUP(Query1[[#This Row],[Description]],'kits to boards'!$B$2:$E$156,2,FALSE)</f>
        <v>830034</v>
      </c>
      <c r="M2275">
        <f>VLOOKUP(Query1[[#This Row],[Description]],'kits to boards'!$B$2:$E$156,3,FALSE)</f>
        <v>0</v>
      </c>
      <c r="N2275">
        <f>VLOOKUP(Query1[[#This Row],[Description]],'kits to boards'!$B$2:$E$156,4,FALSE)</f>
        <v>0</v>
      </c>
      <c r="O2275" t="str">
        <f>CONCATENATE(Query1[[#This Row],[Description]]," - ",Query1[[#This Row],[MB1]]," - ",Query1[[#This Row],[MB2]]," - ",Query1[[#This Row],[MB3]])</f>
        <v>EVAP KIT 64-67 GTO W/AC - 830034 - 0 - 0</v>
      </c>
    </row>
    <row r="2276" spans="1:15" x14ac:dyDescent="0.25">
      <c r="A2276" s="1">
        <v>914955</v>
      </c>
      <c r="B2276" s="1" t="s">
        <v>502</v>
      </c>
      <c r="C2276" s="1" t="s">
        <v>503</v>
      </c>
      <c r="D2276" s="2">
        <v>44634.517548923614</v>
      </c>
      <c r="E2276" s="1" t="s">
        <v>677</v>
      </c>
      <c r="F2276" s="1">
        <v>1</v>
      </c>
      <c r="G2276" s="1">
        <v>0</v>
      </c>
      <c r="H2276" s="6">
        <f>INT(Query1[[#This Row],[EntryDateTime]])</f>
        <v>44634</v>
      </c>
      <c r="I2276" s="1">
        <f>IF(Query1[[#This Row],[ItemType]]="EVAP KIT SF GEN IV",Query1[[#This Row],[OrderQty]]+I2275,I2275)</f>
        <v>2726</v>
      </c>
      <c r="J2276" s="1">
        <f>IF(Query1[[#This Row],[ItemType]]="EVAP KIT UNIVERSAL",Query1[[#This Row],[OrderQty]]+J2275,J2275)</f>
        <v>1189</v>
      </c>
      <c r="K2276" s="1">
        <f>Query1[[#This Row],[SF Running Total]]+Query1[[#This Row],[UNIV Running Total]]</f>
        <v>3915</v>
      </c>
      <c r="L2276" t="e">
        <f>VLOOKUP(Query1[[#This Row],[Description]],'kits to boards'!$B$2:$E$156,2,FALSE)</f>
        <v>#N/A</v>
      </c>
      <c r="M2276" t="e">
        <f>VLOOKUP(Query1[[#This Row],[Description]],'kits to boards'!$B$2:$E$156,3,FALSE)</f>
        <v>#N/A</v>
      </c>
      <c r="N2276" t="e">
        <f>VLOOKUP(Query1[[#This Row],[Description]],'kits to boards'!$B$2:$E$156,4,FALSE)</f>
        <v>#N/A</v>
      </c>
      <c r="O2276" t="e">
        <f>CONCATENATE(Query1[[#This Row],[Description]]," - ",Query1[[#This Row],[MB1]]," - ",Query1[[#This Row],[MB2]]," - ",Query1[[#This Row],[MB3]])</f>
        <v>#N/A</v>
      </c>
    </row>
    <row r="2277" spans="1:15" x14ac:dyDescent="0.25">
      <c r="A2277" s="1">
        <v>914959</v>
      </c>
      <c r="B2277" s="1" t="s">
        <v>208</v>
      </c>
      <c r="C2277" s="1" t="s">
        <v>209</v>
      </c>
      <c r="D2277" s="2">
        <v>44634.526542210646</v>
      </c>
      <c r="E2277" s="1" t="s">
        <v>8</v>
      </c>
      <c r="F2277" s="1">
        <v>1</v>
      </c>
      <c r="G2277" s="1">
        <v>0</v>
      </c>
      <c r="H2277" s="6">
        <f>INT(Query1[[#This Row],[EntryDateTime]])</f>
        <v>44634</v>
      </c>
      <c r="I2277" s="1">
        <f>IF(Query1[[#This Row],[ItemType]]="EVAP KIT SF GEN IV",Query1[[#This Row],[OrderQty]]+I2276,I2276)</f>
        <v>2727</v>
      </c>
      <c r="J2277" s="1">
        <f>IF(Query1[[#This Row],[ItemType]]="EVAP KIT UNIVERSAL",Query1[[#This Row],[OrderQty]]+J2276,J2276)</f>
        <v>1189</v>
      </c>
      <c r="K2277" s="1">
        <f>Query1[[#This Row],[SF Running Total]]+Query1[[#This Row],[UNIV Running Total]]</f>
        <v>3916</v>
      </c>
      <c r="L2277">
        <f>VLOOKUP(Query1[[#This Row],[Description]],'kits to boards'!$B$2:$E$156,2,FALSE)</f>
        <v>830094</v>
      </c>
      <c r="M2277">
        <f>VLOOKUP(Query1[[#This Row],[Description]],'kits to boards'!$B$2:$E$156,3,FALSE)</f>
        <v>0</v>
      </c>
      <c r="N2277">
        <f>VLOOKUP(Query1[[#This Row],[Description]],'kits to boards'!$B$2:$E$156,4,FALSE)</f>
        <v>0</v>
      </c>
      <c r="O2277" t="str">
        <f>CONCATENATE(Query1[[#This Row],[Description]]," - ",Query1[[#This Row],[MB1]]," - ",Query1[[#This Row],[MB2]]," - ",Query1[[#This Row],[MB3]])</f>
        <v>EVAP KIT 68 VETTE W/AC - 830094 - 0 - 0</v>
      </c>
    </row>
    <row r="2278" spans="1:15" x14ac:dyDescent="0.25">
      <c r="A2278" s="1">
        <v>914971</v>
      </c>
      <c r="B2278" s="1" t="s">
        <v>56</v>
      </c>
      <c r="C2278" s="1" t="s">
        <v>57</v>
      </c>
      <c r="D2278" s="2">
        <v>44634.539038738425</v>
      </c>
      <c r="E2278" s="1" t="s">
        <v>8</v>
      </c>
      <c r="F2278" s="1">
        <v>1</v>
      </c>
      <c r="G2278" s="1">
        <v>0</v>
      </c>
      <c r="H2278" s="6">
        <f>INT(Query1[[#This Row],[EntryDateTime]])</f>
        <v>44634</v>
      </c>
      <c r="I2278" s="1">
        <f>IF(Query1[[#This Row],[ItemType]]="EVAP KIT SF GEN IV",Query1[[#This Row],[OrderQty]]+I2277,I2277)</f>
        <v>2728</v>
      </c>
      <c r="J2278" s="1">
        <f>IF(Query1[[#This Row],[ItemType]]="EVAP KIT UNIVERSAL",Query1[[#This Row],[OrderQty]]+J2277,J2277)</f>
        <v>1189</v>
      </c>
      <c r="K2278" s="1">
        <f>Query1[[#This Row],[SF Running Total]]+Query1[[#This Row],[UNIV Running Total]]</f>
        <v>3917</v>
      </c>
      <c r="L2278">
        <f>VLOOKUP(Query1[[#This Row],[Description]],'kits to boards'!$B$2:$E$156,2,FALSE)</f>
        <v>830011</v>
      </c>
      <c r="M2278">
        <f>VLOOKUP(Query1[[#This Row],[Description]],'kits to boards'!$B$2:$E$156,3,FALSE)</f>
        <v>0</v>
      </c>
      <c r="N2278">
        <f>VLOOKUP(Query1[[#This Row],[Description]],'kits to boards'!$B$2:$E$156,4,FALSE)</f>
        <v>0</v>
      </c>
      <c r="O2278" t="str">
        <f>CONCATENATE(Query1[[#This Row],[Description]]," - ",Query1[[#This Row],[MB1]]," - ",Query1[[#This Row],[MB2]]," - ",Query1[[#This Row],[MB3]])</f>
        <v>EVAP KIT 70-72 CHEVELLE W/AC - 830011 - 0 - 0</v>
      </c>
    </row>
    <row r="2279" spans="1:15" x14ac:dyDescent="0.25">
      <c r="A2279" s="1">
        <v>914984</v>
      </c>
      <c r="B2279" s="1" t="s">
        <v>114</v>
      </c>
      <c r="C2279" s="1" t="s">
        <v>115</v>
      </c>
      <c r="D2279" s="2">
        <v>44634.556281331017</v>
      </c>
      <c r="E2279" s="1" t="s">
        <v>8</v>
      </c>
      <c r="F2279" s="1">
        <v>1</v>
      </c>
      <c r="G2279" s="1">
        <v>0</v>
      </c>
      <c r="H2279" s="6">
        <f>INT(Query1[[#This Row],[EntryDateTime]])</f>
        <v>44634</v>
      </c>
      <c r="I2279" s="1">
        <f>IF(Query1[[#This Row],[ItemType]]="EVAP KIT SF GEN IV",Query1[[#This Row],[OrderQty]]+I2278,I2278)</f>
        <v>2729</v>
      </c>
      <c r="J2279" s="1">
        <f>IF(Query1[[#This Row],[ItemType]]="EVAP KIT UNIVERSAL",Query1[[#This Row],[OrderQty]]+J2278,J2278)</f>
        <v>1189</v>
      </c>
      <c r="K2279" s="1">
        <f>Query1[[#This Row],[SF Running Total]]+Query1[[#This Row],[UNIV Running Total]]</f>
        <v>3918</v>
      </c>
      <c r="L2279">
        <f>VLOOKUP(Query1[[#This Row],[Description]],'kits to boards'!$B$2:$E$156,2,FALSE)</f>
        <v>830059</v>
      </c>
      <c r="M2279">
        <f>VLOOKUP(Query1[[#This Row],[Description]],'kits to boards'!$B$2:$E$156,3,FALSE)</f>
        <v>0</v>
      </c>
      <c r="N2279">
        <f>VLOOKUP(Query1[[#This Row],[Description]],'kits to boards'!$B$2:$E$156,4,FALSE)</f>
        <v>0</v>
      </c>
      <c r="O2279" t="str">
        <f>CONCATENATE(Query1[[#This Row],[Description]]," - ",Query1[[#This Row],[MB1]]," - ",Query1[[#This Row],[MB2]]," - ",Query1[[#This Row],[MB3]])</f>
        <v>EVAP KIT 66-67 CHEVELLE W/AC - 830059 - 0 - 0</v>
      </c>
    </row>
    <row r="2280" spans="1:15" x14ac:dyDescent="0.25">
      <c r="A2280" s="1">
        <v>914993</v>
      </c>
      <c r="B2280" s="1" t="s">
        <v>128</v>
      </c>
      <c r="C2280" s="1" t="s">
        <v>129</v>
      </c>
      <c r="D2280" s="2">
        <v>44634.572044710651</v>
      </c>
      <c r="E2280" s="1" t="s">
        <v>8</v>
      </c>
      <c r="F2280" s="1">
        <v>1</v>
      </c>
      <c r="G2280" s="1">
        <v>0</v>
      </c>
      <c r="H2280" s="6">
        <f>INT(Query1[[#This Row],[EntryDateTime]])</f>
        <v>44634</v>
      </c>
      <c r="I2280" s="1">
        <f>IF(Query1[[#This Row],[ItemType]]="EVAP KIT SF GEN IV",Query1[[#This Row],[OrderQty]]+I2279,I2279)</f>
        <v>2730</v>
      </c>
      <c r="J2280" s="1">
        <f>IF(Query1[[#This Row],[ItemType]]="EVAP KIT UNIVERSAL",Query1[[#This Row],[OrderQty]]+J2279,J2279)</f>
        <v>1189</v>
      </c>
      <c r="K2280" s="1">
        <f>Query1[[#This Row],[SF Running Total]]+Query1[[#This Row],[UNIV Running Total]]</f>
        <v>3919</v>
      </c>
      <c r="L2280">
        <f>VLOOKUP(Query1[[#This Row],[Description]],'kits to boards'!$B$2:$E$156,2,FALSE)</f>
        <v>830036</v>
      </c>
      <c r="M2280">
        <f>VLOOKUP(Query1[[#This Row],[Description]],'kits to boards'!$B$2:$E$156,3,FALSE)</f>
        <v>830039</v>
      </c>
      <c r="N2280">
        <f>VLOOKUP(Query1[[#This Row],[Description]],'kits to boards'!$B$2:$E$156,4,FALSE)</f>
        <v>0</v>
      </c>
      <c r="O2280" t="str">
        <f>CONCATENATE(Query1[[#This Row],[Description]]," - ",Query1[[#This Row],[MB1]]," - ",Query1[[#This Row],[MB2]]," - ",Query1[[#This Row],[MB3]])</f>
        <v>EVAP KIT 63-66 VETTE WO AC - 830036 - 830039 - 0</v>
      </c>
    </row>
    <row r="2281" spans="1:15" x14ac:dyDescent="0.25">
      <c r="A2281" s="1">
        <v>914998</v>
      </c>
      <c r="B2281" s="1" t="s">
        <v>100</v>
      </c>
      <c r="C2281" s="1" t="s">
        <v>101</v>
      </c>
      <c r="D2281" s="2">
        <v>44634.583458136571</v>
      </c>
      <c r="E2281" s="1" t="s">
        <v>8</v>
      </c>
      <c r="F2281" s="1">
        <v>1</v>
      </c>
      <c r="G2281" s="1">
        <v>0</v>
      </c>
      <c r="H2281" s="6">
        <f>INT(Query1[[#This Row],[EntryDateTime]])</f>
        <v>44634</v>
      </c>
      <c r="I2281" s="1">
        <f>IF(Query1[[#This Row],[ItemType]]="EVAP KIT SF GEN IV",Query1[[#This Row],[OrderQty]]+I2280,I2280)</f>
        <v>2731</v>
      </c>
      <c r="J2281" s="1">
        <f>IF(Query1[[#This Row],[ItemType]]="EVAP KIT UNIVERSAL",Query1[[#This Row],[OrderQty]]+J2280,J2280)</f>
        <v>1189</v>
      </c>
      <c r="K2281" s="1">
        <f>Query1[[#This Row],[SF Running Total]]+Query1[[#This Row],[UNIV Running Total]]</f>
        <v>3920</v>
      </c>
      <c r="L2281">
        <f>VLOOKUP(Query1[[#This Row],[Description]],'kits to boards'!$B$2:$E$156,2,FALSE)</f>
        <v>830096</v>
      </c>
      <c r="M2281">
        <f>VLOOKUP(Query1[[#This Row],[Description]],'kits to boards'!$B$2:$E$156,3,FALSE)</f>
        <v>0</v>
      </c>
      <c r="N2281">
        <f>VLOOKUP(Query1[[#This Row],[Description]],'kits to boards'!$B$2:$E$156,4,FALSE)</f>
        <v>0</v>
      </c>
      <c r="O2281" t="str">
        <f>CONCATENATE(Query1[[#This Row],[Description]]," - ",Query1[[#This Row],[MB1]]," - ",Query1[[#This Row],[MB2]]," - ",Query1[[#This Row],[MB3]])</f>
        <v>EVAP KIT 62-65 NOVA - 830096 - 0 - 0</v>
      </c>
    </row>
    <row r="2282" spans="1:15" x14ac:dyDescent="0.25">
      <c r="A2282" s="1">
        <v>914999</v>
      </c>
      <c r="B2282" s="1" t="s">
        <v>52</v>
      </c>
      <c r="C2282" s="1" t="s">
        <v>53</v>
      </c>
      <c r="D2282" s="2">
        <v>44634.583583101848</v>
      </c>
      <c r="E2282" s="1" t="s">
        <v>8</v>
      </c>
      <c r="F2282" s="1">
        <v>1</v>
      </c>
      <c r="G2282" s="1">
        <v>0</v>
      </c>
      <c r="H2282" s="6">
        <f>INT(Query1[[#This Row],[EntryDateTime]])</f>
        <v>44634</v>
      </c>
      <c r="I2282" s="1">
        <f>IF(Query1[[#This Row],[ItemType]]="EVAP KIT SF GEN IV",Query1[[#This Row],[OrderQty]]+I2281,I2281)</f>
        <v>2732</v>
      </c>
      <c r="J2282" s="1">
        <f>IF(Query1[[#This Row],[ItemType]]="EVAP KIT UNIVERSAL",Query1[[#This Row],[OrderQty]]+J2281,J2281)</f>
        <v>1189</v>
      </c>
      <c r="K2282" s="1">
        <f>Query1[[#This Row],[SF Running Total]]+Query1[[#This Row],[UNIV Running Total]]</f>
        <v>3921</v>
      </c>
      <c r="L2282">
        <f>VLOOKUP(Query1[[#This Row],[Description]],'kits to boards'!$B$2:$E$156,2,FALSE)</f>
        <v>830017</v>
      </c>
      <c r="M2282">
        <f>VLOOKUP(Query1[[#This Row],[Description]],'kits to boards'!$B$2:$E$156,3,FALSE)</f>
        <v>830119</v>
      </c>
      <c r="N2282">
        <f>VLOOKUP(Query1[[#This Row],[Description]],'kits to boards'!$B$2:$E$156,4,FALSE)</f>
        <v>830120</v>
      </c>
      <c r="O2282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2283" spans="1:15" x14ac:dyDescent="0.25">
      <c r="A2283" s="1">
        <v>915005</v>
      </c>
      <c r="B2283" s="1" t="s">
        <v>106</v>
      </c>
      <c r="C2283" s="1" t="s">
        <v>253</v>
      </c>
      <c r="D2283" s="2">
        <v>44634.595626122682</v>
      </c>
      <c r="E2283" s="1" t="s">
        <v>8</v>
      </c>
      <c r="F2283" s="1">
        <v>1</v>
      </c>
      <c r="G2283" s="1">
        <v>0</v>
      </c>
      <c r="H2283" s="6">
        <f>INT(Query1[[#This Row],[EntryDateTime]])</f>
        <v>44634</v>
      </c>
      <c r="I2283" s="1">
        <f>IF(Query1[[#This Row],[ItemType]]="EVAP KIT SF GEN IV",Query1[[#This Row],[OrderQty]]+I2282,I2282)</f>
        <v>2733</v>
      </c>
      <c r="J2283" s="1">
        <f>IF(Query1[[#This Row],[ItemType]]="EVAP KIT UNIVERSAL",Query1[[#This Row],[OrderQty]]+J2282,J2282)</f>
        <v>1189</v>
      </c>
      <c r="K2283" s="1">
        <f>Query1[[#This Row],[SF Running Total]]+Query1[[#This Row],[UNIV Running Total]]</f>
        <v>3922</v>
      </c>
      <c r="L2283">
        <f>VLOOKUP(Query1[[#This Row],[Description]],'kits to boards'!$B$2:$E$156,2,FALSE)</f>
        <v>830028</v>
      </c>
      <c r="M2283">
        <f>VLOOKUP(Query1[[#This Row],[Description]],'kits to boards'!$B$2:$E$156,3,FALSE)</f>
        <v>0</v>
      </c>
      <c r="N2283">
        <f>VLOOKUP(Query1[[#This Row],[Description]],'kits to boards'!$B$2:$E$156,4,FALSE)</f>
        <v>0</v>
      </c>
      <c r="O2283" t="str">
        <f>CONCATENATE(Query1[[#This Row],[Description]]," - ",Query1[[#This Row],[MB1]]," - ",Query1[[#This Row],[MB2]]," - ",Query1[[#This Row],[MB3]])</f>
        <v>EVAP KIT 55-59 CHEV P-UP WO AC W/DELX  - 830028 - 0 - 0</v>
      </c>
    </row>
    <row r="2284" spans="1:15" x14ac:dyDescent="0.25">
      <c r="A2284" s="1">
        <v>915007</v>
      </c>
      <c r="B2284" s="1" t="s">
        <v>88</v>
      </c>
      <c r="C2284" s="1" t="s">
        <v>89</v>
      </c>
      <c r="D2284" s="2">
        <v>44634.596957372683</v>
      </c>
      <c r="E2284" s="1" t="s">
        <v>8</v>
      </c>
      <c r="F2284" s="1">
        <v>1</v>
      </c>
      <c r="G2284" s="1">
        <v>0</v>
      </c>
      <c r="H2284" s="6">
        <f>INT(Query1[[#This Row],[EntryDateTime]])</f>
        <v>44634</v>
      </c>
      <c r="I2284" s="1">
        <f>IF(Query1[[#This Row],[ItemType]]="EVAP KIT SF GEN IV",Query1[[#This Row],[OrderQty]]+I2283,I2283)</f>
        <v>2734</v>
      </c>
      <c r="J2284" s="1">
        <f>IF(Query1[[#This Row],[ItemType]]="EVAP KIT UNIVERSAL",Query1[[#This Row],[OrderQty]]+J2283,J2283)</f>
        <v>1189</v>
      </c>
      <c r="K2284" s="1">
        <f>Query1[[#This Row],[SF Running Total]]+Query1[[#This Row],[UNIV Running Total]]</f>
        <v>3923</v>
      </c>
      <c r="L2284">
        <f>VLOOKUP(Query1[[#This Row],[Description]],'kits to boards'!$B$2:$E$156,2,FALSE)</f>
        <v>830003</v>
      </c>
      <c r="M2284">
        <f>VLOOKUP(Query1[[#This Row],[Description]],'kits to boards'!$B$2:$E$156,3,FALSE)</f>
        <v>0</v>
      </c>
      <c r="N2284">
        <f>VLOOKUP(Query1[[#This Row],[Description]],'kits to boards'!$B$2:$E$156,4,FALSE)</f>
        <v>0</v>
      </c>
      <c r="O2284" t="str">
        <f>CONCATENATE(Query1[[#This Row],[Description]]," - ",Query1[[#This Row],[MB1]]," - ",Query1[[#This Row],[MB2]]," - ",Query1[[#This Row],[MB3]])</f>
        <v>EVAP KIT 81-87 CHEV P-UP WO AC - 830003 - 0 - 0</v>
      </c>
    </row>
    <row r="2285" spans="1:15" x14ac:dyDescent="0.25">
      <c r="A2285" s="1">
        <v>915010</v>
      </c>
      <c r="B2285" s="1" t="s">
        <v>84</v>
      </c>
      <c r="C2285" s="1" t="s">
        <v>85</v>
      </c>
      <c r="D2285" s="2">
        <v>44634.599813738423</v>
      </c>
      <c r="E2285" s="1" t="s">
        <v>8</v>
      </c>
      <c r="F2285" s="1">
        <v>10</v>
      </c>
      <c r="G2285" s="1">
        <v>0</v>
      </c>
      <c r="H2285" s="6">
        <f>INT(Query1[[#This Row],[EntryDateTime]])</f>
        <v>44634</v>
      </c>
      <c r="I2285" s="1">
        <f>IF(Query1[[#This Row],[ItemType]]="EVAP KIT SF GEN IV",Query1[[#This Row],[OrderQty]]+I2284,I2284)</f>
        <v>2744</v>
      </c>
      <c r="J2285" s="1">
        <f>IF(Query1[[#This Row],[ItemType]]="EVAP KIT UNIVERSAL",Query1[[#This Row],[OrderQty]]+J2284,J2284)</f>
        <v>1189</v>
      </c>
      <c r="K2285" s="1">
        <f>Query1[[#This Row],[SF Running Total]]+Query1[[#This Row],[UNIV Running Total]]</f>
        <v>3933</v>
      </c>
      <c r="L2285">
        <f>VLOOKUP(Query1[[#This Row],[Description]],'kits to boards'!$B$2:$E$156,2,FALSE)</f>
        <v>830085</v>
      </c>
      <c r="M2285">
        <f>VLOOKUP(Query1[[#This Row],[Description]],'kits to boards'!$B$2:$E$156,3,FALSE)</f>
        <v>0</v>
      </c>
      <c r="N2285">
        <f>VLOOKUP(Query1[[#This Row],[Description]],'kits to boards'!$B$2:$E$156,4,FALSE)</f>
        <v>0</v>
      </c>
      <c r="O2285" t="str">
        <f>CONCATENATE(Query1[[#This Row],[Description]]," - ",Query1[[#This Row],[MB1]]," - ",Query1[[#This Row],[MB2]]," - ",Query1[[#This Row],[MB3]])</f>
        <v>EVAP KIT 66-77 BRONCO 4-VENT PLENUM - 830085 - 0 - 0</v>
      </c>
    </row>
    <row r="2286" spans="1:15" x14ac:dyDescent="0.25">
      <c r="A2286" s="1">
        <v>915011</v>
      </c>
      <c r="B2286" s="1" t="s">
        <v>66</v>
      </c>
      <c r="C2286" s="1" t="s">
        <v>67</v>
      </c>
      <c r="D2286" s="2">
        <v>44634.600887928238</v>
      </c>
      <c r="E2286" s="1" t="s">
        <v>8</v>
      </c>
      <c r="F2286" s="1">
        <v>1</v>
      </c>
      <c r="G2286" s="1">
        <v>0</v>
      </c>
      <c r="H2286" s="6">
        <f>INT(Query1[[#This Row],[EntryDateTime]])</f>
        <v>44634</v>
      </c>
      <c r="I2286" s="1">
        <f>IF(Query1[[#This Row],[ItemType]]="EVAP KIT SF GEN IV",Query1[[#This Row],[OrderQty]]+I2285,I2285)</f>
        <v>2745</v>
      </c>
      <c r="J2286" s="1">
        <f>IF(Query1[[#This Row],[ItemType]]="EVAP KIT UNIVERSAL",Query1[[#This Row],[OrderQty]]+J2285,J2285)</f>
        <v>1189</v>
      </c>
      <c r="K2286" s="1">
        <f>Query1[[#This Row],[SF Running Total]]+Query1[[#This Row],[UNIV Running Total]]</f>
        <v>3934</v>
      </c>
      <c r="L2286">
        <f>VLOOKUP(Query1[[#This Row],[Description]],'kits to boards'!$B$2:$E$156,2,FALSE)</f>
        <v>830060</v>
      </c>
      <c r="M2286">
        <f>VLOOKUP(Query1[[#This Row],[Description]],'kits to boards'!$B$2:$E$156,3,FALSE)</f>
        <v>0</v>
      </c>
      <c r="N2286">
        <f>VLOOKUP(Query1[[#This Row],[Description]],'kits to boards'!$B$2:$E$156,4,FALSE)</f>
        <v>0</v>
      </c>
      <c r="O2286" t="str">
        <f>CONCATENATE(Query1[[#This Row],[Description]]," - ",Query1[[#This Row],[MB1]]," - ",Query1[[#This Row],[MB2]]," - ",Query1[[#This Row],[MB3]])</f>
        <v>EVAP KIT 66-67 CHEVELLE WO AC - 830060 - 0 - 0</v>
      </c>
    </row>
    <row r="2287" spans="1:15" x14ac:dyDescent="0.25">
      <c r="A2287" s="1">
        <v>915013</v>
      </c>
      <c r="B2287" s="1" t="s">
        <v>174</v>
      </c>
      <c r="C2287" s="1" t="s">
        <v>175</v>
      </c>
      <c r="D2287" s="2">
        <v>44634.605915659726</v>
      </c>
      <c r="E2287" s="1" t="s">
        <v>8</v>
      </c>
      <c r="F2287" s="1">
        <v>1</v>
      </c>
      <c r="G2287" s="1">
        <v>0</v>
      </c>
      <c r="H2287" s="6">
        <f>INT(Query1[[#This Row],[EntryDateTime]])</f>
        <v>44634</v>
      </c>
      <c r="I2287" s="1">
        <f>IF(Query1[[#This Row],[ItemType]]="EVAP KIT SF GEN IV",Query1[[#This Row],[OrderQty]]+I2286,I2286)</f>
        <v>2746</v>
      </c>
      <c r="J2287" s="1">
        <f>IF(Query1[[#This Row],[ItemType]]="EVAP KIT UNIVERSAL",Query1[[#This Row],[OrderQty]]+J2286,J2286)</f>
        <v>1189</v>
      </c>
      <c r="K2287" s="1">
        <f>Query1[[#This Row],[SF Running Total]]+Query1[[#This Row],[UNIV Running Total]]</f>
        <v>3935</v>
      </c>
      <c r="L2287">
        <f>VLOOKUP(Query1[[#This Row],[Description]],'kits to boards'!$B$2:$E$156,2,FALSE)</f>
        <v>830007</v>
      </c>
      <c r="M2287">
        <f>VLOOKUP(Query1[[#This Row],[Description]],'kits to boards'!$B$2:$E$156,3,FALSE)</f>
        <v>0</v>
      </c>
      <c r="N2287">
        <f>VLOOKUP(Query1[[#This Row],[Description]],'kits to boards'!$B$2:$E$156,4,FALSE)</f>
        <v>0</v>
      </c>
      <c r="O2287" t="str">
        <f>CONCATENATE(Query1[[#This Row],[Description]]," - ",Query1[[#This Row],[MB1]]," - ",Query1[[#This Row],[MB2]]," - ",Query1[[#This Row],[MB3]])</f>
        <v>EVAP KIT 64 IMPALA W/AC - 830007 - 0 - 0</v>
      </c>
    </row>
    <row r="2288" spans="1:15" x14ac:dyDescent="0.25">
      <c r="A2288" s="1">
        <v>914713</v>
      </c>
      <c r="B2288" s="1" t="s">
        <v>190</v>
      </c>
      <c r="C2288" s="1" t="s">
        <v>191</v>
      </c>
      <c r="D2288" s="2">
        <v>44634.606852893521</v>
      </c>
      <c r="E2288" s="1" t="s">
        <v>8</v>
      </c>
      <c r="F2288" s="1">
        <v>1</v>
      </c>
      <c r="G2288" s="1">
        <v>0</v>
      </c>
      <c r="H2288" s="6">
        <f>INT(Query1[[#This Row],[EntryDateTime]])</f>
        <v>44634</v>
      </c>
      <c r="I2288" s="1">
        <f>IF(Query1[[#This Row],[ItemType]]="EVAP KIT SF GEN IV",Query1[[#This Row],[OrderQty]]+I2287,I2287)</f>
        <v>2747</v>
      </c>
      <c r="J2288" s="1">
        <f>IF(Query1[[#This Row],[ItemType]]="EVAP KIT UNIVERSAL",Query1[[#This Row],[OrderQty]]+J2287,J2287)</f>
        <v>1189</v>
      </c>
      <c r="K2288" s="1">
        <f>Query1[[#This Row],[SF Running Total]]+Query1[[#This Row],[UNIV Running Total]]</f>
        <v>3936</v>
      </c>
      <c r="L2288">
        <f>VLOOKUP(Query1[[#This Row],[Description]],'kits to boards'!$B$2:$E$156,2,FALSE)</f>
        <v>830008</v>
      </c>
      <c r="M2288">
        <f>VLOOKUP(Query1[[#This Row],[Description]],'kits to boards'!$B$2:$E$156,3,FALSE)</f>
        <v>0</v>
      </c>
      <c r="N2288">
        <f>VLOOKUP(Query1[[#This Row],[Description]],'kits to boards'!$B$2:$E$156,4,FALSE)</f>
        <v>0</v>
      </c>
      <c r="O2288" t="str">
        <f>CONCATENATE(Query1[[#This Row],[Description]]," - ",Query1[[#This Row],[MB1]]," - ",Query1[[#This Row],[MB2]]," - ",Query1[[#This Row],[MB3]])</f>
        <v>EVAP KIT 63 IMPALA WO AC - 830008 - 0 - 0</v>
      </c>
    </row>
    <row r="2289" spans="1:15" x14ac:dyDescent="0.25">
      <c r="A2289" s="1">
        <v>914958</v>
      </c>
      <c r="B2289" s="1" t="s">
        <v>22</v>
      </c>
      <c r="C2289" s="1" t="s">
        <v>23</v>
      </c>
      <c r="D2289" s="2">
        <v>44634.610492557869</v>
      </c>
      <c r="E2289" s="1" t="s">
        <v>8</v>
      </c>
      <c r="F2289" s="1">
        <v>1</v>
      </c>
      <c r="G2289" s="1">
        <v>0</v>
      </c>
      <c r="H2289" s="6">
        <f>INT(Query1[[#This Row],[EntryDateTime]])</f>
        <v>44634</v>
      </c>
      <c r="I2289" s="1">
        <f>IF(Query1[[#This Row],[ItemType]]="EVAP KIT SF GEN IV",Query1[[#This Row],[OrderQty]]+I2288,I2288)</f>
        <v>2748</v>
      </c>
      <c r="J2289" s="1">
        <f>IF(Query1[[#This Row],[ItemType]]="EVAP KIT UNIVERSAL",Query1[[#This Row],[OrderQty]]+J2288,J2288)</f>
        <v>1189</v>
      </c>
      <c r="K2289" s="1">
        <f>Query1[[#This Row],[SF Running Total]]+Query1[[#This Row],[UNIV Running Total]]</f>
        <v>3937</v>
      </c>
      <c r="L2289">
        <f>VLOOKUP(Query1[[#This Row],[Description]],'kits to boards'!$B$2:$E$156,2,FALSE)</f>
        <v>830083</v>
      </c>
      <c r="M2289">
        <f>VLOOKUP(Query1[[#This Row],[Description]],'kits to boards'!$B$2:$E$156,3,FALSE)</f>
        <v>0</v>
      </c>
      <c r="N2289">
        <f>VLOOKUP(Query1[[#This Row],[Description]],'kits to boards'!$B$2:$E$156,4,FALSE)</f>
        <v>0</v>
      </c>
      <c r="O2289" t="str">
        <f>CONCATENATE(Query1[[#This Row],[Description]]," - ",Query1[[#This Row],[MB1]]," - ",Query1[[#This Row],[MB2]]," - ",Query1[[#This Row],[MB3]])</f>
        <v>GEN IV MAGNUM EVAP KIT - 830083 - 0 - 0</v>
      </c>
    </row>
    <row r="2290" spans="1:15" x14ac:dyDescent="0.25">
      <c r="A2290" s="1">
        <v>914983</v>
      </c>
      <c r="B2290" s="1" t="s">
        <v>56</v>
      </c>
      <c r="C2290" s="1" t="s">
        <v>57</v>
      </c>
      <c r="D2290" s="2">
        <v>44634.62597508102</v>
      </c>
      <c r="E2290" s="1" t="s">
        <v>8</v>
      </c>
      <c r="F2290" s="1">
        <v>1</v>
      </c>
      <c r="G2290" s="1">
        <v>0</v>
      </c>
      <c r="H2290" s="6">
        <f>INT(Query1[[#This Row],[EntryDateTime]])</f>
        <v>44634</v>
      </c>
      <c r="I2290" s="1">
        <f>IF(Query1[[#This Row],[ItemType]]="EVAP KIT SF GEN IV",Query1[[#This Row],[OrderQty]]+I2289,I2289)</f>
        <v>2749</v>
      </c>
      <c r="J2290" s="1">
        <f>IF(Query1[[#This Row],[ItemType]]="EVAP KIT UNIVERSAL",Query1[[#This Row],[OrderQty]]+J2289,J2289)</f>
        <v>1189</v>
      </c>
      <c r="K2290" s="1">
        <f>Query1[[#This Row],[SF Running Total]]+Query1[[#This Row],[UNIV Running Total]]</f>
        <v>3938</v>
      </c>
      <c r="L2290">
        <f>VLOOKUP(Query1[[#This Row],[Description]],'kits to boards'!$B$2:$E$156,2,FALSE)</f>
        <v>830011</v>
      </c>
      <c r="M2290">
        <f>VLOOKUP(Query1[[#This Row],[Description]],'kits to boards'!$B$2:$E$156,3,FALSE)</f>
        <v>0</v>
      </c>
      <c r="N2290">
        <f>VLOOKUP(Query1[[#This Row],[Description]],'kits to boards'!$B$2:$E$156,4,FALSE)</f>
        <v>0</v>
      </c>
      <c r="O2290" t="str">
        <f>CONCATENATE(Query1[[#This Row],[Description]]," - ",Query1[[#This Row],[MB1]]," - ",Query1[[#This Row],[MB2]]," - ",Query1[[#This Row],[MB3]])</f>
        <v>EVAP KIT 70-72 CHEVELLE W/AC - 830011 - 0 - 0</v>
      </c>
    </row>
    <row r="2291" spans="1:15" x14ac:dyDescent="0.25">
      <c r="A2291" s="1">
        <v>915030</v>
      </c>
      <c r="B2291" s="1" t="s">
        <v>188</v>
      </c>
      <c r="C2291" s="1" t="s">
        <v>189</v>
      </c>
      <c r="D2291" s="2">
        <v>44634.639319212962</v>
      </c>
      <c r="E2291" s="1" t="s">
        <v>11</v>
      </c>
      <c r="F2291" s="1">
        <v>1</v>
      </c>
      <c r="G2291" s="1">
        <v>0</v>
      </c>
      <c r="H2291" s="6">
        <f>INT(Query1[[#This Row],[EntryDateTime]])</f>
        <v>44634</v>
      </c>
      <c r="I2291" s="1">
        <f>IF(Query1[[#This Row],[ItemType]]="EVAP KIT SF GEN IV",Query1[[#This Row],[OrderQty]]+I2290,I2290)</f>
        <v>2749</v>
      </c>
      <c r="J2291" s="1">
        <f>IF(Query1[[#This Row],[ItemType]]="EVAP KIT UNIVERSAL",Query1[[#This Row],[OrderQty]]+J2290,J2290)</f>
        <v>1190</v>
      </c>
      <c r="K2291" s="1">
        <f>Query1[[#This Row],[SF Running Total]]+Query1[[#This Row],[UNIV Running Total]]</f>
        <v>3939</v>
      </c>
      <c r="L2291">
        <f>VLOOKUP(Query1[[#This Row],[Description]],'kits to boards'!$B$2:$E$156,2,FALSE)</f>
        <v>830069</v>
      </c>
      <c r="M2291">
        <f>VLOOKUP(Query1[[#This Row],[Description]],'kits to boards'!$B$2:$E$156,3,FALSE)</f>
        <v>0</v>
      </c>
      <c r="N2291">
        <f>VLOOKUP(Query1[[#This Row],[Description]],'kits to boards'!$B$2:$E$156,4,FALSE)</f>
        <v>0</v>
      </c>
      <c r="O2291" t="str">
        <f>CONCATENATE(Query1[[#This Row],[Description]]," - ",Query1[[#This Row],[MB1]]," - ",Query1[[#This Row],[MB2]]," - ",Query1[[#This Row],[MB3]])</f>
        <v>SLIMLINE H/C STD LOUVER - 830069 - 0 - 0</v>
      </c>
    </row>
    <row r="2292" spans="1:15" x14ac:dyDescent="0.25">
      <c r="A2292" s="1">
        <v>915033</v>
      </c>
      <c r="B2292" s="1" t="s">
        <v>96</v>
      </c>
      <c r="C2292" s="1" t="s">
        <v>97</v>
      </c>
      <c r="D2292" s="2">
        <v>44634.642518865738</v>
      </c>
      <c r="E2292" s="1" t="s">
        <v>8</v>
      </c>
      <c r="F2292" s="1">
        <v>1</v>
      </c>
      <c r="G2292" s="1">
        <v>0</v>
      </c>
      <c r="H2292" s="6">
        <f>INT(Query1[[#This Row],[EntryDateTime]])</f>
        <v>44634</v>
      </c>
      <c r="I2292" s="1">
        <f>IF(Query1[[#This Row],[ItemType]]="EVAP KIT SF GEN IV",Query1[[#This Row],[OrderQty]]+I2291,I2291)</f>
        <v>2750</v>
      </c>
      <c r="J2292" s="1">
        <f>IF(Query1[[#This Row],[ItemType]]="EVAP KIT UNIVERSAL",Query1[[#This Row],[OrderQty]]+J2291,J2291)</f>
        <v>1190</v>
      </c>
      <c r="K2292" s="1">
        <f>Query1[[#This Row],[SF Running Total]]+Query1[[#This Row],[UNIV Running Total]]</f>
        <v>3940</v>
      </c>
      <c r="L2292">
        <f>VLOOKUP(Query1[[#This Row],[Description]],'kits to boards'!$B$2:$E$156,2,FALSE)</f>
        <v>830004</v>
      </c>
      <c r="M2292">
        <f>VLOOKUP(Query1[[#This Row],[Description]],'kits to boards'!$B$2:$E$156,3,FALSE)</f>
        <v>0</v>
      </c>
      <c r="N2292">
        <f>VLOOKUP(Query1[[#This Row],[Description]],'kits to boards'!$B$2:$E$156,4,FALSE)</f>
        <v>0</v>
      </c>
      <c r="O2292" t="str">
        <f>CONCATENATE(Query1[[#This Row],[Description]]," - ",Query1[[#This Row],[MB1]]," - ",Query1[[#This Row],[MB2]]," - ",Query1[[#This Row],[MB3]])</f>
        <v>EVAP KIT 81-87 CHEV P-UP W/AC - 830004 - 0 - 0</v>
      </c>
    </row>
    <row r="2293" spans="1:15" x14ac:dyDescent="0.25">
      <c r="A2293" s="1">
        <v>915040</v>
      </c>
      <c r="B2293" s="1" t="s">
        <v>281</v>
      </c>
      <c r="C2293" s="1" t="s">
        <v>282</v>
      </c>
      <c r="D2293" s="2">
        <v>44634.664407094904</v>
      </c>
      <c r="E2293" s="1" t="s">
        <v>8</v>
      </c>
      <c r="F2293" s="1">
        <v>1</v>
      </c>
      <c r="G2293" s="1">
        <v>0</v>
      </c>
      <c r="H2293" s="6">
        <f>INT(Query1[[#This Row],[EntryDateTime]])</f>
        <v>44634</v>
      </c>
      <c r="I2293" s="1">
        <f>IF(Query1[[#This Row],[ItemType]]="EVAP KIT SF GEN IV",Query1[[#This Row],[OrderQty]]+I2292,I2292)</f>
        <v>2751</v>
      </c>
      <c r="J2293" s="1">
        <f>IF(Query1[[#This Row],[ItemType]]="EVAP KIT UNIVERSAL",Query1[[#This Row],[OrderQty]]+J2292,J2292)</f>
        <v>1190</v>
      </c>
      <c r="K2293" s="1">
        <f>Query1[[#This Row],[SF Running Total]]+Query1[[#This Row],[UNIV Running Total]]</f>
        <v>3941</v>
      </c>
      <c r="L2293">
        <f>VLOOKUP(Query1[[#This Row],[Description]],'kits to boards'!$B$2:$E$156,2,FALSE)</f>
        <v>830093</v>
      </c>
      <c r="M2293">
        <f>VLOOKUP(Query1[[#This Row],[Description]],'kits to boards'!$B$2:$E$156,3,FALSE)</f>
        <v>0</v>
      </c>
      <c r="N2293">
        <f>VLOOKUP(Query1[[#This Row],[Description]],'kits to boards'!$B$2:$E$156,4,FALSE)</f>
        <v>0</v>
      </c>
      <c r="O2293" t="str">
        <f>CONCATENATE(Query1[[#This Row],[Description]]," - ",Query1[[#This Row],[MB1]]," - ",Query1[[#This Row],[MB2]]," - ",Query1[[#This Row],[MB3]])</f>
        <v>EVAP KIT 67 VETTE W/AC - 830093 - 0 - 0</v>
      </c>
    </row>
    <row r="2294" spans="1:15" x14ac:dyDescent="0.25">
      <c r="A2294" s="1">
        <v>915041</v>
      </c>
      <c r="B2294" s="1" t="s">
        <v>50</v>
      </c>
      <c r="C2294" s="1" t="s">
        <v>51</v>
      </c>
      <c r="D2294" s="2">
        <v>44634.667879513887</v>
      </c>
      <c r="E2294" s="1" t="s">
        <v>8</v>
      </c>
      <c r="F2294" s="1">
        <v>1</v>
      </c>
      <c r="G2294" s="1">
        <v>0</v>
      </c>
      <c r="H2294" s="6">
        <f>INT(Query1[[#This Row],[EntryDateTime]])</f>
        <v>44634</v>
      </c>
      <c r="I2294" s="1">
        <f>IF(Query1[[#This Row],[ItemType]]="EVAP KIT SF GEN IV",Query1[[#This Row],[OrderQty]]+I2293,I2293)</f>
        <v>2752</v>
      </c>
      <c r="J2294" s="1">
        <f>IF(Query1[[#This Row],[ItemType]]="EVAP KIT UNIVERSAL",Query1[[#This Row],[OrderQty]]+J2293,J2293)</f>
        <v>1190</v>
      </c>
      <c r="K2294" s="1">
        <f>Query1[[#This Row],[SF Running Total]]+Query1[[#This Row],[UNIV Running Total]]</f>
        <v>3942</v>
      </c>
      <c r="L2294">
        <f>VLOOKUP(Query1[[#This Row],[Description]],'kits to boards'!$B$2:$E$156,2,FALSE)</f>
        <v>830043</v>
      </c>
      <c r="M2294">
        <f>VLOOKUP(Query1[[#This Row],[Description]],'kits to boards'!$B$2:$E$156,3,FALSE)</f>
        <v>0</v>
      </c>
      <c r="N2294">
        <f>VLOOKUP(Query1[[#This Row],[Description]],'kits to boards'!$B$2:$E$156,4,FALSE)</f>
        <v>0</v>
      </c>
      <c r="O2294" t="str">
        <f>CONCATENATE(Query1[[#This Row],[Description]]," - ",Query1[[#This Row],[MB1]]," - ",Query1[[#This Row],[MB2]]," - ",Query1[[#This Row],[MB3]])</f>
        <v>EVAP KIT 69-74 NOVA WO AC - 830043 - 0 - 0</v>
      </c>
    </row>
    <row r="2295" spans="1:15" x14ac:dyDescent="0.25">
      <c r="A2295" s="1">
        <v>915050</v>
      </c>
      <c r="B2295" s="1" t="s">
        <v>277</v>
      </c>
      <c r="C2295" s="1" t="s">
        <v>278</v>
      </c>
      <c r="D2295" s="2">
        <v>44634.678256099534</v>
      </c>
      <c r="E2295" s="1" t="s">
        <v>8</v>
      </c>
      <c r="F2295" s="1">
        <v>1</v>
      </c>
      <c r="G2295" s="1">
        <v>0</v>
      </c>
      <c r="H2295" s="6">
        <f>INT(Query1[[#This Row],[EntryDateTime]])</f>
        <v>44634</v>
      </c>
      <c r="I2295" s="1">
        <f>IF(Query1[[#This Row],[ItemType]]="EVAP KIT SF GEN IV",Query1[[#This Row],[OrderQty]]+I2294,I2294)</f>
        <v>2753</v>
      </c>
      <c r="J2295" s="1">
        <f>IF(Query1[[#This Row],[ItemType]]="EVAP KIT UNIVERSAL",Query1[[#This Row],[OrderQty]]+J2294,J2294)</f>
        <v>1190</v>
      </c>
      <c r="K2295" s="1">
        <f>Query1[[#This Row],[SF Running Total]]+Query1[[#This Row],[UNIV Running Total]]</f>
        <v>3943</v>
      </c>
      <c r="L2295">
        <f>VLOOKUP(Query1[[#This Row],[Description]],'kits to boards'!$B$2:$E$156,2,FALSE)</f>
        <v>830047</v>
      </c>
      <c r="M2295">
        <f>VLOOKUP(Query1[[#This Row],[Description]],'kits to boards'!$B$2:$E$156,3,FALSE)</f>
        <v>0</v>
      </c>
      <c r="N2295">
        <f>VLOOKUP(Query1[[#This Row],[Description]],'kits to boards'!$B$2:$E$156,4,FALSE)</f>
        <v>0</v>
      </c>
      <c r="O2295" t="str">
        <f>CONCATENATE(Query1[[#This Row],[Description]]," - ",Query1[[#This Row],[MB1]]," - ",Query1[[#This Row],[MB2]]," - ",Query1[[#This Row],[MB3]])</f>
        <v>EVAP KIT 68 NOVA WO AC - 830047 - 0 - 0</v>
      </c>
    </row>
    <row r="2296" spans="1:15" x14ac:dyDescent="0.25">
      <c r="A2296" s="1">
        <v>915052</v>
      </c>
      <c r="B2296" s="1" t="s">
        <v>300</v>
      </c>
      <c r="C2296" s="1" t="s">
        <v>301</v>
      </c>
      <c r="D2296" s="2">
        <v>44634.687223923611</v>
      </c>
      <c r="E2296" s="1" t="s">
        <v>11</v>
      </c>
      <c r="F2296" s="1">
        <v>1</v>
      </c>
      <c r="G2296" s="1">
        <v>0</v>
      </c>
      <c r="H2296" s="6">
        <f>INT(Query1[[#This Row],[EntryDateTime]])</f>
        <v>44634</v>
      </c>
      <c r="I2296" s="1">
        <f>IF(Query1[[#This Row],[ItemType]]="EVAP KIT SF GEN IV",Query1[[#This Row],[OrderQty]]+I2295,I2295)</f>
        <v>2753</v>
      </c>
      <c r="J2296" s="1">
        <f>IF(Query1[[#This Row],[ItemType]]="EVAP KIT UNIVERSAL",Query1[[#This Row],[OrderQty]]+J2295,J2295)</f>
        <v>1191</v>
      </c>
      <c r="K2296" s="1">
        <f>Query1[[#This Row],[SF Running Total]]+Query1[[#This Row],[UNIV Running Total]]</f>
        <v>3944</v>
      </c>
      <c r="L2296">
        <f>VLOOKUP(Query1[[#This Row],[Description]],'kits to boards'!$B$2:$E$156,2,FALSE)</f>
        <v>830045</v>
      </c>
      <c r="M2296">
        <f>VLOOKUP(Query1[[#This Row],[Description]],'kits to boards'!$B$2:$E$156,3,FALSE)</f>
        <v>0</v>
      </c>
      <c r="N2296">
        <f>VLOOKUP(Query1[[#This Row],[Description]],'kits to boards'!$B$2:$E$156,4,FALSE)</f>
        <v>0</v>
      </c>
      <c r="O2296" t="str">
        <f>CONCATENATE(Query1[[#This Row],[Description]]," - ",Query1[[#This Row],[MB1]]," - ",Query1[[#This Row],[MB2]]," - ",Query1[[#This Row],[MB3]])</f>
        <v>MINI SLIMLINE H/C BLK LOUVER - 830045 - 0 - 0</v>
      </c>
    </row>
    <row r="2297" spans="1:15" x14ac:dyDescent="0.25">
      <c r="A2297" s="1">
        <v>915060</v>
      </c>
      <c r="B2297" s="1" t="s">
        <v>6</v>
      </c>
      <c r="C2297" s="1" t="s">
        <v>7</v>
      </c>
      <c r="D2297" s="2">
        <v>44634.694351388891</v>
      </c>
      <c r="E2297" s="1" t="s">
        <v>8</v>
      </c>
      <c r="F2297" s="1">
        <v>1</v>
      </c>
      <c r="G2297" s="1">
        <v>0</v>
      </c>
      <c r="H2297" s="6">
        <f>INT(Query1[[#This Row],[EntryDateTime]])</f>
        <v>44634</v>
      </c>
      <c r="I2297" s="1">
        <f>IF(Query1[[#This Row],[ItemType]]="EVAP KIT SF GEN IV",Query1[[#This Row],[OrderQty]]+I2296,I2296)</f>
        <v>2754</v>
      </c>
      <c r="J2297" s="1">
        <f>IF(Query1[[#This Row],[ItemType]]="EVAP KIT UNIVERSAL",Query1[[#This Row],[OrderQty]]+J2296,J2296)</f>
        <v>1191</v>
      </c>
      <c r="K2297" s="1">
        <f>Query1[[#This Row],[SF Running Total]]+Query1[[#This Row],[UNIV Running Total]]</f>
        <v>3945</v>
      </c>
      <c r="L2297">
        <f>VLOOKUP(Query1[[#This Row],[Description]],'kits to boards'!$B$2:$E$156,2,FALSE)</f>
        <v>830132</v>
      </c>
      <c r="M2297">
        <f>VLOOKUP(Query1[[#This Row],[Description]],'kits to boards'!$B$2:$E$156,3,FALSE)</f>
        <v>0</v>
      </c>
      <c r="N2297">
        <f>VLOOKUP(Query1[[#This Row],[Description]],'kits to boards'!$B$2:$E$156,4,FALSE)</f>
        <v>0</v>
      </c>
      <c r="O2297" t="str">
        <f>CONCATENATE(Query1[[#This Row],[Description]]," - ",Query1[[#This Row],[MB1]]," - ",Query1[[#This Row],[MB2]]," - ",Query1[[#This Row],[MB3]])</f>
        <v>EVAP KIT 82-88 MONTE CARLO/EL CAMINO - 830132 - 0 - 0</v>
      </c>
    </row>
    <row r="2298" spans="1:15" x14ac:dyDescent="0.25">
      <c r="A2298" s="1">
        <v>914973</v>
      </c>
      <c r="B2298" s="1" t="s">
        <v>94</v>
      </c>
      <c r="C2298" s="1" t="s">
        <v>95</v>
      </c>
      <c r="D2298" s="2">
        <v>44634.701549502315</v>
      </c>
      <c r="E2298" s="1" t="s">
        <v>8</v>
      </c>
      <c r="F2298" s="1">
        <v>1</v>
      </c>
      <c r="G2298" s="1">
        <v>0</v>
      </c>
      <c r="H2298" s="6">
        <f>INT(Query1[[#This Row],[EntryDateTime]])</f>
        <v>44634</v>
      </c>
      <c r="I2298" s="1">
        <f>IF(Query1[[#This Row],[ItemType]]="EVAP KIT SF GEN IV",Query1[[#This Row],[OrderQty]]+I2297,I2297)</f>
        <v>2755</v>
      </c>
      <c r="J2298" s="1">
        <f>IF(Query1[[#This Row],[ItemType]]="EVAP KIT UNIVERSAL",Query1[[#This Row],[OrderQty]]+J2297,J2297)</f>
        <v>1191</v>
      </c>
      <c r="K2298" s="1">
        <f>Query1[[#This Row],[SF Running Total]]+Query1[[#This Row],[UNIV Running Total]]</f>
        <v>3946</v>
      </c>
      <c r="L2298">
        <f>VLOOKUP(Query1[[#This Row],[Description]],'kits to boards'!$B$2:$E$156,2,FALSE)</f>
        <v>830076</v>
      </c>
      <c r="M2298">
        <f>VLOOKUP(Query1[[#This Row],[Description]],'kits to boards'!$B$2:$E$156,3,FALSE)</f>
        <v>0</v>
      </c>
      <c r="N2298">
        <f>VLOOKUP(Query1[[#This Row],[Description]],'kits to boards'!$B$2:$E$156,4,FALSE)</f>
        <v>0</v>
      </c>
      <c r="O2298" t="str">
        <f>CONCATENATE(Query1[[#This Row],[Description]]," - ",Query1[[#This Row],[MB1]]," - ",Query1[[#This Row],[MB2]]," - ",Query1[[#This Row],[MB3]])</f>
        <v>EVAP KIT 64 1/2- 66 MUSTANG  - 830076 - 0 - 0</v>
      </c>
    </row>
    <row r="2299" spans="1:15" x14ac:dyDescent="0.25">
      <c r="A2299" s="1">
        <v>915066</v>
      </c>
      <c r="B2299" s="1" t="s">
        <v>52</v>
      </c>
      <c r="C2299" s="1" t="s">
        <v>53</v>
      </c>
      <c r="D2299" s="2">
        <v>44634.704405173608</v>
      </c>
      <c r="E2299" s="1" t="s">
        <v>8</v>
      </c>
      <c r="F2299" s="1">
        <v>1</v>
      </c>
      <c r="G2299" s="1">
        <v>0</v>
      </c>
      <c r="H2299" s="6">
        <f>INT(Query1[[#This Row],[EntryDateTime]])</f>
        <v>44634</v>
      </c>
      <c r="I2299" s="1">
        <f>IF(Query1[[#This Row],[ItemType]]="EVAP KIT SF GEN IV",Query1[[#This Row],[OrderQty]]+I2298,I2298)</f>
        <v>2756</v>
      </c>
      <c r="J2299" s="1">
        <f>IF(Query1[[#This Row],[ItemType]]="EVAP KIT UNIVERSAL",Query1[[#This Row],[OrderQty]]+J2298,J2298)</f>
        <v>1191</v>
      </c>
      <c r="K2299" s="1">
        <f>Query1[[#This Row],[SF Running Total]]+Query1[[#This Row],[UNIV Running Total]]</f>
        <v>3947</v>
      </c>
      <c r="L2299">
        <f>VLOOKUP(Query1[[#This Row],[Description]],'kits to boards'!$B$2:$E$156,2,FALSE)</f>
        <v>830017</v>
      </c>
      <c r="M2299">
        <f>VLOOKUP(Query1[[#This Row],[Description]],'kits to boards'!$B$2:$E$156,3,FALSE)</f>
        <v>830119</v>
      </c>
      <c r="N2299">
        <f>VLOOKUP(Query1[[#This Row],[Description]],'kits to boards'!$B$2:$E$156,4,FALSE)</f>
        <v>830120</v>
      </c>
      <c r="O2299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2300" spans="1:15" x14ac:dyDescent="0.25">
      <c r="A2300" s="1">
        <v>915068</v>
      </c>
      <c r="B2300" s="1" t="s">
        <v>110</v>
      </c>
      <c r="C2300" s="1" t="s">
        <v>111</v>
      </c>
      <c r="D2300" s="2">
        <v>44634.707651932869</v>
      </c>
      <c r="E2300" s="1" t="s">
        <v>8</v>
      </c>
      <c r="F2300" s="1">
        <v>1</v>
      </c>
      <c r="G2300" s="1">
        <v>0</v>
      </c>
      <c r="H2300" s="6">
        <f>INT(Query1[[#This Row],[EntryDateTime]])</f>
        <v>44634</v>
      </c>
      <c r="I2300" s="1">
        <f>IF(Query1[[#This Row],[ItemType]]="EVAP KIT SF GEN IV",Query1[[#This Row],[OrderQty]]+I2299,I2299)</f>
        <v>2757</v>
      </c>
      <c r="J2300" s="1">
        <f>IF(Query1[[#This Row],[ItemType]]="EVAP KIT UNIVERSAL",Query1[[#This Row],[OrderQty]]+J2299,J2299)</f>
        <v>1191</v>
      </c>
      <c r="K2300" s="1">
        <f>Query1[[#This Row],[SF Running Total]]+Query1[[#This Row],[UNIV Running Total]]</f>
        <v>3948</v>
      </c>
      <c r="L2300">
        <f>VLOOKUP(Query1[[#This Row],[Description]],'kits to boards'!$B$2:$E$156,2,FALSE)</f>
        <v>830053</v>
      </c>
      <c r="M2300">
        <f>VLOOKUP(Query1[[#This Row],[Description]],'kits to boards'!$B$2:$E$156,3,FALSE)</f>
        <v>0</v>
      </c>
      <c r="N2300">
        <f>VLOOKUP(Query1[[#This Row],[Description]],'kits to boards'!$B$2:$E$156,4,FALSE)</f>
        <v>0</v>
      </c>
      <c r="O2300" t="str">
        <f>CONCATENATE(Query1[[#This Row],[Description]]," - ",Query1[[#This Row],[MB1]]," - ",Query1[[#This Row],[MB2]]," - ",Query1[[#This Row],[MB3]])</f>
        <v>EVAP KIT 65-66 FORD F-100 - 830053 - 0 - 0</v>
      </c>
    </row>
    <row r="2301" spans="1:15" x14ac:dyDescent="0.25">
      <c r="A2301" s="1">
        <v>914270</v>
      </c>
      <c r="B2301" s="1" t="s">
        <v>140</v>
      </c>
      <c r="C2301" s="1" t="s">
        <v>141</v>
      </c>
      <c r="D2301" s="2">
        <v>44634.711944479168</v>
      </c>
      <c r="E2301" s="1" t="s">
        <v>8</v>
      </c>
      <c r="F2301" s="1">
        <v>1</v>
      </c>
      <c r="G2301" s="1">
        <v>0</v>
      </c>
      <c r="H2301" s="6">
        <f>INT(Query1[[#This Row],[EntryDateTime]])</f>
        <v>44634</v>
      </c>
      <c r="I2301" s="1">
        <f>IF(Query1[[#This Row],[ItemType]]="EVAP KIT SF GEN IV",Query1[[#This Row],[OrderQty]]+I2300,I2300)</f>
        <v>2758</v>
      </c>
      <c r="J2301" s="1">
        <f>IF(Query1[[#This Row],[ItemType]]="EVAP KIT UNIVERSAL",Query1[[#This Row],[OrderQty]]+J2300,J2300)</f>
        <v>1191</v>
      </c>
      <c r="K2301" s="1">
        <f>Query1[[#This Row],[SF Running Total]]+Query1[[#This Row],[UNIV Running Total]]</f>
        <v>3949</v>
      </c>
      <c r="L2301">
        <f>VLOOKUP(Query1[[#This Row],[Description]],'kits to boards'!$B$2:$E$156,2,FALSE)</f>
        <v>830066</v>
      </c>
      <c r="M2301">
        <f>VLOOKUP(Query1[[#This Row],[Description]],'kits to boards'!$B$2:$E$156,3,FALSE)</f>
        <v>0</v>
      </c>
      <c r="N2301">
        <f>VLOOKUP(Query1[[#This Row],[Description]],'kits to boards'!$B$2:$E$156,4,FALSE)</f>
        <v>0</v>
      </c>
      <c r="O2301" t="str">
        <f>CONCATENATE(Query1[[#This Row],[Description]]," - ",Query1[[#This Row],[MB1]]," - ",Query1[[#This Row],[MB2]]," - ",Query1[[#This Row],[MB3]])</f>
        <v>EVAP KIT 60-63 CHEV P-UP WO AC - 830066 - 0 - 0</v>
      </c>
    </row>
    <row r="2302" spans="1:15" x14ac:dyDescent="0.25">
      <c r="A2302" s="1">
        <v>915063</v>
      </c>
      <c r="B2302" s="1" t="s">
        <v>48</v>
      </c>
      <c r="C2302" s="1" t="s">
        <v>49</v>
      </c>
      <c r="D2302" s="2">
        <v>44634.715210185183</v>
      </c>
      <c r="E2302" s="1" t="s">
        <v>8</v>
      </c>
      <c r="F2302" s="1">
        <v>1</v>
      </c>
      <c r="G2302" s="1">
        <v>0</v>
      </c>
      <c r="H2302" s="6">
        <f>INT(Query1[[#This Row],[EntryDateTime]])</f>
        <v>44634</v>
      </c>
      <c r="I2302" s="1">
        <f>IF(Query1[[#This Row],[ItemType]]="EVAP KIT SF GEN IV",Query1[[#This Row],[OrderQty]]+I2301,I2301)</f>
        <v>2759</v>
      </c>
      <c r="J2302" s="1">
        <f>IF(Query1[[#This Row],[ItemType]]="EVAP KIT UNIVERSAL",Query1[[#This Row],[OrderQty]]+J2301,J2301)</f>
        <v>1191</v>
      </c>
      <c r="K2302" s="1">
        <f>Query1[[#This Row],[SF Running Total]]+Query1[[#This Row],[UNIV Running Total]]</f>
        <v>3950</v>
      </c>
      <c r="L2302">
        <f>VLOOKUP(Query1[[#This Row],[Description]],'kits to boards'!$B$2:$E$156,2,FALSE)</f>
        <v>830015</v>
      </c>
      <c r="M2302">
        <f>VLOOKUP(Query1[[#This Row],[Description]],'kits to boards'!$B$2:$E$156,3,FALSE)</f>
        <v>0</v>
      </c>
      <c r="N2302">
        <f>VLOOKUP(Query1[[#This Row],[Description]],'kits to boards'!$B$2:$E$156,4,FALSE)</f>
        <v>0</v>
      </c>
      <c r="O2302" t="str">
        <f>CONCATENATE(Query1[[#This Row],[Description]]," - ",Query1[[#This Row],[MB1]]," - ",Query1[[#This Row],[MB2]]," - ",Query1[[#This Row],[MB3]])</f>
        <v>EVAP KIT 64-66 CHEV P-UP WO AC W/DELX - 830015 - 0 - 0</v>
      </c>
    </row>
    <row r="2303" spans="1:15" x14ac:dyDescent="0.25">
      <c r="A2303" s="1">
        <v>915070</v>
      </c>
      <c r="B2303" s="1" t="s">
        <v>42</v>
      </c>
      <c r="C2303" s="1" t="s">
        <v>43</v>
      </c>
      <c r="D2303" s="2">
        <v>44634.723120104165</v>
      </c>
      <c r="E2303" s="1" t="s">
        <v>8</v>
      </c>
      <c r="F2303" s="1">
        <v>1</v>
      </c>
      <c r="G2303" s="1">
        <v>0</v>
      </c>
      <c r="H2303" s="6">
        <f>INT(Query1[[#This Row],[EntryDateTime]])</f>
        <v>44634</v>
      </c>
      <c r="I2303" s="1">
        <f>IF(Query1[[#This Row],[ItemType]]="EVAP KIT SF GEN IV",Query1[[#This Row],[OrderQty]]+I2302,I2302)</f>
        <v>2760</v>
      </c>
      <c r="J2303" s="1">
        <f>IF(Query1[[#This Row],[ItemType]]="EVAP KIT UNIVERSAL",Query1[[#This Row],[OrderQty]]+J2302,J2302)</f>
        <v>1191</v>
      </c>
      <c r="K2303" s="1">
        <f>Query1[[#This Row],[SF Running Total]]+Query1[[#This Row],[UNIV Running Total]]</f>
        <v>3951</v>
      </c>
      <c r="L2303">
        <f>VLOOKUP(Query1[[#This Row],[Description]],'kits to boards'!$B$2:$E$156,2,FALSE)</f>
        <v>830014</v>
      </c>
      <c r="M2303">
        <f>VLOOKUP(Query1[[#This Row],[Description]],'kits to boards'!$B$2:$E$156,3,FALSE)</f>
        <v>0</v>
      </c>
      <c r="N2303">
        <f>VLOOKUP(Query1[[#This Row],[Description]],'kits to boards'!$B$2:$E$156,4,FALSE)</f>
        <v>0</v>
      </c>
      <c r="O2303" t="str">
        <f>CONCATENATE(Query1[[#This Row],[Description]]," - ",Query1[[#This Row],[MB1]]," - ",Query1[[#This Row],[MB2]]," - ",Query1[[#This Row],[MB3]])</f>
        <v>EVAP KIT 67-72 CHEV P-UP WO AC - 830014 - 0 - 0</v>
      </c>
    </row>
    <row r="2304" spans="1:15" x14ac:dyDescent="0.25">
      <c r="A2304" s="1">
        <v>915075</v>
      </c>
      <c r="B2304" s="1" t="s">
        <v>90</v>
      </c>
      <c r="C2304" s="1" t="s">
        <v>91</v>
      </c>
      <c r="D2304" s="2">
        <v>44635.30793318287</v>
      </c>
      <c r="E2304" s="1" t="s">
        <v>8</v>
      </c>
      <c r="F2304" s="1">
        <v>1</v>
      </c>
      <c r="G2304" s="1">
        <v>0</v>
      </c>
      <c r="H2304" s="6">
        <f>INT(Query1[[#This Row],[EntryDateTime]])</f>
        <v>44635</v>
      </c>
      <c r="I2304" s="1">
        <f>IF(Query1[[#This Row],[ItemType]]="EVAP KIT SF GEN IV",Query1[[#This Row],[OrderQty]]+I2303,I2303)</f>
        <v>2761</v>
      </c>
      <c r="J2304" s="1">
        <f>IF(Query1[[#This Row],[ItemType]]="EVAP KIT UNIVERSAL",Query1[[#This Row],[OrderQty]]+J2303,J2303)</f>
        <v>1191</v>
      </c>
      <c r="K2304" s="1">
        <f>Query1[[#This Row],[SF Running Total]]+Query1[[#This Row],[UNIV Running Total]]</f>
        <v>3952</v>
      </c>
      <c r="L2304">
        <f>VLOOKUP(Query1[[#This Row],[Description]],'kits to boards'!$B$2:$E$156,2,FALSE)</f>
        <v>830105</v>
      </c>
      <c r="M2304">
        <f>VLOOKUP(Query1[[#This Row],[Description]],'kits to boards'!$B$2:$E$156,3,FALSE)</f>
        <v>830106</v>
      </c>
      <c r="N2304">
        <f>VLOOKUP(Query1[[#This Row],[Description]],'kits to boards'!$B$2:$E$156,4,FALSE)</f>
        <v>0</v>
      </c>
      <c r="O2304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2305" spans="1:15" x14ac:dyDescent="0.25">
      <c r="A2305" s="1">
        <v>915078</v>
      </c>
      <c r="B2305" s="1" t="s">
        <v>194</v>
      </c>
      <c r="C2305" s="1" t="s">
        <v>195</v>
      </c>
      <c r="D2305" s="2">
        <v>44635.317657291664</v>
      </c>
      <c r="E2305" s="1" t="s">
        <v>8</v>
      </c>
      <c r="F2305" s="1">
        <v>1</v>
      </c>
      <c r="G2305" s="1">
        <v>0</v>
      </c>
      <c r="H2305" s="6">
        <f>INT(Query1[[#This Row],[EntryDateTime]])</f>
        <v>44635</v>
      </c>
      <c r="I2305" s="1">
        <f>IF(Query1[[#This Row],[ItemType]]="EVAP KIT SF GEN IV",Query1[[#This Row],[OrderQty]]+I2304,I2304)</f>
        <v>2762</v>
      </c>
      <c r="J2305" s="1">
        <f>IF(Query1[[#This Row],[ItemType]]="EVAP KIT UNIVERSAL",Query1[[#This Row],[OrderQty]]+J2304,J2304)</f>
        <v>1191</v>
      </c>
      <c r="K2305" s="1">
        <f>Query1[[#This Row],[SF Running Total]]+Query1[[#This Row],[UNIV Running Total]]</f>
        <v>3953</v>
      </c>
      <c r="L2305">
        <f>VLOOKUP(Query1[[#This Row],[Description]],'kits to boards'!$B$2:$E$156,2,FALSE)</f>
        <v>830103</v>
      </c>
      <c r="M2305">
        <f>VLOOKUP(Query1[[#This Row],[Description]],'kits to boards'!$B$2:$E$156,3,FALSE)</f>
        <v>0</v>
      </c>
      <c r="N2305">
        <f>VLOOKUP(Query1[[#This Row],[Description]],'kits to boards'!$B$2:$E$156,4,FALSE)</f>
        <v>0</v>
      </c>
      <c r="O2305" t="str">
        <f>CONCATENATE(Query1[[#This Row],[Description]]," - ",Query1[[#This Row],[MB1]]," - ",Query1[[#This Row],[MB2]]," - ",Query1[[#This Row],[MB3]])</f>
        <v>EVAP KIT 78-82 VETTE W/AC - 830103 - 0 - 0</v>
      </c>
    </row>
    <row r="2306" spans="1:15" x14ac:dyDescent="0.25">
      <c r="A2306" s="1">
        <v>914769</v>
      </c>
      <c r="B2306" s="1" t="s">
        <v>108</v>
      </c>
      <c r="C2306" s="1" t="s">
        <v>109</v>
      </c>
      <c r="D2306" s="2">
        <v>44635.323963657407</v>
      </c>
      <c r="E2306" s="1" t="s">
        <v>8</v>
      </c>
      <c r="F2306" s="1">
        <v>1</v>
      </c>
      <c r="G2306" s="1">
        <v>0</v>
      </c>
      <c r="H2306" s="6">
        <f>INT(Query1[[#This Row],[EntryDateTime]])</f>
        <v>44635</v>
      </c>
      <c r="I2306" s="1">
        <f>IF(Query1[[#This Row],[ItemType]]="EVAP KIT SF GEN IV",Query1[[#This Row],[OrderQty]]+I2305,I2305)</f>
        <v>2763</v>
      </c>
      <c r="J2306" s="1">
        <f>IF(Query1[[#This Row],[ItemType]]="EVAP KIT UNIVERSAL",Query1[[#This Row],[OrderQty]]+J2305,J2305)</f>
        <v>1191</v>
      </c>
      <c r="K2306" s="1">
        <f>Query1[[#This Row],[SF Running Total]]+Query1[[#This Row],[UNIV Running Total]]</f>
        <v>3954</v>
      </c>
      <c r="L2306">
        <f>VLOOKUP(Query1[[#This Row],[Description]],'kits to boards'!$B$2:$E$156,2,FALSE)</f>
        <v>830105</v>
      </c>
      <c r="M2306">
        <f>VLOOKUP(Query1[[#This Row],[Description]],'kits to boards'!$B$2:$E$156,3,FALSE)</f>
        <v>830106</v>
      </c>
      <c r="N2306">
        <f>VLOOKUP(Query1[[#This Row],[Description]],'kits to boards'!$B$2:$E$156,4,FALSE)</f>
        <v>0</v>
      </c>
      <c r="O2306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2307" spans="1:15" x14ac:dyDescent="0.25">
      <c r="A2307" s="1">
        <v>915002</v>
      </c>
      <c r="B2307" s="1" t="s">
        <v>32</v>
      </c>
      <c r="C2307" s="1" t="s">
        <v>33</v>
      </c>
      <c r="D2307" s="2">
        <v>44635.335416550923</v>
      </c>
      <c r="E2307" s="1" t="s">
        <v>8</v>
      </c>
      <c r="F2307" s="1">
        <v>1</v>
      </c>
      <c r="G2307" s="1">
        <v>0</v>
      </c>
      <c r="H2307" s="6">
        <f>INT(Query1[[#This Row],[EntryDateTime]])</f>
        <v>44635</v>
      </c>
      <c r="I2307" s="1">
        <f>IF(Query1[[#This Row],[ItemType]]="EVAP KIT SF GEN IV",Query1[[#This Row],[OrderQty]]+I2306,I2306)</f>
        <v>2764</v>
      </c>
      <c r="J2307" s="1">
        <f>IF(Query1[[#This Row],[ItemType]]="EVAP KIT UNIVERSAL",Query1[[#This Row],[OrderQty]]+J2306,J2306)</f>
        <v>1191</v>
      </c>
      <c r="K2307" s="1">
        <f>Query1[[#This Row],[SF Running Total]]+Query1[[#This Row],[UNIV Running Total]]</f>
        <v>3955</v>
      </c>
      <c r="L2307">
        <f>VLOOKUP(Query1[[#This Row],[Description]],'kits to boards'!$B$2:$E$156,2,FALSE)</f>
        <v>830016</v>
      </c>
      <c r="M2307">
        <f>VLOOKUP(Query1[[#This Row],[Description]],'kits to boards'!$B$2:$E$156,3,FALSE)</f>
        <v>0</v>
      </c>
      <c r="N2307">
        <f>VLOOKUP(Query1[[#This Row],[Description]],'kits to boards'!$B$2:$E$156,4,FALSE)</f>
        <v>0</v>
      </c>
      <c r="O2307" t="str">
        <f>CONCATENATE(Query1[[#This Row],[Description]]," - ",Query1[[#This Row],[MB1]]," - ",Query1[[#This Row],[MB2]]," - ",Query1[[#This Row],[MB3]])</f>
        <v>EVAP KIT 67-68 CAMARO/FIREBIRD W/AC - 830016 - 0 - 0</v>
      </c>
    </row>
    <row r="2308" spans="1:15" x14ac:dyDescent="0.25">
      <c r="A2308" s="1">
        <v>915097</v>
      </c>
      <c r="B2308" s="1" t="s">
        <v>192</v>
      </c>
      <c r="C2308" s="1" t="s">
        <v>193</v>
      </c>
      <c r="D2308" s="2">
        <v>44635.356354594907</v>
      </c>
      <c r="E2308" s="1" t="s">
        <v>8</v>
      </c>
      <c r="F2308" s="1">
        <v>1</v>
      </c>
      <c r="G2308" s="1">
        <v>0</v>
      </c>
      <c r="H2308" s="6">
        <f>INT(Query1[[#This Row],[EntryDateTime]])</f>
        <v>44635</v>
      </c>
      <c r="I2308" s="1">
        <f>IF(Query1[[#This Row],[ItemType]]="EVAP KIT SF GEN IV",Query1[[#This Row],[OrderQty]]+I2307,I2307)</f>
        <v>2765</v>
      </c>
      <c r="J2308" s="1">
        <f>IF(Query1[[#This Row],[ItemType]]="EVAP KIT UNIVERSAL",Query1[[#This Row],[OrderQty]]+J2307,J2307)</f>
        <v>1191</v>
      </c>
      <c r="K2308" s="1">
        <f>Query1[[#This Row],[SF Running Total]]+Query1[[#This Row],[UNIV Running Total]]</f>
        <v>3956</v>
      </c>
      <c r="L2308">
        <f>VLOOKUP(Query1[[#This Row],[Description]],'kits to boards'!$B$2:$E$156,2,FALSE)</f>
        <v>830094</v>
      </c>
      <c r="M2308">
        <f>VLOOKUP(Query1[[#This Row],[Description]],'kits to boards'!$B$2:$E$156,3,FALSE)</f>
        <v>0</v>
      </c>
      <c r="N2308">
        <f>VLOOKUP(Query1[[#This Row],[Description]],'kits to boards'!$B$2:$E$156,4,FALSE)</f>
        <v>0</v>
      </c>
      <c r="O2308" t="str">
        <f>CONCATENATE(Query1[[#This Row],[Description]]," - ",Query1[[#This Row],[MB1]]," - ",Query1[[#This Row],[MB2]]," - ",Query1[[#This Row],[MB3]])</f>
        <v>EVAP KIT 69-73 VETTE W/AC - 830094 - 0 - 0</v>
      </c>
    </row>
    <row r="2309" spans="1:15" x14ac:dyDescent="0.25">
      <c r="A2309" s="1">
        <v>915042</v>
      </c>
      <c r="B2309" s="1" t="s">
        <v>54</v>
      </c>
      <c r="C2309" s="1" t="s">
        <v>55</v>
      </c>
      <c r="D2309" s="2">
        <v>44635.35723869213</v>
      </c>
      <c r="E2309" s="1" t="s">
        <v>8</v>
      </c>
      <c r="F2309" s="1">
        <v>1</v>
      </c>
      <c r="G2309" s="1">
        <v>0</v>
      </c>
      <c r="H2309" s="6">
        <f>INT(Query1[[#This Row],[EntryDateTime]])</f>
        <v>44635</v>
      </c>
      <c r="I2309" s="1">
        <f>IF(Query1[[#This Row],[ItemType]]="EVAP KIT SF GEN IV",Query1[[#This Row],[OrderQty]]+I2308,I2308)</f>
        <v>2766</v>
      </c>
      <c r="J2309" s="1">
        <f>IF(Query1[[#This Row],[ItemType]]="EVAP KIT UNIVERSAL",Query1[[#This Row],[OrderQty]]+J2308,J2308)</f>
        <v>1191</v>
      </c>
      <c r="K2309" s="1">
        <f>Query1[[#This Row],[SF Running Total]]+Query1[[#This Row],[UNIV Running Total]]</f>
        <v>3957</v>
      </c>
      <c r="L2309">
        <f>VLOOKUP(Query1[[#This Row],[Description]],'kits to boards'!$B$2:$E$156,2,FALSE)</f>
        <v>830037</v>
      </c>
      <c r="M2309">
        <f>VLOOKUP(Query1[[#This Row],[Description]],'kits to boards'!$B$2:$E$156,3,FALSE)</f>
        <v>0</v>
      </c>
      <c r="N2309">
        <f>VLOOKUP(Query1[[#This Row],[Description]],'kits to boards'!$B$2:$E$156,4,FALSE)</f>
        <v>0</v>
      </c>
      <c r="O2309" t="str">
        <f>CONCATENATE(Query1[[#This Row],[Description]]," - ",Query1[[#This Row],[MB1]]," - ",Query1[[#This Row],[MB2]]," - ",Query1[[#This Row],[MB3]])</f>
        <v>EVAP KIT 70-81 FIREBIRD W/AC - 830037 - 0 - 0</v>
      </c>
    </row>
    <row r="2310" spans="1:15" x14ac:dyDescent="0.25">
      <c r="A2310" s="1">
        <v>915098</v>
      </c>
      <c r="B2310" s="1" t="s">
        <v>18</v>
      </c>
      <c r="C2310" s="1" t="s">
        <v>19</v>
      </c>
      <c r="D2310" s="2">
        <v>44635.357289780091</v>
      </c>
      <c r="E2310" s="1" t="s">
        <v>8</v>
      </c>
      <c r="F2310" s="1">
        <v>1</v>
      </c>
      <c r="G2310" s="1">
        <v>0</v>
      </c>
      <c r="H2310" s="6">
        <f>INT(Query1[[#This Row],[EntryDateTime]])</f>
        <v>44635</v>
      </c>
      <c r="I2310" s="1">
        <f>IF(Query1[[#This Row],[ItemType]]="EVAP KIT SF GEN IV",Query1[[#This Row],[OrderQty]]+I2309,I2309)</f>
        <v>2767</v>
      </c>
      <c r="J2310" s="1">
        <f>IF(Query1[[#This Row],[ItemType]]="EVAP KIT UNIVERSAL",Query1[[#This Row],[OrderQty]]+J2309,J2309)</f>
        <v>1191</v>
      </c>
      <c r="K2310" s="1">
        <f>Query1[[#This Row],[SF Running Total]]+Query1[[#This Row],[UNIV Running Total]]</f>
        <v>3958</v>
      </c>
      <c r="L2310">
        <f>VLOOKUP(Query1[[#This Row],[Description]],'kits to boards'!$B$2:$E$156,2,FALSE)</f>
        <v>830051</v>
      </c>
      <c r="M2310">
        <f>VLOOKUP(Query1[[#This Row],[Description]],'kits to boards'!$B$2:$E$156,3,FALSE)</f>
        <v>0</v>
      </c>
      <c r="N2310">
        <f>VLOOKUP(Query1[[#This Row],[Description]],'kits to boards'!$B$2:$E$156,4,FALSE)</f>
        <v>0</v>
      </c>
      <c r="O2310" t="str">
        <f>CONCATENATE(Query1[[#This Row],[Description]]," - ",Query1[[#This Row],[MB1]]," - ",Query1[[#This Row],[MB2]]," - ",Query1[[#This Row],[MB3]])</f>
        <v>EVAP KIT 70-78 CAMARO W/AC - 830051 - 0 - 0</v>
      </c>
    </row>
    <row r="2311" spans="1:15" x14ac:dyDescent="0.25">
      <c r="A2311" s="1">
        <v>914946</v>
      </c>
      <c r="B2311" s="1" t="s">
        <v>122</v>
      </c>
      <c r="C2311" s="1" t="s">
        <v>123</v>
      </c>
      <c r="D2311" s="2">
        <v>44635.357941087961</v>
      </c>
      <c r="E2311" s="1" t="s">
        <v>8</v>
      </c>
      <c r="F2311" s="1">
        <v>1</v>
      </c>
      <c r="G2311" s="1">
        <v>0</v>
      </c>
      <c r="H2311" s="6">
        <f>INT(Query1[[#This Row],[EntryDateTime]])</f>
        <v>44635</v>
      </c>
      <c r="I2311" s="1">
        <f>IF(Query1[[#This Row],[ItemType]]="EVAP KIT SF GEN IV",Query1[[#This Row],[OrderQty]]+I2310,I2310)</f>
        <v>2768</v>
      </c>
      <c r="J2311" s="1">
        <f>IF(Query1[[#This Row],[ItemType]]="EVAP KIT UNIVERSAL",Query1[[#This Row],[OrderQty]]+J2310,J2310)</f>
        <v>1191</v>
      </c>
      <c r="K2311" s="1">
        <f>Query1[[#This Row],[SF Running Total]]+Query1[[#This Row],[UNIV Running Total]]</f>
        <v>3959</v>
      </c>
      <c r="L2311">
        <f>VLOOKUP(Query1[[#This Row],[Description]],'kits to boards'!$B$2:$E$156,2,FALSE)</f>
        <v>830027</v>
      </c>
      <c r="M2311">
        <f>VLOOKUP(Query1[[#This Row],[Description]],'kits to boards'!$B$2:$E$156,3,FALSE)</f>
        <v>0</v>
      </c>
      <c r="N2311">
        <f>VLOOKUP(Query1[[#This Row],[Description]],'kits to boards'!$B$2:$E$156,4,FALSE)</f>
        <v>0</v>
      </c>
      <c r="O2311" t="str">
        <f>CONCATENATE(Query1[[#This Row],[Description]]," - ",Query1[[#This Row],[MB1]]," - ",Query1[[#This Row],[MB2]]," - ",Query1[[#This Row],[MB3]])</f>
        <v>EVAP KIT 70-72 CUTLASS W/AC - 830027 - 0 - 0</v>
      </c>
    </row>
    <row r="2312" spans="1:15" x14ac:dyDescent="0.25">
      <c r="A2312" s="1">
        <v>915100</v>
      </c>
      <c r="B2312" s="1" t="s">
        <v>146</v>
      </c>
      <c r="C2312" s="1" t="s">
        <v>147</v>
      </c>
      <c r="D2312" s="2">
        <v>44635.358745868056</v>
      </c>
      <c r="E2312" s="1" t="s">
        <v>11</v>
      </c>
      <c r="F2312" s="1">
        <v>1</v>
      </c>
      <c r="G2312" s="1">
        <v>0</v>
      </c>
      <c r="H2312" s="6">
        <f>INT(Query1[[#This Row],[EntryDateTime]])</f>
        <v>44635</v>
      </c>
      <c r="I2312" s="1">
        <f>IF(Query1[[#This Row],[ItemType]]="EVAP KIT SF GEN IV",Query1[[#This Row],[OrderQty]]+I2311,I2311)</f>
        <v>2768</v>
      </c>
      <c r="J2312" s="1">
        <f>IF(Query1[[#This Row],[ItemType]]="EVAP KIT UNIVERSAL",Query1[[#This Row],[OrderQty]]+J2311,J2311)</f>
        <v>1192</v>
      </c>
      <c r="K2312" s="1">
        <f>Query1[[#This Row],[SF Running Total]]+Query1[[#This Row],[UNIV Running Total]]</f>
        <v>3960</v>
      </c>
      <c r="L2312">
        <f>VLOOKUP(Query1[[#This Row],[Description]],'kits to boards'!$B$2:$E$156,2,FALSE)</f>
        <v>0</v>
      </c>
      <c r="M2312">
        <f>VLOOKUP(Query1[[#This Row],[Description]],'kits to boards'!$B$2:$E$156,3,FALSE)</f>
        <v>0</v>
      </c>
      <c r="N2312">
        <f>VLOOKUP(Query1[[#This Row],[Description]],'kits to boards'!$B$2:$E$156,4,FALSE)</f>
        <v>0</v>
      </c>
      <c r="O2312" t="str">
        <f>CONCATENATE(Query1[[#This Row],[Description]]," - ",Query1[[#This Row],[MB1]]," - ",Query1[[#This Row],[MB2]]," - ",Query1[[#This Row],[MB3]])</f>
        <v>HERITAGE BLACK TURNED EVAP KIT COOL ONLY - 0 - 0 - 0</v>
      </c>
    </row>
    <row r="2313" spans="1:15" x14ac:dyDescent="0.25">
      <c r="A2313" s="1">
        <v>914123</v>
      </c>
      <c r="B2313" s="1" t="s">
        <v>124</v>
      </c>
      <c r="C2313" s="1" t="s">
        <v>125</v>
      </c>
      <c r="D2313" s="2">
        <v>44635.360860914348</v>
      </c>
      <c r="E2313" s="1" t="s">
        <v>8</v>
      </c>
      <c r="F2313" s="1">
        <v>1</v>
      </c>
      <c r="G2313" s="1">
        <v>0</v>
      </c>
      <c r="H2313" s="6">
        <f>INT(Query1[[#This Row],[EntryDateTime]])</f>
        <v>44635</v>
      </c>
      <c r="I2313" s="1">
        <f>IF(Query1[[#This Row],[ItemType]]="EVAP KIT SF GEN IV",Query1[[#This Row],[OrderQty]]+I2312,I2312)</f>
        <v>2769</v>
      </c>
      <c r="J2313" s="1">
        <f>IF(Query1[[#This Row],[ItemType]]="EVAP KIT UNIVERSAL",Query1[[#This Row],[OrderQty]]+J2312,J2312)</f>
        <v>1192</v>
      </c>
      <c r="K2313" s="1">
        <f>Query1[[#This Row],[SF Running Total]]+Query1[[#This Row],[UNIV Running Total]]</f>
        <v>3961</v>
      </c>
      <c r="L2313">
        <f>VLOOKUP(Query1[[#This Row],[Description]],'kits to boards'!$B$2:$E$156,2,FALSE)</f>
        <v>830002</v>
      </c>
      <c r="M2313">
        <f>VLOOKUP(Query1[[#This Row],[Description]],'kits to boards'!$B$2:$E$156,3,FALSE)</f>
        <v>0</v>
      </c>
      <c r="N2313">
        <f>VLOOKUP(Query1[[#This Row],[Description]],'kits to boards'!$B$2:$E$156,4,FALSE)</f>
        <v>0</v>
      </c>
      <c r="O2313" t="str">
        <f>CONCATENATE(Query1[[#This Row],[Description]]," - ",Query1[[#This Row],[MB1]]," - ",Query1[[#This Row],[MB2]]," - ",Query1[[#This Row],[MB3]])</f>
        <v>EVAP KIT 73-80 CHEV P-UP WO AC - 830002 - 0 - 0</v>
      </c>
    </row>
    <row r="2314" spans="1:15" x14ac:dyDescent="0.25">
      <c r="A2314" s="1">
        <v>915104</v>
      </c>
      <c r="B2314" s="1" t="s">
        <v>30</v>
      </c>
      <c r="C2314" s="1" t="s">
        <v>31</v>
      </c>
      <c r="D2314" s="2">
        <v>44635.366251307867</v>
      </c>
      <c r="E2314" s="1" t="s">
        <v>8</v>
      </c>
      <c r="F2314" s="1">
        <v>1</v>
      </c>
      <c r="G2314" s="1">
        <v>0</v>
      </c>
      <c r="H2314" s="6">
        <f>INT(Query1[[#This Row],[EntryDateTime]])</f>
        <v>44635</v>
      </c>
      <c r="I2314" s="1">
        <f>IF(Query1[[#This Row],[ItemType]]="EVAP KIT SF GEN IV",Query1[[#This Row],[OrderQty]]+I2313,I2313)</f>
        <v>2770</v>
      </c>
      <c r="J2314" s="1">
        <f>IF(Query1[[#This Row],[ItemType]]="EVAP KIT UNIVERSAL",Query1[[#This Row],[OrderQty]]+J2313,J2313)</f>
        <v>1192</v>
      </c>
      <c r="K2314" s="1">
        <f>Query1[[#This Row],[SF Running Total]]+Query1[[#This Row],[UNIV Running Total]]</f>
        <v>3962</v>
      </c>
      <c r="L2314">
        <f>VLOOKUP(Query1[[#This Row],[Description]],'kits to boards'!$B$2:$E$156,2,FALSE)</f>
        <v>830054</v>
      </c>
      <c r="M2314">
        <f>VLOOKUP(Query1[[#This Row],[Description]],'kits to boards'!$B$2:$E$156,3,FALSE)</f>
        <v>0</v>
      </c>
      <c r="N2314">
        <f>VLOOKUP(Query1[[#This Row],[Description]],'kits to boards'!$B$2:$E$156,4,FALSE)</f>
        <v>0</v>
      </c>
      <c r="O2314" t="str">
        <f>CONCATENATE(Query1[[#This Row],[Description]]," - ",Query1[[#This Row],[MB1]]," - ",Query1[[#This Row],[MB2]]," - ",Query1[[#This Row],[MB3]])</f>
        <v>EVAP KIT 55-56 CHEVY 4-VENT - 830054 - 0 - 0</v>
      </c>
    </row>
    <row r="2315" spans="1:15" x14ac:dyDescent="0.25">
      <c r="A2315" s="1">
        <v>915018</v>
      </c>
      <c r="B2315" s="1" t="s">
        <v>50</v>
      </c>
      <c r="C2315" s="1" t="s">
        <v>51</v>
      </c>
      <c r="D2315" s="2">
        <v>44635.368784687496</v>
      </c>
      <c r="E2315" s="1" t="s">
        <v>8</v>
      </c>
      <c r="F2315" s="1">
        <v>1</v>
      </c>
      <c r="G2315" s="1">
        <v>0</v>
      </c>
      <c r="H2315" s="6">
        <f>INT(Query1[[#This Row],[EntryDateTime]])</f>
        <v>44635</v>
      </c>
      <c r="I2315" s="1">
        <f>IF(Query1[[#This Row],[ItemType]]="EVAP KIT SF GEN IV",Query1[[#This Row],[OrderQty]]+I2314,I2314)</f>
        <v>2771</v>
      </c>
      <c r="J2315" s="1">
        <f>IF(Query1[[#This Row],[ItemType]]="EVAP KIT UNIVERSAL",Query1[[#This Row],[OrderQty]]+J2314,J2314)</f>
        <v>1192</v>
      </c>
      <c r="K2315" s="1">
        <f>Query1[[#This Row],[SF Running Total]]+Query1[[#This Row],[UNIV Running Total]]</f>
        <v>3963</v>
      </c>
      <c r="L2315">
        <f>VLOOKUP(Query1[[#This Row],[Description]],'kits to boards'!$B$2:$E$156,2,FALSE)</f>
        <v>830043</v>
      </c>
      <c r="M2315">
        <f>VLOOKUP(Query1[[#This Row],[Description]],'kits to boards'!$B$2:$E$156,3,FALSE)</f>
        <v>0</v>
      </c>
      <c r="N2315">
        <f>VLOOKUP(Query1[[#This Row],[Description]],'kits to boards'!$B$2:$E$156,4,FALSE)</f>
        <v>0</v>
      </c>
      <c r="O2315" t="str">
        <f>CONCATENATE(Query1[[#This Row],[Description]]," - ",Query1[[#This Row],[MB1]]," - ",Query1[[#This Row],[MB2]]," - ",Query1[[#This Row],[MB3]])</f>
        <v>EVAP KIT 69-74 NOVA WO AC - 830043 - 0 - 0</v>
      </c>
    </row>
    <row r="2316" spans="1:15" x14ac:dyDescent="0.25">
      <c r="A2316" s="1">
        <v>915109</v>
      </c>
      <c r="B2316" s="1" t="s">
        <v>60</v>
      </c>
      <c r="C2316" s="1" t="s">
        <v>61</v>
      </c>
      <c r="D2316" s="2">
        <v>44635.370847800928</v>
      </c>
      <c r="E2316" s="1" t="s">
        <v>8</v>
      </c>
      <c r="F2316" s="1">
        <v>1</v>
      </c>
      <c r="G2316" s="1">
        <v>0</v>
      </c>
      <c r="H2316" s="6">
        <f>INT(Query1[[#This Row],[EntryDateTime]])</f>
        <v>44635</v>
      </c>
      <c r="I2316" s="1">
        <f>IF(Query1[[#This Row],[ItemType]]="EVAP KIT SF GEN IV",Query1[[#This Row],[OrderQty]]+I2315,I2315)</f>
        <v>2772</v>
      </c>
      <c r="J2316" s="1">
        <f>IF(Query1[[#This Row],[ItemType]]="EVAP KIT UNIVERSAL",Query1[[#This Row],[OrderQty]]+J2315,J2315)</f>
        <v>1192</v>
      </c>
      <c r="K2316" s="1">
        <f>Query1[[#This Row],[SF Running Total]]+Query1[[#This Row],[UNIV Running Total]]</f>
        <v>3964</v>
      </c>
      <c r="L2316">
        <f>VLOOKUP(Query1[[#This Row],[Description]],'kits to boards'!$B$2:$E$156,2,FALSE)</f>
        <v>830062</v>
      </c>
      <c r="M2316">
        <f>VLOOKUP(Query1[[#This Row],[Description]],'kits to boards'!$B$2:$E$156,3,FALSE)</f>
        <v>0</v>
      </c>
      <c r="N2316">
        <f>VLOOKUP(Query1[[#This Row],[Description]],'kits to boards'!$B$2:$E$156,4,FALSE)</f>
        <v>0</v>
      </c>
      <c r="O2316" t="str">
        <f>CONCATENATE(Query1[[#This Row],[Description]]," - ",Query1[[#This Row],[MB1]]," - ",Query1[[#This Row],[MB2]]," - ",Query1[[#This Row],[MB3]])</f>
        <v>EVAP KIT 68-69 CHEVELLE WO AC - 830062 - 0 - 0</v>
      </c>
    </row>
    <row r="2317" spans="1:15" x14ac:dyDescent="0.25">
      <c r="A2317" s="1">
        <v>915110</v>
      </c>
      <c r="B2317" s="1" t="s">
        <v>92</v>
      </c>
      <c r="C2317" s="1" t="s">
        <v>93</v>
      </c>
      <c r="D2317" s="2">
        <v>44635.370964733796</v>
      </c>
      <c r="E2317" s="1" t="s">
        <v>8</v>
      </c>
      <c r="F2317" s="1">
        <v>1</v>
      </c>
      <c r="G2317" s="1">
        <v>0</v>
      </c>
      <c r="H2317" s="6">
        <f>INT(Query1[[#This Row],[EntryDateTime]])</f>
        <v>44635</v>
      </c>
      <c r="I2317" s="1">
        <f>IF(Query1[[#This Row],[ItemType]]="EVAP KIT SF GEN IV",Query1[[#This Row],[OrderQty]]+I2316,I2316)</f>
        <v>2773</v>
      </c>
      <c r="J2317" s="1">
        <f>IF(Query1[[#This Row],[ItemType]]="EVAP KIT UNIVERSAL",Query1[[#This Row],[OrderQty]]+J2316,J2316)</f>
        <v>1192</v>
      </c>
      <c r="K2317" s="1">
        <f>Query1[[#This Row],[SF Running Total]]+Query1[[#This Row],[UNIV Running Total]]</f>
        <v>3965</v>
      </c>
      <c r="L2317">
        <f>VLOOKUP(Query1[[#This Row],[Description]],'kits to boards'!$B$2:$E$156,2,FALSE)</f>
        <v>830063</v>
      </c>
      <c r="M2317">
        <f>VLOOKUP(Query1[[#This Row],[Description]],'kits to boards'!$B$2:$E$156,3,FALSE)</f>
        <v>0</v>
      </c>
      <c r="N2317">
        <f>VLOOKUP(Query1[[#This Row],[Description]],'kits to boards'!$B$2:$E$156,4,FALSE)</f>
        <v>0</v>
      </c>
      <c r="O2317" t="str">
        <f>CONCATENATE(Query1[[#This Row],[Description]]," - ",Query1[[#This Row],[MB1]]," - ",Query1[[#This Row],[MB2]]," - ",Query1[[#This Row],[MB3]])</f>
        <v>EVAP KIT 50-53 CHEV P-UP GEN IV - 830063 - 0 - 0</v>
      </c>
    </row>
    <row r="2318" spans="1:15" x14ac:dyDescent="0.25">
      <c r="A2318" s="1">
        <v>915112</v>
      </c>
      <c r="B2318" s="1" t="s">
        <v>300</v>
      </c>
      <c r="C2318" s="1" t="s">
        <v>301</v>
      </c>
      <c r="D2318" s="2">
        <v>44635.372328506943</v>
      </c>
      <c r="E2318" s="1" t="s">
        <v>11</v>
      </c>
      <c r="F2318" s="1">
        <v>1</v>
      </c>
      <c r="G2318" s="1">
        <v>0</v>
      </c>
      <c r="H2318" s="6">
        <f>INT(Query1[[#This Row],[EntryDateTime]])</f>
        <v>44635</v>
      </c>
      <c r="I2318" s="1">
        <f>IF(Query1[[#This Row],[ItemType]]="EVAP KIT SF GEN IV",Query1[[#This Row],[OrderQty]]+I2317,I2317)</f>
        <v>2773</v>
      </c>
      <c r="J2318" s="1">
        <f>IF(Query1[[#This Row],[ItemType]]="EVAP KIT UNIVERSAL",Query1[[#This Row],[OrderQty]]+J2317,J2317)</f>
        <v>1193</v>
      </c>
      <c r="K2318" s="1">
        <f>Query1[[#This Row],[SF Running Total]]+Query1[[#This Row],[UNIV Running Total]]</f>
        <v>3966</v>
      </c>
      <c r="L2318">
        <f>VLOOKUP(Query1[[#This Row],[Description]],'kits to boards'!$B$2:$E$156,2,FALSE)</f>
        <v>830045</v>
      </c>
      <c r="M2318">
        <f>VLOOKUP(Query1[[#This Row],[Description]],'kits to boards'!$B$2:$E$156,3,FALSE)</f>
        <v>0</v>
      </c>
      <c r="N2318">
        <f>VLOOKUP(Query1[[#This Row],[Description]],'kits to boards'!$B$2:$E$156,4,FALSE)</f>
        <v>0</v>
      </c>
      <c r="O2318" t="str">
        <f>CONCATENATE(Query1[[#This Row],[Description]]," - ",Query1[[#This Row],[MB1]]," - ",Query1[[#This Row],[MB2]]," - ",Query1[[#This Row],[MB3]])</f>
        <v>MINI SLIMLINE H/C BLK LOUVER - 830045 - 0 - 0</v>
      </c>
    </row>
    <row r="2319" spans="1:15" x14ac:dyDescent="0.25">
      <c r="A2319" s="1">
        <v>914616</v>
      </c>
      <c r="B2319" s="1" t="s">
        <v>42</v>
      </c>
      <c r="C2319" s="1" t="s">
        <v>43</v>
      </c>
      <c r="D2319" s="2">
        <v>44635.382270138885</v>
      </c>
      <c r="E2319" s="1" t="s">
        <v>8</v>
      </c>
      <c r="F2319" s="1">
        <v>1</v>
      </c>
      <c r="G2319" s="1">
        <v>0</v>
      </c>
      <c r="H2319" s="6">
        <f>INT(Query1[[#This Row],[EntryDateTime]])</f>
        <v>44635</v>
      </c>
      <c r="I2319" s="1">
        <f>IF(Query1[[#This Row],[ItemType]]="EVAP KIT SF GEN IV",Query1[[#This Row],[OrderQty]]+I2318,I2318)</f>
        <v>2774</v>
      </c>
      <c r="J2319" s="1">
        <f>IF(Query1[[#This Row],[ItemType]]="EVAP KIT UNIVERSAL",Query1[[#This Row],[OrderQty]]+J2318,J2318)</f>
        <v>1193</v>
      </c>
      <c r="K2319" s="1">
        <f>Query1[[#This Row],[SF Running Total]]+Query1[[#This Row],[UNIV Running Total]]</f>
        <v>3967</v>
      </c>
      <c r="L2319">
        <f>VLOOKUP(Query1[[#This Row],[Description]],'kits to boards'!$B$2:$E$156,2,FALSE)</f>
        <v>830014</v>
      </c>
      <c r="M2319">
        <f>VLOOKUP(Query1[[#This Row],[Description]],'kits to boards'!$B$2:$E$156,3,FALSE)</f>
        <v>0</v>
      </c>
      <c r="N2319">
        <f>VLOOKUP(Query1[[#This Row],[Description]],'kits to boards'!$B$2:$E$156,4,FALSE)</f>
        <v>0</v>
      </c>
      <c r="O2319" t="str">
        <f>CONCATENATE(Query1[[#This Row],[Description]]," - ",Query1[[#This Row],[MB1]]," - ",Query1[[#This Row],[MB2]]," - ",Query1[[#This Row],[MB3]])</f>
        <v>EVAP KIT 67-72 CHEV P-UP WO AC - 830014 - 0 - 0</v>
      </c>
    </row>
    <row r="2320" spans="1:15" x14ac:dyDescent="0.25">
      <c r="A2320" s="1">
        <v>914918</v>
      </c>
      <c r="B2320" s="1" t="s">
        <v>152</v>
      </c>
      <c r="C2320" s="1" t="s">
        <v>153</v>
      </c>
      <c r="D2320" s="2">
        <v>44635.38296732639</v>
      </c>
      <c r="E2320" s="1" t="s">
        <v>8</v>
      </c>
      <c r="F2320" s="1">
        <v>1</v>
      </c>
      <c r="G2320" s="1">
        <v>0</v>
      </c>
      <c r="H2320" s="6">
        <f>INT(Query1[[#This Row],[EntryDateTime]])</f>
        <v>44635</v>
      </c>
      <c r="I2320" s="1">
        <f>IF(Query1[[#This Row],[ItemType]]="EVAP KIT SF GEN IV",Query1[[#This Row],[OrderQty]]+I2319,I2319)</f>
        <v>2775</v>
      </c>
      <c r="J2320" s="1">
        <f>IF(Query1[[#This Row],[ItemType]]="EVAP KIT UNIVERSAL",Query1[[#This Row],[OrderQty]]+J2319,J2319)</f>
        <v>1193</v>
      </c>
      <c r="K2320" s="1">
        <f>Query1[[#This Row],[SF Running Total]]+Query1[[#This Row],[UNIV Running Total]]</f>
        <v>3968</v>
      </c>
      <c r="L2320">
        <f>VLOOKUP(Query1[[#This Row],[Description]],'kits to boards'!$B$2:$E$156,2,FALSE)</f>
        <v>830034</v>
      </c>
      <c r="M2320">
        <f>VLOOKUP(Query1[[#This Row],[Description]],'kits to boards'!$B$2:$E$156,3,FALSE)</f>
        <v>0</v>
      </c>
      <c r="N2320">
        <f>VLOOKUP(Query1[[#This Row],[Description]],'kits to boards'!$B$2:$E$156,4,FALSE)</f>
        <v>0</v>
      </c>
      <c r="O2320" t="str">
        <f>CONCATENATE(Query1[[#This Row],[Description]]," - ",Query1[[#This Row],[MB1]]," - ",Query1[[#This Row],[MB2]]," - ",Query1[[#This Row],[MB3]])</f>
        <v>EVAP KIT 64-67 GTO WO AC - 830034 - 0 - 0</v>
      </c>
    </row>
    <row r="2321" spans="1:15" x14ac:dyDescent="0.25">
      <c r="A2321" s="1">
        <v>914921</v>
      </c>
      <c r="B2321" s="1" t="s">
        <v>42</v>
      </c>
      <c r="C2321" s="1" t="s">
        <v>43</v>
      </c>
      <c r="D2321" s="2">
        <v>44635.383933067133</v>
      </c>
      <c r="E2321" s="1" t="s">
        <v>8</v>
      </c>
      <c r="F2321" s="1">
        <v>1</v>
      </c>
      <c r="G2321" s="1">
        <v>0</v>
      </c>
      <c r="H2321" s="6">
        <f>INT(Query1[[#This Row],[EntryDateTime]])</f>
        <v>44635</v>
      </c>
      <c r="I2321" s="1">
        <f>IF(Query1[[#This Row],[ItemType]]="EVAP KIT SF GEN IV",Query1[[#This Row],[OrderQty]]+I2320,I2320)</f>
        <v>2776</v>
      </c>
      <c r="J2321" s="1">
        <f>IF(Query1[[#This Row],[ItemType]]="EVAP KIT UNIVERSAL",Query1[[#This Row],[OrderQty]]+J2320,J2320)</f>
        <v>1193</v>
      </c>
      <c r="K2321" s="1">
        <f>Query1[[#This Row],[SF Running Total]]+Query1[[#This Row],[UNIV Running Total]]</f>
        <v>3969</v>
      </c>
      <c r="L2321">
        <f>VLOOKUP(Query1[[#This Row],[Description]],'kits to boards'!$B$2:$E$156,2,FALSE)</f>
        <v>830014</v>
      </c>
      <c r="M2321">
        <f>VLOOKUP(Query1[[#This Row],[Description]],'kits to boards'!$B$2:$E$156,3,FALSE)</f>
        <v>0</v>
      </c>
      <c r="N2321">
        <f>VLOOKUP(Query1[[#This Row],[Description]],'kits to boards'!$B$2:$E$156,4,FALSE)</f>
        <v>0</v>
      </c>
      <c r="O2321" t="str">
        <f>CONCATENATE(Query1[[#This Row],[Description]]," - ",Query1[[#This Row],[MB1]]," - ",Query1[[#This Row],[MB2]]," - ",Query1[[#This Row],[MB3]])</f>
        <v>EVAP KIT 67-72 CHEV P-UP WO AC - 830014 - 0 - 0</v>
      </c>
    </row>
    <row r="2322" spans="1:15" x14ac:dyDescent="0.25">
      <c r="A2322" s="1">
        <v>914417</v>
      </c>
      <c r="B2322" s="1" t="s">
        <v>120</v>
      </c>
      <c r="C2322" s="1" t="s">
        <v>121</v>
      </c>
      <c r="D2322" s="2">
        <v>44635.384103009259</v>
      </c>
      <c r="E2322" s="1" t="s">
        <v>8</v>
      </c>
      <c r="F2322" s="1">
        <v>1</v>
      </c>
      <c r="G2322" s="1">
        <v>0</v>
      </c>
      <c r="H2322" s="6">
        <f>INT(Query1[[#This Row],[EntryDateTime]])</f>
        <v>44635</v>
      </c>
      <c r="I2322" s="1">
        <f>IF(Query1[[#This Row],[ItemType]]="EVAP KIT SF GEN IV",Query1[[#This Row],[OrderQty]]+I2321,I2321)</f>
        <v>2777</v>
      </c>
      <c r="J2322" s="1">
        <f>IF(Query1[[#This Row],[ItemType]]="EVAP KIT UNIVERSAL",Query1[[#This Row],[OrderQty]]+J2321,J2321)</f>
        <v>1193</v>
      </c>
      <c r="K2322" s="1">
        <f>Query1[[#This Row],[SF Running Total]]+Query1[[#This Row],[UNIV Running Total]]</f>
        <v>3970</v>
      </c>
      <c r="L2322">
        <f>VLOOKUP(Query1[[#This Row],[Description]],'kits to boards'!$B$2:$E$156,2,FALSE)</f>
        <v>830014</v>
      </c>
      <c r="M2322">
        <f>VLOOKUP(Query1[[#This Row],[Description]],'kits to boards'!$B$2:$E$156,3,FALSE)</f>
        <v>0</v>
      </c>
      <c r="N2322">
        <f>VLOOKUP(Query1[[#This Row],[Description]],'kits to boards'!$B$2:$E$156,4,FALSE)</f>
        <v>0</v>
      </c>
      <c r="O2322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2323" spans="1:15" x14ac:dyDescent="0.25">
      <c r="A2323" s="1">
        <v>915074</v>
      </c>
      <c r="B2323" s="1" t="s">
        <v>166</v>
      </c>
      <c r="C2323" s="1" t="s">
        <v>167</v>
      </c>
      <c r="D2323" s="2">
        <v>44635.38564375</v>
      </c>
      <c r="E2323" s="1" t="s">
        <v>8</v>
      </c>
      <c r="F2323" s="1">
        <v>1</v>
      </c>
      <c r="G2323" s="1">
        <v>0</v>
      </c>
      <c r="H2323" s="6">
        <f>INT(Query1[[#This Row],[EntryDateTime]])</f>
        <v>44635</v>
      </c>
      <c r="I2323" s="1">
        <f>IF(Query1[[#This Row],[ItemType]]="EVAP KIT SF GEN IV",Query1[[#This Row],[OrderQty]]+I2322,I2322)</f>
        <v>2778</v>
      </c>
      <c r="J2323" s="1">
        <f>IF(Query1[[#This Row],[ItemType]]="EVAP KIT UNIVERSAL",Query1[[#This Row],[OrderQty]]+J2322,J2322)</f>
        <v>1193</v>
      </c>
      <c r="K2323" s="1">
        <f>Query1[[#This Row],[SF Running Total]]+Query1[[#This Row],[UNIV Running Total]]</f>
        <v>3971</v>
      </c>
      <c r="L2323">
        <f>VLOOKUP(Query1[[#This Row],[Description]],'kits to boards'!$B$2:$E$156,2,FALSE)</f>
        <v>830063</v>
      </c>
      <c r="M2323">
        <f>VLOOKUP(Query1[[#This Row],[Description]],'kits to boards'!$B$2:$E$156,3,FALSE)</f>
        <v>0</v>
      </c>
      <c r="N2323">
        <f>VLOOKUP(Query1[[#This Row],[Description]],'kits to boards'!$B$2:$E$156,4,FALSE)</f>
        <v>0</v>
      </c>
      <c r="O2323" t="str">
        <f>CONCATENATE(Query1[[#This Row],[Description]]," - ",Query1[[#This Row],[MB1]]," - ",Query1[[#This Row],[MB2]]," - ",Query1[[#This Row],[MB3]])</f>
        <v>EVAP KIT 47-49 CHEV P-UP GEN IV - 830063 - 0 - 0</v>
      </c>
    </row>
    <row r="2324" spans="1:15" x14ac:dyDescent="0.25">
      <c r="A2324" s="1">
        <v>915118</v>
      </c>
      <c r="B2324" s="1" t="s">
        <v>18</v>
      </c>
      <c r="C2324" s="1" t="s">
        <v>19</v>
      </c>
      <c r="D2324" s="2">
        <v>44635.387111076387</v>
      </c>
      <c r="E2324" s="1" t="s">
        <v>8</v>
      </c>
      <c r="F2324" s="1">
        <v>1</v>
      </c>
      <c r="G2324" s="1">
        <v>0</v>
      </c>
      <c r="H2324" s="6">
        <f>INT(Query1[[#This Row],[EntryDateTime]])</f>
        <v>44635</v>
      </c>
      <c r="I2324" s="1">
        <f>IF(Query1[[#This Row],[ItemType]]="EVAP KIT SF GEN IV",Query1[[#This Row],[OrderQty]]+I2323,I2323)</f>
        <v>2779</v>
      </c>
      <c r="J2324" s="1">
        <f>IF(Query1[[#This Row],[ItemType]]="EVAP KIT UNIVERSAL",Query1[[#This Row],[OrderQty]]+J2323,J2323)</f>
        <v>1193</v>
      </c>
      <c r="K2324" s="1">
        <f>Query1[[#This Row],[SF Running Total]]+Query1[[#This Row],[UNIV Running Total]]</f>
        <v>3972</v>
      </c>
      <c r="L2324">
        <f>VLOOKUP(Query1[[#This Row],[Description]],'kits to boards'!$B$2:$E$156,2,FALSE)</f>
        <v>830051</v>
      </c>
      <c r="M2324">
        <f>VLOOKUP(Query1[[#This Row],[Description]],'kits to boards'!$B$2:$E$156,3,FALSE)</f>
        <v>0</v>
      </c>
      <c r="N2324">
        <f>VLOOKUP(Query1[[#This Row],[Description]],'kits to boards'!$B$2:$E$156,4,FALSE)</f>
        <v>0</v>
      </c>
      <c r="O2324" t="str">
        <f>CONCATENATE(Query1[[#This Row],[Description]]," - ",Query1[[#This Row],[MB1]]," - ",Query1[[#This Row],[MB2]]," - ",Query1[[#This Row],[MB3]])</f>
        <v>EVAP KIT 70-78 CAMARO W/AC - 830051 - 0 - 0</v>
      </c>
    </row>
    <row r="2325" spans="1:15" x14ac:dyDescent="0.25">
      <c r="A2325" s="1">
        <v>915089</v>
      </c>
      <c r="B2325" s="1" t="s">
        <v>236</v>
      </c>
      <c r="C2325" s="1" t="s">
        <v>237</v>
      </c>
      <c r="D2325" s="2">
        <v>44635.390546527778</v>
      </c>
      <c r="E2325" s="1" t="s">
        <v>8</v>
      </c>
      <c r="F2325" s="1">
        <v>1</v>
      </c>
      <c r="G2325" s="1">
        <v>0</v>
      </c>
      <c r="H2325" s="6">
        <f>INT(Query1[[#This Row],[EntryDateTime]])</f>
        <v>44635</v>
      </c>
      <c r="I2325" s="1">
        <f>IF(Query1[[#This Row],[ItemType]]="EVAP KIT SF GEN IV",Query1[[#This Row],[OrderQty]]+I2324,I2324)</f>
        <v>2780</v>
      </c>
      <c r="J2325" s="1">
        <f>IF(Query1[[#This Row],[ItemType]]="EVAP KIT UNIVERSAL",Query1[[#This Row],[OrderQty]]+J2324,J2324)</f>
        <v>1193</v>
      </c>
      <c r="K2325" s="1">
        <f>Query1[[#This Row],[SF Running Total]]+Query1[[#This Row],[UNIV Running Total]]</f>
        <v>3973</v>
      </c>
      <c r="L2325">
        <f>VLOOKUP(Query1[[#This Row],[Description]],'kits to boards'!$B$2:$E$156,2,FALSE)</f>
        <v>830026</v>
      </c>
      <c r="M2325">
        <f>VLOOKUP(Query1[[#This Row],[Description]],'kits to boards'!$B$2:$E$156,3,FALSE)</f>
        <v>0</v>
      </c>
      <c r="N2325">
        <f>VLOOKUP(Query1[[#This Row],[Description]],'kits to boards'!$B$2:$E$156,4,FALSE)</f>
        <v>0</v>
      </c>
      <c r="O2325" t="str">
        <f>CONCATENATE(Query1[[#This Row],[Description]]," - ",Query1[[#This Row],[MB1]]," - ",Query1[[#This Row],[MB2]]," - ",Query1[[#This Row],[MB3]])</f>
        <v>EVAP KIT 70-72 CUTLASS WO AC - 830026 - 0 - 0</v>
      </c>
    </row>
    <row r="2326" spans="1:15" x14ac:dyDescent="0.25">
      <c r="A2326" s="1">
        <v>915123</v>
      </c>
      <c r="B2326" s="1" t="s">
        <v>134</v>
      </c>
      <c r="C2326" s="1" t="s">
        <v>135</v>
      </c>
      <c r="D2326" s="2">
        <v>44635.390854016201</v>
      </c>
      <c r="E2326" s="1" t="s">
        <v>8</v>
      </c>
      <c r="F2326" s="1">
        <v>1</v>
      </c>
      <c r="G2326" s="1">
        <v>0</v>
      </c>
      <c r="H2326" s="6">
        <f>INT(Query1[[#This Row],[EntryDateTime]])</f>
        <v>44635</v>
      </c>
      <c r="I2326" s="1">
        <f>IF(Query1[[#This Row],[ItemType]]="EVAP KIT SF GEN IV",Query1[[#This Row],[OrderQty]]+I2325,I2325)</f>
        <v>2781</v>
      </c>
      <c r="J2326" s="1">
        <f>IF(Query1[[#This Row],[ItemType]]="EVAP KIT UNIVERSAL",Query1[[#This Row],[OrderQty]]+J2325,J2325)</f>
        <v>1193</v>
      </c>
      <c r="K2326" s="1">
        <f>Query1[[#This Row],[SF Running Total]]+Query1[[#This Row],[UNIV Running Total]]</f>
        <v>3974</v>
      </c>
      <c r="L2326">
        <f>VLOOKUP(Query1[[#This Row],[Description]],'kits to boards'!$B$2:$E$156,2,FALSE)</f>
        <v>830007</v>
      </c>
      <c r="M2326">
        <f>VLOOKUP(Query1[[#This Row],[Description]],'kits to boards'!$B$2:$E$156,3,FALSE)</f>
        <v>0</v>
      </c>
      <c r="N2326">
        <f>VLOOKUP(Query1[[#This Row],[Description]],'kits to boards'!$B$2:$E$156,4,FALSE)</f>
        <v>0</v>
      </c>
      <c r="O2326" t="str">
        <f>CONCATENATE(Query1[[#This Row],[Description]]," - ",Query1[[#This Row],[MB1]]," - ",Query1[[#This Row],[MB2]]," - ",Query1[[#This Row],[MB3]])</f>
        <v>EVAP KIT 64 IMPALA WO AC - 830007 - 0 - 0</v>
      </c>
    </row>
    <row r="2327" spans="1:15" x14ac:dyDescent="0.25">
      <c r="A2327" s="1">
        <v>915125</v>
      </c>
      <c r="B2327" s="1" t="s">
        <v>56</v>
      </c>
      <c r="C2327" s="1" t="s">
        <v>57</v>
      </c>
      <c r="D2327" s="2">
        <v>44635.392809456018</v>
      </c>
      <c r="E2327" s="1" t="s">
        <v>8</v>
      </c>
      <c r="F2327" s="1">
        <v>1</v>
      </c>
      <c r="G2327" s="1">
        <v>0</v>
      </c>
      <c r="H2327" s="6">
        <f>INT(Query1[[#This Row],[EntryDateTime]])</f>
        <v>44635</v>
      </c>
      <c r="I2327" s="1">
        <f>IF(Query1[[#This Row],[ItemType]]="EVAP KIT SF GEN IV",Query1[[#This Row],[OrderQty]]+I2326,I2326)</f>
        <v>2782</v>
      </c>
      <c r="J2327" s="1">
        <f>IF(Query1[[#This Row],[ItemType]]="EVAP KIT UNIVERSAL",Query1[[#This Row],[OrderQty]]+J2326,J2326)</f>
        <v>1193</v>
      </c>
      <c r="K2327" s="1">
        <f>Query1[[#This Row],[SF Running Total]]+Query1[[#This Row],[UNIV Running Total]]</f>
        <v>3975</v>
      </c>
      <c r="L2327">
        <f>VLOOKUP(Query1[[#This Row],[Description]],'kits to boards'!$B$2:$E$156,2,FALSE)</f>
        <v>830011</v>
      </c>
      <c r="M2327">
        <f>VLOOKUP(Query1[[#This Row],[Description]],'kits to boards'!$B$2:$E$156,3,FALSE)</f>
        <v>0</v>
      </c>
      <c r="N2327">
        <f>VLOOKUP(Query1[[#This Row],[Description]],'kits to boards'!$B$2:$E$156,4,FALSE)</f>
        <v>0</v>
      </c>
      <c r="O2327" t="str">
        <f>CONCATENATE(Query1[[#This Row],[Description]]," - ",Query1[[#This Row],[MB1]]," - ",Query1[[#This Row],[MB2]]," - ",Query1[[#This Row],[MB3]])</f>
        <v>EVAP KIT 70-72 CHEVELLE W/AC - 830011 - 0 - 0</v>
      </c>
    </row>
    <row r="2328" spans="1:15" x14ac:dyDescent="0.25">
      <c r="A2328" s="1">
        <v>915129</v>
      </c>
      <c r="B2328" s="1" t="s">
        <v>14</v>
      </c>
      <c r="C2328" s="1" t="s">
        <v>15</v>
      </c>
      <c r="D2328" s="2">
        <v>44635.397628622683</v>
      </c>
      <c r="E2328" s="1" t="s">
        <v>8</v>
      </c>
      <c r="F2328" s="1">
        <v>1</v>
      </c>
      <c r="G2328" s="1">
        <v>0</v>
      </c>
      <c r="H2328" s="6">
        <f>INT(Query1[[#This Row],[EntryDateTime]])</f>
        <v>44635</v>
      </c>
      <c r="I2328" s="1">
        <f>IF(Query1[[#This Row],[ItemType]]="EVAP KIT SF GEN IV",Query1[[#This Row],[OrderQty]]+I2327,I2327)</f>
        <v>2783</v>
      </c>
      <c r="J2328" s="1">
        <f>IF(Query1[[#This Row],[ItemType]]="EVAP KIT UNIVERSAL",Query1[[#This Row],[OrderQty]]+J2327,J2327)</f>
        <v>1193</v>
      </c>
      <c r="K2328" s="1">
        <f>Query1[[#This Row],[SF Running Total]]+Query1[[#This Row],[UNIV Running Total]]</f>
        <v>3976</v>
      </c>
      <c r="L2328">
        <f>VLOOKUP(Query1[[#This Row],[Description]],'kits to boards'!$B$2:$E$156,2,FALSE)</f>
        <v>830054</v>
      </c>
      <c r="M2328">
        <f>VLOOKUP(Query1[[#This Row],[Description]],'kits to boards'!$B$2:$E$156,3,FALSE)</f>
        <v>0</v>
      </c>
      <c r="N2328">
        <f>VLOOKUP(Query1[[#This Row],[Description]],'kits to boards'!$B$2:$E$156,4,FALSE)</f>
        <v>0</v>
      </c>
      <c r="O2328" t="str">
        <f>CONCATENATE(Query1[[#This Row],[Description]]," - ",Query1[[#This Row],[MB1]]," - ",Query1[[#This Row],[MB2]]," - ",Query1[[#This Row],[MB3]])</f>
        <v>EVAP KIT 55-56 CHEVY - 830054 - 0 - 0</v>
      </c>
    </row>
    <row r="2329" spans="1:15" x14ac:dyDescent="0.25">
      <c r="A2329" s="1">
        <v>915128</v>
      </c>
      <c r="B2329" s="1" t="s">
        <v>48</v>
      </c>
      <c r="C2329" s="1" t="s">
        <v>49</v>
      </c>
      <c r="D2329" s="2">
        <v>44635.398987731482</v>
      </c>
      <c r="E2329" s="1" t="s">
        <v>8</v>
      </c>
      <c r="F2329" s="1">
        <v>1</v>
      </c>
      <c r="G2329" s="1">
        <v>0</v>
      </c>
      <c r="H2329" s="6">
        <f>INT(Query1[[#This Row],[EntryDateTime]])</f>
        <v>44635</v>
      </c>
      <c r="I2329" s="1">
        <f>IF(Query1[[#This Row],[ItemType]]="EVAP KIT SF GEN IV",Query1[[#This Row],[OrderQty]]+I2328,I2328)</f>
        <v>2784</v>
      </c>
      <c r="J2329" s="1">
        <f>IF(Query1[[#This Row],[ItemType]]="EVAP KIT UNIVERSAL",Query1[[#This Row],[OrderQty]]+J2328,J2328)</f>
        <v>1193</v>
      </c>
      <c r="K2329" s="1">
        <f>Query1[[#This Row],[SF Running Total]]+Query1[[#This Row],[UNIV Running Total]]</f>
        <v>3977</v>
      </c>
      <c r="L2329">
        <f>VLOOKUP(Query1[[#This Row],[Description]],'kits to boards'!$B$2:$E$156,2,FALSE)</f>
        <v>830015</v>
      </c>
      <c r="M2329">
        <f>VLOOKUP(Query1[[#This Row],[Description]],'kits to boards'!$B$2:$E$156,3,FALSE)</f>
        <v>0</v>
      </c>
      <c r="N2329">
        <f>VLOOKUP(Query1[[#This Row],[Description]],'kits to boards'!$B$2:$E$156,4,FALSE)</f>
        <v>0</v>
      </c>
      <c r="O2329" t="str">
        <f>CONCATENATE(Query1[[#This Row],[Description]]," - ",Query1[[#This Row],[MB1]]," - ",Query1[[#This Row],[MB2]]," - ",Query1[[#This Row],[MB3]])</f>
        <v>EVAP KIT 64-66 CHEV P-UP WO AC W/DELX - 830015 - 0 - 0</v>
      </c>
    </row>
    <row r="2330" spans="1:15" x14ac:dyDescent="0.25">
      <c r="A2330" s="1">
        <v>915134</v>
      </c>
      <c r="B2330" s="1" t="s">
        <v>182</v>
      </c>
      <c r="C2330" s="1" t="s">
        <v>183</v>
      </c>
      <c r="D2330" s="2">
        <v>44635.403302511571</v>
      </c>
      <c r="E2330" s="1" t="s">
        <v>8</v>
      </c>
      <c r="F2330" s="1">
        <v>1</v>
      </c>
      <c r="G2330" s="1">
        <v>0</v>
      </c>
      <c r="H2330" s="6">
        <f>INT(Query1[[#This Row],[EntryDateTime]])</f>
        <v>44635</v>
      </c>
      <c r="I2330" s="1">
        <f>IF(Query1[[#This Row],[ItemType]]="EVAP KIT SF GEN IV",Query1[[#This Row],[OrderQty]]+I2329,I2329)</f>
        <v>2785</v>
      </c>
      <c r="J2330" s="1">
        <f>IF(Query1[[#This Row],[ItemType]]="EVAP KIT UNIVERSAL",Query1[[#This Row],[OrderQty]]+J2329,J2329)</f>
        <v>1193</v>
      </c>
      <c r="K2330" s="1">
        <f>Query1[[#This Row],[SF Running Total]]+Query1[[#This Row],[UNIV Running Total]]</f>
        <v>3978</v>
      </c>
      <c r="L2330">
        <f>VLOOKUP(Query1[[#This Row],[Description]],'kits to boards'!$B$2:$E$156,2,FALSE)</f>
        <v>830075</v>
      </c>
      <c r="M2330">
        <f>VLOOKUP(Query1[[#This Row],[Description]],'kits to boards'!$B$2:$E$156,3,FALSE)</f>
        <v>0</v>
      </c>
      <c r="N2330">
        <f>VLOOKUP(Query1[[#This Row],[Description]],'kits to boards'!$B$2:$E$156,4,FALSE)</f>
        <v>0</v>
      </c>
      <c r="O2330" t="str">
        <f>CONCATENATE(Query1[[#This Row],[Description]]," - ",Query1[[#This Row],[MB1]]," - ",Query1[[#This Row],[MB2]]," - ",Query1[[#This Row],[MB3]])</f>
        <v>EVAP KIT 69-70 MOPAR B BODY WO AC - 830075 - 0 - 0</v>
      </c>
    </row>
    <row r="2331" spans="1:15" x14ac:dyDescent="0.25">
      <c r="A2331" s="1">
        <v>915136</v>
      </c>
      <c r="B2331" s="1" t="s">
        <v>28</v>
      </c>
      <c r="C2331" s="1" t="s">
        <v>29</v>
      </c>
      <c r="D2331" s="2">
        <v>44635.404631747682</v>
      </c>
      <c r="E2331" s="1" t="s">
        <v>8</v>
      </c>
      <c r="F2331" s="1">
        <v>1</v>
      </c>
      <c r="G2331" s="1">
        <v>0</v>
      </c>
      <c r="H2331" s="6">
        <f>INT(Query1[[#This Row],[EntryDateTime]])</f>
        <v>44635</v>
      </c>
      <c r="I2331" s="1">
        <f>IF(Query1[[#This Row],[ItemType]]="EVAP KIT SF GEN IV",Query1[[#This Row],[OrderQty]]+I2330,I2330)</f>
        <v>2786</v>
      </c>
      <c r="J2331" s="1">
        <f>IF(Query1[[#This Row],[ItemType]]="EVAP KIT UNIVERSAL",Query1[[#This Row],[OrderQty]]+J2330,J2330)</f>
        <v>1193</v>
      </c>
      <c r="K2331" s="1">
        <f>Query1[[#This Row],[SF Running Total]]+Query1[[#This Row],[UNIV Running Total]]</f>
        <v>3979</v>
      </c>
      <c r="L2331">
        <f>VLOOKUP(Query1[[#This Row],[Description]],'kits to boards'!$B$2:$E$156,2,FALSE)</f>
        <v>830001</v>
      </c>
      <c r="M2331">
        <f>VLOOKUP(Query1[[#This Row],[Description]],'kits to boards'!$B$2:$E$156,3,FALSE)</f>
        <v>0</v>
      </c>
      <c r="N2331">
        <f>VLOOKUP(Query1[[#This Row],[Description]],'kits to boards'!$B$2:$E$156,4,FALSE)</f>
        <v>0</v>
      </c>
      <c r="O2331" t="str">
        <f>CONCATENATE(Query1[[#This Row],[Description]]," - ",Query1[[#This Row],[MB1]]," - ",Query1[[#This Row],[MB2]]," - ",Query1[[#This Row],[MB3]])</f>
        <v>EVAP KIT 73-80 CHEV P-UP W/AC - 830001 - 0 - 0</v>
      </c>
    </row>
    <row r="2332" spans="1:15" x14ac:dyDescent="0.25">
      <c r="A2332" s="1">
        <v>915137</v>
      </c>
      <c r="B2332" s="1" t="s">
        <v>168</v>
      </c>
      <c r="C2332" s="1" t="s">
        <v>169</v>
      </c>
      <c r="D2332" s="2">
        <v>44635.406692789351</v>
      </c>
      <c r="E2332" s="1" t="s">
        <v>8</v>
      </c>
      <c r="F2332" s="1">
        <v>1</v>
      </c>
      <c r="G2332" s="1">
        <v>0</v>
      </c>
      <c r="H2332" s="6">
        <f>INT(Query1[[#This Row],[EntryDateTime]])</f>
        <v>44635</v>
      </c>
      <c r="I2332" s="1">
        <f>IF(Query1[[#This Row],[ItemType]]="EVAP KIT SF GEN IV",Query1[[#This Row],[OrderQty]]+I2331,I2331)</f>
        <v>2787</v>
      </c>
      <c r="J2332" s="1">
        <f>IF(Query1[[#This Row],[ItemType]]="EVAP KIT UNIVERSAL",Query1[[#This Row],[OrderQty]]+J2331,J2331)</f>
        <v>1193</v>
      </c>
      <c r="K2332" s="1">
        <f>Query1[[#This Row],[SF Running Total]]+Query1[[#This Row],[UNIV Running Total]]</f>
        <v>3980</v>
      </c>
      <c r="L2332">
        <f>VLOOKUP(Query1[[#This Row],[Description]],'kits to boards'!$B$2:$E$156,2,FALSE)</f>
        <v>830028</v>
      </c>
      <c r="M2332">
        <f>VLOOKUP(Query1[[#This Row],[Description]],'kits to boards'!$B$2:$E$156,3,FALSE)</f>
        <v>0</v>
      </c>
      <c r="N2332">
        <f>VLOOKUP(Query1[[#This Row],[Description]],'kits to boards'!$B$2:$E$156,4,FALSE)</f>
        <v>0</v>
      </c>
      <c r="O2332" t="str">
        <f>CONCATENATE(Query1[[#This Row],[Description]]," - ",Query1[[#This Row],[MB1]]," - ",Query1[[#This Row],[MB2]]," - ",Query1[[#This Row],[MB3]])</f>
        <v>EVAP KIT 55-59 CHEV P-UP WO AC W/STD  - 830028 - 0 - 0</v>
      </c>
    </row>
    <row r="2333" spans="1:15" x14ac:dyDescent="0.25">
      <c r="A2333" s="1">
        <v>915150</v>
      </c>
      <c r="B2333" s="1" t="s">
        <v>116</v>
      </c>
      <c r="C2333" s="1" t="s">
        <v>117</v>
      </c>
      <c r="D2333" s="2">
        <v>44635.421040358793</v>
      </c>
      <c r="E2333" s="1" t="s">
        <v>8</v>
      </c>
      <c r="F2333" s="1">
        <v>1</v>
      </c>
      <c r="G2333" s="1">
        <v>0</v>
      </c>
      <c r="H2333" s="6">
        <f>INT(Query1[[#This Row],[EntryDateTime]])</f>
        <v>44635</v>
      </c>
      <c r="I2333" s="1">
        <f>IF(Query1[[#This Row],[ItemType]]="EVAP KIT SF GEN IV",Query1[[#This Row],[OrderQty]]+I2332,I2332)</f>
        <v>2788</v>
      </c>
      <c r="J2333" s="1">
        <f>IF(Query1[[#This Row],[ItemType]]="EVAP KIT UNIVERSAL",Query1[[#This Row],[OrderQty]]+J2332,J2332)</f>
        <v>1193</v>
      </c>
      <c r="K2333" s="1">
        <f>Query1[[#This Row],[SF Running Total]]+Query1[[#This Row],[UNIV Running Total]]</f>
        <v>3981</v>
      </c>
      <c r="L2333">
        <f>VLOOKUP(Query1[[#This Row],[Description]],'kits to boards'!$B$2:$E$156,2,FALSE)</f>
        <v>830058</v>
      </c>
      <c r="M2333">
        <f>VLOOKUP(Query1[[#This Row],[Description]],'kits to boards'!$B$2:$E$156,3,FALSE)</f>
        <v>0</v>
      </c>
      <c r="N2333">
        <f>VLOOKUP(Query1[[#This Row],[Description]],'kits to boards'!$B$2:$E$156,4,FALSE)</f>
        <v>0</v>
      </c>
      <c r="O2333" t="str">
        <f>CONCATENATE(Query1[[#This Row],[Description]]," - ",Query1[[#This Row],[MB1]]," - ",Query1[[#This Row],[MB2]]," - ",Query1[[#This Row],[MB3]])</f>
        <v>EVAP KIT 64-65 CHEVELLE WO AC - 830058 - 0 - 0</v>
      </c>
    </row>
    <row r="2334" spans="1:15" x14ac:dyDescent="0.25">
      <c r="A2334" s="1">
        <v>915160</v>
      </c>
      <c r="B2334" s="1" t="s">
        <v>24</v>
      </c>
      <c r="C2334" s="1" t="s">
        <v>25</v>
      </c>
      <c r="D2334" s="2">
        <v>44635.436527280093</v>
      </c>
      <c r="E2334" s="1" t="s">
        <v>11</v>
      </c>
      <c r="F2334" s="1">
        <v>1</v>
      </c>
      <c r="G2334" s="1">
        <v>0</v>
      </c>
      <c r="H2334" s="6">
        <f>INT(Query1[[#This Row],[EntryDateTime]])</f>
        <v>44635</v>
      </c>
      <c r="I2334" s="1">
        <f>IF(Query1[[#This Row],[ItemType]]="EVAP KIT SF GEN IV",Query1[[#This Row],[OrderQty]]+I2333,I2333)</f>
        <v>2788</v>
      </c>
      <c r="J2334" s="1">
        <f>IF(Query1[[#This Row],[ItemType]]="EVAP KIT UNIVERSAL",Query1[[#This Row],[OrderQty]]+J2333,J2333)</f>
        <v>1194</v>
      </c>
      <c r="K2334" s="1">
        <f>Query1[[#This Row],[SF Running Total]]+Query1[[#This Row],[UNIV Running Total]]</f>
        <v>3982</v>
      </c>
      <c r="L2334">
        <f>VLOOKUP(Query1[[#This Row],[Description]],'kits to boards'!$B$2:$E$156,2,FALSE)</f>
        <v>830029</v>
      </c>
      <c r="M2334">
        <f>VLOOKUP(Query1[[#This Row],[Description]],'kits to boards'!$B$2:$E$156,3,FALSE)</f>
        <v>830030</v>
      </c>
      <c r="N2334">
        <f>VLOOKUP(Query1[[#This Row],[Description]],'kits to boards'!$B$2:$E$156,4,FALSE)</f>
        <v>0</v>
      </c>
      <c r="O2334" t="str">
        <f>CONCATENATE(Query1[[#This Row],[Description]]," - ",Query1[[#This Row],[MB1]]," - ",Query1[[#This Row],[MB2]]," - ",Query1[[#This Row],[MB3]])</f>
        <v>ComPac GEN II W/DEF - 830029 - 830030 - 0</v>
      </c>
    </row>
    <row r="2335" spans="1:15" x14ac:dyDescent="0.25">
      <c r="A2335" s="1">
        <v>915003</v>
      </c>
      <c r="B2335" s="1" t="s">
        <v>102</v>
      </c>
      <c r="C2335" s="1" t="s">
        <v>103</v>
      </c>
      <c r="D2335" s="2">
        <v>44635.443116666669</v>
      </c>
      <c r="E2335" s="1" t="s">
        <v>8</v>
      </c>
      <c r="F2335" s="1">
        <v>1</v>
      </c>
      <c r="G2335" s="1">
        <v>0</v>
      </c>
      <c r="H2335" s="6">
        <f>INT(Query1[[#This Row],[EntryDateTime]])</f>
        <v>44635</v>
      </c>
      <c r="I2335" s="1">
        <f>IF(Query1[[#This Row],[ItemType]]="EVAP KIT SF GEN IV",Query1[[#This Row],[OrderQty]]+I2334,I2334)</f>
        <v>2789</v>
      </c>
      <c r="J2335" s="1">
        <f>IF(Query1[[#This Row],[ItemType]]="EVAP KIT UNIVERSAL",Query1[[#This Row],[OrderQty]]+J2334,J2334)</f>
        <v>1194</v>
      </c>
      <c r="K2335" s="1">
        <f>Query1[[#This Row],[SF Running Total]]+Query1[[#This Row],[UNIV Running Total]]</f>
        <v>3983</v>
      </c>
      <c r="L2335">
        <f>VLOOKUP(Query1[[#This Row],[Description]],'kits to boards'!$B$2:$E$156,2,FALSE)</f>
        <v>830012</v>
      </c>
      <c r="M2335">
        <f>VLOOKUP(Query1[[#This Row],[Description]],'kits to boards'!$B$2:$E$156,3,FALSE)</f>
        <v>0</v>
      </c>
      <c r="N2335">
        <f>VLOOKUP(Query1[[#This Row],[Description]],'kits to boards'!$B$2:$E$156,4,FALSE)</f>
        <v>0</v>
      </c>
      <c r="O2335" t="str">
        <f>CONCATENATE(Query1[[#This Row],[Description]]," - ",Query1[[#This Row],[MB1]]," - ",Query1[[#This Row],[MB2]]," - ",Query1[[#This Row],[MB3]])</f>
        <v>EVAP KIT 69 CAMARO WO/AC - 830012 - 0 - 0</v>
      </c>
    </row>
    <row r="2336" spans="1:15" x14ac:dyDescent="0.25">
      <c r="A2336" s="1">
        <v>915169</v>
      </c>
      <c r="B2336" s="1" t="s">
        <v>116</v>
      </c>
      <c r="C2336" s="1" t="s">
        <v>117</v>
      </c>
      <c r="D2336" s="2">
        <v>44635.453844212963</v>
      </c>
      <c r="E2336" s="1" t="s">
        <v>8</v>
      </c>
      <c r="F2336" s="1">
        <v>1</v>
      </c>
      <c r="G2336" s="1">
        <v>0</v>
      </c>
      <c r="H2336" s="6">
        <f>INT(Query1[[#This Row],[EntryDateTime]])</f>
        <v>44635</v>
      </c>
      <c r="I2336" s="1">
        <f>IF(Query1[[#This Row],[ItemType]]="EVAP KIT SF GEN IV",Query1[[#This Row],[OrderQty]]+I2335,I2335)</f>
        <v>2790</v>
      </c>
      <c r="J2336" s="1">
        <f>IF(Query1[[#This Row],[ItemType]]="EVAP KIT UNIVERSAL",Query1[[#This Row],[OrderQty]]+J2335,J2335)</f>
        <v>1194</v>
      </c>
      <c r="K2336" s="1">
        <f>Query1[[#This Row],[SF Running Total]]+Query1[[#This Row],[UNIV Running Total]]</f>
        <v>3984</v>
      </c>
      <c r="L2336">
        <f>VLOOKUP(Query1[[#This Row],[Description]],'kits to boards'!$B$2:$E$156,2,FALSE)</f>
        <v>830058</v>
      </c>
      <c r="M2336">
        <f>VLOOKUP(Query1[[#This Row],[Description]],'kits to boards'!$B$2:$E$156,3,FALSE)</f>
        <v>0</v>
      </c>
      <c r="N2336">
        <f>VLOOKUP(Query1[[#This Row],[Description]],'kits to boards'!$B$2:$E$156,4,FALSE)</f>
        <v>0</v>
      </c>
      <c r="O2336" t="str">
        <f>CONCATENATE(Query1[[#This Row],[Description]]," - ",Query1[[#This Row],[MB1]]," - ",Query1[[#This Row],[MB2]]," - ",Query1[[#This Row],[MB3]])</f>
        <v>EVAP KIT 64-65 CHEVELLE WO AC - 830058 - 0 - 0</v>
      </c>
    </row>
    <row r="2337" spans="1:15" x14ac:dyDescent="0.25">
      <c r="A2337" s="1">
        <v>913961</v>
      </c>
      <c r="B2337" s="1" t="s">
        <v>240</v>
      </c>
      <c r="C2337" s="1" t="s">
        <v>241</v>
      </c>
      <c r="D2337" s="2">
        <v>44635.485314201389</v>
      </c>
      <c r="E2337" s="1" t="s">
        <v>8</v>
      </c>
      <c r="F2337" s="1">
        <v>1</v>
      </c>
      <c r="G2337" s="1">
        <v>0</v>
      </c>
      <c r="H2337" s="6">
        <f>INT(Query1[[#This Row],[EntryDateTime]])</f>
        <v>44635</v>
      </c>
      <c r="I2337" s="1">
        <f>IF(Query1[[#This Row],[ItemType]]="EVAP KIT SF GEN IV",Query1[[#This Row],[OrderQty]]+I2336,I2336)</f>
        <v>2791</v>
      </c>
      <c r="J2337" s="1">
        <f>IF(Query1[[#This Row],[ItemType]]="EVAP KIT UNIVERSAL",Query1[[#This Row],[OrderQty]]+J2336,J2336)</f>
        <v>1194</v>
      </c>
      <c r="K2337" s="1">
        <f>Query1[[#This Row],[SF Running Total]]+Query1[[#This Row],[UNIV Running Total]]</f>
        <v>3985</v>
      </c>
      <c r="L2337">
        <f>VLOOKUP(Query1[[#This Row],[Description]],'kits to boards'!$B$2:$E$156,2,FALSE)</f>
        <v>830032</v>
      </c>
      <c r="M2337">
        <f>VLOOKUP(Query1[[#This Row],[Description]],'kits to boards'!$B$2:$E$156,3,FALSE)</f>
        <v>0</v>
      </c>
      <c r="N2337">
        <f>VLOOKUP(Query1[[#This Row],[Description]],'kits to boards'!$B$2:$E$156,4,FALSE)</f>
        <v>0</v>
      </c>
      <c r="O2337" t="str">
        <f>CONCATENATE(Query1[[#This Row],[Description]]," - ",Query1[[#This Row],[MB1]]," - ",Query1[[#This Row],[MB2]]," - ",Query1[[#This Row],[MB3]])</f>
        <v>EVAP KIT 58-60 VETTE - 830032 - 0 - 0</v>
      </c>
    </row>
    <row r="2338" spans="1:15" x14ac:dyDescent="0.25">
      <c r="A2338" s="1">
        <v>915188</v>
      </c>
      <c r="B2338" s="1" t="s">
        <v>24</v>
      </c>
      <c r="C2338" s="1" t="s">
        <v>25</v>
      </c>
      <c r="D2338" s="2">
        <v>44635.495427511574</v>
      </c>
      <c r="E2338" s="1" t="s">
        <v>11</v>
      </c>
      <c r="F2338" s="1">
        <v>1</v>
      </c>
      <c r="G2338" s="1">
        <v>0</v>
      </c>
      <c r="H2338" s="6">
        <f>INT(Query1[[#This Row],[EntryDateTime]])</f>
        <v>44635</v>
      </c>
      <c r="I2338" s="1">
        <f>IF(Query1[[#This Row],[ItemType]]="EVAP KIT SF GEN IV",Query1[[#This Row],[OrderQty]]+I2337,I2337)</f>
        <v>2791</v>
      </c>
      <c r="J2338" s="1">
        <f>IF(Query1[[#This Row],[ItemType]]="EVAP KIT UNIVERSAL",Query1[[#This Row],[OrderQty]]+J2337,J2337)</f>
        <v>1195</v>
      </c>
      <c r="K2338" s="1">
        <f>Query1[[#This Row],[SF Running Total]]+Query1[[#This Row],[UNIV Running Total]]</f>
        <v>3986</v>
      </c>
      <c r="L2338">
        <f>VLOOKUP(Query1[[#This Row],[Description]],'kits to boards'!$B$2:$E$156,2,FALSE)</f>
        <v>830029</v>
      </c>
      <c r="M2338">
        <f>VLOOKUP(Query1[[#This Row],[Description]],'kits to boards'!$B$2:$E$156,3,FALSE)</f>
        <v>830030</v>
      </c>
      <c r="N2338">
        <f>VLOOKUP(Query1[[#This Row],[Description]],'kits to boards'!$B$2:$E$156,4,FALSE)</f>
        <v>0</v>
      </c>
      <c r="O2338" t="str">
        <f>CONCATENATE(Query1[[#This Row],[Description]]," - ",Query1[[#This Row],[MB1]]," - ",Query1[[#This Row],[MB2]]," - ",Query1[[#This Row],[MB3]])</f>
        <v>ComPac GEN II W/DEF - 830029 - 830030 - 0</v>
      </c>
    </row>
    <row r="2339" spans="1:15" x14ac:dyDescent="0.25">
      <c r="A2339" s="1">
        <v>914899</v>
      </c>
      <c r="B2339" s="1" t="s">
        <v>14</v>
      </c>
      <c r="C2339" s="1" t="s">
        <v>15</v>
      </c>
      <c r="D2339" s="2">
        <v>44635.520095138891</v>
      </c>
      <c r="E2339" s="1" t="s">
        <v>8</v>
      </c>
      <c r="F2339" s="1">
        <v>1</v>
      </c>
      <c r="G2339" s="1">
        <v>0</v>
      </c>
      <c r="H2339" s="6">
        <f>INT(Query1[[#This Row],[EntryDateTime]])</f>
        <v>44635</v>
      </c>
      <c r="I2339" s="1">
        <f>IF(Query1[[#This Row],[ItemType]]="EVAP KIT SF GEN IV",Query1[[#This Row],[OrderQty]]+I2338,I2338)</f>
        <v>2792</v>
      </c>
      <c r="J2339" s="1">
        <f>IF(Query1[[#This Row],[ItemType]]="EVAP KIT UNIVERSAL",Query1[[#This Row],[OrderQty]]+J2338,J2338)</f>
        <v>1195</v>
      </c>
      <c r="K2339" s="1">
        <f>Query1[[#This Row],[SF Running Total]]+Query1[[#This Row],[UNIV Running Total]]</f>
        <v>3987</v>
      </c>
      <c r="L2339">
        <f>VLOOKUP(Query1[[#This Row],[Description]],'kits to boards'!$B$2:$E$156,2,FALSE)</f>
        <v>830054</v>
      </c>
      <c r="M2339">
        <f>VLOOKUP(Query1[[#This Row],[Description]],'kits to boards'!$B$2:$E$156,3,FALSE)</f>
        <v>0</v>
      </c>
      <c r="N2339">
        <f>VLOOKUP(Query1[[#This Row],[Description]],'kits to boards'!$B$2:$E$156,4,FALSE)</f>
        <v>0</v>
      </c>
      <c r="O2339" t="str">
        <f>CONCATENATE(Query1[[#This Row],[Description]]," - ",Query1[[#This Row],[MB1]]," - ",Query1[[#This Row],[MB2]]," - ",Query1[[#This Row],[MB3]])</f>
        <v>EVAP KIT 55-56 CHEVY - 830054 - 0 - 0</v>
      </c>
    </row>
    <row r="2340" spans="1:15" x14ac:dyDescent="0.25">
      <c r="A2340" s="1">
        <v>915106</v>
      </c>
      <c r="B2340" s="1" t="s">
        <v>56</v>
      </c>
      <c r="C2340" s="1" t="s">
        <v>57</v>
      </c>
      <c r="D2340" s="2">
        <v>44635.541767592593</v>
      </c>
      <c r="E2340" s="1" t="s">
        <v>8</v>
      </c>
      <c r="F2340" s="1">
        <v>1</v>
      </c>
      <c r="G2340" s="1">
        <v>0</v>
      </c>
      <c r="H2340" s="6">
        <f>INT(Query1[[#This Row],[EntryDateTime]])</f>
        <v>44635</v>
      </c>
      <c r="I2340" s="1">
        <f>IF(Query1[[#This Row],[ItemType]]="EVAP KIT SF GEN IV",Query1[[#This Row],[OrderQty]]+I2339,I2339)</f>
        <v>2793</v>
      </c>
      <c r="J2340" s="1">
        <f>IF(Query1[[#This Row],[ItemType]]="EVAP KIT UNIVERSAL",Query1[[#This Row],[OrderQty]]+J2339,J2339)</f>
        <v>1195</v>
      </c>
      <c r="K2340" s="1">
        <f>Query1[[#This Row],[SF Running Total]]+Query1[[#This Row],[UNIV Running Total]]</f>
        <v>3988</v>
      </c>
      <c r="L2340">
        <f>VLOOKUP(Query1[[#This Row],[Description]],'kits to boards'!$B$2:$E$156,2,FALSE)</f>
        <v>830011</v>
      </c>
      <c r="M2340">
        <f>VLOOKUP(Query1[[#This Row],[Description]],'kits to boards'!$B$2:$E$156,3,FALSE)</f>
        <v>0</v>
      </c>
      <c r="N2340">
        <f>VLOOKUP(Query1[[#This Row],[Description]],'kits to boards'!$B$2:$E$156,4,FALSE)</f>
        <v>0</v>
      </c>
      <c r="O2340" t="str">
        <f>CONCATENATE(Query1[[#This Row],[Description]]," - ",Query1[[#This Row],[MB1]]," - ",Query1[[#This Row],[MB2]]," - ",Query1[[#This Row],[MB3]])</f>
        <v>EVAP KIT 70-72 CHEVELLE W/AC - 830011 - 0 - 0</v>
      </c>
    </row>
    <row r="2341" spans="1:15" x14ac:dyDescent="0.25">
      <c r="A2341" s="1">
        <v>912475</v>
      </c>
      <c r="B2341" s="1" t="s">
        <v>80</v>
      </c>
      <c r="C2341" s="1" t="s">
        <v>81</v>
      </c>
      <c r="D2341" s="2">
        <v>44635.563641400462</v>
      </c>
      <c r="E2341" s="1" t="s">
        <v>11</v>
      </c>
      <c r="F2341" s="1">
        <v>1</v>
      </c>
      <c r="G2341" s="1">
        <v>0</v>
      </c>
      <c r="H2341" s="6">
        <f>INT(Query1[[#This Row],[EntryDateTime]])</f>
        <v>44635</v>
      </c>
      <c r="I2341" s="1">
        <f>IF(Query1[[#This Row],[ItemType]]="EVAP KIT SF GEN IV",Query1[[#This Row],[OrderQty]]+I2340,I2340)</f>
        <v>2793</v>
      </c>
      <c r="J2341" s="1">
        <f>IF(Query1[[#This Row],[ItemType]]="EVAP KIT UNIVERSAL",Query1[[#This Row],[OrderQty]]+J2340,J2340)</f>
        <v>1196</v>
      </c>
      <c r="K2341" s="1">
        <f>Query1[[#This Row],[SF Running Total]]+Query1[[#This Row],[UNIV Running Total]]</f>
        <v>3989</v>
      </c>
      <c r="L2341">
        <f>VLOOKUP(Query1[[#This Row],[Description]],'kits to boards'!$B$2:$E$156,2,FALSE)</f>
        <v>0</v>
      </c>
      <c r="M2341">
        <f>VLOOKUP(Query1[[#This Row],[Description]],'kits to boards'!$B$2:$E$156,3,FALSE)</f>
        <v>0</v>
      </c>
      <c r="N2341">
        <f>VLOOKUP(Query1[[#This Row],[Description]],'kits to boards'!$B$2:$E$156,4,FALSE)</f>
        <v>0</v>
      </c>
      <c r="O2341" t="str">
        <f>CONCATENATE(Query1[[#This Row],[Description]]," - ",Query1[[#This Row],[MB1]]," - ",Query1[[#This Row],[MB2]]," - ",Query1[[#This Row],[MB3]])</f>
        <v>HERITAGE BRUSHED EVAP KIT COOL ONLY - 0 - 0 - 0</v>
      </c>
    </row>
    <row r="2342" spans="1:15" x14ac:dyDescent="0.25">
      <c r="A2342" s="1">
        <v>915036</v>
      </c>
      <c r="B2342" s="1" t="s">
        <v>502</v>
      </c>
      <c r="C2342" s="1" t="s">
        <v>503</v>
      </c>
      <c r="D2342" s="2">
        <v>44635.574695717594</v>
      </c>
      <c r="E2342" s="1" t="s">
        <v>677</v>
      </c>
      <c r="F2342" s="1">
        <v>1</v>
      </c>
      <c r="G2342" s="1">
        <v>0</v>
      </c>
      <c r="H2342" s="6">
        <f>INT(Query1[[#This Row],[EntryDateTime]])</f>
        <v>44635</v>
      </c>
      <c r="I2342" s="1">
        <f>IF(Query1[[#This Row],[ItemType]]="EVAP KIT SF GEN IV",Query1[[#This Row],[OrderQty]]+I2341,I2341)</f>
        <v>2793</v>
      </c>
      <c r="J2342" s="1">
        <f>IF(Query1[[#This Row],[ItemType]]="EVAP KIT UNIVERSAL",Query1[[#This Row],[OrderQty]]+J2341,J2341)</f>
        <v>1196</v>
      </c>
      <c r="K2342" s="1">
        <f>Query1[[#This Row],[SF Running Total]]+Query1[[#This Row],[UNIV Running Total]]</f>
        <v>3989</v>
      </c>
      <c r="L2342" t="e">
        <f>VLOOKUP(Query1[[#This Row],[Description]],'kits to boards'!$B$2:$E$156,2,FALSE)</f>
        <v>#N/A</v>
      </c>
      <c r="M2342" t="e">
        <f>VLOOKUP(Query1[[#This Row],[Description]],'kits to boards'!$B$2:$E$156,3,FALSE)</f>
        <v>#N/A</v>
      </c>
      <c r="N2342" t="e">
        <f>VLOOKUP(Query1[[#This Row],[Description]],'kits to boards'!$B$2:$E$156,4,FALSE)</f>
        <v>#N/A</v>
      </c>
      <c r="O2342" t="e">
        <f>CONCATENATE(Query1[[#This Row],[Description]]," - ",Query1[[#This Row],[MB1]]," - ",Query1[[#This Row],[MB2]]," - ",Query1[[#This Row],[MB3]])</f>
        <v>#N/A</v>
      </c>
    </row>
    <row r="2343" spans="1:15" x14ac:dyDescent="0.25">
      <c r="A2343" s="1">
        <v>915218</v>
      </c>
      <c r="B2343" s="1" t="s">
        <v>283</v>
      </c>
      <c r="C2343" s="1" t="s">
        <v>284</v>
      </c>
      <c r="D2343" s="2">
        <v>44635.577213923614</v>
      </c>
      <c r="E2343" s="1" t="s">
        <v>8</v>
      </c>
      <c r="F2343" s="1">
        <v>1</v>
      </c>
      <c r="G2343" s="1">
        <v>0</v>
      </c>
      <c r="H2343" s="6">
        <f>INT(Query1[[#This Row],[EntryDateTime]])</f>
        <v>44635</v>
      </c>
      <c r="I2343" s="1">
        <f>IF(Query1[[#This Row],[ItemType]]="EVAP KIT SF GEN IV",Query1[[#This Row],[OrderQty]]+I2342,I2342)</f>
        <v>2794</v>
      </c>
      <c r="J2343" s="1">
        <f>IF(Query1[[#This Row],[ItemType]]="EVAP KIT UNIVERSAL",Query1[[#This Row],[OrderQty]]+J2342,J2342)</f>
        <v>1196</v>
      </c>
      <c r="K2343" s="1">
        <f>Query1[[#This Row],[SF Running Total]]+Query1[[#This Row],[UNIV Running Total]]</f>
        <v>3990</v>
      </c>
      <c r="L2343">
        <f>VLOOKUP(Query1[[#This Row],[Description]],'kits to boards'!$B$2:$E$156,2,FALSE)</f>
        <v>830033</v>
      </c>
      <c r="M2343">
        <f>VLOOKUP(Query1[[#This Row],[Description]],'kits to boards'!$B$2:$E$156,3,FALSE)</f>
        <v>0</v>
      </c>
      <c r="N2343">
        <f>VLOOKUP(Query1[[#This Row],[Description]],'kits to boards'!$B$2:$E$156,4,FALSE)</f>
        <v>0</v>
      </c>
      <c r="O2343" t="str">
        <f>CONCATENATE(Query1[[#This Row],[Description]]," - ",Query1[[#This Row],[MB1]]," - ",Query1[[#This Row],[MB2]]," - ",Query1[[#This Row],[MB3]])</f>
        <v>EVAP KIT 66-67 CHARGER/CORONET WO AC - 830033 - 0 - 0</v>
      </c>
    </row>
    <row r="2344" spans="1:15" x14ac:dyDescent="0.25">
      <c r="A2344" s="1">
        <v>915212</v>
      </c>
      <c r="B2344" s="1" t="s">
        <v>26</v>
      </c>
      <c r="C2344" s="1" t="s">
        <v>27</v>
      </c>
      <c r="D2344" s="2">
        <v>44635.586022337964</v>
      </c>
      <c r="E2344" s="1" t="s">
        <v>8</v>
      </c>
      <c r="F2344" s="1">
        <v>1</v>
      </c>
      <c r="G2344" s="1">
        <v>0</v>
      </c>
      <c r="H2344" s="6">
        <f>INT(Query1[[#This Row],[EntryDateTime]])</f>
        <v>44635</v>
      </c>
      <c r="I2344" s="1">
        <f>IF(Query1[[#This Row],[ItemType]]="EVAP KIT SF GEN IV",Query1[[#This Row],[OrderQty]]+I2343,I2343)</f>
        <v>2795</v>
      </c>
      <c r="J2344" s="1">
        <f>IF(Query1[[#This Row],[ItemType]]="EVAP KIT UNIVERSAL",Query1[[#This Row],[OrderQty]]+J2343,J2343)</f>
        <v>1196</v>
      </c>
      <c r="K2344" s="1">
        <f>Query1[[#This Row],[SF Running Total]]+Query1[[#This Row],[UNIV Running Total]]</f>
        <v>3991</v>
      </c>
      <c r="L2344">
        <f>VLOOKUP(Query1[[#This Row],[Description]],'kits to boards'!$B$2:$E$156,2,FALSE)</f>
        <v>830013</v>
      </c>
      <c r="M2344">
        <f>VLOOKUP(Query1[[#This Row],[Description]],'kits to boards'!$B$2:$E$156,3,FALSE)</f>
        <v>0</v>
      </c>
      <c r="N2344">
        <f>VLOOKUP(Query1[[#This Row],[Description]],'kits to boards'!$B$2:$E$156,4,FALSE)</f>
        <v>0</v>
      </c>
      <c r="O2344" t="str">
        <f>CONCATENATE(Query1[[#This Row],[Description]]," - ",Query1[[#This Row],[MB1]]," - ",Query1[[#This Row],[MB2]]," - ",Query1[[#This Row],[MB3]])</f>
        <v>EVAP KIT 67-72 CHEV P-UP W/AC - 830013 - 0 - 0</v>
      </c>
    </row>
    <row r="2345" spans="1:15" x14ac:dyDescent="0.25">
      <c r="A2345" s="1">
        <v>915224</v>
      </c>
      <c r="B2345" s="1" t="s">
        <v>154</v>
      </c>
      <c r="C2345" s="1" t="s">
        <v>155</v>
      </c>
      <c r="D2345" s="2">
        <v>44635.586732175929</v>
      </c>
      <c r="E2345" s="1" t="s">
        <v>8</v>
      </c>
      <c r="F2345" s="1">
        <v>1</v>
      </c>
      <c r="G2345" s="1">
        <v>0</v>
      </c>
      <c r="H2345" s="6">
        <f>INT(Query1[[#This Row],[EntryDateTime]])</f>
        <v>44635</v>
      </c>
      <c r="I2345" s="1">
        <f>IF(Query1[[#This Row],[ItemType]]="EVAP KIT SF GEN IV",Query1[[#This Row],[OrderQty]]+I2344,I2344)</f>
        <v>2796</v>
      </c>
      <c r="J2345" s="1">
        <f>IF(Query1[[#This Row],[ItemType]]="EVAP KIT UNIVERSAL",Query1[[#This Row],[OrderQty]]+J2344,J2344)</f>
        <v>1196</v>
      </c>
      <c r="K2345" s="1">
        <f>Query1[[#This Row],[SF Running Total]]+Query1[[#This Row],[UNIV Running Total]]</f>
        <v>3992</v>
      </c>
      <c r="L2345">
        <f>VLOOKUP(Query1[[#This Row],[Description]],'kits to boards'!$B$2:$E$156,2,FALSE)</f>
        <v>830124</v>
      </c>
      <c r="M2345">
        <f>VLOOKUP(Query1[[#This Row],[Description]],'kits to boards'!$B$2:$E$156,3,FALSE)</f>
        <v>0</v>
      </c>
      <c r="N2345">
        <f>VLOOKUP(Query1[[#This Row],[Description]],'kits to boards'!$B$2:$E$156,4,FALSE)</f>
        <v>0</v>
      </c>
      <c r="O2345" t="str">
        <f>CONCATENATE(Query1[[#This Row],[Description]]," - ",Query1[[#This Row],[MB1]]," - ",Query1[[#This Row],[MB2]]," - ",Query1[[#This Row],[MB3]])</f>
        <v>EVAP KIT 69 GTO W/AC - 830124 - 0 - 0</v>
      </c>
    </row>
    <row r="2346" spans="1:15" x14ac:dyDescent="0.25">
      <c r="A2346" s="1">
        <v>915229</v>
      </c>
      <c r="B2346" s="1" t="s">
        <v>32</v>
      </c>
      <c r="C2346" s="1" t="s">
        <v>33</v>
      </c>
      <c r="D2346" s="2">
        <v>44635.590636377317</v>
      </c>
      <c r="E2346" s="1" t="s">
        <v>8</v>
      </c>
      <c r="F2346" s="1">
        <v>1</v>
      </c>
      <c r="G2346" s="1">
        <v>0</v>
      </c>
      <c r="H2346" s="6">
        <f>INT(Query1[[#This Row],[EntryDateTime]])</f>
        <v>44635</v>
      </c>
      <c r="I2346" s="1">
        <f>IF(Query1[[#This Row],[ItemType]]="EVAP KIT SF GEN IV",Query1[[#This Row],[OrderQty]]+I2345,I2345)</f>
        <v>2797</v>
      </c>
      <c r="J2346" s="1">
        <f>IF(Query1[[#This Row],[ItemType]]="EVAP KIT UNIVERSAL",Query1[[#This Row],[OrderQty]]+J2345,J2345)</f>
        <v>1196</v>
      </c>
      <c r="K2346" s="1">
        <f>Query1[[#This Row],[SF Running Total]]+Query1[[#This Row],[UNIV Running Total]]</f>
        <v>3993</v>
      </c>
      <c r="L2346">
        <f>VLOOKUP(Query1[[#This Row],[Description]],'kits to boards'!$B$2:$E$156,2,FALSE)</f>
        <v>830016</v>
      </c>
      <c r="M2346">
        <f>VLOOKUP(Query1[[#This Row],[Description]],'kits to boards'!$B$2:$E$156,3,FALSE)</f>
        <v>0</v>
      </c>
      <c r="N2346">
        <f>VLOOKUP(Query1[[#This Row],[Description]],'kits to boards'!$B$2:$E$156,4,FALSE)</f>
        <v>0</v>
      </c>
      <c r="O2346" t="str">
        <f>CONCATENATE(Query1[[#This Row],[Description]]," - ",Query1[[#This Row],[MB1]]," - ",Query1[[#This Row],[MB2]]," - ",Query1[[#This Row],[MB3]])</f>
        <v>EVAP KIT 67-68 CAMARO/FIREBIRD W/AC - 830016 - 0 - 0</v>
      </c>
    </row>
    <row r="2347" spans="1:15" x14ac:dyDescent="0.25">
      <c r="A2347" s="1">
        <v>915230</v>
      </c>
      <c r="B2347" s="1" t="s">
        <v>86</v>
      </c>
      <c r="C2347" s="1" t="s">
        <v>87</v>
      </c>
      <c r="D2347" s="2">
        <v>44635.59229197917</v>
      </c>
      <c r="E2347" s="1" t="s">
        <v>8</v>
      </c>
      <c r="F2347" s="1">
        <v>1</v>
      </c>
      <c r="G2347" s="1">
        <v>0</v>
      </c>
      <c r="H2347" s="6">
        <f>INT(Query1[[#This Row],[EntryDateTime]])</f>
        <v>44635</v>
      </c>
      <c r="I2347" s="1">
        <f>IF(Query1[[#This Row],[ItemType]]="EVAP KIT SF GEN IV",Query1[[#This Row],[OrderQty]]+I2346,I2346)</f>
        <v>2798</v>
      </c>
      <c r="J2347" s="1">
        <f>IF(Query1[[#This Row],[ItemType]]="EVAP KIT UNIVERSAL",Query1[[#This Row],[OrderQty]]+J2346,J2346)</f>
        <v>1196</v>
      </c>
      <c r="K2347" s="1">
        <f>Query1[[#This Row],[SF Running Total]]+Query1[[#This Row],[UNIV Running Total]]</f>
        <v>3994</v>
      </c>
      <c r="L2347">
        <f>VLOOKUP(Query1[[#This Row],[Description]],'kits to boards'!$B$2:$E$156,2,FALSE)</f>
        <v>830048</v>
      </c>
      <c r="M2347">
        <f>VLOOKUP(Query1[[#This Row],[Description]],'kits to boards'!$B$2:$E$156,3,FALSE)</f>
        <v>0</v>
      </c>
      <c r="N2347">
        <f>VLOOKUP(Query1[[#This Row],[Description]],'kits to boards'!$B$2:$E$156,4,FALSE)</f>
        <v>0</v>
      </c>
      <c r="O2347" t="str">
        <f>CONCATENATE(Query1[[#This Row],[Description]]," - ",Query1[[#This Row],[MB1]]," - ",Query1[[#This Row],[MB2]]," - ",Query1[[#This Row],[MB3]])</f>
        <v>EVAP KIT 66-67 NOVA - 830048 - 0 - 0</v>
      </c>
    </row>
    <row r="2348" spans="1:15" x14ac:dyDescent="0.25">
      <c r="A2348" s="1">
        <v>915231</v>
      </c>
      <c r="B2348" s="1" t="s">
        <v>222</v>
      </c>
      <c r="C2348" s="1" t="s">
        <v>223</v>
      </c>
      <c r="D2348" s="2">
        <v>44635.598522650464</v>
      </c>
      <c r="E2348" s="1" t="s">
        <v>8</v>
      </c>
      <c r="F2348" s="1">
        <v>1</v>
      </c>
      <c r="G2348" s="1">
        <v>0</v>
      </c>
      <c r="H2348" s="6">
        <f>INT(Query1[[#This Row],[EntryDateTime]])</f>
        <v>44635</v>
      </c>
      <c r="I2348" s="1">
        <f>IF(Query1[[#This Row],[ItemType]]="EVAP KIT SF GEN IV",Query1[[#This Row],[OrderQty]]+I2347,I2347)</f>
        <v>2799</v>
      </c>
      <c r="J2348" s="1">
        <f>IF(Query1[[#This Row],[ItemType]]="EVAP KIT UNIVERSAL",Query1[[#This Row],[OrderQty]]+J2347,J2347)</f>
        <v>1196</v>
      </c>
      <c r="K2348" s="1">
        <f>Query1[[#This Row],[SF Running Total]]+Query1[[#This Row],[UNIV Running Total]]</f>
        <v>3995</v>
      </c>
      <c r="L2348">
        <f>VLOOKUP(Query1[[#This Row],[Description]],'kits to boards'!$B$2:$E$156,2,FALSE)</f>
        <v>830093</v>
      </c>
      <c r="M2348">
        <f>VLOOKUP(Query1[[#This Row],[Description]],'kits to boards'!$B$2:$E$156,3,FALSE)</f>
        <v>0</v>
      </c>
      <c r="N2348">
        <f>VLOOKUP(Query1[[#This Row],[Description]],'kits to boards'!$B$2:$E$156,4,FALSE)</f>
        <v>0</v>
      </c>
      <c r="O2348" t="str">
        <f>CONCATENATE(Query1[[#This Row],[Description]]," - ",Query1[[#This Row],[MB1]]," - ",Query1[[#This Row],[MB2]]," - ",Query1[[#This Row],[MB3]])</f>
        <v>EVAP KIT 67 VETTE WO AC - 830093 - 0 - 0</v>
      </c>
    </row>
    <row r="2349" spans="1:15" x14ac:dyDescent="0.25">
      <c r="A2349" s="1">
        <v>915203</v>
      </c>
      <c r="B2349" s="1" t="s">
        <v>150</v>
      </c>
      <c r="C2349" s="1" t="s">
        <v>151</v>
      </c>
      <c r="D2349" s="2">
        <v>44635.607273148147</v>
      </c>
      <c r="E2349" s="1" t="s">
        <v>8</v>
      </c>
      <c r="F2349" s="1">
        <v>1</v>
      </c>
      <c r="G2349" s="1">
        <v>0</v>
      </c>
      <c r="H2349" s="6">
        <f>INT(Query1[[#This Row],[EntryDateTime]])</f>
        <v>44635</v>
      </c>
      <c r="I2349" s="1">
        <f>IF(Query1[[#This Row],[ItemType]]="EVAP KIT SF GEN IV",Query1[[#This Row],[OrderQty]]+I2348,I2348)</f>
        <v>2800</v>
      </c>
      <c r="J2349" s="1">
        <f>IF(Query1[[#This Row],[ItemType]]="EVAP KIT UNIVERSAL",Query1[[#This Row],[OrderQty]]+J2348,J2348)</f>
        <v>1196</v>
      </c>
      <c r="K2349" s="1">
        <f>Query1[[#This Row],[SF Running Total]]+Query1[[#This Row],[UNIV Running Total]]</f>
        <v>3996</v>
      </c>
      <c r="L2349">
        <f>VLOOKUP(Query1[[#This Row],[Description]],'kits to boards'!$B$2:$E$156,2,FALSE)</f>
        <v>830010</v>
      </c>
      <c r="M2349">
        <f>VLOOKUP(Query1[[#This Row],[Description]],'kits to boards'!$B$2:$E$156,3,FALSE)</f>
        <v>0</v>
      </c>
      <c r="N2349">
        <f>VLOOKUP(Query1[[#This Row],[Description]],'kits to boards'!$B$2:$E$156,4,FALSE)</f>
        <v>0</v>
      </c>
      <c r="O2349" t="str">
        <f>CONCATENATE(Query1[[#This Row],[Description]]," - ",Query1[[#This Row],[MB1]]," - ",Query1[[#This Row],[MB2]]," - ",Query1[[#This Row],[MB3]])</f>
        <v>EVAP KIT 70-72 MONTE CARLO W/AC - 830010 - 0 - 0</v>
      </c>
    </row>
    <row r="2350" spans="1:15" x14ac:dyDescent="0.25">
      <c r="A2350" s="1">
        <v>913326</v>
      </c>
      <c r="B2350" s="1" t="s">
        <v>16</v>
      </c>
      <c r="C2350" s="1" t="s">
        <v>17</v>
      </c>
      <c r="D2350" s="2">
        <v>44635.614235185189</v>
      </c>
      <c r="E2350" s="1" t="s">
        <v>8</v>
      </c>
      <c r="F2350" s="1">
        <v>1</v>
      </c>
      <c r="G2350" s="1">
        <v>0</v>
      </c>
      <c r="H2350" s="6">
        <f>INT(Query1[[#This Row],[EntryDateTime]])</f>
        <v>44635</v>
      </c>
      <c r="I2350" s="1">
        <f>IF(Query1[[#This Row],[ItemType]]="EVAP KIT SF GEN IV",Query1[[#This Row],[OrderQty]]+I2349,I2349)</f>
        <v>2801</v>
      </c>
      <c r="J2350" s="1">
        <f>IF(Query1[[#This Row],[ItemType]]="EVAP KIT UNIVERSAL",Query1[[#This Row],[OrderQty]]+J2349,J2349)</f>
        <v>1196</v>
      </c>
      <c r="K2350" s="1">
        <f>Query1[[#This Row],[SF Running Total]]+Query1[[#This Row],[UNIV Running Total]]</f>
        <v>3997</v>
      </c>
      <c r="L2350">
        <f>VLOOKUP(Query1[[#This Row],[Description]],'kits to boards'!$B$2:$E$156,2,FALSE)</f>
        <v>830061</v>
      </c>
      <c r="M2350">
        <f>VLOOKUP(Query1[[#This Row],[Description]],'kits to boards'!$B$2:$E$156,3,FALSE)</f>
        <v>0</v>
      </c>
      <c r="N2350">
        <f>VLOOKUP(Query1[[#This Row],[Description]],'kits to boards'!$B$2:$E$156,4,FALSE)</f>
        <v>0</v>
      </c>
      <c r="O2350" t="str">
        <f>CONCATENATE(Query1[[#This Row],[Description]]," - ",Query1[[#This Row],[MB1]]," - ",Query1[[#This Row],[MB2]]," - ",Query1[[#This Row],[MB3]])</f>
        <v>EVAP KIT 68-69 CHEVELLE W/AC - 830061 - 0 - 0</v>
      </c>
    </row>
    <row r="2351" spans="1:15" x14ac:dyDescent="0.25">
      <c r="A2351" s="1">
        <v>914883</v>
      </c>
      <c r="B2351" s="1" t="s">
        <v>96</v>
      </c>
      <c r="C2351" s="1" t="s">
        <v>97</v>
      </c>
      <c r="D2351" s="2">
        <v>44635.624667164353</v>
      </c>
      <c r="E2351" s="1" t="s">
        <v>8</v>
      </c>
      <c r="F2351" s="1">
        <v>1</v>
      </c>
      <c r="G2351" s="1">
        <v>0</v>
      </c>
      <c r="H2351" s="6">
        <f>INT(Query1[[#This Row],[EntryDateTime]])</f>
        <v>44635</v>
      </c>
      <c r="I2351" s="1">
        <f>IF(Query1[[#This Row],[ItemType]]="EVAP KIT SF GEN IV",Query1[[#This Row],[OrderQty]]+I2350,I2350)</f>
        <v>2802</v>
      </c>
      <c r="J2351" s="1">
        <f>IF(Query1[[#This Row],[ItemType]]="EVAP KIT UNIVERSAL",Query1[[#This Row],[OrderQty]]+J2350,J2350)</f>
        <v>1196</v>
      </c>
      <c r="K2351" s="1">
        <f>Query1[[#This Row],[SF Running Total]]+Query1[[#This Row],[UNIV Running Total]]</f>
        <v>3998</v>
      </c>
      <c r="L2351">
        <f>VLOOKUP(Query1[[#This Row],[Description]],'kits to boards'!$B$2:$E$156,2,FALSE)</f>
        <v>830004</v>
      </c>
      <c r="M2351">
        <f>VLOOKUP(Query1[[#This Row],[Description]],'kits to boards'!$B$2:$E$156,3,FALSE)</f>
        <v>0</v>
      </c>
      <c r="N2351">
        <f>VLOOKUP(Query1[[#This Row],[Description]],'kits to boards'!$B$2:$E$156,4,FALSE)</f>
        <v>0</v>
      </c>
      <c r="O2351" t="str">
        <f>CONCATENATE(Query1[[#This Row],[Description]]," - ",Query1[[#This Row],[MB1]]," - ",Query1[[#This Row],[MB2]]," - ",Query1[[#This Row],[MB3]])</f>
        <v>EVAP KIT 81-87 CHEV P-UP W/AC - 830004 - 0 - 0</v>
      </c>
    </row>
    <row r="2352" spans="1:15" x14ac:dyDescent="0.25">
      <c r="A2352" s="1">
        <v>915115</v>
      </c>
      <c r="B2352" s="1" t="s">
        <v>98</v>
      </c>
      <c r="C2352" s="1" t="s">
        <v>99</v>
      </c>
      <c r="D2352" s="2">
        <v>44635.62488653935</v>
      </c>
      <c r="E2352" s="1" t="s">
        <v>11</v>
      </c>
      <c r="F2352" s="1">
        <v>1</v>
      </c>
      <c r="G2352" s="1">
        <v>0</v>
      </c>
      <c r="H2352" s="6">
        <f>INT(Query1[[#This Row],[EntryDateTime]])</f>
        <v>44635</v>
      </c>
      <c r="I2352" s="1">
        <f>IF(Query1[[#This Row],[ItemType]]="EVAP KIT SF GEN IV",Query1[[#This Row],[OrderQty]]+I2351,I2351)</f>
        <v>2802</v>
      </c>
      <c r="J2352" s="1">
        <f>IF(Query1[[#This Row],[ItemType]]="EVAP KIT UNIVERSAL",Query1[[#This Row],[OrderQty]]+J2351,J2351)</f>
        <v>1197</v>
      </c>
      <c r="K2352" s="1">
        <f>Query1[[#This Row],[SF Running Total]]+Query1[[#This Row],[UNIV Running Total]]</f>
        <v>3999</v>
      </c>
      <c r="L2352">
        <f>VLOOKUP(Query1[[#This Row],[Description]],'kits to boards'!$B$2:$E$156,2,FALSE)</f>
        <v>830099</v>
      </c>
      <c r="M2352">
        <f>VLOOKUP(Query1[[#This Row],[Description]],'kits to boards'!$B$2:$E$156,3,FALSE)</f>
        <v>0</v>
      </c>
      <c r="N2352">
        <f>VLOOKUP(Query1[[#This Row],[Description]],'kits to boards'!$B$2:$E$156,4,FALSE)</f>
        <v>0</v>
      </c>
      <c r="O2352" t="str">
        <f>CONCATENATE(Query1[[#This Row],[Description]]," - ",Query1[[#This Row],[MB1]]," - ",Query1[[#This Row],[MB2]]," - ",Query1[[#This Row],[MB3]])</f>
        <v>MINI GEN II W/DEF - 830099 - 0 - 0</v>
      </c>
    </row>
    <row r="2353" spans="1:15" x14ac:dyDescent="0.25">
      <c r="A2353" s="1">
        <v>915242</v>
      </c>
      <c r="B2353" s="1" t="s">
        <v>138</v>
      </c>
      <c r="C2353" s="1" t="s">
        <v>139</v>
      </c>
      <c r="D2353" s="2">
        <v>44635.628243136576</v>
      </c>
      <c r="E2353" s="1" t="s">
        <v>11</v>
      </c>
      <c r="F2353" s="1">
        <v>1</v>
      </c>
      <c r="G2353" s="1">
        <v>0</v>
      </c>
      <c r="H2353" s="6">
        <f>INT(Query1[[#This Row],[EntryDateTime]])</f>
        <v>44635</v>
      </c>
      <c r="I2353" s="1">
        <f>IF(Query1[[#This Row],[ItemType]]="EVAP KIT SF GEN IV",Query1[[#This Row],[OrderQty]]+I2352,I2352)</f>
        <v>2802</v>
      </c>
      <c r="J2353" s="1">
        <f>IF(Query1[[#This Row],[ItemType]]="EVAP KIT UNIVERSAL",Query1[[#This Row],[OrderQty]]+J2352,J2352)</f>
        <v>1198</v>
      </c>
      <c r="K2353" s="1">
        <f>Query1[[#This Row],[SF Running Total]]+Query1[[#This Row],[UNIV Running Total]]</f>
        <v>4000</v>
      </c>
      <c r="L2353">
        <f>VLOOKUP(Query1[[#This Row],[Description]],'kits to boards'!$B$2:$E$156,2,FALSE)</f>
        <v>0</v>
      </c>
      <c r="M2353">
        <f>VLOOKUP(Query1[[#This Row],[Description]],'kits to boards'!$B$2:$E$156,3,FALSE)</f>
        <v>0</v>
      </c>
      <c r="N2353">
        <f>VLOOKUP(Query1[[#This Row],[Description]],'kits to boards'!$B$2:$E$156,4,FALSE)</f>
        <v>0</v>
      </c>
      <c r="O2353" t="str">
        <f>CONCATENATE(Query1[[#This Row],[Description]]," - ",Query1[[#This Row],[MB1]]," - ",Query1[[#This Row],[MB2]]," - ",Query1[[#This Row],[MB3]])</f>
        <v>HERITAGE TURNED BLACK EVAP KIT HEAT/COOL - 0 - 0 - 0</v>
      </c>
    </row>
    <row r="2354" spans="1:15" x14ac:dyDescent="0.25">
      <c r="A2354" s="1">
        <v>915246</v>
      </c>
      <c r="B2354" s="1" t="s">
        <v>84</v>
      </c>
      <c r="C2354" s="1" t="s">
        <v>85</v>
      </c>
      <c r="D2354" s="2">
        <v>44635.634932523149</v>
      </c>
      <c r="E2354" s="1" t="s">
        <v>8</v>
      </c>
      <c r="F2354" s="1">
        <v>1</v>
      </c>
      <c r="G2354" s="1">
        <v>0</v>
      </c>
      <c r="H2354" s="6">
        <f>INT(Query1[[#This Row],[EntryDateTime]])</f>
        <v>44635</v>
      </c>
      <c r="I2354" s="1">
        <f>IF(Query1[[#This Row],[ItemType]]="EVAP KIT SF GEN IV",Query1[[#This Row],[OrderQty]]+I2353,I2353)</f>
        <v>2803</v>
      </c>
      <c r="J2354" s="1">
        <f>IF(Query1[[#This Row],[ItemType]]="EVAP KIT UNIVERSAL",Query1[[#This Row],[OrderQty]]+J2353,J2353)</f>
        <v>1198</v>
      </c>
      <c r="K2354" s="1">
        <f>Query1[[#This Row],[SF Running Total]]+Query1[[#This Row],[UNIV Running Total]]</f>
        <v>4001</v>
      </c>
      <c r="L2354">
        <f>VLOOKUP(Query1[[#This Row],[Description]],'kits to boards'!$B$2:$E$156,2,FALSE)</f>
        <v>830085</v>
      </c>
      <c r="M2354">
        <f>VLOOKUP(Query1[[#This Row],[Description]],'kits to boards'!$B$2:$E$156,3,FALSE)</f>
        <v>0</v>
      </c>
      <c r="N2354">
        <f>VLOOKUP(Query1[[#This Row],[Description]],'kits to boards'!$B$2:$E$156,4,FALSE)</f>
        <v>0</v>
      </c>
      <c r="O2354" t="str">
        <f>CONCATENATE(Query1[[#This Row],[Description]]," - ",Query1[[#This Row],[MB1]]," - ",Query1[[#This Row],[MB2]]," - ",Query1[[#This Row],[MB3]])</f>
        <v>EVAP KIT 66-77 BRONCO 4-VENT PLENUM - 830085 - 0 - 0</v>
      </c>
    </row>
    <row r="2355" spans="1:15" x14ac:dyDescent="0.25">
      <c r="A2355" s="1">
        <v>915246</v>
      </c>
      <c r="B2355" s="1" t="s">
        <v>106</v>
      </c>
      <c r="C2355" s="1" t="s">
        <v>107</v>
      </c>
      <c r="D2355" s="2">
        <v>44635.634934340276</v>
      </c>
      <c r="E2355" s="1" t="s">
        <v>8</v>
      </c>
      <c r="F2355" s="1">
        <v>2</v>
      </c>
      <c r="G2355" s="1">
        <v>0</v>
      </c>
      <c r="H2355" s="6">
        <f>INT(Query1[[#This Row],[EntryDateTime]])</f>
        <v>44635</v>
      </c>
      <c r="I2355" s="1">
        <f>IF(Query1[[#This Row],[ItemType]]="EVAP KIT SF GEN IV",Query1[[#This Row],[OrderQty]]+I2354,I2354)</f>
        <v>2805</v>
      </c>
      <c r="J2355" s="1">
        <f>IF(Query1[[#This Row],[ItemType]]="EVAP KIT UNIVERSAL",Query1[[#This Row],[OrderQty]]+J2354,J2354)</f>
        <v>1198</v>
      </c>
      <c r="K2355" s="1">
        <f>Query1[[#This Row],[SF Running Total]]+Query1[[#This Row],[UNIV Running Total]]</f>
        <v>4003</v>
      </c>
      <c r="L2355">
        <f>VLOOKUP(Query1[[#This Row],[Description]],'kits to boards'!$B$2:$E$156,2,FALSE)</f>
        <v>830028</v>
      </c>
      <c r="M2355">
        <f>VLOOKUP(Query1[[#This Row],[Description]],'kits to boards'!$B$2:$E$156,3,FALSE)</f>
        <v>0</v>
      </c>
      <c r="N2355">
        <f>VLOOKUP(Query1[[#This Row],[Description]],'kits to boards'!$B$2:$E$156,4,FALSE)</f>
        <v>0</v>
      </c>
      <c r="O2355" t="str">
        <f>CONCATENATE(Query1[[#This Row],[Description]]," - ",Query1[[#This Row],[MB1]]," - ",Query1[[#This Row],[MB2]]," - ",Query1[[#This Row],[MB3]])</f>
        <v>EVAP KIT 55-59 CHEV P-UP WO AC W/DELX - 830028 - 0 - 0</v>
      </c>
    </row>
    <row r="2356" spans="1:15" x14ac:dyDescent="0.25">
      <c r="A2356" s="1">
        <v>915253</v>
      </c>
      <c r="B2356" s="1" t="s">
        <v>212</v>
      </c>
      <c r="C2356" s="1" t="s">
        <v>213</v>
      </c>
      <c r="D2356" s="2">
        <v>44635.64213521991</v>
      </c>
      <c r="E2356" s="1" t="s">
        <v>8</v>
      </c>
      <c r="F2356" s="1">
        <v>1</v>
      </c>
      <c r="G2356" s="1">
        <v>0</v>
      </c>
      <c r="H2356" s="6">
        <f>INT(Query1[[#This Row],[EntryDateTime]])</f>
        <v>44635</v>
      </c>
      <c r="I2356" s="1">
        <f>IF(Query1[[#This Row],[ItemType]]="EVAP KIT SF GEN IV",Query1[[#This Row],[OrderQty]]+I2355,I2355)</f>
        <v>2806</v>
      </c>
      <c r="J2356" s="1">
        <f>IF(Query1[[#This Row],[ItemType]]="EVAP KIT UNIVERSAL",Query1[[#This Row],[OrderQty]]+J2355,J2355)</f>
        <v>1198</v>
      </c>
      <c r="K2356" s="1">
        <f>Query1[[#This Row],[SF Running Total]]+Query1[[#This Row],[UNIV Running Total]]</f>
        <v>4004</v>
      </c>
      <c r="L2356">
        <f>VLOOKUP(Query1[[#This Row],[Description]],'kits to boards'!$B$2:$E$156,2,FALSE)</f>
        <v>830034</v>
      </c>
      <c r="M2356">
        <f>VLOOKUP(Query1[[#This Row],[Description]],'kits to boards'!$B$2:$E$156,3,FALSE)</f>
        <v>0</v>
      </c>
      <c r="N2356">
        <f>VLOOKUP(Query1[[#This Row],[Description]],'kits to boards'!$B$2:$E$156,4,FALSE)</f>
        <v>0</v>
      </c>
      <c r="O2356" t="str">
        <f>CONCATENATE(Query1[[#This Row],[Description]]," - ",Query1[[#This Row],[MB1]]," - ",Query1[[#This Row],[MB2]]," - ",Query1[[#This Row],[MB3]])</f>
        <v>EVAP KIT 64-67 GTO W/AC - 830034 - 0 - 0</v>
      </c>
    </row>
    <row r="2357" spans="1:15" x14ac:dyDescent="0.25">
      <c r="A2357" s="1">
        <v>915261</v>
      </c>
      <c r="B2357" s="1" t="s">
        <v>506</v>
      </c>
      <c r="C2357" s="1" t="s">
        <v>507</v>
      </c>
      <c r="D2357" s="2">
        <v>44635.651274733798</v>
      </c>
      <c r="E2357" s="1" t="s">
        <v>677</v>
      </c>
      <c r="F2357" s="1">
        <v>1</v>
      </c>
      <c r="G2357" s="1">
        <v>0</v>
      </c>
      <c r="H2357" s="6">
        <f>INT(Query1[[#This Row],[EntryDateTime]])</f>
        <v>44635</v>
      </c>
      <c r="I2357" s="1">
        <f>IF(Query1[[#This Row],[ItemType]]="EVAP KIT SF GEN IV",Query1[[#This Row],[OrderQty]]+I2356,I2356)</f>
        <v>2806</v>
      </c>
      <c r="J2357" s="1">
        <f>IF(Query1[[#This Row],[ItemType]]="EVAP KIT UNIVERSAL",Query1[[#This Row],[OrderQty]]+J2356,J2356)</f>
        <v>1198</v>
      </c>
      <c r="K2357" s="1">
        <f>Query1[[#This Row],[SF Running Total]]+Query1[[#This Row],[UNIV Running Total]]</f>
        <v>4004</v>
      </c>
      <c r="L2357" t="e">
        <f>VLOOKUP(Query1[[#This Row],[Description]],'kits to boards'!$B$2:$E$156,2,FALSE)</f>
        <v>#N/A</v>
      </c>
      <c r="M2357" t="e">
        <f>VLOOKUP(Query1[[#This Row],[Description]],'kits to boards'!$B$2:$E$156,3,FALSE)</f>
        <v>#N/A</v>
      </c>
      <c r="N2357" t="e">
        <f>VLOOKUP(Query1[[#This Row],[Description]],'kits to boards'!$B$2:$E$156,4,FALSE)</f>
        <v>#N/A</v>
      </c>
      <c r="O2357" t="e">
        <f>CONCATENATE(Query1[[#This Row],[Description]]," - ",Query1[[#This Row],[MB1]]," - ",Query1[[#This Row],[MB2]]," - ",Query1[[#This Row],[MB3]])</f>
        <v>#N/A</v>
      </c>
    </row>
    <row r="2358" spans="1:15" x14ac:dyDescent="0.25">
      <c r="A2358" s="1">
        <v>914818</v>
      </c>
      <c r="B2358" s="1" t="s">
        <v>22</v>
      </c>
      <c r="C2358" s="1" t="s">
        <v>23</v>
      </c>
      <c r="D2358" s="2">
        <v>44635.657169363425</v>
      </c>
      <c r="E2358" s="1" t="s">
        <v>8</v>
      </c>
      <c r="F2358" s="1">
        <v>2</v>
      </c>
      <c r="G2358" s="1">
        <v>0</v>
      </c>
      <c r="H2358" s="6">
        <f>INT(Query1[[#This Row],[EntryDateTime]])</f>
        <v>44635</v>
      </c>
      <c r="I2358" s="1">
        <f>IF(Query1[[#This Row],[ItemType]]="EVAP KIT SF GEN IV",Query1[[#This Row],[OrderQty]]+I2357,I2357)</f>
        <v>2808</v>
      </c>
      <c r="J2358" s="1">
        <f>IF(Query1[[#This Row],[ItemType]]="EVAP KIT UNIVERSAL",Query1[[#This Row],[OrderQty]]+J2357,J2357)</f>
        <v>1198</v>
      </c>
      <c r="K2358" s="1">
        <f>Query1[[#This Row],[SF Running Total]]+Query1[[#This Row],[UNIV Running Total]]</f>
        <v>4006</v>
      </c>
      <c r="L2358">
        <f>VLOOKUP(Query1[[#This Row],[Description]],'kits to boards'!$B$2:$E$156,2,FALSE)</f>
        <v>830083</v>
      </c>
      <c r="M2358">
        <f>VLOOKUP(Query1[[#This Row],[Description]],'kits to boards'!$B$2:$E$156,3,FALSE)</f>
        <v>0</v>
      </c>
      <c r="N2358">
        <f>VLOOKUP(Query1[[#This Row],[Description]],'kits to boards'!$B$2:$E$156,4,FALSE)</f>
        <v>0</v>
      </c>
      <c r="O2358" t="str">
        <f>CONCATENATE(Query1[[#This Row],[Description]]," - ",Query1[[#This Row],[MB1]]," - ",Query1[[#This Row],[MB2]]," - ",Query1[[#This Row],[MB3]])</f>
        <v>GEN IV MAGNUM EVAP KIT - 830083 - 0 - 0</v>
      </c>
    </row>
    <row r="2359" spans="1:15" x14ac:dyDescent="0.25">
      <c r="A2359" s="1">
        <v>915265</v>
      </c>
      <c r="B2359" s="1" t="s">
        <v>106</v>
      </c>
      <c r="C2359" s="1" t="s">
        <v>253</v>
      </c>
      <c r="D2359" s="2">
        <v>44635.658760150465</v>
      </c>
      <c r="E2359" s="1" t="s">
        <v>8</v>
      </c>
      <c r="F2359" s="1">
        <v>1</v>
      </c>
      <c r="G2359" s="1">
        <v>0</v>
      </c>
      <c r="H2359" s="6">
        <f>INT(Query1[[#This Row],[EntryDateTime]])</f>
        <v>44635</v>
      </c>
      <c r="I2359" s="1">
        <f>IF(Query1[[#This Row],[ItemType]]="EVAP KIT SF GEN IV",Query1[[#This Row],[OrderQty]]+I2358,I2358)</f>
        <v>2809</v>
      </c>
      <c r="J2359" s="1">
        <f>IF(Query1[[#This Row],[ItemType]]="EVAP KIT UNIVERSAL",Query1[[#This Row],[OrderQty]]+J2358,J2358)</f>
        <v>1198</v>
      </c>
      <c r="K2359" s="1">
        <f>Query1[[#This Row],[SF Running Total]]+Query1[[#This Row],[UNIV Running Total]]</f>
        <v>4007</v>
      </c>
      <c r="L2359">
        <f>VLOOKUP(Query1[[#This Row],[Description]],'kits to boards'!$B$2:$E$156,2,FALSE)</f>
        <v>830028</v>
      </c>
      <c r="M2359">
        <f>VLOOKUP(Query1[[#This Row],[Description]],'kits to boards'!$B$2:$E$156,3,FALSE)</f>
        <v>0</v>
      </c>
      <c r="N2359">
        <f>VLOOKUP(Query1[[#This Row],[Description]],'kits to boards'!$B$2:$E$156,4,FALSE)</f>
        <v>0</v>
      </c>
      <c r="O2359" t="str">
        <f>CONCATENATE(Query1[[#This Row],[Description]]," - ",Query1[[#This Row],[MB1]]," - ",Query1[[#This Row],[MB2]]," - ",Query1[[#This Row],[MB3]])</f>
        <v>EVAP KIT 55-59 CHEV P-UP WO AC W/DELX  - 830028 - 0 - 0</v>
      </c>
    </row>
    <row r="2360" spans="1:15" x14ac:dyDescent="0.25">
      <c r="A2360" s="1">
        <v>915083</v>
      </c>
      <c r="B2360" s="1" t="s">
        <v>70</v>
      </c>
      <c r="C2360" s="1" t="s">
        <v>71</v>
      </c>
      <c r="D2360" s="2">
        <v>44635.659758449074</v>
      </c>
      <c r="E2360" s="1" t="s">
        <v>8</v>
      </c>
      <c r="F2360" s="1">
        <v>1</v>
      </c>
      <c r="G2360" s="1">
        <v>0</v>
      </c>
      <c r="H2360" s="6">
        <f>INT(Query1[[#This Row],[EntryDateTime]])</f>
        <v>44635</v>
      </c>
      <c r="I2360" s="1">
        <f>IF(Query1[[#This Row],[ItemType]]="EVAP KIT SF GEN IV",Query1[[#This Row],[OrderQty]]+I2359,I2359)</f>
        <v>2810</v>
      </c>
      <c r="J2360" s="1">
        <f>IF(Query1[[#This Row],[ItemType]]="EVAP KIT UNIVERSAL",Query1[[#This Row],[OrderQty]]+J2359,J2359)</f>
        <v>1198</v>
      </c>
      <c r="K2360" s="1">
        <f>Query1[[#This Row],[SF Running Total]]+Query1[[#This Row],[UNIV Running Total]]</f>
        <v>4008</v>
      </c>
      <c r="L2360">
        <f>VLOOKUP(Query1[[#This Row],[Description]],'kits to boards'!$B$2:$E$156,2,FALSE)</f>
        <v>830050</v>
      </c>
      <c r="M2360">
        <f>VLOOKUP(Query1[[#This Row],[Description]],'kits to boards'!$B$2:$E$156,3,FALSE)</f>
        <v>0</v>
      </c>
      <c r="N2360">
        <f>VLOOKUP(Query1[[#This Row],[Description]],'kits to boards'!$B$2:$E$156,4,FALSE)</f>
        <v>0</v>
      </c>
      <c r="O2360" t="str">
        <f>CONCATENATE(Query1[[#This Row],[Description]]," - ",Query1[[#This Row],[MB1]]," - ",Query1[[#This Row],[MB2]]," - ",Query1[[#This Row],[MB3]])</f>
        <v>EVAP KIT 70-78 CAMARO WO AC - 830050 - 0 - 0</v>
      </c>
    </row>
    <row r="2361" spans="1:15" x14ac:dyDescent="0.25">
      <c r="A2361" s="1">
        <v>915085</v>
      </c>
      <c r="B2361" s="1" t="s">
        <v>14</v>
      </c>
      <c r="C2361" s="1" t="s">
        <v>15</v>
      </c>
      <c r="D2361" s="2">
        <v>44635.661598067127</v>
      </c>
      <c r="E2361" s="1" t="s">
        <v>8</v>
      </c>
      <c r="F2361" s="1">
        <v>1</v>
      </c>
      <c r="G2361" s="1">
        <v>0</v>
      </c>
      <c r="H2361" s="6">
        <f>INT(Query1[[#This Row],[EntryDateTime]])</f>
        <v>44635</v>
      </c>
      <c r="I2361" s="1">
        <f>IF(Query1[[#This Row],[ItemType]]="EVAP KIT SF GEN IV",Query1[[#This Row],[OrderQty]]+I2360,I2360)</f>
        <v>2811</v>
      </c>
      <c r="J2361" s="1">
        <f>IF(Query1[[#This Row],[ItemType]]="EVAP KIT UNIVERSAL",Query1[[#This Row],[OrderQty]]+J2360,J2360)</f>
        <v>1198</v>
      </c>
      <c r="K2361" s="1">
        <f>Query1[[#This Row],[SF Running Total]]+Query1[[#This Row],[UNIV Running Total]]</f>
        <v>4009</v>
      </c>
      <c r="L2361">
        <f>VLOOKUP(Query1[[#This Row],[Description]],'kits to boards'!$B$2:$E$156,2,FALSE)</f>
        <v>830054</v>
      </c>
      <c r="M2361">
        <f>VLOOKUP(Query1[[#This Row],[Description]],'kits to boards'!$B$2:$E$156,3,FALSE)</f>
        <v>0</v>
      </c>
      <c r="N2361">
        <f>VLOOKUP(Query1[[#This Row],[Description]],'kits to boards'!$B$2:$E$156,4,FALSE)</f>
        <v>0</v>
      </c>
      <c r="O2361" t="str">
        <f>CONCATENATE(Query1[[#This Row],[Description]]," - ",Query1[[#This Row],[MB1]]," - ",Query1[[#This Row],[MB2]]," - ",Query1[[#This Row],[MB3]])</f>
        <v>EVAP KIT 55-56 CHEVY - 830054 - 0 - 0</v>
      </c>
    </row>
    <row r="2362" spans="1:15" x14ac:dyDescent="0.25">
      <c r="A2362" s="1">
        <v>915270</v>
      </c>
      <c r="B2362" s="1" t="s">
        <v>502</v>
      </c>
      <c r="C2362" s="1" t="s">
        <v>503</v>
      </c>
      <c r="D2362" s="2">
        <v>44635.667764930557</v>
      </c>
      <c r="E2362" s="1" t="s">
        <v>677</v>
      </c>
      <c r="F2362" s="1">
        <v>1</v>
      </c>
      <c r="G2362" s="1">
        <v>0</v>
      </c>
      <c r="H2362" s="6">
        <f>INT(Query1[[#This Row],[EntryDateTime]])</f>
        <v>44635</v>
      </c>
      <c r="I2362" s="1">
        <f>IF(Query1[[#This Row],[ItemType]]="EVAP KIT SF GEN IV",Query1[[#This Row],[OrderQty]]+I2361,I2361)</f>
        <v>2811</v>
      </c>
      <c r="J2362" s="1">
        <f>IF(Query1[[#This Row],[ItemType]]="EVAP KIT UNIVERSAL",Query1[[#This Row],[OrderQty]]+J2361,J2361)</f>
        <v>1198</v>
      </c>
      <c r="K2362" s="1">
        <f>Query1[[#This Row],[SF Running Total]]+Query1[[#This Row],[UNIV Running Total]]</f>
        <v>4009</v>
      </c>
      <c r="L2362" t="e">
        <f>VLOOKUP(Query1[[#This Row],[Description]],'kits to boards'!$B$2:$E$156,2,FALSE)</f>
        <v>#N/A</v>
      </c>
      <c r="M2362" t="e">
        <f>VLOOKUP(Query1[[#This Row],[Description]],'kits to boards'!$B$2:$E$156,3,FALSE)</f>
        <v>#N/A</v>
      </c>
      <c r="N2362" t="e">
        <f>VLOOKUP(Query1[[#This Row],[Description]],'kits to boards'!$B$2:$E$156,4,FALSE)</f>
        <v>#N/A</v>
      </c>
      <c r="O2362" t="e">
        <f>CONCATENATE(Query1[[#This Row],[Description]]," - ",Query1[[#This Row],[MB1]]," - ",Query1[[#This Row],[MB2]]," - ",Query1[[#This Row],[MB3]])</f>
        <v>#N/A</v>
      </c>
    </row>
    <row r="2363" spans="1:15" x14ac:dyDescent="0.25">
      <c r="A2363" s="1">
        <v>915258</v>
      </c>
      <c r="B2363" s="1" t="s">
        <v>74</v>
      </c>
      <c r="C2363" s="1" t="s">
        <v>75</v>
      </c>
      <c r="D2363" s="2">
        <v>44635.680924039349</v>
      </c>
      <c r="E2363" s="1" t="s">
        <v>8</v>
      </c>
      <c r="F2363" s="1">
        <v>1</v>
      </c>
      <c r="G2363" s="1">
        <v>0</v>
      </c>
      <c r="H2363" s="6">
        <f>INT(Query1[[#This Row],[EntryDateTime]])</f>
        <v>44635</v>
      </c>
      <c r="I2363" s="1">
        <f>IF(Query1[[#This Row],[ItemType]]="EVAP KIT SF GEN IV",Query1[[#This Row],[OrderQty]]+I2362,I2362)</f>
        <v>2812</v>
      </c>
      <c r="J2363" s="1">
        <f>IF(Query1[[#This Row],[ItemType]]="EVAP KIT UNIVERSAL",Query1[[#This Row],[OrderQty]]+J2362,J2362)</f>
        <v>1198</v>
      </c>
      <c r="K2363" s="1">
        <f>Query1[[#This Row],[SF Running Total]]+Query1[[#This Row],[UNIV Running Total]]</f>
        <v>4010</v>
      </c>
      <c r="L2363">
        <f>VLOOKUP(Query1[[#This Row],[Description]],'kits to boards'!$B$2:$E$156,2,FALSE)</f>
        <v>830065</v>
      </c>
      <c r="M2363">
        <f>VLOOKUP(Query1[[#This Row],[Description]],'kits to boards'!$B$2:$E$156,3,FALSE)</f>
        <v>0</v>
      </c>
      <c r="N2363">
        <f>VLOOKUP(Query1[[#This Row],[Description]],'kits to boards'!$B$2:$E$156,4,FALSE)</f>
        <v>0</v>
      </c>
      <c r="O2363" t="str">
        <f>CONCATENATE(Query1[[#This Row],[Description]]," - ",Query1[[#This Row],[MB1]]," - ",Query1[[#This Row],[MB2]]," - ",Query1[[#This Row],[MB3]])</f>
        <v>EVAP KIT 57 CHEV WO AC 4-VENT PLENUM - 830065 - 0 - 0</v>
      </c>
    </row>
    <row r="2364" spans="1:15" x14ac:dyDescent="0.25">
      <c r="A2364" s="1">
        <v>915258</v>
      </c>
      <c r="B2364" s="1" t="s">
        <v>30</v>
      </c>
      <c r="C2364" s="1" t="s">
        <v>31</v>
      </c>
      <c r="D2364" s="2">
        <v>44635.680924039349</v>
      </c>
      <c r="E2364" s="1" t="s">
        <v>8</v>
      </c>
      <c r="F2364" s="1">
        <v>1</v>
      </c>
      <c r="G2364" s="1">
        <v>0</v>
      </c>
      <c r="H2364" s="6">
        <f>INT(Query1[[#This Row],[EntryDateTime]])</f>
        <v>44635</v>
      </c>
      <c r="I2364" s="1">
        <f>IF(Query1[[#This Row],[ItemType]]="EVAP KIT SF GEN IV",Query1[[#This Row],[OrderQty]]+I2363,I2363)</f>
        <v>2813</v>
      </c>
      <c r="J2364" s="1">
        <f>IF(Query1[[#This Row],[ItemType]]="EVAP KIT UNIVERSAL",Query1[[#This Row],[OrderQty]]+J2363,J2363)</f>
        <v>1198</v>
      </c>
      <c r="K2364" s="1">
        <f>Query1[[#This Row],[SF Running Total]]+Query1[[#This Row],[UNIV Running Total]]</f>
        <v>4011</v>
      </c>
      <c r="L2364">
        <f>VLOOKUP(Query1[[#This Row],[Description]],'kits to boards'!$B$2:$E$156,2,FALSE)</f>
        <v>830054</v>
      </c>
      <c r="M2364">
        <f>VLOOKUP(Query1[[#This Row],[Description]],'kits to boards'!$B$2:$E$156,3,FALSE)</f>
        <v>0</v>
      </c>
      <c r="N2364">
        <f>VLOOKUP(Query1[[#This Row],[Description]],'kits to boards'!$B$2:$E$156,4,FALSE)</f>
        <v>0</v>
      </c>
      <c r="O2364" t="str">
        <f>CONCATENATE(Query1[[#This Row],[Description]]," - ",Query1[[#This Row],[MB1]]," - ",Query1[[#This Row],[MB2]]," - ",Query1[[#This Row],[MB3]])</f>
        <v>EVAP KIT 55-56 CHEVY 4-VENT - 830054 - 0 - 0</v>
      </c>
    </row>
    <row r="2365" spans="1:15" x14ac:dyDescent="0.25">
      <c r="A2365" s="1">
        <v>915249</v>
      </c>
      <c r="B2365" s="1" t="s">
        <v>42</v>
      </c>
      <c r="C2365" s="1" t="s">
        <v>43</v>
      </c>
      <c r="D2365" s="2">
        <v>44635.702085648147</v>
      </c>
      <c r="E2365" s="1" t="s">
        <v>8</v>
      </c>
      <c r="F2365" s="1">
        <v>1</v>
      </c>
      <c r="G2365" s="1">
        <v>0</v>
      </c>
      <c r="H2365" s="6">
        <f>INT(Query1[[#This Row],[EntryDateTime]])</f>
        <v>44635</v>
      </c>
      <c r="I2365" s="1">
        <f>IF(Query1[[#This Row],[ItemType]]="EVAP KIT SF GEN IV",Query1[[#This Row],[OrderQty]]+I2364,I2364)</f>
        <v>2814</v>
      </c>
      <c r="J2365" s="1">
        <f>IF(Query1[[#This Row],[ItemType]]="EVAP KIT UNIVERSAL",Query1[[#This Row],[OrderQty]]+J2364,J2364)</f>
        <v>1198</v>
      </c>
      <c r="K2365" s="1">
        <f>Query1[[#This Row],[SF Running Total]]+Query1[[#This Row],[UNIV Running Total]]</f>
        <v>4012</v>
      </c>
      <c r="L2365">
        <f>VLOOKUP(Query1[[#This Row],[Description]],'kits to boards'!$B$2:$E$156,2,FALSE)</f>
        <v>830014</v>
      </c>
      <c r="M2365">
        <f>VLOOKUP(Query1[[#This Row],[Description]],'kits to boards'!$B$2:$E$156,3,FALSE)</f>
        <v>0</v>
      </c>
      <c r="N2365">
        <f>VLOOKUP(Query1[[#This Row],[Description]],'kits to boards'!$B$2:$E$156,4,FALSE)</f>
        <v>0</v>
      </c>
      <c r="O2365" t="str">
        <f>CONCATENATE(Query1[[#This Row],[Description]]," - ",Query1[[#This Row],[MB1]]," - ",Query1[[#This Row],[MB2]]," - ",Query1[[#This Row],[MB3]])</f>
        <v>EVAP KIT 67-72 CHEV P-UP WO AC - 830014 - 0 - 0</v>
      </c>
    </row>
    <row r="2366" spans="1:15" x14ac:dyDescent="0.25">
      <c r="A2366" s="1">
        <v>915281</v>
      </c>
      <c r="B2366" s="1" t="s">
        <v>14</v>
      </c>
      <c r="C2366" s="1" t="s">
        <v>15</v>
      </c>
      <c r="D2366" s="2">
        <v>44635.708903275467</v>
      </c>
      <c r="E2366" s="1" t="s">
        <v>8</v>
      </c>
      <c r="F2366" s="1">
        <v>1</v>
      </c>
      <c r="G2366" s="1">
        <v>0</v>
      </c>
      <c r="H2366" s="6">
        <f>INT(Query1[[#This Row],[EntryDateTime]])</f>
        <v>44635</v>
      </c>
      <c r="I2366" s="1">
        <f>IF(Query1[[#This Row],[ItemType]]="EVAP KIT SF GEN IV",Query1[[#This Row],[OrderQty]]+I2365,I2365)</f>
        <v>2815</v>
      </c>
      <c r="J2366" s="1">
        <f>IF(Query1[[#This Row],[ItemType]]="EVAP KIT UNIVERSAL",Query1[[#This Row],[OrderQty]]+J2365,J2365)</f>
        <v>1198</v>
      </c>
      <c r="K2366" s="1">
        <f>Query1[[#This Row],[SF Running Total]]+Query1[[#This Row],[UNIV Running Total]]</f>
        <v>4013</v>
      </c>
      <c r="L2366">
        <f>VLOOKUP(Query1[[#This Row],[Description]],'kits to boards'!$B$2:$E$156,2,FALSE)</f>
        <v>830054</v>
      </c>
      <c r="M2366">
        <f>VLOOKUP(Query1[[#This Row],[Description]],'kits to boards'!$B$2:$E$156,3,FALSE)</f>
        <v>0</v>
      </c>
      <c r="N2366">
        <f>VLOOKUP(Query1[[#This Row],[Description]],'kits to boards'!$B$2:$E$156,4,FALSE)</f>
        <v>0</v>
      </c>
      <c r="O2366" t="str">
        <f>CONCATENATE(Query1[[#This Row],[Description]]," - ",Query1[[#This Row],[MB1]]," - ",Query1[[#This Row],[MB2]]," - ",Query1[[#This Row],[MB3]])</f>
        <v>EVAP KIT 55-56 CHEVY - 830054 - 0 - 0</v>
      </c>
    </row>
    <row r="2367" spans="1:15" x14ac:dyDescent="0.25">
      <c r="A2367" s="1">
        <v>915264</v>
      </c>
      <c r="B2367" s="1" t="s">
        <v>94</v>
      </c>
      <c r="C2367" s="1" t="s">
        <v>95</v>
      </c>
      <c r="D2367" s="2">
        <v>44636.321314236113</v>
      </c>
      <c r="E2367" s="1" t="s">
        <v>8</v>
      </c>
      <c r="F2367" s="1">
        <v>1</v>
      </c>
      <c r="G2367" s="1">
        <v>0</v>
      </c>
      <c r="H2367" s="6">
        <f>INT(Query1[[#This Row],[EntryDateTime]])</f>
        <v>44636</v>
      </c>
      <c r="I2367" s="1">
        <f>IF(Query1[[#This Row],[ItemType]]="EVAP KIT SF GEN IV",Query1[[#This Row],[OrderQty]]+I2366,I2366)</f>
        <v>2816</v>
      </c>
      <c r="J2367" s="1">
        <f>IF(Query1[[#This Row],[ItemType]]="EVAP KIT UNIVERSAL",Query1[[#This Row],[OrderQty]]+J2366,J2366)</f>
        <v>1198</v>
      </c>
      <c r="K2367" s="1">
        <f>Query1[[#This Row],[SF Running Total]]+Query1[[#This Row],[UNIV Running Total]]</f>
        <v>4014</v>
      </c>
      <c r="L2367">
        <f>VLOOKUP(Query1[[#This Row],[Description]],'kits to boards'!$B$2:$E$156,2,FALSE)</f>
        <v>830076</v>
      </c>
      <c r="M2367">
        <f>VLOOKUP(Query1[[#This Row],[Description]],'kits to boards'!$B$2:$E$156,3,FALSE)</f>
        <v>0</v>
      </c>
      <c r="N2367">
        <f>VLOOKUP(Query1[[#This Row],[Description]],'kits to boards'!$B$2:$E$156,4,FALSE)</f>
        <v>0</v>
      </c>
      <c r="O2367" t="str">
        <f>CONCATENATE(Query1[[#This Row],[Description]]," - ",Query1[[#This Row],[MB1]]," - ",Query1[[#This Row],[MB2]]," - ",Query1[[#This Row],[MB3]])</f>
        <v>EVAP KIT 64 1/2- 66 MUSTANG  - 830076 - 0 - 0</v>
      </c>
    </row>
    <row r="2368" spans="1:15" x14ac:dyDescent="0.25">
      <c r="A2368" s="1">
        <v>915287</v>
      </c>
      <c r="B2368" s="1" t="s">
        <v>140</v>
      </c>
      <c r="C2368" s="1" t="s">
        <v>141</v>
      </c>
      <c r="D2368" s="2">
        <v>44636.322661377315</v>
      </c>
      <c r="E2368" s="1" t="s">
        <v>8</v>
      </c>
      <c r="F2368" s="1">
        <v>1</v>
      </c>
      <c r="G2368" s="1">
        <v>0</v>
      </c>
      <c r="H2368" s="6">
        <f>INT(Query1[[#This Row],[EntryDateTime]])</f>
        <v>44636</v>
      </c>
      <c r="I2368" s="1">
        <f>IF(Query1[[#This Row],[ItemType]]="EVAP KIT SF GEN IV",Query1[[#This Row],[OrderQty]]+I2367,I2367)</f>
        <v>2817</v>
      </c>
      <c r="J2368" s="1">
        <f>IF(Query1[[#This Row],[ItemType]]="EVAP KIT UNIVERSAL",Query1[[#This Row],[OrderQty]]+J2367,J2367)</f>
        <v>1198</v>
      </c>
      <c r="K2368" s="1">
        <f>Query1[[#This Row],[SF Running Total]]+Query1[[#This Row],[UNIV Running Total]]</f>
        <v>4015</v>
      </c>
      <c r="L2368">
        <f>VLOOKUP(Query1[[#This Row],[Description]],'kits to boards'!$B$2:$E$156,2,FALSE)</f>
        <v>830066</v>
      </c>
      <c r="M2368">
        <f>VLOOKUP(Query1[[#This Row],[Description]],'kits to boards'!$B$2:$E$156,3,FALSE)</f>
        <v>0</v>
      </c>
      <c r="N2368">
        <f>VLOOKUP(Query1[[#This Row],[Description]],'kits to boards'!$B$2:$E$156,4,FALSE)</f>
        <v>0</v>
      </c>
      <c r="O2368" t="str">
        <f>CONCATENATE(Query1[[#This Row],[Description]]," - ",Query1[[#This Row],[MB1]]," - ",Query1[[#This Row],[MB2]]," - ",Query1[[#This Row],[MB3]])</f>
        <v>EVAP KIT 60-63 CHEV P-UP WO AC - 830066 - 0 - 0</v>
      </c>
    </row>
    <row r="2369" spans="1:15" x14ac:dyDescent="0.25">
      <c r="A2369" s="1">
        <v>915287</v>
      </c>
      <c r="B2369" s="1" t="s">
        <v>30</v>
      </c>
      <c r="C2369" s="1" t="s">
        <v>31</v>
      </c>
      <c r="D2369" s="2">
        <v>44636.322781944444</v>
      </c>
      <c r="E2369" s="1" t="s">
        <v>8</v>
      </c>
      <c r="F2369" s="1">
        <v>1</v>
      </c>
      <c r="G2369" s="1">
        <v>0</v>
      </c>
      <c r="H2369" s="6">
        <f>INT(Query1[[#This Row],[EntryDateTime]])</f>
        <v>44636</v>
      </c>
      <c r="I2369" s="1">
        <f>IF(Query1[[#This Row],[ItemType]]="EVAP KIT SF GEN IV",Query1[[#This Row],[OrderQty]]+I2368,I2368)</f>
        <v>2818</v>
      </c>
      <c r="J2369" s="1">
        <f>IF(Query1[[#This Row],[ItemType]]="EVAP KIT UNIVERSAL",Query1[[#This Row],[OrderQty]]+J2368,J2368)</f>
        <v>1198</v>
      </c>
      <c r="K2369" s="1">
        <f>Query1[[#This Row],[SF Running Total]]+Query1[[#This Row],[UNIV Running Total]]</f>
        <v>4016</v>
      </c>
      <c r="L2369">
        <f>VLOOKUP(Query1[[#This Row],[Description]],'kits to boards'!$B$2:$E$156,2,FALSE)</f>
        <v>830054</v>
      </c>
      <c r="M2369">
        <f>VLOOKUP(Query1[[#This Row],[Description]],'kits to boards'!$B$2:$E$156,3,FALSE)</f>
        <v>0</v>
      </c>
      <c r="N2369">
        <f>VLOOKUP(Query1[[#This Row],[Description]],'kits to boards'!$B$2:$E$156,4,FALSE)</f>
        <v>0</v>
      </c>
      <c r="O2369" t="str">
        <f>CONCATENATE(Query1[[#This Row],[Description]]," - ",Query1[[#This Row],[MB1]]," - ",Query1[[#This Row],[MB2]]," - ",Query1[[#This Row],[MB3]])</f>
        <v>EVAP KIT 55-56 CHEVY 4-VENT - 830054 - 0 - 0</v>
      </c>
    </row>
    <row r="2370" spans="1:15" x14ac:dyDescent="0.25">
      <c r="A2370" s="1">
        <v>915287</v>
      </c>
      <c r="B2370" s="1" t="s">
        <v>24</v>
      </c>
      <c r="C2370" s="1" t="s">
        <v>25</v>
      </c>
      <c r="D2370" s="2">
        <v>44636.323288391206</v>
      </c>
      <c r="E2370" s="1" t="s">
        <v>11</v>
      </c>
      <c r="F2370" s="1">
        <v>2</v>
      </c>
      <c r="G2370" s="1">
        <v>0</v>
      </c>
      <c r="H2370" s="6">
        <f>INT(Query1[[#This Row],[EntryDateTime]])</f>
        <v>44636</v>
      </c>
      <c r="I2370" s="1">
        <f>IF(Query1[[#This Row],[ItemType]]="EVAP KIT SF GEN IV",Query1[[#This Row],[OrderQty]]+I2369,I2369)</f>
        <v>2818</v>
      </c>
      <c r="J2370" s="1">
        <f>IF(Query1[[#This Row],[ItemType]]="EVAP KIT UNIVERSAL",Query1[[#This Row],[OrderQty]]+J2369,J2369)</f>
        <v>1200</v>
      </c>
      <c r="K2370" s="1">
        <f>Query1[[#This Row],[SF Running Total]]+Query1[[#This Row],[UNIV Running Total]]</f>
        <v>4018</v>
      </c>
      <c r="L2370">
        <f>VLOOKUP(Query1[[#This Row],[Description]],'kits to boards'!$B$2:$E$156,2,FALSE)</f>
        <v>830029</v>
      </c>
      <c r="M2370">
        <f>VLOOKUP(Query1[[#This Row],[Description]],'kits to boards'!$B$2:$E$156,3,FALSE)</f>
        <v>830030</v>
      </c>
      <c r="N2370">
        <f>VLOOKUP(Query1[[#This Row],[Description]],'kits to boards'!$B$2:$E$156,4,FALSE)</f>
        <v>0</v>
      </c>
      <c r="O2370" t="str">
        <f>CONCATENATE(Query1[[#This Row],[Description]]," - ",Query1[[#This Row],[MB1]]," - ",Query1[[#This Row],[MB2]]," - ",Query1[[#This Row],[MB3]])</f>
        <v>ComPac GEN II W/DEF - 830029 - 830030 - 0</v>
      </c>
    </row>
    <row r="2371" spans="1:15" x14ac:dyDescent="0.25">
      <c r="A2371" s="1">
        <v>915287</v>
      </c>
      <c r="B2371" s="1" t="s">
        <v>68</v>
      </c>
      <c r="C2371" s="1" t="s">
        <v>69</v>
      </c>
      <c r="D2371" s="2">
        <v>44636.323698113425</v>
      </c>
      <c r="E2371" s="1" t="s">
        <v>8</v>
      </c>
      <c r="F2371" s="1">
        <v>1</v>
      </c>
      <c r="G2371" s="1">
        <v>0</v>
      </c>
      <c r="H2371" s="6">
        <f>INT(Query1[[#This Row],[EntryDateTime]])</f>
        <v>44636</v>
      </c>
      <c r="I2371" s="1">
        <f>IF(Query1[[#This Row],[ItemType]]="EVAP KIT SF GEN IV",Query1[[#This Row],[OrderQty]]+I2370,I2370)</f>
        <v>2819</v>
      </c>
      <c r="J2371" s="1">
        <f>IF(Query1[[#This Row],[ItemType]]="EVAP KIT UNIVERSAL",Query1[[#This Row],[OrderQty]]+J2370,J2370)</f>
        <v>1200</v>
      </c>
      <c r="K2371" s="1">
        <f>Query1[[#This Row],[SF Running Total]]+Query1[[#This Row],[UNIV Running Total]]</f>
        <v>4019</v>
      </c>
      <c r="L2371">
        <f>VLOOKUP(Query1[[#This Row],[Description]],'kits to boards'!$B$2:$E$156,2,FALSE)</f>
        <v>830010</v>
      </c>
      <c r="M2371">
        <f>VLOOKUP(Query1[[#This Row],[Description]],'kits to boards'!$B$2:$E$156,3,FALSE)</f>
        <v>0</v>
      </c>
      <c r="N2371">
        <f>VLOOKUP(Query1[[#This Row],[Description]],'kits to boards'!$B$2:$E$156,4,FALSE)</f>
        <v>0</v>
      </c>
      <c r="O2371" t="str">
        <f>CONCATENATE(Query1[[#This Row],[Description]]," - ",Query1[[#This Row],[MB1]]," - ",Query1[[#This Row],[MB2]]," - ",Query1[[#This Row],[MB3]])</f>
        <v>EVAP KIT 70-72 CHEVELLE WO AC - 830010 - 0 - 0</v>
      </c>
    </row>
    <row r="2372" spans="1:15" x14ac:dyDescent="0.25">
      <c r="A2372" s="1">
        <v>915287</v>
      </c>
      <c r="B2372" s="1" t="s">
        <v>98</v>
      </c>
      <c r="C2372" s="1" t="s">
        <v>99</v>
      </c>
      <c r="D2372" s="2">
        <v>44636.323866435188</v>
      </c>
      <c r="E2372" s="1" t="s">
        <v>11</v>
      </c>
      <c r="F2372" s="1">
        <v>2</v>
      </c>
      <c r="G2372" s="1">
        <v>0</v>
      </c>
      <c r="H2372" s="6">
        <f>INT(Query1[[#This Row],[EntryDateTime]])</f>
        <v>44636</v>
      </c>
      <c r="I2372" s="1">
        <f>IF(Query1[[#This Row],[ItemType]]="EVAP KIT SF GEN IV",Query1[[#This Row],[OrderQty]]+I2371,I2371)</f>
        <v>2819</v>
      </c>
      <c r="J2372" s="1">
        <f>IF(Query1[[#This Row],[ItemType]]="EVAP KIT UNIVERSAL",Query1[[#This Row],[OrderQty]]+J2371,J2371)</f>
        <v>1202</v>
      </c>
      <c r="K2372" s="1">
        <f>Query1[[#This Row],[SF Running Total]]+Query1[[#This Row],[UNIV Running Total]]</f>
        <v>4021</v>
      </c>
      <c r="L2372">
        <f>VLOOKUP(Query1[[#This Row],[Description]],'kits to boards'!$B$2:$E$156,2,FALSE)</f>
        <v>830099</v>
      </c>
      <c r="M2372">
        <f>VLOOKUP(Query1[[#This Row],[Description]],'kits to boards'!$B$2:$E$156,3,FALSE)</f>
        <v>0</v>
      </c>
      <c r="N2372">
        <f>VLOOKUP(Query1[[#This Row],[Description]],'kits to boards'!$B$2:$E$156,4,FALSE)</f>
        <v>0</v>
      </c>
      <c r="O2372" t="str">
        <f>CONCATENATE(Query1[[#This Row],[Description]]," - ",Query1[[#This Row],[MB1]]," - ",Query1[[#This Row],[MB2]]," - ",Query1[[#This Row],[MB3]])</f>
        <v>MINI GEN II W/DEF - 830099 - 0 - 0</v>
      </c>
    </row>
    <row r="2373" spans="1:15" x14ac:dyDescent="0.25">
      <c r="A2373" s="1">
        <v>915287</v>
      </c>
      <c r="B2373" s="1" t="s">
        <v>22</v>
      </c>
      <c r="C2373" s="1" t="s">
        <v>23</v>
      </c>
      <c r="D2373" s="2">
        <v>44636.324021296299</v>
      </c>
      <c r="E2373" s="1" t="s">
        <v>8</v>
      </c>
      <c r="F2373" s="1">
        <v>2</v>
      </c>
      <c r="G2373" s="1">
        <v>0</v>
      </c>
      <c r="H2373" s="6">
        <f>INT(Query1[[#This Row],[EntryDateTime]])</f>
        <v>44636</v>
      </c>
      <c r="I2373" s="1">
        <f>IF(Query1[[#This Row],[ItemType]]="EVAP KIT SF GEN IV",Query1[[#This Row],[OrderQty]]+I2372,I2372)</f>
        <v>2821</v>
      </c>
      <c r="J2373" s="1">
        <f>IF(Query1[[#This Row],[ItemType]]="EVAP KIT UNIVERSAL",Query1[[#This Row],[OrderQty]]+J2372,J2372)</f>
        <v>1202</v>
      </c>
      <c r="K2373" s="1">
        <f>Query1[[#This Row],[SF Running Total]]+Query1[[#This Row],[UNIV Running Total]]</f>
        <v>4023</v>
      </c>
      <c r="L2373">
        <f>VLOOKUP(Query1[[#This Row],[Description]],'kits to boards'!$B$2:$E$156,2,FALSE)</f>
        <v>830083</v>
      </c>
      <c r="M2373">
        <f>VLOOKUP(Query1[[#This Row],[Description]],'kits to boards'!$B$2:$E$156,3,FALSE)</f>
        <v>0</v>
      </c>
      <c r="N2373">
        <f>VLOOKUP(Query1[[#This Row],[Description]],'kits to boards'!$B$2:$E$156,4,FALSE)</f>
        <v>0</v>
      </c>
      <c r="O2373" t="str">
        <f>CONCATENATE(Query1[[#This Row],[Description]]," - ",Query1[[#This Row],[MB1]]," - ",Query1[[#This Row],[MB2]]," - ",Query1[[#This Row],[MB3]])</f>
        <v>GEN IV MAGNUM EVAP KIT - 830083 - 0 - 0</v>
      </c>
    </row>
    <row r="2374" spans="1:15" x14ac:dyDescent="0.25">
      <c r="A2374" s="1">
        <v>915294</v>
      </c>
      <c r="B2374" s="1" t="s">
        <v>54</v>
      </c>
      <c r="C2374" s="1" t="s">
        <v>55</v>
      </c>
      <c r="D2374" s="2">
        <v>44636.333489814817</v>
      </c>
      <c r="E2374" s="1" t="s">
        <v>8</v>
      </c>
      <c r="F2374" s="1">
        <v>1</v>
      </c>
      <c r="G2374" s="1">
        <v>0</v>
      </c>
      <c r="H2374" s="6">
        <f>INT(Query1[[#This Row],[EntryDateTime]])</f>
        <v>44636</v>
      </c>
      <c r="I2374" s="1">
        <f>IF(Query1[[#This Row],[ItemType]]="EVAP KIT SF GEN IV",Query1[[#This Row],[OrderQty]]+I2373,I2373)</f>
        <v>2822</v>
      </c>
      <c r="J2374" s="1">
        <f>IF(Query1[[#This Row],[ItemType]]="EVAP KIT UNIVERSAL",Query1[[#This Row],[OrderQty]]+J2373,J2373)</f>
        <v>1202</v>
      </c>
      <c r="K2374" s="1">
        <f>Query1[[#This Row],[SF Running Total]]+Query1[[#This Row],[UNIV Running Total]]</f>
        <v>4024</v>
      </c>
      <c r="L2374">
        <f>VLOOKUP(Query1[[#This Row],[Description]],'kits to boards'!$B$2:$E$156,2,FALSE)</f>
        <v>830037</v>
      </c>
      <c r="M2374">
        <f>VLOOKUP(Query1[[#This Row],[Description]],'kits to boards'!$B$2:$E$156,3,FALSE)</f>
        <v>0</v>
      </c>
      <c r="N2374">
        <f>VLOOKUP(Query1[[#This Row],[Description]],'kits to boards'!$B$2:$E$156,4,FALSE)</f>
        <v>0</v>
      </c>
      <c r="O2374" t="str">
        <f>CONCATENATE(Query1[[#This Row],[Description]]," - ",Query1[[#This Row],[MB1]]," - ",Query1[[#This Row],[MB2]]," - ",Query1[[#This Row],[MB3]])</f>
        <v>EVAP KIT 70-81 FIREBIRD W/AC - 830037 - 0 - 0</v>
      </c>
    </row>
    <row r="2375" spans="1:15" x14ac:dyDescent="0.25">
      <c r="A2375" s="1">
        <v>915298</v>
      </c>
      <c r="B2375" s="1" t="s">
        <v>42</v>
      </c>
      <c r="C2375" s="1" t="s">
        <v>43</v>
      </c>
      <c r="D2375" s="2">
        <v>44636.338768865739</v>
      </c>
      <c r="E2375" s="1" t="s">
        <v>8</v>
      </c>
      <c r="F2375" s="1">
        <v>1</v>
      </c>
      <c r="G2375" s="1">
        <v>0</v>
      </c>
      <c r="H2375" s="6">
        <f>INT(Query1[[#This Row],[EntryDateTime]])</f>
        <v>44636</v>
      </c>
      <c r="I2375" s="1">
        <f>IF(Query1[[#This Row],[ItemType]]="EVAP KIT SF GEN IV",Query1[[#This Row],[OrderQty]]+I2374,I2374)</f>
        <v>2823</v>
      </c>
      <c r="J2375" s="1">
        <f>IF(Query1[[#This Row],[ItemType]]="EVAP KIT UNIVERSAL",Query1[[#This Row],[OrderQty]]+J2374,J2374)</f>
        <v>1202</v>
      </c>
      <c r="K2375" s="1">
        <f>Query1[[#This Row],[SF Running Total]]+Query1[[#This Row],[UNIV Running Total]]</f>
        <v>4025</v>
      </c>
      <c r="L2375">
        <f>VLOOKUP(Query1[[#This Row],[Description]],'kits to boards'!$B$2:$E$156,2,FALSE)</f>
        <v>830014</v>
      </c>
      <c r="M2375">
        <f>VLOOKUP(Query1[[#This Row],[Description]],'kits to boards'!$B$2:$E$156,3,FALSE)</f>
        <v>0</v>
      </c>
      <c r="N2375">
        <f>VLOOKUP(Query1[[#This Row],[Description]],'kits to boards'!$B$2:$E$156,4,FALSE)</f>
        <v>0</v>
      </c>
      <c r="O2375" t="str">
        <f>CONCATENATE(Query1[[#This Row],[Description]]," - ",Query1[[#This Row],[MB1]]," - ",Query1[[#This Row],[MB2]]," - ",Query1[[#This Row],[MB3]])</f>
        <v>EVAP KIT 67-72 CHEV P-UP WO AC - 830014 - 0 - 0</v>
      </c>
    </row>
    <row r="2376" spans="1:15" x14ac:dyDescent="0.25">
      <c r="A2376" s="1">
        <v>915301</v>
      </c>
      <c r="B2376" s="1" t="s">
        <v>44</v>
      </c>
      <c r="C2376" s="1" t="s">
        <v>45</v>
      </c>
      <c r="D2376" s="2">
        <v>44636.344965011573</v>
      </c>
      <c r="E2376" s="1" t="s">
        <v>8</v>
      </c>
      <c r="F2376" s="1">
        <v>1</v>
      </c>
      <c r="G2376" s="1">
        <v>0</v>
      </c>
      <c r="H2376" s="6">
        <f>INT(Query1[[#This Row],[EntryDateTime]])</f>
        <v>44636</v>
      </c>
      <c r="I2376" s="1">
        <f>IF(Query1[[#This Row],[ItemType]]="EVAP KIT SF GEN IV",Query1[[#This Row],[OrderQty]]+I2375,I2375)</f>
        <v>2824</v>
      </c>
      <c r="J2376" s="1">
        <f>IF(Query1[[#This Row],[ItemType]]="EVAP KIT UNIVERSAL",Query1[[#This Row],[OrderQty]]+J2375,J2375)</f>
        <v>1202</v>
      </c>
      <c r="K2376" s="1">
        <f>Query1[[#This Row],[SF Running Total]]+Query1[[#This Row],[UNIV Running Total]]</f>
        <v>4026</v>
      </c>
      <c r="L2376">
        <f>VLOOKUP(Query1[[#This Row],[Description]],'kits to boards'!$B$2:$E$156,2,FALSE)</f>
        <v>830085</v>
      </c>
      <c r="M2376">
        <f>VLOOKUP(Query1[[#This Row],[Description]],'kits to boards'!$B$2:$E$156,3,FALSE)</f>
        <v>0</v>
      </c>
      <c r="N2376">
        <f>VLOOKUP(Query1[[#This Row],[Description]],'kits to boards'!$B$2:$E$156,4,FALSE)</f>
        <v>0</v>
      </c>
      <c r="O2376" t="str">
        <f>CONCATENATE(Query1[[#This Row],[Description]]," - ",Query1[[#This Row],[MB1]]," - ",Query1[[#This Row],[MB2]]," - ",Query1[[#This Row],[MB3]])</f>
        <v>EVAP KIT 66-77 BRONCO - 830085 - 0 - 0</v>
      </c>
    </row>
    <row r="2377" spans="1:15" x14ac:dyDescent="0.25">
      <c r="A2377" s="1">
        <v>915307</v>
      </c>
      <c r="B2377" s="1" t="s">
        <v>52</v>
      </c>
      <c r="C2377" s="1" t="s">
        <v>53</v>
      </c>
      <c r="D2377" s="2">
        <v>44636.35572777778</v>
      </c>
      <c r="E2377" s="1" t="s">
        <v>8</v>
      </c>
      <c r="F2377" s="1">
        <v>1</v>
      </c>
      <c r="G2377" s="1">
        <v>0</v>
      </c>
      <c r="H2377" s="6">
        <f>INT(Query1[[#This Row],[EntryDateTime]])</f>
        <v>44636</v>
      </c>
      <c r="I2377" s="1">
        <f>IF(Query1[[#This Row],[ItemType]]="EVAP KIT SF GEN IV",Query1[[#This Row],[OrderQty]]+I2376,I2376)</f>
        <v>2825</v>
      </c>
      <c r="J2377" s="1">
        <f>IF(Query1[[#This Row],[ItemType]]="EVAP KIT UNIVERSAL",Query1[[#This Row],[OrderQty]]+J2376,J2376)</f>
        <v>1202</v>
      </c>
      <c r="K2377" s="1">
        <f>Query1[[#This Row],[SF Running Total]]+Query1[[#This Row],[UNIV Running Total]]</f>
        <v>4027</v>
      </c>
      <c r="L2377">
        <f>VLOOKUP(Query1[[#This Row],[Description]],'kits to boards'!$B$2:$E$156,2,FALSE)</f>
        <v>830017</v>
      </c>
      <c r="M2377">
        <f>VLOOKUP(Query1[[#This Row],[Description]],'kits to boards'!$B$2:$E$156,3,FALSE)</f>
        <v>830119</v>
      </c>
      <c r="N2377">
        <f>VLOOKUP(Query1[[#This Row],[Description]],'kits to boards'!$B$2:$E$156,4,FALSE)</f>
        <v>830120</v>
      </c>
      <c r="O2377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2378" spans="1:15" x14ac:dyDescent="0.25">
      <c r="A2378" s="1">
        <v>915317</v>
      </c>
      <c r="B2378" s="1" t="s">
        <v>66</v>
      </c>
      <c r="C2378" s="1" t="s">
        <v>67</v>
      </c>
      <c r="D2378" s="2">
        <v>44636.372297650465</v>
      </c>
      <c r="E2378" s="1" t="s">
        <v>8</v>
      </c>
      <c r="F2378" s="1">
        <v>1</v>
      </c>
      <c r="G2378" s="1">
        <v>0</v>
      </c>
      <c r="H2378" s="6">
        <f>INT(Query1[[#This Row],[EntryDateTime]])</f>
        <v>44636</v>
      </c>
      <c r="I2378" s="1">
        <f>IF(Query1[[#This Row],[ItemType]]="EVAP KIT SF GEN IV",Query1[[#This Row],[OrderQty]]+I2377,I2377)</f>
        <v>2826</v>
      </c>
      <c r="J2378" s="1">
        <f>IF(Query1[[#This Row],[ItemType]]="EVAP KIT UNIVERSAL",Query1[[#This Row],[OrderQty]]+J2377,J2377)</f>
        <v>1202</v>
      </c>
      <c r="K2378" s="1">
        <f>Query1[[#This Row],[SF Running Total]]+Query1[[#This Row],[UNIV Running Total]]</f>
        <v>4028</v>
      </c>
      <c r="L2378">
        <f>VLOOKUP(Query1[[#This Row],[Description]],'kits to boards'!$B$2:$E$156,2,FALSE)</f>
        <v>830060</v>
      </c>
      <c r="M2378">
        <f>VLOOKUP(Query1[[#This Row],[Description]],'kits to boards'!$B$2:$E$156,3,FALSE)</f>
        <v>0</v>
      </c>
      <c r="N2378">
        <f>VLOOKUP(Query1[[#This Row],[Description]],'kits to boards'!$B$2:$E$156,4,FALSE)</f>
        <v>0</v>
      </c>
      <c r="O2378" t="str">
        <f>CONCATENATE(Query1[[#This Row],[Description]]," - ",Query1[[#This Row],[MB1]]," - ",Query1[[#This Row],[MB2]]," - ",Query1[[#This Row],[MB3]])</f>
        <v>EVAP KIT 66-67 CHEVELLE WO AC - 830060 - 0 - 0</v>
      </c>
    </row>
    <row r="2379" spans="1:15" x14ac:dyDescent="0.25">
      <c r="A2379" s="1">
        <v>915064</v>
      </c>
      <c r="B2379" s="1" t="s">
        <v>66</v>
      </c>
      <c r="C2379" s="1" t="s">
        <v>67</v>
      </c>
      <c r="D2379" s="2">
        <v>44636.375188923608</v>
      </c>
      <c r="E2379" s="1" t="s">
        <v>8</v>
      </c>
      <c r="F2379" s="1">
        <v>1</v>
      </c>
      <c r="G2379" s="1">
        <v>0</v>
      </c>
      <c r="H2379" s="6">
        <f>INT(Query1[[#This Row],[EntryDateTime]])</f>
        <v>44636</v>
      </c>
      <c r="I2379" s="1">
        <f>IF(Query1[[#This Row],[ItemType]]="EVAP KIT SF GEN IV",Query1[[#This Row],[OrderQty]]+I2378,I2378)</f>
        <v>2827</v>
      </c>
      <c r="J2379" s="1">
        <f>IF(Query1[[#This Row],[ItemType]]="EVAP KIT UNIVERSAL",Query1[[#This Row],[OrderQty]]+J2378,J2378)</f>
        <v>1202</v>
      </c>
      <c r="K2379" s="1">
        <f>Query1[[#This Row],[SF Running Total]]+Query1[[#This Row],[UNIV Running Total]]</f>
        <v>4029</v>
      </c>
      <c r="L2379">
        <f>VLOOKUP(Query1[[#This Row],[Description]],'kits to boards'!$B$2:$E$156,2,FALSE)</f>
        <v>830060</v>
      </c>
      <c r="M2379">
        <f>VLOOKUP(Query1[[#This Row],[Description]],'kits to boards'!$B$2:$E$156,3,FALSE)</f>
        <v>0</v>
      </c>
      <c r="N2379">
        <f>VLOOKUP(Query1[[#This Row],[Description]],'kits to boards'!$B$2:$E$156,4,FALSE)</f>
        <v>0</v>
      </c>
      <c r="O2379" t="str">
        <f>CONCATENATE(Query1[[#This Row],[Description]]," - ",Query1[[#This Row],[MB1]]," - ",Query1[[#This Row],[MB2]]," - ",Query1[[#This Row],[MB3]])</f>
        <v>EVAP KIT 66-67 CHEVELLE WO AC - 830060 - 0 - 0</v>
      </c>
    </row>
    <row r="2380" spans="1:15" x14ac:dyDescent="0.25">
      <c r="A2380" s="1">
        <v>915325</v>
      </c>
      <c r="B2380" s="1" t="s">
        <v>20</v>
      </c>
      <c r="C2380" s="1" t="s">
        <v>21</v>
      </c>
      <c r="D2380" s="2">
        <v>44636.381567129632</v>
      </c>
      <c r="E2380" s="1" t="s">
        <v>11</v>
      </c>
      <c r="F2380" s="1">
        <v>1</v>
      </c>
      <c r="G2380" s="1">
        <v>0</v>
      </c>
      <c r="H2380" s="6">
        <f>INT(Query1[[#This Row],[EntryDateTime]])</f>
        <v>44636</v>
      </c>
      <c r="I2380" s="1">
        <f>IF(Query1[[#This Row],[ItemType]]="EVAP KIT SF GEN IV",Query1[[#This Row],[OrderQty]]+I2379,I2379)</f>
        <v>2827</v>
      </c>
      <c r="J2380" s="1">
        <f>IF(Query1[[#This Row],[ItemType]]="EVAP KIT UNIVERSAL",Query1[[#This Row],[OrderQty]]+J2379,J2379)</f>
        <v>1203</v>
      </c>
      <c r="K2380" s="1">
        <f>Query1[[#This Row],[SF Running Total]]+Query1[[#This Row],[UNIV Running Total]]</f>
        <v>4030</v>
      </c>
      <c r="L2380">
        <f>VLOOKUP(Query1[[#This Row],[Description]],'kits to boards'!$B$2:$E$156,2,FALSE)</f>
        <v>830102</v>
      </c>
      <c r="M2380">
        <f>VLOOKUP(Query1[[#This Row],[Description]],'kits to boards'!$B$2:$E$156,3,FALSE)</f>
        <v>0</v>
      </c>
      <c r="N2380">
        <f>VLOOKUP(Query1[[#This Row],[Description]],'kits to boards'!$B$2:$E$156,4,FALSE)</f>
        <v>0</v>
      </c>
      <c r="O2380" t="str">
        <f>CONCATENATE(Query1[[#This Row],[Description]]," - ",Query1[[#This Row],[MB1]]," - ",Query1[[#This Row],[MB2]]," - ",Query1[[#This Row],[MB3]])</f>
        <v>SUPER GEN II W/DEF - 830102 - 0 - 0</v>
      </c>
    </row>
    <row r="2381" spans="1:15" x14ac:dyDescent="0.25">
      <c r="A2381" s="1">
        <v>915325</v>
      </c>
      <c r="B2381" s="1" t="s">
        <v>98</v>
      </c>
      <c r="C2381" s="1" t="s">
        <v>99</v>
      </c>
      <c r="D2381" s="2">
        <v>44636.381824884258</v>
      </c>
      <c r="E2381" s="1" t="s">
        <v>11</v>
      </c>
      <c r="F2381" s="1">
        <v>2</v>
      </c>
      <c r="G2381" s="1">
        <v>0</v>
      </c>
      <c r="H2381" s="6">
        <f>INT(Query1[[#This Row],[EntryDateTime]])</f>
        <v>44636</v>
      </c>
      <c r="I2381" s="1">
        <f>IF(Query1[[#This Row],[ItemType]]="EVAP KIT SF GEN IV",Query1[[#This Row],[OrderQty]]+I2380,I2380)</f>
        <v>2827</v>
      </c>
      <c r="J2381" s="1">
        <f>IF(Query1[[#This Row],[ItemType]]="EVAP KIT UNIVERSAL",Query1[[#This Row],[OrderQty]]+J2380,J2380)</f>
        <v>1205</v>
      </c>
      <c r="K2381" s="1">
        <f>Query1[[#This Row],[SF Running Total]]+Query1[[#This Row],[UNIV Running Total]]</f>
        <v>4032</v>
      </c>
      <c r="L2381">
        <f>VLOOKUP(Query1[[#This Row],[Description]],'kits to boards'!$B$2:$E$156,2,FALSE)</f>
        <v>830099</v>
      </c>
      <c r="M2381">
        <f>VLOOKUP(Query1[[#This Row],[Description]],'kits to boards'!$B$2:$E$156,3,FALSE)</f>
        <v>0</v>
      </c>
      <c r="N2381">
        <f>VLOOKUP(Query1[[#This Row],[Description]],'kits to boards'!$B$2:$E$156,4,FALSE)</f>
        <v>0</v>
      </c>
      <c r="O2381" t="str">
        <f>CONCATENATE(Query1[[#This Row],[Description]]," - ",Query1[[#This Row],[MB1]]," - ",Query1[[#This Row],[MB2]]," - ",Query1[[#This Row],[MB3]])</f>
        <v>MINI GEN II W/DEF - 830099 - 0 - 0</v>
      </c>
    </row>
    <row r="2382" spans="1:15" x14ac:dyDescent="0.25">
      <c r="A2382" s="1">
        <v>915325</v>
      </c>
      <c r="B2382" s="1" t="s">
        <v>24</v>
      </c>
      <c r="C2382" s="1" t="s">
        <v>25</v>
      </c>
      <c r="D2382" s="2">
        <v>44636.381935300924</v>
      </c>
      <c r="E2382" s="1" t="s">
        <v>11</v>
      </c>
      <c r="F2382" s="1">
        <v>1</v>
      </c>
      <c r="G2382" s="1">
        <v>0</v>
      </c>
      <c r="H2382" s="6">
        <f>INT(Query1[[#This Row],[EntryDateTime]])</f>
        <v>44636</v>
      </c>
      <c r="I2382" s="1">
        <f>IF(Query1[[#This Row],[ItemType]]="EVAP KIT SF GEN IV",Query1[[#This Row],[OrderQty]]+I2381,I2381)</f>
        <v>2827</v>
      </c>
      <c r="J2382" s="1">
        <f>IF(Query1[[#This Row],[ItemType]]="EVAP KIT UNIVERSAL",Query1[[#This Row],[OrderQty]]+J2381,J2381)</f>
        <v>1206</v>
      </c>
      <c r="K2382" s="1">
        <f>Query1[[#This Row],[SF Running Total]]+Query1[[#This Row],[UNIV Running Total]]</f>
        <v>4033</v>
      </c>
      <c r="L2382">
        <f>VLOOKUP(Query1[[#This Row],[Description]],'kits to boards'!$B$2:$E$156,2,FALSE)</f>
        <v>830029</v>
      </c>
      <c r="M2382">
        <f>VLOOKUP(Query1[[#This Row],[Description]],'kits to boards'!$B$2:$E$156,3,FALSE)</f>
        <v>830030</v>
      </c>
      <c r="N2382">
        <f>VLOOKUP(Query1[[#This Row],[Description]],'kits to boards'!$B$2:$E$156,4,FALSE)</f>
        <v>0</v>
      </c>
      <c r="O2382" t="str">
        <f>CONCATENATE(Query1[[#This Row],[Description]]," - ",Query1[[#This Row],[MB1]]," - ",Query1[[#This Row],[MB2]]," - ",Query1[[#This Row],[MB3]])</f>
        <v>ComPac GEN II W/DEF - 830029 - 830030 - 0</v>
      </c>
    </row>
    <row r="2383" spans="1:15" x14ac:dyDescent="0.25">
      <c r="A2383" s="1">
        <v>915326</v>
      </c>
      <c r="B2383" s="1" t="s">
        <v>116</v>
      </c>
      <c r="C2383" s="1" t="s">
        <v>117</v>
      </c>
      <c r="D2383" s="2">
        <v>44636.382188773146</v>
      </c>
      <c r="E2383" s="1" t="s">
        <v>8</v>
      </c>
      <c r="F2383" s="1">
        <v>1</v>
      </c>
      <c r="G2383" s="1">
        <v>0</v>
      </c>
      <c r="H2383" s="6">
        <f>INT(Query1[[#This Row],[EntryDateTime]])</f>
        <v>44636</v>
      </c>
      <c r="I2383" s="1">
        <f>IF(Query1[[#This Row],[ItemType]]="EVAP KIT SF GEN IV",Query1[[#This Row],[OrderQty]]+I2382,I2382)</f>
        <v>2828</v>
      </c>
      <c r="J2383" s="1">
        <f>IF(Query1[[#This Row],[ItemType]]="EVAP KIT UNIVERSAL",Query1[[#This Row],[OrderQty]]+J2382,J2382)</f>
        <v>1206</v>
      </c>
      <c r="K2383" s="1">
        <f>Query1[[#This Row],[SF Running Total]]+Query1[[#This Row],[UNIV Running Total]]</f>
        <v>4034</v>
      </c>
      <c r="L2383">
        <f>VLOOKUP(Query1[[#This Row],[Description]],'kits to boards'!$B$2:$E$156,2,FALSE)</f>
        <v>830058</v>
      </c>
      <c r="M2383">
        <f>VLOOKUP(Query1[[#This Row],[Description]],'kits to boards'!$B$2:$E$156,3,FALSE)</f>
        <v>0</v>
      </c>
      <c r="N2383">
        <f>VLOOKUP(Query1[[#This Row],[Description]],'kits to boards'!$B$2:$E$156,4,FALSE)</f>
        <v>0</v>
      </c>
      <c r="O2383" t="str">
        <f>CONCATENATE(Query1[[#This Row],[Description]]," - ",Query1[[#This Row],[MB1]]," - ",Query1[[#This Row],[MB2]]," - ",Query1[[#This Row],[MB3]])</f>
        <v>EVAP KIT 64-65 CHEVELLE WO AC - 830058 - 0 - 0</v>
      </c>
    </row>
    <row r="2384" spans="1:15" x14ac:dyDescent="0.25">
      <c r="A2384" s="1">
        <v>914674</v>
      </c>
      <c r="B2384" s="1" t="s">
        <v>106</v>
      </c>
      <c r="C2384" s="1" t="s">
        <v>107</v>
      </c>
      <c r="D2384" s="2">
        <v>44636.383083483794</v>
      </c>
      <c r="E2384" s="1" t="s">
        <v>8</v>
      </c>
      <c r="F2384" s="1">
        <v>1</v>
      </c>
      <c r="G2384" s="1">
        <v>0</v>
      </c>
      <c r="H2384" s="6">
        <f>INT(Query1[[#This Row],[EntryDateTime]])</f>
        <v>44636</v>
      </c>
      <c r="I2384" s="1">
        <f>IF(Query1[[#This Row],[ItemType]]="EVAP KIT SF GEN IV",Query1[[#This Row],[OrderQty]]+I2383,I2383)</f>
        <v>2829</v>
      </c>
      <c r="J2384" s="1">
        <f>IF(Query1[[#This Row],[ItemType]]="EVAP KIT UNIVERSAL",Query1[[#This Row],[OrderQty]]+J2383,J2383)</f>
        <v>1206</v>
      </c>
      <c r="K2384" s="1">
        <f>Query1[[#This Row],[SF Running Total]]+Query1[[#This Row],[UNIV Running Total]]</f>
        <v>4035</v>
      </c>
      <c r="L2384">
        <f>VLOOKUP(Query1[[#This Row],[Description]],'kits to boards'!$B$2:$E$156,2,FALSE)</f>
        <v>830028</v>
      </c>
      <c r="M2384">
        <f>VLOOKUP(Query1[[#This Row],[Description]],'kits to boards'!$B$2:$E$156,3,FALSE)</f>
        <v>0</v>
      </c>
      <c r="N2384">
        <f>VLOOKUP(Query1[[#This Row],[Description]],'kits to boards'!$B$2:$E$156,4,FALSE)</f>
        <v>0</v>
      </c>
      <c r="O2384" t="str">
        <f>CONCATENATE(Query1[[#This Row],[Description]]," - ",Query1[[#This Row],[MB1]]," - ",Query1[[#This Row],[MB2]]," - ",Query1[[#This Row],[MB3]])</f>
        <v>EVAP KIT 55-59 CHEV P-UP WO AC W/DELX - 830028 - 0 - 0</v>
      </c>
    </row>
    <row r="2385" spans="1:15" x14ac:dyDescent="0.25">
      <c r="A2385" s="1">
        <v>915327</v>
      </c>
      <c r="B2385" s="1" t="s">
        <v>116</v>
      </c>
      <c r="C2385" s="1" t="s">
        <v>117</v>
      </c>
      <c r="D2385" s="2">
        <v>44636.383287615739</v>
      </c>
      <c r="E2385" s="1" t="s">
        <v>8</v>
      </c>
      <c r="F2385" s="1">
        <v>1</v>
      </c>
      <c r="G2385" s="1">
        <v>0</v>
      </c>
      <c r="H2385" s="6">
        <f>INT(Query1[[#This Row],[EntryDateTime]])</f>
        <v>44636</v>
      </c>
      <c r="I2385" s="1">
        <f>IF(Query1[[#This Row],[ItemType]]="EVAP KIT SF GEN IV",Query1[[#This Row],[OrderQty]]+I2384,I2384)</f>
        <v>2830</v>
      </c>
      <c r="J2385" s="1">
        <f>IF(Query1[[#This Row],[ItemType]]="EVAP KIT UNIVERSAL",Query1[[#This Row],[OrderQty]]+J2384,J2384)</f>
        <v>1206</v>
      </c>
      <c r="K2385" s="1">
        <f>Query1[[#This Row],[SF Running Total]]+Query1[[#This Row],[UNIV Running Total]]</f>
        <v>4036</v>
      </c>
      <c r="L2385">
        <f>VLOOKUP(Query1[[#This Row],[Description]],'kits to boards'!$B$2:$E$156,2,FALSE)</f>
        <v>830058</v>
      </c>
      <c r="M2385">
        <f>VLOOKUP(Query1[[#This Row],[Description]],'kits to boards'!$B$2:$E$156,3,FALSE)</f>
        <v>0</v>
      </c>
      <c r="N2385">
        <f>VLOOKUP(Query1[[#This Row],[Description]],'kits to boards'!$B$2:$E$156,4,FALSE)</f>
        <v>0</v>
      </c>
      <c r="O2385" t="str">
        <f>CONCATENATE(Query1[[#This Row],[Description]]," - ",Query1[[#This Row],[MB1]]," - ",Query1[[#This Row],[MB2]]," - ",Query1[[#This Row],[MB3]])</f>
        <v>EVAP KIT 64-65 CHEVELLE WO AC - 830058 - 0 - 0</v>
      </c>
    </row>
    <row r="2386" spans="1:15" x14ac:dyDescent="0.25">
      <c r="A2386" s="1">
        <v>915328</v>
      </c>
      <c r="B2386" s="1" t="s">
        <v>80</v>
      </c>
      <c r="C2386" s="1" t="s">
        <v>81</v>
      </c>
      <c r="D2386" s="2">
        <v>44636.384419097223</v>
      </c>
      <c r="E2386" s="1" t="s">
        <v>11</v>
      </c>
      <c r="F2386" s="1">
        <v>1</v>
      </c>
      <c r="G2386" s="1">
        <v>0</v>
      </c>
      <c r="H2386" s="6">
        <f>INT(Query1[[#This Row],[EntryDateTime]])</f>
        <v>44636</v>
      </c>
      <c r="I2386" s="1">
        <f>IF(Query1[[#This Row],[ItemType]]="EVAP KIT SF GEN IV",Query1[[#This Row],[OrderQty]]+I2385,I2385)</f>
        <v>2830</v>
      </c>
      <c r="J2386" s="1">
        <f>IF(Query1[[#This Row],[ItemType]]="EVAP KIT UNIVERSAL",Query1[[#This Row],[OrderQty]]+J2385,J2385)</f>
        <v>1207</v>
      </c>
      <c r="K2386" s="1">
        <f>Query1[[#This Row],[SF Running Total]]+Query1[[#This Row],[UNIV Running Total]]</f>
        <v>4037</v>
      </c>
      <c r="L2386">
        <f>VLOOKUP(Query1[[#This Row],[Description]],'kits to boards'!$B$2:$E$156,2,FALSE)</f>
        <v>0</v>
      </c>
      <c r="M2386">
        <f>VLOOKUP(Query1[[#This Row],[Description]],'kits to boards'!$B$2:$E$156,3,FALSE)</f>
        <v>0</v>
      </c>
      <c r="N2386">
        <f>VLOOKUP(Query1[[#This Row],[Description]],'kits to boards'!$B$2:$E$156,4,FALSE)</f>
        <v>0</v>
      </c>
      <c r="O2386" t="str">
        <f>CONCATENATE(Query1[[#This Row],[Description]]," - ",Query1[[#This Row],[MB1]]," - ",Query1[[#This Row],[MB2]]," - ",Query1[[#This Row],[MB3]])</f>
        <v>HERITAGE BRUSHED EVAP KIT COOL ONLY - 0 - 0 - 0</v>
      </c>
    </row>
    <row r="2387" spans="1:15" x14ac:dyDescent="0.25">
      <c r="A2387" s="1">
        <v>915335</v>
      </c>
      <c r="B2387" s="1" t="s">
        <v>192</v>
      </c>
      <c r="C2387" s="1" t="s">
        <v>193</v>
      </c>
      <c r="D2387" s="2">
        <v>44636.40826921296</v>
      </c>
      <c r="E2387" s="1" t="s">
        <v>8</v>
      </c>
      <c r="F2387" s="1">
        <v>1</v>
      </c>
      <c r="G2387" s="1">
        <v>0</v>
      </c>
      <c r="H2387" s="6">
        <f>INT(Query1[[#This Row],[EntryDateTime]])</f>
        <v>44636</v>
      </c>
      <c r="I2387" s="1">
        <f>IF(Query1[[#This Row],[ItemType]]="EVAP KIT SF GEN IV",Query1[[#This Row],[OrderQty]]+I2386,I2386)</f>
        <v>2831</v>
      </c>
      <c r="J2387" s="1">
        <f>IF(Query1[[#This Row],[ItemType]]="EVAP KIT UNIVERSAL",Query1[[#This Row],[OrderQty]]+J2386,J2386)</f>
        <v>1207</v>
      </c>
      <c r="K2387" s="1">
        <f>Query1[[#This Row],[SF Running Total]]+Query1[[#This Row],[UNIV Running Total]]</f>
        <v>4038</v>
      </c>
      <c r="L2387">
        <f>VLOOKUP(Query1[[#This Row],[Description]],'kits to boards'!$B$2:$E$156,2,FALSE)</f>
        <v>830094</v>
      </c>
      <c r="M2387">
        <f>VLOOKUP(Query1[[#This Row],[Description]],'kits to boards'!$B$2:$E$156,3,FALSE)</f>
        <v>0</v>
      </c>
      <c r="N2387">
        <f>VLOOKUP(Query1[[#This Row],[Description]],'kits to boards'!$B$2:$E$156,4,FALSE)</f>
        <v>0</v>
      </c>
      <c r="O2387" t="str">
        <f>CONCATENATE(Query1[[#This Row],[Description]]," - ",Query1[[#This Row],[MB1]]," - ",Query1[[#This Row],[MB2]]," - ",Query1[[#This Row],[MB3]])</f>
        <v>EVAP KIT 69-73 VETTE W/AC - 830094 - 0 - 0</v>
      </c>
    </row>
    <row r="2388" spans="1:15" x14ac:dyDescent="0.25">
      <c r="A2388" s="1">
        <v>915334</v>
      </c>
      <c r="B2388" s="1" t="s">
        <v>100</v>
      </c>
      <c r="C2388" s="1" t="s">
        <v>101</v>
      </c>
      <c r="D2388" s="2">
        <v>44636.40832815972</v>
      </c>
      <c r="E2388" s="1" t="s">
        <v>8</v>
      </c>
      <c r="F2388" s="1">
        <v>1</v>
      </c>
      <c r="G2388" s="1">
        <v>0</v>
      </c>
      <c r="H2388" s="6">
        <f>INT(Query1[[#This Row],[EntryDateTime]])</f>
        <v>44636</v>
      </c>
      <c r="I2388" s="1">
        <f>IF(Query1[[#This Row],[ItemType]]="EVAP KIT SF GEN IV",Query1[[#This Row],[OrderQty]]+I2387,I2387)</f>
        <v>2832</v>
      </c>
      <c r="J2388" s="1">
        <f>IF(Query1[[#This Row],[ItemType]]="EVAP KIT UNIVERSAL",Query1[[#This Row],[OrderQty]]+J2387,J2387)</f>
        <v>1207</v>
      </c>
      <c r="K2388" s="1">
        <f>Query1[[#This Row],[SF Running Total]]+Query1[[#This Row],[UNIV Running Total]]</f>
        <v>4039</v>
      </c>
      <c r="L2388">
        <f>VLOOKUP(Query1[[#This Row],[Description]],'kits to boards'!$B$2:$E$156,2,FALSE)</f>
        <v>830096</v>
      </c>
      <c r="M2388">
        <f>VLOOKUP(Query1[[#This Row],[Description]],'kits to boards'!$B$2:$E$156,3,FALSE)</f>
        <v>0</v>
      </c>
      <c r="N2388">
        <f>VLOOKUP(Query1[[#This Row],[Description]],'kits to boards'!$B$2:$E$156,4,FALSE)</f>
        <v>0</v>
      </c>
      <c r="O2388" t="str">
        <f>CONCATENATE(Query1[[#This Row],[Description]]," - ",Query1[[#This Row],[MB1]]," - ",Query1[[#This Row],[MB2]]," - ",Query1[[#This Row],[MB3]])</f>
        <v>EVAP KIT 62-65 NOVA - 830096 - 0 - 0</v>
      </c>
    </row>
    <row r="2389" spans="1:15" x14ac:dyDescent="0.25">
      <c r="A2389" s="1">
        <v>915338</v>
      </c>
      <c r="B2389" s="1" t="s">
        <v>502</v>
      </c>
      <c r="C2389" s="1" t="s">
        <v>503</v>
      </c>
      <c r="D2389" s="2">
        <v>44636.409769097219</v>
      </c>
      <c r="E2389" s="1" t="s">
        <v>677</v>
      </c>
      <c r="F2389" s="1">
        <v>1</v>
      </c>
      <c r="G2389" s="1">
        <v>0</v>
      </c>
      <c r="H2389" s="6">
        <f>INT(Query1[[#This Row],[EntryDateTime]])</f>
        <v>44636</v>
      </c>
      <c r="I2389" s="1">
        <f>IF(Query1[[#This Row],[ItemType]]="EVAP KIT SF GEN IV",Query1[[#This Row],[OrderQty]]+I2388,I2388)</f>
        <v>2832</v>
      </c>
      <c r="J2389" s="1">
        <f>IF(Query1[[#This Row],[ItemType]]="EVAP KIT UNIVERSAL",Query1[[#This Row],[OrderQty]]+J2388,J2388)</f>
        <v>1207</v>
      </c>
      <c r="K2389" s="1">
        <f>Query1[[#This Row],[SF Running Total]]+Query1[[#This Row],[UNIV Running Total]]</f>
        <v>4039</v>
      </c>
      <c r="L2389" t="e">
        <f>VLOOKUP(Query1[[#This Row],[Description]],'kits to boards'!$B$2:$E$156,2,FALSE)</f>
        <v>#N/A</v>
      </c>
      <c r="M2389" t="e">
        <f>VLOOKUP(Query1[[#This Row],[Description]],'kits to boards'!$B$2:$E$156,3,FALSE)</f>
        <v>#N/A</v>
      </c>
      <c r="N2389" t="e">
        <f>VLOOKUP(Query1[[#This Row],[Description]],'kits to boards'!$B$2:$E$156,4,FALSE)</f>
        <v>#N/A</v>
      </c>
      <c r="O2389" t="e">
        <f>CONCATENATE(Query1[[#This Row],[Description]]," - ",Query1[[#This Row],[MB1]]," - ",Query1[[#This Row],[MB2]]," - ",Query1[[#This Row],[MB3]])</f>
        <v>#N/A</v>
      </c>
    </row>
    <row r="2390" spans="1:15" x14ac:dyDescent="0.25">
      <c r="A2390" s="1">
        <v>915239</v>
      </c>
      <c r="B2390" s="1" t="s">
        <v>194</v>
      </c>
      <c r="C2390" s="1" t="s">
        <v>195</v>
      </c>
      <c r="D2390" s="2">
        <v>44636.410608217593</v>
      </c>
      <c r="E2390" s="1" t="s">
        <v>8</v>
      </c>
      <c r="F2390" s="1">
        <v>1</v>
      </c>
      <c r="G2390" s="1">
        <v>0</v>
      </c>
      <c r="H2390" s="6">
        <f>INT(Query1[[#This Row],[EntryDateTime]])</f>
        <v>44636</v>
      </c>
      <c r="I2390" s="1">
        <f>IF(Query1[[#This Row],[ItemType]]="EVAP KIT SF GEN IV",Query1[[#This Row],[OrderQty]]+I2389,I2389)</f>
        <v>2833</v>
      </c>
      <c r="J2390" s="1">
        <f>IF(Query1[[#This Row],[ItemType]]="EVAP KIT UNIVERSAL",Query1[[#This Row],[OrderQty]]+J2389,J2389)</f>
        <v>1207</v>
      </c>
      <c r="K2390" s="1">
        <f>Query1[[#This Row],[SF Running Total]]+Query1[[#This Row],[UNIV Running Total]]</f>
        <v>4040</v>
      </c>
      <c r="L2390">
        <f>VLOOKUP(Query1[[#This Row],[Description]],'kits to boards'!$B$2:$E$156,2,FALSE)</f>
        <v>830103</v>
      </c>
      <c r="M2390">
        <f>VLOOKUP(Query1[[#This Row],[Description]],'kits to boards'!$B$2:$E$156,3,FALSE)</f>
        <v>0</v>
      </c>
      <c r="N2390">
        <f>VLOOKUP(Query1[[#This Row],[Description]],'kits to boards'!$B$2:$E$156,4,FALSE)</f>
        <v>0</v>
      </c>
      <c r="O2390" t="str">
        <f>CONCATENATE(Query1[[#This Row],[Description]]," - ",Query1[[#This Row],[MB1]]," - ",Query1[[#This Row],[MB2]]," - ",Query1[[#This Row],[MB3]])</f>
        <v>EVAP KIT 78-82 VETTE W/AC - 830103 - 0 - 0</v>
      </c>
    </row>
    <row r="2391" spans="1:15" x14ac:dyDescent="0.25">
      <c r="A2391" s="1">
        <v>915351</v>
      </c>
      <c r="B2391" s="1" t="s">
        <v>98</v>
      </c>
      <c r="C2391" s="1" t="s">
        <v>99</v>
      </c>
      <c r="D2391" s="2">
        <v>44636.426010104165</v>
      </c>
      <c r="E2391" s="1" t="s">
        <v>11</v>
      </c>
      <c r="F2391" s="1">
        <v>1</v>
      </c>
      <c r="G2391" s="1">
        <v>0</v>
      </c>
      <c r="H2391" s="6">
        <f>INT(Query1[[#This Row],[EntryDateTime]])</f>
        <v>44636</v>
      </c>
      <c r="I2391" s="1">
        <f>IF(Query1[[#This Row],[ItemType]]="EVAP KIT SF GEN IV",Query1[[#This Row],[OrderQty]]+I2390,I2390)</f>
        <v>2833</v>
      </c>
      <c r="J2391" s="1">
        <f>IF(Query1[[#This Row],[ItemType]]="EVAP KIT UNIVERSAL",Query1[[#This Row],[OrderQty]]+J2390,J2390)</f>
        <v>1208</v>
      </c>
      <c r="K2391" s="1">
        <f>Query1[[#This Row],[SF Running Total]]+Query1[[#This Row],[UNIV Running Total]]</f>
        <v>4041</v>
      </c>
      <c r="L2391">
        <f>VLOOKUP(Query1[[#This Row],[Description]],'kits to boards'!$B$2:$E$156,2,FALSE)</f>
        <v>830099</v>
      </c>
      <c r="M2391">
        <f>VLOOKUP(Query1[[#This Row],[Description]],'kits to boards'!$B$2:$E$156,3,FALSE)</f>
        <v>0</v>
      </c>
      <c r="N2391">
        <f>VLOOKUP(Query1[[#This Row],[Description]],'kits to boards'!$B$2:$E$156,4,FALSE)</f>
        <v>0</v>
      </c>
      <c r="O2391" t="str">
        <f>CONCATENATE(Query1[[#This Row],[Description]]," - ",Query1[[#This Row],[MB1]]," - ",Query1[[#This Row],[MB2]]," - ",Query1[[#This Row],[MB3]])</f>
        <v>MINI GEN II W/DEF - 830099 - 0 - 0</v>
      </c>
    </row>
    <row r="2392" spans="1:15" x14ac:dyDescent="0.25">
      <c r="A2392" s="1">
        <v>915362</v>
      </c>
      <c r="B2392" s="1" t="s">
        <v>12</v>
      </c>
      <c r="C2392" s="1" t="s">
        <v>13</v>
      </c>
      <c r="D2392" s="2">
        <v>44636.443490509257</v>
      </c>
      <c r="E2392" s="1" t="s">
        <v>8</v>
      </c>
      <c r="F2392" s="1">
        <v>1</v>
      </c>
      <c r="G2392" s="1">
        <v>0</v>
      </c>
      <c r="H2392" s="6">
        <f>INT(Query1[[#This Row],[EntryDateTime]])</f>
        <v>44636</v>
      </c>
      <c r="I2392" s="1">
        <f>IF(Query1[[#This Row],[ItemType]]="EVAP KIT SF GEN IV",Query1[[#This Row],[OrderQty]]+I2391,I2391)</f>
        <v>2834</v>
      </c>
      <c r="J2392" s="1">
        <f>IF(Query1[[#This Row],[ItemType]]="EVAP KIT UNIVERSAL",Query1[[#This Row],[OrderQty]]+J2391,J2391)</f>
        <v>1208</v>
      </c>
      <c r="K2392" s="1">
        <f>Query1[[#This Row],[SF Running Total]]+Query1[[#This Row],[UNIV Running Total]]</f>
        <v>4042</v>
      </c>
      <c r="L2392">
        <f>VLOOKUP(Query1[[#This Row],[Description]],'kits to boards'!$B$2:$E$156,2,FALSE)</f>
        <v>830079</v>
      </c>
      <c r="M2392">
        <f>VLOOKUP(Query1[[#This Row],[Description]],'kits to boards'!$B$2:$E$156,3,FALSE)</f>
        <v>830046</v>
      </c>
      <c r="N2392">
        <f>VLOOKUP(Query1[[#This Row],[Description]],'kits to boards'!$B$2:$E$156,4,FALSE)</f>
        <v>0</v>
      </c>
      <c r="O2392" t="str">
        <f>CONCATENATE(Query1[[#This Row],[Description]]," - ",Query1[[#This Row],[MB1]]," - ",Query1[[#This Row],[MB2]]," - ",Query1[[#This Row],[MB3]])</f>
        <v>EVAP KIT 67-68 MUSTANG/COUGAR W/AC - 830079 - 830046 - 0</v>
      </c>
    </row>
    <row r="2393" spans="1:15" x14ac:dyDescent="0.25">
      <c r="A2393" s="1">
        <v>915360</v>
      </c>
      <c r="B2393" s="1" t="s">
        <v>96</v>
      </c>
      <c r="C2393" s="1" t="s">
        <v>97</v>
      </c>
      <c r="D2393" s="2">
        <v>44636.446851655091</v>
      </c>
      <c r="E2393" s="1" t="s">
        <v>8</v>
      </c>
      <c r="F2393" s="1">
        <v>1</v>
      </c>
      <c r="G2393" s="1">
        <v>0</v>
      </c>
      <c r="H2393" s="6">
        <f>INT(Query1[[#This Row],[EntryDateTime]])</f>
        <v>44636</v>
      </c>
      <c r="I2393" s="1">
        <f>IF(Query1[[#This Row],[ItemType]]="EVAP KIT SF GEN IV",Query1[[#This Row],[OrderQty]]+I2392,I2392)</f>
        <v>2835</v>
      </c>
      <c r="J2393" s="1">
        <f>IF(Query1[[#This Row],[ItemType]]="EVAP KIT UNIVERSAL",Query1[[#This Row],[OrderQty]]+J2392,J2392)</f>
        <v>1208</v>
      </c>
      <c r="K2393" s="1">
        <f>Query1[[#This Row],[SF Running Total]]+Query1[[#This Row],[UNIV Running Total]]</f>
        <v>4043</v>
      </c>
      <c r="L2393">
        <f>VLOOKUP(Query1[[#This Row],[Description]],'kits to boards'!$B$2:$E$156,2,FALSE)</f>
        <v>830004</v>
      </c>
      <c r="M2393">
        <f>VLOOKUP(Query1[[#This Row],[Description]],'kits to boards'!$B$2:$E$156,3,FALSE)</f>
        <v>0</v>
      </c>
      <c r="N2393">
        <f>VLOOKUP(Query1[[#This Row],[Description]],'kits to boards'!$B$2:$E$156,4,FALSE)</f>
        <v>0</v>
      </c>
      <c r="O2393" t="str">
        <f>CONCATENATE(Query1[[#This Row],[Description]]," - ",Query1[[#This Row],[MB1]]," - ",Query1[[#This Row],[MB2]]," - ",Query1[[#This Row],[MB3]])</f>
        <v>EVAP KIT 81-87 CHEV P-UP W/AC - 830004 - 0 - 0</v>
      </c>
    </row>
    <row r="2394" spans="1:15" x14ac:dyDescent="0.25">
      <c r="A2394" s="1">
        <v>915364</v>
      </c>
      <c r="B2394" s="1" t="s">
        <v>32</v>
      </c>
      <c r="C2394" s="1" t="s">
        <v>33</v>
      </c>
      <c r="D2394" s="2">
        <v>44636.449832673614</v>
      </c>
      <c r="E2394" s="1" t="s">
        <v>8</v>
      </c>
      <c r="F2394" s="1">
        <v>1</v>
      </c>
      <c r="G2394" s="1">
        <v>0</v>
      </c>
      <c r="H2394" s="6">
        <f>INT(Query1[[#This Row],[EntryDateTime]])</f>
        <v>44636</v>
      </c>
      <c r="I2394" s="1">
        <f>IF(Query1[[#This Row],[ItemType]]="EVAP KIT SF GEN IV",Query1[[#This Row],[OrderQty]]+I2393,I2393)</f>
        <v>2836</v>
      </c>
      <c r="J2394" s="1">
        <f>IF(Query1[[#This Row],[ItemType]]="EVAP KIT UNIVERSAL",Query1[[#This Row],[OrderQty]]+J2393,J2393)</f>
        <v>1208</v>
      </c>
      <c r="K2394" s="1">
        <f>Query1[[#This Row],[SF Running Total]]+Query1[[#This Row],[UNIV Running Total]]</f>
        <v>4044</v>
      </c>
      <c r="L2394">
        <f>VLOOKUP(Query1[[#This Row],[Description]],'kits to boards'!$B$2:$E$156,2,FALSE)</f>
        <v>830016</v>
      </c>
      <c r="M2394">
        <f>VLOOKUP(Query1[[#This Row],[Description]],'kits to boards'!$B$2:$E$156,3,FALSE)</f>
        <v>0</v>
      </c>
      <c r="N2394">
        <f>VLOOKUP(Query1[[#This Row],[Description]],'kits to boards'!$B$2:$E$156,4,FALSE)</f>
        <v>0</v>
      </c>
      <c r="O2394" t="str">
        <f>CONCATENATE(Query1[[#This Row],[Description]]," - ",Query1[[#This Row],[MB1]]," - ",Query1[[#This Row],[MB2]]," - ",Query1[[#This Row],[MB3]])</f>
        <v>EVAP KIT 67-68 CAMARO/FIREBIRD W/AC - 830016 - 0 - 0</v>
      </c>
    </row>
    <row r="2395" spans="1:15" x14ac:dyDescent="0.25">
      <c r="A2395" s="1">
        <v>915375</v>
      </c>
      <c r="B2395" s="1" t="s">
        <v>86</v>
      </c>
      <c r="C2395" s="1" t="s">
        <v>87</v>
      </c>
      <c r="D2395" s="2">
        <v>44636.4630525463</v>
      </c>
      <c r="E2395" s="1" t="s">
        <v>8</v>
      </c>
      <c r="F2395" s="1">
        <v>1</v>
      </c>
      <c r="G2395" s="1">
        <v>0</v>
      </c>
      <c r="H2395" s="6">
        <f>INT(Query1[[#This Row],[EntryDateTime]])</f>
        <v>44636</v>
      </c>
      <c r="I2395" s="1">
        <f>IF(Query1[[#This Row],[ItemType]]="EVAP KIT SF GEN IV",Query1[[#This Row],[OrderQty]]+I2394,I2394)</f>
        <v>2837</v>
      </c>
      <c r="J2395" s="1">
        <f>IF(Query1[[#This Row],[ItemType]]="EVAP KIT UNIVERSAL",Query1[[#This Row],[OrderQty]]+J2394,J2394)</f>
        <v>1208</v>
      </c>
      <c r="K2395" s="1">
        <f>Query1[[#This Row],[SF Running Total]]+Query1[[#This Row],[UNIV Running Total]]</f>
        <v>4045</v>
      </c>
      <c r="L2395">
        <f>VLOOKUP(Query1[[#This Row],[Description]],'kits to boards'!$B$2:$E$156,2,FALSE)</f>
        <v>830048</v>
      </c>
      <c r="M2395">
        <f>VLOOKUP(Query1[[#This Row],[Description]],'kits to boards'!$B$2:$E$156,3,FALSE)</f>
        <v>0</v>
      </c>
      <c r="N2395">
        <f>VLOOKUP(Query1[[#This Row],[Description]],'kits to boards'!$B$2:$E$156,4,FALSE)</f>
        <v>0</v>
      </c>
      <c r="O2395" t="str">
        <f>CONCATENATE(Query1[[#This Row],[Description]]," - ",Query1[[#This Row],[MB1]]," - ",Query1[[#This Row],[MB2]]," - ",Query1[[#This Row],[MB3]])</f>
        <v>EVAP KIT 66-67 NOVA - 830048 - 0 - 0</v>
      </c>
    </row>
    <row r="2396" spans="1:15" x14ac:dyDescent="0.25">
      <c r="A2396" s="1">
        <v>914780</v>
      </c>
      <c r="B2396" s="1" t="s">
        <v>36</v>
      </c>
      <c r="C2396" s="1" t="s">
        <v>37</v>
      </c>
      <c r="D2396" s="2">
        <v>44636.465523460647</v>
      </c>
      <c r="E2396" s="1" t="s">
        <v>8</v>
      </c>
      <c r="F2396" s="1">
        <v>1</v>
      </c>
      <c r="G2396" s="1">
        <v>0</v>
      </c>
      <c r="H2396" s="6">
        <f>INT(Query1[[#This Row],[EntryDateTime]])</f>
        <v>44636</v>
      </c>
      <c r="I2396" s="1">
        <f>IF(Query1[[#This Row],[ItemType]]="EVAP KIT SF GEN IV",Query1[[#This Row],[OrderQty]]+I2395,I2395)</f>
        <v>2838</v>
      </c>
      <c r="J2396" s="1">
        <f>IF(Query1[[#This Row],[ItemType]]="EVAP KIT UNIVERSAL",Query1[[#This Row],[OrderQty]]+J2395,J2395)</f>
        <v>1208</v>
      </c>
      <c r="K2396" s="1">
        <f>Query1[[#This Row],[SF Running Total]]+Query1[[#This Row],[UNIV Running Total]]</f>
        <v>4046</v>
      </c>
      <c r="L2396">
        <f>VLOOKUP(Query1[[#This Row],[Description]],'kits to boards'!$B$2:$E$156,2,FALSE)</f>
        <v>830015</v>
      </c>
      <c r="M2396">
        <f>VLOOKUP(Query1[[#This Row],[Description]],'kits to boards'!$B$2:$E$156,3,FALSE)</f>
        <v>0</v>
      </c>
      <c r="N2396">
        <f>VLOOKUP(Query1[[#This Row],[Description]],'kits to boards'!$B$2:$E$156,4,FALSE)</f>
        <v>0</v>
      </c>
      <c r="O2396" t="str">
        <f>CONCATENATE(Query1[[#This Row],[Description]]," - ",Query1[[#This Row],[MB1]]," - ",Query1[[#This Row],[MB2]]," - ",Query1[[#This Row],[MB3]])</f>
        <v>EVAP KIT 64-66 CHEV P-UP WO AC W/STD - 830015 - 0 - 0</v>
      </c>
    </row>
    <row r="2397" spans="1:15" x14ac:dyDescent="0.25">
      <c r="A2397" s="1">
        <v>915379</v>
      </c>
      <c r="B2397" s="1" t="s">
        <v>96</v>
      </c>
      <c r="C2397" s="1" t="s">
        <v>97</v>
      </c>
      <c r="D2397" s="2">
        <v>44636.467664317126</v>
      </c>
      <c r="E2397" s="1" t="s">
        <v>8</v>
      </c>
      <c r="F2397" s="1">
        <v>1</v>
      </c>
      <c r="G2397" s="1">
        <v>0</v>
      </c>
      <c r="H2397" s="6">
        <f>INT(Query1[[#This Row],[EntryDateTime]])</f>
        <v>44636</v>
      </c>
      <c r="I2397" s="1">
        <f>IF(Query1[[#This Row],[ItemType]]="EVAP KIT SF GEN IV",Query1[[#This Row],[OrderQty]]+I2396,I2396)</f>
        <v>2839</v>
      </c>
      <c r="J2397" s="1">
        <f>IF(Query1[[#This Row],[ItemType]]="EVAP KIT UNIVERSAL",Query1[[#This Row],[OrderQty]]+J2396,J2396)</f>
        <v>1208</v>
      </c>
      <c r="K2397" s="1">
        <f>Query1[[#This Row],[SF Running Total]]+Query1[[#This Row],[UNIV Running Total]]</f>
        <v>4047</v>
      </c>
      <c r="L2397">
        <f>VLOOKUP(Query1[[#This Row],[Description]],'kits to boards'!$B$2:$E$156,2,FALSE)</f>
        <v>830004</v>
      </c>
      <c r="M2397">
        <f>VLOOKUP(Query1[[#This Row],[Description]],'kits to boards'!$B$2:$E$156,3,FALSE)</f>
        <v>0</v>
      </c>
      <c r="N2397">
        <f>VLOOKUP(Query1[[#This Row],[Description]],'kits to boards'!$B$2:$E$156,4,FALSE)</f>
        <v>0</v>
      </c>
      <c r="O2397" t="str">
        <f>CONCATENATE(Query1[[#This Row],[Description]]," - ",Query1[[#This Row],[MB1]]," - ",Query1[[#This Row],[MB2]]," - ",Query1[[#This Row],[MB3]])</f>
        <v>EVAP KIT 81-87 CHEV P-UP W/AC - 830004 - 0 - 0</v>
      </c>
    </row>
    <row r="2398" spans="1:15" x14ac:dyDescent="0.25">
      <c r="A2398" s="1">
        <v>915394</v>
      </c>
      <c r="B2398" s="1" t="s">
        <v>98</v>
      </c>
      <c r="C2398" s="1" t="s">
        <v>99</v>
      </c>
      <c r="D2398" s="2">
        <v>44636.489910729164</v>
      </c>
      <c r="E2398" s="1" t="s">
        <v>11</v>
      </c>
      <c r="F2398" s="1">
        <v>2</v>
      </c>
      <c r="G2398" s="1">
        <v>0</v>
      </c>
      <c r="H2398" s="6">
        <f>INT(Query1[[#This Row],[EntryDateTime]])</f>
        <v>44636</v>
      </c>
      <c r="I2398" s="1">
        <f>IF(Query1[[#This Row],[ItemType]]="EVAP KIT SF GEN IV",Query1[[#This Row],[OrderQty]]+I2397,I2397)</f>
        <v>2839</v>
      </c>
      <c r="J2398" s="1">
        <f>IF(Query1[[#This Row],[ItemType]]="EVAP KIT UNIVERSAL",Query1[[#This Row],[OrderQty]]+J2397,J2397)</f>
        <v>1210</v>
      </c>
      <c r="K2398" s="1">
        <f>Query1[[#This Row],[SF Running Total]]+Query1[[#This Row],[UNIV Running Total]]</f>
        <v>4049</v>
      </c>
      <c r="L2398">
        <f>VLOOKUP(Query1[[#This Row],[Description]],'kits to boards'!$B$2:$E$156,2,FALSE)</f>
        <v>830099</v>
      </c>
      <c r="M2398">
        <f>VLOOKUP(Query1[[#This Row],[Description]],'kits to boards'!$B$2:$E$156,3,FALSE)</f>
        <v>0</v>
      </c>
      <c r="N2398">
        <f>VLOOKUP(Query1[[#This Row],[Description]],'kits to boards'!$B$2:$E$156,4,FALSE)</f>
        <v>0</v>
      </c>
      <c r="O2398" t="str">
        <f>CONCATENATE(Query1[[#This Row],[Description]]," - ",Query1[[#This Row],[MB1]]," - ",Query1[[#This Row],[MB2]]," - ",Query1[[#This Row],[MB3]])</f>
        <v>MINI GEN II W/DEF - 830099 - 0 - 0</v>
      </c>
    </row>
    <row r="2399" spans="1:15" x14ac:dyDescent="0.25">
      <c r="A2399" s="1">
        <v>915225</v>
      </c>
      <c r="B2399" s="1" t="s">
        <v>42</v>
      </c>
      <c r="C2399" s="1" t="s">
        <v>43</v>
      </c>
      <c r="D2399" s="2">
        <v>44636.490664155092</v>
      </c>
      <c r="E2399" s="1" t="s">
        <v>8</v>
      </c>
      <c r="F2399" s="1">
        <v>1</v>
      </c>
      <c r="G2399" s="1">
        <v>0</v>
      </c>
      <c r="H2399" s="6">
        <f>INT(Query1[[#This Row],[EntryDateTime]])</f>
        <v>44636</v>
      </c>
      <c r="I2399" s="1">
        <f>IF(Query1[[#This Row],[ItemType]]="EVAP KIT SF GEN IV",Query1[[#This Row],[OrderQty]]+I2398,I2398)</f>
        <v>2840</v>
      </c>
      <c r="J2399" s="1">
        <f>IF(Query1[[#This Row],[ItemType]]="EVAP KIT UNIVERSAL",Query1[[#This Row],[OrderQty]]+J2398,J2398)</f>
        <v>1210</v>
      </c>
      <c r="K2399" s="1">
        <f>Query1[[#This Row],[SF Running Total]]+Query1[[#This Row],[UNIV Running Total]]</f>
        <v>4050</v>
      </c>
      <c r="L2399">
        <f>VLOOKUP(Query1[[#This Row],[Description]],'kits to boards'!$B$2:$E$156,2,FALSE)</f>
        <v>830014</v>
      </c>
      <c r="M2399">
        <f>VLOOKUP(Query1[[#This Row],[Description]],'kits to boards'!$B$2:$E$156,3,FALSE)</f>
        <v>0</v>
      </c>
      <c r="N2399">
        <f>VLOOKUP(Query1[[#This Row],[Description]],'kits to boards'!$B$2:$E$156,4,FALSE)</f>
        <v>0</v>
      </c>
      <c r="O2399" t="str">
        <f>CONCATENATE(Query1[[#This Row],[Description]]," - ",Query1[[#This Row],[MB1]]," - ",Query1[[#This Row],[MB2]]," - ",Query1[[#This Row],[MB3]])</f>
        <v>EVAP KIT 67-72 CHEV P-UP WO AC - 830014 - 0 - 0</v>
      </c>
    </row>
    <row r="2400" spans="1:15" x14ac:dyDescent="0.25">
      <c r="A2400" s="1">
        <v>915400</v>
      </c>
      <c r="B2400" s="1" t="s">
        <v>96</v>
      </c>
      <c r="C2400" s="1" t="s">
        <v>97</v>
      </c>
      <c r="D2400" s="2">
        <v>44636.50341701389</v>
      </c>
      <c r="E2400" s="1" t="s">
        <v>8</v>
      </c>
      <c r="F2400" s="1">
        <v>1</v>
      </c>
      <c r="G2400" s="1">
        <v>0</v>
      </c>
      <c r="H2400" s="6">
        <f>INT(Query1[[#This Row],[EntryDateTime]])</f>
        <v>44636</v>
      </c>
      <c r="I2400" s="1">
        <f>IF(Query1[[#This Row],[ItemType]]="EVAP KIT SF GEN IV",Query1[[#This Row],[OrderQty]]+I2399,I2399)</f>
        <v>2841</v>
      </c>
      <c r="J2400" s="1">
        <f>IF(Query1[[#This Row],[ItemType]]="EVAP KIT UNIVERSAL",Query1[[#This Row],[OrderQty]]+J2399,J2399)</f>
        <v>1210</v>
      </c>
      <c r="K2400" s="1">
        <f>Query1[[#This Row],[SF Running Total]]+Query1[[#This Row],[UNIV Running Total]]</f>
        <v>4051</v>
      </c>
      <c r="L2400">
        <f>VLOOKUP(Query1[[#This Row],[Description]],'kits to boards'!$B$2:$E$156,2,FALSE)</f>
        <v>830004</v>
      </c>
      <c r="M2400">
        <f>VLOOKUP(Query1[[#This Row],[Description]],'kits to boards'!$B$2:$E$156,3,FALSE)</f>
        <v>0</v>
      </c>
      <c r="N2400">
        <f>VLOOKUP(Query1[[#This Row],[Description]],'kits to boards'!$B$2:$E$156,4,FALSE)</f>
        <v>0</v>
      </c>
      <c r="O2400" t="str">
        <f>CONCATENATE(Query1[[#This Row],[Description]]," - ",Query1[[#This Row],[MB1]]," - ",Query1[[#This Row],[MB2]]," - ",Query1[[#This Row],[MB3]])</f>
        <v>EVAP KIT 81-87 CHEV P-UP W/AC - 830004 - 0 - 0</v>
      </c>
    </row>
    <row r="2401" spans="1:15" x14ac:dyDescent="0.25">
      <c r="A2401" s="1">
        <v>915416</v>
      </c>
      <c r="B2401" s="1" t="s">
        <v>94</v>
      </c>
      <c r="C2401" s="1" t="s">
        <v>95</v>
      </c>
      <c r="D2401" s="2">
        <v>44636.532772025465</v>
      </c>
      <c r="E2401" s="1" t="s">
        <v>8</v>
      </c>
      <c r="F2401" s="1">
        <v>5</v>
      </c>
      <c r="G2401" s="1">
        <v>0</v>
      </c>
      <c r="H2401" s="6">
        <f>INT(Query1[[#This Row],[EntryDateTime]])</f>
        <v>44636</v>
      </c>
      <c r="I2401" s="1">
        <f>IF(Query1[[#This Row],[ItemType]]="EVAP KIT SF GEN IV",Query1[[#This Row],[OrderQty]]+I2400,I2400)</f>
        <v>2846</v>
      </c>
      <c r="J2401" s="1">
        <f>IF(Query1[[#This Row],[ItemType]]="EVAP KIT UNIVERSAL",Query1[[#This Row],[OrderQty]]+J2400,J2400)</f>
        <v>1210</v>
      </c>
      <c r="K2401" s="1">
        <f>Query1[[#This Row],[SF Running Total]]+Query1[[#This Row],[UNIV Running Total]]</f>
        <v>4056</v>
      </c>
      <c r="L2401">
        <f>VLOOKUP(Query1[[#This Row],[Description]],'kits to boards'!$B$2:$E$156,2,FALSE)</f>
        <v>830076</v>
      </c>
      <c r="M2401">
        <f>VLOOKUP(Query1[[#This Row],[Description]],'kits to boards'!$B$2:$E$156,3,FALSE)</f>
        <v>0</v>
      </c>
      <c r="N2401">
        <f>VLOOKUP(Query1[[#This Row],[Description]],'kits to boards'!$B$2:$E$156,4,FALSE)</f>
        <v>0</v>
      </c>
      <c r="O2401" t="str">
        <f>CONCATENATE(Query1[[#This Row],[Description]]," - ",Query1[[#This Row],[MB1]]," - ",Query1[[#This Row],[MB2]]," - ",Query1[[#This Row],[MB3]])</f>
        <v>EVAP KIT 64 1/2- 66 MUSTANG  - 830076 - 0 - 0</v>
      </c>
    </row>
    <row r="2402" spans="1:15" x14ac:dyDescent="0.25">
      <c r="A2402" s="1">
        <v>915416</v>
      </c>
      <c r="B2402" s="1" t="s">
        <v>12</v>
      </c>
      <c r="C2402" s="1" t="s">
        <v>13</v>
      </c>
      <c r="D2402" s="2">
        <v>44636.532774305553</v>
      </c>
      <c r="E2402" s="1" t="s">
        <v>8</v>
      </c>
      <c r="F2402" s="1">
        <v>3</v>
      </c>
      <c r="G2402" s="1">
        <v>0</v>
      </c>
      <c r="H2402" s="6">
        <f>INT(Query1[[#This Row],[EntryDateTime]])</f>
        <v>44636</v>
      </c>
      <c r="I2402" s="1">
        <f>IF(Query1[[#This Row],[ItemType]]="EVAP KIT SF GEN IV",Query1[[#This Row],[OrderQty]]+I2401,I2401)</f>
        <v>2849</v>
      </c>
      <c r="J2402" s="1">
        <f>IF(Query1[[#This Row],[ItemType]]="EVAP KIT UNIVERSAL",Query1[[#This Row],[OrderQty]]+J2401,J2401)</f>
        <v>1210</v>
      </c>
      <c r="K2402" s="1">
        <f>Query1[[#This Row],[SF Running Total]]+Query1[[#This Row],[UNIV Running Total]]</f>
        <v>4059</v>
      </c>
      <c r="L2402">
        <f>VLOOKUP(Query1[[#This Row],[Description]],'kits to boards'!$B$2:$E$156,2,FALSE)</f>
        <v>830079</v>
      </c>
      <c r="M2402">
        <f>VLOOKUP(Query1[[#This Row],[Description]],'kits to boards'!$B$2:$E$156,3,FALSE)</f>
        <v>830046</v>
      </c>
      <c r="N2402">
        <f>VLOOKUP(Query1[[#This Row],[Description]],'kits to boards'!$B$2:$E$156,4,FALSE)</f>
        <v>0</v>
      </c>
      <c r="O2402" t="str">
        <f>CONCATENATE(Query1[[#This Row],[Description]]," - ",Query1[[#This Row],[MB1]]," - ",Query1[[#This Row],[MB2]]," - ",Query1[[#This Row],[MB3]])</f>
        <v>EVAP KIT 67-68 MUSTANG/COUGAR W/AC - 830079 - 830046 - 0</v>
      </c>
    </row>
    <row r="2403" spans="1:15" x14ac:dyDescent="0.25">
      <c r="A2403" s="1">
        <v>915416</v>
      </c>
      <c r="B2403" s="1" t="s">
        <v>108</v>
      </c>
      <c r="C2403" s="1" t="s">
        <v>109</v>
      </c>
      <c r="D2403" s="2">
        <v>44636.532777812499</v>
      </c>
      <c r="E2403" s="1" t="s">
        <v>8</v>
      </c>
      <c r="F2403" s="1">
        <v>3</v>
      </c>
      <c r="G2403" s="1">
        <v>0</v>
      </c>
      <c r="H2403" s="6">
        <f>INT(Query1[[#This Row],[EntryDateTime]])</f>
        <v>44636</v>
      </c>
      <c r="I2403" s="1">
        <f>IF(Query1[[#This Row],[ItemType]]="EVAP KIT SF GEN IV",Query1[[#This Row],[OrderQty]]+I2402,I2402)</f>
        <v>2852</v>
      </c>
      <c r="J2403" s="1">
        <f>IF(Query1[[#This Row],[ItemType]]="EVAP KIT UNIVERSAL",Query1[[#This Row],[OrderQty]]+J2402,J2402)</f>
        <v>1210</v>
      </c>
      <c r="K2403" s="1">
        <f>Query1[[#This Row],[SF Running Total]]+Query1[[#This Row],[UNIV Running Total]]</f>
        <v>4062</v>
      </c>
      <c r="L2403">
        <f>VLOOKUP(Query1[[#This Row],[Description]],'kits to boards'!$B$2:$E$156,2,FALSE)</f>
        <v>830105</v>
      </c>
      <c r="M2403">
        <f>VLOOKUP(Query1[[#This Row],[Description]],'kits to boards'!$B$2:$E$156,3,FALSE)</f>
        <v>830106</v>
      </c>
      <c r="N2403">
        <f>VLOOKUP(Query1[[#This Row],[Description]],'kits to boards'!$B$2:$E$156,4,FALSE)</f>
        <v>0</v>
      </c>
      <c r="O2403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2404" spans="1:15" x14ac:dyDescent="0.25">
      <c r="A2404" s="1">
        <v>915417</v>
      </c>
      <c r="B2404" s="1" t="s">
        <v>106</v>
      </c>
      <c r="C2404" s="1" t="s">
        <v>107</v>
      </c>
      <c r="D2404" s="2">
        <v>44636.534580706022</v>
      </c>
      <c r="E2404" s="1" t="s">
        <v>8</v>
      </c>
      <c r="F2404" s="1">
        <v>7</v>
      </c>
      <c r="G2404" s="1">
        <v>0</v>
      </c>
      <c r="H2404" s="6">
        <f>INT(Query1[[#This Row],[EntryDateTime]])</f>
        <v>44636</v>
      </c>
      <c r="I2404" s="1">
        <f>IF(Query1[[#This Row],[ItemType]]="EVAP KIT SF GEN IV",Query1[[#This Row],[OrderQty]]+I2403,I2403)</f>
        <v>2859</v>
      </c>
      <c r="J2404" s="1">
        <f>IF(Query1[[#This Row],[ItemType]]="EVAP KIT UNIVERSAL",Query1[[#This Row],[OrderQty]]+J2403,J2403)</f>
        <v>1210</v>
      </c>
      <c r="K2404" s="1">
        <f>Query1[[#This Row],[SF Running Total]]+Query1[[#This Row],[UNIV Running Total]]</f>
        <v>4069</v>
      </c>
      <c r="L2404">
        <f>VLOOKUP(Query1[[#This Row],[Description]],'kits to boards'!$B$2:$E$156,2,FALSE)</f>
        <v>830028</v>
      </c>
      <c r="M2404">
        <f>VLOOKUP(Query1[[#This Row],[Description]],'kits to boards'!$B$2:$E$156,3,FALSE)</f>
        <v>0</v>
      </c>
      <c r="N2404">
        <f>VLOOKUP(Query1[[#This Row],[Description]],'kits to boards'!$B$2:$E$156,4,FALSE)</f>
        <v>0</v>
      </c>
      <c r="O2404" t="str">
        <f>CONCATENATE(Query1[[#This Row],[Description]]," - ",Query1[[#This Row],[MB1]]," - ",Query1[[#This Row],[MB2]]," - ",Query1[[#This Row],[MB3]])</f>
        <v>EVAP KIT 55-59 CHEV P-UP WO AC W/DELX - 830028 - 0 - 0</v>
      </c>
    </row>
    <row r="2405" spans="1:15" x14ac:dyDescent="0.25">
      <c r="A2405" s="1">
        <v>915419</v>
      </c>
      <c r="B2405" s="1" t="s">
        <v>42</v>
      </c>
      <c r="C2405" s="1" t="s">
        <v>43</v>
      </c>
      <c r="D2405" s="2">
        <v>44636.536427430554</v>
      </c>
      <c r="E2405" s="1" t="s">
        <v>8</v>
      </c>
      <c r="F2405" s="1">
        <v>10</v>
      </c>
      <c r="G2405" s="1">
        <v>0</v>
      </c>
      <c r="H2405" s="6">
        <f>INT(Query1[[#This Row],[EntryDateTime]])</f>
        <v>44636</v>
      </c>
      <c r="I2405" s="1">
        <f>IF(Query1[[#This Row],[ItemType]]="EVAP KIT SF GEN IV",Query1[[#This Row],[OrderQty]]+I2404,I2404)</f>
        <v>2869</v>
      </c>
      <c r="J2405" s="1">
        <f>IF(Query1[[#This Row],[ItemType]]="EVAP KIT UNIVERSAL",Query1[[#This Row],[OrderQty]]+J2404,J2404)</f>
        <v>1210</v>
      </c>
      <c r="K2405" s="1">
        <f>Query1[[#This Row],[SF Running Total]]+Query1[[#This Row],[UNIV Running Total]]</f>
        <v>4079</v>
      </c>
      <c r="L2405">
        <f>VLOOKUP(Query1[[#This Row],[Description]],'kits to boards'!$B$2:$E$156,2,FALSE)</f>
        <v>830014</v>
      </c>
      <c r="M2405">
        <f>VLOOKUP(Query1[[#This Row],[Description]],'kits to boards'!$B$2:$E$156,3,FALSE)</f>
        <v>0</v>
      </c>
      <c r="N2405">
        <f>VLOOKUP(Query1[[#This Row],[Description]],'kits to boards'!$B$2:$E$156,4,FALSE)</f>
        <v>0</v>
      </c>
      <c r="O2405" t="str">
        <f>CONCATENATE(Query1[[#This Row],[Description]]," - ",Query1[[#This Row],[MB1]]," - ",Query1[[#This Row],[MB2]]," - ",Query1[[#This Row],[MB3]])</f>
        <v>EVAP KIT 67-72 CHEV P-UP WO AC - 830014 - 0 - 0</v>
      </c>
    </row>
    <row r="2406" spans="1:15" x14ac:dyDescent="0.25">
      <c r="A2406" s="1">
        <v>915419</v>
      </c>
      <c r="B2406" s="1" t="s">
        <v>26</v>
      </c>
      <c r="C2406" s="1" t="s">
        <v>27</v>
      </c>
      <c r="D2406" s="2">
        <v>44636.536429201391</v>
      </c>
      <c r="E2406" s="1" t="s">
        <v>8</v>
      </c>
      <c r="F2406" s="1">
        <v>4</v>
      </c>
      <c r="G2406" s="1">
        <v>0</v>
      </c>
      <c r="H2406" s="6">
        <f>INT(Query1[[#This Row],[EntryDateTime]])</f>
        <v>44636</v>
      </c>
      <c r="I2406" s="1">
        <f>IF(Query1[[#This Row],[ItemType]]="EVAP KIT SF GEN IV",Query1[[#This Row],[OrderQty]]+I2405,I2405)</f>
        <v>2873</v>
      </c>
      <c r="J2406" s="1">
        <f>IF(Query1[[#This Row],[ItemType]]="EVAP KIT UNIVERSAL",Query1[[#This Row],[OrderQty]]+J2405,J2405)</f>
        <v>1210</v>
      </c>
      <c r="K2406" s="1">
        <f>Query1[[#This Row],[SF Running Total]]+Query1[[#This Row],[UNIV Running Total]]</f>
        <v>4083</v>
      </c>
      <c r="L2406">
        <f>VLOOKUP(Query1[[#This Row],[Description]],'kits to boards'!$B$2:$E$156,2,FALSE)</f>
        <v>830013</v>
      </c>
      <c r="M2406">
        <f>VLOOKUP(Query1[[#This Row],[Description]],'kits to boards'!$B$2:$E$156,3,FALSE)</f>
        <v>0</v>
      </c>
      <c r="N2406">
        <f>VLOOKUP(Query1[[#This Row],[Description]],'kits to boards'!$B$2:$E$156,4,FALSE)</f>
        <v>0</v>
      </c>
      <c r="O2406" t="str">
        <f>CONCATENATE(Query1[[#This Row],[Description]]," - ",Query1[[#This Row],[MB1]]," - ",Query1[[#This Row],[MB2]]," - ",Query1[[#This Row],[MB3]])</f>
        <v>EVAP KIT 67-72 CHEV P-UP W/AC - 830013 - 0 - 0</v>
      </c>
    </row>
    <row r="2407" spans="1:15" x14ac:dyDescent="0.25">
      <c r="A2407" s="1">
        <v>915419</v>
      </c>
      <c r="B2407" s="1" t="s">
        <v>96</v>
      </c>
      <c r="C2407" s="1" t="s">
        <v>97</v>
      </c>
      <c r="D2407" s="2">
        <v>44636.536430983797</v>
      </c>
      <c r="E2407" s="1" t="s">
        <v>8</v>
      </c>
      <c r="F2407" s="1">
        <v>10</v>
      </c>
      <c r="G2407" s="1">
        <v>0</v>
      </c>
      <c r="H2407" s="6">
        <f>INT(Query1[[#This Row],[EntryDateTime]])</f>
        <v>44636</v>
      </c>
      <c r="I2407" s="1">
        <f>IF(Query1[[#This Row],[ItemType]]="EVAP KIT SF GEN IV",Query1[[#This Row],[OrderQty]]+I2406,I2406)</f>
        <v>2883</v>
      </c>
      <c r="J2407" s="1">
        <f>IF(Query1[[#This Row],[ItemType]]="EVAP KIT UNIVERSAL",Query1[[#This Row],[OrderQty]]+J2406,J2406)</f>
        <v>1210</v>
      </c>
      <c r="K2407" s="1">
        <f>Query1[[#This Row],[SF Running Total]]+Query1[[#This Row],[UNIV Running Total]]</f>
        <v>4093</v>
      </c>
      <c r="L2407">
        <f>VLOOKUP(Query1[[#This Row],[Description]],'kits to boards'!$B$2:$E$156,2,FALSE)</f>
        <v>830004</v>
      </c>
      <c r="M2407">
        <f>VLOOKUP(Query1[[#This Row],[Description]],'kits to boards'!$B$2:$E$156,3,FALSE)</f>
        <v>0</v>
      </c>
      <c r="N2407">
        <f>VLOOKUP(Query1[[#This Row],[Description]],'kits to boards'!$B$2:$E$156,4,FALSE)</f>
        <v>0</v>
      </c>
      <c r="O2407" t="str">
        <f>CONCATENATE(Query1[[#This Row],[Description]]," - ",Query1[[#This Row],[MB1]]," - ",Query1[[#This Row],[MB2]]," - ",Query1[[#This Row],[MB3]])</f>
        <v>EVAP KIT 81-87 CHEV P-UP W/AC - 830004 - 0 - 0</v>
      </c>
    </row>
    <row r="2408" spans="1:15" x14ac:dyDescent="0.25">
      <c r="A2408" s="1">
        <v>915420</v>
      </c>
      <c r="B2408" s="1" t="s">
        <v>94</v>
      </c>
      <c r="C2408" s="1" t="s">
        <v>95</v>
      </c>
      <c r="D2408" s="2">
        <v>44636.538803240743</v>
      </c>
      <c r="E2408" s="1" t="s">
        <v>8</v>
      </c>
      <c r="F2408" s="1">
        <v>5</v>
      </c>
      <c r="G2408" s="1">
        <v>0</v>
      </c>
      <c r="H2408" s="6">
        <f>INT(Query1[[#This Row],[EntryDateTime]])</f>
        <v>44636</v>
      </c>
      <c r="I2408" s="1">
        <f>IF(Query1[[#This Row],[ItemType]]="EVAP KIT SF GEN IV",Query1[[#This Row],[OrderQty]]+I2407,I2407)</f>
        <v>2888</v>
      </c>
      <c r="J2408" s="1">
        <f>IF(Query1[[#This Row],[ItemType]]="EVAP KIT UNIVERSAL",Query1[[#This Row],[OrderQty]]+J2407,J2407)</f>
        <v>1210</v>
      </c>
      <c r="K2408" s="1">
        <f>Query1[[#This Row],[SF Running Total]]+Query1[[#This Row],[UNIV Running Total]]</f>
        <v>4098</v>
      </c>
      <c r="L2408">
        <f>VLOOKUP(Query1[[#This Row],[Description]],'kits to boards'!$B$2:$E$156,2,FALSE)</f>
        <v>830076</v>
      </c>
      <c r="M2408">
        <f>VLOOKUP(Query1[[#This Row],[Description]],'kits to boards'!$B$2:$E$156,3,FALSE)</f>
        <v>0</v>
      </c>
      <c r="N2408">
        <f>VLOOKUP(Query1[[#This Row],[Description]],'kits to boards'!$B$2:$E$156,4,FALSE)</f>
        <v>0</v>
      </c>
      <c r="O2408" t="str">
        <f>CONCATENATE(Query1[[#This Row],[Description]]," - ",Query1[[#This Row],[MB1]]," - ",Query1[[#This Row],[MB2]]," - ",Query1[[#This Row],[MB3]])</f>
        <v>EVAP KIT 64 1/2- 66 MUSTANG  - 830076 - 0 - 0</v>
      </c>
    </row>
    <row r="2409" spans="1:15" x14ac:dyDescent="0.25">
      <c r="A2409" s="1">
        <v>915420</v>
      </c>
      <c r="B2409" s="1" t="s">
        <v>52</v>
      </c>
      <c r="C2409" s="1" t="s">
        <v>53</v>
      </c>
      <c r="D2409" s="2">
        <v>44636.538805474534</v>
      </c>
      <c r="E2409" s="1" t="s">
        <v>8</v>
      </c>
      <c r="F2409" s="1">
        <v>7</v>
      </c>
      <c r="G2409" s="1">
        <v>0</v>
      </c>
      <c r="H2409" s="6">
        <f>INT(Query1[[#This Row],[EntryDateTime]])</f>
        <v>44636</v>
      </c>
      <c r="I2409" s="1">
        <f>IF(Query1[[#This Row],[ItemType]]="EVAP KIT SF GEN IV",Query1[[#This Row],[OrderQty]]+I2408,I2408)</f>
        <v>2895</v>
      </c>
      <c r="J2409" s="1">
        <f>IF(Query1[[#This Row],[ItemType]]="EVAP KIT UNIVERSAL",Query1[[#This Row],[OrderQty]]+J2408,J2408)</f>
        <v>1210</v>
      </c>
      <c r="K2409" s="1">
        <f>Query1[[#This Row],[SF Running Total]]+Query1[[#This Row],[UNIV Running Total]]</f>
        <v>4105</v>
      </c>
      <c r="L2409">
        <f>VLOOKUP(Query1[[#This Row],[Description]],'kits to boards'!$B$2:$E$156,2,FALSE)</f>
        <v>830017</v>
      </c>
      <c r="M2409">
        <f>VLOOKUP(Query1[[#This Row],[Description]],'kits to boards'!$B$2:$E$156,3,FALSE)</f>
        <v>830119</v>
      </c>
      <c r="N2409">
        <f>VLOOKUP(Query1[[#This Row],[Description]],'kits to boards'!$B$2:$E$156,4,FALSE)</f>
        <v>830120</v>
      </c>
      <c r="O2409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2410" spans="1:15" x14ac:dyDescent="0.25">
      <c r="A2410" s="1">
        <v>915420</v>
      </c>
      <c r="B2410" s="1" t="s">
        <v>84</v>
      </c>
      <c r="C2410" s="1" t="s">
        <v>85</v>
      </c>
      <c r="D2410" s="2">
        <v>44636.538810451391</v>
      </c>
      <c r="E2410" s="1" t="s">
        <v>8</v>
      </c>
      <c r="F2410" s="1">
        <v>21</v>
      </c>
      <c r="G2410" s="1">
        <v>0</v>
      </c>
      <c r="H2410" s="6">
        <f>INT(Query1[[#This Row],[EntryDateTime]])</f>
        <v>44636</v>
      </c>
      <c r="I2410" s="1">
        <f>IF(Query1[[#This Row],[ItemType]]="EVAP KIT SF GEN IV",Query1[[#This Row],[OrderQty]]+I2409,I2409)</f>
        <v>2916</v>
      </c>
      <c r="J2410" s="1">
        <f>IF(Query1[[#This Row],[ItemType]]="EVAP KIT UNIVERSAL",Query1[[#This Row],[OrderQty]]+J2409,J2409)</f>
        <v>1210</v>
      </c>
      <c r="K2410" s="1">
        <f>Query1[[#This Row],[SF Running Total]]+Query1[[#This Row],[UNIV Running Total]]</f>
        <v>4126</v>
      </c>
      <c r="L2410">
        <f>VLOOKUP(Query1[[#This Row],[Description]],'kits to boards'!$B$2:$E$156,2,FALSE)</f>
        <v>830085</v>
      </c>
      <c r="M2410">
        <f>VLOOKUP(Query1[[#This Row],[Description]],'kits to boards'!$B$2:$E$156,3,FALSE)</f>
        <v>0</v>
      </c>
      <c r="N2410">
        <f>VLOOKUP(Query1[[#This Row],[Description]],'kits to boards'!$B$2:$E$156,4,FALSE)</f>
        <v>0</v>
      </c>
      <c r="O2410" t="str">
        <f>CONCATENATE(Query1[[#This Row],[Description]]," - ",Query1[[#This Row],[MB1]]," - ",Query1[[#This Row],[MB2]]," - ",Query1[[#This Row],[MB3]])</f>
        <v>EVAP KIT 66-77 BRONCO 4-VENT PLENUM - 830085 - 0 - 0</v>
      </c>
    </row>
    <row r="2411" spans="1:15" x14ac:dyDescent="0.25">
      <c r="A2411" s="1">
        <v>915420</v>
      </c>
      <c r="B2411" s="1" t="s">
        <v>88</v>
      </c>
      <c r="C2411" s="1" t="s">
        <v>89</v>
      </c>
      <c r="D2411" s="2">
        <v>44636.538813043982</v>
      </c>
      <c r="E2411" s="1" t="s">
        <v>8</v>
      </c>
      <c r="F2411" s="1">
        <v>4</v>
      </c>
      <c r="G2411" s="1">
        <v>0</v>
      </c>
      <c r="H2411" s="6">
        <f>INT(Query1[[#This Row],[EntryDateTime]])</f>
        <v>44636</v>
      </c>
      <c r="I2411" s="1">
        <f>IF(Query1[[#This Row],[ItemType]]="EVAP KIT SF GEN IV",Query1[[#This Row],[OrderQty]]+I2410,I2410)</f>
        <v>2920</v>
      </c>
      <c r="J2411" s="1">
        <f>IF(Query1[[#This Row],[ItemType]]="EVAP KIT UNIVERSAL",Query1[[#This Row],[OrderQty]]+J2410,J2410)</f>
        <v>1210</v>
      </c>
      <c r="K2411" s="1">
        <f>Query1[[#This Row],[SF Running Total]]+Query1[[#This Row],[UNIV Running Total]]</f>
        <v>4130</v>
      </c>
      <c r="L2411">
        <f>VLOOKUP(Query1[[#This Row],[Description]],'kits to boards'!$B$2:$E$156,2,FALSE)</f>
        <v>830003</v>
      </c>
      <c r="M2411">
        <f>VLOOKUP(Query1[[#This Row],[Description]],'kits to boards'!$B$2:$E$156,3,FALSE)</f>
        <v>0</v>
      </c>
      <c r="N2411">
        <f>VLOOKUP(Query1[[#This Row],[Description]],'kits to boards'!$B$2:$E$156,4,FALSE)</f>
        <v>0</v>
      </c>
      <c r="O2411" t="str">
        <f>CONCATENATE(Query1[[#This Row],[Description]]," - ",Query1[[#This Row],[MB1]]," - ",Query1[[#This Row],[MB2]]," - ",Query1[[#This Row],[MB3]])</f>
        <v>EVAP KIT 81-87 CHEV P-UP WO AC - 830003 - 0 - 0</v>
      </c>
    </row>
    <row r="2412" spans="1:15" x14ac:dyDescent="0.25">
      <c r="A2412" s="1">
        <v>915422</v>
      </c>
      <c r="B2412" s="1" t="s">
        <v>72</v>
      </c>
      <c r="C2412" s="1" t="s">
        <v>73</v>
      </c>
      <c r="D2412" s="2">
        <v>44636.540501655094</v>
      </c>
      <c r="E2412" s="1" t="s">
        <v>8</v>
      </c>
      <c r="F2412" s="1">
        <v>1</v>
      </c>
      <c r="G2412" s="1">
        <v>0</v>
      </c>
      <c r="H2412" s="6">
        <f>INT(Query1[[#This Row],[EntryDateTime]])</f>
        <v>44636</v>
      </c>
      <c r="I2412" s="1">
        <f>IF(Query1[[#This Row],[ItemType]]="EVAP KIT SF GEN IV",Query1[[#This Row],[OrderQty]]+I2411,I2411)</f>
        <v>2921</v>
      </c>
      <c r="J2412" s="1">
        <f>IF(Query1[[#This Row],[ItemType]]="EVAP KIT UNIVERSAL",Query1[[#This Row],[OrderQty]]+J2411,J2411)</f>
        <v>1210</v>
      </c>
      <c r="K2412" s="1">
        <f>Query1[[#This Row],[SF Running Total]]+Query1[[#This Row],[UNIV Running Total]]</f>
        <v>4131</v>
      </c>
      <c r="L2412">
        <f>VLOOKUP(Query1[[#This Row],[Description]],'kits to boards'!$B$2:$E$156,2,FALSE)</f>
        <v>830043</v>
      </c>
      <c r="M2412">
        <f>VLOOKUP(Query1[[#This Row],[Description]],'kits to boards'!$B$2:$E$156,3,FALSE)</f>
        <v>0</v>
      </c>
      <c r="N2412">
        <f>VLOOKUP(Query1[[#This Row],[Description]],'kits to boards'!$B$2:$E$156,4,FALSE)</f>
        <v>0</v>
      </c>
      <c r="O2412" t="str">
        <f>CONCATENATE(Query1[[#This Row],[Description]]," - ",Query1[[#This Row],[MB1]]," - ",Query1[[#This Row],[MB2]]," - ",Query1[[#This Row],[MB3]])</f>
        <v>EVAP KIT 69-74 NOVA W/AC - 830043 - 0 - 0</v>
      </c>
    </row>
    <row r="2413" spans="1:15" x14ac:dyDescent="0.25">
      <c r="A2413" s="1">
        <v>915426</v>
      </c>
      <c r="B2413" s="1" t="s">
        <v>114</v>
      </c>
      <c r="C2413" s="1" t="s">
        <v>115</v>
      </c>
      <c r="D2413" s="2">
        <v>44636.547345405095</v>
      </c>
      <c r="E2413" s="1" t="s">
        <v>8</v>
      </c>
      <c r="F2413" s="1">
        <v>1</v>
      </c>
      <c r="G2413" s="1">
        <v>0</v>
      </c>
      <c r="H2413" s="6">
        <f>INT(Query1[[#This Row],[EntryDateTime]])</f>
        <v>44636</v>
      </c>
      <c r="I2413" s="1">
        <f>IF(Query1[[#This Row],[ItemType]]="EVAP KIT SF GEN IV",Query1[[#This Row],[OrderQty]]+I2412,I2412)</f>
        <v>2922</v>
      </c>
      <c r="J2413" s="1">
        <f>IF(Query1[[#This Row],[ItemType]]="EVAP KIT UNIVERSAL",Query1[[#This Row],[OrderQty]]+J2412,J2412)</f>
        <v>1210</v>
      </c>
      <c r="K2413" s="1">
        <f>Query1[[#This Row],[SF Running Total]]+Query1[[#This Row],[UNIV Running Total]]</f>
        <v>4132</v>
      </c>
      <c r="L2413">
        <f>VLOOKUP(Query1[[#This Row],[Description]],'kits to boards'!$B$2:$E$156,2,FALSE)</f>
        <v>830059</v>
      </c>
      <c r="M2413">
        <f>VLOOKUP(Query1[[#This Row],[Description]],'kits to boards'!$B$2:$E$156,3,FALSE)</f>
        <v>0</v>
      </c>
      <c r="N2413">
        <f>VLOOKUP(Query1[[#This Row],[Description]],'kits to boards'!$B$2:$E$156,4,FALSE)</f>
        <v>0</v>
      </c>
      <c r="O2413" t="str">
        <f>CONCATENATE(Query1[[#This Row],[Description]]," - ",Query1[[#This Row],[MB1]]," - ",Query1[[#This Row],[MB2]]," - ",Query1[[#This Row],[MB3]])</f>
        <v>EVAP KIT 66-67 CHEVELLE W/AC - 830059 - 0 - 0</v>
      </c>
    </row>
    <row r="2414" spans="1:15" x14ac:dyDescent="0.25">
      <c r="A2414" s="1">
        <v>915428</v>
      </c>
      <c r="B2414" s="1" t="s">
        <v>42</v>
      </c>
      <c r="C2414" s="1" t="s">
        <v>43</v>
      </c>
      <c r="D2414" s="2">
        <v>44636.550526388892</v>
      </c>
      <c r="E2414" s="1" t="s">
        <v>8</v>
      </c>
      <c r="F2414" s="1">
        <v>1</v>
      </c>
      <c r="G2414" s="1">
        <v>0</v>
      </c>
      <c r="H2414" s="6">
        <f>INT(Query1[[#This Row],[EntryDateTime]])</f>
        <v>44636</v>
      </c>
      <c r="I2414" s="1">
        <f>IF(Query1[[#This Row],[ItemType]]="EVAP KIT SF GEN IV",Query1[[#This Row],[OrderQty]]+I2413,I2413)</f>
        <v>2923</v>
      </c>
      <c r="J2414" s="1">
        <f>IF(Query1[[#This Row],[ItemType]]="EVAP KIT UNIVERSAL",Query1[[#This Row],[OrderQty]]+J2413,J2413)</f>
        <v>1210</v>
      </c>
      <c r="K2414" s="1">
        <f>Query1[[#This Row],[SF Running Total]]+Query1[[#This Row],[UNIV Running Total]]</f>
        <v>4133</v>
      </c>
      <c r="L2414">
        <f>VLOOKUP(Query1[[#This Row],[Description]],'kits to boards'!$B$2:$E$156,2,FALSE)</f>
        <v>830014</v>
      </c>
      <c r="M2414">
        <f>VLOOKUP(Query1[[#This Row],[Description]],'kits to boards'!$B$2:$E$156,3,FALSE)</f>
        <v>0</v>
      </c>
      <c r="N2414">
        <f>VLOOKUP(Query1[[#This Row],[Description]],'kits to boards'!$B$2:$E$156,4,FALSE)</f>
        <v>0</v>
      </c>
      <c r="O2414" t="str">
        <f>CONCATENATE(Query1[[#This Row],[Description]]," - ",Query1[[#This Row],[MB1]]," - ",Query1[[#This Row],[MB2]]," - ",Query1[[#This Row],[MB3]])</f>
        <v>EVAP KIT 67-72 CHEV P-UP WO AC - 830014 - 0 - 0</v>
      </c>
    </row>
    <row r="2415" spans="1:15" x14ac:dyDescent="0.25">
      <c r="A2415" s="1">
        <v>913248</v>
      </c>
      <c r="B2415" s="1" t="s">
        <v>90</v>
      </c>
      <c r="C2415" s="1" t="s">
        <v>91</v>
      </c>
      <c r="D2415" s="2">
        <v>44636.57016087963</v>
      </c>
      <c r="E2415" s="1" t="s">
        <v>8</v>
      </c>
      <c r="F2415" s="1">
        <v>1</v>
      </c>
      <c r="G2415" s="1">
        <v>0</v>
      </c>
      <c r="H2415" s="6">
        <f>INT(Query1[[#This Row],[EntryDateTime]])</f>
        <v>44636</v>
      </c>
      <c r="I2415" s="1">
        <f>IF(Query1[[#This Row],[ItemType]]="EVAP KIT SF GEN IV",Query1[[#This Row],[OrderQty]]+I2414,I2414)</f>
        <v>2924</v>
      </c>
      <c r="J2415" s="1">
        <f>IF(Query1[[#This Row],[ItemType]]="EVAP KIT UNIVERSAL",Query1[[#This Row],[OrderQty]]+J2414,J2414)</f>
        <v>1210</v>
      </c>
      <c r="K2415" s="1">
        <f>Query1[[#This Row],[SF Running Total]]+Query1[[#This Row],[UNIV Running Total]]</f>
        <v>4134</v>
      </c>
      <c r="L2415">
        <f>VLOOKUP(Query1[[#This Row],[Description]],'kits to boards'!$B$2:$E$156,2,FALSE)</f>
        <v>830105</v>
      </c>
      <c r="M2415">
        <f>VLOOKUP(Query1[[#This Row],[Description]],'kits to boards'!$B$2:$E$156,3,FALSE)</f>
        <v>830106</v>
      </c>
      <c r="N2415">
        <f>VLOOKUP(Query1[[#This Row],[Description]],'kits to boards'!$B$2:$E$156,4,FALSE)</f>
        <v>0</v>
      </c>
      <c r="O2415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2416" spans="1:15" x14ac:dyDescent="0.25">
      <c r="A2416" s="1">
        <v>915415</v>
      </c>
      <c r="B2416" s="1" t="s">
        <v>96</v>
      </c>
      <c r="C2416" s="1" t="s">
        <v>97</v>
      </c>
      <c r="D2416" s="2">
        <v>44636.577112465275</v>
      </c>
      <c r="E2416" s="1" t="s">
        <v>8</v>
      </c>
      <c r="F2416" s="1">
        <v>1</v>
      </c>
      <c r="G2416" s="1">
        <v>0</v>
      </c>
      <c r="H2416" s="6">
        <f>INT(Query1[[#This Row],[EntryDateTime]])</f>
        <v>44636</v>
      </c>
      <c r="I2416" s="1">
        <f>IF(Query1[[#This Row],[ItemType]]="EVAP KIT SF GEN IV",Query1[[#This Row],[OrderQty]]+I2415,I2415)</f>
        <v>2925</v>
      </c>
      <c r="J2416" s="1">
        <f>IF(Query1[[#This Row],[ItemType]]="EVAP KIT UNIVERSAL",Query1[[#This Row],[OrderQty]]+J2415,J2415)</f>
        <v>1210</v>
      </c>
      <c r="K2416" s="1">
        <f>Query1[[#This Row],[SF Running Total]]+Query1[[#This Row],[UNIV Running Total]]</f>
        <v>4135</v>
      </c>
      <c r="L2416">
        <f>VLOOKUP(Query1[[#This Row],[Description]],'kits to boards'!$B$2:$E$156,2,FALSE)</f>
        <v>830004</v>
      </c>
      <c r="M2416">
        <f>VLOOKUP(Query1[[#This Row],[Description]],'kits to boards'!$B$2:$E$156,3,FALSE)</f>
        <v>0</v>
      </c>
      <c r="N2416">
        <f>VLOOKUP(Query1[[#This Row],[Description]],'kits to boards'!$B$2:$E$156,4,FALSE)</f>
        <v>0</v>
      </c>
      <c r="O2416" t="str">
        <f>CONCATENATE(Query1[[#This Row],[Description]]," - ",Query1[[#This Row],[MB1]]," - ",Query1[[#This Row],[MB2]]," - ",Query1[[#This Row],[MB3]])</f>
        <v>EVAP KIT 81-87 CHEV P-UP W/AC - 830004 - 0 - 0</v>
      </c>
    </row>
    <row r="2417" spans="1:15" x14ac:dyDescent="0.25">
      <c r="A2417" s="1">
        <v>915251</v>
      </c>
      <c r="B2417" s="1" t="s">
        <v>28</v>
      </c>
      <c r="C2417" s="1" t="s">
        <v>29</v>
      </c>
      <c r="D2417" s="2">
        <v>44636.577741354165</v>
      </c>
      <c r="E2417" s="1" t="s">
        <v>8</v>
      </c>
      <c r="F2417" s="1">
        <v>1</v>
      </c>
      <c r="G2417" s="1">
        <v>0</v>
      </c>
      <c r="H2417" s="6">
        <f>INT(Query1[[#This Row],[EntryDateTime]])</f>
        <v>44636</v>
      </c>
      <c r="I2417" s="1">
        <f>IF(Query1[[#This Row],[ItemType]]="EVAP KIT SF GEN IV",Query1[[#This Row],[OrderQty]]+I2416,I2416)</f>
        <v>2926</v>
      </c>
      <c r="J2417" s="1">
        <f>IF(Query1[[#This Row],[ItemType]]="EVAP KIT UNIVERSAL",Query1[[#This Row],[OrderQty]]+J2416,J2416)</f>
        <v>1210</v>
      </c>
      <c r="K2417" s="1">
        <f>Query1[[#This Row],[SF Running Total]]+Query1[[#This Row],[UNIV Running Total]]</f>
        <v>4136</v>
      </c>
      <c r="L2417">
        <f>VLOOKUP(Query1[[#This Row],[Description]],'kits to boards'!$B$2:$E$156,2,FALSE)</f>
        <v>830001</v>
      </c>
      <c r="M2417">
        <f>VLOOKUP(Query1[[#This Row],[Description]],'kits to boards'!$B$2:$E$156,3,FALSE)</f>
        <v>0</v>
      </c>
      <c r="N2417">
        <f>VLOOKUP(Query1[[#This Row],[Description]],'kits to boards'!$B$2:$E$156,4,FALSE)</f>
        <v>0</v>
      </c>
      <c r="O2417" t="str">
        <f>CONCATENATE(Query1[[#This Row],[Description]]," - ",Query1[[#This Row],[MB1]]," - ",Query1[[#This Row],[MB2]]," - ",Query1[[#This Row],[MB3]])</f>
        <v>EVAP KIT 73-80 CHEV P-UP W/AC - 830001 - 0 - 0</v>
      </c>
    </row>
    <row r="2418" spans="1:15" x14ac:dyDescent="0.25">
      <c r="A2418" s="1">
        <v>915440</v>
      </c>
      <c r="B2418" s="1" t="s">
        <v>102</v>
      </c>
      <c r="C2418" s="1" t="s">
        <v>103</v>
      </c>
      <c r="D2418" s="2">
        <v>44636.578688807873</v>
      </c>
      <c r="E2418" s="1" t="s">
        <v>8</v>
      </c>
      <c r="F2418" s="1">
        <v>1</v>
      </c>
      <c r="G2418" s="1">
        <v>0</v>
      </c>
      <c r="H2418" s="6">
        <f>INT(Query1[[#This Row],[EntryDateTime]])</f>
        <v>44636</v>
      </c>
      <c r="I2418" s="1">
        <f>IF(Query1[[#This Row],[ItemType]]="EVAP KIT SF GEN IV",Query1[[#This Row],[OrderQty]]+I2417,I2417)</f>
        <v>2927</v>
      </c>
      <c r="J2418" s="1">
        <f>IF(Query1[[#This Row],[ItemType]]="EVAP KIT UNIVERSAL",Query1[[#This Row],[OrderQty]]+J2417,J2417)</f>
        <v>1210</v>
      </c>
      <c r="K2418" s="1">
        <f>Query1[[#This Row],[SF Running Total]]+Query1[[#This Row],[UNIV Running Total]]</f>
        <v>4137</v>
      </c>
      <c r="L2418">
        <f>VLOOKUP(Query1[[#This Row],[Description]],'kits to boards'!$B$2:$E$156,2,FALSE)</f>
        <v>830012</v>
      </c>
      <c r="M2418">
        <f>VLOOKUP(Query1[[#This Row],[Description]],'kits to boards'!$B$2:$E$156,3,FALSE)</f>
        <v>0</v>
      </c>
      <c r="N2418">
        <f>VLOOKUP(Query1[[#This Row],[Description]],'kits to boards'!$B$2:$E$156,4,FALSE)</f>
        <v>0</v>
      </c>
      <c r="O2418" t="str">
        <f>CONCATENATE(Query1[[#This Row],[Description]]," - ",Query1[[#This Row],[MB1]]," - ",Query1[[#This Row],[MB2]]," - ",Query1[[#This Row],[MB3]])</f>
        <v>EVAP KIT 69 CAMARO WO/AC - 830012 - 0 - 0</v>
      </c>
    </row>
    <row r="2419" spans="1:15" x14ac:dyDescent="0.25">
      <c r="A2419" s="1">
        <v>915435</v>
      </c>
      <c r="B2419" s="1" t="s">
        <v>134</v>
      </c>
      <c r="C2419" s="1" t="s">
        <v>135</v>
      </c>
      <c r="D2419" s="2">
        <v>44636.591474386572</v>
      </c>
      <c r="E2419" s="1" t="s">
        <v>8</v>
      </c>
      <c r="F2419" s="1">
        <v>1</v>
      </c>
      <c r="G2419" s="1">
        <v>0</v>
      </c>
      <c r="H2419" s="6">
        <f>INT(Query1[[#This Row],[EntryDateTime]])</f>
        <v>44636</v>
      </c>
      <c r="I2419" s="1">
        <f>IF(Query1[[#This Row],[ItemType]]="EVAP KIT SF GEN IV",Query1[[#This Row],[OrderQty]]+I2418,I2418)</f>
        <v>2928</v>
      </c>
      <c r="J2419" s="1">
        <f>IF(Query1[[#This Row],[ItemType]]="EVAP KIT UNIVERSAL",Query1[[#This Row],[OrderQty]]+J2418,J2418)</f>
        <v>1210</v>
      </c>
      <c r="K2419" s="1">
        <f>Query1[[#This Row],[SF Running Total]]+Query1[[#This Row],[UNIV Running Total]]</f>
        <v>4138</v>
      </c>
      <c r="L2419">
        <f>VLOOKUP(Query1[[#This Row],[Description]],'kits to boards'!$B$2:$E$156,2,FALSE)</f>
        <v>830007</v>
      </c>
      <c r="M2419">
        <f>VLOOKUP(Query1[[#This Row],[Description]],'kits to boards'!$B$2:$E$156,3,FALSE)</f>
        <v>0</v>
      </c>
      <c r="N2419">
        <f>VLOOKUP(Query1[[#This Row],[Description]],'kits to boards'!$B$2:$E$156,4,FALSE)</f>
        <v>0</v>
      </c>
      <c r="O2419" t="str">
        <f>CONCATENATE(Query1[[#This Row],[Description]]," - ",Query1[[#This Row],[MB1]]," - ",Query1[[#This Row],[MB2]]," - ",Query1[[#This Row],[MB3]])</f>
        <v>EVAP KIT 64 IMPALA WO AC - 830007 - 0 - 0</v>
      </c>
    </row>
    <row r="2420" spans="1:15" x14ac:dyDescent="0.25">
      <c r="A2420" s="1">
        <v>915449</v>
      </c>
      <c r="B2420" s="1" t="s">
        <v>122</v>
      </c>
      <c r="C2420" s="1" t="s">
        <v>123</v>
      </c>
      <c r="D2420" s="2">
        <v>44636.599183298611</v>
      </c>
      <c r="E2420" s="1" t="s">
        <v>8</v>
      </c>
      <c r="F2420" s="1">
        <v>1</v>
      </c>
      <c r="G2420" s="1">
        <v>0</v>
      </c>
      <c r="H2420" s="6">
        <f>INT(Query1[[#This Row],[EntryDateTime]])</f>
        <v>44636</v>
      </c>
      <c r="I2420" s="1">
        <f>IF(Query1[[#This Row],[ItemType]]="EVAP KIT SF GEN IV",Query1[[#This Row],[OrderQty]]+I2419,I2419)</f>
        <v>2929</v>
      </c>
      <c r="J2420" s="1">
        <f>IF(Query1[[#This Row],[ItemType]]="EVAP KIT UNIVERSAL",Query1[[#This Row],[OrderQty]]+J2419,J2419)</f>
        <v>1210</v>
      </c>
      <c r="K2420" s="1">
        <f>Query1[[#This Row],[SF Running Total]]+Query1[[#This Row],[UNIV Running Total]]</f>
        <v>4139</v>
      </c>
      <c r="L2420">
        <f>VLOOKUP(Query1[[#This Row],[Description]],'kits to boards'!$B$2:$E$156,2,FALSE)</f>
        <v>830027</v>
      </c>
      <c r="M2420">
        <f>VLOOKUP(Query1[[#This Row],[Description]],'kits to boards'!$B$2:$E$156,3,FALSE)</f>
        <v>0</v>
      </c>
      <c r="N2420">
        <f>VLOOKUP(Query1[[#This Row],[Description]],'kits to boards'!$B$2:$E$156,4,FALSE)</f>
        <v>0</v>
      </c>
      <c r="O2420" t="str">
        <f>CONCATENATE(Query1[[#This Row],[Description]]," - ",Query1[[#This Row],[MB1]]," - ",Query1[[#This Row],[MB2]]," - ",Query1[[#This Row],[MB3]])</f>
        <v>EVAP KIT 70-72 CUTLASS W/AC - 830027 - 0 - 0</v>
      </c>
    </row>
    <row r="2421" spans="1:15" x14ac:dyDescent="0.25">
      <c r="A2421" s="1">
        <v>915393</v>
      </c>
      <c r="B2421" s="1" t="s">
        <v>42</v>
      </c>
      <c r="C2421" s="1" t="s">
        <v>43</v>
      </c>
      <c r="D2421" s="2">
        <v>44636.606834606479</v>
      </c>
      <c r="E2421" s="1" t="s">
        <v>8</v>
      </c>
      <c r="F2421" s="1">
        <v>1</v>
      </c>
      <c r="G2421" s="1">
        <v>0</v>
      </c>
      <c r="H2421" s="6">
        <f>INT(Query1[[#This Row],[EntryDateTime]])</f>
        <v>44636</v>
      </c>
      <c r="I2421" s="1">
        <f>IF(Query1[[#This Row],[ItemType]]="EVAP KIT SF GEN IV",Query1[[#This Row],[OrderQty]]+I2420,I2420)</f>
        <v>2930</v>
      </c>
      <c r="J2421" s="1">
        <f>IF(Query1[[#This Row],[ItemType]]="EVAP KIT UNIVERSAL",Query1[[#This Row],[OrderQty]]+J2420,J2420)</f>
        <v>1210</v>
      </c>
      <c r="K2421" s="1">
        <f>Query1[[#This Row],[SF Running Total]]+Query1[[#This Row],[UNIV Running Total]]</f>
        <v>4140</v>
      </c>
      <c r="L2421">
        <f>VLOOKUP(Query1[[#This Row],[Description]],'kits to boards'!$B$2:$E$156,2,FALSE)</f>
        <v>830014</v>
      </c>
      <c r="M2421">
        <f>VLOOKUP(Query1[[#This Row],[Description]],'kits to boards'!$B$2:$E$156,3,FALSE)</f>
        <v>0</v>
      </c>
      <c r="N2421">
        <f>VLOOKUP(Query1[[#This Row],[Description]],'kits to boards'!$B$2:$E$156,4,FALSE)</f>
        <v>0</v>
      </c>
      <c r="O2421" t="str">
        <f>CONCATENATE(Query1[[#This Row],[Description]]," - ",Query1[[#This Row],[MB1]]," - ",Query1[[#This Row],[MB2]]," - ",Query1[[#This Row],[MB3]])</f>
        <v>EVAP KIT 67-72 CHEV P-UP WO AC - 830014 - 0 - 0</v>
      </c>
    </row>
    <row r="2422" spans="1:15" x14ac:dyDescent="0.25">
      <c r="A2422" s="1">
        <v>915432</v>
      </c>
      <c r="B2422" s="1" t="s">
        <v>14</v>
      </c>
      <c r="C2422" s="1" t="s">
        <v>15</v>
      </c>
      <c r="D2422" s="2">
        <v>44636.610215972221</v>
      </c>
      <c r="E2422" s="1" t="s">
        <v>8</v>
      </c>
      <c r="F2422" s="1">
        <v>1</v>
      </c>
      <c r="G2422" s="1">
        <v>0</v>
      </c>
      <c r="H2422" s="6">
        <f>INT(Query1[[#This Row],[EntryDateTime]])</f>
        <v>44636</v>
      </c>
      <c r="I2422" s="1">
        <f>IF(Query1[[#This Row],[ItemType]]="EVAP KIT SF GEN IV",Query1[[#This Row],[OrderQty]]+I2421,I2421)</f>
        <v>2931</v>
      </c>
      <c r="J2422" s="1">
        <f>IF(Query1[[#This Row],[ItemType]]="EVAP KIT UNIVERSAL",Query1[[#This Row],[OrderQty]]+J2421,J2421)</f>
        <v>1210</v>
      </c>
      <c r="K2422" s="1">
        <f>Query1[[#This Row],[SF Running Total]]+Query1[[#This Row],[UNIV Running Total]]</f>
        <v>4141</v>
      </c>
      <c r="L2422">
        <f>VLOOKUP(Query1[[#This Row],[Description]],'kits to boards'!$B$2:$E$156,2,FALSE)</f>
        <v>830054</v>
      </c>
      <c r="M2422">
        <f>VLOOKUP(Query1[[#This Row],[Description]],'kits to boards'!$B$2:$E$156,3,FALSE)</f>
        <v>0</v>
      </c>
      <c r="N2422">
        <f>VLOOKUP(Query1[[#This Row],[Description]],'kits to boards'!$B$2:$E$156,4,FALSE)</f>
        <v>0</v>
      </c>
      <c r="O2422" t="str">
        <f>CONCATENATE(Query1[[#This Row],[Description]]," - ",Query1[[#This Row],[MB1]]," - ",Query1[[#This Row],[MB2]]," - ",Query1[[#This Row],[MB3]])</f>
        <v>EVAP KIT 55-56 CHEVY - 830054 - 0 - 0</v>
      </c>
    </row>
    <row r="2423" spans="1:15" x14ac:dyDescent="0.25">
      <c r="A2423" s="1">
        <v>915457</v>
      </c>
      <c r="B2423" s="1" t="s">
        <v>22</v>
      </c>
      <c r="C2423" s="1" t="s">
        <v>23</v>
      </c>
      <c r="D2423" s="2">
        <v>44636.613368831022</v>
      </c>
      <c r="E2423" s="1" t="s">
        <v>8</v>
      </c>
      <c r="F2423" s="1">
        <v>1</v>
      </c>
      <c r="G2423" s="1">
        <v>0</v>
      </c>
      <c r="H2423" s="6">
        <f>INT(Query1[[#This Row],[EntryDateTime]])</f>
        <v>44636</v>
      </c>
      <c r="I2423" s="1">
        <f>IF(Query1[[#This Row],[ItemType]]="EVAP KIT SF GEN IV",Query1[[#This Row],[OrderQty]]+I2422,I2422)</f>
        <v>2932</v>
      </c>
      <c r="J2423" s="1">
        <f>IF(Query1[[#This Row],[ItemType]]="EVAP KIT UNIVERSAL",Query1[[#This Row],[OrderQty]]+J2422,J2422)</f>
        <v>1210</v>
      </c>
      <c r="K2423" s="1">
        <f>Query1[[#This Row],[SF Running Total]]+Query1[[#This Row],[UNIV Running Total]]</f>
        <v>4142</v>
      </c>
      <c r="L2423">
        <f>VLOOKUP(Query1[[#This Row],[Description]],'kits to boards'!$B$2:$E$156,2,FALSE)</f>
        <v>830083</v>
      </c>
      <c r="M2423">
        <f>VLOOKUP(Query1[[#This Row],[Description]],'kits to boards'!$B$2:$E$156,3,FALSE)</f>
        <v>0</v>
      </c>
      <c r="N2423">
        <f>VLOOKUP(Query1[[#This Row],[Description]],'kits to boards'!$B$2:$E$156,4,FALSE)</f>
        <v>0</v>
      </c>
      <c r="O2423" t="str">
        <f>CONCATENATE(Query1[[#This Row],[Description]]," - ",Query1[[#This Row],[MB1]]," - ",Query1[[#This Row],[MB2]]," - ",Query1[[#This Row],[MB3]])</f>
        <v>GEN IV MAGNUM EVAP KIT - 830083 - 0 - 0</v>
      </c>
    </row>
    <row r="2424" spans="1:15" x14ac:dyDescent="0.25">
      <c r="A2424" s="1">
        <v>915459</v>
      </c>
      <c r="B2424" s="1" t="s">
        <v>36</v>
      </c>
      <c r="C2424" s="1" t="s">
        <v>37</v>
      </c>
      <c r="D2424" s="2">
        <v>44636.621802314818</v>
      </c>
      <c r="E2424" s="1" t="s">
        <v>8</v>
      </c>
      <c r="F2424" s="1">
        <v>1</v>
      </c>
      <c r="G2424" s="1">
        <v>0</v>
      </c>
      <c r="H2424" s="6">
        <f>INT(Query1[[#This Row],[EntryDateTime]])</f>
        <v>44636</v>
      </c>
      <c r="I2424" s="1">
        <f>IF(Query1[[#This Row],[ItemType]]="EVAP KIT SF GEN IV",Query1[[#This Row],[OrderQty]]+I2423,I2423)</f>
        <v>2933</v>
      </c>
      <c r="J2424" s="1">
        <f>IF(Query1[[#This Row],[ItemType]]="EVAP KIT UNIVERSAL",Query1[[#This Row],[OrderQty]]+J2423,J2423)</f>
        <v>1210</v>
      </c>
      <c r="K2424" s="1">
        <f>Query1[[#This Row],[SF Running Total]]+Query1[[#This Row],[UNIV Running Total]]</f>
        <v>4143</v>
      </c>
      <c r="L2424">
        <f>VLOOKUP(Query1[[#This Row],[Description]],'kits to boards'!$B$2:$E$156,2,FALSE)</f>
        <v>830015</v>
      </c>
      <c r="M2424">
        <f>VLOOKUP(Query1[[#This Row],[Description]],'kits to boards'!$B$2:$E$156,3,FALSE)</f>
        <v>0</v>
      </c>
      <c r="N2424">
        <f>VLOOKUP(Query1[[#This Row],[Description]],'kits to boards'!$B$2:$E$156,4,FALSE)</f>
        <v>0</v>
      </c>
      <c r="O2424" t="str">
        <f>CONCATENATE(Query1[[#This Row],[Description]]," - ",Query1[[#This Row],[MB1]]," - ",Query1[[#This Row],[MB2]]," - ",Query1[[#This Row],[MB3]])</f>
        <v>EVAP KIT 64-66 CHEV P-UP WO AC W/STD - 830015 - 0 - 0</v>
      </c>
    </row>
    <row r="2425" spans="1:15" x14ac:dyDescent="0.25">
      <c r="A2425" s="1">
        <v>915469</v>
      </c>
      <c r="B2425" s="1" t="s">
        <v>166</v>
      </c>
      <c r="C2425" s="1" t="s">
        <v>167</v>
      </c>
      <c r="D2425" s="2">
        <v>44636.637927083335</v>
      </c>
      <c r="E2425" s="1" t="s">
        <v>8</v>
      </c>
      <c r="F2425" s="1">
        <v>1</v>
      </c>
      <c r="G2425" s="1">
        <v>0</v>
      </c>
      <c r="H2425" s="6">
        <f>INT(Query1[[#This Row],[EntryDateTime]])</f>
        <v>44636</v>
      </c>
      <c r="I2425" s="1">
        <f>IF(Query1[[#This Row],[ItemType]]="EVAP KIT SF GEN IV",Query1[[#This Row],[OrderQty]]+I2424,I2424)</f>
        <v>2934</v>
      </c>
      <c r="J2425" s="1">
        <f>IF(Query1[[#This Row],[ItemType]]="EVAP KIT UNIVERSAL",Query1[[#This Row],[OrderQty]]+J2424,J2424)</f>
        <v>1210</v>
      </c>
      <c r="K2425" s="1">
        <f>Query1[[#This Row],[SF Running Total]]+Query1[[#This Row],[UNIV Running Total]]</f>
        <v>4144</v>
      </c>
      <c r="L2425">
        <f>VLOOKUP(Query1[[#This Row],[Description]],'kits to boards'!$B$2:$E$156,2,FALSE)</f>
        <v>830063</v>
      </c>
      <c r="M2425">
        <f>VLOOKUP(Query1[[#This Row],[Description]],'kits to boards'!$B$2:$E$156,3,FALSE)</f>
        <v>0</v>
      </c>
      <c r="N2425">
        <f>VLOOKUP(Query1[[#This Row],[Description]],'kits to boards'!$B$2:$E$156,4,FALSE)</f>
        <v>0</v>
      </c>
      <c r="O2425" t="str">
        <f>CONCATENATE(Query1[[#This Row],[Description]]," - ",Query1[[#This Row],[MB1]]," - ",Query1[[#This Row],[MB2]]," - ",Query1[[#This Row],[MB3]])</f>
        <v>EVAP KIT 47-49 CHEV P-UP GEN IV - 830063 - 0 - 0</v>
      </c>
    </row>
    <row r="2426" spans="1:15" x14ac:dyDescent="0.25">
      <c r="A2426" s="1">
        <v>915467</v>
      </c>
      <c r="B2426" s="1" t="s">
        <v>106</v>
      </c>
      <c r="C2426" s="1" t="s">
        <v>253</v>
      </c>
      <c r="D2426" s="2">
        <v>44636.637928819444</v>
      </c>
      <c r="E2426" s="1" t="s">
        <v>8</v>
      </c>
      <c r="F2426" s="1">
        <v>1</v>
      </c>
      <c r="G2426" s="1">
        <v>0</v>
      </c>
      <c r="H2426" s="6">
        <f>INT(Query1[[#This Row],[EntryDateTime]])</f>
        <v>44636</v>
      </c>
      <c r="I2426" s="1">
        <f>IF(Query1[[#This Row],[ItemType]]="EVAP KIT SF GEN IV",Query1[[#This Row],[OrderQty]]+I2425,I2425)</f>
        <v>2935</v>
      </c>
      <c r="J2426" s="1">
        <f>IF(Query1[[#This Row],[ItemType]]="EVAP KIT UNIVERSAL",Query1[[#This Row],[OrderQty]]+J2425,J2425)</f>
        <v>1210</v>
      </c>
      <c r="K2426" s="1">
        <f>Query1[[#This Row],[SF Running Total]]+Query1[[#This Row],[UNIV Running Total]]</f>
        <v>4145</v>
      </c>
      <c r="L2426">
        <f>VLOOKUP(Query1[[#This Row],[Description]],'kits to boards'!$B$2:$E$156,2,FALSE)</f>
        <v>830028</v>
      </c>
      <c r="M2426">
        <f>VLOOKUP(Query1[[#This Row],[Description]],'kits to boards'!$B$2:$E$156,3,FALSE)</f>
        <v>0</v>
      </c>
      <c r="N2426">
        <f>VLOOKUP(Query1[[#This Row],[Description]],'kits to boards'!$B$2:$E$156,4,FALSE)</f>
        <v>0</v>
      </c>
      <c r="O2426" t="str">
        <f>CONCATENATE(Query1[[#This Row],[Description]]," - ",Query1[[#This Row],[MB1]]," - ",Query1[[#This Row],[MB2]]," - ",Query1[[#This Row],[MB3]])</f>
        <v>EVAP KIT 55-59 CHEV P-UP WO AC W/DELX  - 830028 - 0 - 0</v>
      </c>
    </row>
    <row r="2427" spans="1:15" x14ac:dyDescent="0.25">
      <c r="A2427" s="1">
        <v>915469</v>
      </c>
      <c r="B2427" s="1" t="s">
        <v>168</v>
      </c>
      <c r="C2427" s="1" t="s">
        <v>169</v>
      </c>
      <c r="D2427" s="2">
        <v>44636.638004363427</v>
      </c>
      <c r="E2427" s="1" t="s">
        <v>8</v>
      </c>
      <c r="F2427" s="1">
        <v>1</v>
      </c>
      <c r="G2427" s="1">
        <v>0</v>
      </c>
      <c r="H2427" s="6">
        <f>INT(Query1[[#This Row],[EntryDateTime]])</f>
        <v>44636</v>
      </c>
      <c r="I2427" s="1">
        <f>IF(Query1[[#This Row],[ItemType]]="EVAP KIT SF GEN IV",Query1[[#This Row],[OrderQty]]+I2426,I2426)</f>
        <v>2936</v>
      </c>
      <c r="J2427" s="1">
        <f>IF(Query1[[#This Row],[ItemType]]="EVAP KIT UNIVERSAL",Query1[[#This Row],[OrderQty]]+J2426,J2426)</f>
        <v>1210</v>
      </c>
      <c r="K2427" s="1">
        <f>Query1[[#This Row],[SF Running Total]]+Query1[[#This Row],[UNIV Running Total]]</f>
        <v>4146</v>
      </c>
      <c r="L2427">
        <f>VLOOKUP(Query1[[#This Row],[Description]],'kits to boards'!$B$2:$E$156,2,FALSE)</f>
        <v>830028</v>
      </c>
      <c r="M2427">
        <f>VLOOKUP(Query1[[#This Row],[Description]],'kits to boards'!$B$2:$E$156,3,FALSE)</f>
        <v>0</v>
      </c>
      <c r="N2427">
        <f>VLOOKUP(Query1[[#This Row],[Description]],'kits to boards'!$B$2:$E$156,4,FALSE)</f>
        <v>0</v>
      </c>
      <c r="O2427" t="str">
        <f>CONCATENATE(Query1[[#This Row],[Description]]," - ",Query1[[#This Row],[MB1]]," - ",Query1[[#This Row],[MB2]]," - ",Query1[[#This Row],[MB3]])</f>
        <v>EVAP KIT 55-59 CHEV P-UP WO AC W/STD  - 830028 - 0 - 0</v>
      </c>
    </row>
    <row r="2428" spans="1:15" x14ac:dyDescent="0.25">
      <c r="A2428" s="1">
        <v>915477</v>
      </c>
      <c r="B2428" s="1" t="s">
        <v>92</v>
      </c>
      <c r="C2428" s="1" t="s">
        <v>93</v>
      </c>
      <c r="D2428" s="2">
        <v>44636.64995107639</v>
      </c>
      <c r="E2428" s="1" t="s">
        <v>8</v>
      </c>
      <c r="F2428" s="1">
        <v>1</v>
      </c>
      <c r="G2428" s="1">
        <v>0</v>
      </c>
      <c r="H2428" s="6">
        <f>INT(Query1[[#This Row],[EntryDateTime]])</f>
        <v>44636</v>
      </c>
      <c r="I2428" s="1">
        <f>IF(Query1[[#This Row],[ItemType]]="EVAP KIT SF GEN IV",Query1[[#This Row],[OrderQty]]+I2427,I2427)</f>
        <v>2937</v>
      </c>
      <c r="J2428" s="1">
        <f>IF(Query1[[#This Row],[ItemType]]="EVAP KIT UNIVERSAL",Query1[[#This Row],[OrderQty]]+J2427,J2427)</f>
        <v>1210</v>
      </c>
      <c r="K2428" s="1">
        <f>Query1[[#This Row],[SF Running Total]]+Query1[[#This Row],[UNIV Running Total]]</f>
        <v>4147</v>
      </c>
      <c r="L2428">
        <f>VLOOKUP(Query1[[#This Row],[Description]],'kits to boards'!$B$2:$E$156,2,FALSE)</f>
        <v>830063</v>
      </c>
      <c r="M2428">
        <f>VLOOKUP(Query1[[#This Row],[Description]],'kits to boards'!$B$2:$E$156,3,FALSE)</f>
        <v>0</v>
      </c>
      <c r="N2428">
        <f>VLOOKUP(Query1[[#This Row],[Description]],'kits to boards'!$B$2:$E$156,4,FALSE)</f>
        <v>0</v>
      </c>
      <c r="O2428" t="str">
        <f>CONCATENATE(Query1[[#This Row],[Description]]," - ",Query1[[#This Row],[MB1]]," - ",Query1[[#This Row],[MB2]]," - ",Query1[[#This Row],[MB3]])</f>
        <v>EVAP KIT 50-53 CHEV P-UP GEN IV - 830063 - 0 - 0</v>
      </c>
    </row>
    <row r="2429" spans="1:15" x14ac:dyDescent="0.25">
      <c r="A2429" s="1">
        <v>915479</v>
      </c>
      <c r="B2429" s="1" t="s">
        <v>42</v>
      </c>
      <c r="C2429" s="1" t="s">
        <v>43</v>
      </c>
      <c r="D2429" s="2">
        <v>44636.655420023148</v>
      </c>
      <c r="E2429" s="1" t="s">
        <v>8</v>
      </c>
      <c r="F2429" s="1">
        <v>1</v>
      </c>
      <c r="G2429" s="1">
        <v>0</v>
      </c>
      <c r="H2429" s="6">
        <f>INT(Query1[[#This Row],[EntryDateTime]])</f>
        <v>44636</v>
      </c>
      <c r="I2429" s="1">
        <f>IF(Query1[[#This Row],[ItemType]]="EVAP KIT SF GEN IV",Query1[[#This Row],[OrderQty]]+I2428,I2428)</f>
        <v>2938</v>
      </c>
      <c r="J2429" s="1">
        <f>IF(Query1[[#This Row],[ItemType]]="EVAP KIT UNIVERSAL",Query1[[#This Row],[OrderQty]]+J2428,J2428)</f>
        <v>1210</v>
      </c>
      <c r="K2429" s="1">
        <f>Query1[[#This Row],[SF Running Total]]+Query1[[#This Row],[UNIV Running Total]]</f>
        <v>4148</v>
      </c>
      <c r="L2429">
        <f>VLOOKUP(Query1[[#This Row],[Description]],'kits to boards'!$B$2:$E$156,2,FALSE)</f>
        <v>830014</v>
      </c>
      <c r="M2429">
        <f>VLOOKUP(Query1[[#This Row],[Description]],'kits to boards'!$B$2:$E$156,3,FALSE)</f>
        <v>0</v>
      </c>
      <c r="N2429">
        <f>VLOOKUP(Query1[[#This Row],[Description]],'kits to boards'!$B$2:$E$156,4,FALSE)</f>
        <v>0</v>
      </c>
      <c r="O2429" t="str">
        <f>CONCATENATE(Query1[[#This Row],[Description]]," - ",Query1[[#This Row],[MB1]]," - ",Query1[[#This Row],[MB2]]," - ",Query1[[#This Row],[MB3]])</f>
        <v>EVAP KIT 67-72 CHEV P-UP WO AC - 830014 - 0 - 0</v>
      </c>
    </row>
    <row r="2430" spans="1:15" x14ac:dyDescent="0.25">
      <c r="A2430" s="1">
        <v>915483</v>
      </c>
      <c r="B2430" s="1" t="s">
        <v>214</v>
      </c>
      <c r="C2430" s="1" t="s">
        <v>215</v>
      </c>
      <c r="D2430" s="2">
        <v>44636.656952627316</v>
      </c>
      <c r="E2430" s="1" t="s">
        <v>8</v>
      </c>
      <c r="F2430" s="1">
        <v>1</v>
      </c>
      <c r="G2430" s="1">
        <v>0</v>
      </c>
      <c r="H2430" s="6">
        <f>INT(Query1[[#This Row],[EntryDateTime]])</f>
        <v>44636</v>
      </c>
      <c r="I2430" s="1">
        <f>IF(Query1[[#This Row],[ItemType]]="EVAP KIT SF GEN IV",Query1[[#This Row],[OrderQty]]+I2429,I2429)</f>
        <v>2939</v>
      </c>
      <c r="J2430" s="1">
        <f>IF(Query1[[#This Row],[ItemType]]="EVAP KIT UNIVERSAL",Query1[[#This Row],[OrderQty]]+J2429,J2429)</f>
        <v>1210</v>
      </c>
      <c r="K2430" s="1">
        <f>Query1[[#This Row],[SF Running Total]]+Query1[[#This Row],[UNIV Running Total]]</f>
        <v>4149</v>
      </c>
      <c r="L2430">
        <f>VLOOKUP(Query1[[#This Row],[Description]],'kits to boards'!$B$2:$E$156,2,FALSE)</f>
        <v>830072</v>
      </c>
      <c r="M2430">
        <f>VLOOKUP(Query1[[#This Row],[Description]],'kits to boards'!$B$2:$E$156,3,FALSE)</f>
        <v>0</v>
      </c>
      <c r="N2430">
        <f>VLOOKUP(Query1[[#This Row],[Description]],'kits to boards'!$B$2:$E$156,4,FALSE)</f>
        <v>0</v>
      </c>
      <c r="O2430" t="str">
        <f>CONCATENATE(Query1[[#This Row],[Description]]," - ",Query1[[#This Row],[MB1]]," - ",Query1[[#This Row],[MB2]]," - ",Query1[[#This Row],[MB3]])</f>
        <v>EVAP KIT 68 MOPAR B BODY WO AC - 830072 - 0 - 0</v>
      </c>
    </row>
    <row r="2431" spans="1:15" x14ac:dyDescent="0.25">
      <c r="A2431" s="1">
        <v>915484</v>
      </c>
      <c r="B2431" s="1" t="s">
        <v>128</v>
      </c>
      <c r="C2431" s="1" t="s">
        <v>129</v>
      </c>
      <c r="D2431" s="2">
        <v>44636.657429895837</v>
      </c>
      <c r="E2431" s="1" t="s">
        <v>8</v>
      </c>
      <c r="F2431" s="1">
        <v>1</v>
      </c>
      <c r="G2431" s="1">
        <v>0</v>
      </c>
      <c r="H2431" s="6">
        <f>INT(Query1[[#This Row],[EntryDateTime]])</f>
        <v>44636</v>
      </c>
      <c r="I2431" s="1">
        <f>IF(Query1[[#This Row],[ItemType]]="EVAP KIT SF GEN IV",Query1[[#This Row],[OrderQty]]+I2430,I2430)</f>
        <v>2940</v>
      </c>
      <c r="J2431" s="1">
        <f>IF(Query1[[#This Row],[ItemType]]="EVAP KIT UNIVERSAL",Query1[[#This Row],[OrderQty]]+J2430,J2430)</f>
        <v>1210</v>
      </c>
      <c r="K2431" s="1">
        <f>Query1[[#This Row],[SF Running Total]]+Query1[[#This Row],[UNIV Running Total]]</f>
        <v>4150</v>
      </c>
      <c r="L2431">
        <f>VLOOKUP(Query1[[#This Row],[Description]],'kits to boards'!$B$2:$E$156,2,FALSE)</f>
        <v>830036</v>
      </c>
      <c r="M2431">
        <f>VLOOKUP(Query1[[#This Row],[Description]],'kits to boards'!$B$2:$E$156,3,FALSE)</f>
        <v>830039</v>
      </c>
      <c r="N2431">
        <f>VLOOKUP(Query1[[#This Row],[Description]],'kits to boards'!$B$2:$E$156,4,FALSE)</f>
        <v>0</v>
      </c>
      <c r="O2431" t="str">
        <f>CONCATENATE(Query1[[#This Row],[Description]]," - ",Query1[[#This Row],[MB1]]," - ",Query1[[#This Row],[MB2]]," - ",Query1[[#This Row],[MB3]])</f>
        <v>EVAP KIT 63-66 VETTE WO AC - 830036 - 830039 - 0</v>
      </c>
    </row>
    <row r="2432" spans="1:15" x14ac:dyDescent="0.25">
      <c r="A2432" s="1">
        <v>915487</v>
      </c>
      <c r="B2432" s="1" t="s">
        <v>156</v>
      </c>
      <c r="C2432" s="1" t="s">
        <v>157</v>
      </c>
      <c r="D2432" s="2">
        <v>44636.661995833332</v>
      </c>
      <c r="E2432" s="1" t="s">
        <v>8</v>
      </c>
      <c r="F2432" s="1">
        <v>1</v>
      </c>
      <c r="G2432" s="1">
        <v>0</v>
      </c>
      <c r="H2432" s="6">
        <f>INT(Query1[[#This Row],[EntryDateTime]])</f>
        <v>44636</v>
      </c>
      <c r="I2432" s="1">
        <f>IF(Query1[[#This Row],[ItemType]]="EVAP KIT SF GEN IV",Query1[[#This Row],[OrderQty]]+I2431,I2431)</f>
        <v>2941</v>
      </c>
      <c r="J2432" s="1">
        <f>IF(Query1[[#This Row],[ItemType]]="EVAP KIT UNIVERSAL",Query1[[#This Row],[OrderQty]]+J2431,J2431)</f>
        <v>1210</v>
      </c>
      <c r="K2432" s="1">
        <f>Query1[[#This Row],[SF Running Total]]+Query1[[#This Row],[UNIV Running Total]]</f>
        <v>4151</v>
      </c>
      <c r="L2432">
        <f>VLOOKUP(Query1[[#This Row],[Description]],'kits to boards'!$B$2:$E$156,2,FALSE)</f>
        <v>830019</v>
      </c>
      <c r="M2432">
        <f>VLOOKUP(Query1[[#This Row],[Description]],'kits to boards'!$B$2:$E$156,3,FALSE)</f>
        <v>0</v>
      </c>
      <c r="N2432">
        <f>VLOOKUP(Query1[[#This Row],[Description]],'kits to boards'!$B$2:$E$156,4,FALSE)</f>
        <v>0</v>
      </c>
      <c r="O2432" t="str">
        <f>CONCATENATE(Query1[[#This Row],[Description]]," - ",Query1[[#This Row],[MB1]]," - ",Query1[[#This Row],[MB2]]," - ",Query1[[#This Row],[MB3]])</f>
        <v>EVAP KIT 70-81 FIREBIRD WO AC - 830019 - 0 - 0</v>
      </c>
    </row>
    <row r="2433" spans="1:15" x14ac:dyDescent="0.25">
      <c r="A2433" s="1">
        <v>915493</v>
      </c>
      <c r="B2433" s="1" t="s">
        <v>124</v>
      </c>
      <c r="C2433" s="1" t="s">
        <v>125</v>
      </c>
      <c r="D2433" s="2">
        <v>44636.668933912035</v>
      </c>
      <c r="E2433" s="1" t="s">
        <v>8</v>
      </c>
      <c r="F2433" s="1">
        <v>1</v>
      </c>
      <c r="G2433" s="1">
        <v>0</v>
      </c>
      <c r="H2433" s="6">
        <f>INT(Query1[[#This Row],[EntryDateTime]])</f>
        <v>44636</v>
      </c>
      <c r="I2433" s="1">
        <f>IF(Query1[[#This Row],[ItemType]]="EVAP KIT SF GEN IV",Query1[[#This Row],[OrderQty]]+I2432,I2432)</f>
        <v>2942</v>
      </c>
      <c r="J2433" s="1">
        <f>IF(Query1[[#This Row],[ItemType]]="EVAP KIT UNIVERSAL",Query1[[#This Row],[OrderQty]]+J2432,J2432)</f>
        <v>1210</v>
      </c>
      <c r="K2433" s="1">
        <f>Query1[[#This Row],[SF Running Total]]+Query1[[#This Row],[UNIV Running Total]]</f>
        <v>4152</v>
      </c>
      <c r="L2433">
        <f>VLOOKUP(Query1[[#This Row],[Description]],'kits to boards'!$B$2:$E$156,2,FALSE)</f>
        <v>830002</v>
      </c>
      <c r="M2433">
        <f>VLOOKUP(Query1[[#This Row],[Description]],'kits to boards'!$B$2:$E$156,3,FALSE)</f>
        <v>0</v>
      </c>
      <c r="N2433">
        <f>VLOOKUP(Query1[[#This Row],[Description]],'kits to boards'!$B$2:$E$156,4,FALSE)</f>
        <v>0</v>
      </c>
      <c r="O2433" t="str">
        <f>CONCATENATE(Query1[[#This Row],[Description]]," - ",Query1[[#This Row],[MB1]]," - ",Query1[[#This Row],[MB2]]," - ",Query1[[#This Row],[MB3]])</f>
        <v>EVAP KIT 73-80 CHEV P-UP WO AC - 830002 - 0 - 0</v>
      </c>
    </row>
    <row r="2434" spans="1:15" x14ac:dyDescent="0.25">
      <c r="A2434" s="1">
        <v>915493</v>
      </c>
      <c r="B2434" s="1" t="s">
        <v>92</v>
      </c>
      <c r="C2434" s="1" t="s">
        <v>93</v>
      </c>
      <c r="D2434" s="2">
        <v>44636.669266631943</v>
      </c>
      <c r="E2434" s="1" t="s">
        <v>8</v>
      </c>
      <c r="F2434" s="1">
        <v>1</v>
      </c>
      <c r="G2434" s="1">
        <v>0</v>
      </c>
      <c r="H2434" s="6">
        <f>INT(Query1[[#This Row],[EntryDateTime]])</f>
        <v>44636</v>
      </c>
      <c r="I2434" s="1">
        <f>IF(Query1[[#This Row],[ItemType]]="EVAP KIT SF GEN IV",Query1[[#This Row],[OrderQty]]+I2433,I2433)</f>
        <v>2943</v>
      </c>
      <c r="J2434" s="1">
        <f>IF(Query1[[#This Row],[ItemType]]="EVAP KIT UNIVERSAL",Query1[[#This Row],[OrderQty]]+J2433,J2433)</f>
        <v>1210</v>
      </c>
      <c r="K2434" s="1">
        <f>Query1[[#This Row],[SF Running Total]]+Query1[[#This Row],[UNIV Running Total]]</f>
        <v>4153</v>
      </c>
      <c r="L2434">
        <f>VLOOKUP(Query1[[#This Row],[Description]],'kits to boards'!$B$2:$E$156,2,FALSE)</f>
        <v>830063</v>
      </c>
      <c r="M2434">
        <f>VLOOKUP(Query1[[#This Row],[Description]],'kits to boards'!$B$2:$E$156,3,FALSE)</f>
        <v>0</v>
      </c>
      <c r="N2434">
        <f>VLOOKUP(Query1[[#This Row],[Description]],'kits to boards'!$B$2:$E$156,4,FALSE)</f>
        <v>0</v>
      </c>
      <c r="O2434" t="str">
        <f>CONCATENATE(Query1[[#This Row],[Description]]," - ",Query1[[#This Row],[MB1]]," - ",Query1[[#This Row],[MB2]]," - ",Query1[[#This Row],[MB3]])</f>
        <v>EVAP KIT 50-53 CHEV P-UP GEN IV - 830063 - 0 - 0</v>
      </c>
    </row>
    <row r="2435" spans="1:15" x14ac:dyDescent="0.25">
      <c r="A2435" s="1">
        <v>915494</v>
      </c>
      <c r="B2435" s="1" t="s">
        <v>66</v>
      </c>
      <c r="C2435" s="1" t="s">
        <v>67</v>
      </c>
      <c r="D2435" s="2">
        <v>44636.671305405092</v>
      </c>
      <c r="E2435" s="1" t="s">
        <v>8</v>
      </c>
      <c r="F2435" s="1">
        <v>1</v>
      </c>
      <c r="G2435" s="1">
        <v>0</v>
      </c>
      <c r="H2435" s="6">
        <f>INT(Query1[[#This Row],[EntryDateTime]])</f>
        <v>44636</v>
      </c>
      <c r="I2435" s="1">
        <f>IF(Query1[[#This Row],[ItemType]]="EVAP KIT SF GEN IV",Query1[[#This Row],[OrderQty]]+I2434,I2434)</f>
        <v>2944</v>
      </c>
      <c r="J2435" s="1">
        <f>IF(Query1[[#This Row],[ItemType]]="EVAP KIT UNIVERSAL",Query1[[#This Row],[OrderQty]]+J2434,J2434)</f>
        <v>1210</v>
      </c>
      <c r="K2435" s="1">
        <f>Query1[[#This Row],[SF Running Total]]+Query1[[#This Row],[UNIV Running Total]]</f>
        <v>4154</v>
      </c>
      <c r="L2435">
        <f>VLOOKUP(Query1[[#This Row],[Description]],'kits to boards'!$B$2:$E$156,2,FALSE)</f>
        <v>830060</v>
      </c>
      <c r="M2435">
        <f>VLOOKUP(Query1[[#This Row],[Description]],'kits to boards'!$B$2:$E$156,3,FALSE)</f>
        <v>0</v>
      </c>
      <c r="N2435">
        <f>VLOOKUP(Query1[[#This Row],[Description]],'kits to boards'!$B$2:$E$156,4,FALSE)</f>
        <v>0</v>
      </c>
      <c r="O2435" t="str">
        <f>CONCATENATE(Query1[[#This Row],[Description]]," - ",Query1[[#This Row],[MB1]]," - ",Query1[[#This Row],[MB2]]," - ",Query1[[#This Row],[MB3]])</f>
        <v>EVAP KIT 66-67 CHEVELLE WO AC - 830060 - 0 - 0</v>
      </c>
    </row>
    <row r="2436" spans="1:15" x14ac:dyDescent="0.25">
      <c r="A2436" s="1">
        <v>915495</v>
      </c>
      <c r="B2436" s="1" t="s">
        <v>110</v>
      </c>
      <c r="C2436" s="1" t="s">
        <v>111</v>
      </c>
      <c r="D2436" s="2">
        <v>44636.672603738429</v>
      </c>
      <c r="E2436" s="1" t="s">
        <v>8</v>
      </c>
      <c r="F2436" s="1">
        <v>1</v>
      </c>
      <c r="G2436" s="1">
        <v>0</v>
      </c>
      <c r="H2436" s="6">
        <f>INT(Query1[[#This Row],[EntryDateTime]])</f>
        <v>44636</v>
      </c>
      <c r="I2436" s="1">
        <f>IF(Query1[[#This Row],[ItemType]]="EVAP KIT SF GEN IV",Query1[[#This Row],[OrderQty]]+I2435,I2435)</f>
        <v>2945</v>
      </c>
      <c r="J2436" s="1">
        <f>IF(Query1[[#This Row],[ItemType]]="EVAP KIT UNIVERSAL",Query1[[#This Row],[OrderQty]]+J2435,J2435)</f>
        <v>1210</v>
      </c>
      <c r="K2436" s="1">
        <f>Query1[[#This Row],[SF Running Total]]+Query1[[#This Row],[UNIV Running Total]]</f>
        <v>4155</v>
      </c>
      <c r="L2436">
        <f>VLOOKUP(Query1[[#This Row],[Description]],'kits to boards'!$B$2:$E$156,2,FALSE)</f>
        <v>830053</v>
      </c>
      <c r="M2436">
        <f>VLOOKUP(Query1[[#This Row],[Description]],'kits to boards'!$B$2:$E$156,3,FALSE)</f>
        <v>0</v>
      </c>
      <c r="N2436">
        <f>VLOOKUP(Query1[[#This Row],[Description]],'kits to boards'!$B$2:$E$156,4,FALSE)</f>
        <v>0</v>
      </c>
      <c r="O2436" t="str">
        <f>CONCATENATE(Query1[[#This Row],[Description]]," - ",Query1[[#This Row],[MB1]]," - ",Query1[[#This Row],[MB2]]," - ",Query1[[#This Row],[MB3]])</f>
        <v>EVAP KIT 65-66 FORD F-100 - 830053 - 0 - 0</v>
      </c>
    </row>
    <row r="2437" spans="1:15" x14ac:dyDescent="0.25">
      <c r="A2437" s="1">
        <v>915498</v>
      </c>
      <c r="B2437" s="1" t="s">
        <v>52</v>
      </c>
      <c r="C2437" s="1" t="s">
        <v>53</v>
      </c>
      <c r="D2437" s="2">
        <v>44636.675844363424</v>
      </c>
      <c r="E2437" s="1" t="s">
        <v>8</v>
      </c>
      <c r="F2437" s="1">
        <v>1</v>
      </c>
      <c r="G2437" s="1">
        <v>0</v>
      </c>
      <c r="H2437" s="6">
        <f>INT(Query1[[#This Row],[EntryDateTime]])</f>
        <v>44636</v>
      </c>
      <c r="I2437" s="1">
        <f>IF(Query1[[#This Row],[ItemType]]="EVAP KIT SF GEN IV",Query1[[#This Row],[OrderQty]]+I2436,I2436)</f>
        <v>2946</v>
      </c>
      <c r="J2437" s="1">
        <f>IF(Query1[[#This Row],[ItemType]]="EVAP KIT UNIVERSAL",Query1[[#This Row],[OrderQty]]+J2436,J2436)</f>
        <v>1210</v>
      </c>
      <c r="K2437" s="1">
        <f>Query1[[#This Row],[SF Running Total]]+Query1[[#This Row],[UNIV Running Total]]</f>
        <v>4156</v>
      </c>
      <c r="L2437">
        <f>VLOOKUP(Query1[[#This Row],[Description]],'kits to boards'!$B$2:$E$156,2,FALSE)</f>
        <v>830017</v>
      </c>
      <c r="M2437">
        <f>VLOOKUP(Query1[[#This Row],[Description]],'kits to boards'!$B$2:$E$156,3,FALSE)</f>
        <v>830119</v>
      </c>
      <c r="N2437">
        <f>VLOOKUP(Query1[[#This Row],[Description]],'kits to boards'!$B$2:$E$156,4,FALSE)</f>
        <v>830120</v>
      </c>
      <c r="O2437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2438" spans="1:15" x14ac:dyDescent="0.25">
      <c r="A2438" s="1">
        <v>915501</v>
      </c>
      <c r="B2438" s="1" t="s">
        <v>88</v>
      </c>
      <c r="C2438" s="1" t="s">
        <v>89</v>
      </c>
      <c r="D2438" s="2">
        <v>44636.680655405093</v>
      </c>
      <c r="E2438" s="1" t="s">
        <v>8</v>
      </c>
      <c r="F2438" s="1">
        <v>1</v>
      </c>
      <c r="G2438" s="1">
        <v>0</v>
      </c>
      <c r="H2438" s="6">
        <f>INT(Query1[[#This Row],[EntryDateTime]])</f>
        <v>44636</v>
      </c>
      <c r="I2438" s="1">
        <f>IF(Query1[[#This Row],[ItemType]]="EVAP KIT SF GEN IV",Query1[[#This Row],[OrderQty]]+I2437,I2437)</f>
        <v>2947</v>
      </c>
      <c r="J2438" s="1">
        <f>IF(Query1[[#This Row],[ItemType]]="EVAP KIT UNIVERSAL",Query1[[#This Row],[OrderQty]]+J2437,J2437)</f>
        <v>1210</v>
      </c>
      <c r="K2438" s="1">
        <f>Query1[[#This Row],[SF Running Total]]+Query1[[#This Row],[UNIV Running Total]]</f>
        <v>4157</v>
      </c>
      <c r="L2438">
        <f>VLOOKUP(Query1[[#This Row],[Description]],'kits to boards'!$B$2:$E$156,2,FALSE)</f>
        <v>830003</v>
      </c>
      <c r="M2438">
        <f>VLOOKUP(Query1[[#This Row],[Description]],'kits to boards'!$B$2:$E$156,3,FALSE)</f>
        <v>0</v>
      </c>
      <c r="N2438">
        <f>VLOOKUP(Query1[[#This Row],[Description]],'kits to boards'!$B$2:$E$156,4,FALSE)</f>
        <v>0</v>
      </c>
      <c r="O2438" t="str">
        <f>CONCATENATE(Query1[[#This Row],[Description]]," - ",Query1[[#This Row],[MB1]]," - ",Query1[[#This Row],[MB2]]," - ",Query1[[#This Row],[MB3]])</f>
        <v>EVAP KIT 81-87 CHEV P-UP WO AC - 830003 - 0 - 0</v>
      </c>
    </row>
    <row r="2439" spans="1:15" x14ac:dyDescent="0.25">
      <c r="A2439" s="1">
        <v>915503</v>
      </c>
      <c r="B2439" s="1" t="s">
        <v>251</v>
      </c>
      <c r="C2439" s="1" t="s">
        <v>252</v>
      </c>
      <c r="D2439" s="2">
        <v>44636.68182716435</v>
      </c>
      <c r="E2439" s="1" t="s">
        <v>8</v>
      </c>
      <c r="F2439" s="1">
        <v>1</v>
      </c>
      <c r="G2439" s="1">
        <v>0</v>
      </c>
      <c r="H2439" s="6">
        <f>INT(Query1[[#This Row],[EntryDateTime]])</f>
        <v>44636</v>
      </c>
      <c r="I2439" s="1">
        <f>IF(Query1[[#This Row],[ItemType]]="EVAP KIT SF GEN IV",Query1[[#This Row],[OrderQty]]+I2438,I2438)</f>
        <v>2948</v>
      </c>
      <c r="J2439" s="1">
        <f>IF(Query1[[#This Row],[ItemType]]="EVAP KIT UNIVERSAL",Query1[[#This Row],[OrderQty]]+J2438,J2438)</f>
        <v>1210</v>
      </c>
      <c r="K2439" s="1">
        <f>Query1[[#This Row],[SF Running Total]]+Query1[[#This Row],[UNIV Running Total]]</f>
        <v>4158</v>
      </c>
      <c r="L2439">
        <f>VLOOKUP(Query1[[#This Row],[Description]],'kits to boards'!$B$2:$E$156,2,FALSE)</f>
        <v>830020</v>
      </c>
      <c r="M2439">
        <f>VLOOKUP(Query1[[#This Row],[Description]],'kits to boards'!$B$2:$E$156,3,FALSE)</f>
        <v>0</v>
      </c>
      <c r="N2439">
        <f>VLOOKUP(Query1[[#This Row],[Description]],'kits to boards'!$B$2:$E$156,4,FALSE)</f>
        <v>0</v>
      </c>
      <c r="O2439" t="str">
        <f>CONCATENATE(Query1[[#This Row],[Description]]," - ",Query1[[#This Row],[MB1]]," - ",Query1[[#This Row],[MB2]]," - ",Query1[[#This Row],[MB3]])</f>
        <v>EVAP KIT 69 FIREBIRD WO AC - 830020 - 0 - 0</v>
      </c>
    </row>
    <row r="2440" spans="1:15" x14ac:dyDescent="0.25">
      <c r="A2440" s="1">
        <v>915512</v>
      </c>
      <c r="B2440" s="1" t="s">
        <v>44</v>
      </c>
      <c r="C2440" s="1" t="s">
        <v>45</v>
      </c>
      <c r="D2440" s="2">
        <v>44637.305808796293</v>
      </c>
      <c r="E2440" s="1" t="s">
        <v>8</v>
      </c>
      <c r="F2440" s="1">
        <v>1</v>
      </c>
      <c r="G2440" s="1">
        <v>0</v>
      </c>
      <c r="H2440" s="6">
        <f>INT(Query1[[#This Row],[EntryDateTime]])</f>
        <v>44637</v>
      </c>
      <c r="I2440" s="1">
        <f>IF(Query1[[#This Row],[ItemType]]="EVAP KIT SF GEN IV",Query1[[#This Row],[OrderQty]]+I2439,I2439)</f>
        <v>2949</v>
      </c>
      <c r="J2440" s="1">
        <f>IF(Query1[[#This Row],[ItemType]]="EVAP KIT UNIVERSAL",Query1[[#This Row],[OrderQty]]+J2439,J2439)</f>
        <v>1210</v>
      </c>
      <c r="K2440" s="1">
        <f>Query1[[#This Row],[SF Running Total]]+Query1[[#This Row],[UNIV Running Total]]</f>
        <v>4159</v>
      </c>
      <c r="L2440">
        <f>VLOOKUP(Query1[[#This Row],[Description]],'kits to boards'!$B$2:$E$156,2,FALSE)</f>
        <v>830085</v>
      </c>
      <c r="M2440">
        <f>VLOOKUP(Query1[[#This Row],[Description]],'kits to boards'!$B$2:$E$156,3,FALSE)</f>
        <v>0</v>
      </c>
      <c r="N2440">
        <f>VLOOKUP(Query1[[#This Row],[Description]],'kits to boards'!$B$2:$E$156,4,FALSE)</f>
        <v>0</v>
      </c>
      <c r="O2440" t="str">
        <f>CONCATENATE(Query1[[#This Row],[Description]]," - ",Query1[[#This Row],[MB1]]," - ",Query1[[#This Row],[MB2]]," - ",Query1[[#This Row],[MB3]])</f>
        <v>EVAP KIT 66-77 BRONCO - 830085 - 0 - 0</v>
      </c>
    </row>
    <row r="2441" spans="1:15" x14ac:dyDescent="0.25">
      <c r="A2441" s="1">
        <v>915513</v>
      </c>
      <c r="B2441" s="1" t="s">
        <v>44</v>
      </c>
      <c r="C2441" s="1" t="s">
        <v>45</v>
      </c>
      <c r="D2441" s="2">
        <v>44637.307954016207</v>
      </c>
      <c r="E2441" s="1" t="s">
        <v>8</v>
      </c>
      <c r="F2441" s="1">
        <v>1</v>
      </c>
      <c r="G2441" s="1">
        <v>0</v>
      </c>
      <c r="H2441" s="6">
        <f>INT(Query1[[#This Row],[EntryDateTime]])</f>
        <v>44637</v>
      </c>
      <c r="I2441" s="1">
        <f>IF(Query1[[#This Row],[ItemType]]="EVAP KIT SF GEN IV",Query1[[#This Row],[OrderQty]]+I2440,I2440)</f>
        <v>2950</v>
      </c>
      <c r="J2441" s="1">
        <f>IF(Query1[[#This Row],[ItemType]]="EVAP KIT UNIVERSAL",Query1[[#This Row],[OrderQty]]+J2440,J2440)</f>
        <v>1210</v>
      </c>
      <c r="K2441" s="1">
        <f>Query1[[#This Row],[SF Running Total]]+Query1[[#This Row],[UNIV Running Total]]</f>
        <v>4160</v>
      </c>
      <c r="L2441">
        <f>VLOOKUP(Query1[[#This Row],[Description]],'kits to boards'!$B$2:$E$156,2,FALSE)</f>
        <v>830085</v>
      </c>
      <c r="M2441">
        <f>VLOOKUP(Query1[[#This Row],[Description]],'kits to boards'!$B$2:$E$156,3,FALSE)</f>
        <v>0</v>
      </c>
      <c r="N2441">
        <f>VLOOKUP(Query1[[#This Row],[Description]],'kits to boards'!$B$2:$E$156,4,FALSE)</f>
        <v>0</v>
      </c>
      <c r="O2441" t="str">
        <f>CONCATENATE(Query1[[#This Row],[Description]]," - ",Query1[[#This Row],[MB1]]," - ",Query1[[#This Row],[MB2]]," - ",Query1[[#This Row],[MB3]])</f>
        <v>EVAP KIT 66-77 BRONCO - 830085 - 0 - 0</v>
      </c>
    </row>
    <row r="2442" spans="1:15" x14ac:dyDescent="0.25">
      <c r="A2442" s="1">
        <v>915514</v>
      </c>
      <c r="B2442" s="1" t="s">
        <v>158</v>
      </c>
      <c r="C2442" s="1" t="s">
        <v>159</v>
      </c>
      <c r="D2442" s="2">
        <v>44637.312356863426</v>
      </c>
      <c r="E2442" s="1" t="s">
        <v>8</v>
      </c>
      <c r="F2442" s="1">
        <v>1</v>
      </c>
      <c r="G2442" s="1">
        <v>0</v>
      </c>
      <c r="H2442" s="6">
        <f>INT(Query1[[#This Row],[EntryDateTime]])</f>
        <v>44637</v>
      </c>
      <c r="I2442" s="1">
        <f>IF(Query1[[#This Row],[ItemType]]="EVAP KIT SF GEN IV",Query1[[#This Row],[OrderQty]]+I2441,I2441)</f>
        <v>2951</v>
      </c>
      <c r="J2442" s="1">
        <f>IF(Query1[[#This Row],[ItemType]]="EVAP KIT UNIVERSAL",Query1[[#This Row],[OrderQty]]+J2441,J2441)</f>
        <v>1210</v>
      </c>
      <c r="K2442" s="1">
        <f>Query1[[#This Row],[SF Running Total]]+Query1[[#This Row],[UNIV Running Total]]</f>
        <v>4161</v>
      </c>
      <c r="L2442">
        <f>VLOOKUP(Query1[[#This Row],[Description]],'kits to boards'!$B$2:$E$156,2,FALSE)</f>
        <v>830080</v>
      </c>
      <c r="M2442">
        <f>VLOOKUP(Query1[[#This Row],[Description]],'kits to boards'!$B$2:$E$156,3,FALSE)</f>
        <v>830046</v>
      </c>
      <c r="N2442">
        <f>VLOOKUP(Query1[[#This Row],[Description]],'kits to boards'!$B$2:$E$156,4,FALSE)</f>
        <v>0</v>
      </c>
      <c r="O2442" t="str">
        <f>CONCATENATE(Query1[[#This Row],[Description]]," - ",Query1[[#This Row],[MB1]]," - ",Query1[[#This Row],[MB2]]," - ",Query1[[#This Row],[MB3]])</f>
        <v>EVAP KIT 69-70 MUSTANG W/AC  - 830080 - 830046 - 0</v>
      </c>
    </row>
    <row r="2443" spans="1:15" x14ac:dyDescent="0.25">
      <c r="A2443" s="1">
        <v>915073</v>
      </c>
      <c r="B2443" s="1" t="s">
        <v>26</v>
      </c>
      <c r="C2443" s="1" t="s">
        <v>27</v>
      </c>
      <c r="D2443" s="2">
        <v>44637.313307488424</v>
      </c>
      <c r="E2443" s="1" t="s">
        <v>8</v>
      </c>
      <c r="F2443" s="1">
        <v>1</v>
      </c>
      <c r="G2443" s="1">
        <v>0</v>
      </c>
      <c r="H2443" s="6">
        <f>INT(Query1[[#This Row],[EntryDateTime]])</f>
        <v>44637</v>
      </c>
      <c r="I2443" s="1">
        <f>IF(Query1[[#This Row],[ItemType]]="EVAP KIT SF GEN IV",Query1[[#This Row],[OrderQty]]+I2442,I2442)</f>
        <v>2952</v>
      </c>
      <c r="J2443" s="1">
        <f>IF(Query1[[#This Row],[ItemType]]="EVAP KIT UNIVERSAL",Query1[[#This Row],[OrderQty]]+J2442,J2442)</f>
        <v>1210</v>
      </c>
      <c r="K2443" s="1">
        <f>Query1[[#This Row],[SF Running Total]]+Query1[[#This Row],[UNIV Running Total]]</f>
        <v>4162</v>
      </c>
      <c r="L2443">
        <f>VLOOKUP(Query1[[#This Row],[Description]],'kits to boards'!$B$2:$E$156,2,FALSE)</f>
        <v>830013</v>
      </c>
      <c r="M2443">
        <f>VLOOKUP(Query1[[#This Row],[Description]],'kits to boards'!$B$2:$E$156,3,FALSE)</f>
        <v>0</v>
      </c>
      <c r="N2443">
        <f>VLOOKUP(Query1[[#This Row],[Description]],'kits to boards'!$B$2:$E$156,4,FALSE)</f>
        <v>0</v>
      </c>
      <c r="O2443" t="str">
        <f>CONCATENATE(Query1[[#This Row],[Description]]," - ",Query1[[#This Row],[MB1]]," - ",Query1[[#This Row],[MB2]]," - ",Query1[[#This Row],[MB3]])</f>
        <v>EVAP KIT 67-72 CHEV P-UP W/AC - 830013 - 0 - 0</v>
      </c>
    </row>
    <row r="2444" spans="1:15" x14ac:dyDescent="0.25">
      <c r="A2444" s="1">
        <v>915409</v>
      </c>
      <c r="B2444" s="1" t="s">
        <v>114</v>
      </c>
      <c r="C2444" s="1" t="s">
        <v>115</v>
      </c>
      <c r="D2444" s="2">
        <v>44637.319895601853</v>
      </c>
      <c r="E2444" s="1" t="s">
        <v>8</v>
      </c>
      <c r="F2444" s="1">
        <v>1</v>
      </c>
      <c r="G2444" s="1">
        <v>0</v>
      </c>
      <c r="H2444" s="6">
        <f>INT(Query1[[#This Row],[EntryDateTime]])</f>
        <v>44637</v>
      </c>
      <c r="I2444" s="1">
        <f>IF(Query1[[#This Row],[ItemType]]="EVAP KIT SF GEN IV",Query1[[#This Row],[OrderQty]]+I2443,I2443)</f>
        <v>2953</v>
      </c>
      <c r="J2444" s="1">
        <f>IF(Query1[[#This Row],[ItemType]]="EVAP KIT UNIVERSAL",Query1[[#This Row],[OrderQty]]+J2443,J2443)</f>
        <v>1210</v>
      </c>
      <c r="K2444" s="1">
        <f>Query1[[#This Row],[SF Running Total]]+Query1[[#This Row],[UNIV Running Total]]</f>
        <v>4163</v>
      </c>
      <c r="L2444">
        <f>VLOOKUP(Query1[[#This Row],[Description]],'kits to boards'!$B$2:$E$156,2,FALSE)</f>
        <v>830059</v>
      </c>
      <c r="M2444">
        <f>VLOOKUP(Query1[[#This Row],[Description]],'kits to boards'!$B$2:$E$156,3,FALSE)</f>
        <v>0</v>
      </c>
      <c r="N2444">
        <f>VLOOKUP(Query1[[#This Row],[Description]],'kits to boards'!$B$2:$E$156,4,FALSE)</f>
        <v>0</v>
      </c>
      <c r="O2444" t="str">
        <f>CONCATENATE(Query1[[#This Row],[Description]]," - ",Query1[[#This Row],[MB1]]," - ",Query1[[#This Row],[MB2]]," - ",Query1[[#This Row],[MB3]])</f>
        <v>EVAP KIT 66-67 CHEVELLE W/AC - 830059 - 0 - 0</v>
      </c>
    </row>
    <row r="2445" spans="1:15" x14ac:dyDescent="0.25">
      <c r="A2445" s="1">
        <v>915521</v>
      </c>
      <c r="B2445" s="1" t="s">
        <v>168</v>
      </c>
      <c r="C2445" s="1" t="s">
        <v>169</v>
      </c>
      <c r="D2445" s="2">
        <v>44637.326507835649</v>
      </c>
      <c r="E2445" s="1" t="s">
        <v>8</v>
      </c>
      <c r="F2445" s="1">
        <v>1</v>
      </c>
      <c r="G2445" s="1">
        <v>0</v>
      </c>
      <c r="H2445" s="6">
        <f>INT(Query1[[#This Row],[EntryDateTime]])</f>
        <v>44637</v>
      </c>
      <c r="I2445" s="1">
        <f>IF(Query1[[#This Row],[ItemType]]="EVAP KIT SF GEN IV",Query1[[#This Row],[OrderQty]]+I2444,I2444)</f>
        <v>2954</v>
      </c>
      <c r="J2445" s="1">
        <f>IF(Query1[[#This Row],[ItemType]]="EVAP KIT UNIVERSAL",Query1[[#This Row],[OrderQty]]+J2444,J2444)</f>
        <v>1210</v>
      </c>
      <c r="K2445" s="1">
        <f>Query1[[#This Row],[SF Running Total]]+Query1[[#This Row],[UNIV Running Total]]</f>
        <v>4164</v>
      </c>
      <c r="L2445">
        <f>VLOOKUP(Query1[[#This Row],[Description]],'kits to boards'!$B$2:$E$156,2,FALSE)</f>
        <v>830028</v>
      </c>
      <c r="M2445">
        <f>VLOOKUP(Query1[[#This Row],[Description]],'kits to boards'!$B$2:$E$156,3,FALSE)</f>
        <v>0</v>
      </c>
      <c r="N2445">
        <f>VLOOKUP(Query1[[#This Row],[Description]],'kits to boards'!$B$2:$E$156,4,FALSE)</f>
        <v>0</v>
      </c>
      <c r="O2445" t="str">
        <f>CONCATENATE(Query1[[#This Row],[Description]]," - ",Query1[[#This Row],[MB1]]," - ",Query1[[#This Row],[MB2]]," - ",Query1[[#This Row],[MB3]])</f>
        <v>EVAP KIT 55-59 CHEV P-UP WO AC W/STD  - 830028 - 0 - 0</v>
      </c>
    </row>
    <row r="2446" spans="1:15" x14ac:dyDescent="0.25">
      <c r="A2446" s="1">
        <v>915532</v>
      </c>
      <c r="B2446" s="1" t="s">
        <v>102</v>
      </c>
      <c r="C2446" s="1" t="s">
        <v>103</v>
      </c>
      <c r="D2446" s="2">
        <v>44637.337676076386</v>
      </c>
      <c r="E2446" s="1" t="s">
        <v>8</v>
      </c>
      <c r="F2446" s="1">
        <v>1</v>
      </c>
      <c r="G2446" s="1">
        <v>0</v>
      </c>
      <c r="H2446" s="6">
        <f>INT(Query1[[#This Row],[EntryDateTime]])</f>
        <v>44637</v>
      </c>
      <c r="I2446" s="1">
        <f>IF(Query1[[#This Row],[ItemType]]="EVAP KIT SF GEN IV",Query1[[#This Row],[OrderQty]]+I2445,I2445)</f>
        <v>2955</v>
      </c>
      <c r="J2446" s="1">
        <f>IF(Query1[[#This Row],[ItemType]]="EVAP KIT UNIVERSAL",Query1[[#This Row],[OrderQty]]+J2445,J2445)</f>
        <v>1210</v>
      </c>
      <c r="K2446" s="1">
        <f>Query1[[#This Row],[SF Running Total]]+Query1[[#This Row],[UNIV Running Total]]</f>
        <v>4165</v>
      </c>
      <c r="L2446">
        <f>VLOOKUP(Query1[[#This Row],[Description]],'kits to boards'!$B$2:$E$156,2,FALSE)</f>
        <v>830012</v>
      </c>
      <c r="M2446">
        <f>VLOOKUP(Query1[[#This Row],[Description]],'kits to boards'!$B$2:$E$156,3,FALSE)</f>
        <v>0</v>
      </c>
      <c r="N2446">
        <f>VLOOKUP(Query1[[#This Row],[Description]],'kits to boards'!$B$2:$E$156,4,FALSE)</f>
        <v>0</v>
      </c>
      <c r="O2446" t="str">
        <f>CONCATENATE(Query1[[#This Row],[Description]]," - ",Query1[[#This Row],[MB1]]," - ",Query1[[#This Row],[MB2]]," - ",Query1[[#This Row],[MB3]])</f>
        <v>EVAP KIT 69 CAMARO WO/AC - 830012 - 0 - 0</v>
      </c>
    </row>
    <row r="2447" spans="1:15" x14ac:dyDescent="0.25">
      <c r="A2447" s="1">
        <v>915530</v>
      </c>
      <c r="B2447" s="1" t="s">
        <v>66</v>
      </c>
      <c r="C2447" s="1" t="s">
        <v>67</v>
      </c>
      <c r="D2447" s="2">
        <v>44637.337979895834</v>
      </c>
      <c r="E2447" s="1" t="s">
        <v>8</v>
      </c>
      <c r="F2447" s="1">
        <v>1</v>
      </c>
      <c r="G2447" s="1">
        <v>0</v>
      </c>
      <c r="H2447" s="6">
        <f>INT(Query1[[#This Row],[EntryDateTime]])</f>
        <v>44637</v>
      </c>
      <c r="I2447" s="1">
        <f>IF(Query1[[#This Row],[ItemType]]="EVAP KIT SF GEN IV",Query1[[#This Row],[OrderQty]]+I2446,I2446)</f>
        <v>2956</v>
      </c>
      <c r="J2447" s="1">
        <f>IF(Query1[[#This Row],[ItemType]]="EVAP KIT UNIVERSAL",Query1[[#This Row],[OrderQty]]+J2446,J2446)</f>
        <v>1210</v>
      </c>
      <c r="K2447" s="1">
        <f>Query1[[#This Row],[SF Running Total]]+Query1[[#This Row],[UNIV Running Total]]</f>
        <v>4166</v>
      </c>
      <c r="L2447">
        <f>VLOOKUP(Query1[[#This Row],[Description]],'kits to boards'!$B$2:$E$156,2,FALSE)</f>
        <v>830060</v>
      </c>
      <c r="M2447">
        <f>VLOOKUP(Query1[[#This Row],[Description]],'kits to boards'!$B$2:$E$156,3,FALSE)</f>
        <v>0</v>
      </c>
      <c r="N2447">
        <f>VLOOKUP(Query1[[#This Row],[Description]],'kits to boards'!$B$2:$E$156,4,FALSE)</f>
        <v>0</v>
      </c>
      <c r="O2447" t="str">
        <f>CONCATENATE(Query1[[#This Row],[Description]]," - ",Query1[[#This Row],[MB1]]," - ",Query1[[#This Row],[MB2]]," - ",Query1[[#This Row],[MB3]])</f>
        <v>EVAP KIT 66-67 CHEVELLE WO AC - 830060 - 0 - 0</v>
      </c>
    </row>
    <row r="2448" spans="1:15" x14ac:dyDescent="0.25">
      <c r="A2448" s="1">
        <v>915533</v>
      </c>
      <c r="B2448" s="1" t="s">
        <v>52</v>
      </c>
      <c r="C2448" s="1" t="s">
        <v>53</v>
      </c>
      <c r="D2448" s="2">
        <v>44637.34136431713</v>
      </c>
      <c r="E2448" s="1" t="s">
        <v>8</v>
      </c>
      <c r="F2448" s="1">
        <v>1</v>
      </c>
      <c r="G2448" s="1">
        <v>0</v>
      </c>
      <c r="H2448" s="6">
        <f>INT(Query1[[#This Row],[EntryDateTime]])</f>
        <v>44637</v>
      </c>
      <c r="I2448" s="1">
        <f>IF(Query1[[#This Row],[ItemType]]="EVAP KIT SF GEN IV",Query1[[#This Row],[OrderQty]]+I2447,I2447)</f>
        <v>2957</v>
      </c>
      <c r="J2448" s="1">
        <f>IF(Query1[[#This Row],[ItemType]]="EVAP KIT UNIVERSAL",Query1[[#This Row],[OrderQty]]+J2447,J2447)</f>
        <v>1210</v>
      </c>
      <c r="K2448" s="1">
        <f>Query1[[#This Row],[SF Running Total]]+Query1[[#This Row],[UNIV Running Total]]</f>
        <v>4167</v>
      </c>
      <c r="L2448">
        <f>VLOOKUP(Query1[[#This Row],[Description]],'kits to boards'!$B$2:$E$156,2,FALSE)</f>
        <v>830017</v>
      </c>
      <c r="M2448">
        <f>VLOOKUP(Query1[[#This Row],[Description]],'kits to boards'!$B$2:$E$156,3,FALSE)</f>
        <v>830119</v>
      </c>
      <c r="N2448">
        <f>VLOOKUP(Query1[[#This Row],[Description]],'kits to boards'!$B$2:$E$156,4,FALSE)</f>
        <v>830120</v>
      </c>
      <c r="O2448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2449" spans="1:15" x14ac:dyDescent="0.25">
      <c r="A2449" s="1">
        <v>915534</v>
      </c>
      <c r="B2449" s="1" t="s">
        <v>124</v>
      </c>
      <c r="C2449" s="1" t="s">
        <v>125</v>
      </c>
      <c r="D2449" s="2">
        <v>44637.343205474535</v>
      </c>
      <c r="E2449" s="1" t="s">
        <v>8</v>
      </c>
      <c r="F2449" s="1">
        <v>1</v>
      </c>
      <c r="G2449" s="1">
        <v>0</v>
      </c>
      <c r="H2449" s="6">
        <f>INT(Query1[[#This Row],[EntryDateTime]])</f>
        <v>44637</v>
      </c>
      <c r="I2449" s="1">
        <f>IF(Query1[[#This Row],[ItemType]]="EVAP KIT SF GEN IV",Query1[[#This Row],[OrderQty]]+I2448,I2448)</f>
        <v>2958</v>
      </c>
      <c r="J2449" s="1">
        <f>IF(Query1[[#This Row],[ItemType]]="EVAP KIT UNIVERSAL",Query1[[#This Row],[OrderQty]]+J2448,J2448)</f>
        <v>1210</v>
      </c>
      <c r="K2449" s="1">
        <f>Query1[[#This Row],[SF Running Total]]+Query1[[#This Row],[UNIV Running Total]]</f>
        <v>4168</v>
      </c>
      <c r="L2449">
        <f>VLOOKUP(Query1[[#This Row],[Description]],'kits to boards'!$B$2:$E$156,2,FALSE)</f>
        <v>830002</v>
      </c>
      <c r="M2449">
        <f>VLOOKUP(Query1[[#This Row],[Description]],'kits to boards'!$B$2:$E$156,3,FALSE)</f>
        <v>0</v>
      </c>
      <c r="N2449">
        <f>VLOOKUP(Query1[[#This Row],[Description]],'kits to boards'!$B$2:$E$156,4,FALSE)</f>
        <v>0</v>
      </c>
      <c r="O2449" t="str">
        <f>CONCATENATE(Query1[[#This Row],[Description]]," - ",Query1[[#This Row],[MB1]]," - ",Query1[[#This Row],[MB2]]," - ",Query1[[#This Row],[MB3]])</f>
        <v>EVAP KIT 73-80 CHEV P-UP WO AC - 830002 - 0 - 0</v>
      </c>
    </row>
    <row r="2450" spans="1:15" x14ac:dyDescent="0.25">
      <c r="A2450" s="1">
        <v>915535</v>
      </c>
      <c r="B2450" s="1" t="s">
        <v>100</v>
      </c>
      <c r="C2450" s="1" t="s">
        <v>101</v>
      </c>
      <c r="D2450" s="2">
        <v>44637.345005474534</v>
      </c>
      <c r="E2450" s="1" t="s">
        <v>8</v>
      </c>
      <c r="F2450" s="1">
        <v>1</v>
      </c>
      <c r="G2450" s="1">
        <v>0</v>
      </c>
      <c r="H2450" s="6">
        <f>INT(Query1[[#This Row],[EntryDateTime]])</f>
        <v>44637</v>
      </c>
      <c r="I2450" s="1">
        <f>IF(Query1[[#This Row],[ItemType]]="EVAP KIT SF GEN IV",Query1[[#This Row],[OrderQty]]+I2449,I2449)</f>
        <v>2959</v>
      </c>
      <c r="J2450" s="1">
        <f>IF(Query1[[#This Row],[ItemType]]="EVAP KIT UNIVERSAL",Query1[[#This Row],[OrderQty]]+J2449,J2449)</f>
        <v>1210</v>
      </c>
      <c r="K2450" s="1">
        <f>Query1[[#This Row],[SF Running Total]]+Query1[[#This Row],[UNIV Running Total]]</f>
        <v>4169</v>
      </c>
      <c r="L2450">
        <f>VLOOKUP(Query1[[#This Row],[Description]],'kits to boards'!$B$2:$E$156,2,FALSE)</f>
        <v>830096</v>
      </c>
      <c r="M2450">
        <f>VLOOKUP(Query1[[#This Row],[Description]],'kits to boards'!$B$2:$E$156,3,FALSE)</f>
        <v>0</v>
      </c>
      <c r="N2450">
        <f>VLOOKUP(Query1[[#This Row],[Description]],'kits to boards'!$B$2:$E$156,4,FALSE)</f>
        <v>0</v>
      </c>
      <c r="O2450" t="str">
        <f>CONCATENATE(Query1[[#This Row],[Description]]," - ",Query1[[#This Row],[MB1]]," - ",Query1[[#This Row],[MB2]]," - ",Query1[[#This Row],[MB3]])</f>
        <v>EVAP KIT 62-65 NOVA - 830096 - 0 - 0</v>
      </c>
    </row>
    <row r="2451" spans="1:15" x14ac:dyDescent="0.25">
      <c r="A2451" s="1">
        <v>915154</v>
      </c>
      <c r="B2451" s="1" t="s">
        <v>106</v>
      </c>
      <c r="C2451" s="1" t="s">
        <v>107</v>
      </c>
      <c r="D2451" s="2">
        <v>44637.345114432872</v>
      </c>
      <c r="E2451" s="1" t="s">
        <v>8</v>
      </c>
      <c r="F2451" s="1">
        <v>1</v>
      </c>
      <c r="G2451" s="1">
        <v>0</v>
      </c>
      <c r="H2451" s="6">
        <f>INT(Query1[[#This Row],[EntryDateTime]])</f>
        <v>44637</v>
      </c>
      <c r="I2451" s="1">
        <f>IF(Query1[[#This Row],[ItemType]]="EVAP KIT SF GEN IV",Query1[[#This Row],[OrderQty]]+I2450,I2450)</f>
        <v>2960</v>
      </c>
      <c r="J2451" s="1">
        <f>IF(Query1[[#This Row],[ItemType]]="EVAP KIT UNIVERSAL",Query1[[#This Row],[OrderQty]]+J2450,J2450)</f>
        <v>1210</v>
      </c>
      <c r="K2451" s="1">
        <f>Query1[[#This Row],[SF Running Total]]+Query1[[#This Row],[UNIV Running Total]]</f>
        <v>4170</v>
      </c>
      <c r="L2451">
        <f>VLOOKUP(Query1[[#This Row],[Description]],'kits to boards'!$B$2:$E$156,2,FALSE)</f>
        <v>830028</v>
      </c>
      <c r="M2451">
        <f>VLOOKUP(Query1[[#This Row],[Description]],'kits to boards'!$B$2:$E$156,3,FALSE)</f>
        <v>0</v>
      </c>
      <c r="N2451">
        <f>VLOOKUP(Query1[[#This Row],[Description]],'kits to boards'!$B$2:$E$156,4,FALSE)</f>
        <v>0</v>
      </c>
      <c r="O2451" t="str">
        <f>CONCATENATE(Query1[[#This Row],[Description]]," - ",Query1[[#This Row],[MB1]]," - ",Query1[[#This Row],[MB2]]," - ",Query1[[#This Row],[MB3]])</f>
        <v>EVAP KIT 55-59 CHEV P-UP WO AC W/DELX - 830028 - 0 - 0</v>
      </c>
    </row>
    <row r="2452" spans="1:15" x14ac:dyDescent="0.25">
      <c r="A2452" s="1">
        <v>915537</v>
      </c>
      <c r="B2452" s="1" t="s">
        <v>54</v>
      </c>
      <c r="C2452" s="1" t="s">
        <v>55</v>
      </c>
      <c r="D2452" s="2">
        <v>44637.348015937503</v>
      </c>
      <c r="E2452" s="1" t="s">
        <v>8</v>
      </c>
      <c r="F2452" s="1">
        <v>1</v>
      </c>
      <c r="G2452" s="1">
        <v>0</v>
      </c>
      <c r="H2452" s="6">
        <f>INT(Query1[[#This Row],[EntryDateTime]])</f>
        <v>44637</v>
      </c>
      <c r="I2452" s="1">
        <f>IF(Query1[[#This Row],[ItemType]]="EVAP KIT SF GEN IV",Query1[[#This Row],[OrderQty]]+I2451,I2451)</f>
        <v>2961</v>
      </c>
      <c r="J2452" s="1">
        <f>IF(Query1[[#This Row],[ItemType]]="EVAP KIT UNIVERSAL",Query1[[#This Row],[OrderQty]]+J2451,J2451)</f>
        <v>1210</v>
      </c>
      <c r="K2452" s="1">
        <f>Query1[[#This Row],[SF Running Total]]+Query1[[#This Row],[UNIV Running Total]]</f>
        <v>4171</v>
      </c>
      <c r="L2452">
        <f>VLOOKUP(Query1[[#This Row],[Description]],'kits to boards'!$B$2:$E$156,2,FALSE)</f>
        <v>830037</v>
      </c>
      <c r="M2452">
        <f>VLOOKUP(Query1[[#This Row],[Description]],'kits to boards'!$B$2:$E$156,3,FALSE)</f>
        <v>0</v>
      </c>
      <c r="N2452">
        <f>VLOOKUP(Query1[[#This Row],[Description]],'kits to boards'!$B$2:$E$156,4,FALSE)</f>
        <v>0</v>
      </c>
      <c r="O2452" t="str">
        <f>CONCATENATE(Query1[[#This Row],[Description]]," - ",Query1[[#This Row],[MB1]]," - ",Query1[[#This Row],[MB2]]," - ",Query1[[#This Row],[MB3]])</f>
        <v>EVAP KIT 70-81 FIREBIRD W/AC - 830037 - 0 - 0</v>
      </c>
    </row>
    <row r="2453" spans="1:15" x14ac:dyDescent="0.25">
      <c r="A2453" s="1">
        <v>915538</v>
      </c>
      <c r="B2453" s="1" t="s">
        <v>34</v>
      </c>
      <c r="C2453" s="1" t="s">
        <v>35</v>
      </c>
      <c r="D2453" s="2">
        <v>44637.348953437497</v>
      </c>
      <c r="E2453" s="1" t="s">
        <v>8</v>
      </c>
      <c r="F2453" s="1">
        <v>1</v>
      </c>
      <c r="G2453" s="1">
        <v>0</v>
      </c>
      <c r="H2453" s="6">
        <f>INT(Query1[[#This Row],[EntryDateTime]])</f>
        <v>44637</v>
      </c>
      <c r="I2453" s="1">
        <f>IF(Query1[[#This Row],[ItemType]]="EVAP KIT SF GEN IV",Query1[[#This Row],[OrderQty]]+I2452,I2452)</f>
        <v>2962</v>
      </c>
      <c r="J2453" s="1">
        <f>IF(Query1[[#This Row],[ItemType]]="EVAP KIT UNIVERSAL",Query1[[#This Row],[OrderQty]]+J2452,J2452)</f>
        <v>1210</v>
      </c>
      <c r="K2453" s="1">
        <f>Query1[[#This Row],[SF Running Total]]+Query1[[#This Row],[UNIV Running Total]]</f>
        <v>4172</v>
      </c>
      <c r="L2453">
        <f>VLOOKUP(Query1[[#This Row],[Description]],'kits to boards'!$B$2:$E$156,2,FALSE)</f>
        <v>830065</v>
      </c>
      <c r="M2453">
        <f>VLOOKUP(Query1[[#This Row],[Description]],'kits to boards'!$B$2:$E$156,3,FALSE)</f>
        <v>0</v>
      </c>
      <c r="N2453">
        <f>VLOOKUP(Query1[[#This Row],[Description]],'kits to boards'!$B$2:$E$156,4,FALSE)</f>
        <v>0</v>
      </c>
      <c r="O2453" t="str">
        <f>CONCATENATE(Query1[[#This Row],[Description]]," - ",Query1[[#This Row],[MB1]]," - ",Query1[[#This Row],[MB2]]," - ",Query1[[#This Row],[MB3]])</f>
        <v>EVAP KIT 57 CHEV WO AC - 830065 - 0 - 0</v>
      </c>
    </row>
    <row r="2454" spans="1:15" x14ac:dyDescent="0.25">
      <c r="A2454" s="1">
        <v>915539</v>
      </c>
      <c r="B2454" s="1" t="s">
        <v>66</v>
      </c>
      <c r="C2454" s="1" t="s">
        <v>67</v>
      </c>
      <c r="D2454" s="2">
        <v>44637.349569131948</v>
      </c>
      <c r="E2454" s="1" t="s">
        <v>8</v>
      </c>
      <c r="F2454" s="1">
        <v>1</v>
      </c>
      <c r="G2454" s="1">
        <v>0</v>
      </c>
      <c r="H2454" s="6">
        <f>INT(Query1[[#This Row],[EntryDateTime]])</f>
        <v>44637</v>
      </c>
      <c r="I2454" s="1">
        <f>IF(Query1[[#This Row],[ItemType]]="EVAP KIT SF GEN IV",Query1[[#This Row],[OrderQty]]+I2453,I2453)</f>
        <v>2963</v>
      </c>
      <c r="J2454" s="1">
        <f>IF(Query1[[#This Row],[ItemType]]="EVAP KIT UNIVERSAL",Query1[[#This Row],[OrderQty]]+J2453,J2453)</f>
        <v>1210</v>
      </c>
      <c r="K2454" s="1">
        <f>Query1[[#This Row],[SF Running Total]]+Query1[[#This Row],[UNIV Running Total]]</f>
        <v>4173</v>
      </c>
      <c r="L2454">
        <f>VLOOKUP(Query1[[#This Row],[Description]],'kits to boards'!$B$2:$E$156,2,FALSE)</f>
        <v>830060</v>
      </c>
      <c r="M2454">
        <f>VLOOKUP(Query1[[#This Row],[Description]],'kits to boards'!$B$2:$E$156,3,FALSE)</f>
        <v>0</v>
      </c>
      <c r="N2454">
        <f>VLOOKUP(Query1[[#This Row],[Description]],'kits to boards'!$B$2:$E$156,4,FALSE)</f>
        <v>0</v>
      </c>
      <c r="O2454" t="str">
        <f>CONCATENATE(Query1[[#This Row],[Description]]," - ",Query1[[#This Row],[MB1]]," - ",Query1[[#This Row],[MB2]]," - ",Query1[[#This Row],[MB3]])</f>
        <v>EVAP KIT 66-67 CHEVELLE WO AC - 830060 - 0 - 0</v>
      </c>
    </row>
    <row r="2455" spans="1:15" x14ac:dyDescent="0.25">
      <c r="A2455" s="1">
        <v>915529</v>
      </c>
      <c r="B2455" s="1" t="s">
        <v>22</v>
      </c>
      <c r="C2455" s="1" t="s">
        <v>23</v>
      </c>
      <c r="D2455" s="2">
        <v>44637.354453159722</v>
      </c>
      <c r="E2455" s="1" t="s">
        <v>8</v>
      </c>
      <c r="F2455" s="1">
        <v>1</v>
      </c>
      <c r="G2455" s="1">
        <v>0</v>
      </c>
      <c r="H2455" s="6">
        <f>INT(Query1[[#This Row],[EntryDateTime]])</f>
        <v>44637</v>
      </c>
      <c r="I2455" s="1">
        <f>IF(Query1[[#This Row],[ItemType]]="EVAP KIT SF GEN IV",Query1[[#This Row],[OrderQty]]+I2454,I2454)</f>
        <v>2964</v>
      </c>
      <c r="J2455" s="1">
        <f>IF(Query1[[#This Row],[ItemType]]="EVAP KIT UNIVERSAL",Query1[[#This Row],[OrderQty]]+J2454,J2454)</f>
        <v>1210</v>
      </c>
      <c r="K2455" s="1">
        <f>Query1[[#This Row],[SF Running Total]]+Query1[[#This Row],[UNIV Running Total]]</f>
        <v>4174</v>
      </c>
      <c r="L2455">
        <f>VLOOKUP(Query1[[#This Row],[Description]],'kits to boards'!$B$2:$E$156,2,FALSE)</f>
        <v>830083</v>
      </c>
      <c r="M2455">
        <f>VLOOKUP(Query1[[#This Row],[Description]],'kits to boards'!$B$2:$E$156,3,FALSE)</f>
        <v>0</v>
      </c>
      <c r="N2455">
        <f>VLOOKUP(Query1[[#This Row],[Description]],'kits to boards'!$B$2:$E$156,4,FALSE)</f>
        <v>0</v>
      </c>
      <c r="O2455" t="str">
        <f>CONCATENATE(Query1[[#This Row],[Description]]," - ",Query1[[#This Row],[MB1]]," - ",Query1[[#This Row],[MB2]]," - ",Query1[[#This Row],[MB3]])</f>
        <v>GEN IV MAGNUM EVAP KIT - 830083 - 0 - 0</v>
      </c>
    </row>
    <row r="2456" spans="1:15" x14ac:dyDescent="0.25">
      <c r="A2456" s="1">
        <v>915545</v>
      </c>
      <c r="B2456" s="1" t="s">
        <v>38</v>
      </c>
      <c r="C2456" s="1" t="s">
        <v>39</v>
      </c>
      <c r="D2456" s="2">
        <v>44637.358096909724</v>
      </c>
      <c r="E2456" s="1" t="s">
        <v>8</v>
      </c>
      <c r="F2456" s="1">
        <v>1</v>
      </c>
      <c r="G2456" s="1">
        <v>0</v>
      </c>
      <c r="H2456" s="6">
        <f>INT(Query1[[#This Row],[EntryDateTime]])</f>
        <v>44637</v>
      </c>
      <c r="I2456" s="1">
        <f>IF(Query1[[#This Row],[ItemType]]="EVAP KIT SF GEN IV",Query1[[#This Row],[OrderQty]]+I2455,I2455)</f>
        <v>2965</v>
      </c>
      <c r="J2456" s="1">
        <f>IF(Query1[[#This Row],[ItemType]]="EVAP KIT UNIVERSAL",Query1[[#This Row],[OrderQty]]+J2455,J2455)</f>
        <v>1210</v>
      </c>
      <c r="K2456" s="1">
        <f>Query1[[#This Row],[SF Running Total]]+Query1[[#This Row],[UNIV Running Total]]</f>
        <v>4175</v>
      </c>
      <c r="L2456">
        <f>VLOOKUP(Query1[[#This Row],[Description]],'kits to boards'!$B$2:$E$156,2,FALSE)</f>
        <v>830012</v>
      </c>
      <c r="M2456">
        <f>VLOOKUP(Query1[[#This Row],[Description]],'kits to boards'!$B$2:$E$156,3,FALSE)</f>
        <v>0</v>
      </c>
      <c r="N2456">
        <f>VLOOKUP(Query1[[#This Row],[Description]],'kits to boards'!$B$2:$E$156,4,FALSE)</f>
        <v>0</v>
      </c>
      <c r="O2456" t="str">
        <f>CONCATENATE(Query1[[#This Row],[Description]]," - ",Query1[[#This Row],[MB1]]," - ",Query1[[#This Row],[MB2]]," - ",Query1[[#This Row],[MB3]])</f>
        <v>EVAP KIT 69 CAMARO W/AC - 830012 - 0 - 0</v>
      </c>
    </row>
    <row r="2457" spans="1:15" x14ac:dyDescent="0.25">
      <c r="A2457" s="1">
        <v>915550</v>
      </c>
      <c r="B2457" s="1" t="s">
        <v>14</v>
      </c>
      <c r="C2457" s="1" t="s">
        <v>15</v>
      </c>
      <c r="D2457" s="2">
        <v>44637.380278356482</v>
      </c>
      <c r="E2457" s="1" t="s">
        <v>8</v>
      </c>
      <c r="F2457" s="1">
        <v>1</v>
      </c>
      <c r="G2457" s="1">
        <v>0</v>
      </c>
      <c r="H2457" s="6">
        <f>INT(Query1[[#This Row],[EntryDateTime]])</f>
        <v>44637</v>
      </c>
      <c r="I2457" s="1">
        <f>IF(Query1[[#This Row],[ItemType]]="EVAP KIT SF GEN IV",Query1[[#This Row],[OrderQty]]+I2456,I2456)</f>
        <v>2966</v>
      </c>
      <c r="J2457" s="1">
        <f>IF(Query1[[#This Row],[ItemType]]="EVAP KIT UNIVERSAL",Query1[[#This Row],[OrderQty]]+J2456,J2456)</f>
        <v>1210</v>
      </c>
      <c r="K2457" s="1">
        <f>Query1[[#This Row],[SF Running Total]]+Query1[[#This Row],[UNIV Running Total]]</f>
        <v>4176</v>
      </c>
      <c r="L2457">
        <f>VLOOKUP(Query1[[#This Row],[Description]],'kits to boards'!$B$2:$E$156,2,FALSE)</f>
        <v>830054</v>
      </c>
      <c r="M2457">
        <f>VLOOKUP(Query1[[#This Row],[Description]],'kits to boards'!$B$2:$E$156,3,FALSE)</f>
        <v>0</v>
      </c>
      <c r="N2457">
        <f>VLOOKUP(Query1[[#This Row],[Description]],'kits to boards'!$B$2:$E$156,4,FALSE)</f>
        <v>0</v>
      </c>
      <c r="O2457" t="str">
        <f>CONCATENATE(Query1[[#This Row],[Description]]," - ",Query1[[#This Row],[MB1]]," - ",Query1[[#This Row],[MB2]]," - ",Query1[[#This Row],[MB3]])</f>
        <v>EVAP KIT 55-56 CHEVY - 830054 - 0 - 0</v>
      </c>
    </row>
    <row r="2458" spans="1:15" x14ac:dyDescent="0.25">
      <c r="A2458" s="1">
        <v>915542</v>
      </c>
      <c r="B2458" s="1" t="s">
        <v>72</v>
      </c>
      <c r="C2458" s="1" t="s">
        <v>73</v>
      </c>
      <c r="D2458" s="2">
        <v>44637.383418750003</v>
      </c>
      <c r="E2458" s="1" t="s">
        <v>8</v>
      </c>
      <c r="F2458" s="1">
        <v>1</v>
      </c>
      <c r="G2458" s="1">
        <v>0</v>
      </c>
      <c r="H2458" s="6">
        <f>INT(Query1[[#This Row],[EntryDateTime]])</f>
        <v>44637</v>
      </c>
      <c r="I2458" s="1">
        <f>IF(Query1[[#This Row],[ItemType]]="EVAP KIT SF GEN IV",Query1[[#This Row],[OrderQty]]+I2457,I2457)</f>
        <v>2967</v>
      </c>
      <c r="J2458" s="1">
        <f>IF(Query1[[#This Row],[ItemType]]="EVAP KIT UNIVERSAL",Query1[[#This Row],[OrderQty]]+J2457,J2457)</f>
        <v>1210</v>
      </c>
      <c r="K2458" s="1">
        <f>Query1[[#This Row],[SF Running Total]]+Query1[[#This Row],[UNIV Running Total]]</f>
        <v>4177</v>
      </c>
      <c r="L2458">
        <f>VLOOKUP(Query1[[#This Row],[Description]],'kits to boards'!$B$2:$E$156,2,FALSE)</f>
        <v>830043</v>
      </c>
      <c r="M2458">
        <f>VLOOKUP(Query1[[#This Row],[Description]],'kits to boards'!$B$2:$E$156,3,FALSE)</f>
        <v>0</v>
      </c>
      <c r="N2458">
        <f>VLOOKUP(Query1[[#This Row],[Description]],'kits to boards'!$B$2:$E$156,4,FALSE)</f>
        <v>0</v>
      </c>
      <c r="O2458" t="str">
        <f>CONCATENATE(Query1[[#This Row],[Description]]," - ",Query1[[#This Row],[MB1]]," - ",Query1[[#This Row],[MB2]]," - ",Query1[[#This Row],[MB3]])</f>
        <v>EVAP KIT 69-74 NOVA W/AC - 830043 - 0 - 0</v>
      </c>
    </row>
    <row r="2459" spans="1:15" x14ac:dyDescent="0.25">
      <c r="A2459" s="1">
        <v>912409</v>
      </c>
      <c r="B2459" s="1" t="s">
        <v>102</v>
      </c>
      <c r="C2459" s="1" t="s">
        <v>103</v>
      </c>
      <c r="D2459" s="2">
        <v>44637.398724652776</v>
      </c>
      <c r="E2459" s="1" t="s">
        <v>8</v>
      </c>
      <c r="F2459" s="1">
        <v>1</v>
      </c>
      <c r="G2459" s="1">
        <v>0</v>
      </c>
      <c r="H2459" s="6">
        <f>INT(Query1[[#This Row],[EntryDateTime]])</f>
        <v>44637</v>
      </c>
      <c r="I2459" s="1">
        <f>IF(Query1[[#This Row],[ItemType]]="EVAP KIT SF GEN IV",Query1[[#This Row],[OrderQty]]+I2458,I2458)</f>
        <v>2968</v>
      </c>
      <c r="J2459" s="1">
        <f>IF(Query1[[#This Row],[ItemType]]="EVAP KIT UNIVERSAL",Query1[[#This Row],[OrderQty]]+J2458,J2458)</f>
        <v>1210</v>
      </c>
      <c r="K2459" s="1">
        <f>Query1[[#This Row],[SF Running Total]]+Query1[[#This Row],[UNIV Running Total]]</f>
        <v>4178</v>
      </c>
      <c r="L2459">
        <f>VLOOKUP(Query1[[#This Row],[Description]],'kits to boards'!$B$2:$E$156,2,FALSE)</f>
        <v>830012</v>
      </c>
      <c r="M2459">
        <f>VLOOKUP(Query1[[#This Row],[Description]],'kits to boards'!$B$2:$E$156,3,FALSE)</f>
        <v>0</v>
      </c>
      <c r="N2459">
        <f>VLOOKUP(Query1[[#This Row],[Description]],'kits to boards'!$B$2:$E$156,4,FALSE)</f>
        <v>0</v>
      </c>
      <c r="O2459" t="str">
        <f>CONCATENATE(Query1[[#This Row],[Description]]," - ",Query1[[#This Row],[MB1]]," - ",Query1[[#This Row],[MB2]]," - ",Query1[[#This Row],[MB3]])</f>
        <v>EVAP KIT 69 CAMARO WO/AC - 830012 - 0 - 0</v>
      </c>
    </row>
    <row r="2460" spans="1:15" x14ac:dyDescent="0.25">
      <c r="A2460" s="1">
        <v>915561</v>
      </c>
      <c r="B2460" s="1" t="s">
        <v>182</v>
      </c>
      <c r="C2460" s="1" t="s">
        <v>183</v>
      </c>
      <c r="D2460" s="2">
        <v>44637.41294548611</v>
      </c>
      <c r="E2460" s="1" t="s">
        <v>8</v>
      </c>
      <c r="F2460" s="1">
        <v>1</v>
      </c>
      <c r="G2460" s="1">
        <v>0</v>
      </c>
      <c r="H2460" s="6">
        <f>INT(Query1[[#This Row],[EntryDateTime]])</f>
        <v>44637</v>
      </c>
      <c r="I2460" s="1">
        <f>IF(Query1[[#This Row],[ItemType]]="EVAP KIT SF GEN IV",Query1[[#This Row],[OrderQty]]+I2459,I2459)</f>
        <v>2969</v>
      </c>
      <c r="J2460" s="1">
        <f>IF(Query1[[#This Row],[ItemType]]="EVAP KIT UNIVERSAL",Query1[[#This Row],[OrderQty]]+J2459,J2459)</f>
        <v>1210</v>
      </c>
      <c r="K2460" s="1">
        <f>Query1[[#This Row],[SF Running Total]]+Query1[[#This Row],[UNIV Running Total]]</f>
        <v>4179</v>
      </c>
      <c r="L2460">
        <f>VLOOKUP(Query1[[#This Row],[Description]],'kits to boards'!$B$2:$E$156,2,FALSE)</f>
        <v>830075</v>
      </c>
      <c r="M2460">
        <f>VLOOKUP(Query1[[#This Row],[Description]],'kits to boards'!$B$2:$E$156,3,FALSE)</f>
        <v>0</v>
      </c>
      <c r="N2460">
        <f>VLOOKUP(Query1[[#This Row],[Description]],'kits to boards'!$B$2:$E$156,4,FALSE)</f>
        <v>0</v>
      </c>
      <c r="O2460" t="str">
        <f>CONCATENATE(Query1[[#This Row],[Description]]," - ",Query1[[#This Row],[MB1]]," - ",Query1[[#This Row],[MB2]]," - ",Query1[[#This Row],[MB3]])</f>
        <v>EVAP KIT 69-70 MOPAR B BODY WO AC - 830075 - 0 - 0</v>
      </c>
    </row>
    <row r="2461" spans="1:15" x14ac:dyDescent="0.25">
      <c r="A2461" s="1">
        <v>915577</v>
      </c>
      <c r="B2461" s="1" t="s">
        <v>84</v>
      </c>
      <c r="C2461" s="1" t="s">
        <v>85</v>
      </c>
      <c r="D2461" s="2">
        <v>44637.432902430555</v>
      </c>
      <c r="E2461" s="1" t="s">
        <v>8</v>
      </c>
      <c r="F2461" s="1">
        <v>1</v>
      </c>
      <c r="G2461" s="1">
        <v>0</v>
      </c>
      <c r="H2461" s="6">
        <f>INT(Query1[[#This Row],[EntryDateTime]])</f>
        <v>44637</v>
      </c>
      <c r="I2461" s="1">
        <f>IF(Query1[[#This Row],[ItemType]]="EVAP KIT SF GEN IV",Query1[[#This Row],[OrderQty]]+I2460,I2460)</f>
        <v>2970</v>
      </c>
      <c r="J2461" s="1">
        <f>IF(Query1[[#This Row],[ItemType]]="EVAP KIT UNIVERSAL",Query1[[#This Row],[OrderQty]]+J2460,J2460)</f>
        <v>1210</v>
      </c>
      <c r="K2461" s="1">
        <f>Query1[[#This Row],[SF Running Total]]+Query1[[#This Row],[UNIV Running Total]]</f>
        <v>4180</v>
      </c>
      <c r="L2461">
        <f>VLOOKUP(Query1[[#This Row],[Description]],'kits to boards'!$B$2:$E$156,2,FALSE)</f>
        <v>830085</v>
      </c>
      <c r="M2461">
        <f>VLOOKUP(Query1[[#This Row],[Description]],'kits to boards'!$B$2:$E$156,3,FALSE)</f>
        <v>0</v>
      </c>
      <c r="N2461">
        <f>VLOOKUP(Query1[[#This Row],[Description]],'kits to boards'!$B$2:$E$156,4,FALSE)</f>
        <v>0</v>
      </c>
      <c r="O2461" t="str">
        <f>CONCATENATE(Query1[[#This Row],[Description]]," - ",Query1[[#This Row],[MB1]]," - ",Query1[[#This Row],[MB2]]," - ",Query1[[#This Row],[MB3]])</f>
        <v>EVAP KIT 66-77 BRONCO 4-VENT PLENUM - 830085 - 0 - 0</v>
      </c>
    </row>
    <row r="2462" spans="1:15" x14ac:dyDescent="0.25">
      <c r="A2462" s="1">
        <v>915559</v>
      </c>
      <c r="B2462" s="1" t="s">
        <v>90</v>
      </c>
      <c r="C2462" s="1" t="s">
        <v>91</v>
      </c>
      <c r="D2462" s="2">
        <v>44637.441274386576</v>
      </c>
      <c r="E2462" s="1" t="s">
        <v>8</v>
      </c>
      <c r="F2462" s="1">
        <v>1</v>
      </c>
      <c r="G2462" s="1">
        <v>0</v>
      </c>
      <c r="H2462" s="6">
        <f>INT(Query1[[#This Row],[EntryDateTime]])</f>
        <v>44637</v>
      </c>
      <c r="I2462" s="1">
        <f>IF(Query1[[#This Row],[ItemType]]="EVAP KIT SF GEN IV",Query1[[#This Row],[OrderQty]]+I2461,I2461)</f>
        <v>2971</v>
      </c>
      <c r="J2462" s="1">
        <f>IF(Query1[[#This Row],[ItemType]]="EVAP KIT UNIVERSAL",Query1[[#This Row],[OrderQty]]+J2461,J2461)</f>
        <v>1210</v>
      </c>
      <c r="K2462" s="1">
        <f>Query1[[#This Row],[SF Running Total]]+Query1[[#This Row],[UNIV Running Total]]</f>
        <v>4181</v>
      </c>
      <c r="L2462">
        <f>VLOOKUP(Query1[[#This Row],[Description]],'kits to boards'!$B$2:$E$156,2,FALSE)</f>
        <v>830105</v>
      </c>
      <c r="M2462">
        <f>VLOOKUP(Query1[[#This Row],[Description]],'kits to boards'!$B$2:$E$156,3,FALSE)</f>
        <v>830106</v>
      </c>
      <c r="N2462">
        <f>VLOOKUP(Query1[[#This Row],[Description]],'kits to boards'!$B$2:$E$156,4,FALSE)</f>
        <v>0</v>
      </c>
      <c r="O2462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2463" spans="1:15" x14ac:dyDescent="0.25">
      <c r="A2463" s="1">
        <v>915580</v>
      </c>
      <c r="B2463" s="1" t="s">
        <v>100</v>
      </c>
      <c r="C2463" s="1" t="s">
        <v>101</v>
      </c>
      <c r="D2463" s="2">
        <v>44637.447350034723</v>
      </c>
      <c r="E2463" s="1" t="s">
        <v>8</v>
      </c>
      <c r="F2463" s="1">
        <v>1</v>
      </c>
      <c r="G2463" s="1">
        <v>0</v>
      </c>
      <c r="H2463" s="6">
        <f>INT(Query1[[#This Row],[EntryDateTime]])</f>
        <v>44637</v>
      </c>
      <c r="I2463" s="1">
        <f>IF(Query1[[#This Row],[ItemType]]="EVAP KIT SF GEN IV",Query1[[#This Row],[OrderQty]]+I2462,I2462)</f>
        <v>2972</v>
      </c>
      <c r="J2463" s="1">
        <f>IF(Query1[[#This Row],[ItemType]]="EVAP KIT UNIVERSAL",Query1[[#This Row],[OrderQty]]+J2462,J2462)</f>
        <v>1210</v>
      </c>
      <c r="K2463" s="1">
        <f>Query1[[#This Row],[SF Running Total]]+Query1[[#This Row],[UNIV Running Total]]</f>
        <v>4182</v>
      </c>
      <c r="L2463">
        <f>VLOOKUP(Query1[[#This Row],[Description]],'kits to boards'!$B$2:$E$156,2,FALSE)</f>
        <v>830096</v>
      </c>
      <c r="M2463">
        <f>VLOOKUP(Query1[[#This Row],[Description]],'kits to boards'!$B$2:$E$156,3,FALSE)</f>
        <v>0</v>
      </c>
      <c r="N2463">
        <f>VLOOKUP(Query1[[#This Row],[Description]],'kits to boards'!$B$2:$E$156,4,FALSE)</f>
        <v>0</v>
      </c>
      <c r="O2463" t="str">
        <f>CONCATENATE(Query1[[#This Row],[Description]]," - ",Query1[[#This Row],[MB1]]," - ",Query1[[#This Row],[MB2]]," - ",Query1[[#This Row],[MB3]])</f>
        <v>EVAP KIT 62-65 NOVA - 830096 - 0 - 0</v>
      </c>
    </row>
    <row r="2464" spans="1:15" x14ac:dyDescent="0.25">
      <c r="A2464" s="1">
        <v>915585</v>
      </c>
      <c r="B2464" s="1" t="s">
        <v>30</v>
      </c>
      <c r="C2464" s="1" t="s">
        <v>31</v>
      </c>
      <c r="D2464" s="2">
        <v>44637.452780173611</v>
      </c>
      <c r="E2464" s="1" t="s">
        <v>8</v>
      </c>
      <c r="F2464" s="1">
        <v>1</v>
      </c>
      <c r="G2464" s="1">
        <v>0</v>
      </c>
      <c r="H2464" s="6">
        <f>INT(Query1[[#This Row],[EntryDateTime]])</f>
        <v>44637</v>
      </c>
      <c r="I2464" s="1">
        <f>IF(Query1[[#This Row],[ItemType]]="EVAP KIT SF GEN IV",Query1[[#This Row],[OrderQty]]+I2463,I2463)</f>
        <v>2973</v>
      </c>
      <c r="J2464" s="1">
        <f>IF(Query1[[#This Row],[ItemType]]="EVAP KIT UNIVERSAL",Query1[[#This Row],[OrderQty]]+J2463,J2463)</f>
        <v>1210</v>
      </c>
      <c r="K2464" s="1">
        <f>Query1[[#This Row],[SF Running Total]]+Query1[[#This Row],[UNIV Running Total]]</f>
        <v>4183</v>
      </c>
      <c r="L2464">
        <f>VLOOKUP(Query1[[#This Row],[Description]],'kits to boards'!$B$2:$E$156,2,FALSE)</f>
        <v>830054</v>
      </c>
      <c r="M2464">
        <f>VLOOKUP(Query1[[#This Row],[Description]],'kits to boards'!$B$2:$E$156,3,FALSE)</f>
        <v>0</v>
      </c>
      <c r="N2464">
        <f>VLOOKUP(Query1[[#This Row],[Description]],'kits to boards'!$B$2:$E$156,4,FALSE)</f>
        <v>0</v>
      </c>
      <c r="O2464" t="str">
        <f>CONCATENATE(Query1[[#This Row],[Description]]," - ",Query1[[#This Row],[MB1]]," - ",Query1[[#This Row],[MB2]]," - ",Query1[[#This Row],[MB3]])</f>
        <v>EVAP KIT 55-56 CHEVY 4-VENT - 830054 - 0 - 0</v>
      </c>
    </row>
    <row r="2465" spans="1:15" x14ac:dyDescent="0.25">
      <c r="A2465" s="1">
        <v>915586</v>
      </c>
      <c r="B2465" s="1" t="s">
        <v>34</v>
      </c>
      <c r="C2465" s="1" t="s">
        <v>35</v>
      </c>
      <c r="D2465" s="2">
        <v>44637.453780520831</v>
      </c>
      <c r="E2465" s="1" t="s">
        <v>8</v>
      </c>
      <c r="F2465" s="1">
        <v>1</v>
      </c>
      <c r="G2465" s="1">
        <v>0</v>
      </c>
      <c r="H2465" s="6">
        <f>INT(Query1[[#This Row],[EntryDateTime]])</f>
        <v>44637</v>
      </c>
      <c r="I2465" s="1">
        <f>IF(Query1[[#This Row],[ItemType]]="EVAP KIT SF GEN IV",Query1[[#This Row],[OrderQty]]+I2464,I2464)</f>
        <v>2974</v>
      </c>
      <c r="J2465" s="1">
        <f>IF(Query1[[#This Row],[ItemType]]="EVAP KIT UNIVERSAL",Query1[[#This Row],[OrderQty]]+J2464,J2464)</f>
        <v>1210</v>
      </c>
      <c r="K2465" s="1">
        <f>Query1[[#This Row],[SF Running Total]]+Query1[[#This Row],[UNIV Running Total]]</f>
        <v>4184</v>
      </c>
      <c r="L2465">
        <f>VLOOKUP(Query1[[#This Row],[Description]],'kits to boards'!$B$2:$E$156,2,FALSE)</f>
        <v>830065</v>
      </c>
      <c r="M2465">
        <f>VLOOKUP(Query1[[#This Row],[Description]],'kits to boards'!$B$2:$E$156,3,FALSE)</f>
        <v>0</v>
      </c>
      <c r="N2465">
        <f>VLOOKUP(Query1[[#This Row],[Description]],'kits to boards'!$B$2:$E$156,4,FALSE)</f>
        <v>0</v>
      </c>
      <c r="O2465" t="str">
        <f>CONCATENATE(Query1[[#This Row],[Description]]," - ",Query1[[#This Row],[MB1]]," - ",Query1[[#This Row],[MB2]]," - ",Query1[[#This Row],[MB3]])</f>
        <v>EVAP KIT 57 CHEV WO AC - 830065 - 0 - 0</v>
      </c>
    </row>
    <row r="2466" spans="1:15" x14ac:dyDescent="0.25">
      <c r="A2466" s="1">
        <v>915593</v>
      </c>
      <c r="B2466" s="1" t="s">
        <v>294</v>
      </c>
      <c r="C2466" s="1" t="s">
        <v>295</v>
      </c>
      <c r="D2466" s="2">
        <v>44637.474796261573</v>
      </c>
      <c r="E2466" s="1" t="s">
        <v>8</v>
      </c>
      <c r="F2466" s="1">
        <v>1</v>
      </c>
      <c r="G2466" s="1">
        <v>0</v>
      </c>
      <c r="H2466" s="6">
        <f>INT(Query1[[#This Row],[EntryDateTime]])</f>
        <v>44637</v>
      </c>
      <c r="I2466" s="1">
        <f>IF(Query1[[#This Row],[ItemType]]="EVAP KIT SF GEN IV",Query1[[#This Row],[OrderQty]]+I2465,I2465)</f>
        <v>2975</v>
      </c>
      <c r="J2466" s="1">
        <f>IF(Query1[[#This Row],[ItemType]]="EVAP KIT UNIVERSAL",Query1[[#This Row],[OrderQty]]+J2465,J2465)</f>
        <v>1210</v>
      </c>
      <c r="K2466" s="1">
        <f>Query1[[#This Row],[SF Running Total]]+Query1[[#This Row],[UNIV Running Total]]</f>
        <v>4185</v>
      </c>
      <c r="L2466">
        <f>VLOOKUP(Query1[[#This Row],[Description]],'kits to boards'!$B$2:$E$156,2,FALSE)</f>
        <v>830006</v>
      </c>
      <c r="M2466">
        <f>VLOOKUP(Query1[[#This Row],[Description]],'kits to boards'!$B$2:$E$156,3,FALSE)</f>
        <v>0</v>
      </c>
      <c r="N2466">
        <f>VLOOKUP(Query1[[#This Row],[Description]],'kits to boards'!$B$2:$E$156,4,FALSE)</f>
        <v>0</v>
      </c>
      <c r="O2466" t="str">
        <f>CONCATENATE(Query1[[#This Row],[Description]]," - ",Query1[[#This Row],[MB1]]," - ",Query1[[#This Row],[MB2]]," - ",Query1[[#This Row],[MB3]])</f>
        <v>EVAP KIT 61-62 IMPALA W/AC - 830006 - 0 - 0</v>
      </c>
    </row>
    <row r="2467" spans="1:15" x14ac:dyDescent="0.25">
      <c r="A2467" s="1">
        <v>915595</v>
      </c>
      <c r="B2467" s="1" t="s">
        <v>36</v>
      </c>
      <c r="C2467" s="1" t="s">
        <v>37</v>
      </c>
      <c r="D2467" s="2">
        <v>44637.48094976852</v>
      </c>
      <c r="E2467" s="1" t="s">
        <v>8</v>
      </c>
      <c r="F2467" s="1">
        <v>1</v>
      </c>
      <c r="G2467" s="1">
        <v>0</v>
      </c>
      <c r="H2467" s="6">
        <f>INT(Query1[[#This Row],[EntryDateTime]])</f>
        <v>44637</v>
      </c>
      <c r="I2467" s="1">
        <f>IF(Query1[[#This Row],[ItemType]]="EVAP KIT SF GEN IV",Query1[[#This Row],[OrderQty]]+I2466,I2466)</f>
        <v>2976</v>
      </c>
      <c r="J2467" s="1">
        <f>IF(Query1[[#This Row],[ItemType]]="EVAP KIT UNIVERSAL",Query1[[#This Row],[OrderQty]]+J2466,J2466)</f>
        <v>1210</v>
      </c>
      <c r="K2467" s="1">
        <f>Query1[[#This Row],[SF Running Total]]+Query1[[#This Row],[UNIV Running Total]]</f>
        <v>4186</v>
      </c>
      <c r="L2467">
        <f>VLOOKUP(Query1[[#This Row],[Description]],'kits to boards'!$B$2:$E$156,2,FALSE)</f>
        <v>830015</v>
      </c>
      <c r="M2467">
        <f>VLOOKUP(Query1[[#This Row],[Description]],'kits to boards'!$B$2:$E$156,3,FALSE)</f>
        <v>0</v>
      </c>
      <c r="N2467">
        <f>VLOOKUP(Query1[[#This Row],[Description]],'kits to boards'!$B$2:$E$156,4,FALSE)</f>
        <v>0</v>
      </c>
      <c r="O2467" t="str">
        <f>CONCATENATE(Query1[[#This Row],[Description]]," - ",Query1[[#This Row],[MB1]]," - ",Query1[[#This Row],[MB2]]," - ",Query1[[#This Row],[MB3]])</f>
        <v>EVAP KIT 64-66 CHEV P-UP WO AC W/STD - 830015 - 0 - 0</v>
      </c>
    </row>
    <row r="2468" spans="1:15" x14ac:dyDescent="0.25">
      <c r="A2468" s="1">
        <v>915609</v>
      </c>
      <c r="B2468" s="1" t="s">
        <v>52</v>
      </c>
      <c r="C2468" s="1" t="s">
        <v>53</v>
      </c>
      <c r="D2468" s="2">
        <v>44637.52650763889</v>
      </c>
      <c r="E2468" s="1" t="s">
        <v>8</v>
      </c>
      <c r="F2468" s="1">
        <v>1</v>
      </c>
      <c r="G2468" s="1">
        <v>0</v>
      </c>
      <c r="H2468" s="6">
        <f>INT(Query1[[#This Row],[EntryDateTime]])</f>
        <v>44637</v>
      </c>
      <c r="I2468" s="1">
        <f>IF(Query1[[#This Row],[ItemType]]="EVAP KIT SF GEN IV",Query1[[#This Row],[OrderQty]]+I2467,I2467)</f>
        <v>2977</v>
      </c>
      <c r="J2468" s="1">
        <f>IF(Query1[[#This Row],[ItemType]]="EVAP KIT UNIVERSAL",Query1[[#This Row],[OrderQty]]+J2467,J2467)</f>
        <v>1210</v>
      </c>
      <c r="K2468" s="1">
        <f>Query1[[#This Row],[SF Running Total]]+Query1[[#This Row],[UNIV Running Total]]</f>
        <v>4187</v>
      </c>
      <c r="L2468">
        <f>VLOOKUP(Query1[[#This Row],[Description]],'kits to boards'!$B$2:$E$156,2,FALSE)</f>
        <v>830017</v>
      </c>
      <c r="M2468">
        <f>VLOOKUP(Query1[[#This Row],[Description]],'kits to boards'!$B$2:$E$156,3,FALSE)</f>
        <v>830119</v>
      </c>
      <c r="N2468">
        <f>VLOOKUP(Query1[[#This Row],[Description]],'kits to boards'!$B$2:$E$156,4,FALSE)</f>
        <v>830120</v>
      </c>
      <c r="O2468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2469" spans="1:15" x14ac:dyDescent="0.25">
      <c r="A2469" s="1">
        <v>915621</v>
      </c>
      <c r="B2469" s="1" t="s">
        <v>30</v>
      </c>
      <c r="C2469" s="1" t="s">
        <v>31</v>
      </c>
      <c r="D2469" s="2">
        <v>44637.543170335652</v>
      </c>
      <c r="E2469" s="1" t="s">
        <v>8</v>
      </c>
      <c r="F2469" s="1">
        <v>1</v>
      </c>
      <c r="G2469" s="1">
        <v>0</v>
      </c>
      <c r="H2469" s="6">
        <f>INT(Query1[[#This Row],[EntryDateTime]])</f>
        <v>44637</v>
      </c>
      <c r="I2469" s="1">
        <f>IF(Query1[[#This Row],[ItemType]]="EVAP KIT SF GEN IV",Query1[[#This Row],[OrderQty]]+I2468,I2468)</f>
        <v>2978</v>
      </c>
      <c r="J2469" s="1">
        <f>IF(Query1[[#This Row],[ItemType]]="EVAP KIT UNIVERSAL",Query1[[#This Row],[OrderQty]]+J2468,J2468)</f>
        <v>1210</v>
      </c>
      <c r="K2469" s="1">
        <f>Query1[[#This Row],[SF Running Total]]+Query1[[#This Row],[UNIV Running Total]]</f>
        <v>4188</v>
      </c>
      <c r="L2469">
        <f>VLOOKUP(Query1[[#This Row],[Description]],'kits to boards'!$B$2:$E$156,2,FALSE)</f>
        <v>830054</v>
      </c>
      <c r="M2469">
        <f>VLOOKUP(Query1[[#This Row],[Description]],'kits to boards'!$B$2:$E$156,3,FALSE)</f>
        <v>0</v>
      </c>
      <c r="N2469">
        <f>VLOOKUP(Query1[[#This Row],[Description]],'kits to boards'!$B$2:$E$156,4,FALSE)</f>
        <v>0</v>
      </c>
      <c r="O2469" t="str">
        <f>CONCATENATE(Query1[[#This Row],[Description]]," - ",Query1[[#This Row],[MB1]]," - ",Query1[[#This Row],[MB2]]," - ",Query1[[#This Row],[MB3]])</f>
        <v>EVAP KIT 55-56 CHEVY 4-VENT - 830054 - 0 - 0</v>
      </c>
    </row>
    <row r="2470" spans="1:15" x14ac:dyDescent="0.25">
      <c r="A2470" s="1">
        <v>915629</v>
      </c>
      <c r="B2470" s="1" t="s">
        <v>302</v>
      </c>
      <c r="C2470" s="1" t="s">
        <v>303</v>
      </c>
      <c r="D2470" s="2">
        <v>44637.567359837965</v>
      </c>
      <c r="E2470" s="1" t="s">
        <v>11</v>
      </c>
      <c r="F2470" s="1">
        <v>1</v>
      </c>
      <c r="G2470" s="1">
        <v>0</v>
      </c>
      <c r="H2470" s="6">
        <f>INT(Query1[[#This Row],[EntryDateTime]])</f>
        <v>44637</v>
      </c>
      <c r="I2470" s="1">
        <f>IF(Query1[[#This Row],[ItemType]]="EVAP KIT SF GEN IV",Query1[[#This Row],[OrderQty]]+I2469,I2469)</f>
        <v>2978</v>
      </c>
      <c r="J2470" s="1">
        <f>IF(Query1[[#This Row],[ItemType]]="EVAP KIT UNIVERSAL",Query1[[#This Row],[OrderQty]]+J2469,J2469)</f>
        <v>1211</v>
      </c>
      <c r="K2470" s="1">
        <f>Query1[[#This Row],[SF Running Total]]+Query1[[#This Row],[UNIV Running Total]]</f>
        <v>4189</v>
      </c>
      <c r="L2470">
        <f>VLOOKUP(Query1[[#This Row],[Description]],'kits to boards'!$B$2:$E$156,2,FALSE)</f>
        <v>830045</v>
      </c>
      <c r="M2470">
        <f>VLOOKUP(Query1[[#This Row],[Description]],'kits to boards'!$B$2:$E$156,3,FALSE)</f>
        <v>0</v>
      </c>
      <c r="N2470">
        <f>VLOOKUP(Query1[[#This Row],[Description]],'kits to boards'!$B$2:$E$156,4,FALSE)</f>
        <v>0</v>
      </c>
      <c r="O2470" t="str">
        <f>CONCATENATE(Query1[[#This Row],[Description]]," - ",Query1[[#This Row],[MB1]]," - ",Query1[[#This Row],[MB2]]," - ",Query1[[#This Row],[MB3]])</f>
        <v>MINI SLIMLINE COOL BLK LOUVER - 830045 - 0 - 0</v>
      </c>
    </row>
    <row r="2471" spans="1:15" x14ac:dyDescent="0.25">
      <c r="A2471" s="1">
        <v>915646</v>
      </c>
      <c r="B2471" s="1" t="s">
        <v>42</v>
      </c>
      <c r="C2471" s="1" t="s">
        <v>43</v>
      </c>
      <c r="D2471" s="2">
        <v>44637.61382820602</v>
      </c>
      <c r="E2471" s="1" t="s">
        <v>8</v>
      </c>
      <c r="F2471" s="1">
        <v>1</v>
      </c>
      <c r="G2471" s="1">
        <v>0</v>
      </c>
      <c r="H2471" s="6">
        <f>INT(Query1[[#This Row],[EntryDateTime]])</f>
        <v>44637</v>
      </c>
      <c r="I2471" s="1">
        <f>IF(Query1[[#This Row],[ItemType]]="EVAP KIT SF GEN IV",Query1[[#This Row],[OrderQty]]+I2470,I2470)</f>
        <v>2979</v>
      </c>
      <c r="J2471" s="1">
        <f>IF(Query1[[#This Row],[ItemType]]="EVAP KIT UNIVERSAL",Query1[[#This Row],[OrderQty]]+J2470,J2470)</f>
        <v>1211</v>
      </c>
      <c r="K2471" s="1">
        <f>Query1[[#This Row],[SF Running Total]]+Query1[[#This Row],[UNIV Running Total]]</f>
        <v>4190</v>
      </c>
      <c r="L2471">
        <f>VLOOKUP(Query1[[#This Row],[Description]],'kits to boards'!$B$2:$E$156,2,FALSE)</f>
        <v>830014</v>
      </c>
      <c r="M2471">
        <f>VLOOKUP(Query1[[#This Row],[Description]],'kits to boards'!$B$2:$E$156,3,FALSE)</f>
        <v>0</v>
      </c>
      <c r="N2471">
        <f>VLOOKUP(Query1[[#This Row],[Description]],'kits to boards'!$B$2:$E$156,4,FALSE)</f>
        <v>0</v>
      </c>
      <c r="O2471" t="str">
        <f>CONCATENATE(Query1[[#This Row],[Description]]," - ",Query1[[#This Row],[MB1]]," - ",Query1[[#This Row],[MB2]]," - ",Query1[[#This Row],[MB3]])</f>
        <v>EVAP KIT 67-72 CHEV P-UP WO AC - 830014 - 0 - 0</v>
      </c>
    </row>
    <row r="2472" spans="1:15" x14ac:dyDescent="0.25">
      <c r="A2472" s="1">
        <v>915654</v>
      </c>
      <c r="B2472" s="1" t="s">
        <v>76</v>
      </c>
      <c r="C2472" s="1" t="s">
        <v>77</v>
      </c>
      <c r="D2472" s="2">
        <v>44637.625055474535</v>
      </c>
      <c r="E2472" s="1" t="s">
        <v>11</v>
      </c>
      <c r="F2472" s="1">
        <v>1</v>
      </c>
      <c r="G2472" s="1">
        <v>0</v>
      </c>
      <c r="H2472" s="6">
        <f>INT(Query1[[#This Row],[EntryDateTime]])</f>
        <v>44637</v>
      </c>
      <c r="I2472" s="1">
        <f>IF(Query1[[#This Row],[ItemType]]="EVAP KIT SF GEN IV",Query1[[#This Row],[OrderQty]]+I2471,I2471)</f>
        <v>2979</v>
      </c>
      <c r="J2472" s="1">
        <f>IF(Query1[[#This Row],[ItemType]]="EVAP KIT UNIVERSAL",Query1[[#This Row],[OrderQty]]+J2471,J2471)</f>
        <v>1212</v>
      </c>
      <c r="K2472" s="1">
        <f>Query1[[#This Row],[SF Running Total]]+Query1[[#This Row],[UNIV Running Total]]</f>
        <v>4191</v>
      </c>
      <c r="L2472">
        <f>VLOOKUP(Query1[[#This Row],[Description]],'kits to boards'!$B$2:$E$156,2,FALSE)</f>
        <v>830099</v>
      </c>
      <c r="M2472">
        <f>VLOOKUP(Query1[[#This Row],[Description]],'kits to boards'!$B$2:$E$156,3,FALSE)</f>
        <v>0</v>
      </c>
      <c r="N2472">
        <f>VLOOKUP(Query1[[#This Row],[Description]],'kits to boards'!$B$2:$E$156,4,FALSE)</f>
        <v>0</v>
      </c>
      <c r="O2472" t="str">
        <f>CONCATENATE(Query1[[#This Row],[Description]]," - ",Query1[[#This Row],[MB1]]," - ",Query1[[#This Row],[MB2]]," - ",Query1[[#This Row],[MB3]])</f>
        <v>MINI GEN II H/C - 830099 - 0 - 0</v>
      </c>
    </row>
    <row r="2473" spans="1:15" x14ac:dyDescent="0.25">
      <c r="A2473" s="1">
        <v>915661</v>
      </c>
      <c r="B2473" s="1" t="s">
        <v>178</v>
      </c>
      <c r="C2473" s="1" t="s">
        <v>179</v>
      </c>
      <c r="D2473" s="2">
        <v>44637.633902928239</v>
      </c>
      <c r="E2473" s="1" t="s">
        <v>8</v>
      </c>
      <c r="F2473" s="1">
        <v>1</v>
      </c>
      <c r="G2473" s="1">
        <v>0</v>
      </c>
      <c r="H2473" s="6">
        <f>INT(Query1[[#This Row],[EntryDateTime]])</f>
        <v>44637</v>
      </c>
      <c r="I2473" s="1">
        <f>IF(Query1[[#This Row],[ItemType]]="EVAP KIT SF GEN IV",Query1[[#This Row],[OrderQty]]+I2472,I2472)</f>
        <v>2980</v>
      </c>
      <c r="J2473" s="1">
        <f>IF(Query1[[#This Row],[ItemType]]="EVAP KIT UNIVERSAL",Query1[[#This Row],[OrderQty]]+J2472,J2472)</f>
        <v>1212</v>
      </c>
      <c r="K2473" s="1">
        <f>Query1[[#This Row],[SF Running Total]]+Query1[[#This Row],[UNIV Running Total]]</f>
        <v>4192</v>
      </c>
      <c r="L2473">
        <f>VLOOKUP(Query1[[#This Row],[Description]],'kits to boards'!$B$2:$E$156,2,FALSE)</f>
        <v>830009</v>
      </c>
      <c r="M2473">
        <f>VLOOKUP(Query1[[#This Row],[Description]],'kits to boards'!$B$2:$E$156,3,FALSE)</f>
        <v>0</v>
      </c>
      <c r="N2473">
        <f>VLOOKUP(Query1[[#This Row],[Description]],'kits to boards'!$B$2:$E$156,4,FALSE)</f>
        <v>0</v>
      </c>
      <c r="O2473" t="str">
        <f>CONCATENATE(Query1[[#This Row],[Description]]," - ",Query1[[#This Row],[MB1]]," - ",Query1[[#This Row],[MB2]]," - ",Query1[[#This Row],[MB3]])</f>
        <v>EVAP KIT 63 IMPALA W/AC - 830009 - 0 - 0</v>
      </c>
    </row>
    <row r="2474" spans="1:15" x14ac:dyDescent="0.25">
      <c r="A2474" s="1">
        <v>915664</v>
      </c>
      <c r="B2474" s="1" t="s">
        <v>26</v>
      </c>
      <c r="C2474" s="1" t="s">
        <v>27</v>
      </c>
      <c r="D2474" s="2">
        <v>44637.639233530092</v>
      </c>
      <c r="E2474" s="1" t="s">
        <v>8</v>
      </c>
      <c r="F2474" s="1">
        <v>1</v>
      </c>
      <c r="G2474" s="1">
        <v>0</v>
      </c>
      <c r="H2474" s="6">
        <f>INT(Query1[[#This Row],[EntryDateTime]])</f>
        <v>44637</v>
      </c>
      <c r="I2474" s="1">
        <f>IF(Query1[[#This Row],[ItemType]]="EVAP KIT SF GEN IV",Query1[[#This Row],[OrderQty]]+I2473,I2473)</f>
        <v>2981</v>
      </c>
      <c r="J2474" s="1">
        <f>IF(Query1[[#This Row],[ItemType]]="EVAP KIT UNIVERSAL",Query1[[#This Row],[OrderQty]]+J2473,J2473)</f>
        <v>1212</v>
      </c>
      <c r="K2474" s="1">
        <f>Query1[[#This Row],[SF Running Total]]+Query1[[#This Row],[UNIV Running Total]]</f>
        <v>4193</v>
      </c>
      <c r="L2474">
        <f>VLOOKUP(Query1[[#This Row],[Description]],'kits to boards'!$B$2:$E$156,2,FALSE)</f>
        <v>830013</v>
      </c>
      <c r="M2474">
        <f>VLOOKUP(Query1[[#This Row],[Description]],'kits to boards'!$B$2:$E$156,3,FALSE)</f>
        <v>0</v>
      </c>
      <c r="N2474">
        <f>VLOOKUP(Query1[[#This Row],[Description]],'kits to boards'!$B$2:$E$156,4,FALSE)</f>
        <v>0</v>
      </c>
      <c r="O2474" t="str">
        <f>CONCATENATE(Query1[[#This Row],[Description]]," - ",Query1[[#This Row],[MB1]]," - ",Query1[[#This Row],[MB2]]," - ",Query1[[#This Row],[MB3]])</f>
        <v>EVAP KIT 67-72 CHEV P-UP W/AC - 830013 - 0 - 0</v>
      </c>
    </row>
    <row r="2475" spans="1:15" x14ac:dyDescent="0.25">
      <c r="A2475" s="1">
        <v>915663</v>
      </c>
      <c r="B2475" s="1" t="s">
        <v>52</v>
      </c>
      <c r="C2475" s="1" t="s">
        <v>53</v>
      </c>
      <c r="D2475" s="2">
        <v>44637.639264895835</v>
      </c>
      <c r="E2475" s="1" t="s">
        <v>8</v>
      </c>
      <c r="F2475" s="1">
        <v>1</v>
      </c>
      <c r="G2475" s="1">
        <v>0</v>
      </c>
      <c r="H2475" s="6">
        <f>INT(Query1[[#This Row],[EntryDateTime]])</f>
        <v>44637</v>
      </c>
      <c r="I2475" s="1">
        <f>IF(Query1[[#This Row],[ItemType]]="EVAP KIT SF GEN IV",Query1[[#This Row],[OrderQty]]+I2474,I2474)</f>
        <v>2982</v>
      </c>
      <c r="J2475" s="1">
        <f>IF(Query1[[#This Row],[ItemType]]="EVAP KIT UNIVERSAL",Query1[[#This Row],[OrderQty]]+J2474,J2474)</f>
        <v>1212</v>
      </c>
      <c r="K2475" s="1">
        <f>Query1[[#This Row],[SF Running Total]]+Query1[[#This Row],[UNIV Running Total]]</f>
        <v>4194</v>
      </c>
      <c r="L2475">
        <f>VLOOKUP(Query1[[#This Row],[Description]],'kits to boards'!$B$2:$E$156,2,FALSE)</f>
        <v>830017</v>
      </c>
      <c r="M2475">
        <f>VLOOKUP(Query1[[#This Row],[Description]],'kits to boards'!$B$2:$E$156,3,FALSE)</f>
        <v>830119</v>
      </c>
      <c r="N2475">
        <f>VLOOKUP(Query1[[#This Row],[Description]],'kits to boards'!$B$2:$E$156,4,FALSE)</f>
        <v>830120</v>
      </c>
      <c r="O2475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2476" spans="1:15" x14ac:dyDescent="0.25">
      <c r="A2476" s="1">
        <v>915673</v>
      </c>
      <c r="B2476" s="1" t="s">
        <v>84</v>
      </c>
      <c r="C2476" s="1" t="s">
        <v>85</v>
      </c>
      <c r="D2476" s="2">
        <v>44637.649228206021</v>
      </c>
      <c r="E2476" s="1" t="s">
        <v>8</v>
      </c>
      <c r="F2476" s="1">
        <v>12</v>
      </c>
      <c r="G2476" s="1">
        <v>0</v>
      </c>
      <c r="H2476" s="6">
        <f>INT(Query1[[#This Row],[EntryDateTime]])</f>
        <v>44637</v>
      </c>
      <c r="I2476" s="1">
        <f>IF(Query1[[#This Row],[ItemType]]="EVAP KIT SF GEN IV",Query1[[#This Row],[OrderQty]]+I2475,I2475)</f>
        <v>2994</v>
      </c>
      <c r="J2476" s="1">
        <f>IF(Query1[[#This Row],[ItemType]]="EVAP KIT UNIVERSAL",Query1[[#This Row],[OrderQty]]+J2475,J2475)</f>
        <v>1212</v>
      </c>
      <c r="K2476" s="1">
        <f>Query1[[#This Row],[SF Running Total]]+Query1[[#This Row],[UNIV Running Total]]</f>
        <v>4206</v>
      </c>
      <c r="L2476">
        <f>VLOOKUP(Query1[[#This Row],[Description]],'kits to boards'!$B$2:$E$156,2,FALSE)</f>
        <v>830085</v>
      </c>
      <c r="M2476">
        <f>VLOOKUP(Query1[[#This Row],[Description]],'kits to boards'!$B$2:$E$156,3,FALSE)</f>
        <v>0</v>
      </c>
      <c r="N2476">
        <f>VLOOKUP(Query1[[#This Row],[Description]],'kits to boards'!$B$2:$E$156,4,FALSE)</f>
        <v>0</v>
      </c>
      <c r="O2476" t="str">
        <f>CONCATENATE(Query1[[#This Row],[Description]]," - ",Query1[[#This Row],[MB1]]," - ",Query1[[#This Row],[MB2]]," - ",Query1[[#This Row],[MB3]])</f>
        <v>EVAP KIT 66-77 BRONCO 4-VENT PLENUM - 830085 - 0 - 0</v>
      </c>
    </row>
    <row r="2477" spans="1:15" x14ac:dyDescent="0.25">
      <c r="A2477" s="1">
        <v>915676</v>
      </c>
      <c r="B2477" s="1" t="s">
        <v>70</v>
      </c>
      <c r="C2477" s="1" t="s">
        <v>71</v>
      </c>
      <c r="D2477" s="2">
        <v>44637.655887465276</v>
      </c>
      <c r="E2477" s="1" t="s">
        <v>8</v>
      </c>
      <c r="F2477" s="1">
        <v>1</v>
      </c>
      <c r="G2477" s="1">
        <v>0</v>
      </c>
      <c r="H2477" s="6">
        <f>INT(Query1[[#This Row],[EntryDateTime]])</f>
        <v>44637</v>
      </c>
      <c r="I2477" s="1">
        <f>IF(Query1[[#This Row],[ItemType]]="EVAP KIT SF GEN IV",Query1[[#This Row],[OrderQty]]+I2476,I2476)</f>
        <v>2995</v>
      </c>
      <c r="J2477" s="1">
        <f>IF(Query1[[#This Row],[ItemType]]="EVAP KIT UNIVERSAL",Query1[[#This Row],[OrderQty]]+J2476,J2476)</f>
        <v>1212</v>
      </c>
      <c r="K2477" s="1">
        <f>Query1[[#This Row],[SF Running Total]]+Query1[[#This Row],[UNIV Running Total]]</f>
        <v>4207</v>
      </c>
      <c r="L2477">
        <f>VLOOKUP(Query1[[#This Row],[Description]],'kits to boards'!$B$2:$E$156,2,FALSE)</f>
        <v>830050</v>
      </c>
      <c r="M2477">
        <f>VLOOKUP(Query1[[#This Row],[Description]],'kits to boards'!$B$2:$E$156,3,FALSE)</f>
        <v>0</v>
      </c>
      <c r="N2477">
        <f>VLOOKUP(Query1[[#This Row],[Description]],'kits to boards'!$B$2:$E$156,4,FALSE)</f>
        <v>0</v>
      </c>
      <c r="O2477" t="str">
        <f>CONCATENATE(Query1[[#This Row],[Description]]," - ",Query1[[#This Row],[MB1]]," - ",Query1[[#This Row],[MB2]]," - ",Query1[[#This Row],[MB3]])</f>
        <v>EVAP KIT 70-78 CAMARO WO AC - 830050 - 0 - 0</v>
      </c>
    </row>
    <row r="2478" spans="1:15" x14ac:dyDescent="0.25">
      <c r="A2478" s="1">
        <v>915678</v>
      </c>
      <c r="B2478" s="1" t="s">
        <v>24</v>
      </c>
      <c r="C2478" s="1" t="s">
        <v>25</v>
      </c>
      <c r="D2478" s="2">
        <v>44637.663705902778</v>
      </c>
      <c r="E2478" s="1" t="s">
        <v>11</v>
      </c>
      <c r="F2478" s="1">
        <v>1</v>
      </c>
      <c r="G2478" s="1">
        <v>0</v>
      </c>
      <c r="H2478" s="6">
        <f>INT(Query1[[#This Row],[EntryDateTime]])</f>
        <v>44637</v>
      </c>
      <c r="I2478" s="1">
        <f>IF(Query1[[#This Row],[ItemType]]="EVAP KIT SF GEN IV",Query1[[#This Row],[OrderQty]]+I2477,I2477)</f>
        <v>2995</v>
      </c>
      <c r="J2478" s="1">
        <f>IF(Query1[[#This Row],[ItemType]]="EVAP KIT UNIVERSAL",Query1[[#This Row],[OrderQty]]+J2477,J2477)</f>
        <v>1213</v>
      </c>
      <c r="K2478" s="1">
        <f>Query1[[#This Row],[SF Running Total]]+Query1[[#This Row],[UNIV Running Total]]</f>
        <v>4208</v>
      </c>
      <c r="L2478">
        <f>VLOOKUP(Query1[[#This Row],[Description]],'kits to boards'!$B$2:$E$156,2,FALSE)</f>
        <v>830029</v>
      </c>
      <c r="M2478">
        <f>VLOOKUP(Query1[[#This Row],[Description]],'kits to boards'!$B$2:$E$156,3,FALSE)</f>
        <v>830030</v>
      </c>
      <c r="N2478">
        <f>VLOOKUP(Query1[[#This Row],[Description]],'kits to boards'!$B$2:$E$156,4,FALSE)</f>
        <v>0</v>
      </c>
      <c r="O2478" t="str">
        <f>CONCATENATE(Query1[[#This Row],[Description]]," - ",Query1[[#This Row],[MB1]]," - ",Query1[[#This Row],[MB2]]," - ",Query1[[#This Row],[MB3]])</f>
        <v>ComPac GEN II W/DEF - 830029 - 830030 - 0</v>
      </c>
    </row>
    <row r="2479" spans="1:15" x14ac:dyDescent="0.25">
      <c r="A2479" s="1">
        <v>915683</v>
      </c>
      <c r="B2479" s="1" t="s">
        <v>54</v>
      </c>
      <c r="C2479" s="1" t="s">
        <v>55</v>
      </c>
      <c r="D2479" s="2">
        <v>44637.683493750003</v>
      </c>
      <c r="E2479" s="1" t="s">
        <v>8</v>
      </c>
      <c r="F2479" s="1">
        <v>1</v>
      </c>
      <c r="G2479" s="1">
        <v>0</v>
      </c>
      <c r="H2479" s="6">
        <f>INT(Query1[[#This Row],[EntryDateTime]])</f>
        <v>44637</v>
      </c>
      <c r="I2479" s="1">
        <f>IF(Query1[[#This Row],[ItemType]]="EVAP KIT SF GEN IV",Query1[[#This Row],[OrderQty]]+I2478,I2478)</f>
        <v>2996</v>
      </c>
      <c r="J2479" s="1">
        <f>IF(Query1[[#This Row],[ItemType]]="EVAP KIT UNIVERSAL",Query1[[#This Row],[OrderQty]]+J2478,J2478)</f>
        <v>1213</v>
      </c>
      <c r="K2479" s="1">
        <f>Query1[[#This Row],[SF Running Total]]+Query1[[#This Row],[UNIV Running Total]]</f>
        <v>4209</v>
      </c>
      <c r="L2479">
        <f>VLOOKUP(Query1[[#This Row],[Description]],'kits to boards'!$B$2:$E$156,2,FALSE)</f>
        <v>830037</v>
      </c>
      <c r="M2479">
        <f>VLOOKUP(Query1[[#This Row],[Description]],'kits to boards'!$B$2:$E$156,3,FALSE)</f>
        <v>0</v>
      </c>
      <c r="N2479">
        <f>VLOOKUP(Query1[[#This Row],[Description]],'kits to boards'!$B$2:$E$156,4,FALSE)</f>
        <v>0</v>
      </c>
      <c r="O2479" t="str">
        <f>CONCATENATE(Query1[[#This Row],[Description]]," - ",Query1[[#This Row],[MB1]]," - ",Query1[[#This Row],[MB2]]," - ",Query1[[#This Row],[MB3]])</f>
        <v>EVAP KIT 70-81 FIREBIRD W/AC - 830037 - 0 - 0</v>
      </c>
    </row>
    <row r="2480" spans="1:15" x14ac:dyDescent="0.25">
      <c r="A2480" s="1">
        <v>915689</v>
      </c>
      <c r="B2480" s="1" t="s">
        <v>88</v>
      </c>
      <c r="C2480" s="1" t="s">
        <v>89</v>
      </c>
      <c r="D2480" s="2">
        <v>44637.683505208333</v>
      </c>
      <c r="E2480" s="1" t="s">
        <v>8</v>
      </c>
      <c r="F2480" s="1">
        <v>1</v>
      </c>
      <c r="G2480" s="1">
        <v>0</v>
      </c>
      <c r="H2480" s="6">
        <f>INT(Query1[[#This Row],[EntryDateTime]])</f>
        <v>44637</v>
      </c>
      <c r="I2480" s="1">
        <f>IF(Query1[[#This Row],[ItemType]]="EVAP KIT SF GEN IV",Query1[[#This Row],[OrderQty]]+I2479,I2479)</f>
        <v>2997</v>
      </c>
      <c r="J2480" s="1">
        <f>IF(Query1[[#This Row],[ItemType]]="EVAP KIT UNIVERSAL",Query1[[#This Row],[OrderQty]]+J2479,J2479)</f>
        <v>1213</v>
      </c>
      <c r="K2480" s="1">
        <f>Query1[[#This Row],[SF Running Total]]+Query1[[#This Row],[UNIV Running Total]]</f>
        <v>4210</v>
      </c>
      <c r="L2480">
        <f>VLOOKUP(Query1[[#This Row],[Description]],'kits to boards'!$B$2:$E$156,2,FALSE)</f>
        <v>830003</v>
      </c>
      <c r="M2480">
        <f>VLOOKUP(Query1[[#This Row],[Description]],'kits to boards'!$B$2:$E$156,3,FALSE)</f>
        <v>0</v>
      </c>
      <c r="N2480">
        <f>VLOOKUP(Query1[[#This Row],[Description]],'kits to boards'!$B$2:$E$156,4,FALSE)</f>
        <v>0</v>
      </c>
      <c r="O2480" t="str">
        <f>CONCATENATE(Query1[[#This Row],[Description]]," - ",Query1[[#This Row],[MB1]]," - ",Query1[[#This Row],[MB2]]," - ",Query1[[#This Row],[MB3]])</f>
        <v>EVAP KIT 81-87 CHEV P-UP WO AC - 830003 - 0 - 0</v>
      </c>
    </row>
    <row r="2481" spans="1:15" x14ac:dyDescent="0.25">
      <c r="A2481" s="1">
        <v>914550</v>
      </c>
      <c r="B2481" s="1" t="s">
        <v>28</v>
      </c>
      <c r="C2481" s="1" t="s">
        <v>29</v>
      </c>
      <c r="D2481" s="2">
        <v>44637.691538159721</v>
      </c>
      <c r="E2481" s="1" t="s">
        <v>8</v>
      </c>
      <c r="F2481" s="1">
        <v>1</v>
      </c>
      <c r="G2481" s="1">
        <v>0</v>
      </c>
      <c r="H2481" s="6">
        <f>INT(Query1[[#This Row],[EntryDateTime]])</f>
        <v>44637</v>
      </c>
      <c r="I2481" s="1">
        <f>IF(Query1[[#This Row],[ItemType]]="EVAP KIT SF GEN IV",Query1[[#This Row],[OrderQty]]+I2480,I2480)</f>
        <v>2998</v>
      </c>
      <c r="J2481" s="1">
        <f>IF(Query1[[#This Row],[ItemType]]="EVAP KIT UNIVERSAL",Query1[[#This Row],[OrderQty]]+J2480,J2480)</f>
        <v>1213</v>
      </c>
      <c r="K2481" s="1">
        <f>Query1[[#This Row],[SF Running Total]]+Query1[[#This Row],[UNIV Running Total]]</f>
        <v>4211</v>
      </c>
      <c r="L2481">
        <f>VLOOKUP(Query1[[#This Row],[Description]],'kits to boards'!$B$2:$E$156,2,FALSE)</f>
        <v>830001</v>
      </c>
      <c r="M2481">
        <f>VLOOKUP(Query1[[#This Row],[Description]],'kits to boards'!$B$2:$E$156,3,FALSE)</f>
        <v>0</v>
      </c>
      <c r="N2481">
        <f>VLOOKUP(Query1[[#This Row],[Description]],'kits to boards'!$B$2:$E$156,4,FALSE)</f>
        <v>0</v>
      </c>
      <c r="O2481" t="str">
        <f>CONCATENATE(Query1[[#This Row],[Description]]," - ",Query1[[#This Row],[MB1]]," - ",Query1[[#This Row],[MB2]]," - ",Query1[[#This Row],[MB3]])</f>
        <v>EVAP KIT 73-80 CHEV P-UP W/AC - 830001 - 0 - 0</v>
      </c>
    </row>
    <row r="2482" spans="1:15" x14ac:dyDescent="0.25">
      <c r="A2482" s="1">
        <v>915693</v>
      </c>
      <c r="B2482" s="1" t="s">
        <v>98</v>
      </c>
      <c r="C2482" s="1" t="s">
        <v>99</v>
      </c>
      <c r="D2482" s="2">
        <v>44637.694480324077</v>
      </c>
      <c r="E2482" s="1" t="s">
        <v>11</v>
      </c>
      <c r="F2482" s="1">
        <v>3</v>
      </c>
      <c r="G2482" s="1">
        <v>0</v>
      </c>
      <c r="H2482" s="6">
        <f>INT(Query1[[#This Row],[EntryDateTime]])</f>
        <v>44637</v>
      </c>
      <c r="I2482" s="1">
        <f>IF(Query1[[#This Row],[ItemType]]="EVAP KIT SF GEN IV",Query1[[#This Row],[OrderQty]]+I2481,I2481)</f>
        <v>2998</v>
      </c>
      <c r="J2482" s="1">
        <f>IF(Query1[[#This Row],[ItemType]]="EVAP KIT UNIVERSAL",Query1[[#This Row],[OrderQty]]+J2481,J2481)</f>
        <v>1216</v>
      </c>
      <c r="K2482" s="1">
        <f>Query1[[#This Row],[SF Running Total]]+Query1[[#This Row],[UNIV Running Total]]</f>
        <v>4214</v>
      </c>
      <c r="L2482">
        <f>VLOOKUP(Query1[[#This Row],[Description]],'kits to boards'!$B$2:$E$156,2,FALSE)</f>
        <v>830099</v>
      </c>
      <c r="M2482">
        <f>VLOOKUP(Query1[[#This Row],[Description]],'kits to boards'!$B$2:$E$156,3,FALSE)</f>
        <v>0</v>
      </c>
      <c r="N2482">
        <f>VLOOKUP(Query1[[#This Row],[Description]],'kits to boards'!$B$2:$E$156,4,FALSE)</f>
        <v>0</v>
      </c>
      <c r="O2482" t="str">
        <f>CONCATENATE(Query1[[#This Row],[Description]]," - ",Query1[[#This Row],[MB1]]," - ",Query1[[#This Row],[MB2]]," - ",Query1[[#This Row],[MB3]])</f>
        <v>MINI GEN II W/DEF - 830099 - 0 - 0</v>
      </c>
    </row>
    <row r="2483" spans="1:15" x14ac:dyDescent="0.25">
      <c r="A2483" s="1">
        <v>914841</v>
      </c>
      <c r="B2483" s="1" t="s">
        <v>74</v>
      </c>
      <c r="C2483" s="1" t="s">
        <v>75</v>
      </c>
      <c r="D2483" s="2">
        <v>44638.300394479164</v>
      </c>
      <c r="E2483" s="1" t="s">
        <v>8</v>
      </c>
      <c r="F2483" s="1">
        <v>1</v>
      </c>
      <c r="G2483" s="1">
        <v>0</v>
      </c>
      <c r="H2483" s="6">
        <f>INT(Query1[[#This Row],[EntryDateTime]])</f>
        <v>44638</v>
      </c>
      <c r="I2483" s="1">
        <f>IF(Query1[[#This Row],[ItemType]]="EVAP KIT SF GEN IV",Query1[[#This Row],[OrderQty]]+I2482,I2482)</f>
        <v>2999</v>
      </c>
      <c r="J2483" s="1">
        <f>IF(Query1[[#This Row],[ItemType]]="EVAP KIT UNIVERSAL",Query1[[#This Row],[OrderQty]]+J2482,J2482)</f>
        <v>1216</v>
      </c>
      <c r="K2483" s="1">
        <f>Query1[[#This Row],[SF Running Total]]+Query1[[#This Row],[UNIV Running Total]]</f>
        <v>4215</v>
      </c>
      <c r="L2483">
        <f>VLOOKUP(Query1[[#This Row],[Description]],'kits to boards'!$B$2:$E$156,2,FALSE)</f>
        <v>830065</v>
      </c>
      <c r="M2483">
        <f>VLOOKUP(Query1[[#This Row],[Description]],'kits to boards'!$B$2:$E$156,3,FALSE)</f>
        <v>0</v>
      </c>
      <c r="N2483">
        <f>VLOOKUP(Query1[[#This Row],[Description]],'kits to boards'!$B$2:$E$156,4,FALSE)</f>
        <v>0</v>
      </c>
      <c r="O2483" t="str">
        <f>CONCATENATE(Query1[[#This Row],[Description]]," - ",Query1[[#This Row],[MB1]]," - ",Query1[[#This Row],[MB2]]," - ",Query1[[#This Row],[MB3]])</f>
        <v>EVAP KIT 57 CHEV WO AC 4-VENT PLENUM - 830065 - 0 - 0</v>
      </c>
    </row>
    <row r="2484" spans="1:15" x14ac:dyDescent="0.25">
      <c r="A2484" s="1">
        <v>915697</v>
      </c>
      <c r="B2484" s="1" t="s">
        <v>80</v>
      </c>
      <c r="C2484" s="1" t="s">
        <v>81</v>
      </c>
      <c r="D2484" s="2">
        <v>44638.302449618059</v>
      </c>
      <c r="E2484" s="1" t="s">
        <v>11</v>
      </c>
      <c r="F2484" s="1">
        <v>2</v>
      </c>
      <c r="G2484" s="1">
        <v>0</v>
      </c>
      <c r="H2484" s="6">
        <f>INT(Query1[[#This Row],[EntryDateTime]])</f>
        <v>44638</v>
      </c>
      <c r="I2484" s="1">
        <f>IF(Query1[[#This Row],[ItemType]]="EVAP KIT SF GEN IV",Query1[[#This Row],[OrderQty]]+I2483,I2483)</f>
        <v>2999</v>
      </c>
      <c r="J2484" s="1">
        <f>IF(Query1[[#This Row],[ItemType]]="EVAP KIT UNIVERSAL",Query1[[#This Row],[OrderQty]]+J2483,J2483)</f>
        <v>1218</v>
      </c>
      <c r="K2484" s="1">
        <f>Query1[[#This Row],[SF Running Total]]+Query1[[#This Row],[UNIV Running Total]]</f>
        <v>4217</v>
      </c>
      <c r="L2484">
        <f>VLOOKUP(Query1[[#This Row],[Description]],'kits to boards'!$B$2:$E$156,2,FALSE)</f>
        <v>0</v>
      </c>
      <c r="M2484">
        <f>VLOOKUP(Query1[[#This Row],[Description]],'kits to boards'!$B$2:$E$156,3,FALSE)</f>
        <v>0</v>
      </c>
      <c r="N2484">
        <f>VLOOKUP(Query1[[#This Row],[Description]],'kits to boards'!$B$2:$E$156,4,FALSE)</f>
        <v>0</v>
      </c>
      <c r="O2484" t="str">
        <f>CONCATENATE(Query1[[#This Row],[Description]]," - ",Query1[[#This Row],[MB1]]," - ",Query1[[#This Row],[MB2]]," - ",Query1[[#This Row],[MB3]])</f>
        <v>HERITAGE BRUSHED EVAP KIT COOL ONLY - 0 - 0 - 0</v>
      </c>
    </row>
    <row r="2485" spans="1:15" x14ac:dyDescent="0.25">
      <c r="A2485" s="1">
        <v>915697</v>
      </c>
      <c r="B2485" s="1" t="s">
        <v>146</v>
      </c>
      <c r="C2485" s="1" t="s">
        <v>147</v>
      </c>
      <c r="D2485" s="2">
        <v>44638.302539814817</v>
      </c>
      <c r="E2485" s="1" t="s">
        <v>11</v>
      </c>
      <c r="F2485" s="1">
        <v>1</v>
      </c>
      <c r="G2485" s="1">
        <v>0</v>
      </c>
      <c r="H2485" s="6">
        <f>INT(Query1[[#This Row],[EntryDateTime]])</f>
        <v>44638</v>
      </c>
      <c r="I2485" s="1">
        <f>IF(Query1[[#This Row],[ItemType]]="EVAP KIT SF GEN IV",Query1[[#This Row],[OrderQty]]+I2484,I2484)</f>
        <v>2999</v>
      </c>
      <c r="J2485" s="1">
        <f>IF(Query1[[#This Row],[ItemType]]="EVAP KIT UNIVERSAL",Query1[[#This Row],[OrderQty]]+J2484,J2484)</f>
        <v>1219</v>
      </c>
      <c r="K2485" s="1">
        <f>Query1[[#This Row],[SF Running Total]]+Query1[[#This Row],[UNIV Running Total]]</f>
        <v>4218</v>
      </c>
      <c r="L2485">
        <f>VLOOKUP(Query1[[#This Row],[Description]],'kits to boards'!$B$2:$E$156,2,FALSE)</f>
        <v>0</v>
      </c>
      <c r="M2485">
        <f>VLOOKUP(Query1[[#This Row],[Description]],'kits to boards'!$B$2:$E$156,3,FALSE)</f>
        <v>0</v>
      </c>
      <c r="N2485">
        <f>VLOOKUP(Query1[[#This Row],[Description]],'kits to boards'!$B$2:$E$156,4,FALSE)</f>
        <v>0</v>
      </c>
      <c r="O2485" t="str">
        <f>CONCATENATE(Query1[[#This Row],[Description]]," - ",Query1[[#This Row],[MB1]]," - ",Query1[[#This Row],[MB2]]," - ",Query1[[#This Row],[MB3]])</f>
        <v>HERITAGE BLACK TURNED EVAP KIT COOL ONLY - 0 - 0 - 0</v>
      </c>
    </row>
    <row r="2486" spans="1:15" x14ac:dyDescent="0.25">
      <c r="A2486" s="1">
        <v>915697</v>
      </c>
      <c r="B2486" s="1" t="s">
        <v>220</v>
      </c>
      <c r="C2486" s="1" t="s">
        <v>221</v>
      </c>
      <c r="D2486" s="2">
        <v>44638.302693136575</v>
      </c>
      <c r="E2486" s="1" t="s">
        <v>11</v>
      </c>
      <c r="F2486" s="1">
        <v>2</v>
      </c>
      <c r="G2486" s="1">
        <v>0</v>
      </c>
      <c r="H2486" s="6">
        <f>INT(Query1[[#This Row],[EntryDateTime]])</f>
        <v>44638</v>
      </c>
      <c r="I2486" s="1">
        <f>IF(Query1[[#This Row],[ItemType]]="EVAP KIT SF GEN IV",Query1[[#This Row],[OrderQty]]+I2485,I2485)</f>
        <v>2999</v>
      </c>
      <c r="J2486" s="1">
        <f>IF(Query1[[#This Row],[ItemType]]="EVAP KIT UNIVERSAL",Query1[[#This Row],[OrderQty]]+J2485,J2485)</f>
        <v>1221</v>
      </c>
      <c r="K2486" s="1">
        <f>Query1[[#This Row],[SF Running Total]]+Query1[[#This Row],[UNIV Running Total]]</f>
        <v>4220</v>
      </c>
      <c r="L2486">
        <f>VLOOKUP(Query1[[#This Row],[Description]],'kits to boards'!$B$2:$E$156,2,FALSE)</f>
        <v>0</v>
      </c>
      <c r="M2486">
        <f>VLOOKUP(Query1[[#This Row],[Description]],'kits to boards'!$B$2:$E$156,3,FALSE)</f>
        <v>0</v>
      </c>
      <c r="N2486">
        <f>VLOOKUP(Query1[[#This Row],[Description]],'kits to boards'!$B$2:$E$156,4,FALSE)</f>
        <v>0</v>
      </c>
      <c r="O2486" t="str">
        <f>CONCATENATE(Query1[[#This Row],[Description]]," - ",Query1[[#This Row],[MB1]]," - ",Query1[[#This Row],[MB2]]," - ",Query1[[#This Row],[MB3]])</f>
        <v>HERITAGE PEARL EVAP KIT HEAT/COOL - 0 - 0 - 0</v>
      </c>
    </row>
    <row r="2487" spans="1:15" x14ac:dyDescent="0.25">
      <c r="A2487" s="1">
        <v>915697</v>
      </c>
      <c r="B2487" s="1" t="s">
        <v>104</v>
      </c>
      <c r="C2487" s="1" t="s">
        <v>105</v>
      </c>
      <c r="D2487" s="2">
        <v>44638.302852777779</v>
      </c>
      <c r="E2487" s="1" t="s">
        <v>11</v>
      </c>
      <c r="F2487" s="1">
        <v>2</v>
      </c>
      <c r="G2487" s="1">
        <v>0</v>
      </c>
      <c r="H2487" s="6">
        <f>INT(Query1[[#This Row],[EntryDateTime]])</f>
        <v>44638</v>
      </c>
      <c r="I2487" s="1">
        <f>IF(Query1[[#This Row],[ItemType]]="EVAP KIT SF GEN IV",Query1[[#This Row],[OrderQty]]+I2486,I2486)</f>
        <v>2999</v>
      </c>
      <c r="J2487" s="1">
        <f>IF(Query1[[#This Row],[ItemType]]="EVAP KIT UNIVERSAL",Query1[[#This Row],[OrderQty]]+J2486,J2486)</f>
        <v>1223</v>
      </c>
      <c r="K2487" s="1">
        <f>Query1[[#This Row],[SF Running Total]]+Query1[[#This Row],[UNIV Running Total]]</f>
        <v>4222</v>
      </c>
      <c r="L2487">
        <f>VLOOKUP(Query1[[#This Row],[Description]],'kits to boards'!$B$2:$E$156,2,FALSE)</f>
        <v>0</v>
      </c>
      <c r="M2487">
        <f>VLOOKUP(Query1[[#This Row],[Description]],'kits to boards'!$B$2:$E$156,3,FALSE)</f>
        <v>0</v>
      </c>
      <c r="N2487">
        <f>VLOOKUP(Query1[[#This Row],[Description]],'kits to boards'!$B$2:$E$156,4,FALSE)</f>
        <v>0</v>
      </c>
      <c r="O2487" t="str">
        <f>CONCATENATE(Query1[[#This Row],[Description]]," - ",Query1[[#This Row],[MB1]]," - ",Query1[[#This Row],[MB2]]," - ",Query1[[#This Row],[MB3]])</f>
        <v>HERITAGE BRUSHED EVAP KIT HEAT/COOL - 0 - 0 - 0</v>
      </c>
    </row>
    <row r="2488" spans="1:15" x14ac:dyDescent="0.25">
      <c r="A2488" s="1">
        <v>915697</v>
      </c>
      <c r="B2488" s="1" t="s">
        <v>98</v>
      </c>
      <c r="C2488" s="1" t="s">
        <v>99</v>
      </c>
      <c r="D2488" s="2">
        <v>44638.303012384262</v>
      </c>
      <c r="E2488" s="1" t="s">
        <v>11</v>
      </c>
      <c r="F2488" s="1">
        <v>10</v>
      </c>
      <c r="G2488" s="1">
        <v>0</v>
      </c>
      <c r="H2488" s="6">
        <f>INT(Query1[[#This Row],[EntryDateTime]])</f>
        <v>44638</v>
      </c>
      <c r="I2488" s="1">
        <f>IF(Query1[[#This Row],[ItemType]]="EVAP KIT SF GEN IV",Query1[[#This Row],[OrderQty]]+I2487,I2487)</f>
        <v>2999</v>
      </c>
      <c r="J2488" s="1">
        <f>IF(Query1[[#This Row],[ItemType]]="EVAP KIT UNIVERSAL",Query1[[#This Row],[OrderQty]]+J2487,J2487)</f>
        <v>1233</v>
      </c>
      <c r="K2488" s="1">
        <f>Query1[[#This Row],[SF Running Total]]+Query1[[#This Row],[UNIV Running Total]]</f>
        <v>4232</v>
      </c>
      <c r="L2488">
        <f>VLOOKUP(Query1[[#This Row],[Description]],'kits to boards'!$B$2:$E$156,2,FALSE)</f>
        <v>830099</v>
      </c>
      <c r="M2488">
        <f>VLOOKUP(Query1[[#This Row],[Description]],'kits to boards'!$B$2:$E$156,3,FALSE)</f>
        <v>0</v>
      </c>
      <c r="N2488">
        <f>VLOOKUP(Query1[[#This Row],[Description]],'kits to boards'!$B$2:$E$156,4,FALSE)</f>
        <v>0</v>
      </c>
      <c r="O2488" t="str">
        <f>CONCATENATE(Query1[[#This Row],[Description]]," - ",Query1[[#This Row],[MB1]]," - ",Query1[[#This Row],[MB2]]," - ",Query1[[#This Row],[MB3]])</f>
        <v>MINI GEN II W/DEF - 830099 - 0 - 0</v>
      </c>
    </row>
    <row r="2489" spans="1:15" x14ac:dyDescent="0.25">
      <c r="A2489" s="1">
        <v>915697</v>
      </c>
      <c r="B2489" s="1" t="s">
        <v>24</v>
      </c>
      <c r="C2489" s="1" t="s">
        <v>25</v>
      </c>
      <c r="D2489" s="2">
        <v>44638.303197835645</v>
      </c>
      <c r="E2489" s="1" t="s">
        <v>11</v>
      </c>
      <c r="F2489" s="1">
        <v>10</v>
      </c>
      <c r="G2489" s="1">
        <v>0</v>
      </c>
      <c r="H2489" s="6">
        <f>INT(Query1[[#This Row],[EntryDateTime]])</f>
        <v>44638</v>
      </c>
      <c r="I2489" s="1">
        <f>IF(Query1[[#This Row],[ItemType]]="EVAP KIT SF GEN IV",Query1[[#This Row],[OrderQty]]+I2488,I2488)</f>
        <v>2999</v>
      </c>
      <c r="J2489" s="1">
        <f>IF(Query1[[#This Row],[ItemType]]="EVAP KIT UNIVERSAL",Query1[[#This Row],[OrderQty]]+J2488,J2488)</f>
        <v>1243</v>
      </c>
      <c r="K2489" s="1">
        <f>Query1[[#This Row],[SF Running Total]]+Query1[[#This Row],[UNIV Running Total]]</f>
        <v>4242</v>
      </c>
      <c r="L2489">
        <f>VLOOKUP(Query1[[#This Row],[Description]],'kits to boards'!$B$2:$E$156,2,FALSE)</f>
        <v>830029</v>
      </c>
      <c r="M2489">
        <f>VLOOKUP(Query1[[#This Row],[Description]],'kits to boards'!$B$2:$E$156,3,FALSE)</f>
        <v>830030</v>
      </c>
      <c r="N2489">
        <f>VLOOKUP(Query1[[#This Row],[Description]],'kits to boards'!$B$2:$E$156,4,FALSE)</f>
        <v>0</v>
      </c>
      <c r="O2489" t="str">
        <f>CONCATENATE(Query1[[#This Row],[Description]]," - ",Query1[[#This Row],[MB1]]," - ",Query1[[#This Row],[MB2]]," - ",Query1[[#This Row],[MB3]])</f>
        <v>ComPac GEN II W/DEF - 830029 - 830030 - 0</v>
      </c>
    </row>
    <row r="2490" spans="1:15" x14ac:dyDescent="0.25">
      <c r="A2490" s="1">
        <v>915700</v>
      </c>
      <c r="B2490" s="1" t="s">
        <v>128</v>
      </c>
      <c r="C2490" s="1" t="s">
        <v>129</v>
      </c>
      <c r="D2490" s="2">
        <v>44638.32476635417</v>
      </c>
      <c r="E2490" s="1" t="s">
        <v>8</v>
      </c>
      <c r="F2490" s="1">
        <v>1</v>
      </c>
      <c r="G2490" s="1">
        <v>0</v>
      </c>
      <c r="H2490" s="6">
        <f>INT(Query1[[#This Row],[EntryDateTime]])</f>
        <v>44638</v>
      </c>
      <c r="I2490" s="1">
        <f>IF(Query1[[#This Row],[ItemType]]="EVAP KIT SF GEN IV",Query1[[#This Row],[OrderQty]]+I2489,I2489)</f>
        <v>3000</v>
      </c>
      <c r="J2490" s="1">
        <f>IF(Query1[[#This Row],[ItemType]]="EVAP KIT UNIVERSAL",Query1[[#This Row],[OrderQty]]+J2489,J2489)</f>
        <v>1243</v>
      </c>
      <c r="K2490" s="1">
        <f>Query1[[#This Row],[SF Running Total]]+Query1[[#This Row],[UNIV Running Total]]</f>
        <v>4243</v>
      </c>
      <c r="L2490">
        <f>VLOOKUP(Query1[[#This Row],[Description]],'kits to boards'!$B$2:$E$156,2,FALSE)</f>
        <v>830036</v>
      </c>
      <c r="M2490">
        <f>VLOOKUP(Query1[[#This Row],[Description]],'kits to boards'!$B$2:$E$156,3,FALSE)</f>
        <v>830039</v>
      </c>
      <c r="N2490">
        <f>VLOOKUP(Query1[[#This Row],[Description]],'kits to boards'!$B$2:$E$156,4,FALSE)</f>
        <v>0</v>
      </c>
      <c r="O2490" t="str">
        <f>CONCATENATE(Query1[[#This Row],[Description]]," - ",Query1[[#This Row],[MB1]]," - ",Query1[[#This Row],[MB2]]," - ",Query1[[#This Row],[MB3]])</f>
        <v>EVAP KIT 63-66 VETTE WO AC - 830036 - 830039 - 0</v>
      </c>
    </row>
    <row r="2491" spans="1:15" x14ac:dyDescent="0.25">
      <c r="A2491" s="1">
        <v>915701</v>
      </c>
      <c r="B2491" s="1" t="s">
        <v>240</v>
      </c>
      <c r="C2491" s="1" t="s">
        <v>241</v>
      </c>
      <c r="D2491" s="2">
        <v>44638.328271562503</v>
      </c>
      <c r="E2491" s="1" t="s">
        <v>8</v>
      </c>
      <c r="F2491" s="1">
        <v>1</v>
      </c>
      <c r="G2491" s="1">
        <v>0</v>
      </c>
      <c r="H2491" s="6">
        <f>INT(Query1[[#This Row],[EntryDateTime]])</f>
        <v>44638</v>
      </c>
      <c r="I2491" s="1">
        <f>IF(Query1[[#This Row],[ItemType]]="EVAP KIT SF GEN IV",Query1[[#This Row],[OrderQty]]+I2490,I2490)</f>
        <v>3001</v>
      </c>
      <c r="J2491" s="1">
        <f>IF(Query1[[#This Row],[ItemType]]="EVAP KIT UNIVERSAL",Query1[[#This Row],[OrderQty]]+J2490,J2490)</f>
        <v>1243</v>
      </c>
      <c r="K2491" s="1">
        <f>Query1[[#This Row],[SF Running Total]]+Query1[[#This Row],[UNIV Running Total]]</f>
        <v>4244</v>
      </c>
      <c r="L2491">
        <f>VLOOKUP(Query1[[#This Row],[Description]],'kits to boards'!$B$2:$E$156,2,FALSE)</f>
        <v>830032</v>
      </c>
      <c r="M2491">
        <f>VLOOKUP(Query1[[#This Row],[Description]],'kits to boards'!$B$2:$E$156,3,FALSE)</f>
        <v>0</v>
      </c>
      <c r="N2491">
        <f>VLOOKUP(Query1[[#This Row],[Description]],'kits to boards'!$B$2:$E$156,4,FALSE)</f>
        <v>0</v>
      </c>
      <c r="O2491" t="str">
        <f>CONCATENATE(Query1[[#This Row],[Description]]," - ",Query1[[#This Row],[MB1]]," - ",Query1[[#This Row],[MB2]]," - ",Query1[[#This Row],[MB3]])</f>
        <v>EVAP KIT 58-60 VETTE - 830032 - 0 - 0</v>
      </c>
    </row>
    <row r="2492" spans="1:15" x14ac:dyDescent="0.25">
      <c r="A2492" s="1">
        <v>915702</v>
      </c>
      <c r="B2492" s="1" t="s">
        <v>106</v>
      </c>
      <c r="C2492" s="1" t="s">
        <v>253</v>
      </c>
      <c r="D2492" s="2">
        <v>44638.329560613427</v>
      </c>
      <c r="E2492" s="1" t="s">
        <v>8</v>
      </c>
      <c r="F2492" s="1">
        <v>1</v>
      </c>
      <c r="G2492" s="1">
        <v>0</v>
      </c>
      <c r="H2492" s="6">
        <f>INT(Query1[[#This Row],[EntryDateTime]])</f>
        <v>44638</v>
      </c>
      <c r="I2492" s="1">
        <f>IF(Query1[[#This Row],[ItemType]]="EVAP KIT SF GEN IV",Query1[[#This Row],[OrderQty]]+I2491,I2491)</f>
        <v>3002</v>
      </c>
      <c r="J2492" s="1">
        <f>IF(Query1[[#This Row],[ItemType]]="EVAP KIT UNIVERSAL",Query1[[#This Row],[OrderQty]]+J2491,J2491)</f>
        <v>1243</v>
      </c>
      <c r="K2492" s="1">
        <f>Query1[[#This Row],[SF Running Total]]+Query1[[#This Row],[UNIV Running Total]]</f>
        <v>4245</v>
      </c>
      <c r="L2492">
        <f>VLOOKUP(Query1[[#This Row],[Description]],'kits to boards'!$B$2:$E$156,2,FALSE)</f>
        <v>830028</v>
      </c>
      <c r="M2492">
        <f>VLOOKUP(Query1[[#This Row],[Description]],'kits to boards'!$B$2:$E$156,3,FALSE)</f>
        <v>0</v>
      </c>
      <c r="N2492">
        <f>VLOOKUP(Query1[[#This Row],[Description]],'kits to boards'!$B$2:$E$156,4,FALSE)</f>
        <v>0</v>
      </c>
      <c r="O2492" t="str">
        <f>CONCATENATE(Query1[[#This Row],[Description]]," - ",Query1[[#This Row],[MB1]]," - ",Query1[[#This Row],[MB2]]," - ",Query1[[#This Row],[MB3]])</f>
        <v>EVAP KIT 55-59 CHEV P-UP WO AC W/DELX  - 830028 - 0 - 0</v>
      </c>
    </row>
    <row r="2493" spans="1:15" x14ac:dyDescent="0.25">
      <c r="A2493" s="1">
        <v>915703</v>
      </c>
      <c r="B2493" s="1" t="s">
        <v>222</v>
      </c>
      <c r="C2493" s="1" t="s">
        <v>223</v>
      </c>
      <c r="D2493" s="2">
        <v>44638.334491701389</v>
      </c>
      <c r="E2493" s="1" t="s">
        <v>8</v>
      </c>
      <c r="F2493" s="1">
        <v>1</v>
      </c>
      <c r="G2493" s="1">
        <v>0</v>
      </c>
      <c r="H2493" s="6">
        <f>INT(Query1[[#This Row],[EntryDateTime]])</f>
        <v>44638</v>
      </c>
      <c r="I2493" s="1">
        <f>IF(Query1[[#This Row],[ItemType]]="EVAP KIT SF GEN IV",Query1[[#This Row],[OrderQty]]+I2492,I2492)</f>
        <v>3003</v>
      </c>
      <c r="J2493" s="1">
        <f>IF(Query1[[#This Row],[ItemType]]="EVAP KIT UNIVERSAL",Query1[[#This Row],[OrderQty]]+J2492,J2492)</f>
        <v>1243</v>
      </c>
      <c r="K2493" s="1">
        <f>Query1[[#This Row],[SF Running Total]]+Query1[[#This Row],[UNIV Running Total]]</f>
        <v>4246</v>
      </c>
      <c r="L2493">
        <f>VLOOKUP(Query1[[#This Row],[Description]],'kits to boards'!$B$2:$E$156,2,FALSE)</f>
        <v>830093</v>
      </c>
      <c r="M2493">
        <f>VLOOKUP(Query1[[#This Row],[Description]],'kits to boards'!$B$2:$E$156,3,FALSE)</f>
        <v>0</v>
      </c>
      <c r="N2493">
        <f>VLOOKUP(Query1[[#This Row],[Description]],'kits to boards'!$B$2:$E$156,4,FALSE)</f>
        <v>0</v>
      </c>
      <c r="O2493" t="str">
        <f>CONCATENATE(Query1[[#This Row],[Description]]," - ",Query1[[#This Row],[MB1]]," - ",Query1[[#This Row],[MB2]]," - ",Query1[[#This Row],[MB3]])</f>
        <v>EVAP KIT 67 VETTE WO AC - 830093 - 0 - 0</v>
      </c>
    </row>
    <row r="2494" spans="1:15" x14ac:dyDescent="0.25">
      <c r="A2494" s="1">
        <v>915706</v>
      </c>
      <c r="B2494" s="1" t="s">
        <v>120</v>
      </c>
      <c r="C2494" s="1" t="s">
        <v>121</v>
      </c>
      <c r="D2494" s="2">
        <v>44638.338889664352</v>
      </c>
      <c r="E2494" s="1" t="s">
        <v>8</v>
      </c>
      <c r="F2494" s="1">
        <v>1</v>
      </c>
      <c r="G2494" s="1">
        <v>0</v>
      </c>
      <c r="H2494" s="6">
        <f>INT(Query1[[#This Row],[EntryDateTime]])</f>
        <v>44638</v>
      </c>
      <c r="I2494" s="1">
        <f>IF(Query1[[#This Row],[ItemType]]="EVAP KIT SF GEN IV",Query1[[#This Row],[OrderQty]]+I2493,I2493)</f>
        <v>3004</v>
      </c>
      <c r="J2494" s="1">
        <f>IF(Query1[[#This Row],[ItemType]]="EVAP KIT UNIVERSAL",Query1[[#This Row],[OrderQty]]+J2493,J2493)</f>
        <v>1243</v>
      </c>
      <c r="K2494" s="1">
        <f>Query1[[#This Row],[SF Running Total]]+Query1[[#This Row],[UNIV Running Total]]</f>
        <v>4247</v>
      </c>
      <c r="L2494">
        <f>VLOOKUP(Query1[[#This Row],[Description]],'kits to boards'!$B$2:$E$156,2,FALSE)</f>
        <v>830014</v>
      </c>
      <c r="M2494">
        <f>VLOOKUP(Query1[[#This Row],[Description]],'kits to boards'!$B$2:$E$156,3,FALSE)</f>
        <v>0</v>
      </c>
      <c r="N2494">
        <f>VLOOKUP(Query1[[#This Row],[Description]],'kits to boards'!$B$2:$E$156,4,FALSE)</f>
        <v>0</v>
      </c>
      <c r="O2494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2495" spans="1:15" x14ac:dyDescent="0.25">
      <c r="A2495" s="1">
        <v>915707</v>
      </c>
      <c r="B2495" s="1" t="s">
        <v>256</v>
      </c>
      <c r="C2495" s="1" t="s">
        <v>257</v>
      </c>
      <c r="D2495" s="2">
        <v>44638.341836493055</v>
      </c>
      <c r="E2495" s="1" t="s">
        <v>8</v>
      </c>
      <c r="F2495" s="1">
        <v>2</v>
      </c>
      <c r="G2495" s="1">
        <v>0</v>
      </c>
      <c r="H2495" s="6">
        <f>INT(Query1[[#This Row],[EntryDateTime]])</f>
        <v>44638</v>
      </c>
      <c r="I2495" s="1">
        <f>IF(Query1[[#This Row],[ItemType]]="EVAP KIT SF GEN IV",Query1[[#This Row],[OrderQty]]+I2494,I2494)</f>
        <v>3006</v>
      </c>
      <c r="J2495" s="1">
        <f>IF(Query1[[#This Row],[ItemType]]="EVAP KIT UNIVERSAL",Query1[[#This Row],[OrderQty]]+J2494,J2494)</f>
        <v>1243</v>
      </c>
      <c r="K2495" s="1">
        <f>Query1[[#This Row],[SF Running Total]]+Query1[[#This Row],[UNIV Running Total]]</f>
        <v>4249</v>
      </c>
      <c r="L2495">
        <f>VLOOKUP(Query1[[#This Row],[Description]],'kits to boards'!$B$2:$E$156,2,FALSE)</f>
        <v>830025</v>
      </c>
      <c r="M2495">
        <f>VLOOKUP(Query1[[#This Row],[Description]],'kits to boards'!$B$2:$E$156,3,FALSE)</f>
        <v>830022</v>
      </c>
      <c r="N2495">
        <f>VLOOKUP(Query1[[#This Row],[Description]],'kits to boards'!$B$2:$E$156,4,FALSE)</f>
        <v>0</v>
      </c>
      <c r="O2495" t="str">
        <f>CONCATENATE(Query1[[#This Row],[Description]]," - ",Query1[[#This Row],[MB1]]," - ",Query1[[#This Row],[MB2]]," - ",Query1[[#This Row],[MB3]])</f>
        <v>EVAP KIT 68-69 CUTLASS W/AC - 830025 - 830022 - 0</v>
      </c>
    </row>
    <row r="2496" spans="1:15" x14ac:dyDescent="0.25">
      <c r="A2496" s="1">
        <v>915715</v>
      </c>
      <c r="B2496" s="1" t="s">
        <v>124</v>
      </c>
      <c r="C2496" s="1" t="s">
        <v>125</v>
      </c>
      <c r="D2496" s="2">
        <v>44638.353082870373</v>
      </c>
      <c r="E2496" s="1" t="s">
        <v>8</v>
      </c>
      <c r="F2496" s="1">
        <v>1</v>
      </c>
      <c r="G2496" s="1">
        <v>0</v>
      </c>
      <c r="H2496" s="6">
        <f>INT(Query1[[#This Row],[EntryDateTime]])</f>
        <v>44638</v>
      </c>
      <c r="I2496" s="1">
        <f>IF(Query1[[#This Row],[ItemType]]="EVAP KIT SF GEN IV",Query1[[#This Row],[OrderQty]]+I2495,I2495)</f>
        <v>3007</v>
      </c>
      <c r="J2496" s="1">
        <f>IF(Query1[[#This Row],[ItemType]]="EVAP KIT UNIVERSAL",Query1[[#This Row],[OrderQty]]+J2495,J2495)</f>
        <v>1243</v>
      </c>
      <c r="K2496" s="1">
        <f>Query1[[#This Row],[SF Running Total]]+Query1[[#This Row],[UNIV Running Total]]</f>
        <v>4250</v>
      </c>
      <c r="L2496">
        <f>VLOOKUP(Query1[[#This Row],[Description]],'kits to boards'!$B$2:$E$156,2,FALSE)</f>
        <v>830002</v>
      </c>
      <c r="M2496">
        <f>VLOOKUP(Query1[[#This Row],[Description]],'kits to boards'!$B$2:$E$156,3,FALSE)</f>
        <v>0</v>
      </c>
      <c r="N2496">
        <f>VLOOKUP(Query1[[#This Row],[Description]],'kits to boards'!$B$2:$E$156,4,FALSE)</f>
        <v>0</v>
      </c>
      <c r="O2496" t="str">
        <f>CONCATENATE(Query1[[#This Row],[Description]]," - ",Query1[[#This Row],[MB1]]," - ",Query1[[#This Row],[MB2]]," - ",Query1[[#This Row],[MB3]])</f>
        <v>EVAP KIT 73-80 CHEV P-UP WO AC - 830002 - 0 - 0</v>
      </c>
    </row>
    <row r="2497" spans="1:15" x14ac:dyDescent="0.25">
      <c r="A2497" s="1">
        <v>915718</v>
      </c>
      <c r="B2497" s="1" t="s">
        <v>102</v>
      </c>
      <c r="C2497" s="1" t="s">
        <v>103</v>
      </c>
      <c r="D2497" s="2">
        <v>44638.36363900463</v>
      </c>
      <c r="E2497" s="1" t="s">
        <v>8</v>
      </c>
      <c r="F2497" s="1">
        <v>1</v>
      </c>
      <c r="G2497" s="1">
        <v>0</v>
      </c>
      <c r="H2497" s="6">
        <f>INT(Query1[[#This Row],[EntryDateTime]])</f>
        <v>44638</v>
      </c>
      <c r="I2497" s="1">
        <f>IF(Query1[[#This Row],[ItemType]]="EVAP KIT SF GEN IV",Query1[[#This Row],[OrderQty]]+I2496,I2496)</f>
        <v>3008</v>
      </c>
      <c r="J2497" s="1">
        <f>IF(Query1[[#This Row],[ItemType]]="EVAP KIT UNIVERSAL",Query1[[#This Row],[OrderQty]]+J2496,J2496)</f>
        <v>1243</v>
      </c>
      <c r="K2497" s="1">
        <f>Query1[[#This Row],[SF Running Total]]+Query1[[#This Row],[UNIV Running Total]]</f>
        <v>4251</v>
      </c>
      <c r="L2497">
        <f>VLOOKUP(Query1[[#This Row],[Description]],'kits to boards'!$B$2:$E$156,2,FALSE)</f>
        <v>830012</v>
      </c>
      <c r="M2497">
        <f>VLOOKUP(Query1[[#This Row],[Description]],'kits to boards'!$B$2:$E$156,3,FALSE)</f>
        <v>0</v>
      </c>
      <c r="N2497">
        <f>VLOOKUP(Query1[[#This Row],[Description]],'kits to boards'!$B$2:$E$156,4,FALSE)</f>
        <v>0</v>
      </c>
      <c r="O2497" t="str">
        <f>CONCATENATE(Query1[[#This Row],[Description]]," - ",Query1[[#This Row],[MB1]]," - ",Query1[[#This Row],[MB2]]," - ",Query1[[#This Row],[MB3]])</f>
        <v>EVAP KIT 69 CAMARO WO/AC - 830012 - 0 - 0</v>
      </c>
    </row>
    <row r="2498" spans="1:15" x14ac:dyDescent="0.25">
      <c r="A2498" s="1">
        <v>915721</v>
      </c>
      <c r="B2498" s="1" t="s">
        <v>98</v>
      </c>
      <c r="C2498" s="1" t="s">
        <v>99</v>
      </c>
      <c r="D2498" s="2">
        <v>44638.379497685186</v>
      </c>
      <c r="E2498" s="1" t="s">
        <v>11</v>
      </c>
      <c r="F2498" s="1">
        <v>1</v>
      </c>
      <c r="G2498" s="1">
        <v>0</v>
      </c>
      <c r="H2498" s="6">
        <f>INT(Query1[[#This Row],[EntryDateTime]])</f>
        <v>44638</v>
      </c>
      <c r="I2498" s="1">
        <f>IF(Query1[[#This Row],[ItemType]]="EVAP KIT SF GEN IV",Query1[[#This Row],[OrderQty]]+I2497,I2497)</f>
        <v>3008</v>
      </c>
      <c r="J2498" s="1">
        <f>IF(Query1[[#This Row],[ItemType]]="EVAP KIT UNIVERSAL",Query1[[#This Row],[OrderQty]]+J2497,J2497)</f>
        <v>1244</v>
      </c>
      <c r="K2498" s="1">
        <f>Query1[[#This Row],[SF Running Total]]+Query1[[#This Row],[UNIV Running Total]]</f>
        <v>4252</v>
      </c>
      <c r="L2498">
        <f>VLOOKUP(Query1[[#This Row],[Description]],'kits to boards'!$B$2:$E$156,2,FALSE)</f>
        <v>830099</v>
      </c>
      <c r="M2498">
        <f>VLOOKUP(Query1[[#This Row],[Description]],'kits to boards'!$B$2:$E$156,3,FALSE)</f>
        <v>0</v>
      </c>
      <c r="N2498">
        <f>VLOOKUP(Query1[[#This Row],[Description]],'kits to boards'!$B$2:$E$156,4,FALSE)</f>
        <v>0</v>
      </c>
      <c r="O2498" t="str">
        <f>CONCATENATE(Query1[[#This Row],[Description]]," - ",Query1[[#This Row],[MB1]]," - ",Query1[[#This Row],[MB2]]," - ",Query1[[#This Row],[MB3]])</f>
        <v>MINI GEN II W/DEF - 830099 - 0 - 0</v>
      </c>
    </row>
    <row r="2499" spans="1:15" x14ac:dyDescent="0.25">
      <c r="A2499" s="1">
        <v>915721</v>
      </c>
      <c r="B2499" s="1" t="s">
        <v>20</v>
      </c>
      <c r="C2499" s="1" t="s">
        <v>21</v>
      </c>
      <c r="D2499" s="2">
        <v>44638.3796147338</v>
      </c>
      <c r="E2499" s="1" t="s">
        <v>11</v>
      </c>
      <c r="F2499" s="1">
        <v>1</v>
      </c>
      <c r="G2499" s="1">
        <v>0</v>
      </c>
      <c r="H2499" s="6">
        <f>INT(Query1[[#This Row],[EntryDateTime]])</f>
        <v>44638</v>
      </c>
      <c r="I2499" s="1">
        <f>IF(Query1[[#This Row],[ItemType]]="EVAP KIT SF GEN IV",Query1[[#This Row],[OrderQty]]+I2498,I2498)</f>
        <v>3008</v>
      </c>
      <c r="J2499" s="1">
        <f>IF(Query1[[#This Row],[ItemType]]="EVAP KIT UNIVERSAL",Query1[[#This Row],[OrderQty]]+J2498,J2498)</f>
        <v>1245</v>
      </c>
      <c r="K2499" s="1">
        <f>Query1[[#This Row],[SF Running Total]]+Query1[[#This Row],[UNIV Running Total]]</f>
        <v>4253</v>
      </c>
      <c r="L2499">
        <f>VLOOKUP(Query1[[#This Row],[Description]],'kits to boards'!$B$2:$E$156,2,FALSE)</f>
        <v>830102</v>
      </c>
      <c r="M2499">
        <f>VLOOKUP(Query1[[#This Row],[Description]],'kits to boards'!$B$2:$E$156,3,FALSE)</f>
        <v>0</v>
      </c>
      <c r="N2499">
        <f>VLOOKUP(Query1[[#This Row],[Description]],'kits to boards'!$B$2:$E$156,4,FALSE)</f>
        <v>0</v>
      </c>
      <c r="O2499" t="str">
        <f>CONCATENATE(Query1[[#This Row],[Description]]," - ",Query1[[#This Row],[MB1]]," - ",Query1[[#This Row],[MB2]]," - ",Query1[[#This Row],[MB3]])</f>
        <v>SUPER GEN II W/DEF - 830102 - 0 - 0</v>
      </c>
    </row>
    <row r="2500" spans="1:15" x14ac:dyDescent="0.25">
      <c r="A2500" s="1">
        <v>915721</v>
      </c>
      <c r="B2500" s="1" t="s">
        <v>22</v>
      </c>
      <c r="C2500" s="1" t="s">
        <v>23</v>
      </c>
      <c r="D2500" s="2">
        <v>44638.379733298614</v>
      </c>
      <c r="E2500" s="1" t="s">
        <v>8</v>
      </c>
      <c r="F2500" s="1">
        <v>2</v>
      </c>
      <c r="G2500" s="1">
        <v>0</v>
      </c>
      <c r="H2500" s="6">
        <f>INT(Query1[[#This Row],[EntryDateTime]])</f>
        <v>44638</v>
      </c>
      <c r="I2500" s="1">
        <f>IF(Query1[[#This Row],[ItemType]]="EVAP KIT SF GEN IV",Query1[[#This Row],[OrderQty]]+I2499,I2499)</f>
        <v>3010</v>
      </c>
      <c r="J2500" s="1">
        <f>IF(Query1[[#This Row],[ItemType]]="EVAP KIT UNIVERSAL",Query1[[#This Row],[OrderQty]]+J2499,J2499)</f>
        <v>1245</v>
      </c>
      <c r="K2500" s="1">
        <f>Query1[[#This Row],[SF Running Total]]+Query1[[#This Row],[UNIV Running Total]]</f>
        <v>4255</v>
      </c>
      <c r="L2500">
        <f>VLOOKUP(Query1[[#This Row],[Description]],'kits to boards'!$B$2:$E$156,2,FALSE)</f>
        <v>830083</v>
      </c>
      <c r="M2500">
        <f>VLOOKUP(Query1[[#This Row],[Description]],'kits to boards'!$B$2:$E$156,3,FALSE)</f>
        <v>0</v>
      </c>
      <c r="N2500">
        <f>VLOOKUP(Query1[[#This Row],[Description]],'kits to boards'!$B$2:$E$156,4,FALSE)</f>
        <v>0</v>
      </c>
      <c r="O2500" t="str">
        <f>CONCATENATE(Query1[[#This Row],[Description]]," - ",Query1[[#This Row],[MB1]]," - ",Query1[[#This Row],[MB2]]," - ",Query1[[#This Row],[MB3]])</f>
        <v>GEN IV MAGNUM EVAP KIT - 830083 - 0 - 0</v>
      </c>
    </row>
    <row r="2501" spans="1:15" x14ac:dyDescent="0.25">
      <c r="A2501" s="1">
        <v>915721</v>
      </c>
      <c r="B2501" s="1" t="s">
        <v>124</v>
      </c>
      <c r="C2501" s="1" t="s">
        <v>125</v>
      </c>
      <c r="D2501" s="2">
        <v>44638.379877858795</v>
      </c>
      <c r="E2501" s="1" t="s">
        <v>8</v>
      </c>
      <c r="F2501" s="1">
        <v>1</v>
      </c>
      <c r="G2501" s="1">
        <v>0</v>
      </c>
      <c r="H2501" s="6">
        <f>INT(Query1[[#This Row],[EntryDateTime]])</f>
        <v>44638</v>
      </c>
      <c r="I2501" s="1">
        <f>IF(Query1[[#This Row],[ItemType]]="EVAP KIT SF GEN IV",Query1[[#This Row],[OrderQty]]+I2500,I2500)</f>
        <v>3011</v>
      </c>
      <c r="J2501" s="1">
        <f>IF(Query1[[#This Row],[ItemType]]="EVAP KIT UNIVERSAL",Query1[[#This Row],[OrderQty]]+J2500,J2500)</f>
        <v>1245</v>
      </c>
      <c r="K2501" s="1">
        <f>Query1[[#This Row],[SF Running Total]]+Query1[[#This Row],[UNIV Running Total]]</f>
        <v>4256</v>
      </c>
      <c r="L2501">
        <f>VLOOKUP(Query1[[#This Row],[Description]],'kits to boards'!$B$2:$E$156,2,FALSE)</f>
        <v>830002</v>
      </c>
      <c r="M2501">
        <f>VLOOKUP(Query1[[#This Row],[Description]],'kits to boards'!$B$2:$E$156,3,FALSE)</f>
        <v>0</v>
      </c>
      <c r="N2501">
        <f>VLOOKUP(Query1[[#This Row],[Description]],'kits to boards'!$B$2:$E$156,4,FALSE)</f>
        <v>0</v>
      </c>
      <c r="O2501" t="str">
        <f>CONCATENATE(Query1[[#This Row],[Description]]," - ",Query1[[#This Row],[MB1]]," - ",Query1[[#This Row],[MB2]]," - ",Query1[[#This Row],[MB3]])</f>
        <v>EVAP KIT 73-80 CHEV P-UP WO AC - 830002 - 0 - 0</v>
      </c>
    </row>
    <row r="2502" spans="1:15" x14ac:dyDescent="0.25">
      <c r="A2502" s="1">
        <v>915721</v>
      </c>
      <c r="B2502" s="1" t="s">
        <v>16</v>
      </c>
      <c r="C2502" s="1" t="s">
        <v>17</v>
      </c>
      <c r="D2502" s="2">
        <v>44638.380016516203</v>
      </c>
      <c r="E2502" s="1" t="s">
        <v>8</v>
      </c>
      <c r="F2502" s="1">
        <v>1</v>
      </c>
      <c r="G2502" s="1">
        <v>0</v>
      </c>
      <c r="H2502" s="6">
        <f>INT(Query1[[#This Row],[EntryDateTime]])</f>
        <v>44638</v>
      </c>
      <c r="I2502" s="1">
        <f>IF(Query1[[#This Row],[ItemType]]="EVAP KIT SF GEN IV",Query1[[#This Row],[OrderQty]]+I2501,I2501)</f>
        <v>3012</v>
      </c>
      <c r="J2502" s="1">
        <f>IF(Query1[[#This Row],[ItemType]]="EVAP KIT UNIVERSAL",Query1[[#This Row],[OrderQty]]+J2501,J2501)</f>
        <v>1245</v>
      </c>
      <c r="K2502" s="1">
        <f>Query1[[#This Row],[SF Running Total]]+Query1[[#This Row],[UNIV Running Total]]</f>
        <v>4257</v>
      </c>
      <c r="L2502">
        <f>VLOOKUP(Query1[[#This Row],[Description]],'kits to boards'!$B$2:$E$156,2,FALSE)</f>
        <v>830061</v>
      </c>
      <c r="M2502">
        <f>VLOOKUP(Query1[[#This Row],[Description]],'kits to boards'!$B$2:$E$156,3,FALSE)</f>
        <v>0</v>
      </c>
      <c r="N2502">
        <f>VLOOKUP(Query1[[#This Row],[Description]],'kits to boards'!$B$2:$E$156,4,FALSE)</f>
        <v>0</v>
      </c>
      <c r="O2502" t="str">
        <f>CONCATENATE(Query1[[#This Row],[Description]]," - ",Query1[[#This Row],[MB1]]," - ",Query1[[#This Row],[MB2]]," - ",Query1[[#This Row],[MB3]])</f>
        <v>EVAP KIT 68-69 CHEVELLE W/AC - 830061 - 0 - 0</v>
      </c>
    </row>
    <row r="2503" spans="1:15" x14ac:dyDescent="0.25">
      <c r="A2503" s="1">
        <v>915721</v>
      </c>
      <c r="B2503" s="1" t="s">
        <v>72</v>
      </c>
      <c r="C2503" s="1" t="s">
        <v>73</v>
      </c>
      <c r="D2503" s="2">
        <v>44638.380333831017</v>
      </c>
      <c r="E2503" s="1" t="s">
        <v>8</v>
      </c>
      <c r="F2503" s="1">
        <v>1</v>
      </c>
      <c r="G2503" s="1">
        <v>0</v>
      </c>
      <c r="H2503" s="6">
        <f>INT(Query1[[#This Row],[EntryDateTime]])</f>
        <v>44638</v>
      </c>
      <c r="I2503" s="1">
        <f>IF(Query1[[#This Row],[ItemType]]="EVAP KIT SF GEN IV",Query1[[#This Row],[OrderQty]]+I2502,I2502)</f>
        <v>3013</v>
      </c>
      <c r="J2503" s="1">
        <f>IF(Query1[[#This Row],[ItemType]]="EVAP KIT UNIVERSAL",Query1[[#This Row],[OrderQty]]+J2502,J2502)</f>
        <v>1245</v>
      </c>
      <c r="K2503" s="1">
        <f>Query1[[#This Row],[SF Running Total]]+Query1[[#This Row],[UNIV Running Total]]</f>
        <v>4258</v>
      </c>
      <c r="L2503">
        <f>VLOOKUP(Query1[[#This Row],[Description]],'kits to boards'!$B$2:$E$156,2,FALSE)</f>
        <v>830043</v>
      </c>
      <c r="M2503">
        <f>VLOOKUP(Query1[[#This Row],[Description]],'kits to boards'!$B$2:$E$156,3,FALSE)</f>
        <v>0</v>
      </c>
      <c r="N2503">
        <f>VLOOKUP(Query1[[#This Row],[Description]],'kits to boards'!$B$2:$E$156,4,FALSE)</f>
        <v>0</v>
      </c>
      <c r="O2503" t="str">
        <f>CONCATENATE(Query1[[#This Row],[Description]]," - ",Query1[[#This Row],[MB1]]," - ",Query1[[#This Row],[MB2]]," - ",Query1[[#This Row],[MB3]])</f>
        <v>EVAP KIT 69-74 NOVA W/AC - 830043 - 0 - 0</v>
      </c>
    </row>
    <row r="2504" spans="1:15" x14ac:dyDescent="0.25">
      <c r="A2504" s="1">
        <v>915721</v>
      </c>
      <c r="B2504" s="1" t="s">
        <v>152</v>
      </c>
      <c r="C2504" s="1" t="s">
        <v>153</v>
      </c>
      <c r="D2504" s="2">
        <v>44638.381128391207</v>
      </c>
      <c r="E2504" s="1" t="s">
        <v>8</v>
      </c>
      <c r="F2504" s="1">
        <v>1</v>
      </c>
      <c r="G2504" s="1">
        <v>0</v>
      </c>
      <c r="H2504" s="6">
        <f>INT(Query1[[#This Row],[EntryDateTime]])</f>
        <v>44638</v>
      </c>
      <c r="I2504" s="1">
        <f>IF(Query1[[#This Row],[ItemType]]="EVAP KIT SF GEN IV",Query1[[#This Row],[OrderQty]]+I2503,I2503)</f>
        <v>3014</v>
      </c>
      <c r="J2504" s="1">
        <f>IF(Query1[[#This Row],[ItemType]]="EVAP KIT UNIVERSAL",Query1[[#This Row],[OrderQty]]+J2503,J2503)</f>
        <v>1245</v>
      </c>
      <c r="K2504" s="1">
        <f>Query1[[#This Row],[SF Running Total]]+Query1[[#This Row],[UNIV Running Total]]</f>
        <v>4259</v>
      </c>
      <c r="L2504">
        <f>VLOOKUP(Query1[[#This Row],[Description]],'kits to boards'!$B$2:$E$156,2,FALSE)</f>
        <v>830034</v>
      </c>
      <c r="M2504">
        <f>VLOOKUP(Query1[[#This Row],[Description]],'kits to boards'!$B$2:$E$156,3,FALSE)</f>
        <v>0</v>
      </c>
      <c r="N2504">
        <f>VLOOKUP(Query1[[#This Row],[Description]],'kits to boards'!$B$2:$E$156,4,FALSE)</f>
        <v>0</v>
      </c>
      <c r="O2504" t="str">
        <f>CONCATENATE(Query1[[#This Row],[Description]]," - ",Query1[[#This Row],[MB1]]," - ",Query1[[#This Row],[MB2]]," - ",Query1[[#This Row],[MB3]])</f>
        <v>EVAP KIT 64-67 GTO WO AC - 830034 - 0 - 0</v>
      </c>
    </row>
    <row r="2505" spans="1:15" x14ac:dyDescent="0.25">
      <c r="A2505" s="1">
        <v>915721</v>
      </c>
      <c r="B2505" s="1" t="s">
        <v>52</v>
      </c>
      <c r="C2505" s="1" t="s">
        <v>53</v>
      </c>
      <c r="D2505" s="2">
        <v>44638.38171238426</v>
      </c>
      <c r="E2505" s="1" t="s">
        <v>8</v>
      </c>
      <c r="F2505" s="1">
        <v>1</v>
      </c>
      <c r="G2505" s="1">
        <v>0</v>
      </c>
      <c r="H2505" s="6">
        <f>INT(Query1[[#This Row],[EntryDateTime]])</f>
        <v>44638</v>
      </c>
      <c r="I2505" s="1">
        <f>IF(Query1[[#This Row],[ItemType]]="EVAP KIT SF GEN IV",Query1[[#This Row],[OrderQty]]+I2504,I2504)</f>
        <v>3015</v>
      </c>
      <c r="J2505" s="1">
        <f>IF(Query1[[#This Row],[ItemType]]="EVAP KIT UNIVERSAL",Query1[[#This Row],[OrderQty]]+J2504,J2504)</f>
        <v>1245</v>
      </c>
      <c r="K2505" s="1">
        <f>Query1[[#This Row],[SF Running Total]]+Query1[[#This Row],[UNIV Running Total]]</f>
        <v>4260</v>
      </c>
      <c r="L2505">
        <f>VLOOKUP(Query1[[#This Row],[Description]],'kits to boards'!$B$2:$E$156,2,FALSE)</f>
        <v>830017</v>
      </c>
      <c r="M2505">
        <f>VLOOKUP(Query1[[#This Row],[Description]],'kits to boards'!$B$2:$E$156,3,FALSE)</f>
        <v>830119</v>
      </c>
      <c r="N2505">
        <f>VLOOKUP(Query1[[#This Row],[Description]],'kits to boards'!$B$2:$E$156,4,FALSE)</f>
        <v>830120</v>
      </c>
      <c r="O2505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2506" spans="1:15" x14ac:dyDescent="0.25">
      <c r="A2506" s="1">
        <v>915721</v>
      </c>
      <c r="B2506" s="1" t="s">
        <v>126</v>
      </c>
      <c r="C2506" s="1" t="s">
        <v>127</v>
      </c>
      <c r="D2506" s="2">
        <v>44638.382160879628</v>
      </c>
      <c r="E2506" s="1" t="s">
        <v>8</v>
      </c>
      <c r="F2506" s="1">
        <v>1</v>
      </c>
      <c r="G2506" s="1">
        <v>0</v>
      </c>
      <c r="H2506" s="6">
        <f>INT(Query1[[#This Row],[EntryDateTime]])</f>
        <v>44638</v>
      </c>
      <c r="I2506" s="1">
        <f>IF(Query1[[#This Row],[ItemType]]="EVAP KIT SF GEN IV",Query1[[#This Row],[OrderQty]]+I2505,I2505)</f>
        <v>3016</v>
      </c>
      <c r="J2506" s="1">
        <f>IF(Query1[[#This Row],[ItemType]]="EVAP KIT UNIVERSAL",Query1[[#This Row],[OrderQty]]+J2505,J2505)</f>
        <v>1245</v>
      </c>
      <c r="K2506" s="1">
        <f>Query1[[#This Row],[SF Running Total]]+Query1[[#This Row],[UNIV Running Total]]</f>
        <v>4261</v>
      </c>
      <c r="L2506">
        <f>VLOOKUP(Query1[[#This Row],[Description]],'kits to boards'!$B$2:$E$156,2,FALSE)</f>
        <v>830080</v>
      </c>
      <c r="M2506">
        <f>VLOOKUP(Query1[[#This Row],[Description]],'kits to boards'!$B$2:$E$156,3,FALSE)</f>
        <v>0</v>
      </c>
      <c r="N2506">
        <f>VLOOKUP(Query1[[#This Row],[Description]],'kits to boards'!$B$2:$E$156,4,FALSE)</f>
        <v>0</v>
      </c>
      <c r="O2506" t="str">
        <f>CONCATENATE(Query1[[#This Row],[Description]]," - ",Query1[[#This Row],[MB1]]," - ",Query1[[#This Row],[MB2]]," - ",Query1[[#This Row],[MB3]])</f>
        <v>EVAP KIT 69-70 MUSTANG WO AC  - 830080 - 0 - 0</v>
      </c>
    </row>
    <row r="2507" spans="1:15" x14ac:dyDescent="0.25">
      <c r="A2507" s="1">
        <v>915721</v>
      </c>
      <c r="B2507" s="1" t="s">
        <v>226</v>
      </c>
      <c r="C2507" s="1" t="s">
        <v>227</v>
      </c>
      <c r="D2507" s="2">
        <v>44638.382942939817</v>
      </c>
      <c r="E2507" s="1" t="s">
        <v>8</v>
      </c>
      <c r="F2507" s="1">
        <v>1</v>
      </c>
      <c r="G2507" s="1">
        <v>0</v>
      </c>
      <c r="H2507" s="6">
        <f>INT(Query1[[#This Row],[EntryDateTime]])</f>
        <v>44638</v>
      </c>
      <c r="I2507" s="1">
        <f>IF(Query1[[#This Row],[ItemType]]="EVAP KIT SF GEN IV",Query1[[#This Row],[OrderQty]]+I2506,I2506)</f>
        <v>3017</v>
      </c>
      <c r="J2507" s="1">
        <f>IF(Query1[[#This Row],[ItemType]]="EVAP KIT UNIVERSAL",Query1[[#This Row],[OrderQty]]+J2506,J2506)</f>
        <v>1245</v>
      </c>
      <c r="K2507" s="1">
        <f>Query1[[#This Row],[SF Running Total]]+Query1[[#This Row],[UNIV Running Total]]</f>
        <v>4262</v>
      </c>
      <c r="L2507">
        <f>VLOOKUP(Query1[[#This Row],[Description]],'kits to boards'!$B$2:$E$156,2,FALSE)</f>
        <v>830124</v>
      </c>
      <c r="M2507">
        <f>VLOOKUP(Query1[[#This Row],[Description]],'kits to boards'!$B$2:$E$156,3,FALSE)</f>
        <v>0</v>
      </c>
      <c r="N2507">
        <f>VLOOKUP(Query1[[#This Row],[Description]],'kits to boards'!$B$2:$E$156,4,FALSE)</f>
        <v>0</v>
      </c>
      <c r="O2507" t="str">
        <f>CONCATENATE(Query1[[#This Row],[Description]]," - ",Query1[[#This Row],[MB1]]," - ",Query1[[#This Row],[MB2]]," - ",Query1[[#This Row],[MB3]])</f>
        <v>EVAP KIT 70-72 GTO W/AC - 830124 - 0 - 0</v>
      </c>
    </row>
    <row r="2508" spans="1:15" x14ac:dyDescent="0.25">
      <c r="A2508" s="1">
        <v>915721</v>
      </c>
      <c r="B2508" s="1" t="s">
        <v>32</v>
      </c>
      <c r="C2508" s="1" t="s">
        <v>33</v>
      </c>
      <c r="D2508" s="2">
        <v>44638.383537118054</v>
      </c>
      <c r="E2508" s="1" t="s">
        <v>8</v>
      </c>
      <c r="F2508" s="1">
        <v>2</v>
      </c>
      <c r="G2508" s="1">
        <v>0</v>
      </c>
      <c r="H2508" s="6">
        <f>INT(Query1[[#This Row],[EntryDateTime]])</f>
        <v>44638</v>
      </c>
      <c r="I2508" s="1">
        <f>IF(Query1[[#This Row],[ItemType]]="EVAP KIT SF GEN IV",Query1[[#This Row],[OrderQty]]+I2507,I2507)</f>
        <v>3019</v>
      </c>
      <c r="J2508" s="1">
        <f>IF(Query1[[#This Row],[ItemType]]="EVAP KIT UNIVERSAL",Query1[[#This Row],[OrderQty]]+J2507,J2507)</f>
        <v>1245</v>
      </c>
      <c r="K2508" s="1">
        <f>Query1[[#This Row],[SF Running Total]]+Query1[[#This Row],[UNIV Running Total]]</f>
        <v>4264</v>
      </c>
      <c r="L2508">
        <f>VLOOKUP(Query1[[#This Row],[Description]],'kits to boards'!$B$2:$E$156,2,FALSE)</f>
        <v>830016</v>
      </c>
      <c r="M2508">
        <f>VLOOKUP(Query1[[#This Row],[Description]],'kits to boards'!$B$2:$E$156,3,FALSE)</f>
        <v>0</v>
      </c>
      <c r="N2508">
        <f>VLOOKUP(Query1[[#This Row],[Description]],'kits to boards'!$B$2:$E$156,4,FALSE)</f>
        <v>0</v>
      </c>
      <c r="O2508" t="str">
        <f>CONCATENATE(Query1[[#This Row],[Description]]," - ",Query1[[#This Row],[MB1]]," - ",Query1[[#This Row],[MB2]]," - ",Query1[[#This Row],[MB3]])</f>
        <v>EVAP KIT 67-68 CAMARO/FIREBIRD W/AC - 830016 - 0 - 0</v>
      </c>
    </row>
    <row r="2509" spans="1:15" x14ac:dyDescent="0.25">
      <c r="A2509" s="1">
        <v>915721</v>
      </c>
      <c r="B2509" s="1" t="s">
        <v>160</v>
      </c>
      <c r="C2509" s="1" t="s">
        <v>161</v>
      </c>
      <c r="D2509" s="2">
        <v>44638.384654710651</v>
      </c>
      <c r="E2509" s="1" t="s">
        <v>8</v>
      </c>
      <c r="F2509" s="1">
        <v>1</v>
      </c>
      <c r="G2509" s="1">
        <v>0</v>
      </c>
      <c r="H2509" s="6">
        <f>INT(Query1[[#This Row],[EntryDateTime]])</f>
        <v>44638</v>
      </c>
      <c r="I2509" s="1">
        <f>IF(Query1[[#This Row],[ItemType]]="EVAP KIT SF GEN IV",Query1[[#This Row],[OrderQty]]+I2508,I2508)</f>
        <v>3020</v>
      </c>
      <c r="J2509" s="1">
        <f>IF(Query1[[#This Row],[ItemType]]="EVAP KIT UNIVERSAL",Query1[[#This Row],[OrderQty]]+J2508,J2508)</f>
        <v>1245</v>
      </c>
      <c r="K2509" s="1">
        <f>Query1[[#This Row],[SF Running Total]]+Query1[[#This Row],[UNIV Running Total]]</f>
        <v>4265</v>
      </c>
      <c r="L2509">
        <f>VLOOKUP(Query1[[#This Row],[Description]],'kits to boards'!$B$2:$E$156,2,FALSE)</f>
        <v>830083</v>
      </c>
      <c r="M2509">
        <f>VLOOKUP(Query1[[#This Row],[Description]],'kits to boards'!$B$2:$E$156,3,FALSE)</f>
        <v>0</v>
      </c>
      <c r="N2509">
        <f>VLOOKUP(Query1[[#This Row],[Description]],'kits to boards'!$B$2:$E$156,4,FALSE)</f>
        <v>0</v>
      </c>
      <c r="O2509" t="str">
        <f>CONCATENATE(Query1[[#This Row],[Description]]," - ",Query1[[#This Row],[MB1]]," - ",Query1[[#This Row],[MB2]]," - ",Query1[[#This Row],[MB3]])</f>
        <v>EVAP KIT 70-74 CHALNGR/CUDA WO AC - 830083 - 0 - 0</v>
      </c>
    </row>
    <row r="2510" spans="1:15" x14ac:dyDescent="0.25">
      <c r="A2510" s="1">
        <v>915721</v>
      </c>
      <c r="B2510" s="1" t="s">
        <v>186</v>
      </c>
      <c r="C2510" s="1" t="s">
        <v>187</v>
      </c>
      <c r="D2510" s="2">
        <v>44638.385430555558</v>
      </c>
      <c r="E2510" s="1" t="s">
        <v>8</v>
      </c>
      <c r="F2510" s="1">
        <v>1</v>
      </c>
      <c r="G2510" s="1">
        <v>0</v>
      </c>
      <c r="H2510" s="6">
        <f>INT(Query1[[#This Row],[EntryDateTime]])</f>
        <v>44638</v>
      </c>
      <c r="I2510" s="1">
        <f>IF(Query1[[#This Row],[ItemType]]="EVAP KIT SF GEN IV",Query1[[#This Row],[OrderQty]]+I2509,I2509)</f>
        <v>3021</v>
      </c>
      <c r="J2510" s="1">
        <f>IF(Query1[[#This Row],[ItemType]]="EVAP KIT UNIVERSAL",Query1[[#This Row],[OrderQty]]+J2509,J2509)</f>
        <v>1245</v>
      </c>
      <c r="K2510" s="1">
        <f>Query1[[#This Row],[SF Running Total]]+Query1[[#This Row],[UNIV Running Total]]</f>
        <v>4266</v>
      </c>
      <c r="L2510">
        <f>VLOOKUP(Query1[[#This Row],[Description]],'kits to boards'!$B$2:$E$156,2,FALSE)</f>
        <v>830125</v>
      </c>
      <c r="M2510">
        <f>VLOOKUP(Query1[[#This Row],[Description]],'kits to boards'!$B$2:$E$156,3,FALSE)</f>
        <v>830126</v>
      </c>
      <c r="N2510">
        <f>VLOOKUP(Query1[[#This Row],[Description]],'kits to boards'!$B$2:$E$156,4,FALSE)</f>
        <v>0</v>
      </c>
      <c r="O2510" t="str">
        <f>CONCATENATE(Query1[[#This Row],[Description]]," - ",Query1[[#This Row],[MB1]]," - ",Query1[[#This Row],[MB2]]," - ",Query1[[#This Row],[MB3]])</f>
        <v>EVAP KIT 65-66 IMPALA WO/AC - 830125 - 830126 - 0</v>
      </c>
    </row>
    <row r="2511" spans="1:15" x14ac:dyDescent="0.25">
      <c r="A2511" s="1">
        <v>915721</v>
      </c>
      <c r="B2511" s="1" t="s">
        <v>36</v>
      </c>
      <c r="C2511" s="1" t="s">
        <v>37</v>
      </c>
      <c r="D2511" s="2">
        <v>44638.385996331017</v>
      </c>
      <c r="E2511" s="1" t="s">
        <v>8</v>
      </c>
      <c r="F2511" s="1">
        <v>1</v>
      </c>
      <c r="G2511" s="1">
        <v>0</v>
      </c>
      <c r="H2511" s="6">
        <f>INT(Query1[[#This Row],[EntryDateTime]])</f>
        <v>44638</v>
      </c>
      <c r="I2511" s="1">
        <f>IF(Query1[[#This Row],[ItemType]]="EVAP KIT SF GEN IV",Query1[[#This Row],[OrderQty]]+I2510,I2510)</f>
        <v>3022</v>
      </c>
      <c r="J2511" s="1">
        <f>IF(Query1[[#This Row],[ItemType]]="EVAP KIT UNIVERSAL",Query1[[#This Row],[OrderQty]]+J2510,J2510)</f>
        <v>1245</v>
      </c>
      <c r="K2511" s="1">
        <f>Query1[[#This Row],[SF Running Total]]+Query1[[#This Row],[UNIV Running Total]]</f>
        <v>4267</v>
      </c>
      <c r="L2511">
        <f>VLOOKUP(Query1[[#This Row],[Description]],'kits to boards'!$B$2:$E$156,2,FALSE)</f>
        <v>830015</v>
      </c>
      <c r="M2511">
        <f>VLOOKUP(Query1[[#This Row],[Description]],'kits to boards'!$B$2:$E$156,3,FALSE)</f>
        <v>0</v>
      </c>
      <c r="N2511">
        <f>VLOOKUP(Query1[[#This Row],[Description]],'kits to boards'!$B$2:$E$156,4,FALSE)</f>
        <v>0</v>
      </c>
      <c r="O2511" t="str">
        <f>CONCATENATE(Query1[[#This Row],[Description]]," - ",Query1[[#This Row],[MB1]]," - ",Query1[[#This Row],[MB2]]," - ",Query1[[#This Row],[MB3]])</f>
        <v>EVAP KIT 64-66 CHEV P-UP WO AC W/STD - 830015 - 0 - 0</v>
      </c>
    </row>
    <row r="2512" spans="1:15" x14ac:dyDescent="0.25">
      <c r="A2512" s="1">
        <v>915721</v>
      </c>
      <c r="B2512" s="1" t="s">
        <v>122</v>
      </c>
      <c r="C2512" s="1" t="s">
        <v>123</v>
      </c>
      <c r="D2512" s="2">
        <v>44638.386828009257</v>
      </c>
      <c r="E2512" s="1" t="s">
        <v>8</v>
      </c>
      <c r="F2512" s="1">
        <v>1</v>
      </c>
      <c r="G2512" s="1">
        <v>0</v>
      </c>
      <c r="H2512" s="6">
        <f>INT(Query1[[#This Row],[EntryDateTime]])</f>
        <v>44638</v>
      </c>
      <c r="I2512" s="1">
        <f>IF(Query1[[#This Row],[ItemType]]="EVAP KIT SF GEN IV",Query1[[#This Row],[OrderQty]]+I2511,I2511)</f>
        <v>3023</v>
      </c>
      <c r="J2512" s="1">
        <f>IF(Query1[[#This Row],[ItemType]]="EVAP KIT UNIVERSAL",Query1[[#This Row],[OrderQty]]+J2511,J2511)</f>
        <v>1245</v>
      </c>
      <c r="K2512" s="1">
        <f>Query1[[#This Row],[SF Running Total]]+Query1[[#This Row],[UNIV Running Total]]</f>
        <v>4268</v>
      </c>
      <c r="L2512">
        <f>VLOOKUP(Query1[[#This Row],[Description]],'kits to boards'!$B$2:$E$156,2,FALSE)</f>
        <v>830027</v>
      </c>
      <c r="M2512">
        <f>VLOOKUP(Query1[[#This Row],[Description]],'kits to boards'!$B$2:$E$156,3,FALSE)</f>
        <v>0</v>
      </c>
      <c r="N2512">
        <f>VLOOKUP(Query1[[#This Row],[Description]],'kits to boards'!$B$2:$E$156,4,FALSE)</f>
        <v>0</v>
      </c>
      <c r="O2512" t="str">
        <f>CONCATENATE(Query1[[#This Row],[Description]]," - ",Query1[[#This Row],[MB1]]," - ",Query1[[#This Row],[MB2]]," - ",Query1[[#This Row],[MB3]])</f>
        <v>EVAP KIT 70-72 CUTLASS W/AC - 830027 - 0 - 0</v>
      </c>
    </row>
    <row r="2513" spans="1:15" x14ac:dyDescent="0.25">
      <c r="A2513" s="1">
        <v>915725</v>
      </c>
      <c r="B2513" s="1" t="s">
        <v>14</v>
      </c>
      <c r="C2513" s="1" t="s">
        <v>15</v>
      </c>
      <c r="D2513" s="2">
        <v>44638.391558368057</v>
      </c>
      <c r="E2513" s="1" t="s">
        <v>8</v>
      </c>
      <c r="F2513" s="1">
        <v>1</v>
      </c>
      <c r="G2513" s="1">
        <v>0</v>
      </c>
      <c r="H2513" s="6">
        <f>INT(Query1[[#This Row],[EntryDateTime]])</f>
        <v>44638</v>
      </c>
      <c r="I2513" s="1">
        <f>IF(Query1[[#This Row],[ItemType]]="EVAP KIT SF GEN IV",Query1[[#This Row],[OrderQty]]+I2512,I2512)</f>
        <v>3024</v>
      </c>
      <c r="J2513" s="1">
        <f>IF(Query1[[#This Row],[ItemType]]="EVAP KIT UNIVERSAL",Query1[[#This Row],[OrderQty]]+J2512,J2512)</f>
        <v>1245</v>
      </c>
      <c r="K2513" s="1">
        <f>Query1[[#This Row],[SF Running Total]]+Query1[[#This Row],[UNIV Running Total]]</f>
        <v>4269</v>
      </c>
      <c r="L2513">
        <f>VLOOKUP(Query1[[#This Row],[Description]],'kits to boards'!$B$2:$E$156,2,FALSE)</f>
        <v>830054</v>
      </c>
      <c r="M2513">
        <f>VLOOKUP(Query1[[#This Row],[Description]],'kits to boards'!$B$2:$E$156,3,FALSE)</f>
        <v>0</v>
      </c>
      <c r="N2513">
        <f>VLOOKUP(Query1[[#This Row],[Description]],'kits to boards'!$B$2:$E$156,4,FALSE)</f>
        <v>0</v>
      </c>
      <c r="O2513" t="str">
        <f>CONCATENATE(Query1[[#This Row],[Description]]," - ",Query1[[#This Row],[MB1]]," - ",Query1[[#This Row],[MB2]]," - ",Query1[[#This Row],[MB3]])</f>
        <v>EVAP KIT 55-56 CHEVY - 830054 - 0 - 0</v>
      </c>
    </row>
    <row r="2514" spans="1:15" x14ac:dyDescent="0.25">
      <c r="A2514" s="1">
        <v>915732</v>
      </c>
      <c r="B2514" s="1" t="s">
        <v>62</v>
      </c>
      <c r="C2514" s="1" t="s">
        <v>63</v>
      </c>
      <c r="D2514" s="2">
        <v>44638.406158912039</v>
      </c>
      <c r="E2514" s="1" t="s">
        <v>8</v>
      </c>
      <c r="F2514" s="1">
        <v>1</v>
      </c>
      <c r="G2514" s="1">
        <v>0</v>
      </c>
      <c r="H2514" s="6">
        <f>INT(Query1[[#This Row],[EntryDateTime]])</f>
        <v>44638</v>
      </c>
      <c r="I2514" s="1">
        <f>IF(Query1[[#This Row],[ItemType]]="EVAP KIT SF GEN IV",Query1[[#This Row],[OrderQty]]+I2513,I2513)</f>
        <v>3025</v>
      </c>
      <c r="J2514" s="1">
        <f>IF(Query1[[#This Row],[ItemType]]="EVAP KIT UNIVERSAL",Query1[[#This Row],[OrderQty]]+J2513,J2513)</f>
        <v>1245</v>
      </c>
      <c r="K2514" s="1">
        <f>Query1[[#This Row],[SF Running Total]]+Query1[[#This Row],[UNIV Running Total]]</f>
        <v>4270</v>
      </c>
      <c r="L2514">
        <f>VLOOKUP(Query1[[#This Row],[Description]],'kits to boards'!$B$2:$E$156,2,FALSE)</f>
        <v>830079</v>
      </c>
      <c r="M2514">
        <f>VLOOKUP(Query1[[#This Row],[Description]],'kits to boards'!$B$2:$E$156,3,FALSE)</f>
        <v>830046</v>
      </c>
      <c r="N2514">
        <f>VLOOKUP(Query1[[#This Row],[Description]],'kits to boards'!$B$2:$E$156,4,FALSE)</f>
        <v>0</v>
      </c>
      <c r="O2514" t="str">
        <f>CONCATENATE(Query1[[#This Row],[Description]]," - ",Query1[[#This Row],[MB1]]," - ",Query1[[#This Row],[MB2]]," - ",Query1[[#This Row],[MB3]])</f>
        <v>EVAP KIT 67-68 MUSTANG/COUGAR WO AC - 830079 - 830046 - 0</v>
      </c>
    </row>
    <row r="2515" spans="1:15" x14ac:dyDescent="0.25">
      <c r="A2515" s="1">
        <v>915733</v>
      </c>
      <c r="B2515" s="1" t="s">
        <v>62</v>
      </c>
      <c r="C2515" s="1" t="s">
        <v>63</v>
      </c>
      <c r="D2515" s="2">
        <v>44638.407968171297</v>
      </c>
      <c r="E2515" s="1" t="s">
        <v>8</v>
      </c>
      <c r="F2515" s="1">
        <v>1</v>
      </c>
      <c r="G2515" s="1">
        <v>0</v>
      </c>
      <c r="H2515" s="6">
        <f>INT(Query1[[#This Row],[EntryDateTime]])</f>
        <v>44638</v>
      </c>
      <c r="I2515" s="1">
        <f>IF(Query1[[#This Row],[ItemType]]="EVAP KIT SF GEN IV",Query1[[#This Row],[OrderQty]]+I2514,I2514)</f>
        <v>3026</v>
      </c>
      <c r="J2515" s="1">
        <f>IF(Query1[[#This Row],[ItemType]]="EVAP KIT UNIVERSAL",Query1[[#This Row],[OrderQty]]+J2514,J2514)</f>
        <v>1245</v>
      </c>
      <c r="K2515" s="1">
        <f>Query1[[#This Row],[SF Running Total]]+Query1[[#This Row],[UNIV Running Total]]</f>
        <v>4271</v>
      </c>
      <c r="L2515">
        <f>VLOOKUP(Query1[[#This Row],[Description]],'kits to boards'!$B$2:$E$156,2,FALSE)</f>
        <v>830079</v>
      </c>
      <c r="M2515">
        <f>VLOOKUP(Query1[[#This Row],[Description]],'kits to boards'!$B$2:$E$156,3,FALSE)</f>
        <v>830046</v>
      </c>
      <c r="N2515">
        <f>VLOOKUP(Query1[[#This Row],[Description]],'kits to boards'!$B$2:$E$156,4,FALSE)</f>
        <v>0</v>
      </c>
      <c r="O2515" t="str">
        <f>CONCATENATE(Query1[[#This Row],[Description]]," - ",Query1[[#This Row],[MB1]]," - ",Query1[[#This Row],[MB2]]," - ",Query1[[#This Row],[MB3]])</f>
        <v>EVAP KIT 67-68 MUSTANG/COUGAR WO AC - 830079 - 830046 - 0</v>
      </c>
    </row>
    <row r="2516" spans="1:15" x14ac:dyDescent="0.25">
      <c r="A2516" s="1">
        <v>915735</v>
      </c>
      <c r="B2516" s="1" t="s">
        <v>62</v>
      </c>
      <c r="C2516" s="1" t="s">
        <v>63</v>
      </c>
      <c r="D2516" s="2">
        <v>44638.409087384258</v>
      </c>
      <c r="E2516" s="1" t="s">
        <v>8</v>
      </c>
      <c r="F2516" s="1">
        <v>1</v>
      </c>
      <c r="G2516" s="1">
        <v>0</v>
      </c>
      <c r="H2516" s="6">
        <f>INT(Query1[[#This Row],[EntryDateTime]])</f>
        <v>44638</v>
      </c>
      <c r="I2516" s="1">
        <f>IF(Query1[[#This Row],[ItemType]]="EVAP KIT SF GEN IV",Query1[[#This Row],[OrderQty]]+I2515,I2515)</f>
        <v>3027</v>
      </c>
      <c r="J2516" s="1">
        <f>IF(Query1[[#This Row],[ItemType]]="EVAP KIT UNIVERSAL",Query1[[#This Row],[OrderQty]]+J2515,J2515)</f>
        <v>1245</v>
      </c>
      <c r="K2516" s="1">
        <f>Query1[[#This Row],[SF Running Total]]+Query1[[#This Row],[UNIV Running Total]]</f>
        <v>4272</v>
      </c>
      <c r="L2516">
        <f>VLOOKUP(Query1[[#This Row],[Description]],'kits to boards'!$B$2:$E$156,2,FALSE)</f>
        <v>830079</v>
      </c>
      <c r="M2516">
        <f>VLOOKUP(Query1[[#This Row],[Description]],'kits to boards'!$B$2:$E$156,3,FALSE)</f>
        <v>830046</v>
      </c>
      <c r="N2516">
        <f>VLOOKUP(Query1[[#This Row],[Description]],'kits to boards'!$B$2:$E$156,4,FALSE)</f>
        <v>0</v>
      </c>
      <c r="O2516" t="str">
        <f>CONCATENATE(Query1[[#This Row],[Description]]," - ",Query1[[#This Row],[MB1]]," - ",Query1[[#This Row],[MB2]]," - ",Query1[[#This Row],[MB3]])</f>
        <v>EVAP KIT 67-68 MUSTANG/COUGAR WO AC - 830079 - 830046 - 0</v>
      </c>
    </row>
    <row r="2517" spans="1:15" x14ac:dyDescent="0.25">
      <c r="A2517" s="1">
        <v>915739</v>
      </c>
      <c r="B2517" s="1" t="s">
        <v>150</v>
      </c>
      <c r="C2517" s="1" t="s">
        <v>151</v>
      </c>
      <c r="D2517" s="2">
        <v>44638.423349155091</v>
      </c>
      <c r="E2517" s="1" t="s">
        <v>8</v>
      </c>
      <c r="F2517" s="1">
        <v>1</v>
      </c>
      <c r="G2517" s="1">
        <v>0</v>
      </c>
      <c r="H2517" s="6">
        <f>INT(Query1[[#This Row],[EntryDateTime]])</f>
        <v>44638</v>
      </c>
      <c r="I2517" s="1">
        <f>IF(Query1[[#This Row],[ItemType]]="EVAP KIT SF GEN IV",Query1[[#This Row],[OrderQty]]+I2516,I2516)</f>
        <v>3028</v>
      </c>
      <c r="J2517" s="1">
        <f>IF(Query1[[#This Row],[ItemType]]="EVAP KIT UNIVERSAL",Query1[[#This Row],[OrderQty]]+J2516,J2516)</f>
        <v>1245</v>
      </c>
      <c r="K2517" s="1">
        <f>Query1[[#This Row],[SF Running Total]]+Query1[[#This Row],[UNIV Running Total]]</f>
        <v>4273</v>
      </c>
      <c r="L2517">
        <f>VLOOKUP(Query1[[#This Row],[Description]],'kits to boards'!$B$2:$E$156,2,FALSE)</f>
        <v>830010</v>
      </c>
      <c r="M2517">
        <f>VLOOKUP(Query1[[#This Row],[Description]],'kits to boards'!$B$2:$E$156,3,FALSE)</f>
        <v>0</v>
      </c>
      <c r="N2517">
        <f>VLOOKUP(Query1[[#This Row],[Description]],'kits to boards'!$B$2:$E$156,4,FALSE)</f>
        <v>0</v>
      </c>
      <c r="O2517" t="str">
        <f>CONCATENATE(Query1[[#This Row],[Description]]," - ",Query1[[#This Row],[MB1]]," - ",Query1[[#This Row],[MB2]]," - ",Query1[[#This Row],[MB3]])</f>
        <v>EVAP KIT 70-72 MONTE CARLO W/AC - 830010 - 0 - 0</v>
      </c>
    </row>
    <row r="2518" spans="1:15" x14ac:dyDescent="0.25">
      <c r="A2518" s="1">
        <v>915742</v>
      </c>
      <c r="B2518" s="1" t="s">
        <v>90</v>
      </c>
      <c r="C2518" s="1" t="s">
        <v>91</v>
      </c>
      <c r="D2518" s="2">
        <v>44638.432280821762</v>
      </c>
      <c r="E2518" s="1" t="s">
        <v>8</v>
      </c>
      <c r="F2518" s="1">
        <v>1</v>
      </c>
      <c r="G2518" s="1">
        <v>0</v>
      </c>
      <c r="H2518" s="6">
        <f>INT(Query1[[#This Row],[EntryDateTime]])</f>
        <v>44638</v>
      </c>
      <c r="I2518" s="1">
        <f>IF(Query1[[#This Row],[ItemType]]="EVAP KIT SF GEN IV",Query1[[#This Row],[OrderQty]]+I2517,I2517)</f>
        <v>3029</v>
      </c>
      <c r="J2518" s="1">
        <f>IF(Query1[[#This Row],[ItemType]]="EVAP KIT UNIVERSAL",Query1[[#This Row],[OrderQty]]+J2517,J2517)</f>
        <v>1245</v>
      </c>
      <c r="K2518" s="1">
        <f>Query1[[#This Row],[SF Running Total]]+Query1[[#This Row],[UNIV Running Total]]</f>
        <v>4274</v>
      </c>
      <c r="L2518">
        <f>VLOOKUP(Query1[[#This Row],[Description]],'kits to boards'!$B$2:$E$156,2,FALSE)</f>
        <v>830105</v>
      </c>
      <c r="M2518">
        <f>VLOOKUP(Query1[[#This Row],[Description]],'kits to boards'!$B$2:$E$156,3,FALSE)</f>
        <v>830106</v>
      </c>
      <c r="N2518">
        <f>VLOOKUP(Query1[[#This Row],[Description]],'kits to boards'!$B$2:$E$156,4,FALSE)</f>
        <v>0</v>
      </c>
      <c r="O2518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2519" spans="1:15" x14ac:dyDescent="0.25">
      <c r="A2519" s="1">
        <v>915744</v>
      </c>
      <c r="B2519" s="1" t="s">
        <v>40</v>
      </c>
      <c r="C2519" s="1" t="s">
        <v>41</v>
      </c>
      <c r="D2519" s="2">
        <v>44638.435776770835</v>
      </c>
      <c r="E2519" s="1" t="s">
        <v>8</v>
      </c>
      <c r="F2519" s="1">
        <v>1</v>
      </c>
      <c r="G2519" s="1">
        <v>0</v>
      </c>
      <c r="H2519" s="6">
        <f>INT(Query1[[#This Row],[EntryDateTime]])</f>
        <v>44638</v>
      </c>
      <c r="I2519" s="1">
        <f>IF(Query1[[#This Row],[ItemType]]="EVAP KIT SF GEN IV",Query1[[#This Row],[OrderQty]]+I2518,I2518)</f>
        <v>3030</v>
      </c>
      <c r="J2519" s="1">
        <f>IF(Query1[[#This Row],[ItemType]]="EVAP KIT UNIVERSAL",Query1[[#This Row],[OrderQty]]+J2518,J2518)</f>
        <v>1245</v>
      </c>
      <c r="K2519" s="1">
        <f>Query1[[#This Row],[SF Running Total]]+Query1[[#This Row],[UNIV Running Total]]</f>
        <v>4275</v>
      </c>
      <c r="L2519">
        <f>VLOOKUP(Query1[[#This Row],[Description]],'kits to boards'!$B$2:$E$156,2,FALSE)</f>
        <v>830024</v>
      </c>
      <c r="M2519">
        <f>VLOOKUP(Query1[[#This Row],[Description]],'kits to boards'!$B$2:$E$156,3,FALSE)</f>
        <v>0</v>
      </c>
      <c r="N2519">
        <f>VLOOKUP(Query1[[#This Row],[Description]],'kits to boards'!$B$2:$E$156,4,FALSE)</f>
        <v>0</v>
      </c>
      <c r="O2519" t="str">
        <f>CONCATENATE(Query1[[#This Row],[Description]]," - ",Query1[[#This Row],[MB1]]," - ",Query1[[#This Row],[MB2]]," - ",Query1[[#This Row],[MB3]])</f>
        <v>EVAP KIT 79-81 CAMARO W/AC - 830024 - 0 - 0</v>
      </c>
    </row>
    <row r="2520" spans="1:15" x14ac:dyDescent="0.25">
      <c r="A2520" s="1">
        <v>915747</v>
      </c>
      <c r="B2520" s="1" t="s">
        <v>42</v>
      </c>
      <c r="C2520" s="1" t="s">
        <v>43</v>
      </c>
      <c r="D2520" s="2">
        <v>44638.442274537039</v>
      </c>
      <c r="E2520" s="1" t="s">
        <v>8</v>
      </c>
      <c r="F2520" s="1">
        <v>1</v>
      </c>
      <c r="G2520" s="1">
        <v>0</v>
      </c>
      <c r="H2520" s="6">
        <f>INT(Query1[[#This Row],[EntryDateTime]])</f>
        <v>44638</v>
      </c>
      <c r="I2520" s="1">
        <f>IF(Query1[[#This Row],[ItemType]]="EVAP KIT SF GEN IV",Query1[[#This Row],[OrderQty]]+I2519,I2519)</f>
        <v>3031</v>
      </c>
      <c r="J2520" s="1">
        <f>IF(Query1[[#This Row],[ItemType]]="EVAP KIT UNIVERSAL",Query1[[#This Row],[OrderQty]]+J2519,J2519)</f>
        <v>1245</v>
      </c>
      <c r="K2520" s="1">
        <f>Query1[[#This Row],[SF Running Total]]+Query1[[#This Row],[UNIV Running Total]]</f>
        <v>4276</v>
      </c>
      <c r="L2520">
        <f>VLOOKUP(Query1[[#This Row],[Description]],'kits to boards'!$B$2:$E$156,2,FALSE)</f>
        <v>830014</v>
      </c>
      <c r="M2520">
        <f>VLOOKUP(Query1[[#This Row],[Description]],'kits to boards'!$B$2:$E$156,3,FALSE)</f>
        <v>0</v>
      </c>
      <c r="N2520">
        <f>VLOOKUP(Query1[[#This Row],[Description]],'kits to boards'!$B$2:$E$156,4,FALSE)</f>
        <v>0</v>
      </c>
      <c r="O2520" t="str">
        <f>CONCATENATE(Query1[[#This Row],[Description]]," - ",Query1[[#This Row],[MB1]]," - ",Query1[[#This Row],[MB2]]," - ",Query1[[#This Row],[MB3]])</f>
        <v>EVAP KIT 67-72 CHEV P-UP WO AC - 830014 - 0 - 0</v>
      </c>
    </row>
    <row r="2521" spans="1:15" x14ac:dyDescent="0.25">
      <c r="A2521" s="1">
        <v>915750</v>
      </c>
      <c r="B2521" s="1" t="s">
        <v>26</v>
      </c>
      <c r="C2521" s="1" t="s">
        <v>27</v>
      </c>
      <c r="D2521" s="2">
        <v>44638.450341585645</v>
      </c>
      <c r="E2521" s="1" t="s">
        <v>8</v>
      </c>
      <c r="F2521" s="1">
        <v>1</v>
      </c>
      <c r="G2521" s="1">
        <v>0</v>
      </c>
      <c r="H2521" s="6">
        <f>INT(Query1[[#This Row],[EntryDateTime]])</f>
        <v>44638</v>
      </c>
      <c r="I2521" s="1">
        <f>IF(Query1[[#This Row],[ItemType]]="EVAP KIT SF GEN IV",Query1[[#This Row],[OrderQty]]+I2520,I2520)</f>
        <v>3032</v>
      </c>
      <c r="J2521" s="1">
        <f>IF(Query1[[#This Row],[ItemType]]="EVAP KIT UNIVERSAL",Query1[[#This Row],[OrderQty]]+J2520,J2520)</f>
        <v>1245</v>
      </c>
      <c r="K2521" s="1">
        <f>Query1[[#This Row],[SF Running Total]]+Query1[[#This Row],[UNIV Running Total]]</f>
        <v>4277</v>
      </c>
      <c r="L2521">
        <f>VLOOKUP(Query1[[#This Row],[Description]],'kits to boards'!$B$2:$E$156,2,FALSE)</f>
        <v>830013</v>
      </c>
      <c r="M2521">
        <f>VLOOKUP(Query1[[#This Row],[Description]],'kits to boards'!$B$2:$E$156,3,FALSE)</f>
        <v>0</v>
      </c>
      <c r="N2521">
        <f>VLOOKUP(Query1[[#This Row],[Description]],'kits to boards'!$B$2:$E$156,4,FALSE)</f>
        <v>0</v>
      </c>
      <c r="O2521" t="str">
        <f>CONCATENATE(Query1[[#This Row],[Description]]," - ",Query1[[#This Row],[MB1]]," - ",Query1[[#This Row],[MB2]]," - ",Query1[[#This Row],[MB3]])</f>
        <v>EVAP KIT 67-72 CHEV P-UP W/AC - 830013 - 0 - 0</v>
      </c>
    </row>
    <row r="2522" spans="1:15" x14ac:dyDescent="0.25">
      <c r="A2522" s="1">
        <v>915757</v>
      </c>
      <c r="B2522" s="1" t="s">
        <v>279</v>
      </c>
      <c r="C2522" s="1" t="s">
        <v>280</v>
      </c>
      <c r="D2522" s="2">
        <v>44638.461285451391</v>
      </c>
      <c r="E2522" s="1" t="s">
        <v>8</v>
      </c>
      <c r="F2522" s="1">
        <v>1</v>
      </c>
      <c r="G2522" s="1">
        <v>0</v>
      </c>
      <c r="H2522" s="6">
        <f>INT(Query1[[#This Row],[EntryDateTime]])</f>
        <v>44638</v>
      </c>
      <c r="I2522" s="1">
        <f>IF(Query1[[#This Row],[ItemType]]="EVAP KIT SF GEN IV",Query1[[#This Row],[OrderQty]]+I2521,I2521)</f>
        <v>3033</v>
      </c>
      <c r="J2522" s="1">
        <f>IF(Query1[[#This Row],[ItemType]]="EVAP KIT UNIVERSAL",Query1[[#This Row],[OrderQty]]+J2521,J2521)</f>
        <v>1245</v>
      </c>
      <c r="K2522" s="1">
        <f>Query1[[#This Row],[SF Running Total]]+Query1[[#This Row],[UNIV Running Total]]</f>
        <v>4278</v>
      </c>
      <c r="L2522">
        <f>VLOOKUP(Query1[[#This Row],[Description]],'kits to boards'!$B$2:$E$156,2,FALSE)</f>
        <v>830067</v>
      </c>
      <c r="M2522">
        <f>VLOOKUP(Query1[[#This Row],[Description]],'kits to boards'!$B$2:$E$156,3,FALSE)</f>
        <v>0</v>
      </c>
      <c r="N2522">
        <f>VLOOKUP(Query1[[#This Row],[Description]],'kits to boards'!$B$2:$E$156,4,FALSE)</f>
        <v>0</v>
      </c>
      <c r="O2522" t="str">
        <f>CONCATENATE(Query1[[#This Row],[Description]]," - ",Query1[[#This Row],[MB1]]," - ",Query1[[#This Row],[MB2]]," - ",Query1[[#This Row],[MB3]])</f>
        <v>EVAP KIT 59-60 CHEV CAR 2-LEVER - 830067 - 0 - 0</v>
      </c>
    </row>
    <row r="2523" spans="1:15" x14ac:dyDescent="0.25">
      <c r="A2523" s="1">
        <v>915764</v>
      </c>
      <c r="B2523" s="1" t="s">
        <v>164</v>
      </c>
      <c r="C2523" s="1" t="s">
        <v>165</v>
      </c>
      <c r="D2523" s="2">
        <v>44638.476102858796</v>
      </c>
      <c r="E2523" s="1" t="s">
        <v>8</v>
      </c>
      <c r="F2523" s="1">
        <v>1</v>
      </c>
      <c r="G2523" s="1">
        <v>0</v>
      </c>
      <c r="H2523" s="6">
        <f>INT(Query1[[#This Row],[EntryDateTime]])</f>
        <v>44638</v>
      </c>
      <c r="I2523" s="1">
        <f>IF(Query1[[#This Row],[ItemType]]="EVAP KIT SF GEN IV",Query1[[#This Row],[OrderQty]]+I2522,I2522)</f>
        <v>3034</v>
      </c>
      <c r="J2523" s="1">
        <f>IF(Query1[[#This Row],[ItemType]]="EVAP KIT UNIVERSAL",Query1[[#This Row],[OrderQty]]+J2522,J2522)</f>
        <v>1245</v>
      </c>
      <c r="K2523" s="1">
        <f>Query1[[#This Row],[SF Running Total]]+Query1[[#This Row],[UNIV Running Total]]</f>
        <v>4279</v>
      </c>
      <c r="L2523">
        <f>VLOOKUP(Query1[[#This Row],[Description]],'kits to boards'!$B$2:$E$156,2,FALSE)</f>
        <v>830083</v>
      </c>
      <c r="M2523">
        <f>VLOOKUP(Query1[[#This Row],[Description]],'kits to boards'!$B$2:$E$156,3,FALSE)</f>
        <v>0</v>
      </c>
      <c r="N2523">
        <f>VLOOKUP(Query1[[#This Row],[Description]],'kits to boards'!$B$2:$E$156,4,FALSE)</f>
        <v>0</v>
      </c>
      <c r="O2523" t="str">
        <f>CONCATENATE(Query1[[#This Row],[Description]]," - ",Query1[[#This Row],[MB1]]," - ",Query1[[#This Row],[MB2]]," - ",Query1[[#This Row],[MB3]])</f>
        <v>EVAP KIT 70-74 CHALNGR/CUDA W/AC - 830083 - 0 - 0</v>
      </c>
    </row>
    <row r="2524" spans="1:15" x14ac:dyDescent="0.25">
      <c r="A2524" s="1">
        <v>913446</v>
      </c>
      <c r="B2524" s="1" t="s">
        <v>94</v>
      </c>
      <c r="C2524" s="1" t="s">
        <v>95</v>
      </c>
      <c r="D2524" s="2">
        <v>44638.476309027777</v>
      </c>
      <c r="E2524" s="1" t="s">
        <v>8</v>
      </c>
      <c r="F2524" s="1">
        <v>1</v>
      </c>
      <c r="G2524" s="1">
        <v>0</v>
      </c>
      <c r="H2524" s="6">
        <f>INT(Query1[[#This Row],[EntryDateTime]])</f>
        <v>44638</v>
      </c>
      <c r="I2524" s="1">
        <f>IF(Query1[[#This Row],[ItemType]]="EVAP KIT SF GEN IV",Query1[[#This Row],[OrderQty]]+I2523,I2523)</f>
        <v>3035</v>
      </c>
      <c r="J2524" s="1">
        <f>IF(Query1[[#This Row],[ItemType]]="EVAP KIT UNIVERSAL",Query1[[#This Row],[OrderQty]]+J2523,J2523)</f>
        <v>1245</v>
      </c>
      <c r="K2524" s="1">
        <f>Query1[[#This Row],[SF Running Total]]+Query1[[#This Row],[UNIV Running Total]]</f>
        <v>4280</v>
      </c>
      <c r="L2524">
        <f>VLOOKUP(Query1[[#This Row],[Description]],'kits to boards'!$B$2:$E$156,2,FALSE)</f>
        <v>830076</v>
      </c>
      <c r="M2524">
        <f>VLOOKUP(Query1[[#This Row],[Description]],'kits to boards'!$B$2:$E$156,3,FALSE)</f>
        <v>0</v>
      </c>
      <c r="N2524">
        <f>VLOOKUP(Query1[[#This Row],[Description]],'kits to boards'!$B$2:$E$156,4,FALSE)</f>
        <v>0</v>
      </c>
      <c r="O2524" t="str">
        <f>CONCATENATE(Query1[[#This Row],[Description]]," - ",Query1[[#This Row],[MB1]]," - ",Query1[[#This Row],[MB2]]," - ",Query1[[#This Row],[MB3]])</f>
        <v>EVAP KIT 64 1/2- 66 MUSTANG  - 830076 - 0 - 0</v>
      </c>
    </row>
    <row r="2525" spans="1:15" x14ac:dyDescent="0.25">
      <c r="A2525" s="1">
        <v>915767</v>
      </c>
      <c r="B2525" s="1" t="s">
        <v>52</v>
      </c>
      <c r="C2525" s="1" t="s">
        <v>53</v>
      </c>
      <c r="D2525" s="2">
        <v>44638.487205752317</v>
      </c>
      <c r="E2525" s="1" t="s">
        <v>8</v>
      </c>
      <c r="F2525" s="1">
        <v>1</v>
      </c>
      <c r="G2525" s="1">
        <v>0</v>
      </c>
      <c r="H2525" s="6">
        <f>INT(Query1[[#This Row],[EntryDateTime]])</f>
        <v>44638</v>
      </c>
      <c r="I2525" s="1">
        <f>IF(Query1[[#This Row],[ItemType]]="EVAP KIT SF GEN IV",Query1[[#This Row],[OrderQty]]+I2524,I2524)</f>
        <v>3036</v>
      </c>
      <c r="J2525" s="1">
        <f>IF(Query1[[#This Row],[ItemType]]="EVAP KIT UNIVERSAL",Query1[[#This Row],[OrderQty]]+J2524,J2524)</f>
        <v>1245</v>
      </c>
      <c r="K2525" s="1">
        <f>Query1[[#This Row],[SF Running Total]]+Query1[[#This Row],[UNIV Running Total]]</f>
        <v>4281</v>
      </c>
      <c r="L2525">
        <f>VLOOKUP(Query1[[#This Row],[Description]],'kits to boards'!$B$2:$E$156,2,FALSE)</f>
        <v>830017</v>
      </c>
      <c r="M2525">
        <f>VLOOKUP(Query1[[#This Row],[Description]],'kits to boards'!$B$2:$E$156,3,FALSE)</f>
        <v>830119</v>
      </c>
      <c r="N2525">
        <f>VLOOKUP(Query1[[#This Row],[Description]],'kits to boards'!$B$2:$E$156,4,FALSE)</f>
        <v>830120</v>
      </c>
      <c r="O2525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2526" spans="1:15" x14ac:dyDescent="0.25">
      <c r="A2526" s="1">
        <v>915763</v>
      </c>
      <c r="B2526" s="1" t="s">
        <v>42</v>
      </c>
      <c r="C2526" s="1" t="s">
        <v>43</v>
      </c>
      <c r="D2526" s="2">
        <v>44638.520507175926</v>
      </c>
      <c r="E2526" s="1" t="s">
        <v>8</v>
      </c>
      <c r="F2526" s="1">
        <v>1</v>
      </c>
      <c r="G2526" s="1">
        <v>0</v>
      </c>
      <c r="H2526" s="6">
        <f>INT(Query1[[#This Row],[EntryDateTime]])</f>
        <v>44638</v>
      </c>
      <c r="I2526" s="1">
        <f>IF(Query1[[#This Row],[ItemType]]="EVAP KIT SF GEN IV",Query1[[#This Row],[OrderQty]]+I2525,I2525)</f>
        <v>3037</v>
      </c>
      <c r="J2526" s="1">
        <f>IF(Query1[[#This Row],[ItemType]]="EVAP KIT UNIVERSAL",Query1[[#This Row],[OrderQty]]+J2525,J2525)</f>
        <v>1245</v>
      </c>
      <c r="K2526" s="1">
        <f>Query1[[#This Row],[SF Running Total]]+Query1[[#This Row],[UNIV Running Total]]</f>
        <v>4282</v>
      </c>
      <c r="L2526">
        <f>VLOOKUP(Query1[[#This Row],[Description]],'kits to boards'!$B$2:$E$156,2,FALSE)</f>
        <v>830014</v>
      </c>
      <c r="M2526">
        <f>VLOOKUP(Query1[[#This Row],[Description]],'kits to boards'!$B$2:$E$156,3,FALSE)</f>
        <v>0</v>
      </c>
      <c r="N2526">
        <f>VLOOKUP(Query1[[#This Row],[Description]],'kits to boards'!$B$2:$E$156,4,FALSE)</f>
        <v>0</v>
      </c>
      <c r="O2526" t="str">
        <f>CONCATENATE(Query1[[#This Row],[Description]]," - ",Query1[[#This Row],[MB1]]," - ",Query1[[#This Row],[MB2]]," - ",Query1[[#This Row],[MB3]])</f>
        <v>EVAP KIT 67-72 CHEV P-UP WO AC - 830014 - 0 - 0</v>
      </c>
    </row>
    <row r="2527" spans="1:15" x14ac:dyDescent="0.25">
      <c r="A2527" s="1">
        <v>915778</v>
      </c>
      <c r="B2527" s="1" t="s">
        <v>86</v>
      </c>
      <c r="C2527" s="1" t="s">
        <v>87</v>
      </c>
      <c r="D2527" s="2">
        <v>44638.532147256941</v>
      </c>
      <c r="E2527" s="1" t="s">
        <v>8</v>
      </c>
      <c r="F2527" s="1">
        <v>1</v>
      </c>
      <c r="G2527" s="1">
        <v>0</v>
      </c>
      <c r="H2527" s="6">
        <f>INT(Query1[[#This Row],[EntryDateTime]])</f>
        <v>44638</v>
      </c>
      <c r="I2527" s="1">
        <f>IF(Query1[[#This Row],[ItemType]]="EVAP KIT SF GEN IV",Query1[[#This Row],[OrderQty]]+I2526,I2526)</f>
        <v>3038</v>
      </c>
      <c r="J2527" s="1">
        <f>IF(Query1[[#This Row],[ItemType]]="EVAP KIT UNIVERSAL",Query1[[#This Row],[OrderQty]]+J2526,J2526)</f>
        <v>1245</v>
      </c>
      <c r="K2527" s="1">
        <f>Query1[[#This Row],[SF Running Total]]+Query1[[#This Row],[UNIV Running Total]]</f>
        <v>4283</v>
      </c>
      <c r="L2527">
        <f>VLOOKUP(Query1[[#This Row],[Description]],'kits to boards'!$B$2:$E$156,2,FALSE)</f>
        <v>830048</v>
      </c>
      <c r="M2527">
        <f>VLOOKUP(Query1[[#This Row],[Description]],'kits to boards'!$B$2:$E$156,3,FALSE)</f>
        <v>0</v>
      </c>
      <c r="N2527">
        <f>VLOOKUP(Query1[[#This Row],[Description]],'kits to boards'!$B$2:$E$156,4,FALSE)</f>
        <v>0</v>
      </c>
      <c r="O2527" t="str">
        <f>CONCATENATE(Query1[[#This Row],[Description]]," - ",Query1[[#This Row],[MB1]]," - ",Query1[[#This Row],[MB2]]," - ",Query1[[#This Row],[MB3]])</f>
        <v>EVAP KIT 66-67 NOVA - 830048 - 0 - 0</v>
      </c>
    </row>
    <row r="2528" spans="1:15" x14ac:dyDescent="0.25">
      <c r="A2528" s="1">
        <v>915780</v>
      </c>
      <c r="B2528" s="1" t="s">
        <v>16</v>
      </c>
      <c r="C2528" s="1" t="s">
        <v>17</v>
      </c>
      <c r="D2528" s="2">
        <v>44638.535611261577</v>
      </c>
      <c r="E2528" s="1" t="s">
        <v>8</v>
      </c>
      <c r="F2528" s="1">
        <v>1</v>
      </c>
      <c r="G2528" s="1">
        <v>0</v>
      </c>
      <c r="H2528" s="6">
        <f>INT(Query1[[#This Row],[EntryDateTime]])</f>
        <v>44638</v>
      </c>
      <c r="I2528" s="1">
        <f>IF(Query1[[#This Row],[ItemType]]="EVAP KIT SF GEN IV",Query1[[#This Row],[OrderQty]]+I2527,I2527)</f>
        <v>3039</v>
      </c>
      <c r="J2528" s="1">
        <f>IF(Query1[[#This Row],[ItemType]]="EVAP KIT UNIVERSAL",Query1[[#This Row],[OrderQty]]+J2527,J2527)</f>
        <v>1245</v>
      </c>
      <c r="K2528" s="1">
        <f>Query1[[#This Row],[SF Running Total]]+Query1[[#This Row],[UNIV Running Total]]</f>
        <v>4284</v>
      </c>
      <c r="L2528">
        <f>VLOOKUP(Query1[[#This Row],[Description]],'kits to boards'!$B$2:$E$156,2,FALSE)</f>
        <v>830061</v>
      </c>
      <c r="M2528">
        <f>VLOOKUP(Query1[[#This Row],[Description]],'kits to boards'!$B$2:$E$156,3,FALSE)</f>
        <v>0</v>
      </c>
      <c r="N2528">
        <f>VLOOKUP(Query1[[#This Row],[Description]],'kits to boards'!$B$2:$E$156,4,FALSE)</f>
        <v>0</v>
      </c>
      <c r="O2528" t="str">
        <f>CONCATENATE(Query1[[#This Row],[Description]]," - ",Query1[[#This Row],[MB1]]," - ",Query1[[#This Row],[MB2]]," - ",Query1[[#This Row],[MB3]])</f>
        <v>EVAP KIT 68-69 CHEVELLE W/AC - 830061 - 0 - 0</v>
      </c>
    </row>
    <row r="2529" spans="1:15" x14ac:dyDescent="0.25">
      <c r="A2529" s="1">
        <v>915768</v>
      </c>
      <c r="B2529" s="1" t="s">
        <v>52</v>
      </c>
      <c r="C2529" s="1" t="s">
        <v>53</v>
      </c>
      <c r="D2529" s="2">
        <v>44638.544734224539</v>
      </c>
      <c r="E2529" s="1" t="s">
        <v>8</v>
      </c>
      <c r="F2529" s="1">
        <v>1</v>
      </c>
      <c r="G2529" s="1">
        <v>0</v>
      </c>
      <c r="H2529" s="6">
        <f>INT(Query1[[#This Row],[EntryDateTime]])</f>
        <v>44638</v>
      </c>
      <c r="I2529" s="1">
        <f>IF(Query1[[#This Row],[ItemType]]="EVAP KIT SF GEN IV",Query1[[#This Row],[OrderQty]]+I2528,I2528)</f>
        <v>3040</v>
      </c>
      <c r="J2529" s="1">
        <f>IF(Query1[[#This Row],[ItemType]]="EVAP KIT UNIVERSAL",Query1[[#This Row],[OrderQty]]+J2528,J2528)</f>
        <v>1245</v>
      </c>
      <c r="K2529" s="1">
        <f>Query1[[#This Row],[SF Running Total]]+Query1[[#This Row],[UNIV Running Total]]</f>
        <v>4285</v>
      </c>
      <c r="L2529">
        <f>VLOOKUP(Query1[[#This Row],[Description]],'kits to boards'!$B$2:$E$156,2,FALSE)</f>
        <v>830017</v>
      </c>
      <c r="M2529">
        <f>VLOOKUP(Query1[[#This Row],[Description]],'kits to boards'!$B$2:$E$156,3,FALSE)</f>
        <v>830119</v>
      </c>
      <c r="N2529">
        <f>VLOOKUP(Query1[[#This Row],[Description]],'kits to boards'!$B$2:$E$156,4,FALSE)</f>
        <v>830120</v>
      </c>
      <c r="O2529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2530" spans="1:15" x14ac:dyDescent="0.25">
      <c r="A2530" s="1">
        <v>915789</v>
      </c>
      <c r="B2530" s="1" t="s">
        <v>210</v>
      </c>
      <c r="C2530" s="1" t="s">
        <v>211</v>
      </c>
      <c r="D2530" s="2">
        <v>44638.551172453706</v>
      </c>
      <c r="E2530" s="1" t="s">
        <v>8</v>
      </c>
      <c r="F2530" s="1">
        <v>1</v>
      </c>
      <c r="G2530" s="1">
        <v>0</v>
      </c>
      <c r="H2530" s="6">
        <f>INT(Query1[[#This Row],[EntryDateTime]])</f>
        <v>44638</v>
      </c>
      <c r="I2530" s="1">
        <f>IF(Query1[[#This Row],[ItemType]]="EVAP KIT SF GEN IV",Query1[[#This Row],[OrderQty]]+I2529,I2529)</f>
        <v>3041</v>
      </c>
      <c r="J2530" s="1">
        <f>IF(Query1[[#This Row],[ItemType]]="EVAP KIT UNIVERSAL",Query1[[#This Row],[OrderQty]]+J2529,J2529)</f>
        <v>1245</v>
      </c>
      <c r="K2530" s="1">
        <f>Query1[[#This Row],[SF Running Total]]+Query1[[#This Row],[UNIV Running Total]]</f>
        <v>4286</v>
      </c>
      <c r="L2530">
        <f>VLOOKUP(Query1[[#This Row],[Description]],'kits to boards'!$B$2:$E$156,2,FALSE)</f>
        <v>830094</v>
      </c>
      <c r="M2530">
        <f>VLOOKUP(Query1[[#This Row],[Description]],'kits to boards'!$B$2:$E$156,3,FALSE)</f>
        <v>0</v>
      </c>
      <c r="N2530">
        <f>VLOOKUP(Query1[[#This Row],[Description]],'kits to boards'!$B$2:$E$156,4,FALSE)</f>
        <v>0</v>
      </c>
      <c r="O2530" t="str">
        <f>CONCATENATE(Query1[[#This Row],[Description]]," - ",Query1[[#This Row],[MB1]]," - ",Query1[[#This Row],[MB2]]," - ",Query1[[#This Row],[MB3]])</f>
        <v>EVAP KIT 74-76 VETTE W/AC - 830094 - 0 - 0</v>
      </c>
    </row>
    <row r="2531" spans="1:15" x14ac:dyDescent="0.25">
      <c r="A2531" s="1">
        <v>915799</v>
      </c>
      <c r="B2531" s="1" t="s">
        <v>14</v>
      </c>
      <c r="C2531" s="1" t="s">
        <v>15</v>
      </c>
      <c r="D2531" s="2">
        <v>44638.572141979166</v>
      </c>
      <c r="E2531" s="1" t="s">
        <v>8</v>
      </c>
      <c r="F2531" s="1">
        <v>1</v>
      </c>
      <c r="G2531" s="1">
        <v>0</v>
      </c>
      <c r="H2531" s="6">
        <f>INT(Query1[[#This Row],[EntryDateTime]])</f>
        <v>44638</v>
      </c>
      <c r="I2531" s="1">
        <f>IF(Query1[[#This Row],[ItemType]]="EVAP KIT SF GEN IV",Query1[[#This Row],[OrderQty]]+I2530,I2530)</f>
        <v>3042</v>
      </c>
      <c r="J2531" s="1">
        <f>IF(Query1[[#This Row],[ItemType]]="EVAP KIT UNIVERSAL",Query1[[#This Row],[OrderQty]]+J2530,J2530)</f>
        <v>1245</v>
      </c>
      <c r="K2531" s="1">
        <f>Query1[[#This Row],[SF Running Total]]+Query1[[#This Row],[UNIV Running Total]]</f>
        <v>4287</v>
      </c>
      <c r="L2531">
        <f>VLOOKUP(Query1[[#This Row],[Description]],'kits to boards'!$B$2:$E$156,2,FALSE)</f>
        <v>830054</v>
      </c>
      <c r="M2531">
        <f>VLOOKUP(Query1[[#This Row],[Description]],'kits to boards'!$B$2:$E$156,3,FALSE)</f>
        <v>0</v>
      </c>
      <c r="N2531">
        <f>VLOOKUP(Query1[[#This Row],[Description]],'kits to boards'!$B$2:$E$156,4,FALSE)</f>
        <v>0</v>
      </c>
      <c r="O2531" t="str">
        <f>CONCATENATE(Query1[[#This Row],[Description]]," - ",Query1[[#This Row],[MB1]]," - ",Query1[[#This Row],[MB2]]," - ",Query1[[#This Row],[MB3]])</f>
        <v>EVAP KIT 55-56 CHEVY - 830054 - 0 - 0</v>
      </c>
    </row>
    <row r="2532" spans="1:15" x14ac:dyDescent="0.25">
      <c r="A2532" s="1">
        <v>915804</v>
      </c>
      <c r="B2532" s="1" t="s">
        <v>122</v>
      </c>
      <c r="C2532" s="1" t="s">
        <v>123</v>
      </c>
      <c r="D2532" s="2">
        <v>44638.581142361109</v>
      </c>
      <c r="E2532" s="1" t="s">
        <v>8</v>
      </c>
      <c r="F2532" s="1">
        <v>1</v>
      </c>
      <c r="G2532" s="1">
        <v>0</v>
      </c>
      <c r="H2532" s="6">
        <f>INT(Query1[[#This Row],[EntryDateTime]])</f>
        <v>44638</v>
      </c>
      <c r="I2532" s="1">
        <f>IF(Query1[[#This Row],[ItemType]]="EVAP KIT SF GEN IV",Query1[[#This Row],[OrderQty]]+I2531,I2531)</f>
        <v>3043</v>
      </c>
      <c r="J2532" s="1">
        <f>IF(Query1[[#This Row],[ItemType]]="EVAP KIT UNIVERSAL",Query1[[#This Row],[OrderQty]]+J2531,J2531)</f>
        <v>1245</v>
      </c>
      <c r="K2532" s="1">
        <f>Query1[[#This Row],[SF Running Total]]+Query1[[#This Row],[UNIV Running Total]]</f>
        <v>4288</v>
      </c>
      <c r="L2532">
        <f>VLOOKUP(Query1[[#This Row],[Description]],'kits to boards'!$B$2:$E$156,2,FALSE)</f>
        <v>830027</v>
      </c>
      <c r="M2532">
        <f>VLOOKUP(Query1[[#This Row],[Description]],'kits to boards'!$B$2:$E$156,3,FALSE)</f>
        <v>0</v>
      </c>
      <c r="N2532">
        <f>VLOOKUP(Query1[[#This Row],[Description]],'kits to boards'!$B$2:$E$156,4,FALSE)</f>
        <v>0</v>
      </c>
      <c r="O2532" t="str">
        <f>CONCATENATE(Query1[[#This Row],[Description]]," - ",Query1[[#This Row],[MB1]]," - ",Query1[[#This Row],[MB2]]," - ",Query1[[#This Row],[MB3]])</f>
        <v>EVAP KIT 70-72 CUTLASS W/AC - 830027 - 0 - 0</v>
      </c>
    </row>
    <row r="2533" spans="1:15" x14ac:dyDescent="0.25">
      <c r="A2533" s="1">
        <v>915808</v>
      </c>
      <c r="B2533" s="1" t="s">
        <v>116</v>
      </c>
      <c r="C2533" s="1" t="s">
        <v>117</v>
      </c>
      <c r="D2533" s="2">
        <v>44638.589936145836</v>
      </c>
      <c r="E2533" s="1" t="s">
        <v>8</v>
      </c>
      <c r="F2533" s="1">
        <v>1</v>
      </c>
      <c r="G2533" s="1">
        <v>0</v>
      </c>
      <c r="H2533" s="6">
        <f>INT(Query1[[#This Row],[EntryDateTime]])</f>
        <v>44638</v>
      </c>
      <c r="I2533" s="1">
        <f>IF(Query1[[#This Row],[ItemType]]="EVAP KIT SF GEN IV",Query1[[#This Row],[OrderQty]]+I2532,I2532)</f>
        <v>3044</v>
      </c>
      <c r="J2533" s="1">
        <f>IF(Query1[[#This Row],[ItemType]]="EVAP KIT UNIVERSAL",Query1[[#This Row],[OrderQty]]+J2532,J2532)</f>
        <v>1245</v>
      </c>
      <c r="K2533" s="1">
        <f>Query1[[#This Row],[SF Running Total]]+Query1[[#This Row],[UNIV Running Total]]</f>
        <v>4289</v>
      </c>
      <c r="L2533">
        <f>VLOOKUP(Query1[[#This Row],[Description]],'kits to boards'!$B$2:$E$156,2,FALSE)</f>
        <v>830058</v>
      </c>
      <c r="M2533">
        <f>VLOOKUP(Query1[[#This Row],[Description]],'kits to boards'!$B$2:$E$156,3,FALSE)</f>
        <v>0</v>
      </c>
      <c r="N2533">
        <f>VLOOKUP(Query1[[#This Row],[Description]],'kits to boards'!$B$2:$E$156,4,FALSE)</f>
        <v>0</v>
      </c>
      <c r="O2533" t="str">
        <f>CONCATENATE(Query1[[#This Row],[Description]]," - ",Query1[[#This Row],[MB1]]," - ",Query1[[#This Row],[MB2]]," - ",Query1[[#This Row],[MB3]])</f>
        <v>EVAP KIT 64-65 CHEVELLE WO AC - 830058 - 0 - 0</v>
      </c>
    </row>
    <row r="2534" spans="1:15" x14ac:dyDescent="0.25">
      <c r="A2534" s="1">
        <v>915811</v>
      </c>
      <c r="B2534" s="1" t="s">
        <v>214</v>
      </c>
      <c r="C2534" s="1" t="s">
        <v>215</v>
      </c>
      <c r="D2534" s="2">
        <v>44638.595680752318</v>
      </c>
      <c r="E2534" s="1" t="s">
        <v>8</v>
      </c>
      <c r="F2534" s="1">
        <v>1</v>
      </c>
      <c r="G2534" s="1">
        <v>0</v>
      </c>
      <c r="H2534" s="6">
        <f>INT(Query1[[#This Row],[EntryDateTime]])</f>
        <v>44638</v>
      </c>
      <c r="I2534" s="1">
        <f>IF(Query1[[#This Row],[ItemType]]="EVAP KIT SF GEN IV",Query1[[#This Row],[OrderQty]]+I2533,I2533)</f>
        <v>3045</v>
      </c>
      <c r="J2534" s="1">
        <f>IF(Query1[[#This Row],[ItemType]]="EVAP KIT UNIVERSAL",Query1[[#This Row],[OrderQty]]+J2533,J2533)</f>
        <v>1245</v>
      </c>
      <c r="K2534" s="1">
        <f>Query1[[#This Row],[SF Running Total]]+Query1[[#This Row],[UNIV Running Total]]</f>
        <v>4290</v>
      </c>
      <c r="L2534">
        <f>VLOOKUP(Query1[[#This Row],[Description]],'kits to boards'!$B$2:$E$156,2,FALSE)</f>
        <v>830072</v>
      </c>
      <c r="M2534">
        <f>VLOOKUP(Query1[[#This Row],[Description]],'kits to boards'!$B$2:$E$156,3,FALSE)</f>
        <v>0</v>
      </c>
      <c r="N2534">
        <f>VLOOKUP(Query1[[#This Row],[Description]],'kits to boards'!$B$2:$E$156,4,FALSE)</f>
        <v>0</v>
      </c>
      <c r="O2534" t="str">
        <f>CONCATENATE(Query1[[#This Row],[Description]]," - ",Query1[[#This Row],[MB1]]," - ",Query1[[#This Row],[MB2]]," - ",Query1[[#This Row],[MB3]])</f>
        <v>EVAP KIT 68 MOPAR B BODY WO AC - 830072 - 0 - 0</v>
      </c>
    </row>
    <row r="2535" spans="1:15" x14ac:dyDescent="0.25">
      <c r="A2535" s="1">
        <v>915818</v>
      </c>
      <c r="B2535" s="1" t="s">
        <v>34</v>
      </c>
      <c r="C2535" s="1" t="s">
        <v>35</v>
      </c>
      <c r="D2535" s="2">
        <v>44638.603502048609</v>
      </c>
      <c r="E2535" s="1" t="s">
        <v>8</v>
      </c>
      <c r="F2535" s="1">
        <v>1</v>
      </c>
      <c r="G2535" s="1">
        <v>0</v>
      </c>
      <c r="H2535" s="6">
        <f>INT(Query1[[#This Row],[EntryDateTime]])</f>
        <v>44638</v>
      </c>
      <c r="I2535" s="1">
        <f>IF(Query1[[#This Row],[ItemType]]="EVAP KIT SF GEN IV",Query1[[#This Row],[OrderQty]]+I2534,I2534)</f>
        <v>3046</v>
      </c>
      <c r="J2535" s="1">
        <f>IF(Query1[[#This Row],[ItemType]]="EVAP KIT UNIVERSAL",Query1[[#This Row],[OrderQty]]+J2534,J2534)</f>
        <v>1245</v>
      </c>
      <c r="K2535" s="1">
        <f>Query1[[#This Row],[SF Running Total]]+Query1[[#This Row],[UNIV Running Total]]</f>
        <v>4291</v>
      </c>
      <c r="L2535">
        <f>VLOOKUP(Query1[[#This Row],[Description]],'kits to boards'!$B$2:$E$156,2,FALSE)</f>
        <v>830065</v>
      </c>
      <c r="M2535">
        <f>VLOOKUP(Query1[[#This Row],[Description]],'kits to boards'!$B$2:$E$156,3,FALSE)</f>
        <v>0</v>
      </c>
      <c r="N2535">
        <f>VLOOKUP(Query1[[#This Row],[Description]],'kits to boards'!$B$2:$E$156,4,FALSE)</f>
        <v>0</v>
      </c>
      <c r="O2535" t="str">
        <f>CONCATENATE(Query1[[#This Row],[Description]]," - ",Query1[[#This Row],[MB1]]," - ",Query1[[#This Row],[MB2]]," - ",Query1[[#This Row],[MB3]])</f>
        <v>EVAP KIT 57 CHEV WO AC - 830065 - 0 - 0</v>
      </c>
    </row>
    <row r="2536" spans="1:15" x14ac:dyDescent="0.25">
      <c r="A2536" s="1">
        <v>915675</v>
      </c>
      <c r="B2536" s="1" t="s">
        <v>285</v>
      </c>
      <c r="C2536" s="1" t="s">
        <v>286</v>
      </c>
      <c r="D2536" s="2">
        <v>44638.613565775464</v>
      </c>
      <c r="E2536" s="1" t="s">
        <v>8</v>
      </c>
      <c r="F2536" s="1">
        <v>1</v>
      </c>
      <c r="G2536" s="1">
        <v>0</v>
      </c>
      <c r="H2536" s="6">
        <f>INT(Query1[[#This Row],[EntryDateTime]])</f>
        <v>44638</v>
      </c>
      <c r="I2536" s="1">
        <f>IF(Query1[[#This Row],[ItemType]]="EVAP KIT SF GEN IV",Query1[[#This Row],[OrderQty]]+I2535,I2535)</f>
        <v>3047</v>
      </c>
      <c r="J2536" s="1">
        <f>IF(Query1[[#This Row],[ItemType]]="EVAP KIT UNIVERSAL",Query1[[#This Row],[OrderQty]]+J2535,J2535)</f>
        <v>1245</v>
      </c>
      <c r="K2536" s="1">
        <f>Query1[[#This Row],[SF Running Total]]+Query1[[#This Row],[UNIV Running Total]]</f>
        <v>4292</v>
      </c>
      <c r="L2536">
        <f>VLOOKUP(Query1[[#This Row],[Description]],'kits to boards'!$B$2:$E$156,2,FALSE)</f>
        <v>830033</v>
      </c>
      <c r="M2536">
        <f>VLOOKUP(Query1[[#This Row],[Description]],'kits to boards'!$B$2:$E$156,3,FALSE)</f>
        <v>0</v>
      </c>
      <c r="N2536">
        <f>VLOOKUP(Query1[[#This Row],[Description]],'kits to boards'!$B$2:$E$156,4,FALSE)</f>
        <v>0</v>
      </c>
      <c r="O2536" t="str">
        <f>CONCATENATE(Query1[[#This Row],[Description]]," - ",Query1[[#This Row],[MB1]]," - ",Query1[[#This Row],[MB2]]," - ",Query1[[#This Row],[MB3]])</f>
        <v>EVAP KIT 66-67 CHARGER/CORONET W/AC - 830033 - 0 - 0</v>
      </c>
    </row>
    <row r="2537" spans="1:15" x14ac:dyDescent="0.25">
      <c r="A2537" s="1">
        <v>915824</v>
      </c>
      <c r="B2537" s="1" t="s">
        <v>66</v>
      </c>
      <c r="C2537" s="1" t="s">
        <v>67</v>
      </c>
      <c r="D2537" s="2">
        <v>44638.616676157406</v>
      </c>
      <c r="E2537" s="1" t="s">
        <v>8</v>
      </c>
      <c r="F2537" s="1">
        <v>1</v>
      </c>
      <c r="G2537" s="1">
        <v>0</v>
      </c>
      <c r="H2537" s="6">
        <f>INT(Query1[[#This Row],[EntryDateTime]])</f>
        <v>44638</v>
      </c>
      <c r="I2537" s="1">
        <f>IF(Query1[[#This Row],[ItemType]]="EVAP KIT SF GEN IV",Query1[[#This Row],[OrderQty]]+I2536,I2536)</f>
        <v>3048</v>
      </c>
      <c r="J2537" s="1">
        <f>IF(Query1[[#This Row],[ItemType]]="EVAP KIT UNIVERSAL",Query1[[#This Row],[OrderQty]]+J2536,J2536)</f>
        <v>1245</v>
      </c>
      <c r="K2537" s="1">
        <f>Query1[[#This Row],[SF Running Total]]+Query1[[#This Row],[UNIV Running Total]]</f>
        <v>4293</v>
      </c>
      <c r="L2537">
        <f>VLOOKUP(Query1[[#This Row],[Description]],'kits to boards'!$B$2:$E$156,2,FALSE)</f>
        <v>830060</v>
      </c>
      <c r="M2537">
        <f>VLOOKUP(Query1[[#This Row],[Description]],'kits to boards'!$B$2:$E$156,3,FALSE)</f>
        <v>0</v>
      </c>
      <c r="N2537">
        <f>VLOOKUP(Query1[[#This Row],[Description]],'kits to boards'!$B$2:$E$156,4,FALSE)</f>
        <v>0</v>
      </c>
      <c r="O2537" t="str">
        <f>CONCATENATE(Query1[[#This Row],[Description]]," - ",Query1[[#This Row],[MB1]]," - ",Query1[[#This Row],[MB2]]," - ",Query1[[#This Row],[MB3]])</f>
        <v>EVAP KIT 66-67 CHEVELLE WO AC - 830060 - 0 - 0</v>
      </c>
    </row>
    <row r="2538" spans="1:15" x14ac:dyDescent="0.25">
      <c r="A2538" s="1">
        <v>915753</v>
      </c>
      <c r="B2538" s="1" t="s">
        <v>194</v>
      </c>
      <c r="C2538" s="1" t="s">
        <v>195</v>
      </c>
      <c r="D2538" s="2">
        <v>44638.625750729167</v>
      </c>
      <c r="E2538" s="1" t="s">
        <v>8</v>
      </c>
      <c r="F2538" s="1">
        <v>1</v>
      </c>
      <c r="G2538" s="1">
        <v>0</v>
      </c>
      <c r="H2538" s="6">
        <f>INT(Query1[[#This Row],[EntryDateTime]])</f>
        <v>44638</v>
      </c>
      <c r="I2538" s="1">
        <f>IF(Query1[[#This Row],[ItemType]]="EVAP KIT SF GEN IV",Query1[[#This Row],[OrderQty]]+I2537,I2537)</f>
        <v>3049</v>
      </c>
      <c r="J2538" s="1">
        <f>IF(Query1[[#This Row],[ItemType]]="EVAP KIT UNIVERSAL",Query1[[#This Row],[OrderQty]]+J2537,J2537)</f>
        <v>1245</v>
      </c>
      <c r="K2538" s="1">
        <f>Query1[[#This Row],[SF Running Total]]+Query1[[#This Row],[UNIV Running Total]]</f>
        <v>4294</v>
      </c>
      <c r="L2538">
        <f>VLOOKUP(Query1[[#This Row],[Description]],'kits to boards'!$B$2:$E$156,2,FALSE)</f>
        <v>830103</v>
      </c>
      <c r="M2538">
        <f>VLOOKUP(Query1[[#This Row],[Description]],'kits to boards'!$B$2:$E$156,3,FALSE)</f>
        <v>0</v>
      </c>
      <c r="N2538">
        <f>VLOOKUP(Query1[[#This Row],[Description]],'kits to boards'!$B$2:$E$156,4,FALSE)</f>
        <v>0</v>
      </c>
      <c r="O2538" t="str">
        <f>CONCATENATE(Query1[[#This Row],[Description]]," - ",Query1[[#This Row],[MB1]]," - ",Query1[[#This Row],[MB2]]," - ",Query1[[#This Row],[MB3]])</f>
        <v>EVAP KIT 78-82 VETTE W/AC - 830103 - 0 - 0</v>
      </c>
    </row>
    <row r="2539" spans="1:15" x14ac:dyDescent="0.25">
      <c r="A2539" s="1">
        <v>915833</v>
      </c>
      <c r="B2539" s="1" t="s">
        <v>166</v>
      </c>
      <c r="C2539" s="1" t="s">
        <v>167</v>
      </c>
      <c r="D2539" s="2">
        <v>44638.645007256942</v>
      </c>
      <c r="E2539" s="1" t="s">
        <v>8</v>
      </c>
      <c r="F2539" s="1">
        <v>1</v>
      </c>
      <c r="G2539" s="1">
        <v>0</v>
      </c>
      <c r="H2539" s="6">
        <f>INT(Query1[[#This Row],[EntryDateTime]])</f>
        <v>44638</v>
      </c>
      <c r="I2539" s="1">
        <f>IF(Query1[[#This Row],[ItemType]]="EVAP KIT SF GEN IV",Query1[[#This Row],[OrderQty]]+I2538,I2538)</f>
        <v>3050</v>
      </c>
      <c r="J2539" s="1">
        <f>IF(Query1[[#This Row],[ItemType]]="EVAP KIT UNIVERSAL",Query1[[#This Row],[OrderQty]]+J2538,J2538)</f>
        <v>1245</v>
      </c>
      <c r="K2539" s="1">
        <f>Query1[[#This Row],[SF Running Total]]+Query1[[#This Row],[UNIV Running Total]]</f>
        <v>4295</v>
      </c>
      <c r="L2539">
        <f>VLOOKUP(Query1[[#This Row],[Description]],'kits to boards'!$B$2:$E$156,2,FALSE)</f>
        <v>830063</v>
      </c>
      <c r="M2539">
        <f>VLOOKUP(Query1[[#This Row],[Description]],'kits to boards'!$B$2:$E$156,3,FALSE)</f>
        <v>0</v>
      </c>
      <c r="N2539">
        <f>VLOOKUP(Query1[[#This Row],[Description]],'kits to boards'!$B$2:$E$156,4,FALSE)</f>
        <v>0</v>
      </c>
      <c r="O2539" t="str">
        <f>CONCATENATE(Query1[[#This Row],[Description]]," - ",Query1[[#This Row],[MB1]]," - ",Query1[[#This Row],[MB2]]," - ",Query1[[#This Row],[MB3]])</f>
        <v>EVAP KIT 47-49 CHEV P-UP GEN IV - 830063 - 0 - 0</v>
      </c>
    </row>
    <row r="2540" spans="1:15" x14ac:dyDescent="0.25">
      <c r="A2540" s="1">
        <v>915834</v>
      </c>
      <c r="B2540" s="1" t="s">
        <v>106</v>
      </c>
      <c r="C2540" s="1" t="s">
        <v>253</v>
      </c>
      <c r="D2540" s="2">
        <v>44638.650520868054</v>
      </c>
      <c r="E2540" s="1" t="s">
        <v>8</v>
      </c>
      <c r="F2540" s="1">
        <v>1</v>
      </c>
      <c r="G2540" s="1">
        <v>0</v>
      </c>
      <c r="H2540" s="6">
        <f>INT(Query1[[#This Row],[EntryDateTime]])</f>
        <v>44638</v>
      </c>
      <c r="I2540" s="1">
        <f>IF(Query1[[#This Row],[ItemType]]="EVAP KIT SF GEN IV",Query1[[#This Row],[OrderQty]]+I2539,I2539)</f>
        <v>3051</v>
      </c>
      <c r="J2540" s="1">
        <f>IF(Query1[[#This Row],[ItemType]]="EVAP KIT UNIVERSAL",Query1[[#This Row],[OrderQty]]+J2539,J2539)</f>
        <v>1245</v>
      </c>
      <c r="K2540" s="1">
        <f>Query1[[#This Row],[SF Running Total]]+Query1[[#This Row],[UNIV Running Total]]</f>
        <v>4296</v>
      </c>
      <c r="L2540">
        <f>VLOOKUP(Query1[[#This Row],[Description]],'kits to boards'!$B$2:$E$156,2,FALSE)</f>
        <v>830028</v>
      </c>
      <c r="M2540">
        <f>VLOOKUP(Query1[[#This Row],[Description]],'kits to boards'!$B$2:$E$156,3,FALSE)</f>
        <v>0</v>
      </c>
      <c r="N2540">
        <f>VLOOKUP(Query1[[#This Row],[Description]],'kits to boards'!$B$2:$E$156,4,FALSE)</f>
        <v>0</v>
      </c>
      <c r="O2540" t="str">
        <f>CONCATENATE(Query1[[#This Row],[Description]]," - ",Query1[[#This Row],[MB1]]," - ",Query1[[#This Row],[MB2]]," - ",Query1[[#This Row],[MB3]])</f>
        <v>EVAP KIT 55-59 CHEV P-UP WO AC W/DELX  - 830028 - 0 - 0</v>
      </c>
    </row>
    <row r="2541" spans="1:15" x14ac:dyDescent="0.25">
      <c r="A2541" s="1">
        <v>915835</v>
      </c>
      <c r="B2541" s="1" t="s">
        <v>80</v>
      </c>
      <c r="C2541" s="1" t="s">
        <v>81</v>
      </c>
      <c r="D2541" s="2">
        <v>44638.651472997684</v>
      </c>
      <c r="E2541" s="1" t="s">
        <v>11</v>
      </c>
      <c r="F2541" s="1">
        <v>1</v>
      </c>
      <c r="G2541" s="1">
        <v>0</v>
      </c>
      <c r="H2541" s="6">
        <f>INT(Query1[[#This Row],[EntryDateTime]])</f>
        <v>44638</v>
      </c>
      <c r="I2541" s="1">
        <f>IF(Query1[[#This Row],[ItemType]]="EVAP KIT SF GEN IV",Query1[[#This Row],[OrderQty]]+I2540,I2540)</f>
        <v>3051</v>
      </c>
      <c r="J2541" s="1">
        <f>IF(Query1[[#This Row],[ItemType]]="EVAP KIT UNIVERSAL",Query1[[#This Row],[OrderQty]]+J2540,J2540)</f>
        <v>1246</v>
      </c>
      <c r="K2541" s="1">
        <f>Query1[[#This Row],[SF Running Total]]+Query1[[#This Row],[UNIV Running Total]]</f>
        <v>4297</v>
      </c>
      <c r="L2541">
        <f>VLOOKUP(Query1[[#This Row],[Description]],'kits to boards'!$B$2:$E$156,2,FALSE)</f>
        <v>0</v>
      </c>
      <c r="M2541">
        <f>VLOOKUP(Query1[[#This Row],[Description]],'kits to boards'!$B$2:$E$156,3,FALSE)</f>
        <v>0</v>
      </c>
      <c r="N2541">
        <f>VLOOKUP(Query1[[#This Row],[Description]],'kits to boards'!$B$2:$E$156,4,FALSE)</f>
        <v>0</v>
      </c>
      <c r="O2541" t="str">
        <f>CONCATENATE(Query1[[#This Row],[Description]]," - ",Query1[[#This Row],[MB1]]," - ",Query1[[#This Row],[MB2]]," - ",Query1[[#This Row],[MB3]])</f>
        <v>HERITAGE BRUSHED EVAP KIT COOL ONLY - 0 - 0 - 0</v>
      </c>
    </row>
    <row r="2542" spans="1:15" x14ac:dyDescent="0.25">
      <c r="A2542" s="1">
        <v>911913</v>
      </c>
      <c r="B2542" s="1" t="s">
        <v>102</v>
      </c>
      <c r="C2542" s="1" t="s">
        <v>103</v>
      </c>
      <c r="D2542" s="2">
        <v>44638.653496643521</v>
      </c>
      <c r="E2542" s="1" t="s">
        <v>8</v>
      </c>
      <c r="F2542" s="1">
        <v>1</v>
      </c>
      <c r="G2542" s="1">
        <v>0</v>
      </c>
      <c r="H2542" s="6">
        <f>INT(Query1[[#This Row],[EntryDateTime]])</f>
        <v>44638</v>
      </c>
      <c r="I2542" s="1">
        <f>IF(Query1[[#This Row],[ItemType]]="EVAP KIT SF GEN IV",Query1[[#This Row],[OrderQty]]+I2541,I2541)</f>
        <v>3052</v>
      </c>
      <c r="J2542" s="1">
        <f>IF(Query1[[#This Row],[ItemType]]="EVAP KIT UNIVERSAL",Query1[[#This Row],[OrderQty]]+J2541,J2541)</f>
        <v>1246</v>
      </c>
      <c r="K2542" s="1">
        <f>Query1[[#This Row],[SF Running Total]]+Query1[[#This Row],[UNIV Running Total]]</f>
        <v>4298</v>
      </c>
      <c r="L2542">
        <f>VLOOKUP(Query1[[#This Row],[Description]],'kits to boards'!$B$2:$E$156,2,FALSE)</f>
        <v>830012</v>
      </c>
      <c r="M2542">
        <f>VLOOKUP(Query1[[#This Row],[Description]],'kits to boards'!$B$2:$E$156,3,FALSE)</f>
        <v>0</v>
      </c>
      <c r="N2542">
        <f>VLOOKUP(Query1[[#This Row],[Description]],'kits to boards'!$B$2:$E$156,4,FALSE)</f>
        <v>0</v>
      </c>
      <c r="O2542" t="str">
        <f>CONCATENATE(Query1[[#This Row],[Description]]," - ",Query1[[#This Row],[MB1]]," - ",Query1[[#This Row],[MB2]]," - ",Query1[[#This Row],[MB3]])</f>
        <v>EVAP KIT 69 CAMARO WO/AC - 830012 - 0 - 0</v>
      </c>
    </row>
    <row r="2543" spans="1:15" x14ac:dyDescent="0.25">
      <c r="A2543" s="1">
        <v>915837</v>
      </c>
      <c r="B2543" s="1" t="s">
        <v>76</v>
      </c>
      <c r="C2543" s="1" t="s">
        <v>77</v>
      </c>
      <c r="D2543" s="2">
        <v>44638.654444444444</v>
      </c>
      <c r="E2543" s="1" t="s">
        <v>11</v>
      </c>
      <c r="F2543" s="1">
        <v>1</v>
      </c>
      <c r="G2543" s="1">
        <v>0</v>
      </c>
      <c r="H2543" s="6">
        <f>INT(Query1[[#This Row],[EntryDateTime]])</f>
        <v>44638</v>
      </c>
      <c r="I2543" s="1">
        <f>IF(Query1[[#This Row],[ItemType]]="EVAP KIT SF GEN IV",Query1[[#This Row],[OrderQty]]+I2542,I2542)</f>
        <v>3052</v>
      </c>
      <c r="J2543" s="1">
        <f>IF(Query1[[#This Row],[ItemType]]="EVAP KIT UNIVERSAL",Query1[[#This Row],[OrderQty]]+J2542,J2542)</f>
        <v>1247</v>
      </c>
      <c r="K2543" s="1">
        <f>Query1[[#This Row],[SF Running Total]]+Query1[[#This Row],[UNIV Running Total]]</f>
        <v>4299</v>
      </c>
      <c r="L2543">
        <f>VLOOKUP(Query1[[#This Row],[Description]],'kits to boards'!$B$2:$E$156,2,FALSE)</f>
        <v>830099</v>
      </c>
      <c r="M2543">
        <f>VLOOKUP(Query1[[#This Row],[Description]],'kits to boards'!$B$2:$E$156,3,FALSE)</f>
        <v>0</v>
      </c>
      <c r="N2543">
        <f>VLOOKUP(Query1[[#This Row],[Description]],'kits to boards'!$B$2:$E$156,4,FALSE)</f>
        <v>0</v>
      </c>
      <c r="O2543" t="str">
        <f>CONCATENATE(Query1[[#This Row],[Description]]," - ",Query1[[#This Row],[MB1]]," - ",Query1[[#This Row],[MB2]]," - ",Query1[[#This Row],[MB3]])</f>
        <v>MINI GEN II H/C - 830099 - 0 - 0</v>
      </c>
    </row>
    <row r="2544" spans="1:15" x14ac:dyDescent="0.25">
      <c r="A2544" s="1">
        <v>915838</v>
      </c>
      <c r="B2544" s="1" t="s">
        <v>168</v>
      </c>
      <c r="C2544" s="1" t="s">
        <v>169</v>
      </c>
      <c r="D2544" s="2">
        <v>44638.662219409722</v>
      </c>
      <c r="E2544" s="1" t="s">
        <v>8</v>
      </c>
      <c r="F2544" s="1">
        <v>1</v>
      </c>
      <c r="G2544" s="1">
        <v>0</v>
      </c>
      <c r="H2544" s="6">
        <f>INT(Query1[[#This Row],[EntryDateTime]])</f>
        <v>44638</v>
      </c>
      <c r="I2544" s="1">
        <f>IF(Query1[[#This Row],[ItemType]]="EVAP KIT SF GEN IV",Query1[[#This Row],[OrderQty]]+I2543,I2543)</f>
        <v>3053</v>
      </c>
      <c r="J2544" s="1">
        <f>IF(Query1[[#This Row],[ItemType]]="EVAP KIT UNIVERSAL",Query1[[#This Row],[OrderQty]]+J2543,J2543)</f>
        <v>1247</v>
      </c>
      <c r="K2544" s="1">
        <f>Query1[[#This Row],[SF Running Total]]+Query1[[#This Row],[UNIV Running Total]]</f>
        <v>4300</v>
      </c>
      <c r="L2544">
        <f>VLOOKUP(Query1[[#This Row],[Description]],'kits to boards'!$B$2:$E$156,2,FALSE)</f>
        <v>830028</v>
      </c>
      <c r="M2544">
        <f>VLOOKUP(Query1[[#This Row],[Description]],'kits to boards'!$B$2:$E$156,3,FALSE)</f>
        <v>0</v>
      </c>
      <c r="N2544">
        <f>VLOOKUP(Query1[[#This Row],[Description]],'kits to boards'!$B$2:$E$156,4,FALSE)</f>
        <v>0</v>
      </c>
      <c r="O2544" t="str">
        <f>CONCATENATE(Query1[[#This Row],[Description]]," - ",Query1[[#This Row],[MB1]]," - ",Query1[[#This Row],[MB2]]," - ",Query1[[#This Row],[MB3]])</f>
        <v>EVAP KIT 55-59 CHEV P-UP WO AC W/STD  - 830028 - 0 - 0</v>
      </c>
    </row>
    <row r="2545" spans="1:15" x14ac:dyDescent="0.25">
      <c r="A2545" s="1">
        <v>915843</v>
      </c>
      <c r="B2545" s="1" t="s">
        <v>136</v>
      </c>
      <c r="C2545" s="1" t="s">
        <v>137</v>
      </c>
      <c r="D2545" s="2">
        <v>44641.309126238426</v>
      </c>
      <c r="E2545" s="1" t="s">
        <v>11</v>
      </c>
      <c r="F2545" s="1">
        <v>1</v>
      </c>
      <c r="G2545" s="1">
        <v>0</v>
      </c>
      <c r="H2545" s="6">
        <f>INT(Query1[[#This Row],[EntryDateTime]])</f>
        <v>44641</v>
      </c>
      <c r="I2545" s="1">
        <f>IF(Query1[[#This Row],[ItemType]]="EVAP KIT SF GEN IV",Query1[[#This Row],[OrderQty]]+I2544,I2544)</f>
        <v>3053</v>
      </c>
      <c r="J2545" s="1">
        <f>IF(Query1[[#This Row],[ItemType]]="EVAP KIT UNIVERSAL",Query1[[#This Row],[OrderQty]]+J2544,J2544)</f>
        <v>1248</v>
      </c>
      <c r="K2545" s="1">
        <f>Query1[[#This Row],[SF Running Total]]+Query1[[#This Row],[UNIV Running Total]]</f>
        <v>4301</v>
      </c>
      <c r="L2545">
        <f>VLOOKUP(Query1[[#This Row],[Description]],'kits to boards'!$B$2:$E$156,2,FALSE)</f>
        <v>0</v>
      </c>
      <c r="M2545">
        <f>VLOOKUP(Query1[[#This Row],[Description]],'kits to boards'!$B$2:$E$156,3,FALSE)</f>
        <v>0</v>
      </c>
      <c r="N2545">
        <f>VLOOKUP(Query1[[#This Row],[Description]],'kits to boards'!$B$2:$E$156,4,FALSE)</f>
        <v>0</v>
      </c>
      <c r="O2545" t="str">
        <f>CONCATENATE(Query1[[#This Row],[Description]]," - ",Query1[[#This Row],[MB1]]," - ",Query1[[#This Row],[MB2]]," - ",Query1[[#This Row],[MB3]])</f>
        <v>HERITAGE TURNED EVAP KIT HEAT/COOL - 0 - 0 - 0</v>
      </c>
    </row>
    <row r="2546" spans="1:15" x14ac:dyDescent="0.25">
      <c r="A2546" s="1">
        <v>915843</v>
      </c>
      <c r="B2546" s="1" t="s">
        <v>20</v>
      </c>
      <c r="C2546" s="1" t="s">
        <v>21</v>
      </c>
      <c r="D2546" s="2">
        <v>44641.30912820602</v>
      </c>
      <c r="E2546" s="1" t="s">
        <v>11</v>
      </c>
      <c r="F2546" s="1">
        <v>1</v>
      </c>
      <c r="G2546" s="1">
        <v>0</v>
      </c>
      <c r="H2546" s="6">
        <f>INT(Query1[[#This Row],[EntryDateTime]])</f>
        <v>44641</v>
      </c>
      <c r="I2546" s="1">
        <f>IF(Query1[[#This Row],[ItemType]]="EVAP KIT SF GEN IV",Query1[[#This Row],[OrderQty]]+I2545,I2545)</f>
        <v>3053</v>
      </c>
      <c r="J2546" s="1">
        <f>IF(Query1[[#This Row],[ItemType]]="EVAP KIT UNIVERSAL",Query1[[#This Row],[OrderQty]]+J2545,J2545)</f>
        <v>1249</v>
      </c>
      <c r="K2546" s="1">
        <f>Query1[[#This Row],[SF Running Total]]+Query1[[#This Row],[UNIV Running Total]]</f>
        <v>4302</v>
      </c>
      <c r="L2546">
        <f>VLOOKUP(Query1[[#This Row],[Description]],'kits to boards'!$B$2:$E$156,2,FALSE)</f>
        <v>830102</v>
      </c>
      <c r="M2546">
        <f>VLOOKUP(Query1[[#This Row],[Description]],'kits to boards'!$B$2:$E$156,3,FALSE)</f>
        <v>0</v>
      </c>
      <c r="N2546">
        <f>VLOOKUP(Query1[[#This Row],[Description]],'kits to boards'!$B$2:$E$156,4,FALSE)</f>
        <v>0</v>
      </c>
      <c r="O2546" t="str">
        <f>CONCATENATE(Query1[[#This Row],[Description]]," - ",Query1[[#This Row],[MB1]]," - ",Query1[[#This Row],[MB2]]," - ",Query1[[#This Row],[MB3]])</f>
        <v>SUPER GEN II W/DEF - 830102 - 0 - 0</v>
      </c>
    </row>
    <row r="2547" spans="1:15" x14ac:dyDescent="0.25">
      <c r="A2547" s="1">
        <v>915843</v>
      </c>
      <c r="B2547" s="1" t="s">
        <v>144</v>
      </c>
      <c r="C2547" s="1" t="s">
        <v>145</v>
      </c>
      <c r="D2547" s="2">
        <v>44641.309159490738</v>
      </c>
      <c r="E2547" s="1" t="s">
        <v>11</v>
      </c>
      <c r="F2547" s="1">
        <v>1</v>
      </c>
      <c r="G2547" s="1">
        <v>0</v>
      </c>
      <c r="H2547" s="6">
        <f>INT(Query1[[#This Row],[EntryDateTime]])</f>
        <v>44641</v>
      </c>
      <c r="I2547" s="1">
        <f>IF(Query1[[#This Row],[ItemType]]="EVAP KIT SF GEN IV",Query1[[#This Row],[OrderQty]]+I2546,I2546)</f>
        <v>3053</v>
      </c>
      <c r="J2547" s="1">
        <f>IF(Query1[[#This Row],[ItemType]]="EVAP KIT UNIVERSAL",Query1[[#This Row],[OrderQty]]+J2546,J2546)</f>
        <v>1250</v>
      </c>
      <c r="K2547" s="1">
        <f>Query1[[#This Row],[SF Running Total]]+Query1[[#This Row],[UNIV Running Total]]</f>
        <v>4303</v>
      </c>
      <c r="L2547">
        <f>VLOOKUP(Query1[[#This Row],[Description]],'kits to boards'!$B$2:$E$156,2,FALSE)</f>
        <v>830102</v>
      </c>
      <c r="M2547">
        <f>VLOOKUP(Query1[[#This Row],[Description]],'kits to boards'!$B$2:$E$156,3,FALSE)</f>
        <v>0</v>
      </c>
      <c r="N2547">
        <f>VLOOKUP(Query1[[#This Row],[Description]],'kits to boards'!$B$2:$E$156,4,FALSE)</f>
        <v>0</v>
      </c>
      <c r="O2547" t="str">
        <f>CONCATENATE(Query1[[#This Row],[Description]]," - ",Query1[[#This Row],[MB1]]," - ",Query1[[#This Row],[MB2]]," - ",Query1[[#This Row],[MB3]])</f>
        <v>SUPER GEN II H/C - 830102 - 0 - 0</v>
      </c>
    </row>
    <row r="2548" spans="1:15" x14ac:dyDescent="0.25">
      <c r="A2548" s="1">
        <v>915841</v>
      </c>
      <c r="B2548" s="1" t="s">
        <v>44</v>
      </c>
      <c r="C2548" s="1" t="s">
        <v>45</v>
      </c>
      <c r="D2548" s="2">
        <v>44641.314231446762</v>
      </c>
      <c r="E2548" s="1" t="s">
        <v>8</v>
      </c>
      <c r="F2548" s="1">
        <v>1</v>
      </c>
      <c r="G2548" s="1">
        <v>0</v>
      </c>
      <c r="H2548" s="6">
        <f>INT(Query1[[#This Row],[EntryDateTime]])</f>
        <v>44641</v>
      </c>
      <c r="I2548" s="1">
        <f>IF(Query1[[#This Row],[ItemType]]="EVAP KIT SF GEN IV",Query1[[#This Row],[OrderQty]]+I2547,I2547)</f>
        <v>3054</v>
      </c>
      <c r="J2548" s="1">
        <f>IF(Query1[[#This Row],[ItemType]]="EVAP KIT UNIVERSAL",Query1[[#This Row],[OrderQty]]+J2547,J2547)</f>
        <v>1250</v>
      </c>
      <c r="K2548" s="1">
        <f>Query1[[#This Row],[SF Running Total]]+Query1[[#This Row],[UNIV Running Total]]</f>
        <v>4304</v>
      </c>
      <c r="L2548">
        <f>VLOOKUP(Query1[[#This Row],[Description]],'kits to boards'!$B$2:$E$156,2,FALSE)</f>
        <v>830085</v>
      </c>
      <c r="M2548">
        <f>VLOOKUP(Query1[[#This Row],[Description]],'kits to boards'!$B$2:$E$156,3,FALSE)</f>
        <v>0</v>
      </c>
      <c r="N2548">
        <f>VLOOKUP(Query1[[#This Row],[Description]],'kits to boards'!$B$2:$E$156,4,FALSE)</f>
        <v>0</v>
      </c>
      <c r="O2548" t="str">
        <f>CONCATENATE(Query1[[#This Row],[Description]]," - ",Query1[[#This Row],[MB1]]," - ",Query1[[#This Row],[MB2]]," - ",Query1[[#This Row],[MB3]])</f>
        <v>EVAP KIT 66-77 BRONCO - 830085 - 0 - 0</v>
      </c>
    </row>
    <row r="2549" spans="1:15" x14ac:dyDescent="0.25">
      <c r="A2549" s="1">
        <v>915842</v>
      </c>
      <c r="B2549" s="1" t="s">
        <v>84</v>
      </c>
      <c r="C2549" s="1" t="s">
        <v>85</v>
      </c>
      <c r="D2549" s="2">
        <v>44641.315116782411</v>
      </c>
      <c r="E2549" s="1" t="s">
        <v>8</v>
      </c>
      <c r="F2549" s="1">
        <v>1</v>
      </c>
      <c r="G2549" s="1">
        <v>0</v>
      </c>
      <c r="H2549" s="6">
        <f>INT(Query1[[#This Row],[EntryDateTime]])</f>
        <v>44641</v>
      </c>
      <c r="I2549" s="1">
        <f>IF(Query1[[#This Row],[ItemType]]="EVAP KIT SF GEN IV",Query1[[#This Row],[OrderQty]]+I2548,I2548)</f>
        <v>3055</v>
      </c>
      <c r="J2549" s="1">
        <f>IF(Query1[[#This Row],[ItemType]]="EVAP KIT UNIVERSAL",Query1[[#This Row],[OrderQty]]+J2548,J2548)</f>
        <v>1250</v>
      </c>
      <c r="K2549" s="1">
        <f>Query1[[#This Row],[SF Running Total]]+Query1[[#This Row],[UNIV Running Total]]</f>
        <v>4305</v>
      </c>
      <c r="L2549">
        <f>VLOOKUP(Query1[[#This Row],[Description]],'kits to boards'!$B$2:$E$156,2,FALSE)</f>
        <v>830085</v>
      </c>
      <c r="M2549">
        <f>VLOOKUP(Query1[[#This Row],[Description]],'kits to boards'!$B$2:$E$156,3,FALSE)</f>
        <v>0</v>
      </c>
      <c r="N2549">
        <f>VLOOKUP(Query1[[#This Row],[Description]],'kits to boards'!$B$2:$E$156,4,FALSE)</f>
        <v>0</v>
      </c>
      <c r="O2549" t="str">
        <f>CONCATENATE(Query1[[#This Row],[Description]]," - ",Query1[[#This Row],[MB1]]," - ",Query1[[#This Row],[MB2]]," - ",Query1[[#This Row],[MB3]])</f>
        <v>EVAP KIT 66-77 BRONCO 4-VENT PLENUM - 830085 - 0 - 0</v>
      </c>
    </row>
    <row r="2550" spans="1:15" x14ac:dyDescent="0.25">
      <c r="A2550" s="1">
        <v>915847</v>
      </c>
      <c r="B2550" s="1" t="s">
        <v>22</v>
      </c>
      <c r="C2550" s="1" t="s">
        <v>23</v>
      </c>
      <c r="D2550" s="2">
        <v>44641.319219594909</v>
      </c>
      <c r="E2550" s="1" t="s">
        <v>8</v>
      </c>
      <c r="F2550" s="1">
        <v>1</v>
      </c>
      <c r="G2550" s="1">
        <v>0</v>
      </c>
      <c r="H2550" s="6">
        <f>INT(Query1[[#This Row],[EntryDateTime]])</f>
        <v>44641</v>
      </c>
      <c r="I2550" s="1">
        <f>IF(Query1[[#This Row],[ItemType]]="EVAP KIT SF GEN IV",Query1[[#This Row],[OrderQty]]+I2549,I2549)</f>
        <v>3056</v>
      </c>
      <c r="J2550" s="1">
        <f>IF(Query1[[#This Row],[ItemType]]="EVAP KIT UNIVERSAL",Query1[[#This Row],[OrderQty]]+J2549,J2549)</f>
        <v>1250</v>
      </c>
      <c r="K2550" s="1">
        <f>Query1[[#This Row],[SF Running Total]]+Query1[[#This Row],[UNIV Running Total]]</f>
        <v>4306</v>
      </c>
      <c r="L2550">
        <f>VLOOKUP(Query1[[#This Row],[Description]],'kits to boards'!$B$2:$E$156,2,FALSE)</f>
        <v>830083</v>
      </c>
      <c r="M2550">
        <f>VLOOKUP(Query1[[#This Row],[Description]],'kits to boards'!$B$2:$E$156,3,FALSE)</f>
        <v>0</v>
      </c>
      <c r="N2550">
        <f>VLOOKUP(Query1[[#This Row],[Description]],'kits to boards'!$B$2:$E$156,4,FALSE)</f>
        <v>0</v>
      </c>
      <c r="O2550" t="str">
        <f>CONCATENATE(Query1[[#This Row],[Description]]," - ",Query1[[#This Row],[MB1]]," - ",Query1[[#This Row],[MB2]]," - ",Query1[[#This Row],[MB3]])</f>
        <v>GEN IV MAGNUM EVAP KIT - 830083 - 0 - 0</v>
      </c>
    </row>
    <row r="2551" spans="1:15" x14ac:dyDescent="0.25">
      <c r="A2551" s="1">
        <v>915847</v>
      </c>
      <c r="B2551" s="1" t="s">
        <v>14</v>
      </c>
      <c r="C2551" s="1" t="s">
        <v>15</v>
      </c>
      <c r="D2551" s="2">
        <v>44641.319221412035</v>
      </c>
      <c r="E2551" s="1" t="s">
        <v>8</v>
      </c>
      <c r="F2551" s="1">
        <v>1</v>
      </c>
      <c r="G2551" s="1">
        <v>0</v>
      </c>
      <c r="H2551" s="6">
        <f>INT(Query1[[#This Row],[EntryDateTime]])</f>
        <v>44641</v>
      </c>
      <c r="I2551" s="1">
        <f>IF(Query1[[#This Row],[ItemType]]="EVAP KIT SF GEN IV",Query1[[#This Row],[OrderQty]]+I2550,I2550)</f>
        <v>3057</v>
      </c>
      <c r="J2551" s="1">
        <f>IF(Query1[[#This Row],[ItemType]]="EVAP KIT UNIVERSAL",Query1[[#This Row],[OrderQty]]+J2550,J2550)</f>
        <v>1250</v>
      </c>
      <c r="K2551" s="1">
        <f>Query1[[#This Row],[SF Running Total]]+Query1[[#This Row],[UNIV Running Total]]</f>
        <v>4307</v>
      </c>
      <c r="L2551">
        <f>VLOOKUP(Query1[[#This Row],[Description]],'kits to boards'!$B$2:$E$156,2,FALSE)</f>
        <v>830054</v>
      </c>
      <c r="M2551">
        <f>VLOOKUP(Query1[[#This Row],[Description]],'kits to boards'!$B$2:$E$156,3,FALSE)</f>
        <v>0</v>
      </c>
      <c r="N2551">
        <f>VLOOKUP(Query1[[#This Row],[Description]],'kits to boards'!$B$2:$E$156,4,FALSE)</f>
        <v>0</v>
      </c>
      <c r="O2551" t="str">
        <f>CONCATENATE(Query1[[#This Row],[Description]]," - ",Query1[[#This Row],[MB1]]," - ",Query1[[#This Row],[MB2]]," - ",Query1[[#This Row],[MB3]])</f>
        <v>EVAP KIT 55-56 CHEVY - 830054 - 0 - 0</v>
      </c>
    </row>
    <row r="2552" spans="1:15" x14ac:dyDescent="0.25">
      <c r="A2552" s="1">
        <v>915847</v>
      </c>
      <c r="B2552" s="1" t="s">
        <v>52</v>
      </c>
      <c r="C2552" s="1" t="s">
        <v>53</v>
      </c>
      <c r="D2552" s="2">
        <v>44641.319223298611</v>
      </c>
      <c r="E2552" s="1" t="s">
        <v>8</v>
      </c>
      <c r="F2552" s="1">
        <v>5</v>
      </c>
      <c r="G2552" s="1">
        <v>0</v>
      </c>
      <c r="H2552" s="6">
        <f>INT(Query1[[#This Row],[EntryDateTime]])</f>
        <v>44641</v>
      </c>
      <c r="I2552" s="1">
        <f>IF(Query1[[#This Row],[ItemType]]="EVAP KIT SF GEN IV",Query1[[#This Row],[OrderQty]]+I2551,I2551)</f>
        <v>3062</v>
      </c>
      <c r="J2552" s="1">
        <f>IF(Query1[[#This Row],[ItemType]]="EVAP KIT UNIVERSAL",Query1[[#This Row],[OrderQty]]+J2551,J2551)</f>
        <v>1250</v>
      </c>
      <c r="K2552" s="1">
        <f>Query1[[#This Row],[SF Running Total]]+Query1[[#This Row],[UNIV Running Total]]</f>
        <v>4312</v>
      </c>
      <c r="L2552">
        <f>VLOOKUP(Query1[[#This Row],[Description]],'kits to boards'!$B$2:$E$156,2,FALSE)</f>
        <v>830017</v>
      </c>
      <c r="M2552">
        <f>VLOOKUP(Query1[[#This Row],[Description]],'kits to boards'!$B$2:$E$156,3,FALSE)</f>
        <v>830119</v>
      </c>
      <c r="N2552">
        <f>VLOOKUP(Query1[[#This Row],[Description]],'kits to boards'!$B$2:$E$156,4,FALSE)</f>
        <v>830120</v>
      </c>
      <c r="O2552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2553" spans="1:15" x14ac:dyDescent="0.25">
      <c r="A2553" s="1">
        <v>915847</v>
      </c>
      <c r="B2553" s="1" t="s">
        <v>32</v>
      </c>
      <c r="C2553" s="1" t="s">
        <v>33</v>
      </c>
      <c r="D2553" s="2">
        <v>44641.319225578707</v>
      </c>
      <c r="E2553" s="1" t="s">
        <v>8</v>
      </c>
      <c r="F2553" s="1">
        <v>6</v>
      </c>
      <c r="G2553" s="1">
        <v>0</v>
      </c>
      <c r="H2553" s="6">
        <f>INT(Query1[[#This Row],[EntryDateTime]])</f>
        <v>44641</v>
      </c>
      <c r="I2553" s="1">
        <f>IF(Query1[[#This Row],[ItemType]]="EVAP KIT SF GEN IV",Query1[[#This Row],[OrderQty]]+I2552,I2552)</f>
        <v>3068</v>
      </c>
      <c r="J2553" s="1">
        <f>IF(Query1[[#This Row],[ItemType]]="EVAP KIT UNIVERSAL",Query1[[#This Row],[OrderQty]]+J2552,J2552)</f>
        <v>1250</v>
      </c>
      <c r="K2553" s="1">
        <f>Query1[[#This Row],[SF Running Total]]+Query1[[#This Row],[UNIV Running Total]]</f>
        <v>4318</v>
      </c>
      <c r="L2553">
        <f>VLOOKUP(Query1[[#This Row],[Description]],'kits to boards'!$B$2:$E$156,2,FALSE)</f>
        <v>830016</v>
      </c>
      <c r="M2553">
        <f>VLOOKUP(Query1[[#This Row],[Description]],'kits to boards'!$B$2:$E$156,3,FALSE)</f>
        <v>0</v>
      </c>
      <c r="N2553">
        <f>VLOOKUP(Query1[[#This Row],[Description]],'kits to boards'!$B$2:$E$156,4,FALSE)</f>
        <v>0</v>
      </c>
      <c r="O2553" t="str">
        <f>CONCATENATE(Query1[[#This Row],[Description]]," - ",Query1[[#This Row],[MB1]]," - ",Query1[[#This Row],[MB2]]," - ",Query1[[#This Row],[MB3]])</f>
        <v>EVAP KIT 67-68 CAMARO/FIREBIRD W/AC - 830016 - 0 - 0</v>
      </c>
    </row>
    <row r="2554" spans="1:15" x14ac:dyDescent="0.25">
      <c r="A2554" s="1">
        <v>915847</v>
      </c>
      <c r="B2554" s="1" t="s">
        <v>70</v>
      </c>
      <c r="C2554" s="1" t="s">
        <v>71</v>
      </c>
      <c r="D2554" s="2">
        <v>44641.319227662039</v>
      </c>
      <c r="E2554" s="1" t="s">
        <v>8</v>
      </c>
      <c r="F2554" s="1">
        <v>2</v>
      </c>
      <c r="G2554" s="1">
        <v>0</v>
      </c>
      <c r="H2554" s="6">
        <f>INT(Query1[[#This Row],[EntryDateTime]])</f>
        <v>44641</v>
      </c>
      <c r="I2554" s="1">
        <f>IF(Query1[[#This Row],[ItemType]]="EVAP KIT SF GEN IV",Query1[[#This Row],[OrderQty]]+I2553,I2553)</f>
        <v>3070</v>
      </c>
      <c r="J2554" s="1">
        <f>IF(Query1[[#This Row],[ItemType]]="EVAP KIT UNIVERSAL",Query1[[#This Row],[OrderQty]]+J2553,J2553)</f>
        <v>1250</v>
      </c>
      <c r="K2554" s="1">
        <f>Query1[[#This Row],[SF Running Total]]+Query1[[#This Row],[UNIV Running Total]]</f>
        <v>4320</v>
      </c>
      <c r="L2554">
        <f>VLOOKUP(Query1[[#This Row],[Description]],'kits to boards'!$B$2:$E$156,2,FALSE)</f>
        <v>830050</v>
      </c>
      <c r="M2554">
        <f>VLOOKUP(Query1[[#This Row],[Description]],'kits to boards'!$B$2:$E$156,3,FALSE)</f>
        <v>0</v>
      </c>
      <c r="N2554">
        <f>VLOOKUP(Query1[[#This Row],[Description]],'kits to boards'!$B$2:$E$156,4,FALSE)</f>
        <v>0</v>
      </c>
      <c r="O2554" t="str">
        <f>CONCATENATE(Query1[[#This Row],[Description]]," - ",Query1[[#This Row],[MB1]]," - ",Query1[[#This Row],[MB2]]," - ",Query1[[#This Row],[MB3]])</f>
        <v>EVAP KIT 70-78 CAMARO WO AC - 830050 - 0 - 0</v>
      </c>
    </row>
    <row r="2555" spans="1:15" x14ac:dyDescent="0.25">
      <c r="A2555" s="1">
        <v>915847</v>
      </c>
      <c r="B2555" s="1" t="s">
        <v>132</v>
      </c>
      <c r="C2555" s="1" t="s">
        <v>133</v>
      </c>
      <c r="D2555" s="2">
        <v>44641.319231250003</v>
      </c>
      <c r="E2555" s="1" t="s">
        <v>8</v>
      </c>
      <c r="F2555" s="1">
        <v>2</v>
      </c>
      <c r="G2555" s="1">
        <v>0</v>
      </c>
      <c r="H2555" s="6">
        <f>INT(Query1[[#This Row],[EntryDateTime]])</f>
        <v>44641</v>
      </c>
      <c r="I2555" s="1">
        <f>IF(Query1[[#This Row],[ItemType]]="EVAP KIT SF GEN IV",Query1[[#This Row],[OrderQty]]+I2554,I2554)</f>
        <v>3072</v>
      </c>
      <c r="J2555" s="1">
        <f>IF(Query1[[#This Row],[ItemType]]="EVAP KIT UNIVERSAL",Query1[[#This Row],[OrderQty]]+J2554,J2554)</f>
        <v>1250</v>
      </c>
      <c r="K2555" s="1">
        <f>Query1[[#This Row],[SF Running Total]]+Query1[[#This Row],[UNIV Running Total]]</f>
        <v>4322</v>
      </c>
      <c r="L2555">
        <f>VLOOKUP(Query1[[#This Row],[Description]],'kits to boards'!$B$2:$E$156,2,FALSE)</f>
        <v>830005</v>
      </c>
      <c r="M2555">
        <f>VLOOKUP(Query1[[#This Row],[Description]],'kits to boards'!$B$2:$E$156,3,FALSE)</f>
        <v>0</v>
      </c>
      <c r="N2555">
        <f>VLOOKUP(Query1[[#This Row],[Description]],'kits to boards'!$B$2:$E$156,4,FALSE)</f>
        <v>0</v>
      </c>
      <c r="O2555" t="str">
        <f>CONCATENATE(Query1[[#This Row],[Description]]," - ",Query1[[#This Row],[MB1]]," - ",Query1[[#This Row],[MB2]]," - ",Query1[[#This Row],[MB3]])</f>
        <v>EVAP KIT 61-62 IMPALA WO AC - 830005 - 0 - 0</v>
      </c>
    </row>
    <row r="2556" spans="1:15" x14ac:dyDescent="0.25">
      <c r="A2556" s="1">
        <v>915847</v>
      </c>
      <c r="B2556" s="1" t="s">
        <v>174</v>
      </c>
      <c r="C2556" s="1" t="s">
        <v>175</v>
      </c>
      <c r="D2556" s="2">
        <v>44641.319234143521</v>
      </c>
      <c r="E2556" s="1" t="s">
        <v>8</v>
      </c>
      <c r="F2556" s="1">
        <v>1</v>
      </c>
      <c r="G2556" s="1">
        <v>0</v>
      </c>
      <c r="H2556" s="6">
        <f>INT(Query1[[#This Row],[EntryDateTime]])</f>
        <v>44641</v>
      </c>
      <c r="I2556" s="1">
        <f>IF(Query1[[#This Row],[ItemType]]="EVAP KIT SF GEN IV",Query1[[#This Row],[OrderQty]]+I2555,I2555)</f>
        <v>3073</v>
      </c>
      <c r="J2556" s="1">
        <f>IF(Query1[[#This Row],[ItemType]]="EVAP KIT UNIVERSAL",Query1[[#This Row],[OrderQty]]+J2555,J2555)</f>
        <v>1250</v>
      </c>
      <c r="K2556" s="1">
        <f>Query1[[#This Row],[SF Running Total]]+Query1[[#This Row],[UNIV Running Total]]</f>
        <v>4323</v>
      </c>
      <c r="L2556">
        <f>VLOOKUP(Query1[[#This Row],[Description]],'kits to boards'!$B$2:$E$156,2,FALSE)</f>
        <v>830007</v>
      </c>
      <c r="M2556">
        <f>VLOOKUP(Query1[[#This Row],[Description]],'kits to boards'!$B$2:$E$156,3,FALSE)</f>
        <v>0</v>
      </c>
      <c r="N2556">
        <f>VLOOKUP(Query1[[#This Row],[Description]],'kits to boards'!$B$2:$E$156,4,FALSE)</f>
        <v>0</v>
      </c>
      <c r="O2556" t="str">
        <f>CONCATENATE(Query1[[#This Row],[Description]]," - ",Query1[[#This Row],[MB1]]," - ",Query1[[#This Row],[MB2]]," - ",Query1[[#This Row],[MB3]])</f>
        <v>EVAP KIT 64 IMPALA W/AC - 830007 - 0 - 0</v>
      </c>
    </row>
    <row r="2557" spans="1:15" x14ac:dyDescent="0.25">
      <c r="A2557" s="1">
        <v>915847</v>
      </c>
      <c r="B2557" s="1" t="s">
        <v>68</v>
      </c>
      <c r="C2557" s="1" t="s">
        <v>69</v>
      </c>
      <c r="D2557" s="2">
        <v>44641.31923587963</v>
      </c>
      <c r="E2557" s="1" t="s">
        <v>8</v>
      </c>
      <c r="F2557" s="1">
        <v>4</v>
      </c>
      <c r="G2557" s="1">
        <v>0</v>
      </c>
      <c r="H2557" s="6">
        <f>INT(Query1[[#This Row],[EntryDateTime]])</f>
        <v>44641</v>
      </c>
      <c r="I2557" s="1">
        <f>IF(Query1[[#This Row],[ItemType]]="EVAP KIT SF GEN IV",Query1[[#This Row],[OrderQty]]+I2556,I2556)</f>
        <v>3077</v>
      </c>
      <c r="J2557" s="1">
        <f>IF(Query1[[#This Row],[ItemType]]="EVAP KIT UNIVERSAL",Query1[[#This Row],[OrderQty]]+J2556,J2556)</f>
        <v>1250</v>
      </c>
      <c r="K2557" s="1">
        <f>Query1[[#This Row],[SF Running Total]]+Query1[[#This Row],[UNIV Running Total]]</f>
        <v>4327</v>
      </c>
      <c r="L2557">
        <f>VLOOKUP(Query1[[#This Row],[Description]],'kits to boards'!$B$2:$E$156,2,FALSE)</f>
        <v>830010</v>
      </c>
      <c r="M2557">
        <f>VLOOKUP(Query1[[#This Row],[Description]],'kits to boards'!$B$2:$E$156,3,FALSE)</f>
        <v>0</v>
      </c>
      <c r="N2557">
        <f>VLOOKUP(Query1[[#This Row],[Description]],'kits to boards'!$B$2:$E$156,4,FALSE)</f>
        <v>0</v>
      </c>
      <c r="O2557" t="str">
        <f>CONCATENATE(Query1[[#This Row],[Description]]," - ",Query1[[#This Row],[MB1]]," - ",Query1[[#This Row],[MB2]]," - ",Query1[[#This Row],[MB3]])</f>
        <v>EVAP KIT 70-72 CHEVELLE WO AC - 830010 - 0 - 0</v>
      </c>
    </row>
    <row r="2558" spans="1:15" x14ac:dyDescent="0.25">
      <c r="A2558" s="1">
        <v>915847</v>
      </c>
      <c r="B2558" s="1" t="s">
        <v>94</v>
      </c>
      <c r="C2558" s="1" t="s">
        <v>95</v>
      </c>
      <c r="D2558" s="2">
        <v>44641.319237650459</v>
      </c>
      <c r="E2558" s="1" t="s">
        <v>8</v>
      </c>
      <c r="F2558" s="1">
        <v>2</v>
      </c>
      <c r="G2558" s="1">
        <v>0</v>
      </c>
      <c r="H2558" s="6">
        <f>INT(Query1[[#This Row],[EntryDateTime]])</f>
        <v>44641</v>
      </c>
      <c r="I2558" s="1">
        <f>IF(Query1[[#This Row],[ItemType]]="EVAP KIT SF GEN IV",Query1[[#This Row],[OrderQty]]+I2557,I2557)</f>
        <v>3079</v>
      </c>
      <c r="J2558" s="1">
        <f>IF(Query1[[#This Row],[ItemType]]="EVAP KIT UNIVERSAL",Query1[[#This Row],[OrderQty]]+J2557,J2557)</f>
        <v>1250</v>
      </c>
      <c r="K2558" s="1">
        <f>Query1[[#This Row],[SF Running Total]]+Query1[[#This Row],[UNIV Running Total]]</f>
        <v>4329</v>
      </c>
      <c r="L2558">
        <f>VLOOKUP(Query1[[#This Row],[Description]],'kits to boards'!$B$2:$E$156,2,FALSE)</f>
        <v>830076</v>
      </c>
      <c r="M2558">
        <f>VLOOKUP(Query1[[#This Row],[Description]],'kits to boards'!$B$2:$E$156,3,FALSE)</f>
        <v>0</v>
      </c>
      <c r="N2558">
        <f>VLOOKUP(Query1[[#This Row],[Description]],'kits to boards'!$B$2:$E$156,4,FALSE)</f>
        <v>0</v>
      </c>
      <c r="O2558" t="str">
        <f>CONCATENATE(Query1[[#This Row],[Description]]," - ",Query1[[#This Row],[MB1]]," - ",Query1[[#This Row],[MB2]]," - ",Query1[[#This Row],[MB3]])</f>
        <v>EVAP KIT 64 1/2- 66 MUSTANG  - 830076 - 0 - 0</v>
      </c>
    </row>
    <row r="2559" spans="1:15" x14ac:dyDescent="0.25">
      <c r="A2559" s="1">
        <v>915847</v>
      </c>
      <c r="B2559" s="1" t="s">
        <v>158</v>
      </c>
      <c r="C2559" s="1" t="s">
        <v>159</v>
      </c>
      <c r="D2559" s="2">
        <v>44641.319239386576</v>
      </c>
      <c r="E2559" s="1" t="s">
        <v>8</v>
      </c>
      <c r="F2559" s="1">
        <v>2</v>
      </c>
      <c r="G2559" s="1">
        <v>0</v>
      </c>
      <c r="H2559" s="6">
        <f>INT(Query1[[#This Row],[EntryDateTime]])</f>
        <v>44641</v>
      </c>
      <c r="I2559" s="1">
        <f>IF(Query1[[#This Row],[ItemType]]="EVAP KIT SF GEN IV",Query1[[#This Row],[OrderQty]]+I2558,I2558)</f>
        <v>3081</v>
      </c>
      <c r="J2559" s="1">
        <f>IF(Query1[[#This Row],[ItemType]]="EVAP KIT UNIVERSAL",Query1[[#This Row],[OrderQty]]+J2558,J2558)</f>
        <v>1250</v>
      </c>
      <c r="K2559" s="1">
        <f>Query1[[#This Row],[SF Running Total]]+Query1[[#This Row],[UNIV Running Total]]</f>
        <v>4331</v>
      </c>
      <c r="L2559">
        <f>VLOOKUP(Query1[[#This Row],[Description]],'kits to boards'!$B$2:$E$156,2,FALSE)</f>
        <v>830080</v>
      </c>
      <c r="M2559">
        <f>VLOOKUP(Query1[[#This Row],[Description]],'kits to boards'!$B$2:$E$156,3,FALSE)</f>
        <v>830046</v>
      </c>
      <c r="N2559">
        <f>VLOOKUP(Query1[[#This Row],[Description]],'kits to boards'!$B$2:$E$156,4,FALSE)</f>
        <v>0</v>
      </c>
      <c r="O2559" t="str">
        <f>CONCATENATE(Query1[[#This Row],[Description]]," - ",Query1[[#This Row],[MB1]]," - ",Query1[[#This Row],[MB2]]," - ",Query1[[#This Row],[MB3]])</f>
        <v>EVAP KIT 69-70 MUSTANG W/AC  - 830080 - 830046 - 0</v>
      </c>
    </row>
    <row r="2560" spans="1:15" x14ac:dyDescent="0.25">
      <c r="A2560" s="1">
        <v>915847</v>
      </c>
      <c r="B2560" s="1" t="s">
        <v>166</v>
      </c>
      <c r="C2560" s="1" t="s">
        <v>167</v>
      </c>
      <c r="D2560" s="2">
        <v>44641.319241122685</v>
      </c>
      <c r="E2560" s="1" t="s">
        <v>8</v>
      </c>
      <c r="F2560" s="1">
        <v>1</v>
      </c>
      <c r="G2560" s="1">
        <v>0</v>
      </c>
      <c r="H2560" s="6">
        <f>INT(Query1[[#This Row],[EntryDateTime]])</f>
        <v>44641</v>
      </c>
      <c r="I2560" s="1">
        <f>IF(Query1[[#This Row],[ItemType]]="EVAP KIT SF GEN IV",Query1[[#This Row],[OrderQty]]+I2559,I2559)</f>
        <v>3082</v>
      </c>
      <c r="J2560" s="1">
        <f>IF(Query1[[#This Row],[ItemType]]="EVAP KIT UNIVERSAL",Query1[[#This Row],[OrderQty]]+J2559,J2559)</f>
        <v>1250</v>
      </c>
      <c r="K2560" s="1">
        <f>Query1[[#This Row],[SF Running Total]]+Query1[[#This Row],[UNIV Running Total]]</f>
        <v>4332</v>
      </c>
      <c r="L2560">
        <f>VLOOKUP(Query1[[#This Row],[Description]],'kits to boards'!$B$2:$E$156,2,FALSE)</f>
        <v>830063</v>
      </c>
      <c r="M2560">
        <f>VLOOKUP(Query1[[#This Row],[Description]],'kits to boards'!$B$2:$E$156,3,FALSE)</f>
        <v>0</v>
      </c>
      <c r="N2560">
        <f>VLOOKUP(Query1[[#This Row],[Description]],'kits to boards'!$B$2:$E$156,4,FALSE)</f>
        <v>0</v>
      </c>
      <c r="O2560" t="str">
        <f>CONCATENATE(Query1[[#This Row],[Description]]," - ",Query1[[#This Row],[MB1]]," - ",Query1[[#This Row],[MB2]]," - ",Query1[[#This Row],[MB3]])</f>
        <v>EVAP KIT 47-49 CHEV P-UP GEN IV - 830063 - 0 - 0</v>
      </c>
    </row>
    <row r="2561" spans="1:15" x14ac:dyDescent="0.25">
      <c r="A2561" s="1">
        <v>915847</v>
      </c>
      <c r="B2561" s="1" t="s">
        <v>112</v>
      </c>
      <c r="C2561" s="1" t="s">
        <v>113</v>
      </c>
      <c r="D2561" s="2">
        <v>44641.319242858794</v>
      </c>
      <c r="E2561" s="1" t="s">
        <v>8</v>
      </c>
      <c r="F2561" s="1">
        <v>1</v>
      </c>
      <c r="G2561" s="1">
        <v>0</v>
      </c>
      <c r="H2561" s="6">
        <f>INT(Query1[[#This Row],[EntryDateTime]])</f>
        <v>44641</v>
      </c>
      <c r="I2561" s="1">
        <f>IF(Query1[[#This Row],[ItemType]]="EVAP KIT SF GEN IV",Query1[[#This Row],[OrderQty]]+I2560,I2560)</f>
        <v>3083</v>
      </c>
      <c r="J2561" s="1">
        <f>IF(Query1[[#This Row],[ItemType]]="EVAP KIT UNIVERSAL",Query1[[#This Row],[OrderQty]]+J2560,J2560)</f>
        <v>1250</v>
      </c>
      <c r="K2561" s="1">
        <f>Query1[[#This Row],[SF Running Total]]+Query1[[#This Row],[UNIV Running Total]]</f>
        <v>4333</v>
      </c>
      <c r="L2561">
        <f>VLOOKUP(Query1[[#This Row],[Description]],'kits to boards'!$B$2:$E$156,2,FALSE)</f>
        <v>830063</v>
      </c>
      <c r="M2561">
        <f>VLOOKUP(Query1[[#This Row],[Description]],'kits to boards'!$B$2:$E$156,3,FALSE)</f>
        <v>0</v>
      </c>
      <c r="N2561">
        <f>VLOOKUP(Query1[[#This Row],[Description]],'kits to boards'!$B$2:$E$156,4,FALSE)</f>
        <v>0</v>
      </c>
      <c r="O2561" t="str">
        <f>CONCATENATE(Query1[[#This Row],[Description]]," - ",Query1[[#This Row],[MB1]]," - ",Query1[[#This Row],[MB2]]," - ",Query1[[#This Row],[MB3]])</f>
        <v>EVAP KIT 54-55 CHEV P-UP GEN IV - 830063 - 0 - 0</v>
      </c>
    </row>
    <row r="2562" spans="1:15" x14ac:dyDescent="0.25">
      <c r="A2562" s="1">
        <v>915847</v>
      </c>
      <c r="B2562" s="1" t="s">
        <v>36</v>
      </c>
      <c r="C2562" s="1" t="s">
        <v>37</v>
      </c>
      <c r="D2562" s="2">
        <v>44641.31924459491</v>
      </c>
      <c r="E2562" s="1" t="s">
        <v>8</v>
      </c>
      <c r="F2562" s="1">
        <v>1</v>
      </c>
      <c r="G2562" s="1">
        <v>0</v>
      </c>
      <c r="H2562" s="6">
        <f>INT(Query1[[#This Row],[EntryDateTime]])</f>
        <v>44641</v>
      </c>
      <c r="I2562" s="1">
        <f>IF(Query1[[#This Row],[ItemType]]="EVAP KIT SF GEN IV",Query1[[#This Row],[OrderQty]]+I2561,I2561)</f>
        <v>3084</v>
      </c>
      <c r="J2562" s="1">
        <f>IF(Query1[[#This Row],[ItemType]]="EVAP KIT UNIVERSAL",Query1[[#This Row],[OrderQty]]+J2561,J2561)</f>
        <v>1250</v>
      </c>
      <c r="K2562" s="1">
        <f>Query1[[#This Row],[SF Running Total]]+Query1[[#This Row],[UNIV Running Total]]</f>
        <v>4334</v>
      </c>
      <c r="L2562">
        <f>VLOOKUP(Query1[[#This Row],[Description]],'kits to boards'!$B$2:$E$156,2,FALSE)</f>
        <v>830015</v>
      </c>
      <c r="M2562">
        <f>VLOOKUP(Query1[[#This Row],[Description]],'kits to boards'!$B$2:$E$156,3,FALSE)</f>
        <v>0</v>
      </c>
      <c r="N2562">
        <f>VLOOKUP(Query1[[#This Row],[Description]],'kits to boards'!$B$2:$E$156,4,FALSE)</f>
        <v>0</v>
      </c>
      <c r="O2562" t="str">
        <f>CONCATENATE(Query1[[#This Row],[Description]]," - ",Query1[[#This Row],[MB1]]," - ",Query1[[#This Row],[MB2]]," - ",Query1[[#This Row],[MB3]])</f>
        <v>EVAP KIT 64-66 CHEV P-UP WO AC W/STD - 830015 - 0 - 0</v>
      </c>
    </row>
    <row r="2563" spans="1:15" x14ac:dyDescent="0.25">
      <c r="A2563" s="1">
        <v>915847</v>
      </c>
      <c r="B2563" s="1" t="s">
        <v>42</v>
      </c>
      <c r="C2563" s="1" t="s">
        <v>43</v>
      </c>
      <c r="D2563" s="2">
        <v>44641.319246412037</v>
      </c>
      <c r="E2563" s="1" t="s">
        <v>8</v>
      </c>
      <c r="F2563" s="1">
        <v>1</v>
      </c>
      <c r="G2563" s="1">
        <v>0</v>
      </c>
      <c r="H2563" s="6">
        <f>INT(Query1[[#This Row],[EntryDateTime]])</f>
        <v>44641</v>
      </c>
      <c r="I2563" s="1">
        <f>IF(Query1[[#This Row],[ItemType]]="EVAP KIT SF GEN IV",Query1[[#This Row],[OrderQty]]+I2562,I2562)</f>
        <v>3085</v>
      </c>
      <c r="J2563" s="1">
        <f>IF(Query1[[#This Row],[ItemType]]="EVAP KIT UNIVERSAL",Query1[[#This Row],[OrderQty]]+J2562,J2562)</f>
        <v>1250</v>
      </c>
      <c r="K2563" s="1">
        <f>Query1[[#This Row],[SF Running Total]]+Query1[[#This Row],[UNIV Running Total]]</f>
        <v>4335</v>
      </c>
      <c r="L2563">
        <f>VLOOKUP(Query1[[#This Row],[Description]],'kits to boards'!$B$2:$E$156,2,FALSE)</f>
        <v>830014</v>
      </c>
      <c r="M2563">
        <f>VLOOKUP(Query1[[#This Row],[Description]],'kits to boards'!$B$2:$E$156,3,FALSE)</f>
        <v>0</v>
      </c>
      <c r="N2563">
        <f>VLOOKUP(Query1[[#This Row],[Description]],'kits to boards'!$B$2:$E$156,4,FALSE)</f>
        <v>0</v>
      </c>
      <c r="O2563" t="str">
        <f>CONCATENATE(Query1[[#This Row],[Description]]," - ",Query1[[#This Row],[MB1]]," - ",Query1[[#This Row],[MB2]]," - ",Query1[[#This Row],[MB3]])</f>
        <v>EVAP KIT 67-72 CHEV P-UP WO AC - 830014 - 0 - 0</v>
      </c>
    </row>
    <row r="2564" spans="1:15" x14ac:dyDescent="0.25">
      <c r="A2564" s="1">
        <v>915847</v>
      </c>
      <c r="B2564" s="1" t="s">
        <v>26</v>
      </c>
      <c r="C2564" s="1" t="s">
        <v>27</v>
      </c>
      <c r="D2564" s="2">
        <v>44641.319248229163</v>
      </c>
      <c r="E2564" s="1" t="s">
        <v>8</v>
      </c>
      <c r="F2564" s="1">
        <v>1</v>
      </c>
      <c r="G2564" s="1">
        <v>0</v>
      </c>
      <c r="H2564" s="6">
        <f>INT(Query1[[#This Row],[EntryDateTime]])</f>
        <v>44641</v>
      </c>
      <c r="I2564" s="1">
        <f>IF(Query1[[#This Row],[ItemType]]="EVAP KIT SF GEN IV",Query1[[#This Row],[OrderQty]]+I2563,I2563)</f>
        <v>3086</v>
      </c>
      <c r="J2564" s="1">
        <f>IF(Query1[[#This Row],[ItemType]]="EVAP KIT UNIVERSAL",Query1[[#This Row],[OrderQty]]+J2563,J2563)</f>
        <v>1250</v>
      </c>
      <c r="K2564" s="1">
        <f>Query1[[#This Row],[SF Running Total]]+Query1[[#This Row],[UNIV Running Total]]</f>
        <v>4336</v>
      </c>
      <c r="L2564">
        <f>VLOOKUP(Query1[[#This Row],[Description]],'kits to boards'!$B$2:$E$156,2,FALSE)</f>
        <v>830013</v>
      </c>
      <c r="M2564">
        <f>VLOOKUP(Query1[[#This Row],[Description]],'kits to boards'!$B$2:$E$156,3,FALSE)</f>
        <v>0</v>
      </c>
      <c r="N2564">
        <f>VLOOKUP(Query1[[#This Row],[Description]],'kits to boards'!$B$2:$E$156,4,FALSE)</f>
        <v>0</v>
      </c>
      <c r="O2564" t="str">
        <f>CONCATENATE(Query1[[#This Row],[Description]]," - ",Query1[[#This Row],[MB1]]," - ",Query1[[#This Row],[MB2]]," - ",Query1[[#This Row],[MB3]])</f>
        <v>EVAP KIT 67-72 CHEV P-UP W/AC - 830013 - 0 - 0</v>
      </c>
    </row>
    <row r="2565" spans="1:15" x14ac:dyDescent="0.25">
      <c r="A2565" s="1">
        <v>915847</v>
      </c>
      <c r="B2565" s="1" t="s">
        <v>96</v>
      </c>
      <c r="C2565" s="1" t="s">
        <v>97</v>
      </c>
      <c r="D2565" s="2">
        <v>44641.319250231485</v>
      </c>
      <c r="E2565" s="1" t="s">
        <v>8</v>
      </c>
      <c r="F2565" s="1">
        <v>1</v>
      </c>
      <c r="G2565" s="1">
        <v>0</v>
      </c>
      <c r="H2565" s="6">
        <f>INT(Query1[[#This Row],[EntryDateTime]])</f>
        <v>44641</v>
      </c>
      <c r="I2565" s="1">
        <f>IF(Query1[[#This Row],[ItemType]]="EVAP KIT SF GEN IV",Query1[[#This Row],[OrderQty]]+I2564,I2564)</f>
        <v>3087</v>
      </c>
      <c r="J2565" s="1">
        <f>IF(Query1[[#This Row],[ItemType]]="EVAP KIT UNIVERSAL",Query1[[#This Row],[OrderQty]]+J2564,J2564)</f>
        <v>1250</v>
      </c>
      <c r="K2565" s="1">
        <f>Query1[[#This Row],[SF Running Total]]+Query1[[#This Row],[UNIV Running Total]]</f>
        <v>4337</v>
      </c>
      <c r="L2565">
        <f>VLOOKUP(Query1[[#This Row],[Description]],'kits to boards'!$B$2:$E$156,2,FALSE)</f>
        <v>830004</v>
      </c>
      <c r="M2565">
        <f>VLOOKUP(Query1[[#This Row],[Description]],'kits to boards'!$B$2:$E$156,3,FALSE)</f>
        <v>0</v>
      </c>
      <c r="N2565">
        <f>VLOOKUP(Query1[[#This Row],[Description]],'kits to boards'!$B$2:$E$156,4,FALSE)</f>
        <v>0</v>
      </c>
      <c r="O2565" t="str">
        <f>CONCATENATE(Query1[[#This Row],[Description]]," - ",Query1[[#This Row],[MB1]]," - ",Query1[[#This Row],[MB2]]," - ",Query1[[#This Row],[MB3]])</f>
        <v>EVAP KIT 81-87 CHEV P-UP W/AC - 830004 - 0 - 0</v>
      </c>
    </row>
    <row r="2566" spans="1:15" x14ac:dyDescent="0.25">
      <c r="A2566" s="1">
        <v>915847</v>
      </c>
      <c r="B2566" s="1" t="s">
        <v>506</v>
      </c>
      <c r="C2566" s="1" t="s">
        <v>507</v>
      </c>
      <c r="D2566" s="2">
        <v>44641.319252002315</v>
      </c>
      <c r="E2566" s="1" t="s">
        <v>677</v>
      </c>
      <c r="F2566" s="1">
        <v>1</v>
      </c>
      <c r="G2566" s="1">
        <v>0</v>
      </c>
      <c r="H2566" s="6">
        <f>INT(Query1[[#This Row],[EntryDateTime]])</f>
        <v>44641</v>
      </c>
      <c r="I2566" s="1">
        <f>IF(Query1[[#This Row],[ItemType]]="EVAP KIT SF GEN IV",Query1[[#This Row],[OrderQty]]+I2565,I2565)</f>
        <v>3087</v>
      </c>
      <c r="J2566" s="1">
        <f>IF(Query1[[#This Row],[ItemType]]="EVAP KIT UNIVERSAL",Query1[[#This Row],[OrderQty]]+J2565,J2565)</f>
        <v>1250</v>
      </c>
      <c r="K2566" s="1">
        <f>Query1[[#This Row],[SF Running Total]]+Query1[[#This Row],[UNIV Running Total]]</f>
        <v>4337</v>
      </c>
      <c r="L2566" t="e">
        <f>VLOOKUP(Query1[[#This Row],[Description]],'kits to boards'!$B$2:$E$156,2,FALSE)</f>
        <v>#N/A</v>
      </c>
      <c r="M2566" t="e">
        <f>VLOOKUP(Query1[[#This Row],[Description]],'kits to boards'!$B$2:$E$156,3,FALSE)</f>
        <v>#N/A</v>
      </c>
      <c r="N2566" t="e">
        <f>VLOOKUP(Query1[[#This Row],[Description]],'kits to boards'!$B$2:$E$156,4,FALSE)</f>
        <v>#N/A</v>
      </c>
      <c r="O2566" t="e">
        <f>CONCATENATE(Query1[[#This Row],[Description]]," - ",Query1[[#This Row],[MB1]]," - ",Query1[[#This Row],[MB2]]," - ",Query1[[#This Row],[MB3]])</f>
        <v>#N/A</v>
      </c>
    </row>
    <row r="2567" spans="1:15" x14ac:dyDescent="0.25">
      <c r="A2567" s="1">
        <v>915847</v>
      </c>
      <c r="B2567" s="1" t="s">
        <v>108</v>
      </c>
      <c r="C2567" s="1" t="s">
        <v>109</v>
      </c>
      <c r="D2567" s="2">
        <v>44641.319254861111</v>
      </c>
      <c r="E2567" s="1" t="s">
        <v>8</v>
      </c>
      <c r="F2567" s="1">
        <v>8</v>
      </c>
      <c r="G2567" s="1">
        <v>0</v>
      </c>
      <c r="H2567" s="6">
        <f>INT(Query1[[#This Row],[EntryDateTime]])</f>
        <v>44641</v>
      </c>
      <c r="I2567" s="1">
        <f>IF(Query1[[#This Row],[ItemType]]="EVAP KIT SF GEN IV",Query1[[#This Row],[OrderQty]]+I2566,I2566)</f>
        <v>3095</v>
      </c>
      <c r="J2567" s="1">
        <f>IF(Query1[[#This Row],[ItemType]]="EVAP KIT UNIVERSAL",Query1[[#This Row],[OrderQty]]+J2566,J2566)</f>
        <v>1250</v>
      </c>
      <c r="K2567" s="1">
        <f>Query1[[#This Row],[SF Running Total]]+Query1[[#This Row],[UNIV Running Total]]</f>
        <v>4345</v>
      </c>
      <c r="L2567">
        <f>VLOOKUP(Query1[[#This Row],[Description]],'kits to boards'!$B$2:$E$156,2,FALSE)</f>
        <v>830105</v>
      </c>
      <c r="M2567">
        <f>VLOOKUP(Query1[[#This Row],[Description]],'kits to boards'!$B$2:$E$156,3,FALSE)</f>
        <v>830106</v>
      </c>
      <c r="N2567">
        <f>VLOOKUP(Query1[[#This Row],[Description]],'kits to boards'!$B$2:$E$156,4,FALSE)</f>
        <v>0</v>
      </c>
      <c r="O2567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2568" spans="1:15" x14ac:dyDescent="0.25">
      <c r="A2568" s="1">
        <v>915847</v>
      </c>
      <c r="B2568" s="1" t="s">
        <v>44</v>
      </c>
      <c r="C2568" s="1" t="s">
        <v>45</v>
      </c>
      <c r="D2568" s="2">
        <v>44641.319257951393</v>
      </c>
      <c r="E2568" s="1" t="s">
        <v>8</v>
      </c>
      <c r="F2568" s="1">
        <v>10</v>
      </c>
      <c r="G2568" s="1">
        <v>0</v>
      </c>
      <c r="H2568" s="6">
        <f>INT(Query1[[#This Row],[EntryDateTime]])</f>
        <v>44641</v>
      </c>
      <c r="I2568" s="1">
        <f>IF(Query1[[#This Row],[ItemType]]="EVAP KIT SF GEN IV",Query1[[#This Row],[OrderQty]]+I2567,I2567)</f>
        <v>3105</v>
      </c>
      <c r="J2568" s="1">
        <f>IF(Query1[[#This Row],[ItemType]]="EVAP KIT UNIVERSAL",Query1[[#This Row],[OrderQty]]+J2567,J2567)</f>
        <v>1250</v>
      </c>
      <c r="K2568" s="1">
        <f>Query1[[#This Row],[SF Running Total]]+Query1[[#This Row],[UNIV Running Total]]</f>
        <v>4355</v>
      </c>
      <c r="L2568">
        <f>VLOOKUP(Query1[[#This Row],[Description]],'kits to boards'!$B$2:$E$156,2,FALSE)</f>
        <v>830085</v>
      </c>
      <c r="M2568">
        <f>VLOOKUP(Query1[[#This Row],[Description]],'kits to boards'!$B$2:$E$156,3,FALSE)</f>
        <v>0</v>
      </c>
      <c r="N2568">
        <f>VLOOKUP(Query1[[#This Row],[Description]],'kits to boards'!$B$2:$E$156,4,FALSE)</f>
        <v>0</v>
      </c>
      <c r="O2568" t="str">
        <f>CONCATENATE(Query1[[#This Row],[Description]]," - ",Query1[[#This Row],[MB1]]," - ",Query1[[#This Row],[MB2]]," - ",Query1[[#This Row],[MB3]])</f>
        <v>EVAP KIT 66-77 BRONCO - 830085 - 0 - 0</v>
      </c>
    </row>
    <row r="2569" spans="1:15" x14ac:dyDescent="0.25">
      <c r="A2569" s="1">
        <v>915847</v>
      </c>
      <c r="B2569" s="1" t="s">
        <v>176</v>
      </c>
      <c r="C2569" s="1" t="s">
        <v>177</v>
      </c>
      <c r="D2569" s="2">
        <v>44641.319260648146</v>
      </c>
      <c r="E2569" s="1" t="s">
        <v>8</v>
      </c>
      <c r="F2569" s="1">
        <v>1</v>
      </c>
      <c r="G2569" s="1">
        <v>0</v>
      </c>
      <c r="H2569" s="6">
        <f>INT(Query1[[#This Row],[EntryDateTime]])</f>
        <v>44641</v>
      </c>
      <c r="I2569" s="1">
        <f>IF(Query1[[#This Row],[ItemType]]="EVAP KIT SF GEN IV",Query1[[#This Row],[OrderQty]]+I2568,I2568)</f>
        <v>3106</v>
      </c>
      <c r="J2569" s="1">
        <f>IF(Query1[[#This Row],[ItemType]]="EVAP KIT UNIVERSAL",Query1[[#This Row],[OrderQty]]+J2568,J2568)</f>
        <v>1250</v>
      </c>
      <c r="K2569" s="1">
        <f>Query1[[#This Row],[SF Running Total]]+Query1[[#This Row],[UNIV Running Total]]</f>
        <v>4356</v>
      </c>
      <c r="L2569">
        <f>VLOOKUP(Query1[[#This Row],[Description]],'kits to boards'!$B$2:$E$156,2,FALSE)</f>
        <v>830125</v>
      </c>
      <c r="M2569">
        <f>VLOOKUP(Query1[[#This Row],[Description]],'kits to boards'!$B$2:$E$156,3,FALSE)</f>
        <v>0</v>
      </c>
      <c r="N2569">
        <f>VLOOKUP(Query1[[#This Row],[Description]],'kits to boards'!$B$2:$E$156,4,FALSE)</f>
        <v>0</v>
      </c>
      <c r="O2569" t="str">
        <f>CONCATENATE(Query1[[#This Row],[Description]]," - ",Query1[[#This Row],[MB1]]," - ",Query1[[#This Row],[MB2]]," - ",Query1[[#This Row],[MB3]])</f>
        <v>EVAP KIT 65-66 IMPALA W/AC - 830125 - 0 - 0</v>
      </c>
    </row>
    <row r="2570" spans="1:15" x14ac:dyDescent="0.25">
      <c r="A2570" s="1">
        <v>915848</v>
      </c>
      <c r="B2570" s="1" t="s">
        <v>30</v>
      </c>
      <c r="C2570" s="1" t="s">
        <v>31</v>
      </c>
      <c r="D2570" s="2">
        <v>44641.326259641202</v>
      </c>
      <c r="E2570" s="1" t="s">
        <v>8</v>
      </c>
      <c r="F2570" s="1">
        <v>1</v>
      </c>
      <c r="G2570" s="1">
        <v>0</v>
      </c>
      <c r="H2570" s="6">
        <f>INT(Query1[[#This Row],[EntryDateTime]])</f>
        <v>44641</v>
      </c>
      <c r="I2570" s="1">
        <f>IF(Query1[[#This Row],[ItemType]]="EVAP KIT SF GEN IV",Query1[[#This Row],[OrderQty]]+I2569,I2569)</f>
        <v>3107</v>
      </c>
      <c r="J2570" s="1">
        <f>IF(Query1[[#This Row],[ItemType]]="EVAP KIT UNIVERSAL",Query1[[#This Row],[OrderQty]]+J2569,J2569)</f>
        <v>1250</v>
      </c>
      <c r="K2570" s="1">
        <f>Query1[[#This Row],[SF Running Total]]+Query1[[#This Row],[UNIV Running Total]]</f>
        <v>4357</v>
      </c>
      <c r="L2570">
        <f>VLOOKUP(Query1[[#This Row],[Description]],'kits to boards'!$B$2:$E$156,2,FALSE)</f>
        <v>830054</v>
      </c>
      <c r="M2570">
        <f>VLOOKUP(Query1[[#This Row],[Description]],'kits to boards'!$B$2:$E$156,3,FALSE)</f>
        <v>0</v>
      </c>
      <c r="N2570">
        <f>VLOOKUP(Query1[[#This Row],[Description]],'kits to boards'!$B$2:$E$156,4,FALSE)</f>
        <v>0</v>
      </c>
      <c r="O2570" t="str">
        <f>CONCATENATE(Query1[[#This Row],[Description]]," - ",Query1[[#This Row],[MB1]]," - ",Query1[[#This Row],[MB2]]," - ",Query1[[#This Row],[MB3]])</f>
        <v>EVAP KIT 55-56 CHEVY 4-VENT - 830054 - 0 - 0</v>
      </c>
    </row>
    <row r="2571" spans="1:15" x14ac:dyDescent="0.25">
      <c r="A2571" s="1">
        <v>915850</v>
      </c>
      <c r="B2571" s="1" t="s">
        <v>42</v>
      </c>
      <c r="C2571" s="1" t="s">
        <v>43</v>
      </c>
      <c r="D2571" s="2">
        <v>44641.329770868055</v>
      </c>
      <c r="E2571" s="1" t="s">
        <v>8</v>
      </c>
      <c r="F2571" s="1">
        <v>1</v>
      </c>
      <c r="G2571" s="1">
        <v>0</v>
      </c>
      <c r="H2571" s="6">
        <f>INT(Query1[[#This Row],[EntryDateTime]])</f>
        <v>44641</v>
      </c>
      <c r="I2571" s="1">
        <f>IF(Query1[[#This Row],[ItemType]]="EVAP KIT SF GEN IV",Query1[[#This Row],[OrderQty]]+I2570,I2570)</f>
        <v>3108</v>
      </c>
      <c r="J2571" s="1">
        <f>IF(Query1[[#This Row],[ItemType]]="EVAP KIT UNIVERSAL",Query1[[#This Row],[OrderQty]]+J2570,J2570)</f>
        <v>1250</v>
      </c>
      <c r="K2571" s="1">
        <f>Query1[[#This Row],[SF Running Total]]+Query1[[#This Row],[UNIV Running Total]]</f>
        <v>4358</v>
      </c>
      <c r="L2571">
        <f>VLOOKUP(Query1[[#This Row],[Description]],'kits to boards'!$B$2:$E$156,2,FALSE)</f>
        <v>830014</v>
      </c>
      <c r="M2571">
        <f>VLOOKUP(Query1[[#This Row],[Description]],'kits to boards'!$B$2:$E$156,3,FALSE)</f>
        <v>0</v>
      </c>
      <c r="N2571">
        <f>VLOOKUP(Query1[[#This Row],[Description]],'kits to boards'!$B$2:$E$156,4,FALSE)</f>
        <v>0</v>
      </c>
      <c r="O2571" t="str">
        <f>CONCATENATE(Query1[[#This Row],[Description]]," - ",Query1[[#This Row],[MB1]]," - ",Query1[[#This Row],[MB2]]," - ",Query1[[#This Row],[MB3]])</f>
        <v>EVAP KIT 67-72 CHEV P-UP WO AC - 830014 - 0 - 0</v>
      </c>
    </row>
    <row r="2572" spans="1:15" x14ac:dyDescent="0.25">
      <c r="A2572" s="1">
        <v>915853</v>
      </c>
      <c r="B2572" s="1" t="s">
        <v>256</v>
      </c>
      <c r="C2572" s="1" t="s">
        <v>257</v>
      </c>
      <c r="D2572" s="2">
        <v>44641.334554201392</v>
      </c>
      <c r="E2572" s="1" t="s">
        <v>8</v>
      </c>
      <c r="F2572" s="1">
        <v>1</v>
      </c>
      <c r="G2572" s="1">
        <v>0</v>
      </c>
      <c r="H2572" s="6">
        <f>INT(Query1[[#This Row],[EntryDateTime]])</f>
        <v>44641</v>
      </c>
      <c r="I2572" s="1">
        <f>IF(Query1[[#This Row],[ItemType]]="EVAP KIT SF GEN IV",Query1[[#This Row],[OrderQty]]+I2571,I2571)</f>
        <v>3109</v>
      </c>
      <c r="J2572" s="1">
        <f>IF(Query1[[#This Row],[ItemType]]="EVAP KIT UNIVERSAL",Query1[[#This Row],[OrderQty]]+J2571,J2571)</f>
        <v>1250</v>
      </c>
      <c r="K2572" s="1">
        <f>Query1[[#This Row],[SF Running Total]]+Query1[[#This Row],[UNIV Running Total]]</f>
        <v>4359</v>
      </c>
      <c r="L2572">
        <f>VLOOKUP(Query1[[#This Row],[Description]],'kits to boards'!$B$2:$E$156,2,FALSE)</f>
        <v>830025</v>
      </c>
      <c r="M2572">
        <f>VLOOKUP(Query1[[#This Row],[Description]],'kits to boards'!$B$2:$E$156,3,FALSE)</f>
        <v>830022</v>
      </c>
      <c r="N2572">
        <f>VLOOKUP(Query1[[#This Row],[Description]],'kits to boards'!$B$2:$E$156,4,FALSE)</f>
        <v>0</v>
      </c>
      <c r="O2572" t="str">
        <f>CONCATENATE(Query1[[#This Row],[Description]]," - ",Query1[[#This Row],[MB1]]," - ",Query1[[#This Row],[MB2]]," - ",Query1[[#This Row],[MB3]])</f>
        <v>EVAP KIT 68-69 CUTLASS W/AC - 830025 - 830022 - 0</v>
      </c>
    </row>
    <row r="2573" spans="1:15" x14ac:dyDescent="0.25">
      <c r="A2573" s="1">
        <v>915860</v>
      </c>
      <c r="B2573" s="1" t="s">
        <v>247</v>
      </c>
      <c r="C2573" s="1" t="s">
        <v>248</v>
      </c>
      <c r="D2573" s="2">
        <v>44641.340701539353</v>
      </c>
      <c r="E2573" s="1" t="s">
        <v>8</v>
      </c>
      <c r="F2573" s="1">
        <v>1</v>
      </c>
      <c r="G2573" s="1">
        <v>0</v>
      </c>
      <c r="H2573" s="6">
        <f>INT(Query1[[#This Row],[EntryDateTime]])</f>
        <v>44641</v>
      </c>
      <c r="I2573" s="1">
        <f>IF(Query1[[#This Row],[ItemType]]="EVAP KIT SF GEN IV",Query1[[#This Row],[OrderQty]]+I2572,I2572)</f>
        <v>3110</v>
      </c>
      <c r="J2573" s="1">
        <f>IF(Query1[[#This Row],[ItemType]]="EVAP KIT UNIVERSAL",Query1[[#This Row],[OrderQty]]+J2572,J2572)</f>
        <v>1250</v>
      </c>
      <c r="K2573" s="1">
        <f>Query1[[#This Row],[SF Running Total]]+Query1[[#This Row],[UNIV Running Total]]</f>
        <v>4360</v>
      </c>
      <c r="L2573">
        <f>VLOOKUP(Query1[[#This Row],[Description]],'kits to boards'!$B$2:$E$156,2,FALSE)</f>
        <v>830107</v>
      </c>
      <c r="M2573">
        <f>VLOOKUP(Query1[[#This Row],[Description]],'kits to boards'!$B$2:$E$156,3,FALSE)</f>
        <v>0</v>
      </c>
      <c r="N2573">
        <f>VLOOKUP(Query1[[#This Row],[Description]],'kits to boards'!$B$2:$E$156,4,FALSE)</f>
        <v>0</v>
      </c>
      <c r="O2573" t="str">
        <f>CONCATENATE(Query1[[#This Row],[Description]]," - ",Query1[[#This Row],[MB1]]," - ",Query1[[#This Row],[MB2]]," - ",Query1[[#This Row],[MB3]])</f>
        <v>EVAP KIT 69 FIREBIRD W/AC - 830107 - 0 - 0</v>
      </c>
    </row>
    <row r="2574" spans="1:15" x14ac:dyDescent="0.25">
      <c r="A2574" s="1">
        <v>915864</v>
      </c>
      <c r="B2574" s="1" t="s">
        <v>6</v>
      </c>
      <c r="C2574" s="1" t="s">
        <v>7</v>
      </c>
      <c r="D2574" s="2">
        <v>44641.342351192128</v>
      </c>
      <c r="E2574" s="1" t="s">
        <v>8</v>
      </c>
      <c r="F2574" s="1">
        <v>1</v>
      </c>
      <c r="G2574" s="1">
        <v>0</v>
      </c>
      <c r="H2574" s="6">
        <f>INT(Query1[[#This Row],[EntryDateTime]])</f>
        <v>44641</v>
      </c>
      <c r="I2574" s="1">
        <f>IF(Query1[[#This Row],[ItemType]]="EVAP KIT SF GEN IV",Query1[[#This Row],[OrderQty]]+I2573,I2573)</f>
        <v>3111</v>
      </c>
      <c r="J2574" s="1">
        <f>IF(Query1[[#This Row],[ItemType]]="EVAP KIT UNIVERSAL",Query1[[#This Row],[OrderQty]]+J2573,J2573)</f>
        <v>1250</v>
      </c>
      <c r="K2574" s="1">
        <f>Query1[[#This Row],[SF Running Total]]+Query1[[#This Row],[UNIV Running Total]]</f>
        <v>4361</v>
      </c>
      <c r="L2574">
        <f>VLOOKUP(Query1[[#This Row],[Description]],'kits to boards'!$B$2:$E$156,2,FALSE)</f>
        <v>830132</v>
      </c>
      <c r="M2574">
        <f>VLOOKUP(Query1[[#This Row],[Description]],'kits to boards'!$B$2:$E$156,3,FALSE)</f>
        <v>0</v>
      </c>
      <c r="N2574">
        <f>VLOOKUP(Query1[[#This Row],[Description]],'kits to boards'!$B$2:$E$156,4,FALSE)</f>
        <v>0</v>
      </c>
      <c r="O2574" t="str">
        <f>CONCATENATE(Query1[[#This Row],[Description]]," - ",Query1[[#This Row],[MB1]]," - ",Query1[[#This Row],[MB2]]," - ",Query1[[#This Row],[MB3]])</f>
        <v>EVAP KIT 82-88 MONTE CARLO/EL CAMINO - 830132 - 0 - 0</v>
      </c>
    </row>
    <row r="2575" spans="1:15" x14ac:dyDescent="0.25">
      <c r="A2575" s="1">
        <v>915868</v>
      </c>
      <c r="B2575" s="1" t="s">
        <v>256</v>
      </c>
      <c r="C2575" s="1" t="s">
        <v>257</v>
      </c>
      <c r="D2575" s="2">
        <v>44641.343785844911</v>
      </c>
      <c r="E2575" s="1" t="s">
        <v>8</v>
      </c>
      <c r="F2575" s="1">
        <v>1</v>
      </c>
      <c r="G2575" s="1">
        <v>0</v>
      </c>
      <c r="H2575" s="6">
        <f>INT(Query1[[#This Row],[EntryDateTime]])</f>
        <v>44641</v>
      </c>
      <c r="I2575" s="1">
        <f>IF(Query1[[#This Row],[ItemType]]="EVAP KIT SF GEN IV",Query1[[#This Row],[OrderQty]]+I2574,I2574)</f>
        <v>3112</v>
      </c>
      <c r="J2575" s="1">
        <f>IF(Query1[[#This Row],[ItemType]]="EVAP KIT UNIVERSAL",Query1[[#This Row],[OrderQty]]+J2574,J2574)</f>
        <v>1250</v>
      </c>
      <c r="K2575" s="1">
        <f>Query1[[#This Row],[SF Running Total]]+Query1[[#This Row],[UNIV Running Total]]</f>
        <v>4362</v>
      </c>
      <c r="L2575">
        <f>VLOOKUP(Query1[[#This Row],[Description]],'kits to boards'!$B$2:$E$156,2,FALSE)</f>
        <v>830025</v>
      </c>
      <c r="M2575">
        <f>VLOOKUP(Query1[[#This Row],[Description]],'kits to boards'!$B$2:$E$156,3,FALSE)</f>
        <v>830022</v>
      </c>
      <c r="N2575">
        <f>VLOOKUP(Query1[[#This Row],[Description]],'kits to boards'!$B$2:$E$156,4,FALSE)</f>
        <v>0</v>
      </c>
      <c r="O2575" t="str">
        <f>CONCATENATE(Query1[[#This Row],[Description]]," - ",Query1[[#This Row],[MB1]]," - ",Query1[[#This Row],[MB2]]," - ",Query1[[#This Row],[MB3]])</f>
        <v>EVAP KIT 68-69 CUTLASS W/AC - 830025 - 830022 - 0</v>
      </c>
    </row>
    <row r="2576" spans="1:15" x14ac:dyDescent="0.25">
      <c r="A2576" s="1">
        <v>915867</v>
      </c>
      <c r="B2576" s="1" t="s">
        <v>122</v>
      </c>
      <c r="C2576" s="1" t="s">
        <v>123</v>
      </c>
      <c r="D2576" s="2">
        <v>44641.344616203707</v>
      </c>
      <c r="E2576" s="1" t="s">
        <v>8</v>
      </c>
      <c r="F2576" s="1">
        <v>1</v>
      </c>
      <c r="G2576" s="1">
        <v>0</v>
      </c>
      <c r="H2576" s="6">
        <f>INT(Query1[[#This Row],[EntryDateTime]])</f>
        <v>44641</v>
      </c>
      <c r="I2576" s="1">
        <f>IF(Query1[[#This Row],[ItemType]]="EVAP KIT SF GEN IV",Query1[[#This Row],[OrderQty]]+I2575,I2575)</f>
        <v>3113</v>
      </c>
      <c r="J2576" s="1">
        <f>IF(Query1[[#This Row],[ItemType]]="EVAP KIT UNIVERSAL",Query1[[#This Row],[OrderQty]]+J2575,J2575)</f>
        <v>1250</v>
      </c>
      <c r="K2576" s="1">
        <f>Query1[[#This Row],[SF Running Total]]+Query1[[#This Row],[UNIV Running Total]]</f>
        <v>4363</v>
      </c>
      <c r="L2576">
        <f>VLOOKUP(Query1[[#This Row],[Description]],'kits to boards'!$B$2:$E$156,2,FALSE)</f>
        <v>830027</v>
      </c>
      <c r="M2576">
        <f>VLOOKUP(Query1[[#This Row],[Description]],'kits to boards'!$B$2:$E$156,3,FALSE)</f>
        <v>0</v>
      </c>
      <c r="N2576">
        <f>VLOOKUP(Query1[[#This Row],[Description]],'kits to boards'!$B$2:$E$156,4,FALSE)</f>
        <v>0</v>
      </c>
      <c r="O2576" t="str">
        <f>CONCATENATE(Query1[[#This Row],[Description]]," - ",Query1[[#This Row],[MB1]]," - ",Query1[[#This Row],[MB2]]," - ",Query1[[#This Row],[MB3]])</f>
        <v>EVAP KIT 70-72 CUTLASS W/AC - 830027 - 0 - 0</v>
      </c>
    </row>
    <row r="2577" spans="1:15" x14ac:dyDescent="0.25">
      <c r="A2577" s="1">
        <v>915875</v>
      </c>
      <c r="B2577" s="1" t="s">
        <v>152</v>
      </c>
      <c r="C2577" s="1" t="s">
        <v>153</v>
      </c>
      <c r="D2577" s="2">
        <v>44641.349939780092</v>
      </c>
      <c r="E2577" s="1" t="s">
        <v>8</v>
      </c>
      <c r="F2577" s="1">
        <v>1</v>
      </c>
      <c r="G2577" s="1">
        <v>0</v>
      </c>
      <c r="H2577" s="6">
        <f>INT(Query1[[#This Row],[EntryDateTime]])</f>
        <v>44641</v>
      </c>
      <c r="I2577" s="1">
        <f>IF(Query1[[#This Row],[ItemType]]="EVAP KIT SF GEN IV",Query1[[#This Row],[OrderQty]]+I2576,I2576)</f>
        <v>3114</v>
      </c>
      <c r="J2577" s="1">
        <f>IF(Query1[[#This Row],[ItemType]]="EVAP KIT UNIVERSAL",Query1[[#This Row],[OrderQty]]+J2576,J2576)</f>
        <v>1250</v>
      </c>
      <c r="K2577" s="1">
        <f>Query1[[#This Row],[SF Running Total]]+Query1[[#This Row],[UNIV Running Total]]</f>
        <v>4364</v>
      </c>
      <c r="L2577">
        <f>VLOOKUP(Query1[[#This Row],[Description]],'kits to boards'!$B$2:$E$156,2,FALSE)</f>
        <v>830034</v>
      </c>
      <c r="M2577">
        <f>VLOOKUP(Query1[[#This Row],[Description]],'kits to boards'!$B$2:$E$156,3,FALSE)</f>
        <v>0</v>
      </c>
      <c r="N2577">
        <f>VLOOKUP(Query1[[#This Row],[Description]],'kits to boards'!$B$2:$E$156,4,FALSE)</f>
        <v>0</v>
      </c>
      <c r="O2577" t="str">
        <f>CONCATENATE(Query1[[#This Row],[Description]]," - ",Query1[[#This Row],[MB1]]," - ",Query1[[#This Row],[MB2]]," - ",Query1[[#This Row],[MB3]])</f>
        <v>EVAP KIT 64-67 GTO WO AC - 830034 - 0 - 0</v>
      </c>
    </row>
    <row r="2578" spans="1:15" x14ac:dyDescent="0.25">
      <c r="A2578" s="1">
        <v>915004</v>
      </c>
      <c r="B2578" s="1" t="s">
        <v>30</v>
      </c>
      <c r="C2578" s="1" t="s">
        <v>31</v>
      </c>
      <c r="D2578" s="2">
        <v>44641.350877893521</v>
      </c>
      <c r="E2578" s="1" t="s">
        <v>8</v>
      </c>
      <c r="F2578" s="1">
        <v>1</v>
      </c>
      <c r="G2578" s="1">
        <v>0</v>
      </c>
      <c r="H2578" s="6">
        <f>INT(Query1[[#This Row],[EntryDateTime]])</f>
        <v>44641</v>
      </c>
      <c r="I2578" s="1">
        <f>IF(Query1[[#This Row],[ItemType]]="EVAP KIT SF GEN IV",Query1[[#This Row],[OrderQty]]+I2577,I2577)</f>
        <v>3115</v>
      </c>
      <c r="J2578" s="1">
        <f>IF(Query1[[#This Row],[ItemType]]="EVAP KIT UNIVERSAL",Query1[[#This Row],[OrderQty]]+J2577,J2577)</f>
        <v>1250</v>
      </c>
      <c r="K2578" s="1">
        <f>Query1[[#This Row],[SF Running Total]]+Query1[[#This Row],[UNIV Running Total]]</f>
        <v>4365</v>
      </c>
      <c r="L2578">
        <f>VLOOKUP(Query1[[#This Row],[Description]],'kits to boards'!$B$2:$E$156,2,FALSE)</f>
        <v>830054</v>
      </c>
      <c r="M2578">
        <f>VLOOKUP(Query1[[#This Row],[Description]],'kits to boards'!$B$2:$E$156,3,FALSE)</f>
        <v>0</v>
      </c>
      <c r="N2578">
        <f>VLOOKUP(Query1[[#This Row],[Description]],'kits to boards'!$B$2:$E$156,4,FALSE)</f>
        <v>0</v>
      </c>
      <c r="O2578" t="str">
        <f>CONCATENATE(Query1[[#This Row],[Description]]," - ",Query1[[#This Row],[MB1]]," - ",Query1[[#This Row],[MB2]]," - ",Query1[[#This Row],[MB3]])</f>
        <v>EVAP KIT 55-56 CHEVY 4-VENT - 830054 - 0 - 0</v>
      </c>
    </row>
    <row r="2579" spans="1:15" x14ac:dyDescent="0.25">
      <c r="A2579" s="1">
        <v>915876</v>
      </c>
      <c r="B2579" s="1" t="s">
        <v>256</v>
      </c>
      <c r="C2579" s="1" t="s">
        <v>257</v>
      </c>
      <c r="D2579" s="2">
        <v>44641.35112190972</v>
      </c>
      <c r="E2579" s="1" t="s">
        <v>8</v>
      </c>
      <c r="F2579" s="1">
        <v>1</v>
      </c>
      <c r="G2579" s="1">
        <v>0</v>
      </c>
      <c r="H2579" s="6">
        <f>INT(Query1[[#This Row],[EntryDateTime]])</f>
        <v>44641</v>
      </c>
      <c r="I2579" s="1">
        <f>IF(Query1[[#This Row],[ItemType]]="EVAP KIT SF GEN IV",Query1[[#This Row],[OrderQty]]+I2578,I2578)</f>
        <v>3116</v>
      </c>
      <c r="J2579" s="1">
        <f>IF(Query1[[#This Row],[ItemType]]="EVAP KIT UNIVERSAL",Query1[[#This Row],[OrderQty]]+J2578,J2578)</f>
        <v>1250</v>
      </c>
      <c r="K2579" s="1">
        <f>Query1[[#This Row],[SF Running Total]]+Query1[[#This Row],[UNIV Running Total]]</f>
        <v>4366</v>
      </c>
      <c r="L2579">
        <f>VLOOKUP(Query1[[#This Row],[Description]],'kits to boards'!$B$2:$E$156,2,FALSE)</f>
        <v>830025</v>
      </c>
      <c r="M2579">
        <f>VLOOKUP(Query1[[#This Row],[Description]],'kits to boards'!$B$2:$E$156,3,FALSE)</f>
        <v>830022</v>
      </c>
      <c r="N2579">
        <f>VLOOKUP(Query1[[#This Row],[Description]],'kits to boards'!$B$2:$E$156,4,FALSE)</f>
        <v>0</v>
      </c>
      <c r="O2579" t="str">
        <f>CONCATENATE(Query1[[#This Row],[Description]]," - ",Query1[[#This Row],[MB1]]," - ",Query1[[#This Row],[MB2]]," - ",Query1[[#This Row],[MB3]])</f>
        <v>EVAP KIT 68-69 CUTLASS W/AC - 830025 - 830022 - 0</v>
      </c>
    </row>
    <row r="2580" spans="1:15" x14ac:dyDescent="0.25">
      <c r="A2580" s="1">
        <v>915880</v>
      </c>
      <c r="B2580" s="1" t="s">
        <v>24</v>
      </c>
      <c r="C2580" s="1" t="s">
        <v>25</v>
      </c>
      <c r="D2580" s="2">
        <v>44641.352622604165</v>
      </c>
      <c r="E2580" s="1" t="s">
        <v>11</v>
      </c>
      <c r="F2580" s="1">
        <v>1</v>
      </c>
      <c r="G2580" s="1">
        <v>0</v>
      </c>
      <c r="H2580" s="6">
        <f>INT(Query1[[#This Row],[EntryDateTime]])</f>
        <v>44641</v>
      </c>
      <c r="I2580" s="1">
        <f>IF(Query1[[#This Row],[ItemType]]="EVAP KIT SF GEN IV",Query1[[#This Row],[OrderQty]]+I2579,I2579)</f>
        <v>3116</v>
      </c>
      <c r="J2580" s="1">
        <f>IF(Query1[[#This Row],[ItemType]]="EVAP KIT UNIVERSAL",Query1[[#This Row],[OrderQty]]+J2579,J2579)</f>
        <v>1251</v>
      </c>
      <c r="K2580" s="1">
        <f>Query1[[#This Row],[SF Running Total]]+Query1[[#This Row],[UNIV Running Total]]</f>
        <v>4367</v>
      </c>
      <c r="L2580">
        <f>VLOOKUP(Query1[[#This Row],[Description]],'kits to boards'!$B$2:$E$156,2,FALSE)</f>
        <v>830029</v>
      </c>
      <c r="M2580">
        <f>VLOOKUP(Query1[[#This Row],[Description]],'kits to boards'!$B$2:$E$156,3,FALSE)</f>
        <v>830030</v>
      </c>
      <c r="N2580">
        <f>VLOOKUP(Query1[[#This Row],[Description]],'kits to boards'!$B$2:$E$156,4,FALSE)</f>
        <v>0</v>
      </c>
      <c r="O2580" t="str">
        <f>CONCATENATE(Query1[[#This Row],[Description]]," - ",Query1[[#This Row],[MB1]]," - ",Query1[[#This Row],[MB2]]," - ",Query1[[#This Row],[MB3]])</f>
        <v>ComPac GEN II W/DEF - 830029 - 830030 - 0</v>
      </c>
    </row>
    <row r="2581" spans="1:15" x14ac:dyDescent="0.25">
      <c r="A2581" s="1">
        <v>915882</v>
      </c>
      <c r="B2581" s="1" t="s">
        <v>74</v>
      </c>
      <c r="C2581" s="1" t="s">
        <v>75</v>
      </c>
      <c r="D2581" s="2">
        <v>44641.354297650461</v>
      </c>
      <c r="E2581" s="1" t="s">
        <v>8</v>
      </c>
      <c r="F2581" s="1">
        <v>1</v>
      </c>
      <c r="G2581" s="1">
        <v>0</v>
      </c>
      <c r="H2581" s="6">
        <f>INT(Query1[[#This Row],[EntryDateTime]])</f>
        <v>44641</v>
      </c>
      <c r="I2581" s="1">
        <f>IF(Query1[[#This Row],[ItemType]]="EVAP KIT SF GEN IV",Query1[[#This Row],[OrderQty]]+I2580,I2580)</f>
        <v>3117</v>
      </c>
      <c r="J2581" s="1">
        <f>IF(Query1[[#This Row],[ItemType]]="EVAP KIT UNIVERSAL",Query1[[#This Row],[OrderQty]]+J2580,J2580)</f>
        <v>1251</v>
      </c>
      <c r="K2581" s="1">
        <f>Query1[[#This Row],[SF Running Total]]+Query1[[#This Row],[UNIV Running Total]]</f>
        <v>4368</v>
      </c>
      <c r="L2581">
        <f>VLOOKUP(Query1[[#This Row],[Description]],'kits to boards'!$B$2:$E$156,2,FALSE)</f>
        <v>830065</v>
      </c>
      <c r="M2581">
        <f>VLOOKUP(Query1[[#This Row],[Description]],'kits to boards'!$B$2:$E$156,3,FALSE)</f>
        <v>0</v>
      </c>
      <c r="N2581">
        <f>VLOOKUP(Query1[[#This Row],[Description]],'kits to boards'!$B$2:$E$156,4,FALSE)</f>
        <v>0</v>
      </c>
      <c r="O2581" t="str">
        <f>CONCATENATE(Query1[[#This Row],[Description]]," - ",Query1[[#This Row],[MB1]]," - ",Query1[[#This Row],[MB2]]," - ",Query1[[#This Row],[MB3]])</f>
        <v>EVAP KIT 57 CHEV WO AC 4-VENT PLENUM - 830065 - 0 - 0</v>
      </c>
    </row>
    <row r="2582" spans="1:15" x14ac:dyDescent="0.25">
      <c r="A2582" s="1">
        <v>915831</v>
      </c>
      <c r="B2582" s="1" t="s">
        <v>54</v>
      </c>
      <c r="C2582" s="1" t="s">
        <v>55</v>
      </c>
      <c r="D2582" s="2">
        <v>44641.36232630787</v>
      </c>
      <c r="E2582" s="1" t="s">
        <v>8</v>
      </c>
      <c r="F2582" s="1">
        <v>1</v>
      </c>
      <c r="G2582" s="1">
        <v>0</v>
      </c>
      <c r="H2582" s="6">
        <f>INT(Query1[[#This Row],[EntryDateTime]])</f>
        <v>44641</v>
      </c>
      <c r="I2582" s="1">
        <f>IF(Query1[[#This Row],[ItemType]]="EVAP KIT SF GEN IV",Query1[[#This Row],[OrderQty]]+I2581,I2581)</f>
        <v>3118</v>
      </c>
      <c r="J2582" s="1">
        <f>IF(Query1[[#This Row],[ItemType]]="EVAP KIT UNIVERSAL",Query1[[#This Row],[OrderQty]]+J2581,J2581)</f>
        <v>1251</v>
      </c>
      <c r="K2582" s="1">
        <f>Query1[[#This Row],[SF Running Total]]+Query1[[#This Row],[UNIV Running Total]]</f>
        <v>4369</v>
      </c>
      <c r="L2582">
        <f>VLOOKUP(Query1[[#This Row],[Description]],'kits to boards'!$B$2:$E$156,2,FALSE)</f>
        <v>830037</v>
      </c>
      <c r="M2582">
        <f>VLOOKUP(Query1[[#This Row],[Description]],'kits to boards'!$B$2:$E$156,3,FALSE)</f>
        <v>0</v>
      </c>
      <c r="N2582">
        <f>VLOOKUP(Query1[[#This Row],[Description]],'kits to boards'!$B$2:$E$156,4,FALSE)</f>
        <v>0</v>
      </c>
      <c r="O2582" t="str">
        <f>CONCATENATE(Query1[[#This Row],[Description]]," - ",Query1[[#This Row],[MB1]]," - ",Query1[[#This Row],[MB2]]," - ",Query1[[#This Row],[MB3]])</f>
        <v>EVAP KIT 70-81 FIREBIRD W/AC - 830037 - 0 - 0</v>
      </c>
    </row>
    <row r="2583" spans="1:15" x14ac:dyDescent="0.25">
      <c r="A2583" s="1">
        <v>915888</v>
      </c>
      <c r="B2583" s="1" t="s">
        <v>14</v>
      </c>
      <c r="C2583" s="1" t="s">
        <v>15</v>
      </c>
      <c r="D2583" s="2">
        <v>44641.362551122686</v>
      </c>
      <c r="E2583" s="1" t="s">
        <v>8</v>
      </c>
      <c r="F2583" s="1">
        <v>1</v>
      </c>
      <c r="G2583" s="1">
        <v>0</v>
      </c>
      <c r="H2583" s="6">
        <f>INT(Query1[[#This Row],[EntryDateTime]])</f>
        <v>44641</v>
      </c>
      <c r="I2583" s="1">
        <f>IF(Query1[[#This Row],[ItemType]]="EVAP KIT SF GEN IV",Query1[[#This Row],[OrderQty]]+I2582,I2582)</f>
        <v>3119</v>
      </c>
      <c r="J2583" s="1">
        <f>IF(Query1[[#This Row],[ItemType]]="EVAP KIT UNIVERSAL",Query1[[#This Row],[OrderQty]]+J2582,J2582)</f>
        <v>1251</v>
      </c>
      <c r="K2583" s="1">
        <f>Query1[[#This Row],[SF Running Total]]+Query1[[#This Row],[UNIV Running Total]]</f>
        <v>4370</v>
      </c>
      <c r="L2583">
        <f>VLOOKUP(Query1[[#This Row],[Description]],'kits to boards'!$B$2:$E$156,2,FALSE)</f>
        <v>830054</v>
      </c>
      <c r="M2583">
        <f>VLOOKUP(Query1[[#This Row],[Description]],'kits to boards'!$B$2:$E$156,3,FALSE)</f>
        <v>0</v>
      </c>
      <c r="N2583">
        <f>VLOOKUP(Query1[[#This Row],[Description]],'kits to boards'!$B$2:$E$156,4,FALSE)</f>
        <v>0</v>
      </c>
      <c r="O2583" t="str">
        <f>CONCATENATE(Query1[[#This Row],[Description]]," - ",Query1[[#This Row],[MB1]]," - ",Query1[[#This Row],[MB2]]," - ",Query1[[#This Row],[MB3]])</f>
        <v>EVAP KIT 55-56 CHEVY - 830054 - 0 - 0</v>
      </c>
    </row>
    <row r="2584" spans="1:15" x14ac:dyDescent="0.25">
      <c r="A2584" s="1">
        <v>915885</v>
      </c>
      <c r="B2584" s="1" t="s">
        <v>98</v>
      </c>
      <c r="C2584" s="1" t="s">
        <v>99</v>
      </c>
      <c r="D2584" s="2">
        <v>44641.363795833335</v>
      </c>
      <c r="E2584" s="1" t="s">
        <v>11</v>
      </c>
      <c r="F2584" s="1">
        <v>10</v>
      </c>
      <c r="G2584" s="1">
        <v>0</v>
      </c>
      <c r="H2584" s="6">
        <f>INT(Query1[[#This Row],[EntryDateTime]])</f>
        <v>44641</v>
      </c>
      <c r="I2584" s="1">
        <f>IF(Query1[[#This Row],[ItemType]]="EVAP KIT SF GEN IV",Query1[[#This Row],[OrderQty]]+I2583,I2583)</f>
        <v>3119</v>
      </c>
      <c r="J2584" s="1">
        <f>IF(Query1[[#This Row],[ItemType]]="EVAP KIT UNIVERSAL",Query1[[#This Row],[OrderQty]]+J2583,J2583)</f>
        <v>1261</v>
      </c>
      <c r="K2584" s="1">
        <f>Query1[[#This Row],[SF Running Total]]+Query1[[#This Row],[UNIV Running Total]]</f>
        <v>4380</v>
      </c>
      <c r="L2584">
        <f>VLOOKUP(Query1[[#This Row],[Description]],'kits to boards'!$B$2:$E$156,2,FALSE)</f>
        <v>830099</v>
      </c>
      <c r="M2584">
        <f>VLOOKUP(Query1[[#This Row],[Description]],'kits to boards'!$B$2:$E$156,3,FALSE)</f>
        <v>0</v>
      </c>
      <c r="N2584">
        <f>VLOOKUP(Query1[[#This Row],[Description]],'kits to boards'!$B$2:$E$156,4,FALSE)</f>
        <v>0</v>
      </c>
      <c r="O2584" t="str">
        <f>CONCATENATE(Query1[[#This Row],[Description]]," - ",Query1[[#This Row],[MB1]]," - ",Query1[[#This Row],[MB2]]," - ",Query1[[#This Row],[MB3]])</f>
        <v>MINI GEN II W/DEF - 830099 - 0 - 0</v>
      </c>
    </row>
    <row r="2585" spans="1:15" x14ac:dyDescent="0.25">
      <c r="A2585" s="1">
        <v>915885</v>
      </c>
      <c r="B2585" s="1" t="s">
        <v>22</v>
      </c>
      <c r="C2585" s="1" t="s">
        <v>23</v>
      </c>
      <c r="D2585" s="2">
        <v>44641.364079826388</v>
      </c>
      <c r="E2585" s="1" t="s">
        <v>8</v>
      </c>
      <c r="F2585" s="1">
        <v>12</v>
      </c>
      <c r="G2585" s="1">
        <v>0</v>
      </c>
      <c r="H2585" s="6">
        <f>INT(Query1[[#This Row],[EntryDateTime]])</f>
        <v>44641</v>
      </c>
      <c r="I2585" s="1">
        <f>IF(Query1[[#This Row],[ItemType]]="EVAP KIT SF GEN IV",Query1[[#This Row],[OrderQty]]+I2584,I2584)</f>
        <v>3131</v>
      </c>
      <c r="J2585" s="1">
        <f>IF(Query1[[#This Row],[ItemType]]="EVAP KIT UNIVERSAL",Query1[[#This Row],[OrderQty]]+J2584,J2584)</f>
        <v>1261</v>
      </c>
      <c r="K2585" s="1">
        <f>Query1[[#This Row],[SF Running Total]]+Query1[[#This Row],[UNIV Running Total]]</f>
        <v>4392</v>
      </c>
      <c r="L2585">
        <f>VLOOKUP(Query1[[#This Row],[Description]],'kits to boards'!$B$2:$E$156,2,FALSE)</f>
        <v>830083</v>
      </c>
      <c r="M2585">
        <f>VLOOKUP(Query1[[#This Row],[Description]],'kits to boards'!$B$2:$E$156,3,FALSE)</f>
        <v>0</v>
      </c>
      <c r="N2585">
        <f>VLOOKUP(Query1[[#This Row],[Description]],'kits to boards'!$B$2:$E$156,4,FALSE)</f>
        <v>0</v>
      </c>
      <c r="O2585" t="str">
        <f>CONCATENATE(Query1[[#This Row],[Description]]," - ",Query1[[#This Row],[MB1]]," - ",Query1[[#This Row],[MB2]]," - ",Query1[[#This Row],[MB3]])</f>
        <v>GEN IV MAGNUM EVAP KIT - 830083 - 0 - 0</v>
      </c>
    </row>
    <row r="2586" spans="1:15" x14ac:dyDescent="0.25">
      <c r="A2586" s="1">
        <v>915889</v>
      </c>
      <c r="B2586" s="1" t="s">
        <v>52</v>
      </c>
      <c r="C2586" s="1" t="s">
        <v>53</v>
      </c>
      <c r="D2586" s="2">
        <v>44641.364195601855</v>
      </c>
      <c r="E2586" s="1" t="s">
        <v>8</v>
      </c>
      <c r="F2586" s="1">
        <v>1</v>
      </c>
      <c r="G2586" s="1">
        <v>0</v>
      </c>
      <c r="H2586" s="6">
        <f>INT(Query1[[#This Row],[EntryDateTime]])</f>
        <v>44641</v>
      </c>
      <c r="I2586" s="1">
        <f>IF(Query1[[#This Row],[ItemType]]="EVAP KIT SF GEN IV",Query1[[#This Row],[OrderQty]]+I2585,I2585)</f>
        <v>3132</v>
      </c>
      <c r="J2586" s="1">
        <f>IF(Query1[[#This Row],[ItemType]]="EVAP KIT UNIVERSAL",Query1[[#This Row],[OrderQty]]+J2585,J2585)</f>
        <v>1261</v>
      </c>
      <c r="K2586" s="1">
        <f>Query1[[#This Row],[SF Running Total]]+Query1[[#This Row],[UNIV Running Total]]</f>
        <v>4393</v>
      </c>
      <c r="L2586">
        <f>VLOOKUP(Query1[[#This Row],[Description]],'kits to boards'!$B$2:$E$156,2,FALSE)</f>
        <v>830017</v>
      </c>
      <c r="M2586">
        <f>VLOOKUP(Query1[[#This Row],[Description]],'kits to boards'!$B$2:$E$156,3,FALSE)</f>
        <v>830119</v>
      </c>
      <c r="N2586">
        <f>VLOOKUP(Query1[[#This Row],[Description]],'kits to boards'!$B$2:$E$156,4,FALSE)</f>
        <v>830120</v>
      </c>
      <c r="O2586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2587" spans="1:15" x14ac:dyDescent="0.25">
      <c r="A2587" s="1">
        <v>915885</v>
      </c>
      <c r="B2587" s="1" t="s">
        <v>42</v>
      </c>
      <c r="C2587" s="1" t="s">
        <v>43</v>
      </c>
      <c r="D2587" s="2">
        <v>44641.36429302083</v>
      </c>
      <c r="E2587" s="1" t="s">
        <v>8</v>
      </c>
      <c r="F2587" s="1">
        <v>2</v>
      </c>
      <c r="G2587" s="1">
        <v>0</v>
      </c>
      <c r="H2587" s="6">
        <f>INT(Query1[[#This Row],[EntryDateTime]])</f>
        <v>44641</v>
      </c>
      <c r="I2587" s="1">
        <f>IF(Query1[[#This Row],[ItemType]]="EVAP KIT SF GEN IV",Query1[[#This Row],[OrderQty]]+I2586,I2586)</f>
        <v>3134</v>
      </c>
      <c r="J2587" s="1">
        <f>IF(Query1[[#This Row],[ItemType]]="EVAP KIT UNIVERSAL",Query1[[#This Row],[OrderQty]]+J2586,J2586)</f>
        <v>1261</v>
      </c>
      <c r="K2587" s="1">
        <f>Query1[[#This Row],[SF Running Total]]+Query1[[#This Row],[UNIV Running Total]]</f>
        <v>4395</v>
      </c>
      <c r="L2587">
        <f>VLOOKUP(Query1[[#This Row],[Description]],'kits to boards'!$B$2:$E$156,2,FALSE)</f>
        <v>830014</v>
      </c>
      <c r="M2587">
        <f>VLOOKUP(Query1[[#This Row],[Description]],'kits to boards'!$B$2:$E$156,3,FALSE)</f>
        <v>0</v>
      </c>
      <c r="N2587">
        <f>VLOOKUP(Query1[[#This Row],[Description]],'kits to boards'!$B$2:$E$156,4,FALSE)</f>
        <v>0</v>
      </c>
      <c r="O2587" t="str">
        <f>CONCATENATE(Query1[[#This Row],[Description]]," - ",Query1[[#This Row],[MB1]]," - ",Query1[[#This Row],[MB2]]," - ",Query1[[#This Row],[MB3]])</f>
        <v>EVAP KIT 67-72 CHEV P-UP WO AC - 830014 - 0 - 0</v>
      </c>
    </row>
    <row r="2588" spans="1:15" x14ac:dyDescent="0.25">
      <c r="A2588" s="1">
        <v>915892</v>
      </c>
      <c r="B2588" s="1" t="s">
        <v>36</v>
      </c>
      <c r="C2588" s="1" t="s">
        <v>37</v>
      </c>
      <c r="D2588" s="2">
        <v>44641.366275196757</v>
      </c>
      <c r="E2588" s="1" t="s">
        <v>8</v>
      </c>
      <c r="F2588" s="1">
        <v>1</v>
      </c>
      <c r="G2588" s="1">
        <v>0</v>
      </c>
      <c r="H2588" s="6">
        <f>INT(Query1[[#This Row],[EntryDateTime]])</f>
        <v>44641</v>
      </c>
      <c r="I2588" s="1">
        <f>IF(Query1[[#This Row],[ItemType]]="EVAP KIT SF GEN IV",Query1[[#This Row],[OrderQty]]+I2587,I2587)</f>
        <v>3135</v>
      </c>
      <c r="J2588" s="1">
        <f>IF(Query1[[#This Row],[ItemType]]="EVAP KIT UNIVERSAL",Query1[[#This Row],[OrderQty]]+J2587,J2587)</f>
        <v>1261</v>
      </c>
      <c r="K2588" s="1">
        <f>Query1[[#This Row],[SF Running Total]]+Query1[[#This Row],[UNIV Running Total]]</f>
        <v>4396</v>
      </c>
      <c r="L2588">
        <f>VLOOKUP(Query1[[#This Row],[Description]],'kits to boards'!$B$2:$E$156,2,FALSE)</f>
        <v>830015</v>
      </c>
      <c r="M2588">
        <f>VLOOKUP(Query1[[#This Row],[Description]],'kits to boards'!$B$2:$E$156,3,FALSE)</f>
        <v>0</v>
      </c>
      <c r="N2588">
        <f>VLOOKUP(Query1[[#This Row],[Description]],'kits to boards'!$B$2:$E$156,4,FALSE)</f>
        <v>0</v>
      </c>
      <c r="O2588" t="str">
        <f>CONCATENATE(Query1[[#This Row],[Description]]," - ",Query1[[#This Row],[MB1]]," - ",Query1[[#This Row],[MB2]]," - ",Query1[[#This Row],[MB3]])</f>
        <v>EVAP KIT 64-66 CHEV P-UP WO AC W/STD - 830015 - 0 - 0</v>
      </c>
    </row>
    <row r="2589" spans="1:15" x14ac:dyDescent="0.25">
      <c r="A2589" s="1">
        <v>915893</v>
      </c>
      <c r="B2589" s="1" t="s">
        <v>52</v>
      </c>
      <c r="C2589" s="1" t="s">
        <v>53</v>
      </c>
      <c r="D2589" s="2">
        <v>44641.366670798612</v>
      </c>
      <c r="E2589" s="1" t="s">
        <v>8</v>
      </c>
      <c r="F2589" s="1">
        <v>1</v>
      </c>
      <c r="G2589" s="1">
        <v>0</v>
      </c>
      <c r="H2589" s="6">
        <f>INT(Query1[[#This Row],[EntryDateTime]])</f>
        <v>44641</v>
      </c>
      <c r="I2589" s="1">
        <f>IF(Query1[[#This Row],[ItemType]]="EVAP KIT SF GEN IV",Query1[[#This Row],[OrderQty]]+I2588,I2588)</f>
        <v>3136</v>
      </c>
      <c r="J2589" s="1">
        <f>IF(Query1[[#This Row],[ItemType]]="EVAP KIT UNIVERSAL",Query1[[#This Row],[OrderQty]]+J2588,J2588)</f>
        <v>1261</v>
      </c>
      <c r="K2589" s="1">
        <f>Query1[[#This Row],[SF Running Total]]+Query1[[#This Row],[UNIV Running Total]]</f>
        <v>4397</v>
      </c>
      <c r="L2589">
        <f>VLOOKUP(Query1[[#This Row],[Description]],'kits to boards'!$B$2:$E$156,2,FALSE)</f>
        <v>830017</v>
      </c>
      <c r="M2589">
        <f>VLOOKUP(Query1[[#This Row],[Description]],'kits to boards'!$B$2:$E$156,3,FALSE)</f>
        <v>830119</v>
      </c>
      <c r="N2589">
        <f>VLOOKUP(Query1[[#This Row],[Description]],'kits to boards'!$B$2:$E$156,4,FALSE)</f>
        <v>830120</v>
      </c>
      <c r="O2589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2590" spans="1:15" x14ac:dyDescent="0.25">
      <c r="A2590" s="1">
        <v>915894</v>
      </c>
      <c r="B2590" s="1" t="s">
        <v>62</v>
      </c>
      <c r="C2590" s="1" t="s">
        <v>63</v>
      </c>
      <c r="D2590" s="2">
        <v>44641.367814780089</v>
      </c>
      <c r="E2590" s="1" t="s">
        <v>8</v>
      </c>
      <c r="F2590" s="1">
        <v>1</v>
      </c>
      <c r="G2590" s="1">
        <v>0</v>
      </c>
      <c r="H2590" s="6">
        <f>INT(Query1[[#This Row],[EntryDateTime]])</f>
        <v>44641</v>
      </c>
      <c r="I2590" s="1">
        <f>IF(Query1[[#This Row],[ItemType]]="EVAP KIT SF GEN IV",Query1[[#This Row],[OrderQty]]+I2589,I2589)</f>
        <v>3137</v>
      </c>
      <c r="J2590" s="1">
        <f>IF(Query1[[#This Row],[ItemType]]="EVAP KIT UNIVERSAL",Query1[[#This Row],[OrderQty]]+J2589,J2589)</f>
        <v>1261</v>
      </c>
      <c r="K2590" s="1">
        <f>Query1[[#This Row],[SF Running Total]]+Query1[[#This Row],[UNIV Running Total]]</f>
        <v>4398</v>
      </c>
      <c r="L2590">
        <f>VLOOKUP(Query1[[#This Row],[Description]],'kits to boards'!$B$2:$E$156,2,FALSE)</f>
        <v>830079</v>
      </c>
      <c r="M2590">
        <f>VLOOKUP(Query1[[#This Row],[Description]],'kits to boards'!$B$2:$E$156,3,FALSE)</f>
        <v>830046</v>
      </c>
      <c r="N2590">
        <f>VLOOKUP(Query1[[#This Row],[Description]],'kits to boards'!$B$2:$E$156,4,FALSE)</f>
        <v>0</v>
      </c>
      <c r="O2590" t="str">
        <f>CONCATENATE(Query1[[#This Row],[Description]]," - ",Query1[[#This Row],[MB1]]," - ",Query1[[#This Row],[MB2]]," - ",Query1[[#This Row],[MB3]])</f>
        <v>EVAP KIT 67-68 MUSTANG/COUGAR WO AC - 830079 - 830046 - 0</v>
      </c>
    </row>
    <row r="2591" spans="1:15" x14ac:dyDescent="0.25">
      <c r="A2591" s="1">
        <v>915895</v>
      </c>
      <c r="B2591" s="1" t="s">
        <v>102</v>
      </c>
      <c r="C2591" s="1" t="s">
        <v>103</v>
      </c>
      <c r="D2591" s="2">
        <v>44641.368988773145</v>
      </c>
      <c r="E2591" s="1" t="s">
        <v>8</v>
      </c>
      <c r="F2591" s="1">
        <v>1</v>
      </c>
      <c r="G2591" s="1">
        <v>0</v>
      </c>
      <c r="H2591" s="6">
        <f>INT(Query1[[#This Row],[EntryDateTime]])</f>
        <v>44641</v>
      </c>
      <c r="I2591" s="1">
        <f>IF(Query1[[#This Row],[ItemType]]="EVAP KIT SF GEN IV",Query1[[#This Row],[OrderQty]]+I2590,I2590)</f>
        <v>3138</v>
      </c>
      <c r="J2591" s="1">
        <f>IF(Query1[[#This Row],[ItemType]]="EVAP KIT UNIVERSAL",Query1[[#This Row],[OrderQty]]+J2590,J2590)</f>
        <v>1261</v>
      </c>
      <c r="K2591" s="1">
        <f>Query1[[#This Row],[SF Running Total]]+Query1[[#This Row],[UNIV Running Total]]</f>
        <v>4399</v>
      </c>
      <c r="L2591">
        <f>VLOOKUP(Query1[[#This Row],[Description]],'kits to boards'!$B$2:$E$156,2,FALSE)</f>
        <v>830012</v>
      </c>
      <c r="M2591">
        <f>VLOOKUP(Query1[[#This Row],[Description]],'kits to boards'!$B$2:$E$156,3,FALSE)</f>
        <v>0</v>
      </c>
      <c r="N2591">
        <f>VLOOKUP(Query1[[#This Row],[Description]],'kits to boards'!$B$2:$E$156,4,FALSE)</f>
        <v>0</v>
      </c>
      <c r="O2591" t="str">
        <f>CONCATENATE(Query1[[#This Row],[Description]]," - ",Query1[[#This Row],[MB1]]," - ",Query1[[#This Row],[MB2]]," - ",Query1[[#This Row],[MB3]])</f>
        <v>EVAP KIT 69 CAMARO WO/AC - 830012 - 0 - 0</v>
      </c>
    </row>
    <row r="2592" spans="1:15" x14ac:dyDescent="0.25">
      <c r="A2592" s="1">
        <v>915897</v>
      </c>
      <c r="B2592" s="1" t="s">
        <v>54</v>
      </c>
      <c r="C2592" s="1" t="s">
        <v>55</v>
      </c>
      <c r="D2592" s="2">
        <v>44641.370001701391</v>
      </c>
      <c r="E2592" s="1" t="s">
        <v>8</v>
      </c>
      <c r="F2592" s="1">
        <v>1</v>
      </c>
      <c r="G2592" s="1">
        <v>0</v>
      </c>
      <c r="H2592" s="6">
        <f>INT(Query1[[#This Row],[EntryDateTime]])</f>
        <v>44641</v>
      </c>
      <c r="I2592" s="1">
        <f>IF(Query1[[#This Row],[ItemType]]="EVAP KIT SF GEN IV",Query1[[#This Row],[OrderQty]]+I2591,I2591)</f>
        <v>3139</v>
      </c>
      <c r="J2592" s="1">
        <f>IF(Query1[[#This Row],[ItemType]]="EVAP KIT UNIVERSAL",Query1[[#This Row],[OrderQty]]+J2591,J2591)</f>
        <v>1261</v>
      </c>
      <c r="K2592" s="1">
        <f>Query1[[#This Row],[SF Running Total]]+Query1[[#This Row],[UNIV Running Total]]</f>
        <v>4400</v>
      </c>
      <c r="L2592">
        <f>VLOOKUP(Query1[[#This Row],[Description]],'kits to boards'!$B$2:$E$156,2,FALSE)</f>
        <v>830037</v>
      </c>
      <c r="M2592">
        <f>VLOOKUP(Query1[[#This Row],[Description]],'kits to boards'!$B$2:$E$156,3,FALSE)</f>
        <v>0</v>
      </c>
      <c r="N2592">
        <f>VLOOKUP(Query1[[#This Row],[Description]],'kits to boards'!$B$2:$E$156,4,FALSE)</f>
        <v>0</v>
      </c>
      <c r="O2592" t="str">
        <f>CONCATENATE(Query1[[#This Row],[Description]]," - ",Query1[[#This Row],[MB1]]," - ",Query1[[#This Row],[MB2]]," - ",Query1[[#This Row],[MB3]])</f>
        <v>EVAP KIT 70-81 FIREBIRD W/AC - 830037 - 0 - 0</v>
      </c>
    </row>
    <row r="2593" spans="1:15" x14ac:dyDescent="0.25">
      <c r="A2593" s="1">
        <v>915900</v>
      </c>
      <c r="B2593" s="1" t="s">
        <v>94</v>
      </c>
      <c r="C2593" s="1" t="s">
        <v>95</v>
      </c>
      <c r="D2593" s="2">
        <v>44641.37293020833</v>
      </c>
      <c r="E2593" s="1" t="s">
        <v>8</v>
      </c>
      <c r="F2593" s="1">
        <v>1</v>
      </c>
      <c r="G2593" s="1">
        <v>0</v>
      </c>
      <c r="H2593" s="6">
        <f>INT(Query1[[#This Row],[EntryDateTime]])</f>
        <v>44641</v>
      </c>
      <c r="I2593" s="1">
        <f>IF(Query1[[#This Row],[ItemType]]="EVAP KIT SF GEN IV",Query1[[#This Row],[OrderQty]]+I2592,I2592)</f>
        <v>3140</v>
      </c>
      <c r="J2593" s="1">
        <f>IF(Query1[[#This Row],[ItemType]]="EVAP KIT UNIVERSAL",Query1[[#This Row],[OrderQty]]+J2592,J2592)</f>
        <v>1261</v>
      </c>
      <c r="K2593" s="1">
        <f>Query1[[#This Row],[SF Running Total]]+Query1[[#This Row],[UNIV Running Total]]</f>
        <v>4401</v>
      </c>
      <c r="L2593">
        <f>VLOOKUP(Query1[[#This Row],[Description]],'kits to boards'!$B$2:$E$156,2,FALSE)</f>
        <v>830076</v>
      </c>
      <c r="M2593">
        <f>VLOOKUP(Query1[[#This Row],[Description]],'kits to boards'!$B$2:$E$156,3,FALSE)</f>
        <v>0</v>
      </c>
      <c r="N2593">
        <f>VLOOKUP(Query1[[#This Row],[Description]],'kits to boards'!$B$2:$E$156,4,FALSE)</f>
        <v>0</v>
      </c>
      <c r="O2593" t="str">
        <f>CONCATENATE(Query1[[#This Row],[Description]]," - ",Query1[[#This Row],[MB1]]," - ",Query1[[#This Row],[MB2]]," - ",Query1[[#This Row],[MB3]])</f>
        <v>EVAP KIT 64 1/2- 66 MUSTANG  - 830076 - 0 - 0</v>
      </c>
    </row>
    <row r="2594" spans="1:15" x14ac:dyDescent="0.25">
      <c r="A2594" s="1">
        <v>915902</v>
      </c>
      <c r="B2594" s="1" t="s">
        <v>56</v>
      </c>
      <c r="C2594" s="1" t="s">
        <v>57</v>
      </c>
      <c r="D2594" s="2">
        <v>44641.374826157407</v>
      </c>
      <c r="E2594" s="1" t="s">
        <v>8</v>
      </c>
      <c r="F2594" s="1">
        <v>1</v>
      </c>
      <c r="G2594" s="1">
        <v>0</v>
      </c>
      <c r="H2594" s="6">
        <f>INT(Query1[[#This Row],[EntryDateTime]])</f>
        <v>44641</v>
      </c>
      <c r="I2594" s="1">
        <f>IF(Query1[[#This Row],[ItemType]]="EVAP KIT SF GEN IV",Query1[[#This Row],[OrderQty]]+I2593,I2593)</f>
        <v>3141</v>
      </c>
      <c r="J2594" s="1">
        <f>IF(Query1[[#This Row],[ItemType]]="EVAP KIT UNIVERSAL",Query1[[#This Row],[OrderQty]]+J2593,J2593)</f>
        <v>1261</v>
      </c>
      <c r="K2594" s="1">
        <f>Query1[[#This Row],[SF Running Total]]+Query1[[#This Row],[UNIV Running Total]]</f>
        <v>4402</v>
      </c>
      <c r="L2594">
        <f>VLOOKUP(Query1[[#This Row],[Description]],'kits to boards'!$B$2:$E$156,2,FALSE)</f>
        <v>830011</v>
      </c>
      <c r="M2594">
        <f>VLOOKUP(Query1[[#This Row],[Description]],'kits to boards'!$B$2:$E$156,3,FALSE)</f>
        <v>0</v>
      </c>
      <c r="N2594">
        <f>VLOOKUP(Query1[[#This Row],[Description]],'kits to boards'!$B$2:$E$156,4,FALSE)</f>
        <v>0</v>
      </c>
      <c r="O2594" t="str">
        <f>CONCATENATE(Query1[[#This Row],[Description]]," - ",Query1[[#This Row],[MB1]]," - ",Query1[[#This Row],[MB2]]," - ",Query1[[#This Row],[MB3]])</f>
        <v>EVAP KIT 70-72 CHEVELLE W/AC - 830011 - 0 - 0</v>
      </c>
    </row>
    <row r="2595" spans="1:15" x14ac:dyDescent="0.25">
      <c r="A2595" s="1">
        <v>915904</v>
      </c>
      <c r="B2595" s="1" t="s">
        <v>120</v>
      </c>
      <c r="C2595" s="1" t="s">
        <v>121</v>
      </c>
      <c r="D2595" s="2">
        <v>44641.376545949075</v>
      </c>
      <c r="E2595" s="1" t="s">
        <v>8</v>
      </c>
      <c r="F2595" s="1">
        <v>1</v>
      </c>
      <c r="G2595" s="1">
        <v>0</v>
      </c>
      <c r="H2595" s="6">
        <f>INT(Query1[[#This Row],[EntryDateTime]])</f>
        <v>44641</v>
      </c>
      <c r="I2595" s="1">
        <f>IF(Query1[[#This Row],[ItemType]]="EVAP KIT SF GEN IV",Query1[[#This Row],[OrderQty]]+I2594,I2594)</f>
        <v>3142</v>
      </c>
      <c r="J2595" s="1">
        <f>IF(Query1[[#This Row],[ItemType]]="EVAP KIT UNIVERSAL",Query1[[#This Row],[OrderQty]]+J2594,J2594)</f>
        <v>1261</v>
      </c>
      <c r="K2595" s="1">
        <f>Query1[[#This Row],[SF Running Total]]+Query1[[#This Row],[UNIV Running Total]]</f>
        <v>4403</v>
      </c>
      <c r="L2595">
        <f>VLOOKUP(Query1[[#This Row],[Description]],'kits to boards'!$B$2:$E$156,2,FALSE)</f>
        <v>830014</v>
      </c>
      <c r="M2595">
        <f>VLOOKUP(Query1[[#This Row],[Description]],'kits to boards'!$B$2:$E$156,3,FALSE)</f>
        <v>0</v>
      </c>
      <c r="N2595">
        <f>VLOOKUP(Query1[[#This Row],[Description]],'kits to boards'!$B$2:$E$156,4,FALSE)</f>
        <v>0</v>
      </c>
      <c r="O2595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2596" spans="1:15" x14ac:dyDescent="0.25">
      <c r="A2596" s="1">
        <v>915907</v>
      </c>
      <c r="B2596" s="1" t="s">
        <v>12</v>
      </c>
      <c r="C2596" s="1" t="s">
        <v>13</v>
      </c>
      <c r="D2596" s="2">
        <v>44641.377370219911</v>
      </c>
      <c r="E2596" s="1" t="s">
        <v>8</v>
      </c>
      <c r="F2596" s="1">
        <v>2</v>
      </c>
      <c r="G2596" s="1">
        <v>0</v>
      </c>
      <c r="H2596" s="6">
        <f>INT(Query1[[#This Row],[EntryDateTime]])</f>
        <v>44641</v>
      </c>
      <c r="I2596" s="1">
        <f>IF(Query1[[#This Row],[ItemType]]="EVAP KIT SF GEN IV",Query1[[#This Row],[OrderQty]]+I2595,I2595)</f>
        <v>3144</v>
      </c>
      <c r="J2596" s="1">
        <f>IF(Query1[[#This Row],[ItemType]]="EVAP KIT UNIVERSAL",Query1[[#This Row],[OrderQty]]+J2595,J2595)</f>
        <v>1261</v>
      </c>
      <c r="K2596" s="1">
        <f>Query1[[#This Row],[SF Running Total]]+Query1[[#This Row],[UNIV Running Total]]</f>
        <v>4405</v>
      </c>
      <c r="L2596">
        <f>VLOOKUP(Query1[[#This Row],[Description]],'kits to boards'!$B$2:$E$156,2,FALSE)</f>
        <v>830079</v>
      </c>
      <c r="M2596">
        <f>VLOOKUP(Query1[[#This Row],[Description]],'kits to boards'!$B$2:$E$156,3,FALSE)</f>
        <v>830046</v>
      </c>
      <c r="N2596">
        <f>VLOOKUP(Query1[[#This Row],[Description]],'kits to boards'!$B$2:$E$156,4,FALSE)</f>
        <v>0</v>
      </c>
      <c r="O2596" t="str">
        <f>CONCATENATE(Query1[[#This Row],[Description]]," - ",Query1[[#This Row],[MB1]]," - ",Query1[[#This Row],[MB2]]," - ",Query1[[#This Row],[MB3]])</f>
        <v>EVAP KIT 67-68 MUSTANG/COUGAR W/AC - 830079 - 830046 - 0</v>
      </c>
    </row>
    <row r="2597" spans="1:15" x14ac:dyDescent="0.25">
      <c r="A2597" s="1">
        <v>915909</v>
      </c>
      <c r="B2597" s="1" t="s">
        <v>96</v>
      </c>
      <c r="C2597" s="1" t="s">
        <v>97</v>
      </c>
      <c r="D2597" s="2">
        <v>44641.38015474537</v>
      </c>
      <c r="E2597" s="1" t="s">
        <v>8</v>
      </c>
      <c r="F2597" s="1">
        <v>1</v>
      </c>
      <c r="G2597" s="1">
        <v>0</v>
      </c>
      <c r="H2597" s="6">
        <f>INT(Query1[[#This Row],[EntryDateTime]])</f>
        <v>44641</v>
      </c>
      <c r="I2597" s="1">
        <f>IF(Query1[[#This Row],[ItemType]]="EVAP KIT SF GEN IV",Query1[[#This Row],[OrderQty]]+I2596,I2596)</f>
        <v>3145</v>
      </c>
      <c r="J2597" s="1">
        <f>IF(Query1[[#This Row],[ItemType]]="EVAP KIT UNIVERSAL",Query1[[#This Row],[OrderQty]]+J2596,J2596)</f>
        <v>1261</v>
      </c>
      <c r="K2597" s="1">
        <f>Query1[[#This Row],[SF Running Total]]+Query1[[#This Row],[UNIV Running Total]]</f>
        <v>4406</v>
      </c>
      <c r="L2597">
        <f>VLOOKUP(Query1[[#This Row],[Description]],'kits to boards'!$B$2:$E$156,2,FALSE)</f>
        <v>830004</v>
      </c>
      <c r="M2597">
        <f>VLOOKUP(Query1[[#This Row],[Description]],'kits to boards'!$B$2:$E$156,3,FALSE)</f>
        <v>0</v>
      </c>
      <c r="N2597">
        <f>VLOOKUP(Query1[[#This Row],[Description]],'kits to boards'!$B$2:$E$156,4,FALSE)</f>
        <v>0</v>
      </c>
      <c r="O2597" t="str">
        <f>CONCATENATE(Query1[[#This Row],[Description]]," - ",Query1[[#This Row],[MB1]]," - ",Query1[[#This Row],[MB2]]," - ",Query1[[#This Row],[MB3]])</f>
        <v>EVAP KIT 81-87 CHEV P-UP W/AC - 830004 - 0 - 0</v>
      </c>
    </row>
    <row r="2598" spans="1:15" x14ac:dyDescent="0.25">
      <c r="A2598" s="1">
        <v>915786</v>
      </c>
      <c r="B2598" s="1" t="s">
        <v>6</v>
      </c>
      <c r="C2598" s="1" t="s">
        <v>7</v>
      </c>
      <c r="D2598" s="2">
        <v>44641.385862152776</v>
      </c>
      <c r="E2598" s="1" t="s">
        <v>8</v>
      </c>
      <c r="F2598" s="1">
        <v>1</v>
      </c>
      <c r="G2598" s="1">
        <v>0</v>
      </c>
      <c r="H2598" s="6">
        <f>INT(Query1[[#This Row],[EntryDateTime]])</f>
        <v>44641</v>
      </c>
      <c r="I2598" s="1">
        <f>IF(Query1[[#This Row],[ItemType]]="EVAP KIT SF GEN IV",Query1[[#This Row],[OrderQty]]+I2597,I2597)</f>
        <v>3146</v>
      </c>
      <c r="J2598" s="1">
        <f>IF(Query1[[#This Row],[ItemType]]="EVAP KIT UNIVERSAL",Query1[[#This Row],[OrderQty]]+J2597,J2597)</f>
        <v>1261</v>
      </c>
      <c r="K2598" s="1">
        <f>Query1[[#This Row],[SF Running Total]]+Query1[[#This Row],[UNIV Running Total]]</f>
        <v>4407</v>
      </c>
      <c r="L2598">
        <f>VLOOKUP(Query1[[#This Row],[Description]],'kits to boards'!$B$2:$E$156,2,FALSE)</f>
        <v>830132</v>
      </c>
      <c r="M2598">
        <f>VLOOKUP(Query1[[#This Row],[Description]],'kits to boards'!$B$2:$E$156,3,FALSE)</f>
        <v>0</v>
      </c>
      <c r="N2598">
        <f>VLOOKUP(Query1[[#This Row],[Description]],'kits to boards'!$B$2:$E$156,4,FALSE)</f>
        <v>0</v>
      </c>
      <c r="O2598" t="str">
        <f>CONCATENATE(Query1[[#This Row],[Description]]," - ",Query1[[#This Row],[MB1]]," - ",Query1[[#This Row],[MB2]]," - ",Query1[[#This Row],[MB3]])</f>
        <v>EVAP KIT 82-88 MONTE CARLO/EL CAMINO - 830132 - 0 - 0</v>
      </c>
    </row>
    <row r="2599" spans="1:15" x14ac:dyDescent="0.25">
      <c r="A2599" s="1">
        <v>915935</v>
      </c>
      <c r="B2599" s="1" t="s">
        <v>68</v>
      </c>
      <c r="C2599" s="1" t="s">
        <v>69</v>
      </c>
      <c r="D2599" s="2">
        <v>44641.428851736113</v>
      </c>
      <c r="E2599" s="1" t="s">
        <v>8</v>
      </c>
      <c r="F2599" s="1">
        <v>1</v>
      </c>
      <c r="G2599" s="1">
        <v>0</v>
      </c>
      <c r="H2599" s="6">
        <f>INT(Query1[[#This Row],[EntryDateTime]])</f>
        <v>44641</v>
      </c>
      <c r="I2599" s="1">
        <f>IF(Query1[[#This Row],[ItemType]]="EVAP KIT SF GEN IV",Query1[[#This Row],[OrderQty]]+I2598,I2598)</f>
        <v>3147</v>
      </c>
      <c r="J2599" s="1">
        <f>IF(Query1[[#This Row],[ItemType]]="EVAP KIT UNIVERSAL",Query1[[#This Row],[OrderQty]]+J2598,J2598)</f>
        <v>1261</v>
      </c>
      <c r="K2599" s="1">
        <f>Query1[[#This Row],[SF Running Total]]+Query1[[#This Row],[UNIV Running Total]]</f>
        <v>4408</v>
      </c>
      <c r="L2599">
        <f>VLOOKUP(Query1[[#This Row],[Description]],'kits to boards'!$B$2:$E$156,2,FALSE)</f>
        <v>830010</v>
      </c>
      <c r="M2599">
        <f>VLOOKUP(Query1[[#This Row],[Description]],'kits to boards'!$B$2:$E$156,3,FALSE)</f>
        <v>0</v>
      </c>
      <c r="N2599">
        <f>VLOOKUP(Query1[[#This Row],[Description]],'kits to boards'!$B$2:$E$156,4,FALSE)</f>
        <v>0</v>
      </c>
      <c r="O2599" t="str">
        <f>CONCATENATE(Query1[[#This Row],[Description]]," - ",Query1[[#This Row],[MB1]]," - ",Query1[[#This Row],[MB2]]," - ",Query1[[#This Row],[MB3]])</f>
        <v>EVAP KIT 70-72 CHEVELLE WO AC - 830010 - 0 - 0</v>
      </c>
    </row>
    <row r="2600" spans="1:15" x14ac:dyDescent="0.25">
      <c r="A2600" s="1">
        <v>915943</v>
      </c>
      <c r="B2600" s="1" t="s">
        <v>22</v>
      </c>
      <c r="C2600" s="1" t="s">
        <v>23</v>
      </c>
      <c r="D2600" s="2">
        <v>44641.438168553243</v>
      </c>
      <c r="E2600" s="1" t="s">
        <v>8</v>
      </c>
      <c r="F2600" s="1">
        <v>1</v>
      </c>
      <c r="G2600" s="1">
        <v>0</v>
      </c>
      <c r="H2600" s="6">
        <f>INT(Query1[[#This Row],[EntryDateTime]])</f>
        <v>44641</v>
      </c>
      <c r="I2600" s="1">
        <f>IF(Query1[[#This Row],[ItemType]]="EVAP KIT SF GEN IV",Query1[[#This Row],[OrderQty]]+I2599,I2599)</f>
        <v>3148</v>
      </c>
      <c r="J2600" s="1">
        <f>IF(Query1[[#This Row],[ItemType]]="EVAP KIT UNIVERSAL",Query1[[#This Row],[OrderQty]]+J2599,J2599)</f>
        <v>1261</v>
      </c>
      <c r="K2600" s="1">
        <f>Query1[[#This Row],[SF Running Total]]+Query1[[#This Row],[UNIV Running Total]]</f>
        <v>4409</v>
      </c>
      <c r="L2600">
        <f>VLOOKUP(Query1[[#This Row],[Description]],'kits to boards'!$B$2:$E$156,2,FALSE)</f>
        <v>830083</v>
      </c>
      <c r="M2600">
        <f>VLOOKUP(Query1[[#This Row],[Description]],'kits to boards'!$B$2:$E$156,3,FALSE)</f>
        <v>0</v>
      </c>
      <c r="N2600">
        <f>VLOOKUP(Query1[[#This Row],[Description]],'kits to boards'!$B$2:$E$156,4,FALSE)</f>
        <v>0</v>
      </c>
      <c r="O2600" t="str">
        <f>CONCATENATE(Query1[[#This Row],[Description]]," - ",Query1[[#This Row],[MB1]]," - ",Query1[[#This Row],[MB2]]," - ",Query1[[#This Row],[MB3]])</f>
        <v>GEN IV MAGNUM EVAP KIT - 830083 - 0 - 0</v>
      </c>
    </row>
    <row r="2601" spans="1:15" x14ac:dyDescent="0.25">
      <c r="A2601" s="1">
        <v>915947</v>
      </c>
      <c r="B2601" s="1" t="s">
        <v>60</v>
      </c>
      <c r="C2601" s="1" t="s">
        <v>61</v>
      </c>
      <c r="D2601" s="2">
        <v>44641.448473807868</v>
      </c>
      <c r="E2601" s="1" t="s">
        <v>8</v>
      </c>
      <c r="F2601" s="1">
        <v>1</v>
      </c>
      <c r="G2601" s="1">
        <v>0</v>
      </c>
      <c r="H2601" s="6">
        <f>INT(Query1[[#This Row],[EntryDateTime]])</f>
        <v>44641</v>
      </c>
      <c r="I2601" s="1">
        <f>IF(Query1[[#This Row],[ItemType]]="EVAP KIT SF GEN IV",Query1[[#This Row],[OrderQty]]+I2600,I2600)</f>
        <v>3149</v>
      </c>
      <c r="J2601" s="1">
        <f>IF(Query1[[#This Row],[ItemType]]="EVAP KIT UNIVERSAL",Query1[[#This Row],[OrderQty]]+J2600,J2600)</f>
        <v>1261</v>
      </c>
      <c r="K2601" s="1">
        <f>Query1[[#This Row],[SF Running Total]]+Query1[[#This Row],[UNIV Running Total]]</f>
        <v>4410</v>
      </c>
      <c r="L2601">
        <f>VLOOKUP(Query1[[#This Row],[Description]],'kits to boards'!$B$2:$E$156,2,FALSE)</f>
        <v>830062</v>
      </c>
      <c r="M2601">
        <f>VLOOKUP(Query1[[#This Row],[Description]],'kits to boards'!$B$2:$E$156,3,FALSE)</f>
        <v>0</v>
      </c>
      <c r="N2601">
        <f>VLOOKUP(Query1[[#This Row],[Description]],'kits to boards'!$B$2:$E$156,4,FALSE)</f>
        <v>0</v>
      </c>
      <c r="O2601" t="str">
        <f>CONCATENATE(Query1[[#This Row],[Description]]," - ",Query1[[#This Row],[MB1]]," - ",Query1[[#This Row],[MB2]]," - ",Query1[[#This Row],[MB3]])</f>
        <v>EVAP KIT 68-69 CHEVELLE WO AC - 830062 - 0 - 0</v>
      </c>
    </row>
    <row r="2602" spans="1:15" x14ac:dyDescent="0.25">
      <c r="A2602" s="1">
        <v>915856</v>
      </c>
      <c r="B2602" s="1" t="s">
        <v>122</v>
      </c>
      <c r="C2602" s="1" t="s">
        <v>123</v>
      </c>
      <c r="D2602" s="2">
        <v>44641.470906909723</v>
      </c>
      <c r="E2602" s="1" t="s">
        <v>8</v>
      </c>
      <c r="F2602" s="1">
        <v>1</v>
      </c>
      <c r="G2602" s="1">
        <v>0</v>
      </c>
      <c r="H2602" s="6">
        <f>INT(Query1[[#This Row],[EntryDateTime]])</f>
        <v>44641</v>
      </c>
      <c r="I2602" s="1">
        <f>IF(Query1[[#This Row],[ItemType]]="EVAP KIT SF GEN IV",Query1[[#This Row],[OrderQty]]+I2601,I2601)</f>
        <v>3150</v>
      </c>
      <c r="J2602" s="1">
        <f>IF(Query1[[#This Row],[ItemType]]="EVAP KIT UNIVERSAL",Query1[[#This Row],[OrderQty]]+J2601,J2601)</f>
        <v>1261</v>
      </c>
      <c r="K2602" s="1">
        <f>Query1[[#This Row],[SF Running Total]]+Query1[[#This Row],[UNIV Running Total]]</f>
        <v>4411</v>
      </c>
      <c r="L2602">
        <f>VLOOKUP(Query1[[#This Row],[Description]],'kits to boards'!$B$2:$E$156,2,FALSE)</f>
        <v>830027</v>
      </c>
      <c r="M2602">
        <f>VLOOKUP(Query1[[#This Row],[Description]],'kits to boards'!$B$2:$E$156,3,FALSE)</f>
        <v>0</v>
      </c>
      <c r="N2602">
        <f>VLOOKUP(Query1[[#This Row],[Description]],'kits to boards'!$B$2:$E$156,4,FALSE)</f>
        <v>0</v>
      </c>
      <c r="O2602" t="str">
        <f>CONCATENATE(Query1[[#This Row],[Description]]," - ",Query1[[#This Row],[MB1]]," - ",Query1[[#This Row],[MB2]]," - ",Query1[[#This Row],[MB3]])</f>
        <v>EVAP KIT 70-72 CUTLASS W/AC - 830027 - 0 - 0</v>
      </c>
    </row>
    <row r="2603" spans="1:15" x14ac:dyDescent="0.25">
      <c r="A2603" s="1">
        <v>915964</v>
      </c>
      <c r="B2603" s="1" t="s">
        <v>22</v>
      </c>
      <c r="C2603" s="1" t="s">
        <v>23</v>
      </c>
      <c r="D2603" s="2">
        <v>44641.472376076388</v>
      </c>
      <c r="E2603" s="1" t="s">
        <v>8</v>
      </c>
      <c r="F2603" s="1">
        <v>1</v>
      </c>
      <c r="G2603" s="1">
        <v>0</v>
      </c>
      <c r="H2603" s="6">
        <f>INT(Query1[[#This Row],[EntryDateTime]])</f>
        <v>44641</v>
      </c>
      <c r="I2603" s="1">
        <f>IF(Query1[[#This Row],[ItemType]]="EVAP KIT SF GEN IV",Query1[[#This Row],[OrderQty]]+I2602,I2602)</f>
        <v>3151</v>
      </c>
      <c r="J2603" s="1">
        <f>IF(Query1[[#This Row],[ItemType]]="EVAP KIT UNIVERSAL",Query1[[#This Row],[OrderQty]]+J2602,J2602)</f>
        <v>1261</v>
      </c>
      <c r="K2603" s="1">
        <f>Query1[[#This Row],[SF Running Total]]+Query1[[#This Row],[UNIV Running Total]]</f>
        <v>4412</v>
      </c>
      <c r="L2603">
        <f>VLOOKUP(Query1[[#This Row],[Description]],'kits to boards'!$B$2:$E$156,2,FALSE)</f>
        <v>830083</v>
      </c>
      <c r="M2603">
        <f>VLOOKUP(Query1[[#This Row],[Description]],'kits to boards'!$B$2:$E$156,3,FALSE)</f>
        <v>0</v>
      </c>
      <c r="N2603">
        <f>VLOOKUP(Query1[[#This Row],[Description]],'kits to boards'!$B$2:$E$156,4,FALSE)</f>
        <v>0</v>
      </c>
      <c r="O2603" t="str">
        <f>CONCATENATE(Query1[[#This Row],[Description]]," - ",Query1[[#This Row],[MB1]]," - ",Query1[[#This Row],[MB2]]," - ",Query1[[#This Row],[MB3]])</f>
        <v>GEN IV MAGNUM EVAP KIT - 830083 - 0 - 0</v>
      </c>
    </row>
    <row r="2604" spans="1:15" x14ac:dyDescent="0.25">
      <c r="A2604" s="1">
        <v>915974</v>
      </c>
      <c r="B2604" s="1" t="s">
        <v>68</v>
      </c>
      <c r="C2604" s="1" t="s">
        <v>69</v>
      </c>
      <c r="D2604" s="2">
        <v>44641.494482789349</v>
      </c>
      <c r="E2604" s="1" t="s">
        <v>8</v>
      </c>
      <c r="F2604" s="1">
        <v>1</v>
      </c>
      <c r="G2604" s="1">
        <v>0</v>
      </c>
      <c r="H2604" s="6">
        <f>INT(Query1[[#This Row],[EntryDateTime]])</f>
        <v>44641</v>
      </c>
      <c r="I2604" s="1">
        <f>IF(Query1[[#This Row],[ItemType]]="EVAP KIT SF GEN IV",Query1[[#This Row],[OrderQty]]+I2603,I2603)</f>
        <v>3152</v>
      </c>
      <c r="J2604" s="1">
        <f>IF(Query1[[#This Row],[ItemType]]="EVAP KIT UNIVERSAL",Query1[[#This Row],[OrderQty]]+J2603,J2603)</f>
        <v>1261</v>
      </c>
      <c r="K2604" s="1">
        <f>Query1[[#This Row],[SF Running Total]]+Query1[[#This Row],[UNIV Running Total]]</f>
        <v>4413</v>
      </c>
      <c r="L2604">
        <f>VLOOKUP(Query1[[#This Row],[Description]],'kits to boards'!$B$2:$E$156,2,FALSE)</f>
        <v>830010</v>
      </c>
      <c r="M2604">
        <f>VLOOKUP(Query1[[#This Row],[Description]],'kits to boards'!$B$2:$E$156,3,FALSE)</f>
        <v>0</v>
      </c>
      <c r="N2604">
        <f>VLOOKUP(Query1[[#This Row],[Description]],'kits to boards'!$B$2:$E$156,4,FALSE)</f>
        <v>0</v>
      </c>
      <c r="O2604" t="str">
        <f>CONCATENATE(Query1[[#This Row],[Description]]," - ",Query1[[#This Row],[MB1]]," - ",Query1[[#This Row],[MB2]]," - ",Query1[[#This Row],[MB3]])</f>
        <v>EVAP KIT 70-72 CHEVELLE WO AC - 830010 - 0 - 0</v>
      </c>
    </row>
    <row r="2605" spans="1:15" x14ac:dyDescent="0.25">
      <c r="A2605" s="1">
        <v>915976</v>
      </c>
      <c r="B2605" s="1" t="s">
        <v>124</v>
      </c>
      <c r="C2605" s="1" t="s">
        <v>125</v>
      </c>
      <c r="D2605" s="2">
        <v>44641.496497916669</v>
      </c>
      <c r="E2605" s="1" t="s">
        <v>8</v>
      </c>
      <c r="F2605" s="1">
        <v>1</v>
      </c>
      <c r="G2605" s="1">
        <v>0</v>
      </c>
      <c r="H2605" s="6">
        <f>INT(Query1[[#This Row],[EntryDateTime]])</f>
        <v>44641</v>
      </c>
      <c r="I2605" s="1">
        <f>IF(Query1[[#This Row],[ItemType]]="EVAP KIT SF GEN IV",Query1[[#This Row],[OrderQty]]+I2604,I2604)</f>
        <v>3153</v>
      </c>
      <c r="J2605" s="1">
        <f>IF(Query1[[#This Row],[ItemType]]="EVAP KIT UNIVERSAL",Query1[[#This Row],[OrderQty]]+J2604,J2604)</f>
        <v>1261</v>
      </c>
      <c r="K2605" s="1">
        <f>Query1[[#This Row],[SF Running Total]]+Query1[[#This Row],[UNIV Running Total]]</f>
        <v>4414</v>
      </c>
      <c r="L2605">
        <f>VLOOKUP(Query1[[#This Row],[Description]],'kits to boards'!$B$2:$E$156,2,FALSE)</f>
        <v>830002</v>
      </c>
      <c r="M2605">
        <f>VLOOKUP(Query1[[#This Row],[Description]],'kits to boards'!$B$2:$E$156,3,FALSE)</f>
        <v>0</v>
      </c>
      <c r="N2605">
        <f>VLOOKUP(Query1[[#This Row],[Description]],'kits to boards'!$B$2:$E$156,4,FALSE)</f>
        <v>0</v>
      </c>
      <c r="O2605" t="str">
        <f>CONCATENATE(Query1[[#This Row],[Description]]," - ",Query1[[#This Row],[MB1]]," - ",Query1[[#This Row],[MB2]]," - ",Query1[[#This Row],[MB3]])</f>
        <v>EVAP KIT 73-80 CHEV P-UP WO AC - 830002 - 0 - 0</v>
      </c>
    </row>
    <row r="2606" spans="1:15" x14ac:dyDescent="0.25">
      <c r="A2606" s="1">
        <v>915979</v>
      </c>
      <c r="B2606" s="1" t="s">
        <v>96</v>
      </c>
      <c r="C2606" s="1" t="s">
        <v>97</v>
      </c>
      <c r="D2606" s="2">
        <v>44641.501745173613</v>
      </c>
      <c r="E2606" s="1" t="s">
        <v>8</v>
      </c>
      <c r="F2606" s="1">
        <v>1</v>
      </c>
      <c r="G2606" s="1">
        <v>0</v>
      </c>
      <c r="H2606" s="6">
        <f>INT(Query1[[#This Row],[EntryDateTime]])</f>
        <v>44641</v>
      </c>
      <c r="I2606" s="1">
        <f>IF(Query1[[#This Row],[ItemType]]="EVAP KIT SF GEN IV",Query1[[#This Row],[OrderQty]]+I2605,I2605)</f>
        <v>3154</v>
      </c>
      <c r="J2606" s="1">
        <f>IF(Query1[[#This Row],[ItemType]]="EVAP KIT UNIVERSAL",Query1[[#This Row],[OrderQty]]+J2605,J2605)</f>
        <v>1261</v>
      </c>
      <c r="K2606" s="1">
        <f>Query1[[#This Row],[SF Running Total]]+Query1[[#This Row],[UNIV Running Total]]</f>
        <v>4415</v>
      </c>
      <c r="L2606">
        <f>VLOOKUP(Query1[[#This Row],[Description]],'kits to boards'!$B$2:$E$156,2,FALSE)</f>
        <v>830004</v>
      </c>
      <c r="M2606">
        <f>VLOOKUP(Query1[[#This Row],[Description]],'kits to boards'!$B$2:$E$156,3,FALSE)</f>
        <v>0</v>
      </c>
      <c r="N2606">
        <f>VLOOKUP(Query1[[#This Row],[Description]],'kits to boards'!$B$2:$E$156,4,FALSE)</f>
        <v>0</v>
      </c>
      <c r="O2606" t="str">
        <f>CONCATENATE(Query1[[#This Row],[Description]]," - ",Query1[[#This Row],[MB1]]," - ",Query1[[#This Row],[MB2]]," - ",Query1[[#This Row],[MB3]])</f>
        <v>EVAP KIT 81-87 CHEV P-UP W/AC - 830004 - 0 - 0</v>
      </c>
    </row>
    <row r="2607" spans="1:15" x14ac:dyDescent="0.25">
      <c r="A2607" s="1">
        <v>915980</v>
      </c>
      <c r="B2607" s="1" t="s">
        <v>84</v>
      </c>
      <c r="C2607" s="1" t="s">
        <v>85</v>
      </c>
      <c r="D2607" s="2">
        <v>44641.50691802083</v>
      </c>
      <c r="E2607" s="1" t="s">
        <v>8</v>
      </c>
      <c r="F2607" s="1">
        <v>1</v>
      </c>
      <c r="G2607" s="1">
        <v>0</v>
      </c>
      <c r="H2607" s="6">
        <f>INT(Query1[[#This Row],[EntryDateTime]])</f>
        <v>44641</v>
      </c>
      <c r="I2607" s="1">
        <f>IF(Query1[[#This Row],[ItemType]]="EVAP KIT SF GEN IV",Query1[[#This Row],[OrderQty]]+I2606,I2606)</f>
        <v>3155</v>
      </c>
      <c r="J2607" s="1">
        <f>IF(Query1[[#This Row],[ItemType]]="EVAP KIT UNIVERSAL",Query1[[#This Row],[OrderQty]]+J2606,J2606)</f>
        <v>1261</v>
      </c>
      <c r="K2607" s="1">
        <f>Query1[[#This Row],[SF Running Total]]+Query1[[#This Row],[UNIV Running Total]]</f>
        <v>4416</v>
      </c>
      <c r="L2607">
        <f>VLOOKUP(Query1[[#This Row],[Description]],'kits to boards'!$B$2:$E$156,2,FALSE)</f>
        <v>830085</v>
      </c>
      <c r="M2607">
        <f>VLOOKUP(Query1[[#This Row],[Description]],'kits to boards'!$B$2:$E$156,3,FALSE)</f>
        <v>0</v>
      </c>
      <c r="N2607">
        <f>VLOOKUP(Query1[[#This Row],[Description]],'kits to boards'!$B$2:$E$156,4,FALSE)</f>
        <v>0</v>
      </c>
      <c r="O2607" t="str">
        <f>CONCATENATE(Query1[[#This Row],[Description]]," - ",Query1[[#This Row],[MB1]]," - ",Query1[[#This Row],[MB2]]," - ",Query1[[#This Row],[MB3]])</f>
        <v>EVAP KIT 66-77 BRONCO 4-VENT PLENUM - 830085 - 0 - 0</v>
      </c>
    </row>
    <row r="2608" spans="1:15" x14ac:dyDescent="0.25">
      <c r="A2608" s="1">
        <v>915962</v>
      </c>
      <c r="B2608" s="1" t="s">
        <v>198</v>
      </c>
      <c r="C2608" s="1" t="s">
        <v>199</v>
      </c>
      <c r="D2608" s="2">
        <v>44641.522519525461</v>
      </c>
      <c r="E2608" s="1" t="s">
        <v>8</v>
      </c>
      <c r="F2608" s="1">
        <v>1</v>
      </c>
      <c r="G2608" s="1">
        <v>0</v>
      </c>
      <c r="H2608" s="6">
        <f>INT(Query1[[#This Row],[EntryDateTime]])</f>
        <v>44641</v>
      </c>
      <c r="I2608" s="1">
        <f>IF(Query1[[#This Row],[ItemType]]="EVAP KIT SF GEN IV",Query1[[#This Row],[OrderQty]]+I2607,I2607)</f>
        <v>3156</v>
      </c>
      <c r="J2608" s="1">
        <f>IF(Query1[[#This Row],[ItemType]]="EVAP KIT UNIVERSAL",Query1[[#This Row],[OrderQty]]+J2607,J2607)</f>
        <v>1261</v>
      </c>
      <c r="K2608" s="1">
        <f>Query1[[#This Row],[SF Running Total]]+Query1[[#This Row],[UNIV Running Total]]</f>
        <v>4417</v>
      </c>
      <c r="L2608">
        <f>VLOOKUP(Query1[[#This Row],[Description]],'kits to boards'!$B$2:$E$156,2,FALSE)</f>
        <v>830042</v>
      </c>
      <c r="M2608">
        <f>VLOOKUP(Query1[[#This Row],[Description]],'kits to boards'!$B$2:$E$156,3,FALSE)</f>
        <v>0</v>
      </c>
      <c r="N2608">
        <f>VLOOKUP(Query1[[#This Row],[Description]],'kits to boards'!$B$2:$E$156,4,FALSE)</f>
        <v>0</v>
      </c>
      <c r="O2608" t="str">
        <f>CONCATENATE(Query1[[#This Row],[Description]]," - ",Query1[[#This Row],[MB1]]," - ",Query1[[#This Row],[MB2]]," - ",Query1[[#This Row],[MB3]])</f>
        <v>EVAP KIT 68-83 TOYOTA FJ40 ULTRA HIGH PERF - 830042 - 0 - 0</v>
      </c>
    </row>
    <row r="2609" spans="1:15" x14ac:dyDescent="0.25">
      <c r="A2609" s="1">
        <v>915990</v>
      </c>
      <c r="B2609" s="1" t="s">
        <v>128</v>
      </c>
      <c r="C2609" s="1" t="s">
        <v>129</v>
      </c>
      <c r="D2609" s="2">
        <v>44641.531542094905</v>
      </c>
      <c r="E2609" s="1" t="s">
        <v>8</v>
      </c>
      <c r="F2609" s="1">
        <v>1</v>
      </c>
      <c r="G2609" s="1">
        <v>0</v>
      </c>
      <c r="H2609" s="6">
        <f>INT(Query1[[#This Row],[EntryDateTime]])</f>
        <v>44641</v>
      </c>
      <c r="I2609" s="1">
        <f>IF(Query1[[#This Row],[ItemType]]="EVAP KIT SF GEN IV",Query1[[#This Row],[OrderQty]]+I2608,I2608)</f>
        <v>3157</v>
      </c>
      <c r="J2609" s="1">
        <f>IF(Query1[[#This Row],[ItemType]]="EVAP KIT UNIVERSAL",Query1[[#This Row],[OrderQty]]+J2608,J2608)</f>
        <v>1261</v>
      </c>
      <c r="K2609" s="1">
        <f>Query1[[#This Row],[SF Running Total]]+Query1[[#This Row],[UNIV Running Total]]</f>
        <v>4418</v>
      </c>
      <c r="L2609">
        <f>VLOOKUP(Query1[[#This Row],[Description]],'kits to boards'!$B$2:$E$156,2,FALSE)</f>
        <v>830036</v>
      </c>
      <c r="M2609">
        <f>VLOOKUP(Query1[[#This Row],[Description]],'kits to boards'!$B$2:$E$156,3,FALSE)</f>
        <v>830039</v>
      </c>
      <c r="N2609">
        <f>VLOOKUP(Query1[[#This Row],[Description]],'kits to boards'!$B$2:$E$156,4,FALSE)</f>
        <v>0</v>
      </c>
      <c r="O2609" t="str">
        <f>CONCATENATE(Query1[[#This Row],[Description]]," - ",Query1[[#This Row],[MB1]]," - ",Query1[[#This Row],[MB2]]," - ",Query1[[#This Row],[MB3]])</f>
        <v>EVAP KIT 63-66 VETTE WO AC - 830036 - 830039 - 0</v>
      </c>
    </row>
    <row r="2610" spans="1:15" x14ac:dyDescent="0.25">
      <c r="A2610" s="1">
        <v>915992</v>
      </c>
      <c r="B2610" s="1" t="s">
        <v>92</v>
      </c>
      <c r="C2610" s="1" t="s">
        <v>93</v>
      </c>
      <c r="D2610" s="2">
        <v>44641.533553738424</v>
      </c>
      <c r="E2610" s="1" t="s">
        <v>8</v>
      </c>
      <c r="F2610" s="1">
        <v>2</v>
      </c>
      <c r="G2610" s="1">
        <v>0</v>
      </c>
      <c r="H2610" s="6">
        <f>INT(Query1[[#This Row],[EntryDateTime]])</f>
        <v>44641</v>
      </c>
      <c r="I2610" s="1">
        <f>IF(Query1[[#This Row],[ItemType]]="EVAP KIT SF GEN IV",Query1[[#This Row],[OrderQty]]+I2609,I2609)</f>
        <v>3159</v>
      </c>
      <c r="J2610" s="1">
        <f>IF(Query1[[#This Row],[ItemType]]="EVAP KIT UNIVERSAL",Query1[[#This Row],[OrderQty]]+J2609,J2609)</f>
        <v>1261</v>
      </c>
      <c r="K2610" s="1">
        <f>Query1[[#This Row],[SF Running Total]]+Query1[[#This Row],[UNIV Running Total]]</f>
        <v>4420</v>
      </c>
      <c r="L2610">
        <f>VLOOKUP(Query1[[#This Row],[Description]],'kits to boards'!$B$2:$E$156,2,FALSE)</f>
        <v>830063</v>
      </c>
      <c r="M2610">
        <f>VLOOKUP(Query1[[#This Row],[Description]],'kits to boards'!$B$2:$E$156,3,FALSE)</f>
        <v>0</v>
      </c>
      <c r="N2610">
        <f>VLOOKUP(Query1[[#This Row],[Description]],'kits to boards'!$B$2:$E$156,4,FALSE)</f>
        <v>0</v>
      </c>
      <c r="O2610" t="str">
        <f>CONCATENATE(Query1[[#This Row],[Description]]," - ",Query1[[#This Row],[MB1]]," - ",Query1[[#This Row],[MB2]]," - ",Query1[[#This Row],[MB3]])</f>
        <v>EVAP KIT 50-53 CHEV P-UP GEN IV - 830063 - 0 - 0</v>
      </c>
    </row>
    <row r="2611" spans="1:15" x14ac:dyDescent="0.25">
      <c r="A2611" s="1">
        <v>915994</v>
      </c>
      <c r="B2611" s="1" t="s">
        <v>52</v>
      </c>
      <c r="C2611" s="1" t="s">
        <v>53</v>
      </c>
      <c r="D2611" s="2">
        <v>44641.537060381947</v>
      </c>
      <c r="E2611" s="1" t="s">
        <v>8</v>
      </c>
      <c r="F2611" s="1">
        <v>1</v>
      </c>
      <c r="G2611" s="1">
        <v>0</v>
      </c>
      <c r="H2611" s="6">
        <f>INT(Query1[[#This Row],[EntryDateTime]])</f>
        <v>44641</v>
      </c>
      <c r="I2611" s="1">
        <f>IF(Query1[[#This Row],[ItemType]]="EVAP KIT SF GEN IV",Query1[[#This Row],[OrderQty]]+I2610,I2610)</f>
        <v>3160</v>
      </c>
      <c r="J2611" s="1">
        <f>IF(Query1[[#This Row],[ItemType]]="EVAP KIT UNIVERSAL",Query1[[#This Row],[OrderQty]]+J2610,J2610)</f>
        <v>1261</v>
      </c>
      <c r="K2611" s="1">
        <f>Query1[[#This Row],[SF Running Total]]+Query1[[#This Row],[UNIV Running Total]]</f>
        <v>4421</v>
      </c>
      <c r="L2611">
        <f>VLOOKUP(Query1[[#This Row],[Description]],'kits to boards'!$B$2:$E$156,2,FALSE)</f>
        <v>830017</v>
      </c>
      <c r="M2611">
        <f>VLOOKUP(Query1[[#This Row],[Description]],'kits to boards'!$B$2:$E$156,3,FALSE)</f>
        <v>830119</v>
      </c>
      <c r="N2611">
        <f>VLOOKUP(Query1[[#This Row],[Description]],'kits to boards'!$B$2:$E$156,4,FALSE)</f>
        <v>830120</v>
      </c>
      <c r="O2611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2612" spans="1:15" x14ac:dyDescent="0.25">
      <c r="A2612" s="1">
        <v>915999</v>
      </c>
      <c r="B2612" s="1" t="s">
        <v>16</v>
      </c>
      <c r="C2612" s="1" t="s">
        <v>17</v>
      </c>
      <c r="D2612" s="2">
        <v>44641.540422835649</v>
      </c>
      <c r="E2612" s="1" t="s">
        <v>8</v>
      </c>
      <c r="F2612" s="1">
        <v>1</v>
      </c>
      <c r="G2612" s="1">
        <v>0</v>
      </c>
      <c r="H2612" s="6">
        <f>INT(Query1[[#This Row],[EntryDateTime]])</f>
        <v>44641</v>
      </c>
      <c r="I2612" s="1">
        <f>IF(Query1[[#This Row],[ItemType]]="EVAP KIT SF GEN IV",Query1[[#This Row],[OrderQty]]+I2611,I2611)</f>
        <v>3161</v>
      </c>
      <c r="J2612" s="1">
        <f>IF(Query1[[#This Row],[ItemType]]="EVAP KIT UNIVERSAL",Query1[[#This Row],[OrderQty]]+J2611,J2611)</f>
        <v>1261</v>
      </c>
      <c r="K2612" s="1">
        <f>Query1[[#This Row],[SF Running Total]]+Query1[[#This Row],[UNIV Running Total]]</f>
        <v>4422</v>
      </c>
      <c r="L2612">
        <f>VLOOKUP(Query1[[#This Row],[Description]],'kits to boards'!$B$2:$E$156,2,FALSE)</f>
        <v>830061</v>
      </c>
      <c r="M2612">
        <f>VLOOKUP(Query1[[#This Row],[Description]],'kits to boards'!$B$2:$E$156,3,FALSE)</f>
        <v>0</v>
      </c>
      <c r="N2612">
        <f>VLOOKUP(Query1[[#This Row],[Description]],'kits to boards'!$B$2:$E$156,4,FALSE)</f>
        <v>0</v>
      </c>
      <c r="O2612" t="str">
        <f>CONCATENATE(Query1[[#This Row],[Description]]," - ",Query1[[#This Row],[MB1]]," - ",Query1[[#This Row],[MB2]]," - ",Query1[[#This Row],[MB3]])</f>
        <v>EVAP KIT 68-69 CHEVELLE W/AC - 830061 - 0 - 0</v>
      </c>
    </row>
    <row r="2613" spans="1:15" x14ac:dyDescent="0.25">
      <c r="A2613" s="1">
        <v>915988</v>
      </c>
      <c r="B2613" s="1" t="s">
        <v>84</v>
      </c>
      <c r="C2613" s="1" t="s">
        <v>85</v>
      </c>
      <c r="D2613" s="2">
        <v>44641.540513229163</v>
      </c>
      <c r="E2613" s="1" t="s">
        <v>8</v>
      </c>
      <c r="F2613" s="1">
        <v>1</v>
      </c>
      <c r="G2613" s="1">
        <v>0</v>
      </c>
      <c r="H2613" s="6">
        <f>INT(Query1[[#This Row],[EntryDateTime]])</f>
        <v>44641</v>
      </c>
      <c r="I2613" s="1">
        <f>IF(Query1[[#This Row],[ItemType]]="EVAP KIT SF GEN IV",Query1[[#This Row],[OrderQty]]+I2612,I2612)</f>
        <v>3162</v>
      </c>
      <c r="J2613" s="1">
        <f>IF(Query1[[#This Row],[ItemType]]="EVAP KIT UNIVERSAL",Query1[[#This Row],[OrderQty]]+J2612,J2612)</f>
        <v>1261</v>
      </c>
      <c r="K2613" s="1">
        <f>Query1[[#This Row],[SF Running Total]]+Query1[[#This Row],[UNIV Running Total]]</f>
        <v>4423</v>
      </c>
      <c r="L2613">
        <f>VLOOKUP(Query1[[#This Row],[Description]],'kits to boards'!$B$2:$E$156,2,FALSE)</f>
        <v>830085</v>
      </c>
      <c r="M2613">
        <f>VLOOKUP(Query1[[#This Row],[Description]],'kits to boards'!$B$2:$E$156,3,FALSE)</f>
        <v>0</v>
      </c>
      <c r="N2613">
        <f>VLOOKUP(Query1[[#This Row],[Description]],'kits to boards'!$B$2:$E$156,4,FALSE)</f>
        <v>0</v>
      </c>
      <c r="O2613" t="str">
        <f>CONCATENATE(Query1[[#This Row],[Description]]," - ",Query1[[#This Row],[MB1]]," - ",Query1[[#This Row],[MB2]]," - ",Query1[[#This Row],[MB3]])</f>
        <v>EVAP KIT 66-77 BRONCO 4-VENT PLENUM - 830085 - 0 - 0</v>
      </c>
    </row>
    <row r="2614" spans="1:15" x14ac:dyDescent="0.25">
      <c r="A2614" s="1">
        <v>915912</v>
      </c>
      <c r="B2614" s="1" t="s">
        <v>46</v>
      </c>
      <c r="C2614" s="1" t="s">
        <v>47</v>
      </c>
      <c r="D2614" s="2">
        <v>44641.544183831022</v>
      </c>
      <c r="E2614" s="1" t="s">
        <v>8</v>
      </c>
      <c r="F2614" s="1">
        <v>1</v>
      </c>
      <c r="G2614" s="1">
        <v>0</v>
      </c>
      <c r="H2614" s="6">
        <f>INT(Query1[[#This Row],[EntryDateTime]])</f>
        <v>44641</v>
      </c>
      <c r="I2614" s="1">
        <f>IF(Query1[[#This Row],[ItemType]]="EVAP KIT SF GEN IV",Query1[[#This Row],[OrderQty]]+I2613,I2613)</f>
        <v>3163</v>
      </c>
      <c r="J2614" s="1">
        <f>IF(Query1[[#This Row],[ItemType]]="EVAP KIT UNIVERSAL",Query1[[#This Row],[OrderQty]]+J2613,J2613)</f>
        <v>1261</v>
      </c>
      <c r="K2614" s="1">
        <f>Query1[[#This Row],[SF Running Total]]+Query1[[#This Row],[UNIV Running Total]]</f>
        <v>4424</v>
      </c>
      <c r="L2614">
        <f>VLOOKUP(Query1[[#This Row],[Description]],'kits to boards'!$B$2:$E$156,2,FALSE)</f>
        <v>830018</v>
      </c>
      <c r="M2614">
        <f>VLOOKUP(Query1[[#This Row],[Description]],'kits to boards'!$B$2:$E$156,3,FALSE)</f>
        <v>0</v>
      </c>
      <c r="N2614">
        <f>VLOOKUP(Query1[[#This Row],[Description]],'kits to boards'!$B$2:$E$156,4,FALSE)</f>
        <v>0</v>
      </c>
      <c r="O2614" t="str">
        <f>CONCATENATE(Query1[[#This Row],[Description]]," - ",Query1[[#This Row],[MB1]]," - ",Query1[[#This Row],[MB2]]," - ",Query1[[#This Row],[MB3]])</f>
        <v>EVAP KIT 68-72 FORD P-UP F-100 - 830018 - 0 - 0</v>
      </c>
    </row>
    <row r="2615" spans="1:15" x14ac:dyDescent="0.25">
      <c r="A2615" s="1">
        <v>916002</v>
      </c>
      <c r="B2615" s="1" t="s">
        <v>66</v>
      </c>
      <c r="C2615" s="1" t="s">
        <v>67</v>
      </c>
      <c r="D2615" s="2">
        <v>44641.546137418984</v>
      </c>
      <c r="E2615" s="1" t="s">
        <v>8</v>
      </c>
      <c r="F2615" s="1">
        <v>1</v>
      </c>
      <c r="G2615" s="1">
        <v>0</v>
      </c>
      <c r="H2615" s="6">
        <f>INT(Query1[[#This Row],[EntryDateTime]])</f>
        <v>44641</v>
      </c>
      <c r="I2615" s="1">
        <f>IF(Query1[[#This Row],[ItemType]]="EVAP KIT SF GEN IV",Query1[[#This Row],[OrderQty]]+I2614,I2614)</f>
        <v>3164</v>
      </c>
      <c r="J2615" s="1">
        <f>IF(Query1[[#This Row],[ItemType]]="EVAP KIT UNIVERSAL",Query1[[#This Row],[OrderQty]]+J2614,J2614)</f>
        <v>1261</v>
      </c>
      <c r="K2615" s="1">
        <f>Query1[[#This Row],[SF Running Total]]+Query1[[#This Row],[UNIV Running Total]]</f>
        <v>4425</v>
      </c>
      <c r="L2615">
        <f>VLOOKUP(Query1[[#This Row],[Description]],'kits to boards'!$B$2:$E$156,2,FALSE)</f>
        <v>830060</v>
      </c>
      <c r="M2615">
        <f>VLOOKUP(Query1[[#This Row],[Description]],'kits to boards'!$B$2:$E$156,3,FALSE)</f>
        <v>0</v>
      </c>
      <c r="N2615">
        <f>VLOOKUP(Query1[[#This Row],[Description]],'kits to boards'!$B$2:$E$156,4,FALSE)</f>
        <v>0</v>
      </c>
      <c r="O2615" t="str">
        <f>CONCATENATE(Query1[[#This Row],[Description]]," - ",Query1[[#This Row],[MB1]]," - ",Query1[[#This Row],[MB2]]," - ",Query1[[#This Row],[MB3]])</f>
        <v>EVAP KIT 66-67 CHEVELLE WO AC - 830060 - 0 - 0</v>
      </c>
    </row>
    <row r="2616" spans="1:15" x14ac:dyDescent="0.25">
      <c r="A2616" s="1">
        <v>916006</v>
      </c>
      <c r="B2616" s="1" t="s">
        <v>36</v>
      </c>
      <c r="C2616" s="1" t="s">
        <v>37</v>
      </c>
      <c r="D2616" s="2">
        <v>44641.554271099536</v>
      </c>
      <c r="E2616" s="1" t="s">
        <v>8</v>
      </c>
      <c r="F2616" s="1">
        <v>1</v>
      </c>
      <c r="G2616" s="1">
        <v>0</v>
      </c>
      <c r="H2616" s="6">
        <f>INT(Query1[[#This Row],[EntryDateTime]])</f>
        <v>44641</v>
      </c>
      <c r="I2616" s="1">
        <f>IF(Query1[[#This Row],[ItemType]]="EVAP KIT SF GEN IV",Query1[[#This Row],[OrderQty]]+I2615,I2615)</f>
        <v>3165</v>
      </c>
      <c r="J2616" s="1">
        <f>IF(Query1[[#This Row],[ItemType]]="EVAP KIT UNIVERSAL",Query1[[#This Row],[OrderQty]]+J2615,J2615)</f>
        <v>1261</v>
      </c>
      <c r="K2616" s="1">
        <f>Query1[[#This Row],[SF Running Total]]+Query1[[#This Row],[UNIV Running Total]]</f>
        <v>4426</v>
      </c>
      <c r="L2616">
        <f>VLOOKUP(Query1[[#This Row],[Description]],'kits to boards'!$B$2:$E$156,2,FALSE)</f>
        <v>830015</v>
      </c>
      <c r="M2616">
        <f>VLOOKUP(Query1[[#This Row],[Description]],'kits to boards'!$B$2:$E$156,3,FALSE)</f>
        <v>0</v>
      </c>
      <c r="N2616">
        <f>VLOOKUP(Query1[[#This Row],[Description]],'kits to boards'!$B$2:$E$156,4,FALSE)</f>
        <v>0</v>
      </c>
      <c r="O2616" t="str">
        <f>CONCATENATE(Query1[[#This Row],[Description]]," - ",Query1[[#This Row],[MB1]]," - ",Query1[[#This Row],[MB2]]," - ",Query1[[#This Row],[MB3]])</f>
        <v>EVAP KIT 64-66 CHEV P-UP WO AC W/STD - 830015 - 0 - 0</v>
      </c>
    </row>
    <row r="2617" spans="1:15" x14ac:dyDescent="0.25">
      <c r="A2617" s="1">
        <v>915989</v>
      </c>
      <c r="B2617" s="1" t="s">
        <v>96</v>
      </c>
      <c r="C2617" s="1" t="s">
        <v>97</v>
      </c>
      <c r="D2617" s="2">
        <v>44641.572368668982</v>
      </c>
      <c r="E2617" s="1" t="s">
        <v>8</v>
      </c>
      <c r="F2617" s="1">
        <v>1</v>
      </c>
      <c r="G2617" s="1">
        <v>0</v>
      </c>
      <c r="H2617" s="6">
        <f>INT(Query1[[#This Row],[EntryDateTime]])</f>
        <v>44641</v>
      </c>
      <c r="I2617" s="1">
        <f>IF(Query1[[#This Row],[ItemType]]="EVAP KIT SF GEN IV",Query1[[#This Row],[OrderQty]]+I2616,I2616)</f>
        <v>3166</v>
      </c>
      <c r="J2617" s="1">
        <f>IF(Query1[[#This Row],[ItemType]]="EVAP KIT UNIVERSAL",Query1[[#This Row],[OrderQty]]+J2616,J2616)</f>
        <v>1261</v>
      </c>
      <c r="K2617" s="1">
        <f>Query1[[#This Row],[SF Running Total]]+Query1[[#This Row],[UNIV Running Total]]</f>
        <v>4427</v>
      </c>
      <c r="L2617">
        <f>VLOOKUP(Query1[[#This Row],[Description]],'kits to boards'!$B$2:$E$156,2,FALSE)</f>
        <v>830004</v>
      </c>
      <c r="M2617">
        <f>VLOOKUP(Query1[[#This Row],[Description]],'kits to boards'!$B$2:$E$156,3,FALSE)</f>
        <v>0</v>
      </c>
      <c r="N2617">
        <f>VLOOKUP(Query1[[#This Row],[Description]],'kits to boards'!$B$2:$E$156,4,FALSE)</f>
        <v>0</v>
      </c>
      <c r="O2617" t="str">
        <f>CONCATENATE(Query1[[#This Row],[Description]]," - ",Query1[[#This Row],[MB1]]," - ",Query1[[#This Row],[MB2]]," - ",Query1[[#This Row],[MB3]])</f>
        <v>EVAP KIT 81-87 CHEV P-UP W/AC - 830004 - 0 - 0</v>
      </c>
    </row>
    <row r="2618" spans="1:15" x14ac:dyDescent="0.25">
      <c r="A2618" s="1">
        <v>913754</v>
      </c>
      <c r="B2618" s="1" t="s">
        <v>180</v>
      </c>
      <c r="C2618" s="1" t="s">
        <v>181</v>
      </c>
      <c r="D2618" s="2">
        <v>44641.594127233795</v>
      </c>
      <c r="E2618" s="1" t="s">
        <v>8</v>
      </c>
      <c r="F2618" s="1">
        <v>1</v>
      </c>
      <c r="G2618" s="1">
        <v>0</v>
      </c>
      <c r="H2618" s="6">
        <f>INT(Query1[[#This Row],[EntryDateTime]])</f>
        <v>44641</v>
      </c>
      <c r="I2618" s="1">
        <f>IF(Query1[[#This Row],[ItemType]]="EVAP KIT SF GEN IV",Query1[[#This Row],[OrderQty]]+I2617,I2617)</f>
        <v>3167</v>
      </c>
      <c r="J2618" s="1">
        <f>IF(Query1[[#This Row],[ItemType]]="EVAP KIT UNIVERSAL",Query1[[#This Row],[OrderQty]]+J2617,J2617)</f>
        <v>1261</v>
      </c>
      <c r="K2618" s="1">
        <f>Query1[[#This Row],[SF Running Total]]+Query1[[#This Row],[UNIV Running Total]]</f>
        <v>4428</v>
      </c>
      <c r="L2618">
        <f>VLOOKUP(Query1[[#This Row],[Description]],'kits to boards'!$B$2:$E$156,2,FALSE)</f>
        <v>830123</v>
      </c>
      <c r="M2618">
        <f>VLOOKUP(Query1[[#This Row],[Description]],'kits to boards'!$B$2:$E$156,3,FALSE)</f>
        <v>0</v>
      </c>
      <c r="N2618">
        <f>VLOOKUP(Query1[[#This Row],[Description]],'kits to boards'!$B$2:$E$156,4,FALSE)</f>
        <v>0</v>
      </c>
      <c r="O2618" t="str">
        <f>CONCATENATE(Query1[[#This Row],[Description]]," - ",Query1[[#This Row],[MB1]]," - ",Query1[[#This Row],[MB2]]," - ",Query1[[#This Row],[MB3]])</f>
        <v>EVAP KIT 68 GTO W/AC - 830123 - 0 - 0</v>
      </c>
    </row>
    <row r="2619" spans="1:15" x14ac:dyDescent="0.25">
      <c r="A2619" s="1">
        <v>916019</v>
      </c>
      <c r="B2619" s="1" t="s">
        <v>88</v>
      </c>
      <c r="C2619" s="1" t="s">
        <v>89</v>
      </c>
      <c r="D2619" s="2">
        <v>44641.594794710647</v>
      </c>
      <c r="E2619" s="1" t="s">
        <v>8</v>
      </c>
      <c r="F2619" s="1">
        <v>1</v>
      </c>
      <c r="G2619" s="1">
        <v>0</v>
      </c>
      <c r="H2619" s="6">
        <f>INT(Query1[[#This Row],[EntryDateTime]])</f>
        <v>44641</v>
      </c>
      <c r="I2619" s="1">
        <f>IF(Query1[[#This Row],[ItemType]]="EVAP KIT SF GEN IV",Query1[[#This Row],[OrderQty]]+I2618,I2618)</f>
        <v>3168</v>
      </c>
      <c r="J2619" s="1">
        <f>IF(Query1[[#This Row],[ItemType]]="EVAP KIT UNIVERSAL",Query1[[#This Row],[OrderQty]]+J2618,J2618)</f>
        <v>1261</v>
      </c>
      <c r="K2619" s="1">
        <f>Query1[[#This Row],[SF Running Total]]+Query1[[#This Row],[UNIV Running Total]]</f>
        <v>4429</v>
      </c>
      <c r="L2619">
        <f>VLOOKUP(Query1[[#This Row],[Description]],'kits to boards'!$B$2:$E$156,2,FALSE)</f>
        <v>830003</v>
      </c>
      <c r="M2619">
        <f>VLOOKUP(Query1[[#This Row],[Description]],'kits to boards'!$B$2:$E$156,3,FALSE)</f>
        <v>0</v>
      </c>
      <c r="N2619">
        <f>VLOOKUP(Query1[[#This Row],[Description]],'kits to boards'!$B$2:$E$156,4,FALSE)</f>
        <v>0</v>
      </c>
      <c r="O2619" t="str">
        <f>CONCATENATE(Query1[[#This Row],[Description]]," - ",Query1[[#This Row],[MB1]]," - ",Query1[[#This Row],[MB2]]," - ",Query1[[#This Row],[MB3]])</f>
        <v>EVAP KIT 81-87 CHEV P-UP WO AC - 830003 - 0 - 0</v>
      </c>
    </row>
    <row r="2620" spans="1:15" x14ac:dyDescent="0.25">
      <c r="A2620" s="1">
        <v>916040</v>
      </c>
      <c r="B2620" s="1" t="s">
        <v>26</v>
      </c>
      <c r="C2620" s="1" t="s">
        <v>27</v>
      </c>
      <c r="D2620" s="2">
        <v>44641.61576079861</v>
      </c>
      <c r="E2620" s="1" t="s">
        <v>8</v>
      </c>
      <c r="F2620" s="1">
        <v>1</v>
      </c>
      <c r="G2620" s="1">
        <v>0</v>
      </c>
      <c r="H2620" s="6">
        <f>INT(Query1[[#This Row],[EntryDateTime]])</f>
        <v>44641</v>
      </c>
      <c r="I2620" s="1">
        <f>IF(Query1[[#This Row],[ItemType]]="EVAP KIT SF GEN IV",Query1[[#This Row],[OrderQty]]+I2619,I2619)</f>
        <v>3169</v>
      </c>
      <c r="J2620" s="1">
        <f>IF(Query1[[#This Row],[ItemType]]="EVAP KIT UNIVERSAL",Query1[[#This Row],[OrderQty]]+J2619,J2619)</f>
        <v>1261</v>
      </c>
      <c r="K2620" s="1">
        <f>Query1[[#This Row],[SF Running Total]]+Query1[[#This Row],[UNIV Running Total]]</f>
        <v>4430</v>
      </c>
      <c r="L2620">
        <f>VLOOKUP(Query1[[#This Row],[Description]],'kits to boards'!$B$2:$E$156,2,FALSE)</f>
        <v>830013</v>
      </c>
      <c r="M2620">
        <f>VLOOKUP(Query1[[#This Row],[Description]],'kits to boards'!$B$2:$E$156,3,FALSE)</f>
        <v>0</v>
      </c>
      <c r="N2620">
        <f>VLOOKUP(Query1[[#This Row],[Description]],'kits to boards'!$B$2:$E$156,4,FALSE)</f>
        <v>0</v>
      </c>
      <c r="O2620" t="str">
        <f>CONCATENATE(Query1[[#This Row],[Description]]," - ",Query1[[#This Row],[MB1]]," - ",Query1[[#This Row],[MB2]]," - ",Query1[[#This Row],[MB3]])</f>
        <v>EVAP KIT 67-72 CHEV P-UP W/AC - 830013 - 0 - 0</v>
      </c>
    </row>
    <row r="2621" spans="1:15" x14ac:dyDescent="0.25">
      <c r="A2621" s="1">
        <v>916044</v>
      </c>
      <c r="B2621" s="1" t="s">
        <v>210</v>
      </c>
      <c r="C2621" s="1" t="s">
        <v>211</v>
      </c>
      <c r="D2621" s="2">
        <v>44641.622840358796</v>
      </c>
      <c r="E2621" s="1" t="s">
        <v>8</v>
      </c>
      <c r="F2621" s="1">
        <v>1</v>
      </c>
      <c r="G2621" s="1">
        <v>0</v>
      </c>
      <c r="H2621" s="6">
        <f>INT(Query1[[#This Row],[EntryDateTime]])</f>
        <v>44641</v>
      </c>
      <c r="I2621" s="1">
        <f>IF(Query1[[#This Row],[ItemType]]="EVAP KIT SF GEN IV",Query1[[#This Row],[OrderQty]]+I2620,I2620)</f>
        <v>3170</v>
      </c>
      <c r="J2621" s="1">
        <f>IF(Query1[[#This Row],[ItemType]]="EVAP KIT UNIVERSAL",Query1[[#This Row],[OrderQty]]+J2620,J2620)</f>
        <v>1261</v>
      </c>
      <c r="K2621" s="1">
        <f>Query1[[#This Row],[SF Running Total]]+Query1[[#This Row],[UNIV Running Total]]</f>
        <v>4431</v>
      </c>
      <c r="L2621">
        <f>VLOOKUP(Query1[[#This Row],[Description]],'kits to boards'!$B$2:$E$156,2,FALSE)</f>
        <v>830094</v>
      </c>
      <c r="M2621">
        <f>VLOOKUP(Query1[[#This Row],[Description]],'kits to boards'!$B$2:$E$156,3,FALSE)</f>
        <v>0</v>
      </c>
      <c r="N2621">
        <f>VLOOKUP(Query1[[#This Row],[Description]],'kits to boards'!$B$2:$E$156,4,FALSE)</f>
        <v>0</v>
      </c>
      <c r="O2621" t="str">
        <f>CONCATENATE(Query1[[#This Row],[Description]]," - ",Query1[[#This Row],[MB1]]," - ",Query1[[#This Row],[MB2]]," - ",Query1[[#This Row],[MB3]])</f>
        <v>EVAP KIT 74-76 VETTE W/AC - 830094 - 0 - 0</v>
      </c>
    </row>
    <row r="2622" spans="1:15" x14ac:dyDescent="0.25">
      <c r="A2622" s="1">
        <v>916053</v>
      </c>
      <c r="B2622" s="1" t="s">
        <v>128</v>
      </c>
      <c r="C2622" s="1" t="s">
        <v>129</v>
      </c>
      <c r="D2622" s="2">
        <v>44641.630780983796</v>
      </c>
      <c r="E2622" s="1" t="s">
        <v>8</v>
      </c>
      <c r="F2622" s="1">
        <v>1</v>
      </c>
      <c r="G2622" s="1">
        <v>0</v>
      </c>
      <c r="H2622" s="6">
        <f>INT(Query1[[#This Row],[EntryDateTime]])</f>
        <v>44641</v>
      </c>
      <c r="I2622" s="1">
        <f>IF(Query1[[#This Row],[ItemType]]="EVAP KIT SF GEN IV",Query1[[#This Row],[OrderQty]]+I2621,I2621)</f>
        <v>3171</v>
      </c>
      <c r="J2622" s="1">
        <f>IF(Query1[[#This Row],[ItemType]]="EVAP KIT UNIVERSAL",Query1[[#This Row],[OrderQty]]+J2621,J2621)</f>
        <v>1261</v>
      </c>
      <c r="K2622" s="1">
        <f>Query1[[#This Row],[SF Running Total]]+Query1[[#This Row],[UNIV Running Total]]</f>
        <v>4432</v>
      </c>
      <c r="L2622">
        <f>VLOOKUP(Query1[[#This Row],[Description]],'kits to boards'!$B$2:$E$156,2,FALSE)</f>
        <v>830036</v>
      </c>
      <c r="M2622">
        <f>VLOOKUP(Query1[[#This Row],[Description]],'kits to boards'!$B$2:$E$156,3,FALSE)</f>
        <v>830039</v>
      </c>
      <c r="N2622">
        <f>VLOOKUP(Query1[[#This Row],[Description]],'kits to boards'!$B$2:$E$156,4,FALSE)</f>
        <v>0</v>
      </c>
      <c r="O2622" t="str">
        <f>CONCATENATE(Query1[[#This Row],[Description]]," - ",Query1[[#This Row],[MB1]]," - ",Query1[[#This Row],[MB2]]," - ",Query1[[#This Row],[MB3]])</f>
        <v>EVAP KIT 63-66 VETTE WO AC - 830036 - 830039 - 0</v>
      </c>
    </row>
    <row r="2623" spans="1:15" x14ac:dyDescent="0.25">
      <c r="A2623" s="1">
        <v>916059</v>
      </c>
      <c r="B2623" s="1" t="s">
        <v>56</v>
      </c>
      <c r="C2623" s="1" t="s">
        <v>57</v>
      </c>
      <c r="D2623" s="2">
        <v>44641.63539560185</v>
      </c>
      <c r="E2623" s="1" t="s">
        <v>8</v>
      </c>
      <c r="F2623" s="1">
        <v>1</v>
      </c>
      <c r="G2623" s="1">
        <v>0</v>
      </c>
      <c r="H2623" s="6">
        <f>INT(Query1[[#This Row],[EntryDateTime]])</f>
        <v>44641</v>
      </c>
      <c r="I2623" s="1">
        <f>IF(Query1[[#This Row],[ItemType]]="EVAP KIT SF GEN IV",Query1[[#This Row],[OrderQty]]+I2622,I2622)</f>
        <v>3172</v>
      </c>
      <c r="J2623" s="1">
        <f>IF(Query1[[#This Row],[ItemType]]="EVAP KIT UNIVERSAL",Query1[[#This Row],[OrderQty]]+J2622,J2622)</f>
        <v>1261</v>
      </c>
      <c r="K2623" s="1">
        <f>Query1[[#This Row],[SF Running Total]]+Query1[[#This Row],[UNIV Running Total]]</f>
        <v>4433</v>
      </c>
      <c r="L2623">
        <f>VLOOKUP(Query1[[#This Row],[Description]],'kits to boards'!$B$2:$E$156,2,FALSE)</f>
        <v>830011</v>
      </c>
      <c r="M2623">
        <f>VLOOKUP(Query1[[#This Row],[Description]],'kits to boards'!$B$2:$E$156,3,FALSE)</f>
        <v>0</v>
      </c>
      <c r="N2623">
        <f>VLOOKUP(Query1[[#This Row],[Description]],'kits to boards'!$B$2:$E$156,4,FALSE)</f>
        <v>0</v>
      </c>
      <c r="O2623" t="str">
        <f>CONCATENATE(Query1[[#This Row],[Description]]," - ",Query1[[#This Row],[MB1]]," - ",Query1[[#This Row],[MB2]]," - ",Query1[[#This Row],[MB3]])</f>
        <v>EVAP KIT 70-72 CHEVELLE W/AC - 830011 - 0 - 0</v>
      </c>
    </row>
    <row r="2624" spans="1:15" x14ac:dyDescent="0.25">
      <c r="A2624" s="1">
        <v>916071</v>
      </c>
      <c r="B2624" s="1" t="s">
        <v>66</v>
      </c>
      <c r="C2624" s="1" t="s">
        <v>67</v>
      </c>
      <c r="D2624" s="2">
        <v>44641.648698611112</v>
      </c>
      <c r="E2624" s="1" t="s">
        <v>8</v>
      </c>
      <c r="F2624" s="1">
        <v>1</v>
      </c>
      <c r="G2624" s="1">
        <v>0</v>
      </c>
      <c r="H2624" s="6">
        <f>INT(Query1[[#This Row],[EntryDateTime]])</f>
        <v>44641</v>
      </c>
      <c r="I2624" s="1">
        <f>IF(Query1[[#This Row],[ItemType]]="EVAP KIT SF GEN IV",Query1[[#This Row],[OrderQty]]+I2623,I2623)</f>
        <v>3173</v>
      </c>
      <c r="J2624" s="1">
        <f>IF(Query1[[#This Row],[ItemType]]="EVAP KIT UNIVERSAL",Query1[[#This Row],[OrderQty]]+J2623,J2623)</f>
        <v>1261</v>
      </c>
      <c r="K2624" s="1">
        <f>Query1[[#This Row],[SF Running Total]]+Query1[[#This Row],[UNIV Running Total]]</f>
        <v>4434</v>
      </c>
      <c r="L2624">
        <f>VLOOKUP(Query1[[#This Row],[Description]],'kits to boards'!$B$2:$E$156,2,FALSE)</f>
        <v>830060</v>
      </c>
      <c r="M2624">
        <f>VLOOKUP(Query1[[#This Row],[Description]],'kits to boards'!$B$2:$E$156,3,FALSE)</f>
        <v>0</v>
      </c>
      <c r="N2624">
        <f>VLOOKUP(Query1[[#This Row],[Description]],'kits to boards'!$B$2:$E$156,4,FALSE)</f>
        <v>0</v>
      </c>
      <c r="O2624" t="str">
        <f>CONCATENATE(Query1[[#This Row],[Description]]," - ",Query1[[#This Row],[MB1]]," - ",Query1[[#This Row],[MB2]]," - ",Query1[[#This Row],[MB3]])</f>
        <v>EVAP KIT 66-67 CHEVELLE WO AC - 830060 - 0 - 0</v>
      </c>
    </row>
    <row r="2625" spans="1:15" x14ac:dyDescent="0.25">
      <c r="A2625" s="1">
        <v>916076</v>
      </c>
      <c r="B2625" s="1" t="s">
        <v>68</v>
      </c>
      <c r="C2625" s="1" t="s">
        <v>69</v>
      </c>
      <c r="D2625" s="2">
        <v>44641.652173726849</v>
      </c>
      <c r="E2625" s="1" t="s">
        <v>8</v>
      </c>
      <c r="F2625" s="1">
        <v>1</v>
      </c>
      <c r="G2625" s="1">
        <v>0</v>
      </c>
      <c r="H2625" s="6">
        <f>INT(Query1[[#This Row],[EntryDateTime]])</f>
        <v>44641</v>
      </c>
      <c r="I2625" s="1">
        <f>IF(Query1[[#This Row],[ItemType]]="EVAP KIT SF GEN IV",Query1[[#This Row],[OrderQty]]+I2624,I2624)</f>
        <v>3174</v>
      </c>
      <c r="J2625" s="1">
        <f>IF(Query1[[#This Row],[ItemType]]="EVAP KIT UNIVERSAL",Query1[[#This Row],[OrderQty]]+J2624,J2624)</f>
        <v>1261</v>
      </c>
      <c r="K2625" s="1">
        <f>Query1[[#This Row],[SF Running Total]]+Query1[[#This Row],[UNIV Running Total]]</f>
        <v>4435</v>
      </c>
      <c r="L2625">
        <f>VLOOKUP(Query1[[#This Row],[Description]],'kits to boards'!$B$2:$E$156,2,FALSE)</f>
        <v>830010</v>
      </c>
      <c r="M2625">
        <f>VLOOKUP(Query1[[#This Row],[Description]],'kits to boards'!$B$2:$E$156,3,FALSE)</f>
        <v>0</v>
      </c>
      <c r="N2625">
        <f>VLOOKUP(Query1[[#This Row],[Description]],'kits to boards'!$B$2:$E$156,4,FALSE)</f>
        <v>0</v>
      </c>
      <c r="O2625" t="str">
        <f>CONCATENATE(Query1[[#This Row],[Description]]," - ",Query1[[#This Row],[MB1]]," - ",Query1[[#This Row],[MB2]]," - ",Query1[[#This Row],[MB3]])</f>
        <v>EVAP KIT 70-72 CHEVELLE WO AC - 830010 - 0 - 0</v>
      </c>
    </row>
    <row r="2626" spans="1:15" x14ac:dyDescent="0.25">
      <c r="A2626" s="1">
        <v>916067</v>
      </c>
      <c r="B2626" s="1" t="s">
        <v>150</v>
      </c>
      <c r="C2626" s="1" t="s">
        <v>151</v>
      </c>
      <c r="D2626" s="2">
        <v>44641.659171562504</v>
      </c>
      <c r="E2626" s="1" t="s">
        <v>8</v>
      </c>
      <c r="F2626" s="1">
        <v>1</v>
      </c>
      <c r="G2626" s="1">
        <v>0</v>
      </c>
      <c r="H2626" s="6">
        <f>INT(Query1[[#This Row],[EntryDateTime]])</f>
        <v>44641</v>
      </c>
      <c r="I2626" s="1">
        <f>IF(Query1[[#This Row],[ItemType]]="EVAP KIT SF GEN IV",Query1[[#This Row],[OrderQty]]+I2625,I2625)</f>
        <v>3175</v>
      </c>
      <c r="J2626" s="1">
        <f>IF(Query1[[#This Row],[ItemType]]="EVAP KIT UNIVERSAL",Query1[[#This Row],[OrderQty]]+J2625,J2625)</f>
        <v>1261</v>
      </c>
      <c r="K2626" s="1">
        <f>Query1[[#This Row],[SF Running Total]]+Query1[[#This Row],[UNIV Running Total]]</f>
        <v>4436</v>
      </c>
      <c r="L2626">
        <f>VLOOKUP(Query1[[#This Row],[Description]],'kits to boards'!$B$2:$E$156,2,FALSE)</f>
        <v>830010</v>
      </c>
      <c r="M2626">
        <f>VLOOKUP(Query1[[#This Row],[Description]],'kits to boards'!$B$2:$E$156,3,FALSE)</f>
        <v>0</v>
      </c>
      <c r="N2626">
        <f>VLOOKUP(Query1[[#This Row],[Description]],'kits to boards'!$B$2:$E$156,4,FALSE)</f>
        <v>0</v>
      </c>
      <c r="O2626" t="str">
        <f>CONCATENATE(Query1[[#This Row],[Description]]," - ",Query1[[#This Row],[MB1]]," - ",Query1[[#This Row],[MB2]]," - ",Query1[[#This Row],[MB3]])</f>
        <v>EVAP KIT 70-72 MONTE CARLO W/AC - 830010 - 0 - 0</v>
      </c>
    </row>
    <row r="2627" spans="1:15" x14ac:dyDescent="0.25">
      <c r="A2627" s="1">
        <v>916084</v>
      </c>
      <c r="B2627" s="1" t="s">
        <v>122</v>
      </c>
      <c r="C2627" s="1" t="s">
        <v>123</v>
      </c>
      <c r="D2627" s="2">
        <v>44641.660108993055</v>
      </c>
      <c r="E2627" s="1" t="s">
        <v>8</v>
      </c>
      <c r="F2627" s="1">
        <v>1</v>
      </c>
      <c r="G2627" s="1">
        <v>0</v>
      </c>
      <c r="H2627" s="6">
        <f>INT(Query1[[#This Row],[EntryDateTime]])</f>
        <v>44641</v>
      </c>
      <c r="I2627" s="1">
        <f>IF(Query1[[#This Row],[ItemType]]="EVAP KIT SF GEN IV",Query1[[#This Row],[OrderQty]]+I2626,I2626)</f>
        <v>3176</v>
      </c>
      <c r="J2627" s="1">
        <f>IF(Query1[[#This Row],[ItemType]]="EVAP KIT UNIVERSAL",Query1[[#This Row],[OrderQty]]+J2626,J2626)</f>
        <v>1261</v>
      </c>
      <c r="K2627" s="1">
        <f>Query1[[#This Row],[SF Running Total]]+Query1[[#This Row],[UNIV Running Total]]</f>
        <v>4437</v>
      </c>
      <c r="L2627">
        <f>VLOOKUP(Query1[[#This Row],[Description]],'kits to boards'!$B$2:$E$156,2,FALSE)</f>
        <v>830027</v>
      </c>
      <c r="M2627">
        <f>VLOOKUP(Query1[[#This Row],[Description]],'kits to boards'!$B$2:$E$156,3,FALSE)</f>
        <v>0</v>
      </c>
      <c r="N2627">
        <f>VLOOKUP(Query1[[#This Row],[Description]],'kits to boards'!$B$2:$E$156,4,FALSE)</f>
        <v>0</v>
      </c>
      <c r="O2627" t="str">
        <f>CONCATENATE(Query1[[#This Row],[Description]]," - ",Query1[[#This Row],[MB1]]," - ",Query1[[#This Row],[MB2]]," - ",Query1[[#This Row],[MB3]])</f>
        <v>EVAP KIT 70-72 CUTLASS W/AC - 830027 - 0 - 0</v>
      </c>
    </row>
    <row r="2628" spans="1:15" x14ac:dyDescent="0.25">
      <c r="A2628" s="1">
        <v>916090</v>
      </c>
      <c r="B2628" s="1" t="s">
        <v>269</v>
      </c>
      <c r="C2628" s="1" t="s">
        <v>270</v>
      </c>
      <c r="D2628" s="2">
        <v>44641.668104282406</v>
      </c>
      <c r="E2628" s="1" t="s">
        <v>8</v>
      </c>
      <c r="F2628" s="1">
        <v>1</v>
      </c>
      <c r="G2628" s="1">
        <v>0</v>
      </c>
      <c r="H2628" s="6">
        <f>INT(Query1[[#This Row],[EntryDateTime]])</f>
        <v>44641</v>
      </c>
      <c r="I2628" s="1">
        <f>IF(Query1[[#This Row],[ItemType]]="EVAP KIT SF GEN IV",Query1[[#This Row],[OrderQty]]+I2627,I2627)</f>
        <v>3177</v>
      </c>
      <c r="J2628" s="1">
        <f>IF(Query1[[#This Row],[ItemType]]="EVAP KIT UNIVERSAL",Query1[[#This Row],[OrderQty]]+J2627,J2627)</f>
        <v>1261</v>
      </c>
      <c r="K2628" s="1">
        <f>Query1[[#This Row],[SF Running Total]]+Query1[[#This Row],[UNIV Running Total]]</f>
        <v>4438</v>
      </c>
      <c r="L2628">
        <f>VLOOKUP(Query1[[#This Row],[Description]],'kits to boards'!$B$2:$E$156,2,FALSE)</f>
        <v>830010</v>
      </c>
      <c r="M2628">
        <f>VLOOKUP(Query1[[#This Row],[Description]],'kits to boards'!$B$2:$E$156,3,FALSE)</f>
        <v>0</v>
      </c>
      <c r="N2628">
        <f>VLOOKUP(Query1[[#This Row],[Description]],'kits to boards'!$B$2:$E$156,4,FALSE)</f>
        <v>0</v>
      </c>
      <c r="O2628" t="str">
        <f>CONCATENATE(Query1[[#This Row],[Description]]," - ",Query1[[#This Row],[MB1]]," - ",Query1[[#This Row],[MB2]]," - ",Query1[[#This Row],[MB3]])</f>
        <v>EVAP KIT 70-72 MONTE CARLO WO AC - 830010 - 0 - 0</v>
      </c>
    </row>
    <row r="2629" spans="1:15" x14ac:dyDescent="0.25">
      <c r="A2629" s="1">
        <v>916091</v>
      </c>
      <c r="B2629" s="1" t="s">
        <v>206</v>
      </c>
      <c r="C2629" s="1" t="s">
        <v>207</v>
      </c>
      <c r="D2629" s="2">
        <v>44641.67038452546</v>
      </c>
      <c r="E2629" s="1" t="s">
        <v>8</v>
      </c>
      <c r="F2629" s="1">
        <v>1</v>
      </c>
      <c r="G2629" s="1">
        <v>0</v>
      </c>
      <c r="H2629" s="6">
        <f>INT(Query1[[#This Row],[EntryDateTime]])</f>
        <v>44641</v>
      </c>
      <c r="I2629" s="1">
        <f>IF(Query1[[#This Row],[ItemType]]="EVAP KIT SF GEN IV",Query1[[#This Row],[OrderQty]]+I2628,I2628)</f>
        <v>3178</v>
      </c>
      <c r="J2629" s="1">
        <f>IF(Query1[[#This Row],[ItemType]]="EVAP KIT UNIVERSAL",Query1[[#This Row],[OrderQty]]+J2628,J2628)</f>
        <v>1261</v>
      </c>
      <c r="K2629" s="1">
        <f>Query1[[#This Row],[SF Running Total]]+Query1[[#This Row],[UNIV Running Total]]</f>
        <v>4439</v>
      </c>
      <c r="L2629">
        <f>VLOOKUP(Query1[[#This Row],[Description]],'kits to boards'!$B$2:$E$156,2,FALSE)</f>
        <v>830032</v>
      </c>
      <c r="M2629">
        <f>VLOOKUP(Query1[[#This Row],[Description]],'kits to boards'!$B$2:$E$156,3,FALSE)</f>
        <v>0</v>
      </c>
      <c r="N2629">
        <f>VLOOKUP(Query1[[#This Row],[Description]],'kits to boards'!$B$2:$E$156,4,FALSE)</f>
        <v>0</v>
      </c>
      <c r="O2629" t="str">
        <f>CONCATENATE(Query1[[#This Row],[Description]]," - ",Query1[[#This Row],[MB1]]," - ",Query1[[#This Row],[MB2]]," - ",Query1[[#This Row],[MB3]])</f>
        <v>EVAP KIT 61-62 VETTE - 830032 - 0 - 0</v>
      </c>
    </row>
    <row r="2630" spans="1:15" x14ac:dyDescent="0.25">
      <c r="A2630" s="1">
        <v>916094</v>
      </c>
      <c r="B2630" s="1" t="s">
        <v>70</v>
      </c>
      <c r="C2630" s="1" t="s">
        <v>71</v>
      </c>
      <c r="D2630" s="2">
        <v>44641.680358680554</v>
      </c>
      <c r="E2630" s="1" t="s">
        <v>8</v>
      </c>
      <c r="F2630" s="1">
        <v>1</v>
      </c>
      <c r="G2630" s="1">
        <v>0</v>
      </c>
      <c r="H2630" s="6">
        <f>INT(Query1[[#This Row],[EntryDateTime]])</f>
        <v>44641</v>
      </c>
      <c r="I2630" s="1">
        <f>IF(Query1[[#This Row],[ItemType]]="EVAP KIT SF GEN IV",Query1[[#This Row],[OrderQty]]+I2629,I2629)</f>
        <v>3179</v>
      </c>
      <c r="J2630" s="1">
        <f>IF(Query1[[#This Row],[ItemType]]="EVAP KIT UNIVERSAL",Query1[[#This Row],[OrderQty]]+J2629,J2629)</f>
        <v>1261</v>
      </c>
      <c r="K2630" s="1">
        <f>Query1[[#This Row],[SF Running Total]]+Query1[[#This Row],[UNIV Running Total]]</f>
        <v>4440</v>
      </c>
      <c r="L2630">
        <f>VLOOKUP(Query1[[#This Row],[Description]],'kits to boards'!$B$2:$E$156,2,FALSE)</f>
        <v>830050</v>
      </c>
      <c r="M2630">
        <f>VLOOKUP(Query1[[#This Row],[Description]],'kits to boards'!$B$2:$E$156,3,FALSE)</f>
        <v>0</v>
      </c>
      <c r="N2630">
        <f>VLOOKUP(Query1[[#This Row],[Description]],'kits to boards'!$B$2:$E$156,4,FALSE)</f>
        <v>0</v>
      </c>
      <c r="O2630" t="str">
        <f>CONCATENATE(Query1[[#This Row],[Description]]," - ",Query1[[#This Row],[MB1]]," - ",Query1[[#This Row],[MB2]]," - ",Query1[[#This Row],[MB3]])</f>
        <v>EVAP KIT 70-78 CAMARO WO AC - 830050 - 0 - 0</v>
      </c>
    </row>
    <row r="2631" spans="1:15" x14ac:dyDescent="0.25">
      <c r="A2631" s="1">
        <v>916096</v>
      </c>
      <c r="B2631" s="1" t="s">
        <v>70</v>
      </c>
      <c r="C2631" s="1" t="s">
        <v>71</v>
      </c>
      <c r="D2631" s="2">
        <v>44641.683527777779</v>
      </c>
      <c r="E2631" s="1" t="s">
        <v>8</v>
      </c>
      <c r="F2631" s="1">
        <v>1</v>
      </c>
      <c r="G2631" s="1">
        <v>0</v>
      </c>
      <c r="H2631" s="6">
        <f>INT(Query1[[#This Row],[EntryDateTime]])</f>
        <v>44641</v>
      </c>
      <c r="I2631" s="1">
        <f>IF(Query1[[#This Row],[ItemType]]="EVAP KIT SF GEN IV",Query1[[#This Row],[OrderQty]]+I2630,I2630)</f>
        <v>3180</v>
      </c>
      <c r="J2631" s="1">
        <f>IF(Query1[[#This Row],[ItemType]]="EVAP KIT UNIVERSAL",Query1[[#This Row],[OrderQty]]+J2630,J2630)</f>
        <v>1261</v>
      </c>
      <c r="K2631" s="1">
        <f>Query1[[#This Row],[SF Running Total]]+Query1[[#This Row],[UNIV Running Total]]</f>
        <v>4441</v>
      </c>
      <c r="L2631">
        <f>VLOOKUP(Query1[[#This Row],[Description]],'kits to boards'!$B$2:$E$156,2,FALSE)</f>
        <v>830050</v>
      </c>
      <c r="M2631">
        <f>VLOOKUP(Query1[[#This Row],[Description]],'kits to boards'!$B$2:$E$156,3,FALSE)</f>
        <v>0</v>
      </c>
      <c r="N2631">
        <f>VLOOKUP(Query1[[#This Row],[Description]],'kits to boards'!$B$2:$E$156,4,FALSE)</f>
        <v>0</v>
      </c>
      <c r="O2631" t="str">
        <f>CONCATENATE(Query1[[#This Row],[Description]]," - ",Query1[[#This Row],[MB1]]," - ",Query1[[#This Row],[MB2]]," - ",Query1[[#This Row],[MB3]])</f>
        <v>EVAP KIT 70-78 CAMARO WO AC - 830050 - 0 - 0</v>
      </c>
    </row>
    <row r="2632" spans="1:15" x14ac:dyDescent="0.25">
      <c r="A2632" s="1">
        <v>916073</v>
      </c>
      <c r="B2632" s="1" t="s">
        <v>34</v>
      </c>
      <c r="C2632" s="1" t="s">
        <v>35</v>
      </c>
      <c r="D2632" s="2">
        <v>44641.690251423614</v>
      </c>
      <c r="E2632" s="1" t="s">
        <v>8</v>
      </c>
      <c r="F2632" s="1">
        <v>1</v>
      </c>
      <c r="G2632" s="1">
        <v>0</v>
      </c>
      <c r="H2632" s="6">
        <f>INT(Query1[[#This Row],[EntryDateTime]])</f>
        <v>44641</v>
      </c>
      <c r="I2632" s="1">
        <f>IF(Query1[[#This Row],[ItemType]]="EVAP KIT SF GEN IV",Query1[[#This Row],[OrderQty]]+I2631,I2631)</f>
        <v>3181</v>
      </c>
      <c r="J2632" s="1">
        <f>IF(Query1[[#This Row],[ItemType]]="EVAP KIT UNIVERSAL",Query1[[#This Row],[OrderQty]]+J2631,J2631)</f>
        <v>1261</v>
      </c>
      <c r="K2632" s="1">
        <f>Query1[[#This Row],[SF Running Total]]+Query1[[#This Row],[UNIV Running Total]]</f>
        <v>4442</v>
      </c>
      <c r="L2632">
        <f>VLOOKUP(Query1[[#This Row],[Description]],'kits to boards'!$B$2:$E$156,2,FALSE)</f>
        <v>830065</v>
      </c>
      <c r="M2632">
        <f>VLOOKUP(Query1[[#This Row],[Description]],'kits to boards'!$B$2:$E$156,3,FALSE)</f>
        <v>0</v>
      </c>
      <c r="N2632">
        <f>VLOOKUP(Query1[[#This Row],[Description]],'kits to boards'!$B$2:$E$156,4,FALSE)</f>
        <v>0</v>
      </c>
      <c r="O2632" t="str">
        <f>CONCATENATE(Query1[[#This Row],[Description]]," - ",Query1[[#This Row],[MB1]]," - ",Query1[[#This Row],[MB2]]," - ",Query1[[#This Row],[MB3]])</f>
        <v>EVAP KIT 57 CHEV WO AC - 830065 - 0 - 0</v>
      </c>
    </row>
    <row r="2633" spans="1:15" x14ac:dyDescent="0.25">
      <c r="A2633" s="1">
        <v>916103</v>
      </c>
      <c r="B2633" s="1" t="s">
        <v>116</v>
      </c>
      <c r="C2633" s="1" t="s">
        <v>117</v>
      </c>
      <c r="D2633" s="2">
        <v>44641.701422569444</v>
      </c>
      <c r="E2633" s="1" t="s">
        <v>8</v>
      </c>
      <c r="F2633" s="1">
        <v>1</v>
      </c>
      <c r="G2633" s="1">
        <v>0</v>
      </c>
      <c r="H2633" s="6">
        <f>INT(Query1[[#This Row],[EntryDateTime]])</f>
        <v>44641</v>
      </c>
      <c r="I2633" s="1">
        <f>IF(Query1[[#This Row],[ItemType]]="EVAP KIT SF GEN IV",Query1[[#This Row],[OrderQty]]+I2632,I2632)</f>
        <v>3182</v>
      </c>
      <c r="J2633" s="1">
        <f>IF(Query1[[#This Row],[ItemType]]="EVAP KIT UNIVERSAL",Query1[[#This Row],[OrderQty]]+J2632,J2632)</f>
        <v>1261</v>
      </c>
      <c r="K2633" s="1">
        <f>Query1[[#This Row],[SF Running Total]]+Query1[[#This Row],[UNIV Running Total]]</f>
        <v>4443</v>
      </c>
      <c r="L2633">
        <f>VLOOKUP(Query1[[#This Row],[Description]],'kits to boards'!$B$2:$E$156,2,FALSE)</f>
        <v>830058</v>
      </c>
      <c r="M2633">
        <f>VLOOKUP(Query1[[#This Row],[Description]],'kits to boards'!$B$2:$E$156,3,FALSE)</f>
        <v>0</v>
      </c>
      <c r="N2633">
        <f>VLOOKUP(Query1[[#This Row],[Description]],'kits to boards'!$B$2:$E$156,4,FALSE)</f>
        <v>0</v>
      </c>
      <c r="O2633" t="str">
        <f>CONCATENATE(Query1[[#This Row],[Description]]," - ",Query1[[#This Row],[MB1]]," - ",Query1[[#This Row],[MB2]]," - ",Query1[[#This Row],[MB3]])</f>
        <v>EVAP KIT 64-65 CHEVELLE WO AC - 830058 - 0 - 0</v>
      </c>
    </row>
    <row r="2634" spans="1:15" x14ac:dyDescent="0.25">
      <c r="A2634" s="1">
        <v>916103</v>
      </c>
      <c r="B2634" s="1" t="s">
        <v>60</v>
      </c>
      <c r="C2634" s="1" t="s">
        <v>61</v>
      </c>
      <c r="D2634" s="2">
        <v>44641.703045983799</v>
      </c>
      <c r="E2634" s="1" t="s">
        <v>8</v>
      </c>
      <c r="F2634" s="1">
        <v>1</v>
      </c>
      <c r="G2634" s="1">
        <v>0</v>
      </c>
      <c r="H2634" s="6">
        <f>INT(Query1[[#This Row],[EntryDateTime]])</f>
        <v>44641</v>
      </c>
      <c r="I2634" s="1">
        <f>IF(Query1[[#This Row],[ItemType]]="EVAP KIT SF GEN IV",Query1[[#This Row],[OrderQty]]+I2633,I2633)</f>
        <v>3183</v>
      </c>
      <c r="J2634" s="1">
        <f>IF(Query1[[#This Row],[ItemType]]="EVAP KIT UNIVERSAL",Query1[[#This Row],[OrderQty]]+J2633,J2633)</f>
        <v>1261</v>
      </c>
      <c r="K2634" s="1">
        <f>Query1[[#This Row],[SF Running Total]]+Query1[[#This Row],[UNIV Running Total]]</f>
        <v>4444</v>
      </c>
      <c r="L2634">
        <f>VLOOKUP(Query1[[#This Row],[Description]],'kits to boards'!$B$2:$E$156,2,FALSE)</f>
        <v>830062</v>
      </c>
      <c r="M2634">
        <f>VLOOKUP(Query1[[#This Row],[Description]],'kits to boards'!$B$2:$E$156,3,FALSE)</f>
        <v>0</v>
      </c>
      <c r="N2634">
        <f>VLOOKUP(Query1[[#This Row],[Description]],'kits to boards'!$B$2:$E$156,4,FALSE)</f>
        <v>0</v>
      </c>
      <c r="O2634" t="str">
        <f>CONCATENATE(Query1[[#This Row],[Description]]," - ",Query1[[#This Row],[MB1]]," - ",Query1[[#This Row],[MB2]]," - ",Query1[[#This Row],[MB3]])</f>
        <v>EVAP KIT 68-69 CHEVELLE WO AC - 830062 - 0 - 0</v>
      </c>
    </row>
    <row r="2635" spans="1:15" x14ac:dyDescent="0.25">
      <c r="A2635" s="1">
        <v>916103</v>
      </c>
      <c r="B2635" s="1" t="s">
        <v>136</v>
      </c>
      <c r="C2635" s="1" t="s">
        <v>137</v>
      </c>
      <c r="D2635" s="2">
        <v>44641.704579398145</v>
      </c>
      <c r="E2635" s="1" t="s">
        <v>11</v>
      </c>
      <c r="F2635" s="1">
        <v>1</v>
      </c>
      <c r="G2635" s="1">
        <v>0</v>
      </c>
      <c r="H2635" s="6">
        <f>INT(Query1[[#This Row],[EntryDateTime]])</f>
        <v>44641</v>
      </c>
      <c r="I2635" s="1">
        <f>IF(Query1[[#This Row],[ItemType]]="EVAP KIT SF GEN IV",Query1[[#This Row],[OrderQty]]+I2634,I2634)</f>
        <v>3183</v>
      </c>
      <c r="J2635" s="1">
        <f>IF(Query1[[#This Row],[ItemType]]="EVAP KIT UNIVERSAL",Query1[[#This Row],[OrderQty]]+J2634,J2634)</f>
        <v>1262</v>
      </c>
      <c r="K2635" s="1">
        <f>Query1[[#This Row],[SF Running Total]]+Query1[[#This Row],[UNIV Running Total]]</f>
        <v>4445</v>
      </c>
      <c r="L2635">
        <f>VLOOKUP(Query1[[#This Row],[Description]],'kits to boards'!$B$2:$E$156,2,FALSE)</f>
        <v>0</v>
      </c>
      <c r="M2635">
        <f>VLOOKUP(Query1[[#This Row],[Description]],'kits to boards'!$B$2:$E$156,3,FALSE)</f>
        <v>0</v>
      </c>
      <c r="N2635">
        <f>VLOOKUP(Query1[[#This Row],[Description]],'kits to boards'!$B$2:$E$156,4,FALSE)</f>
        <v>0</v>
      </c>
      <c r="O2635" t="str">
        <f>CONCATENATE(Query1[[#This Row],[Description]]," - ",Query1[[#This Row],[MB1]]," - ",Query1[[#This Row],[MB2]]," - ",Query1[[#This Row],[MB3]])</f>
        <v>HERITAGE TURNED EVAP KIT HEAT/COOL - 0 - 0 - 0</v>
      </c>
    </row>
    <row r="2636" spans="1:15" x14ac:dyDescent="0.25">
      <c r="A2636" s="1">
        <v>916103</v>
      </c>
      <c r="B2636" s="1" t="s">
        <v>58</v>
      </c>
      <c r="C2636" s="1" t="s">
        <v>59</v>
      </c>
      <c r="D2636" s="2">
        <v>44641.704844641201</v>
      </c>
      <c r="E2636" s="1" t="s">
        <v>11</v>
      </c>
      <c r="F2636" s="1">
        <v>1</v>
      </c>
      <c r="G2636" s="1">
        <v>0</v>
      </c>
      <c r="H2636" s="6">
        <f>INT(Query1[[#This Row],[EntryDateTime]])</f>
        <v>44641</v>
      </c>
      <c r="I2636" s="1">
        <f>IF(Query1[[#This Row],[ItemType]]="EVAP KIT SF GEN IV",Query1[[#This Row],[OrderQty]]+I2635,I2635)</f>
        <v>3183</v>
      </c>
      <c r="J2636" s="1">
        <f>IF(Query1[[#This Row],[ItemType]]="EVAP KIT UNIVERSAL",Query1[[#This Row],[OrderQty]]+J2635,J2635)</f>
        <v>1263</v>
      </c>
      <c r="K2636" s="1">
        <f>Query1[[#This Row],[SF Running Total]]+Query1[[#This Row],[UNIV Running Total]]</f>
        <v>4446</v>
      </c>
      <c r="L2636">
        <f>VLOOKUP(Query1[[#This Row],[Description]],'kits to boards'!$B$2:$E$156,2,FALSE)</f>
        <v>830088</v>
      </c>
      <c r="M2636">
        <f>VLOOKUP(Query1[[#This Row],[Description]],'kits to boards'!$B$2:$E$156,3,FALSE)</f>
        <v>830099</v>
      </c>
      <c r="N2636">
        <f>VLOOKUP(Query1[[#This Row],[Description]],'kits to boards'!$B$2:$E$156,4,FALSE)</f>
        <v>0</v>
      </c>
      <c r="O2636" t="str">
        <f>CONCATENATE(Query1[[#This Row],[Description]]," - ",Query1[[#This Row],[MB1]]," - ",Query1[[#This Row],[MB2]]," - ",Query1[[#This Row],[MB3]])</f>
        <v>MONSTER TRUNK UNIT COOL - 830088 - 830099 - 0</v>
      </c>
    </row>
    <row r="2637" spans="1:15" x14ac:dyDescent="0.25">
      <c r="A2637" s="1">
        <v>916110</v>
      </c>
      <c r="B2637" s="1" t="s">
        <v>28</v>
      </c>
      <c r="C2637" s="1" t="s">
        <v>29</v>
      </c>
      <c r="D2637" s="2">
        <v>44642.308857442127</v>
      </c>
      <c r="E2637" s="1" t="s">
        <v>8</v>
      </c>
      <c r="F2637" s="1">
        <v>1</v>
      </c>
      <c r="G2637" s="1">
        <v>0</v>
      </c>
      <c r="H2637" s="6">
        <f>INT(Query1[[#This Row],[EntryDateTime]])</f>
        <v>44642</v>
      </c>
      <c r="I2637" s="1">
        <f>IF(Query1[[#This Row],[ItemType]]="EVAP KIT SF GEN IV",Query1[[#This Row],[OrderQty]]+I2636,I2636)</f>
        <v>3184</v>
      </c>
      <c r="J2637" s="1">
        <f>IF(Query1[[#This Row],[ItemType]]="EVAP KIT UNIVERSAL",Query1[[#This Row],[OrderQty]]+J2636,J2636)</f>
        <v>1263</v>
      </c>
      <c r="K2637" s="1">
        <f>Query1[[#This Row],[SF Running Total]]+Query1[[#This Row],[UNIV Running Total]]</f>
        <v>4447</v>
      </c>
      <c r="L2637">
        <f>VLOOKUP(Query1[[#This Row],[Description]],'kits to boards'!$B$2:$E$156,2,FALSE)</f>
        <v>830001</v>
      </c>
      <c r="M2637">
        <f>VLOOKUP(Query1[[#This Row],[Description]],'kits to boards'!$B$2:$E$156,3,FALSE)</f>
        <v>0</v>
      </c>
      <c r="N2637">
        <f>VLOOKUP(Query1[[#This Row],[Description]],'kits to boards'!$B$2:$E$156,4,FALSE)</f>
        <v>0</v>
      </c>
      <c r="O2637" t="str">
        <f>CONCATENATE(Query1[[#This Row],[Description]]," - ",Query1[[#This Row],[MB1]]," - ",Query1[[#This Row],[MB2]]," - ",Query1[[#This Row],[MB3]])</f>
        <v>EVAP KIT 73-80 CHEV P-UP W/AC - 830001 - 0 - 0</v>
      </c>
    </row>
    <row r="2638" spans="1:15" x14ac:dyDescent="0.25">
      <c r="A2638" s="1">
        <v>914881</v>
      </c>
      <c r="B2638" s="1" t="s">
        <v>244</v>
      </c>
      <c r="C2638" s="1" t="s">
        <v>245</v>
      </c>
      <c r="D2638" s="2">
        <v>44642.314871030096</v>
      </c>
      <c r="E2638" s="1" t="s">
        <v>8</v>
      </c>
      <c r="F2638" s="1">
        <v>1</v>
      </c>
      <c r="G2638" s="1">
        <v>0</v>
      </c>
      <c r="H2638" s="6">
        <f>INT(Query1[[#This Row],[EntryDateTime]])</f>
        <v>44642</v>
      </c>
      <c r="I2638" s="1">
        <f>IF(Query1[[#This Row],[ItemType]]="EVAP KIT SF GEN IV",Query1[[#This Row],[OrderQty]]+I2637,I2637)</f>
        <v>3185</v>
      </c>
      <c r="J2638" s="1">
        <f>IF(Query1[[#This Row],[ItemType]]="EVAP KIT UNIVERSAL",Query1[[#This Row],[OrderQty]]+J2637,J2637)</f>
        <v>1263</v>
      </c>
      <c r="K2638" s="1">
        <f>Query1[[#This Row],[SF Running Total]]+Query1[[#This Row],[UNIV Running Total]]</f>
        <v>4448</v>
      </c>
      <c r="L2638">
        <f>VLOOKUP(Query1[[#This Row],[Description]],'kits to boards'!$B$2:$E$156,2,FALSE)</f>
        <v>830100</v>
      </c>
      <c r="M2638">
        <f>VLOOKUP(Query1[[#This Row],[Description]],'kits to boards'!$B$2:$E$156,3,FALSE)</f>
        <v>0</v>
      </c>
      <c r="N2638">
        <f>VLOOKUP(Query1[[#This Row],[Description]],'kits to boards'!$B$2:$E$156,4,FALSE)</f>
        <v>0</v>
      </c>
      <c r="O2638" t="str">
        <f>CONCATENATE(Query1[[#This Row],[Description]]," - ",Query1[[#This Row],[MB1]]," - ",Query1[[#This Row],[MB2]]," - ",Query1[[#This Row],[MB3]])</f>
        <v>EVAP KIT 68-76 VETTE WO AC - 830100 - 0 - 0</v>
      </c>
    </row>
    <row r="2639" spans="1:15" x14ac:dyDescent="0.25">
      <c r="A2639" s="1">
        <v>916113</v>
      </c>
      <c r="B2639" s="1" t="s">
        <v>24</v>
      </c>
      <c r="C2639" s="1" t="s">
        <v>25</v>
      </c>
      <c r="D2639" s="2">
        <v>44642.324033912038</v>
      </c>
      <c r="E2639" s="1" t="s">
        <v>11</v>
      </c>
      <c r="F2639" s="1">
        <v>1</v>
      </c>
      <c r="G2639" s="1">
        <v>0</v>
      </c>
      <c r="H2639" s="6">
        <f>INT(Query1[[#This Row],[EntryDateTime]])</f>
        <v>44642</v>
      </c>
      <c r="I2639" s="1">
        <f>IF(Query1[[#This Row],[ItemType]]="EVAP KIT SF GEN IV",Query1[[#This Row],[OrderQty]]+I2638,I2638)</f>
        <v>3185</v>
      </c>
      <c r="J2639" s="1">
        <f>IF(Query1[[#This Row],[ItemType]]="EVAP KIT UNIVERSAL",Query1[[#This Row],[OrderQty]]+J2638,J2638)</f>
        <v>1264</v>
      </c>
      <c r="K2639" s="1">
        <f>Query1[[#This Row],[SF Running Total]]+Query1[[#This Row],[UNIV Running Total]]</f>
        <v>4449</v>
      </c>
      <c r="L2639">
        <f>VLOOKUP(Query1[[#This Row],[Description]],'kits to boards'!$B$2:$E$156,2,FALSE)</f>
        <v>830029</v>
      </c>
      <c r="M2639">
        <f>VLOOKUP(Query1[[#This Row],[Description]],'kits to boards'!$B$2:$E$156,3,FALSE)</f>
        <v>830030</v>
      </c>
      <c r="N2639">
        <f>VLOOKUP(Query1[[#This Row],[Description]],'kits to boards'!$B$2:$E$156,4,FALSE)</f>
        <v>0</v>
      </c>
      <c r="O2639" t="str">
        <f>CONCATENATE(Query1[[#This Row],[Description]]," - ",Query1[[#This Row],[MB1]]," - ",Query1[[#This Row],[MB2]]," - ",Query1[[#This Row],[MB3]])</f>
        <v>ComPac GEN II W/DEF - 830029 - 830030 - 0</v>
      </c>
    </row>
    <row r="2640" spans="1:15" x14ac:dyDescent="0.25">
      <c r="A2640" s="1">
        <v>916115</v>
      </c>
      <c r="B2640" s="1" t="s">
        <v>114</v>
      </c>
      <c r="C2640" s="1" t="s">
        <v>115</v>
      </c>
      <c r="D2640" s="2">
        <v>44642.325249456022</v>
      </c>
      <c r="E2640" s="1" t="s">
        <v>8</v>
      </c>
      <c r="F2640" s="1">
        <v>1</v>
      </c>
      <c r="G2640" s="1">
        <v>0</v>
      </c>
      <c r="H2640" s="6">
        <f>INT(Query1[[#This Row],[EntryDateTime]])</f>
        <v>44642</v>
      </c>
      <c r="I2640" s="1">
        <f>IF(Query1[[#This Row],[ItemType]]="EVAP KIT SF GEN IV",Query1[[#This Row],[OrderQty]]+I2639,I2639)</f>
        <v>3186</v>
      </c>
      <c r="J2640" s="1">
        <f>IF(Query1[[#This Row],[ItemType]]="EVAP KIT UNIVERSAL",Query1[[#This Row],[OrderQty]]+J2639,J2639)</f>
        <v>1264</v>
      </c>
      <c r="K2640" s="1">
        <f>Query1[[#This Row],[SF Running Total]]+Query1[[#This Row],[UNIV Running Total]]</f>
        <v>4450</v>
      </c>
      <c r="L2640">
        <f>VLOOKUP(Query1[[#This Row],[Description]],'kits to boards'!$B$2:$E$156,2,FALSE)</f>
        <v>830059</v>
      </c>
      <c r="M2640">
        <f>VLOOKUP(Query1[[#This Row],[Description]],'kits to boards'!$B$2:$E$156,3,FALSE)</f>
        <v>0</v>
      </c>
      <c r="N2640">
        <f>VLOOKUP(Query1[[#This Row],[Description]],'kits to boards'!$B$2:$E$156,4,FALSE)</f>
        <v>0</v>
      </c>
      <c r="O2640" t="str">
        <f>CONCATENATE(Query1[[#This Row],[Description]]," - ",Query1[[#This Row],[MB1]]," - ",Query1[[#This Row],[MB2]]," - ",Query1[[#This Row],[MB3]])</f>
        <v>EVAP KIT 66-67 CHEVELLE W/AC - 830059 - 0 - 0</v>
      </c>
    </row>
    <row r="2641" spans="1:15" x14ac:dyDescent="0.25">
      <c r="A2641" s="1">
        <v>916121</v>
      </c>
      <c r="B2641" s="1" t="s">
        <v>150</v>
      </c>
      <c r="C2641" s="1" t="s">
        <v>151</v>
      </c>
      <c r="D2641" s="2">
        <v>44642.33734953704</v>
      </c>
      <c r="E2641" s="1" t="s">
        <v>8</v>
      </c>
      <c r="F2641" s="1">
        <v>1</v>
      </c>
      <c r="G2641" s="1">
        <v>0</v>
      </c>
      <c r="H2641" s="6">
        <f>INT(Query1[[#This Row],[EntryDateTime]])</f>
        <v>44642</v>
      </c>
      <c r="I2641" s="1">
        <f>IF(Query1[[#This Row],[ItemType]]="EVAP KIT SF GEN IV",Query1[[#This Row],[OrderQty]]+I2640,I2640)</f>
        <v>3187</v>
      </c>
      <c r="J2641" s="1">
        <f>IF(Query1[[#This Row],[ItemType]]="EVAP KIT UNIVERSAL",Query1[[#This Row],[OrderQty]]+J2640,J2640)</f>
        <v>1264</v>
      </c>
      <c r="K2641" s="1">
        <f>Query1[[#This Row],[SF Running Total]]+Query1[[#This Row],[UNIV Running Total]]</f>
        <v>4451</v>
      </c>
      <c r="L2641">
        <f>VLOOKUP(Query1[[#This Row],[Description]],'kits to boards'!$B$2:$E$156,2,FALSE)</f>
        <v>830010</v>
      </c>
      <c r="M2641">
        <f>VLOOKUP(Query1[[#This Row],[Description]],'kits to boards'!$B$2:$E$156,3,FALSE)</f>
        <v>0</v>
      </c>
      <c r="N2641">
        <f>VLOOKUP(Query1[[#This Row],[Description]],'kits to boards'!$B$2:$E$156,4,FALSE)</f>
        <v>0</v>
      </c>
      <c r="O2641" t="str">
        <f>CONCATENATE(Query1[[#This Row],[Description]]," - ",Query1[[#This Row],[MB1]]," - ",Query1[[#This Row],[MB2]]," - ",Query1[[#This Row],[MB3]])</f>
        <v>EVAP KIT 70-72 MONTE CARLO W/AC - 830010 - 0 - 0</v>
      </c>
    </row>
    <row r="2642" spans="1:15" x14ac:dyDescent="0.25">
      <c r="A2642" s="1">
        <v>916122</v>
      </c>
      <c r="B2642" s="1" t="s">
        <v>96</v>
      </c>
      <c r="C2642" s="1" t="s">
        <v>97</v>
      </c>
      <c r="D2642" s="2">
        <v>44642.337948842593</v>
      </c>
      <c r="E2642" s="1" t="s">
        <v>8</v>
      </c>
      <c r="F2642" s="1">
        <v>1</v>
      </c>
      <c r="G2642" s="1">
        <v>0</v>
      </c>
      <c r="H2642" s="6">
        <f>INT(Query1[[#This Row],[EntryDateTime]])</f>
        <v>44642</v>
      </c>
      <c r="I2642" s="1">
        <f>IF(Query1[[#This Row],[ItemType]]="EVAP KIT SF GEN IV",Query1[[#This Row],[OrderQty]]+I2641,I2641)</f>
        <v>3188</v>
      </c>
      <c r="J2642" s="1">
        <f>IF(Query1[[#This Row],[ItemType]]="EVAP KIT UNIVERSAL",Query1[[#This Row],[OrderQty]]+J2641,J2641)</f>
        <v>1264</v>
      </c>
      <c r="K2642" s="1">
        <f>Query1[[#This Row],[SF Running Total]]+Query1[[#This Row],[UNIV Running Total]]</f>
        <v>4452</v>
      </c>
      <c r="L2642">
        <f>VLOOKUP(Query1[[#This Row],[Description]],'kits to boards'!$B$2:$E$156,2,FALSE)</f>
        <v>830004</v>
      </c>
      <c r="M2642">
        <f>VLOOKUP(Query1[[#This Row],[Description]],'kits to boards'!$B$2:$E$156,3,FALSE)</f>
        <v>0</v>
      </c>
      <c r="N2642">
        <f>VLOOKUP(Query1[[#This Row],[Description]],'kits to boards'!$B$2:$E$156,4,FALSE)</f>
        <v>0</v>
      </c>
      <c r="O2642" t="str">
        <f>CONCATENATE(Query1[[#This Row],[Description]]," - ",Query1[[#This Row],[MB1]]," - ",Query1[[#This Row],[MB2]]," - ",Query1[[#This Row],[MB3]])</f>
        <v>EVAP KIT 81-87 CHEV P-UP W/AC - 830004 - 0 - 0</v>
      </c>
    </row>
    <row r="2643" spans="1:15" x14ac:dyDescent="0.25">
      <c r="A2643" s="1">
        <v>916126</v>
      </c>
      <c r="B2643" s="1" t="s">
        <v>42</v>
      </c>
      <c r="C2643" s="1" t="s">
        <v>43</v>
      </c>
      <c r="D2643" s="2">
        <v>44642.342044872683</v>
      </c>
      <c r="E2643" s="1" t="s">
        <v>8</v>
      </c>
      <c r="F2643" s="1">
        <v>1</v>
      </c>
      <c r="G2643" s="1">
        <v>0</v>
      </c>
      <c r="H2643" s="6">
        <f>INT(Query1[[#This Row],[EntryDateTime]])</f>
        <v>44642</v>
      </c>
      <c r="I2643" s="1">
        <f>IF(Query1[[#This Row],[ItemType]]="EVAP KIT SF GEN IV",Query1[[#This Row],[OrderQty]]+I2642,I2642)</f>
        <v>3189</v>
      </c>
      <c r="J2643" s="1">
        <f>IF(Query1[[#This Row],[ItemType]]="EVAP KIT UNIVERSAL",Query1[[#This Row],[OrderQty]]+J2642,J2642)</f>
        <v>1264</v>
      </c>
      <c r="K2643" s="1">
        <f>Query1[[#This Row],[SF Running Total]]+Query1[[#This Row],[UNIV Running Total]]</f>
        <v>4453</v>
      </c>
      <c r="L2643">
        <f>VLOOKUP(Query1[[#This Row],[Description]],'kits to boards'!$B$2:$E$156,2,FALSE)</f>
        <v>830014</v>
      </c>
      <c r="M2643">
        <f>VLOOKUP(Query1[[#This Row],[Description]],'kits to boards'!$B$2:$E$156,3,FALSE)</f>
        <v>0</v>
      </c>
      <c r="N2643">
        <f>VLOOKUP(Query1[[#This Row],[Description]],'kits to boards'!$B$2:$E$156,4,FALSE)</f>
        <v>0</v>
      </c>
      <c r="O2643" t="str">
        <f>CONCATENATE(Query1[[#This Row],[Description]]," - ",Query1[[#This Row],[MB1]]," - ",Query1[[#This Row],[MB2]]," - ",Query1[[#This Row],[MB3]])</f>
        <v>EVAP KIT 67-72 CHEV P-UP WO AC - 830014 - 0 - 0</v>
      </c>
    </row>
    <row r="2644" spans="1:15" x14ac:dyDescent="0.25">
      <c r="A2644" s="1">
        <v>916052</v>
      </c>
      <c r="B2644" s="1" t="s">
        <v>18</v>
      </c>
      <c r="C2644" s="1" t="s">
        <v>19</v>
      </c>
      <c r="D2644" s="2">
        <v>44642.34271203704</v>
      </c>
      <c r="E2644" s="1" t="s">
        <v>8</v>
      </c>
      <c r="F2644" s="1">
        <v>1</v>
      </c>
      <c r="G2644" s="1">
        <v>0</v>
      </c>
      <c r="H2644" s="6">
        <f>INT(Query1[[#This Row],[EntryDateTime]])</f>
        <v>44642</v>
      </c>
      <c r="I2644" s="1">
        <f>IF(Query1[[#This Row],[ItemType]]="EVAP KIT SF GEN IV",Query1[[#This Row],[OrderQty]]+I2643,I2643)</f>
        <v>3190</v>
      </c>
      <c r="J2644" s="1">
        <f>IF(Query1[[#This Row],[ItemType]]="EVAP KIT UNIVERSAL",Query1[[#This Row],[OrderQty]]+J2643,J2643)</f>
        <v>1264</v>
      </c>
      <c r="K2644" s="1">
        <f>Query1[[#This Row],[SF Running Total]]+Query1[[#This Row],[UNIV Running Total]]</f>
        <v>4454</v>
      </c>
      <c r="L2644">
        <f>VLOOKUP(Query1[[#This Row],[Description]],'kits to boards'!$B$2:$E$156,2,FALSE)</f>
        <v>830051</v>
      </c>
      <c r="M2644">
        <f>VLOOKUP(Query1[[#This Row],[Description]],'kits to boards'!$B$2:$E$156,3,FALSE)</f>
        <v>0</v>
      </c>
      <c r="N2644">
        <f>VLOOKUP(Query1[[#This Row],[Description]],'kits to boards'!$B$2:$E$156,4,FALSE)</f>
        <v>0</v>
      </c>
      <c r="O2644" t="str">
        <f>CONCATENATE(Query1[[#This Row],[Description]]," - ",Query1[[#This Row],[MB1]]," - ",Query1[[#This Row],[MB2]]," - ",Query1[[#This Row],[MB3]])</f>
        <v>EVAP KIT 70-78 CAMARO W/AC - 830051 - 0 - 0</v>
      </c>
    </row>
    <row r="2645" spans="1:15" x14ac:dyDescent="0.25">
      <c r="A2645" s="1">
        <v>916132</v>
      </c>
      <c r="B2645" s="1" t="s">
        <v>158</v>
      </c>
      <c r="C2645" s="1" t="s">
        <v>159</v>
      </c>
      <c r="D2645" s="2">
        <v>44642.345839317131</v>
      </c>
      <c r="E2645" s="1" t="s">
        <v>8</v>
      </c>
      <c r="F2645" s="1">
        <v>1</v>
      </c>
      <c r="G2645" s="1">
        <v>0</v>
      </c>
      <c r="H2645" s="6">
        <f>INT(Query1[[#This Row],[EntryDateTime]])</f>
        <v>44642</v>
      </c>
      <c r="I2645" s="1">
        <f>IF(Query1[[#This Row],[ItemType]]="EVAP KIT SF GEN IV",Query1[[#This Row],[OrderQty]]+I2644,I2644)</f>
        <v>3191</v>
      </c>
      <c r="J2645" s="1">
        <f>IF(Query1[[#This Row],[ItemType]]="EVAP KIT UNIVERSAL",Query1[[#This Row],[OrderQty]]+J2644,J2644)</f>
        <v>1264</v>
      </c>
      <c r="K2645" s="1">
        <f>Query1[[#This Row],[SF Running Total]]+Query1[[#This Row],[UNIV Running Total]]</f>
        <v>4455</v>
      </c>
      <c r="L2645">
        <f>VLOOKUP(Query1[[#This Row],[Description]],'kits to boards'!$B$2:$E$156,2,FALSE)</f>
        <v>830080</v>
      </c>
      <c r="M2645">
        <f>VLOOKUP(Query1[[#This Row],[Description]],'kits to boards'!$B$2:$E$156,3,FALSE)</f>
        <v>830046</v>
      </c>
      <c r="N2645">
        <f>VLOOKUP(Query1[[#This Row],[Description]],'kits to boards'!$B$2:$E$156,4,FALSE)</f>
        <v>0</v>
      </c>
      <c r="O2645" t="str">
        <f>CONCATENATE(Query1[[#This Row],[Description]]," - ",Query1[[#This Row],[MB1]]," - ",Query1[[#This Row],[MB2]]," - ",Query1[[#This Row],[MB3]])</f>
        <v>EVAP KIT 69-70 MUSTANG W/AC  - 830080 - 830046 - 0</v>
      </c>
    </row>
    <row r="2646" spans="1:15" x14ac:dyDescent="0.25">
      <c r="A2646" s="1">
        <v>916131</v>
      </c>
      <c r="B2646" s="1" t="s">
        <v>22</v>
      </c>
      <c r="C2646" s="1" t="s">
        <v>23</v>
      </c>
      <c r="D2646" s="2">
        <v>44642.345923807872</v>
      </c>
      <c r="E2646" s="1" t="s">
        <v>8</v>
      </c>
      <c r="F2646" s="1">
        <v>1</v>
      </c>
      <c r="G2646" s="1">
        <v>0</v>
      </c>
      <c r="H2646" s="6">
        <f>INT(Query1[[#This Row],[EntryDateTime]])</f>
        <v>44642</v>
      </c>
      <c r="I2646" s="1">
        <f>IF(Query1[[#This Row],[ItemType]]="EVAP KIT SF GEN IV",Query1[[#This Row],[OrderQty]]+I2645,I2645)</f>
        <v>3192</v>
      </c>
      <c r="J2646" s="1">
        <f>IF(Query1[[#This Row],[ItemType]]="EVAP KIT UNIVERSAL",Query1[[#This Row],[OrderQty]]+J2645,J2645)</f>
        <v>1264</v>
      </c>
      <c r="K2646" s="1">
        <f>Query1[[#This Row],[SF Running Total]]+Query1[[#This Row],[UNIV Running Total]]</f>
        <v>4456</v>
      </c>
      <c r="L2646">
        <f>VLOOKUP(Query1[[#This Row],[Description]],'kits to boards'!$B$2:$E$156,2,FALSE)</f>
        <v>830083</v>
      </c>
      <c r="M2646">
        <f>VLOOKUP(Query1[[#This Row],[Description]],'kits to boards'!$B$2:$E$156,3,FALSE)</f>
        <v>0</v>
      </c>
      <c r="N2646">
        <f>VLOOKUP(Query1[[#This Row],[Description]],'kits to boards'!$B$2:$E$156,4,FALSE)</f>
        <v>0</v>
      </c>
      <c r="O2646" t="str">
        <f>CONCATENATE(Query1[[#This Row],[Description]]," - ",Query1[[#This Row],[MB1]]," - ",Query1[[#This Row],[MB2]]," - ",Query1[[#This Row],[MB3]])</f>
        <v>GEN IV MAGNUM EVAP KIT - 830083 - 0 - 0</v>
      </c>
    </row>
    <row r="2647" spans="1:15" x14ac:dyDescent="0.25">
      <c r="A2647" s="1">
        <v>916130</v>
      </c>
      <c r="B2647" s="1" t="s">
        <v>40</v>
      </c>
      <c r="C2647" s="1" t="s">
        <v>41</v>
      </c>
      <c r="D2647" s="2">
        <v>44642.346441122689</v>
      </c>
      <c r="E2647" s="1" t="s">
        <v>8</v>
      </c>
      <c r="F2647" s="1">
        <v>1</v>
      </c>
      <c r="G2647" s="1">
        <v>0</v>
      </c>
      <c r="H2647" s="6">
        <f>INT(Query1[[#This Row],[EntryDateTime]])</f>
        <v>44642</v>
      </c>
      <c r="I2647" s="1">
        <f>IF(Query1[[#This Row],[ItemType]]="EVAP KIT SF GEN IV",Query1[[#This Row],[OrderQty]]+I2646,I2646)</f>
        <v>3193</v>
      </c>
      <c r="J2647" s="1">
        <f>IF(Query1[[#This Row],[ItemType]]="EVAP KIT UNIVERSAL",Query1[[#This Row],[OrderQty]]+J2646,J2646)</f>
        <v>1264</v>
      </c>
      <c r="K2647" s="1">
        <f>Query1[[#This Row],[SF Running Total]]+Query1[[#This Row],[UNIV Running Total]]</f>
        <v>4457</v>
      </c>
      <c r="L2647">
        <f>VLOOKUP(Query1[[#This Row],[Description]],'kits to boards'!$B$2:$E$156,2,FALSE)</f>
        <v>830024</v>
      </c>
      <c r="M2647">
        <f>VLOOKUP(Query1[[#This Row],[Description]],'kits to boards'!$B$2:$E$156,3,FALSE)</f>
        <v>0</v>
      </c>
      <c r="N2647">
        <f>VLOOKUP(Query1[[#This Row],[Description]],'kits to boards'!$B$2:$E$156,4,FALSE)</f>
        <v>0</v>
      </c>
      <c r="O2647" t="str">
        <f>CONCATENATE(Query1[[#This Row],[Description]]," - ",Query1[[#This Row],[MB1]]," - ",Query1[[#This Row],[MB2]]," - ",Query1[[#This Row],[MB3]])</f>
        <v>EVAP KIT 79-81 CAMARO W/AC - 830024 - 0 - 0</v>
      </c>
    </row>
    <row r="2648" spans="1:15" x14ac:dyDescent="0.25">
      <c r="A2648" s="1">
        <v>915963</v>
      </c>
      <c r="B2648" s="1" t="s">
        <v>66</v>
      </c>
      <c r="C2648" s="1" t="s">
        <v>67</v>
      </c>
      <c r="D2648" s="2">
        <v>44642.347141053244</v>
      </c>
      <c r="E2648" s="1" t="s">
        <v>8</v>
      </c>
      <c r="F2648" s="1">
        <v>1</v>
      </c>
      <c r="G2648" s="1">
        <v>0</v>
      </c>
      <c r="H2648" s="6">
        <f>INT(Query1[[#This Row],[EntryDateTime]])</f>
        <v>44642</v>
      </c>
      <c r="I2648" s="1">
        <f>IF(Query1[[#This Row],[ItemType]]="EVAP KIT SF GEN IV",Query1[[#This Row],[OrderQty]]+I2647,I2647)</f>
        <v>3194</v>
      </c>
      <c r="J2648" s="1">
        <f>IF(Query1[[#This Row],[ItemType]]="EVAP KIT UNIVERSAL",Query1[[#This Row],[OrderQty]]+J2647,J2647)</f>
        <v>1264</v>
      </c>
      <c r="K2648" s="1">
        <f>Query1[[#This Row],[SF Running Total]]+Query1[[#This Row],[UNIV Running Total]]</f>
        <v>4458</v>
      </c>
      <c r="L2648">
        <f>VLOOKUP(Query1[[#This Row],[Description]],'kits to boards'!$B$2:$E$156,2,FALSE)</f>
        <v>830060</v>
      </c>
      <c r="M2648">
        <f>VLOOKUP(Query1[[#This Row],[Description]],'kits to boards'!$B$2:$E$156,3,FALSE)</f>
        <v>0</v>
      </c>
      <c r="N2648">
        <f>VLOOKUP(Query1[[#This Row],[Description]],'kits to boards'!$B$2:$E$156,4,FALSE)</f>
        <v>0</v>
      </c>
      <c r="O2648" t="str">
        <f>CONCATENATE(Query1[[#This Row],[Description]]," - ",Query1[[#This Row],[MB1]]," - ",Query1[[#This Row],[MB2]]," - ",Query1[[#This Row],[MB3]])</f>
        <v>EVAP KIT 66-67 CHEVELLE WO AC - 830060 - 0 - 0</v>
      </c>
    </row>
    <row r="2649" spans="1:15" x14ac:dyDescent="0.25">
      <c r="A2649" s="1">
        <v>916137</v>
      </c>
      <c r="B2649" s="1" t="s">
        <v>126</v>
      </c>
      <c r="C2649" s="1" t="s">
        <v>127</v>
      </c>
      <c r="D2649" s="2">
        <v>44642.357528668981</v>
      </c>
      <c r="E2649" s="1" t="s">
        <v>8</v>
      </c>
      <c r="F2649" s="1">
        <v>1</v>
      </c>
      <c r="G2649" s="1">
        <v>0</v>
      </c>
      <c r="H2649" s="6">
        <f>INT(Query1[[#This Row],[EntryDateTime]])</f>
        <v>44642</v>
      </c>
      <c r="I2649" s="1">
        <f>IF(Query1[[#This Row],[ItemType]]="EVAP KIT SF GEN IV",Query1[[#This Row],[OrderQty]]+I2648,I2648)</f>
        <v>3195</v>
      </c>
      <c r="J2649" s="1">
        <f>IF(Query1[[#This Row],[ItemType]]="EVAP KIT UNIVERSAL",Query1[[#This Row],[OrderQty]]+J2648,J2648)</f>
        <v>1264</v>
      </c>
      <c r="K2649" s="1">
        <f>Query1[[#This Row],[SF Running Total]]+Query1[[#This Row],[UNIV Running Total]]</f>
        <v>4459</v>
      </c>
      <c r="L2649">
        <f>VLOOKUP(Query1[[#This Row],[Description]],'kits to boards'!$B$2:$E$156,2,FALSE)</f>
        <v>830080</v>
      </c>
      <c r="M2649">
        <f>VLOOKUP(Query1[[#This Row],[Description]],'kits to boards'!$B$2:$E$156,3,FALSE)</f>
        <v>0</v>
      </c>
      <c r="N2649">
        <f>VLOOKUP(Query1[[#This Row],[Description]],'kits to boards'!$B$2:$E$156,4,FALSE)</f>
        <v>0</v>
      </c>
      <c r="O2649" t="str">
        <f>CONCATENATE(Query1[[#This Row],[Description]]," - ",Query1[[#This Row],[MB1]]," - ",Query1[[#This Row],[MB2]]," - ",Query1[[#This Row],[MB3]])</f>
        <v>EVAP KIT 69-70 MUSTANG WO AC  - 830080 - 0 - 0</v>
      </c>
    </row>
    <row r="2650" spans="1:15" x14ac:dyDescent="0.25">
      <c r="A2650" s="1">
        <v>916141</v>
      </c>
      <c r="B2650" s="1" t="s">
        <v>236</v>
      </c>
      <c r="C2650" s="1" t="s">
        <v>237</v>
      </c>
      <c r="D2650" s="2">
        <v>44642.363237766207</v>
      </c>
      <c r="E2650" s="1" t="s">
        <v>8</v>
      </c>
      <c r="F2650" s="1">
        <v>1</v>
      </c>
      <c r="G2650" s="1">
        <v>0</v>
      </c>
      <c r="H2650" s="6">
        <f>INT(Query1[[#This Row],[EntryDateTime]])</f>
        <v>44642</v>
      </c>
      <c r="I2650" s="1">
        <f>IF(Query1[[#This Row],[ItemType]]="EVAP KIT SF GEN IV",Query1[[#This Row],[OrderQty]]+I2649,I2649)</f>
        <v>3196</v>
      </c>
      <c r="J2650" s="1">
        <f>IF(Query1[[#This Row],[ItemType]]="EVAP KIT UNIVERSAL",Query1[[#This Row],[OrderQty]]+J2649,J2649)</f>
        <v>1264</v>
      </c>
      <c r="K2650" s="1">
        <f>Query1[[#This Row],[SF Running Total]]+Query1[[#This Row],[UNIV Running Total]]</f>
        <v>4460</v>
      </c>
      <c r="L2650">
        <f>VLOOKUP(Query1[[#This Row],[Description]],'kits to boards'!$B$2:$E$156,2,FALSE)</f>
        <v>830026</v>
      </c>
      <c r="M2650">
        <f>VLOOKUP(Query1[[#This Row],[Description]],'kits to boards'!$B$2:$E$156,3,FALSE)</f>
        <v>0</v>
      </c>
      <c r="N2650">
        <f>VLOOKUP(Query1[[#This Row],[Description]],'kits to boards'!$B$2:$E$156,4,FALSE)</f>
        <v>0</v>
      </c>
      <c r="O2650" t="str">
        <f>CONCATENATE(Query1[[#This Row],[Description]]," - ",Query1[[#This Row],[MB1]]," - ",Query1[[#This Row],[MB2]]," - ",Query1[[#This Row],[MB3]])</f>
        <v>EVAP KIT 70-72 CUTLASS WO AC - 830026 - 0 - 0</v>
      </c>
    </row>
    <row r="2651" spans="1:15" x14ac:dyDescent="0.25">
      <c r="A2651" s="1">
        <v>916166</v>
      </c>
      <c r="B2651" s="1" t="s">
        <v>68</v>
      </c>
      <c r="C2651" s="1" t="s">
        <v>69</v>
      </c>
      <c r="D2651" s="2">
        <v>44642.392071562499</v>
      </c>
      <c r="E2651" s="1" t="s">
        <v>8</v>
      </c>
      <c r="F2651" s="1">
        <v>1</v>
      </c>
      <c r="G2651" s="1">
        <v>0</v>
      </c>
      <c r="H2651" s="6">
        <f>INT(Query1[[#This Row],[EntryDateTime]])</f>
        <v>44642</v>
      </c>
      <c r="I2651" s="1">
        <f>IF(Query1[[#This Row],[ItemType]]="EVAP KIT SF GEN IV",Query1[[#This Row],[OrderQty]]+I2650,I2650)</f>
        <v>3197</v>
      </c>
      <c r="J2651" s="1">
        <f>IF(Query1[[#This Row],[ItemType]]="EVAP KIT UNIVERSAL",Query1[[#This Row],[OrderQty]]+J2650,J2650)</f>
        <v>1264</v>
      </c>
      <c r="K2651" s="1">
        <f>Query1[[#This Row],[SF Running Total]]+Query1[[#This Row],[UNIV Running Total]]</f>
        <v>4461</v>
      </c>
      <c r="L2651">
        <f>VLOOKUP(Query1[[#This Row],[Description]],'kits to boards'!$B$2:$E$156,2,FALSE)</f>
        <v>830010</v>
      </c>
      <c r="M2651">
        <f>VLOOKUP(Query1[[#This Row],[Description]],'kits to boards'!$B$2:$E$156,3,FALSE)</f>
        <v>0</v>
      </c>
      <c r="N2651">
        <f>VLOOKUP(Query1[[#This Row],[Description]],'kits to boards'!$B$2:$E$156,4,FALSE)</f>
        <v>0</v>
      </c>
      <c r="O2651" t="str">
        <f>CONCATENATE(Query1[[#This Row],[Description]]," - ",Query1[[#This Row],[MB1]]," - ",Query1[[#This Row],[MB2]]," - ",Query1[[#This Row],[MB3]])</f>
        <v>EVAP KIT 70-72 CHEVELLE WO AC - 830010 - 0 - 0</v>
      </c>
    </row>
    <row r="2652" spans="1:15" x14ac:dyDescent="0.25">
      <c r="A2652" s="1">
        <v>916171</v>
      </c>
      <c r="B2652" s="1" t="s">
        <v>198</v>
      </c>
      <c r="C2652" s="1" t="s">
        <v>199</v>
      </c>
      <c r="D2652" s="2">
        <v>44642.406100844906</v>
      </c>
      <c r="E2652" s="1" t="s">
        <v>8</v>
      </c>
      <c r="F2652" s="1">
        <v>1</v>
      </c>
      <c r="G2652" s="1">
        <v>0</v>
      </c>
      <c r="H2652" s="6">
        <f>INT(Query1[[#This Row],[EntryDateTime]])</f>
        <v>44642</v>
      </c>
      <c r="I2652" s="1">
        <f>IF(Query1[[#This Row],[ItemType]]="EVAP KIT SF GEN IV",Query1[[#This Row],[OrderQty]]+I2651,I2651)</f>
        <v>3198</v>
      </c>
      <c r="J2652" s="1">
        <f>IF(Query1[[#This Row],[ItemType]]="EVAP KIT UNIVERSAL",Query1[[#This Row],[OrderQty]]+J2651,J2651)</f>
        <v>1264</v>
      </c>
      <c r="K2652" s="1">
        <f>Query1[[#This Row],[SF Running Total]]+Query1[[#This Row],[UNIV Running Total]]</f>
        <v>4462</v>
      </c>
      <c r="L2652">
        <f>VLOOKUP(Query1[[#This Row],[Description]],'kits to boards'!$B$2:$E$156,2,FALSE)</f>
        <v>830042</v>
      </c>
      <c r="M2652">
        <f>VLOOKUP(Query1[[#This Row],[Description]],'kits to boards'!$B$2:$E$156,3,FALSE)</f>
        <v>0</v>
      </c>
      <c r="N2652">
        <f>VLOOKUP(Query1[[#This Row],[Description]],'kits to boards'!$B$2:$E$156,4,FALSE)</f>
        <v>0</v>
      </c>
      <c r="O2652" t="str">
        <f>CONCATENATE(Query1[[#This Row],[Description]]," - ",Query1[[#This Row],[MB1]]," - ",Query1[[#This Row],[MB2]]," - ",Query1[[#This Row],[MB3]])</f>
        <v>EVAP KIT 68-83 TOYOTA FJ40 ULTRA HIGH PERF - 830042 - 0 - 0</v>
      </c>
    </row>
    <row r="2653" spans="1:15" x14ac:dyDescent="0.25">
      <c r="A2653" s="1">
        <v>916175</v>
      </c>
      <c r="B2653" s="1" t="s">
        <v>236</v>
      </c>
      <c r="C2653" s="1" t="s">
        <v>237</v>
      </c>
      <c r="D2653" s="2">
        <v>44642.40835528935</v>
      </c>
      <c r="E2653" s="1" t="s">
        <v>8</v>
      </c>
      <c r="F2653" s="1">
        <v>1</v>
      </c>
      <c r="G2653" s="1">
        <v>0</v>
      </c>
      <c r="H2653" s="6">
        <f>INT(Query1[[#This Row],[EntryDateTime]])</f>
        <v>44642</v>
      </c>
      <c r="I2653" s="1">
        <f>IF(Query1[[#This Row],[ItemType]]="EVAP KIT SF GEN IV",Query1[[#This Row],[OrderQty]]+I2652,I2652)</f>
        <v>3199</v>
      </c>
      <c r="J2653" s="1">
        <f>IF(Query1[[#This Row],[ItemType]]="EVAP KIT UNIVERSAL",Query1[[#This Row],[OrderQty]]+J2652,J2652)</f>
        <v>1264</v>
      </c>
      <c r="K2653" s="1">
        <f>Query1[[#This Row],[SF Running Total]]+Query1[[#This Row],[UNIV Running Total]]</f>
        <v>4463</v>
      </c>
      <c r="L2653">
        <f>VLOOKUP(Query1[[#This Row],[Description]],'kits to boards'!$B$2:$E$156,2,FALSE)</f>
        <v>830026</v>
      </c>
      <c r="M2653">
        <f>VLOOKUP(Query1[[#This Row],[Description]],'kits to boards'!$B$2:$E$156,3,FALSE)</f>
        <v>0</v>
      </c>
      <c r="N2653">
        <f>VLOOKUP(Query1[[#This Row],[Description]],'kits to boards'!$B$2:$E$156,4,FALSE)</f>
        <v>0</v>
      </c>
      <c r="O2653" t="str">
        <f>CONCATENATE(Query1[[#This Row],[Description]]," - ",Query1[[#This Row],[MB1]]," - ",Query1[[#This Row],[MB2]]," - ",Query1[[#This Row],[MB3]])</f>
        <v>EVAP KIT 70-72 CUTLASS WO AC - 830026 - 0 - 0</v>
      </c>
    </row>
    <row r="2654" spans="1:15" x14ac:dyDescent="0.25">
      <c r="A2654" s="1">
        <v>916174</v>
      </c>
      <c r="B2654" s="1" t="s">
        <v>182</v>
      </c>
      <c r="C2654" s="1" t="s">
        <v>183</v>
      </c>
      <c r="D2654" s="2">
        <v>44642.408648923614</v>
      </c>
      <c r="E2654" s="1" t="s">
        <v>8</v>
      </c>
      <c r="F2654" s="1">
        <v>1</v>
      </c>
      <c r="G2654" s="1">
        <v>0</v>
      </c>
      <c r="H2654" s="6">
        <f>INT(Query1[[#This Row],[EntryDateTime]])</f>
        <v>44642</v>
      </c>
      <c r="I2654" s="1">
        <f>IF(Query1[[#This Row],[ItemType]]="EVAP KIT SF GEN IV",Query1[[#This Row],[OrderQty]]+I2653,I2653)</f>
        <v>3200</v>
      </c>
      <c r="J2654" s="1">
        <f>IF(Query1[[#This Row],[ItemType]]="EVAP KIT UNIVERSAL",Query1[[#This Row],[OrderQty]]+J2653,J2653)</f>
        <v>1264</v>
      </c>
      <c r="K2654" s="1">
        <f>Query1[[#This Row],[SF Running Total]]+Query1[[#This Row],[UNIV Running Total]]</f>
        <v>4464</v>
      </c>
      <c r="L2654">
        <f>VLOOKUP(Query1[[#This Row],[Description]],'kits to boards'!$B$2:$E$156,2,FALSE)</f>
        <v>830075</v>
      </c>
      <c r="M2654">
        <f>VLOOKUP(Query1[[#This Row],[Description]],'kits to boards'!$B$2:$E$156,3,FALSE)</f>
        <v>0</v>
      </c>
      <c r="N2654">
        <f>VLOOKUP(Query1[[#This Row],[Description]],'kits to boards'!$B$2:$E$156,4,FALSE)</f>
        <v>0</v>
      </c>
      <c r="O2654" t="str">
        <f>CONCATENATE(Query1[[#This Row],[Description]]," - ",Query1[[#This Row],[MB1]]," - ",Query1[[#This Row],[MB2]]," - ",Query1[[#This Row],[MB3]])</f>
        <v>EVAP KIT 69-70 MOPAR B BODY WO AC - 830075 - 0 - 0</v>
      </c>
    </row>
    <row r="2655" spans="1:15" x14ac:dyDescent="0.25">
      <c r="A2655" s="1">
        <v>916180</v>
      </c>
      <c r="B2655" s="1" t="s">
        <v>166</v>
      </c>
      <c r="C2655" s="1" t="s">
        <v>167</v>
      </c>
      <c r="D2655" s="2">
        <v>44642.422857256941</v>
      </c>
      <c r="E2655" s="1" t="s">
        <v>8</v>
      </c>
      <c r="F2655" s="1">
        <v>1</v>
      </c>
      <c r="G2655" s="1">
        <v>0</v>
      </c>
      <c r="H2655" s="6">
        <f>INT(Query1[[#This Row],[EntryDateTime]])</f>
        <v>44642</v>
      </c>
      <c r="I2655" s="1">
        <f>IF(Query1[[#This Row],[ItemType]]="EVAP KIT SF GEN IV",Query1[[#This Row],[OrderQty]]+I2654,I2654)</f>
        <v>3201</v>
      </c>
      <c r="J2655" s="1">
        <f>IF(Query1[[#This Row],[ItemType]]="EVAP KIT UNIVERSAL",Query1[[#This Row],[OrderQty]]+J2654,J2654)</f>
        <v>1264</v>
      </c>
      <c r="K2655" s="1">
        <f>Query1[[#This Row],[SF Running Total]]+Query1[[#This Row],[UNIV Running Total]]</f>
        <v>4465</v>
      </c>
      <c r="L2655">
        <f>VLOOKUP(Query1[[#This Row],[Description]],'kits to boards'!$B$2:$E$156,2,FALSE)</f>
        <v>830063</v>
      </c>
      <c r="M2655">
        <f>VLOOKUP(Query1[[#This Row],[Description]],'kits to boards'!$B$2:$E$156,3,FALSE)</f>
        <v>0</v>
      </c>
      <c r="N2655">
        <f>VLOOKUP(Query1[[#This Row],[Description]],'kits to boards'!$B$2:$E$156,4,FALSE)</f>
        <v>0</v>
      </c>
      <c r="O2655" t="str">
        <f>CONCATENATE(Query1[[#This Row],[Description]]," - ",Query1[[#This Row],[MB1]]," - ",Query1[[#This Row],[MB2]]," - ",Query1[[#This Row],[MB3]])</f>
        <v>EVAP KIT 47-49 CHEV P-UP GEN IV - 830063 - 0 - 0</v>
      </c>
    </row>
    <row r="2656" spans="1:15" x14ac:dyDescent="0.25">
      <c r="A2656" s="1">
        <v>916182</v>
      </c>
      <c r="B2656" s="1" t="s">
        <v>182</v>
      </c>
      <c r="C2656" s="1" t="s">
        <v>183</v>
      </c>
      <c r="D2656" s="2">
        <v>44642.424637187498</v>
      </c>
      <c r="E2656" s="1" t="s">
        <v>8</v>
      </c>
      <c r="F2656" s="1">
        <v>1</v>
      </c>
      <c r="G2656" s="1">
        <v>0</v>
      </c>
      <c r="H2656" s="6">
        <f>INT(Query1[[#This Row],[EntryDateTime]])</f>
        <v>44642</v>
      </c>
      <c r="I2656" s="1">
        <f>IF(Query1[[#This Row],[ItemType]]="EVAP KIT SF GEN IV",Query1[[#This Row],[OrderQty]]+I2655,I2655)</f>
        <v>3202</v>
      </c>
      <c r="J2656" s="1">
        <f>IF(Query1[[#This Row],[ItemType]]="EVAP KIT UNIVERSAL",Query1[[#This Row],[OrderQty]]+J2655,J2655)</f>
        <v>1264</v>
      </c>
      <c r="K2656" s="1">
        <f>Query1[[#This Row],[SF Running Total]]+Query1[[#This Row],[UNIV Running Total]]</f>
        <v>4466</v>
      </c>
      <c r="L2656">
        <f>VLOOKUP(Query1[[#This Row],[Description]],'kits to boards'!$B$2:$E$156,2,FALSE)</f>
        <v>830075</v>
      </c>
      <c r="M2656">
        <f>VLOOKUP(Query1[[#This Row],[Description]],'kits to boards'!$B$2:$E$156,3,FALSE)</f>
        <v>0</v>
      </c>
      <c r="N2656">
        <f>VLOOKUP(Query1[[#This Row],[Description]],'kits to boards'!$B$2:$E$156,4,FALSE)</f>
        <v>0</v>
      </c>
      <c r="O2656" t="str">
        <f>CONCATENATE(Query1[[#This Row],[Description]]," - ",Query1[[#This Row],[MB1]]," - ",Query1[[#This Row],[MB2]]," - ",Query1[[#This Row],[MB3]])</f>
        <v>EVAP KIT 69-70 MOPAR B BODY WO AC - 830075 - 0 - 0</v>
      </c>
    </row>
    <row r="2657" spans="1:15" x14ac:dyDescent="0.25">
      <c r="A2657" s="1">
        <v>916185</v>
      </c>
      <c r="B2657" s="1" t="s">
        <v>56</v>
      </c>
      <c r="C2657" s="1" t="s">
        <v>57</v>
      </c>
      <c r="D2657" s="2">
        <v>44642.429362499999</v>
      </c>
      <c r="E2657" s="1" t="s">
        <v>8</v>
      </c>
      <c r="F2657" s="1">
        <v>1</v>
      </c>
      <c r="G2657" s="1">
        <v>0</v>
      </c>
      <c r="H2657" s="6">
        <f>INT(Query1[[#This Row],[EntryDateTime]])</f>
        <v>44642</v>
      </c>
      <c r="I2657" s="1">
        <f>IF(Query1[[#This Row],[ItemType]]="EVAP KIT SF GEN IV",Query1[[#This Row],[OrderQty]]+I2656,I2656)</f>
        <v>3203</v>
      </c>
      <c r="J2657" s="1">
        <f>IF(Query1[[#This Row],[ItemType]]="EVAP KIT UNIVERSAL",Query1[[#This Row],[OrderQty]]+J2656,J2656)</f>
        <v>1264</v>
      </c>
      <c r="K2657" s="1">
        <f>Query1[[#This Row],[SF Running Total]]+Query1[[#This Row],[UNIV Running Total]]</f>
        <v>4467</v>
      </c>
      <c r="L2657">
        <f>VLOOKUP(Query1[[#This Row],[Description]],'kits to boards'!$B$2:$E$156,2,FALSE)</f>
        <v>830011</v>
      </c>
      <c r="M2657">
        <f>VLOOKUP(Query1[[#This Row],[Description]],'kits to boards'!$B$2:$E$156,3,FALSE)</f>
        <v>0</v>
      </c>
      <c r="N2657">
        <f>VLOOKUP(Query1[[#This Row],[Description]],'kits to boards'!$B$2:$E$156,4,FALSE)</f>
        <v>0</v>
      </c>
      <c r="O2657" t="str">
        <f>CONCATENATE(Query1[[#This Row],[Description]]," - ",Query1[[#This Row],[MB1]]," - ",Query1[[#This Row],[MB2]]," - ",Query1[[#This Row],[MB3]])</f>
        <v>EVAP KIT 70-72 CHEVELLE W/AC - 830011 - 0 - 0</v>
      </c>
    </row>
    <row r="2658" spans="1:15" x14ac:dyDescent="0.25">
      <c r="A2658" s="1">
        <v>916185</v>
      </c>
      <c r="B2658" s="1" t="s">
        <v>84</v>
      </c>
      <c r="C2658" s="1" t="s">
        <v>85</v>
      </c>
      <c r="D2658" s="2">
        <v>44642.429372453706</v>
      </c>
      <c r="E2658" s="1" t="s">
        <v>8</v>
      </c>
      <c r="F2658" s="1">
        <v>1</v>
      </c>
      <c r="G2658" s="1">
        <v>0</v>
      </c>
      <c r="H2658" s="6">
        <f>INT(Query1[[#This Row],[EntryDateTime]])</f>
        <v>44642</v>
      </c>
      <c r="I2658" s="1">
        <f>IF(Query1[[#This Row],[ItemType]]="EVAP KIT SF GEN IV",Query1[[#This Row],[OrderQty]]+I2657,I2657)</f>
        <v>3204</v>
      </c>
      <c r="J2658" s="1">
        <f>IF(Query1[[#This Row],[ItemType]]="EVAP KIT UNIVERSAL",Query1[[#This Row],[OrderQty]]+J2657,J2657)</f>
        <v>1264</v>
      </c>
      <c r="K2658" s="1">
        <f>Query1[[#This Row],[SF Running Total]]+Query1[[#This Row],[UNIV Running Total]]</f>
        <v>4468</v>
      </c>
      <c r="L2658">
        <f>VLOOKUP(Query1[[#This Row],[Description]],'kits to boards'!$B$2:$E$156,2,FALSE)</f>
        <v>830085</v>
      </c>
      <c r="M2658">
        <f>VLOOKUP(Query1[[#This Row],[Description]],'kits to boards'!$B$2:$E$156,3,FALSE)</f>
        <v>0</v>
      </c>
      <c r="N2658">
        <f>VLOOKUP(Query1[[#This Row],[Description]],'kits to boards'!$B$2:$E$156,4,FALSE)</f>
        <v>0</v>
      </c>
      <c r="O2658" t="str">
        <f>CONCATENATE(Query1[[#This Row],[Description]]," - ",Query1[[#This Row],[MB1]]," - ",Query1[[#This Row],[MB2]]," - ",Query1[[#This Row],[MB3]])</f>
        <v>EVAP KIT 66-77 BRONCO 4-VENT PLENUM - 830085 - 0 - 0</v>
      </c>
    </row>
    <row r="2659" spans="1:15" x14ac:dyDescent="0.25">
      <c r="A2659" s="1">
        <v>916185</v>
      </c>
      <c r="B2659" s="1" t="s">
        <v>42</v>
      </c>
      <c r="C2659" s="1" t="s">
        <v>43</v>
      </c>
      <c r="D2659" s="2">
        <v>44642.429374502317</v>
      </c>
      <c r="E2659" s="1" t="s">
        <v>8</v>
      </c>
      <c r="F2659" s="1">
        <v>1</v>
      </c>
      <c r="G2659" s="1">
        <v>0</v>
      </c>
      <c r="H2659" s="6">
        <f>INT(Query1[[#This Row],[EntryDateTime]])</f>
        <v>44642</v>
      </c>
      <c r="I2659" s="1">
        <f>IF(Query1[[#This Row],[ItemType]]="EVAP KIT SF GEN IV",Query1[[#This Row],[OrderQty]]+I2658,I2658)</f>
        <v>3205</v>
      </c>
      <c r="J2659" s="1">
        <f>IF(Query1[[#This Row],[ItemType]]="EVAP KIT UNIVERSAL",Query1[[#This Row],[OrderQty]]+J2658,J2658)</f>
        <v>1264</v>
      </c>
      <c r="K2659" s="1">
        <f>Query1[[#This Row],[SF Running Total]]+Query1[[#This Row],[UNIV Running Total]]</f>
        <v>4469</v>
      </c>
      <c r="L2659">
        <f>VLOOKUP(Query1[[#This Row],[Description]],'kits to boards'!$B$2:$E$156,2,FALSE)</f>
        <v>830014</v>
      </c>
      <c r="M2659">
        <f>VLOOKUP(Query1[[#This Row],[Description]],'kits to boards'!$B$2:$E$156,3,FALSE)</f>
        <v>0</v>
      </c>
      <c r="N2659">
        <f>VLOOKUP(Query1[[#This Row],[Description]],'kits to boards'!$B$2:$E$156,4,FALSE)</f>
        <v>0</v>
      </c>
      <c r="O2659" t="str">
        <f>CONCATENATE(Query1[[#This Row],[Description]]," - ",Query1[[#This Row],[MB1]]," - ",Query1[[#This Row],[MB2]]," - ",Query1[[#This Row],[MB3]])</f>
        <v>EVAP KIT 67-72 CHEV P-UP WO AC - 830014 - 0 - 0</v>
      </c>
    </row>
    <row r="2660" spans="1:15" x14ac:dyDescent="0.25">
      <c r="A2660" s="1">
        <v>916186</v>
      </c>
      <c r="B2660" s="1" t="s">
        <v>74</v>
      </c>
      <c r="C2660" s="1" t="s">
        <v>75</v>
      </c>
      <c r="D2660" s="2">
        <v>44642.431091238424</v>
      </c>
      <c r="E2660" s="1" t="s">
        <v>8</v>
      </c>
      <c r="F2660" s="1">
        <v>1</v>
      </c>
      <c r="G2660" s="1">
        <v>0</v>
      </c>
      <c r="H2660" s="6">
        <f>INT(Query1[[#This Row],[EntryDateTime]])</f>
        <v>44642</v>
      </c>
      <c r="I2660" s="1">
        <f>IF(Query1[[#This Row],[ItemType]]="EVAP KIT SF GEN IV",Query1[[#This Row],[OrderQty]]+I2659,I2659)</f>
        <v>3206</v>
      </c>
      <c r="J2660" s="1">
        <f>IF(Query1[[#This Row],[ItemType]]="EVAP KIT UNIVERSAL",Query1[[#This Row],[OrderQty]]+J2659,J2659)</f>
        <v>1264</v>
      </c>
      <c r="K2660" s="1">
        <f>Query1[[#This Row],[SF Running Total]]+Query1[[#This Row],[UNIV Running Total]]</f>
        <v>4470</v>
      </c>
      <c r="L2660">
        <f>VLOOKUP(Query1[[#This Row],[Description]],'kits to boards'!$B$2:$E$156,2,FALSE)</f>
        <v>830065</v>
      </c>
      <c r="M2660">
        <f>VLOOKUP(Query1[[#This Row],[Description]],'kits to boards'!$B$2:$E$156,3,FALSE)</f>
        <v>0</v>
      </c>
      <c r="N2660">
        <f>VLOOKUP(Query1[[#This Row],[Description]],'kits to boards'!$B$2:$E$156,4,FALSE)</f>
        <v>0</v>
      </c>
      <c r="O2660" t="str">
        <f>CONCATENATE(Query1[[#This Row],[Description]]," - ",Query1[[#This Row],[MB1]]," - ",Query1[[#This Row],[MB2]]," - ",Query1[[#This Row],[MB3]])</f>
        <v>EVAP KIT 57 CHEV WO AC 4-VENT PLENUM - 830065 - 0 - 0</v>
      </c>
    </row>
    <row r="2661" spans="1:15" x14ac:dyDescent="0.25">
      <c r="A2661" s="1">
        <v>916186</v>
      </c>
      <c r="B2661" s="1" t="s">
        <v>22</v>
      </c>
      <c r="C2661" s="1" t="s">
        <v>23</v>
      </c>
      <c r="D2661" s="2">
        <v>44642.43174054398</v>
      </c>
      <c r="E2661" s="1" t="s">
        <v>8</v>
      </c>
      <c r="F2661" s="1">
        <v>1</v>
      </c>
      <c r="G2661" s="1">
        <v>0</v>
      </c>
      <c r="H2661" s="6">
        <f>INT(Query1[[#This Row],[EntryDateTime]])</f>
        <v>44642</v>
      </c>
      <c r="I2661" s="1">
        <f>IF(Query1[[#This Row],[ItemType]]="EVAP KIT SF GEN IV",Query1[[#This Row],[OrderQty]]+I2660,I2660)</f>
        <v>3207</v>
      </c>
      <c r="J2661" s="1">
        <f>IF(Query1[[#This Row],[ItemType]]="EVAP KIT UNIVERSAL",Query1[[#This Row],[OrderQty]]+J2660,J2660)</f>
        <v>1264</v>
      </c>
      <c r="K2661" s="1">
        <f>Query1[[#This Row],[SF Running Total]]+Query1[[#This Row],[UNIV Running Total]]</f>
        <v>4471</v>
      </c>
      <c r="L2661">
        <f>VLOOKUP(Query1[[#This Row],[Description]],'kits to boards'!$B$2:$E$156,2,FALSE)</f>
        <v>830083</v>
      </c>
      <c r="M2661">
        <f>VLOOKUP(Query1[[#This Row],[Description]],'kits to boards'!$B$2:$E$156,3,FALSE)</f>
        <v>0</v>
      </c>
      <c r="N2661">
        <f>VLOOKUP(Query1[[#This Row],[Description]],'kits to boards'!$B$2:$E$156,4,FALSE)</f>
        <v>0</v>
      </c>
      <c r="O2661" t="str">
        <f>CONCATENATE(Query1[[#This Row],[Description]]," - ",Query1[[#This Row],[MB1]]," - ",Query1[[#This Row],[MB2]]," - ",Query1[[#This Row],[MB3]])</f>
        <v>GEN IV MAGNUM EVAP KIT - 830083 - 0 - 0</v>
      </c>
    </row>
    <row r="2662" spans="1:15" x14ac:dyDescent="0.25">
      <c r="A2662" s="1">
        <v>916186</v>
      </c>
      <c r="B2662" s="1" t="s">
        <v>24</v>
      </c>
      <c r="C2662" s="1" t="s">
        <v>25</v>
      </c>
      <c r="D2662" s="2">
        <v>44642.431846724539</v>
      </c>
      <c r="E2662" s="1" t="s">
        <v>11</v>
      </c>
      <c r="F2662" s="1">
        <v>1</v>
      </c>
      <c r="G2662" s="1">
        <v>0</v>
      </c>
      <c r="H2662" s="6">
        <f>INT(Query1[[#This Row],[EntryDateTime]])</f>
        <v>44642</v>
      </c>
      <c r="I2662" s="1">
        <f>IF(Query1[[#This Row],[ItemType]]="EVAP KIT SF GEN IV",Query1[[#This Row],[OrderQty]]+I2661,I2661)</f>
        <v>3207</v>
      </c>
      <c r="J2662" s="1">
        <f>IF(Query1[[#This Row],[ItemType]]="EVAP KIT UNIVERSAL",Query1[[#This Row],[OrderQty]]+J2661,J2661)</f>
        <v>1265</v>
      </c>
      <c r="K2662" s="1">
        <f>Query1[[#This Row],[SF Running Total]]+Query1[[#This Row],[UNIV Running Total]]</f>
        <v>4472</v>
      </c>
      <c r="L2662">
        <f>VLOOKUP(Query1[[#This Row],[Description]],'kits to boards'!$B$2:$E$156,2,FALSE)</f>
        <v>830029</v>
      </c>
      <c r="M2662">
        <f>VLOOKUP(Query1[[#This Row],[Description]],'kits to boards'!$B$2:$E$156,3,FALSE)</f>
        <v>830030</v>
      </c>
      <c r="N2662">
        <f>VLOOKUP(Query1[[#This Row],[Description]],'kits to boards'!$B$2:$E$156,4,FALSE)</f>
        <v>0</v>
      </c>
      <c r="O2662" t="str">
        <f>CONCATENATE(Query1[[#This Row],[Description]]," - ",Query1[[#This Row],[MB1]]," - ",Query1[[#This Row],[MB2]]," - ",Query1[[#This Row],[MB3]])</f>
        <v>ComPac GEN II W/DEF - 830029 - 830030 - 0</v>
      </c>
    </row>
    <row r="2663" spans="1:15" x14ac:dyDescent="0.25">
      <c r="A2663" s="1">
        <v>916187</v>
      </c>
      <c r="B2663" s="1" t="s">
        <v>26</v>
      </c>
      <c r="C2663" s="1" t="s">
        <v>27</v>
      </c>
      <c r="D2663" s="2">
        <v>44642.435295601848</v>
      </c>
      <c r="E2663" s="1" t="s">
        <v>8</v>
      </c>
      <c r="F2663" s="1">
        <v>1</v>
      </c>
      <c r="G2663" s="1">
        <v>0</v>
      </c>
      <c r="H2663" s="6">
        <f>INT(Query1[[#This Row],[EntryDateTime]])</f>
        <v>44642</v>
      </c>
      <c r="I2663" s="1">
        <f>IF(Query1[[#This Row],[ItemType]]="EVAP KIT SF GEN IV",Query1[[#This Row],[OrderQty]]+I2662,I2662)</f>
        <v>3208</v>
      </c>
      <c r="J2663" s="1">
        <f>IF(Query1[[#This Row],[ItemType]]="EVAP KIT UNIVERSAL",Query1[[#This Row],[OrderQty]]+J2662,J2662)</f>
        <v>1265</v>
      </c>
      <c r="K2663" s="1">
        <f>Query1[[#This Row],[SF Running Total]]+Query1[[#This Row],[UNIV Running Total]]</f>
        <v>4473</v>
      </c>
      <c r="L2663">
        <f>VLOOKUP(Query1[[#This Row],[Description]],'kits to boards'!$B$2:$E$156,2,FALSE)</f>
        <v>830013</v>
      </c>
      <c r="M2663">
        <f>VLOOKUP(Query1[[#This Row],[Description]],'kits to boards'!$B$2:$E$156,3,FALSE)</f>
        <v>0</v>
      </c>
      <c r="N2663">
        <f>VLOOKUP(Query1[[#This Row],[Description]],'kits to boards'!$B$2:$E$156,4,FALSE)</f>
        <v>0</v>
      </c>
      <c r="O2663" t="str">
        <f>CONCATENATE(Query1[[#This Row],[Description]]," - ",Query1[[#This Row],[MB1]]," - ",Query1[[#This Row],[MB2]]," - ",Query1[[#This Row],[MB3]])</f>
        <v>EVAP KIT 67-72 CHEV P-UP W/AC - 830013 - 0 - 0</v>
      </c>
    </row>
    <row r="2664" spans="1:15" x14ac:dyDescent="0.25">
      <c r="A2664" s="1">
        <v>916058</v>
      </c>
      <c r="B2664" s="1" t="s">
        <v>502</v>
      </c>
      <c r="C2664" s="1" t="s">
        <v>503</v>
      </c>
      <c r="D2664" s="2">
        <v>44642.458093865738</v>
      </c>
      <c r="E2664" s="1" t="s">
        <v>677</v>
      </c>
      <c r="F2664" s="1">
        <v>1</v>
      </c>
      <c r="G2664" s="1">
        <v>0</v>
      </c>
      <c r="H2664" s="6">
        <f>INT(Query1[[#This Row],[EntryDateTime]])</f>
        <v>44642</v>
      </c>
      <c r="I2664" s="1">
        <f>IF(Query1[[#This Row],[ItemType]]="EVAP KIT SF GEN IV",Query1[[#This Row],[OrderQty]]+I2663,I2663)</f>
        <v>3208</v>
      </c>
      <c r="J2664" s="1">
        <f>IF(Query1[[#This Row],[ItemType]]="EVAP KIT UNIVERSAL",Query1[[#This Row],[OrderQty]]+J2663,J2663)</f>
        <v>1265</v>
      </c>
      <c r="K2664" s="1">
        <f>Query1[[#This Row],[SF Running Total]]+Query1[[#This Row],[UNIV Running Total]]</f>
        <v>4473</v>
      </c>
      <c r="L2664" t="e">
        <f>VLOOKUP(Query1[[#This Row],[Description]],'kits to boards'!$B$2:$E$156,2,FALSE)</f>
        <v>#N/A</v>
      </c>
      <c r="M2664" t="e">
        <f>VLOOKUP(Query1[[#This Row],[Description]],'kits to boards'!$B$2:$E$156,3,FALSE)</f>
        <v>#N/A</v>
      </c>
      <c r="N2664" t="e">
        <f>VLOOKUP(Query1[[#This Row],[Description]],'kits to boards'!$B$2:$E$156,4,FALSE)</f>
        <v>#N/A</v>
      </c>
      <c r="O2664" t="e">
        <f>CONCATENATE(Query1[[#This Row],[Description]]," - ",Query1[[#This Row],[MB1]]," - ",Query1[[#This Row],[MB2]]," - ",Query1[[#This Row],[MB3]])</f>
        <v>#N/A</v>
      </c>
    </row>
    <row r="2665" spans="1:15" x14ac:dyDescent="0.25">
      <c r="A2665" s="1">
        <v>916197</v>
      </c>
      <c r="B2665" s="1" t="s">
        <v>102</v>
      </c>
      <c r="C2665" s="1" t="s">
        <v>103</v>
      </c>
      <c r="D2665" s="2">
        <v>44642.459169178241</v>
      </c>
      <c r="E2665" s="1" t="s">
        <v>8</v>
      </c>
      <c r="F2665" s="1">
        <v>1</v>
      </c>
      <c r="G2665" s="1">
        <v>0</v>
      </c>
      <c r="H2665" s="6">
        <f>INT(Query1[[#This Row],[EntryDateTime]])</f>
        <v>44642</v>
      </c>
      <c r="I2665" s="1">
        <f>IF(Query1[[#This Row],[ItemType]]="EVAP KIT SF GEN IV",Query1[[#This Row],[OrderQty]]+I2664,I2664)</f>
        <v>3209</v>
      </c>
      <c r="J2665" s="1">
        <f>IF(Query1[[#This Row],[ItemType]]="EVAP KIT UNIVERSAL",Query1[[#This Row],[OrderQty]]+J2664,J2664)</f>
        <v>1265</v>
      </c>
      <c r="K2665" s="1">
        <f>Query1[[#This Row],[SF Running Total]]+Query1[[#This Row],[UNIV Running Total]]</f>
        <v>4474</v>
      </c>
      <c r="L2665">
        <f>VLOOKUP(Query1[[#This Row],[Description]],'kits to boards'!$B$2:$E$156,2,FALSE)</f>
        <v>830012</v>
      </c>
      <c r="M2665">
        <f>VLOOKUP(Query1[[#This Row],[Description]],'kits to boards'!$B$2:$E$156,3,FALSE)</f>
        <v>0</v>
      </c>
      <c r="N2665">
        <f>VLOOKUP(Query1[[#This Row],[Description]],'kits to boards'!$B$2:$E$156,4,FALSE)</f>
        <v>0</v>
      </c>
      <c r="O2665" t="str">
        <f>CONCATENATE(Query1[[#This Row],[Description]]," - ",Query1[[#This Row],[MB1]]," - ",Query1[[#This Row],[MB2]]," - ",Query1[[#This Row],[MB3]])</f>
        <v>EVAP KIT 69 CAMARO WO/AC - 830012 - 0 - 0</v>
      </c>
    </row>
    <row r="2666" spans="1:15" x14ac:dyDescent="0.25">
      <c r="A2666" s="1">
        <v>916198</v>
      </c>
      <c r="B2666" s="1" t="s">
        <v>158</v>
      </c>
      <c r="C2666" s="1" t="s">
        <v>159</v>
      </c>
      <c r="D2666" s="2">
        <v>44642.470323067129</v>
      </c>
      <c r="E2666" s="1" t="s">
        <v>8</v>
      </c>
      <c r="F2666" s="1">
        <v>1</v>
      </c>
      <c r="G2666" s="1">
        <v>0</v>
      </c>
      <c r="H2666" s="6">
        <f>INT(Query1[[#This Row],[EntryDateTime]])</f>
        <v>44642</v>
      </c>
      <c r="I2666" s="1">
        <f>IF(Query1[[#This Row],[ItemType]]="EVAP KIT SF GEN IV",Query1[[#This Row],[OrderQty]]+I2665,I2665)</f>
        <v>3210</v>
      </c>
      <c r="J2666" s="1">
        <f>IF(Query1[[#This Row],[ItemType]]="EVAP KIT UNIVERSAL",Query1[[#This Row],[OrderQty]]+J2665,J2665)</f>
        <v>1265</v>
      </c>
      <c r="K2666" s="1">
        <f>Query1[[#This Row],[SF Running Total]]+Query1[[#This Row],[UNIV Running Total]]</f>
        <v>4475</v>
      </c>
      <c r="L2666">
        <f>VLOOKUP(Query1[[#This Row],[Description]],'kits to boards'!$B$2:$E$156,2,FALSE)</f>
        <v>830080</v>
      </c>
      <c r="M2666">
        <f>VLOOKUP(Query1[[#This Row],[Description]],'kits to boards'!$B$2:$E$156,3,FALSE)</f>
        <v>830046</v>
      </c>
      <c r="N2666">
        <f>VLOOKUP(Query1[[#This Row],[Description]],'kits to boards'!$B$2:$E$156,4,FALSE)</f>
        <v>0</v>
      </c>
      <c r="O2666" t="str">
        <f>CONCATENATE(Query1[[#This Row],[Description]]," - ",Query1[[#This Row],[MB1]]," - ",Query1[[#This Row],[MB2]]," - ",Query1[[#This Row],[MB3]])</f>
        <v>EVAP KIT 69-70 MUSTANG W/AC  - 830080 - 830046 - 0</v>
      </c>
    </row>
    <row r="2667" spans="1:15" x14ac:dyDescent="0.25">
      <c r="A2667" s="1">
        <v>916199</v>
      </c>
      <c r="B2667" s="1" t="s">
        <v>132</v>
      </c>
      <c r="C2667" s="1" t="s">
        <v>133</v>
      </c>
      <c r="D2667" s="2">
        <v>44642.47184849537</v>
      </c>
      <c r="E2667" s="1" t="s">
        <v>8</v>
      </c>
      <c r="F2667" s="1">
        <v>1</v>
      </c>
      <c r="G2667" s="1">
        <v>0</v>
      </c>
      <c r="H2667" s="6">
        <f>INT(Query1[[#This Row],[EntryDateTime]])</f>
        <v>44642</v>
      </c>
      <c r="I2667" s="1">
        <f>IF(Query1[[#This Row],[ItemType]]="EVAP KIT SF GEN IV",Query1[[#This Row],[OrderQty]]+I2666,I2666)</f>
        <v>3211</v>
      </c>
      <c r="J2667" s="1">
        <f>IF(Query1[[#This Row],[ItemType]]="EVAP KIT UNIVERSAL",Query1[[#This Row],[OrderQty]]+J2666,J2666)</f>
        <v>1265</v>
      </c>
      <c r="K2667" s="1">
        <f>Query1[[#This Row],[SF Running Total]]+Query1[[#This Row],[UNIV Running Total]]</f>
        <v>4476</v>
      </c>
      <c r="L2667">
        <f>VLOOKUP(Query1[[#This Row],[Description]],'kits to boards'!$B$2:$E$156,2,FALSE)</f>
        <v>830005</v>
      </c>
      <c r="M2667">
        <f>VLOOKUP(Query1[[#This Row],[Description]],'kits to boards'!$B$2:$E$156,3,FALSE)</f>
        <v>0</v>
      </c>
      <c r="N2667">
        <f>VLOOKUP(Query1[[#This Row],[Description]],'kits to boards'!$B$2:$E$156,4,FALSE)</f>
        <v>0</v>
      </c>
      <c r="O2667" t="str">
        <f>CONCATENATE(Query1[[#This Row],[Description]]," - ",Query1[[#This Row],[MB1]]," - ",Query1[[#This Row],[MB2]]," - ",Query1[[#This Row],[MB3]])</f>
        <v>EVAP KIT 61-62 IMPALA WO AC - 830005 - 0 - 0</v>
      </c>
    </row>
    <row r="2668" spans="1:15" x14ac:dyDescent="0.25">
      <c r="A2668" s="1">
        <v>916206</v>
      </c>
      <c r="B2668" s="1" t="s">
        <v>14</v>
      </c>
      <c r="C2668" s="1" t="s">
        <v>15</v>
      </c>
      <c r="D2668" s="2">
        <v>44642.475017326389</v>
      </c>
      <c r="E2668" s="1" t="s">
        <v>8</v>
      </c>
      <c r="F2668" s="1">
        <v>1</v>
      </c>
      <c r="G2668" s="1">
        <v>0</v>
      </c>
      <c r="H2668" s="6">
        <f>INT(Query1[[#This Row],[EntryDateTime]])</f>
        <v>44642</v>
      </c>
      <c r="I2668" s="1">
        <f>IF(Query1[[#This Row],[ItemType]]="EVAP KIT SF GEN IV",Query1[[#This Row],[OrderQty]]+I2667,I2667)</f>
        <v>3212</v>
      </c>
      <c r="J2668" s="1">
        <f>IF(Query1[[#This Row],[ItemType]]="EVAP KIT UNIVERSAL",Query1[[#This Row],[OrderQty]]+J2667,J2667)</f>
        <v>1265</v>
      </c>
      <c r="K2668" s="1">
        <f>Query1[[#This Row],[SF Running Total]]+Query1[[#This Row],[UNIV Running Total]]</f>
        <v>4477</v>
      </c>
      <c r="L2668">
        <f>VLOOKUP(Query1[[#This Row],[Description]],'kits to boards'!$B$2:$E$156,2,FALSE)</f>
        <v>830054</v>
      </c>
      <c r="M2668">
        <f>VLOOKUP(Query1[[#This Row],[Description]],'kits to boards'!$B$2:$E$156,3,FALSE)</f>
        <v>0</v>
      </c>
      <c r="N2668">
        <f>VLOOKUP(Query1[[#This Row],[Description]],'kits to boards'!$B$2:$E$156,4,FALSE)</f>
        <v>0</v>
      </c>
      <c r="O2668" t="str">
        <f>CONCATENATE(Query1[[#This Row],[Description]]," - ",Query1[[#This Row],[MB1]]," - ",Query1[[#This Row],[MB2]]," - ",Query1[[#This Row],[MB3]])</f>
        <v>EVAP KIT 55-56 CHEVY - 830054 - 0 - 0</v>
      </c>
    </row>
    <row r="2669" spans="1:15" x14ac:dyDescent="0.25">
      <c r="A2669" s="1">
        <v>916208</v>
      </c>
      <c r="B2669" s="1" t="s">
        <v>204</v>
      </c>
      <c r="C2669" s="1" t="s">
        <v>205</v>
      </c>
      <c r="D2669" s="2">
        <v>44642.479267858798</v>
      </c>
      <c r="E2669" s="1" t="s">
        <v>8</v>
      </c>
      <c r="F2669" s="1">
        <v>1</v>
      </c>
      <c r="G2669" s="1">
        <v>0</v>
      </c>
      <c r="H2669" s="6">
        <f>INT(Query1[[#This Row],[EntryDateTime]])</f>
        <v>44642</v>
      </c>
      <c r="I2669" s="1">
        <f>IF(Query1[[#This Row],[ItemType]]="EVAP KIT SF GEN IV",Query1[[#This Row],[OrderQty]]+I2668,I2668)</f>
        <v>3213</v>
      </c>
      <c r="J2669" s="1">
        <f>IF(Query1[[#This Row],[ItemType]]="EVAP KIT UNIVERSAL",Query1[[#This Row],[OrderQty]]+J2668,J2668)</f>
        <v>1265</v>
      </c>
      <c r="K2669" s="1">
        <f>Query1[[#This Row],[SF Running Total]]+Query1[[#This Row],[UNIV Running Total]]</f>
        <v>4478</v>
      </c>
      <c r="L2669">
        <f>VLOOKUP(Query1[[#This Row],[Description]],'kits to boards'!$B$2:$E$156,2,FALSE)</f>
        <v>830108</v>
      </c>
      <c r="M2669">
        <f>VLOOKUP(Query1[[#This Row],[Description]],'kits to boards'!$B$2:$E$156,3,FALSE)</f>
        <v>0</v>
      </c>
      <c r="N2669">
        <f>VLOOKUP(Query1[[#This Row],[Description]],'kits to boards'!$B$2:$E$156,4,FALSE)</f>
        <v>0</v>
      </c>
      <c r="O2669" t="str">
        <f>CONCATENATE(Query1[[#This Row],[Description]]," - ",Query1[[#This Row],[MB1]]," - ",Query1[[#This Row],[MB2]]," - ",Query1[[#This Row],[MB3]])</f>
        <v>EVAP KIT 79-81 CAMARO WO AC  - 830108 - 0 - 0</v>
      </c>
    </row>
    <row r="2670" spans="1:15" x14ac:dyDescent="0.25">
      <c r="A2670" s="1">
        <v>916225</v>
      </c>
      <c r="B2670" s="1" t="s">
        <v>54</v>
      </c>
      <c r="C2670" s="1" t="s">
        <v>55</v>
      </c>
      <c r="D2670" s="2">
        <v>44642.519688460648</v>
      </c>
      <c r="E2670" s="1" t="s">
        <v>8</v>
      </c>
      <c r="F2670" s="1">
        <v>1</v>
      </c>
      <c r="G2670" s="1">
        <v>0</v>
      </c>
      <c r="H2670" s="6">
        <f>INT(Query1[[#This Row],[EntryDateTime]])</f>
        <v>44642</v>
      </c>
      <c r="I2670" s="1">
        <f>IF(Query1[[#This Row],[ItemType]]="EVAP KIT SF GEN IV",Query1[[#This Row],[OrderQty]]+I2669,I2669)</f>
        <v>3214</v>
      </c>
      <c r="J2670" s="1">
        <f>IF(Query1[[#This Row],[ItemType]]="EVAP KIT UNIVERSAL",Query1[[#This Row],[OrderQty]]+J2669,J2669)</f>
        <v>1265</v>
      </c>
      <c r="K2670" s="1">
        <f>Query1[[#This Row],[SF Running Total]]+Query1[[#This Row],[UNIV Running Total]]</f>
        <v>4479</v>
      </c>
      <c r="L2670">
        <f>VLOOKUP(Query1[[#This Row],[Description]],'kits to boards'!$B$2:$E$156,2,FALSE)</f>
        <v>830037</v>
      </c>
      <c r="M2670">
        <f>VLOOKUP(Query1[[#This Row],[Description]],'kits to boards'!$B$2:$E$156,3,FALSE)</f>
        <v>0</v>
      </c>
      <c r="N2670">
        <f>VLOOKUP(Query1[[#This Row],[Description]],'kits to boards'!$B$2:$E$156,4,FALSE)</f>
        <v>0</v>
      </c>
      <c r="O2670" t="str">
        <f>CONCATENATE(Query1[[#This Row],[Description]]," - ",Query1[[#This Row],[MB1]]," - ",Query1[[#This Row],[MB2]]," - ",Query1[[#This Row],[MB3]])</f>
        <v>EVAP KIT 70-81 FIREBIRD W/AC - 830037 - 0 - 0</v>
      </c>
    </row>
    <row r="2671" spans="1:15" x14ac:dyDescent="0.25">
      <c r="A2671" s="1">
        <v>916228</v>
      </c>
      <c r="B2671" s="1" t="s">
        <v>186</v>
      </c>
      <c r="C2671" s="1" t="s">
        <v>187</v>
      </c>
      <c r="D2671" s="2">
        <v>44642.528680358795</v>
      </c>
      <c r="E2671" s="1" t="s">
        <v>8</v>
      </c>
      <c r="F2671" s="1">
        <v>1</v>
      </c>
      <c r="G2671" s="1">
        <v>0</v>
      </c>
      <c r="H2671" s="6">
        <f>INT(Query1[[#This Row],[EntryDateTime]])</f>
        <v>44642</v>
      </c>
      <c r="I2671" s="1">
        <f>IF(Query1[[#This Row],[ItemType]]="EVAP KIT SF GEN IV",Query1[[#This Row],[OrderQty]]+I2670,I2670)</f>
        <v>3215</v>
      </c>
      <c r="J2671" s="1">
        <f>IF(Query1[[#This Row],[ItemType]]="EVAP KIT UNIVERSAL",Query1[[#This Row],[OrderQty]]+J2670,J2670)</f>
        <v>1265</v>
      </c>
      <c r="K2671" s="1">
        <f>Query1[[#This Row],[SF Running Total]]+Query1[[#This Row],[UNIV Running Total]]</f>
        <v>4480</v>
      </c>
      <c r="L2671">
        <f>VLOOKUP(Query1[[#This Row],[Description]],'kits to boards'!$B$2:$E$156,2,FALSE)</f>
        <v>830125</v>
      </c>
      <c r="M2671">
        <f>VLOOKUP(Query1[[#This Row],[Description]],'kits to boards'!$B$2:$E$156,3,FALSE)</f>
        <v>830126</v>
      </c>
      <c r="N2671">
        <f>VLOOKUP(Query1[[#This Row],[Description]],'kits to boards'!$B$2:$E$156,4,FALSE)</f>
        <v>0</v>
      </c>
      <c r="O2671" t="str">
        <f>CONCATENATE(Query1[[#This Row],[Description]]," - ",Query1[[#This Row],[MB1]]," - ",Query1[[#This Row],[MB2]]," - ",Query1[[#This Row],[MB3]])</f>
        <v>EVAP KIT 65-66 IMPALA WO/AC - 830125 - 830126 - 0</v>
      </c>
    </row>
    <row r="2672" spans="1:15" x14ac:dyDescent="0.25">
      <c r="A2672" s="1">
        <v>916227</v>
      </c>
      <c r="B2672" s="1" t="s">
        <v>24</v>
      </c>
      <c r="C2672" s="1" t="s">
        <v>25</v>
      </c>
      <c r="D2672" s="2">
        <v>44642.528742326387</v>
      </c>
      <c r="E2672" s="1" t="s">
        <v>11</v>
      </c>
      <c r="F2672" s="1">
        <v>2</v>
      </c>
      <c r="G2672" s="1">
        <v>0</v>
      </c>
      <c r="H2672" s="6">
        <f>INT(Query1[[#This Row],[EntryDateTime]])</f>
        <v>44642</v>
      </c>
      <c r="I2672" s="1">
        <f>IF(Query1[[#This Row],[ItemType]]="EVAP KIT SF GEN IV",Query1[[#This Row],[OrderQty]]+I2671,I2671)</f>
        <v>3215</v>
      </c>
      <c r="J2672" s="1">
        <f>IF(Query1[[#This Row],[ItemType]]="EVAP KIT UNIVERSAL",Query1[[#This Row],[OrderQty]]+J2671,J2671)</f>
        <v>1267</v>
      </c>
      <c r="K2672" s="1">
        <f>Query1[[#This Row],[SF Running Total]]+Query1[[#This Row],[UNIV Running Total]]</f>
        <v>4482</v>
      </c>
      <c r="L2672">
        <f>VLOOKUP(Query1[[#This Row],[Description]],'kits to boards'!$B$2:$E$156,2,FALSE)</f>
        <v>830029</v>
      </c>
      <c r="M2672">
        <f>VLOOKUP(Query1[[#This Row],[Description]],'kits to boards'!$B$2:$E$156,3,FALSE)</f>
        <v>830030</v>
      </c>
      <c r="N2672">
        <f>VLOOKUP(Query1[[#This Row],[Description]],'kits to boards'!$B$2:$E$156,4,FALSE)</f>
        <v>0</v>
      </c>
      <c r="O2672" t="str">
        <f>CONCATENATE(Query1[[#This Row],[Description]]," - ",Query1[[#This Row],[MB1]]," - ",Query1[[#This Row],[MB2]]," - ",Query1[[#This Row],[MB3]])</f>
        <v>ComPac GEN II W/DEF - 830029 - 830030 - 0</v>
      </c>
    </row>
    <row r="2673" spans="1:15" x14ac:dyDescent="0.25">
      <c r="A2673" s="1">
        <v>916227</v>
      </c>
      <c r="B2673" s="1" t="s">
        <v>98</v>
      </c>
      <c r="C2673" s="1" t="s">
        <v>99</v>
      </c>
      <c r="D2673" s="2">
        <v>44642.528869409725</v>
      </c>
      <c r="E2673" s="1" t="s">
        <v>11</v>
      </c>
      <c r="F2673" s="1">
        <v>2</v>
      </c>
      <c r="G2673" s="1">
        <v>0</v>
      </c>
      <c r="H2673" s="6">
        <f>INT(Query1[[#This Row],[EntryDateTime]])</f>
        <v>44642</v>
      </c>
      <c r="I2673" s="1">
        <f>IF(Query1[[#This Row],[ItemType]]="EVAP KIT SF GEN IV",Query1[[#This Row],[OrderQty]]+I2672,I2672)</f>
        <v>3215</v>
      </c>
      <c r="J2673" s="1">
        <f>IF(Query1[[#This Row],[ItemType]]="EVAP KIT UNIVERSAL",Query1[[#This Row],[OrderQty]]+J2672,J2672)</f>
        <v>1269</v>
      </c>
      <c r="K2673" s="1">
        <f>Query1[[#This Row],[SF Running Total]]+Query1[[#This Row],[UNIV Running Total]]</f>
        <v>4484</v>
      </c>
      <c r="L2673">
        <f>VLOOKUP(Query1[[#This Row],[Description]],'kits to boards'!$B$2:$E$156,2,FALSE)</f>
        <v>830099</v>
      </c>
      <c r="M2673">
        <f>VLOOKUP(Query1[[#This Row],[Description]],'kits to boards'!$B$2:$E$156,3,FALSE)</f>
        <v>0</v>
      </c>
      <c r="N2673">
        <f>VLOOKUP(Query1[[#This Row],[Description]],'kits to boards'!$B$2:$E$156,4,FALSE)</f>
        <v>0</v>
      </c>
      <c r="O2673" t="str">
        <f>CONCATENATE(Query1[[#This Row],[Description]]," - ",Query1[[#This Row],[MB1]]," - ",Query1[[#This Row],[MB2]]," - ",Query1[[#This Row],[MB3]])</f>
        <v>MINI GEN II W/DEF - 830099 - 0 - 0</v>
      </c>
    </row>
    <row r="2674" spans="1:15" x14ac:dyDescent="0.25">
      <c r="A2674" s="1">
        <v>916239</v>
      </c>
      <c r="B2674" s="1" t="s">
        <v>44</v>
      </c>
      <c r="C2674" s="1" t="s">
        <v>45</v>
      </c>
      <c r="D2674" s="2">
        <v>44642.546860185183</v>
      </c>
      <c r="E2674" s="1" t="s">
        <v>8</v>
      </c>
      <c r="F2674" s="1">
        <v>1</v>
      </c>
      <c r="G2674" s="1">
        <v>0</v>
      </c>
      <c r="H2674" s="6">
        <f>INT(Query1[[#This Row],[EntryDateTime]])</f>
        <v>44642</v>
      </c>
      <c r="I2674" s="1">
        <f>IF(Query1[[#This Row],[ItemType]]="EVAP KIT SF GEN IV",Query1[[#This Row],[OrderQty]]+I2673,I2673)</f>
        <v>3216</v>
      </c>
      <c r="J2674" s="1">
        <f>IF(Query1[[#This Row],[ItemType]]="EVAP KIT UNIVERSAL",Query1[[#This Row],[OrderQty]]+J2673,J2673)</f>
        <v>1269</v>
      </c>
      <c r="K2674" s="1">
        <f>Query1[[#This Row],[SF Running Total]]+Query1[[#This Row],[UNIV Running Total]]</f>
        <v>4485</v>
      </c>
      <c r="L2674">
        <f>VLOOKUP(Query1[[#This Row],[Description]],'kits to boards'!$B$2:$E$156,2,FALSE)</f>
        <v>830085</v>
      </c>
      <c r="M2674">
        <f>VLOOKUP(Query1[[#This Row],[Description]],'kits to boards'!$B$2:$E$156,3,FALSE)</f>
        <v>0</v>
      </c>
      <c r="N2674">
        <f>VLOOKUP(Query1[[#This Row],[Description]],'kits to boards'!$B$2:$E$156,4,FALSE)</f>
        <v>0</v>
      </c>
      <c r="O2674" t="str">
        <f>CONCATENATE(Query1[[#This Row],[Description]]," - ",Query1[[#This Row],[MB1]]," - ",Query1[[#This Row],[MB2]]," - ",Query1[[#This Row],[MB3]])</f>
        <v>EVAP KIT 66-77 BRONCO - 830085 - 0 - 0</v>
      </c>
    </row>
    <row r="2675" spans="1:15" x14ac:dyDescent="0.25">
      <c r="A2675" s="1">
        <v>916241</v>
      </c>
      <c r="B2675" s="1" t="s">
        <v>92</v>
      </c>
      <c r="C2675" s="1" t="s">
        <v>93</v>
      </c>
      <c r="D2675" s="2">
        <v>44642.556142395835</v>
      </c>
      <c r="E2675" s="1" t="s">
        <v>8</v>
      </c>
      <c r="F2675" s="1">
        <v>1</v>
      </c>
      <c r="G2675" s="1">
        <v>0</v>
      </c>
      <c r="H2675" s="6">
        <f>INT(Query1[[#This Row],[EntryDateTime]])</f>
        <v>44642</v>
      </c>
      <c r="I2675" s="1">
        <f>IF(Query1[[#This Row],[ItemType]]="EVAP KIT SF GEN IV",Query1[[#This Row],[OrderQty]]+I2674,I2674)</f>
        <v>3217</v>
      </c>
      <c r="J2675" s="1">
        <f>IF(Query1[[#This Row],[ItemType]]="EVAP KIT UNIVERSAL",Query1[[#This Row],[OrderQty]]+J2674,J2674)</f>
        <v>1269</v>
      </c>
      <c r="K2675" s="1">
        <f>Query1[[#This Row],[SF Running Total]]+Query1[[#This Row],[UNIV Running Total]]</f>
        <v>4486</v>
      </c>
      <c r="L2675">
        <f>VLOOKUP(Query1[[#This Row],[Description]],'kits to boards'!$B$2:$E$156,2,FALSE)</f>
        <v>830063</v>
      </c>
      <c r="M2675">
        <f>VLOOKUP(Query1[[#This Row],[Description]],'kits to boards'!$B$2:$E$156,3,FALSE)</f>
        <v>0</v>
      </c>
      <c r="N2675">
        <f>VLOOKUP(Query1[[#This Row],[Description]],'kits to boards'!$B$2:$E$156,4,FALSE)</f>
        <v>0</v>
      </c>
      <c r="O2675" t="str">
        <f>CONCATENATE(Query1[[#This Row],[Description]]," - ",Query1[[#This Row],[MB1]]," - ",Query1[[#This Row],[MB2]]," - ",Query1[[#This Row],[MB3]])</f>
        <v>EVAP KIT 50-53 CHEV P-UP GEN IV - 830063 - 0 - 0</v>
      </c>
    </row>
    <row r="2676" spans="1:15" x14ac:dyDescent="0.25">
      <c r="A2676" s="1">
        <v>916246</v>
      </c>
      <c r="B2676" s="1" t="s">
        <v>132</v>
      </c>
      <c r="C2676" s="1" t="s">
        <v>133</v>
      </c>
      <c r="D2676" s="2">
        <v>44642.560546527777</v>
      </c>
      <c r="E2676" s="1" t="s">
        <v>8</v>
      </c>
      <c r="F2676" s="1">
        <v>1</v>
      </c>
      <c r="G2676" s="1">
        <v>0</v>
      </c>
      <c r="H2676" s="6">
        <f>INT(Query1[[#This Row],[EntryDateTime]])</f>
        <v>44642</v>
      </c>
      <c r="I2676" s="1">
        <f>IF(Query1[[#This Row],[ItemType]]="EVAP KIT SF GEN IV",Query1[[#This Row],[OrderQty]]+I2675,I2675)</f>
        <v>3218</v>
      </c>
      <c r="J2676" s="1">
        <f>IF(Query1[[#This Row],[ItemType]]="EVAP KIT UNIVERSAL",Query1[[#This Row],[OrderQty]]+J2675,J2675)</f>
        <v>1269</v>
      </c>
      <c r="K2676" s="1">
        <f>Query1[[#This Row],[SF Running Total]]+Query1[[#This Row],[UNIV Running Total]]</f>
        <v>4487</v>
      </c>
      <c r="L2676">
        <f>VLOOKUP(Query1[[#This Row],[Description]],'kits to boards'!$B$2:$E$156,2,FALSE)</f>
        <v>830005</v>
      </c>
      <c r="M2676">
        <f>VLOOKUP(Query1[[#This Row],[Description]],'kits to boards'!$B$2:$E$156,3,FALSE)</f>
        <v>0</v>
      </c>
      <c r="N2676">
        <f>VLOOKUP(Query1[[#This Row],[Description]],'kits to boards'!$B$2:$E$156,4,FALSE)</f>
        <v>0</v>
      </c>
      <c r="O2676" t="str">
        <f>CONCATENATE(Query1[[#This Row],[Description]]," - ",Query1[[#This Row],[MB1]]," - ",Query1[[#This Row],[MB2]]," - ",Query1[[#This Row],[MB3]])</f>
        <v>EVAP KIT 61-62 IMPALA WO AC - 830005 - 0 - 0</v>
      </c>
    </row>
    <row r="2677" spans="1:15" x14ac:dyDescent="0.25">
      <c r="A2677" s="1">
        <v>916256</v>
      </c>
      <c r="B2677" s="1" t="s">
        <v>178</v>
      </c>
      <c r="C2677" s="1" t="s">
        <v>179</v>
      </c>
      <c r="D2677" s="2">
        <v>44642.573304166668</v>
      </c>
      <c r="E2677" s="1" t="s">
        <v>8</v>
      </c>
      <c r="F2677" s="1">
        <v>1</v>
      </c>
      <c r="G2677" s="1">
        <v>0</v>
      </c>
      <c r="H2677" s="6">
        <f>INT(Query1[[#This Row],[EntryDateTime]])</f>
        <v>44642</v>
      </c>
      <c r="I2677" s="1">
        <f>IF(Query1[[#This Row],[ItemType]]="EVAP KIT SF GEN IV",Query1[[#This Row],[OrderQty]]+I2676,I2676)</f>
        <v>3219</v>
      </c>
      <c r="J2677" s="1">
        <f>IF(Query1[[#This Row],[ItemType]]="EVAP KIT UNIVERSAL",Query1[[#This Row],[OrderQty]]+J2676,J2676)</f>
        <v>1269</v>
      </c>
      <c r="K2677" s="1">
        <f>Query1[[#This Row],[SF Running Total]]+Query1[[#This Row],[UNIV Running Total]]</f>
        <v>4488</v>
      </c>
      <c r="L2677">
        <f>VLOOKUP(Query1[[#This Row],[Description]],'kits to boards'!$B$2:$E$156,2,FALSE)</f>
        <v>830009</v>
      </c>
      <c r="M2677">
        <f>VLOOKUP(Query1[[#This Row],[Description]],'kits to boards'!$B$2:$E$156,3,FALSE)</f>
        <v>0</v>
      </c>
      <c r="N2677">
        <f>VLOOKUP(Query1[[#This Row],[Description]],'kits to boards'!$B$2:$E$156,4,FALSE)</f>
        <v>0</v>
      </c>
      <c r="O2677" t="str">
        <f>CONCATENATE(Query1[[#This Row],[Description]]," - ",Query1[[#This Row],[MB1]]," - ",Query1[[#This Row],[MB2]]," - ",Query1[[#This Row],[MB3]])</f>
        <v>EVAP KIT 63 IMPALA W/AC - 830009 - 0 - 0</v>
      </c>
    </row>
    <row r="2678" spans="1:15" x14ac:dyDescent="0.25">
      <c r="A2678" s="1">
        <v>916272</v>
      </c>
      <c r="B2678" s="1" t="s">
        <v>126</v>
      </c>
      <c r="C2678" s="1" t="s">
        <v>127</v>
      </c>
      <c r="D2678" s="2">
        <v>44642.601245601851</v>
      </c>
      <c r="E2678" s="1" t="s">
        <v>8</v>
      </c>
      <c r="F2678" s="1">
        <v>1</v>
      </c>
      <c r="G2678" s="1">
        <v>0</v>
      </c>
      <c r="H2678" s="6">
        <f>INT(Query1[[#This Row],[EntryDateTime]])</f>
        <v>44642</v>
      </c>
      <c r="I2678" s="1">
        <f>IF(Query1[[#This Row],[ItemType]]="EVAP KIT SF GEN IV",Query1[[#This Row],[OrderQty]]+I2677,I2677)</f>
        <v>3220</v>
      </c>
      <c r="J2678" s="1">
        <f>IF(Query1[[#This Row],[ItemType]]="EVAP KIT UNIVERSAL",Query1[[#This Row],[OrderQty]]+J2677,J2677)</f>
        <v>1269</v>
      </c>
      <c r="K2678" s="1">
        <f>Query1[[#This Row],[SF Running Total]]+Query1[[#This Row],[UNIV Running Total]]</f>
        <v>4489</v>
      </c>
      <c r="L2678">
        <f>VLOOKUP(Query1[[#This Row],[Description]],'kits to boards'!$B$2:$E$156,2,FALSE)</f>
        <v>830080</v>
      </c>
      <c r="M2678">
        <f>VLOOKUP(Query1[[#This Row],[Description]],'kits to boards'!$B$2:$E$156,3,FALSE)</f>
        <v>0</v>
      </c>
      <c r="N2678">
        <f>VLOOKUP(Query1[[#This Row],[Description]],'kits to boards'!$B$2:$E$156,4,FALSE)</f>
        <v>0</v>
      </c>
      <c r="O2678" t="str">
        <f>CONCATENATE(Query1[[#This Row],[Description]]," - ",Query1[[#This Row],[MB1]]," - ",Query1[[#This Row],[MB2]]," - ",Query1[[#This Row],[MB3]])</f>
        <v>EVAP KIT 69-70 MUSTANG WO AC  - 830080 - 0 - 0</v>
      </c>
    </row>
    <row r="2679" spans="1:15" x14ac:dyDescent="0.25">
      <c r="A2679" s="1">
        <v>916273</v>
      </c>
      <c r="B2679" s="1" t="s">
        <v>128</v>
      </c>
      <c r="C2679" s="1" t="s">
        <v>129</v>
      </c>
      <c r="D2679" s="2">
        <v>44642.601367824071</v>
      </c>
      <c r="E2679" s="1" t="s">
        <v>8</v>
      </c>
      <c r="F2679" s="1">
        <v>1</v>
      </c>
      <c r="G2679" s="1">
        <v>0</v>
      </c>
      <c r="H2679" s="6">
        <f>INT(Query1[[#This Row],[EntryDateTime]])</f>
        <v>44642</v>
      </c>
      <c r="I2679" s="1">
        <f>IF(Query1[[#This Row],[ItemType]]="EVAP KIT SF GEN IV",Query1[[#This Row],[OrderQty]]+I2678,I2678)</f>
        <v>3221</v>
      </c>
      <c r="J2679" s="1">
        <f>IF(Query1[[#This Row],[ItemType]]="EVAP KIT UNIVERSAL",Query1[[#This Row],[OrderQty]]+J2678,J2678)</f>
        <v>1269</v>
      </c>
      <c r="K2679" s="1">
        <f>Query1[[#This Row],[SF Running Total]]+Query1[[#This Row],[UNIV Running Total]]</f>
        <v>4490</v>
      </c>
      <c r="L2679">
        <f>VLOOKUP(Query1[[#This Row],[Description]],'kits to boards'!$B$2:$E$156,2,FALSE)</f>
        <v>830036</v>
      </c>
      <c r="M2679">
        <f>VLOOKUP(Query1[[#This Row],[Description]],'kits to boards'!$B$2:$E$156,3,FALSE)</f>
        <v>830039</v>
      </c>
      <c r="N2679">
        <f>VLOOKUP(Query1[[#This Row],[Description]],'kits to boards'!$B$2:$E$156,4,FALSE)</f>
        <v>0</v>
      </c>
      <c r="O2679" t="str">
        <f>CONCATENATE(Query1[[#This Row],[Description]]," - ",Query1[[#This Row],[MB1]]," - ",Query1[[#This Row],[MB2]]," - ",Query1[[#This Row],[MB3]])</f>
        <v>EVAP KIT 63-66 VETTE WO AC - 830036 - 830039 - 0</v>
      </c>
    </row>
    <row r="2680" spans="1:15" x14ac:dyDescent="0.25">
      <c r="A2680" s="1">
        <v>916298</v>
      </c>
      <c r="B2680" s="1" t="s">
        <v>112</v>
      </c>
      <c r="C2680" s="1" t="s">
        <v>113</v>
      </c>
      <c r="D2680" s="2">
        <v>44642.62218460648</v>
      </c>
      <c r="E2680" s="1" t="s">
        <v>8</v>
      </c>
      <c r="F2680" s="1">
        <v>1</v>
      </c>
      <c r="G2680" s="1">
        <v>0</v>
      </c>
      <c r="H2680" s="6">
        <f>INT(Query1[[#This Row],[EntryDateTime]])</f>
        <v>44642</v>
      </c>
      <c r="I2680" s="1">
        <f>IF(Query1[[#This Row],[ItemType]]="EVAP KIT SF GEN IV",Query1[[#This Row],[OrderQty]]+I2679,I2679)</f>
        <v>3222</v>
      </c>
      <c r="J2680" s="1">
        <f>IF(Query1[[#This Row],[ItemType]]="EVAP KIT UNIVERSAL",Query1[[#This Row],[OrderQty]]+J2679,J2679)</f>
        <v>1269</v>
      </c>
      <c r="K2680" s="1">
        <f>Query1[[#This Row],[SF Running Total]]+Query1[[#This Row],[UNIV Running Total]]</f>
        <v>4491</v>
      </c>
      <c r="L2680">
        <f>VLOOKUP(Query1[[#This Row],[Description]],'kits to boards'!$B$2:$E$156,2,FALSE)</f>
        <v>830063</v>
      </c>
      <c r="M2680">
        <f>VLOOKUP(Query1[[#This Row],[Description]],'kits to boards'!$B$2:$E$156,3,FALSE)</f>
        <v>0</v>
      </c>
      <c r="N2680">
        <f>VLOOKUP(Query1[[#This Row],[Description]],'kits to boards'!$B$2:$E$156,4,FALSE)</f>
        <v>0</v>
      </c>
      <c r="O2680" t="str">
        <f>CONCATENATE(Query1[[#This Row],[Description]]," - ",Query1[[#This Row],[MB1]]," - ",Query1[[#This Row],[MB2]]," - ",Query1[[#This Row],[MB3]])</f>
        <v>EVAP KIT 54-55 CHEV P-UP GEN IV - 830063 - 0 - 0</v>
      </c>
    </row>
    <row r="2681" spans="1:15" x14ac:dyDescent="0.25">
      <c r="A2681" s="1">
        <v>916304</v>
      </c>
      <c r="B2681" s="1" t="s">
        <v>18</v>
      </c>
      <c r="C2681" s="1" t="s">
        <v>19</v>
      </c>
      <c r="D2681" s="2">
        <v>44642.632028043983</v>
      </c>
      <c r="E2681" s="1" t="s">
        <v>8</v>
      </c>
      <c r="F2681" s="1">
        <v>1</v>
      </c>
      <c r="G2681" s="1">
        <v>0</v>
      </c>
      <c r="H2681" s="6">
        <f>INT(Query1[[#This Row],[EntryDateTime]])</f>
        <v>44642</v>
      </c>
      <c r="I2681" s="1">
        <f>IF(Query1[[#This Row],[ItemType]]="EVAP KIT SF GEN IV",Query1[[#This Row],[OrderQty]]+I2680,I2680)</f>
        <v>3223</v>
      </c>
      <c r="J2681" s="1">
        <f>IF(Query1[[#This Row],[ItemType]]="EVAP KIT UNIVERSAL",Query1[[#This Row],[OrderQty]]+J2680,J2680)</f>
        <v>1269</v>
      </c>
      <c r="K2681" s="1">
        <f>Query1[[#This Row],[SF Running Total]]+Query1[[#This Row],[UNIV Running Total]]</f>
        <v>4492</v>
      </c>
      <c r="L2681">
        <f>VLOOKUP(Query1[[#This Row],[Description]],'kits to boards'!$B$2:$E$156,2,FALSE)</f>
        <v>830051</v>
      </c>
      <c r="M2681">
        <f>VLOOKUP(Query1[[#This Row],[Description]],'kits to boards'!$B$2:$E$156,3,FALSE)</f>
        <v>0</v>
      </c>
      <c r="N2681">
        <f>VLOOKUP(Query1[[#This Row],[Description]],'kits to boards'!$B$2:$E$156,4,FALSE)</f>
        <v>0</v>
      </c>
      <c r="O2681" t="str">
        <f>CONCATENATE(Query1[[#This Row],[Description]]," - ",Query1[[#This Row],[MB1]]," - ",Query1[[#This Row],[MB2]]," - ",Query1[[#This Row],[MB3]])</f>
        <v>EVAP KIT 70-78 CAMARO W/AC - 830051 - 0 - 0</v>
      </c>
    </row>
    <row r="2682" spans="1:15" x14ac:dyDescent="0.25">
      <c r="A2682" s="1">
        <v>916079</v>
      </c>
      <c r="B2682" s="1" t="s">
        <v>178</v>
      </c>
      <c r="C2682" s="1" t="s">
        <v>179</v>
      </c>
      <c r="D2682" s="2">
        <v>44642.636852928241</v>
      </c>
      <c r="E2682" s="1" t="s">
        <v>8</v>
      </c>
      <c r="F2682" s="1">
        <v>1</v>
      </c>
      <c r="G2682" s="1">
        <v>0</v>
      </c>
      <c r="H2682" s="6">
        <f>INT(Query1[[#This Row],[EntryDateTime]])</f>
        <v>44642</v>
      </c>
      <c r="I2682" s="1">
        <f>IF(Query1[[#This Row],[ItemType]]="EVAP KIT SF GEN IV",Query1[[#This Row],[OrderQty]]+I2681,I2681)</f>
        <v>3224</v>
      </c>
      <c r="J2682" s="1">
        <f>IF(Query1[[#This Row],[ItemType]]="EVAP KIT UNIVERSAL",Query1[[#This Row],[OrderQty]]+J2681,J2681)</f>
        <v>1269</v>
      </c>
      <c r="K2682" s="1">
        <f>Query1[[#This Row],[SF Running Total]]+Query1[[#This Row],[UNIV Running Total]]</f>
        <v>4493</v>
      </c>
      <c r="L2682">
        <f>VLOOKUP(Query1[[#This Row],[Description]],'kits to boards'!$B$2:$E$156,2,FALSE)</f>
        <v>830009</v>
      </c>
      <c r="M2682">
        <f>VLOOKUP(Query1[[#This Row],[Description]],'kits to boards'!$B$2:$E$156,3,FALSE)</f>
        <v>0</v>
      </c>
      <c r="N2682">
        <f>VLOOKUP(Query1[[#This Row],[Description]],'kits to boards'!$B$2:$E$156,4,FALSE)</f>
        <v>0</v>
      </c>
      <c r="O2682" t="str">
        <f>CONCATENATE(Query1[[#This Row],[Description]]," - ",Query1[[#This Row],[MB1]]," - ",Query1[[#This Row],[MB2]]," - ",Query1[[#This Row],[MB3]])</f>
        <v>EVAP KIT 63 IMPALA W/AC - 830009 - 0 - 0</v>
      </c>
    </row>
    <row r="2683" spans="1:15" x14ac:dyDescent="0.25">
      <c r="A2683" s="1">
        <v>916311</v>
      </c>
      <c r="B2683" s="1" t="s">
        <v>100</v>
      </c>
      <c r="C2683" s="1" t="s">
        <v>101</v>
      </c>
      <c r="D2683" s="2">
        <v>44642.637065856485</v>
      </c>
      <c r="E2683" s="1" t="s">
        <v>8</v>
      </c>
      <c r="F2683" s="1">
        <v>1</v>
      </c>
      <c r="G2683" s="1">
        <v>0</v>
      </c>
      <c r="H2683" s="6">
        <f>INT(Query1[[#This Row],[EntryDateTime]])</f>
        <v>44642</v>
      </c>
      <c r="I2683" s="1">
        <f>IF(Query1[[#This Row],[ItemType]]="EVAP KIT SF GEN IV",Query1[[#This Row],[OrderQty]]+I2682,I2682)</f>
        <v>3225</v>
      </c>
      <c r="J2683" s="1">
        <f>IF(Query1[[#This Row],[ItemType]]="EVAP KIT UNIVERSAL",Query1[[#This Row],[OrderQty]]+J2682,J2682)</f>
        <v>1269</v>
      </c>
      <c r="K2683" s="1">
        <f>Query1[[#This Row],[SF Running Total]]+Query1[[#This Row],[UNIV Running Total]]</f>
        <v>4494</v>
      </c>
      <c r="L2683">
        <f>VLOOKUP(Query1[[#This Row],[Description]],'kits to boards'!$B$2:$E$156,2,FALSE)</f>
        <v>830096</v>
      </c>
      <c r="M2683">
        <f>VLOOKUP(Query1[[#This Row],[Description]],'kits to boards'!$B$2:$E$156,3,FALSE)</f>
        <v>0</v>
      </c>
      <c r="N2683">
        <f>VLOOKUP(Query1[[#This Row],[Description]],'kits to boards'!$B$2:$E$156,4,FALSE)</f>
        <v>0</v>
      </c>
      <c r="O2683" t="str">
        <f>CONCATENATE(Query1[[#This Row],[Description]]," - ",Query1[[#This Row],[MB1]]," - ",Query1[[#This Row],[MB2]]," - ",Query1[[#This Row],[MB3]])</f>
        <v>EVAP KIT 62-65 NOVA - 830096 - 0 - 0</v>
      </c>
    </row>
    <row r="2684" spans="1:15" x14ac:dyDescent="0.25">
      <c r="A2684" s="1">
        <v>916209</v>
      </c>
      <c r="B2684" s="1" t="s">
        <v>220</v>
      </c>
      <c r="C2684" s="1" t="s">
        <v>221</v>
      </c>
      <c r="D2684" s="2">
        <v>44642.642599537037</v>
      </c>
      <c r="E2684" s="1" t="s">
        <v>11</v>
      </c>
      <c r="F2684" s="1">
        <v>1</v>
      </c>
      <c r="G2684" s="1">
        <v>0</v>
      </c>
      <c r="H2684" s="6">
        <f>INT(Query1[[#This Row],[EntryDateTime]])</f>
        <v>44642</v>
      </c>
      <c r="I2684" s="1">
        <f>IF(Query1[[#This Row],[ItemType]]="EVAP KIT SF GEN IV",Query1[[#This Row],[OrderQty]]+I2683,I2683)</f>
        <v>3225</v>
      </c>
      <c r="J2684" s="1">
        <f>IF(Query1[[#This Row],[ItemType]]="EVAP KIT UNIVERSAL",Query1[[#This Row],[OrderQty]]+J2683,J2683)</f>
        <v>1270</v>
      </c>
      <c r="K2684" s="1">
        <f>Query1[[#This Row],[SF Running Total]]+Query1[[#This Row],[UNIV Running Total]]</f>
        <v>4495</v>
      </c>
      <c r="L2684">
        <f>VLOOKUP(Query1[[#This Row],[Description]],'kits to boards'!$B$2:$E$156,2,FALSE)</f>
        <v>0</v>
      </c>
      <c r="M2684">
        <f>VLOOKUP(Query1[[#This Row],[Description]],'kits to boards'!$B$2:$E$156,3,FALSE)</f>
        <v>0</v>
      </c>
      <c r="N2684">
        <f>VLOOKUP(Query1[[#This Row],[Description]],'kits to boards'!$B$2:$E$156,4,FALSE)</f>
        <v>0</v>
      </c>
      <c r="O2684" t="str">
        <f>CONCATENATE(Query1[[#This Row],[Description]]," - ",Query1[[#This Row],[MB1]]," - ",Query1[[#This Row],[MB2]]," - ",Query1[[#This Row],[MB3]])</f>
        <v>HERITAGE PEARL EVAP KIT HEAT/COOL - 0 - 0 - 0</v>
      </c>
    </row>
    <row r="2685" spans="1:15" x14ac:dyDescent="0.25">
      <c r="A2685" s="1">
        <v>916294</v>
      </c>
      <c r="B2685" s="1" t="s">
        <v>100</v>
      </c>
      <c r="C2685" s="1" t="s">
        <v>101</v>
      </c>
      <c r="D2685" s="2">
        <v>44642.642703090278</v>
      </c>
      <c r="E2685" s="1" t="s">
        <v>8</v>
      </c>
      <c r="F2685" s="1">
        <v>1</v>
      </c>
      <c r="G2685" s="1">
        <v>0</v>
      </c>
      <c r="H2685" s="6">
        <f>INT(Query1[[#This Row],[EntryDateTime]])</f>
        <v>44642</v>
      </c>
      <c r="I2685" s="1">
        <f>IF(Query1[[#This Row],[ItemType]]="EVAP KIT SF GEN IV",Query1[[#This Row],[OrderQty]]+I2684,I2684)</f>
        <v>3226</v>
      </c>
      <c r="J2685" s="1">
        <f>IF(Query1[[#This Row],[ItemType]]="EVAP KIT UNIVERSAL",Query1[[#This Row],[OrderQty]]+J2684,J2684)</f>
        <v>1270</v>
      </c>
      <c r="K2685" s="1">
        <f>Query1[[#This Row],[SF Running Total]]+Query1[[#This Row],[UNIV Running Total]]</f>
        <v>4496</v>
      </c>
      <c r="L2685">
        <f>VLOOKUP(Query1[[#This Row],[Description]],'kits to boards'!$B$2:$E$156,2,FALSE)</f>
        <v>830096</v>
      </c>
      <c r="M2685">
        <f>VLOOKUP(Query1[[#This Row],[Description]],'kits to boards'!$B$2:$E$156,3,FALSE)</f>
        <v>0</v>
      </c>
      <c r="N2685">
        <f>VLOOKUP(Query1[[#This Row],[Description]],'kits to boards'!$B$2:$E$156,4,FALSE)</f>
        <v>0</v>
      </c>
      <c r="O2685" t="str">
        <f>CONCATENATE(Query1[[#This Row],[Description]]," - ",Query1[[#This Row],[MB1]]," - ",Query1[[#This Row],[MB2]]," - ",Query1[[#This Row],[MB3]])</f>
        <v>EVAP KIT 62-65 NOVA - 830096 - 0 - 0</v>
      </c>
    </row>
    <row r="2686" spans="1:15" x14ac:dyDescent="0.25">
      <c r="A2686" s="1">
        <v>916328</v>
      </c>
      <c r="B2686" s="1" t="s">
        <v>114</v>
      </c>
      <c r="C2686" s="1" t="s">
        <v>115</v>
      </c>
      <c r="D2686" s="2">
        <v>44642.652215127317</v>
      </c>
      <c r="E2686" s="1" t="s">
        <v>8</v>
      </c>
      <c r="F2686" s="1">
        <v>1</v>
      </c>
      <c r="G2686" s="1">
        <v>0</v>
      </c>
      <c r="H2686" s="6">
        <f>INT(Query1[[#This Row],[EntryDateTime]])</f>
        <v>44642</v>
      </c>
      <c r="I2686" s="1">
        <f>IF(Query1[[#This Row],[ItemType]]="EVAP KIT SF GEN IV",Query1[[#This Row],[OrderQty]]+I2685,I2685)</f>
        <v>3227</v>
      </c>
      <c r="J2686" s="1">
        <f>IF(Query1[[#This Row],[ItemType]]="EVAP KIT UNIVERSAL",Query1[[#This Row],[OrderQty]]+J2685,J2685)</f>
        <v>1270</v>
      </c>
      <c r="K2686" s="1">
        <f>Query1[[#This Row],[SF Running Total]]+Query1[[#This Row],[UNIV Running Total]]</f>
        <v>4497</v>
      </c>
      <c r="L2686">
        <f>VLOOKUP(Query1[[#This Row],[Description]],'kits to boards'!$B$2:$E$156,2,FALSE)</f>
        <v>830059</v>
      </c>
      <c r="M2686">
        <f>VLOOKUP(Query1[[#This Row],[Description]],'kits to boards'!$B$2:$E$156,3,FALSE)</f>
        <v>0</v>
      </c>
      <c r="N2686">
        <f>VLOOKUP(Query1[[#This Row],[Description]],'kits to boards'!$B$2:$E$156,4,FALSE)</f>
        <v>0</v>
      </c>
      <c r="O2686" t="str">
        <f>CONCATENATE(Query1[[#This Row],[Description]]," - ",Query1[[#This Row],[MB1]]," - ",Query1[[#This Row],[MB2]]," - ",Query1[[#This Row],[MB3]])</f>
        <v>EVAP KIT 66-67 CHEVELLE W/AC - 830059 - 0 - 0</v>
      </c>
    </row>
    <row r="2687" spans="1:15" x14ac:dyDescent="0.25">
      <c r="A2687" s="1">
        <v>912332</v>
      </c>
      <c r="B2687" s="1" t="s">
        <v>6</v>
      </c>
      <c r="C2687" s="1" t="s">
        <v>7</v>
      </c>
      <c r="D2687" s="2">
        <v>44642.65927758102</v>
      </c>
      <c r="E2687" s="1" t="s">
        <v>8</v>
      </c>
      <c r="F2687" s="1">
        <v>1</v>
      </c>
      <c r="G2687" s="1">
        <v>0</v>
      </c>
      <c r="H2687" s="6">
        <f>INT(Query1[[#This Row],[EntryDateTime]])</f>
        <v>44642</v>
      </c>
      <c r="I2687" s="1">
        <f>IF(Query1[[#This Row],[ItemType]]="EVAP KIT SF GEN IV",Query1[[#This Row],[OrderQty]]+I2686,I2686)</f>
        <v>3228</v>
      </c>
      <c r="J2687" s="1">
        <f>IF(Query1[[#This Row],[ItemType]]="EVAP KIT UNIVERSAL",Query1[[#This Row],[OrderQty]]+J2686,J2686)</f>
        <v>1270</v>
      </c>
      <c r="K2687" s="1">
        <f>Query1[[#This Row],[SF Running Total]]+Query1[[#This Row],[UNIV Running Total]]</f>
        <v>4498</v>
      </c>
      <c r="L2687">
        <f>VLOOKUP(Query1[[#This Row],[Description]],'kits to boards'!$B$2:$E$156,2,FALSE)</f>
        <v>830132</v>
      </c>
      <c r="M2687">
        <f>VLOOKUP(Query1[[#This Row],[Description]],'kits to boards'!$B$2:$E$156,3,FALSE)</f>
        <v>0</v>
      </c>
      <c r="N2687">
        <f>VLOOKUP(Query1[[#This Row],[Description]],'kits to boards'!$B$2:$E$156,4,FALSE)</f>
        <v>0</v>
      </c>
      <c r="O2687" t="str">
        <f>CONCATENATE(Query1[[#This Row],[Description]]," - ",Query1[[#This Row],[MB1]]," - ",Query1[[#This Row],[MB2]]," - ",Query1[[#This Row],[MB3]])</f>
        <v>EVAP KIT 82-88 MONTE CARLO/EL CAMINO - 830132 - 0 - 0</v>
      </c>
    </row>
    <row r="2688" spans="1:15" x14ac:dyDescent="0.25">
      <c r="A2688" s="1">
        <v>916334</v>
      </c>
      <c r="B2688" s="1" t="s">
        <v>42</v>
      </c>
      <c r="C2688" s="1" t="s">
        <v>43</v>
      </c>
      <c r="D2688" s="2">
        <v>44642.671988344904</v>
      </c>
      <c r="E2688" s="1" t="s">
        <v>8</v>
      </c>
      <c r="F2688" s="1">
        <v>1</v>
      </c>
      <c r="G2688" s="1">
        <v>0</v>
      </c>
      <c r="H2688" s="6">
        <f>INT(Query1[[#This Row],[EntryDateTime]])</f>
        <v>44642</v>
      </c>
      <c r="I2688" s="1">
        <f>IF(Query1[[#This Row],[ItemType]]="EVAP KIT SF GEN IV",Query1[[#This Row],[OrderQty]]+I2687,I2687)</f>
        <v>3229</v>
      </c>
      <c r="J2688" s="1">
        <f>IF(Query1[[#This Row],[ItemType]]="EVAP KIT UNIVERSAL",Query1[[#This Row],[OrderQty]]+J2687,J2687)</f>
        <v>1270</v>
      </c>
      <c r="K2688" s="1">
        <f>Query1[[#This Row],[SF Running Total]]+Query1[[#This Row],[UNIV Running Total]]</f>
        <v>4499</v>
      </c>
      <c r="L2688">
        <f>VLOOKUP(Query1[[#This Row],[Description]],'kits to boards'!$B$2:$E$156,2,FALSE)</f>
        <v>830014</v>
      </c>
      <c r="M2688">
        <f>VLOOKUP(Query1[[#This Row],[Description]],'kits to boards'!$B$2:$E$156,3,FALSE)</f>
        <v>0</v>
      </c>
      <c r="N2688">
        <f>VLOOKUP(Query1[[#This Row],[Description]],'kits to boards'!$B$2:$E$156,4,FALSE)</f>
        <v>0</v>
      </c>
      <c r="O2688" t="str">
        <f>CONCATENATE(Query1[[#This Row],[Description]]," - ",Query1[[#This Row],[MB1]]," - ",Query1[[#This Row],[MB2]]," - ",Query1[[#This Row],[MB3]])</f>
        <v>EVAP KIT 67-72 CHEV P-UP WO AC - 830014 - 0 - 0</v>
      </c>
    </row>
    <row r="2689" spans="1:15" x14ac:dyDescent="0.25">
      <c r="A2689" s="1">
        <v>916344</v>
      </c>
      <c r="B2689" s="1" t="s">
        <v>84</v>
      </c>
      <c r="C2689" s="1" t="s">
        <v>85</v>
      </c>
      <c r="D2689" s="2">
        <v>44642.696682719907</v>
      </c>
      <c r="E2689" s="1" t="s">
        <v>8</v>
      </c>
      <c r="F2689" s="1">
        <v>1</v>
      </c>
      <c r="G2689" s="1">
        <v>0</v>
      </c>
      <c r="H2689" s="6">
        <f>INT(Query1[[#This Row],[EntryDateTime]])</f>
        <v>44642</v>
      </c>
      <c r="I2689" s="1">
        <f>IF(Query1[[#This Row],[ItemType]]="EVAP KIT SF GEN IV",Query1[[#This Row],[OrderQty]]+I2688,I2688)</f>
        <v>3230</v>
      </c>
      <c r="J2689" s="1">
        <f>IF(Query1[[#This Row],[ItemType]]="EVAP KIT UNIVERSAL",Query1[[#This Row],[OrderQty]]+J2688,J2688)</f>
        <v>1270</v>
      </c>
      <c r="K2689" s="1">
        <f>Query1[[#This Row],[SF Running Total]]+Query1[[#This Row],[UNIV Running Total]]</f>
        <v>4500</v>
      </c>
      <c r="L2689">
        <f>VLOOKUP(Query1[[#This Row],[Description]],'kits to boards'!$B$2:$E$156,2,FALSE)</f>
        <v>830085</v>
      </c>
      <c r="M2689">
        <f>VLOOKUP(Query1[[#This Row],[Description]],'kits to boards'!$B$2:$E$156,3,FALSE)</f>
        <v>0</v>
      </c>
      <c r="N2689">
        <f>VLOOKUP(Query1[[#This Row],[Description]],'kits to boards'!$B$2:$E$156,4,FALSE)</f>
        <v>0</v>
      </c>
      <c r="O2689" t="str">
        <f>CONCATENATE(Query1[[#This Row],[Description]]," - ",Query1[[#This Row],[MB1]]," - ",Query1[[#This Row],[MB2]]," - ",Query1[[#This Row],[MB3]])</f>
        <v>EVAP KIT 66-77 BRONCO 4-VENT PLENUM - 830085 - 0 - 0</v>
      </c>
    </row>
    <row r="2690" spans="1:15" x14ac:dyDescent="0.25">
      <c r="A2690" s="1">
        <v>916357</v>
      </c>
      <c r="B2690" s="1" t="s">
        <v>184</v>
      </c>
      <c r="C2690" s="1" t="s">
        <v>185</v>
      </c>
      <c r="D2690" s="2">
        <v>44643.335471377315</v>
      </c>
      <c r="E2690" s="1" t="s">
        <v>8</v>
      </c>
      <c r="F2690" s="1">
        <v>1</v>
      </c>
      <c r="G2690" s="1">
        <v>0</v>
      </c>
      <c r="H2690" s="6">
        <f>INT(Query1[[#This Row],[EntryDateTime]])</f>
        <v>44643</v>
      </c>
      <c r="I2690" s="1">
        <f>IF(Query1[[#This Row],[ItemType]]="EVAP KIT SF GEN IV",Query1[[#This Row],[OrderQty]]+I2689,I2689)</f>
        <v>3231</v>
      </c>
      <c r="J2690" s="1">
        <f>IF(Query1[[#This Row],[ItemType]]="EVAP KIT UNIVERSAL",Query1[[#This Row],[OrderQty]]+J2689,J2689)</f>
        <v>1270</v>
      </c>
      <c r="K2690" s="1">
        <f>Query1[[#This Row],[SF Running Total]]+Query1[[#This Row],[UNIV Running Total]]</f>
        <v>4501</v>
      </c>
      <c r="L2690">
        <f>VLOOKUP(Query1[[#This Row],[Description]],'kits to boards'!$B$2:$E$156,2,FALSE)</f>
        <v>830042</v>
      </c>
      <c r="M2690">
        <f>VLOOKUP(Query1[[#This Row],[Description]],'kits to boards'!$B$2:$E$156,3,FALSE)</f>
        <v>0</v>
      </c>
      <c r="N2690">
        <f>VLOOKUP(Query1[[#This Row],[Description]],'kits to boards'!$B$2:$E$156,4,FALSE)</f>
        <v>0</v>
      </c>
      <c r="O2690" t="str">
        <f>CONCATENATE(Query1[[#This Row],[Description]]," - ",Query1[[#This Row],[MB1]]," - ",Query1[[#This Row],[MB2]]," - ",Query1[[#This Row],[MB3]])</f>
        <v>EVAP KIT 68-83 TOYOTA FJ40 - 830042 - 0 - 0</v>
      </c>
    </row>
    <row r="2691" spans="1:15" x14ac:dyDescent="0.25">
      <c r="A2691" s="1">
        <v>916358</v>
      </c>
      <c r="B2691" s="1" t="s">
        <v>204</v>
      </c>
      <c r="C2691" s="1" t="s">
        <v>205</v>
      </c>
      <c r="D2691" s="2">
        <v>44643.335887928239</v>
      </c>
      <c r="E2691" s="1" t="s">
        <v>8</v>
      </c>
      <c r="F2691" s="1">
        <v>1</v>
      </c>
      <c r="G2691" s="1">
        <v>0</v>
      </c>
      <c r="H2691" s="6">
        <f>INT(Query1[[#This Row],[EntryDateTime]])</f>
        <v>44643</v>
      </c>
      <c r="I2691" s="1">
        <f>IF(Query1[[#This Row],[ItemType]]="EVAP KIT SF GEN IV",Query1[[#This Row],[OrderQty]]+I2690,I2690)</f>
        <v>3232</v>
      </c>
      <c r="J2691" s="1">
        <f>IF(Query1[[#This Row],[ItemType]]="EVAP KIT UNIVERSAL",Query1[[#This Row],[OrderQty]]+J2690,J2690)</f>
        <v>1270</v>
      </c>
      <c r="K2691" s="1">
        <f>Query1[[#This Row],[SF Running Total]]+Query1[[#This Row],[UNIV Running Total]]</f>
        <v>4502</v>
      </c>
      <c r="L2691">
        <f>VLOOKUP(Query1[[#This Row],[Description]],'kits to boards'!$B$2:$E$156,2,FALSE)</f>
        <v>830108</v>
      </c>
      <c r="M2691">
        <f>VLOOKUP(Query1[[#This Row],[Description]],'kits to boards'!$B$2:$E$156,3,FALSE)</f>
        <v>0</v>
      </c>
      <c r="N2691">
        <f>VLOOKUP(Query1[[#This Row],[Description]],'kits to boards'!$B$2:$E$156,4,FALSE)</f>
        <v>0</v>
      </c>
      <c r="O2691" t="str">
        <f>CONCATENATE(Query1[[#This Row],[Description]]," - ",Query1[[#This Row],[MB1]]," - ",Query1[[#This Row],[MB2]]," - ",Query1[[#This Row],[MB3]])</f>
        <v>EVAP KIT 79-81 CAMARO WO AC  - 830108 - 0 - 0</v>
      </c>
    </row>
    <row r="2692" spans="1:15" x14ac:dyDescent="0.25">
      <c r="A2692" s="1">
        <v>916360</v>
      </c>
      <c r="B2692" s="1" t="s">
        <v>74</v>
      </c>
      <c r="C2692" s="1" t="s">
        <v>75</v>
      </c>
      <c r="D2692" s="2">
        <v>44643.337150115738</v>
      </c>
      <c r="E2692" s="1" t="s">
        <v>8</v>
      </c>
      <c r="F2692" s="1">
        <v>1</v>
      </c>
      <c r="G2692" s="1">
        <v>0</v>
      </c>
      <c r="H2692" s="6">
        <f>INT(Query1[[#This Row],[EntryDateTime]])</f>
        <v>44643</v>
      </c>
      <c r="I2692" s="1">
        <f>IF(Query1[[#This Row],[ItemType]]="EVAP KIT SF GEN IV",Query1[[#This Row],[OrderQty]]+I2691,I2691)</f>
        <v>3233</v>
      </c>
      <c r="J2692" s="1">
        <f>IF(Query1[[#This Row],[ItemType]]="EVAP KIT UNIVERSAL",Query1[[#This Row],[OrderQty]]+J2691,J2691)</f>
        <v>1270</v>
      </c>
      <c r="K2692" s="1">
        <f>Query1[[#This Row],[SF Running Total]]+Query1[[#This Row],[UNIV Running Total]]</f>
        <v>4503</v>
      </c>
      <c r="L2692">
        <f>VLOOKUP(Query1[[#This Row],[Description]],'kits to boards'!$B$2:$E$156,2,FALSE)</f>
        <v>830065</v>
      </c>
      <c r="M2692">
        <f>VLOOKUP(Query1[[#This Row],[Description]],'kits to boards'!$B$2:$E$156,3,FALSE)</f>
        <v>0</v>
      </c>
      <c r="N2692">
        <f>VLOOKUP(Query1[[#This Row],[Description]],'kits to boards'!$B$2:$E$156,4,FALSE)</f>
        <v>0</v>
      </c>
      <c r="O2692" t="str">
        <f>CONCATENATE(Query1[[#This Row],[Description]]," - ",Query1[[#This Row],[MB1]]," - ",Query1[[#This Row],[MB2]]," - ",Query1[[#This Row],[MB3]])</f>
        <v>EVAP KIT 57 CHEV WO AC 4-VENT PLENUM - 830065 - 0 - 0</v>
      </c>
    </row>
    <row r="2693" spans="1:15" x14ac:dyDescent="0.25">
      <c r="A2693" s="1">
        <v>916364</v>
      </c>
      <c r="B2693" s="1" t="s">
        <v>74</v>
      </c>
      <c r="C2693" s="1" t="s">
        <v>75</v>
      </c>
      <c r="D2693" s="2">
        <v>44643.349798645831</v>
      </c>
      <c r="E2693" s="1" t="s">
        <v>8</v>
      </c>
      <c r="F2693" s="1">
        <v>1</v>
      </c>
      <c r="G2693" s="1">
        <v>0</v>
      </c>
      <c r="H2693" s="6">
        <f>INT(Query1[[#This Row],[EntryDateTime]])</f>
        <v>44643</v>
      </c>
      <c r="I2693" s="1">
        <f>IF(Query1[[#This Row],[ItemType]]="EVAP KIT SF GEN IV",Query1[[#This Row],[OrderQty]]+I2692,I2692)</f>
        <v>3234</v>
      </c>
      <c r="J2693" s="1">
        <f>IF(Query1[[#This Row],[ItemType]]="EVAP KIT UNIVERSAL",Query1[[#This Row],[OrderQty]]+J2692,J2692)</f>
        <v>1270</v>
      </c>
      <c r="K2693" s="1">
        <f>Query1[[#This Row],[SF Running Total]]+Query1[[#This Row],[UNIV Running Total]]</f>
        <v>4504</v>
      </c>
      <c r="L2693">
        <f>VLOOKUP(Query1[[#This Row],[Description]],'kits to boards'!$B$2:$E$156,2,FALSE)</f>
        <v>830065</v>
      </c>
      <c r="M2693">
        <f>VLOOKUP(Query1[[#This Row],[Description]],'kits to boards'!$B$2:$E$156,3,FALSE)</f>
        <v>0</v>
      </c>
      <c r="N2693">
        <f>VLOOKUP(Query1[[#This Row],[Description]],'kits to boards'!$B$2:$E$156,4,FALSE)</f>
        <v>0</v>
      </c>
      <c r="O2693" t="str">
        <f>CONCATENATE(Query1[[#This Row],[Description]]," - ",Query1[[#This Row],[MB1]]," - ",Query1[[#This Row],[MB2]]," - ",Query1[[#This Row],[MB3]])</f>
        <v>EVAP KIT 57 CHEV WO AC 4-VENT PLENUM - 830065 - 0 - 0</v>
      </c>
    </row>
    <row r="2694" spans="1:15" x14ac:dyDescent="0.25">
      <c r="A2694" s="1">
        <v>916355</v>
      </c>
      <c r="B2694" s="1" t="s">
        <v>166</v>
      </c>
      <c r="C2694" s="1" t="s">
        <v>167</v>
      </c>
      <c r="D2694" s="2">
        <v>44643.362336574071</v>
      </c>
      <c r="E2694" s="1" t="s">
        <v>8</v>
      </c>
      <c r="F2694" s="1">
        <v>1</v>
      </c>
      <c r="G2694" s="1">
        <v>0</v>
      </c>
      <c r="H2694" s="6">
        <f>INT(Query1[[#This Row],[EntryDateTime]])</f>
        <v>44643</v>
      </c>
      <c r="I2694" s="1">
        <f>IF(Query1[[#This Row],[ItemType]]="EVAP KIT SF GEN IV",Query1[[#This Row],[OrderQty]]+I2693,I2693)</f>
        <v>3235</v>
      </c>
      <c r="J2694" s="1">
        <f>IF(Query1[[#This Row],[ItemType]]="EVAP KIT UNIVERSAL",Query1[[#This Row],[OrderQty]]+J2693,J2693)</f>
        <v>1270</v>
      </c>
      <c r="K2694" s="1">
        <f>Query1[[#This Row],[SF Running Total]]+Query1[[#This Row],[UNIV Running Total]]</f>
        <v>4505</v>
      </c>
      <c r="L2694">
        <f>VLOOKUP(Query1[[#This Row],[Description]],'kits to boards'!$B$2:$E$156,2,FALSE)</f>
        <v>830063</v>
      </c>
      <c r="M2694">
        <f>VLOOKUP(Query1[[#This Row],[Description]],'kits to boards'!$B$2:$E$156,3,FALSE)</f>
        <v>0</v>
      </c>
      <c r="N2694">
        <f>VLOOKUP(Query1[[#This Row],[Description]],'kits to boards'!$B$2:$E$156,4,FALSE)</f>
        <v>0</v>
      </c>
      <c r="O2694" t="str">
        <f>CONCATENATE(Query1[[#This Row],[Description]]," - ",Query1[[#This Row],[MB1]]," - ",Query1[[#This Row],[MB2]]," - ",Query1[[#This Row],[MB3]])</f>
        <v>EVAP KIT 47-49 CHEV P-UP GEN IV - 830063 - 0 - 0</v>
      </c>
    </row>
    <row r="2695" spans="1:15" x14ac:dyDescent="0.25">
      <c r="A2695" s="1">
        <v>916356</v>
      </c>
      <c r="B2695" s="1" t="s">
        <v>116</v>
      </c>
      <c r="C2695" s="1" t="s">
        <v>117</v>
      </c>
      <c r="D2695" s="2">
        <v>44643.36918530093</v>
      </c>
      <c r="E2695" s="1" t="s">
        <v>8</v>
      </c>
      <c r="F2695" s="1">
        <v>1</v>
      </c>
      <c r="G2695" s="1">
        <v>0</v>
      </c>
      <c r="H2695" s="6">
        <f>INT(Query1[[#This Row],[EntryDateTime]])</f>
        <v>44643</v>
      </c>
      <c r="I2695" s="1">
        <f>IF(Query1[[#This Row],[ItemType]]="EVAP KIT SF GEN IV",Query1[[#This Row],[OrderQty]]+I2694,I2694)</f>
        <v>3236</v>
      </c>
      <c r="J2695" s="1">
        <f>IF(Query1[[#This Row],[ItemType]]="EVAP KIT UNIVERSAL",Query1[[#This Row],[OrderQty]]+J2694,J2694)</f>
        <v>1270</v>
      </c>
      <c r="K2695" s="1">
        <f>Query1[[#This Row],[SF Running Total]]+Query1[[#This Row],[UNIV Running Total]]</f>
        <v>4506</v>
      </c>
      <c r="L2695">
        <f>VLOOKUP(Query1[[#This Row],[Description]],'kits to boards'!$B$2:$E$156,2,FALSE)</f>
        <v>830058</v>
      </c>
      <c r="M2695">
        <f>VLOOKUP(Query1[[#This Row],[Description]],'kits to boards'!$B$2:$E$156,3,FALSE)</f>
        <v>0</v>
      </c>
      <c r="N2695">
        <f>VLOOKUP(Query1[[#This Row],[Description]],'kits to boards'!$B$2:$E$156,4,FALSE)</f>
        <v>0</v>
      </c>
      <c r="O2695" t="str">
        <f>CONCATENATE(Query1[[#This Row],[Description]]," - ",Query1[[#This Row],[MB1]]," - ",Query1[[#This Row],[MB2]]," - ",Query1[[#This Row],[MB3]])</f>
        <v>EVAP KIT 64-65 CHEVELLE WO AC - 830058 - 0 - 0</v>
      </c>
    </row>
    <row r="2696" spans="1:15" x14ac:dyDescent="0.25">
      <c r="A2696" s="1">
        <v>916366</v>
      </c>
      <c r="B2696" s="1" t="s">
        <v>506</v>
      </c>
      <c r="C2696" s="1" t="s">
        <v>507</v>
      </c>
      <c r="D2696" s="2">
        <v>44643.370940196757</v>
      </c>
      <c r="E2696" s="1" t="s">
        <v>677</v>
      </c>
      <c r="F2696" s="1">
        <v>1</v>
      </c>
      <c r="G2696" s="1">
        <v>0</v>
      </c>
      <c r="H2696" s="6">
        <f>INT(Query1[[#This Row],[EntryDateTime]])</f>
        <v>44643</v>
      </c>
      <c r="I2696" s="1">
        <f>IF(Query1[[#This Row],[ItemType]]="EVAP KIT SF GEN IV",Query1[[#This Row],[OrderQty]]+I2695,I2695)</f>
        <v>3236</v>
      </c>
      <c r="J2696" s="1">
        <f>IF(Query1[[#This Row],[ItemType]]="EVAP KIT UNIVERSAL",Query1[[#This Row],[OrderQty]]+J2695,J2695)</f>
        <v>1270</v>
      </c>
      <c r="K2696" s="1">
        <f>Query1[[#This Row],[SF Running Total]]+Query1[[#This Row],[UNIV Running Total]]</f>
        <v>4506</v>
      </c>
      <c r="L2696" t="e">
        <f>VLOOKUP(Query1[[#This Row],[Description]],'kits to boards'!$B$2:$E$156,2,FALSE)</f>
        <v>#N/A</v>
      </c>
      <c r="M2696" t="e">
        <f>VLOOKUP(Query1[[#This Row],[Description]],'kits to boards'!$B$2:$E$156,3,FALSE)</f>
        <v>#N/A</v>
      </c>
      <c r="N2696" t="e">
        <f>VLOOKUP(Query1[[#This Row],[Description]],'kits to boards'!$B$2:$E$156,4,FALSE)</f>
        <v>#N/A</v>
      </c>
      <c r="O2696" t="e">
        <f>CONCATENATE(Query1[[#This Row],[Description]]," - ",Query1[[#This Row],[MB1]]," - ",Query1[[#This Row],[MB2]]," - ",Query1[[#This Row],[MB3]])</f>
        <v>#N/A</v>
      </c>
    </row>
    <row r="2697" spans="1:15" x14ac:dyDescent="0.25">
      <c r="A2697" s="1">
        <v>915450</v>
      </c>
      <c r="B2697" s="1" t="s">
        <v>86</v>
      </c>
      <c r="C2697" s="1" t="s">
        <v>87</v>
      </c>
      <c r="D2697" s="2">
        <v>44643.401771064811</v>
      </c>
      <c r="E2697" s="1" t="s">
        <v>8</v>
      </c>
      <c r="F2697" s="1">
        <v>1</v>
      </c>
      <c r="G2697" s="1">
        <v>0</v>
      </c>
      <c r="H2697" s="6">
        <f>INT(Query1[[#This Row],[EntryDateTime]])</f>
        <v>44643</v>
      </c>
      <c r="I2697" s="1">
        <f>IF(Query1[[#This Row],[ItemType]]="EVAP KIT SF GEN IV",Query1[[#This Row],[OrderQty]]+I2696,I2696)</f>
        <v>3237</v>
      </c>
      <c r="J2697" s="1">
        <f>IF(Query1[[#This Row],[ItemType]]="EVAP KIT UNIVERSAL",Query1[[#This Row],[OrderQty]]+J2696,J2696)</f>
        <v>1270</v>
      </c>
      <c r="K2697" s="1">
        <f>Query1[[#This Row],[SF Running Total]]+Query1[[#This Row],[UNIV Running Total]]</f>
        <v>4507</v>
      </c>
      <c r="L2697">
        <f>VLOOKUP(Query1[[#This Row],[Description]],'kits to boards'!$B$2:$E$156,2,FALSE)</f>
        <v>830048</v>
      </c>
      <c r="M2697">
        <f>VLOOKUP(Query1[[#This Row],[Description]],'kits to boards'!$B$2:$E$156,3,FALSE)</f>
        <v>0</v>
      </c>
      <c r="N2697">
        <f>VLOOKUP(Query1[[#This Row],[Description]],'kits to boards'!$B$2:$E$156,4,FALSE)</f>
        <v>0</v>
      </c>
      <c r="O2697" t="str">
        <f>CONCATENATE(Query1[[#This Row],[Description]]," - ",Query1[[#This Row],[MB1]]," - ",Query1[[#This Row],[MB2]]," - ",Query1[[#This Row],[MB3]])</f>
        <v>EVAP KIT 66-67 NOVA - 830048 - 0 - 0</v>
      </c>
    </row>
    <row r="2698" spans="1:15" x14ac:dyDescent="0.25">
      <c r="A2698" s="1">
        <v>914799</v>
      </c>
      <c r="B2698" s="1" t="s">
        <v>52</v>
      </c>
      <c r="C2698" s="1" t="s">
        <v>53</v>
      </c>
      <c r="D2698" s="2">
        <v>44643.417303240742</v>
      </c>
      <c r="E2698" s="1" t="s">
        <v>8</v>
      </c>
      <c r="F2698" s="1">
        <v>1</v>
      </c>
      <c r="G2698" s="1">
        <v>0</v>
      </c>
      <c r="H2698" s="6">
        <f>INT(Query1[[#This Row],[EntryDateTime]])</f>
        <v>44643</v>
      </c>
      <c r="I2698" s="1">
        <f>IF(Query1[[#This Row],[ItemType]]="EVAP KIT SF GEN IV",Query1[[#This Row],[OrderQty]]+I2697,I2697)</f>
        <v>3238</v>
      </c>
      <c r="J2698" s="1">
        <f>IF(Query1[[#This Row],[ItemType]]="EVAP KIT UNIVERSAL",Query1[[#This Row],[OrderQty]]+J2697,J2697)</f>
        <v>1270</v>
      </c>
      <c r="K2698" s="1">
        <f>Query1[[#This Row],[SF Running Total]]+Query1[[#This Row],[UNIV Running Total]]</f>
        <v>4508</v>
      </c>
      <c r="L2698">
        <f>VLOOKUP(Query1[[#This Row],[Description]],'kits to boards'!$B$2:$E$156,2,FALSE)</f>
        <v>830017</v>
      </c>
      <c r="M2698">
        <f>VLOOKUP(Query1[[#This Row],[Description]],'kits to boards'!$B$2:$E$156,3,FALSE)</f>
        <v>830119</v>
      </c>
      <c r="N2698">
        <f>VLOOKUP(Query1[[#This Row],[Description]],'kits to boards'!$B$2:$E$156,4,FALSE)</f>
        <v>830120</v>
      </c>
      <c r="O2698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2699" spans="1:15" x14ac:dyDescent="0.25">
      <c r="A2699" s="1">
        <v>916395</v>
      </c>
      <c r="B2699" s="1" t="s">
        <v>192</v>
      </c>
      <c r="C2699" s="1" t="s">
        <v>193</v>
      </c>
      <c r="D2699" s="2">
        <v>44643.445695949071</v>
      </c>
      <c r="E2699" s="1" t="s">
        <v>8</v>
      </c>
      <c r="F2699" s="1">
        <v>1</v>
      </c>
      <c r="G2699" s="1">
        <v>0</v>
      </c>
      <c r="H2699" s="6">
        <f>INT(Query1[[#This Row],[EntryDateTime]])</f>
        <v>44643</v>
      </c>
      <c r="I2699" s="1">
        <f>IF(Query1[[#This Row],[ItemType]]="EVAP KIT SF GEN IV",Query1[[#This Row],[OrderQty]]+I2698,I2698)</f>
        <v>3239</v>
      </c>
      <c r="J2699" s="1">
        <f>IF(Query1[[#This Row],[ItemType]]="EVAP KIT UNIVERSAL",Query1[[#This Row],[OrderQty]]+J2698,J2698)</f>
        <v>1270</v>
      </c>
      <c r="K2699" s="1">
        <f>Query1[[#This Row],[SF Running Total]]+Query1[[#This Row],[UNIV Running Total]]</f>
        <v>4509</v>
      </c>
      <c r="L2699">
        <f>VLOOKUP(Query1[[#This Row],[Description]],'kits to boards'!$B$2:$E$156,2,FALSE)</f>
        <v>830094</v>
      </c>
      <c r="M2699">
        <f>VLOOKUP(Query1[[#This Row],[Description]],'kits to boards'!$B$2:$E$156,3,FALSE)</f>
        <v>0</v>
      </c>
      <c r="N2699">
        <f>VLOOKUP(Query1[[#This Row],[Description]],'kits to boards'!$B$2:$E$156,4,FALSE)</f>
        <v>0</v>
      </c>
      <c r="O2699" t="str">
        <f>CONCATENATE(Query1[[#This Row],[Description]]," - ",Query1[[#This Row],[MB1]]," - ",Query1[[#This Row],[MB2]]," - ",Query1[[#This Row],[MB3]])</f>
        <v>EVAP KIT 69-73 VETTE W/AC - 830094 - 0 - 0</v>
      </c>
    </row>
    <row r="2700" spans="1:15" x14ac:dyDescent="0.25">
      <c r="A2700" s="1">
        <v>916398</v>
      </c>
      <c r="B2700" s="1" t="s">
        <v>283</v>
      </c>
      <c r="C2700" s="1" t="s">
        <v>284</v>
      </c>
      <c r="D2700" s="2">
        <v>44643.448941319446</v>
      </c>
      <c r="E2700" s="1" t="s">
        <v>8</v>
      </c>
      <c r="F2700" s="1">
        <v>1</v>
      </c>
      <c r="G2700" s="1">
        <v>0</v>
      </c>
      <c r="H2700" s="6">
        <f>INT(Query1[[#This Row],[EntryDateTime]])</f>
        <v>44643</v>
      </c>
      <c r="I2700" s="1">
        <f>IF(Query1[[#This Row],[ItemType]]="EVAP KIT SF GEN IV",Query1[[#This Row],[OrderQty]]+I2699,I2699)</f>
        <v>3240</v>
      </c>
      <c r="J2700" s="1">
        <f>IF(Query1[[#This Row],[ItemType]]="EVAP KIT UNIVERSAL",Query1[[#This Row],[OrderQty]]+J2699,J2699)</f>
        <v>1270</v>
      </c>
      <c r="K2700" s="1">
        <f>Query1[[#This Row],[SF Running Total]]+Query1[[#This Row],[UNIV Running Total]]</f>
        <v>4510</v>
      </c>
      <c r="L2700">
        <f>VLOOKUP(Query1[[#This Row],[Description]],'kits to boards'!$B$2:$E$156,2,FALSE)</f>
        <v>830033</v>
      </c>
      <c r="M2700">
        <f>VLOOKUP(Query1[[#This Row],[Description]],'kits to boards'!$B$2:$E$156,3,FALSE)</f>
        <v>0</v>
      </c>
      <c r="N2700">
        <f>VLOOKUP(Query1[[#This Row],[Description]],'kits to boards'!$B$2:$E$156,4,FALSE)</f>
        <v>0</v>
      </c>
      <c r="O2700" t="str">
        <f>CONCATENATE(Query1[[#This Row],[Description]]," - ",Query1[[#This Row],[MB1]]," - ",Query1[[#This Row],[MB2]]," - ",Query1[[#This Row],[MB3]])</f>
        <v>EVAP KIT 66-67 CHARGER/CORONET WO AC - 830033 - 0 - 0</v>
      </c>
    </row>
    <row r="2701" spans="1:15" x14ac:dyDescent="0.25">
      <c r="A2701" s="1">
        <v>916404</v>
      </c>
      <c r="B2701" s="1" t="s">
        <v>84</v>
      </c>
      <c r="C2701" s="1" t="s">
        <v>85</v>
      </c>
      <c r="D2701" s="2">
        <v>44643.461330752318</v>
      </c>
      <c r="E2701" s="1" t="s">
        <v>8</v>
      </c>
      <c r="F2701" s="1">
        <v>1</v>
      </c>
      <c r="G2701" s="1">
        <v>0</v>
      </c>
      <c r="H2701" s="6">
        <f>INT(Query1[[#This Row],[EntryDateTime]])</f>
        <v>44643</v>
      </c>
      <c r="I2701" s="1">
        <f>IF(Query1[[#This Row],[ItemType]]="EVAP KIT SF GEN IV",Query1[[#This Row],[OrderQty]]+I2700,I2700)</f>
        <v>3241</v>
      </c>
      <c r="J2701" s="1">
        <f>IF(Query1[[#This Row],[ItemType]]="EVAP KIT UNIVERSAL",Query1[[#This Row],[OrderQty]]+J2700,J2700)</f>
        <v>1270</v>
      </c>
      <c r="K2701" s="1">
        <f>Query1[[#This Row],[SF Running Total]]+Query1[[#This Row],[UNIV Running Total]]</f>
        <v>4511</v>
      </c>
      <c r="L2701">
        <f>VLOOKUP(Query1[[#This Row],[Description]],'kits to boards'!$B$2:$E$156,2,FALSE)</f>
        <v>830085</v>
      </c>
      <c r="M2701">
        <f>VLOOKUP(Query1[[#This Row],[Description]],'kits to boards'!$B$2:$E$156,3,FALSE)</f>
        <v>0</v>
      </c>
      <c r="N2701">
        <f>VLOOKUP(Query1[[#This Row],[Description]],'kits to boards'!$B$2:$E$156,4,FALSE)</f>
        <v>0</v>
      </c>
      <c r="O2701" t="str">
        <f>CONCATENATE(Query1[[#This Row],[Description]]," - ",Query1[[#This Row],[MB1]]," - ",Query1[[#This Row],[MB2]]," - ",Query1[[#This Row],[MB3]])</f>
        <v>EVAP KIT 66-77 BRONCO 4-VENT PLENUM - 830085 - 0 - 0</v>
      </c>
    </row>
    <row r="2702" spans="1:15" x14ac:dyDescent="0.25">
      <c r="A2702" s="1">
        <v>916406</v>
      </c>
      <c r="B2702" s="1" t="s">
        <v>226</v>
      </c>
      <c r="C2702" s="1" t="s">
        <v>227</v>
      </c>
      <c r="D2702" s="2">
        <v>44643.463244942126</v>
      </c>
      <c r="E2702" s="1" t="s">
        <v>8</v>
      </c>
      <c r="F2702" s="1">
        <v>1</v>
      </c>
      <c r="G2702" s="1">
        <v>0</v>
      </c>
      <c r="H2702" s="6">
        <f>INT(Query1[[#This Row],[EntryDateTime]])</f>
        <v>44643</v>
      </c>
      <c r="I2702" s="1">
        <f>IF(Query1[[#This Row],[ItemType]]="EVAP KIT SF GEN IV",Query1[[#This Row],[OrderQty]]+I2701,I2701)</f>
        <v>3242</v>
      </c>
      <c r="J2702" s="1">
        <f>IF(Query1[[#This Row],[ItemType]]="EVAP KIT UNIVERSAL",Query1[[#This Row],[OrderQty]]+J2701,J2701)</f>
        <v>1270</v>
      </c>
      <c r="K2702" s="1">
        <f>Query1[[#This Row],[SF Running Total]]+Query1[[#This Row],[UNIV Running Total]]</f>
        <v>4512</v>
      </c>
      <c r="L2702">
        <f>VLOOKUP(Query1[[#This Row],[Description]],'kits to boards'!$B$2:$E$156,2,FALSE)</f>
        <v>830124</v>
      </c>
      <c r="M2702">
        <f>VLOOKUP(Query1[[#This Row],[Description]],'kits to boards'!$B$2:$E$156,3,FALSE)</f>
        <v>0</v>
      </c>
      <c r="N2702">
        <f>VLOOKUP(Query1[[#This Row],[Description]],'kits to boards'!$B$2:$E$156,4,FALSE)</f>
        <v>0</v>
      </c>
      <c r="O2702" t="str">
        <f>CONCATENATE(Query1[[#This Row],[Description]]," - ",Query1[[#This Row],[MB1]]," - ",Query1[[#This Row],[MB2]]," - ",Query1[[#This Row],[MB3]])</f>
        <v>EVAP KIT 70-72 GTO W/AC - 830124 - 0 - 0</v>
      </c>
    </row>
    <row r="2703" spans="1:15" x14ac:dyDescent="0.25">
      <c r="A2703" s="1">
        <v>916408</v>
      </c>
      <c r="B2703" s="1" t="s">
        <v>26</v>
      </c>
      <c r="C2703" s="1" t="s">
        <v>27</v>
      </c>
      <c r="D2703" s="2">
        <v>44643.466360381943</v>
      </c>
      <c r="E2703" s="1" t="s">
        <v>8</v>
      </c>
      <c r="F2703" s="1">
        <v>1</v>
      </c>
      <c r="G2703" s="1">
        <v>0</v>
      </c>
      <c r="H2703" s="6">
        <f>INT(Query1[[#This Row],[EntryDateTime]])</f>
        <v>44643</v>
      </c>
      <c r="I2703" s="1">
        <f>IF(Query1[[#This Row],[ItemType]]="EVAP KIT SF GEN IV",Query1[[#This Row],[OrderQty]]+I2702,I2702)</f>
        <v>3243</v>
      </c>
      <c r="J2703" s="1">
        <f>IF(Query1[[#This Row],[ItemType]]="EVAP KIT UNIVERSAL",Query1[[#This Row],[OrderQty]]+J2702,J2702)</f>
        <v>1270</v>
      </c>
      <c r="K2703" s="1">
        <f>Query1[[#This Row],[SF Running Total]]+Query1[[#This Row],[UNIV Running Total]]</f>
        <v>4513</v>
      </c>
      <c r="L2703">
        <f>VLOOKUP(Query1[[#This Row],[Description]],'kits to boards'!$B$2:$E$156,2,FALSE)</f>
        <v>830013</v>
      </c>
      <c r="M2703">
        <f>VLOOKUP(Query1[[#This Row],[Description]],'kits to boards'!$B$2:$E$156,3,FALSE)</f>
        <v>0</v>
      </c>
      <c r="N2703">
        <f>VLOOKUP(Query1[[#This Row],[Description]],'kits to boards'!$B$2:$E$156,4,FALSE)</f>
        <v>0</v>
      </c>
      <c r="O2703" t="str">
        <f>CONCATENATE(Query1[[#This Row],[Description]]," - ",Query1[[#This Row],[MB1]]," - ",Query1[[#This Row],[MB2]]," - ",Query1[[#This Row],[MB3]])</f>
        <v>EVAP KIT 67-72 CHEV P-UP W/AC - 830013 - 0 - 0</v>
      </c>
    </row>
    <row r="2704" spans="1:15" x14ac:dyDescent="0.25">
      <c r="A2704" s="1">
        <v>916222</v>
      </c>
      <c r="B2704" s="1" t="s">
        <v>22</v>
      </c>
      <c r="C2704" s="1" t="s">
        <v>23</v>
      </c>
      <c r="D2704" s="2">
        <v>44643.489593437502</v>
      </c>
      <c r="E2704" s="1" t="s">
        <v>8</v>
      </c>
      <c r="F2704" s="1">
        <v>1</v>
      </c>
      <c r="G2704" s="1">
        <v>0</v>
      </c>
      <c r="H2704" s="6">
        <f>INT(Query1[[#This Row],[EntryDateTime]])</f>
        <v>44643</v>
      </c>
      <c r="I2704" s="1">
        <f>IF(Query1[[#This Row],[ItemType]]="EVAP KIT SF GEN IV",Query1[[#This Row],[OrderQty]]+I2703,I2703)</f>
        <v>3244</v>
      </c>
      <c r="J2704" s="1">
        <f>IF(Query1[[#This Row],[ItemType]]="EVAP KIT UNIVERSAL",Query1[[#This Row],[OrderQty]]+J2703,J2703)</f>
        <v>1270</v>
      </c>
      <c r="K2704" s="1">
        <f>Query1[[#This Row],[SF Running Total]]+Query1[[#This Row],[UNIV Running Total]]</f>
        <v>4514</v>
      </c>
      <c r="L2704">
        <f>VLOOKUP(Query1[[#This Row],[Description]],'kits to boards'!$B$2:$E$156,2,FALSE)</f>
        <v>830083</v>
      </c>
      <c r="M2704">
        <f>VLOOKUP(Query1[[#This Row],[Description]],'kits to boards'!$B$2:$E$156,3,FALSE)</f>
        <v>0</v>
      </c>
      <c r="N2704">
        <f>VLOOKUP(Query1[[#This Row],[Description]],'kits to boards'!$B$2:$E$156,4,FALSE)</f>
        <v>0</v>
      </c>
      <c r="O2704" t="str">
        <f>CONCATENATE(Query1[[#This Row],[Description]]," - ",Query1[[#This Row],[MB1]]," - ",Query1[[#This Row],[MB2]]," - ",Query1[[#This Row],[MB3]])</f>
        <v>GEN IV MAGNUM EVAP KIT - 830083 - 0 - 0</v>
      </c>
    </row>
    <row r="2705" spans="1:15" x14ac:dyDescent="0.25">
      <c r="A2705" s="1">
        <v>916419</v>
      </c>
      <c r="B2705" s="1" t="s">
        <v>116</v>
      </c>
      <c r="C2705" s="1" t="s">
        <v>117</v>
      </c>
      <c r="D2705" s="2">
        <v>44643.497308298611</v>
      </c>
      <c r="E2705" s="1" t="s">
        <v>8</v>
      </c>
      <c r="F2705" s="1">
        <v>1</v>
      </c>
      <c r="G2705" s="1">
        <v>0</v>
      </c>
      <c r="H2705" s="6">
        <f>INT(Query1[[#This Row],[EntryDateTime]])</f>
        <v>44643</v>
      </c>
      <c r="I2705" s="1">
        <f>IF(Query1[[#This Row],[ItemType]]="EVAP KIT SF GEN IV",Query1[[#This Row],[OrderQty]]+I2704,I2704)</f>
        <v>3245</v>
      </c>
      <c r="J2705" s="1">
        <f>IF(Query1[[#This Row],[ItemType]]="EVAP KIT UNIVERSAL",Query1[[#This Row],[OrderQty]]+J2704,J2704)</f>
        <v>1270</v>
      </c>
      <c r="K2705" s="1">
        <f>Query1[[#This Row],[SF Running Total]]+Query1[[#This Row],[UNIV Running Total]]</f>
        <v>4515</v>
      </c>
      <c r="L2705">
        <f>VLOOKUP(Query1[[#This Row],[Description]],'kits to boards'!$B$2:$E$156,2,FALSE)</f>
        <v>830058</v>
      </c>
      <c r="M2705">
        <f>VLOOKUP(Query1[[#This Row],[Description]],'kits to boards'!$B$2:$E$156,3,FALSE)</f>
        <v>0</v>
      </c>
      <c r="N2705">
        <f>VLOOKUP(Query1[[#This Row],[Description]],'kits to boards'!$B$2:$E$156,4,FALSE)</f>
        <v>0</v>
      </c>
      <c r="O2705" t="str">
        <f>CONCATENATE(Query1[[#This Row],[Description]]," - ",Query1[[#This Row],[MB1]]," - ",Query1[[#This Row],[MB2]]," - ",Query1[[#This Row],[MB3]])</f>
        <v>EVAP KIT 64-65 CHEVELLE WO AC - 830058 - 0 - 0</v>
      </c>
    </row>
    <row r="2706" spans="1:15" x14ac:dyDescent="0.25">
      <c r="A2706" s="1">
        <v>916420</v>
      </c>
      <c r="B2706" s="1" t="s">
        <v>118</v>
      </c>
      <c r="C2706" s="1" t="s">
        <v>119</v>
      </c>
      <c r="D2706" s="2">
        <v>44643.498053240743</v>
      </c>
      <c r="E2706" s="1" t="s">
        <v>11</v>
      </c>
      <c r="F2706" s="1">
        <v>6</v>
      </c>
      <c r="G2706" s="1">
        <v>0</v>
      </c>
      <c r="H2706" s="6">
        <f>INT(Query1[[#This Row],[EntryDateTime]])</f>
        <v>44643</v>
      </c>
      <c r="I2706" s="1">
        <f>IF(Query1[[#This Row],[ItemType]]="EVAP KIT SF GEN IV",Query1[[#This Row],[OrderQty]]+I2705,I2705)</f>
        <v>3245</v>
      </c>
      <c r="J2706" s="1">
        <f>IF(Query1[[#This Row],[ItemType]]="EVAP KIT UNIVERSAL",Query1[[#This Row],[OrderQty]]+J2705,J2705)</f>
        <v>1276</v>
      </c>
      <c r="K2706" s="1">
        <f>Query1[[#This Row],[SF Running Total]]+Query1[[#This Row],[UNIV Running Total]]</f>
        <v>4521</v>
      </c>
      <c r="L2706">
        <f>VLOOKUP(Query1[[#This Row],[Description]],'kits to boards'!$B$2:$E$156,2,FALSE)</f>
        <v>830069</v>
      </c>
      <c r="M2706">
        <f>VLOOKUP(Query1[[#This Row],[Description]],'kits to boards'!$B$2:$E$156,3,FALSE)</f>
        <v>0</v>
      </c>
      <c r="N2706">
        <f>VLOOKUP(Query1[[#This Row],[Description]],'kits to boards'!$B$2:$E$156,4,FALSE)</f>
        <v>0</v>
      </c>
      <c r="O2706" t="str">
        <f>CONCATENATE(Query1[[#This Row],[Description]]," - ",Query1[[#This Row],[MB1]]," - ",Query1[[#This Row],[MB2]]," - ",Query1[[#This Row],[MB3]])</f>
        <v>SLIMLINE H/C W/DEF BLK LOUVER - 830069 - 0 - 0</v>
      </c>
    </row>
    <row r="2707" spans="1:15" x14ac:dyDescent="0.25">
      <c r="A2707" s="1">
        <v>916420</v>
      </c>
      <c r="B2707" s="1" t="s">
        <v>22</v>
      </c>
      <c r="C2707" s="1" t="s">
        <v>23</v>
      </c>
      <c r="D2707" s="2">
        <v>44643.498120949072</v>
      </c>
      <c r="E2707" s="1" t="s">
        <v>8</v>
      </c>
      <c r="F2707" s="1">
        <v>19</v>
      </c>
      <c r="G2707" s="1">
        <v>0</v>
      </c>
      <c r="H2707" s="6">
        <f>INT(Query1[[#This Row],[EntryDateTime]])</f>
        <v>44643</v>
      </c>
      <c r="I2707" s="1">
        <f>IF(Query1[[#This Row],[ItemType]]="EVAP KIT SF GEN IV",Query1[[#This Row],[OrderQty]]+I2706,I2706)</f>
        <v>3264</v>
      </c>
      <c r="J2707" s="1">
        <f>IF(Query1[[#This Row],[ItemType]]="EVAP KIT UNIVERSAL",Query1[[#This Row],[OrderQty]]+J2706,J2706)</f>
        <v>1276</v>
      </c>
      <c r="K2707" s="1">
        <f>Query1[[#This Row],[SF Running Total]]+Query1[[#This Row],[UNIV Running Total]]</f>
        <v>4540</v>
      </c>
      <c r="L2707">
        <f>VLOOKUP(Query1[[#This Row],[Description]],'kits to boards'!$B$2:$E$156,2,FALSE)</f>
        <v>830083</v>
      </c>
      <c r="M2707">
        <f>VLOOKUP(Query1[[#This Row],[Description]],'kits to boards'!$B$2:$E$156,3,FALSE)</f>
        <v>0</v>
      </c>
      <c r="N2707">
        <f>VLOOKUP(Query1[[#This Row],[Description]],'kits to boards'!$B$2:$E$156,4,FALSE)</f>
        <v>0</v>
      </c>
      <c r="O2707" t="str">
        <f>CONCATENATE(Query1[[#This Row],[Description]]," - ",Query1[[#This Row],[MB1]]," - ",Query1[[#This Row],[MB2]]," - ",Query1[[#This Row],[MB3]])</f>
        <v>GEN IV MAGNUM EVAP KIT - 830083 - 0 - 0</v>
      </c>
    </row>
    <row r="2708" spans="1:15" x14ac:dyDescent="0.25">
      <c r="A2708" s="1">
        <v>916420</v>
      </c>
      <c r="B2708" s="1" t="s">
        <v>28</v>
      </c>
      <c r="C2708" s="1" t="s">
        <v>29</v>
      </c>
      <c r="D2708" s="2">
        <v>44643.498124768521</v>
      </c>
      <c r="E2708" s="1" t="s">
        <v>8</v>
      </c>
      <c r="F2708" s="1">
        <v>5</v>
      </c>
      <c r="G2708" s="1">
        <v>0</v>
      </c>
      <c r="H2708" s="6">
        <f>INT(Query1[[#This Row],[EntryDateTime]])</f>
        <v>44643</v>
      </c>
      <c r="I2708" s="1">
        <f>IF(Query1[[#This Row],[ItemType]]="EVAP KIT SF GEN IV",Query1[[#This Row],[OrderQty]]+I2707,I2707)</f>
        <v>3269</v>
      </c>
      <c r="J2708" s="1">
        <f>IF(Query1[[#This Row],[ItemType]]="EVAP KIT UNIVERSAL",Query1[[#This Row],[OrderQty]]+J2707,J2707)</f>
        <v>1276</v>
      </c>
      <c r="K2708" s="1">
        <f>Query1[[#This Row],[SF Running Total]]+Query1[[#This Row],[UNIV Running Total]]</f>
        <v>4545</v>
      </c>
      <c r="L2708">
        <f>VLOOKUP(Query1[[#This Row],[Description]],'kits to boards'!$B$2:$E$156,2,FALSE)</f>
        <v>830001</v>
      </c>
      <c r="M2708">
        <f>VLOOKUP(Query1[[#This Row],[Description]],'kits to boards'!$B$2:$E$156,3,FALSE)</f>
        <v>0</v>
      </c>
      <c r="N2708">
        <f>VLOOKUP(Query1[[#This Row],[Description]],'kits to boards'!$B$2:$E$156,4,FALSE)</f>
        <v>0</v>
      </c>
      <c r="O2708" t="str">
        <f>CONCATENATE(Query1[[#This Row],[Description]]," - ",Query1[[#This Row],[MB1]]," - ",Query1[[#This Row],[MB2]]," - ",Query1[[#This Row],[MB3]])</f>
        <v>EVAP KIT 73-80 CHEV P-UP W/AC - 830001 - 0 - 0</v>
      </c>
    </row>
    <row r="2709" spans="1:15" x14ac:dyDescent="0.25">
      <c r="A2709" s="1">
        <v>916420</v>
      </c>
      <c r="B2709" s="1" t="s">
        <v>92</v>
      </c>
      <c r="C2709" s="1" t="s">
        <v>93</v>
      </c>
      <c r="D2709" s="2">
        <v>44643.498128506944</v>
      </c>
      <c r="E2709" s="1" t="s">
        <v>8</v>
      </c>
      <c r="F2709" s="1">
        <v>4</v>
      </c>
      <c r="G2709" s="1">
        <v>0</v>
      </c>
      <c r="H2709" s="6">
        <f>INT(Query1[[#This Row],[EntryDateTime]])</f>
        <v>44643</v>
      </c>
      <c r="I2709" s="1">
        <f>IF(Query1[[#This Row],[ItemType]]="EVAP KIT SF GEN IV",Query1[[#This Row],[OrderQty]]+I2708,I2708)</f>
        <v>3273</v>
      </c>
      <c r="J2709" s="1">
        <f>IF(Query1[[#This Row],[ItemType]]="EVAP KIT UNIVERSAL",Query1[[#This Row],[OrderQty]]+J2708,J2708)</f>
        <v>1276</v>
      </c>
      <c r="K2709" s="1">
        <f>Query1[[#This Row],[SF Running Total]]+Query1[[#This Row],[UNIV Running Total]]</f>
        <v>4549</v>
      </c>
      <c r="L2709">
        <f>VLOOKUP(Query1[[#This Row],[Description]],'kits to boards'!$B$2:$E$156,2,FALSE)</f>
        <v>830063</v>
      </c>
      <c r="M2709">
        <f>VLOOKUP(Query1[[#This Row],[Description]],'kits to boards'!$B$2:$E$156,3,FALSE)</f>
        <v>0</v>
      </c>
      <c r="N2709">
        <f>VLOOKUP(Query1[[#This Row],[Description]],'kits to boards'!$B$2:$E$156,4,FALSE)</f>
        <v>0</v>
      </c>
      <c r="O2709" t="str">
        <f>CONCATENATE(Query1[[#This Row],[Description]]," - ",Query1[[#This Row],[MB1]]," - ",Query1[[#This Row],[MB2]]," - ",Query1[[#This Row],[MB3]])</f>
        <v>EVAP KIT 50-53 CHEV P-UP GEN IV - 830063 - 0 - 0</v>
      </c>
    </row>
    <row r="2710" spans="1:15" x14ac:dyDescent="0.25">
      <c r="A2710" s="1">
        <v>916422</v>
      </c>
      <c r="B2710" s="1" t="s">
        <v>78</v>
      </c>
      <c r="C2710" s="1" t="s">
        <v>79</v>
      </c>
      <c r="D2710" s="2">
        <v>44643.500068287038</v>
      </c>
      <c r="E2710" s="1" t="s">
        <v>11</v>
      </c>
      <c r="F2710" s="1">
        <v>10</v>
      </c>
      <c r="G2710" s="1">
        <v>0</v>
      </c>
      <c r="H2710" s="6">
        <f>INT(Query1[[#This Row],[EntryDateTime]])</f>
        <v>44643</v>
      </c>
      <c r="I2710" s="1">
        <f>IF(Query1[[#This Row],[ItemType]]="EVAP KIT SF GEN IV",Query1[[#This Row],[OrderQty]]+I2709,I2709)</f>
        <v>3273</v>
      </c>
      <c r="J2710" s="1">
        <f>IF(Query1[[#This Row],[ItemType]]="EVAP KIT UNIVERSAL",Query1[[#This Row],[OrderQty]]+J2709,J2709)</f>
        <v>1286</v>
      </c>
      <c r="K2710" s="1">
        <f>Query1[[#This Row],[SF Running Total]]+Query1[[#This Row],[UNIV Running Total]]</f>
        <v>4559</v>
      </c>
      <c r="L2710">
        <f>VLOOKUP(Query1[[#This Row],[Description]],'kits to boards'!$B$2:$E$156,2,FALSE)</f>
        <v>0</v>
      </c>
      <c r="M2710">
        <f>VLOOKUP(Query1[[#This Row],[Description]],'kits to boards'!$B$2:$E$156,3,FALSE)</f>
        <v>0</v>
      </c>
      <c r="N2710">
        <f>VLOOKUP(Query1[[#This Row],[Description]],'kits to boards'!$B$2:$E$156,4,FALSE)</f>
        <v>0</v>
      </c>
      <c r="O2710" t="str">
        <f>CONCATENATE(Query1[[#This Row],[Description]]," - ",Query1[[#This Row],[MB1]]," - ",Query1[[#This Row],[MB2]]," - ",Query1[[#This Row],[MB3]])</f>
        <v>MARK IV STYLELINE UNDERDASH EVAP - 0 - 0 - 0</v>
      </c>
    </row>
    <row r="2711" spans="1:15" x14ac:dyDescent="0.25">
      <c r="A2711" s="1">
        <v>916422</v>
      </c>
      <c r="B2711" s="1" t="s">
        <v>92</v>
      </c>
      <c r="C2711" s="1" t="s">
        <v>93</v>
      </c>
      <c r="D2711" s="2">
        <v>44643.500070023147</v>
      </c>
      <c r="E2711" s="1" t="s">
        <v>8</v>
      </c>
      <c r="F2711" s="1">
        <v>2</v>
      </c>
      <c r="G2711" s="1">
        <v>0</v>
      </c>
      <c r="H2711" s="6">
        <f>INT(Query1[[#This Row],[EntryDateTime]])</f>
        <v>44643</v>
      </c>
      <c r="I2711" s="1">
        <f>IF(Query1[[#This Row],[ItemType]]="EVAP KIT SF GEN IV",Query1[[#This Row],[OrderQty]]+I2710,I2710)</f>
        <v>3275</v>
      </c>
      <c r="J2711" s="1">
        <f>IF(Query1[[#This Row],[ItemType]]="EVAP KIT UNIVERSAL",Query1[[#This Row],[OrderQty]]+J2710,J2710)</f>
        <v>1286</v>
      </c>
      <c r="K2711" s="1">
        <f>Query1[[#This Row],[SF Running Total]]+Query1[[#This Row],[UNIV Running Total]]</f>
        <v>4561</v>
      </c>
      <c r="L2711">
        <f>VLOOKUP(Query1[[#This Row],[Description]],'kits to boards'!$B$2:$E$156,2,FALSE)</f>
        <v>830063</v>
      </c>
      <c r="M2711">
        <f>VLOOKUP(Query1[[#This Row],[Description]],'kits to boards'!$B$2:$E$156,3,FALSE)</f>
        <v>0</v>
      </c>
      <c r="N2711">
        <f>VLOOKUP(Query1[[#This Row],[Description]],'kits to boards'!$B$2:$E$156,4,FALSE)</f>
        <v>0</v>
      </c>
      <c r="O2711" t="str">
        <f>CONCATENATE(Query1[[#This Row],[Description]]," - ",Query1[[#This Row],[MB1]]," - ",Query1[[#This Row],[MB2]]," - ",Query1[[#This Row],[MB3]])</f>
        <v>EVAP KIT 50-53 CHEV P-UP GEN IV - 830063 - 0 - 0</v>
      </c>
    </row>
    <row r="2712" spans="1:15" x14ac:dyDescent="0.25">
      <c r="A2712" s="1">
        <v>916424</v>
      </c>
      <c r="B2712" s="1" t="s">
        <v>118</v>
      </c>
      <c r="C2712" s="1" t="s">
        <v>119</v>
      </c>
      <c r="D2712" s="2">
        <v>44643.501583217592</v>
      </c>
      <c r="E2712" s="1" t="s">
        <v>11</v>
      </c>
      <c r="F2712" s="1">
        <v>4</v>
      </c>
      <c r="G2712" s="1">
        <v>0</v>
      </c>
      <c r="H2712" s="6">
        <f>INT(Query1[[#This Row],[EntryDateTime]])</f>
        <v>44643</v>
      </c>
      <c r="I2712" s="1">
        <f>IF(Query1[[#This Row],[ItemType]]="EVAP KIT SF GEN IV",Query1[[#This Row],[OrderQty]]+I2711,I2711)</f>
        <v>3275</v>
      </c>
      <c r="J2712" s="1">
        <f>IF(Query1[[#This Row],[ItemType]]="EVAP KIT UNIVERSAL",Query1[[#This Row],[OrderQty]]+J2711,J2711)</f>
        <v>1290</v>
      </c>
      <c r="K2712" s="1">
        <f>Query1[[#This Row],[SF Running Total]]+Query1[[#This Row],[UNIV Running Total]]</f>
        <v>4565</v>
      </c>
      <c r="L2712">
        <f>VLOOKUP(Query1[[#This Row],[Description]],'kits to boards'!$B$2:$E$156,2,FALSE)</f>
        <v>830069</v>
      </c>
      <c r="M2712">
        <f>VLOOKUP(Query1[[#This Row],[Description]],'kits to boards'!$B$2:$E$156,3,FALSE)</f>
        <v>0</v>
      </c>
      <c r="N2712">
        <f>VLOOKUP(Query1[[#This Row],[Description]],'kits to boards'!$B$2:$E$156,4,FALSE)</f>
        <v>0</v>
      </c>
      <c r="O2712" t="str">
        <f>CONCATENATE(Query1[[#This Row],[Description]]," - ",Query1[[#This Row],[MB1]]," - ",Query1[[#This Row],[MB2]]," - ",Query1[[#This Row],[MB3]])</f>
        <v>SLIMLINE H/C W/DEF BLK LOUVER - 830069 - 0 - 0</v>
      </c>
    </row>
    <row r="2713" spans="1:15" x14ac:dyDescent="0.25">
      <c r="A2713" s="1">
        <v>916424</v>
      </c>
      <c r="B2713" s="1" t="s">
        <v>50</v>
      </c>
      <c r="C2713" s="1" t="s">
        <v>51</v>
      </c>
      <c r="D2713" s="2">
        <v>44643.501668668985</v>
      </c>
      <c r="E2713" s="1" t="s">
        <v>8</v>
      </c>
      <c r="F2713" s="1">
        <v>2</v>
      </c>
      <c r="G2713" s="1">
        <v>0</v>
      </c>
      <c r="H2713" s="6">
        <f>INT(Query1[[#This Row],[EntryDateTime]])</f>
        <v>44643</v>
      </c>
      <c r="I2713" s="1">
        <f>IF(Query1[[#This Row],[ItemType]]="EVAP KIT SF GEN IV",Query1[[#This Row],[OrderQty]]+I2712,I2712)</f>
        <v>3277</v>
      </c>
      <c r="J2713" s="1">
        <f>IF(Query1[[#This Row],[ItemType]]="EVAP KIT UNIVERSAL",Query1[[#This Row],[OrderQty]]+J2712,J2712)</f>
        <v>1290</v>
      </c>
      <c r="K2713" s="1">
        <f>Query1[[#This Row],[SF Running Total]]+Query1[[#This Row],[UNIV Running Total]]</f>
        <v>4567</v>
      </c>
      <c r="L2713">
        <f>VLOOKUP(Query1[[#This Row],[Description]],'kits to boards'!$B$2:$E$156,2,FALSE)</f>
        <v>830043</v>
      </c>
      <c r="M2713">
        <f>VLOOKUP(Query1[[#This Row],[Description]],'kits to boards'!$B$2:$E$156,3,FALSE)</f>
        <v>0</v>
      </c>
      <c r="N2713">
        <f>VLOOKUP(Query1[[#This Row],[Description]],'kits to boards'!$B$2:$E$156,4,FALSE)</f>
        <v>0</v>
      </c>
      <c r="O2713" t="str">
        <f>CONCATENATE(Query1[[#This Row],[Description]]," - ",Query1[[#This Row],[MB1]]," - ",Query1[[#This Row],[MB2]]," - ",Query1[[#This Row],[MB3]])</f>
        <v>EVAP KIT 69-74 NOVA WO AC - 830043 - 0 - 0</v>
      </c>
    </row>
    <row r="2714" spans="1:15" x14ac:dyDescent="0.25">
      <c r="A2714" s="1">
        <v>916424</v>
      </c>
      <c r="B2714" s="1" t="s">
        <v>30</v>
      </c>
      <c r="C2714" s="1" t="s">
        <v>31</v>
      </c>
      <c r="D2714" s="2">
        <v>44643.501672303239</v>
      </c>
      <c r="E2714" s="1" t="s">
        <v>8</v>
      </c>
      <c r="F2714" s="1">
        <v>3</v>
      </c>
      <c r="G2714" s="1">
        <v>0</v>
      </c>
      <c r="H2714" s="6">
        <f>INT(Query1[[#This Row],[EntryDateTime]])</f>
        <v>44643</v>
      </c>
      <c r="I2714" s="1">
        <f>IF(Query1[[#This Row],[ItemType]]="EVAP KIT SF GEN IV",Query1[[#This Row],[OrderQty]]+I2713,I2713)</f>
        <v>3280</v>
      </c>
      <c r="J2714" s="1">
        <f>IF(Query1[[#This Row],[ItemType]]="EVAP KIT UNIVERSAL",Query1[[#This Row],[OrderQty]]+J2713,J2713)</f>
        <v>1290</v>
      </c>
      <c r="K2714" s="1">
        <f>Query1[[#This Row],[SF Running Total]]+Query1[[#This Row],[UNIV Running Total]]</f>
        <v>4570</v>
      </c>
      <c r="L2714">
        <f>VLOOKUP(Query1[[#This Row],[Description]],'kits to boards'!$B$2:$E$156,2,FALSE)</f>
        <v>830054</v>
      </c>
      <c r="M2714">
        <f>VLOOKUP(Query1[[#This Row],[Description]],'kits to boards'!$B$2:$E$156,3,FALSE)</f>
        <v>0</v>
      </c>
      <c r="N2714">
        <f>VLOOKUP(Query1[[#This Row],[Description]],'kits to boards'!$B$2:$E$156,4,FALSE)</f>
        <v>0</v>
      </c>
      <c r="O2714" t="str">
        <f>CONCATENATE(Query1[[#This Row],[Description]]," - ",Query1[[#This Row],[MB1]]," - ",Query1[[#This Row],[MB2]]," - ",Query1[[#This Row],[MB3]])</f>
        <v>EVAP KIT 55-56 CHEVY 4-VENT - 830054 - 0 - 0</v>
      </c>
    </row>
    <row r="2715" spans="1:15" x14ac:dyDescent="0.25">
      <c r="A2715" s="1">
        <v>916425</v>
      </c>
      <c r="B2715" s="1" t="s">
        <v>132</v>
      </c>
      <c r="C2715" s="1" t="s">
        <v>133</v>
      </c>
      <c r="D2715" s="2">
        <v>44643.503275613424</v>
      </c>
      <c r="E2715" s="1" t="s">
        <v>8</v>
      </c>
      <c r="F2715" s="1">
        <v>1</v>
      </c>
      <c r="G2715" s="1">
        <v>0</v>
      </c>
      <c r="H2715" s="6">
        <f>INT(Query1[[#This Row],[EntryDateTime]])</f>
        <v>44643</v>
      </c>
      <c r="I2715" s="1">
        <f>IF(Query1[[#This Row],[ItemType]]="EVAP KIT SF GEN IV",Query1[[#This Row],[OrderQty]]+I2714,I2714)</f>
        <v>3281</v>
      </c>
      <c r="J2715" s="1">
        <f>IF(Query1[[#This Row],[ItemType]]="EVAP KIT UNIVERSAL",Query1[[#This Row],[OrderQty]]+J2714,J2714)</f>
        <v>1290</v>
      </c>
      <c r="K2715" s="1">
        <f>Query1[[#This Row],[SF Running Total]]+Query1[[#This Row],[UNIV Running Total]]</f>
        <v>4571</v>
      </c>
      <c r="L2715">
        <f>VLOOKUP(Query1[[#This Row],[Description]],'kits to boards'!$B$2:$E$156,2,FALSE)</f>
        <v>830005</v>
      </c>
      <c r="M2715">
        <f>VLOOKUP(Query1[[#This Row],[Description]],'kits to boards'!$B$2:$E$156,3,FALSE)</f>
        <v>0</v>
      </c>
      <c r="N2715">
        <f>VLOOKUP(Query1[[#This Row],[Description]],'kits to boards'!$B$2:$E$156,4,FALSE)</f>
        <v>0</v>
      </c>
      <c r="O2715" t="str">
        <f>CONCATENATE(Query1[[#This Row],[Description]]," - ",Query1[[#This Row],[MB1]]," - ",Query1[[#This Row],[MB2]]," - ",Query1[[#This Row],[MB3]])</f>
        <v>EVAP KIT 61-62 IMPALA WO AC - 830005 - 0 - 0</v>
      </c>
    </row>
    <row r="2716" spans="1:15" x14ac:dyDescent="0.25">
      <c r="A2716" s="1">
        <v>916447</v>
      </c>
      <c r="B2716" s="1" t="s">
        <v>108</v>
      </c>
      <c r="C2716" s="1" t="s">
        <v>109</v>
      </c>
      <c r="D2716" s="2">
        <v>44643.545814849538</v>
      </c>
      <c r="E2716" s="1" t="s">
        <v>8</v>
      </c>
      <c r="F2716" s="1">
        <v>1</v>
      </c>
      <c r="G2716" s="1">
        <v>0</v>
      </c>
      <c r="H2716" s="6">
        <f>INT(Query1[[#This Row],[EntryDateTime]])</f>
        <v>44643</v>
      </c>
      <c r="I2716" s="1">
        <f>IF(Query1[[#This Row],[ItemType]]="EVAP KIT SF GEN IV",Query1[[#This Row],[OrderQty]]+I2715,I2715)</f>
        <v>3282</v>
      </c>
      <c r="J2716" s="1">
        <f>IF(Query1[[#This Row],[ItemType]]="EVAP KIT UNIVERSAL",Query1[[#This Row],[OrderQty]]+J2715,J2715)</f>
        <v>1290</v>
      </c>
      <c r="K2716" s="1">
        <f>Query1[[#This Row],[SF Running Total]]+Query1[[#This Row],[UNIV Running Total]]</f>
        <v>4572</v>
      </c>
      <c r="L2716">
        <f>VLOOKUP(Query1[[#This Row],[Description]],'kits to boards'!$B$2:$E$156,2,FALSE)</f>
        <v>830105</v>
      </c>
      <c r="M2716">
        <f>VLOOKUP(Query1[[#This Row],[Description]],'kits to boards'!$B$2:$E$156,3,FALSE)</f>
        <v>830106</v>
      </c>
      <c r="N2716">
        <f>VLOOKUP(Query1[[#This Row],[Description]],'kits to boards'!$B$2:$E$156,4,FALSE)</f>
        <v>0</v>
      </c>
      <c r="O2716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2717" spans="1:15" x14ac:dyDescent="0.25">
      <c r="A2717" s="1">
        <v>916451</v>
      </c>
      <c r="B2717" s="1" t="s">
        <v>102</v>
      </c>
      <c r="C2717" s="1" t="s">
        <v>103</v>
      </c>
      <c r="D2717" s="2">
        <v>44643.552321793984</v>
      </c>
      <c r="E2717" s="1" t="s">
        <v>8</v>
      </c>
      <c r="F2717" s="1">
        <v>1</v>
      </c>
      <c r="G2717" s="1">
        <v>0</v>
      </c>
      <c r="H2717" s="6">
        <f>INT(Query1[[#This Row],[EntryDateTime]])</f>
        <v>44643</v>
      </c>
      <c r="I2717" s="1">
        <f>IF(Query1[[#This Row],[ItemType]]="EVAP KIT SF GEN IV",Query1[[#This Row],[OrderQty]]+I2716,I2716)</f>
        <v>3283</v>
      </c>
      <c r="J2717" s="1">
        <f>IF(Query1[[#This Row],[ItemType]]="EVAP KIT UNIVERSAL",Query1[[#This Row],[OrderQty]]+J2716,J2716)</f>
        <v>1290</v>
      </c>
      <c r="K2717" s="1">
        <f>Query1[[#This Row],[SF Running Total]]+Query1[[#This Row],[UNIV Running Total]]</f>
        <v>4573</v>
      </c>
      <c r="L2717">
        <f>VLOOKUP(Query1[[#This Row],[Description]],'kits to boards'!$B$2:$E$156,2,FALSE)</f>
        <v>830012</v>
      </c>
      <c r="M2717">
        <f>VLOOKUP(Query1[[#This Row],[Description]],'kits to boards'!$B$2:$E$156,3,FALSE)</f>
        <v>0</v>
      </c>
      <c r="N2717">
        <f>VLOOKUP(Query1[[#This Row],[Description]],'kits to boards'!$B$2:$E$156,4,FALSE)</f>
        <v>0</v>
      </c>
      <c r="O2717" t="str">
        <f>CONCATENATE(Query1[[#This Row],[Description]]," - ",Query1[[#This Row],[MB1]]," - ",Query1[[#This Row],[MB2]]," - ",Query1[[#This Row],[MB3]])</f>
        <v>EVAP KIT 69 CAMARO WO/AC - 830012 - 0 - 0</v>
      </c>
    </row>
    <row r="2718" spans="1:15" x14ac:dyDescent="0.25">
      <c r="A2718" s="1">
        <v>916441</v>
      </c>
      <c r="B2718" s="1" t="s">
        <v>52</v>
      </c>
      <c r="C2718" s="1" t="s">
        <v>53</v>
      </c>
      <c r="D2718" s="2">
        <v>44643.555537071756</v>
      </c>
      <c r="E2718" s="1" t="s">
        <v>8</v>
      </c>
      <c r="F2718" s="1">
        <v>1</v>
      </c>
      <c r="G2718" s="1">
        <v>0</v>
      </c>
      <c r="H2718" s="6">
        <f>INT(Query1[[#This Row],[EntryDateTime]])</f>
        <v>44643</v>
      </c>
      <c r="I2718" s="1">
        <f>IF(Query1[[#This Row],[ItemType]]="EVAP KIT SF GEN IV",Query1[[#This Row],[OrderQty]]+I2717,I2717)</f>
        <v>3284</v>
      </c>
      <c r="J2718" s="1">
        <f>IF(Query1[[#This Row],[ItemType]]="EVAP KIT UNIVERSAL",Query1[[#This Row],[OrderQty]]+J2717,J2717)</f>
        <v>1290</v>
      </c>
      <c r="K2718" s="1">
        <f>Query1[[#This Row],[SF Running Total]]+Query1[[#This Row],[UNIV Running Total]]</f>
        <v>4574</v>
      </c>
      <c r="L2718">
        <f>VLOOKUP(Query1[[#This Row],[Description]],'kits to boards'!$B$2:$E$156,2,FALSE)</f>
        <v>830017</v>
      </c>
      <c r="M2718">
        <f>VLOOKUP(Query1[[#This Row],[Description]],'kits to boards'!$B$2:$E$156,3,FALSE)</f>
        <v>830119</v>
      </c>
      <c r="N2718">
        <f>VLOOKUP(Query1[[#This Row],[Description]],'kits to boards'!$B$2:$E$156,4,FALSE)</f>
        <v>830120</v>
      </c>
      <c r="O2718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2719" spans="1:15" x14ac:dyDescent="0.25">
      <c r="A2719" s="1">
        <v>916458</v>
      </c>
      <c r="B2719" s="1" t="s">
        <v>126</v>
      </c>
      <c r="C2719" s="1" t="s">
        <v>127</v>
      </c>
      <c r="D2719" s="2">
        <v>44643.565922604168</v>
      </c>
      <c r="E2719" s="1" t="s">
        <v>8</v>
      </c>
      <c r="F2719" s="1">
        <v>1</v>
      </c>
      <c r="G2719" s="1">
        <v>0</v>
      </c>
      <c r="H2719" s="6">
        <f>INT(Query1[[#This Row],[EntryDateTime]])</f>
        <v>44643</v>
      </c>
      <c r="I2719" s="1">
        <f>IF(Query1[[#This Row],[ItemType]]="EVAP KIT SF GEN IV",Query1[[#This Row],[OrderQty]]+I2718,I2718)</f>
        <v>3285</v>
      </c>
      <c r="J2719" s="1">
        <f>IF(Query1[[#This Row],[ItemType]]="EVAP KIT UNIVERSAL",Query1[[#This Row],[OrderQty]]+J2718,J2718)</f>
        <v>1290</v>
      </c>
      <c r="K2719" s="1">
        <f>Query1[[#This Row],[SF Running Total]]+Query1[[#This Row],[UNIV Running Total]]</f>
        <v>4575</v>
      </c>
      <c r="L2719">
        <f>VLOOKUP(Query1[[#This Row],[Description]],'kits to boards'!$B$2:$E$156,2,FALSE)</f>
        <v>830080</v>
      </c>
      <c r="M2719">
        <f>VLOOKUP(Query1[[#This Row],[Description]],'kits to boards'!$B$2:$E$156,3,FALSE)</f>
        <v>0</v>
      </c>
      <c r="N2719">
        <f>VLOOKUP(Query1[[#This Row],[Description]],'kits to boards'!$B$2:$E$156,4,FALSE)</f>
        <v>0</v>
      </c>
      <c r="O2719" t="str">
        <f>CONCATENATE(Query1[[#This Row],[Description]]," - ",Query1[[#This Row],[MB1]]," - ",Query1[[#This Row],[MB2]]," - ",Query1[[#This Row],[MB3]])</f>
        <v>EVAP KIT 69-70 MUSTANG WO AC  - 830080 - 0 - 0</v>
      </c>
    </row>
    <row r="2720" spans="1:15" x14ac:dyDescent="0.25">
      <c r="A2720" s="1">
        <v>916444</v>
      </c>
      <c r="B2720" s="1" t="s">
        <v>128</v>
      </c>
      <c r="C2720" s="1" t="s">
        <v>129</v>
      </c>
      <c r="D2720" s="2">
        <v>44643.571535416668</v>
      </c>
      <c r="E2720" s="1" t="s">
        <v>8</v>
      </c>
      <c r="F2720" s="1">
        <v>1</v>
      </c>
      <c r="G2720" s="1">
        <v>0</v>
      </c>
      <c r="H2720" s="6">
        <f>INT(Query1[[#This Row],[EntryDateTime]])</f>
        <v>44643</v>
      </c>
      <c r="I2720" s="1">
        <f>IF(Query1[[#This Row],[ItemType]]="EVAP KIT SF GEN IV",Query1[[#This Row],[OrderQty]]+I2719,I2719)</f>
        <v>3286</v>
      </c>
      <c r="J2720" s="1">
        <f>IF(Query1[[#This Row],[ItemType]]="EVAP KIT UNIVERSAL",Query1[[#This Row],[OrderQty]]+J2719,J2719)</f>
        <v>1290</v>
      </c>
      <c r="K2720" s="1">
        <f>Query1[[#This Row],[SF Running Total]]+Query1[[#This Row],[UNIV Running Total]]</f>
        <v>4576</v>
      </c>
      <c r="L2720">
        <f>VLOOKUP(Query1[[#This Row],[Description]],'kits to boards'!$B$2:$E$156,2,FALSE)</f>
        <v>830036</v>
      </c>
      <c r="M2720">
        <f>VLOOKUP(Query1[[#This Row],[Description]],'kits to boards'!$B$2:$E$156,3,FALSE)</f>
        <v>830039</v>
      </c>
      <c r="N2720">
        <f>VLOOKUP(Query1[[#This Row],[Description]],'kits to boards'!$B$2:$E$156,4,FALSE)</f>
        <v>0</v>
      </c>
      <c r="O2720" t="str">
        <f>CONCATENATE(Query1[[#This Row],[Description]]," - ",Query1[[#This Row],[MB1]]," - ",Query1[[#This Row],[MB2]]," - ",Query1[[#This Row],[MB3]])</f>
        <v>EVAP KIT 63-66 VETTE WO AC - 830036 - 830039 - 0</v>
      </c>
    </row>
    <row r="2721" spans="1:15" x14ac:dyDescent="0.25">
      <c r="A2721" s="1">
        <v>916462</v>
      </c>
      <c r="B2721" s="1" t="s">
        <v>22</v>
      </c>
      <c r="C2721" s="1" t="s">
        <v>23</v>
      </c>
      <c r="D2721" s="2">
        <v>44643.573577696756</v>
      </c>
      <c r="E2721" s="1" t="s">
        <v>8</v>
      </c>
      <c r="F2721" s="1">
        <v>2</v>
      </c>
      <c r="G2721" s="1">
        <v>0</v>
      </c>
      <c r="H2721" s="6">
        <f>INT(Query1[[#This Row],[EntryDateTime]])</f>
        <v>44643</v>
      </c>
      <c r="I2721" s="1">
        <f>IF(Query1[[#This Row],[ItemType]]="EVAP KIT SF GEN IV",Query1[[#This Row],[OrderQty]]+I2720,I2720)</f>
        <v>3288</v>
      </c>
      <c r="J2721" s="1">
        <f>IF(Query1[[#This Row],[ItemType]]="EVAP KIT UNIVERSAL",Query1[[#This Row],[OrderQty]]+J2720,J2720)</f>
        <v>1290</v>
      </c>
      <c r="K2721" s="1">
        <f>Query1[[#This Row],[SF Running Total]]+Query1[[#This Row],[UNIV Running Total]]</f>
        <v>4578</v>
      </c>
      <c r="L2721">
        <f>VLOOKUP(Query1[[#This Row],[Description]],'kits to boards'!$B$2:$E$156,2,FALSE)</f>
        <v>830083</v>
      </c>
      <c r="M2721">
        <f>VLOOKUP(Query1[[#This Row],[Description]],'kits to boards'!$B$2:$E$156,3,FALSE)</f>
        <v>0</v>
      </c>
      <c r="N2721">
        <f>VLOOKUP(Query1[[#This Row],[Description]],'kits to boards'!$B$2:$E$156,4,FALSE)</f>
        <v>0</v>
      </c>
      <c r="O2721" t="str">
        <f>CONCATENATE(Query1[[#This Row],[Description]]," - ",Query1[[#This Row],[MB1]]," - ",Query1[[#This Row],[MB2]]," - ",Query1[[#This Row],[MB3]])</f>
        <v>GEN IV MAGNUM EVAP KIT - 830083 - 0 - 0</v>
      </c>
    </row>
    <row r="2722" spans="1:15" x14ac:dyDescent="0.25">
      <c r="A2722" s="1">
        <v>916462</v>
      </c>
      <c r="B2722" s="1" t="s">
        <v>24</v>
      </c>
      <c r="C2722" s="1" t="s">
        <v>25</v>
      </c>
      <c r="D2722" s="2">
        <v>44643.573709988428</v>
      </c>
      <c r="E2722" s="1" t="s">
        <v>11</v>
      </c>
      <c r="F2722" s="1">
        <v>2</v>
      </c>
      <c r="G2722" s="1">
        <v>0</v>
      </c>
      <c r="H2722" s="6">
        <f>INT(Query1[[#This Row],[EntryDateTime]])</f>
        <v>44643</v>
      </c>
      <c r="I2722" s="1">
        <f>IF(Query1[[#This Row],[ItemType]]="EVAP KIT SF GEN IV",Query1[[#This Row],[OrderQty]]+I2721,I2721)</f>
        <v>3288</v>
      </c>
      <c r="J2722" s="1">
        <f>IF(Query1[[#This Row],[ItemType]]="EVAP KIT UNIVERSAL",Query1[[#This Row],[OrderQty]]+J2721,J2721)</f>
        <v>1292</v>
      </c>
      <c r="K2722" s="1">
        <f>Query1[[#This Row],[SF Running Total]]+Query1[[#This Row],[UNIV Running Total]]</f>
        <v>4580</v>
      </c>
      <c r="L2722">
        <f>VLOOKUP(Query1[[#This Row],[Description]],'kits to boards'!$B$2:$E$156,2,FALSE)</f>
        <v>830029</v>
      </c>
      <c r="M2722">
        <f>VLOOKUP(Query1[[#This Row],[Description]],'kits to boards'!$B$2:$E$156,3,FALSE)</f>
        <v>830030</v>
      </c>
      <c r="N2722">
        <f>VLOOKUP(Query1[[#This Row],[Description]],'kits to boards'!$B$2:$E$156,4,FALSE)</f>
        <v>0</v>
      </c>
      <c r="O2722" t="str">
        <f>CONCATENATE(Query1[[#This Row],[Description]]," - ",Query1[[#This Row],[MB1]]," - ",Query1[[#This Row],[MB2]]," - ",Query1[[#This Row],[MB3]])</f>
        <v>ComPac GEN II W/DEF - 830029 - 830030 - 0</v>
      </c>
    </row>
    <row r="2723" spans="1:15" x14ac:dyDescent="0.25">
      <c r="A2723" s="1">
        <v>916464</v>
      </c>
      <c r="B2723" s="1" t="s">
        <v>102</v>
      </c>
      <c r="C2723" s="1" t="s">
        <v>103</v>
      </c>
      <c r="D2723" s="2">
        <v>44643.575895682872</v>
      </c>
      <c r="E2723" s="1" t="s">
        <v>8</v>
      </c>
      <c r="F2723" s="1">
        <v>4</v>
      </c>
      <c r="G2723" s="1">
        <v>0</v>
      </c>
      <c r="H2723" s="6">
        <f>INT(Query1[[#This Row],[EntryDateTime]])</f>
        <v>44643</v>
      </c>
      <c r="I2723" s="1">
        <f>IF(Query1[[#This Row],[ItemType]]="EVAP KIT SF GEN IV",Query1[[#This Row],[OrderQty]]+I2722,I2722)</f>
        <v>3292</v>
      </c>
      <c r="J2723" s="1">
        <f>IF(Query1[[#This Row],[ItemType]]="EVAP KIT UNIVERSAL",Query1[[#This Row],[OrderQty]]+J2722,J2722)</f>
        <v>1292</v>
      </c>
      <c r="K2723" s="1">
        <f>Query1[[#This Row],[SF Running Total]]+Query1[[#This Row],[UNIV Running Total]]</f>
        <v>4584</v>
      </c>
      <c r="L2723">
        <f>VLOOKUP(Query1[[#This Row],[Description]],'kits to boards'!$B$2:$E$156,2,FALSE)</f>
        <v>830012</v>
      </c>
      <c r="M2723">
        <f>VLOOKUP(Query1[[#This Row],[Description]],'kits to boards'!$B$2:$E$156,3,FALSE)</f>
        <v>0</v>
      </c>
      <c r="N2723">
        <f>VLOOKUP(Query1[[#This Row],[Description]],'kits to boards'!$B$2:$E$156,4,FALSE)</f>
        <v>0</v>
      </c>
      <c r="O2723" t="str">
        <f>CONCATENATE(Query1[[#This Row],[Description]]," - ",Query1[[#This Row],[MB1]]," - ",Query1[[#This Row],[MB2]]," - ",Query1[[#This Row],[MB3]])</f>
        <v>EVAP KIT 69 CAMARO WO/AC - 830012 - 0 - 0</v>
      </c>
    </row>
    <row r="2724" spans="1:15" x14ac:dyDescent="0.25">
      <c r="A2724" s="1">
        <v>916430</v>
      </c>
      <c r="B2724" s="1" t="s">
        <v>114</v>
      </c>
      <c r="C2724" s="1" t="s">
        <v>115</v>
      </c>
      <c r="D2724" s="2">
        <v>44643.587829085649</v>
      </c>
      <c r="E2724" s="1" t="s">
        <v>8</v>
      </c>
      <c r="F2724" s="1">
        <v>1</v>
      </c>
      <c r="G2724" s="1">
        <v>0</v>
      </c>
      <c r="H2724" s="6">
        <f>INT(Query1[[#This Row],[EntryDateTime]])</f>
        <v>44643</v>
      </c>
      <c r="I2724" s="1">
        <f>IF(Query1[[#This Row],[ItemType]]="EVAP KIT SF GEN IV",Query1[[#This Row],[OrderQty]]+I2723,I2723)</f>
        <v>3293</v>
      </c>
      <c r="J2724" s="1">
        <f>IF(Query1[[#This Row],[ItemType]]="EVAP KIT UNIVERSAL",Query1[[#This Row],[OrderQty]]+J2723,J2723)</f>
        <v>1292</v>
      </c>
      <c r="K2724" s="1">
        <f>Query1[[#This Row],[SF Running Total]]+Query1[[#This Row],[UNIV Running Total]]</f>
        <v>4585</v>
      </c>
      <c r="L2724">
        <f>VLOOKUP(Query1[[#This Row],[Description]],'kits to boards'!$B$2:$E$156,2,FALSE)</f>
        <v>830059</v>
      </c>
      <c r="M2724">
        <f>VLOOKUP(Query1[[#This Row],[Description]],'kits to boards'!$B$2:$E$156,3,FALSE)</f>
        <v>0</v>
      </c>
      <c r="N2724">
        <f>VLOOKUP(Query1[[#This Row],[Description]],'kits to boards'!$B$2:$E$156,4,FALSE)</f>
        <v>0</v>
      </c>
      <c r="O2724" t="str">
        <f>CONCATENATE(Query1[[#This Row],[Description]]," - ",Query1[[#This Row],[MB1]]," - ",Query1[[#This Row],[MB2]]," - ",Query1[[#This Row],[MB3]])</f>
        <v>EVAP KIT 66-67 CHEVELLE W/AC - 830059 - 0 - 0</v>
      </c>
    </row>
    <row r="2725" spans="1:15" x14ac:dyDescent="0.25">
      <c r="A2725" s="1">
        <v>916473</v>
      </c>
      <c r="B2725" s="1" t="s">
        <v>56</v>
      </c>
      <c r="C2725" s="1" t="s">
        <v>57</v>
      </c>
      <c r="D2725" s="2">
        <v>44643.59271099537</v>
      </c>
      <c r="E2725" s="1" t="s">
        <v>8</v>
      </c>
      <c r="F2725" s="1">
        <v>1</v>
      </c>
      <c r="G2725" s="1">
        <v>0</v>
      </c>
      <c r="H2725" s="6">
        <f>INT(Query1[[#This Row],[EntryDateTime]])</f>
        <v>44643</v>
      </c>
      <c r="I2725" s="1">
        <f>IF(Query1[[#This Row],[ItemType]]="EVAP KIT SF GEN IV",Query1[[#This Row],[OrderQty]]+I2724,I2724)</f>
        <v>3294</v>
      </c>
      <c r="J2725" s="1">
        <f>IF(Query1[[#This Row],[ItemType]]="EVAP KIT UNIVERSAL",Query1[[#This Row],[OrderQty]]+J2724,J2724)</f>
        <v>1292</v>
      </c>
      <c r="K2725" s="1">
        <f>Query1[[#This Row],[SF Running Total]]+Query1[[#This Row],[UNIV Running Total]]</f>
        <v>4586</v>
      </c>
      <c r="L2725">
        <f>VLOOKUP(Query1[[#This Row],[Description]],'kits to boards'!$B$2:$E$156,2,FALSE)</f>
        <v>830011</v>
      </c>
      <c r="M2725">
        <f>VLOOKUP(Query1[[#This Row],[Description]],'kits to boards'!$B$2:$E$156,3,FALSE)</f>
        <v>0</v>
      </c>
      <c r="N2725">
        <f>VLOOKUP(Query1[[#This Row],[Description]],'kits to boards'!$B$2:$E$156,4,FALSE)</f>
        <v>0</v>
      </c>
      <c r="O2725" t="str">
        <f>CONCATENATE(Query1[[#This Row],[Description]]," - ",Query1[[#This Row],[MB1]]," - ",Query1[[#This Row],[MB2]]," - ",Query1[[#This Row],[MB3]])</f>
        <v>EVAP KIT 70-72 CHEVELLE W/AC - 830011 - 0 - 0</v>
      </c>
    </row>
    <row r="2726" spans="1:15" x14ac:dyDescent="0.25">
      <c r="A2726" s="1">
        <v>916475</v>
      </c>
      <c r="B2726" s="1" t="s">
        <v>86</v>
      </c>
      <c r="C2726" s="1" t="s">
        <v>87</v>
      </c>
      <c r="D2726" s="2">
        <v>44643.596217905091</v>
      </c>
      <c r="E2726" s="1" t="s">
        <v>8</v>
      </c>
      <c r="F2726" s="1">
        <v>1</v>
      </c>
      <c r="G2726" s="1">
        <v>0</v>
      </c>
      <c r="H2726" s="6">
        <f>INT(Query1[[#This Row],[EntryDateTime]])</f>
        <v>44643</v>
      </c>
      <c r="I2726" s="1">
        <f>IF(Query1[[#This Row],[ItemType]]="EVAP KIT SF GEN IV",Query1[[#This Row],[OrderQty]]+I2725,I2725)</f>
        <v>3295</v>
      </c>
      <c r="J2726" s="1">
        <f>IF(Query1[[#This Row],[ItemType]]="EVAP KIT UNIVERSAL",Query1[[#This Row],[OrderQty]]+J2725,J2725)</f>
        <v>1292</v>
      </c>
      <c r="K2726" s="1">
        <f>Query1[[#This Row],[SF Running Total]]+Query1[[#This Row],[UNIV Running Total]]</f>
        <v>4587</v>
      </c>
      <c r="L2726">
        <f>VLOOKUP(Query1[[#This Row],[Description]],'kits to boards'!$B$2:$E$156,2,FALSE)</f>
        <v>830048</v>
      </c>
      <c r="M2726">
        <f>VLOOKUP(Query1[[#This Row],[Description]],'kits to boards'!$B$2:$E$156,3,FALSE)</f>
        <v>0</v>
      </c>
      <c r="N2726">
        <f>VLOOKUP(Query1[[#This Row],[Description]],'kits to boards'!$B$2:$E$156,4,FALSE)</f>
        <v>0</v>
      </c>
      <c r="O2726" t="str">
        <f>CONCATENATE(Query1[[#This Row],[Description]]," - ",Query1[[#This Row],[MB1]]," - ",Query1[[#This Row],[MB2]]," - ",Query1[[#This Row],[MB3]])</f>
        <v>EVAP KIT 66-67 NOVA - 830048 - 0 - 0</v>
      </c>
    </row>
    <row r="2727" spans="1:15" x14ac:dyDescent="0.25">
      <c r="A2727" s="1">
        <v>916477</v>
      </c>
      <c r="B2727" s="1" t="s">
        <v>82</v>
      </c>
      <c r="C2727" s="1" t="s">
        <v>83</v>
      </c>
      <c r="D2727" s="2">
        <v>44643.599613969905</v>
      </c>
      <c r="E2727" s="1" t="s">
        <v>11</v>
      </c>
      <c r="F2727" s="1">
        <v>1</v>
      </c>
      <c r="G2727" s="1">
        <v>0</v>
      </c>
      <c r="H2727" s="6">
        <f>INT(Query1[[#This Row],[EntryDateTime]])</f>
        <v>44643</v>
      </c>
      <c r="I2727" s="1">
        <f>IF(Query1[[#This Row],[ItemType]]="EVAP KIT SF GEN IV",Query1[[#This Row],[OrderQty]]+I2726,I2726)</f>
        <v>3295</v>
      </c>
      <c r="J2727" s="1">
        <f>IF(Query1[[#This Row],[ItemType]]="EVAP KIT UNIVERSAL",Query1[[#This Row],[OrderQty]]+J2726,J2726)</f>
        <v>1293</v>
      </c>
      <c r="K2727" s="1">
        <f>Query1[[#This Row],[SF Running Total]]+Query1[[#This Row],[UNIV Running Total]]</f>
        <v>4588</v>
      </c>
      <c r="L2727">
        <f>VLOOKUP(Query1[[#This Row],[Description]],'kits to boards'!$B$2:$E$156,2,FALSE)</f>
        <v>830029</v>
      </c>
      <c r="M2727">
        <f>VLOOKUP(Query1[[#This Row],[Description]],'kits to boards'!$B$2:$E$156,3,FALSE)</f>
        <v>830030</v>
      </c>
      <c r="N2727">
        <f>VLOOKUP(Query1[[#This Row],[Description]],'kits to boards'!$B$2:$E$156,4,FALSE)</f>
        <v>0</v>
      </c>
      <c r="O2727" t="str">
        <f>CONCATENATE(Query1[[#This Row],[Description]]," - ",Query1[[#This Row],[MB1]]," - ",Query1[[#This Row],[MB2]]," - ",Query1[[#This Row],[MB3]])</f>
        <v>ComPac GEN II H/C - 830029 - 830030 - 0</v>
      </c>
    </row>
    <row r="2728" spans="1:15" x14ac:dyDescent="0.25">
      <c r="A2728" s="1">
        <v>916476</v>
      </c>
      <c r="B2728" s="1" t="s">
        <v>247</v>
      </c>
      <c r="C2728" s="1" t="s">
        <v>248</v>
      </c>
      <c r="D2728" s="2">
        <v>44643.600347685184</v>
      </c>
      <c r="E2728" s="1" t="s">
        <v>8</v>
      </c>
      <c r="F2728" s="1">
        <v>1</v>
      </c>
      <c r="G2728" s="1">
        <v>0</v>
      </c>
      <c r="H2728" s="6">
        <f>INT(Query1[[#This Row],[EntryDateTime]])</f>
        <v>44643</v>
      </c>
      <c r="I2728" s="1">
        <f>IF(Query1[[#This Row],[ItemType]]="EVAP KIT SF GEN IV",Query1[[#This Row],[OrderQty]]+I2727,I2727)</f>
        <v>3296</v>
      </c>
      <c r="J2728" s="1">
        <f>IF(Query1[[#This Row],[ItemType]]="EVAP KIT UNIVERSAL",Query1[[#This Row],[OrderQty]]+J2727,J2727)</f>
        <v>1293</v>
      </c>
      <c r="K2728" s="1">
        <f>Query1[[#This Row],[SF Running Total]]+Query1[[#This Row],[UNIV Running Total]]</f>
        <v>4589</v>
      </c>
      <c r="L2728">
        <f>VLOOKUP(Query1[[#This Row],[Description]],'kits to boards'!$B$2:$E$156,2,FALSE)</f>
        <v>830107</v>
      </c>
      <c r="M2728">
        <f>VLOOKUP(Query1[[#This Row],[Description]],'kits to boards'!$B$2:$E$156,3,FALSE)</f>
        <v>0</v>
      </c>
      <c r="N2728">
        <f>VLOOKUP(Query1[[#This Row],[Description]],'kits to boards'!$B$2:$E$156,4,FALSE)</f>
        <v>0</v>
      </c>
      <c r="O2728" t="str">
        <f>CONCATENATE(Query1[[#This Row],[Description]]," - ",Query1[[#This Row],[MB1]]," - ",Query1[[#This Row],[MB2]]," - ",Query1[[#This Row],[MB3]])</f>
        <v>EVAP KIT 69 FIREBIRD W/AC - 830107 - 0 - 0</v>
      </c>
    </row>
    <row r="2729" spans="1:15" x14ac:dyDescent="0.25">
      <c r="A2729" s="1">
        <v>916245</v>
      </c>
      <c r="B2729" s="1" t="s">
        <v>12</v>
      </c>
      <c r="C2729" s="1" t="s">
        <v>13</v>
      </c>
      <c r="D2729" s="2">
        <v>44643.602128009261</v>
      </c>
      <c r="E2729" s="1" t="s">
        <v>8</v>
      </c>
      <c r="F2729" s="1">
        <v>1</v>
      </c>
      <c r="G2729" s="1">
        <v>0</v>
      </c>
      <c r="H2729" s="6">
        <f>INT(Query1[[#This Row],[EntryDateTime]])</f>
        <v>44643</v>
      </c>
      <c r="I2729" s="1">
        <f>IF(Query1[[#This Row],[ItemType]]="EVAP KIT SF GEN IV",Query1[[#This Row],[OrderQty]]+I2728,I2728)</f>
        <v>3297</v>
      </c>
      <c r="J2729" s="1">
        <f>IF(Query1[[#This Row],[ItemType]]="EVAP KIT UNIVERSAL",Query1[[#This Row],[OrderQty]]+J2728,J2728)</f>
        <v>1293</v>
      </c>
      <c r="K2729" s="1">
        <f>Query1[[#This Row],[SF Running Total]]+Query1[[#This Row],[UNIV Running Total]]</f>
        <v>4590</v>
      </c>
      <c r="L2729">
        <f>VLOOKUP(Query1[[#This Row],[Description]],'kits to boards'!$B$2:$E$156,2,FALSE)</f>
        <v>830079</v>
      </c>
      <c r="M2729">
        <f>VLOOKUP(Query1[[#This Row],[Description]],'kits to boards'!$B$2:$E$156,3,FALSE)</f>
        <v>830046</v>
      </c>
      <c r="N2729">
        <f>VLOOKUP(Query1[[#This Row],[Description]],'kits to boards'!$B$2:$E$156,4,FALSE)</f>
        <v>0</v>
      </c>
      <c r="O2729" t="str">
        <f>CONCATENATE(Query1[[#This Row],[Description]]," - ",Query1[[#This Row],[MB1]]," - ",Query1[[#This Row],[MB2]]," - ",Query1[[#This Row],[MB3]])</f>
        <v>EVAP KIT 67-68 MUSTANG/COUGAR W/AC - 830079 - 830046 - 0</v>
      </c>
    </row>
    <row r="2730" spans="1:15" x14ac:dyDescent="0.25">
      <c r="A2730" s="1">
        <v>916481</v>
      </c>
      <c r="B2730" s="1" t="s">
        <v>240</v>
      </c>
      <c r="C2730" s="1" t="s">
        <v>241</v>
      </c>
      <c r="D2730" s="2">
        <v>44643.60546377315</v>
      </c>
      <c r="E2730" s="1" t="s">
        <v>8</v>
      </c>
      <c r="F2730" s="1">
        <v>1</v>
      </c>
      <c r="G2730" s="1">
        <v>0</v>
      </c>
      <c r="H2730" s="6">
        <f>INT(Query1[[#This Row],[EntryDateTime]])</f>
        <v>44643</v>
      </c>
      <c r="I2730" s="1">
        <f>IF(Query1[[#This Row],[ItemType]]="EVAP KIT SF GEN IV",Query1[[#This Row],[OrderQty]]+I2729,I2729)</f>
        <v>3298</v>
      </c>
      <c r="J2730" s="1">
        <f>IF(Query1[[#This Row],[ItemType]]="EVAP KIT UNIVERSAL",Query1[[#This Row],[OrderQty]]+J2729,J2729)</f>
        <v>1293</v>
      </c>
      <c r="K2730" s="1">
        <f>Query1[[#This Row],[SF Running Total]]+Query1[[#This Row],[UNIV Running Total]]</f>
        <v>4591</v>
      </c>
      <c r="L2730">
        <f>VLOOKUP(Query1[[#This Row],[Description]],'kits to boards'!$B$2:$E$156,2,FALSE)</f>
        <v>830032</v>
      </c>
      <c r="M2730">
        <f>VLOOKUP(Query1[[#This Row],[Description]],'kits to boards'!$B$2:$E$156,3,FALSE)</f>
        <v>0</v>
      </c>
      <c r="N2730">
        <f>VLOOKUP(Query1[[#This Row],[Description]],'kits to boards'!$B$2:$E$156,4,FALSE)</f>
        <v>0</v>
      </c>
      <c r="O2730" t="str">
        <f>CONCATENATE(Query1[[#This Row],[Description]]," - ",Query1[[#This Row],[MB1]]," - ",Query1[[#This Row],[MB2]]," - ",Query1[[#This Row],[MB3]])</f>
        <v>EVAP KIT 58-60 VETTE - 830032 - 0 - 0</v>
      </c>
    </row>
    <row r="2731" spans="1:15" x14ac:dyDescent="0.25">
      <c r="A2731" s="1">
        <v>916412</v>
      </c>
      <c r="B2731" s="1" t="s">
        <v>22</v>
      </c>
      <c r="C2731" s="1" t="s">
        <v>23</v>
      </c>
      <c r="D2731" s="2">
        <v>44643.607479861108</v>
      </c>
      <c r="E2731" s="1" t="s">
        <v>8</v>
      </c>
      <c r="F2731" s="1">
        <v>1</v>
      </c>
      <c r="G2731" s="1">
        <v>0</v>
      </c>
      <c r="H2731" s="6">
        <f>INT(Query1[[#This Row],[EntryDateTime]])</f>
        <v>44643</v>
      </c>
      <c r="I2731" s="1">
        <f>IF(Query1[[#This Row],[ItemType]]="EVAP KIT SF GEN IV",Query1[[#This Row],[OrderQty]]+I2730,I2730)</f>
        <v>3299</v>
      </c>
      <c r="J2731" s="1">
        <f>IF(Query1[[#This Row],[ItemType]]="EVAP KIT UNIVERSAL",Query1[[#This Row],[OrderQty]]+J2730,J2730)</f>
        <v>1293</v>
      </c>
      <c r="K2731" s="1">
        <f>Query1[[#This Row],[SF Running Total]]+Query1[[#This Row],[UNIV Running Total]]</f>
        <v>4592</v>
      </c>
      <c r="L2731">
        <f>VLOOKUP(Query1[[#This Row],[Description]],'kits to boards'!$B$2:$E$156,2,FALSE)</f>
        <v>830083</v>
      </c>
      <c r="M2731">
        <f>VLOOKUP(Query1[[#This Row],[Description]],'kits to boards'!$B$2:$E$156,3,FALSE)</f>
        <v>0</v>
      </c>
      <c r="N2731">
        <f>VLOOKUP(Query1[[#This Row],[Description]],'kits to boards'!$B$2:$E$156,4,FALSE)</f>
        <v>0</v>
      </c>
      <c r="O2731" t="str">
        <f>CONCATENATE(Query1[[#This Row],[Description]]," - ",Query1[[#This Row],[MB1]]," - ",Query1[[#This Row],[MB2]]," - ",Query1[[#This Row],[MB3]])</f>
        <v>GEN IV MAGNUM EVAP KIT - 830083 - 0 - 0</v>
      </c>
    </row>
    <row r="2732" spans="1:15" x14ac:dyDescent="0.25">
      <c r="A2732" s="1">
        <v>916489</v>
      </c>
      <c r="B2732" s="1" t="s">
        <v>78</v>
      </c>
      <c r="C2732" s="1" t="s">
        <v>79</v>
      </c>
      <c r="D2732" s="2">
        <v>44643.613544131942</v>
      </c>
      <c r="E2732" s="1" t="s">
        <v>11</v>
      </c>
      <c r="F2732" s="1">
        <v>1</v>
      </c>
      <c r="G2732" s="1">
        <v>0</v>
      </c>
      <c r="H2732" s="6">
        <f>INT(Query1[[#This Row],[EntryDateTime]])</f>
        <v>44643</v>
      </c>
      <c r="I2732" s="1">
        <f>IF(Query1[[#This Row],[ItemType]]="EVAP KIT SF GEN IV",Query1[[#This Row],[OrderQty]]+I2731,I2731)</f>
        <v>3299</v>
      </c>
      <c r="J2732" s="1">
        <f>IF(Query1[[#This Row],[ItemType]]="EVAP KIT UNIVERSAL",Query1[[#This Row],[OrderQty]]+J2731,J2731)</f>
        <v>1294</v>
      </c>
      <c r="K2732" s="1">
        <f>Query1[[#This Row],[SF Running Total]]+Query1[[#This Row],[UNIV Running Total]]</f>
        <v>4593</v>
      </c>
      <c r="L2732">
        <f>VLOOKUP(Query1[[#This Row],[Description]],'kits to boards'!$B$2:$E$156,2,FALSE)</f>
        <v>0</v>
      </c>
      <c r="M2732">
        <f>VLOOKUP(Query1[[#This Row],[Description]],'kits to boards'!$B$2:$E$156,3,FALSE)</f>
        <v>0</v>
      </c>
      <c r="N2732">
        <f>VLOOKUP(Query1[[#This Row],[Description]],'kits to boards'!$B$2:$E$156,4,FALSE)</f>
        <v>0</v>
      </c>
      <c r="O2732" t="str">
        <f>CONCATENATE(Query1[[#This Row],[Description]]," - ",Query1[[#This Row],[MB1]]," - ",Query1[[#This Row],[MB2]]," - ",Query1[[#This Row],[MB3]])</f>
        <v>MARK IV STYLELINE UNDERDASH EVAP - 0 - 0 - 0</v>
      </c>
    </row>
    <row r="2733" spans="1:15" x14ac:dyDescent="0.25">
      <c r="A2733" s="1">
        <v>916488</v>
      </c>
      <c r="B2733" s="1" t="s">
        <v>74</v>
      </c>
      <c r="C2733" s="1" t="s">
        <v>75</v>
      </c>
      <c r="D2733" s="2">
        <v>44643.61357361111</v>
      </c>
      <c r="E2733" s="1" t="s">
        <v>8</v>
      </c>
      <c r="F2733" s="1">
        <v>1</v>
      </c>
      <c r="G2733" s="1">
        <v>0</v>
      </c>
      <c r="H2733" s="6">
        <f>INT(Query1[[#This Row],[EntryDateTime]])</f>
        <v>44643</v>
      </c>
      <c r="I2733" s="1">
        <f>IF(Query1[[#This Row],[ItemType]]="EVAP KIT SF GEN IV",Query1[[#This Row],[OrderQty]]+I2732,I2732)</f>
        <v>3300</v>
      </c>
      <c r="J2733" s="1">
        <f>IF(Query1[[#This Row],[ItemType]]="EVAP KIT UNIVERSAL",Query1[[#This Row],[OrderQty]]+J2732,J2732)</f>
        <v>1294</v>
      </c>
      <c r="K2733" s="1">
        <f>Query1[[#This Row],[SF Running Total]]+Query1[[#This Row],[UNIV Running Total]]</f>
        <v>4594</v>
      </c>
      <c r="L2733">
        <f>VLOOKUP(Query1[[#This Row],[Description]],'kits to boards'!$B$2:$E$156,2,FALSE)</f>
        <v>830065</v>
      </c>
      <c r="M2733">
        <f>VLOOKUP(Query1[[#This Row],[Description]],'kits to boards'!$B$2:$E$156,3,FALSE)</f>
        <v>0</v>
      </c>
      <c r="N2733">
        <f>VLOOKUP(Query1[[#This Row],[Description]],'kits to boards'!$B$2:$E$156,4,FALSE)</f>
        <v>0</v>
      </c>
      <c r="O2733" t="str">
        <f>CONCATENATE(Query1[[#This Row],[Description]]," - ",Query1[[#This Row],[MB1]]," - ",Query1[[#This Row],[MB2]]," - ",Query1[[#This Row],[MB3]])</f>
        <v>EVAP KIT 57 CHEV WO AC 4-VENT PLENUM - 830065 - 0 - 0</v>
      </c>
    </row>
    <row r="2734" spans="1:15" x14ac:dyDescent="0.25">
      <c r="A2734" s="1">
        <v>916341</v>
      </c>
      <c r="B2734" s="1" t="s">
        <v>24</v>
      </c>
      <c r="C2734" s="1" t="s">
        <v>25</v>
      </c>
      <c r="D2734" s="2">
        <v>44643.621009953706</v>
      </c>
      <c r="E2734" s="1" t="s">
        <v>11</v>
      </c>
      <c r="F2734" s="1">
        <v>1</v>
      </c>
      <c r="G2734" s="1">
        <v>0</v>
      </c>
      <c r="H2734" s="6">
        <f>INT(Query1[[#This Row],[EntryDateTime]])</f>
        <v>44643</v>
      </c>
      <c r="I2734" s="1">
        <f>IF(Query1[[#This Row],[ItemType]]="EVAP KIT SF GEN IV",Query1[[#This Row],[OrderQty]]+I2733,I2733)</f>
        <v>3300</v>
      </c>
      <c r="J2734" s="1">
        <f>IF(Query1[[#This Row],[ItemType]]="EVAP KIT UNIVERSAL",Query1[[#This Row],[OrderQty]]+J2733,J2733)</f>
        <v>1295</v>
      </c>
      <c r="K2734" s="1">
        <f>Query1[[#This Row],[SF Running Total]]+Query1[[#This Row],[UNIV Running Total]]</f>
        <v>4595</v>
      </c>
      <c r="L2734">
        <f>VLOOKUP(Query1[[#This Row],[Description]],'kits to boards'!$B$2:$E$156,2,FALSE)</f>
        <v>830029</v>
      </c>
      <c r="M2734">
        <f>VLOOKUP(Query1[[#This Row],[Description]],'kits to boards'!$B$2:$E$156,3,FALSE)</f>
        <v>830030</v>
      </c>
      <c r="N2734">
        <f>VLOOKUP(Query1[[#This Row],[Description]],'kits to boards'!$B$2:$E$156,4,FALSE)</f>
        <v>0</v>
      </c>
      <c r="O2734" t="str">
        <f>CONCATENATE(Query1[[#This Row],[Description]]," - ",Query1[[#This Row],[MB1]]," - ",Query1[[#This Row],[MB2]]," - ",Query1[[#This Row],[MB3]])</f>
        <v>ComPac GEN II W/DEF - 830029 - 830030 - 0</v>
      </c>
    </row>
    <row r="2735" spans="1:15" x14ac:dyDescent="0.25">
      <c r="A2735" s="1">
        <v>916496</v>
      </c>
      <c r="B2735" s="1" t="s">
        <v>88</v>
      </c>
      <c r="C2735" s="1" t="s">
        <v>89</v>
      </c>
      <c r="D2735" s="2">
        <v>44643.622192013892</v>
      </c>
      <c r="E2735" s="1" t="s">
        <v>8</v>
      </c>
      <c r="F2735" s="1">
        <v>1</v>
      </c>
      <c r="G2735" s="1">
        <v>0</v>
      </c>
      <c r="H2735" s="6">
        <f>INT(Query1[[#This Row],[EntryDateTime]])</f>
        <v>44643</v>
      </c>
      <c r="I2735" s="1">
        <f>IF(Query1[[#This Row],[ItemType]]="EVAP KIT SF GEN IV",Query1[[#This Row],[OrderQty]]+I2734,I2734)</f>
        <v>3301</v>
      </c>
      <c r="J2735" s="1">
        <f>IF(Query1[[#This Row],[ItemType]]="EVAP KIT UNIVERSAL",Query1[[#This Row],[OrderQty]]+J2734,J2734)</f>
        <v>1295</v>
      </c>
      <c r="K2735" s="1">
        <f>Query1[[#This Row],[SF Running Total]]+Query1[[#This Row],[UNIV Running Total]]</f>
        <v>4596</v>
      </c>
      <c r="L2735">
        <f>VLOOKUP(Query1[[#This Row],[Description]],'kits to boards'!$B$2:$E$156,2,FALSE)</f>
        <v>830003</v>
      </c>
      <c r="M2735">
        <f>VLOOKUP(Query1[[#This Row],[Description]],'kits to boards'!$B$2:$E$156,3,FALSE)</f>
        <v>0</v>
      </c>
      <c r="N2735">
        <f>VLOOKUP(Query1[[#This Row],[Description]],'kits to boards'!$B$2:$E$156,4,FALSE)</f>
        <v>0</v>
      </c>
      <c r="O2735" t="str">
        <f>CONCATENATE(Query1[[#This Row],[Description]]," - ",Query1[[#This Row],[MB1]]," - ",Query1[[#This Row],[MB2]]," - ",Query1[[#This Row],[MB3]])</f>
        <v>EVAP KIT 81-87 CHEV P-UP WO AC - 830003 - 0 - 0</v>
      </c>
    </row>
    <row r="2736" spans="1:15" x14ac:dyDescent="0.25">
      <c r="A2736" s="1">
        <v>914816</v>
      </c>
      <c r="B2736" s="1" t="s">
        <v>152</v>
      </c>
      <c r="C2736" s="1" t="s">
        <v>153</v>
      </c>
      <c r="D2736" s="2">
        <v>44643.623570451389</v>
      </c>
      <c r="E2736" s="1" t="s">
        <v>8</v>
      </c>
      <c r="F2736" s="1">
        <v>1</v>
      </c>
      <c r="G2736" s="1">
        <v>0</v>
      </c>
      <c r="H2736" s="6">
        <f>INT(Query1[[#This Row],[EntryDateTime]])</f>
        <v>44643</v>
      </c>
      <c r="I2736" s="1">
        <f>IF(Query1[[#This Row],[ItemType]]="EVAP KIT SF GEN IV",Query1[[#This Row],[OrderQty]]+I2735,I2735)</f>
        <v>3302</v>
      </c>
      <c r="J2736" s="1">
        <f>IF(Query1[[#This Row],[ItemType]]="EVAP KIT UNIVERSAL",Query1[[#This Row],[OrderQty]]+J2735,J2735)</f>
        <v>1295</v>
      </c>
      <c r="K2736" s="1">
        <f>Query1[[#This Row],[SF Running Total]]+Query1[[#This Row],[UNIV Running Total]]</f>
        <v>4597</v>
      </c>
      <c r="L2736">
        <f>VLOOKUP(Query1[[#This Row],[Description]],'kits to boards'!$B$2:$E$156,2,FALSE)</f>
        <v>830034</v>
      </c>
      <c r="M2736">
        <f>VLOOKUP(Query1[[#This Row],[Description]],'kits to boards'!$B$2:$E$156,3,FALSE)</f>
        <v>0</v>
      </c>
      <c r="N2736">
        <f>VLOOKUP(Query1[[#This Row],[Description]],'kits to boards'!$B$2:$E$156,4,FALSE)</f>
        <v>0</v>
      </c>
      <c r="O2736" t="str">
        <f>CONCATENATE(Query1[[#This Row],[Description]]," - ",Query1[[#This Row],[MB1]]," - ",Query1[[#This Row],[MB2]]," - ",Query1[[#This Row],[MB3]])</f>
        <v>EVAP KIT 64-67 GTO WO AC - 830034 - 0 - 0</v>
      </c>
    </row>
    <row r="2737" spans="1:15" x14ac:dyDescent="0.25">
      <c r="A2737" s="1">
        <v>916499</v>
      </c>
      <c r="B2737" s="1" t="s">
        <v>200</v>
      </c>
      <c r="C2737" s="1" t="s">
        <v>201</v>
      </c>
      <c r="D2737" s="2">
        <v>44643.62369108796</v>
      </c>
      <c r="E2737" s="1" t="s">
        <v>11</v>
      </c>
      <c r="F2737" s="1">
        <v>1</v>
      </c>
      <c r="G2737" s="1">
        <v>0</v>
      </c>
      <c r="H2737" s="6">
        <f>INT(Query1[[#This Row],[EntryDateTime]])</f>
        <v>44643</v>
      </c>
      <c r="I2737" s="1">
        <f>IF(Query1[[#This Row],[ItemType]]="EVAP KIT SF GEN IV",Query1[[#This Row],[OrderQty]]+I2736,I2736)</f>
        <v>3302</v>
      </c>
      <c r="J2737" s="1">
        <f>IF(Query1[[#This Row],[ItemType]]="EVAP KIT UNIVERSAL",Query1[[#This Row],[OrderQty]]+J2736,J2736)</f>
        <v>1296</v>
      </c>
      <c r="K2737" s="1">
        <f>Query1[[#This Row],[SF Running Total]]+Query1[[#This Row],[UNIV Running Total]]</f>
        <v>4598</v>
      </c>
      <c r="L2737">
        <f>VLOOKUP(Query1[[#This Row],[Description]],'kits to boards'!$B$2:$E$156,2,FALSE)</f>
        <v>830070</v>
      </c>
      <c r="M2737">
        <f>VLOOKUP(Query1[[#This Row],[Description]],'kits to boards'!$B$2:$E$156,3,FALSE)</f>
        <v>0</v>
      </c>
      <c r="N2737">
        <f>VLOOKUP(Query1[[#This Row],[Description]],'kits to boards'!$B$2:$E$156,4,FALSE)</f>
        <v>0</v>
      </c>
      <c r="O2737" t="str">
        <f>CONCATENATE(Query1[[#This Row],[Description]]," - ",Query1[[#This Row],[MB1]]," - ",Query1[[#This Row],[MB2]]," - ",Query1[[#This Row],[MB3]])</f>
        <v>SHORT PACK H/C W/STD CNTL - 830070 - 0 - 0</v>
      </c>
    </row>
    <row r="2738" spans="1:15" x14ac:dyDescent="0.25">
      <c r="A2738" s="1">
        <v>916468</v>
      </c>
      <c r="B2738" s="1" t="s">
        <v>36</v>
      </c>
      <c r="C2738" s="1" t="s">
        <v>37</v>
      </c>
      <c r="D2738" s="2">
        <v>44643.630071446758</v>
      </c>
      <c r="E2738" s="1" t="s">
        <v>8</v>
      </c>
      <c r="F2738" s="1">
        <v>1</v>
      </c>
      <c r="G2738" s="1">
        <v>0</v>
      </c>
      <c r="H2738" s="6">
        <f>INT(Query1[[#This Row],[EntryDateTime]])</f>
        <v>44643</v>
      </c>
      <c r="I2738" s="1">
        <f>IF(Query1[[#This Row],[ItemType]]="EVAP KIT SF GEN IV",Query1[[#This Row],[OrderQty]]+I2737,I2737)</f>
        <v>3303</v>
      </c>
      <c r="J2738" s="1">
        <f>IF(Query1[[#This Row],[ItemType]]="EVAP KIT UNIVERSAL",Query1[[#This Row],[OrderQty]]+J2737,J2737)</f>
        <v>1296</v>
      </c>
      <c r="K2738" s="1">
        <f>Query1[[#This Row],[SF Running Total]]+Query1[[#This Row],[UNIV Running Total]]</f>
        <v>4599</v>
      </c>
      <c r="L2738">
        <f>VLOOKUP(Query1[[#This Row],[Description]],'kits to boards'!$B$2:$E$156,2,FALSE)</f>
        <v>830015</v>
      </c>
      <c r="M2738">
        <f>VLOOKUP(Query1[[#This Row],[Description]],'kits to boards'!$B$2:$E$156,3,FALSE)</f>
        <v>0</v>
      </c>
      <c r="N2738">
        <f>VLOOKUP(Query1[[#This Row],[Description]],'kits to boards'!$B$2:$E$156,4,FALSE)</f>
        <v>0</v>
      </c>
      <c r="O2738" t="str">
        <f>CONCATENATE(Query1[[#This Row],[Description]]," - ",Query1[[#This Row],[MB1]]," - ",Query1[[#This Row],[MB2]]," - ",Query1[[#This Row],[MB3]])</f>
        <v>EVAP KIT 64-66 CHEV P-UP WO AC W/STD - 830015 - 0 - 0</v>
      </c>
    </row>
    <row r="2739" spans="1:15" x14ac:dyDescent="0.25">
      <c r="A2739" s="1">
        <v>916468</v>
      </c>
      <c r="B2739" s="1" t="s">
        <v>132</v>
      </c>
      <c r="C2739" s="1" t="s">
        <v>133</v>
      </c>
      <c r="D2739" s="2">
        <v>44643.630071446758</v>
      </c>
      <c r="E2739" s="1" t="s">
        <v>8</v>
      </c>
      <c r="F2739" s="1">
        <v>1</v>
      </c>
      <c r="G2739" s="1">
        <v>0</v>
      </c>
      <c r="H2739" s="6">
        <f>INT(Query1[[#This Row],[EntryDateTime]])</f>
        <v>44643</v>
      </c>
      <c r="I2739" s="1">
        <f>IF(Query1[[#This Row],[ItemType]]="EVAP KIT SF GEN IV",Query1[[#This Row],[OrderQty]]+I2738,I2738)</f>
        <v>3304</v>
      </c>
      <c r="J2739" s="1">
        <f>IF(Query1[[#This Row],[ItemType]]="EVAP KIT UNIVERSAL",Query1[[#This Row],[OrderQty]]+J2738,J2738)</f>
        <v>1296</v>
      </c>
      <c r="K2739" s="1">
        <f>Query1[[#This Row],[SF Running Total]]+Query1[[#This Row],[UNIV Running Total]]</f>
        <v>4600</v>
      </c>
      <c r="L2739">
        <f>VLOOKUP(Query1[[#This Row],[Description]],'kits to boards'!$B$2:$E$156,2,FALSE)</f>
        <v>830005</v>
      </c>
      <c r="M2739">
        <f>VLOOKUP(Query1[[#This Row],[Description]],'kits to boards'!$B$2:$E$156,3,FALSE)</f>
        <v>0</v>
      </c>
      <c r="N2739">
        <f>VLOOKUP(Query1[[#This Row],[Description]],'kits to boards'!$B$2:$E$156,4,FALSE)</f>
        <v>0</v>
      </c>
      <c r="O2739" t="str">
        <f>CONCATENATE(Query1[[#This Row],[Description]]," - ",Query1[[#This Row],[MB1]]," - ",Query1[[#This Row],[MB2]]," - ",Query1[[#This Row],[MB3]])</f>
        <v>EVAP KIT 61-62 IMPALA WO AC - 830005 - 0 - 0</v>
      </c>
    </row>
    <row r="2740" spans="1:15" x14ac:dyDescent="0.25">
      <c r="A2740" s="1">
        <v>916504</v>
      </c>
      <c r="B2740" s="1" t="s">
        <v>52</v>
      </c>
      <c r="C2740" s="1" t="s">
        <v>53</v>
      </c>
      <c r="D2740" s="2">
        <v>44643.634133067128</v>
      </c>
      <c r="E2740" s="1" t="s">
        <v>8</v>
      </c>
      <c r="F2740" s="1">
        <v>1</v>
      </c>
      <c r="G2740" s="1">
        <v>0</v>
      </c>
      <c r="H2740" s="6">
        <f>INT(Query1[[#This Row],[EntryDateTime]])</f>
        <v>44643</v>
      </c>
      <c r="I2740" s="1">
        <f>IF(Query1[[#This Row],[ItemType]]="EVAP KIT SF GEN IV",Query1[[#This Row],[OrderQty]]+I2739,I2739)</f>
        <v>3305</v>
      </c>
      <c r="J2740" s="1">
        <f>IF(Query1[[#This Row],[ItemType]]="EVAP KIT UNIVERSAL",Query1[[#This Row],[OrderQty]]+J2739,J2739)</f>
        <v>1296</v>
      </c>
      <c r="K2740" s="1">
        <f>Query1[[#This Row],[SF Running Total]]+Query1[[#This Row],[UNIV Running Total]]</f>
        <v>4601</v>
      </c>
      <c r="L2740">
        <f>VLOOKUP(Query1[[#This Row],[Description]],'kits to boards'!$B$2:$E$156,2,FALSE)</f>
        <v>830017</v>
      </c>
      <c r="M2740">
        <f>VLOOKUP(Query1[[#This Row],[Description]],'kits to boards'!$B$2:$E$156,3,FALSE)</f>
        <v>830119</v>
      </c>
      <c r="N2740">
        <f>VLOOKUP(Query1[[#This Row],[Description]],'kits to boards'!$B$2:$E$156,4,FALSE)</f>
        <v>830120</v>
      </c>
      <c r="O2740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2741" spans="1:15" x14ac:dyDescent="0.25">
      <c r="A2741" s="1">
        <v>916507</v>
      </c>
      <c r="B2741" s="1" t="s">
        <v>20</v>
      </c>
      <c r="C2741" s="1" t="s">
        <v>21</v>
      </c>
      <c r="D2741" s="2">
        <v>44643.641267708335</v>
      </c>
      <c r="E2741" s="1" t="s">
        <v>11</v>
      </c>
      <c r="F2741" s="1">
        <v>1</v>
      </c>
      <c r="G2741" s="1">
        <v>0</v>
      </c>
      <c r="H2741" s="6">
        <f>INT(Query1[[#This Row],[EntryDateTime]])</f>
        <v>44643</v>
      </c>
      <c r="I2741" s="1">
        <f>IF(Query1[[#This Row],[ItemType]]="EVAP KIT SF GEN IV",Query1[[#This Row],[OrderQty]]+I2740,I2740)</f>
        <v>3305</v>
      </c>
      <c r="J2741" s="1">
        <f>IF(Query1[[#This Row],[ItemType]]="EVAP KIT UNIVERSAL",Query1[[#This Row],[OrderQty]]+J2740,J2740)</f>
        <v>1297</v>
      </c>
      <c r="K2741" s="1">
        <f>Query1[[#This Row],[SF Running Total]]+Query1[[#This Row],[UNIV Running Total]]</f>
        <v>4602</v>
      </c>
      <c r="L2741">
        <f>VLOOKUP(Query1[[#This Row],[Description]],'kits to boards'!$B$2:$E$156,2,FALSE)</f>
        <v>830102</v>
      </c>
      <c r="M2741">
        <f>VLOOKUP(Query1[[#This Row],[Description]],'kits to boards'!$B$2:$E$156,3,FALSE)</f>
        <v>0</v>
      </c>
      <c r="N2741">
        <f>VLOOKUP(Query1[[#This Row],[Description]],'kits to boards'!$B$2:$E$156,4,FALSE)</f>
        <v>0</v>
      </c>
      <c r="O2741" t="str">
        <f>CONCATENATE(Query1[[#This Row],[Description]]," - ",Query1[[#This Row],[MB1]]," - ",Query1[[#This Row],[MB2]]," - ",Query1[[#This Row],[MB3]])</f>
        <v>SUPER GEN II W/DEF - 830102 - 0 - 0</v>
      </c>
    </row>
    <row r="2742" spans="1:15" x14ac:dyDescent="0.25">
      <c r="A2742" s="1">
        <v>916527</v>
      </c>
      <c r="B2742" s="1" t="s">
        <v>251</v>
      </c>
      <c r="C2742" s="1" t="s">
        <v>252</v>
      </c>
      <c r="D2742" s="2">
        <v>44643.659872337965</v>
      </c>
      <c r="E2742" s="1" t="s">
        <v>8</v>
      </c>
      <c r="F2742" s="1">
        <v>1</v>
      </c>
      <c r="G2742" s="1">
        <v>0</v>
      </c>
      <c r="H2742" s="6">
        <f>INT(Query1[[#This Row],[EntryDateTime]])</f>
        <v>44643</v>
      </c>
      <c r="I2742" s="1">
        <f>IF(Query1[[#This Row],[ItemType]]="EVAP KIT SF GEN IV",Query1[[#This Row],[OrderQty]]+I2741,I2741)</f>
        <v>3306</v>
      </c>
      <c r="J2742" s="1">
        <f>IF(Query1[[#This Row],[ItemType]]="EVAP KIT UNIVERSAL",Query1[[#This Row],[OrderQty]]+J2741,J2741)</f>
        <v>1297</v>
      </c>
      <c r="K2742" s="1">
        <f>Query1[[#This Row],[SF Running Total]]+Query1[[#This Row],[UNIV Running Total]]</f>
        <v>4603</v>
      </c>
      <c r="L2742">
        <f>VLOOKUP(Query1[[#This Row],[Description]],'kits to boards'!$B$2:$E$156,2,FALSE)</f>
        <v>830020</v>
      </c>
      <c r="M2742">
        <f>VLOOKUP(Query1[[#This Row],[Description]],'kits to boards'!$B$2:$E$156,3,FALSE)</f>
        <v>0</v>
      </c>
      <c r="N2742">
        <f>VLOOKUP(Query1[[#This Row],[Description]],'kits to boards'!$B$2:$E$156,4,FALSE)</f>
        <v>0</v>
      </c>
      <c r="O2742" t="str">
        <f>CONCATENATE(Query1[[#This Row],[Description]]," - ",Query1[[#This Row],[MB1]]," - ",Query1[[#This Row],[MB2]]," - ",Query1[[#This Row],[MB3]])</f>
        <v>EVAP KIT 69 FIREBIRD WO AC - 830020 - 0 - 0</v>
      </c>
    </row>
    <row r="2743" spans="1:15" x14ac:dyDescent="0.25">
      <c r="A2743" s="1">
        <v>916529</v>
      </c>
      <c r="B2743" s="1" t="s">
        <v>180</v>
      </c>
      <c r="C2743" s="1" t="s">
        <v>181</v>
      </c>
      <c r="D2743" s="2">
        <v>44643.661339467595</v>
      </c>
      <c r="E2743" s="1" t="s">
        <v>8</v>
      </c>
      <c r="F2743" s="1">
        <v>1</v>
      </c>
      <c r="G2743" s="1">
        <v>0</v>
      </c>
      <c r="H2743" s="6">
        <f>INT(Query1[[#This Row],[EntryDateTime]])</f>
        <v>44643</v>
      </c>
      <c r="I2743" s="1">
        <f>IF(Query1[[#This Row],[ItemType]]="EVAP KIT SF GEN IV",Query1[[#This Row],[OrderQty]]+I2742,I2742)</f>
        <v>3307</v>
      </c>
      <c r="J2743" s="1">
        <f>IF(Query1[[#This Row],[ItemType]]="EVAP KIT UNIVERSAL",Query1[[#This Row],[OrderQty]]+J2742,J2742)</f>
        <v>1297</v>
      </c>
      <c r="K2743" s="1">
        <f>Query1[[#This Row],[SF Running Total]]+Query1[[#This Row],[UNIV Running Total]]</f>
        <v>4604</v>
      </c>
      <c r="L2743">
        <f>VLOOKUP(Query1[[#This Row],[Description]],'kits to boards'!$B$2:$E$156,2,FALSE)</f>
        <v>830123</v>
      </c>
      <c r="M2743">
        <f>VLOOKUP(Query1[[#This Row],[Description]],'kits to boards'!$B$2:$E$156,3,FALSE)</f>
        <v>0</v>
      </c>
      <c r="N2743">
        <f>VLOOKUP(Query1[[#This Row],[Description]],'kits to boards'!$B$2:$E$156,4,FALSE)</f>
        <v>0</v>
      </c>
      <c r="O2743" t="str">
        <f>CONCATENATE(Query1[[#This Row],[Description]]," - ",Query1[[#This Row],[MB1]]," - ",Query1[[#This Row],[MB2]]," - ",Query1[[#This Row],[MB3]])</f>
        <v>EVAP KIT 68 GTO W/AC - 830123 - 0 - 0</v>
      </c>
    </row>
    <row r="2744" spans="1:15" x14ac:dyDescent="0.25">
      <c r="A2744" s="1">
        <v>916538</v>
      </c>
      <c r="B2744" s="1" t="s">
        <v>54</v>
      </c>
      <c r="C2744" s="1" t="s">
        <v>55</v>
      </c>
      <c r="D2744" s="2">
        <v>44643.674850613424</v>
      </c>
      <c r="E2744" s="1" t="s">
        <v>8</v>
      </c>
      <c r="F2744" s="1">
        <v>1</v>
      </c>
      <c r="G2744" s="1">
        <v>0</v>
      </c>
      <c r="H2744" s="6">
        <f>INT(Query1[[#This Row],[EntryDateTime]])</f>
        <v>44643</v>
      </c>
      <c r="I2744" s="1">
        <f>IF(Query1[[#This Row],[ItemType]]="EVAP KIT SF GEN IV",Query1[[#This Row],[OrderQty]]+I2743,I2743)</f>
        <v>3308</v>
      </c>
      <c r="J2744" s="1">
        <f>IF(Query1[[#This Row],[ItemType]]="EVAP KIT UNIVERSAL",Query1[[#This Row],[OrderQty]]+J2743,J2743)</f>
        <v>1297</v>
      </c>
      <c r="K2744" s="1">
        <f>Query1[[#This Row],[SF Running Total]]+Query1[[#This Row],[UNIV Running Total]]</f>
        <v>4605</v>
      </c>
      <c r="L2744">
        <f>VLOOKUP(Query1[[#This Row],[Description]],'kits to boards'!$B$2:$E$156,2,FALSE)</f>
        <v>830037</v>
      </c>
      <c r="M2744">
        <f>VLOOKUP(Query1[[#This Row],[Description]],'kits to boards'!$B$2:$E$156,3,FALSE)</f>
        <v>0</v>
      </c>
      <c r="N2744">
        <f>VLOOKUP(Query1[[#This Row],[Description]],'kits to boards'!$B$2:$E$156,4,FALSE)</f>
        <v>0</v>
      </c>
      <c r="O2744" t="str">
        <f>CONCATENATE(Query1[[#This Row],[Description]]," - ",Query1[[#This Row],[MB1]]," - ",Query1[[#This Row],[MB2]]," - ",Query1[[#This Row],[MB3]])</f>
        <v>EVAP KIT 70-81 FIREBIRD W/AC - 830037 - 0 - 0</v>
      </c>
    </row>
    <row r="2745" spans="1:15" x14ac:dyDescent="0.25">
      <c r="A2745" s="1">
        <v>916045</v>
      </c>
      <c r="B2745" s="1" t="s">
        <v>166</v>
      </c>
      <c r="C2745" s="1" t="s">
        <v>167</v>
      </c>
      <c r="D2745" s="2">
        <v>44643.679816122683</v>
      </c>
      <c r="E2745" s="1" t="s">
        <v>8</v>
      </c>
      <c r="F2745" s="1">
        <v>1</v>
      </c>
      <c r="G2745" s="1">
        <v>0</v>
      </c>
      <c r="H2745" s="6">
        <f>INT(Query1[[#This Row],[EntryDateTime]])</f>
        <v>44643</v>
      </c>
      <c r="I2745" s="1">
        <f>IF(Query1[[#This Row],[ItemType]]="EVAP KIT SF GEN IV",Query1[[#This Row],[OrderQty]]+I2744,I2744)</f>
        <v>3309</v>
      </c>
      <c r="J2745" s="1">
        <f>IF(Query1[[#This Row],[ItemType]]="EVAP KIT UNIVERSAL",Query1[[#This Row],[OrderQty]]+J2744,J2744)</f>
        <v>1297</v>
      </c>
      <c r="K2745" s="1">
        <f>Query1[[#This Row],[SF Running Total]]+Query1[[#This Row],[UNIV Running Total]]</f>
        <v>4606</v>
      </c>
      <c r="L2745">
        <f>VLOOKUP(Query1[[#This Row],[Description]],'kits to boards'!$B$2:$E$156,2,FALSE)</f>
        <v>830063</v>
      </c>
      <c r="M2745">
        <f>VLOOKUP(Query1[[#This Row],[Description]],'kits to boards'!$B$2:$E$156,3,FALSE)</f>
        <v>0</v>
      </c>
      <c r="N2745">
        <f>VLOOKUP(Query1[[#This Row],[Description]],'kits to boards'!$B$2:$E$156,4,FALSE)</f>
        <v>0</v>
      </c>
      <c r="O2745" t="str">
        <f>CONCATENATE(Query1[[#This Row],[Description]]," - ",Query1[[#This Row],[MB1]]," - ",Query1[[#This Row],[MB2]]," - ",Query1[[#This Row],[MB3]])</f>
        <v>EVAP KIT 47-49 CHEV P-UP GEN IV - 830063 - 0 - 0</v>
      </c>
    </row>
    <row r="2746" spans="1:15" x14ac:dyDescent="0.25">
      <c r="A2746" s="1">
        <v>916544</v>
      </c>
      <c r="B2746" s="1" t="s">
        <v>74</v>
      </c>
      <c r="C2746" s="1" t="s">
        <v>75</v>
      </c>
      <c r="D2746" s="2">
        <v>44643.691072337962</v>
      </c>
      <c r="E2746" s="1" t="s">
        <v>8</v>
      </c>
      <c r="F2746" s="1">
        <v>1</v>
      </c>
      <c r="G2746" s="1">
        <v>0</v>
      </c>
      <c r="H2746" s="6">
        <f>INT(Query1[[#This Row],[EntryDateTime]])</f>
        <v>44643</v>
      </c>
      <c r="I2746" s="1">
        <f>IF(Query1[[#This Row],[ItemType]]="EVAP KIT SF GEN IV",Query1[[#This Row],[OrderQty]]+I2745,I2745)</f>
        <v>3310</v>
      </c>
      <c r="J2746" s="1">
        <f>IF(Query1[[#This Row],[ItemType]]="EVAP KIT UNIVERSAL",Query1[[#This Row],[OrderQty]]+J2745,J2745)</f>
        <v>1297</v>
      </c>
      <c r="K2746" s="1">
        <f>Query1[[#This Row],[SF Running Total]]+Query1[[#This Row],[UNIV Running Total]]</f>
        <v>4607</v>
      </c>
      <c r="L2746">
        <f>VLOOKUP(Query1[[#This Row],[Description]],'kits to boards'!$B$2:$E$156,2,FALSE)</f>
        <v>830065</v>
      </c>
      <c r="M2746">
        <f>VLOOKUP(Query1[[#This Row],[Description]],'kits to boards'!$B$2:$E$156,3,FALSE)</f>
        <v>0</v>
      </c>
      <c r="N2746">
        <f>VLOOKUP(Query1[[#This Row],[Description]],'kits to boards'!$B$2:$E$156,4,FALSE)</f>
        <v>0</v>
      </c>
      <c r="O2746" t="str">
        <f>CONCATENATE(Query1[[#This Row],[Description]]," - ",Query1[[#This Row],[MB1]]," - ",Query1[[#This Row],[MB2]]," - ",Query1[[#This Row],[MB3]])</f>
        <v>EVAP KIT 57 CHEV WO AC 4-VENT PLENUM - 830065 - 0 - 0</v>
      </c>
    </row>
    <row r="2747" spans="1:15" x14ac:dyDescent="0.25">
      <c r="A2747" s="1">
        <v>916413</v>
      </c>
      <c r="B2747" s="1" t="s">
        <v>120</v>
      </c>
      <c r="C2747" s="1" t="s">
        <v>121</v>
      </c>
      <c r="D2747" s="2">
        <v>44643.69277415509</v>
      </c>
      <c r="E2747" s="1" t="s">
        <v>8</v>
      </c>
      <c r="F2747" s="1">
        <v>1</v>
      </c>
      <c r="G2747" s="1">
        <v>0</v>
      </c>
      <c r="H2747" s="6">
        <f>INT(Query1[[#This Row],[EntryDateTime]])</f>
        <v>44643</v>
      </c>
      <c r="I2747" s="1">
        <f>IF(Query1[[#This Row],[ItemType]]="EVAP KIT SF GEN IV",Query1[[#This Row],[OrderQty]]+I2746,I2746)</f>
        <v>3311</v>
      </c>
      <c r="J2747" s="1">
        <f>IF(Query1[[#This Row],[ItemType]]="EVAP KIT UNIVERSAL",Query1[[#This Row],[OrderQty]]+J2746,J2746)</f>
        <v>1297</v>
      </c>
      <c r="K2747" s="1">
        <f>Query1[[#This Row],[SF Running Total]]+Query1[[#This Row],[UNIV Running Total]]</f>
        <v>4608</v>
      </c>
      <c r="L2747">
        <f>VLOOKUP(Query1[[#This Row],[Description]],'kits to boards'!$B$2:$E$156,2,FALSE)</f>
        <v>830014</v>
      </c>
      <c r="M2747">
        <f>VLOOKUP(Query1[[#This Row],[Description]],'kits to boards'!$B$2:$E$156,3,FALSE)</f>
        <v>0</v>
      </c>
      <c r="N2747">
        <f>VLOOKUP(Query1[[#This Row],[Description]],'kits to boards'!$B$2:$E$156,4,FALSE)</f>
        <v>0</v>
      </c>
      <c r="O2747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2748" spans="1:15" x14ac:dyDescent="0.25">
      <c r="A2748" s="1">
        <v>916545</v>
      </c>
      <c r="B2748" s="1" t="s">
        <v>44</v>
      </c>
      <c r="C2748" s="1" t="s">
        <v>45</v>
      </c>
      <c r="D2748" s="2">
        <v>44643.699100810183</v>
      </c>
      <c r="E2748" s="1" t="s">
        <v>8</v>
      </c>
      <c r="F2748" s="1">
        <v>1</v>
      </c>
      <c r="G2748" s="1">
        <v>0</v>
      </c>
      <c r="H2748" s="6">
        <f>INT(Query1[[#This Row],[EntryDateTime]])</f>
        <v>44643</v>
      </c>
      <c r="I2748" s="1">
        <f>IF(Query1[[#This Row],[ItemType]]="EVAP KIT SF GEN IV",Query1[[#This Row],[OrderQty]]+I2747,I2747)</f>
        <v>3312</v>
      </c>
      <c r="J2748" s="1">
        <f>IF(Query1[[#This Row],[ItemType]]="EVAP KIT UNIVERSAL",Query1[[#This Row],[OrderQty]]+J2747,J2747)</f>
        <v>1297</v>
      </c>
      <c r="K2748" s="1">
        <f>Query1[[#This Row],[SF Running Total]]+Query1[[#This Row],[UNIV Running Total]]</f>
        <v>4609</v>
      </c>
      <c r="L2748">
        <f>VLOOKUP(Query1[[#This Row],[Description]],'kits to boards'!$B$2:$E$156,2,FALSE)</f>
        <v>830085</v>
      </c>
      <c r="M2748">
        <f>VLOOKUP(Query1[[#This Row],[Description]],'kits to boards'!$B$2:$E$156,3,FALSE)</f>
        <v>0</v>
      </c>
      <c r="N2748">
        <f>VLOOKUP(Query1[[#This Row],[Description]],'kits to boards'!$B$2:$E$156,4,FALSE)</f>
        <v>0</v>
      </c>
      <c r="O2748" t="str">
        <f>CONCATENATE(Query1[[#This Row],[Description]]," - ",Query1[[#This Row],[MB1]]," - ",Query1[[#This Row],[MB2]]," - ",Query1[[#This Row],[MB3]])</f>
        <v>EVAP KIT 66-77 BRONCO - 830085 - 0 - 0</v>
      </c>
    </row>
    <row r="2749" spans="1:15" x14ac:dyDescent="0.25">
      <c r="A2749" s="1">
        <v>916550</v>
      </c>
      <c r="B2749" s="1" t="s">
        <v>166</v>
      </c>
      <c r="C2749" s="1" t="s">
        <v>167</v>
      </c>
      <c r="D2749" s="2">
        <v>44644.307552280094</v>
      </c>
      <c r="E2749" s="1" t="s">
        <v>8</v>
      </c>
      <c r="F2749" s="1">
        <v>1</v>
      </c>
      <c r="G2749" s="1">
        <v>0</v>
      </c>
      <c r="H2749" s="6">
        <f>INT(Query1[[#This Row],[EntryDateTime]])</f>
        <v>44644</v>
      </c>
      <c r="I2749" s="1">
        <f>IF(Query1[[#This Row],[ItemType]]="EVAP KIT SF GEN IV",Query1[[#This Row],[OrderQty]]+I2748,I2748)</f>
        <v>3313</v>
      </c>
      <c r="J2749" s="1">
        <f>IF(Query1[[#This Row],[ItemType]]="EVAP KIT UNIVERSAL",Query1[[#This Row],[OrderQty]]+J2748,J2748)</f>
        <v>1297</v>
      </c>
      <c r="K2749" s="1">
        <f>Query1[[#This Row],[SF Running Total]]+Query1[[#This Row],[UNIV Running Total]]</f>
        <v>4610</v>
      </c>
      <c r="L2749">
        <f>VLOOKUP(Query1[[#This Row],[Description]],'kits to boards'!$B$2:$E$156,2,FALSE)</f>
        <v>830063</v>
      </c>
      <c r="M2749">
        <f>VLOOKUP(Query1[[#This Row],[Description]],'kits to boards'!$B$2:$E$156,3,FALSE)</f>
        <v>0</v>
      </c>
      <c r="N2749">
        <f>VLOOKUP(Query1[[#This Row],[Description]],'kits to boards'!$B$2:$E$156,4,FALSE)</f>
        <v>0</v>
      </c>
      <c r="O2749" t="str">
        <f>CONCATENATE(Query1[[#This Row],[Description]]," - ",Query1[[#This Row],[MB1]]," - ",Query1[[#This Row],[MB2]]," - ",Query1[[#This Row],[MB3]])</f>
        <v>EVAP KIT 47-49 CHEV P-UP GEN IV - 830063 - 0 - 0</v>
      </c>
    </row>
    <row r="2750" spans="1:15" x14ac:dyDescent="0.25">
      <c r="A2750" s="1">
        <v>916553</v>
      </c>
      <c r="B2750" s="1" t="s">
        <v>72</v>
      </c>
      <c r="C2750" s="1" t="s">
        <v>73</v>
      </c>
      <c r="D2750" s="2">
        <v>44644.317167476853</v>
      </c>
      <c r="E2750" s="1" t="s">
        <v>8</v>
      </c>
      <c r="F2750" s="1">
        <v>1</v>
      </c>
      <c r="G2750" s="1">
        <v>0</v>
      </c>
      <c r="H2750" s="6">
        <f>INT(Query1[[#This Row],[EntryDateTime]])</f>
        <v>44644</v>
      </c>
      <c r="I2750" s="1">
        <f>IF(Query1[[#This Row],[ItemType]]="EVAP KIT SF GEN IV",Query1[[#This Row],[OrderQty]]+I2749,I2749)</f>
        <v>3314</v>
      </c>
      <c r="J2750" s="1">
        <f>IF(Query1[[#This Row],[ItemType]]="EVAP KIT UNIVERSAL",Query1[[#This Row],[OrderQty]]+J2749,J2749)</f>
        <v>1297</v>
      </c>
      <c r="K2750" s="1">
        <f>Query1[[#This Row],[SF Running Total]]+Query1[[#This Row],[UNIV Running Total]]</f>
        <v>4611</v>
      </c>
      <c r="L2750">
        <f>VLOOKUP(Query1[[#This Row],[Description]],'kits to boards'!$B$2:$E$156,2,FALSE)</f>
        <v>830043</v>
      </c>
      <c r="M2750">
        <f>VLOOKUP(Query1[[#This Row],[Description]],'kits to boards'!$B$2:$E$156,3,FALSE)</f>
        <v>0</v>
      </c>
      <c r="N2750">
        <f>VLOOKUP(Query1[[#This Row],[Description]],'kits to boards'!$B$2:$E$156,4,FALSE)</f>
        <v>0</v>
      </c>
      <c r="O2750" t="str">
        <f>CONCATENATE(Query1[[#This Row],[Description]]," - ",Query1[[#This Row],[MB1]]," - ",Query1[[#This Row],[MB2]]," - ",Query1[[#This Row],[MB3]])</f>
        <v>EVAP KIT 69-74 NOVA W/AC - 830043 - 0 - 0</v>
      </c>
    </row>
    <row r="2751" spans="1:15" x14ac:dyDescent="0.25">
      <c r="A2751" s="1">
        <v>916567</v>
      </c>
      <c r="B2751" s="1" t="s">
        <v>283</v>
      </c>
      <c r="C2751" s="1" t="s">
        <v>284</v>
      </c>
      <c r="D2751" s="2">
        <v>44644.331459687499</v>
      </c>
      <c r="E2751" s="1" t="s">
        <v>8</v>
      </c>
      <c r="F2751" s="1">
        <v>1</v>
      </c>
      <c r="G2751" s="1">
        <v>0</v>
      </c>
      <c r="H2751" s="6">
        <f>INT(Query1[[#This Row],[EntryDateTime]])</f>
        <v>44644</v>
      </c>
      <c r="I2751" s="1">
        <f>IF(Query1[[#This Row],[ItemType]]="EVAP KIT SF GEN IV",Query1[[#This Row],[OrderQty]]+I2750,I2750)</f>
        <v>3315</v>
      </c>
      <c r="J2751" s="1">
        <f>IF(Query1[[#This Row],[ItemType]]="EVAP KIT UNIVERSAL",Query1[[#This Row],[OrderQty]]+J2750,J2750)</f>
        <v>1297</v>
      </c>
      <c r="K2751" s="1">
        <f>Query1[[#This Row],[SF Running Total]]+Query1[[#This Row],[UNIV Running Total]]</f>
        <v>4612</v>
      </c>
      <c r="L2751">
        <f>VLOOKUP(Query1[[#This Row],[Description]],'kits to boards'!$B$2:$E$156,2,FALSE)</f>
        <v>830033</v>
      </c>
      <c r="M2751">
        <f>VLOOKUP(Query1[[#This Row],[Description]],'kits to boards'!$B$2:$E$156,3,FALSE)</f>
        <v>0</v>
      </c>
      <c r="N2751">
        <f>VLOOKUP(Query1[[#This Row],[Description]],'kits to boards'!$B$2:$E$156,4,FALSE)</f>
        <v>0</v>
      </c>
      <c r="O2751" t="str">
        <f>CONCATENATE(Query1[[#This Row],[Description]]," - ",Query1[[#This Row],[MB1]]," - ",Query1[[#This Row],[MB2]]," - ",Query1[[#This Row],[MB3]])</f>
        <v>EVAP KIT 66-67 CHARGER/CORONET WO AC - 830033 - 0 - 0</v>
      </c>
    </row>
    <row r="2752" spans="1:15" x14ac:dyDescent="0.25">
      <c r="A2752" s="1">
        <v>916570</v>
      </c>
      <c r="B2752" s="1" t="s">
        <v>120</v>
      </c>
      <c r="C2752" s="1" t="s">
        <v>121</v>
      </c>
      <c r="D2752" s="2">
        <v>44644.33524753472</v>
      </c>
      <c r="E2752" s="1" t="s">
        <v>8</v>
      </c>
      <c r="F2752" s="1">
        <v>1</v>
      </c>
      <c r="G2752" s="1">
        <v>0</v>
      </c>
      <c r="H2752" s="6">
        <f>INT(Query1[[#This Row],[EntryDateTime]])</f>
        <v>44644</v>
      </c>
      <c r="I2752" s="1">
        <f>IF(Query1[[#This Row],[ItemType]]="EVAP KIT SF GEN IV",Query1[[#This Row],[OrderQty]]+I2751,I2751)</f>
        <v>3316</v>
      </c>
      <c r="J2752" s="1">
        <f>IF(Query1[[#This Row],[ItemType]]="EVAP KIT UNIVERSAL",Query1[[#This Row],[OrderQty]]+J2751,J2751)</f>
        <v>1297</v>
      </c>
      <c r="K2752" s="1">
        <f>Query1[[#This Row],[SF Running Total]]+Query1[[#This Row],[UNIV Running Total]]</f>
        <v>4613</v>
      </c>
      <c r="L2752">
        <f>VLOOKUP(Query1[[#This Row],[Description]],'kits to boards'!$B$2:$E$156,2,FALSE)</f>
        <v>830014</v>
      </c>
      <c r="M2752">
        <f>VLOOKUP(Query1[[#This Row],[Description]],'kits to boards'!$B$2:$E$156,3,FALSE)</f>
        <v>0</v>
      </c>
      <c r="N2752">
        <f>VLOOKUP(Query1[[#This Row],[Description]],'kits to boards'!$B$2:$E$156,4,FALSE)</f>
        <v>0</v>
      </c>
      <c r="O2752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2753" spans="1:15" x14ac:dyDescent="0.25">
      <c r="A2753" s="1">
        <v>916571</v>
      </c>
      <c r="B2753" s="1" t="s">
        <v>68</v>
      </c>
      <c r="C2753" s="1" t="s">
        <v>69</v>
      </c>
      <c r="D2753" s="2">
        <v>44644.337867048613</v>
      </c>
      <c r="E2753" s="1" t="s">
        <v>8</v>
      </c>
      <c r="F2753" s="1">
        <v>1</v>
      </c>
      <c r="G2753" s="1">
        <v>0</v>
      </c>
      <c r="H2753" s="6">
        <f>INT(Query1[[#This Row],[EntryDateTime]])</f>
        <v>44644</v>
      </c>
      <c r="I2753" s="1">
        <f>IF(Query1[[#This Row],[ItemType]]="EVAP KIT SF GEN IV",Query1[[#This Row],[OrderQty]]+I2752,I2752)</f>
        <v>3317</v>
      </c>
      <c r="J2753" s="1">
        <f>IF(Query1[[#This Row],[ItemType]]="EVAP KIT UNIVERSAL",Query1[[#This Row],[OrderQty]]+J2752,J2752)</f>
        <v>1297</v>
      </c>
      <c r="K2753" s="1">
        <f>Query1[[#This Row],[SF Running Total]]+Query1[[#This Row],[UNIV Running Total]]</f>
        <v>4614</v>
      </c>
      <c r="L2753">
        <f>VLOOKUP(Query1[[#This Row],[Description]],'kits to boards'!$B$2:$E$156,2,FALSE)</f>
        <v>830010</v>
      </c>
      <c r="M2753">
        <f>VLOOKUP(Query1[[#This Row],[Description]],'kits to boards'!$B$2:$E$156,3,FALSE)</f>
        <v>0</v>
      </c>
      <c r="N2753">
        <f>VLOOKUP(Query1[[#This Row],[Description]],'kits to boards'!$B$2:$E$156,4,FALSE)</f>
        <v>0</v>
      </c>
      <c r="O2753" t="str">
        <f>CONCATENATE(Query1[[#This Row],[Description]]," - ",Query1[[#This Row],[MB1]]," - ",Query1[[#This Row],[MB2]]," - ",Query1[[#This Row],[MB3]])</f>
        <v>EVAP KIT 70-72 CHEVELLE WO AC - 830010 - 0 - 0</v>
      </c>
    </row>
    <row r="2754" spans="1:15" x14ac:dyDescent="0.25">
      <c r="A2754" s="1">
        <v>916577</v>
      </c>
      <c r="B2754" s="1" t="s">
        <v>26</v>
      </c>
      <c r="C2754" s="1" t="s">
        <v>27</v>
      </c>
      <c r="D2754" s="2">
        <v>44644.349900034722</v>
      </c>
      <c r="E2754" s="1" t="s">
        <v>8</v>
      </c>
      <c r="F2754" s="1">
        <v>1</v>
      </c>
      <c r="G2754" s="1">
        <v>0</v>
      </c>
      <c r="H2754" s="6">
        <f>INT(Query1[[#This Row],[EntryDateTime]])</f>
        <v>44644</v>
      </c>
      <c r="I2754" s="1">
        <f>IF(Query1[[#This Row],[ItemType]]="EVAP KIT SF GEN IV",Query1[[#This Row],[OrderQty]]+I2753,I2753)</f>
        <v>3318</v>
      </c>
      <c r="J2754" s="1">
        <f>IF(Query1[[#This Row],[ItemType]]="EVAP KIT UNIVERSAL",Query1[[#This Row],[OrderQty]]+J2753,J2753)</f>
        <v>1297</v>
      </c>
      <c r="K2754" s="1">
        <f>Query1[[#This Row],[SF Running Total]]+Query1[[#This Row],[UNIV Running Total]]</f>
        <v>4615</v>
      </c>
      <c r="L2754">
        <f>VLOOKUP(Query1[[#This Row],[Description]],'kits to boards'!$B$2:$E$156,2,FALSE)</f>
        <v>830013</v>
      </c>
      <c r="M2754">
        <f>VLOOKUP(Query1[[#This Row],[Description]],'kits to boards'!$B$2:$E$156,3,FALSE)</f>
        <v>0</v>
      </c>
      <c r="N2754">
        <f>VLOOKUP(Query1[[#This Row],[Description]],'kits to boards'!$B$2:$E$156,4,FALSE)</f>
        <v>0</v>
      </c>
      <c r="O2754" t="str">
        <f>CONCATENATE(Query1[[#This Row],[Description]]," - ",Query1[[#This Row],[MB1]]," - ",Query1[[#This Row],[MB2]]," - ",Query1[[#This Row],[MB3]])</f>
        <v>EVAP KIT 67-72 CHEV P-UP W/AC - 830013 - 0 - 0</v>
      </c>
    </row>
    <row r="2755" spans="1:15" x14ac:dyDescent="0.25">
      <c r="A2755" s="1">
        <v>916583</v>
      </c>
      <c r="B2755" s="1" t="s">
        <v>42</v>
      </c>
      <c r="C2755" s="1" t="s">
        <v>43</v>
      </c>
      <c r="D2755" s="2">
        <v>44644.364087233793</v>
      </c>
      <c r="E2755" s="1" t="s">
        <v>8</v>
      </c>
      <c r="F2755" s="1">
        <v>1</v>
      </c>
      <c r="G2755" s="1">
        <v>0</v>
      </c>
      <c r="H2755" s="6">
        <f>INT(Query1[[#This Row],[EntryDateTime]])</f>
        <v>44644</v>
      </c>
      <c r="I2755" s="1">
        <f>IF(Query1[[#This Row],[ItemType]]="EVAP KIT SF GEN IV",Query1[[#This Row],[OrderQty]]+I2754,I2754)</f>
        <v>3319</v>
      </c>
      <c r="J2755" s="1">
        <f>IF(Query1[[#This Row],[ItemType]]="EVAP KIT UNIVERSAL",Query1[[#This Row],[OrderQty]]+J2754,J2754)</f>
        <v>1297</v>
      </c>
      <c r="K2755" s="1">
        <f>Query1[[#This Row],[SF Running Total]]+Query1[[#This Row],[UNIV Running Total]]</f>
        <v>4616</v>
      </c>
      <c r="L2755">
        <f>VLOOKUP(Query1[[#This Row],[Description]],'kits to boards'!$B$2:$E$156,2,FALSE)</f>
        <v>830014</v>
      </c>
      <c r="M2755">
        <f>VLOOKUP(Query1[[#This Row],[Description]],'kits to boards'!$B$2:$E$156,3,FALSE)</f>
        <v>0</v>
      </c>
      <c r="N2755">
        <f>VLOOKUP(Query1[[#This Row],[Description]],'kits to boards'!$B$2:$E$156,4,FALSE)</f>
        <v>0</v>
      </c>
      <c r="O2755" t="str">
        <f>CONCATENATE(Query1[[#This Row],[Description]]," - ",Query1[[#This Row],[MB1]]," - ",Query1[[#This Row],[MB2]]," - ",Query1[[#This Row],[MB3]])</f>
        <v>EVAP KIT 67-72 CHEV P-UP WO AC - 830014 - 0 - 0</v>
      </c>
    </row>
    <row r="2756" spans="1:15" x14ac:dyDescent="0.25">
      <c r="A2756" s="1">
        <v>916574</v>
      </c>
      <c r="B2756" s="1" t="s">
        <v>176</v>
      </c>
      <c r="C2756" s="1" t="s">
        <v>177</v>
      </c>
      <c r="D2756" s="2">
        <v>44644.371087650463</v>
      </c>
      <c r="E2756" s="1" t="s">
        <v>8</v>
      </c>
      <c r="F2756" s="1">
        <v>1</v>
      </c>
      <c r="G2756" s="1">
        <v>0</v>
      </c>
      <c r="H2756" s="6">
        <f>INT(Query1[[#This Row],[EntryDateTime]])</f>
        <v>44644</v>
      </c>
      <c r="I2756" s="1">
        <f>IF(Query1[[#This Row],[ItemType]]="EVAP KIT SF GEN IV",Query1[[#This Row],[OrderQty]]+I2755,I2755)</f>
        <v>3320</v>
      </c>
      <c r="J2756" s="1">
        <f>IF(Query1[[#This Row],[ItemType]]="EVAP KIT UNIVERSAL",Query1[[#This Row],[OrderQty]]+J2755,J2755)</f>
        <v>1297</v>
      </c>
      <c r="K2756" s="1">
        <f>Query1[[#This Row],[SF Running Total]]+Query1[[#This Row],[UNIV Running Total]]</f>
        <v>4617</v>
      </c>
      <c r="L2756">
        <f>VLOOKUP(Query1[[#This Row],[Description]],'kits to boards'!$B$2:$E$156,2,FALSE)</f>
        <v>830125</v>
      </c>
      <c r="M2756">
        <f>VLOOKUP(Query1[[#This Row],[Description]],'kits to boards'!$B$2:$E$156,3,FALSE)</f>
        <v>0</v>
      </c>
      <c r="N2756">
        <f>VLOOKUP(Query1[[#This Row],[Description]],'kits to boards'!$B$2:$E$156,4,FALSE)</f>
        <v>0</v>
      </c>
      <c r="O2756" t="str">
        <f>CONCATENATE(Query1[[#This Row],[Description]]," - ",Query1[[#This Row],[MB1]]," - ",Query1[[#This Row],[MB2]]," - ",Query1[[#This Row],[MB3]])</f>
        <v>EVAP KIT 65-66 IMPALA W/AC - 830125 - 0 - 0</v>
      </c>
    </row>
    <row r="2757" spans="1:15" x14ac:dyDescent="0.25">
      <c r="A2757" s="1">
        <v>915442</v>
      </c>
      <c r="B2757" s="1" t="s">
        <v>52</v>
      </c>
      <c r="C2757" s="1" t="s">
        <v>53</v>
      </c>
      <c r="D2757" s="2">
        <v>44644.384960960648</v>
      </c>
      <c r="E2757" s="1" t="s">
        <v>8</v>
      </c>
      <c r="F2757" s="1">
        <v>1</v>
      </c>
      <c r="G2757" s="1">
        <v>0</v>
      </c>
      <c r="H2757" s="6">
        <f>INT(Query1[[#This Row],[EntryDateTime]])</f>
        <v>44644</v>
      </c>
      <c r="I2757" s="1">
        <f>IF(Query1[[#This Row],[ItemType]]="EVAP KIT SF GEN IV",Query1[[#This Row],[OrderQty]]+I2756,I2756)</f>
        <v>3321</v>
      </c>
      <c r="J2757" s="1">
        <f>IF(Query1[[#This Row],[ItemType]]="EVAP KIT UNIVERSAL",Query1[[#This Row],[OrderQty]]+J2756,J2756)</f>
        <v>1297</v>
      </c>
      <c r="K2757" s="1">
        <f>Query1[[#This Row],[SF Running Total]]+Query1[[#This Row],[UNIV Running Total]]</f>
        <v>4618</v>
      </c>
      <c r="L2757">
        <f>VLOOKUP(Query1[[#This Row],[Description]],'kits to boards'!$B$2:$E$156,2,FALSE)</f>
        <v>830017</v>
      </c>
      <c r="M2757">
        <f>VLOOKUP(Query1[[#This Row],[Description]],'kits to boards'!$B$2:$E$156,3,FALSE)</f>
        <v>830119</v>
      </c>
      <c r="N2757">
        <f>VLOOKUP(Query1[[#This Row],[Description]],'kits to boards'!$B$2:$E$156,4,FALSE)</f>
        <v>830120</v>
      </c>
      <c r="O2757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2758" spans="1:15" x14ac:dyDescent="0.25">
      <c r="A2758" s="1">
        <v>915443</v>
      </c>
      <c r="B2758" s="1" t="s">
        <v>86</v>
      </c>
      <c r="C2758" s="1" t="s">
        <v>87</v>
      </c>
      <c r="D2758" s="2">
        <v>44644.38602233796</v>
      </c>
      <c r="E2758" s="1" t="s">
        <v>8</v>
      </c>
      <c r="F2758" s="1">
        <v>1</v>
      </c>
      <c r="G2758" s="1">
        <v>0</v>
      </c>
      <c r="H2758" s="6">
        <f>INT(Query1[[#This Row],[EntryDateTime]])</f>
        <v>44644</v>
      </c>
      <c r="I2758" s="1">
        <f>IF(Query1[[#This Row],[ItemType]]="EVAP KIT SF GEN IV",Query1[[#This Row],[OrderQty]]+I2757,I2757)</f>
        <v>3322</v>
      </c>
      <c r="J2758" s="1">
        <f>IF(Query1[[#This Row],[ItemType]]="EVAP KIT UNIVERSAL",Query1[[#This Row],[OrderQty]]+J2757,J2757)</f>
        <v>1297</v>
      </c>
      <c r="K2758" s="1">
        <f>Query1[[#This Row],[SF Running Total]]+Query1[[#This Row],[UNIV Running Total]]</f>
        <v>4619</v>
      </c>
      <c r="L2758">
        <f>VLOOKUP(Query1[[#This Row],[Description]],'kits to boards'!$B$2:$E$156,2,FALSE)</f>
        <v>830048</v>
      </c>
      <c r="M2758">
        <f>VLOOKUP(Query1[[#This Row],[Description]],'kits to boards'!$B$2:$E$156,3,FALSE)</f>
        <v>0</v>
      </c>
      <c r="N2758">
        <f>VLOOKUP(Query1[[#This Row],[Description]],'kits to boards'!$B$2:$E$156,4,FALSE)</f>
        <v>0</v>
      </c>
      <c r="O2758" t="str">
        <f>CONCATENATE(Query1[[#This Row],[Description]]," - ",Query1[[#This Row],[MB1]]," - ",Query1[[#This Row],[MB2]]," - ",Query1[[#This Row],[MB3]])</f>
        <v>EVAP KIT 66-67 NOVA - 830048 - 0 - 0</v>
      </c>
    </row>
    <row r="2759" spans="1:15" x14ac:dyDescent="0.25">
      <c r="A2759" s="1">
        <v>915805</v>
      </c>
      <c r="B2759" s="1" t="s">
        <v>26</v>
      </c>
      <c r="C2759" s="1" t="s">
        <v>27</v>
      </c>
      <c r="D2759" s="2">
        <v>44644.386645601851</v>
      </c>
      <c r="E2759" s="1" t="s">
        <v>8</v>
      </c>
      <c r="F2759" s="1">
        <v>1</v>
      </c>
      <c r="G2759" s="1">
        <v>0</v>
      </c>
      <c r="H2759" s="6">
        <f>INT(Query1[[#This Row],[EntryDateTime]])</f>
        <v>44644</v>
      </c>
      <c r="I2759" s="1">
        <f>IF(Query1[[#This Row],[ItemType]]="EVAP KIT SF GEN IV",Query1[[#This Row],[OrderQty]]+I2758,I2758)</f>
        <v>3323</v>
      </c>
      <c r="J2759" s="1">
        <f>IF(Query1[[#This Row],[ItemType]]="EVAP KIT UNIVERSAL",Query1[[#This Row],[OrderQty]]+J2758,J2758)</f>
        <v>1297</v>
      </c>
      <c r="K2759" s="1">
        <f>Query1[[#This Row],[SF Running Total]]+Query1[[#This Row],[UNIV Running Total]]</f>
        <v>4620</v>
      </c>
      <c r="L2759">
        <f>VLOOKUP(Query1[[#This Row],[Description]],'kits to boards'!$B$2:$E$156,2,FALSE)</f>
        <v>830013</v>
      </c>
      <c r="M2759">
        <f>VLOOKUP(Query1[[#This Row],[Description]],'kits to boards'!$B$2:$E$156,3,FALSE)</f>
        <v>0</v>
      </c>
      <c r="N2759">
        <f>VLOOKUP(Query1[[#This Row],[Description]],'kits to boards'!$B$2:$E$156,4,FALSE)</f>
        <v>0</v>
      </c>
      <c r="O2759" t="str">
        <f>CONCATENATE(Query1[[#This Row],[Description]]," - ",Query1[[#This Row],[MB1]]," - ",Query1[[#This Row],[MB2]]," - ",Query1[[#This Row],[MB3]])</f>
        <v>EVAP KIT 67-72 CHEV P-UP W/AC - 830013 - 0 - 0</v>
      </c>
    </row>
    <row r="2760" spans="1:15" x14ac:dyDescent="0.25">
      <c r="A2760" s="1">
        <v>916597</v>
      </c>
      <c r="B2760" s="1" t="s">
        <v>98</v>
      </c>
      <c r="C2760" s="1" t="s">
        <v>99</v>
      </c>
      <c r="D2760" s="2">
        <v>44644.393096874999</v>
      </c>
      <c r="E2760" s="1" t="s">
        <v>11</v>
      </c>
      <c r="F2760" s="1">
        <v>1</v>
      </c>
      <c r="G2760" s="1">
        <v>0</v>
      </c>
      <c r="H2760" s="6">
        <f>INT(Query1[[#This Row],[EntryDateTime]])</f>
        <v>44644</v>
      </c>
      <c r="I2760" s="1">
        <f>IF(Query1[[#This Row],[ItemType]]="EVAP KIT SF GEN IV",Query1[[#This Row],[OrderQty]]+I2759,I2759)</f>
        <v>3323</v>
      </c>
      <c r="J2760" s="1">
        <f>IF(Query1[[#This Row],[ItemType]]="EVAP KIT UNIVERSAL",Query1[[#This Row],[OrderQty]]+J2759,J2759)</f>
        <v>1298</v>
      </c>
      <c r="K2760" s="1">
        <f>Query1[[#This Row],[SF Running Total]]+Query1[[#This Row],[UNIV Running Total]]</f>
        <v>4621</v>
      </c>
      <c r="L2760">
        <f>VLOOKUP(Query1[[#This Row],[Description]],'kits to boards'!$B$2:$E$156,2,FALSE)</f>
        <v>830099</v>
      </c>
      <c r="M2760">
        <f>VLOOKUP(Query1[[#This Row],[Description]],'kits to boards'!$B$2:$E$156,3,FALSE)</f>
        <v>0</v>
      </c>
      <c r="N2760">
        <f>VLOOKUP(Query1[[#This Row],[Description]],'kits to boards'!$B$2:$E$156,4,FALSE)</f>
        <v>0</v>
      </c>
      <c r="O2760" t="str">
        <f>CONCATENATE(Query1[[#This Row],[Description]]," - ",Query1[[#This Row],[MB1]]," - ",Query1[[#This Row],[MB2]]," - ",Query1[[#This Row],[MB3]])</f>
        <v>MINI GEN II W/DEF - 830099 - 0 - 0</v>
      </c>
    </row>
    <row r="2761" spans="1:15" x14ac:dyDescent="0.25">
      <c r="A2761" s="1">
        <v>916601</v>
      </c>
      <c r="B2761" s="1" t="s">
        <v>42</v>
      </c>
      <c r="C2761" s="1" t="s">
        <v>43</v>
      </c>
      <c r="D2761" s="2">
        <v>44644.40192488426</v>
      </c>
      <c r="E2761" s="1" t="s">
        <v>8</v>
      </c>
      <c r="F2761" s="1">
        <v>1</v>
      </c>
      <c r="G2761" s="1">
        <v>0</v>
      </c>
      <c r="H2761" s="6">
        <f>INT(Query1[[#This Row],[EntryDateTime]])</f>
        <v>44644</v>
      </c>
      <c r="I2761" s="1">
        <f>IF(Query1[[#This Row],[ItemType]]="EVAP KIT SF GEN IV",Query1[[#This Row],[OrderQty]]+I2760,I2760)</f>
        <v>3324</v>
      </c>
      <c r="J2761" s="1">
        <f>IF(Query1[[#This Row],[ItemType]]="EVAP KIT UNIVERSAL",Query1[[#This Row],[OrderQty]]+J2760,J2760)</f>
        <v>1298</v>
      </c>
      <c r="K2761" s="1">
        <f>Query1[[#This Row],[SF Running Total]]+Query1[[#This Row],[UNIV Running Total]]</f>
        <v>4622</v>
      </c>
      <c r="L2761">
        <f>VLOOKUP(Query1[[#This Row],[Description]],'kits to boards'!$B$2:$E$156,2,FALSE)</f>
        <v>830014</v>
      </c>
      <c r="M2761">
        <f>VLOOKUP(Query1[[#This Row],[Description]],'kits to boards'!$B$2:$E$156,3,FALSE)</f>
        <v>0</v>
      </c>
      <c r="N2761">
        <f>VLOOKUP(Query1[[#This Row],[Description]],'kits to boards'!$B$2:$E$156,4,FALSE)</f>
        <v>0</v>
      </c>
      <c r="O2761" t="str">
        <f>CONCATENATE(Query1[[#This Row],[Description]]," - ",Query1[[#This Row],[MB1]]," - ",Query1[[#This Row],[MB2]]," - ",Query1[[#This Row],[MB3]])</f>
        <v>EVAP KIT 67-72 CHEV P-UP WO AC - 830014 - 0 - 0</v>
      </c>
    </row>
    <row r="2762" spans="1:15" x14ac:dyDescent="0.25">
      <c r="A2762" s="1">
        <v>916604</v>
      </c>
      <c r="B2762" s="1" t="s">
        <v>90</v>
      </c>
      <c r="C2762" s="1" t="s">
        <v>91</v>
      </c>
      <c r="D2762" s="2">
        <v>44644.410300960648</v>
      </c>
      <c r="E2762" s="1" t="s">
        <v>8</v>
      </c>
      <c r="F2762" s="1">
        <v>1</v>
      </c>
      <c r="G2762" s="1">
        <v>0</v>
      </c>
      <c r="H2762" s="6">
        <f>INT(Query1[[#This Row],[EntryDateTime]])</f>
        <v>44644</v>
      </c>
      <c r="I2762" s="1">
        <f>IF(Query1[[#This Row],[ItemType]]="EVAP KIT SF GEN IV",Query1[[#This Row],[OrderQty]]+I2761,I2761)</f>
        <v>3325</v>
      </c>
      <c r="J2762" s="1">
        <f>IF(Query1[[#This Row],[ItemType]]="EVAP KIT UNIVERSAL",Query1[[#This Row],[OrderQty]]+J2761,J2761)</f>
        <v>1298</v>
      </c>
      <c r="K2762" s="1">
        <f>Query1[[#This Row],[SF Running Total]]+Query1[[#This Row],[UNIV Running Total]]</f>
        <v>4623</v>
      </c>
      <c r="L2762">
        <f>VLOOKUP(Query1[[#This Row],[Description]],'kits to boards'!$B$2:$E$156,2,FALSE)</f>
        <v>830105</v>
      </c>
      <c r="M2762">
        <f>VLOOKUP(Query1[[#This Row],[Description]],'kits to boards'!$B$2:$E$156,3,FALSE)</f>
        <v>830106</v>
      </c>
      <c r="N2762">
        <f>VLOOKUP(Query1[[#This Row],[Description]],'kits to boards'!$B$2:$E$156,4,FALSE)</f>
        <v>0</v>
      </c>
      <c r="O2762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2763" spans="1:15" x14ac:dyDescent="0.25">
      <c r="A2763" s="1">
        <v>916617</v>
      </c>
      <c r="B2763" s="1" t="s">
        <v>152</v>
      </c>
      <c r="C2763" s="1" t="s">
        <v>153</v>
      </c>
      <c r="D2763" s="2">
        <v>44644.429454166668</v>
      </c>
      <c r="E2763" s="1" t="s">
        <v>8</v>
      </c>
      <c r="F2763" s="1">
        <v>1</v>
      </c>
      <c r="G2763" s="1">
        <v>0</v>
      </c>
      <c r="H2763" s="6">
        <f>INT(Query1[[#This Row],[EntryDateTime]])</f>
        <v>44644</v>
      </c>
      <c r="I2763" s="1">
        <f>IF(Query1[[#This Row],[ItemType]]="EVAP KIT SF GEN IV",Query1[[#This Row],[OrderQty]]+I2762,I2762)</f>
        <v>3326</v>
      </c>
      <c r="J2763" s="1">
        <f>IF(Query1[[#This Row],[ItemType]]="EVAP KIT UNIVERSAL",Query1[[#This Row],[OrderQty]]+J2762,J2762)</f>
        <v>1298</v>
      </c>
      <c r="K2763" s="1">
        <f>Query1[[#This Row],[SF Running Total]]+Query1[[#This Row],[UNIV Running Total]]</f>
        <v>4624</v>
      </c>
      <c r="L2763">
        <f>VLOOKUP(Query1[[#This Row],[Description]],'kits to boards'!$B$2:$E$156,2,FALSE)</f>
        <v>830034</v>
      </c>
      <c r="M2763">
        <f>VLOOKUP(Query1[[#This Row],[Description]],'kits to boards'!$B$2:$E$156,3,FALSE)</f>
        <v>0</v>
      </c>
      <c r="N2763">
        <f>VLOOKUP(Query1[[#This Row],[Description]],'kits to boards'!$B$2:$E$156,4,FALSE)</f>
        <v>0</v>
      </c>
      <c r="O2763" t="str">
        <f>CONCATENATE(Query1[[#This Row],[Description]]," - ",Query1[[#This Row],[MB1]]," - ",Query1[[#This Row],[MB2]]," - ",Query1[[#This Row],[MB3]])</f>
        <v>EVAP KIT 64-67 GTO WO AC - 830034 - 0 - 0</v>
      </c>
    </row>
    <row r="2764" spans="1:15" x14ac:dyDescent="0.25">
      <c r="A2764" s="1">
        <v>916623</v>
      </c>
      <c r="B2764" s="1" t="s">
        <v>16</v>
      </c>
      <c r="C2764" s="1" t="s">
        <v>17</v>
      </c>
      <c r="D2764" s="2">
        <v>44644.43704459491</v>
      </c>
      <c r="E2764" s="1" t="s">
        <v>8</v>
      </c>
      <c r="F2764" s="1">
        <v>1</v>
      </c>
      <c r="G2764" s="1">
        <v>0</v>
      </c>
      <c r="H2764" s="6">
        <f>INT(Query1[[#This Row],[EntryDateTime]])</f>
        <v>44644</v>
      </c>
      <c r="I2764" s="1">
        <f>IF(Query1[[#This Row],[ItemType]]="EVAP KIT SF GEN IV",Query1[[#This Row],[OrderQty]]+I2763,I2763)</f>
        <v>3327</v>
      </c>
      <c r="J2764" s="1">
        <f>IF(Query1[[#This Row],[ItemType]]="EVAP KIT UNIVERSAL",Query1[[#This Row],[OrderQty]]+J2763,J2763)</f>
        <v>1298</v>
      </c>
      <c r="K2764" s="1">
        <f>Query1[[#This Row],[SF Running Total]]+Query1[[#This Row],[UNIV Running Total]]</f>
        <v>4625</v>
      </c>
      <c r="L2764">
        <f>VLOOKUP(Query1[[#This Row],[Description]],'kits to boards'!$B$2:$E$156,2,FALSE)</f>
        <v>830061</v>
      </c>
      <c r="M2764">
        <f>VLOOKUP(Query1[[#This Row],[Description]],'kits to boards'!$B$2:$E$156,3,FALSE)</f>
        <v>0</v>
      </c>
      <c r="N2764">
        <f>VLOOKUP(Query1[[#This Row],[Description]],'kits to boards'!$B$2:$E$156,4,FALSE)</f>
        <v>0</v>
      </c>
      <c r="O2764" t="str">
        <f>CONCATENATE(Query1[[#This Row],[Description]]," - ",Query1[[#This Row],[MB1]]," - ",Query1[[#This Row],[MB2]]," - ",Query1[[#This Row],[MB3]])</f>
        <v>EVAP KIT 68-69 CHEVELLE W/AC - 830061 - 0 - 0</v>
      </c>
    </row>
    <row r="2765" spans="1:15" x14ac:dyDescent="0.25">
      <c r="A2765" s="1">
        <v>916572</v>
      </c>
      <c r="B2765" s="1" t="s">
        <v>96</v>
      </c>
      <c r="C2765" s="1" t="s">
        <v>97</v>
      </c>
      <c r="D2765" s="2">
        <v>44644.448983298615</v>
      </c>
      <c r="E2765" s="1" t="s">
        <v>8</v>
      </c>
      <c r="F2765" s="1">
        <v>1</v>
      </c>
      <c r="G2765" s="1">
        <v>0</v>
      </c>
      <c r="H2765" s="6">
        <f>INT(Query1[[#This Row],[EntryDateTime]])</f>
        <v>44644</v>
      </c>
      <c r="I2765" s="1">
        <f>IF(Query1[[#This Row],[ItemType]]="EVAP KIT SF GEN IV",Query1[[#This Row],[OrderQty]]+I2764,I2764)</f>
        <v>3328</v>
      </c>
      <c r="J2765" s="1">
        <f>IF(Query1[[#This Row],[ItemType]]="EVAP KIT UNIVERSAL",Query1[[#This Row],[OrderQty]]+J2764,J2764)</f>
        <v>1298</v>
      </c>
      <c r="K2765" s="1">
        <f>Query1[[#This Row],[SF Running Total]]+Query1[[#This Row],[UNIV Running Total]]</f>
        <v>4626</v>
      </c>
      <c r="L2765">
        <f>VLOOKUP(Query1[[#This Row],[Description]],'kits to boards'!$B$2:$E$156,2,FALSE)</f>
        <v>830004</v>
      </c>
      <c r="M2765">
        <f>VLOOKUP(Query1[[#This Row],[Description]],'kits to boards'!$B$2:$E$156,3,FALSE)</f>
        <v>0</v>
      </c>
      <c r="N2765">
        <f>VLOOKUP(Query1[[#This Row],[Description]],'kits to boards'!$B$2:$E$156,4,FALSE)</f>
        <v>0</v>
      </c>
      <c r="O2765" t="str">
        <f>CONCATENATE(Query1[[#This Row],[Description]]," - ",Query1[[#This Row],[MB1]]," - ",Query1[[#This Row],[MB2]]," - ",Query1[[#This Row],[MB3]])</f>
        <v>EVAP KIT 81-87 CHEV P-UP W/AC - 830004 - 0 - 0</v>
      </c>
    </row>
    <row r="2766" spans="1:15" x14ac:dyDescent="0.25">
      <c r="A2766" s="1">
        <v>916630</v>
      </c>
      <c r="B2766" s="1" t="s">
        <v>98</v>
      </c>
      <c r="C2766" s="1" t="s">
        <v>99</v>
      </c>
      <c r="D2766" s="2">
        <v>44644.451777893519</v>
      </c>
      <c r="E2766" s="1" t="s">
        <v>11</v>
      </c>
      <c r="F2766" s="1">
        <v>1</v>
      </c>
      <c r="G2766" s="1">
        <v>0</v>
      </c>
      <c r="H2766" s="6">
        <f>INT(Query1[[#This Row],[EntryDateTime]])</f>
        <v>44644</v>
      </c>
      <c r="I2766" s="1">
        <f>IF(Query1[[#This Row],[ItemType]]="EVAP KIT SF GEN IV",Query1[[#This Row],[OrderQty]]+I2765,I2765)</f>
        <v>3328</v>
      </c>
      <c r="J2766" s="1">
        <f>IF(Query1[[#This Row],[ItemType]]="EVAP KIT UNIVERSAL",Query1[[#This Row],[OrderQty]]+J2765,J2765)</f>
        <v>1299</v>
      </c>
      <c r="K2766" s="1">
        <f>Query1[[#This Row],[SF Running Total]]+Query1[[#This Row],[UNIV Running Total]]</f>
        <v>4627</v>
      </c>
      <c r="L2766">
        <f>VLOOKUP(Query1[[#This Row],[Description]],'kits to boards'!$B$2:$E$156,2,FALSE)</f>
        <v>830099</v>
      </c>
      <c r="M2766">
        <f>VLOOKUP(Query1[[#This Row],[Description]],'kits to boards'!$B$2:$E$156,3,FALSE)</f>
        <v>0</v>
      </c>
      <c r="N2766">
        <f>VLOOKUP(Query1[[#This Row],[Description]],'kits to boards'!$B$2:$E$156,4,FALSE)</f>
        <v>0</v>
      </c>
      <c r="O2766" t="str">
        <f>CONCATENATE(Query1[[#This Row],[Description]]," - ",Query1[[#This Row],[MB1]]," - ",Query1[[#This Row],[MB2]]," - ",Query1[[#This Row],[MB3]])</f>
        <v>MINI GEN II W/DEF - 830099 - 0 - 0</v>
      </c>
    </row>
    <row r="2767" spans="1:15" x14ac:dyDescent="0.25">
      <c r="A2767" s="1">
        <v>916635</v>
      </c>
      <c r="B2767" s="1" t="s">
        <v>56</v>
      </c>
      <c r="C2767" s="1" t="s">
        <v>57</v>
      </c>
      <c r="D2767" s="2">
        <v>44644.45866921296</v>
      </c>
      <c r="E2767" s="1" t="s">
        <v>8</v>
      </c>
      <c r="F2767" s="1">
        <v>1</v>
      </c>
      <c r="G2767" s="1">
        <v>0</v>
      </c>
      <c r="H2767" s="6">
        <f>INT(Query1[[#This Row],[EntryDateTime]])</f>
        <v>44644</v>
      </c>
      <c r="I2767" s="1">
        <f>IF(Query1[[#This Row],[ItemType]]="EVAP KIT SF GEN IV",Query1[[#This Row],[OrderQty]]+I2766,I2766)</f>
        <v>3329</v>
      </c>
      <c r="J2767" s="1">
        <f>IF(Query1[[#This Row],[ItemType]]="EVAP KIT UNIVERSAL",Query1[[#This Row],[OrderQty]]+J2766,J2766)</f>
        <v>1299</v>
      </c>
      <c r="K2767" s="1">
        <f>Query1[[#This Row],[SF Running Total]]+Query1[[#This Row],[UNIV Running Total]]</f>
        <v>4628</v>
      </c>
      <c r="L2767">
        <f>VLOOKUP(Query1[[#This Row],[Description]],'kits to boards'!$B$2:$E$156,2,FALSE)</f>
        <v>830011</v>
      </c>
      <c r="M2767">
        <f>VLOOKUP(Query1[[#This Row],[Description]],'kits to boards'!$B$2:$E$156,3,FALSE)</f>
        <v>0</v>
      </c>
      <c r="N2767">
        <f>VLOOKUP(Query1[[#This Row],[Description]],'kits to boards'!$B$2:$E$156,4,FALSE)</f>
        <v>0</v>
      </c>
      <c r="O2767" t="str">
        <f>CONCATENATE(Query1[[#This Row],[Description]]," - ",Query1[[#This Row],[MB1]]," - ",Query1[[#This Row],[MB2]]," - ",Query1[[#This Row],[MB3]])</f>
        <v>EVAP KIT 70-72 CHEVELLE W/AC - 830011 - 0 - 0</v>
      </c>
    </row>
    <row r="2768" spans="1:15" x14ac:dyDescent="0.25">
      <c r="A2768" s="1">
        <v>916634</v>
      </c>
      <c r="B2768" s="1" t="s">
        <v>6</v>
      </c>
      <c r="C2768" s="1" t="s">
        <v>7</v>
      </c>
      <c r="D2768" s="2">
        <v>44644.461884293982</v>
      </c>
      <c r="E2768" s="1" t="s">
        <v>8</v>
      </c>
      <c r="F2768" s="1">
        <v>1</v>
      </c>
      <c r="G2768" s="1">
        <v>0</v>
      </c>
      <c r="H2768" s="6">
        <f>INT(Query1[[#This Row],[EntryDateTime]])</f>
        <v>44644</v>
      </c>
      <c r="I2768" s="1">
        <f>IF(Query1[[#This Row],[ItemType]]="EVAP KIT SF GEN IV",Query1[[#This Row],[OrderQty]]+I2767,I2767)</f>
        <v>3330</v>
      </c>
      <c r="J2768" s="1">
        <f>IF(Query1[[#This Row],[ItemType]]="EVAP KIT UNIVERSAL",Query1[[#This Row],[OrderQty]]+J2767,J2767)</f>
        <v>1299</v>
      </c>
      <c r="K2768" s="1">
        <f>Query1[[#This Row],[SF Running Total]]+Query1[[#This Row],[UNIV Running Total]]</f>
        <v>4629</v>
      </c>
      <c r="L2768">
        <f>VLOOKUP(Query1[[#This Row],[Description]],'kits to boards'!$B$2:$E$156,2,FALSE)</f>
        <v>830132</v>
      </c>
      <c r="M2768">
        <f>VLOOKUP(Query1[[#This Row],[Description]],'kits to boards'!$B$2:$E$156,3,FALSE)</f>
        <v>0</v>
      </c>
      <c r="N2768">
        <f>VLOOKUP(Query1[[#This Row],[Description]],'kits to boards'!$B$2:$E$156,4,FALSE)</f>
        <v>0</v>
      </c>
      <c r="O2768" t="str">
        <f>CONCATENATE(Query1[[#This Row],[Description]]," - ",Query1[[#This Row],[MB1]]," - ",Query1[[#This Row],[MB2]]," - ",Query1[[#This Row],[MB3]])</f>
        <v>EVAP KIT 82-88 MONTE CARLO/EL CAMINO - 830132 - 0 - 0</v>
      </c>
    </row>
    <row r="2769" spans="1:15" x14ac:dyDescent="0.25">
      <c r="A2769" s="1">
        <v>916641</v>
      </c>
      <c r="B2769" s="1" t="s">
        <v>216</v>
      </c>
      <c r="C2769" s="1" t="s">
        <v>217</v>
      </c>
      <c r="D2769" s="2">
        <v>44644.467700081019</v>
      </c>
      <c r="E2769" s="1" t="s">
        <v>8</v>
      </c>
      <c r="F2769" s="1">
        <v>1</v>
      </c>
      <c r="G2769" s="1">
        <v>0</v>
      </c>
      <c r="H2769" s="6">
        <f>INT(Query1[[#This Row],[EntryDateTime]])</f>
        <v>44644</v>
      </c>
      <c r="I2769" s="1">
        <f>IF(Query1[[#This Row],[ItemType]]="EVAP KIT SF GEN IV",Query1[[#This Row],[OrderQty]]+I2768,I2768)</f>
        <v>3331</v>
      </c>
      <c r="J2769" s="1">
        <f>IF(Query1[[#This Row],[ItemType]]="EVAP KIT UNIVERSAL",Query1[[#This Row],[OrderQty]]+J2768,J2768)</f>
        <v>1299</v>
      </c>
      <c r="K2769" s="1">
        <f>Query1[[#This Row],[SF Running Total]]+Query1[[#This Row],[UNIV Running Total]]</f>
        <v>4630</v>
      </c>
      <c r="L2769">
        <f>VLOOKUP(Query1[[#This Row],[Description]],'kits to boards'!$B$2:$E$156,2,FALSE)</f>
        <v>830072</v>
      </c>
      <c r="M2769">
        <f>VLOOKUP(Query1[[#This Row],[Description]],'kits to boards'!$B$2:$E$156,3,FALSE)</f>
        <v>830075</v>
      </c>
      <c r="N2769">
        <f>VLOOKUP(Query1[[#This Row],[Description]],'kits to boards'!$B$2:$E$156,4,FALSE)</f>
        <v>0</v>
      </c>
      <c r="O2769" t="str">
        <f>CONCATENATE(Query1[[#This Row],[Description]]," - ",Query1[[#This Row],[MB1]]," - ",Query1[[#This Row],[MB2]]," - ",Query1[[#This Row],[MB3]])</f>
        <v>EVAP KIT 69-70 MOPAR B BODY W/AC - 830072 - 830075 - 0</v>
      </c>
    </row>
    <row r="2770" spans="1:15" x14ac:dyDescent="0.25">
      <c r="A2770" s="1">
        <v>916638</v>
      </c>
      <c r="B2770" s="1" t="s">
        <v>96</v>
      </c>
      <c r="C2770" s="1" t="s">
        <v>97</v>
      </c>
      <c r="D2770" s="2">
        <v>44644.475151006947</v>
      </c>
      <c r="E2770" s="1" t="s">
        <v>8</v>
      </c>
      <c r="F2770" s="1">
        <v>1</v>
      </c>
      <c r="G2770" s="1">
        <v>0</v>
      </c>
      <c r="H2770" s="6">
        <f>INT(Query1[[#This Row],[EntryDateTime]])</f>
        <v>44644</v>
      </c>
      <c r="I2770" s="1">
        <f>IF(Query1[[#This Row],[ItemType]]="EVAP KIT SF GEN IV",Query1[[#This Row],[OrderQty]]+I2769,I2769)</f>
        <v>3332</v>
      </c>
      <c r="J2770" s="1">
        <f>IF(Query1[[#This Row],[ItemType]]="EVAP KIT UNIVERSAL",Query1[[#This Row],[OrderQty]]+J2769,J2769)</f>
        <v>1299</v>
      </c>
      <c r="K2770" s="1">
        <f>Query1[[#This Row],[SF Running Total]]+Query1[[#This Row],[UNIV Running Total]]</f>
        <v>4631</v>
      </c>
      <c r="L2770">
        <f>VLOOKUP(Query1[[#This Row],[Description]],'kits to boards'!$B$2:$E$156,2,FALSE)</f>
        <v>830004</v>
      </c>
      <c r="M2770">
        <f>VLOOKUP(Query1[[#This Row],[Description]],'kits to boards'!$B$2:$E$156,3,FALSE)</f>
        <v>0</v>
      </c>
      <c r="N2770">
        <f>VLOOKUP(Query1[[#This Row],[Description]],'kits to boards'!$B$2:$E$156,4,FALSE)</f>
        <v>0</v>
      </c>
      <c r="O2770" t="str">
        <f>CONCATENATE(Query1[[#This Row],[Description]]," - ",Query1[[#This Row],[MB1]]," - ",Query1[[#This Row],[MB2]]," - ",Query1[[#This Row],[MB3]])</f>
        <v>EVAP KIT 81-87 CHEV P-UP W/AC - 830004 - 0 - 0</v>
      </c>
    </row>
    <row r="2771" spans="1:15" x14ac:dyDescent="0.25">
      <c r="A2771" s="1">
        <v>916646</v>
      </c>
      <c r="B2771" s="1" t="s">
        <v>206</v>
      </c>
      <c r="C2771" s="1" t="s">
        <v>207</v>
      </c>
      <c r="D2771" s="2">
        <v>44644.481624340275</v>
      </c>
      <c r="E2771" s="1" t="s">
        <v>8</v>
      </c>
      <c r="F2771" s="1">
        <v>1</v>
      </c>
      <c r="G2771" s="1">
        <v>0</v>
      </c>
      <c r="H2771" s="6">
        <f>INT(Query1[[#This Row],[EntryDateTime]])</f>
        <v>44644</v>
      </c>
      <c r="I2771" s="1">
        <f>IF(Query1[[#This Row],[ItemType]]="EVAP KIT SF GEN IV",Query1[[#This Row],[OrderQty]]+I2770,I2770)</f>
        <v>3333</v>
      </c>
      <c r="J2771" s="1">
        <f>IF(Query1[[#This Row],[ItemType]]="EVAP KIT UNIVERSAL",Query1[[#This Row],[OrderQty]]+J2770,J2770)</f>
        <v>1299</v>
      </c>
      <c r="K2771" s="1">
        <f>Query1[[#This Row],[SF Running Total]]+Query1[[#This Row],[UNIV Running Total]]</f>
        <v>4632</v>
      </c>
      <c r="L2771">
        <f>VLOOKUP(Query1[[#This Row],[Description]],'kits to boards'!$B$2:$E$156,2,FALSE)</f>
        <v>830032</v>
      </c>
      <c r="M2771">
        <f>VLOOKUP(Query1[[#This Row],[Description]],'kits to boards'!$B$2:$E$156,3,FALSE)</f>
        <v>0</v>
      </c>
      <c r="N2771">
        <f>VLOOKUP(Query1[[#This Row],[Description]],'kits to boards'!$B$2:$E$156,4,FALSE)</f>
        <v>0</v>
      </c>
      <c r="O2771" t="str">
        <f>CONCATENATE(Query1[[#This Row],[Description]]," - ",Query1[[#This Row],[MB1]]," - ",Query1[[#This Row],[MB2]]," - ",Query1[[#This Row],[MB3]])</f>
        <v>EVAP KIT 61-62 VETTE - 830032 - 0 - 0</v>
      </c>
    </row>
    <row r="2772" spans="1:15" x14ac:dyDescent="0.25">
      <c r="A2772" s="1">
        <v>916647</v>
      </c>
      <c r="B2772" s="1" t="s">
        <v>128</v>
      </c>
      <c r="C2772" s="1" t="s">
        <v>129</v>
      </c>
      <c r="D2772" s="2">
        <v>44644.483528819444</v>
      </c>
      <c r="E2772" s="1" t="s">
        <v>8</v>
      </c>
      <c r="F2772" s="1">
        <v>1</v>
      </c>
      <c r="G2772" s="1">
        <v>0</v>
      </c>
      <c r="H2772" s="6">
        <f>INT(Query1[[#This Row],[EntryDateTime]])</f>
        <v>44644</v>
      </c>
      <c r="I2772" s="1">
        <f>IF(Query1[[#This Row],[ItemType]]="EVAP KIT SF GEN IV",Query1[[#This Row],[OrderQty]]+I2771,I2771)</f>
        <v>3334</v>
      </c>
      <c r="J2772" s="1">
        <f>IF(Query1[[#This Row],[ItemType]]="EVAP KIT UNIVERSAL",Query1[[#This Row],[OrderQty]]+J2771,J2771)</f>
        <v>1299</v>
      </c>
      <c r="K2772" s="1">
        <f>Query1[[#This Row],[SF Running Total]]+Query1[[#This Row],[UNIV Running Total]]</f>
        <v>4633</v>
      </c>
      <c r="L2772">
        <f>VLOOKUP(Query1[[#This Row],[Description]],'kits to boards'!$B$2:$E$156,2,FALSE)</f>
        <v>830036</v>
      </c>
      <c r="M2772">
        <f>VLOOKUP(Query1[[#This Row],[Description]],'kits to boards'!$B$2:$E$156,3,FALSE)</f>
        <v>830039</v>
      </c>
      <c r="N2772">
        <f>VLOOKUP(Query1[[#This Row],[Description]],'kits to boards'!$B$2:$E$156,4,FALSE)</f>
        <v>0</v>
      </c>
      <c r="O2772" t="str">
        <f>CONCATENATE(Query1[[#This Row],[Description]]," - ",Query1[[#This Row],[MB1]]," - ",Query1[[#This Row],[MB2]]," - ",Query1[[#This Row],[MB3]])</f>
        <v>EVAP KIT 63-66 VETTE WO AC - 830036 - 830039 - 0</v>
      </c>
    </row>
    <row r="2773" spans="1:15" x14ac:dyDescent="0.25">
      <c r="A2773" s="1">
        <v>916668</v>
      </c>
      <c r="B2773" s="1" t="s">
        <v>160</v>
      </c>
      <c r="C2773" s="1" t="s">
        <v>161</v>
      </c>
      <c r="D2773" s="2">
        <v>44644.529617442131</v>
      </c>
      <c r="E2773" s="1" t="s">
        <v>8</v>
      </c>
      <c r="F2773" s="1">
        <v>1</v>
      </c>
      <c r="G2773" s="1">
        <v>0</v>
      </c>
      <c r="H2773" s="6">
        <f>INT(Query1[[#This Row],[EntryDateTime]])</f>
        <v>44644</v>
      </c>
      <c r="I2773" s="1">
        <f>IF(Query1[[#This Row],[ItemType]]="EVAP KIT SF GEN IV",Query1[[#This Row],[OrderQty]]+I2772,I2772)</f>
        <v>3335</v>
      </c>
      <c r="J2773" s="1">
        <f>IF(Query1[[#This Row],[ItemType]]="EVAP KIT UNIVERSAL",Query1[[#This Row],[OrderQty]]+J2772,J2772)</f>
        <v>1299</v>
      </c>
      <c r="K2773" s="1">
        <f>Query1[[#This Row],[SF Running Total]]+Query1[[#This Row],[UNIV Running Total]]</f>
        <v>4634</v>
      </c>
      <c r="L2773">
        <f>VLOOKUP(Query1[[#This Row],[Description]],'kits to boards'!$B$2:$E$156,2,FALSE)</f>
        <v>830083</v>
      </c>
      <c r="M2773">
        <f>VLOOKUP(Query1[[#This Row],[Description]],'kits to boards'!$B$2:$E$156,3,FALSE)</f>
        <v>0</v>
      </c>
      <c r="N2773">
        <f>VLOOKUP(Query1[[#This Row],[Description]],'kits to boards'!$B$2:$E$156,4,FALSE)</f>
        <v>0</v>
      </c>
      <c r="O2773" t="str">
        <f>CONCATENATE(Query1[[#This Row],[Description]]," - ",Query1[[#This Row],[MB1]]," - ",Query1[[#This Row],[MB2]]," - ",Query1[[#This Row],[MB3]])</f>
        <v>EVAP KIT 70-74 CHALNGR/CUDA WO AC - 830083 - 0 - 0</v>
      </c>
    </row>
    <row r="2774" spans="1:15" x14ac:dyDescent="0.25">
      <c r="A2774" s="1">
        <v>916548</v>
      </c>
      <c r="B2774" s="1" t="s">
        <v>56</v>
      </c>
      <c r="C2774" s="1" t="s">
        <v>57</v>
      </c>
      <c r="D2774" s="2">
        <v>44644.536620023151</v>
      </c>
      <c r="E2774" s="1" t="s">
        <v>8</v>
      </c>
      <c r="F2774" s="1">
        <v>1</v>
      </c>
      <c r="G2774" s="1">
        <v>0</v>
      </c>
      <c r="H2774" s="6">
        <f>INT(Query1[[#This Row],[EntryDateTime]])</f>
        <v>44644</v>
      </c>
      <c r="I2774" s="1">
        <f>IF(Query1[[#This Row],[ItemType]]="EVAP KIT SF GEN IV",Query1[[#This Row],[OrderQty]]+I2773,I2773)</f>
        <v>3336</v>
      </c>
      <c r="J2774" s="1">
        <f>IF(Query1[[#This Row],[ItemType]]="EVAP KIT UNIVERSAL",Query1[[#This Row],[OrderQty]]+J2773,J2773)</f>
        <v>1299</v>
      </c>
      <c r="K2774" s="1">
        <f>Query1[[#This Row],[SF Running Total]]+Query1[[#This Row],[UNIV Running Total]]</f>
        <v>4635</v>
      </c>
      <c r="L2774">
        <f>VLOOKUP(Query1[[#This Row],[Description]],'kits to boards'!$B$2:$E$156,2,FALSE)</f>
        <v>830011</v>
      </c>
      <c r="M2774">
        <f>VLOOKUP(Query1[[#This Row],[Description]],'kits to boards'!$B$2:$E$156,3,FALSE)</f>
        <v>0</v>
      </c>
      <c r="N2774">
        <f>VLOOKUP(Query1[[#This Row],[Description]],'kits to boards'!$B$2:$E$156,4,FALSE)</f>
        <v>0</v>
      </c>
      <c r="O2774" t="str">
        <f>CONCATENATE(Query1[[#This Row],[Description]]," - ",Query1[[#This Row],[MB1]]," - ",Query1[[#This Row],[MB2]]," - ",Query1[[#This Row],[MB3]])</f>
        <v>EVAP KIT 70-72 CHEVELLE W/AC - 830011 - 0 - 0</v>
      </c>
    </row>
    <row r="2775" spans="1:15" x14ac:dyDescent="0.25">
      <c r="A2775" s="1">
        <v>916676</v>
      </c>
      <c r="B2775" s="1" t="s">
        <v>256</v>
      </c>
      <c r="C2775" s="1" t="s">
        <v>257</v>
      </c>
      <c r="D2775" s="2">
        <v>44644.539731909725</v>
      </c>
      <c r="E2775" s="1" t="s">
        <v>8</v>
      </c>
      <c r="F2775" s="1">
        <v>1</v>
      </c>
      <c r="G2775" s="1">
        <v>0</v>
      </c>
      <c r="H2775" s="6">
        <f>INT(Query1[[#This Row],[EntryDateTime]])</f>
        <v>44644</v>
      </c>
      <c r="I2775" s="1">
        <f>IF(Query1[[#This Row],[ItemType]]="EVAP KIT SF GEN IV",Query1[[#This Row],[OrderQty]]+I2774,I2774)</f>
        <v>3337</v>
      </c>
      <c r="J2775" s="1">
        <f>IF(Query1[[#This Row],[ItemType]]="EVAP KIT UNIVERSAL",Query1[[#This Row],[OrderQty]]+J2774,J2774)</f>
        <v>1299</v>
      </c>
      <c r="K2775" s="1">
        <f>Query1[[#This Row],[SF Running Total]]+Query1[[#This Row],[UNIV Running Total]]</f>
        <v>4636</v>
      </c>
      <c r="L2775">
        <f>VLOOKUP(Query1[[#This Row],[Description]],'kits to boards'!$B$2:$E$156,2,FALSE)</f>
        <v>830025</v>
      </c>
      <c r="M2775">
        <f>VLOOKUP(Query1[[#This Row],[Description]],'kits to boards'!$B$2:$E$156,3,FALSE)</f>
        <v>830022</v>
      </c>
      <c r="N2775">
        <f>VLOOKUP(Query1[[#This Row],[Description]],'kits to boards'!$B$2:$E$156,4,FALSE)</f>
        <v>0</v>
      </c>
      <c r="O2775" t="str">
        <f>CONCATENATE(Query1[[#This Row],[Description]]," - ",Query1[[#This Row],[MB1]]," - ",Query1[[#This Row],[MB2]]," - ",Query1[[#This Row],[MB3]])</f>
        <v>EVAP KIT 68-69 CUTLASS W/AC - 830025 - 830022 - 0</v>
      </c>
    </row>
    <row r="2776" spans="1:15" x14ac:dyDescent="0.25">
      <c r="A2776" s="1">
        <v>916681</v>
      </c>
      <c r="B2776" s="1" t="s">
        <v>150</v>
      </c>
      <c r="C2776" s="1" t="s">
        <v>151</v>
      </c>
      <c r="D2776" s="2">
        <v>44644.547061886573</v>
      </c>
      <c r="E2776" s="1" t="s">
        <v>8</v>
      </c>
      <c r="F2776" s="1">
        <v>1</v>
      </c>
      <c r="G2776" s="1">
        <v>0</v>
      </c>
      <c r="H2776" s="6">
        <f>INT(Query1[[#This Row],[EntryDateTime]])</f>
        <v>44644</v>
      </c>
      <c r="I2776" s="1">
        <f>IF(Query1[[#This Row],[ItemType]]="EVAP KIT SF GEN IV",Query1[[#This Row],[OrderQty]]+I2775,I2775)</f>
        <v>3338</v>
      </c>
      <c r="J2776" s="1">
        <f>IF(Query1[[#This Row],[ItemType]]="EVAP KIT UNIVERSAL",Query1[[#This Row],[OrderQty]]+J2775,J2775)</f>
        <v>1299</v>
      </c>
      <c r="K2776" s="1">
        <f>Query1[[#This Row],[SF Running Total]]+Query1[[#This Row],[UNIV Running Total]]</f>
        <v>4637</v>
      </c>
      <c r="L2776">
        <f>VLOOKUP(Query1[[#This Row],[Description]],'kits to boards'!$B$2:$E$156,2,FALSE)</f>
        <v>830010</v>
      </c>
      <c r="M2776">
        <f>VLOOKUP(Query1[[#This Row],[Description]],'kits to boards'!$B$2:$E$156,3,FALSE)</f>
        <v>0</v>
      </c>
      <c r="N2776">
        <f>VLOOKUP(Query1[[#This Row],[Description]],'kits to boards'!$B$2:$E$156,4,FALSE)</f>
        <v>0</v>
      </c>
      <c r="O2776" t="str">
        <f>CONCATENATE(Query1[[#This Row],[Description]]," - ",Query1[[#This Row],[MB1]]," - ",Query1[[#This Row],[MB2]]," - ",Query1[[#This Row],[MB3]])</f>
        <v>EVAP KIT 70-72 MONTE CARLO W/AC - 830010 - 0 - 0</v>
      </c>
    </row>
    <row r="2777" spans="1:15" x14ac:dyDescent="0.25">
      <c r="A2777" s="1">
        <v>916684</v>
      </c>
      <c r="B2777" s="1" t="s">
        <v>20</v>
      </c>
      <c r="C2777" s="1" t="s">
        <v>21</v>
      </c>
      <c r="D2777" s="2">
        <v>44644.550275810187</v>
      </c>
      <c r="E2777" s="1" t="s">
        <v>11</v>
      </c>
      <c r="F2777" s="1">
        <v>1</v>
      </c>
      <c r="G2777" s="1">
        <v>0</v>
      </c>
      <c r="H2777" s="6">
        <f>INT(Query1[[#This Row],[EntryDateTime]])</f>
        <v>44644</v>
      </c>
      <c r="I2777" s="1">
        <f>IF(Query1[[#This Row],[ItemType]]="EVAP KIT SF GEN IV",Query1[[#This Row],[OrderQty]]+I2776,I2776)</f>
        <v>3338</v>
      </c>
      <c r="J2777" s="1">
        <f>IF(Query1[[#This Row],[ItemType]]="EVAP KIT UNIVERSAL",Query1[[#This Row],[OrderQty]]+J2776,J2776)</f>
        <v>1300</v>
      </c>
      <c r="K2777" s="1">
        <f>Query1[[#This Row],[SF Running Total]]+Query1[[#This Row],[UNIV Running Total]]</f>
        <v>4638</v>
      </c>
      <c r="L2777">
        <f>VLOOKUP(Query1[[#This Row],[Description]],'kits to boards'!$B$2:$E$156,2,FALSE)</f>
        <v>830102</v>
      </c>
      <c r="M2777">
        <f>VLOOKUP(Query1[[#This Row],[Description]],'kits to boards'!$B$2:$E$156,3,FALSE)</f>
        <v>0</v>
      </c>
      <c r="N2777">
        <f>VLOOKUP(Query1[[#This Row],[Description]],'kits to boards'!$B$2:$E$156,4,FALSE)</f>
        <v>0</v>
      </c>
      <c r="O2777" t="str">
        <f>CONCATENATE(Query1[[#This Row],[Description]]," - ",Query1[[#This Row],[MB1]]," - ",Query1[[#This Row],[MB2]]," - ",Query1[[#This Row],[MB3]])</f>
        <v>SUPER GEN II W/DEF - 830102 - 0 - 0</v>
      </c>
    </row>
    <row r="2778" spans="1:15" x14ac:dyDescent="0.25">
      <c r="A2778" s="1">
        <v>916686</v>
      </c>
      <c r="B2778" s="1" t="s">
        <v>14</v>
      </c>
      <c r="C2778" s="1" t="s">
        <v>15</v>
      </c>
      <c r="D2778" s="2">
        <v>44644.556739004627</v>
      </c>
      <c r="E2778" s="1" t="s">
        <v>8</v>
      </c>
      <c r="F2778" s="1">
        <v>1</v>
      </c>
      <c r="G2778" s="1">
        <v>0</v>
      </c>
      <c r="H2778" s="6">
        <f>INT(Query1[[#This Row],[EntryDateTime]])</f>
        <v>44644</v>
      </c>
      <c r="I2778" s="1">
        <f>IF(Query1[[#This Row],[ItemType]]="EVAP KIT SF GEN IV",Query1[[#This Row],[OrderQty]]+I2777,I2777)</f>
        <v>3339</v>
      </c>
      <c r="J2778" s="1">
        <f>IF(Query1[[#This Row],[ItemType]]="EVAP KIT UNIVERSAL",Query1[[#This Row],[OrderQty]]+J2777,J2777)</f>
        <v>1300</v>
      </c>
      <c r="K2778" s="1">
        <f>Query1[[#This Row],[SF Running Total]]+Query1[[#This Row],[UNIV Running Total]]</f>
        <v>4639</v>
      </c>
      <c r="L2778">
        <f>VLOOKUP(Query1[[#This Row],[Description]],'kits to boards'!$B$2:$E$156,2,FALSE)</f>
        <v>830054</v>
      </c>
      <c r="M2778">
        <f>VLOOKUP(Query1[[#This Row],[Description]],'kits to boards'!$B$2:$E$156,3,FALSE)</f>
        <v>0</v>
      </c>
      <c r="N2778">
        <f>VLOOKUP(Query1[[#This Row],[Description]],'kits to boards'!$B$2:$E$156,4,FALSE)</f>
        <v>0</v>
      </c>
      <c r="O2778" t="str">
        <f>CONCATENATE(Query1[[#This Row],[Description]]," - ",Query1[[#This Row],[MB1]]," - ",Query1[[#This Row],[MB2]]," - ",Query1[[#This Row],[MB3]])</f>
        <v>EVAP KIT 55-56 CHEVY - 830054 - 0 - 0</v>
      </c>
    </row>
    <row r="2779" spans="1:15" x14ac:dyDescent="0.25">
      <c r="A2779" s="1">
        <v>916691</v>
      </c>
      <c r="B2779" s="1" t="s">
        <v>116</v>
      </c>
      <c r="C2779" s="1" t="s">
        <v>117</v>
      </c>
      <c r="D2779" s="2">
        <v>44644.579500844906</v>
      </c>
      <c r="E2779" s="1" t="s">
        <v>8</v>
      </c>
      <c r="F2779" s="1">
        <v>1</v>
      </c>
      <c r="G2779" s="1">
        <v>0</v>
      </c>
      <c r="H2779" s="6">
        <f>INT(Query1[[#This Row],[EntryDateTime]])</f>
        <v>44644</v>
      </c>
      <c r="I2779" s="1">
        <f>IF(Query1[[#This Row],[ItemType]]="EVAP KIT SF GEN IV",Query1[[#This Row],[OrderQty]]+I2778,I2778)</f>
        <v>3340</v>
      </c>
      <c r="J2779" s="1">
        <f>IF(Query1[[#This Row],[ItemType]]="EVAP KIT UNIVERSAL",Query1[[#This Row],[OrderQty]]+J2778,J2778)</f>
        <v>1300</v>
      </c>
      <c r="K2779" s="1">
        <f>Query1[[#This Row],[SF Running Total]]+Query1[[#This Row],[UNIV Running Total]]</f>
        <v>4640</v>
      </c>
      <c r="L2779">
        <f>VLOOKUP(Query1[[#This Row],[Description]],'kits to boards'!$B$2:$E$156,2,FALSE)</f>
        <v>830058</v>
      </c>
      <c r="M2779">
        <f>VLOOKUP(Query1[[#This Row],[Description]],'kits to boards'!$B$2:$E$156,3,FALSE)</f>
        <v>0</v>
      </c>
      <c r="N2779">
        <f>VLOOKUP(Query1[[#This Row],[Description]],'kits to boards'!$B$2:$E$156,4,FALSE)</f>
        <v>0</v>
      </c>
      <c r="O2779" t="str">
        <f>CONCATENATE(Query1[[#This Row],[Description]]," - ",Query1[[#This Row],[MB1]]," - ",Query1[[#This Row],[MB2]]," - ",Query1[[#This Row],[MB3]])</f>
        <v>EVAP KIT 64-65 CHEVELLE WO AC - 830058 - 0 - 0</v>
      </c>
    </row>
    <row r="2780" spans="1:15" x14ac:dyDescent="0.25">
      <c r="A2780" s="1">
        <v>916695</v>
      </c>
      <c r="B2780" s="1" t="s">
        <v>56</v>
      </c>
      <c r="C2780" s="1" t="s">
        <v>57</v>
      </c>
      <c r="D2780" s="2">
        <v>44644.585481712966</v>
      </c>
      <c r="E2780" s="1" t="s">
        <v>8</v>
      </c>
      <c r="F2780" s="1">
        <v>1</v>
      </c>
      <c r="G2780" s="1">
        <v>0</v>
      </c>
      <c r="H2780" s="6">
        <f>INT(Query1[[#This Row],[EntryDateTime]])</f>
        <v>44644</v>
      </c>
      <c r="I2780" s="1">
        <f>IF(Query1[[#This Row],[ItemType]]="EVAP KIT SF GEN IV",Query1[[#This Row],[OrderQty]]+I2779,I2779)</f>
        <v>3341</v>
      </c>
      <c r="J2780" s="1">
        <f>IF(Query1[[#This Row],[ItemType]]="EVAP KIT UNIVERSAL",Query1[[#This Row],[OrderQty]]+J2779,J2779)</f>
        <v>1300</v>
      </c>
      <c r="K2780" s="1">
        <f>Query1[[#This Row],[SF Running Total]]+Query1[[#This Row],[UNIV Running Total]]</f>
        <v>4641</v>
      </c>
      <c r="L2780">
        <f>VLOOKUP(Query1[[#This Row],[Description]],'kits to boards'!$B$2:$E$156,2,FALSE)</f>
        <v>830011</v>
      </c>
      <c r="M2780">
        <f>VLOOKUP(Query1[[#This Row],[Description]],'kits to boards'!$B$2:$E$156,3,FALSE)</f>
        <v>0</v>
      </c>
      <c r="N2780">
        <f>VLOOKUP(Query1[[#This Row],[Description]],'kits to boards'!$B$2:$E$156,4,FALSE)</f>
        <v>0</v>
      </c>
      <c r="O2780" t="str">
        <f>CONCATENATE(Query1[[#This Row],[Description]]," - ",Query1[[#This Row],[MB1]]," - ",Query1[[#This Row],[MB2]]," - ",Query1[[#This Row],[MB3]])</f>
        <v>EVAP KIT 70-72 CHEVELLE W/AC - 830011 - 0 - 0</v>
      </c>
    </row>
    <row r="2781" spans="1:15" x14ac:dyDescent="0.25">
      <c r="A2781" s="1">
        <v>916683</v>
      </c>
      <c r="B2781" s="1" t="s">
        <v>48</v>
      </c>
      <c r="C2781" s="1" t="s">
        <v>49</v>
      </c>
      <c r="D2781" s="2">
        <v>44644.586159571758</v>
      </c>
      <c r="E2781" s="1" t="s">
        <v>8</v>
      </c>
      <c r="F2781" s="1">
        <v>1</v>
      </c>
      <c r="G2781" s="1">
        <v>0</v>
      </c>
      <c r="H2781" s="6">
        <f>INT(Query1[[#This Row],[EntryDateTime]])</f>
        <v>44644</v>
      </c>
      <c r="I2781" s="1">
        <f>IF(Query1[[#This Row],[ItemType]]="EVAP KIT SF GEN IV",Query1[[#This Row],[OrderQty]]+I2780,I2780)</f>
        <v>3342</v>
      </c>
      <c r="J2781" s="1">
        <f>IF(Query1[[#This Row],[ItemType]]="EVAP KIT UNIVERSAL",Query1[[#This Row],[OrderQty]]+J2780,J2780)</f>
        <v>1300</v>
      </c>
      <c r="K2781" s="1">
        <f>Query1[[#This Row],[SF Running Total]]+Query1[[#This Row],[UNIV Running Total]]</f>
        <v>4642</v>
      </c>
      <c r="L2781">
        <f>VLOOKUP(Query1[[#This Row],[Description]],'kits to boards'!$B$2:$E$156,2,FALSE)</f>
        <v>830015</v>
      </c>
      <c r="M2781">
        <f>VLOOKUP(Query1[[#This Row],[Description]],'kits to boards'!$B$2:$E$156,3,FALSE)</f>
        <v>0</v>
      </c>
      <c r="N2781">
        <f>VLOOKUP(Query1[[#This Row],[Description]],'kits to boards'!$B$2:$E$156,4,FALSE)</f>
        <v>0</v>
      </c>
      <c r="O2781" t="str">
        <f>CONCATENATE(Query1[[#This Row],[Description]]," - ",Query1[[#This Row],[MB1]]," - ",Query1[[#This Row],[MB2]]," - ",Query1[[#This Row],[MB3]])</f>
        <v>EVAP KIT 64-66 CHEV P-UP WO AC W/DELX - 830015 - 0 - 0</v>
      </c>
    </row>
    <row r="2782" spans="1:15" x14ac:dyDescent="0.25">
      <c r="A2782" s="1">
        <v>916694</v>
      </c>
      <c r="B2782" s="1" t="s">
        <v>256</v>
      </c>
      <c r="C2782" s="1" t="s">
        <v>257</v>
      </c>
      <c r="D2782" s="2">
        <v>44644.586931863429</v>
      </c>
      <c r="E2782" s="1" t="s">
        <v>8</v>
      </c>
      <c r="F2782" s="1">
        <v>1</v>
      </c>
      <c r="G2782" s="1">
        <v>0</v>
      </c>
      <c r="H2782" s="6">
        <f>INT(Query1[[#This Row],[EntryDateTime]])</f>
        <v>44644</v>
      </c>
      <c r="I2782" s="1">
        <f>IF(Query1[[#This Row],[ItemType]]="EVAP KIT SF GEN IV",Query1[[#This Row],[OrderQty]]+I2781,I2781)</f>
        <v>3343</v>
      </c>
      <c r="J2782" s="1">
        <f>IF(Query1[[#This Row],[ItemType]]="EVAP KIT UNIVERSAL",Query1[[#This Row],[OrderQty]]+J2781,J2781)</f>
        <v>1300</v>
      </c>
      <c r="K2782" s="1">
        <f>Query1[[#This Row],[SF Running Total]]+Query1[[#This Row],[UNIV Running Total]]</f>
        <v>4643</v>
      </c>
      <c r="L2782">
        <f>VLOOKUP(Query1[[#This Row],[Description]],'kits to boards'!$B$2:$E$156,2,FALSE)</f>
        <v>830025</v>
      </c>
      <c r="M2782">
        <f>VLOOKUP(Query1[[#This Row],[Description]],'kits to boards'!$B$2:$E$156,3,FALSE)</f>
        <v>830022</v>
      </c>
      <c r="N2782">
        <f>VLOOKUP(Query1[[#This Row],[Description]],'kits to boards'!$B$2:$E$156,4,FALSE)</f>
        <v>0</v>
      </c>
      <c r="O2782" t="str">
        <f>CONCATENATE(Query1[[#This Row],[Description]]," - ",Query1[[#This Row],[MB1]]," - ",Query1[[#This Row],[MB2]]," - ",Query1[[#This Row],[MB3]])</f>
        <v>EVAP KIT 68-69 CUTLASS W/AC - 830025 - 830022 - 0</v>
      </c>
    </row>
    <row r="2783" spans="1:15" x14ac:dyDescent="0.25">
      <c r="A2783" s="1">
        <v>916700</v>
      </c>
      <c r="B2783" s="1" t="s">
        <v>98</v>
      </c>
      <c r="C2783" s="1" t="s">
        <v>99</v>
      </c>
      <c r="D2783" s="2">
        <v>44644.593499074072</v>
      </c>
      <c r="E2783" s="1" t="s">
        <v>11</v>
      </c>
      <c r="F2783" s="1">
        <v>1</v>
      </c>
      <c r="G2783" s="1">
        <v>0</v>
      </c>
      <c r="H2783" s="6">
        <f>INT(Query1[[#This Row],[EntryDateTime]])</f>
        <v>44644</v>
      </c>
      <c r="I2783" s="1">
        <f>IF(Query1[[#This Row],[ItemType]]="EVAP KIT SF GEN IV",Query1[[#This Row],[OrderQty]]+I2782,I2782)</f>
        <v>3343</v>
      </c>
      <c r="J2783" s="1">
        <f>IF(Query1[[#This Row],[ItemType]]="EVAP KIT UNIVERSAL",Query1[[#This Row],[OrderQty]]+J2782,J2782)</f>
        <v>1301</v>
      </c>
      <c r="K2783" s="1">
        <f>Query1[[#This Row],[SF Running Total]]+Query1[[#This Row],[UNIV Running Total]]</f>
        <v>4644</v>
      </c>
      <c r="L2783">
        <f>VLOOKUP(Query1[[#This Row],[Description]],'kits to boards'!$B$2:$E$156,2,FALSE)</f>
        <v>830099</v>
      </c>
      <c r="M2783">
        <f>VLOOKUP(Query1[[#This Row],[Description]],'kits to boards'!$B$2:$E$156,3,FALSE)</f>
        <v>0</v>
      </c>
      <c r="N2783">
        <f>VLOOKUP(Query1[[#This Row],[Description]],'kits to boards'!$B$2:$E$156,4,FALSE)</f>
        <v>0</v>
      </c>
      <c r="O2783" t="str">
        <f>CONCATENATE(Query1[[#This Row],[Description]]," - ",Query1[[#This Row],[MB1]]," - ",Query1[[#This Row],[MB2]]," - ",Query1[[#This Row],[MB3]])</f>
        <v>MINI GEN II W/DEF - 830099 - 0 - 0</v>
      </c>
    </row>
    <row r="2784" spans="1:15" x14ac:dyDescent="0.25">
      <c r="A2784" s="1">
        <v>916702</v>
      </c>
      <c r="B2784" s="1" t="s">
        <v>28</v>
      </c>
      <c r="C2784" s="1" t="s">
        <v>29</v>
      </c>
      <c r="D2784" s="2">
        <v>44644.59617167824</v>
      </c>
      <c r="E2784" s="1" t="s">
        <v>8</v>
      </c>
      <c r="F2784" s="1">
        <v>1</v>
      </c>
      <c r="G2784" s="1">
        <v>0</v>
      </c>
      <c r="H2784" s="6">
        <f>INT(Query1[[#This Row],[EntryDateTime]])</f>
        <v>44644</v>
      </c>
      <c r="I2784" s="1">
        <f>IF(Query1[[#This Row],[ItemType]]="EVAP KIT SF GEN IV",Query1[[#This Row],[OrderQty]]+I2783,I2783)</f>
        <v>3344</v>
      </c>
      <c r="J2784" s="1">
        <f>IF(Query1[[#This Row],[ItemType]]="EVAP KIT UNIVERSAL",Query1[[#This Row],[OrderQty]]+J2783,J2783)</f>
        <v>1301</v>
      </c>
      <c r="K2784" s="1">
        <f>Query1[[#This Row],[SF Running Total]]+Query1[[#This Row],[UNIV Running Total]]</f>
        <v>4645</v>
      </c>
      <c r="L2784">
        <f>VLOOKUP(Query1[[#This Row],[Description]],'kits to boards'!$B$2:$E$156,2,FALSE)</f>
        <v>830001</v>
      </c>
      <c r="M2784">
        <f>VLOOKUP(Query1[[#This Row],[Description]],'kits to boards'!$B$2:$E$156,3,FALSE)</f>
        <v>0</v>
      </c>
      <c r="N2784">
        <f>VLOOKUP(Query1[[#This Row],[Description]],'kits to boards'!$B$2:$E$156,4,FALSE)</f>
        <v>0</v>
      </c>
      <c r="O2784" t="str">
        <f>CONCATENATE(Query1[[#This Row],[Description]]," - ",Query1[[#This Row],[MB1]]," - ",Query1[[#This Row],[MB2]]," - ",Query1[[#This Row],[MB3]])</f>
        <v>EVAP KIT 73-80 CHEV P-UP W/AC - 830001 - 0 - 0</v>
      </c>
    </row>
    <row r="2785" spans="1:15" x14ac:dyDescent="0.25">
      <c r="A2785" s="1">
        <v>916703</v>
      </c>
      <c r="B2785" s="1" t="s">
        <v>178</v>
      </c>
      <c r="C2785" s="1" t="s">
        <v>179</v>
      </c>
      <c r="D2785" s="2">
        <v>44644.597607060183</v>
      </c>
      <c r="E2785" s="1" t="s">
        <v>8</v>
      </c>
      <c r="F2785" s="1">
        <v>1</v>
      </c>
      <c r="G2785" s="1">
        <v>0</v>
      </c>
      <c r="H2785" s="6">
        <f>INT(Query1[[#This Row],[EntryDateTime]])</f>
        <v>44644</v>
      </c>
      <c r="I2785" s="1">
        <f>IF(Query1[[#This Row],[ItemType]]="EVAP KIT SF GEN IV",Query1[[#This Row],[OrderQty]]+I2784,I2784)</f>
        <v>3345</v>
      </c>
      <c r="J2785" s="1">
        <f>IF(Query1[[#This Row],[ItemType]]="EVAP KIT UNIVERSAL",Query1[[#This Row],[OrderQty]]+J2784,J2784)</f>
        <v>1301</v>
      </c>
      <c r="K2785" s="1">
        <f>Query1[[#This Row],[SF Running Total]]+Query1[[#This Row],[UNIV Running Total]]</f>
        <v>4646</v>
      </c>
      <c r="L2785">
        <f>VLOOKUP(Query1[[#This Row],[Description]],'kits to boards'!$B$2:$E$156,2,FALSE)</f>
        <v>830009</v>
      </c>
      <c r="M2785">
        <f>VLOOKUP(Query1[[#This Row],[Description]],'kits to boards'!$B$2:$E$156,3,FALSE)</f>
        <v>0</v>
      </c>
      <c r="N2785">
        <f>VLOOKUP(Query1[[#This Row],[Description]],'kits to boards'!$B$2:$E$156,4,FALSE)</f>
        <v>0</v>
      </c>
      <c r="O2785" t="str">
        <f>CONCATENATE(Query1[[#This Row],[Description]]," - ",Query1[[#This Row],[MB1]]," - ",Query1[[#This Row],[MB2]]," - ",Query1[[#This Row],[MB3]])</f>
        <v>EVAP KIT 63 IMPALA W/AC - 830009 - 0 - 0</v>
      </c>
    </row>
    <row r="2786" spans="1:15" x14ac:dyDescent="0.25">
      <c r="A2786" s="1">
        <v>916705</v>
      </c>
      <c r="B2786" s="1" t="s">
        <v>12</v>
      </c>
      <c r="C2786" s="1" t="s">
        <v>13</v>
      </c>
      <c r="D2786" s="2">
        <v>44644.597622187503</v>
      </c>
      <c r="E2786" s="1" t="s">
        <v>8</v>
      </c>
      <c r="F2786" s="1">
        <v>1</v>
      </c>
      <c r="G2786" s="1">
        <v>0</v>
      </c>
      <c r="H2786" s="6">
        <f>INT(Query1[[#This Row],[EntryDateTime]])</f>
        <v>44644</v>
      </c>
      <c r="I2786" s="1">
        <f>IF(Query1[[#This Row],[ItemType]]="EVAP KIT SF GEN IV",Query1[[#This Row],[OrderQty]]+I2785,I2785)</f>
        <v>3346</v>
      </c>
      <c r="J2786" s="1">
        <f>IF(Query1[[#This Row],[ItemType]]="EVAP KIT UNIVERSAL",Query1[[#This Row],[OrderQty]]+J2785,J2785)</f>
        <v>1301</v>
      </c>
      <c r="K2786" s="1">
        <f>Query1[[#This Row],[SF Running Total]]+Query1[[#This Row],[UNIV Running Total]]</f>
        <v>4647</v>
      </c>
      <c r="L2786">
        <f>VLOOKUP(Query1[[#This Row],[Description]],'kits to boards'!$B$2:$E$156,2,FALSE)</f>
        <v>830079</v>
      </c>
      <c r="M2786">
        <f>VLOOKUP(Query1[[#This Row],[Description]],'kits to boards'!$B$2:$E$156,3,FALSE)</f>
        <v>830046</v>
      </c>
      <c r="N2786">
        <f>VLOOKUP(Query1[[#This Row],[Description]],'kits to boards'!$B$2:$E$156,4,FALSE)</f>
        <v>0</v>
      </c>
      <c r="O2786" t="str">
        <f>CONCATENATE(Query1[[#This Row],[Description]]," - ",Query1[[#This Row],[MB1]]," - ",Query1[[#This Row],[MB2]]," - ",Query1[[#This Row],[MB3]])</f>
        <v>EVAP KIT 67-68 MUSTANG/COUGAR W/AC - 830079 - 830046 - 0</v>
      </c>
    </row>
    <row r="2787" spans="1:15" x14ac:dyDescent="0.25">
      <c r="A2787" s="1">
        <v>916705</v>
      </c>
      <c r="B2787" s="1" t="s">
        <v>56</v>
      </c>
      <c r="C2787" s="1" t="s">
        <v>57</v>
      </c>
      <c r="D2787" s="2">
        <v>44644.597816666668</v>
      </c>
      <c r="E2787" s="1" t="s">
        <v>8</v>
      </c>
      <c r="F2787" s="1">
        <v>1</v>
      </c>
      <c r="G2787" s="1">
        <v>0</v>
      </c>
      <c r="H2787" s="6">
        <f>INT(Query1[[#This Row],[EntryDateTime]])</f>
        <v>44644</v>
      </c>
      <c r="I2787" s="1">
        <f>IF(Query1[[#This Row],[ItemType]]="EVAP KIT SF GEN IV",Query1[[#This Row],[OrderQty]]+I2786,I2786)</f>
        <v>3347</v>
      </c>
      <c r="J2787" s="1">
        <f>IF(Query1[[#This Row],[ItemType]]="EVAP KIT UNIVERSAL",Query1[[#This Row],[OrderQty]]+J2786,J2786)</f>
        <v>1301</v>
      </c>
      <c r="K2787" s="1">
        <f>Query1[[#This Row],[SF Running Total]]+Query1[[#This Row],[UNIV Running Total]]</f>
        <v>4648</v>
      </c>
      <c r="L2787">
        <f>VLOOKUP(Query1[[#This Row],[Description]],'kits to boards'!$B$2:$E$156,2,FALSE)</f>
        <v>830011</v>
      </c>
      <c r="M2787">
        <f>VLOOKUP(Query1[[#This Row],[Description]],'kits to boards'!$B$2:$E$156,3,FALSE)</f>
        <v>0</v>
      </c>
      <c r="N2787">
        <f>VLOOKUP(Query1[[#This Row],[Description]],'kits to boards'!$B$2:$E$156,4,FALSE)</f>
        <v>0</v>
      </c>
      <c r="O2787" t="str">
        <f>CONCATENATE(Query1[[#This Row],[Description]]," - ",Query1[[#This Row],[MB1]]," - ",Query1[[#This Row],[MB2]]," - ",Query1[[#This Row],[MB3]])</f>
        <v>EVAP KIT 70-72 CHEVELLE W/AC - 830011 - 0 - 0</v>
      </c>
    </row>
    <row r="2788" spans="1:15" x14ac:dyDescent="0.25">
      <c r="A2788" s="1">
        <v>916449</v>
      </c>
      <c r="B2788" s="1" t="s">
        <v>56</v>
      </c>
      <c r="C2788" s="1" t="s">
        <v>57</v>
      </c>
      <c r="D2788" s="2">
        <v>44644.599802280092</v>
      </c>
      <c r="E2788" s="1" t="s">
        <v>8</v>
      </c>
      <c r="F2788" s="1">
        <v>1</v>
      </c>
      <c r="G2788" s="1">
        <v>0</v>
      </c>
      <c r="H2788" s="6">
        <f>INT(Query1[[#This Row],[EntryDateTime]])</f>
        <v>44644</v>
      </c>
      <c r="I2788" s="1">
        <f>IF(Query1[[#This Row],[ItemType]]="EVAP KIT SF GEN IV",Query1[[#This Row],[OrderQty]]+I2787,I2787)</f>
        <v>3348</v>
      </c>
      <c r="J2788" s="1">
        <f>IF(Query1[[#This Row],[ItemType]]="EVAP KIT UNIVERSAL",Query1[[#This Row],[OrderQty]]+J2787,J2787)</f>
        <v>1301</v>
      </c>
      <c r="K2788" s="1">
        <f>Query1[[#This Row],[SF Running Total]]+Query1[[#This Row],[UNIV Running Total]]</f>
        <v>4649</v>
      </c>
      <c r="L2788">
        <f>VLOOKUP(Query1[[#This Row],[Description]],'kits to boards'!$B$2:$E$156,2,FALSE)</f>
        <v>830011</v>
      </c>
      <c r="M2788">
        <f>VLOOKUP(Query1[[#This Row],[Description]],'kits to boards'!$B$2:$E$156,3,FALSE)</f>
        <v>0</v>
      </c>
      <c r="N2788">
        <f>VLOOKUP(Query1[[#This Row],[Description]],'kits to boards'!$B$2:$E$156,4,FALSE)</f>
        <v>0</v>
      </c>
      <c r="O2788" t="str">
        <f>CONCATENATE(Query1[[#This Row],[Description]]," - ",Query1[[#This Row],[MB1]]," - ",Query1[[#This Row],[MB2]]," - ",Query1[[#This Row],[MB3]])</f>
        <v>EVAP KIT 70-72 CHEVELLE W/AC - 830011 - 0 - 0</v>
      </c>
    </row>
    <row r="2789" spans="1:15" x14ac:dyDescent="0.25">
      <c r="A2789" s="1">
        <v>916704</v>
      </c>
      <c r="B2789" s="1" t="s">
        <v>98</v>
      </c>
      <c r="C2789" s="1" t="s">
        <v>99</v>
      </c>
      <c r="D2789" s="2">
        <v>44644.600117789349</v>
      </c>
      <c r="E2789" s="1" t="s">
        <v>11</v>
      </c>
      <c r="F2789" s="1">
        <v>5</v>
      </c>
      <c r="G2789" s="1">
        <v>0</v>
      </c>
      <c r="H2789" s="6">
        <f>INT(Query1[[#This Row],[EntryDateTime]])</f>
        <v>44644</v>
      </c>
      <c r="I2789" s="1">
        <f>IF(Query1[[#This Row],[ItemType]]="EVAP KIT SF GEN IV",Query1[[#This Row],[OrderQty]]+I2788,I2788)</f>
        <v>3348</v>
      </c>
      <c r="J2789" s="1">
        <f>IF(Query1[[#This Row],[ItemType]]="EVAP KIT UNIVERSAL",Query1[[#This Row],[OrderQty]]+J2788,J2788)</f>
        <v>1306</v>
      </c>
      <c r="K2789" s="1">
        <f>Query1[[#This Row],[SF Running Total]]+Query1[[#This Row],[UNIV Running Total]]</f>
        <v>4654</v>
      </c>
      <c r="L2789">
        <f>VLOOKUP(Query1[[#This Row],[Description]],'kits to boards'!$B$2:$E$156,2,FALSE)</f>
        <v>830099</v>
      </c>
      <c r="M2789">
        <f>VLOOKUP(Query1[[#This Row],[Description]],'kits to boards'!$B$2:$E$156,3,FALSE)</f>
        <v>0</v>
      </c>
      <c r="N2789">
        <f>VLOOKUP(Query1[[#This Row],[Description]],'kits to boards'!$B$2:$E$156,4,FALSE)</f>
        <v>0</v>
      </c>
      <c r="O2789" t="str">
        <f>CONCATENATE(Query1[[#This Row],[Description]]," - ",Query1[[#This Row],[MB1]]," - ",Query1[[#This Row],[MB2]]," - ",Query1[[#This Row],[MB3]])</f>
        <v>MINI GEN II W/DEF - 830099 - 0 - 0</v>
      </c>
    </row>
    <row r="2790" spans="1:15" x14ac:dyDescent="0.25">
      <c r="A2790" s="1">
        <v>916704</v>
      </c>
      <c r="B2790" s="1" t="s">
        <v>22</v>
      </c>
      <c r="C2790" s="1" t="s">
        <v>23</v>
      </c>
      <c r="D2790" s="2">
        <v>44644.60027855324</v>
      </c>
      <c r="E2790" s="1" t="s">
        <v>8</v>
      </c>
      <c r="F2790" s="1">
        <v>12</v>
      </c>
      <c r="G2790" s="1">
        <v>0</v>
      </c>
      <c r="H2790" s="6">
        <f>INT(Query1[[#This Row],[EntryDateTime]])</f>
        <v>44644</v>
      </c>
      <c r="I2790" s="1">
        <f>IF(Query1[[#This Row],[ItemType]]="EVAP KIT SF GEN IV",Query1[[#This Row],[OrderQty]]+I2789,I2789)</f>
        <v>3360</v>
      </c>
      <c r="J2790" s="1">
        <f>IF(Query1[[#This Row],[ItemType]]="EVAP KIT UNIVERSAL",Query1[[#This Row],[OrderQty]]+J2789,J2789)</f>
        <v>1306</v>
      </c>
      <c r="K2790" s="1">
        <f>Query1[[#This Row],[SF Running Total]]+Query1[[#This Row],[UNIV Running Total]]</f>
        <v>4666</v>
      </c>
      <c r="L2790">
        <f>VLOOKUP(Query1[[#This Row],[Description]],'kits to boards'!$B$2:$E$156,2,FALSE)</f>
        <v>830083</v>
      </c>
      <c r="M2790">
        <f>VLOOKUP(Query1[[#This Row],[Description]],'kits to boards'!$B$2:$E$156,3,FALSE)</f>
        <v>0</v>
      </c>
      <c r="N2790">
        <f>VLOOKUP(Query1[[#This Row],[Description]],'kits to boards'!$B$2:$E$156,4,FALSE)</f>
        <v>0</v>
      </c>
      <c r="O2790" t="str">
        <f>CONCATENATE(Query1[[#This Row],[Description]]," - ",Query1[[#This Row],[MB1]]," - ",Query1[[#This Row],[MB2]]," - ",Query1[[#This Row],[MB3]])</f>
        <v>GEN IV MAGNUM EVAP KIT - 830083 - 0 - 0</v>
      </c>
    </row>
    <row r="2791" spans="1:15" x14ac:dyDescent="0.25">
      <c r="A2791" s="1">
        <v>916704</v>
      </c>
      <c r="B2791" s="1" t="s">
        <v>82</v>
      </c>
      <c r="C2791" s="1" t="s">
        <v>83</v>
      </c>
      <c r="D2791" s="2">
        <v>44644.600625960651</v>
      </c>
      <c r="E2791" s="1" t="s">
        <v>11</v>
      </c>
      <c r="F2791" s="1">
        <v>1</v>
      </c>
      <c r="G2791" s="1">
        <v>0</v>
      </c>
      <c r="H2791" s="6">
        <f>INT(Query1[[#This Row],[EntryDateTime]])</f>
        <v>44644</v>
      </c>
      <c r="I2791" s="1">
        <f>IF(Query1[[#This Row],[ItemType]]="EVAP KIT SF GEN IV",Query1[[#This Row],[OrderQty]]+I2790,I2790)</f>
        <v>3360</v>
      </c>
      <c r="J2791" s="1">
        <f>IF(Query1[[#This Row],[ItemType]]="EVAP KIT UNIVERSAL",Query1[[#This Row],[OrderQty]]+J2790,J2790)</f>
        <v>1307</v>
      </c>
      <c r="K2791" s="1">
        <f>Query1[[#This Row],[SF Running Total]]+Query1[[#This Row],[UNIV Running Total]]</f>
        <v>4667</v>
      </c>
      <c r="L2791">
        <f>VLOOKUP(Query1[[#This Row],[Description]],'kits to boards'!$B$2:$E$156,2,FALSE)</f>
        <v>830029</v>
      </c>
      <c r="M2791">
        <f>VLOOKUP(Query1[[#This Row],[Description]],'kits to boards'!$B$2:$E$156,3,FALSE)</f>
        <v>830030</v>
      </c>
      <c r="N2791">
        <f>VLOOKUP(Query1[[#This Row],[Description]],'kits to boards'!$B$2:$E$156,4,FALSE)</f>
        <v>0</v>
      </c>
      <c r="O2791" t="str">
        <f>CONCATENATE(Query1[[#This Row],[Description]]," - ",Query1[[#This Row],[MB1]]," - ",Query1[[#This Row],[MB2]]," - ",Query1[[#This Row],[MB3]])</f>
        <v>ComPac GEN II H/C - 830029 - 830030 - 0</v>
      </c>
    </row>
    <row r="2792" spans="1:15" x14ac:dyDescent="0.25">
      <c r="A2792" s="1">
        <v>916704</v>
      </c>
      <c r="B2792" s="1" t="s">
        <v>42</v>
      </c>
      <c r="C2792" s="1" t="s">
        <v>43</v>
      </c>
      <c r="D2792" s="2">
        <v>44644.601278506947</v>
      </c>
      <c r="E2792" s="1" t="s">
        <v>8</v>
      </c>
      <c r="F2792" s="1">
        <v>2</v>
      </c>
      <c r="G2792" s="1">
        <v>0</v>
      </c>
      <c r="H2792" s="6">
        <f>INT(Query1[[#This Row],[EntryDateTime]])</f>
        <v>44644</v>
      </c>
      <c r="I2792" s="1">
        <f>IF(Query1[[#This Row],[ItemType]]="EVAP KIT SF GEN IV",Query1[[#This Row],[OrderQty]]+I2791,I2791)</f>
        <v>3362</v>
      </c>
      <c r="J2792" s="1">
        <f>IF(Query1[[#This Row],[ItemType]]="EVAP KIT UNIVERSAL",Query1[[#This Row],[OrderQty]]+J2791,J2791)</f>
        <v>1307</v>
      </c>
      <c r="K2792" s="1">
        <f>Query1[[#This Row],[SF Running Total]]+Query1[[#This Row],[UNIV Running Total]]</f>
        <v>4669</v>
      </c>
      <c r="L2792">
        <f>VLOOKUP(Query1[[#This Row],[Description]],'kits to boards'!$B$2:$E$156,2,FALSE)</f>
        <v>830014</v>
      </c>
      <c r="M2792">
        <f>VLOOKUP(Query1[[#This Row],[Description]],'kits to boards'!$B$2:$E$156,3,FALSE)</f>
        <v>0</v>
      </c>
      <c r="N2792">
        <f>VLOOKUP(Query1[[#This Row],[Description]],'kits to boards'!$B$2:$E$156,4,FALSE)</f>
        <v>0</v>
      </c>
      <c r="O2792" t="str">
        <f>CONCATENATE(Query1[[#This Row],[Description]]," - ",Query1[[#This Row],[MB1]]," - ",Query1[[#This Row],[MB2]]," - ",Query1[[#This Row],[MB3]])</f>
        <v>EVAP KIT 67-72 CHEV P-UP WO AC - 830014 - 0 - 0</v>
      </c>
    </row>
    <row r="2793" spans="1:15" x14ac:dyDescent="0.25">
      <c r="A2793" s="1">
        <v>916707</v>
      </c>
      <c r="B2793" s="1" t="s">
        <v>50</v>
      </c>
      <c r="C2793" s="1" t="s">
        <v>51</v>
      </c>
      <c r="D2793" s="2">
        <v>44644.601363194444</v>
      </c>
      <c r="E2793" s="1" t="s">
        <v>8</v>
      </c>
      <c r="F2793" s="1">
        <v>1</v>
      </c>
      <c r="G2793" s="1">
        <v>0</v>
      </c>
      <c r="H2793" s="6">
        <f>INT(Query1[[#This Row],[EntryDateTime]])</f>
        <v>44644</v>
      </c>
      <c r="I2793" s="1">
        <f>IF(Query1[[#This Row],[ItemType]]="EVAP KIT SF GEN IV",Query1[[#This Row],[OrderQty]]+I2792,I2792)</f>
        <v>3363</v>
      </c>
      <c r="J2793" s="1">
        <f>IF(Query1[[#This Row],[ItemType]]="EVAP KIT UNIVERSAL",Query1[[#This Row],[OrderQty]]+J2792,J2792)</f>
        <v>1307</v>
      </c>
      <c r="K2793" s="1">
        <f>Query1[[#This Row],[SF Running Total]]+Query1[[#This Row],[UNIV Running Total]]</f>
        <v>4670</v>
      </c>
      <c r="L2793">
        <f>VLOOKUP(Query1[[#This Row],[Description]],'kits to boards'!$B$2:$E$156,2,FALSE)</f>
        <v>830043</v>
      </c>
      <c r="M2793">
        <f>VLOOKUP(Query1[[#This Row],[Description]],'kits to boards'!$B$2:$E$156,3,FALSE)</f>
        <v>0</v>
      </c>
      <c r="N2793">
        <f>VLOOKUP(Query1[[#This Row],[Description]],'kits to boards'!$B$2:$E$156,4,FALSE)</f>
        <v>0</v>
      </c>
      <c r="O2793" t="str">
        <f>CONCATENATE(Query1[[#This Row],[Description]]," - ",Query1[[#This Row],[MB1]]," - ",Query1[[#This Row],[MB2]]," - ",Query1[[#This Row],[MB3]])</f>
        <v>EVAP KIT 69-74 NOVA WO AC - 830043 - 0 - 0</v>
      </c>
    </row>
    <row r="2794" spans="1:15" x14ac:dyDescent="0.25">
      <c r="A2794" s="1">
        <v>916708</v>
      </c>
      <c r="B2794" s="1" t="s">
        <v>92</v>
      </c>
      <c r="C2794" s="1" t="s">
        <v>93</v>
      </c>
      <c r="D2794" s="2">
        <v>44644.602330821763</v>
      </c>
      <c r="E2794" s="1" t="s">
        <v>8</v>
      </c>
      <c r="F2794" s="1">
        <v>1</v>
      </c>
      <c r="G2794" s="1">
        <v>0</v>
      </c>
      <c r="H2794" s="6">
        <f>INT(Query1[[#This Row],[EntryDateTime]])</f>
        <v>44644</v>
      </c>
      <c r="I2794" s="1">
        <f>IF(Query1[[#This Row],[ItemType]]="EVAP KIT SF GEN IV",Query1[[#This Row],[OrderQty]]+I2793,I2793)</f>
        <v>3364</v>
      </c>
      <c r="J2794" s="1">
        <f>IF(Query1[[#This Row],[ItemType]]="EVAP KIT UNIVERSAL",Query1[[#This Row],[OrderQty]]+J2793,J2793)</f>
        <v>1307</v>
      </c>
      <c r="K2794" s="1">
        <f>Query1[[#This Row],[SF Running Total]]+Query1[[#This Row],[UNIV Running Total]]</f>
        <v>4671</v>
      </c>
      <c r="L2794">
        <f>VLOOKUP(Query1[[#This Row],[Description]],'kits to boards'!$B$2:$E$156,2,FALSE)</f>
        <v>830063</v>
      </c>
      <c r="M2794">
        <f>VLOOKUP(Query1[[#This Row],[Description]],'kits to boards'!$B$2:$E$156,3,FALSE)</f>
        <v>0</v>
      </c>
      <c r="N2794">
        <f>VLOOKUP(Query1[[#This Row],[Description]],'kits to boards'!$B$2:$E$156,4,FALSE)</f>
        <v>0</v>
      </c>
      <c r="O2794" t="str">
        <f>CONCATENATE(Query1[[#This Row],[Description]]," - ",Query1[[#This Row],[MB1]]," - ",Query1[[#This Row],[MB2]]," - ",Query1[[#This Row],[MB3]])</f>
        <v>EVAP KIT 50-53 CHEV P-UP GEN IV - 830063 - 0 - 0</v>
      </c>
    </row>
    <row r="2795" spans="1:15" x14ac:dyDescent="0.25">
      <c r="A2795" s="1">
        <v>916710</v>
      </c>
      <c r="B2795" s="1" t="s">
        <v>62</v>
      </c>
      <c r="C2795" s="1" t="s">
        <v>63</v>
      </c>
      <c r="D2795" s="2">
        <v>44644.603271990738</v>
      </c>
      <c r="E2795" s="1" t="s">
        <v>8</v>
      </c>
      <c r="F2795" s="1">
        <v>1</v>
      </c>
      <c r="G2795" s="1">
        <v>0</v>
      </c>
      <c r="H2795" s="6">
        <f>INT(Query1[[#This Row],[EntryDateTime]])</f>
        <v>44644</v>
      </c>
      <c r="I2795" s="1">
        <f>IF(Query1[[#This Row],[ItemType]]="EVAP KIT SF GEN IV",Query1[[#This Row],[OrderQty]]+I2794,I2794)</f>
        <v>3365</v>
      </c>
      <c r="J2795" s="1">
        <f>IF(Query1[[#This Row],[ItemType]]="EVAP KIT UNIVERSAL",Query1[[#This Row],[OrderQty]]+J2794,J2794)</f>
        <v>1307</v>
      </c>
      <c r="K2795" s="1">
        <f>Query1[[#This Row],[SF Running Total]]+Query1[[#This Row],[UNIV Running Total]]</f>
        <v>4672</v>
      </c>
      <c r="L2795">
        <f>VLOOKUP(Query1[[#This Row],[Description]],'kits to boards'!$B$2:$E$156,2,FALSE)</f>
        <v>830079</v>
      </c>
      <c r="M2795">
        <f>VLOOKUP(Query1[[#This Row],[Description]],'kits to boards'!$B$2:$E$156,3,FALSE)</f>
        <v>830046</v>
      </c>
      <c r="N2795">
        <f>VLOOKUP(Query1[[#This Row],[Description]],'kits to boards'!$B$2:$E$156,4,FALSE)</f>
        <v>0</v>
      </c>
      <c r="O2795" t="str">
        <f>CONCATENATE(Query1[[#This Row],[Description]]," - ",Query1[[#This Row],[MB1]]," - ",Query1[[#This Row],[MB2]]," - ",Query1[[#This Row],[MB3]])</f>
        <v>EVAP KIT 67-68 MUSTANG/COUGAR WO AC - 830079 - 830046 - 0</v>
      </c>
    </row>
    <row r="2796" spans="1:15" x14ac:dyDescent="0.25">
      <c r="A2796" s="1">
        <v>916709</v>
      </c>
      <c r="B2796" s="1" t="s">
        <v>60</v>
      </c>
      <c r="C2796" s="1" t="s">
        <v>61</v>
      </c>
      <c r="D2796" s="2">
        <v>44644.60403159722</v>
      </c>
      <c r="E2796" s="1" t="s">
        <v>8</v>
      </c>
      <c r="F2796" s="1">
        <v>1</v>
      </c>
      <c r="G2796" s="1">
        <v>0</v>
      </c>
      <c r="H2796" s="6">
        <f>INT(Query1[[#This Row],[EntryDateTime]])</f>
        <v>44644</v>
      </c>
      <c r="I2796" s="1">
        <f>IF(Query1[[#This Row],[ItemType]]="EVAP KIT SF GEN IV",Query1[[#This Row],[OrderQty]]+I2795,I2795)</f>
        <v>3366</v>
      </c>
      <c r="J2796" s="1">
        <f>IF(Query1[[#This Row],[ItemType]]="EVAP KIT UNIVERSAL",Query1[[#This Row],[OrderQty]]+J2795,J2795)</f>
        <v>1307</v>
      </c>
      <c r="K2796" s="1">
        <f>Query1[[#This Row],[SF Running Total]]+Query1[[#This Row],[UNIV Running Total]]</f>
        <v>4673</v>
      </c>
      <c r="L2796">
        <f>VLOOKUP(Query1[[#This Row],[Description]],'kits to boards'!$B$2:$E$156,2,FALSE)</f>
        <v>830062</v>
      </c>
      <c r="M2796">
        <f>VLOOKUP(Query1[[#This Row],[Description]],'kits to boards'!$B$2:$E$156,3,FALSE)</f>
        <v>0</v>
      </c>
      <c r="N2796">
        <f>VLOOKUP(Query1[[#This Row],[Description]],'kits to boards'!$B$2:$E$156,4,FALSE)</f>
        <v>0</v>
      </c>
      <c r="O2796" t="str">
        <f>CONCATENATE(Query1[[#This Row],[Description]]," - ",Query1[[#This Row],[MB1]]," - ",Query1[[#This Row],[MB2]]," - ",Query1[[#This Row],[MB3]])</f>
        <v>EVAP KIT 68-69 CHEVELLE WO AC - 830062 - 0 - 0</v>
      </c>
    </row>
    <row r="2797" spans="1:15" x14ac:dyDescent="0.25">
      <c r="A2797" s="1">
        <v>916711</v>
      </c>
      <c r="B2797" s="1" t="s">
        <v>62</v>
      </c>
      <c r="C2797" s="1" t="s">
        <v>63</v>
      </c>
      <c r="D2797" s="2">
        <v>44644.604310451388</v>
      </c>
      <c r="E2797" s="1" t="s">
        <v>8</v>
      </c>
      <c r="F2797" s="1">
        <v>1</v>
      </c>
      <c r="G2797" s="1">
        <v>0</v>
      </c>
      <c r="H2797" s="6">
        <f>INT(Query1[[#This Row],[EntryDateTime]])</f>
        <v>44644</v>
      </c>
      <c r="I2797" s="1">
        <f>IF(Query1[[#This Row],[ItemType]]="EVAP KIT SF GEN IV",Query1[[#This Row],[OrderQty]]+I2796,I2796)</f>
        <v>3367</v>
      </c>
      <c r="J2797" s="1">
        <f>IF(Query1[[#This Row],[ItemType]]="EVAP KIT UNIVERSAL",Query1[[#This Row],[OrderQty]]+J2796,J2796)</f>
        <v>1307</v>
      </c>
      <c r="K2797" s="1">
        <f>Query1[[#This Row],[SF Running Total]]+Query1[[#This Row],[UNIV Running Total]]</f>
        <v>4674</v>
      </c>
      <c r="L2797">
        <f>VLOOKUP(Query1[[#This Row],[Description]],'kits to boards'!$B$2:$E$156,2,FALSE)</f>
        <v>830079</v>
      </c>
      <c r="M2797">
        <f>VLOOKUP(Query1[[#This Row],[Description]],'kits to boards'!$B$2:$E$156,3,FALSE)</f>
        <v>830046</v>
      </c>
      <c r="N2797">
        <f>VLOOKUP(Query1[[#This Row],[Description]],'kits to boards'!$B$2:$E$156,4,FALSE)</f>
        <v>0</v>
      </c>
      <c r="O2797" t="str">
        <f>CONCATENATE(Query1[[#This Row],[Description]]," - ",Query1[[#This Row],[MB1]]," - ",Query1[[#This Row],[MB2]]," - ",Query1[[#This Row],[MB3]])</f>
        <v>EVAP KIT 67-68 MUSTANG/COUGAR WO AC - 830079 - 830046 - 0</v>
      </c>
    </row>
    <row r="2798" spans="1:15" x14ac:dyDescent="0.25">
      <c r="A2798" s="1">
        <v>916713</v>
      </c>
      <c r="B2798" s="1" t="s">
        <v>182</v>
      </c>
      <c r="C2798" s="1" t="s">
        <v>183</v>
      </c>
      <c r="D2798" s="2">
        <v>44644.605610995372</v>
      </c>
      <c r="E2798" s="1" t="s">
        <v>8</v>
      </c>
      <c r="F2798" s="1">
        <v>1</v>
      </c>
      <c r="G2798" s="1">
        <v>0</v>
      </c>
      <c r="H2798" s="6">
        <f>INT(Query1[[#This Row],[EntryDateTime]])</f>
        <v>44644</v>
      </c>
      <c r="I2798" s="1">
        <f>IF(Query1[[#This Row],[ItemType]]="EVAP KIT SF GEN IV",Query1[[#This Row],[OrderQty]]+I2797,I2797)</f>
        <v>3368</v>
      </c>
      <c r="J2798" s="1">
        <f>IF(Query1[[#This Row],[ItemType]]="EVAP KIT UNIVERSAL",Query1[[#This Row],[OrderQty]]+J2797,J2797)</f>
        <v>1307</v>
      </c>
      <c r="K2798" s="1">
        <f>Query1[[#This Row],[SF Running Total]]+Query1[[#This Row],[UNIV Running Total]]</f>
        <v>4675</v>
      </c>
      <c r="L2798">
        <f>VLOOKUP(Query1[[#This Row],[Description]],'kits to boards'!$B$2:$E$156,2,FALSE)</f>
        <v>830075</v>
      </c>
      <c r="M2798">
        <f>VLOOKUP(Query1[[#This Row],[Description]],'kits to boards'!$B$2:$E$156,3,FALSE)</f>
        <v>0</v>
      </c>
      <c r="N2798">
        <f>VLOOKUP(Query1[[#This Row],[Description]],'kits to boards'!$B$2:$E$156,4,FALSE)</f>
        <v>0</v>
      </c>
      <c r="O2798" t="str">
        <f>CONCATENATE(Query1[[#This Row],[Description]]," - ",Query1[[#This Row],[MB1]]," - ",Query1[[#This Row],[MB2]]," - ",Query1[[#This Row],[MB3]])</f>
        <v>EVAP KIT 69-70 MOPAR B BODY WO AC - 830075 - 0 - 0</v>
      </c>
    </row>
    <row r="2799" spans="1:15" x14ac:dyDescent="0.25">
      <c r="A2799" s="1">
        <v>916282</v>
      </c>
      <c r="B2799" s="1" t="s">
        <v>128</v>
      </c>
      <c r="C2799" s="1" t="s">
        <v>129</v>
      </c>
      <c r="D2799" s="2">
        <v>44644.610250347221</v>
      </c>
      <c r="E2799" s="1" t="s">
        <v>8</v>
      </c>
      <c r="F2799" s="1">
        <v>1</v>
      </c>
      <c r="G2799" s="1">
        <v>0</v>
      </c>
      <c r="H2799" s="6">
        <f>INT(Query1[[#This Row],[EntryDateTime]])</f>
        <v>44644</v>
      </c>
      <c r="I2799" s="1">
        <f>IF(Query1[[#This Row],[ItemType]]="EVAP KIT SF GEN IV",Query1[[#This Row],[OrderQty]]+I2798,I2798)</f>
        <v>3369</v>
      </c>
      <c r="J2799" s="1">
        <f>IF(Query1[[#This Row],[ItemType]]="EVAP KIT UNIVERSAL",Query1[[#This Row],[OrderQty]]+J2798,J2798)</f>
        <v>1307</v>
      </c>
      <c r="K2799" s="1">
        <f>Query1[[#This Row],[SF Running Total]]+Query1[[#This Row],[UNIV Running Total]]</f>
        <v>4676</v>
      </c>
      <c r="L2799">
        <f>VLOOKUP(Query1[[#This Row],[Description]],'kits to boards'!$B$2:$E$156,2,FALSE)</f>
        <v>830036</v>
      </c>
      <c r="M2799">
        <f>VLOOKUP(Query1[[#This Row],[Description]],'kits to boards'!$B$2:$E$156,3,FALSE)</f>
        <v>830039</v>
      </c>
      <c r="N2799">
        <f>VLOOKUP(Query1[[#This Row],[Description]],'kits to boards'!$B$2:$E$156,4,FALSE)</f>
        <v>0</v>
      </c>
      <c r="O2799" t="str">
        <f>CONCATENATE(Query1[[#This Row],[Description]]," - ",Query1[[#This Row],[MB1]]," - ",Query1[[#This Row],[MB2]]," - ",Query1[[#This Row],[MB3]])</f>
        <v>EVAP KIT 63-66 VETTE WO AC - 830036 - 830039 - 0</v>
      </c>
    </row>
    <row r="2800" spans="1:15" x14ac:dyDescent="0.25">
      <c r="A2800" s="1">
        <v>916720</v>
      </c>
      <c r="B2800" s="1" t="s">
        <v>210</v>
      </c>
      <c r="C2800" s="1" t="s">
        <v>211</v>
      </c>
      <c r="D2800" s="2">
        <v>44644.610581631947</v>
      </c>
      <c r="E2800" s="1" t="s">
        <v>8</v>
      </c>
      <c r="F2800" s="1">
        <v>1</v>
      </c>
      <c r="G2800" s="1">
        <v>0</v>
      </c>
      <c r="H2800" s="6">
        <f>INT(Query1[[#This Row],[EntryDateTime]])</f>
        <v>44644</v>
      </c>
      <c r="I2800" s="1">
        <f>IF(Query1[[#This Row],[ItemType]]="EVAP KIT SF GEN IV",Query1[[#This Row],[OrderQty]]+I2799,I2799)</f>
        <v>3370</v>
      </c>
      <c r="J2800" s="1">
        <f>IF(Query1[[#This Row],[ItemType]]="EVAP KIT UNIVERSAL",Query1[[#This Row],[OrderQty]]+J2799,J2799)</f>
        <v>1307</v>
      </c>
      <c r="K2800" s="1">
        <f>Query1[[#This Row],[SF Running Total]]+Query1[[#This Row],[UNIV Running Total]]</f>
        <v>4677</v>
      </c>
      <c r="L2800">
        <f>VLOOKUP(Query1[[#This Row],[Description]],'kits to boards'!$B$2:$E$156,2,FALSE)</f>
        <v>830094</v>
      </c>
      <c r="M2800">
        <f>VLOOKUP(Query1[[#This Row],[Description]],'kits to boards'!$B$2:$E$156,3,FALSE)</f>
        <v>0</v>
      </c>
      <c r="N2800">
        <f>VLOOKUP(Query1[[#This Row],[Description]],'kits to boards'!$B$2:$E$156,4,FALSE)</f>
        <v>0</v>
      </c>
      <c r="O2800" t="str">
        <f>CONCATENATE(Query1[[#This Row],[Description]]," - ",Query1[[#This Row],[MB1]]," - ",Query1[[#This Row],[MB2]]," - ",Query1[[#This Row],[MB3]])</f>
        <v>EVAP KIT 74-76 VETTE W/AC - 830094 - 0 - 0</v>
      </c>
    </row>
    <row r="2801" spans="1:15" x14ac:dyDescent="0.25">
      <c r="A2801" s="1">
        <v>916721</v>
      </c>
      <c r="B2801" s="1" t="s">
        <v>70</v>
      </c>
      <c r="C2801" s="1" t="s">
        <v>71</v>
      </c>
      <c r="D2801" s="2">
        <v>44644.612874155093</v>
      </c>
      <c r="E2801" s="1" t="s">
        <v>8</v>
      </c>
      <c r="F2801" s="1">
        <v>1</v>
      </c>
      <c r="G2801" s="1">
        <v>0</v>
      </c>
      <c r="H2801" s="6">
        <f>INT(Query1[[#This Row],[EntryDateTime]])</f>
        <v>44644</v>
      </c>
      <c r="I2801" s="1">
        <f>IF(Query1[[#This Row],[ItemType]]="EVAP KIT SF GEN IV",Query1[[#This Row],[OrderQty]]+I2800,I2800)</f>
        <v>3371</v>
      </c>
      <c r="J2801" s="1">
        <f>IF(Query1[[#This Row],[ItemType]]="EVAP KIT UNIVERSAL",Query1[[#This Row],[OrderQty]]+J2800,J2800)</f>
        <v>1307</v>
      </c>
      <c r="K2801" s="1">
        <f>Query1[[#This Row],[SF Running Total]]+Query1[[#This Row],[UNIV Running Total]]</f>
        <v>4678</v>
      </c>
      <c r="L2801">
        <f>VLOOKUP(Query1[[#This Row],[Description]],'kits to boards'!$B$2:$E$156,2,FALSE)</f>
        <v>830050</v>
      </c>
      <c r="M2801">
        <f>VLOOKUP(Query1[[#This Row],[Description]],'kits to boards'!$B$2:$E$156,3,FALSE)</f>
        <v>0</v>
      </c>
      <c r="N2801">
        <f>VLOOKUP(Query1[[#This Row],[Description]],'kits to boards'!$B$2:$E$156,4,FALSE)</f>
        <v>0</v>
      </c>
      <c r="O2801" t="str">
        <f>CONCATENATE(Query1[[#This Row],[Description]]," - ",Query1[[#This Row],[MB1]]," - ",Query1[[#This Row],[MB2]]," - ",Query1[[#This Row],[MB3]])</f>
        <v>EVAP KIT 70-78 CAMARO WO AC - 830050 - 0 - 0</v>
      </c>
    </row>
    <row r="2802" spans="1:15" x14ac:dyDescent="0.25">
      <c r="A2802" s="1">
        <v>916725</v>
      </c>
      <c r="B2802" s="1" t="s">
        <v>70</v>
      </c>
      <c r="C2802" s="1" t="s">
        <v>71</v>
      </c>
      <c r="D2802" s="2">
        <v>44644.615068402774</v>
      </c>
      <c r="E2802" s="1" t="s">
        <v>8</v>
      </c>
      <c r="F2802" s="1">
        <v>1</v>
      </c>
      <c r="G2802" s="1">
        <v>0</v>
      </c>
      <c r="H2802" s="6">
        <f>INT(Query1[[#This Row],[EntryDateTime]])</f>
        <v>44644</v>
      </c>
      <c r="I2802" s="1">
        <f>IF(Query1[[#This Row],[ItemType]]="EVAP KIT SF GEN IV",Query1[[#This Row],[OrderQty]]+I2801,I2801)</f>
        <v>3372</v>
      </c>
      <c r="J2802" s="1">
        <f>IF(Query1[[#This Row],[ItemType]]="EVAP KIT UNIVERSAL",Query1[[#This Row],[OrderQty]]+J2801,J2801)</f>
        <v>1307</v>
      </c>
      <c r="K2802" s="1">
        <f>Query1[[#This Row],[SF Running Total]]+Query1[[#This Row],[UNIV Running Total]]</f>
        <v>4679</v>
      </c>
      <c r="L2802">
        <f>VLOOKUP(Query1[[#This Row],[Description]],'kits to boards'!$B$2:$E$156,2,FALSE)</f>
        <v>830050</v>
      </c>
      <c r="M2802">
        <f>VLOOKUP(Query1[[#This Row],[Description]],'kits to boards'!$B$2:$E$156,3,FALSE)</f>
        <v>0</v>
      </c>
      <c r="N2802">
        <f>VLOOKUP(Query1[[#This Row],[Description]],'kits to boards'!$B$2:$E$156,4,FALSE)</f>
        <v>0</v>
      </c>
      <c r="O2802" t="str">
        <f>CONCATENATE(Query1[[#This Row],[Description]]," - ",Query1[[#This Row],[MB1]]," - ",Query1[[#This Row],[MB2]]," - ",Query1[[#This Row],[MB3]])</f>
        <v>EVAP KIT 70-78 CAMARO WO AC - 830050 - 0 - 0</v>
      </c>
    </row>
    <row r="2803" spans="1:15" x14ac:dyDescent="0.25">
      <c r="A2803" s="1">
        <v>916260</v>
      </c>
      <c r="B2803" s="1" t="s">
        <v>52</v>
      </c>
      <c r="C2803" s="1" t="s">
        <v>53</v>
      </c>
      <c r="D2803" s="2">
        <v>44644.625760995368</v>
      </c>
      <c r="E2803" s="1" t="s">
        <v>8</v>
      </c>
      <c r="F2803" s="1">
        <v>1</v>
      </c>
      <c r="G2803" s="1">
        <v>0</v>
      </c>
      <c r="H2803" s="6">
        <f>INT(Query1[[#This Row],[EntryDateTime]])</f>
        <v>44644</v>
      </c>
      <c r="I2803" s="1">
        <f>IF(Query1[[#This Row],[ItemType]]="EVAP KIT SF GEN IV",Query1[[#This Row],[OrderQty]]+I2802,I2802)</f>
        <v>3373</v>
      </c>
      <c r="J2803" s="1">
        <f>IF(Query1[[#This Row],[ItemType]]="EVAP KIT UNIVERSAL",Query1[[#This Row],[OrderQty]]+J2802,J2802)</f>
        <v>1307</v>
      </c>
      <c r="K2803" s="1">
        <f>Query1[[#This Row],[SF Running Total]]+Query1[[#This Row],[UNIV Running Total]]</f>
        <v>4680</v>
      </c>
      <c r="L2803">
        <f>VLOOKUP(Query1[[#This Row],[Description]],'kits to boards'!$B$2:$E$156,2,FALSE)</f>
        <v>830017</v>
      </c>
      <c r="M2803">
        <f>VLOOKUP(Query1[[#This Row],[Description]],'kits to boards'!$B$2:$E$156,3,FALSE)</f>
        <v>830119</v>
      </c>
      <c r="N2803">
        <f>VLOOKUP(Query1[[#This Row],[Description]],'kits to boards'!$B$2:$E$156,4,FALSE)</f>
        <v>830120</v>
      </c>
      <c r="O2803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2804" spans="1:15" x14ac:dyDescent="0.25">
      <c r="A2804" s="1">
        <v>916732</v>
      </c>
      <c r="B2804" s="1" t="s">
        <v>122</v>
      </c>
      <c r="C2804" s="1" t="s">
        <v>123</v>
      </c>
      <c r="D2804" s="2">
        <v>44644.629402858794</v>
      </c>
      <c r="E2804" s="1" t="s">
        <v>8</v>
      </c>
      <c r="F2804" s="1">
        <v>1</v>
      </c>
      <c r="G2804" s="1">
        <v>0</v>
      </c>
      <c r="H2804" s="6">
        <f>INT(Query1[[#This Row],[EntryDateTime]])</f>
        <v>44644</v>
      </c>
      <c r="I2804" s="1">
        <f>IF(Query1[[#This Row],[ItemType]]="EVAP KIT SF GEN IV",Query1[[#This Row],[OrderQty]]+I2803,I2803)</f>
        <v>3374</v>
      </c>
      <c r="J2804" s="1">
        <f>IF(Query1[[#This Row],[ItemType]]="EVAP KIT UNIVERSAL",Query1[[#This Row],[OrderQty]]+J2803,J2803)</f>
        <v>1307</v>
      </c>
      <c r="K2804" s="1">
        <f>Query1[[#This Row],[SF Running Total]]+Query1[[#This Row],[UNIV Running Total]]</f>
        <v>4681</v>
      </c>
      <c r="L2804">
        <f>VLOOKUP(Query1[[#This Row],[Description]],'kits to boards'!$B$2:$E$156,2,FALSE)</f>
        <v>830027</v>
      </c>
      <c r="M2804">
        <f>VLOOKUP(Query1[[#This Row],[Description]],'kits to boards'!$B$2:$E$156,3,FALSE)</f>
        <v>0</v>
      </c>
      <c r="N2804">
        <f>VLOOKUP(Query1[[#This Row],[Description]],'kits to boards'!$B$2:$E$156,4,FALSE)</f>
        <v>0</v>
      </c>
      <c r="O2804" t="str">
        <f>CONCATENATE(Query1[[#This Row],[Description]]," - ",Query1[[#This Row],[MB1]]," - ",Query1[[#This Row],[MB2]]," - ",Query1[[#This Row],[MB3]])</f>
        <v>EVAP KIT 70-72 CUTLASS W/AC - 830027 - 0 - 0</v>
      </c>
    </row>
    <row r="2805" spans="1:15" x14ac:dyDescent="0.25">
      <c r="A2805" s="1">
        <v>916742</v>
      </c>
      <c r="B2805" s="1" t="s">
        <v>16</v>
      </c>
      <c r="C2805" s="1" t="s">
        <v>17</v>
      </c>
      <c r="D2805" s="2">
        <v>44644.658250034721</v>
      </c>
      <c r="E2805" s="1" t="s">
        <v>8</v>
      </c>
      <c r="F2805" s="1">
        <v>1</v>
      </c>
      <c r="G2805" s="1">
        <v>0</v>
      </c>
      <c r="H2805" s="6">
        <f>INT(Query1[[#This Row],[EntryDateTime]])</f>
        <v>44644</v>
      </c>
      <c r="I2805" s="1">
        <f>IF(Query1[[#This Row],[ItemType]]="EVAP KIT SF GEN IV",Query1[[#This Row],[OrderQty]]+I2804,I2804)</f>
        <v>3375</v>
      </c>
      <c r="J2805" s="1">
        <f>IF(Query1[[#This Row],[ItemType]]="EVAP KIT UNIVERSAL",Query1[[#This Row],[OrderQty]]+J2804,J2804)</f>
        <v>1307</v>
      </c>
      <c r="K2805" s="1">
        <f>Query1[[#This Row],[SF Running Total]]+Query1[[#This Row],[UNIV Running Total]]</f>
        <v>4682</v>
      </c>
      <c r="L2805">
        <f>VLOOKUP(Query1[[#This Row],[Description]],'kits to boards'!$B$2:$E$156,2,FALSE)</f>
        <v>830061</v>
      </c>
      <c r="M2805">
        <f>VLOOKUP(Query1[[#This Row],[Description]],'kits to boards'!$B$2:$E$156,3,FALSE)</f>
        <v>0</v>
      </c>
      <c r="N2805">
        <f>VLOOKUP(Query1[[#This Row],[Description]],'kits to boards'!$B$2:$E$156,4,FALSE)</f>
        <v>0</v>
      </c>
      <c r="O2805" t="str">
        <f>CONCATENATE(Query1[[#This Row],[Description]]," - ",Query1[[#This Row],[MB1]]," - ",Query1[[#This Row],[MB2]]," - ",Query1[[#This Row],[MB3]])</f>
        <v>EVAP KIT 68-69 CHEVELLE W/AC - 830061 - 0 - 0</v>
      </c>
    </row>
    <row r="2806" spans="1:15" x14ac:dyDescent="0.25">
      <c r="A2806" s="1">
        <v>916510</v>
      </c>
      <c r="B2806" s="1" t="s">
        <v>14</v>
      </c>
      <c r="C2806" s="1" t="s">
        <v>15</v>
      </c>
      <c r="D2806" s="2">
        <v>44644.661201006944</v>
      </c>
      <c r="E2806" s="1" t="s">
        <v>8</v>
      </c>
      <c r="F2806" s="1">
        <v>1</v>
      </c>
      <c r="G2806" s="1">
        <v>0</v>
      </c>
      <c r="H2806" s="6">
        <f>INT(Query1[[#This Row],[EntryDateTime]])</f>
        <v>44644</v>
      </c>
      <c r="I2806" s="1">
        <f>IF(Query1[[#This Row],[ItemType]]="EVAP KIT SF GEN IV",Query1[[#This Row],[OrderQty]]+I2805,I2805)</f>
        <v>3376</v>
      </c>
      <c r="J2806" s="1">
        <f>IF(Query1[[#This Row],[ItemType]]="EVAP KIT UNIVERSAL",Query1[[#This Row],[OrderQty]]+J2805,J2805)</f>
        <v>1307</v>
      </c>
      <c r="K2806" s="1">
        <f>Query1[[#This Row],[SF Running Total]]+Query1[[#This Row],[UNIV Running Total]]</f>
        <v>4683</v>
      </c>
      <c r="L2806">
        <f>VLOOKUP(Query1[[#This Row],[Description]],'kits to boards'!$B$2:$E$156,2,FALSE)</f>
        <v>830054</v>
      </c>
      <c r="M2806">
        <f>VLOOKUP(Query1[[#This Row],[Description]],'kits to boards'!$B$2:$E$156,3,FALSE)</f>
        <v>0</v>
      </c>
      <c r="N2806">
        <f>VLOOKUP(Query1[[#This Row],[Description]],'kits to boards'!$B$2:$E$156,4,FALSE)</f>
        <v>0</v>
      </c>
      <c r="O2806" t="str">
        <f>CONCATENATE(Query1[[#This Row],[Description]]," - ",Query1[[#This Row],[MB1]]," - ",Query1[[#This Row],[MB2]]," - ",Query1[[#This Row],[MB3]])</f>
        <v>EVAP KIT 55-56 CHEVY - 830054 - 0 - 0</v>
      </c>
    </row>
    <row r="2807" spans="1:15" x14ac:dyDescent="0.25">
      <c r="A2807" s="1">
        <v>916751</v>
      </c>
      <c r="B2807" s="1" t="s">
        <v>26</v>
      </c>
      <c r="C2807" s="1" t="s">
        <v>27</v>
      </c>
      <c r="D2807" s="2">
        <v>44644.670868946756</v>
      </c>
      <c r="E2807" s="1" t="s">
        <v>8</v>
      </c>
      <c r="F2807" s="1">
        <v>1</v>
      </c>
      <c r="G2807" s="1">
        <v>0</v>
      </c>
      <c r="H2807" s="6">
        <f>INT(Query1[[#This Row],[EntryDateTime]])</f>
        <v>44644</v>
      </c>
      <c r="I2807" s="1">
        <f>IF(Query1[[#This Row],[ItemType]]="EVAP KIT SF GEN IV",Query1[[#This Row],[OrderQty]]+I2806,I2806)</f>
        <v>3377</v>
      </c>
      <c r="J2807" s="1">
        <f>IF(Query1[[#This Row],[ItemType]]="EVAP KIT UNIVERSAL",Query1[[#This Row],[OrderQty]]+J2806,J2806)</f>
        <v>1307</v>
      </c>
      <c r="K2807" s="1">
        <f>Query1[[#This Row],[SF Running Total]]+Query1[[#This Row],[UNIV Running Total]]</f>
        <v>4684</v>
      </c>
      <c r="L2807">
        <f>VLOOKUP(Query1[[#This Row],[Description]],'kits to boards'!$B$2:$E$156,2,FALSE)</f>
        <v>830013</v>
      </c>
      <c r="M2807">
        <f>VLOOKUP(Query1[[#This Row],[Description]],'kits to boards'!$B$2:$E$156,3,FALSE)</f>
        <v>0</v>
      </c>
      <c r="N2807">
        <f>VLOOKUP(Query1[[#This Row],[Description]],'kits to boards'!$B$2:$E$156,4,FALSE)</f>
        <v>0</v>
      </c>
      <c r="O2807" t="str">
        <f>CONCATENATE(Query1[[#This Row],[Description]]," - ",Query1[[#This Row],[MB1]]," - ",Query1[[#This Row],[MB2]]," - ",Query1[[#This Row],[MB3]])</f>
        <v>EVAP KIT 67-72 CHEV P-UP W/AC - 830013 - 0 - 0</v>
      </c>
    </row>
    <row r="2808" spans="1:15" x14ac:dyDescent="0.25">
      <c r="A2808" s="1">
        <v>916754</v>
      </c>
      <c r="B2808" s="1" t="s">
        <v>110</v>
      </c>
      <c r="C2808" s="1" t="s">
        <v>111</v>
      </c>
      <c r="D2808" s="2">
        <v>44644.67881646991</v>
      </c>
      <c r="E2808" s="1" t="s">
        <v>8</v>
      </c>
      <c r="F2808" s="1">
        <v>1</v>
      </c>
      <c r="G2808" s="1">
        <v>0</v>
      </c>
      <c r="H2808" s="6">
        <f>INT(Query1[[#This Row],[EntryDateTime]])</f>
        <v>44644</v>
      </c>
      <c r="I2808" s="1">
        <f>IF(Query1[[#This Row],[ItemType]]="EVAP KIT SF GEN IV",Query1[[#This Row],[OrderQty]]+I2807,I2807)</f>
        <v>3378</v>
      </c>
      <c r="J2808" s="1">
        <f>IF(Query1[[#This Row],[ItemType]]="EVAP KIT UNIVERSAL",Query1[[#This Row],[OrderQty]]+J2807,J2807)</f>
        <v>1307</v>
      </c>
      <c r="K2808" s="1">
        <f>Query1[[#This Row],[SF Running Total]]+Query1[[#This Row],[UNIV Running Total]]</f>
        <v>4685</v>
      </c>
      <c r="L2808">
        <f>VLOOKUP(Query1[[#This Row],[Description]],'kits to boards'!$B$2:$E$156,2,FALSE)</f>
        <v>830053</v>
      </c>
      <c r="M2808">
        <f>VLOOKUP(Query1[[#This Row],[Description]],'kits to boards'!$B$2:$E$156,3,FALSE)</f>
        <v>0</v>
      </c>
      <c r="N2808">
        <f>VLOOKUP(Query1[[#This Row],[Description]],'kits to boards'!$B$2:$E$156,4,FALSE)</f>
        <v>0</v>
      </c>
      <c r="O2808" t="str">
        <f>CONCATENATE(Query1[[#This Row],[Description]]," - ",Query1[[#This Row],[MB1]]," - ",Query1[[#This Row],[MB2]]," - ",Query1[[#This Row],[MB3]])</f>
        <v>EVAP KIT 65-66 FORD F-100 - 830053 - 0 - 0</v>
      </c>
    </row>
    <row r="2809" spans="1:15" x14ac:dyDescent="0.25">
      <c r="A2809" s="1">
        <v>916759</v>
      </c>
      <c r="B2809" s="1" t="s">
        <v>60</v>
      </c>
      <c r="C2809" s="1" t="s">
        <v>61</v>
      </c>
      <c r="D2809" s="2">
        <v>44644.699888391202</v>
      </c>
      <c r="E2809" s="1" t="s">
        <v>8</v>
      </c>
      <c r="F2809" s="1">
        <v>1</v>
      </c>
      <c r="G2809" s="1">
        <v>0</v>
      </c>
      <c r="H2809" s="6">
        <f>INT(Query1[[#This Row],[EntryDateTime]])</f>
        <v>44644</v>
      </c>
      <c r="I2809" s="1">
        <f>IF(Query1[[#This Row],[ItemType]]="EVAP KIT SF GEN IV",Query1[[#This Row],[OrderQty]]+I2808,I2808)</f>
        <v>3379</v>
      </c>
      <c r="J2809" s="1">
        <f>IF(Query1[[#This Row],[ItemType]]="EVAP KIT UNIVERSAL",Query1[[#This Row],[OrderQty]]+J2808,J2808)</f>
        <v>1307</v>
      </c>
      <c r="K2809" s="1">
        <f>Query1[[#This Row],[SF Running Total]]+Query1[[#This Row],[UNIV Running Total]]</f>
        <v>4686</v>
      </c>
      <c r="L2809">
        <f>VLOOKUP(Query1[[#This Row],[Description]],'kits to boards'!$B$2:$E$156,2,FALSE)</f>
        <v>830062</v>
      </c>
      <c r="M2809">
        <f>VLOOKUP(Query1[[#This Row],[Description]],'kits to boards'!$B$2:$E$156,3,FALSE)</f>
        <v>0</v>
      </c>
      <c r="N2809">
        <f>VLOOKUP(Query1[[#This Row],[Description]],'kits to boards'!$B$2:$E$156,4,FALSE)</f>
        <v>0</v>
      </c>
      <c r="O2809" t="str">
        <f>CONCATENATE(Query1[[#This Row],[Description]]," - ",Query1[[#This Row],[MB1]]," - ",Query1[[#This Row],[MB2]]," - ",Query1[[#This Row],[MB3]])</f>
        <v>EVAP KIT 68-69 CHEVELLE WO AC - 830062 - 0 - 0</v>
      </c>
    </row>
    <row r="2810" spans="1:15" x14ac:dyDescent="0.25">
      <c r="A2810" s="1">
        <v>916764</v>
      </c>
      <c r="B2810" s="1" t="s">
        <v>52</v>
      </c>
      <c r="C2810" s="1" t="s">
        <v>53</v>
      </c>
      <c r="D2810" s="2">
        <v>44645.318220717592</v>
      </c>
      <c r="E2810" s="1" t="s">
        <v>8</v>
      </c>
      <c r="F2810" s="1">
        <v>1</v>
      </c>
      <c r="G2810" s="1">
        <v>0</v>
      </c>
      <c r="H2810" s="6">
        <f>INT(Query1[[#This Row],[EntryDateTime]])</f>
        <v>44645</v>
      </c>
      <c r="I2810" s="1">
        <f>IF(Query1[[#This Row],[ItemType]]="EVAP KIT SF GEN IV",Query1[[#This Row],[OrderQty]]+I2809,I2809)</f>
        <v>3380</v>
      </c>
      <c r="J2810" s="1">
        <f>IF(Query1[[#This Row],[ItemType]]="EVAP KIT UNIVERSAL",Query1[[#This Row],[OrderQty]]+J2809,J2809)</f>
        <v>1307</v>
      </c>
      <c r="K2810" s="1">
        <f>Query1[[#This Row],[SF Running Total]]+Query1[[#This Row],[UNIV Running Total]]</f>
        <v>4687</v>
      </c>
      <c r="L2810">
        <f>VLOOKUP(Query1[[#This Row],[Description]],'kits to boards'!$B$2:$E$156,2,FALSE)</f>
        <v>830017</v>
      </c>
      <c r="M2810">
        <f>VLOOKUP(Query1[[#This Row],[Description]],'kits to boards'!$B$2:$E$156,3,FALSE)</f>
        <v>830119</v>
      </c>
      <c r="N2810">
        <f>VLOOKUP(Query1[[#This Row],[Description]],'kits to boards'!$B$2:$E$156,4,FALSE)</f>
        <v>830120</v>
      </c>
      <c r="O2810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2811" spans="1:15" x14ac:dyDescent="0.25">
      <c r="A2811" s="1">
        <v>916554</v>
      </c>
      <c r="B2811" s="1" t="s">
        <v>90</v>
      </c>
      <c r="C2811" s="1" t="s">
        <v>91</v>
      </c>
      <c r="D2811" s="2">
        <v>44645.320921446757</v>
      </c>
      <c r="E2811" s="1" t="s">
        <v>8</v>
      </c>
      <c r="F2811" s="1">
        <v>1</v>
      </c>
      <c r="G2811" s="1">
        <v>0</v>
      </c>
      <c r="H2811" s="6">
        <f>INT(Query1[[#This Row],[EntryDateTime]])</f>
        <v>44645</v>
      </c>
      <c r="I2811" s="1">
        <f>IF(Query1[[#This Row],[ItemType]]="EVAP KIT SF GEN IV",Query1[[#This Row],[OrderQty]]+I2810,I2810)</f>
        <v>3381</v>
      </c>
      <c r="J2811" s="1">
        <f>IF(Query1[[#This Row],[ItemType]]="EVAP KIT UNIVERSAL",Query1[[#This Row],[OrderQty]]+J2810,J2810)</f>
        <v>1307</v>
      </c>
      <c r="K2811" s="1">
        <f>Query1[[#This Row],[SF Running Total]]+Query1[[#This Row],[UNIV Running Total]]</f>
        <v>4688</v>
      </c>
      <c r="L2811">
        <f>VLOOKUP(Query1[[#This Row],[Description]],'kits to boards'!$B$2:$E$156,2,FALSE)</f>
        <v>830105</v>
      </c>
      <c r="M2811">
        <f>VLOOKUP(Query1[[#This Row],[Description]],'kits to boards'!$B$2:$E$156,3,FALSE)</f>
        <v>830106</v>
      </c>
      <c r="N2811">
        <f>VLOOKUP(Query1[[#This Row],[Description]],'kits to boards'!$B$2:$E$156,4,FALSE)</f>
        <v>0</v>
      </c>
      <c r="O2811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2812" spans="1:15" x14ac:dyDescent="0.25">
      <c r="A2812" s="1">
        <v>916769</v>
      </c>
      <c r="B2812" s="1" t="s">
        <v>54</v>
      </c>
      <c r="C2812" s="1" t="s">
        <v>55</v>
      </c>
      <c r="D2812" s="2">
        <v>44645.325130243058</v>
      </c>
      <c r="E2812" s="1" t="s">
        <v>8</v>
      </c>
      <c r="F2812" s="1">
        <v>1</v>
      </c>
      <c r="G2812" s="1">
        <v>0</v>
      </c>
      <c r="H2812" s="6">
        <f>INT(Query1[[#This Row],[EntryDateTime]])</f>
        <v>44645</v>
      </c>
      <c r="I2812" s="1">
        <f>IF(Query1[[#This Row],[ItemType]]="EVAP KIT SF GEN IV",Query1[[#This Row],[OrderQty]]+I2811,I2811)</f>
        <v>3382</v>
      </c>
      <c r="J2812" s="1">
        <f>IF(Query1[[#This Row],[ItemType]]="EVAP KIT UNIVERSAL",Query1[[#This Row],[OrderQty]]+J2811,J2811)</f>
        <v>1307</v>
      </c>
      <c r="K2812" s="1">
        <f>Query1[[#This Row],[SF Running Total]]+Query1[[#This Row],[UNIV Running Total]]</f>
        <v>4689</v>
      </c>
      <c r="L2812">
        <f>VLOOKUP(Query1[[#This Row],[Description]],'kits to boards'!$B$2:$E$156,2,FALSE)</f>
        <v>830037</v>
      </c>
      <c r="M2812">
        <f>VLOOKUP(Query1[[#This Row],[Description]],'kits to boards'!$B$2:$E$156,3,FALSE)</f>
        <v>0</v>
      </c>
      <c r="N2812">
        <f>VLOOKUP(Query1[[#This Row],[Description]],'kits to boards'!$B$2:$E$156,4,FALSE)</f>
        <v>0</v>
      </c>
      <c r="O2812" t="str">
        <f>CONCATENATE(Query1[[#This Row],[Description]]," - ",Query1[[#This Row],[MB1]]," - ",Query1[[#This Row],[MB2]]," - ",Query1[[#This Row],[MB3]])</f>
        <v>EVAP KIT 70-81 FIREBIRD W/AC - 830037 - 0 - 0</v>
      </c>
    </row>
    <row r="2813" spans="1:15" x14ac:dyDescent="0.25">
      <c r="A2813" s="1">
        <v>916559</v>
      </c>
      <c r="B2813" s="1" t="s">
        <v>120</v>
      </c>
      <c r="C2813" s="1" t="s">
        <v>121</v>
      </c>
      <c r="D2813" s="2">
        <v>44645.326302974536</v>
      </c>
      <c r="E2813" s="1" t="s">
        <v>8</v>
      </c>
      <c r="F2813" s="1">
        <v>1</v>
      </c>
      <c r="G2813" s="1">
        <v>0</v>
      </c>
      <c r="H2813" s="6">
        <f>INT(Query1[[#This Row],[EntryDateTime]])</f>
        <v>44645</v>
      </c>
      <c r="I2813" s="1">
        <f>IF(Query1[[#This Row],[ItemType]]="EVAP KIT SF GEN IV",Query1[[#This Row],[OrderQty]]+I2812,I2812)</f>
        <v>3383</v>
      </c>
      <c r="J2813" s="1">
        <f>IF(Query1[[#This Row],[ItemType]]="EVAP KIT UNIVERSAL",Query1[[#This Row],[OrderQty]]+J2812,J2812)</f>
        <v>1307</v>
      </c>
      <c r="K2813" s="1">
        <f>Query1[[#This Row],[SF Running Total]]+Query1[[#This Row],[UNIV Running Total]]</f>
        <v>4690</v>
      </c>
      <c r="L2813">
        <f>VLOOKUP(Query1[[#This Row],[Description]],'kits to boards'!$B$2:$E$156,2,FALSE)</f>
        <v>830014</v>
      </c>
      <c r="M2813">
        <f>VLOOKUP(Query1[[#This Row],[Description]],'kits to boards'!$B$2:$E$156,3,FALSE)</f>
        <v>0</v>
      </c>
      <c r="N2813">
        <f>VLOOKUP(Query1[[#This Row],[Description]],'kits to boards'!$B$2:$E$156,4,FALSE)</f>
        <v>0</v>
      </c>
      <c r="O2813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2814" spans="1:15" x14ac:dyDescent="0.25">
      <c r="A2814" s="1">
        <v>916775</v>
      </c>
      <c r="B2814" s="1" t="s">
        <v>273</v>
      </c>
      <c r="C2814" s="1" t="s">
        <v>274</v>
      </c>
      <c r="D2814" s="2">
        <v>44645.332461493053</v>
      </c>
      <c r="E2814" s="1" t="s">
        <v>8</v>
      </c>
      <c r="F2814" s="1">
        <v>1</v>
      </c>
      <c r="G2814" s="1">
        <v>0</v>
      </c>
      <c r="H2814" s="6">
        <f>INT(Query1[[#This Row],[EntryDateTime]])</f>
        <v>44645</v>
      </c>
      <c r="I2814" s="1">
        <f>IF(Query1[[#This Row],[ItemType]]="EVAP KIT SF GEN IV",Query1[[#This Row],[OrderQty]]+I2813,I2813)</f>
        <v>3384</v>
      </c>
      <c r="J2814" s="1">
        <f>IF(Query1[[#This Row],[ItemType]]="EVAP KIT UNIVERSAL",Query1[[#This Row],[OrderQty]]+J2813,J2813)</f>
        <v>1307</v>
      </c>
      <c r="K2814" s="1">
        <f>Query1[[#This Row],[SF Running Total]]+Query1[[#This Row],[UNIV Running Total]]</f>
        <v>4691</v>
      </c>
      <c r="L2814">
        <f>VLOOKUP(Query1[[#This Row],[Description]],'kits to boards'!$B$2:$E$156,2,FALSE)</f>
        <v>830056</v>
      </c>
      <c r="M2814">
        <f>VLOOKUP(Query1[[#This Row],[Description]],'kits to boards'!$B$2:$E$156,3,FALSE)</f>
        <v>0</v>
      </c>
      <c r="N2814">
        <f>VLOOKUP(Query1[[#This Row],[Description]],'kits to boards'!$B$2:$E$156,4,FALSE)</f>
        <v>0</v>
      </c>
      <c r="O2814" t="str">
        <f>CONCATENATE(Query1[[#This Row],[Description]]," - ",Query1[[#This Row],[MB1]]," - ",Query1[[#This Row],[MB2]]," - ",Query1[[#This Row],[MB3]])</f>
        <v>EVAP KIT 64-65 CHEVELLE W/AC - 830056 - 0 - 0</v>
      </c>
    </row>
    <row r="2815" spans="1:15" x14ac:dyDescent="0.25">
      <c r="A2815" s="1">
        <v>916781</v>
      </c>
      <c r="B2815" s="1" t="s">
        <v>22</v>
      </c>
      <c r="C2815" s="1" t="s">
        <v>23</v>
      </c>
      <c r="D2815" s="2">
        <v>44645.343987233799</v>
      </c>
      <c r="E2815" s="1" t="s">
        <v>8</v>
      </c>
      <c r="F2815" s="1">
        <v>1</v>
      </c>
      <c r="G2815" s="1">
        <v>0</v>
      </c>
      <c r="H2815" s="6">
        <f>INT(Query1[[#This Row],[EntryDateTime]])</f>
        <v>44645</v>
      </c>
      <c r="I2815" s="1">
        <f>IF(Query1[[#This Row],[ItemType]]="EVAP KIT SF GEN IV",Query1[[#This Row],[OrderQty]]+I2814,I2814)</f>
        <v>3385</v>
      </c>
      <c r="J2815" s="1">
        <f>IF(Query1[[#This Row],[ItemType]]="EVAP KIT UNIVERSAL",Query1[[#This Row],[OrderQty]]+J2814,J2814)</f>
        <v>1307</v>
      </c>
      <c r="K2815" s="1">
        <f>Query1[[#This Row],[SF Running Total]]+Query1[[#This Row],[UNIV Running Total]]</f>
        <v>4692</v>
      </c>
      <c r="L2815">
        <f>VLOOKUP(Query1[[#This Row],[Description]],'kits to boards'!$B$2:$E$156,2,FALSE)</f>
        <v>830083</v>
      </c>
      <c r="M2815">
        <f>VLOOKUP(Query1[[#This Row],[Description]],'kits to boards'!$B$2:$E$156,3,FALSE)</f>
        <v>0</v>
      </c>
      <c r="N2815">
        <f>VLOOKUP(Query1[[#This Row],[Description]],'kits to boards'!$B$2:$E$156,4,FALSE)</f>
        <v>0</v>
      </c>
      <c r="O2815" t="str">
        <f>CONCATENATE(Query1[[#This Row],[Description]]," - ",Query1[[#This Row],[MB1]]," - ",Query1[[#This Row],[MB2]]," - ",Query1[[#This Row],[MB3]])</f>
        <v>GEN IV MAGNUM EVAP KIT - 830083 - 0 - 0</v>
      </c>
    </row>
    <row r="2816" spans="1:15" x14ac:dyDescent="0.25">
      <c r="A2816" s="1">
        <v>916783</v>
      </c>
      <c r="B2816" s="1" t="s">
        <v>34</v>
      </c>
      <c r="C2816" s="1" t="s">
        <v>35</v>
      </c>
      <c r="D2816" s="2">
        <v>44645.374911956016</v>
      </c>
      <c r="E2816" s="1" t="s">
        <v>8</v>
      </c>
      <c r="F2816" s="1">
        <v>1</v>
      </c>
      <c r="G2816" s="1">
        <v>0</v>
      </c>
      <c r="H2816" s="6">
        <f>INT(Query1[[#This Row],[EntryDateTime]])</f>
        <v>44645</v>
      </c>
      <c r="I2816" s="1">
        <f>IF(Query1[[#This Row],[ItemType]]="EVAP KIT SF GEN IV",Query1[[#This Row],[OrderQty]]+I2815,I2815)</f>
        <v>3386</v>
      </c>
      <c r="J2816" s="1">
        <f>IF(Query1[[#This Row],[ItemType]]="EVAP KIT UNIVERSAL",Query1[[#This Row],[OrderQty]]+J2815,J2815)</f>
        <v>1307</v>
      </c>
      <c r="K2816" s="1">
        <f>Query1[[#This Row],[SF Running Total]]+Query1[[#This Row],[UNIV Running Total]]</f>
        <v>4693</v>
      </c>
      <c r="L2816">
        <f>VLOOKUP(Query1[[#This Row],[Description]],'kits to boards'!$B$2:$E$156,2,FALSE)</f>
        <v>830065</v>
      </c>
      <c r="M2816">
        <f>VLOOKUP(Query1[[#This Row],[Description]],'kits to boards'!$B$2:$E$156,3,FALSE)</f>
        <v>0</v>
      </c>
      <c r="N2816">
        <f>VLOOKUP(Query1[[#This Row],[Description]],'kits to boards'!$B$2:$E$156,4,FALSE)</f>
        <v>0</v>
      </c>
      <c r="O2816" t="str">
        <f>CONCATENATE(Query1[[#This Row],[Description]]," - ",Query1[[#This Row],[MB1]]," - ",Query1[[#This Row],[MB2]]," - ",Query1[[#This Row],[MB3]])</f>
        <v>EVAP KIT 57 CHEV WO AC - 830065 - 0 - 0</v>
      </c>
    </row>
    <row r="2817" spans="1:15" x14ac:dyDescent="0.25">
      <c r="A2817" s="1">
        <v>916788</v>
      </c>
      <c r="B2817" s="1" t="s">
        <v>506</v>
      </c>
      <c r="C2817" s="1" t="s">
        <v>507</v>
      </c>
      <c r="D2817" s="2">
        <v>44645.392960648147</v>
      </c>
      <c r="E2817" s="1" t="s">
        <v>677</v>
      </c>
      <c r="F2817" s="1">
        <v>1</v>
      </c>
      <c r="G2817" s="1">
        <v>0</v>
      </c>
      <c r="H2817" s="6">
        <f>INT(Query1[[#This Row],[EntryDateTime]])</f>
        <v>44645</v>
      </c>
      <c r="I2817" s="1">
        <f>IF(Query1[[#This Row],[ItemType]]="EVAP KIT SF GEN IV",Query1[[#This Row],[OrderQty]]+I2816,I2816)</f>
        <v>3386</v>
      </c>
      <c r="J2817" s="1">
        <f>IF(Query1[[#This Row],[ItemType]]="EVAP KIT UNIVERSAL",Query1[[#This Row],[OrderQty]]+J2816,J2816)</f>
        <v>1307</v>
      </c>
      <c r="K2817" s="1">
        <f>Query1[[#This Row],[SF Running Total]]+Query1[[#This Row],[UNIV Running Total]]</f>
        <v>4693</v>
      </c>
      <c r="L2817" t="e">
        <f>VLOOKUP(Query1[[#This Row],[Description]],'kits to boards'!$B$2:$E$156,2,FALSE)</f>
        <v>#N/A</v>
      </c>
      <c r="M2817" t="e">
        <f>VLOOKUP(Query1[[#This Row],[Description]],'kits to boards'!$B$2:$E$156,3,FALSE)</f>
        <v>#N/A</v>
      </c>
      <c r="N2817" t="e">
        <f>VLOOKUP(Query1[[#This Row],[Description]],'kits to boards'!$B$2:$E$156,4,FALSE)</f>
        <v>#N/A</v>
      </c>
      <c r="O2817" t="e">
        <f>CONCATENATE(Query1[[#This Row],[Description]]," - ",Query1[[#This Row],[MB1]]," - ",Query1[[#This Row],[MB2]]," - ",Query1[[#This Row],[MB3]])</f>
        <v>#N/A</v>
      </c>
    </row>
    <row r="2818" spans="1:15" x14ac:dyDescent="0.25">
      <c r="A2818" s="1">
        <v>916803</v>
      </c>
      <c r="B2818" s="1" t="s">
        <v>22</v>
      </c>
      <c r="C2818" s="1" t="s">
        <v>23</v>
      </c>
      <c r="D2818" s="2">
        <v>44645.425905439814</v>
      </c>
      <c r="E2818" s="1" t="s">
        <v>8</v>
      </c>
      <c r="F2818" s="1">
        <v>1</v>
      </c>
      <c r="G2818" s="1">
        <v>0</v>
      </c>
      <c r="H2818" s="6">
        <f>INT(Query1[[#This Row],[EntryDateTime]])</f>
        <v>44645</v>
      </c>
      <c r="I2818" s="1">
        <f>IF(Query1[[#This Row],[ItemType]]="EVAP KIT SF GEN IV",Query1[[#This Row],[OrderQty]]+I2817,I2817)</f>
        <v>3387</v>
      </c>
      <c r="J2818" s="1">
        <f>IF(Query1[[#This Row],[ItemType]]="EVAP KIT UNIVERSAL",Query1[[#This Row],[OrderQty]]+J2817,J2817)</f>
        <v>1307</v>
      </c>
      <c r="K2818" s="1">
        <f>Query1[[#This Row],[SF Running Total]]+Query1[[#This Row],[UNIV Running Total]]</f>
        <v>4694</v>
      </c>
      <c r="L2818">
        <f>VLOOKUP(Query1[[#This Row],[Description]],'kits to boards'!$B$2:$E$156,2,FALSE)</f>
        <v>830083</v>
      </c>
      <c r="M2818">
        <f>VLOOKUP(Query1[[#This Row],[Description]],'kits to boards'!$B$2:$E$156,3,FALSE)</f>
        <v>0</v>
      </c>
      <c r="N2818">
        <f>VLOOKUP(Query1[[#This Row],[Description]],'kits to boards'!$B$2:$E$156,4,FALSE)</f>
        <v>0</v>
      </c>
      <c r="O2818" t="str">
        <f>CONCATENATE(Query1[[#This Row],[Description]]," - ",Query1[[#This Row],[MB1]]," - ",Query1[[#This Row],[MB2]]," - ",Query1[[#This Row],[MB3]])</f>
        <v>GEN IV MAGNUM EVAP KIT - 830083 - 0 - 0</v>
      </c>
    </row>
    <row r="2819" spans="1:15" x14ac:dyDescent="0.25">
      <c r="A2819" s="1">
        <v>916803</v>
      </c>
      <c r="B2819" s="1" t="s">
        <v>76</v>
      </c>
      <c r="C2819" s="1" t="s">
        <v>77</v>
      </c>
      <c r="D2819" s="2">
        <v>44645.42605559028</v>
      </c>
      <c r="E2819" s="1" t="s">
        <v>11</v>
      </c>
      <c r="F2819" s="1">
        <v>1</v>
      </c>
      <c r="G2819" s="1">
        <v>0</v>
      </c>
      <c r="H2819" s="6">
        <f>INT(Query1[[#This Row],[EntryDateTime]])</f>
        <v>44645</v>
      </c>
      <c r="I2819" s="1">
        <f>IF(Query1[[#This Row],[ItemType]]="EVAP KIT SF GEN IV",Query1[[#This Row],[OrderQty]]+I2818,I2818)</f>
        <v>3387</v>
      </c>
      <c r="J2819" s="1">
        <f>IF(Query1[[#This Row],[ItemType]]="EVAP KIT UNIVERSAL",Query1[[#This Row],[OrderQty]]+J2818,J2818)</f>
        <v>1308</v>
      </c>
      <c r="K2819" s="1">
        <f>Query1[[#This Row],[SF Running Total]]+Query1[[#This Row],[UNIV Running Total]]</f>
        <v>4695</v>
      </c>
      <c r="L2819">
        <f>VLOOKUP(Query1[[#This Row],[Description]],'kits to boards'!$B$2:$E$156,2,FALSE)</f>
        <v>830099</v>
      </c>
      <c r="M2819">
        <f>VLOOKUP(Query1[[#This Row],[Description]],'kits to boards'!$B$2:$E$156,3,FALSE)</f>
        <v>0</v>
      </c>
      <c r="N2819">
        <f>VLOOKUP(Query1[[#This Row],[Description]],'kits to boards'!$B$2:$E$156,4,FALSE)</f>
        <v>0</v>
      </c>
      <c r="O2819" t="str">
        <f>CONCATENATE(Query1[[#This Row],[Description]]," - ",Query1[[#This Row],[MB1]]," - ",Query1[[#This Row],[MB2]]," - ",Query1[[#This Row],[MB3]])</f>
        <v>MINI GEN II H/C - 830099 - 0 - 0</v>
      </c>
    </row>
    <row r="2820" spans="1:15" x14ac:dyDescent="0.25">
      <c r="A2820" s="1">
        <v>916806</v>
      </c>
      <c r="B2820" s="1" t="s">
        <v>142</v>
      </c>
      <c r="C2820" s="1" t="s">
        <v>143</v>
      </c>
      <c r="D2820" s="2">
        <v>44645.427900034723</v>
      </c>
      <c r="E2820" s="1" t="s">
        <v>8</v>
      </c>
      <c r="F2820" s="1">
        <v>1</v>
      </c>
      <c r="G2820" s="1">
        <v>0</v>
      </c>
      <c r="H2820" s="6">
        <f>INT(Query1[[#This Row],[EntryDateTime]])</f>
        <v>44645</v>
      </c>
      <c r="I2820" s="1">
        <f>IF(Query1[[#This Row],[ItemType]]="EVAP KIT SF GEN IV",Query1[[#This Row],[OrderQty]]+I2819,I2819)</f>
        <v>3388</v>
      </c>
      <c r="J2820" s="1">
        <f>IF(Query1[[#This Row],[ItemType]]="EVAP KIT UNIVERSAL",Query1[[#This Row],[OrderQty]]+J2819,J2819)</f>
        <v>1308</v>
      </c>
      <c r="K2820" s="1">
        <f>Query1[[#This Row],[SF Running Total]]+Query1[[#This Row],[UNIV Running Total]]</f>
        <v>4696</v>
      </c>
      <c r="L2820">
        <f>VLOOKUP(Query1[[#This Row],[Description]],'kits to boards'!$B$2:$E$156,2,FALSE)</f>
        <v>830052</v>
      </c>
      <c r="M2820">
        <f>VLOOKUP(Query1[[#This Row],[Description]],'kits to boards'!$B$2:$E$156,3,FALSE)</f>
        <v>0</v>
      </c>
      <c r="N2820">
        <f>VLOOKUP(Query1[[#This Row],[Description]],'kits to boards'!$B$2:$E$156,4,FALSE)</f>
        <v>0</v>
      </c>
      <c r="O2820" t="str">
        <f>CONCATENATE(Query1[[#This Row],[Description]]," - ",Query1[[#This Row],[MB1]]," - ",Query1[[#This Row],[MB2]]," - ",Query1[[#This Row],[MB3]])</f>
        <v>EVAP KIT 61-64 FORD F-100 - 830052 - 0 - 0</v>
      </c>
    </row>
    <row r="2821" spans="1:15" x14ac:dyDescent="0.25">
      <c r="A2821" s="1">
        <v>916808</v>
      </c>
      <c r="B2821" s="1" t="s">
        <v>42</v>
      </c>
      <c r="C2821" s="1" t="s">
        <v>43</v>
      </c>
      <c r="D2821" s="2">
        <v>44645.430971412039</v>
      </c>
      <c r="E2821" s="1" t="s">
        <v>8</v>
      </c>
      <c r="F2821" s="1">
        <v>1</v>
      </c>
      <c r="G2821" s="1">
        <v>0</v>
      </c>
      <c r="H2821" s="6">
        <f>INT(Query1[[#This Row],[EntryDateTime]])</f>
        <v>44645</v>
      </c>
      <c r="I2821" s="1">
        <f>IF(Query1[[#This Row],[ItemType]]="EVAP KIT SF GEN IV",Query1[[#This Row],[OrderQty]]+I2820,I2820)</f>
        <v>3389</v>
      </c>
      <c r="J2821" s="1">
        <f>IF(Query1[[#This Row],[ItemType]]="EVAP KIT UNIVERSAL",Query1[[#This Row],[OrderQty]]+J2820,J2820)</f>
        <v>1308</v>
      </c>
      <c r="K2821" s="1">
        <f>Query1[[#This Row],[SF Running Total]]+Query1[[#This Row],[UNIV Running Total]]</f>
        <v>4697</v>
      </c>
      <c r="L2821">
        <f>VLOOKUP(Query1[[#This Row],[Description]],'kits to boards'!$B$2:$E$156,2,FALSE)</f>
        <v>830014</v>
      </c>
      <c r="M2821">
        <f>VLOOKUP(Query1[[#This Row],[Description]],'kits to boards'!$B$2:$E$156,3,FALSE)</f>
        <v>0</v>
      </c>
      <c r="N2821">
        <f>VLOOKUP(Query1[[#This Row],[Description]],'kits to boards'!$B$2:$E$156,4,FALSE)</f>
        <v>0</v>
      </c>
      <c r="O2821" t="str">
        <f>CONCATENATE(Query1[[#This Row],[Description]]," - ",Query1[[#This Row],[MB1]]," - ",Query1[[#This Row],[MB2]]," - ",Query1[[#This Row],[MB3]])</f>
        <v>EVAP KIT 67-72 CHEV P-UP WO AC - 830014 - 0 - 0</v>
      </c>
    </row>
    <row r="2822" spans="1:15" x14ac:dyDescent="0.25">
      <c r="A2822" s="1">
        <v>916810</v>
      </c>
      <c r="B2822" s="1" t="s">
        <v>66</v>
      </c>
      <c r="C2822" s="1" t="s">
        <v>67</v>
      </c>
      <c r="D2822" s="2">
        <v>44645.434033645834</v>
      </c>
      <c r="E2822" s="1" t="s">
        <v>8</v>
      </c>
      <c r="F2822" s="1">
        <v>1</v>
      </c>
      <c r="G2822" s="1">
        <v>0</v>
      </c>
      <c r="H2822" s="6">
        <f>INT(Query1[[#This Row],[EntryDateTime]])</f>
        <v>44645</v>
      </c>
      <c r="I2822" s="1">
        <f>IF(Query1[[#This Row],[ItemType]]="EVAP KIT SF GEN IV",Query1[[#This Row],[OrderQty]]+I2821,I2821)</f>
        <v>3390</v>
      </c>
      <c r="J2822" s="1">
        <f>IF(Query1[[#This Row],[ItemType]]="EVAP KIT UNIVERSAL",Query1[[#This Row],[OrderQty]]+J2821,J2821)</f>
        <v>1308</v>
      </c>
      <c r="K2822" s="1">
        <f>Query1[[#This Row],[SF Running Total]]+Query1[[#This Row],[UNIV Running Total]]</f>
        <v>4698</v>
      </c>
      <c r="L2822">
        <f>VLOOKUP(Query1[[#This Row],[Description]],'kits to boards'!$B$2:$E$156,2,FALSE)</f>
        <v>830060</v>
      </c>
      <c r="M2822">
        <f>VLOOKUP(Query1[[#This Row],[Description]],'kits to boards'!$B$2:$E$156,3,FALSE)</f>
        <v>0</v>
      </c>
      <c r="N2822">
        <f>VLOOKUP(Query1[[#This Row],[Description]],'kits to boards'!$B$2:$E$156,4,FALSE)</f>
        <v>0</v>
      </c>
      <c r="O2822" t="str">
        <f>CONCATENATE(Query1[[#This Row],[Description]]," - ",Query1[[#This Row],[MB1]]," - ",Query1[[#This Row],[MB2]]," - ",Query1[[#This Row],[MB3]])</f>
        <v>EVAP KIT 66-67 CHEVELLE WO AC - 830060 - 0 - 0</v>
      </c>
    </row>
    <row r="2823" spans="1:15" x14ac:dyDescent="0.25">
      <c r="A2823" s="1">
        <v>916802</v>
      </c>
      <c r="B2823" s="1" t="s">
        <v>132</v>
      </c>
      <c r="C2823" s="1" t="s">
        <v>133</v>
      </c>
      <c r="D2823" s="2">
        <v>44645.435199108797</v>
      </c>
      <c r="E2823" s="1" t="s">
        <v>8</v>
      </c>
      <c r="F2823" s="1">
        <v>1</v>
      </c>
      <c r="G2823" s="1">
        <v>0</v>
      </c>
      <c r="H2823" s="6">
        <f>INT(Query1[[#This Row],[EntryDateTime]])</f>
        <v>44645</v>
      </c>
      <c r="I2823" s="1">
        <f>IF(Query1[[#This Row],[ItemType]]="EVAP KIT SF GEN IV",Query1[[#This Row],[OrderQty]]+I2822,I2822)</f>
        <v>3391</v>
      </c>
      <c r="J2823" s="1">
        <f>IF(Query1[[#This Row],[ItemType]]="EVAP KIT UNIVERSAL",Query1[[#This Row],[OrderQty]]+J2822,J2822)</f>
        <v>1308</v>
      </c>
      <c r="K2823" s="1">
        <f>Query1[[#This Row],[SF Running Total]]+Query1[[#This Row],[UNIV Running Total]]</f>
        <v>4699</v>
      </c>
      <c r="L2823">
        <f>VLOOKUP(Query1[[#This Row],[Description]],'kits to boards'!$B$2:$E$156,2,FALSE)</f>
        <v>830005</v>
      </c>
      <c r="M2823">
        <f>VLOOKUP(Query1[[#This Row],[Description]],'kits to boards'!$B$2:$E$156,3,FALSE)</f>
        <v>0</v>
      </c>
      <c r="N2823">
        <f>VLOOKUP(Query1[[#This Row],[Description]],'kits to boards'!$B$2:$E$156,4,FALSE)</f>
        <v>0</v>
      </c>
      <c r="O2823" t="str">
        <f>CONCATENATE(Query1[[#This Row],[Description]]," - ",Query1[[#This Row],[MB1]]," - ",Query1[[#This Row],[MB2]]," - ",Query1[[#This Row],[MB3]])</f>
        <v>EVAP KIT 61-62 IMPALA WO AC - 830005 - 0 - 0</v>
      </c>
    </row>
    <row r="2824" spans="1:15" x14ac:dyDescent="0.25">
      <c r="A2824" s="1">
        <v>916811</v>
      </c>
      <c r="B2824" s="1" t="s">
        <v>64</v>
      </c>
      <c r="C2824" s="1" t="s">
        <v>65</v>
      </c>
      <c r="D2824" s="2">
        <v>44645.438914699072</v>
      </c>
      <c r="E2824" s="1" t="s">
        <v>8</v>
      </c>
      <c r="F2824" s="1">
        <v>1</v>
      </c>
      <c r="G2824" s="1">
        <v>0</v>
      </c>
      <c r="H2824" s="6">
        <f>INT(Query1[[#This Row],[EntryDateTime]])</f>
        <v>44645</v>
      </c>
      <c r="I2824" s="1">
        <f>IF(Query1[[#This Row],[ItemType]]="EVAP KIT SF GEN IV",Query1[[#This Row],[OrderQty]]+I2823,I2823)</f>
        <v>3392</v>
      </c>
      <c r="J2824" s="1">
        <f>IF(Query1[[#This Row],[ItemType]]="EVAP KIT UNIVERSAL",Query1[[#This Row],[OrderQty]]+J2823,J2823)</f>
        <v>1308</v>
      </c>
      <c r="K2824" s="1">
        <f>Query1[[#This Row],[SF Running Total]]+Query1[[#This Row],[UNIV Running Total]]</f>
        <v>4700</v>
      </c>
      <c r="L2824">
        <f>VLOOKUP(Query1[[#This Row],[Description]],'kits to boards'!$B$2:$E$156,2,FALSE)</f>
        <v>830067</v>
      </c>
      <c r="M2824">
        <f>VLOOKUP(Query1[[#This Row],[Description]],'kits to boards'!$B$2:$E$156,3,FALSE)</f>
        <v>0</v>
      </c>
      <c r="N2824">
        <f>VLOOKUP(Query1[[#This Row],[Description]],'kits to boards'!$B$2:$E$156,4,FALSE)</f>
        <v>0</v>
      </c>
      <c r="O2824" t="str">
        <f>CONCATENATE(Query1[[#This Row],[Description]]," - ",Query1[[#This Row],[MB1]]," - ",Query1[[#This Row],[MB2]]," - ",Query1[[#This Row],[MB3]])</f>
        <v>EVAP KIT 59-60 CHEV CAR 4-LEVER - 830067 - 0 - 0</v>
      </c>
    </row>
    <row r="2825" spans="1:15" x14ac:dyDescent="0.25">
      <c r="A2825" s="1">
        <v>916812</v>
      </c>
      <c r="B2825" s="1" t="s">
        <v>26</v>
      </c>
      <c r="C2825" s="1" t="s">
        <v>27</v>
      </c>
      <c r="D2825" s="2">
        <v>44645.445443865741</v>
      </c>
      <c r="E2825" s="1" t="s">
        <v>8</v>
      </c>
      <c r="F2825" s="1">
        <v>1</v>
      </c>
      <c r="G2825" s="1">
        <v>0</v>
      </c>
      <c r="H2825" s="6">
        <f>INT(Query1[[#This Row],[EntryDateTime]])</f>
        <v>44645</v>
      </c>
      <c r="I2825" s="1">
        <f>IF(Query1[[#This Row],[ItemType]]="EVAP KIT SF GEN IV",Query1[[#This Row],[OrderQty]]+I2824,I2824)</f>
        <v>3393</v>
      </c>
      <c r="J2825" s="1">
        <f>IF(Query1[[#This Row],[ItemType]]="EVAP KIT UNIVERSAL",Query1[[#This Row],[OrderQty]]+J2824,J2824)</f>
        <v>1308</v>
      </c>
      <c r="K2825" s="1">
        <f>Query1[[#This Row],[SF Running Total]]+Query1[[#This Row],[UNIV Running Total]]</f>
        <v>4701</v>
      </c>
      <c r="L2825">
        <f>VLOOKUP(Query1[[#This Row],[Description]],'kits to boards'!$B$2:$E$156,2,FALSE)</f>
        <v>830013</v>
      </c>
      <c r="M2825">
        <f>VLOOKUP(Query1[[#This Row],[Description]],'kits to boards'!$B$2:$E$156,3,FALSE)</f>
        <v>0</v>
      </c>
      <c r="N2825">
        <f>VLOOKUP(Query1[[#This Row],[Description]],'kits to boards'!$B$2:$E$156,4,FALSE)</f>
        <v>0</v>
      </c>
      <c r="O2825" t="str">
        <f>CONCATENATE(Query1[[#This Row],[Description]]," - ",Query1[[#This Row],[MB1]]," - ",Query1[[#This Row],[MB2]]," - ",Query1[[#This Row],[MB3]])</f>
        <v>EVAP KIT 67-72 CHEV P-UP W/AC - 830013 - 0 - 0</v>
      </c>
    </row>
    <row r="2826" spans="1:15" x14ac:dyDescent="0.25">
      <c r="A2826" s="1">
        <v>916815</v>
      </c>
      <c r="B2826" s="1" t="s">
        <v>26</v>
      </c>
      <c r="C2826" s="1" t="s">
        <v>27</v>
      </c>
      <c r="D2826" s="2">
        <v>44645.472780752316</v>
      </c>
      <c r="E2826" s="1" t="s">
        <v>8</v>
      </c>
      <c r="F2826" s="1">
        <v>1</v>
      </c>
      <c r="G2826" s="1">
        <v>0</v>
      </c>
      <c r="H2826" s="6">
        <f>INT(Query1[[#This Row],[EntryDateTime]])</f>
        <v>44645</v>
      </c>
      <c r="I2826" s="1">
        <f>IF(Query1[[#This Row],[ItemType]]="EVAP KIT SF GEN IV",Query1[[#This Row],[OrderQty]]+I2825,I2825)</f>
        <v>3394</v>
      </c>
      <c r="J2826" s="1">
        <f>IF(Query1[[#This Row],[ItemType]]="EVAP KIT UNIVERSAL",Query1[[#This Row],[OrderQty]]+J2825,J2825)</f>
        <v>1308</v>
      </c>
      <c r="K2826" s="1">
        <f>Query1[[#This Row],[SF Running Total]]+Query1[[#This Row],[UNIV Running Total]]</f>
        <v>4702</v>
      </c>
      <c r="L2826">
        <f>VLOOKUP(Query1[[#This Row],[Description]],'kits to boards'!$B$2:$E$156,2,FALSE)</f>
        <v>830013</v>
      </c>
      <c r="M2826">
        <f>VLOOKUP(Query1[[#This Row],[Description]],'kits to boards'!$B$2:$E$156,3,FALSE)</f>
        <v>0</v>
      </c>
      <c r="N2826">
        <f>VLOOKUP(Query1[[#This Row],[Description]],'kits to boards'!$B$2:$E$156,4,FALSE)</f>
        <v>0</v>
      </c>
      <c r="O2826" t="str">
        <f>CONCATENATE(Query1[[#This Row],[Description]]," - ",Query1[[#This Row],[MB1]]," - ",Query1[[#This Row],[MB2]]," - ",Query1[[#This Row],[MB3]])</f>
        <v>EVAP KIT 67-72 CHEV P-UP W/AC - 830013 - 0 - 0</v>
      </c>
    </row>
    <row r="2827" spans="1:15" x14ac:dyDescent="0.25">
      <c r="A2827" s="1">
        <v>916822</v>
      </c>
      <c r="B2827" s="1" t="s">
        <v>34</v>
      </c>
      <c r="C2827" s="1" t="s">
        <v>35</v>
      </c>
      <c r="D2827" s="2">
        <v>44645.495022106479</v>
      </c>
      <c r="E2827" s="1" t="s">
        <v>8</v>
      </c>
      <c r="F2827" s="1">
        <v>1</v>
      </c>
      <c r="G2827" s="1">
        <v>0</v>
      </c>
      <c r="H2827" s="6">
        <f>INT(Query1[[#This Row],[EntryDateTime]])</f>
        <v>44645</v>
      </c>
      <c r="I2827" s="1">
        <f>IF(Query1[[#This Row],[ItemType]]="EVAP KIT SF GEN IV",Query1[[#This Row],[OrderQty]]+I2826,I2826)</f>
        <v>3395</v>
      </c>
      <c r="J2827" s="1">
        <f>IF(Query1[[#This Row],[ItemType]]="EVAP KIT UNIVERSAL",Query1[[#This Row],[OrderQty]]+J2826,J2826)</f>
        <v>1308</v>
      </c>
      <c r="K2827" s="1">
        <f>Query1[[#This Row],[SF Running Total]]+Query1[[#This Row],[UNIV Running Total]]</f>
        <v>4703</v>
      </c>
      <c r="L2827">
        <f>VLOOKUP(Query1[[#This Row],[Description]],'kits to boards'!$B$2:$E$156,2,FALSE)</f>
        <v>830065</v>
      </c>
      <c r="M2827">
        <f>VLOOKUP(Query1[[#This Row],[Description]],'kits to boards'!$B$2:$E$156,3,FALSE)</f>
        <v>0</v>
      </c>
      <c r="N2827">
        <f>VLOOKUP(Query1[[#This Row],[Description]],'kits to boards'!$B$2:$E$156,4,FALSE)</f>
        <v>0</v>
      </c>
      <c r="O2827" t="str">
        <f>CONCATENATE(Query1[[#This Row],[Description]]," - ",Query1[[#This Row],[MB1]]," - ",Query1[[#This Row],[MB2]]," - ",Query1[[#This Row],[MB3]])</f>
        <v>EVAP KIT 57 CHEV WO AC - 830065 - 0 - 0</v>
      </c>
    </row>
    <row r="2828" spans="1:15" x14ac:dyDescent="0.25">
      <c r="A2828" s="1">
        <v>916849</v>
      </c>
      <c r="B2828" s="1" t="s">
        <v>38</v>
      </c>
      <c r="C2828" s="1" t="s">
        <v>39</v>
      </c>
      <c r="D2828" s="2">
        <v>44645.550997337959</v>
      </c>
      <c r="E2828" s="1" t="s">
        <v>8</v>
      </c>
      <c r="F2828" s="1">
        <v>1</v>
      </c>
      <c r="G2828" s="1">
        <v>0</v>
      </c>
      <c r="H2828" s="6">
        <f>INT(Query1[[#This Row],[EntryDateTime]])</f>
        <v>44645</v>
      </c>
      <c r="I2828" s="1">
        <f>IF(Query1[[#This Row],[ItemType]]="EVAP KIT SF GEN IV",Query1[[#This Row],[OrderQty]]+I2827,I2827)</f>
        <v>3396</v>
      </c>
      <c r="J2828" s="1">
        <f>IF(Query1[[#This Row],[ItemType]]="EVAP KIT UNIVERSAL",Query1[[#This Row],[OrderQty]]+J2827,J2827)</f>
        <v>1308</v>
      </c>
      <c r="K2828" s="1">
        <f>Query1[[#This Row],[SF Running Total]]+Query1[[#This Row],[UNIV Running Total]]</f>
        <v>4704</v>
      </c>
      <c r="L2828">
        <f>VLOOKUP(Query1[[#This Row],[Description]],'kits to boards'!$B$2:$E$156,2,FALSE)</f>
        <v>830012</v>
      </c>
      <c r="M2828">
        <f>VLOOKUP(Query1[[#This Row],[Description]],'kits to boards'!$B$2:$E$156,3,FALSE)</f>
        <v>0</v>
      </c>
      <c r="N2828">
        <f>VLOOKUP(Query1[[#This Row],[Description]],'kits to boards'!$B$2:$E$156,4,FALSE)</f>
        <v>0</v>
      </c>
      <c r="O2828" t="str">
        <f>CONCATENATE(Query1[[#This Row],[Description]]," - ",Query1[[#This Row],[MB1]]," - ",Query1[[#This Row],[MB2]]," - ",Query1[[#This Row],[MB3]])</f>
        <v>EVAP KIT 69 CAMARO W/AC - 830012 - 0 - 0</v>
      </c>
    </row>
    <row r="2829" spans="1:15" x14ac:dyDescent="0.25">
      <c r="A2829" s="1">
        <v>916850</v>
      </c>
      <c r="B2829" s="1" t="s">
        <v>285</v>
      </c>
      <c r="C2829" s="1" t="s">
        <v>286</v>
      </c>
      <c r="D2829" s="2">
        <v>44645.552119942127</v>
      </c>
      <c r="E2829" s="1" t="s">
        <v>8</v>
      </c>
      <c r="F2829" s="1">
        <v>1</v>
      </c>
      <c r="G2829" s="1">
        <v>0</v>
      </c>
      <c r="H2829" s="6">
        <f>INT(Query1[[#This Row],[EntryDateTime]])</f>
        <v>44645</v>
      </c>
      <c r="I2829" s="1">
        <f>IF(Query1[[#This Row],[ItemType]]="EVAP KIT SF GEN IV",Query1[[#This Row],[OrderQty]]+I2828,I2828)</f>
        <v>3397</v>
      </c>
      <c r="J2829" s="1">
        <f>IF(Query1[[#This Row],[ItemType]]="EVAP KIT UNIVERSAL",Query1[[#This Row],[OrderQty]]+J2828,J2828)</f>
        <v>1308</v>
      </c>
      <c r="K2829" s="1">
        <f>Query1[[#This Row],[SF Running Total]]+Query1[[#This Row],[UNIV Running Total]]</f>
        <v>4705</v>
      </c>
      <c r="L2829">
        <f>VLOOKUP(Query1[[#This Row],[Description]],'kits to boards'!$B$2:$E$156,2,FALSE)</f>
        <v>830033</v>
      </c>
      <c r="M2829">
        <f>VLOOKUP(Query1[[#This Row],[Description]],'kits to boards'!$B$2:$E$156,3,FALSE)</f>
        <v>0</v>
      </c>
      <c r="N2829">
        <f>VLOOKUP(Query1[[#This Row],[Description]],'kits to boards'!$B$2:$E$156,4,FALSE)</f>
        <v>0</v>
      </c>
      <c r="O2829" t="str">
        <f>CONCATENATE(Query1[[#This Row],[Description]]," - ",Query1[[#This Row],[MB1]]," - ",Query1[[#This Row],[MB2]]," - ",Query1[[#This Row],[MB3]])</f>
        <v>EVAP KIT 66-67 CHARGER/CORONET W/AC - 830033 - 0 - 0</v>
      </c>
    </row>
    <row r="2830" spans="1:15" x14ac:dyDescent="0.25">
      <c r="A2830" s="1">
        <v>916859</v>
      </c>
      <c r="B2830" s="1" t="s">
        <v>168</v>
      </c>
      <c r="C2830" s="1" t="s">
        <v>169</v>
      </c>
      <c r="D2830" s="2">
        <v>44645.570376585645</v>
      </c>
      <c r="E2830" s="1" t="s">
        <v>8</v>
      </c>
      <c r="F2830" s="1">
        <v>1</v>
      </c>
      <c r="G2830" s="1">
        <v>0</v>
      </c>
      <c r="H2830" s="6">
        <f>INT(Query1[[#This Row],[EntryDateTime]])</f>
        <v>44645</v>
      </c>
      <c r="I2830" s="1">
        <f>IF(Query1[[#This Row],[ItemType]]="EVAP KIT SF GEN IV",Query1[[#This Row],[OrderQty]]+I2829,I2829)</f>
        <v>3398</v>
      </c>
      <c r="J2830" s="1">
        <f>IF(Query1[[#This Row],[ItemType]]="EVAP KIT UNIVERSAL",Query1[[#This Row],[OrderQty]]+J2829,J2829)</f>
        <v>1308</v>
      </c>
      <c r="K2830" s="1">
        <f>Query1[[#This Row],[SF Running Total]]+Query1[[#This Row],[UNIV Running Total]]</f>
        <v>4706</v>
      </c>
      <c r="L2830">
        <f>VLOOKUP(Query1[[#This Row],[Description]],'kits to boards'!$B$2:$E$156,2,FALSE)</f>
        <v>830028</v>
      </c>
      <c r="M2830">
        <f>VLOOKUP(Query1[[#This Row],[Description]],'kits to boards'!$B$2:$E$156,3,FALSE)</f>
        <v>0</v>
      </c>
      <c r="N2830">
        <f>VLOOKUP(Query1[[#This Row],[Description]],'kits to boards'!$B$2:$E$156,4,FALSE)</f>
        <v>0</v>
      </c>
      <c r="O2830" t="str">
        <f>CONCATENATE(Query1[[#This Row],[Description]]," - ",Query1[[#This Row],[MB1]]," - ",Query1[[#This Row],[MB2]]," - ",Query1[[#This Row],[MB3]])</f>
        <v>EVAP KIT 55-59 CHEV P-UP WO AC W/STD  - 830028 - 0 - 0</v>
      </c>
    </row>
    <row r="2831" spans="1:15" x14ac:dyDescent="0.25">
      <c r="A2831" s="1">
        <v>916860</v>
      </c>
      <c r="B2831" s="1" t="s">
        <v>182</v>
      </c>
      <c r="C2831" s="1" t="s">
        <v>183</v>
      </c>
      <c r="D2831" s="2">
        <v>44645.570471493054</v>
      </c>
      <c r="E2831" s="1" t="s">
        <v>8</v>
      </c>
      <c r="F2831" s="1">
        <v>1</v>
      </c>
      <c r="G2831" s="1">
        <v>0</v>
      </c>
      <c r="H2831" s="6">
        <f>INT(Query1[[#This Row],[EntryDateTime]])</f>
        <v>44645</v>
      </c>
      <c r="I2831" s="1">
        <f>IF(Query1[[#This Row],[ItemType]]="EVAP KIT SF GEN IV",Query1[[#This Row],[OrderQty]]+I2830,I2830)</f>
        <v>3399</v>
      </c>
      <c r="J2831" s="1">
        <f>IF(Query1[[#This Row],[ItemType]]="EVAP KIT UNIVERSAL",Query1[[#This Row],[OrderQty]]+J2830,J2830)</f>
        <v>1308</v>
      </c>
      <c r="K2831" s="1">
        <f>Query1[[#This Row],[SF Running Total]]+Query1[[#This Row],[UNIV Running Total]]</f>
        <v>4707</v>
      </c>
      <c r="L2831">
        <f>VLOOKUP(Query1[[#This Row],[Description]],'kits to boards'!$B$2:$E$156,2,FALSE)</f>
        <v>830075</v>
      </c>
      <c r="M2831">
        <f>VLOOKUP(Query1[[#This Row],[Description]],'kits to boards'!$B$2:$E$156,3,FALSE)</f>
        <v>0</v>
      </c>
      <c r="N2831">
        <f>VLOOKUP(Query1[[#This Row],[Description]],'kits to boards'!$B$2:$E$156,4,FALSE)</f>
        <v>0</v>
      </c>
      <c r="O2831" t="str">
        <f>CONCATENATE(Query1[[#This Row],[Description]]," - ",Query1[[#This Row],[MB1]]," - ",Query1[[#This Row],[MB2]]," - ",Query1[[#This Row],[MB3]])</f>
        <v>EVAP KIT 69-70 MOPAR B BODY WO AC - 830075 - 0 - 0</v>
      </c>
    </row>
    <row r="2832" spans="1:15" x14ac:dyDescent="0.25">
      <c r="A2832" s="1">
        <v>916861</v>
      </c>
      <c r="B2832" s="1" t="s">
        <v>60</v>
      </c>
      <c r="C2832" s="1" t="s">
        <v>61</v>
      </c>
      <c r="D2832" s="2">
        <v>44645.572490590275</v>
      </c>
      <c r="E2832" s="1" t="s">
        <v>8</v>
      </c>
      <c r="F2832" s="1">
        <v>1</v>
      </c>
      <c r="G2832" s="1">
        <v>0</v>
      </c>
      <c r="H2832" s="6">
        <f>INT(Query1[[#This Row],[EntryDateTime]])</f>
        <v>44645</v>
      </c>
      <c r="I2832" s="1">
        <f>IF(Query1[[#This Row],[ItemType]]="EVAP KIT SF GEN IV",Query1[[#This Row],[OrderQty]]+I2831,I2831)</f>
        <v>3400</v>
      </c>
      <c r="J2832" s="1">
        <f>IF(Query1[[#This Row],[ItemType]]="EVAP KIT UNIVERSAL",Query1[[#This Row],[OrderQty]]+J2831,J2831)</f>
        <v>1308</v>
      </c>
      <c r="K2832" s="1">
        <f>Query1[[#This Row],[SF Running Total]]+Query1[[#This Row],[UNIV Running Total]]</f>
        <v>4708</v>
      </c>
      <c r="L2832">
        <f>VLOOKUP(Query1[[#This Row],[Description]],'kits to boards'!$B$2:$E$156,2,FALSE)</f>
        <v>830062</v>
      </c>
      <c r="M2832">
        <f>VLOOKUP(Query1[[#This Row],[Description]],'kits to boards'!$B$2:$E$156,3,FALSE)</f>
        <v>0</v>
      </c>
      <c r="N2832">
        <f>VLOOKUP(Query1[[#This Row],[Description]],'kits to boards'!$B$2:$E$156,4,FALSE)</f>
        <v>0</v>
      </c>
      <c r="O2832" t="str">
        <f>CONCATENATE(Query1[[#This Row],[Description]]," - ",Query1[[#This Row],[MB1]]," - ",Query1[[#This Row],[MB2]]," - ",Query1[[#This Row],[MB3]])</f>
        <v>EVAP KIT 68-69 CHEVELLE WO AC - 830062 - 0 - 0</v>
      </c>
    </row>
    <row r="2833" spans="1:15" x14ac:dyDescent="0.25">
      <c r="A2833" s="1">
        <v>916665</v>
      </c>
      <c r="B2833" s="1" t="s">
        <v>186</v>
      </c>
      <c r="C2833" s="1" t="s">
        <v>187</v>
      </c>
      <c r="D2833" s="2">
        <v>44645.575523726853</v>
      </c>
      <c r="E2833" s="1" t="s">
        <v>8</v>
      </c>
      <c r="F2833" s="1">
        <v>1</v>
      </c>
      <c r="G2833" s="1">
        <v>0</v>
      </c>
      <c r="H2833" s="6">
        <f>INT(Query1[[#This Row],[EntryDateTime]])</f>
        <v>44645</v>
      </c>
      <c r="I2833" s="1">
        <f>IF(Query1[[#This Row],[ItemType]]="EVAP KIT SF GEN IV",Query1[[#This Row],[OrderQty]]+I2832,I2832)</f>
        <v>3401</v>
      </c>
      <c r="J2833" s="1">
        <f>IF(Query1[[#This Row],[ItemType]]="EVAP KIT UNIVERSAL",Query1[[#This Row],[OrderQty]]+J2832,J2832)</f>
        <v>1308</v>
      </c>
      <c r="K2833" s="1">
        <f>Query1[[#This Row],[SF Running Total]]+Query1[[#This Row],[UNIV Running Total]]</f>
        <v>4709</v>
      </c>
      <c r="L2833">
        <f>VLOOKUP(Query1[[#This Row],[Description]],'kits to boards'!$B$2:$E$156,2,FALSE)</f>
        <v>830125</v>
      </c>
      <c r="M2833">
        <f>VLOOKUP(Query1[[#This Row],[Description]],'kits to boards'!$B$2:$E$156,3,FALSE)</f>
        <v>830126</v>
      </c>
      <c r="N2833">
        <f>VLOOKUP(Query1[[#This Row],[Description]],'kits to boards'!$B$2:$E$156,4,FALSE)</f>
        <v>0</v>
      </c>
      <c r="O2833" t="str">
        <f>CONCATENATE(Query1[[#This Row],[Description]]," - ",Query1[[#This Row],[MB1]]," - ",Query1[[#This Row],[MB2]]," - ",Query1[[#This Row],[MB3]])</f>
        <v>EVAP KIT 65-66 IMPALA WO/AC - 830125 - 830126 - 0</v>
      </c>
    </row>
    <row r="2834" spans="1:15" x14ac:dyDescent="0.25">
      <c r="A2834" s="1">
        <v>916432</v>
      </c>
      <c r="B2834" s="1" t="s">
        <v>120</v>
      </c>
      <c r="C2834" s="1" t="s">
        <v>121</v>
      </c>
      <c r="D2834" s="2">
        <v>44645.576837465276</v>
      </c>
      <c r="E2834" s="1" t="s">
        <v>8</v>
      </c>
      <c r="F2834" s="1">
        <v>1</v>
      </c>
      <c r="G2834" s="1">
        <v>0</v>
      </c>
      <c r="H2834" s="6">
        <f>INT(Query1[[#This Row],[EntryDateTime]])</f>
        <v>44645</v>
      </c>
      <c r="I2834" s="1">
        <f>IF(Query1[[#This Row],[ItemType]]="EVAP KIT SF GEN IV",Query1[[#This Row],[OrderQty]]+I2833,I2833)</f>
        <v>3402</v>
      </c>
      <c r="J2834" s="1">
        <f>IF(Query1[[#This Row],[ItemType]]="EVAP KIT UNIVERSAL",Query1[[#This Row],[OrderQty]]+J2833,J2833)</f>
        <v>1308</v>
      </c>
      <c r="K2834" s="1">
        <f>Query1[[#This Row],[SF Running Total]]+Query1[[#This Row],[UNIV Running Total]]</f>
        <v>4710</v>
      </c>
      <c r="L2834">
        <f>VLOOKUP(Query1[[#This Row],[Description]],'kits to boards'!$B$2:$E$156,2,FALSE)</f>
        <v>830014</v>
      </c>
      <c r="M2834">
        <f>VLOOKUP(Query1[[#This Row],[Description]],'kits to boards'!$B$2:$E$156,3,FALSE)</f>
        <v>0</v>
      </c>
      <c r="N2834">
        <f>VLOOKUP(Query1[[#This Row],[Description]],'kits to boards'!$B$2:$E$156,4,FALSE)</f>
        <v>0</v>
      </c>
      <c r="O2834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2835" spans="1:15" x14ac:dyDescent="0.25">
      <c r="A2835" s="1">
        <v>916862</v>
      </c>
      <c r="B2835" s="1" t="s">
        <v>98</v>
      </c>
      <c r="C2835" s="1" t="s">
        <v>99</v>
      </c>
      <c r="D2835" s="2">
        <v>44645.589826504627</v>
      </c>
      <c r="E2835" s="1" t="s">
        <v>11</v>
      </c>
      <c r="F2835" s="1">
        <v>1</v>
      </c>
      <c r="G2835" s="1">
        <v>0</v>
      </c>
      <c r="H2835" s="6">
        <f>INT(Query1[[#This Row],[EntryDateTime]])</f>
        <v>44645</v>
      </c>
      <c r="I2835" s="1">
        <f>IF(Query1[[#This Row],[ItemType]]="EVAP KIT SF GEN IV",Query1[[#This Row],[OrderQty]]+I2834,I2834)</f>
        <v>3402</v>
      </c>
      <c r="J2835" s="1">
        <f>IF(Query1[[#This Row],[ItemType]]="EVAP KIT UNIVERSAL",Query1[[#This Row],[OrderQty]]+J2834,J2834)</f>
        <v>1309</v>
      </c>
      <c r="K2835" s="1">
        <f>Query1[[#This Row],[SF Running Total]]+Query1[[#This Row],[UNIV Running Total]]</f>
        <v>4711</v>
      </c>
      <c r="L2835">
        <f>VLOOKUP(Query1[[#This Row],[Description]],'kits to boards'!$B$2:$E$156,2,FALSE)</f>
        <v>830099</v>
      </c>
      <c r="M2835">
        <f>VLOOKUP(Query1[[#This Row],[Description]],'kits to boards'!$B$2:$E$156,3,FALSE)</f>
        <v>0</v>
      </c>
      <c r="N2835">
        <f>VLOOKUP(Query1[[#This Row],[Description]],'kits to boards'!$B$2:$E$156,4,FALSE)</f>
        <v>0</v>
      </c>
      <c r="O2835" t="str">
        <f>CONCATENATE(Query1[[#This Row],[Description]]," - ",Query1[[#This Row],[MB1]]," - ",Query1[[#This Row],[MB2]]," - ",Query1[[#This Row],[MB3]])</f>
        <v>MINI GEN II W/DEF - 830099 - 0 - 0</v>
      </c>
    </row>
    <row r="2836" spans="1:15" x14ac:dyDescent="0.25">
      <c r="A2836" s="1">
        <v>916872</v>
      </c>
      <c r="B2836" s="1" t="s">
        <v>102</v>
      </c>
      <c r="C2836" s="1" t="s">
        <v>103</v>
      </c>
      <c r="D2836" s="2">
        <v>44645.600843715278</v>
      </c>
      <c r="E2836" s="1" t="s">
        <v>8</v>
      </c>
      <c r="F2836" s="1">
        <v>1</v>
      </c>
      <c r="G2836" s="1">
        <v>0</v>
      </c>
      <c r="H2836" s="6">
        <f>INT(Query1[[#This Row],[EntryDateTime]])</f>
        <v>44645</v>
      </c>
      <c r="I2836" s="1">
        <f>IF(Query1[[#This Row],[ItemType]]="EVAP KIT SF GEN IV",Query1[[#This Row],[OrderQty]]+I2835,I2835)</f>
        <v>3403</v>
      </c>
      <c r="J2836" s="1">
        <f>IF(Query1[[#This Row],[ItemType]]="EVAP KIT UNIVERSAL",Query1[[#This Row],[OrderQty]]+J2835,J2835)</f>
        <v>1309</v>
      </c>
      <c r="K2836" s="1">
        <f>Query1[[#This Row],[SF Running Total]]+Query1[[#This Row],[UNIV Running Total]]</f>
        <v>4712</v>
      </c>
      <c r="L2836">
        <f>VLOOKUP(Query1[[#This Row],[Description]],'kits to boards'!$B$2:$E$156,2,FALSE)</f>
        <v>830012</v>
      </c>
      <c r="M2836">
        <f>VLOOKUP(Query1[[#This Row],[Description]],'kits to boards'!$B$2:$E$156,3,FALSE)</f>
        <v>0</v>
      </c>
      <c r="N2836">
        <f>VLOOKUP(Query1[[#This Row],[Description]],'kits to boards'!$B$2:$E$156,4,FALSE)</f>
        <v>0</v>
      </c>
      <c r="O2836" t="str">
        <f>CONCATENATE(Query1[[#This Row],[Description]]," - ",Query1[[#This Row],[MB1]]," - ",Query1[[#This Row],[MB2]]," - ",Query1[[#This Row],[MB3]])</f>
        <v>EVAP KIT 69 CAMARO WO/AC - 830012 - 0 - 0</v>
      </c>
    </row>
    <row r="2837" spans="1:15" x14ac:dyDescent="0.25">
      <c r="A2837" s="1">
        <v>916786</v>
      </c>
      <c r="B2837" s="1" t="s">
        <v>502</v>
      </c>
      <c r="C2837" s="1" t="s">
        <v>503</v>
      </c>
      <c r="D2837" s="2">
        <v>44645.601799618053</v>
      </c>
      <c r="E2837" s="1" t="s">
        <v>677</v>
      </c>
      <c r="F2837" s="1">
        <v>1</v>
      </c>
      <c r="G2837" s="1">
        <v>0</v>
      </c>
      <c r="H2837" s="6">
        <f>INT(Query1[[#This Row],[EntryDateTime]])</f>
        <v>44645</v>
      </c>
      <c r="I2837" s="1">
        <f>IF(Query1[[#This Row],[ItemType]]="EVAP KIT SF GEN IV",Query1[[#This Row],[OrderQty]]+I2836,I2836)</f>
        <v>3403</v>
      </c>
      <c r="J2837" s="1">
        <f>IF(Query1[[#This Row],[ItemType]]="EVAP KIT UNIVERSAL",Query1[[#This Row],[OrderQty]]+J2836,J2836)</f>
        <v>1309</v>
      </c>
      <c r="K2837" s="1">
        <f>Query1[[#This Row],[SF Running Total]]+Query1[[#This Row],[UNIV Running Total]]</f>
        <v>4712</v>
      </c>
      <c r="L2837" t="e">
        <f>VLOOKUP(Query1[[#This Row],[Description]],'kits to boards'!$B$2:$E$156,2,FALSE)</f>
        <v>#N/A</v>
      </c>
      <c r="M2837" t="e">
        <f>VLOOKUP(Query1[[#This Row],[Description]],'kits to boards'!$B$2:$E$156,3,FALSE)</f>
        <v>#N/A</v>
      </c>
      <c r="N2837" t="e">
        <f>VLOOKUP(Query1[[#This Row],[Description]],'kits to boards'!$B$2:$E$156,4,FALSE)</f>
        <v>#N/A</v>
      </c>
      <c r="O2837" t="e">
        <f>CONCATENATE(Query1[[#This Row],[Description]]," - ",Query1[[#This Row],[MB1]]," - ",Query1[[#This Row],[MB2]]," - ",Query1[[#This Row],[MB3]])</f>
        <v>#N/A</v>
      </c>
    </row>
    <row r="2838" spans="1:15" x14ac:dyDescent="0.25">
      <c r="A2838" s="1">
        <v>913570</v>
      </c>
      <c r="B2838" s="1" t="s">
        <v>42</v>
      </c>
      <c r="C2838" s="1" t="s">
        <v>43</v>
      </c>
      <c r="D2838" s="2">
        <v>44645.602254432873</v>
      </c>
      <c r="E2838" s="1" t="s">
        <v>8</v>
      </c>
      <c r="F2838" s="1">
        <v>1</v>
      </c>
      <c r="G2838" s="1">
        <v>0</v>
      </c>
      <c r="H2838" s="6">
        <f>INT(Query1[[#This Row],[EntryDateTime]])</f>
        <v>44645</v>
      </c>
      <c r="I2838" s="1">
        <f>IF(Query1[[#This Row],[ItemType]]="EVAP KIT SF GEN IV",Query1[[#This Row],[OrderQty]]+I2837,I2837)</f>
        <v>3404</v>
      </c>
      <c r="J2838" s="1">
        <f>IF(Query1[[#This Row],[ItemType]]="EVAP KIT UNIVERSAL",Query1[[#This Row],[OrderQty]]+J2837,J2837)</f>
        <v>1309</v>
      </c>
      <c r="K2838" s="1">
        <f>Query1[[#This Row],[SF Running Total]]+Query1[[#This Row],[UNIV Running Total]]</f>
        <v>4713</v>
      </c>
      <c r="L2838">
        <f>VLOOKUP(Query1[[#This Row],[Description]],'kits to boards'!$B$2:$E$156,2,FALSE)</f>
        <v>830014</v>
      </c>
      <c r="M2838">
        <f>VLOOKUP(Query1[[#This Row],[Description]],'kits to boards'!$B$2:$E$156,3,FALSE)</f>
        <v>0</v>
      </c>
      <c r="N2838">
        <f>VLOOKUP(Query1[[#This Row],[Description]],'kits to boards'!$B$2:$E$156,4,FALSE)</f>
        <v>0</v>
      </c>
      <c r="O2838" t="str">
        <f>CONCATENATE(Query1[[#This Row],[Description]]," - ",Query1[[#This Row],[MB1]]," - ",Query1[[#This Row],[MB2]]," - ",Query1[[#This Row],[MB3]])</f>
        <v>EVAP KIT 67-72 CHEV P-UP WO AC - 830014 - 0 - 0</v>
      </c>
    </row>
    <row r="2839" spans="1:15" x14ac:dyDescent="0.25">
      <c r="A2839" s="1">
        <v>915113</v>
      </c>
      <c r="B2839" s="1" t="s">
        <v>174</v>
      </c>
      <c r="C2839" s="1" t="s">
        <v>175</v>
      </c>
      <c r="D2839" s="2">
        <v>44645.610067013891</v>
      </c>
      <c r="E2839" s="1" t="s">
        <v>8</v>
      </c>
      <c r="F2839" s="1">
        <v>1</v>
      </c>
      <c r="G2839" s="1">
        <v>0</v>
      </c>
      <c r="H2839" s="6">
        <f>INT(Query1[[#This Row],[EntryDateTime]])</f>
        <v>44645</v>
      </c>
      <c r="I2839" s="1">
        <f>IF(Query1[[#This Row],[ItemType]]="EVAP KIT SF GEN IV",Query1[[#This Row],[OrderQty]]+I2838,I2838)</f>
        <v>3405</v>
      </c>
      <c r="J2839" s="1">
        <f>IF(Query1[[#This Row],[ItemType]]="EVAP KIT UNIVERSAL",Query1[[#This Row],[OrderQty]]+J2838,J2838)</f>
        <v>1309</v>
      </c>
      <c r="K2839" s="1">
        <f>Query1[[#This Row],[SF Running Total]]+Query1[[#This Row],[UNIV Running Total]]</f>
        <v>4714</v>
      </c>
      <c r="L2839">
        <f>VLOOKUP(Query1[[#This Row],[Description]],'kits to boards'!$B$2:$E$156,2,FALSE)</f>
        <v>830007</v>
      </c>
      <c r="M2839">
        <f>VLOOKUP(Query1[[#This Row],[Description]],'kits to boards'!$B$2:$E$156,3,FALSE)</f>
        <v>0</v>
      </c>
      <c r="N2839">
        <f>VLOOKUP(Query1[[#This Row],[Description]],'kits to boards'!$B$2:$E$156,4,FALSE)</f>
        <v>0</v>
      </c>
      <c r="O2839" t="str">
        <f>CONCATENATE(Query1[[#This Row],[Description]]," - ",Query1[[#This Row],[MB1]]," - ",Query1[[#This Row],[MB2]]," - ",Query1[[#This Row],[MB3]])</f>
        <v>EVAP KIT 64 IMPALA W/AC - 830007 - 0 - 0</v>
      </c>
    </row>
    <row r="2840" spans="1:15" x14ac:dyDescent="0.25">
      <c r="A2840" s="1">
        <v>916877</v>
      </c>
      <c r="B2840" s="1" t="s">
        <v>92</v>
      </c>
      <c r="C2840" s="1" t="s">
        <v>93</v>
      </c>
      <c r="D2840" s="2">
        <v>44645.610154166665</v>
      </c>
      <c r="E2840" s="1" t="s">
        <v>8</v>
      </c>
      <c r="F2840" s="1">
        <v>1</v>
      </c>
      <c r="G2840" s="1">
        <v>0</v>
      </c>
      <c r="H2840" s="6">
        <f>INT(Query1[[#This Row],[EntryDateTime]])</f>
        <v>44645</v>
      </c>
      <c r="I2840" s="1">
        <f>IF(Query1[[#This Row],[ItemType]]="EVAP KIT SF GEN IV",Query1[[#This Row],[OrderQty]]+I2839,I2839)</f>
        <v>3406</v>
      </c>
      <c r="J2840" s="1">
        <f>IF(Query1[[#This Row],[ItemType]]="EVAP KIT UNIVERSAL",Query1[[#This Row],[OrderQty]]+J2839,J2839)</f>
        <v>1309</v>
      </c>
      <c r="K2840" s="1">
        <f>Query1[[#This Row],[SF Running Total]]+Query1[[#This Row],[UNIV Running Total]]</f>
        <v>4715</v>
      </c>
      <c r="L2840">
        <f>VLOOKUP(Query1[[#This Row],[Description]],'kits to boards'!$B$2:$E$156,2,FALSE)</f>
        <v>830063</v>
      </c>
      <c r="M2840">
        <f>VLOOKUP(Query1[[#This Row],[Description]],'kits to boards'!$B$2:$E$156,3,FALSE)</f>
        <v>0</v>
      </c>
      <c r="N2840">
        <f>VLOOKUP(Query1[[#This Row],[Description]],'kits to boards'!$B$2:$E$156,4,FALSE)</f>
        <v>0</v>
      </c>
      <c r="O2840" t="str">
        <f>CONCATENATE(Query1[[#This Row],[Description]]," - ",Query1[[#This Row],[MB1]]," - ",Query1[[#This Row],[MB2]]," - ",Query1[[#This Row],[MB3]])</f>
        <v>EVAP KIT 50-53 CHEV P-UP GEN IV - 830063 - 0 - 0</v>
      </c>
    </row>
    <row r="2841" spans="1:15" x14ac:dyDescent="0.25">
      <c r="A2841" s="1">
        <v>916837</v>
      </c>
      <c r="B2841" s="1" t="s">
        <v>24</v>
      </c>
      <c r="C2841" s="1" t="s">
        <v>25</v>
      </c>
      <c r="D2841" s="2">
        <v>44645.610539270834</v>
      </c>
      <c r="E2841" s="1" t="s">
        <v>11</v>
      </c>
      <c r="F2841" s="1">
        <v>1</v>
      </c>
      <c r="G2841" s="1">
        <v>0</v>
      </c>
      <c r="H2841" s="6">
        <f>INT(Query1[[#This Row],[EntryDateTime]])</f>
        <v>44645</v>
      </c>
      <c r="I2841" s="1">
        <f>IF(Query1[[#This Row],[ItemType]]="EVAP KIT SF GEN IV",Query1[[#This Row],[OrderQty]]+I2840,I2840)</f>
        <v>3406</v>
      </c>
      <c r="J2841" s="1">
        <f>IF(Query1[[#This Row],[ItemType]]="EVAP KIT UNIVERSAL",Query1[[#This Row],[OrderQty]]+J2840,J2840)</f>
        <v>1310</v>
      </c>
      <c r="K2841" s="1">
        <f>Query1[[#This Row],[SF Running Total]]+Query1[[#This Row],[UNIV Running Total]]</f>
        <v>4716</v>
      </c>
      <c r="L2841">
        <f>VLOOKUP(Query1[[#This Row],[Description]],'kits to boards'!$B$2:$E$156,2,FALSE)</f>
        <v>830029</v>
      </c>
      <c r="M2841">
        <f>VLOOKUP(Query1[[#This Row],[Description]],'kits to boards'!$B$2:$E$156,3,FALSE)</f>
        <v>830030</v>
      </c>
      <c r="N2841">
        <f>VLOOKUP(Query1[[#This Row],[Description]],'kits to boards'!$B$2:$E$156,4,FALSE)</f>
        <v>0</v>
      </c>
      <c r="O2841" t="str">
        <f>CONCATENATE(Query1[[#This Row],[Description]]," - ",Query1[[#This Row],[MB1]]," - ",Query1[[#This Row],[MB2]]," - ",Query1[[#This Row],[MB3]])</f>
        <v>ComPac GEN II W/DEF - 830029 - 830030 - 0</v>
      </c>
    </row>
    <row r="2842" spans="1:15" x14ac:dyDescent="0.25">
      <c r="A2842" s="1">
        <v>916881</v>
      </c>
      <c r="B2842" s="1" t="s">
        <v>30</v>
      </c>
      <c r="C2842" s="1" t="s">
        <v>31</v>
      </c>
      <c r="D2842" s="2">
        <v>44645.617809143521</v>
      </c>
      <c r="E2842" s="1" t="s">
        <v>8</v>
      </c>
      <c r="F2842" s="1">
        <v>1</v>
      </c>
      <c r="G2842" s="1">
        <v>0</v>
      </c>
      <c r="H2842" s="6">
        <f>INT(Query1[[#This Row],[EntryDateTime]])</f>
        <v>44645</v>
      </c>
      <c r="I2842" s="1">
        <f>IF(Query1[[#This Row],[ItemType]]="EVAP KIT SF GEN IV",Query1[[#This Row],[OrderQty]]+I2841,I2841)</f>
        <v>3407</v>
      </c>
      <c r="J2842" s="1">
        <f>IF(Query1[[#This Row],[ItemType]]="EVAP KIT UNIVERSAL",Query1[[#This Row],[OrderQty]]+J2841,J2841)</f>
        <v>1310</v>
      </c>
      <c r="K2842" s="1">
        <f>Query1[[#This Row],[SF Running Total]]+Query1[[#This Row],[UNIV Running Total]]</f>
        <v>4717</v>
      </c>
      <c r="L2842">
        <f>VLOOKUP(Query1[[#This Row],[Description]],'kits to boards'!$B$2:$E$156,2,FALSE)</f>
        <v>830054</v>
      </c>
      <c r="M2842">
        <f>VLOOKUP(Query1[[#This Row],[Description]],'kits to boards'!$B$2:$E$156,3,FALSE)</f>
        <v>0</v>
      </c>
      <c r="N2842">
        <f>VLOOKUP(Query1[[#This Row],[Description]],'kits to boards'!$B$2:$E$156,4,FALSE)</f>
        <v>0</v>
      </c>
      <c r="O2842" t="str">
        <f>CONCATENATE(Query1[[#This Row],[Description]]," - ",Query1[[#This Row],[MB1]]," - ",Query1[[#This Row],[MB2]]," - ",Query1[[#This Row],[MB3]])</f>
        <v>EVAP KIT 55-56 CHEVY 4-VENT - 830054 - 0 - 0</v>
      </c>
    </row>
    <row r="2843" spans="1:15" x14ac:dyDescent="0.25">
      <c r="A2843" s="1">
        <v>916888</v>
      </c>
      <c r="B2843" s="1" t="s">
        <v>140</v>
      </c>
      <c r="C2843" s="1" t="s">
        <v>141</v>
      </c>
      <c r="D2843" s="2">
        <v>44645.629160219905</v>
      </c>
      <c r="E2843" s="1" t="s">
        <v>8</v>
      </c>
      <c r="F2843" s="1">
        <v>1</v>
      </c>
      <c r="G2843" s="1">
        <v>0</v>
      </c>
      <c r="H2843" s="6">
        <f>INT(Query1[[#This Row],[EntryDateTime]])</f>
        <v>44645</v>
      </c>
      <c r="I2843" s="1">
        <f>IF(Query1[[#This Row],[ItemType]]="EVAP KIT SF GEN IV",Query1[[#This Row],[OrderQty]]+I2842,I2842)</f>
        <v>3408</v>
      </c>
      <c r="J2843" s="1">
        <f>IF(Query1[[#This Row],[ItemType]]="EVAP KIT UNIVERSAL",Query1[[#This Row],[OrderQty]]+J2842,J2842)</f>
        <v>1310</v>
      </c>
      <c r="K2843" s="1">
        <f>Query1[[#This Row],[SF Running Total]]+Query1[[#This Row],[UNIV Running Total]]</f>
        <v>4718</v>
      </c>
      <c r="L2843">
        <f>VLOOKUP(Query1[[#This Row],[Description]],'kits to boards'!$B$2:$E$156,2,FALSE)</f>
        <v>830066</v>
      </c>
      <c r="M2843">
        <f>VLOOKUP(Query1[[#This Row],[Description]],'kits to boards'!$B$2:$E$156,3,FALSE)</f>
        <v>0</v>
      </c>
      <c r="N2843">
        <f>VLOOKUP(Query1[[#This Row],[Description]],'kits to boards'!$B$2:$E$156,4,FALSE)</f>
        <v>0</v>
      </c>
      <c r="O2843" t="str">
        <f>CONCATENATE(Query1[[#This Row],[Description]]," - ",Query1[[#This Row],[MB1]]," - ",Query1[[#This Row],[MB2]]," - ",Query1[[#This Row],[MB3]])</f>
        <v>EVAP KIT 60-63 CHEV P-UP WO AC - 830066 - 0 - 0</v>
      </c>
    </row>
    <row r="2844" spans="1:15" x14ac:dyDescent="0.25">
      <c r="A2844" s="1">
        <v>916890</v>
      </c>
      <c r="B2844" s="1" t="s">
        <v>60</v>
      </c>
      <c r="C2844" s="1" t="s">
        <v>61</v>
      </c>
      <c r="D2844" s="2">
        <v>44645.638728900463</v>
      </c>
      <c r="E2844" s="1" t="s">
        <v>8</v>
      </c>
      <c r="F2844" s="1">
        <v>1</v>
      </c>
      <c r="G2844" s="1">
        <v>0</v>
      </c>
      <c r="H2844" s="6">
        <f>INT(Query1[[#This Row],[EntryDateTime]])</f>
        <v>44645</v>
      </c>
      <c r="I2844" s="1">
        <f>IF(Query1[[#This Row],[ItemType]]="EVAP KIT SF GEN IV",Query1[[#This Row],[OrderQty]]+I2843,I2843)</f>
        <v>3409</v>
      </c>
      <c r="J2844" s="1">
        <f>IF(Query1[[#This Row],[ItemType]]="EVAP KIT UNIVERSAL",Query1[[#This Row],[OrderQty]]+J2843,J2843)</f>
        <v>1310</v>
      </c>
      <c r="K2844" s="1">
        <f>Query1[[#This Row],[SF Running Total]]+Query1[[#This Row],[UNIV Running Total]]</f>
        <v>4719</v>
      </c>
      <c r="L2844">
        <f>VLOOKUP(Query1[[#This Row],[Description]],'kits to boards'!$B$2:$E$156,2,FALSE)</f>
        <v>830062</v>
      </c>
      <c r="M2844">
        <f>VLOOKUP(Query1[[#This Row],[Description]],'kits to boards'!$B$2:$E$156,3,FALSE)</f>
        <v>0</v>
      </c>
      <c r="N2844">
        <f>VLOOKUP(Query1[[#This Row],[Description]],'kits to boards'!$B$2:$E$156,4,FALSE)</f>
        <v>0</v>
      </c>
      <c r="O2844" t="str">
        <f>CONCATENATE(Query1[[#This Row],[Description]]," - ",Query1[[#This Row],[MB1]]," - ",Query1[[#This Row],[MB2]]," - ",Query1[[#This Row],[MB3]])</f>
        <v>EVAP KIT 68-69 CHEVELLE WO AC - 830062 - 0 - 0</v>
      </c>
    </row>
    <row r="2845" spans="1:15" x14ac:dyDescent="0.25">
      <c r="A2845" s="1">
        <v>916894</v>
      </c>
      <c r="B2845" s="1" t="s">
        <v>46</v>
      </c>
      <c r="C2845" s="1" t="s">
        <v>47</v>
      </c>
      <c r="D2845" s="2">
        <v>44645.64579652778</v>
      </c>
      <c r="E2845" s="1" t="s">
        <v>8</v>
      </c>
      <c r="F2845" s="1">
        <v>1</v>
      </c>
      <c r="G2845" s="1">
        <v>0</v>
      </c>
      <c r="H2845" s="6">
        <f>INT(Query1[[#This Row],[EntryDateTime]])</f>
        <v>44645</v>
      </c>
      <c r="I2845" s="1">
        <f>IF(Query1[[#This Row],[ItemType]]="EVAP KIT SF GEN IV",Query1[[#This Row],[OrderQty]]+I2844,I2844)</f>
        <v>3410</v>
      </c>
      <c r="J2845" s="1">
        <f>IF(Query1[[#This Row],[ItemType]]="EVAP KIT UNIVERSAL",Query1[[#This Row],[OrderQty]]+J2844,J2844)</f>
        <v>1310</v>
      </c>
      <c r="K2845" s="1">
        <f>Query1[[#This Row],[SF Running Total]]+Query1[[#This Row],[UNIV Running Total]]</f>
        <v>4720</v>
      </c>
      <c r="L2845">
        <f>VLOOKUP(Query1[[#This Row],[Description]],'kits to boards'!$B$2:$E$156,2,FALSE)</f>
        <v>830018</v>
      </c>
      <c r="M2845">
        <f>VLOOKUP(Query1[[#This Row],[Description]],'kits to boards'!$B$2:$E$156,3,FALSE)</f>
        <v>0</v>
      </c>
      <c r="N2845">
        <f>VLOOKUP(Query1[[#This Row],[Description]],'kits to boards'!$B$2:$E$156,4,FALSE)</f>
        <v>0</v>
      </c>
      <c r="O2845" t="str">
        <f>CONCATENATE(Query1[[#This Row],[Description]]," - ",Query1[[#This Row],[MB1]]," - ",Query1[[#This Row],[MB2]]," - ",Query1[[#This Row],[MB3]])</f>
        <v>EVAP KIT 68-72 FORD P-UP F-100 - 830018 - 0 - 0</v>
      </c>
    </row>
    <row r="2846" spans="1:15" x14ac:dyDescent="0.25">
      <c r="A2846" s="1">
        <v>916908</v>
      </c>
      <c r="B2846" s="1" t="s">
        <v>112</v>
      </c>
      <c r="C2846" s="1" t="s">
        <v>113</v>
      </c>
      <c r="D2846" s="2">
        <v>44648.320487152778</v>
      </c>
      <c r="E2846" s="1" t="s">
        <v>8</v>
      </c>
      <c r="F2846" s="1">
        <v>1</v>
      </c>
      <c r="G2846" s="1">
        <v>0</v>
      </c>
      <c r="H2846" s="6">
        <f>INT(Query1[[#This Row],[EntryDateTime]])</f>
        <v>44648</v>
      </c>
      <c r="I2846" s="1">
        <f>IF(Query1[[#This Row],[ItemType]]="EVAP KIT SF GEN IV",Query1[[#This Row],[OrderQty]]+I2845,I2845)</f>
        <v>3411</v>
      </c>
      <c r="J2846" s="1">
        <f>IF(Query1[[#This Row],[ItemType]]="EVAP KIT UNIVERSAL",Query1[[#This Row],[OrderQty]]+J2845,J2845)</f>
        <v>1310</v>
      </c>
      <c r="K2846" s="1">
        <f>Query1[[#This Row],[SF Running Total]]+Query1[[#This Row],[UNIV Running Total]]</f>
        <v>4721</v>
      </c>
      <c r="L2846">
        <f>VLOOKUP(Query1[[#This Row],[Description]],'kits to boards'!$B$2:$E$156,2,FALSE)</f>
        <v>830063</v>
      </c>
      <c r="M2846">
        <f>VLOOKUP(Query1[[#This Row],[Description]],'kits to boards'!$B$2:$E$156,3,FALSE)</f>
        <v>0</v>
      </c>
      <c r="N2846">
        <f>VLOOKUP(Query1[[#This Row],[Description]],'kits to boards'!$B$2:$E$156,4,FALSE)</f>
        <v>0</v>
      </c>
      <c r="O2846" t="str">
        <f>CONCATENATE(Query1[[#This Row],[Description]]," - ",Query1[[#This Row],[MB1]]," - ",Query1[[#This Row],[MB2]]," - ",Query1[[#This Row],[MB3]])</f>
        <v>EVAP KIT 54-55 CHEV P-UP GEN IV - 830063 - 0 - 0</v>
      </c>
    </row>
    <row r="2847" spans="1:15" x14ac:dyDescent="0.25">
      <c r="A2847" s="1">
        <v>916911</v>
      </c>
      <c r="B2847" s="1" t="s">
        <v>172</v>
      </c>
      <c r="C2847" s="1" t="s">
        <v>173</v>
      </c>
      <c r="D2847" s="2">
        <v>44648.323021064818</v>
      </c>
      <c r="E2847" s="1" t="s">
        <v>11</v>
      </c>
      <c r="F2847" s="1">
        <v>1</v>
      </c>
      <c r="G2847" s="1">
        <v>0</v>
      </c>
      <c r="H2847" s="6">
        <f>INT(Query1[[#This Row],[EntryDateTime]])</f>
        <v>44648</v>
      </c>
      <c r="I2847" s="1">
        <f>IF(Query1[[#This Row],[ItemType]]="EVAP KIT SF GEN IV",Query1[[#This Row],[OrderQty]]+I2846,I2846)</f>
        <v>3411</v>
      </c>
      <c r="J2847" s="1">
        <f>IF(Query1[[#This Row],[ItemType]]="EVAP KIT UNIVERSAL",Query1[[#This Row],[OrderQty]]+J2846,J2846)</f>
        <v>1311</v>
      </c>
      <c r="K2847" s="1">
        <f>Query1[[#This Row],[SF Running Total]]+Query1[[#This Row],[UNIV Running Total]]</f>
        <v>4722</v>
      </c>
      <c r="L2847">
        <f>VLOOKUP(Query1[[#This Row],[Description]],'kits to boards'!$B$2:$E$156,2,FALSE)</f>
        <v>0</v>
      </c>
      <c r="M2847">
        <f>VLOOKUP(Query1[[#This Row],[Description]],'kits to boards'!$B$2:$E$156,3,FALSE)</f>
        <v>0</v>
      </c>
      <c r="N2847">
        <f>VLOOKUP(Query1[[#This Row],[Description]],'kits to boards'!$B$2:$E$156,4,FALSE)</f>
        <v>0</v>
      </c>
      <c r="O2847" t="str">
        <f>CONCATENATE(Query1[[#This Row],[Description]]," - ",Query1[[#This Row],[MB1]]," - ",Query1[[#This Row],[MB2]]," - ",Query1[[#This Row],[MB3]])</f>
        <v>HERITAGE PEARL EVAP KIT COOL ONLY - 0 - 0 - 0</v>
      </c>
    </row>
    <row r="2848" spans="1:15" x14ac:dyDescent="0.25">
      <c r="A2848" s="1">
        <v>916918</v>
      </c>
      <c r="B2848" s="1" t="s">
        <v>102</v>
      </c>
      <c r="C2848" s="1" t="s">
        <v>103</v>
      </c>
      <c r="D2848" s="2">
        <v>44648.328835532404</v>
      </c>
      <c r="E2848" s="1" t="s">
        <v>8</v>
      </c>
      <c r="F2848" s="1">
        <v>1</v>
      </c>
      <c r="G2848" s="1">
        <v>0</v>
      </c>
      <c r="H2848" s="6">
        <f>INT(Query1[[#This Row],[EntryDateTime]])</f>
        <v>44648</v>
      </c>
      <c r="I2848" s="1">
        <f>IF(Query1[[#This Row],[ItemType]]="EVAP KIT SF GEN IV",Query1[[#This Row],[OrderQty]]+I2847,I2847)</f>
        <v>3412</v>
      </c>
      <c r="J2848" s="1">
        <f>IF(Query1[[#This Row],[ItemType]]="EVAP KIT UNIVERSAL",Query1[[#This Row],[OrderQty]]+J2847,J2847)</f>
        <v>1311</v>
      </c>
      <c r="K2848" s="1">
        <f>Query1[[#This Row],[SF Running Total]]+Query1[[#This Row],[UNIV Running Total]]</f>
        <v>4723</v>
      </c>
      <c r="L2848">
        <f>VLOOKUP(Query1[[#This Row],[Description]],'kits to boards'!$B$2:$E$156,2,FALSE)</f>
        <v>830012</v>
      </c>
      <c r="M2848">
        <f>VLOOKUP(Query1[[#This Row],[Description]],'kits to boards'!$B$2:$E$156,3,FALSE)</f>
        <v>0</v>
      </c>
      <c r="N2848">
        <f>VLOOKUP(Query1[[#This Row],[Description]],'kits to boards'!$B$2:$E$156,4,FALSE)</f>
        <v>0</v>
      </c>
      <c r="O2848" t="str">
        <f>CONCATENATE(Query1[[#This Row],[Description]]," - ",Query1[[#This Row],[MB1]]," - ",Query1[[#This Row],[MB2]]," - ",Query1[[#This Row],[MB3]])</f>
        <v>EVAP KIT 69 CAMARO WO/AC - 830012 - 0 - 0</v>
      </c>
    </row>
    <row r="2849" spans="1:15" x14ac:dyDescent="0.25">
      <c r="A2849" s="1">
        <v>916926</v>
      </c>
      <c r="B2849" s="1" t="s">
        <v>88</v>
      </c>
      <c r="C2849" s="1" t="s">
        <v>89</v>
      </c>
      <c r="D2849" s="2">
        <v>44648.334386493058</v>
      </c>
      <c r="E2849" s="1" t="s">
        <v>8</v>
      </c>
      <c r="F2849" s="1">
        <v>1</v>
      </c>
      <c r="G2849" s="1">
        <v>0</v>
      </c>
      <c r="H2849" s="6">
        <f>INT(Query1[[#This Row],[EntryDateTime]])</f>
        <v>44648</v>
      </c>
      <c r="I2849" s="1">
        <f>IF(Query1[[#This Row],[ItemType]]="EVAP KIT SF GEN IV",Query1[[#This Row],[OrderQty]]+I2848,I2848)</f>
        <v>3413</v>
      </c>
      <c r="J2849" s="1">
        <f>IF(Query1[[#This Row],[ItemType]]="EVAP KIT UNIVERSAL",Query1[[#This Row],[OrderQty]]+J2848,J2848)</f>
        <v>1311</v>
      </c>
      <c r="K2849" s="1">
        <f>Query1[[#This Row],[SF Running Total]]+Query1[[#This Row],[UNIV Running Total]]</f>
        <v>4724</v>
      </c>
      <c r="L2849">
        <f>VLOOKUP(Query1[[#This Row],[Description]],'kits to boards'!$B$2:$E$156,2,FALSE)</f>
        <v>830003</v>
      </c>
      <c r="M2849">
        <f>VLOOKUP(Query1[[#This Row],[Description]],'kits to boards'!$B$2:$E$156,3,FALSE)</f>
        <v>0</v>
      </c>
      <c r="N2849">
        <f>VLOOKUP(Query1[[#This Row],[Description]],'kits to boards'!$B$2:$E$156,4,FALSE)</f>
        <v>0</v>
      </c>
      <c r="O2849" t="str">
        <f>CONCATENATE(Query1[[#This Row],[Description]]," - ",Query1[[#This Row],[MB1]]," - ",Query1[[#This Row],[MB2]]," - ",Query1[[#This Row],[MB3]])</f>
        <v>EVAP KIT 81-87 CHEV P-UP WO AC - 830003 - 0 - 0</v>
      </c>
    </row>
    <row r="2850" spans="1:15" x14ac:dyDescent="0.25">
      <c r="A2850" s="1">
        <v>916701</v>
      </c>
      <c r="B2850" s="1" t="s">
        <v>54</v>
      </c>
      <c r="C2850" s="1" t="s">
        <v>55</v>
      </c>
      <c r="D2850" s="2">
        <v>44648.354487731478</v>
      </c>
      <c r="E2850" s="1" t="s">
        <v>8</v>
      </c>
      <c r="F2850" s="1">
        <v>1</v>
      </c>
      <c r="G2850" s="1">
        <v>0</v>
      </c>
      <c r="H2850" s="6">
        <f>INT(Query1[[#This Row],[EntryDateTime]])</f>
        <v>44648</v>
      </c>
      <c r="I2850" s="1">
        <f>IF(Query1[[#This Row],[ItemType]]="EVAP KIT SF GEN IV",Query1[[#This Row],[OrderQty]]+I2849,I2849)</f>
        <v>3414</v>
      </c>
      <c r="J2850" s="1">
        <f>IF(Query1[[#This Row],[ItemType]]="EVAP KIT UNIVERSAL",Query1[[#This Row],[OrderQty]]+J2849,J2849)</f>
        <v>1311</v>
      </c>
      <c r="K2850" s="1">
        <f>Query1[[#This Row],[SF Running Total]]+Query1[[#This Row],[UNIV Running Total]]</f>
        <v>4725</v>
      </c>
      <c r="L2850">
        <f>VLOOKUP(Query1[[#This Row],[Description]],'kits to boards'!$B$2:$E$156,2,FALSE)</f>
        <v>830037</v>
      </c>
      <c r="M2850">
        <f>VLOOKUP(Query1[[#This Row],[Description]],'kits to boards'!$B$2:$E$156,3,FALSE)</f>
        <v>0</v>
      </c>
      <c r="N2850">
        <f>VLOOKUP(Query1[[#This Row],[Description]],'kits to boards'!$B$2:$E$156,4,FALSE)</f>
        <v>0</v>
      </c>
      <c r="O2850" t="str">
        <f>CONCATENATE(Query1[[#This Row],[Description]]," - ",Query1[[#This Row],[MB1]]," - ",Query1[[#This Row],[MB2]]," - ",Query1[[#This Row],[MB3]])</f>
        <v>EVAP KIT 70-81 FIREBIRD W/AC - 830037 - 0 - 0</v>
      </c>
    </row>
    <row r="2851" spans="1:15" x14ac:dyDescent="0.25">
      <c r="A2851" s="1">
        <v>916119</v>
      </c>
      <c r="B2851" s="1" t="s">
        <v>98</v>
      </c>
      <c r="C2851" s="1" t="s">
        <v>99</v>
      </c>
      <c r="D2851" s="2">
        <v>44648.355778969904</v>
      </c>
      <c r="E2851" s="1" t="s">
        <v>11</v>
      </c>
      <c r="F2851" s="1">
        <v>1</v>
      </c>
      <c r="G2851" s="1">
        <v>0</v>
      </c>
      <c r="H2851" s="6">
        <f>INT(Query1[[#This Row],[EntryDateTime]])</f>
        <v>44648</v>
      </c>
      <c r="I2851" s="1">
        <f>IF(Query1[[#This Row],[ItemType]]="EVAP KIT SF GEN IV",Query1[[#This Row],[OrderQty]]+I2850,I2850)</f>
        <v>3414</v>
      </c>
      <c r="J2851" s="1">
        <f>IF(Query1[[#This Row],[ItemType]]="EVAP KIT UNIVERSAL",Query1[[#This Row],[OrderQty]]+J2850,J2850)</f>
        <v>1312</v>
      </c>
      <c r="K2851" s="1">
        <f>Query1[[#This Row],[SF Running Total]]+Query1[[#This Row],[UNIV Running Total]]</f>
        <v>4726</v>
      </c>
      <c r="L2851">
        <f>VLOOKUP(Query1[[#This Row],[Description]],'kits to boards'!$B$2:$E$156,2,FALSE)</f>
        <v>830099</v>
      </c>
      <c r="M2851">
        <f>VLOOKUP(Query1[[#This Row],[Description]],'kits to boards'!$B$2:$E$156,3,FALSE)</f>
        <v>0</v>
      </c>
      <c r="N2851">
        <f>VLOOKUP(Query1[[#This Row],[Description]],'kits to boards'!$B$2:$E$156,4,FALSE)</f>
        <v>0</v>
      </c>
      <c r="O2851" t="str">
        <f>CONCATENATE(Query1[[#This Row],[Description]]," - ",Query1[[#This Row],[MB1]]," - ",Query1[[#This Row],[MB2]]," - ",Query1[[#This Row],[MB3]])</f>
        <v>MINI GEN II W/DEF - 830099 - 0 - 0</v>
      </c>
    </row>
    <row r="2852" spans="1:15" x14ac:dyDescent="0.25">
      <c r="A2852" s="1">
        <v>916880</v>
      </c>
      <c r="B2852" s="1" t="s">
        <v>30</v>
      </c>
      <c r="C2852" s="1" t="s">
        <v>31</v>
      </c>
      <c r="D2852" s="2">
        <v>44648.356174421293</v>
      </c>
      <c r="E2852" s="1" t="s">
        <v>8</v>
      </c>
      <c r="F2852" s="1">
        <v>1</v>
      </c>
      <c r="G2852" s="1">
        <v>0</v>
      </c>
      <c r="H2852" s="6">
        <f>INT(Query1[[#This Row],[EntryDateTime]])</f>
        <v>44648</v>
      </c>
      <c r="I2852" s="1">
        <f>IF(Query1[[#This Row],[ItemType]]="EVAP KIT SF GEN IV",Query1[[#This Row],[OrderQty]]+I2851,I2851)</f>
        <v>3415</v>
      </c>
      <c r="J2852" s="1">
        <f>IF(Query1[[#This Row],[ItemType]]="EVAP KIT UNIVERSAL",Query1[[#This Row],[OrderQty]]+J2851,J2851)</f>
        <v>1312</v>
      </c>
      <c r="K2852" s="1">
        <f>Query1[[#This Row],[SF Running Total]]+Query1[[#This Row],[UNIV Running Total]]</f>
        <v>4727</v>
      </c>
      <c r="L2852">
        <f>VLOOKUP(Query1[[#This Row],[Description]],'kits to boards'!$B$2:$E$156,2,FALSE)</f>
        <v>830054</v>
      </c>
      <c r="M2852">
        <f>VLOOKUP(Query1[[#This Row],[Description]],'kits to boards'!$B$2:$E$156,3,FALSE)</f>
        <v>0</v>
      </c>
      <c r="N2852">
        <f>VLOOKUP(Query1[[#This Row],[Description]],'kits to boards'!$B$2:$E$156,4,FALSE)</f>
        <v>0</v>
      </c>
      <c r="O2852" t="str">
        <f>CONCATENATE(Query1[[#This Row],[Description]]," - ",Query1[[#This Row],[MB1]]," - ",Query1[[#This Row],[MB2]]," - ",Query1[[#This Row],[MB3]])</f>
        <v>EVAP KIT 55-56 CHEVY 4-VENT - 830054 - 0 - 0</v>
      </c>
    </row>
    <row r="2853" spans="1:15" x14ac:dyDescent="0.25">
      <c r="A2853" s="1">
        <v>916944</v>
      </c>
      <c r="B2853" s="1" t="s">
        <v>52</v>
      </c>
      <c r="C2853" s="1" t="s">
        <v>53</v>
      </c>
      <c r="D2853" s="2">
        <v>44648.3593940625</v>
      </c>
      <c r="E2853" s="1" t="s">
        <v>8</v>
      </c>
      <c r="F2853" s="1">
        <v>1</v>
      </c>
      <c r="G2853" s="1">
        <v>0</v>
      </c>
      <c r="H2853" s="6">
        <f>INT(Query1[[#This Row],[EntryDateTime]])</f>
        <v>44648</v>
      </c>
      <c r="I2853" s="1">
        <f>IF(Query1[[#This Row],[ItemType]]="EVAP KIT SF GEN IV",Query1[[#This Row],[OrderQty]]+I2852,I2852)</f>
        <v>3416</v>
      </c>
      <c r="J2853" s="1">
        <f>IF(Query1[[#This Row],[ItemType]]="EVAP KIT UNIVERSAL",Query1[[#This Row],[OrderQty]]+J2852,J2852)</f>
        <v>1312</v>
      </c>
      <c r="K2853" s="1">
        <f>Query1[[#This Row],[SF Running Total]]+Query1[[#This Row],[UNIV Running Total]]</f>
        <v>4728</v>
      </c>
      <c r="L2853">
        <f>VLOOKUP(Query1[[#This Row],[Description]],'kits to boards'!$B$2:$E$156,2,FALSE)</f>
        <v>830017</v>
      </c>
      <c r="M2853">
        <f>VLOOKUP(Query1[[#This Row],[Description]],'kits to boards'!$B$2:$E$156,3,FALSE)</f>
        <v>830119</v>
      </c>
      <c r="N2853">
        <f>VLOOKUP(Query1[[#This Row],[Description]],'kits to boards'!$B$2:$E$156,4,FALSE)</f>
        <v>830120</v>
      </c>
      <c r="O2853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2854" spans="1:15" x14ac:dyDescent="0.25">
      <c r="A2854" s="1">
        <v>916949</v>
      </c>
      <c r="B2854" s="1" t="s">
        <v>102</v>
      </c>
      <c r="C2854" s="1" t="s">
        <v>103</v>
      </c>
      <c r="D2854" s="2">
        <v>44648.36295451389</v>
      </c>
      <c r="E2854" s="1" t="s">
        <v>8</v>
      </c>
      <c r="F2854" s="1">
        <v>1</v>
      </c>
      <c r="G2854" s="1">
        <v>0</v>
      </c>
      <c r="H2854" s="6">
        <f>INT(Query1[[#This Row],[EntryDateTime]])</f>
        <v>44648</v>
      </c>
      <c r="I2854" s="1">
        <f>IF(Query1[[#This Row],[ItemType]]="EVAP KIT SF GEN IV",Query1[[#This Row],[OrderQty]]+I2853,I2853)</f>
        <v>3417</v>
      </c>
      <c r="J2854" s="1">
        <f>IF(Query1[[#This Row],[ItemType]]="EVAP KIT UNIVERSAL",Query1[[#This Row],[OrderQty]]+J2853,J2853)</f>
        <v>1312</v>
      </c>
      <c r="K2854" s="1">
        <f>Query1[[#This Row],[SF Running Total]]+Query1[[#This Row],[UNIV Running Total]]</f>
        <v>4729</v>
      </c>
      <c r="L2854">
        <f>VLOOKUP(Query1[[#This Row],[Description]],'kits to boards'!$B$2:$E$156,2,FALSE)</f>
        <v>830012</v>
      </c>
      <c r="M2854">
        <f>VLOOKUP(Query1[[#This Row],[Description]],'kits to boards'!$B$2:$E$156,3,FALSE)</f>
        <v>0</v>
      </c>
      <c r="N2854">
        <f>VLOOKUP(Query1[[#This Row],[Description]],'kits to boards'!$B$2:$E$156,4,FALSE)</f>
        <v>0</v>
      </c>
      <c r="O2854" t="str">
        <f>CONCATENATE(Query1[[#This Row],[Description]]," - ",Query1[[#This Row],[MB1]]," - ",Query1[[#This Row],[MB2]]," - ",Query1[[#This Row],[MB3]])</f>
        <v>EVAP KIT 69 CAMARO WO/AC - 830012 - 0 - 0</v>
      </c>
    </row>
    <row r="2855" spans="1:15" x14ac:dyDescent="0.25">
      <c r="A2855" s="1">
        <v>916956</v>
      </c>
      <c r="B2855" s="1" t="s">
        <v>48</v>
      </c>
      <c r="C2855" s="1" t="s">
        <v>49</v>
      </c>
      <c r="D2855" s="2">
        <v>44648.369674305555</v>
      </c>
      <c r="E2855" s="1" t="s">
        <v>8</v>
      </c>
      <c r="F2855" s="1">
        <v>1</v>
      </c>
      <c r="G2855" s="1">
        <v>0</v>
      </c>
      <c r="H2855" s="6">
        <f>INT(Query1[[#This Row],[EntryDateTime]])</f>
        <v>44648</v>
      </c>
      <c r="I2855" s="1">
        <f>IF(Query1[[#This Row],[ItemType]]="EVAP KIT SF GEN IV",Query1[[#This Row],[OrderQty]]+I2854,I2854)</f>
        <v>3418</v>
      </c>
      <c r="J2855" s="1">
        <f>IF(Query1[[#This Row],[ItemType]]="EVAP KIT UNIVERSAL",Query1[[#This Row],[OrderQty]]+J2854,J2854)</f>
        <v>1312</v>
      </c>
      <c r="K2855" s="1">
        <f>Query1[[#This Row],[SF Running Total]]+Query1[[#This Row],[UNIV Running Total]]</f>
        <v>4730</v>
      </c>
      <c r="L2855">
        <f>VLOOKUP(Query1[[#This Row],[Description]],'kits to boards'!$B$2:$E$156,2,FALSE)</f>
        <v>830015</v>
      </c>
      <c r="M2855">
        <f>VLOOKUP(Query1[[#This Row],[Description]],'kits to boards'!$B$2:$E$156,3,FALSE)</f>
        <v>0</v>
      </c>
      <c r="N2855">
        <f>VLOOKUP(Query1[[#This Row],[Description]],'kits to boards'!$B$2:$E$156,4,FALSE)</f>
        <v>0</v>
      </c>
      <c r="O2855" t="str">
        <f>CONCATENATE(Query1[[#This Row],[Description]]," - ",Query1[[#This Row],[MB1]]," - ",Query1[[#This Row],[MB2]]," - ",Query1[[#This Row],[MB3]])</f>
        <v>EVAP KIT 64-66 CHEV P-UP WO AC W/DELX - 830015 - 0 - 0</v>
      </c>
    </row>
    <row r="2856" spans="1:15" x14ac:dyDescent="0.25">
      <c r="A2856" s="1">
        <v>916946</v>
      </c>
      <c r="B2856" s="1" t="s">
        <v>152</v>
      </c>
      <c r="C2856" s="1" t="s">
        <v>153</v>
      </c>
      <c r="D2856" s="2">
        <v>44648.373472569445</v>
      </c>
      <c r="E2856" s="1" t="s">
        <v>8</v>
      </c>
      <c r="F2856" s="1">
        <v>1</v>
      </c>
      <c r="G2856" s="1">
        <v>0</v>
      </c>
      <c r="H2856" s="6">
        <f>INT(Query1[[#This Row],[EntryDateTime]])</f>
        <v>44648</v>
      </c>
      <c r="I2856" s="1">
        <f>IF(Query1[[#This Row],[ItemType]]="EVAP KIT SF GEN IV",Query1[[#This Row],[OrderQty]]+I2855,I2855)</f>
        <v>3419</v>
      </c>
      <c r="J2856" s="1">
        <f>IF(Query1[[#This Row],[ItemType]]="EVAP KIT UNIVERSAL",Query1[[#This Row],[OrderQty]]+J2855,J2855)</f>
        <v>1312</v>
      </c>
      <c r="K2856" s="1">
        <f>Query1[[#This Row],[SF Running Total]]+Query1[[#This Row],[UNIV Running Total]]</f>
        <v>4731</v>
      </c>
      <c r="L2856">
        <f>VLOOKUP(Query1[[#This Row],[Description]],'kits to boards'!$B$2:$E$156,2,FALSE)</f>
        <v>830034</v>
      </c>
      <c r="M2856">
        <f>VLOOKUP(Query1[[#This Row],[Description]],'kits to boards'!$B$2:$E$156,3,FALSE)</f>
        <v>0</v>
      </c>
      <c r="N2856">
        <f>VLOOKUP(Query1[[#This Row],[Description]],'kits to boards'!$B$2:$E$156,4,FALSE)</f>
        <v>0</v>
      </c>
      <c r="O2856" t="str">
        <f>CONCATENATE(Query1[[#This Row],[Description]]," - ",Query1[[#This Row],[MB1]]," - ",Query1[[#This Row],[MB2]]," - ",Query1[[#This Row],[MB3]])</f>
        <v>EVAP KIT 64-67 GTO WO AC - 830034 - 0 - 0</v>
      </c>
    </row>
    <row r="2857" spans="1:15" x14ac:dyDescent="0.25">
      <c r="A2857" s="1">
        <v>916960</v>
      </c>
      <c r="B2857" s="1" t="s">
        <v>14</v>
      </c>
      <c r="C2857" s="1" t="s">
        <v>15</v>
      </c>
      <c r="D2857" s="2">
        <v>44648.375848298609</v>
      </c>
      <c r="E2857" s="1" t="s">
        <v>8</v>
      </c>
      <c r="F2857" s="1">
        <v>1</v>
      </c>
      <c r="G2857" s="1">
        <v>0</v>
      </c>
      <c r="H2857" s="6">
        <f>INT(Query1[[#This Row],[EntryDateTime]])</f>
        <v>44648</v>
      </c>
      <c r="I2857" s="1">
        <f>IF(Query1[[#This Row],[ItemType]]="EVAP KIT SF GEN IV",Query1[[#This Row],[OrderQty]]+I2856,I2856)</f>
        <v>3420</v>
      </c>
      <c r="J2857" s="1">
        <f>IF(Query1[[#This Row],[ItemType]]="EVAP KIT UNIVERSAL",Query1[[#This Row],[OrderQty]]+J2856,J2856)</f>
        <v>1312</v>
      </c>
      <c r="K2857" s="1">
        <f>Query1[[#This Row],[SF Running Total]]+Query1[[#This Row],[UNIV Running Total]]</f>
        <v>4732</v>
      </c>
      <c r="L2857">
        <f>VLOOKUP(Query1[[#This Row],[Description]],'kits to boards'!$B$2:$E$156,2,FALSE)</f>
        <v>830054</v>
      </c>
      <c r="M2857">
        <f>VLOOKUP(Query1[[#This Row],[Description]],'kits to boards'!$B$2:$E$156,3,FALSE)</f>
        <v>0</v>
      </c>
      <c r="N2857">
        <f>VLOOKUP(Query1[[#This Row],[Description]],'kits to boards'!$B$2:$E$156,4,FALSE)</f>
        <v>0</v>
      </c>
      <c r="O2857" t="str">
        <f>CONCATENATE(Query1[[#This Row],[Description]]," - ",Query1[[#This Row],[MB1]]," - ",Query1[[#This Row],[MB2]]," - ",Query1[[#This Row],[MB3]])</f>
        <v>EVAP KIT 55-56 CHEVY - 830054 - 0 - 0</v>
      </c>
    </row>
    <row r="2858" spans="1:15" x14ac:dyDescent="0.25">
      <c r="A2858" s="1">
        <v>916963</v>
      </c>
      <c r="B2858" s="1" t="s">
        <v>56</v>
      </c>
      <c r="C2858" s="1" t="s">
        <v>57</v>
      </c>
      <c r="D2858" s="2">
        <v>44648.378071840278</v>
      </c>
      <c r="E2858" s="1" t="s">
        <v>8</v>
      </c>
      <c r="F2858" s="1">
        <v>1</v>
      </c>
      <c r="G2858" s="1">
        <v>0</v>
      </c>
      <c r="H2858" s="6">
        <f>INT(Query1[[#This Row],[EntryDateTime]])</f>
        <v>44648</v>
      </c>
      <c r="I2858" s="1">
        <f>IF(Query1[[#This Row],[ItemType]]="EVAP KIT SF GEN IV",Query1[[#This Row],[OrderQty]]+I2857,I2857)</f>
        <v>3421</v>
      </c>
      <c r="J2858" s="1">
        <f>IF(Query1[[#This Row],[ItemType]]="EVAP KIT UNIVERSAL",Query1[[#This Row],[OrderQty]]+J2857,J2857)</f>
        <v>1312</v>
      </c>
      <c r="K2858" s="1">
        <f>Query1[[#This Row],[SF Running Total]]+Query1[[#This Row],[UNIV Running Total]]</f>
        <v>4733</v>
      </c>
      <c r="L2858">
        <f>VLOOKUP(Query1[[#This Row],[Description]],'kits to boards'!$B$2:$E$156,2,FALSE)</f>
        <v>830011</v>
      </c>
      <c r="M2858">
        <f>VLOOKUP(Query1[[#This Row],[Description]],'kits to boards'!$B$2:$E$156,3,FALSE)</f>
        <v>0</v>
      </c>
      <c r="N2858">
        <f>VLOOKUP(Query1[[#This Row],[Description]],'kits to boards'!$B$2:$E$156,4,FALSE)</f>
        <v>0</v>
      </c>
      <c r="O2858" t="str">
        <f>CONCATENATE(Query1[[#This Row],[Description]]," - ",Query1[[#This Row],[MB1]]," - ",Query1[[#This Row],[MB2]]," - ",Query1[[#This Row],[MB3]])</f>
        <v>EVAP KIT 70-72 CHEVELLE W/AC - 830011 - 0 - 0</v>
      </c>
    </row>
    <row r="2859" spans="1:15" x14ac:dyDescent="0.25">
      <c r="A2859" s="1">
        <v>916964</v>
      </c>
      <c r="B2859" s="1" t="s">
        <v>70</v>
      </c>
      <c r="C2859" s="1" t="s">
        <v>71</v>
      </c>
      <c r="D2859" s="2">
        <v>44648.378518287034</v>
      </c>
      <c r="E2859" s="1" t="s">
        <v>8</v>
      </c>
      <c r="F2859" s="1">
        <v>1</v>
      </c>
      <c r="G2859" s="1">
        <v>0</v>
      </c>
      <c r="H2859" s="6">
        <f>INT(Query1[[#This Row],[EntryDateTime]])</f>
        <v>44648</v>
      </c>
      <c r="I2859" s="1">
        <f>IF(Query1[[#This Row],[ItemType]]="EVAP KIT SF GEN IV",Query1[[#This Row],[OrderQty]]+I2858,I2858)</f>
        <v>3422</v>
      </c>
      <c r="J2859" s="1">
        <f>IF(Query1[[#This Row],[ItemType]]="EVAP KIT UNIVERSAL",Query1[[#This Row],[OrderQty]]+J2858,J2858)</f>
        <v>1312</v>
      </c>
      <c r="K2859" s="1">
        <f>Query1[[#This Row],[SF Running Total]]+Query1[[#This Row],[UNIV Running Total]]</f>
        <v>4734</v>
      </c>
      <c r="L2859">
        <f>VLOOKUP(Query1[[#This Row],[Description]],'kits to boards'!$B$2:$E$156,2,FALSE)</f>
        <v>830050</v>
      </c>
      <c r="M2859">
        <f>VLOOKUP(Query1[[#This Row],[Description]],'kits to boards'!$B$2:$E$156,3,FALSE)</f>
        <v>0</v>
      </c>
      <c r="N2859">
        <f>VLOOKUP(Query1[[#This Row],[Description]],'kits to boards'!$B$2:$E$156,4,FALSE)</f>
        <v>0</v>
      </c>
      <c r="O2859" t="str">
        <f>CONCATENATE(Query1[[#This Row],[Description]]," - ",Query1[[#This Row],[MB1]]," - ",Query1[[#This Row],[MB2]]," - ",Query1[[#This Row],[MB3]])</f>
        <v>EVAP KIT 70-78 CAMARO WO AC - 830050 - 0 - 0</v>
      </c>
    </row>
    <row r="2860" spans="1:15" x14ac:dyDescent="0.25">
      <c r="A2860" s="1">
        <v>916965</v>
      </c>
      <c r="B2860" s="1" t="s">
        <v>122</v>
      </c>
      <c r="C2860" s="1" t="s">
        <v>123</v>
      </c>
      <c r="D2860" s="2">
        <v>44648.380287233798</v>
      </c>
      <c r="E2860" s="1" t="s">
        <v>8</v>
      </c>
      <c r="F2860" s="1">
        <v>1</v>
      </c>
      <c r="G2860" s="1">
        <v>0</v>
      </c>
      <c r="H2860" s="6">
        <f>INT(Query1[[#This Row],[EntryDateTime]])</f>
        <v>44648</v>
      </c>
      <c r="I2860" s="1">
        <f>IF(Query1[[#This Row],[ItemType]]="EVAP KIT SF GEN IV",Query1[[#This Row],[OrderQty]]+I2859,I2859)</f>
        <v>3423</v>
      </c>
      <c r="J2860" s="1">
        <f>IF(Query1[[#This Row],[ItemType]]="EVAP KIT UNIVERSAL",Query1[[#This Row],[OrderQty]]+J2859,J2859)</f>
        <v>1312</v>
      </c>
      <c r="K2860" s="1">
        <f>Query1[[#This Row],[SF Running Total]]+Query1[[#This Row],[UNIV Running Total]]</f>
        <v>4735</v>
      </c>
      <c r="L2860">
        <f>VLOOKUP(Query1[[#This Row],[Description]],'kits to boards'!$B$2:$E$156,2,FALSE)</f>
        <v>830027</v>
      </c>
      <c r="M2860">
        <f>VLOOKUP(Query1[[#This Row],[Description]],'kits to boards'!$B$2:$E$156,3,FALSE)</f>
        <v>0</v>
      </c>
      <c r="N2860">
        <f>VLOOKUP(Query1[[#This Row],[Description]],'kits to boards'!$B$2:$E$156,4,FALSE)</f>
        <v>0</v>
      </c>
      <c r="O2860" t="str">
        <f>CONCATENATE(Query1[[#This Row],[Description]]," - ",Query1[[#This Row],[MB1]]," - ",Query1[[#This Row],[MB2]]," - ",Query1[[#This Row],[MB3]])</f>
        <v>EVAP KIT 70-72 CUTLASS W/AC - 830027 - 0 - 0</v>
      </c>
    </row>
    <row r="2861" spans="1:15" x14ac:dyDescent="0.25">
      <c r="A2861" s="1">
        <v>916969</v>
      </c>
      <c r="B2861" s="1" t="s">
        <v>128</v>
      </c>
      <c r="C2861" s="1" t="s">
        <v>129</v>
      </c>
      <c r="D2861" s="2">
        <v>44648.383370798612</v>
      </c>
      <c r="E2861" s="1" t="s">
        <v>8</v>
      </c>
      <c r="F2861" s="1">
        <v>1</v>
      </c>
      <c r="G2861" s="1">
        <v>0</v>
      </c>
      <c r="H2861" s="6">
        <f>INT(Query1[[#This Row],[EntryDateTime]])</f>
        <v>44648</v>
      </c>
      <c r="I2861" s="1">
        <f>IF(Query1[[#This Row],[ItemType]]="EVAP KIT SF GEN IV",Query1[[#This Row],[OrderQty]]+I2860,I2860)</f>
        <v>3424</v>
      </c>
      <c r="J2861" s="1">
        <f>IF(Query1[[#This Row],[ItemType]]="EVAP KIT UNIVERSAL",Query1[[#This Row],[OrderQty]]+J2860,J2860)</f>
        <v>1312</v>
      </c>
      <c r="K2861" s="1">
        <f>Query1[[#This Row],[SF Running Total]]+Query1[[#This Row],[UNIV Running Total]]</f>
        <v>4736</v>
      </c>
      <c r="L2861">
        <f>VLOOKUP(Query1[[#This Row],[Description]],'kits to boards'!$B$2:$E$156,2,FALSE)</f>
        <v>830036</v>
      </c>
      <c r="M2861">
        <f>VLOOKUP(Query1[[#This Row],[Description]],'kits to boards'!$B$2:$E$156,3,FALSE)</f>
        <v>830039</v>
      </c>
      <c r="N2861">
        <f>VLOOKUP(Query1[[#This Row],[Description]],'kits to boards'!$B$2:$E$156,4,FALSE)</f>
        <v>0</v>
      </c>
      <c r="O2861" t="str">
        <f>CONCATENATE(Query1[[#This Row],[Description]]," - ",Query1[[#This Row],[MB1]]," - ",Query1[[#This Row],[MB2]]," - ",Query1[[#This Row],[MB3]])</f>
        <v>EVAP KIT 63-66 VETTE WO AC - 830036 - 830039 - 0</v>
      </c>
    </row>
    <row r="2862" spans="1:15" x14ac:dyDescent="0.25">
      <c r="A2862" s="1">
        <v>916973</v>
      </c>
      <c r="B2862" s="1" t="s">
        <v>98</v>
      </c>
      <c r="C2862" s="1" t="s">
        <v>99</v>
      </c>
      <c r="D2862" s="2">
        <v>44648.4041</v>
      </c>
      <c r="E2862" s="1" t="s">
        <v>11</v>
      </c>
      <c r="F2862" s="1">
        <v>1</v>
      </c>
      <c r="G2862" s="1">
        <v>0</v>
      </c>
      <c r="H2862" s="6">
        <f>INT(Query1[[#This Row],[EntryDateTime]])</f>
        <v>44648</v>
      </c>
      <c r="I2862" s="1">
        <f>IF(Query1[[#This Row],[ItemType]]="EVAP KIT SF GEN IV",Query1[[#This Row],[OrderQty]]+I2861,I2861)</f>
        <v>3424</v>
      </c>
      <c r="J2862" s="1">
        <f>IF(Query1[[#This Row],[ItemType]]="EVAP KIT UNIVERSAL",Query1[[#This Row],[OrderQty]]+J2861,J2861)</f>
        <v>1313</v>
      </c>
      <c r="K2862" s="1">
        <f>Query1[[#This Row],[SF Running Total]]+Query1[[#This Row],[UNIV Running Total]]</f>
        <v>4737</v>
      </c>
      <c r="L2862">
        <f>VLOOKUP(Query1[[#This Row],[Description]],'kits to boards'!$B$2:$E$156,2,FALSE)</f>
        <v>830099</v>
      </c>
      <c r="M2862">
        <f>VLOOKUP(Query1[[#This Row],[Description]],'kits to boards'!$B$2:$E$156,3,FALSE)</f>
        <v>0</v>
      </c>
      <c r="N2862">
        <f>VLOOKUP(Query1[[#This Row],[Description]],'kits to boards'!$B$2:$E$156,4,FALSE)</f>
        <v>0</v>
      </c>
      <c r="O2862" t="str">
        <f>CONCATENATE(Query1[[#This Row],[Description]]," - ",Query1[[#This Row],[MB1]]," - ",Query1[[#This Row],[MB2]]," - ",Query1[[#This Row],[MB3]])</f>
        <v>MINI GEN II W/DEF - 830099 - 0 - 0</v>
      </c>
    </row>
    <row r="2863" spans="1:15" x14ac:dyDescent="0.25">
      <c r="A2863" s="1">
        <v>916973</v>
      </c>
      <c r="B2863" s="1" t="s">
        <v>156</v>
      </c>
      <c r="C2863" s="1" t="s">
        <v>157</v>
      </c>
      <c r="D2863" s="2">
        <v>44648.4041</v>
      </c>
      <c r="E2863" s="1" t="s">
        <v>8</v>
      </c>
      <c r="F2863" s="1">
        <v>1</v>
      </c>
      <c r="G2863" s="1">
        <v>0</v>
      </c>
      <c r="H2863" s="6">
        <f>INT(Query1[[#This Row],[EntryDateTime]])</f>
        <v>44648</v>
      </c>
      <c r="I2863" s="1">
        <f>IF(Query1[[#This Row],[ItemType]]="EVAP KIT SF GEN IV",Query1[[#This Row],[OrderQty]]+I2862,I2862)</f>
        <v>3425</v>
      </c>
      <c r="J2863" s="1">
        <f>IF(Query1[[#This Row],[ItemType]]="EVAP KIT UNIVERSAL",Query1[[#This Row],[OrderQty]]+J2862,J2862)</f>
        <v>1313</v>
      </c>
      <c r="K2863" s="1">
        <f>Query1[[#This Row],[SF Running Total]]+Query1[[#This Row],[UNIV Running Total]]</f>
        <v>4738</v>
      </c>
      <c r="L2863">
        <f>VLOOKUP(Query1[[#This Row],[Description]],'kits to boards'!$B$2:$E$156,2,FALSE)</f>
        <v>830019</v>
      </c>
      <c r="M2863">
        <f>VLOOKUP(Query1[[#This Row],[Description]],'kits to boards'!$B$2:$E$156,3,FALSE)</f>
        <v>0</v>
      </c>
      <c r="N2863">
        <f>VLOOKUP(Query1[[#This Row],[Description]],'kits to boards'!$B$2:$E$156,4,FALSE)</f>
        <v>0</v>
      </c>
      <c r="O2863" t="str">
        <f>CONCATENATE(Query1[[#This Row],[Description]]," - ",Query1[[#This Row],[MB1]]," - ",Query1[[#This Row],[MB2]]," - ",Query1[[#This Row],[MB3]])</f>
        <v>EVAP KIT 70-81 FIREBIRD WO AC - 830019 - 0 - 0</v>
      </c>
    </row>
    <row r="2864" spans="1:15" x14ac:dyDescent="0.25">
      <c r="A2864" s="1">
        <v>916973</v>
      </c>
      <c r="B2864" s="1" t="s">
        <v>66</v>
      </c>
      <c r="C2864" s="1" t="s">
        <v>67</v>
      </c>
      <c r="D2864" s="2">
        <v>44648.4041</v>
      </c>
      <c r="E2864" s="1" t="s">
        <v>8</v>
      </c>
      <c r="F2864" s="1">
        <v>1</v>
      </c>
      <c r="G2864" s="1">
        <v>0</v>
      </c>
      <c r="H2864" s="6">
        <f>INT(Query1[[#This Row],[EntryDateTime]])</f>
        <v>44648</v>
      </c>
      <c r="I2864" s="1">
        <f>IF(Query1[[#This Row],[ItemType]]="EVAP KIT SF GEN IV",Query1[[#This Row],[OrderQty]]+I2863,I2863)</f>
        <v>3426</v>
      </c>
      <c r="J2864" s="1">
        <f>IF(Query1[[#This Row],[ItemType]]="EVAP KIT UNIVERSAL",Query1[[#This Row],[OrderQty]]+J2863,J2863)</f>
        <v>1313</v>
      </c>
      <c r="K2864" s="1">
        <f>Query1[[#This Row],[SF Running Total]]+Query1[[#This Row],[UNIV Running Total]]</f>
        <v>4739</v>
      </c>
      <c r="L2864">
        <f>VLOOKUP(Query1[[#This Row],[Description]],'kits to boards'!$B$2:$E$156,2,FALSE)</f>
        <v>830060</v>
      </c>
      <c r="M2864">
        <f>VLOOKUP(Query1[[#This Row],[Description]],'kits to boards'!$B$2:$E$156,3,FALSE)</f>
        <v>0</v>
      </c>
      <c r="N2864">
        <f>VLOOKUP(Query1[[#This Row],[Description]],'kits to boards'!$B$2:$E$156,4,FALSE)</f>
        <v>0</v>
      </c>
      <c r="O2864" t="str">
        <f>CONCATENATE(Query1[[#This Row],[Description]]," - ",Query1[[#This Row],[MB1]]," - ",Query1[[#This Row],[MB2]]," - ",Query1[[#This Row],[MB3]])</f>
        <v>EVAP KIT 66-67 CHEVELLE WO AC - 830060 - 0 - 0</v>
      </c>
    </row>
    <row r="2865" spans="1:15" x14ac:dyDescent="0.25">
      <c r="A2865" s="1">
        <v>916945</v>
      </c>
      <c r="B2865" s="1" t="s">
        <v>102</v>
      </c>
      <c r="C2865" s="1" t="s">
        <v>103</v>
      </c>
      <c r="D2865" s="2">
        <v>44648.43384085648</v>
      </c>
      <c r="E2865" s="1" t="s">
        <v>8</v>
      </c>
      <c r="F2865" s="1">
        <v>1</v>
      </c>
      <c r="G2865" s="1">
        <v>0</v>
      </c>
      <c r="H2865" s="6">
        <f>INT(Query1[[#This Row],[EntryDateTime]])</f>
        <v>44648</v>
      </c>
      <c r="I2865" s="1">
        <f>IF(Query1[[#This Row],[ItemType]]="EVAP KIT SF GEN IV",Query1[[#This Row],[OrderQty]]+I2864,I2864)</f>
        <v>3427</v>
      </c>
      <c r="J2865" s="1">
        <f>IF(Query1[[#This Row],[ItemType]]="EVAP KIT UNIVERSAL",Query1[[#This Row],[OrderQty]]+J2864,J2864)</f>
        <v>1313</v>
      </c>
      <c r="K2865" s="1">
        <f>Query1[[#This Row],[SF Running Total]]+Query1[[#This Row],[UNIV Running Total]]</f>
        <v>4740</v>
      </c>
      <c r="L2865">
        <f>VLOOKUP(Query1[[#This Row],[Description]],'kits to boards'!$B$2:$E$156,2,FALSE)</f>
        <v>830012</v>
      </c>
      <c r="M2865">
        <f>VLOOKUP(Query1[[#This Row],[Description]],'kits to boards'!$B$2:$E$156,3,FALSE)</f>
        <v>0</v>
      </c>
      <c r="N2865">
        <f>VLOOKUP(Query1[[#This Row],[Description]],'kits to boards'!$B$2:$E$156,4,FALSE)</f>
        <v>0</v>
      </c>
      <c r="O2865" t="str">
        <f>CONCATENATE(Query1[[#This Row],[Description]]," - ",Query1[[#This Row],[MB1]]," - ",Query1[[#This Row],[MB2]]," - ",Query1[[#This Row],[MB3]])</f>
        <v>EVAP KIT 69 CAMARO WO/AC - 830012 - 0 - 0</v>
      </c>
    </row>
    <row r="2866" spans="1:15" x14ac:dyDescent="0.25">
      <c r="A2866" s="1">
        <v>916995</v>
      </c>
      <c r="B2866" s="1" t="s">
        <v>58</v>
      </c>
      <c r="C2866" s="1" t="s">
        <v>59</v>
      </c>
      <c r="D2866" s="2">
        <v>44648.434896064813</v>
      </c>
      <c r="E2866" s="1" t="s">
        <v>11</v>
      </c>
      <c r="F2866" s="1">
        <v>2</v>
      </c>
      <c r="G2866" s="1">
        <v>0</v>
      </c>
      <c r="H2866" s="6">
        <f>INT(Query1[[#This Row],[EntryDateTime]])</f>
        <v>44648</v>
      </c>
      <c r="I2866" s="1">
        <f>IF(Query1[[#This Row],[ItemType]]="EVAP KIT SF GEN IV",Query1[[#This Row],[OrderQty]]+I2865,I2865)</f>
        <v>3427</v>
      </c>
      <c r="J2866" s="1">
        <f>IF(Query1[[#This Row],[ItemType]]="EVAP KIT UNIVERSAL",Query1[[#This Row],[OrderQty]]+J2865,J2865)</f>
        <v>1315</v>
      </c>
      <c r="K2866" s="1">
        <f>Query1[[#This Row],[SF Running Total]]+Query1[[#This Row],[UNIV Running Total]]</f>
        <v>4742</v>
      </c>
      <c r="L2866">
        <f>VLOOKUP(Query1[[#This Row],[Description]],'kits to boards'!$B$2:$E$156,2,FALSE)</f>
        <v>830088</v>
      </c>
      <c r="M2866">
        <f>VLOOKUP(Query1[[#This Row],[Description]],'kits to boards'!$B$2:$E$156,3,FALSE)</f>
        <v>830099</v>
      </c>
      <c r="N2866">
        <f>VLOOKUP(Query1[[#This Row],[Description]],'kits to boards'!$B$2:$E$156,4,FALSE)</f>
        <v>0</v>
      </c>
      <c r="O2866" t="str">
        <f>CONCATENATE(Query1[[#This Row],[Description]]," - ",Query1[[#This Row],[MB1]]," - ",Query1[[#This Row],[MB2]]," - ",Query1[[#This Row],[MB3]])</f>
        <v>MONSTER TRUNK UNIT COOL - 830088 - 830099 - 0</v>
      </c>
    </row>
    <row r="2867" spans="1:15" x14ac:dyDescent="0.25">
      <c r="A2867" s="1">
        <v>917001</v>
      </c>
      <c r="B2867" s="1" t="s">
        <v>48</v>
      </c>
      <c r="C2867" s="1" t="s">
        <v>49</v>
      </c>
      <c r="D2867" s="2">
        <v>44648.44324818287</v>
      </c>
      <c r="E2867" s="1" t="s">
        <v>8</v>
      </c>
      <c r="F2867" s="1">
        <v>1</v>
      </c>
      <c r="G2867" s="1">
        <v>0</v>
      </c>
      <c r="H2867" s="6">
        <f>INT(Query1[[#This Row],[EntryDateTime]])</f>
        <v>44648</v>
      </c>
      <c r="I2867" s="1">
        <f>IF(Query1[[#This Row],[ItemType]]="EVAP KIT SF GEN IV",Query1[[#This Row],[OrderQty]]+I2866,I2866)</f>
        <v>3428</v>
      </c>
      <c r="J2867" s="1">
        <f>IF(Query1[[#This Row],[ItemType]]="EVAP KIT UNIVERSAL",Query1[[#This Row],[OrderQty]]+J2866,J2866)</f>
        <v>1315</v>
      </c>
      <c r="K2867" s="1">
        <f>Query1[[#This Row],[SF Running Total]]+Query1[[#This Row],[UNIV Running Total]]</f>
        <v>4743</v>
      </c>
      <c r="L2867">
        <f>VLOOKUP(Query1[[#This Row],[Description]],'kits to boards'!$B$2:$E$156,2,FALSE)</f>
        <v>830015</v>
      </c>
      <c r="M2867">
        <f>VLOOKUP(Query1[[#This Row],[Description]],'kits to boards'!$B$2:$E$156,3,FALSE)</f>
        <v>0</v>
      </c>
      <c r="N2867">
        <f>VLOOKUP(Query1[[#This Row],[Description]],'kits to boards'!$B$2:$E$156,4,FALSE)</f>
        <v>0</v>
      </c>
      <c r="O2867" t="str">
        <f>CONCATENATE(Query1[[#This Row],[Description]]," - ",Query1[[#This Row],[MB1]]," - ",Query1[[#This Row],[MB2]]," - ",Query1[[#This Row],[MB3]])</f>
        <v>EVAP KIT 64-66 CHEV P-UP WO AC W/DELX - 830015 - 0 - 0</v>
      </c>
    </row>
    <row r="2868" spans="1:15" x14ac:dyDescent="0.25">
      <c r="A2868" s="1">
        <v>916999</v>
      </c>
      <c r="B2868" s="1" t="s">
        <v>22</v>
      </c>
      <c r="C2868" s="1" t="s">
        <v>23</v>
      </c>
      <c r="D2868" s="2">
        <v>44648.445707175924</v>
      </c>
      <c r="E2868" s="1" t="s">
        <v>8</v>
      </c>
      <c r="F2868" s="1">
        <v>1</v>
      </c>
      <c r="G2868" s="1">
        <v>0</v>
      </c>
      <c r="H2868" s="6">
        <f>INT(Query1[[#This Row],[EntryDateTime]])</f>
        <v>44648</v>
      </c>
      <c r="I2868" s="1">
        <f>IF(Query1[[#This Row],[ItemType]]="EVAP KIT SF GEN IV",Query1[[#This Row],[OrderQty]]+I2867,I2867)</f>
        <v>3429</v>
      </c>
      <c r="J2868" s="1">
        <f>IF(Query1[[#This Row],[ItemType]]="EVAP KIT UNIVERSAL",Query1[[#This Row],[OrderQty]]+J2867,J2867)</f>
        <v>1315</v>
      </c>
      <c r="K2868" s="1">
        <f>Query1[[#This Row],[SF Running Total]]+Query1[[#This Row],[UNIV Running Total]]</f>
        <v>4744</v>
      </c>
      <c r="L2868">
        <f>VLOOKUP(Query1[[#This Row],[Description]],'kits to boards'!$B$2:$E$156,2,FALSE)</f>
        <v>830083</v>
      </c>
      <c r="M2868">
        <f>VLOOKUP(Query1[[#This Row],[Description]],'kits to boards'!$B$2:$E$156,3,FALSE)</f>
        <v>0</v>
      </c>
      <c r="N2868">
        <f>VLOOKUP(Query1[[#This Row],[Description]],'kits to boards'!$B$2:$E$156,4,FALSE)</f>
        <v>0</v>
      </c>
      <c r="O2868" t="str">
        <f>CONCATENATE(Query1[[#This Row],[Description]]," - ",Query1[[#This Row],[MB1]]," - ",Query1[[#This Row],[MB2]]," - ",Query1[[#This Row],[MB3]])</f>
        <v>GEN IV MAGNUM EVAP KIT - 830083 - 0 - 0</v>
      </c>
    </row>
    <row r="2869" spans="1:15" x14ac:dyDescent="0.25">
      <c r="A2869" s="1">
        <v>917010</v>
      </c>
      <c r="B2869" s="1" t="s">
        <v>54</v>
      </c>
      <c r="C2869" s="1" t="s">
        <v>55</v>
      </c>
      <c r="D2869" s="2">
        <v>44648.474340891204</v>
      </c>
      <c r="E2869" s="1" t="s">
        <v>8</v>
      </c>
      <c r="F2869" s="1">
        <v>1</v>
      </c>
      <c r="G2869" s="1">
        <v>0</v>
      </c>
      <c r="H2869" s="6">
        <f>INT(Query1[[#This Row],[EntryDateTime]])</f>
        <v>44648</v>
      </c>
      <c r="I2869" s="1">
        <f>IF(Query1[[#This Row],[ItemType]]="EVAP KIT SF GEN IV",Query1[[#This Row],[OrderQty]]+I2868,I2868)</f>
        <v>3430</v>
      </c>
      <c r="J2869" s="1">
        <f>IF(Query1[[#This Row],[ItemType]]="EVAP KIT UNIVERSAL",Query1[[#This Row],[OrderQty]]+J2868,J2868)</f>
        <v>1315</v>
      </c>
      <c r="K2869" s="1">
        <f>Query1[[#This Row],[SF Running Total]]+Query1[[#This Row],[UNIV Running Total]]</f>
        <v>4745</v>
      </c>
      <c r="L2869">
        <f>VLOOKUP(Query1[[#This Row],[Description]],'kits to boards'!$B$2:$E$156,2,FALSE)</f>
        <v>830037</v>
      </c>
      <c r="M2869">
        <f>VLOOKUP(Query1[[#This Row],[Description]],'kits to boards'!$B$2:$E$156,3,FALSE)</f>
        <v>0</v>
      </c>
      <c r="N2869">
        <f>VLOOKUP(Query1[[#This Row],[Description]],'kits to boards'!$B$2:$E$156,4,FALSE)</f>
        <v>0</v>
      </c>
      <c r="O2869" t="str">
        <f>CONCATENATE(Query1[[#This Row],[Description]]," - ",Query1[[#This Row],[MB1]]," - ",Query1[[#This Row],[MB2]]," - ",Query1[[#This Row],[MB3]])</f>
        <v>EVAP KIT 70-81 FIREBIRD W/AC - 830037 - 0 - 0</v>
      </c>
    </row>
    <row r="2870" spans="1:15" x14ac:dyDescent="0.25">
      <c r="A2870" s="1">
        <v>917024</v>
      </c>
      <c r="B2870" s="1" t="s">
        <v>80</v>
      </c>
      <c r="C2870" s="1" t="s">
        <v>81</v>
      </c>
      <c r="D2870" s="2">
        <v>44648.514046909724</v>
      </c>
      <c r="E2870" s="1" t="s">
        <v>11</v>
      </c>
      <c r="F2870" s="1">
        <v>1</v>
      </c>
      <c r="G2870" s="1">
        <v>0</v>
      </c>
      <c r="H2870" s="6">
        <f>INT(Query1[[#This Row],[EntryDateTime]])</f>
        <v>44648</v>
      </c>
      <c r="I2870" s="1">
        <f>IF(Query1[[#This Row],[ItemType]]="EVAP KIT SF GEN IV",Query1[[#This Row],[OrderQty]]+I2869,I2869)</f>
        <v>3430</v>
      </c>
      <c r="J2870" s="1">
        <f>IF(Query1[[#This Row],[ItemType]]="EVAP KIT UNIVERSAL",Query1[[#This Row],[OrderQty]]+J2869,J2869)</f>
        <v>1316</v>
      </c>
      <c r="K2870" s="1">
        <f>Query1[[#This Row],[SF Running Total]]+Query1[[#This Row],[UNIV Running Total]]</f>
        <v>4746</v>
      </c>
      <c r="L2870">
        <f>VLOOKUP(Query1[[#This Row],[Description]],'kits to boards'!$B$2:$E$156,2,FALSE)</f>
        <v>0</v>
      </c>
      <c r="M2870">
        <f>VLOOKUP(Query1[[#This Row],[Description]],'kits to boards'!$B$2:$E$156,3,FALSE)</f>
        <v>0</v>
      </c>
      <c r="N2870">
        <f>VLOOKUP(Query1[[#This Row],[Description]],'kits to boards'!$B$2:$E$156,4,FALSE)</f>
        <v>0</v>
      </c>
      <c r="O2870" t="str">
        <f>CONCATENATE(Query1[[#This Row],[Description]]," - ",Query1[[#This Row],[MB1]]," - ",Query1[[#This Row],[MB2]]," - ",Query1[[#This Row],[MB3]])</f>
        <v>HERITAGE BRUSHED EVAP KIT COOL ONLY - 0 - 0 - 0</v>
      </c>
    </row>
    <row r="2871" spans="1:15" x14ac:dyDescent="0.25">
      <c r="A2871" s="1">
        <v>917039</v>
      </c>
      <c r="B2871" s="1" t="s">
        <v>136</v>
      </c>
      <c r="C2871" s="1" t="s">
        <v>137</v>
      </c>
      <c r="D2871" s="2">
        <v>44648.532186192133</v>
      </c>
      <c r="E2871" s="1" t="s">
        <v>11</v>
      </c>
      <c r="F2871" s="1">
        <v>5</v>
      </c>
      <c r="G2871" s="1">
        <v>0</v>
      </c>
      <c r="H2871" s="6">
        <f>INT(Query1[[#This Row],[EntryDateTime]])</f>
        <v>44648</v>
      </c>
      <c r="I2871" s="1">
        <f>IF(Query1[[#This Row],[ItemType]]="EVAP KIT SF GEN IV",Query1[[#This Row],[OrderQty]]+I2870,I2870)</f>
        <v>3430</v>
      </c>
      <c r="J2871" s="1">
        <f>IF(Query1[[#This Row],[ItemType]]="EVAP KIT UNIVERSAL",Query1[[#This Row],[OrderQty]]+J2870,J2870)</f>
        <v>1321</v>
      </c>
      <c r="K2871" s="1">
        <f>Query1[[#This Row],[SF Running Total]]+Query1[[#This Row],[UNIV Running Total]]</f>
        <v>4751</v>
      </c>
      <c r="L2871">
        <f>VLOOKUP(Query1[[#This Row],[Description]],'kits to boards'!$B$2:$E$156,2,FALSE)</f>
        <v>0</v>
      </c>
      <c r="M2871">
        <f>VLOOKUP(Query1[[#This Row],[Description]],'kits to boards'!$B$2:$E$156,3,FALSE)</f>
        <v>0</v>
      </c>
      <c r="N2871">
        <f>VLOOKUP(Query1[[#This Row],[Description]],'kits to boards'!$B$2:$E$156,4,FALSE)</f>
        <v>0</v>
      </c>
      <c r="O2871" t="str">
        <f>CONCATENATE(Query1[[#This Row],[Description]]," - ",Query1[[#This Row],[MB1]]," - ",Query1[[#This Row],[MB2]]," - ",Query1[[#This Row],[MB3]])</f>
        <v>HERITAGE TURNED EVAP KIT HEAT/COOL - 0 - 0 - 0</v>
      </c>
    </row>
    <row r="2872" spans="1:15" x14ac:dyDescent="0.25">
      <c r="A2872" s="1">
        <v>917039</v>
      </c>
      <c r="B2872" s="1" t="s">
        <v>40</v>
      </c>
      <c r="C2872" s="1" t="s">
        <v>41</v>
      </c>
      <c r="D2872" s="2">
        <v>44648.532708831015</v>
      </c>
      <c r="E2872" s="1" t="s">
        <v>8</v>
      </c>
      <c r="F2872" s="1">
        <v>5</v>
      </c>
      <c r="G2872" s="1">
        <v>0</v>
      </c>
      <c r="H2872" s="6">
        <f>INT(Query1[[#This Row],[EntryDateTime]])</f>
        <v>44648</v>
      </c>
      <c r="I2872" s="1">
        <f>IF(Query1[[#This Row],[ItemType]]="EVAP KIT SF GEN IV",Query1[[#This Row],[OrderQty]]+I2871,I2871)</f>
        <v>3435</v>
      </c>
      <c r="J2872" s="1">
        <f>IF(Query1[[#This Row],[ItemType]]="EVAP KIT UNIVERSAL",Query1[[#This Row],[OrderQty]]+J2871,J2871)</f>
        <v>1321</v>
      </c>
      <c r="K2872" s="1">
        <f>Query1[[#This Row],[SF Running Total]]+Query1[[#This Row],[UNIV Running Total]]</f>
        <v>4756</v>
      </c>
      <c r="L2872">
        <f>VLOOKUP(Query1[[#This Row],[Description]],'kits to boards'!$B$2:$E$156,2,FALSE)</f>
        <v>830024</v>
      </c>
      <c r="M2872">
        <f>VLOOKUP(Query1[[#This Row],[Description]],'kits to boards'!$B$2:$E$156,3,FALSE)</f>
        <v>0</v>
      </c>
      <c r="N2872">
        <f>VLOOKUP(Query1[[#This Row],[Description]],'kits to boards'!$B$2:$E$156,4,FALSE)</f>
        <v>0</v>
      </c>
      <c r="O2872" t="str">
        <f>CONCATENATE(Query1[[#This Row],[Description]]," - ",Query1[[#This Row],[MB1]]," - ",Query1[[#This Row],[MB2]]," - ",Query1[[#This Row],[MB3]])</f>
        <v>EVAP KIT 79-81 CAMARO W/AC - 830024 - 0 - 0</v>
      </c>
    </row>
    <row r="2873" spans="1:15" x14ac:dyDescent="0.25">
      <c r="A2873" s="1">
        <v>917042</v>
      </c>
      <c r="B2873" s="1" t="s">
        <v>120</v>
      </c>
      <c r="C2873" s="1" t="s">
        <v>121</v>
      </c>
      <c r="D2873" s="2">
        <v>44648.549008298614</v>
      </c>
      <c r="E2873" s="1" t="s">
        <v>8</v>
      </c>
      <c r="F2873" s="1">
        <v>1</v>
      </c>
      <c r="G2873" s="1">
        <v>0</v>
      </c>
      <c r="H2873" s="6">
        <f>INT(Query1[[#This Row],[EntryDateTime]])</f>
        <v>44648</v>
      </c>
      <c r="I2873" s="1">
        <f>IF(Query1[[#This Row],[ItemType]]="EVAP KIT SF GEN IV",Query1[[#This Row],[OrderQty]]+I2872,I2872)</f>
        <v>3436</v>
      </c>
      <c r="J2873" s="1">
        <f>IF(Query1[[#This Row],[ItemType]]="EVAP KIT UNIVERSAL",Query1[[#This Row],[OrderQty]]+J2872,J2872)</f>
        <v>1321</v>
      </c>
      <c r="K2873" s="1">
        <f>Query1[[#This Row],[SF Running Total]]+Query1[[#This Row],[UNIV Running Total]]</f>
        <v>4757</v>
      </c>
      <c r="L2873">
        <f>VLOOKUP(Query1[[#This Row],[Description]],'kits to boards'!$B$2:$E$156,2,FALSE)</f>
        <v>830014</v>
      </c>
      <c r="M2873">
        <f>VLOOKUP(Query1[[#This Row],[Description]],'kits to boards'!$B$2:$E$156,3,FALSE)</f>
        <v>0</v>
      </c>
      <c r="N2873">
        <f>VLOOKUP(Query1[[#This Row],[Description]],'kits to boards'!$B$2:$E$156,4,FALSE)</f>
        <v>0</v>
      </c>
      <c r="O2873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2874" spans="1:15" x14ac:dyDescent="0.25">
      <c r="A2874" s="1">
        <v>917043</v>
      </c>
      <c r="B2874" s="1" t="s">
        <v>84</v>
      </c>
      <c r="C2874" s="1" t="s">
        <v>85</v>
      </c>
      <c r="D2874" s="2">
        <v>44648.554990312499</v>
      </c>
      <c r="E2874" s="1" t="s">
        <v>8</v>
      </c>
      <c r="F2874" s="1">
        <v>1</v>
      </c>
      <c r="G2874" s="1">
        <v>0</v>
      </c>
      <c r="H2874" s="6">
        <f>INT(Query1[[#This Row],[EntryDateTime]])</f>
        <v>44648</v>
      </c>
      <c r="I2874" s="1">
        <f>IF(Query1[[#This Row],[ItemType]]="EVAP KIT SF GEN IV",Query1[[#This Row],[OrderQty]]+I2873,I2873)</f>
        <v>3437</v>
      </c>
      <c r="J2874" s="1">
        <f>IF(Query1[[#This Row],[ItemType]]="EVAP KIT UNIVERSAL",Query1[[#This Row],[OrderQty]]+J2873,J2873)</f>
        <v>1321</v>
      </c>
      <c r="K2874" s="1">
        <f>Query1[[#This Row],[SF Running Total]]+Query1[[#This Row],[UNIV Running Total]]</f>
        <v>4758</v>
      </c>
      <c r="L2874">
        <f>VLOOKUP(Query1[[#This Row],[Description]],'kits to boards'!$B$2:$E$156,2,FALSE)</f>
        <v>830085</v>
      </c>
      <c r="M2874">
        <f>VLOOKUP(Query1[[#This Row],[Description]],'kits to boards'!$B$2:$E$156,3,FALSE)</f>
        <v>0</v>
      </c>
      <c r="N2874">
        <f>VLOOKUP(Query1[[#This Row],[Description]],'kits to boards'!$B$2:$E$156,4,FALSE)</f>
        <v>0</v>
      </c>
      <c r="O2874" t="str">
        <f>CONCATENATE(Query1[[#This Row],[Description]]," - ",Query1[[#This Row],[MB1]]," - ",Query1[[#This Row],[MB2]]," - ",Query1[[#This Row],[MB3]])</f>
        <v>EVAP KIT 66-77 BRONCO 4-VENT PLENUM - 830085 - 0 - 0</v>
      </c>
    </row>
    <row r="2875" spans="1:15" x14ac:dyDescent="0.25">
      <c r="A2875" s="1">
        <v>917045</v>
      </c>
      <c r="B2875" s="1" t="s">
        <v>70</v>
      </c>
      <c r="C2875" s="1" t="s">
        <v>71</v>
      </c>
      <c r="D2875" s="2">
        <v>44648.558220520834</v>
      </c>
      <c r="E2875" s="1" t="s">
        <v>8</v>
      </c>
      <c r="F2875" s="1">
        <v>1</v>
      </c>
      <c r="G2875" s="1">
        <v>0</v>
      </c>
      <c r="H2875" s="6">
        <f>INT(Query1[[#This Row],[EntryDateTime]])</f>
        <v>44648</v>
      </c>
      <c r="I2875" s="1">
        <f>IF(Query1[[#This Row],[ItemType]]="EVAP KIT SF GEN IV",Query1[[#This Row],[OrderQty]]+I2874,I2874)</f>
        <v>3438</v>
      </c>
      <c r="J2875" s="1">
        <f>IF(Query1[[#This Row],[ItemType]]="EVAP KIT UNIVERSAL",Query1[[#This Row],[OrderQty]]+J2874,J2874)</f>
        <v>1321</v>
      </c>
      <c r="K2875" s="1">
        <f>Query1[[#This Row],[SF Running Total]]+Query1[[#This Row],[UNIV Running Total]]</f>
        <v>4759</v>
      </c>
      <c r="L2875">
        <f>VLOOKUP(Query1[[#This Row],[Description]],'kits to boards'!$B$2:$E$156,2,FALSE)</f>
        <v>830050</v>
      </c>
      <c r="M2875">
        <f>VLOOKUP(Query1[[#This Row],[Description]],'kits to boards'!$B$2:$E$156,3,FALSE)</f>
        <v>0</v>
      </c>
      <c r="N2875">
        <f>VLOOKUP(Query1[[#This Row],[Description]],'kits to boards'!$B$2:$E$156,4,FALSE)</f>
        <v>0</v>
      </c>
      <c r="O2875" t="str">
        <f>CONCATENATE(Query1[[#This Row],[Description]]," - ",Query1[[#This Row],[MB1]]," - ",Query1[[#This Row],[MB2]]," - ",Query1[[#This Row],[MB3]])</f>
        <v>EVAP KIT 70-78 CAMARO WO AC - 830050 - 0 - 0</v>
      </c>
    </row>
    <row r="2876" spans="1:15" x14ac:dyDescent="0.25">
      <c r="A2876" s="1">
        <v>913987</v>
      </c>
      <c r="B2876" s="1" t="s">
        <v>216</v>
      </c>
      <c r="C2876" s="1" t="s">
        <v>217</v>
      </c>
      <c r="D2876" s="2">
        <v>44648.568669756947</v>
      </c>
      <c r="E2876" s="1" t="s">
        <v>8</v>
      </c>
      <c r="F2876" s="1">
        <v>1</v>
      </c>
      <c r="G2876" s="1">
        <v>0</v>
      </c>
      <c r="H2876" s="6">
        <f>INT(Query1[[#This Row],[EntryDateTime]])</f>
        <v>44648</v>
      </c>
      <c r="I2876" s="1">
        <f>IF(Query1[[#This Row],[ItemType]]="EVAP KIT SF GEN IV",Query1[[#This Row],[OrderQty]]+I2875,I2875)</f>
        <v>3439</v>
      </c>
      <c r="J2876" s="1">
        <f>IF(Query1[[#This Row],[ItemType]]="EVAP KIT UNIVERSAL",Query1[[#This Row],[OrderQty]]+J2875,J2875)</f>
        <v>1321</v>
      </c>
      <c r="K2876" s="1">
        <f>Query1[[#This Row],[SF Running Total]]+Query1[[#This Row],[UNIV Running Total]]</f>
        <v>4760</v>
      </c>
      <c r="L2876">
        <f>VLOOKUP(Query1[[#This Row],[Description]],'kits to boards'!$B$2:$E$156,2,FALSE)</f>
        <v>830072</v>
      </c>
      <c r="M2876">
        <f>VLOOKUP(Query1[[#This Row],[Description]],'kits to boards'!$B$2:$E$156,3,FALSE)</f>
        <v>830075</v>
      </c>
      <c r="N2876">
        <f>VLOOKUP(Query1[[#This Row],[Description]],'kits to boards'!$B$2:$E$156,4,FALSE)</f>
        <v>0</v>
      </c>
      <c r="O2876" t="str">
        <f>CONCATENATE(Query1[[#This Row],[Description]]," - ",Query1[[#This Row],[MB1]]," - ",Query1[[#This Row],[MB2]]," - ",Query1[[#This Row],[MB3]])</f>
        <v>EVAP KIT 69-70 MOPAR B BODY W/AC - 830072 - 830075 - 0</v>
      </c>
    </row>
    <row r="2877" spans="1:15" x14ac:dyDescent="0.25">
      <c r="A2877" s="1">
        <v>916310</v>
      </c>
      <c r="B2877" s="1" t="s">
        <v>220</v>
      </c>
      <c r="C2877" s="1" t="s">
        <v>221</v>
      </c>
      <c r="D2877" s="2">
        <v>44648.571399884262</v>
      </c>
      <c r="E2877" s="1" t="s">
        <v>11</v>
      </c>
      <c r="F2877" s="1">
        <v>1</v>
      </c>
      <c r="G2877" s="1">
        <v>0</v>
      </c>
      <c r="H2877" s="6">
        <f>INT(Query1[[#This Row],[EntryDateTime]])</f>
        <v>44648</v>
      </c>
      <c r="I2877" s="1">
        <f>IF(Query1[[#This Row],[ItemType]]="EVAP KIT SF GEN IV",Query1[[#This Row],[OrderQty]]+I2876,I2876)</f>
        <v>3439</v>
      </c>
      <c r="J2877" s="1">
        <f>IF(Query1[[#This Row],[ItemType]]="EVAP KIT UNIVERSAL",Query1[[#This Row],[OrderQty]]+J2876,J2876)</f>
        <v>1322</v>
      </c>
      <c r="K2877" s="1">
        <f>Query1[[#This Row],[SF Running Total]]+Query1[[#This Row],[UNIV Running Total]]</f>
        <v>4761</v>
      </c>
      <c r="L2877">
        <f>VLOOKUP(Query1[[#This Row],[Description]],'kits to boards'!$B$2:$E$156,2,FALSE)</f>
        <v>0</v>
      </c>
      <c r="M2877">
        <f>VLOOKUP(Query1[[#This Row],[Description]],'kits to boards'!$B$2:$E$156,3,FALSE)</f>
        <v>0</v>
      </c>
      <c r="N2877">
        <f>VLOOKUP(Query1[[#This Row],[Description]],'kits to boards'!$B$2:$E$156,4,FALSE)</f>
        <v>0</v>
      </c>
      <c r="O2877" t="str">
        <f>CONCATENATE(Query1[[#This Row],[Description]]," - ",Query1[[#This Row],[MB1]]," - ",Query1[[#This Row],[MB2]]," - ",Query1[[#This Row],[MB3]])</f>
        <v>HERITAGE PEARL EVAP KIT HEAT/COOL - 0 - 0 - 0</v>
      </c>
    </row>
    <row r="2878" spans="1:15" x14ac:dyDescent="0.25">
      <c r="A2878" s="1">
        <v>916318</v>
      </c>
      <c r="B2878" s="1" t="s">
        <v>24</v>
      </c>
      <c r="C2878" s="1" t="s">
        <v>25</v>
      </c>
      <c r="D2878" s="2">
        <v>44648.572772604166</v>
      </c>
      <c r="E2878" s="1" t="s">
        <v>11</v>
      </c>
      <c r="F2878" s="1">
        <v>1</v>
      </c>
      <c r="G2878" s="1">
        <v>0</v>
      </c>
      <c r="H2878" s="6">
        <f>INT(Query1[[#This Row],[EntryDateTime]])</f>
        <v>44648</v>
      </c>
      <c r="I2878" s="1">
        <f>IF(Query1[[#This Row],[ItemType]]="EVAP KIT SF GEN IV",Query1[[#This Row],[OrderQty]]+I2877,I2877)</f>
        <v>3439</v>
      </c>
      <c r="J2878" s="1">
        <f>IF(Query1[[#This Row],[ItemType]]="EVAP KIT UNIVERSAL",Query1[[#This Row],[OrderQty]]+J2877,J2877)</f>
        <v>1323</v>
      </c>
      <c r="K2878" s="1">
        <f>Query1[[#This Row],[SF Running Total]]+Query1[[#This Row],[UNIV Running Total]]</f>
        <v>4762</v>
      </c>
      <c r="L2878">
        <f>VLOOKUP(Query1[[#This Row],[Description]],'kits to boards'!$B$2:$E$156,2,FALSE)</f>
        <v>830029</v>
      </c>
      <c r="M2878">
        <f>VLOOKUP(Query1[[#This Row],[Description]],'kits to boards'!$B$2:$E$156,3,FALSE)</f>
        <v>830030</v>
      </c>
      <c r="N2878">
        <f>VLOOKUP(Query1[[#This Row],[Description]],'kits to boards'!$B$2:$E$156,4,FALSE)</f>
        <v>0</v>
      </c>
      <c r="O2878" t="str">
        <f>CONCATENATE(Query1[[#This Row],[Description]]," - ",Query1[[#This Row],[MB1]]," - ",Query1[[#This Row],[MB2]]," - ",Query1[[#This Row],[MB3]])</f>
        <v>ComPac GEN II W/DEF - 830029 - 830030 - 0</v>
      </c>
    </row>
    <row r="2879" spans="1:15" x14ac:dyDescent="0.25">
      <c r="A2879" s="1">
        <v>917056</v>
      </c>
      <c r="B2879" s="1" t="s">
        <v>186</v>
      </c>
      <c r="C2879" s="1" t="s">
        <v>187</v>
      </c>
      <c r="D2879" s="2">
        <v>44648.587000381944</v>
      </c>
      <c r="E2879" s="1" t="s">
        <v>8</v>
      </c>
      <c r="F2879" s="1">
        <v>1</v>
      </c>
      <c r="G2879" s="1">
        <v>0</v>
      </c>
      <c r="H2879" s="6">
        <f>INT(Query1[[#This Row],[EntryDateTime]])</f>
        <v>44648</v>
      </c>
      <c r="I2879" s="1">
        <f>IF(Query1[[#This Row],[ItemType]]="EVAP KIT SF GEN IV",Query1[[#This Row],[OrderQty]]+I2878,I2878)</f>
        <v>3440</v>
      </c>
      <c r="J2879" s="1">
        <f>IF(Query1[[#This Row],[ItemType]]="EVAP KIT UNIVERSAL",Query1[[#This Row],[OrderQty]]+J2878,J2878)</f>
        <v>1323</v>
      </c>
      <c r="K2879" s="1">
        <f>Query1[[#This Row],[SF Running Total]]+Query1[[#This Row],[UNIV Running Total]]</f>
        <v>4763</v>
      </c>
      <c r="L2879">
        <f>VLOOKUP(Query1[[#This Row],[Description]],'kits to boards'!$B$2:$E$156,2,FALSE)</f>
        <v>830125</v>
      </c>
      <c r="M2879">
        <f>VLOOKUP(Query1[[#This Row],[Description]],'kits to boards'!$B$2:$E$156,3,FALSE)</f>
        <v>830126</v>
      </c>
      <c r="N2879">
        <f>VLOOKUP(Query1[[#This Row],[Description]],'kits to boards'!$B$2:$E$156,4,FALSE)</f>
        <v>0</v>
      </c>
      <c r="O2879" t="str">
        <f>CONCATENATE(Query1[[#This Row],[Description]]," - ",Query1[[#This Row],[MB1]]," - ",Query1[[#This Row],[MB2]]," - ",Query1[[#This Row],[MB3]])</f>
        <v>EVAP KIT 65-66 IMPALA WO/AC - 830125 - 830126 - 0</v>
      </c>
    </row>
    <row r="2880" spans="1:15" x14ac:dyDescent="0.25">
      <c r="A2880" s="1">
        <v>917056</v>
      </c>
      <c r="B2880" s="1" t="s">
        <v>52</v>
      </c>
      <c r="C2880" s="1" t="s">
        <v>53</v>
      </c>
      <c r="D2880" s="2">
        <v>44648.587102048608</v>
      </c>
      <c r="E2880" s="1" t="s">
        <v>8</v>
      </c>
      <c r="F2880" s="1">
        <v>1</v>
      </c>
      <c r="G2880" s="1">
        <v>0</v>
      </c>
      <c r="H2880" s="6">
        <f>INT(Query1[[#This Row],[EntryDateTime]])</f>
        <v>44648</v>
      </c>
      <c r="I2880" s="1">
        <f>IF(Query1[[#This Row],[ItemType]]="EVAP KIT SF GEN IV",Query1[[#This Row],[OrderQty]]+I2879,I2879)</f>
        <v>3441</v>
      </c>
      <c r="J2880" s="1">
        <f>IF(Query1[[#This Row],[ItemType]]="EVAP KIT UNIVERSAL",Query1[[#This Row],[OrderQty]]+J2879,J2879)</f>
        <v>1323</v>
      </c>
      <c r="K2880" s="1">
        <f>Query1[[#This Row],[SF Running Total]]+Query1[[#This Row],[UNIV Running Total]]</f>
        <v>4764</v>
      </c>
      <c r="L2880">
        <f>VLOOKUP(Query1[[#This Row],[Description]],'kits to boards'!$B$2:$E$156,2,FALSE)</f>
        <v>830017</v>
      </c>
      <c r="M2880">
        <f>VLOOKUP(Query1[[#This Row],[Description]],'kits to boards'!$B$2:$E$156,3,FALSE)</f>
        <v>830119</v>
      </c>
      <c r="N2880">
        <f>VLOOKUP(Query1[[#This Row],[Description]],'kits to boards'!$B$2:$E$156,4,FALSE)</f>
        <v>830120</v>
      </c>
      <c r="O2880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2881" spans="1:15" x14ac:dyDescent="0.25">
      <c r="A2881" s="1">
        <v>917056</v>
      </c>
      <c r="B2881" s="1" t="s">
        <v>42</v>
      </c>
      <c r="C2881" s="1" t="s">
        <v>43</v>
      </c>
      <c r="D2881" s="2">
        <v>44648.587484108793</v>
      </c>
      <c r="E2881" s="1" t="s">
        <v>8</v>
      </c>
      <c r="F2881" s="1">
        <v>1</v>
      </c>
      <c r="G2881" s="1">
        <v>0</v>
      </c>
      <c r="H2881" s="6">
        <f>INT(Query1[[#This Row],[EntryDateTime]])</f>
        <v>44648</v>
      </c>
      <c r="I2881" s="1">
        <f>IF(Query1[[#This Row],[ItemType]]="EVAP KIT SF GEN IV",Query1[[#This Row],[OrderQty]]+I2880,I2880)</f>
        <v>3442</v>
      </c>
      <c r="J2881" s="1">
        <f>IF(Query1[[#This Row],[ItemType]]="EVAP KIT UNIVERSAL",Query1[[#This Row],[OrderQty]]+J2880,J2880)</f>
        <v>1323</v>
      </c>
      <c r="K2881" s="1">
        <f>Query1[[#This Row],[SF Running Total]]+Query1[[#This Row],[UNIV Running Total]]</f>
        <v>4765</v>
      </c>
      <c r="L2881">
        <f>VLOOKUP(Query1[[#This Row],[Description]],'kits to boards'!$B$2:$E$156,2,FALSE)</f>
        <v>830014</v>
      </c>
      <c r="M2881">
        <f>VLOOKUP(Query1[[#This Row],[Description]],'kits to boards'!$B$2:$E$156,3,FALSE)</f>
        <v>0</v>
      </c>
      <c r="N2881">
        <f>VLOOKUP(Query1[[#This Row],[Description]],'kits to boards'!$B$2:$E$156,4,FALSE)</f>
        <v>0</v>
      </c>
      <c r="O2881" t="str">
        <f>CONCATENATE(Query1[[#This Row],[Description]]," - ",Query1[[#This Row],[MB1]]," - ",Query1[[#This Row],[MB2]]," - ",Query1[[#This Row],[MB3]])</f>
        <v>EVAP KIT 67-72 CHEV P-UP WO AC - 830014 - 0 - 0</v>
      </c>
    </row>
    <row r="2882" spans="1:15" x14ac:dyDescent="0.25">
      <c r="A2882" s="1">
        <v>917056</v>
      </c>
      <c r="B2882" s="1" t="s">
        <v>62</v>
      </c>
      <c r="C2882" s="1" t="s">
        <v>63</v>
      </c>
      <c r="D2882" s="2">
        <v>44648.587899618055</v>
      </c>
      <c r="E2882" s="1" t="s">
        <v>8</v>
      </c>
      <c r="F2882" s="1">
        <v>1</v>
      </c>
      <c r="G2882" s="1">
        <v>0</v>
      </c>
      <c r="H2882" s="6">
        <f>INT(Query1[[#This Row],[EntryDateTime]])</f>
        <v>44648</v>
      </c>
      <c r="I2882" s="1">
        <f>IF(Query1[[#This Row],[ItemType]]="EVAP KIT SF GEN IV",Query1[[#This Row],[OrderQty]]+I2881,I2881)</f>
        <v>3443</v>
      </c>
      <c r="J2882" s="1">
        <f>IF(Query1[[#This Row],[ItemType]]="EVAP KIT UNIVERSAL",Query1[[#This Row],[OrderQty]]+J2881,J2881)</f>
        <v>1323</v>
      </c>
      <c r="K2882" s="1">
        <f>Query1[[#This Row],[SF Running Total]]+Query1[[#This Row],[UNIV Running Total]]</f>
        <v>4766</v>
      </c>
      <c r="L2882">
        <f>VLOOKUP(Query1[[#This Row],[Description]],'kits to boards'!$B$2:$E$156,2,FALSE)</f>
        <v>830079</v>
      </c>
      <c r="M2882">
        <f>VLOOKUP(Query1[[#This Row],[Description]],'kits to boards'!$B$2:$E$156,3,FALSE)</f>
        <v>830046</v>
      </c>
      <c r="N2882">
        <f>VLOOKUP(Query1[[#This Row],[Description]],'kits to boards'!$B$2:$E$156,4,FALSE)</f>
        <v>0</v>
      </c>
      <c r="O2882" t="str">
        <f>CONCATENATE(Query1[[#This Row],[Description]]," - ",Query1[[#This Row],[MB1]]," - ",Query1[[#This Row],[MB2]]," - ",Query1[[#This Row],[MB3]])</f>
        <v>EVAP KIT 67-68 MUSTANG/COUGAR WO AC - 830079 - 830046 - 0</v>
      </c>
    </row>
    <row r="2883" spans="1:15" x14ac:dyDescent="0.25">
      <c r="A2883" s="1">
        <v>917056</v>
      </c>
      <c r="B2883" s="1" t="s">
        <v>44</v>
      </c>
      <c r="C2883" s="1" t="s">
        <v>45</v>
      </c>
      <c r="D2883" s="2">
        <v>44648.588343206022</v>
      </c>
      <c r="E2883" s="1" t="s">
        <v>8</v>
      </c>
      <c r="F2883" s="1">
        <v>1</v>
      </c>
      <c r="G2883" s="1">
        <v>0</v>
      </c>
      <c r="H2883" s="6">
        <f>INT(Query1[[#This Row],[EntryDateTime]])</f>
        <v>44648</v>
      </c>
      <c r="I2883" s="1">
        <f>IF(Query1[[#This Row],[ItemType]]="EVAP KIT SF GEN IV",Query1[[#This Row],[OrderQty]]+I2882,I2882)</f>
        <v>3444</v>
      </c>
      <c r="J2883" s="1">
        <f>IF(Query1[[#This Row],[ItemType]]="EVAP KIT UNIVERSAL",Query1[[#This Row],[OrderQty]]+J2882,J2882)</f>
        <v>1323</v>
      </c>
      <c r="K2883" s="1">
        <f>Query1[[#This Row],[SF Running Total]]+Query1[[#This Row],[UNIV Running Total]]</f>
        <v>4767</v>
      </c>
      <c r="L2883">
        <f>VLOOKUP(Query1[[#This Row],[Description]],'kits to boards'!$B$2:$E$156,2,FALSE)</f>
        <v>830085</v>
      </c>
      <c r="M2883">
        <f>VLOOKUP(Query1[[#This Row],[Description]],'kits to boards'!$B$2:$E$156,3,FALSE)</f>
        <v>0</v>
      </c>
      <c r="N2883">
        <f>VLOOKUP(Query1[[#This Row],[Description]],'kits to boards'!$B$2:$E$156,4,FALSE)</f>
        <v>0</v>
      </c>
      <c r="O2883" t="str">
        <f>CONCATENATE(Query1[[#This Row],[Description]]," - ",Query1[[#This Row],[MB1]]," - ",Query1[[#This Row],[MB2]]," - ",Query1[[#This Row],[MB3]])</f>
        <v>EVAP KIT 66-77 BRONCO - 830085 - 0 - 0</v>
      </c>
    </row>
    <row r="2884" spans="1:15" x14ac:dyDescent="0.25">
      <c r="A2884" s="1">
        <v>917056</v>
      </c>
      <c r="B2884" s="1" t="s">
        <v>52</v>
      </c>
      <c r="C2884" s="1" t="s">
        <v>53</v>
      </c>
      <c r="D2884" s="2">
        <v>44648.58845628472</v>
      </c>
      <c r="E2884" s="1" t="s">
        <v>8</v>
      </c>
      <c r="F2884" s="1">
        <v>1</v>
      </c>
      <c r="G2884" s="1">
        <v>0</v>
      </c>
      <c r="H2884" s="6">
        <f>INT(Query1[[#This Row],[EntryDateTime]])</f>
        <v>44648</v>
      </c>
      <c r="I2884" s="1">
        <f>IF(Query1[[#This Row],[ItemType]]="EVAP KIT SF GEN IV",Query1[[#This Row],[OrderQty]]+I2883,I2883)</f>
        <v>3445</v>
      </c>
      <c r="J2884" s="1">
        <f>IF(Query1[[#This Row],[ItemType]]="EVAP KIT UNIVERSAL",Query1[[#This Row],[OrderQty]]+J2883,J2883)</f>
        <v>1323</v>
      </c>
      <c r="K2884" s="1">
        <f>Query1[[#This Row],[SF Running Total]]+Query1[[#This Row],[UNIV Running Total]]</f>
        <v>4768</v>
      </c>
      <c r="L2884">
        <f>VLOOKUP(Query1[[#This Row],[Description]],'kits to boards'!$B$2:$E$156,2,FALSE)</f>
        <v>830017</v>
      </c>
      <c r="M2884">
        <f>VLOOKUP(Query1[[#This Row],[Description]],'kits to boards'!$B$2:$E$156,3,FALSE)</f>
        <v>830119</v>
      </c>
      <c r="N2884">
        <f>VLOOKUP(Query1[[#This Row],[Description]],'kits to boards'!$B$2:$E$156,4,FALSE)</f>
        <v>830120</v>
      </c>
      <c r="O2884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2885" spans="1:15" x14ac:dyDescent="0.25">
      <c r="A2885" s="1">
        <v>917056</v>
      </c>
      <c r="B2885" s="1" t="s">
        <v>20</v>
      </c>
      <c r="C2885" s="1" t="s">
        <v>21</v>
      </c>
      <c r="D2885" s="2">
        <v>44648.591639004633</v>
      </c>
      <c r="E2885" s="1" t="s">
        <v>11</v>
      </c>
      <c r="F2885" s="1">
        <v>1</v>
      </c>
      <c r="G2885" s="1">
        <v>0</v>
      </c>
      <c r="H2885" s="6">
        <f>INT(Query1[[#This Row],[EntryDateTime]])</f>
        <v>44648</v>
      </c>
      <c r="I2885" s="1">
        <f>IF(Query1[[#This Row],[ItemType]]="EVAP KIT SF GEN IV",Query1[[#This Row],[OrderQty]]+I2884,I2884)</f>
        <v>3445</v>
      </c>
      <c r="J2885" s="1">
        <f>IF(Query1[[#This Row],[ItemType]]="EVAP KIT UNIVERSAL",Query1[[#This Row],[OrderQty]]+J2884,J2884)</f>
        <v>1324</v>
      </c>
      <c r="K2885" s="1">
        <f>Query1[[#This Row],[SF Running Total]]+Query1[[#This Row],[UNIV Running Total]]</f>
        <v>4769</v>
      </c>
      <c r="L2885">
        <f>VLOOKUP(Query1[[#This Row],[Description]],'kits to boards'!$B$2:$E$156,2,FALSE)</f>
        <v>830102</v>
      </c>
      <c r="M2885">
        <f>VLOOKUP(Query1[[#This Row],[Description]],'kits to boards'!$B$2:$E$156,3,FALSE)</f>
        <v>0</v>
      </c>
      <c r="N2885">
        <f>VLOOKUP(Query1[[#This Row],[Description]],'kits to boards'!$B$2:$E$156,4,FALSE)</f>
        <v>0</v>
      </c>
      <c r="O2885" t="str">
        <f>CONCATENATE(Query1[[#This Row],[Description]]," - ",Query1[[#This Row],[MB1]]," - ",Query1[[#This Row],[MB2]]," - ",Query1[[#This Row],[MB3]])</f>
        <v>SUPER GEN II W/DEF - 830102 - 0 - 0</v>
      </c>
    </row>
    <row r="2886" spans="1:15" x14ac:dyDescent="0.25">
      <c r="A2886" s="1">
        <v>917056</v>
      </c>
      <c r="B2886" s="1" t="s">
        <v>98</v>
      </c>
      <c r="C2886" s="1" t="s">
        <v>99</v>
      </c>
      <c r="D2886" s="2">
        <v>44648.591772766202</v>
      </c>
      <c r="E2886" s="1" t="s">
        <v>11</v>
      </c>
      <c r="F2886" s="1">
        <v>1</v>
      </c>
      <c r="G2886" s="1">
        <v>0</v>
      </c>
      <c r="H2886" s="6">
        <f>INT(Query1[[#This Row],[EntryDateTime]])</f>
        <v>44648</v>
      </c>
      <c r="I2886" s="1">
        <f>IF(Query1[[#This Row],[ItemType]]="EVAP KIT SF GEN IV",Query1[[#This Row],[OrderQty]]+I2885,I2885)</f>
        <v>3445</v>
      </c>
      <c r="J2886" s="1">
        <f>IF(Query1[[#This Row],[ItemType]]="EVAP KIT UNIVERSAL",Query1[[#This Row],[OrderQty]]+J2885,J2885)</f>
        <v>1325</v>
      </c>
      <c r="K2886" s="1">
        <f>Query1[[#This Row],[SF Running Total]]+Query1[[#This Row],[UNIV Running Total]]</f>
        <v>4770</v>
      </c>
      <c r="L2886">
        <f>VLOOKUP(Query1[[#This Row],[Description]],'kits to boards'!$B$2:$E$156,2,FALSE)</f>
        <v>830099</v>
      </c>
      <c r="M2886">
        <f>VLOOKUP(Query1[[#This Row],[Description]],'kits to boards'!$B$2:$E$156,3,FALSE)</f>
        <v>0</v>
      </c>
      <c r="N2886">
        <f>VLOOKUP(Query1[[#This Row],[Description]],'kits to boards'!$B$2:$E$156,4,FALSE)</f>
        <v>0</v>
      </c>
      <c r="O2886" t="str">
        <f>CONCATENATE(Query1[[#This Row],[Description]]," - ",Query1[[#This Row],[MB1]]," - ",Query1[[#This Row],[MB2]]," - ",Query1[[#This Row],[MB3]])</f>
        <v>MINI GEN II W/DEF - 830099 - 0 - 0</v>
      </c>
    </row>
    <row r="2887" spans="1:15" x14ac:dyDescent="0.25">
      <c r="A2887" s="1">
        <v>917061</v>
      </c>
      <c r="B2887" s="1" t="s">
        <v>26</v>
      </c>
      <c r="C2887" s="1" t="s">
        <v>27</v>
      </c>
      <c r="D2887" s="2">
        <v>44648.594739502318</v>
      </c>
      <c r="E2887" s="1" t="s">
        <v>8</v>
      </c>
      <c r="F2887" s="1">
        <v>1</v>
      </c>
      <c r="G2887" s="1">
        <v>0</v>
      </c>
      <c r="H2887" s="6">
        <f>INT(Query1[[#This Row],[EntryDateTime]])</f>
        <v>44648</v>
      </c>
      <c r="I2887" s="1">
        <f>IF(Query1[[#This Row],[ItemType]]="EVAP KIT SF GEN IV",Query1[[#This Row],[OrderQty]]+I2886,I2886)</f>
        <v>3446</v>
      </c>
      <c r="J2887" s="1">
        <f>IF(Query1[[#This Row],[ItemType]]="EVAP KIT UNIVERSAL",Query1[[#This Row],[OrderQty]]+J2886,J2886)</f>
        <v>1325</v>
      </c>
      <c r="K2887" s="1">
        <f>Query1[[#This Row],[SF Running Total]]+Query1[[#This Row],[UNIV Running Total]]</f>
        <v>4771</v>
      </c>
      <c r="L2887">
        <f>VLOOKUP(Query1[[#This Row],[Description]],'kits to boards'!$B$2:$E$156,2,FALSE)</f>
        <v>830013</v>
      </c>
      <c r="M2887">
        <f>VLOOKUP(Query1[[#This Row],[Description]],'kits to boards'!$B$2:$E$156,3,FALSE)</f>
        <v>0</v>
      </c>
      <c r="N2887">
        <f>VLOOKUP(Query1[[#This Row],[Description]],'kits to boards'!$B$2:$E$156,4,FALSE)</f>
        <v>0</v>
      </c>
      <c r="O2887" t="str">
        <f>CONCATENATE(Query1[[#This Row],[Description]]," - ",Query1[[#This Row],[MB1]]," - ",Query1[[#This Row],[MB2]]," - ",Query1[[#This Row],[MB3]])</f>
        <v>EVAP KIT 67-72 CHEV P-UP W/AC - 830013 - 0 - 0</v>
      </c>
    </row>
    <row r="2888" spans="1:15" x14ac:dyDescent="0.25">
      <c r="A2888" s="1">
        <v>917051</v>
      </c>
      <c r="B2888" s="1" t="s">
        <v>214</v>
      </c>
      <c r="C2888" s="1" t="s">
        <v>215</v>
      </c>
      <c r="D2888" s="2">
        <v>44648.596332754627</v>
      </c>
      <c r="E2888" s="1" t="s">
        <v>8</v>
      </c>
      <c r="F2888" s="1">
        <v>1</v>
      </c>
      <c r="G2888" s="1">
        <v>0</v>
      </c>
      <c r="H2888" s="6">
        <f>INT(Query1[[#This Row],[EntryDateTime]])</f>
        <v>44648</v>
      </c>
      <c r="I2888" s="1">
        <f>IF(Query1[[#This Row],[ItemType]]="EVAP KIT SF GEN IV",Query1[[#This Row],[OrderQty]]+I2887,I2887)</f>
        <v>3447</v>
      </c>
      <c r="J2888" s="1">
        <f>IF(Query1[[#This Row],[ItemType]]="EVAP KIT UNIVERSAL",Query1[[#This Row],[OrderQty]]+J2887,J2887)</f>
        <v>1325</v>
      </c>
      <c r="K2888" s="1">
        <f>Query1[[#This Row],[SF Running Total]]+Query1[[#This Row],[UNIV Running Total]]</f>
        <v>4772</v>
      </c>
      <c r="L2888">
        <f>VLOOKUP(Query1[[#This Row],[Description]],'kits to boards'!$B$2:$E$156,2,FALSE)</f>
        <v>830072</v>
      </c>
      <c r="M2888">
        <f>VLOOKUP(Query1[[#This Row],[Description]],'kits to boards'!$B$2:$E$156,3,FALSE)</f>
        <v>0</v>
      </c>
      <c r="N2888">
        <f>VLOOKUP(Query1[[#This Row],[Description]],'kits to boards'!$B$2:$E$156,4,FALSE)</f>
        <v>0</v>
      </c>
      <c r="O2888" t="str">
        <f>CONCATENATE(Query1[[#This Row],[Description]]," - ",Query1[[#This Row],[MB1]]," - ",Query1[[#This Row],[MB2]]," - ",Query1[[#This Row],[MB3]])</f>
        <v>EVAP KIT 68 MOPAR B BODY WO AC - 830072 - 0 - 0</v>
      </c>
    </row>
    <row r="2889" spans="1:15" x14ac:dyDescent="0.25">
      <c r="A2889" s="1">
        <v>917065</v>
      </c>
      <c r="B2889" s="1" t="s">
        <v>62</v>
      </c>
      <c r="C2889" s="1" t="s">
        <v>63</v>
      </c>
      <c r="D2889" s="2">
        <v>44648.603022766205</v>
      </c>
      <c r="E2889" s="1" t="s">
        <v>8</v>
      </c>
      <c r="F2889" s="1">
        <v>1</v>
      </c>
      <c r="G2889" s="1">
        <v>0</v>
      </c>
      <c r="H2889" s="6">
        <f>INT(Query1[[#This Row],[EntryDateTime]])</f>
        <v>44648</v>
      </c>
      <c r="I2889" s="1">
        <f>IF(Query1[[#This Row],[ItemType]]="EVAP KIT SF GEN IV",Query1[[#This Row],[OrderQty]]+I2888,I2888)</f>
        <v>3448</v>
      </c>
      <c r="J2889" s="1">
        <f>IF(Query1[[#This Row],[ItemType]]="EVAP KIT UNIVERSAL",Query1[[#This Row],[OrderQty]]+J2888,J2888)</f>
        <v>1325</v>
      </c>
      <c r="K2889" s="1">
        <f>Query1[[#This Row],[SF Running Total]]+Query1[[#This Row],[UNIV Running Total]]</f>
        <v>4773</v>
      </c>
      <c r="L2889">
        <f>VLOOKUP(Query1[[#This Row],[Description]],'kits to boards'!$B$2:$E$156,2,FALSE)</f>
        <v>830079</v>
      </c>
      <c r="M2889">
        <f>VLOOKUP(Query1[[#This Row],[Description]],'kits to boards'!$B$2:$E$156,3,FALSE)</f>
        <v>830046</v>
      </c>
      <c r="N2889">
        <f>VLOOKUP(Query1[[#This Row],[Description]],'kits to boards'!$B$2:$E$156,4,FALSE)</f>
        <v>0</v>
      </c>
      <c r="O2889" t="str">
        <f>CONCATENATE(Query1[[#This Row],[Description]]," - ",Query1[[#This Row],[MB1]]," - ",Query1[[#This Row],[MB2]]," - ",Query1[[#This Row],[MB3]])</f>
        <v>EVAP KIT 67-68 MUSTANG/COUGAR WO AC - 830079 - 830046 - 0</v>
      </c>
    </row>
    <row r="2890" spans="1:15" x14ac:dyDescent="0.25">
      <c r="A2890" s="1">
        <v>916966</v>
      </c>
      <c r="B2890" s="1" t="s">
        <v>102</v>
      </c>
      <c r="C2890" s="1" t="s">
        <v>103</v>
      </c>
      <c r="D2890" s="2">
        <v>44648.605007442129</v>
      </c>
      <c r="E2890" s="1" t="s">
        <v>8</v>
      </c>
      <c r="F2890" s="1">
        <v>1</v>
      </c>
      <c r="G2890" s="1">
        <v>0</v>
      </c>
      <c r="H2890" s="6">
        <f>INT(Query1[[#This Row],[EntryDateTime]])</f>
        <v>44648</v>
      </c>
      <c r="I2890" s="1">
        <f>IF(Query1[[#This Row],[ItemType]]="EVAP KIT SF GEN IV",Query1[[#This Row],[OrderQty]]+I2889,I2889)</f>
        <v>3449</v>
      </c>
      <c r="J2890" s="1">
        <f>IF(Query1[[#This Row],[ItemType]]="EVAP KIT UNIVERSAL",Query1[[#This Row],[OrderQty]]+J2889,J2889)</f>
        <v>1325</v>
      </c>
      <c r="K2890" s="1">
        <f>Query1[[#This Row],[SF Running Total]]+Query1[[#This Row],[UNIV Running Total]]</f>
        <v>4774</v>
      </c>
      <c r="L2890">
        <f>VLOOKUP(Query1[[#This Row],[Description]],'kits to boards'!$B$2:$E$156,2,FALSE)</f>
        <v>830012</v>
      </c>
      <c r="M2890">
        <f>VLOOKUP(Query1[[#This Row],[Description]],'kits to boards'!$B$2:$E$156,3,FALSE)</f>
        <v>0</v>
      </c>
      <c r="N2890">
        <f>VLOOKUP(Query1[[#This Row],[Description]],'kits to boards'!$B$2:$E$156,4,FALSE)</f>
        <v>0</v>
      </c>
      <c r="O2890" t="str">
        <f>CONCATENATE(Query1[[#This Row],[Description]]," - ",Query1[[#This Row],[MB1]]," - ",Query1[[#This Row],[MB2]]," - ",Query1[[#This Row],[MB3]])</f>
        <v>EVAP KIT 69 CAMARO WO/AC - 830012 - 0 - 0</v>
      </c>
    </row>
    <row r="2891" spans="1:15" x14ac:dyDescent="0.25">
      <c r="A2891" s="1">
        <v>917070</v>
      </c>
      <c r="B2891" s="1" t="s">
        <v>132</v>
      </c>
      <c r="C2891" s="1" t="s">
        <v>133</v>
      </c>
      <c r="D2891" s="2">
        <v>44648.608632835647</v>
      </c>
      <c r="E2891" s="1" t="s">
        <v>8</v>
      </c>
      <c r="F2891" s="1">
        <v>1</v>
      </c>
      <c r="G2891" s="1">
        <v>0</v>
      </c>
      <c r="H2891" s="6">
        <f>INT(Query1[[#This Row],[EntryDateTime]])</f>
        <v>44648</v>
      </c>
      <c r="I2891" s="1">
        <f>IF(Query1[[#This Row],[ItemType]]="EVAP KIT SF GEN IV",Query1[[#This Row],[OrderQty]]+I2890,I2890)</f>
        <v>3450</v>
      </c>
      <c r="J2891" s="1">
        <f>IF(Query1[[#This Row],[ItemType]]="EVAP KIT UNIVERSAL",Query1[[#This Row],[OrderQty]]+J2890,J2890)</f>
        <v>1325</v>
      </c>
      <c r="K2891" s="1">
        <f>Query1[[#This Row],[SF Running Total]]+Query1[[#This Row],[UNIV Running Total]]</f>
        <v>4775</v>
      </c>
      <c r="L2891">
        <f>VLOOKUP(Query1[[#This Row],[Description]],'kits to boards'!$B$2:$E$156,2,FALSE)</f>
        <v>830005</v>
      </c>
      <c r="M2891">
        <f>VLOOKUP(Query1[[#This Row],[Description]],'kits to boards'!$B$2:$E$156,3,FALSE)</f>
        <v>0</v>
      </c>
      <c r="N2891">
        <f>VLOOKUP(Query1[[#This Row],[Description]],'kits to boards'!$B$2:$E$156,4,FALSE)</f>
        <v>0</v>
      </c>
      <c r="O2891" t="str">
        <f>CONCATENATE(Query1[[#This Row],[Description]]," - ",Query1[[#This Row],[MB1]]," - ",Query1[[#This Row],[MB2]]," - ",Query1[[#This Row],[MB3]])</f>
        <v>EVAP KIT 61-62 IMPALA WO AC - 830005 - 0 - 0</v>
      </c>
    </row>
    <row r="2892" spans="1:15" x14ac:dyDescent="0.25">
      <c r="A2892" s="1">
        <v>917071</v>
      </c>
      <c r="B2892" s="1" t="s">
        <v>206</v>
      </c>
      <c r="C2892" s="1" t="s">
        <v>207</v>
      </c>
      <c r="D2892" s="2">
        <v>44648.609874849535</v>
      </c>
      <c r="E2892" s="1" t="s">
        <v>8</v>
      </c>
      <c r="F2892" s="1">
        <v>1</v>
      </c>
      <c r="G2892" s="1">
        <v>0</v>
      </c>
      <c r="H2892" s="6">
        <f>INT(Query1[[#This Row],[EntryDateTime]])</f>
        <v>44648</v>
      </c>
      <c r="I2892" s="1">
        <f>IF(Query1[[#This Row],[ItemType]]="EVAP KIT SF GEN IV",Query1[[#This Row],[OrderQty]]+I2891,I2891)</f>
        <v>3451</v>
      </c>
      <c r="J2892" s="1">
        <f>IF(Query1[[#This Row],[ItemType]]="EVAP KIT UNIVERSAL",Query1[[#This Row],[OrderQty]]+J2891,J2891)</f>
        <v>1325</v>
      </c>
      <c r="K2892" s="1">
        <f>Query1[[#This Row],[SF Running Total]]+Query1[[#This Row],[UNIV Running Total]]</f>
        <v>4776</v>
      </c>
      <c r="L2892">
        <f>VLOOKUP(Query1[[#This Row],[Description]],'kits to boards'!$B$2:$E$156,2,FALSE)</f>
        <v>830032</v>
      </c>
      <c r="M2892">
        <f>VLOOKUP(Query1[[#This Row],[Description]],'kits to boards'!$B$2:$E$156,3,FALSE)</f>
        <v>0</v>
      </c>
      <c r="N2892">
        <f>VLOOKUP(Query1[[#This Row],[Description]],'kits to boards'!$B$2:$E$156,4,FALSE)</f>
        <v>0</v>
      </c>
      <c r="O2892" t="str">
        <f>CONCATENATE(Query1[[#This Row],[Description]]," - ",Query1[[#This Row],[MB1]]," - ",Query1[[#This Row],[MB2]]," - ",Query1[[#This Row],[MB3]])</f>
        <v>EVAP KIT 61-62 VETTE - 830032 - 0 - 0</v>
      </c>
    </row>
    <row r="2893" spans="1:15" x14ac:dyDescent="0.25">
      <c r="A2893" s="1">
        <v>917076</v>
      </c>
      <c r="B2893" s="1" t="s">
        <v>16</v>
      </c>
      <c r="C2893" s="1" t="s">
        <v>17</v>
      </c>
      <c r="D2893" s="2">
        <v>44648.614330868055</v>
      </c>
      <c r="E2893" s="1" t="s">
        <v>8</v>
      </c>
      <c r="F2893" s="1">
        <v>1</v>
      </c>
      <c r="G2893" s="1">
        <v>0</v>
      </c>
      <c r="H2893" s="6">
        <f>INT(Query1[[#This Row],[EntryDateTime]])</f>
        <v>44648</v>
      </c>
      <c r="I2893" s="1">
        <f>IF(Query1[[#This Row],[ItemType]]="EVAP KIT SF GEN IV",Query1[[#This Row],[OrderQty]]+I2892,I2892)</f>
        <v>3452</v>
      </c>
      <c r="J2893" s="1">
        <f>IF(Query1[[#This Row],[ItemType]]="EVAP KIT UNIVERSAL",Query1[[#This Row],[OrderQty]]+J2892,J2892)</f>
        <v>1325</v>
      </c>
      <c r="K2893" s="1">
        <f>Query1[[#This Row],[SF Running Total]]+Query1[[#This Row],[UNIV Running Total]]</f>
        <v>4777</v>
      </c>
      <c r="L2893">
        <f>VLOOKUP(Query1[[#This Row],[Description]],'kits to boards'!$B$2:$E$156,2,FALSE)</f>
        <v>830061</v>
      </c>
      <c r="M2893">
        <f>VLOOKUP(Query1[[#This Row],[Description]],'kits to boards'!$B$2:$E$156,3,FALSE)</f>
        <v>0</v>
      </c>
      <c r="N2893">
        <f>VLOOKUP(Query1[[#This Row],[Description]],'kits to boards'!$B$2:$E$156,4,FALSE)</f>
        <v>0</v>
      </c>
      <c r="O2893" t="str">
        <f>CONCATENATE(Query1[[#This Row],[Description]]," - ",Query1[[#This Row],[MB1]]," - ",Query1[[#This Row],[MB2]]," - ",Query1[[#This Row],[MB3]])</f>
        <v>EVAP KIT 68-69 CHEVELLE W/AC - 830061 - 0 - 0</v>
      </c>
    </row>
    <row r="2894" spans="1:15" x14ac:dyDescent="0.25">
      <c r="A2894" s="1">
        <v>916951</v>
      </c>
      <c r="B2894" s="1" t="s">
        <v>96</v>
      </c>
      <c r="C2894" s="1" t="s">
        <v>97</v>
      </c>
      <c r="D2894" s="2">
        <v>44648.62867997685</v>
      </c>
      <c r="E2894" s="1" t="s">
        <v>8</v>
      </c>
      <c r="F2894" s="1">
        <v>1</v>
      </c>
      <c r="G2894" s="1">
        <v>0</v>
      </c>
      <c r="H2894" s="6">
        <f>INT(Query1[[#This Row],[EntryDateTime]])</f>
        <v>44648</v>
      </c>
      <c r="I2894" s="1">
        <f>IF(Query1[[#This Row],[ItemType]]="EVAP KIT SF GEN IV",Query1[[#This Row],[OrderQty]]+I2893,I2893)</f>
        <v>3453</v>
      </c>
      <c r="J2894" s="1">
        <f>IF(Query1[[#This Row],[ItemType]]="EVAP KIT UNIVERSAL",Query1[[#This Row],[OrderQty]]+J2893,J2893)</f>
        <v>1325</v>
      </c>
      <c r="K2894" s="1">
        <f>Query1[[#This Row],[SF Running Total]]+Query1[[#This Row],[UNIV Running Total]]</f>
        <v>4778</v>
      </c>
      <c r="L2894">
        <f>VLOOKUP(Query1[[#This Row],[Description]],'kits to boards'!$B$2:$E$156,2,FALSE)</f>
        <v>830004</v>
      </c>
      <c r="M2894">
        <f>VLOOKUP(Query1[[#This Row],[Description]],'kits to boards'!$B$2:$E$156,3,FALSE)</f>
        <v>0</v>
      </c>
      <c r="N2894">
        <f>VLOOKUP(Query1[[#This Row],[Description]],'kits to boards'!$B$2:$E$156,4,FALSE)</f>
        <v>0</v>
      </c>
      <c r="O2894" t="str">
        <f>CONCATENATE(Query1[[#This Row],[Description]]," - ",Query1[[#This Row],[MB1]]," - ",Query1[[#This Row],[MB2]]," - ",Query1[[#This Row],[MB3]])</f>
        <v>EVAP KIT 81-87 CHEV P-UP W/AC - 830004 - 0 - 0</v>
      </c>
    </row>
    <row r="2895" spans="1:15" x14ac:dyDescent="0.25">
      <c r="A2895" s="1">
        <v>917090</v>
      </c>
      <c r="B2895" s="1" t="s">
        <v>80</v>
      </c>
      <c r="C2895" s="1" t="s">
        <v>81</v>
      </c>
      <c r="D2895" s="2">
        <v>44648.649991585648</v>
      </c>
      <c r="E2895" s="1" t="s">
        <v>11</v>
      </c>
      <c r="F2895" s="1">
        <v>1</v>
      </c>
      <c r="G2895" s="1">
        <v>0</v>
      </c>
      <c r="H2895" s="6">
        <f>INT(Query1[[#This Row],[EntryDateTime]])</f>
        <v>44648</v>
      </c>
      <c r="I2895" s="1">
        <f>IF(Query1[[#This Row],[ItemType]]="EVAP KIT SF GEN IV",Query1[[#This Row],[OrderQty]]+I2894,I2894)</f>
        <v>3453</v>
      </c>
      <c r="J2895" s="1">
        <f>IF(Query1[[#This Row],[ItemType]]="EVAP KIT UNIVERSAL",Query1[[#This Row],[OrderQty]]+J2894,J2894)</f>
        <v>1326</v>
      </c>
      <c r="K2895" s="1">
        <f>Query1[[#This Row],[SF Running Total]]+Query1[[#This Row],[UNIV Running Total]]</f>
        <v>4779</v>
      </c>
      <c r="L2895">
        <f>VLOOKUP(Query1[[#This Row],[Description]],'kits to boards'!$B$2:$E$156,2,FALSE)</f>
        <v>0</v>
      </c>
      <c r="M2895">
        <f>VLOOKUP(Query1[[#This Row],[Description]],'kits to boards'!$B$2:$E$156,3,FALSE)</f>
        <v>0</v>
      </c>
      <c r="N2895">
        <f>VLOOKUP(Query1[[#This Row],[Description]],'kits to boards'!$B$2:$E$156,4,FALSE)</f>
        <v>0</v>
      </c>
      <c r="O2895" t="str">
        <f>CONCATENATE(Query1[[#This Row],[Description]]," - ",Query1[[#This Row],[MB1]]," - ",Query1[[#This Row],[MB2]]," - ",Query1[[#This Row],[MB3]])</f>
        <v>HERITAGE BRUSHED EVAP KIT COOL ONLY - 0 - 0 - 0</v>
      </c>
    </row>
    <row r="2896" spans="1:15" x14ac:dyDescent="0.25">
      <c r="A2896" s="1">
        <v>917100</v>
      </c>
      <c r="B2896" s="1" t="s">
        <v>22</v>
      </c>
      <c r="C2896" s="1" t="s">
        <v>23</v>
      </c>
      <c r="D2896" s="2">
        <v>44648.673614814812</v>
      </c>
      <c r="E2896" s="1" t="s">
        <v>8</v>
      </c>
      <c r="F2896" s="1">
        <v>1</v>
      </c>
      <c r="G2896" s="1">
        <v>0</v>
      </c>
      <c r="H2896" s="6">
        <f>INT(Query1[[#This Row],[EntryDateTime]])</f>
        <v>44648</v>
      </c>
      <c r="I2896" s="1">
        <f>IF(Query1[[#This Row],[ItemType]]="EVAP KIT SF GEN IV",Query1[[#This Row],[OrderQty]]+I2895,I2895)</f>
        <v>3454</v>
      </c>
      <c r="J2896" s="1">
        <f>IF(Query1[[#This Row],[ItemType]]="EVAP KIT UNIVERSAL",Query1[[#This Row],[OrderQty]]+J2895,J2895)</f>
        <v>1326</v>
      </c>
      <c r="K2896" s="1">
        <f>Query1[[#This Row],[SF Running Total]]+Query1[[#This Row],[UNIV Running Total]]</f>
        <v>4780</v>
      </c>
      <c r="L2896">
        <f>VLOOKUP(Query1[[#This Row],[Description]],'kits to boards'!$B$2:$E$156,2,FALSE)</f>
        <v>830083</v>
      </c>
      <c r="M2896">
        <f>VLOOKUP(Query1[[#This Row],[Description]],'kits to boards'!$B$2:$E$156,3,FALSE)</f>
        <v>0</v>
      </c>
      <c r="N2896">
        <f>VLOOKUP(Query1[[#This Row],[Description]],'kits to boards'!$B$2:$E$156,4,FALSE)</f>
        <v>0</v>
      </c>
      <c r="O2896" t="str">
        <f>CONCATENATE(Query1[[#This Row],[Description]]," - ",Query1[[#This Row],[MB1]]," - ",Query1[[#This Row],[MB2]]," - ",Query1[[#This Row],[MB3]])</f>
        <v>GEN IV MAGNUM EVAP KIT - 830083 - 0 - 0</v>
      </c>
    </row>
    <row r="2897" spans="1:15" x14ac:dyDescent="0.25">
      <c r="A2897" s="1">
        <v>914848</v>
      </c>
      <c r="B2897" s="1" t="s">
        <v>236</v>
      </c>
      <c r="C2897" s="1" t="s">
        <v>237</v>
      </c>
      <c r="D2897" s="2">
        <v>44648.675059259258</v>
      </c>
      <c r="E2897" s="1" t="s">
        <v>8</v>
      </c>
      <c r="F2897" s="1">
        <v>1</v>
      </c>
      <c r="G2897" s="1">
        <v>0</v>
      </c>
      <c r="H2897" s="6">
        <f>INT(Query1[[#This Row],[EntryDateTime]])</f>
        <v>44648</v>
      </c>
      <c r="I2897" s="1">
        <f>IF(Query1[[#This Row],[ItemType]]="EVAP KIT SF GEN IV",Query1[[#This Row],[OrderQty]]+I2896,I2896)</f>
        <v>3455</v>
      </c>
      <c r="J2897" s="1">
        <f>IF(Query1[[#This Row],[ItemType]]="EVAP KIT UNIVERSAL",Query1[[#This Row],[OrderQty]]+J2896,J2896)</f>
        <v>1326</v>
      </c>
      <c r="K2897" s="1">
        <f>Query1[[#This Row],[SF Running Total]]+Query1[[#This Row],[UNIV Running Total]]</f>
        <v>4781</v>
      </c>
      <c r="L2897">
        <f>VLOOKUP(Query1[[#This Row],[Description]],'kits to boards'!$B$2:$E$156,2,FALSE)</f>
        <v>830026</v>
      </c>
      <c r="M2897">
        <f>VLOOKUP(Query1[[#This Row],[Description]],'kits to boards'!$B$2:$E$156,3,FALSE)</f>
        <v>0</v>
      </c>
      <c r="N2897">
        <f>VLOOKUP(Query1[[#This Row],[Description]],'kits to boards'!$B$2:$E$156,4,FALSE)</f>
        <v>0</v>
      </c>
      <c r="O2897" t="str">
        <f>CONCATENATE(Query1[[#This Row],[Description]]," - ",Query1[[#This Row],[MB1]]," - ",Query1[[#This Row],[MB2]]," - ",Query1[[#This Row],[MB3]])</f>
        <v>EVAP KIT 70-72 CUTLASS WO AC - 830026 - 0 - 0</v>
      </c>
    </row>
    <row r="2898" spans="1:15" x14ac:dyDescent="0.25">
      <c r="A2898" s="1">
        <v>917102</v>
      </c>
      <c r="B2898" s="1" t="s">
        <v>74</v>
      </c>
      <c r="C2898" s="1" t="s">
        <v>75</v>
      </c>
      <c r="D2898" s="2">
        <v>44648.680138923613</v>
      </c>
      <c r="E2898" s="1" t="s">
        <v>8</v>
      </c>
      <c r="F2898" s="1">
        <v>1</v>
      </c>
      <c r="G2898" s="1">
        <v>0</v>
      </c>
      <c r="H2898" s="6">
        <f>INT(Query1[[#This Row],[EntryDateTime]])</f>
        <v>44648</v>
      </c>
      <c r="I2898" s="1">
        <f>IF(Query1[[#This Row],[ItemType]]="EVAP KIT SF GEN IV",Query1[[#This Row],[OrderQty]]+I2897,I2897)</f>
        <v>3456</v>
      </c>
      <c r="J2898" s="1">
        <f>IF(Query1[[#This Row],[ItemType]]="EVAP KIT UNIVERSAL",Query1[[#This Row],[OrderQty]]+J2897,J2897)</f>
        <v>1326</v>
      </c>
      <c r="K2898" s="1">
        <f>Query1[[#This Row],[SF Running Total]]+Query1[[#This Row],[UNIV Running Total]]</f>
        <v>4782</v>
      </c>
      <c r="L2898">
        <f>VLOOKUP(Query1[[#This Row],[Description]],'kits to boards'!$B$2:$E$156,2,FALSE)</f>
        <v>830065</v>
      </c>
      <c r="M2898">
        <f>VLOOKUP(Query1[[#This Row],[Description]],'kits to boards'!$B$2:$E$156,3,FALSE)</f>
        <v>0</v>
      </c>
      <c r="N2898">
        <f>VLOOKUP(Query1[[#This Row],[Description]],'kits to boards'!$B$2:$E$156,4,FALSE)</f>
        <v>0</v>
      </c>
      <c r="O2898" t="str">
        <f>CONCATENATE(Query1[[#This Row],[Description]]," - ",Query1[[#This Row],[MB1]]," - ",Query1[[#This Row],[MB2]]," - ",Query1[[#This Row],[MB3]])</f>
        <v>EVAP KIT 57 CHEV WO AC 4-VENT PLENUM - 830065 - 0 - 0</v>
      </c>
    </row>
    <row r="2899" spans="1:15" x14ac:dyDescent="0.25">
      <c r="A2899" s="1">
        <v>917110</v>
      </c>
      <c r="B2899" s="1" t="s">
        <v>40</v>
      </c>
      <c r="C2899" s="1" t="s">
        <v>41</v>
      </c>
      <c r="D2899" s="2">
        <v>44648.69098796296</v>
      </c>
      <c r="E2899" s="1" t="s">
        <v>8</v>
      </c>
      <c r="F2899" s="1">
        <v>1</v>
      </c>
      <c r="G2899" s="1">
        <v>0</v>
      </c>
      <c r="H2899" s="6">
        <f>INT(Query1[[#This Row],[EntryDateTime]])</f>
        <v>44648</v>
      </c>
      <c r="I2899" s="1">
        <f>IF(Query1[[#This Row],[ItemType]]="EVAP KIT SF GEN IV",Query1[[#This Row],[OrderQty]]+I2898,I2898)</f>
        <v>3457</v>
      </c>
      <c r="J2899" s="1">
        <f>IF(Query1[[#This Row],[ItemType]]="EVAP KIT UNIVERSAL",Query1[[#This Row],[OrderQty]]+J2898,J2898)</f>
        <v>1326</v>
      </c>
      <c r="K2899" s="1">
        <f>Query1[[#This Row],[SF Running Total]]+Query1[[#This Row],[UNIV Running Total]]</f>
        <v>4783</v>
      </c>
      <c r="L2899">
        <f>VLOOKUP(Query1[[#This Row],[Description]],'kits to boards'!$B$2:$E$156,2,FALSE)</f>
        <v>830024</v>
      </c>
      <c r="M2899">
        <f>VLOOKUP(Query1[[#This Row],[Description]],'kits to boards'!$B$2:$E$156,3,FALSE)</f>
        <v>0</v>
      </c>
      <c r="N2899">
        <f>VLOOKUP(Query1[[#This Row],[Description]],'kits to boards'!$B$2:$E$156,4,FALSE)</f>
        <v>0</v>
      </c>
      <c r="O2899" t="str">
        <f>CONCATENATE(Query1[[#This Row],[Description]]," - ",Query1[[#This Row],[MB1]]," - ",Query1[[#This Row],[MB2]]," - ",Query1[[#This Row],[MB3]])</f>
        <v>EVAP KIT 79-81 CAMARO W/AC - 830024 - 0 - 0</v>
      </c>
    </row>
    <row r="2900" spans="1:15" x14ac:dyDescent="0.25">
      <c r="A2900" s="1">
        <v>917116</v>
      </c>
      <c r="B2900" s="1" t="s">
        <v>244</v>
      </c>
      <c r="C2900" s="1" t="s">
        <v>245</v>
      </c>
      <c r="D2900" s="2">
        <v>44648.702363576391</v>
      </c>
      <c r="E2900" s="1" t="s">
        <v>8</v>
      </c>
      <c r="F2900" s="1">
        <v>1</v>
      </c>
      <c r="G2900" s="1">
        <v>0</v>
      </c>
      <c r="H2900" s="6">
        <f>INT(Query1[[#This Row],[EntryDateTime]])</f>
        <v>44648</v>
      </c>
      <c r="I2900" s="1">
        <f>IF(Query1[[#This Row],[ItemType]]="EVAP KIT SF GEN IV",Query1[[#This Row],[OrderQty]]+I2899,I2899)</f>
        <v>3458</v>
      </c>
      <c r="J2900" s="1">
        <f>IF(Query1[[#This Row],[ItemType]]="EVAP KIT UNIVERSAL",Query1[[#This Row],[OrderQty]]+J2899,J2899)</f>
        <v>1326</v>
      </c>
      <c r="K2900" s="1">
        <f>Query1[[#This Row],[SF Running Total]]+Query1[[#This Row],[UNIV Running Total]]</f>
        <v>4784</v>
      </c>
      <c r="L2900">
        <f>VLOOKUP(Query1[[#This Row],[Description]],'kits to boards'!$B$2:$E$156,2,FALSE)</f>
        <v>830100</v>
      </c>
      <c r="M2900">
        <f>VLOOKUP(Query1[[#This Row],[Description]],'kits to boards'!$B$2:$E$156,3,FALSE)</f>
        <v>0</v>
      </c>
      <c r="N2900">
        <f>VLOOKUP(Query1[[#This Row],[Description]],'kits to boards'!$B$2:$E$156,4,FALSE)</f>
        <v>0</v>
      </c>
      <c r="O2900" t="str">
        <f>CONCATENATE(Query1[[#This Row],[Description]]," - ",Query1[[#This Row],[MB1]]," - ",Query1[[#This Row],[MB2]]," - ",Query1[[#This Row],[MB3]])</f>
        <v>EVAP KIT 68-76 VETTE WO AC - 830100 - 0 - 0</v>
      </c>
    </row>
    <row r="2901" spans="1:15" x14ac:dyDescent="0.25">
      <c r="A2901" s="1">
        <v>917052</v>
      </c>
      <c r="B2901" s="1" t="s">
        <v>108</v>
      </c>
      <c r="C2901" s="1" t="s">
        <v>109</v>
      </c>
      <c r="D2901" s="2">
        <v>44648.703319016204</v>
      </c>
      <c r="E2901" s="1" t="s">
        <v>8</v>
      </c>
      <c r="F2901" s="1">
        <v>1</v>
      </c>
      <c r="G2901" s="1">
        <v>0</v>
      </c>
      <c r="H2901" s="6">
        <f>INT(Query1[[#This Row],[EntryDateTime]])</f>
        <v>44648</v>
      </c>
      <c r="I2901" s="1">
        <f>IF(Query1[[#This Row],[ItemType]]="EVAP KIT SF GEN IV",Query1[[#This Row],[OrderQty]]+I2900,I2900)</f>
        <v>3459</v>
      </c>
      <c r="J2901" s="1">
        <f>IF(Query1[[#This Row],[ItemType]]="EVAP KIT UNIVERSAL",Query1[[#This Row],[OrderQty]]+J2900,J2900)</f>
        <v>1326</v>
      </c>
      <c r="K2901" s="1">
        <f>Query1[[#This Row],[SF Running Total]]+Query1[[#This Row],[UNIV Running Total]]</f>
        <v>4785</v>
      </c>
      <c r="L2901">
        <f>VLOOKUP(Query1[[#This Row],[Description]],'kits to boards'!$B$2:$E$156,2,FALSE)</f>
        <v>830105</v>
      </c>
      <c r="M2901">
        <f>VLOOKUP(Query1[[#This Row],[Description]],'kits to boards'!$B$2:$E$156,3,FALSE)</f>
        <v>830106</v>
      </c>
      <c r="N2901">
        <f>VLOOKUP(Query1[[#This Row],[Description]],'kits to boards'!$B$2:$E$156,4,FALSE)</f>
        <v>0</v>
      </c>
      <c r="O2901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2902" spans="1:15" x14ac:dyDescent="0.25">
      <c r="A2902" s="1">
        <v>917126</v>
      </c>
      <c r="B2902" s="1" t="s">
        <v>22</v>
      </c>
      <c r="C2902" s="1" t="s">
        <v>23</v>
      </c>
      <c r="D2902" s="2">
        <v>44648.72555289352</v>
      </c>
      <c r="E2902" s="1" t="s">
        <v>8</v>
      </c>
      <c r="F2902" s="1">
        <v>4</v>
      </c>
      <c r="G2902" s="1">
        <v>0</v>
      </c>
      <c r="H2902" s="6">
        <f>INT(Query1[[#This Row],[EntryDateTime]])</f>
        <v>44648</v>
      </c>
      <c r="I2902" s="1">
        <f>IF(Query1[[#This Row],[ItemType]]="EVAP KIT SF GEN IV",Query1[[#This Row],[OrderQty]]+I2901,I2901)</f>
        <v>3463</v>
      </c>
      <c r="J2902" s="1">
        <f>IF(Query1[[#This Row],[ItemType]]="EVAP KIT UNIVERSAL",Query1[[#This Row],[OrderQty]]+J2901,J2901)</f>
        <v>1326</v>
      </c>
      <c r="K2902" s="1">
        <f>Query1[[#This Row],[SF Running Total]]+Query1[[#This Row],[UNIV Running Total]]</f>
        <v>4789</v>
      </c>
      <c r="L2902">
        <f>VLOOKUP(Query1[[#This Row],[Description]],'kits to boards'!$B$2:$E$156,2,FALSE)</f>
        <v>830083</v>
      </c>
      <c r="M2902">
        <f>VLOOKUP(Query1[[#This Row],[Description]],'kits to boards'!$B$2:$E$156,3,FALSE)</f>
        <v>0</v>
      </c>
      <c r="N2902">
        <f>VLOOKUP(Query1[[#This Row],[Description]],'kits to boards'!$B$2:$E$156,4,FALSE)</f>
        <v>0</v>
      </c>
      <c r="O2902" t="str">
        <f>CONCATENATE(Query1[[#This Row],[Description]]," - ",Query1[[#This Row],[MB1]]," - ",Query1[[#This Row],[MB2]]," - ",Query1[[#This Row],[MB3]])</f>
        <v>GEN IV MAGNUM EVAP KIT - 830083 - 0 - 0</v>
      </c>
    </row>
    <row r="2903" spans="1:15" x14ac:dyDescent="0.25">
      <c r="A2903" s="1">
        <v>917126</v>
      </c>
      <c r="B2903" s="1" t="s">
        <v>30</v>
      </c>
      <c r="C2903" s="1" t="s">
        <v>31</v>
      </c>
      <c r="D2903" s="2">
        <v>44648.725557025464</v>
      </c>
      <c r="E2903" s="1" t="s">
        <v>8</v>
      </c>
      <c r="F2903" s="1">
        <v>1</v>
      </c>
      <c r="G2903" s="1">
        <v>0</v>
      </c>
      <c r="H2903" s="6">
        <f>INT(Query1[[#This Row],[EntryDateTime]])</f>
        <v>44648</v>
      </c>
      <c r="I2903" s="1">
        <f>IF(Query1[[#This Row],[ItemType]]="EVAP KIT SF GEN IV",Query1[[#This Row],[OrderQty]]+I2902,I2902)</f>
        <v>3464</v>
      </c>
      <c r="J2903" s="1">
        <f>IF(Query1[[#This Row],[ItemType]]="EVAP KIT UNIVERSAL",Query1[[#This Row],[OrderQty]]+J2902,J2902)</f>
        <v>1326</v>
      </c>
      <c r="K2903" s="1">
        <f>Query1[[#This Row],[SF Running Total]]+Query1[[#This Row],[UNIV Running Total]]</f>
        <v>4790</v>
      </c>
      <c r="L2903">
        <f>VLOOKUP(Query1[[#This Row],[Description]],'kits to boards'!$B$2:$E$156,2,FALSE)</f>
        <v>830054</v>
      </c>
      <c r="M2903">
        <f>VLOOKUP(Query1[[#This Row],[Description]],'kits to boards'!$B$2:$E$156,3,FALSE)</f>
        <v>0</v>
      </c>
      <c r="N2903">
        <f>VLOOKUP(Query1[[#This Row],[Description]],'kits to boards'!$B$2:$E$156,4,FALSE)</f>
        <v>0</v>
      </c>
      <c r="O2903" t="str">
        <f>CONCATENATE(Query1[[#This Row],[Description]]," - ",Query1[[#This Row],[MB1]]," - ",Query1[[#This Row],[MB2]]," - ",Query1[[#This Row],[MB3]])</f>
        <v>EVAP KIT 55-56 CHEVY 4-VENT - 830054 - 0 - 0</v>
      </c>
    </row>
    <row r="2904" spans="1:15" x14ac:dyDescent="0.25">
      <c r="A2904" s="1">
        <v>917126</v>
      </c>
      <c r="B2904" s="1" t="s">
        <v>102</v>
      </c>
      <c r="C2904" s="1" t="s">
        <v>103</v>
      </c>
      <c r="D2904" s="2">
        <v>44648.725560648149</v>
      </c>
      <c r="E2904" s="1" t="s">
        <v>8</v>
      </c>
      <c r="F2904" s="1">
        <v>1</v>
      </c>
      <c r="G2904" s="1">
        <v>0</v>
      </c>
      <c r="H2904" s="6">
        <f>INT(Query1[[#This Row],[EntryDateTime]])</f>
        <v>44648</v>
      </c>
      <c r="I2904" s="1">
        <f>IF(Query1[[#This Row],[ItemType]]="EVAP KIT SF GEN IV",Query1[[#This Row],[OrderQty]]+I2903,I2903)</f>
        <v>3465</v>
      </c>
      <c r="J2904" s="1">
        <f>IF(Query1[[#This Row],[ItemType]]="EVAP KIT UNIVERSAL",Query1[[#This Row],[OrderQty]]+J2903,J2903)</f>
        <v>1326</v>
      </c>
      <c r="K2904" s="1">
        <f>Query1[[#This Row],[SF Running Total]]+Query1[[#This Row],[UNIV Running Total]]</f>
        <v>4791</v>
      </c>
      <c r="L2904">
        <f>VLOOKUP(Query1[[#This Row],[Description]],'kits to boards'!$B$2:$E$156,2,FALSE)</f>
        <v>830012</v>
      </c>
      <c r="M2904">
        <f>VLOOKUP(Query1[[#This Row],[Description]],'kits to boards'!$B$2:$E$156,3,FALSE)</f>
        <v>0</v>
      </c>
      <c r="N2904">
        <f>VLOOKUP(Query1[[#This Row],[Description]],'kits to boards'!$B$2:$E$156,4,FALSE)</f>
        <v>0</v>
      </c>
      <c r="O2904" t="str">
        <f>CONCATENATE(Query1[[#This Row],[Description]]," - ",Query1[[#This Row],[MB1]]," - ",Query1[[#This Row],[MB2]]," - ",Query1[[#This Row],[MB3]])</f>
        <v>EVAP KIT 69 CAMARO WO/AC - 830012 - 0 - 0</v>
      </c>
    </row>
    <row r="2905" spans="1:15" x14ac:dyDescent="0.25">
      <c r="A2905" s="1">
        <v>917126</v>
      </c>
      <c r="B2905" s="1" t="s">
        <v>72</v>
      </c>
      <c r="C2905" s="1" t="s">
        <v>73</v>
      </c>
      <c r="D2905" s="2">
        <v>44648.725564386572</v>
      </c>
      <c r="E2905" s="1" t="s">
        <v>8</v>
      </c>
      <c r="F2905" s="1">
        <v>2</v>
      </c>
      <c r="G2905" s="1">
        <v>0</v>
      </c>
      <c r="H2905" s="6">
        <f>INT(Query1[[#This Row],[EntryDateTime]])</f>
        <v>44648</v>
      </c>
      <c r="I2905" s="1">
        <f>IF(Query1[[#This Row],[ItemType]]="EVAP KIT SF GEN IV",Query1[[#This Row],[OrderQty]]+I2904,I2904)</f>
        <v>3467</v>
      </c>
      <c r="J2905" s="1">
        <f>IF(Query1[[#This Row],[ItemType]]="EVAP KIT UNIVERSAL",Query1[[#This Row],[OrderQty]]+J2904,J2904)</f>
        <v>1326</v>
      </c>
      <c r="K2905" s="1">
        <f>Query1[[#This Row],[SF Running Total]]+Query1[[#This Row],[UNIV Running Total]]</f>
        <v>4793</v>
      </c>
      <c r="L2905">
        <f>VLOOKUP(Query1[[#This Row],[Description]],'kits to boards'!$B$2:$E$156,2,FALSE)</f>
        <v>830043</v>
      </c>
      <c r="M2905">
        <f>VLOOKUP(Query1[[#This Row],[Description]],'kits to boards'!$B$2:$E$156,3,FALSE)</f>
        <v>0</v>
      </c>
      <c r="N2905">
        <f>VLOOKUP(Query1[[#This Row],[Description]],'kits to boards'!$B$2:$E$156,4,FALSE)</f>
        <v>0</v>
      </c>
      <c r="O2905" t="str">
        <f>CONCATENATE(Query1[[#This Row],[Description]]," - ",Query1[[#This Row],[MB1]]," - ",Query1[[#This Row],[MB2]]," - ",Query1[[#This Row],[MB3]])</f>
        <v>EVAP KIT 69-74 NOVA W/AC - 830043 - 0 - 0</v>
      </c>
    </row>
    <row r="2906" spans="1:15" x14ac:dyDescent="0.25">
      <c r="A2906" s="1">
        <v>917126</v>
      </c>
      <c r="B2906" s="1" t="s">
        <v>178</v>
      </c>
      <c r="C2906" s="1" t="s">
        <v>179</v>
      </c>
      <c r="D2906" s="2">
        <v>44648.725567974536</v>
      </c>
      <c r="E2906" s="1" t="s">
        <v>8</v>
      </c>
      <c r="F2906" s="1">
        <v>2</v>
      </c>
      <c r="G2906" s="1">
        <v>0</v>
      </c>
      <c r="H2906" s="6">
        <f>INT(Query1[[#This Row],[EntryDateTime]])</f>
        <v>44648</v>
      </c>
      <c r="I2906" s="1">
        <f>IF(Query1[[#This Row],[ItemType]]="EVAP KIT SF GEN IV",Query1[[#This Row],[OrderQty]]+I2905,I2905)</f>
        <v>3469</v>
      </c>
      <c r="J2906" s="1">
        <f>IF(Query1[[#This Row],[ItemType]]="EVAP KIT UNIVERSAL",Query1[[#This Row],[OrderQty]]+J2905,J2905)</f>
        <v>1326</v>
      </c>
      <c r="K2906" s="1">
        <f>Query1[[#This Row],[SF Running Total]]+Query1[[#This Row],[UNIV Running Total]]</f>
        <v>4795</v>
      </c>
      <c r="L2906">
        <f>VLOOKUP(Query1[[#This Row],[Description]],'kits to boards'!$B$2:$E$156,2,FALSE)</f>
        <v>830009</v>
      </c>
      <c r="M2906">
        <f>VLOOKUP(Query1[[#This Row],[Description]],'kits to boards'!$B$2:$E$156,3,FALSE)</f>
        <v>0</v>
      </c>
      <c r="N2906">
        <f>VLOOKUP(Query1[[#This Row],[Description]],'kits to boards'!$B$2:$E$156,4,FALSE)</f>
        <v>0</v>
      </c>
      <c r="O2906" t="str">
        <f>CONCATENATE(Query1[[#This Row],[Description]]," - ",Query1[[#This Row],[MB1]]," - ",Query1[[#This Row],[MB2]]," - ",Query1[[#This Row],[MB3]])</f>
        <v>EVAP KIT 63 IMPALA W/AC - 830009 - 0 - 0</v>
      </c>
    </row>
    <row r="2907" spans="1:15" x14ac:dyDescent="0.25">
      <c r="A2907" s="1">
        <v>917126</v>
      </c>
      <c r="B2907" s="1" t="s">
        <v>128</v>
      </c>
      <c r="C2907" s="1" t="s">
        <v>129</v>
      </c>
      <c r="D2907" s="2">
        <v>44648.725571724535</v>
      </c>
      <c r="E2907" s="1" t="s">
        <v>8</v>
      </c>
      <c r="F2907" s="1">
        <v>2</v>
      </c>
      <c r="G2907" s="1">
        <v>0</v>
      </c>
      <c r="H2907" s="6">
        <f>INT(Query1[[#This Row],[EntryDateTime]])</f>
        <v>44648</v>
      </c>
      <c r="I2907" s="1">
        <f>IF(Query1[[#This Row],[ItemType]]="EVAP KIT SF GEN IV",Query1[[#This Row],[OrderQty]]+I2906,I2906)</f>
        <v>3471</v>
      </c>
      <c r="J2907" s="1">
        <f>IF(Query1[[#This Row],[ItemType]]="EVAP KIT UNIVERSAL",Query1[[#This Row],[OrderQty]]+J2906,J2906)</f>
        <v>1326</v>
      </c>
      <c r="K2907" s="1">
        <f>Query1[[#This Row],[SF Running Total]]+Query1[[#This Row],[UNIV Running Total]]</f>
        <v>4797</v>
      </c>
      <c r="L2907">
        <f>VLOOKUP(Query1[[#This Row],[Description]],'kits to boards'!$B$2:$E$156,2,FALSE)</f>
        <v>830036</v>
      </c>
      <c r="M2907">
        <f>VLOOKUP(Query1[[#This Row],[Description]],'kits to boards'!$B$2:$E$156,3,FALSE)</f>
        <v>830039</v>
      </c>
      <c r="N2907">
        <f>VLOOKUP(Query1[[#This Row],[Description]],'kits to boards'!$B$2:$E$156,4,FALSE)</f>
        <v>0</v>
      </c>
      <c r="O2907" t="str">
        <f>CONCATENATE(Query1[[#This Row],[Description]]," - ",Query1[[#This Row],[MB1]]," - ",Query1[[#This Row],[MB2]]," - ",Query1[[#This Row],[MB3]])</f>
        <v>EVAP KIT 63-66 VETTE WO AC - 830036 - 830039 - 0</v>
      </c>
    </row>
    <row r="2908" spans="1:15" x14ac:dyDescent="0.25">
      <c r="A2908" s="1">
        <v>917126</v>
      </c>
      <c r="B2908" s="1" t="s">
        <v>66</v>
      </c>
      <c r="C2908" s="1" t="s">
        <v>67</v>
      </c>
      <c r="D2908" s="2">
        <v>44648.725575381941</v>
      </c>
      <c r="E2908" s="1" t="s">
        <v>8</v>
      </c>
      <c r="F2908" s="1">
        <v>1</v>
      </c>
      <c r="G2908" s="1">
        <v>0</v>
      </c>
      <c r="H2908" s="6">
        <f>INT(Query1[[#This Row],[EntryDateTime]])</f>
        <v>44648</v>
      </c>
      <c r="I2908" s="1">
        <f>IF(Query1[[#This Row],[ItemType]]="EVAP KIT SF GEN IV",Query1[[#This Row],[OrderQty]]+I2907,I2907)</f>
        <v>3472</v>
      </c>
      <c r="J2908" s="1">
        <f>IF(Query1[[#This Row],[ItemType]]="EVAP KIT UNIVERSAL",Query1[[#This Row],[OrderQty]]+J2907,J2907)</f>
        <v>1326</v>
      </c>
      <c r="K2908" s="1">
        <f>Query1[[#This Row],[SF Running Total]]+Query1[[#This Row],[UNIV Running Total]]</f>
        <v>4798</v>
      </c>
      <c r="L2908">
        <f>VLOOKUP(Query1[[#This Row],[Description]],'kits to boards'!$B$2:$E$156,2,FALSE)</f>
        <v>830060</v>
      </c>
      <c r="M2908">
        <f>VLOOKUP(Query1[[#This Row],[Description]],'kits to boards'!$B$2:$E$156,3,FALSE)</f>
        <v>0</v>
      </c>
      <c r="N2908">
        <f>VLOOKUP(Query1[[#This Row],[Description]],'kits to boards'!$B$2:$E$156,4,FALSE)</f>
        <v>0</v>
      </c>
      <c r="O2908" t="str">
        <f>CONCATENATE(Query1[[#This Row],[Description]]," - ",Query1[[#This Row],[MB1]]," - ",Query1[[#This Row],[MB2]]," - ",Query1[[#This Row],[MB3]])</f>
        <v>EVAP KIT 66-67 CHEVELLE WO AC - 830060 - 0 - 0</v>
      </c>
    </row>
    <row r="2909" spans="1:15" x14ac:dyDescent="0.25">
      <c r="A2909" s="1">
        <v>917126</v>
      </c>
      <c r="B2909" s="1" t="s">
        <v>114</v>
      </c>
      <c r="C2909" s="1" t="s">
        <v>115</v>
      </c>
      <c r="D2909" s="2">
        <v>44648.725579131948</v>
      </c>
      <c r="E2909" s="1" t="s">
        <v>8</v>
      </c>
      <c r="F2909" s="1">
        <v>1</v>
      </c>
      <c r="G2909" s="1">
        <v>0</v>
      </c>
      <c r="H2909" s="6">
        <f>INT(Query1[[#This Row],[EntryDateTime]])</f>
        <v>44648</v>
      </c>
      <c r="I2909" s="1">
        <f>IF(Query1[[#This Row],[ItemType]]="EVAP KIT SF GEN IV",Query1[[#This Row],[OrderQty]]+I2908,I2908)</f>
        <v>3473</v>
      </c>
      <c r="J2909" s="1">
        <f>IF(Query1[[#This Row],[ItemType]]="EVAP KIT UNIVERSAL",Query1[[#This Row],[OrderQty]]+J2908,J2908)</f>
        <v>1326</v>
      </c>
      <c r="K2909" s="1">
        <f>Query1[[#This Row],[SF Running Total]]+Query1[[#This Row],[UNIV Running Total]]</f>
        <v>4799</v>
      </c>
      <c r="L2909">
        <f>VLOOKUP(Query1[[#This Row],[Description]],'kits to boards'!$B$2:$E$156,2,FALSE)</f>
        <v>830059</v>
      </c>
      <c r="M2909">
        <f>VLOOKUP(Query1[[#This Row],[Description]],'kits to boards'!$B$2:$E$156,3,FALSE)</f>
        <v>0</v>
      </c>
      <c r="N2909">
        <f>VLOOKUP(Query1[[#This Row],[Description]],'kits to boards'!$B$2:$E$156,4,FALSE)</f>
        <v>0</v>
      </c>
      <c r="O2909" t="str">
        <f>CONCATENATE(Query1[[#This Row],[Description]]," - ",Query1[[#This Row],[MB1]]," - ",Query1[[#This Row],[MB2]]," - ",Query1[[#This Row],[MB3]])</f>
        <v>EVAP KIT 66-67 CHEVELLE W/AC - 830059 - 0 - 0</v>
      </c>
    </row>
    <row r="2910" spans="1:15" x14ac:dyDescent="0.25">
      <c r="A2910" s="1">
        <v>917126</v>
      </c>
      <c r="B2910" s="1" t="s">
        <v>56</v>
      </c>
      <c r="C2910" s="1" t="s">
        <v>57</v>
      </c>
      <c r="D2910" s="2">
        <v>44648.725582754632</v>
      </c>
      <c r="E2910" s="1" t="s">
        <v>8</v>
      </c>
      <c r="F2910" s="1">
        <v>2</v>
      </c>
      <c r="G2910" s="1">
        <v>0</v>
      </c>
      <c r="H2910" s="6">
        <f>INT(Query1[[#This Row],[EntryDateTime]])</f>
        <v>44648</v>
      </c>
      <c r="I2910" s="1">
        <f>IF(Query1[[#This Row],[ItemType]]="EVAP KIT SF GEN IV",Query1[[#This Row],[OrderQty]]+I2909,I2909)</f>
        <v>3475</v>
      </c>
      <c r="J2910" s="1">
        <f>IF(Query1[[#This Row],[ItemType]]="EVAP KIT UNIVERSAL",Query1[[#This Row],[OrderQty]]+J2909,J2909)</f>
        <v>1326</v>
      </c>
      <c r="K2910" s="1">
        <f>Query1[[#This Row],[SF Running Total]]+Query1[[#This Row],[UNIV Running Total]]</f>
        <v>4801</v>
      </c>
      <c r="L2910">
        <f>VLOOKUP(Query1[[#This Row],[Description]],'kits to boards'!$B$2:$E$156,2,FALSE)</f>
        <v>830011</v>
      </c>
      <c r="M2910">
        <f>VLOOKUP(Query1[[#This Row],[Description]],'kits to boards'!$B$2:$E$156,3,FALSE)</f>
        <v>0</v>
      </c>
      <c r="N2910">
        <f>VLOOKUP(Query1[[#This Row],[Description]],'kits to boards'!$B$2:$E$156,4,FALSE)</f>
        <v>0</v>
      </c>
      <c r="O2910" t="str">
        <f>CONCATENATE(Query1[[#This Row],[Description]]," - ",Query1[[#This Row],[MB1]]," - ",Query1[[#This Row],[MB2]]," - ",Query1[[#This Row],[MB3]])</f>
        <v>EVAP KIT 70-72 CHEVELLE W/AC - 830011 - 0 - 0</v>
      </c>
    </row>
    <row r="2911" spans="1:15" x14ac:dyDescent="0.25">
      <c r="A2911" s="1">
        <v>917126</v>
      </c>
      <c r="B2911" s="1" t="s">
        <v>180</v>
      </c>
      <c r="C2911" s="1" t="s">
        <v>181</v>
      </c>
      <c r="D2911" s="2">
        <v>44648.725586423614</v>
      </c>
      <c r="E2911" s="1" t="s">
        <v>8</v>
      </c>
      <c r="F2911" s="1">
        <v>3</v>
      </c>
      <c r="G2911" s="1">
        <v>0</v>
      </c>
      <c r="H2911" s="6">
        <f>INT(Query1[[#This Row],[EntryDateTime]])</f>
        <v>44648</v>
      </c>
      <c r="I2911" s="1">
        <f>IF(Query1[[#This Row],[ItemType]]="EVAP KIT SF GEN IV",Query1[[#This Row],[OrderQty]]+I2910,I2910)</f>
        <v>3478</v>
      </c>
      <c r="J2911" s="1">
        <f>IF(Query1[[#This Row],[ItemType]]="EVAP KIT UNIVERSAL",Query1[[#This Row],[OrderQty]]+J2910,J2910)</f>
        <v>1326</v>
      </c>
      <c r="K2911" s="1">
        <f>Query1[[#This Row],[SF Running Total]]+Query1[[#This Row],[UNIV Running Total]]</f>
        <v>4804</v>
      </c>
      <c r="L2911">
        <f>VLOOKUP(Query1[[#This Row],[Description]],'kits to boards'!$B$2:$E$156,2,FALSE)</f>
        <v>830123</v>
      </c>
      <c r="M2911">
        <f>VLOOKUP(Query1[[#This Row],[Description]],'kits to boards'!$B$2:$E$156,3,FALSE)</f>
        <v>0</v>
      </c>
      <c r="N2911">
        <f>VLOOKUP(Query1[[#This Row],[Description]],'kits to boards'!$B$2:$E$156,4,FALSE)</f>
        <v>0</v>
      </c>
      <c r="O2911" t="str">
        <f>CONCATENATE(Query1[[#This Row],[Description]]," - ",Query1[[#This Row],[MB1]]," - ",Query1[[#This Row],[MB2]]," - ",Query1[[#This Row],[MB3]])</f>
        <v>EVAP KIT 68 GTO W/AC - 830123 - 0 - 0</v>
      </c>
    </row>
    <row r="2912" spans="1:15" x14ac:dyDescent="0.25">
      <c r="A2912" s="1">
        <v>917126</v>
      </c>
      <c r="B2912" s="1" t="s">
        <v>182</v>
      </c>
      <c r="C2912" s="1" t="s">
        <v>183</v>
      </c>
      <c r="D2912" s="2">
        <v>44648.725590509261</v>
      </c>
      <c r="E2912" s="1" t="s">
        <v>8</v>
      </c>
      <c r="F2912" s="1">
        <v>3</v>
      </c>
      <c r="G2912" s="1">
        <v>0</v>
      </c>
      <c r="H2912" s="6">
        <f>INT(Query1[[#This Row],[EntryDateTime]])</f>
        <v>44648</v>
      </c>
      <c r="I2912" s="1">
        <f>IF(Query1[[#This Row],[ItemType]]="EVAP KIT SF GEN IV",Query1[[#This Row],[OrderQty]]+I2911,I2911)</f>
        <v>3481</v>
      </c>
      <c r="J2912" s="1">
        <f>IF(Query1[[#This Row],[ItemType]]="EVAP KIT UNIVERSAL",Query1[[#This Row],[OrderQty]]+J2911,J2911)</f>
        <v>1326</v>
      </c>
      <c r="K2912" s="1">
        <f>Query1[[#This Row],[SF Running Total]]+Query1[[#This Row],[UNIV Running Total]]</f>
        <v>4807</v>
      </c>
      <c r="L2912">
        <f>VLOOKUP(Query1[[#This Row],[Description]],'kits to boards'!$B$2:$E$156,2,FALSE)</f>
        <v>830075</v>
      </c>
      <c r="M2912">
        <f>VLOOKUP(Query1[[#This Row],[Description]],'kits to boards'!$B$2:$E$156,3,FALSE)</f>
        <v>0</v>
      </c>
      <c r="N2912">
        <f>VLOOKUP(Query1[[#This Row],[Description]],'kits to boards'!$B$2:$E$156,4,FALSE)</f>
        <v>0</v>
      </c>
      <c r="O2912" t="str">
        <f>CONCATENATE(Query1[[#This Row],[Description]]," - ",Query1[[#This Row],[MB1]]," - ",Query1[[#This Row],[MB2]]," - ",Query1[[#This Row],[MB3]])</f>
        <v>EVAP KIT 69-70 MOPAR B BODY WO AC - 830075 - 0 - 0</v>
      </c>
    </row>
    <row r="2913" spans="1:15" x14ac:dyDescent="0.25">
      <c r="A2913" s="1">
        <v>917126</v>
      </c>
      <c r="B2913" s="1" t="s">
        <v>184</v>
      </c>
      <c r="C2913" s="1" t="s">
        <v>185</v>
      </c>
      <c r="D2913" s="2">
        <v>44648.725594097225</v>
      </c>
      <c r="E2913" s="1" t="s">
        <v>8</v>
      </c>
      <c r="F2913" s="1">
        <v>2</v>
      </c>
      <c r="G2913" s="1">
        <v>0</v>
      </c>
      <c r="H2913" s="6">
        <f>INT(Query1[[#This Row],[EntryDateTime]])</f>
        <v>44648</v>
      </c>
      <c r="I2913" s="1">
        <f>IF(Query1[[#This Row],[ItemType]]="EVAP KIT SF GEN IV",Query1[[#This Row],[OrderQty]]+I2912,I2912)</f>
        <v>3483</v>
      </c>
      <c r="J2913" s="1">
        <f>IF(Query1[[#This Row],[ItemType]]="EVAP KIT UNIVERSAL",Query1[[#This Row],[OrderQty]]+J2912,J2912)</f>
        <v>1326</v>
      </c>
      <c r="K2913" s="1">
        <f>Query1[[#This Row],[SF Running Total]]+Query1[[#This Row],[UNIV Running Total]]</f>
        <v>4809</v>
      </c>
      <c r="L2913">
        <f>VLOOKUP(Query1[[#This Row],[Description]],'kits to boards'!$B$2:$E$156,2,FALSE)</f>
        <v>830042</v>
      </c>
      <c r="M2913">
        <f>VLOOKUP(Query1[[#This Row],[Description]],'kits to boards'!$B$2:$E$156,3,FALSE)</f>
        <v>0</v>
      </c>
      <c r="N2913">
        <f>VLOOKUP(Query1[[#This Row],[Description]],'kits to boards'!$B$2:$E$156,4,FALSE)</f>
        <v>0</v>
      </c>
      <c r="O2913" t="str">
        <f>CONCATENATE(Query1[[#This Row],[Description]]," - ",Query1[[#This Row],[MB1]]," - ",Query1[[#This Row],[MB2]]," - ",Query1[[#This Row],[MB3]])</f>
        <v>EVAP KIT 68-83 TOYOTA FJ40 - 830042 - 0 - 0</v>
      </c>
    </row>
    <row r="2914" spans="1:15" x14ac:dyDescent="0.25">
      <c r="A2914" s="1">
        <v>917126</v>
      </c>
      <c r="B2914" s="1" t="s">
        <v>166</v>
      </c>
      <c r="C2914" s="1" t="s">
        <v>167</v>
      </c>
      <c r="D2914" s="2">
        <v>44648.725597719909</v>
      </c>
      <c r="E2914" s="1" t="s">
        <v>8</v>
      </c>
      <c r="F2914" s="1">
        <v>2</v>
      </c>
      <c r="G2914" s="1">
        <v>0</v>
      </c>
      <c r="H2914" s="6">
        <f>INT(Query1[[#This Row],[EntryDateTime]])</f>
        <v>44648</v>
      </c>
      <c r="I2914" s="1">
        <f>IF(Query1[[#This Row],[ItemType]]="EVAP KIT SF GEN IV",Query1[[#This Row],[OrderQty]]+I2913,I2913)</f>
        <v>3485</v>
      </c>
      <c r="J2914" s="1">
        <f>IF(Query1[[#This Row],[ItemType]]="EVAP KIT UNIVERSAL",Query1[[#This Row],[OrderQty]]+J2913,J2913)</f>
        <v>1326</v>
      </c>
      <c r="K2914" s="1">
        <f>Query1[[#This Row],[SF Running Total]]+Query1[[#This Row],[UNIV Running Total]]</f>
        <v>4811</v>
      </c>
      <c r="L2914">
        <f>VLOOKUP(Query1[[#This Row],[Description]],'kits to boards'!$B$2:$E$156,2,FALSE)</f>
        <v>830063</v>
      </c>
      <c r="M2914">
        <f>VLOOKUP(Query1[[#This Row],[Description]],'kits to boards'!$B$2:$E$156,3,FALSE)</f>
        <v>0</v>
      </c>
      <c r="N2914">
        <f>VLOOKUP(Query1[[#This Row],[Description]],'kits to boards'!$B$2:$E$156,4,FALSE)</f>
        <v>0</v>
      </c>
      <c r="O2914" t="str">
        <f>CONCATENATE(Query1[[#This Row],[Description]]," - ",Query1[[#This Row],[MB1]]," - ",Query1[[#This Row],[MB2]]," - ",Query1[[#This Row],[MB3]])</f>
        <v>EVAP KIT 47-49 CHEV P-UP GEN IV - 830063 - 0 - 0</v>
      </c>
    </row>
    <row r="2915" spans="1:15" x14ac:dyDescent="0.25">
      <c r="A2915" s="1">
        <v>917126</v>
      </c>
      <c r="B2915" s="1" t="s">
        <v>120</v>
      </c>
      <c r="C2915" s="1" t="s">
        <v>121</v>
      </c>
      <c r="D2915" s="2">
        <v>44648.72560135417</v>
      </c>
      <c r="E2915" s="1" t="s">
        <v>8</v>
      </c>
      <c r="F2915" s="1">
        <v>2</v>
      </c>
      <c r="G2915" s="1">
        <v>0</v>
      </c>
      <c r="H2915" s="6">
        <f>INT(Query1[[#This Row],[EntryDateTime]])</f>
        <v>44648</v>
      </c>
      <c r="I2915" s="1">
        <f>IF(Query1[[#This Row],[ItemType]]="EVAP KIT SF GEN IV",Query1[[#This Row],[OrderQty]]+I2914,I2914)</f>
        <v>3487</v>
      </c>
      <c r="J2915" s="1">
        <f>IF(Query1[[#This Row],[ItemType]]="EVAP KIT UNIVERSAL",Query1[[#This Row],[OrderQty]]+J2914,J2914)</f>
        <v>1326</v>
      </c>
      <c r="K2915" s="1">
        <f>Query1[[#This Row],[SF Running Total]]+Query1[[#This Row],[UNIV Running Total]]</f>
        <v>4813</v>
      </c>
      <c r="L2915">
        <f>VLOOKUP(Query1[[#This Row],[Description]],'kits to boards'!$B$2:$E$156,2,FALSE)</f>
        <v>830014</v>
      </c>
      <c r="M2915">
        <f>VLOOKUP(Query1[[#This Row],[Description]],'kits to boards'!$B$2:$E$156,3,FALSE)</f>
        <v>0</v>
      </c>
      <c r="N2915">
        <f>VLOOKUP(Query1[[#This Row],[Description]],'kits to boards'!$B$2:$E$156,4,FALSE)</f>
        <v>0</v>
      </c>
      <c r="O2915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2916" spans="1:15" x14ac:dyDescent="0.25">
      <c r="A2916" s="1">
        <v>917126</v>
      </c>
      <c r="B2916" s="1" t="s">
        <v>26</v>
      </c>
      <c r="C2916" s="1" t="s">
        <v>27</v>
      </c>
      <c r="D2916" s="2">
        <v>44648.725604942127</v>
      </c>
      <c r="E2916" s="1" t="s">
        <v>8</v>
      </c>
      <c r="F2916" s="1">
        <v>2</v>
      </c>
      <c r="G2916" s="1">
        <v>0</v>
      </c>
      <c r="H2916" s="6">
        <f>INT(Query1[[#This Row],[EntryDateTime]])</f>
        <v>44648</v>
      </c>
      <c r="I2916" s="1">
        <f>IF(Query1[[#This Row],[ItemType]]="EVAP KIT SF GEN IV",Query1[[#This Row],[OrderQty]]+I2915,I2915)</f>
        <v>3489</v>
      </c>
      <c r="J2916" s="1">
        <f>IF(Query1[[#This Row],[ItemType]]="EVAP KIT UNIVERSAL",Query1[[#This Row],[OrderQty]]+J2915,J2915)</f>
        <v>1326</v>
      </c>
      <c r="K2916" s="1">
        <f>Query1[[#This Row],[SF Running Total]]+Query1[[#This Row],[UNIV Running Total]]</f>
        <v>4815</v>
      </c>
      <c r="L2916">
        <f>VLOOKUP(Query1[[#This Row],[Description]],'kits to boards'!$B$2:$E$156,2,FALSE)</f>
        <v>830013</v>
      </c>
      <c r="M2916">
        <f>VLOOKUP(Query1[[#This Row],[Description]],'kits to boards'!$B$2:$E$156,3,FALSE)</f>
        <v>0</v>
      </c>
      <c r="N2916">
        <f>VLOOKUP(Query1[[#This Row],[Description]],'kits to boards'!$B$2:$E$156,4,FALSE)</f>
        <v>0</v>
      </c>
      <c r="O2916" t="str">
        <f>CONCATENATE(Query1[[#This Row],[Description]]," - ",Query1[[#This Row],[MB1]]," - ",Query1[[#This Row],[MB2]]," - ",Query1[[#This Row],[MB3]])</f>
        <v>EVAP KIT 67-72 CHEV P-UP W/AC - 830013 - 0 - 0</v>
      </c>
    </row>
    <row r="2917" spans="1:15" x14ac:dyDescent="0.25">
      <c r="A2917" s="1">
        <v>917126</v>
      </c>
      <c r="B2917" s="1" t="s">
        <v>96</v>
      </c>
      <c r="C2917" s="1" t="s">
        <v>97</v>
      </c>
      <c r="D2917" s="2">
        <v>44648.725608796296</v>
      </c>
      <c r="E2917" s="1" t="s">
        <v>8</v>
      </c>
      <c r="F2917" s="1">
        <v>2</v>
      </c>
      <c r="G2917" s="1">
        <v>0</v>
      </c>
      <c r="H2917" s="6">
        <f>INT(Query1[[#This Row],[EntryDateTime]])</f>
        <v>44648</v>
      </c>
      <c r="I2917" s="1">
        <f>IF(Query1[[#This Row],[ItemType]]="EVAP KIT SF GEN IV",Query1[[#This Row],[OrderQty]]+I2916,I2916)</f>
        <v>3491</v>
      </c>
      <c r="J2917" s="1">
        <f>IF(Query1[[#This Row],[ItemType]]="EVAP KIT UNIVERSAL",Query1[[#This Row],[OrderQty]]+J2916,J2916)</f>
        <v>1326</v>
      </c>
      <c r="K2917" s="1">
        <f>Query1[[#This Row],[SF Running Total]]+Query1[[#This Row],[UNIV Running Total]]</f>
        <v>4817</v>
      </c>
      <c r="L2917">
        <f>VLOOKUP(Query1[[#This Row],[Description]],'kits to boards'!$B$2:$E$156,2,FALSE)</f>
        <v>830004</v>
      </c>
      <c r="M2917">
        <f>VLOOKUP(Query1[[#This Row],[Description]],'kits to boards'!$B$2:$E$156,3,FALSE)</f>
        <v>0</v>
      </c>
      <c r="N2917">
        <f>VLOOKUP(Query1[[#This Row],[Description]],'kits to boards'!$B$2:$E$156,4,FALSE)</f>
        <v>0</v>
      </c>
      <c r="O2917" t="str">
        <f>CONCATENATE(Query1[[#This Row],[Description]]," - ",Query1[[#This Row],[MB1]]," - ",Query1[[#This Row],[MB2]]," - ",Query1[[#This Row],[MB3]])</f>
        <v>EVAP KIT 81-87 CHEV P-UP W/AC - 830004 - 0 - 0</v>
      </c>
    </row>
    <row r="2918" spans="1:15" x14ac:dyDescent="0.25">
      <c r="A2918" s="1">
        <v>917126</v>
      </c>
      <c r="B2918" s="1" t="s">
        <v>84</v>
      </c>
      <c r="C2918" s="1" t="s">
        <v>85</v>
      </c>
      <c r="D2918" s="2">
        <v>44648.725612418981</v>
      </c>
      <c r="E2918" s="1" t="s">
        <v>8</v>
      </c>
      <c r="F2918" s="1">
        <v>4</v>
      </c>
      <c r="G2918" s="1">
        <v>0</v>
      </c>
      <c r="H2918" s="6">
        <f>INT(Query1[[#This Row],[EntryDateTime]])</f>
        <v>44648</v>
      </c>
      <c r="I2918" s="1">
        <f>IF(Query1[[#This Row],[ItemType]]="EVAP KIT SF GEN IV",Query1[[#This Row],[OrderQty]]+I2917,I2917)</f>
        <v>3495</v>
      </c>
      <c r="J2918" s="1">
        <f>IF(Query1[[#This Row],[ItemType]]="EVAP KIT UNIVERSAL",Query1[[#This Row],[OrderQty]]+J2917,J2917)</f>
        <v>1326</v>
      </c>
      <c r="K2918" s="1">
        <f>Query1[[#This Row],[SF Running Total]]+Query1[[#This Row],[UNIV Running Total]]</f>
        <v>4821</v>
      </c>
      <c r="L2918">
        <f>VLOOKUP(Query1[[#This Row],[Description]],'kits to boards'!$B$2:$E$156,2,FALSE)</f>
        <v>830085</v>
      </c>
      <c r="M2918">
        <f>VLOOKUP(Query1[[#This Row],[Description]],'kits to boards'!$B$2:$E$156,3,FALSE)</f>
        <v>0</v>
      </c>
      <c r="N2918">
        <f>VLOOKUP(Query1[[#This Row],[Description]],'kits to boards'!$B$2:$E$156,4,FALSE)</f>
        <v>0</v>
      </c>
      <c r="O2918" t="str">
        <f>CONCATENATE(Query1[[#This Row],[Description]]," - ",Query1[[#This Row],[MB1]]," - ",Query1[[#This Row],[MB2]]," - ",Query1[[#This Row],[MB3]])</f>
        <v>EVAP KIT 66-77 BRONCO 4-VENT PLENUM - 830085 - 0 - 0</v>
      </c>
    </row>
    <row r="2919" spans="1:15" x14ac:dyDescent="0.25">
      <c r="A2919" s="1">
        <v>917126</v>
      </c>
      <c r="B2919" s="1" t="s">
        <v>186</v>
      </c>
      <c r="C2919" s="1" t="s">
        <v>187</v>
      </c>
      <c r="D2919" s="2">
        <v>44648.725616122683</v>
      </c>
      <c r="E2919" s="1" t="s">
        <v>8</v>
      </c>
      <c r="F2919" s="1">
        <v>1</v>
      </c>
      <c r="G2919" s="1">
        <v>0</v>
      </c>
      <c r="H2919" s="6">
        <f>INT(Query1[[#This Row],[EntryDateTime]])</f>
        <v>44648</v>
      </c>
      <c r="I2919" s="1">
        <f>IF(Query1[[#This Row],[ItemType]]="EVAP KIT SF GEN IV",Query1[[#This Row],[OrderQty]]+I2918,I2918)</f>
        <v>3496</v>
      </c>
      <c r="J2919" s="1">
        <f>IF(Query1[[#This Row],[ItemType]]="EVAP KIT UNIVERSAL",Query1[[#This Row],[OrderQty]]+J2918,J2918)</f>
        <v>1326</v>
      </c>
      <c r="K2919" s="1">
        <f>Query1[[#This Row],[SF Running Total]]+Query1[[#This Row],[UNIV Running Total]]</f>
        <v>4822</v>
      </c>
      <c r="L2919">
        <f>VLOOKUP(Query1[[#This Row],[Description]],'kits to boards'!$B$2:$E$156,2,FALSE)</f>
        <v>830125</v>
      </c>
      <c r="M2919">
        <f>VLOOKUP(Query1[[#This Row],[Description]],'kits to boards'!$B$2:$E$156,3,FALSE)</f>
        <v>830126</v>
      </c>
      <c r="N2919">
        <f>VLOOKUP(Query1[[#This Row],[Description]],'kits to boards'!$B$2:$E$156,4,FALSE)</f>
        <v>0</v>
      </c>
      <c r="O2919" t="str">
        <f>CONCATENATE(Query1[[#This Row],[Description]]," - ",Query1[[#This Row],[MB1]]," - ",Query1[[#This Row],[MB2]]," - ",Query1[[#This Row],[MB3]])</f>
        <v>EVAP KIT 65-66 IMPALA WO/AC - 830125 - 830126 - 0</v>
      </c>
    </row>
    <row r="2920" spans="1:15" x14ac:dyDescent="0.25">
      <c r="A2920" s="1">
        <v>917126</v>
      </c>
      <c r="B2920" s="1" t="s">
        <v>6</v>
      </c>
      <c r="C2920" s="1" t="s">
        <v>7</v>
      </c>
      <c r="D2920" s="2">
        <v>44648.725619826386</v>
      </c>
      <c r="E2920" s="1" t="s">
        <v>8</v>
      </c>
      <c r="F2920" s="1">
        <v>2</v>
      </c>
      <c r="G2920" s="1">
        <v>0</v>
      </c>
      <c r="H2920" s="6">
        <f>INT(Query1[[#This Row],[EntryDateTime]])</f>
        <v>44648</v>
      </c>
      <c r="I2920" s="1">
        <f>IF(Query1[[#This Row],[ItemType]]="EVAP KIT SF GEN IV",Query1[[#This Row],[OrderQty]]+I2919,I2919)</f>
        <v>3498</v>
      </c>
      <c r="J2920" s="1">
        <f>IF(Query1[[#This Row],[ItemType]]="EVAP KIT UNIVERSAL",Query1[[#This Row],[OrderQty]]+J2919,J2919)</f>
        <v>1326</v>
      </c>
      <c r="K2920" s="1">
        <f>Query1[[#This Row],[SF Running Total]]+Query1[[#This Row],[UNIV Running Total]]</f>
        <v>4824</v>
      </c>
      <c r="L2920">
        <f>VLOOKUP(Query1[[#This Row],[Description]],'kits to boards'!$B$2:$E$156,2,FALSE)</f>
        <v>830132</v>
      </c>
      <c r="M2920">
        <f>VLOOKUP(Query1[[#This Row],[Description]],'kits to boards'!$B$2:$E$156,3,FALSE)</f>
        <v>0</v>
      </c>
      <c r="N2920">
        <f>VLOOKUP(Query1[[#This Row],[Description]],'kits to boards'!$B$2:$E$156,4,FALSE)</f>
        <v>0</v>
      </c>
      <c r="O2920" t="str">
        <f>CONCATENATE(Query1[[#This Row],[Description]]," - ",Query1[[#This Row],[MB1]]," - ",Query1[[#This Row],[MB2]]," - ",Query1[[#This Row],[MB3]])</f>
        <v>EVAP KIT 82-88 MONTE CARLO/EL CAMINO - 830132 - 0 - 0</v>
      </c>
    </row>
    <row r="2921" spans="1:15" x14ac:dyDescent="0.25">
      <c r="A2921" s="1">
        <v>917127</v>
      </c>
      <c r="B2921" s="1" t="s">
        <v>54</v>
      </c>
      <c r="C2921" s="1" t="s">
        <v>55</v>
      </c>
      <c r="D2921" s="2">
        <v>44648.735991979163</v>
      </c>
      <c r="E2921" s="1" t="s">
        <v>8</v>
      </c>
      <c r="F2921" s="1">
        <v>1</v>
      </c>
      <c r="G2921" s="1">
        <v>0</v>
      </c>
      <c r="H2921" s="6">
        <f>INT(Query1[[#This Row],[EntryDateTime]])</f>
        <v>44648</v>
      </c>
      <c r="I2921" s="1">
        <f>IF(Query1[[#This Row],[ItemType]]="EVAP KIT SF GEN IV",Query1[[#This Row],[OrderQty]]+I2920,I2920)</f>
        <v>3499</v>
      </c>
      <c r="J2921" s="1">
        <f>IF(Query1[[#This Row],[ItemType]]="EVAP KIT UNIVERSAL",Query1[[#This Row],[OrderQty]]+J2920,J2920)</f>
        <v>1326</v>
      </c>
      <c r="K2921" s="1">
        <f>Query1[[#This Row],[SF Running Total]]+Query1[[#This Row],[UNIV Running Total]]</f>
        <v>4825</v>
      </c>
      <c r="L2921">
        <f>VLOOKUP(Query1[[#This Row],[Description]],'kits to boards'!$B$2:$E$156,2,FALSE)</f>
        <v>830037</v>
      </c>
      <c r="M2921">
        <f>VLOOKUP(Query1[[#This Row],[Description]],'kits to boards'!$B$2:$E$156,3,FALSE)</f>
        <v>0</v>
      </c>
      <c r="N2921">
        <f>VLOOKUP(Query1[[#This Row],[Description]],'kits to boards'!$B$2:$E$156,4,FALSE)</f>
        <v>0</v>
      </c>
      <c r="O2921" t="str">
        <f>CONCATENATE(Query1[[#This Row],[Description]]," - ",Query1[[#This Row],[MB1]]," - ",Query1[[#This Row],[MB2]]," - ",Query1[[#This Row],[MB3]])</f>
        <v>EVAP KIT 70-81 FIREBIRD W/AC - 830037 - 0 - 0</v>
      </c>
    </row>
    <row r="2922" spans="1:15" x14ac:dyDescent="0.25">
      <c r="A2922" s="1">
        <v>917128</v>
      </c>
      <c r="B2922" s="1" t="s">
        <v>96</v>
      </c>
      <c r="C2922" s="1" t="s">
        <v>97</v>
      </c>
      <c r="D2922" s="2">
        <v>44648.741773993053</v>
      </c>
      <c r="E2922" s="1" t="s">
        <v>8</v>
      </c>
      <c r="F2922" s="1">
        <v>1</v>
      </c>
      <c r="G2922" s="1">
        <v>0</v>
      </c>
      <c r="H2922" s="6">
        <f>INT(Query1[[#This Row],[EntryDateTime]])</f>
        <v>44648</v>
      </c>
      <c r="I2922" s="1">
        <f>IF(Query1[[#This Row],[ItemType]]="EVAP KIT SF GEN IV",Query1[[#This Row],[OrderQty]]+I2921,I2921)</f>
        <v>3500</v>
      </c>
      <c r="J2922" s="1">
        <f>IF(Query1[[#This Row],[ItemType]]="EVAP KIT UNIVERSAL",Query1[[#This Row],[OrderQty]]+J2921,J2921)</f>
        <v>1326</v>
      </c>
      <c r="K2922" s="1">
        <f>Query1[[#This Row],[SF Running Total]]+Query1[[#This Row],[UNIV Running Total]]</f>
        <v>4826</v>
      </c>
      <c r="L2922">
        <f>VLOOKUP(Query1[[#This Row],[Description]],'kits to boards'!$B$2:$E$156,2,FALSE)</f>
        <v>830004</v>
      </c>
      <c r="M2922">
        <f>VLOOKUP(Query1[[#This Row],[Description]],'kits to boards'!$B$2:$E$156,3,FALSE)</f>
        <v>0</v>
      </c>
      <c r="N2922">
        <f>VLOOKUP(Query1[[#This Row],[Description]],'kits to boards'!$B$2:$E$156,4,FALSE)</f>
        <v>0</v>
      </c>
      <c r="O2922" t="str">
        <f>CONCATENATE(Query1[[#This Row],[Description]]," - ",Query1[[#This Row],[MB1]]," - ",Query1[[#This Row],[MB2]]," - ",Query1[[#This Row],[MB3]])</f>
        <v>EVAP KIT 81-87 CHEV P-UP W/AC - 830004 - 0 - 0</v>
      </c>
    </row>
    <row r="2923" spans="1:15" x14ac:dyDescent="0.25">
      <c r="A2923" s="1">
        <v>917131</v>
      </c>
      <c r="B2923" s="1" t="s">
        <v>142</v>
      </c>
      <c r="C2923" s="1" t="s">
        <v>143</v>
      </c>
      <c r="D2923" s="2">
        <v>44648.785299733798</v>
      </c>
      <c r="E2923" s="1" t="s">
        <v>8</v>
      </c>
      <c r="F2923" s="1">
        <v>1</v>
      </c>
      <c r="G2923" s="1">
        <v>0</v>
      </c>
      <c r="H2923" s="6">
        <f>INT(Query1[[#This Row],[EntryDateTime]])</f>
        <v>44648</v>
      </c>
      <c r="I2923" s="1">
        <f>IF(Query1[[#This Row],[ItemType]]="EVAP KIT SF GEN IV",Query1[[#This Row],[OrderQty]]+I2922,I2922)</f>
        <v>3501</v>
      </c>
      <c r="J2923" s="1">
        <f>IF(Query1[[#This Row],[ItemType]]="EVAP KIT UNIVERSAL",Query1[[#This Row],[OrderQty]]+J2922,J2922)</f>
        <v>1326</v>
      </c>
      <c r="K2923" s="1">
        <f>Query1[[#This Row],[SF Running Total]]+Query1[[#This Row],[UNIV Running Total]]</f>
        <v>4827</v>
      </c>
      <c r="L2923">
        <f>VLOOKUP(Query1[[#This Row],[Description]],'kits to boards'!$B$2:$E$156,2,FALSE)</f>
        <v>830052</v>
      </c>
      <c r="M2923">
        <f>VLOOKUP(Query1[[#This Row],[Description]],'kits to boards'!$B$2:$E$156,3,FALSE)</f>
        <v>0</v>
      </c>
      <c r="N2923">
        <f>VLOOKUP(Query1[[#This Row],[Description]],'kits to boards'!$B$2:$E$156,4,FALSE)</f>
        <v>0</v>
      </c>
      <c r="O2923" t="str">
        <f>CONCATENATE(Query1[[#This Row],[Description]]," - ",Query1[[#This Row],[MB1]]," - ",Query1[[#This Row],[MB2]]," - ",Query1[[#This Row],[MB3]])</f>
        <v>EVAP KIT 61-64 FORD F-100 - 830052 - 0 - 0</v>
      </c>
    </row>
    <row r="2924" spans="1:15" x14ac:dyDescent="0.25">
      <c r="A2924" s="1">
        <v>917132</v>
      </c>
      <c r="B2924" s="1" t="s">
        <v>114</v>
      </c>
      <c r="C2924" s="1" t="s">
        <v>115</v>
      </c>
      <c r="D2924" s="2">
        <v>44649.306611342596</v>
      </c>
      <c r="E2924" s="1" t="s">
        <v>8</v>
      </c>
      <c r="F2924" s="1">
        <v>1</v>
      </c>
      <c r="G2924" s="1">
        <v>0</v>
      </c>
      <c r="H2924" s="6">
        <f>INT(Query1[[#This Row],[EntryDateTime]])</f>
        <v>44649</v>
      </c>
      <c r="I2924" s="1">
        <f>IF(Query1[[#This Row],[ItemType]]="EVAP KIT SF GEN IV",Query1[[#This Row],[OrderQty]]+I2923,I2923)</f>
        <v>3502</v>
      </c>
      <c r="J2924" s="1">
        <f>IF(Query1[[#This Row],[ItemType]]="EVAP KIT UNIVERSAL",Query1[[#This Row],[OrderQty]]+J2923,J2923)</f>
        <v>1326</v>
      </c>
      <c r="K2924" s="1">
        <f>Query1[[#This Row],[SF Running Total]]+Query1[[#This Row],[UNIV Running Total]]</f>
        <v>4828</v>
      </c>
      <c r="L2924">
        <f>VLOOKUP(Query1[[#This Row],[Description]],'kits to boards'!$B$2:$E$156,2,FALSE)</f>
        <v>830059</v>
      </c>
      <c r="M2924">
        <f>VLOOKUP(Query1[[#This Row],[Description]],'kits to boards'!$B$2:$E$156,3,FALSE)</f>
        <v>0</v>
      </c>
      <c r="N2924">
        <f>VLOOKUP(Query1[[#This Row],[Description]],'kits to boards'!$B$2:$E$156,4,FALSE)</f>
        <v>0</v>
      </c>
      <c r="O2924" t="str">
        <f>CONCATENATE(Query1[[#This Row],[Description]]," - ",Query1[[#This Row],[MB1]]," - ",Query1[[#This Row],[MB2]]," - ",Query1[[#This Row],[MB3]])</f>
        <v>EVAP KIT 66-67 CHEVELLE W/AC - 830059 - 0 - 0</v>
      </c>
    </row>
    <row r="2925" spans="1:15" x14ac:dyDescent="0.25">
      <c r="A2925" s="1">
        <v>917135</v>
      </c>
      <c r="B2925" s="1" t="s">
        <v>38</v>
      </c>
      <c r="C2925" s="1" t="s">
        <v>39</v>
      </c>
      <c r="D2925" s="2">
        <v>44649.32195459491</v>
      </c>
      <c r="E2925" s="1" t="s">
        <v>8</v>
      </c>
      <c r="F2925" s="1">
        <v>1</v>
      </c>
      <c r="G2925" s="1">
        <v>0</v>
      </c>
      <c r="H2925" s="6">
        <f>INT(Query1[[#This Row],[EntryDateTime]])</f>
        <v>44649</v>
      </c>
      <c r="I2925" s="1">
        <f>IF(Query1[[#This Row],[ItemType]]="EVAP KIT SF GEN IV",Query1[[#This Row],[OrderQty]]+I2924,I2924)</f>
        <v>3503</v>
      </c>
      <c r="J2925" s="1">
        <f>IF(Query1[[#This Row],[ItemType]]="EVAP KIT UNIVERSAL",Query1[[#This Row],[OrderQty]]+J2924,J2924)</f>
        <v>1326</v>
      </c>
      <c r="K2925" s="1">
        <f>Query1[[#This Row],[SF Running Total]]+Query1[[#This Row],[UNIV Running Total]]</f>
        <v>4829</v>
      </c>
      <c r="L2925">
        <f>VLOOKUP(Query1[[#This Row],[Description]],'kits to boards'!$B$2:$E$156,2,FALSE)</f>
        <v>830012</v>
      </c>
      <c r="M2925">
        <f>VLOOKUP(Query1[[#This Row],[Description]],'kits to boards'!$B$2:$E$156,3,FALSE)</f>
        <v>0</v>
      </c>
      <c r="N2925">
        <f>VLOOKUP(Query1[[#This Row],[Description]],'kits to boards'!$B$2:$E$156,4,FALSE)</f>
        <v>0</v>
      </c>
      <c r="O2925" t="str">
        <f>CONCATENATE(Query1[[#This Row],[Description]]," - ",Query1[[#This Row],[MB1]]," - ",Query1[[#This Row],[MB2]]," - ",Query1[[#This Row],[MB3]])</f>
        <v>EVAP KIT 69 CAMARO W/AC - 830012 - 0 - 0</v>
      </c>
    </row>
    <row r="2926" spans="1:15" x14ac:dyDescent="0.25">
      <c r="A2926" s="1">
        <v>916937</v>
      </c>
      <c r="B2926" s="1" t="s">
        <v>98</v>
      </c>
      <c r="C2926" s="1" t="s">
        <v>99</v>
      </c>
      <c r="D2926" s="2">
        <v>44649.326471099535</v>
      </c>
      <c r="E2926" s="1" t="s">
        <v>11</v>
      </c>
      <c r="F2926" s="1">
        <v>1</v>
      </c>
      <c r="G2926" s="1">
        <v>0</v>
      </c>
      <c r="H2926" s="6">
        <f>INT(Query1[[#This Row],[EntryDateTime]])</f>
        <v>44649</v>
      </c>
      <c r="I2926" s="1">
        <f>IF(Query1[[#This Row],[ItemType]]="EVAP KIT SF GEN IV",Query1[[#This Row],[OrderQty]]+I2925,I2925)</f>
        <v>3503</v>
      </c>
      <c r="J2926" s="1">
        <f>IF(Query1[[#This Row],[ItemType]]="EVAP KIT UNIVERSAL",Query1[[#This Row],[OrderQty]]+J2925,J2925)</f>
        <v>1327</v>
      </c>
      <c r="K2926" s="1">
        <f>Query1[[#This Row],[SF Running Total]]+Query1[[#This Row],[UNIV Running Total]]</f>
        <v>4830</v>
      </c>
      <c r="L2926">
        <f>VLOOKUP(Query1[[#This Row],[Description]],'kits to boards'!$B$2:$E$156,2,FALSE)</f>
        <v>830099</v>
      </c>
      <c r="M2926">
        <f>VLOOKUP(Query1[[#This Row],[Description]],'kits to boards'!$B$2:$E$156,3,FALSE)</f>
        <v>0</v>
      </c>
      <c r="N2926">
        <f>VLOOKUP(Query1[[#This Row],[Description]],'kits to boards'!$B$2:$E$156,4,FALSE)</f>
        <v>0</v>
      </c>
      <c r="O2926" t="str">
        <f>CONCATENATE(Query1[[#This Row],[Description]]," - ",Query1[[#This Row],[MB1]]," - ",Query1[[#This Row],[MB2]]," - ",Query1[[#This Row],[MB3]])</f>
        <v>MINI GEN II W/DEF - 830099 - 0 - 0</v>
      </c>
    </row>
    <row r="2927" spans="1:15" x14ac:dyDescent="0.25">
      <c r="A2927" s="1">
        <v>917139</v>
      </c>
      <c r="B2927" s="1" t="s">
        <v>104</v>
      </c>
      <c r="C2927" s="1" t="s">
        <v>105</v>
      </c>
      <c r="D2927" s="2">
        <v>44649.328107442132</v>
      </c>
      <c r="E2927" s="1" t="s">
        <v>11</v>
      </c>
      <c r="F2927" s="1">
        <v>1</v>
      </c>
      <c r="G2927" s="1">
        <v>0</v>
      </c>
      <c r="H2927" s="6">
        <f>INT(Query1[[#This Row],[EntryDateTime]])</f>
        <v>44649</v>
      </c>
      <c r="I2927" s="1">
        <f>IF(Query1[[#This Row],[ItemType]]="EVAP KIT SF GEN IV",Query1[[#This Row],[OrderQty]]+I2926,I2926)</f>
        <v>3503</v>
      </c>
      <c r="J2927" s="1">
        <f>IF(Query1[[#This Row],[ItemType]]="EVAP KIT UNIVERSAL",Query1[[#This Row],[OrderQty]]+J2926,J2926)</f>
        <v>1328</v>
      </c>
      <c r="K2927" s="1">
        <f>Query1[[#This Row],[SF Running Total]]+Query1[[#This Row],[UNIV Running Total]]</f>
        <v>4831</v>
      </c>
      <c r="L2927">
        <f>VLOOKUP(Query1[[#This Row],[Description]],'kits to boards'!$B$2:$E$156,2,FALSE)</f>
        <v>0</v>
      </c>
      <c r="M2927">
        <f>VLOOKUP(Query1[[#This Row],[Description]],'kits to boards'!$B$2:$E$156,3,FALSE)</f>
        <v>0</v>
      </c>
      <c r="N2927">
        <f>VLOOKUP(Query1[[#This Row],[Description]],'kits to boards'!$B$2:$E$156,4,FALSE)</f>
        <v>0</v>
      </c>
      <c r="O2927" t="str">
        <f>CONCATENATE(Query1[[#This Row],[Description]]," - ",Query1[[#This Row],[MB1]]," - ",Query1[[#This Row],[MB2]]," - ",Query1[[#This Row],[MB3]])</f>
        <v>HERITAGE BRUSHED EVAP KIT HEAT/COOL - 0 - 0 - 0</v>
      </c>
    </row>
    <row r="2928" spans="1:15" x14ac:dyDescent="0.25">
      <c r="A2928" s="1">
        <v>917139</v>
      </c>
      <c r="B2928" s="1" t="s">
        <v>138</v>
      </c>
      <c r="C2928" s="1" t="s">
        <v>139</v>
      </c>
      <c r="D2928" s="2">
        <v>44649.328212465276</v>
      </c>
      <c r="E2928" s="1" t="s">
        <v>11</v>
      </c>
      <c r="F2928" s="1">
        <v>1</v>
      </c>
      <c r="G2928" s="1">
        <v>0</v>
      </c>
      <c r="H2928" s="6">
        <f>INT(Query1[[#This Row],[EntryDateTime]])</f>
        <v>44649</v>
      </c>
      <c r="I2928" s="1">
        <f>IF(Query1[[#This Row],[ItemType]]="EVAP KIT SF GEN IV",Query1[[#This Row],[OrderQty]]+I2927,I2927)</f>
        <v>3503</v>
      </c>
      <c r="J2928" s="1">
        <f>IF(Query1[[#This Row],[ItemType]]="EVAP KIT UNIVERSAL",Query1[[#This Row],[OrderQty]]+J2927,J2927)</f>
        <v>1329</v>
      </c>
      <c r="K2928" s="1">
        <f>Query1[[#This Row],[SF Running Total]]+Query1[[#This Row],[UNIV Running Total]]</f>
        <v>4832</v>
      </c>
      <c r="L2928">
        <f>VLOOKUP(Query1[[#This Row],[Description]],'kits to boards'!$B$2:$E$156,2,FALSE)</f>
        <v>0</v>
      </c>
      <c r="M2928">
        <f>VLOOKUP(Query1[[#This Row],[Description]],'kits to boards'!$B$2:$E$156,3,FALSE)</f>
        <v>0</v>
      </c>
      <c r="N2928">
        <f>VLOOKUP(Query1[[#This Row],[Description]],'kits to boards'!$B$2:$E$156,4,FALSE)</f>
        <v>0</v>
      </c>
      <c r="O2928" t="str">
        <f>CONCATENATE(Query1[[#This Row],[Description]]," - ",Query1[[#This Row],[MB1]]," - ",Query1[[#This Row],[MB2]]," - ",Query1[[#This Row],[MB3]])</f>
        <v>HERITAGE TURNED BLACK EVAP KIT HEAT/COOL - 0 - 0 - 0</v>
      </c>
    </row>
    <row r="2929" spans="1:15" x14ac:dyDescent="0.25">
      <c r="A2929" s="1">
        <v>917139</v>
      </c>
      <c r="B2929" s="1" t="s">
        <v>96</v>
      </c>
      <c r="C2929" s="1" t="s">
        <v>97</v>
      </c>
      <c r="D2929" s="2">
        <v>44649.328316863423</v>
      </c>
      <c r="E2929" s="1" t="s">
        <v>8</v>
      </c>
      <c r="F2929" s="1">
        <v>1</v>
      </c>
      <c r="G2929" s="1">
        <v>0</v>
      </c>
      <c r="H2929" s="6">
        <f>INT(Query1[[#This Row],[EntryDateTime]])</f>
        <v>44649</v>
      </c>
      <c r="I2929" s="1">
        <f>IF(Query1[[#This Row],[ItemType]]="EVAP KIT SF GEN IV",Query1[[#This Row],[OrderQty]]+I2928,I2928)</f>
        <v>3504</v>
      </c>
      <c r="J2929" s="1">
        <f>IF(Query1[[#This Row],[ItemType]]="EVAP KIT UNIVERSAL",Query1[[#This Row],[OrderQty]]+J2928,J2928)</f>
        <v>1329</v>
      </c>
      <c r="K2929" s="1">
        <f>Query1[[#This Row],[SF Running Total]]+Query1[[#This Row],[UNIV Running Total]]</f>
        <v>4833</v>
      </c>
      <c r="L2929">
        <f>VLOOKUP(Query1[[#This Row],[Description]],'kits to boards'!$B$2:$E$156,2,FALSE)</f>
        <v>830004</v>
      </c>
      <c r="M2929">
        <f>VLOOKUP(Query1[[#This Row],[Description]],'kits to boards'!$B$2:$E$156,3,FALSE)</f>
        <v>0</v>
      </c>
      <c r="N2929">
        <f>VLOOKUP(Query1[[#This Row],[Description]],'kits to boards'!$B$2:$E$156,4,FALSE)</f>
        <v>0</v>
      </c>
      <c r="O2929" t="str">
        <f>CONCATENATE(Query1[[#This Row],[Description]]," - ",Query1[[#This Row],[MB1]]," - ",Query1[[#This Row],[MB2]]," - ",Query1[[#This Row],[MB3]])</f>
        <v>EVAP KIT 81-87 CHEV P-UP W/AC - 830004 - 0 - 0</v>
      </c>
    </row>
    <row r="2930" spans="1:15" x14ac:dyDescent="0.25">
      <c r="A2930" s="1">
        <v>917139</v>
      </c>
      <c r="B2930" s="1" t="s">
        <v>92</v>
      </c>
      <c r="C2930" s="1" t="s">
        <v>93</v>
      </c>
      <c r="D2930" s="2">
        <v>44649.328419062498</v>
      </c>
      <c r="E2930" s="1" t="s">
        <v>8</v>
      </c>
      <c r="F2930" s="1">
        <v>1</v>
      </c>
      <c r="G2930" s="1">
        <v>0</v>
      </c>
      <c r="H2930" s="6">
        <f>INT(Query1[[#This Row],[EntryDateTime]])</f>
        <v>44649</v>
      </c>
      <c r="I2930" s="1">
        <f>IF(Query1[[#This Row],[ItemType]]="EVAP KIT SF GEN IV",Query1[[#This Row],[OrderQty]]+I2929,I2929)</f>
        <v>3505</v>
      </c>
      <c r="J2930" s="1">
        <f>IF(Query1[[#This Row],[ItemType]]="EVAP KIT UNIVERSAL",Query1[[#This Row],[OrderQty]]+J2929,J2929)</f>
        <v>1329</v>
      </c>
      <c r="K2930" s="1">
        <f>Query1[[#This Row],[SF Running Total]]+Query1[[#This Row],[UNIV Running Total]]</f>
        <v>4834</v>
      </c>
      <c r="L2930">
        <f>VLOOKUP(Query1[[#This Row],[Description]],'kits to boards'!$B$2:$E$156,2,FALSE)</f>
        <v>830063</v>
      </c>
      <c r="M2930">
        <f>VLOOKUP(Query1[[#This Row],[Description]],'kits to boards'!$B$2:$E$156,3,FALSE)</f>
        <v>0</v>
      </c>
      <c r="N2930">
        <f>VLOOKUP(Query1[[#This Row],[Description]],'kits to boards'!$B$2:$E$156,4,FALSE)</f>
        <v>0</v>
      </c>
      <c r="O2930" t="str">
        <f>CONCATENATE(Query1[[#This Row],[Description]]," - ",Query1[[#This Row],[MB1]]," - ",Query1[[#This Row],[MB2]]," - ",Query1[[#This Row],[MB3]])</f>
        <v>EVAP KIT 50-53 CHEV P-UP GEN IV - 830063 - 0 - 0</v>
      </c>
    </row>
    <row r="2931" spans="1:15" x14ac:dyDescent="0.25">
      <c r="A2931" s="1">
        <v>917139</v>
      </c>
      <c r="B2931" s="1" t="s">
        <v>84</v>
      </c>
      <c r="C2931" s="1" t="s">
        <v>85</v>
      </c>
      <c r="D2931" s="2">
        <v>44649.328653506942</v>
      </c>
      <c r="E2931" s="1" t="s">
        <v>8</v>
      </c>
      <c r="F2931" s="1">
        <v>1</v>
      </c>
      <c r="G2931" s="1">
        <v>0</v>
      </c>
      <c r="H2931" s="6">
        <f>INT(Query1[[#This Row],[EntryDateTime]])</f>
        <v>44649</v>
      </c>
      <c r="I2931" s="1">
        <f>IF(Query1[[#This Row],[ItemType]]="EVAP KIT SF GEN IV",Query1[[#This Row],[OrderQty]]+I2930,I2930)</f>
        <v>3506</v>
      </c>
      <c r="J2931" s="1">
        <f>IF(Query1[[#This Row],[ItemType]]="EVAP KIT UNIVERSAL",Query1[[#This Row],[OrderQty]]+J2930,J2930)</f>
        <v>1329</v>
      </c>
      <c r="K2931" s="1">
        <f>Query1[[#This Row],[SF Running Total]]+Query1[[#This Row],[UNIV Running Total]]</f>
        <v>4835</v>
      </c>
      <c r="L2931">
        <f>VLOOKUP(Query1[[#This Row],[Description]],'kits to boards'!$B$2:$E$156,2,FALSE)</f>
        <v>830085</v>
      </c>
      <c r="M2931">
        <f>VLOOKUP(Query1[[#This Row],[Description]],'kits to boards'!$B$2:$E$156,3,FALSE)</f>
        <v>0</v>
      </c>
      <c r="N2931">
        <f>VLOOKUP(Query1[[#This Row],[Description]],'kits to boards'!$B$2:$E$156,4,FALSE)</f>
        <v>0</v>
      </c>
      <c r="O2931" t="str">
        <f>CONCATENATE(Query1[[#This Row],[Description]]," - ",Query1[[#This Row],[MB1]]," - ",Query1[[#This Row],[MB2]]," - ",Query1[[#This Row],[MB3]])</f>
        <v>EVAP KIT 66-77 BRONCO 4-VENT PLENUM - 830085 - 0 - 0</v>
      </c>
    </row>
    <row r="2932" spans="1:15" x14ac:dyDescent="0.25">
      <c r="A2932" s="1">
        <v>917141</v>
      </c>
      <c r="B2932" s="1" t="s">
        <v>64</v>
      </c>
      <c r="C2932" s="1" t="s">
        <v>65</v>
      </c>
      <c r="D2932" s="2">
        <v>44649.330845254626</v>
      </c>
      <c r="E2932" s="1" t="s">
        <v>8</v>
      </c>
      <c r="F2932" s="1">
        <v>1</v>
      </c>
      <c r="G2932" s="1">
        <v>0</v>
      </c>
      <c r="H2932" s="6">
        <f>INT(Query1[[#This Row],[EntryDateTime]])</f>
        <v>44649</v>
      </c>
      <c r="I2932" s="1">
        <f>IF(Query1[[#This Row],[ItemType]]="EVAP KIT SF GEN IV",Query1[[#This Row],[OrderQty]]+I2931,I2931)</f>
        <v>3507</v>
      </c>
      <c r="J2932" s="1">
        <f>IF(Query1[[#This Row],[ItemType]]="EVAP KIT UNIVERSAL",Query1[[#This Row],[OrderQty]]+J2931,J2931)</f>
        <v>1329</v>
      </c>
      <c r="K2932" s="1">
        <f>Query1[[#This Row],[SF Running Total]]+Query1[[#This Row],[UNIV Running Total]]</f>
        <v>4836</v>
      </c>
      <c r="L2932">
        <f>VLOOKUP(Query1[[#This Row],[Description]],'kits to boards'!$B$2:$E$156,2,FALSE)</f>
        <v>830067</v>
      </c>
      <c r="M2932">
        <f>VLOOKUP(Query1[[#This Row],[Description]],'kits to boards'!$B$2:$E$156,3,FALSE)</f>
        <v>0</v>
      </c>
      <c r="N2932">
        <f>VLOOKUP(Query1[[#This Row],[Description]],'kits to boards'!$B$2:$E$156,4,FALSE)</f>
        <v>0</v>
      </c>
      <c r="O2932" t="str">
        <f>CONCATENATE(Query1[[#This Row],[Description]]," - ",Query1[[#This Row],[MB1]]," - ",Query1[[#This Row],[MB2]]," - ",Query1[[#This Row],[MB3]])</f>
        <v>EVAP KIT 59-60 CHEV CAR 4-LEVER - 830067 - 0 - 0</v>
      </c>
    </row>
    <row r="2933" spans="1:15" x14ac:dyDescent="0.25">
      <c r="A2933" s="1">
        <v>917137</v>
      </c>
      <c r="B2933" s="1" t="s">
        <v>22</v>
      </c>
      <c r="C2933" s="1" t="s">
        <v>23</v>
      </c>
      <c r="D2933" s="2">
        <v>44649.362270636571</v>
      </c>
      <c r="E2933" s="1" t="s">
        <v>8</v>
      </c>
      <c r="F2933" s="1">
        <v>6</v>
      </c>
      <c r="G2933" s="1">
        <v>0</v>
      </c>
      <c r="H2933" s="6">
        <f>INT(Query1[[#This Row],[EntryDateTime]])</f>
        <v>44649</v>
      </c>
      <c r="I2933" s="1">
        <f>IF(Query1[[#This Row],[ItemType]]="EVAP KIT SF GEN IV",Query1[[#This Row],[OrderQty]]+I2932,I2932)</f>
        <v>3513</v>
      </c>
      <c r="J2933" s="1">
        <f>IF(Query1[[#This Row],[ItemType]]="EVAP KIT UNIVERSAL",Query1[[#This Row],[OrderQty]]+J2932,J2932)</f>
        <v>1329</v>
      </c>
      <c r="K2933" s="1">
        <f>Query1[[#This Row],[SF Running Total]]+Query1[[#This Row],[UNIV Running Total]]</f>
        <v>4842</v>
      </c>
      <c r="L2933">
        <f>VLOOKUP(Query1[[#This Row],[Description]],'kits to boards'!$B$2:$E$156,2,FALSE)</f>
        <v>830083</v>
      </c>
      <c r="M2933">
        <f>VLOOKUP(Query1[[#This Row],[Description]],'kits to boards'!$B$2:$E$156,3,FALSE)</f>
        <v>0</v>
      </c>
      <c r="N2933">
        <f>VLOOKUP(Query1[[#This Row],[Description]],'kits to boards'!$B$2:$E$156,4,FALSE)</f>
        <v>0</v>
      </c>
      <c r="O2933" t="str">
        <f>CONCATENATE(Query1[[#This Row],[Description]]," - ",Query1[[#This Row],[MB1]]," - ",Query1[[#This Row],[MB2]]," - ",Query1[[#This Row],[MB3]])</f>
        <v>GEN IV MAGNUM EVAP KIT - 830083 - 0 - 0</v>
      </c>
    </row>
    <row r="2934" spans="1:15" x14ac:dyDescent="0.25">
      <c r="A2934" s="1">
        <v>917163</v>
      </c>
      <c r="B2934" s="1" t="s">
        <v>88</v>
      </c>
      <c r="C2934" s="1" t="s">
        <v>89</v>
      </c>
      <c r="D2934" s="2">
        <v>44649.365434872685</v>
      </c>
      <c r="E2934" s="1" t="s">
        <v>8</v>
      </c>
      <c r="F2934" s="1">
        <v>1</v>
      </c>
      <c r="G2934" s="1">
        <v>0</v>
      </c>
      <c r="H2934" s="6">
        <f>INT(Query1[[#This Row],[EntryDateTime]])</f>
        <v>44649</v>
      </c>
      <c r="I2934" s="1">
        <f>IF(Query1[[#This Row],[ItemType]]="EVAP KIT SF GEN IV",Query1[[#This Row],[OrderQty]]+I2933,I2933)</f>
        <v>3514</v>
      </c>
      <c r="J2934" s="1">
        <f>IF(Query1[[#This Row],[ItemType]]="EVAP KIT UNIVERSAL",Query1[[#This Row],[OrderQty]]+J2933,J2933)</f>
        <v>1329</v>
      </c>
      <c r="K2934" s="1">
        <f>Query1[[#This Row],[SF Running Total]]+Query1[[#This Row],[UNIV Running Total]]</f>
        <v>4843</v>
      </c>
      <c r="L2934">
        <f>VLOOKUP(Query1[[#This Row],[Description]],'kits to boards'!$B$2:$E$156,2,FALSE)</f>
        <v>830003</v>
      </c>
      <c r="M2934">
        <f>VLOOKUP(Query1[[#This Row],[Description]],'kits to boards'!$B$2:$E$156,3,FALSE)</f>
        <v>0</v>
      </c>
      <c r="N2934">
        <f>VLOOKUP(Query1[[#This Row],[Description]],'kits to boards'!$B$2:$E$156,4,FALSE)</f>
        <v>0</v>
      </c>
      <c r="O2934" t="str">
        <f>CONCATENATE(Query1[[#This Row],[Description]]," - ",Query1[[#This Row],[MB1]]," - ",Query1[[#This Row],[MB2]]," - ",Query1[[#This Row],[MB3]])</f>
        <v>EVAP KIT 81-87 CHEV P-UP WO AC - 830003 - 0 - 0</v>
      </c>
    </row>
    <row r="2935" spans="1:15" x14ac:dyDescent="0.25">
      <c r="A2935" s="1">
        <v>917166</v>
      </c>
      <c r="B2935" s="1" t="s">
        <v>96</v>
      </c>
      <c r="C2935" s="1" t="s">
        <v>97</v>
      </c>
      <c r="D2935" s="2">
        <v>44649.36712372685</v>
      </c>
      <c r="E2935" s="1" t="s">
        <v>8</v>
      </c>
      <c r="F2935" s="1">
        <v>1</v>
      </c>
      <c r="G2935" s="1">
        <v>0</v>
      </c>
      <c r="H2935" s="6">
        <f>INT(Query1[[#This Row],[EntryDateTime]])</f>
        <v>44649</v>
      </c>
      <c r="I2935" s="1">
        <f>IF(Query1[[#This Row],[ItemType]]="EVAP KIT SF GEN IV",Query1[[#This Row],[OrderQty]]+I2934,I2934)</f>
        <v>3515</v>
      </c>
      <c r="J2935" s="1">
        <f>IF(Query1[[#This Row],[ItemType]]="EVAP KIT UNIVERSAL",Query1[[#This Row],[OrderQty]]+J2934,J2934)</f>
        <v>1329</v>
      </c>
      <c r="K2935" s="1">
        <f>Query1[[#This Row],[SF Running Total]]+Query1[[#This Row],[UNIV Running Total]]</f>
        <v>4844</v>
      </c>
      <c r="L2935">
        <f>VLOOKUP(Query1[[#This Row],[Description]],'kits to boards'!$B$2:$E$156,2,FALSE)</f>
        <v>830004</v>
      </c>
      <c r="M2935">
        <f>VLOOKUP(Query1[[#This Row],[Description]],'kits to boards'!$B$2:$E$156,3,FALSE)</f>
        <v>0</v>
      </c>
      <c r="N2935">
        <f>VLOOKUP(Query1[[#This Row],[Description]],'kits to boards'!$B$2:$E$156,4,FALSE)</f>
        <v>0</v>
      </c>
      <c r="O2935" t="str">
        <f>CONCATENATE(Query1[[#This Row],[Description]]," - ",Query1[[#This Row],[MB1]]," - ",Query1[[#This Row],[MB2]]," - ",Query1[[#This Row],[MB3]])</f>
        <v>EVAP KIT 81-87 CHEV P-UP W/AC - 830004 - 0 - 0</v>
      </c>
    </row>
    <row r="2936" spans="1:15" x14ac:dyDescent="0.25">
      <c r="A2936" s="1">
        <v>917167</v>
      </c>
      <c r="B2936" s="1" t="s">
        <v>44</v>
      </c>
      <c r="C2936" s="1" t="s">
        <v>45</v>
      </c>
      <c r="D2936" s="2">
        <v>44649.36889247685</v>
      </c>
      <c r="E2936" s="1" t="s">
        <v>8</v>
      </c>
      <c r="F2936" s="1">
        <v>1</v>
      </c>
      <c r="G2936" s="1">
        <v>0</v>
      </c>
      <c r="H2936" s="6">
        <f>INT(Query1[[#This Row],[EntryDateTime]])</f>
        <v>44649</v>
      </c>
      <c r="I2936" s="1">
        <f>IF(Query1[[#This Row],[ItemType]]="EVAP KIT SF GEN IV",Query1[[#This Row],[OrderQty]]+I2935,I2935)</f>
        <v>3516</v>
      </c>
      <c r="J2936" s="1">
        <f>IF(Query1[[#This Row],[ItemType]]="EVAP KIT UNIVERSAL",Query1[[#This Row],[OrderQty]]+J2935,J2935)</f>
        <v>1329</v>
      </c>
      <c r="K2936" s="1">
        <f>Query1[[#This Row],[SF Running Total]]+Query1[[#This Row],[UNIV Running Total]]</f>
        <v>4845</v>
      </c>
      <c r="L2936">
        <f>VLOOKUP(Query1[[#This Row],[Description]],'kits to boards'!$B$2:$E$156,2,FALSE)</f>
        <v>830085</v>
      </c>
      <c r="M2936">
        <f>VLOOKUP(Query1[[#This Row],[Description]],'kits to boards'!$B$2:$E$156,3,FALSE)</f>
        <v>0</v>
      </c>
      <c r="N2936">
        <f>VLOOKUP(Query1[[#This Row],[Description]],'kits to boards'!$B$2:$E$156,4,FALSE)</f>
        <v>0</v>
      </c>
      <c r="O2936" t="str">
        <f>CONCATENATE(Query1[[#This Row],[Description]]," - ",Query1[[#This Row],[MB1]]," - ",Query1[[#This Row],[MB2]]," - ",Query1[[#This Row],[MB3]])</f>
        <v>EVAP KIT 66-77 BRONCO - 830085 - 0 - 0</v>
      </c>
    </row>
    <row r="2937" spans="1:15" x14ac:dyDescent="0.25">
      <c r="A2937" s="1">
        <v>917169</v>
      </c>
      <c r="B2937" s="1" t="s">
        <v>54</v>
      </c>
      <c r="C2937" s="1" t="s">
        <v>55</v>
      </c>
      <c r="D2937" s="2">
        <v>44649.370483449071</v>
      </c>
      <c r="E2937" s="1" t="s">
        <v>8</v>
      </c>
      <c r="F2937" s="1">
        <v>1</v>
      </c>
      <c r="G2937" s="1">
        <v>0</v>
      </c>
      <c r="H2937" s="6">
        <f>INT(Query1[[#This Row],[EntryDateTime]])</f>
        <v>44649</v>
      </c>
      <c r="I2937" s="1">
        <f>IF(Query1[[#This Row],[ItemType]]="EVAP KIT SF GEN IV",Query1[[#This Row],[OrderQty]]+I2936,I2936)</f>
        <v>3517</v>
      </c>
      <c r="J2937" s="1">
        <f>IF(Query1[[#This Row],[ItemType]]="EVAP KIT UNIVERSAL",Query1[[#This Row],[OrderQty]]+J2936,J2936)</f>
        <v>1329</v>
      </c>
      <c r="K2937" s="1">
        <f>Query1[[#This Row],[SF Running Total]]+Query1[[#This Row],[UNIV Running Total]]</f>
        <v>4846</v>
      </c>
      <c r="L2937">
        <f>VLOOKUP(Query1[[#This Row],[Description]],'kits to boards'!$B$2:$E$156,2,FALSE)</f>
        <v>830037</v>
      </c>
      <c r="M2937">
        <f>VLOOKUP(Query1[[#This Row],[Description]],'kits to boards'!$B$2:$E$156,3,FALSE)</f>
        <v>0</v>
      </c>
      <c r="N2937">
        <f>VLOOKUP(Query1[[#This Row],[Description]],'kits to boards'!$B$2:$E$156,4,FALSE)</f>
        <v>0</v>
      </c>
      <c r="O2937" t="str">
        <f>CONCATENATE(Query1[[#This Row],[Description]]," - ",Query1[[#This Row],[MB1]]," - ",Query1[[#This Row],[MB2]]," - ",Query1[[#This Row],[MB3]])</f>
        <v>EVAP KIT 70-81 FIREBIRD W/AC - 830037 - 0 - 0</v>
      </c>
    </row>
    <row r="2938" spans="1:15" x14ac:dyDescent="0.25">
      <c r="A2938" s="1">
        <v>917150</v>
      </c>
      <c r="B2938" s="1" t="s">
        <v>24</v>
      </c>
      <c r="C2938" s="1" t="s">
        <v>25</v>
      </c>
      <c r="D2938" s="2">
        <v>44649.372291666667</v>
      </c>
      <c r="E2938" s="1" t="s">
        <v>11</v>
      </c>
      <c r="F2938" s="1">
        <v>1</v>
      </c>
      <c r="G2938" s="1">
        <v>0</v>
      </c>
      <c r="H2938" s="6">
        <f>INT(Query1[[#This Row],[EntryDateTime]])</f>
        <v>44649</v>
      </c>
      <c r="I2938" s="1">
        <f>IF(Query1[[#This Row],[ItemType]]="EVAP KIT SF GEN IV",Query1[[#This Row],[OrderQty]]+I2937,I2937)</f>
        <v>3517</v>
      </c>
      <c r="J2938" s="1">
        <f>IF(Query1[[#This Row],[ItemType]]="EVAP KIT UNIVERSAL",Query1[[#This Row],[OrderQty]]+J2937,J2937)</f>
        <v>1330</v>
      </c>
      <c r="K2938" s="1">
        <f>Query1[[#This Row],[SF Running Total]]+Query1[[#This Row],[UNIV Running Total]]</f>
        <v>4847</v>
      </c>
      <c r="L2938">
        <f>VLOOKUP(Query1[[#This Row],[Description]],'kits to boards'!$B$2:$E$156,2,FALSE)</f>
        <v>830029</v>
      </c>
      <c r="M2938">
        <f>VLOOKUP(Query1[[#This Row],[Description]],'kits to boards'!$B$2:$E$156,3,FALSE)</f>
        <v>830030</v>
      </c>
      <c r="N2938">
        <f>VLOOKUP(Query1[[#This Row],[Description]],'kits to boards'!$B$2:$E$156,4,FALSE)</f>
        <v>0</v>
      </c>
      <c r="O2938" t="str">
        <f>CONCATENATE(Query1[[#This Row],[Description]]," - ",Query1[[#This Row],[MB1]]," - ",Query1[[#This Row],[MB2]]," - ",Query1[[#This Row],[MB3]])</f>
        <v>ComPac GEN II W/DEF - 830029 - 830030 - 0</v>
      </c>
    </row>
    <row r="2939" spans="1:15" x14ac:dyDescent="0.25">
      <c r="A2939" s="1">
        <v>917150</v>
      </c>
      <c r="B2939" s="1" t="s">
        <v>98</v>
      </c>
      <c r="C2939" s="1" t="s">
        <v>99</v>
      </c>
      <c r="D2939" s="2">
        <v>44649.372291666667</v>
      </c>
      <c r="E2939" s="1" t="s">
        <v>11</v>
      </c>
      <c r="F2939" s="1">
        <v>1</v>
      </c>
      <c r="G2939" s="1">
        <v>0</v>
      </c>
      <c r="H2939" s="6">
        <f>INT(Query1[[#This Row],[EntryDateTime]])</f>
        <v>44649</v>
      </c>
      <c r="I2939" s="1">
        <f>IF(Query1[[#This Row],[ItemType]]="EVAP KIT SF GEN IV",Query1[[#This Row],[OrderQty]]+I2938,I2938)</f>
        <v>3517</v>
      </c>
      <c r="J2939" s="1">
        <f>IF(Query1[[#This Row],[ItemType]]="EVAP KIT UNIVERSAL",Query1[[#This Row],[OrderQty]]+J2938,J2938)</f>
        <v>1331</v>
      </c>
      <c r="K2939" s="1">
        <f>Query1[[#This Row],[SF Running Total]]+Query1[[#This Row],[UNIV Running Total]]</f>
        <v>4848</v>
      </c>
      <c r="L2939">
        <f>VLOOKUP(Query1[[#This Row],[Description]],'kits to boards'!$B$2:$E$156,2,FALSE)</f>
        <v>830099</v>
      </c>
      <c r="M2939">
        <f>VLOOKUP(Query1[[#This Row],[Description]],'kits to boards'!$B$2:$E$156,3,FALSE)</f>
        <v>0</v>
      </c>
      <c r="N2939">
        <f>VLOOKUP(Query1[[#This Row],[Description]],'kits to boards'!$B$2:$E$156,4,FALSE)</f>
        <v>0</v>
      </c>
      <c r="O2939" t="str">
        <f>CONCATENATE(Query1[[#This Row],[Description]]," - ",Query1[[#This Row],[MB1]]," - ",Query1[[#This Row],[MB2]]," - ",Query1[[#This Row],[MB3]])</f>
        <v>MINI GEN II W/DEF - 830099 - 0 - 0</v>
      </c>
    </row>
    <row r="2940" spans="1:15" x14ac:dyDescent="0.25">
      <c r="A2940" s="1">
        <v>916722</v>
      </c>
      <c r="B2940" s="1" t="s">
        <v>102</v>
      </c>
      <c r="C2940" s="1" t="s">
        <v>103</v>
      </c>
      <c r="D2940" s="2">
        <v>44649.373317743055</v>
      </c>
      <c r="E2940" s="1" t="s">
        <v>8</v>
      </c>
      <c r="F2940" s="1">
        <v>1</v>
      </c>
      <c r="G2940" s="1">
        <v>0</v>
      </c>
      <c r="H2940" s="6">
        <f>INT(Query1[[#This Row],[EntryDateTime]])</f>
        <v>44649</v>
      </c>
      <c r="I2940" s="1">
        <f>IF(Query1[[#This Row],[ItemType]]="EVAP KIT SF GEN IV",Query1[[#This Row],[OrderQty]]+I2939,I2939)</f>
        <v>3518</v>
      </c>
      <c r="J2940" s="1">
        <f>IF(Query1[[#This Row],[ItemType]]="EVAP KIT UNIVERSAL",Query1[[#This Row],[OrderQty]]+J2939,J2939)</f>
        <v>1331</v>
      </c>
      <c r="K2940" s="1">
        <f>Query1[[#This Row],[SF Running Total]]+Query1[[#This Row],[UNIV Running Total]]</f>
        <v>4849</v>
      </c>
      <c r="L2940">
        <f>VLOOKUP(Query1[[#This Row],[Description]],'kits to boards'!$B$2:$E$156,2,FALSE)</f>
        <v>830012</v>
      </c>
      <c r="M2940">
        <f>VLOOKUP(Query1[[#This Row],[Description]],'kits to boards'!$B$2:$E$156,3,FALSE)</f>
        <v>0</v>
      </c>
      <c r="N2940">
        <f>VLOOKUP(Query1[[#This Row],[Description]],'kits to boards'!$B$2:$E$156,4,FALSE)</f>
        <v>0</v>
      </c>
      <c r="O2940" t="str">
        <f>CONCATENATE(Query1[[#This Row],[Description]]," - ",Query1[[#This Row],[MB1]]," - ",Query1[[#This Row],[MB2]]," - ",Query1[[#This Row],[MB3]])</f>
        <v>EVAP KIT 69 CAMARO WO/AC - 830012 - 0 - 0</v>
      </c>
    </row>
    <row r="2941" spans="1:15" x14ac:dyDescent="0.25">
      <c r="A2941" s="1">
        <v>917178</v>
      </c>
      <c r="B2941" s="1" t="s">
        <v>190</v>
      </c>
      <c r="C2941" s="1" t="s">
        <v>191</v>
      </c>
      <c r="D2941" s="2">
        <v>44649.383556793982</v>
      </c>
      <c r="E2941" s="1" t="s">
        <v>8</v>
      </c>
      <c r="F2941" s="1">
        <v>1</v>
      </c>
      <c r="G2941" s="1">
        <v>0</v>
      </c>
      <c r="H2941" s="6">
        <f>INT(Query1[[#This Row],[EntryDateTime]])</f>
        <v>44649</v>
      </c>
      <c r="I2941" s="1">
        <f>IF(Query1[[#This Row],[ItemType]]="EVAP KIT SF GEN IV",Query1[[#This Row],[OrderQty]]+I2940,I2940)</f>
        <v>3519</v>
      </c>
      <c r="J2941" s="1">
        <f>IF(Query1[[#This Row],[ItemType]]="EVAP KIT UNIVERSAL",Query1[[#This Row],[OrderQty]]+J2940,J2940)</f>
        <v>1331</v>
      </c>
      <c r="K2941" s="1">
        <f>Query1[[#This Row],[SF Running Total]]+Query1[[#This Row],[UNIV Running Total]]</f>
        <v>4850</v>
      </c>
      <c r="L2941">
        <f>VLOOKUP(Query1[[#This Row],[Description]],'kits to boards'!$B$2:$E$156,2,FALSE)</f>
        <v>830008</v>
      </c>
      <c r="M2941">
        <f>VLOOKUP(Query1[[#This Row],[Description]],'kits to boards'!$B$2:$E$156,3,FALSE)</f>
        <v>0</v>
      </c>
      <c r="N2941">
        <f>VLOOKUP(Query1[[#This Row],[Description]],'kits to boards'!$B$2:$E$156,4,FALSE)</f>
        <v>0</v>
      </c>
      <c r="O2941" t="str">
        <f>CONCATENATE(Query1[[#This Row],[Description]]," - ",Query1[[#This Row],[MB1]]," - ",Query1[[#This Row],[MB2]]," - ",Query1[[#This Row],[MB3]])</f>
        <v>EVAP KIT 63 IMPALA WO AC - 830008 - 0 - 0</v>
      </c>
    </row>
    <row r="2942" spans="1:15" x14ac:dyDescent="0.25">
      <c r="A2942" s="1">
        <v>917180</v>
      </c>
      <c r="B2942" s="1" t="s">
        <v>134</v>
      </c>
      <c r="C2942" s="1" t="s">
        <v>135</v>
      </c>
      <c r="D2942" s="2">
        <v>44649.384671562497</v>
      </c>
      <c r="E2942" s="1" t="s">
        <v>8</v>
      </c>
      <c r="F2942" s="1">
        <v>1</v>
      </c>
      <c r="G2942" s="1">
        <v>0</v>
      </c>
      <c r="H2942" s="6">
        <f>INT(Query1[[#This Row],[EntryDateTime]])</f>
        <v>44649</v>
      </c>
      <c r="I2942" s="1">
        <f>IF(Query1[[#This Row],[ItemType]]="EVAP KIT SF GEN IV",Query1[[#This Row],[OrderQty]]+I2941,I2941)</f>
        <v>3520</v>
      </c>
      <c r="J2942" s="1">
        <f>IF(Query1[[#This Row],[ItemType]]="EVAP KIT UNIVERSAL",Query1[[#This Row],[OrderQty]]+J2941,J2941)</f>
        <v>1331</v>
      </c>
      <c r="K2942" s="1">
        <f>Query1[[#This Row],[SF Running Total]]+Query1[[#This Row],[UNIV Running Total]]</f>
        <v>4851</v>
      </c>
      <c r="L2942">
        <f>VLOOKUP(Query1[[#This Row],[Description]],'kits to boards'!$B$2:$E$156,2,FALSE)</f>
        <v>830007</v>
      </c>
      <c r="M2942">
        <f>VLOOKUP(Query1[[#This Row],[Description]],'kits to boards'!$B$2:$E$156,3,FALSE)</f>
        <v>0</v>
      </c>
      <c r="N2942">
        <f>VLOOKUP(Query1[[#This Row],[Description]],'kits to boards'!$B$2:$E$156,4,FALSE)</f>
        <v>0</v>
      </c>
      <c r="O2942" t="str">
        <f>CONCATENATE(Query1[[#This Row],[Description]]," - ",Query1[[#This Row],[MB1]]," - ",Query1[[#This Row],[MB2]]," - ",Query1[[#This Row],[MB3]])</f>
        <v>EVAP KIT 64 IMPALA WO AC - 830007 - 0 - 0</v>
      </c>
    </row>
    <row r="2943" spans="1:15" x14ac:dyDescent="0.25">
      <c r="A2943" s="1">
        <v>917182</v>
      </c>
      <c r="B2943" s="1" t="s">
        <v>22</v>
      </c>
      <c r="C2943" s="1" t="s">
        <v>23</v>
      </c>
      <c r="D2943" s="2">
        <v>44649.385875462962</v>
      </c>
      <c r="E2943" s="1" t="s">
        <v>8</v>
      </c>
      <c r="F2943" s="1">
        <v>7</v>
      </c>
      <c r="G2943" s="1">
        <v>0</v>
      </c>
      <c r="H2943" s="6">
        <f>INT(Query1[[#This Row],[EntryDateTime]])</f>
        <v>44649</v>
      </c>
      <c r="I2943" s="1">
        <f>IF(Query1[[#This Row],[ItemType]]="EVAP KIT SF GEN IV",Query1[[#This Row],[OrderQty]]+I2942,I2942)</f>
        <v>3527</v>
      </c>
      <c r="J2943" s="1">
        <f>IF(Query1[[#This Row],[ItemType]]="EVAP KIT UNIVERSAL",Query1[[#This Row],[OrderQty]]+J2942,J2942)</f>
        <v>1331</v>
      </c>
      <c r="K2943" s="1">
        <f>Query1[[#This Row],[SF Running Total]]+Query1[[#This Row],[UNIV Running Total]]</f>
        <v>4858</v>
      </c>
      <c r="L2943">
        <f>VLOOKUP(Query1[[#This Row],[Description]],'kits to boards'!$B$2:$E$156,2,FALSE)</f>
        <v>830083</v>
      </c>
      <c r="M2943">
        <f>VLOOKUP(Query1[[#This Row],[Description]],'kits to boards'!$B$2:$E$156,3,FALSE)</f>
        <v>0</v>
      </c>
      <c r="N2943">
        <f>VLOOKUP(Query1[[#This Row],[Description]],'kits to boards'!$B$2:$E$156,4,FALSE)</f>
        <v>0</v>
      </c>
      <c r="O2943" t="str">
        <f>CONCATENATE(Query1[[#This Row],[Description]]," - ",Query1[[#This Row],[MB1]]," - ",Query1[[#This Row],[MB2]]," - ",Query1[[#This Row],[MB3]])</f>
        <v>GEN IV MAGNUM EVAP KIT - 830083 - 0 - 0</v>
      </c>
    </row>
    <row r="2944" spans="1:15" x14ac:dyDescent="0.25">
      <c r="A2944" s="1">
        <v>916541</v>
      </c>
      <c r="B2944" s="1" t="s">
        <v>158</v>
      </c>
      <c r="C2944" s="1" t="s">
        <v>159</v>
      </c>
      <c r="D2944" s="2">
        <v>44649.396986145832</v>
      </c>
      <c r="E2944" s="1" t="s">
        <v>8</v>
      </c>
      <c r="F2944" s="1">
        <v>1</v>
      </c>
      <c r="G2944" s="1">
        <v>0</v>
      </c>
      <c r="H2944" s="6">
        <f>INT(Query1[[#This Row],[EntryDateTime]])</f>
        <v>44649</v>
      </c>
      <c r="I2944" s="1">
        <f>IF(Query1[[#This Row],[ItemType]]="EVAP KIT SF GEN IV",Query1[[#This Row],[OrderQty]]+I2943,I2943)</f>
        <v>3528</v>
      </c>
      <c r="J2944" s="1">
        <f>IF(Query1[[#This Row],[ItemType]]="EVAP KIT UNIVERSAL",Query1[[#This Row],[OrderQty]]+J2943,J2943)</f>
        <v>1331</v>
      </c>
      <c r="K2944" s="1">
        <f>Query1[[#This Row],[SF Running Total]]+Query1[[#This Row],[UNIV Running Total]]</f>
        <v>4859</v>
      </c>
      <c r="L2944">
        <f>VLOOKUP(Query1[[#This Row],[Description]],'kits to boards'!$B$2:$E$156,2,FALSE)</f>
        <v>830080</v>
      </c>
      <c r="M2944">
        <f>VLOOKUP(Query1[[#This Row],[Description]],'kits to boards'!$B$2:$E$156,3,FALSE)</f>
        <v>830046</v>
      </c>
      <c r="N2944">
        <f>VLOOKUP(Query1[[#This Row],[Description]],'kits to boards'!$B$2:$E$156,4,FALSE)</f>
        <v>0</v>
      </c>
      <c r="O2944" t="str">
        <f>CONCATENATE(Query1[[#This Row],[Description]]," - ",Query1[[#This Row],[MB1]]," - ",Query1[[#This Row],[MB2]]," - ",Query1[[#This Row],[MB3]])</f>
        <v>EVAP KIT 69-70 MUSTANG W/AC  - 830080 - 830046 - 0</v>
      </c>
    </row>
    <row r="2945" spans="1:15" x14ac:dyDescent="0.25">
      <c r="A2945" s="1">
        <v>917191</v>
      </c>
      <c r="B2945" s="1" t="s">
        <v>54</v>
      </c>
      <c r="C2945" s="1" t="s">
        <v>55</v>
      </c>
      <c r="D2945" s="2">
        <v>44649.401685034725</v>
      </c>
      <c r="E2945" s="1" t="s">
        <v>8</v>
      </c>
      <c r="F2945" s="1">
        <v>1</v>
      </c>
      <c r="G2945" s="1">
        <v>0</v>
      </c>
      <c r="H2945" s="6">
        <f>INT(Query1[[#This Row],[EntryDateTime]])</f>
        <v>44649</v>
      </c>
      <c r="I2945" s="1">
        <f>IF(Query1[[#This Row],[ItemType]]="EVAP KIT SF GEN IV",Query1[[#This Row],[OrderQty]]+I2944,I2944)</f>
        <v>3529</v>
      </c>
      <c r="J2945" s="1">
        <f>IF(Query1[[#This Row],[ItemType]]="EVAP KIT UNIVERSAL",Query1[[#This Row],[OrderQty]]+J2944,J2944)</f>
        <v>1331</v>
      </c>
      <c r="K2945" s="1">
        <f>Query1[[#This Row],[SF Running Total]]+Query1[[#This Row],[UNIV Running Total]]</f>
        <v>4860</v>
      </c>
      <c r="L2945">
        <f>VLOOKUP(Query1[[#This Row],[Description]],'kits to boards'!$B$2:$E$156,2,FALSE)</f>
        <v>830037</v>
      </c>
      <c r="M2945">
        <f>VLOOKUP(Query1[[#This Row],[Description]],'kits to boards'!$B$2:$E$156,3,FALSE)</f>
        <v>0</v>
      </c>
      <c r="N2945">
        <f>VLOOKUP(Query1[[#This Row],[Description]],'kits to boards'!$B$2:$E$156,4,FALSE)</f>
        <v>0</v>
      </c>
      <c r="O2945" t="str">
        <f>CONCATENATE(Query1[[#This Row],[Description]]," - ",Query1[[#This Row],[MB1]]," - ",Query1[[#This Row],[MB2]]," - ",Query1[[#This Row],[MB3]])</f>
        <v>EVAP KIT 70-81 FIREBIRD W/AC - 830037 - 0 - 0</v>
      </c>
    </row>
    <row r="2946" spans="1:15" x14ac:dyDescent="0.25">
      <c r="A2946" s="1">
        <v>917186</v>
      </c>
      <c r="B2946" s="1" t="s">
        <v>36</v>
      </c>
      <c r="C2946" s="1" t="s">
        <v>37</v>
      </c>
      <c r="D2946" s="2">
        <v>44649.401807488422</v>
      </c>
      <c r="E2946" s="1" t="s">
        <v>8</v>
      </c>
      <c r="F2946" s="1">
        <v>1</v>
      </c>
      <c r="G2946" s="1">
        <v>0</v>
      </c>
      <c r="H2946" s="6">
        <f>INT(Query1[[#This Row],[EntryDateTime]])</f>
        <v>44649</v>
      </c>
      <c r="I2946" s="1">
        <f>IF(Query1[[#This Row],[ItemType]]="EVAP KIT SF GEN IV",Query1[[#This Row],[OrderQty]]+I2945,I2945)</f>
        <v>3530</v>
      </c>
      <c r="J2946" s="1">
        <f>IF(Query1[[#This Row],[ItemType]]="EVAP KIT UNIVERSAL",Query1[[#This Row],[OrderQty]]+J2945,J2945)</f>
        <v>1331</v>
      </c>
      <c r="K2946" s="1">
        <f>Query1[[#This Row],[SF Running Total]]+Query1[[#This Row],[UNIV Running Total]]</f>
        <v>4861</v>
      </c>
      <c r="L2946">
        <f>VLOOKUP(Query1[[#This Row],[Description]],'kits to boards'!$B$2:$E$156,2,FALSE)</f>
        <v>830015</v>
      </c>
      <c r="M2946">
        <f>VLOOKUP(Query1[[#This Row],[Description]],'kits to boards'!$B$2:$E$156,3,FALSE)</f>
        <v>0</v>
      </c>
      <c r="N2946">
        <f>VLOOKUP(Query1[[#This Row],[Description]],'kits to boards'!$B$2:$E$156,4,FALSE)</f>
        <v>0</v>
      </c>
      <c r="O2946" t="str">
        <f>CONCATENATE(Query1[[#This Row],[Description]]," - ",Query1[[#This Row],[MB1]]," - ",Query1[[#This Row],[MB2]]," - ",Query1[[#This Row],[MB3]])</f>
        <v>EVAP KIT 64-66 CHEV P-UP WO AC W/STD - 830015 - 0 - 0</v>
      </c>
    </row>
    <row r="2947" spans="1:15" x14ac:dyDescent="0.25">
      <c r="A2947" s="1">
        <v>917192</v>
      </c>
      <c r="B2947" s="1" t="s">
        <v>56</v>
      </c>
      <c r="C2947" s="1" t="s">
        <v>57</v>
      </c>
      <c r="D2947" s="2">
        <v>44649.403725810182</v>
      </c>
      <c r="E2947" s="1" t="s">
        <v>8</v>
      </c>
      <c r="F2947" s="1">
        <v>1</v>
      </c>
      <c r="G2947" s="1">
        <v>0</v>
      </c>
      <c r="H2947" s="6">
        <f>INT(Query1[[#This Row],[EntryDateTime]])</f>
        <v>44649</v>
      </c>
      <c r="I2947" s="1">
        <f>IF(Query1[[#This Row],[ItemType]]="EVAP KIT SF GEN IV",Query1[[#This Row],[OrderQty]]+I2946,I2946)</f>
        <v>3531</v>
      </c>
      <c r="J2947" s="1">
        <f>IF(Query1[[#This Row],[ItemType]]="EVAP KIT UNIVERSAL",Query1[[#This Row],[OrderQty]]+J2946,J2946)</f>
        <v>1331</v>
      </c>
      <c r="K2947" s="1">
        <f>Query1[[#This Row],[SF Running Total]]+Query1[[#This Row],[UNIV Running Total]]</f>
        <v>4862</v>
      </c>
      <c r="L2947">
        <f>VLOOKUP(Query1[[#This Row],[Description]],'kits to boards'!$B$2:$E$156,2,FALSE)</f>
        <v>830011</v>
      </c>
      <c r="M2947">
        <f>VLOOKUP(Query1[[#This Row],[Description]],'kits to boards'!$B$2:$E$156,3,FALSE)</f>
        <v>0</v>
      </c>
      <c r="N2947">
        <f>VLOOKUP(Query1[[#This Row],[Description]],'kits to boards'!$B$2:$E$156,4,FALSE)</f>
        <v>0</v>
      </c>
      <c r="O2947" t="str">
        <f>CONCATENATE(Query1[[#This Row],[Description]]," - ",Query1[[#This Row],[MB1]]," - ",Query1[[#This Row],[MB2]]," - ",Query1[[#This Row],[MB3]])</f>
        <v>EVAP KIT 70-72 CHEVELLE W/AC - 830011 - 0 - 0</v>
      </c>
    </row>
    <row r="2948" spans="1:15" x14ac:dyDescent="0.25">
      <c r="A2948" s="1">
        <v>917192</v>
      </c>
      <c r="B2948" s="1" t="s">
        <v>98</v>
      </c>
      <c r="C2948" s="1" t="s">
        <v>99</v>
      </c>
      <c r="D2948" s="2">
        <v>44649.403728356483</v>
      </c>
      <c r="E2948" s="1" t="s">
        <v>11</v>
      </c>
      <c r="F2948" s="1">
        <v>3</v>
      </c>
      <c r="G2948" s="1">
        <v>0</v>
      </c>
      <c r="H2948" s="6">
        <f>INT(Query1[[#This Row],[EntryDateTime]])</f>
        <v>44649</v>
      </c>
      <c r="I2948" s="1">
        <f>IF(Query1[[#This Row],[ItemType]]="EVAP KIT SF GEN IV",Query1[[#This Row],[OrderQty]]+I2947,I2947)</f>
        <v>3531</v>
      </c>
      <c r="J2948" s="1">
        <f>IF(Query1[[#This Row],[ItemType]]="EVAP KIT UNIVERSAL",Query1[[#This Row],[OrderQty]]+J2947,J2947)</f>
        <v>1334</v>
      </c>
      <c r="K2948" s="1">
        <f>Query1[[#This Row],[SF Running Total]]+Query1[[#This Row],[UNIV Running Total]]</f>
        <v>4865</v>
      </c>
      <c r="L2948">
        <f>VLOOKUP(Query1[[#This Row],[Description]],'kits to boards'!$B$2:$E$156,2,FALSE)</f>
        <v>830099</v>
      </c>
      <c r="M2948">
        <f>VLOOKUP(Query1[[#This Row],[Description]],'kits to boards'!$B$2:$E$156,3,FALSE)</f>
        <v>0</v>
      </c>
      <c r="N2948">
        <f>VLOOKUP(Query1[[#This Row],[Description]],'kits to boards'!$B$2:$E$156,4,FALSE)</f>
        <v>0</v>
      </c>
      <c r="O2948" t="str">
        <f>CONCATENATE(Query1[[#This Row],[Description]]," - ",Query1[[#This Row],[MB1]]," - ",Query1[[#This Row],[MB2]]," - ",Query1[[#This Row],[MB3]])</f>
        <v>MINI GEN II W/DEF - 830099 - 0 - 0</v>
      </c>
    </row>
    <row r="2949" spans="1:15" x14ac:dyDescent="0.25">
      <c r="A2949" s="1">
        <v>916789</v>
      </c>
      <c r="B2949" s="1" t="s">
        <v>14</v>
      </c>
      <c r="C2949" s="1" t="s">
        <v>15</v>
      </c>
      <c r="D2949" s="2">
        <v>44649.405380208336</v>
      </c>
      <c r="E2949" s="1" t="s">
        <v>8</v>
      </c>
      <c r="F2949" s="1">
        <v>1</v>
      </c>
      <c r="G2949" s="1">
        <v>0</v>
      </c>
      <c r="H2949" s="6">
        <f>INT(Query1[[#This Row],[EntryDateTime]])</f>
        <v>44649</v>
      </c>
      <c r="I2949" s="1">
        <f>IF(Query1[[#This Row],[ItemType]]="EVAP KIT SF GEN IV",Query1[[#This Row],[OrderQty]]+I2948,I2948)</f>
        <v>3532</v>
      </c>
      <c r="J2949" s="1">
        <f>IF(Query1[[#This Row],[ItemType]]="EVAP KIT UNIVERSAL",Query1[[#This Row],[OrderQty]]+J2948,J2948)</f>
        <v>1334</v>
      </c>
      <c r="K2949" s="1">
        <f>Query1[[#This Row],[SF Running Total]]+Query1[[#This Row],[UNIV Running Total]]</f>
        <v>4866</v>
      </c>
      <c r="L2949">
        <f>VLOOKUP(Query1[[#This Row],[Description]],'kits to boards'!$B$2:$E$156,2,FALSE)</f>
        <v>830054</v>
      </c>
      <c r="M2949">
        <f>VLOOKUP(Query1[[#This Row],[Description]],'kits to boards'!$B$2:$E$156,3,FALSE)</f>
        <v>0</v>
      </c>
      <c r="N2949">
        <f>VLOOKUP(Query1[[#This Row],[Description]],'kits to boards'!$B$2:$E$156,4,FALSE)</f>
        <v>0</v>
      </c>
      <c r="O2949" t="str">
        <f>CONCATENATE(Query1[[#This Row],[Description]]," - ",Query1[[#This Row],[MB1]]," - ",Query1[[#This Row],[MB2]]," - ",Query1[[#This Row],[MB3]])</f>
        <v>EVAP KIT 55-56 CHEVY - 830054 - 0 - 0</v>
      </c>
    </row>
    <row r="2950" spans="1:15" x14ac:dyDescent="0.25">
      <c r="A2950" s="1">
        <v>917207</v>
      </c>
      <c r="B2950" s="1" t="s">
        <v>22</v>
      </c>
      <c r="C2950" s="1" t="s">
        <v>23</v>
      </c>
      <c r="D2950" s="2">
        <v>44649.429725196758</v>
      </c>
      <c r="E2950" s="1" t="s">
        <v>8</v>
      </c>
      <c r="F2950" s="1">
        <v>1</v>
      </c>
      <c r="G2950" s="1">
        <v>0</v>
      </c>
      <c r="H2950" s="6">
        <f>INT(Query1[[#This Row],[EntryDateTime]])</f>
        <v>44649</v>
      </c>
      <c r="I2950" s="1">
        <f>IF(Query1[[#This Row],[ItemType]]="EVAP KIT SF GEN IV",Query1[[#This Row],[OrderQty]]+I2949,I2949)</f>
        <v>3533</v>
      </c>
      <c r="J2950" s="1">
        <f>IF(Query1[[#This Row],[ItemType]]="EVAP KIT UNIVERSAL",Query1[[#This Row],[OrderQty]]+J2949,J2949)</f>
        <v>1334</v>
      </c>
      <c r="K2950" s="1">
        <f>Query1[[#This Row],[SF Running Total]]+Query1[[#This Row],[UNIV Running Total]]</f>
        <v>4867</v>
      </c>
      <c r="L2950">
        <f>VLOOKUP(Query1[[#This Row],[Description]],'kits to boards'!$B$2:$E$156,2,FALSE)</f>
        <v>830083</v>
      </c>
      <c r="M2950">
        <f>VLOOKUP(Query1[[#This Row],[Description]],'kits to boards'!$B$2:$E$156,3,FALSE)</f>
        <v>0</v>
      </c>
      <c r="N2950">
        <f>VLOOKUP(Query1[[#This Row],[Description]],'kits to boards'!$B$2:$E$156,4,FALSE)</f>
        <v>0</v>
      </c>
      <c r="O2950" t="str">
        <f>CONCATENATE(Query1[[#This Row],[Description]]," - ",Query1[[#This Row],[MB1]]," - ",Query1[[#This Row],[MB2]]," - ",Query1[[#This Row],[MB3]])</f>
        <v>GEN IV MAGNUM EVAP KIT - 830083 - 0 - 0</v>
      </c>
    </row>
    <row r="2951" spans="1:15" x14ac:dyDescent="0.25">
      <c r="A2951" s="1">
        <v>917212</v>
      </c>
      <c r="B2951" s="1" t="s">
        <v>90</v>
      </c>
      <c r="C2951" s="1" t="s">
        <v>91</v>
      </c>
      <c r="D2951" s="2">
        <v>44649.439405787038</v>
      </c>
      <c r="E2951" s="1" t="s">
        <v>8</v>
      </c>
      <c r="F2951" s="1">
        <v>1</v>
      </c>
      <c r="G2951" s="1">
        <v>0</v>
      </c>
      <c r="H2951" s="6">
        <f>INT(Query1[[#This Row],[EntryDateTime]])</f>
        <v>44649</v>
      </c>
      <c r="I2951" s="1">
        <f>IF(Query1[[#This Row],[ItemType]]="EVAP KIT SF GEN IV",Query1[[#This Row],[OrderQty]]+I2950,I2950)</f>
        <v>3534</v>
      </c>
      <c r="J2951" s="1">
        <f>IF(Query1[[#This Row],[ItemType]]="EVAP KIT UNIVERSAL",Query1[[#This Row],[OrderQty]]+J2950,J2950)</f>
        <v>1334</v>
      </c>
      <c r="K2951" s="1">
        <f>Query1[[#This Row],[SF Running Total]]+Query1[[#This Row],[UNIV Running Total]]</f>
        <v>4868</v>
      </c>
      <c r="L2951">
        <f>VLOOKUP(Query1[[#This Row],[Description]],'kits to boards'!$B$2:$E$156,2,FALSE)</f>
        <v>830105</v>
      </c>
      <c r="M2951">
        <f>VLOOKUP(Query1[[#This Row],[Description]],'kits to boards'!$B$2:$E$156,3,FALSE)</f>
        <v>830106</v>
      </c>
      <c r="N2951">
        <f>VLOOKUP(Query1[[#This Row],[Description]],'kits to boards'!$B$2:$E$156,4,FALSE)</f>
        <v>0</v>
      </c>
      <c r="O2951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2952" spans="1:15" x14ac:dyDescent="0.25">
      <c r="A2952" s="1">
        <v>916899</v>
      </c>
      <c r="B2952" s="1" t="s">
        <v>48</v>
      </c>
      <c r="C2952" s="1" t="s">
        <v>49</v>
      </c>
      <c r="D2952" s="2">
        <v>44649.449525266202</v>
      </c>
      <c r="E2952" s="1" t="s">
        <v>8</v>
      </c>
      <c r="F2952" s="1">
        <v>1</v>
      </c>
      <c r="G2952" s="1">
        <v>0</v>
      </c>
      <c r="H2952" s="6">
        <f>INT(Query1[[#This Row],[EntryDateTime]])</f>
        <v>44649</v>
      </c>
      <c r="I2952" s="1">
        <f>IF(Query1[[#This Row],[ItemType]]="EVAP KIT SF GEN IV",Query1[[#This Row],[OrderQty]]+I2951,I2951)</f>
        <v>3535</v>
      </c>
      <c r="J2952" s="1">
        <f>IF(Query1[[#This Row],[ItemType]]="EVAP KIT UNIVERSAL",Query1[[#This Row],[OrderQty]]+J2951,J2951)</f>
        <v>1334</v>
      </c>
      <c r="K2952" s="1">
        <f>Query1[[#This Row],[SF Running Total]]+Query1[[#This Row],[UNIV Running Total]]</f>
        <v>4869</v>
      </c>
      <c r="L2952">
        <f>VLOOKUP(Query1[[#This Row],[Description]],'kits to boards'!$B$2:$E$156,2,FALSE)</f>
        <v>830015</v>
      </c>
      <c r="M2952">
        <f>VLOOKUP(Query1[[#This Row],[Description]],'kits to boards'!$B$2:$E$156,3,FALSE)</f>
        <v>0</v>
      </c>
      <c r="N2952">
        <f>VLOOKUP(Query1[[#This Row],[Description]],'kits to boards'!$B$2:$E$156,4,FALSE)</f>
        <v>0</v>
      </c>
      <c r="O2952" t="str">
        <f>CONCATENATE(Query1[[#This Row],[Description]]," - ",Query1[[#This Row],[MB1]]," - ",Query1[[#This Row],[MB2]]," - ",Query1[[#This Row],[MB3]])</f>
        <v>EVAP KIT 64-66 CHEV P-UP WO AC W/DELX - 830015 - 0 - 0</v>
      </c>
    </row>
    <row r="2953" spans="1:15" x14ac:dyDescent="0.25">
      <c r="A2953" s="1">
        <v>917198</v>
      </c>
      <c r="B2953" s="1" t="s">
        <v>52</v>
      </c>
      <c r="C2953" s="1" t="s">
        <v>53</v>
      </c>
      <c r="D2953" s="2">
        <v>44649.458422418982</v>
      </c>
      <c r="E2953" s="1" t="s">
        <v>8</v>
      </c>
      <c r="F2953" s="1">
        <v>1</v>
      </c>
      <c r="G2953" s="1">
        <v>0</v>
      </c>
      <c r="H2953" s="6">
        <f>INT(Query1[[#This Row],[EntryDateTime]])</f>
        <v>44649</v>
      </c>
      <c r="I2953" s="1">
        <f>IF(Query1[[#This Row],[ItemType]]="EVAP KIT SF GEN IV",Query1[[#This Row],[OrderQty]]+I2952,I2952)</f>
        <v>3536</v>
      </c>
      <c r="J2953" s="1">
        <f>IF(Query1[[#This Row],[ItemType]]="EVAP KIT UNIVERSAL",Query1[[#This Row],[OrderQty]]+J2952,J2952)</f>
        <v>1334</v>
      </c>
      <c r="K2953" s="1">
        <f>Query1[[#This Row],[SF Running Total]]+Query1[[#This Row],[UNIV Running Total]]</f>
        <v>4870</v>
      </c>
      <c r="L2953">
        <f>VLOOKUP(Query1[[#This Row],[Description]],'kits to boards'!$B$2:$E$156,2,FALSE)</f>
        <v>830017</v>
      </c>
      <c r="M2953">
        <f>VLOOKUP(Query1[[#This Row],[Description]],'kits to boards'!$B$2:$E$156,3,FALSE)</f>
        <v>830119</v>
      </c>
      <c r="N2953">
        <f>VLOOKUP(Query1[[#This Row],[Description]],'kits to boards'!$B$2:$E$156,4,FALSE)</f>
        <v>830120</v>
      </c>
      <c r="O2953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2954" spans="1:15" x14ac:dyDescent="0.25">
      <c r="A2954" s="1">
        <v>916874</v>
      </c>
      <c r="B2954" s="1" t="s">
        <v>42</v>
      </c>
      <c r="C2954" s="1" t="s">
        <v>43</v>
      </c>
      <c r="D2954" s="2">
        <v>44649.464610844909</v>
      </c>
      <c r="E2954" s="1" t="s">
        <v>8</v>
      </c>
      <c r="F2954" s="1">
        <v>1</v>
      </c>
      <c r="G2954" s="1">
        <v>0</v>
      </c>
      <c r="H2954" s="6">
        <f>INT(Query1[[#This Row],[EntryDateTime]])</f>
        <v>44649</v>
      </c>
      <c r="I2954" s="1">
        <f>IF(Query1[[#This Row],[ItemType]]="EVAP KIT SF GEN IV",Query1[[#This Row],[OrderQty]]+I2953,I2953)</f>
        <v>3537</v>
      </c>
      <c r="J2954" s="1">
        <f>IF(Query1[[#This Row],[ItemType]]="EVAP KIT UNIVERSAL",Query1[[#This Row],[OrderQty]]+J2953,J2953)</f>
        <v>1334</v>
      </c>
      <c r="K2954" s="1">
        <f>Query1[[#This Row],[SF Running Total]]+Query1[[#This Row],[UNIV Running Total]]</f>
        <v>4871</v>
      </c>
      <c r="L2954">
        <f>VLOOKUP(Query1[[#This Row],[Description]],'kits to boards'!$B$2:$E$156,2,FALSE)</f>
        <v>830014</v>
      </c>
      <c r="M2954">
        <f>VLOOKUP(Query1[[#This Row],[Description]],'kits to boards'!$B$2:$E$156,3,FALSE)</f>
        <v>0</v>
      </c>
      <c r="N2954">
        <f>VLOOKUP(Query1[[#This Row],[Description]],'kits to boards'!$B$2:$E$156,4,FALSE)</f>
        <v>0</v>
      </c>
      <c r="O2954" t="str">
        <f>CONCATENATE(Query1[[#This Row],[Description]]," - ",Query1[[#This Row],[MB1]]," - ",Query1[[#This Row],[MB2]]," - ",Query1[[#This Row],[MB3]])</f>
        <v>EVAP KIT 67-72 CHEV P-UP WO AC - 830014 - 0 - 0</v>
      </c>
    </row>
    <row r="2955" spans="1:15" x14ac:dyDescent="0.25">
      <c r="A2955" s="1">
        <v>915126</v>
      </c>
      <c r="B2955" s="1" t="s">
        <v>46</v>
      </c>
      <c r="C2955" s="1" t="s">
        <v>47</v>
      </c>
      <c r="D2955" s="2">
        <v>44649.472527083337</v>
      </c>
      <c r="E2955" s="1" t="s">
        <v>8</v>
      </c>
      <c r="F2955" s="1">
        <v>1</v>
      </c>
      <c r="G2955" s="1">
        <v>0</v>
      </c>
      <c r="H2955" s="6">
        <f>INT(Query1[[#This Row],[EntryDateTime]])</f>
        <v>44649</v>
      </c>
      <c r="I2955" s="1">
        <f>IF(Query1[[#This Row],[ItemType]]="EVAP KIT SF GEN IV",Query1[[#This Row],[OrderQty]]+I2954,I2954)</f>
        <v>3538</v>
      </c>
      <c r="J2955" s="1">
        <f>IF(Query1[[#This Row],[ItemType]]="EVAP KIT UNIVERSAL",Query1[[#This Row],[OrderQty]]+J2954,J2954)</f>
        <v>1334</v>
      </c>
      <c r="K2955" s="1">
        <f>Query1[[#This Row],[SF Running Total]]+Query1[[#This Row],[UNIV Running Total]]</f>
        <v>4872</v>
      </c>
      <c r="L2955">
        <f>VLOOKUP(Query1[[#This Row],[Description]],'kits to boards'!$B$2:$E$156,2,FALSE)</f>
        <v>830018</v>
      </c>
      <c r="M2955">
        <f>VLOOKUP(Query1[[#This Row],[Description]],'kits to boards'!$B$2:$E$156,3,FALSE)</f>
        <v>0</v>
      </c>
      <c r="N2955">
        <f>VLOOKUP(Query1[[#This Row],[Description]],'kits to boards'!$B$2:$E$156,4,FALSE)</f>
        <v>0</v>
      </c>
      <c r="O2955" t="str">
        <f>CONCATENATE(Query1[[#This Row],[Description]]," - ",Query1[[#This Row],[MB1]]," - ",Query1[[#This Row],[MB2]]," - ",Query1[[#This Row],[MB3]])</f>
        <v>EVAP KIT 68-72 FORD P-UP F-100 - 830018 - 0 - 0</v>
      </c>
    </row>
    <row r="2956" spans="1:15" x14ac:dyDescent="0.25">
      <c r="A2956" s="1">
        <v>915466</v>
      </c>
      <c r="B2956" s="1" t="s">
        <v>74</v>
      </c>
      <c r="C2956" s="1" t="s">
        <v>75</v>
      </c>
      <c r="D2956" s="2">
        <v>44649.474065162038</v>
      </c>
      <c r="E2956" s="1" t="s">
        <v>8</v>
      </c>
      <c r="F2956" s="1">
        <v>1</v>
      </c>
      <c r="G2956" s="1">
        <v>0</v>
      </c>
      <c r="H2956" s="6">
        <f>INT(Query1[[#This Row],[EntryDateTime]])</f>
        <v>44649</v>
      </c>
      <c r="I2956" s="1">
        <f>IF(Query1[[#This Row],[ItemType]]="EVAP KIT SF GEN IV",Query1[[#This Row],[OrderQty]]+I2955,I2955)</f>
        <v>3539</v>
      </c>
      <c r="J2956" s="1">
        <f>IF(Query1[[#This Row],[ItemType]]="EVAP KIT UNIVERSAL",Query1[[#This Row],[OrderQty]]+J2955,J2955)</f>
        <v>1334</v>
      </c>
      <c r="K2956" s="1">
        <f>Query1[[#This Row],[SF Running Total]]+Query1[[#This Row],[UNIV Running Total]]</f>
        <v>4873</v>
      </c>
      <c r="L2956">
        <f>VLOOKUP(Query1[[#This Row],[Description]],'kits to boards'!$B$2:$E$156,2,FALSE)</f>
        <v>830065</v>
      </c>
      <c r="M2956">
        <f>VLOOKUP(Query1[[#This Row],[Description]],'kits to boards'!$B$2:$E$156,3,FALSE)</f>
        <v>0</v>
      </c>
      <c r="N2956">
        <f>VLOOKUP(Query1[[#This Row],[Description]],'kits to boards'!$B$2:$E$156,4,FALSE)</f>
        <v>0</v>
      </c>
      <c r="O2956" t="str">
        <f>CONCATENATE(Query1[[#This Row],[Description]]," - ",Query1[[#This Row],[MB1]]," - ",Query1[[#This Row],[MB2]]," - ",Query1[[#This Row],[MB3]])</f>
        <v>EVAP KIT 57 CHEV WO AC 4-VENT PLENUM - 830065 - 0 - 0</v>
      </c>
    </row>
    <row r="2957" spans="1:15" x14ac:dyDescent="0.25">
      <c r="A2957" s="1">
        <v>917238</v>
      </c>
      <c r="B2957" s="1" t="s">
        <v>108</v>
      </c>
      <c r="C2957" s="1" t="s">
        <v>109</v>
      </c>
      <c r="D2957" s="2">
        <v>44649.488003009261</v>
      </c>
      <c r="E2957" s="1" t="s">
        <v>8</v>
      </c>
      <c r="F2957" s="1">
        <v>1</v>
      </c>
      <c r="G2957" s="1">
        <v>0</v>
      </c>
      <c r="H2957" s="6">
        <f>INT(Query1[[#This Row],[EntryDateTime]])</f>
        <v>44649</v>
      </c>
      <c r="I2957" s="1">
        <f>IF(Query1[[#This Row],[ItemType]]="EVAP KIT SF GEN IV",Query1[[#This Row],[OrderQty]]+I2956,I2956)</f>
        <v>3540</v>
      </c>
      <c r="J2957" s="1">
        <f>IF(Query1[[#This Row],[ItemType]]="EVAP KIT UNIVERSAL",Query1[[#This Row],[OrderQty]]+J2956,J2956)</f>
        <v>1334</v>
      </c>
      <c r="K2957" s="1">
        <f>Query1[[#This Row],[SF Running Total]]+Query1[[#This Row],[UNIV Running Total]]</f>
        <v>4874</v>
      </c>
      <c r="L2957">
        <f>VLOOKUP(Query1[[#This Row],[Description]],'kits to boards'!$B$2:$E$156,2,FALSE)</f>
        <v>830105</v>
      </c>
      <c r="M2957">
        <f>VLOOKUP(Query1[[#This Row],[Description]],'kits to boards'!$B$2:$E$156,3,FALSE)</f>
        <v>830106</v>
      </c>
      <c r="N2957">
        <f>VLOOKUP(Query1[[#This Row],[Description]],'kits to boards'!$B$2:$E$156,4,FALSE)</f>
        <v>0</v>
      </c>
      <c r="O2957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2958" spans="1:15" x14ac:dyDescent="0.25">
      <c r="A2958" s="1">
        <v>916844</v>
      </c>
      <c r="B2958" s="1" t="s">
        <v>134</v>
      </c>
      <c r="C2958" s="1" t="s">
        <v>135</v>
      </c>
      <c r="D2958" s="2">
        <v>44649.499895219909</v>
      </c>
      <c r="E2958" s="1" t="s">
        <v>8</v>
      </c>
      <c r="F2958" s="1">
        <v>1</v>
      </c>
      <c r="G2958" s="1">
        <v>0</v>
      </c>
      <c r="H2958" s="6">
        <f>INT(Query1[[#This Row],[EntryDateTime]])</f>
        <v>44649</v>
      </c>
      <c r="I2958" s="1">
        <f>IF(Query1[[#This Row],[ItemType]]="EVAP KIT SF GEN IV",Query1[[#This Row],[OrderQty]]+I2957,I2957)</f>
        <v>3541</v>
      </c>
      <c r="J2958" s="1">
        <f>IF(Query1[[#This Row],[ItemType]]="EVAP KIT UNIVERSAL",Query1[[#This Row],[OrderQty]]+J2957,J2957)</f>
        <v>1334</v>
      </c>
      <c r="K2958" s="1">
        <f>Query1[[#This Row],[SF Running Total]]+Query1[[#This Row],[UNIV Running Total]]</f>
        <v>4875</v>
      </c>
      <c r="L2958">
        <f>VLOOKUP(Query1[[#This Row],[Description]],'kits to boards'!$B$2:$E$156,2,FALSE)</f>
        <v>830007</v>
      </c>
      <c r="M2958">
        <f>VLOOKUP(Query1[[#This Row],[Description]],'kits to boards'!$B$2:$E$156,3,FALSE)</f>
        <v>0</v>
      </c>
      <c r="N2958">
        <f>VLOOKUP(Query1[[#This Row],[Description]],'kits to boards'!$B$2:$E$156,4,FALSE)</f>
        <v>0</v>
      </c>
      <c r="O2958" t="str">
        <f>CONCATENATE(Query1[[#This Row],[Description]]," - ",Query1[[#This Row],[MB1]]," - ",Query1[[#This Row],[MB2]]," - ",Query1[[#This Row],[MB3]])</f>
        <v>EVAP KIT 64 IMPALA WO AC - 830007 - 0 - 0</v>
      </c>
    </row>
    <row r="2959" spans="1:15" x14ac:dyDescent="0.25">
      <c r="A2959" s="1">
        <v>917245</v>
      </c>
      <c r="B2959" s="1" t="s">
        <v>24</v>
      </c>
      <c r="C2959" s="1" t="s">
        <v>25</v>
      </c>
      <c r="D2959" s="2">
        <v>44649.503938969909</v>
      </c>
      <c r="E2959" s="1" t="s">
        <v>11</v>
      </c>
      <c r="F2959" s="1">
        <v>1</v>
      </c>
      <c r="G2959" s="1">
        <v>0</v>
      </c>
      <c r="H2959" s="6">
        <f>INT(Query1[[#This Row],[EntryDateTime]])</f>
        <v>44649</v>
      </c>
      <c r="I2959" s="1">
        <f>IF(Query1[[#This Row],[ItemType]]="EVAP KIT SF GEN IV",Query1[[#This Row],[OrderQty]]+I2958,I2958)</f>
        <v>3541</v>
      </c>
      <c r="J2959" s="1">
        <f>IF(Query1[[#This Row],[ItemType]]="EVAP KIT UNIVERSAL",Query1[[#This Row],[OrderQty]]+J2958,J2958)</f>
        <v>1335</v>
      </c>
      <c r="K2959" s="1">
        <f>Query1[[#This Row],[SF Running Total]]+Query1[[#This Row],[UNIV Running Total]]</f>
        <v>4876</v>
      </c>
      <c r="L2959">
        <f>VLOOKUP(Query1[[#This Row],[Description]],'kits to boards'!$B$2:$E$156,2,FALSE)</f>
        <v>830029</v>
      </c>
      <c r="M2959">
        <f>VLOOKUP(Query1[[#This Row],[Description]],'kits to boards'!$B$2:$E$156,3,FALSE)</f>
        <v>830030</v>
      </c>
      <c r="N2959">
        <f>VLOOKUP(Query1[[#This Row],[Description]],'kits to boards'!$B$2:$E$156,4,FALSE)</f>
        <v>0</v>
      </c>
      <c r="O2959" t="str">
        <f>CONCATENATE(Query1[[#This Row],[Description]]," - ",Query1[[#This Row],[MB1]]," - ",Query1[[#This Row],[MB2]]," - ",Query1[[#This Row],[MB3]])</f>
        <v>ComPac GEN II W/DEF - 830029 - 830030 - 0</v>
      </c>
    </row>
    <row r="2960" spans="1:15" x14ac:dyDescent="0.25">
      <c r="A2960" s="1">
        <v>917247</v>
      </c>
      <c r="B2960" s="1" t="s">
        <v>242</v>
      </c>
      <c r="C2960" s="1" t="s">
        <v>243</v>
      </c>
      <c r="D2960" s="2">
        <v>44649.507551886571</v>
      </c>
      <c r="E2960" s="1" t="s">
        <v>8</v>
      </c>
      <c r="F2960" s="1">
        <v>1</v>
      </c>
      <c r="G2960" s="1">
        <v>0</v>
      </c>
      <c r="H2960" s="6">
        <f>INT(Query1[[#This Row],[EntryDateTime]])</f>
        <v>44649</v>
      </c>
      <c r="I2960" s="1">
        <f>IF(Query1[[#This Row],[ItemType]]="EVAP KIT SF GEN IV",Query1[[#This Row],[OrderQty]]+I2959,I2959)</f>
        <v>3542</v>
      </c>
      <c r="J2960" s="1">
        <f>IF(Query1[[#This Row],[ItemType]]="EVAP KIT UNIVERSAL",Query1[[#This Row],[OrderQty]]+J2959,J2959)</f>
        <v>1335</v>
      </c>
      <c r="K2960" s="1">
        <f>Query1[[#This Row],[SF Running Total]]+Query1[[#This Row],[UNIV Running Total]]</f>
        <v>4877</v>
      </c>
      <c r="L2960">
        <f>VLOOKUP(Query1[[#This Row],[Description]],'kits to boards'!$B$2:$E$156,2,FALSE)</f>
        <v>830036</v>
      </c>
      <c r="M2960">
        <f>VLOOKUP(Query1[[#This Row],[Description]],'kits to boards'!$B$2:$E$156,3,FALSE)</f>
        <v>830039</v>
      </c>
      <c r="N2960">
        <f>VLOOKUP(Query1[[#This Row],[Description]],'kits to boards'!$B$2:$E$156,4,FALSE)</f>
        <v>0</v>
      </c>
      <c r="O2960" t="str">
        <f>CONCATENATE(Query1[[#This Row],[Description]]," - ",Query1[[#This Row],[MB1]]," - ",Query1[[#This Row],[MB2]]," - ",Query1[[#This Row],[MB3]])</f>
        <v>EVAP KIT 63-66 VETTE W/AC - 830036 - 830039 - 0</v>
      </c>
    </row>
    <row r="2961" spans="1:15" x14ac:dyDescent="0.25">
      <c r="A2961" s="1">
        <v>917251</v>
      </c>
      <c r="B2961" s="1" t="s">
        <v>114</v>
      </c>
      <c r="C2961" s="1" t="s">
        <v>115</v>
      </c>
      <c r="D2961" s="2">
        <v>44649.513278622682</v>
      </c>
      <c r="E2961" s="1" t="s">
        <v>8</v>
      </c>
      <c r="F2961" s="1">
        <v>1</v>
      </c>
      <c r="G2961" s="1">
        <v>0</v>
      </c>
      <c r="H2961" s="6">
        <f>INT(Query1[[#This Row],[EntryDateTime]])</f>
        <v>44649</v>
      </c>
      <c r="I2961" s="1">
        <f>IF(Query1[[#This Row],[ItemType]]="EVAP KIT SF GEN IV",Query1[[#This Row],[OrderQty]]+I2960,I2960)</f>
        <v>3543</v>
      </c>
      <c r="J2961" s="1">
        <f>IF(Query1[[#This Row],[ItemType]]="EVAP KIT UNIVERSAL",Query1[[#This Row],[OrderQty]]+J2960,J2960)</f>
        <v>1335</v>
      </c>
      <c r="K2961" s="1">
        <f>Query1[[#This Row],[SF Running Total]]+Query1[[#This Row],[UNIV Running Total]]</f>
        <v>4878</v>
      </c>
      <c r="L2961">
        <f>VLOOKUP(Query1[[#This Row],[Description]],'kits to boards'!$B$2:$E$156,2,FALSE)</f>
        <v>830059</v>
      </c>
      <c r="M2961">
        <f>VLOOKUP(Query1[[#This Row],[Description]],'kits to boards'!$B$2:$E$156,3,FALSE)</f>
        <v>0</v>
      </c>
      <c r="N2961">
        <f>VLOOKUP(Query1[[#This Row],[Description]],'kits to boards'!$B$2:$E$156,4,FALSE)</f>
        <v>0</v>
      </c>
      <c r="O2961" t="str">
        <f>CONCATENATE(Query1[[#This Row],[Description]]," - ",Query1[[#This Row],[MB1]]," - ",Query1[[#This Row],[MB2]]," - ",Query1[[#This Row],[MB3]])</f>
        <v>EVAP KIT 66-67 CHEVELLE W/AC - 830059 - 0 - 0</v>
      </c>
    </row>
    <row r="2962" spans="1:15" x14ac:dyDescent="0.25">
      <c r="A2962" s="1">
        <v>917252</v>
      </c>
      <c r="B2962" s="1" t="s">
        <v>152</v>
      </c>
      <c r="C2962" s="1" t="s">
        <v>153</v>
      </c>
      <c r="D2962" s="2">
        <v>44649.516314895831</v>
      </c>
      <c r="E2962" s="1" t="s">
        <v>8</v>
      </c>
      <c r="F2962" s="1">
        <v>1</v>
      </c>
      <c r="G2962" s="1">
        <v>0</v>
      </c>
      <c r="H2962" s="6">
        <f>INT(Query1[[#This Row],[EntryDateTime]])</f>
        <v>44649</v>
      </c>
      <c r="I2962" s="1">
        <f>IF(Query1[[#This Row],[ItemType]]="EVAP KIT SF GEN IV",Query1[[#This Row],[OrderQty]]+I2961,I2961)</f>
        <v>3544</v>
      </c>
      <c r="J2962" s="1">
        <f>IF(Query1[[#This Row],[ItemType]]="EVAP KIT UNIVERSAL",Query1[[#This Row],[OrderQty]]+J2961,J2961)</f>
        <v>1335</v>
      </c>
      <c r="K2962" s="1">
        <f>Query1[[#This Row],[SF Running Total]]+Query1[[#This Row],[UNIV Running Total]]</f>
        <v>4879</v>
      </c>
      <c r="L2962">
        <f>VLOOKUP(Query1[[#This Row],[Description]],'kits to boards'!$B$2:$E$156,2,FALSE)</f>
        <v>830034</v>
      </c>
      <c r="M2962">
        <f>VLOOKUP(Query1[[#This Row],[Description]],'kits to boards'!$B$2:$E$156,3,FALSE)</f>
        <v>0</v>
      </c>
      <c r="N2962">
        <f>VLOOKUP(Query1[[#This Row],[Description]],'kits to boards'!$B$2:$E$156,4,FALSE)</f>
        <v>0</v>
      </c>
      <c r="O2962" t="str">
        <f>CONCATENATE(Query1[[#This Row],[Description]]," - ",Query1[[#This Row],[MB1]]," - ",Query1[[#This Row],[MB2]]," - ",Query1[[#This Row],[MB3]])</f>
        <v>EVAP KIT 64-67 GTO WO AC - 830034 - 0 - 0</v>
      </c>
    </row>
    <row r="2963" spans="1:15" x14ac:dyDescent="0.25">
      <c r="A2963" s="1">
        <v>917256</v>
      </c>
      <c r="B2963" s="1" t="s">
        <v>30</v>
      </c>
      <c r="C2963" s="1" t="s">
        <v>31</v>
      </c>
      <c r="D2963" s="2">
        <v>44649.52951670139</v>
      </c>
      <c r="E2963" s="1" t="s">
        <v>8</v>
      </c>
      <c r="F2963" s="1">
        <v>1</v>
      </c>
      <c r="G2963" s="1">
        <v>0</v>
      </c>
      <c r="H2963" s="6">
        <f>INT(Query1[[#This Row],[EntryDateTime]])</f>
        <v>44649</v>
      </c>
      <c r="I2963" s="1">
        <f>IF(Query1[[#This Row],[ItemType]]="EVAP KIT SF GEN IV",Query1[[#This Row],[OrderQty]]+I2962,I2962)</f>
        <v>3545</v>
      </c>
      <c r="J2963" s="1">
        <f>IF(Query1[[#This Row],[ItemType]]="EVAP KIT UNIVERSAL",Query1[[#This Row],[OrderQty]]+J2962,J2962)</f>
        <v>1335</v>
      </c>
      <c r="K2963" s="1">
        <f>Query1[[#This Row],[SF Running Total]]+Query1[[#This Row],[UNIV Running Total]]</f>
        <v>4880</v>
      </c>
      <c r="L2963">
        <f>VLOOKUP(Query1[[#This Row],[Description]],'kits to boards'!$B$2:$E$156,2,FALSE)</f>
        <v>830054</v>
      </c>
      <c r="M2963">
        <f>VLOOKUP(Query1[[#This Row],[Description]],'kits to boards'!$B$2:$E$156,3,FALSE)</f>
        <v>0</v>
      </c>
      <c r="N2963">
        <f>VLOOKUP(Query1[[#This Row],[Description]],'kits to boards'!$B$2:$E$156,4,FALSE)</f>
        <v>0</v>
      </c>
      <c r="O2963" t="str">
        <f>CONCATENATE(Query1[[#This Row],[Description]]," - ",Query1[[#This Row],[MB1]]," - ",Query1[[#This Row],[MB2]]," - ",Query1[[#This Row],[MB3]])</f>
        <v>EVAP KIT 55-56 CHEVY 4-VENT - 830054 - 0 - 0</v>
      </c>
    </row>
    <row r="2964" spans="1:15" x14ac:dyDescent="0.25">
      <c r="A2964" s="1">
        <v>916446</v>
      </c>
      <c r="B2964" s="1" t="s">
        <v>78</v>
      </c>
      <c r="C2964" s="1" t="s">
        <v>79</v>
      </c>
      <c r="D2964" s="2">
        <v>44649.531381250003</v>
      </c>
      <c r="E2964" s="1" t="s">
        <v>11</v>
      </c>
      <c r="F2964" s="1">
        <v>1</v>
      </c>
      <c r="G2964" s="1">
        <v>0</v>
      </c>
      <c r="H2964" s="6">
        <f>INT(Query1[[#This Row],[EntryDateTime]])</f>
        <v>44649</v>
      </c>
      <c r="I2964" s="1">
        <f>IF(Query1[[#This Row],[ItemType]]="EVAP KIT SF GEN IV",Query1[[#This Row],[OrderQty]]+I2963,I2963)</f>
        <v>3545</v>
      </c>
      <c r="J2964" s="1">
        <f>IF(Query1[[#This Row],[ItemType]]="EVAP KIT UNIVERSAL",Query1[[#This Row],[OrderQty]]+J2963,J2963)</f>
        <v>1336</v>
      </c>
      <c r="K2964" s="1">
        <f>Query1[[#This Row],[SF Running Total]]+Query1[[#This Row],[UNIV Running Total]]</f>
        <v>4881</v>
      </c>
      <c r="L2964">
        <f>VLOOKUP(Query1[[#This Row],[Description]],'kits to boards'!$B$2:$E$156,2,FALSE)</f>
        <v>0</v>
      </c>
      <c r="M2964">
        <f>VLOOKUP(Query1[[#This Row],[Description]],'kits to boards'!$B$2:$E$156,3,FALSE)</f>
        <v>0</v>
      </c>
      <c r="N2964">
        <f>VLOOKUP(Query1[[#This Row],[Description]],'kits to boards'!$B$2:$E$156,4,FALSE)</f>
        <v>0</v>
      </c>
      <c r="O2964" t="str">
        <f>CONCATENATE(Query1[[#This Row],[Description]]," - ",Query1[[#This Row],[MB1]]," - ",Query1[[#This Row],[MB2]]," - ",Query1[[#This Row],[MB3]])</f>
        <v>MARK IV STYLELINE UNDERDASH EVAP - 0 - 0 - 0</v>
      </c>
    </row>
    <row r="2965" spans="1:15" x14ac:dyDescent="0.25">
      <c r="A2965" s="1">
        <v>917259</v>
      </c>
      <c r="B2965" s="1" t="s">
        <v>106</v>
      </c>
      <c r="C2965" s="1" t="s">
        <v>107</v>
      </c>
      <c r="D2965" s="2">
        <v>44649.532876585647</v>
      </c>
      <c r="E2965" s="1" t="s">
        <v>8</v>
      </c>
      <c r="F2965" s="1">
        <v>1</v>
      </c>
      <c r="G2965" s="1">
        <v>0</v>
      </c>
      <c r="H2965" s="6">
        <f>INT(Query1[[#This Row],[EntryDateTime]])</f>
        <v>44649</v>
      </c>
      <c r="I2965" s="1">
        <f>IF(Query1[[#This Row],[ItemType]]="EVAP KIT SF GEN IV",Query1[[#This Row],[OrderQty]]+I2964,I2964)</f>
        <v>3546</v>
      </c>
      <c r="J2965" s="1">
        <f>IF(Query1[[#This Row],[ItemType]]="EVAP KIT UNIVERSAL",Query1[[#This Row],[OrderQty]]+J2964,J2964)</f>
        <v>1336</v>
      </c>
      <c r="K2965" s="1">
        <f>Query1[[#This Row],[SF Running Total]]+Query1[[#This Row],[UNIV Running Total]]</f>
        <v>4882</v>
      </c>
      <c r="L2965">
        <f>VLOOKUP(Query1[[#This Row],[Description]],'kits to boards'!$B$2:$E$156,2,FALSE)</f>
        <v>830028</v>
      </c>
      <c r="M2965">
        <f>VLOOKUP(Query1[[#This Row],[Description]],'kits to boards'!$B$2:$E$156,3,FALSE)</f>
        <v>0</v>
      </c>
      <c r="N2965">
        <f>VLOOKUP(Query1[[#This Row],[Description]],'kits to boards'!$B$2:$E$156,4,FALSE)</f>
        <v>0</v>
      </c>
      <c r="O2965" t="str">
        <f>CONCATENATE(Query1[[#This Row],[Description]]," - ",Query1[[#This Row],[MB1]]," - ",Query1[[#This Row],[MB2]]," - ",Query1[[#This Row],[MB3]])</f>
        <v>EVAP KIT 55-59 CHEV P-UP WO AC W/DELX - 830028 - 0 - 0</v>
      </c>
    </row>
    <row r="2966" spans="1:15" x14ac:dyDescent="0.25">
      <c r="A2966" s="1">
        <v>917261</v>
      </c>
      <c r="B2966" s="1" t="s">
        <v>192</v>
      </c>
      <c r="C2966" s="1" t="s">
        <v>193</v>
      </c>
      <c r="D2966" s="2">
        <v>44649.53546165509</v>
      </c>
      <c r="E2966" s="1" t="s">
        <v>8</v>
      </c>
      <c r="F2966" s="1">
        <v>1</v>
      </c>
      <c r="G2966" s="1">
        <v>0</v>
      </c>
      <c r="H2966" s="6">
        <f>INT(Query1[[#This Row],[EntryDateTime]])</f>
        <v>44649</v>
      </c>
      <c r="I2966" s="1">
        <f>IF(Query1[[#This Row],[ItemType]]="EVAP KIT SF GEN IV",Query1[[#This Row],[OrderQty]]+I2965,I2965)</f>
        <v>3547</v>
      </c>
      <c r="J2966" s="1">
        <f>IF(Query1[[#This Row],[ItemType]]="EVAP KIT UNIVERSAL",Query1[[#This Row],[OrderQty]]+J2965,J2965)</f>
        <v>1336</v>
      </c>
      <c r="K2966" s="1">
        <f>Query1[[#This Row],[SF Running Total]]+Query1[[#This Row],[UNIV Running Total]]</f>
        <v>4883</v>
      </c>
      <c r="L2966">
        <f>VLOOKUP(Query1[[#This Row],[Description]],'kits to boards'!$B$2:$E$156,2,FALSE)</f>
        <v>830094</v>
      </c>
      <c r="M2966">
        <f>VLOOKUP(Query1[[#This Row],[Description]],'kits to boards'!$B$2:$E$156,3,FALSE)</f>
        <v>0</v>
      </c>
      <c r="N2966">
        <f>VLOOKUP(Query1[[#This Row],[Description]],'kits to boards'!$B$2:$E$156,4,FALSE)</f>
        <v>0</v>
      </c>
      <c r="O2966" t="str">
        <f>CONCATENATE(Query1[[#This Row],[Description]]," - ",Query1[[#This Row],[MB1]]," - ",Query1[[#This Row],[MB2]]," - ",Query1[[#This Row],[MB3]])</f>
        <v>EVAP KIT 69-73 VETTE W/AC - 830094 - 0 - 0</v>
      </c>
    </row>
    <row r="2967" spans="1:15" x14ac:dyDescent="0.25">
      <c r="A2967" s="1">
        <v>917263</v>
      </c>
      <c r="B2967" s="1" t="s">
        <v>60</v>
      </c>
      <c r="C2967" s="1" t="s">
        <v>61</v>
      </c>
      <c r="D2967" s="2">
        <v>44649.536164351855</v>
      </c>
      <c r="E2967" s="1" t="s">
        <v>8</v>
      </c>
      <c r="F2967" s="1">
        <v>1</v>
      </c>
      <c r="G2967" s="1">
        <v>0</v>
      </c>
      <c r="H2967" s="6">
        <f>INT(Query1[[#This Row],[EntryDateTime]])</f>
        <v>44649</v>
      </c>
      <c r="I2967" s="1">
        <f>IF(Query1[[#This Row],[ItemType]]="EVAP KIT SF GEN IV",Query1[[#This Row],[OrderQty]]+I2966,I2966)</f>
        <v>3548</v>
      </c>
      <c r="J2967" s="1">
        <f>IF(Query1[[#This Row],[ItemType]]="EVAP KIT UNIVERSAL",Query1[[#This Row],[OrderQty]]+J2966,J2966)</f>
        <v>1336</v>
      </c>
      <c r="K2967" s="1">
        <f>Query1[[#This Row],[SF Running Total]]+Query1[[#This Row],[UNIV Running Total]]</f>
        <v>4884</v>
      </c>
      <c r="L2967">
        <f>VLOOKUP(Query1[[#This Row],[Description]],'kits to boards'!$B$2:$E$156,2,FALSE)</f>
        <v>830062</v>
      </c>
      <c r="M2967">
        <f>VLOOKUP(Query1[[#This Row],[Description]],'kits to boards'!$B$2:$E$156,3,FALSE)</f>
        <v>0</v>
      </c>
      <c r="N2967">
        <f>VLOOKUP(Query1[[#This Row],[Description]],'kits to boards'!$B$2:$E$156,4,FALSE)</f>
        <v>0</v>
      </c>
      <c r="O2967" t="str">
        <f>CONCATENATE(Query1[[#This Row],[Description]]," - ",Query1[[#This Row],[MB1]]," - ",Query1[[#This Row],[MB2]]," - ",Query1[[#This Row],[MB3]])</f>
        <v>EVAP KIT 68-69 CHEVELLE WO AC - 830062 - 0 - 0</v>
      </c>
    </row>
    <row r="2968" spans="1:15" x14ac:dyDescent="0.25">
      <c r="A2968" s="1">
        <v>917264</v>
      </c>
      <c r="B2968" s="1" t="s">
        <v>98</v>
      </c>
      <c r="C2968" s="1" t="s">
        <v>99</v>
      </c>
      <c r="D2968" s="2">
        <v>44649.536530289355</v>
      </c>
      <c r="E2968" s="1" t="s">
        <v>11</v>
      </c>
      <c r="F2968" s="1">
        <v>5</v>
      </c>
      <c r="G2968" s="1">
        <v>0</v>
      </c>
      <c r="H2968" s="6">
        <f>INT(Query1[[#This Row],[EntryDateTime]])</f>
        <v>44649</v>
      </c>
      <c r="I2968" s="1">
        <f>IF(Query1[[#This Row],[ItemType]]="EVAP KIT SF GEN IV",Query1[[#This Row],[OrderQty]]+I2967,I2967)</f>
        <v>3548</v>
      </c>
      <c r="J2968" s="1">
        <f>IF(Query1[[#This Row],[ItemType]]="EVAP KIT UNIVERSAL",Query1[[#This Row],[OrderQty]]+J2967,J2967)</f>
        <v>1341</v>
      </c>
      <c r="K2968" s="1">
        <f>Query1[[#This Row],[SF Running Total]]+Query1[[#This Row],[UNIV Running Total]]</f>
        <v>4889</v>
      </c>
      <c r="L2968">
        <f>VLOOKUP(Query1[[#This Row],[Description]],'kits to boards'!$B$2:$E$156,2,FALSE)</f>
        <v>830099</v>
      </c>
      <c r="M2968">
        <f>VLOOKUP(Query1[[#This Row],[Description]],'kits to boards'!$B$2:$E$156,3,FALSE)</f>
        <v>0</v>
      </c>
      <c r="N2968">
        <f>VLOOKUP(Query1[[#This Row],[Description]],'kits to boards'!$B$2:$E$156,4,FALSE)</f>
        <v>0</v>
      </c>
      <c r="O2968" t="str">
        <f>CONCATENATE(Query1[[#This Row],[Description]]," - ",Query1[[#This Row],[MB1]]," - ",Query1[[#This Row],[MB2]]," - ",Query1[[#This Row],[MB3]])</f>
        <v>MINI GEN II W/DEF - 830099 - 0 - 0</v>
      </c>
    </row>
    <row r="2969" spans="1:15" x14ac:dyDescent="0.25">
      <c r="A2969" s="1">
        <v>917264</v>
      </c>
      <c r="B2969" s="1" t="s">
        <v>24</v>
      </c>
      <c r="C2969" s="1" t="s">
        <v>25</v>
      </c>
      <c r="D2969" s="2">
        <v>44649.536713043984</v>
      </c>
      <c r="E2969" s="1" t="s">
        <v>11</v>
      </c>
      <c r="F2969" s="1">
        <v>5</v>
      </c>
      <c r="G2969" s="1">
        <v>0</v>
      </c>
      <c r="H2969" s="6">
        <f>INT(Query1[[#This Row],[EntryDateTime]])</f>
        <v>44649</v>
      </c>
      <c r="I2969" s="1">
        <f>IF(Query1[[#This Row],[ItemType]]="EVAP KIT SF GEN IV",Query1[[#This Row],[OrderQty]]+I2968,I2968)</f>
        <v>3548</v>
      </c>
      <c r="J2969" s="1">
        <f>IF(Query1[[#This Row],[ItemType]]="EVAP KIT UNIVERSAL",Query1[[#This Row],[OrderQty]]+J2968,J2968)</f>
        <v>1346</v>
      </c>
      <c r="K2969" s="1">
        <f>Query1[[#This Row],[SF Running Total]]+Query1[[#This Row],[UNIV Running Total]]</f>
        <v>4894</v>
      </c>
      <c r="L2969">
        <f>VLOOKUP(Query1[[#This Row],[Description]],'kits to boards'!$B$2:$E$156,2,FALSE)</f>
        <v>830029</v>
      </c>
      <c r="M2969">
        <f>VLOOKUP(Query1[[#This Row],[Description]],'kits to boards'!$B$2:$E$156,3,FALSE)</f>
        <v>830030</v>
      </c>
      <c r="N2969">
        <f>VLOOKUP(Query1[[#This Row],[Description]],'kits to boards'!$B$2:$E$156,4,FALSE)</f>
        <v>0</v>
      </c>
      <c r="O2969" t="str">
        <f>CONCATENATE(Query1[[#This Row],[Description]]," - ",Query1[[#This Row],[MB1]]," - ",Query1[[#This Row],[MB2]]," - ",Query1[[#This Row],[MB3]])</f>
        <v>ComPac GEN II W/DEF - 830029 - 830030 - 0</v>
      </c>
    </row>
    <row r="2970" spans="1:15" x14ac:dyDescent="0.25">
      <c r="A2970" s="1">
        <v>917267</v>
      </c>
      <c r="B2970" s="1" t="s">
        <v>58</v>
      </c>
      <c r="C2970" s="1" t="s">
        <v>59</v>
      </c>
      <c r="D2970" s="2">
        <v>44649.537801932871</v>
      </c>
      <c r="E2970" s="1" t="s">
        <v>11</v>
      </c>
      <c r="F2970" s="1">
        <v>2</v>
      </c>
      <c r="G2970" s="1">
        <v>0</v>
      </c>
      <c r="H2970" s="6">
        <f>INT(Query1[[#This Row],[EntryDateTime]])</f>
        <v>44649</v>
      </c>
      <c r="I2970" s="1">
        <f>IF(Query1[[#This Row],[ItemType]]="EVAP KIT SF GEN IV",Query1[[#This Row],[OrderQty]]+I2969,I2969)</f>
        <v>3548</v>
      </c>
      <c r="J2970" s="1">
        <f>IF(Query1[[#This Row],[ItemType]]="EVAP KIT UNIVERSAL",Query1[[#This Row],[OrderQty]]+J2969,J2969)</f>
        <v>1348</v>
      </c>
      <c r="K2970" s="1">
        <f>Query1[[#This Row],[SF Running Total]]+Query1[[#This Row],[UNIV Running Total]]</f>
        <v>4896</v>
      </c>
      <c r="L2970">
        <f>VLOOKUP(Query1[[#This Row],[Description]],'kits to boards'!$B$2:$E$156,2,FALSE)</f>
        <v>830088</v>
      </c>
      <c r="M2970">
        <f>VLOOKUP(Query1[[#This Row],[Description]],'kits to boards'!$B$2:$E$156,3,FALSE)</f>
        <v>830099</v>
      </c>
      <c r="N2970">
        <f>VLOOKUP(Query1[[#This Row],[Description]],'kits to boards'!$B$2:$E$156,4,FALSE)</f>
        <v>0</v>
      </c>
      <c r="O2970" t="str">
        <f>CONCATENATE(Query1[[#This Row],[Description]]," - ",Query1[[#This Row],[MB1]]," - ",Query1[[#This Row],[MB2]]," - ",Query1[[#This Row],[MB3]])</f>
        <v>MONSTER TRUNK UNIT COOL - 830088 - 830099 - 0</v>
      </c>
    </row>
    <row r="2971" spans="1:15" x14ac:dyDescent="0.25">
      <c r="A2971" s="1">
        <v>917270</v>
      </c>
      <c r="B2971" s="1" t="s">
        <v>38</v>
      </c>
      <c r="C2971" s="1" t="s">
        <v>39</v>
      </c>
      <c r="D2971" s="2">
        <v>44649.540522951385</v>
      </c>
      <c r="E2971" s="1" t="s">
        <v>8</v>
      </c>
      <c r="F2971" s="1">
        <v>1</v>
      </c>
      <c r="G2971" s="1">
        <v>0</v>
      </c>
      <c r="H2971" s="6">
        <f>INT(Query1[[#This Row],[EntryDateTime]])</f>
        <v>44649</v>
      </c>
      <c r="I2971" s="1">
        <f>IF(Query1[[#This Row],[ItemType]]="EVAP KIT SF GEN IV",Query1[[#This Row],[OrderQty]]+I2970,I2970)</f>
        <v>3549</v>
      </c>
      <c r="J2971" s="1">
        <f>IF(Query1[[#This Row],[ItemType]]="EVAP KIT UNIVERSAL",Query1[[#This Row],[OrderQty]]+J2970,J2970)</f>
        <v>1348</v>
      </c>
      <c r="K2971" s="1">
        <f>Query1[[#This Row],[SF Running Total]]+Query1[[#This Row],[UNIV Running Total]]</f>
        <v>4897</v>
      </c>
      <c r="L2971">
        <f>VLOOKUP(Query1[[#This Row],[Description]],'kits to boards'!$B$2:$E$156,2,FALSE)</f>
        <v>830012</v>
      </c>
      <c r="M2971">
        <f>VLOOKUP(Query1[[#This Row],[Description]],'kits to boards'!$B$2:$E$156,3,FALSE)</f>
        <v>0</v>
      </c>
      <c r="N2971">
        <f>VLOOKUP(Query1[[#This Row],[Description]],'kits to boards'!$B$2:$E$156,4,FALSE)</f>
        <v>0</v>
      </c>
      <c r="O2971" t="str">
        <f>CONCATENATE(Query1[[#This Row],[Description]]," - ",Query1[[#This Row],[MB1]]," - ",Query1[[#This Row],[MB2]]," - ",Query1[[#This Row],[MB3]])</f>
        <v>EVAP KIT 69 CAMARO W/AC - 830012 - 0 - 0</v>
      </c>
    </row>
    <row r="2972" spans="1:15" x14ac:dyDescent="0.25">
      <c r="A2972" s="1">
        <v>917230</v>
      </c>
      <c r="B2972" s="1" t="s">
        <v>62</v>
      </c>
      <c r="C2972" s="1" t="s">
        <v>63</v>
      </c>
      <c r="D2972" s="2">
        <v>44649.542334606478</v>
      </c>
      <c r="E2972" s="1" t="s">
        <v>8</v>
      </c>
      <c r="F2972" s="1">
        <v>1</v>
      </c>
      <c r="G2972" s="1">
        <v>0</v>
      </c>
      <c r="H2972" s="6">
        <f>INT(Query1[[#This Row],[EntryDateTime]])</f>
        <v>44649</v>
      </c>
      <c r="I2972" s="1">
        <f>IF(Query1[[#This Row],[ItemType]]="EVAP KIT SF GEN IV",Query1[[#This Row],[OrderQty]]+I2971,I2971)</f>
        <v>3550</v>
      </c>
      <c r="J2972" s="1">
        <f>IF(Query1[[#This Row],[ItemType]]="EVAP KIT UNIVERSAL",Query1[[#This Row],[OrderQty]]+J2971,J2971)</f>
        <v>1348</v>
      </c>
      <c r="K2972" s="1">
        <f>Query1[[#This Row],[SF Running Total]]+Query1[[#This Row],[UNIV Running Total]]</f>
        <v>4898</v>
      </c>
      <c r="L2972">
        <f>VLOOKUP(Query1[[#This Row],[Description]],'kits to boards'!$B$2:$E$156,2,FALSE)</f>
        <v>830079</v>
      </c>
      <c r="M2972">
        <f>VLOOKUP(Query1[[#This Row],[Description]],'kits to boards'!$B$2:$E$156,3,FALSE)</f>
        <v>830046</v>
      </c>
      <c r="N2972">
        <f>VLOOKUP(Query1[[#This Row],[Description]],'kits to boards'!$B$2:$E$156,4,FALSE)</f>
        <v>0</v>
      </c>
      <c r="O2972" t="str">
        <f>CONCATENATE(Query1[[#This Row],[Description]]," - ",Query1[[#This Row],[MB1]]," - ",Query1[[#This Row],[MB2]]," - ",Query1[[#This Row],[MB3]])</f>
        <v>EVAP KIT 67-68 MUSTANG/COUGAR WO AC - 830079 - 830046 - 0</v>
      </c>
    </row>
    <row r="2973" spans="1:15" x14ac:dyDescent="0.25">
      <c r="A2973" s="1">
        <v>917280</v>
      </c>
      <c r="B2973" s="1" t="s">
        <v>68</v>
      </c>
      <c r="C2973" s="1" t="s">
        <v>69</v>
      </c>
      <c r="D2973" s="2">
        <v>44649.557298032407</v>
      </c>
      <c r="E2973" s="1" t="s">
        <v>8</v>
      </c>
      <c r="F2973" s="1">
        <v>1</v>
      </c>
      <c r="G2973" s="1">
        <v>0</v>
      </c>
      <c r="H2973" s="6">
        <f>INT(Query1[[#This Row],[EntryDateTime]])</f>
        <v>44649</v>
      </c>
      <c r="I2973" s="1">
        <f>IF(Query1[[#This Row],[ItemType]]="EVAP KIT SF GEN IV",Query1[[#This Row],[OrderQty]]+I2972,I2972)</f>
        <v>3551</v>
      </c>
      <c r="J2973" s="1">
        <f>IF(Query1[[#This Row],[ItemType]]="EVAP KIT UNIVERSAL",Query1[[#This Row],[OrderQty]]+J2972,J2972)</f>
        <v>1348</v>
      </c>
      <c r="K2973" s="1">
        <f>Query1[[#This Row],[SF Running Total]]+Query1[[#This Row],[UNIV Running Total]]</f>
        <v>4899</v>
      </c>
      <c r="L2973">
        <f>VLOOKUP(Query1[[#This Row],[Description]],'kits to boards'!$B$2:$E$156,2,FALSE)</f>
        <v>830010</v>
      </c>
      <c r="M2973">
        <f>VLOOKUP(Query1[[#This Row],[Description]],'kits to boards'!$B$2:$E$156,3,FALSE)</f>
        <v>0</v>
      </c>
      <c r="N2973">
        <f>VLOOKUP(Query1[[#This Row],[Description]],'kits to boards'!$B$2:$E$156,4,FALSE)</f>
        <v>0</v>
      </c>
      <c r="O2973" t="str">
        <f>CONCATENATE(Query1[[#This Row],[Description]]," - ",Query1[[#This Row],[MB1]]," - ",Query1[[#This Row],[MB2]]," - ",Query1[[#This Row],[MB3]])</f>
        <v>EVAP KIT 70-72 CHEVELLE WO AC - 830010 - 0 - 0</v>
      </c>
    </row>
    <row r="2974" spans="1:15" x14ac:dyDescent="0.25">
      <c r="A2974" s="1">
        <v>917282</v>
      </c>
      <c r="B2974" s="1" t="s">
        <v>120</v>
      </c>
      <c r="C2974" s="1" t="s">
        <v>121</v>
      </c>
      <c r="D2974" s="2">
        <v>44649.558723923612</v>
      </c>
      <c r="E2974" s="1" t="s">
        <v>8</v>
      </c>
      <c r="F2974" s="1">
        <v>1</v>
      </c>
      <c r="G2974" s="1">
        <v>0</v>
      </c>
      <c r="H2974" s="6">
        <f>INT(Query1[[#This Row],[EntryDateTime]])</f>
        <v>44649</v>
      </c>
      <c r="I2974" s="1">
        <f>IF(Query1[[#This Row],[ItemType]]="EVAP KIT SF GEN IV",Query1[[#This Row],[OrderQty]]+I2973,I2973)</f>
        <v>3552</v>
      </c>
      <c r="J2974" s="1">
        <f>IF(Query1[[#This Row],[ItemType]]="EVAP KIT UNIVERSAL",Query1[[#This Row],[OrderQty]]+J2973,J2973)</f>
        <v>1348</v>
      </c>
      <c r="K2974" s="1">
        <f>Query1[[#This Row],[SF Running Total]]+Query1[[#This Row],[UNIV Running Total]]</f>
        <v>4900</v>
      </c>
      <c r="L2974">
        <f>VLOOKUP(Query1[[#This Row],[Description]],'kits to boards'!$B$2:$E$156,2,FALSE)</f>
        <v>830014</v>
      </c>
      <c r="M2974">
        <f>VLOOKUP(Query1[[#This Row],[Description]],'kits to boards'!$B$2:$E$156,3,FALSE)</f>
        <v>0</v>
      </c>
      <c r="N2974">
        <f>VLOOKUP(Query1[[#This Row],[Description]],'kits to boards'!$B$2:$E$156,4,FALSE)</f>
        <v>0</v>
      </c>
      <c r="O2974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2975" spans="1:15" x14ac:dyDescent="0.25">
      <c r="A2975" s="1">
        <v>917201</v>
      </c>
      <c r="B2975" s="1" t="s">
        <v>32</v>
      </c>
      <c r="C2975" s="1" t="s">
        <v>33</v>
      </c>
      <c r="D2975" s="2">
        <v>44649.560567326385</v>
      </c>
      <c r="E2975" s="1" t="s">
        <v>8</v>
      </c>
      <c r="F2975" s="1">
        <v>1</v>
      </c>
      <c r="G2975" s="1">
        <v>0</v>
      </c>
      <c r="H2975" s="6">
        <f>INT(Query1[[#This Row],[EntryDateTime]])</f>
        <v>44649</v>
      </c>
      <c r="I2975" s="1">
        <f>IF(Query1[[#This Row],[ItemType]]="EVAP KIT SF GEN IV",Query1[[#This Row],[OrderQty]]+I2974,I2974)</f>
        <v>3553</v>
      </c>
      <c r="J2975" s="1">
        <f>IF(Query1[[#This Row],[ItemType]]="EVAP KIT UNIVERSAL",Query1[[#This Row],[OrderQty]]+J2974,J2974)</f>
        <v>1348</v>
      </c>
      <c r="K2975" s="1">
        <f>Query1[[#This Row],[SF Running Total]]+Query1[[#This Row],[UNIV Running Total]]</f>
        <v>4901</v>
      </c>
      <c r="L2975">
        <f>VLOOKUP(Query1[[#This Row],[Description]],'kits to boards'!$B$2:$E$156,2,FALSE)</f>
        <v>830016</v>
      </c>
      <c r="M2975">
        <f>VLOOKUP(Query1[[#This Row],[Description]],'kits to boards'!$B$2:$E$156,3,FALSE)</f>
        <v>0</v>
      </c>
      <c r="N2975">
        <f>VLOOKUP(Query1[[#This Row],[Description]],'kits to boards'!$B$2:$E$156,4,FALSE)</f>
        <v>0</v>
      </c>
      <c r="O2975" t="str">
        <f>CONCATENATE(Query1[[#This Row],[Description]]," - ",Query1[[#This Row],[MB1]]," - ",Query1[[#This Row],[MB2]]," - ",Query1[[#This Row],[MB3]])</f>
        <v>EVAP KIT 67-68 CAMARO/FIREBIRD W/AC - 830016 - 0 - 0</v>
      </c>
    </row>
    <row r="2976" spans="1:15" x14ac:dyDescent="0.25">
      <c r="A2976" s="1">
        <v>916431</v>
      </c>
      <c r="B2976" s="1" t="s">
        <v>126</v>
      </c>
      <c r="C2976" s="1" t="s">
        <v>127</v>
      </c>
      <c r="D2976" s="2">
        <v>44649.56341412037</v>
      </c>
      <c r="E2976" s="1" t="s">
        <v>8</v>
      </c>
      <c r="F2976" s="1">
        <v>1</v>
      </c>
      <c r="G2976" s="1">
        <v>0</v>
      </c>
      <c r="H2976" s="6">
        <f>INT(Query1[[#This Row],[EntryDateTime]])</f>
        <v>44649</v>
      </c>
      <c r="I2976" s="1">
        <f>IF(Query1[[#This Row],[ItemType]]="EVAP KIT SF GEN IV",Query1[[#This Row],[OrderQty]]+I2975,I2975)</f>
        <v>3554</v>
      </c>
      <c r="J2976" s="1">
        <f>IF(Query1[[#This Row],[ItemType]]="EVAP KIT UNIVERSAL",Query1[[#This Row],[OrderQty]]+J2975,J2975)</f>
        <v>1348</v>
      </c>
      <c r="K2976" s="1">
        <f>Query1[[#This Row],[SF Running Total]]+Query1[[#This Row],[UNIV Running Total]]</f>
        <v>4902</v>
      </c>
      <c r="L2976">
        <f>VLOOKUP(Query1[[#This Row],[Description]],'kits to boards'!$B$2:$E$156,2,FALSE)</f>
        <v>830080</v>
      </c>
      <c r="M2976">
        <f>VLOOKUP(Query1[[#This Row],[Description]],'kits to boards'!$B$2:$E$156,3,FALSE)</f>
        <v>0</v>
      </c>
      <c r="N2976">
        <f>VLOOKUP(Query1[[#This Row],[Description]],'kits to boards'!$B$2:$E$156,4,FALSE)</f>
        <v>0</v>
      </c>
      <c r="O2976" t="str">
        <f>CONCATENATE(Query1[[#This Row],[Description]]," - ",Query1[[#This Row],[MB1]]," - ",Query1[[#This Row],[MB2]]," - ",Query1[[#This Row],[MB3]])</f>
        <v>EVAP KIT 69-70 MUSTANG WO AC  - 830080 - 0 - 0</v>
      </c>
    </row>
    <row r="2977" spans="1:15" x14ac:dyDescent="0.25">
      <c r="A2977" s="1">
        <v>916012</v>
      </c>
      <c r="B2977" s="1" t="s">
        <v>24</v>
      </c>
      <c r="C2977" s="1" t="s">
        <v>25</v>
      </c>
      <c r="D2977" s="2">
        <v>44649.563422800929</v>
      </c>
      <c r="E2977" s="1" t="s">
        <v>11</v>
      </c>
      <c r="F2977" s="1">
        <v>1</v>
      </c>
      <c r="G2977" s="1">
        <v>0</v>
      </c>
      <c r="H2977" s="6">
        <f>INT(Query1[[#This Row],[EntryDateTime]])</f>
        <v>44649</v>
      </c>
      <c r="I2977" s="1">
        <f>IF(Query1[[#This Row],[ItemType]]="EVAP KIT SF GEN IV",Query1[[#This Row],[OrderQty]]+I2976,I2976)</f>
        <v>3554</v>
      </c>
      <c r="J2977" s="1">
        <f>IF(Query1[[#This Row],[ItemType]]="EVAP KIT UNIVERSAL",Query1[[#This Row],[OrderQty]]+J2976,J2976)</f>
        <v>1349</v>
      </c>
      <c r="K2977" s="1">
        <f>Query1[[#This Row],[SF Running Total]]+Query1[[#This Row],[UNIV Running Total]]</f>
        <v>4903</v>
      </c>
      <c r="L2977">
        <f>VLOOKUP(Query1[[#This Row],[Description]],'kits to boards'!$B$2:$E$156,2,FALSE)</f>
        <v>830029</v>
      </c>
      <c r="M2977">
        <f>VLOOKUP(Query1[[#This Row],[Description]],'kits to boards'!$B$2:$E$156,3,FALSE)</f>
        <v>830030</v>
      </c>
      <c r="N2977">
        <f>VLOOKUP(Query1[[#This Row],[Description]],'kits to boards'!$B$2:$E$156,4,FALSE)</f>
        <v>0</v>
      </c>
      <c r="O2977" t="str">
        <f>CONCATENATE(Query1[[#This Row],[Description]]," - ",Query1[[#This Row],[MB1]]," - ",Query1[[#This Row],[MB2]]," - ",Query1[[#This Row],[MB3]])</f>
        <v>ComPac GEN II W/DEF - 830029 - 830030 - 0</v>
      </c>
    </row>
    <row r="2978" spans="1:15" x14ac:dyDescent="0.25">
      <c r="A2978" s="1">
        <v>916760</v>
      </c>
      <c r="B2978" s="1" t="s">
        <v>6</v>
      </c>
      <c r="C2978" s="1" t="s">
        <v>7</v>
      </c>
      <c r="D2978" s="2">
        <v>44649.566702002317</v>
      </c>
      <c r="E2978" s="1" t="s">
        <v>8</v>
      </c>
      <c r="F2978" s="1">
        <v>1</v>
      </c>
      <c r="G2978" s="1">
        <v>0</v>
      </c>
      <c r="H2978" s="6">
        <f>INT(Query1[[#This Row],[EntryDateTime]])</f>
        <v>44649</v>
      </c>
      <c r="I2978" s="1">
        <f>IF(Query1[[#This Row],[ItemType]]="EVAP KIT SF GEN IV",Query1[[#This Row],[OrderQty]]+I2977,I2977)</f>
        <v>3555</v>
      </c>
      <c r="J2978" s="1">
        <f>IF(Query1[[#This Row],[ItemType]]="EVAP KIT UNIVERSAL",Query1[[#This Row],[OrderQty]]+J2977,J2977)</f>
        <v>1349</v>
      </c>
      <c r="K2978" s="1">
        <f>Query1[[#This Row],[SF Running Total]]+Query1[[#This Row],[UNIV Running Total]]</f>
        <v>4904</v>
      </c>
      <c r="L2978">
        <f>VLOOKUP(Query1[[#This Row],[Description]],'kits to boards'!$B$2:$E$156,2,FALSE)</f>
        <v>830132</v>
      </c>
      <c r="M2978">
        <f>VLOOKUP(Query1[[#This Row],[Description]],'kits to boards'!$B$2:$E$156,3,FALSE)</f>
        <v>0</v>
      </c>
      <c r="N2978">
        <f>VLOOKUP(Query1[[#This Row],[Description]],'kits to boards'!$B$2:$E$156,4,FALSE)</f>
        <v>0</v>
      </c>
      <c r="O2978" t="str">
        <f>CONCATENATE(Query1[[#This Row],[Description]]," - ",Query1[[#This Row],[MB1]]," - ",Query1[[#This Row],[MB2]]," - ",Query1[[#This Row],[MB3]])</f>
        <v>EVAP KIT 82-88 MONTE CARLO/EL CAMINO - 830132 - 0 - 0</v>
      </c>
    </row>
    <row r="2979" spans="1:15" x14ac:dyDescent="0.25">
      <c r="A2979" s="1">
        <v>917288</v>
      </c>
      <c r="B2979" s="1" t="s">
        <v>132</v>
      </c>
      <c r="C2979" s="1" t="s">
        <v>133</v>
      </c>
      <c r="D2979" s="2">
        <v>44649.569110879631</v>
      </c>
      <c r="E2979" s="1" t="s">
        <v>8</v>
      </c>
      <c r="F2979" s="1">
        <v>1</v>
      </c>
      <c r="G2979" s="1">
        <v>0</v>
      </c>
      <c r="H2979" s="6">
        <f>INT(Query1[[#This Row],[EntryDateTime]])</f>
        <v>44649</v>
      </c>
      <c r="I2979" s="1">
        <f>IF(Query1[[#This Row],[ItemType]]="EVAP KIT SF GEN IV",Query1[[#This Row],[OrderQty]]+I2978,I2978)</f>
        <v>3556</v>
      </c>
      <c r="J2979" s="1">
        <f>IF(Query1[[#This Row],[ItemType]]="EVAP KIT UNIVERSAL",Query1[[#This Row],[OrderQty]]+J2978,J2978)</f>
        <v>1349</v>
      </c>
      <c r="K2979" s="1">
        <f>Query1[[#This Row],[SF Running Total]]+Query1[[#This Row],[UNIV Running Total]]</f>
        <v>4905</v>
      </c>
      <c r="L2979">
        <f>VLOOKUP(Query1[[#This Row],[Description]],'kits to boards'!$B$2:$E$156,2,FALSE)</f>
        <v>830005</v>
      </c>
      <c r="M2979">
        <f>VLOOKUP(Query1[[#This Row],[Description]],'kits to boards'!$B$2:$E$156,3,FALSE)</f>
        <v>0</v>
      </c>
      <c r="N2979">
        <f>VLOOKUP(Query1[[#This Row],[Description]],'kits to boards'!$B$2:$E$156,4,FALSE)</f>
        <v>0</v>
      </c>
      <c r="O2979" t="str">
        <f>CONCATENATE(Query1[[#This Row],[Description]]," - ",Query1[[#This Row],[MB1]]," - ",Query1[[#This Row],[MB2]]," - ",Query1[[#This Row],[MB3]])</f>
        <v>EVAP KIT 61-62 IMPALA WO AC - 830005 - 0 - 0</v>
      </c>
    </row>
    <row r="2980" spans="1:15" x14ac:dyDescent="0.25">
      <c r="A2980" s="1">
        <v>917286</v>
      </c>
      <c r="B2980" s="1" t="s">
        <v>52</v>
      </c>
      <c r="C2980" s="1" t="s">
        <v>53</v>
      </c>
      <c r="D2980" s="2">
        <v>44649.574247835648</v>
      </c>
      <c r="E2980" s="1" t="s">
        <v>8</v>
      </c>
      <c r="F2980" s="1">
        <v>1</v>
      </c>
      <c r="G2980" s="1">
        <v>0</v>
      </c>
      <c r="H2980" s="6">
        <f>INT(Query1[[#This Row],[EntryDateTime]])</f>
        <v>44649</v>
      </c>
      <c r="I2980" s="1">
        <f>IF(Query1[[#This Row],[ItemType]]="EVAP KIT SF GEN IV",Query1[[#This Row],[OrderQty]]+I2979,I2979)</f>
        <v>3557</v>
      </c>
      <c r="J2980" s="1">
        <f>IF(Query1[[#This Row],[ItemType]]="EVAP KIT UNIVERSAL",Query1[[#This Row],[OrderQty]]+J2979,J2979)</f>
        <v>1349</v>
      </c>
      <c r="K2980" s="1">
        <f>Query1[[#This Row],[SF Running Total]]+Query1[[#This Row],[UNIV Running Total]]</f>
        <v>4906</v>
      </c>
      <c r="L2980">
        <f>VLOOKUP(Query1[[#This Row],[Description]],'kits to boards'!$B$2:$E$156,2,FALSE)</f>
        <v>830017</v>
      </c>
      <c r="M2980">
        <f>VLOOKUP(Query1[[#This Row],[Description]],'kits to boards'!$B$2:$E$156,3,FALSE)</f>
        <v>830119</v>
      </c>
      <c r="N2980">
        <f>VLOOKUP(Query1[[#This Row],[Description]],'kits to boards'!$B$2:$E$156,4,FALSE)</f>
        <v>830120</v>
      </c>
      <c r="O2980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2981" spans="1:15" x14ac:dyDescent="0.25">
      <c r="A2981" s="1">
        <v>917292</v>
      </c>
      <c r="B2981" s="1" t="s">
        <v>140</v>
      </c>
      <c r="C2981" s="1" t="s">
        <v>141</v>
      </c>
      <c r="D2981" s="2">
        <v>44649.577602858793</v>
      </c>
      <c r="E2981" s="1" t="s">
        <v>8</v>
      </c>
      <c r="F2981" s="1">
        <v>1</v>
      </c>
      <c r="G2981" s="1">
        <v>0</v>
      </c>
      <c r="H2981" s="6">
        <f>INT(Query1[[#This Row],[EntryDateTime]])</f>
        <v>44649</v>
      </c>
      <c r="I2981" s="1">
        <f>IF(Query1[[#This Row],[ItemType]]="EVAP KIT SF GEN IV",Query1[[#This Row],[OrderQty]]+I2980,I2980)</f>
        <v>3558</v>
      </c>
      <c r="J2981" s="1">
        <f>IF(Query1[[#This Row],[ItemType]]="EVAP KIT UNIVERSAL",Query1[[#This Row],[OrderQty]]+J2980,J2980)</f>
        <v>1349</v>
      </c>
      <c r="K2981" s="1">
        <f>Query1[[#This Row],[SF Running Total]]+Query1[[#This Row],[UNIV Running Total]]</f>
        <v>4907</v>
      </c>
      <c r="L2981">
        <f>VLOOKUP(Query1[[#This Row],[Description]],'kits to boards'!$B$2:$E$156,2,FALSE)</f>
        <v>830066</v>
      </c>
      <c r="M2981">
        <f>VLOOKUP(Query1[[#This Row],[Description]],'kits to boards'!$B$2:$E$156,3,FALSE)</f>
        <v>0</v>
      </c>
      <c r="N2981">
        <f>VLOOKUP(Query1[[#This Row],[Description]],'kits to boards'!$B$2:$E$156,4,FALSE)</f>
        <v>0</v>
      </c>
      <c r="O2981" t="str">
        <f>CONCATENATE(Query1[[#This Row],[Description]]," - ",Query1[[#This Row],[MB1]]," - ",Query1[[#This Row],[MB2]]," - ",Query1[[#This Row],[MB3]])</f>
        <v>EVAP KIT 60-63 CHEV P-UP WO AC - 830066 - 0 - 0</v>
      </c>
    </row>
    <row r="2982" spans="1:15" x14ac:dyDescent="0.25">
      <c r="A2982" s="1">
        <v>917298</v>
      </c>
      <c r="B2982" s="1" t="s">
        <v>26</v>
      </c>
      <c r="C2982" s="1" t="s">
        <v>27</v>
      </c>
      <c r="D2982" s="2">
        <v>44649.580516863425</v>
      </c>
      <c r="E2982" s="1" t="s">
        <v>8</v>
      </c>
      <c r="F2982" s="1">
        <v>1</v>
      </c>
      <c r="G2982" s="1">
        <v>0</v>
      </c>
      <c r="H2982" s="6">
        <f>INT(Query1[[#This Row],[EntryDateTime]])</f>
        <v>44649</v>
      </c>
      <c r="I2982" s="1">
        <f>IF(Query1[[#This Row],[ItemType]]="EVAP KIT SF GEN IV",Query1[[#This Row],[OrderQty]]+I2981,I2981)</f>
        <v>3559</v>
      </c>
      <c r="J2982" s="1">
        <f>IF(Query1[[#This Row],[ItemType]]="EVAP KIT UNIVERSAL",Query1[[#This Row],[OrderQty]]+J2981,J2981)</f>
        <v>1349</v>
      </c>
      <c r="K2982" s="1">
        <f>Query1[[#This Row],[SF Running Total]]+Query1[[#This Row],[UNIV Running Total]]</f>
        <v>4908</v>
      </c>
      <c r="L2982">
        <f>VLOOKUP(Query1[[#This Row],[Description]],'kits to boards'!$B$2:$E$156,2,FALSE)</f>
        <v>830013</v>
      </c>
      <c r="M2982">
        <f>VLOOKUP(Query1[[#This Row],[Description]],'kits to boards'!$B$2:$E$156,3,FALSE)</f>
        <v>0</v>
      </c>
      <c r="N2982">
        <f>VLOOKUP(Query1[[#This Row],[Description]],'kits to boards'!$B$2:$E$156,4,FALSE)</f>
        <v>0</v>
      </c>
      <c r="O2982" t="str">
        <f>CONCATENATE(Query1[[#This Row],[Description]]," - ",Query1[[#This Row],[MB1]]," - ",Query1[[#This Row],[MB2]]," - ",Query1[[#This Row],[MB3]])</f>
        <v>EVAP KIT 67-72 CHEV P-UP W/AC - 830013 - 0 - 0</v>
      </c>
    </row>
    <row r="2983" spans="1:15" x14ac:dyDescent="0.25">
      <c r="A2983" s="1">
        <v>917303</v>
      </c>
      <c r="B2983" s="1" t="s">
        <v>48</v>
      </c>
      <c r="C2983" s="1" t="s">
        <v>49</v>
      </c>
      <c r="D2983" s="2">
        <v>44649.587419872689</v>
      </c>
      <c r="E2983" s="1" t="s">
        <v>8</v>
      </c>
      <c r="F2983" s="1">
        <v>2</v>
      </c>
      <c r="G2983" s="1">
        <v>0</v>
      </c>
      <c r="H2983" s="6">
        <f>INT(Query1[[#This Row],[EntryDateTime]])</f>
        <v>44649</v>
      </c>
      <c r="I2983" s="1">
        <f>IF(Query1[[#This Row],[ItemType]]="EVAP KIT SF GEN IV",Query1[[#This Row],[OrderQty]]+I2982,I2982)</f>
        <v>3561</v>
      </c>
      <c r="J2983" s="1">
        <f>IF(Query1[[#This Row],[ItemType]]="EVAP KIT UNIVERSAL",Query1[[#This Row],[OrderQty]]+J2982,J2982)</f>
        <v>1349</v>
      </c>
      <c r="K2983" s="1">
        <f>Query1[[#This Row],[SF Running Total]]+Query1[[#This Row],[UNIV Running Total]]</f>
        <v>4910</v>
      </c>
      <c r="L2983">
        <f>VLOOKUP(Query1[[#This Row],[Description]],'kits to boards'!$B$2:$E$156,2,FALSE)</f>
        <v>830015</v>
      </c>
      <c r="M2983">
        <f>VLOOKUP(Query1[[#This Row],[Description]],'kits to boards'!$B$2:$E$156,3,FALSE)</f>
        <v>0</v>
      </c>
      <c r="N2983">
        <f>VLOOKUP(Query1[[#This Row],[Description]],'kits to boards'!$B$2:$E$156,4,FALSE)</f>
        <v>0</v>
      </c>
      <c r="O2983" t="str">
        <f>CONCATENATE(Query1[[#This Row],[Description]]," - ",Query1[[#This Row],[MB1]]," - ",Query1[[#This Row],[MB2]]," - ",Query1[[#This Row],[MB3]])</f>
        <v>EVAP KIT 64-66 CHEV P-UP WO AC W/DELX - 830015 - 0 - 0</v>
      </c>
    </row>
    <row r="2984" spans="1:15" x14ac:dyDescent="0.25">
      <c r="A2984" s="1">
        <v>917303</v>
      </c>
      <c r="B2984" s="1" t="s">
        <v>42</v>
      </c>
      <c r="C2984" s="1" t="s">
        <v>43</v>
      </c>
      <c r="D2984" s="2">
        <v>44649.587700729164</v>
      </c>
      <c r="E2984" s="1" t="s">
        <v>8</v>
      </c>
      <c r="F2984" s="1">
        <v>2</v>
      </c>
      <c r="G2984" s="1">
        <v>0</v>
      </c>
      <c r="H2984" s="6">
        <f>INT(Query1[[#This Row],[EntryDateTime]])</f>
        <v>44649</v>
      </c>
      <c r="I2984" s="1">
        <f>IF(Query1[[#This Row],[ItemType]]="EVAP KIT SF GEN IV",Query1[[#This Row],[OrderQty]]+I2983,I2983)</f>
        <v>3563</v>
      </c>
      <c r="J2984" s="1">
        <f>IF(Query1[[#This Row],[ItemType]]="EVAP KIT UNIVERSAL",Query1[[#This Row],[OrderQty]]+J2983,J2983)</f>
        <v>1349</v>
      </c>
      <c r="K2984" s="1">
        <f>Query1[[#This Row],[SF Running Total]]+Query1[[#This Row],[UNIV Running Total]]</f>
        <v>4912</v>
      </c>
      <c r="L2984">
        <f>VLOOKUP(Query1[[#This Row],[Description]],'kits to boards'!$B$2:$E$156,2,FALSE)</f>
        <v>830014</v>
      </c>
      <c r="M2984">
        <f>VLOOKUP(Query1[[#This Row],[Description]],'kits to boards'!$B$2:$E$156,3,FALSE)</f>
        <v>0</v>
      </c>
      <c r="N2984">
        <f>VLOOKUP(Query1[[#This Row],[Description]],'kits to boards'!$B$2:$E$156,4,FALSE)</f>
        <v>0</v>
      </c>
      <c r="O2984" t="str">
        <f>CONCATENATE(Query1[[#This Row],[Description]]," - ",Query1[[#This Row],[MB1]]," - ",Query1[[#This Row],[MB2]]," - ",Query1[[#This Row],[MB3]])</f>
        <v>EVAP KIT 67-72 CHEV P-UP WO AC - 830014 - 0 - 0</v>
      </c>
    </row>
    <row r="2985" spans="1:15" x14ac:dyDescent="0.25">
      <c r="A2985" s="1">
        <v>917303</v>
      </c>
      <c r="B2985" s="1" t="s">
        <v>120</v>
      </c>
      <c r="C2985" s="1" t="s">
        <v>121</v>
      </c>
      <c r="D2985" s="2">
        <v>44649.587818668981</v>
      </c>
      <c r="E2985" s="1" t="s">
        <v>8</v>
      </c>
      <c r="F2985" s="1">
        <v>2</v>
      </c>
      <c r="G2985" s="1">
        <v>0</v>
      </c>
      <c r="H2985" s="6">
        <f>INT(Query1[[#This Row],[EntryDateTime]])</f>
        <v>44649</v>
      </c>
      <c r="I2985" s="1">
        <f>IF(Query1[[#This Row],[ItemType]]="EVAP KIT SF GEN IV",Query1[[#This Row],[OrderQty]]+I2984,I2984)</f>
        <v>3565</v>
      </c>
      <c r="J2985" s="1">
        <f>IF(Query1[[#This Row],[ItemType]]="EVAP KIT UNIVERSAL",Query1[[#This Row],[OrderQty]]+J2984,J2984)</f>
        <v>1349</v>
      </c>
      <c r="K2985" s="1">
        <f>Query1[[#This Row],[SF Running Total]]+Query1[[#This Row],[UNIV Running Total]]</f>
        <v>4914</v>
      </c>
      <c r="L2985">
        <f>VLOOKUP(Query1[[#This Row],[Description]],'kits to boards'!$B$2:$E$156,2,FALSE)</f>
        <v>830014</v>
      </c>
      <c r="M2985">
        <f>VLOOKUP(Query1[[#This Row],[Description]],'kits to boards'!$B$2:$E$156,3,FALSE)</f>
        <v>0</v>
      </c>
      <c r="N2985">
        <f>VLOOKUP(Query1[[#This Row],[Description]],'kits to boards'!$B$2:$E$156,4,FALSE)</f>
        <v>0</v>
      </c>
      <c r="O2985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2986" spans="1:15" x14ac:dyDescent="0.25">
      <c r="A2986" s="1">
        <v>917303</v>
      </c>
      <c r="B2986" s="1" t="s">
        <v>26</v>
      </c>
      <c r="C2986" s="1" t="s">
        <v>27</v>
      </c>
      <c r="D2986" s="2">
        <v>44649.587910613423</v>
      </c>
      <c r="E2986" s="1" t="s">
        <v>8</v>
      </c>
      <c r="F2986" s="1">
        <v>2</v>
      </c>
      <c r="G2986" s="1">
        <v>0</v>
      </c>
      <c r="H2986" s="6">
        <f>INT(Query1[[#This Row],[EntryDateTime]])</f>
        <v>44649</v>
      </c>
      <c r="I2986" s="1">
        <f>IF(Query1[[#This Row],[ItemType]]="EVAP KIT SF GEN IV",Query1[[#This Row],[OrderQty]]+I2985,I2985)</f>
        <v>3567</v>
      </c>
      <c r="J2986" s="1">
        <f>IF(Query1[[#This Row],[ItemType]]="EVAP KIT UNIVERSAL",Query1[[#This Row],[OrderQty]]+J2985,J2985)</f>
        <v>1349</v>
      </c>
      <c r="K2986" s="1">
        <f>Query1[[#This Row],[SF Running Total]]+Query1[[#This Row],[UNIV Running Total]]</f>
        <v>4916</v>
      </c>
      <c r="L2986">
        <f>VLOOKUP(Query1[[#This Row],[Description]],'kits to boards'!$B$2:$E$156,2,FALSE)</f>
        <v>830013</v>
      </c>
      <c r="M2986">
        <f>VLOOKUP(Query1[[#This Row],[Description]],'kits to boards'!$B$2:$E$156,3,FALSE)</f>
        <v>0</v>
      </c>
      <c r="N2986">
        <f>VLOOKUP(Query1[[#This Row],[Description]],'kits to boards'!$B$2:$E$156,4,FALSE)</f>
        <v>0</v>
      </c>
      <c r="O2986" t="str">
        <f>CONCATENATE(Query1[[#This Row],[Description]]," - ",Query1[[#This Row],[MB1]]," - ",Query1[[#This Row],[MB2]]," - ",Query1[[#This Row],[MB3]])</f>
        <v>EVAP KIT 67-72 CHEV P-UP W/AC - 830013 - 0 - 0</v>
      </c>
    </row>
    <row r="2987" spans="1:15" x14ac:dyDescent="0.25">
      <c r="A2987" s="1">
        <v>917303</v>
      </c>
      <c r="B2987" s="1" t="s">
        <v>28</v>
      </c>
      <c r="C2987" s="1" t="s">
        <v>29</v>
      </c>
      <c r="D2987" s="2">
        <v>44649.588321377312</v>
      </c>
      <c r="E2987" s="1" t="s">
        <v>8</v>
      </c>
      <c r="F2987" s="1">
        <v>2</v>
      </c>
      <c r="G2987" s="1">
        <v>0</v>
      </c>
      <c r="H2987" s="6">
        <f>INT(Query1[[#This Row],[EntryDateTime]])</f>
        <v>44649</v>
      </c>
      <c r="I2987" s="1">
        <f>IF(Query1[[#This Row],[ItemType]]="EVAP KIT SF GEN IV",Query1[[#This Row],[OrderQty]]+I2986,I2986)</f>
        <v>3569</v>
      </c>
      <c r="J2987" s="1">
        <f>IF(Query1[[#This Row],[ItemType]]="EVAP KIT UNIVERSAL",Query1[[#This Row],[OrderQty]]+J2986,J2986)</f>
        <v>1349</v>
      </c>
      <c r="K2987" s="1">
        <f>Query1[[#This Row],[SF Running Total]]+Query1[[#This Row],[UNIV Running Total]]</f>
        <v>4918</v>
      </c>
      <c r="L2987">
        <f>VLOOKUP(Query1[[#This Row],[Description]],'kits to boards'!$B$2:$E$156,2,FALSE)</f>
        <v>830001</v>
      </c>
      <c r="M2987">
        <f>VLOOKUP(Query1[[#This Row],[Description]],'kits to boards'!$B$2:$E$156,3,FALSE)</f>
        <v>0</v>
      </c>
      <c r="N2987">
        <f>VLOOKUP(Query1[[#This Row],[Description]],'kits to boards'!$B$2:$E$156,4,FALSE)</f>
        <v>0</v>
      </c>
      <c r="O2987" t="str">
        <f>CONCATENATE(Query1[[#This Row],[Description]]," - ",Query1[[#This Row],[MB1]]," - ",Query1[[#This Row],[MB2]]," - ",Query1[[#This Row],[MB3]])</f>
        <v>EVAP KIT 73-80 CHEV P-UP W/AC - 830001 - 0 - 0</v>
      </c>
    </row>
    <row r="2988" spans="1:15" x14ac:dyDescent="0.25">
      <c r="A2988" s="1">
        <v>917303</v>
      </c>
      <c r="B2988" s="1" t="s">
        <v>96</v>
      </c>
      <c r="C2988" s="1" t="s">
        <v>97</v>
      </c>
      <c r="D2988" s="2">
        <v>44649.588710729164</v>
      </c>
      <c r="E2988" s="1" t="s">
        <v>8</v>
      </c>
      <c r="F2988" s="1">
        <v>4</v>
      </c>
      <c r="G2988" s="1">
        <v>0</v>
      </c>
      <c r="H2988" s="6">
        <f>INT(Query1[[#This Row],[EntryDateTime]])</f>
        <v>44649</v>
      </c>
      <c r="I2988" s="1">
        <f>IF(Query1[[#This Row],[ItemType]]="EVAP KIT SF GEN IV",Query1[[#This Row],[OrderQty]]+I2987,I2987)</f>
        <v>3573</v>
      </c>
      <c r="J2988" s="1">
        <f>IF(Query1[[#This Row],[ItemType]]="EVAP KIT UNIVERSAL",Query1[[#This Row],[OrderQty]]+J2987,J2987)</f>
        <v>1349</v>
      </c>
      <c r="K2988" s="1">
        <f>Query1[[#This Row],[SF Running Total]]+Query1[[#This Row],[UNIV Running Total]]</f>
        <v>4922</v>
      </c>
      <c r="L2988">
        <f>VLOOKUP(Query1[[#This Row],[Description]],'kits to boards'!$B$2:$E$156,2,FALSE)</f>
        <v>830004</v>
      </c>
      <c r="M2988">
        <f>VLOOKUP(Query1[[#This Row],[Description]],'kits to boards'!$B$2:$E$156,3,FALSE)</f>
        <v>0</v>
      </c>
      <c r="N2988">
        <f>VLOOKUP(Query1[[#This Row],[Description]],'kits to boards'!$B$2:$E$156,4,FALSE)</f>
        <v>0</v>
      </c>
      <c r="O2988" t="str">
        <f>CONCATENATE(Query1[[#This Row],[Description]]," - ",Query1[[#This Row],[MB1]]," - ",Query1[[#This Row],[MB2]]," - ",Query1[[#This Row],[MB3]])</f>
        <v>EVAP KIT 81-87 CHEV P-UP W/AC - 830004 - 0 - 0</v>
      </c>
    </row>
    <row r="2989" spans="1:15" x14ac:dyDescent="0.25">
      <c r="A2989" s="1">
        <v>917295</v>
      </c>
      <c r="B2989" s="1" t="s">
        <v>96</v>
      </c>
      <c r="C2989" s="1" t="s">
        <v>97</v>
      </c>
      <c r="D2989" s="2">
        <v>44649.589078784724</v>
      </c>
      <c r="E2989" s="1" t="s">
        <v>8</v>
      </c>
      <c r="F2989" s="1">
        <v>1</v>
      </c>
      <c r="G2989" s="1">
        <v>0</v>
      </c>
      <c r="H2989" s="6">
        <f>INT(Query1[[#This Row],[EntryDateTime]])</f>
        <v>44649</v>
      </c>
      <c r="I2989" s="1">
        <f>IF(Query1[[#This Row],[ItemType]]="EVAP KIT SF GEN IV",Query1[[#This Row],[OrderQty]]+I2988,I2988)</f>
        <v>3574</v>
      </c>
      <c r="J2989" s="1">
        <f>IF(Query1[[#This Row],[ItemType]]="EVAP KIT UNIVERSAL",Query1[[#This Row],[OrderQty]]+J2988,J2988)</f>
        <v>1349</v>
      </c>
      <c r="K2989" s="1">
        <f>Query1[[#This Row],[SF Running Total]]+Query1[[#This Row],[UNIV Running Total]]</f>
        <v>4923</v>
      </c>
      <c r="L2989">
        <f>VLOOKUP(Query1[[#This Row],[Description]],'kits to boards'!$B$2:$E$156,2,FALSE)</f>
        <v>830004</v>
      </c>
      <c r="M2989">
        <f>VLOOKUP(Query1[[#This Row],[Description]],'kits to boards'!$B$2:$E$156,3,FALSE)</f>
        <v>0</v>
      </c>
      <c r="N2989">
        <f>VLOOKUP(Query1[[#This Row],[Description]],'kits to boards'!$B$2:$E$156,4,FALSE)</f>
        <v>0</v>
      </c>
      <c r="O2989" t="str">
        <f>CONCATENATE(Query1[[#This Row],[Description]]," - ",Query1[[#This Row],[MB1]]," - ",Query1[[#This Row],[MB2]]," - ",Query1[[#This Row],[MB3]])</f>
        <v>EVAP KIT 81-87 CHEV P-UP W/AC - 830004 - 0 - 0</v>
      </c>
    </row>
    <row r="2990" spans="1:15" x14ac:dyDescent="0.25">
      <c r="A2990" s="1">
        <v>917306</v>
      </c>
      <c r="B2990" s="1" t="s">
        <v>22</v>
      </c>
      <c r="C2990" s="1" t="s">
        <v>23</v>
      </c>
      <c r="D2990" s="2">
        <v>44649.591577083331</v>
      </c>
      <c r="E2990" s="1" t="s">
        <v>8</v>
      </c>
      <c r="F2990" s="1">
        <v>1</v>
      </c>
      <c r="G2990" s="1">
        <v>0</v>
      </c>
      <c r="H2990" s="6">
        <f>INT(Query1[[#This Row],[EntryDateTime]])</f>
        <v>44649</v>
      </c>
      <c r="I2990" s="1">
        <f>IF(Query1[[#This Row],[ItemType]]="EVAP KIT SF GEN IV",Query1[[#This Row],[OrderQty]]+I2989,I2989)</f>
        <v>3575</v>
      </c>
      <c r="J2990" s="1">
        <f>IF(Query1[[#This Row],[ItemType]]="EVAP KIT UNIVERSAL",Query1[[#This Row],[OrderQty]]+J2989,J2989)</f>
        <v>1349</v>
      </c>
      <c r="K2990" s="1">
        <f>Query1[[#This Row],[SF Running Total]]+Query1[[#This Row],[UNIV Running Total]]</f>
        <v>4924</v>
      </c>
      <c r="L2990">
        <f>VLOOKUP(Query1[[#This Row],[Description]],'kits to boards'!$B$2:$E$156,2,FALSE)</f>
        <v>830083</v>
      </c>
      <c r="M2990">
        <f>VLOOKUP(Query1[[#This Row],[Description]],'kits to boards'!$B$2:$E$156,3,FALSE)</f>
        <v>0</v>
      </c>
      <c r="N2990">
        <f>VLOOKUP(Query1[[#This Row],[Description]],'kits to boards'!$B$2:$E$156,4,FALSE)</f>
        <v>0</v>
      </c>
      <c r="O2990" t="str">
        <f>CONCATENATE(Query1[[#This Row],[Description]]," - ",Query1[[#This Row],[MB1]]," - ",Query1[[#This Row],[MB2]]," - ",Query1[[#This Row],[MB3]])</f>
        <v>GEN IV MAGNUM EVAP KIT - 830083 - 0 - 0</v>
      </c>
    </row>
    <row r="2991" spans="1:15" x14ac:dyDescent="0.25">
      <c r="A2991" s="1">
        <v>917325</v>
      </c>
      <c r="B2991" s="1" t="s">
        <v>124</v>
      </c>
      <c r="C2991" s="1" t="s">
        <v>125</v>
      </c>
      <c r="D2991" s="2">
        <v>44649.608797800924</v>
      </c>
      <c r="E2991" s="1" t="s">
        <v>8</v>
      </c>
      <c r="F2991" s="1">
        <v>1</v>
      </c>
      <c r="G2991" s="1">
        <v>0</v>
      </c>
      <c r="H2991" s="6">
        <f>INT(Query1[[#This Row],[EntryDateTime]])</f>
        <v>44649</v>
      </c>
      <c r="I2991" s="1">
        <f>IF(Query1[[#This Row],[ItemType]]="EVAP KIT SF GEN IV",Query1[[#This Row],[OrderQty]]+I2990,I2990)</f>
        <v>3576</v>
      </c>
      <c r="J2991" s="1">
        <f>IF(Query1[[#This Row],[ItemType]]="EVAP KIT UNIVERSAL",Query1[[#This Row],[OrderQty]]+J2990,J2990)</f>
        <v>1349</v>
      </c>
      <c r="K2991" s="1">
        <f>Query1[[#This Row],[SF Running Total]]+Query1[[#This Row],[UNIV Running Total]]</f>
        <v>4925</v>
      </c>
      <c r="L2991">
        <f>VLOOKUP(Query1[[#This Row],[Description]],'kits to boards'!$B$2:$E$156,2,FALSE)</f>
        <v>830002</v>
      </c>
      <c r="M2991">
        <f>VLOOKUP(Query1[[#This Row],[Description]],'kits to boards'!$B$2:$E$156,3,FALSE)</f>
        <v>0</v>
      </c>
      <c r="N2991">
        <f>VLOOKUP(Query1[[#This Row],[Description]],'kits to boards'!$B$2:$E$156,4,FALSE)</f>
        <v>0</v>
      </c>
      <c r="O2991" t="str">
        <f>CONCATENATE(Query1[[#This Row],[Description]]," - ",Query1[[#This Row],[MB1]]," - ",Query1[[#This Row],[MB2]]," - ",Query1[[#This Row],[MB3]])</f>
        <v>EVAP KIT 73-80 CHEV P-UP WO AC - 830002 - 0 - 0</v>
      </c>
    </row>
    <row r="2992" spans="1:15" x14ac:dyDescent="0.25">
      <c r="A2992" s="1">
        <v>917327</v>
      </c>
      <c r="B2992" s="1" t="s">
        <v>96</v>
      </c>
      <c r="C2992" s="1" t="s">
        <v>97</v>
      </c>
      <c r="D2992" s="2">
        <v>44649.609447337964</v>
      </c>
      <c r="E2992" s="1" t="s">
        <v>8</v>
      </c>
      <c r="F2992" s="1">
        <v>1</v>
      </c>
      <c r="G2992" s="1">
        <v>0</v>
      </c>
      <c r="H2992" s="6">
        <f>INT(Query1[[#This Row],[EntryDateTime]])</f>
        <v>44649</v>
      </c>
      <c r="I2992" s="1">
        <f>IF(Query1[[#This Row],[ItemType]]="EVAP KIT SF GEN IV",Query1[[#This Row],[OrderQty]]+I2991,I2991)</f>
        <v>3577</v>
      </c>
      <c r="J2992" s="1">
        <f>IF(Query1[[#This Row],[ItemType]]="EVAP KIT UNIVERSAL",Query1[[#This Row],[OrderQty]]+J2991,J2991)</f>
        <v>1349</v>
      </c>
      <c r="K2992" s="1">
        <f>Query1[[#This Row],[SF Running Total]]+Query1[[#This Row],[UNIV Running Total]]</f>
        <v>4926</v>
      </c>
      <c r="L2992">
        <f>VLOOKUP(Query1[[#This Row],[Description]],'kits to boards'!$B$2:$E$156,2,FALSE)</f>
        <v>830004</v>
      </c>
      <c r="M2992">
        <f>VLOOKUP(Query1[[#This Row],[Description]],'kits to boards'!$B$2:$E$156,3,FALSE)</f>
        <v>0</v>
      </c>
      <c r="N2992">
        <f>VLOOKUP(Query1[[#This Row],[Description]],'kits to boards'!$B$2:$E$156,4,FALSE)</f>
        <v>0</v>
      </c>
      <c r="O2992" t="str">
        <f>CONCATENATE(Query1[[#This Row],[Description]]," - ",Query1[[#This Row],[MB1]]," - ",Query1[[#This Row],[MB2]]," - ",Query1[[#This Row],[MB3]])</f>
        <v>EVAP KIT 81-87 CHEV P-UP W/AC - 830004 - 0 - 0</v>
      </c>
    </row>
    <row r="2993" spans="1:15" x14ac:dyDescent="0.25">
      <c r="A2993" s="1">
        <v>917144</v>
      </c>
      <c r="B2993" s="1" t="s">
        <v>26</v>
      </c>
      <c r="C2993" s="1" t="s">
        <v>27</v>
      </c>
      <c r="D2993" s="2">
        <v>44649.616322766204</v>
      </c>
      <c r="E2993" s="1" t="s">
        <v>8</v>
      </c>
      <c r="F2993" s="1">
        <v>1</v>
      </c>
      <c r="G2993" s="1">
        <v>0</v>
      </c>
      <c r="H2993" s="6">
        <f>INT(Query1[[#This Row],[EntryDateTime]])</f>
        <v>44649</v>
      </c>
      <c r="I2993" s="1">
        <f>IF(Query1[[#This Row],[ItemType]]="EVAP KIT SF GEN IV",Query1[[#This Row],[OrderQty]]+I2992,I2992)</f>
        <v>3578</v>
      </c>
      <c r="J2993" s="1">
        <f>IF(Query1[[#This Row],[ItemType]]="EVAP KIT UNIVERSAL",Query1[[#This Row],[OrderQty]]+J2992,J2992)</f>
        <v>1349</v>
      </c>
      <c r="K2993" s="1">
        <f>Query1[[#This Row],[SF Running Total]]+Query1[[#This Row],[UNIV Running Total]]</f>
        <v>4927</v>
      </c>
      <c r="L2993">
        <f>VLOOKUP(Query1[[#This Row],[Description]],'kits to boards'!$B$2:$E$156,2,FALSE)</f>
        <v>830013</v>
      </c>
      <c r="M2993">
        <f>VLOOKUP(Query1[[#This Row],[Description]],'kits to boards'!$B$2:$E$156,3,FALSE)</f>
        <v>0</v>
      </c>
      <c r="N2993">
        <f>VLOOKUP(Query1[[#This Row],[Description]],'kits to boards'!$B$2:$E$156,4,FALSE)</f>
        <v>0</v>
      </c>
      <c r="O2993" t="str">
        <f>CONCATENATE(Query1[[#This Row],[Description]]," - ",Query1[[#This Row],[MB1]]," - ",Query1[[#This Row],[MB2]]," - ",Query1[[#This Row],[MB3]])</f>
        <v>EVAP KIT 67-72 CHEV P-UP W/AC - 830013 - 0 - 0</v>
      </c>
    </row>
    <row r="2994" spans="1:15" x14ac:dyDescent="0.25">
      <c r="A2994" s="1">
        <v>917336</v>
      </c>
      <c r="B2994" s="1" t="s">
        <v>212</v>
      </c>
      <c r="C2994" s="1" t="s">
        <v>213</v>
      </c>
      <c r="D2994" s="2">
        <v>44649.622386724535</v>
      </c>
      <c r="E2994" s="1" t="s">
        <v>8</v>
      </c>
      <c r="F2994" s="1">
        <v>1</v>
      </c>
      <c r="G2994" s="1">
        <v>0</v>
      </c>
      <c r="H2994" s="6">
        <f>INT(Query1[[#This Row],[EntryDateTime]])</f>
        <v>44649</v>
      </c>
      <c r="I2994" s="1">
        <f>IF(Query1[[#This Row],[ItemType]]="EVAP KIT SF GEN IV",Query1[[#This Row],[OrderQty]]+I2993,I2993)</f>
        <v>3579</v>
      </c>
      <c r="J2994" s="1">
        <f>IF(Query1[[#This Row],[ItemType]]="EVAP KIT UNIVERSAL",Query1[[#This Row],[OrderQty]]+J2993,J2993)</f>
        <v>1349</v>
      </c>
      <c r="K2994" s="1">
        <f>Query1[[#This Row],[SF Running Total]]+Query1[[#This Row],[UNIV Running Total]]</f>
        <v>4928</v>
      </c>
      <c r="L2994">
        <f>VLOOKUP(Query1[[#This Row],[Description]],'kits to boards'!$B$2:$E$156,2,FALSE)</f>
        <v>830034</v>
      </c>
      <c r="M2994">
        <f>VLOOKUP(Query1[[#This Row],[Description]],'kits to boards'!$B$2:$E$156,3,FALSE)</f>
        <v>0</v>
      </c>
      <c r="N2994">
        <f>VLOOKUP(Query1[[#This Row],[Description]],'kits to boards'!$B$2:$E$156,4,FALSE)</f>
        <v>0</v>
      </c>
      <c r="O2994" t="str">
        <f>CONCATENATE(Query1[[#This Row],[Description]]," - ",Query1[[#This Row],[MB1]]," - ",Query1[[#This Row],[MB2]]," - ",Query1[[#This Row],[MB3]])</f>
        <v>EVAP KIT 64-67 GTO W/AC - 830034 - 0 - 0</v>
      </c>
    </row>
    <row r="2995" spans="1:15" x14ac:dyDescent="0.25">
      <c r="A2995" s="1">
        <v>917338</v>
      </c>
      <c r="B2995" s="1" t="s">
        <v>94</v>
      </c>
      <c r="C2995" s="1" t="s">
        <v>95</v>
      </c>
      <c r="D2995" s="2">
        <v>44649.628078553244</v>
      </c>
      <c r="E2995" s="1" t="s">
        <v>8</v>
      </c>
      <c r="F2995" s="1">
        <v>1</v>
      </c>
      <c r="G2995" s="1">
        <v>0</v>
      </c>
      <c r="H2995" s="6">
        <f>INT(Query1[[#This Row],[EntryDateTime]])</f>
        <v>44649</v>
      </c>
      <c r="I2995" s="1">
        <f>IF(Query1[[#This Row],[ItemType]]="EVAP KIT SF GEN IV",Query1[[#This Row],[OrderQty]]+I2994,I2994)</f>
        <v>3580</v>
      </c>
      <c r="J2995" s="1">
        <f>IF(Query1[[#This Row],[ItemType]]="EVAP KIT UNIVERSAL",Query1[[#This Row],[OrderQty]]+J2994,J2994)</f>
        <v>1349</v>
      </c>
      <c r="K2995" s="1">
        <f>Query1[[#This Row],[SF Running Total]]+Query1[[#This Row],[UNIV Running Total]]</f>
        <v>4929</v>
      </c>
      <c r="L2995">
        <f>VLOOKUP(Query1[[#This Row],[Description]],'kits to boards'!$B$2:$E$156,2,FALSE)</f>
        <v>830076</v>
      </c>
      <c r="M2995">
        <f>VLOOKUP(Query1[[#This Row],[Description]],'kits to boards'!$B$2:$E$156,3,FALSE)</f>
        <v>0</v>
      </c>
      <c r="N2995">
        <f>VLOOKUP(Query1[[#This Row],[Description]],'kits to boards'!$B$2:$E$156,4,FALSE)</f>
        <v>0</v>
      </c>
      <c r="O2995" t="str">
        <f>CONCATENATE(Query1[[#This Row],[Description]]," - ",Query1[[#This Row],[MB1]]," - ",Query1[[#This Row],[MB2]]," - ",Query1[[#This Row],[MB3]])</f>
        <v>EVAP KIT 64 1/2- 66 MUSTANG  - 830076 - 0 - 0</v>
      </c>
    </row>
    <row r="2996" spans="1:15" x14ac:dyDescent="0.25">
      <c r="A2996" s="1">
        <v>917340</v>
      </c>
      <c r="B2996" s="1" t="s">
        <v>138</v>
      </c>
      <c r="C2996" s="1" t="s">
        <v>139</v>
      </c>
      <c r="D2996" s="2">
        <v>44649.630284409723</v>
      </c>
      <c r="E2996" s="1" t="s">
        <v>11</v>
      </c>
      <c r="F2996" s="1">
        <v>1</v>
      </c>
      <c r="G2996" s="1">
        <v>0</v>
      </c>
      <c r="H2996" s="6">
        <f>INT(Query1[[#This Row],[EntryDateTime]])</f>
        <v>44649</v>
      </c>
      <c r="I2996" s="1">
        <f>IF(Query1[[#This Row],[ItemType]]="EVAP KIT SF GEN IV",Query1[[#This Row],[OrderQty]]+I2995,I2995)</f>
        <v>3580</v>
      </c>
      <c r="J2996" s="1">
        <f>IF(Query1[[#This Row],[ItemType]]="EVAP KIT UNIVERSAL",Query1[[#This Row],[OrderQty]]+J2995,J2995)</f>
        <v>1350</v>
      </c>
      <c r="K2996" s="1">
        <f>Query1[[#This Row],[SF Running Total]]+Query1[[#This Row],[UNIV Running Total]]</f>
        <v>4930</v>
      </c>
      <c r="L2996">
        <f>VLOOKUP(Query1[[#This Row],[Description]],'kits to boards'!$B$2:$E$156,2,FALSE)</f>
        <v>0</v>
      </c>
      <c r="M2996">
        <f>VLOOKUP(Query1[[#This Row],[Description]],'kits to boards'!$B$2:$E$156,3,FALSE)</f>
        <v>0</v>
      </c>
      <c r="N2996">
        <f>VLOOKUP(Query1[[#This Row],[Description]],'kits to boards'!$B$2:$E$156,4,FALSE)</f>
        <v>0</v>
      </c>
      <c r="O2996" t="str">
        <f>CONCATENATE(Query1[[#This Row],[Description]]," - ",Query1[[#This Row],[MB1]]," - ",Query1[[#This Row],[MB2]]," - ",Query1[[#This Row],[MB3]])</f>
        <v>HERITAGE TURNED BLACK EVAP KIT HEAT/COOL - 0 - 0 - 0</v>
      </c>
    </row>
    <row r="2997" spans="1:15" x14ac:dyDescent="0.25">
      <c r="A2997" s="1">
        <v>914120</v>
      </c>
      <c r="B2997" s="1" t="s">
        <v>90</v>
      </c>
      <c r="C2997" s="1" t="s">
        <v>91</v>
      </c>
      <c r="D2997" s="2">
        <v>44649.641026076388</v>
      </c>
      <c r="E2997" s="1" t="s">
        <v>8</v>
      </c>
      <c r="F2997" s="1">
        <v>1</v>
      </c>
      <c r="G2997" s="1">
        <v>0</v>
      </c>
      <c r="H2997" s="6">
        <f>INT(Query1[[#This Row],[EntryDateTime]])</f>
        <v>44649</v>
      </c>
      <c r="I2997" s="1">
        <f>IF(Query1[[#This Row],[ItemType]]="EVAP KIT SF GEN IV",Query1[[#This Row],[OrderQty]]+I2996,I2996)</f>
        <v>3581</v>
      </c>
      <c r="J2997" s="1">
        <f>IF(Query1[[#This Row],[ItemType]]="EVAP KIT UNIVERSAL",Query1[[#This Row],[OrderQty]]+J2996,J2996)</f>
        <v>1350</v>
      </c>
      <c r="K2997" s="1">
        <f>Query1[[#This Row],[SF Running Total]]+Query1[[#This Row],[UNIV Running Total]]</f>
        <v>4931</v>
      </c>
      <c r="L2997">
        <f>VLOOKUP(Query1[[#This Row],[Description]],'kits to boards'!$B$2:$E$156,2,FALSE)</f>
        <v>830105</v>
      </c>
      <c r="M2997">
        <f>VLOOKUP(Query1[[#This Row],[Description]],'kits to boards'!$B$2:$E$156,3,FALSE)</f>
        <v>830106</v>
      </c>
      <c r="N2997">
        <f>VLOOKUP(Query1[[#This Row],[Description]],'kits to boards'!$B$2:$E$156,4,FALSE)</f>
        <v>0</v>
      </c>
      <c r="O2997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2998" spans="1:15" x14ac:dyDescent="0.25">
      <c r="A2998" s="1">
        <v>914857</v>
      </c>
      <c r="B2998" s="1" t="s">
        <v>48</v>
      </c>
      <c r="C2998" s="1" t="s">
        <v>49</v>
      </c>
      <c r="D2998" s="2">
        <v>44649.642617627316</v>
      </c>
      <c r="E2998" s="1" t="s">
        <v>8</v>
      </c>
      <c r="F2998" s="1">
        <v>1</v>
      </c>
      <c r="G2998" s="1">
        <v>0</v>
      </c>
      <c r="H2998" s="6">
        <f>INT(Query1[[#This Row],[EntryDateTime]])</f>
        <v>44649</v>
      </c>
      <c r="I2998" s="1">
        <f>IF(Query1[[#This Row],[ItemType]]="EVAP KIT SF GEN IV",Query1[[#This Row],[OrderQty]]+I2997,I2997)</f>
        <v>3582</v>
      </c>
      <c r="J2998" s="1">
        <f>IF(Query1[[#This Row],[ItemType]]="EVAP KIT UNIVERSAL",Query1[[#This Row],[OrderQty]]+J2997,J2997)</f>
        <v>1350</v>
      </c>
      <c r="K2998" s="1">
        <f>Query1[[#This Row],[SF Running Total]]+Query1[[#This Row],[UNIV Running Total]]</f>
        <v>4932</v>
      </c>
      <c r="L2998">
        <f>VLOOKUP(Query1[[#This Row],[Description]],'kits to boards'!$B$2:$E$156,2,FALSE)</f>
        <v>830015</v>
      </c>
      <c r="M2998">
        <f>VLOOKUP(Query1[[#This Row],[Description]],'kits to boards'!$B$2:$E$156,3,FALSE)</f>
        <v>0</v>
      </c>
      <c r="N2998">
        <f>VLOOKUP(Query1[[#This Row],[Description]],'kits to boards'!$B$2:$E$156,4,FALSE)</f>
        <v>0</v>
      </c>
      <c r="O2998" t="str">
        <f>CONCATENATE(Query1[[#This Row],[Description]]," - ",Query1[[#This Row],[MB1]]," - ",Query1[[#This Row],[MB2]]," - ",Query1[[#This Row],[MB3]])</f>
        <v>EVAP KIT 64-66 CHEV P-UP WO AC W/DELX - 830015 - 0 - 0</v>
      </c>
    </row>
    <row r="2999" spans="1:15" x14ac:dyDescent="0.25">
      <c r="A2999" s="1">
        <v>917346</v>
      </c>
      <c r="B2999" s="1" t="s">
        <v>26</v>
      </c>
      <c r="C2999" s="1" t="s">
        <v>27</v>
      </c>
      <c r="D2999" s="2">
        <v>44649.643449224539</v>
      </c>
      <c r="E2999" s="1" t="s">
        <v>8</v>
      </c>
      <c r="F2999" s="1">
        <v>1</v>
      </c>
      <c r="G2999" s="1">
        <v>0</v>
      </c>
      <c r="H2999" s="6">
        <f>INT(Query1[[#This Row],[EntryDateTime]])</f>
        <v>44649</v>
      </c>
      <c r="I2999" s="1">
        <f>IF(Query1[[#This Row],[ItemType]]="EVAP KIT SF GEN IV",Query1[[#This Row],[OrderQty]]+I2998,I2998)</f>
        <v>3583</v>
      </c>
      <c r="J2999" s="1">
        <f>IF(Query1[[#This Row],[ItemType]]="EVAP KIT UNIVERSAL",Query1[[#This Row],[OrderQty]]+J2998,J2998)</f>
        <v>1350</v>
      </c>
      <c r="K2999" s="1">
        <f>Query1[[#This Row],[SF Running Total]]+Query1[[#This Row],[UNIV Running Total]]</f>
        <v>4933</v>
      </c>
      <c r="L2999">
        <f>VLOOKUP(Query1[[#This Row],[Description]],'kits to boards'!$B$2:$E$156,2,FALSE)</f>
        <v>830013</v>
      </c>
      <c r="M2999">
        <f>VLOOKUP(Query1[[#This Row],[Description]],'kits to boards'!$B$2:$E$156,3,FALSE)</f>
        <v>0</v>
      </c>
      <c r="N2999">
        <f>VLOOKUP(Query1[[#This Row],[Description]],'kits to boards'!$B$2:$E$156,4,FALSE)</f>
        <v>0</v>
      </c>
      <c r="O2999" t="str">
        <f>CONCATENATE(Query1[[#This Row],[Description]]," - ",Query1[[#This Row],[MB1]]," - ",Query1[[#This Row],[MB2]]," - ",Query1[[#This Row],[MB3]])</f>
        <v>EVAP KIT 67-72 CHEV P-UP W/AC - 830013 - 0 - 0</v>
      </c>
    </row>
    <row r="3000" spans="1:15" x14ac:dyDescent="0.25">
      <c r="A3000" s="1">
        <v>917348</v>
      </c>
      <c r="B3000" s="1" t="s">
        <v>42</v>
      </c>
      <c r="C3000" s="1" t="s">
        <v>43</v>
      </c>
      <c r="D3000" s="2">
        <v>44649.644436226852</v>
      </c>
      <c r="E3000" s="1" t="s">
        <v>8</v>
      </c>
      <c r="F3000" s="1">
        <v>1</v>
      </c>
      <c r="G3000" s="1">
        <v>0</v>
      </c>
      <c r="H3000" s="6">
        <f>INT(Query1[[#This Row],[EntryDateTime]])</f>
        <v>44649</v>
      </c>
      <c r="I3000" s="1">
        <f>IF(Query1[[#This Row],[ItemType]]="EVAP KIT SF GEN IV",Query1[[#This Row],[OrderQty]]+I2999,I2999)</f>
        <v>3584</v>
      </c>
      <c r="J3000" s="1">
        <f>IF(Query1[[#This Row],[ItemType]]="EVAP KIT UNIVERSAL",Query1[[#This Row],[OrderQty]]+J2999,J2999)</f>
        <v>1350</v>
      </c>
      <c r="K3000" s="1">
        <f>Query1[[#This Row],[SF Running Total]]+Query1[[#This Row],[UNIV Running Total]]</f>
        <v>4934</v>
      </c>
      <c r="L3000">
        <f>VLOOKUP(Query1[[#This Row],[Description]],'kits to boards'!$B$2:$E$156,2,FALSE)</f>
        <v>830014</v>
      </c>
      <c r="M3000">
        <f>VLOOKUP(Query1[[#This Row],[Description]],'kits to boards'!$B$2:$E$156,3,FALSE)</f>
        <v>0</v>
      </c>
      <c r="N3000">
        <f>VLOOKUP(Query1[[#This Row],[Description]],'kits to boards'!$B$2:$E$156,4,FALSE)</f>
        <v>0</v>
      </c>
      <c r="O3000" t="str">
        <f>CONCATENATE(Query1[[#This Row],[Description]]," - ",Query1[[#This Row],[MB1]]," - ",Query1[[#This Row],[MB2]]," - ",Query1[[#This Row],[MB3]])</f>
        <v>EVAP KIT 67-72 CHEV P-UP WO AC - 830014 - 0 - 0</v>
      </c>
    </row>
    <row r="3001" spans="1:15" x14ac:dyDescent="0.25">
      <c r="A3001" s="1">
        <v>917351</v>
      </c>
      <c r="B3001" s="1" t="s">
        <v>26</v>
      </c>
      <c r="C3001" s="1" t="s">
        <v>27</v>
      </c>
      <c r="D3001" s="2">
        <v>44649.647646678241</v>
      </c>
      <c r="E3001" s="1" t="s">
        <v>8</v>
      </c>
      <c r="F3001" s="1">
        <v>1</v>
      </c>
      <c r="G3001" s="1">
        <v>0</v>
      </c>
      <c r="H3001" s="6">
        <f>INT(Query1[[#This Row],[EntryDateTime]])</f>
        <v>44649</v>
      </c>
      <c r="I3001" s="1">
        <f>IF(Query1[[#This Row],[ItemType]]="EVAP KIT SF GEN IV",Query1[[#This Row],[OrderQty]]+I3000,I3000)</f>
        <v>3585</v>
      </c>
      <c r="J3001" s="1">
        <f>IF(Query1[[#This Row],[ItemType]]="EVAP KIT UNIVERSAL",Query1[[#This Row],[OrderQty]]+J3000,J3000)</f>
        <v>1350</v>
      </c>
      <c r="K3001" s="1">
        <f>Query1[[#This Row],[SF Running Total]]+Query1[[#This Row],[UNIV Running Total]]</f>
        <v>4935</v>
      </c>
      <c r="L3001">
        <f>VLOOKUP(Query1[[#This Row],[Description]],'kits to boards'!$B$2:$E$156,2,FALSE)</f>
        <v>830013</v>
      </c>
      <c r="M3001">
        <f>VLOOKUP(Query1[[#This Row],[Description]],'kits to boards'!$B$2:$E$156,3,FALSE)</f>
        <v>0</v>
      </c>
      <c r="N3001">
        <f>VLOOKUP(Query1[[#This Row],[Description]],'kits to boards'!$B$2:$E$156,4,FALSE)</f>
        <v>0</v>
      </c>
      <c r="O3001" t="str">
        <f>CONCATENATE(Query1[[#This Row],[Description]]," - ",Query1[[#This Row],[MB1]]," - ",Query1[[#This Row],[MB2]]," - ",Query1[[#This Row],[MB3]])</f>
        <v>EVAP KIT 67-72 CHEV P-UP W/AC - 830013 - 0 - 0</v>
      </c>
    </row>
    <row r="3002" spans="1:15" x14ac:dyDescent="0.25">
      <c r="A3002" s="1">
        <v>917354</v>
      </c>
      <c r="B3002" s="1" t="s">
        <v>44</v>
      </c>
      <c r="C3002" s="1" t="s">
        <v>45</v>
      </c>
      <c r="D3002" s="2">
        <v>44649.653374884256</v>
      </c>
      <c r="E3002" s="1" t="s">
        <v>8</v>
      </c>
      <c r="F3002" s="1">
        <v>1</v>
      </c>
      <c r="G3002" s="1">
        <v>0</v>
      </c>
      <c r="H3002" s="6">
        <f>INT(Query1[[#This Row],[EntryDateTime]])</f>
        <v>44649</v>
      </c>
      <c r="I3002" s="1">
        <f>IF(Query1[[#This Row],[ItemType]]="EVAP KIT SF GEN IV",Query1[[#This Row],[OrderQty]]+I3001,I3001)</f>
        <v>3586</v>
      </c>
      <c r="J3002" s="1">
        <f>IF(Query1[[#This Row],[ItemType]]="EVAP KIT UNIVERSAL",Query1[[#This Row],[OrderQty]]+J3001,J3001)</f>
        <v>1350</v>
      </c>
      <c r="K3002" s="1">
        <f>Query1[[#This Row],[SF Running Total]]+Query1[[#This Row],[UNIV Running Total]]</f>
        <v>4936</v>
      </c>
      <c r="L3002">
        <f>VLOOKUP(Query1[[#This Row],[Description]],'kits to boards'!$B$2:$E$156,2,FALSE)</f>
        <v>830085</v>
      </c>
      <c r="M3002">
        <f>VLOOKUP(Query1[[#This Row],[Description]],'kits to boards'!$B$2:$E$156,3,FALSE)</f>
        <v>0</v>
      </c>
      <c r="N3002">
        <f>VLOOKUP(Query1[[#This Row],[Description]],'kits to boards'!$B$2:$E$156,4,FALSE)</f>
        <v>0</v>
      </c>
      <c r="O3002" t="str">
        <f>CONCATENATE(Query1[[#This Row],[Description]]," - ",Query1[[#This Row],[MB1]]," - ",Query1[[#This Row],[MB2]]," - ",Query1[[#This Row],[MB3]])</f>
        <v>EVAP KIT 66-77 BRONCO - 830085 - 0 - 0</v>
      </c>
    </row>
    <row r="3003" spans="1:15" x14ac:dyDescent="0.25">
      <c r="A3003" s="1">
        <v>917356</v>
      </c>
      <c r="B3003" s="1" t="s">
        <v>44</v>
      </c>
      <c r="C3003" s="1" t="s">
        <v>45</v>
      </c>
      <c r="D3003" s="2">
        <v>44649.656590011575</v>
      </c>
      <c r="E3003" s="1" t="s">
        <v>8</v>
      </c>
      <c r="F3003" s="1">
        <v>1</v>
      </c>
      <c r="G3003" s="1">
        <v>0</v>
      </c>
      <c r="H3003" s="6">
        <f>INT(Query1[[#This Row],[EntryDateTime]])</f>
        <v>44649</v>
      </c>
      <c r="I3003" s="1">
        <f>IF(Query1[[#This Row],[ItemType]]="EVAP KIT SF GEN IV",Query1[[#This Row],[OrderQty]]+I3002,I3002)</f>
        <v>3587</v>
      </c>
      <c r="J3003" s="1">
        <f>IF(Query1[[#This Row],[ItemType]]="EVAP KIT UNIVERSAL",Query1[[#This Row],[OrderQty]]+J3002,J3002)</f>
        <v>1350</v>
      </c>
      <c r="K3003" s="1">
        <f>Query1[[#This Row],[SF Running Total]]+Query1[[#This Row],[UNIV Running Total]]</f>
        <v>4937</v>
      </c>
      <c r="L3003">
        <f>VLOOKUP(Query1[[#This Row],[Description]],'kits to boards'!$B$2:$E$156,2,FALSE)</f>
        <v>830085</v>
      </c>
      <c r="M3003">
        <f>VLOOKUP(Query1[[#This Row],[Description]],'kits to boards'!$B$2:$E$156,3,FALSE)</f>
        <v>0</v>
      </c>
      <c r="N3003">
        <f>VLOOKUP(Query1[[#This Row],[Description]],'kits to boards'!$B$2:$E$156,4,FALSE)</f>
        <v>0</v>
      </c>
      <c r="O3003" t="str">
        <f>CONCATENATE(Query1[[#This Row],[Description]]," - ",Query1[[#This Row],[MB1]]," - ",Query1[[#This Row],[MB2]]," - ",Query1[[#This Row],[MB3]])</f>
        <v>EVAP KIT 66-77 BRONCO - 830085 - 0 - 0</v>
      </c>
    </row>
    <row r="3004" spans="1:15" x14ac:dyDescent="0.25">
      <c r="A3004" s="1">
        <v>917357</v>
      </c>
      <c r="B3004" s="1" t="s">
        <v>30</v>
      </c>
      <c r="C3004" s="1" t="s">
        <v>31</v>
      </c>
      <c r="D3004" s="2">
        <v>44649.662585381942</v>
      </c>
      <c r="E3004" s="1" t="s">
        <v>8</v>
      </c>
      <c r="F3004" s="1">
        <v>1</v>
      </c>
      <c r="G3004" s="1">
        <v>0</v>
      </c>
      <c r="H3004" s="6">
        <f>INT(Query1[[#This Row],[EntryDateTime]])</f>
        <v>44649</v>
      </c>
      <c r="I3004" s="1">
        <f>IF(Query1[[#This Row],[ItemType]]="EVAP KIT SF GEN IV",Query1[[#This Row],[OrderQty]]+I3003,I3003)</f>
        <v>3588</v>
      </c>
      <c r="J3004" s="1">
        <f>IF(Query1[[#This Row],[ItemType]]="EVAP KIT UNIVERSAL",Query1[[#This Row],[OrderQty]]+J3003,J3003)</f>
        <v>1350</v>
      </c>
      <c r="K3004" s="1">
        <f>Query1[[#This Row],[SF Running Total]]+Query1[[#This Row],[UNIV Running Total]]</f>
        <v>4938</v>
      </c>
      <c r="L3004">
        <f>VLOOKUP(Query1[[#This Row],[Description]],'kits to boards'!$B$2:$E$156,2,FALSE)</f>
        <v>830054</v>
      </c>
      <c r="M3004">
        <f>VLOOKUP(Query1[[#This Row],[Description]],'kits to boards'!$B$2:$E$156,3,FALSE)</f>
        <v>0</v>
      </c>
      <c r="N3004">
        <f>VLOOKUP(Query1[[#This Row],[Description]],'kits to boards'!$B$2:$E$156,4,FALSE)</f>
        <v>0</v>
      </c>
      <c r="O3004" t="str">
        <f>CONCATENATE(Query1[[#This Row],[Description]]," - ",Query1[[#This Row],[MB1]]," - ",Query1[[#This Row],[MB2]]," - ",Query1[[#This Row],[MB3]])</f>
        <v>EVAP KIT 55-56 CHEVY 4-VENT - 830054 - 0 - 0</v>
      </c>
    </row>
    <row r="3005" spans="1:15" x14ac:dyDescent="0.25">
      <c r="A3005" s="1">
        <v>917359</v>
      </c>
      <c r="B3005" s="1" t="s">
        <v>110</v>
      </c>
      <c r="C3005" s="1" t="s">
        <v>111</v>
      </c>
      <c r="D3005" s="2">
        <v>44649.666716053238</v>
      </c>
      <c r="E3005" s="1" t="s">
        <v>8</v>
      </c>
      <c r="F3005" s="1">
        <v>1</v>
      </c>
      <c r="G3005" s="1">
        <v>0</v>
      </c>
      <c r="H3005" s="6">
        <f>INT(Query1[[#This Row],[EntryDateTime]])</f>
        <v>44649</v>
      </c>
      <c r="I3005" s="1">
        <f>IF(Query1[[#This Row],[ItemType]]="EVAP KIT SF GEN IV",Query1[[#This Row],[OrderQty]]+I3004,I3004)</f>
        <v>3589</v>
      </c>
      <c r="J3005" s="1">
        <f>IF(Query1[[#This Row],[ItemType]]="EVAP KIT UNIVERSAL",Query1[[#This Row],[OrderQty]]+J3004,J3004)</f>
        <v>1350</v>
      </c>
      <c r="K3005" s="1">
        <f>Query1[[#This Row],[SF Running Total]]+Query1[[#This Row],[UNIV Running Total]]</f>
        <v>4939</v>
      </c>
      <c r="L3005">
        <f>VLOOKUP(Query1[[#This Row],[Description]],'kits to boards'!$B$2:$E$156,2,FALSE)</f>
        <v>830053</v>
      </c>
      <c r="M3005">
        <f>VLOOKUP(Query1[[#This Row],[Description]],'kits to boards'!$B$2:$E$156,3,FALSE)</f>
        <v>0</v>
      </c>
      <c r="N3005">
        <f>VLOOKUP(Query1[[#This Row],[Description]],'kits to boards'!$B$2:$E$156,4,FALSE)</f>
        <v>0</v>
      </c>
      <c r="O3005" t="str">
        <f>CONCATENATE(Query1[[#This Row],[Description]]," - ",Query1[[#This Row],[MB1]]," - ",Query1[[#This Row],[MB2]]," - ",Query1[[#This Row],[MB3]])</f>
        <v>EVAP KIT 65-66 FORD F-100 - 830053 - 0 - 0</v>
      </c>
    </row>
    <row r="3006" spans="1:15" x14ac:dyDescent="0.25">
      <c r="A3006" s="1">
        <v>917342</v>
      </c>
      <c r="B3006" s="1" t="s">
        <v>52</v>
      </c>
      <c r="C3006" s="1" t="s">
        <v>53</v>
      </c>
      <c r="D3006" s="2">
        <v>44649.668982870367</v>
      </c>
      <c r="E3006" s="1" t="s">
        <v>8</v>
      </c>
      <c r="F3006" s="1">
        <v>1</v>
      </c>
      <c r="G3006" s="1">
        <v>0</v>
      </c>
      <c r="H3006" s="6">
        <f>INT(Query1[[#This Row],[EntryDateTime]])</f>
        <v>44649</v>
      </c>
      <c r="I3006" s="1">
        <f>IF(Query1[[#This Row],[ItemType]]="EVAP KIT SF GEN IV",Query1[[#This Row],[OrderQty]]+I3005,I3005)</f>
        <v>3590</v>
      </c>
      <c r="J3006" s="1">
        <f>IF(Query1[[#This Row],[ItemType]]="EVAP KIT UNIVERSAL",Query1[[#This Row],[OrderQty]]+J3005,J3005)</f>
        <v>1350</v>
      </c>
      <c r="K3006" s="1">
        <f>Query1[[#This Row],[SF Running Total]]+Query1[[#This Row],[UNIV Running Total]]</f>
        <v>4940</v>
      </c>
      <c r="L3006">
        <f>VLOOKUP(Query1[[#This Row],[Description]],'kits to boards'!$B$2:$E$156,2,FALSE)</f>
        <v>830017</v>
      </c>
      <c r="M3006">
        <f>VLOOKUP(Query1[[#This Row],[Description]],'kits to boards'!$B$2:$E$156,3,FALSE)</f>
        <v>830119</v>
      </c>
      <c r="N3006">
        <f>VLOOKUP(Query1[[#This Row],[Description]],'kits to boards'!$B$2:$E$156,4,FALSE)</f>
        <v>830120</v>
      </c>
      <c r="O3006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007" spans="1:15" x14ac:dyDescent="0.25">
      <c r="A3007" s="1">
        <v>916619</v>
      </c>
      <c r="B3007" s="1" t="s">
        <v>24</v>
      </c>
      <c r="C3007" s="1" t="s">
        <v>25</v>
      </c>
      <c r="D3007" s="2">
        <v>44649.67344864583</v>
      </c>
      <c r="E3007" s="1" t="s">
        <v>11</v>
      </c>
      <c r="F3007" s="1">
        <v>1</v>
      </c>
      <c r="G3007" s="1">
        <v>0</v>
      </c>
      <c r="H3007" s="6">
        <f>INT(Query1[[#This Row],[EntryDateTime]])</f>
        <v>44649</v>
      </c>
      <c r="I3007" s="1">
        <f>IF(Query1[[#This Row],[ItemType]]="EVAP KIT SF GEN IV",Query1[[#This Row],[OrderQty]]+I3006,I3006)</f>
        <v>3590</v>
      </c>
      <c r="J3007" s="1">
        <f>IF(Query1[[#This Row],[ItemType]]="EVAP KIT UNIVERSAL",Query1[[#This Row],[OrderQty]]+J3006,J3006)</f>
        <v>1351</v>
      </c>
      <c r="K3007" s="1">
        <f>Query1[[#This Row],[SF Running Total]]+Query1[[#This Row],[UNIV Running Total]]</f>
        <v>4941</v>
      </c>
      <c r="L3007">
        <f>VLOOKUP(Query1[[#This Row],[Description]],'kits to boards'!$B$2:$E$156,2,FALSE)</f>
        <v>830029</v>
      </c>
      <c r="M3007">
        <f>VLOOKUP(Query1[[#This Row],[Description]],'kits to boards'!$B$2:$E$156,3,FALSE)</f>
        <v>830030</v>
      </c>
      <c r="N3007">
        <f>VLOOKUP(Query1[[#This Row],[Description]],'kits to boards'!$B$2:$E$156,4,FALSE)</f>
        <v>0</v>
      </c>
      <c r="O3007" t="str">
        <f>CONCATENATE(Query1[[#This Row],[Description]]," - ",Query1[[#This Row],[MB1]]," - ",Query1[[#This Row],[MB2]]," - ",Query1[[#This Row],[MB3]])</f>
        <v>ComPac GEN II W/DEF - 830029 - 830030 - 0</v>
      </c>
    </row>
    <row r="3008" spans="1:15" x14ac:dyDescent="0.25">
      <c r="A3008" s="1">
        <v>916631</v>
      </c>
      <c r="B3008" s="1" t="s">
        <v>251</v>
      </c>
      <c r="C3008" s="1" t="s">
        <v>252</v>
      </c>
      <c r="D3008" s="2">
        <v>44649.684737152777</v>
      </c>
      <c r="E3008" s="1" t="s">
        <v>8</v>
      </c>
      <c r="F3008" s="1">
        <v>1</v>
      </c>
      <c r="G3008" s="1">
        <v>0</v>
      </c>
      <c r="H3008" s="6">
        <f>INT(Query1[[#This Row],[EntryDateTime]])</f>
        <v>44649</v>
      </c>
      <c r="I3008" s="1">
        <f>IF(Query1[[#This Row],[ItemType]]="EVAP KIT SF GEN IV",Query1[[#This Row],[OrderQty]]+I3007,I3007)</f>
        <v>3591</v>
      </c>
      <c r="J3008" s="1">
        <f>IF(Query1[[#This Row],[ItemType]]="EVAP KIT UNIVERSAL",Query1[[#This Row],[OrderQty]]+J3007,J3007)</f>
        <v>1351</v>
      </c>
      <c r="K3008" s="1">
        <f>Query1[[#This Row],[SF Running Total]]+Query1[[#This Row],[UNIV Running Total]]</f>
        <v>4942</v>
      </c>
      <c r="L3008">
        <f>VLOOKUP(Query1[[#This Row],[Description]],'kits to boards'!$B$2:$E$156,2,FALSE)</f>
        <v>830020</v>
      </c>
      <c r="M3008">
        <f>VLOOKUP(Query1[[#This Row],[Description]],'kits to boards'!$B$2:$E$156,3,FALSE)</f>
        <v>0</v>
      </c>
      <c r="N3008">
        <f>VLOOKUP(Query1[[#This Row],[Description]],'kits to boards'!$B$2:$E$156,4,FALSE)</f>
        <v>0</v>
      </c>
      <c r="O3008" t="str">
        <f>CONCATENATE(Query1[[#This Row],[Description]]," - ",Query1[[#This Row],[MB1]]," - ",Query1[[#This Row],[MB2]]," - ",Query1[[#This Row],[MB3]])</f>
        <v>EVAP KIT 69 FIREBIRD WO AC - 830020 - 0 - 0</v>
      </c>
    </row>
    <row r="3009" spans="1:15" x14ac:dyDescent="0.25">
      <c r="A3009" s="1">
        <v>909506</v>
      </c>
      <c r="B3009" s="1" t="s">
        <v>66</v>
      </c>
      <c r="C3009" s="1" t="s">
        <v>67</v>
      </c>
      <c r="D3009" s="2">
        <v>44649.687613275462</v>
      </c>
      <c r="E3009" s="1" t="s">
        <v>8</v>
      </c>
      <c r="F3009" s="1">
        <v>1</v>
      </c>
      <c r="G3009" s="1">
        <v>0</v>
      </c>
      <c r="H3009" s="6">
        <f>INT(Query1[[#This Row],[EntryDateTime]])</f>
        <v>44649</v>
      </c>
      <c r="I3009" s="1">
        <f>IF(Query1[[#This Row],[ItemType]]="EVAP KIT SF GEN IV",Query1[[#This Row],[OrderQty]]+I3008,I3008)</f>
        <v>3592</v>
      </c>
      <c r="J3009" s="1">
        <f>IF(Query1[[#This Row],[ItemType]]="EVAP KIT UNIVERSAL",Query1[[#This Row],[OrderQty]]+J3008,J3008)</f>
        <v>1351</v>
      </c>
      <c r="K3009" s="1">
        <f>Query1[[#This Row],[SF Running Total]]+Query1[[#This Row],[UNIV Running Total]]</f>
        <v>4943</v>
      </c>
      <c r="L3009">
        <f>VLOOKUP(Query1[[#This Row],[Description]],'kits to boards'!$B$2:$E$156,2,FALSE)</f>
        <v>830060</v>
      </c>
      <c r="M3009">
        <f>VLOOKUP(Query1[[#This Row],[Description]],'kits to boards'!$B$2:$E$156,3,FALSE)</f>
        <v>0</v>
      </c>
      <c r="N3009">
        <f>VLOOKUP(Query1[[#This Row],[Description]],'kits to boards'!$B$2:$E$156,4,FALSE)</f>
        <v>0</v>
      </c>
      <c r="O3009" t="str">
        <f>CONCATENATE(Query1[[#This Row],[Description]]," - ",Query1[[#This Row],[MB1]]," - ",Query1[[#This Row],[MB2]]," - ",Query1[[#This Row],[MB3]])</f>
        <v>EVAP KIT 66-67 CHEVELLE WO AC - 830060 - 0 - 0</v>
      </c>
    </row>
    <row r="3010" spans="1:15" x14ac:dyDescent="0.25">
      <c r="A3010" s="1">
        <v>917385</v>
      </c>
      <c r="B3010" s="1" t="s">
        <v>68</v>
      </c>
      <c r="C3010" s="1" t="s">
        <v>69</v>
      </c>
      <c r="D3010" s="2">
        <v>44650.336032060186</v>
      </c>
      <c r="E3010" s="1" t="s">
        <v>8</v>
      </c>
      <c r="F3010" s="1">
        <v>1</v>
      </c>
      <c r="G3010" s="1">
        <v>0</v>
      </c>
      <c r="H3010" s="6">
        <f>INT(Query1[[#This Row],[EntryDateTime]])</f>
        <v>44650</v>
      </c>
      <c r="I3010" s="1">
        <f>IF(Query1[[#This Row],[ItemType]]="EVAP KIT SF GEN IV",Query1[[#This Row],[OrderQty]]+I3009,I3009)</f>
        <v>3593</v>
      </c>
      <c r="J3010" s="1">
        <f>IF(Query1[[#This Row],[ItemType]]="EVAP KIT UNIVERSAL",Query1[[#This Row],[OrderQty]]+J3009,J3009)</f>
        <v>1351</v>
      </c>
      <c r="K3010" s="1">
        <f>Query1[[#This Row],[SF Running Total]]+Query1[[#This Row],[UNIV Running Total]]</f>
        <v>4944</v>
      </c>
      <c r="L3010">
        <f>VLOOKUP(Query1[[#This Row],[Description]],'kits to boards'!$B$2:$E$156,2,FALSE)</f>
        <v>830010</v>
      </c>
      <c r="M3010">
        <f>VLOOKUP(Query1[[#This Row],[Description]],'kits to boards'!$B$2:$E$156,3,FALSE)</f>
        <v>0</v>
      </c>
      <c r="N3010">
        <f>VLOOKUP(Query1[[#This Row],[Description]],'kits to boards'!$B$2:$E$156,4,FALSE)</f>
        <v>0</v>
      </c>
      <c r="O3010" t="str">
        <f>CONCATENATE(Query1[[#This Row],[Description]]," - ",Query1[[#This Row],[MB1]]," - ",Query1[[#This Row],[MB2]]," - ",Query1[[#This Row],[MB3]])</f>
        <v>EVAP KIT 70-72 CHEVELLE WO AC - 830010 - 0 - 0</v>
      </c>
    </row>
    <row r="3011" spans="1:15" x14ac:dyDescent="0.25">
      <c r="A3011" s="1">
        <v>917389</v>
      </c>
      <c r="B3011" s="1" t="s">
        <v>277</v>
      </c>
      <c r="C3011" s="1" t="s">
        <v>278</v>
      </c>
      <c r="D3011" s="2">
        <v>44650.33847696759</v>
      </c>
      <c r="E3011" s="1" t="s">
        <v>8</v>
      </c>
      <c r="F3011" s="1">
        <v>1</v>
      </c>
      <c r="G3011" s="1">
        <v>0</v>
      </c>
      <c r="H3011" s="6">
        <f>INT(Query1[[#This Row],[EntryDateTime]])</f>
        <v>44650</v>
      </c>
      <c r="I3011" s="1">
        <f>IF(Query1[[#This Row],[ItemType]]="EVAP KIT SF GEN IV",Query1[[#This Row],[OrderQty]]+I3010,I3010)</f>
        <v>3594</v>
      </c>
      <c r="J3011" s="1">
        <f>IF(Query1[[#This Row],[ItemType]]="EVAP KIT UNIVERSAL",Query1[[#This Row],[OrderQty]]+J3010,J3010)</f>
        <v>1351</v>
      </c>
      <c r="K3011" s="1">
        <f>Query1[[#This Row],[SF Running Total]]+Query1[[#This Row],[UNIV Running Total]]</f>
        <v>4945</v>
      </c>
      <c r="L3011">
        <f>VLOOKUP(Query1[[#This Row],[Description]],'kits to boards'!$B$2:$E$156,2,FALSE)</f>
        <v>830047</v>
      </c>
      <c r="M3011">
        <f>VLOOKUP(Query1[[#This Row],[Description]],'kits to boards'!$B$2:$E$156,3,FALSE)</f>
        <v>0</v>
      </c>
      <c r="N3011">
        <f>VLOOKUP(Query1[[#This Row],[Description]],'kits to boards'!$B$2:$E$156,4,FALSE)</f>
        <v>0</v>
      </c>
      <c r="O3011" t="str">
        <f>CONCATENATE(Query1[[#This Row],[Description]]," - ",Query1[[#This Row],[MB1]]," - ",Query1[[#This Row],[MB2]]," - ",Query1[[#This Row],[MB3]])</f>
        <v>EVAP KIT 68 NOVA WO AC - 830047 - 0 - 0</v>
      </c>
    </row>
    <row r="3012" spans="1:15" x14ac:dyDescent="0.25">
      <c r="A3012" s="1">
        <v>917381</v>
      </c>
      <c r="B3012" s="1" t="s">
        <v>20</v>
      </c>
      <c r="C3012" s="1" t="s">
        <v>21</v>
      </c>
      <c r="D3012" s="2">
        <v>44650.338610613428</v>
      </c>
      <c r="E3012" s="1" t="s">
        <v>11</v>
      </c>
      <c r="F3012" s="1">
        <v>5</v>
      </c>
      <c r="G3012" s="1">
        <v>0</v>
      </c>
      <c r="H3012" s="6">
        <f>INT(Query1[[#This Row],[EntryDateTime]])</f>
        <v>44650</v>
      </c>
      <c r="I3012" s="1">
        <f>IF(Query1[[#This Row],[ItemType]]="EVAP KIT SF GEN IV",Query1[[#This Row],[OrderQty]]+I3011,I3011)</f>
        <v>3594</v>
      </c>
      <c r="J3012" s="1">
        <f>IF(Query1[[#This Row],[ItemType]]="EVAP KIT UNIVERSAL",Query1[[#This Row],[OrderQty]]+J3011,J3011)</f>
        <v>1356</v>
      </c>
      <c r="K3012" s="1">
        <f>Query1[[#This Row],[SF Running Total]]+Query1[[#This Row],[UNIV Running Total]]</f>
        <v>4950</v>
      </c>
      <c r="L3012">
        <f>VLOOKUP(Query1[[#This Row],[Description]],'kits to boards'!$B$2:$E$156,2,FALSE)</f>
        <v>830102</v>
      </c>
      <c r="M3012">
        <f>VLOOKUP(Query1[[#This Row],[Description]],'kits to boards'!$B$2:$E$156,3,FALSE)</f>
        <v>0</v>
      </c>
      <c r="N3012">
        <f>VLOOKUP(Query1[[#This Row],[Description]],'kits to boards'!$B$2:$E$156,4,FALSE)</f>
        <v>0</v>
      </c>
      <c r="O3012" t="str">
        <f>CONCATENATE(Query1[[#This Row],[Description]]," - ",Query1[[#This Row],[MB1]]," - ",Query1[[#This Row],[MB2]]," - ",Query1[[#This Row],[MB3]])</f>
        <v>SUPER GEN II W/DEF - 830102 - 0 - 0</v>
      </c>
    </row>
    <row r="3013" spans="1:15" x14ac:dyDescent="0.25">
      <c r="A3013" s="1">
        <v>917381</v>
      </c>
      <c r="B3013" s="1" t="s">
        <v>98</v>
      </c>
      <c r="C3013" s="1" t="s">
        <v>99</v>
      </c>
      <c r="D3013" s="2">
        <v>44650.339700775461</v>
      </c>
      <c r="E3013" s="1" t="s">
        <v>11</v>
      </c>
      <c r="F3013" s="1">
        <v>10</v>
      </c>
      <c r="G3013" s="1">
        <v>0</v>
      </c>
      <c r="H3013" s="6">
        <f>INT(Query1[[#This Row],[EntryDateTime]])</f>
        <v>44650</v>
      </c>
      <c r="I3013" s="1">
        <f>IF(Query1[[#This Row],[ItemType]]="EVAP KIT SF GEN IV",Query1[[#This Row],[OrderQty]]+I3012,I3012)</f>
        <v>3594</v>
      </c>
      <c r="J3013" s="1">
        <f>IF(Query1[[#This Row],[ItemType]]="EVAP KIT UNIVERSAL",Query1[[#This Row],[OrderQty]]+J3012,J3012)</f>
        <v>1366</v>
      </c>
      <c r="K3013" s="1">
        <f>Query1[[#This Row],[SF Running Total]]+Query1[[#This Row],[UNIV Running Total]]</f>
        <v>4960</v>
      </c>
      <c r="L3013">
        <f>VLOOKUP(Query1[[#This Row],[Description]],'kits to boards'!$B$2:$E$156,2,FALSE)</f>
        <v>830099</v>
      </c>
      <c r="M3013">
        <f>VLOOKUP(Query1[[#This Row],[Description]],'kits to boards'!$B$2:$E$156,3,FALSE)</f>
        <v>0</v>
      </c>
      <c r="N3013">
        <f>VLOOKUP(Query1[[#This Row],[Description]],'kits to boards'!$B$2:$E$156,4,FALSE)</f>
        <v>0</v>
      </c>
      <c r="O3013" t="str">
        <f>CONCATENATE(Query1[[#This Row],[Description]]," - ",Query1[[#This Row],[MB1]]," - ",Query1[[#This Row],[MB2]]," - ",Query1[[#This Row],[MB3]])</f>
        <v>MINI GEN II W/DEF - 830099 - 0 - 0</v>
      </c>
    </row>
    <row r="3014" spans="1:15" x14ac:dyDescent="0.25">
      <c r="A3014" s="1">
        <v>917381</v>
      </c>
      <c r="B3014" s="1" t="s">
        <v>22</v>
      </c>
      <c r="C3014" s="1" t="s">
        <v>23</v>
      </c>
      <c r="D3014" s="2">
        <v>44650.339928935187</v>
      </c>
      <c r="E3014" s="1" t="s">
        <v>8</v>
      </c>
      <c r="F3014" s="1">
        <v>2</v>
      </c>
      <c r="G3014" s="1">
        <v>0</v>
      </c>
      <c r="H3014" s="6">
        <f>INT(Query1[[#This Row],[EntryDateTime]])</f>
        <v>44650</v>
      </c>
      <c r="I3014" s="1">
        <f>IF(Query1[[#This Row],[ItemType]]="EVAP KIT SF GEN IV",Query1[[#This Row],[OrderQty]]+I3013,I3013)</f>
        <v>3596</v>
      </c>
      <c r="J3014" s="1">
        <f>IF(Query1[[#This Row],[ItemType]]="EVAP KIT UNIVERSAL",Query1[[#This Row],[OrderQty]]+J3013,J3013)</f>
        <v>1366</v>
      </c>
      <c r="K3014" s="1">
        <f>Query1[[#This Row],[SF Running Total]]+Query1[[#This Row],[UNIV Running Total]]</f>
        <v>4962</v>
      </c>
      <c r="L3014">
        <f>VLOOKUP(Query1[[#This Row],[Description]],'kits to boards'!$B$2:$E$156,2,FALSE)</f>
        <v>830083</v>
      </c>
      <c r="M3014">
        <f>VLOOKUP(Query1[[#This Row],[Description]],'kits to boards'!$B$2:$E$156,3,FALSE)</f>
        <v>0</v>
      </c>
      <c r="N3014">
        <f>VLOOKUP(Query1[[#This Row],[Description]],'kits to boards'!$B$2:$E$156,4,FALSE)</f>
        <v>0</v>
      </c>
      <c r="O3014" t="str">
        <f>CONCATENATE(Query1[[#This Row],[Description]]," - ",Query1[[#This Row],[MB1]]," - ",Query1[[#This Row],[MB2]]," - ",Query1[[#This Row],[MB3]])</f>
        <v>GEN IV MAGNUM EVAP KIT - 830083 - 0 - 0</v>
      </c>
    </row>
    <row r="3015" spans="1:15" x14ac:dyDescent="0.25">
      <c r="A3015" s="1">
        <v>917381</v>
      </c>
      <c r="B3015" s="1" t="s">
        <v>80</v>
      </c>
      <c r="C3015" s="1" t="s">
        <v>81</v>
      </c>
      <c r="D3015" s="2">
        <v>44650.340160613428</v>
      </c>
      <c r="E3015" s="1" t="s">
        <v>11</v>
      </c>
      <c r="F3015" s="1">
        <v>2</v>
      </c>
      <c r="G3015" s="1">
        <v>0</v>
      </c>
      <c r="H3015" s="6">
        <f>INT(Query1[[#This Row],[EntryDateTime]])</f>
        <v>44650</v>
      </c>
      <c r="I3015" s="1">
        <f>IF(Query1[[#This Row],[ItemType]]="EVAP KIT SF GEN IV",Query1[[#This Row],[OrderQty]]+I3014,I3014)</f>
        <v>3596</v>
      </c>
      <c r="J3015" s="1">
        <f>IF(Query1[[#This Row],[ItemType]]="EVAP KIT UNIVERSAL",Query1[[#This Row],[OrderQty]]+J3014,J3014)</f>
        <v>1368</v>
      </c>
      <c r="K3015" s="1">
        <f>Query1[[#This Row],[SF Running Total]]+Query1[[#This Row],[UNIV Running Total]]</f>
        <v>4964</v>
      </c>
      <c r="L3015">
        <f>VLOOKUP(Query1[[#This Row],[Description]],'kits to boards'!$B$2:$E$156,2,FALSE)</f>
        <v>0</v>
      </c>
      <c r="M3015">
        <f>VLOOKUP(Query1[[#This Row],[Description]],'kits to boards'!$B$2:$E$156,3,FALSE)</f>
        <v>0</v>
      </c>
      <c r="N3015">
        <f>VLOOKUP(Query1[[#This Row],[Description]],'kits to boards'!$B$2:$E$156,4,FALSE)</f>
        <v>0</v>
      </c>
      <c r="O3015" t="str">
        <f>CONCATENATE(Query1[[#This Row],[Description]]," - ",Query1[[#This Row],[MB1]]," - ",Query1[[#This Row],[MB2]]," - ",Query1[[#This Row],[MB3]])</f>
        <v>HERITAGE BRUSHED EVAP KIT COOL ONLY - 0 - 0 - 0</v>
      </c>
    </row>
    <row r="3016" spans="1:15" x14ac:dyDescent="0.25">
      <c r="A3016" s="1">
        <v>917381</v>
      </c>
      <c r="B3016" s="1" t="s">
        <v>24</v>
      </c>
      <c r="C3016" s="1" t="s">
        <v>25</v>
      </c>
      <c r="D3016" s="2">
        <v>44650.340598229166</v>
      </c>
      <c r="E3016" s="1" t="s">
        <v>11</v>
      </c>
      <c r="F3016" s="1">
        <v>6</v>
      </c>
      <c r="G3016" s="1">
        <v>0</v>
      </c>
      <c r="H3016" s="6">
        <f>INT(Query1[[#This Row],[EntryDateTime]])</f>
        <v>44650</v>
      </c>
      <c r="I3016" s="1">
        <f>IF(Query1[[#This Row],[ItemType]]="EVAP KIT SF GEN IV",Query1[[#This Row],[OrderQty]]+I3015,I3015)</f>
        <v>3596</v>
      </c>
      <c r="J3016" s="1">
        <f>IF(Query1[[#This Row],[ItemType]]="EVAP KIT UNIVERSAL",Query1[[#This Row],[OrderQty]]+J3015,J3015)</f>
        <v>1374</v>
      </c>
      <c r="K3016" s="1">
        <f>Query1[[#This Row],[SF Running Total]]+Query1[[#This Row],[UNIV Running Total]]</f>
        <v>4970</v>
      </c>
      <c r="L3016">
        <f>VLOOKUP(Query1[[#This Row],[Description]],'kits to boards'!$B$2:$E$156,2,FALSE)</f>
        <v>830029</v>
      </c>
      <c r="M3016">
        <f>VLOOKUP(Query1[[#This Row],[Description]],'kits to boards'!$B$2:$E$156,3,FALSE)</f>
        <v>830030</v>
      </c>
      <c r="N3016">
        <f>VLOOKUP(Query1[[#This Row],[Description]],'kits to boards'!$B$2:$E$156,4,FALSE)</f>
        <v>0</v>
      </c>
      <c r="O3016" t="str">
        <f>CONCATENATE(Query1[[#This Row],[Description]]," - ",Query1[[#This Row],[MB1]]," - ",Query1[[#This Row],[MB2]]," - ",Query1[[#This Row],[MB3]])</f>
        <v>ComPac GEN II W/DEF - 830029 - 830030 - 0</v>
      </c>
    </row>
    <row r="3017" spans="1:15" x14ac:dyDescent="0.25">
      <c r="A3017" s="1">
        <v>917392</v>
      </c>
      <c r="B3017" s="1" t="s">
        <v>124</v>
      </c>
      <c r="C3017" s="1" t="s">
        <v>125</v>
      </c>
      <c r="D3017" s="2">
        <v>44650.342225</v>
      </c>
      <c r="E3017" s="1" t="s">
        <v>8</v>
      </c>
      <c r="F3017" s="1">
        <v>1</v>
      </c>
      <c r="G3017" s="1">
        <v>0</v>
      </c>
      <c r="H3017" s="6">
        <f>INT(Query1[[#This Row],[EntryDateTime]])</f>
        <v>44650</v>
      </c>
      <c r="I3017" s="1">
        <f>IF(Query1[[#This Row],[ItemType]]="EVAP KIT SF GEN IV",Query1[[#This Row],[OrderQty]]+I3016,I3016)</f>
        <v>3597</v>
      </c>
      <c r="J3017" s="1">
        <f>IF(Query1[[#This Row],[ItemType]]="EVAP KIT UNIVERSAL",Query1[[#This Row],[OrderQty]]+J3016,J3016)</f>
        <v>1374</v>
      </c>
      <c r="K3017" s="1">
        <f>Query1[[#This Row],[SF Running Total]]+Query1[[#This Row],[UNIV Running Total]]</f>
        <v>4971</v>
      </c>
      <c r="L3017">
        <f>VLOOKUP(Query1[[#This Row],[Description]],'kits to boards'!$B$2:$E$156,2,FALSE)</f>
        <v>830002</v>
      </c>
      <c r="M3017">
        <f>VLOOKUP(Query1[[#This Row],[Description]],'kits to boards'!$B$2:$E$156,3,FALSE)</f>
        <v>0</v>
      </c>
      <c r="N3017">
        <f>VLOOKUP(Query1[[#This Row],[Description]],'kits to boards'!$B$2:$E$156,4,FALSE)</f>
        <v>0</v>
      </c>
      <c r="O3017" t="str">
        <f>CONCATENATE(Query1[[#This Row],[Description]]," - ",Query1[[#This Row],[MB1]]," - ",Query1[[#This Row],[MB2]]," - ",Query1[[#This Row],[MB3]])</f>
        <v>EVAP KIT 73-80 CHEV P-UP WO AC - 830002 - 0 - 0</v>
      </c>
    </row>
    <row r="3018" spans="1:15" x14ac:dyDescent="0.25">
      <c r="A3018" s="1">
        <v>917394</v>
      </c>
      <c r="B3018" s="1" t="s">
        <v>158</v>
      </c>
      <c r="C3018" s="1" t="s">
        <v>159</v>
      </c>
      <c r="D3018" s="2">
        <v>44650.344106365737</v>
      </c>
      <c r="E3018" s="1" t="s">
        <v>8</v>
      </c>
      <c r="F3018" s="1">
        <v>1</v>
      </c>
      <c r="G3018" s="1">
        <v>0</v>
      </c>
      <c r="H3018" s="6">
        <f>INT(Query1[[#This Row],[EntryDateTime]])</f>
        <v>44650</v>
      </c>
      <c r="I3018" s="1">
        <f>IF(Query1[[#This Row],[ItemType]]="EVAP KIT SF GEN IV",Query1[[#This Row],[OrderQty]]+I3017,I3017)</f>
        <v>3598</v>
      </c>
      <c r="J3018" s="1">
        <f>IF(Query1[[#This Row],[ItemType]]="EVAP KIT UNIVERSAL",Query1[[#This Row],[OrderQty]]+J3017,J3017)</f>
        <v>1374</v>
      </c>
      <c r="K3018" s="1">
        <f>Query1[[#This Row],[SF Running Total]]+Query1[[#This Row],[UNIV Running Total]]</f>
        <v>4972</v>
      </c>
      <c r="L3018">
        <f>VLOOKUP(Query1[[#This Row],[Description]],'kits to boards'!$B$2:$E$156,2,FALSE)</f>
        <v>830080</v>
      </c>
      <c r="M3018">
        <f>VLOOKUP(Query1[[#This Row],[Description]],'kits to boards'!$B$2:$E$156,3,FALSE)</f>
        <v>830046</v>
      </c>
      <c r="N3018">
        <f>VLOOKUP(Query1[[#This Row],[Description]],'kits to boards'!$B$2:$E$156,4,FALSE)</f>
        <v>0</v>
      </c>
      <c r="O3018" t="str">
        <f>CONCATENATE(Query1[[#This Row],[Description]]," - ",Query1[[#This Row],[MB1]]," - ",Query1[[#This Row],[MB2]]," - ",Query1[[#This Row],[MB3]])</f>
        <v>EVAP KIT 69-70 MUSTANG W/AC  - 830080 - 830046 - 0</v>
      </c>
    </row>
    <row r="3019" spans="1:15" x14ac:dyDescent="0.25">
      <c r="A3019" s="1">
        <v>917301</v>
      </c>
      <c r="B3019" s="1" t="s">
        <v>20</v>
      </c>
      <c r="C3019" s="1" t="s">
        <v>21</v>
      </c>
      <c r="D3019" s="2">
        <v>44650.347337650463</v>
      </c>
      <c r="E3019" s="1" t="s">
        <v>11</v>
      </c>
      <c r="F3019" s="1">
        <v>1</v>
      </c>
      <c r="G3019" s="1">
        <v>0</v>
      </c>
      <c r="H3019" s="6">
        <f>INT(Query1[[#This Row],[EntryDateTime]])</f>
        <v>44650</v>
      </c>
      <c r="I3019" s="1">
        <f>IF(Query1[[#This Row],[ItemType]]="EVAP KIT SF GEN IV",Query1[[#This Row],[OrderQty]]+I3018,I3018)</f>
        <v>3598</v>
      </c>
      <c r="J3019" s="1">
        <f>IF(Query1[[#This Row],[ItemType]]="EVAP KIT UNIVERSAL",Query1[[#This Row],[OrderQty]]+J3018,J3018)</f>
        <v>1375</v>
      </c>
      <c r="K3019" s="1">
        <f>Query1[[#This Row],[SF Running Total]]+Query1[[#This Row],[UNIV Running Total]]</f>
        <v>4973</v>
      </c>
      <c r="L3019">
        <f>VLOOKUP(Query1[[#This Row],[Description]],'kits to boards'!$B$2:$E$156,2,FALSE)</f>
        <v>830102</v>
      </c>
      <c r="M3019">
        <f>VLOOKUP(Query1[[#This Row],[Description]],'kits to boards'!$B$2:$E$156,3,FALSE)</f>
        <v>0</v>
      </c>
      <c r="N3019">
        <f>VLOOKUP(Query1[[#This Row],[Description]],'kits to boards'!$B$2:$E$156,4,FALSE)</f>
        <v>0</v>
      </c>
      <c r="O3019" t="str">
        <f>CONCATENATE(Query1[[#This Row],[Description]]," - ",Query1[[#This Row],[MB1]]," - ",Query1[[#This Row],[MB2]]," - ",Query1[[#This Row],[MB3]])</f>
        <v>SUPER GEN II W/DEF - 830102 - 0 - 0</v>
      </c>
    </row>
    <row r="3020" spans="1:15" x14ac:dyDescent="0.25">
      <c r="A3020" s="1">
        <v>917395</v>
      </c>
      <c r="B3020" s="1" t="s">
        <v>94</v>
      </c>
      <c r="C3020" s="1" t="s">
        <v>95</v>
      </c>
      <c r="D3020" s="2">
        <v>44650.34748989583</v>
      </c>
      <c r="E3020" s="1" t="s">
        <v>8</v>
      </c>
      <c r="F3020" s="1">
        <v>1</v>
      </c>
      <c r="G3020" s="1">
        <v>0</v>
      </c>
      <c r="H3020" s="6">
        <f>INT(Query1[[#This Row],[EntryDateTime]])</f>
        <v>44650</v>
      </c>
      <c r="I3020" s="1">
        <f>IF(Query1[[#This Row],[ItemType]]="EVAP KIT SF GEN IV",Query1[[#This Row],[OrderQty]]+I3019,I3019)</f>
        <v>3599</v>
      </c>
      <c r="J3020" s="1">
        <f>IF(Query1[[#This Row],[ItemType]]="EVAP KIT UNIVERSAL",Query1[[#This Row],[OrderQty]]+J3019,J3019)</f>
        <v>1375</v>
      </c>
      <c r="K3020" s="1">
        <f>Query1[[#This Row],[SF Running Total]]+Query1[[#This Row],[UNIV Running Total]]</f>
        <v>4974</v>
      </c>
      <c r="L3020">
        <f>VLOOKUP(Query1[[#This Row],[Description]],'kits to boards'!$B$2:$E$156,2,FALSE)</f>
        <v>830076</v>
      </c>
      <c r="M3020">
        <f>VLOOKUP(Query1[[#This Row],[Description]],'kits to boards'!$B$2:$E$156,3,FALSE)</f>
        <v>0</v>
      </c>
      <c r="N3020">
        <f>VLOOKUP(Query1[[#This Row],[Description]],'kits to boards'!$B$2:$E$156,4,FALSE)</f>
        <v>0</v>
      </c>
      <c r="O3020" t="str">
        <f>CONCATENATE(Query1[[#This Row],[Description]]," - ",Query1[[#This Row],[MB1]]," - ",Query1[[#This Row],[MB2]]," - ",Query1[[#This Row],[MB3]])</f>
        <v>EVAP KIT 64 1/2- 66 MUSTANG  - 830076 - 0 - 0</v>
      </c>
    </row>
    <row r="3021" spans="1:15" x14ac:dyDescent="0.25">
      <c r="A3021" s="1">
        <v>917393</v>
      </c>
      <c r="B3021" s="1" t="s">
        <v>56</v>
      </c>
      <c r="C3021" s="1" t="s">
        <v>57</v>
      </c>
      <c r="D3021" s="2">
        <v>44650.35034571759</v>
      </c>
      <c r="E3021" s="1" t="s">
        <v>8</v>
      </c>
      <c r="F3021" s="1">
        <v>1</v>
      </c>
      <c r="G3021" s="1">
        <v>0</v>
      </c>
      <c r="H3021" s="6">
        <f>INT(Query1[[#This Row],[EntryDateTime]])</f>
        <v>44650</v>
      </c>
      <c r="I3021" s="1">
        <f>IF(Query1[[#This Row],[ItemType]]="EVAP KIT SF GEN IV",Query1[[#This Row],[OrderQty]]+I3020,I3020)</f>
        <v>3600</v>
      </c>
      <c r="J3021" s="1">
        <f>IF(Query1[[#This Row],[ItemType]]="EVAP KIT UNIVERSAL",Query1[[#This Row],[OrderQty]]+J3020,J3020)</f>
        <v>1375</v>
      </c>
      <c r="K3021" s="1">
        <f>Query1[[#This Row],[SF Running Total]]+Query1[[#This Row],[UNIV Running Total]]</f>
        <v>4975</v>
      </c>
      <c r="L3021">
        <f>VLOOKUP(Query1[[#This Row],[Description]],'kits to boards'!$B$2:$E$156,2,FALSE)</f>
        <v>830011</v>
      </c>
      <c r="M3021">
        <f>VLOOKUP(Query1[[#This Row],[Description]],'kits to boards'!$B$2:$E$156,3,FALSE)</f>
        <v>0</v>
      </c>
      <c r="N3021">
        <f>VLOOKUP(Query1[[#This Row],[Description]],'kits to boards'!$B$2:$E$156,4,FALSE)</f>
        <v>0</v>
      </c>
      <c r="O3021" t="str">
        <f>CONCATENATE(Query1[[#This Row],[Description]]," - ",Query1[[#This Row],[MB1]]," - ",Query1[[#This Row],[MB2]]," - ",Query1[[#This Row],[MB3]])</f>
        <v>EVAP KIT 70-72 CHEVELLE W/AC - 830011 - 0 - 0</v>
      </c>
    </row>
    <row r="3022" spans="1:15" x14ac:dyDescent="0.25">
      <c r="A3022" s="1">
        <v>917397</v>
      </c>
      <c r="B3022" s="1" t="s">
        <v>244</v>
      </c>
      <c r="C3022" s="1" t="s">
        <v>245</v>
      </c>
      <c r="D3022" s="2">
        <v>44650.350623495367</v>
      </c>
      <c r="E3022" s="1" t="s">
        <v>8</v>
      </c>
      <c r="F3022" s="1">
        <v>1</v>
      </c>
      <c r="G3022" s="1">
        <v>0</v>
      </c>
      <c r="H3022" s="6">
        <f>INT(Query1[[#This Row],[EntryDateTime]])</f>
        <v>44650</v>
      </c>
      <c r="I3022" s="1">
        <f>IF(Query1[[#This Row],[ItemType]]="EVAP KIT SF GEN IV",Query1[[#This Row],[OrderQty]]+I3021,I3021)</f>
        <v>3601</v>
      </c>
      <c r="J3022" s="1">
        <f>IF(Query1[[#This Row],[ItemType]]="EVAP KIT UNIVERSAL",Query1[[#This Row],[OrderQty]]+J3021,J3021)</f>
        <v>1375</v>
      </c>
      <c r="K3022" s="1">
        <f>Query1[[#This Row],[SF Running Total]]+Query1[[#This Row],[UNIV Running Total]]</f>
        <v>4976</v>
      </c>
      <c r="L3022">
        <f>VLOOKUP(Query1[[#This Row],[Description]],'kits to boards'!$B$2:$E$156,2,FALSE)</f>
        <v>830100</v>
      </c>
      <c r="M3022">
        <f>VLOOKUP(Query1[[#This Row],[Description]],'kits to boards'!$B$2:$E$156,3,FALSE)</f>
        <v>0</v>
      </c>
      <c r="N3022">
        <f>VLOOKUP(Query1[[#This Row],[Description]],'kits to boards'!$B$2:$E$156,4,FALSE)</f>
        <v>0</v>
      </c>
      <c r="O3022" t="str">
        <f>CONCATENATE(Query1[[#This Row],[Description]]," - ",Query1[[#This Row],[MB1]]," - ",Query1[[#This Row],[MB2]]," - ",Query1[[#This Row],[MB3]])</f>
        <v>EVAP KIT 68-76 VETTE WO AC - 830100 - 0 - 0</v>
      </c>
    </row>
    <row r="3023" spans="1:15" x14ac:dyDescent="0.25">
      <c r="A3023" s="1">
        <v>917401</v>
      </c>
      <c r="B3023" s="1" t="s">
        <v>42</v>
      </c>
      <c r="C3023" s="1" t="s">
        <v>43</v>
      </c>
      <c r="D3023" s="2">
        <v>44650.352416319445</v>
      </c>
      <c r="E3023" s="1" t="s">
        <v>8</v>
      </c>
      <c r="F3023" s="1">
        <v>1</v>
      </c>
      <c r="G3023" s="1">
        <v>0</v>
      </c>
      <c r="H3023" s="6">
        <f>INT(Query1[[#This Row],[EntryDateTime]])</f>
        <v>44650</v>
      </c>
      <c r="I3023" s="1">
        <f>IF(Query1[[#This Row],[ItemType]]="EVAP KIT SF GEN IV",Query1[[#This Row],[OrderQty]]+I3022,I3022)</f>
        <v>3602</v>
      </c>
      <c r="J3023" s="1">
        <f>IF(Query1[[#This Row],[ItemType]]="EVAP KIT UNIVERSAL",Query1[[#This Row],[OrderQty]]+J3022,J3022)</f>
        <v>1375</v>
      </c>
      <c r="K3023" s="1">
        <f>Query1[[#This Row],[SF Running Total]]+Query1[[#This Row],[UNIV Running Total]]</f>
        <v>4977</v>
      </c>
      <c r="L3023">
        <f>VLOOKUP(Query1[[#This Row],[Description]],'kits to boards'!$B$2:$E$156,2,FALSE)</f>
        <v>830014</v>
      </c>
      <c r="M3023">
        <f>VLOOKUP(Query1[[#This Row],[Description]],'kits to boards'!$B$2:$E$156,3,FALSE)</f>
        <v>0</v>
      </c>
      <c r="N3023">
        <f>VLOOKUP(Query1[[#This Row],[Description]],'kits to boards'!$B$2:$E$156,4,FALSE)</f>
        <v>0</v>
      </c>
      <c r="O3023" t="str">
        <f>CONCATENATE(Query1[[#This Row],[Description]]," - ",Query1[[#This Row],[MB1]]," - ",Query1[[#This Row],[MB2]]," - ",Query1[[#This Row],[MB3]])</f>
        <v>EVAP KIT 67-72 CHEV P-UP WO AC - 830014 - 0 - 0</v>
      </c>
    </row>
    <row r="3024" spans="1:15" x14ac:dyDescent="0.25">
      <c r="A3024" s="1">
        <v>917402</v>
      </c>
      <c r="B3024" s="1" t="s">
        <v>66</v>
      </c>
      <c r="C3024" s="1" t="s">
        <v>67</v>
      </c>
      <c r="D3024" s="2">
        <v>44650.353043483796</v>
      </c>
      <c r="E3024" s="1" t="s">
        <v>8</v>
      </c>
      <c r="F3024" s="1">
        <v>1</v>
      </c>
      <c r="G3024" s="1">
        <v>0</v>
      </c>
      <c r="H3024" s="6">
        <f>INT(Query1[[#This Row],[EntryDateTime]])</f>
        <v>44650</v>
      </c>
      <c r="I3024" s="1">
        <f>IF(Query1[[#This Row],[ItemType]]="EVAP KIT SF GEN IV",Query1[[#This Row],[OrderQty]]+I3023,I3023)</f>
        <v>3603</v>
      </c>
      <c r="J3024" s="1">
        <f>IF(Query1[[#This Row],[ItemType]]="EVAP KIT UNIVERSAL",Query1[[#This Row],[OrderQty]]+J3023,J3023)</f>
        <v>1375</v>
      </c>
      <c r="K3024" s="1">
        <f>Query1[[#This Row],[SF Running Total]]+Query1[[#This Row],[UNIV Running Total]]</f>
        <v>4978</v>
      </c>
      <c r="L3024">
        <f>VLOOKUP(Query1[[#This Row],[Description]],'kits to boards'!$B$2:$E$156,2,FALSE)</f>
        <v>830060</v>
      </c>
      <c r="M3024">
        <f>VLOOKUP(Query1[[#This Row],[Description]],'kits to boards'!$B$2:$E$156,3,FALSE)</f>
        <v>0</v>
      </c>
      <c r="N3024">
        <f>VLOOKUP(Query1[[#This Row],[Description]],'kits to boards'!$B$2:$E$156,4,FALSE)</f>
        <v>0</v>
      </c>
      <c r="O3024" t="str">
        <f>CONCATENATE(Query1[[#This Row],[Description]]," - ",Query1[[#This Row],[MB1]]," - ",Query1[[#This Row],[MB2]]," - ",Query1[[#This Row],[MB3]])</f>
        <v>EVAP KIT 66-67 CHEVELLE WO AC - 830060 - 0 - 0</v>
      </c>
    </row>
    <row r="3025" spans="1:15" x14ac:dyDescent="0.25">
      <c r="A3025" s="1">
        <v>917404</v>
      </c>
      <c r="B3025" s="1" t="s">
        <v>88</v>
      </c>
      <c r="C3025" s="1" t="s">
        <v>89</v>
      </c>
      <c r="D3025" s="2">
        <v>44650.354019791666</v>
      </c>
      <c r="E3025" s="1" t="s">
        <v>8</v>
      </c>
      <c r="F3025" s="1">
        <v>1</v>
      </c>
      <c r="G3025" s="1">
        <v>0</v>
      </c>
      <c r="H3025" s="6">
        <f>INT(Query1[[#This Row],[EntryDateTime]])</f>
        <v>44650</v>
      </c>
      <c r="I3025" s="1">
        <f>IF(Query1[[#This Row],[ItemType]]="EVAP KIT SF GEN IV",Query1[[#This Row],[OrderQty]]+I3024,I3024)</f>
        <v>3604</v>
      </c>
      <c r="J3025" s="1">
        <f>IF(Query1[[#This Row],[ItemType]]="EVAP KIT UNIVERSAL",Query1[[#This Row],[OrderQty]]+J3024,J3024)</f>
        <v>1375</v>
      </c>
      <c r="K3025" s="1">
        <f>Query1[[#This Row],[SF Running Total]]+Query1[[#This Row],[UNIV Running Total]]</f>
        <v>4979</v>
      </c>
      <c r="L3025">
        <f>VLOOKUP(Query1[[#This Row],[Description]],'kits to boards'!$B$2:$E$156,2,FALSE)</f>
        <v>830003</v>
      </c>
      <c r="M3025">
        <f>VLOOKUP(Query1[[#This Row],[Description]],'kits to boards'!$B$2:$E$156,3,FALSE)</f>
        <v>0</v>
      </c>
      <c r="N3025">
        <f>VLOOKUP(Query1[[#This Row],[Description]],'kits to boards'!$B$2:$E$156,4,FALSE)</f>
        <v>0</v>
      </c>
      <c r="O3025" t="str">
        <f>CONCATENATE(Query1[[#This Row],[Description]]," - ",Query1[[#This Row],[MB1]]," - ",Query1[[#This Row],[MB2]]," - ",Query1[[#This Row],[MB3]])</f>
        <v>EVAP KIT 81-87 CHEV P-UP WO AC - 830003 - 0 - 0</v>
      </c>
    </row>
    <row r="3026" spans="1:15" x14ac:dyDescent="0.25">
      <c r="A3026" s="1">
        <v>916941</v>
      </c>
      <c r="B3026" s="1" t="s">
        <v>22</v>
      </c>
      <c r="C3026" s="1" t="s">
        <v>23</v>
      </c>
      <c r="D3026" s="2">
        <v>44650.356034143515</v>
      </c>
      <c r="E3026" s="1" t="s">
        <v>8</v>
      </c>
      <c r="F3026" s="1">
        <v>1</v>
      </c>
      <c r="G3026" s="1">
        <v>0</v>
      </c>
      <c r="H3026" s="6">
        <f>INT(Query1[[#This Row],[EntryDateTime]])</f>
        <v>44650</v>
      </c>
      <c r="I3026" s="1">
        <f>IF(Query1[[#This Row],[ItemType]]="EVAP KIT SF GEN IV",Query1[[#This Row],[OrderQty]]+I3025,I3025)</f>
        <v>3605</v>
      </c>
      <c r="J3026" s="1">
        <f>IF(Query1[[#This Row],[ItemType]]="EVAP KIT UNIVERSAL",Query1[[#This Row],[OrderQty]]+J3025,J3025)</f>
        <v>1375</v>
      </c>
      <c r="K3026" s="1">
        <f>Query1[[#This Row],[SF Running Total]]+Query1[[#This Row],[UNIV Running Total]]</f>
        <v>4980</v>
      </c>
      <c r="L3026">
        <f>VLOOKUP(Query1[[#This Row],[Description]],'kits to boards'!$B$2:$E$156,2,FALSE)</f>
        <v>830083</v>
      </c>
      <c r="M3026">
        <f>VLOOKUP(Query1[[#This Row],[Description]],'kits to boards'!$B$2:$E$156,3,FALSE)</f>
        <v>0</v>
      </c>
      <c r="N3026">
        <f>VLOOKUP(Query1[[#This Row],[Description]],'kits to boards'!$B$2:$E$156,4,FALSE)</f>
        <v>0</v>
      </c>
      <c r="O3026" t="str">
        <f>CONCATENATE(Query1[[#This Row],[Description]]," - ",Query1[[#This Row],[MB1]]," - ",Query1[[#This Row],[MB2]]," - ",Query1[[#This Row],[MB3]])</f>
        <v>GEN IV MAGNUM EVAP KIT - 830083 - 0 - 0</v>
      </c>
    </row>
    <row r="3027" spans="1:15" x14ac:dyDescent="0.25">
      <c r="A3027" s="1">
        <v>917406</v>
      </c>
      <c r="B3027" s="1" t="s">
        <v>72</v>
      </c>
      <c r="C3027" s="1" t="s">
        <v>73</v>
      </c>
      <c r="D3027" s="2">
        <v>44650.358058877318</v>
      </c>
      <c r="E3027" s="1" t="s">
        <v>8</v>
      </c>
      <c r="F3027" s="1">
        <v>1</v>
      </c>
      <c r="G3027" s="1">
        <v>0</v>
      </c>
      <c r="H3027" s="6">
        <f>INT(Query1[[#This Row],[EntryDateTime]])</f>
        <v>44650</v>
      </c>
      <c r="I3027" s="1">
        <f>IF(Query1[[#This Row],[ItemType]]="EVAP KIT SF GEN IV",Query1[[#This Row],[OrderQty]]+I3026,I3026)</f>
        <v>3606</v>
      </c>
      <c r="J3027" s="1">
        <f>IF(Query1[[#This Row],[ItemType]]="EVAP KIT UNIVERSAL",Query1[[#This Row],[OrderQty]]+J3026,J3026)</f>
        <v>1375</v>
      </c>
      <c r="K3027" s="1">
        <f>Query1[[#This Row],[SF Running Total]]+Query1[[#This Row],[UNIV Running Total]]</f>
        <v>4981</v>
      </c>
      <c r="L3027">
        <f>VLOOKUP(Query1[[#This Row],[Description]],'kits to boards'!$B$2:$E$156,2,FALSE)</f>
        <v>830043</v>
      </c>
      <c r="M3027">
        <f>VLOOKUP(Query1[[#This Row],[Description]],'kits to boards'!$B$2:$E$156,3,FALSE)</f>
        <v>0</v>
      </c>
      <c r="N3027">
        <f>VLOOKUP(Query1[[#This Row],[Description]],'kits to boards'!$B$2:$E$156,4,FALSE)</f>
        <v>0</v>
      </c>
      <c r="O3027" t="str">
        <f>CONCATENATE(Query1[[#This Row],[Description]]," - ",Query1[[#This Row],[MB1]]," - ",Query1[[#This Row],[MB2]]," - ",Query1[[#This Row],[MB3]])</f>
        <v>EVAP KIT 69-74 NOVA W/AC - 830043 - 0 - 0</v>
      </c>
    </row>
    <row r="3028" spans="1:15" x14ac:dyDescent="0.25">
      <c r="A3028" s="1">
        <v>917412</v>
      </c>
      <c r="B3028" s="1" t="s">
        <v>14</v>
      </c>
      <c r="C3028" s="1" t="s">
        <v>15</v>
      </c>
      <c r="D3028" s="2">
        <v>44650.373033530093</v>
      </c>
      <c r="E3028" s="1" t="s">
        <v>8</v>
      </c>
      <c r="F3028" s="1">
        <v>1</v>
      </c>
      <c r="G3028" s="1">
        <v>0</v>
      </c>
      <c r="H3028" s="6">
        <f>INT(Query1[[#This Row],[EntryDateTime]])</f>
        <v>44650</v>
      </c>
      <c r="I3028" s="1">
        <f>IF(Query1[[#This Row],[ItemType]]="EVAP KIT SF GEN IV",Query1[[#This Row],[OrderQty]]+I3027,I3027)</f>
        <v>3607</v>
      </c>
      <c r="J3028" s="1">
        <f>IF(Query1[[#This Row],[ItemType]]="EVAP KIT UNIVERSAL",Query1[[#This Row],[OrderQty]]+J3027,J3027)</f>
        <v>1375</v>
      </c>
      <c r="K3028" s="1">
        <f>Query1[[#This Row],[SF Running Total]]+Query1[[#This Row],[UNIV Running Total]]</f>
        <v>4982</v>
      </c>
      <c r="L3028">
        <f>VLOOKUP(Query1[[#This Row],[Description]],'kits to boards'!$B$2:$E$156,2,FALSE)</f>
        <v>830054</v>
      </c>
      <c r="M3028">
        <f>VLOOKUP(Query1[[#This Row],[Description]],'kits to boards'!$B$2:$E$156,3,FALSE)</f>
        <v>0</v>
      </c>
      <c r="N3028">
        <f>VLOOKUP(Query1[[#This Row],[Description]],'kits to boards'!$B$2:$E$156,4,FALSE)</f>
        <v>0</v>
      </c>
      <c r="O3028" t="str">
        <f>CONCATENATE(Query1[[#This Row],[Description]]," - ",Query1[[#This Row],[MB1]]," - ",Query1[[#This Row],[MB2]]," - ",Query1[[#This Row],[MB3]])</f>
        <v>EVAP KIT 55-56 CHEVY - 830054 - 0 - 0</v>
      </c>
    </row>
    <row r="3029" spans="1:15" x14ac:dyDescent="0.25">
      <c r="A3029" s="1">
        <v>917240</v>
      </c>
      <c r="B3029" s="1" t="s">
        <v>64</v>
      </c>
      <c r="C3029" s="1" t="s">
        <v>65</v>
      </c>
      <c r="D3029" s="2">
        <v>44650.416891435183</v>
      </c>
      <c r="E3029" s="1" t="s">
        <v>8</v>
      </c>
      <c r="F3029" s="1">
        <v>1</v>
      </c>
      <c r="G3029" s="1">
        <v>0</v>
      </c>
      <c r="H3029" s="6">
        <f>INT(Query1[[#This Row],[EntryDateTime]])</f>
        <v>44650</v>
      </c>
      <c r="I3029" s="1">
        <f>IF(Query1[[#This Row],[ItemType]]="EVAP KIT SF GEN IV",Query1[[#This Row],[OrderQty]]+I3028,I3028)</f>
        <v>3608</v>
      </c>
      <c r="J3029" s="1">
        <f>IF(Query1[[#This Row],[ItemType]]="EVAP KIT UNIVERSAL",Query1[[#This Row],[OrderQty]]+J3028,J3028)</f>
        <v>1375</v>
      </c>
      <c r="K3029" s="1">
        <f>Query1[[#This Row],[SF Running Total]]+Query1[[#This Row],[UNIV Running Total]]</f>
        <v>4983</v>
      </c>
      <c r="L3029">
        <f>VLOOKUP(Query1[[#This Row],[Description]],'kits to boards'!$B$2:$E$156,2,FALSE)</f>
        <v>830067</v>
      </c>
      <c r="M3029">
        <f>VLOOKUP(Query1[[#This Row],[Description]],'kits to boards'!$B$2:$E$156,3,FALSE)</f>
        <v>0</v>
      </c>
      <c r="N3029">
        <f>VLOOKUP(Query1[[#This Row],[Description]],'kits to boards'!$B$2:$E$156,4,FALSE)</f>
        <v>0</v>
      </c>
      <c r="O3029" t="str">
        <f>CONCATENATE(Query1[[#This Row],[Description]]," - ",Query1[[#This Row],[MB1]]," - ",Query1[[#This Row],[MB2]]," - ",Query1[[#This Row],[MB3]])</f>
        <v>EVAP KIT 59-60 CHEV CAR 4-LEVER - 830067 - 0 - 0</v>
      </c>
    </row>
    <row r="3030" spans="1:15" x14ac:dyDescent="0.25">
      <c r="A3030" s="1">
        <v>917424</v>
      </c>
      <c r="B3030" s="1" t="s">
        <v>240</v>
      </c>
      <c r="C3030" s="1" t="s">
        <v>241</v>
      </c>
      <c r="D3030" s="2">
        <v>44650.425307175923</v>
      </c>
      <c r="E3030" s="1" t="s">
        <v>8</v>
      </c>
      <c r="F3030" s="1">
        <v>1</v>
      </c>
      <c r="G3030" s="1">
        <v>0</v>
      </c>
      <c r="H3030" s="6">
        <f>INT(Query1[[#This Row],[EntryDateTime]])</f>
        <v>44650</v>
      </c>
      <c r="I3030" s="1">
        <f>IF(Query1[[#This Row],[ItemType]]="EVAP KIT SF GEN IV",Query1[[#This Row],[OrderQty]]+I3029,I3029)</f>
        <v>3609</v>
      </c>
      <c r="J3030" s="1">
        <f>IF(Query1[[#This Row],[ItemType]]="EVAP KIT UNIVERSAL",Query1[[#This Row],[OrderQty]]+J3029,J3029)</f>
        <v>1375</v>
      </c>
      <c r="K3030" s="1">
        <f>Query1[[#This Row],[SF Running Total]]+Query1[[#This Row],[UNIV Running Total]]</f>
        <v>4984</v>
      </c>
      <c r="L3030">
        <f>VLOOKUP(Query1[[#This Row],[Description]],'kits to boards'!$B$2:$E$156,2,FALSE)</f>
        <v>830032</v>
      </c>
      <c r="M3030">
        <f>VLOOKUP(Query1[[#This Row],[Description]],'kits to boards'!$B$2:$E$156,3,FALSE)</f>
        <v>0</v>
      </c>
      <c r="N3030">
        <f>VLOOKUP(Query1[[#This Row],[Description]],'kits to boards'!$B$2:$E$156,4,FALSE)</f>
        <v>0</v>
      </c>
      <c r="O3030" t="str">
        <f>CONCATENATE(Query1[[#This Row],[Description]]," - ",Query1[[#This Row],[MB1]]," - ",Query1[[#This Row],[MB2]]," - ",Query1[[#This Row],[MB3]])</f>
        <v>EVAP KIT 58-60 VETTE - 830032 - 0 - 0</v>
      </c>
    </row>
    <row r="3031" spans="1:15" x14ac:dyDescent="0.25">
      <c r="A3031" s="1">
        <v>917423</v>
      </c>
      <c r="B3031" s="1" t="s">
        <v>42</v>
      </c>
      <c r="C3031" s="1" t="s">
        <v>43</v>
      </c>
      <c r="D3031" s="2">
        <v>44650.429750960648</v>
      </c>
      <c r="E3031" s="1" t="s">
        <v>8</v>
      </c>
      <c r="F3031" s="1">
        <v>1</v>
      </c>
      <c r="G3031" s="1">
        <v>0</v>
      </c>
      <c r="H3031" s="6">
        <f>INT(Query1[[#This Row],[EntryDateTime]])</f>
        <v>44650</v>
      </c>
      <c r="I3031" s="1">
        <f>IF(Query1[[#This Row],[ItemType]]="EVAP KIT SF GEN IV",Query1[[#This Row],[OrderQty]]+I3030,I3030)</f>
        <v>3610</v>
      </c>
      <c r="J3031" s="1">
        <f>IF(Query1[[#This Row],[ItemType]]="EVAP KIT UNIVERSAL",Query1[[#This Row],[OrderQty]]+J3030,J3030)</f>
        <v>1375</v>
      </c>
      <c r="K3031" s="1">
        <f>Query1[[#This Row],[SF Running Total]]+Query1[[#This Row],[UNIV Running Total]]</f>
        <v>4985</v>
      </c>
      <c r="L3031">
        <f>VLOOKUP(Query1[[#This Row],[Description]],'kits to boards'!$B$2:$E$156,2,FALSE)</f>
        <v>830014</v>
      </c>
      <c r="M3031">
        <f>VLOOKUP(Query1[[#This Row],[Description]],'kits to boards'!$B$2:$E$156,3,FALSE)</f>
        <v>0</v>
      </c>
      <c r="N3031">
        <f>VLOOKUP(Query1[[#This Row],[Description]],'kits to boards'!$B$2:$E$156,4,FALSE)</f>
        <v>0</v>
      </c>
      <c r="O3031" t="str">
        <f>CONCATENATE(Query1[[#This Row],[Description]]," - ",Query1[[#This Row],[MB1]]," - ",Query1[[#This Row],[MB2]]," - ",Query1[[#This Row],[MB3]])</f>
        <v>EVAP KIT 67-72 CHEV P-UP WO AC - 830014 - 0 - 0</v>
      </c>
    </row>
    <row r="3032" spans="1:15" x14ac:dyDescent="0.25">
      <c r="A3032" s="1">
        <v>917432</v>
      </c>
      <c r="B3032" s="1" t="s">
        <v>98</v>
      </c>
      <c r="C3032" s="1" t="s">
        <v>99</v>
      </c>
      <c r="D3032" s="2">
        <v>44650.44240644676</v>
      </c>
      <c r="E3032" s="1" t="s">
        <v>11</v>
      </c>
      <c r="F3032" s="1">
        <v>2</v>
      </c>
      <c r="G3032" s="1">
        <v>0</v>
      </c>
      <c r="H3032" s="6">
        <f>INT(Query1[[#This Row],[EntryDateTime]])</f>
        <v>44650</v>
      </c>
      <c r="I3032" s="1">
        <f>IF(Query1[[#This Row],[ItemType]]="EVAP KIT SF GEN IV",Query1[[#This Row],[OrderQty]]+I3031,I3031)</f>
        <v>3610</v>
      </c>
      <c r="J3032" s="1">
        <f>IF(Query1[[#This Row],[ItemType]]="EVAP KIT UNIVERSAL",Query1[[#This Row],[OrderQty]]+J3031,J3031)</f>
        <v>1377</v>
      </c>
      <c r="K3032" s="1">
        <f>Query1[[#This Row],[SF Running Total]]+Query1[[#This Row],[UNIV Running Total]]</f>
        <v>4987</v>
      </c>
      <c r="L3032">
        <f>VLOOKUP(Query1[[#This Row],[Description]],'kits to boards'!$B$2:$E$156,2,FALSE)</f>
        <v>830099</v>
      </c>
      <c r="M3032">
        <f>VLOOKUP(Query1[[#This Row],[Description]],'kits to boards'!$B$2:$E$156,3,FALSE)</f>
        <v>0</v>
      </c>
      <c r="N3032">
        <f>VLOOKUP(Query1[[#This Row],[Description]],'kits to boards'!$B$2:$E$156,4,FALSE)</f>
        <v>0</v>
      </c>
      <c r="O3032" t="str">
        <f>CONCATENATE(Query1[[#This Row],[Description]]," - ",Query1[[#This Row],[MB1]]," - ",Query1[[#This Row],[MB2]]," - ",Query1[[#This Row],[MB3]])</f>
        <v>MINI GEN II W/DEF - 830099 - 0 - 0</v>
      </c>
    </row>
    <row r="3033" spans="1:15" x14ac:dyDescent="0.25">
      <c r="A3033" s="1">
        <v>917433</v>
      </c>
      <c r="B3033" s="1" t="s">
        <v>110</v>
      </c>
      <c r="C3033" s="1" t="s">
        <v>111</v>
      </c>
      <c r="D3033" s="2">
        <v>44650.445496990738</v>
      </c>
      <c r="E3033" s="1" t="s">
        <v>8</v>
      </c>
      <c r="F3033" s="1">
        <v>1</v>
      </c>
      <c r="G3033" s="1">
        <v>0</v>
      </c>
      <c r="H3033" s="6">
        <f>INT(Query1[[#This Row],[EntryDateTime]])</f>
        <v>44650</v>
      </c>
      <c r="I3033" s="1">
        <f>IF(Query1[[#This Row],[ItemType]]="EVAP KIT SF GEN IV",Query1[[#This Row],[OrderQty]]+I3032,I3032)</f>
        <v>3611</v>
      </c>
      <c r="J3033" s="1">
        <f>IF(Query1[[#This Row],[ItemType]]="EVAP KIT UNIVERSAL",Query1[[#This Row],[OrderQty]]+J3032,J3032)</f>
        <v>1377</v>
      </c>
      <c r="K3033" s="1">
        <f>Query1[[#This Row],[SF Running Total]]+Query1[[#This Row],[UNIV Running Total]]</f>
        <v>4988</v>
      </c>
      <c r="L3033">
        <f>VLOOKUP(Query1[[#This Row],[Description]],'kits to boards'!$B$2:$E$156,2,FALSE)</f>
        <v>830053</v>
      </c>
      <c r="M3033">
        <f>VLOOKUP(Query1[[#This Row],[Description]],'kits to boards'!$B$2:$E$156,3,FALSE)</f>
        <v>0</v>
      </c>
      <c r="N3033">
        <f>VLOOKUP(Query1[[#This Row],[Description]],'kits to boards'!$B$2:$E$156,4,FALSE)</f>
        <v>0</v>
      </c>
      <c r="O3033" t="str">
        <f>CONCATENATE(Query1[[#This Row],[Description]]," - ",Query1[[#This Row],[MB1]]," - ",Query1[[#This Row],[MB2]]," - ",Query1[[#This Row],[MB3]])</f>
        <v>EVAP KIT 65-66 FORD F-100 - 830053 - 0 - 0</v>
      </c>
    </row>
    <row r="3034" spans="1:15" x14ac:dyDescent="0.25">
      <c r="A3034" s="1">
        <v>917436</v>
      </c>
      <c r="B3034" s="1" t="s">
        <v>86</v>
      </c>
      <c r="C3034" s="1" t="s">
        <v>87</v>
      </c>
      <c r="D3034" s="2">
        <v>44650.449600925924</v>
      </c>
      <c r="E3034" s="1" t="s">
        <v>8</v>
      </c>
      <c r="F3034" s="1">
        <v>1</v>
      </c>
      <c r="G3034" s="1">
        <v>0</v>
      </c>
      <c r="H3034" s="6">
        <f>INT(Query1[[#This Row],[EntryDateTime]])</f>
        <v>44650</v>
      </c>
      <c r="I3034" s="1">
        <f>IF(Query1[[#This Row],[ItemType]]="EVAP KIT SF GEN IV",Query1[[#This Row],[OrderQty]]+I3033,I3033)</f>
        <v>3612</v>
      </c>
      <c r="J3034" s="1">
        <f>IF(Query1[[#This Row],[ItemType]]="EVAP KIT UNIVERSAL",Query1[[#This Row],[OrderQty]]+J3033,J3033)</f>
        <v>1377</v>
      </c>
      <c r="K3034" s="1">
        <f>Query1[[#This Row],[SF Running Total]]+Query1[[#This Row],[UNIV Running Total]]</f>
        <v>4989</v>
      </c>
      <c r="L3034">
        <f>VLOOKUP(Query1[[#This Row],[Description]],'kits to boards'!$B$2:$E$156,2,FALSE)</f>
        <v>830048</v>
      </c>
      <c r="M3034">
        <f>VLOOKUP(Query1[[#This Row],[Description]],'kits to boards'!$B$2:$E$156,3,FALSE)</f>
        <v>0</v>
      </c>
      <c r="N3034">
        <f>VLOOKUP(Query1[[#This Row],[Description]],'kits to boards'!$B$2:$E$156,4,FALSE)</f>
        <v>0</v>
      </c>
      <c r="O3034" t="str">
        <f>CONCATENATE(Query1[[#This Row],[Description]]," - ",Query1[[#This Row],[MB1]]," - ",Query1[[#This Row],[MB2]]," - ",Query1[[#This Row],[MB3]])</f>
        <v>EVAP KIT 66-67 NOVA - 830048 - 0 - 0</v>
      </c>
    </row>
    <row r="3035" spans="1:15" x14ac:dyDescent="0.25">
      <c r="A3035" s="1">
        <v>917438</v>
      </c>
      <c r="B3035" s="1" t="s">
        <v>174</v>
      </c>
      <c r="C3035" s="1" t="s">
        <v>175</v>
      </c>
      <c r="D3035" s="2">
        <v>44650.451985300926</v>
      </c>
      <c r="E3035" s="1" t="s">
        <v>8</v>
      </c>
      <c r="F3035" s="1">
        <v>1</v>
      </c>
      <c r="G3035" s="1">
        <v>0</v>
      </c>
      <c r="H3035" s="6">
        <f>INT(Query1[[#This Row],[EntryDateTime]])</f>
        <v>44650</v>
      </c>
      <c r="I3035" s="1">
        <f>IF(Query1[[#This Row],[ItemType]]="EVAP KIT SF GEN IV",Query1[[#This Row],[OrderQty]]+I3034,I3034)</f>
        <v>3613</v>
      </c>
      <c r="J3035" s="1">
        <f>IF(Query1[[#This Row],[ItemType]]="EVAP KIT UNIVERSAL",Query1[[#This Row],[OrderQty]]+J3034,J3034)</f>
        <v>1377</v>
      </c>
      <c r="K3035" s="1">
        <f>Query1[[#This Row],[SF Running Total]]+Query1[[#This Row],[UNIV Running Total]]</f>
        <v>4990</v>
      </c>
      <c r="L3035">
        <f>VLOOKUP(Query1[[#This Row],[Description]],'kits to boards'!$B$2:$E$156,2,FALSE)</f>
        <v>830007</v>
      </c>
      <c r="M3035">
        <f>VLOOKUP(Query1[[#This Row],[Description]],'kits to boards'!$B$2:$E$156,3,FALSE)</f>
        <v>0</v>
      </c>
      <c r="N3035">
        <f>VLOOKUP(Query1[[#This Row],[Description]],'kits to boards'!$B$2:$E$156,4,FALSE)</f>
        <v>0</v>
      </c>
      <c r="O3035" t="str">
        <f>CONCATENATE(Query1[[#This Row],[Description]]," - ",Query1[[#This Row],[MB1]]," - ",Query1[[#This Row],[MB2]]," - ",Query1[[#This Row],[MB3]])</f>
        <v>EVAP KIT 64 IMPALA W/AC - 830007 - 0 - 0</v>
      </c>
    </row>
    <row r="3036" spans="1:15" x14ac:dyDescent="0.25">
      <c r="A3036" s="1">
        <v>917449</v>
      </c>
      <c r="B3036" s="1" t="s">
        <v>84</v>
      </c>
      <c r="C3036" s="1" t="s">
        <v>85</v>
      </c>
      <c r="D3036" s="2">
        <v>44650.472058217594</v>
      </c>
      <c r="E3036" s="1" t="s">
        <v>8</v>
      </c>
      <c r="F3036" s="1">
        <v>1</v>
      </c>
      <c r="G3036" s="1">
        <v>0</v>
      </c>
      <c r="H3036" s="6">
        <f>INT(Query1[[#This Row],[EntryDateTime]])</f>
        <v>44650</v>
      </c>
      <c r="I3036" s="1">
        <f>IF(Query1[[#This Row],[ItemType]]="EVAP KIT SF GEN IV",Query1[[#This Row],[OrderQty]]+I3035,I3035)</f>
        <v>3614</v>
      </c>
      <c r="J3036" s="1">
        <f>IF(Query1[[#This Row],[ItemType]]="EVAP KIT UNIVERSAL",Query1[[#This Row],[OrderQty]]+J3035,J3035)</f>
        <v>1377</v>
      </c>
      <c r="K3036" s="1">
        <f>Query1[[#This Row],[SF Running Total]]+Query1[[#This Row],[UNIV Running Total]]</f>
        <v>4991</v>
      </c>
      <c r="L3036">
        <f>VLOOKUP(Query1[[#This Row],[Description]],'kits to boards'!$B$2:$E$156,2,FALSE)</f>
        <v>830085</v>
      </c>
      <c r="M3036">
        <f>VLOOKUP(Query1[[#This Row],[Description]],'kits to boards'!$B$2:$E$156,3,FALSE)</f>
        <v>0</v>
      </c>
      <c r="N3036">
        <f>VLOOKUP(Query1[[#This Row],[Description]],'kits to boards'!$B$2:$E$156,4,FALSE)</f>
        <v>0</v>
      </c>
      <c r="O3036" t="str">
        <f>CONCATENATE(Query1[[#This Row],[Description]]," - ",Query1[[#This Row],[MB1]]," - ",Query1[[#This Row],[MB2]]," - ",Query1[[#This Row],[MB3]])</f>
        <v>EVAP KIT 66-77 BRONCO 4-VENT PLENUM - 830085 - 0 - 0</v>
      </c>
    </row>
    <row r="3037" spans="1:15" x14ac:dyDescent="0.25">
      <c r="A3037" s="1">
        <v>917450</v>
      </c>
      <c r="B3037" s="1" t="s">
        <v>20</v>
      </c>
      <c r="C3037" s="1" t="s">
        <v>21</v>
      </c>
      <c r="D3037" s="2">
        <v>44650.473711493054</v>
      </c>
      <c r="E3037" s="1" t="s">
        <v>11</v>
      </c>
      <c r="F3037" s="1">
        <v>1</v>
      </c>
      <c r="G3037" s="1">
        <v>0</v>
      </c>
      <c r="H3037" s="6">
        <f>INT(Query1[[#This Row],[EntryDateTime]])</f>
        <v>44650</v>
      </c>
      <c r="I3037" s="1">
        <f>IF(Query1[[#This Row],[ItemType]]="EVAP KIT SF GEN IV",Query1[[#This Row],[OrderQty]]+I3036,I3036)</f>
        <v>3614</v>
      </c>
      <c r="J3037" s="1">
        <f>IF(Query1[[#This Row],[ItemType]]="EVAP KIT UNIVERSAL",Query1[[#This Row],[OrderQty]]+J3036,J3036)</f>
        <v>1378</v>
      </c>
      <c r="K3037" s="1">
        <f>Query1[[#This Row],[SF Running Total]]+Query1[[#This Row],[UNIV Running Total]]</f>
        <v>4992</v>
      </c>
      <c r="L3037">
        <f>VLOOKUP(Query1[[#This Row],[Description]],'kits to boards'!$B$2:$E$156,2,FALSE)</f>
        <v>830102</v>
      </c>
      <c r="M3037">
        <f>VLOOKUP(Query1[[#This Row],[Description]],'kits to boards'!$B$2:$E$156,3,FALSE)</f>
        <v>0</v>
      </c>
      <c r="N3037">
        <f>VLOOKUP(Query1[[#This Row],[Description]],'kits to boards'!$B$2:$E$156,4,FALSE)</f>
        <v>0</v>
      </c>
      <c r="O3037" t="str">
        <f>CONCATENATE(Query1[[#This Row],[Description]]," - ",Query1[[#This Row],[MB1]]," - ",Query1[[#This Row],[MB2]]," - ",Query1[[#This Row],[MB3]])</f>
        <v>SUPER GEN II W/DEF - 830102 - 0 - 0</v>
      </c>
    </row>
    <row r="3038" spans="1:15" x14ac:dyDescent="0.25">
      <c r="A3038" s="1">
        <v>917453</v>
      </c>
      <c r="B3038" s="1" t="s">
        <v>64</v>
      </c>
      <c r="C3038" s="1" t="s">
        <v>65</v>
      </c>
      <c r="D3038" s="2">
        <v>44650.479598298611</v>
      </c>
      <c r="E3038" s="1" t="s">
        <v>8</v>
      </c>
      <c r="F3038" s="1">
        <v>1</v>
      </c>
      <c r="G3038" s="1">
        <v>0</v>
      </c>
      <c r="H3038" s="6">
        <f>INT(Query1[[#This Row],[EntryDateTime]])</f>
        <v>44650</v>
      </c>
      <c r="I3038" s="1">
        <f>IF(Query1[[#This Row],[ItemType]]="EVAP KIT SF GEN IV",Query1[[#This Row],[OrderQty]]+I3037,I3037)</f>
        <v>3615</v>
      </c>
      <c r="J3038" s="1">
        <f>IF(Query1[[#This Row],[ItemType]]="EVAP KIT UNIVERSAL",Query1[[#This Row],[OrderQty]]+J3037,J3037)</f>
        <v>1378</v>
      </c>
      <c r="K3038" s="1">
        <f>Query1[[#This Row],[SF Running Total]]+Query1[[#This Row],[UNIV Running Total]]</f>
        <v>4993</v>
      </c>
      <c r="L3038">
        <f>VLOOKUP(Query1[[#This Row],[Description]],'kits to boards'!$B$2:$E$156,2,FALSE)</f>
        <v>830067</v>
      </c>
      <c r="M3038">
        <f>VLOOKUP(Query1[[#This Row],[Description]],'kits to boards'!$B$2:$E$156,3,FALSE)</f>
        <v>0</v>
      </c>
      <c r="N3038">
        <f>VLOOKUP(Query1[[#This Row],[Description]],'kits to boards'!$B$2:$E$156,4,FALSE)</f>
        <v>0</v>
      </c>
      <c r="O3038" t="str">
        <f>CONCATENATE(Query1[[#This Row],[Description]]," - ",Query1[[#This Row],[MB1]]," - ",Query1[[#This Row],[MB2]]," - ",Query1[[#This Row],[MB3]])</f>
        <v>EVAP KIT 59-60 CHEV CAR 4-LEVER - 830067 - 0 - 0</v>
      </c>
    </row>
    <row r="3039" spans="1:15" x14ac:dyDescent="0.25">
      <c r="A3039" s="1">
        <v>917452</v>
      </c>
      <c r="B3039" s="1" t="s">
        <v>32</v>
      </c>
      <c r="C3039" s="1" t="s">
        <v>33</v>
      </c>
      <c r="D3039" s="2">
        <v>44650.481105636572</v>
      </c>
      <c r="E3039" s="1" t="s">
        <v>8</v>
      </c>
      <c r="F3039" s="1">
        <v>1</v>
      </c>
      <c r="G3039" s="1">
        <v>0</v>
      </c>
      <c r="H3039" s="6">
        <f>INT(Query1[[#This Row],[EntryDateTime]])</f>
        <v>44650</v>
      </c>
      <c r="I3039" s="1">
        <f>IF(Query1[[#This Row],[ItemType]]="EVAP KIT SF GEN IV",Query1[[#This Row],[OrderQty]]+I3038,I3038)</f>
        <v>3616</v>
      </c>
      <c r="J3039" s="1">
        <f>IF(Query1[[#This Row],[ItemType]]="EVAP KIT UNIVERSAL",Query1[[#This Row],[OrderQty]]+J3038,J3038)</f>
        <v>1378</v>
      </c>
      <c r="K3039" s="1">
        <f>Query1[[#This Row],[SF Running Total]]+Query1[[#This Row],[UNIV Running Total]]</f>
        <v>4994</v>
      </c>
      <c r="L3039">
        <f>VLOOKUP(Query1[[#This Row],[Description]],'kits to boards'!$B$2:$E$156,2,FALSE)</f>
        <v>830016</v>
      </c>
      <c r="M3039">
        <f>VLOOKUP(Query1[[#This Row],[Description]],'kits to boards'!$B$2:$E$156,3,FALSE)</f>
        <v>0</v>
      </c>
      <c r="N3039">
        <f>VLOOKUP(Query1[[#This Row],[Description]],'kits to boards'!$B$2:$E$156,4,FALSE)</f>
        <v>0</v>
      </c>
      <c r="O3039" t="str">
        <f>CONCATENATE(Query1[[#This Row],[Description]]," - ",Query1[[#This Row],[MB1]]," - ",Query1[[#This Row],[MB2]]," - ",Query1[[#This Row],[MB3]])</f>
        <v>EVAP KIT 67-68 CAMARO/FIREBIRD W/AC - 830016 - 0 - 0</v>
      </c>
    </row>
    <row r="3040" spans="1:15" x14ac:dyDescent="0.25">
      <c r="A3040" s="1">
        <v>915878</v>
      </c>
      <c r="B3040" s="1" t="s">
        <v>164</v>
      </c>
      <c r="C3040" s="1" t="s">
        <v>165</v>
      </c>
      <c r="D3040" s="2">
        <v>44650.493114432873</v>
      </c>
      <c r="E3040" s="1" t="s">
        <v>8</v>
      </c>
      <c r="F3040" s="1">
        <v>1</v>
      </c>
      <c r="G3040" s="1">
        <v>0</v>
      </c>
      <c r="H3040" s="6">
        <f>INT(Query1[[#This Row],[EntryDateTime]])</f>
        <v>44650</v>
      </c>
      <c r="I3040" s="1">
        <f>IF(Query1[[#This Row],[ItemType]]="EVAP KIT SF GEN IV",Query1[[#This Row],[OrderQty]]+I3039,I3039)</f>
        <v>3617</v>
      </c>
      <c r="J3040" s="1">
        <f>IF(Query1[[#This Row],[ItemType]]="EVAP KIT UNIVERSAL",Query1[[#This Row],[OrderQty]]+J3039,J3039)</f>
        <v>1378</v>
      </c>
      <c r="K3040" s="1">
        <f>Query1[[#This Row],[SF Running Total]]+Query1[[#This Row],[UNIV Running Total]]</f>
        <v>4995</v>
      </c>
      <c r="L3040">
        <f>VLOOKUP(Query1[[#This Row],[Description]],'kits to boards'!$B$2:$E$156,2,FALSE)</f>
        <v>830083</v>
      </c>
      <c r="M3040">
        <f>VLOOKUP(Query1[[#This Row],[Description]],'kits to boards'!$B$2:$E$156,3,FALSE)</f>
        <v>0</v>
      </c>
      <c r="N3040">
        <f>VLOOKUP(Query1[[#This Row],[Description]],'kits to boards'!$B$2:$E$156,4,FALSE)</f>
        <v>0</v>
      </c>
      <c r="O3040" t="str">
        <f>CONCATENATE(Query1[[#This Row],[Description]]," - ",Query1[[#This Row],[MB1]]," - ",Query1[[#This Row],[MB2]]," - ",Query1[[#This Row],[MB3]])</f>
        <v>EVAP KIT 70-74 CHALNGR/CUDA W/AC - 830083 - 0 - 0</v>
      </c>
    </row>
    <row r="3041" spans="1:15" x14ac:dyDescent="0.25">
      <c r="A3041" s="1">
        <v>917426</v>
      </c>
      <c r="B3041" s="1" t="s">
        <v>124</v>
      </c>
      <c r="C3041" s="1" t="s">
        <v>125</v>
      </c>
      <c r="D3041" s="2">
        <v>44650.49893425926</v>
      </c>
      <c r="E3041" s="1" t="s">
        <v>8</v>
      </c>
      <c r="F3041" s="1">
        <v>1</v>
      </c>
      <c r="G3041" s="1">
        <v>0</v>
      </c>
      <c r="H3041" s="6">
        <f>INT(Query1[[#This Row],[EntryDateTime]])</f>
        <v>44650</v>
      </c>
      <c r="I3041" s="1">
        <f>IF(Query1[[#This Row],[ItemType]]="EVAP KIT SF GEN IV",Query1[[#This Row],[OrderQty]]+I3040,I3040)</f>
        <v>3618</v>
      </c>
      <c r="J3041" s="1">
        <f>IF(Query1[[#This Row],[ItemType]]="EVAP KIT UNIVERSAL",Query1[[#This Row],[OrderQty]]+J3040,J3040)</f>
        <v>1378</v>
      </c>
      <c r="K3041" s="1">
        <f>Query1[[#This Row],[SF Running Total]]+Query1[[#This Row],[UNIV Running Total]]</f>
        <v>4996</v>
      </c>
      <c r="L3041">
        <f>VLOOKUP(Query1[[#This Row],[Description]],'kits to boards'!$B$2:$E$156,2,FALSE)</f>
        <v>830002</v>
      </c>
      <c r="M3041">
        <f>VLOOKUP(Query1[[#This Row],[Description]],'kits to boards'!$B$2:$E$156,3,FALSE)</f>
        <v>0</v>
      </c>
      <c r="N3041">
        <f>VLOOKUP(Query1[[#This Row],[Description]],'kits to boards'!$B$2:$E$156,4,FALSE)</f>
        <v>0</v>
      </c>
      <c r="O3041" t="str">
        <f>CONCATENATE(Query1[[#This Row],[Description]]," - ",Query1[[#This Row],[MB1]]," - ",Query1[[#This Row],[MB2]]," - ",Query1[[#This Row],[MB3]])</f>
        <v>EVAP KIT 73-80 CHEV P-UP WO AC - 830002 - 0 - 0</v>
      </c>
    </row>
    <row r="3042" spans="1:15" x14ac:dyDescent="0.25">
      <c r="A3042" s="1">
        <v>917465</v>
      </c>
      <c r="B3042" s="1" t="s">
        <v>24</v>
      </c>
      <c r="C3042" s="1" t="s">
        <v>25</v>
      </c>
      <c r="D3042" s="2">
        <v>44650.512943136571</v>
      </c>
      <c r="E3042" s="1" t="s">
        <v>11</v>
      </c>
      <c r="F3042" s="1">
        <v>1</v>
      </c>
      <c r="G3042" s="1">
        <v>0</v>
      </c>
      <c r="H3042" s="6">
        <f>INT(Query1[[#This Row],[EntryDateTime]])</f>
        <v>44650</v>
      </c>
      <c r="I3042" s="1">
        <f>IF(Query1[[#This Row],[ItemType]]="EVAP KIT SF GEN IV",Query1[[#This Row],[OrderQty]]+I3041,I3041)</f>
        <v>3618</v>
      </c>
      <c r="J3042" s="1">
        <f>IF(Query1[[#This Row],[ItemType]]="EVAP KIT UNIVERSAL",Query1[[#This Row],[OrderQty]]+J3041,J3041)</f>
        <v>1379</v>
      </c>
      <c r="K3042" s="1">
        <f>Query1[[#This Row],[SF Running Total]]+Query1[[#This Row],[UNIV Running Total]]</f>
        <v>4997</v>
      </c>
      <c r="L3042">
        <f>VLOOKUP(Query1[[#This Row],[Description]],'kits to boards'!$B$2:$E$156,2,FALSE)</f>
        <v>830029</v>
      </c>
      <c r="M3042">
        <f>VLOOKUP(Query1[[#This Row],[Description]],'kits to boards'!$B$2:$E$156,3,FALSE)</f>
        <v>830030</v>
      </c>
      <c r="N3042">
        <f>VLOOKUP(Query1[[#This Row],[Description]],'kits to boards'!$B$2:$E$156,4,FALSE)</f>
        <v>0</v>
      </c>
      <c r="O3042" t="str">
        <f>CONCATENATE(Query1[[#This Row],[Description]]," - ",Query1[[#This Row],[MB1]]," - ",Query1[[#This Row],[MB2]]," - ",Query1[[#This Row],[MB3]])</f>
        <v>ComPac GEN II W/DEF - 830029 - 830030 - 0</v>
      </c>
    </row>
    <row r="3043" spans="1:15" x14ac:dyDescent="0.25">
      <c r="A3043" s="1">
        <v>917468</v>
      </c>
      <c r="B3043" s="1" t="s">
        <v>46</v>
      </c>
      <c r="C3043" s="1" t="s">
        <v>47</v>
      </c>
      <c r="D3043" s="2">
        <v>44650.519469178238</v>
      </c>
      <c r="E3043" s="1" t="s">
        <v>8</v>
      </c>
      <c r="F3043" s="1">
        <v>1</v>
      </c>
      <c r="G3043" s="1">
        <v>0</v>
      </c>
      <c r="H3043" s="6">
        <f>INT(Query1[[#This Row],[EntryDateTime]])</f>
        <v>44650</v>
      </c>
      <c r="I3043" s="1">
        <f>IF(Query1[[#This Row],[ItemType]]="EVAP KIT SF GEN IV",Query1[[#This Row],[OrderQty]]+I3042,I3042)</f>
        <v>3619</v>
      </c>
      <c r="J3043" s="1">
        <f>IF(Query1[[#This Row],[ItemType]]="EVAP KIT UNIVERSAL",Query1[[#This Row],[OrderQty]]+J3042,J3042)</f>
        <v>1379</v>
      </c>
      <c r="K3043" s="1">
        <f>Query1[[#This Row],[SF Running Total]]+Query1[[#This Row],[UNIV Running Total]]</f>
        <v>4998</v>
      </c>
      <c r="L3043">
        <f>VLOOKUP(Query1[[#This Row],[Description]],'kits to boards'!$B$2:$E$156,2,FALSE)</f>
        <v>830018</v>
      </c>
      <c r="M3043">
        <f>VLOOKUP(Query1[[#This Row],[Description]],'kits to boards'!$B$2:$E$156,3,FALSE)</f>
        <v>0</v>
      </c>
      <c r="N3043">
        <f>VLOOKUP(Query1[[#This Row],[Description]],'kits to boards'!$B$2:$E$156,4,FALSE)</f>
        <v>0</v>
      </c>
      <c r="O3043" t="str">
        <f>CONCATENATE(Query1[[#This Row],[Description]]," - ",Query1[[#This Row],[MB1]]," - ",Query1[[#This Row],[MB2]]," - ",Query1[[#This Row],[MB3]])</f>
        <v>EVAP KIT 68-72 FORD P-UP F-100 - 830018 - 0 - 0</v>
      </c>
    </row>
    <row r="3044" spans="1:15" x14ac:dyDescent="0.25">
      <c r="A3044" s="1">
        <v>915548</v>
      </c>
      <c r="B3044" s="1" t="s">
        <v>154</v>
      </c>
      <c r="C3044" s="1" t="s">
        <v>155</v>
      </c>
      <c r="D3044" s="2">
        <v>44650.527178935183</v>
      </c>
      <c r="E3044" s="1" t="s">
        <v>8</v>
      </c>
      <c r="F3044" s="1">
        <v>1</v>
      </c>
      <c r="G3044" s="1">
        <v>0</v>
      </c>
      <c r="H3044" s="6">
        <f>INT(Query1[[#This Row],[EntryDateTime]])</f>
        <v>44650</v>
      </c>
      <c r="I3044" s="1">
        <f>IF(Query1[[#This Row],[ItemType]]="EVAP KIT SF GEN IV",Query1[[#This Row],[OrderQty]]+I3043,I3043)</f>
        <v>3620</v>
      </c>
      <c r="J3044" s="1">
        <f>IF(Query1[[#This Row],[ItemType]]="EVAP KIT UNIVERSAL",Query1[[#This Row],[OrderQty]]+J3043,J3043)</f>
        <v>1379</v>
      </c>
      <c r="K3044" s="1">
        <f>Query1[[#This Row],[SF Running Total]]+Query1[[#This Row],[UNIV Running Total]]</f>
        <v>4999</v>
      </c>
      <c r="L3044">
        <f>VLOOKUP(Query1[[#This Row],[Description]],'kits to boards'!$B$2:$E$156,2,FALSE)</f>
        <v>830124</v>
      </c>
      <c r="M3044">
        <f>VLOOKUP(Query1[[#This Row],[Description]],'kits to boards'!$B$2:$E$156,3,FALSE)</f>
        <v>0</v>
      </c>
      <c r="N3044">
        <f>VLOOKUP(Query1[[#This Row],[Description]],'kits to boards'!$B$2:$E$156,4,FALSE)</f>
        <v>0</v>
      </c>
      <c r="O3044" t="str">
        <f>CONCATENATE(Query1[[#This Row],[Description]]," - ",Query1[[#This Row],[MB1]]," - ",Query1[[#This Row],[MB2]]," - ",Query1[[#This Row],[MB3]])</f>
        <v>EVAP KIT 69 GTO W/AC - 830124 - 0 - 0</v>
      </c>
    </row>
    <row r="3045" spans="1:15" x14ac:dyDescent="0.25">
      <c r="A3045" s="1">
        <v>917455</v>
      </c>
      <c r="B3045" s="1" t="s">
        <v>26</v>
      </c>
      <c r="C3045" s="1" t="s">
        <v>27</v>
      </c>
      <c r="D3045" s="2">
        <v>44650.536728506944</v>
      </c>
      <c r="E3045" s="1" t="s">
        <v>8</v>
      </c>
      <c r="F3045" s="1">
        <v>3</v>
      </c>
      <c r="G3045" s="1">
        <v>0</v>
      </c>
      <c r="H3045" s="6">
        <f>INT(Query1[[#This Row],[EntryDateTime]])</f>
        <v>44650</v>
      </c>
      <c r="I3045" s="1">
        <f>IF(Query1[[#This Row],[ItemType]]="EVAP KIT SF GEN IV",Query1[[#This Row],[OrderQty]]+I3044,I3044)</f>
        <v>3623</v>
      </c>
      <c r="J3045" s="1">
        <f>IF(Query1[[#This Row],[ItemType]]="EVAP KIT UNIVERSAL",Query1[[#This Row],[OrderQty]]+J3044,J3044)</f>
        <v>1379</v>
      </c>
      <c r="K3045" s="1">
        <f>Query1[[#This Row],[SF Running Total]]+Query1[[#This Row],[UNIV Running Total]]</f>
        <v>5002</v>
      </c>
      <c r="L3045">
        <f>VLOOKUP(Query1[[#This Row],[Description]],'kits to boards'!$B$2:$E$156,2,FALSE)</f>
        <v>830013</v>
      </c>
      <c r="M3045">
        <f>VLOOKUP(Query1[[#This Row],[Description]],'kits to boards'!$B$2:$E$156,3,FALSE)</f>
        <v>0</v>
      </c>
      <c r="N3045">
        <f>VLOOKUP(Query1[[#This Row],[Description]],'kits to boards'!$B$2:$E$156,4,FALSE)</f>
        <v>0</v>
      </c>
      <c r="O3045" t="str">
        <f>CONCATENATE(Query1[[#This Row],[Description]]," - ",Query1[[#This Row],[MB1]]," - ",Query1[[#This Row],[MB2]]," - ",Query1[[#This Row],[MB3]])</f>
        <v>EVAP KIT 67-72 CHEV P-UP W/AC - 830013 - 0 - 0</v>
      </c>
    </row>
    <row r="3046" spans="1:15" x14ac:dyDescent="0.25">
      <c r="A3046" s="1">
        <v>917455</v>
      </c>
      <c r="B3046" s="1" t="s">
        <v>96</v>
      </c>
      <c r="C3046" s="1" t="s">
        <v>97</v>
      </c>
      <c r="D3046" s="2">
        <v>44650.537316631948</v>
      </c>
      <c r="E3046" s="1" t="s">
        <v>8</v>
      </c>
      <c r="F3046" s="1">
        <v>2</v>
      </c>
      <c r="G3046" s="1">
        <v>0</v>
      </c>
      <c r="H3046" s="6">
        <f>INT(Query1[[#This Row],[EntryDateTime]])</f>
        <v>44650</v>
      </c>
      <c r="I3046" s="1">
        <f>IF(Query1[[#This Row],[ItemType]]="EVAP KIT SF GEN IV",Query1[[#This Row],[OrderQty]]+I3045,I3045)</f>
        <v>3625</v>
      </c>
      <c r="J3046" s="1">
        <f>IF(Query1[[#This Row],[ItemType]]="EVAP KIT UNIVERSAL",Query1[[#This Row],[OrderQty]]+J3045,J3045)</f>
        <v>1379</v>
      </c>
      <c r="K3046" s="1">
        <f>Query1[[#This Row],[SF Running Total]]+Query1[[#This Row],[UNIV Running Total]]</f>
        <v>5004</v>
      </c>
      <c r="L3046">
        <f>VLOOKUP(Query1[[#This Row],[Description]],'kits to boards'!$B$2:$E$156,2,FALSE)</f>
        <v>830004</v>
      </c>
      <c r="M3046">
        <f>VLOOKUP(Query1[[#This Row],[Description]],'kits to boards'!$B$2:$E$156,3,FALSE)</f>
        <v>0</v>
      </c>
      <c r="N3046">
        <f>VLOOKUP(Query1[[#This Row],[Description]],'kits to boards'!$B$2:$E$156,4,FALSE)</f>
        <v>0</v>
      </c>
      <c r="O3046" t="str">
        <f>CONCATENATE(Query1[[#This Row],[Description]]," - ",Query1[[#This Row],[MB1]]," - ",Query1[[#This Row],[MB2]]," - ",Query1[[#This Row],[MB3]])</f>
        <v>EVAP KIT 81-87 CHEV P-UP W/AC - 830004 - 0 - 0</v>
      </c>
    </row>
    <row r="3047" spans="1:15" x14ac:dyDescent="0.25">
      <c r="A3047" s="1">
        <v>917455</v>
      </c>
      <c r="B3047" s="1" t="s">
        <v>28</v>
      </c>
      <c r="C3047" s="1" t="s">
        <v>29</v>
      </c>
      <c r="D3047" s="2">
        <v>44650.537711655095</v>
      </c>
      <c r="E3047" s="1" t="s">
        <v>8</v>
      </c>
      <c r="F3047" s="1">
        <v>1</v>
      </c>
      <c r="G3047" s="1">
        <v>0</v>
      </c>
      <c r="H3047" s="6">
        <f>INT(Query1[[#This Row],[EntryDateTime]])</f>
        <v>44650</v>
      </c>
      <c r="I3047" s="1">
        <f>IF(Query1[[#This Row],[ItemType]]="EVAP KIT SF GEN IV",Query1[[#This Row],[OrderQty]]+I3046,I3046)</f>
        <v>3626</v>
      </c>
      <c r="J3047" s="1">
        <f>IF(Query1[[#This Row],[ItemType]]="EVAP KIT UNIVERSAL",Query1[[#This Row],[OrderQty]]+J3046,J3046)</f>
        <v>1379</v>
      </c>
      <c r="K3047" s="1">
        <f>Query1[[#This Row],[SF Running Total]]+Query1[[#This Row],[UNIV Running Total]]</f>
        <v>5005</v>
      </c>
      <c r="L3047">
        <f>VLOOKUP(Query1[[#This Row],[Description]],'kits to boards'!$B$2:$E$156,2,FALSE)</f>
        <v>830001</v>
      </c>
      <c r="M3047">
        <f>VLOOKUP(Query1[[#This Row],[Description]],'kits to boards'!$B$2:$E$156,3,FALSE)</f>
        <v>0</v>
      </c>
      <c r="N3047">
        <f>VLOOKUP(Query1[[#This Row],[Description]],'kits to boards'!$B$2:$E$156,4,FALSE)</f>
        <v>0</v>
      </c>
      <c r="O3047" t="str">
        <f>CONCATENATE(Query1[[#This Row],[Description]]," - ",Query1[[#This Row],[MB1]]," - ",Query1[[#This Row],[MB2]]," - ",Query1[[#This Row],[MB3]])</f>
        <v>EVAP KIT 73-80 CHEV P-UP W/AC - 830001 - 0 - 0</v>
      </c>
    </row>
    <row r="3048" spans="1:15" x14ac:dyDescent="0.25">
      <c r="A3048" s="1">
        <v>917455</v>
      </c>
      <c r="B3048" s="1" t="s">
        <v>48</v>
      </c>
      <c r="C3048" s="1" t="s">
        <v>49</v>
      </c>
      <c r="D3048" s="2">
        <v>44650.538115011572</v>
      </c>
      <c r="E3048" s="1" t="s">
        <v>8</v>
      </c>
      <c r="F3048" s="1">
        <v>1</v>
      </c>
      <c r="G3048" s="1">
        <v>0</v>
      </c>
      <c r="H3048" s="6">
        <f>INT(Query1[[#This Row],[EntryDateTime]])</f>
        <v>44650</v>
      </c>
      <c r="I3048" s="1">
        <f>IF(Query1[[#This Row],[ItemType]]="EVAP KIT SF GEN IV",Query1[[#This Row],[OrderQty]]+I3047,I3047)</f>
        <v>3627</v>
      </c>
      <c r="J3048" s="1">
        <f>IF(Query1[[#This Row],[ItemType]]="EVAP KIT UNIVERSAL",Query1[[#This Row],[OrderQty]]+J3047,J3047)</f>
        <v>1379</v>
      </c>
      <c r="K3048" s="1">
        <f>Query1[[#This Row],[SF Running Total]]+Query1[[#This Row],[UNIV Running Total]]</f>
        <v>5006</v>
      </c>
      <c r="L3048">
        <f>VLOOKUP(Query1[[#This Row],[Description]],'kits to boards'!$B$2:$E$156,2,FALSE)</f>
        <v>830015</v>
      </c>
      <c r="M3048">
        <f>VLOOKUP(Query1[[#This Row],[Description]],'kits to boards'!$B$2:$E$156,3,FALSE)</f>
        <v>0</v>
      </c>
      <c r="N3048">
        <f>VLOOKUP(Query1[[#This Row],[Description]],'kits to boards'!$B$2:$E$156,4,FALSE)</f>
        <v>0</v>
      </c>
      <c r="O3048" t="str">
        <f>CONCATENATE(Query1[[#This Row],[Description]]," - ",Query1[[#This Row],[MB1]]," - ",Query1[[#This Row],[MB2]]," - ",Query1[[#This Row],[MB3]])</f>
        <v>EVAP KIT 64-66 CHEV P-UP WO AC W/DELX - 830015 - 0 - 0</v>
      </c>
    </row>
    <row r="3049" spans="1:15" x14ac:dyDescent="0.25">
      <c r="A3049" s="1">
        <v>917481</v>
      </c>
      <c r="B3049" s="1" t="s">
        <v>54</v>
      </c>
      <c r="C3049" s="1" t="s">
        <v>55</v>
      </c>
      <c r="D3049" s="2">
        <v>44650.541100578703</v>
      </c>
      <c r="E3049" s="1" t="s">
        <v>8</v>
      </c>
      <c r="F3049" s="1">
        <v>1</v>
      </c>
      <c r="G3049" s="1">
        <v>0</v>
      </c>
      <c r="H3049" s="6">
        <f>INT(Query1[[#This Row],[EntryDateTime]])</f>
        <v>44650</v>
      </c>
      <c r="I3049" s="1">
        <f>IF(Query1[[#This Row],[ItemType]]="EVAP KIT SF GEN IV",Query1[[#This Row],[OrderQty]]+I3048,I3048)</f>
        <v>3628</v>
      </c>
      <c r="J3049" s="1">
        <f>IF(Query1[[#This Row],[ItemType]]="EVAP KIT UNIVERSAL",Query1[[#This Row],[OrderQty]]+J3048,J3048)</f>
        <v>1379</v>
      </c>
      <c r="K3049" s="1">
        <f>Query1[[#This Row],[SF Running Total]]+Query1[[#This Row],[UNIV Running Total]]</f>
        <v>5007</v>
      </c>
      <c r="L3049">
        <f>VLOOKUP(Query1[[#This Row],[Description]],'kits to boards'!$B$2:$E$156,2,FALSE)</f>
        <v>830037</v>
      </c>
      <c r="M3049">
        <f>VLOOKUP(Query1[[#This Row],[Description]],'kits to boards'!$B$2:$E$156,3,FALSE)</f>
        <v>0</v>
      </c>
      <c r="N3049">
        <f>VLOOKUP(Query1[[#This Row],[Description]],'kits to boards'!$B$2:$E$156,4,FALSE)</f>
        <v>0</v>
      </c>
      <c r="O3049" t="str">
        <f>CONCATENATE(Query1[[#This Row],[Description]]," - ",Query1[[#This Row],[MB1]]," - ",Query1[[#This Row],[MB2]]," - ",Query1[[#This Row],[MB3]])</f>
        <v>EVAP KIT 70-81 FIREBIRD W/AC - 830037 - 0 - 0</v>
      </c>
    </row>
    <row r="3050" spans="1:15" x14ac:dyDescent="0.25">
      <c r="A3050" s="1">
        <v>917473</v>
      </c>
      <c r="B3050" s="1" t="s">
        <v>56</v>
      </c>
      <c r="C3050" s="1" t="s">
        <v>57</v>
      </c>
      <c r="D3050" s="2">
        <v>44650.543740706016</v>
      </c>
      <c r="E3050" s="1" t="s">
        <v>8</v>
      </c>
      <c r="F3050" s="1">
        <v>1</v>
      </c>
      <c r="G3050" s="1">
        <v>0</v>
      </c>
      <c r="H3050" s="6">
        <f>INT(Query1[[#This Row],[EntryDateTime]])</f>
        <v>44650</v>
      </c>
      <c r="I3050" s="1">
        <f>IF(Query1[[#This Row],[ItemType]]="EVAP KIT SF GEN IV",Query1[[#This Row],[OrderQty]]+I3049,I3049)</f>
        <v>3629</v>
      </c>
      <c r="J3050" s="1">
        <f>IF(Query1[[#This Row],[ItemType]]="EVAP KIT UNIVERSAL",Query1[[#This Row],[OrderQty]]+J3049,J3049)</f>
        <v>1379</v>
      </c>
      <c r="K3050" s="1">
        <f>Query1[[#This Row],[SF Running Total]]+Query1[[#This Row],[UNIV Running Total]]</f>
        <v>5008</v>
      </c>
      <c r="L3050">
        <f>VLOOKUP(Query1[[#This Row],[Description]],'kits to boards'!$B$2:$E$156,2,FALSE)</f>
        <v>830011</v>
      </c>
      <c r="M3050">
        <f>VLOOKUP(Query1[[#This Row],[Description]],'kits to boards'!$B$2:$E$156,3,FALSE)</f>
        <v>0</v>
      </c>
      <c r="N3050">
        <f>VLOOKUP(Query1[[#This Row],[Description]],'kits to boards'!$B$2:$E$156,4,FALSE)</f>
        <v>0</v>
      </c>
      <c r="O3050" t="str">
        <f>CONCATENATE(Query1[[#This Row],[Description]]," - ",Query1[[#This Row],[MB1]]," - ",Query1[[#This Row],[MB2]]," - ",Query1[[#This Row],[MB3]])</f>
        <v>EVAP KIT 70-72 CHEVELLE W/AC - 830011 - 0 - 0</v>
      </c>
    </row>
    <row r="3051" spans="1:15" x14ac:dyDescent="0.25">
      <c r="A3051" s="1">
        <v>917473</v>
      </c>
      <c r="B3051" s="1" t="s">
        <v>114</v>
      </c>
      <c r="C3051" s="1" t="s">
        <v>115</v>
      </c>
      <c r="D3051" s="2">
        <v>44650.543740706016</v>
      </c>
      <c r="E3051" s="1" t="s">
        <v>8</v>
      </c>
      <c r="F3051" s="1">
        <v>1</v>
      </c>
      <c r="G3051" s="1">
        <v>0</v>
      </c>
      <c r="H3051" s="6">
        <f>INT(Query1[[#This Row],[EntryDateTime]])</f>
        <v>44650</v>
      </c>
      <c r="I3051" s="1">
        <f>IF(Query1[[#This Row],[ItemType]]="EVAP KIT SF GEN IV",Query1[[#This Row],[OrderQty]]+I3050,I3050)</f>
        <v>3630</v>
      </c>
      <c r="J3051" s="1">
        <f>IF(Query1[[#This Row],[ItemType]]="EVAP KIT UNIVERSAL",Query1[[#This Row],[OrderQty]]+J3050,J3050)</f>
        <v>1379</v>
      </c>
      <c r="K3051" s="1">
        <f>Query1[[#This Row],[SF Running Total]]+Query1[[#This Row],[UNIV Running Total]]</f>
        <v>5009</v>
      </c>
      <c r="L3051">
        <f>VLOOKUP(Query1[[#This Row],[Description]],'kits to boards'!$B$2:$E$156,2,FALSE)</f>
        <v>830059</v>
      </c>
      <c r="M3051">
        <f>VLOOKUP(Query1[[#This Row],[Description]],'kits to boards'!$B$2:$E$156,3,FALSE)</f>
        <v>0</v>
      </c>
      <c r="N3051">
        <f>VLOOKUP(Query1[[#This Row],[Description]],'kits to boards'!$B$2:$E$156,4,FALSE)</f>
        <v>0</v>
      </c>
      <c r="O3051" t="str">
        <f>CONCATENATE(Query1[[#This Row],[Description]]," - ",Query1[[#This Row],[MB1]]," - ",Query1[[#This Row],[MB2]]," - ",Query1[[#This Row],[MB3]])</f>
        <v>EVAP KIT 66-67 CHEVELLE W/AC - 830059 - 0 - 0</v>
      </c>
    </row>
    <row r="3052" spans="1:15" x14ac:dyDescent="0.25">
      <c r="A3052" s="1">
        <v>917484</v>
      </c>
      <c r="B3052" s="1" t="s">
        <v>34</v>
      </c>
      <c r="C3052" s="1" t="s">
        <v>35</v>
      </c>
      <c r="D3052" s="2">
        <v>44650.549423530094</v>
      </c>
      <c r="E3052" s="1" t="s">
        <v>8</v>
      </c>
      <c r="F3052" s="1">
        <v>1</v>
      </c>
      <c r="G3052" s="1">
        <v>0</v>
      </c>
      <c r="H3052" s="6">
        <f>INT(Query1[[#This Row],[EntryDateTime]])</f>
        <v>44650</v>
      </c>
      <c r="I3052" s="1">
        <f>IF(Query1[[#This Row],[ItemType]]="EVAP KIT SF GEN IV",Query1[[#This Row],[OrderQty]]+I3051,I3051)</f>
        <v>3631</v>
      </c>
      <c r="J3052" s="1">
        <f>IF(Query1[[#This Row],[ItemType]]="EVAP KIT UNIVERSAL",Query1[[#This Row],[OrderQty]]+J3051,J3051)</f>
        <v>1379</v>
      </c>
      <c r="K3052" s="1">
        <f>Query1[[#This Row],[SF Running Total]]+Query1[[#This Row],[UNIV Running Total]]</f>
        <v>5010</v>
      </c>
      <c r="L3052">
        <f>VLOOKUP(Query1[[#This Row],[Description]],'kits to boards'!$B$2:$E$156,2,FALSE)</f>
        <v>830065</v>
      </c>
      <c r="M3052">
        <f>VLOOKUP(Query1[[#This Row],[Description]],'kits to boards'!$B$2:$E$156,3,FALSE)</f>
        <v>0</v>
      </c>
      <c r="N3052">
        <f>VLOOKUP(Query1[[#This Row],[Description]],'kits to boards'!$B$2:$E$156,4,FALSE)</f>
        <v>0</v>
      </c>
      <c r="O3052" t="str">
        <f>CONCATENATE(Query1[[#This Row],[Description]]," - ",Query1[[#This Row],[MB1]]," - ",Query1[[#This Row],[MB2]]," - ",Query1[[#This Row],[MB3]])</f>
        <v>EVAP KIT 57 CHEV WO AC - 830065 - 0 - 0</v>
      </c>
    </row>
    <row r="3053" spans="1:15" x14ac:dyDescent="0.25">
      <c r="A3053" s="1">
        <v>917491</v>
      </c>
      <c r="B3053" s="1" t="s">
        <v>98</v>
      </c>
      <c r="C3053" s="1" t="s">
        <v>99</v>
      </c>
      <c r="D3053" s="2">
        <v>44650.558501886575</v>
      </c>
      <c r="E3053" s="1" t="s">
        <v>11</v>
      </c>
      <c r="F3053" s="1">
        <v>1</v>
      </c>
      <c r="G3053" s="1">
        <v>0</v>
      </c>
      <c r="H3053" s="6">
        <f>INT(Query1[[#This Row],[EntryDateTime]])</f>
        <v>44650</v>
      </c>
      <c r="I3053" s="1">
        <f>IF(Query1[[#This Row],[ItemType]]="EVAP KIT SF GEN IV",Query1[[#This Row],[OrderQty]]+I3052,I3052)</f>
        <v>3631</v>
      </c>
      <c r="J3053" s="1">
        <f>IF(Query1[[#This Row],[ItemType]]="EVAP KIT UNIVERSAL",Query1[[#This Row],[OrderQty]]+J3052,J3052)</f>
        <v>1380</v>
      </c>
      <c r="K3053" s="1">
        <f>Query1[[#This Row],[SF Running Total]]+Query1[[#This Row],[UNIV Running Total]]</f>
        <v>5011</v>
      </c>
      <c r="L3053">
        <f>VLOOKUP(Query1[[#This Row],[Description]],'kits to boards'!$B$2:$E$156,2,FALSE)</f>
        <v>830099</v>
      </c>
      <c r="M3053">
        <f>VLOOKUP(Query1[[#This Row],[Description]],'kits to boards'!$B$2:$E$156,3,FALSE)</f>
        <v>0</v>
      </c>
      <c r="N3053">
        <f>VLOOKUP(Query1[[#This Row],[Description]],'kits to boards'!$B$2:$E$156,4,FALSE)</f>
        <v>0</v>
      </c>
      <c r="O3053" t="str">
        <f>CONCATENATE(Query1[[#This Row],[Description]]," - ",Query1[[#This Row],[MB1]]," - ",Query1[[#This Row],[MB2]]," - ",Query1[[#This Row],[MB3]])</f>
        <v>MINI GEN II W/DEF - 830099 - 0 - 0</v>
      </c>
    </row>
    <row r="3054" spans="1:15" x14ac:dyDescent="0.25">
      <c r="A3054" s="1">
        <v>917480</v>
      </c>
      <c r="B3054" s="1" t="s">
        <v>160</v>
      </c>
      <c r="C3054" s="1" t="s">
        <v>161</v>
      </c>
      <c r="D3054" s="2">
        <v>44650.559014039354</v>
      </c>
      <c r="E3054" s="1" t="s">
        <v>8</v>
      </c>
      <c r="F3054" s="1">
        <v>1</v>
      </c>
      <c r="G3054" s="1">
        <v>0</v>
      </c>
      <c r="H3054" s="6">
        <f>INT(Query1[[#This Row],[EntryDateTime]])</f>
        <v>44650</v>
      </c>
      <c r="I3054" s="1">
        <f>IF(Query1[[#This Row],[ItemType]]="EVAP KIT SF GEN IV",Query1[[#This Row],[OrderQty]]+I3053,I3053)</f>
        <v>3632</v>
      </c>
      <c r="J3054" s="1">
        <f>IF(Query1[[#This Row],[ItemType]]="EVAP KIT UNIVERSAL",Query1[[#This Row],[OrderQty]]+J3053,J3053)</f>
        <v>1380</v>
      </c>
      <c r="K3054" s="1">
        <f>Query1[[#This Row],[SF Running Total]]+Query1[[#This Row],[UNIV Running Total]]</f>
        <v>5012</v>
      </c>
      <c r="L3054">
        <f>VLOOKUP(Query1[[#This Row],[Description]],'kits to boards'!$B$2:$E$156,2,FALSE)</f>
        <v>830083</v>
      </c>
      <c r="M3054">
        <f>VLOOKUP(Query1[[#This Row],[Description]],'kits to boards'!$B$2:$E$156,3,FALSE)</f>
        <v>0</v>
      </c>
      <c r="N3054">
        <f>VLOOKUP(Query1[[#This Row],[Description]],'kits to boards'!$B$2:$E$156,4,FALSE)</f>
        <v>0</v>
      </c>
      <c r="O3054" t="str">
        <f>CONCATENATE(Query1[[#This Row],[Description]]," - ",Query1[[#This Row],[MB1]]," - ",Query1[[#This Row],[MB2]]," - ",Query1[[#This Row],[MB3]])</f>
        <v>EVAP KIT 70-74 CHALNGR/CUDA WO AC - 830083 - 0 - 0</v>
      </c>
    </row>
    <row r="3055" spans="1:15" x14ac:dyDescent="0.25">
      <c r="A3055" s="1">
        <v>916621</v>
      </c>
      <c r="B3055" s="1" t="s">
        <v>66</v>
      </c>
      <c r="C3055" s="1" t="s">
        <v>67</v>
      </c>
      <c r="D3055" s="2">
        <v>44650.56780355324</v>
      </c>
      <c r="E3055" s="1" t="s">
        <v>8</v>
      </c>
      <c r="F3055" s="1">
        <v>1</v>
      </c>
      <c r="G3055" s="1">
        <v>0</v>
      </c>
      <c r="H3055" s="6">
        <f>INT(Query1[[#This Row],[EntryDateTime]])</f>
        <v>44650</v>
      </c>
      <c r="I3055" s="1">
        <f>IF(Query1[[#This Row],[ItemType]]="EVAP KIT SF GEN IV",Query1[[#This Row],[OrderQty]]+I3054,I3054)</f>
        <v>3633</v>
      </c>
      <c r="J3055" s="1">
        <f>IF(Query1[[#This Row],[ItemType]]="EVAP KIT UNIVERSAL",Query1[[#This Row],[OrderQty]]+J3054,J3054)</f>
        <v>1380</v>
      </c>
      <c r="K3055" s="1">
        <f>Query1[[#This Row],[SF Running Total]]+Query1[[#This Row],[UNIV Running Total]]</f>
        <v>5013</v>
      </c>
      <c r="L3055">
        <f>VLOOKUP(Query1[[#This Row],[Description]],'kits to boards'!$B$2:$E$156,2,FALSE)</f>
        <v>830060</v>
      </c>
      <c r="M3055">
        <f>VLOOKUP(Query1[[#This Row],[Description]],'kits to boards'!$B$2:$E$156,3,FALSE)</f>
        <v>0</v>
      </c>
      <c r="N3055">
        <f>VLOOKUP(Query1[[#This Row],[Description]],'kits to boards'!$B$2:$E$156,4,FALSE)</f>
        <v>0</v>
      </c>
      <c r="O3055" t="str">
        <f>CONCATENATE(Query1[[#This Row],[Description]]," - ",Query1[[#This Row],[MB1]]," - ",Query1[[#This Row],[MB2]]," - ",Query1[[#This Row],[MB3]])</f>
        <v>EVAP KIT 66-67 CHEVELLE WO AC - 830060 - 0 - 0</v>
      </c>
    </row>
    <row r="3056" spans="1:15" x14ac:dyDescent="0.25">
      <c r="A3056" s="1">
        <v>917496</v>
      </c>
      <c r="B3056" s="1" t="s">
        <v>52</v>
      </c>
      <c r="C3056" s="1" t="s">
        <v>53</v>
      </c>
      <c r="D3056" s="2">
        <v>44650.570336655095</v>
      </c>
      <c r="E3056" s="1" t="s">
        <v>8</v>
      </c>
      <c r="F3056" s="1">
        <v>1</v>
      </c>
      <c r="G3056" s="1">
        <v>0</v>
      </c>
      <c r="H3056" s="6">
        <f>INT(Query1[[#This Row],[EntryDateTime]])</f>
        <v>44650</v>
      </c>
      <c r="I3056" s="1">
        <f>IF(Query1[[#This Row],[ItemType]]="EVAP KIT SF GEN IV",Query1[[#This Row],[OrderQty]]+I3055,I3055)</f>
        <v>3634</v>
      </c>
      <c r="J3056" s="1">
        <f>IF(Query1[[#This Row],[ItemType]]="EVAP KIT UNIVERSAL",Query1[[#This Row],[OrderQty]]+J3055,J3055)</f>
        <v>1380</v>
      </c>
      <c r="K3056" s="1">
        <f>Query1[[#This Row],[SF Running Total]]+Query1[[#This Row],[UNIV Running Total]]</f>
        <v>5014</v>
      </c>
      <c r="L3056">
        <f>VLOOKUP(Query1[[#This Row],[Description]],'kits to boards'!$B$2:$E$156,2,FALSE)</f>
        <v>830017</v>
      </c>
      <c r="M3056">
        <f>VLOOKUP(Query1[[#This Row],[Description]],'kits to boards'!$B$2:$E$156,3,FALSE)</f>
        <v>830119</v>
      </c>
      <c r="N3056">
        <f>VLOOKUP(Query1[[#This Row],[Description]],'kits to boards'!$B$2:$E$156,4,FALSE)</f>
        <v>830120</v>
      </c>
      <c r="O3056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057" spans="1:15" x14ac:dyDescent="0.25">
      <c r="A3057" s="1">
        <v>917497</v>
      </c>
      <c r="B3057" s="1" t="s">
        <v>186</v>
      </c>
      <c r="C3057" s="1" t="s">
        <v>187</v>
      </c>
      <c r="D3057" s="2">
        <v>44650.572096215277</v>
      </c>
      <c r="E3057" s="1" t="s">
        <v>8</v>
      </c>
      <c r="F3057" s="1">
        <v>1</v>
      </c>
      <c r="G3057" s="1">
        <v>0</v>
      </c>
      <c r="H3057" s="6">
        <f>INT(Query1[[#This Row],[EntryDateTime]])</f>
        <v>44650</v>
      </c>
      <c r="I3057" s="1">
        <f>IF(Query1[[#This Row],[ItemType]]="EVAP KIT SF GEN IV",Query1[[#This Row],[OrderQty]]+I3056,I3056)</f>
        <v>3635</v>
      </c>
      <c r="J3057" s="1">
        <f>IF(Query1[[#This Row],[ItemType]]="EVAP KIT UNIVERSAL",Query1[[#This Row],[OrderQty]]+J3056,J3056)</f>
        <v>1380</v>
      </c>
      <c r="K3057" s="1">
        <f>Query1[[#This Row],[SF Running Total]]+Query1[[#This Row],[UNIV Running Total]]</f>
        <v>5015</v>
      </c>
      <c r="L3057">
        <f>VLOOKUP(Query1[[#This Row],[Description]],'kits to boards'!$B$2:$E$156,2,FALSE)</f>
        <v>830125</v>
      </c>
      <c r="M3057">
        <f>VLOOKUP(Query1[[#This Row],[Description]],'kits to boards'!$B$2:$E$156,3,FALSE)</f>
        <v>830126</v>
      </c>
      <c r="N3057">
        <f>VLOOKUP(Query1[[#This Row],[Description]],'kits to boards'!$B$2:$E$156,4,FALSE)</f>
        <v>0</v>
      </c>
      <c r="O3057" t="str">
        <f>CONCATENATE(Query1[[#This Row],[Description]]," - ",Query1[[#This Row],[MB1]]," - ",Query1[[#This Row],[MB2]]," - ",Query1[[#This Row],[MB3]])</f>
        <v>EVAP KIT 65-66 IMPALA WO/AC - 830125 - 830126 - 0</v>
      </c>
    </row>
    <row r="3058" spans="1:15" x14ac:dyDescent="0.25">
      <c r="A3058" s="1">
        <v>917504</v>
      </c>
      <c r="B3058" s="1" t="s">
        <v>102</v>
      </c>
      <c r="C3058" s="1" t="s">
        <v>103</v>
      </c>
      <c r="D3058" s="2">
        <v>44650.581662233795</v>
      </c>
      <c r="E3058" s="1" t="s">
        <v>8</v>
      </c>
      <c r="F3058" s="1">
        <v>1</v>
      </c>
      <c r="G3058" s="1">
        <v>0</v>
      </c>
      <c r="H3058" s="6">
        <f>INT(Query1[[#This Row],[EntryDateTime]])</f>
        <v>44650</v>
      </c>
      <c r="I3058" s="1">
        <f>IF(Query1[[#This Row],[ItemType]]="EVAP KIT SF GEN IV",Query1[[#This Row],[OrderQty]]+I3057,I3057)</f>
        <v>3636</v>
      </c>
      <c r="J3058" s="1">
        <f>IF(Query1[[#This Row],[ItemType]]="EVAP KIT UNIVERSAL",Query1[[#This Row],[OrderQty]]+J3057,J3057)</f>
        <v>1380</v>
      </c>
      <c r="K3058" s="1">
        <f>Query1[[#This Row],[SF Running Total]]+Query1[[#This Row],[UNIV Running Total]]</f>
        <v>5016</v>
      </c>
      <c r="L3058">
        <f>VLOOKUP(Query1[[#This Row],[Description]],'kits to boards'!$B$2:$E$156,2,FALSE)</f>
        <v>830012</v>
      </c>
      <c r="M3058">
        <f>VLOOKUP(Query1[[#This Row],[Description]],'kits to boards'!$B$2:$E$156,3,FALSE)</f>
        <v>0</v>
      </c>
      <c r="N3058">
        <f>VLOOKUP(Query1[[#This Row],[Description]],'kits to boards'!$B$2:$E$156,4,FALSE)</f>
        <v>0</v>
      </c>
      <c r="O3058" t="str">
        <f>CONCATENATE(Query1[[#This Row],[Description]]," - ",Query1[[#This Row],[MB1]]," - ",Query1[[#This Row],[MB2]]," - ",Query1[[#This Row],[MB3]])</f>
        <v>EVAP KIT 69 CAMARO WO/AC - 830012 - 0 - 0</v>
      </c>
    </row>
    <row r="3059" spans="1:15" x14ac:dyDescent="0.25">
      <c r="A3059" s="1">
        <v>917396</v>
      </c>
      <c r="B3059" s="1" t="s">
        <v>120</v>
      </c>
      <c r="C3059" s="1" t="s">
        <v>121</v>
      </c>
      <c r="D3059" s="2">
        <v>44650.585891168979</v>
      </c>
      <c r="E3059" s="1" t="s">
        <v>8</v>
      </c>
      <c r="F3059" s="1">
        <v>1</v>
      </c>
      <c r="G3059" s="1">
        <v>0</v>
      </c>
      <c r="H3059" s="6">
        <f>INT(Query1[[#This Row],[EntryDateTime]])</f>
        <v>44650</v>
      </c>
      <c r="I3059" s="1">
        <f>IF(Query1[[#This Row],[ItemType]]="EVAP KIT SF GEN IV",Query1[[#This Row],[OrderQty]]+I3058,I3058)</f>
        <v>3637</v>
      </c>
      <c r="J3059" s="1">
        <f>IF(Query1[[#This Row],[ItemType]]="EVAP KIT UNIVERSAL",Query1[[#This Row],[OrderQty]]+J3058,J3058)</f>
        <v>1380</v>
      </c>
      <c r="K3059" s="1">
        <f>Query1[[#This Row],[SF Running Total]]+Query1[[#This Row],[UNIV Running Total]]</f>
        <v>5017</v>
      </c>
      <c r="L3059">
        <f>VLOOKUP(Query1[[#This Row],[Description]],'kits to boards'!$B$2:$E$156,2,FALSE)</f>
        <v>830014</v>
      </c>
      <c r="M3059">
        <f>VLOOKUP(Query1[[#This Row],[Description]],'kits to boards'!$B$2:$E$156,3,FALSE)</f>
        <v>0</v>
      </c>
      <c r="N3059">
        <f>VLOOKUP(Query1[[#This Row],[Description]],'kits to boards'!$B$2:$E$156,4,FALSE)</f>
        <v>0</v>
      </c>
      <c r="O3059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3060" spans="1:15" x14ac:dyDescent="0.25">
      <c r="A3060" s="1">
        <v>917506</v>
      </c>
      <c r="B3060" s="1" t="s">
        <v>66</v>
      </c>
      <c r="C3060" s="1" t="s">
        <v>67</v>
      </c>
      <c r="D3060" s="2">
        <v>44650.588289664352</v>
      </c>
      <c r="E3060" s="1" t="s">
        <v>8</v>
      </c>
      <c r="F3060" s="1">
        <v>1</v>
      </c>
      <c r="G3060" s="1">
        <v>0</v>
      </c>
      <c r="H3060" s="6">
        <f>INT(Query1[[#This Row],[EntryDateTime]])</f>
        <v>44650</v>
      </c>
      <c r="I3060" s="1">
        <f>IF(Query1[[#This Row],[ItemType]]="EVAP KIT SF GEN IV",Query1[[#This Row],[OrderQty]]+I3059,I3059)</f>
        <v>3638</v>
      </c>
      <c r="J3060" s="1">
        <f>IF(Query1[[#This Row],[ItemType]]="EVAP KIT UNIVERSAL",Query1[[#This Row],[OrderQty]]+J3059,J3059)</f>
        <v>1380</v>
      </c>
      <c r="K3060" s="1">
        <f>Query1[[#This Row],[SF Running Total]]+Query1[[#This Row],[UNIV Running Total]]</f>
        <v>5018</v>
      </c>
      <c r="L3060">
        <f>VLOOKUP(Query1[[#This Row],[Description]],'kits to boards'!$B$2:$E$156,2,FALSE)</f>
        <v>830060</v>
      </c>
      <c r="M3060">
        <f>VLOOKUP(Query1[[#This Row],[Description]],'kits to boards'!$B$2:$E$156,3,FALSE)</f>
        <v>0</v>
      </c>
      <c r="N3060">
        <f>VLOOKUP(Query1[[#This Row],[Description]],'kits to boards'!$B$2:$E$156,4,FALSE)</f>
        <v>0</v>
      </c>
      <c r="O3060" t="str">
        <f>CONCATENATE(Query1[[#This Row],[Description]]," - ",Query1[[#This Row],[MB1]]," - ",Query1[[#This Row],[MB2]]," - ",Query1[[#This Row],[MB3]])</f>
        <v>EVAP KIT 66-67 CHEVELLE WO AC - 830060 - 0 - 0</v>
      </c>
    </row>
    <row r="3061" spans="1:15" x14ac:dyDescent="0.25">
      <c r="A3061" s="1">
        <v>917508</v>
      </c>
      <c r="B3061" s="1" t="s">
        <v>184</v>
      </c>
      <c r="C3061" s="1" t="s">
        <v>185</v>
      </c>
      <c r="D3061" s="2">
        <v>44650.591631249998</v>
      </c>
      <c r="E3061" s="1" t="s">
        <v>8</v>
      </c>
      <c r="F3061" s="1">
        <v>1</v>
      </c>
      <c r="G3061" s="1">
        <v>0</v>
      </c>
      <c r="H3061" s="6">
        <f>INT(Query1[[#This Row],[EntryDateTime]])</f>
        <v>44650</v>
      </c>
      <c r="I3061" s="1">
        <f>IF(Query1[[#This Row],[ItemType]]="EVAP KIT SF GEN IV",Query1[[#This Row],[OrderQty]]+I3060,I3060)</f>
        <v>3639</v>
      </c>
      <c r="J3061" s="1">
        <f>IF(Query1[[#This Row],[ItemType]]="EVAP KIT UNIVERSAL",Query1[[#This Row],[OrderQty]]+J3060,J3060)</f>
        <v>1380</v>
      </c>
      <c r="K3061" s="1">
        <f>Query1[[#This Row],[SF Running Total]]+Query1[[#This Row],[UNIV Running Total]]</f>
        <v>5019</v>
      </c>
      <c r="L3061">
        <f>VLOOKUP(Query1[[#This Row],[Description]],'kits to boards'!$B$2:$E$156,2,FALSE)</f>
        <v>830042</v>
      </c>
      <c r="M3061">
        <f>VLOOKUP(Query1[[#This Row],[Description]],'kits to boards'!$B$2:$E$156,3,FALSE)</f>
        <v>0</v>
      </c>
      <c r="N3061">
        <f>VLOOKUP(Query1[[#This Row],[Description]],'kits to boards'!$B$2:$E$156,4,FALSE)</f>
        <v>0</v>
      </c>
      <c r="O3061" t="str">
        <f>CONCATENATE(Query1[[#This Row],[Description]]," - ",Query1[[#This Row],[MB1]]," - ",Query1[[#This Row],[MB2]]," - ",Query1[[#This Row],[MB3]])</f>
        <v>EVAP KIT 68-83 TOYOTA FJ40 - 830042 - 0 - 0</v>
      </c>
    </row>
    <row r="3062" spans="1:15" x14ac:dyDescent="0.25">
      <c r="A3062" s="1">
        <v>917007</v>
      </c>
      <c r="B3062" s="1" t="s">
        <v>94</v>
      </c>
      <c r="C3062" s="1" t="s">
        <v>95</v>
      </c>
      <c r="D3062" s="2">
        <v>44650.591728206018</v>
      </c>
      <c r="E3062" s="1" t="s">
        <v>8</v>
      </c>
      <c r="F3062" s="1">
        <v>1</v>
      </c>
      <c r="G3062" s="1">
        <v>0</v>
      </c>
      <c r="H3062" s="6">
        <f>INT(Query1[[#This Row],[EntryDateTime]])</f>
        <v>44650</v>
      </c>
      <c r="I3062" s="1">
        <f>IF(Query1[[#This Row],[ItemType]]="EVAP KIT SF GEN IV",Query1[[#This Row],[OrderQty]]+I3061,I3061)</f>
        <v>3640</v>
      </c>
      <c r="J3062" s="1">
        <f>IF(Query1[[#This Row],[ItemType]]="EVAP KIT UNIVERSAL",Query1[[#This Row],[OrderQty]]+J3061,J3061)</f>
        <v>1380</v>
      </c>
      <c r="K3062" s="1">
        <f>Query1[[#This Row],[SF Running Total]]+Query1[[#This Row],[UNIV Running Total]]</f>
        <v>5020</v>
      </c>
      <c r="L3062">
        <f>VLOOKUP(Query1[[#This Row],[Description]],'kits to boards'!$B$2:$E$156,2,FALSE)</f>
        <v>830076</v>
      </c>
      <c r="M3062">
        <f>VLOOKUP(Query1[[#This Row],[Description]],'kits to boards'!$B$2:$E$156,3,FALSE)</f>
        <v>0</v>
      </c>
      <c r="N3062">
        <f>VLOOKUP(Query1[[#This Row],[Description]],'kits to boards'!$B$2:$E$156,4,FALSE)</f>
        <v>0</v>
      </c>
      <c r="O3062" t="str">
        <f>CONCATENATE(Query1[[#This Row],[Description]]," - ",Query1[[#This Row],[MB1]]," - ",Query1[[#This Row],[MB2]]," - ",Query1[[#This Row],[MB3]])</f>
        <v>EVAP KIT 64 1/2- 66 MUSTANG  - 830076 - 0 - 0</v>
      </c>
    </row>
    <row r="3063" spans="1:15" x14ac:dyDescent="0.25">
      <c r="A3063" s="1">
        <v>915722</v>
      </c>
      <c r="B3063" s="1" t="s">
        <v>128</v>
      </c>
      <c r="C3063" s="1" t="s">
        <v>129</v>
      </c>
      <c r="D3063" s="2">
        <v>44650.59622939815</v>
      </c>
      <c r="E3063" s="1" t="s">
        <v>8</v>
      </c>
      <c r="F3063" s="1">
        <v>1</v>
      </c>
      <c r="G3063" s="1">
        <v>0</v>
      </c>
      <c r="H3063" s="6">
        <f>INT(Query1[[#This Row],[EntryDateTime]])</f>
        <v>44650</v>
      </c>
      <c r="I3063" s="1">
        <f>IF(Query1[[#This Row],[ItemType]]="EVAP KIT SF GEN IV",Query1[[#This Row],[OrderQty]]+I3062,I3062)</f>
        <v>3641</v>
      </c>
      <c r="J3063" s="1">
        <f>IF(Query1[[#This Row],[ItemType]]="EVAP KIT UNIVERSAL",Query1[[#This Row],[OrderQty]]+J3062,J3062)</f>
        <v>1380</v>
      </c>
      <c r="K3063" s="1">
        <f>Query1[[#This Row],[SF Running Total]]+Query1[[#This Row],[UNIV Running Total]]</f>
        <v>5021</v>
      </c>
      <c r="L3063">
        <f>VLOOKUP(Query1[[#This Row],[Description]],'kits to boards'!$B$2:$E$156,2,FALSE)</f>
        <v>830036</v>
      </c>
      <c r="M3063">
        <f>VLOOKUP(Query1[[#This Row],[Description]],'kits to boards'!$B$2:$E$156,3,FALSE)</f>
        <v>830039</v>
      </c>
      <c r="N3063">
        <f>VLOOKUP(Query1[[#This Row],[Description]],'kits to boards'!$B$2:$E$156,4,FALSE)</f>
        <v>0</v>
      </c>
      <c r="O3063" t="str">
        <f>CONCATENATE(Query1[[#This Row],[Description]]," - ",Query1[[#This Row],[MB1]]," - ",Query1[[#This Row],[MB2]]," - ",Query1[[#This Row],[MB3]])</f>
        <v>EVAP KIT 63-66 VETTE WO AC - 830036 - 830039 - 0</v>
      </c>
    </row>
    <row r="3064" spans="1:15" x14ac:dyDescent="0.25">
      <c r="A3064" s="1">
        <v>917517</v>
      </c>
      <c r="B3064" s="1" t="s">
        <v>154</v>
      </c>
      <c r="C3064" s="1" t="s">
        <v>155</v>
      </c>
      <c r="D3064" s="2">
        <v>44650.609618090275</v>
      </c>
      <c r="E3064" s="1" t="s">
        <v>8</v>
      </c>
      <c r="F3064" s="1">
        <v>1</v>
      </c>
      <c r="G3064" s="1">
        <v>0</v>
      </c>
      <c r="H3064" s="6">
        <f>INT(Query1[[#This Row],[EntryDateTime]])</f>
        <v>44650</v>
      </c>
      <c r="I3064" s="1">
        <f>IF(Query1[[#This Row],[ItemType]]="EVAP KIT SF GEN IV",Query1[[#This Row],[OrderQty]]+I3063,I3063)</f>
        <v>3642</v>
      </c>
      <c r="J3064" s="1">
        <f>IF(Query1[[#This Row],[ItemType]]="EVAP KIT UNIVERSAL",Query1[[#This Row],[OrderQty]]+J3063,J3063)</f>
        <v>1380</v>
      </c>
      <c r="K3064" s="1">
        <f>Query1[[#This Row],[SF Running Total]]+Query1[[#This Row],[UNIV Running Total]]</f>
        <v>5022</v>
      </c>
      <c r="L3064">
        <f>VLOOKUP(Query1[[#This Row],[Description]],'kits to boards'!$B$2:$E$156,2,FALSE)</f>
        <v>830124</v>
      </c>
      <c r="M3064">
        <f>VLOOKUP(Query1[[#This Row],[Description]],'kits to boards'!$B$2:$E$156,3,FALSE)</f>
        <v>0</v>
      </c>
      <c r="N3064">
        <f>VLOOKUP(Query1[[#This Row],[Description]],'kits to boards'!$B$2:$E$156,4,FALSE)</f>
        <v>0</v>
      </c>
      <c r="O3064" t="str">
        <f>CONCATENATE(Query1[[#This Row],[Description]]," - ",Query1[[#This Row],[MB1]]," - ",Query1[[#This Row],[MB2]]," - ",Query1[[#This Row],[MB3]])</f>
        <v>EVAP KIT 69 GTO W/AC - 830124 - 0 - 0</v>
      </c>
    </row>
    <row r="3065" spans="1:15" x14ac:dyDescent="0.25">
      <c r="A3065" s="1">
        <v>917522</v>
      </c>
      <c r="B3065" s="1" t="s">
        <v>44</v>
      </c>
      <c r="C3065" s="1" t="s">
        <v>45</v>
      </c>
      <c r="D3065" s="2">
        <v>44650.613110219907</v>
      </c>
      <c r="E3065" s="1" t="s">
        <v>8</v>
      </c>
      <c r="F3065" s="1">
        <v>1</v>
      </c>
      <c r="G3065" s="1">
        <v>0</v>
      </c>
      <c r="H3065" s="6">
        <f>INT(Query1[[#This Row],[EntryDateTime]])</f>
        <v>44650</v>
      </c>
      <c r="I3065" s="1">
        <f>IF(Query1[[#This Row],[ItemType]]="EVAP KIT SF GEN IV",Query1[[#This Row],[OrderQty]]+I3064,I3064)</f>
        <v>3643</v>
      </c>
      <c r="J3065" s="1">
        <f>IF(Query1[[#This Row],[ItemType]]="EVAP KIT UNIVERSAL",Query1[[#This Row],[OrderQty]]+J3064,J3064)</f>
        <v>1380</v>
      </c>
      <c r="K3065" s="1">
        <f>Query1[[#This Row],[SF Running Total]]+Query1[[#This Row],[UNIV Running Total]]</f>
        <v>5023</v>
      </c>
      <c r="L3065">
        <f>VLOOKUP(Query1[[#This Row],[Description]],'kits to boards'!$B$2:$E$156,2,FALSE)</f>
        <v>830085</v>
      </c>
      <c r="M3065">
        <f>VLOOKUP(Query1[[#This Row],[Description]],'kits to boards'!$B$2:$E$156,3,FALSE)</f>
        <v>0</v>
      </c>
      <c r="N3065">
        <f>VLOOKUP(Query1[[#This Row],[Description]],'kits to boards'!$B$2:$E$156,4,FALSE)</f>
        <v>0</v>
      </c>
      <c r="O3065" t="str">
        <f>CONCATENATE(Query1[[#This Row],[Description]]," - ",Query1[[#This Row],[MB1]]," - ",Query1[[#This Row],[MB2]]," - ",Query1[[#This Row],[MB3]])</f>
        <v>EVAP KIT 66-77 BRONCO - 830085 - 0 - 0</v>
      </c>
    </row>
    <row r="3066" spans="1:15" x14ac:dyDescent="0.25">
      <c r="A3066" s="1">
        <v>917523</v>
      </c>
      <c r="B3066" s="1" t="s">
        <v>42</v>
      </c>
      <c r="C3066" s="1" t="s">
        <v>43</v>
      </c>
      <c r="D3066" s="2">
        <v>44650.613282835649</v>
      </c>
      <c r="E3066" s="1" t="s">
        <v>8</v>
      </c>
      <c r="F3066" s="1">
        <v>1</v>
      </c>
      <c r="G3066" s="1">
        <v>0</v>
      </c>
      <c r="H3066" s="6">
        <f>INT(Query1[[#This Row],[EntryDateTime]])</f>
        <v>44650</v>
      </c>
      <c r="I3066" s="1">
        <f>IF(Query1[[#This Row],[ItemType]]="EVAP KIT SF GEN IV",Query1[[#This Row],[OrderQty]]+I3065,I3065)</f>
        <v>3644</v>
      </c>
      <c r="J3066" s="1">
        <f>IF(Query1[[#This Row],[ItemType]]="EVAP KIT UNIVERSAL",Query1[[#This Row],[OrderQty]]+J3065,J3065)</f>
        <v>1380</v>
      </c>
      <c r="K3066" s="1">
        <f>Query1[[#This Row],[SF Running Total]]+Query1[[#This Row],[UNIV Running Total]]</f>
        <v>5024</v>
      </c>
      <c r="L3066">
        <f>VLOOKUP(Query1[[#This Row],[Description]],'kits to boards'!$B$2:$E$156,2,FALSE)</f>
        <v>830014</v>
      </c>
      <c r="M3066">
        <f>VLOOKUP(Query1[[#This Row],[Description]],'kits to boards'!$B$2:$E$156,3,FALSE)</f>
        <v>0</v>
      </c>
      <c r="N3066">
        <f>VLOOKUP(Query1[[#This Row],[Description]],'kits to boards'!$B$2:$E$156,4,FALSE)</f>
        <v>0</v>
      </c>
      <c r="O3066" t="str">
        <f>CONCATENATE(Query1[[#This Row],[Description]]," - ",Query1[[#This Row],[MB1]]," - ",Query1[[#This Row],[MB2]]," - ",Query1[[#This Row],[MB3]])</f>
        <v>EVAP KIT 67-72 CHEV P-UP WO AC - 830014 - 0 - 0</v>
      </c>
    </row>
    <row r="3067" spans="1:15" x14ac:dyDescent="0.25">
      <c r="A3067" s="1">
        <v>917460</v>
      </c>
      <c r="B3067" s="1" t="s">
        <v>98</v>
      </c>
      <c r="C3067" s="1" t="s">
        <v>99</v>
      </c>
      <c r="D3067" s="2">
        <v>44650.613584525461</v>
      </c>
      <c r="E3067" s="1" t="s">
        <v>11</v>
      </c>
      <c r="F3067" s="1">
        <v>1</v>
      </c>
      <c r="G3067" s="1">
        <v>0</v>
      </c>
      <c r="H3067" s="6">
        <f>INT(Query1[[#This Row],[EntryDateTime]])</f>
        <v>44650</v>
      </c>
      <c r="I3067" s="1">
        <f>IF(Query1[[#This Row],[ItemType]]="EVAP KIT SF GEN IV",Query1[[#This Row],[OrderQty]]+I3066,I3066)</f>
        <v>3644</v>
      </c>
      <c r="J3067" s="1">
        <f>IF(Query1[[#This Row],[ItemType]]="EVAP KIT UNIVERSAL",Query1[[#This Row],[OrderQty]]+J3066,J3066)</f>
        <v>1381</v>
      </c>
      <c r="K3067" s="1">
        <f>Query1[[#This Row],[SF Running Total]]+Query1[[#This Row],[UNIV Running Total]]</f>
        <v>5025</v>
      </c>
      <c r="L3067">
        <f>VLOOKUP(Query1[[#This Row],[Description]],'kits to boards'!$B$2:$E$156,2,FALSE)</f>
        <v>830099</v>
      </c>
      <c r="M3067">
        <f>VLOOKUP(Query1[[#This Row],[Description]],'kits to boards'!$B$2:$E$156,3,FALSE)</f>
        <v>0</v>
      </c>
      <c r="N3067">
        <f>VLOOKUP(Query1[[#This Row],[Description]],'kits to boards'!$B$2:$E$156,4,FALSE)</f>
        <v>0</v>
      </c>
      <c r="O3067" t="str">
        <f>CONCATENATE(Query1[[#This Row],[Description]]," - ",Query1[[#This Row],[MB1]]," - ",Query1[[#This Row],[MB2]]," - ",Query1[[#This Row],[MB3]])</f>
        <v>MINI GEN II W/DEF - 830099 - 0 - 0</v>
      </c>
    </row>
    <row r="3068" spans="1:15" x14ac:dyDescent="0.25">
      <c r="A3068" s="1">
        <v>917379</v>
      </c>
      <c r="B3068" s="1" t="s">
        <v>96</v>
      </c>
      <c r="C3068" s="1" t="s">
        <v>97</v>
      </c>
      <c r="D3068" s="2">
        <v>44650.615053935187</v>
      </c>
      <c r="E3068" s="1" t="s">
        <v>8</v>
      </c>
      <c r="F3068" s="1">
        <v>1</v>
      </c>
      <c r="G3068" s="1">
        <v>0</v>
      </c>
      <c r="H3068" s="6">
        <f>INT(Query1[[#This Row],[EntryDateTime]])</f>
        <v>44650</v>
      </c>
      <c r="I3068" s="1">
        <f>IF(Query1[[#This Row],[ItemType]]="EVAP KIT SF GEN IV",Query1[[#This Row],[OrderQty]]+I3067,I3067)</f>
        <v>3645</v>
      </c>
      <c r="J3068" s="1">
        <f>IF(Query1[[#This Row],[ItemType]]="EVAP KIT UNIVERSAL",Query1[[#This Row],[OrderQty]]+J3067,J3067)</f>
        <v>1381</v>
      </c>
      <c r="K3068" s="1">
        <f>Query1[[#This Row],[SF Running Total]]+Query1[[#This Row],[UNIV Running Total]]</f>
        <v>5026</v>
      </c>
      <c r="L3068">
        <f>VLOOKUP(Query1[[#This Row],[Description]],'kits to boards'!$B$2:$E$156,2,FALSE)</f>
        <v>830004</v>
      </c>
      <c r="M3068">
        <f>VLOOKUP(Query1[[#This Row],[Description]],'kits to boards'!$B$2:$E$156,3,FALSE)</f>
        <v>0</v>
      </c>
      <c r="N3068">
        <f>VLOOKUP(Query1[[#This Row],[Description]],'kits to boards'!$B$2:$E$156,4,FALSE)</f>
        <v>0</v>
      </c>
      <c r="O3068" t="str">
        <f>CONCATENATE(Query1[[#This Row],[Description]]," - ",Query1[[#This Row],[MB1]]," - ",Query1[[#This Row],[MB2]]," - ",Query1[[#This Row],[MB3]])</f>
        <v>EVAP KIT 81-87 CHEV P-UP W/AC - 830004 - 0 - 0</v>
      </c>
    </row>
    <row r="3069" spans="1:15" x14ac:dyDescent="0.25">
      <c r="A3069" s="1">
        <v>917531</v>
      </c>
      <c r="B3069" s="1" t="s">
        <v>134</v>
      </c>
      <c r="C3069" s="1" t="s">
        <v>135</v>
      </c>
      <c r="D3069" s="2">
        <v>44650.628500347222</v>
      </c>
      <c r="E3069" s="1" t="s">
        <v>8</v>
      </c>
      <c r="F3069" s="1">
        <v>1</v>
      </c>
      <c r="G3069" s="1">
        <v>0</v>
      </c>
      <c r="H3069" s="6">
        <f>INT(Query1[[#This Row],[EntryDateTime]])</f>
        <v>44650</v>
      </c>
      <c r="I3069" s="1">
        <f>IF(Query1[[#This Row],[ItemType]]="EVAP KIT SF GEN IV",Query1[[#This Row],[OrderQty]]+I3068,I3068)</f>
        <v>3646</v>
      </c>
      <c r="J3069" s="1">
        <f>IF(Query1[[#This Row],[ItemType]]="EVAP KIT UNIVERSAL",Query1[[#This Row],[OrderQty]]+J3068,J3068)</f>
        <v>1381</v>
      </c>
      <c r="K3069" s="1">
        <f>Query1[[#This Row],[SF Running Total]]+Query1[[#This Row],[UNIV Running Total]]</f>
        <v>5027</v>
      </c>
      <c r="L3069">
        <f>VLOOKUP(Query1[[#This Row],[Description]],'kits to boards'!$B$2:$E$156,2,FALSE)</f>
        <v>830007</v>
      </c>
      <c r="M3069">
        <f>VLOOKUP(Query1[[#This Row],[Description]],'kits to boards'!$B$2:$E$156,3,FALSE)</f>
        <v>0</v>
      </c>
      <c r="N3069">
        <f>VLOOKUP(Query1[[#This Row],[Description]],'kits to boards'!$B$2:$E$156,4,FALSE)</f>
        <v>0</v>
      </c>
      <c r="O3069" t="str">
        <f>CONCATENATE(Query1[[#This Row],[Description]]," - ",Query1[[#This Row],[MB1]]," - ",Query1[[#This Row],[MB2]]," - ",Query1[[#This Row],[MB3]])</f>
        <v>EVAP KIT 64 IMPALA WO AC - 830007 - 0 - 0</v>
      </c>
    </row>
    <row r="3070" spans="1:15" x14ac:dyDescent="0.25">
      <c r="A3070" s="1">
        <v>917531</v>
      </c>
      <c r="B3070" s="1" t="s">
        <v>18</v>
      </c>
      <c r="C3070" s="1" t="s">
        <v>19</v>
      </c>
      <c r="D3070" s="2">
        <v>44650.628504479166</v>
      </c>
      <c r="E3070" s="1" t="s">
        <v>8</v>
      </c>
      <c r="F3070" s="1">
        <v>2</v>
      </c>
      <c r="G3070" s="1">
        <v>0</v>
      </c>
      <c r="H3070" s="6">
        <f>INT(Query1[[#This Row],[EntryDateTime]])</f>
        <v>44650</v>
      </c>
      <c r="I3070" s="1">
        <f>IF(Query1[[#This Row],[ItemType]]="EVAP KIT SF GEN IV",Query1[[#This Row],[OrderQty]]+I3069,I3069)</f>
        <v>3648</v>
      </c>
      <c r="J3070" s="1">
        <f>IF(Query1[[#This Row],[ItemType]]="EVAP KIT UNIVERSAL",Query1[[#This Row],[OrderQty]]+J3069,J3069)</f>
        <v>1381</v>
      </c>
      <c r="K3070" s="1">
        <f>Query1[[#This Row],[SF Running Total]]+Query1[[#This Row],[UNIV Running Total]]</f>
        <v>5029</v>
      </c>
      <c r="L3070">
        <f>VLOOKUP(Query1[[#This Row],[Description]],'kits to boards'!$B$2:$E$156,2,FALSE)</f>
        <v>830051</v>
      </c>
      <c r="M3070">
        <f>VLOOKUP(Query1[[#This Row],[Description]],'kits to boards'!$B$2:$E$156,3,FALSE)</f>
        <v>0</v>
      </c>
      <c r="N3070">
        <f>VLOOKUP(Query1[[#This Row],[Description]],'kits to boards'!$B$2:$E$156,4,FALSE)</f>
        <v>0</v>
      </c>
      <c r="O3070" t="str">
        <f>CONCATENATE(Query1[[#This Row],[Description]]," - ",Query1[[#This Row],[MB1]]," - ",Query1[[#This Row],[MB2]]," - ",Query1[[#This Row],[MB3]])</f>
        <v>EVAP KIT 70-78 CAMARO W/AC - 830051 - 0 - 0</v>
      </c>
    </row>
    <row r="3071" spans="1:15" x14ac:dyDescent="0.25">
      <c r="A3071" s="1">
        <v>917531</v>
      </c>
      <c r="B3071" s="1" t="s">
        <v>124</v>
      </c>
      <c r="C3071" s="1" t="s">
        <v>125</v>
      </c>
      <c r="D3071" s="2">
        <v>44650.628522650462</v>
      </c>
      <c r="E3071" s="1" t="s">
        <v>8</v>
      </c>
      <c r="F3071" s="1">
        <v>2</v>
      </c>
      <c r="G3071" s="1">
        <v>0</v>
      </c>
      <c r="H3071" s="6">
        <f>INT(Query1[[#This Row],[EntryDateTime]])</f>
        <v>44650</v>
      </c>
      <c r="I3071" s="1">
        <f>IF(Query1[[#This Row],[ItemType]]="EVAP KIT SF GEN IV",Query1[[#This Row],[OrderQty]]+I3070,I3070)</f>
        <v>3650</v>
      </c>
      <c r="J3071" s="1">
        <f>IF(Query1[[#This Row],[ItemType]]="EVAP KIT UNIVERSAL",Query1[[#This Row],[OrderQty]]+J3070,J3070)</f>
        <v>1381</v>
      </c>
      <c r="K3071" s="1">
        <f>Query1[[#This Row],[SF Running Total]]+Query1[[#This Row],[UNIV Running Total]]</f>
        <v>5031</v>
      </c>
      <c r="L3071">
        <f>VLOOKUP(Query1[[#This Row],[Description]],'kits to boards'!$B$2:$E$156,2,FALSE)</f>
        <v>830002</v>
      </c>
      <c r="M3071">
        <f>VLOOKUP(Query1[[#This Row],[Description]],'kits to boards'!$B$2:$E$156,3,FALSE)</f>
        <v>0</v>
      </c>
      <c r="N3071">
        <f>VLOOKUP(Query1[[#This Row],[Description]],'kits to boards'!$B$2:$E$156,4,FALSE)</f>
        <v>0</v>
      </c>
      <c r="O3071" t="str">
        <f>CONCATENATE(Query1[[#This Row],[Description]]," - ",Query1[[#This Row],[MB1]]," - ",Query1[[#This Row],[MB2]]," - ",Query1[[#This Row],[MB3]])</f>
        <v>EVAP KIT 73-80 CHEV P-UP WO AC - 830002 - 0 - 0</v>
      </c>
    </row>
    <row r="3072" spans="1:15" x14ac:dyDescent="0.25">
      <c r="A3072" s="1">
        <v>917531</v>
      </c>
      <c r="B3072" s="1" t="s">
        <v>92</v>
      </c>
      <c r="C3072" s="1" t="s">
        <v>93</v>
      </c>
      <c r="D3072" s="2">
        <v>44650.628527280096</v>
      </c>
      <c r="E3072" s="1" t="s">
        <v>8</v>
      </c>
      <c r="F3072" s="1">
        <v>4</v>
      </c>
      <c r="G3072" s="1">
        <v>0</v>
      </c>
      <c r="H3072" s="6">
        <f>INT(Query1[[#This Row],[EntryDateTime]])</f>
        <v>44650</v>
      </c>
      <c r="I3072" s="1">
        <f>IF(Query1[[#This Row],[ItemType]]="EVAP KIT SF GEN IV",Query1[[#This Row],[OrderQty]]+I3071,I3071)</f>
        <v>3654</v>
      </c>
      <c r="J3072" s="1">
        <f>IF(Query1[[#This Row],[ItemType]]="EVAP KIT UNIVERSAL",Query1[[#This Row],[OrderQty]]+J3071,J3071)</f>
        <v>1381</v>
      </c>
      <c r="K3072" s="1">
        <f>Query1[[#This Row],[SF Running Total]]+Query1[[#This Row],[UNIV Running Total]]</f>
        <v>5035</v>
      </c>
      <c r="L3072">
        <f>VLOOKUP(Query1[[#This Row],[Description]],'kits to boards'!$B$2:$E$156,2,FALSE)</f>
        <v>830063</v>
      </c>
      <c r="M3072">
        <f>VLOOKUP(Query1[[#This Row],[Description]],'kits to boards'!$B$2:$E$156,3,FALSE)</f>
        <v>0</v>
      </c>
      <c r="N3072">
        <f>VLOOKUP(Query1[[#This Row],[Description]],'kits to boards'!$B$2:$E$156,4,FALSE)</f>
        <v>0</v>
      </c>
      <c r="O3072" t="str">
        <f>CONCATENATE(Query1[[#This Row],[Description]]," - ",Query1[[#This Row],[MB1]]," - ",Query1[[#This Row],[MB2]]," - ",Query1[[#This Row],[MB3]])</f>
        <v>EVAP KIT 50-53 CHEV P-UP GEN IV - 830063 - 0 - 0</v>
      </c>
    </row>
    <row r="3073" spans="1:15" x14ac:dyDescent="0.25">
      <c r="A3073" s="1">
        <v>917533</v>
      </c>
      <c r="B3073" s="1" t="s">
        <v>126</v>
      </c>
      <c r="C3073" s="1" t="s">
        <v>127</v>
      </c>
      <c r="D3073" s="2">
        <v>44650.630136192129</v>
      </c>
      <c r="E3073" s="1" t="s">
        <v>8</v>
      </c>
      <c r="F3073" s="1">
        <v>6</v>
      </c>
      <c r="G3073" s="1">
        <v>0</v>
      </c>
      <c r="H3073" s="6">
        <f>INT(Query1[[#This Row],[EntryDateTime]])</f>
        <v>44650</v>
      </c>
      <c r="I3073" s="1">
        <f>IF(Query1[[#This Row],[ItemType]]="EVAP KIT SF GEN IV",Query1[[#This Row],[OrderQty]]+I3072,I3072)</f>
        <v>3660</v>
      </c>
      <c r="J3073" s="1">
        <f>IF(Query1[[#This Row],[ItemType]]="EVAP KIT UNIVERSAL",Query1[[#This Row],[OrderQty]]+J3072,J3072)</f>
        <v>1381</v>
      </c>
      <c r="K3073" s="1">
        <f>Query1[[#This Row],[SF Running Total]]+Query1[[#This Row],[UNIV Running Total]]</f>
        <v>5041</v>
      </c>
      <c r="L3073">
        <f>VLOOKUP(Query1[[#This Row],[Description]],'kits to boards'!$B$2:$E$156,2,FALSE)</f>
        <v>830080</v>
      </c>
      <c r="M3073">
        <f>VLOOKUP(Query1[[#This Row],[Description]],'kits to boards'!$B$2:$E$156,3,FALSE)</f>
        <v>0</v>
      </c>
      <c r="N3073">
        <f>VLOOKUP(Query1[[#This Row],[Description]],'kits to boards'!$B$2:$E$156,4,FALSE)</f>
        <v>0</v>
      </c>
      <c r="O3073" t="str">
        <f>CONCATENATE(Query1[[#This Row],[Description]]," - ",Query1[[#This Row],[MB1]]," - ",Query1[[#This Row],[MB2]]," - ",Query1[[#This Row],[MB3]])</f>
        <v>EVAP KIT 69-70 MUSTANG WO AC  - 830080 - 0 - 0</v>
      </c>
    </row>
    <row r="3074" spans="1:15" x14ac:dyDescent="0.25">
      <c r="A3074" s="1">
        <v>917533</v>
      </c>
      <c r="B3074" s="1" t="s">
        <v>38</v>
      </c>
      <c r="C3074" s="1" t="s">
        <v>39</v>
      </c>
      <c r="D3074" s="2">
        <v>44650.630137928238</v>
      </c>
      <c r="E3074" s="1" t="s">
        <v>8</v>
      </c>
      <c r="F3074" s="1">
        <v>6</v>
      </c>
      <c r="G3074" s="1">
        <v>0</v>
      </c>
      <c r="H3074" s="6">
        <f>INT(Query1[[#This Row],[EntryDateTime]])</f>
        <v>44650</v>
      </c>
      <c r="I3074" s="1">
        <f>IF(Query1[[#This Row],[ItemType]]="EVAP KIT SF GEN IV",Query1[[#This Row],[OrderQty]]+I3073,I3073)</f>
        <v>3666</v>
      </c>
      <c r="J3074" s="1">
        <f>IF(Query1[[#This Row],[ItemType]]="EVAP KIT UNIVERSAL",Query1[[#This Row],[OrderQty]]+J3073,J3073)</f>
        <v>1381</v>
      </c>
      <c r="K3074" s="1">
        <f>Query1[[#This Row],[SF Running Total]]+Query1[[#This Row],[UNIV Running Total]]</f>
        <v>5047</v>
      </c>
      <c r="L3074">
        <f>VLOOKUP(Query1[[#This Row],[Description]],'kits to boards'!$B$2:$E$156,2,FALSE)</f>
        <v>830012</v>
      </c>
      <c r="M3074">
        <f>VLOOKUP(Query1[[#This Row],[Description]],'kits to boards'!$B$2:$E$156,3,FALSE)</f>
        <v>0</v>
      </c>
      <c r="N3074">
        <f>VLOOKUP(Query1[[#This Row],[Description]],'kits to boards'!$B$2:$E$156,4,FALSE)</f>
        <v>0</v>
      </c>
      <c r="O3074" t="str">
        <f>CONCATENATE(Query1[[#This Row],[Description]]," - ",Query1[[#This Row],[MB1]]," - ",Query1[[#This Row],[MB2]]," - ",Query1[[#This Row],[MB3]])</f>
        <v>EVAP KIT 69 CAMARO W/AC - 830012 - 0 - 0</v>
      </c>
    </row>
    <row r="3075" spans="1:15" x14ac:dyDescent="0.25">
      <c r="A3075" s="1">
        <v>917533</v>
      </c>
      <c r="B3075" s="1" t="s">
        <v>56</v>
      </c>
      <c r="C3075" s="1" t="s">
        <v>57</v>
      </c>
      <c r="D3075" s="2">
        <v>44650.63013996528</v>
      </c>
      <c r="E3075" s="1" t="s">
        <v>8</v>
      </c>
      <c r="F3075" s="1">
        <v>8</v>
      </c>
      <c r="G3075" s="1">
        <v>0</v>
      </c>
      <c r="H3075" s="6">
        <f>INT(Query1[[#This Row],[EntryDateTime]])</f>
        <v>44650</v>
      </c>
      <c r="I3075" s="1">
        <f>IF(Query1[[#This Row],[ItemType]]="EVAP KIT SF GEN IV",Query1[[#This Row],[OrderQty]]+I3074,I3074)</f>
        <v>3674</v>
      </c>
      <c r="J3075" s="1">
        <f>IF(Query1[[#This Row],[ItemType]]="EVAP KIT UNIVERSAL",Query1[[#This Row],[OrderQty]]+J3074,J3074)</f>
        <v>1381</v>
      </c>
      <c r="K3075" s="1">
        <f>Query1[[#This Row],[SF Running Total]]+Query1[[#This Row],[UNIV Running Total]]</f>
        <v>5055</v>
      </c>
      <c r="L3075">
        <f>VLOOKUP(Query1[[#This Row],[Description]],'kits to boards'!$B$2:$E$156,2,FALSE)</f>
        <v>830011</v>
      </c>
      <c r="M3075">
        <f>VLOOKUP(Query1[[#This Row],[Description]],'kits to boards'!$B$2:$E$156,3,FALSE)</f>
        <v>0</v>
      </c>
      <c r="N3075">
        <f>VLOOKUP(Query1[[#This Row],[Description]],'kits to boards'!$B$2:$E$156,4,FALSE)</f>
        <v>0</v>
      </c>
      <c r="O3075" t="str">
        <f>CONCATENATE(Query1[[#This Row],[Description]]," - ",Query1[[#This Row],[MB1]]," - ",Query1[[#This Row],[MB2]]," - ",Query1[[#This Row],[MB3]])</f>
        <v>EVAP KIT 70-72 CHEVELLE W/AC - 830011 - 0 - 0</v>
      </c>
    </row>
    <row r="3076" spans="1:15" x14ac:dyDescent="0.25">
      <c r="A3076" s="1">
        <v>917533</v>
      </c>
      <c r="B3076" s="1" t="s">
        <v>108</v>
      </c>
      <c r="C3076" s="1" t="s">
        <v>109</v>
      </c>
      <c r="D3076" s="2">
        <v>44650.630146446762</v>
      </c>
      <c r="E3076" s="1" t="s">
        <v>8</v>
      </c>
      <c r="F3076" s="1">
        <v>2</v>
      </c>
      <c r="G3076" s="1">
        <v>0</v>
      </c>
      <c r="H3076" s="6">
        <f>INT(Query1[[#This Row],[EntryDateTime]])</f>
        <v>44650</v>
      </c>
      <c r="I3076" s="1">
        <f>IF(Query1[[#This Row],[ItemType]]="EVAP KIT SF GEN IV",Query1[[#This Row],[OrderQty]]+I3075,I3075)</f>
        <v>3676</v>
      </c>
      <c r="J3076" s="1">
        <f>IF(Query1[[#This Row],[ItemType]]="EVAP KIT UNIVERSAL",Query1[[#This Row],[OrderQty]]+J3075,J3075)</f>
        <v>1381</v>
      </c>
      <c r="K3076" s="1">
        <f>Query1[[#This Row],[SF Running Total]]+Query1[[#This Row],[UNIV Running Total]]</f>
        <v>5057</v>
      </c>
      <c r="L3076">
        <f>VLOOKUP(Query1[[#This Row],[Description]],'kits to boards'!$B$2:$E$156,2,FALSE)</f>
        <v>830105</v>
      </c>
      <c r="M3076">
        <f>VLOOKUP(Query1[[#This Row],[Description]],'kits to boards'!$B$2:$E$156,3,FALSE)</f>
        <v>830106</v>
      </c>
      <c r="N3076">
        <f>VLOOKUP(Query1[[#This Row],[Description]],'kits to boards'!$B$2:$E$156,4,FALSE)</f>
        <v>0</v>
      </c>
      <c r="O3076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3077" spans="1:15" x14ac:dyDescent="0.25">
      <c r="A3077" s="1">
        <v>917533</v>
      </c>
      <c r="B3077" s="1" t="s">
        <v>120</v>
      </c>
      <c r="C3077" s="1" t="s">
        <v>121</v>
      </c>
      <c r="D3077" s="2">
        <v>44650.630148576391</v>
      </c>
      <c r="E3077" s="1" t="s">
        <v>8</v>
      </c>
      <c r="F3077" s="1">
        <v>3</v>
      </c>
      <c r="G3077" s="1">
        <v>0</v>
      </c>
      <c r="H3077" s="6">
        <f>INT(Query1[[#This Row],[EntryDateTime]])</f>
        <v>44650</v>
      </c>
      <c r="I3077" s="1">
        <f>IF(Query1[[#This Row],[ItemType]]="EVAP KIT SF GEN IV",Query1[[#This Row],[OrderQty]]+I3076,I3076)</f>
        <v>3679</v>
      </c>
      <c r="J3077" s="1">
        <f>IF(Query1[[#This Row],[ItemType]]="EVAP KIT UNIVERSAL",Query1[[#This Row],[OrderQty]]+J3076,J3076)</f>
        <v>1381</v>
      </c>
      <c r="K3077" s="1">
        <f>Query1[[#This Row],[SF Running Total]]+Query1[[#This Row],[UNIV Running Total]]</f>
        <v>5060</v>
      </c>
      <c r="L3077">
        <f>VLOOKUP(Query1[[#This Row],[Description]],'kits to boards'!$B$2:$E$156,2,FALSE)</f>
        <v>830014</v>
      </c>
      <c r="M3077">
        <f>VLOOKUP(Query1[[#This Row],[Description]],'kits to boards'!$B$2:$E$156,3,FALSE)</f>
        <v>0</v>
      </c>
      <c r="N3077">
        <f>VLOOKUP(Query1[[#This Row],[Description]],'kits to boards'!$B$2:$E$156,4,FALSE)</f>
        <v>0</v>
      </c>
      <c r="O3077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3078" spans="1:15" x14ac:dyDescent="0.25">
      <c r="A3078" s="1">
        <v>917533</v>
      </c>
      <c r="B3078" s="1" t="s">
        <v>88</v>
      </c>
      <c r="C3078" s="1" t="s">
        <v>89</v>
      </c>
      <c r="D3078" s="2">
        <v>44650.630150381941</v>
      </c>
      <c r="E3078" s="1" t="s">
        <v>8</v>
      </c>
      <c r="F3078" s="1">
        <v>2</v>
      </c>
      <c r="G3078" s="1">
        <v>0</v>
      </c>
      <c r="H3078" s="6">
        <f>INT(Query1[[#This Row],[EntryDateTime]])</f>
        <v>44650</v>
      </c>
      <c r="I3078" s="1">
        <f>IF(Query1[[#This Row],[ItemType]]="EVAP KIT SF GEN IV",Query1[[#This Row],[OrderQty]]+I3077,I3077)</f>
        <v>3681</v>
      </c>
      <c r="J3078" s="1">
        <f>IF(Query1[[#This Row],[ItemType]]="EVAP KIT UNIVERSAL",Query1[[#This Row],[OrderQty]]+J3077,J3077)</f>
        <v>1381</v>
      </c>
      <c r="K3078" s="1">
        <f>Query1[[#This Row],[SF Running Total]]+Query1[[#This Row],[UNIV Running Total]]</f>
        <v>5062</v>
      </c>
      <c r="L3078">
        <f>VLOOKUP(Query1[[#This Row],[Description]],'kits to boards'!$B$2:$E$156,2,FALSE)</f>
        <v>830003</v>
      </c>
      <c r="M3078">
        <f>VLOOKUP(Query1[[#This Row],[Description]],'kits to boards'!$B$2:$E$156,3,FALSE)</f>
        <v>0</v>
      </c>
      <c r="N3078">
        <f>VLOOKUP(Query1[[#This Row],[Description]],'kits to boards'!$B$2:$E$156,4,FALSE)</f>
        <v>0</v>
      </c>
      <c r="O3078" t="str">
        <f>CONCATENATE(Query1[[#This Row],[Description]]," - ",Query1[[#This Row],[MB1]]," - ",Query1[[#This Row],[MB2]]," - ",Query1[[#This Row],[MB3]])</f>
        <v>EVAP KIT 81-87 CHEV P-UP WO AC - 830003 - 0 - 0</v>
      </c>
    </row>
    <row r="3079" spans="1:15" x14ac:dyDescent="0.25">
      <c r="A3079" s="1">
        <v>917534</v>
      </c>
      <c r="B3079" s="1" t="s">
        <v>102</v>
      </c>
      <c r="C3079" s="1" t="s">
        <v>103</v>
      </c>
      <c r="D3079" s="2">
        <v>44650.631434490744</v>
      </c>
      <c r="E3079" s="1" t="s">
        <v>8</v>
      </c>
      <c r="F3079" s="1">
        <v>8</v>
      </c>
      <c r="G3079" s="1">
        <v>0</v>
      </c>
      <c r="H3079" s="6">
        <f>INT(Query1[[#This Row],[EntryDateTime]])</f>
        <v>44650</v>
      </c>
      <c r="I3079" s="1">
        <f>IF(Query1[[#This Row],[ItemType]]="EVAP KIT SF GEN IV",Query1[[#This Row],[OrderQty]]+I3078,I3078)</f>
        <v>3689</v>
      </c>
      <c r="J3079" s="1">
        <f>IF(Query1[[#This Row],[ItemType]]="EVAP KIT UNIVERSAL",Query1[[#This Row],[OrderQty]]+J3078,J3078)</f>
        <v>1381</v>
      </c>
      <c r="K3079" s="1">
        <f>Query1[[#This Row],[SF Running Total]]+Query1[[#This Row],[UNIV Running Total]]</f>
        <v>5070</v>
      </c>
      <c r="L3079">
        <f>VLOOKUP(Query1[[#This Row],[Description]],'kits to boards'!$B$2:$E$156,2,FALSE)</f>
        <v>830012</v>
      </c>
      <c r="M3079">
        <f>VLOOKUP(Query1[[#This Row],[Description]],'kits to boards'!$B$2:$E$156,3,FALSE)</f>
        <v>0</v>
      </c>
      <c r="N3079">
        <f>VLOOKUP(Query1[[#This Row],[Description]],'kits to boards'!$B$2:$E$156,4,FALSE)</f>
        <v>0</v>
      </c>
      <c r="O3079" t="str">
        <f>CONCATENATE(Query1[[#This Row],[Description]]," - ",Query1[[#This Row],[MB1]]," - ",Query1[[#This Row],[MB2]]," - ",Query1[[#This Row],[MB3]])</f>
        <v>EVAP KIT 69 CAMARO WO/AC - 830012 - 0 - 0</v>
      </c>
    </row>
    <row r="3080" spans="1:15" x14ac:dyDescent="0.25">
      <c r="A3080" s="1">
        <v>917537</v>
      </c>
      <c r="B3080" s="1" t="s">
        <v>98</v>
      </c>
      <c r="C3080" s="1" t="s">
        <v>99</v>
      </c>
      <c r="D3080" s="2">
        <v>44650.633456516203</v>
      </c>
      <c r="E3080" s="1" t="s">
        <v>11</v>
      </c>
      <c r="F3080" s="1">
        <v>1</v>
      </c>
      <c r="G3080" s="1">
        <v>0</v>
      </c>
      <c r="H3080" s="6">
        <f>INT(Query1[[#This Row],[EntryDateTime]])</f>
        <v>44650</v>
      </c>
      <c r="I3080" s="1">
        <f>IF(Query1[[#This Row],[ItemType]]="EVAP KIT SF GEN IV",Query1[[#This Row],[OrderQty]]+I3079,I3079)</f>
        <v>3689</v>
      </c>
      <c r="J3080" s="1">
        <f>IF(Query1[[#This Row],[ItemType]]="EVAP KIT UNIVERSAL",Query1[[#This Row],[OrderQty]]+J3079,J3079)</f>
        <v>1382</v>
      </c>
      <c r="K3080" s="1">
        <f>Query1[[#This Row],[SF Running Total]]+Query1[[#This Row],[UNIV Running Total]]</f>
        <v>5071</v>
      </c>
      <c r="L3080">
        <f>VLOOKUP(Query1[[#This Row],[Description]],'kits to boards'!$B$2:$E$156,2,FALSE)</f>
        <v>830099</v>
      </c>
      <c r="M3080">
        <f>VLOOKUP(Query1[[#This Row],[Description]],'kits to boards'!$B$2:$E$156,3,FALSE)</f>
        <v>0</v>
      </c>
      <c r="N3080">
        <f>VLOOKUP(Query1[[#This Row],[Description]],'kits to boards'!$B$2:$E$156,4,FALSE)</f>
        <v>0</v>
      </c>
      <c r="O3080" t="str">
        <f>CONCATENATE(Query1[[#This Row],[Description]]," - ",Query1[[#This Row],[MB1]]," - ",Query1[[#This Row],[MB2]]," - ",Query1[[#This Row],[MB3]])</f>
        <v>MINI GEN II W/DEF - 830099 - 0 - 0</v>
      </c>
    </row>
    <row r="3081" spans="1:15" x14ac:dyDescent="0.25">
      <c r="A3081" s="1">
        <v>917349</v>
      </c>
      <c r="B3081" s="1" t="s">
        <v>74</v>
      </c>
      <c r="C3081" s="1" t="s">
        <v>75</v>
      </c>
      <c r="D3081" s="2">
        <v>44650.637188923611</v>
      </c>
      <c r="E3081" s="1" t="s">
        <v>8</v>
      </c>
      <c r="F3081" s="1">
        <v>1</v>
      </c>
      <c r="G3081" s="1">
        <v>0</v>
      </c>
      <c r="H3081" s="6">
        <f>INT(Query1[[#This Row],[EntryDateTime]])</f>
        <v>44650</v>
      </c>
      <c r="I3081" s="1">
        <f>IF(Query1[[#This Row],[ItemType]]="EVAP KIT SF GEN IV",Query1[[#This Row],[OrderQty]]+I3080,I3080)</f>
        <v>3690</v>
      </c>
      <c r="J3081" s="1">
        <f>IF(Query1[[#This Row],[ItemType]]="EVAP KIT UNIVERSAL",Query1[[#This Row],[OrderQty]]+J3080,J3080)</f>
        <v>1382</v>
      </c>
      <c r="K3081" s="1">
        <f>Query1[[#This Row],[SF Running Total]]+Query1[[#This Row],[UNIV Running Total]]</f>
        <v>5072</v>
      </c>
      <c r="L3081">
        <f>VLOOKUP(Query1[[#This Row],[Description]],'kits to boards'!$B$2:$E$156,2,FALSE)</f>
        <v>830065</v>
      </c>
      <c r="M3081">
        <f>VLOOKUP(Query1[[#This Row],[Description]],'kits to boards'!$B$2:$E$156,3,FALSE)</f>
        <v>0</v>
      </c>
      <c r="N3081">
        <f>VLOOKUP(Query1[[#This Row],[Description]],'kits to boards'!$B$2:$E$156,4,FALSE)</f>
        <v>0</v>
      </c>
      <c r="O3081" t="str">
        <f>CONCATENATE(Query1[[#This Row],[Description]]," - ",Query1[[#This Row],[MB1]]," - ",Query1[[#This Row],[MB2]]," - ",Query1[[#This Row],[MB3]])</f>
        <v>EVAP KIT 57 CHEV WO AC 4-VENT PLENUM - 830065 - 0 - 0</v>
      </c>
    </row>
    <row r="3082" spans="1:15" x14ac:dyDescent="0.25">
      <c r="A3082" s="1">
        <v>917539</v>
      </c>
      <c r="B3082" s="1" t="s">
        <v>188</v>
      </c>
      <c r="C3082" s="1" t="s">
        <v>189</v>
      </c>
      <c r="D3082" s="2">
        <v>44650.637932372687</v>
      </c>
      <c r="E3082" s="1" t="s">
        <v>11</v>
      </c>
      <c r="F3082" s="1">
        <v>6</v>
      </c>
      <c r="G3082" s="1">
        <v>0</v>
      </c>
      <c r="H3082" s="6">
        <f>INT(Query1[[#This Row],[EntryDateTime]])</f>
        <v>44650</v>
      </c>
      <c r="I3082" s="1">
        <f>IF(Query1[[#This Row],[ItemType]]="EVAP KIT SF GEN IV",Query1[[#This Row],[OrderQty]]+I3081,I3081)</f>
        <v>3690</v>
      </c>
      <c r="J3082" s="1">
        <f>IF(Query1[[#This Row],[ItemType]]="EVAP KIT UNIVERSAL",Query1[[#This Row],[OrderQty]]+J3081,J3081)</f>
        <v>1388</v>
      </c>
      <c r="K3082" s="1">
        <f>Query1[[#This Row],[SF Running Total]]+Query1[[#This Row],[UNIV Running Total]]</f>
        <v>5078</v>
      </c>
      <c r="L3082">
        <f>VLOOKUP(Query1[[#This Row],[Description]],'kits to boards'!$B$2:$E$156,2,FALSE)</f>
        <v>830069</v>
      </c>
      <c r="M3082">
        <f>VLOOKUP(Query1[[#This Row],[Description]],'kits to boards'!$B$2:$E$156,3,FALSE)</f>
        <v>0</v>
      </c>
      <c r="N3082">
        <f>VLOOKUP(Query1[[#This Row],[Description]],'kits to boards'!$B$2:$E$156,4,FALSE)</f>
        <v>0</v>
      </c>
      <c r="O3082" t="str">
        <f>CONCATENATE(Query1[[#This Row],[Description]]," - ",Query1[[#This Row],[MB1]]," - ",Query1[[#This Row],[MB2]]," - ",Query1[[#This Row],[MB3]])</f>
        <v>SLIMLINE H/C STD LOUVER - 830069 - 0 - 0</v>
      </c>
    </row>
    <row r="3083" spans="1:15" x14ac:dyDescent="0.25">
      <c r="A3083" s="1">
        <v>917539</v>
      </c>
      <c r="B3083" s="1" t="s">
        <v>158</v>
      </c>
      <c r="C3083" s="1" t="s">
        <v>159</v>
      </c>
      <c r="D3083" s="2">
        <v>44650.638052233793</v>
      </c>
      <c r="E3083" s="1" t="s">
        <v>8</v>
      </c>
      <c r="F3083" s="1">
        <v>6</v>
      </c>
      <c r="G3083" s="1">
        <v>0</v>
      </c>
      <c r="H3083" s="6">
        <f>INT(Query1[[#This Row],[EntryDateTime]])</f>
        <v>44650</v>
      </c>
      <c r="I3083" s="1">
        <f>IF(Query1[[#This Row],[ItemType]]="EVAP KIT SF GEN IV",Query1[[#This Row],[OrderQty]]+I3082,I3082)</f>
        <v>3696</v>
      </c>
      <c r="J3083" s="1">
        <f>IF(Query1[[#This Row],[ItemType]]="EVAP KIT UNIVERSAL",Query1[[#This Row],[OrderQty]]+J3082,J3082)</f>
        <v>1388</v>
      </c>
      <c r="K3083" s="1">
        <f>Query1[[#This Row],[SF Running Total]]+Query1[[#This Row],[UNIV Running Total]]</f>
        <v>5084</v>
      </c>
      <c r="L3083">
        <f>VLOOKUP(Query1[[#This Row],[Description]],'kits to boards'!$B$2:$E$156,2,FALSE)</f>
        <v>830080</v>
      </c>
      <c r="M3083">
        <f>VLOOKUP(Query1[[#This Row],[Description]],'kits to boards'!$B$2:$E$156,3,FALSE)</f>
        <v>830046</v>
      </c>
      <c r="N3083">
        <f>VLOOKUP(Query1[[#This Row],[Description]],'kits to boards'!$B$2:$E$156,4,FALSE)</f>
        <v>0</v>
      </c>
      <c r="O3083" t="str">
        <f>CONCATENATE(Query1[[#This Row],[Description]]," - ",Query1[[#This Row],[MB1]]," - ",Query1[[#This Row],[MB2]]," - ",Query1[[#This Row],[MB3]])</f>
        <v>EVAP KIT 69-70 MUSTANG W/AC  - 830080 - 830046 - 0</v>
      </c>
    </row>
    <row r="3084" spans="1:15" x14ac:dyDescent="0.25">
      <c r="A3084" s="1">
        <v>917539</v>
      </c>
      <c r="B3084" s="1" t="s">
        <v>190</v>
      </c>
      <c r="C3084" s="1" t="s">
        <v>191</v>
      </c>
      <c r="D3084" s="2">
        <v>44650.6380559838</v>
      </c>
      <c r="E3084" s="1" t="s">
        <v>8</v>
      </c>
      <c r="F3084" s="1">
        <v>6</v>
      </c>
      <c r="G3084" s="1">
        <v>0</v>
      </c>
      <c r="H3084" s="6">
        <f>INT(Query1[[#This Row],[EntryDateTime]])</f>
        <v>44650</v>
      </c>
      <c r="I3084" s="1">
        <f>IF(Query1[[#This Row],[ItemType]]="EVAP KIT SF GEN IV",Query1[[#This Row],[OrderQty]]+I3083,I3083)</f>
        <v>3702</v>
      </c>
      <c r="J3084" s="1">
        <f>IF(Query1[[#This Row],[ItemType]]="EVAP KIT UNIVERSAL",Query1[[#This Row],[OrderQty]]+J3083,J3083)</f>
        <v>1388</v>
      </c>
      <c r="K3084" s="1">
        <f>Query1[[#This Row],[SF Running Total]]+Query1[[#This Row],[UNIV Running Total]]</f>
        <v>5090</v>
      </c>
      <c r="L3084">
        <f>VLOOKUP(Query1[[#This Row],[Description]],'kits to boards'!$B$2:$E$156,2,FALSE)</f>
        <v>830008</v>
      </c>
      <c r="M3084">
        <f>VLOOKUP(Query1[[#This Row],[Description]],'kits to boards'!$B$2:$E$156,3,FALSE)</f>
        <v>0</v>
      </c>
      <c r="N3084">
        <f>VLOOKUP(Query1[[#This Row],[Description]],'kits to boards'!$B$2:$E$156,4,FALSE)</f>
        <v>0</v>
      </c>
      <c r="O3084" t="str">
        <f>CONCATENATE(Query1[[#This Row],[Description]]," - ",Query1[[#This Row],[MB1]]," - ",Query1[[#This Row],[MB2]]," - ",Query1[[#This Row],[MB3]])</f>
        <v>EVAP KIT 63 IMPALA WO AC - 830008 - 0 - 0</v>
      </c>
    </row>
    <row r="3085" spans="1:15" x14ac:dyDescent="0.25">
      <c r="A3085" s="1">
        <v>917539</v>
      </c>
      <c r="B3085" s="1" t="s">
        <v>152</v>
      </c>
      <c r="C3085" s="1" t="s">
        <v>153</v>
      </c>
      <c r="D3085" s="2">
        <v>44650.638058449076</v>
      </c>
      <c r="E3085" s="1" t="s">
        <v>8</v>
      </c>
      <c r="F3085" s="1">
        <v>10</v>
      </c>
      <c r="G3085" s="1">
        <v>0</v>
      </c>
      <c r="H3085" s="6">
        <f>INT(Query1[[#This Row],[EntryDateTime]])</f>
        <v>44650</v>
      </c>
      <c r="I3085" s="1">
        <f>IF(Query1[[#This Row],[ItemType]]="EVAP KIT SF GEN IV",Query1[[#This Row],[OrderQty]]+I3084,I3084)</f>
        <v>3712</v>
      </c>
      <c r="J3085" s="1">
        <f>IF(Query1[[#This Row],[ItemType]]="EVAP KIT UNIVERSAL",Query1[[#This Row],[OrderQty]]+J3084,J3084)</f>
        <v>1388</v>
      </c>
      <c r="K3085" s="1">
        <f>Query1[[#This Row],[SF Running Total]]+Query1[[#This Row],[UNIV Running Total]]</f>
        <v>5100</v>
      </c>
      <c r="L3085">
        <f>VLOOKUP(Query1[[#This Row],[Description]],'kits to boards'!$B$2:$E$156,2,FALSE)</f>
        <v>830034</v>
      </c>
      <c r="M3085">
        <f>VLOOKUP(Query1[[#This Row],[Description]],'kits to boards'!$B$2:$E$156,3,FALSE)</f>
        <v>0</v>
      </c>
      <c r="N3085">
        <f>VLOOKUP(Query1[[#This Row],[Description]],'kits to boards'!$B$2:$E$156,4,FALSE)</f>
        <v>0</v>
      </c>
      <c r="O3085" t="str">
        <f>CONCATENATE(Query1[[#This Row],[Description]]," - ",Query1[[#This Row],[MB1]]," - ",Query1[[#This Row],[MB2]]," - ",Query1[[#This Row],[MB3]])</f>
        <v>EVAP KIT 64-67 GTO WO AC - 830034 - 0 - 0</v>
      </c>
    </row>
    <row r="3086" spans="1:15" x14ac:dyDescent="0.25">
      <c r="A3086" s="1">
        <v>917539</v>
      </c>
      <c r="B3086" s="1" t="s">
        <v>102</v>
      </c>
      <c r="C3086" s="1" t="s">
        <v>103</v>
      </c>
      <c r="D3086" s="2">
        <v>44650.638062233797</v>
      </c>
      <c r="E3086" s="1" t="s">
        <v>8</v>
      </c>
      <c r="F3086" s="1">
        <v>6</v>
      </c>
      <c r="G3086" s="1">
        <v>0</v>
      </c>
      <c r="H3086" s="6">
        <f>INT(Query1[[#This Row],[EntryDateTime]])</f>
        <v>44650</v>
      </c>
      <c r="I3086" s="1">
        <f>IF(Query1[[#This Row],[ItemType]]="EVAP KIT SF GEN IV",Query1[[#This Row],[OrderQty]]+I3085,I3085)</f>
        <v>3718</v>
      </c>
      <c r="J3086" s="1">
        <f>IF(Query1[[#This Row],[ItemType]]="EVAP KIT UNIVERSAL",Query1[[#This Row],[OrderQty]]+J3085,J3085)</f>
        <v>1388</v>
      </c>
      <c r="K3086" s="1">
        <f>Query1[[#This Row],[SF Running Total]]+Query1[[#This Row],[UNIV Running Total]]</f>
        <v>5106</v>
      </c>
      <c r="L3086">
        <f>VLOOKUP(Query1[[#This Row],[Description]],'kits to boards'!$B$2:$E$156,2,FALSE)</f>
        <v>830012</v>
      </c>
      <c r="M3086">
        <f>VLOOKUP(Query1[[#This Row],[Description]],'kits to boards'!$B$2:$E$156,3,FALSE)</f>
        <v>0</v>
      </c>
      <c r="N3086">
        <f>VLOOKUP(Query1[[#This Row],[Description]],'kits to boards'!$B$2:$E$156,4,FALSE)</f>
        <v>0</v>
      </c>
      <c r="O3086" t="str">
        <f>CONCATENATE(Query1[[#This Row],[Description]]," - ",Query1[[#This Row],[MB1]]," - ",Query1[[#This Row],[MB2]]," - ",Query1[[#This Row],[MB3]])</f>
        <v>EVAP KIT 69 CAMARO WO/AC - 830012 - 0 - 0</v>
      </c>
    </row>
    <row r="3087" spans="1:15" x14ac:dyDescent="0.25">
      <c r="A3087" s="1">
        <v>917539</v>
      </c>
      <c r="B3087" s="1" t="s">
        <v>192</v>
      </c>
      <c r="C3087" s="1" t="s">
        <v>193</v>
      </c>
      <c r="D3087" s="2">
        <v>44650.638065937499</v>
      </c>
      <c r="E3087" s="1" t="s">
        <v>8</v>
      </c>
      <c r="F3087" s="1">
        <v>7</v>
      </c>
      <c r="G3087" s="1">
        <v>0</v>
      </c>
      <c r="H3087" s="6">
        <f>INT(Query1[[#This Row],[EntryDateTime]])</f>
        <v>44650</v>
      </c>
      <c r="I3087" s="1">
        <f>IF(Query1[[#This Row],[ItemType]]="EVAP KIT SF GEN IV",Query1[[#This Row],[OrderQty]]+I3086,I3086)</f>
        <v>3725</v>
      </c>
      <c r="J3087" s="1">
        <f>IF(Query1[[#This Row],[ItemType]]="EVAP KIT UNIVERSAL",Query1[[#This Row],[OrderQty]]+J3086,J3086)</f>
        <v>1388</v>
      </c>
      <c r="K3087" s="1">
        <f>Query1[[#This Row],[SF Running Total]]+Query1[[#This Row],[UNIV Running Total]]</f>
        <v>5113</v>
      </c>
      <c r="L3087">
        <f>VLOOKUP(Query1[[#This Row],[Description]],'kits to boards'!$B$2:$E$156,2,FALSE)</f>
        <v>830094</v>
      </c>
      <c r="M3087">
        <f>VLOOKUP(Query1[[#This Row],[Description]],'kits to boards'!$B$2:$E$156,3,FALSE)</f>
        <v>0</v>
      </c>
      <c r="N3087">
        <f>VLOOKUP(Query1[[#This Row],[Description]],'kits to boards'!$B$2:$E$156,4,FALSE)</f>
        <v>0</v>
      </c>
      <c r="O3087" t="str">
        <f>CONCATENATE(Query1[[#This Row],[Description]]," - ",Query1[[#This Row],[MB1]]," - ",Query1[[#This Row],[MB2]]," - ",Query1[[#This Row],[MB3]])</f>
        <v>EVAP KIT 69-73 VETTE W/AC - 830094 - 0 - 0</v>
      </c>
    </row>
    <row r="3088" spans="1:15" x14ac:dyDescent="0.25">
      <c r="A3088" s="1">
        <v>917539</v>
      </c>
      <c r="B3088" s="1" t="s">
        <v>194</v>
      </c>
      <c r="C3088" s="1" t="s">
        <v>195</v>
      </c>
      <c r="D3088" s="2">
        <v>44650.638068402775</v>
      </c>
      <c r="E3088" s="1" t="s">
        <v>8</v>
      </c>
      <c r="F3088" s="1">
        <v>10</v>
      </c>
      <c r="G3088" s="1">
        <v>0</v>
      </c>
      <c r="H3088" s="6">
        <f>INT(Query1[[#This Row],[EntryDateTime]])</f>
        <v>44650</v>
      </c>
      <c r="I3088" s="1">
        <f>IF(Query1[[#This Row],[ItemType]]="EVAP KIT SF GEN IV",Query1[[#This Row],[OrderQty]]+I3087,I3087)</f>
        <v>3735</v>
      </c>
      <c r="J3088" s="1">
        <f>IF(Query1[[#This Row],[ItemType]]="EVAP KIT UNIVERSAL",Query1[[#This Row],[OrderQty]]+J3087,J3087)</f>
        <v>1388</v>
      </c>
      <c r="K3088" s="1">
        <f>Query1[[#This Row],[SF Running Total]]+Query1[[#This Row],[UNIV Running Total]]</f>
        <v>5123</v>
      </c>
      <c r="L3088">
        <f>VLOOKUP(Query1[[#This Row],[Description]],'kits to boards'!$B$2:$E$156,2,FALSE)</f>
        <v>830103</v>
      </c>
      <c r="M3088">
        <f>VLOOKUP(Query1[[#This Row],[Description]],'kits to boards'!$B$2:$E$156,3,FALSE)</f>
        <v>0</v>
      </c>
      <c r="N3088">
        <f>VLOOKUP(Query1[[#This Row],[Description]],'kits to boards'!$B$2:$E$156,4,FALSE)</f>
        <v>0</v>
      </c>
      <c r="O3088" t="str">
        <f>CONCATENATE(Query1[[#This Row],[Description]]," - ",Query1[[#This Row],[MB1]]," - ",Query1[[#This Row],[MB2]]," - ",Query1[[#This Row],[MB3]])</f>
        <v>EVAP KIT 78-82 VETTE W/AC - 830103 - 0 - 0</v>
      </c>
    </row>
    <row r="3089" spans="1:15" x14ac:dyDescent="0.25">
      <c r="A3089" s="1">
        <v>917539</v>
      </c>
      <c r="B3089" s="1" t="s">
        <v>114</v>
      </c>
      <c r="C3089" s="1" t="s">
        <v>115</v>
      </c>
      <c r="D3089" s="2">
        <v>44650.638072835645</v>
      </c>
      <c r="E3089" s="1" t="s">
        <v>8</v>
      </c>
      <c r="F3089" s="1">
        <v>10</v>
      </c>
      <c r="G3089" s="1">
        <v>0</v>
      </c>
      <c r="H3089" s="6">
        <f>INT(Query1[[#This Row],[EntryDateTime]])</f>
        <v>44650</v>
      </c>
      <c r="I3089" s="1">
        <f>IF(Query1[[#This Row],[ItemType]]="EVAP KIT SF GEN IV",Query1[[#This Row],[OrderQty]]+I3088,I3088)</f>
        <v>3745</v>
      </c>
      <c r="J3089" s="1">
        <f>IF(Query1[[#This Row],[ItemType]]="EVAP KIT UNIVERSAL",Query1[[#This Row],[OrderQty]]+J3088,J3088)</f>
        <v>1388</v>
      </c>
      <c r="K3089" s="1">
        <f>Query1[[#This Row],[SF Running Total]]+Query1[[#This Row],[UNIV Running Total]]</f>
        <v>5133</v>
      </c>
      <c r="L3089">
        <f>VLOOKUP(Query1[[#This Row],[Description]],'kits to boards'!$B$2:$E$156,2,FALSE)</f>
        <v>830059</v>
      </c>
      <c r="M3089">
        <f>VLOOKUP(Query1[[#This Row],[Description]],'kits to boards'!$B$2:$E$156,3,FALSE)</f>
        <v>0</v>
      </c>
      <c r="N3089">
        <f>VLOOKUP(Query1[[#This Row],[Description]],'kits to boards'!$B$2:$E$156,4,FALSE)</f>
        <v>0</v>
      </c>
      <c r="O3089" t="str">
        <f>CONCATENATE(Query1[[#This Row],[Description]]," - ",Query1[[#This Row],[MB1]]," - ",Query1[[#This Row],[MB2]]," - ",Query1[[#This Row],[MB3]])</f>
        <v>EVAP KIT 66-67 CHEVELLE W/AC - 830059 - 0 - 0</v>
      </c>
    </row>
    <row r="3090" spans="1:15" x14ac:dyDescent="0.25">
      <c r="A3090" s="1">
        <v>917539</v>
      </c>
      <c r="B3090" s="1" t="s">
        <v>18</v>
      </c>
      <c r="C3090" s="1" t="s">
        <v>19</v>
      </c>
      <c r="D3090" s="2">
        <v>44650.638079166667</v>
      </c>
      <c r="E3090" s="1" t="s">
        <v>8</v>
      </c>
      <c r="F3090" s="1">
        <v>5</v>
      </c>
      <c r="G3090" s="1">
        <v>0</v>
      </c>
      <c r="H3090" s="6">
        <f>INT(Query1[[#This Row],[EntryDateTime]])</f>
        <v>44650</v>
      </c>
      <c r="I3090" s="1">
        <f>IF(Query1[[#This Row],[ItemType]]="EVAP KIT SF GEN IV",Query1[[#This Row],[OrderQty]]+I3089,I3089)</f>
        <v>3750</v>
      </c>
      <c r="J3090" s="1">
        <f>IF(Query1[[#This Row],[ItemType]]="EVAP KIT UNIVERSAL",Query1[[#This Row],[OrderQty]]+J3089,J3089)</f>
        <v>1388</v>
      </c>
      <c r="K3090" s="1">
        <f>Query1[[#This Row],[SF Running Total]]+Query1[[#This Row],[UNIV Running Total]]</f>
        <v>5138</v>
      </c>
      <c r="L3090">
        <f>VLOOKUP(Query1[[#This Row],[Description]],'kits to boards'!$B$2:$E$156,2,FALSE)</f>
        <v>830051</v>
      </c>
      <c r="M3090">
        <f>VLOOKUP(Query1[[#This Row],[Description]],'kits to boards'!$B$2:$E$156,3,FALSE)</f>
        <v>0</v>
      </c>
      <c r="N3090">
        <f>VLOOKUP(Query1[[#This Row],[Description]],'kits to boards'!$B$2:$E$156,4,FALSE)</f>
        <v>0</v>
      </c>
      <c r="O3090" t="str">
        <f>CONCATENATE(Query1[[#This Row],[Description]]," - ",Query1[[#This Row],[MB1]]," - ",Query1[[#This Row],[MB2]]," - ",Query1[[#This Row],[MB3]])</f>
        <v>EVAP KIT 70-78 CAMARO W/AC - 830051 - 0 - 0</v>
      </c>
    </row>
    <row r="3091" spans="1:15" x14ac:dyDescent="0.25">
      <c r="A3091" s="1">
        <v>917539</v>
      </c>
      <c r="B3091" s="1" t="s">
        <v>40</v>
      </c>
      <c r="C3091" s="1" t="s">
        <v>41</v>
      </c>
      <c r="D3091" s="2">
        <v>44650.638083298611</v>
      </c>
      <c r="E3091" s="1" t="s">
        <v>8</v>
      </c>
      <c r="F3091" s="1">
        <v>10</v>
      </c>
      <c r="G3091" s="1">
        <v>0</v>
      </c>
      <c r="H3091" s="6">
        <f>INT(Query1[[#This Row],[EntryDateTime]])</f>
        <v>44650</v>
      </c>
      <c r="I3091" s="1">
        <f>IF(Query1[[#This Row],[ItemType]]="EVAP KIT SF GEN IV",Query1[[#This Row],[OrderQty]]+I3090,I3090)</f>
        <v>3760</v>
      </c>
      <c r="J3091" s="1">
        <f>IF(Query1[[#This Row],[ItemType]]="EVAP KIT UNIVERSAL",Query1[[#This Row],[OrderQty]]+J3090,J3090)</f>
        <v>1388</v>
      </c>
      <c r="K3091" s="1">
        <f>Query1[[#This Row],[SF Running Total]]+Query1[[#This Row],[UNIV Running Total]]</f>
        <v>5148</v>
      </c>
      <c r="L3091">
        <f>VLOOKUP(Query1[[#This Row],[Description]],'kits to boards'!$B$2:$E$156,2,FALSE)</f>
        <v>830024</v>
      </c>
      <c r="M3091">
        <f>VLOOKUP(Query1[[#This Row],[Description]],'kits to boards'!$B$2:$E$156,3,FALSE)</f>
        <v>0</v>
      </c>
      <c r="N3091">
        <f>VLOOKUP(Query1[[#This Row],[Description]],'kits to boards'!$B$2:$E$156,4,FALSE)</f>
        <v>0</v>
      </c>
      <c r="O3091" t="str">
        <f>CONCATENATE(Query1[[#This Row],[Description]]," - ",Query1[[#This Row],[MB1]]," - ",Query1[[#This Row],[MB2]]," - ",Query1[[#This Row],[MB3]])</f>
        <v>EVAP KIT 79-81 CAMARO W/AC - 830024 - 0 - 0</v>
      </c>
    </row>
    <row r="3092" spans="1:15" x14ac:dyDescent="0.25">
      <c r="A3092" s="1">
        <v>917539</v>
      </c>
      <c r="B3092" s="1" t="s">
        <v>182</v>
      </c>
      <c r="C3092" s="1" t="s">
        <v>183</v>
      </c>
      <c r="D3092" s="2">
        <v>44650.638087847219</v>
      </c>
      <c r="E3092" s="1" t="s">
        <v>8</v>
      </c>
      <c r="F3092" s="1">
        <v>6</v>
      </c>
      <c r="G3092" s="1">
        <v>0</v>
      </c>
      <c r="H3092" s="6">
        <f>INT(Query1[[#This Row],[EntryDateTime]])</f>
        <v>44650</v>
      </c>
      <c r="I3092" s="1">
        <f>IF(Query1[[#This Row],[ItemType]]="EVAP KIT SF GEN IV",Query1[[#This Row],[OrderQty]]+I3091,I3091)</f>
        <v>3766</v>
      </c>
      <c r="J3092" s="1">
        <f>IF(Query1[[#This Row],[ItemType]]="EVAP KIT UNIVERSAL",Query1[[#This Row],[OrderQty]]+J3091,J3091)</f>
        <v>1388</v>
      </c>
      <c r="K3092" s="1">
        <f>Query1[[#This Row],[SF Running Total]]+Query1[[#This Row],[UNIV Running Total]]</f>
        <v>5154</v>
      </c>
      <c r="L3092">
        <f>VLOOKUP(Query1[[#This Row],[Description]],'kits to boards'!$B$2:$E$156,2,FALSE)</f>
        <v>830075</v>
      </c>
      <c r="M3092">
        <f>VLOOKUP(Query1[[#This Row],[Description]],'kits to boards'!$B$2:$E$156,3,FALSE)</f>
        <v>0</v>
      </c>
      <c r="N3092">
        <f>VLOOKUP(Query1[[#This Row],[Description]],'kits to boards'!$B$2:$E$156,4,FALSE)</f>
        <v>0</v>
      </c>
      <c r="O3092" t="str">
        <f>CONCATENATE(Query1[[#This Row],[Description]]," - ",Query1[[#This Row],[MB1]]," - ",Query1[[#This Row],[MB2]]," - ",Query1[[#This Row],[MB3]])</f>
        <v>EVAP KIT 69-70 MOPAR B BODY WO AC - 830075 - 0 - 0</v>
      </c>
    </row>
    <row r="3093" spans="1:15" x14ac:dyDescent="0.25">
      <c r="A3093" s="1">
        <v>917539</v>
      </c>
      <c r="B3093" s="1" t="s">
        <v>196</v>
      </c>
      <c r="C3093" s="1" t="s">
        <v>197</v>
      </c>
      <c r="D3093" s="2">
        <v>44650.638103437501</v>
      </c>
      <c r="E3093" s="1" t="s">
        <v>11</v>
      </c>
      <c r="F3093" s="1">
        <v>9</v>
      </c>
      <c r="G3093" s="1">
        <v>0</v>
      </c>
      <c r="H3093" s="6">
        <f>INT(Query1[[#This Row],[EntryDateTime]])</f>
        <v>44650</v>
      </c>
      <c r="I3093" s="1">
        <f>IF(Query1[[#This Row],[ItemType]]="EVAP KIT SF GEN IV",Query1[[#This Row],[OrderQty]]+I3092,I3092)</f>
        <v>3766</v>
      </c>
      <c r="J3093" s="1">
        <f>IF(Query1[[#This Row],[ItemType]]="EVAP KIT UNIVERSAL",Query1[[#This Row],[OrderQty]]+J3092,J3092)</f>
        <v>1397</v>
      </c>
      <c r="K3093" s="1">
        <f>Query1[[#This Row],[SF Running Total]]+Query1[[#This Row],[UNIV Running Total]]</f>
        <v>5163</v>
      </c>
      <c r="L3093">
        <f>VLOOKUP(Query1[[#This Row],[Description]],'kits to boards'!$B$2:$E$156,2,FALSE)</f>
        <v>830090</v>
      </c>
      <c r="M3093">
        <f>VLOOKUP(Query1[[#This Row],[Description]],'kits to boards'!$B$2:$E$156,3,FALSE)</f>
        <v>0</v>
      </c>
      <c r="N3093">
        <f>VLOOKUP(Query1[[#This Row],[Description]],'kits to boards'!$B$2:$E$156,4,FALSE)</f>
        <v>0</v>
      </c>
      <c r="O3093" t="str">
        <f>CONCATENATE(Query1[[#This Row],[Description]]," - ",Query1[[#This Row],[MB1]]," - ",Query1[[#This Row],[MB2]]," - ",Query1[[#This Row],[MB3]])</f>
        <v>TRUNK UNIT HEAT/COOL 134A - 830090 - 0 - 0</v>
      </c>
    </row>
    <row r="3094" spans="1:15" x14ac:dyDescent="0.25">
      <c r="A3094" s="1">
        <v>917539</v>
      </c>
      <c r="B3094" s="1" t="s">
        <v>168</v>
      </c>
      <c r="C3094" s="1" t="s">
        <v>169</v>
      </c>
      <c r="D3094" s="2">
        <v>44650.638109641201</v>
      </c>
      <c r="E3094" s="1" t="s">
        <v>8</v>
      </c>
      <c r="F3094" s="1">
        <v>6</v>
      </c>
      <c r="G3094" s="1">
        <v>0</v>
      </c>
      <c r="H3094" s="6">
        <f>INT(Query1[[#This Row],[EntryDateTime]])</f>
        <v>44650</v>
      </c>
      <c r="I3094" s="1">
        <f>IF(Query1[[#This Row],[ItemType]]="EVAP KIT SF GEN IV",Query1[[#This Row],[OrderQty]]+I3093,I3093)</f>
        <v>3772</v>
      </c>
      <c r="J3094" s="1">
        <f>IF(Query1[[#This Row],[ItemType]]="EVAP KIT UNIVERSAL",Query1[[#This Row],[OrderQty]]+J3093,J3093)</f>
        <v>1397</v>
      </c>
      <c r="K3094" s="1">
        <f>Query1[[#This Row],[SF Running Total]]+Query1[[#This Row],[UNIV Running Total]]</f>
        <v>5169</v>
      </c>
      <c r="L3094">
        <f>VLOOKUP(Query1[[#This Row],[Description]],'kits to boards'!$B$2:$E$156,2,FALSE)</f>
        <v>830028</v>
      </c>
      <c r="M3094">
        <f>VLOOKUP(Query1[[#This Row],[Description]],'kits to boards'!$B$2:$E$156,3,FALSE)</f>
        <v>0</v>
      </c>
      <c r="N3094">
        <f>VLOOKUP(Query1[[#This Row],[Description]],'kits to boards'!$B$2:$E$156,4,FALSE)</f>
        <v>0</v>
      </c>
      <c r="O3094" t="str">
        <f>CONCATENATE(Query1[[#This Row],[Description]]," - ",Query1[[#This Row],[MB1]]," - ",Query1[[#This Row],[MB2]]," - ",Query1[[#This Row],[MB3]])</f>
        <v>EVAP KIT 55-59 CHEV P-UP WO AC W/STD  - 830028 - 0 - 0</v>
      </c>
    </row>
    <row r="3095" spans="1:15" x14ac:dyDescent="0.25">
      <c r="A3095" s="1">
        <v>917539</v>
      </c>
      <c r="B3095" s="1" t="s">
        <v>140</v>
      </c>
      <c r="C3095" s="1" t="s">
        <v>141</v>
      </c>
      <c r="D3095" s="2">
        <v>44650.638113391207</v>
      </c>
      <c r="E3095" s="1" t="s">
        <v>8</v>
      </c>
      <c r="F3095" s="1">
        <v>9</v>
      </c>
      <c r="G3095" s="1">
        <v>0</v>
      </c>
      <c r="H3095" s="6">
        <f>INT(Query1[[#This Row],[EntryDateTime]])</f>
        <v>44650</v>
      </c>
      <c r="I3095" s="1">
        <f>IF(Query1[[#This Row],[ItemType]]="EVAP KIT SF GEN IV",Query1[[#This Row],[OrderQty]]+I3094,I3094)</f>
        <v>3781</v>
      </c>
      <c r="J3095" s="1">
        <f>IF(Query1[[#This Row],[ItemType]]="EVAP KIT UNIVERSAL",Query1[[#This Row],[OrderQty]]+J3094,J3094)</f>
        <v>1397</v>
      </c>
      <c r="K3095" s="1">
        <f>Query1[[#This Row],[SF Running Total]]+Query1[[#This Row],[UNIV Running Total]]</f>
        <v>5178</v>
      </c>
      <c r="L3095">
        <f>VLOOKUP(Query1[[#This Row],[Description]],'kits to boards'!$B$2:$E$156,2,FALSE)</f>
        <v>830066</v>
      </c>
      <c r="M3095">
        <f>VLOOKUP(Query1[[#This Row],[Description]],'kits to boards'!$B$2:$E$156,3,FALSE)</f>
        <v>0</v>
      </c>
      <c r="N3095">
        <f>VLOOKUP(Query1[[#This Row],[Description]],'kits to boards'!$B$2:$E$156,4,FALSE)</f>
        <v>0</v>
      </c>
      <c r="O3095" t="str">
        <f>CONCATENATE(Query1[[#This Row],[Description]]," - ",Query1[[#This Row],[MB1]]," - ",Query1[[#This Row],[MB2]]," - ",Query1[[#This Row],[MB3]])</f>
        <v>EVAP KIT 60-63 CHEV P-UP WO AC - 830066 - 0 - 0</v>
      </c>
    </row>
    <row r="3096" spans="1:15" x14ac:dyDescent="0.25">
      <c r="A3096" s="1">
        <v>917539</v>
      </c>
      <c r="B3096" s="1" t="s">
        <v>198</v>
      </c>
      <c r="C3096" s="1" t="s">
        <v>199</v>
      </c>
      <c r="D3096" s="2">
        <v>44650.638117708331</v>
      </c>
      <c r="E3096" s="1" t="s">
        <v>8</v>
      </c>
      <c r="F3096" s="1">
        <v>6</v>
      </c>
      <c r="G3096" s="1">
        <v>0</v>
      </c>
      <c r="H3096" s="6">
        <f>INT(Query1[[#This Row],[EntryDateTime]])</f>
        <v>44650</v>
      </c>
      <c r="I3096" s="1">
        <f>IF(Query1[[#This Row],[ItemType]]="EVAP KIT SF GEN IV",Query1[[#This Row],[OrderQty]]+I3095,I3095)</f>
        <v>3787</v>
      </c>
      <c r="J3096" s="1">
        <f>IF(Query1[[#This Row],[ItemType]]="EVAP KIT UNIVERSAL",Query1[[#This Row],[OrderQty]]+J3095,J3095)</f>
        <v>1397</v>
      </c>
      <c r="K3096" s="1">
        <f>Query1[[#This Row],[SF Running Total]]+Query1[[#This Row],[UNIV Running Total]]</f>
        <v>5184</v>
      </c>
      <c r="L3096">
        <f>VLOOKUP(Query1[[#This Row],[Description]],'kits to boards'!$B$2:$E$156,2,FALSE)</f>
        <v>830042</v>
      </c>
      <c r="M3096">
        <f>VLOOKUP(Query1[[#This Row],[Description]],'kits to boards'!$B$2:$E$156,3,FALSE)</f>
        <v>0</v>
      </c>
      <c r="N3096">
        <f>VLOOKUP(Query1[[#This Row],[Description]],'kits to boards'!$B$2:$E$156,4,FALSE)</f>
        <v>0</v>
      </c>
      <c r="O3096" t="str">
        <f>CONCATENATE(Query1[[#This Row],[Description]]," - ",Query1[[#This Row],[MB1]]," - ",Query1[[#This Row],[MB2]]," - ",Query1[[#This Row],[MB3]])</f>
        <v>EVAP KIT 68-83 TOYOTA FJ40 ULTRA HIGH PERF - 830042 - 0 - 0</v>
      </c>
    </row>
    <row r="3097" spans="1:15" x14ac:dyDescent="0.25">
      <c r="A3097" s="1">
        <v>917539</v>
      </c>
      <c r="B3097" s="1" t="s">
        <v>92</v>
      </c>
      <c r="C3097" s="1" t="s">
        <v>93</v>
      </c>
      <c r="D3097" s="2">
        <v>44650.638121759257</v>
      </c>
      <c r="E3097" s="1" t="s">
        <v>8</v>
      </c>
      <c r="F3097" s="1">
        <v>2</v>
      </c>
      <c r="G3097" s="1">
        <v>0</v>
      </c>
      <c r="H3097" s="6">
        <f>INT(Query1[[#This Row],[EntryDateTime]])</f>
        <v>44650</v>
      </c>
      <c r="I3097" s="1">
        <f>IF(Query1[[#This Row],[ItemType]]="EVAP KIT SF GEN IV",Query1[[#This Row],[OrderQty]]+I3096,I3096)</f>
        <v>3789</v>
      </c>
      <c r="J3097" s="1">
        <f>IF(Query1[[#This Row],[ItemType]]="EVAP KIT UNIVERSAL",Query1[[#This Row],[OrderQty]]+J3096,J3096)</f>
        <v>1397</v>
      </c>
      <c r="K3097" s="1">
        <f>Query1[[#This Row],[SF Running Total]]+Query1[[#This Row],[UNIV Running Total]]</f>
        <v>5186</v>
      </c>
      <c r="L3097">
        <f>VLOOKUP(Query1[[#This Row],[Description]],'kits to boards'!$B$2:$E$156,2,FALSE)</f>
        <v>830063</v>
      </c>
      <c r="M3097">
        <f>VLOOKUP(Query1[[#This Row],[Description]],'kits to boards'!$B$2:$E$156,3,FALSE)</f>
        <v>0</v>
      </c>
      <c r="N3097">
        <f>VLOOKUP(Query1[[#This Row],[Description]],'kits to boards'!$B$2:$E$156,4,FALSE)</f>
        <v>0</v>
      </c>
      <c r="O3097" t="str">
        <f>CONCATENATE(Query1[[#This Row],[Description]]," - ",Query1[[#This Row],[MB1]]," - ",Query1[[#This Row],[MB2]]," - ",Query1[[#This Row],[MB3]])</f>
        <v>EVAP KIT 50-53 CHEV P-UP GEN IV - 830063 - 0 - 0</v>
      </c>
    </row>
    <row r="3098" spans="1:15" x14ac:dyDescent="0.25">
      <c r="A3098" s="1">
        <v>917539</v>
      </c>
      <c r="B3098" s="1" t="s">
        <v>112</v>
      </c>
      <c r="C3098" s="1" t="s">
        <v>113</v>
      </c>
      <c r="D3098" s="2">
        <v>44650.638125497688</v>
      </c>
      <c r="E3098" s="1" t="s">
        <v>8</v>
      </c>
      <c r="F3098" s="1">
        <v>6</v>
      </c>
      <c r="G3098" s="1">
        <v>0</v>
      </c>
      <c r="H3098" s="6">
        <f>INT(Query1[[#This Row],[EntryDateTime]])</f>
        <v>44650</v>
      </c>
      <c r="I3098" s="1">
        <f>IF(Query1[[#This Row],[ItemType]]="EVAP KIT SF GEN IV",Query1[[#This Row],[OrderQty]]+I3097,I3097)</f>
        <v>3795</v>
      </c>
      <c r="J3098" s="1">
        <f>IF(Query1[[#This Row],[ItemType]]="EVAP KIT UNIVERSAL",Query1[[#This Row],[OrderQty]]+J3097,J3097)</f>
        <v>1397</v>
      </c>
      <c r="K3098" s="1">
        <f>Query1[[#This Row],[SF Running Total]]+Query1[[#This Row],[UNIV Running Total]]</f>
        <v>5192</v>
      </c>
      <c r="L3098">
        <f>VLOOKUP(Query1[[#This Row],[Description]],'kits to boards'!$B$2:$E$156,2,FALSE)</f>
        <v>830063</v>
      </c>
      <c r="M3098">
        <f>VLOOKUP(Query1[[#This Row],[Description]],'kits to boards'!$B$2:$E$156,3,FALSE)</f>
        <v>0</v>
      </c>
      <c r="N3098">
        <f>VLOOKUP(Query1[[#This Row],[Description]],'kits to boards'!$B$2:$E$156,4,FALSE)</f>
        <v>0</v>
      </c>
      <c r="O3098" t="str">
        <f>CONCATENATE(Query1[[#This Row],[Description]]," - ",Query1[[#This Row],[MB1]]," - ",Query1[[#This Row],[MB2]]," - ",Query1[[#This Row],[MB3]])</f>
        <v>EVAP KIT 54-55 CHEV P-UP GEN IV - 830063 - 0 - 0</v>
      </c>
    </row>
    <row r="3099" spans="1:15" x14ac:dyDescent="0.25">
      <c r="A3099" s="1">
        <v>917549</v>
      </c>
      <c r="B3099" s="1" t="s">
        <v>14</v>
      </c>
      <c r="C3099" s="1" t="s">
        <v>15</v>
      </c>
      <c r="D3099" s="2">
        <v>44650.665772685184</v>
      </c>
      <c r="E3099" s="1" t="s">
        <v>8</v>
      </c>
      <c r="F3099" s="1">
        <v>1</v>
      </c>
      <c r="G3099" s="1">
        <v>0</v>
      </c>
      <c r="H3099" s="6">
        <f>INT(Query1[[#This Row],[EntryDateTime]])</f>
        <v>44650</v>
      </c>
      <c r="I3099" s="1">
        <f>IF(Query1[[#This Row],[ItemType]]="EVAP KIT SF GEN IV",Query1[[#This Row],[OrderQty]]+I3098,I3098)</f>
        <v>3796</v>
      </c>
      <c r="J3099" s="1">
        <f>IF(Query1[[#This Row],[ItemType]]="EVAP KIT UNIVERSAL",Query1[[#This Row],[OrderQty]]+J3098,J3098)</f>
        <v>1397</v>
      </c>
      <c r="K3099" s="1">
        <f>Query1[[#This Row],[SF Running Total]]+Query1[[#This Row],[UNIV Running Total]]</f>
        <v>5193</v>
      </c>
      <c r="L3099">
        <f>VLOOKUP(Query1[[#This Row],[Description]],'kits to boards'!$B$2:$E$156,2,FALSE)</f>
        <v>830054</v>
      </c>
      <c r="M3099">
        <f>VLOOKUP(Query1[[#This Row],[Description]],'kits to boards'!$B$2:$E$156,3,FALSE)</f>
        <v>0</v>
      </c>
      <c r="N3099">
        <f>VLOOKUP(Query1[[#This Row],[Description]],'kits to boards'!$B$2:$E$156,4,FALSE)</f>
        <v>0</v>
      </c>
      <c r="O3099" t="str">
        <f>CONCATENATE(Query1[[#This Row],[Description]]," - ",Query1[[#This Row],[MB1]]," - ",Query1[[#This Row],[MB2]]," - ",Query1[[#This Row],[MB3]])</f>
        <v>EVAP KIT 55-56 CHEVY - 830054 - 0 - 0</v>
      </c>
    </row>
    <row r="3100" spans="1:15" x14ac:dyDescent="0.25">
      <c r="A3100" s="1">
        <v>917549</v>
      </c>
      <c r="B3100" s="1" t="s">
        <v>22</v>
      </c>
      <c r="C3100" s="1" t="s">
        <v>23</v>
      </c>
      <c r="D3100" s="2">
        <v>44650.665948611109</v>
      </c>
      <c r="E3100" s="1" t="s">
        <v>8</v>
      </c>
      <c r="F3100" s="1">
        <v>12</v>
      </c>
      <c r="G3100" s="1">
        <v>0</v>
      </c>
      <c r="H3100" s="6">
        <f>INT(Query1[[#This Row],[EntryDateTime]])</f>
        <v>44650</v>
      </c>
      <c r="I3100" s="1">
        <f>IF(Query1[[#This Row],[ItemType]]="EVAP KIT SF GEN IV",Query1[[#This Row],[OrderQty]]+I3099,I3099)</f>
        <v>3808</v>
      </c>
      <c r="J3100" s="1">
        <f>IF(Query1[[#This Row],[ItemType]]="EVAP KIT UNIVERSAL",Query1[[#This Row],[OrderQty]]+J3099,J3099)</f>
        <v>1397</v>
      </c>
      <c r="K3100" s="1">
        <f>Query1[[#This Row],[SF Running Total]]+Query1[[#This Row],[UNIV Running Total]]</f>
        <v>5205</v>
      </c>
      <c r="L3100">
        <f>VLOOKUP(Query1[[#This Row],[Description]],'kits to boards'!$B$2:$E$156,2,FALSE)</f>
        <v>830083</v>
      </c>
      <c r="M3100">
        <f>VLOOKUP(Query1[[#This Row],[Description]],'kits to boards'!$B$2:$E$156,3,FALSE)</f>
        <v>0</v>
      </c>
      <c r="N3100">
        <f>VLOOKUP(Query1[[#This Row],[Description]],'kits to boards'!$B$2:$E$156,4,FALSE)</f>
        <v>0</v>
      </c>
      <c r="O3100" t="str">
        <f>CONCATENATE(Query1[[#This Row],[Description]]," - ",Query1[[#This Row],[MB1]]," - ",Query1[[#This Row],[MB2]]," - ",Query1[[#This Row],[MB3]])</f>
        <v>GEN IV MAGNUM EVAP KIT - 830083 - 0 - 0</v>
      </c>
    </row>
    <row r="3101" spans="1:15" x14ac:dyDescent="0.25">
      <c r="A3101" s="1">
        <v>917549</v>
      </c>
      <c r="B3101" s="1" t="s">
        <v>24</v>
      </c>
      <c r="C3101" s="1" t="s">
        <v>25</v>
      </c>
      <c r="D3101" s="2">
        <v>44650.666187002316</v>
      </c>
      <c r="E3101" s="1" t="s">
        <v>11</v>
      </c>
      <c r="F3101" s="1">
        <v>3</v>
      </c>
      <c r="G3101" s="1">
        <v>0</v>
      </c>
      <c r="H3101" s="6">
        <f>INT(Query1[[#This Row],[EntryDateTime]])</f>
        <v>44650</v>
      </c>
      <c r="I3101" s="1">
        <f>IF(Query1[[#This Row],[ItemType]]="EVAP KIT SF GEN IV",Query1[[#This Row],[OrderQty]]+I3100,I3100)</f>
        <v>3808</v>
      </c>
      <c r="J3101" s="1">
        <f>IF(Query1[[#This Row],[ItemType]]="EVAP KIT UNIVERSAL",Query1[[#This Row],[OrderQty]]+J3100,J3100)</f>
        <v>1400</v>
      </c>
      <c r="K3101" s="1">
        <f>Query1[[#This Row],[SF Running Total]]+Query1[[#This Row],[UNIV Running Total]]</f>
        <v>5208</v>
      </c>
      <c r="L3101">
        <f>VLOOKUP(Query1[[#This Row],[Description]],'kits to boards'!$B$2:$E$156,2,FALSE)</f>
        <v>830029</v>
      </c>
      <c r="M3101">
        <f>VLOOKUP(Query1[[#This Row],[Description]],'kits to boards'!$B$2:$E$156,3,FALSE)</f>
        <v>830030</v>
      </c>
      <c r="N3101">
        <f>VLOOKUP(Query1[[#This Row],[Description]],'kits to boards'!$B$2:$E$156,4,FALSE)</f>
        <v>0</v>
      </c>
      <c r="O3101" t="str">
        <f>CONCATENATE(Query1[[#This Row],[Description]]," - ",Query1[[#This Row],[MB1]]," - ",Query1[[#This Row],[MB2]]," - ",Query1[[#This Row],[MB3]])</f>
        <v>ComPac GEN II W/DEF - 830029 - 830030 - 0</v>
      </c>
    </row>
    <row r="3102" spans="1:15" x14ac:dyDescent="0.25">
      <c r="A3102" s="1">
        <v>917553</v>
      </c>
      <c r="B3102" s="1" t="s">
        <v>174</v>
      </c>
      <c r="C3102" s="1" t="s">
        <v>175</v>
      </c>
      <c r="D3102" s="2">
        <v>44650.666672569445</v>
      </c>
      <c r="E3102" s="1" t="s">
        <v>8</v>
      </c>
      <c r="F3102" s="1">
        <v>1</v>
      </c>
      <c r="G3102" s="1">
        <v>0</v>
      </c>
      <c r="H3102" s="6">
        <f>INT(Query1[[#This Row],[EntryDateTime]])</f>
        <v>44650</v>
      </c>
      <c r="I3102" s="1">
        <f>IF(Query1[[#This Row],[ItemType]]="EVAP KIT SF GEN IV",Query1[[#This Row],[OrderQty]]+I3101,I3101)</f>
        <v>3809</v>
      </c>
      <c r="J3102" s="1">
        <f>IF(Query1[[#This Row],[ItemType]]="EVAP KIT UNIVERSAL",Query1[[#This Row],[OrderQty]]+J3101,J3101)</f>
        <v>1400</v>
      </c>
      <c r="K3102" s="1">
        <f>Query1[[#This Row],[SF Running Total]]+Query1[[#This Row],[UNIV Running Total]]</f>
        <v>5209</v>
      </c>
      <c r="L3102">
        <f>VLOOKUP(Query1[[#This Row],[Description]],'kits to boards'!$B$2:$E$156,2,FALSE)</f>
        <v>830007</v>
      </c>
      <c r="M3102">
        <f>VLOOKUP(Query1[[#This Row],[Description]],'kits to boards'!$B$2:$E$156,3,FALSE)</f>
        <v>0</v>
      </c>
      <c r="N3102">
        <f>VLOOKUP(Query1[[#This Row],[Description]],'kits to boards'!$B$2:$E$156,4,FALSE)</f>
        <v>0</v>
      </c>
      <c r="O3102" t="str">
        <f>CONCATENATE(Query1[[#This Row],[Description]]," - ",Query1[[#This Row],[MB1]]," - ",Query1[[#This Row],[MB2]]," - ",Query1[[#This Row],[MB3]])</f>
        <v>EVAP KIT 64 IMPALA W/AC - 830007 - 0 - 0</v>
      </c>
    </row>
    <row r="3103" spans="1:15" x14ac:dyDescent="0.25">
      <c r="A3103" s="1">
        <v>917554</v>
      </c>
      <c r="B3103" s="1" t="s">
        <v>30</v>
      </c>
      <c r="C3103" s="1" t="s">
        <v>31</v>
      </c>
      <c r="D3103" s="2">
        <v>44650.668396261572</v>
      </c>
      <c r="E3103" s="1" t="s">
        <v>8</v>
      </c>
      <c r="F3103" s="1">
        <v>1</v>
      </c>
      <c r="G3103" s="1">
        <v>0</v>
      </c>
      <c r="H3103" s="6">
        <f>INT(Query1[[#This Row],[EntryDateTime]])</f>
        <v>44650</v>
      </c>
      <c r="I3103" s="1">
        <f>IF(Query1[[#This Row],[ItemType]]="EVAP KIT SF GEN IV",Query1[[#This Row],[OrderQty]]+I3102,I3102)</f>
        <v>3810</v>
      </c>
      <c r="J3103" s="1">
        <f>IF(Query1[[#This Row],[ItemType]]="EVAP KIT UNIVERSAL",Query1[[#This Row],[OrderQty]]+J3102,J3102)</f>
        <v>1400</v>
      </c>
      <c r="K3103" s="1">
        <f>Query1[[#This Row],[SF Running Total]]+Query1[[#This Row],[UNIV Running Total]]</f>
        <v>5210</v>
      </c>
      <c r="L3103">
        <f>VLOOKUP(Query1[[#This Row],[Description]],'kits to boards'!$B$2:$E$156,2,FALSE)</f>
        <v>830054</v>
      </c>
      <c r="M3103">
        <f>VLOOKUP(Query1[[#This Row],[Description]],'kits to boards'!$B$2:$E$156,3,FALSE)</f>
        <v>0</v>
      </c>
      <c r="N3103">
        <f>VLOOKUP(Query1[[#This Row],[Description]],'kits to boards'!$B$2:$E$156,4,FALSE)</f>
        <v>0</v>
      </c>
      <c r="O3103" t="str">
        <f>CONCATENATE(Query1[[#This Row],[Description]]," - ",Query1[[#This Row],[MB1]]," - ",Query1[[#This Row],[MB2]]," - ",Query1[[#This Row],[MB3]])</f>
        <v>EVAP KIT 55-56 CHEVY 4-VENT - 830054 - 0 - 0</v>
      </c>
    </row>
    <row r="3104" spans="1:15" x14ac:dyDescent="0.25">
      <c r="A3104" s="1">
        <v>917557</v>
      </c>
      <c r="B3104" s="1" t="s">
        <v>104</v>
      </c>
      <c r="C3104" s="1" t="s">
        <v>105</v>
      </c>
      <c r="D3104" s="2">
        <v>44650.669493784721</v>
      </c>
      <c r="E3104" s="1" t="s">
        <v>11</v>
      </c>
      <c r="F3104" s="1">
        <v>1</v>
      </c>
      <c r="G3104" s="1">
        <v>0</v>
      </c>
      <c r="H3104" s="6">
        <f>INT(Query1[[#This Row],[EntryDateTime]])</f>
        <v>44650</v>
      </c>
      <c r="I3104" s="1">
        <f>IF(Query1[[#This Row],[ItemType]]="EVAP KIT SF GEN IV",Query1[[#This Row],[OrderQty]]+I3103,I3103)</f>
        <v>3810</v>
      </c>
      <c r="J3104" s="1">
        <f>IF(Query1[[#This Row],[ItemType]]="EVAP KIT UNIVERSAL",Query1[[#This Row],[OrderQty]]+J3103,J3103)</f>
        <v>1401</v>
      </c>
      <c r="K3104" s="1">
        <f>Query1[[#This Row],[SF Running Total]]+Query1[[#This Row],[UNIV Running Total]]</f>
        <v>5211</v>
      </c>
      <c r="L3104">
        <f>VLOOKUP(Query1[[#This Row],[Description]],'kits to boards'!$B$2:$E$156,2,FALSE)</f>
        <v>0</v>
      </c>
      <c r="M3104">
        <f>VLOOKUP(Query1[[#This Row],[Description]],'kits to boards'!$B$2:$E$156,3,FALSE)</f>
        <v>0</v>
      </c>
      <c r="N3104">
        <f>VLOOKUP(Query1[[#This Row],[Description]],'kits to boards'!$B$2:$E$156,4,FALSE)</f>
        <v>0</v>
      </c>
      <c r="O3104" t="str">
        <f>CONCATENATE(Query1[[#This Row],[Description]]," - ",Query1[[#This Row],[MB1]]," - ",Query1[[#This Row],[MB2]]," - ",Query1[[#This Row],[MB3]])</f>
        <v>HERITAGE BRUSHED EVAP KIT HEAT/COOL - 0 - 0 - 0</v>
      </c>
    </row>
    <row r="3105" spans="1:15" x14ac:dyDescent="0.25">
      <c r="A3105" s="1">
        <v>917556</v>
      </c>
      <c r="B3105" s="1" t="s">
        <v>62</v>
      </c>
      <c r="C3105" s="1" t="s">
        <v>63</v>
      </c>
      <c r="D3105" s="2">
        <v>44650.669572303239</v>
      </c>
      <c r="E3105" s="1" t="s">
        <v>8</v>
      </c>
      <c r="F3105" s="1">
        <v>1</v>
      </c>
      <c r="G3105" s="1">
        <v>0</v>
      </c>
      <c r="H3105" s="6">
        <f>INT(Query1[[#This Row],[EntryDateTime]])</f>
        <v>44650</v>
      </c>
      <c r="I3105" s="1">
        <f>IF(Query1[[#This Row],[ItemType]]="EVAP KIT SF GEN IV",Query1[[#This Row],[OrderQty]]+I3104,I3104)</f>
        <v>3811</v>
      </c>
      <c r="J3105" s="1">
        <f>IF(Query1[[#This Row],[ItemType]]="EVAP KIT UNIVERSAL",Query1[[#This Row],[OrderQty]]+J3104,J3104)</f>
        <v>1401</v>
      </c>
      <c r="K3105" s="1">
        <f>Query1[[#This Row],[SF Running Total]]+Query1[[#This Row],[UNIV Running Total]]</f>
        <v>5212</v>
      </c>
      <c r="L3105">
        <f>VLOOKUP(Query1[[#This Row],[Description]],'kits to boards'!$B$2:$E$156,2,FALSE)</f>
        <v>830079</v>
      </c>
      <c r="M3105">
        <f>VLOOKUP(Query1[[#This Row],[Description]],'kits to boards'!$B$2:$E$156,3,FALSE)</f>
        <v>830046</v>
      </c>
      <c r="N3105">
        <f>VLOOKUP(Query1[[#This Row],[Description]],'kits to boards'!$B$2:$E$156,4,FALSE)</f>
        <v>0</v>
      </c>
      <c r="O3105" t="str">
        <f>CONCATENATE(Query1[[#This Row],[Description]]," - ",Query1[[#This Row],[MB1]]," - ",Query1[[#This Row],[MB2]]," - ",Query1[[#This Row],[MB3]])</f>
        <v>EVAP KIT 67-68 MUSTANG/COUGAR WO AC - 830079 - 830046 - 0</v>
      </c>
    </row>
    <row r="3106" spans="1:15" x14ac:dyDescent="0.25">
      <c r="A3106" s="1">
        <v>917558</v>
      </c>
      <c r="B3106" s="1" t="s">
        <v>26</v>
      </c>
      <c r="C3106" s="1" t="s">
        <v>27</v>
      </c>
      <c r="D3106" s="2">
        <v>44650.670922372687</v>
      </c>
      <c r="E3106" s="1" t="s">
        <v>8</v>
      </c>
      <c r="F3106" s="1">
        <v>1</v>
      </c>
      <c r="G3106" s="1">
        <v>0</v>
      </c>
      <c r="H3106" s="6">
        <f>INT(Query1[[#This Row],[EntryDateTime]])</f>
        <v>44650</v>
      </c>
      <c r="I3106" s="1">
        <f>IF(Query1[[#This Row],[ItemType]]="EVAP KIT SF GEN IV",Query1[[#This Row],[OrderQty]]+I3105,I3105)</f>
        <v>3812</v>
      </c>
      <c r="J3106" s="1">
        <f>IF(Query1[[#This Row],[ItemType]]="EVAP KIT UNIVERSAL",Query1[[#This Row],[OrderQty]]+J3105,J3105)</f>
        <v>1401</v>
      </c>
      <c r="K3106" s="1">
        <f>Query1[[#This Row],[SF Running Total]]+Query1[[#This Row],[UNIV Running Total]]</f>
        <v>5213</v>
      </c>
      <c r="L3106">
        <f>VLOOKUP(Query1[[#This Row],[Description]],'kits to boards'!$B$2:$E$156,2,FALSE)</f>
        <v>830013</v>
      </c>
      <c r="M3106">
        <f>VLOOKUP(Query1[[#This Row],[Description]],'kits to boards'!$B$2:$E$156,3,FALSE)</f>
        <v>0</v>
      </c>
      <c r="N3106">
        <f>VLOOKUP(Query1[[#This Row],[Description]],'kits to boards'!$B$2:$E$156,4,FALSE)</f>
        <v>0</v>
      </c>
      <c r="O3106" t="str">
        <f>CONCATENATE(Query1[[#This Row],[Description]]," - ",Query1[[#This Row],[MB1]]," - ",Query1[[#This Row],[MB2]]," - ",Query1[[#This Row],[MB3]])</f>
        <v>EVAP KIT 67-72 CHEV P-UP W/AC - 830013 - 0 - 0</v>
      </c>
    </row>
    <row r="3107" spans="1:15" x14ac:dyDescent="0.25">
      <c r="A3107" s="1">
        <v>917560</v>
      </c>
      <c r="B3107" s="1" t="s">
        <v>26</v>
      </c>
      <c r="C3107" s="1" t="s">
        <v>27</v>
      </c>
      <c r="D3107" s="2">
        <v>44650.67188159722</v>
      </c>
      <c r="E3107" s="1" t="s">
        <v>8</v>
      </c>
      <c r="F3107" s="1">
        <v>1</v>
      </c>
      <c r="G3107" s="1">
        <v>0</v>
      </c>
      <c r="H3107" s="6">
        <f>INT(Query1[[#This Row],[EntryDateTime]])</f>
        <v>44650</v>
      </c>
      <c r="I3107" s="1">
        <f>IF(Query1[[#This Row],[ItemType]]="EVAP KIT SF GEN IV",Query1[[#This Row],[OrderQty]]+I3106,I3106)</f>
        <v>3813</v>
      </c>
      <c r="J3107" s="1">
        <f>IF(Query1[[#This Row],[ItemType]]="EVAP KIT UNIVERSAL",Query1[[#This Row],[OrderQty]]+J3106,J3106)</f>
        <v>1401</v>
      </c>
      <c r="K3107" s="1">
        <f>Query1[[#This Row],[SF Running Total]]+Query1[[#This Row],[UNIV Running Total]]</f>
        <v>5214</v>
      </c>
      <c r="L3107">
        <f>VLOOKUP(Query1[[#This Row],[Description]],'kits to boards'!$B$2:$E$156,2,FALSE)</f>
        <v>830013</v>
      </c>
      <c r="M3107">
        <f>VLOOKUP(Query1[[#This Row],[Description]],'kits to boards'!$B$2:$E$156,3,FALSE)</f>
        <v>0</v>
      </c>
      <c r="N3107">
        <f>VLOOKUP(Query1[[#This Row],[Description]],'kits to boards'!$B$2:$E$156,4,FALSE)</f>
        <v>0</v>
      </c>
      <c r="O3107" t="str">
        <f>CONCATENATE(Query1[[#This Row],[Description]]," - ",Query1[[#This Row],[MB1]]," - ",Query1[[#This Row],[MB2]]," - ",Query1[[#This Row],[MB3]])</f>
        <v>EVAP KIT 67-72 CHEV P-UP W/AC - 830013 - 0 - 0</v>
      </c>
    </row>
    <row r="3108" spans="1:15" x14ac:dyDescent="0.25">
      <c r="A3108" s="1">
        <v>917561</v>
      </c>
      <c r="B3108" s="1" t="s">
        <v>26</v>
      </c>
      <c r="C3108" s="1" t="s">
        <v>27</v>
      </c>
      <c r="D3108" s="2">
        <v>44650.672771562502</v>
      </c>
      <c r="E3108" s="1" t="s">
        <v>8</v>
      </c>
      <c r="F3108" s="1">
        <v>1</v>
      </c>
      <c r="G3108" s="1">
        <v>0</v>
      </c>
      <c r="H3108" s="6">
        <f>INT(Query1[[#This Row],[EntryDateTime]])</f>
        <v>44650</v>
      </c>
      <c r="I3108" s="1">
        <f>IF(Query1[[#This Row],[ItemType]]="EVAP KIT SF GEN IV",Query1[[#This Row],[OrderQty]]+I3107,I3107)</f>
        <v>3814</v>
      </c>
      <c r="J3108" s="1">
        <f>IF(Query1[[#This Row],[ItemType]]="EVAP KIT UNIVERSAL",Query1[[#This Row],[OrderQty]]+J3107,J3107)</f>
        <v>1401</v>
      </c>
      <c r="K3108" s="1">
        <f>Query1[[#This Row],[SF Running Total]]+Query1[[#This Row],[UNIV Running Total]]</f>
        <v>5215</v>
      </c>
      <c r="L3108">
        <f>VLOOKUP(Query1[[#This Row],[Description]],'kits to boards'!$B$2:$E$156,2,FALSE)</f>
        <v>830013</v>
      </c>
      <c r="M3108">
        <f>VLOOKUP(Query1[[#This Row],[Description]],'kits to boards'!$B$2:$E$156,3,FALSE)</f>
        <v>0</v>
      </c>
      <c r="N3108">
        <f>VLOOKUP(Query1[[#This Row],[Description]],'kits to boards'!$B$2:$E$156,4,FALSE)</f>
        <v>0</v>
      </c>
      <c r="O3108" t="str">
        <f>CONCATENATE(Query1[[#This Row],[Description]]," - ",Query1[[#This Row],[MB1]]," - ",Query1[[#This Row],[MB2]]," - ",Query1[[#This Row],[MB3]])</f>
        <v>EVAP KIT 67-72 CHEV P-UP W/AC - 830013 - 0 - 0</v>
      </c>
    </row>
    <row r="3109" spans="1:15" x14ac:dyDescent="0.25">
      <c r="A3109" s="1">
        <v>917564</v>
      </c>
      <c r="B3109" s="1" t="s">
        <v>26</v>
      </c>
      <c r="C3109" s="1" t="s">
        <v>27</v>
      </c>
      <c r="D3109" s="2">
        <v>44650.674095104165</v>
      </c>
      <c r="E3109" s="1" t="s">
        <v>8</v>
      </c>
      <c r="F3109" s="1">
        <v>1</v>
      </c>
      <c r="G3109" s="1">
        <v>0</v>
      </c>
      <c r="H3109" s="6">
        <f>INT(Query1[[#This Row],[EntryDateTime]])</f>
        <v>44650</v>
      </c>
      <c r="I3109" s="1">
        <f>IF(Query1[[#This Row],[ItemType]]="EVAP KIT SF GEN IV",Query1[[#This Row],[OrderQty]]+I3108,I3108)</f>
        <v>3815</v>
      </c>
      <c r="J3109" s="1">
        <f>IF(Query1[[#This Row],[ItemType]]="EVAP KIT UNIVERSAL",Query1[[#This Row],[OrderQty]]+J3108,J3108)</f>
        <v>1401</v>
      </c>
      <c r="K3109" s="1">
        <f>Query1[[#This Row],[SF Running Total]]+Query1[[#This Row],[UNIV Running Total]]</f>
        <v>5216</v>
      </c>
      <c r="L3109">
        <f>VLOOKUP(Query1[[#This Row],[Description]],'kits to boards'!$B$2:$E$156,2,FALSE)</f>
        <v>830013</v>
      </c>
      <c r="M3109">
        <f>VLOOKUP(Query1[[#This Row],[Description]],'kits to boards'!$B$2:$E$156,3,FALSE)</f>
        <v>0</v>
      </c>
      <c r="N3109">
        <f>VLOOKUP(Query1[[#This Row],[Description]],'kits to boards'!$B$2:$E$156,4,FALSE)</f>
        <v>0</v>
      </c>
      <c r="O3109" t="str">
        <f>CONCATENATE(Query1[[#This Row],[Description]]," - ",Query1[[#This Row],[MB1]]," - ",Query1[[#This Row],[MB2]]," - ",Query1[[#This Row],[MB3]])</f>
        <v>EVAP KIT 67-72 CHEV P-UP W/AC - 830013 - 0 - 0</v>
      </c>
    </row>
    <row r="3110" spans="1:15" x14ac:dyDescent="0.25">
      <c r="A3110" s="1">
        <v>917565</v>
      </c>
      <c r="B3110" s="1" t="s">
        <v>26</v>
      </c>
      <c r="C3110" s="1" t="s">
        <v>27</v>
      </c>
      <c r="D3110" s="2">
        <v>44650.675055011576</v>
      </c>
      <c r="E3110" s="1" t="s">
        <v>8</v>
      </c>
      <c r="F3110" s="1">
        <v>1</v>
      </c>
      <c r="G3110" s="1">
        <v>0</v>
      </c>
      <c r="H3110" s="6">
        <f>INT(Query1[[#This Row],[EntryDateTime]])</f>
        <v>44650</v>
      </c>
      <c r="I3110" s="1">
        <f>IF(Query1[[#This Row],[ItemType]]="EVAP KIT SF GEN IV",Query1[[#This Row],[OrderQty]]+I3109,I3109)</f>
        <v>3816</v>
      </c>
      <c r="J3110" s="1">
        <f>IF(Query1[[#This Row],[ItemType]]="EVAP KIT UNIVERSAL",Query1[[#This Row],[OrderQty]]+J3109,J3109)</f>
        <v>1401</v>
      </c>
      <c r="K3110" s="1">
        <f>Query1[[#This Row],[SF Running Total]]+Query1[[#This Row],[UNIV Running Total]]</f>
        <v>5217</v>
      </c>
      <c r="L3110">
        <f>VLOOKUP(Query1[[#This Row],[Description]],'kits to boards'!$B$2:$E$156,2,FALSE)</f>
        <v>830013</v>
      </c>
      <c r="M3110">
        <f>VLOOKUP(Query1[[#This Row],[Description]],'kits to boards'!$B$2:$E$156,3,FALSE)</f>
        <v>0</v>
      </c>
      <c r="N3110">
        <f>VLOOKUP(Query1[[#This Row],[Description]],'kits to boards'!$B$2:$E$156,4,FALSE)</f>
        <v>0</v>
      </c>
      <c r="O3110" t="str">
        <f>CONCATENATE(Query1[[#This Row],[Description]]," - ",Query1[[#This Row],[MB1]]," - ",Query1[[#This Row],[MB2]]," - ",Query1[[#This Row],[MB3]])</f>
        <v>EVAP KIT 67-72 CHEV P-UP W/AC - 830013 - 0 - 0</v>
      </c>
    </row>
    <row r="3111" spans="1:15" x14ac:dyDescent="0.25">
      <c r="A3111" s="1">
        <v>917568</v>
      </c>
      <c r="B3111" s="1" t="s">
        <v>42</v>
      </c>
      <c r="C3111" s="1" t="s">
        <v>43</v>
      </c>
      <c r="D3111" s="2">
        <v>44650.677638923611</v>
      </c>
      <c r="E3111" s="1" t="s">
        <v>8</v>
      </c>
      <c r="F3111" s="1">
        <v>2</v>
      </c>
      <c r="G3111" s="1">
        <v>0</v>
      </c>
      <c r="H3111" s="6">
        <f>INT(Query1[[#This Row],[EntryDateTime]])</f>
        <v>44650</v>
      </c>
      <c r="I3111" s="1">
        <f>IF(Query1[[#This Row],[ItemType]]="EVAP KIT SF GEN IV",Query1[[#This Row],[OrderQty]]+I3110,I3110)</f>
        <v>3818</v>
      </c>
      <c r="J3111" s="1">
        <f>IF(Query1[[#This Row],[ItemType]]="EVAP KIT UNIVERSAL",Query1[[#This Row],[OrderQty]]+J3110,J3110)</f>
        <v>1401</v>
      </c>
      <c r="K3111" s="1">
        <f>Query1[[#This Row],[SF Running Total]]+Query1[[#This Row],[UNIV Running Total]]</f>
        <v>5219</v>
      </c>
      <c r="L3111">
        <f>VLOOKUP(Query1[[#This Row],[Description]],'kits to boards'!$B$2:$E$156,2,FALSE)</f>
        <v>830014</v>
      </c>
      <c r="M3111">
        <f>VLOOKUP(Query1[[#This Row],[Description]],'kits to boards'!$B$2:$E$156,3,FALSE)</f>
        <v>0</v>
      </c>
      <c r="N3111">
        <f>VLOOKUP(Query1[[#This Row],[Description]],'kits to boards'!$B$2:$E$156,4,FALSE)</f>
        <v>0</v>
      </c>
      <c r="O3111" t="str">
        <f>CONCATENATE(Query1[[#This Row],[Description]]," - ",Query1[[#This Row],[MB1]]," - ",Query1[[#This Row],[MB2]]," - ",Query1[[#This Row],[MB3]])</f>
        <v>EVAP KIT 67-72 CHEV P-UP WO AC - 830014 - 0 - 0</v>
      </c>
    </row>
    <row r="3112" spans="1:15" x14ac:dyDescent="0.25">
      <c r="A3112" s="1">
        <v>917160</v>
      </c>
      <c r="B3112" s="1" t="s">
        <v>6</v>
      </c>
      <c r="C3112" s="1" t="s">
        <v>7</v>
      </c>
      <c r="D3112" s="2">
        <v>44650.684018368054</v>
      </c>
      <c r="E3112" s="1" t="s">
        <v>8</v>
      </c>
      <c r="F3112" s="1">
        <v>1</v>
      </c>
      <c r="G3112" s="1">
        <v>0</v>
      </c>
      <c r="H3112" s="6">
        <f>INT(Query1[[#This Row],[EntryDateTime]])</f>
        <v>44650</v>
      </c>
      <c r="I3112" s="1">
        <f>IF(Query1[[#This Row],[ItemType]]="EVAP KIT SF GEN IV",Query1[[#This Row],[OrderQty]]+I3111,I3111)</f>
        <v>3819</v>
      </c>
      <c r="J3112" s="1">
        <f>IF(Query1[[#This Row],[ItemType]]="EVAP KIT UNIVERSAL",Query1[[#This Row],[OrderQty]]+J3111,J3111)</f>
        <v>1401</v>
      </c>
      <c r="K3112" s="1">
        <f>Query1[[#This Row],[SF Running Total]]+Query1[[#This Row],[UNIV Running Total]]</f>
        <v>5220</v>
      </c>
      <c r="L3112">
        <f>VLOOKUP(Query1[[#This Row],[Description]],'kits to boards'!$B$2:$E$156,2,FALSE)</f>
        <v>830132</v>
      </c>
      <c r="M3112">
        <f>VLOOKUP(Query1[[#This Row],[Description]],'kits to boards'!$B$2:$E$156,3,FALSE)</f>
        <v>0</v>
      </c>
      <c r="N3112">
        <f>VLOOKUP(Query1[[#This Row],[Description]],'kits to boards'!$B$2:$E$156,4,FALSE)</f>
        <v>0</v>
      </c>
      <c r="O3112" t="str">
        <f>CONCATENATE(Query1[[#This Row],[Description]]," - ",Query1[[#This Row],[MB1]]," - ",Query1[[#This Row],[MB2]]," - ",Query1[[#This Row],[MB3]])</f>
        <v>EVAP KIT 82-88 MONTE CARLO/EL CAMINO - 830132 - 0 - 0</v>
      </c>
    </row>
    <row r="3113" spans="1:15" x14ac:dyDescent="0.25">
      <c r="A3113" s="1">
        <v>917577</v>
      </c>
      <c r="B3113" s="1" t="s">
        <v>192</v>
      </c>
      <c r="C3113" s="1" t="s">
        <v>193</v>
      </c>
      <c r="D3113" s="2">
        <v>44650.698345682868</v>
      </c>
      <c r="E3113" s="1" t="s">
        <v>8</v>
      </c>
      <c r="F3113" s="1">
        <v>1</v>
      </c>
      <c r="G3113" s="1">
        <v>0</v>
      </c>
      <c r="H3113" s="6">
        <f>INT(Query1[[#This Row],[EntryDateTime]])</f>
        <v>44650</v>
      </c>
      <c r="I3113" s="1">
        <f>IF(Query1[[#This Row],[ItemType]]="EVAP KIT SF GEN IV",Query1[[#This Row],[OrderQty]]+I3112,I3112)</f>
        <v>3820</v>
      </c>
      <c r="J3113" s="1">
        <f>IF(Query1[[#This Row],[ItemType]]="EVAP KIT UNIVERSAL",Query1[[#This Row],[OrderQty]]+J3112,J3112)</f>
        <v>1401</v>
      </c>
      <c r="K3113" s="1">
        <f>Query1[[#This Row],[SF Running Total]]+Query1[[#This Row],[UNIV Running Total]]</f>
        <v>5221</v>
      </c>
      <c r="L3113">
        <f>VLOOKUP(Query1[[#This Row],[Description]],'kits to boards'!$B$2:$E$156,2,FALSE)</f>
        <v>830094</v>
      </c>
      <c r="M3113">
        <f>VLOOKUP(Query1[[#This Row],[Description]],'kits to boards'!$B$2:$E$156,3,FALSE)</f>
        <v>0</v>
      </c>
      <c r="N3113">
        <f>VLOOKUP(Query1[[#This Row],[Description]],'kits to boards'!$B$2:$E$156,4,FALSE)</f>
        <v>0</v>
      </c>
      <c r="O3113" t="str">
        <f>CONCATENATE(Query1[[#This Row],[Description]]," - ",Query1[[#This Row],[MB1]]," - ",Query1[[#This Row],[MB2]]," - ",Query1[[#This Row],[MB3]])</f>
        <v>EVAP KIT 69-73 VETTE W/AC - 830094 - 0 - 0</v>
      </c>
    </row>
    <row r="3114" spans="1:15" x14ac:dyDescent="0.25">
      <c r="A3114" s="1">
        <v>917578</v>
      </c>
      <c r="B3114" s="1" t="s">
        <v>182</v>
      </c>
      <c r="C3114" s="1" t="s">
        <v>183</v>
      </c>
      <c r="D3114" s="2">
        <v>44650.701562303242</v>
      </c>
      <c r="E3114" s="1" t="s">
        <v>8</v>
      </c>
      <c r="F3114" s="1">
        <v>1</v>
      </c>
      <c r="G3114" s="1">
        <v>0</v>
      </c>
      <c r="H3114" s="6">
        <f>INT(Query1[[#This Row],[EntryDateTime]])</f>
        <v>44650</v>
      </c>
      <c r="I3114" s="1">
        <f>IF(Query1[[#This Row],[ItemType]]="EVAP KIT SF GEN IV",Query1[[#This Row],[OrderQty]]+I3113,I3113)</f>
        <v>3821</v>
      </c>
      <c r="J3114" s="1">
        <f>IF(Query1[[#This Row],[ItemType]]="EVAP KIT UNIVERSAL",Query1[[#This Row],[OrderQty]]+J3113,J3113)</f>
        <v>1401</v>
      </c>
      <c r="K3114" s="1">
        <f>Query1[[#This Row],[SF Running Total]]+Query1[[#This Row],[UNIV Running Total]]</f>
        <v>5222</v>
      </c>
      <c r="L3114">
        <f>VLOOKUP(Query1[[#This Row],[Description]],'kits to boards'!$B$2:$E$156,2,FALSE)</f>
        <v>830075</v>
      </c>
      <c r="M3114">
        <f>VLOOKUP(Query1[[#This Row],[Description]],'kits to boards'!$B$2:$E$156,3,FALSE)</f>
        <v>0</v>
      </c>
      <c r="N3114">
        <f>VLOOKUP(Query1[[#This Row],[Description]],'kits to boards'!$B$2:$E$156,4,FALSE)</f>
        <v>0</v>
      </c>
      <c r="O3114" t="str">
        <f>CONCATENATE(Query1[[#This Row],[Description]]," - ",Query1[[#This Row],[MB1]]," - ",Query1[[#This Row],[MB2]]," - ",Query1[[#This Row],[MB3]])</f>
        <v>EVAP KIT 69-70 MOPAR B BODY WO AC - 830075 - 0 - 0</v>
      </c>
    </row>
    <row r="3115" spans="1:15" x14ac:dyDescent="0.25">
      <c r="A3115" s="1">
        <v>917581</v>
      </c>
      <c r="B3115" s="1" t="s">
        <v>90</v>
      </c>
      <c r="C3115" s="1" t="s">
        <v>91</v>
      </c>
      <c r="D3115" s="2">
        <v>44651.293540740742</v>
      </c>
      <c r="E3115" s="1" t="s">
        <v>8</v>
      </c>
      <c r="F3115" s="1">
        <v>1</v>
      </c>
      <c r="G3115" s="1">
        <v>0</v>
      </c>
      <c r="H3115" s="6">
        <f>INT(Query1[[#This Row],[EntryDateTime]])</f>
        <v>44651</v>
      </c>
      <c r="I3115" s="1">
        <f>IF(Query1[[#This Row],[ItemType]]="EVAP KIT SF GEN IV",Query1[[#This Row],[OrderQty]]+I3114,I3114)</f>
        <v>3822</v>
      </c>
      <c r="J3115" s="1">
        <f>IF(Query1[[#This Row],[ItemType]]="EVAP KIT UNIVERSAL",Query1[[#This Row],[OrderQty]]+J3114,J3114)</f>
        <v>1401</v>
      </c>
      <c r="K3115" s="1">
        <f>Query1[[#This Row],[SF Running Total]]+Query1[[#This Row],[UNIV Running Total]]</f>
        <v>5223</v>
      </c>
      <c r="L3115">
        <f>VLOOKUP(Query1[[#This Row],[Description]],'kits to boards'!$B$2:$E$156,2,FALSE)</f>
        <v>830105</v>
      </c>
      <c r="M3115">
        <f>VLOOKUP(Query1[[#This Row],[Description]],'kits to boards'!$B$2:$E$156,3,FALSE)</f>
        <v>830106</v>
      </c>
      <c r="N3115">
        <f>VLOOKUP(Query1[[#This Row],[Description]],'kits to boards'!$B$2:$E$156,4,FALSE)</f>
        <v>0</v>
      </c>
      <c r="O3115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3116" spans="1:15" x14ac:dyDescent="0.25">
      <c r="A3116" s="1">
        <v>917583</v>
      </c>
      <c r="B3116" s="1" t="s">
        <v>160</v>
      </c>
      <c r="C3116" s="1" t="s">
        <v>161</v>
      </c>
      <c r="D3116" s="2">
        <v>44651.304738541665</v>
      </c>
      <c r="E3116" s="1" t="s">
        <v>8</v>
      </c>
      <c r="F3116" s="1">
        <v>1</v>
      </c>
      <c r="G3116" s="1">
        <v>0</v>
      </c>
      <c r="H3116" s="6">
        <f>INT(Query1[[#This Row],[EntryDateTime]])</f>
        <v>44651</v>
      </c>
      <c r="I3116" s="1">
        <f>IF(Query1[[#This Row],[ItemType]]="EVAP KIT SF GEN IV",Query1[[#This Row],[OrderQty]]+I3115,I3115)</f>
        <v>3823</v>
      </c>
      <c r="J3116" s="1">
        <f>IF(Query1[[#This Row],[ItemType]]="EVAP KIT UNIVERSAL",Query1[[#This Row],[OrderQty]]+J3115,J3115)</f>
        <v>1401</v>
      </c>
      <c r="K3116" s="1">
        <f>Query1[[#This Row],[SF Running Total]]+Query1[[#This Row],[UNIV Running Total]]</f>
        <v>5224</v>
      </c>
      <c r="L3116">
        <f>VLOOKUP(Query1[[#This Row],[Description]],'kits to boards'!$B$2:$E$156,2,FALSE)</f>
        <v>830083</v>
      </c>
      <c r="M3116">
        <f>VLOOKUP(Query1[[#This Row],[Description]],'kits to boards'!$B$2:$E$156,3,FALSE)</f>
        <v>0</v>
      </c>
      <c r="N3116">
        <f>VLOOKUP(Query1[[#This Row],[Description]],'kits to boards'!$B$2:$E$156,4,FALSE)</f>
        <v>0</v>
      </c>
      <c r="O3116" t="str">
        <f>CONCATENATE(Query1[[#This Row],[Description]]," - ",Query1[[#This Row],[MB1]]," - ",Query1[[#This Row],[MB2]]," - ",Query1[[#This Row],[MB3]])</f>
        <v>EVAP KIT 70-74 CHALNGR/CUDA WO AC - 830083 - 0 - 0</v>
      </c>
    </row>
    <row r="3117" spans="1:15" x14ac:dyDescent="0.25">
      <c r="A3117" s="1">
        <v>917584</v>
      </c>
      <c r="B3117" s="1" t="s">
        <v>108</v>
      </c>
      <c r="C3117" s="1" t="s">
        <v>109</v>
      </c>
      <c r="D3117" s="2">
        <v>44651.307607141207</v>
      </c>
      <c r="E3117" s="1" t="s">
        <v>8</v>
      </c>
      <c r="F3117" s="1">
        <v>1</v>
      </c>
      <c r="G3117" s="1">
        <v>0</v>
      </c>
      <c r="H3117" s="6">
        <f>INT(Query1[[#This Row],[EntryDateTime]])</f>
        <v>44651</v>
      </c>
      <c r="I3117" s="1">
        <f>IF(Query1[[#This Row],[ItemType]]="EVAP KIT SF GEN IV",Query1[[#This Row],[OrderQty]]+I3116,I3116)</f>
        <v>3824</v>
      </c>
      <c r="J3117" s="1">
        <f>IF(Query1[[#This Row],[ItemType]]="EVAP KIT UNIVERSAL",Query1[[#This Row],[OrderQty]]+J3116,J3116)</f>
        <v>1401</v>
      </c>
      <c r="K3117" s="1">
        <f>Query1[[#This Row],[SF Running Total]]+Query1[[#This Row],[UNIV Running Total]]</f>
        <v>5225</v>
      </c>
      <c r="L3117">
        <f>VLOOKUP(Query1[[#This Row],[Description]],'kits to boards'!$B$2:$E$156,2,FALSE)</f>
        <v>830105</v>
      </c>
      <c r="M3117">
        <f>VLOOKUP(Query1[[#This Row],[Description]],'kits to boards'!$B$2:$E$156,3,FALSE)</f>
        <v>830106</v>
      </c>
      <c r="N3117">
        <f>VLOOKUP(Query1[[#This Row],[Description]],'kits to boards'!$B$2:$E$156,4,FALSE)</f>
        <v>0</v>
      </c>
      <c r="O3117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3118" spans="1:15" x14ac:dyDescent="0.25">
      <c r="A3118" s="1">
        <v>917590</v>
      </c>
      <c r="B3118" s="1" t="s">
        <v>190</v>
      </c>
      <c r="C3118" s="1" t="s">
        <v>191</v>
      </c>
      <c r="D3118" s="2">
        <v>44651.32077658565</v>
      </c>
      <c r="E3118" s="1" t="s">
        <v>8</v>
      </c>
      <c r="F3118" s="1">
        <v>1</v>
      </c>
      <c r="G3118" s="1">
        <v>0</v>
      </c>
      <c r="H3118" s="6">
        <f>INT(Query1[[#This Row],[EntryDateTime]])</f>
        <v>44651</v>
      </c>
      <c r="I3118" s="1">
        <f>IF(Query1[[#This Row],[ItemType]]="EVAP KIT SF GEN IV",Query1[[#This Row],[OrderQty]]+I3117,I3117)</f>
        <v>3825</v>
      </c>
      <c r="J3118" s="1">
        <f>IF(Query1[[#This Row],[ItemType]]="EVAP KIT UNIVERSAL",Query1[[#This Row],[OrderQty]]+J3117,J3117)</f>
        <v>1401</v>
      </c>
      <c r="K3118" s="1">
        <f>Query1[[#This Row],[SF Running Total]]+Query1[[#This Row],[UNIV Running Total]]</f>
        <v>5226</v>
      </c>
      <c r="L3118">
        <f>VLOOKUP(Query1[[#This Row],[Description]],'kits to boards'!$B$2:$E$156,2,FALSE)</f>
        <v>830008</v>
      </c>
      <c r="M3118">
        <f>VLOOKUP(Query1[[#This Row],[Description]],'kits to boards'!$B$2:$E$156,3,FALSE)</f>
        <v>0</v>
      </c>
      <c r="N3118">
        <f>VLOOKUP(Query1[[#This Row],[Description]],'kits to boards'!$B$2:$E$156,4,FALSE)</f>
        <v>0</v>
      </c>
      <c r="O3118" t="str">
        <f>CONCATENATE(Query1[[#This Row],[Description]]," - ",Query1[[#This Row],[MB1]]," - ",Query1[[#This Row],[MB2]]," - ",Query1[[#This Row],[MB3]])</f>
        <v>EVAP KIT 63 IMPALA WO AC - 830008 - 0 - 0</v>
      </c>
    </row>
    <row r="3119" spans="1:15" x14ac:dyDescent="0.25">
      <c r="A3119" s="1">
        <v>917600</v>
      </c>
      <c r="B3119" s="1" t="s">
        <v>36</v>
      </c>
      <c r="C3119" s="1" t="s">
        <v>37</v>
      </c>
      <c r="D3119" s="2">
        <v>44651.334800694443</v>
      </c>
      <c r="E3119" s="1" t="s">
        <v>8</v>
      </c>
      <c r="F3119" s="1">
        <v>1</v>
      </c>
      <c r="G3119" s="1">
        <v>0</v>
      </c>
      <c r="H3119" s="6">
        <f>INT(Query1[[#This Row],[EntryDateTime]])</f>
        <v>44651</v>
      </c>
      <c r="I3119" s="1">
        <f>IF(Query1[[#This Row],[ItemType]]="EVAP KIT SF GEN IV",Query1[[#This Row],[OrderQty]]+I3118,I3118)</f>
        <v>3826</v>
      </c>
      <c r="J3119" s="1">
        <f>IF(Query1[[#This Row],[ItemType]]="EVAP KIT UNIVERSAL",Query1[[#This Row],[OrderQty]]+J3118,J3118)</f>
        <v>1401</v>
      </c>
      <c r="K3119" s="1">
        <f>Query1[[#This Row],[SF Running Total]]+Query1[[#This Row],[UNIV Running Total]]</f>
        <v>5227</v>
      </c>
      <c r="L3119">
        <f>VLOOKUP(Query1[[#This Row],[Description]],'kits to boards'!$B$2:$E$156,2,FALSE)</f>
        <v>830015</v>
      </c>
      <c r="M3119">
        <f>VLOOKUP(Query1[[#This Row],[Description]],'kits to boards'!$B$2:$E$156,3,FALSE)</f>
        <v>0</v>
      </c>
      <c r="N3119">
        <f>VLOOKUP(Query1[[#This Row],[Description]],'kits to boards'!$B$2:$E$156,4,FALSE)</f>
        <v>0</v>
      </c>
      <c r="O3119" t="str">
        <f>CONCATENATE(Query1[[#This Row],[Description]]," - ",Query1[[#This Row],[MB1]]," - ",Query1[[#This Row],[MB2]]," - ",Query1[[#This Row],[MB3]])</f>
        <v>EVAP KIT 64-66 CHEV P-UP WO AC W/STD - 830015 - 0 - 0</v>
      </c>
    </row>
    <row r="3120" spans="1:15" x14ac:dyDescent="0.25">
      <c r="A3120" s="1">
        <v>917602</v>
      </c>
      <c r="B3120" s="1" t="s">
        <v>64</v>
      </c>
      <c r="C3120" s="1" t="s">
        <v>65</v>
      </c>
      <c r="D3120" s="2">
        <v>44651.338527465276</v>
      </c>
      <c r="E3120" s="1" t="s">
        <v>8</v>
      </c>
      <c r="F3120" s="1">
        <v>1</v>
      </c>
      <c r="G3120" s="1">
        <v>0</v>
      </c>
      <c r="H3120" s="6">
        <f>INT(Query1[[#This Row],[EntryDateTime]])</f>
        <v>44651</v>
      </c>
      <c r="I3120" s="1">
        <f>IF(Query1[[#This Row],[ItemType]]="EVAP KIT SF GEN IV",Query1[[#This Row],[OrderQty]]+I3119,I3119)</f>
        <v>3827</v>
      </c>
      <c r="J3120" s="1">
        <f>IF(Query1[[#This Row],[ItemType]]="EVAP KIT UNIVERSAL",Query1[[#This Row],[OrderQty]]+J3119,J3119)</f>
        <v>1401</v>
      </c>
      <c r="K3120" s="1">
        <f>Query1[[#This Row],[SF Running Total]]+Query1[[#This Row],[UNIV Running Total]]</f>
        <v>5228</v>
      </c>
      <c r="L3120">
        <f>VLOOKUP(Query1[[#This Row],[Description]],'kits to boards'!$B$2:$E$156,2,FALSE)</f>
        <v>830067</v>
      </c>
      <c r="M3120">
        <f>VLOOKUP(Query1[[#This Row],[Description]],'kits to boards'!$B$2:$E$156,3,FALSE)</f>
        <v>0</v>
      </c>
      <c r="N3120">
        <f>VLOOKUP(Query1[[#This Row],[Description]],'kits to boards'!$B$2:$E$156,4,FALSE)</f>
        <v>0</v>
      </c>
      <c r="O3120" t="str">
        <f>CONCATENATE(Query1[[#This Row],[Description]]," - ",Query1[[#This Row],[MB1]]," - ",Query1[[#This Row],[MB2]]," - ",Query1[[#This Row],[MB3]])</f>
        <v>EVAP KIT 59-60 CHEV CAR 4-LEVER - 830067 - 0 - 0</v>
      </c>
    </row>
    <row r="3121" spans="1:15" x14ac:dyDescent="0.25">
      <c r="A3121" s="1">
        <v>917604</v>
      </c>
      <c r="B3121" s="1" t="s">
        <v>108</v>
      </c>
      <c r="C3121" s="1" t="s">
        <v>109</v>
      </c>
      <c r="D3121" s="2">
        <v>44651.340069791666</v>
      </c>
      <c r="E3121" s="1" t="s">
        <v>8</v>
      </c>
      <c r="F3121" s="1">
        <v>1</v>
      </c>
      <c r="G3121" s="1">
        <v>0</v>
      </c>
      <c r="H3121" s="6">
        <f>INT(Query1[[#This Row],[EntryDateTime]])</f>
        <v>44651</v>
      </c>
      <c r="I3121" s="1">
        <f>IF(Query1[[#This Row],[ItemType]]="EVAP KIT SF GEN IV",Query1[[#This Row],[OrderQty]]+I3120,I3120)</f>
        <v>3828</v>
      </c>
      <c r="J3121" s="1">
        <f>IF(Query1[[#This Row],[ItemType]]="EVAP KIT UNIVERSAL",Query1[[#This Row],[OrderQty]]+J3120,J3120)</f>
        <v>1401</v>
      </c>
      <c r="K3121" s="1">
        <f>Query1[[#This Row],[SF Running Total]]+Query1[[#This Row],[UNIV Running Total]]</f>
        <v>5229</v>
      </c>
      <c r="L3121">
        <f>VLOOKUP(Query1[[#This Row],[Description]],'kits to boards'!$B$2:$E$156,2,FALSE)</f>
        <v>830105</v>
      </c>
      <c r="M3121">
        <f>VLOOKUP(Query1[[#This Row],[Description]],'kits to boards'!$B$2:$E$156,3,FALSE)</f>
        <v>830106</v>
      </c>
      <c r="N3121">
        <f>VLOOKUP(Query1[[#This Row],[Description]],'kits to boards'!$B$2:$E$156,4,FALSE)</f>
        <v>0</v>
      </c>
      <c r="O3121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3122" spans="1:15" x14ac:dyDescent="0.25">
      <c r="A3122" s="1">
        <v>917579</v>
      </c>
      <c r="B3122" s="1" t="s">
        <v>44</v>
      </c>
      <c r="C3122" s="1" t="s">
        <v>45</v>
      </c>
      <c r="D3122" s="2">
        <v>44651.340134525461</v>
      </c>
      <c r="E3122" s="1" t="s">
        <v>8</v>
      </c>
      <c r="F3122" s="1">
        <v>48</v>
      </c>
      <c r="G3122" s="1">
        <v>0</v>
      </c>
      <c r="H3122" s="6">
        <f>INT(Query1[[#This Row],[EntryDateTime]])</f>
        <v>44651</v>
      </c>
      <c r="I3122" s="1">
        <f>IF(Query1[[#This Row],[ItemType]]="EVAP KIT SF GEN IV",Query1[[#This Row],[OrderQty]]+I3121,I3121)</f>
        <v>3876</v>
      </c>
      <c r="J3122" s="1">
        <f>IF(Query1[[#This Row],[ItemType]]="EVAP KIT UNIVERSAL",Query1[[#This Row],[OrderQty]]+J3121,J3121)</f>
        <v>1401</v>
      </c>
      <c r="K3122" s="1">
        <f>Query1[[#This Row],[SF Running Total]]+Query1[[#This Row],[UNIV Running Total]]</f>
        <v>5277</v>
      </c>
      <c r="L3122">
        <f>VLOOKUP(Query1[[#This Row],[Description]],'kits to boards'!$B$2:$E$156,2,FALSE)</f>
        <v>830085</v>
      </c>
      <c r="M3122">
        <f>VLOOKUP(Query1[[#This Row],[Description]],'kits to boards'!$B$2:$E$156,3,FALSE)</f>
        <v>0</v>
      </c>
      <c r="N3122">
        <f>VLOOKUP(Query1[[#This Row],[Description]],'kits to boards'!$B$2:$E$156,4,FALSE)</f>
        <v>0</v>
      </c>
      <c r="O3122" t="str">
        <f>CONCATENATE(Query1[[#This Row],[Description]]," - ",Query1[[#This Row],[MB1]]," - ",Query1[[#This Row],[MB2]]," - ",Query1[[#This Row],[MB3]])</f>
        <v>EVAP KIT 66-77 BRONCO - 830085 - 0 - 0</v>
      </c>
    </row>
    <row r="3123" spans="1:15" x14ac:dyDescent="0.25">
      <c r="A3123" s="1">
        <v>912622</v>
      </c>
      <c r="B3123" s="1" t="s">
        <v>291</v>
      </c>
      <c r="C3123" s="1" t="s">
        <v>292</v>
      </c>
      <c r="D3123" s="2">
        <v>44651.362584641203</v>
      </c>
      <c r="E3123" s="1" t="s">
        <v>8</v>
      </c>
      <c r="F3123" s="1">
        <v>20</v>
      </c>
      <c r="G3123" s="1">
        <v>0</v>
      </c>
      <c r="H3123" s="6">
        <f>INT(Query1[[#This Row],[EntryDateTime]])</f>
        <v>44651</v>
      </c>
      <c r="I3123" s="1">
        <f>IF(Query1[[#This Row],[ItemType]]="EVAP KIT SF GEN IV",Query1[[#This Row],[OrderQty]]+I3122,I3122)</f>
        <v>3896</v>
      </c>
      <c r="J3123" s="1">
        <f>IF(Query1[[#This Row],[ItemType]]="EVAP KIT UNIVERSAL",Query1[[#This Row],[OrderQty]]+J3122,J3122)</f>
        <v>1401</v>
      </c>
      <c r="K3123" s="1">
        <f>Query1[[#This Row],[SF Running Total]]+Query1[[#This Row],[UNIV Running Total]]</f>
        <v>5297</v>
      </c>
      <c r="L3123" t="e">
        <f>VLOOKUP(Query1[[#This Row],[Description]],'kits to boards'!$B$2:$E$156,2,FALSE)</f>
        <v>#N/A</v>
      </c>
      <c r="M3123" t="e">
        <f>VLOOKUP(Query1[[#This Row],[Description]],'kits to boards'!$B$2:$E$156,3,FALSE)</f>
        <v>#N/A</v>
      </c>
      <c r="N3123" t="e">
        <f>VLOOKUP(Query1[[#This Row],[Description]],'kits to boards'!$B$2:$E$156,4,FALSE)</f>
        <v>#N/A</v>
      </c>
      <c r="O3123" t="e">
        <f>CONCATENATE(Query1[[#This Row],[Description]]," - ",Query1[[#This Row],[MB1]]," - ",Query1[[#This Row],[MB2]]," - ",Query1[[#This Row],[MB3]])</f>
        <v>#N/A</v>
      </c>
    </row>
    <row r="3124" spans="1:15" x14ac:dyDescent="0.25">
      <c r="A3124" s="1">
        <v>916715</v>
      </c>
      <c r="B3124" s="1" t="s">
        <v>74</v>
      </c>
      <c r="C3124" s="1" t="s">
        <v>75</v>
      </c>
      <c r="D3124" s="2">
        <v>44651.365018252312</v>
      </c>
      <c r="E3124" s="1" t="s">
        <v>8</v>
      </c>
      <c r="F3124" s="1">
        <v>1</v>
      </c>
      <c r="G3124" s="1">
        <v>0</v>
      </c>
      <c r="H3124" s="6">
        <f>INT(Query1[[#This Row],[EntryDateTime]])</f>
        <v>44651</v>
      </c>
      <c r="I3124" s="1">
        <f>IF(Query1[[#This Row],[ItemType]]="EVAP KIT SF GEN IV",Query1[[#This Row],[OrderQty]]+I3123,I3123)</f>
        <v>3897</v>
      </c>
      <c r="J3124" s="1">
        <f>IF(Query1[[#This Row],[ItemType]]="EVAP KIT UNIVERSAL",Query1[[#This Row],[OrderQty]]+J3123,J3123)</f>
        <v>1401</v>
      </c>
      <c r="K3124" s="1">
        <f>Query1[[#This Row],[SF Running Total]]+Query1[[#This Row],[UNIV Running Total]]</f>
        <v>5298</v>
      </c>
      <c r="L3124">
        <f>VLOOKUP(Query1[[#This Row],[Description]],'kits to boards'!$B$2:$E$156,2,FALSE)</f>
        <v>830065</v>
      </c>
      <c r="M3124">
        <f>VLOOKUP(Query1[[#This Row],[Description]],'kits to boards'!$B$2:$E$156,3,FALSE)</f>
        <v>0</v>
      </c>
      <c r="N3124">
        <f>VLOOKUP(Query1[[#This Row],[Description]],'kits to boards'!$B$2:$E$156,4,FALSE)</f>
        <v>0</v>
      </c>
      <c r="O3124" t="str">
        <f>CONCATENATE(Query1[[#This Row],[Description]]," - ",Query1[[#This Row],[MB1]]," - ",Query1[[#This Row],[MB2]]," - ",Query1[[#This Row],[MB3]])</f>
        <v>EVAP KIT 57 CHEV WO AC 4-VENT PLENUM - 830065 - 0 - 0</v>
      </c>
    </row>
    <row r="3125" spans="1:15" x14ac:dyDescent="0.25">
      <c r="A3125" s="1">
        <v>916716</v>
      </c>
      <c r="B3125" s="1" t="s">
        <v>120</v>
      </c>
      <c r="C3125" s="1" t="s">
        <v>121</v>
      </c>
      <c r="D3125" s="2">
        <v>44651.366045254632</v>
      </c>
      <c r="E3125" s="1" t="s">
        <v>8</v>
      </c>
      <c r="F3125" s="1">
        <v>1</v>
      </c>
      <c r="G3125" s="1">
        <v>0</v>
      </c>
      <c r="H3125" s="6">
        <f>INT(Query1[[#This Row],[EntryDateTime]])</f>
        <v>44651</v>
      </c>
      <c r="I3125" s="1">
        <f>IF(Query1[[#This Row],[ItemType]]="EVAP KIT SF GEN IV",Query1[[#This Row],[OrderQty]]+I3124,I3124)</f>
        <v>3898</v>
      </c>
      <c r="J3125" s="1">
        <f>IF(Query1[[#This Row],[ItemType]]="EVAP KIT UNIVERSAL",Query1[[#This Row],[OrderQty]]+J3124,J3124)</f>
        <v>1401</v>
      </c>
      <c r="K3125" s="1">
        <f>Query1[[#This Row],[SF Running Total]]+Query1[[#This Row],[UNIV Running Total]]</f>
        <v>5299</v>
      </c>
      <c r="L3125">
        <f>VLOOKUP(Query1[[#This Row],[Description]],'kits to boards'!$B$2:$E$156,2,FALSE)</f>
        <v>830014</v>
      </c>
      <c r="M3125">
        <f>VLOOKUP(Query1[[#This Row],[Description]],'kits to boards'!$B$2:$E$156,3,FALSE)</f>
        <v>0</v>
      </c>
      <c r="N3125">
        <f>VLOOKUP(Query1[[#This Row],[Description]],'kits to boards'!$B$2:$E$156,4,FALSE)</f>
        <v>0</v>
      </c>
      <c r="O3125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3126" spans="1:15" x14ac:dyDescent="0.25">
      <c r="A3126" s="1">
        <v>917619</v>
      </c>
      <c r="B3126" s="1" t="s">
        <v>26</v>
      </c>
      <c r="C3126" s="1" t="s">
        <v>27</v>
      </c>
      <c r="D3126" s="2">
        <v>44651.376641006944</v>
      </c>
      <c r="E3126" s="1" t="s">
        <v>8</v>
      </c>
      <c r="F3126" s="1">
        <v>1</v>
      </c>
      <c r="G3126" s="1">
        <v>0</v>
      </c>
      <c r="H3126" s="6">
        <f>INT(Query1[[#This Row],[EntryDateTime]])</f>
        <v>44651</v>
      </c>
      <c r="I3126" s="1">
        <f>IF(Query1[[#This Row],[ItemType]]="EVAP KIT SF GEN IV",Query1[[#This Row],[OrderQty]]+I3125,I3125)</f>
        <v>3899</v>
      </c>
      <c r="J3126" s="1">
        <f>IF(Query1[[#This Row],[ItemType]]="EVAP KIT UNIVERSAL",Query1[[#This Row],[OrderQty]]+J3125,J3125)</f>
        <v>1401</v>
      </c>
      <c r="K3126" s="1">
        <f>Query1[[#This Row],[SF Running Total]]+Query1[[#This Row],[UNIV Running Total]]</f>
        <v>5300</v>
      </c>
      <c r="L3126">
        <f>VLOOKUP(Query1[[#This Row],[Description]],'kits to boards'!$B$2:$E$156,2,FALSE)</f>
        <v>830013</v>
      </c>
      <c r="M3126">
        <f>VLOOKUP(Query1[[#This Row],[Description]],'kits to boards'!$B$2:$E$156,3,FALSE)</f>
        <v>0</v>
      </c>
      <c r="N3126">
        <f>VLOOKUP(Query1[[#This Row],[Description]],'kits to boards'!$B$2:$E$156,4,FALSE)</f>
        <v>0</v>
      </c>
      <c r="O3126" t="str">
        <f>CONCATENATE(Query1[[#This Row],[Description]]," - ",Query1[[#This Row],[MB1]]," - ",Query1[[#This Row],[MB2]]," - ",Query1[[#This Row],[MB3]])</f>
        <v>EVAP KIT 67-72 CHEV P-UP W/AC - 830013 - 0 - 0</v>
      </c>
    </row>
    <row r="3127" spans="1:15" x14ac:dyDescent="0.25">
      <c r="A3127" s="1">
        <v>917620</v>
      </c>
      <c r="B3127" s="1" t="s">
        <v>198</v>
      </c>
      <c r="C3127" s="1" t="s">
        <v>199</v>
      </c>
      <c r="D3127" s="2">
        <v>44651.381261770832</v>
      </c>
      <c r="E3127" s="1" t="s">
        <v>8</v>
      </c>
      <c r="F3127" s="1">
        <v>1</v>
      </c>
      <c r="G3127" s="1">
        <v>0</v>
      </c>
      <c r="H3127" s="6">
        <f>INT(Query1[[#This Row],[EntryDateTime]])</f>
        <v>44651</v>
      </c>
      <c r="I3127" s="1">
        <f>IF(Query1[[#This Row],[ItemType]]="EVAP KIT SF GEN IV",Query1[[#This Row],[OrderQty]]+I3126,I3126)</f>
        <v>3900</v>
      </c>
      <c r="J3127" s="1">
        <f>IF(Query1[[#This Row],[ItemType]]="EVAP KIT UNIVERSAL",Query1[[#This Row],[OrderQty]]+J3126,J3126)</f>
        <v>1401</v>
      </c>
      <c r="K3127" s="1">
        <f>Query1[[#This Row],[SF Running Total]]+Query1[[#This Row],[UNIV Running Total]]</f>
        <v>5301</v>
      </c>
      <c r="L3127">
        <f>VLOOKUP(Query1[[#This Row],[Description]],'kits to boards'!$B$2:$E$156,2,FALSE)</f>
        <v>830042</v>
      </c>
      <c r="M3127">
        <f>VLOOKUP(Query1[[#This Row],[Description]],'kits to boards'!$B$2:$E$156,3,FALSE)</f>
        <v>0</v>
      </c>
      <c r="N3127">
        <f>VLOOKUP(Query1[[#This Row],[Description]],'kits to boards'!$B$2:$E$156,4,FALSE)</f>
        <v>0</v>
      </c>
      <c r="O3127" t="str">
        <f>CONCATENATE(Query1[[#This Row],[Description]]," - ",Query1[[#This Row],[MB1]]," - ",Query1[[#This Row],[MB2]]," - ",Query1[[#This Row],[MB3]])</f>
        <v>EVAP KIT 68-83 TOYOTA FJ40 ULTRA HIGH PERF - 830042 - 0 - 0</v>
      </c>
    </row>
    <row r="3128" spans="1:15" x14ac:dyDescent="0.25">
      <c r="A3128" s="1">
        <v>917622</v>
      </c>
      <c r="B3128" s="1" t="s">
        <v>74</v>
      </c>
      <c r="C3128" s="1" t="s">
        <v>75</v>
      </c>
      <c r="D3128" s="2">
        <v>44651.383056331018</v>
      </c>
      <c r="E3128" s="1" t="s">
        <v>8</v>
      </c>
      <c r="F3128" s="1">
        <v>1</v>
      </c>
      <c r="G3128" s="1">
        <v>0</v>
      </c>
      <c r="H3128" s="6">
        <f>INT(Query1[[#This Row],[EntryDateTime]])</f>
        <v>44651</v>
      </c>
      <c r="I3128" s="1">
        <f>IF(Query1[[#This Row],[ItemType]]="EVAP KIT SF GEN IV",Query1[[#This Row],[OrderQty]]+I3127,I3127)</f>
        <v>3901</v>
      </c>
      <c r="J3128" s="1">
        <f>IF(Query1[[#This Row],[ItemType]]="EVAP KIT UNIVERSAL",Query1[[#This Row],[OrderQty]]+J3127,J3127)</f>
        <v>1401</v>
      </c>
      <c r="K3128" s="1">
        <f>Query1[[#This Row],[SF Running Total]]+Query1[[#This Row],[UNIV Running Total]]</f>
        <v>5302</v>
      </c>
      <c r="L3128">
        <f>VLOOKUP(Query1[[#This Row],[Description]],'kits to boards'!$B$2:$E$156,2,FALSE)</f>
        <v>830065</v>
      </c>
      <c r="M3128">
        <f>VLOOKUP(Query1[[#This Row],[Description]],'kits to boards'!$B$2:$E$156,3,FALSE)</f>
        <v>0</v>
      </c>
      <c r="N3128">
        <f>VLOOKUP(Query1[[#This Row],[Description]],'kits to boards'!$B$2:$E$156,4,FALSE)</f>
        <v>0</v>
      </c>
      <c r="O3128" t="str">
        <f>CONCATENATE(Query1[[#This Row],[Description]]," - ",Query1[[#This Row],[MB1]]," - ",Query1[[#This Row],[MB2]]," - ",Query1[[#This Row],[MB3]])</f>
        <v>EVAP KIT 57 CHEV WO AC 4-VENT PLENUM - 830065 - 0 - 0</v>
      </c>
    </row>
    <row r="3129" spans="1:15" x14ac:dyDescent="0.25">
      <c r="A3129" s="1">
        <v>917627</v>
      </c>
      <c r="B3129" s="1" t="s">
        <v>46</v>
      </c>
      <c r="C3129" s="1" t="s">
        <v>47</v>
      </c>
      <c r="D3129" s="2">
        <v>44651.395668090277</v>
      </c>
      <c r="E3129" s="1" t="s">
        <v>8</v>
      </c>
      <c r="F3129" s="1">
        <v>1</v>
      </c>
      <c r="G3129" s="1">
        <v>0</v>
      </c>
      <c r="H3129" s="6">
        <f>INT(Query1[[#This Row],[EntryDateTime]])</f>
        <v>44651</v>
      </c>
      <c r="I3129" s="1">
        <f>IF(Query1[[#This Row],[ItemType]]="EVAP KIT SF GEN IV",Query1[[#This Row],[OrderQty]]+I3128,I3128)</f>
        <v>3902</v>
      </c>
      <c r="J3129" s="1">
        <f>IF(Query1[[#This Row],[ItemType]]="EVAP KIT UNIVERSAL",Query1[[#This Row],[OrderQty]]+J3128,J3128)</f>
        <v>1401</v>
      </c>
      <c r="K3129" s="1">
        <f>Query1[[#This Row],[SF Running Total]]+Query1[[#This Row],[UNIV Running Total]]</f>
        <v>5303</v>
      </c>
      <c r="L3129">
        <f>VLOOKUP(Query1[[#This Row],[Description]],'kits to boards'!$B$2:$E$156,2,FALSE)</f>
        <v>830018</v>
      </c>
      <c r="M3129">
        <f>VLOOKUP(Query1[[#This Row],[Description]],'kits to boards'!$B$2:$E$156,3,FALSE)</f>
        <v>0</v>
      </c>
      <c r="N3129">
        <f>VLOOKUP(Query1[[#This Row],[Description]],'kits to boards'!$B$2:$E$156,4,FALSE)</f>
        <v>0</v>
      </c>
      <c r="O3129" t="str">
        <f>CONCATENATE(Query1[[#This Row],[Description]]," - ",Query1[[#This Row],[MB1]]," - ",Query1[[#This Row],[MB2]]," - ",Query1[[#This Row],[MB3]])</f>
        <v>EVAP KIT 68-72 FORD P-UP F-100 - 830018 - 0 - 0</v>
      </c>
    </row>
    <row r="3130" spans="1:15" x14ac:dyDescent="0.25">
      <c r="A3130" s="1">
        <v>917638</v>
      </c>
      <c r="B3130" s="1" t="s">
        <v>174</v>
      </c>
      <c r="C3130" s="1" t="s">
        <v>175</v>
      </c>
      <c r="D3130" s="2">
        <v>44651.425193402778</v>
      </c>
      <c r="E3130" s="1" t="s">
        <v>8</v>
      </c>
      <c r="F3130" s="1">
        <v>1</v>
      </c>
      <c r="G3130" s="1">
        <v>0</v>
      </c>
      <c r="H3130" s="6">
        <f>INT(Query1[[#This Row],[EntryDateTime]])</f>
        <v>44651</v>
      </c>
      <c r="I3130" s="1">
        <f>IF(Query1[[#This Row],[ItemType]]="EVAP KIT SF GEN IV",Query1[[#This Row],[OrderQty]]+I3129,I3129)</f>
        <v>3903</v>
      </c>
      <c r="J3130" s="1">
        <f>IF(Query1[[#This Row],[ItemType]]="EVAP KIT UNIVERSAL",Query1[[#This Row],[OrderQty]]+J3129,J3129)</f>
        <v>1401</v>
      </c>
      <c r="K3130" s="1">
        <f>Query1[[#This Row],[SF Running Total]]+Query1[[#This Row],[UNIV Running Total]]</f>
        <v>5304</v>
      </c>
      <c r="L3130">
        <f>VLOOKUP(Query1[[#This Row],[Description]],'kits to boards'!$B$2:$E$156,2,FALSE)</f>
        <v>830007</v>
      </c>
      <c r="M3130">
        <f>VLOOKUP(Query1[[#This Row],[Description]],'kits to boards'!$B$2:$E$156,3,FALSE)</f>
        <v>0</v>
      </c>
      <c r="N3130">
        <f>VLOOKUP(Query1[[#This Row],[Description]],'kits to boards'!$B$2:$E$156,4,FALSE)</f>
        <v>0</v>
      </c>
      <c r="O3130" t="str">
        <f>CONCATENATE(Query1[[#This Row],[Description]]," - ",Query1[[#This Row],[MB1]]," - ",Query1[[#This Row],[MB2]]," - ",Query1[[#This Row],[MB3]])</f>
        <v>EVAP KIT 64 IMPALA W/AC - 830007 - 0 - 0</v>
      </c>
    </row>
    <row r="3131" spans="1:15" x14ac:dyDescent="0.25">
      <c r="A3131" s="1">
        <v>917640</v>
      </c>
      <c r="B3131" s="1" t="s">
        <v>42</v>
      </c>
      <c r="C3131" s="1" t="s">
        <v>43</v>
      </c>
      <c r="D3131" s="2">
        <v>44651.426939849538</v>
      </c>
      <c r="E3131" s="1" t="s">
        <v>8</v>
      </c>
      <c r="F3131" s="1">
        <v>1</v>
      </c>
      <c r="G3131" s="1">
        <v>0</v>
      </c>
      <c r="H3131" s="6">
        <f>INT(Query1[[#This Row],[EntryDateTime]])</f>
        <v>44651</v>
      </c>
      <c r="I3131" s="1">
        <f>IF(Query1[[#This Row],[ItemType]]="EVAP KIT SF GEN IV",Query1[[#This Row],[OrderQty]]+I3130,I3130)</f>
        <v>3904</v>
      </c>
      <c r="J3131" s="1">
        <f>IF(Query1[[#This Row],[ItemType]]="EVAP KIT UNIVERSAL",Query1[[#This Row],[OrderQty]]+J3130,J3130)</f>
        <v>1401</v>
      </c>
      <c r="K3131" s="1">
        <f>Query1[[#This Row],[SF Running Total]]+Query1[[#This Row],[UNIV Running Total]]</f>
        <v>5305</v>
      </c>
      <c r="L3131">
        <f>VLOOKUP(Query1[[#This Row],[Description]],'kits to boards'!$B$2:$E$156,2,FALSE)</f>
        <v>830014</v>
      </c>
      <c r="M3131">
        <f>VLOOKUP(Query1[[#This Row],[Description]],'kits to boards'!$B$2:$E$156,3,FALSE)</f>
        <v>0</v>
      </c>
      <c r="N3131">
        <f>VLOOKUP(Query1[[#This Row],[Description]],'kits to boards'!$B$2:$E$156,4,FALSE)</f>
        <v>0</v>
      </c>
      <c r="O3131" t="str">
        <f>CONCATENATE(Query1[[#This Row],[Description]]," - ",Query1[[#This Row],[MB1]]," - ",Query1[[#This Row],[MB2]]," - ",Query1[[#This Row],[MB3]])</f>
        <v>EVAP KIT 67-72 CHEV P-UP WO AC - 830014 - 0 - 0</v>
      </c>
    </row>
    <row r="3132" spans="1:15" x14ac:dyDescent="0.25">
      <c r="A3132" s="1">
        <v>917641</v>
      </c>
      <c r="B3132" s="1" t="s">
        <v>48</v>
      </c>
      <c r="C3132" s="1" t="s">
        <v>49</v>
      </c>
      <c r="D3132" s="2">
        <v>44651.432173344911</v>
      </c>
      <c r="E3132" s="1" t="s">
        <v>8</v>
      </c>
      <c r="F3132" s="1">
        <v>1</v>
      </c>
      <c r="G3132" s="1">
        <v>0</v>
      </c>
      <c r="H3132" s="6">
        <f>INT(Query1[[#This Row],[EntryDateTime]])</f>
        <v>44651</v>
      </c>
      <c r="I3132" s="1">
        <f>IF(Query1[[#This Row],[ItemType]]="EVAP KIT SF GEN IV",Query1[[#This Row],[OrderQty]]+I3131,I3131)</f>
        <v>3905</v>
      </c>
      <c r="J3132" s="1">
        <f>IF(Query1[[#This Row],[ItemType]]="EVAP KIT UNIVERSAL",Query1[[#This Row],[OrderQty]]+J3131,J3131)</f>
        <v>1401</v>
      </c>
      <c r="K3132" s="1">
        <f>Query1[[#This Row],[SF Running Total]]+Query1[[#This Row],[UNIV Running Total]]</f>
        <v>5306</v>
      </c>
      <c r="L3132">
        <f>VLOOKUP(Query1[[#This Row],[Description]],'kits to boards'!$B$2:$E$156,2,FALSE)</f>
        <v>830015</v>
      </c>
      <c r="M3132">
        <f>VLOOKUP(Query1[[#This Row],[Description]],'kits to boards'!$B$2:$E$156,3,FALSE)</f>
        <v>0</v>
      </c>
      <c r="N3132">
        <f>VLOOKUP(Query1[[#This Row],[Description]],'kits to boards'!$B$2:$E$156,4,FALSE)</f>
        <v>0</v>
      </c>
      <c r="O3132" t="str">
        <f>CONCATENATE(Query1[[#This Row],[Description]]," - ",Query1[[#This Row],[MB1]]," - ",Query1[[#This Row],[MB2]]," - ",Query1[[#This Row],[MB3]])</f>
        <v>EVAP KIT 64-66 CHEV P-UP WO AC W/DELX - 830015 - 0 - 0</v>
      </c>
    </row>
    <row r="3133" spans="1:15" x14ac:dyDescent="0.25">
      <c r="A3133" s="1">
        <v>917642</v>
      </c>
      <c r="B3133" s="1" t="s">
        <v>28</v>
      </c>
      <c r="C3133" s="1" t="s">
        <v>29</v>
      </c>
      <c r="D3133" s="2">
        <v>44651.433648692131</v>
      </c>
      <c r="E3133" s="1" t="s">
        <v>8</v>
      </c>
      <c r="F3133" s="1">
        <v>1</v>
      </c>
      <c r="G3133" s="1">
        <v>0</v>
      </c>
      <c r="H3133" s="6">
        <f>INT(Query1[[#This Row],[EntryDateTime]])</f>
        <v>44651</v>
      </c>
      <c r="I3133" s="1">
        <f>IF(Query1[[#This Row],[ItemType]]="EVAP KIT SF GEN IV",Query1[[#This Row],[OrderQty]]+I3132,I3132)</f>
        <v>3906</v>
      </c>
      <c r="J3133" s="1">
        <f>IF(Query1[[#This Row],[ItemType]]="EVAP KIT UNIVERSAL",Query1[[#This Row],[OrderQty]]+J3132,J3132)</f>
        <v>1401</v>
      </c>
      <c r="K3133" s="1">
        <f>Query1[[#This Row],[SF Running Total]]+Query1[[#This Row],[UNIV Running Total]]</f>
        <v>5307</v>
      </c>
      <c r="L3133">
        <f>VLOOKUP(Query1[[#This Row],[Description]],'kits to boards'!$B$2:$E$156,2,FALSE)</f>
        <v>830001</v>
      </c>
      <c r="M3133">
        <f>VLOOKUP(Query1[[#This Row],[Description]],'kits to boards'!$B$2:$E$156,3,FALSE)</f>
        <v>0</v>
      </c>
      <c r="N3133">
        <f>VLOOKUP(Query1[[#This Row],[Description]],'kits to boards'!$B$2:$E$156,4,FALSE)</f>
        <v>0</v>
      </c>
      <c r="O3133" t="str">
        <f>CONCATENATE(Query1[[#This Row],[Description]]," - ",Query1[[#This Row],[MB1]]," - ",Query1[[#This Row],[MB2]]," - ",Query1[[#This Row],[MB3]])</f>
        <v>EVAP KIT 73-80 CHEV P-UP W/AC - 830001 - 0 - 0</v>
      </c>
    </row>
    <row r="3134" spans="1:15" x14ac:dyDescent="0.25">
      <c r="A3134" s="1">
        <v>917646</v>
      </c>
      <c r="B3134" s="1" t="s">
        <v>277</v>
      </c>
      <c r="C3134" s="1" t="s">
        <v>278</v>
      </c>
      <c r="D3134" s="2">
        <v>44651.443782638889</v>
      </c>
      <c r="E3134" s="1" t="s">
        <v>8</v>
      </c>
      <c r="F3134" s="1">
        <v>1</v>
      </c>
      <c r="G3134" s="1">
        <v>0</v>
      </c>
      <c r="H3134" s="6">
        <f>INT(Query1[[#This Row],[EntryDateTime]])</f>
        <v>44651</v>
      </c>
      <c r="I3134" s="1">
        <f>IF(Query1[[#This Row],[ItemType]]="EVAP KIT SF GEN IV",Query1[[#This Row],[OrderQty]]+I3133,I3133)</f>
        <v>3907</v>
      </c>
      <c r="J3134" s="1">
        <f>IF(Query1[[#This Row],[ItemType]]="EVAP KIT UNIVERSAL",Query1[[#This Row],[OrderQty]]+J3133,J3133)</f>
        <v>1401</v>
      </c>
      <c r="K3134" s="1">
        <f>Query1[[#This Row],[SF Running Total]]+Query1[[#This Row],[UNIV Running Total]]</f>
        <v>5308</v>
      </c>
      <c r="L3134">
        <f>VLOOKUP(Query1[[#This Row],[Description]],'kits to boards'!$B$2:$E$156,2,FALSE)</f>
        <v>830047</v>
      </c>
      <c r="M3134">
        <f>VLOOKUP(Query1[[#This Row],[Description]],'kits to boards'!$B$2:$E$156,3,FALSE)</f>
        <v>0</v>
      </c>
      <c r="N3134">
        <f>VLOOKUP(Query1[[#This Row],[Description]],'kits to boards'!$B$2:$E$156,4,FALSE)</f>
        <v>0</v>
      </c>
      <c r="O3134" t="str">
        <f>CONCATENATE(Query1[[#This Row],[Description]]," - ",Query1[[#This Row],[MB1]]," - ",Query1[[#This Row],[MB2]]," - ",Query1[[#This Row],[MB3]])</f>
        <v>EVAP KIT 68 NOVA WO AC - 830047 - 0 - 0</v>
      </c>
    </row>
    <row r="3135" spans="1:15" x14ac:dyDescent="0.25">
      <c r="A3135" s="1">
        <v>917514</v>
      </c>
      <c r="B3135" s="1" t="s">
        <v>26</v>
      </c>
      <c r="C3135" s="1" t="s">
        <v>27</v>
      </c>
      <c r="D3135" s="2">
        <v>44651.446085185184</v>
      </c>
      <c r="E3135" s="1" t="s">
        <v>8</v>
      </c>
      <c r="F3135" s="1">
        <v>1</v>
      </c>
      <c r="G3135" s="1">
        <v>0</v>
      </c>
      <c r="H3135" s="6">
        <f>INT(Query1[[#This Row],[EntryDateTime]])</f>
        <v>44651</v>
      </c>
      <c r="I3135" s="1">
        <f>IF(Query1[[#This Row],[ItemType]]="EVAP KIT SF GEN IV",Query1[[#This Row],[OrderQty]]+I3134,I3134)</f>
        <v>3908</v>
      </c>
      <c r="J3135" s="1">
        <f>IF(Query1[[#This Row],[ItemType]]="EVAP KIT UNIVERSAL",Query1[[#This Row],[OrderQty]]+J3134,J3134)</f>
        <v>1401</v>
      </c>
      <c r="K3135" s="1">
        <f>Query1[[#This Row],[SF Running Total]]+Query1[[#This Row],[UNIV Running Total]]</f>
        <v>5309</v>
      </c>
      <c r="L3135">
        <f>VLOOKUP(Query1[[#This Row],[Description]],'kits to boards'!$B$2:$E$156,2,FALSE)</f>
        <v>830013</v>
      </c>
      <c r="M3135">
        <f>VLOOKUP(Query1[[#This Row],[Description]],'kits to boards'!$B$2:$E$156,3,FALSE)</f>
        <v>0</v>
      </c>
      <c r="N3135">
        <f>VLOOKUP(Query1[[#This Row],[Description]],'kits to boards'!$B$2:$E$156,4,FALSE)</f>
        <v>0</v>
      </c>
      <c r="O3135" t="str">
        <f>CONCATENATE(Query1[[#This Row],[Description]]," - ",Query1[[#This Row],[MB1]]," - ",Query1[[#This Row],[MB2]]," - ",Query1[[#This Row],[MB3]])</f>
        <v>EVAP KIT 67-72 CHEV P-UP W/AC - 830013 - 0 - 0</v>
      </c>
    </row>
    <row r="3136" spans="1:15" x14ac:dyDescent="0.25">
      <c r="A3136" s="1">
        <v>915199</v>
      </c>
      <c r="B3136" s="1" t="s">
        <v>176</v>
      </c>
      <c r="C3136" s="1" t="s">
        <v>177</v>
      </c>
      <c r="D3136" s="2">
        <v>44651.450241817132</v>
      </c>
      <c r="E3136" s="1" t="s">
        <v>8</v>
      </c>
      <c r="F3136" s="1">
        <v>1</v>
      </c>
      <c r="G3136" s="1">
        <v>0</v>
      </c>
      <c r="H3136" s="6">
        <f>INT(Query1[[#This Row],[EntryDateTime]])</f>
        <v>44651</v>
      </c>
      <c r="I3136" s="1">
        <f>IF(Query1[[#This Row],[ItemType]]="EVAP KIT SF GEN IV",Query1[[#This Row],[OrderQty]]+I3135,I3135)</f>
        <v>3909</v>
      </c>
      <c r="J3136" s="1">
        <f>IF(Query1[[#This Row],[ItemType]]="EVAP KIT UNIVERSAL",Query1[[#This Row],[OrderQty]]+J3135,J3135)</f>
        <v>1401</v>
      </c>
      <c r="K3136" s="1">
        <f>Query1[[#This Row],[SF Running Total]]+Query1[[#This Row],[UNIV Running Total]]</f>
        <v>5310</v>
      </c>
      <c r="L3136">
        <f>VLOOKUP(Query1[[#This Row],[Description]],'kits to boards'!$B$2:$E$156,2,FALSE)</f>
        <v>830125</v>
      </c>
      <c r="M3136">
        <f>VLOOKUP(Query1[[#This Row],[Description]],'kits to boards'!$B$2:$E$156,3,FALSE)</f>
        <v>0</v>
      </c>
      <c r="N3136">
        <f>VLOOKUP(Query1[[#This Row],[Description]],'kits to boards'!$B$2:$E$156,4,FALSE)</f>
        <v>0</v>
      </c>
      <c r="O3136" t="str">
        <f>CONCATENATE(Query1[[#This Row],[Description]]," - ",Query1[[#This Row],[MB1]]," - ",Query1[[#This Row],[MB2]]," - ",Query1[[#This Row],[MB3]])</f>
        <v>EVAP KIT 65-66 IMPALA W/AC - 830125 - 0 - 0</v>
      </c>
    </row>
    <row r="3137" spans="1:15" x14ac:dyDescent="0.25">
      <c r="A3137" s="1">
        <v>917662</v>
      </c>
      <c r="B3137" s="1" t="s">
        <v>26</v>
      </c>
      <c r="C3137" s="1" t="s">
        <v>27</v>
      </c>
      <c r="D3137" s="2">
        <v>44651.506846261575</v>
      </c>
      <c r="E3137" s="1" t="s">
        <v>8</v>
      </c>
      <c r="F3137" s="1">
        <v>1</v>
      </c>
      <c r="G3137" s="1">
        <v>0</v>
      </c>
      <c r="H3137" s="6">
        <f>INT(Query1[[#This Row],[EntryDateTime]])</f>
        <v>44651</v>
      </c>
      <c r="I3137" s="1">
        <f>IF(Query1[[#This Row],[ItemType]]="EVAP KIT SF GEN IV",Query1[[#This Row],[OrderQty]]+I3136,I3136)</f>
        <v>3910</v>
      </c>
      <c r="J3137" s="1">
        <f>IF(Query1[[#This Row],[ItemType]]="EVAP KIT UNIVERSAL",Query1[[#This Row],[OrderQty]]+J3136,J3136)</f>
        <v>1401</v>
      </c>
      <c r="K3137" s="1">
        <f>Query1[[#This Row],[SF Running Total]]+Query1[[#This Row],[UNIV Running Total]]</f>
        <v>5311</v>
      </c>
      <c r="L3137">
        <f>VLOOKUP(Query1[[#This Row],[Description]],'kits to boards'!$B$2:$E$156,2,FALSE)</f>
        <v>830013</v>
      </c>
      <c r="M3137">
        <f>VLOOKUP(Query1[[#This Row],[Description]],'kits to boards'!$B$2:$E$156,3,FALSE)</f>
        <v>0</v>
      </c>
      <c r="N3137">
        <f>VLOOKUP(Query1[[#This Row],[Description]],'kits to boards'!$B$2:$E$156,4,FALSE)</f>
        <v>0</v>
      </c>
      <c r="O3137" t="str">
        <f>CONCATENATE(Query1[[#This Row],[Description]]," - ",Query1[[#This Row],[MB1]]," - ",Query1[[#This Row],[MB2]]," - ",Query1[[#This Row],[MB3]])</f>
        <v>EVAP KIT 67-72 CHEV P-UP W/AC - 830013 - 0 - 0</v>
      </c>
    </row>
    <row r="3138" spans="1:15" x14ac:dyDescent="0.25">
      <c r="A3138" s="1">
        <v>917667</v>
      </c>
      <c r="B3138" s="1" t="s">
        <v>74</v>
      </c>
      <c r="C3138" s="1" t="s">
        <v>75</v>
      </c>
      <c r="D3138" s="2">
        <v>44651.516572372682</v>
      </c>
      <c r="E3138" s="1" t="s">
        <v>8</v>
      </c>
      <c r="F3138" s="1">
        <v>1</v>
      </c>
      <c r="G3138" s="1">
        <v>0</v>
      </c>
      <c r="H3138" s="6">
        <f>INT(Query1[[#This Row],[EntryDateTime]])</f>
        <v>44651</v>
      </c>
      <c r="I3138" s="1">
        <f>IF(Query1[[#This Row],[ItemType]]="EVAP KIT SF GEN IV",Query1[[#This Row],[OrderQty]]+I3137,I3137)</f>
        <v>3911</v>
      </c>
      <c r="J3138" s="1">
        <f>IF(Query1[[#This Row],[ItemType]]="EVAP KIT UNIVERSAL",Query1[[#This Row],[OrderQty]]+J3137,J3137)</f>
        <v>1401</v>
      </c>
      <c r="K3138" s="1">
        <f>Query1[[#This Row],[SF Running Total]]+Query1[[#This Row],[UNIV Running Total]]</f>
        <v>5312</v>
      </c>
      <c r="L3138">
        <f>VLOOKUP(Query1[[#This Row],[Description]],'kits to boards'!$B$2:$E$156,2,FALSE)</f>
        <v>830065</v>
      </c>
      <c r="M3138">
        <f>VLOOKUP(Query1[[#This Row],[Description]],'kits to boards'!$B$2:$E$156,3,FALSE)</f>
        <v>0</v>
      </c>
      <c r="N3138">
        <f>VLOOKUP(Query1[[#This Row],[Description]],'kits to boards'!$B$2:$E$156,4,FALSE)</f>
        <v>0</v>
      </c>
      <c r="O3138" t="str">
        <f>CONCATENATE(Query1[[#This Row],[Description]]," - ",Query1[[#This Row],[MB1]]," - ",Query1[[#This Row],[MB2]]," - ",Query1[[#This Row],[MB3]])</f>
        <v>EVAP KIT 57 CHEV WO AC 4-VENT PLENUM - 830065 - 0 - 0</v>
      </c>
    </row>
    <row r="3139" spans="1:15" x14ac:dyDescent="0.25">
      <c r="A3139" s="1">
        <v>917315</v>
      </c>
      <c r="B3139" s="1" t="s">
        <v>40</v>
      </c>
      <c r="C3139" s="1" t="s">
        <v>41</v>
      </c>
      <c r="D3139" s="2">
        <v>44651.520370451391</v>
      </c>
      <c r="E3139" s="1" t="s">
        <v>8</v>
      </c>
      <c r="F3139" s="1">
        <v>1</v>
      </c>
      <c r="G3139" s="1">
        <v>0</v>
      </c>
      <c r="H3139" s="6">
        <f>INT(Query1[[#This Row],[EntryDateTime]])</f>
        <v>44651</v>
      </c>
      <c r="I3139" s="1">
        <f>IF(Query1[[#This Row],[ItemType]]="EVAP KIT SF GEN IV",Query1[[#This Row],[OrderQty]]+I3138,I3138)</f>
        <v>3912</v>
      </c>
      <c r="J3139" s="1">
        <f>IF(Query1[[#This Row],[ItemType]]="EVAP KIT UNIVERSAL",Query1[[#This Row],[OrderQty]]+J3138,J3138)</f>
        <v>1401</v>
      </c>
      <c r="K3139" s="1">
        <f>Query1[[#This Row],[SF Running Total]]+Query1[[#This Row],[UNIV Running Total]]</f>
        <v>5313</v>
      </c>
      <c r="L3139">
        <f>VLOOKUP(Query1[[#This Row],[Description]],'kits to boards'!$B$2:$E$156,2,FALSE)</f>
        <v>830024</v>
      </c>
      <c r="M3139">
        <f>VLOOKUP(Query1[[#This Row],[Description]],'kits to boards'!$B$2:$E$156,3,FALSE)</f>
        <v>0</v>
      </c>
      <c r="N3139">
        <f>VLOOKUP(Query1[[#This Row],[Description]],'kits to boards'!$B$2:$E$156,4,FALSE)</f>
        <v>0</v>
      </c>
      <c r="O3139" t="str">
        <f>CONCATENATE(Query1[[#This Row],[Description]]," - ",Query1[[#This Row],[MB1]]," - ",Query1[[#This Row],[MB2]]," - ",Query1[[#This Row],[MB3]])</f>
        <v>EVAP KIT 79-81 CAMARO W/AC - 830024 - 0 - 0</v>
      </c>
    </row>
    <row r="3140" spans="1:15" x14ac:dyDescent="0.25">
      <c r="A3140" s="1">
        <v>917666</v>
      </c>
      <c r="B3140" s="1" t="s">
        <v>214</v>
      </c>
      <c r="C3140" s="1" t="s">
        <v>215</v>
      </c>
      <c r="D3140" s="2">
        <v>44651.521809571757</v>
      </c>
      <c r="E3140" s="1" t="s">
        <v>8</v>
      </c>
      <c r="F3140" s="1">
        <v>1</v>
      </c>
      <c r="G3140" s="1">
        <v>0</v>
      </c>
      <c r="H3140" s="6">
        <f>INT(Query1[[#This Row],[EntryDateTime]])</f>
        <v>44651</v>
      </c>
      <c r="I3140" s="1">
        <f>IF(Query1[[#This Row],[ItemType]]="EVAP KIT SF GEN IV",Query1[[#This Row],[OrderQty]]+I3139,I3139)</f>
        <v>3913</v>
      </c>
      <c r="J3140" s="1">
        <f>IF(Query1[[#This Row],[ItemType]]="EVAP KIT UNIVERSAL",Query1[[#This Row],[OrderQty]]+J3139,J3139)</f>
        <v>1401</v>
      </c>
      <c r="K3140" s="1">
        <f>Query1[[#This Row],[SF Running Total]]+Query1[[#This Row],[UNIV Running Total]]</f>
        <v>5314</v>
      </c>
      <c r="L3140">
        <f>VLOOKUP(Query1[[#This Row],[Description]],'kits to boards'!$B$2:$E$156,2,FALSE)</f>
        <v>830072</v>
      </c>
      <c r="M3140">
        <f>VLOOKUP(Query1[[#This Row],[Description]],'kits to boards'!$B$2:$E$156,3,FALSE)</f>
        <v>0</v>
      </c>
      <c r="N3140">
        <f>VLOOKUP(Query1[[#This Row],[Description]],'kits to boards'!$B$2:$E$156,4,FALSE)</f>
        <v>0</v>
      </c>
      <c r="O3140" t="str">
        <f>CONCATENATE(Query1[[#This Row],[Description]]," - ",Query1[[#This Row],[MB1]]," - ",Query1[[#This Row],[MB2]]," - ",Query1[[#This Row],[MB3]])</f>
        <v>EVAP KIT 68 MOPAR B BODY WO AC - 830072 - 0 - 0</v>
      </c>
    </row>
    <row r="3141" spans="1:15" x14ac:dyDescent="0.25">
      <c r="A3141" s="1">
        <v>917677</v>
      </c>
      <c r="B3141" s="1" t="s">
        <v>66</v>
      </c>
      <c r="C3141" s="1" t="s">
        <v>67</v>
      </c>
      <c r="D3141" s="2">
        <v>44651.53779603009</v>
      </c>
      <c r="E3141" s="1" t="s">
        <v>8</v>
      </c>
      <c r="F3141" s="1">
        <v>1</v>
      </c>
      <c r="G3141" s="1">
        <v>0</v>
      </c>
      <c r="H3141" s="6">
        <f>INT(Query1[[#This Row],[EntryDateTime]])</f>
        <v>44651</v>
      </c>
      <c r="I3141" s="1">
        <f>IF(Query1[[#This Row],[ItemType]]="EVAP KIT SF GEN IV",Query1[[#This Row],[OrderQty]]+I3140,I3140)</f>
        <v>3914</v>
      </c>
      <c r="J3141" s="1">
        <f>IF(Query1[[#This Row],[ItemType]]="EVAP KIT UNIVERSAL",Query1[[#This Row],[OrderQty]]+J3140,J3140)</f>
        <v>1401</v>
      </c>
      <c r="K3141" s="1">
        <f>Query1[[#This Row],[SF Running Total]]+Query1[[#This Row],[UNIV Running Total]]</f>
        <v>5315</v>
      </c>
      <c r="L3141">
        <f>VLOOKUP(Query1[[#This Row],[Description]],'kits to boards'!$B$2:$E$156,2,FALSE)</f>
        <v>830060</v>
      </c>
      <c r="M3141">
        <f>VLOOKUP(Query1[[#This Row],[Description]],'kits to boards'!$B$2:$E$156,3,FALSE)</f>
        <v>0</v>
      </c>
      <c r="N3141">
        <f>VLOOKUP(Query1[[#This Row],[Description]],'kits to boards'!$B$2:$E$156,4,FALSE)</f>
        <v>0</v>
      </c>
      <c r="O3141" t="str">
        <f>CONCATENATE(Query1[[#This Row],[Description]]," - ",Query1[[#This Row],[MB1]]," - ",Query1[[#This Row],[MB2]]," - ",Query1[[#This Row],[MB3]])</f>
        <v>EVAP KIT 66-67 CHEVELLE WO AC - 830060 - 0 - 0</v>
      </c>
    </row>
    <row r="3142" spans="1:15" x14ac:dyDescent="0.25">
      <c r="A3142" s="1">
        <v>917679</v>
      </c>
      <c r="B3142" s="1" t="s">
        <v>120</v>
      </c>
      <c r="C3142" s="1" t="s">
        <v>121</v>
      </c>
      <c r="D3142" s="2">
        <v>44651.54425702546</v>
      </c>
      <c r="E3142" s="1" t="s">
        <v>8</v>
      </c>
      <c r="F3142" s="1">
        <v>1</v>
      </c>
      <c r="G3142" s="1">
        <v>0</v>
      </c>
      <c r="H3142" s="6">
        <f>INT(Query1[[#This Row],[EntryDateTime]])</f>
        <v>44651</v>
      </c>
      <c r="I3142" s="1">
        <f>IF(Query1[[#This Row],[ItemType]]="EVAP KIT SF GEN IV",Query1[[#This Row],[OrderQty]]+I3141,I3141)</f>
        <v>3915</v>
      </c>
      <c r="J3142" s="1">
        <f>IF(Query1[[#This Row],[ItemType]]="EVAP KIT UNIVERSAL",Query1[[#This Row],[OrderQty]]+J3141,J3141)</f>
        <v>1401</v>
      </c>
      <c r="K3142" s="1">
        <f>Query1[[#This Row],[SF Running Total]]+Query1[[#This Row],[UNIV Running Total]]</f>
        <v>5316</v>
      </c>
      <c r="L3142">
        <f>VLOOKUP(Query1[[#This Row],[Description]],'kits to boards'!$B$2:$E$156,2,FALSE)</f>
        <v>830014</v>
      </c>
      <c r="M3142">
        <f>VLOOKUP(Query1[[#This Row],[Description]],'kits to boards'!$B$2:$E$156,3,FALSE)</f>
        <v>0</v>
      </c>
      <c r="N3142">
        <f>VLOOKUP(Query1[[#This Row],[Description]],'kits to boards'!$B$2:$E$156,4,FALSE)</f>
        <v>0</v>
      </c>
      <c r="O3142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3143" spans="1:15" x14ac:dyDescent="0.25">
      <c r="A3143" s="1">
        <v>917681</v>
      </c>
      <c r="B3143" s="1" t="s">
        <v>22</v>
      </c>
      <c r="C3143" s="1" t="s">
        <v>23</v>
      </c>
      <c r="D3143" s="2">
        <v>44651.547965937498</v>
      </c>
      <c r="E3143" s="1" t="s">
        <v>8</v>
      </c>
      <c r="F3143" s="1">
        <v>1</v>
      </c>
      <c r="G3143" s="1">
        <v>0</v>
      </c>
      <c r="H3143" s="6">
        <f>INT(Query1[[#This Row],[EntryDateTime]])</f>
        <v>44651</v>
      </c>
      <c r="I3143" s="1">
        <f>IF(Query1[[#This Row],[ItemType]]="EVAP KIT SF GEN IV",Query1[[#This Row],[OrderQty]]+I3142,I3142)</f>
        <v>3916</v>
      </c>
      <c r="J3143" s="1">
        <f>IF(Query1[[#This Row],[ItemType]]="EVAP KIT UNIVERSAL",Query1[[#This Row],[OrderQty]]+J3142,J3142)</f>
        <v>1401</v>
      </c>
      <c r="K3143" s="1">
        <f>Query1[[#This Row],[SF Running Total]]+Query1[[#This Row],[UNIV Running Total]]</f>
        <v>5317</v>
      </c>
      <c r="L3143">
        <f>VLOOKUP(Query1[[#This Row],[Description]],'kits to boards'!$B$2:$E$156,2,FALSE)</f>
        <v>830083</v>
      </c>
      <c r="M3143">
        <f>VLOOKUP(Query1[[#This Row],[Description]],'kits to boards'!$B$2:$E$156,3,FALSE)</f>
        <v>0</v>
      </c>
      <c r="N3143">
        <f>VLOOKUP(Query1[[#This Row],[Description]],'kits to boards'!$B$2:$E$156,4,FALSE)</f>
        <v>0</v>
      </c>
      <c r="O3143" t="str">
        <f>CONCATENATE(Query1[[#This Row],[Description]]," - ",Query1[[#This Row],[MB1]]," - ",Query1[[#This Row],[MB2]]," - ",Query1[[#This Row],[MB3]])</f>
        <v>GEN IV MAGNUM EVAP KIT - 830083 - 0 - 0</v>
      </c>
    </row>
    <row r="3144" spans="1:15" x14ac:dyDescent="0.25">
      <c r="A3144" s="1">
        <v>917674</v>
      </c>
      <c r="B3144" s="1" t="s">
        <v>14</v>
      </c>
      <c r="C3144" s="1" t="s">
        <v>15</v>
      </c>
      <c r="D3144" s="2">
        <v>44651.549241747685</v>
      </c>
      <c r="E3144" s="1" t="s">
        <v>8</v>
      </c>
      <c r="F3144" s="1">
        <v>1</v>
      </c>
      <c r="G3144" s="1">
        <v>0</v>
      </c>
      <c r="H3144" s="6">
        <f>INT(Query1[[#This Row],[EntryDateTime]])</f>
        <v>44651</v>
      </c>
      <c r="I3144" s="1">
        <f>IF(Query1[[#This Row],[ItemType]]="EVAP KIT SF GEN IV",Query1[[#This Row],[OrderQty]]+I3143,I3143)</f>
        <v>3917</v>
      </c>
      <c r="J3144" s="1">
        <f>IF(Query1[[#This Row],[ItemType]]="EVAP KIT UNIVERSAL",Query1[[#This Row],[OrderQty]]+J3143,J3143)</f>
        <v>1401</v>
      </c>
      <c r="K3144" s="1">
        <f>Query1[[#This Row],[SF Running Total]]+Query1[[#This Row],[UNIV Running Total]]</f>
        <v>5318</v>
      </c>
      <c r="L3144">
        <f>VLOOKUP(Query1[[#This Row],[Description]],'kits to boards'!$B$2:$E$156,2,FALSE)</f>
        <v>830054</v>
      </c>
      <c r="M3144">
        <f>VLOOKUP(Query1[[#This Row],[Description]],'kits to boards'!$B$2:$E$156,3,FALSE)</f>
        <v>0</v>
      </c>
      <c r="N3144">
        <f>VLOOKUP(Query1[[#This Row],[Description]],'kits to boards'!$B$2:$E$156,4,FALSE)</f>
        <v>0</v>
      </c>
      <c r="O3144" t="str">
        <f>CONCATENATE(Query1[[#This Row],[Description]]," - ",Query1[[#This Row],[MB1]]," - ",Query1[[#This Row],[MB2]]," - ",Query1[[#This Row],[MB3]])</f>
        <v>EVAP KIT 55-56 CHEVY - 830054 - 0 - 0</v>
      </c>
    </row>
    <row r="3145" spans="1:15" x14ac:dyDescent="0.25">
      <c r="A3145" s="1">
        <v>917684</v>
      </c>
      <c r="B3145" s="1" t="s">
        <v>56</v>
      </c>
      <c r="C3145" s="1" t="s">
        <v>57</v>
      </c>
      <c r="D3145" s="2">
        <v>44651.550464432868</v>
      </c>
      <c r="E3145" s="1" t="s">
        <v>8</v>
      </c>
      <c r="F3145" s="1">
        <v>1</v>
      </c>
      <c r="G3145" s="1">
        <v>0</v>
      </c>
      <c r="H3145" s="6">
        <f>INT(Query1[[#This Row],[EntryDateTime]])</f>
        <v>44651</v>
      </c>
      <c r="I3145" s="1">
        <f>IF(Query1[[#This Row],[ItemType]]="EVAP KIT SF GEN IV",Query1[[#This Row],[OrderQty]]+I3144,I3144)</f>
        <v>3918</v>
      </c>
      <c r="J3145" s="1">
        <f>IF(Query1[[#This Row],[ItemType]]="EVAP KIT UNIVERSAL",Query1[[#This Row],[OrderQty]]+J3144,J3144)</f>
        <v>1401</v>
      </c>
      <c r="K3145" s="1">
        <f>Query1[[#This Row],[SF Running Total]]+Query1[[#This Row],[UNIV Running Total]]</f>
        <v>5319</v>
      </c>
      <c r="L3145">
        <f>VLOOKUP(Query1[[#This Row],[Description]],'kits to boards'!$B$2:$E$156,2,FALSE)</f>
        <v>830011</v>
      </c>
      <c r="M3145">
        <f>VLOOKUP(Query1[[#This Row],[Description]],'kits to boards'!$B$2:$E$156,3,FALSE)</f>
        <v>0</v>
      </c>
      <c r="N3145">
        <f>VLOOKUP(Query1[[#This Row],[Description]],'kits to boards'!$B$2:$E$156,4,FALSE)</f>
        <v>0</v>
      </c>
      <c r="O3145" t="str">
        <f>CONCATENATE(Query1[[#This Row],[Description]]," - ",Query1[[#This Row],[MB1]]," - ",Query1[[#This Row],[MB2]]," - ",Query1[[#This Row],[MB3]])</f>
        <v>EVAP KIT 70-72 CHEVELLE W/AC - 830011 - 0 - 0</v>
      </c>
    </row>
    <row r="3146" spans="1:15" x14ac:dyDescent="0.25">
      <c r="A3146" s="1">
        <v>917695</v>
      </c>
      <c r="B3146" s="1" t="s">
        <v>184</v>
      </c>
      <c r="C3146" s="1" t="s">
        <v>185</v>
      </c>
      <c r="D3146" s="2">
        <v>44651.57527789352</v>
      </c>
      <c r="E3146" s="1" t="s">
        <v>8</v>
      </c>
      <c r="F3146" s="1">
        <v>1</v>
      </c>
      <c r="G3146" s="1">
        <v>0</v>
      </c>
      <c r="H3146" s="6">
        <f>INT(Query1[[#This Row],[EntryDateTime]])</f>
        <v>44651</v>
      </c>
      <c r="I3146" s="1">
        <f>IF(Query1[[#This Row],[ItemType]]="EVAP KIT SF GEN IV",Query1[[#This Row],[OrderQty]]+I3145,I3145)</f>
        <v>3919</v>
      </c>
      <c r="J3146" s="1">
        <f>IF(Query1[[#This Row],[ItemType]]="EVAP KIT UNIVERSAL",Query1[[#This Row],[OrderQty]]+J3145,J3145)</f>
        <v>1401</v>
      </c>
      <c r="K3146" s="1">
        <f>Query1[[#This Row],[SF Running Total]]+Query1[[#This Row],[UNIV Running Total]]</f>
        <v>5320</v>
      </c>
      <c r="L3146">
        <f>VLOOKUP(Query1[[#This Row],[Description]],'kits to boards'!$B$2:$E$156,2,FALSE)</f>
        <v>830042</v>
      </c>
      <c r="M3146">
        <f>VLOOKUP(Query1[[#This Row],[Description]],'kits to boards'!$B$2:$E$156,3,FALSE)</f>
        <v>0</v>
      </c>
      <c r="N3146">
        <f>VLOOKUP(Query1[[#This Row],[Description]],'kits to boards'!$B$2:$E$156,4,FALSE)</f>
        <v>0</v>
      </c>
      <c r="O3146" t="str">
        <f>CONCATENATE(Query1[[#This Row],[Description]]," - ",Query1[[#This Row],[MB1]]," - ",Query1[[#This Row],[MB2]]," - ",Query1[[#This Row],[MB3]])</f>
        <v>EVAP KIT 68-83 TOYOTA FJ40 - 830042 - 0 - 0</v>
      </c>
    </row>
    <row r="3147" spans="1:15" x14ac:dyDescent="0.25">
      <c r="A3147" s="1">
        <v>917689</v>
      </c>
      <c r="B3147" s="1" t="s">
        <v>138</v>
      </c>
      <c r="C3147" s="1" t="s">
        <v>139</v>
      </c>
      <c r="D3147" s="2">
        <v>44651.577366400466</v>
      </c>
      <c r="E3147" s="1" t="s">
        <v>11</v>
      </c>
      <c r="F3147" s="1">
        <v>1</v>
      </c>
      <c r="G3147" s="1">
        <v>0</v>
      </c>
      <c r="H3147" s="6">
        <f>INT(Query1[[#This Row],[EntryDateTime]])</f>
        <v>44651</v>
      </c>
      <c r="I3147" s="1">
        <f>IF(Query1[[#This Row],[ItemType]]="EVAP KIT SF GEN IV",Query1[[#This Row],[OrderQty]]+I3146,I3146)</f>
        <v>3919</v>
      </c>
      <c r="J3147" s="1">
        <f>IF(Query1[[#This Row],[ItemType]]="EVAP KIT UNIVERSAL",Query1[[#This Row],[OrderQty]]+J3146,J3146)</f>
        <v>1402</v>
      </c>
      <c r="K3147" s="1">
        <f>Query1[[#This Row],[SF Running Total]]+Query1[[#This Row],[UNIV Running Total]]</f>
        <v>5321</v>
      </c>
      <c r="L3147">
        <f>VLOOKUP(Query1[[#This Row],[Description]],'kits to boards'!$B$2:$E$156,2,FALSE)</f>
        <v>0</v>
      </c>
      <c r="M3147">
        <f>VLOOKUP(Query1[[#This Row],[Description]],'kits to boards'!$B$2:$E$156,3,FALSE)</f>
        <v>0</v>
      </c>
      <c r="N3147">
        <f>VLOOKUP(Query1[[#This Row],[Description]],'kits to boards'!$B$2:$E$156,4,FALSE)</f>
        <v>0</v>
      </c>
      <c r="O3147" t="str">
        <f>CONCATENATE(Query1[[#This Row],[Description]]," - ",Query1[[#This Row],[MB1]]," - ",Query1[[#This Row],[MB2]]," - ",Query1[[#This Row],[MB3]])</f>
        <v>HERITAGE TURNED BLACK EVAP KIT HEAT/COOL - 0 - 0 - 0</v>
      </c>
    </row>
    <row r="3148" spans="1:15" x14ac:dyDescent="0.25">
      <c r="A3148" s="1">
        <v>917712</v>
      </c>
      <c r="B3148" s="1" t="s">
        <v>20</v>
      </c>
      <c r="C3148" s="1" t="s">
        <v>21</v>
      </c>
      <c r="D3148" s="2">
        <v>44651.607420173612</v>
      </c>
      <c r="E3148" s="1" t="s">
        <v>11</v>
      </c>
      <c r="F3148" s="1">
        <v>1</v>
      </c>
      <c r="G3148" s="1">
        <v>0</v>
      </c>
      <c r="H3148" s="6">
        <f>INT(Query1[[#This Row],[EntryDateTime]])</f>
        <v>44651</v>
      </c>
      <c r="I3148" s="1">
        <f>IF(Query1[[#This Row],[ItemType]]="EVAP KIT SF GEN IV",Query1[[#This Row],[OrderQty]]+I3147,I3147)</f>
        <v>3919</v>
      </c>
      <c r="J3148" s="1">
        <f>IF(Query1[[#This Row],[ItemType]]="EVAP KIT UNIVERSAL",Query1[[#This Row],[OrderQty]]+J3147,J3147)</f>
        <v>1403</v>
      </c>
      <c r="K3148" s="1">
        <f>Query1[[#This Row],[SF Running Total]]+Query1[[#This Row],[UNIV Running Total]]</f>
        <v>5322</v>
      </c>
      <c r="L3148">
        <f>VLOOKUP(Query1[[#This Row],[Description]],'kits to boards'!$B$2:$E$156,2,FALSE)</f>
        <v>830102</v>
      </c>
      <c r="M3148">
        <f>VLOOKUP(Query1[[#This Row],[Description]],'kits to boards'!$B$2:$E$156,3,FALSE)</f>
        <v>0</v>
      </c>
      <c r="N3148">
        <f>VLOOKUP(Query1[[#This Row],[Description]],'kits to boards'!$B$2:$E$156,4,FALSE)</f>
        <v>0</v>
      </c>
      <c r="O3148" t="str">
        <f>CONCATENATE(Query1[[#This Row],[Description]]," - ",Query1[[#This Row],[MB1]]," - ",Query1[[#This Row],[MB2]]," - ",Query1[[#This Row],[MB3]])</f>
        <v>SUPER GEN II W/DEF - 830102 - 0 - 0</v>
      </c>
    </row>
    <row r="3149" spans="1:15" x14ac:dyDescent="0.25">
      <c r="A3149" s="1">
        <v>917713</v>
      </c>
      <c r="B3149" s="1" t="s">
        <v>30</v>
      </c>
      <c r="C3149" s="1" t="s">
        <v>31</v>
      </c>
      <c r="D3149" s="2">
        <v>44651.608595949074</v>
      </c>
      <c r="E3149" s="1" t="s">
        <v>8</v>
      </c>
      <c r="F3149" s="1">
        <v>1</v>
      </c>
      <c r="G3149" s="1">
        <v>0</v>
      </c>
      <c r="H3149" s="6">
        <f>INT(Query1[[#This Row],[EntryDateTime]])</f>
        <v>44651</v>
      </c>
      <c r="I3149" s="1">
        <f>IF(Query1[[#This Row],[ItemType]]="EVAP KIT SF GEN IV",Query1[[#This Row],[OrderQty]]+I3148,I3148)</f>
        <v>3920</v>
      </c>
      <c r="J3149" s="1">
        <f>IF(Query1[[#This Row],[ItemType]]="EVAP KIT UNIVERSAL",Query1[[#This Row],[OrderQty]]+J3148,J3148)</f>
        <v>1403</v>
      </c>
      <c r="K3149" s="1">
        <f>Query1[[#This Row],[SF Running Total]]+Query1[[#This Row],[UNIV Running Total]]</f>
        <v>5323</v>
      </c>
      <c r="L3149">
        <f>VLOOKUP(Query1[[#This Row],[Description]],'kits to boards'!$B$2:$E$156,2,FALSE)</f>
        <v>830054</v>
      </c>
      <c r="M3149">
        <f>VLOOKUP(Query1[[#This Row],[Description]],'kits to boards'!$B$2:$E$156,3,FALSE)</f>
        <v>0</v>
      </c>
      <c r="N3149">
        <f>VLOOKUP(Query1[[#This Row],[Description]],'kits to boards'!$B$2:$E$156,4,FALSE)</f>
        <v>0</v>
      </c>
      <c r="O3149" t="str">
        <f>CONCATENATE(Query1[[#This Row],[Description]]," - ",Query1[[#This Row],[MB1]]," - ",Query1[[#This Row],[MB2]]," - ",Query1[[#This Row],[MB3]])</f>
        <v>EVAP KIT 55-56 CHEVY 4-VENT - 830054 - 0 - 0</v>
      </c>
    </row>
    <row r="3150" spans="1:15" x14ac:dyDescent="0.25">
      <c r="A3150" s="1">
        <v>917716</v>
      </c>
      <c r="B3150" s="1" t="s">
        <v>9</v>
      </c>
      <c r="C3150" s="1" t="s">
        <v>10</v>
      </c>
      <c r="D3150" s="2">
        <v>44651.609473344906</v>
      </c>
      <c r="E3150" s="1" t="s">
        <v>11</v>
      </c>
      <c r="F3150" s="1">
        <v>1</v>
      </c>
      <c r="G3150" s="1">
        <v>0</v>
      </c>
      <c r="H3150" s="6">
        <f>INT(Query1[[#This Row],[EntryDateTime]])</f>
        <v>44651</v>
      </c>
      <c r="I3150" s="1">
        <f>IF(Query1[[#This Row],[ItemType]]="EVAP KIT SF GEN IV",Query1[[#This Row],[OrderQty]]+I3149,I3149)</f>
        <v>3920</v>
      </c>
      <c r="J3150" s="1">
        <f>IF(Query1[[#This Row],[ItemType]]="EVAP KIT UNIVERSAL",Query1[[#This Row],[OrderQty]]+J3149,J3149)</f>
        <v>1404</v>
      </c>
      <c r="K3150" s="1">
        <f>Query1[[#This Row],[SF Running Total]]+Query1[[#This Row],[UNIV Running Total]]</f>
        <v>5324</v>
      </c>
      <c r="L3150">
        <f>VLOOKUP(Query1[[#This Row],[Description]],'kits to boards'!$B$2:$E$156,2,FALSE)</f>
        <v>830069</v>
      </c>
      <c r="M3150">
        <f>VLOOKUP(Query1[[#This Row],[Description]],'kits to boards'!$B$2:$E$156,3,FALSE)</f>
        <v>0</v>
      </c>
      <c r="N3150">
        <f>VLOOKUP(Query1[[#This Row],[Description]],'kits to boards'!$B$2:$E$156,4,FALSE)</f>
        <v>0</v>
      </c>
      <c r="O3150" t="str">
        <f>CONCATENATE(Query1[[#This Row],[Description]]," - ",Query1[[#This Row],[MB1]]," - ",Query1[[#This Row],[MB2]]," - ",Query1[[#This Row],[MB3]])</f>
        <v>SLIMLINE H/C W/DEF STD LOUVER - 830069 - 0 - 0</v>
      </c>
    </row>
    <row r="3151" spans="1:15" x14ac:dyDescent="0.25">
      <c r="A3151" s="1">
        <v>917717</v>
      </c>
      <c r="B3151" s="1" t="s">
        <v>9</v>
      </c>
      <c r="C3151" s="1" t="s">
        <v>10</v>
      </c>
      <c r="D3151" s="2">
        <v>44651.61062133102</v>
      </c>
      <c r="E3151" s="1" t="s">
        <v>11</v>
      </c>
      <c r="F3151" s="1">
        <v>1</v>
      </c>
      <c r="G3151" s="1">
        <v>0</v>
      </c>
      <c r="H3151" s="6">
        <f>INT(Query1[[#This Row],[EntryDateTime]])</f>
        <v>44651</v>
      </c>
      <c r="I3151" s="1">
        <f>IF(Query1[[#This Row],[ItemType]]="EVAP KIT SF GEN IV",Query1[[#This Row],[OrderQty]]+I3150,I3150)</f>
        <v>3920</v>
      </c>
      <c r="J3151" s="1">
        <f>IF(Query1[[#This Row],[ItemType]]="EVAP KIT UNIVERSAL",Query1[[#This Row],[OrderQty]]+J3150,J3150)</f>
        <v>1405</v>
      </c>
      <c r="K3151" s="1">
        <f>Query1[[#This Row],[SF Running Total]]+Query1[[#This Row],[UNIV Running Total]]</f>
        <v>5325</v>
      </c>
      <c r="L3151">
        <f>VLOOKUP(Query1[[#This Row],[Description]],'kits to boards'!$B$2:$E$156,2,FALSE)</f>
        <v>830069</v>
      </c>
      <c r="M3151">
        <f>VLOOKUP(Query1[[#This Row],[Description]],'kits to boards'!$B$2:$E$156,3,FALSE)</f>
        <v>0</v>
      </c>
      <c r="N3151">
        <f>VLOOKUP(Query1[[#This Row],[Description]],'kits to boards'!$B$2:$E$156,4,FALSE)</f>
        <v>0</v>
      </c>
      <c r="O3151" t="str">
        <f>CONCATENATE(Query1[[#This Row],[Description]]," - ",Query1[[#This Row],[MB1]]," - ",Query1[[#This Row],[MB2]]," - ",Query1[[#This Row],[MB3]])</f>
        <v>SLIMLINE H/C W/DEF STD LOUVER - 830069 - 0 - 0</v>
      </c>
    </row>
    <row r="3152" spans="1:15" x14ac:dyDescent="0.25">
      <c r="A3152" s="1">
        <v>917718</v>
      </c>
      <c r="B3152" s="1" t="s">
        <v>206</v>
      </c>
      <c r="C3152" s="1" t="s">
        <v>207</v>
      </c>
      <c r="D3152" s="2">
        <v>44651.611769247684</v>
      </c>
      <c r="E3152" s="1" t="s">
        <v>8</v>
      </c>
      <c r="F3152" s="1">
        <v>2</v>
      </c>
      <c r="G3152" s="1">
        <v>0</v>
      </c>
      <c r="H3152" s="6">
        <f>INT(Query1[[#This Row],[EntryDateTime]])</f>
        <v>44651</v>
      </c>
      <c r="I3152" s="1">
        <f>IF(Query1[[#This Row],[ItemType]]="EVAP KIT SF GEN IV",Query1[[#This Row],[OrderQty]]+I3151,I3151)</f>
        <v>3922</v>
      </c>
      <c r="J3152" s="1">
        <f>IF(Query1[[#This Row],[ItemType]]="EVAP KIT UNIVERSAL",Query1[[#This Row],[OrderQty]]+J3151,J3151)</f>
        <v>1405</v>
      </c>
      <c r="K3152" s="1">
        <f>Query1[[#This Row],[SF Running Total]]+Query1[[#This Row],[UNIV Running Total]]</f>
        <v>5327</v>
      </c>
      <c r="L3152">
        <f>VLOOKUP(Query1[[#This Row],[Description]],'kits to boards'!$B$2:$E$156,2,FALSE)</f>
        <v>830032</v>
      </c>
      <c r="M3152">
        <f>VLOOKUP(Query1[[#This Row],[Description]],'kits to boards'!$B$2:$E$156,3,FALSE)</f>
        <v>0</v>
      </c>
      <c r="N3152">
        <f>VLOOKUP(Query1[[#This Row],[Description]],'kits to boards'!$B$2:$E$156,4,FALSE)</f>
        <v>0</v>
      </c>
      <c r="O3152" t="str">
        <f>CONCATENATE(Query1[[#This Row],[Description]]," - ",Query1[[#This Row],[MB1]]," - ",Query1[[#This Row],[MB2]]," - ",Query1[[#This Row],[MB3]])</f>
        <v>EVAP KIT 61-62 VETTE - 830032 - 0 - 0</v>
      </c>
    </row>
    <row r="3153" spans="1:15" x14ac:dyDescent="0.25">
      <c r="A3153" s="1">
        <v>917715</v>
      </c>
      <c r="B3153" s="1" t="s">
        <v>52</v>
      </c>
      <c r="C3153" s="1" t="s">
        <v>53</v>
      </c>
      <c r="D3153" s="2">
        <v>44651.612858680557</v>
      </c>
      <c r="E3153" s="1" t="s">
        <v>8</v>
      </c>
      <c r="F3153" s="1">
        <v>1</v>
      </c>
      <c r="G3153" s="1">
        <v>0</v>
      </c>
      <c r="H3153" s="6">
        <f>INT(Query1[[#This Row],[EntryDateTime]])</f>
        <v>44651</v>
      </c>
      <c r="I3153" s="1">
        <f>IF(Query1[[#This Row],[ItemType]]="EVAP KIT SF GEN IV",Query1[[#This Row],[OrderQty]]+I3152,I3152)</f>
        <v>3923</v>
      </c>
      <c r="J3153" s="1">
        <f>IF(Query1[[#This Row],[ItemType]]="EVAP KIT UNIVERSAL",Query1[[#This Row],[OrderQty]]+J3152,J3152)</f>
        <v>1405</v>
      </c>
      <c r="K3153" s="1">
        <f>Query1[[#This Row],[SF Running Total]]+Query1[[#This Row],[UNIV Running Total]]</f>
        <v>5328</v>
      </c>
      <c r="L3153">
        <f>VLOOKUP(Query1[[#This Row],[Description]],'kits to boards'!$B$2:$E$156,2,FALSE)</f>
        <v>830017</v>
      </c>
      <c r="M3153">
        <f>VLOOKUP(Query1[[#This Row],[Description]],'kits to boards'!$B$2:$E$156,3,FALSE)</f>
        <v>830119</v>
      </c>
      <c r="N3153">
        <f>VLOOKUP(Query1[[#This Row],[Description]],'kits to boards'!$B$2:$E$156,4,FALSE)</f>
        <v>830120</v>
      </c>
      <c r="O3153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154" spans="1:15" x14ac:dyDescent="0.25">
      <c r="A3154" s="1">
        <v>917661</v>
      </c>
      <c r="B3154" s="1" t="s">
        <v>32</v>
      </c>
      <c r="C3154" s="1" t="s">
        <v>33</v>
      </c>
      <c r="D3154" s="2">
        <v>44651.614244444441</v>
      </c>
      <c r="E3154" s="1" t="s">
        <v>8</v>
      </c>
      <c r="F3154" s="1">
        <v>1</v>
      </c>
      <c r="G3154" s="1">
        <v>0</v>
      </c>
      <c r="H3154" s="6">
        <f>INT(Query1[[#This Row],[EntryDateTime]])</f>
        <v>44651</v>
      </c>
      <c r="I3154" s="1">
        <f>IF(Query1[[#This Row],[ItemType]]="EVAP KIT SF GEN IV",Query1[[#This Row],[OrderQty]]+I3153,I3153)</f>
        <v>3924</v>
      </c>
      <c r="J3154" s="1">
        <f>IF(Query1[[#This Row],[ItemType]]="EVAP KIT UNIVERSAL",Query1[[#This Row],[OrderQty]]+J3153,J3153)</f>
        <v>1405</v>
      </c>
      <c r="K3154" s="1">
        <f>Query1[[#This Row],[SF Running Total]]+Query1[[#This Row],[UNIV Running Total]]</f>
        <v>5329</v>
      </c>
      <c r="L3154">
        <f>VLOOKUP(Query1[[#This Row],[Description]],'kits to boards'!$B$2:$E$156,2,FALSE)</f>
        <v>830016</v>
      </c>
      <c r="M3154">
        <f>VLOOKUP(Query1[[#This Row],[Description]],'kits to boards'!$B$2:$E$156,3,FALSE)</f>
        <v>0</v>
      </c>
      <c r="N3154">
        <f>VLOOKUP(Query1[[#This Row],[Description]],'kits to boards'!$B$2:$E$156,4,FALSE)</f>
        <v>0</v>
      </c>
      <c r="O3154" t="str">
        <f>CONCATENATE(Query1[[#This Row],[Description]]," - ",Query1[[#This Row],[MB1]]," - ",Query1[[#This Row],[MB2]]," - ",Query1[[#This Row],[MB3]])</f>
        <v>EVAP KIT 67-68 CAMARO/FIREBIRD W/AC - 830016 - 0 - 0</v>
      </c>
    </row>
    <row r="3155" spans="1:15" x14ac:dyDescent="0.25">
      <c r="A3155" s="1">
        <v>917328</v>
      </c>
      <c r="B3155" s="1" t="s">
        <v>20</v>
      </c>
      <c r="C3155" s="1" t="s">
        <v>21</v>
      </c>
      <c r="D3155" s="2">
        <v>44651.623704016201</v>
      </c>
      <c r="E3155" s="1" t="s">
        <v>11</v>
      </c>
      <c r="F3155" s="1">
        <v>1</v>
      </c>
      <c r="G3155" s="1">
        <v>0</v>
      </c>
      <c r="H3155" s="6">
        <f>INT(Query1[[#This Row],[EntryDateTime]])</f>
        <v>44651</v>
      </c>
      <c r="I3155" s="1">
        <f>IF(Query1[[#This Row],[ItemType]]="EVAP KIT SF GEN IV",Query1[[#This Row],[OrderQty]]+I3154,I3154)</f>
        <v>3924</v>
      </c>
      <c r="J3155" s="1">
        <f>IF(Query1[[#This Row],[ItemType]]="EVAP KIT UNIVERSAL",Query1[[#This Row],[OrderQty]]+J3154,J3154)</f>
        <v>1406</v>
      </c>
      <c r="K3155" s="1">
        <f>Query1[[#This Row],[SF Running Total]]+Query1[[#This Row],[UNIV Running Total]]</f>
        <v>5330</v>
      </c>
      <c r="L3155">
        <f>VLOOKUP(Query1[[#This Row],[Description]],'kits to boards'!$B$2:$E$156,2,FALSE)</f>
        <v>830102</v>
      </c>
      <c r="M3155">
        <f>VLOOKUP(Query1[[#This Row],[Description]],'kits to boards'!$B$2:$E$156,3,FALSE)</f>
        <v>0</v>
      </c>
      <c r="N3155">
        <f>VLOOKUP(Query1[[#This Row],[Description]],'kits to boards'!$B$2:$E$156,4,FALSE)</f>
        <v>0</v>
      </c>
      <c r="O3155" t="str">
        <f>CONCATENATE(Query1[[#This Row],[Description]]," - ",Query1[[#This Row],[MB1]]," - ",Query1[[#This Row],[MB2]]," - ",Query1[[#This Row],[MB3]])</f>
        <v>SUPER GEN II W/DEF - 830102 - 0 - 0</v>
      </c>
    </row>
    <row r="3156" spans="1:15" x14ac:dyDescent="0.25">
      <c r="A3156" s="1">
        <v>917726</v>
      </c>
      <c r="B3156" s="1" t="s">
        <v>98</v>
      </c>
      <c r="C3156" s="1" t="s">
        <v>99</v>
      </c>
      <c r="D3156" s="2">
        <v>44651.630404201387</v>
      </c>
      <c r="E3156" s="1" t="s">
        <v>11</v>
      </c>
      <c r="F3156" s="1">
        <v>1</v>
      </c>
      <c r="G3156" s="1">
        <v>0</v>
      </c>
      <c r="H3156" s="6">
        <f>INT(Query1[[#This Row],[EntryDateTime]])</f>
        <v>44651</v>
      </c>
      <c r="I3156" s="1">
        <f>IF(Query1[[#This Row],[ItemType]]="EVAP KIT SF GEN IV",Query1[[#This Row],[OrderQty]]+I3155,I3155)</f>
        <v>3924</v>
      </c>
      <c r="J3156" s="1">
        <f>IF(Query1[[#This Row],[ItemType]]="EVAP KIT UNIVERSAL",Query1[[#This Row],[OrderQty]]+J3155,J3155)</f>
        <v>1407</v>
      </c>
      <c r="K3156" s="1">
        <f>Query1[[#This Row],[SF Running Total]]+Query1[[#This Row],[UNIV Running Total]]</f>
        <v>5331</v>
      </c>
      <c r="L3156">
        <f>VLOOKUP(Query1[[#This Row],[Description]],'kits to boards'!$B$2:$E$156,2,FALSE)</f>
        <v>830099</v>
      </c>
      <c r="M3156">
        <f>VLOOKUP(Query1[[#This Row],[Description]],'kits to boards'!$B$2:$E$156,3,FALSE)</f>
        <v>0</v>
      </c>
      <c r="N3156">
        <f>VLOOKUP(Query1[[#This Row],[Description]],'kits to boards'!$B$2:$E$156,4,FALSE)</f>
        <v>0</v>
      </c>
      <c r="O3156" t="str">
        <f>CONCATENATE(Query1[[#This Row],[Description]]," - ",Query1[[#This Row],[MB1]]," - ",Query1[[#This Row],[MB2]]," - ",Query1[[#This Row],[MB3]])</f>
        <v>MINI GEN II W/DEF - 830099 - 0 - 0</v>
      </c>
    </row>
    <row r="3157" spans="1:15" x14ac:dyDescent="0.25">
      <c r="A3157" s="1">
        <v>917726</v>
      </c>
      <c r="B3157" s="1" t="s">
        <v>104</v>
      </c>
      <c r="C3157" s="1" t="s">
        <v>105</v>
      </c>
      <c r="D3157" s="2">
        <v>44651.6307121875</v>
      </c>
      <c r="E3157" s="1" t="s">
        <v>11</v>
      </c>
      <c r="F3157" s="1">
        <v>1</v>
      </c>
      <c r="G3157" s="1">
        <v>0</v>
      </c>
      <c r="H3157" s="6">
        <f>INT(Query1[[#This Row],[EntryDateTime]])</f>
        <v>44651</v>
      </c>
      <c r="I3157" s="1">
        <f>IF(Query1[[#This Row],[ItemType]]="EVAP KIT SF GEN IV",Query1[[#This Row],[OrderQty]]+I3156,I3156)</f>
        <v>3924</v>
      </c>
      <c r="J3157" s="1">
        <f>IF(Query1[[#This Row],[ItemType]]="EVAP KIT UNIVERSAL",Query1[[#This Row],[OrderQty]]+J3156,J3156)</f>
        <v>1408</v>
      </c>
      <c r="K3157" s="1">
        <f>Query1[[#This Row],[SF Running Total]]+Query1[[#This Row],[UNIV Running Total]]</f>
        <v>5332</v>
      </c>
      <c r="L3157">
        <f>VLOOKUP(Query1[[#This Row],[Description]],'kits to boards'!$B$2:$E$156,2,FALSE)</f>
        <v>0</v>
      </c>
      <c r="M3157">
        <f>VLOOKUP(Query1[[#This Row],[Description]],'kits to boards'!$B$2:$E$156,3,FALSE)</f>
        <v>0</v>
      </c>
      <c r="N3157">
        <f>VLOOKUP(Query1[[#This Row],[Description]],'kits to boards'!$B$2:$E$156,4,FALSE)</f>
        <v>0</v>
      </c>
      <c r="O3157" t="str">
        <f>CONCATENATE(Query1[[#This Row],[Description]]," - ",Query1[[#This Row],[MB1]]," - ",Query1[[#This Row],[MB2]]," - ",Query1[[#This Row],[MB3]])</f>
        <v>HERITAGE BRUSHED EVAP KIT HEAT/COOL - 0 - 0 - 0</v>
      </c>
    </row>
    <row r="3158" spans="1:15" x14ac:dyDescent="0.25">
      <c r="A3158" s="1">
        <v>917733</v>
      </c>
      <c r="B3158" s="1" t="s">
        <v>42</v>
      </c>
      <c r="C3158" s="1" t="s">
        <v>43</v>
      </c>
      <c r="D3158" s="2">
        <v>44651.64213915509</v>
      </c>
      <c r="E3158" s="1" t="s">
        <v>8</v>
      </c>
      <c r="F3158" s="1">
        <v>1</v>
      </c>
      <c r="G3158" s="1">
        <v>0</v>
      </c>
      <c r="H3158" s="6">
        <f>INT(Query1[[#This Row],[EntryDateTime]])</f>
        <v>44651</v>
      </c>
      <c r="I3158" s="1">
        <f>IF(Query1[[#This Row],[ItemType]]="EVAP KIT SF GEN IV",Query1[[#This Row],[OrderQty]]+I3157,I3157)</f>
        <v>3925</v>
      </c>
      <c r="J3158" s="1">
        <f>IF(Query1[[#This Row],[ItemType]]="EVAP KIT UNIVERSAL",Query1[[#This Row],[OrderQty]]+J3157,J3157)</f>
        <v>1408</v>
      </c>
      <c r="K3158" s="1">
        <f>Query1[[#This Row],[SF Running Total]]+Query1[[#This Row],[UNIV Running Total]]</f>
        <v>5333</v>
      </c>
      <c r="L3158">
        <f>VLOOKUP(Query1[[#This Row],[Description]],'kits to boards'!$B$2:$E$156,2,FALSE)</f>
        <v>830014</v>
      </c>
      <c r="M3158">
        <f>VLOOKUP(Query1[[#This Row],[Description]],'kits to boards'!$B$2:$E$156,3,FALSE)</f>
        <v>0</v>
      </c>
      <c r="N3158">
        <f>VLOOKUP(Query1[[#This Row],[Description]],'kits to boards'!$B$2:$E$156,4,FALSE)</f>
        <v>0</v>
      </c>
      <c r="O3158" t="str">
        <f>CONCATENATE(Query1[[#This Row],[Description]]," - ",Query1[[#This Row],[MB1]]," - ",Query1[[#This Row],[MB2]]," - ",Query1[[#This Row],[MB3]])</f>
        <v>EVAP KIT 67-72 CHEV P-UP WO AC - 830014 - 0 - 0</v>
      </c>
    </row>
    <row r="3159" spans="1:15" x14ac:dyDescent="0.25">
      <c r="A3159" s="1">
        <v>917739</v>
      </c>
      <c r="B3159" s="1" t="s">
        <v>56</v>
      </c>
      <c r="C3159" s="1" t="s">
        <v>57</v>
      </c>
      <c r="D3159" s="2">
        <v>44651.652962418979</v>
      </c>
      <c r="E3159" s="1" t="s">
        <v>8</v>
      </c>
      <c r="F3159" s="1">
        <v>1</v>
      </c>
      <c r="G3159" s="1">
        <v>0</v>
      </c>
      <c r="H3159" s="6">
        <f>INT(Query1[[#This Row],[EntryDateTime]])</f>
        <v>44651</v>
      </c>
      <c r="I3159" s="1">
        <f>IF(Query1[[#This Row],[ItemType]]="EVAP KIT SF GEN IV",Query1[[#This Row],[OrderQty]]+I3158,I3158)</f>
        <v>3926</v>
      </c>
      <c r="J3159" s="1">
        <f>IF(Query1[[#This Row],[ItemType]]="EVAP KIT UNIVERSAL",Query1[[#This Row],[OrderQty]]+J3158,J3158)</f>
        <v>1408</v>
      </c>
      <c r="K3159" s="1">
        <f>Query1[[#This Row],[SF Running Total]]+Query1[[#This Row],[UNIV Running Total]]</f>
        <v>5334</v>
      </c>
      <c r="L3159">
        <f>VLOOKUP(Query1[[#This Row],[Description]],'kits to boards'!$B$2:$E$156,2,FALSE)</f>
        <v>830011</v>
      </c>
      <c r="M3159">
        <f>VLOOKUP(Query1[[#This Row],[Description]],'kits to boards'!$B$2:$E$156,3,FALSE)</f>
        <v>0</v>
      </c>
      <c r="N3159">
        <f>VLOOKUP(Query1[[#This Row],[Description]],'kits to boards'!$B$2:$E$156,4,FALSE)</f>
        <v>0</v>
      </c>
      <c r="O3159" t="str">
        <f>CONCATENATE(Query1[[#This Row],[Description]]," - ",Query1[[#This Row],[MB1]]," - ",Query1[[#This Row],[MB2]]," - ",Query1[[#This Row],[MB3]])</f>
        <v>EVAP KIT 70-72 CHEVELLE W/AC - 830011 - 0 - 0</v>
      </c>
    </row>
    <row r="3160" spans="1:15" x14ac:dyDescent="0.25">
      <c r="A3160" s="1">
        <v>917741</v>
      </c>
      <c r="B3160" s="1" t="s">
        <v>283</v>
      </c>
      <c r="C3160" s="1" t="s">
        <v>284</v>
      </c>
      <c r="D3160" s="2">
        <v>44651.657893368058</v>
      </c>
      <c r="E3160" s="1" t="s">
        <v>8</v>
      </c>
      <c r="F3160" s="1">
        <v>1</v>
      </c>
      <c r="G3160" s="1">
        <v>0</v>
      </c>
      <c r="H3160" s="6">
        <f>INT(Query1[[#This Row],[EntryDateTime]])</f>
        <v>44651</v>
      </c>
      <c r="I3160" s="1">
        <f>IF(Query1[[#This Row],[ItemType]]="EVAP KIT SF GEN IV",Query1[[#This Row],[OrderQty]]+I3159,I3159)</f>
        <v>3927</v>
      </c>
      <c r="J3160" s="1">
        <f>IF(Query1[[#This Row],[ItemType]]="EVAP KIT UNIVERSAL",Query1[[#This Row],[OrderQty]]+J3159,J3159)</f>
        <v>1408</v>
      </c>
      <c r="K3160" s="1">
        <f>Query1[[#This Row],[SF Running Total]]+Query1[[#This Row],[UNIV Running Total]]</f>
        <v>5335</v>
      </c>
      <c r="L3160">
        <f>VLOOKUP(Query1[[#This Row],[Description]],'kits to boards'!$B$2:$E$156,2,FALSE)</f>
        <v>830033</v>
      </c>
      <c r="M3160">
        <f>VLOOKUP(Query1[[#This Row],[Description]],'kits to boards'!$B$2:$E$156,3,FALSE)</f>
        <v>0</v>
      </c>
      <c r="N3160">
        <f>VLOOKUP(Query1[[#This Row],[Description]],'kits to boards'!$B$2:$E$156,4,FALSE)</f>
        <v>0</v>
      </c>
      <c r="O3160" t="str">
        <f>CONCATENATE(Query1[[#This Row],[Description]]," - ",Query1[[#This Row],[MB1]]," - ",Query1[[#This Row],[MB2]]," - ",Query1[[#This Row],[MB3]])</f>
        <v>EVAP KIT 66-67 CHARGER/CORONET WO AC - 830033 - 0 - 0</v>
      </c>
    </row>
    <row r="3161" spans="1:15" x14ac:dyDescent="0.25">
      <c r="A3161" s="1">
        <v>917742</v>
      </c>
      <c r="B3161" s="1" t="s">
        <v>90</v>
      </c>
      <c r="C3161" s="1" t="s">
        <v>91</v>
      </c>
      <c r="D3161" s="2">
        <v>44651.659167361111</v>
      </c>
      <c r="E3161" s="1" t="s">
        <v>8</v>
      </c>
      <c r="F3161" s="1">
        <v>1</v>
      </c>
      <c r="G3161" s="1">
        <v>0</v>
      </c>
      <c r="H3161" s="6">
        <f>INT(Query1[[#This Row],[EntryDateTime]])</f>
        <v>44651</v>
      </c>
      <c r="I3161" s="1">
        <f>IF(Query1[[#This Row],[ItemType]]="EVAP KIT SF GEN IV",Query1[[#This Row],[OrderQty]]+I3160,I3160)</f>
        <v>3928</v>
      </c>
      <c r="J3161" s="1">
        <f>IF(Query1[[#This Row],[ItemType]]="EVAP KIT UNIVERSAL",Query1[[#This Row],[OrderQty]]+J3160,J3160)</f>
        <v>1408</v>
      </c>
      <c r="K3161" s="1">
        <f>Query1[[#This Row],[SF Running Total]]+Query1[[#This Row],[UNIV Running Total]]</f>
        <v>5336</v>
      </c>
      <c r="L3161">
        <f>VLOOKUP(Query1[[#This Row],[Description]],'kits to boards'!$B$2:$E$156,2,FALSE)</f>
        <v>830105</v>
      </c>
      <c r="M3161">
        <f>VLOOKUP(Query1[[#This Row],[Description]],'kits to boards'!$B$2:$E$156,3,FALSE)</f>
        <v>830106</v>
      </c>
      <c r="N3161">
        <f>VLOOKUP(Query1[[#This Row],[Description]],'kits to boards'!$B$2:$E$156,4,FALSE)</f>
        <v>0</v>
      </c>
      <c r="O3161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3162" spans="1:15" x14ac:dyDescent="0.25">
      <c r="A3162" s="1">
        <v>917748</v>
      </c>
      <c r="B3162" s="1" t="s">
        <v>62</v>
      </c>
      <c r="C3162" s="1" t="s">
        <v>63</v>
      </c>
      <c r="D3162" s="2">
        <v>44651.676556099534</v>
      </c>
      <c r="E3162" s="1" t="s">
        <v>8</v>
      </c>
      <c r="F3162" s="1">
        <v>1</v>
      </c>
      <c r="G3162" s="1">
        <v>0</v>
      </c>
      <c r="H3162" s="6">
        <f>INT(Query1[[#This Row],[EntryDateTime]])</f>
        <v>44651</v>
      </c>
      <c r="I3162" s="1">
        <f>IF(Query1[[#This Row],[ItemType]]="EVAP KIT SF GEN IV",Query1[[#This Row],[OrderQty]]+I3161,I3161)</f>
        <v>3929</v>
      </c>
      <c r="J3162" s="1">
        <f>IF(Query1[[#This Row],[ItemType]]="EVAP KIT UNIVERSAL",Query1[[#This Row],[OrderQty]]+J3161,J3161)</f>
        <v>1408</v>
      </c>
      <c r="K3162" s="1">
        <f>Query1[[#This Row],[SF Running Total]]+Query1[[#This Row],[UNIV Running Total]]</f>
        <v>5337</v>
      </c>
      <c r="L3162">
        <f>VLOOKUP(Query1[[#This Row],[Description]],'kits to boards'!$B$2:$E$156,2,FALSE)</f>
        <v>830079</v>
      </c>
      <c r="M3162">
        <f>VLOOKUP(Query1[[#This Row],[Description]],'kits to boards'!$B$2:$E$156,3,FALSE)</f>
        <v>830046</v>
      </c>
      <c r="N3162">
        <f>VLOOKUP(Query1[[#This Row],[Description]],'kits to boards'!$B$2:$E$156,4,FALSE)</f>
        <v>0</v>
      </c>
      <c r="O3162" t="str">
        <f>CONCATENATE(Query1[[#This Row],[Description]]," - ",Query1[[#This Row],[MB1]]," - ",Query1[[#This Row],[MB2]]," - ",Query1[[#This Row],[MB3]])</f>
        <v>EVAP KIT 67-68 MUSTANG/COUGAR WO AC - 830079 - 830046 - 0</v>
      </c>
    </row>
    <row r="3163" spans="1:15" x14ac:dyDescent="0.25">
      <c r="A3163" s="1">
        <v>917749</v>
      </c>
      <c r="B3163" s="1" t="s">
        <v>244</v>
      </c>
      <c r="C3163" s="1" t="s">
        <v>245</v>
      </c>
      <c r="D3163" s="2">
        <v>44651.678501238428</v>
      </c>
      <c r="E3163" s="1" t="s">
        <v>8</v>
      </c>
      <c r="F3163" s="1">
        <v>1</v>
      </c>
      <c r="G3163" s="1">
        <v>0</v>
      </c>
      <c r="H3163" s="6">
        <f>INT(Query1[[#This Row],[EntryDateTime]])</f>
        <v>44651</v>
      </c>
      <c r="I3163" s="1">
        <f>IF(Query1[[#This Row],[ItemType]]="EVAP KIT SF GEN IV",Query1[[#This Row],[OrderQty]]+I3162,I3162)</f>
        <v>3930</v>
      </c>
      <c r="J3163" s="1">
        <f>IF(Query1[[#This Row],[ItemType]]="EVAP KIT UNIVERSAL",Query1[[#This Row],[OrderQty]]+J3162,J3162)</f>
        <v>1408</v>
      </c>
      <c r="K3163" s="1">
        <f>Query1[[#This Row],[SF Running Total]]+Query1[[#This Row],[UNIV Running Total]]</f>
        <v>5338</v>
      </c>
      <c r="L3163">
        <f>VLOOKUP(Query1[[#This Row],[Description]],'kits to boards'!$B$2:$E$156,2,FALSE)</f>
        <v>830100</v>
      </c>
      <c r="M3163">
        <f>VLOOKUP(Query1[[#This Row],[Description]],'kits to boards'!$B$2:$E$156,3,FALSE)</f>
        <v>0</v>
      </c>
      <c r="N3163">
        <f>VLOOKUP(Query1[[#This Row],[Description]],'kits to boards'!$B$2:$E$156,4,FALSE)</f>
        <v>0</v>
      </c>
      <c r="O3163" t="str">
        <f>CONCATENATE(Query1[[#This Row],[Description]]," - ",Query1[[#This Row],[MB1]]," - ",Query1[[#This Row],[MB2]]," - ",Query1[[#This Row],[MB3]])</f>
        <v>EVAP KIT 68-76 VETTE WO AC - 830100 - 0 - 0</v>
      </c>
    </row>
    <row r="3164" spans="1:15" x14ac:dyDescent="0.25">
      <c r="A3164" s="1">
        <v>917757</v>
      </c>
      <c r="B3164" s="1" t="s">
        <v>112</v>
      </c>
      <c r="C3164" s="1" t="s">
        <v>113</v>
      </c>
      <c r="D3164" s="2">
        <v>44651.689330520836</v>
      </c>
      <c r="E3164" s="1" t="s">
        <v>8</v>
      </c>
      <c r="F3164" s="1">
        <v>1</v>
      </c>
      <c r="G3164" s="1">
        <v>0</v>
      </c>
      <c r="H3164" s="6">
        <f>INT(Query1[[#This Row],[EntryDateTime]])</f>
        <v>44651</v>
      </c>
      <c r="I3164" s="1">
        <f>IF(Query1[[#This Row],[ItemType]]="EVAP KIT SF GEN IV",Query1[[#This Row],[OrderQty]]+I3163,I3163)</f>
        <v>3931</v>
      </c>
      <c r="J3164" s="1">
        <f>IF(Query1[[#This Row],[ItemType]]="EVAP KIT UNIVERSAL",Query1[[#This Row],[OrderQty]]+J3163,J3163)</f>
        <v>1408</v>
      </c>
      <c r="K3164" s="1">
        <f>Query1[[#This Row],[SF Running Total]]+Query1[[#This Row],[UNIV Running Total]]</f>
        <v>5339</v>
      </c>
      <c r="L3164">
        <f>VLOOKUP(Query1[[#This Row],[Description]],'kits to boards'!$B$2:$E$156,2,FALSE)</f>
        <v>830063</v>
      </c>
      <c r="M3164">
        <f>VLOOKUP(Query1[[#This Row],[Description]],'kits to boards'!$B$2:$E$156,3,FALSE)</f>
        <v>0</v>
      </c>
      <c r="N3164">
        <f>VLOOKUP(Query1[[#This Row],[Description]],'kits to boards'!$B$2:$E$156,4,FALSE)</f>
        <v>0</v>
      </c>
      <c r="O3164" t="str">
        <f>CONCATENATE(Query1[[#This Row],[Description]]," - ",Query1[[#This Row],[MB1]]," - ",Query1[[#This Row],[MB2]]," - ",Query1[[#This Row],[MB3]])</f>
        <v>EVAP KIT 54-55 CHEV P-UP GEN IV - 830063 - 0 - 0</v>
      </c>
    </row>
    <row r="3165" spans="1:15" x14ac:dyDescent="0.25">
      <c r="A3165" s="1">
        <v>917764</v>
      </c>
      <c r="B3165" s="1" t="s">
        <v>44</v>
      </c>
      <c r="C3165" s="1" t="s">
        <v>45</v>
      </c>
      <c r="D3165" s="2">
        <v>44652.310025312501</v>
      </c>
      <c r="E3165" s="1" t="s">
        <v>8</v>
      </c>
      <c r="F3165" s="1">
        <v>1</v>
      </c>
      <c r="G3165" s="1">
        <v>0</v>
      </c>
      <c r="H3165" s="6">
        <f>INT(Query1[[#This Row],[EntryDateTime]])</f>
        <v>44652</v>
      </c>
      <c r="I3165" s="1">
        <f>IF(Query1[[#This Row],[ItemType]]="EVAP KIT SF GEN IV",Query1[[#This Row],[OrderQty]]+I3164,I3164)</f>
        <v>3932</v>
      </c>
      <c r="J3165" s="1">
        <f>IF(Query1[[#This Row],[ItemType]]="EVAP KIT UNIVERSAL",Query1[[#This Row],[OrderQty]]+J3164,J3164)</f>
        <v>1408</v>
      </c>
      <c r="K3165" s="1">
        <f>Query1[[#This Row],[SF Running Total]]+Query1[[#This Row],[UNIV Running Total]]</f>
        <v>5340</v>
      </c>
      <c r="L3165">
        <f>VLOOKUP(Query1[[#This Row],[Description]],'kits to boards'!$B$2:$E$156,2,FALSE)</f>
        <v>830085</v>
      </c>
      <c r="M3165">
        <f>VLOOKUP(Query1[[#This Row],[Description]],'kits to boards'!$B$2:$E$156,3,FALSE)</f>
        <v>0</v>
      </c>
      <c r="N3165">
        <f>VLOOKUP(Query1[[#This Row],[Description]],'kits to boards'!$B$2:$E$156,4,FALSE)</f>
        <v>0</v>
      </c>
      <c r="O3165" t="str">
        <f>CONCATENATE(Query1[[#This Row],[Description]]," - ",Query1[[#This Row],[MB1]]," - ",Query1[[#This Row],[MB2]]," - ",Query1[[#This Row],[MB3]])</f>
        <v>EVAP KIT 66-77 BRONCO - 830085 - 0 - 0</v>
      </c>
    </row>
    <row r="3166" spans="1:15" x14ac:dyDescent="0.25">
      <c r="A3166" s="1">
        <v>917664</v>
      </c>
      <c r="B3166" s="1" t="s">
        <v>228</v>
      </c>
      <c r="C3166" s="1" t="s">
        <v>229</v>
      </c>
      <c r="D3166" s="2">
        <v>44652.336501192127</v>
      </c>
      <c r="E3166" s="1" t="s">
        <v>8</v>
      </c>
      <c r="F3166" s="1">
        <v>1</v>
      </c>
      <c r="G3166" s="1">
        <v>0</v>
      </c>
      <c r="H3166" s="6">
        <f>INT(Query1[[#This Row],[EntryDateTime]])</f>
        <v>44652</v>
      </c>
      <c r="I3166" s="1">
        <f>IF(Query1[[#This Row],[ItemType]]="EVAP KIT SF GEN IV",Query1[[#This Row],[OrderQty]]+I3165,I3165)</f>
        <v>3933</v>
      </c>
      <c r="J3166" s="1">
        <f>IF(Query1[[#This Row],[ItemType]]="EVAP KIT UNIVERSAL",Query1[[#This Row],[OrderQty]]+J3165,J3165)</f>
        <v>1408</v>
      </c>
      <c r="K3166" s="1">
        <f>Query1[[#This Row],[SF Running Total]]+Query1[[#This Row],[UNIV Running Total]]</f>
        <v>5341</v>
      </c>
      <c r="L3166">
        <f>VLOOKUP(Query1[[#This Row],[Description]],'kits to boards'!$B$2:$E$156,2,FALSE)</f>
        <v>830044</v>
      </c>
      <c r="M3166">
        <f>VLOOKUP(Query1[[#This Row],[Description]],'kits to boards'!$B$2:$E$156,3,FALSE)</f>
        <v>0</v>
      </c>
      <c r="N3166">
        <f>VLOOKUP(Query1[[#This Row],[Description]],'kits to boards'!$B$2:$E$156,4,FALSE)</f>
        <v>0</v>
      </c>
      <c r="O3166" t="str">
        <f>CONCATENATE(Query1[[#This Row],[Description]]," - ",Query1[[#This Row],[MB1]]," - ",Query1[[#This Row],[MB2]]," - ",Query1[[#This Row],[MB3]])</f>
        <v>EVAP KIT 64-65 FALCON/RANCHERO - 830044 - 0 - 0</v>
      </c>
    </row>
    <row r="3167" spans="1:15" x14ac:dyDescent="0.25">
      <c r="A3167" s="1">
        <v>917774</v>
      </c>
      <c r="B3167" s="1" t="s">
        <v>506</v>
      </c>
      <c r="C3167" s="1" t="s">
        <v>507</v>
      </c>
      <c r="D3167" s="2">
        <v>44652.339853356483</v>
      </c>
      <c r="E3167" s="1" t="s">
        <v>677</v>
      </c>
      <c r="F3167" s="1">
        <v>1</v>
      </c>
      <c r="G3167" s="1">
        <v>0</v>
      </c>
      <c r="H3167" s="6">
        <f>INT(Query1[[#This Row],[EntryDateTime]])</f>
        <v>44652</v>
      </c>
      <c r="I3167" s="1">
        <f>IF(Query1[[#This Row],[ItemType]]="EVAP KIT SF GEN IV",Query1[[#This Row],[OrderQty]]+I3166,I3166)</f>
        <v>3933</v>
      </c>
      <c r="J3167" s="1">
        <f>IF(Query1[[#This Row],[ItemType]]="EVAP KIT UNIVERSAL",Query1[[#This Row],[OrderQty]]+J3166,J3166)</f>
        <v>1408</v>
      </c>
      <c r="K3167" s="1">
        <f>Query1[[#This Row],[SF Running Total]]+Query1[[#This Row],[UNIV Running Total]]</f>
        <v>5341</v>
      </c>
      <c r="L3167" t="e">
        <f>VLOOKUP(Query1[[#This Row],[Description]],'kits to boards'!$B$2:$E$156,2,FALSE)</f>
        <v>#N/A</v>
      </c>
      <c r="M3167" t="e">
        <f>VLOOKUP(Query1[[#This Row],[Description]],'kits to boards'!$B$2:$E$156,3,FALSE)</f>
        <v>#N/A</v>
      </c>
      <c r="N3167" t="e">
        <f>VLOOKUP(Query1[[#This Row],[Description]],'kits to boards'!$B$2:$E$156,4,FALSE)</f>
        <v>#N/A</v>
      </c>
      <c r="O3167" t="e">
        <f>CONCATENATE(Query1[[#This Row],[Description]]," - ",Query1[[#This Row],[MB1]]," - ",Query1[[#This Row],[MB2]]," - ",Query1[[#This Row],[MB3]])</f>
        <v>#N/A</v>
      </c>
    </row>
    <row r="3168" spans="1:15" x14ac:dyDescent="0.25">
      <c r="A3168" s="1">
        <v>917775</v>
      </c>
      <c r="B3168" s="1" t="s">
        <v>110</v>
      </c>
      <c r="C3168" s="1" t="s">
        <v>111</v>
      </c>
      <c r="D3168" s="2">
        <v>44652.342869988424</v>
      </c>
      <c r="E3168" s="1" t="s">
        <v>8</v>
      </c>
      <c r="F3168" s="1">
        <v>1</v>
      </c>
      <c r="G3168" s="1">
        <v>0</v>
      </c>
      <c r="H3168" s="6">
        <f>INT(Query1[[#This Row],[EntryDateTime]])</f>
        <v>44652</v>
      </c>
      <c r="I3168" s="1">
        <f>IF(Query1[[#This Row],[ItemType]]="EVAP KIT SF GEN IV",Query1[[#This Row],[OrderQty]]+I3167,I3167)</f>
        <v>3934</v>
      </c>
      <c r="J3168" s="1">
        <f>IF(Query1[[#This Row],[ItemType]]="EVAP KIT UNIVERSAL",Query1[[#This Row],[OrderQty]]+J3167,J3167)</f>
        <v>1408</v>
      </c>
      <c r="K3168" s="1">
        <f>Query1[[#This Row],[SF Running Total]]+Query1[[#This Row],[UNIV Running Total]]</f>
        <v>5342</v>
      </c>
      <c r="L3168">
        <f>VLOOKUP(Query1[[#This Row],[Description]],'kits to boards'!$B$2:$E$156,2,FALSE)</f>
        <v>830053</v>
      </c>
      <c r="M3168">
        <f>VLOOKUP(Query1[[#This Row],[Description]],'kits to boards'!$B$2:$E$156,3,FALSE)</f>
        <v>0</v>
      </c>
      <c r="N3168">
        <f>VLOOKUP(Query1[[#This Row],[Description]],'kits to boards'!$B$2:$E$156,4,FALSE)</f>
        <v>0</v>
      </c>
      <c r="O3168" t="str">
        <f>CONCATENATE(Query1[[#This Row],[Description]]," - ",Query1[[#This Row],[MB1]]," - ",Query1[[#This Row],[MB2]]," - ",Query1[[#This Row],[MB3]])</f>
        <v>EVAP KIT 65-66 FORD F-100 - 830053 - 0 - 0</v>
      </c>
    </row>
    <row r="3169" spans="1:15" x14ac:dyDescent="0.25">
      <c r="A3169" s="1">
        <v>917776</v>
      </c>
      <c r="B3169" s="1" t="s">
        <v>118</v>
      </c>
      <c r="C3169" s="1" t="s">
        <v>119</v>
      </c>
      <c r="D3169" s="2">
        <v>44652.345726192128</v>
      </c>
      <c r="E3169" s="1" t="s">
        <v>11</v>
      </c>
      <c r="F3169" s="1">
        <v>1</v>
      </c>
      <c r="G3169" s="1">
        <v>0</v>
      </c>
      <c r="H3169" s="6">
        <f>INT(Query1[[#This Row],[EntryDateTime]])</f>
        <v>44652</v>
      </c>
      <c r="I3169" s="1">
        <f>IF(Query1[[#This Row],[ItemType]]="EVAP KIT SF GEN IV",Query1[[#This Row],[OrderQty]]+I3168,I3168)</f>
        <v>3934</v>
      </c>
      <c r="J3169" s="1">
        <f>IF(Query1[[#This Row],[ItemType]]="EVAP KIT UNIVERSAL",Query1[[#This Row],[OrderQty]]+J3168,J3168)</f>
        <v>1409</v>
      </c>
      <c r="K3169" s="1">
        <f>Query1[[#This Row],[SF Running Total]]+Query1[[#This Row],[UNIV Running Total]]</f>
        <v>5343</v>
      </c>
      <c r="L3169">
        <f>VLOOKUP(Query1[[#This Row],[Description]],'kits to boards'!$B$2:$E$156,2,FALSE)</f>
        <v>830069</v>
      </c>
      <c r="M3169">
        <f>VLOOKUP(Query1[[#This Row],[Description]],'kits to boards'!$B$2:$E$156,3,FALSE)</f>
        <v>0</v>
      </c>
      <c r="N3169">
        <f>VLOOKUP(Query1[[#This Row],[Description]],'kits to boards'!$B$2:$E$156,4,FALSE)</f>
        <v>0</v>
      </c>
      <c r="O3169" t="str">
        <f>CONCATENATE(Query1[[#This Row],[Description]]," - ",Query1[[#This Row],[MB1]]," - ",Query1[[#This Row],[MB2]]," - ",Query1[[#This Row],[MB3]])</f>
        <v>SLIMLINE H/C W/DEF BLK LOUVER - 830069 - 0 - 0</v>
      </c>
    </row>
    <row r="3170" spans="1:15" x14ac:dyDescent="0.25">
      <c r="A3170" s="1">
        <v>917776</v>
      </c>
      <c r="B3170" s="1" t="s">
        <v>20</v>
      </c>
      <c r="C3170" s="1" t="s">
        <v>21</v>
      </c>
      <c r="D3170" s="2">
        <v>44652.345962500003</v>
      </c>
      <c r="E3170" s="1" t="s">
        <v>11</v>
      </c>
      <c r="F3170" s="1">
        <v>2</v>
      </c>
      <c r="G3170" s="1">
        <v>0</v>
      </c>
      <c r="H3170" s="6">
        <f>INT(Query1[[#This Row],[EntryDateTime]])</f>
        <v>44652</v>
      </c>
      <c r="I3170" s="1">
        <f>IF(Query1[[#This Row],[ItemType]]="EVAP KIT SF GEN IV",Query1[[#This Row],[OrderQty]]+I3169,I3169)</f>
        <v>3934</v>
      </c>
      <c r="J3170" s="1">
        <f>IF(Query1[[#This Row],[ItemType]]="EVAP KIT UNIVERSAL",Query1[[#This Row],[OrderQty]]+J3169,J3169)</f>
        <v>1411</v>
      </c>
      <c r="K3170" s="1">
        <f>Query1[[#This Row],[SF Running Total]]+Query1[[#This Row],[UNIV Running Total]]</f>
        <v>5345</v>
      </c>
      <c r="L3170">
        <f>VLOOKUP(Query1[[#This Row],[Description]],'kits to boards'!$B$2:$E$156,2,FALSE)</f>
        <v>830102</v>
      </c>
      <c r="M3170">
        <f>VLOOKUP(Query1[[#This Row],[Description]],'kits to boards'!$B$2:$E$156,3,FALSE)</f>
        <v>0</v>
      </c>
      <c r="N3170">
        <f>VLOOKUP(Query1[[#This Row],[Description]],'kits to boards'!$B$2:$E$156,4,FALSE)</f>
        <v>0</v>
      </c>
      <c r="O3170" t="str">
        <f>CONCATENATE(Query1[[#This Row],[Description]]," - ",Query1[[#This Row],[MB1]]," - ",Query1[[#This Row],[MB2]]," - ",Query1[[#This Row],[MB3]])</f>
        <v>SUPER GEN II W/DEF - 830102 - 0 - 0</v>
      </c>
    </row>
    <row r="3171" spans="1:15" x14ac:dyDescent="0.25">
      <c r="A3171" s="1">
        <v>917778</v>
      </c>
      <c r="B3171" s="1" t="s">
        <v>190</v>
      </c>
      <c r="C3171" s="1" t="s">
        <v>191</v>
      </c>
      <c r="D3171" s="2">
        <v>44652.34963109954</v>
      </c>
      <c r="E3171" s="1" t="s">
        <v>8</v>
      </c>
      <c r="F3171" s="1">
        <v>1</v>
      </c>
      <c r="G3171" s="1">
        <v>0</v>
      </c>
      <c r="H3171" s="6">
        <f>INT(Query1[[#This Row],[EntryDateTime]])</f>
        <v>44652</v>
      </c>
      <c r="I3171" s="1">
        <f>IF(Query1[[#This Row],[ItemType]]="EVAP KIT SF GEN IV",Query1[[#This Row],[OrderQty]]+I3170,I3170)</f>
        <v>3935</v>
      </c>
      <c r="J3171" s="1">
        <f>IF(Query1[[#This Row],[ItemType]]="EVAP KIT UNIVERSAL",Query1[[#This Row],[OrderQty]]+J3170,J3170)</f>
        <v>1411</v>
      </c>
      <c r="K3171" s="1">
        <f>Query1[[#This Row],[SF Running Total]]+Query1[[#This Row],[UNIV Running Total]]</f>
        <v>5346</v>
      </c>
      <c r="L3171">
        <f>VLOOKUP(Query1[[#This Row],[Description]],'kits to boards'!$B$2:$E$156,2,FALSE)</f>
        <v>830008</v>
      </c>
      <c r="M3171">
        <f>VLOOKUP(Query1[[#This Row],[Description]],'kits to boards'!$B$2:$E$156,3,FALSE)</f>
        <v>0</v>
      </c>
      <c r="N3171">
        <f>VLOOKUP(Query1[[#This Row],[Description]],'kits to boards'!$B$2:$E$156,4,FALSE)</f>
        <v>0</v>
      </c>
      <c r="O3171" t="str">
        <f>CONCATENATE(Query1[[#This Row],[Description]]," - ",Query1[[#This Row],[MB1]]," - ",Query1[[#This Row],[MB2]]," - ",Query1[[#This Row],[MB3]])</f>
        <v>EVAP KIT 63 IMPALA WO AC - 830008 - 0 - 0</v>
      </c>
    </row>
    <row r="3172" spans="1:15" x14ac:dyDescent="0.25">
      <c r="A3172" s="1">
        <v>917777</v>
      </c>
      <c r="B3172" s="1" t="s">
        <v>32</v>
      </c>
      <c r="C3172" s="1" t="s">
        <v>33</v>
      </c>
      <c r="D3172" s="2">
        <v>44652.350156909721</v>
      </c>
      <c r="E3172" s="1" t="s">
        <v>8</v>
      </c>
      <c r="F3172" s="1">
        <v>1</v>
      </c>
      <c r="G3172" s="1">
        <v>0</v>
      </c>
      <c r="H3172" s="6">
        <f>INT(Query1[[#This Row],[EntryDateTime]])</f>
        <v>44652</v>
      </c>
      <c r="I3172" s="1">
        <f>IF(Query1[[#This Row],[ItemType]]="EVAP KIT SF GEN IV",Query1[[#This Row],[OrderQty]]+I3171,I3171)</f>
        <v>3936</v>
      </c>
      <c r="J3172" s="1">
        <f>IF(Query1[[#This Row],[ItemType]]="EVAP KIT UNIVERSAL",Query1[[#This Row],[OrderQty]]+J3171,J3171)</f>
        <v>1411</v>
      </c>
      <c r="K3172" s="1">
        <f>Query1[[#This Row],[SF Running Total]]+Query1[[#This Row],[UNIV Running Total]]</f>
        <v>5347</v>
      </c>
      <c r="L3172">
        <f>VLOOKUP(Query1[[#This Row],[Description]],'kits to boards'!$B$2:$E$156,2,FALSE)</f>
        <v>830016</v>
      </c>
      <c r="M3172">
        <f>VLOOKUP(Query1[[#This Row],[Description]],'kits to boards'!$B$2:$E$156,3,FALSE)</f>
        <v>0</v>
      </c>
      <c r="N3172">
        <f>VLOOKUP(Query1[[#This Row],[Description]],'kits to boards'!$B$2:$E$156,4,FALSE)</f>
        <v>0</v>
      </c>
      <c r="O3172" t="str">
        <f>CONCATENATE(Query1[[#This Row],[Description]]," - ",Query1[[#This Row],[MB1]]," - ",Query1[[#This Row],[MB2]]," - ",Query1[[#This Row],[MB3]])</f>
        <v>EVAP KIT 67-68 CAMARO/FIREBIRD W/AC - 830016 - 0 - 0</v>
      </c>
    </row>
    <row r="3173" spans="1:15" x14ac:dyDescent="0.25">
      <c r="A3173" s="1">
        <v>917779</v>
      </c>
      <c r="B3173" s="1" t="s">
        <v>12</v>
      </c>
      <c r="C3173" s="1" t="s">
        <v>13</v>
      </c>
      <c r="D3173" s="2">
        <v>44652.351289583334</v>
      </c>
      <c r="E3173" s="1" t="s">
        <v>8</v>
      </c>
      <c r="F3173" s="1">
        <v>1</v>
      </c>
      <c r="G3173" s="1">
        <v>0</v>
      </c>
      <c r="H3173" s="6">
        <f>INT(Query1[[#This Row],[EntryDateTime]])</f>
        <v>44652</v>
      </c>
      <c r="I3173" s="1">
        <f>IF(Query1[[#This Row],[ItemType]]="EVAP KIT SF GEN IV",Query1[[#This Row],[OrderQty]]+I3172,I3172)</f>
        <v>3937</v>
      </c>
      <c r="J3173" s="1">
        <f>IF(Query1[[#This Row],[ItemType]]="EVAP KIT UNIVERSAL",Query1[[#This Row],[OrderQty]]+J3172,J3172)</f>
        <v>1411</v>
      </c>
      <c r="K3173" s="1">
        <f>Query1[[#This Row],[SF Running Total]]+Query1[[#This Row],[UNIV Running Total]]</f>
        <v>5348</v>
      </c>
      <c r="L3173">
        <f>VLOOKUP(Query1[[#This Row],[Description]],'kits to boards'!$B$2:$E$156,2,FALSE)</f>
        <v>830079</v>
      </c>
      <c r="M3173">
        <f>VLOOKUP(Query1[[#This Row],[Description]],'kits to boards'!$B$2:$E$156,3,FALSE)</f>
        <v>830046</v>
      </c>
      <c r="N3173">
        <f>VLOOKUP(Query1[[#This Row],[Description]],'kits to boards'!$B$2:$E$156,4,FALSE)</f>
        <v>0</v>
      </c>
      <c r="O3173" t="str">
        <f>CONCATENATE(Query1[[#This Row],[Description]]," - ",Query1[[#This Row],[MB1]]," - ",Query1[[#This Row],[MB2]]," - ",Query1[[#This Row],[MB3]])</f>
        <v>EVAP KIT 67-68 MUSTANG/COUGAR W/AC - 830079 - 830046 - 0</v>
      </c>
    </row>
    <row r="3174" spans="1:15" x14ac:dyDescent="0.25">
      <c r="A3174" s="1">
        <v>917786</v>
      </c>
      <c r="B3174" s="1" t="s">
        <v>40</v>
      </c>
      <c r="C3174" s="1" t="s">
        <v>246</v>
      </c>
      <c r="D3174" s="2">
        <v>44652.368367361109</v>
      </c>
      <c r="E3174" s="1" t="s">
        <v>8</v>
      </c>
      <c r="F3174" s="1">
        <v>1</v>
      </c>
      <c r="G3174" s="1">
        <v>0</v>
      </c>
      <c r="H3174" s="6">
        <f>INT(Query1[[#This Row],[EntryDateTime]])</f>
        <v>44652</v>
      </c>
      <c r="I3174" s="1">
        <f>IF(Query1[[#This Row],[ItemType]]="EVAP KIT SF GEN IV",Query1[[#This Row],[OrderQty]]+I3173,I3173)</f>
        <v>3938</v>
      </c>
      <c r="J3174" s="1">
        <f>IF(Query1[[#This Row],[ItemType]]="EVAP KIT UNIVERSAL",Query1[[#This Row],[OrderQty]]+J3173,J3173)</f>
        <v>1411</v>
      </c>
      <c r="K3174" s="1">
        <f>Query1[[#This Row],[SF Running Total]]+Query1[[#This Row],[UNIV Running Total]]</f>
        <v>5349</v>
      </c>
      <c r="L3174" t="e">
        <f>VLOOKUP(Query1[[#This Row],[Description]],'kits to boards'!$B$2:$E$156,2,FALSE)</f>
        <v>#N/A</v>
      </c>
      <c r="M3174" t="e">
        <f>VLOOKUP(Query1[[#This Row],[Description]],'kits to boards'!$B$2:$E$156,3,FALSE)</f>
        <v>#N/A</v>
      </c>
      <c r="N3174" t="e">
        <f>VLOOKUP(Query1[[#This Row],[Description]],'kits to boards'!$B$2:$E$156,4,FALSE)</f>
        <v>#N/A</v>
      </c>
      <c r="O3174" t="e">
        <f>CONCATENATE(Query1[[#This Row],[Description]]," - ",Query1[[#This Row],[MB1]]," - ",Query1[[#This Row],[MB2]]," - ",Query1[[#This Row],[MB3]])</f>
        <v>#N/A</v>
      </c>
    </row>
    <row r="3175" spans="1:15" x14ac:dyDescent="0.25">
      <c r="A3175" s="1">
        <v>917785</v>
      </c>
      <c r="B3175" s="1" t="s">
        <v>254</v>
      </c>
      <c r="C3175" s="1" t="s">
        <v>255</v>
      </c>
      <c r="D3175" s="2">
        <v>44652.368667476854</v>
      </c>
      <c r="E3175" s="1" t="s">
        <v>8</v>
      </c>
      <c r="F3175" s="1">
        <v>1</v>
      </c>
      <c r="G3175" s="1">
        <v>0</v>
      </c>
      <c r="H3175" s="6">
        <f>INT(Query1[[#This Row],[EntryDateTime]])</f>
        <v>44652</v>
      </c>
      <c r="I3175" s="1">
        <f>IF(Query1[[#This Row],[ItemType]]="EVAP KIT SF GEN IV",Query1[[#This Row],[OrderQty]]+I3174,I3174)</f>
        <v>3939</v>
      </c>
      <c r="J3175" s="1">
        <f>IF(Query1[[#This Row],[ItemType]]="EVAP KIT UNIVERSAL",Query1[[#This Row],[OrderQty]]+J3174,J3174)</f>
        <v>1411</v>
      </c>
      <c r="K3175" s="1">
        <f>Query1[[#This Row],[SF Running Total]]+Query1[[#This Row],[UNIV Running Total]]</f>
        <v>5350</v>
      </c>
      <c r="L3175">
        <f>VLOOKUP(Query1[[#This Row],[Description]],'kits to boards'!$B$2:$E$156,2,FALSE)</f>
        <v>830073</v>
      </c>
      <c r="M3175">
        <f>VLOOKUP(Query1[[#This Row],[Description]],'kits to boards'!$B$2:$E$156,3,FALSE)</f>
        <v>0</v>
      </c>
      <c r="N3175">
        <f>VLOOKUP(Query1[[#This Row],[Description]],'kits to boards'!$B$2:$E$156,4,FALSE)</f>
        <v>0</v>
      </c>
      <c r="O3175" t="str">
        <f>CONCATENATE(Query1[[#This Row],[Description]]," - ",Query1[[#This Row],[MB1]]," - ",Query1[[#This Row],[MB2]]," - ",Query1[[#This Row],[MB3]])</f>
        <v>EVAP KIT 66-67 BELV,SALIT,GTX WO AC - 830073 - 0 - 0</v>
      </c>
    </row>
    <row r="3176" spans="1:15" x14ac:dyDescent="0.25">
      <c r="A3176" s="1">
        <v>917500</v>
      </c>
      <c r="B3176" s="1" t="s">
        <v>102</v>
      </c>
      <c r="C3176" s="1" t="s">
        <v>103</v>
      </c>
      <c r="D3176" s="2">
        <v>44652.37864884259</v>
      </c>
      <c r="E3176" s="1" t="s">
        <v>8</v>
      </c>
      <c r="F3176" s="1">
        <v>1</v>
      </c>
      <c r="G3176" s="1">
        <v>0</v>
      </c>
      <c r="H3176" s="6">
        <f>INT(Query1[[#This Row],[EntryDateTime]])</f>
        <v>44652</v>
      </c>
      <c r="I3176" s="1">
        <f>IF(Query1[[#This Row],[ItemType]]="EVAP KIT SF GEN IV",Query1[[#This Row],[OrderQty]]+I3175,I3175)</f>
        <v>3940</v>
      </c>
      <c r="J3176" s="1">
        <f>IF(Query1[[#This Row],[ItemType]]="EVAP KIT UNIVERSAL",Query1[[#This Row],[OrderQty]]+J3175,J3175)</f>
        <v>1411</v>
      </c>
      <c r="K3176" s="1">
        <f>Query1[[#This Row],[SF Running Total]]+Query1[[#This Row],[UNIV Running Total]]</f>
        <v>5351</v>
      </c>
      <c r="L3176">
        <f>VLOOKUP(Query1[[#This Row],[Description]],'kits to boards'!$B$2:$E$156,2,FALSE)</f>
        <v>830012</v>
      </c>
      <c r="M3176">
        <f>VLOOKUP(Query1[[#This Row],[Description]],'kits to boards'!$B$2:$E$156,3,FALSE)</f>
        <v>0</v>
      </c>
      <c r="N3176">
        <f>VLOOKUP(Query1[[#This Row],[Description]],'kits to boards'!$B$2:$E$156,4,FALSE)</f>
        <v>0</v>
      </c>
      <c r="O3176" t="str">
        <f>CONCATENATE(Query1[[#This Row],[Description]]," - ",Query1[[#This Row],[MB1]]," - ",Query1[[#This Row],[MB2]]," - ",Query1[[#This Row],[MB3]])</f>
        <v>EVAP KIT 69 CAMARO WO/AC - 830012 - 0 - 0</v>
      </c>
    </row>
    <row r="3177" spans="1:15" x14ac:dyDescent="0.25">
      <c r="A3177" s="1">
        <v>917790</v>
      </c>
      <c r="B3177" s="1" t="s">
        <v>32</v>
      </c>
      <c r="C3177" s="1" t="s">
        <v>33</v>
      </c>
      <c r="D3177" s="2">
        <v>44652.38393452546</v>
      </c>
      <c r="E3177" s="1" t="s">
        <v>8</v>
      </c>
      <c r="F3177" s="1">
        <v>1</v>
      </c>
      <c r="G3177" s="1">
        <v>0</v>
      </c>
      <c r="H3177" s="6">
        <f>INT(Query1[[#This Row],[EntryDateTime]])</f>
        <v>44652</v>
      </c>
      <c r="I3177" s="1">
        <f>IF(Query1[[#This Row],[ItemType]]="EVAP KIT SF GEN IV",Query1[[#This Row],[OrderQty]]+I3176,I3176)</f>
        <v>3941</v>
      </c>
      <c r="J3177" s="1">
        <f>IF(Query1[[#This Row],[ItemType]]="EVAP KIT UNIVERSAL",Query1[[#This Row],[OrderQty]]+J3176,J3176)</f>
        <v>1411</v>
      </c>
      <c r="K3177" s="1">
        <f>Query1[[#This Row],[SF Running Total]]+Query1[[#This Row],[UNIV Running Total]]</f>
        <v>5352</v>
      </c>
      <c r="L3177">
        <f>VLOOKUP(Query1[[#This Row],[Description]],'kits to boards'!$B$2:$E$156,2,FALSE)</f>
        <v>830016</v>
      </c>
      <c r="M3177">
        <f>VLOOKUP(Query1[[#This Row],[Description]],'kits to boards'!$B$2:$E$156,3,FALSE)</f>
        <v>0</v>
      </c>
      <c r="N3177">
        <f>VLOOKUP(Query1[[#This Row],[Description]],'kits to boards'!$B$2:$E$156,4,FALSE)</f>
        <v>0</v>
      </c>
      <c r="O3177" t="str">
        <f>CONCATENATE(Query1[[#This Row],[Description]]," - ",Query1[[#This Row],[MB1]]," - ",Query1[[#This Row],[MB2]]," - ",Query1[[#This Row],[MB3]])</f>
        <v>EVAP KIT 67-68 CAMARO/FIREBIRD W/AC - 830016 - 0 - 0</v>
      </c>
    </row>
    <row r="3178" spans="1:15" x14ac:dyDescent="0.25">
      <c r="A3178" s="1">
        <v>917797</v>
      </c>
      <c r="B3178" s="1" t="s">
        <v>170</v>
      </c>
      <c r="C3178" s="1" t="s">
        <v>171</v>
      </c>
      <c r="D3178" s="2">
        <v>44652.393493831019</v>
      </c>
      <c r="E3178" s="1" t="s">
        <v>8</v>
      </c>
      <c r="F3178" s="1">
        <v>1</v>
      </c>
      <c r="G3178" s="1">
        <v>0</v>
      </c>
      <c r="H3178" s="6">
        <f>INT(Query1[[#This Row],[EntryDateTime]])</f>
        <v>44652</v>
      </c>
      <c r="I3178" s="1">
        <f>IF(Query1[[#This Row],[ItemType]]="EVAP KIT SF GEN IV",Query1[[#This Row],[OrderQty]]+I3177,I3177)</f>
        <v>3942</v>
      </c>
      <c r="J3178" s="1">
        <f>IF(Query1[[#This Row],[ItemType]]="EVAP KIT UNIVERSAL",Query1[[#This Row],[OrderQty]]+J3177,J3177)</f>
        <v>1411</v>
      </c>
      <c r="K3178" s="1">
        <f>Query1[[#This Row],[SF Running Total]]+Query1[[#This Row],[UNIV Running Total]]</f>
        <v>5353</v>
      </c>
      <c r="L3178">
        <f>VLOOKUP(Query1[[#This Row],[Description]],'kits to boards'!$B$2:$E$156,2,FALSE)</f>
        <v>830018</v>
      </c>
      <c r="M3178">
        <f>VLOOKUP(Query1[[#This Row],[Description]],'kits to boards'!$B$2:$E$156,3,FALSE)</f>
        <v>0</v>
      </c>
      <c r="N3178">
        <f>VLOOKUP(Query1[[#This Row],[Description]],'kits to boards'!$B$2:$E$156,4,FALSE)</f>
        <v>0</v>
      </c>
      <c r="O3178" t="str">
        <f>CONCATENATE(Query1[[#This Row],[Description]]," - ",Query1[[#This Row],[MB1]]," - ",Query1[[#This Row],[MB2]]," - ",Query1[[#This Row],[MB3]])</f>
        <v>EVAP KIT 67 FORD P-UP F-100 - 830018 - 0 - 0</v>
      </c>
    </row>
    <row r="3179" spans="1:15" x14ac:dyDescent="0.25">
      <c r="A3179" s="1">
        <v>917802</v>
      </c>
      <c r="B3179" s="1" t="s">
        <v>86</v>
      </c>
      <c r="C3179" s="1" t="s">
        <v>87</v>
      </c>
      <c r="D3179" s="2">
        <v>44652.409830937497</v>
      </c>
      <c r="E3179" s="1" t="s">
        <v>8</v>
      </c>
      <c r="F3179" s="1">
        <v>1</v>
      </c>
      <c r="G3179" s="1">
        <v>0</v>
      </c>
      <c r="H3179" s="6">
        <f>INT(Query1[[#This Row],[EntryDateTime]])</f>
        <v>44652</v>
      </c>
      <c r="I3179" s="1">
        <f>IF(Query1[[#This Row],[ItemType]]="EVAP KIT SF GEN IV",Query1[[#This Row],[OrderQty]]+I3178,I3178)</f>
        <v>3943</v>
      </c>
      <c r="J3179" s="1">
        <f>IF(Query1[[#This Row],[ItemType]]="EVAP KIT UNIVERSAL",Query1[[#This Row],[OrderQty]]+J3178,J3178)</f>
        <v>1411</v>
      </c>
      <c r="K3179" s="1">
        <f>Query1[[#This Row],[SF Running Total]]+Query1[[#This Row],[UNIV Running Total]]</f>
        <v>5354</v>
      </c>
      <c r="L3179">
        <f>VLOOKUP(Query1[[#This Row],[Description]],'kits to boards'!$B$2:$E$156,2,FALSE)</f>
        <v>830048</v>
      </c>
      <c r="M3179">
        <f>VLOOKUP(Query1[[#This Row],[Description]],'kits to boards'!$B$2:$E$156,3,FALSE)</f>
        <v>0</v>
      </c>
      <c r="N3179">
        <f>VLOOKUP(Query1[[#This Row],[Description]],'kits to boards'!$B$2:$E$156,4,FALSE)</f>
        <v>0</v>
      </c>
      <c r="O3179" t="str">
        <f>CONCATENATE(Query1[[#This Row],[Description]]," - ",Query1[[#This Row],[MB1]]," - ",Query1[[#This Row],[MB2]]," - ",Query1[[#This Row],[MB3]])</f>
        <v>EVAP KIT 66-67 NOVA - 830048 - 0 - 0</v>
      </c>
    </row>
    <row r="3180" spans="1:15" x14ac:dyDescent="0.25">
      <c r="A3180" s="1">
        <v>917784</v>
      </c>
      <c r="B3180" s="1" t="s">
        <v>188</v>
      </c>
      <c r="C3180" s="1" t="s">
        <v>189</v>
      </c>
      <c r="D3180" s="2">
        <v>44652.411105868057</v>
      </c>
      <c r="E3180" s="1" t="s">
        <v>11</v>
      </c>
      <c r="F3180" s="1">
        <v>1</v>
      </c>
      <c r="G3180" s="1">
        <v>0</v>
      </c>
      <c r="H3180" s="6">
        <f>INT(Query1[[#This Row],[EntryDateTime]])</f>
        <v>44652</v>
      </c>
      <c r="I3180" s="1">
        <f>IF(Query1[[#This Row],[ItemType]]="EVAP KIT SF GEN IV",Query1[[#This Row],[OrderQty]]+I3179,I3179)</f>
        <v>3943</v>
      </c>
      <c r="J3180" s="1">
        <f>IF(Query1[[#This Row],[ItemType]]="EVAP KIT UNIVERSAL",Query1[[#This Row],[OrderQty]]+J3179,J3179)</f>
        <v>1412</v>
      </c>
      <c r="K3180" s="1">
        <f>Query1[[#This Row],[SF Running Total]]+Query1[[#This Row],[UNIV Running Total]]</f>
        <v>5355</v>
      </c>
      <c r="L3180">
        <f>VLOOKUP(Query1[[#This Row],[Description]],'kits to boards'!$B$2:$E$156,2,FALSE)</f>
        <v>830069</v>
      </c>
      <c r="M3180">
        <f>VLOOKUP(Query1[[#This Row],[Description]],'kits to boards'!$B$2:$E$156,3,FALSE)</f>
        <v>0</v>
      </c>
      <c r="N3180">
        <f>VLOOKUP(Query1[[#This Row],[Description]],'kits to boards'!$B$2:$E$156,4,FALSE)</f>
        <v>0</v>
      </c>
      <c r="O3180" t="str">
        <f>CONCATENATE(Query1[[#This Row],[Description]]," - ",Query1[[#This Row],[MB1]]," - ",Query1[[#This Row],[MB2]]," - ",Query1[[#This Row],[MB3]])</f>
        <v>SLIMLINE H/C STD LOUVER - 830069 - 0 - 0</v>
      </c>
    </row>
    <row r="3181" spans="1:15" x14ac:dyDescent="0.25">
      <c r="A3181" s="1">
        <v>917810</v>
      </c>
      <c r="B3181" s="1" t="s">
        <v>76</v>
      </c>
      <c r="C3181" s="1" t="s">
        <v>77</v>
      </c>
      <c r="D3181" s="2">
        <v>44652.426183877316</v>
      </c>
      <c r="E3181" s="1" t="s">
        <v>11</v>
      </c>
      <c r="F3181" s="1">
        <v>1</v>
      </c>
      <c r="G3181" s="1">
        <v>0</v>
      </c>
      <c r="H3181" s="6">
        <f>INT(Query1[[#This Row],[EntryDateTime]])</f>
        <v>44652</v>
      </c>
      <c r="I3181" s="1">
        <f>IF(Query1[[#This Row],[ItemType]]="EVAP KIT SF GEN IV",Query1[[#This Row],[OrderQty]]+I3180,I3180)</f>
        <v>3943</v>
      </c>
      <c r="J3181" s="1">
        <f>IF(Query1[[#This Row],[ItemType]]="EVAP KIT UNIVERSAL",Query1[[#This Row],[OrderQty]]+J3180,J3180)</f>
        <v>1413</v>
      </c>
      <c r="K3181" s="1">
        <f>Query1[[#This Row],[SF Running Total]]+Query1[[#This Row],[UNIV Running Total]]</f>
        <v>5356</v>
      </c>
      <c r="L3181">
        <f>VLOOKUP(Query1[[#This Row],[Description]],'kits to boards'!$B$2:$E$156,2,FALSE)</f>
        <v>830099</v>
      </c>
      <c r="M3181">
        <f>VLOOKUP(Query1[[#This Row],[Description]],'kits to boards'!$B$2:$E$156,3,FALSE)</f>
        <v>0</v>
      </c>
      <c r="N3181">
        <f>VLOOKUP(Query1[[#This Row],[Description]],'kits to boards'!$B$2:$E$156,4,FALSE)</f>
        <v>0</v>
      </c>
      <c r="O3181" t="str">
        <f>CONCATENATE(Query1[[#This Row],[Description]]," - ",Query1[[#This Row],[MB1]]," - ",Query1[[#This Row],[MB2]]," - ",Query1[[#This Row],[MB3]])</f>
        <v>MINI GEN II H/C - 830099 - 0 - 0</v>
      </c>
    </row>
    <row r="3182" spans="1:15" x14ac:dyDescent="0.25">
      <c r="A3182" s="1">
        <v>917819</v>
      </c>
      <c r="B3182" s="1" t="s">
        <v>46</v>
      </c>
      <c r="C3182" s="1" t="s">
        <v>47</v>
      </c>
      <c r="D3182" s="2">
        <v>44652.447179131945</v>
      </c>
      <c r="E3182" s="1" t="s">
        <v>8</v>
      </c>
      <c r="F3182" s="1">
        <v>2</v>
      </c>
      <c r="G3182" s="1">
        <v>0</v>
      </c>
      <c r="H3182" s="6">
        <f>INT(Query1[[#This Row],[EntryDateTime]])</f>
        <v>44652</v>
      </c>
      <c r="I3182" s="1">
        <f>IF(Query1[[#This Row],[ItemType]]="EVAP KIT SF GEN IV",Query1[[#This Row],[OrderQty]]+I3181,I3181)</f>
        <v>3945</v>
      </c>
      <c r="J3182" s="1">
        <f>IF(Query1[[#This Row],[ItemType]]="EVAP KIT UNIVERSAL",Query1[[#This Row],[OrderQty]]+J3181,J3181)</f>
        <v>1413</v>
      </c>
      <c r="K3182" s="1">
        <f>Query1[[#This Row],[SF Running Total]]+Query1[[#This Row],[UNIV Running Total]]</f>
        <v>5358</v>
      </c>
      <c r="L3182">
        <f>VLOOKUP(Query1[[#This Row],[Description]],'kits to boards'!$B$2:$E$156,2,FALSE)</f>
        <v>830018</v>
      </c>
      <c r="M3182">
        <f>VLOOKUP(Query1[[#This Row],[Description]],'kits to boards'!$B$2:$E$156,3,FALSE)</f>
        <v>0</v>
      </c>
      <c r="N3182">
        <f>VLOOKUP(Query1[[#This Row],[Description]],'kits to boards'!$B$2:$E$156,4,FALSE)</f>
        <v>0</v>
      </c>
      <c r="O3182" t="str">
        <f>CONCATENATE(Query1[[#This Row],[Description]]," - ",Query1[[#This Row],[MB1]]," - ",Query1[[#This Row],[MB2]]," - ",Query1[[#This Row],[MB3]])</f>
        <v>EVAP KIT 68-72 FORD P-UP F-100 - 830018 - 0 - 0</v>
      </c>
    </row>
    <row r="3183" spans="1:15" x14ac:dyDescent="0.25">
      <c r="A3183" s="1">
        <v>917821</v>
      </c>
      <c r="B3183" s="1" t="s">
        <v>92</v>
      </c>
      <c r="C3183" s="1" t="s">
        <v>93</v>
      </c>
      <c r="D3183" s="2">
        <v>44652.451860300927</v>
      </c>
      <c r="E3183" s="1" t="s">
        <v>8</v>
      </c>
      <c r="F3183" s="1">
        <v>1</v>
      </c>
      <c r="G3183" s="1">
        <v>0</v>
      </c>
      <c r="H3183" s="6">
        <f>INT(Query1[[#This Row],[EntryDateTime]])</f>
        <v>44652</v>
      </c>
      <c r="I3183" s="1">
        <f>IF(Query1[[#This Row],[ItemType]]="EVAP KIT SF GEN IV",Query1[[#This Row],[OrderQty]]+I3182,I3182)</f>
        <v>3946</v>
      </c>
      <c r="J3183" s="1">
        <f>IF(Query1[[#This Row],[ItemType]]="EVAP KIT UNIVERSAL",Query1[[#This Row],[OrderQty]]+J3182,J3182)</f>
        <v>1413</v>
      </c>
      <c r="K3183" s="1">
        <f>Query1[[#This Row],[SF Running Total]]+Query1[[#This Row],[UNIV Running Total]]</f>
        <v>5359</v>
      </c>
      <c r="L3183">
        <f>VLOOKUP(Query1[[#This Row],[Description]],'kits to boards'!$B$2:$E$156,2,FALSE)</f>
        <v>830063</v>
      </c>
      <c r="M3183">
        <f>VLOOKUP(Query1[[#This Row],[Description]],'kits to boards'!$B$2:$E$156,3,FALSE)</f>
        <v>0</v>
      </c>
      <c r="N3183">
        <f>VLOOKUP(Query1[[#This Row],[Description]],'kits to boards'!$B$2:$E$156,4,FALSE)</f>
        <v>0</v>
      </c>
      <c r="O3183" t="str">
        <f>CONCATENATE(Query1[[#This Row],[Description]]," - ",Query1[[#This Row],[MB1]]," - ",Query1[[#This Row],[MB2]]," - ",Query1[[#This Row],[MB3]])</f>
        <v>EVAP KIT 50-53 CHEV P-UP GEN IV - 830063 - 0 - 0</v>
      </c>
    </row>
    <row r="3184" spans="1:15" x14ac:dyDescent="0.25">
      <c r="A3184" s="1">
        <v>917825</v>
      </c>
      <c r="B3184" s="1" t="s">
        <v>134</v>
      </c>
      <c r="C3184" s="1" t="s">
        <v>135</v>
      </c>
      <c r="D3184" s="2">
        <v>44652.467406747688</v>
      </c>
      <c r="E3184" s="1" t="s">
        <v>8</v>
      </c>
      <c r="F3184" s="1">
        <v>1</v>
      </c>
      <c r="G3184" s="1">
        <v>0</v>
      </c>
      <c r="H3184" s="6">
        <f>INT(Query1[[#This Row],[EntryDateTime]])</f>
        <v>44652</v>
      </c>
      <c r="I3184" s="1">
        <f>IF(Query1[[#This Row],[ItemType]]="EVAP KIT SF GEN IV",Query1[[#This Row],[OrderQty]]+I3183,I3183)</f>
        <v>3947</v>
      </c>
      <c r="J3184" s="1">
        <f>IF(Query1[[#This Row],[ItemType]]="EVAP KIT UNIVERSAL",Query1[[#This Row],[OrderQty]]+J3183,J3183)</f>
        <v>1413</v>
      </c>
      <c r="K3184" s="1">
        <f>Query1[[#This Row],[SF Running Total]]+Query1[[#This Row],[UNIV Running Total]]</f>
        <v>5360</v>
      </c>
      <c r="L3184">
        <f>VLOOKUP(Query1[[#This Row],[Description]],'kits to boards'!$B$2:$E$156,2,FALSE)</f>
        <v>830007</v>
      </c>
      <c r="M3184">
        <f>VLOOKUP(Query1[[#This Row],[Description]],'kits to boards'!$B$2:$E$156,3,FALSE)</f>
        <v>0</v>
      </c>
      <c r="N3184">
        <f>VLOOKUP(Query1[[#This Row],[Description]],'kits to boards'!$B$2:$E$156,4,FALSE)</f>
        <v>0</v>
      </c>
      <c r="O3184" t="str">
        <f>CONCATENATE(Query1[[#This Row],[Description]]," - ",Query1[[#This Row],[MB1]]," - ",Query1[[#This Row],[MB2]]," - ",Query1[[#This Row],[MB3]])</f>
        <v>EVAP KIT 64 IMPALA WO AC - 830007 - 0 - 0</v>
      </c>
    </row>
    <row r="3185" spans="1:15" x14ac:dyDescent="0.25">
      <c r="A3185" s="1">
        <v>917826</v>
      </c>
      <c r="B3185" s="1" t="s">
        <v>96</v>
      </c>
      <c r="C3185" s="1" t="s">
        <v>97</v>
      </c>
      <c r="D3185" s="2">
        <v>44652.473056678238</v>
      </c>
      <c r="E3185" s="1" t="s">
        <v>8</v>
      </c>
      <c r="F3185" s="1">
        <v>1</v>
      </c>
      <c r="G3185" s="1">
        <v>0</v>
      </c>
      <c r="H3185" s="6">
        <f>INT(Query1[[#This Row],[EntryDateTime]])</f>
        <v>44652</v>
      </c>
      <c r="I3185" s="1">
        <f>IF(Query1[[#This Row],[ItemType]]="EVAP KIT SF GEN IV",Query1[[#This Row],[OrderQty]]+I3184,I3184)</f>
        <v>3948</v>
      </c>
      <c r="J3185" s="1">
        <f>IF(Query1[[#This Row],[ItemType]]="EVAP KIT UNIVERSAL",Query1[[#This Row],[OrderQty]]+J3184,J3184)</f>
        <v>1413</v>
      </c>
      <c r="K3185" s="1">
        <f>Query1[[#This Row],[SF Running Total]]+Query1[[#This Row],[UNIV Running Total]]</f>
        <v>5361</v>
      </c>
      <c r="L3185">
        <f>VLOOKUP(Query1[[#This Row],[Description]],'kits to boards'!$B$2:$E$156,2,FALSE)</f>
        <v>830004</v>
      </c>
      <c r="M3185">
        <f>VLOOKUP(Query1[[#This Row],[Description]],'kits to boards'!$B$2:$E$156,3,FALSE)</f>
        <v>0</v>
      </c>
      <c r="N3185">
        <f>VLOOKUP(Query1[[#This Row],[Description]],'kits to boards'!$B$2:$E$156,4,FALSE)</f>
        <v>0</v>
      </c>
      <c r="O3185" t="str">
        <f>CONCATENATE(Query1[[#This Row],[Description]]," - ",Query1[[#This Row],[MB1]]," - ",Query1[[#This Row],[MB2]]," - ",Query1[[#This Row],[MB3]])</f>
        <v>EVAP KIT 81-87 CHEV P-UP W/AC - 830004 - 0 - 0</v>
      </c>
    </row>
    <row r="3186" spans="1:15" x14ac:dyDescent="0.25">
      <c r="A3186" s="1">
        <v>917831</v>
      </c>
      <c r="B3186" s="1" t="s">
        <v>190</v>
      </c>
      <c r="C3186" s="1" t="s">
        <v>191</v>
      </c>
      <c r="D3186" s="2">
        <v>44652.485496608795</v>
      </c>
      <c r="E3186" s="1" t="s">
        <v>8</v>
      </c>
      <c r="F3186" s="1">
        <v>1</v>
      </c>
      <c r="G3186" s="1">
        <v>0</v>
      </c>
      <c r="H3186" s="6">
        <f>INT(Query1[[#This Row],[EntryDateTime]])</f>
        <v>44652</v>
      </c>
      <c r="I3186" s="1">
        <f>IF(Query1[[#This Row],[ItemType]]="EVAP KIT SF GEN IV",Query1[[#This Row],[OrderQty]]+I3185,I3185)</f>
        <v>3949</v>
      </c>
      <c r="J3186" s="1">
        <f>IF(Query1[[#This Row],[ItemType]]="EVAP KIT UNIVERSAL",Query1[[#This Row],[OrderQty]]+J3185,J3185)</f>
        <v>1413</v>
      </c>
      <c r="K3186" s="1">
        <f>Query1[[#This Row],[SF Running Total]]+Query1[[#This Row],[UNIV Running Total]]</f>
        <v>5362</v>
      </c>
      <c r="L3186">
        <f>VLOOKUP(Query1[[#This Row],[Description]],'kits to boards'!$B$2:$E$156,2,FALSE)</f>
        <v>830008</v>
      </c>
      <c r="M3186">
        <f>VLOOKUP(Query1[[#This Row],[Description]],'kits to boards'!$B$2:$E$156,3,FALSE)</f>
        <v>0</v>
      </c>
      <c r="N3186">
        <f>VLOOKUP(Query1[[#This Row],[Description]],'kits to boards'!$B$2:$E$156,4,FALSE)</f>
        <v>0</v>
      </c>
      <c r="O3186" t="str">
        <f>CONCATENATE(Query1[[#This Row],[Description]]," - ",Query1[[#This Row],[MB1]]," - ",Query1[[#This Row],[MB2]]," - ",Query1[[#This Row],[MB3]])</f>
        <v>EVAP KIT 63 IMPALA WO AC - 830008 - 0 - 0</v>
      </c>
    </row>
    <row r="3187" spans="1:15" x14ac:dyDescent="0.25">
      <c r="A3187" s="1">
        <v>917746</v>
      </c>
      <c r="B3187" s="1" t="s">
        <v>502</v>
      </c>
      <c r="C3187" s="1" t="s">
        <v>503</v>
      </c>
      <c r="D3187" s="2">
        <v>44652.495759988429</v>
      </c>
      <c r="E3187" s="1" t="s">
        <v>677</v>
      </c>
      <c r="F3187" s="1">
        <v>1</v>
      </c>
      <c r="G3187" s="1">
        <v>0</v>
      </c>
      <c r="H3187" s="6">
        <f>INT(Query1[[#This Row],[EntryDateTime]])</f>
        <v>44652</v>
      </c>
      <c r="I3187" s="1">
        <f>IF(Query1[[#This Row],[ItemType]]="EVAP KIT SF GEN IV",Query1[[#This Row],[OrderQty]]+I3186,I3186)</f>
        <v>3949</v>
      </c>
      <c r="J3187" s="1">
        <f>IF(Query1[[#This Row],[ItemType]]="EVAP KIT UNIVERSAL",Query1[[#This Row],[OrderQty]]+J3186,J3186)</f>
        <v>1413</v>
      </c>
      <c r="K3187" s="1">
        <f>Query1[[#This Row],[SF Running Total]]+Query1[[#This Row],[UNIV Running Total]]</f>
        <v>5362</v>
      </c>
      <c r="L3187" t="e">
        <f>VLOOKUP(Query1[[#This Row],[Description]],'kits to boards'!$B$2:$E$156,2,FALSE)</f>
        <v>#N/A</v>
      </c>
      <c r="M3187" t="e">
        <f>VLOOKUP(Query1[[#This Row],[Description]],'kits to boards'!$B$2:$E$156,3,FALSE)</f>
        <v>#N/A</v>
      </c>
      <c r="N3187" t="e">
        <f>VLOOKUP(Query1[[#This Row],[Description]],'kits to boards'!$B$2:$E$156,4,FALSE)</f>
        <v>#N/A</v>
      </c>
      <c r="O3187" t="e">
        <f>CONCATENATE(Query1[[#This Row],[Description]]," - ",Query1[[#This Row],[MB1]]," - ",Query1[[#This Row],[MB2]]," - ",Query1[[#This Row],[MB3]])</f>
        <v>#N/A</v>
      </c>
    </row>
    <row r="3188" spans="1:15" x14ac:dyDescent="0.25">
      <c r="A3188" s="1">
        <v>917746</v>
      </c>
      <c r="B3188" s="1" t="s">
        <v>58</v>
      </c>
      <c r="C3188" s="1" t="s">
        <v>59</v>
      </c>
      <c r="D3188" s="2">
        <v>44652.495759988429</v>
      </c>
      <c r="E3188" s="1" t="s">
        <v>11</v>
      </c>
      <c r="F3188" s="1">
        <v>1</v>
      </c>
      <c r="G3188" s="1">
        <v>0</v>
      </c>
      <c r="H3188" s="6">
        <f>INT(Query1[[#This Row],[EntryDateTime]])</f>
        <v>44652</v>
      </c>
      <c r="I3188" s="1">
        <f>IF(Query1[[#This Row],[ItemType]]="EVAP KIT SF GEN IV",Query1[[#This Row],[OrderQty]]+I3187,I3187)</f>
        <v>3949</v>
      </c>
      <c r="J3188" s="1">
        <f>IF(Query1[[#This Row],[ItemType]]="EVAP KIT UNIVERSAL",Query1[[#This Row],[OrderQty]]+J3187,J3187)</f>
        <v>1414</v>
      </c>
      <c r="K3188" s="1">
        <f>Query1[[#This Row],[SF Running Total]]+Query1[[#This Row],[UNIV Running Total]]</f>
        <v>5363</v>
      </c>
      <c r="L3188">
        <f>VLOOKUP(Query1[[#This Row],[Description]],'kits to boards'!$B$2:$E$156,2,FALSE)</f>
        <v>830088</v>
      </c>
      <c r="M3188">
        <f>VLOOKUP(Query1[[#This Row],[Description]],'kits to boards'!$B$2:$E$156,3,FALSE)</f>
        <v>830099</v>
      </c>
      <c r="N3188">
        <f>VLOOKUP(Query1[[#This Row],[Description]],'kits to boards'!$B$2:$E$156,4,FALSE)</f>
        <v>0</v>
      </c>
      <c r="O3188" t="str">
        <f>CONCATENATE(Query1[[#This Row],[Description]]," - ",Query1[[#This Row],[MB1]]," - ",Query1[[#This Row],[MB2]]," - ",Query1[[#This Row],[MB3]])</f>
        <v>MONSTER TRUNK UNIT COOL - 830088 - 830099 - 0</v>
      </c>
    </row>
    <row r="3189" spans="1:15" x14ac:dyDescent="0.25">
      <c r="A3189" s="1">
        <v>917746</v>
      </c>
      <c r="B3189" s="1" t="s">
        <v>22</v>
      </c>
      <c r="C3189" s="1" t="s">
        <v>23</v>
      </c>
      <c r="D3189" s="2">
        <v>44652.495759988429</v>
      </c>
      <c r="E3189" s="1" t="s">
        <v>8</v>
      </c>
      <c r="F3189" s="1">
        <v>3</v>
      </c>
      <c r="G3189" s="1">
        <v>0</v>
      </c>
      <c r="H3189" s="6">
        <f>INT(Query1[[#This Row],[EntryDateTime]])</f>
        <v>44652</v>
      </c>
      <c r="I3189" s="1">
        <f>IF(Query1[[#This Row],[ItemType]]="EVAP KIT SF GEN IV",Query1[[#This Row],[OrderQty]]+I3188,I3188)</f>
        <v>3952</v>
      </c>
      <c r="J3189" s="1">
        <f>IF(Query1[[#This Row],[ItemType]]="EVAP KIT UNIVERSAL",Query1[[#This Row],[OrderQty]]+J3188,J3188)</f>
        <v>1414</v>
      </c>
      <c r="K3189" s="1">
        <f>Query1[[#This Row],[SF Running Total]]+Query1[[#This Row],[UNIV Running Total]]</f>
        <v>5366</v>
      </c>
      <c r="L3189">
        <f>VLOOKUP(Query1[[#This Row],[Description]],'kits to boards'!$B$2:$E$156,2,FALSE)</f>
        <v>830083</v>
      </c>
      <c r="M3189">
        <f>VLOOKUP(Query1[[#This Row],[Description]],'kits to boards'!$B$2:$E$156,3,FALSE)</f>
        <v>0</v>
      </c>
      <c r="N3189">
        <f>VLOOKUP(Query1[[#This Row],[Description]],'kits to boards'!$B$2:$E$156,4,FALSE)</f>
        <v>0</v>
      </c>
      <c r="O3189" t="str">
        <f>CONCATENATE(Query1[[#This Row],[Description]]," - ",Query1[[#This Row],[MB1]]," - ",Query1[[#This Row],[MB2]]," - ",Query1[[#This Row],[MB3]])</f>
        <v>GEN IV MAGNUM EVAP KIT - 830083 - 0 - 0</v>
      </c>
    </row>
    <row r="3190" spans="1:15" x14ac:dyDescent="0.25">
      <c r="A3190" s="1">
        <v>917746</v>
      </c>
      <c r="B3190" s="1" t="s">
        <v>78</v>
      </c>
      <c r="C3190" s="1" t="s">
        <v>79</v>
      </c>
      <c r="D3190" s="2">
        <v>44652.495759988429</v>
      </c>
      <c r="E3190" s="1" t="s">
        <v>11</v>
      </c>
      <c r="F3190" s="1">
        <v>1</v>
      </c>
      <c r="G3190" s="1">
        <v>0</v>
      </c>
      <c r="H3190" s="6">
        <f>INT(Query1[[#This Row],[EntryDateTime]])</f>
        <v>44652</v>
      </c>
      <c r="I3190" s="1">
        <f>IF(Query1[[#This Row],[ItemType]]="EVAP KIT SF GEN IV",Query1[[#This Row],[OrderQty]]+I3189,I3189)</f>
        <v>3952</v>
      </c>
      <c r="J3190" s="1">
        <f>IF(Query1[[#This Row],[ItemType]]="EVAP KIT UNIVERSAL",Query1[[#This Row],[OrderQty]]+J3189,J3189)</f>
        <v>1415</v>
      </c>
      <c r="K3190" s="1">
        <f>Query1[[#This Row],[SF Running Total]]+Query1[[#This Row],[UNIV Running Total]]</f>
        <v>5367</v>
      </c>
      <c r="L3190">
        <f>VLOOKUP(Query1[[#This Row],[Description]],'kits to boards'!$B$2:$E$156,2,FALSE)</f>
        <v>0</v>
      </c>
      <c r="M3190">
        <f>VLOOKUP(Query1[[#This Row],[Description]],'kits to boards'!$B$2:$E$156,3,FALSE)</f>
        <v>0</v>
      </c>
      <c r="N3190">
        <f>VLOOKUP(Query1[[#This Row],[Description]],'kits to boards'!$B$2:$E$156,4,FALSE)</f>
        <v>0</v>
      </c>
      <c r="O3190" t="str">
        <f>CONCATENATE(Query1[[#This Row],[Description]]," - ",Query1[[#This Row],[MB1]]," - ",Query1[[#This Row],[MB2]]," - ",Query1[[#This Row],[MB3]])</f>
        <v>MARK IV STYLELINE UNDERDASH EVAP - 0 - 0 - 0</v>
      </c>
    </row>
    <row r="3191" spans="1:15" x14ac:dyDescent="0.25">
      <c r="A3191" s="1">
        <v>917746</v>
      </c>
      <c r="B3191" s="1" t="s">
        <v>24</v>
      </c>
      <c r="C3191" s="1" t="s">
        <v>25</v>
      </c>
      <c r="D3191" s="2">
        <v>44652.495759988429</v>
      </c>
      <c r="E3191" s="1" t="s">
        <v>11</v>
      </c>
      <c r="F3191" s="1">
        <v>4</v>
      </c>
      <c r="G3191" s="1">
        <v>0</v>
      </c>
      <c r="H3191" s="6">
        <f>INT(Query1[[#This Row],[EntryDateTime]])</f>
        <v>44652</v>
      </c>
      <c r="I3191" s="1">
        <f>IF(Query1[[#This Row],[ItemType]]="EVAP KIT SF GEN IV",Query1[[#This Row],[OrderQty]]+I3190,I3190)</f>
        <v>3952</v>
      </c>
      <c r="J3191" s="1">
        <f>IF(Query1[[#This Row],[ItemType]]="EVAP KIT UNIVERSAL",Query1[[#This Row],[OrderQty]]+J3190,J3190)</f>
        <v>1419</v>
      </c>
      <c r="K3191" s="1">
        <f>Query1[[#This Row],[SF Running Total]]+Query1[[#This Row],[UNIV Running Total]]</f>
        <v>5371</v>
      </c>
      <c r="L3191">
        <f>VLOOKUP(Query1[[#This Row],[Description]],'kits to boards'!$B$2:$E$156,2,FALSE)</f>
        <v>830029</v>
      </c>
      <c r="M3191">
        <f>VLOOKUP(Query1[[#This Row],[Description]],'kits to boards'!$B$2:$E$156,3,FALSE)</f>
        <v>830030</v>
      </c>
      <c r="N3191">
        <f>VLOOKUP(Query1[[#This Row],[Description]],'kits to boards'!$B$2:$E$156,4,FALSE)</f>
        <v>0</v>
      </c>
      <c r="O3191" t="str">
        <f>CONCATENATE(Query1[[#This Row],[Description]]," - ",Query1[[#This Row],[MB1]]," - ",Query1[[#This Row],[MB2]]," - ",Query1[[#This Row],[MB3]])</f>
        <v>ComPac GEN II W/DEF - 830029 - 830030 - 0</v>
      </c>
    </row>
    <row r="3192" spans="1:15" x14ac:dyDescent="0.25">
      <c r="A3192" s="1">
        <v>917746</v>
      </c>
      <c r="B3192" s="1" t="s">
        <v>263</v>
      </c>
      <c r="C3192" s="1" t="s">
        <v>264</v>
      </c>
      <c r="D3192" s="2">
        <v>44652.495759988429</v>
      </c>
      <c r="E3192" s="1" t="s">
        <v>11</v>
      </c>
      <c r="F3192" s="1">
        <v>1</v>
      </c>
      <c r="G3192" s="1">
        <v>0</v>
      </c>
      <c r="H3192" s="6">
        <f>INT(Query1[[#This Row],[EntryDateTime]])</f>
        <v>44652</v>
      </c>
      <c r="I3192" s="1">
        <f>IF(Query1[[#This Row],[ItemType]]="EVAP KIT SF GEN IV",Query1[[#This Row],[OrderQty]]+I3191,I3191)</f>
        <v>3952</v>
      </c>
      <c r="J3192" s="1">
        <f>IF(Query1[[#This Row],[ItemType]]="EVAP KIT UNIVERSAL",Query1[[#This Row],[OrderQty]]+J3191,J3191)</f>
        <v>1420</v>
      </c>
      <c r="K3192" s="1">
        <f>Query1[[#This Row],[SF Running Total]]+Query1[[#This Row],[UNIV Running Total]]</f>
        <v>5372</v>
      </c>
      <c r="L3192">
        <f>VLOOKUP(Query1[[#This Row],[Description]],'kits to boards'!$B$2:$E$156,2,FALSE)</f>
        <v>830069</v>
      </c>
      <c r="M3192">
        <f>VLOOKUP(Query1[[#This Row],[Description]],'kits to boards'!$B$2:$E$156,3,FALSE)</f>
        <v>0</v>
      </c>
      <c r="N3192">
        <f>VLOOKUP(Query1[[#This Row],[Description]],'kits to boards'!$B$2:$E$156,4,FALSE)</f>
        <v>0</v>
      </c>
      <c r="O3192" t="str">
        <f>CONCATENATE(Query1[[#This Row],[Description]]," - ",Query1[[#This Row],[MB1]]," - ",Query1[[#This Row],[MB2]]," - ",Query1[[#This Row],[MB3]])</f>
        <v>SLIMLINE COOL STD LOUVER - 830069 - 0 - 0</v>
      </c>
    </row>
    <row r="3193" spans="1:15" x14ac:dyDescent="0.25">
      <c r="A3193" s="1">
        <v>917746</v>
      </c>
      <c r="B3193" s="1" t="s">
        <v>102</v>
      </c>
      <c r="C3193" s="1" t="s">
        <v>103</v>
      </c>
      <c r="D3193" s="2">
        <v>44652.495759988429</v>
      </c>
      <c r="E3193" s="1" t="s">
        <v>8</v>
      </c>
      <c r="F3193" s="1">
        <v>1</v>
      </c>
      <c r="G3193" s="1">
        <v>0</v>
      </c>
      <c r="H3193" s="6">
        <f>INT(Query1[[#This Row],[EntryDateTime]])</f>
        <v>44652</v>
      </c>
      <c r="I3193" s="1">
        <f>IF(Query1[[#This Row],[ItemType]]="EVAP KIT SF GEN IV",Query1[[#This Row],[OrderQty]]+I3192,I3192)</f>
        <v>3953</v>
      </c>
      <c r="J3193" s="1">
        <f>IF(Query1[[#This Row],[ItemType]]="EVAP KIT UNIVERSAL",Query1[[#This Row],[OrderQty]]+J3192,J3192)</f>
        <v>1420</v>
      </c>
      <c r="K3193" s="1">
        <f>Query1[[#This Row],[SF Running Total]]+Query1[[#This Row],[UNIV Running Total]]</f>
        <v>5373</v>
      </c>
      <c r="L3193">
        <f>VLOOKUP(Query1[[#This Row],[Description]],'kits to boards'!$B$2:$E$156,2,FALSE)</f>
        <v>830012</v>
      </c>
      <c r="M3193">
        <f>VLOOKUP(Query1[[#This Row],[Description]],'kits to boards'!$B$2:$E$156,3,FALSE)</f>
        <v>0</v>
      </c>
      <c r="N3193">
        <f>VLOOKUP(Query1[[#This Row],[Description]],'kits to boards'!$B$2:$E$156,4,FALSE)</f>
        <v>0</v>
      </c>
      <c r="O3193" t="str">
        <f>CONCATENATE(Query1[[#This Row],[Description]]," - ",Query1[[#This Row],[MB1]]," - ",Query1[[#This Row],[MB2]]," - ",Query1[[#This Row],[MB3]])</f>
        <v>EVAP KIT 69 CAMARO WO/AC - 830012 - 0 - 0</v>
      </c>
    </row>
    <row r="3194" spans="1:15" x14ac:dyDescent="0.25">
      <c r="A3194" s="1">
        <v>917746</v>
      </c>
      <c r="B3194" s="1" t="s">
        <v>116</v>
      </c>
      <c r="C3194" s="1" t="s">
        <v>117</v>
      </c>
      <c r="D3194" s="2">
        <v>44652.495759988429</v>
      </c>
      <c r="E3194" s="1" t="s">
        <v>8</v>
      </c>
      <c r="F3194" s="1">
        <v>1</v>
      </c>
      <c r="G3194" s="1">
        <v>0</v>
      </c>
      <c r="H3194" s="6">
        <f>INT(Query1[[#This Row],[EntryDateTime]])</f>
        <v>44652</v>
      </c>
      <c r="I3194" s="1">
        <f>IF(Query1[[#This Row],[ItemType]]="EVAP KIT SF GEN IV",Query1[[#This Row],[OrderQty]]+I3193,I3193)</f>
        <v>3954</v>
      </c>
      <c r="J3194" s="1">
        <f>IF(Query1[[#This Row],[ItemType]]="EVAP KIT UNIVERSAL",Query1[[#This Row],[OrderQty]]+J3193,J3193)</f>
        <v>1420</v>
      </c>
      <c r="K3194" s="1">
        <f>Query1[[#This Row],[SF Running Total]]+Query1[[#This Row],[UNIV Running Total]]</f>
        <v>5374</v>
      </c>
      <c r="L3194">
        <f>VLOOKUP(Query1[[#This Row],[Description]],'kits to boards'!$B$2:$E$156,2,FALSE)</f>
        <v>830058</v>
      </c>
      <c r="M3194">
        <f>VLOOKUP(Query1[[#This Row],[Description]],'kits to boards'!$B$2:$E$156,3,FALSE)</f>
        <v>0</v>
      </c>
      <c r="N3194">
        <f>VLOOKUP(Query1[[#This Row],[Description]],'kits to boards'!$B$2:$E$156,4,FALSE)</f>
        <v>0</v>
      </c>
      <c r="O3194" t="str">
        <f>CONCATENATE(Query1[[#This Row],[Description]]," - ",Query1[[#This Row],[MB1]]," - ",Query1[[#This Row],[MB2]]," - ",Query1[[#This Row],[MB3]])</f>
        <v>EVAP KIT 64-65 CHEVELLE WO AC - 830058 - 0 - 0</v>
      </c>
    </row>
    <row r="3195" spans="1:15" x14ac:dyDescent="0.25">
      <c r="A3195" s="1">
        <v>917746</v>
      </c>
      <c r="B3195" s="1" t="s">
        <v>172</v>
      </c>
      <c r="C3195" s="1" t="s">
        <v>173</v>
      </c>
      <c r="D3195" s="2">
        <v>44652.495759988429</v>
      </c>
      <c r="E3195" s="1" t="s">
        <v>11</v>
      </c>
      <c r="F3195" s="1">
        <v>1</v>
      </c>
      <c r="G3195" s="1">
        <v>0</v>
      </c>
      <c r="H3195" s="6">
        <f>INT(Query1[[#This Row],[EntryDateTime]])</f>
        <v>44652</v>
      </c>
      <c r="I3195" s="1">
        <f>IF(Query1[[#This Row],[ItemType]]="EVAP KIT SF GEN IV",Query1[[#This Row],[OrderQty]]+I3194,I3194)</f>
        <v>3954</v>
      </c>
      <c r="J3195" s="1">
        <f>IF(Query1[[#This Row],[ItemType]]="EVAP KIT UNIVERSAL",Query1[[#This Row],[OrderQty]]+J3194,J3194)</f>
        <v>1421</v>
      </c>
      <c r="K3195" s="1">
        <f>Query1[[#This Row],[SF Running Total]]+Query1[[#This Row],[UNIV Running Total]]</f>
        <v>5375</v>
      </c>
      <c r="L3195">
        <f>VLOOKUP(Query1[[#This Row],[Description]],'kits to boards'!$B$2:$E$156,2,FALSE)</f>
        <v>0</v>
      </c>
      <c r="M3195">
        <f>VLOOKUP(Query1[[#This Row],[Description]],'kits to boards'!$B$2:$E$156,3,FALSE)</f>
        <v>0</v>
      </c>
      <c r="N3195">
        <f>VLOOKUP(Query1[[#This Row],[Description]],'kits to boards'!$B$2:$E$156,4,FALSE)</f>
        <v>0</v>
      </c>
      <c r="O3195" t="str">
        <f>CONCATENATE(Query1[[#This Row],[Description]]," - ",Query1[[#This Row],[MB1]]," - ",Query1[[#This Row],[MB2]]," - ",Query1[[#This Row],[MB3]])</f>
        <v>HERITAGE PEARL EVAP KIT COOL ONLY - 0 - 0 - 0</v>
      </c>
    </row>
    <row r="3196" spans="1:15" x14ac:dyDescent="0.25">
      <c r="A3196" s="1">
        <v>917746</v>
      </c>
      <c r="B3196" s="1" t="s">
        <v>26</v>
      </c>
      <c r="C3196" s="1" t="s">
        <v>27</v>
      </c>
      <c r="D3196" s="2">
        <v>44652.495759988429</v>
      </c>
      <c r="E3196" s="1" t="s">
        <v>8</v>
      </c>
      <c r="F3196" s="1">
        <v>1</v>
      </c>
      <c r="G3196" s="1">
        <v>0</v>
      </c>
      <c r="H3196" s="6">
        <f>INT(Query1[[#This Row],[EntryDateTime]])</f>
        <v>44652</v>
      </c>
      <c r="I3196" s="1">
        <f>IF(Query1[[#This Row],[ItemType]]="EVAP KIT SF GEN IV",Query1[[#This Row],[OrderQty]]+I3195,I3195)</f>
        <v>3955</v>
      </c>
      <c r="J3196" s="1">
        <f>IF(Query1[[#This Row],[ItemType]]="EVAP KIT UNIVERSAL",Query1[[#This Row],[OrderQty]]+J3195,J3195)</f>
        <v>1421</v>
      </c>
      <c r="K3196" s="1">
        <f>Query1[[#This Row],[SF Running Total]]+Query1[[#This Row],[UNIV Running Total]]</f>
        <v>5376</v>
      </c>
      <c r="L3196">
        <f>VLOOKUP(Query1[[#This Row],[Description]],'kits to boards'!$B$2:$E$156,2,FALSE)</f>
        <v>830013</v>
      </c>
      <c r="M3196">
        <f>VLOOKUP(Query1[[#This Row],[Description]],'kits to boards'!$B$2:$E$156,3,FALSE)</f>
        <v>0</v>
      </c>
      <c r="N3196">
        <f>VLOOKUP(Query1[[#This Row],[Description]],'kits to boards'!$B$2:$E$156,4,FALSE)</f>
        <v>0</v>
      </c>
      <c r="O3196" t="str">
        <f>CONCATENATE(Query1[[#This Row],[Description]]," - ",Query1[[#This Row],[MB1]]," - ",Query1[[#This Row],[MB2]]," - ",Query1[[#This Row],[MB3]])</f>
        <v>EVAP KIT 67-72 CHEV P-UP W/AC - 830013 - 0 - 0</v>
      </c>
    </row>
    <row r="3197" spans="1:15" x14ac:dyDescent="0.25">
      <c r="A3197" s="1">
        <v>917746</v>
      </c>
      <c r="B3197" s="1" t="s">
        <v>9</v>
      </c>
      <c r="C3197" s="1" t="s">
        <v>10</v>
      </c>
      <c r="D3197" s="2">
        <v>44652.495759988429</v>
      </c>
      <c r="E3197" s="1" t="s">
        <v>11</v>
      </c>
      <c r="F3197" s="1">
        <v>1</v>
      </c>
      <c r="G3197" s="1">
        <v>0</v>
      </c>
      <c r="H3197" s="6">
        <f>INT(Query1[[#This Row],[EntryDateTime]])</f>
        <v>44652</v>
      </c>
      <c r="I3197" s="1">
        <f>IF(Query1[[#This Row],[ItemType]]="EVAP KIT SF GEN IV",Query1[[#This Row],[OrderQty]]+I3196,I3196)</f>
        <v>3955</v>
      </c>
      <c r="J3197" s="1">
        <f>IF(Query1[[#This Row],[ItemType]]="EVAP KIT UNIVERSAL",Query1[[#This Row],[OrderQty]]+J3196,J3196)</f>
        <v>1422</v>
      </c>
      <c r="K3197" s="1">
        <f>Query1[[#This Row],[SF Running Total]]+Query1[[#This Row],[UNIV Running Total]]</f>
        <v>5377</v>
      </c>
      <c r="L3197">
        <f>VLOOKUP(Query1[[#This Row],[Description]],'kits to boards'!$B$2:$E$156,2,FALSE)</f>
        <v>830069</v>
      </c>
      <c r="M3197">
        <f>VLOOKUP(Query1[[#This Row],[Description]],'kits to boards'!$B$2:$E$156,3,FALSE)</f>
        <v>0</v>
      </c>
      <c r="N3197">
        <f>VLOOKUP(Query1[[#This Row],[Description]],'kits to boards'!$B$2:$E$156,4,FALSE)</f>
        <v>0</v>
      </c>
      <c r="O3197" t="str">
        <f>CONCATENATE(Query1[[#This Row],[Description]]," - ",Query1[[#This Row],[MB1]]," - ",Query1[[#This Row],[MB2]]," - ",Query1[[#This Row],[MB3]])</f>
        <v>SLIMLINE H/C W/DEF STD LOUVER - 830069 - 0 - 0</v>
      </c>
    </row>
    <row r="3198" spans="1:15" x14ac:dyDescent="0.25">
      <c r="A3198" s="1">
        <v>917839</v>
      </c>
      <c r="B3198" s="1" t="s">
        <v>251</v>
      </c>
      <c r="C3198" s="1" t="s">
        <v>252</v>
      </c>
      <c r="D3198" s="2">
        <v>44652.516029895836</v>
      </c>
      <c r="E3198" s="1" t="s">
        <v>8</v>
      </c>
      <c r="F3198" s="1">
        <v>1</v>
      </c>
      <c r="G3198" s="1">
        <v>0</v>
      </c>
      <c r="H3198" s="6">
        <f>INT(Query1[[#This Row],[EntryDateTime]])</f>
        <v>44652</v>
      </c>
      <c r="I3198" s="1">
        <f>IF(Query1[[#This Row],[ItemType]]="EVAP KIT SF GEN IV",Query1[[#This Row],[OrderQty]]+I3197,I3197)</f>
        <v>3956</v>
      </c>
      <c r="J3198" s="1">
        <f>IF(Query1[[#This Row],[ItemType]]="EVAP KIT UNIVERSAL",Query1[[#This Row],[OrderQty]]+J3197,J3197)</f>
        <v>1422</v>
      </c>
      <c r="K3198" s="1">
        <f>Query1[[#This Row],[SF Running Total]]+Query1[[#This Row],[UNIV Running Total]]</f>
        <v>5378</v>
      </c>
      <c r="L3198">
        <f>VLOOKUP(Query1[[#This Row],[Description]],'kits to boards'!$B$2:$E$156,2,FALSE)</f>
        <v>830020</v>
      </c>
      <c r="M3198">
        <f>VLOOKUP(Query1[[#This Row],[Description]],'kits to boards'!$B$2:$E$156,3,FALSE)</f>
        <v>0</v>
      </c>
      <c r="N3198">
        <f>VLOOKUP(Query1[[#This Row],[Description]],'kits to boards'!$B$2:$E$156,4,FALSE)</f>
        <v>0</v>
      </c>
      <c r="O3198" t="str">
        <f>CONCATENATE(Query1[[#This Row],[Description]]," - ",Query1[[#This Row],[MB1]]," - ",Query1[[#This Row],[MB2]]," - ",Query1[[#This Row],[MB3]])</f>
        <v>EVAP KIT 69 FIREBIRD WO AC - 830020 - 0 - 0</v>
      </c>
    </row>
    <row r="3199" spans="1:15" x14ac:dyDescent="0.25">
      <c r="A3199" s="1">
        <v>913943</v>
      </c>
      <c r="B3199" s="1" t="s">
        <v>120</v>
      </c>
      <c r="C3199" s="1" t="s">
        <v>121</v>
      </c>
      <c r="D3199" s="2">
        <v>44652.53912021991</v>
      </c>
      <c r="E3199" s="1" t="s">
        <v>8</v>
      </c>
      <c r="F3199" s="1">
        <v>1</v>
      </c>
      <c r="G3199" s="1">
        <v>0</v>
      </c>
      <c r="H3199" s="6">
        <f>INT(Query1[[#This Row],[EntryDateTime]])</f>
        <v>44652</v>
      </c>
      <c r="I3199" s="1">
        <f>IF(Query1[[#This Row],[ItemType]]="EVAP KIT SF GEN IV",Query1[[#This Row],[OrderQty]]+I3198,I3198)</f>
        <v>3957</v>
      </c>
      <c r="J3199" s="1">
        <f>IF(Query1[[#This Row],[ItemType]]="EVAP KIT UNIVERSAL",Query1[[#This Row],[OrderQty]]+J3198,J3198)</f>
        <v>1422</v>
      </c>
      <c r="K3199" s="1">
        <f>Query1[[#This Row],[SF Running Total]]+Query1[[#This Row],[UNIV Running Total]]</f>
        <v>5379</v>
      </c>
      <c r="L3199">
        <f>VLOOKUP(Query1[[#This Row],[Description]],'kits to boards'!$B$2:$E$156,2,FALSE)</f>
        <v>830014</v>
      </c>
      <c r="M3199">
        <f>VLOOKUP(Query1[[#This Row],[Description]],'kits to boards'!$B$2:$E$156,3,FALSE)</f>
        <v>0</v>
      </c>
      <c r="N3199">
        <f>VLOOKUP(Query1[[#This Row],[Description]],'kits to boards'!$B$2:$E$156,4,FALSE)</f>
        <v>0</v>
      </c>
      <c r="O3199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3200" spans="1:15" x14ac:dyDescent="0.25">
      <c r="A3200" s="1">
        <v>917850</v>
      </c>
      <c r="B3200" s="1" t="s">
        <v>34</v>
      </c>
      <c r="C3200" s="1" t="s">
        <v>35</v>
      </c>
      <c r="D3200" s="2">
        <v>44652.539512581017</v>
      </c>
      <c r="E3200" s="1" t="s">
        <v>8</v>
      </c>
      <c r="F3200" s="1">
        <v>1</v>
      </c>
      <c r="G3200" s="1">
        <v>0</v>
      </c>
      <c r="H3200" s="6">
        <f>INT(Query1[[#This Row],[EntryDateTime]])</f>
        <v>44652</v>
      </c>
      <c r="I3200" s="1">
        <f>IF(Query1[[#This Row],[ItemType]]="EVAP KIT SF GEN IV",Query1[[#This Row],[OrderQty]]+I3199,I3199)</f>
        <v>3958</v>
      </c>
      <c r="J3200" s="1">
        <f>IF(Query1[[#This Row],[ItemType]]="EVAP KIT UNIVERSAL",Query1[[#This Row],[OrderQty]]+J3199,J3199)</f>
        <v>1422</v>
      </c>
      <c r="K3200" s="1">
        <f>Query1[[#This Row],[SF Running Total]]+Query1[[#This Row],[UNIV Running Total]]</f>
        <v>5380</v>
      </c>
      <c r="L3200">
        <f>VLOOKUP(Query1[[#This Row],[Description]],'kits to boards'!$B$2:$E$156,2,FALSE)</f>
        <v>830065</v>
      </c>
      <c r="M3200">
        <f>VLOOKUP(Query1[[#This Row],[Description]],'kits to boards'!$B$2:$E$156,3,FALSE)</f>
        <v>0</v>
      </c>
      <c r="N3200">
        <f>VLOOKUP(Query1[[#This Row],[Description]],'kits to boards'!$B$2:$E$156,4,FALSE)</f>
        <v>0</v>
      </c>
      <c r="O3200" t="str">
        <f>CONCATENATE(Query1[[#This Row],[Description]]," - ",Query1[[#This Row],[MB1]]," - ",Query1[[#This Row],[MB2]]," - ",Query1[[#This Row],[MB3]])</f>
        <v>EVAP KIT 57 CHEV WO AC - 830065 - 0 - 0</v>
      </c>
    </row>
    <row r="3201" spans="1:15" x14ac:dyDescent="0.25">
      <c r="A3201" s="1">
        <v>917853</v>
      </c>
      <c r="B3201" s="1" t="s">
        <v>98</v>
      </c>
      <c r="C3201" s="1" t="s">
        <v>99</v>
      </c>
      <c r="D3201" s="2">
        <v>44652.542513425928</v>
      </c>
      <c r="E3201" s="1" t="s">
        <v>11</v>
      </c>
      <c r="F3201" s="1">
        <v>2</v>
      </c>
      <c r="G3201" s="1">
        <v>0</v>
      </c>
      <c r="H3201" s="6">
        <f>INT(Query1[[#This Row],[EntryDateTime]])</f>
        <v>44652</v>
      </c>
      <c r="I3201" s="1">
        <f>IF(Query1[[#This Row],[ItemType]]="EVAP KIT SF GEN IV",Query1[[#This Row],[OrderQty]]+I3200,I3200)</f>
        <v>3958</v>
      </c>
      <c r="J3201" s="1">
        <f>IF(Query1[[#This Row],[ItemType]]="EVAP KIT UNIVERSAL",Query1[[#This Row],[OrderQty]]+J3200,J3200)</f>
        <v>1424</v>
      </c>
      <c r="K3201" s="1">
        <f>Query1[[#This Row],[SF Running Total]]+Query1[[#This Row],[UNIV Running Total]]</f>
        <v>5382</v>
      </c>
      <c r="L3201">
        <f>VLOOKUP(Query1[[#This Row],[Description]],'kits to boards'!$B$2:$E$156,2,FALSE)</f>
        <v>830099</v>
      </c>
      <c r="M3201">
        <f>VLOOKUP(Query1[[#This Row],[Description]],'kits to boards'!$B$2:$E$156,3,FALSE)</f>
        <v>0</v>
      </c>
      <c r="N3201">
        <f>VLOOKUP(Query1[[#This Row],[Description]],'kits to boards'!$B$2:$E$156,4,FALSE)</f>
        <v>0</v>
      </c>
      <c r="O3201" t="str">
        <f>CONCATENATE(Query1[[#This Row],[Description]]," - ",Query1[[#This Row],[MB1]]," - ",Query1[[#This Row],[MB2]]," - ",Query1[[#This Row],[MB3]])</f>
        <v>MINI GEN II W/DEF - 830099 - 0 - 0</v>
      </c>
    </row>
    <row r="3202" spans="1:15" x14ac:dyDescent="0.25">
      <c r="A3202" s="1">
        <v>917853</v>
      </c>
      <c r="B3202" s="1" t="s">
        <v>24</v>
      </c>
      <c r="C3202" s="1" t="s">
        <v>25</v>
      </c>
      <c r="D3202" s="2">
        <v>44652.542642326393</v>
      </c>
      <c r="E3202" s="1" t="s">
        <v>11</v>
      </c>
      <c r="F3202" s="1">
        <v>2</v>
      </c>
      <c r="G3202" s="1">
        <v>0</v>
      </c>
      <c r="H3202" s="6">
        <f>INT(Query1[[#This Row],[EntryDateTime]])</f>
        <v>44652</v>
      </c>
      <c r="I3202" s="1">
        <f>IF(Query1[[#This Row],[ItemType]]="EVAP KIT SF GEN IV",Query1[[#This Row],[OrderQty]]+I3201,I3201)</f>
        <v>3958</v>
      </c>
      <c r="J3202" s="1">
        <f>IF(Query1[[#This Row],[ItemType]]="EVAP KIT UNIVERSAL",Query1[[#This Row],[OrderQty]]+J3201,J3201)</f>
        <v>1426</v>
      </c>
      <c r="K3202" s="1">
        <f>Query1[[#This Row],[SF Running Total]]+Query1[[#This Row],[UNIV Running Total]]</f>
        <v>5384</v>
      </c>
      <c r="L3202">
        <f>VLOOKUP(Query1[[#This Row],[Description]],'kits to boards'!$B$2:$E$156,2,FALSE)</f>
        <v>830029</v>
      </c>
      <c r="M3202">
        <f>VLOOKUP(Query1[[#This Row],[Description]],'kits to boards'!$B$2:$E$156,3,FALSE)</f>
        <v>830030</v>
      </c>
      <c r="N3202">
        <f>VLOOKUP(Query1[[#This Row],[Description]],'kits to boards'!$B$2:$E$156,4,FALSE)</f>
        <v>0</v>
      </c>
      <c r="O3202" t="str">
        <f>CONCATENATE(Query1[[#This Row],[Description]]," - ",Query1[[#This Row],[MB1]]," - ",Query1[[#This Row],[MB2]]," - ",Query1[[#This Row],[MB3]])</f>
        <v>ComPac GEN II W/DEF - 830029 - 830030 - 0</v>
      </c>
    </row>
    <row r="3203" spans="1:15" x14ac:dyDescent="0.25">
      <c r="A3203" s="1">
        <v>917853</v>
      </c>
      <c r="B3203" s="1" t="s">
        <v>20</v>
      </c>
      <c r="C3203" s="1" t="s">
        <v>21</v>
      </c>
      <c r="D3203" s="2">
        <v>44652.542788310187</v>
      </c>
      <c r="E3203" s="1" t="s">
        <v>11</v>
      </c>
      <c r="F3203" s="1">
        <v>2</v>
      </c>
      <c r="G3203" s="1">
        <v>0</v>
      </c>
      <c r="H3203" s="6">
        <f>INT(Query1[[#This Row],[EntryDateTime]])</f>
        <v>44652</v>
      </c>
      <c r="I3203" s="1">
        <f>IF(Query1[[#This Row],[ItemType]]="EVAP KIT SF GEN IV",Query1[[#This Row],[OrderQty]]+I3202,I3202)</f>
        <v>3958</v>
      </c>
      <c r="J3203" s="1">
        <f>IF(Query1[[#This Row],[ItemType]]="EVAP KIT UNIVERSAL",Query1[[#This Row],[OrderQty]]+J3202,J3202)</f>
        <v>1428</v>
      </c>
      <c r="K3203" s="1">
        <f>Query1[[#This Row],[SF Running Total]]+Query1[[#This Row],[UNIV Running Total]]</f>
        <v>5386</v>
      </c>
      <c r="L3203">
        <f>VLOOKUP(Query1[[#This Row],[Description]],'kits to boards'!$B$2:$E$156,2,FALSE)</f>
        <v>830102</v>
      </c>
      <c r="M3203">
        <f>VLOOKUP(Query1[[#This Row],[Description]],'kits to boards'!$B$2:$E$156,3,FALSE)</f>
        <v>0</v>
      </c>
      <c r="N3203">
        <f>VLOOKUP(Query1[[#This Row],[Description]],'kits to boards'!$B$2:$E$156,4,FALSE)</f>
        <v>0</v>
      </c>
      <c r="O3203" t="str">
        <f>CONCATENATE(Query1[[#This Row],[Description]]," - ",Query1[[#This Row],[MB1]]," - ",Query1[[#This Row],[MB2]]," - ",Query1[[#This Row],[MB3]])</f>
        <v>SUPER GEN II W/DEF - 830102 - 0 - 0</v>
      </c>
    </row>
    <row r="3204" spans="1:15" x14ac:dyDescent="0.25">
      <c r="A3204" s="1">
        <v>917855</v>
      </c>
      <c r="B3204" s="1" t="s">
        <v>42</v>
      </c>
      <c r="C3204" s="1" t="s">
        <v>43</v>
      </c>
      <c r="D3204" s="2">
        <v>44652.544902928239</v>
      </c>
      <c r="E3204" s="1" t="s">
        <v>8</v>
      </c>
      <c r="F3204" s="1">
        <v>1</v>
      </c>
      <c r="G3204" s="1">
        <v>0</v>
      </c>
      <c r="H3204" s="6">
        <f>INT(Query1[[#This Row],[EntryDateTime]])</f>
        <v>44652</v>
      </c>
      <c r="I3204" s="1">
        <f>IF(Query1[[#This Row],[ItemType]]="EVAP KIT SF GEN IV",Query1[[#This Row],[OrderQty]]+I3203,I3203)</f>
        <v>3959</v>
      </c>
      <c r="J3204" s="1">
        <f>IF(Query1[[#This Row],[ItemType]]="EVAP KIT UNIVERSAL",Query1[[#This Row],[OrderQty]]+J3203,J3203)</f>
        <v>1428</v>
      </c>
      <c r="K3204" s="1">
        <f>Query1[[#This Row],[SF Running Total]]+Query1[[#This Row],[UNIV Running Total]]</f>
        <v>5387</v>
      </c>
      <c r="L3204">
        <f>VLOOKUP(Query1[[#This Row],[Description]],'kits to boards'!$B$2:$E$156,2,FALSE)</f>
        <v>830014</v>
      </c>
      <c r="M3204">
        <f>VLOOKUP(Query1[[#This Row],[Description]],'kits to boards'!$B$2:$E$156,3,FALSE)</f>
        <v>0</v>
      </c>
      <c r="N3204">
        <f>VLOOKUP(Query1[[#This Row],[Description]],'kits to boards'!$B$2:$E$156,4,FALSE)</f>
        <v>0</v>
      </c>
      <c r="O3204" t="str">
        <f>CONCATENATE(Query1[[#This Row],[Description]]," - ",Query1[[#This Row],[MB1]]," - ",Query1[[#This Row],[MB2]]," - ",Query1[[#This Row],[MB3]])</f>
        <v>EVAP KIT 67-72 CHEV P-UP WO AC - 830014 - 0 - 0</v>
      </c>
    </row>
    <row r="3205" spans="1:15" x14ac:dyDescent="0.25">
      <c r="A3205" s="1">
        <v>917859</v>
      </c>
      <c r="B3205" s="1" t="s">
        <v>72</v>
      </c>
      <c r="C3205" s="1" t="s">
        <v>73</v>
      </c>
      <c r="D3205" s="2">
        <v>44652.553094594907</v>
      </c>
      <c r="E3205" s="1" t="s">
        <v>8</v>
      </c>
      <c r="F3205" s="1">
        <v>1</v>
      </c>
      <c r="G3205" s="1">
        <v>0</v>
      </c>
      <c r="H3205" s="6">
        <f>INT(Query1[[#This Row],[EntryDateTime]])</f>
        <v>44652</v>
      </c>
      <c r="I3205" s="1">
        <f>IF(Query1[[#This Row],[ItemType]]="EVAP KIT SF GEN IV",Query1[[#This Row],[OrderQty]]+I3204,I3204)</f>
        <v>3960</v>
      </c>
      <c r="J3205" s="1">
        <f>IF(Query1[[#This Row],[ItemType]]="EVAP KIT UNIVERSAL",Query1[[#This Row],[OrderQty]]+J3204,J3204)</f>
        <v>1428</v>
      </c>
      <c r="K3205" s="1">
        <f>Query1[[#This Row],[SF Running Total]]+Query1[[#This Row],[UNIV Running Total]]</f>
        <v>5388</v>
      </c>
      <c r="L3205">
        <f>VLOOKUP(Query1[[#This Row],[Description]],'kits to boards'!$B$2:$E$156,2,FALSE)</f>
        <v>830043</v>
      </c>
      <c r="M3205">
        <f>VLOOKUP(Query1[[#This Row],[Description]],'kits to boards'!$B$2:$E$156,3,FALSE)</f>
        <v>0</v>
      </c>
      <c r="N3205">
        <f>VLOOKUP(Query1[[#This Row],[Description]],'kits to boards'!$B$2:$E$156,4,FALSE)</f>
        <v>0</v>
      </c>
      <c r="O3205" t="str">
        <f>CONCATENATE(Query1[[#This Row],[Description]]," - ",Query1[[#This Row],[MB1]]," - ",Query1[[#This Row],[MB2]]," - ",Query1[[#This Row],[MB3]])</f>
        <v>EVAP KIT 69-74 NOVA W/AC - 830043 - 0 - 0</v>
      </c>
    </row>
    <row r="3206" spans="1:15" x14ac:dyDescent="0.25">
      <c r="A3206" s="1">
        <v>917241</v>
      </c>
      <c r="B3206" s="1" t="s">
        <v>36</v>
      </c>
      <c r="C3206" s="1" t="s">
        <v>37</v>
      </c>
      <c r="D3206" s="2">
        <v>44652.5567872338</v>
      </c>
      <c r="E3206" s="1" t="s">
        <v>8</v>
      </c>
      <c r="F3206" s="1">
        <v>1</v>
      </c>
      <c r="G3206" s="1">
        <v>0</v>
      </c>
      <c r="H3206" s="6">
        <f>INT(Query1[[#This Row],[EntryDateTime]])</f>
        <v>44652</v>
      </c>
      <c r="I3206" s="1">
        <f>IF(Query1[[#This Row],[ItemType]]="EVAP KIT SF GEN IV",Query1[[#This Row],[OrderQty]]+I3205,I3205)</f>
        <v>3961</v>
      </c>
      <c r="J3206" s="1">
        <f>IF(Query1[[#This Row],[ItemType]]="EVAP KIT UNIVERSAL",Query1[[#This Row],[OrderQty]]+J3205,J3205)</f>
        <v>1428</v>
      </c>
      <c r="K3206" s="1">
        <f>Query1[[#This Row],[SF Running Total]]+Query1[[#This Row],[UNIV Running Total]]</f>
        <v>5389</v>
      </c>
      <c r="L3206">
        <f>VLOOKUP(Query1[[#This Row],[Description]],'kits to boards'!$B$2:$E$156,2,FALSE)</f>
        <v>830015</v>
      </c>
      <c r="M3206">
        <f>VLOOKUP(Query1[[#This Row],[Description]],'kits to boards'!$B$2:$E$156,3,FALSE)</f>
        <v>0</v>
      </c>
      <c r="N3206">
        <f>VLOOKUP(Query1[[#This Row],[Description]],'kits to boards'!$B$2:$E$156,4,FALSE)</f>
        <v>0</v>
      </c>
      <c r="O3206" t="str">
        <f>CONCATENATE(Query1[[#This Row],[Description]]," - ",Query1[[#This Row],[MB1]]," - ",Query1[[#This Row],[MB2]]," - ",Query1[[#This Row],[MB3]])</f>
        <v>EVAP KIT 64-66 CHEV P-UP WO AC W/STD - 830015 - 0 - 0</v>
      </c>
    </row>
    <row r="3207" spans="1:15" x14ac:dyDescent="0.25">
      <c r="A3207" s="1">
        <v>917700</v>
      </c>
      <c r="B3207" s="1" t="s">
        <v>254</v>
      </c>
      <c r="C3207" s="1" t="s">
        <v>255</v>
      </c>
      <c r="D3207" s="2">
        <v>44652.559435798612</v>
      </c>
      <c r="E3207" s="1" t="s">
        <v>8</v>
      </c>
      <c r="F3207" s="1">
        <v>1</v>
      </c>
      <c r="G3207" s="1">
        <v>0</v>
      </c>
      <c r="H3207" s="6">
        <f>INT(Query1[[#This Row],[EntryDateTime]])</f>
        <v>44652</v>
      </c>
      <c r="I3207" s="1">
        <f>IF(Query1[[#This Row],[ItemType]]="EVAP KIT SF GEN IV",Query1[[#This Row],[OrderQty]]+I3206,I3206)</f>
        <v>3962</v>
      </c>
      <c r="J3207" s="1">
        <f>IF(Query1[[#This Row],[ItemType]]="EVAP KIT UNIVERSAL",Query1[[#This Row],[OrderQty]]+J3206,J3206)</f>
        <v>1428</v>
      </c>
      <c r="K3207" s="1">
        <f>Query1[[#This Row],[SF Running Total]]+Query1[[#This Row],[UNIV Running Total]]</f>
        <v>5390</v>
      </c>
      <c r="L3207">
        <f>VLOOKUP(Query1[[#This Row],[Description]],'kits to boards'!$B$2:$E$156,2,FALSE)</f>
        <v>830073</v>
      </c>
      <c r="M3207">
        <f>VLOOKUP(Query1[[#This Row],[Description]],'kits to boards'!$B$2:$E$156,3,FALSE)</f>
        <v>0</v>
      </c>
      <c r="N3207">
        <f>VLOOKUP(Query1[[#This Row],[Description]],'kits to boards'!$B$2:$E$156,4,FALSE)</f>
        <v>0</v>
      </c>
      <c r="O3207" t="str">
        <f>CONCATENATE(Query1[[#This Row],[Description]]," - ",Query1[[#This Row],[MB1]]," - ",Query1[[#This Row],[MB2]]," - ",Query1[[#This Row],[MB3]])</f>
        <v>EVAP KIT 66-67 BELV,SALIT,GTX WO AC - 830073 - 0 - 0</v>
      </c>
    </row>
    <row r="3208" spans="1:15" x14ac:dyDescent="0.25">
      <c r="A3208" s="1">
        <v>917861</v>
      </c>
      <c r="B3208" s="1" t="s">
        <v>94</v>
      </c>
      <c r="C3208" s="1" t="s">
        <v>95</v>
      </c>
      <c r="D3208" s="2">
        <v>44652.575382141207</v>
      </c>
      <c r="E3208" s="1" t="s">
        <v>8</v>
      </c>
      <c r="F3208" s="1">
        <v>1</v>
      </c>
      <c r="G3208" s="1">
        <v>0</v>
      </c>
      <c r="H3208" s="6">
        <f>INT(Query1[[#This Row],[EntryDateTime]])</f>
        <v>44652</v>
      </c>
      <c r="I3208" s="1">
        <f>IF(Query1[[#This Row],[ItemType]]="EVAP KIT SF GEN IV",Query1[[#This Row],[OrderQty]]+I3207,I3207)</f>
        <v>3963</v>
      </c>
      <c r="J3208" s="1">
        <f>IF(Query1[[#This Row],[ItemType]]="EVAP KIT UNIVERSAL",Query1[[#This Row],[OrderQty]]+J3207,J3207)</f>
        <v>1428</v>
      </c>
      <c r="K3208" s="1">
        <f>Query1[[#This Row],[SF Running Total]]+Query1[[#This Row],[UNIV Running Total]]</f>
        <v>5391</v>
      </c>
      <c r="L3208">
        <f>VLOOKUP(Query1[[#This Row],[Description]],'kits to boards'!$B$2:$E$156,2,FALSE)</f>
        <v>830076</v>
      </c>
      <c r="M3208">
        <f>VLOOKUP(Query1[[#This Row],[Description]],'kits to boards'!$B$2:$E$156,3,FALSE)</f>
        <v>0</v>
      </c>
      <c r="N3208">
        <f>VLOOKUP(Query1[[#This Row],[Description]],'kits to boards'!$B$2:$E$156,4,FALSE)</f>
        <v>0</v>
      </c>
      <c r="O3208" t="str">
        <f>CONCATENATE(Query1[[#This Row],[Description]]," - ",Query1[[#This Row],[MB1]]," - ",Query1[[#This Row],[MB2]]," - ",Query1[[#This Row],[MB3]])</f>
        <v>EVAP KIT 64 1/2- 66 MUSTANG  - 830076 - 0 - 0</v>
      </c>
    </row>
    <row r="3209" spans="1:15" x14ac:dyDescent="0.25">
      <c r="A3209" s="1">
        <v>917863</v>
      </c>
      <c r="B3209" s="1" t="s">
        <v>70</v>
      </c>
      <c r="C3209" s="1" t="s">
        <v>71</v>
      </c>
      <c r="D3209" s="2">
        <v>44652.57884603009</v>
      </c>
      <c r="E3209" s="1" t="s">
        <v>8</v>
      </c>
      <c r="F3209" s="1">
        <v>1</v>
      </c>
      <c r="G3209" s="1">
        <v>0</v>
      </c>
      <c r="H3209" s="6">
        <f>INT(Query1[[#This Row],[EntryDateTime]])</f>
        <v>44652</v>
      </c>
      <c r="I3209" s="1">
        <f>IF(Query1[[#This Row],[ItemType]]="EVAP KIT SF GEN IV",Query1[[#This Row],[OrderQty]]+I3208,I3208)</f>
        <v>3964</v>
      </c>
      <c r="J3209" s="1">
        <f>IF(Query1[[#This Row],[ItemType]]="EVAP KIT UNIVERSAL",Query1[[#This Row],[OrderQty]]+J3208,J3208)</f>
        <v>1428</v>
      </c>
      <c r="K3209" s="1">
        <f>Query1[[#This Row],[SF Running Total]]+Query1[[#This Row],[UNIV Running Total]]</f>
        <v>5392</v>
      </c>
      <c r="L3209">
        <f>VLOOKUP(Query1[[#This Row],[Description]],'kits to boards'!$B$2:$E$156,2,FALSE)</f>
        <v>830050</v>
      </c>
      <c r="M3209">
        <f>VLOOKUP(Query1[[#This Row],[Description]],'kits to boards'!$B$2:$E$156,3,FALSE)</f>
        <v>0</v>
      </c>
      <c r="N3209">
        <f>VLOOKUP(Query1[[#This Row],[Description]],'kits to boards'!$B$2:$E$156,4,FALSE)</f>
        <v>0</v>
      </c>
      <c r="O3209" t="str">
        <f>CONCATENATE(Query1[[#This Row],[Description]]," - ",Query1[[#This Row],[MB1]]," - ",Query1[[#This Row],[MB2]]," - ",Query1[[#This Row],[MB3]])</f>
        <v>EVAP KIT 70-78 CAMARO WO AC - 830050 - 0 - 0</v>
      </c>
    </row>
    <row r="3210" spans="1:15" x14ac:dyDescent="0.25">
      <c r="A3210" s="1">
        <v>917864</v>
      </c>
      <c r="B3210" s="1" t="s">
        <v>52</v>
      </c>
      <c r="C3210" s="1" t="s">
        <v>53</v>
      </c>
      <c r="D3210" s="2">
        <v>44652.584367326388</v>
      </c>
      <c r="E3210" s="1" t="s">
        <v>8</v>
      </c>
      <c r="F3210" s="1">
        <v>1</v>
      </c>
      <c r="G3210" s="1">
        <v>0</v>
      </c>
      <c r="H3210" s="6">
        <f>INT(Query1[[#This Row],[EntryDateTime]])</f>
        <v>44652</v>
      </c>
      <c r="I3210" s="1">
        <f>IF(Query1[[#This Row],[ItemType]]="EVAP KIT SF GEN IV",Query1[[#This Row],[OrderQty]]+I3209,I3209)</f>
        <v>3965</v>
      </c>
      <c r="J3210" s="1">
        <f>IF(Query1[[#This Row],[ItemType]]="EVAP KIT UNIVERSAL",Query1[[#This Row],[OrderQty]]+J3209,J3209)</f>
        <v>1428</v>
      </c>
      <c r="K3210" s="1">
        <f>Query1[[#This Row],[SF Running Total]]+Query1[[#This Row],[UNIV Running Total]]</f>
        <v>5393</v>
      </c>
      <c r="L3210">
        <f>VLOOKUP(Query1[[#This Row],[Description]],'kits to boards'!$B$2:$E$156,2,FALSE)</f>
        <v>830017</v>
      </c>
      <c r="M3210">
        <f>VLOOKUP(Query1[[#This Row],[Description]],'kits to boards'!$B$2:$E$156,3,FALSE)</f>
        <v>830119</v>
      </c>
      <c r="N3210">
        <f>VLOOKUP(Query1[[#This Row],[Description]],'kits to boards'!$B$2:$E$156,4,FALSE)</f>
        <v>830120</v>
      </c>
      <c r="O3210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211" spans="1:15" x14ac:dyDescent="0.25">
      <c r="A3211" s="1">
        <v>917866</v>
      </c>
      <c r="B3211" s="1" t="s">
        <v>247</v>
      </c>
      <c r="C3211" s="1" t="s">
        <v>248</v>
      </c>
      <c r="D3211" s="2">
        <v>44652.592037997689</v>
      </c>
      <c r="E3211" s="1" t="s">
        <v>8</v>
      </c>
      <c r="F3211" s="1">
        <v>1</v>
      </c>
      <c r="G3211" s="1">
        <v>0</v>
      </c>
      <c r="H3211" s="6">
        <f>INT(Query1[[#This Row],[EntryDateTime]])</f>
        <v>44652</v>
      </c>
      <c r="I3211" s="1">
        <f>IF(Query1[[#This Row],[ItemType]]="EVAP KIT SF GEN IV",Query1[[#This Row],[OrderQty]]+I3210,I3210)</f>
        <v>3966</v>
      </c>
      <c r="J3211" s="1">
        <f>IF(Query1[[#This Row],[ItemType]]="EVAP KIT UNIVERSAL",Query1[[#This Row],[OrderQty]]+J3210,J3210)</f>
        <v>1428</v>
      </c>
      <c r="K3211" s="1">
        <f>Query1[[#This Row],[SF Running Total]]+Query1[[#This Row],[UNIV Running Total]]</f>
        <v>5394</v>
      </c>
      <c r="L3211">
        <f>VLOOKUP(Query1[[#This Row],[Description]],'kits to boards'!$B$2:$E$156,2,FALSE)</f>
        <v>830107</v>
      </c>
      <c r="M3211">
        <f>VLOOKUP(Query1[[#This Row],[Description]],'kits to boards'!$B$2:$E$156,3,FALSE)</f>
        <v>0</v>
      </c>
      <c r="N3211">
        <f>VLOOKUP(Query1[[#This Row],[Description]],'kits to boards'!$B$2:$E$156,4,FALSE)</f>
        <v>0</v>
      </c>
      <c r="O3211" t="str">
        <f>CONCATENATE(Query1[[#This Row],[Description]]," - ",Query1[[#This Row],[MB1]]," - ",Query1[[#This Row],[MB2]]," - ",Query1[[#This Row],[MB3]])</f>
        <v>EVAP KIT 69 FIREBIRD W/AC - 830107 - 0 - 0</v>
      </c>
    </row>
    <row r="3212" spans="1:15" x14ac:dyDescent="0.25">
      <c r="A3212" s="1">
        <v>916717</v>
      </c>
      <c r="B3212" s="1" t="s">
        <v>68</v>
      </c>
      <c r="C3212" s="1" t="s">
        <v>69</v>
      </c>
      <c r="D3212" s="2">
        <v>44652.605691701392</v>
      </c>
      <c r="E3212" s="1" t="s">
        <v>8</v>
      </c>
      <c r="F3212" s="1">
        <v>1</v>
      </c>
      <c r="G3212" s="1">
        <v>0</v>
      </c>
      <c r="H3212" s="6">
        <f>INT(Query1[[#This Row],[EntryDateTime]])</f>
        <v>44652</v>
      </c>
      <c r="I3212" s="1">
        <f>IF(Query1[[#This Row],[ItemType]]="EVAP KIT SF GEN IV",Query1[[#This Row],[OrderQty]]+I3211,I3211)</f>
        <v>3967</v>
      </c>
      <c r="J3212" s="1">
        <f>IF(Query1[[#This Row],[ItemType]]="EVAP KIT UNIVERSAL",Query1[[#This Row],[OrderQty]]+J3211,J3211)</f>
        <v>1428</v>
      </c>
      <c r="K3212" s="1">
        <f>Query1[[#This Row],[SF Running Total]]+Query1[[#This Row],[UNIV Running Total]]</f>
        <v>5395</v>
      </c>
      <c r="L3212">
        <f>VLOOKUP(Query1[[#This Row],[Description]],'kits to boards'!$B$2:$E$156,2,FALSE)</f>
        <v>830010</v>
      </c>
      <c r="M3212">
        <f>VLOOKUP(Query1[[#This Row],[Description]],'kits to boards'!$B$2:$E$156,3,FALSE)</f>
        <v>0</v>
      </c>
      <c r="N3212">
        <f>VLOOKUP(Query1[[#This Row],[Description]],'kits to boards'!$B$2:$E$156,4,FALSE)</f>
        <v>0</v>
      </c>
      <c r="O3212" t="str">
        <f>CONCATENATE(Query1[[#This Row],[Description]]," - ",Query1[[#This Row],[MB1]]," - ",Query1[[#This Row],[MB2]]," - ",Query1[[#This Row],[MB3]])</f>
        <v>EVAP KIT 70-72 CHEVELLE WO AC - 830010 - 0 - 0</v>
      </c>
    </row>
    <row r="3213" spans="1:15" x14ac:dyDescent="0.25">
      <c r="A3213" s="1">
        <v>916046</v>
      </c>
      <c r="B3213" s="1" t="s">
        <v>132</v>
      </c>
      <c r="C3213" s="1" t="s">
        <v>133</v>
      </c>
      <c r="D3213" s="2">
        <v>44652.606686458334</v>
      </c>
      <c r="E3213" s="1" t="s">
        <v>8</v>
      </c>
      <c r="F3213" s="1">
        <v>1</v>
      </c>
      <c r="G3213" s="1">
        <v>0</v>
      </c>
      <c r="H3213" s="6">
        <f>INT(Query1[[#This Row],[EntryDateTime]])</f>
        <v>44652</v>
      </c>
      <c r="I3213" s="1">
        <f>IF(Query1[[#This Row],[ItemType]]="EVAP KIT SF GEN IV",Query1[[#This Row],[OrderQty]]+I3212,I3212)</f>
        <v>3968</v>
      </c>
      <c r="J3213" s="1">
        <f>IF(Query1[[#This Row],[ItemType]]="EVAP KIT UNIVERSAL",Query1[[#This Row],[OrderQty]]+J3212,J3212)</f>
        <v>1428</v>
      </c>
      <c r="K3213" s="1">
        <f>Query1[[#This Row],[SF Running Total]]+Query1[[#This Row],[UNIV Running Total]]</f>
        <v>5396</v>
      </c>
      <c r="L3213">
        <f>VLOOKUP(Query1[[#This Row],[Description]],'kits to boards'!$B$2:$E$156,2,FALSE)</f>
        <v>830005</v>
      </c>
      <c r="M3213">
        <f>VLOOKUP(Query1[[#This Row],[Description]],'kits to boards'!$B$2:$E$156,3,FALSE)</f>
        <v>0</v>
      </c>
      <c r="N3213">
        <f>VLOOKUP(Query1[[#This Row],[Description]],'kits to boards'!$B$2:$E$156,4,FALSE)</f>
        <v>0</v>
      </c>
      <c r="O3213" t="str">
        <f>CONCATENATE(Query1[[#This Row],[Description]]," - ",Query1[[#This Row],[MB1]]," - ",Query1[[#This Row],[MB2]]," - ",Query1[[#This Row],[MB3]])</f>
        <v>EVAP KIT 61-62 IMPALA WO AC - 830005 - 0 - 0</v>
      </c>
    </row>
    <row r="3214" spans="1:15" x14ac:dyDescent="0.25">
      <c r="A3214" s="1">
        <v>916046</v>
      </c>
      <c r="B3214" s="1" t="s">
        <v>190</v>
      </c>
      <c r="C3214" s="1" t="s">
        <v>191</v>
      </c>
      <c r="D3214" s="2">
        <v>44652.606686458334</v>
      </c>
      <c r="E3214" s="1" t="s">
        <v>8</v>
      </c>
      <c r="F3214" s="1">
        <v>1</v>
      </c>
      <c r="G3214" s="1">
        <v>0</v>
      </c>
      <c r="H3214" s="6">
        <f>INT(Query1[[#This Row],[EntryDateTime]])</f>
        <v>44652</v>
      </c>
      <c r="I3214" s="1">
        <f>IF(Query1[[#This Row],[ItemType]]="EVAP KIT SF GEN IV",Query1[[#This Row],[OrderQty]]+I3213,I3213)</f>
        <v>3969</v>
      </c>
      <c r="J3214" s="1">
        <f>IF(Query1[[#This Row],[ItemType]]="EVAP KIT UNIVERSAL",Query1[[#This Row],[OrderQty]]+J3213,J3213)</f>
        <v>1428</v>
      </c>
      <c r="K3214" s="1">
        <f>Query1[[#This Row],[SF Running Total]]+Query1[[#This Row],[UNIV Running Total]]</f>
        <v>5397</v>
      </c>
      <c r="L3214">
        <f>VLOOKUP(Query1[[#This Row],[Description]],'kits to boards'!$B$2:$E$156,2,FALSE)</f>
        <v>830008</v>
      </c>
      <c r="M3214">
        <f>VLOOKUP(Query1[[#This Row],[Description]],'kits to boards'!$B$2:$E$156,3,FALSE)</f>
        <v>0</v>
      </c>
      <c r="N3214">
        <f>VLOOKUP(Query1[[#This Row],[Description]],'kits to boards'!$B$2:$E$156,4,FALSE)</f>
        <v>0</v>
      </c>
      <c r="O3214" t="str">
        <f>CONCATENATE(Query1[[#This Row],[Description]]," - ",Query1[[#This Row],[MB1]]," - ",Query1[[#This Row],[MB2]]," - ",Query1[[#This Row],[MB3]])</f>
        <v>EVAP KIT 63 IMPALA WO AC - 830008 - 0 - 0</v>
      </c>
    </row>
    <row r="3215" spans="1:15" x14ac:dyDescent="0.25">
      <c r="A3215" s="1">
        <v>917876</v>
      </c>
      <c r="B3215" s="1" t="s">
        <v>86</v>
      </c>
      <c r="C3215" s="1" t="s">
        <v>87</v>
      </c>
      <c r="D3215" s="2">
        <v>44652.610190162035</v>
      </c>
      <c r="E3215" s="1" t="s">
        <v>8</v>
      </c>
      <c r="F3215" s="1">
        <v>1</v>
      </c>
      <c r="G3215" s="1">
        <v>0</v>
      </c>
      <c r="H3215" s="6">
        <f>INT(Query1[[#This Row],[EntryDateTime]])</f>
        <v>44652</v>
      </c>
      <c r="I3215" s="1">
        <f>IF(Query1[[#This Row],[ItemType]]="EVAP KIT SF GEN IV",Query1[[#This Row],[OrderQty]]+I3214,I3214)</f>
        <v>3970</v>
      </c>
      <c r="J3215" s="1">
        <f>IF(Query1[[#This Row],[ItemType]]="EVAP KIT UNIVERSAL",Query1[[#This Row],[OrderQty]]+J3214,J3214)</f>
        <v>1428</v>
      </c>
      <c r="K3215" s="1">
        <f>Query1[[#This Row],[SF Running Total]]+Query1[[#This Row],[UNIV Running Total]]</f>
        <v>5398</v>
      </c>
      <c r="L3215">
        <f>VLOOKUP(Query1[[#This Row],[Description]],'kits to boards'!$B$2:$E$156,2,FALSE)</f>
        <v>830048</v>
      </c>
      <c r="M3215">
        <f>VLOOKUP(Query1[[#This Row],[Description]],'kits to boards'!$B$2:$E$156,3,FALSE)</f>
        <v>0</v>
      </c>
      <c r="N3215">
        <f>VLOOKUP(Query1[[#This Row],[Description]],'kits to boards'!$B$2:$E$156,4,FALSE)</f>
        <v>0</v>
      </c>
      <c r="O3215" t="str">
        <f>CONCATENATE(Query1[[#This Row],[Description]]," - ",Query1[[#This Row],[MB1]]," - ",Query1[[#This Row],[MB2]]," - ",Query1[[#This Row],[MB3]])</f>
        <v>EVAP KIT 66-67 NOVA - 830048 - 0 - 0</v>
      </c>
    </row>
    <row r="3216" spans="1:15" x14ac:dyDescent="0.25">
      <c r="A3216" s="1">
        <v>917878</v>
      </c>
      <c r="B3216" s="1" t="s">
        <v>190</v>
      </c>
      <c r="C3216" s="1" t="s">
        <v>191</v>
      </c>
      <c r="D3216" s="2">
        <v>44652.611348229169</v>
      </c>
      <c r="E3216" s="1" t="s">
        <v>8</v>
      </c>
      <c r="F3216" s="1">
        <v>1</v>
      </c>
      <c r="G3216" s="1">
        <v>0</v>
      </c>
      <c r="H3216" s="6">
        <f>INT(Query1[[#This Row],[EntryDateTime]])</f>
        <v>44652</v>
      </c>
      <c r="I3216" s="1">
        <f>IF(Query1[[#This Row],[ItemType]]="EVAP KIT SF GEN IV",Query1[[#This Row],[OrderQty]]+I3215,I3215)</f>
        <v>3971</v>
      </c>
      <c r="J3216" s="1">
        <f>IF(Query1[[#This Row],[ItemType]]="EVAP KIT UNIVERSAL",Query1[[#This Row],[OrderQty]]+J3215,J3215)</f>
        <v>1428</v>
      </c>
      <c r="K3216" s="1">
        <f>Query1[[#This Row],[SF Running Total]]+Query1[[#This Row],[UNIV Running Total]]</f>
        <v>5399</v>
      </c>
      <c r="L3216">
        <f>VLOOKUP(Query1[[#This Row],[Description]],'kits to boards'!$B$2:$E$156,2,FALSE)</f>
        <v>830008</v>
      </c>
      <c r="M3216">
        <f>VLOOKUP(Query1[[#This Row],[Description]],'kits to boards'!$B$2:$E$156,3,FALSE)</f>
        <v>0</v>
      </c>
      <c r="N3216">
        <f>VLOOKUP(Query1[[#This Row],[Description]],'kits to boards'!$B$2:$E$156,4,FALSE)</f>
        <v>0</v>
      </c>
      <c r="O3216" t="str">
        <f>CONCATENATE(Query1[[#This Row],[Description]]," - ",Query1[[#This Row],[MB1]]," - ",Query1[[#This Row],[MB2]]," - ",Query1[[#This Row],[MB3]])</f>
        <v>EVAP KIT 63 IMPALA WO AC - 830008 - 0 - 0</v>
      </c>
    </row>
    <row r="3217" spans="1:15" x14ac:dyDescent="0.25">
      <c r="A3217" s="1">
        <v>917881</v>
      </c>
      <c r="B3217" s="1" t="s">
        <v>220</v>
      </c>
      <c r="C3217" s="1" t="s">
        <v>221</v>
      </c>
      <c r="D3217" s="2">
        <v>44652.614910729164</v>
      </c>
      <c r="E3217" s="1" t="s">
        <v>11</v>
      </c>
      <c r="F3217" s="1">
        <v>1</v>
      </c>
      <c r="G3217" s="1">
        <v>0</v>
      </c>
      <c r="H3217" s="6">
        <f>INT(Query1[[#This Row],[EntryDateTime]])</f>
        <v>44652</v>
      </c>
      <c r="I3217" s="1">
        <f>IF(Query1[[#This Row],[ItemType]]="EVAP KIT SF GEN IV",Query1[[#This Row],[OrderQty]]+I3216,I3216)</f>
        <v>3971</v>
      </c>
      <c r="J3217" s="1">
        <f>IF(Query1[[#This Row],[ItemType]]="EVAP KIT UNIVERSAL",Query1[[#This Row],[OrderQty]]+J3216,J3216)</f>
        <v>1429</v>
      </c>
      <c r="K3217" s="1">
        <f>Query1[[#This Row],[SF Running Total]]+Query1[[#This Row],[UNIV Running Total]]</f>
        <v>5400</v>
      </c>
      <c r="L3217">
        <f>VLOOKUP(Query1[[#This Row],[Description]],'kits to boards'!$B$2:$E$156,2,FALSE)</f>
        <v>0</v>
      </c>
      <c r="M3217">
        <f>VLOOKUP(Query1[[#This Row],[Description]],'kits to boards'!$B$2:$E$156,3,FALSE)</f>
        <v>0</v>
      </c>
      <c r="N3217">
        <f>VLOOKUP(Query1[[#This Row],[Description]],'kits to boards'!$B$2:$E$156,4,FALSE)</f>
        <v>0</v>
      </c>
      <c r="O3217" t="str">
        <f>CONCATENATE(Query1[[#This Row],[Description]]," - ",Query1[[#This Row],[MB1]]," - ",Query1[[#This Row],[MB2]]," - ",Query1[[#This Row],[MB3]])</f>
        <v>HERITAGE PEARL EVAP KIT HEAT/COOL - 0 - 0 - 0</v>
      </c>
    </row>
    <row r="3218" spans="1:15" x14ac:dyDescent="0.25">
      <c r="A3218" s="1">
        <v>917883</v>
      </c>
      <c r="B3218" s="1" t="s">
        <v>52</v>
      </c>
      <c r="C3218" s="1" t="s">
        <v>53</v>
      </c>
      <c r="D3218" s="2">
        <v>44652.618537071758</v>
      </c>
      <c r="E3218" s="1" t="s">
        <v>8</v>
      </c>
      <c r="F3218" s="1">
        <v>1</v>
      </c>
      <c r="G3218" s="1">
        <v>0</v>
      </c>
      <c r="H3218" s="6">
        <f>INT(Query1[[#This Row],[EntryDateTime]])</f>
        <v>44652</v>
      </c>
      <c r="I3218" s="1">
        <f>IF(Query1[[#This Row],[ItemType]]="EVAP KIT SF GEN IV",Query1[[#This Row],[OrderQty]]+I3217,I3217)</f>
        <v>3972</v>
      </c>
      <c r="J3218" s="1">
        <f>IF(Query1[[#This Row],[ItemType]]="EVAP KIT UNIVERSAL",Query1[[#This Row],[OrderQty]]+J3217,J3217)</f>
        <v>1429</v>
      </c>
      <c r="K3218" s="1">
        <f>Query1[[#This Row],[SF Running Total]]+Query1[[#This Row],[UNIV Running Total]]</f>
        <v>5401</v>
      </c>
      <c r="L3218">
        <f>VLOOKUP(Query1[[#This Row],[Description]],'kits to boards'!$B$2:$E$156,2,FALSE)</f>
        <v>830017</v>
      </c>
      <c r="M3218">
        <f>VLOOKUP(Query1[[#This Row],[Description]],'kits to boards'!$B$2:$E$156,3,FALSE)</f>
        <v>830119</v>
      </c>
      <c r="N3218">
        <f>VLOOKUP(Query1[[#This Row],[Description]],'kits to boards'!$B$2:$E$156,4,FALSE)</f>
        <v>830120</v>
      </c>
      <c r="O3218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219" spans="1:15" x14ac:dyDescent="0.25">
      <c r="A3219" s="1">
        <v>917886</v>
      </c>
      <c r="B3219" s="1" t="s">
        <v>114</v>
      </c>
      <c r="C3219" s="1" t="s">
        <v>115</v>
      </c>
      <c r="D3219" s="2">
        <v>44652.623354745374</v>
      </c>
      <c r="E3219" s="1" t="s">
        <v>8</v>
      </c>
      <c r="F3219" s="1">
        <v>1</v>
      </c>
      <c r="G3219" s="1">
        <v>0</v>
      </c>
      <c r="H3219" s="6">
        <f>INT(Query1[[#This Row],[EntryDateTime]])</f>
        <v>44652</v>
      </c>
      <c r="I3219" s="1">
        <f>IF(Query1[[#This Row],[ItemType]]="EVAP KIT SF GEN IV",Query1[[#This Row],[OrderQty]]+I3218,I3218)</f>
        <v>3973</v>
      </c>
      <c r="J3219" s="1">
        <f>IF(Query1[[#This Row],[ItemType]]="EVAP KIT UNIVERSAL",Query1[[#This Row],[OrderQty]]+J3218,J3218)</f>
        <v>1429</v>
      </c>
      <c r="K3219" s="1">
        <f>Query1[[#This Row],[SF Running Total]]+Query1[[#This Row],[UNIV Running Total]]</f>
        <v>5402</v>
      </c>
      <c r="L3219">
        <f>VLOOKUP(Query1[[#This Row],[Description]],'kits to boards'!$B$2:$E$156,2,FALSE)</f>
        <v>830059</v>
      </c>
      <c r="M3219">
        <f>VLOOKUP(Query1[[#This Row],[Description]],'kits to boards'!$B$2:$E$156,3,FALSE)</f>
        <v>0</v>
      </c>
      <c r="N3219">
        <f>VLOOKUP(Query1[[#This Row],[Description]],'kits to boards'!$B$2:$E$156,4,FALSE)</f>
        <v>0</v>
      </c>
      <c r="O3219" t="str">
        <f>CONCATENATE(Query1[[#This Row],[Description]]," - ",Query1[[#This Row],[MB1]]," - ",Query1[[#This Row],[MB2]]," - ",Query1[[#This Row],[MB3]])</f>
        <v>EVAP KIT 66-67 CHEVELLE W/AC - 830059 - 0 - 0</v>
      </c>
    </row>
    <row r="3220" spans="1:15" x14ac:dyDescent="0.25">
      <c r="A3220" s="1">
        <v>917892</v>
      </c>
      <c r="B3220" s="1" t="s">
        <v>6</v>
      </c>
      <c r="C3220" s="1" t="s">
        <v>7</v>
      </c>
      <c r="D3220" s="2">
        <v>44652.632663773147</v>
      </c>
      <c r="E3220" s="1" t="s">
        <v>8</v>
      </c>
      <c r="F3220" s="1">
        <v>1</v>
      </c>
      <c r="G3220" s="1">
        <v>0</v>
      </c>
      <c r="H3220" s="6">
        <f>INT(Query1[[#This Row],[EntryDateTime]])</f>
        <v>44652</v>
      </c>
      <c r="I3220" s="1">
        <f>IF(Query1[[#This Row],[ItemType]]="EVAP KIT SF GEN IV",Query1[[#This Row],[OrderQty]]+I3219,I3219)</f>
        <v>3974</v>
      </c>
      <c r="J3220" s="1">
        <f>IF(Query1[[#This Row],[ItemType]]="EVAP KIT UNIVERSAL",Query1[[#This Row],[OrderQty]]+J3219,J3219)</f>
        <v>1429</v>
      </c>
      <c r="K3220" s="1">
        <f>Query1[[#This Row],[SF Running Total]]+Query1[[#This Row],[UNIV Running Total]]</f>
        <v>5403</v>
      </c>
      <c r="L3220">
        <f>VLOOKUP(Query1[[#This Row],[Description]],'kits to boards'!$B$2:$E$156,2,FALSE)</f>
        <v>830132</v>
      </c>
      <c r="M3220">
        <f>VLOOKUP(Query1[[#This Row],[Description]],'kits to boards'!$B$2:$E$156,3,FALSE)</f>
        <v>0</v>
      </c>
      <c r="N3220">
        <f>VLOOKUP(Query1[[#This Row],[Description]],'kits to boards'!$B$2:$E$156,4,FALSE)</f>
        <v>0</v>
      </c>
      <c r="O3220" t="str">
        <f>CONCATENATE(Query1[[#This Row],[Description]]," - ",Query1[[#This Row],[MB1]]," - ",Query1[[#This Row],[MB2]]," - ",Query1[[#This Row],[MB3]])</f>
        <v>EVAP KIT 82-88 MONTE CARLO/EL CAMINO - 830132 - 0 - 0</v>
      </c>
    </row>
    <row r="3221" spans="1:15" x14ac:dyDescent="0.25">
      <c r="A3221" s="1">
        <v>917832</v>
      </c>
      <c r="B3221" s="1" t="s">
        <v>42</v>
      </c>
      <c r="C3221" s="1" t="s">
        <v>43</v>
      </c>
      <c r="D3221" s="2">
        <v>44652.637998032405</v>
      </c>
      <c r="E3221" s="1" t="s">
        <v>8</v>
      </c>
      <c r="F3221" s="1">
        <v>1</v>
      </c>
      <c r="G3221" s="1">
        <v>0</v>
      </c>
      <c r="H3221" s="6">
        <f>INT(Query1[[#This Row],[EntryDateTime]])</f>
        <v>44652</v>
      </c>
      <c r="I3221" s="1">
        <f>IF(Query1[[#This Row],[ItemType]]="EVAP KIT SF GEN IV",Query1[[#This Row],[OrderQty]]+I3220,I3220)</f>
        <v>3975</v>
      </c>
      <c r="J3221" s="1">
        <f>IF(Query1[[#This Row],[ItemType]]="EVAP KIT UNIVERSAL",Query1[[#This Row],[OrderQty]]+J3220,J3220)</f>
        <v>1429</v>
      </c>
      <c r="K3221" s="1">
        <f>Query1[[#This Row],[SF Running Total]]+Query1[[#This Row],[UNIV Running Total]]</f>
        <v>5404</v>
      </c>
      <c r="L3221">
        <f>VLOOKUP(Query1[[#This Row],[Description]],'kits to boards'!$B$2:$E$156,2,FALSE)</f>
        <v>830014</v>
      </c>
      <c r="M3221">
        <f>VLOOKUP(Query1[[#This Row],[Description]],'kits to boards'!$B$2:$E$156,3,FALSE)</f>
        <v>0</v>
      </c>
      <c r="N3221">
        <f>VLOOKUP(Query1[[#This Row],[Description]],'kits to boards'!$B$2:$E$156,4,FALSE)</f>
        <v>0</v>
      </c>
      <c r="O3221" t="str">
        <f>CONCATENATE(Query1[[#This Row],[Description]]," - ",Query1[[#This Row],[MB1]]," - ",Query1[[#This Row],[MB2]]," - ",Query1[[#This Row],[MB3]])</f>
        <v>EVAP KIT 67-72 CHEV P-UP WO AC - 830014 - 0 - 0</v>
      </c>
    </row>
    <row r="3222" spans="1:15" x14ac:dyDescent="0.25">
      <c r="A3222" s="1">
        <v>917895</v>
      </c>
      <c r="B3222" s="1" t="s">
        <v>42</v>
      </c>
      <c r="C3222" s="1" t="s">
        <v>43</v>
      </c>
      <c r="D3222" s="2">
        <v>44652.641308946761</v>
      </c>
      <c r="E3222" s="1" t="s">
        <v>8</v>
      </c>
      <c r="F3222" s="1">
        <v>1</v>
      </c>
      <c r="G3222" s="1">
        <v>0</v>
      </c>
      <c r="H3222" s="6">
        <f>INT(Query1[[#This Row],[EntryDateTime]])</f>
        <v>44652</v>
      </c>
      <c r="I3222" s="1">
        <f>IF(Query1[[#This Row],[ItemType]]="EVAP KIT SF GEN IV",Query1[[#This Row],[OrderQty]]+I3221,I3221)</f>
        <v>3976</v>
      </c>
      <c r="J3222" s="1">
        <f>IF(Query1[[#This Row],[ItemType]]="EVAP KIT UNIVERSAL",Query1[[#This Row],[OrderQty]]+J3221,J3221)</f>
        <v>1429</v>
      </c>
      <c r="K3222" s="1">
        <f>Query1[[#This Row],[SF Running Total]]+Query1[[#This Row],[UNIV Running Total]]</f>
        <v>5405</v>
      </c>
      <c r="L3222">
        <f>VLOOKUP(Query1[[#This Row],[Description]],'kits to boards'!$B$2:$E$156,2,FALSE)</f>
        <v>830014</v>
      </c>
      <c r="M3222">
        <f>VLOOKUP(Query1[[#This Row],[Description]],'kits to boards'!$B$2:$E$156,3,FALSE)</f>
        <v>0</v>
      </c>
      <c r="N3222">
        <f>VLOOKUP(Query1[[#This Row],[Description]],'kits to boards'!$B$2:$E$156,4,FALSE)</f>
        <v>0</v>
      </c>
      <c r="O3222" t="str">
        <f>CONCATENATE(Query1[[#This Row],[Description]]," - ",Query1[[#This Row],[MB1]]," - ",Query1[[#This Row],[MB2]]," - ",Query1[[#This Row],[MB3]])</f>
        <v>EVAP KIT 67-72 CHEV P-UP WO AC - 830014 - 0 - 0</v>
      </c>
    </row>
    <row r="3223" spans="1:15" x14ac:dyDescent="0.25">
      <c r="A3223" s="1">
        <v>917896</v>
      </c>
      <c r="B3223" s="1" t="s">
        <v>80</v>
      </c>
      <c r="C3223" s="1" t="s">
        <v>81</v>
      </c>
      <c r="D3223" s="2">
        <v>44652.643175694444</v>
      </c>
      <c r="E3223" s="1" t="s">
        <v>11</v>
      </c>
      <c r="F3223" s="1">
        <v>1</v>
      </c>
      <c r="G3223" s="1">
        <v>0</v>
      </c>
      <c r="H3223" s="6">
        <f>INT(Query1[[#This Row],[EntryDateTime]])</f>
        <v>44652</v>
      </c>
      <c r="I3223" s="1">
        <f>IF(Query1[[#This Row],[ItemType]]="EVAP KIT SF GEN IV",Query1[[#This Row],[OrderQty]]+I3222,I3222)</f>
        <v>3976</v>
      </c>
      <c r="J3223" s="1">
        <f>IF(Query1[[#This Row],[ItemType]]="EVAP KIT UNIVERSAL",Query1[[#This Row],[OrderQty]]+J3222,J3222)</f>
        <v>1430</v>
      </c>
      <c r="K3223" s="1">
        <f>Query1[[#This Row],[SF Running Total]]+Query1[[#This Row],[UNIV Running Total]]</f>
        <v>5406</v>
      </c>
      <c r="L3223">
        <f>VLOOKUP(Query1[[#This Row],[Description]],'kits to boards'!$B$2:$E$156,2,FALSE)</f>
        <v>0</v>
      </c>
      <c r="M3223">
        <f>VLOOKUP(Query1[[#This Row],[Description]],'kits to boards'!$B$2:$E$156,3,FALSE)</f>
        <v>0</v>
      </c>
      <c r="N3223">
        <f>VLOOKUP(Query1[[#This Row],[Description]],'kits to boards'!$B$2:$E$156,4,FALSE)</f>
        <v>0</v>
      </c>
      <c r="O3223" t="str">
        <f>CONCATENATE(Query1[[#This Row],[Description]]," - ",Query1[[#This Row],[MB1]]," - ",Query1[[#This Row],[MB2]]," - ",Query1[[#This Row],[MB3]])</f>
        <v>HERITAGE BRUSHED EVAP KIT COOL ONLY - 0 - 0 - 0</v>
      </c>
    </row>
    <row r="3224" spans="1:15" x14ac:dyDescent="0.25">
      <c r="A3224" s="1">
        <v>917896</v>
      </c>
      <c r="B3224" s="1" t="s">
        <v>146</v>
      </c>
      <c r="C3224" s="1" t="s">
        <v>147</v>
      </c>
      <c r="D3224" s="2">
        <v>44652.643261805555</v>
      </c>
      <c r="E3224" s="1" t="s">
        <v>11</v>
      </c>
      <c r="F3224" s="1">
        <v>1</v>
      </c>
      <c r="G3224" s="1">
        <v>0</v>
      </c>
      <c r="H3224" s="6">
        <f>INT(Query1[[#This Row],[EntryDateTime]])</f>
        <v>44652</v>
      </c>
      <c r="I3224" s="1">
        <f>IF(Query1[[#This Row],[ItemType]]="EVAP KIT SF GEN IV",Query1[[#This Row],[OrderQty]]+I3223,I3223)</f>
        <v>3976</v>
      </c>
      <c r="J3224" s="1">
        <f>IF(Query1[[#This Row],[ItemType]]="EVAP KIT UNIVERSAL",Query1[[#This Row],[OrderQty]]+J3223,J3223)</f>
        <v>1431</v>
      </c>
      <c r="K3224" s="1">
        <f>Query1[[#This Row],[SF Running Total]]+Query1[[#This Row],[UNIV Running Total]]</f>
        <v>5407</v>
      </c>
      <c r="L3224">
        <f>VLOOKUP(Query1[[#This Row],[Description]],'kits to boards'!$B$2:$E$156,2,FALSE)</f>
        <v>0</v>
      </c>
      <c r="M3224">
        <f>VLOOKUP(Query1[[#This Row],[Description]],'kits to boards'!$B$2:$E$156,3,FALSE)</f>
        <v>0</v>
      </c>
      <c r="N3224">
        <f>VLOOKUP(Query1[[#This Row],[Description]],'kits to boards'!$B$2:$E$156,4,FALSE)</f>
        <v>0</v>
      </c>
      <c r="O3224" t="str">
        <f>CONCATENATE(Query1[[#This Row],[Description]]," - ",Query1[[#This Row],[MB1]]," - ",Query1[[#This Row],[MB2]]," - ",Query1[[#This Row],[MB3]])</f>
        <v>HERITAGE BLACK TURNED EVAP KIT COOL ONLY - 0 - 0 - 0</v>
      </c>
    </row>
    <row r="3225" spans="1:15" x14ac:dyDescent="0.25">
      <c r="A3225" s="1">
        <v>917897</v>
      </c>
      <c r="B3225" s="1" t="s">
        <v>44</v>
      </c>
      <c r="C3225" s="1" t="s">
        <v>45</v>
      </c>
      <c r="D3225" s="2">
        <v>44652.649633217596</v>
      </c>
      <c r="E3225" s="1" t="s">
        <v>8</v>
      </c>
      <c r="F3225" s="1">
        <v>5</v>
      </c>
      <c r="G3225" s="1">
        <v>0</v>
      </c>
      <c r="H3225" s="6">
        <f>INT(Query1[[#This Row],[EntryDateTime]])</f>
        <v>44652</v>
      </c>
      <c r="I3225" s="1">
        <f>IF(Query1[[#This Row],[ItemType]]="EVAP KIT SF GEN IV",Query1[[#This Row],[OrderQty]]+I3224,I3224)</f>
        <v>3981</v>
      </c>
      <c r="J3225" s="1">
        <f>IF(Query1[[#This Row],[ItemType]]="EVAP KIT UNIVERSAL",Query1[[#This Row],[OrderQty]]+J3224,J3224)</f>
        <v>1431</v>
      </c>
      <c r="K3225" s="1">
        <f>Query1[[#This Row],[SF Running Total]]+Query1[[#This Row],[UNIV Running Total]]</f>
        <v>5412</v>
      </c>
      <c r="L3225">
        <f>VLOOKUP(Query1[[#This Row],[Description]],'kits to boards'!$B$2:$E$156,2,FALSE)</f>
        <v>830085</v>
      </c>
      <c r="M3225">
        <f>VLOOKUP(Query1[[#This Row],[Description]],'kits to boards'!$B$2:$E$156,3,FALSE)</f>
        <v>0</v>
      </c>
      <c r="N3225">
        <f>VLOOKUP(Query1[[#This Row],[Description]],'kits to boards'!$B$2:$E$156,4,FALSE)</f>
        <v>0</v>
      </c>
      <c r="O3225" t="str">
        <f>CONCATENATE(Query1[[#This Row],[Description]]," - ",Query1[[#This Row],[MB1]]," - ",Query1[[#This Row],[MB2]]," - ",Query1[[#This Row],[MB3]])</f>
        <v>EVAP KIT 66-77 BRONCO - 830085 - 0 - 0</v>
      </c>
    </row>
    <row r="3226" spans="1:15" x14ac:dyDescent="0.25">
      <c r="A3226" s="1">
        <v>917901</v>
      </c>
      <c r="B3226" s="1" t="s">
        <v>54</v>
      </c>
      <c r="C3226" s="1" t="s">
        <v>55</v>
      </c>
      <c r="D3226" s="2">
        <v>44652.650916203704</v>
      </c>
      <c r="E3226" s="1" t="s">
        <v>8</v>
      </c>
      <c r="F3226" s="1">
        <v>1</v>
      </c>
      <c r="G3226" s="1">
        <v>0</v>
      </c>
      <c r="H3226" s="6">
        <f>INT(Query1[[#This Row],[EntryDateTime]])</f>
        <v>44652</v>
      </c>
      <c r="I3226" s="1">
        <f>IF(Query1[[#This Row],[ItemType]]="EVAP KIT SF GEN IV",Query1[[#This Row],[OrderQty]]+I3225,I3225)</f>
        <v>3982</v>
      </c>
      <c r="J3226" s="1">
        <f>IF(Query1[[#This Row],[ItemType]]="EVAP KIT UNIVERSAL",Query1[[#This Row],[OrderQty]]+J3225,J3225)</f>
        <v>1431</v>
      </c>
      <c r="K3226" s="1">
        <f>Query1[[#This Row],[SF Running Total]]+Query1[[#This Row],[UNIV Running Total]]</f>
        <v>5413</v>
      </c>
      <c r="L3226">
        <f>VLOOKUP(Query1[[#This Row],[Description]],'kits to boards'!$B$2:$E$156,2,FALSE)</f>
        <v>830037</v>
      </c>
      <c r="M3226">
        <f>VLOOKUP(Query1[[#This Row],[Description]],'kits to boards'!$B$2:$E$156,3,FALSE)</f>
        <v>0</v>
      </c>
      <c r="N3226">
        <f>VLOOKUP(Query1[[#This Row],[Description]],'kits to boards'!$B$2:$E$156,4,FALSE)</f>
        <v>0</v>
      </c>
      <c r="O3226" t="str">
        <f>CONCATENATE(Query1[[#This Row],[Description]]," - ",Query1[[#This Row],[MB1]]," - ",Query1[[#This Row],[MB2]]," - ",Query1[[#This Row],[MB3]])</f>
        <v>EVAP KIT 70-81 FIREBIRD W/AC - 830037 - 0 - 0</v>
      </c>
    </row>
    <row r="3227" spans="1:15" x14ac:dyDescent="0.25">
      <c r="A3227" s="1">
        <v>917908</v>
      </c>
      <c r="B3227" s="1" t="s">
        <v>54</v>
      </c>
      <c r="C3227" s="1" t="s">
        <v>55</v>
      </c>
      <c r="D3227" s="2">
        <v>44652.655940474535</v>
      </c>
      <c r="E3227" s="1" t="s">
        <v>8</v>
      </c>
      <c r="F3227" s="1">
        <v>1</v>
      </c>
      <c r="G3227" s="1">
        <v>0</v>
      </c>
      <c r="H3227" s="6">
        <f>INT(Query1[[#This Row],[EntryDateTime]])</f>
        <v>44652</v>
      </c>
      <c r="I3227" s="1">
        <f>IF(Query1[[#This Row],[ItemType]]="EVAP KIT SF GEN IV",Query1[[#This Row],[OrderQty]]+I3226,I3226)</f>
        <v>3983</v>
      </c>
      <c r="J3227" s="1">
        <f>IF(Query1[[#This Row],[ItemType]]="EVAP KIT UNIVERSAL",Query1[[#This Row],[OrderQty]]+J3226,J3226)</f>
        <v>1431</v>
      </c>
      <c r="K3227" s="1">
        <f>Query1[[#This Row],[SF Running Total]]+Query1[[#This Row],[UNIV Running Total]]</f>
        <v>5414</v>
      </c>
      <c r="L3227">
        <f>VLOOKUP(Query1[[#This Row],[Description]],'kits to boards'!$B$2:$E$156,2,FALSE)</f>
        <v>830037</v>
      </c>
      <c r="M3227">
        <f>VLOOKUP(Query1[[#This Row],[Description]],'kits to boards'!$B$2:$E$156,3,FALSE)</f>
        <v>0</v>
      </c>
      <c r="N3227">
        <f>VLOOKUP(Query1[[#This Row],[Description]],'kits to boards'!$B$2:$E$156,4,FALSE)</f>
        <v>0</v>
      </c>
      <c r="O3227" t="str">
        <f>CONCATENATE(Query1[[#This Row],[Description]]," - ",Query1[[#This Row],[MB1]]," - ",Query1[[#This Row],[MB2]]," - ",Query1[[#This Row],[MB3]])</f>
        <v>EVAP KIT 70-81 FIREBIRD W/AC - 830037 - 0 - 0</v>
      </c>
    </row>
    <row r="3228" spans="1:15" x14ac:dyDescent="0.25">
      <c r="A3228" s="1">
        <v>917910</v>
      </c>
      <c r="B3228" s="1" t="s">
        <v>16</v>
      </c>
      <c r="C3228" s="1" t="s">
        <v>17</v>
      </c>
      <c r="D3228" s="2">
        <v>44652.665532951389</v>
      </c>
      <c r="E3228" s="1" t="s">
        <v>8</v>
      </c>
      <c r="F3228" s="1">
        <v>1</v>
      </c>
      <c r="G3228" s="1">
        <v>0</v>
      </c>
      <c r="H3228" s="6">
        <f>INT(Query1[[#This Row],[EntryDateTime]])</f>
        <v>44652</v>
      </c>
      <c r="I3228" s="1">
        <f>IF(Query1[[#This Row],[ItemType]]="EVAP KIT SF GEN IV",Query1[[#This Row],[OrderQty]]+I3227,I3227)</f>
        <v>3984</v>
      </c>
      <c r="J3228" s="1">
        <f>IF(Query1[[#This Row],[ItemType]]="EVAP KIT UNIVERSAL",Query1[[#This Row],[OrderQty]]+J3227,J3227)</f>
        <v>1431</v>
      </c>
      <c r="K3228" s="1">
        <f>Query1[[#This Row],[SF Running Total]]+Query1[[#This Row],[UNIV Running Total]]</f>
        <v>5415</v>
      </c>
      <c r="L3228">
        <f>VLOOKUP(Query1[[#This Row],[Description]],'kits to boards'!$B$2:$E$156,2,FALSE)</f>
        <v>830061</v>
      </c>
      <c r="M3228">
        <f>VLOOKUP(Query1[[#This Row],[Description]],'kits to boards'!$B$2:$E$156,3,FALSE)</f>
        <v>0</v>
      </c>
      <c r="N3228">
        <f>VLOOKUP(Query1[[#This Row],[Description]],'kits to boards'!$B$2:$E$156,4,FALSE)</f>
        <v>0</v>
      </c>
      <c r="O3228" t="str">
        <f>CONCATENATE(Query1[[#This Row],[Description]]," - ",Query1[[#This Row],[MB1]]," - ",Query1[[#This Row],[MB2]]," - ",Query1[[#This Row],[MB3]])</f>
        <v>EVAP KIT 68-69 CHEVELLE W/AC - 830061 - 0 - 0</v>
      </c>
    </row>
    <row r="3229" spans="1:15" x14ac:dyDescent="0.25">
      <c r="A3229" s="1">
        <v>917912</v>
      </c>
      <c r="B3229" s="1" t="s">
        <v>44</v>
      </c>
      <c r="C3229" s="1" t="s">
        <v>45</v>
      </c>
      <c r="D3229" s="2">
        <v>44655.307908368057</v>
      </c>
      <c r="E3229" s="1" t="s">
        <v>8</v>
      </c>
      <c r="F3229" s="1">
        <v>1</v>
      </c>
      <c r="G3229" s="1">
        <v>0</v>
      </c>
      <c r="H3229" s="6">
        <f>INT(Query1[[#This Row],[EntryDateTime]])</f>
        <v>44655</v>
      </c>
      <c r="I3229" s="1">
        <f>IF(Query1[[#This Row],[ItemType]]="EVAP KIT SF GEN IV",Query1[[#This Row],[OrderQty]]+I3228,I3228)</f>
        <v>3985</v>
      </c>
      <c r="J3229" s="1">
        <f>IF(Query1[[#This Row],[ItemType]]="EVAP KIT UNIVERSAL",Query1[[#This Row],[OrderQty]]+J3228,J3228)</f>
        <v>1431</v>
      </c>
      <c r="K3229" s="1">
        <f>Query1[[#This Row],[SF Running Total]]+Query1[[#This Row],[UNIV Running Total]]</f>
        <v>5416</v>
      </c>
      <c r="L3229">
        <f>VLOOKUP(Query1[[#This Row],[Description]],'kits to boards'!$B$2:$E$156,2,FALSE)</f>
        <v>830085</v>
      </c>
      <c r="M3229">
        <f>VLOOKUP(Query1[[#This Row],[Description]],'kits to boards'!$B$2:$E$156,3,FALSE)</f>
        <v>0</v>
      </c>
      <c r="N3229">
        <f>VLOOKUP(Query1[[#This Row],[Description]],'kits to boards'!$B$2:$E$156,4,FALSE)</f>
        <v>0</v>
      </c>
      <c r="O3229" t="str">
        <f>CONCATENATE(Query1[[#This Row],[Description]]," - ",Query1[[#This Row],[MB1]]," - ",Query1[[#This Row],[MB2]]," - ",Query1[[#This Row],[MB3]])</f>
        <v>EVAP KIT 66-77 BRONCO - 830085 - 0 - 0</v>
      </c>
    </row>
    <row r="3230" spans="1:15" x14ac:dyDescent="0.25">
      <c r="A3230" s="1">
        <v>917916</v>
      </c>
      <c r="B3230" s="1" t="s">
        <v>94</v>
      </c>
      <c r="C3230" s="1" t="s">
        <v>95</v>
      </c>
      <c r="D3230" s="2">
        <v>44655.310319479169</v>
      </c>
      <c r="E3230" s="1" t="s">
        <v>8</v>
      </c>
      <c r="F3230" s="1">
        <v>1</v>
      </c>
      <c r="G3230" s="1">
        <v>0</v>
      </c>
      <c r="H3230" s="6">
        <f>INT(Query1[[#This Row],[EntryDateTime]])</f>
        <v>44655</v>
      </c>
      <c r="I3230" s="1">
        <f>IF(Query1[[#This Row],[ItemType]]="EVAP KIT SF GEN IV",Query1[[#This Row],[OrderQty]]+I3229,I3229)</f>
        <v>3986</v>
      </c>
      <c r="J3230" s="1">
        <f>IF(Query1[[#This Row],[ItemType]]="EVAP KIT UNIVERSAL",Query1[[#This Row],[OrderQty]]+J3229,J3229)</f>
        <v>1431</v>
      </c>
      <c r="K3230" s="1">
        <f>Query1[[#This Row],[SF Running Total]]+Query1[[#This Row],[UNIV Running Total]]</f>
        <v>5417</v>
      </c>
      <c r="L3230">
        <f>VLOOKUP(Query1[[#This Row],[Description]],'kits to boards'!$B$2:$E$156,2,FALSE)</f>
        <v>830076</v>
      </c>
      <c r="M3230">
        <f>VLOOKUP(Query1[[#This Row],[Description]],'kits to boards'!$B$2:$E$156,3,FALSE)</f>
        <v>0</v>
      </c>
      <c r="N3230">
        <f>VLOOKUP(Query1[[#This Row],[Description]],'kits to boards'!$B$2:$E$156,4,FALSE)</f>
        <v>0</v>
      </c>
      <c r="O3230" t="str">
        <f>CONCATENATE(Query1[[#This Row],[Description]]," - ",Query1[[#This Row],[MB1]]," - ",Query1[[#This Row],[MB2]]," - ",Query1[[#This Row],[MB3]])</f>
        <v>EVAP KIT 64 1/2- 66 MUSTANG  - 830076 - 0 - 0</v>
      </c>
    </row>
    <row r="3231" spans="1:15" x14ac:dyDescent="0.25">
      <c r="A3231" s="1">
        <v>917917</v>
      </c>
      <c r="B3231" s="1" t="s">
        <v>80</v>
      </c>
      <c r="C3231" s="1" t="s">
        <v>81</v>
      </c>
      <c r="D3231" s="2">
        <v>44655.317179664351</v>
      </c>
      <c r="E3231" s="1" t="s">
        <v>11</v>
      </c>
      <c r="F3231" s="1">
        <v>2</v>
      </c>
      <c r="G3231" s="1">
        <v>0</v>
      </c>
      <c r="H3231" s="6">
        <f>INT(Query1[[#This Row],[EntryDateTime]])</f>
        <v>44655</v>
      </c>
      <c r="I3231" s="1">
        <f>IF(Query1[[#This Row],[ItemType]]="EVAP KIT SF GEN IV",Query1[[#This Row],[OrderQty]]+I3230,I3230)</f>
        <v>3986</v>
      </c>
      <c r="J3231" s="1">
        <f>IF(Query1[[#This Row],[ItemType]]="EVAP KIT UNIVERSAL",Query1[[#This Row],[OrderQty]]+J3230,J3230)</f>
        <v>1433</v>
      </c>
      <c r="K3231" s="1">
        <f>Query1[[#This Row],[SF Running Total]]+Query1[[#This Row],[UNIV Running Total]]</f>
        <v>5419</v>
      </c>
      <c r="L3231">
        <f>VLOOKUP(Query1[[#This Row],[Description]],'kits to boards'!$B$2:$E$156,2,FALSE)</f>
        <v>0</v>
      </c>
      <c r="M3231">
        <f>VLOOKUP(Query1[[#This Row],[Description]],'kits to boards'!$B$2:$E$156,3,FALSE)</f>
        <v>0</v>
      </c>
      <c r="N3231">
        <f>VLOOKUP(Query1[[#This Row],[Description]],'kits to boards'!$B$2:$E$156,4,FALSE)</f>
        <v>0</v>
      </c>
      <c r="O3231" t="str">
        <f>CONCATENATE(Query1[[#This Row],[Description]]," - ",Query1[[#This Row],[MB1]]," - ",Query1[[#This Row],[MB2]]," - ",Query1[[#This Row],[MB3]])</f>
        <v>HERITAGE BRUSHED EVAP KIT COOL ONLY - 0 - 0 - 0</v>
      </c>
    </row>
    <row r="3232" spans="1:15" x14ac:dyDescent="0.25">
      <c r="A3232" s="1">
        <v>917917</v>
      </c>
      <c r="B3232" s="1" t="s">
        <v>104</v>
      </c>
      <c r="C3232" s="1" t="s">
        <v>105</v>
      </c>
      <c r="D3232" s="2">
        <v>44655.317432372685</v>
      </c>
      <c r="E3232" s="1" t="s">
        <v>11</v>
      </c>
      <c r="F3232" s="1">
        <v>2</v>
      </c>
      <c r="G3232" s="1">
        <v>0</v>
      </c>
      <c r="H3232" s="6">
        <f>INT(Query1[[#This Row],[EntryDateTime]])</f>
        <v>44655</v>
      </c>
      <c r="I3232" s="1">
        <f>IF(Query1[[#This Row],[ItemType]]="EVAP KIT SF GEN IV",Query1[[#This Row],[OrderQty]]+I3231,I3231)</f>
        <v>3986</v>
      </c>
      <c r="J3232" s="1">
        <f>IF(Query1[[#This Row],[ItemType]]="EVAP KIT UNIVERSAL",Query1[[#This Row],[OrderQty]]+J3231,J3231)</f>
        <v>1435</v>
      </c>
      <c r="K3232" s="1">
        <f>Query1[[#This Row],[SF Running Total]]+Query1[[#This Row],[UNIV Running Total]]</f>
        <v>5421</v>
      </c>
      <c r="L3232">
        <f>VLOOKUP(Query1[[#This Row],[Description]],'kits to boards'!$B$2:$E$156,2,FALSE)</f>
        <v>0</v>
      </c>
      <c r="M3232">
        <f>VLOOKUP(Query1[[#This Row],[Description]],'kits to boards'!$B$2:$E$156,3,FALSE)</f>
        <v>0</v>
      </c>
      <c r="N3232">
        <f>VLOOKUP(Query1[[#This Row],[Description]],'kits to boards'!$B$2:$E$156,4,FALSE)</f>
        <v>0</v>
      </c>
      <c r="O3232" t="str">
        <f>CONCATENATE(Query1[[#This Row],[Description]]," - ",Query1[[#This Row],[MB1]]," - ",Query1[[#This Row],[MB2]]," - ",Query1[[#This Row],[MB3]])</f>
        <v>HERITAGE BRUSHED EVAP KIT HEAT/COOL - 0 - 0 - 0</v>
      </c>
    </row>
    <row r="3233" spans="1:15" x14ac:dyDescent="0.25">
      <c r="A3233" s="1">
        <v>917917</v>
      </c>
      <c r="B3233" s="1" t="s">
        <v>296</v>
      </c>
      <c r="C3233" s="1" t="s">
        <v>297</v>
      </c>
      <c r="D3233" s="2">
        <v>44655.317674502316</v>
      </c>
      <c r="E3233" s="1" t="s">
        <v>11</v>
      </c>
      <c r="F3233" s="1">
        <v>3</v>
      </c>
      <c r="G3233" s="1">
        <v>0</v>
      </c>
      <c r="H3233" s="6">
        <f>INT(Query1[[#This Row],[EntryDateTime]])</f>
        <v>44655</v>
      </c>
      <c r="I3233" s="1">
        <f>IF(Query1[[#This Row],[ItemType]]="EVAP KIT SF GEN IV",Query1[[#This Row],[OrderQty]]+I3232,I3232)</f>
        <v>3986</v>
      </c>
      <c r="J3233" s="1">
        <f>IF(Query1[[#This Row],[ItemType]]="EVAP KIT UNIVERSAL",Query1[[#This Row],[OrderQty]]+J3232,J3232)</f>
        <v>1438</v>
      </c>
      <c r="K3233" s="1">
        <f>Query1[[#This Row],[SF Running Total]]+Query1[[#This Row],[UNIV Running Total]]</f>
        <v>5424</v>
      </c>
      <c r="L3233">
        <f>VLOOKUP(Query1[[#This Row],[Description]],'kits to boards'!$B$2:$E$156,2,FALSE)</f>
        <v>0</v>
      </c>
      <c r="M3233">
        <f>VLOOKUP(Query1[[#This Row],[Description]],'kits to boards'!$B$2:$E$156,3,FALSE)</f>
        <v>0</v>
      </c>
      <c r="N3233">
        <f>VLOOKUP(Query1[[#This Row],[Description]],'kits to boards'!$B$2:$E$156,4,FALSE)</f>
        <v>0</v>
      </c>
      <c r="O3233" t="str">
        <f>CONCATENATE(Query1[[#This Row],[Description]]," - ",Query1[[#This Row],[MB1]]," - ",Query1[[#This Row],[MB2]]," - ",Query1[[#This Row],[MB3]])</f>
        <v>HERITAGE TURNED EVAP KIT COOL ONLY - 0 - 0 - 0</v>
      </c>
    </row>
    <row r="3234" spans="1:15" x14ac:dyDescent="0.25">
      <c r="A3234" s="1">
        <v>917917</v>
      </c>
      <c r="B3234" s="1" t="s">
        <v>136</v>
      </c>
      <c r="C3234" s="1" t="s">
        <v>137</v>
      </c>
      <c r="D3234" s="2">
        <v>44655.317906944445</v>
      </c>
      <c r="E3234" s="1" t="s">
        <v>11</v>
      </c>
      <c r="F3234" s="1">
        <v>2</v>
      </c>
      <c r="G3234" s="1">
        <v>0</v>
      </c>
      <c r="H3234" s="6">
        <f>INT(Query1[[#This Row],[EntryDateTime]])</f>
        <v>44655</v>
      </c>
      <c r="I3234" s="1">
        <f>IF(Query1[[#This Row],[ItemType]]="EVAP KIT SF GEN IV",Query1[[#This Row],[OrderQty]]+I3233,I3233)</f>
        <v>3986</v>
      </c>
      <c r="J3234" s="1">
        <f>IF(Query1[[#This Row],[ItemType]]="EVAP KIT UNIVERSAL",Query1[[#This Row],[OrderQty]]+J3233,J3233)</f>
        <v>1440</v>
      </c>
      <c r="K3234" s="1">
        <f>Query1[[#This Row],[SF Running Total]]+Query1[[#This Row],[UNIV Running Total]]</f>
        <v>5426</v>
      </c>
      <c r="L3234">
        <f>VLOOKUP(Query1[[#This Row],[Description]],'kits to boards'!$B$2:$E$156,2,FALSE)</f>
        <v>0</v>
      </c>
      <c r="M3234">
        <f>VLOOKUP(Query1[[#This Row],[Description]],'kits to boards'!$B$2:$E$156,3,FALSE)</f>
        <v>0</v>
      </c>
      <c r="N3234">
        <f>VLOOKUP(Query1[[#This Row],[Description]],'kits to boards'!$B$2:$E$156,4,FALSE)</f>
        <v>0</v>
      </c>
      <c r="O3234" t="str">
        <f>CONCATENATE(Query1[[#This Row],[Description]]," - ",Query1[[#This Row],[MB1]]," - ",Query1[[#This Row],[MB2]]," - ",Query1[[#This Row],[MB3]])</f>
        <v>HERITAGE TURNED EVAP KIT HEAT/COOL - 0 - 0 - 0</v>
      </c>
    </row>
    <row r="3235" spans="1:15" x14ac:dyDescent="0.25">
      <c r="A3235" s="1">
        <v>917917</v>
      </c>
      <c r="B3235" s="1" t="s">
        <v>263</v>
      </c>
      <c r="C3235" s="1" t="s">
        <v>264</v>
      </c>
      <c r="D3235" s="2">
        <v>44655.318143055556</v>
      </c>
      <c r="E3235" s="1" t="s">
        <v>11</v>
      </c>
      <c r="F3235" s="1">
        <v>3</v>
      </c>
      <c r="G3235" s="1">
        <v>0</v>
      </c>
      <c r="H3235" s="6">
        <f>INT(Query1[[#This Row],[EntryDateTime]])</f>
        <v>44655</v>
      </c>
      <c r="I3235" s="1">
        <f>IF(Query1[[#This Row],[ItemType]]="EVAP KIT SF GEN IV",Query1[[#This Row],[OrderQty]]+I3234,I3234)</f>
        <v>3986</v>
      </c>
      <c r="J3235" s="1">
        <f>IF(Query1[[#This Row],[ItemType]]="EVAP KIT UNIVERSAL",Query1[[#This Row],[OrderQty]]+J3234,J3234)</f>
        <v>1443</v>
      </c>
      <c r="K3235" s="1">
        <f>Query1[[#This Row],[SF Running Total]]+Query1[[#This Row],[UNIV Running Total]]</f>
        <v>5429</v>
      </c>
      <c r="L3235">
        <f>VLOOKUP(Query1[[#This Row],[Description]],'kits to boards'!$B$2:$E$156,2,FALSE)</f>
        <v>830069</v>
      </c>
      <c r="M3235">
        <f>VLOOKUP(Query1[[#This Row],[Description]],'kits to boards'!$B$2:$E$156,3,FALSE)</f>
        <v>0</v>
      </c>
      <c r="N3235">
        <f>VLOOKUP(Query1[[#This Row],[Description]],'kits to boards'!$B$2:$E$156,4,FALSE)</f>
        <v>0</v>
      </c>
      <c r="O3235" t="str">
        <f>CONCATENATE(Query1[[#This Row],[Description]]," - ",Query1[[#This Row],[MB1]]," - ",Query1[[#This Row],[MB2]]," - ",Query1[[#This Row],[MB3]])</f>
        <v>SLIMLINE COOL STD LOUVER - 830069 - 0 - 0</v>
      </c>
    </row>
    <row r="3236" spans="1:15" x14ac:dyDescent="0.25">
      <c r="A3236" s="1">
        <v>917917</v>
      </c>
      <c r="B3236" s="1" t="s">
        <v>9</v>
      </c>
      <c r="C3236" s="1" t="s">
        <v>10</v>
      </c>
      <c r="D3236" s="2">
        <v>44655.318759062502</v>
      </c>
      <c r="E3236" s="1" t="s">
        <v>11</v>
      </c>
      <c r="F3236" s="1">
        <v>3</v>
      </c>
      <c r="G3236" s="1">
        <v>0</v>
      </c>
      <c r="H3236" s="6">
        <f>INT(Query1[[#This Row],[EntryDateTime]])</f>
        <v>44655</v>
      </c>
      <c r="I3236" s="1">
        <f>IF(Query1[[#This Row],[ItemType]]="EVAP KIT SF GEN IV",Query1[[#This Row],[OrderQty]]+I3235,I3235)</f>
        <v>3986</v>
      </c>
      <c r="J3236" s="1">
        <f>IF(Query1[[#This Row],[ItemType]]="EVAP KIT UNIVERSAL",Query1[[#This Row],[OrderQty]]+J3235,J3235)</f>
        <v>1446</v>
      </c>
      <c r="K3236" s="1">
        <f>Query1[[#This Row],[SF Running Total]]+Query1[[#This Row],[UNIV Running Total]]</f>
        <v>5432</v>
      </c>
      <c r="L3236">
        <f>VLOOKUP(Query1[[#This Row],[Description]],'kits to boards'!$B$2:$E$156,2,FALSE)</f>
        <v>830069</v>
      </c>
      <c r="M3236">
        <f>VLOOKUP(Query1[[#This Row],[Description]],'kits to boards'!$B$2:$E$156,3,FALSE)</f>
        <v>0</v>
      </c>
      <c r="N3236">
        <f>VLOOKUP(Query1[[#This Row],[Description]],'kits to boards'!$B$2:$E$156,4,FALSE)</f>
        <v>0</v>
      </c>
      <c r="O3236" t="str">
        <f>CONCATENATE(Query1[[#This Row],[Description]]," - ",Query1[[#This Row],[MB1]]," - ",Query1[[#This Row],[MB2]]," - ",Query1[[#This Row],[MB3]])</f>
        <v>SLIMLINE H/C W/DEF STD LOUVER - 830069 - 0 - 0</v>
      </c>
    </row>
    <row r="3237" spans="1:15" x14ac:dyDescent="0.25">
      <c r="A3237" s="1">
        <v>917925</v>
      </c>
      <c r="B3237" s="1" t="s">
        <v>122</v>
      </c>
      <c r="C3237" s="1" t="s">
        <v>123</v>
      </c>
      <c r="D3237" s="2">
        <v>44655.331525891204</v>
      </c>
      <c r="E3237" s="1" t="s">
        <v>8</v>
      </c>
      <c r="F3237" s="1">
        <v>1</v>
      </c>
      <c r="G3237" s="1">
        <v>0</v>
      </c>
      <c r="H3237" s="6">
        <f>INT(Query1[[#This Row],[EntryDateTime]])</f>
        <v>44655</v>
      </c>
      <c r="I3237" s="1">
        <f>IF(Query1[[#This Row],[ItemType]]="EVAP KIT SF GEN IV",Query1[[#This Row],[OrderQty]]+I3236,I3236)</f>
        <v>3987</v>
      </c>
      <c r="J3237" s="1">
        <f>IF(Query1[[#This Row],[ItemType]]="EVAP KIT UNIVERSAL",Query1[[#This Row],[OrderQty]]+J3236,J3236)</f>
        <v>1446</v>
      </c>
      <c r="K3237" s="1">
        <f>Query1[[#This Row],[SF Running Total]]+Query1[[#This Row],[UNIV Running Total]]</f>
        <v>5433</v>
      </c>
      <c r="L3237">
        <f>VLOOKUP(Query1[[#This Row],[Description]],'kits to boards'!$B$2:$E$156,2,FALSE)</f>
        <v>830027</v>
      </c>
      <c r="M3237">
        <f>VLOOKUP(Query1[[#This Row],[Description]],'kits to boards'!$B$2:$E$156,3,FALSE)</f>
        <v>0</v>
      </c>
      <c r="N3237">
        <f>VLOOKUP(Query1[[#This Row],[Description]],'kits to boards'!$B$2:$E$156,4,FALSE)</f>
        <v>0</v>
      </c>
      <c r="O3237" t="str">
        <f>CONCATENATE(Query1[[#This Row],[Description]]," - ",Query1[[#This Row],[MB1]]," - ",Query1[[#This Row],[MB2]]," - ",Query1[[#This Row],[MB3]])</f>
        <v>EVAP KIT 70-72 CUTLASS W/AC - 830027 - 0 - 0</v>
      </c>
    </row>
    <row r="3238" spans="1:15" x14ac:dyDescent="0.25">
      <c r="A3238" s="1">
        <v>917936</v>
      </c>
      <c r="B3238" s="1" t="s">
        <v>24</v>
      </c>
      <c r="C3238" s="1" t="s">
        <v>25</v>
      </c>
      <c r="D3238" s="2">
        <v>44655.341928043985</v>
      </c>
      <c r="E3238" s="1" t="s">
        <v>11</v>
      </c>
      <c r="F3238" s="1">
        <v>1</v>
      </c>
      <c r="G3238" s="1">
        <v>0</v>
      </c>
      <c r="H3238" s="6">
        <f>INT(Query1[[#This Row],[EntryDateTime]])</f>
        <v>44655</v>
      </c>
      <c r="I3238" s="1">
        <f>IF(Query1[[#This Row],[ItemType]]="EVAP KIT SF GEN IV",Query1[[#This Row],[OrderQty]]+I3237,I3237)</f>
        <v>3987</v>
      </c>
      <c r="J3238" s="1">
        <f>IF(Query1[[#This Row],[ItemType]]="EVAP KIT UNIVERSAL",Query1[[#This Row],[OrderQty]]+J3237,J3237)</f>
        <v>1447</v>
      </c>
      <c r="K3238" s="1">
        <f>Query1[[#This Row],[SF Running Total]]+Query1[[#This Row],[UNIV Running Total]]</f>
        <v>5434</v>
      </c>
      <c r="L3238">
        <f>VLOOKUP(Query1[[#This Row],[Description]],'kits to boards'!$B$2:$E$156,2,FALSE)</f>
        <v>830029</v>
      </c>
      <c r="M3238">
        <f>VLOOKUP(Query1[[#This Row],[Description]],'kits to boards'!$B$2:$E$156,3,FALSE)</f>
        <v>830030</v>
      </c>
      <c r="N3238">
        <f>VLOOKUP(Query1[[#This Row],[Description]],'kits to boards'!$B$2:$E$156,4,FALSE)</f>
        <v>0</v>
      </c>
      <c r="O3238" t="str">
        <f>CONCATENATE(Query1[[#This Row],[Description]]," - ",Query1[[#This Row],[MB1]]," - ",Query1[[#This Row],[MB2]]," - ",Query1[[#This Row],[MB3]])</f>
        <v>ComPac GEN II W/DEF - 830029 - 830030 - 0</v>
      </c>
    </row>
    <row r="3239" spans="1:15" x14ac:dyDescent="0.25">
      <c r="A3239" s="1">
        <v>917936</v>
      </c>
      <c r="B3239" s="1" t="s">
        <v>22</v>
      </c>
      <c r="C3239" s="1" t="s">
        <v>23</v>
      </c>
      <c r="D3239" s="2">
        <v>44655.342194444442</v>
      </c>
      <c r="E3239" s="1" t="s">
        <v>8</v>
      </c>
      <c r="F3239" s="1">
        <v>1</v>
      </c>
      <c r="G3239" s="1">
        <v>0</v>
      </c>
      <c r="H3239" s="6">
        <f>INT(Query1[[#This Row],[EntryDateTime]])</f>
        <v>44655</v>
      </c>
      <c r="I3239" s="1">
        <f>IF(Query1[[#This Row],[ItemType]]="EVAP KIT SF GEN IV",Query1[[#This Row],[OrderQty]]+I3238,I3238)</f>
        <v>3988</v>
      </c>
      <c r="J3239" s="1">
        <f>IF(Query1[[#This Row],[ItemType]]="EVAP KIT UNIVERSAL",Query1[[#This Row],[OrderQty]]+J3238,J3238)</f>
        <v>1447</v>
      </c>
      <c r="K3239" s="1">
        <f>Query1[[#This Row],[SF Running Total]]+Query1[[#This Row],[UNIV Running Total]]</f>
        <v>5435</v>
      </c>
      <c r="L3239">
        <f>VLOOKUP(Query1[[#This Row],[Description]],'kits to boards'!$B$2:$E$156,2,FALSE)</f>
        <v>830083</v>
      </c>
      <c r="M3239">
        <f>VLOOKUP(Query1[[#This Row],[Description]],'kits to boards'!$B$2:$E$156,3,FALSE)</f>
        <v>0</v>
      </c>
      <c r="N3239">
        <f>VLOOKUP(Query1[[#This Row],[Description]],'kits to boards'!$B$2:$E$156,4,FALSE)</f>
        <v>0</v>
      </c>
      <c r="O3239" t="str">
        <f>CONCATENATE(Query1[[#This Row],[Description]]," - ",Query1[[#This Row],[MB1]]," - ",Query1[[#This Row],[MB2]]," - ",Query1[[#This Row],[MB3]])</f>
        <v>GEN IV MAGNUM EVAP KIT - 830083 - 0 - 0</v>
      </c>
    </row>
    <row r="3240" spans="1:15" x14ac:dyDescent="0.25">
      <c r="A3240" s="1">
        <v>917936</v>
      </c>
      <c r="B3240" s="1" t="s">
        <v>106</v>
      </c>
      <c r="C3240" s="1" t="s">
        <v>107</v>
      </c>
      <c r="D3240" s="2">
        <v>44655.342419675922</v>
      </c>
      <c r="E3240" s="1" t="s">
        <v>8</v>
      </c>
      <c r="F3240" s="1">
        <v>1</v>
      </c>
      <c r="G3240" s="1">
        <v>0</v>
      </c>
      <c r="H3240" s="6">
        <f>INT(Query1[[#This Row],[EntryDateTime]])</f>
        <v>44655</v>
      </c>
      <c r="I3240" s="1">
        <f>IF(Query1[[#This Row],[ItemType]]="EVAP KIT SF GEN IV",Query1[[#This Row],[OrderQty]]+I3239,I3239)</f>
        <v>3989</v>
      </c>
      <c r="J3240" s="1">
        <f>IF(Query1[[#This Row],[ItemType]]="EVAP KIT UNIVERSAL",Query1[[#This Row],[OrderQty]]+J3239,J3239)</f>
        <v>1447</v>
      </c>
      <c r="K3240" s="1">
        <f>Query1[[#This Row],[SF Running Total]]+Query1[[#This Row],[UNIV Running Total]]</f>
        <v>5436</v>
      </c>
      <c r="L3240">
        <f>VLOOKUP(Query1[[#This Row],[Description]],'kits to boards'!$B$2:$E$156,2,FALSE)</f>
        <v>830028</v>
      </c>
      <c r="M3240">
        <f>VLOOKUP(Query1[[#This Row],[Description]],'kits to boards'!$B$2:$E$156,3,FALSE)</f>
        <v>0</v>
      </c>
      <c r="N3240">
        <f>VLOOKUP(Query1[[#This Row],[Description]],'kits to boards'!$B$2:$E$156,4,FALSE)</f>
        <v>0</v>
      </c>
      <c r="O3240" t="str">
        <f>CONCATENATE(Query1[[#This Row],[Description]]," - ",Query1[[#This Row],[MB1]]," - ",Query1[[#This Row],[MB2]]," - ",Query1[[#This Row],[MB3]])</f>
        <v>EVAP KIT 55-59 CHEV P-UP WO AC W/DELX - 830028 - 0 - 0</v>
      </c>
    </row>
    <row r="3241" spans="1:15" x14ac:dyDescent="0.25">
      <c r="A3241" s="1">
        <v>917936</v>
      </c>
      <c r="B3241" s="1" t="s">
        <v>114</v>
      </c>
      <c r="C3241" s="1" t="s">
        <v>115</v>
      </c>
      <c r="D3241" s="2">
        <v>44655.342529317131</v>
      </c>
      <c r="E3241" s="1" t="s">
        <v>8</v>
      </c>
      <c r="F3241" s="1">
        <v>1</v>
      </c>
      <c r="G3241" s="1">
        <v>0</v>
      </c>
      <c r="H3241" s="6">
        <f>INT(Query1[[#This Row],[EntryDateTime]])</f>
        <v>44655</v>
      </c>
      <c r="I3241" s="1">
        <f>IF(Query1[[#This Row],[ItemType]]="EVAP KIT SF GEN IV",Query1[[#This Row],[OrderQty]]+I3240,I3240)</f>
        <v>3990</v>
      </c>
      <c r="J3241" s="1">
        <f>IF(Query1[[#This Row],[ItemType]]="EVAP KIT UNIVERSAL",Query1[[#This Row],[OrderQty]]+J3240,J3240)</f>
        <v>1447</v>
      </c>
      <c r="K3241" s="1">
        <f>Query1[[#This Row],[SF Running Total]]+Query1[[#This Row],[UNIV Running Total]]</f>
        <v>5437</v>
      </c>
      <c r="L3241">
        <f>VLOOKUP(Query1[[#This Row],[Description]],'kits to boards'!$B$2:$E$156,2,FALSE)</f>
        <v>830059</v>
      </c>
      <c r="M3241">
        <f>VLOOKUP(Query1[[#This Row],[Description]],'kits to boards'!$B$2:$E$156,3,FALSE)</f>
        <v>0</v>
      </c>
      <c r="N3241">
        <f>VLOOKUP(Query1[[#This Row],[Description]],'kits to boards'!$B$2:$E$156,4,FALSE)</f>
        <v>0</v>
      </c>
      <c r="O3241" t="str">
        <f>CONCATENATE(Query1[[#This Row],[Description]]," - ",Query1[[#This Row],[MB1]]," - ",Query1[[#This Row],[MB2]]," - ",Query1[[#This Row],[MB3]])</f>
        <v>EVAP KIT 66-67 CHEVELLE W/AC - 830059 - 0 - 0</v>
      </c>
    </row>
    <row r="3242" spans="1:15" x14ac:dyDescent="0.25">
      <c r="A3242" s="1">
        <v>917936</v>
      </c>
      <c r="B3242" s="1" t="s">
        <v>26</v>
      </c>
      <c r="C3242" s="1" t="s">
        <v>27</v>
      </c>
      <c r="D3242" s="2">
        <v>44655.343132442133</v>
      </c>
      <c r="E3242" s="1" t="s">
        <v>8</v>
      </c>
      <c r="F3242" s="1">
        <v>2</v>
      </c>
      <c r="G3242" s="1">
        <v>0</v>
      </c>
      <c r="H3242" s="6">
        <f>INT(Query1[[#This Row],[EntryDateTime]])</f>
        <v>44655</v>
      </c>
      <c r="I3242" s="1">
        <f>IF(Query1[[#This Row],[ItemType]]="EVAP KIT SF GEN IV",Query1[[#This Row],[OrderQty]]+I3241,I3241)</f>
        <v>3992</v>
      </c>
      <c r="J3242" s="1">
        <f>IF(Query1[[#This Row],[ItemType]]="EVAP KIT UNIVERSAL",Query1[[#This Row],[OrderQty]]+J3241,J3241)</f>
        <v>1447</v>
      </c>
      <c r="K3242" s="1">
        <f>Query1[[#This Row],[SF Running Total]]+Query1[[#This Row],[UNIV Running Total]]</f>
        <v>5439</v>
      </c>
      <c r="L3242">
        <f>VLOOKUP(Query1[[#This Row],[Description]],'kits to boards'!$B$2:$E$156,2,FALSE)</f>
        <v>830013</v>
      </c>
      <c r="M3242">
        <f>VLOOKUP(Query1[[#This Row],[Description]],'kits to boards'!$B$2:$E$156,3,FALSE)</f>
        <v>0</v>
      </c>
      <c r="N3242">
        <f>VLOOKUP(Query1[[#This Row],[Description]],'kits to boards'!$B$2:$E$156,4,FALSE)</f>
        <v>0</v>
      </c>
      <c r="O3242" t="str">
        <f>CONCATENATE(Query1[[#This Row],[Description]]," - ",Query1[[#This Row],[MB1]]," - ",Query1[[#This Row],[MB2]]," - ",Query1[[#This Row],[MB3]])</f>
        <v>EVAP KIT 67-72 CHEV P-UP W/AC - 830013 - 0 - 0</v>
      </c>
    </row>
    <row r="3243" spans="1:15" x14ac:dyDescent="0.25">
      <c r="A3243" s="1">
        <v>917936</v>
      </c>
      <c r="B3243" s="1" t="s">
        <v>166</v>
      </c>
      <c r="C3243" s="1" t="s">
        <v>167</v>
      </c>
      <c r="D3243" s="2">
        <v>44655.344114814812</v>
      </c>
      <c r="E3243" s="1" t="s">
        <v>8</v>
      </c>
      <c r="F3243" s="1">
        <v>1</v>
      </c>
      <c r="G3243" s="1">
        <v>0</v>
      </c>
      <c r="H3243" s="6">
        <f>INT(Query1[[#This Row],[EntryDateTime]])</f>
        <v>44655</v>
      </c>
      <c r="I3243" s="1">
        <f>IF(Query1[[#This Row],[ItemType]]="EVAP KIT SF GEN IV",Query1[[#This Row],[OrderQty]]+I3242,I3242)</f>
        <v>3993</v>
      </c>
      <c r="J3243" s="1">
        <f>IF(Query1[[#This Row],[ItemType]]="EVAP KIT UNIVERSAL",Query1[[#This Row],[OrderQty]]+J3242,J3242)</f>
        <v>1447</v>
      </c>
      <c r="K3243" s="1">
        <f>Query1[[#This Row],[SF Running Total]]+Query1[[#This Row],[UNIV Running Total]]</f>
        <v>5440</v>
      </c>
      <c r="L3243">
        <f>VLOOKUP(Query1[[#This Row],[Description]],'kits to boards'!$B$2:$E$156,2,FALSE)</f>
        <v>830063</v>
      </c>
      <c r="M3243">
        <f>VLOOKUP(Query1[[#This Row],[Description]],'kits to boards'!$B$2:$E$156,3,FALSE)</f>
        <v>0</v>
      </c>
      <c r="N3243">
        <f>VLOOKUP(Query1[[#This Row],[Description]],'kits to boards'!$B$2:$E$156,4,FALSE)</f>
        <v>0</v>
      </c>
      <c r="O3243" t="str">
        <f>CONCATENATE(Query1[[#This Row],[Description]]," - ",Query1[[#This Row],[MB1]]," - ",Query1[[#This Row],[MB2]]," - ",Query1[[#This Row],[MB3]])</f>
        <v>EVAP KIT 47-49 CHEV P-UP GEN IV - 830063 - 0 - 0</v>
      </c>
    </row>
    <row r="3244" spans="1:15" x14ac:dyDescent="0.25">
      <c r="A3244" s="1">
        <v>917936</v>
      </c>
      <c r="B3244" s="1" t="s">
        <v>90</v>
      </c>
      <c r="C3244" s="1" t="s">
        <v>91</v>
      </c>
      <c r="D3244" s="2">
        <v>44655.344522685184</v>
      </c>
      <c r="E3244" s="1" t="s">
        <v>8</v>
      </c>
      <c r="F3244" s="1">
        <v>1</v>
      </c>
      <c r="G3244" s="1">
        <v>0</v>
      </c>
      <c r="H3244" s="6">
        <f>INT(Query1[[#This Row],[EntryDateTime]])</f>
        <v>44655</v>
      </c>
      <c r="I3244" s="1">
        <f>IF(Query1[[#This Row],[ItemType]]="EVAP KIT SF GEN IV",Query1[[#This Row],[OrderQty]]+I3243,I3243)</f>
        <v>3994</v>
      </c>
      <c r="J3244" s="1">
        <f>IF(Query1[[#This Row],[ItemType]]="EVAP KIT UNIVERSAL",Query1[[#This Row],[OrderQty]]+J3243,J3243)</f>
        <v>1447</v>
      </c>
      <c r="K3244" s="1">
        <f>Query1[[#This Row],[SF Running Total]]+Query1[[#This Row],[UNIV Running Total]]</f>
        <v>5441</v>
      </c>
      <c r="L3244">
        <f>VLOOKUP(Query1[[#This Row],[Description]],'kits to boards'!$B$2:$E$156,2,FALSE)</f>
        <v>830105</v>
      </c>
      <c r="M3244">
        <f>VLOOKUP(Query1[[#This Row],[Description]],'kits to boards'!$B$2:$E$156,3,FALSE)</f>
        <v>830106</v>
      </c>
      <c r="N3244">
        <f>VLOOKUP(Query1[[#This Row],[Description]],'kits to boards'!$B$2:$E$156,4,FALSE)</f>
        <v>0</v>
      </c>
      <c r="O3244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3245" spans="1:15" x14ac:dyDescent="0.25">
      <c r="A3245" s="1">
        <v>917936</v>
      </c>
      <c r="B3245" s="1" t="s">
        <v>86</v>
      </c>
      <c r="C3245" s="1" t="s">
        <v>87</v>
      </c>
      <c r="D3245" s="2">
        <v>44655.345043483794</v>
      </c>
      <c r="E3245" s="1" t="s">
        <v>8</v>
      </c>
      <c r="F3245" s="1">
        <v>1</v>
      </c>
      <c r="G3245" s="1">
        <v>0</v>
      </c>
      <c r="H3245" s="6">
        <f>INT(Query1[[#This Row],[EntryDateTime]])</f>
        <v>44655</v>
      </c>
      <c r="I3245" s="1">
        <f>IF(Query1[[#This Row],[ItemType]]="EVAP KIT SF GEN IV",Query1[[#This Row],[OrderQty]]+I3244,I3244)</f>
        <v>3995</v>
      </c>
      <c r="J3245" s="1">
        <f>IF(Query1[[#This Row],[ItemType]]="EVAP KIT UNIVERSAL",Query1[[#This Row],[OrderQty]]+J3244,J3244)</f>
        <v>1447</v>
      </c>
      <c r="K3245" s="1">
        <f>Query1[[#This Row],[SF Running Total]]+Query1[[#This Row],[UNIV Running Total]]</f>
        <v>5442</v>
      </c>
      <c r="L3245">
        <f>VLOOKUP(Query1[[#This Row],[Description]],'kits to boards'!$B$2:$E$156,2,FALSE)</f>
        <v>830048</v>
      </c>
      <c r="M3245">
        <f>VLOOKUP(Query1[[#This Row],[Description]],'kits to boards'!$B$2:$E$156,3,FALSE)</f>
        <v>0</v>
      </c>
      <c r="N3245">
        <f>VLOOKUP(Query1[[#This Row],[Description]],'kits to boards'!$B$2:$E$156,4,FALSE)</f>
        <v>0</v>
      </c>
      <c r="O3245" t="str">
        <f>CONCATENATE(Query1[[#This Row],[Description]]," - ",Query1[[#This Row],[MB1]]," - ",Query1[[#This Row],[MB2]]," - ",Query1[[#This Row],[MB3]])</f>
        <v>EVAP KIT 66-67 NOVA - 830048 - 0 - 0</v>
      </c>
    </row>
    <row r="3246" spans="1:15" x14ac:dyDescent="0.25">
      <c r="A3246" s="1">
        <v>917936</v>
      </c>
      <c r="B3246" s="1" t="s">
        <v>132</v>
      </c>
      <c r="C3246" s="1" t="s">
        <v>133</v>
      </c>
      <c r="D3246" s="2">
        <v>44655.345569293982</v>
      </c>
      <c r="E3246" s="1" t="s">
        <v>8</v>
      </c>
      <c r="F3246" s="1">
        <v>1</v>
      </c>
      <c r="G3246" s="1">
        <v>0</v>
      </c>
      <c r="H3246" s="6">
        <f>INT(Query1[[#This Row],[EntryDateTime]])</f>
        <v>44655</v>
      </c>
      <c r="I3246" s="1">
        <f>IF(Query1[[#This Row],[ItemType]]="EVAP KIT SF GEN IV",Query1[[#This Row],[OrderQty]]+I3245,I3245)</f>
        <v>3996</v>
      </c>
      <c r="J3246" s="1">
        <f>IF(Query1[[#This Row],[ItemType]]="EVAP KIT UNIVERSAL",Query1[[#This Row],[OrderQty]]+J3245,J3245)</f>
        <v>1447</v>
      </c>
      <c r="K3246" s="1">
        <f>Query1[[#This Row],[SF Running Total]]+Query1[[#This Row],[UNIV Running Total]]</f>
        <v>5443</v>
      </c>
      <c r="L3246">
        <f>VLOOKUP(Query1[[#This Row],[Description]],'kits to boards'!$B$2:$E$156,2,FALSE)</f>
        <v>830005</v>
      </c>
      <c r="M3246">
        <f>VLOOKUP(Query1[[#This Row],[Description]],'kits to boards'!$B$2:$E$156,3,FALSE)</f>
        <v>0</v>
      </c>
      <c r="N3246">
        <f>VLOOKUP(Query1[[#This Row],[Description]],'kits to boards'!$B$2:$E$156,4,FALSE)</f>
        <v>0</v>
      </c>
      <c r="O3246" t="str">
        <f>CONCATENATE(Query1[[#This Row],[Description]]," - ",Query1[[#This Row],[MB1]]," - ",Query1[[#This Row],[MB2]]," - ",Query1[[#This Row],[MB3]])</f>
        <v>EVAP KIT 61-62 IMPALA WO AC - 830005 - 0 - 0</v>
      </c>
    </row>
    <row r="3247" spans="1:15" x14ac:dyDescent="0.25">
      <c r="A3247" s="1">
        <v>917936</v>
      </c>
      <c r="B3247" s="1" t="s">
        <v>126</v>
      </c>
      <c r="C3247" s="1" t="s">
        <v>127</v>
      </c>
      <c r="D3247" s="2">
        <v>44655.346006863423</v>
      </c>
      <c r="E3247" s="1" t="s">
        <v>8</v>
      </c>
      <c r="F3247" s="1">
        <v>1</v>
      </c>
      <c r="G3247" s="1">
        <v>0</v>
      </c>
      <c r="H3247" s="6">
        <f>INT(Query1[[#This Row],[EntryDateTime]])</f>
        <v>44655</v>
      </c>
      <c r="I3247" s="1">
        <f>IF(Query1[[#This Row],[ItemType]]="EVAP KIT SF GEN IV",Query1[[#This Row],[OrderQty]]+I3246,I3246)</f>
        <v>3997</v>
      </c>
      <c r="J3247" s="1">
        <f>IF(Query1[[#This Row],[ItemType]]="EVAP KIT UNIVERSAL",Query1[[#This Row],[OrderQty]]+J3246,J3246)</f>
        <v>1447</v>
      </c>
      <c r="K3247" s="1">
        <f>Query1[[#This Row],[SF Running Total]]+Query1[[#This Row],[UNIV Running Total]]</f>
        <v>5444</v>
      </c>
      <c r="L3247">
        <f>VLOOKUP(Query1[[#This Row],[Description]],'kits to boards'!$B$2:$E$156,2,FALSE)</f>
        <v>830080</v>
      </c>
      <c r="M3247">
        <f>VLOOKUP(Query1[[#This Row],[Description]],'kits to boards'!$B$2:$E$156,3,FALSE)</f>
        <v>0</v>
      </c>
      <c r="N3247">
        <f>VLOOKUP(Query1[[#This Row],[Description]],'kits to boards'!$B$2:$E$156,4,FALSE)</f>
        <v>0</v>
      </c>
      <c r="O3247" t="str">
        <f>CONCATENATE(Query1[[#This Row],[Description]]," - ",Query1[[#This Row],[MB1]]," - ",Query1[[#This Row],[MB2]]," - ",Query1[[#This Row],[MB3]])</f>
        <v>EVAP KIT 69-70 MUSTANG WO AC  - 830080 - 0 - 0</v>
      </c>
    </row>
    <row r="3248" spans="1:15" x14ac:dyDescent="0.25">
      <c r="A3248" s="1">
        <v>917936</v>
      </c>
      <c r="B3248" s="1" t="s">
        <v>106</v>
      </c>
      <c r="C3248" s="1" t="s">
        <v>107</v>
      </c>
      <c r="D3248" s="2">
        <v>44655.34670952546</v>
      </c>
      <c r="E3248" s="1" t="s">
        <v>8</v>
      </c>
      <c r="F3248" s="1">
        <v>1</v>
      </c>
      <c r="G3248" s="1">
        <v>0</v>
      </c>
      <c r="H3248" s="6">
        <f>INT(Query1[[#This Row],[EntryDateTime]])</f>
        <v>44655</v>
      </c>
      <c r="I3248" s="1">
        <f>IF(Query1[[#This Row],[ItemType]]="EVAP KIT SF GEN IV",Query1[[#This Row],[OrderQty]]+I3247,I3247)</f>
        <v>3998</v>
      </c>
      <c r="J3248" s="1">
        <f>IF(Query1[[#This Row],[ItemType]]="EVAP KIT UNIVERSAL",Query1[[#This Row],[OrderQty]]+J3247,J3247)</f>
        <v>1447</v>
      </c>
      <c r="K3248" s="1">
        <f>Query1[[#This Row],[SF Running Total]]+Query1[[#This Row],[UNIV Running Total]]</f>
        <v>5445</v>
      </c>
      <c r="L3248">
        <f>VLOOKUP(Query1[[#This Row],[Description]],'kits to boards'!$B$2:$E$156,2,FALSE)</f>
        <v>830028</v>
      </c>
      <c r="M3248">
        <f>VLOOKUP(Query1[[#This Row],[Description]],'kits to boards'!$B$2:$E$156,3,FALSE)</f>
        <v>0</v>
      </c>
      <c r="N3248">
        <f>VLOOKUP(Query1[[#This Row],[Description]],'kits to boards'!$B$2:$E$156,4,FALSE)</f>
        <v>0</v>
      </c>
      <c r="O3248" t="str">
        <f>CONCATENATE(Query1[[#This Row],[Description]]," - ",Query1[[#This Row],[MB1]]," - ",Query1[[#This Row],[MB2]]," - ",Query1[[#This Row],[MB3]])</f>
        <v>EVAP KIT 55-59 CHEV P-UP WO AC W/DELX - 830028 - 0 - 0</v>
      </c>
    </row>
    <row r="3249" spans="1:15" x14ac:dyDescent="0.25">
      <c r="A3249" s="1">
        <v>917959</v>
      </c>
      <c r="B3249" s="1" t="s">
        <v>222</v>
      </c>
      <c r="C3249" s="1" t="s">
        <v>223</v>
      </c>
      <c r="D3249" s="2">
        <v>44655.359451157405</v>
      </c>
      <c r="E3249" s="1" t="s">
        <v>8</v>
      </c>
      <c r="F3249" s="1">
        <v>1</v>
      </c>
      <c r="G3249" s="1">
        <v>0</v>
      </c>
      <c r="H3249" s="6">
        <f>INT(Query1[[#This Row],[EntryDateTime]])</f>
        <v>44655</v>
      </c>
      <c r="I3249" s="1">
        <f>IF(Query1[[#This Row],[ItemType]]="EVAP KIT SF GEN IV",Query1[[#This Row],[OrderQty]]+I3248,I3248)</f>
        <v>3999</v>
      </c>
      <c r="J3249" s="1">
        <f>IF(Query1[[#This Row],[ItemType]]="EVAP KIT UNIVERSAL",Query1[[#This Row],[OrderQty]]+J3248,J3248)</f>
        <v>1447</v>
      </c>
      <c r="K3249" s="1">
        <f>Query1[[#This Row],[SF Running Total]]+Query1[[#This Row],[UNIV Running Total]]</f>
        <v>5446</v>
      </c>
      <c r="L3249">
        <f>VLOOKUP(Query1[[#This Row],[Description]],'kits to boards'!$B$2:$E$156,2,FALSE)</f>
        <v>830093</v>
      </c>
      <c r="M3249">
        <f>VLOOKUP(Query1[[#This Row],[Description]],'kits to boards'!$B$2:$E$156,3,FALSE)</f>
        <v>0</v>
      </c>
      <c r="N3249">
        <f>VLOOKUP(Query1[[#This Row],[Description]],'kits to boards'!$B$2:$E$156,4,FALSE)</f>
        <v>0</v>
      </c>
      <c r="O3249" t="str">
        <f>CONCATENATE(Query1[[#This Row],[Description]]," - ",Query1[[#This Row],[MB1]]," - ",Query1[[#This Row],[MB2]]," - ",Query1[[#This Row],[MB3]])</f>
        <v>EVAP KIT 67 VETTE WO AC - 830093 - 0 - 0</v>
      </c>
    </row>
    <row r="3250" spans="1:15" x14ac:dyDescent="0.25">
      <c r="A3250" s="1">
        <v>917963</v>
      </c>
      <c r="B3250" s="1" t="s">
        <v>40</v>
      </c>
      <c r="C3250" s="1" t="s">
        <v>41</v>
      </c>
      <c r="D3250" s="2">
        <v>44655.364290196761</v>
      </c>
      <c r="E3250" s="1" t="s">
        <v>8</v>
      </c>
      <c r="F3250" s="1">
        <v>1</v>
      </c>
      <c r="G3250" s="1">
        <v>0</v>
      </c>
      <c r="H3250" s="6">
        <f>INT(Query1[[#This Row],[EntryDateTime]])</f>
        <v>44655</v>
      </c>
      <c r="I3250" s="1">
        <f>IF(Query1[[#This Row],[ItemType]]="EVAP KIT SF GEN IV",Query1[[#This Row],[OrderQty]]+I3249,I3249)</f>
        <v>4000</v>
      </c>
      <c r="J3250" s="1">
        <f>IF(Query1[[#This Row],[ItemType]]="EVAP KIT UNIVERSAL",Query1[[#This Row],[OrderQty]]+J3249,J3249)</f>
        <v>1447</v>
      </c>
      <c r="K3250" s="1">
        <f>Query1[[#This Row],[SF Running Total]]+Query1[[#This Row],[UNIV Running Total]]</f>
        <v>5447</v>
      </c>
      <c r="L3250">
        <f>VLOOKUP(Query1[[#This Row],[Description]],'kits to boards'!$B$2:$E$156,2,FALSE)</f>
        <v>830024</v>
      </c>
      <c r="M3250">
        <f>VLOOKUP(Query1[[#This Row],[Description]],'kits to boards'!$B$2:$E$156,3,FALSE)</f>
        <v>0</v>
      </c>
      <c r="N3250">
        <f>VLOOKUP(Query1[[#This Row],[Description]],'kits to boards'!$B$2:$E$156,4,FALSE)</f>
        <v>0</v>
      </c>
      <c r="O3250" t="str">
        <f>CONCATENATE(Query1[[#This Row],[Description]]," - ",Query1[[#This Row],[MB1]]," - ",Query1[[#This Row],[MB2]]," - ",Query1[[#This Row],[MB3]])</f>
        <v>EVAP KIT 79-81 CAMARO W/AC - 830024 - 0 - 0</v>
      </c>
    </row>
    <row r="3251" spans="1:15" x14ac:dyDescent="0.25">
      <c r="A3251" s="1">
        <v>917966</v>
      </c>
      <c r="B3251" s="1" t="s">
        <v>48</v>
      </c>
      <c r="C3251" s="1" t="s">
        <v>49</v>
      </c>
      <c r="D3251" s="2">
        <v>44655.366267361111</v>
      </c>
      <c r="E3251" s="1" t="s">
        <v>8</v>
      </c>
      <c r="F3251" s="1">
        <v>1</v>
      </c>
      <c r="G3251" s="1">
        <v>0</v>
      </c>
      <c r="H3251" s="6">
        <f>INT(Query1[[#This Row],[EntryDateTime]])</f>
        <v>44655</v>
      </c>
      <c r="I3251" s="1">
        <f>IF(Query1[[#This Row],[ItemType]]="EVAP KIT SF GEN IV",Query1[[#This Row],[OrderQty]]+I3250,I3250)</f>
        <v>4001</v>
      </c>
      <c r="J3251" s="1">
        <f>IF(Query1[[#This Row],[ItemType]]="EVAP KIT UNIVERSAL",Query1[[#This Row],[OrderQty]]+J3250,J3250)</f>
        <v>1447</v>
      </c>
      <c r="K3251" s="1">
        <f>Query1[[#This Row],[SF Running Total]]+Query1[[#This Row],[UNIV Running Total]]</f>
        <v>5448</v>
      </c>
      <c r="L3251">
        <f>VLOOKUP(Query1[[#This Row],[Description]],'kits to boards'!$B$2:$E$156,2,FALSE)</f>
        <v>830015</v>
      </c>
      <c r="M3251">
        <f>VLOOKUP(Query1[[#This Row],[Description]],'kits to boards'!$B$2:$E$156,3,FALSE)</f>
        <v>0</v>
      </c>
      <c r="N3251">
        <f>VLOOKUP(Query1[[#This Row],[Description]],'kits to boards'!$B$2:$E$156,4,FALSE)</f>
        <v>0</v>
      </c>
      <c r="O3251" t="str">
        <f>CONCATENATE(Query1[[#This Row],[Description]]," - ",Query1[[#This Row],[MB1]]," - ",Query1[[#This Row],[MB2]]," - ",Query1[[#This Row],[MB3]])</f>
        <v>EVAP KIT 64-66 CHEV P-UP WO AC W/DELX - 830015 - 0 - 0</v>
      </c>
    </row>
    <row r="3252" spans="1:15" x14ac:dyDescent="0.25">
      <c r="A3252" s="1">
        <v>917974</v>
      </c>
      <c r="B3252" s="1" t="s">
        <v>26</v>
      </c>
      <c r="C3252" s="1" t="s">
        <v>27</v>
      </c>
      <c r="D3252" s="2">
        <v>44655.374012465276</v>
      </c>
      <c r="E3252" s="1" t="s">
        <v>8</v>
      </c>
      <c r="F3252" s="1">
        <v>1</v>
      </c>
      <c r="G3252" s="1">
        <v>0</v>
      </c>
      <c r="H3252" s="6">
        <f>INT(Query1[[#This Row],[EntryDateTime]])</f>
        <v>44655</v>
      </c>
      <c r="I3252" s="1">
        <f>IF(Query1[[#This Row],[ItemType]]="EVAP KIT SF GEN IV",Query1[[#This Row],[OrderQty]]+I3251,I3251)</f>
        <v>4002</v>
      </c>
      <c r="J3252" s="1">
        <f>IF(Query1[[#This Row],[ItemType]]="EVAP KIT UNIVERSAL",Query1[[#This Row],[OrderQty]]+J3251,J3251)</f>
        <v>1447</v>
      </c>
      <c r="K3252" s="1">
        <f>Query1[[#This Row],[SF Running Total]]+Query1[[#This Row],[UNIV Running Total]]</f>
        <v>5449</v>
      </c>
      <c r="L3252">
        <f>VLOOKUP(Query1[[#This Row],[Description]],'kits to boards'!$B$2:$E$156,2,FALSE)</f>
        <v>830013</v>
      </c>
      <c r="M3252">
        <f>VLOOKUP(Query1[[#This Row],[Description]],'kits to boards'!$B$2:$E$156,3,FALSE)</f>
        <v>0</v>
      </c>
      <c r="N3252">
        <f>VLOOKUP(Query1[[#This Row],[Description]],'kits to boards'!$B$2:$E$156,4,FALSE)</f>
        <v>0</v>
      </c>
      <c r="O3252" t="str">
        <f>CONCATENATE(Query1[[#This Row],[Description]]," - ",Query1[[#This Row],[MB1]]," - ",Query1[[#This Row],[MB2]]," - ",Query1[[#This Row],[MB3]])</f>
        <v>EVAP KIT 67-72 CHEV P-UP W/AC - 830013 - 0 - 0</v>
      </c>
    </row>
    <row r="3253" spans="1:15" x14ac:dyDescent="0.25">
      <c r="A3253" s="1">
        <v>917799</v>
      </c>
      <c r="B3253" s="1" t="s">
        <v>88</v>
      </c>
      <c r="C3253" s="1" t="s">
        <v>89</v>
      </c>
      <c r="D3253" s="2">
        <v>44655.393427546296</v>
      </c>
      <c r="E3253" s="1" t="s">
        <v>8</v>
      </c>
      <c r="F3253" s="1">
        <v>1</v>
      </c>
      <c r="G3253" s="1">
        <v>0</v>
      </c>
      <c r="H3253" s="6">
        <f>INT(Query1[[#This Row],[EntryDateTime]])</f>
        <v>44655</v>
      </c>
      <c r="I3253" s="1">
        <f>IF(Query1[[#This Row],[ItemType]]="EVAP KIT SF GEN IV",Query1[[#This Row],[OrderQty]]+I3252,I3252)</f>
        <v>4003</v>
      </c>
      <c r="J3253" s="1">
        <f>IF(Query1[[#This Row],[ItemType]]="EVAP KIT UNIVERSAL",Query1[[#This Row],[OrderQty]]+J3252,J3252)</f>
        <v>1447</v>
      </c>
      <c r="K3253" s="1">
        <f>Query1[[#This Row],[SF Running Total]]+Query1[[#This Row],[UNIV Running Total]]</f>
        <v>5450</v>
      </c>
      <c r="L3253">
        <f>VLOOKUP(Query1[[#This Row],[Description]],'kits to boards'!$B$2:$E$156,2,FALSE)</f>
        <v>830003</v>
      </c>
      <c r="M3253">
        <f>VLOOKUP(Query1[[#This Row],[Description]],'kits to boards'!$B$2:$E$156,3,FALSE)</f>
        <v>0</v>
      </c>
      <c r="N3253">
        <f>VLOOKUP(Query1[[#This Row],[Description]],'kits to boards'!$B$2:$E$156,4,FALSE)</f>
        <v>0</v>
      </c>
      <c r="O3253" t="str">
        <f>CONCATENATE(Query1[[#This Row],[Description]]," - ",Query1[[#This Row],[MB1]]," - ",Query1[[#This Row],[MB2]]," - ",Query1[[#This Row],[MB3]])</f>
        <v>EVAP KIT 81-87 CHEV P-UP WO AC - 830003 - 0 - 0</v>
      </c>
    </row>
    <row r="3254" spans="1:15" x14ac:dyDescent="0.25">
      <c r="A3254" s="1">
        <v>917812</v>
      </c>
      <c r="B3254" s="1" t="s">
        <v>34</v>
      </c>
      <c r="C3254" s="1" t="s">
        <v>35</v>
      </c>
      <c r="D3254" s="2">
        <v>44655.407903587962</v>
      </c>
      <c r="E3254" s="1" t="s">
        <v>8</v>
      </c>
      <c r="F3254" s="1">
        <v>1</v>
      </c>
      <c r="G3254" s="1">
        <v>0</v>
      </c>
      <c r="H3254" s="6">
        <f>INT(Query1[[#This Row],[EntryDateTime]])</f>
        <v>44655</v>
      </c>
      <c r="I3254" s="1">
        <f>IF(Query1[[#This Row],[ItemType]]="EVAP KIT SF GEN IV",Query1[[#This Row],[OrderQty]]+I3253,I3253)</f>
        <v>4004</v>
      </c>
      <c r="J3254" s="1">
        <f>IF(Query1[[#This Row],[ItemType]]="EVAP KIT UNIVERSAL",Query1[[#This Row],[OrderQty]]+J3253,J3253)</f>
        <v>1447</v>
      </c>
      <c r="K3254" s="1">
        <f>Query1[[#This Row],[SF Running Total]]+Query1[[#This Row],[UNIV Running Total]]</f>
        <v>5451</v>
      </c>
      <c r="L3254">
        <f>VLOOKUP(Query1[[#This Row],[Description]],'kits to boards'!$B$2:$E$156,2,FALSE)</f>
        <v>830065</v>
      </c>
      <c r="M3254">
        <f>VLOOKUP(Query1[[#This Row],[Description]],'kits to boards'!$B$2:$E$156,3,FALSE)</f>
        <v>0</v>
      </c>
      <c r="N3254">
        <f>VLOOKUP(Query1[[#This Row],[Description]],'kits to boards'!$B$2:$E$156,4,FALSE)</f>
        <v>0</v>
      </c>
      <c r="O3254" t="str">
        <f>CONCATENATE(Query1[[#This Row],[Description]]," - ",Query1[[#This Row],[MB1]]," - ",Query1[[#This Row],[MB2]]," - ",Query1[[#This Row],[MB3]])</f>
        <v>EVAP KIT 57 CHEV WO AC - 830065 - 0 - 0</v>
      </c>
    </row>
    <row r="3255" spans="1:15" x14ac:dyDescent="0.25">
      <c r="A3255" s="1">
        <v>918002</v>
      </c>
      <c r="B3255" s="1" t="s">
        <v>52</v>
      </c>
      <c r="C3255" s="1" t="s">
        <v>53</v>
      </c>
      <c r="D3255" s="2">
        <v>44655.4148565625</v>
      </c>
      <c r="E3255" s="1" t="s">
        <v>8</v>
      </c>
      <c r="F3255" s="1">
        <v>1</v>
      </c>
      <c r="G3255" s="1">
        <v>0</v>
      </c>
      <c r="H3255" s="6">
        <f>INT(Query1[[#This Row],[EntryDateTime]])</f>
        <v>44655</v>
      </c>
      <c r="I3255" s="1">
        <f>IF(Query1[[#This Row],[ItemType]]="EVAP KIT SF GEN IV",Query1[[#This Row],[OrderQty]]+I3254,I3254)</f>
        <v>4005</v>
      </c>
      <c r="J3255" s="1">
        <f>IF(Query1[[#This Row],[ItemType]]="EVAP KIT UNIVERSAL",Query1[[#This Row],[OrderQty]]+J3254,J3254)</f>
        <v>1447</v>
      </c>
      <c r="K3255" s="1">
        <f>Query1[[#This Row],[SF Running Total]]+Query1[[#This Row],[UNIV Running Total]]</f>
        <v>5452</v>
      </c>
      <c r="L3255">
        <f>VLOOKUP(Query1[[#This Row],[Description]],'kits to boards'!$B$2:$E$156,2,FALSE)</f>
        <v>830017</v>
      </c>
      <c r="M3255">
        <f>VLOOKUP(Query1[[#This Row],[Description]],'kits to boards'!$B$2:$E$156,3,FALSE)</f>
        <v>830119</v>
      </c>
      <c r="N3255">
        <f>VLOOKUP(Query1[[#This Row],[Description]],'kits to boards'!$B$2:$E$156,4,FALSE)</f>
        <v>830120</v>
      </c>
      <c r="O3255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256" spans="1:15" x14ac:dyDescent="0.25">
      <c r="A3256" s="1">
        <v>917914</v>
      </c>
      <c r="B3256" s="1" t="s">
        <v>200</v>
      </c>
      <c r="C3256" s="1" t="s">
        <v>201</v>
      </c>
      <c r="D3256" s="2">
        <v>44655.416814201388</v>
      </c>
      <c r="E3256" s="1" t="s">
        <v>11</v>
      </c>
      <c r="F3256" s="1">
        <v>1</v>
      </c>
      <c r="G3256" s="1">
        <v>0</v>
      </c>
      <c r="H3256" s="6">
        <f>INT(Query1[[#This Row],[EntryDateTime]])</f>
        <v>44655</v>
      </c>
      <c r="I3256" s="1">
        <f>IF(Query1[[#This Row],[ItemType]]="EVAP KIT SF GEN IV",Query1[[#This Row],[OrderQty]]+I3255,I3255)</f>
        <v>4005</v>
      </c>
      <c r="J3256" s="1">
        <f>IF(Query1[[#This Row],[ItemType]]="EVAP KIT UNIVERSAL",Query1[[#This Row],[OrderQty]]+J3255,J3255)</f>
        <v>1448</v>
      </c>
      <c r="K3256" s="1">
        <f>Query1[[#This Row],[SF Running Total]]+Query1[[#This Row],[UNIV Running Total]]</f>
        <v>5453</v>
      </c>
      <c r="L3256">
        <f>VLOOKUP(Query1[[#This Row],[Description]],'kits to boards'!$B$2:$E$156,2,FALSE)</f>
        <v>830070</v>
      </c>
      <c r="M3256">
        <f>VLOOKUP(Query1[[#This Row],[Description]],'kits to boards'!$B$2:$E$156,3,FALSE)</f>
        <v>0</v>
      </c>
      <c r="N3256">
        <f>VLOOKUP(Query1[[#This Row],[Description]],'kits to boards'!$B$2:$E$156,4,FALSE)</f>
        <v>0</v>
      </c>
      <c r="O3256" t="str">
        <f>CONCATENATE(Query1[[#This Row],[Description]]," - ",Query1[[#This Row],[MB1]]," - ",Query1[[#This Row],[MB2]]," - ",Query1[[#This Row],[MB3]])</f>
        <v>SHORT PACK H/C W/STD CNTL - 830070 - 0 - 0</v>
      </c>
    </row>
    <row r="3257" spans="1:15" x14ac:dyDescent="0.25">
      <c r="A3257" s="1">
        <v>917914</v>
      </c>
      <c r="B3257" s="1" t="s">
        <v>202</v>
      </c>
      <c r="C3257" s="1" t="s">
        <v>203</v>
      </c>
      <c r="D3257" s="2">
        <v>44655.416814201388</v>
      </c>
      <c r="E3257" s="1" t="s">
        <v>11</v>
      </c>
      <c r="F3257" s="1">
        <v>2</v>
      </c>
      <c r="G3257" s="1">
        <v>0</v>
      </c>
      <c r="H3257" s="6">
        <f>INT(Query1[[#This Row],[EntryDateTime]])</f>
        <v>44655</v>
      </c>
      <c r="I3257" s="1">
        <f>IF(Query1[[#This Row],[ItemType]]="EVAP KIT SF GEN IV",Query1[[#This Row],[OrderQty]]+I3256,I3256)</f>
        <v>4005</v>
      </c>
      <c r="J3257" s="1">
        <f>IF(Query1[[#This Row],[ItemType]]="EVAP KIT UNIVERSAL",Query1[[#This Row],[OrderQty]]+J3256,J3256)</f>
        <v>1450</v>
      </c>
      <c r="K3257" s="1">
        <f>Query1[[#This Row],[SF Running Total]]+Query1[[#This Row],[UNIV Running Total]]</f>
        <v>5455</v>
      </c>
      <c r="L3257">
        <f>VLOOKUP(Query1[[#This Row],[Description]],'kits to boards'!$B$2:$E$156,2,FALSE)</f>
        <v>830090</v>
      </c>
      <c r="M3257">
        <f>VLOOKUP(Query1[[#This Row],[Description]],'kits to boards'!$B$2:$E$156,3,FALSE)</f>
        <v>0</v>
      </c>
      <c r="N3257">
        <f>VLOOKUP(Query1[[#This Row],[Description]],'kits to boards'!$B$2:$E$156,4,FALSE)</f>
        <v>0</v>
      </c>
      <c r="O3257" t="str">
        <f>CONCATENATE(Query1[[#This Row],[Description]]," - ",Query1[[#This Row],[MB1]]," - ",Query1[[#This Row],[MB2]]," - ",Query1[[#This Row],[MB3]])</f>
        <v>TRUNK UNIT COOL ONLY 134a - 830090 - 0 - 0</v>
      </c>
    </row>
    <row r="3258" spans="1:15" x14ac:dyDescent="0.25">
      <c r="A3258" s="1">
        <v>917914</v>
      </c>
      <c r="B3258" s="1" t="s">
        <v>76</v>
      </c>
      <c r="C3258" s="1" t="s">
        <v>77</v>
      </c>
      <c r="D3258" s="2">
        <v>44655.416814201388</v>
      </c>
      <c r="E3258" s="1" t="s">
        <v>11</v>
      </c>
      <c r="F3258" s="1">
        <v>1</v>
      </c>
      <c r="G3258" s="1">
        <v>0</v>
      </c>
      <c r="H3258" s="6">
        <f>INT(Query1[[#This Row],[EntryDateTime]])</f>
        <v>44655</v>
      </c>
      <c r="I3258" s="1">
        <f>IF(Query1[[#This Row],[ItemType]]="EVAP KIT SF GEN IV",Query1[[#This Row],[OrderQty]]+I3257,I3257)</f>
        <v>4005</v>
      </c>
      <c r="J3258" s="1">
        <f>IF(Query1[[#This Row],[ItemType]]="EVAP KIT UNIVERSAL",Query1[[#This Row],[OrderQty]]+J3257,J3257)</f>
        <v>1451</v>
      </c>
      <c r="K3258" s="1">
        <f>Query1[[#This Row],[SF Running Total]]+Query1[[#This Row],[UNIV Running Total]]</f>
        <v>5456</v>
      </c>
      <c r="L3258">
        <f>VLOOKUP(Query1[[#This Row],[Description]],'kits to boards'!$B$2:$E$156,2,FALSE)</f>
        <v>830099</v>
      </c>
      <c r="M3258">
        <f>VLOOKUP(Query1[[#This Row],[Description]],'kits to boards'!$B$2:$E$156,3,FALSE)</f>
        <v>0</v>
      </c>
      <c r="N3258">
        <f>VLOOKUP(Query1[[#This Row],[Description]],'kits to boards'!$B$2:$E$156,4,FALSE)</f>
        <v>0</v>
      </c>
      <c r="O3258" t="str">
        <f>CONCATENATE(Query1[[#This Row],[Description]]," - ",Query1[[#This Row],[MB1]]," - ",Query1[[#This Row],[MB2]]," - ",Query1[[#This Row],[MB3]])</f>
        <v>MINI GEN II H/C - 830099 - 0 - 0</v>
      </c>
    </row>
    <row r="3259" spans="1:15" x14ac:dyDescent="0.25">
      <c r="A3259" s="1">
        <v>917914</v>
      </c>
      <c r="B3259" s="1" t="s">
        <v>98</v>
      </c>
      <c r="C3259" s="1" t="s">
        <v>99</v>
      </c>
      <c r="D3259" s="2">
        <v>44655.416814201388</v>
      </c>
      <c r="E3259" s="1" t="s">
        <v>11</v>
      </c>
      <c r="F3259" s="1">
        <v>2</v>
      </c>
      <c r="G3259" s="1">
        <v>0</v>
      </c>
      <c r="H3259" s="6">
        <f>INT(Query1[[#This Row],[EntryDateTime]])</f>
        <v>44655</v>
      </c>
      <c r="I3259" s="1">
        <f>IF(Query1[[#This Row],[ItemType]]="EVAP KIT SF GEN IV",Query1[[#This Row],[OrderQty]]+I3258,I3258)</f>
        <v>4005</v>
      </c>
      <c r="J3259" s="1">
        <f>IF(Query1[[#This Row],[ItemType]]="EVAP KIT UNIVERSAL",Query1[[#This Row],[OrderQty]]+J3258,J3258)</f>
        <v>1453</v>
      </c>
      <c r="K3259" s="1">
        <f>Query1[[#This Row],[SF Running Total]]+Query1[[#This Row],[UNIV Running Total]]</f>
        <v>5458</v>
      </c>
      <c r="L3259">
        <f>VLOOKUP(Query1[[#This Row],[Description]],'kits to boards'!$B$2:$E$156,2,FALSE)</f>
        <v>830099</v>
      </c>
      <c r="M3259">
        <f>VLOOKUP(Query1[[#This Row],[Description]],'kits to boards'!$B$2:$E$156,3,FALSE)</f>
        <v>0</v>
      </c>
      <c r="N3259">
        <f>VLOOKUP(Query1[[#This Row],[Description]],'kits to boards'!$B$2:$E$156,4,FALSE)</f>
        <v>0</v>
      </c>
      <c r="O3259" t="str">
        <f>CONCATENATE(Query1[[#This Row],[Description]]," - ",Query1[[#This Row],[MB1]]," - ",Query1[[#This Row],[MB2]]," - ",Query1[[#This Row],[MB3]])</f>
        <v>MINI GEN II W/DEF - 830099 - 0 - 0</v>
      </c>
    </row>
    <row r="3260" spans="1:15" x14ac:dyDescent="0.25">
      <c r="A3260" s="1">
        <v>917914</v>
      </c>
      <c r="B3260" s="1" t="s">
        <v>24</v>
      </c>
      <c r="C3260" s="1" t="s">
        <v>25</v>
      </c>
      <c r="D3260" s="2">
        <v>44655.416814201388</v>
      </c>
      <c r="E3260" s="1" t="s">
        <v>11</v>
      </c>
      <c r="F3260" s="1">
        <v>8</v>
      </c>
      <c r="G3260" s="1">
        <v>0</v>
      </c>
      <c r="H3260" s="6">
        <f>INT(Query1[[#This Row],[EntryDateTime]])</f>
        <v>44655</v>
      </c>
      <c r="I3260" s="1">
        <f>IF(Query1[[#This Row],[ItemType]]="EVAP KIT SF GEN IV",Query1[[#This Row],[OrderQty]]+I3259,I3259)</f>
        <v>4005</v>
      </c>
      <c r="J3260" s="1">
        <f>IF(Query1[[#This Row],[ItemType]]="EVAP KIT UNIVERSAL",Query1[[#This Row],[OrderQty]]+J3259,J3259)</f>
        <v>1461</v>
      </c>
      <c r="K3260" s="1">
        <f>Query1[[#This Row],[SF Running Total]]+Query1[[#This Row],[UNIV Running Total]]</f>
        <v>5466</v>
      </c>
      <c r="L3260">
        <f>VLOOKUP(Query1[[#This Row],[Description]],'kits to boards'!$B$2:$E$156,2,FALSE)</f>
        <v>830029</v>
      </c>
      <c r="M3260">
        <f>VLOOKUP(Query1[[#This Row],[Description]],'kits to boards'!$B$2:$E$156,3,FALSE)</f>
        <v>830030</v>
      </c>
      <c r="N3260">
        <f>VLOOKUP(Query1[[#This Row],[Description]],'kits to boards'!$B$2:$E$156,4,FALSE)</f>
        <v>0</v>
      </c>
      <c r="O3260" t="str">
        <f>CONCATENATE(Query1[[#This Row],[Description]]," - ",Query1[[#This Row],[MB1]]," - ",Query1[[#This Row],[MB2]]," - ",Query1[[#This Row],[MB3]])</f>
        <v>ComPac GEN II W/DEF - 830029 - 830030 - 0</v>
      </c>
    </row>
    <row r="3261" spans="1:15" x14ac:dyDescent="0.25">
      <c r="A3261" s="1">
        <v>917914</v>
      </c>
      <c r="B3261" s="1" t="s">
        <v>196</v>
      </c>
      <c r="C3261" s="1" t="s">
        <v>197</v>
      </c>
      <c r="D3261" s="2">
        <v>44655.416814201388</v>
      </c>
      <c r="E3261" s="1" t="s">
        <v>11</v>
      </c>
      <c r="F3261" s="1">
        <v>1</v>
      </c>
      <c r="G3261" s="1">
        <v>0</v>
      </c>
      <c r="H3261" s="6">
        <f>INT(Query1[[#This Row],[EntryDateTime]])</f>
        <v>44655</v>
      </c>
      <c r="I3261" s="1">
        <f>IF(Query1[[#This Row],[ItemType]]="EVAP KIT SF GEN IV",Query1[[#This Row],[OrderQty]]+I3260,I3260)</f>
        <v>4005</v>
      </c>
      <c r="J3261" s="1">
        <f>IF(Query1[[#This Row],[ItemType]]="EVAP KIT UNIVERSAL",Query1[[#This Row],[OrderQty]]+J3260,J3260)</f>
        <v>1462</v>
      </c>
      <c r="K3261" s="1">
        <f>Query1[[#This Row],[SF Running Total]]+Query1[[#This Row],[UNIV Running Total]]</f>
        <v>5467</v>
      </c>
      <c r="L3261">
        <f>VLOOKUP(Query1[[#This Row],[Description]],'kits to boards'!$B$2:$E$156,2,FALSE)</f>
        <v>830090</v>
      </c>
      <c r="M3261">
        <f>VLOOKUP(Query1[[#This Row],[Description]],'kits to boards'!$B$2:$E$156,3,FALSE)</f>
        <v>0</v>
      </c>
      <c r="N3261">
        <f>VLOOKUP(Query1[[#This Row],[Description]],'kits to boards'!$B$2:$E$156,4,FALSE)</f>
        <v>0</v>
      </c>
      <c r="O3261" t="str">
        <f>CONCATENATE(Query1[[#This Row],[Description]]," - ",Query1[[#This Row],[MB1]]," - ",Query1[[#This Row],[MB2]]," - ",Query1[[#This Row],[MB3]])</f>
        <v>TRUNK UNIT HEAT/COOL 134A - 830090 - 0 - 0</v>
      </c>
    </row>
    <row r="3262" spans="1:15" x14ac:dyDescent="0.25">
      <c r="A3262" s="1">
        <v>918005</v>
      </c>
      <c r="B3262" s="1" t="s">
        <v>222</v>
      </c>
      <c r="C3262" s="1" t="s">
        <v>223</v>
      </c>
      <c r="D3262" s="2">
        <v>44655.419954016201</v>
      </c>
      <c r="E3262" s="1" t="s">
        <v>8</v>
      </c>
      <c r="F3262" s="1">
        <v>1</v>
      </c>
      <c r="G3262" s="1">
        <v>0</v>
      </c>
      <c r="H3262" s="6">
        <f>INT(Query1[[#This Row],[EntryDateTime]])</f>
        <v>44655</v>
      </c>
      <c r="I3262" s="1">
        <f>IF(Query1[[#This Row],[ItemType]]="EVAP KIT SF GEN IV",Query1[[#This Row],[OrderQty]]+I3261,I3261)</f>
        <v>4006</v>
      </c>
      <c r="J3262" s="1">
        <f>IF(Query1[[#This Row],[ItemType]]="EVAP KIT UNIVERSAL",Query1[[#This Row],[OrderQty]]+J3261,J3261)</f>
        <v>1462</v>
      </c>
      <c r="K3262" s="1">
        <f>Query1[[#This Row],[SF Running Total]]+Query1[[#This Row],[UNIV Running Total]]</f>
        <v>5468</v>
      </c>
      <c r="L3262">
        <f>VLOOKUP(Query1[[#This Row],[Description]],'kits to boards'!$B$2:$E$156,2,FALSE)</f>
        <v>830093</v>
      </c>
      <c r="M3262">
        <f>VLOOKUP(Query1[[#This Row],[Description]],'kits to boards'!$B$2:$E$156,3,FALSE)</f>
        <v>0</v>
      </c>
      <c r="N3262">
        <f>VLOOKUP(Query1[[#This Row],[Description]],'kits to boards'!$B$2:$E$156,4,FALSE)</f>
        <v>0</v>
      </c>
      <c r="O3262" t="str">
        <f>CONCATENATE(Query1[[#This Row],[Description]]," - ",Query1[[#This Row],[MB1]]," - ",Query1[[#This Row],[MB2]]," - ",Query1[[#This Row],[MB3]])</f>
        <v>EVAP KIT 67 VETTE WO AC - 830093 - 0 - 0</v>
      </c>
    </row>
    <row r="3263" spans="1:15" x14ac:dyDescent="0.25">
      <c r="A3263" s="1">
        <v>917911</v>
      </c>
      <c r="B3263" s="1" t="s">
        <v>102</v>
      </c>
      <c r="C3263" s="1" t="s">
        <v>103</v>
      </c>
      <c r="D3263" s="2">
        <v>44655.420975081019</v>
      </c>
      <c r="E3263" s="1" t="s">
        <v>8</v>
      </c>
      <c r="F3263" s="1">
        <v>4</v>
      </c>
      <c r="G3263" s="1">
        <v>0</v>
      </c>
      <c r="H3263" s="6">
        <f>INT(Query1[[#This Row],[EntryDateTime]])</f>
        <v>44655</v>
      </c>
      <c r="I3263" s="1">
        <f>IF(Query1[[#This Row],[ItemType]]="EVAP KIT SF GEN IV",Query1[[#This Row],[OrderQty]]+I3262,I3262)</f>
        <v>4010</v>
      </c>
      <c r="J3263" s="1">
        <f>IF(Query1[[#This Row],[ItemType]]="EVAP KIT UNIVERSAL",Query1[[#This Row],[OrderQty]]+J3262,J3262)</f>
        <v>1462</v>
      </c>
      <c r="K3263" s="1">
        <f>Query1[[#This Row],[SF Running Total]]+Query1[[#This Row],[UNIV Running Total]]</f>
        <v>5472</v>
      </c>
      <c r="L3263">
        <f>VLOOKUP(Query1[[#This Row],[Description]],'kits to boards'!$B$2:$E$156,2,FALSE)</f>
        <v>830012</v>
      </c>
      <c r="M3263">
        <f>VLOOKUP(Query1[[#This Row],[Description]],'kits to boards'!$B$2:$E$156,3,FALSE)</f>
        <v>0</v>
      </c>
      <c r="N3263">
        <f>VLOOKUP(Query1[[#This Row],[Description]],'kits to boards'!$B$2:$E$156,4,FALSE)</f>
        <v>0</v>
      </c>
      <c r="O3263" t="str">
        <f>CONCATENATE(Query1[[#This Row],[Description]]," - ",Query1[[#This Row],[MB1]]," - ",Query1[[#This Row],[MB2]]," - ",Query1[[#This Row],[MB3]])</f>
        <v>EVAP KIT 69 CAMARO WO/AC - 830012 - 0 - 0</v>
      </c>
    </row>
    <row r="3264" spans="1:15" x14ac:dyDescent="0.25">
      <c r="A3264" s="1">
        <v>917911</v>
      </c>
      <c r="B3264" s="1" t="s">
        <v>56</v>
      </c>
      <c r="C3264" s="1" t="s">
        <v>57</v>
      </c>
      <c r="D3264" s="2">
        <v>44655.420975081019</v>
      </c>
      <c r="E3264" s="1" t="s">
        <v>8</v>
      </c>
      <c r="F3264" s="1">
        <v>1</v>
      </c>
      <c r="G3264" s="1">
        <v>0</v>
      </c>
      <c r="H3264" s="6">
        <f>INT(Query1[[#This Row],[EntryDateTime]])</f>
        <v>44655</v>
      </c>
      <c r="I3264" s="1">
        <f>IF(Query1[[#This Row],[ItemType]]="EVAP KIT SF GEN IV",Query1[[#This Row],[OrderQty]]+I3263,I3263)</f>
        <v>4011</v>
      </c>
      <c r="J3264" s="1">
        <f>IF(Query1[[#This Row],[ItemType]]="EVAP KIT UNIVERSAL",Query1[[#This Row],[OrderQty]]+J3263,J3263)</f>
        <v>1462</v>
      </c>
      <c r="K3264" s="1">
        <f>Query1[[#This Row],[SF Running Total]]+Query1[[#This Row],[UNIV Running Total]]</f>
        <v>5473</v>
      </c>
      <c r="L3264">
        <f>VLOOKUP(Query1[[#This Row],[Description]],'kits to boards'!$B$2:$E$156,2,FALSE)</f>
        <v>830011</v>
      </c>
      <c r="M3264">
        <f>VLOOKUP(Query1[[#This Row],[Description]],'kits to boards'!$B$2:$E$156,3,FALSE)</f>
        <v>0</v>
      </c>
      <c r="N3264">
        <f>VLOOKUP(Query1[[#This Row],[Description]],'kits to boards'!$B$2:$E$156,4,FALSE)</f>
        <v>0</v>
      </c>
      <c r="O3264" t="str">
        <f>CONCATENATE(Query1[[#This Row],[Description]]," - ",Query1[[#This Row],[MB1]]," - ",Query1[[#This Row],[MB2]]," - ",Query1[[#This Row],[MB3]])</f>
        <v>EVAP KIT 70-72 CHEVELLE W/AC - 830011 - 0 - 0</v>
      </c>
    </row>
    <row r="3265" spans="1:15" x14ac:dyDescent="0.25">
      <c r="A3265" s="1">
        <v>917911</v>
      </c>
      <c r="B3265" s="1" t="s">
        <v>166</v>
      </c>
      <c r="C3265" s="1" t="s">
        <v>167</v>
      </c>
      <c r="D3265" s="2">
        <v>44655.420975081019</v>
      </c>
      <c r="E3265" s="1" t="s">
        <v>8</v>
      </c>
      <c r="F3265" s="1">
        <v>1</v>
      </c>
      <c r="G3265" s="1">
        <v>0</v>
      </c>
      <c r="H3265" s="6">
        <f>INT(Query1[[#This Row],[EntryDateTime]])</f>
        <v>44655</v>
      </c>
      <c r="I3265" s="1">
        <f>IF(Query1[[#This Row],[ItemType]]="EVAP KIT SF GEN IV",Query1[[#This Row],[OrderQty]]+I3264,I3264)</f>
        <v>4012</v>
      </c>
      <c r="J3265" s="1">
        <f>IF(Query1[[#This Row],[ItemType]]="EVAP KIT UNIVERSAL",Query1[[#This Row],[OrderQty]]+J3264,J3264)</f>
        <v>1462</v>
      </c>
      <c r="K3265" s="1">
        <f>Query1[[#This Row],[SF Running Total]]+Query1[[#This Row],[UNIV Running Total]]</f>
        <v>5474</v>
      </c>
      <c r="L3265">
        <f>VLOOKUP(Query1[[#This Row],[Description]],'kits to boards'!$B$2:$E$156,2,FALSE)</f>
        <v>830063</v>
      </c>
      <c r="M3265">
        <f>VLOOKUP(Query1[[#This Row],[Description]],'kits to boards'!$B$2:$E$156,3,FALSE)</f>
        <v>0</v>
      </c>
      <c r="N3265">
        <f>VLOOKUP(Query1[[#This Row],[Description]],'kits to boards'!$B$2:$E$156,4,FALSE)</f>
        <v>0</v>
      </c>
      <c r="O3265" t="str">
        <f>CONCATENATE(Query1[[#This Row],[Description]]," - ",Query1[[#This Row],[MB1]]," - ",Query1[[#This Row],[MB2]]," - ",Query1[[#This Row],[MB3]])</f>
        <v>EVAP KIT 47-49 CHEV P-UP GEN IV - 830063 - 0 - 0</v>
      </c>
    </row>
    <row r="3266" spans="1:15" x14ac:dyDescent="0.25">
      <c r="A3266" s="1">
        <v>917911</v>
      </c>
      <c r="B3266" s="1" t="s">
        <v>206</v>
      </c>
      <c r="C3266" s="1" t="s">
        <v>207</v>
      </c>
      <c r="D3266" s="2">
        <v>44655.420975081019</v>
      </c>
      <c r="E3266" s="1" t="s">
        <v>8</v>
      </c>
      <c r="F3266" s="1">
        <v>1</v>
      </c>
      <c r="G3266" s="1">
        <v>0</v>
      </c>
      <c r="H3266" s="6">
        <f>INT(Query1[[#This Row],[EntryDateTime]])</f>
        <v>44655</v>
      </c>
      <c r="I3266" s="1">
        <f>IF(Query1[[#This Row],[ItemType]]="EVAP KIT SF GEN IV",Query1[[#This Row],[OrderQty]]+I3265,I3265)</f>
        <v>4013</v>
      </c>
      <c r="J3266" s="1">
        <f>IF(Query1[[#This Row],[ItemType]]="EVAP KIT UNIVERSAL",Query1[[#This Row],[OrderQty]]+J3265,J3265)</f>
        <v>1462</v>
      </c>
      <c r="K3266" s="1">
        <f>Query1[[#This Row],[SF Running Total]]+Query1[[#This Row],[UNIV Running Total]]</f>
        <v>5475</v>
      </c>
      <c r="L3266">
        <f>VLOOKUP(Query1[[#This Row],[Description]],'kits to boards'!$B$2:$E$156,2,FALSE)</f>
        <v>830032</v>
      </c>
      <c r="M3266">
        <f>VLOOKUP(Query1[[#This Row],[Description]],'kits to boards'!$B$2:$E$156,3,FALSE)</f>
        <v>0</v>
      </c>
      <c r="N3266">
        <f>VLOOKUP(Query1[[#This Row],[Description]],'kits to boards'!$B$2:$E$156,4,FALSE)</f>
        <v>0</v>
      </c>
      <c r="O3266" t="str">
        <f>CONCATENATE(Query1[[#This Row],[Description]]," - ",Query1[[#This Row],[MB1]]," - ",Query1[[#This Row],[MB2]]," - ",Query1[[#This Row],[MB3]])</f>
        <v>EVAP KIT 61-62 VETTE - 830032 - 0 - 0</v>
      </c>
    </row>
    <row r="3267" spans="1:15" x14ac:dyDescent="0.25">
      <c r="A3267" s="1">
        <v>917911</v>
      </c>
      <c r="B3267" s="1" t="s">
        <v>94</v>
      </c>
      <c r="C3267" s="1" t="s">
        <v>95</v>
      </c>
      <c r="D3267" s="2">
        <v>44655.420975081019</v>
      </c>
      <c r="E3267" s="1" t="s">
        <v>8</v>
      </c>
      <c r="F3267" s="1">
        <v>2</v>
      </c>
      <c r="G3267" s="1">
        <v>0</v>
      </c>
      <c r="H3267" s="6">
        <f>INT(Query1[[#This Row],[EntryDateTime]])</f>
        <v>44655</v>
      </c>
      <c r="I3267" s="1">
        <f>IF(Query1[[#This Row],[ItemType]]="EVAP KIT SF GEN IV",Query1[[#This Row],[OrderQty]]+I3266,I3266)</f>
        <v>4015</v>
      </c>
      <c r="J3267" s="1">
        <f>IF(Query1[[#This Row],[ItemType]]="EVAP KIT UNIVERSAL",Query1[[#This Row],[OrderQty]]+J3266,J3266)</f>
        <v>1462</v>
      </c>
      <c r="K3267" s="1">
        <f>Query1[[#This Row],[SF Running Total]]+Query1[[#This Row],[UNIV Running Total]]</f>
        <v>5477</v>
      </c>
      <c r="L3267">
        <f>VLOOKUP(Query1[[#This Row],[Description]],'kits to boards'!$B$2:$E$156,2,FALSE)</f>
        <v>830076</v>
      </c>
      <c r="M3267">
        <f>VLOOKUP(Query1[[#This Row],[Description]],'kits to boards'!$B$2:$E$156,3,FALSE)</f>
        <v>0</v>
      </c>
      <c r="N3267">
        <f>VLOOKUP(Query1[[#This Row],[Description]],'kits to boards'!$B$2:$E$156,4,FALSE)</f>
        <v>0</v>
      </c>
      <c r="O3267" t="str">
        <f>CONCATENATE(Query1[[#This Row],[Description]]," - ",Query1[[#This Row],[MB1]]," - ",Query1[[#This Row],[MB2]]," - ",Query1[[#This Row],[MB3]])</f>
        <v>EVAP KIT 64 1/2- 66 MUSTANG  - 830076 - 0 - 0</v>
      </c>
    </row>
    <row r="3268" spans="1:15" x14ac:dyDescent="0.25">
      <c r="A3268" s="1">
        <v>917911</v>
      </c>
      <c r="B3268" s="1" t="s">
        <v>120</v>
      </c>
      <c r="C3268" s="1" t="s">
        <v>121</v>
      </c>
      <c r="D3268" s="2">
        <v>44655.420975081019</v>
      </c>
      <c r="E3268" s="1" t="s">
        <v>8</v>
      </c>
      <c r="F3268" s="1">
        <v>3</v>
      </c>
      <c r="G3268" s="1">
        <v>0</v>
      </c>
      <c r="H3268" s="6">
        <f>INT(Query1[[#This Row],[EntryDateTime]])</f>
        <v>44655</v>
      </c>
      <c r="I3268" s="1">
        <f>IF(Query1[[#This Row],[ItemType]]="EVAP KIT SF GEN IV",Query1[[#This Row],[OrderQty]]+I3267,I3267)</f>
        <v>4018</v>
      </c>
      <c r="J3268" s="1">
        <f>IF(Query1[[#This Row],[ItemType]]="EVAP KIT UNIVERSAL",Query1[[#This Row],[OrderQty]]+J3267,J3267)</f>
        <v>1462</v>
      </c>
      <c r="K3268" s="1">
        <f>Query1[[#This Row],[SF Running Total]]+Query1[[#This Row],[UNIV Running Total]]</f>
        <v>5480</v>
      </c>
      <c r="L3268">
        <f>VLOOKUP(Query1[[#This Row],[Description]],'kits to boards'!$B$2:$E$156,2,FALSE)</f>
        <v>830014</v>
      </c>
      <c r="M3268">
        <f>VLOOKUP(Query1[[#This Row],[Description]],'kits to boards'!$B$2:$E$156,3,FALSE)</f>
        <v>0</v>
      </c>
      <c r="N3268">
        <f>VLOOKUP(Query1[[#This Row],[Description]],'kits to boards'!$B$2:$E$156,4,FALSE)</f>
        <v>0</v>
      </c>
      <c r="O3268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3269" spans="1:15" x14ac:dyDescent="0.25">
      <c r="A3269" s="1">
        <v>917911</v>
      </c>
      <c r="B3269" s="1" t="s">
        <v>502</v>
      </c>
      <c r="C3269" s="1" t="s">
        <v>503</v>
      </c>
      <c r="D3269" s="2">
        <v>44655.420975081019</v>
      </c>
      <c r="E3269" s="1" t="s">
        <v>677</v>
      </c>
      <c r="F3269" s="1">
        <v>2</v>
      </c>
      <c r="G3269" s="1">
        <v>0</v>
      </c>
      <c r="H3269" s="6">
        <f>INT(Query1[[#This Row],[EntryDateTime]])</f>
        <v>44655</v>
      </c>
      <c r="I3269" s="1">
        <f>IF(Query1[[#This Row],[ItemType]]="EVAP KIT SF GEN IV",Query1[[#This Row],[OrderQty]]+I3268,I3268)</f>
        <v>4018</v>
      </c>
      <c r="J3269" s="1">
        <f>IF(Query1[[#This Row],[ItemType]]="EVAP KIT UNIVERSAL",Query1[[#This Row],[OrderQty]]+J3268,J3268)</f>
        <v>1462</v>
      </c>
      <c r="K3269" s="1">
        <f>Query1[[#This Row],[SF Running Total]]+Query1[[#This Row],[UNIV Running Total]]</f>
        <v>5480</v>
      </c>
      <c r="L3269" t="e">
        <f>VLOOKUP(Query1[[#This Row],[Description]],'kits to boards'!$B$2:$E$156,2,FALSE)</f>
        <v>#N/A</v>
      </c>
      <c r="M3269" t="e">
        <f>VLOOKUP(Query1[[#This Row],[Description]],'kits to boards'!$B$2:$E$156,3,FALSE)</f>
        <v>#N/A</v>
      </c>
      <c r="N3269" t="e">
        <f>VLOOKUP(Query1[[#This Row],[Description]],'kits to boards'!$B$2:$E$156,4,FALSE)</f>
        <v>#N/A</v>
      </c>
      <c r="O3269" t="e">
        <f>CONCATENATE(Query1[[#This Row],[Description]]," - ",Query1[[#This Row],[MB1]]," - ",Query1[[#This Row],[MB2]]," - ",Query1[[#This Row],[MB3]])</f>
        <v>#N/A</v>
      </c>
    </row>
    <row r="3270" spans="1:15" x14ac:dyDescent="0.25">
      <c r="A3270" s="1">
        <v>917911</v>
      </c>
      <c r="B3270" s="1" t="s">
        <v>14</v>
      </c>
      <c r="C3270" s="1" t="s">
        <v>15</v>
      </c>
      <c r="D3270" s="2">
        <v>44655.420975081019</v>
      </c>
      <c r="E3270" s="1" t="s">
        <v>8</v>
      </c>
      <c r="F3270" s="1">
        <v>4</v>
      </c>
      <c r="G3270" s="1">
        <v>0</v>
      </c>
      <c r="H3270" s="6">
        <f>INT(Query1[[#This Row],[EntryDateTime]])</f>
        <v>44655</v>
      </c>
      <c r="I3270" s="1">
        <f>IF(Query1[[#This Row],[ItemType]]="EVAP KIT SF GEN IV",Query1[[#This Row],[OrderQty]]+I3269,I3269)</f>
        <v>4022</v>
      </c>
      <c r="J3270" s="1">
        <f>IF(Query1[[#This Row],[ItemType]]="EVAP KIT UNIVERSAL",Query1[[#This Row],[OrderQty]]+J3269,J3269)</f>
        <v>1462</v>
      </c>
      <c r="K3270" s="1">
        <f>Query1[[#This Row],[SF Running Total]]+Query1[[#This Row],[UNIV Running Total]]</f>
        <v>5484</v>
      </c>
      <c r="L3270">
        <f>VLOOKUP(Query1[[#This Row],[Description]],'kits to boards'!$B$2:$E$156,2,FALSE)</f>
        <v>830054</v>
      </c>
      <c r="M3270">
        <f>VLOOKUP(Query1[[#This Row],[Description]],'kits to boards'!$B$2:$E$156,3,FALSE)</f>
        <v>0</v>
      </c>
      <c r="N3270">
        <f>VLOOKUP(Query1[[#This Row],[Description]],'kits to boards'!$B$2:$E$156,4,FALSE)</f>
        <v>0</v>
      </c>
      <c r="O3270" t="str">
        <f>CONCATENATE(Query1[[#This Row],[Description]]," - ",Query1[[#This Row],[MB1]]," - ",Query1[[#This Row],[MB2]]," - ",Query1[[#This Row],[MB3]])</f>
        <v>EVAP KIT 55-56 CHEVY - 830054 - 0 - 0</v>
      </c>
    </row>
    <row r="3271" spans="1:15" x14ac:dyDescent="0.25">
      <c r="A3271" s="1">
        <v>917911</v>
      </c>
      <c r="B3271" s="1" t="s">
        <v>194</v>
      </c>
      <c r="C3271" s="1" t="s">
        <v>195</v>
      </c>
      <c r="D3271" s="2">
        <v>44655.420975081019</v>
      </c>
      <c r="E3271" s="1" t="s">
        <v>8</v>
      </c>
      <c r="F3271" s="1">
        <v>1</v>
      </c>
      <c r="G3271" s="1">
        <v>0</v>
      </c>
      <c r="H3271" s="6">
        <f>INT(Query1[[#This Row],[EntryDateTime]])</f>
        <v>44655</v>
      </c>
      <c r="I3271" s="1">
        <f>IF(Query1[[#This Row],[ItemType]]="EVAP KIT SF GEN IV",Query1[[#This Row],[OrderQty]]+I3270,I3270)</f>
        <v>4023</v>
      </c>
      <c r="J3271" s="1">
        <f>IF(Query1[[#This Row],[ItemType]]="EVAP KIT UNIVERSAL",Query1[[#This Row],[OrderQty]]+J3270,J3270)</f>
        <v>1462</v>
      </c>
      <c r="K3271" s="1">
        <f>Query1[[#This Row],[SF Running Total]]+Query1[[#This Row],[UNIV Running Total]]</f>
        <v>5485</v>
      </c>
      <c r="L3271">
        <f>VLOOKUP(Query1[[#This Row],[Description]],'kits to boards'!$B$2:$E$156,2,FALSE)</f>
        <v>830103</v>
      </c>
      <c r="M3271">
        <f>VLOOKUP(Query1[[#This Row],[Description]],'kits to boards'!$B$2:$E$156,3,FALSE)</f>
        <v>0</v>
      </c>
      <c r="N3271">
        <f>VLOOKUP(Query1[[#This Row],[Description]],'kits to boards'!$B$2:$E$156,4,FALSE)</f>
        <v>0</v>
      </c>
      <c r="O3271" t="str">
        <f>CONCATENATE(Query1[[#This Row],[Description]]," - ",Query1[[#This Row],[MB1]]," - ",Query1[[#This Row],[MB2]]," - ",Query1[[#This Row],[MB3]])</f>
        <v>EVAP KIT 78-82 VETTE W/AC - 830103 - 0 - 0</v>
      </c>
    </row>
    <row r="3272" spans="1:15" x14ac:dyDescent="0.25">
      <c r="A3272" s="1">
        <v>917911</v>
      </c>
      <c r="B3272" s="1" t="s">
        <v>182</v>
      </c>
      <c r="C3272" s="1" t="s">
        <v>183</v>
      </c>
      <c r="D3272" s="2">
        <v>44655.420975081019</v>
      </c>
      <c r="E3272" s="1" t="s">
        <v>8</v>
      </c>
      <c r="F3272" s="1">
        <v>1</v>
      </c>
      <c r="G3272" s="1">
        <v>0</v>
      </c>
      <c r="H3272" s="6">
        <f>INT(Query1[[#This Row],[EntryDateTime]])</f>
        <v>44655</v>
      </c>
      <c r="I3272" s="1">
        <f>IF(Query1[[#This Row],[ItemType]]="EVAP KIT SF GEN IV",Query1[[#This Row],[OrderQty]]+I3271,I3271)</f>
        <v>4024</v>
      </c>
      <c r="J3272" s="1">
        <f>IF(Query1[[#This Row],[ItemType]]="EVAP KIT UNIVERSAL",Query1[[#This Row],[OrderQty]]+J3271,J3271)</f>
        <v>1462</v>
      </c>
      <c r="K3272" s="1">
        <f>Query1[[#This Row],[SF Running Total]]+Query1[[#This Row],[UNIV Running Total]]</f>
        <v>5486</v>
      </c>
      <c r="L3272">
        <f>VLOOKUP(Query1[[#This Row],[Description]],'kits to boards'!$B$2:$E$156,2,FALSE)</f>
        <v>830075</v>
      </c>
      <c r="M3272">
        <f>VLOOKUP(Query1[[#This Row],[Description]],'kits to boards'!$B$2:$E$156,3,FALSE)</f>
        <v>0</v>
      </c>
      <c r="N3272">
        <f>VLOOKUP(Query1[[#This Row],[Description]],'kits to boards'!$B$2:$E$156,4,FALSE)</f>
        <v>0</v>
      </c>
      <c r="O3272" t="str">
        <f>CONCATENATE(Query1[[#This Row],[Description]]," - ",Query1[[#This Row],[MB1]]," - ",Query1[[#This Row],[MB2]]," - ",Query1[[#This Row],[MB3]])</f>
        <v>EVAP KIT 69-70 MOPAR B BODY WO AC - 830075 - 0 - 0</v>
      </c>
    </row>
    <row r="3273" spans="1:15" x14ac:dyDescent="0.25">
      <c r="A3273" s="1">
        <v>917911</v>
      </c>
      <c r="B3273" s="1" t="s">
        <v>96</v>
      </c>
      <c r="C3273" s="1" t="s">
        <v>97</v>
      </c>
      <c r="D3273" s="2">
        <v>44655.420975081019</v>
      </c>
      <c r="E3273" s="1" t="s">
        <v>8</v>
      </c>
      <c r="F3273" s="1">
        <v>4</v>
      </c>
      <c r="G3273" s="1">
        <v>0</v>
      </c>
      <c r="H3273" s="6">
        <f>INT(Query1[[#This Row],[EntryDateTime]])</f>
        <v>44655</v>
      </c>
      <c r="I3273" s="1">
        <f>IF(Query1[[#This Row],[ItemType]]="EVAP KIT SF GEN IV",Query1[[#This Row],[OrderQty]]+I3272,I3272)</f>
        <v>4028</v>
      </c>
      <c r="J3273" s="1">
        <f>IF(Query1[[#This Row],[ItemType]]="EVAP KIT UNIVERSAL",Query1[[#This Row],[OrderQty]]+J3272,J3272)</f>
        <v>1462</v>
      </c>
      <c r="K3273" s="1">
        <f>Query1[[#This Row],[SF Running Total]]+Query1[[#This Row],[UNIV Running Total]]</f>
        <v>5490</v>
      </c>
      <c r="L3273">
        <f>VLOOKUP(Query1[[#This Row],[Description]],'kits to boards'!$B$2:$E$156,2,FALSE)</f>
        <v>830004</v>
      </c>
      <c r="M3273">
        <f>VLOOKUP(Query1[[#This Row],[Description]],'kits to boards'!$B$2:$E$156,3,FALSE)</f>
        <v>0</v>
      </c>
      <c r="N3273">
        <f>VLOOKUP(Query1[[#This Row],[Description]],'kits to boards'!$B$2:$E$156,4,FALSE)</f>
        <v>0</v>
      </c>
      <c r="O3273" t="str">
        <f>CONCATENATE(Query1[[#This Row],[Description]]," - ",Query1[[#This Row],[MB1]]," - ",Query1[[#This Row],[MB2]]," - ",Query1[[#This Row],[MB3]])</f>
        <v>EVAP KIT 81-87 CHEV P-UP W/AC - 830004 - 0 - 0</v>
      </c>
    </row>
    <row r="3274" spans="1:15" x14ac:dyDescent="0.25">
      <c r="A3274" s="1">
        <v>917911</v>
      </c>
      <c r="B3274" s="1" t="s">
        <v>74</v>
      </c>
      <c r="C3274" s="1" t="s">
        <v>75</v>
      </c>
      <c r="D3274" s="2">
        <v>44655.420975081019</v>
      </c>
      <c r="E3274" s="1" t="s">
        <v>8</v>
      </c>
      <c r="F3274" s="1">
        <v>2</v>
      </c>
      <c r="G3274" s="1">
        <v>0</v>
      </c>
      <c r="H3274" s="6">
        <f>INT(Query1[[#This Row],[EntryDateTime]])</f>
        <v>44655</v>
      </c>
      <c r="I3274" s="1">
        <f>IF(Query1[[#This Row],[ItemType]]="EVAP KIT SF GEN IV",Query1[[#This Row],[OrderQty]]+I3273,I3273)</f>
        <v>4030</v>
      </c>
      <c r="J3274" s="1">
        <f>IF(Query1[[#This Row],[ItemType]]="EVAP KIT UNIVERSAL",Query1[[#This Row],[OrderQty]]+J3273,J3273)</f>
        <v>1462</v>
      </c>
      <c r="K3274" s="1">
        <f>Query1[[#This Row],[SF Running Total]]+Query1[[#This Row],[UNIV Running Total]]</f>
        <v>5492</v>
      </c>
      <c r="L3274">
        <f>VLOOKUP(Query1[[#This Row],[Description]],'kits to boards'!$B$2:$E$156,2,FALSE)</f>
        <v>830065</v>
      </c>
      <c r="M3274">
        <f>VLOOKUP(Query1[[#This Row],[Description]],'kits to boards'!$B$2:$E$156,3,FALSE)</f>
        <v>0</v>
      </c>
      <c r="N3274">
        <f>VLOOKUP(Query1[[#This Row],[Description]],'kits to boards'!$B$2:$E$156,4,FALSE)</f>
        <v>0</v>
      </c>
      <c r="O3274" t="str">
        <f>CONCATENATE(Query1[[#This Row],[Description]]," - ",Query1[[#This Row],[MB1]]," - ",Query1[[#This Row],[MB2]]," - ",Query1[[#This Row],[MB3]])</f>
        <v>EVAP KIT 57 CHEV WO AC 4-VENT PLENUM - 830065 - 0 - 0</v>
      </c>
    </row>
    <row r="3275" spans="1:15" x14ac:dyDescent="0.25">
      <c r="A3275" s="1">
        <v>917911</v>
      </c>
      <c r="B3275" s="1" t="s">
        <v>116</v>
      </c>
      <c r="C3275" s="1" t="s">
        <v>117</v>
      </c>
      <c r="D3275" s="2">
        <v>44655.420975081019</v>
      </c>
      <c r="E3275" s="1" t="s">
        <v>8</v>
      </c>
      <c r="F3275" s="1">
        <v>4</v>
      </c>
      <c r="G3275" s="1">
        <v>0</v>
      </c>
      <c r="H3275" s="6">
        <f>INT(Query1[[#This Row],[EntryDateTime]])</f>
        <v>44655</v>
      </c>
      <c r="I3275" s="1">
        <f>IF(Query1[[#This Row],[ItemType]]="EVAP KIT SF GEN IV",Query1[[#This Row],[OrderQty]]+I3274,I3274)</f>
        <v>4034</v>
      </c>
      <c r="J3275" s="1">
        <f>IF(Query1[[#This Row],[ItemType]]="EVAP KIT UNIVERSAL",Query1[[#This Row],[OrderQty]]+J3274,J3274)</f>
        <v>1462</v>
      </c>
      <c r="K3275" s="1">
        <f>Query1[[#This Row],[SF Running Total]]+Query1[[#This Row],[UNIV Running Total]]</f>
        <v>5496</v>
      </c>
      <c r="L3275">
        <f>VLOOKUP(Query1[[#This Row],[Description]],'kits to boards'!$B$2:$E$156,2,FALSE)</f>
        <v>830058</v>
      </c>
      <c r="M3275">
        <f>VLOOKUP(Query1[[#This Row],[Description]],'kits to boards'!$B$2:$E$156,3,FALSE)</f>
        <v>0</v>
      </c>
      <c r="N3275">
        <f>VLOOKUP(Query1[[#This Row],[Description]],'kits to boards'!$B$2:$E$156,4,FALSE)</f>
        <v>0</v>
      </c>
      <c r="O3275" t="str">
        <f>CONCATENATE(Query1[[#This Row],[Description]]," - ",Query1[[#This Row],[MB1]]," - ",Query1[[#This Row],[MB2]]," - ",Query1[[#This Row],[MB3]])</f>
        <v>EVAP KIT 64-65 CHEVELLE WO AC - 830058 - 0 - 0</v>
      </c>
    </row>
    <row r="3276" spans="1:15" x14ac:dyDescent="0.25">
      <c r="A3276" s="1">
        <v>917911</v>
      </c>
      <c r="B3276" s="1" t="s">
        <v>216</v>
      </c>
      <c r="C3276" s="1" t="s">
        <v>217</v>
      </c>
      <c r="D3276" s="2">
        <v>44655.420975081019</v>
      </c>
      <c r="E3276" s="1" t="s">
        <v>8</v>
      </c>
      <c r="F3276" s="1">
        <v>1</v>
      </c>
      <c r="G3276" s="1">
        <v>0</v>
      </c>
      <c r="H3276" s="6">
        <f>INT(Query1[[#This Row],[EntryDateTime]])</f>
        <v>44655</v>
      </c>
      <c r="I3276" s="1">
        <f>IF(Query1[[#This Row],[ItemType]]="EVAP KIT SF GEN IV",Query1[[#This Row],[OrderQty]]+I3275,I3275)</f>
        <v>4035</v>
      </c>
      <c r="J3276" s="1">
        <f>IF(Query1[[#This Row],[ItemType]]="EVAP KIT UNIVERSAL",Query1[[#This Row],[OrderQty]]+J3275,J3275)</f>
        <v>1462</v>
      </c>
      <c r="K3276" s="1">
        <f>Query1[[#This Row],[SF Running Total]]+Query1[[#This Row],[UNIV Running Total]]</f>
        <v>5497</v>
      </c>
      <c r="L3276">
        <f>VLOOKUP(Query1[[#This Row],[Description]],'kits to boards'!$B$2:$E$156,2,FALSE)</f>
        <v>830072</v>
      </c>
      <c r="M3276">
        <f>VLOOKUP(Query1[[#This Row],[Description]],'kits to boards'!$B$2:$E$156,3,FALSE)</f>
        <v>830075</v>
      </c>
      <c r="N3276">
        <f>VLOOKUP(Query1[[#This Row],[Description]],'kits to boards'!$B$2:$E$156,4,FALSE)</f>
        <v>0</v>
      </c>
      <c r="O3276" t="str">
        <f>CONCATENATE(Query1[[#This Row],[Description]]," - ",Query1[[#This Row],[MB1]]," - ",Query1[[#This Row],[MB2]]," - ",Query1[[#This Row],[MB3]])</f>
        <v>EVAP KIT 69-70 MOPAR B BODY W/AC - 830072 - 830075 - 0</v>
      </c>
    </row>
    <row r="3277" spans="1:15" x14ac:dyDescent="0.25">
      <c r="A3277" s="1">
        <v>917911</v>
      </c>
      <c r="B3277" s="1" t="s">
        <v>100</v>
      </c>
      <c r="C3277" s="1" t="s">
        <v>101</v>
      </c>
      <c r="D3277" s="2">
        <v>44655.420975081019</v>
      </c>
      <c r="E3277" s="1" t="s">
        <v>8</v>
      </c>
      <c r="F3277" s="1">
        <v>1</v>
      </c>
      <c r="G3277" s="1">
        <v>0</v>
      </c>
      <c r="H3277" s="6">
        <f>INT(Query1[[#This Row],[EntryDateTime]])</f>
        <v>44655</v>
      </c>
      <c r="I3277" s="1">
        <f>IF(Query1[[#This Row],[ItemType]]="EVAP KIT SF GEN IV",Query1[[#This Row],[OrderQty]]+I3276,I3276)</f>
        <v>4036</v>
      </c>
      <c r="J3277" s="1">
        <f>IF(Query1[[#This Row],[ItemType]]="EVAP KIT UNIVERSAL",Query1[[#This Row],[OrderQty]]+J3276,J3276)</f>
        <v>1462</v>
      </c>
      <c r="K3277" s="1">
        <f>Query1[[#This Row],[SF Running Total]]+Query1[[#This Row],[UNIV Running Total]]</f>
        <v>5498</v>
      </c>
      <c r="L3277">
        <f>VLOOKUP(Query1[[#This Row],[Description]],'kits to boards'!$B$2:$E$156,2,FALSE)</f>
        <v>830096</v>
      </c>
      <c r="M3277">
        <f>VLOOKUP(Query1[[#This Row],[Description]],'kits to boards'!$B$2:$E$156,3,FALSE)</f>
        <v>0</v>
      </c>
      <c r="N3277">
        <f>VLOOKUP(Query1[[#This Row],[Description]],'kits to boards'!$B$2:$E$156,4,FALSE)</f>
        <v>0</v>
      </c>
      <c r="O3277" t="str">
        <f>CONCATENATE(Query1[[#This Row],[Description]]," - ",Query1[[#This Row],[MB1]]," - ",Query1[[#This Row],[MB2]]," - ",Query1[[#This Row],[MB3]])</f>
        <v>EVAP KIT 62-65 NOVA - 830096 - 0 - 0</v>
      </c>
    </row>
    <row r="3278" spans="1:15" x14ac:dyDescent="0.25">
      <c r="A3278" s="1">
        <v>917911</v>
      </c>
      <c r="B3278" s="1" t="s">
        <v>130</v>
      </c>
      <c r="C3278" s="1" t="s">
        <v>131</v>
      </c>
      <c r="D3278" s="2">
        <v>44655.420975081019</v>
      </c>
      <c r="E3278" s="1" t="s">
        <v>8</v>
      </c>
      <c r="F3278" s="1">
        <v>2</v>
      </c>
      <c r="G3278" s="1">
        <v>0</v>
      </c>
      <c r="H3278" s="6">
        <f>INT(Query1[[#This Row],[EntryDateTime]])</f>
        <v>44655</v>
      </c>
      <c r="I3278" s="1">
        <f>IF(Query1[[#This Row],[ItemType]]="EVAP KIT SF GEN IV",Query1[[#This Row],[OrderQty]]+I3277,I3277)</f>
        <v>4038</v>
      </c>
      <c r="J3278" s="1">
        <f>IF(Query1[[#This Row],[ItemType]]="EVAP KIT UNIVERSAL",Query1[[#This Row],[OrderQty]]+J3277,J3277)</f>
        <v>1462</v>
      </c>
      <c r="K3278" s="1">
        <f>Query1[[#This Row],[SF Running Total]]+Query1[[#This Row],[UNIV Running Total]]</f>
        <v>5500</v>
      </c>
      <c r="L3278">
        <f>VLOOKUP(Query1[[#This Row],[Description]],'kits to boards'!$B$2:$E$156,2,FALSE)</f>
        <v>830123</v>
      </c>
      <c r="M3278">
        <f>VLOOKUP(Query1[[#This Row],[Description]],'kits to boards'!$B$2:$E$156,3,FALSE)</f>
        <v>0</v>
      </c>
      <c r="N3278">
        <f>VLOOKUP(Query1[[#This Row],[Description]],'kits to boards'!$B$2:$E$156,4,FALSE)</f>
        <v>0</v>
      </c>
      <c r="O3278" t="str">
        <f>CONCATENATE(Query1[[#This Row],[Description]]," - ",Query1[[#This Row],[MB1]]," - ",Query1[[#This Row],[MB2]]," - ",Query1[[#This Row],[MB3]])</f>
        <v>EVAP KIT 68 GTO WO/AC - 830123 - 0 - 0</v>
      </c>
    </row>
    <row r="3279" spans="1:15" x14ac:dyDescent="0.25">
      <c r="A3279" s="1">
        <v>917911</v>
      </c>
      <c r="B3279" s="1" t="s">
        <v>106</v>
      </c>
      <c r="C3279" s="1" t="s">
        <v>107</v>
      </c>
      <c r="D3279" s="2">
        <v>44655.420975081019</v>
      </c>
      <c r="E3279" s="1" t="s">
        <v>8</v>
      </c>
      <c r="F3279" s="1">
        <v>5</v>
      </c>
      <c r="G3279" s="1">
        <v>0</v>
      </c>
      <c r="H3279" s="6">
        <f>INT(Query1[[#This Row],[EntryDateTime]])</f>
        <v>44655</v>
      </c>
      <c r="I3279" s="1">
        <f>IF(Query1[[#This Row],[ItemType]]="EVAP KIT SF GEN IV",Query1[[#This Row],[OrderQty]]+I3278,I3278)</f>
        <v>4043</v>
      </c>
      <c r="J3279" s="1">
        <f>IF(Query1[[#This Row],[ItemType]]="EVAP KIT UNIVERSAL",Query1[[#This Row],[OrderQty]]+J3278,J3278)</f>
        <v>1462</v>
      </c>
      <c r="K3279" s="1">
        <f>Query1[[#This Row],[SF Running Total]]+Query1[[#This Row],[UNIV Running Total]]</f>
        <v>5505</v>
      </c>
      <c r="L3279">
        <f>VLOOKUP(Query1[[#This Row],[Description]],'kits to boards'!$B$2:$E$156,2,FALSE)</f>
        <v>830028</v>
      </c>
      <c r="M3279">
        <f>VLOOKUP(Query1[[#This Row],[Description]],'kits to boards'!$B$2:$E$156,3,FALSE)</f>
        <v>0</v>
      </c>
      <c r="N3279">
        <f>VLOOKUP(Query1[[#This Row],[Description]],'kits to boards'!$B$2:$E$156,4,FALSE)</f>
        <v>0</v>
      </c>
      <c r="O3279" t="str">
        <f>CONCATENATE(Query1[[#This Row],[Description]]," - ",Query1[[#This Row],[MB1]]," - ",Query1[[#This Row],[MB2]]," - ",Query1[[#This Row],[MB3]])</f>
        <v>EVAP KIT 55-59 CHEV P-UP WO AC W/DELX - 830028 - 0 - 0</v>
      </c>
    </row>
    <row r="3280" spans="1:15" x14ac:dyDescent="0.25">
      <c r="A3280" s="1">
        <v>917911</v>
      </c>
      <c r="B3280" s="1" t="s">
        <v>90</v>
      </c>
      <c r="C3280" s="1" t="s">
        <v>91</v>
      </c>
      <c r="D3280" s="2">
        <v>44655.420975081019</v>
      </c>
      <c r="E3280" s="1" t="s">
        <v>8</v>
      </c>
      <c r="F3280" s="1">
        <v>9</v>
      </c>
      <c r="G3280" s="1">
        <v>0</v>
      </c>
      <c r="H3280" s="6">
        <f>INT(Query1[[#This Row],[EntryDateTime]])</f>
        <v>44655</v>
      </c>
      <c r="I3280" s="1">
        <f>IF(Query1[[#This Row],[ItemType]]="EVAP KIT SF GEN IV",Query1[[#This Row],[OrderQty]]+I3279,I3279)</f>
        <v>4052</v>
      </c>
      <c r="J3280" s="1">
        <f>IF(Query1[[#This Row],[ItemType]]="EVAP KIT UNIVERSAL",Query1[[#This Row],[OrderQty]]+J3279,J3279)</f>
        <v>1462</v>
      </c>
      <c r="K3280" s="1">
        <f>Query1[[#This Row],[SF Running Total]]+Query1[[#This Row],[UNIV Running Total]]</f>
        <v>5514</v>
      </c>
      <c r="L3280">
        <f>VLOOKUP(Query1[[#This Row],[Description]],'kits to boards'!$B$2:$E$156,2,FALSE)</f>
        <v>830105</v>
      </c>
      <c r="M3280">
        <f>VLOOKUP(Query1[[#This Row],[Description]],'kits to boards'!$B$2:$E$156,3,FALSE)</f>
        <v>830106</v>
      </c>
      <c r="N3280">
        <f>VLOOKUP(Query1[[#This Row],[Description]],'kits to boards'!$B$2:$E$156,4,FALSE)</f>
        <v>0</v>
      </c>
      <c r="O3280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3281" spans="1:15" x14ac:dyDescent="0.25">
      <c r="A3281" s="1">
        <v>917911</v>
      </c>
      <c r="B3281" s="1" t="s">
        <v>70</v>
      </c>
      <c r="C3281" s="1" t="s">
        <v>71</v>
      </c>
      <c r="D3281" s="2">
        <v>44655.420975081019</v>
      </c>
      <c r="E3281" s="1" t="s">
        <v>8</v>
      </c>
      <c r="F3281" s="1">
        <v>3</v>
      </c>
      <c r="G3281" s="1">
        <v>0</v>
      </c>
      <c r="H3281" s="6">
        <f>INT(Query1[[#This Row],[EntryDateTime]])</f>
        <v>44655</v>
      </c>
      <c r="I3281" s="1">
        <f>IF(Query1[[#This Row],[ItemType]]="EVAP KIT SF GEN IV",Query1[[#This Row],[OrderQty]]+I3280,I3280)</f>
        <v>4055</v>
      </c>
      <c r="J3281" s="1">
        <f>IF(Query1[[#This Row],[ItemType]]="EVAP KIT UNIVERSAL",Query1[[#This Row],[OrderQty]]+J3280,J3280)</f>
        <v>1462</v>
      </c>
      <c r="K3281" s="1">
        <f>Query1[[#This Row],[SF Running Total]]+Query1[[#This Row],[UNIV Running Total]]</f>
        <v>5517</v>
      </c>
      <c r="L3281">
        <f>VLOOKUP(Query1[[#This Row],[Description]],'kits to boards'!$B$2:$E$156,2,FALSE)</f>
        <v>830050</v>
      </c>
      <c r="M3281">
        <f>VLOOKUP(Query1[[#This Row],[Description]],'kits to boards'!$B$2:$E$156,3,FALSE)</f>
        <v>0</v>
      </c>
      <c r="N3281">
        <f>VLOOKUP(Query1[[#This Row],[Description]],'kits to boards'!$B$2:$E$156,4,FALSE)</f>
        <v>0</v>
      </c>
      <c r="O3281" t="str">
        <f>CONCATENATE(Query1[[#This Row],[Description]]," - ",Query1[[#This Row],[MB1]]," - ",Query1[[#This Row],[MB2]]," - ",Query1[[#This Row],[MB3]])</f>
        <v>EVAP KIT 70-78 CAMARO WO AC - 830050 - 0 - 0</v>
      </c>
    </row>
    <row r="3282" spans="1:15" x14ac:dyDescent="0.25">
      <c r="A3282" s="1">
        <v>917911</v>
      </c>
      <c r="B3282" s="1" t="s">
        <v>152</v>
      </c>
      <c r="C3282" s="1" t="s">
        <v>153</v>
      </c>
      <c r="D3282" s="2">
        <v>44655.420975081019</v>
      </c>
      <c r="E3282" s="1" t="s">
        <v>8</v>
      </c>
      <c r="F3282" s="1">
        <v>5</v>
      </c>
      <c r="G3282" s="1">
        <v>0</v>
      </c>
      <c r="H3282" s="6">
        <f>INT(Query1[[#This Row],[EntryDateTime]])</f>
        <v>44655</v>
      </c>
      <c r="I3282" s="1">
        <f>IF(Query1[[#This Row],[ItemType]]="EVAP KIT SF GEN IV",Query1[[#This Row],[OrderQty]]+I3281,I3281)</f>
        <v>4060</v>
      </c>
      <c r="J3282" s="1">
        <f>IF(Query1[[#This Row],[ItemType]]="EVAP KIT UNIVERSAL",Query1[[#This Row],[OrderQty]]+J3281,J3281)</f>
        <v>1462</v>
      </c>
      <c r="K3282" s="1">
        <f>Query1[[#This Row],[SF Running Total]]+Query1[[#This Row],[UNIV Running Total]]</f>
        <v>5522</v>
      </c>
      <c r="L3282">
        <f>VLOOKUP(Query1[[#This Row],[Description]],'kits to boards'!$B$2:$E$156,2,FALSE)</f>
        <v>830034</v>
      </c>
      <c r="M3282">
        <f>VLOOKUP(Query1[[#This Row],[Description]],'kits to boards'!$B$2:$E$156,3,FALSE)</f>
        <v>0</v>
      </c>
      <c r="N3282">
        <f>VLOOKUP(Query1[[#This Row],[Description]],'kits to boards'!$B$2:$E$156,4,FALSE)</f>
        <v>0</v>
      </c>
      <c r="O3282" t="str">
        <f>CONCATENATE(Query1[[#This Row],[Description]]," - ",Query1[[#This Row],[MB1]]," - ",Query1[[#This Row],[MB2]]," - ",Query1[[#This Row],[MB3]])</f>
        <v>EVAP KIT 64-67 GTO WO AC - 830034 - 0 - 0</v>
      </c>
    </row>
    <row r="3283" spans="1:15" x14ac:dyDescent="0.25">
      <c r="A3283" s="1">
        <v>917911</v>
      </c>
      <c r="B3283" s="1" t="s">
        <v>92</v>
      </c>
      <c r="C3283" s="1" t="s">
        <v>93</v>
      </c>
      <c r="D3283" s="2">
        <v>44655.420975081019</v>
      </c>
      <c r="E3283" s="1" t="s">
        <v>8</v>
      </c>
      <c r="F3283" s="1">
        <v>5</v>
      </c>
      <c r="G3283" s="1">
        <v>0</v>
      </c>
      <c r="H3283" s="6">
        <f>INT(Query1[[#This Row],[EntryDateTime]])</f>
        <v>44655</v>
      </c>
      <c r="I3283" s="1">
        <f>IF(Query1[[#This Row],[ItemType]]="EVAP KIT SF GEN IV",Query1[[#This Row],[OrderQty]]+I3282,I3282)</f>
        <v>4065</v>
      </c>
      <c r="J3283" s="1">
        <f>IF(Query1[[#This Row],[ItemType]]="EVAP KIT UNIVERSAL",Query1[[#This Row],[OrderQty]]+J3282,J3282)</f>
        <v>1462</v>
      </c>
      <c r="K3283" s="1">
        <f>Query1[[#This Row],[SF Running Total]]+Query1[[#This Row],[UNIV Running Total]]</f>
        <v>5527</v>
      </c>
      <c r="L3283">
        <f>VLOOKUP(Query1[[#This Row],[Description]],'kits to boards'!$B$2:$E$156,2,FALSE)</f>
        <v>830063</v>
      </c>
      <c r="M3283">
        <f>VLOOKUP(Query1[[#This Row],[Description]],'kits to boards'!$B$2:$E$156,3,FALSE)</f>
        <v>0</v>
      </c>
      <c r="N3283">
        <f>VLOOKUP(Query1[[#This Row],[Description]],'kits to boards'!$B$2:$E$156,4,FALSE)</f>
        <v>0</v>
      </c>
      <c r="O3283" t="str">
        <f>CONCATENATE(Query1[[#This Row],[Description]]," - ",Query1[[#This Row],[MB1]]," - ",Query1[[#This Row],[MB2]]," - ",Query1[[#This Row],[MB3]])</f>
        <v>EVAP KIT 50-53 CHEV P-UP GEN IV - 830063 - 0 - 0</v>
      </c>
    </row>
    <row r="3284" spans="1:15" x14ac:dyDescent="0.25">
      <c r="A3284" s="1">
        <v>917911</v>
      </c>
      <c r="B3284" s="1" t="s">
        <v>46</v>
      </c>
      <c r="C3284" s="1" t="s">
        <v>47</v>
      </c>
      <c r="D3284" s="2">
        <v>44655.420975081019</v>
      </c>
      <c r="E3284" s="1" t="s">
        <v>8</v>
      </c>
      <c r="F3284" s="1">
        <v>2</v>
      </c>
      <c r="G3284" s="1">
        <v>0</v>
      </c>
      <c r="H3284" s="6">
        <f>INT(Query1[[#This Row],[EntryDateTime]])</f>
        <v>44655</v>
      </c>
      <c r="I3284" s="1">
        <f>IF(Query1[[#This Row],[ItemType]]="EVAP KIT SF GEN IV",Query1[[#This Row],[OrderQty]]+I3283,I3283)</f>
        <v>4067</v>
      </c>
      <c r="J3284" s="1">
        <f>IF(Query1[[#This Row],[ItemType]]="EVAP KIT UNIVERSAL",Query1[[#This Row],[OrderQty]]+J3283,J3283)</f>
        <v>1462</v>
      </c>
      <c r="K3284" s="1">
        <f>Query1[[#This Row],[SF Running Total]]+Query1[[#This Row],[UNIV Running Total]]</f>
        <v>5529</v>
      </c>
      <c r="L3284">
        <f>VLOOKUP(Query1[[#This Row],[Description]],'kits to boards'!$B$2:$E$156,2,FALSE)</f>
        <v>830018</v>
      </c>
      <c r="M3284">
        <f>VLOOKUP(Query1[[#This Row],[Description]],'kits to boards'!$B$2:$E$156,3,FALSE)</f>
        <v>0</v>
      </c>
      <c r="N3284">
        <f>VLOOKUP(Query1[[#This Row],[Description]],'kits to boards'!$B$2:$E$156,4,FALSE)</f>
        <v>0</v>
      </c>
      <c r="O3284" t="str">
        <f>CONCATENATE(Query1[[#This Row],[Description]]," - ",Query1[[#This Row],[MB1]]," - ",Query1[[#This Row],[MB2]]," - ",Query1[[#This Row],[MB3]])</f>
        <v>EVAP KIT 68-72 FORD P-UP F-100 - 830018 - 0 - 0</v>
      </c>
    </row>
    <row r="3285" spans="1:15" x14ac:dyDescent="0.25">
      <c r="A3285" s="1">
        <v>917911</v>
      </c>
      <c r="B3285" s="1" t="s">
        <v>36</v>
      </c>
      <c r="C3285" s="1" t="s">
        <v>37</v>
      </c>
      <c r="D3285" s="2">
        <v>44655.420975081019</v>
      </c>
      <c r="E3285" s="1" t="s">
        <v>8</v>
      </c>
      <c r="F3285" s="1">
        <v>5</v>
      </c>
      <c r="G3285" s="1">
        <v>0</v>
      </c>
      <c r="H3285" s="6">
        <f>INT(Query1[[#This Row],[EntryDateTime]])</f>
        <v>44655</v>
      </c>
      <c r="I3285" s="1">
        <f>IF(Query1[[#This Row],[ItemType]]="EVAP KIT SF GEN IV",Query1[[#This Row],[OrderQty]]+I3284,I3284)</f>
        <v>4072</v>
      </c>
      <c r="J3285" s="1">
        <f>IF(Query1[[#This Row],[ItemType]]="EVAP KIT UNIVERSAL",Query1[[#This Row],[OrderQty]]+J3284,J3284)</f>
        <v>1462</v>
      </c>
      <c r="K3285" s="1">
        <f>Query1[[#This Row],[SF Running Total]]+Query1[[#This Row],[UNIV Running Total]]</f>
        <v>5534</v>
      </c>
      <c r="L3285">
        <f>VLOOKUP(Query1[[#This Row],[Description]],'kits to boards'!$B$2:$E$156,2,FALSE)</f>
        <v>830015</v>
      </c>
      <c r="M3285">
        <f>VLOOKUP(Query1[[#This Row],[Description]],'kits to boards'!$B$2:$E$156,3,FALSE)</f>
        <v>0</v>
      </c>
      <c r="N3285">
        <f>VLOOKUP(Query1[[#This Row],[Description]],'kits to boards'!$B$2:$E$156,4,FALSE)</f>
        <v>0</v>
      </c>
      <c r="O3285" t="str">
        <f>CONCATENATE(Query1[[#This Row],[Description]]," - ",Query1[[#This Row],[MB1]]," - ",Query1[[#This Row],[MB2]]," - ",Query1[[#This Row],[MB3]])</f>
        <v>EVAP KIT 64-66 CHEV P-UP WO AC W/STD - 830015 - 0 - 0</v>
      </c>
    </row>
    <row r="3286" spans="1:15" x14ac:dyDescent="0.25">
      <c r="A3286" s="1">
        <v>917911</v>
      </c>
      <c r="B3286" s="1" t="s">
        <v>6</v>
      </c>
      <c r="C3286" s="1" t="s">
        <v>7</v>
      </c>
      <c r="D3286" s="2">
        <v>44655.420975081019</v>
      </c>
      <c r="E3286" s="1" t="s">
        <v>8</v>
      </c>
      <c r="F3286" s="1">
        <v>1</v>
      </c>
      <c r="G3286" s="1">
        <v>0</v>
      </c>
      <c r="H3286" s="6">
        <f>INT(Query1[[#This Row],[EntryDateTime]])</f>
        <v>44655</v>
      </c>
      <c r="I3286" s="1">
        <f>IF(Query1[[#This Row],[ItemType]]="EVAP KIT SF GEN IV",Query1[[#This Row],[OrderQty]]+I3285,I3285)</f>
        <v>4073</v>
      </c>
      <c r="J3286" s="1">
        <f>IF(Query1[[#This Row],[ItemType]]="EVAP KIT UNIVERSAL",Query1[[#This Row],[OrderQty]]+J3285,J3285)</f>
        <v>1462</v>
      </c>
      <c r="K3286" s="1">
        <f>Query1[[#This Row],[SF Running Total]]+Query1[[#This Row],[UNIV Running Total]]</f>
        <v>5535</v>
      </c>
      <c r="L3286">
        <f>VLOOKUP(Query1[[#This Row],[Description]],'kits to boards'!$B$2:$E$156,2,FALSE)</f>
        <v>830132</v>
      </c>
      <c r="M3286">
        <f>VLOOKUP(Query1[[#This Row],[Description]],'kits to boards'!$B$2:$E$156,3,FALSE)</f>
        <v>0</v>
      </c>
      <c r="N3286">
        <f>VLOOKUP(Query1[[#This Row],[Description]],'kits to boards'!$B$2:$E$156,4,FALSE)</f>
        <v>0</v>
      </c>
      <c r="O3286" t="str">
        <f>CONCATENATE(Query1[[#This Row],[Description]]," - ",Query1[[#This Row],[MB1]]," - ",Query1[[#This Row],[MB2]]," - ",Query1[[#This Row],[MB3]])</f>
        <v>EVAP KIT 82-88 MONTE CARLO/EL CAMINO - 830132 - 0 - 0</v>
      </c>
    </row>
    <row r="3287" spans="1:15" x14ac:dyDescent="0.25">
      <c r="A3287" s="1">
        <v>917911</v>
      </c>
      <c r="B3287" s="1" t="s">
        <v>34</v>
      </c>
      <c r="C3287" s="1" t="s">
        <v>35</v>
      </c>
      <c r="D3287" s="2">
        <v>44655.420975081019</v>
      </c>
      <c r="E3287" s="1" t="s">
        <v>8</v>
      </c>
      <c r="F3287" s="1">
        <v>1</v>
      </c>
      <c r="G3287" s="1">
        <v>0</v>
      </c>
      <c r="H3287" s="6">
        <f>INT(Query1[[#This Row],[EntryDateTime]])</f>
        <v>44655</v>
      </c>
      <c r="I3287" s="1">
        <f>IF(Query1[[#This Row],[ItemType]]="EVAP KIT SF GEN IV",Query1[[#This Row],[OrderQty]]+I3286,I3286)</f>
        <v>4074</v>
      </c>
      <c r="J3287" s="1">
        <f>IF(Query1[[#This Row],[ItemType]]="EVAP KIT UNIVERSAL",Query1[[#This Row],[OrderQty]]+J3286,J3286)</f>
        <v>1462</v>
      </c>
      <c r="K3287" s="1">
        <f>Query1[[#This Row],[SF Running Total]]+Query1[[#This Row],[UNIV Running Total]]</f>
        <v>5536</v>
      </c>
      <c r="L3287">
        <f>VLOOKUP(Query1[[#This Row],[Description]],'kits to boards'!$B$2:$E$156,2,FALSE)</f>
        <v>830065</v>
      </c>
      <c r="M3287">
        <f>VLOOKUP(Query1[[#This Row],[Description]],'kits to boards'!$B$2:$E$156,3,FALSE)</f>
        <v>0</v>
      </c>
      <c r="N3287">
        <f>VLOOKUP(Query1[[#This Row],[Description]],'kits to boards'!$B$2:$E$156,4,FALSE)</f>
        <v>0</v>
      </c>
      <c r="O3287" t="str">
        <f>CONCATENATE(Query1[[#This Row],[Description]]," - ",Query1[[#This Row],[MB1]]," - ",Query1[[#This Row],[MB2]]," - ",Query1[[#This Row],[MB3]])</f>
        <v>EVAP KIT 57 CHEV WO AC - 830065 - 0 - 0</v>
      </c>
    </row>
    <row r="3288" spans="1:15" x14ac:dyDescent="0.25">
      <c r="A3288" s="1">
        <v>917911</v>
      </c>
      <c r="B3288" s="1" t="s">
        <v>66</v>
      </c>
      <c r="C3288" s="1" t="s">
        <v>67</v>
      </c>
      <c r="D3288" s="2">
        <v>44655.420975081019</v>
      </c>
      <c r="E3288" s="1" t="s">
        <v>8</v>
      </c>
      <c r="F3288" s="1">
        <v>2</v>
      </c>
      <c r="G3288" s="1">
        <v>0</v>
      </c>
      <c r="H3288" s="6">
        <f>INT(Query1[[#This Row],[EntryDateTime]])</f>
        <v>44655</v>
      </c>
      <c r="I3288" s="1">
        <f>IF(Query1[[#This Row],[ItemType]]="EVAP KIT SF GEN IV",Query1[[#This Row],[OrderQty]]+I3287,I3287)</f>
        <v>4076</v>
      </c>
      <c r="J3288" s="1">
        <f>IF(Query1[[#This Row],[ItemType]]="EVAP KIT UNIVERSAL",Query1[[#This Row],[OrderQty]]+J3287,J3287)</f>
        <v>1462</v>
      </c>
      <c r="K3288" s="1">
        <f>Query1[[#This Row],[SF Running Total]]+Query1[[#This Row],[UNIV Running Total]]</f>
        <v>5538</v>
      </c>
      <c r="L3288">
        <f>VLOOKUP(Query1[[#This Row],[Description]],'kits to boards'!$B$2:$E$156,2,FALSE)</f>
        <v>830060</v>
      </c>
      <c r="M3288">
        <f>VLOOKUP(Query1[[#This Row],[Description]],'kits to boards'!$B$2:$E$156,3,FALSE)</f>
        <v>0</v>
      </c>
      <c r="N3288">
        <f>VLOOKUP(Query1[[#This Row],[Description]],'kits to boards'!$B$2:$E$156,4,FALSE)</f>
        <v>0</v>
      </c>
      <c r="O3288" t="str">
        <f>CONCATENATE(Query1[[#This Row],[Description]]," - ",Query1[[#This Row],[MB1]]," - ",Query1[[#This Row],[MB2]]," - ",Query1[[#This Row],[MB3]])</f>
        <v>EVAP KIT 66-67 CHEVELLE WO AC - 830060 - 0 - 0</v>
      </c>
    </row>
    <row r="3289" spans="1:15" x14ac:dyDescent="0.25">
      <c r="A3289" s="1">
        <v>917911</v>
      </c>
      <c r="B3289" s="1" t="s">
        <v>160</v>
      </c>
      <c r="C3289" s="1" t="s">
        <v>161</v>
      </c>
      <c r="D3289" s="2">
        <v>44655.420975081019</v>
      </c>
      <c r="E3289" s="1" t="s">
        <v>8</v>
      </c>
      <c r="F3289" s="1">
        <v>2</v>
      </c>
      <c r="G3289" s="1">
        <v>0</v>
      </c>
      <c r="H3289" s="6">
        <f>INT(Query1[[#This Row],[EntryDateTime]])</f>
        <v>44655</v>
      </c>
      <c r="I3289" s="1">
        <f>IF(Query1[[#This Row],[ItemType]]="EVAP KIT SF GEN IV",Query1[[#This Row],[OrderQty]]+I3288,I3288)</f>
        <v>4078</v>
      </c>
      <c r="J3289" s="1">
        <f>IF(Query1[[#This Row],[ItemType]]="EVAP KIT UNIVERSAL",Query1[[#This Row],[OrderQty]]+J3288,J3288)</f>
        <v>1462</v>
      </c>
      <c r="K3289" s="1">
        <f>Query1[[#This Row],[SF Running Total]]+Query1[[#This Row],[UNIV Running Total]]</f>
        <v>5540</v>
      </c>
      <c r="L3289">
        <f>VLOOKUP(Query1[[#This Row],[Description]],'kits to boards'!$B$2:$E$156,2,FALSE)</f>
        <v>830083</v>
      </c>
      <c r="M3289">
        <f>VLOOKUP(Query1[[#This Row],[Description]],'kits to boards'!$B$2:$E$156,3,FALSE)</f>
        <v>0</v>
      </c>
      <c r="N3289">
        <f>VLOOKUP(Query1[[#This Row],[Description]],'kits to boards'!$B$2:$E$156,4,FALSE)</f>
        <v>0</v>
      </c>
      <c r="O3289" t="str">
        <f>CONCATENATE(Query1[[#This Row],[Description]]," - ",Query1[[#This Row],[MB1]]," - ",Query1[[#This Row],[MB2]]," - ",Query1[[#This Row],[MB3]])</f>
        <v>EVAP KIT 70-74 CHALNGR/CUDA WO AC - 830083 - 0 - 0</v>
      </c>
    </row>
    <row r="3290" spans="1:15" x14ac:dyDescent="0.25">
      <c r="A3290" s="1">
        <v>917911</v>
      </c>
      <c r="B3290" s="1" t="s">
        <v>506</v>
      </c>
      <c r="C3290" s="1" t="s">
        <v>507</v>
      </c>
      <c r="D3290" s="2">
        <v>44655.420975081019</v>
      </c>
      <c r="E3290" s="1" t="s">
        <v>677</v>
      </c>
      <c r="F3290" s="1">
        <v>1</v>
      </c>
      <c r="G3290" s="1">
        <v>0</v>
      </c>
      <c r="H3290" s="6">
        <f>INT(Query1[[#This Row],[EntryDateTime]])</f>
        <v>44655</v>
      </c>
      <c r="I3290" s="1">
        <f>IF(Query1[[#This Row],[ItemType]]="EVAP KIT SF GEN IV",Query1[[#This Row],[OrderQty]]+I3289,I3289)</f>
        <v>4078</v>
      </c>
      <c r="J3290" s="1">
        <f>IF(Query1[[#This Row],[ItemType]]="EVAP KIT UNIVERSAL",Query1[[#This Row],[OrderQty]]+J3289,J3289)</f>
        <v>1462</v>
      </c>
      <c r="K3290" s="1">
        <f>Query1[[#This Row],[SF Running Total]]+Query1[[#This Row],[UNIV Running Total]]</f>
        <v>5540</v>
      </c>
      <c r="L3290" t="e">
        <f>VLOOKUP(Query1[[#This Row],[Description]],'kits to boards'!$B$2:$E$156,2,FALSE)</f>
        <v>#N/A</v>
      </c>
      <c r="M3290" t="e">
        <f>VLOOKUP(Query1[[#This Row],[Description]],'kits to boards'!$B$2:$E$156,3,FALSE)</f>
        <v>#N/A</v>
      </c>
      <c r="N3290" t="e">
        <f>VLOOKUP(Query1[[#This Row],[Description]],'kits to boards'!$B$2:$E$156,4,FALSE)</f>
        <v>#N/A</v>
      </c>
      <c r="O3290" t="e">
        <f>CONCATENATE(Query1[[#This Row],[Description]]," - ",Query1[[#This Row],[MB1]]," - ",Query1[[#This Row],[MB2]]," - ",Query1[[#This Row],[MB3]])</f>
        <v>#N/A</v>
      </c>
    </row>
    <row r="3291" spans="1:15" x14ac:dyDescent="0.25">
      <c r="A3291" s="1">
        <v>917911</v>
      </c>
      <c r="B3291" s="1" t="s">
        <v>64</v>
      </c>
      <c r="C3291" s="1" t="s">
        <v>65</v>
      </c>
      <c r="D3291" s="2">
        <v>44655.420975081019</v>
      </c>
      <c r="E3291" s="1" t="s">
        <v>8</v>
      </c>
      <c r="F3291" s="1">
        <v>1</v>
      </c>
      <c r="G3291" s="1">
        <v>0</v>
      </c>
      <c r="H3291" s="6">
        <f>INT(Query1[[#This Row],[EntryDateTime]])</f>
        <v>44655</v>
      </c>
      <c r="I3291" s="1">
        <f>IF(Query1[[#This Row],[ItemType]]="EVAP KIT SF GEN IV",Query1[[#This Row],[OrderQty]]+I3290,I3290)</f>
        <v>4079</v>
      </c>
      <c r="J3291" s="1">
        <f>IF(Query1[[#This Row],[ItemType]]="EVAP KIT UNIVERSAL",Query1[[#This Row],[OrderQty]]+J3290,J3290)</f>
        <v>1462</v>
      </c>
      <c r="K3291" s="1">
        <f>Query1[[#This Row],[SF Running Total]]+Query1[[#This Row],[UNIV Running Total]]</f>
        <v>5541</v>
      </c>
      <c r="L3291">
        <f>VLOOKUP(Query1[[#This Row],[Description]],'kits to boards'!$B$2:$E$156,2,FALSE)</f>
        <v>830067</v>
      </c>
      <c r="M3291">
        <f>VLOOKUP(Query1[[#This Row],[Description]],'kits to boards'!$B$2:$E$156,3,FALSE)</f>
        <v>0</v>
      </c>
      <c r="N3291">
        <f>VLOOKUP(Query1[[#This Row],[Description]],'kits to boards'!$B$2:$E$156,4,FALSE)</f>
        <v>0</v>
      </c>
      <c r="O3291" t="str">
        <f>CONCATENATE(Query1[[#This Row],[Description]]," - ",Query1[[#This Row],[MB1]]," - ",Query1[[#This Row],[MB2]]," - ",Query1[[#This Row],[MB3]])</f>
        <v>EVAP KIT 59-60 CHEV CAR 4-LEVER - 830067 - 0 - 0</v>
      </c>
    </row>
    <row r="3292" spans="1:15" x14ac:dyDescent="0.25">
      <c r="A3292" s="1">
        <v>917911</v>
      </c>
      <c r="B3292" s="1" t="s">
        <v>54</v>
      </c>
      <c r="C3292" s="1" t="s">
        <v>55</v>
      </c>
      <c r="D3292" s="2">
        <v>44655.420975081019</v>
      </c>
      <c r="E3292" s="1" t="s">
        <v>8</v>
      </c>
      <c r="F3292" s="1">
        <v>3</v>
      </c>
      <c r="G3292" s="1">
        <v>0</v>
      </c>
      <c r="H3292" s="6">
        <f>INT(Query1[[#This Row],[EntryDateTime]])</f>
        <v>44655</v>
      </c>
      <c r="I3292" s="1">
        <f>IF(Query1[[#This Row],[ItemType]]="EVAP KIT SF GEN IV",Query1[[#This Row],[OrderQty]]+I3291,I3291)</f>
        <v>4082</v>
      </c>
      <c r="J3292" s="1">
        <f>IF(Query1[[#This Row],[ItemType]]="EVAP KIT UNIVERSAL",Query1[[#This Row],[OrderQty]]+J3291,J3291)</f>
        <v>1462</v>
      </c>
      <c r="K3292" s="1">
        <f>Query1[[#This Row],[SF Running Total]]+Query1[[#This Row],[UNIV Running Total]]</f>
        <v>5544</v>
      </c>
      <c r="L3292">
        <f>VLOOKUP(Query1[[#This Row],[Description]],'kits to boards'!$B$2:$E$156,2,FALSE)</f>
        <v>830037</v>
      </c>
      <c r="M3292">
        <f>VLOOKUP(Query1[[#This Row],[Description]],'kits to boards'!$B$2:$E$156,3,FALSE)</f>
        <v>0</v>
      </c>
      <c r="N3292">
        <f>VLOOKUP(Query1[[#This Row],[Description]],'kits to boards'!$B$2:$E$156,4,FALSE)</f>
        <v>0</v>
      </c>
      <c r="O3292" t="str">
        <f>CONCATENATE(Query1[[#This Row],[Description]]," - ",Query1[[#This Row],[MB1]]," - ",Query1[[#This Row],[MB2]]," - ",Query1[[#This Row],[MB3]])</f>
        <v>EVAP KIT 70-81 FIREBIRD W/AC - 830037 - 0 - 0</v>
      </c>
    </row>
    <row r="3293" spans="1:15" x14ac:dyDescent="0.25">
      <c r="A3293" s="1">
        <v>917911</v>
      </c>
      <c r="B3293" s="1" t="s">
        <v>140</v>
      </c>
      <c r="C3293" s="1" t="s">
        <v>141</v>
      </c>
      <c r="D3293" s="2">
        <v>44655.420975081019</v>
      </c>
      <c r="E3293" s="1" t="s">
        <v>8</v>
      </c>
      <c r="F3293" s="1">
        <v>2</v>
      </c>
      <c r="G3293" s="1">
        <v>0</v>
      </c>
      <c r="H3293" s="6">
        <f>INT(Query1[[#This Row],[EntryDateTime]])</f>
        <v>44655</v>
      </c>
      <c r="I3293" s="1">
        <f>IF(Query1[[#This Row],[ItemType]]="EVAP KIT SF GEN IV",Query1[[#This Row],[OrderQty]]+I3292,I3292)</f>
        <v>4084</v>
      </c>
      <c r="J3293" s="1">
        <f>IF(Query1[[#This Row],[ItemType]]="EVAP KIT UNIVERSAL",Query1[[#This Row],[OrderQty]]+J3292,J3292)</f>
        <v>1462</v>
      </c>
      <c r="K3293" s="1">
        <f>Query1[[#This Row],[SF Running Total]]+Query1[[#This Row],[UNIV Running Total]]</f>
        <v>5546</v>
      </c>
      <c r="L3293">
        <f>VLOOKUP(Query1[[#This Row],[Description]],'kits to boards'!$B$2:$E$156,2,FALSE)</f>
        <v>830066</v>
      </c>
      <c r="M3293">
        <f>VLOOKUP(Query1[[#This Row],[Description]],'kits to boards'!$B$2:$E$156,3,FALSE)</f>
        <v>0</v>
      </c>
      <c r="N3293">
        <f>VLOOKUP(Query1[[#This Row],[Description]],'kits to boards'!$B$2:$E$156,4,FALSE)</f>
        <v>0</v>
      </c>
      <c r="O3293" t="str">
        <f>CONCATENATE(Query1[[#This Row],[Description]]," - ",Query1[[#This Row],[MB1]]," - ",Query1[[#This Row],[MB2]]," - ",Query1[[#This Row],[MB3]])</f>
        <v>EVAP KIT 60-63 CHEV P-UP WO AC - 830066 - 0 - 0</v>
      </c>
    </row>
    <row r="3294" spans="1:15" x14ac:dyDescent="0.25">
      <c r="A3294" s="1">
        <v>917911</v>
      </c>
      <c r="B3294" s="1" t="s">
        <v>44</v>
      </c>
      <c r="C3294" s="1" t="s">
        <v>45</v>
      </c>
      <c r="D3294" s="2">
        <v>44655.420975081019</v>
      </c>
      <c r="E3294" s="1" t="s">
        <v>8</v>
      </c>
      <c r="F3294" s="1">
        <v>2</v>
      </c>
      <c r="G3294" s="1">
        <v>0</v>
      </c>
      <c r="H3294" s="6">
        <f>INT(Query1[[#This Row],[EntryDateTime]])</f>
        <v>44655</v>
      </c>
      <c r="I3294" s="1">
        <f>IF(Query1[[#This Row],[ItemType]]="EVAP KIT SF GEN IV",Query1[[#This Row],[OrderQty]]+I3293,I3293)</f>
        <v>4086</v>
      </c>
      <c r="J3294" s="1">
        <f>IF(Query1[[#This Row],[ItemType]]="EVAP KIT UNIVERSAL",Query1[[#This Row],[OrderQty]]+J3293,J3293)</f>
        <v>1462</v>
      </c>
      <c r="K3294" s="1">
        <f>Query1[[#This Row],[SF Running Total]]+Query1[[#This Row],[UNIV Running Total]]</f>
        <v>5548</v>
      </c>
      <c r="L3294">
        <f>VLOOKUP(Query1[[#This Row],[Description]],'kits to boards'!$B$2:$E$156,2,FALSE)</f>
        <v>830085</v>
      </c>
      <c r="M3294">
        <f>VLOOKUP(Query1[[#This Row],[Description]],'kits to boards'!$B$2:$E$156,3,FALSE)</f>
        <v>0</v>
      </c>
      <c r="N3294">
        <f>VLOOKUP(Query1[[#This Row],[Description]],'kits to boards'!$B$2:$E$156,4,FALSE)</f>
        <v>0</v>
      </c>
      <c r="O3294" t="str">
        <f>CONCATENATE(Query1[[#This Row],[Description]]," - ",Query1[[#This Row],[MB1]]," - ",Query1[[#This Row],[MB2]]," - ",Query1[[#This Row],[MB3]])</f>
        <v>EVAP KIT 66-77 BRONCO - 830085 - 0 - 0</v>
      </c>
    </row>
    <row r="3295" spans="1:15" x14ac:dyDescent="0.25">
      <c r="A3295" s="1">
        <v>917911</v>
      </c>
      <c r="B3295" s="1" t="s">
        <v>128</v>
      </c>
      <c r="C3295" s="1" t="s">
        <v>129</v>
      </c>
      <c r="D3295" s="2">
        <v>44655.420975081019</v>
      </c>
      <c r="E3295" s="1" t="s">
        <v>8</v>
      </c>
      <c r="F3295" s="1">
        <v>3</v>
      </c>
      <c r="G3295" s="1">
        <v>0</v>
      </c>
      <c r="H3295" s="6">
        <f>INT(Query1[[#This Row],[EntryDateTime]])</f>
        <v>44655</v>
      </c>
      <c r="I3295" s="1">
        <f>IF(Query1[[#This Row],[ItemType]]="EVAP KIT SF GEN IV",Query1[[#This Row],[OrderQty]]+I3294,I3294)</f>
        <v>4089</v>
      </c>
      <c r="J3295" s="1">
        <f>IF(Query1[[#This Row],[ItemType]]="EVAP KIT UNIVERSAL",Query1[[#This Row],[OrderQty]]+J3294,J3294)</f>
        <v>1462</v>
      </c>
      <c r="K3295" s="1">
        <f>Query1[[#This Row],[SF Running Total]]+Query1[[#This Row],[UNIV Running Total]]</f>
        <v>5551</v>
      </c>
      <c r="L3295">
        <f>VLOOKUP(Query1[[#This Row],[Description]],'kits to boards'!$B$2:$E$156,2,FALSE)</f>
        <v>830036</v>
      </c>
      <c r="M3295">
        <f>VLOOKUP(Query1[[#This Row],[Description]],'kits to boards'!$B$2:$E$156,3,FALSE)</f>
        <v>830039</v>
      </c>
      <c r="N3295">
        <f>VLOOKUP(Query1[[#This Row],[Description]],'kits to boards'!$B$2:$E$156,4,FALSE)</f>
        <v>0</v>
      </c>
      <c r="O3295" t="str">
        <f>CONCATENATE(Query1[[#This Row],[Description]]," - ",Query1[[#This Row],[MB1]]," - ",Query1[[#This Row],[MB2]]," - ",Query1[[#This Row],[MB3]])</f>
        <v>EVAP KIT 63-66 VETTE WO AC - 830036 - 830039 - 0</v>
      </c>
    </row>
    <row r="3296" spans="1:15" x14ac:dyDescent="0.25">
      <c r="A3296" s="1">
        <v>917911</v>
      </c>
      <c r="B3296" s="1" t="s">
        <v>62</v>
      </c>
      <c r="C3296" s="1" t="s">
        <v>63</v>
      </c>
      <c r="D3296" s="2">
        <v>44655.420975081019</v>
      </c>
      <c r="E3296" s="1" t="s">
        <v>8</v>
      </c>
      <c r="F3296" s="1">
        <v>2</v>
      </c>
      <c r="G3296" s="1">
        <v>0</v>
      </c>
      <c r="H3296" s="6">
        <f>INT(Query1[[#This Row],[EntryDateTime]])</f>
        <v>44655</v>
      </c>
      <c r="I3296" s="1">
        <f>IF(Query1[[#This Row],[ItemType]]="EVAP KIT SF GEN IV",Query1[[#This Row],[OrderQty]]+I3295,I3295)</f>
        <v>4091</v>
      </c>
      <c r="J3296" s="1">
        <f>IF(Query1[[#This Row],[ItemType]]="EVAP KIT UNIVERSAL",Query1[[#This Row],[OrderQty]]+J3295,J3295)</f>
        <v>1462</v>
      </c>
      <c r="K3296" s="1">
        <f>Query1[[#This Row],[SF Running Total]]+Query1[[#This Row],[UNIV Running Total]]</f>
        <v>5553</v>
      </c>
      <c r="L3296">
        <f>VLOOKUP(Query1[[#This Row],[Description]],'kits to boards'!$B$2:$E$156,2,FALSE)</f>
        <v>830079</v>
      </c>
      <c r="M3296">
        <f>VLOOKUP(Query1[[#This Row],[Description]],'kits to boards'!$B$2:$E$156,3,FALSE)</f>
        <v>830046</v>
      </c>
      <c r="N3296">
        <f>VLOOKUP(Query1[[#This Row],[Description]],'kits to boards'!$B$2:$E$156,4,FALSE)</f>
        <v>0</v>
      </c>
      <c r="O3296" t="str">
        <f>CONCATENATE(Query1[[#This Row],[Description]]," - ",Query1[[#This Row],[MB1]]," - ",Query1[[#This Row],[MB2]]," - ",Query1[[#This Row],[MB3]])</f>
        <v>EVAP KIT 67-68 MUSTANG/COUGAR WO AC - 830079 - 830046 - 0</v>
      </c>
    </row>
    <row r="3297" spans="1:15" x14ac:dyDescent="0.25">
      <c r="A3297" s="1">
        <v>917911</v>
      </c>
      <c r="B3297" s="1" t="s">
        <v>26</v>
      </c>
      <c r="C3297" s="1" t="s">
        <v>27</v>
      </c>
      <c r="D3297" s="2">
        <v>44655.420975081019</v>
      </c>
      <c r="E3297" s="1" t="s">
        <v>8</v>
      </c>
      <c r="F3297" s="1">
        <v>8</v>
      </c>
      <c r="G3297" s="1">
        <v>0</v>
      </c>
      <c r="H3297" s="6">
        <f>INT(Query1[[#This Row],[EntryDateTime]])</f>
        <v>44655</v>
      </c>
      <c r="I3297" s="1">
        <f>IF(Query1[[#This Row],[ItemType]]="EVAP KIT SF GEN IV",Query1[[#This Row],[OrderQty]]+I3296,I3296)</f>
        <v>4099</v>
      </c>
      <c r="J3297" s="1">
        <f>IF(Query1[[#This Row],[ItemType]]="EVAP KIT UNIVERSAL",Query1[[#This Row],[OrderQty]]+J3296,J3296)</f>
        <v>1462</v>
      </c>
      <c r="K3297" s="1">
        <f>Query1[[#This Row],[SF Running Total]]+Query1[[#This Row],[UNIV Running Total]]</f>
        <v>5561</v>
      </c>
      <c r="L3297">
        <f>VLOOKUP(Query1[[#This Row],[Description]],'kits to boards'!$B$2:$E$156,2,FALSE)</f>
        <v>830013</v>
      </c>
      <c r="M3297">
        <f>VLOOKUP(Query1[[#This Row],[Description]],'kits to boards'!$B$2:$E$156,3,FALSE)</f>
        <v>0</v>
      </c>
      <c r="N3297">
        <f>VLOOKUP(Query1[[#This Row],[Description]],'kits to boards'!$B$2:$E$156,4,FALSE)</f>
        <v>0</v>
      </c>
      <c r="O3297" t="str">
        <f>CONCATENATE(Query1[[#This Row],[Description]]," - ",Query1[[#This Row],[MB1]]," - ",Query1[[#This Row],[MB2]]," - ",Query1[[#This Row],[MB3]])</f>
        <v>EVAP KIT 67-72 CHEV P-UP W/AC - 830013 - 0 - 0</v>
      </c>
    </row>
    <row r="3298" spans="1:15" x14ac:dyDescent="0.25">
      <c r="A3298" s="1">
        <v>917911</v>
      </c>
      <c r="B3298" s="1" t="s">
        <v>214</v>
      </c>
      <c r="C3298" s="1" t="s">
        <v>215</v>
      </c>
      <c r="D3298" s="2">
        <v>44655.420975081019</v>
      </c>
      <c r="E3298" s="1" t="s">
        <v>8</v>
      </c>
      <c r="F3298" s="1">
        <v>1</v>
      </c>
      <c r="G3298" s="1">
        <v>0</v>
      </c>
      <c r="H3298" s="6">
        <f>INT(Query1[[#This Row],[EntryDateTime]])</f>
        <v>44655</v>
      </c>
      <c r="I3298" s="1">
        <f>IF(Query1[[#This Row],[ItemType]]="EVAP KIT SF GEN IV",Query1[[#This Row],[OrderQty]]+I3297,I3297)</f>
        <v>4100</v>
      </c>
      <c r="J3298" s="1">
        <f>IF(Query1[[#This Row],[ItemType]]="EVAP KIT UNIVERSAL",Query1[[#This Row],[OrderQty]]+J3297,J3297)</f>
        <v>1462</v>
      </c>
      <c r="K3298" s="1">
        <f>Query1[[#This Row],[SF Running Total]]+Query1[[#This Row],[UNIV Running Total]]</f>
        <v>5562</v>
      </c>
      <c r="L3298">
        <f>VLOOKUP(Query1[[#This Row],[Description]],'kits to boards'!$B$2:$E$156,2,FALSE)</f>
        <v>830072</v>
      </c>
      <c r="M3298">
        <f>VLOOKUP(Query1[[#This Row],[Description]],'kits to boards'!$B$2:$E$156,3,FALSE)</f>
        <v>0</v>
      </c>
      <c r="N3298">
        <f>VLOOKUP(Query1[[#This Row],[Description]],'kits to boards'!$B$2:$E$156,4,FALSE)</f>
        <v>0</v>
      </c>
      <c r="O3298" t="str">
        <f>CONCATENATE(Query1[[#This Row],[Description]]," - ",Query1[[#This Row],[MB1]]," - ",Query1[[#This Row],[MB2]]," - ",Query1[[#This Row],[MB3]])</f>
        <v>EVAP KIT 68 MOPAR B BODY WO AC - 830072 - 0 - 0</v>
      </c>
    </row>
    <row r="3299" spans="1:15" x14ac:dyDescent="0.25">
      <c r="A3299" s="1">
        <v>917911</v>
      </c>
      <c r="B3299" s="1" t="s">
        <v>88</v>
      </c>
      <c r="C3299" s="1" t="s">
        <v>89</v>
      </c>
      <c r="D3299" s="2">
        <v>44655.420975081019</v>
      </c>
      <c r="E3299" s="1" t="s">
        <v>8</v>
      </c>
      <c r="F3299" s="1">
        <v>2</v>
      </c>
      <c r="G3299" s="1">
        <v>0</v>
      </c>
      <c r="H3299" s="6">
        <f>INT(Query1[[#This Row],[EntryDateTime]])</f>
        <v>44655</v>
      </c>
      <c r="I3299" s="1">
        <f>IF(Query1[[#This Row],[ItemType]]="EVAP KIT SF GEN IV",Query1[[#This Row],[OrderQty]]+I3298,I3298)</f>
        <v>4102</v>
      </c>
      <c r="J3299" s="1">
        <f>IF(Query1[[#This Row],[ItemType]]="EVAP KIT UNIVERSAL",Query1[[#This Row],[OrderQty]]+J3298,J3298)</f>
        <v>1462</v>
      </c>
      <c r="K3299" s="1">
        <f>Query1[[#This Row],[SF Running Total]]+Query1[[#This Row],[UNIV Running Total]]</f>
        <v>5564</v>
      </c>
      <c r="L3299">
        <f>VLOOKUP(Query1[[#This Row],[Description]],'kits to boards'!$B$2:$E$156,2,FALSE)</f>
        <v>830003</v>
      </c>
      <c r="M3299">
        <f>VLOOKUP(Query1[[#This Row],[Description]],'kits to boards'!$B$2:$E$156,3,FALSE)</f>
        <v>0</v>
      </c>
      <c r="N3299">
        <f>VLOOKUP(Query1[[#This Row],[Description]],'kits to boards'!$B$2:$E$156,4,FALSE)</f>
        <v>0</v>
      </c>
      <c r="O3299" t="str">
        <f>CONCATENATE(Query1[[#This Row],[Description]]," - ",Query1[[#This Row],[MB1]]," - ",Query1[[#This Row],[MB2]]," - ",Query1[[#This Row],[MB3]])</f>
        <v>EVAP KIT 81-87 CHEV P-UP WO AC - 830003 - 0 - 0</v>
      </c>
    </row>
    <row r="3300" spans="1:15" x14ac:dyDescent="0.25">
      <c r="A3300" s="1">
        <v>917911</v>
      </c>
      <c r="B3300" s="1" t="s">
        <v>50</v>
      </c>
      <c r="C3300" s="1" t="s">
        <v>51</v>
      </c>
      <c r="D3300" s="2">
        <v>44655.420975081019</v>
      </c>
      <c r="E3300" s="1" t="s">
        <v>8</v>
      </c>
      <c r="F3300" s="1">
        <v>4</v>
      </c>
      <c r="G3300" s="1">
        <v>0</v>
      </c>
      <c r="H3300" s="6">
        <f>INT(Query1[[#This Row],[EntryDateTime]])</f>
        <v>44655</v>
      </c>
      <c r="I3300" s="1">
        <f>IF(Query1[[#This Row],[ItemType]]="EVAP KIT SF GEN IV",Query1[[#This Row],[OrderQty]]+I3299,I3299)</f>
        <v>4106</v>
      </c>
      <c r="J3300" s="1">
        <f>IF(Query1[[#This Row],[ItemType]]="EVAP KIT UNIVERSAL",Query1[[#This Row],[OrderQty]]+J3299,J3299)</f>
        <v>1462</v>
      </c>
      <c r="K3300" s="1">
        <f>Query1[[#This Row],[SF Running Total]]+Query1[[#This Row],[UNIV Running Total]]</f>
        <v>5568</v>
      </c>
      <c r="L3300">
        <f>VLOOKUP(Query1[[#This Row],[Description]],'kits to boards'!$B$2:$E$156,2,FALSE)</f>
        <v>830043</v>
      </c>
      <c r="M3300">
        <f>VLOOKUP(Query1[[#This Row],[Description]],'kits to boards'!$B$2:$E$156,3,FALSE)</f>
        <v>0</v>
      </c>
      <c r="N3300">
        <f>VLOOKUP(Query1[[#This Row],[Description]],'kits to boards'!$B$2:$E$156,4,FALSE)</f>
        <v>0</v>
      </c>
      <c r="O3300" t="str">
        <f>CONCATENATE(Query1[[#This Row],[Description]]," - ",Query1[[#This Row],[MB1]]," - ",Query1[[#This Row],[MB2]]," - ",Query1[[#This Row],[MB3]])</f>
        <v>EVAP KIT 69-74 NOVA WO AC - 830043 - 0 - 0</v>
      </c>
    </row>
    <row r="3301" spans="1:15" x14ac:dyDescent="0.25">
      <c r="A3301" s="1">
        <v>917911</v>
      </c>
      <c r="B3301" s="1" t="s">
        <v>180</v>
      </c>
      <c r="C3301" s="1" t="s">
        <v>181</v>
      </c>
      <c r="D3301" s="2">
        <v>44655.420975081019</v>
      </c>
      <c r="E3301" s="1" t="s">
        <v>8</v>
      </c>
      <c r="F3301" s="1">
        <v>1</v>
      </c>
      <c r="G3301" s="1">
        <v>0</v>
      </c>
      <c r="H3301" s="6">
        <f>INT(Query1[[#This Row],[EntryDateTime]])</f>
        <v>44655</v>
      </c>
      <c r="I3301" s="1">
        <f>IF(Query1[[#This Row],[ItemType]]="EVAP KIT SF GEN IV",Query1[[#This Row],[OrderQty]]+I3300,I3300)</f>
        <v>4107</v>
      </c>
      <c r="J3301" s="1">
        <f>IF(Query1[[#This Row],[ItemType]]="EVAP KIT UNIVERSAL",Query1[[#This Row],[OrderQty]]+J3300,J3300)</f>
        <v>1462</v>
      </c>
      <c r="K3301" s="1">
        <f>Query1[[#This Row],[SF Running Total]]+Query1[[#This Row],[UNIV Running Total]]</f>
        <v>5569</v>
      </c>
      <c r="L3301">
        <f>VLOOKUP(Query1[[#This Row],[Description]],'kits to boards'!$B$2:$E$156,2,FALSE)</f>
        <v>830123</v>
      </c>
      <c r="M3301">
        <f>VLOOKUP(Query1[[#This Row],[Description]],'kits to boards'!$B$2:$E$156,3,FALSE)</f>
        <v>0</v>
      </c>
      <c r="N3301">
        <f>VLOOKUP(Query1[[#This Row],[Description]],'kits to boards'!$B$2:$E$156,4,FALSE)</f>
        <v>0</v>
      </c>
      <c r="O3301" t="str">
        <f>CONCATENATE(Query1[[#This Row],[Description]]," - ",Query1[[#This Row],[MB1]]," - ",Query1[[#This Row],[MB2]]," - ",Query1[[#This Row],[MB3]])</f>
        <v>EVAP KIT 68 GTO W/AC - 830123 - 0 - 0</v>
      </c>
    </row>
    <row r="3302" spans="1:15" x14ac:dyDescent="0.25">
      <c r="A3302" s="1">
        <v>917911</v>
      </c>
      <c r="B3302" s="1" t="s">
        <v>208</v>
      </c>
      <c r="C3302" s="1" t="s">
        <v>209</v>
      </c>
      <c r="D3302" s="2">
        <v>44655.420975081019</v>
      </c>
      <c r="E3302" s="1" t="s">
        <v>8</v>
      </c>
      <c r="F3302" s="1">
        <v>1</v>
      </c>
      <c r="G3302" s="1">
        <v>0</v>
      </c>
      <c r="H3302" s="6">
        <f>INT(Query1[[#This Row],[EntryDateTime]])</f>
        <v>44655</v>
      </c>
      <c r="I3302" s="1">
        <f>IF(Query1[[#This Row],[ItemType]]="EVAP KIT SF GEN IV",Query1[[#This Row],[OrderQty]]+I3301,I3301)</f>
        <v>4108</v>
      </c>
      <c r="J3302" s="1">
        <f>IF(Query1[[#This Row],[ItemType]]="EVAP KIT UNIVERSAL",Query1[[#This Row],[OrderQty]]+J3301,J3301)</f>
        <v>1462</v>
      </c>
      <c r="K3302" s="1">
        <f>Query1[[#This Row],[SF Running Total]]+Query1[[#This Row],[UNIV Running Total]]</f>
        <v>5570</v>
      </c>
      <c r="L3302">
        <f>VLOOKUP(Query1[[#This Row],[Description]],'kits to boards'!$B$2:$E$156,2,FALSE)</f>
        <v>830094</v>
      </c>
      <c r="M3302">
        <f>VLOOKUP(Query1[[#This Row],[Description]],'kits to boards'!$B$2:$E$156,3,FALSE)</f>
        <v>0</v>
      </c>
      <c r="N3302">
        <f>VLOOKUP(Query1[[#This Row],[Description]],'kits to boards'!$B$2:$E$156,4,FALSE)</f>
        <v>0</v>
      </c>
      <c r="O3302" t="str">
        <f>CONCATENATE(Query1[[#This Row],[Description]]," - ",Query1[[#This Row],[MB1]]," - ",Query1[[#This Row],[MB2]]," - ",Query1[[#This Row],[MB3]])</f>
        <v>EVAP KIT 68 VETTE W/AC - 830094 - 0 - 0</v>
      </c>
    </row>
    <row r="3303" spans="1:15" x14ac:dyDescent="0.25">
      <c r="A3303" s="1">
        <v>917911</v>
      </c>
      <c r="B3303" s="1" t="s">
        <v>158</v>
      </c>
      <c r="C3303" s="1" t="s">
        <v>159</v>
      </c>
      <c r="D3303" s="2">
        <v>44655.420975081019</v>
      </c>
      <c r="E3303" s="1" t="s">
        <v>8</v>
      </c>
      <c r="F3303" s="1">
        <v>2</v>
      </c>
      <c r="G3303" s="1">
        <v>0</v>
      </c>
      <c r="H3303" s="6">
        <f>INT(Query1[[#This Row],[EntryDateTime]])</f>
        <v>44655</v>
      </c>
      <c r="I3303" s="1">
        <f>IF(Query1[[#This Row],[ItemType]]="EVAP KIT SF GEN IV",Query1[[#This Row],[OrderQty]]+I3302,I3302)</f>
        <v>4110</v>
      </c>
      <c r="J3303" s="1">
        <f>IF(Query1[[#This Row],[ItemType]]="EVAP KIT UNIVERSAL",Query1[[#This Row],[OrderQty]]+J3302,J3302)</f>
        <v>1462</v>
      </c>
      <c r="K3303" s="1">
        <f>Query1[[#This Row],[SF Running Total]]+Query1[[#This Row],[UNIV Running Total]]</f>
        <v>5572</v>
      </c>
      <c r="L3303">
        <f>VLOOKUP(Query1[[#This Row],[Description]],'kits to boards'!$B$2:$E$156,2,FALSE)</f>
        <v>830080</v>
      </c>
      <c r="M3303">
        <f>VLOOKUP(Query1[[#This Row],[Description]],'kits to boards'!$B$2:$E$156,3,FALSE)</f>
        <v>830046</v>
      </c>
      <c r="N3303">
        <f>VLOOKUP(Query1[[#This Row],[Description]],'kits to boards'!$B$2:$E$156,4,FALSE)</f>
        <v>0</v>
      </c>
      <c r="O3303" t="str">
        <f>CONCATENATE(Query1[[#This Row],[Description]]," - ",Query1[[#This Row],[MB1]]," - ",Query1[[#This Row],[MB2]]," - ",Query1[[#This Row],[MB3]])</f>
        <v>EVAP KIT 69-70 MUSTANG W/AC  - 830080 - 830046 - 0</v>
      </c>
    </row>
    <row r="3304" spans="1:15" x14ac:dyDescent="0.25">
      <c r="A3304" s="1">
        <v>917911</v>
      </c>
      <c r="B3304" s="1" t="s">
        <v>28</v>
      </c>
      <c r="C3304" s="1" t="s">
        <v>29</v>
      </c>
      <c r="D3304" s="2">
        <v>44655.420975081019</v>
      </c>
      <c r="E3304" s="1" t="s">
        <v>8</v>
      </c>
      <c r="F3304" s="1">
        <v>3</v>
      </c>
      <c r="G3304" s="1">
        <v>0</v>
      </c>
      <c r="H3304" s="6">
        <f>INT(Query1[[#This Row],[EntryDateTime]])</f>
        <v>44655</v>
      </c>
      <c r="I3304" s="1">
        <f>IF(Query1[[#This Row],[ItemType]]="EVAP KIT SF GEN IV",Query1[[#This Row],[OrderQty]]+I3303,I3303)</f>
        <v>4113</v>
      </c>
      <c r="J3304" s="1">
        <f>IF(Query1[[#This Row],[ItemType]]="EVAP KIT UNIVERSAL",Query1[[#This Row],[OrderQty]]+J3303,J3303)</f>
        <v>1462</v>
      </c>
      <c r="K3304" s="1">
        <f>Query1[[#This Row],[SF Running Total]]+Query1[[#This Row],[UNIV Running Total]]</f>
        <v>5575</v>
      </c>
      <c r="L3304">
        <f>VLOOKUP(Query1[[#This Row],[Description]],'kits to boards'!$B$2:$E$156,2,FALSE)</f>
        <v>830001</v>
      </c>
      <c r="M3304">
        <f>VLOOKUP(Query1[[#This Row],[Description]],'kits to boards'!$B$2:$E$156,3,FALSE)</f>
        <v>0</v>
      </c>
      <c r="N3304">
        <f>VLOOKUP(Query1[[#This Row],[Description]],'kits to boards'!$B$2:$E$156,4,FALSE)</f>
        <v>0</v>
      </c>
      <c r="O3304" t="str">
        <f>CONCATENATE(Query1[[#This Row],[Description]]," - ",Query1[[#This Row],[MB1]]," - ",Query1[[#This Row],[MB2]]," - ",Query1[[#This Row],[MB3]])</f>
        <v>EVAP KIT 73-80 CHEV P-UP W/AC - 830001 - 0 - 0</v>
      </c>
    </row>
    <row r="3305" spans="1:15" x14ac:dyDescent="0.25">
      <c r="A3305" s="1">
        <v>917911</v>
      </c>
      <c r="B3305" s="1" t="s">
        <v>22</v>
      </c>
      <c r="C3305" s="1" t="s">
        <v>23</v>
      </c>
      <c r="D3305" s="2">
        <v>44655.420975081019</v>
      </c>
      <c r="E3305" s="1" t="s">
        <v>8</v>
      </c>
      <c r="F3305" s="1">
        <v>7</v>
      </c>
      <c r="G3305" s="1">
        <v>0</v>
      </c>
      <c r="H3305" s="6">
        <f>INT(Query1[[#This Row],[EntryDateTime]])</f>
        <v>44655</v>
      </c>
      <c r="I3305" s="1">
        <f>IF(Query1[[#This Row],[ItemType]]="EVAP KIT SF GEN IV",Query1[[#This Row],[OrderQty]]+I3304,I3304)</f>
        <v>4120</v>
      </c>
      <c r="J3305" s="1">
        <f>IF(Query1[[#This Row],[ItemType]]="EVAP KIT UNIVERSAL",Query1[[#This Row],[OrderQty]]+J3304,J3304)</f>
        <v>1462</v>
      </c>
      <c r="K3305" s="1">
        <f>Query1[[#This Row],[SF Running Total]]+Query1[[#This Row],[UNIV Running Total]]</f>
        <v>5582</v>
      </c>
      <c r="L3305">
        <f>VLOOKUP(Query1[[#This Row],[Description]],'kits to boards'!$B$2:$E$156,2,FALSE)</f>
        <v>830083</v>
      </c>
      <c r="M3305">
        <f>VLOOKUP(Query1[[#This Row],[Description]],'kits to boards'!$B$2:$E$156,3,FALSE)</f>
        <v>0</v>
      </c>
      <c r="N3305">
        <f>VLOOKUP(Query1[[#This Row],[Description]],'kits to boards'!$B$2:$E$156,4,FALSE)</f>
        <v>0</v>
      </c>
      <c r="O3305" t="str">
        <f>CONCATENATE(Query1[[#This Row],[Description]]," - ",Query1[[#This Row],[MB1]]," - ",Query1[[#This Row],[MB2]]," - ",Query1[[#This Row],[MB3]])</f>
        <v>GEN IV MAGNUM EVAP KIT - 830083 - 0 - 0</v>
      </c>
    </row>
    <row r="3306" spans="1:15" x14ac:dyDescent="0.25">
      <c r="A3306" s="1">
        <v>917911</v>
      </c>
      <c r="B3306" s="1" t="s">
        <v>210</v>
      </c>
      <c r="C3306" s="1" t="s">
        <v>211</v>
      </c>
      <c r="D3306" s="2">
        <v>44655.420975081019</v>
      </c>
      <c r="E3306" s="1" t="s">
        <v>8</v>
      </c>
      <c r="F3306" s="1">
        <v>1</v>
      </c>
      <c r="G3306" s="1">
        <v>0</v>
      </c>
      <c r="H3306" s="6">
        <f>INT(Query1[[#This Row],[EntryDateTime]])</f>
        <v>44655</v>
      </c>
      <c r="I3306" s="1">
        <f>IF(Query1[[#This Row],[ItemType]]="EVAP KIT SF GEN IV",Query1[[#This Row],[OrderQty]]+I3305,I3305)</f>
        <v>4121</v>
      </c>
      <c r="J3306" s="1">
        <f>IF(Query1[[#This Row],[ItemType]]="EVAP KIT UNIVERSAL",Query1[[#This Row],[OrderQty]]+J3305,J3305)</f>
        <v>1462</v>
      </c>
      <c r="K3306" s="1">
        <f>Query1[[#This Row],[SF Running Total]]+Query1[[#This Row],[UNIV Running Total]]</f>
        <v>5583</v>
      </c>
      <c r="L3306">
        <f>VLOOKUP(Query1[[#This Row],[Description]],'kits to boards'!$B$2:$E$156,2,FALSE)</f>
        <v>830094</v>
      </c>
      <c r="M3306">
        <f>VLOOKUP(Query1[[#This Row],[Description]],'kits to boards'!$B$2:$E$156,3,FALSE)</f>
        <v>0</v>
      </c>
      <c r="N3306">
        <f>VLOOKUP(Query1[[#This Row],[Description]],'kits to boards'!$B$2:$E$156,4,FALSE)</f>
        <v>0</v>
      </c>
      <c r="O3306" t="str">
        <f>CONCATENATE(Query1[[#This Row],[Description]]," - ",Query1[[#This Row],[MB1]]," - ",Query1[[#This Row],[MB2]]," - ",Query1[[#This Row],[MB3]])</f>
        <v>EVAP KIT 74-76 VETTE W/AC - 830094 - 0 - 0</v>
      </c>
    </row>
    <row r="3307" spans="1:15" x14ac:dyDescent="0.25">
      <c r="A3307" s="1">
        <v>917911</v>
      </c>
      <c r="B3307" s="1" t="s">
        <v>52</v>
      </c>
      <c r="C3307" s="1" t="s">
        <v>53</v>
      </c>
      <c r="D3307" s="2">
        <v>44655.420975081019</v>
      </c>
      <c r="E3307" s="1" t="s">
        <v>8</v>
      </c>
      <c r="F3307" s="1">
        <v>7</v>
      </c>
      <c r="G3307" s="1">
        <v>0</v>
      </c>
      <c r="H3307" s="6">
        <f>INT(Query1[[#This Row],[EntryDateTime]])</f>
        <v>44655</v>
      </c>
      <c r="I3307" s="1">
        <f>IF(Query1[[#This Row],[ItemType]]="EVAP KIT SF GEN IV",Query1[[#This Row],[OrderQty]]+I3306,I3306)</f>
        <v>4128</v>
      </c>
      <c r="J3307" s="1">
        <f>IF(Query1[[#This Row],[ItemType]]="EVAP KIT UNIVERSAL",Query1[[#This Row],[OrderQty]]+J3306,J3306)</f>
        <v>1462</v>
      </c>
      <c r="K3307" s="1">
        <f>Query1[[#This Row],[SF Running Total]]+Query1[[#This Row],[UNIV Running Total]]</f>
        <v>5590</v>
      </c>
      <c r="L3307">
        <f>VLOOKUP(Query1[[#This Row],[Description]],'kits to boards'!$B$2:$E$156,2,FALSE)</f>
        <v>830017</v>
      </c>
      <c r="M3307">
        <f>VLOOKUP(Query1[[#This Row],[Description]],'kits to boards'!$B$2:$E$156,3,FALSE)</f>
        <v>830119</v>
      </c>
      <c r="N3307">
        <f>VLOOKUP(Query1[[#This Row],[Description]],'kits to boards'!$B$2:$E$156,4,FALSE)</f>
        <v>830120</v>
      </c>
      <c r="O3307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308" spans="1:15" x14ac:dyDescent="0.25">
      <c r="A3308" s="1">
        <v>917911</v>
      </c>
      <c r="B3308" s="1" t="s">
        <v>68</v>
      </c>
      <c r="C3308" s="1" t="s">
        <v>69</v>
      </c>
      <c r="D3308" s="2">
        <v>44655.420975081019</v>
      </c>
      <c r="E3308" s="1" t="s">
        <v>8</v>
      </c>
      <c r="F3308" s="1">
        <v>3</v>
      </c>
      <c r="G3308" s="1">
        <v>0</v>
      </c>
      <c r="H3308" s="6">
        <f>INT(Query1[[#This Row],[EntryDateTime]])</f>
        <v>44655</v>
      </c>
      <c r="I3308" s="1">
        <f>IF(Query1[[#This Row],[ItemType]]="EVAP KIT SF GEN IV",Query1[[#This Row],[OrderQty]]+I3307,I3307)</f>
        <v>4131</v>
      </c>
      <c r="J3308" s="1">
        <f>IF(Query1[[#This Row],[ItemType]]="EVAP KIT UNIVERSAL",Query1[[#This Row],[OrderQty]]+J3307,J3307)</f>
        <v>1462</v>
      </c>
      <c r="K3308" s="1">
        <f>Query1[[#This Row],[SF Running Total]]+Query1[[#This Row],[UNIV Running Total]]</f>
        <v>5593</v>
      </c>
      <c r="L3308">
        <f>VLOOKUP(Query1[[#This Row],[Description]],'kits to boards'!$B$2:$E$156,2,FALSE)</f>
        <v>830010</v>
      </c>
      <c r="M3308">
        <f>VLOOKUP(Query1[[#This Row],[Description]],'kits to boards'!$B$2:$E$156,3,FALSE)</f>
        <v>0</v>
      </c>
      <c r="N3308">
        <f>VLOOKUP(Query1[[#This Row],[Description]],'kits to boards'!$B$2:$E$156,4,FALSE)</f>
        <v>0</v>
      </c>
      <c r="O3308" t="str">
        <f>CONCATENATE(Query1[[#This Row],[Description]]," - ",Query1[[#This Row],[MB1]]," - ",Query1[[#This Row],[MB2]]," - ",Query1[[#This Row],[MB3]])</f>
        <v>EVAP KIT 70-72 CHEVELLE WO AC - 830010 - 0 - 0</v>
      </c>
    </row>
    <row r="3309" spans="1:15" x14ac:dyDescent="0.25">
      <c r="A3309" s="1">
        <v>917911</v>
      </c>
      <c r="B3309" s="1" t="s">
        <v>162</v>
      </c>
      <c r="C3309" s="1" t="s">
        <v>163</v>
      </c>
      <c r="D3309" s="2">
        <v>44655.420975081019</v>
      </c>
      <c r="E3309" s="1" t="s">
        <v>8</v>
      </c>
      <c r="F3309" s="1">
        <v>2</v>
      </c>
      <c r="G3309" s="1">
        <v>0</v>
      </c>
      <c r="H3309" s="6">
        <f>INT(Query1[[#This Row],[EntryDateTime]])</f>
        <v>44655</v>
      </c>
      <c r="I3309" s="1">
        <f>IF(Query1[[#This Row],[ItemType]]="EVAP KIT SF GEN IV",Query1[[#This Row],[OrderQty]]+I3308,I3308)</f>
        <v>4133</v>
      </c>
      <c r="J3309" s="1">
        <f>IF(Query1[[#This Row],[ItemType]]="EVAP KIT UNIVERSAL",Query1[[#This Row],[OrderQty]]+J3308,J3308)</f>
        <v>1462</v>
      </c>
      <c r="K3309" s="1">
        <f>Query1[[#This Row],[SF Running Total]]+Query1[[#This Row],[UNIV Running Total]]</f>
        <v>5595</v>
      </c>
      <c r="L3309">
        <f>VLOOKUP(Query1[[#This Row],[Description]],'kits to boards'!$B$2:$E$156,2,FALSE)</f>
        <v>830083</v>
      </c>
      <c r="M3309">
        <f>VLOOKUP(Query1[[#This Row],[Description]],'kits to boards'!$B$2:$E$156,3,FALSE)</f>
        <v>0</v>
      </c>
      <c r="N3309">
        <f>VLOOKUP(Query1[[#This Row],[Description]],'kits to boards'!$B$2:$E$156,4,FALSE)</f>
        <v>0</v>
      </c>
      <c r="O3309" t="str">
        <f>CONCATENATE(Query1[[#This Row],[Description]]," - ",Query1[[#This Row],[MB1]]," - ",Query1[[#This Row],[MB2]]," - ",Query1[[#This Row],[MB3]])</f>
        <v>EVAP KIT 70-74 CHALNGR/CUDA W/AC W/RD - 830083 - 0 - 0</v>
      </c>
    </row>
    <row r="3310" spans="1:15" x14ac:dyDescent="0.25">
      <c r="A3310" s="1">
        <v>917911</v>
      </c>
      <c r="B3310" s="1" t="s">
        <v>110</v>
      </c>
      <c r="C3310" s="1" t="s">
        <v>111</v>
      </c>
      <c r="D3310" s="2">
        <v>44655.420975081019</v>
      </c>
      <c r="E3310" s="1" t="s">
        <v>8</v>
      </c>
      <c r="F3310" s="1">
        <v>5</v>
      </c>
      <c r="G3310" s="1">
        <v>0</v>
      </c>
      <c r="H3310" s="6">
        <f>INT(Query1[[#This Row],[EntryDateTime]])</f>
        <v>44655</v>
      </c>
      <c r="I3310" s="1">
        <f>IF(Query1[[#This Row],[ItemType]]="EVAP KIT SF GEN IV",Query1[[#This Row],[OrderQty]]+I3309,I3309)</f>
        <v>4138</v>
      </c>
      <c r="J3310" s="1">
        <f>IF(Query1[[#This Row],[ItemType]]="EVAP KIT UNIVERSAL",Query1[[#This Row],[OrderQty]]+J3309,J3309)</f>
        <v>1462</v>
      </c>
      <c r="K3310" s="1">
        <f>Query1[[#This Row],[SF Running Total]]+Query1[[#This Row],[UNIV Running Total]]</f>
        <v>5600</v>
      </c>
      <c r="L3310">
        <f>VLOOKUP(Query1[[#This Row],[Description]],'kits to boards'!$B$2:$E$156,2,FALSE)</f>
        <v>830053</v>
      </c>
      <c r="M3310">
        <f>VLOOKUP(Query1[[#This Row],[Description]],'kits to boards'!$B$2:$E$156,3,FALSE)</f>
        <v>0</v>
      </c>
      <c r="N3310">
        <f>VLOOKUP(Query1[[#This Row],[Description]],'kits to boards'!$B$2:$E$156,4,FALSE)</f>
        <v>0</v>
      </c>
      <c r="O3310" t="str">
        <f>CONCATENATE(Query1[[#This Row],[Description]]," - ",Query1[[#This Row],[MB1]]," - ",Query1[[#This Row],[MB2]]," - ",Query1[[#This Row],[MB3]])</f>
        <v>EVAP KIT 65-66 FORD F-100 - 830053 - 0 - 0</v>
      </c>
    </row>
    <row r="3311" spans="1:15" x14ac:dyDescent="0.25">
      <c r="A3311" s="1">
        <v>917911</v>
      </c>
      <c r="B3311" s="1" t="s">
        <v>154</v>
      </c>
      <c r="C3311" s="1" t="s">
        <v>155</v>
      </c>
      <c r="D3311" s="2">
        <v>44655.420975081019</v>
      </c>
      <c r="E3311" s="1" t="s">
        <v>8</v>
      </c>
      <c r="F3311" s="1">
        <v>1</v>
      </c>
      <c r="G3311" s="1">
        <v>0</v>
      </c>
      <c r="H3311" s="6">
        <f>INT(Query1[[#This Row],[EntryDateTime]])</f>
        <v>44655</v>
      </c>
      <c r="I3311" s="1">
        <f>IF(Query1[[#This Row],[ItemType]]="EVAP KIT SF GEN IV",Query1[[#This Row],[OrderQty]]+I3310,I3310)</f>
        <v>4139</v>
      </c>
      <c r="J3311" s="1">
        <f>IF(Query1[[#This Row],[ItemType]]="EVAP KIT UNIVERSAL",Query1[[#This Row],[OrderQty]]+J3310,J3310)</f>
        <v>1462</v>
      </c>
      <c r="K3311" s="1">
        <f>Query1[[#This Row],[SF Running Total]]+Query1[[#This Row],[UNIV Running Total]]</f>
        <v>5601</v>
      </c>
      <c r="L3311">
        <f>VLOOKUP(Query1[[#This Row],[Description]],'kits to boards'!$B$2:$E$156,2,FALSE)</f>
        <v>830124</v>
      </c>
      <c r="M3311">
        <f>VLOOKUP(Query1[[#This Row],[Description]],'kits to boards'!$B$2:$E$156,3,FALSE)</f>
        <v>0</v>
      </c>
      <c r="N3311">
        <f>VLOOKUP(Query1[[#This Row],[Description]],'kits to boards'!$B$2:$E$156,4,FALSE)</f>
        <v>0</v>
      </c>
      <c r="O3311" t="str">
        <f>CONCATENATE(Query1[[#This Row],[Description]]," - ",Query1[[#This Row],[MB1]]," - ",Query1[[#This Row],[MB2]]," - ",Query1[[#This Row],[MB3]])</f>
        <v>EVAP KIT 69 GTO W/AC - 830124 - 0 - 0</v>
      </c>
    </row>
    <row r="3312" spans="1:15" x14ac:dyDescent="0.25">
      <c r="A3312" s="1">
        <v>917911</v>
      </c>
      <c r="B3312" s="1" t="s">
        <v>48</v>
      </c>
      <c r="C3312" s="1" t="s">
        <v>49</v>
      </c>
      <c r="D3312" s="2">
        <v>44655.420975081019</v>
      </c>
      <c r="E3312" s="1" t="s">
        <v>8</v>
      </c>
      <c r="F3312" s="1">
        <v>2</v>
      </c>
      <c r="G3312" s="1">
        <v>0</v>
      </c>
      <c r="H3312" s="6">
        <f>INT(Query1[[#This Row],[EntryDateTime]])</f>
        <v>44655</v>
      </c>
      <c r="I3312" s="1">
        <f>IF(Query1[[#This Row],[ItemType]]="EVAP KIT SF GEN IV",Query1[[#This Row],[OrderQty]]+I3311,I3311)</f>
        <v>4141</v>
      </c>
      <c r="J3312" s="1">
        <f>IF(Query1[[#This Row],[ItemType]]="EVAP KIT UNIVERSAL",Query1[[#This Row],[OrderQty]]+J3311,J3311)</f>
        <v>1462</v>
      </c>
      <c r="K3312" s="1">
        <f>Query1[[#This Row],[SF Running Total]]+Query1[[#This Row],[UNIV Running Total]]</f>
        <v>5603</v>
      </c>
      <c r="L3312">
        <f>VLOOKUP(Query1[[#This Row],[Description]],'kits to boards'!$B$2:$E$156,2,FALSE)</f>
        <v>830015</v>
      </c>
      <c r="M3312">
        <f>VLOOKUP(Query1[[#This Row],[Description]],'kits to boards'!$B$2:$E$156,3,FALSE)</f>
        <v>0</v>
      </c>
      <c r="N3312">
        <f>VLOOKUP(Query1[[#This Row],[Description]],'kits to boards'!$B$2:$E$156,4,FALSE)</f>
        <v>0</v>
      </c>
      <c r="O3312" t="str">
        <f>CONCATENATE(Query1[[#This Row],[Description]]," - ",Query1[[#This Row],[MB1]]," - ",Query1[[#This Row],[MB2]]," - ",Query1[[#This Row],[MB3]])</f>
        <v>EVAP KIT 64-66 CHEV P-UP WO AC W/DELX - 830015 - 0 - 0</v>
      </c>
    </row>
    <row r="3313" spans="1:15" x14ac:dyDescent="0.25">
      <c r="A3313" s="1">
        <v>917911</v>
      </c>
      <c r="B3313" s="1" t="s">
        <v>84</v>
      </c>
      <c r="C3313" s="1" t="s">
        <v>85</v>
      </c>
      <c r="D3313" s="2">
        <v>44655.420975081019</v>
      </c>
      <c r="E3313" s="1" t="s">
        <v>8</v>
      </c>
      <c r="F3313" s="1">
        <v>2</v>
      </c>
      <c r="G3313" s="1">
        <v>0</v>
      </c>
      <c r="H3313" s="6">
        <f>INT(Query1[[#This Row],[EntryDateTime]])</f>
        <v>44655</v>
      </c>
      <c r="I3313" s="1">
        <f>IF(Query1[[#This Row],[ItemType]]="EVAP KIT SF GEN IV",Query1[[#This Row],[OrderQty]]+I3312,I3312)</f>
        <v>4143</v>
      </c>
      <c r="J3313" s="1">
        <f>IF(Query1[[#This Row],[ItemType]]="EVAP KIT UNIVERSAL",Query1[[#This Row],[OrderQty]]+J3312,J3312)</f>
        <v>1462</v>
      </c>
      <c r="K3313" s="1">
        <f>Query1[[#This Row],[SF Running Total]]+Query1[[#This Row],[UNIV Running Total]]</f>
        <v>5605</v>
      </c>
      <c r="L3313">
        <f>VLOOKUP(Query1[[#This Row],[Description]],'kits to boards'!$B$2:$E$156,2,FALSE)</f>
        <v>830085</v>
      </c>
      <c r="M3313">
        <f>VLOOKUP(Query1[[#This Row],[Description]],'kits to boards'!$B$2:$E$156,3,FALSE)</f>
        <v>0</v>
      </c>
      <c r="N3313">
        <f>VLOOKUP(Query1[[#This Row],[Description]],'kits to boards'!$B$2:$E$156,4,FALSE)</f>
        <v>0</v>
      </c>
      <c r="O3313" t="str">
        <f>CONCATENATE(Query1[[#This Row],[Description]]," - ",Query1[[#This Row],[MB1]]," - ",Query1[[#This Row],[MB2]]," - ",Query1[[#This Row],[MB3]])</f>
        <v>EVAP KIT 66-77 BRONCO 4-VENT PLENUM - 830085 - 0 - 0</v>
      </c>
    </row>
    <row r="3314" spans="1:15" x14ac:dyDescent="0.25">
      <c r="A3314" s="1">
        <v>917911</v>
      </c>
      <c r="B3314" s="1" t="s">
        <v>132</v>
      </c>
      <c r="C3314" s="1" t="s">
        <v>133</v>
      </c>
      <c r="D3314" s="2">
        <v>44655.420975081019</v>
      </c>
      <c r="E3314" s="1" t="s">
        <v>8</v>
      </c>
      <c r="F3314" s="1">
        <v>4</v>
      </c>
      <c r="G3314" s="1">
        <v>0</v>
      </c>
      <c r="H3314" s="6">
        <f>INT(Query1[[#This Row],[EntryDateTime]])</f>
        <v>44655</v>
      </c>
      <c r="I3314" s="1">
        <f>IF(Query1[[#This Row],[ItemType]]="EVAP KIT SF GEN IV",Query1[[#This Row],[OrderQty]]+I3313,I3313)</f>
        <v>4147</v>
      </c>
      <c r="J3314" s="1">
        <f>IF(Query1[[#This Row],[ItemType]]="EVAP KIT UNIVERSAL",Query1[[#This Row],[OrderQty]]+J3313,J3313)</f>
        <v>1462</v>
      </c>
      <c r="K3314" s="1">
        <f>Query1[[#This Row],[SF Running Total]]+Query1[[#This Row],[UNIV Running Total]]</f>
        <v>5609</v>
      </c>
      <c r="L3314">
        <f>VLOOKUP(Query1[[#This Row],[Description]],'kits to boards'!$B$2:$E$156,2,FALSE)</f>
        <v>830005</v>
      </c>
      <c r="M3314">
        <f>VLOOKUP(Query1[[#This Row],[Description]],'kits to boards'!$B$2:$E$156,3,FALSE)</f>
        <v>0</v>
      </c>
      <c r="N3314">
        <f>VLOOKUP(Query1[[#This Row],[Description]],'kits to boards'!$B$2:$E$156,4,FALSE)</f>
        <v>0</v>
      </c>
      <c r="O3314" t="str">
        <f>CONCATENATE(Query1[[#This Row],[Description]]," - ",Query1[[#This Row],[MB1]]," - ",Query1[[#This Row],[MB2]]," - ",Query1[[#This Row],[MB3]])</f>
        <v>EVAP KIT 61-62 IMPALA WO AC - 830005 - 0 - 0</v>
      </c>
    </row>
    <row r="3315" spans="1:15" x14ac:dyDescent="0.25">
      <c r="A3315" s="1">
        <v>917911</v>
      </c>
      <c r="B3315" s="1" t="s">
        <v>122</v>
      </c>
      <c r="C3315" s="1" t="s">
        <v>123</v>
      </c>
      <c r="D3315" s="2">
        <v>44655.420975081019</v>
      </c>
      <c r="E3315" s="1" t="s">
        <v>8</v>
      </c>
      <c r="F3315" s="1">
        <v>1</v>
      </c>
      <c r="G3315" s="1">
        <v>0</v>
      </c>
      <c r="H3315" s="6">
        <f>INT(Query1[[#This Row],[EntryDateTime]])</f>
        <v>44655</v>
      </c>
      <c r="I3315" s="1">
        <f>IF(Query1[[#This Row],[ItemType]]="EVAP KIT SF GEN IV",Query1[[#This Row],[OrderQty]]+I3314,I3314)</f>
        <v>4148</v>
      </c>
      <c r="J3315" s="1">
        <f>IF(Query1[[#This Row],[ItemType]]="EVAP KIT UNIVERSAL",Query1[[#This Row],[OrderQty]]+J3314,J3314)</f>
        <v>1462</v>
      </c>
      <c r="K3315" s="1">
        <f>Query1[[#This Row],[SF Running Total]]+Query1[[#This Row],[UNIV Running Total]]</f>
        <v>5610</v>
      </c>
      <c r="L3315">
        <f>VLOOKUP(Query1[[#This Row],[Description]],'kits to boards'!$B$2:$E$156,2,FALSE)</f>
        <v>830027</v>
      </c>
      <c r="M3315">
        <f>VLOOKUP(Query1[[#This Row],[Description]],'kits to boards'!$B$2:$E$156,3,FALSE)</f>
        <v>0</v>
      </c>
      <c r="N3315">
        <f>VLOOKUP(Query1[[#This Row],[Description]],'kits to boards'!$B$2:$E$156,4,FALSE)</f>
        <v>0</v>
      </c>
      <c r="O3315" t="str">
        <f>CONCATENATE(Query1[[#This Row],[Description]]," - ",Query1[[#This Row],[MB1]]," - ",Query1[[#This Row],[MB2]]," - ",Query1[[#This Row],[MB3]])</f>
        <v>EVAP KIT 70-72 CUTLASS W/AC - 830027 - 0 - 0</v>
      </c>
    </row>
    <row r="3316" spans="1:15" x14ac:dyDescent="0.25">
      <c r="A3316" s="1">
        <v>917911</v>
      </c>
      <c r="B3316" s="1" t="s">
        <v>42</v>
      </c>
      <c r="C3316" s="1" t="s">
        <v>43</v>
      </c>
      <c r="D3316" s="2">
        <v>44655.420975081019</v>
      </c>
      <c r="E3316" s="1" t="s">
        <v>8</v>
      </c>
      <c r="F3316" s="1">
        <v>6</v>
      </c>
      <c r="G3316" s="1">
        <v>0</v>
      </c>
      <c r="H3316" s="6">
        <f>INT(Query1[[#This Row],[EntryDateTime]])</f>
        <v>44655</v>
      </c>
      <c r="I3316" s="1">
        <f>IF(Query1[[#This Row],[ItemType]]="EVAP KIT SF GEN IV",Query1[[#This Row],[OrderQty]]+I3315,I3315)</f>
        <v>4154</v>
      </c>
      <c r="J3316" s="1">
        <f>IF(Query1[[#This Row],[ItemType]]="EVAP KIT UNIVERSAL",Query1[[#This Row],[OrderQty]]+J3315,J3315)</f>
        <v>1462</v>
      </c>
      <c r="K3316" s="1">
        <f>Query1[[#This Row],[SF Running Total]]+Query1[[#This Row],[UNIV Running Total]]</f>
        <v>5616</v>
      </c>
      <c r="L3316">
        <f>VLOOKUP(Query1[[#This Row],[Description]],'kits to boards'!$B$2:$E$156,2,FALSE)</f>
        <v>830014</v>
      </c>
      <c r="M3316">
        <f>VLOOKUP(Query1[[#This Row],[Description]],'kits to boards'!$B$2:$E$156,3,FALSE)</f>
        <v>0</v>
      </c>
      <c r="N3316">
        <f>VLOOKUP(Query1[[#This Row],[Description]],'kits to boards'!$B$2:$E$156,4,FALSE)</f>
        <v>0</v>
      </c>
      <c r="O3316" t="str">
        <f>CONCATENATE(Query1[[#This Row],[Description]]," - ",Query1[[#This Row],[MB1]]," - ",Query1[[#This Row],[MB2]]," - ",Query1[[#This Row],[MB3]])</f>
        <v>EVAP KIT 67-72 CHEV P-UP WO AC - 830014 - 0 - 0</v>
      </c>
    </row>
    <row r="3317" spans="1:15" x14ac:dyDescent="0.25">
      <c r="A3317" s="1">
        <v>917911</v>
      </c>
      <c r="B3317" s="1" t="s">
        <v>170</v>
      </c>
      <c r="C3317" s="1" t="s">
        <v>171</v>
      </c>
      <c r="D3317" s="2">
        <v>44655.420975081019</v>
      </c>
      <c r="E3317" s="1" t="s">
        <v>8</v>
      </c>
      <c r="F3317" s="1">
        <v>3</v>
      </c>
      <c r="G3317" s="1">
        <v>0</v>
      </c>
      <c r="H3317" s="6">
        <f>INT(Query1[[#This Row],[EntryDateTime]])</f>
        <v>44655</v>
      </c>
      <c r="I3317" s="1">
        <f>IF(Query1[[#This Row],[ItemType]]="EVAP KIT SF GEN IV",Query1[[#This Row],[OrderQty]]+I3316,I3316)</f>
        <v>4157</v>
      </c>
      <c r="J3317" s="1">
        <f>IF(Query1[[#This Row],[ItemType]]="EVAP KIT UNIVERSAL",Query1[[#This Row],[OrderQty]]+J3316,J3316)</f>
        <v>1462</v>
      </c>
      <c r="K3317" s="1">
        <f>Query1[[#This Row],[SF Running Total]]+Query1[[#This Row],[UNIV Running Total]]</f>
        <v>5619</v>
      </c>
      <c r="L3317">
        <f>VLOOKUP(Query1[[#This Row],[Description]],'kits to boards'!$B$2:$E$156,2,FALSE)</f>
        <v>830018</v>
      </c>
      <c r="M3317">
        <f>VLOOKUP(Query1[[#This Row],[Description]],'kits to boards'!$B$2:$E$156,3,FALSE)</f>
        <v>0</v>
      </c>
      <c r="N3317">
        <f>VLOOKUP(Query1[[#This Row],[Description]],'kits to boards'!$B$2:$E$156,4,FALSE)</f>
        <v>0</v>
      </c>
      <c r="O3317" t="str">
        <f>CONCATENATE(Query1[[#This Row],[Description]]," - ",Query1[[#This Row],[MB1]]," - ",Query1[[#This Row],[MB2]]," - ",Query1[[#This Row],[MB3]])</f>
        <v>EVAP KIT 67 FORD P-UP F-100 - 830018 - 0 - 0</v>
      </c>
    </row>
    <row r="3318" spans="1:15" x14ac:dyDescent="0.25">
      <c r="A3318" s="1">
        <v>917911</v>
      </c>
      <c r="B3318" s="1" t="s">
        <v>204</v>
      </c>
      <c r="C3318" s="1" t="s">
        <v>205</v>
      </c>
      <c r="D3318" s="2">
        <v>44655.420975081019</v>
      </c>
      <c r="E3318" s="1" t="s">
        <v>8</v>
      </c>
      <c r="F3318" s="1">
        <v>2</v>
      </c>
      <c r="G3318" s="1">
        <v>0</v>
      </c>
      <c r="H3318" s="6">
        <f>INT(Query1[[#This Row],[EntryDateTime]])</f>
        <v>44655</v>
      </c>
      <c r="I3318" s="1">
        <f>IF(Query1[[#This Row],[ItemType]]="EVAP KIT SF GEN IV",Query1[[#This Row],[OrderQty]]+I3317,I3317)</f>
        <v>4159</v>
      </c>
      <c r="J3318" s="1">
        <f>IF(Query1[[#This Row],[ItemType]]="EVAP KIT UNIVERSAL",Query1[[#This Row],[OrderQty]]+J3317,J3317)</f>
        <v>1462</v>
      </c>
      <c r="K3318" s="1">
        <f>Query1[[#This Row],[SF Running Total]]+Query1[[#This Row],[UNIV Running Total]]</f>
        <v>5621</v>
      </c>
      <c r="L3318">
        <f>VLOOKUP(Query1[[#This Row],[Description]],'kits to boards'!$B$2:$E$156,2,FALSE)</f>
        <v>830108</v>
      </c>
      <c r="M3318">
        <f>VLOOKUP(Query1[[#This Row],[Description]],'kits to boards'!$B$2:$E$156,3,FALSE)</f>
        <v>0</v>
      </c>
      <c r="N3318">
        <f>VLOOKUP(Query1[[#This Row],[Description]],'kits to boards'!$B$2:$E$156,4,FALSE)</f>
        <v>0</v>
      </c>
      <c r="O3318" t="str">
        <f>CONCATENATE(Query1[[#This Row],[Description]]," - ",Query1[[#This Row],[MB1]]," - ",Query1[[#This Row],[MB2]]," - ",Query1[[#This Row],[MB3]])</f>
        <v>EVAP KIT 79-81 CAMARO WO AC  - 830108 - 0 - 0</v>
      </c>
    </row>
    <row r="3319" spans="1:15" x14ac:dyDescent="0.25">
      <c r="A3319" s="1">
        <v>917911</v>
      </c>
      <c r="B3319" s="1" t="s">
        <v>212</v>
      </c>
      <c r="C3319" s="1" t="s">
        <v>213</v>
      </c>
      <c r="D3319" s="2">
        <v>44655.420975081019</v>
      </c>
      <c r="E3319" s="1" t="s">
        <v>8</v>
      </c>
      <c r="F3319" s="1">
        <v>2</v>
      </c>
      <c r="G3319" s="1">
        <v>0</v>
      </c>
      <c r="H3319" s="6">
        <f>INT(Query1[[#This Row],[EntryDateTime]])</f>
        <v>44655</v>
      </c>
      <c r="I3319" s="1">
        <f>IF(Query1[[#This Row],[ItemType]]="EVAP KIT SF GEN IV",Query1[[#This Row],[OrderQty]]+I3318,I3318)</f>
        <v>4161</v>
      </c>
      <c r="J3319" s="1">
        <f>IF(Query1[[#This Row],[ItemType]]="EVAP KIT UNIVERSAL",Query1[[#This Row],[OrderQty]]+J3318,J3318)</f>
        <v>1462</v>
      </c>
      <c r="K3319" s="1">
        <f>Query1[[#This Row],[SF Running Total]]+Query1[[#This Row],[UNIV Running Total]]</f>
        <v>5623</v>
      </c>
      <c r="L3319">
        <f>VLOOKUP(Query1[[#This Row],[Description]],'kits to boards'!$B$2:$E$156,2,FALSE)</f>
        <v>830034</v>
      </c>
      <c r="M3319">
        <f>VLOOKUP(Query1[[#This Row],[Description]],'kits to boards'!$B$2:$E$156,3,FALSE)</f>
        <v>0</v>
      </c>
      <c r="N3319">
        <f>VLOOKUP(Query1[[#This Row],[Description]],'kits to boards'!$B$2:$E$156,4,FALSE)</f>
        <v>0</v>
      </c>
      <c r="O3319" t="str">
        <f>CONCATENATE(Query1[[#This Row],[Description]]," - ",Query1[[#This Row],[MB1]]," - ",Query1[[#This Row],[MB2]]," - ",Query1[[#This Row],[MB3]])</f>
        <v>EVAP KIT 64-67 GTO W/AC - 830034 - 0 - 0</v>
      </c>
    </row>
    <row r="3320" spans="1:15" x14ac:dyDescent="0.25">
      <c r="A3320" s="1">
        <v>917911</v>
      </c>
      <c r="B3320" s="1" t="s">
        <v>168</v>
      </c>
      <c r="C3320" s="1" t="s">
        <v>169</v>
      </c>
      <c r="D3320" s="2">
        <v>44655.420975081019</v>
      </c>
      <c r="E3320" s="1" t="s">
        <v>8</v>
      </c>
      <c r="F3320" s="1">
        <v>2</v>
      </c>
      <c r="G3320" s="1">
        <v>0</v>
      </c>
      <c r="H3320" s="6">
        <f>INT(Query1[[#This Row],[EntryDateTime]])</f>
        <v>44655</v>
      </c>
      <c r="I3320" s="1">
        <f>IF(Query1[[#This Row],[ItemType]]="EVAP KIT SF GEN IV",Query1[[#This Row],[OrderQty]]+I3319,I3319)</f>
        <v>4163</v>
      </c>
      <c r="J3320" s="1">
        <f>IF(Query1[[#This Row],[ItemType]]="EVAP KIT UNIVERSAL",Query1[[#This Row],[OrderQty]]+J3319,J3319)</f>
        <v>1462</v>
      </c>
      <c r="K3320" s="1">
        <f>Query1[[#This Row],[SF Running Total]]+Query1[[#This Row],[UNIV Running Total]]</f>
        <v>5625</v>
      </c>
      <c r="L3320">
        <f>VLOOKUP(Query1[[#This Row],[Description]],'kits to boards'!$B$2:$E$156,2,FALSE)</f>
        <v>830028</v>
      </c>
      <c r="M3320">
        <f>VLOOKUP(Query1[[#This Row],[Description]],'kits to boards'!$B$2:$E$156,3,FALSE)</f>
        <v>0</v>
      </c>
      <c r="N3320">
        <f>VLOOKUP(Query1[[#This Row],[Description]],'kits to boards'!$B$2:$E$156,4,FALSE)</f>
        <v>0</v>
      </c>
      <c r="O3320" t="str">
        <f>CONCATENATE(Query1[[#This Row],[Description]]," - ",Query1[[#This Row],[MB1]]," - ",Query1[[#This Row],[MB2]]," - ",Query1[[#This Row],[MB3]])</f>
        <v>EVAP KIT 55-59 CHEV P-UP WO AC W/STD  - 830028 - 0 - 0</v>
      </c>
    </row>
    <row r="3321" spans="1:15" x14ac:dyDescent="0.25">
      <c r="A3321" s="1">
        <v>917911</v>
      </c>
      <c r="B3321" s="1" t="s">
        <v>108</v>
      </c>
      <c r="C3321" s="1" t="s">
        <v>109</v>
      </c>
      <c r="D3321" s="2">
        <v>44655.420975081019</v>
      </c>
      <c r="E3321" s="1" t="s">
        <v>8</v>
      </c>
      <c r="F3321" s="1">
        <v>4</v>
      </c>
      <c r="G3321" s="1">
        <v>0</v>
      </c>
      <c r="H3321" s="6">
        <f>INT(Query1[[#This Row],[EntryDateTime]])</f>
        <v>44655</v>
      </c>
      <c r="I3321" s="1">
        <f>IF(Query1[[#This Row],[ItemType]]="EVAP KIT SF GEN IV",Query1[[#This Row],[OrderQty]]+I3320,I3320)</f>
        <v>4167</v>
      </c>
      <c r="J3321" s="1">
        <f>IF(Query1[[#This Row],[ItemType]]="EVAP KIT UNIVERSAL",Query1[[#This Row],[OrderQty]]+J3320,J3320)</f>
        <v>1462</v>
      </c>
      <c r="K3321" s="1">
        <f>Query1[[#This Row],[SF Running Total]]+Query1[[#This Row],[UNIV Running Total]]</f>
        <v>5629</v>
      </c>
      <c r="L3321">
        <f>VLOOKUP(Query1[[#This Row],[Description]],'kits to boards'!$B$2:$E$156,2,FALSE)</f>
        <v>830105</v>
      </c>
      <c r="M3321">
        <f>VLOOKUP(Query1[[#This Row],[Description]],'kits to boards'!$B$2:$E$156,3,FALSE)</f>
        <v>830106</v>
      </c>
      <c r="N3321">
        <f>VLOOKUP(Query1[[#This Row],[Description]],'kits to boards'!$B$2:$E$156,4,FALSE)</f>
        <v>0</v>
      </c>
      <c r="O3321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3322" spans="1:15" x14ac:dyDescent="0.25">
      <c r="A3322" s="1">
        <v>917911</v>
      </c>
      <c r="B3322" s="1" t="s">
        <v>72</v>
      </c>
      <c r="C3322" s="1" t="s">
        <v>73</v>
      </c>
      <c r="D3322" s="2">
        <v>44655.420975081019</v>
      </c>
      <c r="E3322" s="1" t="s">
        <v>8</v>
      </c>
      <c r="F3322" s="1">
        <v>1</v>
      </c>
      <c r="G3322" s="1">
        <v>0</v>
      </c>
      <c r="H3322" s="6">
        <f>INT(Query1[[#This Row],[EntryDateTime]])</f>
        <v>44655</v>
      </c>
      <c r="I3322" s="1">
        <f>IF(Query1[[#This Row],[ItemType]]="EVAP KIT SF GEN IV",Query1[[#This Row],[OrderQty]]+I3321,I3321)</f>
        <v>4168</v>
      </c>
      <c r="J3322" s="1">
        <f>IF(Query1[[#This Row],[ItemType]]="EVAP KIT UNIVERSAL",Query1[[#This Row],[OrderQty]]+J3321,J3321)</f>
        <v>1462</v>
      </c>
      <c r="K3322" s="1">
        <f>Query1[[#This Row],[SF Running Total]]+Query1[[#This Row],[UNIV Running Total]]</f>
        <v>5630</v>
      </c>
      <c r="L3322">
        <f>VLOOKUP(Query1[[#This Row],[Description]],'kits to boards'!$B$2:$E$156,2,FALSE)</f>
        <v>830043</v>
      </c>
      <c r="M3322">
        <f>VLOOKUP(Query1[[#This Row],[Description]],'kits to boards'!$B$2:$E$156,3,FALSE)</f>
        <v>0</v>
      </c>
      <c r="N3322">
        <f>VLOOKUP(Query1[[#This Row],[Description]],'kits to boards'!$B$2:$E$156,4,FALSE)</f>
        <v>0</v>
      </c>
      <c r="O3322" t="str">
        <f>CONCATENATE(Query1[[#This Row],[Description]]," - ",Query1[[#This Row],[MB1]]," - ",Query1[[#This Row],[MB2]]," - ",Query1[[#This Row],[MB3]])</f>
        <v>EVAP KIT 69-74 NOVA W/AC - 830043 - 0 - 0</v>
      </c>
    </row>
    <row r="3323" spans="1:15" x14ac:dyDescent="0.25">
      <c r="A3323" s="1">
        <v>918000</v>
      </c>
      <c r="B3323" s="1" t="s">
        <v>34</v>
      </c>
      <c r="C3323" s="1" t="s">
        <v>35</v>
      </c>
      <c r="D3323" s="2">
        <v>44655.429850081018</v>
      </c>
      <c r="E3323" s="1" t="s">
        <v>8</v>
      </c>
      <c r="F3323" s="1">
        <v>1</v>
      </c>
      <c r="G3323" s="1">
        <v>0</v>
      </c>
      <c r="H3323" s="6">
        <f>INT(Query1[[#This Row],[EntryDateTime]])</f>
        <v>44655</v>
      </c>
      <c r="I3323" s="1">
        <f>IF(Query1[[#This Row],[ItemType]]="EVAP KIT SF GEN IV",Query1[[#This Row],[OrderQty]]+I3322,I3322)</f>
        <v>4169</v>
      </c>
      <c r="J3323" s="1">
        <f>IF(Query1[[#This Row],[ItemType]]="EVAP KIT UNIVERSAL",Query1[[#This Row],[OrderQty]]+J3322,J3322)</f>
        <v>1462</v>
      </c>
      <c r="K3323" s="1">
        <f>Query1[[#This Row],[SF Running Total]]+Query1[[#This Row],[UNIV Running Total]]</f>
        <v>5631</v>
      </c>
      <c r="L3323">
        <f>VLOOKUP(Query1[[#This Row],[Description]],'kits to boards'!$B$2:$E$156,2,FALSE)</f>
        <v>830065</v>
      </c>
      <c r="M3323">
        <f>VLOOKUP(Query1[[#This Row],[Description]],'kits to boards'!$B$2:$E$156,3,FALSE)</f>
        <v>0</v>
      </c>
      <c r="N3323">
        <f>VLOOKUP(Query1[[#This Row],[Description]],'kits to boards'!$B$2:$E$156,4,FALSE)</f>
        <v>0</v>
      </c>
      <c r="O3323" t="str">
        <f>CONCATENATE(Query1[[#This Row],[Description]]," - ",Query1[[#This Row],[MB1]]," - ",Query1[[#This Row],[MB2]]," - ",Query1[[#This Row],[MB3]])</f>
        <v>EVAP KIT 57 CHEV WO AC - 830065 - 0 - 0</v>
      </c>
    </row>
    <row r="3324" spans="1:15" x14ac:dyDescent="0.25">
      <c r="A3324" s="1">
        <v>918006</v>
      </c>
      <c r="B3324" s="1" t="s">
        <v>52</v>
      </c>
      <c r="C3324" s="1" t="s">
        <v>53</v>
      </c>
      <c r="D3324" s="2">
        <v>44655.434576041669</v>
      </c>
      <c r="E3324" s="1" t="s">
        <v>8</v>
      </c>
      <c r="F3324" s="1">
        <v>1</v>
      </c>
      <c r="G3324" s="1">
        <v>0</v>
      </c>
      <c r="H3324" s="6">
        <f>INT(Query1[[#This Row],[EntryDateTime]])</f>
        <v>44655</v>
      </c>
      <c r="I3324" s="1">
        <f>IF(Query1[[#This Row],[ItemType]]="EVAP KIT SF GEN IV",Query1[[#This Row],[OrderQty]]+I3323,I3323)</f>
        <v>4170</v>
      </c>
      <c r="J3324" s="1">
        <f>IF(Query1[[#This Row],[ItemType]]="EVAP KIT UNIVERSAL",Query1[[#This Row],[OrderQty]]+J3323,J3323)</f>
        <v>1462</v>
      </c>
      <c r="K3324" s="1">
        <f>Query1[[#This Row],[SF Running Total]]+Query1[[#This Row],[UNIV Running Total]]</f>
        <v>5632</v>
      </c>
      <c r="L3324">
        <f>VLOOKUP(Query1[[#This Row],[Description]],'kits to boards'!$B$2:$E$156,2,FALSE)</f>
        <v>830017</v>
      </c>
      <c r="M3324">
        <f>VLOOKUP(Query1[[#This Row],[Description]],'kits to boards'!$B$2:$E$156,3,FALSE)</f>
        <v>830119</v>
      </c>
      <c r="N3324">
        <f>VLOOKUP(Query1[[#This Row],[Description]],'kits to boards'!$B$2:$E$156,4,FALSE)</f>
        <v>830120</v>
      </c>
      <c r="O3324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325" spans="1:15" x14ac:dyDescent="0.25">
      <c r="A3325" s="1">
        <v>918012</v>
      </c>
      <c r="B3325" s="1" t="s">
        <v>26</v>
      </c>
      <c r="C3325" s="1" t="s">
        <v>27</v>
      </c>
      <c r="D3325" s="2">
        <v>44655.44107508102</v>
      </c>
      <c r="E3325" s="1" t="s">
        <v>8</v>
      </c>
      <c r="F3325" s="1">
        <v>1</v>
      </c>
      <c r="G3325" s="1">
        <v>0</v>
      </c>
      <c r="H3325" s="6">
        <f>INT(Query1[[#This Row],[EntryDateTime]])</f>
        <v>44655</v>
      </c>
      <c r="I3325" s="1">
        <f>IF(Query1[[#This Row],[ItemType]]="EVAP KIT SF GEN IV",Query1[[#This Row],[OrderQty]]+I3324,I3324)</f>
        <v>4171</v>
      </c>
      <c r="J3325" s="1">
        <f>IF(Query1[[#This Row],[ItemType]]="EVAP KIT UNIVERSAL",Query1[[#This Row],[OrderQty]]+J3324,J3324)</f>
        <v>1462</v>
      </c>
      <c r="K3325" s="1">
        <f>Query1[[#This Row],[SF Running Total]]+Query1[[#This Row],[UNIV Running Total]]</f>
        <v>5633</v>
      </c>
      <c r="L3325">
        <f>VLOOKUP(Query1[[#This Row],[Description]],'kits to boards'!$B$2:$E$156,2,FALSE)</f>
        <v>830013</v>
      </c>
      <c r="M3325">
        <f>VLOOKUP(Query1[[#This Row],[Description]],'kits to boards'!$B$2:$E$156,3,FALSE)</f>
        <v>0</v>
      </c>
      <c r="N3325">
        <f>VLOOKUP(Query1[[#This Row],[Description]],'kits to boards'!$B$2:$E$156,4,FALSE)</f>
        <v>0</v>
      </c>
      <c r="O3325" t="str">
        <f>CONCATENATE(Query1[[#This Row],[Description]]," - ",Query1[[#This Row],[MB1]]," - ",Query1[[#This Row],[MB2]]," - ",Query1[[#This Row],[MB3]])</f>
        <v>EVAP KIT 67-72 CHEV P-UP W/AC - 830013 - 0 - 0</v>
      </c>
    </row>
    <row r="3326" spans="1:15" x14ac:dyDescent="0.25">
      <c r="A3326" s="1">
        <v>918014</v>
      </c>
      <c r="B3326" s="1" t="s">
        <v>156</v>
      </c>
      <c r="C3326" s="1" t="s">
        <v>157</v>
      </c>
      <c r="D3326" s="2">
        <v>44655.445642939812</v>
      </c>
      <c r="E3326" s="1" t="s">
        <v>8</v>
      </c>
      <c r="F3326" s="1">
        <v>1</v>
      </c>
      <c r="G3326" s="1">
        <v>0</v>
      </c>
      <c r="H3326" s="6">
        <f>INT(Query1[[#This Row],[EntryDateTime]])</f>
        <v>44655</v>
      </c>
      <c r="I3326" s="1">
        <f>IF(Query1[[#This Row],[ItemType]]="EVAP KIT SF GEN IV",Query1[[#This Row],[OrderQty]]+I3325,I3325)</f>
        <v>4172</v>
      </c>
      <c r="J3326" s="1">
        <f>IF(Query1[[#This Row],[ItemType]]="EVAP KIT UNIVERSAL",Query1[[#This Row],[OrderQty]]+J3325,J3325)</f>
        <v>1462</v>
      </c>
      <c r="K3326" s="1">
        <f>Query1[[#This Row],[SF Running Total]]+Query1[[#This Row],[UNIV Running Total]]</f>
        <v>5634</v>
      </c>
      <c r="L3326">
        <f>VLOOKUP(Query1[[#This Row],[Description]],'kits to boards'!$B$2:$E$156,2,FALSE)</f>
        <v>830019</v>
      </c>
      <c r="M3326">
        <f>VLOOKUP(Query1[[#This Row],[Description]],'kits to boards'!$B$2:$E$156,3,FALSE)</f>
        <v>0</v>
      </c>
      <c r="N3326">
        <f>VLOOKUP(Query1[[#This Row],[Description]],'kits to boards'!$B$2:$E$156,4,FALSE)</f>
        <v>0</v>
      </c>
      <c r="O3326" t="str">
        <f>CONCATENATE(Query1[[#This Row],[Description]]," - ",Query1[[#This Row],[MB1]]," - ",Query1[[#This Row],[MB2]]," - ",Query1[[#This Row],[MB3]])</f>
        <v>EVAP KIT 70-81 FIREBIRD WO AC - 830019 - 0 - 0</v>
      </c>
    </row>
    <row r="3327" spans="1:15" x14ac:dyDescent="0.25">
      <c r="A3327" s="1">
        <v>918019</v>
      </c>
      <c r="B3327" s="1" t="s">
        <v>62</v>
      </c>
      <c r="C3327" s="1" t="s">
        <v>63</v>
      </c>
      <c r="D3327" s="2">
        <v>44655.451576620369</v>
      </c>
      <c r="E3327" s="1" t="s">
        <v>8</v>
      </c>
      <c r="F3327" s="1">
        <v>1</v>
      </c>
      <c r="G3327" s="1">
        <v>0</v>
      </c>
      <c r="H3327" s="6">
        <f>INT(Query1[[#This Row],[EntryDateTime]])</f>
        <v>44655</v>
      </c>
      <c r="I3327" s="1">
        <f>IF(Query1[[#This Row],[ItemType]]="EVAP KIT SF GEN IV",Query1[[#This Row],[OrderQty]]+I3326,I3326)</f>
        <v>4173</v>
      </c>
      <c r="J3327" s="1">
        <f>IF(Query1[[#This Row],[ItemType]]="EVAP KIT UNIVERSAL",Query1[[#This Row],[OrderQty]]+J3326,J3326)</f>
        <v>1462</v>
      </c>
      <c r="K3327" s="1">
        <f>Query1[[#This Row],[SF Running Total]]+Query1[[#This Row],[UNIV Running Total]]</f>
        <v>5635</v>
      </c>
      <c r="L3327">
        <f>VLOOKUP(Query1[[#This Row],[Description]],'kits to boards'!$B$2:$E$156,2,FALSE)</f>
        <v>830079</v>
      </c>
      <c r="M3327">
        <f>VLOOKUP(Query1[[#This Row],[Description]],'kits to boards'!$B$2:$E$156,3,FALSE)</f>
        <v>830046</v>
      </c>
      <c r="N3327">
        <f>VLOOKUP(Query1[[#This Row],[Description]],'kits to boards'!$B$2:$E$156,4,FALSE)</f>
        <v>0</v>
      </c>
      <c r="O3327" t="str">
        <f>CONCATENATE(Query1[[#This Row],[Description]]," - ",Query1[[#This Row],[MB1]]," - ",Query1[[#This Row],[MB2]]," - ",Query1[[#This Row],[MB3]])</f>
        <v>EVAP KIT 67-68 MUSTANG/COUGAR WO AC - 830079 - 830046 - 0</v>
      </c>
    </row>
    <row r="3328" spans="1:15" x14ac:dyDescent="0.25">
      <c r="A3328" s="1">
        <v>918027</v>
      </c>
      <c r="B3328" s="1" t="s">
        <v>9</v>
      </c>
      <c r="C3328" s="1" t="s">
        <v>10</v>
      </c>
      <c r="D3328" s="2">
        <v>44655.470581909722</v>
      </c>
      <c r="E3328" s="1" t="s">
        <v>11</v>
      </c>
      <c r="F3328" s="1">
        <v>1</v>
      </c>
      <c r="G3328" s="1">
        <v>0</v>
      </c>
      <c r="H3328" s="6">
        <f>INT(Query1[[#This Row],[EntryDateTime]])</f>
        <v>44655</v>
      </c>
      <c r="I3328" s="1">
        <f>IF(Query1[[#This Row],[ItemType]]="EVAP KIT SF GEN IV",Query1[[#This Row],[OrderQty]]+I3327,I3327)</f>
        <v>4173</v>
      </c>
      <c r="J3328" s="1">
        <f>IF(Query1[[#This Row],[ItemType]]="EVAP KIT UNIVERSAL",Query1[[#This Row],[OrderQty]]+J3327,J3327)</f>
        <v>1463</v>
      </c>
      <c r="K3328" s="1">
        <f>Query1[[#This Row],[SF Running Total]]+Query1[[#This Row],[UNIV Running Total]]</f>
        <v>5636</v>
      </c>
      <c r="L3328">
        <f>VLOOKUP(Query1[[#This Row],[Description]],'kits to boards'!$B$2:$E$156,2,FALSE)</f>
        <v>830069</v>
      </c>
      <c r="M3328">
        <f>VLOOKUP(Query1[[#This Row],[Description]],'kits to boards'!$B$2:$E$156,3,FALSE)</f>
        <v>0</v>
      </c>
      <c r="N3328">
        <f>VLOOKUP(Query1[[#This Row],[Description]],'kits to boards'!$B$2:$E$156,4,FALSE)</f>
        <v>0</v>
      </c>
      <c r="O3328" t="str">
        <f>CONCATENATE(Query1[[#This Row],[Description]]," - ",Query1[[#This Row],[MB1]]," - ",Query1[[#This Row],[MB2]]," - ",Query1[[#This Row],[MB3]])</f>
        <v>SLIMLINE H/C W/DEF STD LOUVER - 830069 - 0 - 0</v>
      </c>
    </row>
    <row r="3329" spans="1:15" x14ac:dyDescent="0.25">
      <c r="A3329" s="1">
        <v>918007</v>
      </c>
      <c r="B3329" s="1" t="s">
        <v>106</v>
      </c>
      <c r="C3329" s="1" t="s">
        <v>253</v>
      </c>
      <c r="D3329" s="2">
        <v>44655.474593136576</v>
      </c>
      <c r="E3329" s="1" t="s">
        <v>8</v>
      </c>
      <c r="F3329" s="1">
        <v>1</v>
      </c>
      <c r="G3329" s="1">
        <v>0</v>
      </c>
      <c r="H3329" s="6">
        <f>INT(Query1[[#This Row],[EntryDateTime]])</f>
        <v>44655</v>
      </c>
      <c r="I3329" s="1">
        <f>IF(Query1[[#This Row],[ItemType]]="EVAP KIT SF GEN IV",Query1[[#This Row],[OrderQty]]+I3328,I3328)</f>
        <v>4174</v>
      </c>
      <c r="J3329" s="1">
        <f>IF(Query1[[#This Row],[ItemType]]="EVAP KIT UNIVERSAL",Query1[[#This Row],[OrderQty]]+J3328,J3328)</f>
        <v>1463</v>
      </c>
      <c r="K3329" s="1">
        <f>Query1[[#This Row],[SF Running Total]]+Query1[[#This Row],[UNIV Running Total]]</f>
        <v>5637</v>
      </c>
      <c r="L3329">
        <f>VLOOKUP(Query1[[#This Row],[Description]],'kits to boards'!$B$2:$E$156,2,FALSE)</f>
        <v>830028</v>
      </c>
      <c r="M3329">
        <f>VLOOKUP(Query1[[#This Row],[Description]],'kits to boards'!$B$2:$E$156,3,FALSE)</f>
        <v>0</v>
      </c>
      <c r="N3329">
        <f>VLOOKUP(Query1[[#This Row],[Description]],'kits to boards'!$B$2:$E$156,4,FALSE)</f>
        <v>0</v>
      </c>
      <c r="O3329" t="str">
        <f>CONCATENATE(Query1[[#This Row],[Description]]," - ",Query1[[#This Row],[MB1]]," - ",Query1[[#This Row],[MB2]]," - ",Query1[[#This Row],[MB3]])</f>
        <v>EVAP KIT 55-59 CHEV P-UP WO AC W/DELX  - 830028 - 0 - 0</v>
      </c>
    </row>
    <row r="3330" spans="1:15" x14ac:dyDescent="0.25">
      <c r="A3330" s="1">
        <v>918032</v>
      </c>
      <c r="B3330" s="1" t="s">
        <v>34</v>
      </c>
      <c r="C3330" s="1" t="s">
        <v>35</v>
      </c>
      <c r="D3330" s="2">
        <v>44655.476328321762</v>
      </c>
      <c r="E3330" s="1" t="s">
        <v>8</v>
      </c>
      <c r="F3330" s="1">
        <v>1</v>
      </c>
      <c r="G3330" s="1">
        <v>0</v>
      </c>
      <c r="H3330" s="6">
        <f>INT(Query1[[#This Row],[EntryDateTime]])</f>
        <v>44655</v>
      </c>
      <c r="I3330" s="1">
        <f>IF(Query1[[#This Row],[ItemType]]="EVAP KIT SF GEN IV",Query1[[#This Row],[OrderQty]]+I3329,I3329)</f>
        <v>4175</v>
      </c>
      <c r="J3330" s="1">
        <f>IF(Query1[[#This Row],[ItemType]]="EVAP KIT UNIVERSAL",Query1[[#This Row],[OrderQty]]+J3329,J3329)</f>
        <v>1463</v>
      </c>
      <c r="K3330" s="1">
        <f>Query1[[#This Row],[SF Running Total]]+Query1[[#This Row],[UNIV Running Total]]</f>
        <v>5638</v>
      </c>
      <c r="L3330">
        <f>VLOOKUP(Query1[[#This Row],[Description]],'kits to boards'!$B$2:$E$156,2,FALSE)</f>
        <v>830065</v>
      </c>
      <c r="M3330">
        <f>VLOOKUP(Query1[[#This Row],[Description]],'kits to boards'!$B$2:$E$156,3,FALSE)</f>
        <v>0</v>
      </c>
      <c r="N3330">
        <f>VLOOKUP(Query1[[#This Row],[Description]],'kits to boards'!$B$2:$E$156,4,FALSE)</f>
        <v>0</v>
      </c>
      <c r="O3330" t="str">
        <f>CONCATENATE(Query1[[#This Row],[Description]]," - ",Query1[[#This Row],[MB1]]," - ",Query1[[#This Row],[MB2]]," - ",Query1[[#This Row],[MB3]])</f>
        <v>EVAP KIT 57 CHEV WO AC - 830065 - 0 - 0</v>
      </c>
    </row>
    <row r="3331" spans="1:15" x14ac:dyDescent="0.25">
      <c r="A3331" s="1">
        <v>918032</v>
      </c>
      <c r="B3331" s="1" t="s">
        <v>128</v>
      </c>
      <c r="C3331" s="1" t="s">
        <v>129</v>
      </c>
      <c r="D3331" s="2">
        <v>44655.476621030095</v>
      </c>
      <c r="E3331" s="1" t="s">
        <v>8</v>
      </c>
      <c r="F3331" s="1">
        <v>1</v>
      </c>
      <c r="G3331" s="1">
        <v>0</v>
      </c>
      <c r="H3331" s="6">
        <f>INT(Query1[[#This Row],[EntryDateTime]])</f>
        <v>44655</v>
      </c>
      <c r="I3331" s="1">
        <f>IF(Query1[[#This Row],[ItemType]]="EVAP KIT SF GEN IV",Query1[[#This Row],[OrderQty]]+I3330,I3330)</f>
        <v>4176</v>
      </c>
      <c r="J3331" s="1">
        <f>IF(Query1[[#This Row],[ItemType]]="EVAP KIT UNIVERSAL",Query1[[#This Row],[OrderQty]]+J3330,J3330)</f>
        <v>1463</v>
      </c>
      <c r="K3331" s="1">
        <f>Query1[[#This Row],[SF Running Total]]+Query1[[#This Row],[UNIV Running Total]]</f>
        <v>5639</v>
      </c>
      <c r="L3331">
        <f>VLOOKUP(Query1[[#This Row],[Description]],'kits to boards'!$B$2:$E$156,2,FALSE)</f>
        <v>830036</v>
      </c>
      <c r="M3331">
        <f>VLOOKUP(Query1[[#This Row],[Description]],'kits to boards'!$B$2:$E$156,3,FALSE)</f>
        <v>830039</v>
      </c>
      <c r="N3331">
        <f>VLOOKUP(Query1[[#This Row],[Description]],'kits to boards'!$B$2:$E$156,4,FALSE)</f>
        <v>0</v>
      </c>
      <c r="O3331" t="str">
        <f>CONCATENATE(Query1[[#This Row],[Description]]," - ",Query1[[#This Row],[MB1]]," - ",Query1[[#This Row],[MB2]]," - ",Query1[[#This Row],[MB3]])</f>
        <v>EVAP KIT 63-66 VETTE WO AC - 830036 - 830039 - 0</v>
      </c>
    </row>
    <row r="3332" spans="1:15" x14ac:dyDescent="0.25">
      <c r="A3332" s="1">
        <v>917525</v>
      </c>
      <c r="B3332" s="1" t="s">
        <v>182</v>
      </c>
      <c r="C3332" s="1" t="s">
        <v>183</v>
      </c>
      <c r="D3332" s="2">
        <v>44655.478368368058</v>
      </c>
      <c r="E3332" s="1" t="s">
        <v>8</v>
      </c>
      <c r="F3332" s="1">
        <v>1</v>
      </c>
      <c r="G3332" s="1">
        <v>0</v>
      </c>
      <c r="H3332" s="6">
        <f>INT(Query1[[#This Row],[EntryDateTime]])</f>
        <v>44655</v>
      </c>
      <c r="I3332" s="1">
        <f>IF(Query1[[#This Row],[ItemType]]="EVAP KIT SF GEN IV",Query1[[#This Row],[OrderQty]]+I3331,I3331)</f>
        <v>4177</v>
      </c>
      <c r="J3332" s="1">
        <f>IF(Query1[[#This Row],[ItemType]]="EVAP KIT UNIVERSAL",Query1[[#This Row],[OrderQty]]+J3331,J3331)</f>
        <v>1463</v>
      </c>
      <c r="K3332" s="1">
        <f>Query1[[#This Row],[SF Running Total]]+Query1[[#This Row],[UNIV Running Total]]</f>
        <v>5640</v>
      </c>
      <c r="L3332">
        <f>VLOOKUP(Query1[[#This Row],[Description]],'kits to boards'!$B$2:$E$156,2,FALSE)</f>
        <v>830075</v>
      </c>
      <c r="M3332">
        <f>VLOOKUP(Query1[[#This Row],[Description]],'kits to boards'!$B$2:$E$156,3,FALSE)</f>
        <v>0</v>
      </c>
      <c r="N3332">
        <f>VLOOKUP(Query1[[#This Row],[Description]],'kits to boards'!$B$2:$E$156,4,FALSE)</f>
        <v>0</v>
      </c>
      <c r="O3332" t="str">
        <f>CONCATENATE(Query1[[#This Row],[Description]]," - ",Query1[[#This Row],[MB1]]," - ",Query1[[#This Row],[MB2]]," - ",Query1[[#This Row],[MB3]])</f>
        <v>EVAP KIT 69-70 MOPAR B BODY WO AC - 830075 - 0 - 0</v>
      </c>
    </row>
    <row r="3333" spans="1:15" x14ac:dyDescent="0.25">
      <c r="A3333" s="1">
        <v>918034</v>
      </c>
      <c r="B3333" s="1" t="s">
        <v>283</v>
      </c>
      <c r="C3333" s="1" t="s">
        <v>284</v>
      </c>
      <c r="D3333" s="2">
        <v>44655.479934027775</v>
      </c>
      <c r="E3333" s="1" t="s">
        <v>8</v>
      </c>
      <c r="F3333" s="1">
        <v>1</v>
      </c>
      <c r="G3333" s="1">
        <v>0</v>
      </c>
      <c r="H3333" s="6">
        <f>INT(Query1[[#This Row],[EntryDateTime]])</f>
        <v>44655</v>
      </c>
      <c r="I3333" s="1">
        <f>IF(Query1[[#This Row],[ItemType]]="EVAP KIT SF GEN IV",Query1[[#This Row],[OrderQty]]+I3332,I3332)</f>
        <v>4178</v>
      </c>
      <c r="J3333" s="1">
        <f>IF(Query1[[#This Row],[ItemType]]="EVAP KIT UNIVERSAL",Query1[[#This Row],[OrderQty]]+J3332,J3332)</f>
        <v>1463</v>
      </c>
      <c r="K3333" s="1">
        <f>Query1[[#This Row],[SF Running Total]]+Query1[[#This Row],[UNIV Running Total]]</f>
        <v>5641</v>
      </c>
      <c r="L3333">
        <f>VLOOKUP(Query1[[#This Row],[Description]],'kits to boards'!$B$2:$E$156,2,FALSE)</f>
        <v>830033</v>
      </c>
      <c r="M3333">
        <f>VLOOKUP(Query1[[#This Row],[Description]],'kits to boards'!$B$2:$E$156,3,FALSE)</f>
        <v>0</v>
      </c>
      <c r="N3333">
        <f>VLOOKUP(Query1[[#This Row],[Description]],'kits to boards'!$B$2:$E$156,4,FALSE)</f>
        <v>0</v>
      </c>
      <c r="O3333" t="str">
        <f>CONCATENATE(Query1[[#This Row],[Description]]," - ",Query1[[#This Row],[MB1]]," - ",Query1[[#This Row],[MB2]]," - ",Query1[[#This Row],[MB3]])</f>
        <v>EVAP KIT 66-67 CHARGER/CORONET WO AC - 830033 - 0 - 0</v>
      </c>
    </row>
    <row r="3334" spans="1:15" x14ac:dyDescent="0.25">
      <c r="A3334" s="1">
        <v>918035</v>
      </c>
      <c r="B3334" s="1" t="s">
        <v>96</v>
      </c>
      <c r="C3334" s="1" t="s">
        <v>97</v>
      </c>
      <c r="D3334" s="2">
        <v>44655.481773148145</v>
      </c>
      <c r="E3334" s="1" t="s">
        <v>8</v>
      </c>
      <c r="F3334" s="1">
        <v>1</v>
      </c>
      <c r="G3334" s="1">
        <v>0</v>
      </c>
      <c r="H3334" s="6">
        <f>INT(Query1[[#This Row],[EntryDateTime]])</f>
        <v>44655</v>
      </c>
      <c r="I3334" s="1">
        <f>IF(Query1[[#This Row],[ItemType]]="EVAP KIT SF GEN IV",Query1[[#This Row],[OrderQty]]+I3333,I3333)</f>
        <v>4179</v>
      </c>
      <c r="J3334" s="1">
        <f>IF(Query1[[#This Row],[ItemType]]="EVAP KIT UNIVERSAL",Query1[[#This Row],[OrderQty]]+J3333,J3333)</f>
        <v>1463</v>
      </c>
      <c r="K3334" s="1">
        <f>Query1[[#This Row],[SF Running Total]]+Query1[[#This Row],[UNIV Running Total]]</f>
        <v>5642</v>
      </c>
      <c r="L3334">
        <f>VLOOKUP(Query1[[#This Row],[Description]],'kits to boards'!$B$2:$E$156,2,FALSE)</f>
        <v>830004</v>
      </c>
      <c r="M3334">
        <f>VLOOKUP(Query1[[#This Row],[Description]],'kits to boards'!$B$2:$E$156,3,FALSE)</f>
        <v>0</v>
      </c>
      <c r="N3334">
        <f>VLOOKUP(Query1[[#This Row],[Description]],'kits to boards'!$B$2:$E$156,4,FALSE)</f>
        <v>0</v>
      </c>
      <c r="O3334" t="str">
        <f>CONCATENATE(Query1[[#This Row],[Description]]," - ",Query1[[#This Row],[MB1]]," - ",Query1[[#This Row],[MB2]]," - ",Query1[[#This Row],[MB3]])</f>
        <v>EVAP KIT 81-87 CHEV P-UP W/AC - 830004 - 0 - 0</v>
      </c>
    </row>
    <row r="3335" spans="1:15" x14ac:dyDescent="0.25">
      <c r="A3335" s="1">
        <v>918043</v>
      </c>
      <c r="B3335" s="1" t="s">
        <v>36</v>
      </c>
      <c r="C3335" s="1" t="s">
        <v>37</v>
      </c>
      <c r="D3335" s="2">
        <v>44655.491024108793</v>
      </c>
      <c r="E3335" s="1" t="s">
        <v>8</v>
      </c>
      <c r="F3335" s="1">
        <v>1</v>
      </c>
      <c r="G3335" s="1">
        <v>0</v>
      </c>
      <c r="H3335" s="6">
        <f>INT(Query1[[#This Row],[EntryDateTime]])</f>
        <v>44655</v>
      </c>
      <c r="I3335" s="1">
        <f>IF(Query1[[#This Row],[ItemType]]="EVAP KIT SF GEN IV",Query1[[#This Row],[OrderQty]]+I3334,I3334)</f>
        <v>4180</v>
      </c>
      <c r="J3335" s="1">
        <f>IF(Query1[[#This Row],[ItemType]]="EVAP KIT UNIVERSAL",Query1[[#This Row],[OrderQty]]+J3334,J3334)</f>
        <v>1463</v>
      </c>
      <c r="K3335" s="1">
        <f>Query1[[#This Row],[SF Running Total]]+Query1[[#This Row],[UNIV Running Total]]</f>
        <v>5643</v>
      </c>
      <c r="L3335">
        <f>VLOOKUP(Query1[[#This Row],[Description]],'kits to boards'!$B$2:$E$156,2,FALSE)</f>
        <v>830015</v>
      </c>
      <c r="M3335">
        <f>VLOOKUP(Query1[[#This Row],[Description]],'kits to boards'!$B$2:$E$156,3,FALSE)</f>
        <v>0</v>
      </c>
      <c r="N3335">
        <f>VLOOKUP(Query1[[#This Row],[Description]],'kits to boards'!$B$2:$E$156,4,FALSE)</f>
        <v>0</v>
      </c>
      <c r="O3335" t="str">
        <f>CONCATENATE(Query1[[#This Row],[Description]]," - ",Query1[[#This Row],[MB1]]," - ",Query1[[#This Row],[MB2]]," - ",Query1[[#This Row],[MB3]])</f>
        <v>EVAP KIT 64-66 CHEV P-UP WO AC W/STD - 830015 - 0 - 0</v>
      </c>
    </row>
    <row r="3336" spans="1:15" x14ac:dyDescent="0.25">
      <c r="A3336" s="1">
        <v>918044</v>
      </c>
      <c r="B3336" s="1" t="s">
        <v>102</v>
      </c>
      <c r="C3336" s="1" t="s">
        <v>103</v>
      </c>
      <c r="D3336" s="2">
        <v>44655.492862928244</v>
      </c>
      <c r="E3336" s="1" t="s">
        <v>8</v>
      </c>
      <c r="F3336" s="1">
        <v>1</v>
      </c>
      <c r="G3336" s="1">
        <v>0</v>
      </c>
      <c r="H3336" s="6">
        <f>INT(Query1[[#This Row],[EntryDateTime]])</f>
        <v>44655</v>
      </c>
      <c r="I3336" s="1">
        <f>IF(Query1[[#This Row],[ItemType]]="EVAP KIT SF GEN IV",Query1[[#This Row],[OrderQty]]+I3335,I3335)</f>
        <v>4181</v>
      </c>
      <c r="J3336" s="1">
        <f>IF(Query1[[#This Row],[ItemType]]="EVAP KIT UNIVERSAL",Query1[[#This Row],[OrderQty]]+J3335,J3335)</f>
        <v>1463</v>
      </c>
      <c r="K3336" s="1">
        <f>Query1[[#This Row],[SF Running Total]]+Query1[[#This Row],[UNIV Running Total]]</f>
        <v>5644</v>
      </c>
      <c r="L3336">
        <f>VLOOKUP(Query1[[#This Row],[Description]],'kits to boards'!$B$2:$E$156,2,FALSE)</f>
        <v>830012</v>
      </c>
      <c r="M3336">
        <f>VLOOKUP(Query1[[#This Row],[Description]],'kits to boards'!$B$2:$E$156,3,FALSE)</f>
        <v>0</v>
      </c>
      <c r="N3336">
        <f>VLOOKUP(Query1[[#This Row],[Description]],'kits to boards'!$B$2:$E$156,4,FALSE)</f>
        <v>0</v>
      </c>
      <c r="O3336" t="str">
        <f>CONCATENATE(Query1[[#This Row],[Description]]," - ",Query1[[#This Row],[MB1]]," - ",Query1[[#This Row],[MB2]]," - ",Query1[[#This Row],[MB3]])</f>
        <v>EVAP KIT 69 CAMARO WO/AC - 830012 - 0 - 0</v>
      </c>
    </row>
    <row r="3337" spans="1:15" x14ac:dyDescent="0.25">
      <c r="A3337" s="1">
        <v>918045</v>
      </c>
      <c r="B3337" s="1" t="s">
        <v>48</v>
      </c>
      <c r="C3337" s="1" t="s">
        <v>49</v>
      </c>
      <c r="D3337" s="2">
        <v>44655.493640590277</v>
      </c>
      <c r="E3337" s="1" t="s">
        <v>8</v>
      </c>
      <c r="F3337" s="1">
        <v>1</v>
      </c>
      <c r="G3337" s="1">
        <v>0</v>
      </c>
      <c r="H3337" s="6">
        <f>INT(Query1[[#This Row],[EntryDateTime]])</f>
        <v>44655</v>
      </c>
      <c r="I3337" s="1">
        <f>IF(Query1[[#This Row],[ItemType]]="EVAP KIT SF GEN IV",Query1[[#This Row],[OrderQty]]+I3336,I3336)</f>
        <v>4182</v>
      </c>
      <c r="J3337" s="1">
        <f>IF(Query1[[#This Row],[ItemType]]="EVAP KIT UNIVERSAL",Query1[[#This Row],[OrderQty]]+J3336,J3336)</f>
        <v>1463</v>
      </c>
      <c r="K3337" s="1">
        <f>Query1[[#This Row],[SF Running Total]]+Query1[[#This Row],[UNIV Running Total]]</f>
        <v>5645</v>
      </c>
      <c r="L3337">
        <f>VLOOKUP(Query1[[#This Row],[Description]],'kits to boards'!$B$2:$E$156,2,FALSE)</f>
        <v>830015</v>
      </c>
      <c r="M3337">
        <f>VLOOKUP(Query1[[#This Row],[Description]],'kits to boards'!$B$2:$E$156,3,FALSE)</f>
        <v>0</v>
      </c>
      <c r="N3337">
        <f>VLOOKUP(Query1[[#This Row],[Description]],'kits to boards'!$B$2:$E$156,4,FALSE)</f>
        <v>0</v>
      </c>
      <c r="O3337" t="str">
        <f>CONCATENATE(Query1[[#This Row],[Description]]," - ",Query1[[#This Row],[MB1]]," - ",Query1[[#This Row],[MB2]]," - ",Query1[[#This Row],[MB3]])</f>
        <v>EVAP KIT 64-66 CHEV P-UP WO AC W/DELX - 830015 - 0 - 0</v>
      </c>
    </row>
    <row r="3338" spans="1:15" x14ac:dyDescent="0.25">
      <c r="A3338" s="1">
        <v>918049</v>
      </c>
      <c r="B3338" s="1" t="s">
        <v>24</v>
      </c>
      <c r="C3338" s="1" t="s">
        <v>25</v>
      </c>
      <c r="D3338" s="2">
        <v>44655.502049618059</v>
      </c>
      <c r="E3338" s="1" t="s">
        <v>11</v>
      </c>
      <c r="F3338" s="1">
        <v>1</v>
      </c>
      <c r="G3338" s="1">
        <v>0</v>
      </c>
      <c r="H3338" s="6">
        <f>INT(Query1[[#This Row],[EntryDateTime]])</f>
        <v>44655</v>
      </c>
      <c r="I3338" s="1">
        <f>IF(Query1[[#This Row],[ItemType]]="EVAP KIT SF GEN IV",Query1[[#This Row],[OrderQty]]+I3337,I3337)</f>
        <v>4182</v>
      </c>
      <c r="J3338" s="1">
        <f>IF(Query1[[#This Row],[ItemType]]="EVAP KIT UNIVERSAL",Query1[[#This Row],[OrderQty]]+J3337,J3337)</f>
        <v>1464</v>
      </c>
      <c r="K3338" s="1">
        <f>Query1[[#This Row],[SF Running Total]]+Query1[[#This Row],[UNIV Running Total]]</f>
        <v>5646</v>
      </c>
      <c r="L3338">
        <f>VLOOKUP(Query1[[#This Row],[Description]],'kits to boards'!$B$2:$E$156,2,FALSE)</f>
        <v>830029</v>
      </c>
      <c r="M3338">
        <f>VLOOKUP(Query1[[#This Row],[Description]],'kits to boards'!$B$2:$E$156,3,FALSE)</f>
        <v>830030</v>
      </c>
      <c r="N3338">
        <f>VLOOKUP(Query1[[#This Row],[Description]],'kits to boards'!$B$2:$E$156,4,FALSE)</f>
        <v>0</v>
      </c>
      <c r="O3338" t="str">
        <f>CONCATENATE(Query1[[#This Row],[Description]]," - ",Query1[[#This Row],[MB1]]," - ",Query1[[#This Row],[MB2]]," - ",Query1[[#This Row],[MB3]])</f>
        <v>ComPac GEN II W/DEF - 830029 - 830030 - 0</v>
      </c>
    </row>
    <row r="3339" spans="1:15" x14ac:dyDescent="0.25">
      <c r="A3339" s="1">
        <v>918050</v>
      </c>
      <c r="B3339" s="1" t="s">
        <v>60</v>
      </c>
      <c r="C3339" s="1" t="s">
        <v>61</v>
      </c>
      <c r="D3339" s="2">
        <v>44655.503683020834</v>
      </c>
      <c r="E3339" s="1" t="s">
        <v>8</v>
      </c>
      <c r="F3339" s="1">
        <v>1</v>
      </c>
      <c r="G3339" s="1">
        <v>0</v>
      </c>
      <c r="H3339" s="6">
        <f>INT(Query1[[#This Row],[EntryDateTime]])</f>
        <v>44655</v>
      </c>
      <c r="I3339" s="1">
        <f>IF(Query1[[#This Row],[ItemType]]="EVAP KIT SF GEN IV",Query1[[#This Row],[OrderQty]]+I3338,I3338)</f>
        <v>4183</v>
      </c>
      <c r="J3339" s="1">
        <f>IF(Query1[[#This Row],[ItemType]]="EVAP KIT UNIVERSAL",Query1[[#This Row],[OrderQty]]+J3338,J3338)</f>
        <v>1464</v>
      </c>
      <c r="K3339" s="1">
        <f>Query1[[#This Row],[SF Running Total]]+Query1[[#This Row],[UNIV Running Total]]</f>
        <v>5647</v>
      </c>
      <c r="L3339">
        <f>VLOOKUP(Query1[[#This Row],[Description]],'kits to boards'!$B$2:$E$156,2,FALSE)</f>
        <v>830062</v>
      </c>
      <c r="M3339">
        <f>VLOOKUP(Query1[[#This Row],[Description]],'kits to boards'!$B$2:$E$156,3,FALSE)</f>
        <v>0</v>
      </c>
      <c r="N3339">
        <f>VLOOKUP(Query1[[#This Row],[Description]],'kits to boards'!$B$2:$E$156,4,FALSE)</f>
        <v>0</v>
      </c>
      <c r="O3339" t="str">
        <f>CONCATENATE(Query1[[#This Row],[Description]]," - ",Query1[[#This Row],[MB1]]," - ",Query1[[#This Row],[MB2]]," - ",Query1[[#This Row],[MB3]])</f>
        <v>EVAP KIT 68-69 CHEVELLE WO AC - 830062 - 0 - 0</v>
      </c>
    </row>
    <row r="3340" spans="1:15" x14ac:dyDescent="0.25">
      <c r="A3340" s="1">
        <v>918058</v>
      </c>
      <c r="B3340" s="1" t="s">
        <v>148</v>
      </c>
      <c r="C3340" s="1" t="s">
        <v>149</v>
      </c>
      <c r="D3340" s="2">
        <v>44655.527802928242</v>
      </c>
      <c r="E3340" s="1" t="s">
        <v>8</v>
      </c>
      <c r="F3340" s="1">
        <v>1</v>
      </c>
      <c r="G3340" s="1">
        <v>0</v>
      </c>
      <c r="H3340" s="6">
        <f>INT(Query1[[#This Row],[EntryDateTime]])</f>
        <v>44655</v>
      </c>
      <c r="I3340" s="1">
        <f>IF(Query1[[#This Row],[ItemType]]="EVAP KIT SF GEN IV",Query1[[#This Row],[OrderQty]]+I3339,I3339)</f>
        <v>4184</v>
      </c>
      <c r="J3340" s="1">
        <f>IF(Query1[[#This Row],[ItemType]]="EVAP KIT UNIVERSAL",Query1[[#This Row],[OrderQty]]+J3339,J3339)</f>
        <v>1464</v>
      </c>
      <c r="K3340" s="1">
        <f>Query1[[#This Row],[SF Running Total]]+Query1[[#This Row],[UNIV Running Total]]</f>
        <v>5648</v>
      </c>
      <c r="L3340">
        <f>VLOOKUP(Query1[[#This Row],[Description]],'kits to boards'!$B$2:$E$156,2,FALSE)</f>
        <v>830098</v>
      </c>
      <c r="M3340">
        <f>VLOOKUP(Query1[[#This Row],[Description]],'kits to boards'!$B$2:$E$156,3,FALSE)</f>
        <v>0</v>
      </c>
      <c r="N3340">
        <f>VLOOKUP(Query1[[#This Row],[Description]],'kits to boards'!$B$2:$E$156,4,FALSE)</f>
        <v>0</v>
      </c>
      <c r="O3340" t="str">
        <f>CONCATENATE(Query1[[#This Row],[Description]]," - ",Query1[[#This Row],[MB1]]," - ",Query1[[#This Row],[MB2]]," - ",Query1[[#This Row],[MB3]])</f>
        <v>EVAP KIT 77 VETTE W/AC - 830098 - 0 - 0</v>
      </c>
    </row>
    <row r="3341" spans="1:15" x14ac:dyDescent="0.25">
      <c r="A3341" s="1">
        <v>918064</v>
      </c>
      <c r="B3341" s="1" t="s">
        <v>134</v>
      </c>
      <c r="C3341" s="1" t="s">
        <v>135</v>
      </c>
      <c r="D3341" s="2">
        <v>44655.536382442129</v>
      </c>
      <c r="E3341" s="1" t="s">
        <v>8</v>
      </c>
      <c r="F3341" s="1">
        <v>1</v>
      </c>
      <c r="G3341" s="1">
        <v>0</v>
      </c>
      <c r="H3341" s="6">
        <f>INT(Query1[[#This Row],[EntryDateTime]])</f>
        <v>44655</v>
      </c>
      <c r="I3341" s="1">
        <f>IF(Query1[[#This Row],[ItemType]]="EVAP KIT SF GEN IV",Query1[[#This Row],[OrderQty]]+I3340,I3340)</f>
        <v>4185</v>
      </c>
      <c r="J3341" s="1">
        <f>IF(Query1[[#This Row],[ItemType]]="EVAP KIT UNIVERSAL",Query1[[#This Row],[OrderQty]]+J3340,J3340)</f>
        <v>1464</v>
      </c>
      <c r="K3341" s="1">
        <f>Query1[[#This Row],[SF Running Total]]+Query1[[#This Row],[UNIV Running Total]]</f>
        <v>5649</v>
      </c>
      <c r="L3341">
        <f>VLOOKUP(Query1[[#This Row],[Description]],'kits to boards'!$B$2:$E$156,2,FALSE)</f>
        <v>830007</v>
      </c>
      <c r="M3341">
        <f>VLOOKUP(Query1[[#This Row],[Description]],'kits to boards'!$B$2:$E$156,3,FALSE)</f>
        <v>0</v>
      </c>
      <c r="N3341">
        <f>VLOOKUP(Query1[[#This Row],[Description]],'kits to boards'!$B$2:$E$156,4,FALSE)</f>
        <v>0</v>
      </c>
      <c r="O3341" t="str">
        <f>CONCATENATE(Query1[[#This Row],[Description]]," - ",Query1[[#This Row],[MB1]]," - ",Query1[[#This Row],[MB2]]," - ",Query1[[#This Row],[MB3]])</f>
        <v>EVAP KIT 64 IMPALA WO AC - 830007 - 0 - 0</v>
      </c>
    </row>
    <row r="3342" spans="1:15" x14ac:dyDescent="0.25">
      <c r="A3342" s="1">
        <v>918065</v>
      </c>
      <c r="B3342" s="1" t="s">
        <v>94</v>
      </c>
      <c r="C3342" s="1" t="s">
        <v>95</v>
      </c>
      <c r="D3342" s="2">
        <v>44655.538774155095</v>
      </c>
      <c r="E3342" s="1" t="s">
        <v>8</v>
      </c>
      <c r="F3342" s="1">
        <v>1</v>
      </c>
      <c r="G3342" s="1">
        <v>0</v>
      </c>
      <c r="H3342" s="6">
        <f>INT(Query1[[#This Row],[EntryDateTime]])</f>
        <v>44655</v>
      </c>
      <c r="I3342" s="1">
        <f>IF(Query1[[#This Row],[ItemType]]="EVAP KIT SF GEN IV",Query1[[#This Row],[OrderQty]]+I3341,I3341)</f>
        <v>4186</v>
      </c>
      <c r="J3342" s="1">
        <f>IF(Query1[[#This Row],[ItemType]]="EVAP KIT UNIVERSAL",Query1[[#This Row],[OrderQty]]+J3341,J3341)</f>
        <v>1464</v>
      </c>
      <c r="K3342" s="1">
        <f>Query1[[#This Row],[SF Running Total]]+Query1[[#This Row],[UNIV Running Total]]</f>
        <v>5650</v>
      </c>
      <c r="L3342">
        <f>VLOOKUP(Query1[[#This Row],[Description]],'kits to boards'!$B$2:$E$156,2,FALSE)</f>
        <v>830076</v>
      </c>
      <c r="M3342">
        <f>VLOOKUP(Query1[[#This Row],[Description]],'kits to boards'!$B$2:$E$156,3,FALSE)</f>
        <v>0</v>
      </c>
      <c r="N3342">
        <f>VLOOKUP(Query1[[#This Row],[Description]],'kits to boards'!$B$2:$E$156,4,FALSE)</f>
        <v>0</v>
      </c>
      <c r="O3342" t="str">
        <f>CONCATENATE(Query1[[#This Row],[Description]]," - ",Query1[[#This Row],[MB1]]," - ",Query1[[#This Row],[MB2]]," - ",Query1[[#This Row],[MB3]])</f>
        <v>EVAP KIT 64 1/2- 66 MUSTANG  - 830076 - 0 - 0</v>
      </c>
    </row>
    <row r="3343" spans="1:15" x14ac:dyDescent="0.25">
      <c r="A3343" s="1">
        <v>917164</v>
      </c>
      <c r="B3343" s="1" t="s">
        <v>14</v>
      </c>
      <c r="C3343" s="1" t="s">
        <v>15</v>
      </c>
      <c r="D3343" s="2">
        <v>44655.542457372685</v>
      </c>
      <c r="E3343" s="1" t="s">
        <v>8</v>
      </c>
      <c r="F3343" s="1">
        <v>1</v>
      </c>
      <c r="G3343" s="1">
        <v>0</v>
      </c>
      <c r="H3343" s="6">
        <f>INT(Query1[[#This Row],[EntryDateTime]])</f>
        <v>44655</v>
      </c>
      <c r="I3343" s="1">
        <f>IF(Query1[[#This Row],[ItemType]]="EVAP KIT SF GEN IV",Query1[[#This Row],[OrderQty]]+I3342,I3342)</f>
        <v>4187</v>
      </c>
      <c r="J3343" s="1">
        <f>IF(Query1[[#This Row],[ItemType]]="EVAP KIT UNIVERSAL",Query1[[#This Row],[OrderQty]]+J3342,J3342)</f>
        <v>1464</v>
      </c>
      <c r="K3343" s="1">
        <f>Query1[[#This Row],[SF Running Total]]+Query1[[#This Row],[UNIV Running Total]]</f>
        <v>5651</v>
      </c>
      <c r="L3343">
        <f>VLOOKUP(Query1[[#This Row],[Description]],'kits to boards'!$B$2:$E$156,2,FALSE)</f>
        <v>830054</v>
      </c>
      <c r="M3343">
        <f>VLOOKUP(Query1[[#This Row],[Description]],'kits to boards'!$B$2:$E$156,3,FALSE)</f>
        <v>0</v>
      </c>
      <c r="N3343">
        <f>VLOOKUP(Query1[[#This Row],[Description]],'kits to boards'!$B$2:$E$156,4,FALSE)</f>
        <v>0</v>
      </c>
      <c r="O3343" t="str">
        <f>CONCATENATE(Query1[[#This Row],[Description]]," - ",Query1[[#This Row],[MB1]]," - ",Query1[[#This Row],[MB2]]," - ",Query1[[#This Row],[MB3]])</f>
        <v>EVAP KIT 55-56 CHEVY - 830054 - 0 - 0</v>
      </c>
    </row>
    <row r="3344" spans="1:15" x14ac:dyDescent="0.25">
      <c r="A3344" s="1">
        <v>918068</v>
      </c>
      <c r="B3344" s="1" t="s">
        <v>256</v>
      </c>
      <c r="C3344" s="1" t="s">
        <v>257</v>
      </c>
      <c r="D3344" s="2">
        <v>44655.553411458335</v>
      </c>
      <c r="E3344" s="1" t="s">
        <v>8</v>
      </c>
      <c r="F3344" s="1">
        <v>1</v>
      </c>
      <c r="G3344" s="1">
        <v>0</v>
      </c>
      <c r="H3344" s="6">
        <f>INT(Query1[[#This Row],[EntryDateTime]])</f>
        <v>44655</v>
      </c>
      <c r="I3344" s="1">
        <f>IF(Query1[[#This Row],[ItemType]]="EVAP KIT SF GEN IV",Query1[[#This Row],[OrderQty]]+I3343,I3343)</f>
        <v>4188</v>
      </c>
      <c r="J3344" s="1">
        <f>IF(Query1[[#This Row],[ItemType]]="EVAP KIT UNIVERSAL",Query1[[#This Row],[OrderQty]]+J3343,J3343)</f>
        <v>1464</v>
      </c>
      <c r="K3344" s="1">
        <f>Query1[[#This Row],[SF Running Total]]+Query1[[#This Row],[UNIV Running Total]]</f>
        <v>5652</v>
      </c>
      <c r="L3344">
        <f>VLOOKUP(Query1[[#This Row],[Description]],'kits to boards'!$B$2:$E$156,2,FALSE)</f>
        <v>830025</v>
      </c>
      <c r="M3344">
        <f>VLOOKUP(Query1[[#This Row],[Description]],'kits to boards'!$B$2:$E$156,3,FALSE)</f>
        <v>830022</v>
      </c>
      <c r="N3344">
        <f>VLOOKUP(Query1[[#This Row],[Description]],'kits to boards'!$B$2:$E$156,4,FALSE)</f>
        <v>0</v>
      </c>
      <c r="O3344" t="str">
        <f>CONCATENATE(Query1[[#This Row],[Description]]," - ",Query1[[#This Row],[MB1]]," - ",Query1[[#This Row],[MB2]]," - ",Query1[[#This Row],[MB3]])</f>
        <v>EVAP KIT 68-69 CUTLASS W/AC - 830025 - 830022 - 0</v>
      </c>
    </row>
    <row r="3345" spans="1:15" x14ac:dyDescent="0.25">
      <c r="A3345" s="1">
        <v>918071</v>
      </c>
      <c r="B3345" s="1" t="s">
        <v>24</v>
      </c>
      <c r="C3345" s="1" t="s">
        <v>25</v>
      </c>
      <c r="D3345" s="2">
        <v>44655.5583434375</v>
      </c>
      <c r="E3345" s="1" t="s">
        <v>11</v>
      </c>
      <c r="F3345" s="1">
        <v>1</v>
      </c>
      <c r="G3345" s="1">
        <v>0</v>
      </c>
      <c r="H3345" s="6">
        <f>INT(Query1[[#This Row],[EntryDateTime]])</f>
        <v>44655</v>
      </c>
      <c r="I3345" s="1">
        <f>IF(Query1[[#This Row],[ItemType]]="EVAP KIT SF GEN IV",Query1[[#This Row],[OrderQty]]+I3344,I3344)</f>
        <v>4188</v>
      </c>
      <c r="J3345" s="1">
        <f>IF(Query1[[#This Row],[ItemType]]="EVAP KIT UNIVERSAL",Query1[[#This Row],[OrderQty]]+J3344,J3344)</f>
        <v>1465</v>
      </c>
      <c r="K3345" s="1">
        <f>Query1[[#This Row],[SF Running Total]]+Query1[[#This Row],[UNIV Running Total]]</f>
        <v>5653</v>
      </c>
      <c r="L3345">
        <f>VLOOKUP(Query1[[#This Row],[Description]],'kits to boards'!$B$2:$E$156,2,FALSE)</f>
        <v>830029</v>
      </c>
      <c r="M3345">
        <f>VLOOKUP(Query1[[#This Row],[Description]],'kits to boards'!$B$2:$E$156,3,FALSE)</f>
        <v>830030</v>
      </c>
      <c r="N3345">
        <f>VLOOKUP(Query1[[#This Row],[Description]],'kits to boards'!$B$2:$E$156,4,FALSE)</f>
        <v>0</v>
      </c>
      <c r="O3345" t="str">
        <f>CONCATENATE(Query1[[#This Row],[Description]]," - ",Query1[[#This Row],[MB1]]," - ",Query1[[#This Row],[MB2]]," - ",Query1[[#This Row],[MB3]])</f>
        <v>ComPac GEN II W/DEF - 830029 - 830030 - 0</v>
      </c>
    </row>
    <row r="3346" spans="1:15" x14ac:dyDescent="0.25">
      <c r="A3346" s="1">
        <v>918072</v>
      </c>
      <c r="B3346" s="1" t="s">
        <v>34</v>
      </c>
      <c r="C3346" s="1" t="s">
        <v>35</v>
      </c>
      <c r="D3346" s="2">
        <v>44655.562157523149</v>
      </c>
      <c r="E3346" s="1" t="s">
        <v>8</v>
      </c>
      <c r="F3346" s="1">
        <v>1</v>
      </c>
      <c r="G3346" s="1">
        <v>0</v>
      </c>
      <c r="H3346" s="6">
        <f>INT(Query1[[#This Row],[EntryDateTime]])</f>
        <v>44655</v>
      </c>
      <c r="I3346" s="1">
        <f>IF(Query1[[#This Row],[ItemType]]="EVAP KIT SF GEN IV",Query1[[#This Row],[OrderQty]]+I3345,I3345)</f>
        <v>4189</v>
      </c>
      <c r="J3346" s="1">
        <f>IF(Query1[[#This Row],[ItemType]]="EVAP KIT UNIVERSAL",Query1[[#This Row],[OrderQty]]+J3345,J3345)</f>
        <v>1465</v>
      </c>
      <c r="K3346" s="1">
        <f>Query1[[#This Row],[SF Running Total]]+Query1[[#This Row],[UNIV Running Total]]</f>
        <v>5654</v>
      </c>
      <c r="L3346">
        <f>VLOOKUP(Query1[[#This Row],[Description]],'kits to boards'!$B$2:$E$156,2,FALSE)</f>
        <v>830065</v>
      </c>
      <c r="M3346">
        <f>VLOOKUP(Query1[[#This Row],[Description]],'kits to boards'!$B$2:$E$156,3,FALSE)</f>
        <v>0</v>
      </c>
      <c r="N3346">
        <f>VLOOKUP(Query1[[#This Row],[Description]],'kits to boards'!$B$2:$E$156,4,FALSE)</f>
        <v>0</v>
      </c>
      <c r="O3346" t="str">
        <f>CONCATENATE(Query1[[#This Row],[Description]]," - ",Query1[[#This Row],[MB1]]," - ",Query1[[#This Row],[MB2]]," - ",Query1[[#This Row],[MB3]])</f>
        <v>EVAP KIT 57 CHEV WO AC - 830065 - 0 - 0</v>
      </c>
    </row>
    <row r="3347" spans="1:15" x14ac:dyDescent="0.25">
      <c r="A3347" s="1">
        <v>918080</v>
      </c>
      <c r="B3347" s="1" t="s">
        <v>6</v>
      </c>
      <c r="C3347" s="1" t="s">
        <v>7</v>
      </c>
      <c r="D3347" s="2">
        <v>44655.579021331017</v>
      </c>
      <c r="E3347" s="1" t="s">
        <v>8</v>
      </c>
      <c r="F3347" s="1">
        <v>1</v>
      </c>
      <c r="G3347" s="1">
        <v>0</v>
      </c>
      <c r="H3347" s="6">
        <f>INT(Query1[[#This Row],[EntryDateTime]])</f>
        <v>44655</v>
      </c>
      <c r="I3347" s="1">
        <f>IF(Query1[[#This Row],[ItemType]]="EVAP KIT SF GEN IV",Query1[[#This Row],[OrderQty]]+I3346,I3346)</f>
        <v>4190</v>
      </c>
      <c r="J3347" s="1">
        <f>IF(Query1[[#This Row],[ItemType]]="EVAP KIT UNIVERSAL",Query1[[#This Row],[OrderQty]]+J3346,J3346)</f>
        <v>1465</v>
      </c>
      <c r="K3347" s="1">
        <f>Query1[[#This Row],[SF Running Total]]+Query1[[#This Row],[UNIV Running Total]]</f>
        <v>5655</v>
      </c>
      <c r="L3347">
        <f>VLOOKUP(Query1[[#This Row],[Description]],'kits to boards'!$B$2:$E$156,2,FALSE)</f>
        <v>830132</v>
      </c>
      <c r="M3347">
        <f>VLOOKUP(Query1[[#This Row],[Description]],'kits to boards'!$B$2:$E$156,3,FALSE)</f>
        <v>0</v>
      </c>
      <c r="N3347">
        <f>VLOOKUP(Query1[[#This Row],[Description]],'kits to boards'!$B$2:$E$156,4,FALSE)</f>
        <v>0</v>
      </c>
      <c r="O3347" t="str">
        <f>CONCATENATE(Query1[[#This Row],[Description]]," - ",Query1[[#This Row],[MB1]]," - ",Query1[[#This Row],[MB2]]," - ",Query1[[#This Row],[MB3]])</f>
        <v>EVAP KIT 82-88 MONTE CARLO/EL CAMINO - 830132 - 0 - 0</v>
      </c>
    </row>
    <row r="3348" spans="1:15" x14ac:dyDescent="0.25">
      <c r="A3348" s="1">
        <v>918082</v>
      </c>
      <c r="B3348" s="1" t="s">
        <v>152</v>
      </c>
      <c r="C3348" s="1" t="s">
        <v>153</v>
      </c>
      <c r="D3348" s="2">
        <v>44655.582603784722</v>
      </c>
      <c r="E3348" s="1" t="s">
        <v>8</v>
      </c>
      <c r="F3348" s="1">
        <v>1</v>
      </c>
      <c r="G3348" s="1">
        <v>0</v>
      </c>
      <c r="H3348" s="6">
        <f>INT(Query1[[#This Row],[EntryDateTime]])</f>
        <v>44655</v>
      </c>
      <c r="I3348" s="1">
        <f>IF(Query1[[#This Row],[ItemType]]="EVAP KIT SF GEN IV",Query1[[#This Row],[OrderQty]]+I3347,I3347)</f>
        <v>4191</v>
      </c>
      <c r="J3348" s="1">
        <f>IF(Query1[[#This Row],[ItemType]]="EVAP KIT UNIVERSAL",Query1[[#This Row],[OrderQty]]+J3347,J3347)</f>
        <v>1465</v>
      </c>
      <c r="K3348" s="1">
        <f>Query1[[#This Row],[SF Running Total]]+Query1[[#This Row],[UNIV Running Total]]</f>
        <v>5656</v>
      </c>
      <c r="L3348">
        <f>VLOOKUP(Query1[[#This Row],[Description]],'kits to boards'!$B$2:$E$156,2,FALSE)</f>
        <v>830034</v>
      </c>
      <c r="M3348">
        <f>VLOOKUP(Query1[[#This Row],[Description]],'kits to boards'!$B$2:$E$156,3,FALSE)</f>
        <v>0</v>
      </c>
      <c r="N3348">
        <f>VLOOKUP(Query1[[#This Row],[Description]],'kits to boards'!$B$2:$E$156,4,FALSE)</f>
        <v>0</v>
      </c>
      <c r="O3348" t="str">
        <f>CONCATENATE(Query1[[#This Row],[Description]]," - ",Query1[[#This Row],[MB1]]," - ",Query1[[#This Row],[MB2]]," - ",Query1[[#This Row],[MB3]])</f>
        <v>EVAP KIT 64-67 GTO WO AC - 830034 - 0 - 0</v>
      </c>
    </row>
    <row r="3349" spans="1:15" x14ac:dyDescent="0.25">
      <c r="A3349" s="1">
        <v>914133</v>
      </c>
      <c r="B3349" s="1" t="s">
        <v>502</v>
      </c>
      <c r="C3349" s="1" t="s">
        <v>503</v>
      </c>
      <c r="D3349" s="2">
        <v>44655.589268518517</v>
      </c>
      <c r="E3349" s="1" t="s">
        <v>677</v>
      </c>
      <c r="F3349" s="1">
        <v>1</v>
      </c>
      <c r="G3349" s="1">
        <v>0</v>
      </c>
      <c r="H3349" s="6">
        <f>INT(Query1[[#This Row],[EntryDateTime]])</f>
        <v>44655</v>
      </c>
      <c r="I3349" s="1">
        <f>IF(Query1[[#This Row],[ItemType]]="EVAP KIT SF GEN IV",Query1[[#This Row],[OrderQty]]+I3348,I3348)</f>
        <v>4191</v>
      </c>
      <c r="J3349" s="1">
        <f>IF(Query1[[#This Row],[ItemType]]="EVAP KIT UNIVERSAL",Query1[[#This Row],[OrderQty]]+J3348,J3348)</f>
        <v>1465</v>
      </c>
      <c r="K3349" s="1">
        <f>Query1[[#This Row],[SF Running Total]]+Query1[[#This Row],[UNIV Running Total]]</f>
        <v>5656</v>
      </c>
      <c r="L3349" t="e">
        <f>VLOOKUP(Query1[[#This Row],[Description]],'kits to boards'!$B$2:$E$156,2,FALSE)</f>
        <v>#N/A</v>
      </c>
      <c r="M3349" t="e">
        <f>VLOOKUP(Query1[[#This Row],[Description]],'kits to boards'!$B$2:$E$156,3,FALSE)</f>
        <v>#N/A</v>
      </c>
      <c r="N3349" t="e">
        <f>VLOOKUP(Query1[[#This Row],[Description]],'kits to boards'!$B$2:$E$156,4,FALSE)</f>
        <v>#N/A</v>
      </c>
      <c r="O3349" t="e">
        <f>CONCATENATE(Query1[[#This Row],[Description]]," - ",Query1[[#This Row],[MB1]]," - ",Query1[[#This Row],[MB2]]," - ",Query1[[#This Row],[MB3]])</f>
        <v>#N/A</v>
      </c>
    </row>
    <row r="3350" spans="1:15" x14ac:dyDescent="0.25">
      <c r="A3350" s="1">
        <v>918086</v>
      </c>
      <c r="B3350" s="1" t="s">
        <v>60</v>
      </c>
      <c r="C3350" s="1" t="s">
        <v>61</v>
      </c>
      <c r="D3350" s="2">
        <v>44655.589438888892</v>
      </c>
      <c r="E3350" s="1" t="s">
        <v>8</v>
      </c>
      <c r="F3350" s="1">
        <v>1</v>
      </c>
      <c r="G3350" s="1">
        <v>0</v>
      </c>
      <c r="H3350" s="6">
        <f>INT(Query1[[#This Row],[EntryDateTime]])</f>
        <v>44655</v>
      </c>
      <c r="I3350" s="1">
        <f>IF(Query1[[#This Row],[ItemType]]="EVAP KIT SF GEN IV",Query1[[#This Row],[OrderQty]]+I3349,I3349)</f>
        <v>4192</v>
      </c>
      <c r="J3350" s="1">
        <f>IF(Query1[[#This Row],[ItemType]]="EVAP KIT UNIVERSAL",Query1[[#This Row],[OrderQty]]+J3349,J3349)</f>
        <v>1465</v>
      </c>
      <c r="K3350" s="1">
        <f>Query1[[#This Row],[SF Running Total]]+Query1[[#This Row],[UNIV Running Total]]</f>
        <v>5657</v>
      </c>
      <c r="L3350">
        <f>VLOOKUP(Query1[[#This Row],[Description]],'kits to boards'!$B$2:$E$156,2,FALSE)</f>
        <v>830062</v>
      </c>
      <c r="M3350">
        <f>VLOOKUP(Query1[[#This Row],[Description]],'kits to boards'!$B$2:$E$156,3,FALSE)</f>
        <v>0</v>
      </c>
      <c r="N3350">
        <f>VLOOKUP(Query1[[#This Row],[Description]],'kits to boards'!$B$2:$E$156,4,FALSE)</f>
        <v>0</v>
      </c>
      <c r="O3350" t="str">
        <f>CONCATENATE(Query1[[#This Row],[Description]]," - ",Query1[[#This Row],[MB1]]," - ",Query1[[#This Row],[MB2]]," - ",Query1[[#This Row],[MB3]])</f>
        <v>EVAP KIT 68-69 CHEVELLE WO AC - 830062 - 0 - 0</v>
      </c>
    </row>
    <row r="3351" spans="1:15" x14ac:dyDescent="0.25">
      <c r="A3351" s="1">
        <v>918101</v>
      </c>
      <c r="B3351" s="1" t="s">
        <v>92</v>
      </c>
      <c r="C3351" s="1" t="s">
        <v>93</v>
      </c>
      <c r="D3351" s="2">
        <v>44655.605413194447</v>
      </c>
      <c r="E3351" s="1" t="s">
        <v>8</v>
      </c>
      <c r="F3351" s="1">
        <v>1</v>
      </c>
      <c r="G3351" s="1">
        <v>0</v>
      </c>
      <c r="H3351" s="6">
        <f>INT(Query1[[#This Row],[EntryDateTime]])</f>
        <v>44655</v>
      </c>
      <c r="I3351" s="1">
        <f>IF(Query1[[#This Row],[ItemType]]="EVAP KIT SF GEN IV",Query1[[#This Row],[OrderQty]]+I3350,I3350)</f>
        <v>4193</v>
      </c>
      <c r="J3351" s="1">
        <f>IF(Query1[[#This Row],[ItemType]]="EVAP KIT UNIVERSAL",Query1[[#This Row],[OrderQty]]+J3350,J3350)</f>
        <v>1465</v>
      </c>
      <c r="K3351" s="1">
        <f>Query1[[#This Row],[SF Running Total]]+Query1[[#This Row],[UNIV Running Total]]</f>
        <v>5658</v>
      </c>
      <c r="L3351">
        <f>VLOOKUP(Query1[[#This Row],[Description]],'kits to boards'!$B$2:$E$156,2,FALSE)</f>
        <v>830063</v>
      </c>
      <c r="M3351">
        <f>VLOOKUP(Query1[[#This Row],[Description]],'kits to boards'!$B$2:$E$156,3,FALSE)</f>
        <v>0</v>
      </c>
      <c r="N3351">
        <f>VLOOKUP(Query1[[#This Row],[Description]],'kits to boards'!$B$2:$E$156,4,FALSE)</f>
        <v>0</v>
      </c>
      <c r="O3351" t="str">
        <f>CONCATENATE(Query1[[#This Row],[Description]]," - ",Query1[[#This Row],[MB1]]," - ",Query1[[#This Row],[MB2]]," - ",Query1[[#This Row],[MB3]])</f>
        <v>EVAP KIT 50-53 CHEV P-UP GEN IV - 830063 - 0 - 0</v>
      </c>
    </row>
    <row r="3352" spans="1:15" x14ac:dyDescent="0.25">
      <c r="A3352" s="1">
        <v>916440</v>
      </c>
      <c r="B3352" s="1" t="s">
        <v>66</v>
      </c>
      <c r="C3352" s="1" t="s">
        <v>67</v>
      </c>
      <c r="D3352" s="2">
        <v>44655.606881250002</v>
      </c>
      <c r="E3352" s="1" t="s">
        <v>8</v>
      </c>
      <c r="F3352" s="1">
        <v>1</v>
      </c>
      <c r="G3352" s="1">
        <v>0</v>
      </c>
      <c r="H3352" s="6">
        <f>INT(Query1[[#This Row],[EntryDateTime]])</f>
        <v>44655</v>
      </c>
      <c r="I3352" s="1">
        <f>IF(Query1[[#This Row],[ItemType]]="EVAP KIT SF GEN IV",Query1[[#This Row],[OrderQty]]+I3351,I3351)</f>
        <v>4194</v>
      </c>
      <c r="J3352" s="1">
        <f>IF(Query1[[#This Row],[ItemType]]="EVAP KIT UNIVERSAL",Query1[[#This Row],[OrderQty]]+J3351,J3351)</f>
        <v>1465</v>
      </c>
      <c r="K3352" s="1">
        <f>Query1[[#This Row],[SF Running Total]]+Query1[[#This Row],[UNIV Running Total]]</f>
        <v>5659</v>
      </c>
      <c r="L3352">
        <f>VLOOKUP(Query1[[#This Row],[Description]],'kits to boards'!$B$2:$E$156,2,FALSE)</f>
        <v>830060</v>
      </c>
      <c r="M3352">
        <f>VLOOKUP(Query1[[#This Row],[Description]],'kits to boards'!$B$2:$E$156,3,FALSE)</f>
        <v>0</v>
      </c>
      <c r="N3352">
        <f>VLOOKUP(Query1[[#This Row],[Description]],'kits to boards'!$B$2:$E$156,4,FALSE)</f>
        <v>0</v>
      </c>
      <c r="O3352" t="str">
        <f>CONCATENATE(Query1[[#This Row],[Description]]," - ",Query1[[#This Row],[MB1]]," - ",Query1[[#This Row],[MB2]]," - ",Query1[[#This Row],[MB3]])</f>
        <v>EVAP KIT 66-67 CHEVELLE WO AC - 830060 - 0 - 0</v>
      </c>
    </row>
    <row r="3353" spans="1:15" x14ac:dyDescent="0.25">
      <c r="A3353" s="1">
        <v>918105</v>
      </c>
      <c r="B3353" s="1" t="s">
        <v>110</v>
      </c>
      <c r="C3353" s="1" t="s">
        <v>111</v>
      </c>
      <c r="D3353" s="2">
        <v>44655.614319363427</v>
      </c>
      <c r="E3353" s="1" t="s">
        <v>8</v>
      </c>
      <c r="F3353" s="1">
        <v>1</v>
      </c>
      <c r="G3353" s="1">
        <v>0</v>
      </c>
      <c r="H3353" s="6">
        <f>INT(Query1[[#This Row],[EntryDateTime]])</f>
        <v>44655</v>
      </c>
      <c r="I3353" s="1">
        <f>IF(Query1[[#This Row],[ItemType]]="EVAP KIT SF GEN IV",Query1[[#This Row],[OrderQty]]+I3352,I3352)</f>
        <v>4195</v>
      </c>
      <c r="J3353" s="1">
        <f>IF(Query1[[#This Row],[ItemType]]="EVAP KIT UNIVERSAL",Query1[[#This Row],[OrderQty]]+J3352,J3352)</f>
        <v>1465</v>
      </c>
      <c r="K3353" s="1">
        <f>Query1[[#This Row],[SF Running Total]]+Query1[[#This Row],[UNIV Running Total]]</f>
        <v>5660</v>
      </c>
      <c r="L3353">
        <f>VLOOKUP(Query1[[#This Row],[Description]],'kits to boards'!$B$2:$E$156,2,FALSE)</f>
        <v>830053</v>
      </c>
      <c r="M3353">
        <f>VLOOKUP(Query1[[#This Row],[Description]],'kits to boards'!$B$2:$E$156,3,FALSE)</f>
        <v>0</v>
      </c>
      <c r="N3353">
        <f>VLOOKUP(Query1[[#This Row],[Description]],'kits to boards'!$B$2:$E$156,4,FALSE)</f>
        <v>0</v>
      </c>
      <c r="O3353" t="str">
        <f>CONCATENATE(Query1[[#This Row],[Description]]," - ",Query1[[#This Row],[MB1]]," - ",Query1[[#This Row],[MB2]]," - ",Query1[[#This Row],[MB3]])</f>
        <v>EVAP KIT 65-66 FORD F-100 - 830053 - 0 - 0</v>
      </c>
    </row>
    <row r="3354" spans="1:15" x14ac:dyDescent="0.25">
      <c r="A3354" s="1">
        <v>917946</v>
      </c>
      <c r="B3354" s="1" t="s">
        <v>100</v>
      </c>
      <c r="C3354" s="1" t="s">
        <v>101</v>
      </c>
      <c r="D3354" s="2">
        <v>44655.62480636574</v>
      </c>
      <c r="E3354" s="1" t="s">
        <v>8</v>
      </c>
      <c r="F3354" s="1">
        <v>1</v>
      </c>
      <c r="G3354" s="1">
        <v>0</v>
      </c>
      <c r="H3354" s="6">
        <f>INT(Query1[[#This Row],[EntryDateTime]])</f>
        <v>44655</v>
      </c>
      <c r="I3354" s="1">
        <f>IF(Query1[[#This Row],[ItemType]]="EVAP KIT SF GEN IV",Query1[[#This Row],[OrderQty]]+I3353,I3353)</f>
        <v>4196</v>
      </c>
      <c r="J3354" s="1">
        <f>IF(Query1[[#This Row],[ItemType]]="EVAP KIT UNIVERSAL",Query1[[#This Row],[OrderQty]]+J3353,J3353)</f>
        <v>1465</v>
      </c>
      <c r="K3354" s="1">
        <f>Query1[[#This Row],[SF Running Total]]+Query1[[#This Row],[UNIV Running Total]]</f>
        <v>5661</v>
      </c>
      <c r="L3354">
        <f>VLOOKUP(Query1[[#This Row],[Description]],'kits to boards'!$B$2:$E$156,2,FALSE)</f>
        <v>830096</v>
      </c>
      <c r="M3354">
        <f>VLOOKUP(Query1[[#This Row],[Description]],'kits to boards'!$B$2:$E$156,3,FALSE)</f>
        <v>0</v>
      </c>
      <c r="N3354">
        <f>VLOOKUP(Query1[[#This Row],[Description]],'kits to boards'!$B$2:$E$156,4,FALSE)</f>
        <v>0</v>
      </c>
      <c r="O3354" t="str">
        <f>CONCATENATE(Query1[[#This Row],[Description]]," - ",Query1[[#This Row],[MB1]]," - ",Query1[[#This Row],[MB2]]," - ",Query1[[#This Row],[MB3]])</f>
        <v>EVAP KIT 62-65 NOVA - 830096 - 0 - 0</v>
      </c>
    </row>
    <row r="3355" spans="1:15" x14ac:dyDescent="0.25">
      <c r="A3355" s="1">
        <v>918118</v>
      </c>
      <c r="B3355" s="1" t="s">
        <v>34</v>
      </c>
      <c r="C3355" s="1" t="s">
        <v>35</v>
      </c>
      <c r="D3355" s="2">
        <v>44655.632344826387</v>
      </c>
      <c r="E3355" s="1" t="s">
        <v>8</v>
      </c>
      <c r="F3355" s="1">
        <v>1</v>
      </c>
      <c r="G3355" s="1">
        <v>0</v>
      </c>
      <c r="H3355" s="6">
        <f>INT(Query1[[#This Row],[EntryDateTime]])</f>
        <v>44655</v>
      </c>
      <c r="I3355" s="1">
        <f>IF(Query1[[#This Row],[ItemType]]="EVAP KIT SF GEN IV",Query1[[#This Row],[OrderQty]]+I3354,I3354)</f>
        <v>4197</v>
      </c>
      <c r="J3355" s="1">
        <f>IF(Query1[[#This Row],[ItemType]]="EVAP KIT UNIVERSAL",Query1[[#This Row],[OrderQty]]+J3354,J3354)</f>
        <v>1465</v>
      </c>
      <c r="K3355" s="1">
        <f>Query1[[#This Row],[SF Running Total]]+Query1[[#This Row],[UNIV Running Total]]</f>
        <v>5662</v>
      </c>
      <c r="L3355">
        <f>VLOOKUP(Query1[[#This Row],[Description]],'kits to boards'!$B$2:$E$156,2,FALSE)</f>
        <v>830065</v>
      </c>
      <c r="M3355">
        <f>VLOOKUP(Query1[[#This Row],[Description]],'kits to boards'!$B$2:$E$156,3,FALSE)</f>
        <v>0</v>
      </c>
      <c r="N3355">
        <f>VLOOKUP(Query1[[#This Row],[Description]],'kits to boards'!$B$2:$E$156,4,FALSE)</f>
        <v>0</v>
      </c>
      <c r="O3355" t="str">
        <f>CONCATENATE(Query1[[#This Row],[Description]]," - ",Query1[[#This Row],[MB1]]," - ",Query1[[#This Row],[MB2]]," - ",Query1[[#This Row],[MB3]])</f>
        <v>EVAP KIT 57 CHEV WO AC - 830065 - 0 - 0</v>
      </c>
    </row>
    <row r="3356" spans="1:15" x14ac:dyDescent="0.25">
      <c r="A3356" s="1">
        <v>918120</v>
      </c>
      <c r="B3356" s="1" t="s">
        <v>244</v>
      </c>
      <c r="C3356" s="1" t="s">
        <v>245</v>
      </c>
      <c r="D3356" s="2">
        <v>44655.634130092592</v>
      </c>
      <c r="E3356" s="1" t="s">
        <v>8</v>
      </c>
      <c r="F3356" s="1">
        <v>1</v>
      </c>
      <c r="G3356" s="1">
        <v>0</v>
      </c>
      <c r="H3356" s="6">
        <f>INT(Query1[[#This Row],[EntryDateTime]])</f>
        <v>44655</v>
      </c>
      <c r="I3356" s="1">
        <f>IF(Query1[[#This Row],[ItemType]]="EVAP KIT SF GEN IV",Query1[[#This Row],[OrderQty]]+I3355,I3355)</f>
        <v>4198</v>
      </c>
      <c r="J3356" s="1">
        <f>IF(Query1[[#This Row],[ItemType]]="EVAP KIT UNIVERSAL",Query1[[#This Row],[OrderQty]]+J3355,J3355)</f>
        <v>1465</v>
      </c>
      <c r="K3356" s="1">
        <f>Query1[[#This Row],[SF Running Total]]+Query1[[#This Row],[UNIV Running Total]]</f>
        <v>5663</v>
      </c>
      <c r="L3356">
        <f>VLOOKUP(Query1[[#This Row],[Description]],'kits to boards'!$B$2:$E$156,2,FALSE)</f>
        <v>830100</v>
      </c>
      <c r="M3356">
        <f>VLOOKUP(Query1[[#This Row],[Description]],'kits to boards'!$B$2:$E$156,3,FALSE)</f>
        <v>0</v>
      </c>
      <c r="N3356">
        <f>VLOOKUP(Query1[[#This Row],[Description]],'kits to boards'!$B$2:$E$156,4,FALSE)</f>
        <v>0</v>
      </c>
      <c r="O3356" t="str">
        <f>CONCATENATE(Query1[[#This Row],[Description]]," - ",Query1[[#This Row],[MB1]]," - ",Query1[[#This Row],[MB2]]," - ",Query1[[#This Row],[MB3]])</f>
        <v>EVAP KIT 68-76 VETTE WO AC - 830100 - 0 - 0</v>
      </c>
    </row>
    <row r="3357" spans="1:15" x14ac:dyDescent="0.25">
      <c r="A3357" s="1">
        <v>918124</v>
      </c>
      <c r="B3357" s="1" t="s">
        <v>84</v>
      </c>
      <c r="C3357" s="1" t="s">
        <v>85</v>
      </c>
      <c r="D3357" s="2">
        <v>44655.636947997686</v>
      </c>
      <c r="E3357" s="1" t="s">
        <v>8</v>
      </c>
      <c r="F3357" s="1">
        <v>1</v>
      </c>
      <c r="G3357" s="1">
        <v>0</v>
      </c>
      <c r="H3357" s="6">
        <f>INT(Query1[[#This Row],[EntryDateTime]])</f>
        <v>44655</v>
      </c>
      <c r="I3357" s="1">
        <f>IF(Query1[[#This Row],[ItemType]]="EVAP KIT SF GEN IV",Query1[[#This Row],[OrderQty]]+I3356,I3356)</f>
        <v>4199</v>
      </c>
      <c r="J3357" s="1">
        <f>IF(Query1[[#This Row],[ItemType]]="EVAP KIT UNIVERSAL",Query1[[#This Row],[OrderQty]]+J3356,J3356)</f>
        <v>1465</v>
      </c>
      <c r="K3357" s="1">
        <f>Query1[[#This Row],[SF Running Total]]+Query1[[#This Row],[UNIV Running Total]]</f>
        <v>5664</v>
      </c>
      <c r="L3357">
        <f>VLOOKUP(Query1[[#This Row],[Description]],'kits to boards'!$B$2:$E$156,2,FALSE)</f>
        <v>830085</v>
      </c>
      <c r="M3357">
        <f>VLOOKUP(Query1[[#This Row],[Description]],'kits to boards'!$B$2:$E$156,3,FALSE)</f>
        <v>0</v>
      </c>
      <c r="N3357">
        <f>VLOOKUP(Query1[[#This Row],[Description]],'kits to boards'!$B$2:$E$156,4,FALSE)</f>
        <v>0</v>
      </c>
      <c r="O3357" t="str">
        <f>CONCATENATE(Query1[[#This Row],[Description]]," - ",Query1[[#This Row],[MB1]]," - ",Query1[[#This Row],[MB2]]," - ",Query1[[#This Row],[MB3]])</f>
        <v>EVAP KIT 66-77 BRONCO 4-VENT PLENUM - 830085 - 0 - 0</v>
      </c>
    </row>
    <row r="3358" spans="1:15" x14ac:dyDescent="0.25">
      <c r="A3358" s="1">
        <v>914822</v>
      </c>
      <c r="B3358" s="1" t="s">
        <v>44</v>
      </c>
      <c r="C3358" s="1" t="s">
        <v>45</v>
      </c>
      <c r="D3358" s="2">
        <v>44655.637321145834</v>
      </c>
      <c r="E3358" s="1" t="s">
        <v>8</v>
      </c>
      <c r="F3358" s="1">
        <v>1</v>
      </c>
      <c r="G3358" s="1">
        <v>0</v>
      </c>
      <c r="H3358" s="6">
        <f>INT(Query1[[#This Row],[EntryDateTime]])</f>
        <v>44655</v>
      </c>
      <c r="I3358" s="1">
        <f>IF(Query1[[#This Row],[ItemType]]="EVAP KIT SF GEN IV",Query1[[#This Row],[OrderQty]]+I3357,I3357)</f>
        <v>4200</v>
      </c>
      <c r="J3358" s="1">
        <f>IF(Query1[[#This Row],[ItemType]]="EVAP KIT UNIVERSAL",Query1[[#This Row],[OrderQty]]+J3357,J3357)</f>
        <v>1465</v>
      </c>
      <c r="K3358" s="1">
        <f>Query1[[#This Row],[SF Running Total]]+Query1[[#This Row],[UNIV Running Total]]</f>
        <v>5665</v>
      </c>
      <c r="L3358">
        <f>VLOOKUP(Query1[[#This Row],[Description]],'kits to boards'!$B$2:$E$156,2,FALSE)</f>
        <v>830085</v>
      </c>
      <c r="M3358">
        <f>VLOOKUP(Query1[[#This Row],[Description]],'kits to boards'!$B$2:$E$156,3,FALSE)</f>
        <v>0</v>
      </c>
      <c r="N3358">
        <f>VLOOKUP(Query1[[#This Row],[Description]],'kits to boards'!$B$2:$E$156,4,FALSE)</f>
        <v>0</v>
      </c>
      <c r="O3358" t="str">
        <f>CONCATENATE(Query1[[#This Row],[Description]]," - ",Query1[[#This Row],[MB1]]," - ",Query1[[#This Row],[MB2]]," - ",Query1[[#This Row],[MB3]])</f>
        <v>EVAP KIT 66-77 BRONCO - 830085 - 0 - 0</v>
      </c>
    </row>
    <row r="3359" spans="1:15" x14ac:dyDescent="0.25">
      <c r="A3359" s="1">
        <v>918083</v>
      </c>
      <c r="B3359" s="1" t="s">
        <v>38</v>
      </c>
      <c r="C3359" s="1" t="s">
        <v>39</v>
      </c>
      <c r="D3359" s="2">
        <v>44655.639176504628</v>
      </c>
      <c r="E3359" s="1" t="s">
        <v>8</v>
      </c>
      <c r="F3359" s="1">
        <v>1</v>
      </c>
      <c r="G3359" s="1">
        <v>0</v>
      </c>
      <c r="H3359" s="6">
        <f>INT(Query1[[#This Row],[EntryDateTime]])</f>
        <v>44655</v>
      </c>
      <c r="I3359" s="1">
        <f>IF(Query1[[#This Row],[ItemType]]="EVAP KIT SF GEN IV",Query1[[#This Row],[OrderQty]]+I3358,I3358)</f>
        <v>4201</v>
      </c>
      <c r="J3359" s="1">
        <f>IF(Query1[[#This Row],[ItemType]]="EVAP KIT UNIVERSAL",Query1[[#This Row],[OrderQty]]+J3358,J3358)</f>
        <v>1465</v>
      </c>
      <c r="K3359" s="1">
        <f>Query1[[#This Row],[SF Running Total]]+Query1[[#This Row],[UNIV Running Total]]</f>
        <v>5666</v>
      </c>
      <c r="L3359">
        <f>VLOOKUP(Query1[[#This Row],[Description]],'kits to boards'!$B$2:$E$156,2,FALSE)</f>
        <v>830012</v>
      </c>
      <c r="M3359">
        <f>VLOOKUP(Query1[[#This Row],[Description]],'kits to boards'!$B$2:$E$156,3,FALSE)</f>
        <v>0</v>
      </c>
      <c r="N3359">
        <f>VLOOKUP(Query1[[#This Row],[Description]],'kits to boards'!$B$2:$E$156,4,FALSE)</f>
        <v>0</v>
      </c>
      <c r="O3359" t="str">
        <f>CONCATENATE(Query1[[#This Row],[Description]]," - ",Query1[[#This Row],[MB1]]," - ",Query1[[#This Row],[MB2]]," - ",Query1[[#This Row],[MB3]])</f>
        <v>EVAP KIT 69 CAMARO W/AC - 830012 - 0 - 0</v>
      </c>
    </row>
    <row r="3360" spans="1:15" x14ac:dyDescent="0.25">
      <c r="A3360" s="1">
        <v>917806</v>
      </c>
      <c r="B3360" s="1" t="s">
        <v>92</v>
      </c>
      <c r="C3360" s="1" t="s">
        <v>93</v>
      </c>
      <c r="D3360" s="2">
        <v>44655.641680011577</v>
      </c>
      <c r="E3360" s="1" t="s">
        <v>8</v>
      </c>
      <c r="F3360" s="1">
        <v>1</v>
      </c>
      <c r="G3360" s="1">
        <v>0</v>
      </c>
      <c r="H3360" s="6">
        <f>INT(Query1[[#This Row],[EntryDateTime]])</f>
        <v>44655</v>
      </c>
      <c r="I3360" s="1">
        <f>IF(Query1[[#This Row],[ItemType]]="EVAP KIT SF GEN IV",Query1[[#This Row],[OrderQty]]+I3359,I3359)</f>
        <v>4202</v>
      </c>
      <c r="J3360" s="1">
        <f>IF(Query1[[#This Row],[ItemType]]="EVAP KIT UNIVERSAL",Query1[[#This Row],[OrderQty]]+J3359,J3359)</f>
        <v>1465</v>
      </c>
      <c r="K3360" s="1">
        <f>Query1[[#This Row],[SF Running Total]]+Query1[[#This Row],[UNIV Running Total]]</f>
        <v>5667</v>
      </c>
      <c r="L3360">
        <f>VLOOKUP(Query1[[#This Row],[Description]],'kits to boards'!$B$2:$E$156,2,FALSE)</f>
        <v>830063</v>
      </c>
      <c r="M3360">
        <f>VLOOKUP(Query1[[#This Row],[Description]],'kits to boards'!$B$2:$E$156,3,FALSE)</f>
        <v>0</v>
      </c>
      <c r="N3360">
        <f>VLOOKUP(Query1[[#This Row],[Description]],'kits to boards'!$B$2:$E$156,4,FALSE)</f>
        <v>0</v>
      </c>
      <c r="O3360" t="str">
        <f>CONCATENATE(Query1[[#This Row],[Description]]," - ",Query1[[#This Row],[MB1]]," - ",Query1[[#This Row],[MB2]]," - ",Query1[[#This Row],[MB3]])</f>
        <v>EVAP KIT 50-53 CHEV P-UP GEN IV - 830063 - 0 - 0</v>
      </c>
    </row>
    <row r="3361" spans="1:15" x14ac:dyDescent="0.25">
      <c r="A3361" s="1">
        <v>918108</v>
      </c>
      <c r="B3361" s="1" t="s">
        <v>16</v>
      </c>
      <c r="C3361" s="1" t="s">
        <v>17</v>
      </c>
      <c r="D3361" s="2">
        <v>44655.648881250003</v>
      </c>
      <c r="E3361" s="1" t="s">
        <v>8</v>
      </c>
      <c r="F3361" s="1">
        <v>1</v>
      </c>
      <c r="G3361" s="1">
        <v>0</v>
      </c>
      <c r="H3361" s="6">
        <f>INT(Query1[[#This Row],[EntryDateTime]])</f>
        <v>44655</v>
      </c>
      <c r="I3361" s="1">
        <f>IF(Query1[[#This Row],[ItemType]]="EVAP KIT SF GEN IV",Query1[[#This Row],[OrderQty]]+I3360,I3360)</f>
        <v>4203</v>
      </c>
      <c r="J3361" s="1">
        <f>IF(Query1[[#This Row],[ItemType]]="EVAP KIT UNIVERSAL",Query1[[#This Row],[OrderQty]]+J3360,J3360)</f>
        <v>1465</v>
      </c>
      <c r="K3361" s="1">
        <f>Query1[[#This Row],[SF Running Total]]+Query1[[#This Row],[UNIV Running Total]]</f>
        <v>5668</v>
      </c>
      <c r="L3361">
        <f>VLOOKUP(Query1[[#This Row],[Description]],'kits to boards'!$B$2:$E$156,2,FALSE)</f>
        <v>830061</v>
      </c>
      <c r="M3361">
        <f>VLOOKUP(Query1[[#This Row],[Description]],'kits to boards'!$B$2:$E$156,3,FALSE)</f>
        <v>0</v>
      </c>
      <c r="N3361">
        <f>VLOOKUP(Query1[[#This Row],[Description]],'kits to boards'!$B$2:$E$156,4,FALSE)</f>
        <v>0</v>
      </c>
      <c r="O3361" t="str">
        <f>CONCATENATE(Query1[[#This Row],[Description]]," - ",Query1[[#This Row],[MB1]]," - ",Query1[[#This Row],[MB2]]," - ",Query1[[#This Row],[MB3]])</f>
        <v>EVAP KIT 68-69 CHEVELLE W/AC - 830061 - 0 - 0</v>
      </c>
    </row>
    <row r="3362" spans="1:15" x14ac:dyDescent="0.25">
      <c r="A3362" s="1">
        <v>918107</v>
      </c>
      <c r="B3362" s="1" t="s">
        <v>240</v>
      </c>
      <c r="C3362" s="1" t="s">
        <v>241</v>
      </c>
      <c r="D3362" s="2">
        <v>44655.650053622689</v>
      </c>
      <c r="E3362" s="1" t="s">
        <v>8</v>
      </c>
      <c r="F3362" s="1">
        <v>1</v>
      </c>
      <c r="G3362" s="1">
        <v>0</v>
      </c>
      <c r="H3362" s="6">
        <f>INT(Query1[[#This Row],[EntryDateTime]])</f>
        <v>44655</v>
      </c>
      <c r="I3362" s="1">
        <f>IF(Query1[[#This Row],[ItemType]]="EVAP KIT SF GEN IV",Query1[[#This Row],[OrderQty]]+I3361,I3361)</f>
        <v>4204</v>
      </c>
      <c r="J3362" s="1">
        <f>IF(Query1[[#This Row],[ItemType]]="EVAP KIT UNIVERSAL",Query1[[#This Row],[OrderQty]]+J3361,J3361)</f>
        <v>1465</v>
      </c>
      <c r="K3362" s="1">
        <f>Query1[[#This Row],[SF Running Total]]+Query1[[#This Row],[UNIV Running Total]]</f>
        <v>5669</v>
      </c>
      <c r="L3362">
        <f>VLOOKUP(Query1[[#This Row],[Description]],'kits to boards'!$B$2:$E$156,2,FALSE)</f>
        <v>830032</v>
      </c>
      <c r="M3362">
        <f>VLOOKUP(Query1[[#This Row],[Description]],'kits to boards'!$B$2:$E$156,3,FALSE)</f>
        <v>0</v>
      </c>
      <c r="N3362">
        <f>VLOOKUP(Query1[[#This Row],[Description]],'kits to boards'!$B$2:$E$156,4,FALSE)</f>
        <v>0</v>
      </c>
      <c r="O3362" t="str">
        <f>CONCATENATE(Query1[[#This Row],[Description]]," - ",Query1[[#This Row],[MB1]]," - ",Query1[[#This Row],[MB2]]," - ",Query1[[#This Row],[MB3]])</f>
        <v>EVAP KIT 58-60 VETTE - 830032 - 0 - 0</v>
      </c>
    </row>
    <row r="3363" spans="1:15" x14ac:dyDescent="0.25">
      <c r="A3363" s="1">
        <v>918130</v>
      </c>
      <c r="B3363" s="1" t="s">
        <v>42</v>
      </c>
      <c r="C3363" s="1" t="s">
        <v>43</v>
      </c>
      <c r="D3363" s="2">
        <v>44655.651045868057</v>
      </c>
      <c r="E3363" s="1" t="s">
        <v>8</v>
      </c>
      <c r="F3363" s="1">
        <v>1</v>
      </c>
      <c r="G3363" s="1">
        <v>0</v>
      </c>
      <c r="H3363" s="6">
        <f>INT(Query1[[#This Row],[EntryDateTime]])</f>
        <v>44655</v>
      </c>
      <c r="I3363" s="1">
        <f>IF(Query1[[#This Row],[ItemType]]="EVAP KIT SF GEN IV",Query1[[#This Row],[OrderQty]]+I3362,I3362)</f>
        <v>4205</v>
      </c>
      <c r="J3363" s="1">
        <f>IF(Query1[[#This Row],[ItemType]]="EVAP KIT UNIVERSAL",Query1[[#This Row],[OrderQty]]+J3362,J3362)</f>
        <v>1465</v>
      </c>
      <c r="K3363" s="1">
        <f>Query1[[#This Row],[SF Running Total]]+Query1[[#This Row],[UNIV Running Total]]</f>
        <v>5670</v>
      </c>
      <c r="L3363">
        <f>VLOOKUP(Query1[[#This Row],[Description]],'kits to boards'!$B$2:$E$156,2,FALSE)</f>
        <v>830014</v>
      </c>
      <c r="M3363">
        <f>VLOOKUP(Query1[[#This Row],[Description]],'kits to boards'!$B$2:$E$156,3,FALSE)</f>
        <v>0</v>
      </c>
      <c r="N3363">
        <f>VLOOKUP(Query1[[#This Row],[Description]],'kits to boards'!$B$2:$E$156,4,FALSE)</f>
        <v>0</v>
      </c>
      <c r="O3363" t="str">
        <f>CONCATENATE(Query1[[#This Row],[Description]]," - ",Query1[[#This Row],[MB1]]," - ",Query1[[#This Row],[MB2]]," - ",Query1[[#This Row],[MB3]])</f>
        <v>EVAP KIT 67-72 CHEV P-UP WO AC - 830014 - 0 - 0</v>
      </c>
    </row>
    <row r="3364" spans="1:15" x14ac:dyDescent="0.25">
      <c r="A3364" s="1">
        <v>918135</v>
      </c>
      <c r="B3364" s="1" t="s">
        <v>102</v>
      </c>
      <c r="C3364" s="1" t="s">
        <v>103</v>
      </c>
      <c r="D3364" s="2">
        <v>44655.653996030094</v>
      </c>
      <c r="E3364" s="1" t="s">
        <v>8</v>
      </c>
      <c r="F3364" s="1">
        <v>1</v>
      </c>
      <c r="G3364" s="1">
        <v>0</v>
      </c>
      <c r="H3364" s="6">
        <f>INT(Query1[[#This Row],[EntryDateTime]])</f>
        <v>44655</v>
      </c>
      <c r="I3364" s="1">
        <f>IF(Query1[[#This Row],[ItemType]]="EVAP KIT SF GEN IV",Query1[[#This Row],[OrderQty]]+I3363,I3363)</f>
        <v>4206</v>
      </c>
      <c r="J3364" s="1">
        <f>IF(Query1[[#This Row],[ItemType]]="EVAP KIT UNIVERSAL",Query1[[#This Row],[OrderQty]]+J3363,J3363)</f>
        <v>1465</v>
      </c>
      <c r="K3364" s="1">
        <f>Query1[[#This Row],[SF Running Total]]+Query1[[#This Row],[UNIV Running Total]]</f>
        <v>5671</v>
      </c>
      <c r="L3364">
        <f>VLOOKUP(Query1[[#This Row],[Description]],'kits to boards'!$B$2:$E$156,2,FALSE)</f>
        <v>830012</v>
      </c>
      <c r="M3364">
        <f>VLOOKUP(Query1[[#This Row],[Description]],'kits to boards'!$B$2:$E$156,3,FALSE)</f>
        <v>0</v>
      </c>
      <c r="N3364">
        <f>VLOOKUP(Query1[[#This Row],[Description]],'kits to boards'!$B$2:$E$156,4,FALSE)</f>
        <v>0</v>
      </c>
      <c r="O3364" t="str">
        <f>CONCATENATE(Query1[[#This Row],[Description]]," - ",Query1[[#This Row],[MB1]]," - ",Query1[[#This Row],[MB2]]," - ",Query1[[#This Row],[MB3]])</f>
        <v>EVAP KIT 69 CAMARO WO/AC - 830012 - 0 - 0</v>
      </c>
    </row>
    <row r="3365" spans="1:15" x14ac:dyDescent="0.25">
      <c r="A3365" s="1">
        <v>914148</v>
      </c>
      <c r="B3365" s="1" t="s">
        <v>124</v>
      </c>
      <c r="C3365" s="1" t="s">
        <v>125</v>
      </c>
      <c r="D3365" s="2">
        <v>44655.666614004629</v>
      </c>
      <c r="E3365" s="1" t="s">
        <v>8</v>
      </c>
      <c r="F3365" s="1">
        <v>1</v>
      </c>
      <c r="G3365" s="1">
        <v>0</v>
      </c>
      <c r="H3365" s="6">
        <f>INT(Query1[[#This Row],[EntryDateTime]])</f>
        <v>44655</v>
      </c>
      <c r="I3365" s="1">
        <f>IF(Query1[[#This Row],[ItemType]]="EVAP KIT SF GEN IV",Query1[[#This Row],[OrderQty]]+I3364,I3364)</f>
        <v>4207</v>
      </c>
      <c r="J3365" s="1">
        <f>IF(Query1[[#This Row],[ItemType]]="EVAP KIT UNIVERSAL",Query1[[#This Row],[OrderQty]]+J3364,J3364)</f>
        <v>1465</v>
      </c>
      <c r="K3365" s="1">
        <f>Query1[[#This Row],[SF Running Total]]+Query1[[#This Row],[UNIV Running Total]]</f>
        <v>5672</v>
      </c>
      <c r="L3365">
        <f>VLOOKUP(Query1[[#This Row],[Description]],'kits to boards'!$B$2:$E$156,2,FALSE)</f>
        <v>830002</v>
      </c>
      <c r="M3365">
        <f>VLOOKUP(Query1[[#This Row],[Description]],'kits to boards'!$B$2:$E$156,3,FALSE)</f>
        <v>0</v>
      </c>
      <c r="N3365">
        <f>VLOOKUP(Query1[[#This Row],[Description]],'kits to boards'!$B$2:$E$156,4,FALSE)</f>
        <v>0</v>
      </c>
      <c r="O3365" t="str">
        <f>CONCATENATE(Query1[[#This Row],[Description]]," - ",Query1[[#This Row],[MB1]]," - ",Query1[[#This Row],[MB2]]," - ",Query1[[#This Row],[MB3]])</f>
        <v>EVAP KIT 73-80 CHEV P-UP WO AC - 830002 - 0 - 0</v>
      </c>
    </row>
    <row r="3366" spans="1:15" x14ac:dyDescent="0.25">
      <c r="A3366" s="1">
        <v>917601</v>
      </c>
      <c r="B3366" s="1" t="s">
        <v>48</v>
      </c>
      <c r="C3366" s="1" t="s">
        <v>49</v>
      </c>
      <c r="D3366" s="2">
        <v>44655.670705868055</v>
      </c>
      <c r="E3366" s="1" t="s">
        <v>8</v>
      </c>
      <c r="F3366" s="1">
        <v>1</v>
      </c>
      <c r="G3366" s="1">
        <v>0</v>
      </c>
      <c r="H3366" s="6">
        <f>INT(Query1[[#This Row],[EntryDateTime]])</f>
        <v>44655</v>
      </c>
      <c r="I3366" s="1">
        <f>IF(Query1[[#This Row],[ItemType]]="EVAP KIT SF GEN IV",Query1[[#This Row],[OrderQty]]+I3365,I3365)</f>
        <v>4208</v>
      </c>
      <c r="J3366" s="1">
        <f>IF(Query1[[#This Row],[ItemType]]="EVAP KIT UNIVERSAL",Query1[[#This Row],[OrderQty]]+J3365,J3365)</f>
        <v>1465</v>
      </c>
      <c r="K3366" s="1">
        <f>Query1[[#This Row],[SF Running Total]]+Query1[[#This Row],[UNIV Running Total]]</f>
        <v>5673</v>
      </c>
      <c r="L3366">
        <f>VLOOKUP(Query1[[#This Row],[Description]],'kits to boards'!$B$2:$E$156,2,FALSE)</f>
        <v>830015</v>
      </c>
      <c r="M3366">
        <f>VLOOKUP(Query1[[#This Row],[Description]],'kits to boards'!$B$2:$E$156,3,FALSE)</f>
        <v>0</v>
      </c>
      <c r="N3366">
        <f>VLOOKUP(Query1[[#This Row],[Description]],'kits to boards'!$B$2:$E$156,4,FALSE)</f>
        <v>0</v>
      </c>
      <c r="O3366" t="str">
        <f>CONCATENATE(Query1[[#This Row],[Description]]," - ",Query1[[#This Row],[MB1]]," - ",Query1[[#This Row],[MB2]]," - ",Query1[[#This Row],[MB3]])</f>
        <v>EVAP KIT 64-66 CHEV P-UP WO AC W/DELX - 830015 - 0 - 0</v>
      </c>
    </row>
    <row r="3367" spans="1:15" x14ac:dyDescent="0.25">
      <c r="A3367" s="1">
        <v>918157</v>
      </c>
      <c r="B3367" s="1" t="s">
        <v>110</v>
      </c>
      <c r="C3367" s="1" t="s">
        <v>111</v>
      </c>
      <c r="D3367" s="2">
        <v>44655.693017129626</v>
      </c>
      <c r="E3367" s="1" t="s">
        <v>8</v>
      </c>
      <c r="F3367" s="1">
        <v>1</v>
      </c>
      <c r="G3367" s="1">
        <v>0</v>
      </c>
      <c r="H3367" s="6">
        <f>INT(Query1[[#This Row],[EntryDateTime]])</f>
        <v>44655</v>
      </c>
      <c r="I3367" s="1">
        <f>IF(Query1[[#This Row],[ItemType]]="EVAP KIT SF GEN IV",Query1[[#This Row],[OrderQty]]+I3366,I3366)</f>
        <v>4209</v>
      </c>
      <c r="J3367" s="1">
        <f>IF(Query1[[#This Row],[ItemType]]="EVAP KIT UNIVERSAL",Query1[[#This Row],[OrderQty]]+J3366,J3366)</f>
        <v>1465</v>
      </c>
      <c r="K3367" s="1">
        <f>Query1[[#This Row],[SF Running Total]]+Query1[[#This Row],[UNIV Running Total]]</f>
        <v>5674</v>
      </c>
      <c r="L3367">
        <f>VLOOKUP(Query1[[#This Row],[Description]],'kits to boards'!$B$2:$E$156,2,FALSE)</f>
        <v>830053</v>
      </c>
      <c r="M3367">
        <f>VLOOKUP(Query1[[#This Row],[Description]],'kits to boards'!$B$2:$E$156,3,FALSE)</f>
        <v>0</v>
      </c>
      <c r="N3367">
        <f>VLOOKUP(Query1[[#This Row],[Description]],'kits to boards'!$B$2:$E$156,4,FALSE)</f>
        <v>0</v>
      </c>
      <c r="O3367" t="str">
        <f>CONCATENATE(Query1[[#This Row],[Description]]," - ",Query1[[#This Row],[MB1]]," - ",Query1[[#This Row],[MB2]]," - ",Query1[[#This Row],[MB3]])</f>
        <v>EVAP KIT 65-66 FORD F-100 - 830053 - 0 - 0</v>
      </c>
    </row>
    <row r="3368" spans="1:15" x14ac:dyDescent="0.25">
      <c r="A3368" s="1">
        <v>918158</v>
      </c>
      <c r="B3368" s="1" t="s">
        <v>98</v>
      </c>
      <c r="C3368" s="1" t="s">
        <v>99</v>
      </c>
      <c r="D3368" s="2">
        <v>44655.697888460651</v>
      </c>
      <c r="E3368" s="1" t="s">
        <v>11</v>
      </c>
      <c r="F3368" s="1">
        <v>2</v>
      </c>
      <c r="G3368" s="1">
        <v>0</v>
      </c>
      <c r="H3368" s="6">
        <f>INT(Query1[[#This Row],[EntryDateTime]])</f>
        <v>44655</v>
      </c>
      <c r="I3368" s="1">
        <f>IF(Query1[[#This Row],[ItemType]]="EVAP KIT SF GEN IV",Query1[[#This Row],[OrderQty]]+I3367,I3367)</f>
        <v>4209</v>
      </c>
      <c r="J3368" s="1">
        <f>IF(Query1[[#This Row],[ItemType]]="EVAP KIT UNIVERSAL",Query1[[#This Row],[OrderQty]]+J3367,J3367)</f>
        <v>1467</v>
      </c>
      <c r="K3368" s="1">
        <f>Query1[[#This Row],[SF Running Total]]+Query1[[#This Row],[UNIV Running Total]]</f>
        <v>5676</v>
      </c>
      <c r="L3368">
        <f>VLOOKUP(Query1[[#This Row],[Description]],'kits to boards'!$B$2:$E$156,2,FALSE)</f>
        <v>830099</v>
      </c>
      <c r="M3368">
        <f>VLOOKUP(Query1[[#This Row],[Description]],'kits to boards'!$B$2:$E$156,3,FALSE)</f>
        <v>0</v>
      </c>
      <c r="N3368">
        <f>VLOOKUP(Query1[[#This Row],[Description]],'kits to boards'!$B$2:$E$156,4,FALSE)</f>
        <v>0</v>
      </c>
      <c r="O3368" t="str">
        <f>CONCATENATE(Query1[[#This Row],[Description]]," - ",Query1[[#This Row],[MB1]]," - ",Query1[[#This Row],[MB2]]," - ",Query1[[#This Row],[MB3]])</f>
        <v>MINI GEN II W/DEF - 830099 - 0 - 0</v>
      </c>
    </row>
    <row r="3369" spans="1:15" x14ac:dyDescent="0.25">
      <c r="A3369" s="1">
        <v>918160</v>
      </c>
      <c r="B3369" s="1" t="s">
        <v>94</v>
      </c>
      <c r="C3369" s="1" t="s">
        <v>95</v>
      </c>
      <c r="D3369" s="2">
        <v>44655.700417905093</v>
      </c>
      <c r="E3369" s="1" t="s">
        <v>8</v>
      </c>
      <c r="F3369" s="1">
        <v>1</v>
      </c>
      <c r="G3369" s="1">
        <v>0</v>
      </c>
      <c r="H3369" s="6">
        <f>INT(Query1[[#This Row],[EntryDateTime]])</f>
        <v>44655</v>
      </c>
      <c r="I3369" s="1">
        <f>IF(Query1[[#This Row],[ItemType]]="EVAP KIT SF GEN IV",Query1[[#This Row],[OrderQty]]+I3368,I3368)</f>
        <v>4210</v>
      </c>
      <c r="J3369" s="1">
        <f>IF(Query1[[#This Row],[ItemType]]="EVAP KIT UNIVERSAL",Query1[[#This Row],[OrderQty]]+J3368,J3368)</f>
        <v>1467</v>
      </c>
      <c r="K3369" s="1">
        <f>Query1[[#This Row],[SF Running Total]]+Query1[[#This Row],[UNIV Running Total]]</f>
        <v>5677</v>
      </c>
      <c r="L3369">
        <f>VLOOKUP(Query1[[#This Row],[Description]],'kits to boards'!$B$2:$E$156,2,FALSE)</f>
        <v>830076</v>
      </c>
      <c r="M3369">
        <f>VLOOKUP(Query1[[#This Row],[Description]],'kits to boards'!$B$2:$E$156,3,FALSE)</f>
        <v>0</v>
      </c>
      <c r="N3369">
        <f>VLOOKUP(Query1[[#This Row],[Description]],'kits to boards'!$B$2:$E$156,4,FALSE)</f>
        <v>0</v>
      </c>
      <c r="O3369" t="str">
        <f>CONCATENATE(Query1[[#This Row],[Description]]," - ",Query1[[#This Row],[MB1]]," - ",Query1[[#This Row],[MB2]]," - ",Query1[[#This Row],[MB3]])</f>
        <v>EVAP KIT 64 1/2- 66 MUSTANG  - 830076 - 0 - 0</v>
      </c>
    </row>
    <row r="3370" spans="1:15" x14ac:dyDescent="0.25">
      <c r="A3370" s="1">
        <v>918161</v>
      </c>
      <c r="B3370" s="1" t="s">
        <v>24</v>
      </c>
      <c r="C3370" s="1" t="s">
        <v>25</v>
      </c>
      <c r="D3370" s="2">
        <v>44656.309414780095</v>
      </c>
      <c r="E3370" s="1" t="s">
        <v>11</v>
      </c>
      <c r="F3370" s="1">
        <v>1</v>
      </c>
      <c r="G3370" s="1">
        <v>0</v>
      </c>
      <c r="H3370" s="6">
        <f>INT(Query1[[#This Row],[EntryDateTime]])</f>
        <v>44656</v>
      </c>
      <c r="I3370" s="1">
        <f>IF(Query1[[#This Row],[ItemType]]="EVAP KIT SF GEN IV",Query1[[#This Row],[OrderQty]]+I3369,I3369)</f>
        <v>4210</v>
      </c>
      <c r="J3370" s="1">
        <f>IF(Query1[[#This Row],[ItemType]]="EVAP KIT UNIVERSAL",Query1[[#This Row],[OrderQty]]+J3369,J3369)</f>
        <v>1468</v>
      </c>
      <c r="K3370" s="1">
        <f>Query1[[#This Row],[SF Running Total]]+Query1[[#This Row],[UNIV Running Total]]</f>
        <v>5678</v>
      </c>
      <c r="L3370">
        <f>VLOOKUP(Query1[[#This Row],[Description]],'kits to boards'!$B$2:$E$156,2,FALSE)</f>
        <v>830029</v>
      </c>
      <c r="M3370">
        <f>VLOOKUP(Query1[[#This Row],[Description]],'kits to boards'!$B$2:$E$156,3,FALSE)</f>
        <v>830030</v>
      </c>
      <c r="N3370">
        <f>VLOOKUP(Query1[[#This Row],[Description]],'kits to boards'!$B$2:$E$156,4,FALSE)</f>
        <v>0</v>
      </c>
      <c r="O3370" t="str">
        <f>CONCATENATE(Query1[[#This Row],[Description]]," - ",Query1[[#This Row],[MB1]]," - ",Query1[[#This Row],[MB2]]," - ",Query1[[#This Row],[MB3]])</f>
        <v>ComPac GEN II W/DEF - 830029 - 830030 - 0</v>
      </c>
    </row>
    <row r="3371" spans="1:15" x14ac:dyDescent="0.25">
      <c r="A3371" s="1">
        <v>918162</v>
      </c>
      <c r="B3371" s="1" t="s">
        <v>186</v>
      </c>
      <c r="C3371" s="1" t="s">
        <v>187</v>
      </c>
      <c r="D3371" s="2">
        <v>44656.316713159722</v>
      </c>
      <c r="E3371" s="1" t="s">
        <v>8</v>
      </c>
      <c r="F3371" s="1">
        <v>1</v>
      </c>
      <c r="G3371" s="1">
        <v>0</v>
      </c>
      <c r="H3371" s="6">
        <f>INT(Query1[[#This Row],[EntryDateTime]])</f>
        <v>44656</v>
      </c>
      <c r="I3371" s="1">
        <f>IF(Query1[[#This Row],[ItemType]]="EVAP KIT SF GEN IV",Query1[[#This Row],[OrderQty]]+I3370,I3370)</f>
        <v>4211</v>
      </c>
      <c r="J3371" s="1">
        <f>IF(Query1[[#This Row],[ItemType]]="EVAP KIT UNIVERSAL",Query1[[#This Row],[OrderQty]]+J3370,J3370)</f>
        <v>1468</v>
      </c>
      <c r="K3371" s="1">
        <f>Query1[[#This Row],[SF Running Total]]+Query1[[#This Row],[UNIV Running Total]]</f>
        <v>5679</v>
      </c>
      <c r="L3371">
        <f>VLOOKUP(Query1[[#This Row],[Description]],'kits to boards'!$B$2:$E$156,2,FALSE)</f>
        <v>830125</v>
      </c>
      <c r="M3371">
        <f>VLOOKUP(Query1[[#This Row],[Description]],'kits to boards'!$B$2:$E$156,3,FALSE)</f>
        <v>830126</v>
      </c>
      <c r="N3371">
        <f>VLOOKUP(Query1[[#This Row],[Description]],'kits to boards'!$B$2:$E$156,4,FALSE)</f>
        <v>0</v>
      </c>
      <c r="O3371" t="str">
        <f>CONCATENATE(Query1[[#This Row],[Description]]," - ",Query1[[#This Row],[MB1]]," - ",Query1[[#This Row],[MB2]]," - ",Query1[[#This Row],[MB3]])</f>
        <v>EVAP KIT 65-66 IMPALA WO/AC - 830125 - 830126 - 0</v>
      </c>
    </row>
    <row r="3372" spans="1:15" x14ac:dyDescent="0.25">
      <c r="A3372" s="1">
        <v>918163</v>
      </c>
      <c r="B3372" s="1" t="s">
        <v>116</v>
      </c>
      <c r="C3372" s="1" t="s">
        <v>117</v>
      </c>
      <c r="D3372" s="2">
        <v>44656.321033993052</v>
      </c>
      <c r="E3372" s="1" t="s">
        <v>8</v>
      </c>
      <c r="F3372" s="1">
        <v>1</v>
      </c>
      <c r="G3372" s="1">
        <v>0</v>
      </c>
      <c r="H3372" s="6">
        <f>INT(Query1[[#This Row],[EntryDateTime]])</f>
        <v>44656</v>
      </c>
      <c r="I3372" s="1">
        <f>IF(Query1[[#This Row],[ItemType]]="EVAP KIT SF GEN IV",Query1[[#This Row],[OrderQty]]+I3371,I3371)</f>
        <v>4212</v>
      </c>
      <c r="J3372" s="1">
        <f>IF(Query1[[#This Row],[ItemType]]="EVAP KIT UNIVERSAL",Query1[[#This Row],[OrderQty]]+J3371,J3371)</f>
        <v>1468</v>
      </c>
      <c r="K3372" s="1">
        <f>Query1[[#This Row],[SF Running Total]]+Query1[[#This Row],[UNIV Running Total]]</f>
        <v>5680</v>
      </c>
      <c r="L3372">
        <f>VLOOKUP(Query1[[#This Row],[Description]],'kits to boards'!$B$2:$E$156,2,FALSE)</f>
        <v>830058</v>
      </c>
      <c r="M3372">
        <f>VLOOKUP(Query1[[#This Row],[Description]],'kits to boards'!$B$2:$E$156,3,FALSE)</f>
        <v>0</v>
      </c>
      <c r="N3372">
        <f>VLOOKUP(Query1[[#This Row],[Description]],'kits to boards'!$B$2:$E$156,4,FALSE)</f>
        <v>0</v>
      </c>
      <c r="O3372" t="str">
        <f>CONCATENATE(Query1[[#This Row],[Description]]," - ",Query1[[#This Row],[MB1]]," - ",Query1[[#This Row],[MB2]]," - ",Query1[[#This Row],[MB3]])</f>
        <v>EVAP KIT 64-65 CHEVELLE WO AC - 830058 - 0 - 0</v>
      </c>
    </row>
    <row r="3373" spans="1:15" x14ac:dyDescent="0.25">
      <c r="A3373" s="1">
        <v>918167</v>
      </c>
      <c r="B3373" s="1" t="s">
        <v>114</v>
      </c>
      <c r="C3373" s="1" t="s">
        <v>115</v>
      </c>
      <c r="D3373" s="2">
        <v>44656.326012534722</v>
      </c>
      <c r="E3373" s="1" t="s">
        <v>8</v>
      </c>
      <c r="F3373" s="1">
        <v>1</v>
      </c>
      <c r="G3373" s="1">
        <v>0</v>
      </c>
      <c r="H3373" s="6">
        <f>INT(Query1[[#This Row],[EntryDateTime]])</f>
        <v>44656</v>
      </c>
      <c r="I3373" s="1">
        <f>IF(Query1[[#This Row],[ItemType]]="EVAP KIT SF GEN IV",Query1[[#This Row],[OrderQty]]+I3372,I3372)</f>
        <v>4213</v>
      </c>
      <c r="J3373" s="1">
        <f>IF(Query1[[#This Row],[ItemType]]="EVAP KIT UNIVERSAL",Query1[[#This Row],[OrderQty]]+J3372,J3372)</f>
        <v>1468</v>
      </c>
      <c r="K3373" s="1">
        <f>Query1[[#This Row],[SF Running Total]]+Query1[[#This Row],[UNIV Running Total]]</f>
        <v>5681</v>
      </c>
      <c r="L3373">
        <f>VLOOKUP(Query1[[#This Row],[Description]],'kits to boards'!$B$2:$E$156,2,FALSE)</f>
        <v>830059</v>
      </c>
      <c r="M3373">
        <f>VLOOKUP(Query1[[#This Row],[Description]],'kits to boards'!$B$2:$E$156,3,FALSE)</f>
        <v>0</v>
      </c>
      <c r="N3373">
        <f>VLOOKUP(Query1[[#This Row],[Description]],'kits to boards'!$B$2:$E$156,4,FALSE)</f>
        <v>0</v>
      </c>
      <c r="O3373" t="str">
        <f>CONCATENATE(Query1[[#This Row],[Description]]," - ",Query1[[#This Row],[MB1]]," - ",Query1[[#This Row],[MB2]]," - ",Query1[[#This Row],[MB3]])</f>
        <v>EVAP KIT 66-67 CHEVELLE W/AC - 830059 - 0 - 0</v>
      </c>
    </row>
    <row r="3374" spans="1:15" x14ac:dyDescent="0.25">
      <c r="A3374" s="1">
        <v>918178</v>
      </c>
      <c r="B3374" s="1" t="s">
        <v>210</v>
      </c>
      <c r="C3374" s="1" t="s">
        <v>211</v>
      </c>
      <c r="D3374" s="2">
        <v>44656.33594232639</v>
      </c>
      <c r="E3374" s="1" t="s">
        <v>8</v>
      </c>
      <c r="F3374" s="1">
        <v>1</v>
      </c>
      <c r="G3374" s="1">
        <v>0</v>
      </c>
      <c r="H3374" s="6">
        <f>INT(Query1[[#This Row],[EntryDateTime]])</f>
        <v>44656</v>
      </c>
      <c r="I3374" s="1">
        <f>IF(Query1[[#This Row],[ItemType]]="EVAP KIT SF GEN IV",Query1[[#This Row],[OrderQty]]+I3373,I3373)</f>
        <v>4214</v>
      </c>
      <c r="J3374" s="1">
        <f>IF(Query1[[#This Row],[ItemType]]="EVAP KIT UNIVERSAL",Query1[[#This Row],[OrderQty]]+J3373,J3373)</f>
        <v>1468</v>
      </c>
      <c r="K3374" s="1">
        <f>Query1[[#This Row],[SF Running Total]]+Query1[[#This Row],[UNIV Running Total]]</f>
        <v>5682</v>
      </c>
      <c r="L3374">
        <f>VLOOKUP(Query1[[#This Row],[Description]],'kits to boards'!$B$2:$E$156,2,FALSE)</f>
        <v>830094</v>
      </c>
      <c r="M3374">
        <f>VLOOKUP(Query1[[#This Row],[Description]],'kits to boards'!$B$2:$E$156,3,FALSE)</f>
        <v>0</v>
      </c>
      <c r="N3374">
        <f>VLOOKUP(Query1[[#This Row],[Description]],'kits to boards'!$B$2:$E$156,4,FALSE)</f>
        <v>0</v>
      </c>
      <c r="O3374" t="str">
        <f>CONCATENATE(Query1[[#This Row],[Description]]," - ",Query1[[#This Row],[MB1]]," - ",Query1[[#This Row],[MB2]]," - ",Query1[[#This Row],[MB3]])</f>
        <v>EVAP KIT 74-76 VETTE W/AC - 830094 - 0 - 0</v>
      </c>
    </row>
    <row r="3375" spans="1:15" x14ac:dyDescent="0.25">
      <c r="A3375" s="1">
        <v>918155</v>
      </c>
      <c r="B3375" s="1" t="s">
        <v>34</v>
      </c>
      <c r="C3375" s="1" t="s">
        <v>35</v>
      </c>
      <c r="D3375" s="2">
        <v>44656.340173807868</v>
      </c>
      <c r="E3375" s="1" t="s">
        <v>8</v>
      </c>
      <c r="F3375" s="1">
        <v>1</v>
      </c>
      <c r="G3375" s="1">
        <v>0</v>
      </c>
      <c r="H3375" s="6">
        <f>INT(Query1[[#This Row],[EntryDateTime]])</f>
        <v>44656</v>
      </c>
      <c r="I3375" s="1">
        <f>IF(Query1[[#This Row],[ItemType]]="EVAP KIT SF GEN IV",Query1[[#This Row],[OrderQty]]+I3374,I3374)</f>
        <v>4215</v>
      </c>
      <c r="J3375" s="1">
        <f>IF(Query1[[#This Row],[ItemType]]="EVAP KIT UNIVERSAL",Query1[[#This Row],[OrderQty]]+J3374,J3374)</f>
        <v>1468</v>
      </c>
      <c r="K3375" s="1">
        <f>Query1[[#This Row],[SF Running Total]]+Query1[[#This Row],[UNIV Running Total]]</f>
        <v>5683</v>
      </c>
      <c r="L3375">
        <f>VLOOKUP(Query1[[#This Row],[Description]],'kits to boards'!$B$2:$E$156,2,FALSE)</f>
        <v>830065</v>
      </c>
      <c r="M3375">
        <f>VLOOKUP(Query1[[#This Row],[Description]],'kits to boards'!$B$2:$E$156,3,FALSE)</f>
        <v>0</v>
      </c>
      <c r="N3375">
        <f>VLOOKUP(Query1[[#This Row],[Description]],'kits to boards'!$B$2:$E$156,4,FALSE)</f>
        <v>0</v>
      </c>
      <c r="O3375" t="str">
        <f>CONCATENATE(Query1[[#This Row],[Description]]," - ",Query1[[#This Row],[MB1]]," - ",Query1[[#This Row],[MB2]]," - ",Query1[[#This Row],[MB3]])</f>
        <v>EVAP KIT 57 CHEV WO AC - 830065 - 0 - 0</v>
      </c>
    </row>
    <row r="3376" spans="1:15" x14ac:dyDescent="0.25">
      <c r="A3376" s="1">
        <v>918184</v>
      </c>
      <c r="B3376" s="1" t="s">
        <v>68</v>
      </c>
      <c r="C3376" s="1" t="s">
        <v>69</v>
      </c>
      <c r="D3376" s="2">
        <v>44656.344463275462</v>
      </c>
      <c r="E3376" s="1" t="s">
        <v>8</v>
      </c>
      <c r="F3376" s="1">
        <v>1</v>
      </c>
      <c r="G3376" s="1">
        <v>0</v>
      </c>
      <c r="H3376" s="6">
        <f>INT(Query1[[#This Row],[EntryDateTime]])</f>
        <v>44656</v>
      </c>
      <c r="I3376" s="1">
        <f>IF(Query1[[#This Row],[ItemType]]="EVAP KIT SF GEN IV",Query1[[#This Row],[OrderQty]]+I3375,I3375)</f>
        <v>4216</v>
      </c>
      <c r="J3376" s="1">
        <f>IF(Query1[[#This Row],[ItemType]]="EVAP KIT UNIVERSAL",Query1[[#This Row],[OrderQty]]+J3375,J3375)</f>
        <v>1468</v>
      </c>
      <c r="K3376" s="1">
        <f>Query1[[#This Row],[SF Running Total]]+Query1[[#This Row],[UNIV Running Total]]</f>
        <v>5684</v>
      </c>
      <c r="L3376">
        <f>VLOOKUP(Query1[[#This Row],[Description]],'kits to boards'!$B$2:$E$156,2,FALSE)</f>
        <v>830010</v>
      </c>
      <c r="M3376">
        <f>VLOOKUP(Query1[[#This Row],[Description]],'kits to boards'!$B$2:$E$156,3,FALSE)</f>
        <v>0</v>
      </c>
      <c r="N3376">
        <f>VLOOKUP(Query1[[#This Row],[Description]],'kits to boards'!$B$2:$E$156,4,FALSE)</f>
        <v>0</v>
      </c>
      <c r="O3376" t="str">
        <f>CONCATENATE(Query1[[#This Row],[Description]]," - ",Query1[[#This Row],[MB1]]," - ",Query1[[#This Row],[MB2]]," - ",Query1[[#This Row],[MB3]])</f>
        <v>EVAP KIT 70-72 CHEVELLE WO AC - 830010 - 0 - 0</v>
      </c>
    </row>
    <row r="3377" spans="1:15" x14ac:dyDescent="0.25">
      <c r="A3377" s="1">
        <v>918187</v>
      </c>
      <c r="B3377" s="1" t="s">
        <v>244</v>
      </c>
      <c r="C3377" s="1" t="s">
        <v>245</v>
      </c>
      <c r="D3377" s="2">
        <v>44656.345922141205</v>
      </c>
      <c r="E3377" s="1" t="s">
        <v>8</v>
      </c>
      <c r="F3377" s="1">
        <v>1</v>
      </c>
      <c r="G3377" s="1">
        <v>0</v>
      </c>
      <c r="H3377" s="6">
        <f>INT(Query1[[#This Row],[EntryDateTime]])</f>
        <v>44656</v>
      </c>
      <c r="I3377" s="1">
        <f>IF(Query1[[#This Row],[ItemType]]="EVAP KIT SF GEN IV",Query1[[#This Row],[OrderQty]]+I3376,I3376)</f>
        <v>4217</v>
      </c>
      <c r="J3377" s="1">
        <f>IF(Query1[[#This Row],[ItemType]]="EVAP KIT UNIVERSAL",Query1[[#This Row],[OrderQty]]+J3376,J3376)</f>
        <v>1468</v>
      </c>
      <c r="K3377" s="1">
        <f>Query1[[#This Row],[SF Running Total]]+Query1[[#This Row],[UNIV Running Total]]</f>
        <v>5685</v>
      </c>
      <c r="L3377">
        <f>VLOOKUP(Query1[[#This Row],[Description]],'kits to boards'!$B$2:$E$156,2,FALSE)</f>
        <v>830100</v>
      </c>
      <c r="M3377">
        <f>VLOOKUP(Query1[[#This Row],[Description]],'kits to boards'!$B$2:$E$156,3,FALSE)</f>
        <v>0</v>
      </c>
      <c r="N3377">
        <f>VLOOKUP(Query1[[#This Row],[Description]],'kits to boards'!$B$2:$E$156,4,FALSE)</f>
        <v>0</v>
      </c>
      <c r="O3377" t="str">
        <f>CONCATENATE(Query1[[#This Row],[Description]]," - ",Query1[[#This Row],[MB1]]," - ",Query1[[#This Row],[MB2]]," - ",Query1[[#This Row],[MB3]])</f>
        <v>EVAP KIT 68-76 VETTE WO AC - 830100 - 0 - 0</v>
      </c>
    </row>
    <row r="3378" spans="1:15" x14ac:dyDescent="0.25">
      <c r="A3378" s="1">
        <v>918195</v>
      </c>
      <c r="B3378" s="1" t="s">
        <v>46</v>
      </c>
      <c r="C3378" s="1" t="s">
        <v>47</v>
      </c>
      <c r="D3378" s="2">
        <v>44656.36243483796</v>
      </c>
      <c r="E3378" s="1" t="s">
        <v>8</v>
      </c>
      <c r="F3378" s="1">
        <v>1</v>
      </c>
      <c r="G3378" s="1">
        <v>0</v>
      </c>
      <c r="H3378" s="6">
        <f>INT(Query1[[#This Row],[EntryDateTime]])</f>
        <v>44656</v>
      </c>
      <c r="I3378" s="1">
        <f>IF(Query1[[#This Row],[ItemType]]="EVAP KIT SF GEN IV",Query1[[#This Row],[OrderQty]]+I3377,I3377)</f>
        <v>4218</v>
      </c>
      <c r="J3378" s="1">
        <f>IF(Query1[[#This Row],[ItemType]]="EVAP KIT UNIVERSAL",Query1[[#This Row],[OrderQty]]+J3377,J3377)</f>
        <v>1468</v>
      </c>
      <c r="K3378" s="1">
        <f>Query1[[#This Row],[SF Running Total]]+Query1[[#This Row],[UNIV Running Total]]</f>
        <v>5686</v>
      </c>
      <c r="L3378">
        <f>VLOOKUP(Query1[[#This Row],[Description]],'kits to boards'!$B$2:$E$156,2,FALSE)</f>
        <v>830018</v>
      </c>
      <c r="M3378">
        <f>VLOOKUP(Query1[[#This Row],[Description]],'kits to boards'!$B$2:$E$156,3,FALSE)</f>
        <v>0</v>
      </c>
      <c r="N3378">
        <f>VLOOKUP(Query1[[#This Row],[Description]],'kits to boards'!$B$2:$E$156,4,FALSE)</f>
        <v>0</v>
      </c>
      <c r="O3378" t="str">
        <f>CONCATENATE(Query1[[#This Row],[Description]]," - ",Query1[[#This Row],[MB1]]," - ",Query1[[#This Row],[MB2]]," - ",Query1[[#This Row],[MB3]])</f>
        <v>EVAP KIT 68-72 FORD P-UP F-100 - 830018 - 0 - 0</v>
      </c>
    </row>
    <row r="3379" spans="1:15" x14ac:dyDescent="0.25">
      <c r="A3379" s="1">
        <v>918196</v>
      </c>
      <c r="B3379" s="1" t="s">
        <v>156</v>
      </c>
      <c r="C3379" s="1" t="s">
        <v>157</v>
      </c>
      <c r="D3379" s="2">
        <v>44656.364128240741</v>
      </c>
      <c r="E3379" s="1" t="s">
        <v>8</v>
      </c>
      <c r="F3379" s="1">
        <v>1</v>
      </c>
      <c r="G3379" s="1">
        <v>0</v>
      </c>
      <c r="H3379" s="6">
        <f>INT(Query1[[#This Row],[EntryDateTime]])</f>
        <v>44656</v>
      </c>
      <c r="I3379" s="1">
        <f>IF(Query1[[#This Row],[ItemType]]="EVAP KIT SF GEN IV",Query1[[#This Row],[OrderQty]]+I3378,I3378)</f>
        <v>4219</v>
      </c>
      <c r="J3379" s="1">
        <f>IF(Query1[[#This Row],[ItemType]]="EVAP KIT UNIVERSAL",Query1[[#This Row],[OrderQty]]+J3378,J3378)</f>
        <v>1468</v>
      </c>
      <c r="K3379" s="1">
        <f>Query1[[#This Row],[SF Running Total]]+Query1[[#This Row],[UNIV Running Total]]</f>
        <v>5687</v>
      </c>
      <c r="L3379">
        <f>VLOOKUP(Query1[[#This Row],[Description]],'kits to boards'!$B$2:$E$156,2,FALSE)</f>
        <v>830019</v>
      </c>
      <c r="M3379">
        <f>VLOOKUP(Query1[[#This Row],[Description]],'kits to boards'!$B$2:$E$156,3,FALSE)</f>
        <v>0</v>
      </c>
      <c r="N3379">
        <f>VLOOKUP(Query1[[#This Row],[Description]],'kits to boards'!$B$2:$E$156,4,FALSE)</f>
        <v>0</v>
      </c>
      <c r="O3379" t="str">
        <f>CONCATENATE(Query1[[#This Row],[Description]]," - ",Query1[[#This Row],[MB1]]," - ",Query1[[#This Row],[MB2]]," - ",Query1[[#This Row],[MB3]])</f>
        <v>EVAP KIT 70-81 FIREBIRD WO AC - 830019 - 0 - 0</v>
      </c>
    </row>
    <row r="3380" spans="1:15" x14ac:dyDescent="0.25">
      <c r="A3380" s="1">
        <v>918197</v>
      </c>
      <c r="B3380" s="1" t="s">
        <v>126</v>
      </c>
      <c r="C3380" s="1" t="s">
        <v>127</v>
      </c>
      <c r="D3380" s="2">
        <v>44656.365639664349</v>
      </c>
      <c r="E3380" s="1" t="s">
        <v>8</v>
      </c>
      <c r="F3380" s="1">
        <v>1</v>
      </c>
      <c r="G3380" s="1">
        <v>0</v>
      </c>
      <c r="H3380" s="6">
        <f>INT(Query1[[#This Row],[EntryDateTime]])</f>
        <v>44656</v>
      </c>
      <c r="I3380" s="1">
        <f>IF(Query1[[#This Row],[ItemType]]="EVAP KIT SF GEN IV",Query1[[#This Row],[OrderQty]]+I3379,I3379)</f>
        <v>4220</v>
      </c>
      <c r="J3380" s="1">
        <f>IF(Query1[[#This Row],[ItemType]]="EVAP KIT UNIVERSAL",Query1[[#This Row],[OrderQty]]+J3379,J3379)</f>
        <v>1468</v>
      </c>
      <c r="K3380" s="1">
        <f>Query1[[#This Row],[SF Running Total]]+Query1[[#This Row],[UNIV Running Total]]</f>
        <v>5688</v>
      </c>
      <c r="L3380">
        <f>VLOOKUP(Query1[[#This Row],[Description]],'kits to boards'!$B$2:$E$156,2,FALSE)</f>
        <v>830080</v>
      </c>
      <c r="M3380">
        <f>VLOOKUP(Query1[[#This Row],[Description]],'kits to boards'!$B$2:$E$156,3,FALSE)</f>
        <v>0</v>
      </c>
      <c r="N3380">
        <f>VLOOKUP(Query1[[#This Row],[Description]],'kits to boards'!$B$2:$E$156,4,FALSE)</f>
        <v>0</v>
      </c>
      <c r="O3380" t="str">
        <f>CONCATENATE(Query1[[#This Row],[Description]]," - ",Query1[[#This Row],[MB1]]," - ",Query1[[#This Row],[MB2]]," - ",Query1[[#This Row],[MB3]])</f>
        <v>EVAP KIT 69-70 MUSTANG WO AC  - 830080 - 0 - 0</v>
      </c>
    </row>
    <row r="3381" spans="1:15" x14ac:dyDescent="0.25">
      <c r="A3381" s="1">
        <v>918201</v>
      </c>
      <c r="B3381" s="1" t="s">
        <v>66</v>
      </c>
      <c r="C3381" s="1" t="s">
        <v>67</v>
      </c>
      <c r="D3381" s="2">
        <v>44656.367435335647</v>
      </c>
      <c r="E3381" s="1" t="s">
        <v>8</v>
      </c>
      <c r="F3381" s="1">
        <v>1</v>
      </c>
      <c r="G3381" s="1">
        <v>0</v>
      </c>
      <c r="H3381" s="6">
        <f>INT(Query1[[#This Row],[EntryDateTime]])</f>
        <v>44656</v>
      </c>
      <c r="I3381" s="1">
        <f>IF(Query1[[#This Row],[ItemType]]="EVAP KIT SF GEN IV",Query1[[#This Row],[OrderQty]]+I3380,I3380)</f>
        <v>4221</v>
      </c>
      <c r="J3381" s="1">
        <f>IF(Query1[[#This Row],[ItemType]]="EVAP KIT UNIVERSAL",Query1[[#This Row],[OrderQty]]+J3380,J3380)</f>
        <v>1468</v>
      </c>
      <c r="K3381" s="1">
        <f>Query1[[#This Row],[SF Running Total]]+Query1[[#This Row],[UNIV Running Total]]</f>
        <v>5689</v>
      </c>
      <c r="L3381">
        <f>VLOOKUP(Query1[[#This Row],[Description]],'kits to boards'!$B$2:$E$156,2,FALSE)</f>
        <v>830060</v>
      </c>
      <c r="M3381">
        <f>VLOOKUP(Query1[[#This Row],[Description]],'kits to boards'!$B$2:$E$156,3,FALSE)</f>
        <v>0</v>
      </c>
      <c r="N3381">
        <f>VLOOKUP(Query1[[#This Row],[Description]],'kits to boards'!$B$2:$E$156,4,FALSE)</f>
        <v>0</v>
      </c>
      <c r="O3381" t="str">
        <f>CONCATENATE(Query1[[#This Row],[Description]]," - ",Query1[[#This Row],[MB1]]," - ",Query1[[#This Row],[MB2]]," - ",Query1[[#This Row],[MB3]])</f>
        <v>EVAP KIT 66-67 CHEVELLE WO AC - 830060 - 0 - 0</v>
      </c>
    </row>
    <row r="3382" spans="1:15" x14ac:dyDescent="0.25">
      <c r="A3382" s="1">
        <v>918213</v>
      </c>
      <c r="B3382" s="1" t="s">
        <v>48</v>
      </c>
      <c r="C3382" s="1" t="s">
        <v>49</v>
      </c>
      <c r="D3382" s="2">
        <v>44656.399272997682</v>
      </c>
      <c r="E3382" s="1" t="s">
        <v>8</v>
      </c>
      <c r="F3382" s="1">
        <v>1</v>
      </c>
      <c r="G3382" s="1">
        <v>0</v>
      </c>
      <c r="H3382" s="6">
        <f>INT(Query1[[#This Row],[EntryDateTime]])</f>
        <v>44656</v>
      </c>
      <c r="I3382" s="1">
        <f>IF(Query1[[#This Row],[ItemType]]="EVAP KIT SF GEN IV",Query1[[#This Row],[OrderQty]]+I3381,I3381)</f>
        <v>4222</v>
      </c>
      <c r="J3382" s="1">
        <f>IF(Query1[[#This Row],[ItemType]]="EVAP KIT UNIVERSAL",Query1[[#This Row],[OrderQty]]+J3381,J3381)</f>
        <v>1468</v>
      </c>
      <c r="K3382" s="1">
        <f>Query1[[#This Row],[SF Running Total]]+Query1[[#This Row],[UNIV Running Total]]</f>
        <v>5690</v>
      </c>
      <c r="L3382">
        <f>VLOOKUP(Query1[[#This Row],[Description]],'kits to boards'!$B$2:$E$156,2,FALSE)</f>
        <v>830015</v>
      </c>
      <c r="M3382">
        <f>VLOOKUP(Query1[[#This Row],[Description]],'kits to boards'!$B$2:$E$156,3,FALSE)</f>
        <v>0</v>
      </c>
      <c r="N3382">
        <f>VLOOKUP(Query1[[#This Row],[Description]],'kits to boards'!$B$2:$E$156,4,FALSE)</f>
        <v>0</v>
      </c>
      <c r="O3382" t="str">
        <f>CONCATENATE(Query1[[#This Row],[Description]]," - ",Query1[[#This Row],[MB1]]," - ",Query1[[#This Row],[MB2]]," - ",Query1[[#This Row],[MB3]])</f>
        <v>EVAP KIT 64-66 CHEV P-UP WO AC W/DELX - 830015 - 0 - 0</v>
      </c>
    </row>
    <row r="3383" spans="1:15" x14ac:dyDescent="0.25">
      <c r="A3383" s="1">
        <v>918215</v>
      </c>
      <c r="B3383" s="1" t="s">
        <v>128</v>
      </c>
      <c r="C3383" s="1" t="s">
        <v>129</v>
      </c>
      <c r="D3383" s="2">
        <v>44656.401481099536</v>
      </c>
      <c r="E3383" s="1" t="s">
        <v>8</v>
      </c>
      <c r="F3383" s="1">
        <v>1</v>
      </c>
      <c r="G3383" s="1">
        <v>0</v>
      </c>
      <c r="H3383" s="6">
        <f>INT(Query1[[#This Row],[EntryDateTime]])</f>
        <v>44656</v>
      </c>
      <c r="I3383" s="1">
        <f>IF(Query1[[#This Row],[ItemType]]="EVAP KIT SF GEN IV",Query1[[#This Row],[OrderQty]]+I3382,I3382)</f>
        <v>4223</v>
      </c>
      <c r="J3383" s="1">
        <f>IF(Query1[[#This Row],[ItemType]]="EVAP KIT UNIVERSAL",Query1[[#This Row],[OrderQty]]+J3382,J3382)</f>
        <v>1468</v>
      </c>
      <c r="K3383" s="1">
        <f>Query1[[#This Row],[SF Running Total]]+Query1[[#This Row],[UNIV Running Total]]</f>
        <v>5691</v>
      </c>
      <c r="L3383">
        <f>VLOOKUP(Query1[[#This Row],[Description]],'kits to boards'!$B$2:$E$156,2,FALSE)</f>
        <v>830036</v>
      </c>
      <c r="M3383">
        <f>VLOOKUP(Query1[[#This Row],[Description]],'kits to boards'!$B$2:$E$156,3,FALSE)</f>
        <v>830039</v>
      </c>
      <c r="N3383">
        <f>VLOOKUP(Query1[[#This Row],[Description]],'kits to boards'!$B$2:$E$156,4,FALSE)</f>
        <v>0</v>
      </c>
      <c r="O3383" t="str">
        <f>CONCATENATE(Query1[[#This Row],[Description]]," - ",Query1[[#This Row],[MB1]]," - ",Query1[[#This Row],[MB2]]," - ",Query1[[#This Row],[MB3]])</f>
        <v>EVAP KIT 63-66 VETTE WO AC - 830036 - 830039 - 0</v>
      </c>
    </row>
    <row r="3384" spans="1:15" x14ac:dyDescent="0.25">
      <c r="A3384" s="1">
        <v>918218</v>
      </c>
      <c r="B3384" s="1" t="s">
        <v>66</v>
      </c>
      <c r="C3384" s="1" t="s">
        <v>67</v>
      </c>
      <c r="D3384" s="2">
        <v>44656.403717048612</v>
      </c>
      <c r="E3384" s="1" t="s">
        <v>8</v>
      </c>
      <c r="F3384" s="1">
        <v>1</v>
      </c>
      <c r="G3384" s="1">
        <v>0</v>
      </c>
      <c r="H3384" s="6">
        <f>INT(Query1[[#This Row],[EntryDateTime]])</f>
        <v>44656</v>
      </c>
      <c r="I3384" s="1">
        <f>IF(Query1[[#This Row],[ItemType]]="EVAP KIT SF GEN IV",Query1[[#This Row],[OrderQty]]+I3383,I3383)</f>
        <v>4224</v>
      </c>
      <c r="J3384" s="1">
        <f>IF(Query1[[#This Row],[ItemType]]="EVAP KIT UNIVERSAL",Query1[[#This Row],[OrderQty]]+J3383,J3383)</f>
        <v>1468</v>
      </c>
      <c r="K3384" s="1">
        <f>Query1[[#This Row],[SF Running Total]]+Query1[[#This Row],[UNIV Running Total]]</f>
        <v>5692</v>
      </c>
      <c r="L3384">
        <f>VLOOKUP(Query1[[#This Row],[Description]],'kits to boards'!$B$2:$E$156,2,FALSE)</f>
        <v>830060</v>
      </c>
      <c r="M3384">
        <f>VLOOKUP(Query1[[#This Row],[Description]],'kits to boards'!$B$2:$E$156,3,FALSE)</f>
        <v>0</v>
      </c>
      <c r="N3384">
        <f>VLOOKUP(Query1[[#This Row],[Description]],'kits to boards'!$B$2:$E$156,4,FALSE)</f>
        <v>0</v>
      </c>
      <c r="O3384" t="str">
        <f>CONCATENATE(Query1[[#This Row],[Description]]," - ",Query1[[#This Row],[MB1]]," - ",Query1[[#This Row],[MB2]]," - ",Query1[[#This Row],[MB3]])</f>
        <v>EVAP KIT 66-67 CHEVELLE WO AC - 830060 - 0 - 0</v>
      </c>
    </row>
    <row r="3385" spans="1:15" x14ac:dyDescent="0.25">
      <c r="A3385" s="1">
        <v>918228</v>
      </c>
      <c r="B3385" s="1" t="s">
        <v>26</v>
      </c>
      <c r="C3385" s="1" t="s">
        <v>27</v>
      </c>
      <c r="D3385" s="2">
        <v>44656.417967210647</v>
      </c>
      <c r="E3385" s="1" t="s">
        <v>8</v>
      </c>
      <c r="F3385" s="1">
        <v>1</v>
      </c>
      <c r="G3385" s="1">
        <v>0</v>
      </c>
      <c r="H3385" s="6">
        <f>INT(Query1[[#This Row],[EntryDateTime]])</f>
        <v>44656</v>
      </c>
      <c r="I3385" s="1">
        <f>IF(Query1[[#This Row],[ItemType]]="EVAP KIT SF GEN IV",Query1[[#This Row],[OrderQty]]+I3384,I3384)</f>
        <v>4225</v>
      </c>
      <c r="J3385" s="1">
        <f>IF(Query1[[#This Row],[ItemType]]="EVAP KIT UNIVERSAL",Query1[[#This Row],[OrderQty]]+J3384,J3384)</f>
        <v>1468</v>
      </c>
      <c r="K3385" s="1">
        <f>Query1[[#This Row],[SF Running Total]]+Query1[[#This Row],[UNIV Running Total]]</f>
        <v>5693</v>
      </c>
      <c r="L3385">
        <f>VLOOKUP(Query1[[#This Row],[Description]],'kits to boards'!$B$2:$E$156,2,FALSE)</f>
        <v>830013</v>
      </c>
      <c r="M3385">
        <f>VLOOKUP(Query1[[#This Row],[Description]],'kits to boards'!$B$2:$E$156,3,FALSE)</f>
        <v>0</v>
      </c>
      <c r="N3385">
        <f>VLOOKUP(Query1[[#This Row],[Description]],'kits to boards'!$B$2:$E$156,4,FALSE)</f>
        <v>0</v>
      </c>
      <c r="O3385" t="str">
        <f>CONCATENATE(Query1[[#This Row],[Description]]," - ",Query1[[#This Row],[MB1]]," - ",Query1[[#This Row],[MB2]]," - ",Query1[[#This Row],[MB3]])</f>
        <v>EVAP KIT 67-72 CHEV P-UP W/AC - 830013 - 0 - 0</v>
      </c>
    </row>
    <row r="3386" spans="1:15" x14ac:dyDescent="0.25">
      <c r="A3386" s="1">
        <v>918231</v>
      </c>
      <c r="B3386" s="1" t="s">
        <v>78</v>
      </c>
      <c r="C3386" s="1" t="s">
        <v>79</v>
      </c>
      <c r="D3386" s="2">
        <v>44656.423183298612</v>
      </c>
      <c r="E3386" s="1" t="s">
        <v>11</v>
      </c>
      <c r="F3386" s="1">
        <v>1</v>
      </c>
      <c r="G3386" s="1">
        <v>0</v>
      </c>
      <c r="H3386" s="6">
        <f>INT(Query1[[#This Row],[EntryDateTime]])</f>
        <v>44656</v>
      </c>
      <c r="I3386" s="1">
        <f>IF(Query1[[#This Row],[ItemType]]="EVAP KIT SF GEN IV",Query1[[#This Row],[OrderQty]]+I3385,I3385)</f>
        <v>4225</v>
      </c>
      <c r="J3386" s="1">
        <f>IF(Query1[[#This Row],[ItemType]]="EVAP KIT UNIVERSAL",Query1[[#This Row],[OrderQty]]+J3385,J3385)</f>
        <v>1469</v>
      </c>
      <c r="K3386" s="1">
        <f>Query1[[#This Row],[SF Running Total]]+Query1[[#This Row],[UNIV Running Total]]</f>
        <v>5694</v>
      </c>
      <c r="L3386">
        <f>VLOOKUP(Query1[[#This Row],[Description]],'kits to boards'!$B$2:$E$156,2,FALSE)</f>
        <v>0</v>
      </c>
      <c r="M3386">
        <f>VLOOKUP(Query1[[#This Row],[Description]],'kits to boards'!$B$2:$E$156,3,FALSE)</f>
        <v>0</v>
      </c>
      <c r="N3386">
        <f>VLOOKUP(Query1[[#This Row],[Description]],'kits to boards'!$B$2:$E$156,4,FALSE)</f>
        <v>0</v>
      </c>
      <c r="O3386" t="str">
        <f>CONCATENATE(Query1[[#This Row],[Description]]," - ",Query1[[#This Row],[MB1]]," - ",Query1[[#This Row],[MB2]]," - ",Query1[[#This Row],[MB3]])</f>
        <v>MARK IV STYLELINE UNDERDASH EVAP - 0 - 0 - 0</v>
      </c>
    </row>
    <row r="3387" spans="1:15" x14ac:dyDescent="0.25">
      <c r="A3387" s="1">
        <v>918232</v>
      </c>
      <c r="B3387" s="1" t="s">
        <v>14</v>
      </c>
      <c r="C3387" s="1" t="s">
        <v>15</v>
      </c>
      <c r="D3387" s="2">
        <v>44656.426183368058</v>
      </c>
      <c r="E3387" s="1" t="s">
        <v>8</v>
      </c>
      <c r="F3387" s="1">
        <v>1</v>
      </c>
      <c r="G3387" s="1">
        <v>0</v>
      </c>
      <c r="H3387" s="6">
        <f>INT(Query1[[#This Row],[EntryDateTime]])</f>
        <v>44656</v>
      </c>
      <c r="I3387" s="1">
        <f>IF(Query1[[#This Row],[ItemType]]="EVAP KIT SF GEN IV",Query1[[#This Row],[OrderQty]]+I3386,I3386)</f>
        <v>4226</v>
      </c>
      <c r="J3387" s="1">
        <f>IF(Query1[[#This Row],[ItemType]]="EVAP KIT UNIVERSAL",Query1[[#This Row],[OrderQty]]+J3386,J3386)</f>
        <v>1469</v>
      </c>
      <c r="K3387" s="1">
        <f>Query1[[#This Row],[SF Running Total]]+Query1[[#This Row],[UNIV Running Total]]</f>
        <v>5695</v>
      </c>
      <c r="L3387">
        <f>VLOOKUP(Query1[[#This Row],[Description]],'kits to boards'!$B$2:$E$156,2,FALSE)</f>
        <v>830054</v>
      </c>
      <c r="M3387">
        <f>VLOOKUP(Query1[[#This Row],[Description]],'kits to boards'!$B$2:$E$156,3,FALSE)</f>
        <v>0</v>
      </c>
      <c r="N3387">
        <f>VLOOKUP(Query1[[#This Row],[Description]],'kits to boards'!$B$2:$E$156,4,FALSE)</f>
        <v>0</v>
      </c>
      <c r="O3387" t="str">
        <f>CONCATENATE(Query1[[#This Row],[Description]]," - ",Query1[[#This Row],[MB1]]," - ",Query1[[#This Row],[MB2]]," - ",Query1[[#This Row],[MB3]])</f>
        <v>EVAP KIT 55-56 CHEVY - 830054 - 0 - 0</v>
      </c>
    </row>
    <row r="3388" spans="1:15" x14ac:dyDescent="0.25">
      <c r="A3388" s="1">
        <v>918234</v>
      </c>
      <c r="B3388" s="1" t="s">
        <v>96</v>
      </c>
      <c r="C3388" s="1" t="s">
        <v>97</v>
      </c>
      <c r="D3388" s="2">
        <v>44656.43117797454</v>
      </c>
      <c r="E3388" s="1" t="s">
        <v>8</v>
      </c>
      <c r="F3388" s="1">
        <v>1</v>
      </c>
      <c r="G3388" s="1">
        <v>0</v>
      </c>
      <c r="H3388" s="6">
        <f>INT(Query1[[#This Row],[EntryDateTime]])</f>
        <v>44656</v>
      </c>
      <c r="I3388" s="1">
        <f>IF(Query1[[#This Row],[ItemType]]="EVAP KIT SF GEN IV",Query1[[#This Row],[OrderQty]]+I3387,I3387)</f>
        <v>4227</v>
      </c>
      <c r="J3388" s="1">
        <f>IF(Query1[[#This Row],[ItemType]]="EVAP KIT UNIVERSAL",Query1[[#This Row],[OrderQty]]+J3387,J3387)</f>
        <v>1469</v>
      </c>
      <c r="K3388" s="1">
        <f>Query1[[#This Row],[SF Running Total]]+Query1[[#This Row],[UNIV Running Total]]</f>
        <v>5696</v>
      </c>
      <c r="L3388">
        <f>VLOOKUP(Query1[[#This Row],[Description]],'kits to boards'!$B$2:$E$156,2,FALSE)</f>
        <v>830004</v>
      </c>
      <c r="M3388">
        <f>VLOOKUP(Query1[[#This Row],[Description]],'kits to boards'!$B$2:$E$156,3,FALSE)</f>
        <v>0</v>
      </c>
      <c r="N3388">
        <f>VLOOKUP(Query1[[#This Row],[Description]],'kits to boards'!$B$2:$E$156,4,FALSE)</f>
        <v>0</v>
      </c>
      <c r="O3388" t="str">
        <f>CONCATENATE(Query1[[#This Row],[Description]]," - ",Query1[[#This Row],[MB1]]," - ",Query1[[#This Row],[MB2]]," - ",Query1[[#This Row],[MB3]])</f>
        <v>EVAP KIT 81-87 CHEV P-UP W/AC - 830004 - 0 - 0</v>
      </c>
    </row>
    <row r="3389" spans="1:15" x14ac:dyDescent="0.25">
      <c r="A3389" s="1">
        <v>918249</v>
      </c>
      <c r="B3389" s="1" t="s">
        <v>22</v>
      </c>
      <c r="C3389" s="1" t="s">
        <v>23</v>
      </c>
      <c r="D3389" s="2">
        <v>44656.472558680558</v>
      </c>
      <c r="E3389" s="1" t="s">
        <v>8</v>
      </c>
      <c r="F3389" s="1">
        <v>5</v>
      </c>
      <c r="G3389" s="1">
        <v>0</v>
      </c>
      <c r="H3389" s="6">
        <f>INT(Query1[[#This Row],[EntryDateTime]])</f>
        <v>44656</v>
      </c>
      <c r="I3389" s="1">
        <f>IF(Query1[[#This Row],[ItemType]]="EVAP KIT SF GEN IV",Query1[[#This Row],[OrderQty]]+I3388,I3388)</f>
        <v>4232</v>
      </c>
      <c r="J3389" s="1">
        <f>IF(Query1[[#This Row],[ItemType]]="EVAP KIT UNIVERSAL",Query1[[#This Row],[OrderQty]]+J3388,J3388)</f>
        <v>1469</v>
      </c>
      <c r="K3389" s="1">
        <f>Query1[[#This Row],[SF Running Total]]+Query1[[#This Row],[UNIV Running Total]]</f>
        <v>5701</v>
      </c>
      <c r="L3389">
        <f>VLOOKUP(Query1[[#This Row],[Description]],'kits to boards'!$B$2:$E$156,2,FALSE)</f>
        <v>830083</v>
      </c>
      <c r="M3389">
        <f>VLOOKUP(Query1[[#This Row],[Description]],'kits to boards'!$B$2:$E$156,3,FALSE)</f>
        <v>0</v>
      </c>
      <c r="N3389">
        <f>VLOOKUP(Query1[[#This Row],[Description]],'kits to boards'!$B$2:$E$156,4,FALSE)</f>
        <v>0</v>
      </c>
      <c r="O3389" t="str">
        <f>CONCATENATE(Query1[[#This Row],[Description]]," - ",Query1[[#This Row],[MB1]]," - ",Query1[[#This Row],[MB2]]," - ",Query1[[#This Row],[MB3]])</f>
        <v>GEN IV MAGNUM EVAP KIT - 830083 - 0 - 0</v>
      </c>
    </row>
    <row r="3390" spans="1:15" x14ac:dyDescent="0.25">
      <c r="A3390" s="1">
        <v>913745</v>
      </c>
      <c r="B3390" s="1" t="s">
        <v>22</v>
      </c>
      <c r="C3390" s="1" t="s">
        <v>23</v>
      </c>
      <c r="D3390" s="2">
        <v>44656.473525231479</v>
      </c>
      <c r="E3390" s="1" t="s">
        <v>8</v>
      </c>
      <c r="F3390" s="1">
        <v>1</v>
      </c>
      <c r="G3390" s="1">
        <v>0</v>
      </c>
      <c r="H3390" s="6">
        <f>INT(Query1[[#This Row],[EntryDateTime]])</f>
        <v>44656</v>
      </c>
      <c r="I3390" s="1">
        <f>IF(Query1[[#This Row],[ItemType]]="EVAP KIT SF GEN IV",Query1[[#This Row],[OrderQty]]+I3389,I3389)</f>
        <v>4233</v>
      </c>
      <c r="J3390" s="1">
        <f>IF(Query1[[#This Row],[ItemType]]="EVAP KIT UNIVERSAL",Query1[[#This Row],[OrderQty]]+J3389,J3389)</f>
        <v>1469</v>
      </c>
      <c r="K3390" s="1">
        <f>Query1[[#This Row],[SF Running Total]]+Query1[[#This Row],[UNIV Running Total]]</f>
        <v>5702</v>
      </c>
      <c r="L3390">
        <f>VLOOKUP(Query1[[#This Row],[Description]],'kits to boards'!$B$2:$E$156,2,FALSE)</f>
        <v>830083</v>
      </c>
      <c r="M3390">
        <f>VLOOKUP(Query1[[#This Row],[Description]],'kits to boards'!$B$2:$E$156,3,FALSE)</f>
        <v>0</v>
      </c>
      <c r="N3390">
        <f>VLOOKUP(Query1[[#This Row],[Description]],'kits to boards'!$B$2:$E$156,4,FALSE)</f>
        <v>0</v>
      </c>
      <c r="O3390" t="str">
        <f>CONCATENATE(Query1[[#This Row],[Description]]," - ",Query1[[#This Row],[MB1]]," - ",Query1[[#This Row],[MB2]]," - ",Query1[[#This Row],[MB3]])</f>
        <v>GEN IV MAGNUM EVAP KIT - 830083 - 0 - 0</v>
      </c>
    </row>
    <row r="3391" spans="1:15" x14ac:dyDescent="0.25">
      <c r="A3391" s="1">
        <v>918256</v>
      </c>
      <c r="B3391" s="1" t="s">
        <v>62</v>
      </c>
      <c r="C3391" s="1" t="s">
        <v>63</v>
      </c>
      <c r="D3391" s="2">
        <v>44656.48531744213</v>
      </c>
      <c r="E3391" s="1" t="s">
        <v>8</v>
      </c>
      <c r="F3391" s="1">
        <v>1</v>
      </c>
      <c r="G3391" s="1">
        <v>0</v>
      </c>
      <c r="H3391" s="6">
        <f>INT(Query1[[#This Row],[EntryDateTime]])</f>
        <v>44656</v>
      </c>
      <c r="I3391" s="1">
        <f>IF(Query1[[#This Row],[ItemType]]="EVAP KIT SF GEN IV",Query1[[#This Row],[OrderQty]]+I3390,I3390)</f>
        <v>4234</v>
      </c>
      <c r="J3391" s="1">
        <f>IF(Query1[[#This Row],[ItemType]]="EVAP KIT UNIVERSAL",Query1[[#This Row],[OrderQty]]+J3390,J3390)</f>
        <v>1469</v>
      </c>
      <c r="K3391" s="1">
        <f>Query1[[#This Row],[SF Running Total]]+Query1[[#This Row],[UNIV Running Total]]</f>
        <v>5703</v>
      </c>
      <c r="L3391">
        <f>VLOOKUP(Query1[[#This Row],[Description]],'kits to boards'!$B$2:$E$156,2,FALSE)</f>
        <v>830079</v>
      </c>
      <c r="M3391">
        <f>VLOOKUP(Query1[[#This Row],[Description]],'kits to boards'!$B$2:$E$156,3,FALSE)</f>
        <v>830046</v>
      </c>
      <c r="N3391">
        <f>VLOOKUP(Query1[[#This Row],[Description]],'kits to boards'!$B$2:$E$156,4,FALSE)</f>
        <v>0</v>
      </c>
      <c r="O3391" t="str">
        <f>CONCATENATE(Query1[[#This Row],[Description]]," - ",Query1[[#This Row],[MB1]]," - ",Query1[[#This Row],[MB2]]," - ",Query1[[#This Row],[MB3]])</f>
        <v>EVAP KIT 67-68 MUSTANG/COUGAR WO AC - 830079 - 830046 - 0</v>
      </c>
    </row>
    <row r="3392" spans="1:15" x14ac:dyDescent="0.25">
      <c r="A3392" s="1">
        <v>918260</v>
      </c>
      <c r="B3392" s="1" t="s">
        <v>140</v>
      </c>
      <c r="C3392" s="1" t="s">
        <v>141</v>
      </c>
      <c r="D3392" s="2">
        <v>44656.497475543983</v>
      </c>
      <c r="E3392" s="1" t="s">
        <v>8</v>
      </c>
      <c r="F3392" s="1">
        <v>1</v>
      </c>
      <c r="G3392" s="1">
        <v>0</v>
      </c>
      <c r="H3392" s="6">
        <f>INT(Query1[[#This Row],[EntryDateTime]])</f>
        <v>44656</v>
      </c>
      <c r="I3392" s="1">
        <f>IF(Query1[[#This Row],[ItemType]]="EVAP KIT SF GEN IV",Query1[[#This Row],[OrderQty]]+I3391,I3391)</f>
        <v>4235</v>
      </c>
      <c r="J3392" s="1">
        <f>IF(Query1[[#This Row],[ItemType]]="EVAP KIT UNIVERSAL",Query1[[#This Row],[OrderQty]]+J3391,J3391)</f>
        <v>1469</v>
      </c>
      <c r="K3392" s="1">
        <f>Query1[[#This Row],[SF Running Total]]+Query1[[#This Row],[UNIV Running Total]]</f>
        <v>5704</v>
      </c>
      <c r="L3392">
        <f>VLOOKUP(Query1[[#This Row],[Description]],'kits to boards'!$B$2:$E$156,2,FALSE)</f>
        <v>830066</v>
      </c>
      <c r="M3392">
        <f>VLOOKUP(Query1[[#This Row],[Description]],'kits to boards'!$B$2:$E$156,3,FALSE)</f>
        <v>0</v>
      </c>
      <c r="N3392">
        <f>VLOOKUP(Query1[[#This Row],[Description]],'kits to boards'!$B$2:$E$156,4,FALSE)</f>
        <v>0</v>
      </c>
      <c r="O3392" t="str">
        <f>CONCATENATE(Query1[[#This Row],[Description]]," - ",Query1[[#This Row],[MB1]]," - ",Query1[[#This Row],[MB2]]," - ",Query1[[#This Row],[MB3]])</f>
        <v>EVAP KIT 60-63 CHEV P-UP WO AC - 830066 - 0 - 0</v>
      </c>
    </row>
    <row r="3393" spans="1:15" x14ac:dyDescent="0.25">
      <c r="A3393" s="1">
        <v>918267</v>
      </c>
      <c r="B3393" s="1" t="s">
        <v>98</v>
      </c>
      <c r="C3393" s="1" t="s">
        <v>99</v>
      </c>
      <c r="D3393" s="2">
        <v>44656.509665277779</v>
      </c>
      <c r="E3393" s="1" t="s">
        <v>11</v>
      </c>
      <c r="F3393" s="1">
        <v>4</v>
      </c>
      <c r="G3393" s="1">
        <v>0</v>
      </c>
      <c r="H3393" s="6">
        <f>INT(Query1[[#This Row],[EntryDateTime]])</f>
        <v>44656</v>
      </c>
      <c r="I3393" s="1">
        <f>IF(Query1[[#This Row],[ItemType]]="EVAP KIT SF GEN IV",Query1[[#This Row],[OrderQty]]+I3392,I3392)</f>
        <v>4235</v>
      </c>
      <c r="J3393" s="1">
        <f>IF(Query1[[#This Row],[ItemType]]="EVAP KIT UNIVERSAL",Query1[[#This Row],[OrderQty]]+J3392,J3392)</f>
        <v>1473</v>
      </c>
      <c r="K3393" s="1">
        <f>Query1[[#This Row],[SF Running Total]]+Query1[[#This Row],[UNIV Running Total]]</f>
        <v>5708</v>
      </c>
      <c r="L3393">
        <f>VLOOKUP(Query1[[#This Row],[Description]],'kits to boards'!$B$2:$E$156,2,FALSE)</f>
        <v>830099</v>
      </c>
      <c r="M3393">
        <f>VLOOKUP(Query1[[#This Row],[Description]],'kits to boards'!$B$2:$E$156,3,FALSE)</f>
        <v>0</v>
      </c>
      <c r="N3393">
        <f>VLOOKUP(Query1[[#This Row],[Description]],'kits to boards'!$B$2:$E$156,4,FALSE)</f>
        <v>0</v>
      </c>
      <c r="O3393" t="str">
        <f>CONCATENATE(Query1[[#This Row],[Description]]," - ",Query1[[#This Row],[MB1]]," - ",Query1[[#This Row],[MB2]]," - ",Query1[[#This Row],[MB3]])</f>
        <v>MINI GEN II W/DEF - 830099 - 0 - 0</v>
      </c>
    </row>
    <row r="3394" spans="1:15" x14ac:dyDescent="0.25">
      <c r="A3394" s="1">
        <v>918276</v>
      </c>
      <c r="B3394" s="1" t="s">
        <v>210</v>
      </c>
      <c r="C3394" s="1" t="s">
        <v>211</v>
      </c>
      <c r="D3394" s="2">
        <v>44656.529597187502</v>
      </c>
      <c r="E3394" s="1" t="s">
        <v>8</v>
      </c>
      <c r="F3394" s="1">
        <v>1</v>
      </c>
      <c r="G3394" s="1">
        <v>0</v>
      </c>
      <c r="H3394" s="6">
        <f>INT(Query1[[#This Row],[EntryDateTime]])</f>
        <v>44656</v>
      </c>
      <c r="I3394" s="1">
        <f>IF(Query1[[#This Row],[ItemType]]="EVAP KIT SF GEN IV",Query1[[#This Row],[OrderQty]]+I3393,I3393)</f>
        <v>4236</v>
      </c>
      <c r="J3394" s="1">
        <f>IF(Query1[[#This Row],[ItemType]]="EVAP KIT UNIVERSAL",Query1[[#This Row],[OrderQty]]+J3393,J3393)</f>
        <v>1473</v>
      </c>
      <c r="K3394" s="1">
        <f>Query1[[#This Row],[SF Running Total]]+Query1[[#This Row],[UNIV Running Total]]</f>
        <v>5709</v>
      </c>
      <c r="L3394">
        <f>VLOOKUP(Query1[[#This Row],[Description]],'kits to boards'!$B$2:$E$156,2,FALSE)</f>
        <v>830094</v>
      </c>
      <c r="M3394">
        <f>VLOOKUP(Query1[[#This Row],[Description]],'kits to boards'!$B$2:$E$156,3,FALSE)</f>
        <v>0</v>
      </c>
      <c r="N3394">
        <f>VLOOKUP(Query1[[#This Row],[Description]],'kits to boards'!$B$2:$E$156,4,FALSE)</f>
        <v>0</v>
      </c>
      <c r="O3394" t="str">
        <f>CONCATENATE(Query1[[#This Row],[Description]]," - ",Query1[[#This Row],[MB1]]," - ",Query1[[#This Row],[MB2]]," - ",Query1[[#This Row],[MB3]])</f>
        <v>EVAP KIT 74-76 VETTE W/AC - 830094 - 0 - 0</v>
      </c>
    </row>
    <row r="3395" spans="1:15" x14ac:dyDescent="0.25">
      <c r="A3395" s="1">
        <v>918275</v>
      </c>
      <c r="B3395" s="1" t="s">
        <v>132</v>
      </c>
      <c r="C3395" s="1" t="s">
        <v>133</v>
      </c>
      <c r="D3395" s="2">
        <v>44656.529752395836</v>
      </c>
      <c r="E3395" s="1" t="s">
        <v>8</v>
      </c>
      <c r="F3395" s="1">
        <v>1</v>
      </c>
      <c r="G3395" s="1">
        <v>0</v>
      </c>
      <c r="H3395" s="6">
        <f>INT(Query1[[#This Row],[EntryDateTime]])</f>
        <v>44656</v>
      </c>
      <c r="I3395" s="1">
        <f>IF(Query1[[#This Row],[ItemType]]="EVAP KIT SF GEN IV",Query1[[#This Row],[OrderQty]]+I3394,I3394)</f>
        <v>4237</v>
      </c>
      <c r="J3395" s="1">
        <f>IF(Query1[[#This Row],[ItemType]]="EVAP KIT UNIVERSAL",Query1[[#This Row],[OrderQty]]+J3394,J3394)</f>
        <v>1473</v>
      </c>
      <c r="K3395" s="1">
        <f>Query1[[#This Row],[SF Running Total]]+Query1[[#This Row],[UNIV Running Total]]</f>
        <v>5710</v>
      </c>
      <c r="L3395">
        <f>VLOOKUP(Query1[[#This Row],[Description]],'kits to boards'!$B$2:$E$156,2,FALSE)</f>
        <v>830005</v>
      </c>
      <c r="M3395">
        <f>VLOOKUP(Query1[[#This Row],[Description]],'kits to boards'!$B$2:$E$156,3,FALSE)</f>
        <v>0</v>
      </c>
      <c r="N3395">
        <f>VLOOKUP(Query1[[#This Row],[Description]],'kits to boards'!$B$2:$E$156,4,FALSE)</f>
        <v>0</v>
      </c>
      <c r="O3395" t="str">
        <f>CONCATENATE(Query1[[#This Row],[Description]]," - ",Query1[[#This Row],[MB1]]," - ",Query1[[#This Row],[MB2]]," - ",Query1[[#This Row],[MB3]])</f>
        <v>EVAP KIT 61-62 IMPALA WO AC - 830005 - 0 - 0</v>
      </c>
    </row>
    <row r="3396" spans="1:15" x14ac:dyDescent="0.25">
      <c r="A3396" s="1">
        <v>918287</v>
      </c>
      <c r="B3396" s="1" t="s">
        <v>267</v>
      </c>
      <c r="C3396" s="1" t="s">
        <v>268</v>
      </c>
      <c r="D3396" s="2">
        <v>44656.54693877315</v>
      </c>
      <c r="E3396" s="1" t="s">
        <v>11</v>
      </c>
      <c r="F3396" s="1">
        <v>1</v>
      </c>
      <c r="G3396" s="1">
        <v>0</v>
      </c>
      <c r="H3396" s="6">
        <f>INT(Query1[[#This Row],[EntryDateTime]])</f>
        <v>44656</v>
      </c>
      <c r="I3396" s="1">
        <f>IF(Query1[[#This Row],[ItemType]]="EVAP KIT SF GEN IV",Query1[[#This Row],[OrderQty]]+I3395,I3395)</f>
        <v>4237</v>
      </c>
      <c r="J3396" s="1">
        <f>IF(Query1[[#This Row],[ItemType]]="EVAP KIT UNIVERSAL",Query1[[#This Row],[OrderQty]]+J3395,J3395)</f>
        <v>1474</v>
      </c>
      <c r="K3396" s="1">
        <f>Query1[[#This Row],[SF Running Total]]+Query1[[#This Row],[UNIV Running Total]]</f>
        <v>5711</v>
      </c>
      <c r="L3396">
        <f>VLOOKUP(Query1[[#This Row],[Description]],'kits to boards'!$B$2:$E$156,2,FALSE)</f>
        <v>830070</v>
      </c>
      <c r="M3396">
        <f>VLOOKUP(Query1[[#This Row],[Description]],'kits to boards'!$B$2:$E$156,3,FALSE)</f>
        <v>0</v>
      </c>
      <c r="N3396">
        <f>VLOOKUP(Query1[[#This Row],[Description]],'kits to boards'!$B$2:$E$156,4,FALSE)</f>
        <v>0</v>
      </c>
      <c r="O3396" t="str">
        <f>CONCATENATE(Query1[[#This Row],[Description]]," - ",Query1[[#This Row],[MB1]]," - ",Query1[[#This Row],[MB2]]," - ",Query1[[#This Row],[MB3]])</f>
        <v>SHORT PACK W/DEF W/STD CNTL - 830070 - 0 - 0</v>
      </c>
    </row>
    <row r="3397" spans="1:15" x14ac:dyDescent="0.25">
      <c r="A3397" s="1">
        <v>918293</v>
      </c>
      <c r="B3397" s="1" t="s">
        <v>256</v>
      </c>
      <c r="C3397" s="1" t="s">
        <v>257</v>
      </c>
      <c r="D3397" s="2">
        <v>44656.55082207176</v>
      </c>
      <c r="E3397" s="1" t="s">
        <v>8</v>
      </c>
      <c r="F3397" s="1">
        <v>1</v>
      </c>
      <c r="G3397" s="1">
        <v>0</v>
      </c>
      <c r="H3397" s="6">
        <f>INT(Query1[[#This Row],[EntryDateTime]])</f>
        <v>44656</v>
      </c>
      <c r="I3397" s="1">
        <f>IF(Query1[[#This Row],[ItemType]]="EVAP KIT SF GEN IV",Query1[[#This Row],[OrderQty]]+I3396,I3396)</f>
        <v>4238</v>
      </c>
      <c r="J3397" s="1">
        <f>IF(Query1[[#This Row],[ItemType]]="EVAP KIT UNIVERSAL",Query1[[#This Row],[OrderQty]]+J3396,J3396)</f>
        <v>1474</v>
      </c>
      <c r="K3397" s="1">
        <f>Query1[[#This Row],[SF Running Total]]+Query1[[#This Row],[UNIV Running Total]]</f>
        <v>5712</v>
      </c>
      <c r="L3397">
        <f>VLOOKUP(Query1[[#This Row],[Description]],'kits to boards'!$B$2:$E$156,2,FALSE)</f>
        <v>830025</v>
      </c>
      <c r="M3397">
        <f>VLOOKUP(Query1[[#This Row],[Description]],'kits to boards'!$B$2:$E$156,3,FALSE)</f>
        <v>830022</v>
      </c>
      <c r="N3397">
        <f>VLOOKUP(Query1[[#This Row],[Description]],'kits to boards'!$B$2:$E$156,4,FALSE)</f>
        <v>0</v>
      </c>
      <c r="O3397" t="str">
        <f>CONCATENATE(Query1[[#This Row],[Description]]," - ",Query1[[#This Row],[MB1]]," - ",Query1[[#This Row],[MB2]]," - ",Query1[[#This Row],[MB3]])</f>
        <v>EVAP KIT 68-69 CUTLASS W/AC - 830025 - 830022 - 0</v>
      </c>
    </row>
    <row r="3398" spans="1:15" x14ac:dyDescent="0.25">
      <c r="A3398" s="1">
        <v>918297</v>
      </c>
      <c r="B3398" s="1" t="s">
        <v>261</v>
      </c>
      <c r="C3398" s="1" t="s">
        <v>262</v>
      </c>
      <c r="D3398" s="2">
        <v>44656.557819872687</v>
      </c>
      <c r="E3398" s="1" t="s">
        <v>8</v>
      </c>
      <c r="F3398" s="1">
        <v>1</v>
      </c>
      <c r="G3398" s="1">
        <v>0</v>
      </c>
      <c r="H3398" s="6">
        <f>INT(Query1[[#This Row],[EntryDateTime]])</f>
        <v>44656</v>
      </c>
      <c r="I3398" s="1">
        <f>IF(Query1[[#This Row],[ItemType]]="EVAP KIT SF GEN IV",Query1[[#This Row],[OrderQty]]+I3397,I3397)</f>
        <v>4239</v>
      </c>
      <c r="J3398" s="1">
        <f>IF(Query1[[#This Row],[ItemType]]="EVAP KIT UNIVERSAL",Query1[[#This Row],[OrderQty]]+J3397,J3397)</f>
        <v>1474</v>
      </c>
      <c r="K3398" s="1">
        <f>Query1[[#This Row],[SF Running Total]]+Query1[[#This Row],[UNIV Running Total]]</f>
        <v>5713</v>
      </c>
      <c r="L3398">
        <f>VLOOKUP(Query1[[#This Row],[Description]],'kits to boards'!$B$2:$E$156,2,FALSE)</f>
        <v>830074</v>
      </c>
      <c r="M3398">
        <f>VLOOKUP(Query1[[#This Row],[Description]],'kits to boards'!$B$2:$E$156,3,FALSE)</f>
        <v>0</v>
      </c>
      <c r="N3398">
        <f>VLOOKUP(Query1[[#This Row],[Description]],'kits to boards'!$B$2:$E$156,4,FALSE)</f>
        <v>0</v>
      </c>
      <c r="O3398" t="str">
        <f>CONCATENATE(Query1[[#This Row],[Description]]," - ",Query1[[#This Row],[MB1]]," - ",Query1[[#This Row],[MB2]]," - ",Query1[[#This Row],[MB3]])</f>
        <v>EVAP KIT 68 MOPAR B BODY W/AC - 830074 - 0 - 0</v>
      </c>
    </row>
    <row r="3399" spans="1:15" x14ac:dyDescent="0.25">
      <c r="A3399" s="1">
        <v>918297</v>
      </c>
      <c r="B3399" s="1" t="s">
        <v>54</v>
      </c>
      <c r="C3399" s="1" t="s">
        <v>55</v>
      </c>
      <c r="D3399" s="2">
        <v>44656.557934062497</v>
      </c>
      <c r="E3399" s="1" t="s">
        <v>8</v>
      </c>
      <c r="F3399" s="1">
        <v>1</v>
      </c>
      <c r="G3399" s="1">
        <v>0</v>
      </c>
      <c r="H3399" s="6">
        <f>INT(Query1[[#This Row],[EntryDateTime]])</f>
        <v>44656</v>
      </c>
      <c r="I3399" s="1">
        <f>IF(Query1[[#This Row],[ItemType]]="EVAP KIT SF GEN IV",Query1[[#This Row],[OrderQty]]+I3398,I3398)</f>
        <v>4240</v>
      </c>
      <c r="J3399" s="1">
        <f>IF(Query1[[#This Row],[ItemType]]="EVAP KIT UNIVERSAL",Query1[[#This Row],[OrderQty]]+J3398,J3398)</f>
        <v>1474</v>
      </c>
      <c r="K3399" s="1">
        <f>Query1[[#This Row],[SF Running Total]]+Query1[[#This Row],[UNIV Running Total]]</f>
        <v>5714</v>
      </c>
      <c r="L3399">
        <f>VLOOKUP(Query1[[#This Row],[Description]],'kits to boards'!$B$2:$E$156,2,FALSE)</f>
        <v>830037</v>
      </c>
      <c r="M3399">
        <f>VLOOKUP(Query1[[#This Row],[Description]],'kits to boards'!$B$2:$E$156,3,FALSE)</f>
        <v>0</v>
      </c>
      <c r="N3399">
        <f>VLOOKUP(Query1[[#This Row],[Description]],'kits to boards'!$B$2:$E$156,4,FALSE)</f>
        <v>0</v>
      </c>
      <c r="O3399" t="str">
        <f>CONCATENATE(Query1[[#This Row],[Description]]," - ",Query1[[#This Row],[MB1]]," - ",Query1[[#This Row],[MB2]]," - ",Query1[[#This Row],[MB3]])</f>
        <v>EVAP KIT 70-81 FIREBIRD W/AC - 830037 - 0 - 0</v>
      </c>
    </row>
    <row r="3400" spans="1:15" x14ac:dyDescent="0.25">
      <c r="A3400" s="1">
        <v>918304</v>
      </c>
      <c r="B3400" s="1" t="s">
        <v>44</v>
      </c>
      <c r="C3400" s="1" t="s">
        <v>45</v>
      </c>
      <c r="D3400" s="2">
        <v>44656.571023645833</v>
      </c>
      <c r="E3400" s="1" t="s">
        <v>8</v>
      </c>
      <c r="F3400" s="1">
        <v>1</v>
      </c>
      <c r="G3400" s="1">
        <v>0</v>
      </c>
      <c r="H3400" s="6">
        <f>INT(Query1[[#This Row],[EntryDateTime]])</f>
        <v>44656</v>
      </c>
      <c r="I3400" s="1">
        <f>IF(Query1[[#This Row],[ItemType]]="EVAP KIT SF GEN IV",Query1[[#This Row],[OrderQty]]+I3399,I3399)</f>
        <v>4241</v>
      </c>
      <c r="J3400" s="1">
        <f>IF(Query1[[#This Row],[ItemType]]="EVAP KIT UNIVERSAL",Query1[[#This Row],[OrderQty]]+J3399,J3399)</f>
        <v>1474</v>
      </c>
      <c r="K3400" s="1">
        <f>Query1[[#This Row],[SF Running Total]]+Query1[[#This Row],[UNIV Running Total]]</f>
        <v>5715</v>
      </c>
      <c r="L3400">
        <f>VLOOKUP(Query1[[#This Row],[Description]],'kits to boards'!$B$2:$E$156,2,FALSE)</f>
        <v>830085</v>
      </c>
      <c r="M3400">
        <f>VLOOKUP(Query1[[#This Row],[Description]],'kits to boards'!$B$2:$E$156,3,FALSE)</f>
        <v>0</v>
      </c>
      <c r="N3400">
        <f>VLOOKUP(Query1[[#This Row],[Description]],'kits to boards'!$B$2:$E$156,4,FALSE)</f>
        <v>0</v>
      </c>
      <c r="O3400" t="str">
        <f>CONCATENATE(Query1[[#This Row],[Description]]," - ",Query1[[#This Row],[MB1]]," - ",Query1[[#This Row],[MB2]]," - ",Query1[[#This Row],[MB3]])</f>
        <v>EVAP KIT 66-77 BRONCO - 830085 - 0 - 0</v>
      </c>
    </row>
    <row r="3401" spans="1:15" x14ac:dyDescent="0.25">
      <c r="A3401" s="1">
        <v>918307</v>
      </c>
      <c r="B3401" s="1" t="s">
        <v>136</v>
      </c>
      <c r="C3401" s="1" t="s">
        <v>137</v>
      </c>
      <c r="D3401" s="2">
        <v>44656.573125497685</v>
      </c>
      <c r="E3401" s="1" t="s">
        <v>11</v>
      </c>
      <c r="F3401" s="1">
        <v>1</v>
      </c>
      <c r="G3401" s="1">
        <v>0</v>
      </c>
      <c r="H3401" s="6">
        <f>INT(Query1[[#This Row],[EntryDateTime]])</f>
        <v>44656</v>
      </c>
      <c r="I3401" s="1">
        <f>IF(Query1[[#This Row],[ItemType]]="EVAP KIT SF GEN IV",Query1[[#This Row],[OrderQty]]+I3400,I3400)</f>
        <v>4241</v>
      </c>
      <c r="J3401" s="1">
        <f>IF(Query1[[#This Row],[ItemType]]="EVAP KIT UNIVERSAL",Query1[[#This Row],[OrderQty]]+J3400,J3400)</f>
        <v>1475</v>
      </c>
      <c r="K3401" s="1">
        <f>Query1[[#This Row],[SF Running Total]]+Query1[[#This Row],[UNIV Running Total]]</f>
        <v>5716</v>
      </c>
      <c r="L3401">
        <f>VLOOKUP(Query1[[#This Row],[Description]],'kits to boards'!$B$2:$E$156,2,FALSE)</f>
        <v>0</v>
      </c>
      <c r="M3401">
        <f>VLOOKUP(Query1[[#This Row],[Description]],'kits to boards'!$B$2:$E$156,3,FALSE)</f>
        <v>0</v>
      </c>
      <c r="N3401">
        <f>VLOOKUP(Query1[[#This Row],[Description]],'kits to boards'!$B$2:$E$156,4,FALSE)</f>
        <v>0</v>
      </c>
      <c r="O3401" t="str">
        <f>CONCATENATE(Query1[[#This Row],[Description]]," - ",Query1[[#This Row],[MB1]]," - ",Query1[[#This Row],[MB2]]," - ",Query1[[#This Row],[MB3]])</f>
        <v>HERITAGE TURNED EVAP KIT HEAT/COOL - 0 - 0 - 0</v>
      </c>
    </row>
    <row r="3402" spans="1:15" x14ac:dyDescent="0.25">
      <c r="A3402" s="1">
        <v>918273</v>
      </c>
      <c r="B3402" s="1" t="s">
        <v>212</v>
      </c>
      <c r="C3402" s="1" t="s">
        <v>213</v>
      </c>
      <c r="D3402" s="2">
        <v>44656.588129050928</v>
      </c>
      <c r="E3402" s="1" t="s">
        <v>8</v>
      </c>
      <c r="F3402" s="1">
        <v>1</v>
      </c>
      <c r="G3402" s="1">
        <v>0</v>
      </c>
      <c r="H3402" s="6">
        <f>INT(Query1[[#This Row],[EntryDateTime]])</f>
        <v>44656</v>
      </c>
      <c r="I3402" s="1">
        <f>IF(Query1[[#This Row],[ItemType]]="EVAP KIT SF GEN IV",Query1[[#This Row],[OrderQty]]+I3401,I3401)</f>
        <v>4242</v>
      </c>
      <c r="J3402" s="1">
        <f>IF(Query1[[#This Row],[ItemType]]="EVAP KIT UNIVERSAL",Query1[[#This Row],[OrderQty]]+J3401,J3401)</f>
        <v>1475</v>
      </c>
      <c r="K3402" s="1">
        <f>Query1[[#This Row],[SF Running Total]]+Query1[[#This Row],[UNIV Running Total]]</f>
        <v>5717</v>
      </c>
      <c r="L3402">
        <f>VLOOKUP(Query1[[#This Row],[Description]],'kits to boards'!$B$2:$E$156,2,FALSE)</f>
        <v>830034</v>
      </c>
      <c r="M3402">
        <f>VLOOKUP(Query1[[#This Row],[Description]],'kits to boards'!$B$2:$E$156,3,FALSE)</f>
        <v>0</v>
      </c>
      <c r="N3402">
        <f>VLOOKUP(Query1[[#This Row],[Description]],'kits to boards'!$B$2:$E$156,4,FALSE)</f>
        <v>0</v>
      </c>
      <c r="O3402" t="str">
        <f>CONCATENATE(Query1[[#This Row],[Description]]," - ",Query1[[#This Row],[MB1]]," - ",Query1[[#This Row],[MB2]]," - ",Query1[[#This Row],[MB3]])</f>
        <v>EVAP KIT 64-67 GTO W/AC - 830034 - 0 - 0</v>
      </c>
    </row>
    <row r="3403" spans="1:15" x14ac:dyDescent="0.25">
      <c r="A3403" s="1">
        <v>918315</v>
      </c>
      <c r="B3403" s="1" t="s">
        <v>60</v>
      </c>
      <c r="C3403" s="1" t="s">
        <v>61</v>
      </c>
      <c r="D3403" s="2">
        <v>44656.592645289355</v>
      </c>
      <c r="E3403" s="1" t="s">
        <v>8</v>
      </c>
      <c r="F3403" s="1">
        <v>1</v>
      </c>
      <c r="G3403" s="1">
        <v>0</v>
      </c>
      <c r="H3403" s="6">
        <f>INT(Query1[[#This Row],[EntryDateTime]])</f>
        <v>44656</v>
      </c>
      <c r="I3403" s="1">
        <f>IF(Query1[[#This Row],[ItemType]]="EVAP KIT SF GEN IV",Query1[[#This Row],[OrderQty]]+I3402,I3402)</f>
        <v>4243</v>
      </c>
      <c r="J3403" s="1">
        <f>IF(Query1[[#This Row],[ItemType]]="EVAP KIT UNIVERSAL",Query1[[#This Row],[OrderQty]]+J3402,J3402)</f>
        <v>1475</v>
      </c>
      <c r="K3403" s="1">
        <f>Query1[[#This Row],[SF Running Total]]+Query1[[#This Row],[UNIV Running Total]]</f>
        <v>5718</v>
      </c>
      <c r="L3403">
        <f>VLOOKUP(Query1[[#This Row],[Description]],'kits to boards'!$B$2:$E$156,2,FALSE)</f>
        <v>830062</v>
      </c>
      <c r="M3403">
        <f>VLOOKUP(Query1[[#This Row],[Description]],'kits to boards'!$B$2:$E$156,3,FALSE)</f>
        <v>0</v>
      </c>
      <c r="N3403">
        <f>VLOOKUP(Query1[[#This Row],[Description]],'kits to boards'!$B$2:$E$156,4,FALSE)</f>
        <v>0</v>
      </c>
      <c r="O3403" t="str">
        <f>CONCATENATE(Query1[[#This Row],[Description]]," - ",Query1[[#This Row],[MB1]]," - ",Query1[[#This Row],[MB2]]," - ",Query1[[#This Row],[MB3]])</f>
        <v>EVAP KIT 68-69 CHEVELLE WO AC - 830062 - 0 - 0</v>
      </c>
    </row>
    <row r="3404" spans="1:15" x14ac:dyDescent="0.25">
      <c r="A3404" s="1">
        <v>916673</v>
      </c>
      <c r="B3404" s="1" t="s">
        <v>236</v>
      </c>
      <c r="C3404" s="1" t="s">
        <v>237</v>
      </c>
      <c r="D3404" s="2">
        <v>44656.594457407409</v>
      </c>
      <c r="E3404" s="1" t="s">
        <v>8</v>
      </c>
      <c r="F3404" s="1">
        <v>1</v>
      </c>
      <c r="G3404" s="1">
        <v>0</v>
      </c>
      <c r="H3404" s="6">
        <f>INT(Query1[[#This Row],[EntryDateTime]])</f>
        <v>44656</v>
      </c>
      <c r="I3404" s="1">
        <f>IF(Query1[[#This Row],[ItemType]]="EVAP KIT SF GEN IV",Query1[[#This Row],[OrderQty]]+I3403,I3403)</f>
        <v>4244</v>
      </c>
      <c r="J3404" s="1">
        <f>IF(Query1[[#This Row],[ItemType]]="EVAP KIT UNIVERSAL",Query1[[#This Row],[OrderQty]]+J3403,J3403)</f>
        <v>1475</v>
      </c>
      <c r="K3404" s="1">
        <f>Query1[[#This Row],[SF Running Total]]+Query1[[#This Row],[UNIV Running Total]]</f>
        <v>5719</v>
      </c>
      <c r="L3404">
        <f>VLOOKUP(Query1[[#This Row],[Description]],'kits to boards'!$B$2:$E$156,2,FALSE)</f>
        <v>830026</v>
      </c>
      <c r="M3404">
        <f>VLOOKUP(Query1[[#This Row],[Description]],'kits to boards'!$B$2:$E$156,3,FALSE)</f>
        <v>0</v>
      </c>
      <c r="N3404">
        <f>VLOOKUP(Query1[[#This Row],[Description]],'kits to boards'!$B$2:$E$156,4,FALSE)</f>
        <v>0</v>
      </c>
      <c r="O3404" t="str">
        <f>CONCATENATE(Query1[[#This Row],[Description]]," - ",Query1[[#This Row],[MB1]]," - ",Query1[[#This Row],[MB2]]," - ",Query1[[#This Row],[MB3]])</f>
        <v>EVAP KIT 70-72 CUTLASS WO AC - 830026 - 0 - 0</v>
      </c>
    </row>
    <row r="3405" spans="1:15" x14ac:dyDescent="0.25">
      <c r="A3405" s="1">
        <v>918317</v>
      </c>
      <c r="B3405" s="1" t="s">
        <v>14</v>
      </c>
      <c r="C3405" s="1" t="s">
        <v>15</v>
      </c>
      <c r="D3405" s="2">
        <v>44656.594501388892</v>
      </c>
      <c r="E3405" s="1" t="s">
        <v>8</v>
      </c>
      <c r="F3405" s="1">
        <v>1</v>
      </c>
      <c r="G3405" s="1">
        <v>0</v>
      </c>
      <c r="H3405" s="6">
        <f>INT(Query1[[#This Row],[EntryDateTime]])</f>
        <v>44656</v>
      </c>
      <c r="I3405" s="1">
        <f>IF(Query1[[#This Row],[ItemType]]="EVAP KIT SF GEN IV",Query1[[#This Row],[OrderQty]]+I3404,I3404)</f>
        <v>4245</v>
      </c>
      <c r="J3405" s="1">
        <f>IF(Query1[[#This Row],[ItemType]]="EVAP KIT UNIVERSAL",Query1[[#This Row],[OrderQty]]+J3404,J3404)</f>
        <v>1475</v>
      </c>
      <c r="K3405" s="1">
        <f>Query1[[#This Row],[SF Running Total]]+Query1[[#This Row],[UNIV Running Total]]</f>
        <v>5720</v>
      </c>
      <c r="L3405">
        <f>VLOOKUP(Query1[[#This Row],[Description]],'kits to boards'!$B$2:$E$156,2,FALSE)</f>
        <v>830054</v>
      </c>
      <c r="M3405">
        <f>VLOOKUP(Query1[[#This Row],[Description]],'kits to boards'!$B$2:$E$156,3,FALSE)</f>
        <v>0</v>
      </c>
      <c r="N3405">
        <f>VLOOKUP(Query1[[#This Row],[Description]],'kits to boards'!$B$2:$E$156,4,FALSE)</f>
        <v>0</v>
      </c>
      <c r="O3405" t="str">
        <f>CONCATENATE(Query1[[#This Row],[Description]]," - ",Query1[[#This Row],[MB1]]," - ",Query1[[#This Row],[MB2]]," - ",Query1[[#This Row],[MB3]])</f>
        <v>EVAP KIT 55-56 CHEVY - 830054 - 0 - 0</v>
      </c>
    </row>
    <row r="3406" spans="1:15" x14ac:dyDescent="0.25">
      <c r="A3406" s="1">
        <v>918265</v>
      </c>
      <c r="B3406" s="1" t="s">
        <v>98</v>
      </c>
      <c r="C3406" s="1" t="s">
        <v>99</v>
      </c>
      <c r="D3406" s="2">
        <v>44656.597317824075</v>
      </c>
      <c r="E3406" s="1" t="s">
        <v>11</v>
      </c>
      <c r="F3406" s="1">
        <v>1</v>
      </c>
      <c r="G3406" s="1">
        <v>0</v>
      </c>
      <c r="H3406" s="6">
        <f>INT(Query1[[#This Row],[EntryDateTime]])</f>
        <v>44656</v>
      </c>
      <c r="I3406" s="1">
        <f>IF(Query1[[#This Row],[ItemType]]="EVAP KIT SF GEN IV",Query1[[#This Row],[OrderQty]]+I3405,I3405)</f>
        <v>4245</v>
      </c>
      <c r="J3406" s="1">
        <f>IF(Query1[[#This Row],[ItemType]]="EVAP KIT UNIVERSAL",Query1[[#This Row],[OrderQty]]+J3405,J3405)</f>
        <v>1476</v>
      </c>
      <c r="K3406" s="1">
        <f>Query1[[#This Row],[SF Running Total]]+Query1[[#This Row],[UNIV Running Total]]</f>
        <v>5721</v>
      </c>
      <c r="L3406">
        <f>VLOOKUP(Query1[[#This Row],[Description]],'kits to boards'!$B$2:$E$156,2,FALSE)</f>
        <v>830099</v>
      </c>
      <c r="M3406">
        <f>VLOOKUP(Query1[[#This Row],[Description]],'kits to boards'!$B$2:$E$156,3,FALSE)</f>
        <v>0</v>
      </c>
      <c r="N3406">
        <f>VLOOKUP(Query1[[#This Row],[Description]],'kits to boards'!$B$2:$E$156,4,FALSE)</f>
        <v>0</v>
      </c>
      <c r="O3406" t="str">
        <f>CONCATENATE(Query1[[#This Row],[Description]]," - ",Query1[[#This Row],[MB1]]," - ",Query1[[#This Row],[MB2]]," - ",Query1[[#This Row],[MB3]])</f>
        <v>MINI GEN II W/DEF - 830099 - 0 - 0</v>
      </c>
    </row>
    <row r="3407" spans="1:15" x14ac:dyDescent="0.25">
      <c r="A3407" s="1">
        <v>918320</v>
      </c>
      <c r="B3407" s="1" t="s">
        <v>92</v>
      </c>
      <c r="C3407" s="1" t="s">
        <v>93</v>
      </c>
      <c r="D3407" s="2">
        <v>44656.598304282408</v>
      </c>
      <c r="E3407" s="1" t="s">
        <v>8</v>
      </c>
      <c r="F3407" s="1">
        <v>1</v>
      </c>
      <c r="G3407" s="1">
        <v>0</v>
      </c>
      <c r="H3407" s="6">
        <f>INT(Query1[[#This Row],[EntryDateTime]])</f>
        <v>44656</v>
      </c>
      <c r="I3407" s="1">
        <f>IF(Query1[[#This Row],[ItemType]]="EVAP KIT SF GEN IV",Query1[[#This Row],[OrderQty]]+I3406,I3406)</f>
        <v>4246</v>
      </c>
      <c r="J3407" s="1">
        <f>IF(Query1[[#This Row],[ItemType]]="EVAP KIT UNIVERSAL",Query1[[#This Row],[OrderQty]]+J3406,J3406)</f>
        <v>1476</v>
      </c>
      <c r="K3407" s="1">
        <f>Query1[[#This Row],[SF Running Total]]+Query1[[#This Row],[UNIV Running Total]]</f>
        <v>5722</v>
      </c>
      <c r="L3407">
        <f>VLOOKUP(Query1[[#This Row],[Description]],'kits to boards'!$B$2:$E$156,2,FALSE)</f>
        <v>830063</v>
      </c>
      <c r="M3407">
        <f>VLOOKUP(Query1[[#This Row],[Description]],'kits to boards'!$B$2:$E$156,3,FALSE)</f>
        <v>0</v>
      </c>
      <c r="N3407">
        <f>VLOOKUP(Query1[[#This Row],[Description]],'kits to boards'!$B$2:$E$156,4,FALSE)</f>
        <v>0</v>
      </c>
      <c r="O3407" t="str">
        <f>CONCATENATE(Query1[[#This Row],[Description]]," - ",Query1[[#This Row],[MB1]]," - ",Query1[[#This Row],[MB2]]," - ",Query1[[#This Row],[MB3]])</f>
        <v>EVAP KIT 50-53 CHEV P-UP GEN IV - 830063 - 0 - 0</v>
      </c>
    </row>
    <row r="3408" spans="1:15" x14ac:dyDescent="0.25">
      <c r="A3408" s="1">
        <v>918323</v>
      </c>
      <c r="B3408" s="1" t="s">
        <v>26</v>
      </c>
      <c r="C3408" s="1" t="s">
        <v>27</v>
      </c>
      <c r="D3408" s="2">
        <v>44656.600739351852</v>
      </c>
      <c r="E3408" s="1" t="s">
        <v>8</v>
      </c>
      <c r="F3408" s="1">
        <v>1</v>
      </c>
      <c r="G3408" s="1">
        <v>0</v>
      </c>
      <c r="H3408" s="6">
        <f>INT(Query1[[#This Row],[EntryDateTime]])</f>
        <v>44656</v>
      </c>
      <c r="I3408" s="1">
        <f>IF(Query1[[#This Row],[ItemType]]="EVAP KIT SF GEN IV",Query1[[#This Row],[OrderQty]]+I3407,I3407)</f>
        <v>4247</v>
      </c>
      <c r="J3408" s="1">
        <f>IF(Query1[[#This Row],[ItemType]]="EVAP KIT UNIVERSAL",Query1[[#This Row],[OrderQty]]+J3407,J3407)</f>
        <v>1476</v>
      </c>
      <c r="K3408" s="1">
        <f>Query1[[#This Row],[SF Running Total]]+Query1[[#This Row],[UNIV Running Total]]</f>
        <v>5723</v>
      </c>
      <c r="L3408">
        <f>VLOOKUP(Query1[[#This Row],[Description]],'kits to boards'!$B$2:$E$156,2,FALSE)</f>
        <v>830013</v>
      </c>
      <c r="M3408">
        <f>VLOOKUP(Query1[[#This Row],[Description]],'kits to boards'!$B$2:$E$156,3,FALSE)</f>
        <v>0</v>
      </c>
      <c r="N3408">
        <f>VLOOKUP(Query1[[#This Row],[Description]],'kits to boards'!$B$2:$E$156,4,FALSE)</f>
        <v>0</v>
      </c>
      <c r="O3408" t="str">
        <f>CONCATENATE(Query1[[#This Row],[Description]]," - ",Query1[[#This Row],[MB1]]," - ",Query1[[#This Row],[MB2]]," - ",Query1[[#This Row],[MB3]])</f>
        <v>EVAP KIT 67-72 CHEV P-UP W/AC - 830013 - 0 - 0</v>
      </c>
    </row>
    <row r="3409" spans="1:15" x14ac:dyDescent="0.25">
      <c r="A3409" s="1">
        <v>918300</v>
      </c>
      <c r="B3409" s="1" t="s">
        <v>128</v>
      </c>
      <c r="C3409" s="1" t="s">
        <v>129</v>
      </c>
      <c r="D3409" s="2">
        <v>44656.603244409722</v>
      </c>
      <c r="E3409" s="1" t="s">
        <v>8</v>
      </c>
      <c r="F3409" s="1">
        <v>1</v>
      </c>
      <c r="G3409" s="1">
        <v>0</v>
      </c>
      <c r="H3409" s="6">
        <f>INT(Query1[[#This Row],[EntryDateTime]])</f>
        <v>44656</v>
      </c>
      <c r="I3409" s="1">
        <f>IF(Query1[[#This Row],[ItemType]]="EVAP KIT SF GEN IV",Query1[[#This Row],[OrderQty]]+I3408,I3408)</f>
        <v>4248</v>
      </c>
      <c r="J3409" s="1">
        <f>IF(Query1[[#This Row],[ItemType]]="EVAP KIT UNIVERSAL",Query1[[#This Row],[OrderQty]]+J3408,J3408)</f>
        <v>1476</v>
      </c>
      <c r="K3409" s="1">
        <f>Query1[[#This Row],[SF Running Total]]+Query1[[#This Row],[UNIV Running Total]]</f>
        <v>5724</v>
      </c>
      <c r="L3409">
        <f>VLOOKUP(Query1[[#This Row],[Description]],'kits to boards'!$B$2:$E$156,2,FALSE)</f>
        <v>830036</v>
      </c>
      <c r="M3409">
        <f>VLOOKUP(Query1[[#This Row],[Description]],'kits to boards'!$B$2:$E$156,3,FALSE)</f>
        <v>830039</v>
      </c>
      <c r="N3409">
        <f>VLOOKUP(Query1[[#This Row],[Description]],'kits to boards'!$B$2:$E$156,4,FALSE)</f>
        <v>0</v>
      </c>
      <c r="O3409" t="str">
        <f>CONCATENATE(Query1[[#This Row],[Description]]," - ",Query1[[#This Row],[MB1]]," - ",Query1[[#This Row],[MB2]]," - ",Query1[[#This Row],[MB3]])</f>
        <v>EVAP KIT 63-66 VETTE WO AC - 830036 - 830039 - 0</v>
      </c>
    </row>
    <row r="3410" spans="1:15" x14ac:dyDescent="0.25">
      <c r="A3410" s="1">
        <v>918338</v>
      </c>
      <c r="B3410" s="1" t="s">
        <v>106</v>
      </c>
      <c r="C3410" s="1" t="s">
        <v>107</v>
      </c>
      <c r="D3410" s="2">
        <v>44656.614238113427</v>
      </c>
      <c r="E3410" s="1" t="s">
        <v>8</v>
      </c>
      <c r="F3410" s="1">
        <v>1</v>
      </c>
      <c r="G3410" s="1">
        <v>0</v>
      </c>
      <c r="H3410" s="6">
        <f>INT(Query1[[#This Row],[EntryDateTime]])</f>
        <v>44656</v>
      </c>
      <c r="I3410" s="1">
        <f>IF(Query1[[#This Row],[ItemType]]="EVAP KIT SF GEN IV",Query1[[#This Row],[OrderQty]]+I3409,I3409)</f>
        <v>4249</v>
      </c>
      <c r="J3410" s="1">
        <f>IF(Query1[[#This Row],[ItemType]]="EVAP KIT UNIVERSAL",Query1[[#This Row],[OrderQty]]+J3409,J3409)</f>
        <v>1476</v>
      </c>
      <c r="K3410" s="1">
        <f>Query1[[#This Row],[SF Running Total]]+Query1[[#This Row],[UNIV Running Total]]</f>
        <v>5725</v>
      </c>
      <c r="L3410">
        <f>VLOOKUP(Query1[[#This Row],[Description]],'kits to boards'!$B$2:$E$156,2,FALSE)</f>
        <v>830028</v>
      </c>
      <c r="M3410">
        <f>VLOOKUP(Query1[[#This Row],[Description]],'kits to boards'!$B$2:$E$156,3,FALSE)</f>
        <v>0</v>
      </c>
      <c r="N3410">
        <f>VLOOKUP(Query1[[#This Row],[Description]],'kits to boards'!$B$2:$E$156,4,FALSE)</f>
        <v>0</v>
      </c>
      <c r="O3410" t="str">
        <f>CONCATENATE(Query1[[#This Row],[Description]]," - ",Query1[[#This Row],[MB1]]," - ",Query1[[#This Row],[MB2]]," - ",Query1[[#This Row],[MB3]])</f>
        <v>EVAP KIT 55-59 CHEV P-UP WO AC W/DELX - 830028 - 0 - 0</v>
      </c>
    </row>
    <row r="3411" spans="1:15" x14ac:dyDescent="0.25">
      <c r="A3411" s="1">
        <v>918341</v>
      </c>
      <c r="B3411" s="1" t="s">
        <v>156</v>
      </c>
      <c r="C3411" s="1" t="s">
        <v>157</v>
      </c>
      <c r="D3411" s="2">
        <v>44656.620139548613</v>
      </c>
      <c r="E3411" s="1" t="s">
        <v>8</v>
      </c>
      <c r="F3411" s="1">
        <v>1</v>
      </c>
      <c r="G3411" s="1">
        <v>0</v>
      </c>
      <c r="H3411" s="6">
        <f>INT(Query1[[#This Row],[EntryDateTime]])</f>
        <v>44656</v>
      </c>
      <c r="I3411" s="1">
        <f>IF(Query1[[#This Row],[ItemType]]="EVAP KIT SF GEN IV",Query1[[#This Row],[OrderQty]]+I3410,I3410)</f>
        <v>4250</v>
      </c>
      <c r="J3411" s="1">
        <f>IF(Query1[[#This Row],[ItemType]]="EVAP KIT UNIVERSAL",Query1[[#This Row],[OrderQty]]+J3410,J3410)</f>
        <v>1476</v>
      </c>
      <c r="K3411" s="1">
        <f>Query1[[#This Row],[SF Running Total]]+Query1[[#This Row],[UNIV Running Total]]</f>
        <v>5726</v>
      </c>
      <c r="L3411">
        <f>VLOOKUP(Query1[[#This Row],[Description]],'kits to boards'!$B$2:$E$156,2,FALSE)</f>
        <v>830019</v>
      </c>
      <c r="M3411">
        <f>VLOOKUP(Query1[[#This Row],[Description]],'kits to boards'!$B$2:$E$156,3,FALSE)</f>
        <v>0</v>
      </c>
      <c r="N3411">
        <f>VLOOKUP(Query1[[#This Row],[Description]],'kits to boards'!$B$2:$E$156,4,FALSE)</f>
        <v>0</v>
      </c>
      <c r="O3411" t="str">
        <f>CONCATENATE(Query1[[#This Row],[Description]]," - ",Query1[[#This Row],[MB1]]," - ",Query1[[#This Row],[MB2]]," - ",Query1[[#This Row],[MB3]])</f>
        <v>EVAP KIT 70-81 FIREBIRD WO AC - 830019 - 0 - 0</v>
      </c>
    </row>
    <row r="3412" spans="1:15" x14ac:dyDescent="0.25">
      <c r="A3412" s="1">
        <v>918288</v>
      </c>
      <c r="B3412" s="1" t="s">
        <v>236</v>
      </c>
      <c r="C3412" s="1" t="s">
        <v>237</v>
      </c>
      <c r="D3412" s="2">
        <v>44656.627122951388</v>
      </c>
      <c r="E3412" s="1" t="s">
        <v>8</v>
      </c>
      <c r="F3412" s="1">
        <v>1</v>
      </c>
      <c r="G3412" s="1">
        <v>0</v>
      </c>
      <c r="H3412" s="6">
        <f>INT(Query1[[#This Row],[EntryDateTime]])</f>
        <v>44656</v>
      </c>
      <c r="I3412" s="1">
        <f>IF(Query1[[#This Row],[ItemType]]="EVAP KIT SF GEN IV",Query1[[#This Row],[OrderQty]]+I3411,I3411)</f>
        <v>4251</v>
      </c>
      <c r="J3412" s="1">
        <f>IF(Query1[[#This Row],[ItemType]]="EVAP KIT UNIVERSAL",Query1[[#This Row],[OrderQty]]+J3411,J3411)</f>
        <v>1476</v>
      </c>
      <c r="K3412" s="1">
        <f>Query1[[#This Row],[SF Running Total]]+Query1[[#This Row],[UNIV Running Total]]</f>
        <v>5727</v>
      </c>
      <c r="L3412">
        <f>VLOOKUP(Query1[[#This Row],[Description]],'kits to boards'!$B$2:$E$156,2,FALSE)</f>
        <v>830026</v>
      </c>
      <c r="M3412">
        <f>VLOOKUP(Query1[[#This Row],[Description]],'kits to boards'!$B$2:$E$156,3,FALSE)</f>
        <v>0</v>
      </c>
      <c r="N3412">
        <f>VLOOKUP(Query1[[#This Row],[Description]],'kits to boards'!$B$2:$E$156,4,FALSE)</f>
        <v>0</v>
      </c>
      <c r="O3412" t="str">
        <f>CONCATENATE(Query1[[#This Row],[Description]]," - ",Query1[[#This Row],[MB1]]," - ",Query1[[#This Row],[MB2]]," - ",Query1[[#This Row],[MB3]])</f>
        <v>EVAP KIT 70-72 CUTLASS WO AC - 830026 - 0 - 0</v>
      </c>
    </row>
    <row r="3413" spans="1:15" x14ac:dyDescent="0.25">
      <c r="A3413" s="1">
        <v>918351</v>
      </c>
      <c r="B3413" s="1" t="s">
        <v>128</v>
      </c>
      <c r="C3413" s="1" t="s">
        <v>129</v>
      </c>
      <c r="D3413" s="2">
        <v>44656.639089039352</v>
      </c>
      <c r="E3413" s="1" t="s">
        <v>8</v>
      </c>
      <c r="F3413" s="1">
        <v>1</v>
      </c>
      <c r="G3413" s="1">
        <v>0</v>
      </c>
      <c r="H3413" s="6">
        <f>INT(Query1[[#This Row],[EntryDateTime]])</f>
        <v>44656</v>
      </c>
      <c r="I3413" s="1">
        <f>IF(Query1[[#This Row],[ItemType]]="EVAP KIT SF GEN IV",Query1[[#This Row],[OrderQty]]+I3412,I3412)</f>
        <v>4252</v>
      </c>
      <c r="J3413" s="1">
        <f>IF(Query1[[#This Row],[ItemType]]="EVAP KIT UNIVERSAL",Query1[[#This Row],[OrderQty]]+J3412,J3412)</f>
        <v>1476</v>
      </c>
      <c r="K3413" s="1">
        <f>Query1[[#This Row],[SF Running Total]]+Query1[[#This Row],[UNIV Running Total]]</f>
        <v>5728</v>
      </c>
      <c r="L3413">
        <f>VLOOKUP(Query1[[#This Row],[Description]],'kits to boards'!$B$2:$E$156,2,FALSE)</f>
        <v>830036</v>
      </c>
      <c r="M3413">
        <f>VLOOKUP(Query1[[#This Row],[Description]],'kits to boards'!$B$2:$E$156,3,FALSE)</f>
        <v>830039</v>
      </c>
      <c r="N3413">
        <f>VLOOKUP(Query1[[#This Row],[Description]],'kits to boards'!$B$2:$E$156,4,FALSE)</f>
        <v>0</v>
      </c>
      <c r="O3413" t="str">
        <f>CONCATENATE(Query1[[#This Row],[Description]]," - ",Query1[[#This Row],[MB1]]," - ",Query1[[#This Row],[MB2]]," - ",Query1[[#This Row],[MB3]])</f>
        <v>EVAP KIT 63-66 VETTE WO AC - 830036 - 830039 - 0</v>
      </c>
    </row>
    <row r="3414" spans="1:15" x14ac:dyDescent="0.25">
      <c r="A3414" s="1">
        <v>918350</v>
      </c>
      <c r="B3414" s="1" t="s">
        <v>40</v>
      </c>
      <c r="C3414" s="1" t="s">
        <v>246</v>
      </c>
      <c r="D3414" s="2">
        <v>44656.644476388887</v>
      </c>
      <c r="E3414" s="1" t="s">
        <v>8</v>
      </c>
      <c r="F3414" s="1">
        <v>1</v>
      </c>
      <c r="G3414" s="1">
        <v>0</v>
      </c>
      <c r="H3414" s="6">
        <f>INT(Query1[[#This Row],[EntryDateTime]])</f>
        <v>44656</v>
      </c>
      <c r="I3414" s="1">
        <f>IF(Query1[[#This Row],[ItemType]]="EVAP KIT SF GEN IV",Query1[[#This Row],[OrderQty]]+I3413,I3413)</f>
        <v>4253</v>
      </c>
      <c r="J3414" s="1">
        <f>IF(Query1[[#This Row],[ItemType]]="EVAP KIT UNIVERSAL",Query1[[#This Row],[OrderQty]]+J3413,J3413)</f>
        <v>1476</v>
      </c>
      <c r="K3414" s="1">
        <f>Query1[[#This Row],[SF Running Total]]+Query1[[#This Row],[UNIV Running Total]]</f>
        <v>5729</v>
      </c>
      <c r="L3414" t="e">
        <f>VLOOKUP(Query1[[#This Row],[Description]],'kits to boards'!$B$2:$E$156,2,FALSE)</f>
        <v>#N/A</v>
      </c>
      <c r="M3414" t="e">
        <f>VLOOKUP(Query1[[#This Row],[Description]],'kits to boards'!$B$2:$E$156,3,FALSE)</f>
        <v>#N/A</v>
      </c>
      <c r="N3414" t="e">
        <f>VLOOKUP(Query1[[#This Row],[Description]],'kits to boards'!$B$2:$E$156,4,FALSE)</f>
        <v>#N/A</v>
      </c>
      <c r="O3414" t="e">
        <f>CONCATENATE(Query1[[#This Row],[Description]]," - ",Query1[[#This Row],[MB1]]," - ",Query1[[#This Row],[MB2]]," - ",Query1[[#This Row],[MB3]])</f>
        <v>#N/A</v>
      </c>
    </row>
    <row r="3415" spans="1:15" x14ac:dyDescent="0.25">
      <c r="A3415" s="1">
        <v>917650</v>
      </c>
      <c r="B3415" s="1" t="s">
        <v>116</v>
      </c>
      <c r="C3415" s="1" t="s">
        <v>117</v>
      </c>
      <c r="D3415" s="2">
        <v>44656.662610798609</v>
      </c>
      <c r="E3415" s="1" t="s">
        <v>8</v>
      </c>
      <c r="F3415" s="1">
        <v>1</v>
      </c>
      <c r="G3415" s="1">
        <v>0</v>
      </c>
      <c r="H3415" s="6">
        <f>INT(Query1[[#This Row],[EntryDateTime]])</f>
        <v>44656</v>
      </c>
      <c r="I3415" s="1">
        <f>IF(Query1[[#This Row],[ItemType]]="EVAP KIT SF GEN IV",Query1[[#This Row],[OrderQty]]+I3414,I3414)</f>
        <v>4254</v>
      </c>
      <c r="J3415" s="1">
        <f>IF(Query1[[#This Row],[ItemType]]="EVAP KIT UNIVERSAL",Query1[[#This Row],[OrderQty]]+J3414,J3414)</f>
        <v>1476</v>
      </c>
      <c r="K3415" s="1">
        <f>Query1[[#This Row],[SF Running Total]]+Query1[[#This Row],[UNIV Running Total]]</f>
        <v>5730</v>
      </c>
      <c r="L3415">
        <f>VLOOKUP(Query1[[#This Row],[Description]],'kits to boards'!$B$2:$E$156,2,FALSE)</f>
        <v>830058</v>
      </c>
      <c r="M3415">
        <f>VLOOKUP(Query1[[#This Row],[Description]],'kits to boards'!$B$2:$E$156,3,FALSE)</f>
        <v>0</v>
      </c>
      <c r="N3415">
        <f>VLOOKUP(Query1[[#This Row],[Description]],'kits to boards'!$B$2:$E$156,4,FALSE)</f>
        <v>0</v>
      </c>
      <c r="O3415" t="str">
        <f>CONCATENATE(Query1[[#This Row],[Description]]," - ",Query1[[#This Row],[MB1]]," - ",Query1[[#This Row],[MB2]]," - ",Query1[[#This Row],[MB3]])</f>
        <v>EVAP KIT 64-65 CHEVELLE WO AC - 830058 - 0 - 0</v>
      </c>
    </row>
    <row r="3416" spans="1:15" x14ac:dyDescent="0.25">
      <c r="A3416" s="1">
        <v>918364</v>
      </c>
      <c r="B3416" s="1" t="s">
        <v>94</v>
      </c>
      <c r="C3416" s="1" t="s">
        <v>95</v>
      </c>
      <c r="D3416" s="2">
        <v>44656.663396180556</v>
      </c>
      <c r="E3416" s="1" t="s">
        <v>8</v>
      </c>
      <c r="F3416" s="1">
        <v>1</v>
      </c>
      <c r="G3416" s="1">
        <v>0</v>
      </c>
      <c r="H3416" s="6">
        <f>INT(Query1[[#This Row],[EntryDateTime]])</f>
        <v>44656</v>
      </c>
      <c r="I3416" s="1">
        <f>IF(Query1[[#This Row],[ItemType]]="EVAP KIT SF GEN IV",Query1[[#This Row],[OrderQty]]+I3415,I3415)</f>
        <v>4255</v>
      </c>
      <c r="J3416" s="1">
        <f>IF(Query1[[#This Row],[ItemType]]="EVAP KIT UNIVERSAL",Query1[[#This Row],[OrderQty]]+J3415,J3415)</f>
        <v>1476</v>
      </c>
      <c r="K3416" s="1">
        <f>Query1[[#This Row],[SF Running Total]]+Query1[[#This Row],[UNIV Running Total]]</f>
        <v>5731</v>
      </c>
      <c r="L3416">
        <f>VLOOKUP(Query1[[#This Row],[Description]],'kits to boards'!$B$2:$E$156,2,FALSE)</f>
        <v>830076</v>
      </c>
      <c r="M3416">
        <f>VLOOKUP(Query1[[#This Row],[Description]],'kits to boards'!$B$2:$E$156,3,FALSE)</f>
        <v>0</v>
      </c>
      <c r="N3416">
        <f>VLOOKUP(Query1[[#This Row],[Description]],'kits to boards'!$B$2:$E$156,4,FALSE)</f>
        <v>0</v>
      </c>
      <c r="O3416" t="str">
        <f>CONCATENATE(Query1[[#This Row],[Description]]," - ",Query1[[#This Row],[MB1]]," - ",Query1[[#This Row],[MB2]]," - ",Query1[[#This Row],[MB3]])</f>
        <v>EVAP KIT 64 1/2- 66 MUSTANG  - 830076 - 0 - 0</v>
      </c>
    </row>
    <row r="3417" spans="1:15" x14ac:dyDescent="0.25">
      <c r="A3417" s="1">
        <v>918368</v>
      </c>
      <c r="B3417" s="1" t="s">
        <v>50</v>
      </c>
      <c r="C3417" s="1" t="s">
        <v>51</v>
      </c>
      <c r="D3417" s="2">
        <v>44656.669028009259</v>
      </c>
      <c r="E3417" s="1" t="s">
        <v>8</v>
      </c>
      <c r="F3417" s="1">
        <v>1</v>
      </c>
      <c r="G3417" s="1">
        <v>0</v>
      </c>
      <c r="H3417" s="6">
        <f>INT(Query1[[#This Row],[EntryDateTime]])</f>
        <v>44656</v>
      </c>
      <c r="I3417" s="1">
        <f>IF(Query1[[#This Row],[ItemType]]="EVAP KIT SF GEN IV",Query1[[#This Row],[OrderQty]]+I3416,I3416)</f>
        <v>4256</v>
      </c>
      <c r="J3417" s="1">
        <f>IF(Query1[[#This Row],[ItemType]]="EVAP KIT UNIVERSAL",Query1[[#This Row],[OrderQty]]+J3416,J3416)</f>
        <v>1476</v>
      </c>
      <c r="K3417" s="1">
        <f>Query1[[#This Row],[SF Running Total]]+Query1[[#This Row],[UNIV Running Total]]</f>
        <v>5732</v>
      </c>
      <c r="L3417">
        <f>VLOOKUP(Query1[[#This Row],[Description]],'kits to boards'!$B$2:$E$156,2,FALSE)</f>
        <v>830043</v>
      </c>
      <c r="M3417">
        <f>VLOOKUP(Query1[[#This Row],[Description]],'kits to boards'!$B$2:$E$156,3,FALSE)</f>
        <v>0</v>
      </c>
      <c r="N3417">
        <f>VLOOKUP(Query1[[#This Row],[Description]],'kits to boards'!$B$2:$E$156,4,FALSE)</f>
        <v>0</v>
      </c>
      <c r="O3417" t="str">
        <f>CONCATENATE(Query1[[#This Row],[Description]]," - ",Query1[[#This Row],[MB1]]," - ",Query1[[#This Row],[MB2]]," - ",Query1[[#This Row],[MB3]])</f>
        <v>EVAP KIT 69-74 NOVA WO AC - 830043 - 0 - 0</v>
      </c>
    </row>
    <row r="3418" spans="1:15" x14ac:dyDescent="0.25">
      <c r="A3418" s="1">
        <v>918360</v>
      </c>
      <c r="B3418" s="1" t="s">
        <v>94</v>
      </c>
      <c r="C3418" s="1" t="s">
        <v>95</v>
      </c>
      <c r="D3418" s="2">
        <v>44656.671376388891</v>
      </c>
      <c r="E3418" s="1" t="s">
        <v>8</v>
      </c>
      <c r="F3418" s="1">
        <v>1</v>
      </c>
      <c r="G3418" s="1">
        <v>0</v>
      </c>
      <c r="H3418" s="6">
        <f>INT(Query1[[#This Row],[EntryDateTime]])</f>
        <v>44656</v>
      </c>
      <c r="I3418" s="1">
        <f>IF(Query1[[#This Row],[ItemType]]="EVAP KIT SF GEN IV",Query1[[#This Row],[OrderQty]]+I3417,I3417)</f>
        <v>4257</v>
      </c>
      <c r="J3418" s="1">
        <f>IF(Query1[[#This Row],[ItemType]]="EVAP KIT UNIVERSAL",Query1[[#This Row],[OrderQty]]+J3417,J3417)</f>
        <v>1476</v>
      </c>
      <c r="K3418" s="1">
        <f>Query1[[#This Row],[SF Running Total]]+Query1[[#This Row],[UNIV Running Total]]</f>
        <v>5733</v>
      </c>
      <c r="L3418">
        <f>VLOOKUP(Query1[[#This Row],[Description]],'kits to boards'!$B$2:$E$156,2,FALSE)</f>
        <v>830076</v>
      </c>
      <c r="M3418">
        <f>VLOOKUP(Query1[[#This Row],[Description]],'kits to boards'!$B$2:$E$156,3,FALSE)</f>
        <v>0</v>
      </c>
      <c r="N3418">
        <f>VLOOKUP(Query1[[#This Row],[Description]],'kits to boards'!$B$2:$E$156,4,FALSE)</f>
        <v>0</v>
      </c>
      <c r="O3418" t="str">
        <f>CONCATENATE(Query1[[#This Row],[Description]]," - ",Query1[[#This Row],[MB1]]," - ",Query1[[#This Row],[MB2]]," - ",Query1[[#This Row],[MB3]])</f>
        <v>EVAP KIT 64 1/2- 66 MUSTANG  - 830076 - 0 - 0</v>
      </c>
    </row>
    <row r="3419" spans="1:15" x14ac:dyDescent="0.25">
      <c r="A3419" s="1">
        <v>918371</v>
      </c>
      <c r="B3419" s="1" t="s">
        <v>132</v>
      </c>
      <c r="C3419" s="1" t="s">
        <v>133</v>
      </c>
      <c r="D3419" s="2">
        <v>44656.675416585647</v>
      </c>
      <c r="E3419" s="1" t="s">
        <v>8</v>
      </c>
      <c r="F3419" s="1">
        <v>1</v>
      </c>
      <c r="G3419" s="1">
        <v>0</v>
      </c>
      <c r="H3419" s="6">
        <f>INT(Query1[[#This Row],[EntryDateTime]])</f>
        <v>44656</v>
      </c>
      <c r="I3419" s="1">
        <f>IF(Query1[[#This Row],[ItemType]]="EVAP KIT SF GEN IV",Query1[[#This Row],[OrderQty]]+I3418,I3418)</f>
        <v>4258</v>
      </c>
      <c r="J3419" s="1">
        <f>IF(Query1[[#This Row],[ItemType]]="EVAP KIT UNIVERSAL",Query1[[#This Row],[OrderQty]]+J3418,J3418)</f>
        <v>1476</v>
      </c>
      <c r="K3419" s="1">
        <f>Query1[[#This Row],[SF Running Total]]+Query1[[#This Row],[UNIV Running Total]]</f>
        <v>5734</v>
      </c>
      <c r="L3419">
        <f>VLOOKUP(Query1[[#This Row],[Description]],'kits to boards'!$B$2:$E$156,2,FALSE)</f>
        <v>830005</v>
      </c>
      <c r="M3419">
        <f>VLOOKUP(Query1[[#This Row],[Description]],'kits to boards'!$B$2:$E$156,3,FALSE)</f>
        <v>0</v>
      </c>
      <c r="N3419">
        <f>VLOOKUP(Query1[[#This Row],[Description]],'kits to boards'!$B$2:$E$156,4,FALSE)</f>
        <v>0</v>
      </c>
      <c r="O3419" t="str">
        <f>CONCATENATE(Query1[[#This Row],[Description]]," - ",Query1[[#This Row],[MB1]]," - ",Query1[[#This Row],[MB2]]," - ",Query1[[#This Row],[MB3]])</f>
        <v>EVAP KIT 61-62 IMPALA WO AC - 830005 - 0 - 0</v>
      </c>
    </row>
    <row r="3420" spans="1:15" x14ac:dyDescent="0.25">
      <c r="A3420" s="1">
        <v>918374</v>
      </c>
      <c r="B3420" s="1" t="s">
        <v>12</v>
      </c>
      <c r="C3420" s="1" t="s">
        <v>13</v>
      </c>
      <c r="D3420" s="2">
        <v>44656.678360995371</v>
      </c>
      <c r="E3420" s="1" t="s">
        <v>8</v>
      </c>
      <c r="F3420" s="1">
        <v>3</v>
      </c>
      <c r="G3420" s="1">
        <v>0</v>
      </c>
      <c r="H3420" s="6">
        <f>INT(Query1[[#This Row],[EntryDateTime]])</f>
        <v>44656</v>
      </c>
      <c r="I3420" s="1">
        <f>IF(Query1[[#This Row],[ItemType]]="EVAP KIT SF GEN IV",Query1[[#This Row],[OrderQty]]+I3419,I3419)</f>
        <v>4261</v>
      </c>
      <c r="J3420" s="1">
        <f>IF(Query1[[#This Row],[ItemType]]="EVAP KIT UNIVERSAL",Query1[[#This Row],[OrderQty]]+J3419,J3419)</f>
        <v>1476</v>
      </c>
      <c r="K3420" s="1">
        <f>Query1[[#This Row],[SF Running Total]]+Query1[[#This Row],[UNIV Running Total]]</f>
        <v>5737</v>
      </c>
      <c r="L3420">
        <f>VLOOKUP(Query1[[#This Row],[Description]],'kits to boards'!$B$2:$E$156,2,FALSE)</f>
        <v>830079</v>
      </c>
      <c r="M3420">
        <f>VLOOKUP(Query1[[#This Row],[Description]],'kits to boards'!$B$2:$E$156,3,FALSE)</f>
        <v>830046</v>
      </c>
      <c r="N3420">
        <f>VLOOKUP(Query1[[#This Row],[Description]],'kits to boards'!$B$2:$E$156,4,FALSE)</f>
        <v>0</v>
      </c>
      <c r="O3420" t="str">
        <f>CONCATENATE(Query1[[#This Row],[Description]]," - ",Query1[[#This Row],[MB1]]," - ",Query1[[#This Row],[MB2]]," - ",Query1[[#This Row],[MB3]])</f>
        <v>EVAP KIT 67-68 MUSTANG/COUGAR W/AC - 830079 - 830046 - 0</v>
      </c>
    </row>
    <row r="3421" spans="1:15" x14ac:dyDescent="0.25">
      <c r="A3421" s="1">
        <v>918377</v>
      </c>
      <c r="B3421" s="1" t="s">
        <v>42</v>
      </c>
      <c r="C3421" s="1" t="s">
        <v>43</v>
      </c>
      <c r="D3421" s="2">
        <v>44656.680377430559</v>
      </c>
      <c r="E3421" s="1" t="s">
        <v>8</v>
      </c>
      <c r="F3421" s="1">
        <v>1</v>
      </c>
      <c r="G3421" s="1">
        <v>0</v>
      </c>
      <c r="H3421" s="6">
        <f>INT(Query1[[#This Row],[EntryDateTime]])</f>
        <v>44656</v>
      </c>
      <c r="I3421" s="1">
        <f>IF(Query1[[#This Row],[ItemType]]="EVAP KIT SF GEN IV",Query1[[#This Row],[OrderQty]]+I3420,I3420)</f>
        <v>4262</v>
      </c>
      <c r="J3421" s="1">
        <f>IF(Query1[[#This Row],[ItemType]]="EVAP KIT UNIVERSAL",Query1[[#This Row],[OrderQty]]+J3420,J3420)</f>
        <v>1476</v>
      </c>
      <c r="K3421" s="1">
        <f>Query1[[#This Row],[SF Running Total]]+Query1[[#This Row],[UNIV Running Total]]</f>
        <v>5738</v>
      </c>
      <c r="L3421">
        <f>VLOOKUP(Query1[[#This Row],[Description]],'kits to boards'!$B$2:$E$156,2,FALSE)</f>
        <v>830014</v>
      </c>
      <c r="M3421">
        <f>VLOOKUP(Query1[[#This Row],[Description]],'kits to boards'!$B$2:$E$156,3,FALSE)</f>
        <v>0</v>
      </c>
      <c r="N3421">
        <f>VLOOKUP(Query1[[#This Row],[Description]],'kits to boards'!$B$2:$E$156,4,FALSE)</f>
        <v>0</v>
      </c>
      <c r="O3421" t="str">
        <f>CONCATENATE(Query1[[#This Row],[Description]]," - ",Query1[[#This Row],[MB1]]," - ",Query1[[#This Row],[MB2]]," - ",Query1[[#This Row],[MB3]])</f>
        <v>EVAP KIT 67-72 CHEV P-UP WO AC - 830014 - 0 - 0</v>
      </c>
    </row>
    <row r="3422" spans="1:15" x14ac:dyDescent="0.25">
      <c r="A3422" s="1">
        <v>918375</v>
      </c>
      <c r="B3422" s="1" t="s">
        <v>68</v>
      </c>
      <c r="C3422" s="1" t="s">
        <v>69</v>
      </c>
      <c r="D3422" s="2">
        <v>44656.680653587966</v>
      </c>
      <c r="E3422" s="1" t="s">
        <v>8</v>
      </c>
      <c r="F3422" s="1">
        <v>1</v>
      </c>
      <c r="G3422" s="1">
        <v>0</v>
      </c>
      <c r="H3422" s="6">
        <f>INT(Query1[[#This Row],[EntryDateTime]])</f>
        <v>44656</v>
      </c>
      <c r="I3422" s="1">
        <f>IF(Query1[[#This Row],[ItemType]]="EVAP KIT SF GEN IV",Query1[[#This Row],[OrderQty]]+I3421,I3421)</f>
        <v>4263</v>
      </c>
      <c r="J3422" s="1">
        <f>IF(Query1[[#This Row],[ItemType]]="EVAP KIT UNIVERSAL",Query1[[#This Row],[OrderQty]]+J3421,J3421)</f>
        <v>1476</v>
      </c>
      <c r="K3422" s="1">
        <f>Query1[[#This Row],[SF Running Total]]+Query1[[#This Row],[UNIV Running Total]]</f>
        <v>5739</v>
      </c>
      <c r="L3422">
        <f>VLOOKUP(Query1[[#This Row],[Description]],'kits to boards'!$B$2:$E$156,2,FALSE)</f>
        <v>830010</v>
      </c>
      <c r="M3422">
        <f>VLOOKUP(Query1[[#This Row],[Description]],'kits to boards'!$B$2:$E$156,3,FALSE)</f>
        <v>0</v>
      </c>
      <c r="N3422">
        <f>VLOOKUP(Query1[[#This Row],[Description]],'kits to boards'!$B$2:$E$156,4,FALSE)</f>
        <v>0</v>
      </c>
      <c r="O3422" t="str">
        <f>CONCATENATE(Query1[[#This Row],[Description]]," - ",Query1[[#This Row],[MB1]]," - ",Query1[[#This Row],[MB2]]," - ",Query1[[#This Row],[MB3]])</f>
        <v>EVAP KIT 70-72 CHEVELLE WO AC - 830010 - 0 - 0</v>
      </c>
    </row>
    <row r="3423" spans="1:15" x14ac:dyDescent="0.25">
      <c r="A3423" s="1">
        <v>915614</v>
      </c>
      <c r="B3423" s="1" t="s">
        <v>108</v>
      </c>
      <c r="C3423" s="1" t="s">
        <v>109</v>
      </c>
      <c r="D3423" s="2">
        <v>44656.683081712959</v>
      </c>
      <c r="E3423" s="1" t="s">
        <v>8</v>
      </c>
      <c r="F3423" s="1">
        <v>1</v>
      </c>
      <c r="G3423" s="1">
        <v>0</v>
      </c>
      <c r="H3423" s="6">
        <f>INT(Query1[[#This Row],[EntryDateTime]])</f>
        <v>44656</v>
      </c>
      <c r="I3423" s="1">
        <f>IF(Query1[[#This Row],[ItemType]]="EVAP KIT SF GEN IV",Query1[[#This Row],[OrderQty]]+I3422,I3422)</f>
        <v>4264</v>
      </c>
      <c r="J3423" s="1">
        <f>IF(Query1[[#This Row],[ItemType]]="EVAP KIT UNIVERSAL",Query1[[#This Row],[OrderQty]]+J3422,J3422)</f>
        <v>1476</v>
      </c>
      <c r="K3423" s="1">
        <f>Query1[[#This Row],[SF Running Total]]+Query1[[#This Row],[UNIV Running Total]]</f>
        <v>5740</v>
      </c>
      <c r="L3423">
        <f>VLOOKUP(Query1[[#This Row],[Description]],'kits to boards'!$B$2:$E$156,2,FALSE)</f>
        <v>830105</v>
      </c>
      <c r="M3423">
        <f>VLOOKUP(Query1[[#This Row],[Description]],'kits to boards'!$B$2:$E$156,3,FALSE)</f>
        <v>830106</v>
      </c>
      <c r="N3423">
        <f>VLOOKUP(Query1[[#This Row],[Description]],'kits to boards'!$B$2:$E$156,4,FALSE)</f>
        <v>0</v>
      </c>
      <c r="O3423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3424" spans="1:15" x14ac:dyDescent="0.25">
      <c r="A3424" s="1">
        <v>918380</v>
      </c>
      <c r="B3424" s="1" t="s">
        <v>102</v>
      </c>
      <c r="C3424" s="1" t="s">
        <v>103</v>
      </c>
      <c r="D3424" s="2">
        <v>44656.683888229163</v>
      </c>
      <c r="E3424" s="1" t="s">
        <v>8</v>
      </c>
      <c r="F3424" s="1">
        <v>1</v>
      </c>
      <c r="G3424" s="1">
        <v>0</v>
      </c>
      <c r="H3424" s="6">
        <f>INT(Query1[[#This Row],[EntryDateTime]])</f>
        <v>44656</v>
      </c>
      <c r="I3424" s="1">
        <f>IF(Query1[[#This Row],[ItemType]]="EVAP KIT SF GEN IV",Query1[[#This Row],[OrderQty]]+I3423,I3423)</f>
        <v>4265</v>
      </c>
      <c r="J3424" s="1">
        <f>IF(Query1[[#This Row],[ItemType]]="EVAP KIT UNIVERSAL",Query1[[#This Row],[OrderQty]]+J3423,J3423)</f>
        <v>1476</v>
      </c>
      <c r="K3424" s="1">
        <f>Query1[[#This Row],[SF Running Total]]+Query1[[#This Row],[UNIV Running Total]]</f>
        <v>5741</v>
      </c>
      <c r="L3424">
        <f>VLOOKUP(Query1[[#This Row],[Description]],'kits to boards'!$B$2:$E$156,2,FALSE)</f>
        <v>830012</v>
      </c>
      <c r="M3424">
        <f>VLOOKUP(Query1[[#This Row],[Description]],'kits to boards'!$B$2:$E$156,3,FALSE)</f>
        <v>0</v>
      </c>
      <c r="N3424">
        <f>VLOOKUP(Query1[[#This Row],[Description]],'kits to boards'!$B$2:$E$156,4,FALSE)</f>
        <v>0</v>
      </c>
      <c r="O3424" t="str">
        <f>CONCATENATE(Query1[[#This Row],[Description]]," - ",Query1[[#This Row],[MB1]]," - ",Query1[[#This Row],[MB2]]," - ",Query1[[#This Row],[MB3]])</f>
        <v>EVAP KIT 69 CAMARO WO/AC - 830012 - 0 - 0</v>
      </c>
    </row>
    <row r="3425" spans="1:15" x14ac:dyDescent="0.25">
      <c r="A3425" s="1">
        <v>918385</v>
      </c>
      <c r="B3425" s="1" t="s">
        <v>92</v>
      </c>
      <c r="C3425" s="1" t="s">
        <v>93</v>
      </c>
      <c r="D3425" s="2">
        <v>44656.691188425924</v>
      </c>
      <c r="E3425" s="1" t="s">
        <v>8</v>
      </c>
      <c r="F3425" s="1">
        <v>1</v>
      </c>
      <c r="G3425" s="1">
        <v>0</v>
      </c>
      <c r="H3425" s="6">
        <f>INT(Query1[[#This Row],[EntryDateTime]])</f>
        <v>44656</v>
      </c>
      <c r="I3425" s="1">
        <f>IF(Query1[[#This Row],[ItemType]]="EVAP KIT SF GEN IV",Query1[[#This Row],[OrderQty]]+I3424,I3424)</f>
        <v>4266</v>
      </c>
      <c r="J3425" s="1">
        <f>IF(Query1[[#This Row],[ItemType]]="EVAP KIT UNIVERSAL",Query1[[#This Row],[OrderQty]]+J3424,J3424)</f>
        <v>1476</v>
      </c>
      <c r="K3425" s="1">
        <f>Query1[[#This Row],[SF Running Total]]+Query1[[#This Row],[UNIV Running Total]]</f>
        <v>5742</v>
      </c>
      <c r="L3425">
        <f>VLOOKUP(Query1[[#This Row],[Description]],'kits to boards'!$B$2:$E$156,2,FALSE)</f>
        <v>830063</v>
      </c>
      <c r="M3425">
        <f>VLOOKUP(Query1[[#This Row],[Description]],'kits to boards'!$B$2:$E$156,3,FALSE)</f>
        <v>0</v>
      </c>
      <c r="N3425">
        <f>VLOOKUP(Query1[[#This Row],[Description]],'kits to boards'!$B$2:$E$156,4,FALSE)</f>
        <v>0</v>
      </c>
      <c r="O3425" t="str">
        <f>CONCATENATE(Query1[[#This Row],[Description]]," - ",Query1[[#This Row],[MB1]]," - ",Query1[[#This Row],[MB2]]," - ",Query1[[#This Row],[MB3]])</f>
        <v>EVAP KIT 50-53 CHEV P-UP GEN IV - 830063 - 0 - 0</v>
      </c>
    </row>
    <row r="3426" spans="1:15" x14ac:dyDescent="0.25">
      <c r="A3426" s="1">
        <v>918386</v>
      </c>
      <c r="B3426" s="1" t="s">
        <v>98</v>
      </c>
      <c r="C3426" s="1" t="s">
        <v>99</v>
      </c>
      <c r="D3426" s="2">
        <v>44656.70394363426</v>
      </c>
      <c r="E3426" s="1" t="s">
        <v>11</v>
      </c>
      <c r="F3426" s="1">
        <v>1</v>
      </c>
      <c r="G3426" s="1">
        <v>0</v>
      </c>
      <c r="H3426" s="6">
        <f>INT(Query1[[#This Row],[EntryDateTime]])</f>
        <v>44656</v>
      </c>
      <c r="I3426" s="1">
        <f>IF(Query1[[#This Row],[ItemType]]="EVAP KIT SF GEN IV",Query1[[#This Row],[OrderQty]]+I3425,I3425)</f>
        <v>4266</v>
      </c>
      <c r="J3426" s="1">
        <f>IF(Query1[[#This Row],[ItemType]]="EVAP KIT UNIVERSAL",Query1[[#This Row],[OrderQty]]+J3425,J3425)</f>
        <v>1477</v>
      </c>
      <c r="K3426" s="1">
        <f>Query1[[#This Row],[SF Running Total]]+Query1[[#This Row],[UNIV Running Total]]</f>
        <v>5743</v>
      </c>
      <c r="L3426">
        <f>VLOOKUP(Query1[[#This Row],[Description]],'kits to boards'!$B$2:$E$156,2,FALSE)</f>
        <v>830099</v>
      </c>
      <c r="M3426">
        <f>VLOOKUP(Query1[[#This Row],[Description]],'kits to boards'!$B$2:$E$156,3,FALSE)</f>
        <v>0</v>
      </c>
      <c r="N3426">
        <f>VLOOKUP(Query1[[#This Row],[Description]],'kits to boards'!$B$2:$E$156,4,FALSE)</f>
        <v>0</v>
      </c>
      <c r="O3426" t="str">
        <f>CONCATENATE(Query1[[#This Row],[Description]]," - ",Query1[[#This Row],[MB1]]," - ",Query1[[#This Row],[MB2]]," - ",Query1[[#This Row],[MB3]])</f>
        <v>MINI GEN II W/DEF - 830099 - 0 - 0</v>
      </c>
    </row>
    <row r="3427" spans="1:15" x14ac:dyDescent="0.25">
      <c r="A3427" s="1">
        <v>918295</v>
      </c>
      <c r="B3427" s="1" t="s">
        <v>52</v>
      </c>
      <c r="C3427" s="1" t="s">
        <v>53</v>
      </c>
      <c r="D3427" s="2">
        <v>44656.714147025465</v>
      </c>
      <c r="E3427" s="1" t="s">
        <v>8</v>
      </c>
      <c r="F3427" s="1">
        <v>1</v>
      </c>
      <c r="G3427" s="1">
        <v>0</v>
      </c>
      <c r="H3427" s="6">
        <f>INT(Query1[[#This Row],[EntryDateTime]])</f>
        <v>44656</v>
      </c>
      <c r="I3427" s="1">
        <f>IF(Query1[[#This Row],[ItemType]]="EVAP KIT SF GEN IV",Query1[[#This Row],[OrderQty]]+I3426,I3426)</f>
        <v>4267</v>
      </c>
      <c r="J3427" s="1">
        <f>IF(Query1[[#This Row],[ItemType]]="EVAP KIT UNIVERSAL",Query1[[#This Row],[OrderQty]]+J3426,J3426)</f>
        <v>1477</v>
      </c>
      <c r="K3427" s="1">
        <f>Query1[[#This Row],[SF Running Total]]+Query1[[#This Row],[UNIV Running Total]]</f>
        <v>5744</v>
      </c>
      <c r="L3427">
        <f>VLOOKUP(Query1[[#This Row],[Description]],'kits to boards'!$B$2:$E$156,2,FALSE)</f>
        <v>830017</v>
      </c>
      <c r="M3427">
        <f>VLOOKUP(Query1[[#This Row],[Description]],'kits to boards'!$B$2:$E$156,3,FALSE)</f>
        <v>830119</v>
      </c>
      <c r="N3427">
        <f>VLOOKUP(Query1[[#This Row],[Description]],'kits to boards'!$B$2:$E$156,4,FALSE)</f>
        <v>830120</v>
      </c>
      <c r="O3427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428" spans="1:15" x14ac:dyDescent="0.25">
      <c r="A3428" s="1">
        <v>918392</v>
      </c>
      <c r="B3428" s="1" t="s">
        <v>12</v>
      </c>
      <c r="C3428" s="1" t="s">
        <v>13</v>
      </c>
      <c r="D3428" s="2">
        <v>44657.300136493053</v>
      </c>
      <c r="E3428" s="1" t="s">
        <v>8</v>
      </c>
      <c r="F3428" s="1">
        <v>3</v>
      </c>
      <c r="G3428" s="1">
        <v>0</v>
      </c>
      <c r="H3428" s="6">
        <f>INT(Query1[[#This Row],[EntryDateTime]])</f>
        <v>44657</v>
      </c>
      <c r="I3428" s="1">
        <f>IF(Query1[[#This Row],[ItemType]]="EVAP KIT SF GEN IV",Query1[[#This Row],[OrderQty]]+I3427,I3427)</f>
        <v>4270</v>
      </c>
      <c r="J3428" s="1">
        <f>IF(Query1[[#This Row],[ItemType]]="EVAP KIT UNIVERSAL",Query1[[#This Row],[OrderQty]]+J3427,J3427)</f>
        <v>1477</v>
      </c>
      <c r="K3428" s="1">
        <f>Query1[[#This Row],[SF Running Total]]+Query1[[#This Row],[UNIV Running Total]]</f>
        <v>5747</v>
      </c>
      <c r="L3428">
        <f>VLOOKUP(Query1[[#This Row],[Description]],'kits to boards'!$B$2:$E$156,2,FALSE)</f>
        <v>830079</v>
      </c>
      <c r="M3428">
        <f>VLOOKUP(Query1[[#This Row],[Description]],'kits to boards'!$B$2:$E$156,3,FALSE)</f>
        <v>830046</v>
      </c>
      <c r="N3428">
        <f>VLOOKUP(Query1[[#This Row],[Description]],'kits to boards'!$B$2:$E$156,4,FALSE)</f>
        <v>0</v>
      </c>
      <c r="O3428" t="str">
        <f>CONCATENATE(Query1[[#This Row],[Description]]," - ",Query1[[#This Row],[MB1]]," - ",Query1[[#This Row],[MB2]]," - ",Query1[[#This Row],[MB3]])</f>
        <v>EVAP KIT 67-68 MUSTANG/COUGAR W/AC - 830079 - 830046 - 0</v>
      </c>
    </row>
    <row r="3429" spans="1:15" x14ac:dyDescent="0.25">
      <c r="A3429" s="1">
        <v>918392</v>
      </c>
      <c r="B3429" s="1" t="s">
        <v>66</v>
      </c>
      <c r="C3429" s="1" t="s">
        <v>67</v>
      </c>
      <c r="D3429" s="2">
        <v>44657.30013822917</v>
      </c>
      <c r="E3429" s="1" t="s">
        <v>8</v>
      </c>
      <c r="F3429" s="1">
        <v>1</v>
      </c>
      <c r="G3429" s="1">
        <v>0</v>
      </c>
      <c r="H3429" s="6">
        <f>INT(Query1[[#This Row],[EntryDateTime]])</f>
        <v>44657</v>
      </c>
      <c r="I3429" s="1">
        <f>IF(Query1[[#This Row],[ItemType]]="EVAP KIT SF GEN IV",Query1[[#This Row],[OrderQty]]+I3428,I3428)</f>
        <v>4271</v>
      </c>
      <c r="J3429" s="1">
        <f>IF(Query1[[#This Row],[ItemType]]="EVAP KIT UNIVERSAL",Query1[[#This Row],[OrderQty]]+J3428,J3428)</f>
        <v>1477</v>
      </c>
      <c r="K3429" s="1">
        <f>Query1[[#This Row],[SF Running Total]]+Query1[[#This Row],[UNIV Running Total]]</f>
        <v>5748</v>
      </c>
      <c r="L3429">
        <f>VLOOKUP(Query1[[#This Row],[Description]],'kits to boards'!$B$2:$E$156,2,FALSE)</f>
        <v>830060</v>
      </c>
      <c r="M3429">
        <f>VLOOKUP(Query1[[#This Row],[Description]],'kits to boards'!$B$2:$E$156,3,FALSE)</f>
        <v>0</v>
      </c>
      <c r="N3429">
        <f>VLOOKUP(Query1[[#This Row],[Description]],'kits to boards'!$B$2:$E$156,4,FALSE)</f>
        <v>0</v>
      </c>
      <c r="O3429" t="str">
        <f>CONCATENATE(Query1[[#This Row],[Description]]," - ",Query1[[#This Row],[MB1]]," - ",Query1[[#This Row],[MB2]]," - ",Query1[[#This Row],[MB3]])</f>
        <v>EVAP KIT 66-67 CHEVELLE WO AC - 830060 - 0 - 0</v>
      </c>
    </row>
    <row r="3430" spans="1:15" x14ac:dyDescent="0.25">
      <c r="A3430" s="1">
        <v>918392</v>
      </c>
      <c r="B3430" s="1" t="s">
        <v>52</v>
      </c>
      <c r="C3430" s="1" t="s">
        <v>53</v>
      </c>
      <c r="D3430" s="2">
        <v>44657.300139965279</v>
      </c>
      <c r="E3430" s="1" t="s">
        <v>8</v>
      </c>
      <c r="F3430" s="1">
        <v>2</v>
      </c>
      <c r="G3430" s="1">
        <v>0</v>
      </c>
      <c r="H3430" s="6">
        <f>INT(Query1[[#This Row],[EntryDateTime]])</f>
        <v>44657</v>
      </c>
      <c r="I3430" s="1">
        <f>IF(Query1[[#This Row],[ItemType]]="EVAP KIT SF GEN IV",Query1[[#This Row],[OrderQty]]+I3429,I3429)</f>
        <v>4273</v>
      </c>
      <c r="J3430" s="1">
        <f>IF(Query1[[#This Row],[ItemType]]="EVAP KIT UNIVERSAL",Query1[[#This Row],[OrderQty]]+J3429,J3429)</f>
        <v>1477</v>
      </c>
      <c r="K3430" s="1">
        <f>Query1[[#This Row],[SF Running Total]]+Query1[[#This Row],[UNIV Running Total]]</f>
        <v>5750</v>
      </c>
      <c r="L3430">
        <f>VLOOKUP(Query1[[#This Row],[Description]],'kits to boards'!$B$2:$E$156,2,FALSE)</f>
        <v>830017</v>
      </c>
      <c r="M3430">
        <f>VLOOKUP(Query1[[#This Row],[Description]],'kits to boards'!$B$2:$E$156,3,FALSE)</f>
        <v>830119</v>
      </c>
      <c r="N3430">
        <f>VLOOKUP(Query1[[#This Row],[Description]],'kits to boards'!$B$2:$E$156,4,FALSE)</f>
        <v>830120</v>
      </c>
      <c r="O3430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431" spans="1:15" x14ac:dyDescent="0.25">
      <c r="A3431" s="1">
        <v>918392</v>
      </c>
      <c r="B3431" s="1" t="s">
        <v>14</v>
      </c>
      <c r="C3431" s="1" t="s">
        <v>15</v>
      </c>
      <c r="D3431" s="2">
        <v>44657.300141701387</v>
      </c>
      <c r="E3431" s="1" t="s">
        <v>8</v>
      </c>
      <c r="F3431" s="1">
        <v>2</v>
      </c>
      <c r="G3431" s="1">
        <v>0</v>
      </c>
      <c r="H3431" s="6">
        <f>INT(Query1[[#This Row],[EntryDateTime]])</f>
        <v>44657</v>
      </c>
      <c r="I3431" s="1">
        <f>IF(Query1[[#This Row],[ItemType]]="EVAP KIT SF GEN IV",Query1[[#This Row],[OrderQty]]+I3430,I3430)</f>
        <v>4275</v>
      </c>
      <c r="J3431" s="1">
        <f>IF(Query1[[#This Row],[ItemType]]="EVAP KIT UNIVERSAL",Query1[[#This Row],[OrderQty]]+J3430,J3430)</f>
        <v>1477</v>
      </c>
      <c r="K3431" s="1">
        <f>Query1[[#This Row],[SF Running Total]]+Query1[[#This Row],[UNIV Running Total]]</f>
        <v>5752</v>
      </c>
      <c r="L3431">
        <f>VLOOKUP(Query1[[#This Row],[Description]],'kits to boards'!$B$2:$E$156,2,FALSE)</f>
        <v>830054</v>
      </c>
      <c r="M3431">
        <f>VLOOKUP(Query1[[#This Row],[Description]],'kits to boards'!$B$2:$E$156,3,FALSE)</f>
        <v>0</v>
      </c>
      <c r="N3431">
        <f>VLOOKUP(Query1[[#This Row],[Description]],'kits to boards'!$B$2:$E$156,4,FALSE)</f>
        <v>0</v>
      </c>
      <c r="O3431" t="str">
        <f>CONCATENATE(Query1[[#This Row],[Description]]," - ",Query1[[#This Row],[MB1]]," - ",Query1[[#This Row],[MB2]]," - ",Query1[[#This Row],[MB3]])</f>
        <v>EVAP KIT 55-56 CHEVY - 830054 - 0 - 0</v>
      </c>
    </row>
    <row r="3432" spans="1:15" x14ac:dyDescent="0.25">
      <c r="A3432" s="1">
        <v>918392</v>
      </c>
      <c r="B3432" s="1" t="s">
        <v>38</v>
      </c>
      <c r="C3432" s="1" t="s">
        <v>39</v>
      </c>
      <c r="D3432" s="2">
        <v>44657.300143437496</v>
      </c>
      <c r="E3432" s="1" t="s">
        <v>8</v>
      </c>
      <c r="F3432" s="1">
        <v>1</v>
      </c>
      <c r="G3432" s="1">
        <v>0</v>
      </c>
      <c r="H3432" s="6">
        <f>INT(Query1[[#This Row],[EntryDateTime]])</f>
        <v>44657</v>
      </c>
      <c r="I3432" s="1">
        <f>IF(Query1[[#This Row],[ItemType]]="EVAP KIT SF GEN IV",Query1[[#This Row],[OrderQty]]+I3431,I3431)</f>
        <v>4276</v>
      </c>
      <c r="J3432" s="1">
        <f>IF(Query1[[#This Row],[ItemType]]="EVAP KIT UNIVERSAL",Query1[[#This Row],[OrderQty]]+J3431,J3431)</f>
        <v>1477</v>
      </c>
      <c r="K3432" s="1">
        <f>Query1[[#This Row],[SF Running Total]]+Query1[[#This Row],[UNIV Running Total]]</f>
        <v>5753</v>
      </c>
      <c r="L3432">
        <f>VLOOKUP(Query1[[#This Row],[Description]],'kits to boards'!$B$2:$E$156,2,FALSE)</f>
        <v>830012</v>
      </c>
      <c r="M3432">
        <f>VLOOKUP(Query1[[#This Row],[Description]],'kits to boards'!$B$2:$E$156,3,FALSE)</f>
        <v>0</v>
      </c>
      <c r="N3432">
        <f>VLOOKUP(Query1[[#This Row],[Description]],'kits to boards'!$B$2:$E$156,4,FALSE)</f>
        <v>0</v>
      </c>
      <c r="O3432" t="str">
        <f>CONCATENATE(Query1[[#This Row],[Description]]," - ",Query1[[#This Row],[MB1]]," - ",Query1[[#This Row],[MB2]]," - ",Query1[[#This Row],[MB3]])</f>
        <v>EVAP KIT 69 CAMARO W/AC - 830012 - 0 - 0</v>
      </c>
    </row>
    <row r="3433" spans="1:15" x14ac:dyDescent="0.25">
      <c r="A3433" s="1">
        <v>918392</v>
      </c>
      <c r="B3433" s="1" t="s">
        <v>74</v>
      </c>
      <c r="C3433" s="1" t="s">
        <v>75</v>
      </c>
      <c r="D3433" s="2">
        <v>44657.30014521991</v>
      </c>
      <c r="E3433" s="1" t="s">
        <v>8</v>
      </c>
      <c r="F3433" s="1">
        <v>2</v>
      </c>
      <c r="G3433" s="1">
        <v>0</v>
      </c>
      <c r="H3433" s="6">
        <f>INT(Query1[[#This Row],[EntryDateTime]])</f>
        <v>44657</v>
      </c>
      <c r="I3433" s="1">
        <f>IF(Query1[[#This Row],[ItemType]]="EVAP KIT SF GEN IV",Query1[[#This Row],[OrderQty]]+I3432,I3432)</f>
        <v>4278</v>
      </c>
      <c r="J3433" s="1">
        <f>IF(Query1[[#This Row],[ItemType]]="EVAP KIT UNIVERSAL",Query1[[#This Row],[OrderQty]]+J3432,J3432)</f>
        <v>1477</v>
      </c>
      <c r="K3433" s="1">
        <f>Query1[[#This Row],[SF Running Total]]+Query1[[#This Row],[UNIV Running Total]]</f>
        <v>5755</v>
      </c>
      <c r="L3433">
        <f>VLOOKUP(Query1[[#This Row],[Description]],'kits to boards'!$B$2:$E$156,2,FALSE)</f>
        <v>830065</v>
      </c>
      <c r="M3433">
        <f>VLOOKUP(Query1[[#This Row],[Description]],'kits to boards'!$B$2:$E$156,3,FALSE)</f>
        <v>0</v>
      </c>
      <c r="N3433">
        <f>VLOOKUP(Query1[[#This Row],[Description]],'kits to boards'!$B$2:$E$156,4,FALSE)</f>
        <v>0</v>
      </c>
      <c r="O3433" t="str">
        <f>CONCATENATE(Query1[[#This Row],[Description]]," - ",Query1[[#This Row],[MB1]]," - ",Query1[[#This Row],[MB2]]," - ",Query1[[#This Row],[MB3]])</f>
        <v>EVAP KIT 57 CHEV WO AC 4-VENT PLENUM - 830065 - 0 - 0</v>
      </c>
    </row>
    <row r="3434" spans="1:15" x14ac:dyDescent="0.25">
      <c r="A3434" s="1">
        <v>918392</v>
      </c>
      <c r="B3434" s="1" t="s">
        <v>98</v>
      </c>
      <c r="C3434" s="1" t="s">
        <v>99</v>
      </c>
      <c r="D3434" s="2">
        <v>44657.300157789352</v>
      </c>
      <c r="E3434" s="1" t="s">
        <v>11</v>
      </c>
      <c r="F3434" s="1">
        <v>2</v>
      </c>
      <c r="G3434" s="1">
        <v>0</v>
      </c>
      <c r="H3434" s="6">
        <f>INT(Query1[[#This Row],[EntryDateTime]])</f>
        <v>44657</v>
      </c>
      <c r="I3434" s="1">
        <f>IF(Query1[[#This Row],[ItemType]]="EVAP KIT SF GEN IV",Query1[[#This Row],[OrderQty]]+I3433,I3433)</f>
        <v>4278</v>
      </c>
      <c r="J3434" s="1">
        <f>IF(Query1[[#This Row],[ItemType]]="EVAP KIT UNIVERSAL",Query1[[#This Row],[OrderQty]]+J3433,J3433)</f>
        <v>1479</v>
      </c>
      <c r="K3434" s="1">
        <f>Query1[[#This Row],[SF Running Total]]+Query1[[#This Row],[UNIV Running Total]]</f>
        <v>5757</v>
      </c>
      <c r="L3434">
        <f>VLOOKUP(Query1[[#This Row],[Description]],'kits to boards'!$B$2:$E$156,2,FALSE)</f>
        <v>830099</v>
      </c>
      <c r="M3434">
        <f>VLOOKUP(Query1[[#This Row],[Description]],'kits to boards'!$B$2:$E$156,3,FALSE)</f>
        <v>0</v>
      </c>
      <c r="N3434">
        <f>VLOOKUP(Query1[[#This Row],[Description]],'kits to boards'!$B$2:$E$156,4,FALSE)</f>
        <v>0</v>
      </c>
      <c r="O3434" t="str">
        <f>CONCATENATE(Query1[[#This Row],[Description]]," - ",Query1[[#This Row],[MB1]]," - ",Query1[[#This Row],[MB2]]," - ",Query1[[#This Row],[MB3]])</f>
        <v>MINI GEN II W/DEF - 830099 - 0 - 0</v>
      </c>
    </row>
    <row r="3435" spans="1:15" x14ac:dyDescent="0.25">
      <c r="A3435" s="1">
        <v>918392</v>
      </c>
      <c r="B3435" s="1" t="s">
        <v>84</v>
      </c>
      <c r="C3435" s="1" t="s">
        <v>85</v>
      </c>
      <c r="D3435" s="2">
        <v>44657.300161342595</v>
      </c>
      <c r="E3435" s="1" t="s">
        <v>8</v>
      </c>
      <c r="F3435" s="1">
        <v>1</v>
      </c>
      <c r="G3435" s="1">
        <v>0</v>
      </c>
      <c r="H3435" s="6">
        <f>INT(Query1[[#This Row],[EntryDateTime]])</f>
        <v>44657</v>
      </c>
      <c r="I3435" s="1">
        <f>IF(Query1[[#This Row],[ItemType]]="EVAP KIT SF GEN IV",Query1[[#This Row],[OrderQty]]+I3434,I3434)</f>
        <v>4279</v>
      </c>
      <c r="J3435" s="1">
        <f>IF(Query1[[#This Row],[ItemType]]="EVAP KIT UNIVERSAL",Query1[[#This Row],[OrderQty]]+J3434,J3434)</f>
        <v>1479</v>
      </c>
      <c r="K3435" s="1">
        <f>Query1[[#This Row],[SF Running Total]]+Query1[[#This Row],[UNIV Running Total]]</f>
        <v>5758</v>
      </c>
      <c r="L3435">
        <f>VLOOKUP(Query1[[#This Row],[Description]],'kits to boards'!$B$2:$E$156,2,FALSE)</f>
        <v>830085</v>
      </c>
      <c r="M3435">
        <f>VLOOKUP(Query1[[#This Row],[Description]],'kits to boards'!$B$2:$E$156,3,FALSE)</f>
        <v>0</v>
      </c>
      <c r="N3435">
        <f>VLOOKUP(Query1[[#This Row],[Description]],'kits to boards'!$B$2:$E$156,4,FALSE)</f>
        <v>0</v>
      </c>
      <c r="O3435" t="str">
        <f>CONCATENATE(Query1[[#This Row],[Description]]," - ",Query1[[#This Row],[MB1]]," - ",Query1[[#This Row],[MB2]]," - ",Query1[[#This Row],[MB3]])</f>
        <v>EVAP KIT 66-77 BRONCO 4-VENT PLENUM - 830085 - 0 - 0</v>
      </c>
    </row>
    <row r="3436" spans="1:15" x14ac:dyDescent="0.25">
      <c r="A3436" s="1">
        <v>918392</v>
      </c>
      <c r="B3436" s="1" t="s">
        <v>96</v>
      </c>
      <c r="C3436" s="1" t="s">
        <v>97</v>
      </c>
      <c r="D3436" s="2">
        <v>44657.300163194443</v>
      </c>
      <c r="E3436" s="1" t="s">
        <v>8</v>
      </c>
      <c r="F3436" s="1">
        <v>5</v>
      </c>
      <c r="G3436" s="1">
        <v>0</v>
      </c>
      <c r="H3436" s="6">
        <f>INT(Query1[[#This Row],[EntryDateTime]])</f>
        <v>44657</v>
      </c>
      <c r="I3436" s="1">
        <f>IF(Query1[[#This Row],[ItemType]]="EVAP KIT SF GEN IV",Query1[[#This Row],[OrderQty]]+I3435,I3435)</f>
        <v>4284</v>
      </c>
      <c r="J3436" s="1">
        <f>IF(Query1[[#This Row],[ItemType]]="EVAP KIT UNIVERSAL",Query1[[#This Row],[OrderQty]]+J3435,J3435)</f>
        <v>1479</v>
      </c>
      <c r="K3436" s="1">
        <f>Query1[[#This Row],[SF Running Total]]+Query1[[#This Row],[UNIV Running Total]]</f>
        <v>5763</v>
      </c>
      <c r="L3436">
        <f>VLOOKUP(Query1[[#This Row],[Description]],'kits to boards'!$B$2:$E$156,2,FALSE)</f>
        <v>830004</v>
      </c>
      <c r="M3436">
        <f>VLOOKUP(Query1[[#This Row],[Description]],'kits to boards'!$B$2:$E$156,3,FALSE)</f>
        <v>0</v>
      </c>
      <c r="N3436">
        <f>VLOOKUP(Query1[[#This Row],[Description]],'kits to boards'!$B$2:$E$156,4,FALSE)</f>
        <v>0</v>
      </c>
      <c r="O3436" t="str">
        <f>CONCATENATE(Query1[[#This Row],[Description]]," - ",Query1[[#This Row],[MB1]]," - ",Query1[[#This Row],[MB2]]," - ",Query1[[#This Row],[MB3]])</f>
        <v>EVAP KIT 81-87 CHEV P-UP W/AC - 830004 - 0 - 0</v>
      </c>
    </row>
    <row r="3437" spans="1:15" x14ac:dyDescent="0.25">
      <c r="A3437" s="1">
        <v>918392</v>
      </c>
      <c r="B3437" s="1" t="s">
        <v>92</v>
      </c>
      <c r="C3437" s="1" t="s">
        <v>93</v>
      </c>
      <c r="D3437" s="2">
        <v>44657.300165312503</v>
      </c>
      <c r="E3437" s="1" t="s">
        <v>8</v>
      </c>
      <c r="F3437" s="1">
        <v>1</v>
      </c>
      <c r="G3437" s="1">
        <v>0</v>
      </c>
      <c r="H3437" s="6">
        <f>INT(Query1[[#This Row],[EntryDateTime]])</f>
        <v>44657</v>
      </c>
      <c r="I3437" s="1">
        <f>IF(Query1[[#This Row],[ItemType]]="EVAP KIT SF GEN IV",Query1[[#This Row],[OrderQty]]+I3436,I3436)</f>
        <v>4285</v>
      </c>
      <c r="J3437" s="1">
        <f>IF(Query1[[#This Row],[ItemType]]="EVAP KIT UNIVERSAL",Query1[[#This Row],[OrderQty]]+J3436,J3436)</f>
        <v>1479</v>
      </c>
      <c r="K3437" s="1">
        <f>Query1[[#This Row],[SF Running Total]]+Query1[[#This Row],[UNIV Running Total]]</f>
        <v>5764</v>
      </c>
      <c r="L3437">
        <f>VLOOKUP(Query1[[#This Row],[Description]],'kits to boards'!$B$2:$E$156,2,FALSE)</f>
        <v>830063</v>
      </c>
      <c r="M3437">
        <f>VLOOKUP(Query1[[#This Row],[Description]],'kits to boards'!$B$2:$E$156,3,FALSE)</f>
        <v>0</v>
      </c>
      <c r="N3437">
        <f>VLOOKUP(Query1[[#This Row],[Description]],'kits to boards'!$B$2:$E$156,4,FALSE)</f>
        <v>0</v>
      </c>
      <c r="O3437" t="str">
        <f>CONCATENATE(Query1[[#This Row],[Description]]," - ",Query1[[#This Row],[MB1]]," - ",Query1[[#This Row],[MB2]]," - ",Query1[[#This Row],[MB3]])</f>
        <v>EVAP KIT 50-53 CHEV P-UP GEN IV - 830063 - 0 - 0</v>
      </c>
    </row>
    <row r="3438" spans="1:15" x14ac:dyDescent="0.25">
      <c r="A3438" s="1">
        <v>918395</v>
      </c>
      <c r="B3438" s="1" t="s">
        <v>52</v>
      </c>
      <c r="C3438" s="1" t="s">
        <v>53</v>
      </c>
      <c r="D3438" s="2">
        <v>44657.31583579861</v>
      </c>
      <c r="E3438" s="1" t="s">
        <v>8</v>
      </c>
      <c r="F3438" s="1">
        <v>1</v>
      </c>
      <c r="G3438" s="1">
        <v>0</v>
      </c>
      <c r="H3438" s="6">
        <f>INT(Query1[[#This Row],[EntryDateTime]])</f>
        <v>44657</v>
      </c>
      <c r="I3438" s="1">
        <f>IF(Query1[[#This Row],[ItemType]]="EVAP KIT SF GEN IV",Query1[[#This Row],[OrderQty]]+I3437,I3437)</f>
        <v>4286</v>
      </c>
      <c r="J3438" s="1">
        <f>IF(Query1[[#This Row],[ItemType]]="EVAP KIT UNIVERSAL",Query1[[#This Row],[OrderQty]]+J3437,J3437)</f>
        <v>1479</v>
      </c>
      <c r="K3438" s="1">
        <f>Query1[[#This Row],[SF Running Total]]+Query1[[#This Row],[UNIV Running Total]]</f>
        <v>5765</v>
      </c>
      <c r="L3438">
        <f>VLOOKUP(Query1[[#This Row],[Description]],'kits to boards'!$B$2:$E$156,2,FALSE)</f>
        <v>830017</v>
      </c>
      <c r="M3438">
        <f>VLOOKUP(Query1[[#This Row],[Description]],'kits to boards'!$B$2:$E$156,3,FALSE)</f>
        <v>830119</v>
      </c>
      <c r="N3438">
        <f>VLOOKUP(Query1[[#This Row],[Description]],'kits to boards'!$B$2:$E$156,4,FALSE)</f>
        <v>830120</v>
      </c>
      <c r="O3438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439" spans="1:15" x14ac:dyDescent="0.25">
      <c r="A3439" s="1">
        <v>918029</v>
      </c>
      <c r="B3439" s="1" t="s">
        <v>52</v>
      </c>
      <c r="C3439" s="1" t="s">
        <v>53</v>
      </c>
      <c r="D3439" s="2">
        <v>44657.320897025464</v>
      </c>
      <c r="E3439" s="1" t="s">
        <v>8</v>
      </c>
      <c r="F3439" s="1">
        <v>1</v>
      </c>
      <c r="G3439" s="1">
        <v>0</v>
      </c>
      <c r="H3439" s="6">
        <f>INT(Query1[[#This Row],[EntryDateTime]])</f>
        <v>44657</v>
      </c>
      <c r="I3439" s="1">
        <f>IF(Query1[[#This Row],[ItemType]]="EVAP KIT SF GEN IV",Query1[[#This Row],[OrderQty]]+I3438,I3438)</f>
        <v>4287</v>
      </c>
      <c r="J3439" s="1">
        <f>IF(Query1[[#This Row],[ItemType]]="EVAP KIT UNIVERSAL",Query1[[#This Row],[OrderQty]]+J3438,J3438)</f>
        <v>1479</v>
      </c>
      <c r="K3439" s="1">
        <f>Query1[[#This Row],[SF Running Total]]+Query1[[#This Row],[UNIV Running Total]]</f>
        <v>5766</v>
      </c>
      <c r="L3439">
        <f>VLOOKUP(Query1[[#This Row],[Description]],'kits to boards'!$B$2:$E$156,2,FALSE)</f>
        <v>830017</v>
      </c>
      <c r="M3439">
        <f>VLOOKUP(Query1[[#This Row],[Description]],'kits to boards'!$B$2:$E$156,3,FALSE)</f>
        <v>830119</v>
      </c>
      <c r="N3439">
        <f>VLOOKUP(Query1[[#This Row],[Description]],'kits to boards'!$B$2:$E$156,4,FALSE)</f>
        <v>830120</v>
      </c>
      <c r="O3439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440" spans="1:15" x14ac:dyDescent="0.25">
      <c r="A3440" s="1">
        <v>918401</v>
      </c>
      <c r="B3440" s="1" t="s">
        <v>22</v>
      </c>
      <c r="C3440" s="1" t="s">
        <v>23</v>
      </c>
      <c r="D3440" s="2">
        <v>44657.322707488427</v>
      </c>
      <c r="E3440" s="1" t="s">
        <v>8</v>
      </c>
      <c r="F3440" s="1">
        <v>2</v>
      </c>
      <c r="G3440" s="1">
        <v>0</v>
      </c>
      <c r="H3440" s="6">
        <f>INT(Query1[[#This Row],[EntryDateTime]])</f>
        <v>44657</v>
      </c>
      <c r="I3440" s="1">
        <f>IF(Query1[[#This Row],[ItemType]]="EVAP KIT SF GEN IV",Query1[[#This Row],[OrderQty]]+I3439,I3439)</f>
        <v>4289</v>
      </c>
      <c r="J3440" s="1">
        <f>IF(Query1[[#This Row],[ItemType]]="EVAP KIT UNIVERSAL",Query1[[#This Row],[OrderQty]]+J3439,J3439)</f>
        <v>1479</v>
      </c>
      <c r="K3440" s="1">
        <f>Query1[[#This Row],[SF Running Total]]+Query1[[#This Row],[UNIV Running Total]]</f>
        <v>5768</v>
      </c>
      <c r="L3440">
        <f>VLOOKUP(Query1[[#This Row],[Description]],'kits to boards'!$B$2:$E$156,2,FALSE)</f>
        <v>830083</v>
      </c>
      <c r="M3440">
        <f>VLOOKUP(Query1[[#This Row],[Description]],'kits to boards'!$B$2:$E$156,3,FALSE)</f>
        <v>0</v>
      </c>
      <c r="N3440">
        <f>VLOOKUP(Query1[[#This Row],[Description]],'kits to boards'!$B$2:$E$156,4,FALSE)</f>
        <v>0</v>
      </c>
      <c r="O3440" t="str">
        <f>CONCATENATE(Query1[[#This Row],[Description]]," - ",Query1[[#This Row],[MB1]]," - ",Query1[[#This Row],[MB2]]," - ",Query1[[#This Row],[MB3]])</f>
        <v>GEN IV MAGNUM EVAP KIT - 830083 - 0 - 0</v>
      </c>
    </row>
    <row r="3441" spans="1:15" x14ac:dyDescent="0.25">
      <c r="A3441" s="1">
        <v>918404</v>
      </c>
      <c r="B3441" s="1" t="s">
        <v>38</v>
      </c>
      <c r="C3441" s="1" t="s">
        <v>39</v>
      </c>
      <c r="D3441" s="2">
        <v>44657.326573645834</v>
      </c>
      <c r="E3441" s="1" t="s">
        <v>8</v>
      </c>
      <c r="F3441" s="1">
        <v>1</v>
      </c>
      <c r="G3441" s="1">
        <v>0</v>
      </c>
      <c r="H3441" s="6">
        <f>INT(Query1[[#This Row],[EntryDateTime]])</f>
        <v>44657</v>
      </c>
      <c r="I3441" s="1">
        <f>IF(Query1[[#This Row],[ItemType]]="EVAP KIT SF GEN IV",Query1[[#This Row],[OrderQty]]+I3440,I3440)</f>
        <v>4290</v>
      </c>
      <c r="J3441" s="1">
        <f>IF(Query1[[#This Row],[ItemType]]="EVAP KIT UNIVERSAL",Query1[[#This Row],[OrderQty]]+J3440,J3440)</f>
        <v>1479</v>
      </c>
      <c r="K3441" s="1">
        <f>Query1[[#This Row],[SF Running Total]]+Query1[[#This Row],[UNIV Running Total]]</f>
        <v>5769</v>
      </c>
      <c r="L3441">
        <f>VLOOKUP(Query1[[#This Row],[Description]],'kits to boards'!$B$2:$E$156,2,FALSE)</f>
        <v>830012</v>
      </c>
      <c r="M3441">
        <f>VLOOKUP(Query1[[#This Row],[Description]],'kits to boards'!$B$2:$E$156,3,FALSE)</f>
        <v>0</v>
      </c>
      <c r="N3441">
        <f>VLOOKUP(Query1[[#This Row],[Description]],'kits to boards'!$B$2:$E$156,4,FALSE)</f>
        <v>0</v>
      </c>
      <c r="O3441" t="str">
        <f>CONCATENATE(Query1[[#This Row],[Description]]," - ",Query1[[#This Row],[MB1]]," - ",Query1[[#This Row],[MB2]]," - ",Query1[[#This Row],[MB3]])</f>
        <v>EVAP KIT 69 CAMARO W/AC - 830012 - 0 - 0</v>
      </c>
    </row>
    <row r="3442" spans="1:15" x14ac:dyDescent="0.25">
      <c r="A3442" s="1">
        <v>918412</v>
      </c>
      <c r="B3442" s="1" t="s">
        <v>96</v>
      </c>
      <c r="C3442" s="1" t="s">
        <v>97</v>
      </c>
      <c r="D3442" s="2">
        <v>44657.332174189818</v>
      </c>
      <c r="E3442" s="1" t="s">
        <v>8</v>
      </c>
      <c r="F3442" s="1">
        <v>1</v>
      </c>
      <c r="G3442" s="1">
        <v>0</v>
      </c>
      <c r="H3442" s="6">
        <f>INT(Query1[[#This Row],[EntryDateTime]])</f>
        <v>44657</v>
      </c>
      <c r="I3442" s="1">
        <f>IF(Query1[[#This Row],[ItemType]]="EVAP KIT SF GEN IV",Query1[[#This Row],[OrderQty]]+I3441,I3441)</f>
        <v>4291</v>
      </c>
      <c r="J3442" s="1">
        <f>IF(Query1[[#This Row],[ItemType]]="EVAP KIT UNIVERSAL",Query1[[#This Row],[OrderQty]]+J3441,J3441)</f>
        <v>1479</v>
      </c>
      <c r="K3442" s="1">
        <f>Query1[[#This Row],[SF Running Total]]+Query1[[#This Row],[UNIV Running Total]]</f>
        <v>5770</v>
      </c>
      <c r="L3442">
        <f>VLOOKUP(Query1[[#This Row],[Description]],'kits to boards'!$B$2:$E$156,2,FALSE)</f>
        <v>830004</v>
      </c>
      <c r="M3442">
        <f>VLOOKUP(Query1[[#This Row],[Description]],'kits to boards'!$B$2:$E$156,3,FALSE)</f>
        <v>0</v>
      </c>
      <c r="N3442">
        <f>VLOOKUP(Query1[[#This Row],[Description]],'kits to boards'!$B$2:$E$156,4,FALSE)</f>
        <v>0</v>
      </c>
      <c r="O3442" t="str">
        <f>CONCATENATE(Query1[[#This Row],[Description]]," - ",Query1[[#This Row],[MB1]]," - ",Query1[[#This Row],[MB2]]," - ",Query1[[#This Row],[MB3]])</f>
        <v>EVAP KIT 81-87 CHEV P-UP W/AC - 830004 - 0 - 0</v>
      </c>
    </row>
    <row r="3443" spans="1:15" x14ac:dyDescent="0.25">
      <c r="A3443" s="1">
        <v>918411</v>
      </c>
      <c r="B3443" s="1" t="s">
        <v>186</v>
      </c>
      <c r="C3443" s="1" t="s">
        <v>187</v>
      </c>
      <c r="D3443" s="2">
        <v>44657.33221296296</v>
      </c>
      <c r="E3443" s="1" t="s">
        <v>8</v>
      </c>
      <c r="F3443" s="1">
        <v>1</v>
      </c>
      <c r="G3443" s="1">
        <v>0</v>
      </c>
      <c r="H3443" s="6">
        <f>INT(Query1[[#This Row],[EntryDateTime]])</f>
        <v>44657</v>
      </c>
      <c r="I3443" s="1">
        <f>IF(Query1[[#This Row],[ItemType]]="EVAP KIT SF GEN IV",Query1[[#This Row],[OrderQty]]+I3442,I3442)</f>
        <v>4292</v>
      </c>
      <c r="J3443" s="1">
        <f>IF(Query1[[#This Row],[ItemType]]="EVAP KIT UNIVERSAL",Query1[[#This Row],[OrderQty]]+J3442,J3442)</f>
        <v>1479</v>
      </c>
      <c r="K3443" s="1">
        <f>Query1[[#This Row],[SF Running Total]]+Query1[[#This Row],[UNIV Running Total]]</f>
        <v>5771</v>
      </c>
      <c r="L3443">
        <f>VLOOKUP(Query1[[#This Row],[Description]],'kits to boards'!$B$2:$E$156,2,FALSE)</f>
        <v>830125</v>
      </c>
      <c r="M3443">
        <f>VLOOKUP(Query1[[#This Row],[Description]],'kits to boards'!$B$2:$E$156,3,FALSE)</f>
        <v>830126</v>
      </c>
      <c r="N3443">
        <f>VLOOKUP(Query1[[#This Row],[Description]],'kits to boards'!$B$2:$E$156,4,FALSE)</f>
        <v>0</v>
      </c>
      <c r="O3443" t="str">
        <f>CONCATENATE(Query1[[#This Row],[Description]]," - ",Query1[[#This Row],[MB1]]," - ",Query1[[#This Row],[MB2]]," - ",Query1[[#This Row],[MB3]])</f>
        <v>EVAP KIT 65-66 IMPALA WO/AC - 830125 - 830126 - 0</v>
      </c>
    </row>
    <row r="3444" spans="1:15" x14ac:dyDescent="0.25">
      <c r="A3444" s="1">
        <v>918414</v>
      </c>
      <c r="B3444" s="1" t="s">
        <v>92</v>
      </c>
      <c r="C3444" s="1" t="s">
        <v>93</v>
      </c>
      <c r="D3444" s="2">
        <v>44657.334658946762</v>
      </c>
      <c r="E3444" s="1" t="s">
        <v>8</v>
      </c>
      <c r="F3444" s="1">
        <v>1</v>
      </c>
      <c r="G3444" s="1">
        <v>0</v>
      </c>
      <c r="H3444" s="6">
        <f>INT(Query1[[#This Row],[EntryDateTime]])</f>
        <v>44657</v>
      </c>
      <c r="I3444" s="1">
        <f>IF(Query1[[#This Row],[ItemType]]="EVAP KIT SF GEN IV",Query1[[#This Row],[OrderQty]]+I3443,I3443)</f>
        <v>4293</v>
      </c>
      <c r="J3444" s="1">
        <f>IF(Query1[[#This Row],[ItemType]]="EVAP KIT UNIVERSAL",Query1[[#This Row],[OrderQty]]+J3443,J3443)</f>
        <v>1479</v>
      </c>
      <c r="K3444" s="1">
        <f>Query1[[#This Row],[SF Running Total]]+Query1[[#This Row],[UNIV Running Total]]</f>
        <v>5772</v>
      </c>
      <c r="L3444">
        <f>VLOOKUP(Query1[[#This Row],[Description]],'kits to boards'!$B$2:$E$156,2,FALSE)</f>
        <v>830063</v>
      </c>
      <c r="M3444">
        <f>VLOOKUP(Query1[[#This Row],[Description]],'kits to boards'!$B$2:$E$156,3,FALSE)</f>
        <v>0</v>
      </c>
      <c r="N3444">
        <f>VLOOKUP(Query1[[#This Row],[Description]],'kits to boards'!$B$2:$E$156,4,FALSE)</f>
        <v>0</v>
      </c>
      <c r="O3444" t="str">
        <f>CONCATENATE(Query1[[#This Row],[Description]]," - ",Query1[[#This Row],[MB1]]," - ",Query1[[#This Row],[MB2]]," - ",Query1[[#This Row],[MB3]])</f>
        <v>EVAP KIT 50-53 CHEV P-UP GEN IV - 830063 - 0 - 0</v>
      </c>
    </row>
    <row r="3445" spans="1:15" x14ac:dyDescent="0.25">
      <c r="A3445" s="1">
        <v>918415</v>
      </c>
      <c r="B3445" s="1" t="s">
        <v>152</v>
      </c>
      <c r="C3445" s="1" t="s">
        <v>153</v>
      </c>
      <c r="D3445" s="2">
        <v>44657.336893321757</v>
      </c>
      <c r="E3445" s="1" t="s">
        <v>8</v>
      </c>
      <c r="F3445" s="1">
        <v>1</v>
      </c>
      <c r="G3445" s="1">
        <v>0</v>
      </c>
      <c r="H3445" s="6">
        <f>INT(Query1[[#This Row],[EntryDateTime]])</f>
        <v>44657</v>
      </c>
      <c r="I3445" s="1">
        <f>IF(Query1[[#This Row],[ItemType]]="EVAP KIT SF GEN IV",Query1[[#This Row],[OrderQty]]+I3444,I3444)</f>
        <v>4294</v>
      </c>
      <c r="J3445" s="1">
        <f>IF(Query1[[#This Row],[ItemType]]="EVAP KIT UNIVERSAL",Query1[[#This Row],[OrderQty]]+J3444,J3444)</f>
        <v>1479</v>
      </c>
      <c r="K3445" s="1">
        <f>Query1[[#This Row],[SF Running Total]]+Query1[[#This Row],[UNIV Running Total]]</f>
        <v>5773</v>
      </c>
      <c r="L3445">
        <f>VLOOKUP(Query1[[#This Row],[Description]],'kits to boards'!$B$2:$E$156,2,FALSE)</f>
        <v>830034</v>
      </c>
      <c r="M3445">
        <f>VLOOKUP(Query1[[#This Row],[Description]],'kits to boards'!$B$2:$E$156,3,FALSE)</f>
        <v>0</v>
      </c>
      <c r="N3445">
        <f>VLOOKUP(Query1[[#This Row],[Description]],'kits to boards'!$B$2:$E$156,4,FALSE)</f>
        <v>0</v>
      </c>
      <c r="O3445" t="str">
        <f>CONCATENATE(Query1[[#This Row],[Description]]," - ",Query1[[#This Row],[MB1]]," - ",Query1[[#This Row],[MB2]]," - ",Query1[[#This Row],[MB3]])</f>
        <v>EVAP KIT 64-67 GTO WO AC - 830034 - 0 - 0</v>
      </c>
    </row>
    <row r="3446" spans="1:15" x14ac:dyDescent="0.25">
      <c r="A3446" s="1">
        <v>918417</v>
      </c>
      <c r="B3446" s="1" t="s">
        <v>62</v>
      </c>
      <c r="C3446" s="1" t="s">
        <v>63</v>
      </c>
      <c r="D3446" s="2">
        <v>44657.339300844906</v>
      </c>
      <c r="E3446" s="1" t="s">
        <v>8</v>
      </c>
      <c r="F3446" s="1">
        <v>1</v>
      </c>
      <c r="G3446" s="1">
        <v>0</v>
      </c>
      <c r="H3446" s="6">
        <f>INT(Query1[[#This Row],[EntryDateTime]])</f>
        <v>44657</v>
      </c>
      <c r="I3446" s="1">
        <f>IF(Query1[[#This Row],[ItemType]]="EVAP KIT SF GEN IV",Query1[[#This Row],[OrderQty]]+I3445,I3445)</f>
        <v>4295</v>
      </c>
      <c r="J3446" s="1">
        <f>IF(Query1[[#This Row],[ItemType]]="EVAP KIT UNIVERSAL",Query1[[#This Row],[OrderQty]]+J3445,J3445)</f>
        <v>1479</v>
      </c>
      <c r="K3446" s="1">
        <f>Query1[[#This Row],[SF Running Total]]+Query1[[#This Row],[UNIV Running Total]]</f>
        <v>5774</v>
      </c>
      <c r="L3446">
        <f>VLOOKUP(Query1[[#This Row],[Description]],'kits to boards'!$B$2:$E$156,2,FALSE)</f>
        <v>830079</v>
      </c>
      <c r="M3446">
        <f>VLOOKUP(Query1[[#This Row],[Description]],'kits to boards'!$B$2:$E$156,3,FALSE)</f>
        <v>830046</v>
      </c>
      <c r="N3446">
        <f>VLOOKUP(Query1[[#This Row],[Description]],'kits to boards'!$B$2:$E$156,4,FALSE)</f>
        <v>0</v>
      </c>
      <c r="O3446" t="str">
        <f>CONCATENATE(Query1[[#This Row],[Description]]," - ",Query1[[#This Row],[MB1]]," - ",Query1[[#This Row],[MB2]]," - ",Query1[[#This Row],[MB3]])</f>
        <v>EVAP KIT 67-68 MUSTANG/COUGAR WO AC - 830079 - 830046 - 0</v>
      </c>
    </row>
    <row r="3447" spans="1:15" x14ac:dyDescent="0.25">
      <c r="A3447" s="1">
        <v>918431</v>
      </c>
      <c r="B3447" s="1" t="s">
        <v>64</v>
      </c>
      <c r="C3447" s="1" t="s">
        <v>65</v>
      </c>
      <c r="D3447" s="2">
        <v>44657.366650000004</v>
      </c>
      <c r="E3447" s="1" t="s">
        <v>8</v>
      </c>
      <c r="F3447" s="1">
        <v>1</v>
      </c>
      <c r="G3447" s="1">
        <v>0</v>
      </c>
      <c r="H3447" s="6">
        <f>INT(Query1[[#This Row],[EntryDateTime]])</f>
        <v>44657</v>
      </c>
      <c r="I3447" s="1">
        <f>IF(Query1[[#This Row],[ItemType]]="EVAP KIT SF GEN IV",Query1[[#This Row],[OrderQty]]+I3446,I3446)</f>
        <v>4296</v>
      </c>
      <c r="J3447" s="1">
        <f>IF(Query1[[#This Row],[ItemType]]="EVAP KIT UNIVERSAL",Query1[[#This Row],[OrderQty]]+J3446,J3446)</f>
        <v>1479</v>
      </c>
      <c r="K3447" s="1">
        <f>Query1[[#This Row],[SF Running Total]]+Query1[[#This Row],[UNIV Running Total]]</f>
        <v>5775</v>
      </c>
      <c r="L3447">
        <f>VLOOKUP(Query1[[#This Row],[Description]],'kits to boards'!$B$2:$E$156,2,FALSE)</f>
        <v>830067</v>
      </c>
      <c r="M3447">
        <f>VLOOKUP(Query1[[#This Row],[Description]],'kits to boards'!$B$2:$E$156,3,FALSE)</f>
        <v>0</v>
      </c>
      <c r="N3447">
        <f>VLOOKUP(Query1[[#This Row],[Description]],'kits to boards'!$B$2:$E$156,4,FALSE)</f>
        <v>0</v>
      </c>
      <c r="O3447" t="str">
        <f>CONCATENATE(Query1[[#This Row],[Description]]," - ",Query1[[#This Row],[MB1]]," - ",Query1[[#This Row],[MB2]]," - ",Query1[[#This Row],[MB3]])</f>
        <v>EVAP KIT 59-60 CHEV CAR 4-LEVER - 830067 - 0 - 0</v>
      </c>
    </row>
    <row r="3448" spans="1:15" x14ac:dyDescent="0.25">
      <c r="A3448" s="1">
        <v>918190</v>
      </c>
      <c r="B3448" s="1" t="s">
        <v>34</v>
      </c>
      <c r="C3448" s="1" t="s">
        <v>35</v>
      </c>
      <c r="D3448" s="2">
        <v>44657.370153124997</v>
      </c>
      <c r="E3448" s="1" t="s">
        <v>8</v>
      </c>
      <c r="F3448" s="1">
        <v>1</v>
      </c>
      <c r="G3448" s="1">
        <v>0</v>
      </c>
      <c r="H3448" s="6">
        <f>INT(Query1[[#This Row],[EntryDateTime]])</f>
        <v>44657</v>
      </c>
      <c r="I3448" s="1">
        <f>IF(Query1[[#This Row],[ItemType]]="EVAP KIT SF GEN IV",Query1[[#This Row],[OrderQty]]+I3447,I3447)</f>
        <v>4297</v>
      </c>
      <c r="J3448" s="1">
        <f>IF(Query1[[#This Row],[ItemType]]="EVAP KIT UNIVERSAL",Query1[[#This Row],[OrderQty]]+J3447,J3447)</f>
        <v>1479</v>
      </c>
      <c r="K3448" s="1">
        <f>Query1[[#This Row],[SF Running Total]]+Query1[[#This Row],[UNIV Running Total]]</f>
        <v>5776</v>
      </c>
      <c r="L3448">
        <f>VLOOKUP(Query1[[#This Row],[Description]],'kits to boards'!$B$2:$E$156,2,FALSE)</f>
        <v>830065</v>
      </c>
      <c r="M3448">
        <f>VLOOKUP(Query1[[#This Row],[Description]],'kits to boards'!$B$2:$E$156,3,FALSE)</f>
        <v>0</v>
      </c>
      <c r="N3448">
        <f>VLOOKUP(Query1[[#This Row],[Description]],'kits to boards'!$B$2:$E$156,4,FALSE)</f>
        <v>0</v>
      </c>
      <c r="O3448" t="str">
        <f>CONCATENATE(Query1[[#This Row],[Description]]," - ",Query1[[#This Row],[MB1]]," - ",Query1[[#This Row],[MB2]]," - ",Query1[[#This Row],[MB3]])</f>
        <v>EVAP KIT 57 CHEV WO AC - 830065 - 0 - 0</v>
      </c>
    </row>
    <row r="3449" spans="1:15" x14ac:dyDescent="0.25">
      <c r="A3449" s="1">
        <v>918151</v>
      </c>
      <c r="B3449" s="1" t="s">
        <v>244</v>
      </c>
      <c r="C3449" s="1" t="s">
        <v>245</v>
      </c>
      <c r="D3449" s="2">
        <v>44657.373312268515</v>
      </c>
      <c r="E3449" s="1" t="s">
        <v>8</v>
      </c>
      <c r="F3449" s="1">
        <v>1</v>
      </c>
      <c r="G3449" s="1">
        <v>0</v>
      </c>
      <c r="H3449" s="6">
        <f>INT(Query1[[#This Row],[EntryDateTime]])</f>
        <v>44657</v>
      </c>
      <c r="I3449" s="1">
        <f>IF(Query1[[#This Row],[ItemType]]="EVAP KIT SF GEN IV",Query1[[#This Row],[OrderQty]]+I3448,I3448)</f>
        <v>4298</v>
      </c>
      <c r="J3449" s="1">
        <f>IF(Query1[[#This Row],[ItemType]]="EVAP KIT UNIVERSAL",Query1[[#This Row],[OrderQty]]+J3448,J3448)</f>
        <v>1479</v>
      </c>
      <c r="K3449" s="1">
        <f>Query1[[#This Row],[SF Running Total]]+Query1[[#This Row],[UNIV Running Total]]</f>
        <v>5777</v>
      </c>
      <c r="L3449">
        <f>VLOOKUP(Query1[[#This Row],[Description]],'kits to boards'!$B$2:$E$156,2,FALSE)</f>
        <v>830100</v>
      </c>
      <c r="M3449">
        <f>VLOOKUP(Query1[[#This Row],[Description]],'kits to boards'!$B$2:$E$156,3,FALSE)</f>
        <v>0</v>
      </c>
      <c r="N3449">
        <f>VLOOKUP(Query1[[#This Row],[Description]],'kits to boards'!$B$2:$E$156,4,FALSE)</f>
        <v>0</v>
      </c>
      <c r="O3449" t="str">
        <f>CONCATENATE(Query1[[#This Row],[Description]]," - ",Query1[[#This Row],[MB1]]," - ",Query1[[#This Row],[MB2]]," - ",Query1[[#This Row],[MB3]])</f>
        <v>EVAP KIT 68-76 VETTE WO AC - 830100 - 0 - 0</v>
      </c>
    </row>
    <row r="3450" spans="1:15" x14ac:dyDescent="0.25">
      <c r="A3450" s="1">
        <v>918435</v>
      </c>
      <c r="B3450" s="1" t="s">
        <v>102</v>
      </c>
      <c r="C3450" s="1" t="s">
        <v>103</v>
      </c>
      <c r="D3450" s="2">
        <v>44657.379001423615</v>
      </c>
      <c r="E3450" s="1" t="s">
        <v>8</v>
      </c>
      <c r="F3450" s="1">
        <v>1</v>
      </c>
      <c r="G3450" s="1">
        <v>0</v>
      </c>
      <c r="H3450" s="6">
        <f>INT(Query1[[#This Row],[EntryDateTime]])</f>
        <v>44657</v>
      </c>
      <c r="I3450" s="1">
        <f>IF(Query1[[#This Row],[ItemType]]="EVAP KIT SF GEN IV",Query1[[#This Row],[OrderQty]]+I3449,I3449)</f>
        <v>4299</v>
      </c>
      <c r="J3450" s="1">
        <f>IF(Query1[[#This Row],[ItemType]]="EVAP KIT UNIVERSAL",Query1[[#This Row],[OrderQty]]+J3449,J3449)</f>
        <v>1479</v>
      </c>
      <c r="K3450" s="1">
        <f>Query1[[#This Row],[SF Running Total]]+Query1[[#This Row],[UNIV Running Total]]</f>
        <v>5778</v>
      </c>
      <c r="L3450">
        <f>VLOOKUP(Query1[[#This Row],[Description]],'kits to boards'!$B$2:$E$156,2,FALSE)</f>
        <v>830012</v>
      </c>
      <c r="M3450">
        <f>VLOOKUP(Query1[[#This Row],[Description]],'kits to boards'!$B$2:$E$156,3,FALSE)</f>
        <v>0</v>
      </c>
      <c r="N3450">
        <f>VLOOKUP(Query1[[#This Row],[Description]],'kits to boards'!$B$2:$E$156,4,FALSE)</f>
        <v>0</v>
      </c>
      <c r="O3450" t="str">
        <f>CONCATENATE(Query1[[#This Row],[Description]]," - ",Query1[[#This Row],[MB1]]," - ",Query1[[#This Row],[MB2]]," - ",Query1[[#This Row],[MB3]])</f>
        <v>EVAP KIT 69 CAMARO WO/AC - 830012 - 0 - 0</v>
      </c>
    </row>
    <row r="3451" spans="1:15" x14ac:dyDescent="0.25">
      <c r="A3451" s="1">
        <v>918433</v>
      </c>
      <c r="B3451" s="1" t="s">
        <v>102</v>
      </c>
      <c r="C3451" s="1" t="s">
        <v>103</v>
      </c>
      <c r="D3451" s="2">
        <v>44657.382586307867</v>
      </c>
      <c r="E3451" s="1" t="s">
        <v>8</v>
      </c>
      <c r="F3451" s="1">
        <v>1</v>
      </c>
      <c r="G3451" s="1">
        <v>0</v>
      </c>
      <c r="H3451" s="6">
        <f>INT(Query1[[#This Row],[EntryDateTime]])</f>
        <v>44657</v>
      </c>
      <c r="I3451" s="1">
        <f>IF(Query1[[#This Row],[ItemType]]="EVAP KIT SF GEN IV",Query1[[#This Row],[OrderQty]]+I3450,I3450)</f>
        <v>4300</v>
      </c>
      <c r="J3451" s="1">
        <f>IF(Query1[[#This Row],[ItemType]]="EVAP KIT UNIVERSAL",Query1[[#This Row],[OrderQty]]+J3450,J3450)</f>
        <v>1479</v>
      </c>
      <c r="K3451" s="1">
        <f>Query1[[#This Row],[SF Running Total]]+Query1[[#This Row],[UNIV Running Total]]</f>
        <v>5779</v>
      </c>
      <c r="L3451">
        <f>VLOOKUP(Query1[[#This Row],[Description]],'kits to boards'!$B$2:$E$156,2,FALSE)</f>
        <v>830012</v>
      </c>
      <c r="M3451">
        <f>VLOOKUP(Query1[[#This Row],[Description]],'kits to boards'!$B$2:$E$156,3,FALSE)</f>
        <v>0</v>
      </c>
      <c r="N3451">
        <f>VLOOKUP(Query1[[#This Row],[Description]],'kits to boards'!$B$2:$E$156,4,FALSE)</f>
        <v>0</v>
      </c>
      <c r="O3451" t="str">
        <f>CONCATENATE(Query1[[#This Row],[Description]]," - ",Query1[[#This Row],[MB1]]," - ",Query1[[#This Row],[MB2]]," - ",Query1[[#This Row],[MB3]])</f>
        <v>EVAP KIT 69 CAMARO WO/AC - 830012 - 0 - 0</v>
      </c>
    </row>
    <row r="3452" spans="1:15" x14ac:dyDescent="0.25">
      <c r="A3452" s="1">
        <v>918440</v>
      </c>
      <c r="B3452" s="1" t="s">
        <v>42</v>
      </c>
      <c r="C3452" s="1" t="s">
        <v>43</v>
      </c>
      <c r="D3452" s="2">
        <v>44657.39150740741</v>
      </c>
      <c r="E3452" s="1" t="s">
        <v>8</v>
      </c>
      <c r="F3452" s="1">
        <v>1</v>
      </c>
      <c r="G3452" s="1">
        <v>0</v>
      </c>
      <c r="H3452" s="6">
        <f>INT(Query1[[#This Row],[EntryDateTime]])</f>
        <v>44657</v>
      </c>
      <c r="I3452" s="1">
        <f>IF(Query1[[#This Row],[ItemType]]="EVAP KIT SF GEN IV",Query1[[#This Row],[OrderQty]]+I3451,I3451)</f>
        <v>4301</v>
      </c>
      <c r="J3452" s="1">
        <f>IF(Query1[[#This Row],[ItemType]]="EVAP KIT UNIVERSAL",Query1[[#This Row],[OrderQty]]+J3451,J3451)</f>
        <v>1479</v>
      </c>
      <c r="K3452" s="1">
        <f>Query1[[#This Row],[SF Running Total]]+Query1[[#This Row],[UNIV Running Total]]</f>
        <v>5780</v>
      </c>
      <c r="L3452">
        <f>VLOOKUP(Query1[[#This Row],[Description]],'kits to boards'!$B$2:$E$156,2,FALSE)</f>
        <v>830014</v>
      </c>
      <c r="M3452">
        <f>VLOOKUP(Query1[[#This Row],[Description]],'kits to boards'!$B$2:$E$156,3,FALSE)</f>
        <v>0</v>
      </c>
      <c r="N3452">
        <f>VLOOKUP(Query1[[#This Row],[Description]],'kits to boards'!$B$2:$E$156,4,FALSE)</f>
        <v>0</v>
      </c>
      <c r="O3452" t="str">
        <f>CONCATENATE(Query1[[#This Row],[Description]]," - ",Query1[[#This Row],[MB1]]," - ",Query1[[#This Row],[MB2]]," - ",Query1[[#This Row],[MB3]])</f>
        <v>EVAP KIT 67-72 CHEV P-UP WO AC - 830014 - 0 - 0</v>
      </c>
    </row>
    <row r="3453" spans="1:15" x14ac:dyDescent="0.25">
      <c r="A3453" s="1">
        <v>918437</v>
      </c>
      <c r="B3453" s="1" t="s">
        <v>32</v>
      </c>
      <c r="C3453" s="1" t="s">
        <v>33</v>
      </c>
      <c r="D3453" s="2">
        <v>44657.393336724534</v>
      </c>
      <c r="E3453" s="1" t="s">
        <v>8</v>
      </c>
      <c r="F3453" s="1">
        <v>1</v>
      </c>
      <c r="G3453" s="1">
        <v>0</v>
      </c>
      <c r="H3453" s="6">
        <f>INT(Query1[[#This Row],[EntryDateTime]])</f>
        <v>44657</v>
      </c>
      <c r="I3453" s="1">
        <f>IF(Query1[[#This Row],[ItemType]]="EVAP KIT SF GEN IV",Query1[[#This Row],[OrderQty]]+I3452,I3452)</f>
        <v>4302</v>
      </c>
      <c r="J3453" s="1">
        <f>IF(Query1[[#This Row],[ItemType]]="EVAP KIT UNIVERSAL",Query1[[#This Row],[OrderQty]]+J3452,J3452)</f>
        <v>1479</v>
      </c>
      <c r="K3453" s="1">
        <f>Query1[[#This Row],[SF Running Total]]+Query1[[#This Row],[UNIV Running Total]]</f>
        <v>5781</v>
      </c>
      <c r="L3453">
        <f>VLOOKUP(Query1[[#This Row],[Description]],'kits to boards'!$B$2:$E$156,2,FALSE)</f>
        <v>830016</v>
      </c>
      <c r="M3453">
        <f>VLOOKUP(Query1[[#This Row],[Description]],'kits to boards'!$B$2:$E$156,3,FALSE)</f>
        <v>0</v>
      </c>
      <c r="N3453">
        <f>VLOOKUP(Query1[[#This Row],[Description]],'kits to boards'!$B$2:$E$156,4,FALSE)</f>
        <v>0</v>
      </c>
      <c r="O3453" t="str">
        <f>CONCATENATE(Query1[[#This Row],[Description]]," - ",Query1[[#This Row],[MB1]]," - ",Query1[[#This Row],[MB2]]," - ",Query1[[#This Row],[MB3]])</f>
        <v>EVAP KIT 67-68 CAMARO/FIREBIRD W/AC - 830016 - 0 - 0</v>
      </c>
    </row>
    <row r="3454" spans="1:15" x14ac:dyDescent="0.25">
      <c r="A3454" s="1">
        <v>918443</v>
      </c>
      <c r="B3454" s="1" t="s">
        <v>92</v>
      </c>
      <c r="C3454" s="1" t="s">
        <v>93</v>
      </c>
      <c r="D3454" s="2">
        <v>44657.3989540162</v>
      </c>
      <c r="E3454" s="1" t="s">
        <v>8</v>
      </c>
      <c r="F3454" s="1">
        <v>1</v>
      </c>
      <c r="G3454" s="1">
        <v>0</v>
      </c>
      <c r="H3454" s="6">
        <f>INT(Query1[[#This Row],[EntryDateTime]])</f>
        <v>44657</v>
      </c>
      <c r="I3454" s="1">
        <f>IF(Query1[[#This Row],[ItemType]]="EVAP KIT SF GEN IV",Query1[[#This Row],[OrderQty]]+I3453,I3453)</f>
        <v>4303</v>
      </c>
      <c r="J3454" s="1">
        <f>IF(Query1[[#This Row],[ItemType]]="EVAP KIT UNIVERSAL",Query1[[#This Row],[OrderQty]]+J3453,J3453)</f>
        <v>1479</v>
      </c>
      <c r="K3454" s="1">
        <f>Query1[[#This Row],[SF Running Total]]+Query1[[#This Row],[UNIV Running Total]]</f>
        <v>5782</v>
      </c>
      <c r="L3454">
        <f>VLOOKUP(Query1[[#This Row],[Description]],'kits to boards'!$B$2:$E$156,2,FALSE)</f>
        <v>830063</v>
      </c>
      <c r="M3454">
        <f>VLOOKUP(Query1[[#This Row],[Description]],'kits to boards'!$B$2:$E$156,3,FALSE)</f>
        <v>0</v>
      </c>
      <c r="N3454">
        <f>VLOOKUP(Query1[[#This Row],[Description]],'kits to boards'!$B$2:$E$156,4,FALSE)</f>
        <v>0</v>
      </c>
      <c r="O3454" t="str">
        <f>CONCATENATE(Query1[[#This Row],[Description]]," - ",Query1[[#This Row],[MB1]]," - ",Query1[[#This Row],[MB2]]," - ",Query1[[#This Row],[MB3]])</f>
        <v>EVAP KIT 50-53 CHEV P-UP GEN IV - 830063 - 0 - 0</v>
      </c>
    </row>
    <row r="3455" spans="1:15" x14ac:dyDescent="0.25">
      <c r="A3455" s="1">
        <v>918442</v>
      </c>
      <c r="B3455" s="1" t="s">
        <v>96</v>
      </c>
      <c r="C3455" s="1" t="s">
        <v>97</v>
      </c>
      <c r="D3455" s="2">
        <v>44657.399459837965</v>
      </c>
      <c r="E3455" s="1" t="s">
        <v>8</v>
      </c>
      <c r="F3455" s="1">
        <v>1</v>
      </c>
      <c r="G3455" s="1">
        <v>0</v>
      </c>
      <c r="H3455" s="6">
        <f>INT(Query1[[#This Row],[EntryDateTime]])</f>
        <v>44657</v>
      </c>
      <c r="I3455" s="1">
        <f>IF(Query1[[#This Row],[ItemType]]="EVAP KIT SF GEN IV",Query1[[#This Row],[OrderQty]]+I3454,I3454)</f>
        <v>4304</v>
      </c>
      <c r="J3455" s="1">
        <f>IF(Query1[[#This Row],[ItemType]]="EVAP KIT UNIVERSAL",Query1[[#This Row],[OrderQty]]+J3454,J3454)</f>
        <v>1479</v>
      </c>
      <c r="K3455" s="1">
        <f>Query1[[#This Row],[SF Running Total]]+Query1[[#This Row],[UNIV Running Total]]</f>
        <v>5783</v>
      </c>
      <c r="L3455">
        <f>VLOOKUP(Query1[[#This Row],[Description]],'kits to boards'!$B$2:$E$156,2,FALSE)</f>
        <v>830004</v>
      </c>
      <c r="M3455">
        <f>VLOOKUP(Query1[[#This Row],[Description]],'kits to boards'!$B$2:$E$156,3,FALSE)</f>
        <v>0</v>
      </c>
      <c r="N3455">
        <f>VLOOKUP(Query1[[#This Row],[Description]],'kits to boards'!$B$2:$E$156,4,FALSE)</f>
        <v>0</v>
      </c>
      <c r="O3455" t="str">
        <f>CONCATENATE(Query1[[#This Row],[Description]]," - ",Query1[[#This Row],[MB1]]," - ",Query1[[#This Row],[MB2]]," - ",Query1[[#This Row],[MB3]])</f>
        <v>EVAP KIT 81-87 CHEV P-UP W/AC - 830004 - 0 - 0</v>
      </c>
    </row>
    <row r="3456" spans="1:15" x14ac:dyDescent="0.25">
      <c r="A3456" s="1">
        <v>918009</v>
      </c>
      <c r="B3456" s="1" t="s">
        <v>34</v>
      </c>
      <c r="C3456" s="1" t="s">
        <v>35</v>
      </c>
      <c r="D3456" s="2">
        <v>44657.408540243057</v>
      </c>
      <c r="E3456" s="1" t="s">
        <v>8</v>
      </c>
      <c r="F3456" s="1">
        <v>1</v>
      </c>
      <c r="G3456" s="1">
        <v>0</v>
      </c>
      <c r="H3456" s="6">
        <f>INT(Query1[[#This Row],[EntryDateTime]])</f>
        <v>44657</v>
      </c>
      <c r="I3456" s="1">
        <f>IF(Query1[[#This Row],[ItemType]]="EVAP KIT SF GEN IV",Query1[[#This Row],[OrderQty]]+I3455,I3455)</f>
        <v>4305</v>
      </c>
      <c r="J3456" s="1">
        <f>IF(Query1[[#This Row],[ItemType]]="EVAP KIT UNIVERSAL",Query1[[#This Row],[OrderQty]]+J3455,J3455)</f>
        <v>1479</v>
      </c>
      <c r="K3456" s="1">
        <f>Query1[[#This Row],[SF Running Total]]+Query1[[#This Row],[UNIV Running Total]]</f>
        <v>5784</v>
      </c>
      <c r="L3456">
        <f>VLOOKUP(Query1[[#This Row],[Description]],'kits to boards'!$B$2:$E$156,2,FALSE)</f>
        <v>830065</v>
      </c>
      <c r="M3456">
        <f>VLOOKUP(Query1[[#This Row],[Description]],'kits to boards'!$B$2:$E$156,3,FALSE)</f>
        <v>0</v>
      </c>
      <c r="N3456">
        <f>VLOOKUP(Query1[[#This Row],[Description]],'kits to boards'!$B$2:$E$156,4,FALSE)</f>
        <v>0</v>
      </c>
      <c r="O3456" t="str">
        <f>CONCATENATE(Query1[[#This Row],[Description]]," - ",Query1[[#This Row],[MB1]]," - ",Query1[[#This Row],[MB2]]," - ",Query1[[#This Row],[MB3]])</f>
        <v>EVAP KIT 57 CHEV WO AC - 830065 - 0 - 0</v>
      </c>
    </row>
    <row r="3457" spans="1:15" x14ac:dyDescent="0.25">
      <c r="A3457" s="1">
        <v>915866</v>
      </c>
      <c r="B3457" s="1" t="s">
        <v>50</v>
      </c>
      <c r="C3457" s="1" t="s">
        <v>51</v>
      </c>
      <c r="D3457" s="2">
        <v>44657.428841203706</v>
      </c>
      <c r="E3457" s="1" t="s">
        <v>8</v>
      </c>
      <c r="F3457" s="1">
        <v>1</v>
      </c>
      <c r="G3457" s="1">
        <v>0</v>
      </c>
      <c r="H3457" s="6">
        <f>INT(Query1[[#This Row],[EntryDateTime]])</f>
        <v>44657</v>
      </c>
      <c r="I3457" s="1">
        <f>IF(Query1[[#This Row],[ItemType]]="EVAP KIT SF GEN IV",Query1[[#This Row],[OrderQty]]+I3456,I3456)</f>
        <v>4306</v>
      </c>
      <c r="J3457" s="1">
        <f>IF(Query1[[#This Row],[ItemType]]="EVAP KIT UNIVERSAL",Query1[[#This Row],[OrderQty]]+J3456,J3456)</f>
        <v>1479</v>
      </c>
      <c r="K3457" s="1">
        <f>Query1[[#This Row],[SF Running Total]]+Query1[[#This Row],[UNIV Running Total]]</f>
        <v>5785</v>
      </c>
      <c r="L3457">
        <f>VLOOKUP(Query1[[#This Row],[Description]],'kits to boards'!$B$2:$E$156,2,FALSE)</f>
        <v>830043</v>
      </c>
      <c r="M3457">
        <f>VLOOKUP(Query1[[#This Row],[Description]],'kits to boards'!$B$2:$E$156,3,FALSE)</f>
        <v>0</v>
      </c>
      <c r="N3457">
        <f>VLOOKUP(Query1[[#This Row],[Description]],'kits to boards'!$B$2:$E$156,4,FALSE)</f>
        <v>0</v>
      </c>
      <c r="O3457" t="str">
        <f>CONCATENATE(Query1[[#This Row],[Description]]," - ",Query1[[#This Row],[MB1]]," - ",Query1[[#This Row],[MB2]]," - ",Query1[[#This Row],[MB3]])</f>
        <v>EVAP KIT 69-74 NOVA WO AC - 830043 - 0 - 0</v>
      </c>
    </row>
    <row r="3458" spans="1:15" x14ac:dyDescent="0.25">
      <c r="A3458" s="1">
        <v>918423</v>
      </c>
      <c r="B3458" s="1" t="s">
        <v>176</v>
      </c>
      <c r="C3458" s="1" t="s">
        <v>177</v>
      </c>
      <c r="D3458" s="2">
        <v>44657.439985104167</v>
      </c>
      <c r="E3458" s="1" t="s">
        <v>8</v>
      </c>
      <c r="F3458" s="1">
        <v>1</v>
      </c>
      <c r="G3458" s="1">
        <v>0</v>
      </c>
      <c r="H3458" s="6">
        <f>INT(Query1[[#This Row],[EntryDateTime]])</f>
        <v>44657</v>
      </c>
      <c r="I3458" s="1">
        <f>IF(Query1[[#This Row],[ItemType]]="EVAP KIT SF GEN IV",Query1[[#This Row],[OrderQty]]+I3457,I3457)</f>
        <v>4307</v>
      </c>
      <c r="J3458" s="1">
        <f>IF(Query1[[#This Row],[ItemType]]="EVAP KIT UNIVERSAL",Query1[[#This Row],[OrderQty]]+J3457,J3457)</f>
        <v>1479</v>
      </c>
      <c r="K3458" s="1">
        <f>Query1[[#This Row],[SF Running Total]]+Query1[[#This Row],[UNIV Running Total]]</f>
        <v>5786</v>
      </c>
      <c r="L3458">
        <f>VLOOKUP(Query1[[#This Row],[Description]],'kits to boards'!$B$2:$E$156,2,FALSE)</f>
        <v>830125</v>
      </c>
      <c r="M3458">
        <f>VLOOKUP(Query1[[#This Row],[Description]],'kits to boards'!$B$2:$E$156,3,FALSE)</f>
        <v>0</v>
      </c>
      <c r="N3458">
        <f>VLOOKUP(Query1[[#This Row],[Description]],'kits to boards'!$B$2:$E$156,4,FALSE)</f>
        <v>0</v>
      </c>
      <c r="O3458" t="str">
        <f>CONCATENATE(Query1[[#This Row],[Description]]," - ",Query1[[#This Row],[MB1]]," - ",Query1[[#This Row],[MB2]]," - ",Query1[[#This Row],[MB3]])</f>
        <v>EVAP KIT 65-66 IMPALA W/AC - 830125 - 0 - 0</v>
      </c>
    </row>
    <row r="3459" spans="1:15" x14ac:dyDescent="0.25">
      <c r="A3459" s="1">
        <v>918394</v>
      </c>
      <c r="B3459" s="1" t="s">
        <v>102</v>
      </c>
      <c r="C3459" s="1" t="s">
        <v>103</v>
      </c>
      <c r="D3459" s="2">
        <v>44657.443292326388</v>
      </c>
      <c r="E3459" s="1" t="s">
        <v>8</v>
      </c>
      <c r="F3459" s="1">
        <v>1</v>
      </c>
      <c r="G3459" s="1">
        <v>0</v>
      </c>
      <c r="H3459" s="6">
        <f>INT(Query1[[#This Row],[EntryDateTime]])</f>
        <v>44657</v>
      </c>
      <c r="I3459" s="1">
        <f>IF(Query1[[#This Row],[ItemType]]="EVAP KIT SF GEN IV",Query1[[#This Row],[OrderQty]]+I3458,I3458)</f>
        <v>4308</v>
      </c>
      <c r="J3459" s="1">
        <f>IF(Query1[[#This Row],[ItemType]]="EVAP KIT UNIVERSAL",Query1[[#This Row],[OrderQty]]+J3458,J3458)</f>
        <v>1479</v>
      </c>
      <c r="K3459" s="1">
        <f>Query1[[#This Row],[SF Running Total]]+Query1[[#This Row],[UNIV Running Total]]</f>
        <v>5787</v>
      </c>
      <c r="L3459">
        <f>VLOOKUP(Query1[[#This Row],[Description]],'kits to boards'!$B$2:$E$156,2,FALSE)</f>
        <v>830012</v>
      </c>
      <c r="M3459">
        <f>VLOOKUP(Query1[[#This Row],[Description]],'kits to boards'!$B$2:$E$156,3,FALSE)</f>
        <v>0</v>
      </c>
      <c r="N3459">
        <f>VLOOKUP(Query1[[#This Row],[Description]],'kits to boards'!$B$2:$E$156,4,FALSE)</f>
        <v>0</v>
      </c>
      <c r="O3459" t="str">
        <f>CONCATENATE(Query1[[#This Row],[Description]]," - ",Query1[[#This Row],[MB1]]," - ",Query1[[#This Row],[MB2]]," - ",Query1[[#This Row],[MB3]])</f>
        <v>EVAP KIT 69 CAMARO WO/AC - 830012 - 0 - 0</v>
      </c>
    </row>
    <row r="3460" spans="1:15" x14ac:dyDescent="0.25">
      <c r="A3460" s="1">
        <v>918255</v>
      </c>
      <c r="B3460" s="1" t="s">
        <v>62</v>
      </c>
      <c r="C3460" s="1" t="s">
        <v>63</v>
      </c>
      <c r="D3460" s="2">
        <v>44657.445911377312</v>
      </c>
      <c r="E3460" s="1" t="s">
        <v>8</v>
      </c>
      <c r="F3460" s="1">
        <v>1</v>
      </c>
      <c r="G3460" s="1">
        <v>0</v>
      </c>
      <c r="H3460" s="6">
        <f>INT(Query1[[#This Row],[EntryDateTime]])</f>
        <v>44657</v>
      </c>
      <c r="I3460" s="1">
        <f>IF(Query1[[#This Row],[ItemType]]="EVAP KIT SF GEN IV",Query1[[#This Row],[OrderQty]]+I3459,I3459)</f>
        <v>4309</v>
      </c>
      <c r="J3460" s="1">
        <f>IF(Query1[[#This Row],[ItemType]]="EVAP KIT UNIVERSAL",Query1[[#This Row],[OrderQty]]+J3459,J3459)</f>
        <v>1479</v>
      </c>
      <c r="K3460" s="1">
        <f>Query1[[#This Row],[SF Running Total]]+Query1[[#This Row],[UNIV Running Total]]</f>
        <v>5788</v>
      </c>
      <c r="L3460">
        <f>VLOOKUP(Query1[[#This Row],[Description]],'kits to boards'!$B$2:$E$156,2,FALSE)</f>
        <v>830079</v>
      </c>
      <c r="M3460">
        <f>VLOOKUP(Query1[[#This Row],[Description]],'kits to boards'!$B$2:$E$156,3,FALSE)</f>
        <v>830046</v>
      </c>
      <c r="N3460">
        <f>VLOOKUP(Query1[[#This Row],[Description]],'kits to boards'!$B$2:$E$156,4,FALSE)</f>
        <v>0</v>
      </c>
      <c r="O3460" t="str">
        <f>CONCATENATE(Query1[[#This Row],[Description]]," - ",Query1[[#This Row],[MB1]]," - ",Query1[[#This Row],[MB2]]," - ",Query1[[#This Row],[MB3]])</f>
        <v>EVAP KIT 67-68 MUSTANG/COUGAR WO AC - 830079 - 830046 - 0</v>
      </c>
    </row>
    <row r="3461" spans="1:15" x14ac:dyDescent="0.25">
      <c r="A3461" s="1">
        <v>918476</v>
      </c>
      <c r="B3461" s="1" t="s">
        <v>120</v>
      </c>
      <c r="C3461" s="1" t="s">
        <v>121</v>
      </c>
      <c r="D3461" s="2">
        <v>44657.447023460649</v>
      </c>
      <c r="E3461" s="1" t="s">
        <v>8</v>
      </c>
      <c r="F3461" s="1">
        <v>1</v>
      </c>
      <c r="G3461" s="1">
        <v>0</v>
      </c>
      <c r="H3461" s="6">
        <f>INT(Query1[[#This Row],[EntryDateTime]])</f>
        <v>44657</v>
      </c>
      <c r="I3461" s="1">
        <f>IF(Query1[[#This Row],[ItemType]]="EVAP KIT SF GEN IV",Query1[[#This Row],[OrderQty]]+I3460,I3460)</f>
        <v>4310</v>
      </c>
      <c r="J3461" s="1">
        <f>IF(Query1[[#This Row],[ItemType]]="EVAP KIT UNIVERSAL",Query1[[#This Row],[OrderQty]]+J3460,J3460)</f>
        <v>1479</v>
      </c>
      <c r="K3461" s="1">
        <f>Query1[[#This Row],[SF Running Total]]+Query1[[#This Row],[UNIV Running Total]]</f>
        <v>5789</v>
      </c>
      <c r="L3461">
        <f>VLOOKUP(Query1[[#This Row],[Description]],'kits to boards'!$B$2:$E$156,2,FALSE)</f>
        <v>830014</v>
      </c>
      <c r="M3461">
        <f>VLOOKUP(Query1[[#This Row],[Description]],'kits to boards'!$B$2:$E$156,3,FALSE)</f>
        <v>0</v>
      </c>
      <c r="N3461">
        <f>VLOOKUP(Query1[[#This Row],[Description]],'kits to boards'!$B$2:$E$156,4,FALSE)</f>
        <v>0</v>
      </c>
      <c r="O3461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3462" spans="1:15" x14ac:dyDescent="0.25">
      <c r="A3462" s="1">
        <v>918485</v>
      </c>
      <c r="B3462" s="1" t="s">
        <v>184</v>
      </c>
      <c r="C3462" s="1" t="s">
        <v>185</v>
      </c>
      <c r="D3462" s="2">
        <v>44657.458241053238</v>
      </c>
      <c r="E3462" s="1" t="s">
        <v>8</v>
      </c>
      <c r="F3462" s="1">
        <v>1</v>
      </c>
      <c r="G3462" s="1">
        <v>0</v>
      </c>
      <c r="H3462" s="6">
        <f>INT(Query1[[#This Row],[EntryDateTime]])</f>
        <v>44657</v>
      </c>
      <c r="I3462" s="1">
        <f>IF(Query1[[#This Row],[ItemType]]="EVAP KIT SF GEN IV",Query1[[#This Row],[OrderQty]]+I3461,I3461)</f>
        <v>4311</v>
      </c>
      <c r="J3462" s="1">
        <f>IF(Query1[[#This Row],[ItemType]]="EVAP KIT UNIVERSAL",Query1[[#This Row],[OrderQty]]+J3461,J3461)</f>
        <v>1479</v>
      </c>
      <c r="K3462" s="1">
        <f>Query1[[#This Row],[SF Running Total]]+Query1[[#This Row],[UNIV Running Total]]</f>
        <v>5790</v>
      </c>
      <c r="L3462">
        <f>VLOOKUP(Query1[[#This Row],[Description]],'kits to boards'!$B$2:$E$156,2,FALSE)</f>
        <v>830042</v>
      </c>
      <c r="M3462">
        <f>VLOOKUP(Query1[[#This Row],[Description]],'kits to boards'!$B$2:$E$156,3,FALSE)</f>
        <v>0</v>
      </c>
      <c r="N3462">
        <f>VLOOKUP(Query1[[#This Row],[Description]],'kits to boards'!$B$2:$E$156,4,FALSE)</f>
        <v>0</v>
      </c>
      <c r="O3462" t="str">
        <f>CONCATENATE(Query1[[#This Row],[Description]]," - ",Query1[[#This Row],[MB1]]," - ",Query1[[#This Row],[MB2]]," - ",Query1[[#This Row],[MB3]])</f>
        <v>EVAP KIT 68-83 TOYOTA FJ40 - 830042 - 0 - 0</v>
      </c>
    </row>
    <row r="3463" spans="1:15" x14ac:dyDescent="0.25">
      <c r="A3463" s="1">
        <v>918487</v>
      </c>
      <c r="B3463" s="1" t="s">
        <v>222</v>
      </c>
      <c r="C3463" s="1" t="s">
        <v>223</v>
      </c>
      <c r="D3463" s="2">
        <v>44657.465429282405</v>
      </c>
      <c r="E3463" s="1" t="s">
        <v>8</v>
      </c>
      <c r="F3463" s="1">
        <v>1</v>
      </c>
      <c r="G3463" s="1">
        <v>0</v>
      </c>
      <c r="H3463" s="6">
        <f>INT(Query1[[#This Row],[EntryDateTime]])</f>
        <v>44657</v>
      </c>
      <c r="I3463" s="1">
        <f>IF(Query1[[#This Row],[ItemType]]="EVAP KIT SF GEN IV",Query1[[#This Row],[OrderQty]]+I3462,I3462)</f>
        <v>4312</v>
      </c>
      <c r="J3463" s="1">
        <f>IF(Query1[[#This Row],[ItemType]]="EVAP KIT UNIVERSAL",Query1[[#This Row],[OrderQty]]+J3462,J3462)</f>
        <v>1479</v>
      </c>
      <c r="K3463" s="1">
        <f>Query1[[#This Row],[SF Running Total]]+Query1[[#This Row],[UNIV Running Total]]</f>
        <v>5791</v>
      </c>
      <c r="L3463">
        <f>VLOOKUP(Query1[[#This Row],[Description]],'kits to boards'!$B$2:$E$156,2,FALSE)</f>
        <v>830093</v>
      </c>
      <c r="M3463">
        <f>VLOOKUP(Query1[[#This Row],[Description]],'kits to boards'!$B$2:$E$156,3,FALSE)</f>
        <v>0</v>
      </c>
      <c r="N3463">
        <f>VLOOKUP(Query1[[#This Row],[Description]],'kits to boards'!$B$2:$E$156,4,FALSE)</f>
        <v>0</v>
      </c>
      <c r="O3463" t="str">
        <f>CONCATENATE(Query1[[#This Row],[Description]]," - ",Query1[[#This Row],[MB1]]," - ",Query1[[#This Row],[MB2]]," - ",Query1[[#This Row],[MB3]])</f>
        <v>EVAP KIT 67 VETTE WO AC - 830093 - 0 - 0</v>
      </c>
    </row>
    <row r="3464" spans="1:15" x14ac:dyDescent="0.25">
      <c r="A3464" s="1">
        <v>916342</v>
      </c>
      <c r="B3464" s="1" t="s">
        <v>506</v>
      </c>
      <c r="C3464" s="1" t="s">
        <v>507</v>
      </c>
      <c r="D3464" s="2">
        <v>44657.486102511575</v>
      </c>
      <c r="E3464" s="1" t="s">
        <v>677</v>
      </c>
      <c r="F3464" s="1">
        <v>1</v>
      </c>
      <c r="G3464" s="1">
        <v>0</v>
      </c>
      <c r="H3464" s="6">
        <f>INT(Query1[[#This Row],[EntryDateTime]])</f>
        <v>44657</v>
      </c>
      <c r="I3464" s="1">
        <f>IF(Query1[[#This Row],[ItemType]]="EVAP KIT SF GEN IV",Query1[[#This Row],[OrderQty]]+I3463,I3463)</f>
        <v>4312</v>
      </c>
      <c r="J3464" s="1">
        <f>IF(Query1[[#This Row],[ItemType]]="EVAP KIT UNIVERSAL",Query1[[#This Row],[OrderQty]]+J3463,J3463)</f>
        <v>1479</v>
      </c>
      <c r="K3464" s="1">
        <f>Query1[[#This Row],[SF Running Total]]+Query1[[#This Row],[UNIV Running Total]]</f>
        <v>5791</v>
      </c>
      <c r="L3464" t="e">
        <f>VLOOKUP(Query1[[#This Row],[Description]],'kits to boards'!$B$2:$E$156,2,FALSE)</f>
        <v>#N/A</v>
      </c>
      <c r="M3464" t="e">
        <f>VLOOKUP(Query1[[#This Row],[Description]],'kits to boards'!$B$2:$E$156,3,FALSE)</f>
        <v>#N/A</v>
      </c>
      <c r="N3464" t="e">
        <f>VLOOKUP(Query1[[#This Row],[Description]],'kits to boards'!$B$2:$E$156,4,FALSE)</f>
        <v>#N/A</v>
      </c>
      <c r="O3464" t="e">
        <f>CONCATENATE(Query1[[#This Row],[Description]]," - ",Query1[[#This Row],[MB1]]," - ",Query1[[#This Row],[MB2]]," - ",Query1[[#This Row],[MB3]])</f>
        <v>#N/A</v>
      </c>
    </row>
    <row r="3465" spans="1:15" x14ac:dyDescent="0.25">
      <c r="A3465" s="1">
        <v>918484</v>
      </c>
      <c r="B3465" s="1" t="s">
        <v>294</v>
      </c>
      <c r="C3465" s="1" t="s">
        <v>295</v>
      </c>
      <c r="D3465" s="2">
        <v>44657.495335451385</v>
      </c>
      <c r="E3465" s="1" t="s">
        <v>8</v>
      </c>
      <c r="F3465" s="1">
        <v>1</v>
      </c>
      <c r="G3465" s="1">
        <v>0</v>
      </c>
      <c r="H3465" s="6">
        <f>INT(Query1[[#This Row],[EntryDateTime]])</f>
        <v>44657</v>
      </c>
      <c r="I3465" s="1">
        <f>IF(Query1[[#This Row],[ItemType]]="EVAP KIT SF GEN IV",Query1[[#This Row],[OrderQty]]+I3464,I3464)</f>
        <v>4313</v>
      </c>
      <c r="J3465" s="1">
        <f>IF(Query1[[#This Row],[ItemType]]="EVAP KIT UNIVERSAL",Query1[[#This Row],[OrderQty]]+J3464,J3464)</f>
        <v>1479</v>
      </c>
      <c r="K3465" s="1">
        <f>Query1[[#This Row],[SF Running Total]]+Query1[[#This Row],[UNIV Running Total]]</f>
        <v>5792</v>
      </c>
      <c r="L3465">
        <f>VLOOKUP(Query1[[#This Row],[Description]],'kits to boards'!$B$2:$E$156,2,FALSE)</f>
        <v>830006</v>
      </c>
      <c r="M3465">
        <f>VLOOKUP(Query1[[#This Row],[Description]],'kits to boards'!$B$2:$E$156,3,FALSE)</f>
        <v>0</v>
      </c>
      <c r="N3465">
        <f>VLOOKUP(Query1[[#This Row],[Description]],'kits to boards'!$B$2:$E$156,4,FALSE)</f>
        <v>0</v>
      </c>
      <c r="O3465" t="str">
        <f>CONCATENATE(Query1[[#This Row],[Description]]," - ",Query1[[#This Row],[MB1]]," - ",Query1[[#This Row],[MB2]]," - ",Query1[[#This Row],[MB3]])</f>
        <v>EVAP KIT 61-62 IMPALA W/AC - 830006 - 0 - 0</v>
      </c>
    </row>
    <row r="3466" spans="1:15" x14ac:dyDescent="0.25">
      <c r="A3466" s="1">
        <v>918495</v>
      </c>
      <c r="B3466" s="1" t="s">
        <v>62</v>
      </c>
      <c r="C3466" s="1" t="s">
        <v>63</v>
      </c>
      <c r="D3466" s="2">
        <v>44657.504021724541</v>
      </c>
      <c r="E3466" s="1" t="s">
        <v>8</v>
      </c>
      <c r="F3466" s="1">
        <v>1</v>
      </c>
      <c r="G3466" s="1">
        <v>0</v>
      </c>
      <c r="H3466" s="6">
        <f>INT(Query1[[#This Row],[EntryDateTime]])</f>
        <v>44657</v>
      </c>
      <c r="I3466" s="1">
        <f>IF(Query1[[#This Row],[ItemType]]="EVAP KIT SF GEN IV",Query1[[#This Row],[OrderQty]]+I3465,I3465)</f>
        <v>4314</v>
      </c>
      <c r="J3466" s="1">
        <f>IF(Query1[[#This Row],[ItemType]]="EVAP KIT UNIVERSAL",Query1[[#This Row],[OrderQty]]+J3465,J3465)</f>
        <v>1479</v>
      </c>
      <c r="K3466" s="1">
        <f>Query1[[#This Row],[SF Running Total]]+Query1[[#This Row],[UNIV Running Total]]</f>
        <v>5793</v>
      </c>
      <c r="L3466">
        <f>VLOOKUP(Query1[[#This Row],[Description]],'kits to boards'!$B$2:$E$156,2,FALSE)</f>
        <v>830079</v>
      </c>
      <c r="M3466">
        <f>VLOOKUP(Query1[[#This Row],[Description]],'kits to boards'!$B$2:$E$156,3,FALSE)</f>
        <v>830046</v>
      </c>
      <c r="N3466">
        <f>VLOOKUP(Query1[[#This Row],[Description]],'kits to boards'!$B$2:$E$156,4,FALSE)</f>
        <v>0</v>
      </c>
      <c r="O3466" t="str">
        <f>CONCATENATE(Query1[[#This Row],[Description]]," - ",Query1[[#This Row],[MB1]]," - ",Query1[[#This Row],[MB2]]," - ",Query1[[#This Row],[MB3]])</f>
        <v>EVAP KIT 67-68 MUSTANG/COUGAR WO AC - 830079 - 830046 - 0</v>
      </c>
    </row>
    <row r="3467" spans="1:15" x14ac:dyDescent="0.25">
      <c r="A3467" s="1">
        <v>918494</v>
      </c>
      <c r="B3467" s="1" t="s">
        <v>110</v>
      </c>
      <c r="C3467" s="1" t="s">
        <v>111</v>
      </c>
      <c r="D3467" s="2">
        <v>44657.505266122687</v>
      </c>
      <c r="E3467" s="1" t="s">
        <v>8</v>
      </c>
      <c r="F3467" s="1">
        <v>1</v>
      </c>
      <c r="G3467" s="1">
        <v>0</v>
      </c>
      <c r="H3467" s="6">
        <f>INT(Query1[[#This Row],[EntryDateTime]])</f>
        <v>44657</v>
      </c>
      <c r="I3467" s="1">
        <f>IF(Query1[[#This Row],[ItemType]]="EVAP KIT SF GEN IV",Query1[[#This Row],[OrderQty]]+I3466,I3466)</f>
        <v>4315</v>
      </c>
      <c r="J3467" s="1">
        <f>IF(Query1[[#This Row],[ItemType]]="EVAP KIT UNIVERSAL",Query1[[#This Row],[OrderQty]]+J3466,J3466)</f>
        <v>1479</v>
      </c>
      <c r="K3467" s="1">
        <f>Query1[[#This Row],[SF Running Total]]+Query1[[#This Row],[UNIV Running Total]]</f>
        <v>5794</v>
      </c>
      <c r="L3467">
        <f>VLOOKUP(Query1[[#This Row],[Description]],'kits to boards'!$B$2:$E$156,2,FALSE)</f>
        <v>830053</v>
      </c>
      <c r="M3467">
        <f>VLOOKUP(Query1[[#This Row],[Description]],'kits to boards'!$B$2:$E$156,3,FALSE)</f>
        <v>0</v>
      </c>
      <c r="N3467">
        <f>VLOOKUP(Query1[[#This Row],[Description]],'kits to boards'!$B$2:$E$156,4,FALSE)</f>
        <v>0</v>
      </c>
      <c r="O3467" t="str">
        <f>CONCATENATE(Query1[[#This Row],[Description]]," - ",Query1[[#This Row],[MB1]]," - ",Query1[[#This Row],[MB2]]," - ",Query1[[#This Row],[MB3]])</f>
        <v>EVAP KIT 65-66 FORD F-100 - 830053 - 0 - 0</v>
      </c>
    </row>
    <row r="3468" spans="1:15" x14ac:dyDescent="0.25">
      <c r="A3468" s="1">
        <v>918497</v>
      </c>
      <c r="B3468" s="1" t="s">
        <v>98</v>
      </c>
      <c r="C3468" s="1" t="s">
        <v>99</v>
      </c>
      <c r="D3468" s="2">
        <v>44657.511723229167</v>
      </c>
      <c r="E3468" s="1" t="s">
        <v>11</v>
      </c>
      <c r="F3468" s="1">
        <v>1</v>
      </c>
      <c r="G3468" s="1">
        <v>0</v>
      </c>
      <c r="H3468" s="6">
        <f>INT(Query1[[#This Row],[EntryDateTime]])</f>
        <v>44657</v>
      </c>
      <c r="I3468" s="1">
        <f>IF(Query1[[#This Row],[ItemType]]="EVAP KIT SF GEN IV",Query1[[#This Row],[OrderQty]]+I3467,I3467)</f>
        <v>4315</v>
      </c>
      <c r="J3468" s="1">
        <f>IF(Query1[[#This Row],[ItemType]]="EVAP KIT UNIVERSAL",Query1[[#This Row],[OrderQty]]+J3467,J3467)</f>
        <v>1480</v>
      </c>
      <c r="K3468" s="1">
        <f>Query1[[#This Row],[SF Running Total]]+Query1[[#This Row],[UNIV Running Total]]</f>
        <v>5795</v>
      </c>
      <c r="L3468">
        <f>VLOOKUP(Query1[[#This Row],[Description]],'kits to boards'!$B$2:$E$156,2,FALSE)</f>
        <v>830099</v>
      </c>
      <c r="M3468">
        <f>VLOOKUP(Query1[[#This Row],[Description]],'kits to boards'!$B$2:$E$156,3,FALSE)</f>
        <v>0</v>
      </c>
      <c r="N3468">
        <f>VLOOKUP(Query1[[#This Row],[Description]],'kits to boards'!$B$2:$E$156,4,FALSE)</f>
        <v>0</v>
      </c>
      <c r="O3468" t="str">
        <f>CONCATENATE(Query1[[#This Row],[Description]]," - ",Query1[[#This Row],[MB1]]," - ",Query1[[#This Row],[MB2]]," - ",Query1[[#This Row],[MB3]])</f>
        <v>MINI GEN II W/DEF - 830099 - 0 - 0</v>
      </c>
    </row>
    <row r="3469" spans="1:15" x14ac:dyDescent="0.25">
      <c r="A3469" s="1">
        <v>918507</v>
      </c>
      <c r="B3469" s="1" t="s">
        <v>86</v>
      </c>
      <c r="C3469" s="1" t="s">
        <v>87</v>
      </c>
      <c r="D3469" s="2">
        <v>44657.527464467596</v>
      </c>
      <c r="E3469" s="1" t="s">
        <v>8</v>
      </c>
      <c r="F3469" s="1">
        <v>1</v>
      </c>
      <c r="G3469" s="1">
        <v>0</v>
      </c>
      <c r="H3469" s="6">
        <f>INT(Query1[[#This Row],[EntryDateTime]])</f>
        <v>44657</v>
      </c>
      <c r="I3469" s="1">
        <f>IF(Query1[[#This Row],[ItemType]]="EVAP KIT SF GEN IV",Query1[[#This Row],[OrderQty]]+I3468,I3468)</f>
        <v>4316</v>
      </c>
      <c r="J3469" s="1">
        <f>IF(Query1[[#This Row],[ItemType]]="EVAP KIT UNIVERSAL",Query1[[#This Row],[OrderQty]]+J3468,J3468)</f>
        <v>1480</v>
      </c>
      <c r="K3469" s="1">
        <f>Query1[[#This Row],[SF Running Total]]+Query1[[#This Row],[UNIV Running Total]]</f>
        <v>5796</v>
      </c>
      <c r="L3469">
        <f>VLOOKUP(Query1[[#This Row],[Description]],'kits to boards'!$B$2:$E$156,2,FALSE)</f>
        <v>830048</v>
      </c>
      <c r="M3469">
        <f>VLOOKUP(Query1[[#This Row],[Description]],'kits to boards'!$B$2:$E$156,3,FALSE)</f>
        <v>0</v>
      </c>
      <c r="N3469">
        <f>VLOOKUP(Query1[[#This Row],[Description]],'kits to boards'!$B$2:$E$156,4,FALSE)</f>
        <v>0</v>
      </c>
      <c r="O3469" t="str">
        <f>CONCATENATE(Query1[[#This Row],[Description]]," - ",Query1[[#This Row],[MB1]]," - ",Query1[[#This Row],[MB2]]," - ",Query1[[#This Row],[MB3]])</f>
        <v>EVAP KIT 66-67 NOVA - 830048 - 0 - 0</v>
      </c>
    </row>
    <row r="3470" spans="1:15" x14ac:dyDescent="0.25">
      <c r="A3470" s="1">
        <v>918510</v>
      </c>
      <c r="B3470" s="1" t="s">
        <v>46</v>
      </c>
      <c r="C3470" s="1" t="s">
        <v>47</v>
      </c>
      <c r="D3470" s="2">
        <v>44657.533571527776</v>
      </c>
      <c r="E3470" s="1" t="s">
        <v>8</v>
      </c>
      <c r="F3470" s="1">
        <v>1</v>
      </c>
      <c r="G3470" s="1">
        <v>0</v>
      </c>
      <c r="H3470" s="6">
        <f>INT(Query1[[#This Row],[EntryDateTime]])</f>
        <v>44657</v>
      </c>
      <c r="I3470" s="1">
        <f>IF(Query1[[#This Row],[ItemType]]="EVAP KIT SF GEN IV",Query1[[#This Row],[OrderQty]]+I3469,I3469)</f>
        <v>4317</v>
      </c>
      <c r="J3470" s="1">
        <f>IF(Query1[[#This Row],[ItemType]]="EVAP KIT UNIVERSAL",Query1[[#This Row],[OrderQty]]+J3469,J3469)</f>
        <v>1480</v>
      </c>
      <c r="K3470" s="1">
        <f>Query1[[#This Row],[SF Running Total]]+Query1[[#This Row],[UNIV Running Total]]</f>
        <v>5797</v>
      </c>
      <c r="L3470">
        <f>VLOOKUP(Query1[[#This Row],[Description]],'kits to boards'!$B$2:$E$156,2,FALSE)</f>
        <v>830018</v>
      </c>
      <c r="M3470">
        <f>VLOOKUP(Query1[[#This Row],[Description]],'kits to boards'!$B$2:$E$156,3,FALSE)</f>
        <v>0</v>
      </c>
      <c r="N3470">
        <f>VLOOKUP(Query1[[#This Row],[Description]],'kits to boards'!$B$2:$E$156,4,FALSE)</f>
        <v>0</v>
      </c>
      <c r="O3470" t="str">
        <f>CONCATENATE(Query1[[#This Row],[Description]]," - ",Query1[[#This Row],[MB1]]," - ",Query1[[#This Row],[MB2]]," - ",Query1[[#This Row],[MB3]])</f>
        <v>EVAP KIT 68-72 FORD P-UP F-100 - 830018 - 0 - 0</v>
      </c>
    </row>
    <row r="3471" spans="1:15" x14ac:dyDescent="0.25">
      <c r="A3471" s="1">
        <v>918477</v>
      </c>
      <c r="B3471" s="1" t="s">
        <v>6</v>
      </c>
      <c r="C3471" s="1" t="s">
        <v>7</v>
      </c>
      <c r="D3471" s="2">
        <v>44657.536858680556</v>
      </c>
      <c r="E3471" s="1" t="s">
        <v>8</v>
      </c>
      <c r="F3471" s="1">
        <v>1</v>
      </c>
      <c r="G3471" s="1">
        <v>0</v>
      </c>
      <c r="H3471" s="6">
        <f>INT(Query1[[#This Row],[EntryDateTime]])</f>
        <v>44657</v>
      </c>
      <c r="I3471" s="1">
        <f>IF(Query1[[#This Row],[ItemType]]="EVAP KIT SF GEN IV",Query1[[#This Row],[OrderQty]]+I3470,I3470)</f>
        <v>4318</v>
      </c>
      <c r="J3471" s="1">
        <f>IF(Query1[[#This Row],[ItemType]]="EVAP KIT UNIVERSAL",Query1[[#This Row],[OrderQty]]+J3470,J3470)</f>
        <v>1480</v>
      </c>
      <c r="K3471" s="1">
        <f>Query1[[#This Row],[SF Running Total]]+Query1[[#This Row],[UNIV Running Total]]</f>
        <v>5798</v>
      </c>
      <c r="L3471">
        <f>VLOOKUP(Query1[[#This Row],[Description]],'kits to boards'!$B$2:$E$156,2,FALSE)</f>
        <v>830132</v>
      </c>
      <c r="M3471">
        <f>VLOOKUP(Query1[[#This Row],[Description]],'kits to boards'!$B$2:$E$156,3,FALSE)</f>
        <v>0</v>
      </c>
      <c r="N3471">
        <f>VLOOKUP(Query1[[#This Row],[Description]],'kits to boards'!$B$2:$E$156,4,FALSE)</f>
        <v>0</v>
      </c>
      <c r="O3471" t="str">
        <f>CONCATENATE(Query1[[#This Row],[Description]]," - ",Query1[[#This Row],[MB1]]," - ",Query1[[#This Row],[MB2]]," - ",Query1[[#This Row],[MB3]])</f>
        <v>EVAP KIT 82-88 MONTE CARLO/EL CAMINO - 830132 - 0 - 0</v>
      </c>
    </row>
    <row r="3472" spans="1:15" x14ac:dyDescent="0.25">
      <c r="A3472" s="1">
        <v>918512</v>
      </c>
      <c r="B3472" s="1" t="s">
        <v>94</v>
      </c>
      <c r="C3472" s="1" t="s">
        <v>95</v>
      </c>
      <c r="D3472" s="2">
        <v>44657.537206909721</v>
      </c>
      <c r="E3472" s="1" t="s">
        <v>8</v>
      </c>
      <c r="F3472" s="1">
        <v>1</v>
      </c>
      <c r="G3472" s="1">
        <v>0</v>
      </c>
      <c r="H3472" s="6">
        <f>INT(Query1[[#This Row],[EntryDateTime]])</f>
        <v>44657</v>
      </c>
      <c r="I3472" s="1">
        <f>IF(Query1[[#This Row],[ItemType]]="EVAP KIT SF GEN IV",Query1[[#This Row],[OrderQty]]+I3471,I3471)</f>
        <v>4319</v>
      </c>
      <c r="J3472" s="1">
        <f>IF(Query1[[#This Row],[ItemType]]="EVAP KIT UNIVERSAL",Query1[[#This Row],[OrderQty]]+J3471,J3471)</f>
        <v>1480</v>
      </c>
      <c r="K3472" s="1">
        <f>Query1[[#This Row],[SF Running Total]]+Query1[[#This Row],[UNIV Running Total]]</f>
        <v>5799</v>
      </c>
      <c r="L3472">
        <f>VLOOKUP(Query1[[#This Row],[Description]],'kits to boards'!$B$2:$E$156,2,FALSE)</f>
        <v>830076</v>
      </c>
      <c r="M3472">
        <f>VLOOKUP(Query1[[#This Row],[Description]],'kits to boards'!$B$2:$E$156,3,FALSE)</f>
        <v>0</v>
      </c>
      <c r="N3472">
        <f>VLOOKUP(Query1[[#This Row],[Description]],'kits to boards'!$B$2:$E$156,4,FALSE)</f>
        <v>0</v>
      </c>
      <c r="O3472" t="str">
        <f>CONCATENATE(Query1[[#This Row],[Description]]," - ",Query1[[#This Row],[MB1]]," - ",Query1[[#This Row],[MB2]]," - ",Query1[[#This Row],[MB3]])</f>
        <v>EVAP KIT 64 1/2- 66 MUSTANG  - 830076 - 0 - 0</v>
      </c>
    </row>
    <row r="3473" spans="1:15" x14ac:dyDescent="0.25">
      <c r="A3473" s="1">
        <v>918516</v>
      </c>
      <c r="B3473" s="1" t="s">
        <v>86</v>
      </c>
      <c r="C3473" s="1" t="s">
        <v>87</v>
      </c>
      <c r="D3473" s="2">
        <v>44657.545009953705</v>
      </c>
      <c r="E3473" s="1" t="s">
        <v>8</v>
      </c>
      <c r="F3473" s="1">
        <v>1</v>
      </c>
      <c r="G3473" s="1">
        <v>0</v>
      </c>
      <c r="H3473" s="6">
        <f>INT(Query1[[#This Row],[EntryDateTime]])</f>
        <v>44657</v>
      </c>
      <c r="I3473" s="1">
        <f>IF(Query1[[#This Row],[ItemType]]="EVAP KIT SF GEN IV",Query1[[#This Row],[OrderQty]]+I3472,I3472)</f>
        <v>4320</v>
      </c>
      <c r="J3473" s="1">
        <f>IF(Query1[[#This Row],[ItemType]]="EVAP KIT UNIVERSAL",Query1[[#This Row],[OrderQty]]+J3472,J3472)</f>
        <v>1480</v>
      </c>
      <c r="K3473" s="1">
        <f>Query1[[#This Row],[SF Running Total]]+Query1[[#This Row],[UNIV Running Total]]</f>
        <v>5800</v>
      </c>
      <c r="L3473">
        <f>VLOOKUP(Query1[[#This Row],[Description]],'kits to boards'!$B$2:$E$156,2,FALSE)</f>
        <v>830048</v>
      </c>
      <c r="M3473">
        <f>VLOOKUP(Query1[[#This Row],[Description]],'kits to boards'!$B$2:$E$156,3,FALSE)</f>
        <v>0</v>
      </c>
      <c r="N3473">
        <f>VLOOKUP(Query1[[#This Row],[Description]],'kits to boards'!$B$2:$E$156,4,FALSE)</f>
        <v>0</v>
      </c>
      <c r="O3473" t="str">
        <f>CONCATENATE(Query1[[#This Row],[Description]]," - ",Query1[[#This Row],[MB1]]," - ",Query1[[#This Row],[MB2]]," - ",Query1[[#This Row],[MB3]])</f>
        <v>EVAP KIT 66-67 NOVA - 830048 - 0 - 0</v>
      </c>
    </row>
    <row r="3474" spans="1:15" x14ac:dyDescent="0.25">
      <c r="A3474" s="1">
        <v>918520</v>
      </c>
      <c r="B3474" s="1" t="s">
        <v>90</v>
      </c>
      <c r="C3474" s="1" t="s">
        <v>91</v>
      </c>
      <c r="D3474" s="2">
        <v>44657.54900003472</v>
      </c>
      <c r="E3474" s="1" t="s">
        <v>8</v>
      </c>
      <c r="F3474" s="1">
        <v>1</v>
      </c>
      <c r="G3474" s="1">
        <v>0</v>
      </c>
      <c r="H3474" s="6">
        <f>INT(Query1[[#This Row],[EntryDateTime]])</f>
        <v>44657</v>
      </c>
      <c r="I3474" s="1">
        <f>IF(Query1[[#This Row],[ItemType]]="EVAP KIT SF GEN IV",Query1[[#This Row],[OrderQty]]+I3473,I3473)</f>
        <v>4321</v>
      </c>
      <c r="J3474" s="1">
        <f>IF(Query1[[#This Row],[ItemType]]="EVAP KIT UNIVERSAL",Query1[[#This Row],[OrderQty]]+J3473,J3473)</f>
        <v>1480</v>
      </c>
      <c r="K3474" s="1">
        <f>Query1[[#This Row],[SF Running Total]]+Query1[[#This Row],[UNIV Running Total]]</f>
        <v>5801</v>
      </c>
      <c r="L3474">
        <f>VLOOKUP(Query1[[#This Row],[Description]],'kits to boards'!$B$2:$E$156,2,FALSE)</f>
        <v>830105</v>
      </c>
      <c r="M3474">
        <f>VLOOKUP(Query1[[#This Row],[Description]],'kits to boards'!$B$2:$E$156,3,FALSE)</f>
        <v>830106</v>
      </c>
      <c r="N3474">
        <f>VLOOKUP(Query1[[#This Row],[Description]],'kits to boards'!$B$2:$E$156,4,FALSE)</f>
        <v>0</v>
      </c>
      <c r="O3474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3475" spans="1:15" x14ac:dyDescent="0.25">
      <c r="A3475" s="1">
        <v>918522</v>
      </c>
      <c r="B3475" s="1" t="s">
        <v>92</v>
      </c>
      <c r="C3475" s="1" t="s">
        <v>93</v>
      </c>
      <c r="D3475" s="2">
        <v>44657.55070428241</v>
      </c>
      <c r="E3475" s="1" t="s">
        <v>8</v>
      </c>
      <c r="F3475" s="1">
        <v>1</v>
      </c>
      <c r="G3475" s="1">
        <v>0</v>
      </c>
      <c r="H3475" s="6">
        <f>INT(Query1[[#This Row],[EntryDateTime]])</f>
        <v>44657</v>
      </c>
      <c r="I3475" s="1">
        <f>IF(Query1[[#This Row],[ItemType]]="EVAP KIT SF GEN IV",Query1[[#This Row],[OrderQty]]+I3474,I3474)</f>
        <v>4322</v>
      </c>
      <c r="J3475" s="1">
        <f>IF(Query1[[#This Row],[ItemType]]="EVAP KIT UNIVERSAL",Query1[[#This Row],[OrderQty]]+J3474,J3474)</f>
        <v>1480</v>
      </c>
      <c r="K3475" s="1">
        <f>Query1[[#This Row],[SF Running Total]]+Query1[[#This Row],[UNIV Running Total]]</f>
        <v>5802</v>
      </c>
      <c r="L3475">
        <f>VLOOKUP(Query1[[#This Row],[Description]],'kits to boards'!$B$2:$E$156,2,FALSE)</f>
        <v>830063</v>
      </c>
      <c r="M3475">
        <f>VLOOKUP(Query1[[#This Row],[Description]],'kits to boards'!$B$2:$E$156,3,FALSE)</f>
        <v>0</v>
      </c>
      <c r="N3475">
        <f>VLOOKUP(Query1[[#This Row],[Description]],'kits to boards'!$B$2:$E$156,4,FALSE)</f>
        <v>0</v>
      </c>
      <c r="O3475" t="str">
        <f>CONCATENATE(Query1[[#This Row],[Description]]," - ",Query1[[#This Row],[MB1]]," - ",Query1[[#This Row],[MB2]]," - ",Query1[[#This Row],[MB3]])</f>
        <v>EVAP KIT 50-53 CHEV P-UP GEN IV - 830063 - 0 - 0</v>
      </c>
    </row>
    <row r="3476" spans="1:15" x14ac:dyDescent="0.25">
      <c r="A3476" s="1">
        <v>917942</v>
      </c>
      <c r="B3476" s="1" t="s">
        <v>108</v>
      </c>
      <c r="C3476" s="1" t="s">
        <v>109</v>
      </c>
      <c r="D3476" s="2">
        <v>44657.570038541664</v>
      </c>
      <c r="E3476" s="1" t="s">
        <v>8</v>
      </c>
      <c r="F3476" s="1">
        <v>1</v>
      </c>
      <c r="G3476" s="1">
        <v>0</v>
      </c>
      <c r="H3476" s="6">
        <f>INT(Query1[[#This Row],[EntryDateTime]])</f>
        <v>44657</v>
      </c>
      <c r="I3476" s="1">
        <f>IF(Query1[[#This Row],[ItemType]]="EVAP KIT SF GEN IV",Query1[[#This Row],[OrderQty]]+I3475,I3475)</f>
        <v>4323</v>
      </c>
      <c r="J3476" s="1">
        <f>IF(Query1[[#This Row],[ItemType]]="EVAP KIT UNIVERSAL",Query1[[#This Row],[OrderQty]]+J3475,J3475)</f>
        <v>1480</v>
      </c>
      <c r="K3476" s="1">
        <f>Query1[[#This Row],[SF Running Total]]+Query1[[#This Row],[UNIV Running Total]]</f>
        <v>5803</v>
      </c>
      <c r="L3476">
        <f>VLOOKUP(Query1[[#This Row],[Description]],'kits to boards'!$B$2:$E$156,2,FALSE)</f>
        <v>830105</v>
      </c>
      <c r="M3476">
        <f>VLOOKUP(Query1[[#This Row],[Description]],'kits to boards'!$B$2:$E$156,3,FALSE)</f>
        <v>830106</v>
      </c>
      <c r="N3476">
        <f>VLOOKUP(Query1[[#This Row],[Description]],'kits to boards'!$B$2:$E$156,4,FALSE)</f>
        <v>0</v>
      </c>
      <c r="O3476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3477" spans="1:15" x14ac:dyDescent="0.25">
      <c r="A3477" s="1">
        <v>918534</v>
      </c>
      <c r="B3477" s="1" t="s">
        <v>102</v>
      </c>
      <c r="C3477" s="1" t="s">
        <v>103</v>
      </c>
      <c r="D3477" s="2">
        <v>44657.576034641206</v>
      </c>
      <c r="E3477" s="1" t="s">
        <v>8</v>
      </c>
      <c r="F3477" s="1">
        <v>11</v>
      </c>
      <c r="G3477" s="1">
        <v>0</v>
      </c>
      <c r="H3477" s="6">
        <f>INT(Query1[[#This Row],[EntryDateTime]])</f>
        <v>44657</v>
      </c>
      <c r="I3477" s="1">
        <f>IF(Query1[[#This Row],[ItemType]]="EVAP KIT SF GEN IV",Query1[[#This Row],[OrderQty]]+I3476,I3476)</f>
        <v>4334</v>
      </c>
      <c r="J3477" s="1">
        <f>IF(Query1[[#This Row],[ItemType]]="EVAP KIT UNIVERSAL",Query1[[#This Row],[OrderQty]]+J3476,J3476)</f>
        <v>1480</v>
      </c>
      <c r="K3477" s="1">
        <f>Query1[[#This Row],[SF Running Total]]+Query1[[#This Row],[UNIV Running Total]]</f>
        <v>5814</v>
      </c>
      <c r="L3477">
        <f>VLOOKUP(Query1[[#This Row],[Description]],'kits to boards'!$B$2:$E$156,2,FALSE)</f>
        <v>830012</v>
      </c>
      <c r="M3477">
        <f>VLOOKUP(Query1[[#This Row],[Description]],'kits to boards'!$B$2:$E$156,3,FALSE)</f>
        <v>0</v>
      </c>
      <c r="N3477">
        <f>VLOOKUP(Query1[[#This Row],[Description]],'kits to boards'!$B$2:$E$156,4,FALSE)</f>
        <v>0</v>
      </c>
      <c r="O3477" t="str">
        <f>CONCATENATE(Query1[[#This Row],[Description]]," - ",Query1[[#This Row],[MB1]]," - ",Query1[[#This Row],[MB2]]," - ",Query1[[#This Row],[MB3]])</f>
        <v>EVAP KIT 69 CAMARO WO/AC - 830012 - 0 - 0</v>
      </c>
    </row>
    <row r="3478" spans="1:15" x14ac:dyDescent="0.25">
      <c r="A3478" s="1">
        <v>918534</v>
      </c>
      <c r="B3478" s="1" t="s">
        <v>194</v>
      </c>
      <c r="C3478" s="1" t="s">
        <v>195</v>
      </c>
      <c r="D3478" s="2">
        <v>44657.576036805556</v>
      </c>
      <c r="E3478" s="1" t="s">
        <v>8</v>
      </c>
      <c r="F3478" s="1">
        <v>1</v>
      </c>
      <c r="G3478" s="1">
        <v>0</v>
      </c>
      <c r="H3478" s="6">
        <f>INT(Query1[[#This Row],[EntryDateTime]])</f>
        <v>44657</v>
      </c>
      <c r="I3478" s="1">
        <f>IF(Query1[[#This Row],[ItemType]]="EVAP KIT SF GEN IV",Query1[[#This Row],[OrderQty]]+I3477,I3477)</f>
        <v>4335</v>
      </c>
      <c r="J3478" s="1">
        <f>IF(Query1[[#This Row],[ItemType]]="EVAP KIT UNIVERSAL",Query1[[#This Row],[OrderQty]]+J3477,J3477)</f>
        <v>1480</v>
      </c>
      <c r="K3478" s="1">
        <f>Query1[[#This Row],[SF Running Total]]+Query1[[#This Row],[UNIV Running Total]]</f>
        <v>5815</v>
      </c>
      <c r="L3478">
        <f>VLOOKUP(Query1[[#This Row],[Description]],'kits to boards'!$B$2:$E$156,2,FALSE)</f>
        <v>830103</v>
      </c>
      <c r="M3478">
        <f>VLOOKUP(Query1[[#This Row],[Description]],'kits to boards'!$B$2:$E$156,3,FALSE)</f>
        <v>0</v>
      </c>
      <c r="N3478">
        <f>VLOOKUP(Query1[[#This Row],[Description]],'kits to boards'!$B$2:$E$156,4,FALSE)</f>
        <v>0</v>
      </c>
      <c r="O3478" t="str">
        <f>CONCATENATE(Query1[[#This Row],[Description]]," - ",Query1[[#This Row],[MB1]]," - ",Query1[[#This Row],[MB2]]," - ",Query1[[#This Row],[MB3]])</f>
        <v>EVAP KIT 78-82 VETTE W/AC - 830103 - 0 - 0</v>
      </c>
    </row>
    <row r="3479" spans="1:15" x14ac:dyDescent="0.25">
      <c r="A3479" s="1">
        <v>918534</v>
      </c>
      <c r="B3479" s="1" t="s">
        <v>46</v>
      </c>
      <c r="C3479" s="1" t="s">
        <v>47</v>
      </c>
      <c r="D3479" s="2">
        <v>44657.57604699074</v>
      </c>
      <c r="E3479" s="1" t="s">
        <v>8</v>
      </c>
      <c r="F3479" s="1">
        <v>2</v>
      </c>
      <c r="G3479" s="1">
        <v>0</v>
      </c>
      <c r="H3479" s="6">
        <f>INT(Query1[[#This Row],[EntryDateTime]])</f>
        <v>44657</v>
      </c>
      <c r="I3479" s="1">
        <f>IF(Query1[[#This Row],[ItemType]]="EVAP KIT SF GEN IV",Query1[[#This Row],[OrderQty]]+I3478,I3478)</f>
        <v>4337</v>
      </c>
      <c r="J3479" s="1">
        <f>IF(Query1[[#This Row],[ItemType]]="EVAP KIT UNIVERSAL",Query1[[#This Row],[OrderQty]]+J3478,J3478)</f>
        <v>1480</v>
      </c>
      <c r="K3479" s="1">
        <f>Query1[[#This Row],[SF Running Total]]+Query1[[#This Row],[UNIV Running Total]]</f>
        <v>5817</v>
      </c>
      <c r="L3479">
        <f>VLOOKUP(Query1[[#This Row],[Description]],'kits to boards'!$B$2:$E$156,2,FALSE)</f>
        <v>830018</v>
      </c>
      <c r="M3479">
        <f>VLOOKUP(Query1[[#This Row],[Description]],'kits to boards'!$B$2:$E$156,3,FALSE)</f>
        <v>0</v>
      </c>
      <c r="N3479">
        <f>VLOOKUP(Query1[[#This Row],[Description]],'kits to boards'!$B$2:$E$156,4,FALSE)</f>
        <v>0</v>
      </c>
      <c r="O3479" t="str">
        <f>CONCATENATE(Query1[[#This Row],[Description]]," - ",Query1[[#This Row],[MB1]]," - ",Query1[[#This Row],[MB2]]," - ",Query1[[#This Row],[MB3]])</f>
        <v>EVAP KIT 68-72 FORD P-UP F-100 - 830018 - 0 - 0</v>
      </c>
    </row>
    <row r="3480" spans="1:15" x14ac:dyDescent="0.25">
      <c r="A3480" s="1">
        <v>918536</v>
      </c>
      <c r="B3480" s="1" t="s">
        <v>18</v>
      </c>
      <c r="C3480" s="1" t="s">
        <v>19</v>
      </c>
      <c r="D3480" s="2">
        <v>44657.577963194446</v>
      </c>
      <c r="E3480" s="1" t="s">
        <v>8</v>
      </c>
      <c r="F3480" s="1">
        <v>2</v>
      </c>
      <c r="G3480" s="1">
        <v>0</v>
      </c>
      <c r="H3480" s="6">
        <f>INT(Query1[[#This Row],[EntryDateTime]])</f>
        <v>44657</v>
      </c>
      <c r="I3480" s="1">
        <f>IF(Query1[[#This Row],[ItemType]]="EVAP KIT SF GEN IV",Query1[[#This Row],[OrderQty]]+I3479,I3479)</f>
        <v>4339</v>
      </c>
      <c r="J3480" s="1">
        <f>IF(Query1[[#This Row],[ItemType]]="EVAP KIT UNIVERSAL",Query1[[#This Row],[OrderQty]]+J3479,J3479)</f>
        <v>1480</v>
      </c>
      <c r="K3480" s="1">
        <f>Query1[[#This Row],[SF Running Total]]+Query1[[#This Row],[UNIV Running Total]]</f>
        <v>5819</v>
      </c>
      <c r="L3480">
        <f>VLOOKUP(Query1[[#This Row],[Description]],'kits to boards'!$B$2:$E$156,2,FALSE)</f>
        <v>830051</v>
      </c>
      <c r="M3480">
        <f>VLOOKUP(Query1[[#This Row],[Description]],'kits to boards'!$B$2:$E$156,3,FALSE)</f>
        <v>0</v>
      </c>
      <c r="N3480">
        <f>VLOOKUP(Query1[[#This Row],[Description]],'kits to boards'!$B$2:$E$156,4,FALSE)</f>
        <v>0</v>
      </c>
      <c r="O3480" t="str">
        <f>CONCATENATE(Query1[[#This Row],[Description]]," - ",Query1[[#This Row],[MB1]]," - ",Query1[[#This Row],[MB2]]," - ",Query1[[#This Row],[MB3]])</f>
        <v>EVAP KIT 70-78 CAMARO W/AC - 830051 - 0 - 0</v>
      </c>
    </row>
    <row r="3481" spans="1:15" x14ac:dyDescent="0.25">
      <c r="A3481" s="1">
        <v>918536</v>
      </c>
      <c r="B3481" s="1" t="s">
        <v>44</v>
      </c>
      <c r="C3481" s="1" t="s">
        <v>45</v>
      </c>
      <c r="D3481" s="2">
        <v>44657.577965393517</v>
      </c>
      <c r="E3481" s="1" t="s">
        <v>8</v>
      </c>
      <c r="F3481" s="1">
        <v>2</v>
      </c>
      <c r="G3481" s="1">
        <v>0</v>
      </c>
      <c r="H3481" s="6">
        <f>INT(Query1[[#This Row],[EntryDateTime]])</f>
        <v>44657</v>
      </c>
      <c r="I3481" s="1">
        <f>IF(Query1[[#This Row],[ItemType]]="EVAP KIT SF GEN IV",Query1[[#This Row],[OrderQty]]+I3480,I3480)</f>
        <v>4341</v>
      </c>
      <c r="J3481" s="1">
        <f>IF(Query1[[#This Row],[ItemType]]="EVAP KIT UNIVERSAL",Query1[[#This Row],[OrderQty]]+J3480,J3480)</f>
        <v>1480</v>
      </c>
      <c r="K3481" s="1">
        <f>Query1[[#This Row],[SF Running Total]]+Query1[[#This Row],[UNIV Running Total]]</f>
        <v>5821</v>
      </c>
      <c r="L3481">
        <f>VLOOKUP(Query1[[#This Row],[Description]],'kits to boards'!$B$2:$E$156,2,FALSE)</f>
        <v>830085</v>
      </c>
      <c r="M3481">
        <f>VLOOKUP(Query1[[#This Row],[Description]],'kits to boards'!$B$2:$E$156,3,FALSE)</f>
        <v>0</v>
      </c>
      <c r="N3481">
        <f>VLOOKUP(Query1[[#This Row],[Description]],'kits to boards'!$B$2:$E$156,4,FALSE)</f>
        <v>0</v>
      </c>
      <c r="O3481" t="str">
        <f>CONCATENATE(Query1[[#This Row],[Description]]," - ",Query1[[#This Row],[MB1]]," - ",Query1[[#This Row],[MB2]]," - ",Query1[[#This Row],[MB3]])</f>
        <v>EVAP KIT 66-77 BRONCO - 830085 - 0 - 0</v>
      </c>
    </row>
    <row r="3482" spans="1:15" x14ac:dyDescent="0.25">
      <c r="A3482" s="1">
        <v>918538</v>
      </c>
      <c r="B3482" s="1" t="s">
        <v>106</v>
      </c>
      <c r="C3482" s="1" t="s">
        <v>107</v>
      </c>
      <c r="D3482" s="2">
        <v>44657.585051817128</v>
      </c>
      <c r="E3482" s="1" t="s">
        <v>8</v>
      </c>
      <c r="F3482" s="1">
        <v>1</v>
      </c>
      <c r="G3482" s="1">
        <v>0</v>
      </c>
      <c r="H3482" s="6">
        <f>INT(Query1[[#This Row],[EntryDateTime]])</f>
        <v>44657</v>
      </c>
      <c r="I3482" s="1">
        <f>IF(Query1[[#This Row],[ItemType]]="EVAP KIT SF GEN IV",Query1[[#This Row],[OrderQty]]+I3481,I3481)</f>
        <v>4342</v>
      </c>
      <c r="J3482" s="1">
        <f>IF(Query1[[#This Row],[ItemType]]="EVAP KIT UNIVERSAL",Query1[[#This Row],[OrderQty]]+J3481,J3481)</f>
        <v>1480</v>
      </c>
      <c r="K3482" s="1">
        <f>Query1[[#This Row],[SF Running Total]]+Query1[[#This Row],[UNIV Running Total]]</f>
        <v>5822</v>
      </c>
      <c r="L3482">
        <f>VLOOKUP(Query1[[#This Row],[Description]],'kits to boards'!$B$2:$E$156,2,FALSE)</f>
        <v>830028</v>
      </c>
      <c r="M3482">
        <f>VLOOKUP(Query1[[#This Row],[Description]],'kits to boards'!$B$2:$E$156,3,FALSE)</f>
        <v>0</v>
      </c>
      <c r="N3482">
        <f>VLOOKUP(Query1[[#This Row],[Description]],'kits to boards'!$B$2:$E$156,4,FALSE)</f>
        <v>0</v>
      </c>
      <c r="O3482" t="str">
        <f>CONCATENATE(Query1[[#This Row],[Description]]," - ",Query1[[#This Row],[MB1]]," - ",Query1[[#This Row],[MB2]]," - ",Query1[[#This Row],[MB3]])</f>
        <v>EVAP KIT 55-59 CHEV P-UP WO AC W/DELX - 830028 - 0 - 0</v>
      </c>
    </row>
    <row r="3483" spans="1:15" x14ac:dyDescent="0.25">
      <c r="A3483" s="1">
        <v>918540</v>
      </c>
      <c r="B3483" s="1" t="s">
        <v>98</v>
      </c>
      <c r="C3483" s="1" t="s">
        <v>99</v>
      </c>
      <c r="D3483" s="2">
        <v>44657.585369247689</v>
      </c>
      <c r="E3483" s="1" t="s">
        <v>11</v>
      </c>
      <c r="F3483" s="1">
        <v>1</v>
      </c>
      <c r="G3483" s="1">
        <v>0</v>
      </c>
      <c r="H3483" s="6">
        <f>INT(Query1[[#This Row],[EntryDateTime]])</f>
        <v>44657</v>
      </c>
      <c r="I3483" s="1">
        <f>IF(Query1[[#This Row],[ItemType]]="EVAP KIT SF GEN IV",Query1[[#This Row],[OrderQty]]+I3482,I3482)</f>
        <v>4342</v>
      </c>
      <c r="J3483" s="1">
        <f>IF(Query1[[#This Row],[ItemType]]="EVAP KIT UNIVERSAL",Query1[[#This Row],[OrderQty]]+J3482,J3482)</f>
        <v>1481</v>
      </c>
      <c r="K3483" s="1">
        <f>Query1[[#This Row],[SF Running Total]]+Query1[[#This Row],[UNIV Running Total]]</f>
        <v>5823</v>
      </c>
      <c r="L3483">
        <f>VLOOKUP(Query1[[#This Row],[Description]],'kits to boards'!$B$2:$E$156,2,FALSE)</f>
        <v>830099</v>
      </c>
      <c r="M3483">
        <f>VLOOKUP(Query1[[#This Row],[Description]],'kits to boards'!$B$2:$E$156,3,FALSE)</f>
        <v>0</v>
      </c>
      <c r="N3483">
        <f>VLOOKUP(Query1[[#This Row],[Description]],'kits to boards'!$B$2:$E$156,4,FALSE)</f>
        <v>0</v>
      </c>
      <c r="O3483" t="str">
        <f>CONCATENATE(Query1[[#This Row],[Description]]," - ",Query1[[#This Row],[MB1]]," - ",Query1[[#This Row],[MB2]]," - ",Query1[[#This Row],[MB3]])</f>
        <v>MINI GEN II W/DEF - 830099 - 0 - 0</v>
      </c>
    </row>
    <row r="3484" spans="1:15" x14ac:dyDescent="0.25">
      <c r="A3484" s="1">
        <v>917611</v>
      </c>
      <c r="B3484" s="1" t="s">
        <v>22</v>
      </c>
      <c r="C3484" s="1" t="s">
        <v>23</v>
      </c>
      <c r="D3484" s="2">
        <v>44657.587813275466</v>
      </c>
      <c r="E3484" s="1" t="s">
        <v>8</v>
      </c>
      <c r="F3484" s="1">
        <v>2</v>
      </c>
      <c r="G3484" s="1">
        <v>0</v>
      </c>
      <c r="H3484" s="6">
        <f>INT(Query1[[#This Row],[EntryDateTime]])</f>
        <v>44657</v>
      </c>
      <c r="I3484" s="1">
        <f>IF(Query1[[#This Row],[ItemType]]="EVAP KIT SF GEN IV",Query1[[#This Row],[OrderQty]]+I3483,I3483)</f>
        <v>4344</v>
      </c>
      <c r="J3484" s="1">
        <f>IF(Query1[[#This Row],[ItemType]]="EVAP KIT UNIVERSAL",Query1[[#This Row],[OrderQty]]+J3483,J3483)</f>
        <v>1481</v>
      </c>
      <c r="K3484" s="1">
        <f>Query1[[#This Row],[SF Running Total]]+Query1[[#This Row],[UNIV Running Total]]</f>
        <v>5825</v>
      </c>
      <c r="L3484">
        <f>VLOOKUP(Query1[[#This Row],[Description]],'kits to boards'!$B$2:$E$156,2,FALSE)</f>
        <v>830083</v>
      </c>
      <c r="M3484">
        <f>VLOOKUP(Query1[[#This Row],[Description]],'kits to boards'!$B$2:$E$156,3,FALSE)</f>
        <v>0</v>
      </c>
      <c r="N3484">
        <f>VLOOKUP(Query1[[#This Row],[Description]],'kits to boards'!$B$2:$E$156,4,FALSE)</f>
        <v>0</v>
      </c>
      <c r="O3484" t="str">
        <f>CONCATENATE(Query1[[#This Row],[Description]]," - ",Query1[[#This Row],[MB1]]," - ",Query1[[#This Row],[MB2]]," - ",Query1[[#This Row],[MB3]])</f>
        <v>GEN IV MAGNUM EVAP KIT - 830083 - 0 - 0</v>
      </c>
    </row>
    <row r="3485" spans="1:15" x14ac:dyDescent="0.25">
      <c r="A3485" s="1">
        <v>918542</v>
      </c>
      <c r="B3485" s="1" t="s">
        <v>52</v>
      </c>
      <c r="C3485" s="1" t="s">
        <v>53</v>
      </c>
      <c r="D3485" s="2">
        <v>44657.589140277778</v>
      </c>
      <c r="E3485" s="1" t="s">
        <v>8</v>
      </c>
      <c r="F3485" s="1">
        <v>8</v>
      </c>
      <c r="G3485" s="1">
        <v>0</v>
      </c>
      <c r="H3485" s="6">
        <f>INT(Query1[[#This Row],[EntryDateTime]])</f>
        <v>44657</v>
      </c>
      <c r="I3485" s="1">
        <f>IF(Query1[[#This Row],[ItemType]]="EVAP KIT SF GEN IV",Query1[[#This Row],[OrderQty]]+I3484,I3484)</f>
        <v>4352</v>
      </c>
      <c r="J3485" s="1">
        <f>IF(Query1[[#This Row],[ItemType]]="EVAP KIT UNIVERSAL",Query1[[#This Row],[OrderQty]]+J3484,J3484)</f>
        <v>1481</v>
      </c>
      <c r="K3485" s="1">
        <f>Query1[[#This Row],[SF Running Total]]+Query1[[#This Row],[UNIV Running Total]]</f>
        <v>5833</v>
      </c>
      <c r="L3485">
        <f>VLOOKUP(Query1[[#This Row],[Description]],'kits to boards'!$B$2:$E$156,2,FALSE)</f>
        <v>830017</v>
      </c>
      <c r="M3485">
        <f>VLOOKUP(Query1[[#This Row],[Description]],'kits to boards'!$B$2:$E$156,3,FALSE)</f>
        <v>830119</v>
      </c>
      <c r="N3485">
        <f>VLOOKUP(Query1[[#This Row],[Description]],'kits to boards'!$B$2:$E$156,4,FALSE)</f>
        <v>830120</v>
      </c>
      <c r="O3485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486" spans="1:15" x14ac:dyDescent="0.25">
      <c r="A3486" s="1">
        <v>918535</v>
      </c>
      <c r="B3486" s="1" t="s">
        <v>98</v>
      </c>
      <c r="C3486" s="1" t="s">
        <v>99</v>
      </c>
      <c r="D3486" s="2">
        <v>44657.590132754631</v>
      </c>
      <c r="E3486" s="1" t="s">
        <v>11</v>
      </c>
      <c r="F3486" s="1">
        <v>1</v>
      </c>
      <c r="G3486" s="1">
        <v>0</v>
      </c>
      <c r="H3486" s="6">
        <f>INT(Query1[[#This Row],[EntryDateTime]])</f>
        <v>44657</v>
      </c>
      <c r="I3486" s="1">
        <f>IF(Query1[[#This Row],[ItemType]]="EVAP KIT SF GEN IV",Query1[[#This Row],[OrderQty]]+I3485,I3485)</f>
        <v>4352</v>
      </c>
      <c r="J3486" s="1">
        <f>IF(Query1[[#This Row],[ItemType]]="EVAP KIT UNIVERSAL",Query1[[#This Row],[OrderQty]]+J3485,J3485)</f>
        <v>1482</v>
      </c>
      <c r="K3486" s="1">
        <f>Query1[[#This Row],[SF Running Total]]+Query1[[#This Row],[UNIV Running Total]]</f>
        <v>5834</v>
      </c>
      <c r="L3486">
        <f>VLOOKUP(Query1[[#This Row],[Description]],'kits to boards'!$B$2:$E$156,2,FALSE)</f>
        <v>830099</v>
      </c>
      <c r="M3486">
        <f>VLOOKUP(Query1[[#This Row],[Description]],'kits to boards'!$B$2:$E$156,3,FALSE)</f>
        <v>0</v>
      </c>
      <c r="N3486">
        <f>VLOOKUP(Query1[[#This Row],[Description]],'kits to boards'!$B$2:$E$156,4,FALSE)</f>
        <v>0</v>
      </c>
      <c r="O3486" t="str">
        <f>CONCATENATE(Query1[[#This Row],[Description]]," - ",Query1[[#This Row],[MB1]]," - ",Query1[[#This Row],[MB2]]," - ",Query1[[#This Row],[MB3]])</f>
        <v>MINI GEN II W/DEF - 830099 - 0 - 0</v>
      </c>
    </row>
    <row r="3487" spans="1:15" x14ac:dyDescent="0.25">
      <c r="A3487" s="1">
        <v>918543</v>
      </c>
      <c r="B3487" s="1" t="s">
        <v>44</v>
      </c>
      <c r="C3487" s="1" t="s">
        <v>45</v>
      </c>
      <c r="D3487" s="2">
        <v>44657.590498067133</v>
      </c>
      <c r="E3487" s="1" t="s">
        <v>8</v>
      </c>
      <c r="F3487" s="1">
        <v>28</v>
      </c>
      <c r="G3487" s="1">
        <v>0</v>
      </c>
      <c r="H3487" s="6">
        <f>INT(Query1[[#This Row],[EntryDateTime]])</f>
        <v>44657</v>
      </c>
      <c r="I3487" s="1">
        <f>IF(Query1[[#This Row],[ItemType]]="EVAP KIT SF GEN IV",Query1[[#This Row],[OrderQty]]+I3486,I3486)</f>
        <v>4380</v>
      </c>
      <c r="J3487" s="1">
        <f>IF(Query1[[#This Row],[ItemType]]="EVAP KIT UNIVERSAL",Query1[[#This Row],[OrderQty]]+J3486,J3486)</f>
        <v>1482</v>
      </c>
      <c r="K3487" s="1">
        <f>Query1[[#This Row],[SF Running Total]]+Query1[[#This Row],[UNIV Running Total]]</f>
        <v>5862</v>
      </c>
      <c r="L3487">
        <f>VLOOKUP(Query1[[#This Row],[Description]],'kits to boards'!$B$2:$E$156,2,FALSE)</f>
        <v>830085</v>
      </c>
      <c r="M3487">
        <f>VLOOKUP(Query1[[#This Row],[Description]],'kits to boards'!$B$2:$E$156,3,FALSE)</f>
        <v>0</v>
      </c>
      <c r="N3487">
        <f>VLOOKUP(Query1[[#This Row],[Description]],'kits to boards'!$B$2:$E$156,4,FALSE)</f>
        <v>0</v>
      </c>
      <c r="O3487" t="str">
        <f>CONCATENATE(Query1[[#This Row],[Description]]," - ",Query1[[#This Row],[MB1]]," - ",Query1[[#This Row],[MB2]]," - ",Query1[[#This Row],[MB3]])</f>
        <v>EVAP KIT 66-77 BRONCO - 830085 - 0 - 0</v>
      </c>
    </row>
    <row r="3488" spans="1:15" x14ac:dyDescent="0.25">
      <c r="A3488" s="1">
        <v>918543</v>
      </c>
      <c r="B3488" s="1" t="s">
        <v>46</v>
      </c>
      <c r="C3488" s="1" t="s">
        <v>47</v>
      </c>
      <c r="D3488" s="2">
        <v>44657.590500081016</v>
      </c>
      <c r="E3488" s="1" t="s">
        <v>8</v>
      </c>
      <c r="F3488" s="1">
        <v>4</v>
      </c>
      <c r="G3488" s="1">
        <v>0</v>
      </c>
      <c r="H3488" s="6">
        <f>INT(Query1[[#This Row],[EntryDateTime]])</f>
        <v>44657</v>
      </c>
      <c r="I3488" s="1">
        <f>IF(Query1[[#This Row],[ItemType]]="EVAP KIT SF GEN IV",Query1[[#This Row],[OrderQty]]+I3487,I3487)</f>
        <v>4384</v>
      </c>
      <c r="J3488" s="1">
        <f>IF(Query1[[#This Row],[ItemType]]="EVAP KIT UNIVERSAL",Query1[[#This Row],[OrderQty]]+J3487,J3487)</f>
        <v>1482</v>
      </c>
      <c r="K3488" s="1">
        <f>Query1[[#This Row],[SF Running Total]]+Query1[[#This Row],[UNIV Running Total]]</f>
        <v>5866</v>
      </c>
      <c r="L3488">
        <f>VLOOKUP(Query1[[#This Row],[Description]],'kits to boards'!$B$2:$E$156,2,FALSE)</f>
        <v>830018</v>
      </c>
      <c r="M3488">
        <f>VLOOKUP(Query1[[#This Row],[Description]],'kits to boards'!$B$2:$E$156,3,FALSE)</f>
        <v>0</v>
      </c>
      <c r="N3488">
        <f>VLOOKUP(Query1[[#This Row],[Description]],'kits to boards'!$B$2:$E$156,4,FALSE)</f>
        <v>0</v>
      </c>
      <c r="O3488" t="str">
        <f>CONCATENATE(Query1[[#This Row],[Description]]," - ",Query1[[#This Row],[MB1]]," - ",Query1[[#This Row],[MB2]]," - ",Query1[[#This Row],[MB3]])</f>
        <v>EVAP KIT 68-72 FORD P-UP F-100 - 830018 - 0 - 0</v>
      </c>
    </row>
    <row r="3489" spans="1:15" x14ac:dyDescent="0.25">
      <c r="A3489" s="1">
        <v>918543</v>
      </c>
      <c r="B3489" s="1" t="s">
        <v>96</v>
      </c>
      <c r="C3489" s="1" t="s">
        <v>97</v>
      </c>
      <c r="D3489" s="2">
        <v>44657.590502349536</v>
      </c>
      <c r="E3489" s="1" t="s">
        <v>8</v>
      </c>
      <c r="F3489" s="1">
        <v>7</v>
      </c>
      <c r="G3489" s="1">
        <v>0</v>
      </c>
      <c r="H3489" s="6">
        <f>INT(Query1[[#This Row],[EntryDateTime]])</f>
        <v>44657</v>
      </c>
      <c r="I3489" s="1">
        <f>IF(Query1[[#This Row],[ItemType]]="EVAP KIT SF GEN IV",Query1[[#This Row],[OrderQty]]+I3488,I3488)</f>
        <v>4391</v>
      </c>
      <c r="J3489" s="1">
        <f>IF(Query1[[#This Row],[ItemType]]="EVAP KIT UNIVERSAL",Query1[[#This Row],[OrderQty]]+J3488,J3488)</f>
        <v>1482</v>
      </c>
      <c r="K3489" s="1">
        <f>Query1[[#This Row],[SF Running Total]]+Query1[[#This Row],[UNIV Running Total]]</f>
        <v>5873</v>
      </c>
      <c r="L3489">
        <f>VLOOKUP(Query1[[#This Row],[Description]],'kits to boards'!$B$2:$E$156,2,FALSE)</f>
        <v>830004</v>
      </c>
      <c r="M3489">
        <f>VLOOKUP(Query1[[#This Row],[Description]],'kits to boards'!$B$2:$E$156,3,FALSE)</f>
        <v>0</v>
      </c>
      <c r="N3489">
        <f>VLOOKUP(Query1[[#This Row],[Description]],'kits to boards'!$B$2:$E$156,4,FALSE)</f>
        <v>0</v>
      </c>
      <c r="O3489" t="str">
        <f>CONCATENATE(Query1[[#This Row],[Description]]," - ",Query1[[#This Row],[MB1]]," - ",Query1[[#This Row],[MB2]]," - ",Query1[[#This Row],[MB3]])</f>
        <v>EVAP KIT 81-87 CHEV P-UP W/AC - 830004 - 0 - 0</v>
      </c>
    </row>
    <row r="3490" spans="1:15" x14ac:dyDescent="0.25">
      <c r="A3490" s="1">
        <v>916329</v>
      </c>
      <c r="B3490" s="1" t="s">
        <v>106</v>
      </c>
      <c r="C3490" s="1" t="s">
        <v>107</v>
      </c>
      <c r="D3490" s="2">
        <v>44657.590986226853</v>
      </c>
      <c r="E3490" s="1" t="s">
        <v>8</v>
      </c>
      <c r="F3490" s="1">
        <v>1</v>
      </c>
      <c r="G3490" s="1">
        <v>0</v>
      </c>
      <c r="H3490" s="6">
        <f>INT(Query1[[#This Row],[EntryDateTime]])</f>
        <v>44657</v>
      </c>
      <c r="I3490" s="1">
        <f>IF(Query1[[#This Row],[ItemType]]="EVAP KIT SF GEN IV",Query1[[#This Row],[OrderQty]]+I3489,I3489)</f>
        <v>4392</v>
      </c>
      <c r="J3490" s="1">
        <f>IF(Query1[[#This Row],[ItemType]]="EVAP KIT UNIVERSAL",Query1[[#This Row],[OrderQty]]+J3489,J3489)</f>
        <v>1482</v>
      </c>
      <c r="K3490" s="1">
        <f>Query1[[#This Row],[SF Running Total]]+Query1[[#This Row],[UNIV Running Total]]</f>
        <v>5874</v>
      </c>
      <c r="L3490">
        <f>VLOOKUP(Query1[[#This Row],[Description]],'kits to boards'!$B$2:$E$156,2,FALSE)</f>
        <v>830028</v>
      </c>
      <c r="M3490">
        <f>VLOOKUP(Query1[[#This Row],[Description]],'kits to boards'!$B$2:$E$156,3,FALSE)</f>
        <v>0</v>
      </c>
      <c r="N3490">
        <f>VLOOKUP(Query1[[#This Row],[Description]],'kits to boards'!$B$2:$E$156,4,FALSE)</f>
        <v>0</v>
      </c>
      <c r="O3490" t="str">
        <f>CONCATENATE(Query1[[#This Row],[Description]]," - ",Query1[[#This Row],[MB1]]," - ",Query1[[#This Row],[MB2]]," - ",Query1[[#This Row],[MB3]])</f>
        <v>EVAP KIT 55-59 CHEV P-UP WO AC W/DELX - 830028 - 0 - 0</v>
      </c>
    </row>
    <row r="3491" spans="1:15" x14ac:dyDescent="0.25">
      <c r="A3491" s="1">
        <v>918292</v>
      </c>
      <c r="B3491" s="1" t="s">
        <v>244</v>
      </c>
      <c r="C3491" s="1" t="s">
        <v>245</v>
      </c>
      <c r="D3491" s="2">
        <v>44657.601915393519</v>
      </c>
      <c r="E3491" s="1" t="s">
        <v>8</v>
      </c>
      <c r="F3491" s="1">
        <v>1</v>
      </c>
      <c r="G3491" s="1">
        <v>0</v>
      </c>
      <c r="H3491" s="6">
        <f>INT(Query1[[#This Row],[EntryDateTime]])</f>
        <v>44657</v>
      </c>
      <c r="I3491" s="1">
        <f>IF(Query1[[#This Row],[ItemType]]="EVAP KIT SF GEN IV",Query1[[#This Row],[OrderQty]]+I3490,I3490)</f>
        <v>4393</v>
      </c>
      <c r="J3491" s="1">
        <f>IF(Query1[[#This Row],[ItemType]]="EVAP KIT UNIVERSAL",Query1[[#This Row],[OrderQty]]+J3490,J3490)</f>
        <v>1482</v>
      </c>
      <c r="K3491" s="1">
        <f>Query1[[#This Row],[SF Running Total]]+Query1[[#This Row],[UNIV Running Total]]</f>
        <v>5875</v>
      </c>
      <c r="L3491">
        <f>VLOOKUP(Query1[[#This Row],[Description]],'kits to boards'!$B$2:$E$156,2,FALSE)</f>
        <v>830100</v>
      </c>
      <c r="M3491">
        <f>VLOOKUP(Query1[[#This Row],[Description]],'kits to boards'!$B$2:$E$156,3,FALSE)</f>
        <v>0</v>
      </c>
      <c r="N3491">
        <f>VLOOKUP(Query1[[#This Row],[Description]],'kits to boards'!$B$2:$E$156,4,FALSE)</f>
        <v>0</v>
      </c>
      <c r="O3491" t="str">
        <f>CONCATENATE(Query1[[#This Row],[Description]]," - ",Query1[[#This Row],[MB1]]," - ",Query1[[#This Row],[MB2]]," - ",Query1[[#This Row],[MB3]])</f>
        <v>EVAP KIT 68-76 VETTE WO AC - 830100 - 0 - 0</v>
      </c>
    </row>
    <row r="3492" spans="1:15" x14ac:dyDescent="0.25">
      <c r="A3492" s="1">
        <v>918553</v>
      </c>
      <c r="B3492" s="1" t="s">
        <v>26</v>
      </c>
      <c r="C3492" s="1" t="s">
        <v>27</v>
      </c>
      <c r="D3492" s="2">
        <v>44657.603611076389</v>
      </c>
      <c r="E3492" s="1" t="s">
        <v>8</v>
      </c>
      <c r="F3492" s="1">
        <v>1</v>
      </c>
      <c r="G3492" s="1">
        <v>0</v>
      </c>
      <c r="H3492" s="6">
        <f>INT(Query1[[#This Row],[EntryDateTime]])</f>
        <v>44657</v>
      </c>
      <c r="I3492" s="1">
        <f>IF(Query1[[#This Row],[ItemType]]="EVAP KIT SF GEN IV",Query1[[#This Row],[OrderQty]]+I3491,I3491)</f>
        <v>4394</v>
      </c>
      <c r="J3492" s="1">
        <f>IF(Query1[[#This Row],[ItemType]]="EVAP KIT UNIVERSAL",Query1[[#This Row],[OrderQty]]+J3491,J3491)</f>
        <v>1482</v>
      </c>
      <c r="K3492" s="1">
        <f>Query1[[#This Row],[SF Running Total]]+Query1[[#This Row],[UNIV Running Total]]</f>
        <v>5876</v>
      </c>
      <c r="L3492">
        <f>VLOOKUP(Query1[[#This Row],[Description]],'kits to boards'!$B$2:$E$156,2,FALSE)</f>
        <v>830013</v>
      </c>
      <c r="M3492">
        <f>VLOOKUP(Query1[[#This Row],[Description]],'kits to boards'!$B$2:$E$156,3,FALSE)</f>
        <v>0</v>
      </c>
      <c r="N3492">
        <f>VLOOKUP(Query1[[#This Row],[Description]],'kits to boards'!$B$2:$E$156,4,FALSE)</f>
        <v>0</v>
      </c>
      <c r="O3492" t="str">
        <f>CONCATENATE(Query1[[#This Row],[Description]]," - ",Query1[[#This Row],[MB1]]," - ",Query1[[#This Row],[MB2]]," - ",Query1[[#This Row],[MB3]])</f>
        <v>EVAP KIT 67-72 CHEV P-UP W/AC - 830013 - 0 - 0</v>
      </c>
    </row>
    <row r="3493" spans="1:15" x14ac:dyDescent="0.25">
      <c r="A3493" s="1">
        <v>917944</v>
      </c>
      <c r="B3493" s="1" t="s">
        <v>46</v>
      </c>
      <c r="C3493" s="1" t="s">
        <v>47</v>
      </c>
      <c r="D3493" s="2">
        <v>44657.607725810187</v>
      </c>
      <c r="E3493" s="1" t="s">
        <v>8</v>
      </c>
      <c r="F3493" s="1">
        <v>1</v>
      </c>
      <c r="G3493" s="1">
        <v>0</v>
      </c>
      <c r="H3493" s="6">
        <f>INT(Query1[[#This Row],[EntryDateTime]])</f>
        <v>44657</v>
      </c>
      <c r="I3493" s="1">
        <f>IF(Query1[[#This Row],[ItemType]]="EVAP KIT SF GEN IV",Query1[[#This Row],[OrderQty]]+I3492,I3492)</f>
        <v>4395</v>
      </c>
      <c r="J3493" s="1">
        <f>IF(Query1[[#This Row],[ItemType]]="EVAP KIT UNIVERSAL",Query1[[#This Row],[OrderQty]]+J3492,J3492)</f>
        <v>1482</v>
      </c>
      <c r="K3493" s="1">
        <f>Query1[[#This Row],[SF Running Total]]+Query1[[#This Row],[UNIV Running Total]]</f>
        <v>5877</v>
      </c>
      <c r="L3493">
        <f>VLOOKUP(Query1[[#This Row],[Description]],'kits to boards'!$B$2:$E$156,2,FALSE)</f>
        <v>830018</v>
      </c>
      <c r="M3493">
        <f>VLOOKUP(Query1[[#This Row],[Description]],'kits to boards'!$B$2:$E$156,3,FALSE)</f>
        <v>0</v>
      </c>
      <c r="N3493">
        <f>VLOOKUP(Query1[[#This Row],[Description]],'kits to boards'!$B$2:$E$156,4,FALSE)</f>
        <v>0</v>
      </c>
      <c r="O3493" t="str">
        <f>CONCATENATE(Query1[[#This Row],[Description]]," - ",Query1[[#This Row],[MB1]]," - ",Query1[[#This Row],[MB2]]," - ",Query1[[#This Row],[MB3]])</f>
        <v>EVAP KIT 68-72 FORD P-UP F-100 - 830018 - 0 - 0</v>
      </c>
    </row>
    <row r="3494" spans="1:15" x14ac:dyDescent="0.25">
      <c r="A3494" s="1">
        <v>918555</v>
      </c>
      <c r="B3494" s="1" t="s">
        <v>24</v>
      </c>
      <c r="C3494" s="1" t="s">
        <v>25</v>
      </c>
      <c r="D3494" s="2">
        <v>44657.609666701392</v>
      </c>
      <c r="E3494" s="1" t="s">
        <v>11</v>
      </c>
      <c r="F3494" s="1">
        <v>1</v>
      </c>
      <c r="G3494" s="1">
        <v>0</v>
      </c>
      <c r="H3494" s="6">
        <f>INT(Query1[[#This Row],[EntryDateTime]])</f>
        <v>44657</v>
      </c>
      <c r="I3494" s="1">
        <f>IF(Query1[[#This Row],[ItemType]]="EVAP KIT SF GEN IV",Query1[[#This Row],[OrderQty]]+I3493,I3493)</f>
        <v>4395</v>
      </c>
      <c r="J3494" s="1">
        <f>IF(Query1[[#This Row],[ItemType]]="EVAP KIT UNIVERSAL",Query1[[#This Row],[OrderQty]]+J3493,J3493)</f>
        <v>1483</v>
      </c>
      <c r="K3494" s="1">
        <f>Query1[[#This Row],[SF Running Total]]+Query1[[#This Row],[UNIV Running Total]]</f>
        <v>5878</v>
      </c>
      <c r="L3494">
        <f>VLOOKUP(Query1[[#This Row],[Description]],'kits to boards'!$B$2:$E$156,2,FALSE)</f>
        <v>830029</v>
      </c>
      <c r="M3494">
        <f>VLOOKUP(Query1[[#This Row],[Description]],'kits to boards'!$B$2:$E$156,3,FALSE)</f>
        <v>830030</v>
      </c>
      <c r="N3494">
        <f>VLOOKUP(Query1[[#This Row],[Description]],'kits to boards'!$B$2:$E$156,4,FALSE)</f>
        <v>0</v>
      </c>
      <c r="O3494" t="str">
        <f>CONCATENATE(Query1[[#This Row],[Description]]," - ",Query1[[#This Row],[MB1]]," - ",Query1[[#This Row],[MB2]]," - ",Query1[[#This Row],[MB3]])</f>
        <v>ComPac GEN II W/DEF - 830029 - 830030 - 0</v>
      </c>
    </row>
    <row r="3495" spans="1:15" x14ac:dyDescent="0.25">
      <c r="A3495" s="1">
        <v>918559</v>
      </c>
      <c r="B3495" s="1" t="s">
        <v>22</v>
      </c>
      <c r="C3495" s="1" t="s">
        <v>23</v>
      </c>
      <c r="D3495" s="2">
        <v>44657.613602118057</v>
      </c>
      <c r="E3495" s="1" t="s">
        <v>8</v>
      </c>
      <c r="F3495" s="1">
        <v>1</v>
      </c>
      <c r="G3495" s="1">
        <v>0</v>
      </c>
      <c r="H3495" s="6">
        <f>INT(Query1[[#This Row],[EntryDateTime]])</f>
        <v>44657</v>
      </c>
      <c r="I3495" s="1">
        <f>IF(Query1[[#This Row],[ItemType]]="EVAP KIT SF GEN IV",Query1[[#This Row],[OrderQty]]+I3494,I3494)</f>
        <v>4396</v>
      </c>
      <c r="J3495" s="1">
        <f>IF(Query1[[#This Row],[ItemType]]="EVAP KIT UNIVERSAL",Query1[[#This Row],[OrderQty]]+J3494,J3494)</f>
        <v>1483</v>
      </c>
      <c r="K3495" s="1">
        <f>Query1[[#This Row],[SF Running Total]]+Query1[[#This Row],[UNIV Running Total]]</f>
        <v>5879</v>
      </c>
      <c r="L3495">
        <f>VLOOKUP(Query1[[#This Row],[Description]],'kits to boards'!$B$2:$E$156,2,FALSE)</f>
        <v>830083</v>
      </c>
      <c r="M3495">
        <f>VLOOKUP(Query1[[#This Row],[Description]],'kits to boards'!$B$2:$E$156,3,FALSE)</f>
        <v>0</v>
      </c>
      <c r="N3495">
        <f>VLOOKUP(Query1[[#This Row],[Description]],'kits to boards'!$B$2:$E$156,4,FALSE)</f>
        <v>0</v>
      </c>
      <c r="O3495" t="str">
        <f>CONCATENATE(Query1[[#This Row],[Description]]," - ",Query1[[#This Row],[MB1]]," - ",Query1[[#This Row],[MB2]]," - ",Query1[[#This Row],[MB3]])</f>
        <v>GEN IV MAGNUM EVAP KIT - 830083 - 0 - 0</v>
      </c>
    </row>
    <row r="3496" spans="1:15" x14ac:dyDescent="0.25">
      <c r="A3496" s="1">
        <v>918561</v>
      </c>
      <c r="B3496" s="1" t="s">
        <v>66</v>
      </c>
      <c r="C3496" s="1" t="s">
        <v>67</v>
      </c>
      <c r="D3496" s="2">
        <v>44657.619418055554</v>
      </c>
      <c r="E3496" s="1" t="s">
        <v>8</v>
      </c>
      <c r="F3496" s="1">
        <v>1</v>
      </c>
      <c r="G3496" s="1">
        <v>0</v>
      </c>
      <c r="H3496" s="6">
        <f>INT(Query1[[#This Row],[EntryDateTime]])</f>
        <v>44657</v>
      </c>
      <c r="I3496" s="1">
        <f>IF(Query1[[#This Row],[ItemType]]="EVAP KIT SF GEN IV",Query1[[#This Row],[OrderQty]]+I3495,I3495)</f>
        <v>4397</v>
      </c>
      <c r="J3496" s="1">
        <f>IF(Query1[[#This Row],[ItemType]]="EVAP KIT UNIVERSAL",Query1[[#This Row],[OrderQty]]+J3495,J3495)</f>
        <v>1483</v>
      </c>
      <c r="K3496" s="1">
        <f>Query1[[#This Row],[SF Running Total]]+Query1[[#This Row],[UNIV Running Total]]</f>
        <v>5880</v>
      </c>
      <c r="L3496">
        <f>VLOOKUP(Query1[[#This Row],[Description]],'kits to boards'!$B$2:$E$156,2,FALSE)</f>
        <v>830060</v>
      </c>
      <c r="M3496">
        <f>VLOOKUP(Query1[[#This Row],[Description]],'kits to boards'!$B$2:$E$156,3,FALSE)</f>
        <v>0</v>
      </c>
      <c r="N3496">
        <f>VLOOKUP(Query1[[#This Row],[Description]],'kits to boards'!$B$2:$E$156,4,FALSE)</f>
        <v>0</v>
      </c>
      <c r="O3496" t="str">
        <f>CONCATENATE(Query1[[#This Row],[Description]]," - ",Query1[[#This Row],[MB1]]," - ",Query1[[#This Row],[MB2]]," - ",Query1[[#This Row],[MB3]])</f>
        <v>EVAP KIT 66-67 CHEVELLE WO AC - 830060 - 0 - 0</v>
      </c>
    </row>
    <row r="3497" spans="1:15" x14ac:dyDescent="0.25">
      <c r="A3497" s="1">
        <v>918562</v>
      </c>
      <c r="B3497" s="1" t="s">
        <v>56</v>
      </c>
      <c r="C3497" s="1" t="s">
        <v>57</v>
      </c>
      <c r="D3497" s="2">
        <v>44657.620420104169</v>
      </c>
      <c r="E3497" s="1" t="s">
        <v>8</v>
      </c>
      <c r="F3497" s="1">
        <v>1</v>
      </c>
      <c r="G3497" s="1">
        <v>0</v>
      </c>
      <c r="H3497" s="6">
        <f>INT(Query1[[#This Row],[EntryDateTime]])</f>
        <v>44657</v>
      </c>
      <c r="I3497" s="1">
        <f>IF(Query1[[#This Row],[ItemType]]="EVAP KIT SF GEN IV",Query1[[#This Row],[OrderQty]]+I3496,I3496)</f>
        <v>4398</v>
      </c>
      <c r="J3497" s="1">
        <f>IF(Query1[[#This Row],[ItemType]]="EVAP KIT UNIVERSAL",Query1[[#This Row],[OrderQty]]+J3496,J3496)</f>
        <v>1483</v>
      </c>
      <c r="K3497" s="1">
        <f>Query1[[#This Row],[SF Running Total]]+Query1[[#This Row],[UNIV Running Total]]</f>
        <v>5881</v>
      </c>
      <c r="L3497">
        <f>VLOOKUP(Query1[[#This Row],[Description]],'kits to boards'!$B$2:$E$156,2,FALSE)</f>
        <v>830011</v>
      </c>
      <c r="M3497">
        <f>VLOOKUP(Query1[[#This Row],[Description]],'kits to boards'!$B$2:$E$156,3,FALSE)</f>
        <v>0</v>
      </c>
      <c r="N3497">
        <f>VLOOKUP(Query1[[#This Row],[Description]],'kits to boards'!$B$2:$E$156,4,FALSE)</f>
        <v>0</v>
      </c>
      <c r="O3497" t="str">
        <f>CONCATENATE(Query1[[#This Row],[Description]]," - ",Query1[[#This Row],[MB1]]," - ",Query1[[#This Row],[MB2]]," - ",Query1[[#This Row],[MB3]])</f>
        <v>EVAP KIT 70-72 CHEVELLE W/AC - 830011 - 0 - 0</v>
      </c>
    </row>
    <row r="3498" spans="1:15" x14ac:dyDescent="0.25">
      <c r="A3498" s="1">
        <v>918565</v>
      </c>
      <c r="B3498" s="1" t="s">
        <v>56</v>
      </c>
      <c r="C3498" s="1" t="s">
        <v>57</v>
      </c>
      <c r="D3498" s="2">
        <v>44657.621744756943</v>
      </c>
      <c r="E3498" s="1" t="s">
        <v>8</v>
      </c>
      <c r="F3498" s="1">
        <v>1</v>
      </c>
      <c r="G3498" s="1">
        <v>0</v>
      </c>
      <c r="H3498" s="6">
        <f>INT(Query1[[#This Row],[EntryDateTime]])</f>
        <v>44657</v>
      </c>
      <c r="I3498" s="1">
        <f>IF(Query1[[#This Row],[ItemType]]="EVAP KIT SF GEN IV",Query1[[#This Row],[OrderQty]]+I3497,I3497)</f>
        <v>4399</v>
      </c>
      <c r="J3498" s="1">
        <f>IF(Query1[[#This Row],[ItemType]]="EVAP KIT UNIVERSAL",Query1[[#This Row],[OrderQty]]+J3497,J3497)</f>
        <v>1483</v>
      </c>
      <c r="K3498" s="1">
        <f>Query1[[#This Row],[SF Running Total]]+Query1[[#This Row],[UNIV Running Total]]</f>
        <v>5882</v>
      </c>
      <c r="L3498">
        <f>VLOOKUP(Query1[[#This Row],[Description]],'kits to boards'!$B$2:$E$156,2,FALSE)</f>
        <v>830011</v>
      </c>
      <c r="M3498">
        <f>VLOOKUP(Query1[[#This Row],[Description]],'kits to boards'!$B$2:$E$156,3,FALSE)</f>
        <v>0</v>
      </c>
      <c r="N3498">
        <f>VLOOKUP(Query1[[#This Row],[Description]],'kits to boards'!$B$2:$E$156,4,FALSE)</f>
        <v>0</v>
      </c>
      <c r="O3498" t="str">
        <f>CONCATENATE(Query1[[#This Row],[Description]]," - ",Query1[[#This Row],[MB1]]," - ",Query1[[#This Row],[MB2]]," - ",Query1[[#This Row],[MB3]])</f>
        <v>EVAP KIT 70-72 CHEVELLE W/AC - 830011 - 0 - 0</v>
      </c>
    </row>
    <row r="3499" spans="1:15" x14ac:dyDescent="0.25">
      <c r="A3499" s="1">
        <v>918566</v>
      </c>
      <c r="B3499" s="1" t="s">
        <v>56</v>
      </c>
      <c r="C3499" s="1" t="s">
        <v>57</v>
      </c>
      <c r="D3499" s="2">
        <v>44657.623664120372</v>
      </c>
      <c r="E3499" s="1" t="s">
        <v>8</v>
      </c>
      <c r="F3499" s="1">
        <v>1</v>
      </c>
      <c r="G3499" s="1">
        <v>0</v>
      </c>
      <c r="H3499" s="6">
        <f>INT(Query1[[#This Row],[EntryDateTime]])</f>
        <v>44657</v>
      </c>
      <c r="I3499" s="1">
        <f>IF(Query1[[#This Row],[ItemType]]="EVAP KIT SF GEN IV",Query1[[#This Row],[OrderQty]]+I3498,I3498)</f>
        <v>4400</v>
      </c>
      <c r="J3499" s="1">
        <f>IF(Query1[[#This Row],[ItemType]]="EVAP KIT UNIVERSAL",Query1[[#This Row],[OrderQty]]+J3498,J3498)</f>
        <v>1483</v>
      </c>
      <c r="K3499" s="1">
        <f>Query1[[#This Row],[SF Running Total]]+Query1[[#This Row],[UNIV Running Total]]</f>
        <v>5883</v>
      </c>
      <c r="L3499">
        <f>VLOOKUP(Query1[[#This Row],[Description]],'kits to boards'!$B$2:$E$156,2,FALSE)</f>
        <v>830011</v>
      </c>
      <c r="M3499">
        <f>VLOOKUP(Query1[[#This Row],[Description]],'kits to boards'!$B$2:$E$156,3,FALSE)</f>
        <v>0</v>
      </c>
      <c r="N3499">
        <f>VLOOKUP(Query1[[#This Row],[Description]],'kits to boards'!$B$2:$E$156,4,FALSE)</f>
        <v>0</v>
      </c>
      <c r="O3499" t="str">
        <f>CONCATENATE(Query1[[#This Row],[Description]]," - ",Query1[[#This Row],[MB1]]," - ",Query1[[#This Row],[MB2]]," - ",Query1[[#This Row],[MB3]])</f>
        <v>EVAP KIT 70-72 CHEVELLE W/AC - 830011 - 0 - 0</v>
      </c>
    </row>
    <row r="3500" spans="1:15" x14ac:dyDescent="0.25">
      <c r="A3500" s="1">
        <v>918567</v>
      </c>
      <c r="B3500" s="1" t="s">
        <v>56</v>
      </c>
      <c r="C3500" s="1" t="s">
        <v>57</v>
      </c>
      <c r="D3500" s="2">
        <v>44657.625589502313</v>
      </c>
      <c r="E3500" s="1" t="s">
        <v>8</v>
      </c>
      <c r="F3500" s="1">
        <v>1</v>
      </c>
      <c r="G3500" s="1">
        <v>0</v>
      </c>
      <c r="H3500" s="6">
        <f>INT(Query1[[#This Row],[EntryDateTime]])</f>
        <v>44657</v>
      </c>
      <c r="I3500" s="1">
        <f>IF(Query1[[#This Row],[ItemType]]="EVAP KIT SF GEN IV",Query1[[#This Row],[OrderQty]]+I3499,I3499)</f>
        <v>4401</v>
      </c>
      <c r="J3500" s="1">
        <f>IF(Query1[[#This Row],[ItemType]]="EVAP KIT UNIVERSAL",Query1[[#This Row],[OrderQty]]+J3499,J3499)</f>
        <v>1483</v>
      </c>
      <c r="K3500" s="1">
        <f>Query1[[#This Row],[SF Running Total]]+Query1[[#This Row],[UNIV Running Total]]</f>
        <v>5884</v>
      </c>
      <c r="L3500">
        <f>VLOOKUP(Query1[[#This Row],[Description]],'kits to boards'!$B$2:$E$156,2,FALSE)</f>
        <v>830011</v>
      </c>
      <c r="M3500">
        <f>VLOOKUP(Query1[[#This Row],[Description]],'kits to boards'!$B$2:$E$156,3,FALSE)</f>
        <v>0</v>
      </c>
      <c r="N3500">
        <f>VLOOKUP(Query1[[#This Row],[Description]],'kits to boards'!$B$2:$E$156,4,FALSE)</f>
        <v>0</v>
      </c>
      <c r="O3500" t="str">
        <f>CONCATENATE(Query1[[#This Row],[Description]]," - ",Query1[[#This Row],[MB1]]," - ",Query1[[#This Row],[MB2]]," - ",Query1[[#This Row],[MB3]])</f>
        <v>EVAP KIT 70-72 CHEVELLE W/AC - 830011 - 0 - 0</v>
      </c>
    </row>
    <row r="3501" spans="1:15" x14ac:dyDescent="0.25">
      <c r="A3501" s="1">
        <v>918564</v>
      </c>
      <c r="B3501" s="1" t="s">
        <v>68</v>
      </c>
      <c r="C3501" s="1" t="s">
        <v>69</v>
      </c>
      <c r="D3501" s="2">
        <v>44657.629413310184</v>
      </c>
      <c r="E3501" s="1" t="s">
        <v>8</v>
      </c>
      <c r="F3501" s="1">
        <v>1</v>
      </c>
      <c r="G3501" s="1">
        <v>0</v>
      </c>
      <c r="H3501" s="6">
        <f>INT(Query1[[#This Row],[EntryDateTime]])</f>
        <v>44657</v>
      </c>
      <c r="I3501" s="1">
        <f>IF(Query1[[#This Row],[ItemType]]="EVAP KIT SF GEN IV",Query1[[#This Row],[OrderQty]]+I3500,I3500)</f>
        <v>4402</v>
      </c>
      <c r="J3501" s="1">
        <f>IF(Query1[[#This Row],[ItemType]]="EVAP KIT UNIVERSAL",Query1[[#This Row],[OrderQty]]+J3500,J3500)</f>
        <v>1483</v>
      </c>
      <c r="K3501" s="1">
        <f>Query1[[#This Row],[SF Running Total]]+Query1[[#This Row],[UNIV Running Total]]</f>
        <v>5885</v>
      </c>
      <c r="L3501">
        <f>VLOOKUP(Query1[[#This Row],[Description]],'kits to boards'!$B$2:$E$156,2,FALSE)</f>
        <v>830010</v>
      </c>
      <c r="M3501">
        <f>VLOOKUP(Query1[[#This Row],[Description]],'kits to boards'!$B$2:$E$156,3,FALSE)</f>
        <v>0</v>
      </c>
      <c r="N3501">
        <f>VLOOKUP(Query1[[#This Row],[Description]],'kits to boards'!$B$2:$E$156,4,FALSE)</f>
        <v>0</v>
      </c>
      <c r="O3501" t="str">
        <f>CONCATENATE(Query1[[#This Row],[Description]]," - ",Query1[[#This Row],[MB1]]," - ",Query1[[#This Row],[MB2]]," - ",Query1[[#This Row],[MB3]])</f>
        <v>EVAP KIT 70-72 CHEVELLE WO AC - 830010 - 0 - 0</v>
      </c>
    </row>
    <row r="3502" spans="1:15" x14ac:dyDescent="0.25">
      <c r="A3502" s="1">
        <v>918564</v>
      </c>
      <c r="B3502" s="1" t="s">
        <v>14</v>
      </c>
      <c r="C3502" s="1" t="s">
        <v>15</v>
      </c>
      <c r="D3502" s="2">
        <v>44657.629647800924</v>
      </c>
      <c r="E3502" s="1" t="s">
        <v>8</v>
      </c>
      <c r="F3502" s="1">
        <v>3</v>
      </c>
      <c r="G3502" s="1">
        <v>0</v>
      </c>
      <c r="H3502" s="6">
        <f>INT(Query1[[#This Row],[EntryDateTime]])</f>
        <v>44657</v>
      </c>
      <c r="I3502" s="1">
        <f>IF(Query1[[#This Row],[ItemType]]="EVAP KIT SF GEN IV",Query1[[#This Row],[OrderQty]]+I3501,I3501)</f>
        <v>4405</v>
      </c>
      <c r="J3502" s="1">
        <f>IF(Query1[[#This Row],[ItemType]]="EVAP KIT UNIVERSAL",Query1[[#This Row],[OrderQty]]+J3501,J3501)</f>
        <v>1483</v>
      </c>
      <c r="K3502" s="1">
        <f>Query1[[#This Row],[SF Running Total]]+Query1[[#This Row],[UNIV Running Total]]</f>
        <v>5888</v>
      </c>
      <c r="L3502">
        <f>VLOOKUP(Query1[[#This Row],[Description]],'kits to boards'!$B$2:$E$156,2,FALSE)</f>
        <v>830054</v>
      </c>
      <c r="M3502">
        <f>VLOOKUP(Query1[[#This Row],[Description]],'kits to boards'!$B$2:$E$156,3,FALSE)</f>
        <v>0</v>
      </c>
      <c r="N3502">
        <f>VLOOKUP(Query1[[#This Row],[Description]],'kits to boards'!$B$2:$E$156,4,FALSE)</f>
        <v>0</v>
      </c>
      <c r="O3502" t="str">
        <f>CONCATENATE(Query1[[#This Row],[Description]]," - ",Query1[[#This Row],[MB1]]," - ",Query1[[#This Row],[MB2]]," - ",Query1[[#This Row],[MB3]])</f>
        <v>EVAP KIT 55-56 CHEVY - 830054 - 0 - 0</v>
      </c>
    </row>
    <row r="3503" spans="1:15" x14ac:dyDescent="0.25">
      <c r="A3503" s="1">
        <v>918564</v>
      </c>
      <c r="B3503" s="1" t="s">
        <v>30</v>
      </c>
      <c r="C3503" s="1" t="s">
        <v>31</v>
      </c>
      <c r="D3503" s="2">
        <v>44657.629862499998</v>
      </c>
      <c r="E3503" s="1" t="s">
        <v>8</v>
      </c>
      <c r="F3503" s="1">
        <v>1</v>
      </c>
      <c r="G3503" s="1">
        <v>0</v>
      </c>
      <c r="H3503" s="6">
        <f>INT(Query1[[#This Row],[EntryDateTime]])</f>
        <v>44657</v>
      </c>
      <c r="I3503" s="1">
        <f>IF(Query1[[#This Row],[ItemType]]="EVAP KIT SF GEN IV",Query1[[#This Row],[OrderQty]]+I3502,I3502)</f>
        <v>4406</v>
      </c>
      <c r="J3503" s="1">
        <f>IF(Query1[[#This Row],[ItemType]]="EVAP KIT UNIVERSAL",Query1[[#This Row],[OrderQty]]+J3502,J3502)</f>
        <v>1483</v>
      </c>
      <c r="K3503" s="1">
        <f>Query1[[#This Row],[SF Running Total]]+Query1[[#This Row],[UNIV Running Total]]</f>
        <v>5889</v>
      </c>
      <c r="L3503">
        <f>VLOOKUP(Query1[[#This Row],[Description]],'kits to boards'!$B$2:$E$156,2,FALSE)</f>
        <v>830054</v>
      </c>
      <c r="M3503">
        <f>VLOOKUP(Query1[[#This Row],[Description]],'kits to boards'!$B$2:$E$156,3,FALSE)</f>
        <v>0</v>
      </c>
      <c r="N3503">
        <f>VLOOKUP(Query1[[#This Row],[Description]],'kits to boards'!$B$2:$E$156,4,FALSE)</f>
        <v>0</v>
      </c>
      <c r="O3503" t="str">
        <f>CONCATENATE(Query1[[#This Row],[Description]]," - ",Query1[[#This Row],[MB1]]," - ",Query1[[#This Row],[MB2]]," - ",Query1[[#This Row],[MB3]])</f>
        <v>EVAP KIT 55-56 CHEVY 4-VENT - 830054 - 0 - 0</v>
      </c>
    </row>
    <row r="3504" spans="1:15" x14ac:dyDescent="0.25">
      <c r="A3504" s="1">
        <v>918564</v>
      </c>
      <c r="B3504" s="1" t="s">
        <v>98</v>
      </c>
      <c r="C3504" s="1" t="s">
        <v>99</v>
      </c>
      <c r="D3504" s="2">
        <v>44657.630525891203</v>
      </c>
      <c r="E3504" s="1" t="s">
        <v>11</v>
      </c>
      <c r="F3504" s="1">
        <v>20</v>
      </c>
      <c r="G3504" s="1">
        <v>0</v>
      </c>
      <c r="H3504" s="6">
        <f>INT(Query1[[#This Row],[EntryDateTime]])</f>
        <v>44657</v>
      </c>
      <c r="I3504" s="1">
        <f>IF(Query1[[#This Row],[ItemType]]="EVAP KIT SF GEN IV",Query1[[#This Row],[OrderQty]]+I3503,I3503)</f>
        <v>4406</v>
      </c>
      <c r="J3504" s="1">
        <f>IF(Query1[[#This Row],[ItemType]]="EVAP KIT UNIVERSAL",Query1[[#This Row],[OrderQty]]+J3503,J3503)</f>
        <v>1503</v>
      </c>
      <c r="K3504" s="1">
        <f>Query1[[#This Row],[SF Running Total]]+Query1[[#This Row],[UNIV Running Total]]</f>
        <v>5909</v>
      </c>
      <c r="L3504">
        <f>VLOOKUP(Query1[[#This Row],[Description]],'kits to boards'!$B$2:$E$156,2,FALSE)</f>
        <v>830099</v>
      </c>
      <c r="M3504">
        <f>VLOOKUP(Query1[[#This Row],[Description]],'kits to boards'!$B$2:$E$156,3,FALSE)</f>
        <v>0</v>
      </c>
      <c r="N3504">
        <f>VLOOKUP(Query1[[#This Row],[Description]],'kits to boards'!$B$2:$E$156,4,FALSE)</f>
        <v>0</v>
      </c>
      <c r="O3504" t="str">
        <f>CONCATENATE(Query1[[#This Row],[Description]]," - ",Query1[[#This Row],[MB1]]," - ",Query1[[#This Row],[MB2]]," - ",Query1[[#This Row],[MB3]])</f>
        <v>MINI GEN II W/DEF - 830099 - 0 - 0</v>
      </c>
    </row>
    <row r="3505" spans="1:15" x14ac:dyDescent="0.25">
      <c r="A3505" s="1">
        <v>918564</v>
      </c>
      <c r="B3505" s="1" t="s">
        <v>22</v>
      </c>
      <c r="C3505" s="1" t="s">
        <v>23</v>
      </c>
      <c r="D3505" s="2">
        <v>44657.630809027774</v>
      </c>
      <c r="E3505" s="1" t="s">
        <v>8</v>
      </c>
      <c r="F3505" s="1">
        <v>16</v>
      </c>
      <c r="G3505" s="1">
        <v>0</v>
      </c>
      <c r="H3505" s="6">
        <f>INT(Query1[[#This Row],[EntryDateTime]])</f>
        <v>44657</v>
      </c>
      <c r="I3505" s="1">
        <f>IF(Query1[[#This Row],[ItemType]]="EVAP KIT SF GEN IV",Query1[[#This Row],[OrderQty]]+I3504,I3504)</f>
        <v>4422</v>
      </c>
      <c r="J3505" s="1">
        <f>IF(Query1[[#This Row],[ItemType]]="EVAP KIT UNIVERSAL",Query1[[#This Row],[OrderQty]]+J3504,J3504)</f>
        <v>1503</v>
      </c>
      <c r="K3505" s="1">
        <f>Query1[[#This Row],[SF Running Total]]+Query1[[#This Row],[UNIV Running Total]]</f>
        <v>5925</v>
      </c>
      <c r="L3505">
        <f>VLOOKUP(Query1[[#This Row],[Description]],'kits to boards'!$B$2:$E$156,2,FALSE)</f>
        <v>830083</v>
      </c>
      <c r="M3505">
        <f>VLOOKUP(Query1[[#This Row],[Description]],'kits to boards'!$B$2:$E$156,3,FALSE)</f>
        <v>0</v>
      </c>
      <c r="N3505">
        <f>VLOOKUP(Query1[[#This Row],[Description]],'kits to boards'!$B$2:$E$156,4,FALSE)</f>
        <v>0</v>
      </c>
      <c r="O3505" t="str">
        <f>CONCATENATE(Query1[[#This Row],[Description]]," - ",Query1[[#This Row],[MB1]]," - ",Query1[[#This Row],[MB2]]," - ",Query1[[#This Row],[MB3]])</f>
        <v>GEN IV MAGNUM EVAP KIT - 830083 - 0 - 0</v>
      </c>
    </row>
    <row r="3506" spans="1:15" x14ac:dyDescent="0.25">
      <c r="A3506" s="1">
        <v>918564</v>
      </c>
      <c r="B3506" s="1" t="s">
        <v>42</v>
      </c>
      <c r="C3506" s="1" t="s">
        <v>43</v>
      </c>
      <c r="D3506" s="2">
        <v>44657.631413310184</v>
      </c>
      <c r="E3506" s="1" t="s">
        <v>8</v>
      </c>
      <c r="F3506" s="1">
        <v>5</v>
      </c>
      <c r="G3506" s="1">
        <v>0</v>
      </c>
      <c r="H3506" s="6">
        <f>INT(Query1[[#This Row],[EntryDateTime]])</f>
        <v>44657</v>
      </c>
      <c r="I3506" s="1">
        <f>IF(Query1[[#This Row],[ItemType]]="EVAP KIT SF GEN IV",Query1[[#This Row],[OrderQty]]+I3505,I3505)</f>
        <v>4427</v>
      </c>
      <c r="J3506" s="1">
        <f>IF(Query1[[#This Row],[ItemType]]="EVAP KIT UNIVERSAL",Query1[[#This Row],[OrderQty]]+J3505,J3505)</f>
        <v>1503</v>
      </c>
      <c r="K3506" s="1">
        <f>Query1[[#This Row],[SF Running Total]]+Query1[[#This Row],[UNIV Running Total]]</f>
        <v>5930</v>
      </c>
      <c r="L3506">
        <f>VLOOKUP(Query1[[#This Row],[Description]],'kits to boards'!$B$2:$E$156,2,FALSE)</f>
        <v>830014</v>
      </c>
      <c r="M3506">
        <f>VLOOKUP(Query1[[#This Row],[Description]],'kits to boards'!$B$2:$E$156,3,FALSE)</f>
        <v>0</v>
      </c>
      <c r="N3506">
        <f>VLOOKUP(Query1[[#This Row],[Description]],'kits to boards'!$B$2:$E$156,4,FALSE)</f>
        <v>0</v>
      </c>
      <c r="O3506" t="str">
        <f>CONCATENATE(Query1[[#This Row],[Description]]," - ",Query1[[#This Row],[MB1]]," - ",Query1[[#This Row],[MB2]]," - ",Query1[[#This Row],[MB3]])</f>
        <v>EVAP KIT 67-72 CHEV P-UP WO AC - 830014 - 0 - 0</v>
      </c>
    </row>
    <row r="3507" spans="1:15" x14ac:dyDescent="0.25">
      <c r="A3507" s="1">
        <v>918578</v>
      </c>
      <c r="B3507" s="1" t="s">
        <v>14</v>
      </c>
      <c r="C3507" s="1" t="s">
        <v>15</v>
      </c>
      <c r="D3507" s="2">
        <v>44657.636399918978</v>
      </c>
      <c r="E3507" s="1" t="s">
        <v>8</v>
      </c>
      <c r="F3507" s="1">
        <v>1</v>
      </c>
      <c r="G3507" s="1">
        <v>0</v>
      </c>
      <c r="H3507" s="6">
        <f>INT(Query1[[#This Row],[EntryDateTime]])</f>
        <v>44657</v>
      </c>
      <c r="I3507" s="1">
        <f>IF(Query1[[#This Row],[ItemType]]="EVAP KIT SF GEN IV",Query1[[#This Row],[OrderQty]]+I3506,I3506)</f>
        <v>4428</v>
      </c>
      <c r="J3507" s="1">
        <f>IF(Query1[[#This Row],[ItemType]]="EVAP KIT UNIVERSAL",Query1[[#This Row],[OrderQty]]+J3506,J3506)</f>
        <v>1503</v>
      </c>
      <c r="K3507" s="1">
        <f>Query1[[#This Row],[SF Running Total]]+Query1[[#This Row],[UNIV Running Total]]</f>
        <v>5931</v>
      </c>
      <c r="L3507">
        <f>VLOOKUP(Query1[[#This Row],[Description]],'kits to boards'!$B$2:$E$156,2,FALSE)</f>
        <v>830054</v>
      </c>
      <c r="M3507">
        <f>VLOOKUP(Query1[[#This Row],[Description]],'kits to boards'!$B$2:$E$156,3,FALSE)</f>
        <v>0</v>
      </c>
      <c r="N3507">
        <f>VLOOKUP(Query1[[#This Row],[Description]],'kits to boards'!$B$2:$E$156,4,FALSE)</f>
        <v>0</v>
      </c>
      <c r="O3507" t="str">
        <f>CONCATENATE(Query1[[#This Row],[Description]]," - ",Query1[[#This Row],[MB1]]," - ",Query1[[#This Row],[MB2]]," - ",Query1[[#This Row],[MB3]])</f>
        <v>EVAP KIT 55-56 CHEVY - 830054 - 0 - 0</v>
      </c>
    </row>
    <row r="3508" spans="1:15" x14ac:dyDescent="0.25">
      <c r="A3508" s="1">
        <v>918580</v>
      </c>
      <c r="B3508" s="1" t="s">
        <v>14</v>
      </c>
      <c r="C3508" s="1" t="s">
        <v>15</v>
      </c>
      <c r="D3508" s="2">
        <v>44657.637365625</v>
      </c>
      <c r="E3508" s="1" t="s">
        <v>8</v>
      </c>
      <c r="F3508" s="1">
        <v>1</v>
      </c>
      <c r="G3508" s="1">
        <v>0</v>
      </c>
      <c r="H3508" s="6">
        <f>INT(Query1[[#This Row],[EntryDateTime]])</f>
        <v>44657</v>
      </c>
      <c r="I3508" s="1">
        <f>IF(Query1[[#This Row],[ItemType]]="EVAP KIT SF GEN IV",Query1[[#This Row],[OrderQty]]+I3507,I3507)</f>
        <v>4429</v>
      </c>
      <c r="J3508" s="1">
        <f>IF(Query1[[#This Row],[ItemType]]="EVAP KIT UNIVERSAL",Query1[[#This Row],[OrderQty]]+J3507,J3507)</f>
        <v>1503</v>
      </c>
      <c r="K3508" s="1">
        <f>Query1[[#This Row],[SF Running Total]]+Query1[[#This Row],[UNIV Running Total]]</f>
        <v>5932</v>
      </c>
      <c r="L3508">
        <f>VLOOKUP(Query1[[#This Row],[Description]],'kits to boards'!$B$2:$E$156,2,FALSE)</f>
        <v>830054</v>
      </c>
      <c r="M3508">
        <f>VLOOKUP(Query1[[#This Row],[Description]],'kits to boards'!$B$2:$E$156,3,FALSE)</f>
        <v>0</v>
      </c>
      <c r="N3508">
        <f>VLOOKUP(Query1[[#This Row],[Description]],'kits to boards'!$B$2:$E$156,4,FALSE)</f>
        <v>0</v>
      </c>
      <c r="O3508" t="str">
        <f>CONCATENATE(Query1[[#This Row],[Description]]," - ",Query1[[#This Row],[MB1]]," - ",Query1[[#This Row],[MB2]]," - ",Query1[[#This Row],[MB3]])</f>
        <v>EVAP KIT 55-56 CHEVY - 830054 - 0 - 0</v>
      </c>
    </row>
    <row r="3509" spans="1:15" x14ac:dyDescent="0.25">
      <c r="A3509" s="1">
        <v>918584</v>
      </c>
      <c r="B3509" s="1" t="s">
        <v>42</v>
      </c>
      <c r="C3509" s="1" t="s">
        <v>43</v>
      </c>
      <c r="D3509" s="2">
        <v>44657.639132488424</v>
      </c>
      <c r="E3509" s="1" t="s">
        <v>8</v>
      </c>
      <c r="F3509" s="1">
        <v>1</v>
      </c>
      <c r="G3509" s="1">
        <v>0</v>
      </c>
      <c r="H3509" s="6">
        <f>INT(Query1[[#This Row],[EntryDateTime]])</f>
        <v>44657</v>
      </c>
      <c r="I3509" s="1">
        <f>IF(Query1[[#This Row],[ItemType]]="EVAP KIT SF GEN IV",Query1[[#This Row],[OrderQty]]+I3508,I3508)</f>
        <v>4430</v>
      </c>
      <c r="J3509" s="1">
        <f>IF(Query1[[#This Row],[ItemType]]="EVAP KIT UNIVERSAL",Query1[[#This Row],[OrderQty]]+J3508,J3508)</f>
        <v>1503</v>
      </c>
      <c r="K3509" s="1">
        <f>Query1[[#This Row],[SF Running Total]]+Query1[[#This Row],[UNIV Running Total]]</f>
        <v>5933</v>
      </c>
      <c r="L3509">
        <f>VLOOKUP(Query1[[#This Row],[Description]],'kits to boards'!$B$2:$E$156,2,FALSE)</f>
        <v>830014</v>
      </c>
      <c r="M3509">
        <f>VLOOKUP(Query1[[#This Row],[Description]],'kits to boards'!$B$2:$E$156,3,FALSE)</f>
        <v>0</v>
      </c>
      <c r="N3509">
        <f>VLOOKUP(Query1[[#This Row],[Description]],'kits to boards'!$B$2:$E$156,4,FALSE)</f>
        <v>0</v>
      </c>
      <c r="O3509" t="str">
        <f>CONCATENATE(Query1[[#This Row],[Description]]," - ",Query1[[#This Row],[MB1]]," - ",Query1[[#This Row],[MB2]]," - ",Query1[[#This Row],[MB3]])</f>
        <v>EVAP KIT 67-72 CHEV P-UP WO AC - 830014 - 0 - 0</v>
      </c>
    </row>
    <row r="3510" spans="1:15" x14ac:dyDescent="0.25">
      <c r="A3510" s="1">
        <v>918568</v>
      </c>
      <c r="B3510" s="1" t="s">
        <v>120</v>
      </c>
      <c r="C3510" s="1" t="s">
        <v>121</v>
      </c>
      <c r="D3510" s="2">
        <v>44657.640942789352</v>
      </c>
      <c r="E3510" s="1" t="s">
        <v>8</v>
      </c>
      <c r="F3510" s="1">
        <v>1</v>
      </c>
      <c r="G3510" s="1">
        <v>0</v>
      </c>
      <c r="H3510" s="6">
        <f>INT(Query1[[#This Row],[EntryDateTime]])</f>
        <v>44657</v>
      </c>
      <c r="I3510" s="1">
        <f>IF(Query1[[#This Row],[ItemType]]="EVAP KIT SF GEN IV",Query1[[#This Row],[OrderQty]]+I3509,I3509)</f>
        <v>4431</v>
      </c>
      <c r="J3510" s="1">
        <f>IF(Query1[[#This Row],[ItemType]]="EVAP KIT UNIVERSAL",Query1[[#This Row],[OrderQty]]+J3509,J3509)</f>
        <v>1503</v>
      </c>
      <c r="K3510" s="1">
        <f>Query1[[#This Row],[SF Running Total]]+Query1[[#This Row],[UNIV Running Total]]</f>
        <v>5934</v>
      </c>
      <c r="L3510">
        <f>VLOOKUP(Query1[[#This Row],[Description]],'kits to boards'!$B$2:$E$156,2,FALSE)</f>
        <v>830014</v>
      </c>
      <c r="M3510">
        <f>VLOOKUP(Query1[[#This Row],[Description]],'kits to boards'!$B$2:$E$156,3,FALSE)</f>
        <v>0</v>
      </c>
      <c r="N3510">
        <f>VLOOKUP(Query1[[#This Row],[Description]],'kits to boards'!$B$2:$E$156,4,FALSE)</f>
        <v>0</v>
      </c>
      <c r="O3510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3511" spans="1:15" x14ac:dyDescent="0.25">
      <c r="A3511" s="1">
        <v>918586</v>
      </c>
      <c r="B3511" s="1" t="s">
        <v>62</v>
      </c>
      <c r="C3511" s="1" t="s">
        <v>63</v>
      </c>
      <c r="D3511" s="2">
        <v>44657.642333946758</v>
      </c>
      <c r="E3511" s="1" t="s">
        <v>8</v>
      </c>
      <c r="F3511" s="1">
        <v>1</v>
      </c>
      <c r="G3511" s="1">
        <v>0</v>
      </c>
      <c r="H3511" s="6">
        <f>INT(Query1[[#This Row],[EntryDateTime]])</f>
        <v>44657</v>
      </c>
      <c r="I3511" s="1">
        <f>IF(Query1[[#This Row],[ItemType]]="EVAP KIT SF GEN IV",Query1[[#This Row],[OrderQty]]+I3510,I3510)</f>
        <v>4432</v>
      </c>
      <c r="J3511" s="1">
        <f>IF(Query1[[#This Row],[ItemType]]="EVAP KIT UNIVERSAL",Query1[[#This Row],[OrderQty]]+J3510,J3510)</f>
        <v>1503</v>
      </c>
      <c r="K3511" s="1">
        <f>Query1[[#This Row],[SF Running Total]]+Query1[[#This Row],[UNIV Running Total]]</f>
        <v>5935</v>
      </c>
      <c r="L3511">
        <f>VLOOKUP(Query1[[#This Row],[Description]],'kits to boards'!$B$2:$E$156,2,FALSE)</f>
        <v>830079</v>
      </c>
      <c r="M3511">
        <f>VLOOKUP(Query1[[#This Row],[Description]],'kits to boards'!$B$2:$E$156,3,FALSE)</f>
        <v>830046</v>
      </c>
      <c r="N3511">
        <f>VLOOKUP(Query1[[#This Row],[Description]],'kits to boards'!$B$2:$E$156,4,FALSE)</f>
        <v>0</v>
      </c>
      <c r="O3511" t="str">
        <f>CONCATENATE(Query1[[#This Row],[Description]]," - ",Query1[[#This Row],[MB1]]," - ",Query1[[#This Row],[MB2]]," - ",Query1[[#This Row],[MB3]])</f>
        <v>EVAP KIT 67-68 MUSTANG/COUGAR WO AC - 830079 - 830046 - 0</v>
      </c>
    </row>
    <row r="3512" spans="1:15" x14ac:dyDescent="0.25">
      <c r="A3512" s="1">
        <v>918572</v>
      </c>
      <c r="B3512" s="1" t="s">
        <v>120</v>
      </c>
      <c r="C3512" s="1" t="s">
        <v>121</v>
      </c>
      <c r="D3512" s="2">
        <v>44657.642376701391</v>
      </c>
      <c r="E3512" s="1" t="s">
        <v>8</v>
      </c>
      <c r="F3512" s="1">
        <v>1</v>
      </c>
      <c r="G3512" s="1">
        <v>0</v>
      </c>
      <c r="H3512" s="6">
        <f>INT(Query1[[#This Row],[EntryDateTime]])</f>
        <v>44657</v>
      </c>
      <c r="I3512" s="1">
        <f>IF(Query1[[#This Row],[ItemType]]="EVAP KIT SF GEN IV",Query1[[#This Row],[OrderQty]]+I3511,I3511)</f>
        <v>4433</v>
      </c>
      <c r="J3512" s="1">
        <f>IF(Query1[[#This Row],[ItemType]]="EVAP KIT UNIVERSAL",Query1[[#This Row],[OrderQty]]+J3511,J3511)</f>
        <v>1503</v>
      </c>
      <c r="K3512" s="1">
        <f>Query1[[#This Row],[SF Running Total]]+Query1[[#This Row],[UNIV Running Total]]</f>
        <v>5936</v>
      </c>
      <c r="L3512">
        <f>VLOOKUP(Query1[[#This Row],[Description]],'kits to boards'!$B$2:$E$156,2,FALSE)</f>
        <v>830014</v>
      </c>
      <c r="M3512">
        <f>VLOOKUP(Query1[[#This Row],[Description]],'kits to boards'!$B$2:$E$156,3,FALSE)</f>
        <v>0</v>
      </c>
      <c r="N3512">
        <f>VLOOKUP(Query1[[#This Row],[Description]],'kits to boards'!$B$2:$E$156,4,FALSE)</f>
        <v>0</v>
      </c>
      <c r="O3512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3513" spans="1:15" x14ac:dyDescent="0.25">
      <c r="A3513" s="1">
        <v>918587</v>
      </c>
      <c r="B3513" s="1" t="s">
        <v>42</v>
      </c>
      <c r="C3513" s="1" t="s">
        <v>43</v>
      </c>
      <c r="D3513" s="2">
        <v>44657.642581747685</v>
      </c>
      <c r="E3513" s="1" t="s">
        <v>8</v>
      </c>
      <c r="F3513" s="1">
        <v>1</v>
      </c>
      <c r="G3513" s="1">
        <v>0</v>
      </c>
      <c r="H3513" s="6">
        <f>INT(Query1[[#This Row],[EntryDateTime]])</f>
        <v>44657</v>
      </c>
      <c r="I3513" s="1">
        <f>IF(Query1[[#This Row],[ItemType]]="EVAP KIT SF GEN IV",Query1[[#This Row],[OrderQty]]+I3512,I3512)</f>
        <v>4434</v>
      </c>
      <c r="J3513" s="1">
        <f>IF(Query1[[#This Row],[ItemType]]="EVAP KIT UNIVERSAL",Query1[[#This Row],[OrderQty]]+J3512,J3512)</f>
        <v>1503</v>
      </c>
      <c r="K3513" s="1">
        <f>Query1[[#This Row],[SF Running Total]]+Query1[[#This Row],[UNIV Running Total]]</f>
        <v>5937</v>
      </c>
      <c r="L3513">
        <f>VLOOKUP(Query1[[#This Row],[Description]],'kits to boards'!$B$2:$E$156,2,FALSE)</f>
        <v>830014</v>
      </c>
      <c r="M3513">
        <f>VLOOKUP(Query1[[#This Row],[Description]],'kits to boards'!$B$2:$E$156,3,FALSE)</f>
        <v>0</v>
      </c>
      <c r="N3513">
        <f>VLOOKUP(Query1[[#This Row],[Description]],'kits to boards'!$B$2:$E$156,4,FALSE)</f>
        <v>0</v>
      </c>
      <c r="O3513" t="str">
        <f>CONCATENATE(Query1[[#This Row],[Description]]," - ",Query1[[#This Row],[MB1]]," - ",Query1[[#This Row],[MB2]]," - ",Query1[[#This Row],[MB3]])</f>
        <v>EVAP KIT 67-72 CHEV P-UP WO AC - 830014 - 0 - 0</v>
      </c>
    </row>
    <row r="3514" spans="1:15" x14ac:dyDescent="0.25">
      <c r="A3514" s="1">
        <v>918588</v>
      </c>
      <c r="B3514" s="1" t="s">
        <v>42</v>
      </c>
      <c r="C3514" s="1" t="s">
        <v>43</v>
      </c>
      <c r="D3514" s="2">
        <v>44657.643415740742</v>
      </c>
      <c r="E3514" s="1" t="s">
        <v>8</v>
      </c>
      <c r="F3514" s="1">
        <v>1</v>
      </c>
      <c r="G3514" s="1">
        <v>0</v>
      </c>
      <c r="H3514" s="6">
        <f>INT(Query1[[#This Row],[EntryDateTime]])</f>
        <v>44657</v>
      </c>
      <c r="I3514" s="1">
        <f>IF(Query1[[#This Row],[ItemType]]="EVAP KIT SF GEN IV",Query1[[#This Row],[OrderQty]]+I3513,I3513)</f>
        <v>4435</v>
      </c>
      <c r="J3514" s="1">
        <f>IF(Query1[[#This Row],[ItemType]]="EVAP KIT UNIVERSAL",Query1[[#This Row],[OrderQty]]+J3513,J3513)</f>
        <v>1503</v>
      </c>
      <c r="K3514" s="1">
        <f>Query1[[#This Row],[SF Running Total]]+Query1[[#This Row],[UNIV Running Total]]</f>
        <v>5938</v>
      </c>
      <c r="L3514">
        <f>VLOOKUP(Query1[[#This Row],[Description]],'kits to boards'!$B$2:$E$156,2,FALSE)</f>
        <v>830014</v>
      </c>
      <c r="M3514">
        <f>VLOOKUP(Query1[[#This Row],[Description]],'kits to boards'!$B$2:$E$156,3,FALSE)</f>
        <v>0</v>
      </c>
      <c r="N3514">
        <f>VLOOKUP(Query1[[#This Row],[Description]],'kits to boards'!$B$2:$E$156,4,FALSE)</f>
        <v>0</v>
      </c>
      <c r="O3514" t="str">
        <f>CONCATENATE(Query1[[#This Row],[Description]]," - ",Query1[[#This Row],[MB1]]," - ",Query1[[#This Row],[MB2]]," - ",Query1[[#This Row],[MB3]])</f>
        <v>EVAP KIT 67-72 CHEV P-UP WO AC - 830014 - 0 - 0</v>
      </c>
    </row>
    <row r="3515" spans="1:15" x14ac:dyDescent="0.25">
      <c r="A3515" s="1">
        <v>918573</v>
      </c>
      <c r="B3515" s="1" t="s">
        <v>120</v>
      </c>
      <c r="C3515" s="1" t="s">
        <v>121</v>
      </c>
      <c r="D3515" s="2">
        <v>44657.643907094905</v>
      </c>
      <c r="E3515" s="1" t="s">
        <v>8</v>
      </c>
      <c r="F3515" s="1">
        <v>1</v>
      </c>
      <c r="G3515" s="1">
        <v>0</v>
      </c>
      <c r="H3515" s="6">
        <f>INT(Query1[[#This Row],[EntryDateTime]])</f>
        <v>44657</v>
      </c>
      <c r="I3515" s="1">
        <f>IF(Query1[[#This Row],[ItemType]]="EVAP KIT SF GEN IV",Query1[[#This Row],[OrderQty]]+I3514,I3514)</f>
        <v>4436</v>
      </c>
      <c r="J3515" s="1">
        <f>IF(Query1[[#This Row],[ItemType]]="EVAP KIT UNIVERSAL",Query1[[#This Row],[OrderQty]]+J3514,J3514)</f>
        <v>1503</v>
      </c>
      <c r="K3515" s="1">
        <f>Query1[[#This Row],[SF Running Total]]+Query1[[#This Row],[UNIV Running Total]]</f>
        <v>5939</v>
      </c>
      <c r="L3515">
        <f>VLOOKUP(Query1[[#This Row],[Description]],'kits to boards'!$B$2:$E$156,2,FALSE)</f>
        <v>830014</v>
      </c>
      <c r="M3515">
        <f>VLOOKUP(Query1[[#This Row],[Description]],'kits to boards'!$B$2:$E$156,3,FALSE)</f>
        <v>0</v>
      </c>
      <c r="N3515">
        <f>VLOOKUP(Query1[[#This Row],[Description]],'kits to boards'!$B$2:$E$156,4,FALSE)</f>
        <v>0</v>
      </c>
      <c r="O3515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3516" spans="1:15" x14ac:dyDescent="0.25">
      <c r="A3516" s="1">
        <v>918589</v>
      </c>
      <c r="B3516" s="1" t="s">
        <v>42</v>
      </c>
      <c r="C3516" s="1" t="s">
        <v>43</v>
      </c>
      <c r="D3516" s="2">
        <v>44657.644383645835</v>
      </c>
      <c r="E3516" s="1" t="s">
        <v>8</v>
      </c>
      <c r="F3516" s="1">
        <v>1</v>
      </c>
      <c r="G3516" s="1">
        <v>0</v>
      </c>
      <c r="H3516" s="6">
        <f>INT(Query1[[#This Row],[EntryDateTime]])</f>
        <v>44657</v>
      </c>
      <c r="I3516" s="1">
        <f>IF(Query1[[#This Row],[ItemType]]="EVAP KIT SF GEN IV",Query1[[#This Row],[OrderQty]]+I3515,I3515)</f>
        <v>4437</v>
      </c>
      <c r="J3516" s="1">
        <f>IF(Query1[[#This Row],[ItemType]]="EVAP KIT UNIVERSAL",Query1[[#This Row],[OrderQty]]+J3515,J3515)</f>
        <v>1503</v>
      </c>
      <c r="K3516" s="1">
        <f>Query1[[#This Row],[SF Running Total]]+Query1[[#This Row],[UNIV Running Total]]</f>
        <v>5940</v>
      </c>
      <c r="L3516">
        <f>VLOOKUP(Query1[[#This Row],[Description]],'kits to boards'!$B$2:$E$156,2,FALSE)</f>
        <v>830014</v>
      </c>
      <c r="M3516">
        <f>VLOOKUP(Query1[[#This Row],[Description]],'kits to boards'!$B$2:$E$156,3,FALSE)</f>
        <v>0</v>
      </c>
      <c r="N3516">
        <f>VLOOKUP(Query1[[#This Row],[Description]],'kits to boards'!$B$2:$E$156,4,FALSE)</f>
        <v>0</v>
      </c>
      <c r="O3516" t="str">
        <f>CONCATENATE(Query1[[#This Row],[Description]]," - ",Query1[[#This Row],[MB1]]," - ",Query1[[#This Row],[MB2]]," - ",Query1[[#This Row],[MB3]])</f>
        <v>EVAP KIT 67-72 CHEV P-UP WO AC - 830014 - 0 - 0</v>
      </c>
    </row>
    <row r="3517" spans="1:15" x14ac:dyDescent="0.25">
      <c r="A3517" s="1">
        <v>918574</v>
      </c>
      <c r="B3517" s="1" t="s">
        <v>120</v>
      </c>
      <c r="C3517" s="1" t="s">
        <v>121</v>
      </c>
      <c r="D3517" s="2">
        <v>44657.645103854164</v>
      </c>
      <c r="E3517" s="1" t="s">
        <v>8</v>
      </c>
      <c r="F3517" s="1">
        <v>1</v>
      </c>
      <c r="G3517" s="1">
        <v>0</v>
      </c>
      <c r="H3517" s="6">
        <f>INT(Query1[[#This Row],[EntryDateTime]])</f>
        <v>44657</v>
      </c>
      <c r="I3517" s="1">
        <f>IF(Query1[[#This Row],[ItemType]]="EVAP KIT SF GEN IV",Query1[[#This Row],[OrderQty]]+I3516,I3516)</f>
        <v>4438</v>
      </c>
      <c r="J3517" s="1">
        <f>IF(Query1[[#This Row],[ItemType]]="EVAP KIT UNIVERSAL",Query1[[#This Row],[OrderQty]]+J3516,J3516)</f>
        <v>1503</v>
      </c>
      <c r="K3517" s="1">
        <f>Query1[[#This Row],[SF Running Total]]+Query1[[#This Row],[UNIV Running Total]]</f>
        <v>5941</v>
      </c>
      <c r="L3517">
        <f>VLOOKUP(Query1[[#This Row],[Description]],'kits to boards'!$B$2:$E$156,2,FALSE)</f>
        <v>830014</v>
      </c>
      <c r="M3517">
        <f>VLOOKUP(Query1[[#This Row],[Description]],'kits to boards'!$B$2:$E$156,3,FALSE)</f>
        <v>0</v>
      </c>
      <c r="N3517">
        <f>VLOOKUP(Query1[[#This Row],[Description]],'kits to boards'!$B$2:$E$156,4,FALSE)</f>
        <v>0</v>
      </c>
      <c r="O3517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3518" spans="1:15" x14ac:dyDescent="0.25">
      <c r="A3518" s="1">
        <v>918590</v>
      </c>
      <c r="B3518" s="1" t="s">
        <v>42</v>
      </c>
      <c r="C3518" s="1" t="s">
        <v>43</v>
      </c>
      <c r="D3518" s="2">
        <v>44657.645167129631</v>
      </c>
      <c r="E3518" s="1" t="s">
        <v>8</v>
      </c>
      <c r="F3518" s="1">
        <v>1</v>
      </c>
      <c r="G3518" s="1">
        <v>0</v>
      </c>
      <c r="H3518" s="6">
        <f>INT(Query1[[#This Row],[EntryDateTime]])</f>
        <v>44657</v>
      </c>
      <c r="I3518" s="1">
        <f>IF(Query1[[#This Row],[ItemType]]="EVAP KIT SF GEN IV",Query1[[#This Row],[OrderQty]]+I3517,I3517)</f>
        <v>4439</v>
      </c>
      <c r="J3518" s="1">
        <f>IF(Query1[[#This Row],[ItemType]]="EVAP KIT UNIVERSAL",Query1[[#This Row],[OrderQty]]+J3517,J3517)</f>
        <v>1503</v>
      </c>
      <c r="K3518" s="1">
        <f>Query1[[#This Row],[SF Running Total]]+Query1[[#This Row],[UNIV Running Total]]</f>
        <v>5942</v>
      </c>
      <c r="L3518">
        <f>VLOOKUP(Query1[[#This Row],[Description]],'kits to boards'!$B$2:$E$156,2,FALSE)</f>
        <v>830014</v>
      </c>
      <c r="M3518">
        <f>VLOOKUP(Query1[[#This Row],[Description]],'kits to boards'!$B$2:$E$156,3,FALSE)</f>
        <v>0</v>
      </c>
      <c r="N3518">
        <f>VLOOKUP(Query1[[#This Row],[Description]],'kits to boards'!$B$2:$E$156,4,FALSE)</f>
        <v>0</v>
      </c>
      <c r="O3518" t="str">
        <f>CONCATENATE(Query1[[#This Row],[Description]]," - ",Query1[[#This Row],[MB1]]," - ",Query1[[#This Row],[MB2]]," - ",Query1[[#This Row],[MB3]])</f>
        <v>EVAP KIT 67-72 CHEV P-UP WO AC - 830014 - 0 - 0</v>
      </c>
    </row>
    <row r="3519" spans="1:15" x14ac:dyDescent="0.25">
      <c r="A3519" s="1">
        <v>918591</v>
      </c>
      <c r="B3519" s="1" t="s">
        <v>6</v>
      </c>
      <c r="C3519" s="1" t="s">
        <v>7</v>
      </c>
      <c r="D3519" s="2">
        <v>44657.645818483797</v>
      </c>
      <c r="E3519" s="1" t="s">
        <v>8</v>
      </c>
      <c r="F3519" s="1">
        <v>1</v>
      </c>
      <c r="G3519" s="1">
        <v>0</v>
      </c>
      <c r="H3519" s="6">
        <f>INT(Query1[[#This Row],[EntryDateTime]])</f>
        <v>44657</v>
      </c>
      <c r="I3519" s="1">
        <f>IF(Query1[[#This Row],[ItemType]]="EVAP KIT SF GEN IV",Query1[[#This Row],[OrderQty]]+I3518,I3518)</f>
        <v>4440</v>
      </c>
      <c r="J3519" s="1">
        <f>IF(Query1[[#This Row],[ItemType]]="EVAP KIT UNIVERSAL",Query1[[#This Row],[OrderQty]]+J3518,J3518)</f>
        <v>1503</v>
      </c>
      <c r="K3519" s="1">
        <f>Query1[[#This Row],[SF Running Total]]+Query1[[#This Row],[UNIV Running Total]]</f>
        <v>5943</v>
      </c>
      <c r="L3519">
        <f>VLOOKUP(Query1[[#This Row],[Description]],'kits to boards'!$B$2:$E$156,2,FALSE)</f>
        <v>830132</v>
      </c>
      <c r="M3519">
        <f>VLOOKUP(Query1[[#This Row],[Description]],'kits to boards'!$B$2:$E$156,3,FALSE)</f>
        <v>0</v>
      </c>
      <c r="N3519">
        <f>VLOOKUP(Query1[[#This Row],[Description]],'kits to boards'!$B$2:$E$156,4,FALSE)</f>
        <v>0</v>
      </c>
      <c r="O3519" t="str">
        <f>CONCATENATE(Query1[[#This Row],[Description]]," - ",Query1[[#This Row],[MB1]]," - ",Query1[[#This Row],[MB2]]," - ",Query1[[#This Row],[MB3]])</f>
        <v>EVAP KIT 82-88 MONTE CARLO/EL CAMINO - 830132 - 0 - 0</v>
      </c>
    </row>
    <row r="3520" spans="1:15" x14ac:dyDescent="0.25">
      <c r="A3520" s="1">
        <v>918592</v>
      </c>
      <c r="B3520" s="1" t="s">
        <v>42</v>
      </c>
      <c r="C3520" s="1" t="s">
        <v>43</v>
      </c>
      <c r="D3520" s="2">
        <v>44657.646010613425</v>
      </c>
      <c r="E3520" s="1" t="s">
        <v>8</v>
      </c>
      <c r="F3520" s="1">
        <v>1</v>
      </c>
      <c r="G3520" s="1">
        <v>0</v>
      </c>
      <c r="H3520" s="6">
        <f>INT(Query1[[#This Row],[EntryDateTime]])</f>
        <v>44657</v>
      </c>
      <c r="I3520" s="1">
        <f>IF(Query1[[#This Row],[ItemType]]="EVAP KIT SF GEN IV",Query1[[#This Row],[OrderQty]]+I3519,I3519)</f>
        <v>4441</v>
      </c>
      <c r="J3520" s="1">
        <f>IF(Query1[[#This Row],[ItemType]]="EVAP KIT UNIVERSAL",Query1[[#This Row],[OrderQty]]+J3519,J3519)</f>
        <v>1503</v>
      </c>
      <c r="K3520" s="1">
        <f>Query1[[#This Row],[SF Running Total]]+Query1[[#This Row],[UNIV Running Total]]</f>
        <v>5944</v>
      </c>
      <c r="L3520">
        <f>VLOOKUP(Query1[[#This Row],[Description]],'kits to boards'!$B$2:$E$156,2,FALSE)</f>
        <v>830014</v>
      </c>
      <c r="M3520">
        <f>VLOOKUP(Query1[[#This Row],[Description]],'kits to boards'!$B$2:$E$156,3,FALSE)</f>
        <v>0</v>
      </c>
      <c r="N3520">
        <f>VLOOKUP(Query1[[#This Row],[Description]],'kits to boards'!$B$2:$E$156,4,FALSE)</f>
        <v>0</v>
      </c>
      <c r="O3520" t="str">
        <f>CONCATENATE(Query1[[#This Row],[Description]]," - ",Query1[[#This Row],[MB1]]," - ",Query1[[#This Row],[MB2]]," - ",Query1[[#This Row],[MB3]])</f>
        <v>EVAP KIT 67-72 CHEV P-UP WO AC - 830014 - 0 - 0</v>
      </c>
    </row>
    <row r="3521" spans="1:15" x14ac:dyDescent="0.25">
      <c r="A3521" s="1">
        <v>918577</v>
      </c>
      <c r="B3521" s="1" t="s">
        <v>66</v>
      </c>
      <c r="C3521" s="1" t="s">
        <v>67</v>
      </c>
      <c r="D3521" s="2">
        <v>44657.646397372686</v>
      </c>
      <c r="E3521" s="1" t="s">
        <v>8</v>
      </c>
      <c r="F3521" s="1">
        <v>1</v>
      </c>
      <c r="G3521" s="1">
        <v>0</v>
      </c>
      <c r="H3521" s="6">
        <f>INT(Query1[[#This Row],[EntryDateTime]])</f>
        <v>44657</v>
      </c>
      <c r="I3521" s="1">
        <f>IF(Query1[[#This Row],[ItemType]]="EVAP KIT SF GEN IV",Query1[[#This Row],[OrderQty]]+I3520,I3520)</f>
        <v>4442</v>
      </c>
      <c r="J3521" s="1">
        <f>IF(Query1[[#This Row],[ItemType]]="EVAP KIT UNIVERSAL",Query1[[#This Row],[OrderQty]]+J3520,J3520)</f>
        <v>1503</v>
      </c>
      <c r="K3521" s="1">
        <f>Query1[[#This Row],[SF Running Total]]+Query1[[#This Row],[UNIV Running Total]]</f>
        <v>5945</v>
      </c>
      <c r="L3521">
        <f>VLOOKUP(Query1[[#This Row],[Description]],'kits to boards'!$B$2:$E$156,2,FALSE)</f>
        <v>830060</v>
      </c>
      <c r="M3521">
        <f>VLOOKUP(Query1[[#This Row],[Description]],'kits to boards'!$B$2:$E$156,3,FALSE)</f>
        <v>0</v>
      </c>
      <c r="N3521">
        <f>VLOOKUP(Query1[[#This Row],[Description]],'kits to boards'!$B$2:$E$156,4,FALSE)</f>
        <v>0</v>
      </c>
      <c r="O3521" t="str">
        <f>CONCATENATE(Query1[[#This Row],[Description]]," - ",Query1[[#This Row],[MB1]]," - ",Query1[[#This Row],[MB2]]," - ",Query1[[#This Row],[MB3]])</f>
        <v>EVAP KIT 66-67 CHEVELLE WO AC - 830060 - 0 - 0</v>
      </c>
    </row>
    <row r="3522" spans="1:15" x14ac:dyDescent="0.25">
      <c r="A3522" s="1">
        <v>918595</v>
      </c>
      <c r="B3522" s="1" t="s">
        <v>52</v>
      </c>
      <c r="C3522" s="1" t="s">
        <v>53</v>
      </c>
      <c r="D3522" s="2">
        <v>44657.647355358793</v>
      </c>
      <c r="E3522" s="1" t="s">
        <v>8</v>
      </c>
      <c r="F3522" s="1">
        <v>1</v>
      </c>
      <c r="G3522" s="1">
        <v>0</v>
      </c>
      <c r="H3522" s="6">
        <f>INT(Query1[[#This Row],[EntryDateTime]])</f>
        <v>44657</v>
      </c>
      <c r="I3522" s="1">
        <f>IF(Query1[[#This Row],[ItemType]]="EVAP KIT SF GEN IV",Query1[[#This Row],[OrderQty]]+I3521,I3521)</f>
        <v>4443</v>
      </c>
      <c r="J3522" s="1">
        <f>IF(Query1[[#This Row],[ItemType]]="EVAP KIT UNIVERSAL",Query1[[#This Row],[OrderQty]]+J3521,J3521)</f>
        <v>1503</v>
      </c>
      <c r="K3522" s="1">
        <f>Query1[[#This Row],[SF Running Total]]+Query1[[#This Row],[UNIV Running Total]]</f>
        <v>5946</v>
      </c>
      <c r="L3522">
        <f>VLOOKUP(Query1[[#This Row],[Description]],'kits to boards'!$B$2:$E$156,2,FALSE)</f>
        <v>830017</v>
      </c>
      <c r="M3522">
        <f>VLOOKUP(Query1[[#This Row],[Description]],'kits to boards'!$B$2:$E$156,3,FALSE)</f>
        <v>830119</v>
      </c>
      <c r="N3522">
        <f>VLOOKUP(Query1[[#This Row],[Description]],'kits to boards'!$B$2:$E$156,4,FALSE)</f>
        <v>830120</v>
      </c>
      <c r="O3522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523" spans="1:15" x14ac:dyDescent="0.25">
      <c r="A3523" s="1">
        <v>918579</v>
      </c>
      <c r="B3523" s="1" t="s">
        <v>66</v>
      </c>
      <c r="C3523" s="1" t="s">
        <v>67</v>
      </c>
      <c r="D3523" s="2">
        <v>44657.648135497686</v>
      </c>
      <c r="E3523" s="1" t="s">
        <v>8</v>
      </c>
      <c r="F3523" s="1">
        <v>1</v>
      </c>
      <c r="G3523" s="1">
        <v>0</v>
      </c>
      <c r="H3523" s="6">
        <f>INT(Query1[[#This Row],[EntryDateTime]])</f>
        <v>44657</v>
      </c>
      <c r="I3523" s="1">
        <f>IF(Query1[[#This Row],[ItemType]]="EVAP KIT SF GEN IV",Query1[[#This Row],[OrderQty]]+I3522,I3522)</f>
        <v>4444</v>
      </c>
      <c r="J3523" s="1">
        <f>IF(Query1[[#This Row],[ItemType]]="EVAP KIT UNIVERSAL",Query1[[#This Row],[OrderQty]]+J3522,J3522)</f>
        <v>1503</v>
      </c>
      <c r="K3523" s="1">
        <f>Query1[[#This Row],[SF Running Total]]+Query1[[#This Row],[UNIV Running Total]]</f>
        <v>5947</v>
      </c>
      <c r="L3523">
        <f>VLOOKUP(Query1[[#This Row],[Description]],'kits to boards'!$B$2:$E$156,2,FALSE)</f>
        <v>830060</v>
      </c>
      <c r="M3523">
        <f>VLOOKUP(Query1[[#This Row],[Description]],'kits to boards'!$B$2:$E$156,3,FALSE)</f>
        <v>0</v>
      </c>
      <c r="N3523">
        <f>VLOOKUP(Query1[[#This Row],[Description]],'kits to boards'!$B$2:$E$156,4,FALSE)</f>
        <v>0</v>
      </c>
      <c r="O3523" t="str">
        <f>CONCATENATE(Query1[[#This Row],[Description]]," - ",Query1[[#This Row],[MB1]]," - ",Query1[[#This Row],[MB2]]," - ",Query1[[#This Row],[MB3]])</f>
        <v>EVAP KIT 66-67 CHEVELLE WO AC - 830060 - 0 - 0</v>
      </c>
    </row>
    <row r="3524" spans="1:15" x14ac:dyDescent="0.25">
      <c r="A3524" s="1">
        <v>918596</v>
      </c>
      <c r="B3524" s="1" t="s">
        <v>52</v>
      </c>
      <c r="C3524" s="1" t="s">
        <v>53</v>
      </c>
      <c r="D3524" s="2">
        <v>44657.64838677083</v>
      </c>
      <c r="E3524" s="1" t="s">
        <v>8</v>
      </c>
      <c r="F3524" s="1">
        <v>1</v>
      </c>
      <c r="G3524" s="1">
        <v>0</v>
      </c>
      <c r="H3524" s="6">
        <f>INT(Query1[[#This Row],[EntryDateTime]])</f>
        <v>44657</v>
      </c>
      <c r="I3524" s="1">
        <f>IF(Query1[[#This Row],[ItemType]]="EVAP KIT SF GEN IV",Query1[[#This Row],[OrderQty]]+I3523,I3523)</f>
        <v>4445</v>
      </c>
      <c r="J3524" s="1">
        <f>IF(Query1[[#This Row],[ItemType]]="EVAP KIT UNIVERSAL",Query1[[#This Row],[OrderQty]]+J3523,J3523)</f>
        <v>1503</v>
      </c>
      <c r="K3524" s="1">
        <f>Query1[[#This Row],[SF Running Total]]+Query1[[#This Row],[UNIV Running Total]]</f>
        <v>5948</v>
      </c>
      <c r="L3524">
        <f>VLOOKUP(Query1[[#This Row],[Description]],'kits to boards'!$B$2:$E$156,2,FALSE)</f>
        <v>830017</v>
      </c>
      <c r="M3524">
        <f>VLOOKUP(Query1[[#This Row],[Description]],'kits to boards'!$B$2:$E$156,3,FALSE)</f>
        <v>830119</v>
      </c>
      <c r="N3524">
        <f>VLOOKUP(Query1[[#This Row],[Description]],'kits to boards'!$B$2:$E$156,4,FALSE)</f>
        <v>830120</v>
      </c>
      <c r="O3524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525" spans="1:15" x14ac:dyDescent="0.25">
      <c r="A3525" s="1">
        <v>918583</v>
      </c>
      <c r="B3525" s="1" t="s">
        <v>66</v>
      </c>
      <c r="C3525" s="1" t="s">
        <v>67</v>
      </c>
      <c r="D3525" s="2">
        <v>44657.649409687503</v>
      </c>
      <c r="E3525" s="1" t="s">
        <v>8</v>
      </c>
      <c r="F3525" s="1">
        <v>1</v>
      </c>
      <c r="G3525" s="1">
        <v>0</v>
      </c>
      <c r="H3525" s="6">
        <f>INT(Query1[[#This Row],[EntryDateTime]])</f>
        <v>44657</v>
      </c>
      <c r="I3525" s="1">
        <f>IF(Query1[[#This Row],[ItemType]]="EVAP KIT SF GEN IV",Query1[[#This Row],[OrderQty]]+I3524,I3524)</f>
        <v>4446</v>
      </c>
      <c r="J3525" s="1">
        <f>IF(Query1[[#This Row],[ItemType]]="EVAP KIT UNIVERSAL",Query1[[#This Row],[OrderQty]]+J3524,J3524)</f>
        <v>1503</v>
      </c>
      <c r="K3525" s="1">
        <f>Query1[[#This Row],[SF Running Total]]+Query1[[#This Row],[UNIV Running Total]]</f>
        <v>5949</v>
      </c>
      <c r="L3525">
        <f>VLOOKUP(Query1[[#This Row],[Description]],'kits to boards'!$B$2:$E$156,2,FALSE)</f>
        <v>830060</v>
      </c>
      <c r="M3525">
        <f>VLOOKUP(Query1[[#This Row],[Description]],'kits to boards'!$B$2:$E$156,3,FALSE)</f>
        <v>0</v>
      </c>
      <c r="N3525">
        <f>VLOOKUP(Query1[[#This Row],[Description]],'kits to boards'!$B$2:$E$156,4,FALSE)</f>
        <v>0</v>
      </c>
      <c r="O3525" t="str">
        <f>CONCATENATE(Query1[[#This Row],[Description]]," - ",Query1[[#This Row],[MB1]]," - ",Query1[[#This Row],[MB2]]," - ",Query1[[#This Row],[MB3]])</f>
        <v>EVAP KIT 66-67 CHEVELLE WO AC - 830060 - 0 - 0</v>
      </c>
    </row>
    <row r="3526" spans="1:15" x14ac:dyDescent="0.25">
      <c r="A3526" s="1">
        <v>918597</v>
      </c>
      <c r="B3526" s="1" t="s">
        <v>52</v>
      </c>
      <c r="C3526" s="1" t="s">
        <v>53</v>
      </c>
      <c r="D3526" s="2">
        <v>44657.649454629631</v>
      </c>
      <c r="E3526" s="1" t="s">
        <v>8</v>
      </c>
      <c r="F3526" s="1">
        <v>1</v>
      </c>
      <c r="G3526" s="1">
        <v>0</v>
      </c>
      <c r="H3526" s="6">
        <f>INT(Query1[[#This Row],[EntryDateTime]])</f>
        <v>44657</v>
      </c>
      <c r="I3526" s="1">
        <f>IF(Query1[[#This Row],[ItemType]]="EVAP KIT SF GEN IV",Query1[[#This Row],[OrderQty]]+I3525,I3525)</f>
        <v>4447</v>
      </c>
      <c r="J3526" s="1">
        <f>IF(Query1[[#This Row],[ItemType]]="EVAP KIT UNIVERSAL",Query1[[#This Row],[OrderQty]]+J3525,J3525)</f>
        <v>1503</v>
      </c>
      <c r="K3526" s="1">
        <f>Query1[[#This Row],[SF Running Total]]+Query1[[#This Row],[UNIV Running Total]]</f>
        <v>5950</v>
      </c>
      <c r="L3526">
        <f>VLOOKUP(Query1[[#This Row],[Description]],'kits to boards'!$B$2:$E$156,2,FALSE)</f>
        <v>830017</v>
      </c>
      <c r="M3526">
        <f>VLOOKUP(Query1[[#This Row],[Description]],'kits to boards'!$B$2:$E$156,3,FALSE)</f>
        <v>830119</v>
      </c>
      <c r="N3526">
        <f>VLOOKUP(Query1[[#This Row],[Description]],'kits to boards'!$B$2:$E$156,4,FALSE)</f>
        <v>830120</v>
      </c>
      <c r="O3526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527" spans="1:15" x14ac:dyDescent="0.25">
      <c r="A3527" s="1">
        <v>918598</v>
      </c>
      <c r="B3527" s="1" t="s">
        <v>52</v>
      </c>
      <c r="C3527" s="1" t="s">
        <v>53</v>
      </c>
      <c r="D3527" s="2">
        <v>44657.650709571761</v>
      </c>
      <c r="E3527" s="1" t="s">
        <v>8</v>
      </c>
      <c r="F3527" s="1">
        <v>1</v>
      </c>
      <c r="G3527" s="1">
        <v>0</v>
      </c>
      <c r="H3527" s="6">
        <f>INT(Query1[[#This Row],[EntryDateTime]])</f>
        <v>44657</v>
      </c>
      <c r="I3527" s="1">
        <f>IF(Query1[[#This Row],[ItemType]]="EVAP KIT SF GEN IV",Query1[[#This Row],[OrderQty]]+I3526,I3526)</f>
        <v>4448</v>
      </c>
      <c r="J3527" s="1">
        <f>IF(Query1[[#This Row],[ItemType]]="EVAP KIT UNIVERSAL",Query1[[#This Row],[OrderQty]]+J3526,J3526)</f>
        <v>1503</v>
      </c>
      <c r="K3527" s="1">
        <f>Query1[[#This Row],[SF Running Total]]+Query1[[#This Row],[UNIV Running Total]]</f>
        <v>5951</v>
      </c>
      <c r="L3527">
        <f>VLOOKUP(Query1[[#This Row],[Description]],'kits to boards'!$B$2:$E$156,2,FALSE)</f>
        <v>830017</v>
      </c>
      <c r="M3527">
        <f>VLOOKUP(Query1[[#This Row],[Description]],'kits to boards'!$B$2:$E$156,3,FALSE)</f>
        <v>830119</v>
      </c>
      <c r="N3527">
        <f>VLOOKUP(Query1[[#This Row],[Description]],'kits to boards'!$B$2:$E$156,4,FALSE)</f>
        <v>830120</v>
      </c>
      <c r="O3527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528" spans="1:15" x14ac:dyDescent="0.25">
      <c r="A3528" s="1">
        <v>918599</v>
      </c>
      <c r="B3528" s="1" t="s">
        <v>84</v>
      </c>
      <c r="C3528" s="1" t="s">
        <v>85</v>
      </c>
      <c r="D3528" s="2">
        <v>44657.650718171295</v>
      </c>
      <c r="E3528" s="1" t="s">
        <v>8</v>
      </c>
      <c r="F3528" s="1">
        <v>1</v>
      </c>
      <c r="G3528" s="1">
        <v>0</v>
      </c>
      <c r="H3528" s="6">
        <f>INT(Query1[[#This Row],[EntryDateTime]])</f>
        <v>44657</v>
      </c>
      <c r="I3528" s="1">
        <f>IF(Query1[[#This Row],[ItemType]]="EVAP KIT SF GEN IV",Query1[[#This Row],[OrderQty]]+I3527,I3527)</f>
        <v>4449</v>
      </c>
      <c r="J3528" s="1">
        <f>IF(Query1[[#This Row],[ItemType]]="EVAP KIT UNIVERSAL",Query1[[#This Row],[OrderQty]]+J3527,J3527)</f>
        <v>1503</v>
      </c>
      <c r="K3528" s="1">
        <f>Query1[[#This Row],[SF Running Total]]+Query1[[#This Row],[UNIV Running Total]]</f>
        <v>5952</v>
      </c>
      <c r="L3528">
        <f>VLOOKUP(Query1[[#This Row],[Description]],'kits to boards'!$B$2:$E$156,2,FALSE)</f>
        <v>830085</v>
      </c>
      <c r="M3528">
        <f>VLOOKUP(Query1[[#This Row],[Description]],'kits to boards'!$B$2:$E$156,3,FALSE)</f>
        <v>0</v>
      </c>
      <c r="N3528">
        <f>VLOOKUP(Query1[[#This Row],[Description]],'kits to boards'!$B$2:$E$156,4,FALSE)</f>
        <v>0</v>
      </c>
      <c r="O3528" t="str">
        <f>CONCATENATE(Query1[[#This Row],[Description]]," - ",Query1[[#This Row],[MB1]]," - ",Query1[[#This Row],[MB2]]," - ",Query1[[#This Row],[MB3]])</f>
        <v>EVAP KIT 66-77 BRONCO 4-VENT PLENUM - 830085 - 0 - 0</v>
      </c>
    </row>
    <row r="3529" spans="1:15" x14ac:dyDescent="0.25">
      <c r="A3529" s="1">
        <v>918600</v>
      </c>
      <c r="B3529" s="1" t="s">
        <v>158</v>
      </c>
      <c r="C3529" s="1" t="s">
        <v>159</v>
      </c>
      <c r="D3529" s="2">
        <v>44657.651406562502</v>
      </c>
      <c r="E3529" s="1" t="s">
        <v>8</v>
      </c>
      <c r="F3529" s="1">
        <v>3</v>
      </c>
      <c r="G3529" s="1">
        <v>0</v>
      </c>
      <c r="H3529" s="6">
        <f>INT(Query1[[#This Row],[EntryDateTime]])</f>
        <v>44657</v>
      </c>
      <c r="I3529" s="1">
        <f>IF(Query1[[#This Row],[ItemType]]="EVAP KIT SF GEN IV",Query1[[#This Row],[OrderQty]]+I3528,I3528)</f>
        <v>4452</v>
      </c>
      <c r="J3529" s="1">
        <f>IF(Query1[[#This Row],[ItemType]]="EVAP KIT UNIVERSAL",Query1[[#This Row],[OrderQty]]+J3528,J3528)</f>
        <v>1503</v>
      </c>
      <c r="K3529" s="1">
        <f>Query1[[#This Row],[SF Running Total]]+Query1[[#This Row],[UNIV Running Total]]</f>
        <v>5955</v>
      </c>
      <c r="L3529">
        <f>VLOOKUP(Query1[[#This Row],[Description]],'kits to boards'!$B$2:$E$156,2,FALSE)</f>
        <v>830080</v>
      </c>
      <c r="M3529">
        <f>VLOOKUP(Query1[[#This Row],[Description]],'kits to boards'!$B$2:$E$156,3,FALSE)</f>
        <v>830046</v>
      </c>
      <c r="N3529">
        <f>VLOOKUP(Query1[[#This Row],[Description]],'kits to boards'!$B$2:$E$156,4,FALSE)</f>
        <v>0</v>
      </c>
      <c r="O3529" t="str">
        <f>CONCATENATE(Query1[[#This Row],[Description]]," - ",Query1[[#This Row],[MB1]]," - ",Query1[[#This Row],[MB2]]," - ",Query1[[#This Row],[MB3]])</f>
        <v>EVAP KIT 69-70 MUSTANG W/AC  - 830080 - 830046 - 0</v>
      </c>
    </row>
    <row r="3530" spans="1:15" x14ac:dyDescent="0.25">
      <c r="A3530" s="1">
        <v>918603</v>
      </c>
      <c r="B3530" s="1" t="s">
        <v>66</v>
      </c>
      <c r="C3530" s="1" t="s">
        <v>67</v>
      </c>
      <c r="D3530" s="2">
        <v>44657.652605868054</v>
      </c>
      <c r="E3530" s="1" t="s">
        <v>8</v>
      </c>
      <c r="F3530" s="1">
        <v>1</v>
      </c>
      <c r="G3530" s="1">
        <v>0</v>
      </c>
      <c r="H3530" s="6">
        <f>INT(Query1[[#This Row],[EntryDateTime]])</f>
        <v>44657</v>
      </c>
      <c r="I3530" s="1">
        <f>IF(Query1[[#This Row],[ItemType]]="EVAP KIT SF GEN IV",Query1[[#This Row],[OrderQty]]+I3529,I3529)</f>
        <v>4453</v>
      </c>
      <c r="J3530" s="1">
        <f>IF(Query1[[#This Row],[ItemType]]="EVAP KIT UNIVERSAL",Query1[[#This Row],[OrderQty]]+J3529,J3529)</f>
        <v>1503</v>
      </c>
      <c r="K3530" s="1">
        <f>Query1[[#This Row],[SF Running Total]]+Query1[[#This Row],[UNIV Running Total]]</f>
        <v>5956</v>
      </c>
      <c r="L3530">
        <f>VLOOKUP(Query1[[#This Row],[Description]],'kits to boards'!$B$2:$E$156,2,FALSE)</f>
        <v>830060</v>
      </c>
      <c r="M3530">
        <f>VLOOKUP(Query1[[#This Row],[Description]],'kits to boards'!$B$2:$E$156,3,FALSE)</f>
        <v>0</v>
      </c>
      <c r="N3530">
        <f>VLOOKUP(Query1[[#This Row],[Description]],'kits to boards'!$B$2:$E$156,4,FALSE)</f>
        <v>0</v>
      </c>
      <c r="O3530" t="str">
        <f>CONCATENATE(Query1[[#This Row],[Description]]," - ",Query1[[#This Row],[MB1]]," - ",Query1[[#This Row],[MB2]]," - ",Query1[[#This Row],[MB3]])</f>
        <v>EVAP KIT 66-67 CHEVELLE WO AC - 830060 - 0 - 0</v>
      </c>
    </row>
    <row r="3531" spans="1:15" x14ac:dyDescent="0.25">
      <c r="A3531" s="1">
        <v>918602</v>
      </c>
      <c r="B3531" s="1" t="s">
        <v>52</v>
      </c>
      <c r="C3531" s="1" t="s">
        <v>53</v>
      </c>
      <c r="D3531" s="2">
        <v>44657.653113888889</v>
      </c>
      <c r="E3531" s="1" t="s">
        <v>8</v>
      </c>
      <c r="F3531" s="1">
        <v>1</v>
      </c>
      <c r="G3531" s="1">
        <v>0</v>
      </c>
      <c r="H3531" s="6">
        <f>INT(Query1[[#This Row],[EntryDateTime]])</f>
        <v>44657</v>
      </c>
      <c r="I3531" s="1">
        <f>IF(Query1[[#This Row],[ItemType]]="EVAP KIT SF GEN IV",Query1[[#This Row],[OrderQty]]+I3530,I3530)</f>
        <v>4454</v>
      </c>
      <c r="J3531" s="1">
        <f>IF(Query1[[#This Row],[ItemType]]="EVAP KIT UNIVERSAL",Query1[[#This Row],[OrderQty]]+J3530,J3530)</f>
        <v>1503</v>
      </c>
      <c r="K3531" s="1">
        <f>Query1[[#This Row],[SF Running Total]]+Query1[[#This Row],[UNIV Running Total]]</f>
        <v>5957</v>
      </c>
      <c r="L3531">
        <f>VLOOKUP(Query1[[#This Row],[Description]],'kits to boards'!$B$2:$E$156,2,FALSE)</f>
        <v>830017</v>
      </c>
      <c r="M3531">
        <f>VLOOKUP(Query1[[#This Row],[Description]],'kits to boards'!$B$2:$E$156,3,FALSE)</f>
        <v>830119</v>
      </c>
      <c r="N3531">
        <f>VLOOKUP(Query1[[#This Row],[Description]],'kits to boards'!$B$2:$E$156,4,FALSE)</f>
        <v>830120</v>
      </c>
      <c r="O3531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532" spans="1:15" x14ac:dyDescent="0.25">
      <c r="A3532" s="1">
        <v>918605</v>
      </c>
      <c r="B3532" s="1" t="s">
        <v>66</v>
      </c>
      <c r="C3532" s="1" t="s">
        <v>67</v>
      </c>
      <c r="D3532" s="2">
        <v>44657.653866122688</v>
      </c>
      <c r="E3532" s="1" t="s">
        <v>8</v>
      </c>
      <c r="F3532" s="1">
        <v>1</v>
      </c>
      <c r="G3532" s="1">
        <v>0</v>
      </c>
      <c r="H3532" s="6">
        <f>INT(Query1[[#This Row],[EntryDateTime]])</f>
        <v>44657</v>
      </c>
      <c r="I3532" s="1">
        <f>IF(Query1[[#This Row],[ItemType]]="EVAP KIT SF GEN IV",Query1[[#This Row],[OrderQty]]+I3531,I3531)</f>
        <v>4455</v>
      </c>
      <c r="J3532" s="1">
        <f>IF(Query1[[#This Row],[ItemType]]="EVAP KIT UNIVERSAL",Query1[[#This Row],[OrderQty]]+J3531,J3531)</f>
        <v>1503</v>
      </c>
      <c r="K3532" s="1">
        <f>Query1[[#This Row],[SF Running Total]]+Query1[[#This Row],[UNIV Running Total]]</f>
        <v>5958</v>
      </c>
      <c r="L3532">
        <f>VLOOKUP(Query1[[#This Row],[Description]],'kits to boards'!$B$2:$E$156,2,FALSE)</f>
        <v>830060</v>
      </c>
      <c r="M3532">
        <f>VLOOKUP(Query1[[#This Row],[Description]],'kits to boards'!$B$2:$E$156,3,FALSE)</f>
        <v>0</v>
      </c>
      <c r="N3532">
        <f>VLOOKUP(Query1[[#This Row],[Description]],'kits to boards'!$B$2:$E$156,4,FALSE)</f>
        <v>0</v>
      </c>
      <c r="O3532" t="str">
        <f>CONCATENATE(Query1[[#This Row],[Description]]," - ",Query1[[#This Row],[MB1]]," - ",Query1[[#This Row],[MB2]]," - ",Query1[[#This Row],[MB3]])</f>
        <v>EVAP KIT 66-67 CHEVELLE WO AC - 830060 - 0 - 0</v>
      </c>
    </row>
    <row r="3533" spans="1:15" x14ac:dyDescent="0.25">
      <c r="A3533" s="1">
        <v>918606</v>
      </c>
      <c r="B3533" s="1" t="s">
        <v>52</v>
      </c>
      <c r="C3533" s="1" t="s">
        <v>53</v>
      </c>
      <c r="D3533" s="2">
        <v>44657.654460532409</v>
      </c>
      <c r="E3533" s="1" t="s">
        <v>8</v>
      </c>
      <c r="F3533" s="1">
        <v>1</v>
      </c>
      <c r="G3533" s="1">
        <v>0</v>
      </c>
      <c r="H3533" s="6">
        <f>INT(Query1[[#This Row],[EntryDateTime]])</f>
        <v>44657</v>
      </c>
      <c r="I3533" s="1">
        <f>IF(Query1[[#This Row],[ItemType]]="EVAP KIT SF GEN IV",Query1[[#This Row],[OrderQty]]+I3532,I3532)</f>
        <v>4456</v>
      </c>
      <c r="J3533" s="1">
        <f>IF(Query1[[#This Row],[ItemType]]="EVAP KIT UNIVERSAL",Query1[[#This Row],[OrderQty]]+J3532,J3532)</f>
        <v>1503</v>
      </c>
      <c r="K3533" s="1">
        <f>Query1[[#This Row],[SF Running Total]]+Query1[[#This Row],[UNIV Running Total]]</f>
        <v>5959</v>
      </c>
      <c r="L3533">
        <f>VLOOKUP(Query1[[#This Row],[Description]],'kits to boards'!$B$2:$E$156,2,FALSE)</f>
        <v>830017</v>
      </c>
      <c r="M3533">
        <f>VLOOKUP(Query1[[#This Row],[Description]],'kits to boards'!$B$2:$E$156,3,FALSE)</f>
        <v>830119</v>
      </c>
      <c r="N3533">
        <f>VLOOKUP(Query1[[#This Row],[Description]],'kits to boards'!$B$2:$E$156,4,FALSE)</f>
        <v>830120</v>
      </c>
      <c r="O3533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534" spans="1:15" x14ac:dyDescent="0.25">
      <c r="A3534" s="1">
        <v>918610</v>
      </c>
      <c r="B3534" s="1" t="s">
        <v>52</v>
      </c>
      <c r="C3534" s="1" t="s">
        <v>53</v>
      </c>
      <c r="D3534" s="2">
        <v>44657.655977662034</v>
      </c>
      <c r="E3534" s="1" t="s">
        <v>8</v>
      </c>
      <c r="F3534" s="1">
        <v>1</v>
      </c>
      <c r="G3534" s="1">
        <v>0</v>
      </c>
      <c r="H3534" s="6">
        <f>INT(Query1[[#This Row],[EntryDateTime]])</f>
        <v>44657</v>
      </c>
      <c r="I3534" s="1">
        <f>IF(Query1[[#This Row],[ItemType]]="EVAP KIT SF GEN IV",Query1[[#This Row],[OrderQty]]+I3533,I3533)</f>
        <v>4457</v>
      </c>
      <c r="J3534" s="1">
        <f>IF(Query1[[#This Row],[ItemType]]="EVAP KIT UNIVERSAL",Query1[[#This Row],[OrderQty]]+J3533,J3533)</f>
        <v>1503</v>
      </c>
      <c r="K3534" s="1">
        <f>Query1[[#This Row],[SF Running Total]]+Query1[[#This Row],[UNIV Running Total]]</f>
        <v>5960</v>
      </c>
      <c r="L3534">
        <f>VLOOKUP(Query1[[#This Row],[Description]],'kits to boards'!$B$2:$E$156,2,FALSE)</f>
        <v>830017</v>
      </c>
      <c r="M3534">
        <f>VLOOKUP(Query1[[#This Row],[Description]],'kits to boards'!$B$2:$E$156,3,FALSE)</f>
        <v>830119</v>
      </c>
      <c r="N3534">
        <f>VLOOKUP(Query1[[#This Row],[Description]],'kits to boards'!$B$2:$E$156,4,FALSE)</f>
        <v>830120</v>
      </c>
      <c r="O3534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535" spans="1:15" x14ac:dyDescent="0.25">
      <c r="A3535" s="1">
        <v>918612</v>
      </c>
      <c r="B3535" s="1" t="s">
        <v>52</v>
      </c>
      <c r="C3535" s="1" t="s">
        <v>53</v>
      </c>
      <c r="D3535" s="2">
        <v>44657.657247106479</v>
      </c>
      <c r="E3535" s="1" t="s">
        <v>8</v>
      </c>
      <c r="F3535" s="1">
        <v>1</v>
      </c>
      <c r="G3535" s="1">
        <v>0</v>
      </c>
      <c r="H3535" s="6">
        <f>INT(Query1[[#This Row],[EntryDateTime]])</f>
        <v>44657</v>
      </c>
      <c r="I3535" s="1">
        <f>IF(Query1[[#This Row],[ItemType]]="EVAP KIT SF GEN IV",Query1[[#This Row],[OrderQty]]+I3534,I3534)</f>
        <v>4458</v>
      </c>
      <c r="J3535" s="1">
        <f>IF(Query1[[#This Row],[ItemType]]="EVAP KIT UNIVERSAL",Query1[[#This Row],[OrderQty]]+J3534,J3534)</f>
        <v>1503</v>
      </c>
      <c r="K3535" s="1">
        <f>Query1[[#This Row],[SF Running Total]]+Query1[[#This Row],[UNIV Running Total]]</f>
        <v>5961</v>
      </c>
      <c r="L3535">
        <f>VLOOKUP(Query1[[#This Row],[Description]],'kits to boards'!$B$2:$E$156,2,FALSE)</f>
        <v>830017</v>
      </c>
      <c r="M3535">
        <f>VLOOKUP(Query1[[#This Row],[Description]],'kits to boards'!$B$2:$E$156,3,FALSE)</f>
        <v>830119</v>
      </c>
      <c r="N3535">
        <f>VLOOKUP(Query1[[#This Row],[Description]],'kits to boards'!$B$2:$E$156,4,FALSE)</f>
        <v>830120</v>
      </c>
      <c r="O3535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536" spans="1:15" x14ac:dyDescent="0.25">
      <c r="A3536" s="1">
        <v>918613</v>
      </c>
      <c r="B3536" s="1" t="s">
        <v>52</v>
      </c>
      <c r="C3536" s="1" t="s">
        <v>53</v>
      </c>
      <c r="D3536" s="2">
        <v>44657.659134606482</v>
      </c>
      <c r="E3536" s="1" t="s">
        <v>8</v>
      </c>
      <c r="F3536" s="1">
        <v>1</v>
      </c>
      <c r="G3536" s="1">
        <v>0</v>
      </c>
      <c r="H3536" s="6">
        <f>INT(Query1[[#This Row],[EntryDateTime]])</f>
        <v>44657</v>
      </c>
      <c r="I3536" s="1">
        <f>IF(Query1[[#This Row],[ItemType]]="EVAP KIT SF GEN IV",Query1[[#This Row],[OrderQty]]+I3535,I3535)</f>
        <v>4459</v>
      </c>
      <c r="J3536" s="1">
        <f>IF(Query1[[#This Row],[ItemType]]="EVAP KIT UNIVERSAL",Query1[[#This Row],[OrderQty]]+J3535,J3535)</f>
        <v>1503</v>
      </c>
      <c r="K3536" s="1">
        <f>Query1[[#This Row],[SF Running Total]]+Query1[[#This Row],[UNIV Running Total]]</f>
        <v>5962</v>
      </c>
      <c r="L3536">
        <f>VLOOKUP(Query1[[#This Row],[Description]],'kits to boards'!$B$2:$E$156,2,FALSE)</f>
        <v>830017</v>
      </c>
      <c r="M3536">
        <f>VLOOKUP(Query1[[#This Row],[Description]],'kits to boards'!$B$2:$E$156,3,FALSE)</f>
        <v>830119</v>
      </c>
      <c r="N3536">
        <f>VLOOKUP(Query1[[#This Row],[Description]],'kits to boards'!$B$2:$E$156,4,FALSE)</f>
        <v>830120</v>
      </c>
      <c r="O3536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537" spans="1:15" x14ac:dyDescent="0.25">
      <c r="A3537" s="1">
        <v>918614</v>
      </c>
      <c r="B3537" s="1" t="s">
        <v>52</v>
      </c>
      <c r="C3537" s="1" t="s">
        <v>53</v>
      </c>
      <c r="D3537" s="2">
        <v>44657.66007445602</v>
      </c>
      <c r="E3537" s="1" t="s">
        <v>8</v>
      </c>
      <c r="F3537" s="1">
        <v>1</v>
      </c>
      <c r="G3537" s="1">
        <v>0</v>
      </c>
      <c r="H3537" s="6">
        <f>INT(Query1[[#This Row],[EntryDateTime]])</f>
        <v>44657</v>
      </c>
      <c r="I3537" s="1">
        <f>IF(Query1[[#This Row],[ItemType]]="EVAP KIT SF GEN IV",Query1[[#This Row],[OrderQty]]+I3536,I3536)</f>
        <v>4460</v>
      </c>
      <c r="J3537" s="1">
        <f>IF(Query1[[#This Row],[ItemType]]="EVAP KIT UNIVERSAL",Query1[[#This Row],[OrderQty]]+J3536,J3536)</f>
        <v>1503</v>
      </c>
      <c r="K3537" s="1">
        <f>Query1[[#This Row],[SF Running Total]]+Query1[[#This Row],[UNIV Running Total]]</f>
        <v>5963</v>
      </c>
      <c r="L3537">
        <f>VLOOKUP(Query1[[#This Row],[Description]],'kits to boards'!$B$2:$E$156,2,FALSE)</f>
        <v>830017</v>
      </c>
      <c r="M3537">
        <f>VLOOKUP(Query1[[#This Row],[Description]],'kits to boards'!$B$2:$E$156,3,FALSE)</f>
        <v>830119</v>
      </c>
      <c r="N3537">
        <f>VLOOKUP(Query1[[#This Row],[Description]],'kits to boards'!$B$2:$E$156,4,FALSE)</f>
        <v>830120</v>
      </c>
      <c r="O3537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538" spans="1:15" x14ac:dyDescent="0.25">
      <c r="A3538" s="1">
        <v>918616</v>
      </c>
      <c r="B3538" s="1" t="s">
        <v>52</v>
      </c>
      <c r="C3538" s="1" t="s">
        <v>53</v>
      </c>
      <c r="D3538" s="2">
        <v>44657.661202430558</v>
      </c>
      <c r="E3538" s="1" t="s">
        <v>8</v>
      </c>
      <c r="F3538" s="1">
        <v>1</v>
      </c>
      <c r="G3538" s="1">
        <v>0</v>
      </c>
      <c r="H3538" s="6">
        <f>INT(Query1[[#This Row],[EntryDateTime]])</f>
        <v>44657</v>
      </c>
      <c r="I3538" s="1">
        <f>IF(Query1[[#This Row],[ItemType]]="EVAP KIT SF GEN IV",Query1[[#This Row],[OrderQty]]+I3537,I3537)</f>
        <v>4461</v>
      </c>
      <c r="J3538" s="1">
        <f>IF(Query1[[#This Row],[ItemType]]="EVAP KIT UNIVERSAL",Query1[[#This Row],[OrderQty]]+J3537,J3537)</f>
        <v>1503</v>
      </c>
      <c r="K3538" s="1">
        <f>Query1[[#This Row],[SF Running Total]]+Query1[[#This Row],[UNIV Running Total]]</f>
        <v>5964</v>
      </c>
      <c r="L3538">
        <f>VLOOKUP(Query1[[#This Row],[Description]],'kits to boards'!$B$2:$E$156,2,FALSE)</f>
        <v>830017</v>
      </c>
      <c r="M3538">
        <f>VLOOKUP(Query1[[#This Row],[Description]],'kits to boards'!$B$2:$E$156,3,FALSE)</f>
        <v>830119</v>
      </c>
      <c r="N3538">
        <f>VLOOKUP(Query1[[#This Row],[Description]],'kits to boards'!$B$2:$E$156,4,FALSE)</f>
        <v>830120</v>
      </c>
      <c r="O3538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539" spans="1:15" x14ac:dyDescent="0.25">
      <c r="A3539" s="1">
        <v>918618</v>
      </c>
      <c r="B3539" s="1" t="s">
        <v>52</v>
      </c>
      <c r="C3539" s="1" t="s">
        <v>53</v>
      </c>
      <c r="D3539" s="2">
        <v>44657.662033761575</v>
      </c>
      <c r="E3539" s="1" t="s">
        <v>8</v>
      </c>
      <c r="F3539" s="1">
        <v>1</v>
      </c>
      <c r="G3539" s="1">
        <v>0</v>
      </c>
      <c r="H3539" s="6">
        <f>INT(Query1[[#This Row],[EntryDateTime]])</f>
        <v>44657</v>
      </c>
      <c r="I3539" s="1">
        <f>IF(Query1[[#This Row],[ItemType]]="EVAP KIT SF GEN IV",Query1[[#This Row],[OrderQty]]+I3538,I3538)</f>
        <v>4462</v>
      </c>
      <c r="J3539" s="1">
        <f>IF(Query1[[#This Row],[ItemType]]="EVAP KIT UNIVERSAL",Query1[[#This Row],[OrderQty]]+J3538,J3538)</f>
        <v>1503</v>
      </c>
      <c r="K3539" s="1">
        <f>Query1[[#This Row],[SF Running Total]]+Query1[[#This Row],[UNIV Running Total]]</f>
        <v>5965</v>
      </c>
      <c r="L3539">
        <f>VLOOKUP(Query1[[#This Row],[Description]],'kits to boards'!$B$2:$E$156,2,FALSE)</f>
        <v>830017</v>
      </c>
      <c r="M3539">
        <f>VLOOKUP(Query1[[#This Row],[Description]],'kits to boards'!$B$2:$E$156,3,FALSE)</f>
        <v>830119</v>
      </c>
      <c r="N3539">
        <f>VLOOKUP(Query1[[#This Row],[Description]],'kits to boards'!$B$2:$E$156,4,FALSE)</f>
        <v>830120</v>
      </c>
      <c r="O3539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540" spans="1:15" x14ac:dyDescent="0.25">
      <c r="A3540" s="1">
        <v>918619</v>
      </c>
      <c r="B3540" s="1" t="s">
        <v>52</v>
      </c>
      <c r="C3540" s="1" t="s">
        <v>53</v>
      </c>
      <c r="D3540" s="2">
        <v>44657.66290949074</v>
      </c>
      <c r="E3540" s="1" t="s">
        <v>8</v>
      </c>
      <c r="F3540" s="1">
        <v>1</v>
      </c>
      <c r="G3540" s="1">
        <v>0</v>
      </c>
      <c r="H3540" s="6">
        <f>INT(Query1[[#This Row],[EntryDateTime]])</f>
        <v>44657</v>
      </c>
      <c r="I3540" s="1">
        <f>IF(Query1[[#This Row],[ItemType]]="EVAP KIT SF GEN IV",Query1[[#This Row],[OrderQty]]+I3539,I3539)</f>
        <v>4463</v>
      </c>
      <c r="J3540" s="1">
        <f>IF(Query1[[#This Row],[ItemType]]="EVAP KIT UNIVERSAL",Query1[[#This Row],[OrderQty]]+J3539,J3539)</f>
        <v>1503</v>
      </c>
      <c r="K3540" s="1">
        <f>Query1[[#This Row],[SF Running Total]]+Query1[[#This Row],[UNIV Running Total]]</f>
        <v>5966</v>
      </c>
      <c r="L3540">
        <f>VLOOKUP(Query1[[#This Row],[Description]],'kits to boards'!$B$2:$E$156,2,FALSE)</f>
        <v>830017</v>
      </c>
      <c r="M3540">
        <f>VLOOKUP(Query1[[#This Row],[Description]],'kits to boards'!$B$2:$E$156,3,FALSE)</f>
        <v>830119</v>
      </c>
      <c r="N3540">
        <f>VLOOKUP(Query1[[#This Row],[Description]],'kits to boards'!$B$2:$E$156,4,FALSE)</f>
        <v>830120</v>
      </c>
      <c r="O3540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541" spans="1:15" x14ac:dyDescent="0.25">
      <c r="A3541" s="1">
        <v>918621</v>
      </c>
      <c r="B3541" s="1" t="s">
        <v>52</v>
      </c>
      <c r="C3541" s="1" t="s">
        <v>53</v>
      </c>
      <c r="D3541" s="2">
        <v>44657.663722106481</v>
      </c>
      <c r="E3541" s="1" t="s">
        <v>8</v>
      </c>
      <c r="F3541" s="1">
        <v>1</v>
      </c>
      <c r="G3541" s="1">
        <v>0</v>
      </c>
      <c r="H3541" s="6">
        <f>INT(Query1[[#This Row],[EntryDateTime]])</f>
        <v>44657</v>
      </c>
      <c r="I3541" s="1">
        <f>IF(Query1[[#This Row],[ItemType]]="EVAP KIT SF GEN IV",Query1[[#This Row],[OrderQty]]+I3540,I3540)</f>
        <v>4464</v>
      </c>
      <c r="J3541" s="1">
        <f>IF(Query1[[#This Row],[ItemType]]="EVAP KIT UNIVERSAL",Query1[[#This Row],[OrderQty]]+J3540,J3540)</f>
        <v>1503</v>
      </c>
      <c r="K3541" s="1">
        <f>Query1[[#This Row],[SF Running Total]]+Query1[[#This Row],[UNIV Running Total]]</f>
        <v>5967</v>
      </c>
      <c r="L3541">
        <f>VLOOKUP(Query1[[#This Row],[Description]],'kits to boards'!$B$2:$E$156,2,FALSE)</f>
        <v>830017</v>
      </c>
      <c r="M3541">
        <f>VLOOKUP(Query1[[#This Row],[Description]],'kits to boards'!$B$2:$E$156,3,FALSE)</f>
        <v>830119</v>
      </c>
      <c r="N3541">
        <f>VLOOKUP(Query1[[#This Row],[Description]],'kits to boards'!$B$2:$E$156,4,FALSE)</f>
        <v>830120</v>
      </c>
      <c r="O3541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542" spans="1:15" x14ac:dyDescent="0.25">
      <c r="A3542" s="1">
        <v>918622</v>
      </c>
      <c r="B3542" s="1" t="s">
        <v>52</v>
      </c>
      <c r="C3542" s="1" t="s">
        <v>53</v>
      </c>
      <c r="D3542" s="2">
        <v>44657.664719178239</v>
      </c>
      <c r="E3542" s="1" t="s">
        <v>8</v>
      </c>
      <c r="F3542" s="1">
        <v>1</v>
      </c>
      <c r="G3542" s="1">
        <v>0</v>
      </c>
      <c r="H3542" s="6">
        <f>INT(Query1[[#This Row],[EntryDateTime]])</f>
        <v>44657</v>
      </c>
      <c r="I3542" s="1">
        <f>IF(Query1[[#This Row],[ItemType]]="EVAP KIT SF GEN IV",Query1[[#This Row],[OrderQty]]+I3541,I3541)</f>
        <v>4465</v>
      </c>
      <c r="J3542" s="1">
        <f>IF(Query1[[#This Row],[ItemType]]="EVAP KIT UNIVERSAL",Query1[[#This Row],[OrderQty]]+J3541,J3541)</f>
        <v>1503</v>
      </c>
      <c r="K3542" s="1">
        <f>Query1[[#This Row],[SF Running Total]]+Query1[[#This Row],[UNIV Running Total]]</f>
        <v>5968</v>
      </c>
      <c r="L3542">
        <f>VLOOKUP(Query1[[#This Row],[Description]],'kits to boards'!$B$2:$E$156,2,FALSE)</f>
        <v>830017</v>
      </c>
      <c r="M3542">
        <f>VLOOKUP(Query1[[#This Row],[Description]],'kits to boards'!$B$2:$E$156,3,FALSE)</f>
        <v>830119</v>
      </c>
      <c r="N3542">
        <f>VLOOKUP(Query1[[#This Row],[Description]],'kits to boards'!$B$2:$E$156,4,FALSE)</f>
        <v>830120</v>
      </c>
      <c r="O3542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543" spans="1:15" x14ac:dyDescent="0.25">
      <c r="A3543" s="1">
        <v>918623</v>
      </c>
      <c r="B3543" s="1" t="s">
        <v>52</v>
      </c>
      <c r="C3543" s="1" t="s">
        <v>53</v>
      </c>
      <c r="D3543" s="2">
        <v>44657.665620219908</v>
      </c>
      <c r="E3543" s="1" t="s">
        <v>8</v>
      </c>
      <c r="F3543" s="1">
        <v>1</v>
      </c>
      <c r="G3543" s="1">
        <v>0</v>
      </c>
      <c r="H3543" s="6">
        <f>INT(Query1[[#This Row],[EntryDateTime]])</f>
        <v>44657</v>
      </c>
      <c r="I3543" s="1">
        <f>IF(Query1[[#This Row],[ItemType]]="EVAP KIT SF GEN IV",Query1[[#This Row],[OrderQty]]+I3542,I3542)</f>
        <v>4466</v>
      </c>
      <c r="J3543" s="1">
        <f>IF(Query1[[#This Row],[ItemType]]="EVAP KIT UNIVERSAL",Query1[[#This Row],[OrderQty]]+J3542,J3542)</f>
        <v>1503</v>
      </c>
      <c r="K3543" s="1">
        <f>Query1[[#This Row],[SF Running Total]]+Query1[[#This Row],[UNIV Running Total]]</f>
        <v>5969</v>
      </c>
      <c r="L3543">
        <f>VLOOKUP(Query1[[#This Row],[Description]],'kits to boards'!$B$2:$E$156,2,FALSE)</f>
        <v>830017</v>
      </c>
      <c r="M3543">
        <f>VLOOKUP(Query1[[#This Row],[Description]],'kits to boards'!$B$2:$E$156,3,FALSE)</f>
        <v>830119</v>
      </c>
      <c r="N3543">
        <f>VLOOKUP(Query1[[#This Row],[Description]],'kits to boards'!$B$2:$E$156,4,FALSE)</f>
        <v>830120</v>
      </c>
      <c r="O3543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544" spans="1:15" x14ac:dyDescent="0.25">
      <c r="A3544" s="1">
        <v>918624</v>
      </c>
      <c r="B3544" s="1" t="s">
        <v>52</v>
      </c>
      <c r="C3544" s="1" t="s">
        <v>53</v>
      </c>
      <c r="D3544" s="2">
        <v>44657.666383067131</v>
      </c>
      <c r="E3544" s="1" t="s">
        <v>8</v>
      </c>
      <c r="F3544" s="1">
        <v>1</v>
      </c>
      <c r="G3544" s="1">
        <v>0</v>
      </c>
      <c r="H3544" s="6">
        <f>INT(Query1[[#This Row],[EntryDateTime]])</f>
        <v>44657</v>
      </c>
      <c r="I3544" s="1">
        <f>IF(Query1[[#This Row],[ItemType]]="EVAP KIT SF GEN IV",Query1[[#This Row],[OrderQty]]+I3543,I3543)</f>
        <v>4467</v>
      </c>
      <c r="J3544" s="1">
        <f>IF(Query1[[#This Row],[ItemType]]="EVAP KIT UNIVERSAL",Query1[[#This Row],[OrderQty]]+J3543,J3543)</f>
        <v>1503</v>
      </c>
      <c r="K3544" s="1">
        <f>Query1[[#This Row],[SF Running Total]]+Query1[[#This Row],[UNIV Running Total]]</f>
        <v>5970</v>
      </c>
      <c r="L3544">
        <f>VLOOKUP(Query1[[#This Row],[Description]],'kits to boards'!$B$2:$E$156,2,FALSE)</f>
        <v>830017</v>
      </c>
      <c r="M3544">
        <f>VLOOKUP(Query1[[#This Row],[Description]],'kits to boards'!$B$2:$E$156,3,FALSE)</f>
        <v>830119</v>
      </c>
      <c r="N3544">
        <f>VLOOKUP(Query1[[#This Row],[Description]],'kits to boards'!$B$2:$E$156,4,FALSE)</f>
        <v>830120</v>
      </c>
      <c r="O3544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545" spans="1:15" x14ac:dyDescent="0.25">
      <c r="A3545" s="1">
        <v>918626</v>
      </c>
      <c r="B3545" s="1" t="s">
        <v>52</v>
      </c>
      <c r="C3545" s="1" t="s">
        <v>53</v>
      </c>
      <c r="D3545" s="2">
        <v>44657.66734915509</v>
      </c>
      <c r="E3545" s="1" t="s">
        <v>8</v>
      </c>
      <c r="F3545" s="1">
        <v>1</v>
      </c>
      <c r="G3545" s="1">
        <v>0</v>
      </c>
      <c r="H3545" s="6">
        <f>INT(Query1[[#This Row],[EntryDateTime]])</f>
        <v>44657</v>
      </c>
      <c r="I3545" s="1">
        <f>IF(Query1[[#This Row],[ItemType]]="EVAP KIT SF GEN IV",Query1[[#This Row],[OrderQty]]+I3544,I3544)</f>
        <v>4468</v>
      </c>
      <c r="J3545" s="1">
        <f>IF(Query1[[#This Row],[ItemType]]="EVAP KIT UNIVERSAL",Query1[[#This Row],[OrderQty]]+J3544,J3544)</f>
        <v>1503</v>
      </c>
      <c r="K3545" s="1">
        <f>Query1[[#This Row],[SF Running Total]]+Query1[[#This Row],[UNIV Running Total]]</f>
        <v>5971</v>
      </c>
      <c r="L3545">
        <f>VLOOKUP(Query1[[#This Row],[Description]],'kits to boards'!$B$2:$E$156,2,FALSE)</f>
        <v>830017</v>
      </c>
      <c r="M3545">
        <f>VLOOKUP(Query1[[#This Row],[Description]],'kits to boards'!$B$2:$E$156,3,FALSE)</f>
        <v>830119</v>
      </c>
      <c r="N3545">
        <f>VLOOKUP(Query1[[#This Row],[Description]],'kits to boards'!$B$2:$E$156,4,FALSE)</f>
        <v>830120</v>
      </c>
      <c r="O3545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546" spans="1:15" x14ac:dyDescent="0.25">
      <c r="A3546" s="1">
        <v>918627</v>
      </c>
      <c r="B3546" s="1" t="s">
        <v>42</v>
      </c>
      <c r="C3546" s="1" t="s">
        <v>43</v>
      </c>
      <c r="D3546" s="2">
        <v>44657.669037997686</v>
      </c>
      <c r="E3546" s="1" t="s">
        <v>8</v>
      </c>
      <c r="F3546" s="1">
        <v>1</v>
      </c>
      <c r="G3546" s="1">
        <v>0</v>
      </c>
      <c r="H3546" s="6">
        <f>INT(Query1[[#This Row],[EntryDateTime]])</f>
        <v>44657</v>
      </c>
      <c r="I3546" s="1">
        <f>IF(Query1[[#This Row],[ItemType]]="EVAP KIT SF GEN IV",Query1[[#This Row],[OrderQty]]+I3545,I3545)</f>
        <v>4469</v>
      </c>
      <c r="J3546" s="1">
        <f>IF(Query1[[#This Row],[ItemType]]="EVAP KIT UNIVERSAL",Query1[[#This Row],[OrderQty]]+J3545,J3545)</f>
        <v>1503</v>
      </c>
      <c r="K3546" s="1">
        <f>Query1[[#This Row],[SF Running Total]]+Query1[[#This Row],[UNIV Running Total]]</f>
        <v>5972</v>
      </c>
      <c r="L3546">
        <f>VLOOKUP(Query1[[#This Row],[Description]],'kits to boards'!$B$2:$E$156,2,FALSE)</f>
        <v>830014</v>
      </c>
      <c r="M3546">
        <f>VLOOKUP(Query1[[#This Row],[Description]],'kits to boards'!$B$2:$E$156,3,FALSE)</f>
        <v>0</v>
      </c>
      <c r="N3546">
        <f>VLOOKUP(Query1[[#This Row],[Description]],'kits to boards'!$B$2:$E$156,4,FALSE)</f>
        <v>0</v>
      </c>
      <c r="O3546" t="str">
        <f>CONCATENATE(Query1[[#This Row],[Description]]," - ",Query1[[#This Row],[MB1]]," - ",Query1[[#This Row],[MB2]]," - ",Query1[[#This Row],[MB3]])</f>
        <v>EVAP KIT 67-72 CHEV P-UP WO AC - 830014 - 0 - 0</v>
      </c>
    </row>
    <row r="3547" spans="1:15" x14ac:dyDescent="0.25">
      <c r="A3547" s="1">
        <v>918629</v>
      </c>
      <c r="B3547" s="1" t="s">
        <v>52</v>
      </c>
      <c r="C3547" s="1" t="s">
        <v>53</v>
      </c>
      <c r="D3547" s="2">
        <v>44657.675024502314</v>
      </c>
      <c r="E3547" s="1" t="s">
        <v>8</v>
      </c>
      <c r="F3547" s="1">
        <v>1</v>
      </c>
      <c r="G3547" s="1">
        <v>0</v>
      </c>
      <c r="H3547" s="6">
        <f>INT(Query1[[#This Row],[EntryDateTime]])</f>
        <v>44657</v>
      </c>
      <c r="I3547" s="1">
        <f>IF(Query1[[#This Row],[ItemType]]="EVAP KIT SF GEN IV",Query1[[#This Row],[OrderQty]]+I3546,I3546)</f>
        <v>4470</v>
      </c>
      <c r="J3547" s="1">
        <f>IF(Query1[[#This Row],[ItemType]]="EVAP KIT UNIVERSAL",Query1[[#This Row],[OrderQty]]+J3546,J3546)</f>
        <v>1503</v>
      </c>
      <c r="K3547" s="1">
        <f>Query1[[#This Row],[SF Running Total]]+Query1[[#This Row],[UNIV Running Total]]</f>
        <v>5973</v>
      </c>
      <c r="L3547">
        <f>VLOOKUP(Query1[[#This Row],[Description]],'kits to boards'!$B$2:$E$156,2,FALSE)</f>
        <v>830017</v>
      </c>
      <c r="M3547">
        <f>VLOOKUP(Query1[[#This Row],[Description]],'kits to boards'!$B$2:$E$156,3,FALSE)</f>
        <v>830119</v>
      </c>
      <c r="N3547">
        <f>VLOOKUP(Query1[[#This Row],[Description]],'kits to boards'!$B$2:$E$156,4,FALSE)</f>
        <v>830120</v>
      </c>
      <c r="O3547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548" spans="1:15" x14ac:dyDescent="0.25">
      <c r="A3548" s="1">
        <v>918634</v>
      </c>
      <c r="B3548" s="1" t="s">
        <v>44</v>
      </c>
      <c r="C3548" s="1" t="s">
        <v>45</v>
      </c>
      <c r="D3548" s="2">
        <v>44657.699165196762</v>
      </c>
      <c r="E3548" s="1" t="s">
        <v>8</v>
      </c>
      <c r="F3548" s="1">
        <v>1</v>
      </c>
      <c r="G3548" s="1">
        <v>0</v>
      </c>
      <c r="H3548" s="6">
        <f>INT(Query1[[#This Row],[EntryDateTime]])</f>
        <v>44657</v>
      </c>
      <c r="I3548" s="1">
        <f>IF(Query1[[#This Row],[ItemType]]="EVAP KIT SF GEN IV",Query1[[#This Row],[OrderQty]]+I3547,I3547)</f>
        <v>4471</v>
      </c>
      <c r="J3548" s="1">
        <f>IF(Query1[[#This Row],[ItemType]]="EVAP KIT UNIVERSAL",Query1[[#This Row],[OrderQty]]+J3547,J3547)</f>
        <v>1503</v>
      </c>
      <c r="K3548" s="1">
        <f>Query1[[#This Row],[SF Running Total]]+Query1[[#This Row],[UNIV Running Total]]</f>
        <v>5974</v>
      </c>
      <c r="L3548">
        <f>VLOOKUP(Query1[[#This Row],[Description]],'kits to boards'!$B$2:$E$156,2,FALSE)</f>
        <v>830085</v>
      </c>
      <c r="M3548">
        <f>VLOOKUP(Query1[[#This Row],[Description]],'kits to boards'!$B$2:$E$156,3,FALSE)</f>
        <v>0</v>
      </c>
      <c r="N3548">
        <f>VLOOKUP(Query1[[#This Row],[Description]],'kits to boards'!$B$2:$E$156,4,FALSE)</f>
        <v>0</v>
      </c>
      <c r="O3548" t="str">
        <f>CONCATENATE(Query1[[#This Row],[Description]]," - ",Query1[[#This Row],[MB1]]," - ",Query1[[#This Row],[MB2]]," - ",Query1[[#This Row],[MB3]])</f>
        <v>EVAP KIT 66-77 BRONCO - 830085 - 0 - 0</v>
      </c>
    </row>
    <row r="3549" spans="1:15" x14ac:dyDescent="0.25">
      <c r="A3549" s="1">
        <v>918641</v>
      </c>
      <c r="B3549" s="1" t="s">
        <v>166</v>
      </c>
      <c r="C3549" s="1" t="s">
        <v>167</v>
      </c>
      <c r="D3549" s="2">
        <v>44657.703538310183</v>
      </c>
      <c r="E3549" s="1" t="s">
        <v>8</v>
      </c>
      <c r="F3549" s="1">
        <v>1</v>
      </c>
      <c r="G3549" s="1">
        <v>0</v>
      </c>
      <c r="H3549" s="6">
        <f>INT(Query1[[#This Row],[EntryDateTime]])</f>
        <v>44657</v>
      </c>
      <c r="I3549" s="1">
        <f>IF(Query1[[#This Row],[ItemType]]="EVAP KIT SF GEN IV",Query1[[#This Row],[OrderQty]]+I3548,I3548)</f>
        <v>4472</v>
      </c>
      <c r="J3549" s="1">
        <f>IF(Query1[[#This Row],[ItemType]]="EVAP KIT UNIVERSAL",Query1[[#This Row],[OrderQty]]+J3548,J3548)</f>
        <v>1503</v>
      </c>
      <c r="K3549" s="1">
        <f>Query1[[#This Row],[SF Running Total]]+Query1[[#This Row],[UNIV Running Total]]</f>
        <v>5975</v>
      </c>
      <c r="L3549">
        <f>VLOOKUP(Query1[[#This Row],[Description]],'kits to boards'!$B$2:$E$156,2,FALSE)</f>
        <v>830063</v>
      </c>
      <c r="M3549">
        <f>VLOOKUP(Query1[[#This Row],[Description]],'kits to boards'!$B$2:$E$156,3,FALSE)</f>
        <v>0</v>
      </c>
      <c r="N3549">
        <f>VLOOKUP(Query1[[#This Row],[Description]],'kits to boards'!$B$2:$E$156,4,FALSE)</f>
        <v>0</v>
      </c>
      <c r="O3549" t="str">
        <f>CONCATENATE(Query1[[#This Row],[Description]]," - ",Query1[[#This Row],[MB1]]," - ",Query1[[#This Row],[MB2]]," - ",Query1[[#This Row],[MB3]])</f>
        <v>EVAP KIT 47-49 CHEV P-UP GEN IV - 830063 - 0 - 0</v>
      </c>
    </row>
    <row r="3550" spans="1:15" x14ac:dyDescent="0.25">
      <c r="A3550" s="1">
        <v>918644</v>
      </c>
      <c r="B3550" s="1" t="s">
        <v>188</v>
      </c>
      <c r="C3550" s="1" t="s">
        <v>189</v>
      </c>
      <c r="D3550" s="2">
        <v>44658.30181527778</v>
      </c>
      <c r="E3550" s="1" t="s">
        <v>11</v>
      </c>
      <c r="F3550" s="1">
        <v>1</v>
      </c>
      <c r="G3550" s="1">
        <v>0</v>
      </c>
      <c r="H3550" s="6">
        <f>INT(Query1[[#This Row],[EntryDateTime]])</f>
        <v>44658</v>
      </c>
      <c r="I3550" s="1">
        <f>IF(Query1[[#This Row],[ItemType]]="EVAP KIT SF GEN IV",Query1[[#This Row],[OrderQty]]+I3549,I3549)</f>
        <v>4472</v>
      </c>
      <c r="J3550" s="1">
        <f>IF(Query1[[#This Row],[ItemType]]="EVAP KIT UNIVERSAL",Query1[[#This Row],[OrderQty]]+J3549,J3549)</f>
        <v>1504</v>
      </c>
      <c r="K3550" s="1">
        <f>Query1[[#This Row],[SF Running Total]]+Query1[[#This Row],[UNIV Running Total]]</f>
        <v>5976</v>
      </c>
      <c r="L3550">
        <f>VLOOKUP(Query1[[#This Row],[Description]],'kits to boards'!$B$2:$E$156,2,FALSE)</f>
        <v>830069</v>
      </c>
      <c r="M3550">
        <f>VLOOKUP(Query1[[#This Row],[Description]],'kits to boards'!$B$2:$E$156,3,FALSE)</f>
        <v>0</v>
      </c>
      <c r="N3550">
        <f>VLOOKUP(Query1[[#This Row],[Description]],'kits to boards'!$B$2:$E$156,4,FALSE)</f>
        <v>0</v>
      </c>
      <c r="O3550" t="str">
        <f>CONCATENATE(Query1[[#This Row],[Description]]," - ",Query1[[#This Row],[MB1]]," - ",Query1[[#This Row],[MB2]]," - ",Query1[[#This Row],[MB3]])</f>
        <v>SLIMLINE H/C STD LOUVER - 830069 - 0 - 0</v>
      </c>
    </row>
    <row r="3551" spans="1:15" x14ac:dyDescent="0.25">
      <c r="A3551" s="1">
        <v>918544</v>
      </c>
      <c r="B3551" s="1" t="s">
        <v>224</v>
      </c>
      <c r="C3551" s="1" t="s">
        <v>225</v>
      </c>
      <c r="D3551" s="2">
        <v>44658.316638310185</v>
      </c>
      <c r="E3551" s="1" t="s">
        <v>8</v>
      </c>
      <c r="F3551" s="1">
        <v>1</v>
      </c>
      <c r="G3551" s="1">
        <v>0</v>
      </c>
      <c r="H3551" s="6">
        <f>INT(Query1[[#This Row],[EntryDateTime]])</f>
        <v>44658</v>
      </c>
      <c r="I3551" s="1">
        <f>IF(Query1[[#This Row],[ItemType]]="EVAP KIT SF GEN IV",Query1[[#This Row],[OrderQty]]+I3550,I3550)</f>
        <v>4473</v>
      </c>
      <c r="J3551" s="1">
        <f>IF(Query1[[#This Row],[ItemType]]="EVAP KIT UNIVERSAL",Query1[[#This Row],[OrderQty]]+J3550,J3550)</f>
        <v>1504</v>
      </c>
      <c r="K3551" s="1">
        <f>Query1[[#This Row],[SF Running Total]]+Query1[[#This Row],[UNIV Running Total]]</f>
        <v>5977</v>
      </c>
      <c r="L3551">
        <f>VLOOKUP(Query1[[#This Row],[Description]],'kits to boards'!$B$2:$E$156,2,FALSE)</f>
        <v>830124</v>
      </c>
      <c r="M3551">
        <f>VLOOKUP(Query1[[#This Row],[Description]],'kits to boards'!$B$2:$E$156,3,FALSE)</f>
        <v>0</v>
      </c>
      <c r="N3551">
        <f>VLOOKUP(Query1[[#This Row],[Description]],'kits to boards'!$B$2:$E$156,4,FALSE)</f>
        <v>0</v>
      </c>
      <c r="O3551" t="str">
        <f>CONCATENATE(Query1[[#This Row],[Description]]," - ",Query1[[#This Row],[MB1]]," - ",Query1[[#This Row],[MB2]]," - ",Query1[[#This Row],[MB3]])</f>
        <v>EVAP KIT 70-72 GTO WO/AC - 830124 - 0 - 0</v>
      </c>
    </row>
    <row r="3552" spans="1:15" x14ac:dyDescent="0.25">
      <c r="A3552" s="1">
        <v>918546</v>
      </c>
      <c r="B3552" s="1" t="s">
        <v>32</v>
      </c>
      <c r="C3552" s="1" t="s">
        <v>33</v>
      </c>
      <c r="D3552" s="2">
        <v>44658.319958715278</v>
      </c>
      <c r="E3552" s="1" t="s">
        <v>8</v>
      </c>
      <c r="F3552" s="1">
        <v>1</v>
      </c>
      <c r="G3552" s="1">
        <v>0</v>
      </c>
      <c r="H3552" s="6">
        <f>INT(Query1[[#This Row],[EntryDateTime]])</f>
        <v>44658</v>
      </c>
      <c r="I3552" s="1">
        <f>IF(Query1[[#This Row],[ItemType]]="EVAP KIT SF GEN IV",Query1[[#This Row],[OrderQty]]+I3551,I3551)</f>
        <v>4474</v>
      </c>
      <c r="J3552" s="1">
        <f>IF(Query1[[#This Row],[ItemType]]="EVAP KIT UNIVERSAL",Query1[[#This Row],[OrderQty]]+J3551,J3551)</f>
        <v>1504</v>
      </c>
      <c r="K3552" s="1">
        <f>Query1[[#This Row],[SF Running Total]]+Query1[[#This Row],[UNIV Running Total]]</f>
        <v>5978</v>
      </c>
      <c r="L3552">
        <f>VLOOKUP(Query1[[#This Row],[Description]],'kits to boards'!$B$2:$E$156,2,FALSE)</f>
        <v>830016</v>
      </c>
      <c r="M3552">
        <f>VLOOKUP(Query1[[#This Row],[Description]],'kits to boards'!$B$2:$E$156,3,FALSE)</f>
        <v>0</v>
      </c>
      <c r="N3552">
        <f>VLOOKUP(Query1[[#This Row],[Description]],'kits to boards'!$B$2:$E$156,4,FALSE)</f>
        <v>0</v>
      </c>
      <c r="O3552" t="str">
        <f>CONCATENATE(Query1[[#This Row],[Description]]," - ",Query1[[#This Row],[MB1]]," - ",Query1[[#This Row],[MB2]]," - ",Query1[[#This Row],[MB3]])</f>
        <v>EVAP KIT 67-68 CAMARO/FIREBIRD W/AC - 830016 - 0 - 0</v>
      </c>
    </row>
    <row r="3553" spans="1:15" x14ac:dyDescent="0.25">
      <c r="A3553" s="1">
        <v>918648</v>
      </c>
      <c r="B3553" s="1" t="s">
        <v>32</v>
      </c>
      <c r="C3553" s="1" t="s">
        <v>33</v>
      </c>
      <c r="D3553" s="2">
        <v>44658.320943055558</v>
      </c>
      <c r="E3553" s="1" t="s">
        <v>8</v>
      </c>
      <c r="F3553" s="1">
        <v>1</v>
      </c>
      <c r="G3553" s="1">
        <v>0</v>
      </c>
      <c r="H3553" s="6">
        <f>INT(Query1[[#This Row],[EntryDateTime]])</f>
        <v>44658</v>
      </c>
      <c r="I3553" s="1">
        <f>IF(Query1[[#This Row],[ItemType]]="EVAP KIT SF GEN IV",Query1[[#This Row],[OrderQty]]+I3552,I3552)</f>
        <v>4475</v>
      </c>
      <c r="J3553" s="1">
        <f>IF(Query1[[#This Row],[ItemType]]="EVAP KIT UNIVERSAL",Query1[[#This Row],[OrderQty]]+J3552,J3552)</f>
        <v>1504</v>
      </c>
      <c r="K3553" s="1">
        <f>Query1[[#This Row],[SF Running Total]]+Query1[[#This Row],[UNIV Running Total]]</f>
        <v>5979</v>
      </c>
      <c r="L3553">
        <f>VLOOKUP(Query1[[#This Row],[Description]],'kits to boards'!$B$2:$E$156,2,FALSE)</f>
        <v>830016</v>
      </c>
      <c r="M3553">
        <f>VLOOKUP(Query1[[#This Row],[Description]],'kits to boards'!$B$2:$E$156,3,FALSE)</f>
        <v>0</v>
      </c>
      <c r="N3553">
        <f>VLOOKUP(Query1[[#This Row],[Description]],'kits to boards'!$B$2:$E$156,4,FALSE)</f>
        <v>0</v>
      </c>
      <c r="O3553" t="str">
        <f>CONCATENATE(Query1[[#This Row],[Description]]," - ",Query1[[#This Row],[MB1]]," - ",Query1[[#This Row],[MB2]]," - ",Query1[[#This Row],[MB3]])</f>
        <v>EVAP KIT 67-68 CAMARO/FIREBIRD W/AC - 830016 - 0 - 0</v>
      </c>
    </row>
    <row r="3554" spans="1:15" x14ac:dyDescent="0.25">
      <c r="A3554" s="1">
        <v>918548</v>
      </c>
      <c r="B3554" s="1" t="s">
        <v>26</v>
      </c>
      <c r="C3554" s="1" t="s">
        <v>27</v>
      </c>
      <c r="D3554" s="2">
        <v>44658.323209224538</v>
      </c>
      <c r="E3554" s="1" t="s">
        <v>8</v>
      </c>
      <c r="F3554" s="1">
        <v>1</v>
      </c>
      <c r="G3554" s="1">
        <v>0</v>
      </c>
      <c r="H3554" s="6">
        <f>INT(Query1[[#This Row],[EntryDateTime]])</f>
        <v>44658</v>
      </c>
      <c r="I3554" s="1">
        <f>IF(Query1[[#This Row],[ItemType]]="EVAP KIT SF GEN IV",Query1[[#This Row],[OrderQty]]+I3553,I3553)</f>
        <v>4476</v>
      </c>
      <c r="J3554" s="1">
        <f>IF(Query1[[#This Row],[ItemType]]="EVAP KIT UNIVERSAL",Query1[[#This Row],[OrderQty]]+J3553,J3553)</f>
        <v>1504</v>
      </c>
      <c r="K3554" s="1">
        <f>Query1[[#This Row],[SF Running Total]]+Query1[[#This Row],[UNIV Running Total]]</f>
        <v>5980</v>
      </c>
      <c r="L3554">
        <f>VLOOKUP(Query1[[#This Row],[Description]],'kits to boards'!$B$2:$E$156,2,FALSE)</f>
        <v>830013</v>
      </c>
      <c r="M3554">
        <f>VLOOKUP(Query1[[#This Row],[Description]],'kits to boards'!$B$2:$E$156,3,FALSE)</f>
        <v>0</v>
      </c>
      <c r="N3554">
        <f>VLOOKUP(Query1[[#This Row],[Description]],'kits to boards'!$B$2:$E$156,4,FALSE)</f>
        <v>0</v>
      </c>
      <c r="O3554" t="str">
        <f>CONCATENATE(Query1[[#This Row],[Description]]," - ",Query1[[#This Row],[MB1]]," - ",Query1[[#This Row],[MB2]]," - ",Query1[[#This Row],[MB3]])</f>
        <v>EVAP KIT 67-72 CHEV P-UP W/AC - 830013 - 0 - 0</v>
      </c>
    </row>
    <row r="3555" spans="1:15" x14ac:dyDescent="0.25">
      <c r="A3555" s="1">
        <v>918652</v>
      </c>
      <c r="B3555" s="1" t="s">
        <v>228</v>
      </c>
      <c r="C3555" s="1" t="s">
        <v>229</v>
      </c>
      <c r="D3555" s="2">
        <v>44658.326982719911</v>
      </c>
      <c r="E3555" s="1" t="s">
        <v>8</v>
      </c>
      <c r="F3555" s="1">
        <v>1</v>
      </c>
      <c r="G3555" s="1">
        <v>0</v>
      </c>
      <c r="H3555" s="6">
        <f>INT(Query1[[#This Row],[EntryDateTime]])</f>
        <v>44658</v>
      </c>
      <c r="I3555" s="1">
        <f>IF(Query1[[#This Row],[ItemType]]="EVAP KIT SF GEN IV",Query1[[#This Row],[OrderQty]]+I3554,I3554)</f>
        <v>4477</v>
      </c>
      <c r="J3555" s="1">
        <f>IF(Query1[[#This Row],[ItemType]]="EVAP KIT UNIVERSAL",Query1[[#This Row],[OrderQty]]+J3554,J3554)</f>
        <v>1504</v>
      </c>
      <c r="K3555" s="1">
        <f>Query1[[#This Row],[SF Running Total]]+Query1[[#This Row],[UNIV Running Total]]</f>
        <v>5981</v>
      </c>
      <c r="L3555">
        <f>VLOOKUP(Query1[[#This Row],[Description]],'kits to boards'!$B$2:$E$156,2,FALSE)</f>
        <v>830044</v>
      </c>
      <c r="M3555">
        <f>VLOOKUP(Query1[[#This Row],[Description]],'kits to boards'!$B$2:$E$156,3,FALSE)</f>
        <v>0</v>
      </c>
      <c r="N3555">
        <f>VLOOKUP(Query1[[#This Row],[Description]],'kits to boards'!$B$2:$E$156,4,FALSE)</f>
        <v>0</v>
      </c>
      <c r="O3555" t="str">
        <f>CONCATENATE(Query1[[#This Row],[Description]]," - ",Query1[[#This Row],[MB1]]," - ",Query1[[#This Row],[MB2]]," - ",Query1[[#This Row],[MB3]])</f>
        <v>EVAP KIT 64-65 FALCON/RANCHERO - 830044 - 0 - 0</v>
      </c>
    </row>
    <row r="3556" spans="1:15" x14ac:dyDescent="0.25">
      <c r="A3556" s="1">
        <v>918653</v>
      </c>
      <c r="B3556" s="1" t="s">
        <v>26</v>
      </c>
      <c r="C3556" s="1" t="s">
        <v>27</v>
      </c>
      <c r="D3556" s="2">
        <v>44658.327473379628</v>
      </c>
      <c r="E3556" s="1" t="s">
        <v>8</v>
      </c>
      <c r="F3556" s="1">
        <v>1</v>
      </c>
      <c r="G3556" s="1">
        <v>0</v>
      </c>
      <c r="H3556" s="6">
        <f>INT(Query1[[#This Row],[EntryDateTime]])</f>
        <v>44658</v>
      </c>
      <c r="I3556" s="1">
        <f>IF(Query1[[#This Row],[ItemType]]="EVAP KIT SF GEN IV",Query1[[#This Row],[OrderQty]]+I3555,I3555)</f>
        <v>4478</v>
      </c>
      <c r="J3556" s="1">
        <f>IF(Query1[[#This Row],[ItemType]]="EVAP KIT UNIVERSAL",Query1[[#This Row],[OrderQty]]+J3555,J3555)</f>
        <v>1504</v>
      </c>
      <c r="K3556" s="1">
        <f>Query1[[#This Row],[SF Running Total]]+Query1[[#This Row],[UNIV Running Total]]</f>
        <v>5982</v>
      </c>
      <c r="L3556">
        <f>VLOOKUP(Query1[[#This Row],[Description]],'kits to boards'!$B$2:$E$156,2,FALSE)</f>
        <v>830013</v>
      </c>
      <c r="M3556">
        <f>VLOOKUP(Query1[[#This Row],[Description]],'kits to boards'!$B$2:$E$156,3,FALSE)</f>
        <v>0</v>
      </c>
      <c r="N3556">
        <f>VLOOKUP(Query1[[#This Row],[Description]],'kits to boards'!$B$2:$E$156,4,FALSE)</f>
        <v>0</v>
      </c>
      <c r="O3556" t="str">
        <f>CONCATENATE(Query1[[#This Row],[Description]]," - ",Query1[[#This Row],[MB1]]," - ",Query1[[#This Row],[MB2]]," - ",Query1[[#This Row],[MB3]])</f>
        <v>EVAP KIT 67-72 CHEV P-UP W/AC - 830013 - 0 - 0</v>
      </c>
    </row>
    <row r="3557" spans="1:15" x14ac:dyDescent="0.25">
      <c r="A3557" s="1">
        <v>918658</v>
      </c>
      <c r="B3557" s="1" t="s">
        <v>124</v>
      </c>
      <c r="C3557" s="1" t="s">
        <v>125</v>
      </c>
      <c r="D3557" s="2">
        <v>44658.335112581015</v>
      </c>
      <c r="E3557" s="1" t="s">
        <v>8</v>
      </c>
      <c r="F3557" s="1">
        <v>1</v>
      </c>
      <c r="G3557" s="1">
        <v>0</v>
      </c>
      <c r="H3557" s="6">
        <f>INT(Query1[[#This Row],[EntryDateTime]])</f>
        <v>44658</v>
      </c>
      <c r="I3557" s="1">
        <f>IF(Query1[[#This Row],[ItemType]]="EVAP KIT SF GEN IV",Query1[[#This Row],[OrderQty]]+I3556,I3556)</f>
        <v>4479</v>
      </c>
      <c r="J3557" s="1">
        <f>IF(Query1[[#This Row],[ItemType]]="EVAP KIT UNIVERSAL",Query1[[#This Row],[OrderQty]]+J3556,J3556)</f>
        <v>1504</v>
      </c>
      <c r="K3557" s="1">
        <f>Query1[[#This Row],[SF Running Total]]+Query1[[#This Row],[UNIV Running Total]]</f>
        <v>5983</v>
      </c>
      <c r="L3557">
        <f>VLOOKUP(Query1[[#This Row],[Description]],'kits to boards'!$B$2:$E$156,2,FALSE)</f>
        <v>830002</v>
      </c>
      <c r="M3557">
        <f>VLOOKUP(Query1[[#This Row],[Description]],'kits to boards'!$B$2:$E$156,3,FALSE)</f>
        <v>0</v>
      </c>
      <c r="N3557">
        <f>VLOOKUP(Query1[[#This Row],[Description]],'kits to boards'!$B$2:$E$156,4,FALSE)</f>
        <v>0</v>
      </c>
      <c r="O3557" t="str">
        <f>CONCATENATE(Query1[[#This Row],[Description]]," - ",Query1[[#This Row],[MB1]]," - ",Query1[[#This Row],[MB2]]," - ",Query1[[#This Row],[MB3]])</f>
        <v>EVAP KIT 73-80 CHEV P-UP WO AC - 830002 - 0 - 0</v>
      </c>
    </row>
    <row r="3558" spans="1:15" x14ac:dyDescent="0.25">
      <c r="A3558" s="1">
        <v>918660</v>
      </c>
      <c r="B3558" s="1" t="s">
        <v>182</v>
      </c>
      <c r="C3558" s="1" t="s">
        <v>183</v>
      </c>
      <c r="D3558" s="2">
        <v>44658.336852349537</v>
      </c>
      <c r="E3558" s="1" t="s">
        <v>8</v>
      </c>
      <c r="F3558" s="1">
        <v>1</v>
      </c>
      <c r="G3558" s="1">
        <v>0</v>
      </c>
      <c r="H3558" s="6">
        <f>INT(Query1[[#This Row],[EntryDateTime]])</f>
        <v>44658</v>
      </c>
      <c r="I3558" s="1">
        <f>IF(Query1[[#This Row],[ItemType]]="EVAP KIT SF GEN IV",Query1[[#This Row],[OrderQty]]+I3557,I3557)</f>
        <v>4480</v>
      </c>
      <c r="J3558" s="1">
        <f>IF(Query1[[#This Row],[ItemType]]="EVAP KIT UNIVERSAL",Query1[[#This Row],[OrderQty]]+J3557,J3557)</f>
        <v>1504</v>
      </c>
      <c r="K3558" s="1">
        <f>Query1[[#This Row],[SF Running Total]]+Query1[[#This Row],[UNIV Running Total]]</f>
        <v>5984</v>
      </c>
      <c r="L3558">
        <f>VLOOKUP(Query1[[#This Row],[Description]],'kits to boards'!$B$2:$E$156,2,FALSE)</f>
        <v>830075</v>
      </c>
      <c r="M3558">
        <f>VLOOKUP(Query1[[#This Row],[Description]],'kits to boards'!$B$2:$E$156,3,FALSE)</f>
        <v>0</v>
      </c>
      <c r="N3558">
        <f>VLOOKUP(Query1[[#This Row],[Description]],'kits to boards'!$B$2:$E$156,4,FALSE)</f>
        <v>0</v>
      </c>
      <c r="O3558" t="str">
        <f>CONCATENATE(Query1[[#This Row],[Description]]," - ",Query1[[#This Row],[MB1]]," - ",Query1[[#This Row],[MB2]]," - ",Query1[[#This Row],[MB3]])</f>
        <v>EVAP KIT 69-70 MOPAR B BODY WO AC - 830075 - 0 - 0</v>
      </c>
    </row>
    <row r="3559" spans="1:15" x14ac:dyDescent="0.25">
      <c r="A3559" s="1">
        <v>918662</v>
      </c>
      <c r="B3559" s="1" t="s">
        <v>56</v>
      </c>
      <c r="C3559" s="1" t="s">
        <v>57</v>
      </c>
      <c r="D3559" s="2">
        <v>44658.338791203707</v>
      </c>
      <c r="E3559" s="1" t="s">
        <v>8</v>
      </c>
      <c r="F3559" s="1">
        <v>1</v>
      </c>
      <c r="G3559" s="1">
        <v>0</v>
      </c>
      <c r="H3559" s="6">
        <f>INT(Query1[[#This Row],[EntryDateTime]])</f>
        <v>44658</v>
      </c>
      <c r="I3559" s="1">
        <f>IF(Query1[[#This Row],[ItemType]]="EVAP KIT SF GEN IV",Query1[[#This Row],[OrderQty]]+I3558,I3558)</f>
        <v>4481</v>
      </c>
      <c r="J3559" s="1">
        <f>IF(Query1[[#This Row],[ItemType]]="EVAP KIT UNIVERSAL",Query1[[#This Row],[OrderQty]]+J3558,J3558)</f>
        <v>1504</v>
      </c>
      <c r="K3559" s="1">
        <f>Query1[[#This Row],[SF Running Total]]+Query1[[#This Row],[UNIV Running Total]]</f>
        <v>5985</v>
      </c>
      <c r="L3559">
        <f>VLOOKUP(Query1[[#This Row],[Description]],'kits to boards'!$B$2:$E$156,2,FALSE)</f>
        <v>830011</v>
      </c>
      <c r="M3559">
        <f>VLOOKUP(Query1[[#This Row],[Description]],'kits to boards'!$B$2:$E$156,3,FALSE)</f>
        <v>0</v>
      </c>
      <c r="N3559">
        <f>VLOOKUP(Query1[[#This Row],[Description]],'kits to boards'!$B$2:$E$156,4,FALSE)</f>
        <v>0</v>
      </c>
      <c r="O3559" t="str">
        <f>CONCATENATE(Query1[[#This Row],[Description]]," - ",Query1[[#This Row],[MB1]]," - ",Query1[[#This Row],[MB2]]," - ",Query1[[#This Row],[MB3]])</f>
        <v>EVAP KIT 70-72 CHEVELLE W/AC - 830011 - 0 - 0</v>
      </c>
    </row>
    <row r="3560" spans="1:15" x14ac:dyDescent="0.25">
      <c r="A3560" s="1">
        <v>918665</v>
      </c>
      <c r="B3560" s="1" t="s">
        <v>94</v>
      </c>
      <c r="C3560" s="1" t="s">
        <v>95</v>
      </c>
      <c r="D3560" s="2">
        <v>44658.340543437502</v>
      </c>
      <c r="E3560" s="1" t="s">
        <v>8</v>
      </c>
      <c r="F3560" s="1">
        <v>1</v>
      </c>
      <c r="G3560" s="1">
        <v>0</v>
      </c>
      <c r="H3560" s="6">
        <f>INT(Query1[[#This Row],[EntryDateTime]])</f>
        <v>44658</v>
      </c>
      <c r="I3560" s="1">
        <f>IF(Query1[[#This Row],[ItemType]]="EVAP KIT SF GEN IV",Query1[[#This Row],[OrderQty]]+I3559,I3559)</f>
        <v>4482</v>
      </c>
      <c r="J3560" s="1">
        <f>IF(Query1[[#This Row],[ItemType]]="EVAP KIT UNIVERSAL",Query1[[#This Row],[OrderQty]]+J3559,J3559)</f>
        <v>1504</v>
      </c>
      <c r="K3560" s="1">
        <f>Query1[[#This Row],[SF Running Total]]+Query1[[#This Row],[UNIV Running Total]]</f>
        <v>5986</v>
      </c>
      <c r="L3560">
        <f>VLOOKUP(Query1[[#This Row],[Description]],'kits to boards'!$B$2:$E$156,2,FALSE)</f>
        <v>830076</v>
      </c>
      <c r="M3560">
        <f>VLOOKUP(Query1[[#This Row],[Description]],'kits to boards'!$B$2:$E$156,3,FALSE)</f>
        <v>0</v>
      </c>
      <c r="N3560">
        <f>VLOOKUP(Query1[[#This Row],[Description]],'kits to boards'!$B$2:$E$156,4,FALSE)</f>
        <v>0</v>
      </c>
      <c r="O3560" t="str">
        <f>CONCATENATE(Query1[[#This Row],[Description]]," - ",Query1[[#This Row],[MB1]]," - ",Query1[[#This Row],[MB2]]," - ",Query1[[#This Row],[MB3]])</f>
        <v>EVAP KIT 64 1/2- 66 MUSTANG  - 830076 - 0 - 0</v>
      </c>
    </row>
    <row r="3561" spans="1:15" x14ac:dyDescent="0.25">
      <c r="A3561" s="1">
        <v>918185</v>
      </c>
      <c r="B3561" s="1" t="s">
        <v>132</v>
      </c>
      <c r="C3561" s="1" t="s">
        <v>133</v>
      </c>
      <c r="D3561" s="2">
        <v>44658.348627083331</v>
      </c>
      <c r="E3561" s="1" t="s">
        <v>8</v>
      </c>
      <c r="F3561" s="1">
        <v>1</v>
      </c>
      <c r="G3561" s="1">
        <v>0</v>
      </c>
      <c r="H3561" s="6">
        <f>INT(Query1[[#This Row],[EntryDateTime]])</f>
        <v>44658</v>
      </c>
      <c r="I3561" s="1">
        <f>IF(Query1[[#This Row],[ItemType]]="EVAP KIT SF GEN IV",Query1[[#This Row],[OrderQty]]+I3560,I3560)</f>
        <v>4483</v>
      </c>
      <c r="J3561" s="1">
        <f>IF(Query1[[#This Row],[ItemType]]="EVAP KIT UNIVERSAL",Query1[[#This Row],[OrderQty]]+J3560,J3560)</f>
        <v>1504</v>
      </c>
      <c r="K3561" s="1">
        <f>Query1[[#This Row],[SF Running Total]]+Query1[[#This Row],[UNIV Running Total]]</f>
        <v>5987</v>
      </c>
      <c r="L3561">
        <f>VLOOKUP(Query1[[#This Row],[Description]],'kits to boards'!$B$2:$E$156,2,FALSE)</f>
        <v>830005</v>
      </c>
      <c r="M3561">
        <f>VLOOKUP(Query1[[#This Row],[Description]],'kits to boards'!$B$2:$E$156,3,FALSE)</f>
        <v>0</v>
      </c>
      <c r="N3561">
        <f>VLOOKUP(Query1[[#This Row],[Description]],'kits to boards'!$B$2:$E$156,4,FALSE)</f>
        <v>0</v>
      </c>
      <c r="O3561" t="str">
        <f>CONCATENATE(Query1[[#This Row],[Description]]," - ",Query1[[#This Row],[MB1]]," - ",Query1[[#This Row],[MB2]]," - ",Query1[[#This Row],[MB3]])</f>
        <v>EVAP KIT 61-62 IMPALA WO AC - 830005 - 0 - 0</v>
      </c>
    </row>
    <row r="3562" spans="1:15" x14ac:dyDescent="0.25">
      <c r="A3562" s="1">
        <v>918667</v>
      </c>
      <c r="B3562" s="1" t="s">
        <v>240</v>
      </c>
      <c r="C3562" s="1" t="s">
        <v>241</v>
      </c>
      <c r="D3562" s="2">
        <v>44658.348921180557</v>
      </c>
      <c r="E3562" s="1" t="s">
        <v>8</v>
      </c>
      <c r="F3562" s="1">
        <v>1</v>
      </c>
      <c r="G3562" s="1">
        <v>0</v>
      </c>
      <c r="H3562" s="6">
        <f>INT(Query1[[#This Row],[EntryDateTime]])</f>
        <v>44658</v>
      </c>
      <c r="I3562" s="1">
        <f>IF(Query1[[#This Row],[ItemType]]="EVAP KIT SF GEN IV",Query1[[#This Row],[OrderQty]]+I3561,I3561)</f>
        <v>4484</v>
      </c>
      <c r="J3562" s="1">
        <f>IF(Query1[[#This Row],[ItemType]]="EVAP KIT UNIVERSAL",Query1[[#This Row],[OrderQty]]+J3561,J3561)</f>
        <v>1504</v>
      </c>
      <c r="K3562" s="1">
        <f>Query1[[#This Row],[SF Running Total]]+Query1[[#This Row],[UNIV Running Total]]</f>
        <v>5988</v>
      </c>
      <c r="L3562">
        <f>VLOOKUP(Query1[[#This Row],[Description]],'kits to boards'!$B$2:$E$156,2,FALSE)</f>
        <v>830032</v>
      </c>
      <c r="M3562">
        <f>VLOOKUP(Query1[[#This Row],[Description]],'kits to boards'!$B$2:$E$156,3,FALSE)</f>
        <v>0</v>
      </c>
      <c r="N3562">
        <f>VLOOKUP(Query1[[#This Row],[Description]],'kits to boards'!$B$2:$E$156,4,FALSE)</f>
        <v>0</v>
      </c>
      <c r="O3562" t="str">
        <f>CONCATENATE(Query1[[#This Row],[Description]]," - ",Query1[[#This Row],[MB1]]," - ",Query1[[#This Row],[MB2]]," - ",Query1[[#This Row],[MB3]])</f>
        <v>EVAP KIT 58-60 VETTE - 830032 - 0 - 0</v>
      </c>
    </row>
    <row r="3563" spans="1:15" x14ac:dyDescent="0.25">
      <c r="A3563" s="1">
        <v>918674</v>
      </c>
      <c r="B3563" s="1" t="s">
        <v>42</v>
      </c>
      <c r="C3563" s="1" t="s">
        <v>43</v>
      </c>
      <c r="D3563" s="2">
        <v>44658.372105983799</v>
      </c>
      <c r="E3563" s="1" t="s">
        <v>8</v>
      </c>
      <c r="F3563" s="1">
        <v>1</v>
      </c>
      <c r="G3563" s="1">
        <v>0</v>
      </c>
      <c r="H3563" s="6">
        <f>INT(Query1[[#This Row],[EntryDateTime]])</f>
        <v>44658</v>
      </c>
      <c r="I3563" s="1">
        <f>IF(Query1[[#This Row],[ItemType]]="EVAP KIT SF GEN IV",Query1[[#This Row],[OrderQty]]+I3562,I3562)</f>
        <v>4485</v>
      </c>
      <c r="J3563" s="1">
        <f>IF(Query1[[#This Row],[ItemType]]="EVAP KIT UNIVERSAL",Query1[[#This Row],[OrderQty]]+J3562,J3562)</f>
        <v>1504</v>
      </c>
      <c r="K3563" s="1">
        <f>Query1[[#This Row],[SF Running Total]]+Query1[[#This Row],[UNIV Running Total]]</f>
        <v>5989</v>
      </c>
      <c r="L3563">
        <f>VLOOKUP(Query1[[#This Row],[Description]],'kits to boards'!$B$2:$E$156,2,FALSE)</f>
        <v>830014</v>
      </c>
      <c r="M3563">
        <f>VLOOKUP(Query1[[#This Row],[Description]],'kits to boards'!$B$2:$E$156,3,FALSE)</f>
        <v>0</v>
      </c>
      <c r="N3563">
        <f>VLOOKUP(Query1[[#This Row],[Description]],'kits to boards'!$B$2:$E$156,4,FALSE)</f>
        <v>0</v>
      </c>
      <c r="O3563" t="str">
        <f>CONCATENATE(Query1[[#This Row],[Description]]," - ",Query1[[#This Row],[MB1]]," - ",Query1[[#This Row],[MB2]]," - ",Query1[[#This Row],[MB3]])</f>
        <v>EVAP KIT 67-72 CHEV P-UP WO AC - 830014 - 0 - 0</v>
      </c>
    </row>
    <row r="3564" spans="1:15" x14ac:dyDescent="0.25">
      <c r="A3564" s="1">
        <v>918675</v>
      </c>
      <c r="B3564" s="1" t="s">
        <v>54</v>
      </c>
      <c r="C3564" s="1" t="s">
        <v>55</v>
      </c>
      <c r="D3564" s="2">
        <v>44658.37509872685</v>
      </c>
      <c r="E3564" s="1" t="s">
        <v>8</v>
      </c>
      <c r="F3564" s="1">
        <v>1</v>
      </c>
      <c r="G3564" s="1">
        <v>0</v>
      </c>
      <c r="H3564" s="6">
        <f>INT(Query1[[#This Row],[EntryDateTime]])</f>
        <v>44658</v>
      </c>
      <c r="I3564" s="1">
        <f>IF(Query1[[#This Row],[ItemType]]="EVAP KIT SF GEN IV",Query1[[#This Row],[OrderQty]]+I3563,I3563)</f>
        <v>4486</v>
      </c>
      <c r="J3564" s="1">
        <f>IF(Query1[[#This Row],[ItemType]]="EVAP KIT UNIVERSAL",Query1[[#This Row],[OrderQty]]+J3563,J3563)</f>
        <v>1504</v>
      </c>
      <c r="K3564" s="1">
        <f>Query1[[#This Row],[SF Running Total]]+Query1[[#This Row],[UNIV Running Total]]</f>
        <v>5990</v>
      </c>
      <c r="L3564">
        <f>VLOOKUP(Query1[[#This Row],[Description]],'kits to boards'!$B$2:$E$156,2,FALSE)</f>
        <v>830037</v>
      </c>
      <c r="M3564">
        <f>VLOOKUP(Query1[[#This Row],[Description]],'kits to boards'!$B$2:$E$156,3,FALSE)</f>
        <v>0</v>
      </c>
      <c r="N3564">
        <f>VLOOKUP(Query1[[#This Row],[Description]],'kits to boards'!$B$2:$E$156,4,FALSE)</f>
        <v>0</v>
      </c>
      <c r="O3564" t="str">
        <f>CONCATENATE(Query1[[#This Row],[Description]]," - ",Query1[[#This Row],[MB1]]," - ",Query1[[#This Row],[MB2]]," - ",Query1[[#This Row],[MB3]])</f>
        <v>EVAP KIT 70-81 FIREBIRD W/AC - 830037 - 0 - 0</v>
      </c>
    </row>
    <row r="3565" spans="1:15" x14ac:dyDescent="0.25">
      <c r="A3565" s="1">
        <v>918676</v>
      </c>
      <c r="B3565" s="1" t="s">
        <v>42</v>
      </c>
      <c r="C3565" s="1" t="s">
        <v>43</v>
      </c>
      <c r="D3565" s="2">
        <v>44658.37558900463</v>
      </c>
      <c r="E3565" s="1" t="s">
        <v>8</v>
      </c>
      <c r="F3565" s="1">
        <v>1</v>
      </c>
      <c r="G3565" s="1">
        <v>0</v>
      </c>
      <c r="H3565" s="6">
        <f>INT(Query1[[#This Row],[EntryDateTime]])</f>
        <v>44658</v>
      </c>
      <c r="I3565" s="1">
        <f>IF(Query1[[#This Row],[ItemType]]="EVAP KIT SF GEN IV",Query1[[#This Row],[OrderQty]]+I3564,I3564)</f>
        <v>4487</v>
      </c>
      <c r="J3565" s="1">
        <f>IF(Query1[[#This Row],[ItemType]]="EVAP KIT UNIVERSAL",Query1[[#This Row],[OrderQty]]+J3564,J3564)</f>
        <v>1504</v>
      </c>
      <c r="K3565" s="1">
        <f>Query1[[#This Row],[SF Running Total]]+Query1[[#This Row],[UNIV Running Total]]</f>
        <v>5991</v>
      </c>
      <c r="L3565">
        <f>VLOOKUP(Query1[[#This Row],[Description]],'kits to boards'!$B$2:$E$156,2,FALSE)</f>
        <v>830014</v>
      </c>
      <c r="M3565">
        <f>VLOOKUP(Query1[[#This Row],[Description]],'kits to boards'!$B$2:$E$156,3,FALSE)</f>
        <v>0</v>
      </c>
      <c r="N3565">
        <f>VLOOKUP(Query1[[#This Row],[Description]],'kits to boards'!$B$2:$E$156,4,FALSE)</f>
        <v>0</v>
      </c>
      <c r="O3565" t="str">
        <f>CONCATENATE(Query1[[#This Row],[Description]]," - ",Query1[[#This Row],[MB1]]," - ",Query1[[#This Row],[MB2]]," - ",Query1[[#This Row],[MB3]])</f>
        <v>EVAP KIT 67-72 CHEV P-UP WO AC - 830014 - 0 - 0</v>
      </c>
    </row>
    <row r="3566" spans="1:15" x14ac:dyDescent="0.25">
      <c r="A3566" s="1">
        <v>918677</v>
      </c>
      <c r="B3566" s="1" t="s">
        <v>22</v>
      </c>
      <c r="C3566" s="1" t="s">
        <v>23</v>
      </c>
      <c r="D3566" s="2">
        <v>44658.378286261577</v>
      </c>
      <c r="E3566" s="1" t="s">
        <v>8</v>
      </c>
      <c r="F3566" s="1">
        <v>1</v>
      </c>
      <c r="G3566" s="1">
        <v>0</v>
      </c>
      <c r="H3566" s="6">
        <f>INT(Query1[[#This Row],[EntryDateTime]])</f>
        <v>44658</v>
      </c>
      <c r="I3566" s="1">
        <f>IF(Query1[[#This Row],[ItemType]]="EVAP KIT SF GEN IV",Query1[[#This Row],[OrderQty]]+I3565,I3565)</f>
        <v>4488</v>
      </c>
      <c r="J3566" s="1">
        <f>IF(Query1[[#This Row],[ItemType]]="EVAP KIT UNIVERSAL",Query1[[#This Row],[OrderQty]]+J3565,J3565)</f>
        <v>1504</v>
      </c>
      <c r="K3566" s="1">
        <f>Query1[[#This Row],[SF Running Total]]+Query1[[#This Row],[UNIV Running Total]]</f>
        <v>5992</v>
      </c>
      <c r="L3566">
        <f>VLOOKUP(Query1[[#This Row],[Description]],'kits to boards'!$B$2:$E$156,2,FALSE)</f>
        <v>830083</v>
      </c>
      <c r="M3566">
        <f>VLOOKUP(Query1[[#This Row],[Description]],'kits to boards'!$B$2:$E$156,3,FALSE)</f>
        <v>0</v>
      </c>
      <c r="N3566">
        <f>VLOOKUP(Query1[[#This Row],[Description]],'kits to boards'!$B$2:$E$156,4,FALSE)</f>
        <v>0</v>
      </c>
      <c r="O3566" t="str">
        <f>CONCATENATE(Query1[[#This Row],[Description]]," - ",Query1[[#This Row],[MB1]]," - ",Query1[[#This Row],[MB2]]," - ",Query1[[#This Row],[MB3]])</f>
        <v>GEN IV MAGNUM EVAP KIT - 830083 - 0 - 0</v>
      </c>
    </row>
    <row r="3567" spans="1:15" x14ac:dyDescent="0.25">
      <c r="A3567" s="1">
        <v>918682</v>
      </c>
      <c r="B3567" s="1" t="s">
        <v>122</v>
      </c>
      <c r="C3567" s="1" t="s">
        <v>123</v>
      </c>
      <c r="D3567" s="2">
        <v>44658.39232013889</v>
      </c>
      <c r="E3567" s="1" t="s">
        <v>8</v>
      </c>
      <c r="F3567" s="1">
        <v>1</v>
      </c>
      <c r="G3567" s="1">
        <v>0</v>
      </c>
      <c r="H3567" s="6">
        <f>INT(Query1[[#This Row],[EntryDateTime]])</f>
        <v>44658</v>
      </c>
      <c r="I3567" s="1">
        <f>IF(Query1[[#This Row],[ItemType]]="EVAP KIT SF GEN IV",Query1[[#This Row],[OrderQty]]+I3566,I3566)</f>
        <v>4489</v>
      </c>
      <c r="J3567" s="1">
        <f>IF(Query1[[#This Row],[ItemType]]="EVAP KIT UNIVERSAL",Query1[[#This Row],[OrderQty]]+J3566,J3566)</f>
        <v>1504</v>
      </c>
      <c r="K3567" s="1">
        <f>Query1[[#This Row],[SF Running Total]]+Query1[[#This Row],[UNIV Running Total]]</f>
        <v>5993</v>
      </c>
      <c r="L3567">
        <f>VLOOKUP(Query1[[#This Row],[Description]],'kits to boards'!$B$2:$E$156,2,FALSE)</f>
        <v>830027</v>
      </c>
      <c r="M3567">
        <f>VLOOKUP(Query1[[#This Row],[Description]],'kits to boards'!$B$2:$E$156,3,FALSE)</f>
        <v>0</v>
      </c>
      <c r="N3567">
        <f>VLOOKUP(Query1[[#This Row],[Description]],'kits to boards'!$B$2:$E$156,4,FALSE)</f>
        <v>0</v>
      </c>
      <c r="O3567" t="str">
        <f>CONCATENATE(Query1[[#This Row],[Description]]," - ",Query1[[#This Row],[MB1]]," - ",Query1[[#This Row],[MB2]]," - ",Query1[[#This Row],[MB3]])</f>
        <v>EVAP KIT 70-72 CUTLASS W/AC - 830027 - 0 - 0</v>
      </c>
    </row>
    <row r="3568" spans="1:15" x14ac:dyDescent="0.25">
      <c r="A3568" s="1">
        <v>918686</v>
      </c>
      <c r="B3568" s="1" t="s">
        <v>132</v>
      </c>
      <c r="C3568" s="1" t="s">
        <v>133</v>
      </c>
      <c r="D3568" s="2">
        <v>44658.396560451387</v>
      </c>
      <c r="E3568" s="1" t="s">
        <v>8</v>
      </c>
      <c r="F3568" s="1">
        <v>1</v>
      </c>
      <c r="G3568" s="1">
        <v>0</v>
      </c>
      <c r="H3568" s="6">
        <f>INT(Query1[[#This Row],[EntryDateTime]])</f>
        <v>44658</v>
      </c>
      <c r="I3568" s="1">
        <f>IF(Query1[[#This Row],[ItemType]]="EVAP KIT SF GEN IV",Query1[[#This Row],[OrderQty]]+I3567,I3567)</f>
        <v>4490</v>
      </c>
      <c r="J3568" s="1">
        <f>IF(Query1[[#This Row],[ItemType]]="EVAP KIT UNIVERSAL",Query1[[#This Row],[OrderQty]]+J3567,J3567)</f>
        <v>1504</v>
      </c>
      <c r="K3568" s="1">
        <f>Query1[[#This Row],[SF Running Total]]+Query1[[#This Row],[UNIV Running Total]]</f>
        <v>5994</v>
      </c>
      <c r="L3568">
        <f>VLOOKUP(Query1[[#This Row],[Description]],'kits to boards'!$B$2:$E$156,2,FALSE)</f>
        <v>830005</v>
      </c>
      <c r="M3568">
        <f>VLOOKUP(Query1[[#This Row],[Description]],'kits to boards'!$B$2:$E$156,3,FALSE)</f>
        <v>0</v>
      </c>
      <c r="N3568">
        <f>VLOOKUP(Query1[[#This Row],[Description]],'kits to boards'!$B$2:$E$156,4,FALSE)</f>
        <v>0</v>
      </c>
      <c r="O3568" t="str">
        <f>CONCATENATE(Query1[[#This Row],[Description]]," - ",Query1[[#This Row],[MB1]]," - ",Query1[[#This Row],[MB2]]," - ",Query1[[#This Row],[MB3]])</f>
        <v>EVAP KIT 61-62 IMPALA WO AC - 830005 - 0 - 0</v>
      </c>
    </row>
    <row r="3569" spans="1:15" x14ac:dyDescent="0.25">
      <c r="A3569" s="1">
        <v>918685</v>
      </c>
      <c r="B3569" s="1" t="s">
        <v>14</v>
      </c>
      <c r="C3569" s="1" t="s">
        <v>15</v>
      </c>
      <c r="D3569" s="2">
        <v>44658.397041006945</v>
      </c>
      <c r="E3569" s="1" t="s">
        <v>8</v>
      </c>
      <c r="F3569" s="1">
        <v>1</v>
      </c>
      <c r="G3569" s="1">
        <v>0</v>
      </c>
      <c r="H3569" s="6">
        <f>INT(Query1[[#This Row],[EntryDateTime]])</f>
        <v>44658</v>
      </c>
      <c r="I3569" s="1">
        <f>IF(Query1[[#This Row],[ItemType]]="EVAP KIT SF GEN IV",Query1[[#This Row],[OrderQty]]+I3568,I3568)</f>
        <v>4491</v>
      </c>
      <c r="J3569" s="1">
        <f>IF(Query1[[#This Row],[ItemType]]="EVAP KIT UNIVERSAL",Query1[[#This Row],[OrderQty]]+J3568,J3568)</f>
        <v>1504</v>
      </c>
      <c r="K3569" s="1">
        <f>Query1[[#This Row],[SF Running Total]]+Query1[[#This Row],[UNIV Running Total]]</f>
        <v>5995</v>
      </c>
      <c r="L3569">
        <f>VLOOKUP(Query1[[#This Row],[Description]],'kits to boards'!$B$2:$E$156,2,FALSE)</f>
        <v>830054</v>
      </c>
      <c r="M3569">
        <f>VLOOKUP(Query1[[#This Row],[Description]],'kits to boards'!$B$2:$E$156,3,FALSE)</f>
        <v>0</v>
      </c>
      <c r="N3569">
        <f>VLOOKUP(Query1[[#This Row],[Description]],'kits to boards'!$B$2:$E$156,4,FALSE)</f>
        <v>0</v>
      </c>
      <c r="O3569" t="str">
        <f>CONCATENATE(Query1[[#This Row],[Description]]," - ",Query1[[#This Row],[MB1]]," - ",Query1[[#This Row],[MB2]]," - ",Query1[[#This Row],[MB3]])</f>
        <v>EVAP KIT 55-56 CHEVY - 830054 - 0 - 0</v>
      </c>
    </row>
    <row r="3570" spans="1:15" x14ac:dyDescent="0.25">
      <c r="A3570" s="1">
        <v>918688</v>
      </c>
      <c r="B3570" s="1" t="s">
        <v>88</v>
      </c>
      <c r="C3570" s="1" t="s">
        <v>89</v>
      </c>
      <c r="D3570" s="2">
        <v>44658.399608761574</v>
      </c>
      <c r="E3570" s="1" t="s">
        <v>8</v>
      </c>
      <c r="F3570" s="1">
        <v>1</v>
      </c>
      <c r="G3570" s="1">
        <v>0</v>
      </c>
      <c r="H3570" s="6">
        <f>INT(Query1[[#This Row],[EntryDateTime]])</f>
        <v>44658</v>
      </c>
      <c r="I3570" s="1">
        <f>IF(Query1[[#This Row],[ItemType]]="EVAP KIT SF GEN IV",Query1[[#This Row],[OrderQty]]+I3569,I3569)</f>
        <v>4492</v>
      </c>
      <c r="J3570" s="1">
        <f>IF(Query1[[#This Row],[ItemType]]="EVAP KIT UNIVERSAL",Query1[[#This Row],[OrderQty]]+J3569,J3569)</f>
        <v>1504</v>
      </c>
      <c r="K3570" s="1">
        <f>Query1[[#This Row],[SF Running Total]]+Query1[[#This Row],[UNIV Running Total]]</f>
        <v>5996</v>
      </c>
      <c r="L3570">
        <f>VLOOKUP(Query1[[#This Row],[Description]],'kits to boards'!$B$2:$E$156,2,FALSE)</f>
        <v>830003</v>
      </c>
      <c r="M3570">
        <f>VLOOKUP(Query1[[#This Row],[Description]],'kits to boards'!$B$2:$E$156,3,FALSE)</f>
        <v>0</v>
      </c>
      <c r="N3570">
        <f>VLOOKUP(Query1[[#This Row],[Description]],'kits to boards'!$B$2:$E$156,4,FALSE)</f>
        <v>0</v>
      </c>
      <c r="O3570" t="str">
        <f>CONCATENATE(Query1[[#This Row],[Description]]," - ",Query1[[#This Row],[MB1]]," - ",Query1[[#This Row],[MB2]]," - ",Query1[[#This Row],[MB3]])</f>
        <v>EVAP KIT 81-87 CHEV P-UP WO AC - 830003 - 0 - 0</v>
      </c>
    </row>
    <row r="3571" spans="1:15" x14ac:dyDescent="0.25">
      <c r="A3571" s="1">
        <v>918690</v>
      </c>
      <c r="B3571" s="1" t="s">
        <v>78</v>
      </c>
      <c r="C3571" s="1" t="s">
        <v>79</v>
      </c>
      <c r="D3571" s="2">
        <v>44658.404287731479</v>
      </c>
      <c r="E3571" s="1" t="s">
        <v>11</v>
      </c>
      <c r="F3571" s="1">
        <v>4</v>
      </c>
      <c r="G3571" s="1">
        <v>0</v>
      </c>
      <c r="H3571" s="6">
        <f>INT(Query1[[#This Row],[EntryDateTime]])</f>
        <v>44658</v>
      </c>
      <c r="I3571" s="1">
        <f>IF(Query1[[#This Row],[ItemType]]="EVAP KIT SF GEN IV",Query1[[#This Row],[OrderQty]]+I3570,I3570)</f>
        <v>4492</v>
      </c>
      <c r="J3571" s="1">
        <f>IF(Query1[[#This Row],[ItemType]]="EVAP KIT UNIVERSAL",Query1[[#This Row],[OrderQty]]+J3570,J3570)</f>
        <v>1508</v>
      </c>
      <c r="K3571" s="1">
        <f>Query1[[#This Row],[SF Running Total]]+Query1[[#This Row],[UNIV Running Total]]</f>
        <v>6000</v>
      </c>
      <c r="L3571">
        <f>VLOOKUP(Query1[[#This Row],[Description]],'kits to boards'!$B$2:$E$156,2,FALSE)</f>
        <v>0</v>
      </c>
      <c r="M3571">
        <f>VLOOKUP(Query1[[#This Row],[Description]],'kits to boards'!$B$2:$E$156,3,FALSE)</f>
        <v>0</v>
      </c>
      <c r="N3571">
        <f>VLOOKUP(Query1[[#This Row],[Description]],'kits to boards'!$B$2:$E$156,4,FALSE)</f>
        <v>0</v>
      </c>
      <c r="O3571" t="str">
        <f>CONCATENATE(Query1[[#This Row],[Description]]," - ",Query1[[#This Row],[MB1]]," - ",Query1[[#This Row],[MB2]]," - ",Query1[[#This Row],[MB3]])</f>
        <v>MARK IV STYLELINE UNDERDASH EVAP - 0 - 0 - 0</v>
      </c>
    </row>
    <row r="3572" spans="1:15" x14ac:dyDescent="0.25">
      <c r="A3572" s="1">
        <v>918690</v>
      </c>
      <c r="B3572" s="1" t="s">
        <v>9</v>
      </c>
      <c r="C3572" s="1" t="s">
        <v>10</v>
      </c>
      <c r="D3572" s="2">
        <v>44658.404428738424</v>
      </c>
      <c r="E3572" s="1" t="s">
        <v>11</v>
      </c>
      <c r="F3572" s="1">
        <v>6</v>
      </c>
      <c r="G3572" s="1">
        <v>0</v>
      </c>
      <c r="H3572" s="6">
        <f>INT(Query1[[#This Row],[EntryDateTime]])</f>
        <v>44658</v>
      </c>
      <c r="I3572" s="1">
        <f>IF(Query1[[#This Row],[ItemType]]="EVAP KIT SF GEN IV",Query1[[#This Row],[OrderQty]]+I3571,I3571)</f>
        <v>4492</v>
      </c>
      <c r="J3572" s="1">
        <f>IF(Query1[[#This Row],[ItemType]]="EVAP KIT UNIVERSAL",Query1[[#This Row],[OrderQty]]+J3571,J3571)</f>
        <v>1514</v>
      </c>
      <c r="K3572" s="1">
        <f>Query1[[#This Row],[SF Running Total]]+Query1[[#This Row],[UNIV Running Total]]</f>
        <v>6006</v>
      </c>
      <c r="L3572">
        <f>VLOOKUP(Query1[[#This Row],[Description]],'kits to boards'!$B$2:$E$156,2,FALSE)</f>
        <v>830069</v>
      </c>
      <c r="M3572">
        <f>VLOOKUP(Query1[[#This Row],[Description]],'kits to boards'!$B$2:$E$156,3,FALSE)</f>
        <v>0</v>
      </c>
      <c r="N3572">
        <f>VLOOKUP(Query1[[#This Row],[Description]],'kits to boards'!$B$2:$E$156,4,FALSE)</f>
        <v>0</v>
      </c>
      <c r="O3572" t="str">
        <f>CONCATENATE(Query1[[#This Row],[Description]]," - ",Query1[[#This Row],[MB1]]," - ",Query1[[#This Row],[MB2]]," - ",Query1[[#This Row],[MB3]])</f>
        <v>SLIMLINE H/C W/DEF STD LOUVER - 830069 - 0 - 0</v>
      </c>
    </row>
    <row r="3573" spans="1:15" x14ac:dyDescent="0.25">
      <c r="A3573" s="1">
        <v>918690</v>
      </c>
      <c r="B3573" s="1" t="s">
        <v>118</v>
      </c>
      <c r="C3573" s="1" t="s">
        <v>119</v>
      </c>
      <c r="D3573" s="2">
        <v>44658.404573414351</v>
      </c>
      <c r="E3573" s="1" t="s">
        <v>11</v>
      </c>
      <c r="F3573" s="1">
        <v>4</v>
      </c>
      <c r="G3573" s="1">
        <v>0</v>
      </c>
      <c r="H3573" s="6">
        <f>INT(Query1[[#This Row],[EntryDateTime]])</f>
        <v>44658</v>
      </c>
      <c r="I3573" s="1">
        <f>IF(Query1[[#This Row],[ItemType]]="EVAP KIT SF GEN IV",Query1[[#This Row],[OrderQty]]+I3572,I3572)</f>
        <v>4492</v>
      </c>
      <c r="J3573" s="1">
        <f>IF(Query1[[#This Row],[ItemType]]="EVAP KIT UNIVERSAL",Query1[[#This Row],[OrderQty]]+J3572,J3572)</f>
        <v>1518</v>
      </c>
      <c r="K3573" s="1">
        <f>Query1[[#This Row],[SF Running Total]]+Query1[[#This Row],[UNIV Running Total]]</f>
        <v>6010</v>
      </c>
      <c r="L3573">
        <f>VLOOKUP(Query1[[#This Row],[Description]],'kits to boards'!$B$2:$E$156,2,FALSE)</f>
        <v>830069</v>
      </c>
      <c r="M3573">
        <f>VLOOKUP(Query1[[#This Row],[Description]],'kits to boards'!$B$2:$E$156,3,FALSE)</f>
        <v>0</v>
      </c>
      <c r="N3573">
        <f>VLOOKUP(Query1[[#This Row],[Description]],'kits to boards'!$B$2:$E$156,4,FALSE)</f>
        <v>0</v>
      </c>
      <c r="O3573" t="str">
        <f>CONCATENATE(Query1[[#This Row],[Description]]," - ",Query1[[#This Row],[MB1]]," - ",Query1[[#This Row],[MB2]]," - ",Query1[[#This Row],[MB3]])</f>
        <v>SLIMLINE H/C W/DEF BLK LOUVER - 830069 - 0 - 0</v>
      </c>
    </row>
    <row r="3574" spans="1:15" x14ac:dyDescent="0.25">
      <c r="A3574" s="1">
        <v>918690</v>
      </c>
      <c r="B3574" s="1" t="s">
        <v>20</v>
      </c>
      <c r="C3574" s="1" t="s">
        <v>21</v>
      </c>
      <c r="D3574" s="2">
        <v>44658.404686377318</v>
      </c>
      <c r="E3574" s="1" t="s">
        <v>11</v>
      </c>
      <c r="F3574" s="1">
        <v>10</v>
      </c>
      <c r="G3574" s="1">
        <v>0</v>
      </c>
      <c r="H3574" s="6">
        <f>INT(Query1[[#This Row],[EntryDateTime]])</f>
        <v>44658</v>
      </c>
      <c r="I3574" s="1">
        <f>IF(Query1[[#This Row],[ItemType]]="EVAP KIT SF GEN IV",Query1[[#This Row],[OrderQty]]+I3573,I3573)</f>
        <v>4492</v>
      </c>
      <c r="J3574" s="1">
        <f>IF(Query1[[#This Row],[ItemType]]="EVAP KIT UNIVERSAL",Query1[[#This Row],[OrderQty]]+J3573,J3573)</f>
        <v>1528</v>
      </c>
      <c r="K3574" s="1">
        <f>Query1[[#This Row],[SF Running Total]]+Query1[[#This Row],[UNIV Running Total]]</f>
        <v>6020</v>
      </c>
      <c r="L3574">
        <f>VLOOKUP(Query1[[#This Row],[Description]],'kits to boards'!$B$2:$E$156,2,FALSE)</f>
        <v>830102</v>
      </c>
      <c r="M3574">
        <f>VLOOKUP(Query1[[#This Row],[Description]],'kits to boards'!$B$2:$E$156,3,FALSE)</f>
        <v>0</v>
      </c>
      <c r="N3574">
        <f>VLOOKUP(Query1[[#This Row],[Description]],'kits to boards'!$B$2:$E$156,4,FALSE)</f>
        <v>0</v>
      </c>
      <c r="O3574" t="str">
        <f>CONCATENATE(Query1[[#This Row],[Description]]," - ",Query1[[#This Row],[MB1]]," - ",Query1[[#This Row],[MB2]]," - ",Query1[[#This Row],[MB3]])</f>
        <v>SUPER GEN II W/DEF - 830102 - 0 - 0</v>
      </c>
    </row>
    <row r="3575" spans="1:15" x14ac:dyDescent="0.25">
      <c r="A3575" s="1">
        <v>918690</v>
      </c>
      <c r="B3575" s="1" t="s">
        <v>24</v>
      </c>
      <c r="C3575" s="1" t="s">
        <v>25</v>
      </c>
      <c r="D3575" s="2">
        <v>44658.404799652781</v>
      </c>
      <c r="E3575" s="1" t="s">
        <v>11</v>
      </c>
      <c r="F3575" s="1">
        <v>10</v>
      </c>
      <c r="G3575" s="1">
        <v>0</v>
      </c>
      <c r="H3575" s="6">
        <f>INT(Query1[[#This Row],[EntryDateTime]])</f>
        <v>44658</v>
      </c>
      <c r="I3575" s="1">
        <f>IF(Query1[[#This Row],[ItemType]]="EVAP KIT SF GEN IV",Query1[[#This Row],[OrderQty]]+I3574,I3574)</f>
        <v>4492</v>
      </c>
      <c r="J3575" s="1">
        <f>IF(Query1[[#This Row],[ItemType]]="EVAP KIT UNIVERSAL",Query1[[#This Row],[OrderQty]]+J3574,J3574)</f>
        <v>1538</v>
      </c>
      <c r="K3575" s="1">
        <f>Query1[[#This Row],[SF Running Total]]+Query1[[#This Row],[UNIV Running Total]]</f>
        <v>6030</v>
      </c>
      <c r="L3575">
        <f>VLOOKUP(Query1[[#This Row],[Description]],'kits to boards'!$B$2:$E$156,2,FALSE)</f>
        <v>830029</v>
      </c>
      <c r="M3575">
        <f>VLOOKUP(Query1[[#This Row],[Description]],'kits to boards'!$B$2:$E$156,3,FALSE)</f>
        <v>830030</v>
      </c>
      <c r="N3575">
        <f>VLOOKUP(Query1[[#This Row],[Description]],'kits to boards'!$B$2:$E$156,4,FALSE)</f>
        <v>0</v>
      </c>
      <c r="O3575" t="str">
        <f>CONCATENATE(Query1[[#This Row],[Description]]," - ",Query1[[#This Row],[MB1]]," - ",Query1[[#This Row],[MB2]]," - ",Query1[[#This Row],[MB3]])</f>
        <v>ComPac GEN II W/DEF - 830029 - 830030 - 0</v>
      </c>
    </row>
    <row r="3576" spans="1:15" x14ac:dyDescent="0.25">
      <c r="A3576" s="1">
        <v>918690</v>
      </c>
      <c r="B3576" s="1" t="s">
        <v>98</v>
      </c>
      <c r="C3576" s="1" t="s">
        <v>99</v>
      </c>
      <c r="D3576" s="2">
        <v>44658.404891087965</v>
      </c>
      <c r="E3576" s="1" t="s">
        <v>11</v>
      </c>
      <c r="F3576" s="1">
        <v>10</v>
      </c>
      <c r="G3576" s="1">
        <v>0</v>
      </c>
      <c r="H3576" s="6">
        <f>INT(Query1[[#This Row],[EntryDateTime]])</f>
        <v>44658</v>
      </c>
      <c r="I3576" s="1">
        <f>IF(Query1[[#This Row],[ItemType]]="EVAP KIT SF GEN IV",Query1[[#This Row],[OrderQty]]+I3575,I3575)</f>
        <v>4492</v>
      </c>
      <c r="J3576" s="1">
        <f>IF(Query1[[#This Row],[ItemType]]="EVAP KIT UNIVERSAL",Query1[[#This Row],[OrderQty]]+J3575,J3575)</f>
        <v>1548</v>
      </c>
      <c r="K3576" s="1">
        <f>Query1[[#This Row],[SF Running Total]]+Query1[[#This Row],[UNIV Running Total]]</f>
        <v>6040</v>
      </c>
      <c r="L3576">
        <f>VLOOKUP(Query1[[#This Row],[Description]],'kits to boards'!$B$2:$E$156,2,FALSE)</f>
        <v>830099</v>
      </c>
      <c r="M3576">
        <f>VLOOKUP(Query1[[#This Row],[Description]],'kits to boards'!$B$2:$E$156,3,FALSE)</f>
        <v>0</v>
      </c>
      <c r="N3576">
        <f>VLOOKUP(Query1[[#This Row],[Description]],'kits to boards'!$B$2:$E$156,4,FALSE)</f>
        <v>0</v>
      </c>
      <c r="O3576" t="str">
        <f>CONCATENATE(Query1[[#This Row],[Description]]," - ",Query1[[#This Row],[MB1]]," - ",Query1[[#This Row],[MB2]]," - ",Query1[[#This Row],[MB3]])</f>
        <v>MINI GEN II W/DEF - 830099 - 0 - 0</v>
      </c>
    </row>
    <row r="3577" spans="1:15" x14ac:dyDescent="0.25">
      <c r="A3577" s="1">
        <v>918697</v>
      </c>
      <c r="B3577" s="1" t="s">
        <v>26</v>
      </c>
      <c r="C3577" s="1" t="s">
        <v>27</v>
      </c>
      <c r="D3577" s="2">
        <v>44658.413464895835</v>
      </c>
      <c r="E3577" s="1" t="s">
        <v>8</v>
      </c>
      <c r="F3577" s="1">
        <v>1</v>
      </c>
      <c r="G3577" s="1">
        <v>0</v>
      </c>
      <c r="H3577" s="6">
        <f>INT(Query1[[#This Row],[EntryDateTime]])</f>
        <v>44658</v>
      </c>
      <c r="I3577" s="1">
        <f>IF(Query1[[#This Row],[ItemType]]="EVAP KIT SF GEN IV",Query1[[#This Row],[OrderQty]]+I3576,I3576)</f>
        <v>4493</v>
      </c>
      <c r="J3577" s="1">
        <f>IF(Query1[[#This Row],[ItemType]]="EVAP KIT UNIVERSAL",Query1[[#This Row],[OrderQty]]+J3576,J3576)</f>
        <v>1548</v>
      </c>
      <c r="K3577" s="1">
        <f>Query1[[#This Row],[SF Running Total]]+Query1[[#This Row],[UNIV Running Total]]</f>
        <v>6041</v>
      </c>
      <c r="L3577">
        <f>VLOOKUP(Query1[[#This Row],[Description]],'kits to boards'!$B$2:$E$156,2,FALSE)</f>
        <v>830013</v>
      </c>
      <c r="M3577">
        <f>VLOOKUP(Query1[[#This Row],[Description]],'kits to boards'!$B$2:$E$156,3,FALSE)</f>
        <v>0</v>
      </c>
      <c r="N3577">
        <f>VLOOKUP(Query1[[#This Row],[Description]],'kits to boards'!$B$2:$E$156,4,FALSE)</f>
        <v>0</v>
      </c>
      <c r="O3577" t="str">
        <f>CONCATENATE(Query1[[#This Row],[Description]]," - ",Query1[[#This Row],[MB1]]," - ",Query1[[#This Row],[MB2]]," - ",Query1[[#This Row],[MB3]])</f>
        <v>EVAP KIT 67-72 CHEV P-UP W/AC - 830013 - 0 - 0</v>
      </c>
    </row>
    <row r="3578" spans="1:15" x14ac:dyDescent="0.25">
      <c r="A3578" s="1">
        <v>918670</v>
      </c>
      <c r="B3578" s="1" t="s">
        <v>66</v>
      </c>
      <c r="C3578" s="1" t="s">
        <v>67</v>
      </c>
      <c r="D3578" s="2">
        <v>44658.417988310182</v>
      </c>
      <c r="E3578" s="1" t="s">
        <v>8</v>
      </c>
      <c r="F3578" s="1">
        <v>1</v>
      </c>
      <c r="G3578" s="1">
        <v>0</v>
      </c>
      <c r="H3578" s="6">
        <f>INT(Query1[[#This Row],[EntryDateTime]])</f>
        <v>44658</v>
      </c>
      <c r="I3578" s="1">
        <f>IF(Query1[[#This Row],[ItemType]]="EVAP KIT SF GEN IV",Query1[[#This Row],[OrderQty]]+I3577,I3577)</f>
        <v>4494</v>
      </c>
      <c r="J3578" s="1">
        <f>IF(Query1[[#This Row],[ItemType]]="EVAP KIT UNIVERSAL",Query1[[#This Row],[OrderQty]]+J3577,J3577)</f>
        <v>1548</v>
      </c>
      <c r="K3578" s="1">
        <f>Query1[[#This Row],[SF Running Total]]+Query1[[#This Row],[UNIV Running Total]]</f>
        <v>6042</v>
      </c>
      <c r="L3578">
        <f>VLOOKUP(Query1[[#This Row],[Description]],'kits to boards'!$B$2:$E$156,2,FALSE)</f>
        <v>830060</v>
      </c>
      <c r="M3578">
        <f>VLOOKUP(Query1[[#This Row],[Description]],'kits to boards'!$B$2:$E$156,3,FALSE)</f>
        <v>0</v>
      </c>
      <c r="N3578">
        <f>VLOOKUP(Query1[[#This Row],[Description]],'kits to boards'!$B$2:$E$156,4,FALSE)</f>
        <v>0</v>
      </c>
      <c r="O3578" t="str">
        <f>CONCATENATE(Query1[[#This Row],[Description]]," - ",Query1[[#This Row],[MB1]]," - ",Query1[[#This Row],[MB2]]," - ",Query1[[#This Row],[MB3]])</f>
        <v>EVAP KIT 66-67 CHEVELLE WO AC - 830060 - 0 - 0</v>
      </c>
    </row>
    <row r="3579" spans="1:15" x14ac:dyDescent="0.25">
      <c r="A3579" s="1">
        <v>918710</v>
      </c>
      <c r="B3579" s="1" t="s">
        <v>128</v>
      </c>
      <c r="C3579" s="1" t="s">
        <v>129</v>
      </c>
      <c r="D3579" s="2">
        <v>44658.443861307867</v>
      </c>
      <c r="E3579" s="1" t="s">
        <v>8</v>
      </c>
      <c r="F3579" s="1">
        <v>1</v>
      </c>
      <c r="G3579" s="1">
        <v>0</v>
      </c>
      <c r="H3579" s="6">
        <f>INT(Query1[[#This Row],[EntryDateTime]])</f>
        <v>44658</v>
      </c>
      <c r="I3579" s="1">
        <f>IF(Query1[[#This Row],[ItemType]]="EVAP KIT SF GEN IV",Query1[[#This Row],[OrderQty]]+I3578,I3578)</f>
        <v>4495</v>
      </c>
      <c r="J3579" s="1">
        <f>IF(Query1[[#This Row],[ItemType]]="EVAP KIT UNIVERSAL",Query1[[#This Row],[OrderQty]]+J3578,J3578)</f>
        <v>1548</v>
      </c>
      <c r="K3579" s="1">
        <f>Query1[[#This Row],[SF Running Total]]+Query1[[#This Row],[UNIV Running Total]]</f>
        <v>6043</v>
      </c>
      <c r="L3579">
        <f>VLOOKUP(Query1[[#This Row],[Description]],'kits to boards'!$B$2:$E$156,2,FALSE)</f>
        <v>830036</v>
      </c>
      <c r="M3579">
        <f>VLOOKUP(Query1[[#This Row],[Description]],'kits to boards'!$B$2:$E$156,3,FALSE)</f>
        <v>830039</v>
      </c>
      <c r="N3579">
        <f>VLOOKUP(Query1[[#This Row],[Description]],'kits to boards'!$B$2:$E$156,4,FALSE)</f>
        <v>0</v>
      </c>
      <c r="O3579" t="str">
        <f>CONCATENATE(Query1[[#This Row],[Description]]," - ",Query1[[#This Row],[MB1]]," - ",Query1[[#This Row],[MB2]]," - ",Query1[[#This Row],[MB3]])</f>
        <v>EVAP KIT 63-66 VETTE WO AC - 830036 - 830039 - 0</v>
      </c>
    </row>
    <row r="3580" spans="1:15" x14ac:dyDescent="0.25">
      <c r="A3580" s="1">
        <v>918713</v>
      </c>
      <c r="B3580" s="1" t="s">
        <v>128</v>
      </c>
      <c r="C3580" s="1" t="s">
        <v>129</v>
      </c>
      <c r="D3580" s="2">
        <v>44658.446662615737</v>
      </c>
      <c r="E3580" s="1" t="s">
        <v>8</v>
      </c>
      <c r="F3580" s="1">
        <v>1</v>
      </c>
      <c r="G3580" s="1">
        <v>0</v>
      </c>
      <c r="H3580" s="6">
        <f>INT(Query1[[#This Row],[EntryDateTime]])</f>
        <v>44658</v>
      </c>
      <c r="I3580" s="1">
        <f>IF(Query1[[#This Row],[ItemType]]="EVAP KIT SF GEN IV",Query1[[#This Row],[OrderQty]]+I3579,I3579)</f>
        <v>4496</v>
      </c>
      <c r="J3580" s="1">
        <f>IF(Query1[[#This Row],[ItemType]]="EVAP KIT UNIVERSAL",Query1[[#This Row],[OrderQty]]+J3579,J3579)</f>
        <v>1548</v>
      </c>
      <c r="K3580" s="1">
        <f>Query1[[#This Row],[SF Running Total]]+Query1[[#This Row],[UNIV Running Total]]</f>
        <v>6044</v>
      </c>
      <c r="L3580">
        <f>VLOOKUP(Query1[[#This Row],[Description]],'kits to boards'!$B$2:$E$156,2,FALSE)</f>
        <v>830036</v>
      </c>
      <c r="M3580">
        <f>VLOOKUP(Query1[[#This Row],[Description]],'kits to boards'!$B$2:$E$156,3,FALSE)</f>
        <v>830039</v>
      </c>
      <c r="N3580">
        <f>VLOOKUP(Query1[[#This Row],[Description]],'kits to boards'!$B$2:$E$156,4,FALSE)</f>
        <v>0</v>
      </c>
      <c r="O3580" t="str">
        <f>CONCATENATE(Query1[[#This Row],[Description]]," - ",Query1[[#This Row],[MB1]]," - ",Query1[[#This Row],[MB2]]," - ",Query1[[#This Row],[MB3]])</f>
        <v>EVAP KIT 63-66 VETTE WO AC - 830036 - 830039 - 0</v>
      </c>
    </row>
    <row r="3581" spans="1:15" x14ac:dyDescent="0.25">
      <c r="A3581" s="1">
        <v>918661</v>
      </c>
      <c r="B3581" s="1" t="s">
        <v>194</v>
      </c>
      <c r="C3581" s="1" t="s">
        <v>195</v>
      </c>
      <c r="D3581" s="2">
        <v>44658.447218634261</v>
      </c>
      <c r="E3581" s="1" t="s">
        <v>8</v>
      </c>
      <c r="F3581" s="1">
        <v>1</v>
      </c>
      <c r="G3581" s="1">
        <v>0</v>
      </c>
      <c r="H3581" s="6">
        <f>INT(Query1[[#This Row],[EntryDateTime]])</f>
        <v>44658</v>
      </c>
      <c r="I3581" s="1">
        <f>IF(Query1[[#This Row],[ItemType]]="EVAP KIT SF GEN IV",Query1[[#This Row],[OrderQty]]+I3580,I3580)</f>
        <v>4497</v>
      </c>
      <c r="J3581" s="1">
        <f>IF(Query1[[#This Row],[ItemType]]="EVAP KIT UNIVERSAL",Query1[[#This Row],[OrderQty]]+J3580,J3580)</f>
        <v>1548</v>
      </c>
      <c r="K3581" s="1">
        <f>Query1[[#This Row],[SF Running Total]]+Query1[[#This Row],[UNIV Running Total]]</f>
        <v>6045</v>
      </c>
      <c r="L3581">
        <f>VLOOKUP(Query1[[#This Row],[Description]],'kits to boards'!$B$2:$E$156,2,FALSE)</f>
        <v>830103</v>
      </c>
      <c r="M3581">
        <f>VLOOKUP(Query1[[#This Row],[Description]],'kits to boards'!$B$2:$E$156,3,FALSE)</f>
        <v>0</v>
      </c>
      <c r="N3581">
        <f>VLOOKUP(Query1[[#This Row],[Description]],'kits to boards'!$B$2:$E$156,4,FALSE)</f>
        <v>0</v>
      </c>
      <c r="O3581" t="str">
        <f>CONCATENATE(Query1[[#This Row],[Description]]," - ",Query1[[#This Row],[MB1]]," - ",Query1[[#This Row],[MB2]]," - ",Query1[[#This Row],[MB3]])</f>
        <v>EVAP KIT 78-82 VETTE W/AC - 830103 - 0 - 0</v>
      </c>
    </row>
    <row r="3582" spans="1:15" x14ac:dyDescent="0.25">
      <c r="A3582" s="1">
        <v>918716</v>
      </c>
      <c r="B3582" s="1" t="s">
        <v>98</v>
      </c>
      <c r="C3582" s="1" t="s">
        <v>99</v>
      </c>
      <c r="D3582" s="2">
        <v>44658.449135613424</v>
      </c>
      <c r="E3582" s="1" t="s">
        <v>11</v>
      </c>
      <c r="F3582" s="1">
        <v>5</v>
      </c>
      <c r="G3582" s="1">
        <v>0</v>
      </c>
      <c r="H3582" s="6">
        <f>INT(Query1[[#This Row],[EntryDateTime]])</f>
        <v>44658</v>
      </c>
      <c r="I3582" s="1">
        <f>IF(Query1[[#This Row],[ItemType]]="EVAP KIT SF GEN IV",Query1[[#This Row],[OrderQty]]+I3581,I3581)</f>
        <v>4497</v>
      </c>
      <c r="J3582" s="1">
        <f>IF(Query1[[#This Row],[ItemType]]="EVAP KIT UNIVERSAL",Query1[[#This Row],[OrderQty]]+J3581,J3581)</f>
        <v>1553</v>
      </c>
      <c r="K3582" s="1">
        <f>Query1[[#This Row],[SF Running Total]]+Query1[[#This Row],[UNIV Running Total]]</f>
        <v>6050</v>
      </c>
      <c r="L3582">
        <f>VLOOKUP(Query1[[#This Row],[Description]],'kits to boards'!$B$2:$E$156,2,FALSE)</f>
        <v>830099</v>
      </c>
      <c r="M3582">
        <f>VLOOKUP(Query1[[#This Row],[Description]],'kits to boards'!$B$2:$E$156,3,FALSE)</f>
        <v>0</v>
      </c>
      <c r="N3582">
        <f>VLOOKUP(Query1[[#This Row],[Description]],'kits to boards'!$B$2:$E$156,4,FALSE)</f>
        <v>0</v>
      </c>
      <c r="O3582" t="str">
        <f>CONCATENATE(Query1[[#This Row],[Description]]," - ",Query1[[#This Row],[MB1]]," - ",Query1[[#This Row],[MB2]]," - ",Query1[[#This Row],[MB3]])</f>
        <v>MINI GEN II W/DEF - 830099 - 0 - 0</v>
      </c>
    </row>
    <row r="3583" spans="1:15" x14ac:dyDescent="0.25">
      <c r="A3583" s="1">
        <v>918720</v>
      </c>
      <c r="B3583" s="1" t="s">
        <v>44</v>
      </c>
      <c r="C3583" s="1" t="s">
        <v>45</v>
      </c>
      <c r="D3583" s="2">
        <v>44658.456319444442</v>
      </c>
      <c r="E3583" s="1" t="s">
        <v>8</v>
      </c>
      <c r="F3583" s="1">
        <v>1</v>
      </c>
      <c r="G3583" s="1">
        <v>0</v>
      </c>
      <c r="H3583" s="6">
        <f>INT(Query1[[#This Row],[EntryDateTime]])</f>
        <v>44658</v>
      </c>
      <c r="I3583" s="1">
        <f>IF(Query1[[#This Row],[ItemType]]="EVAP KIT SF GEN IV",Query1[[#This Row],[OrderQty]]+I3582,I3582)</f>
        <v>4498</v>
      </c>
      <c r="J3583" s="1">
        <f>IF(Query1[[#This Row],[ItemType]]="EVAP KIT UNIVERSAL",Query1[[#This Row],[OrderQty]]+J3582,J3582)</f>
        <v>1553</v>
      </c>
      <c r="K3583" s="1">
        <f>Query1[[#This Row],[SF Running Total]]+Query1[[#This Row],[UNIV Running Total]]</f>
        <v>6051</v>
      </c>
      <c r="L3583">
        <f>VLOOKUP(Query1[[#This Row],[Description]],'kits to boards'!$B$2:$E$156,2,FALSE)</f>
        <v>830085</v>
      </c>
      <c r="M3583">
        <f>VLOOKUP(Query1[[#This Row],[Description]],'kits to boards'!$B$2:$E$156,3,FALSE)</f>
        <v>0</v>
      </c>
      <c r="N3583">
        <f>VLOOKUP(Query1[[#This Row],[Description]],'kits to boards'!$B$2:$E$156,4,FALSE)</f>
        <v>0</v>
      </c>
      <c r="O3583" t="str">
        <f>CONCATENATE(Query1[[#This Row],[Description]]," - ",Query1[[#This Row],[MB1]]," - ",Query1[[#This Row],[MB2]]," - ",Query1[[#This Row],[MB3]])</f>
        <v>EVAP KIT 66-77 BRONCO - 830085 - 0 - 0</v>
      </c>
    </row>
    <row r="3584" spans="1:15" x14ac:dyDescent="0.25">
      <c r="A3584" s="1">
        <v>918381</v>
      </c>
      <c r="B3584" s="1" t="s">
        <v>148</v>
      </c>
      <c r="C3584" s="1" t="s">
        <v>149</v>
      </c>
      <c r="D3584" s="2">
        <v>44658.474178472221</v>
      </c>
      <c r="E3584" s="1" t="s">
        <v>8</v>
      </c>
      <c r="F3584" s="1">
        <v>1</v>
      </c>
      <c r="G3584" s="1">
        <v>0</v>
      </c>
      <c r="H3584" s="6">
        <f>INT(Query1[[#This Row],[EntryDateTime]])</f>
        <v>44658</v>
      </c>
      <c r="I3584" s="1">
        <f>IF(Query1[[#This Row],[ItemType]]="EVAP KIT SF GEN IV",Query1[[#This Row],[OrderQty]]+I3583,I3583)</f>
        <v>4499</v>
      </c>
      <c r="J3584" s="1">
        <f>IF(Query1[[#This Row],[ItemType]]="EVAP KIT UNIVERSAL",Query1[[#This Row],[OrderQty]]+J3583,J3583)</f>
        <v>1553</v>
      </c>
      <c r="K3584" s="1">
        <f>Query1[[#This Row],[SF Running Total]]+Query1[[#This Row],[UNIV Running Total]]</f>
        <v>6052</v>
      </c>
      <c r="L3584">
        <f>VLOOKUP(Query1[[#This Row],[Description]],'kits to boards'!$B$2:$E$156,2,FALSE)</f>
        <v>830098</v>
      </c>
      <c r="M3584">
        <f>VLOOKUP(Query1[[#This Row],[Description]],'kits to boards'!$B$2:$E$156,3,FALSE)</f>
        <v>0</v>
      </c>
      <c r="N3584">
        <f>VLOOKUP(Query1[[#This Row],[Description]],'kits to boards'!$B$2:$E$156,4,FALSE)</f>
        <v>0</v>
      </c>
      <c r="O3584" t="str">
        <f>CONCATENATE(Query1[[#This Row],[Description]]," - ",Query1[[#This Row],[MB1]]," - ",Query1[[#This Row],[MB2]]," - ",Query1[[#This Row],[MB3]])</f>
        <v>EVAP KIT 77 VETTE W/AC - 830098 - 0 - 0</v>
      </c>
    </row>
    <row r="3585" spans="1:15" x14ac:dyDescent="0.25">
      <c r="A3585" s="1">
        <v>918700</v>
      </c>
      <c r="B3585" s="1" t="s">
        <v>128</v>
      </c>
      <c r="C3585" s="1" t="s">
        <v>129</v>
      </c>
      <c r="D3585" s="2">
        <v>44658.476022997682</v>
      </c>
      <c r="E3585" s="1" t="s">
        <v>8</v>
      </c>
      <c r="F3585" s="1">
        <v>1</v>
      </c>
      <c r="G3585" s="1">
        <v>0</v>
      </c>
      <c r="H3585" s="6">
        <f>INT(Query1[[#This Row],[EntryDateTime]])</f>
        <v>44658</v>
      </c>
      <c r="I3585" s="1">
        <f>IF(Query1[[#This Row],[ItemType]]="EVAP KIT SF GEN IV",Query1[[#This Row],[OrderQty]]+I3584,I3584)</f>
        <v>4500</v>
      </c>
      <c r="J3585" s="1">
        <f>IF(Query1[[#This Row],[ItemType]]="EVAP KIT UNIVERSAL",Query1[[#This Row],[OrderQty]]+J3584,J3584)</f>
        <v>1553</v>
      </c>
      <c r="K3585" s="1">
        <f>Query1[[#This Row],[SF Running Total]]+Query1[[#This Row],[UNIV Running Total]]</f>
        <v>6053</v>
      </c>
      <c r="L3585">
        <f>VLOOKUP(Query1[[#This Row],[Description]],'kits to boards'!$B$2:$E$156,2,FALSE)</f>
        <v>830036</v>
      </c>
      <c r="M3585">
        <f>VLOOKUP(Query1[[#This Row],[Description]],'kits to boards'!$B$2:$E$156,3,FALSE)</f>
        <v>830039</v>
      </c>
      <c r="N3585">
        <f>VLOOKUP(Query1[[#This Row],[Description]],'kits to boards'!$B$2:$E$156,4,FALSE)</f>
        <v>0</v>
      </c>
      <c r="O3585" t="str">
        <f>CONCATENATE(Query1[[#This Row],[Description]]," - ",Query1[[#This Row],[MB1]]," - ",Query1[[#This Row],[MB2]]," - ",Query1[[#This Row],[MB3]])</f>
        <v>EVAP KIT 63-66 VETTE WO AC - 830036 - 830039 - 0</v>
      </c>
    </row>
    <row r="3586" spans="1:15" x14ac:dyDescent="0.25">
      <c r="A3586" s="1">
        <v>918730</v>
      </c>
      <c r="B3586" s="1" t="s">
        <v>198</v>
      </c>
      <c r="C3586" s="1" t="s">
        <v>199</v>
      </c>
      <c r="D3586" s="2">
        <v>44658.479727118058</v>
      </c>
      <c r="E3586" s="1" t="s">
        <v>8</v>
      </c>
      <c r="F3586" s="1">
        <v>1</v>
      </c>
      <c r="G3586" s="1">
        <v>0</v>
      </c>
      <c r="H3586" s="6">
        <f>INT(Query1[[#This Row],[EntryDateTime]])</f>
        <v>44658</v>
      </c>
      <c r="I3586" s="1">
        <f>IF(Query1[[#This Row],[ItemType]]="EVAP KIT SF GEN IV",Query1[[#This Row],[OrderQty]]+I3585,I3585)</f>
        <v>4501</v>
      </c>
      <c r="J3586" s="1">
        <f>IF(Query1[[#This Row],[ItemType]]="EVAP KIT UNIVERSAL",Query1[[#This Row],[OrderQty]]+J3585,J3585)</f>
        <v>1553</v>
      </c>
      <c r="K3586" s="1">
        <f>Query1[[#This Row],[SF Running Total]]+Query1[[#This Row],[UNIV Running Total]]</f>
        <v>6054</v>
      </c>
      <c r="L3586">
        <f>VLOOKUP(Query1[[#This Row],[Description]],'kits to boards'!$B$2:$E$156,2,FALSE)</f>
        <v>830042</v>
      </c>
      <c r="M3586">
        <f>VLOOKUP(Query1[[#This Row],[Description]],'kits to boards'!$B$2:$E$156,3,FALSE)</f>
        <v>0</v>
      </c>
      <c r="N3586">
        <f>VLOOKUP(Query1[[#This Row],[Description]],'kits to boards'!$B$2:$E$156,4,FALSE)</f>
        <v>0</v>
      </c>
      <c r="O3586" t="str">
        <f>CONCATENATE(Query1[[#This Row],[Description]]," - ",Query1[[#This Row],[MB1]]," - ",Query1[[#This Row],[MB2]]," - ",Query1[[#This Row],[MB3]])</f>
        <v>EVAP KIT 68-83 TOYOTA FJ40 ULTRA HIGH PERF - 830042 - 0 - 0</v>
      </c>
    </row>
    <row r="3587" spans="1:15" x14ac:dyDescent="0.25">
      <c r="A3587" s="1">
        <v>918731</v>
      </c>
      <c r="B3587" s="1" t="s">
        <v>98</v>
      </c>
      <c r="C3587" s="1" t="s">
        <v>99</v>
      </c>
      <c r="D3587" s="2">
        <v>44658.49483614583</v>
      </c>
      <c r="E3587" s="1" t="s">
        <v>11</v>
      </c>
      <c r="F3587" s="1">
        <v>4</v>
      </c>
      <c r="G3587" s="1">
        <v>0</v>
      </c>
      <c r="H3587" s="6">
        <f>INT(Query1[[#This Row],[EntryDateTime]])</f>
        <v>44658</v>
      </c>
      <c r="I3587" s="1">
        <f>IF(Query1[[#This Row],[ItemType]]="EVAP KIT SF GEN IV",Query1[[#This Row],[OrderQty]]+I3586,I3586)</f>
        <v>4501</v>
      </c>
      <c r="J3587" s="1">
        <f>IF(Query1[[#This Row],[ItemType]]="EVAP KIT UNIVERSAL",Query1[[#This Row],[OrderQty]]+J3586,J3586)</f>
        <v>1557</v>
      </c>
      <c r="K3587" s="1">
        <f>Query1[[#This Row],[SF Running Total]]+Query1[[#This Row],[UNIV Running Total]]</f>
        <v>6058</v>
      </c>
      <c r="L3587">
        <f>VLOOKUP(Query1[[#This Row],[Description]],'kits to boards'!$B$2:$E$156,2,FALSE)</f>
        <v>830099</v>
      </c>
      <c r="M3587">
        <f>VLOOKUP(Query1[[#This Row],[Description]],'kits to boards'!$B$2:$E$156,3,FALSE)</f>
        <v>0</v>
      </c>
      <c r="N3587">
        <f>VLOOKUP(Query1[[#This Row],[Description]],'kits to boards'!$B$2:$E$156,4,FALSE)</f>
        <v>0</v>
      </c>
      <c r="O3587" t="str">
        <f>CONCATENATE(Query1[[#This Row],[Description]]," - ",Query1[[#This Row],[MB1]]," - ",Query1[[#This Row],[MB2]]," - ",Query1[[#This Row],[MB3]])</f>
        <v>MINI GEN II W/DEF - 830099 - 0 - 0</v>
      </c>
    </row>
    <row r="3588" spans="1:15" x14ac:dyDescent="0.25">
      <c r="A3588" s="1">
        <v>918731</v>
      </c>
      <c r="B3588" s="1" t="s">
        <v>78</v>
      </c>
      <c r="C3588" s="1" t="s">
        <v>79</v>
      </c>
      <c r="D3588" s="2">
        <v>44658.496508067132</v>
      </c>
      <c r="E3588" s="1" t="s">
        <v>11</v>
      </c>
      <c r="F3588" s="1">
        <v>1</v>
      </c>
      <c r="G3588" s="1">
        <v>0</v>
      </c>
      <c r="H3588" s="6">
        <f>INT(Query1[[#This Row],[EntryDateTime]])</f>
        <v>44658</v>
      </c>
      <c r="I3588" s="1">
        <f>IF(Query1[[#This Row],[ItemType]]="EVAP KIT SF GEN IV",Query1[[#This Row],[OrderQty]]+I3587,I3587)</f>
        <v>4501</v>
      </c>
      <c r="J3588" s="1">
        <f>IF(Query1[[#This Row],[ItemType]]="EVAP KIT UNIVERSAL",Query1[[#This Row],[OrderQty]]+J3587,J3587)</f>
        <v>1558</v>
      </c>
      <c r="K3588" s="1">
        <f>Query1[[#This Row],[SF Running Total]]+Query1[[#This Row],[UNIV Running Total]]</f>
        <v>6059</v>
      </c>
      <c r="L3588">
        <f>VLOOKUP(Query1[[#This Row],[Description]],'kits to boards'!$B$2:$E$156,2,FALSE)</f>
        <v>0</v>
      </c>
      <c r="M3588">
        <f>VLOOKUP(Query1[[#This Row],[Description]],'kits to boards'!$B$2:$E$156,3,FALSE)</f>
        <v>0</v>
      </c>
      <c r="N3588">
        <f>VLOOKUP(Query1[[#This Row],[Description]],'kits to boards'!$B$2:$E$156,4,FALSE)</f>
        <v>0</v>
      </c>
      <c r="O3588" t="str">
        <f>CONCATENATE(Query1[[#This Row],[Description]]," - ",Query1[[#This Row],[MB1]]," - ",Query1[[#This Row],[MB2]]," - ",Query1[[#This Row],[MB3]])</f>
        <v>MARK IV STYLELINE UNDERDASH EVAP - 0 - 0 - 0</v>
      </c>
    </row>
    <row r="3589" spans="1:15" x14ac:dyDescent="0.25">
      <c r="A3589" s="1">
        <v>918735</v>
      </c>
      <c r="B3589" s="1" t="s">
        <v>102</v>
      </c>
      <c r="C3589" s="1" t="s">
        <v>103</v>
      </c>
      <c r="D3589" s="2">
        <v>44658.497259374999</v>
      </c>
      <c r="E3589" s="1" t="s">
        <v>8</v>
      </c>
      <c r="F3589" s="1">
        <v>1</v>
      </c>
      <c r="G3589" s="1">
        <v>0</v>
      </c>
      <c r="H3589" s="6">
        <f>INT(Query1[[#This Row],[EntryDateTime]])</f>
        <v>44658</v>
      </c>
      <c r="I3589" s="1">
        <f>IF(Query1[[#This Row],[ItemType]]="EVAP KIT SF GEN IV",Query1[[#This Row],[OrderQty]]+I3588,I3588)</f>
        <v>4502</v>
      </c>
      <c r="J3589" s="1">
        <f>IF(Query1[[#This Row],[ItemType]]="EVAP KIT UNIVERSAL",Query1[[#This Row],[OrderQty]]+J3588,J3588)</f>
        <v>1558</v>
      </c>
      <c r="K3589" s="1">
        <f>Query1[[#This Row],[SF Running Total]]+Query1[[#This Row],[UNIV Running Total]]</f>
        <v>6060</v>
      </c>
      <c r="L3589">
        <f>VLOOKUP(Query1[[#This Row],[Description]],'kits to boards'!$B$2:$E$156,2,FALSE)</f>
        <v>830012</v>
      </c>
      <c r="M3589">
        <f>VLOOKUP(Query1[[#This Row],[Description]],'kits to boards'!$B$2:$E$156,3,FALSE)</f>
        <v>0</v>
      </c>
      <c r="N3589">
        <f>VLOOKUP(Query1[[#This Row],[Description]],'kits to boards'!$B$2:$E$156,4,FALSE)</f>
        <v>0</v>
      </c>
      <c r="O3589" t="str">
        <f>CONCATENATE(Query1[[#This Row],[Description]]," - ",Query1[[#This Row],[MB1]]," - ",Query1[[#This Row],[MB2]]," - ",Query1[[#This Row],[MB3]])</f>
        <v>EVAP KIT 69 CAMARO WO/AC - 830012 - 0 - 0</v>
      </c>
    </row>
    <row r="3590" spans="1:15" x14ac:dyDescent="0.25">
      <c r="A3590" s="1">
        <v>918736</v>
      </c>
      <c r="B3590" s="1" t="s">
        <v>244</v>
      </c>
      <c r="C3590" s="1" t="s">
        <v>245</v>
      </c>
      <c r="D3590" s="2">
        <v>44658.501462152781</v>
      </c>
      <c r="E3590" s="1" t="s">
        <v>8</v>
      </c>
      <c r="F3590" s="1">
        <v>1</v>
      </c>
      <c r="G3590" s="1">
        <v>0</v>
      </c>
      <c r="H3590" s="6">
        <f>INT(Query1[[#This Row],[EntryDateTime]])</f>
        <v>44658</v>
      </c>
      <c r="I3590" s="1">
        <f>IF(Query1[[#This Row],[ItemType]]="EVAP KIT SF GEN IV",Query1[[#This Row],[OrderQty]]+I3589,I3589)</f>
        <v>4503</v>
      </c>
      <c r="J3590" s="1">
        <f>IF(Query1[[#This Row],[ItemType]]="EVAP KIT UNIVERSAL",Query1[[#This Row],[OrderQty]]+J3589,J3589)</f>
        <v>1558</v>
      </c>
      <c r="K3590" s="1">
        <f>Query1[[#This Row],[SF Running Total]]+Query1[[#This Row],[UNIV Running Total]]</f>
        <v>6061</v>
      </c>
      <c r="L3590">
        <f>VLOOKUP(Query1[[#This Row],[Description]],'kits to boards'!$B$2:$E$156,2,FALSE)</f>
        <v>830100</v>
      </c>
      <c r="M3590">
        <f>VLOOKUP(Query1[[#This Row],[Description]],'kits to boards'!$B$2:$E$156,3,FALSE)</f>
        <v>0</v>
      </c>
      <c r="N3590">
        <f>VLOOKUP(Query1[[#This Row],[Description]],'kits to boards'!$B$2:$E$156,4,FALSE)</f>
        <v>0</v>
      </c>
      <c r="O3590" t="str">
        <f>CONCATENATE(Query1[[#This Row],[Description]]," - ",Query1[[#This Row],[MB1]]," - ",Query1[[#This Row],[MB2]]," - ",Query1[[#This Row],[MB3]])</f>
        <v>EVAP KIT 68-76 VETTE WO AC - 830100 - 0 - 0</v>
      </c>
    </row>
    <row r="3591" spans="1:15" x14ac:dyDescent="0.25">
      <c r="A3591" s="1">
        <v>918738</v>
      </c>
      <c r="B3591" s="1" t="s">
        <v>244</v>
      </c>
      <c r="C3591" s="1" t="s">
        <v>245</v>
      </c>
      <c r="D3591" s="2">
        <v>44658.505203622684</v>
      </c>
      <c r="E3591" s="1" t="s">
        <v>8</v>
      </c>
      <c r="F3591" s="1">
        <v>1</v>
      </c>
      <c r="G3591" s="1">
        <v>0</v>
      </c>
      <c r="H3591" s="6">
        <f>INT(Query1[[#This Row],[EntryDateTime]])</f>
        <v>44658</v>
      </c>
      <c r="I3591" s="1">
        <f>IF(Query1[[#This Row],[ItemType]]="EVAP KIT SF GEN IV",Query1[[#This Row],[OrderQty]]+I3590,I3590)</f>
        <v>4504</v>
      </c>
      <c r="J3591" s="1">
        <f>IF(Query1[[#This Row],[ItemType]]="EVAP KIT UNIVERSAL",Query1[[#This Row],[OrderQty]]+J3590,J3590)</f>
        <v>1558</v>
      </c>
      <c r="K3591" s="1">
        <f>Query1[[#This Row],[SF Running Total]]+Query1[[#This Row],[UNIV Running Total]]</f>
        <v>6062</v>
      </c>
      <c r="L3591">
        <f>VLOOKUP(Query1[[#This Row],[Description]],'kits to boards'!$B$2:$E$156,2,FALSE)</f>
        <v>830100</v>
      </c>
      <c r="M3591">
        <f>VLOOKUP(Query1[[#This Row],[Description]],'kits to boards'!$B$2:$E$156,3,FALSE)</f>
        <v>0</v>
      </c>
      <c r="N3591">
        <f>VLOOKUP(Query1[[#This Row],[Description]],'kits to boards'!$B$2:$E$156,4,FALSE)</f>
        <v>0</v>
      </c>
      <c r="O3591" t="str">
        <f>CONCATENATE(Query1[[#This Row],[Description]]," - ",Query1[[#This Row],[MB1]]," - ",Query1[[#This Row],[MB2]]," - ",Query1[[#This Row],[MB3]])</f>
        <v>EVAP KIT 68-76 VETTE WO AC - 830100 - 0 - 0</v>
      </c>
    </row>
    <row r="3592" spans="1:15" x14ac:dyDescent="0.25">
      <c r="A3592" s="1">
        <v>918742</v>
      </c>
      <c r="B3592" s="1" t="s">
        <v>104</v>
      </c>
      <c r="C3592" s="1" t="s">
        <v>105</v>
      </c>
      <c r="D3592" s="2">
        <v>44658.516042905096</v>
      </c>
      <c r="E3592" s="1" t="s">
        <v>11</v>
      </c>
      <c r="F3592" s="1">
        <v>1</v>
      </c>
      <c r="G3592" s="1">
        <v>0</v>
      </c>
      <c r="H3592" s="6">
        <f>INT(Query1[[#This Row],[EntryDateTime]])</f>
        <v>44658</v>
      </c>
      <c r="I3592" s="1">
        <f>IF(Query1[[#This Row],[ItemType]]="EVAP KIT SF GEN IV",Query1[[#This Row],[OrderQty]]+I3591,I3591)</f>
        <v>4504</v>
      </c>
      <c r="J3592" s="1">
        <f>IF(Query1[[#This Row],[ItemType]]="EVAP KIT UNIVERSAL",Query1[[#This Row],[OrderQty]]+J3591,J3591)</f>
        <v>1559</v>
      </c>
      <c r="K3592" s="1">
        <f>Query1[[#This Row],[SF Running Total]]+Query1[[#This Row],[UNIV Running Total]]</f>
        <v>6063</v>
      </c>
      <c r="L3592">
        <f>VLOOKUP(Query1[[#This Row],[Description]],'kits to boards'!$B$2:$E$156,2,FALSE)</f>
        <v>0</v>
      </c>
      <c r="M3592">
        <f>VLOOKUP(Query1[[#This Row],[Description]],'kits to boards'!$B$2:$E$156,3,FALSE)</f>
        <v>0</v>
      </c>
      <c r="N3592">
        <f>VLOOKUP(Query1[[#This Row],[Description]],'kits to boards'!$B$2:$E$156,4,FALSE)</f>
        <v>0</v>
      </c>
      <c r="O3592" t="str">
        <f>CONCATENATE(Query1[[#This Row],[Description]]," - ",Query1[[#This Row],[MB1]]," - ",Query1[[#This Row],[MB2]]," - ",Query1[[#This Row],[MB3]])</f>
        <v>HERITAGE BRUSHED EVAP KIT HEAT/COOL - 0 - 0 - 0</v>
      </c>
    </row>
    <row r="3593" spans="1:15" x14ac:dyDescent="0.25">
      <c r="A3593" s="1">
        <v>918745</v>
      </c>
      <c r="B3593" s="1" t="s">
        <v>22</v>
      </c>
      <c r="C3593" s="1" t="s">
        <v>23</v>
      </c>
      <c r="D3593" s="2">
        <v>44658.5246275463</v>
      </c>
      <c r="E3593" s="1" t="s">
        <v>8</v>
      </c>
      <c r="F3593" s="1">
        <v>1</v>
      </c>
      <c r="G3593" s="1">
        <v>0</v>
      </c>
      <c r="H3593" s="6">
        <f>INT(Query1[[#This Row],[EntryDateTime]])</f>
        <v>44658</v>
      </c>
      <c r="I3593" s="1">
        <f>IF(Query1[[#This Row],[ItemType]]="EVAP KIT SF GEN IV",Query1[[#This Row],[OrderQty]]+I3592,I3592)</f>
        <v>4505</v>
      </c>
      <c r="J3593" s="1">
        <f>IF(Query1[[#This Row],[ItemType]]="EVAP KIT UNIVERSAL",Query1[[#This Row],[OrderQty]]+J3592,J3592)</f>
        <v>1559</v>
      </c>
      <c r="K3593" s="1">
        <f>Query1[[#This Row],[SF Running Total]]+Query1[[#This Row],[UNIV Running Total]]</f>
        <v>6064</v>
      </c>
      <c r="L3593">
        <f>VLOOKUP(Query1[[#This Row],[Description]],'kits to boards'!$B$2:$E$156,2,FALSE)</f>
        <v>830083</v>
      </c>
      <c r="M3593">
        <f>VLOOKUP(Query1[[#This Row],[Description]],'kits to boards'!$B$2:$E$156,3,FALSE)</f>
        <v>0</v>
      </c>
      <c r="N3593">
        <f>VLOOKUP(Query1[[#This Row],[Description]],'kits to boards'!$B$2:$E$156,4,FALSE)</f>
        <v>0</v>
      </c>
      <c r="O3593" t="str">
        <f>CONCATENATE(Query1[[#This Row],[Description]]," - ",Query1[[#This Row],[MB1]]," - ",Query1[[#This Row],[MB2]]," - ",Query1[[#This Row],[MB3]])</f>
        <v>GEN IV MAGNUM EVAP KIT - 830083 - 0 - 0</v>
      </c>
    </row>
    <row r="3594" spans="1:15" x14ac:dyDescent="0.25">
      <c r="A3594" s="1">
        <v>918745</v>
      </c>
      <c r="B3594" s="1" t="s">
        <v>104</v>
      </c>
      <c r="C3594" s="1" t="s">
        <v>105</v>
      </c>
      <c r="D3594" s="2">
        <v>44658.524876307871</v>
      </c>
      <c r="E3594" s="1" t="s">
        <v>11</v>
      </c>
      <c r="F3594" s="1">
        <v>1</v>
      </c>
      <c r="G3594" s="1">
        <v>0</v>
      </c>
      <c r="H3594" s="6">
        <f>INT(Query1[[#This Row],[EntryDateTime]])</f>
        <v>44658</v>
      </c>
      <c r="I3594" s="1">
        <f>IF(Query1[[#This Row],[ItemType]]="EVAP KIT SF GEN IV",Query1[[#This Row],[OrderQty]]+I3593,I3593)</f>
        <v>4505</v>
      </c>
      <c r="J3594" s="1">
        <f>IF(Query1[[#This Row],[ItemType]]="EVAP KIT UNIVERSAL",Query1[[#This Row],[OrderQty]]+J3593,J3593)</f>
        <v>1560</v>
      </c>
      <c r="K3594" s="1">
        <f>Query1[[#This Row],[SF Running Total]]+Query1[[#This Row],[UNIV Running Total]]</f>
        <v>6065</v>
      </c>
      <c r="L3594">
        <f>VLOOKUP(Query1[[#This Row],[Description]],'kits to boards'!$B$2:$E$156,2,FALSE)</f>
        <v>0</v>
      </c>
      <c r="M3594">
        <f>VLOOKUP(Query1[[#This Row],[Description]],'kits to boards'!$B$2:$E$156,3,FALSE)</f>
        <v>0</v>
      </c>
      <c r="N3594">
        <f>VLOOKUP(Query1[[#This Row],[Description]],'kits to boards'!$B$2:$E$156,4,FALSE)</f>
        <v>0</v>
      </c>
      <c r="O3594" t="str">
        <f>CONCATENATE(Query1[[#This Row],[Description]]," - ",Query1[[#This Row],[MB1]]," - ",Query1[[#This Row],[MB2]]," - ",Query1[[#This Row],[MB3]])</f>
        <v>HERITAGE BRUSHED EVAP KIT HEAT/COOL - 0 - 0 - 0</v>
      </c>
    </row>
    <row r="3595" spans="1:15" x14ac:dyDescent="0.25">
      <c r="A3595" s="1">
        <v>918750</v>
      </c>
      <c r="B3595" s="1" t="s">
        <v>132</v>
      </c>
      <c r="C3595" s="1" t="s">
        <v>133</v>
      </c>
      <c r="D3595" s="2">
        <v>44658.537395486113</v>
      </c>
      <c r="E3595" s="1" t="s">
        <v>8</v>
      </c>
      <c r="F3595" s="1">
        <v>1</v>
      </c>
      <c r="G3595" s="1">
        <v>0</v>
      </c>
      <c r="H3595" s="6">
        <f>INT(Query1[[#This Row],[EntryDateTime]])</f>
        <v>44658</v>
      </c>
      <c r="I3595" s="1">
        <f>IF(Query1[[#This Row],[ItemType]]="EVAP KIT SF GEN IV",Query1[[#This Row],[OrderQty]]+I3594,I3594)</f>
        <v>4506</v>
      </c>
      <c r="J3595" s="1">
        <f>IF(Query1[[#This Row],[ItemType]]="EVAP KIT UNIVERSAL",Query1[[#This Row],[OrderQty]]+J3594,J3594)</f>
        <v>1560</v>
      </c>
      <c r="K3595" s="1">
        <f>Query1[[#This Row],[SF Running Total]]+Query1[[#This Row],[UNIV Running Total]]</f>
        <v>6066</v>
      </c>
      <c r="L3595">
        <f>VLOOKUP(Query1[[#This Row],[Description]],'kits to boards'!$B$2:$E$156,2,FALSE)</f>
        <v>830005</v>
      </c>
      <c r="M3595">
        <f>VLOOKUP(Query1[[#This Row],[Description]],'kits to boards'!$B$2:$E$156,3,FALSE)</f>
        <v>0</v>
      </c>
      <c r="N3595">
        <f>VLOOKUP(Query1[[#This Row],[Description]],'kits to boards'!$B$2:$E$156,4,FALSE)</f>
        <v>0</v>
      </c>
      <c r="O3595" t="str">
        <f>CONCATENATE(Query1[[#This Row],[Description]]," - ",Query1[[#This Row],[MB1]]," - ",Query1[[#This Row],[MB2]]," - ",Query1[[#This Row],[MB3]])</f>
        <v>EVAP KIT 61-62 IMPALA WO AC - 830005 - 0 - 0</v>
      </c>
    </row>
    <row r="3596" spans="1:15" x14ac:dyDescent="0.25">
      <c r="A3596" s="1">
        <v>918751</v>
      </c>
      <c r="B3596" s="1" t="s">
        <v>62</v>
      </c>
      <c r="C3596" s="1" t="s">
        <v>63</v>
      </c>
      <c r="D3596" s="2">
        <v>44658.541175925922</v>
      </c>
      <c r="E3596" s="1" t="s">
        <v>8</v>
      </c>
      <c r="F3596" s="1">
        <v>1</v>
      </c>
      <c r="G3596" s="1">
        <v>0</v>
      </c>
      <c r="H3596" s="6">
        <f>INT(Query1[[#This Row],[EntryDateTime]])</f>
        <v>44658</v>
      </c>
      <c r="I3596" s="1">
        <f>IF(Query1[[#This Row],[ItemType]]="EVAP KIT SF GEN IV",Query1[[#This Row],[OrderQty]]+I3595,I3595)</f>
        <v>4507</v>
      </c>
      <c r="J3596" s="1">
        <f>IF(Query1[[#This Row],[ItemType]]="EVAP KIT UNIVERSAL",Query1[[#This Row],[OrderQty]]+J3595,J3595)</f>
        <v>1560</v>
      </c>
      <c r="K3596" s="1">
        <f>Query1[[#This Row],[SF Running Total]]+Query1[[#This Row],[UNIV Running Total]]</f>
        <v>6067</v>
      </c>
      <c r="L3596">
        <f>VLOOKUP(Query1[[#This Row],[Description]],'kits to boards'!$B$2:$E$156,2,FALSE)</f>
        <v>830079</v>
      </c>
      <c r="M3596">
        <f>VLOOKUP(Query1[[#This Row],[Description]],'kits to boards'!$B$2:$E$156,3,FALSE)</f>
        <v>830046</v>
      </c>
      <c r="N3596">
        <f>VLOOKUP(Query1[[#This Row],[Description]],'kits to boards'!$B$2:$E$156,4,FALSE)</f>
        <v>0</v>
      </c>
      <c r="O3596" t="str">
        <f>CONCATENATE(Query1[[#This Row],[Description]]," - ",Query1[[#This Row],[MB1]]," - ",Query1[[#This Row],[MB2]]," - ",Query1[[#This Row],[MB3]])</f>
        <v>EVAP KIT 67-68 MUSTANG/COUGAR WO AC - 830079 - 830046 - 0</v>
      </c>
    </row>
    <row r="3597" spans="1:15" x14ac:dyDescent="0.25">
      <c r="A3597" s="1">
        <v>918754</v>
      </c>
      <c r="B3597" s="1" t="s">
        <v>140</v>
      </c>
      <c r="C3597" s="1" t="s">
        <v>141</v>
      </c>
      <c r="D3597" s="2">
        <v>44658.547153009262</v>
      </c>
      <c r="E3597" s="1" t="s">
        <v>8</v>
      </c>
      <c r="F3597" s="1">
        <v>1</v>
      </c>
      <c r="G3597" s="1">
        <v>0</v>
      </c>
      <c r="H3597" s="6">
        <f>INT(Query1[[#This Row],[EntryDateTime]])</f>
        <v>44658</v>
      </c>
      <c r="I3597" s="1">
        <f>IF(Query1[[#This Row],[ItemType]]="EVAP KIT SF GEN IV",Query1[[#This Row],[OrderQty]]+I3596,I3596)</f>
        <v>4508</v>
      </c>
      <c r="J3597" s="1">
        <f>IF(Query1[[#This Row],[ItemType]]="EVAP KIT UNIVERSAL",Query1[[#This Row],[OrderQty]]+J3596,J3596)</f>
        <v>1560</v>
      </c>
      <c r="K3597" s="1">
        <f>Query1[[#This Row],[SF Running Total]]+Query1[[#This Row],[UNIV Running Total]]</f>
        <v>6068</v>
      </c>
      <c r="L3597">
        <f>VLOOKUP(Query1[[#This Row],[Description]],'kits to boards'!$B$2:$E$156,2,FALSE)</f>
        <v>830066</v>
      </c>
      <c r="M3597">
        <f>VLOOKUP(Query1[[#This Row],[Description]],'kits to boards'!$B$2:$E$156,3,FALSE)</f>
        <v>0</v>
      </c>
      <c r="N3597">
        <f>VLOOKUP(Query1[[#This Row],[Description]],'kits to boards'!$B$2:$E$156,4,FALSE)</f>
        <v>0</v>
      </c>
      <c r="O3597" t="str">
        <f>CONCATENATE(Query1[[#This Row],[Description]]," - ",Query1[[#This Row],[MB1]]," - ",Query1[[#This Row],[MB2]]," - ",Query1[[#This Row],[MB3]])</f>
        <v>EVAP KIT 60-63 CHEV P-UP WO AC - 830066 - 0 - 0</v>
      </c>
    </row>
    <row r="3598" spans="1:15" x14ac:dyDescent="0.25">
      <c r="A3598" s="1">
        <v>918756</v>
      </c>
      <c r="B3598" s="1" t="s">
        <v>66</v>
      </c>
      <c r="C3598" s="1" t="s">
        <v>67</v>
      </c>
      <c r="D3598" s="2">
        <v>44658.549075960647</v>
      </c>
      <c r="E3598" s="1" t="s">
        <v>8</v>
      </c>
      <c r="F3598" s="1">
        <v>1</v>
      </c>
      <c r="G3598" s="1">
        <v>0</v>
      </c>
      <c r="H3598" s="6">
        <f>INT(Query1[[#This Row],[EntryDateTime]])</f>
        <v>44658</v>
      </c>
      <c r="I3598" s="1">
        <f>IF(Query1[[#This Row],[ItemType]]="EVAP KIT SF GEN IV",Query1[[#This Row],[OrderQty]]+I3597,I3597)</f>
        <v>4509</v>
      </c>
      <c r="J3598" s="1">
        <f>IF(Query1[[#This Row],[ItemType]]="EVAP KIT UNIVERSAL",Query1[[#This Row],[OrderQty]]+J3597,J3597)</f>
        <v>1560</v>
      </c>
      <c r="K3598" s="1">
        <f>Query1[[#This Row],[SF Running Total]]+Query1[[#This Row],[UNIV Running Total]]</f>
        <v>6069</v>
      </c>
      <c r="L3598">
        <f>VLOOKUP(Query1[[#This Row],[Description]],'kits to boards'!$B$2:$E$156,2,FALSE)</f>
        <v>830060</v>
      </c>
      <c r="M3598">
        <f>VLOOKUP(Query1[[#This Row],[Description]],'kits to boards'!$B$2:$E$156,3,FALSE)</f>
        <v>0</v>
      </c>
      <c r="N3598">
        <f>VLOOKUP(Query1[[#This Row],[Description]],'kits to boards'!$B$2:$E$156,4,FALSE)</f>
        <v>0</v>
      </c>
      <c r="O3598" t="str">
        <f>CONCATENATE(Query1[[#This Row],[Description]]," - ",Query1[[#This Row],[MB1]]," - ",Query1[[#This Row],[MB2]]," - ",Query1[[#This Row],[MB3]])</f>
        <v>EVAP KIT 66-67 CHEVELLE WO AC - 830060 - 0 - 0</v>
      </c>
    </row>
    <row r="3599" spans="1:15" x14ac:dyDescent="0.25">
      <c r="A3599" s="1">
        <v>918680</v>
      </c>
      <c r="B3599" s="1" t="s">
        <v>52</v>
      </c>
      <c r="C3599" s="1" t="s">
        <v>53</v>
      </c>
      <c r="D3599" s="2">
        <v>44658.549517511572</v>
      </c>
      <c r="E3599" s="1" t="s">
        <v>8</v>
      </c>
      <c r="F3599" s="1">
        <v>1</v>
      </c>
      <c r="G3599" s="1">
        <v>0</v>
      </c>
      <c r="H3599" s="6">
        <f>INT(Query1[[#This Row],[EntryDateTime]])</f>
        <v>44658</v>
      </c>
      <c r="I3599" s="1">
        <f>IF(Query1[[#This Row],[ItemType]]="EVAP KIT SF GEN IV",Query1[[#This Row],[OrderQty]]+I3598,I3598)</f>
        <v>4510</v>
      </c>
      <c r="J3599" s="1">
        <f>IF(Query1[[#This Row],[ItemType]]="EVAP KIT UNIVERSAL",Query1[[#This Row],[OrderQty]]+J3598,J3598)</f>
        <v>1560</v>
      </c>
      <c r="K3599" s="1">
        <f>Query1[[#This Row],[SF Running Total]]+Query1[[#This Row],[UNIV Running Total]]</f>
        <v>6070</v>
      </c>
      <c r="L3599">
        <f>VLOOKUP(Query1[[#This Row],[Description]],'kits to boards'!$B$2:$E$156,2,FALSE)</f>
        <v>830017</v>
      </c>
      <c r="M3599">
        <f>VLOOKUP(Query1[[#This Row],[Description]],'kits to boards'!$B$2:$E$156,3,FALSE)</f>
        <v>830119</v>
      </c>
      <c r="N3599">
        <f>VLOOKUP(Query1[[#This Row],[Description]],'kits to boards'!$B$2:$E$156,4,FALSE)</f>
        <v>830120</v>
      </c>
      <c r="O3599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600" spans="1:15" x14ac:dyDescent="0.25">
      <c r="A3600" s="1">
        <v>918698</v>
      </c>
      <c r="B3600" s="1" t="s">
        <v>124</v>
      </c>
      <c r="C3600" s="1" t="s">
        <v>125</v>
      </c>
      <c r="D3600" s="2">
        <v>44658.550972256948</v>
      </c>
      <c r="E3600" s="1" t="s">
        <v>8</v>
      </c>
      <c r="F3600" s="1">
        <v>1</v>
      </c>
      <c r="G3600" s="1">
        <v>0</v>
      </c>
      <c r="H3600" s="6">
        <f>INT(Query1[[#This Row],[EntryDateTime]])</f>
        <v>44658</v>
      </c>
      <c r="I3600" s="1">
        <f>IF(Query1[[#This Row],[ItemType]]="EVAP KIT SF GEN IV",Query1[[#This Row],[OrderQty]]+I3599,I3599)</f>
        <v>4511</v>
      </c>
      <c r="J3600" s="1">
        <f>IF(Query1[[#This Row],[ItemType]]="EVAP KIT UNIVERSAL",Query1[[#This Row],[OrderQty]]+J3599,J3599)</f>
        <v>1560</v>
      </c>
      <c r="K3600" s="1">
        <f>Query1[[#This Row],[SF Running Total]]+Query1[[#This Row],[UNIV Running Total]]</f>
        <v>6071</v>
      </c>
      <c r="L3600">
        <f>VLOOKUP(Query1[[#This Row],[Description]],'kits to boards'!$B$2:$E$156,2,FALSE)</f>
        <v>830002</v>
      </c>
      <c r="M3600">
        <f>VLOOKUP(Query1[[#This Row],[Description]],'kits to boards'!$B$2:$E$156,3,FALSE)</f>
        <v>0</v>
      </c>
      <c r="N3600">
        <f>VLOOKUP(Query1[[#This Row],[Description]],'kits to boards'!$B$2:$E$156,4,FALSE)</f>
        <v>0</v>
      </c>
      <c r="O3600" t="str">
        <f>CONCATENATE(Query1[[#This Row],[Description]]," - ",Query1[[#This Row],[MB1]]," - ",Query1[[#This Row],[MB2]]," - ",Query1[[#This Row],[MB3]])</f>
        <v>EVAP KIT 73-80 CHEV P-UP WO AC - 830002 - 0 - 0</v>
      </c>
    </row>
    <row r="3601" spans="1:15" x14ac:dyDescent="0.25">
      <c r="A3601" s="1">
        <v>918758</v>
      </c>
      <c r="B3601" s="1" t="s">
        <v>70</v>
      </c>
      <c r="C3601" s="1" t="s">
        <v>71</v>
      </c>
      <c r="D3601" s="2">
        <v>44658.556965127318</v>
      </c>
      <c r="E3601" s="1" t="s">
        <v>8</v>
      </c>
      <c r="F3601" s="1">
        <v>1</v>
      </c>
      <c r="G3601" s="1">
        <v>0</v>
      </c>
      <c r="H3601" s="6">
        <f>INT(Query1[[#This Row],[EntryDateTime]])</f>
        <v>44658</v>
      </c>
      <c r="I3601" s="1">
        <f>IF(Query1[[#This Row],[ItemType]]="EVAP KIT SF GEN IV",Query1[[#This Row],[OrderQty]]+I3600,I3600)</f>
        <v>4512</v>
      </c>
      <c r="J3601" s="1">
        <f>IF(Query1[[#This Row],[ItemType]]="EVAP KIT UNIVERSAL",Query1[[#This Row],[OrderQty]]+J3600,J3600)</f>
        <v>1560</v>
      </c>
      <c r="K3601" s="1">
        <f>Query1[[#This Row],[SF Running Total]]+Query1[[#This Row],[UNIV Running Total]]</f>
        <v>6072</v>
      </c>
      <c r="L3601">
        <f>VLOOKUP(Query1[[#This Row],[Description]],'kits to boards'!$B$2:$E$156,2,FALSE)</f>
        <v>830050</v>
      </c>
      <c r="M3601">
        <f>VLOOKUP(Query1[[#This Row],[Description]],'kits to boards'!$B$2:$E$156,3,FALSE)</f>
        <v>0</v>
      </c>
      <c r="N3601">
        <f>VLOOKUP(Query1[[#This Row],[Description]],'kits to boards'!$B$2:$E$156,4,FALSE)</f>
        <v>0</v>
      </c>
      <c r="O3601" t="str">
        <f>CONCATENATE(Query1[[#This Row],[Description]]," - ",Query1[[#This Row],[MB1]]," - ",Query1[[#This Row],[MB2]]," - ",Query1[[#This Row],[MB3]])</f>
        <v>EVAP KIT 70-78 CAMARO WO AC - 830050 - 0 - 0</v>
      </c>
    </row>
    <row r="3602" spans="1:15" x14ac:dyDescent="0.25">
      <c r="A3602" s="1">
        <v>918759</v>
      </c>
      <c r="B3602" s="1" t="s">
        <v>192</v>
      </c>
      <c r="C3602" s="1" t="s">
        <v>193</v>
      </c>
      <c r="D3602" s="2">
        <v>44658.561599340275</v>
      </c>
      <c r="E3602" s="1" t="s">
        <v>8</v>
      </c>
      <c r="F3602" s="1">
        <v>1</v>
      </c>
      <c r="G3602" s="1">
        <v>0</v>
      </c>
      <c r="H3602" s="6">
        <f>INT(Query1[[#This Row],[EntryDateTime]])</f>
        <v>44658</v>
      </c>
      <c r="I3602" s="1">
        <f>IF(Query1[[#This Row],[ItemType]]="EVAP KIT SF GEN IV",Query1[[#This Row],[OrderQty]]+I3601,I3601)</f>
        <v>4513</v>
      </c>
      <c r="J3602" s="1">
        <f>IF(Query1[[#This Row],[ItemType]]="EVAP KIT UNIVERSAL",Query1[[#This Row],[OrderQty]]+J3601,J3601)</f>
        <v>1560</v>
      </c>
      <c r="K3602" s="1">
        <f>Query1[[#This Row],[SF Running Total]]+Query1[[#This Row],[UNIV Running Total]]</f>
        <v>6073</v>
      </c>
      <c r="L3602">
        <f>VLOOKUP(Query1[[#This Row],[Description]],'kits to boards'!$B$2:$E$156,2,FALSE)</f>
        <v>830094</v>
      </c>
      <c r="M3602">
        <f>VLOOKUP(Query1[[#This Row],[Description]],'kits to boards'!$B$2:$E$156,3,FALSE)</f>
        <v>0</v>
      </c>
      <c r="N3602">
        <f>VLOOKUP(Query1[[#This Row],[Description]],'kits to boards'!$B$2:$E$156,4,FALSE)</f>
        <v>0</v>
      </c>
      <c r="O3602" t="str">
        <f>CONCATENATE(Query1[[#This Row],[Description]]," - ",Query1[[#This Row],[MB1]]," - ",Query1[[#This Row],[MB2]]," - ",Query1[[#This Row],[MB3]])</f>
        <v>EVAP KIT 69-73 VETTE W/AC - 830094 - 0 - 0</v>
      </c>
    </row>
    <row r="3603" spans="1:15" x14ac:dyDescent="0.25">
      <c r="A3603" s="1">
        <v>918761</v>
      </c>
      <c r="B3603" s="1" t="s">
        <v>108</v>
      </c>
      <c r="C3603" s="1" t="s">
        <v>109</v>
      </c>
      <c r="D3603" s="2">
        <v>44658.564352349538</v>
      </c>
      <c r="E3603" s="1" t="s">
        <v>8</v>
      </c>
      <c r="F3603" s="1">
        <v>1</v>
      </c>
      <c r="G3603" s="1">
        <v>0</v>
      </c>
      <c r="H3603" s="6">
        <f>INT(Query1[[#This Row],[EntryDateTime]])</f>
        <v>44658</v>
      </c>
      <c r="I3603" s="1">
        <f>IF(Query1[[#This Row],[ItemType]]="EVAP KIT SF GEN IV",Query1[[#This Row],[OrderQty]]+I3602,I3602)</f>
        <v>4514</v>
      </c>
      <c r="J3603" s="1">
        <f>IF(Query1[[#This Row],[ItemType]]="EVAP KIT UNIVERSAL",Query1[[#This Row],[OrderQty]]+J3602,J3602)</f>
        <v>1560</v>
      </c>
      <c r="K3603" s="1">
        <f>Query1[[#This Row],[SF Running Total]]+Query1[[#This Row],[UNIV Running Total]]</f>
        <v>6074</v>
      </c>
      <c r="L3603">
        <f>VLOOKUP(Query1[[#This Row],[Description]],'kits to boards'!$B$2:$E$156,2,FALSE)</f>
        <v>830105</v>
      </c>
      <c r="M3603">
        <f>VLOOKUP(Query1[[#This Row],[Description]],'kits to boards'!$B$2:$E$156,3,FALSE)</f>
        <v>830106</v>
      </c>
      <c r="N3603">
        <f>VLOOKUP(Query1[[#This Row],[Description]],'kits to boards'!$B$2:$E$156,4,FALSE)</f>
        <v>0</v>
      </c>
      <c r="O3603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3604" spans="1:15" x14ac:dyDescent="0.25">
      <c r="A3604" s="1">
        <v>918771</v>
      </c>
      <c r="B3604" s="1" t="s">
        <v>20</v>
      </c>
      <c r="C3604" s="1" t="s">
        <v>21</v>
      </c>
      <c r="D3604" s="2">
        <v>44658.578809062499</v>
      </c>
      <c r="E3604" s="1" t="s">
        <v>11</v>
      </c>
      <c r="F3604" s="1">
        <v>1</v>
      </c>
      <c r="G3604" s="1">
        <v>0</v>
      </c>
      <c r="H3604" s="6">
        <f>INT(Query1[[#This Row],[EntryDateTime]])</f>
        <v>44658</v>
      </c>
      <c r="I3604" s="1">
        <f>IF(Query1[[#This Row],[ItemType]]="EVAP KIT SF GEN IV",Query1[[#This Row],[OrderQty]]+I3603,I3603)</f>
        <v>4514</v>
      </c>
      <c r="J3604" s="1">
        <f>IF(Query1[[#This Row],[ItemType]]="EVAP KIT UNIVERSAL",Query1[[#This Row],[OrderQty]]+J3603,J3603)</f>
        <v>1561</v>
      </c>
      <c r="K3604" s="1">
        <f>Query1[[#This Row],[SF Running Total]]+Query1[[#This Row],[UNIV Running Total]]</f>
        <v>6075</v>
      </c>
      <c r="L3604">
        <f>VLOOKUP(Query1[[#This Row],[Description]],'kits to boards'!$B$2:$E$156,2,FALSE)</f>
        <v>830102</v>
      </c>
      <c r="M3604">
        <f>VLOOKUP(Query1[[#This Row],[Description]],'kits to boards'!$B$2:$E$156,3,FALSE)</f>
        <v>0</v>
      </c>
      <c r="N3604">
        <f>VLOOKUP(Query1[[#This Row],[Description]],'kits to boards'!$B$2:$E$156,4,FALSE)</f>
        <v>0</v>
      </c>
      <c r="O3604" t="str">
        <f>CONCATENATE(Query1[[#This Row],[Description]]," - ",Query1[[#This Row],[MB1]]," - ",Query1[[#This Row],[MB2]]," - ",Query1[[#This Row],[MB3]])</f>
        <v>SUPER GEN II W/DEF - 830102 - 0 - 0</v>
      </c>
    </row>
    <row r="3605" spans="1:15" x14ac:dyDescent="0.25">
      <c r="A3605" s="1">
        <v>918770</v>
      </c>
      <c r="B3605" s="1" t="s">
        <v>116</v>
      </c>
      <c r="C3605" s="1" t="s">
        <v>117</v>
      </c>
      <c r="D3605" s="2">
        <v>44658.579035451388</v>
      </c>
      <c r="E3605" s="1" t="s">
        <v>8</v>
      </c>
      <c r="F3605" s="1">
        <v>1</v>
      </c>
      <c r="G3605" s="1">
        <v>0</v>
      </c>
      <c r="H3605" s="6">
        <f>INT(Query1[[#This Row],[EntryDateTime]])</f>
        <v>44658</v>
      </c>
      <c r="I3605" s="1">
        <f>IF(Query1[[#This Row],[ItemType]]="EVAP KIT SF GEN IV",Query1[[#This Row],[OrderQty]]+I3604,I3604)</f>
        <v>4515</v>
      </c>
      <c r="J3605" s="1">
        <f>IF(Query1[[#This Row],[ItemType]]="EVAP KIT UNIVERSAL",Query1[[#This Row],[OrderQty]]+J3604,J3604)</f>
        <v>1561</v>
      </c>
      <c r="K3605" s="1">
        <f>Query1[[#This Row],[SF Running Total]]+Query1[[#This Row],[UNIV Running Total]]</f>
        <v>6076</v>
      </c>
      <c r="L3605">
        <f>VLOOKUP(Query1[[#This Row],[Description]],'kits to boards'!$B$2:$E$156,2,FALSE)</f>
        <v>830058</v>
      </c>
      <c r="M3605">
        <f>VLOOKUP(Query1[[#This Row],[Description]],'kits to boards'!$B$2:$E$156,3,FALSE)</f>
        <v>0</v>
      </c>
      <c r="N3605">
        <f>VLOOKUP(Query1[[#This Row],[Description]],'kits to boards'!$B$2:$E$156,4,FALSE)</f>
        <v>0</v>
      </c>
      <c r="O3605" t="str">
        <f>CONCATENATE(Query1[[#This Row],[Description]]," - ",Query1[[#This Row],[MB1]]," - ",Query1[[#This Row],[MB2]]," - ",Query1[[#This Row],[MB3]])</f>
        <v>EVAP KIT 64-65 CHEVELLE WO AC - 830058 - 0 - 0</v>
      </c>
    </row>
    <row r="3606" spans="1:15" x14ac:dyDescent="0.25">
      <c r="A3606" s="1">
        <v>915403</v>
      </c>
      <c r="B3606" s="1" t="s">
        <v>40</v>
      </c>
      <c r="C3606" s="1" t="s">
        <v>41</v>
      </c>
      <c r="D3606" s="2">
        <v>44658.583231481483</v>
      </c>
      <c r="E3606" s="1" t="s">
        <v>8</v>
      </c>
      <c r="F3606" s="1">
        <v>1</v>
      </c>
      <c r="G3606" s="1">
        <v>0</v>
      </c>
      <c r="H3606" s="6">
        <f>INT(Query1[[#This Row],[EntryDateTime]])</f>
        <v>44658</v>
      </c>
      <c r="I3606" s="1">
        <f>IF(Query1[[#This Row],[ItemType]]="EVAP KIT SF GEN IV",Query1[[#This Row],[OrderQty]]+I3605,I3605)</f>
        <v>4516</v>
      </c>
      <c r="J3606" s="1">
        <f>IF(Query1[[#This Row],[ItemType]]="EVAP KIT UNIVERSAL",Query1[[#This Row],[OrderQty]]+J3605,J3605)</f>
        <v>1561</v>
      </c>
      <c r="K3606" s="1">
        <f>Query1[[#This Row],[SF Running Total]]+Query1[[#This Row],[UNIV Running Total]]</f>
        <v>6077</v>
      </c>
      <c r="L3606">
        <f>VLOOKUP(Query1[[#This Row],[Description]],'kits to boards'!$B$2:$E$156,2,FALSE)</f>
        <v>830024</v>
      </c>
      <c r="M3606">
        <f>VLOOKUP(Query1[[#This Row],[Description]],'kits to boards'!$B$2:$E$156,3,FALSE)</f>
        <v>0</v>
      </c>
      <c r="N3606">
        <f>VLOOKUP(Query1[[#This Row],[Description]],'kits to boards'!$B$2:$E$156,4,FALSE)</f>
        <v>0</v>
      </c>
      <c r="O3606" t="str">
        <f>CONCATENATE(Query1[[#This Row],[Description]]," - ",Query1[[#This Row],[MB1]]," - ",Query1[[#This Row],[MB2]]," - ",Query1[[#This Row],[MB3]])</f>
        <v>EVAP KIT 79-81 CAMARO W/AC - 830024 - 0 - 0</v>
      </c>
    </row>
    <row r="3607" spans="1:15" x14ac:dyDescent="0.25">
      <c r="A3607" s="1">
        <v>918782</v>
      </c>
      <c r="B3607" s="1" t="s">
        <v>186</v>
      </c>
      <c r="C3607" s="1" t="s">
        <v>187</v>
      </c>
      <c r="D3607" s="2">
        <v>44658.616971064817</v>
      </c>
      <c r="E3607" s="1" t="s">
        <v>8</v>
      </c>
      <c r="F3607" s="1">
        <v>1</v>
      </c>
      <c r="G3607" s="1">
        <v>0</v>
      </c>
      <c r="H3607" s="6">
        <f>INT(Query1[[#This Row],[EntryDateTime]])</f>
        <v>44658</v>
      </c>
      <c r="I3607" s="1">
        <f>IF(Query1[[#This Row],[ItemType]]="EVAP KIT SF GEN IV",Query1[[#This Row],[OrderQty]]+I3606,I3606)</f>
        <v>4517</v>
      </c>
      <c r="J3607" s="1">
        <f>IF(Query1[[#This Row],[ItemType]]="EVAP KIT UNIVERSAL",Query1[[#This Row],[OrderQty]]+J3606,J3606)</f>
        <v>1561</v>
      </c>
      <c r="K3607" s="1">
        <f>Query1[[#This Row],[SF Running Total]]+Query1[[#This Row],[UNIV Running Total]]</f>
        <v>6078</v>
      </c>
      <c r="L3607">
        <f>VLOOKUP(Query1[[#This Row],[Description]],'kits to boards'!$B$2:$E$156,2,FALSE)</f>
        <v>830125</v>
      </c>
      <c r="M3607">
        <f>VLOOKUP(Query1[[#This Row],[Description]],'kits to boards'!$B$2:$E$156,3,FALSE)</f>
        <v>830126</v>
      </c>
      <c r="N3607">
        <f>VLOOKUP(Query1[[#This Row],[Description]],'kits to boards'!$B$2:$E$156,4,FALSE)</f>
        <v>0</v>
      </c>
      <c r="O3607" t="str">
        <f>CONCATENATE(Query1[[#This Row],[Description]]," - ",Query1[[#This Row],[MB1]]," - ",Query1[[#This Row],[MB2]]," - ",Query1[[#This Row],[MB3]])</f>
        <v>EVAP KIT 65-66 IMPALA WO/AC - 830125 - 830126 - 0</v>
      </c>
    </row>
    <row r="3608" spans="1:15" x14ac:dyDescent="0.25">
      <c r="A3608" s="1">
        <v>918783</v>
      </c>
      <c r="B3608" s="1" t="s">
        <v>54</v>
      </c>
      <c r="C3608" s="1" t="s">
        <v>55</v>
      </c>
      <c r="D3608" s="2">
        <v>44658.618741782404</v>
      </c>
      <c r="E3608" s="1" t="s">
        <v>8</v>
      </c>
      <c r="F3608" s="1">
        <v>1</v>
      </c>
      <c r="G3608" s="1">
        <v>0</v>
      </c>
      <c r="H3608" s="6">
        <f>INT(Query1[[#This Row],[EntryDateTime]])</f>
        <v>44658</v>
      </c>
      <c r="I3608" s="1">
        <f>IF(Query1[[#This Row],[ItemType]]="EVAP KIT SF GEN IV",Query1[[#This Row],[OrderQty]]+I3607,I3607)</f>
        <v>4518</v>
      </c>
      <c r="J3608" s="1">
        <f>IF(Query1[[#This Row],[ItemType]]="EVAP KIT UNIVERSAL",Query1[[#This Row],[OrderQty]]+J3607,J3607)</f>
        <v>1561</v>
      </c>
      <c r="K3608" s="1">
        <f>Query1[[#This Row],[SF Running Total]]+Query1[[#This Row],[UNIV Running Total]]</f>
        <v>6079</v>
      </c>
      <c r="L3608">
        <f>VLOOKUP(Query1[[#This Row],[Description]],'kits to boards'!$B$2:$E$156,2,FALSE)</f>
        <v>830037</v>
      </c>
      <c r="M3608">
        <f>VLOOKUP(Query1[[#This Row],[Description]],'kits to boards'!$B$2:$E$156,3,FALSE)</f>
        <v>0</v>
      </c>
      <c r="N3608">
        <f>VLOOKUP(Query1[[#This Row],[Description]],'kits to boards'!$B$2:$E$156,4,FALSE)</f>
        <v>0</v>
      </c>
      <c r="O3608" t="str">
        <f>CONCATENATE(Query1[[#This Row],[Description]]," - ",Query1[[#This Row],[MB1]]," - ",Query1[[#This Row],[MB2]]," - ",Query1[[#This Row],[MB3]])</f>
        <v>EVAP KIT 70-81 FIREBIRD W/AC - 830037 - 0 - 0</v>
      </c>
    </row>
    <row r="3609" spans="1:15" x14ac:dyDescent="0.25">
      <c r="A3609" s="1">
        <v>918791</v>
      </c>
      <c r="B3609" s="1" t="s">
        <v>32</v>
      </c>
      <c r="C3609" s="1" t="s">
        <v>33</v>
      </c>
      <c r="D3609" s="2">
        <v>44658.633627777781</v>
      </c>
      <c r="E3609" s="1" t="s">
        <v>8</v>
      </c>
      <c r="F3609" s="1">
        <v>1</v>
      </c>
      <c r="G3609" s="1">
        <v>0</v>
      </c>
      <c r="H3609" s="6">
        <f>INT(Query1[[#This Row],[EntryDateTime]])</f>
        <v>44658</v>
      </c>
      <c r="I3609" s="1">
        <f>IF(Query1[[#This Row],[ItemType]]="EVAP KIT SF GEN IV",Query1[[#This Row],[OrderQty]]+I3608,I3608)</f>
        <v>4519</v>
      </c>
      <c r="J3609" s="1">
        <f>IF(Query1[[#This Row],[ItemType]]="EVAP KIT UNIVERSAL",Query1[[#This Row],[OrderQty]]+J3608,J3608)</f>
        <v>1561</v>
      </c>
      <c r="K3609" s="1">
        <f>Query1[[#This Row],[SF Running Total]]+Query1[[#This Row],[UNIV Running Total]]</f>
        <v>6080</v>
      </c>
      <c r="L3609">
        <f>VLOOKUP(Query1[[#This Row],[Description]],'kits to boards'!$B$2:$E$156,2,FALSE)</f>
        <v>830016</v>
      </c>
      <c r="M3609">
        <f>VLOOKUP(Query1[[#This Row],[Description]],'kits to boards'!$B$2:$E$156,3,FALSE)</f>
        <v>0</v>
      </c>
      <c r="N3609">
        <f>VLOOKUP(Query1[[#This Row],[Description]],'kits to boards'!$B$2:$E$156,4,FALSE)</f>
        <v>0</v>
      </c>
      <c r="O3609" t="str">
        <f>CONCATENATE(Query1[[#This Row],[Description]]," - ",Query1[[#This Row],[MB1]]," - ",Query1[[#This Row],[MB2]]," - ",Query1[[#This Row],[MB3]])</f>
        <v>EVAP KIT 67-68 CAMARO/FIREBIRD W/AC - 830016 - 0 - 0</v>
      </c>
    </row>
    <row r="3610" spans="1:15" x14ac:dyDescent="0.25">
      <c r="A3610" s="1">
        <v>918792</v>
      </c>
      <c r="B3610" s="1" t="s">
        <v>146</v>
      </c>
      <c r="C3610" s="1" t="s">
        <v>147</v>
      </c>
      <c r="D3610" s="2">
        <v>44658.636768750002</v>
      </c>
      <c r="E3610" s="1" t="s">
        <v>11</v>
      </c>
      <c r="F3610" s="1">
        <v>1</v>
      </c>
      <c r="G3610" s="1">
        <v>0</v>
      </c>
      <c r="H3610" s="6">
        <f>INT(Query1[[#This Row],[EntryDateTime]])</f>
        <v>44658</v>
      </c>
      <c r="I3610" s="1">
        <f>IF(Query1[[#This Row],[ItemType]]="EVAP KIT SF GEN IV",Query1[[#This Row],[OrderQty]]+I3609,I3609)</f>
        <v>4519</v>
      </c>
      <c r="J3610" s="1">
        <f>IF(Query1[[#This Row],[ItemType]]="EVAP KIT UNIVERSAL",Query1[[#This Row],[OrderQty]]+J3609,J3609)</f>
        <v>1562</v>
      </c>
      <c r="K3610" s="1">
        <f>Query1[[#This Row],[SF Running Total]]+Query1[[#This Row],[UNIV Running Total]]</f>
        <v>6081</v>
      </c>
      <c r="L3610">
        <f>VLOOKUP(Query1[[#This Row],[Description]],'kits to boards'!$B$2:$E$156,2,FALSE)</f>
        <v>0</v>
      </c>
      <c r="M3610">
        <f>VLOOKUP(Query1[[#This Row],[Description]],'kits to boards'!$B$2:$E$156,3,FALSE)</f>
        <v>0</v>
      </c>
      <c r="N3610">
        <f>VLOOKUP(Query1[[#This Row],[Description]],'kits to boards'!$B$2:$E$156,4,FALSE)</f>
        <v>0</v>
      </c>
      <c r="O3610" t="str">
        <f>CONCATENATE(Query1[[#This Row],[Description]]," - ",Query1[[#This Row],[MB1]]," - ",Query1[[#This Row],[MB2]]," - ",Query1[[#This Row],[MB3]])</f>
        <v>HERITAGE BLACK TURNED EVAP KIT COOL ONLY - 0 - 0 - 0</v>
      </c>
    </row>
    <row r="3611" spans="1:15" x14ac:dyDescent="0.25">
      <c r="A3611" s="1">
        <v>918635</v>
      </c>
      <c r="B3611" s="1" t="s">
        <v>98</v>
      </c>
      <c r="C3611" s="1" t="s">
        <v>99</v>
      </c>
      <c r="D3611" s="2">
        <v>44658.638368171298</v>
      </c>
      <c r="E3611" s="1" t="s">
        <v>11</v>
      </c>
      <c r="F3611" s="1">
        <v>1</v>
      </c>
      <c r="G3611" s="1">
        <v>0</v>
      </c>
      <c r="H3611" s="6">
        <f>INT(Query1[[#This Row],[EntryDateTime]])</f>
        <v>44658</v>
      </c>
      <c r="I3611" s="1">
        <f>IF(Query1[[#This Row],[ItemType]]="EVAP KIT SF GEN IV",Query1[[#This Row],[OrderQty]]+I3610,I3610)</f>
        <v>4519</v>
      </c>
      <c r="J3611" s="1">
        <f>IF(Query1[[#This Row],[ItemType]]="EVAP KIT UNIVERSAL",Query1[[#This Row],[OrderQty]]+J3610,J3610)</f>
        <v>1563</v>
      </c>
      <c r="K3611" s="1">
        <f>Query1[[#This Row],[SF Running Total]]+Query1[[#This Row],[UNIV Running Total]]</f>
        <v>6082</v>
      </c>
      <c r="L3611">
        <f>VLOOKUP(Query1[[#This Row],[Description]],'kits to boards'!$B$2:$E$156,2,FALSE)</f>
        <v>830099</v>
      </c>
      <c r="M3611">
        <f>VLOOKUP(Query1[[#This Row],[Description]],'kits to boards'!$B$2:$E$156,3,FALSE)</f>
        <v>0</v>
      </c>
      <c r="N3611">
        <f>VLOOKUP(Query1[[#This Row],[Description]],'kits to boards'!$B$2:$E$156,4,FALSE)</f>
        <v>0</v>
      </c>
      <c r="O3611" t="str">
        <f>CONCATENATE(Query1[[#This Row],[Description]]," - ",Query1[[#This Row],[MB1]]," - ",Query1[[#This Row],[MB2]]," - ",Query1[[#This Row],[MB3]])</f>
        <v>MINI GEN II W/DEF - 830099 - 0 - 0</v>
      </c>
    </row>
    <row r="3612" spans="1:15" x14ac:dyDescent="0.25">
      <c r="A3612" s="1">
        <v>918795</v>
      </c>
      <c r="B3612" s="1" t="s">
        <v>54</v>
      </c>
      <c r="C3612" s="1" t="s">
        <v>55</v>
      </c>
      <c r="D3612" s="2">
        <v>44658.641549386572</v>
      </c>
      <c r="E3612" s="1" t="s">
        <v>8</v>
      </c>
      <c r="F3612" s="1">
        <v>1</v>
      </c>
      <c r="G3612" s="1">
        <v>0</v>
      </c>
      <c r="H3612" s="6">
        <f>INT(Query1[[#This Row],[EntryDateTime]])</f>
        <v>44658</v>
      </c>
      <c r="I3612" s="1">
        <f>IF(Query1[[#This Row],[ItemType]]="EVAP KIT SF GEN IV",Query1[[#This Row],[OrderQty]]+I3611,I3611)</f>
        <v>4520</v>
      </c>
      <c r="J3612" s="1">
        <f>IF(Query1[[#This Row],[ItemType]]="EVAP KIT UNIVERSAL",Query1[[#This Row],[OrderQty]]+J3611,J3611)</f>
        <v>1563</v>
      </c>
      <c r="K3612" s="1">
        <f>Query1[[#This Row],[SF Running Total]]+Query1[[#This Row],[UNIV Running Total]]</f>
        <v>6083</v>
      </c>
      <c r="L3612">
        <f>VLOOKUP(Query1[[#This Row],[Description]],'kits to boards'!$B$2:$E$156,2,FALSE)</f>
        <v>830037</v>
      </c>
      <c r="M3612">
        <f>VLOOKUP(Query1[[#This Row],[Description]],'kits to boards'!$B$2:$E$156,3,FALSE)</f>
        <v>0</v>
      </c>
      <c r="N3612">
        <f>VLOOKUP(Query1[[#This Row],[Description]],'kits to boards'!$B$2:$E$156,4,FALSE)</f>
        <v>0</v>
      </c>
      <c r="O3612" t="str">
        <f>CONCATENATE(Query1[[#This Row],[Description]]," - ",Query1[[#This Row],[MB1]]," - ",Query1[[#This Row],[MB2]]," - ",Query1[[#This Row],[MB3]])</f>
        <v>EVAP KIT 70-81 FIREBIRD W/AC - 830037 - 0 - 0</v>
      </c>
    </row>
    <row r="3613" spans="1:15" x14ac:dyDescent="0.25">
      <c r="A3613" s="1">
        <v>918799</v>
      </c>
      <c r="B3613" s="1" t="s">
        <v>152</v>
      </c>
      <c r="C3613" s="1" t="s">
        <v>153</v>
      </c>
      <c r="D3613" s="2">
        <v>44658.647779942126</v>
      </c>
      <c r="E3613" s="1" t="s">
        <v>8</v>
      </c>
      <c r="F3613" s="1">
        <v>1</v>
      </c>
      <c r="G3613" s="1">
        <v>0</v>
      </c>
      <c r="H3613" s="6">
        <f>INT(Query1[[#This Row],[EntryDateTime]])</f>
        <v>44658</v>
      </c>
      <c r="I3613" s="1">
        <f>IF(Query1[[#This Row],[ItemType]]="EVAP KIT SF GEN IV",Query1[[#This Row],[OrderQty]]+I3612,I3612)</f>
        <v>4521</v>
      </c>
      <c r="J3613" s="1">
        <f>IF(Query1[[#This Row],[ItemType]]="EVAP KIT UNIVERSAL",Query1[[#This Row],[OrderQty]]+J3612,J3612)</f>
        <v>1563</v>
      </c>
      <c r="K3613" s="1">
        <f>Query1[[#This Row],[SF Running Total]]+Query1[[#This Row],[UNIV Running Total]]</f>
        <v>6084</v>
      </c>
      <c r="L3613">
        <f>VLOOKUP(Query1[[#This Row],[Description]],'kits to boards'!$B$2:$E$156,2,FALSE)</f>
        <v>830034</v>
      </c>
      <c r="M3613">
        <f>VLOOKUP(Query1[[#This Row],[Description]],'kits to boards'!$B$2:$E$156,3,FALSE)</f>
        <v>0</v>
      </c>
      <c r="N3613">
        <f>VLOOKUP(Query1[[#This Row],[Description]],'kits to boards'!$B$2:$E$156,4,FALSE)</f>
        <v>0</v>
      </c>
      <c r="O3613" t="str">
        <f>CONCATENATE(Query1[[#This Row],[Description]]," - ",Query1[[#This Row],[MB1]]," - ",Query1[[#This Row],[MB2]]," - ",Query1[[#This Row],[MB3]])</f>
        <v>EVAP KIT 64-67 GTO WO AC - 830034 - 0 - 0</v>
      </c>
    </row>
    <row r="3614" spans="1:15" x14ac:dyDescent="0.25">
      <c r="A3614" s="1">
        <v>918808</v>
      </c>
      <c r="B3614" s="1" t="s">
        <v>164</v>
      </c>
      <c r="C3614" s="1" t="s">
        <v>165</v>
      </c>
      <c r="D3614" s="2">
        <v>44658.660977546293</v>
      </c>
      <c r="E3614" s="1" t="s">
        <v>8</v>
      </c>
      <c r="F3614" s="1">
        <v>1</v>
      </c>
      <c r="G3614" s="1">
        <v>0</v>
      </c>
      <c r="H3614" s="6">
        <f>INT(Query1[[#This Row],[EntryDateTime]])</f>
        <v>44658</v>
      </c>
      <c r="I3614" s="1">
        <f>IF(Query1[[#This Row],[ItemType]]="EVAP KIT SF GEN IV",Query1[[#This Row],[OrderQty]]+I3613,I3613)</f>
        <v>4522</v>
      </c>
      <c r="J3614" s="1">
        <f>IF(Query1[[#This Row],[ItemType]]="EVAP KIT UNIVERSAL",Query1[[#This Row],[OrderQty]]+J3613,J3613)</f>
        <v>1563</v>
      </c>
      <c r="K3614" s="1">
        <f>Query1[[#This Row],[SF Running Total]]+Query1[[#This Row],[UNIV Running Total]]</f>
        <v>6085</v>
      </c>
      <c r="L3614">
        <f>VLOOKUP(Query1[[#This Row],[Description]],'kits to boards'!$B$2:$E$156,2,FALSE)</f>
        <v>830083</v>
      </c>
      <c r="M3614">
        <f>VLOOKUP(Query1[[#This Row],[Description]],'kits to boards'!$B$2:$E$156,3,FALSE)</f>
        <v>0</v>
      </c>
      <c r="N3614">
        <f>VLOOKUP(Query1[[#This Row],[Description]],'kits to boards'!$B$2:$E$156,4,FALSE)</f>
        <v>0</v>
      </c>
      <c r="O3614" t="str">
        <f>CONCATENATE(Query1[[#This Row],[Description]]," - ",Query1[[#This Row],[MB1]]," - ",Query1[[#This Row],[MB2]]," - ",Query1[[#This Row],[MB3]])</f>
        <v>EVAP KIT 70-74 CHALNGR/CUDA W/AC - 830083 - 0 - 0</v>
      </c>
    </row>
    <row r="3615" spans="1:15" x14ac:dyDescent="0.25">
      <c r="A3615" s="1">
        <v>918812</v>
      </c>
      <c r="B3615" s="1" t="s">
        <v>134</v>
      </c>
      <c r="C3615" s="1" t="s">
        <v>135</v>
      </c>
      <c r="D3615" s="2">
        <v>44658.665370289353</v>
      </c>
      <c r="E3615" s="1" t="s">
        <v>8</v>
      </c>
      <c r="F3615" s="1">
        <v>1</v>
      </c>
      <c r="G3615" s="1">
        <v>0</v>
      </c>
      <c r="H3615" s="6">
        <f>INT(Query1[[#This Row],[EntryDateTime]])</f>
        <v>44658</v>
      </c>
      <c r="I3615" s="1">
        <f>IF(Query1[[#This Row],[ItemType]]="EVAP KIT SF GEN IV",Query1[[#This Row],[OrderQty]]+I3614,I3614)</f>
        <v>4523</v>
      </c>
      <c r="J3615" s="1">
        <f>IF(Query1[[#This Row],[ItemType]]="EVAP KIT UNIVERSAL",Query1[[#This Row],[OrderQty]]+J3614,J3614)</f>
        <v>1563</v>
      </c>
      <c r="K3615" s="1">
        <f>Query1[[#This Row],[SF Running Total]]+Query1[[#This Row],[UNIV Running Total]]</f>
        <v>6086</v>
      </c>
      <c r="L3615">
        <f>VLOOKUP(Query1[[#This Row],[Description]],'kits to boards'!$B$2:$E$156,2,FALSE)</f>
        <v>830007</v>
      </c>
      <c r="M3615">
        <f>VLOOKUP(Query1[[#This Row],[Description]],'kits to boards'!$B$2:$E$156,3,FALSE)</f>
        <v>0</v>
      </c>
      <c r="N3615">
        <f>VLOOKUP(Query1[[#This Row],[Description]],'kits to boards'!$B$2:$E$156,4,FALSE)</f>
        <v>0</v>
      </c>
      <c r="O3615" t="str">
        <f>CONCATENATE(Query1[[#This Row],[Description]]," - ",Query1[[#This Row],[MB1]]," - ",Query1[[#This Row],[MB2]]," - ",Query1[[#This Row],[MB3]])</f>
        <v>EVAP KIT 64 IMPALA WO AC - 830007 - 0 - 0</v>
      </c>
    </row>
    <row r="3616" spans="1:15" x14ac:dyDescent="0.25">
      <c r="A3616" s="1">
        <v>918822</v>
      </c>
      <c r="B3616" s="1" t="s">
        <v>50</v>
      </c>
      <c r="C3616" s="1" t="s">
        <v>51</v>
      </c>
      <c r="D3616" s="2">
        <v>44658.679304895835</v>
      </c>
      <c r="E3616" s="1" t="s">
        <v>8</v>
      </c>
      <c r="F3616" s="1">
        <v>1</v>
      </c>
      <c r="G3616" s="1">
        <v>0</v>
      </c>
      <c r="H3616" s="6">
        <f>INT(Query1[[#This Row],[EntryDateTime]])</f>
        <v>44658</v>
      </c>
      <c r="I3616" s="1">
        <f>IF(Query1[[#This Row],[ItemType]]="EVAP KIT SF GEN IV",Query1[[#This Row],[OrderQty]]+I3615,I3615)</f>
        <v>4524</v>
      </c>
      <c r="J3616" s="1">
        <f>IF(Query1[[#This Row],[ItemType]]="EVAP KIT UNIVERSAL",Query1[[#This Row],[OrderQty]]+J3615,J3615)</f>
        <v>1563</v>
      </c>
      <c r="K3616" s="1">
        <f>Query1[[#This Row],[SF Running Total]]+Query1[[#This Row],[UNIV Running Total]]</f>
        <v>6087</v>
      </c>
      <c r="L3616">
        <f>VLOOKUP(Query1[[#This Row],[Description]],'kits to boards'!$B$2:$E$156,2,FALSE)</f>
        <v>830043</v>
      </c>
      <c r="M3616">
        <f>VLOOKUP(Query1[[#This Row],[Description]],'kits to boards'!$B$2:$E$156,3,FALSE)</f>
        <v>0</v>
      </c>
      <c r="N3616">
        <f>VLOOKUP(Query1[[#This Row],[Description]],'kits to boards'!$B$2:$E$156,4,FALSE)</f>
        <v>0</v>
      </c>
      <c r="O3616" t="str">
        <f>CONCATENATE(Query1[[#This Row],[Description]]," - ",Query1[[#This Row],[MB1]]," - ",Query1[[#This Row],[MB2]]," - ",Query1[[#This Row],[MB3]])</f>
        <v>EVAP KIT 69-74 NOVA WO AC - 830043 - 0 - 0</v>
      </c>
    </row>
    <row r="3617" spans="1:15" x14ac:dyDescent="0.25">
      <c r="A3617" s="1">
        <v>918285</v>
      </c>
      <c r="B3617" s="1" t="s">
        <v>244</v>
      </c>
      <c r="C3617" s="1" t="s">
        <v>245</v>
      </c>
      <c r="D3617" s="2">
        <v>44658.680995636576</v>
      </c>
      <c r="E3617" s="1" t="s">
        <v>8</v>
      </c>
      <c r="F3617" s="1">
        <v>1</v>
      </c>
      <c r="G3617" s="1">
        <v>0</v>
      </c>
      <c r="H3617" s="6">
        <f>INT(Query1[[#This Row],[EntryDateTime]])</f>
        <v>44658</v>
      </c>
      <c r="I3617" s="1">
        <f>IF(Query1[[#This Row],[ItemType]]="EVAP KIT SF GEN IV",Query1[[#This Row],[OrderQty]]+I3616,I3616)</f>
        <v>4525</v>
      </c>
      <c r="J3617" s="1">
        <f>IF(Query1[[#This Row],[ItemType]]="EVAP KIT UNIVERSAL",Query1[[#This Row],[OrderQty]]+J3616,J3616)</f>
        <v>1563</v>
      </c>
      <c r="K3617" s="1">
        <f>Query1[[#This Row],[SF Running Total]]+Query1[[#This Row],[UNIV Running Total]]</f>
        <v>6088</v>
      </c>
      <c r="L3617">
        <f>VLOOKUP(Query1[[#This Row],[Description]],'kits to boards'!$B$2:$E$156,2,FALSE)</f>
        <v>830100</v>
      </c>
      <c r="M3617">
        <f>VLOOKUP(Query1[[#This Row],[Description]],'kits to boards'!$B$2:$E$156,3,FALSE)</f>
        <v>0</v>
      </c>
      <c r="N3617">
        <f>VLOOKUP(Query1[[#This Row],[Description]],'kits to boards'!$B$2:$E$156,4,FALSE)</f>
        <v>0</v>
      </c>
      <c r="O3617" t="str">
        <f>CONCATENATE(Query1[[#This Row],[Description]]," - ",Query1[[#This Row],[MB1]]," - ",Query1[[#This Row],[MB2]]," - ",Query1[[#This Row],[MB3]])</f>
        <v>EVAP KIT 68-76 VETTE WO AC - 830100 - 0 - 0</v>
      </c>
    </row>
    <row r="3618" spans="1:15" x14ac:dyDescent="0.25">
      <c r="A3618" s="1">
        <v>918285</v>
      </c>
      <c r="B3618" s="1" t="s">
        <v>84</v>
      </c>
      <c r="C3618" s="1" t="s">
        <v>85</v>
      </c>
      <c r="D3618" s="2">
        <v>44658.680995636576</v>
      </c>
      <c r="E3618" s="1" t="s">
        <v>8</v>
      </c>
      <c r="F3618" s="1">
        <v>1</v>
      </c>
      <c r="G3618" s="1">
        <v>0</v>
      </c>
      <c r="H3618" s="6">
        <f>INT(Query1[[#This Row],[EntryDateTime]])</f>
        <v>44658</v>
      </c>
      <c r="I3618" s="1">
        <f>IF(Query1[[#This Row],[ItemType]]="EVAP KIT SF GEN IV",Query1[[#This Row],[OrderQty]]+I3617,I3617)</f>
        <v>4526</v>
      </c>
      <c r="J3618" s="1">
        <f>IF(Query1[[#This Row],[ItemType]]="EVAP KIT UNIVERSAL",Query1[[#This Row],[OrderQty]]+J3617,J3617)</f>
        <v>1563</v>
      </c>
      <c r="K3618" s="1">
        <f>Query1[[#This Row],[SF Running Total]]+Query1[[#This Row],[UNIV Running Total]]</f>
        <v>6089</v>
      </c>
      <c r="L3618">
        <f>VLOOKUP(Query1[[#This Row],[Description]],'kits to boards'!$B$2:$E$156,2,FALSE)</f>
        <v>830085</v>
      </c>
      <c r="M3618">
        <f>VLOOKUP(Query1[[#This Row],[Description]],'kits to boards'!$B$2:$E$156,3,FALSE)</f>
        <v>0</v>
      </c>
      <c r="N3618">
        <f>VLOOKUP(Query1[[#This Row],[Description]],'kits to boards'!$B$2:$E$156,4,FALSE)</f>
        <v>0</v>
      </c>
      <c r="O3618" t="str">
        <f>CONCATENATE(Query1[[#This Row],[Description]]," - ",Query1[[#This Row],[MB1]]," - ",Query1[[#This Row],[MB2]]," - ",Query1[[#This Row],[MB3]])</f>
        <v>EVAP KIT 66-77 BRONCO 4-VENT PLENUM - 830085 - 0 - 0</v>
      </c>
    </row>
    <row r="3619" spans="1:15" x14ac:dyDescent="0.25">
      <c r="A3619" s="1">
        <v>917776</v>
      </c>
      <c r="B3619" s="1" t="s">
        <v>9</v>
      </c>
      <c r="C3619" s="1" t="s">
        <v>10</v>
      </c>
      <c r="D3619" s="2">
        <v>44658.686434606483</v>
      </c>
      <c r="E3619" s="1" t="s">
        <v>11</v>
      </c>
      <c r="F3619" s="1">
        <v>2</v>
      </c>
      <c r="G3619" s="1">
        <v>0</v>
      </c>
      <c r="H3619" s="6">
        <f>INT(Query1[[#This Row],[EntryDateTime]])</f>
        <v>44658</v>
      </c>
      <c r="I3619" s="1">
        <f>IF(Query1[[#This Row],[ItemType]]="EVAP KIT SF GEN IV",Query1[[#This Row],[OrderQty]]+I3618,I3618)</f>
        <v>4526</v>
      </c>
      <c r="J3619" s="1">
        <f>IF(Query1[[#This Row],[ItemType]]="EVAP KIT UNIVERSAL",Query1[[#This Row],[OrderQty]]+J3618,J3618)</f>
        <v>1565</v>
      </c>
      <c r="K3619" s="1">
        <f>Query1[[#This Row],[SF Running Total]]+Query1[[#This Row],[UNIV Running Total]]</f>
        <v>6091</v>
      </c>
      <c r="L3619">
        <f>VLOOKUP(Query1[[#This Row],[Description]],'kits to boards'!$B$2:$E$156,2,FALSE)</f>
        <v>830069</v>
      </c>
      <c r="M3619">
        <f>VLOOKUP(Query1[[#This Row],[Description]],'kits to boards'!$B$2:$E$156,3,FALSE)</f>
        <v>0</v>
      </c>
      <c r="N3619">
        <f>VLOOKUP(Query1[[#This Row],[Description]],'kits to boards'!$B$2:$E$156,4,FALSE)</f>
        <v>0</v>
      </c>
      <c r="O3619" t="str">
        <f>CONCATENATE(Query1[[#This Row],[Description]]," - ",Query1[[#This Row],[MB1]]," - ",Query1[[#This Row],[MB2]]," - ",Query1[[#This Row],[MB3]])</f>
        <v>SLIMLINE H/C W/DEF STD LOUVER - 830069 - 0 - 0</v>
      </c>
    </row>
    <row r="3620" spans="1:15" x14ac:dyDescent="0.25">
      <c r="A3620" s="1">
        <v>918830</v>
      </c>
      <c r="B3620" s="1" t="s">
        <v>120</v>
      </c>
      <c r="C3620" s="1" t="s">
        <v>121</v>
      </c>
      <c r="D3620" s="2">
        <v>44658.694458877311</v>
      </c>
      <c r="E3620" s="1" t="s">
        <v>8</v>
      </c>
      <c r="F3620" s="1">
        <v>1</v>
      </c>
      <c r="G3620" s="1">
        <v>0</v>
      </c>
      <c r="H3620" s="6">
        <f>INT(Query1[[#This Row],[EntryDateTime]])</f>
        <v>44658</v>
      </c>
      <c r="I3620" s="1">
        <f>IF(Query1[[#This Row],[ItemType]]="EVAP KIT SF GEN IV",Query1[[#This Row],[OrderQty]]+I3619,I3619)</f>
        <v>4527</v>
      </c>
      <c r="J3620" s="1">
        <f>IF(Query1[[#This Row],[ItemType]]="EVAP KIT UNIVERSAL",Query1[[#This Row],[OrderQty]]+J3619,J3619)</f>
        <v>1565</v>
      </c>
      <c r="K3620" s="1">
        <f>Query1[[#This Row],[SF Running Total]]+Query1[[#This Row],[UNIV Running Total]]</f>
        <v>6092</v>
      </c>
      <c r="L3620">
        <f>VLOOKUP(Query1[[#This Row],[Description]],'kits to boards'!$B$2:$E$156,2,FALSE)</f>
        <v>830014</v>
      </c>
      <c r="M3620">
        <f>VLOOKUP(Query1[[#This Row],[Description]],'kits to boards'!$B$2:$E$156,3,FALSE)</f>
        <v>0</v>
      </c>
      <c r="N3620">
        <f>VLOOKUP(Query1[[#This Row],[Description]],'kits to boards'!$B$2:$E$156,4,FALSE)</f>
        <v>0</v>
      </c>
      <c r="O3620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3621" spans="1:15" x14ac:dyDescent="0.25">
      <c r="A3621" s="1">
        <v>918835</v>
      </c>
      <c r="B3621" s="1" t="s">
        <v>216</v>
      </c>
      <c r="C3621" s="1" t="s">
        <v>217</v>
      </c>
      <c r="D3621" s="2">
        <v>44658.696166469905</v>
      </c>
      <c r="E3621" s="1" t="s">
        <v>8</v>
      </c>
      <c r="F3621" s="1">
        <v>1</v>
      </c>
      <c r="G3621" s="1">
        <v>0</v>
      </c>
      <c r="H3621" s="6">
        <f>INT(Query1[[#This Row],[EntryDateTime]])</f>
        <v>44658</v>
      </c>
      <c r="I3621" s="1">
        <f>IF(Query1[[#This Row],[ItemType]]="EVAP KIT SF GEN IV",Query1[[#This Row],[OrderQty]]+I3620,I3620)</f>
        <v>4528</v>
      </c>
      <c r="J3621" s="1">
        <f>IF(Query1[[#This Row],[ItemType]]="EVAP KIT UNIVERSAL",Query1[[#This Row],[OrderQty]]+J3620,J3620)</f>
        <v>1565</v>
      </c>
      <c r="K3621" s="1">
        <f>Query1[[#This Row],[SF Running Total]]+Query1[[#This Row],[UNIV Running Total]]</f>
        <v>6093</v>
      </c>
      <c r="L3621">
        <f>VLOOKUP(Query1[[#This Row],[Description]],'kits to boards'!$B$2:$E$156,2,FALSE)</f>
        <v>830072</v>
      </c>
      <c r="M3621">
        <f>VLOOKUP(Query1[[#This Row],[Description]],'kits to boards'!$B$2:$E$156,3,FALSE)</f>
        <v>830075</v>
      </c>
      <c r="N3621">
        <f>VLOOKUP(Query1[[#This Row],[Description]],'kits to boards'!$B$2:$E$156,4,FALSE)</f>
        <v>0</v>
      </c>
      <c r="O3621" t="str">
        <f>CONCATENATE(Query1[[#This Row],[Description]]," - ",Query1[[#This Row],[MB1]]," - ",Query1[[#This Row],[MB2]]," - ",Query1[[#This Row],[MB3]])</f>
        <v>EVAP KIT 69-70 MOPAR B BODY W/AC - 830072 - 830075 - 0</v>
      </c>
    </row>
    <row r="3622" spans="1:15" x14ac:dyDescent="0.25">
      <c r="A3622" s="1">
        <v>918836</v>
      </c>
      <c r="B3622" s="1" t="s">
        <v>216</v>
      </c>
      <c r="C3622" s="1" t="s">
        <v>217</v>
      </c>
      <c r="D3622" s="2">
        <v>44658.69787329861</v>
      </c>
      <c r="E3622" s="1" t="s">
        <v>8</v>
      </c>
      <c r="F3622" s="1">
        <v>1</v>
      </c>
      <c r="G3622" s="1">
        <v>0</v>
      </c>
      <c r="H3622" s="6">
        <f>INT(Query1[[#This Row],[EntryDateTime]])</f>
        <v>44658</v>
      </c>
      <c r="I3622" s="1">
        <f>IF(Query1[[#This Row],[ItemType]]="EVAP KIT SF GEN IV",Query1[[#This Row],[OrderQty]]+I3621,I3621)</f>
        <v>4529</v>
      </c>
      <c r="J3622" s="1">
        <f>IF(Query1[[#This Row],[ItemType]]="EVAP KIT UNIVERSAL",Query1[[#This Row],[OrderQty]]+J3621,J3621)</f>
        <v>1565</v>
      </c>
      <c r="K3622" s="1">
        <f>Query1[[#This Row],[SF Running Total]]+Query1[[#This Row],[UNIV Running Total]]</f>
        <v>6094</v>
      </c>
      <c r="L3622">
        <f>VLOOKUP(Query1[[#This Row],[Description]],'kits to boards'!$B$2:$E$156,2,FALSE)</f>
        <v>830072</v>
      </c>
      <c r="M3622">
        <f>VLOOKUP(Query1[[#This Row],[Description]],'kits to boards'!$B$2:$E$156,3,FALSE)</f>
        <v>830075</v>
      </c>
      <c r="N3622">
        <f>VLOOKUP(Query1[[#This Row],[Description]],'kits to boards'!$B$2:$E$156,4,FALSE)</f>
        <v>0</v>
      </c>
      <c r="O3622" t="str">
        <f>CONCATENATE(Query1[[#This Row],[Description]]," - ",Query1[[#This Row],[MB1]]," - ",Query1[[#This Row],[MB2]]," - ",Query1[[#This Row],[MB3]])</f>
        <v>EVAP KIT 69-70 MOPAR B BODY W/AC - 830072 - 830075 - 0</v>
      </c>
    </row>
    <row r="3623" spans="1:15" x14ac:dyDescent="0.25">
      <c r="A3623" s="1">
        <v>918828</v>
      </c>
      <c r="B3623" s="1" t="s">
        <v>132</v>
      </c>
      <c r="C3623" s="1" t="s">
        <v>133</v>
      </c>
      <c r="D3623" s="2">
        <v>44658.699315474536</v>
      </c>
      <c r="E3623" s="1" t="s">
        <v>8</v>
      </c>
      <c r="F3623" s="1">
        <v>1</v>
      </c>
      <c r="G3623" s="1">
        <v>0</v>
      </c>
      <c r="H3623" s="6">
        <f>INT(Query1[[#This Row],[EntryDateTime]])</f>
        <v>44658</v>
      </c>
      <c r="I3623" s="1">
        <f>IF(Query1[[#This Row],[ItemType]]="EVAP KIT SF GEN IV",Query1[[#This Row],[OrderQty]]+I3622,I3622)</f>
        <v>4530</v>
      </c>
      <c r="J3623" s="1">
        <f>IF(Query1[[#This Row],[ItemType]]="EVAP KIT UNIVERSAL",Query1[[#This Row],[OrderQty]]+J3622,J3622)</f>
        <v>1565</v>
      </c>
      <c r="K3623" s="1">
        <f>Query1[[#This Row],[SF Running Total]]+Query1[[#This Row],[UNIV Running Total]]</f>
        <v>6095</v>
      </c>
      <c r="L3623">
        <f>VLOOKUP(Query1[[#This Row],[Description]],'kits to boards'!$B$2:$E$156,2,FALSE)</f>
        <v>830005</v>
      </c>
      <c r="M3623">
        <f>VLOOKUP(Query1[[#This Row],[Description]],'kits to boards'!$B$2:$E$156,3,FALSE)</f>
        <v>0</v>
      </c>
      <c r="N3623">
        <f>VLOOKUP(Query1[[#This Row],[Description]],'kits to boards'!$B$2:$E$156,4,FALSE)</f>
        <v>0</v>
      </c>
      <c r="O3623" t="str">
        <f>CONCATENATE(Query1[[#This Row],[Description]]," - ",Query1[[#This Row],[MB1]]," - ",Query1[[#This Row],[MB2]]," - ",Query1[[#This Row],[MB3]])</f>
        <v>EVAP KIT 61-62 IMPALA WO AC - 830005 - 0 - 0</v>
      </c>
    </row>
    <row r="3624" spans="1:15" x14ac:dyDescent="0.25">
      <c r="A3624" s="1">
        <v>918828</v>
      </c>
      <c r="B3624" s="1" t="s">
        <v>247</v>
      </c>
      <c r="C3624" s="1" t="s">
        <v>248</v>
      </c>
      <c r="D3624" s="2">
        <v>44658.699505243058</v>
      </c>
      <c r="E3624" s="1" t="s">
        <v>8</v>
      </c>
      <c r="F3624" s="1">
        <v>1</v>
      </c>
      <c r="G3624" s="1">
        <v>0</v>
      </c>
      <c r="H3624" s="6">
        <f>INT(Query1[[#This Row],[EntryDateTime]])</f>
        <v>44658</v>
      </c>
      <c r="I3624" s="1">
        <f>IF(Query1[[#This Row],[ItemType]]="EVAP KIT SF GEN IV",Query1[[#This Row],[OrderQty]]+I3623,I3623)</f>
        <v>4531</v>
      </c>
      <c r="J3624" s="1">
        <f>IF(Query1[[#This Row],[ItemType]]="EVAP KIT UNIVERSAL",Query1[[#This Row],[OrderQty]]+J3623,J3623)</f>
        <v>1565</v>
      </c>
      <c r="K3624" s="1">
        <f>Query1[[#This Row],[SF Running Total]]+Query1[[#This Row],[UNIV Running Total]]</f>
        <v>6096</v>
      </c>
      <c r="L3624">
        <f>VLOOKUP(Query1[[#This Row],[Description]],'kits to boards'!$B$2:$E$156,2,FALSE)</f>
        <v>830107</v>
      </c>
      <c r="M3624">
        <f>VLOOKUP(Query1[[#This Row],[Description]],'kits to boards'!$B$2:$E$156,3,FALSE)</f>
        <v>0</v>
      </c>
      <c r="N3624">
        <f>VLOOKUP(Query1[[#This Row],[Description]],'kits to boards'!$B$2:$E$156,4,FALSE)</f>
        <v>0</v>
      </c>
      <c r="O3624" t="str">
        <f>CONCATENATE(Query1[[#This Row],[Description]]," - ",Query1[[#This Row],[MB1]]," - ",Query1[[#This Row],[MB2]]," - ",Query1[[#This Row],[MB3]])</f>
        <v>EVAP KIT 69 FIREBIRD W/AC - 830107 - 0 - 0</v>
      </c>
    </row>
    <row r="3625" spans="1:15" x14ac:dyDescent="0.25">
      <c r="A3625" s="1">
        <v>918828</v>
      </c>
      <c r="B3625" s="1" t="s">
        <v>18</v>
      </c>
      <c r="C3625" s="1" t="s">
        <v>19</v>
      </c>
      <c r="D3625" s="2">
        <v>44658.699690891204</v>
      </c>
      <c r="E3625" s="1" t="s">
        <v>8</v>
      </c>
      <c r="F3625" s="1">
        <v>1</v>
      </c>
      <c r="G3625" s="1">
        <v>0</v>
      </c>
      <c r="H3625" s="6">
        <f>INT(Query1[[#This Row],[EntryDateTime]])</f>
        <v>44658</v>
      </c>
      <c r="I3625" s="1">
        <f>IF(Query1[[#This Row],[ItemType]]="EVAP KIT SF GEN IV",Query1[[#This Row],[OrderQty]]+I3624,I3624)</f>
        <v>4532</v>
      </c>
      <c r="J3625" s="1">
        <f>IF(Query1[[#This Row],[ItemType]]="EVAP KIT UNIVERSAL",Query1[[#This Row],[OrderQty]]+J3624,J3624)</f>
        <v>1565</v>
      </c>
      <c r="K3625" s="1">
        <f>Query1[[#This Row],[SF Running Total]]+Query1[[#This Row],[UNIV Running Total]]</f>
        <v>6097</v>
      </c>
      <c r="L3625">
        <f>VLOOKUP(Query1[[#This Row],[Description]],'kits to boards'!$B$2:$E$156,2,FALSE)</f>
        <v>830051</v>
      </c>
      <c r="M3625">
        <f>VLOOKUP(Query1[[#This Row],[Description]],'kits to boards'!$B$2:$E$156,3,FALSE)</f>
        <v>0</v>
      </c>
      <c r="N3625">
        <f>VLOOKUP(Query1[[#This Row],[Description]],'kits to boards'!$B$2:$E$156,4,FALSE)</f>
        <v>0</v>
      </c>
      <c r="O3625" t="str">
        <f>CONCATENATE(Query1[[#This Row],[Description]]," - ",Query1[[#This Row],[MB1]]," - ",Query1[[#This Row],[MB2]]," - ",Query1[[#This Row],[MB3]])</f>
        <v>EVAP KIT 70-78 CAMARO W/AC - 830051 - 0 - 0</v>
      </c>
    </row>
    <row r="3626" spans="1:15" x14ac:dyDescent="0.25">
      <c r="A3626" s="1">
        <v>918828</v>
      </c>
      <c r="B3626" s="1" t="s">
        <v>160</v>
      </c>
      <c r="C3626" s="1" t="s">
        <v>161</v>
      </c>
      <c r="D3626" s="2">
        <v>44658.700205983798</v>
      </c>
      <c r="E3626" s="1" t="s">
        <v>8</v>
      </c>
      <c r="F3626" s="1">
        <v>1</v>
      </c>
      <c r="G3626" s="1">
        <v>0</v>
      </c>
      <c r="H3626" s="6">
        <f>INT(Query1[[#This Row],[EntryDateTime]])</f>
        <v>44658</v>
      </c>
      <c r="I3626" s="1">
        <f>IF(Query1[[#This Row],[ItemType]]="EVAP KIT SF GEN IV",Query1[[#This Row],[OrderQty]]+I3625,I3625)</f>
        <v>4533</v>
      </c>
      <c r="J3626" s="1">
        <f>IF(Query1[[#This Row],[ItemType]]="EVAP KIT UNIVERSAL",Query1[[#This Row],[OrderQty]]+J3625,J3625)</f>
        <v>1565</v>
      </c>
      <c r="K3626" s="1">
        <f>Query1[[#This Row],[SF Running Total]]+Query1[[#This Row],[UNIV Running Total]]</f>
        <v>6098</v>
      </c>
      <c r="L3626">
        <f>VLOOKUP(Query1[[#This Row],[Description]],'kits to boards'!$B$2:$E$156,2,FALSE)</f>
        <v>830083</v>
      </c>
      <c r="M3626">
        <f>VLOOKUP(Query1[[#This Row],[Description]],'kits to boards'!$B$2:$E$156,3,FALSE)</f>
        <v>0</v>
      </c>
      <c r="N3626">
        <f>VLOOKUP(Query1[[#This Row],[Description]],'kits to boards'!$B$2:$E$156,4,FALSE)</f>
        <v>0</v>
      </c>
      <c r="O3626" t="str">
        <f>CONCATENATE(Query1[[#This Row],[Description]]," - ",Query1[[#This Row],[MB1]]," - ",Query1[[#This Row],[MB2]]," - ",Query1[[#This Row],[MB3]])</f>
        <v>EVAP KIT 70-74 CHALNGR/CUDA WO AC - 830083 - 0 - 0</v>
      </c>
    </row>
    <row r="3627" spans="1:15" x14ac:dyDescent="0.25">
      <c r="A3627" s="1">
        <v>918828</v>
      </c>
      <c r="B3627" s="1" t="s">
        <v>76</v>
      </c>
      <c r="C3627" s="1" t="s">
        <v>77</v>
      </c>
      <c r="D3627" s="2">
        <v>44658.700424768518</v>
      </c>
      <c r="E3627" s="1" t="s">
        <v>11</v>
      </c>
      <c r="F3627" s="1">
        <v>1</v>
      </c>
      <c r="G3627" s="1">
        <v>0</v>
      </c>
      <c r="H3627" s="6">
        <f>INT(Query1[[#This Row],[EntryDateTime]])</f>
        <v>44658</v>
      </c>
      <c r="I3627" s="1">
        <f>IF(Query1[[#This Row],[ItemType]]="EVAP KIT SF GEN IV",Query1[[#This Row],[OrderQty]]+I3626,I3626)</f>
        <v>4533</v>
      </c>
      <c r="J3627" s="1">
        <f>IF(Query1[[#This Row],[ItemType]]="EVAP KIT UNIVERSAL",Query1[[#This Row],[OrderQty]]+J3626,J3626)</f>
        <v>1566</v>
      </c>
      <c r="K3627" s="1">
        <f>Query1[[#This Row],[SF Running Total]]+Query1[[#This Row],[UNIV Running Total]]</f>
        <v>6099</v>
      </c>
      <c r="L3627">
        <f>VLOOKUP(Query1[[#This Row],[Description]],'kits to boards'!$B$2:$E$156,2,FALSE)</f>
        <v>830099</v>
      </c>
      <c r="M3627">
        <f>VLOOKUP(Query1[[#This Row],[Description]],'kits to boards'!$B$2:$E$156,3,FALSE)</f>
        <v>0</v>
      </c>
      <c r="N3627">
        <f>VLOOKUP(Query1[[#This Row],[Description]],'kits to boards'!$B$2:$E$156,4,FALSE)</f>
        <v>0</v>
      </c>
      <c r="O3627" t="str">
        <f>CONCATENATE(Query1[[#This Row],[Description]]," - ",Query1[[#This Row],[MB1]]," - ",Query1[[#This Row],[MB2]]," - ",Query1[[#This Row],[MB3]])</f>
        <v>MINI GEN II H/C - 830099 - 0 - 0</v>
      </c>
    </row>
    <row r="3628" spans="1:15" x14ac:dyDescent="0.25">
      <c r="A3628" s="1">
        <v>918828</v>
      </c>
      <c r="B3628" s="1" t="s">
        <v>22</v>
      </c>
      <c r="C3628" s="1" t="s">
        <v>23</v>
      </c>
      <c r="D3628" s="2">
        <v>44658.700971296297</v>
      </c>
      <c r="E3628" s="1" t="s">
        <v>8</v>
      </c>
      <c r="F3628" s="1">
        <v>2</v>
      </c>
      <c r="G3628" s="1">
        <v>0</v>
      </c>
      <c r="H3628" s="6">
        <f>INT(Query1[[#This Row],[EntryDateTime]])</f>
        <v>44658</v>
      </c>
      <c r="I3628" s="1">
        <f>IF(Query1[[#This Row],[ItemType]]="EVAP KIT SF GEN IV",Query1[[#This Row],[OrderQty]]+I3627,I3627)</f>
        <v>4535</v>
      </c>
      <c r="J3628" s="1">
        <f>IF(Query1[[#This Row],[ItemType]]="EVAP KIT UNIVERSAL",Query1[[#This Row],[OrderQty]]+J3627,J3627)</f>
        <v>1566</v>
      </c>
      <c r="K3628" s="1">
        <f>Query1[[#This Row],[SF Running Total]]+Query1[[#This Row],[UNIV Running Total]]</f>
        <v>6101</v>
      </c>
      <c r="L3628">
        <f>VLOOKUP(Query1[[#This Row],[Description]],'kits to boards'!$B$2:$E$156,2,FALSE)</f>
        <v>830083</v>
      </c>
      <c r="M3628">
        <f>VLOOKUP(Query1[[#This Row],[Description]],'kits to boards'!$B$2:$E$156,3,FALSE)</f>
        <v>0</v>
      </c>
      <c r="N3628">
        <f>VLOOKUP(Query1[[#This Row],[Description]],'kits to boards'!$B$2:$E$156,4,FALSE)</f>
        <v>0</v>
      </c>
      <c r="O3628" t="str">
        <f>CONCATENATE(Query1[[#This Row],[Description]]," - ",Query1[[#This Row],[MB1]]," - ",Query1[[#This Row],[MB2]]," - ",Query1[[#This Row],[MB3]])</f>
        <v>GEN IV MAGNUM EVAP KIT - 830083 - 0 - 0</v>
      </c>
    </row>
    <row r="3629" spans="1:15" x14ac:dyDescent="0.25">
      <c r="A3629" s="1">
        <v>918828</v>
      </c>
      <c r="B3629" s="1" t="s">
        <v>24</v>
      </c>
      <c r="C3629" s="1" t="s">
        <v>25</v>
      </c>
      <c r="D3629" s="2">
        <v>44658.701238888891</v>
      </c>
      <c r="E3629" s="1" t="s">
        <v>11</v>
      </c>
      <c r="F3629" s="1">
        <v>1</v>
      </c>
      <c r="G3629" s="1">
        <v>0</v>
      </c>
      <c r="H3629" s="6">
        <f>INT(Query1[[#This Row],[EntryDateTime]])</f>
        <v>44658</v>
      </c>
      <c r="I3629" s="1">
        <f>IF(Query1[[#This Row],[ItemType]]="EVAP KIT SF GEN IV",Query1[[#This Row],[OrderQty]]+I3628,I3628)</f>
        <v>4535</v>
      </c>
      <c r="J3629" s="1">
        <f>IF(Query1[[#This Row],[ItemType]]="EVAP KIT UNIVERSAL",Query1[[#This Row],[OrderQty]]+J3628,J3628)</f>
        <v>1567</v>
      </c>
      <c r="K3629" s="1">
        <f>Query1[[#This Row],[SF Running Total]]+Query1[[#This Row],[UNIV Running Total]]</f>
        <v>6102</v>
      </c>
      <c r="L3629">
        <f>VLOOKUP(Query1[[#This Row],[Description]],'kits to boards'!$B$2:$E$156,2,FALSE)</f>
        <v>830029</v>
      </c>
      <c r="M3629">
        <f>VLOOKUP(Query1[[#This Row],[Description]],'kits to boards'!$B$2:$E$156,3,FALSE)</f>
        <v>830030</v>
      </c>
      <c r="N3629">
        <f>VLOOKUP(Query1[[#This Row],[Description]],'kits to boards'!$B$2:$E$156,4,FALSE)</f>
        <v>0</v>
      </c>
      <c r="O3629" t="str">
        <f>CONCATENATE(Query1[[#This Row],[Description]]," - ",Query1[[#This Row],[MB1]]," - ",Query1[[#This Row],[MB2]]," - ",Query1[[#This Row],[MB3]])</f>
        <v>ComPac GEN II W/DEF - 830029 - 830030 - 0</v>
      </c>
    </row>
    <row r="3630" spans="1:15" x14ac:dyDescent="0.25">
      <c r="A3630" s="1">
        <v>918849</v>
      </c>
      <c r="B3630" s="1" t="s">
        <v>90</v>
      </c>
      <c r="C3630" s="1" t="s">
        <v>91</v>
      </c>
      <c r="D3630" s="2">
        <v>44659.328275497683</v>
      </c>
      <c r="E3630" s="1" t="s">
        <v>8</v>
      </c>
      <c r="F3630" s="1">
        <v>1</v>
      </c>
      <c r="G3630" s="1">
        <v>0</v>
      </c>
      <c r="H3630" s="6">
        <f>INT(Query1[[#This Row],[EntryDateTime]])</f>
        <v>44659</v>
      </c>
      <c r="I3630" s="1">
        <f>IF(Query1[[#This Row],[ItemType]]="EVAP KIT SF GEN IV",Query1[[#This Row],[OrderQty]]+I3629,I3629)</f>
        <v>4536</v>
      </c>
      <c r="J3630" s="1">
        <f>IF(Query1[[#This Row],[ItemType]]="EVAP KIT UNIVERSAL",Query1[[#This Row],[OrderQty]]+J3629,J3629)</f>
        <v>1567</v>
      </c>
      <c r="K3630" s="1">
        <f>Query1[[#This Row],[SF Running Total]]+Query1[[#This Row],[UNIV Running Total]]</f>
        <v>6103</v>
      </c>
      <c r="L3630">
        <f>VLOOKUP(Query1[[#This Row],[Description]],'kits to boards'!$B$2:$E$156,2,FALSE)</f>
        <v>830105</v>
      </c>
      <c r="M3630">
        <f>VLOOKUP(Query1[[#This Row],[Description]],'kits to boards'!$B$2:$E$156,3,FALSE)</f>
        <v>830106</v>
      </c>
      <c r="N3630">
        <f>VLOOKUP(Query1[[#This Row],[Description]],'kits to boards'!$B$2:$E$156,4,FALSE)</f>
        <v>0</v>
      </c>
      <c r="O3630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3631" spans="1:15" x14ac:dyDescent="0.25">
      <c r="A3631" s="1">
        <v>918851</v>
      </c>
      <c r="B3631" s="1" t="s">
        <v>60</v>
      </c>
      <c r="C3631" s="1" t="s">
        <v>61</v>
      </c>
      <c r="D3631" s="2">
        <v>44659.330341168985</v>
      </c>
      <c r="E3631" s="1" t="s">
        <v>8</v>
      </c>
      <c r="F3631" s="1">
        <v>1</v>
      </c>
      <c r="G3631" s="1">
        <v>0</v>
      </c>
      <c r="H3631" s="6">
        <f>INT(Query1[[#This Row],[EntryDateTime]])</f>
        <v>44659</v>
      </c>
      <c r="I3631" s="1">
        <f>IF(Query1[[#This Row],[ItemType]]="EVAP KIT SF GEN IV",Query1[[#This Row],[OrderQty]]+I3630,I3630)</f>
        <v>4537</v>
      </c>
      <c r="J3631" s="1">
        <f>IF(Query1[[#This Row],[ItemType]]="EVAP KIT UNIVERSAL",Query1[[#This Row],[OrderQty]]+J3630,J3630)</f>
        <v>1567</v>
      </c>
      <c r="K3631" s="1">
        <f>Query1[[#This Row],[SF Running Total]]+Query1[[#This Row],[UNIV Running Total]]</f>
        <v>6104</v>
      </c>
      <c r="L3631">
        <f>VLOOKUP(Query1[[#This Row],[Description]],'kits to boards'!$B$2:$E$156,2,FALSE)</f>
        <v>830062</v>
      </c>
      <c r="M3631">
        <f>VLOOKUP(Query1[[#This Row],[Description]],'kits to boards'!$B$2:$E$156,3,FALSE)</f>
        <v>0</v>
      </c>
      <c r="N3631">
        <f>VLOOKUP(Query1[[#This Row],[Description]],'kits to boards'!$B$2:$E$156,4,FALSE)</f>
        <v>0</v>
      </c>
      <c r="O3631" t="str">
        <f>CONCATENATE(Query1[[#This Row],[Description]]," - ",Query1[[#This Row],[MB1]]," - ",Query1[[#This Row],[MB2]]," - ",Query1[[#This Row],[MB3]])</f>
        <v>EVAP KIT 68-69 CHEVELLE WO AC - 830062 - 0 - 0</v>
      </c>
    </row>
    <row r="3632" spans="1:15" x14ac:dyDescent="0.25">
      <c r="A3632" s="1">
        <v>918852</v>
      </c>
      <c r="B3632" s="1" t="s">
        <v>110</v>
      </c>
      <c r="C3632" s="1" t="s">
        <v>111</v>
      </c>
      <c r="D3632" s="2">
        <v>44659.332717939818</v>
      </c>
      <c r="E3632" s="1" t="s">
        <v>8</v>
      </c>
      <c r="F3632" s="1">
        <v>1</v>
      </c>
      <c r="G3632" s="1">
        <v>0</v>
      </c>
      <c r="H3632" s="6">
        <f>INT(Query1[[#This Row],[EntryDateTime]])</f>
        <v>44659</v>
      </c>
      <c r="I3632" s="1">
        <f>IF(Query1[[#This Row],[ItemType]]="EVAP KIT SF GEN IV",Query1[[#This Row],[OrderQty]]+I3631,I3631)</f>
        <v>4538</v>
      </c>
      <c r="J3632" s="1">
        <f>IF(Query1[[#This Row],[ItemType]]="EVAP KIT UNIVERSAL",Query1[[#This Row],[OrderQty]]+J3631,J3631)</f>
        <v>1567</v>
      </c>
      <c r="K3632" s="1">
        <f>Query1[[#This Row],[SF Running Total]]+Query1[[#This Row],[UNIV Running Total]]</f>
        <v>6105</v>
      </c>
      <c r="L3632">
        <f>VLOOKUP(Query1[[#This Row],[Description]],'kits to boards'!$B$2:$E$156,2,FALSE)</f>
        <v>830053</v>
      </c>
      <c r="M3632">
        <f>VLOOKUP(Query1[[#This Row],[Description]],'kits to boards'!$B$2:$E$156,3,FALSE)</f>
        <v>0</v>
      </c>
      <c r="N3632">
        <f>VLOOKUP(Query1[[#This Row],[Description]],'kits to boards'!$B$2:$E$156,4,FALSE)</f>
        <v>0</v>
      </c>
      <c r="O3632" t="str">
        <f>CONCATENATE(Query1[[#This Row],[Description]]," - ",Query1[[#This Row],[MB1]]," - ",Query1[[#This Row],[MB2]]," - ",Query1[[#This Row],[MB3]])</f>
        <v>EVAP KIT 65-66 FORD F-100 - 830053 - 0 - 0</v>
      </c>
    </row>
    <row r="3633" spans="1:15" x14ac:dyDescent="0.25">
      <c r="A3633" s="1">
        <v>917467</v>
      </c>
      <c r="B3633" s="1" t="s">
        <v>56</v>
      </c>
      <c r="C3633" s="1" t="s">
        <v>57</v>
      </c>
      <c r="D3633" s="2">
        <v>44659.338823495367</v>
      </c>
      <c r="E3633" s="1" t="s">
        <v>8</v>
      </c>
      <c r="F3633" s="1">
        <v>1</v>
      </c>
      <c r="G3633" s="1">
        <v>0</v>
      </c>
      <c r="H3633" s="6">
        <f>INT(Query1[[#This Row],[EntryDateTime]])</f>
        <v>44659</v>
      </c>
      <c r="I3633" s="1">
        <f>IF(Query1[[#This Row],[ItemType]]="EVAP KIT SF GEN IV",Query1[[#This Row],[OrderQty]]+I3632,I3632)</f>
        <v>4539</v>
      </c>
      <c r="J3633" s="1">
        <f>IF(Query1[[#This Row],[ItemType]]="EVAP KIT UNIVERSAL",Query1[[#This Row],[OrderQty]]+J3632,J3632)</f>
        <v>1567</v>
      </c>
      <c r="K3633" s="1">
        <f>Query1[[#This Row],[SF Running Total]]+Query1[[#This Row],[UNIV Running Total]]</f>
        <v>6106</v>
      </c>
      <c r="L3633">
        <f>VLOOKUP(Query1[[#This Row],[Description]],'kits to boards'!$B$2:$E$156,2,FALSE)</f>
        <v>830011</v>
      </c>
      <c r="M3633">
        <f>VLOOKUP(Query1[[#This Row],[Description]],'kits to boards'!$B$2:$E$156,3,FALSE)</f>
        <v>0</v>
      </c>
      <c r="N3633">
        <f>VLOOKUP(Query1[[#This Row],[Description]],'kits to boards'!$B$2:$E$156,4,FALSE)</f>
        <v>0</v>
      </c>
      <c r="O3633" t="str">
        <f>CONCATENATE(Query1[[#This Row],[Description]]," - ",Query1[[#This Row],[MB1]]," - ",Query1[[#This Row],[MB2]]," - ",Query1[[#This Row],[MB3]])</f>
        <v>EVAP KIT 70-72 CHEVELLE W/AC - 830011 - 0 - 0</v>
      </c>
    </row>
    <row r="3634" spans="1:15" x14ac:dyDescent="0.25">
      <c r="A3634" s="1">
        <v>918859</v>
      </c>
      <c r="B3634" s="1" t="s">
        <v>46</v>
      </c>
      <c r="C3634" s="1" t="s">
        <v>47</v>
      </c>
      <c r="D3634" s="2">
        <v>44659.358719212963</v>
      </c>
      <c r="E3634" s="1" t="s">
        <v>8</v>
      </c>
      <c r="F3634" s="1">
        <v>1</v>
      </c>
      <c r="G3634" s="1">
        <v>0</v>
      </c>
      <c r="H3634" s="6">
        <f>INT(Query1[[#This Row],[EntryDateTime]])</f>
        <v>44659</v>
      </c>
      <c r="I3634" s="1">
        <f>IF(Query1[[#This Row],[ItemType]]="EVAP KIT SF GEN IV",Query1[[#This Row],[OrderQty]]+I3633,I3633)</f>
        <v>4540</v>
      </c>
      <c r="J3634" s="1">
        <f>IF(Query1[[#This Row],[ItemType]]="EVAP KIT UNIVERSAL",Query1[[#This Row],[OrderQty]]+J3633,J3633)</f>
        <v>1567</v>
      </c>
      <c r="K3634" s="1">
        <f>Query1[[#This Row],[SF Running Total]]+Query1[[#This Row],[UNIV Running Total]]</f>
        <v>6107</v>
      </c>
      <c r="L3634">
        <f>VLOOKUP(Query1[[#This Row],[Description]],'kits to boards'!$B$2:$E$156,2,FALSE)</f>
        <v>830018</v>
      </c>
      <c r="M3634">
        <f>VLOOKUP(Query1[[#This Row],[Description]],'kits to boards'!$B$2:$E$156,3,FALSE)</f>
        <v>0</v>
      </c>
      <c r="N3634">
        <f>VLOOKUP(Query1[[#This Row],[Description]],'kits to boards'!$B$2:$E$156,4,FALSE)</f>
        <v>0</v>
      </c>
      <c r="O3634" t="str">
        <f>CONCATENATE(Query1[[#This Row],[Description]]," - ",Query1[[#This Row],[MB1]]," - ",Query1[[#This Row],[MB2]]," - ",Query1[[#This Row],[MB3]])</f>
        <v>EVAP KIT 68-72 FORD P-UP F-100 - 830018 - 0 - 0</v>
      </c>
    </row>
    <row r="3635" spans="1:15" x14ac:dyDescent="0.25">
      <c r="A3635" s="1">
        <v>918860</v>
      </c>
      <c r="B3635" s="1" t="s">
        <v>194</v>
      </c>
      <c r="C3635" s="1" t="s">
        <v>195</v>
      </c>
      <c r="D3635" s="2">
        <v>44659.359785381945</v>
      </c>
      <c r="E3635" s="1" t="s">
        <v>8</v>
      </c>
      <c r="F3635" s="1">
        <v>1</v>
      </c>
      <c r="G3635" s="1">
        <v>0</v>
      </c>
      <c r="H3635" s="6">
        <f>INT(Query1[[#This Row],[EntryDateTime]])</f>
        <v>44659</v>
      </c>
      <c r="I3635" s="1">
        <f>IF(Query1[[#This Row],[ItemType]]="EVAP KIT SF GEN IV",Query1[[#This Row],[OrderQty]]+I3634,I3634)</f>
        <v>4541</v>
      </c>
      <c r="J3635" s="1">
        <f>IF(Query1[[#This Row],[ItemType]]="EVAP KIT UNIVERSAL",Query1[[#This Row],[OrderQty]]+J3634,J3634)</f>
        <v>1567</v>
      </c>
      <c r="K3635" s="1">
        <f>Query1[[#This Row],[SF Running Total]]+Query1[[#This Row],[UNIV Running Total]]</f>
        <v>6108</v>
      </c>
      <c r="L3635">
        <f>VLOOKUP(Query1[[#This Row],[Description]],'kits to boards'!$B$2:$E$156,2,FALSE)</f>
        <v>830103</v>
      </c>
      <c r="M3635">
        <f>VLOOKUP(Query1[[#This Row],[Description]],'kits to boards'!$B$2:$E$156,3,FALSE)</f>
        <v>0</v>
      </c>
      <c r="N3635">
        <f>VLOOKUP(Query1[[#This Row],[Description]],'kits to boards'!$B$2:$E$156,4,FALSE)</f>
        <v>0</v>
      </c>
      <c r="O3635" t="str">
        <f>CONCATENATE(Query1[[#This Row],[Description]]," - ",Query1[[#This Row],[MB1]]," - ",Query1[[#This Row],[MB2]]," - ",Query1[[#This Row],[MB3]])</f>
        <v>EVAP KIT 78-82 VETTE W/AC - 830103 - 0 - 0</v>
      </c>
    </row>
    <row r="3636" spans="1:15" x14ac:dyDescent="0.25">
      <c r="A3636" s="1">
        <v>918863</v>
      </c>
      <c r="B3636" s="1" t="s">
        <v>216</v>
      </c>
      <c r="C3636" s="1" t="s">
        <v>217</v>
      </c>
      <c r="D3636" s="2">
        <v>44659.368780173609</v>
      </c>
      <c r="E3636" s="1" t="s">
        <v>8</v>
      </c>
      <c r="F3636" s="1">
        <v>1</v>
      </c>
      <c r="G3636" s="1">
        <v>0</v>
      </c>
      <c r="H3636" s="6">
        <f>INT(Query1[[#This Row],[EntryDateTime]])</f>
        <v>44659</v>
      </c>
      <c r="I3636" s="1">
        <f>IF(Query1[[#This Row],[ItemType]]="EVAP KIT SF GEN IV",Query1[[#This Row],[OrderQty]]+I3635,I3635)</f>
        <v>4542</v>
      </c>
      <c r="J3636" s="1">
        <f>IF(Query1[[#This Row],[ItemType]]="EVAP KIT UNIVERSAL",Query1[[#This Row],[OrderQty]]+J3635,J3635)</f>
        <v>1567</v>
      </c>
      <c r="K3636" s="1">
        <f>Query1[[#This Row],[SF Running Total]]+Query1[[#This Row],[UNIV Running Total]]</f>
        <v>6109</v>
      </c>
      <c r="L3636">
        <f>VLOOKUP(Query1[[#This Row],[Description]],'kits to boards'!$B$2:$E$156,2,FALSE)</f>
        <v>830072</v>
      </c>
      <c r="M3636">
        <f>VLOOKUP(Query1[[#This Row],[Description]],'kits to boards'!$B$2:$E$156,3,FALSE)</f>
        <v>830075</v>
      </c>
      <c r="N3636">
        <f>VLOOKUP(Query1[[#This Row],[Description]],'kits to boards'!$B$2:$E$156,4,FALSE)</f>
        <v>0</v>
      </c>
      <c r="O3636" t="str">
        <f>CONCATENATE(Query1[[#This Row],[Description]]," - ",Query1[[#This Row],[MB1]]," - ",Query1[[#This Row],[MB2]]," - ",Query1[[#This Row],[MB3]])</f>
        <v>EVAP KIT 69-70 MOPAR B BODY W/AC - 830072 - 830075 - 0</v>
      </c>
    </row>
    <row r="3637" spans="1:15" x14ac:dyDescent="0.25">
      <c r="A3637" s="1">
        <v>918875</v>
      </c>
      <c r="B3637" s="1" t="s">
        <v>160</v>
      </c>
      <c r="C3637" s="1" t="s">
        <v>161</v>
      </c>
      <c r="D3637" s="2">
        <v>44659.38749641204</v>
      </c>
      <c r="E3637" s="1" t="s">
        <v>8</v>
      </c>
      <c r="F3637" s="1">
        <v>1</v>
      </c>
      <c r="G3637" s="1">
        <v>0</v>
      </c>
      <c r="H3637" s="6">
        <f>INT(Query1[[#This Row],[EntryDateTime]])</f>
        <v>44659</v>
      </c>
      <c r="I3637" s="1">
        <f>IF(Query1[[#This Row],[ItemType]]="EVAP KIT SF GEN IV",Query1[[#This Row],[OrderQty]]+I3636,I3636)</f>
        <v>4543</v>
      </c>
      <c r="J3637" s="1">
        <f>IF(Query1[[#This Row],[ItemType]]="EVAP KIT UNIVERSAL",Query1[[#This Row],[OrderQty]]+J3636,J3636)</f>
        <v>1567</v>
      </c>
      <c r="K3637" s="1">
        <f>Query1[[#This Row],[SF Running Total]]+Query1[[#This Row],[UNIV Running Total]]</f>
        <v>6110</v>
      </c>
      <c r="L3637">
        <f>VLOOKUP(Query1[[#This Row],[Description]],'kits to boards'!$B$2:$E$156,2,FALSE)</f>
        <v>830083</v>
      </c>
      <c r="M3637">
        <f>VLOOKUP(Query1[[#This Row],[Description]],'kits to boards'!$B$2:$E$156,3,FALSE)</f>
        <v>0</v>
      </c>
      <c r="N3637">
        <f>VLOOKUP(Query1[[#This Row],[Description]],'kits to boards'!$B$2:$E$156,4,FALSE)</f>
        <v>0</v>
      </c>
      <c r="O3637" t="str">
        <f>CONCATENATE(Query1[[#This Row],[Description]]," - ",Query1[[#This Row],[MB1]]," - ",Query1[[#This Row],[MB2]]," - ",Query1[[#This Row],[MB3]])</f>
        <v>EVAP KIT 70-74 CHALNGR/CUDA WO AC - 830083 - 0 - 0</v>
      </c>
    </row>
    <row r="3638" spans="1:15" x14ac:dyDescent="0.25">
      <c r="A3638" s="1">
        <v>918881</v>
      </c>
      <c r="B3638" s="1" t="s">
        <v>140</v>
      </c>
      <c r="C3638" s="1" t="s">
        <v>141</v>
      </c>
      <c r="D3638" s="2">
        <v>44659.409792511571</v>
      </c>
      <c r="E3638" s="1" t="s">
        <v>8</v>
      </c>
      <c r="F3638" s="1">
        <v>1</v>
      </c>
      <c r="G3638" s="1">
        <v>0</v>
      </c>
      <c r="H3638" s="6">
        <f>INT(Query1[[#This Row],[EntryDateTime]])</f>
        <v>44659</v>
      </c>
      <c r="I3638" s="1">
        <f>IF(Query1[[#This Row],[ItemType]]="EVAP KIT SF GEN IV",Query1[[#This Row],[OrderQty]]+I3637,I3637)</f>
        <v>4544</v>
      </c>
      <c r="J3638" s="1">
        <f>IF(Query1[[#This Row],[ItemType]]="EVAP KIT UNIVERSAL",Query1[[#This Row],[OrderQty]]+J3637,J3637)</f>
        <v>1567</v>
      </c>
      <c r="K3638" s="1">
        <f>Query1[[#This Row],[SF Running Total]]+Query1[[#This Row],[UNIV Running Total]]</f>
        <v>6111</v>
      </c>
      <c r="L3638">
        <f>VLOOKUP(Query1[[#This Row],[Description]],'kits to boards'!$B$2:$E$156,2,FALSE)</f>
        <v>830066</v>
      </c>
      <c r="M3638">
        <f>VLOOKUP(Query1[[#This Row],[Description]],'kits to boards'!$B$2:$E$156,3,FALSE)</f>
        <v>0</v>
      </c>
      <c r="N3638">
        <f>VLOOKUP(Query1[[#This Row],[Description]],'kits to boards'!$B$2:$E$156,4,FALSE)</f>
        <v>0</v>
      </c>
      <c r="O3638" t="str">
        <f>CONCATENATE(Query1[[#This Row],[Description]]," - ",Query1[[#This Row],[MB1]]," - ",Query1[[#This Row],[MB2]]," - ",Query1[[#This Row],[MB3]])</f>
        <v>EVAP KIT 60-63 CHEV P-UP WO AC - 830066 - 0 - 0</v>
      </c>
    </row>
    <row r="3639" spans="1:15" x14ac:dyDescent="0.25">
      <c r="A3639" s="1">
        <v>918885</v>
      </c>
      <c r="B3639" s="1" t="s">
        <v>20</v>
      </c>
      <c r="C3639" s="1" t="s">
        <v>21</v>
      </c>
      <c r="D3639" s="2">
        <v>44659.414289849534</v>
      </c>
      <c r="E3639" s="1" t="s">
        <v>11</v>
      </c>
      <c r="F3639" s="1">
        <v>5</v>
      </c>
      <c r="G3639" s="1">
        <v>0</v>
      </c>
      <c r="H3639" s="6">
        <f>INT(Query1[[#This Row],[EntryDateTime]])</f>
        <v>44659</v>
      </c>
      <c r="I3639" s="1">
        <f>IF(Query1[[#This Row],[ItemType]]="EVAP KIT SF GEN IV",Query1[[#This Row],[OrderQty]]+I3638,I3638)</f>
        <v>4544</v>
      </c>
      <c r="J3639" s="1">
        <f>IF(Query1[[#This Row],[ItemType]]="EVAP KIT UNIVERSAL",Query1[[#This Row],[OrderQty]]+J3638,J3638)</f>
        <v>1572</v>
      </c>
      <c r="K3639" s="1">
        <f>Query1[[#This Row],[SF Running Total]]+Query1[[#This Row],[UNIV Running Total]]</f>
        <v>6116</v>
      </c>
      <c r="L3639">
        <f>VLOOKUP(Query1[[#This Row],[Description]],'kits to boards'!$B$2:$E$156,2,FALSE)</f>
        <v>830102</v>
      </c>
      <c r="M3639">
        <f>VLOOKUP(Query1[[#This Row],[Description]],'kits to boards'!$B$2:$E$156,3,FALSE)</f>
        <v>0</v>
      </c>
      <c r="N3639">
        <f>VLOOKUP(Query1[[#This Row],[Description]],'kits to boards'!$B$2:$E$156,4,FALSE)</f>
        <v>0</v>
      </c>
      <c r="O3639" t="str">
        <f>CONCATENATE(Query1[[#This Row],[Description]]," - ",Query1[[#This Row],[MB1]]," - ",Query1[[#This Row],[MB2]]," - ",Query1[[#This Row],[MB3]])</f>
        <v>SUPER GEN II W/DEF - 830102 - 0 - 0</v>
      </c>
    </row>
    <row r="3640" spans="1:15" x14ac:dyDescent="0.25">
      <c r="A3640" s="1">
        <v>918890</v>
      </c>
      <c r="B3640" s="1" t="s">
        <v>42</v>
      </c>
      <c r="C3640" s="1" t="s">
        <v>43</v>
      </c>
      <c r="D3640" s="2">
        <v>44659.441895949072</v>
      </c>
      <c r="E3640" s="1" t="s">
        <v>8</v>
      </c>
      <c r="F3640" s="1">
        <v>1</v>
      </c>
      <c r="G3640" s="1">
        <v>0</v>
      </c>
      <c r="H3640" s="6">
        <f>INT(Query1[[#This Row],[EntryDateTime]])</f>
        <v>44659</v>
      </c>
      <c r="I3640" s="1">
        <f>IF(Query1[[#This Row],[ItemType]]="EVAP KIT SF GEN IV",Query1[[#This Row],[OrderQty]]+I3639,I3639)</f>
        <v>4545</v>
      </c>
      <c r="J3640" s="1">
        <f>IF(Query1[[#This Row],[ItemType]]="EVAP KIT UNIVERSAL",Query1[[#This Row],[OrderQty]]+J3639,J3639)</f>
        <v>1572</v>
      </c>
      <c r="K3640" s="1">
        <f>Query1[[#This Row],[SF Running Total]]+Query1[[#This Row],[UNIV Running Total]]</f>
        <v>6117</v>
      </c>
      <c r="L3640">
        <f>VLOOKUP(Query1[[#This Row],[Description]],'kits to boards'!$B$2:$E$156,2,FALSE)</f>
        <v>830014</v>
      </c>
      <c r="M3640">
        <f>VLOOKUP(Query1[[#This Row],[Description]],'kits to boards'!$B$2:$E$156,3,FALSE)</f>
        <v>0</v>
      </c>
      <c r="N3640">
        <f>VLOOKUP(Query1[[#This Row],[Description]],'kits to boards'!$B$2:$E$156,4,FALSE)</f>
        <v>0</v>
      </c>
      <c r="O3640" t="str">
        <f>CONCATENATE(Query1[[#This Row],[Description]]," - ",Query1[[#This Row],[MB1]]," - ",Query1[[#This Row],[MB2]]," - ",Query1[[#This Row],[MB3]])</f>
        <v>EVAP KIT 67-72 CHEV P-UP WO AC - 830014 - 0 - 0</v>
      </c>
    </row>
    <row r="3641" spans="1:15" x14ac:dyDescent="0.25">
      <c r="A3641" s="1">
        <v>918571</v>
      </c>
      <c r="B3641" s="1" t="s">
        <v>96</v>
      </c>
      <c r="C3641" s="1" t="s">
        <v>97</v>
      </c>
      <c r="D3641" s="2">
        <v>44659.44348159722</v>
      </c>
      <c r="E3641" s="1" t="s">
        <v>8</v>
      </c>
      <c r="F3641" s="1">
        <v>1</v>
      </c>
      <c r="G3641" s="1">
        <v>0</v>
      </c>
      <c r="H3641" s="6">
        <f>INT(Query1[[#This Row],[EntryDateTime]])</f>
        <v>44659</v>
      </c>
      <c r="I3641" s="1">
        <f>IF(Query1[[#This Row],[ItemType]]="EVAP KIT SF GEN IV",Query1[[#This Row],[OrderQty]]+I3640,I3640)</f>
        <v>4546</v>
      </c>
      <c r="J3641" s="1">
        <f>IF(Query1[[#This Row],[ItemType]]="EVAP KIT UNIVERSAL",Query1[[#This Row],[OrderQty]]+J3640,J3640)</f>
        <v>1572</v>
      </c>
      <c r="K3641" s="1">
        <f>Query1[[#This Row],[SF Running Total]]+Query1[[#This Row],[UNIV Running Total]]</f>
        <v>6118</v>
      </c>
      <c r="L3641">
        <f>VLOOKUP(Query1[[#This Row],[Description]],'kits to boards'!$B$2:$E$156,2,FALSE)</f>
        <v>830004</v>
      </c>
      <c r="M3641">
        <f>VLOOKUP(Query1[[#This Row],[Description]],'kits to boards'!$B$2:$E$156,3,FALSE)</f>
        <v>0</v>
      </c>
      <c r="N3641">
        <f>VLOOKUP(Query1[[#This Row],[Description]],'kits to boards'!$B$2:$E$156,4,FALSE)</f>
        <v>0</v>
      </c>
      <c r="O3641" t="str">
        <f>CONCATENATE(Query1[[#This Row],[Description]]," - ",Query1[[#This Row],[MB1]]," - ",Query1[[#This Row],[MB2]]," - ",Query1[[#This Row],[MB3]])</f>
        <v>EVAP KIT 81-87 CHEV P-UP W/AC - 830004 - 0 - 0</v>
      </c>
    </row>
    <row r="3642" spans="1:15" x14ac:dyDescent="0.25">
      <c r="A3642" s="1">
        <v>918896</v>
      </c>
      <c r="B3642" s="1" t="s">
        <v>66</v>
      </c>
      <c r="C3642" s="1" t="s">
        <v>67</v>
      </c>
      <c r="D3642" s="2">
        <v>44659.461465196757</v>
      </c>
      <c r="E3642" s="1" t="s">
        <v>8</v>
      </c>
      <c r="F3642" s="1">
        <v>1</v>
      </c>
      <c r="G3642" s="1">
        <v>0</v>
      </c>
      <c r="H3642" s="6">
        <f>INT(Query1[[#This Row],[EntryDateTime]])</f>
        <v>44659</v>
      </c>
      <c r="I3642" s="1">
        <f>IF(Query1[[#This Row],[ItemType]]="EVAP KIT SF GEN IV",Query1[[#This Row],[OrderQty]]+I3641,I3641)</f>
        <v>4547</v>
      </c>
      <c r="J3642" s="1">
        <f>IF(Query1[[#This Row],[ItemType]]="EVAP KIT UNIVERSAL",Query1[[#This Row],[OrderQty]]+J3641,J3641)</f>
        <v>1572</v>
      </c>
      <c r="K3642" s="1">
        <f>Query1[[#This Row],[SF Running Total]]+Query1[[#This Row],[UNIV Running Total]]</f>
        <v>6119</v>
      </c>
      <c r="L3642">
        <f>VLOOKUP(Query1[[#This Row],[Description]],'kits to boards'!$B$2:$E$156,2,FALSE)</f>
        <v>830060</v>
      </c>
      <c r="M3642">
        <f>VLOOKUP(Query1[[#This Row],[Description]],'kits to boards'!$B$2:$E$156,3,FALSE)</f>
        <v>0</v>
      </c>
      <c r="N3642">
        <f>VLOOKUP(Query1[[#This Row],[Description]],'kits to boards'!$B$2:$E$156,4,FALSE)</f>
        <v>0</v>
      </c>
      <c r="O3642" t="str">
        <f>CONCATENATE(Query1[[#This Row],[Description]]," - ",Query1[[#This Row],[MB1]]," - ",Query1[[#This Row],[MB2]]," - ",Query1[[#This Row],[MB3]])</f>
        <v>EVAP KIT 66-67 CHEVELLE WO AC - 830060 - 0 - 0</v>
      </c>
    </row>
    <row r="3643" spans="1:15" x14ac:dyDescent="0.25">
      <c r="A3643" s="1">
        <v>918824</v>
      </c>
      <c r="B3643" s="1" t="s">
        <v>92</v>
      </c>
      <c r="C3643" s="1" t="s">
        <v>93</v>
      </c>
      <c r="D3643" s="2">
        <v>44659.468925034722</v>
      </c>
      <c r="E3643" s="1" t="s">
        <v>8</v>
      </c>
      <c r="F3643" s="1">
        <v>1</v>
      </c>
      <c r="G3643" s="1">
        <v>0</v>
      </c>
      <c r="H3643" s="6">
        <f>INT(Query1[[#This Row],[EntryDateTime]])</f>
        <v>44659</v>
      </c>
      <c r="I3643" s="1">
        <f>IF(Query1[[#This Row],[ItemType]]="EVAP KIT SF GEN IV",Query1[[#This Row],[OrderQty]]+I3642,I3642)</f>
        <v>4548</v>
      </c>
      <c r="J3643" s="1">
        <f>IF(Query1[[#This Row],[ItemType]]="EVAP KIT UNIVERSAL",Query1[[#This Row],[OrderQty]]+J3642,J3642)</f>
        <v>1572</v>
      </c>
      <c r="K3643" s="1">
        <f>Query1[[#This Row],[SF Running Total]]+Query1[[#This Row],[UNIV Running Total]]</f>
        <v>6120</v>
      </c>
      <c r="L3643">
        <f>VLOOKUP(Query1[[#This Row],[Description]],'kits to boards'!$B$2:$E$156,2,FALSE)</f>
        <v>830063</v>
      </c>
      <c r="M3643">
        <f>VLOOKUP(Query1[[#This Row],[Description]],'kits to boards'!$B$2:$E$156,3,FALSE)</f>
        <v>0</v>
      </c>
      <c r="N3643">
        <f>VLOOKUP(Query1[[#This Row],[Description]],'kits to boards'!$B$2:$E$156,4,FALSE)</f>
        <v>0</v>
      </c>
      <c r="O3643" t="str">
        <f>CONCATENATE(Query1[[#This Row],[Description]]," - ",Query1[[#This Row],[MB1]]," - ",Query1[[#This Row],[MB2]]," - ",Query1[[#This Row],[MB3]])</f>
        <v>EVAP KIT 50-53 CHEV P-UP GEN IV - 830063 - 0 - 0</v>
      </c>
    </row>
    <row r="3644" spans="1:15" x14ac:dyDescent="0.25">
      <c r="A3644" s="1">
        <v>918898</v>
      </c>
      <c r="B3644" s="1" t="s">
        <v>26</v>
      </c>
      <c r="C3644" s="1" t="s">
        <v>27</v>
      </c>
      <c r="D3644" s="2">
        <v>44659.469012002315</v>
      </c>
      <c r="E3644" s="1" t="s">
        <v>8</v>
      </c>
      <c r="F3644" s="1">
        <v>1</v>
      </c>
      <c r="G3644" s="1">
        <v>0</v>
      </c>
      <c r="H3644" s="6">
        <f>INT(Query1[[#This Row],[EntryDateTime]])</f>
        <v>44659</v>
      </c>
      <c r="I3644" s="1">
        <f>IF(Query1[[#This Row],[ItemType]]="EVAP KIT SF GEN IV",Query1[[#This Row],[OrderQty]]+I3643,I3643)</f>
        <v>4549</v>
      </c>
      <c r="J3644" s="1">
        <f>IF(Query1[[#This Row],[ItemType]]="EVAP KIT UNIVERSAL",Query1[[#This Row],[OrderQty]]+J3643,J3643)</f>
        <v>1572</v>
      </c>
      <c r="K3644" s="1">
        <f>Query1[[#This Row],[SF Running Total]]+Query1[[#This Row],[UNIV Running Total]]</f>
        <v>6121</v>
      </c>
      <c r="L3644">
        <f>VLOOKUP(Query1[[#This Row],[Description]],'kits to boards'!$B$2:$E$156,2,FALSE)</f>
        <v>830013</v>
      </c>
      <c r="M3644">
        <f>VLOOKUP(Query1[[#This Row],[Description]],'kits to boards'!$B$2:$E$156,3,FALSE)</f>
        <v>0</v>
      </c>
      <c r="N3644">
        <f>VLOOKUP(Query1[[#This Row],[Description]],'kits to boards'!$B$2:$E$156,4,FALSE)</f>
        <v>0</v>
      </c>
      <c r="O3644" t="str">
        <f>CONCATENATE(Query1[[#This Row],[Description]]," - ",Query1[[#This Row],[MB1]]," - ",Query1[[#This Row],[MB2]]," - ",Query1[[#This Row],[MB3]])</f>
        <v>EVAP KIT 67-72 CHEV P-UP W/AC - 830013 - 0 - 0</v>
      </c>
    </row>
    <row r="3645" spans="1:15" x14ac:dyDescent="0.25">
      <c r="A3645" s="1">
        <v>918899</v>
      </c>
      <c r="B3645" s="1" t="s">
        <v>44</v>
      </c>
      <c r="C3645" s="1" t="s">
        <v>45</v>
      </c>
      <c r="D3645" s="2">
        <v>44659.48219505787</v>
      </c>
      <c r="E3645" s="1" t="s">
        <v>8</v>
      </c>
      <c r="F3645" s="1">
        <v>1</v>
      </c>
      <c r="G3645" s="1">
        <v>0</v>
      </c>
      <c r="H3645" s="6">
        <f>INT(Query1[[#This Row],[EntryDateTime]])</f>
        <v>44659</v>
      </c>
      <c r="I3645" s="1">
        <f>IF(Query1[[#This Row],[ItemType]]="EVAP KIT SF GEN IV",Query1[[#This Row],[OrderQty]]+I3644,I3644)</f>
        <v>4550</v>
      </c>
      <c r="J3645" s="1">
        <f>IF(Query1[[#This Row],[ItemType]]="EVAP KIT UNIVERSAL",Query1[[#This Row],[OrderQty]]+J3644,J3644)</f>
        <v>1572</v>
      </c>
      <c r="K3645" s="1">
        <f>Query1[[#This Row],[SF Running Total]]+Query1[[#This Row],[UNIV Running Total]]</f>
        <v>6122</v>
      </c>
      <c r="L3645">
        <f>VLOOKUP(Query1[[#This Row],[Description]],'kits to boards'!$B$2:$E$156,2,FALSE)</f>
        <v>830085</v>
      </c>
      <c r="M3645">
        <f>VLOOKUP(Query1[[#This Row],[Description]],'kits to boards'!$B$2:$E$156,3,FALSE)</f>
        <v>0</v>
      </c>
      <c r="N3645">
        <f>VLOOKUP(Query1[[#This Row],[Description]],'kits to boards'!$B$2:$E$156,4,FALSE)</f>
        <v>0</v>
      </c>
      <c r="O3645" t="str">
        <f>CONCATENATE(Query1[[#This Row],[Description]]," - ",Query1[[#This Row],[MB1]]," - ",Query1[[#This Row],[MB2]]," - ",Query1[[#This Row],[MB3]])</f>
        <v>EVAP KIT 66-77 BRONCO - 830085 - 0 - 0</v>
      </c>
    </row>
    <row r="3646" spans="1:15" x14ac:dyDescent="0.25">
      <c r="A3646" s="1">
        <v>918899</v>
      </c>
      <c r="B3646" s="1" t="s">
        <v>48</v>
      </c>
      <c r="C3646" s="1" t="s">
        <v>49</v>
      </c>
      <c r="D3646" s="2">
        <v>44659.482372025464</v>
      </c>
      <c r="E3646" s="1" t="s">
        <v>8</v>
      </c>
      <c r="F3646" s="1">
        <v>2</v>
      </c>
      <c r="G3646" s="1">
        <v>0</v>
      </c>
      <c r="H3646" s="6">
        <f>INT(Query1[[#This Row],[EntryDateTime]])</f>
        <v>44659</v>
      </c>
      <c r="I3646" s="1">
        <f>IF(Query1[[#This Row],[ItemType]]="EVAP KIT SF GEN IV",Query1[[#This Row],[OrderQty]]+I3645,I3645)</f>
        <v>4552</v>
      </c>
      <c r="J3646" s="1">
        <f>IF(Query1[[#This Row],[ItemType]]="EVAP KIT UNIVERSAL",Query1[[#This Row],[OrderQty]]+J3645,J3645)</f>
        <v>1572</v>
      </c>
      <c r="K3646" s="1">
        <f>Query1[[#This Row],[SF Running Total]]+Query1[[#This Row],[UNIV Running Total]]</f>
        <v>6124</v>
      </c>
      <c r="L3646">
        <f>VLOOKUP(Query1[[#This Row],[Description]],'kits to boards'!$B$2:$E$156,2,FALSE)</f>
        <v>830015</v>
      </c>
      <c r="M3646">
        <f>VLOOKUP(Query1[[#This Row],[Description]],'kits to boards'!$B$2:$E$156,3,FALSE)</f>
        <v>0</v>
      </c>
      <c r="N3646">
        <f>VLOOKUP(Query1[[#This Row],[Description]],'kits to boards'!$B$2:$E$156,4,FALSE)</f>
        <v>0</v>
      </c>
      <c r="O3646" t="str">
        <f>CONCATENATE(Query1[[#This Row],[Description]]," - ",Query1[[#This Row],[MB1]]," - ",Query1[[#This Row],[MB2]]," - ",Query1[[#This Row],[MB3]])</f>
        <v>EVAP KIT 64-66 CHEV P-UP WO AC W/DELX - 830015 - 0 - 0</v>
      </c>
    </row>
    <row r="3647" spans="1:15" x14ac:dyDescent="0.25">
      <c r="A3647" s="1">
        <v>918899</v>
      </c>
      <c r="B3647" s="1" t="s">
        <v>78</v>
      </c>
      <c r="C3647" s="1" t="s">
        <v>79</v>
      </c>
      <c r="D3647" s="2">
        <v>44659.482745752313</v>
      </c>
      <c r="E3647" s="1" t="s">
        <v>11</v>
      </c>
      <c r="F3647" s="1">
        <v>2</v>
      </c>
      <c r="G3647" s="1">
        <v>0</v>
      </c>
      <c r="H3647" s="6">
        <f>INT(Query1[[#This Row],[EntryDateTime]])</f>
        <v>44659</v>
      </c>
      <c r="I3647" s="1">
        <f>IF(Query1[[#This Row],[ItemType]]="EVAP KIT SF GEN IV",Query1[[#This Row],[OrderQty]]+I3646,I3646)</f>
        <v>4552</v>
      </c>
      <c r="J3647" s="1">
        <f>IF(Query1[[#This Row],[ItemType]]="EVAP KIT UNIVERSAL",Query1[[#This Row],[OrderQty]]+J3646,J3646)</f>
        <v>1574</v>
      </c>
      <c r="K3647" s="1">
        <f>Query1[[#This Row],[SF Running Total]]+Query1[[#This Row],[UNIV Running Total]]</f>
        <v>6126</v>
      </c>
      <c r="L3647">
        <f>VLOOKUP(Query1[[#This Row],[Description]],'kits to boards'!$B$2:$E$156,2,FALSE)</f>
        <v>0</v>
      </c>
      <c r="M3647">
        <f>VLOOKUP(Query1[[#This Row],[Description]],'kits to boards'!$B$2:$E$156,3,FALSE)</f>
        <v>0</v>
      </c>
      <c r="N3647">
        <f>VLOOKUP(Query1[[#This Row],[Description]],'kits to boards'!$B$2:$E$156,4,FALSE)</f>
        <v>0</v>
      </c>
      <c r="O3647" t="str">
        <f>CONCATENATE(Query1[[#This Row],[Description]]," - ",Query1[[#This Row],[MB1]]," - ",Query1[[#This Row],[MB2]]," - ",Query1[[#This Row],[MB3]])</f>
        <v>MARK IV STYLELINE UNDERDASH EVAP - 0 - 0 - 0</v>
      </c>
    </row>
    <row r="3648" spans="1:15" x14ac:dyDescent="0.25">
      <c r="A3648" s="1">
        <v>916596</v>
      </c>
      <c r="B3648" s="1" t="s">
        <v>66</v>
      </c>
      <c r="C3648" s="1" t="s">
        <v>67</v>
      </c>
      <c r="D3648" s="2">
        <v>44659.488512268515</v>
      </c>
      <c r="E3648" s="1" t="s">
        <v>8</v>
      </c>
      <c r="F3648" s="1">
        <v>1</v>
      </c>
      <c r="G3648" s="1">
        <v>0</v>
      </c>
      <c r="H3648" s="6">
        <f>INT(Query1[[#This Row],[EntryDateTime]])</f>
        <v>44659</v>
      </c>
      <c r="I3648" s="1">
        <f>IF(Query1[[#This Row],[ItemType]]="EVAP KIT SF GEN IV",Query1[[#This Row],[OrderQty]]+I3647,I3647)</f>
        <v>4553</v>
      </c>
      <c r="J3648" s="1">
        <f>IF(Query1[[#This Row],[ItemType]]="EVAP KIT UNIVERSAL",Query1[[#This Row],[OrderQty]]+J3647,J3647)</f>
        <v>1574</v>
      </c>
      <c r="K3648" s="1">
        <f>Query1[[#This Row],[SF Running Total]]+Query1[[#This Row],[UNIV Running Total]]</f>
        <v>6127</v>
      </c>
      <c r="L3648">
        <f>VLOOKUP(Query1[[#This Row],[Description]],'kits to boards'!$B$2:$E$156,2,FALSE)</f>
        <v>830060</v>
      </c>
      <c r="M3648">
        <f>VLOOKUP(Query1[[#This Row],[Description]],'kits to boards'!$B$2:$E$156,3,FALSE)</f>
        <v>0</v>
      </c>
      <c r="N3648">
        <f>VLOOKUP(Query1[[#This Row],[Description]],'kits to boards'!$B$2:$E$156,4,FALSE)</f>
        <v>0</v>
      </c>
      <c r="O3648" t="str">
        <f>CONCATENATE(Query1[[#This Row],[Description]]," - ",Query1[[#This Row],[MB1]]," - ",Query1[[#This Row],[MB2]]," - ",Query1[[#This Row],[MB3]])</f>
        <v>EVAP KIT 66-67 CHEVELLE WO AC - 830060 - 0 - 0</v>
      </c>
    </row>
    <row r="3649" spans="1:15" x14ac:dyDescent="0.25">
      <c r="A3649" s="1">
        <v>918906</v>
      </c>
      <c r="B3649" s="1" t="s">
        <v>110</v>
      </c>
      <c r="C3649" s="1" t="s">
        <v>111</v>
      </c>
      <c r="D3649" s="2">
        <v>44659.498920138889</v>
      </c>
      <c r="E3649" s="1" t="s">
        <v>8</v>
      </c>
      <c r="F3649" s="1">
        <v>1</v>
      </c>
      <c r="G3649" s="1">
        <v>0</v>
      </c>
      <c r="H3649" s="6">
        <f>INT(Query1[[#This Row],[EntryDateTime]])</f>
        <v>44659</v>
      </c>
      <c r="I3649" s="1">
        <f>IF(Query1[[#This Row],[ItemType]]="EVAP KIT SF GEN IV",Query1[[#This Row],[OrderQty]]+I3648,I3648)</f>
        <v>4554</v>
      </c>
      <c r="J3649" s="1">
        <f>IF(Query1[[#This Row],[ItemType]]="EVAP KIT UNIVERSAL",Query1[[#This Row],[OrderQty]]+J3648,J3648)</f>
        <v>1574</v>
      </c>
      <c r="K3649" s="1">
        <f>Query1[[#This Row],[SF Running Total]]+Query1[[#This Row],[UNIV Running Total]]</f>
        <v>6128</v>
      </c>
      <c r="L3649">
        <f>VLOOKUP(Query1[[#This Row],[Description]],'kits to boards'!$B$2:$E$156,2,FALSE)</f>
        <v>830053</v>
      </c>
      <c r="M3649">
        <f>VLOOKUP(Query1[[#This Row],[Description]],'kits to boards'!$B$2:$E$156,3,FALSE)</f>
        <v>0</v>
      </c>
      <c r="N3649">
        <f>VLOOKUP(Query1[[#This Row],[Description]],'kits to boards'!$B$2:$E$156,4,FALSE)</f>
        <v>0</v>
      </c>
      <c r="O3649" t="str">
        <f>CONCATENATE(Query1[[#This Row],[Description]]," - ",Query1[[#This Row],[MB1]]," - ",Query1[[#This Row],[MB2]]," - ",Query1[[#This Row],[MB3]])</f>
        <v>EVAP KIT 65-66 FORD F-100 - 830053 - 0 - 0</v>
      </c>
    </row>
    <row r="3650" spans="1:15" x14ac:dyDescent="0.25">
      <c r="A3650" s="1">
        <v>918908</v>
      </c>
      <c r="B3650" s="1" t="s">
        <v>22</v>
      </c>
      <c r="C3650" s="1" t="s">
        <v>23</v>
      </c>
      <c r="D3650" s="2">
        <v>44659.500776006942</v>
      </c>
      <c r="E3650" s="1" t="s">
        <v>8</v>
      </c>
      <c r="F3650" s="1">
        <v>1</v>
      </c>
      <c r="G3650" s="1">
        <v>0</v>
      </c>
      <c r="H3650" s="6">
        <f>INT(Query1[[#This Row],[EntryDateTime]])</f>
        <v>44659</v>
      </c>
      <c r="I3650" s="1">
        <f>IF(Query1[[#This Row],[ItemType]]="EVAP KIT SF GEN IV",Query1[[#This Row],[OrderQty]]+I3649,I3649)</f>
        <v>4555</v>
      </c>
      <c r="J3650" s="1">
        <f>IF(Query1[[#This Row],[ItemType]]="EVAP KIT UNIVERSAL",Query1[[#This Row],[OrderQty]]+J3649,J3649)</f>
        <v>1574</v>
      </c>
      <c r="K3650" s="1">
        <f>Query1[[#This Row],[SF Running Total]]+Query1[[#This Row],[UNIV Running Total]]</f>
        <v>6129</v>
      </c>
      <c r="L3650">
        <f>VLOOKUP(Query1[[#This Row],[Description]],'kits to boards'!$B$2:$E$156,2,FALSE)</f>
        <v>830083</v>
      </c>
      <c r="M3650">
        <f>VLOOKUP(Query1[[#This Row],[Description]],'kits to boards'!$B$2:$E$156,3,FALSE)</f>
        <v>0</v>
      </c>
      <c r="N3650">
        <f>VLOOKUP(Query1[[#This Row],[Description]],'kits to boards'!$B$2:$E$156,4,FALSE)</f>
        <v>0</v>
      </c>
      <c r="O3650" t="str">
        <f>CONCATENATE(Query1[[#This Row],[Description]]," - ",Query1[[#This Row],[MB1]]," - ",Query1[[#This Row],[MB2]]," - ",Query1[[#This Row],[MB3]])</f>
        <v>GEN IV MAGNUM EVAP KIT - 830083 - 0 - 0</v>
      </c>
    </row>
    <row r="3651" spans="1:15" x14ac:dyDescent="0.25">
      <c r="A3651" s="1">
        <v>918919</v>
      </c>
      <c r="B3651" s="1" t="s">
        <v>128</v>
      </c>
      <c r="C3651" s="1" t="s">
        <v>129</v>
      </c>
      <c r="D3651" s="2">
        <v>44659.528802928238</v>
      </c>
      <c r="E3651" s="1" t="s">
        <v>8</v>
      </c>
      <c r="F3651" s="1">
        <v>1</v>
      </c>
      <c r="G3651" s="1">
        <v>0</v>
      </c>
      <c r="H3651" s="6">
        <f>INT(Query1[[#This Row],[EntryDateTime]])</f>
        <v>44659</v>
      </c>
      <c r="I3651" s="1">
        <f>IF(Query1[[#This Row],[ItemType]]="EVAP KIT SF GEN IV",Query1[[#This Row],[OrderQty]]+I3650,I3650)</f>
        <v>4556</v>
      </c>
      <c r="J3651" s="1">
        <f>IF(Query1[[#This Row],[ItemType]]="EVAP KIT UNIVERSAL",Query1[[#This Row],[OrderQty]]+J3650,J3650)</f>
        <v>1574</v>
      </c>
      <c r="K3651" s="1">
        <f>Query1[[#This Row],[SF Running Total]]+Query1[[#This Row],[UNIV Running Total]]</f>
        <v>6130</v>
      </c>
      <c r="L3651">
        <f>VLOOKUP(Query1[[#This Row],[Description]],'kits to boards'!$B$2:$E$156,2,FALSE)</f>
        <v>830036</v>
      </c>
      <c r="M3651">
        <f>VLOOKUP(Query1[[#This Row],[Description]],'kits to boards'!$B$2:$E$156,3,FALSE)</f>
        <v>830039</v>
      </c>
      <c r="N3651">
        <f>VLOOKUP(Query1[[#This Row],[Description]],'kits to boards'!$B$2:$E$156,4,FALSE)</f>
        <v>0</v>
      </c>
      <c r="O3651" t="str">
        <f>CONCATENATE(Query1[[#This Row],[Description]]," - ",Query1[[#This Row],[MB1]]," - ",Query1[[#This Row],[MB2]]," - ",Query1[[#This Row],[MB3]])</f>
        <v>EVAP KIT 63-66 VETTE WO AC - 830036 - 830039 - 0</v>
      </c>
    </row>
    <row r="3652" spans="1:15" x14ac:dyDescent="0.25">
      <c r="A3652" s="1">
        <v>918922</v>
      </c>
      <c r="B3652" s="1" t="s">
        <v>104</v>
      </c>
      <c r="C3652" s="1" t="s">
        <v>105</v>
      </c>
      <c r="D3652" s="2">
        <v>44659.537061574076</v>
      </c>
      <c r="E3652" s="1" t="s">
        <v>11</v>
      </c>
      <c r="F3652" s="1">
        <v>1</v>
      </c>
      <c r="G3652" s="1">
        <v>0</v>
      </c>
      <c r="H3652" s="6">
        <f>INT(Query1[[#This Row],[EntryDateTime]])</f>
        <v>44659</v>
      </c>
      <c r="I3652" s="1">
        <f>IF(Query1[[#This Row],[ItemType]]="EVAP KIT SF GEN IV",Query1[[#This Row],[OrderQty]]+I3651,I3651)</f>
        <v>4556</v>
      </c>
      <c r="J3652" s="1">
        <f>IF(Query1[[#This Row],[ItemType]]="EVAP KIT UNIVERSAL",Query1[[#This Row],[OrderQty]]+J3651,J3651)</f>
        <v>1575</v>
      </c>
      <c r="K3652" s="1">
        <f>Query1[[#This Row],[SF Running Total]]+Query1[[#This Row],[UNIV Running Total]]</f>
        <v>6131</v>
      </c>
      <c r="L3652">
        <f>VLOOKUP(Query1[[#This Row],[Description]],'kits to boards'!$B$2:$E$156,2,FALSE)</f>
        <v>0</v>
      </c>
      <c r="M3652">
        <f>VLOOKUP(Query1[[#This Row],[Description]],'kits to boards'!$B$2:$E$156,3,FALSE)</f>
        <v>0</v>
      </c>
      <c r="N3652">
        <f>VLOOKUP(Query1[[#This Row],[Description]],'kits to boards'!$B$2:$E$156,4,FALSE)</f>
        <v>0</v>
      </c>
      <c r="O3652" t="str">
        <f>CONCATENATE(Query1[[#This Row],[Description]]," - ",Query1[[#This Row],[MB1]]," - ",Query1[[#This Row],[MB2]]," - ",Query1[[#This Row],[MB3]])</f>
        <v>HERITAGE BRUSHED EVAP KIT HEAT/COOL - 0 - 0 - 0</v>
      </c>
    </row>
    <row r="3653" spans="1:15" x14ac:dyDescent="0.25">
      <c r="A3653" s="1">
        <v>918926</v>
      </c>
      <c r="B3653" s="1" t="s">
        <v>42</v>
      </c>
      <c r="C3653" s="1" t="s">
        <v>43</v>
      </c>
      <c r="D3653" s="2">
        <v>44659.544189583336</v>
      </c>
      <c r="E3653" s="1" t="s">
        <v>8</v>
      </c>
      <c r="F3653" s="1">
        <v>1</v>
      </c>
      <c r="G3653" s="1">
        <v>0</v>
      </c>
      <c r="H3653" s="6">
        <f>INT(Query1[[#This Row],[EntryDateTime]])</f>
        <v>44659</v>
      </c>
      <c r="I3653" s="1">
        <f>IF(Query1[[#This Row],[ItemType]]="EVAP KIT SF GEN IV",Query1[[#This Row],[OrderQty]]+I3652,I3652)</f>
        <v>4557</v>
      </c>
      <c r="J3653" s="1">
        <f>IF(Query1[[#This Row],[ItemType]]="EVAP KIT UNIVERSAL",Query1[[#This Row],[OrderQty]]+J3652,J3652)</f>
        <v>1575</v>
      </c>
      <c r="K3653" s="1">
        <f>Query1[[#This Row],[SF Running Total]]+Query1[[#This Row],[UNIV Running Total]]</f>
        <v>6132</v>
      </c>
      <c r="L3653">
        <f>VLOOKUP(Query1[[#This Row],[Description]],'kits to boards'!$B$2:$E$156,2,FALSE)</f>
        <v>830014</v>
      </c>
      <c r="M3653">
        <f>VLOOKUP(Query1[[#This Row],[Description]],'kits to boards'!$B$2:$E$156,3,FALSE)</f>
        <v>0</v>
      </c>
      <c r="N3653">
        <f>VLOOKUP(Query1[[#This Row],[Description]],'kits to boards'!$B$2:$E$156,4,FALSE)</f>
        <v>0</v>
      </c>
      <c r="O3653" t="str">
        <f>CONCATENATE(Query1[[#This Row],[Description]]," - ",Query1[[#This Row],[MB1]]," - ",Query1[[#This Row],[MB2]]," - ",Query1[[#This Row],[MB3]])</f>
        <v>EVAP KIT 67-72 CHEV P-UP WO AC - 830014 - 0 - 0</v>
      </c>
    </row>
    <row r="3654" spans="1:15" x14ac:dyDescent="0.25">
      <c r="A3654" s="1">
        <v>918927</v>
      </c>
      <c r="B3654" s="1" t="s">
        <v>32</v>
      </c>
      <c r="C3654" s="1" t="s">
        <v>33</v>
      </c>
      <c r="D3654" s="2">
        <v>44659.545208101852</v>
      </c>
      <c r="E3654" s="1" t="s">
        <v>8</v>
      </c>
      <c r="F3654" s="1">
        <v>1</v>
      </c>
      <c r="G3654" s="1">
        <v>0</v>
      </c>
      <c r="H3654" s="6">
        <f>INT(Query1[[#This Row],[EntryDateTime]])</f>
        <v>44659</v>
      </c>
      <c r="I3654" s="1">
        <f>IF(Query1[[#This Row],[ItemType]]="EVAP KIT SF GEN IV",Query1[[#This Row],[OrderQty]]+I3653,I3653)</f>
        <v>4558</v>
      </c>
      <c r="J3654" s="1">
        <f>IF(Query1[[#This Row],[ItemType]]="EVAP KIT UNIVERSAL",Query1[[#This Row],[OrderQty]]+J3653,J3653)</f>
        <v>1575</v>
      </c>
      <c r="K3654" s="1">
        <f>Query1[[#This Row],[SF Running Total]]+Query1[[#This Row],[UNIV Running Total]]</f>
        <v>6133</v>
      </c>
      <c r="L3654">
        <f>VLOOKUP(Query1[[#This Row],[Description]],'kits to boards'!$B$2:$E$156,2,FALSE)</f>
        <v>830016</v>
      </c>
      <c r="M3654">
        <f>VLOOKUP(Query1[[#This Row],[Description]],'kits to boards'!$B$2:$E$156,3,FALSE)</f>
        <v>0</v>
      </c>
      <c r="N3654">
        <f>VLOOKUP(Query1[[#This Row],[Description]],'kits to boards'!$B$2:$E$156,4,FALSE)</f>
        <v>0</v>
      </c>
      <c r="O3654" t="str">
        <f>CONCATENATE(Query1[[#This Row],[Description]]," - ",Query1[[#This Row],[MB1]]," - ",Query1[[#This Row],[MB2]]," - ",Query1[[#This Row],[MB3]])</f>
        <v>EVAP KIT 67-68 CAMARO/FIREBIRD W/AC - 830016 - 0 - 0</v>
      </c>
    </row>
    <row r="3655" spans="1:15" x14ac:dyDescent="0.25">
      <c r="A3655" s="1">
        <v>918928</v>
      </c>
      <c r="B3655" s="1" t="s">
        <v>279</v>
      </c>
      <c r="C3655" s="1" t="s">
        <v>280</v>
      </c>
      <c r="D3655" s="2">
        <v>44659.550673344907</v>
      </c>
      <c r="E3655" s="1" t="s">
        <v>8</v>
      </c>
      <c r="F3655" s="1">
        <v>1</v>
      </c>
      <c r="G3655" s="1">
        <v>0</v>
      </c>
      <c r="H3655" s="6">
        <f>INT(Query1[[#This Row],[EntryDateTime]])</f>
        <v>44659</v>
      </c>
      <c r="I3655" s="1">
        <f>IF(Query1[[#This Row],[ItemType]]="EVAP KIT SF GEN IV",Query1[[#This Row],[OrderQty]]+I3654,I3654)</f>
        <v>4559</v>
      </c>
      <c r="J3655" s="1">
        <f>IF(Query1[[#This Row],[ItemType]]="EVAP KIT UNIVERSAL",Query1[[#This Row],[OrderQty]]+J3654,J3654)</f>
        <v>1575</v>
      </c>
      <c r="K3655" s="1">
        <f>Query1[[#This Row],[SF Running Total]]+Query1[[#This Row],[UNIV Running Total]]</f>
        <v>6134</v>
      </c>
      <c r="L3655">
        <f>VLOOKUP(Query1[[#This Row],[Description]],'kits to boards'!$B$2:$E$156,2,FALSE)</f>
        <v>830067</v>
      </c>
      <c r="M3655">
        <f>VLOOKUP(Query1[[#This Row],[Description]],'kits to boards'!$B$2:$E$156,3,FALSE)</f>
        <v>0</v>
      </c>
      <c r="N3655">
        <f>VLOOKUP(Query1[[#This Row],[Description]],'kits to boards'!$B$2:$E$156,4,FALSE)</f>
        <v>0</v>
      </c>
      <c r="O3655" t="str">
        <f>CONCATENATE(Query1[[#This Row],[Description]]," - ",Query1[[#This Row],[MB1]]," - ",Query1[[#This Row],[MB2]]," - ",Query1[[#This Row],[MB3]])</f>
        <v>EVAP KIT 59-60 CHEV CAR 2-LEVER - 830067 - 0 - 0</v>
      </c>
    </row>
    <row r="3656" spans="1:15" x14ac:dyDescent="0.25">
      <c r="A3656" s="1">
        <v>918932</v>
      </c>
      <c r="B3656" s="1" t="s">
        <v>32</v>
      </c>
      <c r="C3656" s="1" t="s">
        <v>33</v>
      </c>
      <c r="D3656" s="2">
        <v>44659.554616284724</v>
      </c>
      <c r="E3656" s="1" t="s">
        <v>8</v>
      </c>
      <c r="F3656" s="1">
        <v>1</v>
      </c>
      <c r="G3656" s="1">
        <v>0</v>
      </c>
      <c r="H3656" s="6">
        <f>INT(Query1[[#This Row],[EntryDateTime]])</f>
        <v>44659</v>
      </c>
      <c r="I3656" s="1">
        <f>IF(Query1[[#This Row],[ItemType]]="EVAP KIT SF GEN IV",Query1[[#This Row],[OrderQty]]+I3655,I3655)</f>
        <v>4560</v>
      </c>
      <c r="J3656" s="1">
        <f>IF(Query1[[#This Row],[ItemType]]="EVAP KIT UNIVERSAL",Query1[[#This Row],[OrderQty]]+J3655,J3655)</f>
        <v>1575</v>
      </c>
      <c r="K3656" s="1">
        <f>Query1[[#This Row],[SF Running Total]]+Query1[[#This Row],[UNIV Running Total]]</f>
        <v>6135</v>
      </c>
      <c r="L3656">
        <f>VLOOKUP(Query1[[#This Row],[Description]],'kits to boards'!$B$2:$E$156,2,FALSE)</f>
        <v>830016</v>
      </c>
      <c r="M3656">
        <f>VLOOKUP(Query1[[#This Row],[Description]],'kits to boards'!$B$2:$E$156,3,FALSE)</f>
        <v>0</v>
      </c>
      <c r="N3656">
        <f>VLOOKUP(Query1[[#This Row],[Description]],'kits to boards'!$B$2:$E$156,4,FALSE)</f>
        <v>0</v>
      </c>
      <c r="O3656" t="str">
        <f>CONCATENATE(Query1[[#This Row],[Description]]," - ",Query1[[#This Row],[MB1]]," - ",Query1[[#This Row],[MB2]]," - ",Query1[[#This Row],[MB3]])</f>
        <v>EVAP KIT 67-68 CAMARO/FIREBIRD W/AC - 830016 - 0 - 0</v>
      </c>
    </row>
    <row r="3657" spans="1:15" x14ac:dyDescent="0.25">
      <c r="A3657" s="1">
        <v>918921</v>
      </c>
      <c r="B3657" s="1" t="s">
        <v>14</v>
      </c>
      <c r="C3657" s="1" t="s">
        <v>15</v>
      </c>
      <c r="D3657" s="2">
        <v>44659.556001041667</v>
      </c>
      <c r="E3657" s="1" t="s">
        <v>8</v>
      </c>
      <c r="F3657" s="1">
        <v>1</v>
      </c>
      <c r="G3657" s="1">
        <v>0</v>
      </c>
      <c r="H3657" s="6">
        <f>INT(Query1[[#This Row],[EntryDateTime]])</f>
        <v>44659</v>
      </c>
      <c r="I3657" s="1">
        <f>IF(Query1[[#This Row],[ItemType]]="EVAP KIT SF GEN IV",Query1[[#This Row],[OrderQty]]+I3656,I3656)</f>
        <v>4561</v>
      </c>
      <c r="J3657" s="1">
        <f>IF(Query1[[#This Row],[ItemType]]="EVAP KIT UNIVERSAL",Query1[[#This Row],[OrderQty]]+J3656,J3656)</f>
        <v>1575</v>
      </c>
      <c r="K3657" s="1">
        <f>Query1[[#This Row],[SF Running Total]]+Query1[[#This Row],[UNIV Running Total]]</f>
        <v>6136</v>
      </c>
      <c r="L3657">
        <f>VLOOKUP(Query1[[#This Row],[Description]],'kits to boards'!$B$2:$E$156,2,FALSE)</f>
        <v>830054</v>
      </c>
      <c r="M3657">
        <f>VLOOKUP(Query1[[#This Row],[Description]],'kits to boards'!$B$2:$E$156,3,FALSE)</f>
        <v>0</v>
      </c>
      <c r="N3657">
        <f>VLOOKUP(Query1[[#This Row],[Description]],'kits to boards'!$B$2:$E$156,4,FALSE)</f>
        <v>0</v>
      </c>
      <c r="O3657" t="str">
        <f>CONCATENATE(Query1[[#This Row],[Description]]," - ",Query1[[#This Row],[MB1]]," - ",Query1[[#This Row],[MB2]]," - ",Query1[[#This Row],[MB3]])</f>
        <v>EVAP KIT 55-56 CHEVY - 830054 - 0 - 0</v>
      </c>
    </row>
    <row r="3658" spans="1:15" x14ac:dyDescent="0.25">
      <c r="A3658" s="1">
        <v>918937</v>
      </c>
      <c r="B3658" s="1" t="s">
        <v>192</v>
      </c>
      <c r="C3658" s="1" t="s">
        <v>193</v>
      </c>
      <c r="D3658" s="2">
        <v>44659.564118784721</v>
      </c>
      <c r="E3658" s="1" t="s">
        <v>8</v>
      </c>
      <c r="F3658" s="1">
        <v>1</v>
      </c>
      <c r="G3658" s="1">
        <v>0</v>
      </c>
      <c r="H3658" s="6">
        <f>INT(Query1[[#This Row],[EntryDateTime]])</f>
        <v>44659</v>
      </c>
      <c r="I3658" s="1">
        <f>IF(Query1[[#This Row],[ItemType]]="EVAP KIT SF GEN IV",Query1[[#This Row],[OrderQty]]+I3657,I3657)</f>
        <v>4562</v>
      </c>
      <c r="J3658" s="1">
        <f>IF(Query1[[#This Row],[ItemType]]="EVAP KIT UNIVERSAL",Query1[[#This Row],[OrderQty]]+J3657,J3657)</f>
        <v>1575</v>
      </c>
      <c r="K3658" s="1">
        <f>Query1[[#This Row],[SF Running Total]]+Query1[[#This Row],[UNIV Running Total]]</f>
        <v>6137</v>
      </c>
      <c r="L3658">
        <f>VLOOKUP(Query1[[#This Row],[Description]],'kits to boards'!$B$2:$E$156,2,FALSE)</f>
        <v>830094</v>
      </c>
      <c r="M3658">
        <f>VLOOKUP(Query1[[#This Row],[Description]],'kits to boards'!$B$2:$E$156,3,FALSE)</f>
        <v>0</v>
      </c>
      <c r="N3658">
        <f>VLOOKUP(Query1[[#This Row],[Description]],'kits to boards'!$B$2:$E$156,4,FALSE)</f>
        <v>0</v>
      </c>
      <c r="O3658" t="str">
        <f>CONCATENATE(Query1[[#This Row],[Description]]," - ",Query1[[#This Row],[MB1]]," - ",Query1[[#This Row],[MB2]]," - ",Query1[[#This Row],[MB3]])</f>
        <v>EVAP KIT 69-73 VETTE W/AC - 830094 - 0 - 0</v>
      </c>
    </row>
    <row r="3659" spans="1:15" x14ac:dyDescent="0.25">
      <c r="A3659" s="1">
        <v>918937</v>
      </c>
      <c r="B3659" s="1" t="s">
        <v>110</v>
      </c>
      <c r="C3659" s="1" t="s">
        <v>111</v>
      </c>
      <c r="D3659" s="2">
        <v>44659.564248344905</v>
      </c>
      <c r="E3659" s="1" t="s">
        <v>8</v>
      </c>
      <c r="F3659" s="1">
        <v>1</v>
      </c>
      <c r="G3659" s="1">
        <v>0</v>
      </c>
      <c r="H3659" s="6">
        <f>INT(Query1[[#This Row],[EntryDateTime]])</f>
        <v>44659</v>
      </c>
      <c r="I3659" s="1">
        <f>IF(Query1[[#This Row],[ItemType]]="EVAP KIT SF GEN IV",Query1[[#This Row],[OrderQty]]+I3658,I3658)</f>
        <v>4563</v>
      </c>
      <c r="J3659" s="1">
        <f>IF(Query1[[#This Row],[ItemType]]="EVAP KIT UNIVERSAL",Query1[[#This Row],[OrderQty]]+J3658,J3658)</f>
        <v>1575</v>
      </c>
      <c r="K3659" s="1">
        <f>Query1[[#This Row],[SF Running Total]]+Query1[[#This Row],[UNIV Running Total]]</f>
        <v>6138</v>
      </c>
      <c r="L3659">
        <f>VLOOKUP(Query1[[#This Row],[Description]],'kits to boards'!$B$2:$E$156,2,FALSE)</f>
        <v>830053</v>
      </c>
      <c r="M3659">
        <f>VLOOKUP(Query1[[#This Row],[Description]],'kits to boards'!$B$2:$E$156,3,FALSE)</f>
        <v>0</v>
      </c>
      <c r="N3659">
        <f>VLOOKUP(Query1[[#This Row],[Description]],'kits to boards'!$B$2:$E$156,4,FALSE)</f>
        <v>0</v>
      </c>
      <c r="O3659" t="str">
        <f>CONCATENATE(Query1[[#This Row],[Description]]," - ",Query1[[#This Row],[MB1]]," - ",Query1[[#This Row],[MB2]]," - ",Query1[[#This Row],[MB3]])</f>
        <v>EVAP KIT 65-66 FORD F-100 - 830053 - 0 - 0</v>
      </c>
    </row>
    <row r="3660" spans="1:15" x14ac:dyDescent="0.25">
      <c r="A3660" s="1">
        <v>918333</v>
      </c>
      <c r="B3660" s="1" t="s">
        <v>48</v>
      </c>
      <c r="C3660" s="1" t="s">
        <v>49</v>
      </c>
      <c r="D3660" s="2">
        <v>44659.573108368058</v>
      </c>
      <c r="E3660" s="1" t="s">
        <v>8</v>
      </c>
      <c r="F3660" s="1">
        <v>1</v>
      </c>
      <c r="G3660" s="1">
        <v>0</v>
      </c>
      <c r="H3660" s="6">
        <f>INT(Query1[[#This Row],[EntryDateTime]])</f>
        <v>44659</v>
      </c>
      <c r="I3660" s="1">
        <f>IF(Query1[[#This Row],[ItemType]]="EVAP KIT SF GEN IV",Query1[[#This Row],[OrderQty]]+I3659,I3659)</f>
        <v>4564</v>
      </c>
      <c r="J3660" s="1">
        <f>IF(Query1[[#This Row],[ItemType]]="EVAP KIT UNIVERSAL",Query1[[#This Row],[OrderQty]]+J3659,J3659)</f>
        <v>1575</v>
      </c>
      <c r="K3660" s="1">
        <f>Query1[[#This Row],[SF Running Total]]+Query1[[#This Row],[UNIV Running Total]]</f>
        <v>6139</v>
      </c>
      <c r="L3660">
        <f>VLOOKUP(Query1[[#This Row],[Description]],'kits to boards'!$B$2:$E$156,2,FALSE)</f>
        <v>830015</v>
      </c>
      <c r="M3660">
        <f>VLOOKUP(Query1[[#This Row],[Description]],'kits to boards'!$B$2:$E$156,3,FALSE)</f>
        <v>0</v>
      </c>
      <c r="N3660">
        <f>VLOOKUP(Query1[[#This Row],[Description]],'kits to boards'!$B$2:$E$156,4,FALSE)</f>
        <v>0</v>
      </c>
      <c r="O3660" t="str">
        <f>CONCATENATE(Query1[[#This Row],[Description]]," - ",Query1[[#This Row],[MB1]]," - ",Query1[[#This Row],[MB2]]," - ",Query1[[#This Row],[MB3]])</f>
        <v>EVAP KIT 64-66 CHEV P-UP WO AC W/DELX - 830015 - 0 - 0</v>
      </c>
    </row>
    <row r="3661" spans="1:15" x14ac:dyDescent="0.25">
      <c r="A3661" s="1">
        <v>918938</v>
      </c>
      <c r="B3661" s="1" t="s">
        <v>42</v>
      </c>
      <c r="C3661" s="1" t="s">
        <v>43</v>
      </c>
      <c r="D3661" s="2">
        <v>44659.574171064814</v>
      </c>
      <c r="E3661" s="1" t="s">
        <v>8</v>
      </c>
      <c r="F3661" s="1">
        <v>1</v>
      </c>
      <c r="G3661" s="1">
        <v>0</v>
      </c>
      <c r="H3661" s="6">
        <f>INT(Query1[[#This Row],[EntryDateTime]])</f>
        <v>44659</v>
      </c>
      <c r="I3661" s="1">
        <f>IF(Query1[[#This Row],[ItemType]]="EVAP KIT SF GEN IV",Query1[[#This Row],[OrderQty]]+I3660,I3660)</f>
        <v>4565</v>
      </c>
      <c r="J3661" s="1">
        <f>IF(Query1[[#This Row],[ItemType]]="EVAP KIT UNIVERSAL",Query1[[#This Row],[OrderQty]]+J3660,J3660)</f>
        <v>1575</v>
      </c>
      <c r="K3661" s="1">
        <f>Query1[[#This Row],[SF Running Total]]+Query1[[#This Row],[UNIV Running Total]]</f>
        <v>6140</v>
      </c>
      <c r="L3661">
        <f>VLOOKUP(Query1[[#This Row],[Description]],'kits to boards'!$B$2:$E$156,2,FALSE)</f>
        <v>830014</v>
      </c>
      <c r="M3661">
        <f>VLOOKUP(Query1[[#This Row],[Description]],'kits to boards'!$B$2:$E$156,3,FALSE)</f>
        <v>0</v>
      </c>
      <c r="N3661">
        <f>VLOOKUP(Query1[[#This Row],[Description]],'kits to boards'!$B$2:$E$156,4,FALSE)</f>
        <v>0</v>
      </c>
      <c r="O3661" t="str">
        <f>CONCATENATE(Query1[[#This Row],[Description]]," - ",Query1[[#This Row],[MB1]]," - ",Query1[[#This Row],[MB2]]," - ",Query1[[#This Row],[MB3]])</f>
        <v>EVAP KIT 67-72 CHEV P-UP WO AC - 830014 - 0 - 0</v>
      </c>
    </row>
    <row r="3662" spans="1:15" x14ac:dyDescent="0.25">
      <c r="A3662" s="1">
        <v>918939</v>
      </c>
      <c r="B3662" s="1" t="s">
        <v>249</v>
      </c>
      <c r="C3662" s="1" t="s">
        <v>250</v>
      </c>
      <c r="D3662" s="2">
        <v>44659.574756516202</v>
      </c>
      <c r="E3662" s="1" t="s">
        <v>8</v>
      </c>
      <c r="F3662" s="1">
        <v>1</v>
      </c>
      <c r="G3662" s="1">
        <v>0</v>
      </c>
      <c r="H3662" s="6">
        <f>INT(Query1[[#This Row],[EntryDateTime]])</f>
        <v>44659</v>
      </c>
      <c r="I3662" s="1">
        <f>IF(Query1[[#This Row],[ItemType]]="EVAP KIT SF GEN IV",Query1[[#This Row],[OrderQty]]+I3661,I3661)</f>
        <v>4566</v>
      </c>
      <c r="J3662" s="1">
        <f>IF(Query1[[#This Row],[ItemType]]="EVAP KIT UNIVERSAL",Query1[[#This Row],[OrderQty]]+J3661,J3661)</f>
        <v>1575</v>
      </c>
      <c r="K3662" s="1">
        <f>Query1[[#This Row],[SF Running Total]]+Query1[[#This Row],[UNIV Running Total]]</f>
        <v>6141</v>
      </c>
      <c r="L3662">
        <f>VLOOKUP(Query1[[#This Row],[Description]],'kits to boards'!$B$2:$E$156,2,FALSE)</f>
        <v>830047</v>
      </c>
      <c r="M3662">
        <f>VLOOKUP(Query1[[#This Row],[Description]],'kits to boards'!$B$2:$E$156,3,FALSE)</f>
        <v>0</v>
      </c>
      <c r="N3662">
        <f>VLOOKUP(Query1[[#This Row],[Description]],'kits to boards'!$B$2:$E$156,4,FALSE)</f>
        <v>0</v>
      </c>
      <c r="O3662" t="str">
        <f>CONCATENATE(Query1[[#This Row],[Description]]," - ",Query1[[#This Row],[MB1]]," - ",Query1[[#This Row],[MB2]]," - ",Query1[[#This Row],[MB3]])</f>
        <v>EVAP KIT 68 NOVA W/AC - 830047 - 0 - 0</v>
      </c>
    </row>
    <row r="3663" spans="1:15" x14ac:dyDescent="0.25">
      <c r="A3663" s="1">
        <v>918940</v>
      </c>
      <c r="B3663" s="1" t="s">
        <v>14</v>
      </c>
      <c r="C3663" s="1" t="s">
        <v>15</v>
      </c>
      <c r="D3663" s="2">
        <v>44659.579229629628</v>
      </c>
      <c r="E3663" s="1" t="s">
        <v>8</v>
      </c>
      <c r="F3663" s="1">
        <v>1</v>
      </c>
      <c r="G3663" s="1">
        <v>0</v>
      </c>
      <c r="H3663" s="6">
        <f>INT(Query1[[#This Row],[EntryDateTime]])</f>
        <v>44659</v>
      </c>
      <c r="I3663" s="1">
        <f>IF(Query1[[#This Row],[ItemType]]="EVAP KIT SF GEN IV",Query1[[#This Row],[OrderQty]]+I3662,I3662)</f>
        <v>4567</v>
      </c>
      <c r="J3663" s="1">
        <f>IF(Query1[[#This Row],[ItemType]]="EVAP KIT UNIVERSAL",Query1[[#This Row],[OrderQty]]+J3662,J3662)</f>
        <v>1575</v>
      </c>
      <c r="K3663" s="1">
        <f>Query1[[#This Row],[SF Running Total]]+Query1[[#This Row],[UNIV Running Total]]</f>
        <v>6142</v>
      </c>
      <c r="L3663">
        <f>VLOOKUP(Query1[[#This Row],[Description]],'kits to boards'!$B$2:$E$156,2,FALSE)</f>
        <v>830054</v>
      </c>
      <c r="M3663">
        <f>VLOOKUP(Query1[[#This Row],[Description]],'kits to boards'!$B$2:$E$156,3,FALSE)</f>
        <v>0</v>
      </c>
      <c r="N3663">
        <f>VLOOKUP(Query1[[#This Row],[Description]],'kits to boards'!$B$2:$E$156,4,FALSE)</f>
        <v>0</v>
      </c>
      <c r="O3663" t="str">
        <f>CONCATENATE(Query1[[#This Row],[Description]]," - ",Query1[[#This Row],[MB1]]," - ",Query1[[#This Row],[MB2]]," - ",Query1[[#This Row],[MB3]])</f>
        <v>EVAP KIT 55-56 CHEVY - 830054 - 0 - 0</v>
      </c>
    </row>
    <row r="3664" spans="1:15" x14ac:dyDescent="0.25">
      <c r="A3664" s="1">
        <v>918188</v>
      </c>
      <c r="B3664" s="1" t="s">
        <v>148</v>
      </c>
      <c r="C3664" s="1" t="s">
        <v>149</v>
      </c>
      <c r="D3664" s="2">
        <v>44659.580345405091</v>
      </c>
      <c r="E3664" s="1" t="s">
        <v>8</v>
      </c>
      <c r="F3664" s="1">
        <v>1</v>
      </c>
      <c r="G3664" s="1">
        <v>0</v>
      </c>
      <c r="H3664" s="6">
        <f>INT(Query1[[#This Row],[EntryDateTime]])</f>
        <v>44659</v>
      </c>
      <c r="I3664" s="1">
        <f>IF(Query1[[#This Row],[ItemType]]="EVAP KIT SF GEN IV",Query1[[#This Row],[OrderQty]]+I3663,I3663)</f>
        <v>4568</v>
      </c>
      <c r="J3664" s="1">
        <f>IF(Query1[[#This Row],[ItemType]]="EVAP KIT UNIVERSAL",Query1[[#This Row],[OrderQty]]+J3663,J3663)</f>
        <v>1575</v>
      </c>
      <c r="K3664" s="1">
        <f>Query1[[#This Row],[SF Running Total]]+Query1[[#This Row],[UNIV Running Total]]</f>
        <v>6143</v>
      </c>
      <c r="L3664">
        <f>VLOOKUP(Query1[[#This Row],[Description]],'kits to boards'!$B$2:$E$156,2,FALSE)</f>
        <v>830098</v>
      </c>
      <c r="M3664">
        <f>VLOOKUP(Query1[[#This Row],[Description]],'kits to boards'!$B$2:$E$156,3,FALSE)</f>
        <v>0</v>
      </c>
      <c r="N3664">
        <f>VLOOKUP(Query1[[#This Row],[Description]],'kits to boards'!$B$2:$E$156,4,FALSE)</f>
        <v>0</v>
      </c>
      <c r="O3664" t="str">
        <f>CONCATENATE(Query1[[#This Row],[Description]]," - ",Query1[[#This Row],[MB1]]," - ",Query1[[#This Row],[MB2]]," - ",Query1[[#This Row],[MB3]])</f>
        <v>EVAP KIT 77 VETTE W/AC - 830098 - 0 - 0</v>
      </c>
    </row>
    <row r="3665" spans="1:15" x14ac:dyDescent="0.25">
      <c r="A3665" s="1">
        <v>918942</v>
      </c>
      <c r="B3665" s="1" t="s">
        <v>98</v>
      </c>
      <c r="C3665" s="1" t="s">
        <v>99</v>
      </c>
      <c r="D3665" s="2">
        <v>44659.581820254629</v>
      </c>
      <c r="E3665" s="1" t="s">
        <v>11</v>
      </c>
      <c r="F3665" s="1">
        <v>1</v>
      </c>
      <c r="G3665" s="1">
        <v>0</v>
      </c>
      <c r="H3665" s="6">
        <f>INT(Query1[[#This Row],[EntryDateTime]])</f>
        <v>44659</v>
      </c>
      <c r="I3665" s="1">
        <f>IF(Query1[[#This Row],[ItemType]]="EVAP KIT SF GEN IV",Query1[[#This Row],[OrderQty]]+I3664,I3664)</f>
        <v>4568</v>
      </c>
      <c r="J3665" s="1">
        <f>IF(Query1[[#This Row],[ItemType]]="EVAP KIT UNIVERSAL",Query1[[#This Row],[OrderQty]]+J3664,J3664)</f>
        <v>1576</v>
      </c>
      <c r="K3665" s="1">
        <f>Query1[[#This Row],[SF Running Total]]+Query1[[#This Row],[UNIV Running Total]]</f>
        <v>6144</v>
      </c>
      <c r="L3665">
        <f>VLOOKUP(Query1[[#This Row],[Description]],'kits to boards'!$B$2:$E$156,2,FALSE)</f>
        <v>830099</v>
      </c>
      <c r="M3665">
        <f>VLOOKUP(Query1[[#This Row],[Description]],'kits to boards'!$B$2:$E$156,3,FALSE)</f>
        <v>0</v>
      </c>
      <c r="N3665">
        <f>VLOOKUP(Query1[[#This Row],[Description]],'kits to boards'!$B$2:$E$156,4,FALSE)</f>
        <v>0</v>
      </c>
      <c r="O3665" t="str">
        <f>CONCATENATE(Query1[[#This Row],[Description]]," - ",Query1[[#This Row],[MB1]]," - ",Query1[[#This Row],[MB2]]," - ",Query1[[#This Row],[MB3]])</f>
        <v>MINI GEN II W/DEF - 830099 - 0 - 0</v>
      </c>
    </row>
    <row r="3666" spans="1:15" x14ac:dyDescent="0.25">
      <c r="A3666" s="1">
        <v>917013</v>
      </c>
      <c r="B3666" s="1" t="s">
        <v>96</v>
      </c>
      <c r="C3666" s="1" t="s">
        <v>97</v>
      </c>
      <c r="D3666" s="2">
        <v>44659.58680582176</v>
      </c>
      <c r="E3666" s="1" t="s">
        <v>8</v>
      </c>
      <c r="F3666" s="1">
        <v>1</v>
      </c>
      <c r="G3666" s="1">
        <v>0</v>
      </c>
      <c r="H3666" s="6">
        <f>INT(Query1[[#This Row],[EntryDateTime]])</f>
        <v>44659</v>
      </c>
      <c r="I3666" s="1">
        <f>IF(Query1[[#This Row],[ItemType]]="EVAP KIT SF GEN IV",Query1[[#This Row],[OrderQty]]+I3665,I3665)</f>
        <v>4569</v>
      </c>
      <c r="J3666" s="1">
        <f>IF(Query1[[#This Row],[ItemType]]="EVAP KIT UNIVERSAL",Query1[[#This Row],[OrderQty]]+J3665,J3665)</f>
        <v>1576</v>
      </c>
      <c r="K3666" s="1">
        <f>Query1[[#This Row],[SF Running Total]]+Query1[[#This Row],[UNIV Running Total]]</f>
        <v>6145</v>
      </c>
      <c r="L3666">
        <f>VLOOKUP(Query1[[#This Row],[Description]],'kits to boards'!$B$2:$E$156,2,FALSE)</f>
        <v>830004</v>
      </c>
      <c r="M3666">
        <f>VLOOKUP(Query1[[#This Row],[Description]],'kits to boards'!$B$2:$E$156,3,FALSE)</f>
        <v>0</v>
      </c>
      <c r="N3666">
        <f>VLOOKUP(Query1[[#This Row],[Description]],'kits to boards'!$B$2:$E$156,4,FALSE)</f>
        <v>0</v>
      </c>
      <c r="O3666" t="str">
        <f>CONCATENATE(Query1[[#This Row],[Description]]," - ",Query1[[#This Row],[MB1]]," - ",Query1[[#This Row],[MB2]]," - ",Query1[[#This Row],[MB3]])</f>
        <v>EVAP KIT 81-87 CHEV P-UP W/AC - 830004 - 0 - 0</v>
      </c>
    </row>
    <row r="3667" spans="1:15" x14ac:dyDescent="0.25">
      <c r="A3667" s="1">
        <v>918914</v>
      </c>
      <c r="B3667" s="1" t="s">
        <v>22</v>
      </c>
      <c r="C3667" s="1" t="s">
        <v>23</v>
      </c>
      <c r="D3667" s="2">
        <v>44659.595513657405</v>
      </c>
      <c r="E3667" s="1" t="s">
        <v>8</v>
      </c>
      <c r="F3667" s="1">
        <v>1</v>
      </c>
      <c r="G3667" s="1">
        <v>0</v>
      </c>
      <c r="H3667" s="6">
        <f>INT(Query1[[#This Row],[EntryDateTime]])</f>
        <v>44659</v>
      </c>
      <c r="I3667" s="1">
        <f>IF(Query1[[#This Row],[ItemType]]="EVAP KIT SF GEN IV",Query1[[#This Row],[OrderQty]]+I3666,I3666)</f>
        <v>4570</v>
      </c>
      <c r="J3667" s="1">
        <f>IF(Query1[[#This Row],[ItemType]]="EVAP KIT UNIVERSAL",Query1[[#This Row],[OrderQty]]+J3666,J3666)</f>
        <v>1576</v>
      </c>
      <c r="K3667" s="1">
        <f>Query1[[#This Row],[SF Running Total]]+Query1[[#This Row],[UNIV Running Total]]</f>
        <v>6146</v>
      </c>
      <c r="L3667">
        <f>VLOOKUP(Query1[[#This Row],[Description]],'kits to boards'!$B$2:$E$156,2,FALSE)</f>
        <v>830083</v>
      </c>
      <c r="M3667">
        <f>VLOOKUP(Query1[[#This Row],[Description]],'kits to boards'!$B$2:$E$156,3,FALSE)</f>
        <v>0</v>
      </c>
      <c r="N3667">
        <f>VLOOKUP(Query1[[#This Row],[Description]],'kits to boards'!$B$2:$E$156,4,FALSE)</f>
        <v>0</v>
      </c>
      <c r="O3667" t="str">
        <f>CONCATENATE(Query1[[#This Row],[Description]]," - ",Query1[[#This Row],[MB1]]," - ",Query1[[#This Row],[MB2]]," - ",Query1[[#This Row],[MB3]])</f>
        <v>GEN IV MAGNUM EVAP KIT - 830083 - 0 - 0</v>
      </c>
    </row>
    <row r="3668" spans="1:15" x14ac:dyDescent="0.25">
      <c r="A3668" s="1">
        <v>918953</v>
      </c>
      <c r="B3668" s="1" t="s">
        <v>22</v>
      </c>
      <c r="C3668" s="1" t="s">
        <v>23</v>
      </c>
      <c r="D3668" s="2">
        <v>44659.607169178242</v>
      </c>
      <c r="E3668" s="1" t="s">
        <v>8</v>
      </c>
      <c r="F3668" s="1">
        <v>1</v>
      </c>
      <c r="G3668" s="1">
        <v>0</v>
      </c>
      <c r="H3668" s="6">
        <f>INT(Query1[[#This Row],[EntryDateTime]])</f>
        <v>44659</v>
      </c>
      <c r="I3668" s="1">
        <f>IF(Query1[[#This Row],[ItemType]]="EVAP KIT SF GEN IV",Query1[[#This Row],[OrderQty]]+I3667,I3667)</f>
        <v>4571</v>
      </c>
      <c r="J3668" s="1">
        <f>IF(Query1[[#This Row],[ItemType]]="EVAP KIT UNIVERSAL",Query1[[#This Row],[OrderQty]]+J3667,J3667)</f>
        <v>1576</v>
      </c>
      <c r="K3668" s="1">
        <f>Query1[[#This Row],[SF Running Total]]+Query1[[#This Row],[UNIV Running Total]]</f>
        <v>6147</v>
      </c>
      <c r="L3668">
        <f>VLOOKUP(Query1[[#This Row],[Description]],'kits to boards'!$B$2:$E$156,2,FALSE)</f>
        <v>830083</v>
      </c>
      <c r="M3668">
        <f>VLOOKUP(Query1[[#This Row],[Description]],'kits to boards'!$B$2:$E$156,3,FALSE)</f>
        <v>0</v>
      </c>
      <c r="N3668">
        <f>VLOOKUP(Query1[[#This Row],[Description]],'kits to boards'!$B$2:$E$156,4,FALSE)</f>
        <v>0</v>
      </c>
      <c r="O3668" t="str">
        <f>CONCATENATE(Query1[[#This Row],[Description]]," - ",Query1[[#This Row],[MB1]]," - ",Query1[[#This Row],[MB2]]," - ",Query1[[#This Row],[MB3]])</f>
        <v>GEN IV MAGNUM EVAP KIT - 830083 - 0 - 0</v>
      </c>
    </row>
    <row r="3669" spans="1:15" x14ac:dyDescent="0.25">
      <c r="A3669" s="1">
        <v>918954</v>
      </c>
      <c r="B3669" s="1" t="s">
        <v>24</v>
      </c>
      <c r="C3669" s="1" t="s">
        <v>25</v>
      </c>
      <c r="D3669" s="2">
        <v>44659.608158298608</v>
      </c>
      <c r="E3669" s="1" t="s">
        <v>11</v>
      </c>
      <c r="F3669" s="1">
        <v>1</v>
      </c>
      <c r="G3669" s="1">
        <v>0</v>
      </c>
      <c r="H3669" s="6">
        <f>INT(Query1[[#This Row],[EntryDateTime]])</f>
        <v>44659</v>
      </c>
      <c r="I3669" s="1">
        <f>IF(Query1[[#This Row],[ItemType]]="EVAP KIT SF GEN IV",Query1[[#This Row],[OrderQty]]+I3668,I3668)</f>
        <v>4571</v>
      </c>
      <c r="J3669" s="1">
        <f>IF(Query1[[#This Row],[ItemType]]="EVAP KIT UNIVERSAL",Query1[[#This Row],[OrderQty]]+J3668,J3668)</f>
        <v>1577</v>
      </c>
      <c r="K3669" s="1">
        <f>Query1[[#This Row],[SF Running Total]]+Query1[[#This Row],[UNIV Running Total]]</f>
        <v>6148</v>
      </c>
      <c r="L3669">
        <f>VLOOKUP(Query1[[#This Row],[Description]],'kits to boards'!$B$2:$E$156,2,FALSE)</f>
        <v>830029</v>
      </c>
      <c r="M3669">
        <f>VLOOKUP(Query1[[#This Row],[Description]],'kits to boards'!$B$2:$E$156,3,FALSE)</f>
        <v>830030</v>
      </c>
      <c r="N3669">
        <f>VLOOKUP(Query1[[#This Row],[Description]],'kits to boards'!$B$2:$E$156,4,FALSE)</f>
        <v>0</v>
      </c>
      <c r="O3669" t="str">
        <f>CONCATENATE(Query1[[#This Row],[Description]]," - ",Query1[[#This Row],[MB1]]," - ",Query1[[#This Row],[MB2]]," - ",Query1[[#This Row],[MB3]])</f>
        <v>ComPac GEN II W/DEF - 830029 - 830030 - 0</v>
      </c>
    </row>
    <row r="3670" spans="1:15" x14ac:dyDescent="0.25">
      <c r="A3670" s="1">
        <v>918962</v>
      </c>
      <c r="B3670" s="1" t="s">
        <v>160</v>
      </c>
      <c r="C3670" s="1" t="s">
        <v>161</v>
      </c>
      <c r="D3670" s="2">
        <v>44659.618132372685</v>
      </c>
      <c r="E3670" s="1" t="s">
        <v>8</v>
      </c>
      <c r="F3670" s="1">
        <v>1</v>
      </c>
      <c r="G3670" s="1">
        <v>0</v>
      </c>
      <c r="H3670" s="6">
        <f>INT(Query1[[#This Row],[EntryDateTime]])</f>
        <v>44659</v>
      </c>
      <c r="I3670" s="1">
        <f>IF(Query1[[#This Row],[ItemType]]="EVAP KIT SF GEN IV",Query1[[#This Row],[OrderQty]]+I3669,I3669)</f>
        <v>4572</v>
      </c>
      <c r="J3670" s="1">
        <f>IF(Query1[[#This Row],[ItemType]]="EVAP KIT UNIVERSAL",Query1[[#This Row],[OrderQty]]+J3669,J3669)</f>
        <v>1577</v>
      </c>
      <c r="K3670" s="1">
        <f>Query1[[#This Row],[SF Running Total]]+Query1[[#This Row],[UNIV Running Total]]</f>
        <v>6149</v>
      </c>
      <c r="L3670">
        <f>VLOOKUP(Query1[[#This Row],[Description]],'kits to boards'!$B$2:$E$156,2,FALSE)</f>
        <v>830083</v>
      </c>
      <c r="M3670">
        <f>VLOOKUP(Query1[[#This Row],[Description]],'kits to boards'!$B$2:$E$156,3,FALSE)</f>
        <v>0</v>
      </c>
      <c r="N3670">
        <f>VLOOKUP(Query1[[#This Row],[Description]],'kits to boards'!$B$2:$E$156,4,FALSE)</f>
        <v>0</v>
      </c>
      <c r="O3670" t="str">
        <f>CONCATENATE(Query1[[#This Row],[Description]]," - ",Query1[[#This Row],[MB1]]," - ",Query1[[#This Row],[MB2]]," - ",Query1[[#This Row],[MB3]])</f>
        <v>EVAP KIT 70-74 CHALNGR/CUDA WO AC - 830083 - 0 - 0</v>
      </c>
    </row>
    <row r="3671" spans="1:15" x14ac:dyDescent="0.25">
      <c r="A3671" s="1">
        <v>918951</v>
      </c>
      <c r="B3671" s="1" t="s">
        <v>24</v>
      </c>
      <c r="C3671" s="1" t="s">
        <v>25</v>
      </c>
      <c r="D3671" s="2">
        <v>44659.632729942132</v>
      </c>
      <c r="E3671" s="1" t="s">
        <v>11</v>
      </c>
      <c r="F3671" s="1">
        <v>1</v>
      </c>
      <c r="G3671" s="1">
        <v>0</v>
      </c>
      <c r="H3671" s="6">
        <f>INT(Query1[[#This Row],[EntryDateTime]])</f>
        <v>44659</v>
      </c>
      <c r="I3671" s="1">
        <f>IF(Query1[[#This Row],[ItemType]]="EVAP KIT SF GEN IV",Query1[[#This Row],[OrderQty]]+I3670,I3670)</f>
        <v>4572</v>
      </c>
      <c r="J3671" s="1">
        <f>IF(Query1[[#This Row],[ItemType]]="EVAP KIT UNIVERSAL",Query1[[#This Row],[OrderQty]]+J3670,J3670)</f>
        <v>1578</v>
      </c>
      <c r="K3671" s="1">
        <f>Query1[[#This Row],[SF Running Total]]+Query1[[#This Row],[UNIV Running Total]]</f>
        <v>6150</v>
      </c>
      <c r="L3671">
        <f>VLOOKUP(Query1[[#This Row],[Description]],'kits to boards'!$B$2:$E$156,2,FALSE)</f>
        <v>830029</v>
      </c>
      <c r="M3671">
        <f>VLOOKUP(Query1[[#This Row],[Description]],'kits to boards'!$B$2:$E$156,3,FALSE)</f>
        <v>830030</v>
      </c>
      <c r="N3671">
        <f>VLOOKUP(Query1[[#This Row],[Description]],'kits to boards'!$B$2:$E$156,4,FALSE)</f>
        <v>0</v>
      </c>
      <c r="O3671" t="str">
        <f>CONCATENATE(Query1[[#This Row],[Description]]," - ",Query1[[#This Row],[MB1]]," - ",Query1[[#This Row],[MB2]]," - ",Query1[[#This Row],[MB3]])</f>
        <v>ComPac GEN II W/DEF - 830029 - 830030 - 0</v>
      </c>
    </row>
    <row r="3672" spans="1:15" x14ac:dyDescent="0.25">
      <c r="A3672" s="1">
        <v>918972</v>
      </c>
      <c r="B3672" s="1" t="s">
        <v>170</v>
      </c>
      <c r="C3672" s="1" t="s">
        <v>171</v>
      </c>
      <c r="D3672" s="2">
        <v>44659.635671909724</v>
      </c>
      <c r="E3672" s="1" t="s">
        <v>8</v>
      </c>
      <c r="F3672" s="1">
        <v>1</v>
      </c>
      <c r="G3672" s="1">
        <v>0</v>
      </c>
      <c r="H3672" s="6">
        <f>INT(Query1[[#This Row],[EntryDateTime]])</f>
        <v>44659</v>
      </c>
      <c r="I3672" s="1">
        <f>IF(Query1[[#This Row],[ItemType]]="EVAP KIT SF GEN IV",Query1[[#This Row],[OrderQty]]+I3671,I3671)</f>
        <v>4573</v>
      </c>
      <c r="J3672" s="1">
        <f>IF(Query1[[#This Row],[ItemType]]="EVAP KIT UNIVERSAL",Query1[[#This Row],[OrderQty]]+J3671,J3671)</f>
        <v>1578</v>
      </c>
      <c r="K3672" s="1">
        <f>Query1[[#This Row],[SF Running Total]]+Query1[[#This Row],[UNIV Running Total]]</f>
        <v>6151</v>
      </c>
      <c r="L3672">
        <f>VLOOKUP(Query1[[#This Row],[Description]],'kits to boards'!$B$2:$E$156,2,FALSE)</f>
        <v>830018</v>
      </c>
      <c r="M3672">
        <f>VLOOKUP(Query1[[#This Row],[Description]],'kits to boards'!$B$2:$E$156,3,FALSE)</f>
        <v>0</v>
      </c>
      <c r="N3672">
        <f>VLOOKUP(Query1[[#This Row],[Description]],'kits to boards'!$B$2:$E$156,4,FALSE)</f>
        <v>0</v>
      </c>
      <c r="O3672" t="str">
        <f>CONCATENATE(Query1[[#This Row],[Description]]," - ",Query1[[#This Row],[MB1]]," - ",Query1[[#This Row],[MB2]]," - ",Query1[[#This Row],[MB3]])</f>
        <v>EVAP KIT 67 FORD P-UP F-100 - 830018 - 0 - 0</v>
      </c>
    </row>
    <row r="3673" spans="1:15" x14ac:dyDescent="0.25">
      <c r="A3673" s="1">
        <v>918693</v>
      </c>
      <c r="B3673" s="1" t="s">
        <v>256</v>
      </c>
      <c r="C3673" s="1" t="s">
        <v>257</v>
      </c>
      <c r="D3673" s="2">
        <v>44659.640044594904</v>
      </c>
      <c r="E3673" s="1" t="s">
        <v>8</v>
      </c>
      <c r="F3673" s="1">
        <v>1</v>
      </c>
      <c r="G3673" s="1">
        <v>0</v>
      </c>
      <c r="H3673" s="6">
        <f>INT(Query1[[#This Row],[EntryDateTime]])</f>
        <v>44659</v>
      </c>
      <c r="I3673" s="1">
        <f>IF(Query1[[#This Row],[ItemType]]="EVAP KIT SF GEN IV",Query1[[#This Row],[OrderQty]]+I3672,I3672)</f>
        <v>4574</v>
      </c>
      <c r="J3673" s="1">
        <f>IF(Query1[[#This Row],[ItemType]]="EVAP KIT UNIVERSAL",Query1[[#This Row],[OrderQty]]+J3672,J3672)</f>
        <v>1578</v>
      </c>
      <c r="K3673" s="1">
        <f>Query1[[#This Row],[SF Running Total]]+Query1[[#This Row],[UNIV Running Total]]</f>
        <v>6152</v>
      </c>
      <c r="L3673">
        <f>VLOOKUP(Query1[[#This Row],[Description]],'kits to boards'!$B$2:$E$156,2,FALSE)</f>
        <v>830025</v>
      </c>
      <c r="M3673">
        <f>VLOOKUP(Query1[[#This Row],[Description]],'kits to boards'!$B$2:$E$156,3,FALSE)</f>
        <v>830022</v>
      </c>
      <c r="N3673">
        <f>VLOOKUP(Query1[[#This Row],[Description]],'kits to boards'!$B$2:$E$156,4,FALSE)</f>
        <v>0</v>
      </c>
      <c r="O3673" t="str">
        <f>CONCATENATE(Query1[[#This Row],[Description]]," - ",Query1[[#This Row],[MB1]]," - ",Query1[[#This Row],[MB2]]," - ",Query1[[#This Row],[MB3]])</f>
        <v>EVAP KIT 68-69 CUTLASS W/AC - 830025 - 830022 - 0</v>
      </c>
    </row>
    <row r="3674" spans="1:15" x14ac:dyDescent="0.25">
      <c r="A3674" s="1">
        <v>918974</v>
      </c>
      <c r="B3674" s="1" t="s">
        <v>172</v>
      </c>
      <c r="C3674" s="1" t="s">
        <v>173</v>
      </c>
      <c r="D3674" s="2">
        <v>44659.642092245369</v>
      </c>
      <c r="E3674" s="1" t="s">
        <v>11</v>
      </c>
      <c r="F3674" s="1">
        <v>1</v>
      </c>
      <c r="G3674" s="1">
        <v>0</v>
      </c>
      <c r="H3674" s="6">
        <f>INT(Query1[[#This Row],[EntryDateTime]])</f>
        <v>44659</v>
      </c>
      <c r="I3674" s="1">
        <f>IF(Query1[[#This Row],[ItemType]]="EVAP KIT SF GEN IV",Query1[[#This Row],[OrderQty]]+I3673,I3673)</f>
        <v>4574</v>
      </c>
      <c r="J3674" s="1">
        <f>IF(Query1[[#This Row],[ItemType]]="EVAP KIT UNIVERSAL",Query1[[#This Row],[OrderQty]]+J3673,J3673)</f>
        <v>1579</v>
      </c>
      <c r="K3674" s="1">
        <f>Query1[[#This Row],[SF Running Total]]+Query1[[#This Row],[UNIV Running Total]]</f>
        <v>6153</v>
      </c>
      <c r="L3674">
        <f>VLOOKUP(Query1[[#This Row],[Description]],'kits to boards'!$B$2:$E$156,2,FALSE)</f>
        <v>0</v>
      </c>
      <c r="M3674">
        <f>VLOOKUP(Query1[[#This Row],[Description]],'kits to boards'!$B$2:$E$156,3,FALSE)</f>
        <v>0</v>
      </c>
      <c r="N3674">
        <f>VLOOKUP(Query1[[#This Row],[Description]],'kits to boards'!$B$2:$E$156,4,FALSE)</f>
        <v>0</v>
      </c>
      <c r="O3674" t="str">
        <f>CONCATENATE(Query1[[#This Row],[Description]]," - ",Query1[[#This Row],[MB1]]," - ",Query1[[#This Row],[MB2]]," - ",Query1[[#This Row],[MB3]])</f>
        <v>HERITAGE PEARL EVAP KIT COOL ONLY - 0 - 0 - 0</v>
      </c>
    </row>
    <row r="3675" spans="1:15" x14ac:dyDescent="0.25">
      <c r="A3675" s="1">
        <v>918982</v>
      </c>
      <c r="B3675" s="1" t="s">
        <v>70</v>
      </c>
      <c r="C3675" s="1" t="s">
        <v>71</v>
      </c>
      <c r="D3675" s="2">
        <v>44659.659711111111</v>
      </c>
      <c r="E3675" s="1" t="s">
        <v>8</v>
      </c>
      <c r="F3675" s="1">
        <v>1</v>
      </c>
      <c r="G3675" s="1">
        <v>0</v>
      </c>
      <c r="H3675" s="6">
        <f>INT(Query1[[#This Row],[EntryDateTime]])</f>
        <v>44659</v>
      </c>
      <c r="I3675" s="1">
        <f>IF(Query1[[#This Row],[ItemType]]="EVAP KIT SF GEN IV",Query1[[#This Row],[OrderQty]]+I3674,I3674)</f>
        <v>4575</v>
      </c>
      <c r="J3675" s="1">
        <f>IF(Query1[[#This Row],[ItemType]]="EVAP KIT UNIVERSAL",Query1[[#This Row],[OrderQty]]+J3674,J3674)</f>
        <v>1579</v>
      </c>
      <c r="K3675" s="1">
        <f>Query1[[#This Row],[SF Running Total]]+Query1[[#This Row],[UNIV Running Total]]</f>
        <v>6154</v>
      </c>
      <c r="L3675">
        <f>VLOOKUP(Query1[[#This Row],[Description]],'kits to boards'!$B$2:$E$156,2,FALSE)</f>
        <v>830050</v>
      </c>
      <c r="M3675">
        <f>VLOOKUP(Query1[[#This Row],[Description]],'kits to boards'!$B$2:$E$156,3,FALSE)</f>
        <v>0</v>
      </c>
      <c r="N3675">
        <f>VLOOKUP(Query1[[#This Row],[Description]],'kits to boards'!$B$2:$E$156,4,FALSE)</f>
        <v>0</v>
      </c>
      <c r="O3675" t="str">
        <f>CONCATENATE(Query1[[#This Row],[Description]]," - ",Query1[[#This Row],[MB1]]," - ",Query1[[#This Row],[MB2]]," - ",Query1[[#This Row],[MB3]])</f>
        <v>EVAP KIT 70-78 CAMARO WO AC - 830050 - 0 - 0</v>
      </c>
    </row>
    <row r="3676" spans="1:15" x14ac:dyDescent="0.25">
      <c r="A3676" s="1">
        <v>917312</v>
      </c>
      <c r="B3676" s="1" t="s">
        <v>506</v>
      </c>
      <c r="C3676" s="1" t="s">
        <v>507</v>
      </c>
      <c r="D3676" s="2">
        <v>44659.661763229167</v>
      </c>
      <c r="E3676" s="1" t="s">
        <v>677</v>
      </c>
      <c r="F3676" s="1">
        <v>1</v>
      </c>
      <c r="G3676" s="1">
        <v>0</v>
      </c>
      <c r="H3676" s="6">
        <f>INT(Query1[[#This Row],[EntryDateTime]])</f>
        <v>44659</v>
      </c>
      <c r="I3676" s="1">
        <f>IF(Query1[[#This Row],[ItemType]]="EVAP KIT SF GEN IV",Query1[[#This Row],[OrderQty]]+I3675,I3675)</f>
        <v>4575</v>
      </c>
      <c r="J3676" s="1">
        <f>IF(Query1[[#This Row],[ItemType]]="EVAP KIT UNIVERSAL",Query1[[#This Row],[OrderQty]]+J3675,J3675)</f>
        <v>1579</v>
      </c>
      <c r="K3676" s="1">
        <f>Query1[[#This Row],[SF Running Total]]+Query1[[#This Row],[UNIV Running Total]]</f>
        <v>6154</v>
      </c>
      <c r="L3676" t="e">
        <f>VLOOKUP(Query1[[#This Row],[Description]],'kits to boards'!$B$2:$E$156,2,FALSE)</f>
        <v>#N/A</v>
      </c>
      <c r="M3676" t="e">
        <f>VLOOKUP(Query1[[#This Row],[Description]],'kits to boards'!$B$2:$E$156,3,FALSE)</f>
        <v>#N/A</v>
      </c>
      <c r="N3676" t="e">
        <f>VLOOKUP(Query1[[#This Row],[Description]],'kits to boards'!$B$2:$E$156,4,FALSE)</f>
        <v>#N/A</v>
      </c>
      <c r="O3676" t="e">
        <f>CONCATENATE(Query1[[#This Row],[Description]]," - ",Query1[[#This Row],[MB1]]," - ",Query1[[#This Row],[MB2]]," - ",Query1[[#This Row],[MB3]])</f>
        <v>#N/A</v>
      </c>
    </row>
    <row r="3677" spans="1:15" x14ac:dyDescent="0.25">
      <c r="A3677" s="1">
        <v>918987</v>
      </c>
      <c r="B3677" s="1" t="s">
        <v>14</v>
      </c>
      <c r="C3677" s="1" t="s">
        <v>15</v>
      </c>
      <c r="D3677" s="2">
        <v>44662.302974652775</v>
      </c>
      <c r="E3677" s="1" t="s">
        <v>8</v>
      </c>
      <c r="F3677" s="1">
        <v>1</v>
      </c>
      <c r="G3677" s="1">
        <v>0</v>
      </c>
      <c r="H3677" s="6">
        <f>INT(Query1[[#This Row],[EntryDateTime]])</f>
        <v>44662</v>
      </c>
      <c r="I3677" s="1">
        <f>IF(Query1[[#This Row],[ItemType]]="EVAP KIT SF GEN IV",Query1[[#This Row],[OrderQty]]+I3676,I3676)</f>
        <v>4576</v>
      </c>
      <c r="J3677" s="1">
        <f>IF(Query1[[#This Row],[ItemType]]="EVAP KIT UNIVERSAL",Query1[[#This Row],[OrderQty]]+J3676,J3676)</f>
        <v>1579</v>
      </c>
      <c r="K3677" s="1">
        <f>Query1[[#This Row],[SF Running Total]]+Query1[[#This Row],[UNIV Running Total]]</f>
        <v>6155</v>
      </c>
      <c r="L3677">
        <f>VLOOKUP(Query1[[#This Row],[Description]],'kits to boards'!$B$2:$E$156,2,FALSE)</f>
        <v>830054</v>
      </c>
      <c r="M3677">
        <f>VLOOKUP(Query1[[#This Row],[Description]],'kits to boards'!$B$2:$E$156,3,FALSE)</f>
        <v>0</v>
      </c>
      <c r="N3677">
        <f>VLOOKUP(Query1[[#This Row],[Description]],'kits to boards'!$B$2:$E$156,4,FALSE)</f>
        <v>0</v>
      </c>
      <c r="O3677" t="str">
        <f>CONCATENATE(Query1[[#This Row],[Description]]," - ",Query1[[#This Row],[MB1]]," - ",Query1[[#This Row],[MB2]]," - ",Query1[[#This Row],[MB3]])</f>
        <v>EVAP KIT 55-56 CHEVY - 830054 - 0 - 0</v>
      </c>
    </row>
    <row r="3678" spans="1:15" x14ac:dyDescent="0.25">
      <c r="A3678" s="1">
        <v>918987</v>
      </c>
      <c r="B3678" s="1" t="s">
        <v>30</v>
      </c>
      <c r="C3678" s="1" t="s">
        <v>31</v>
      </c>
      <c r="D3678" s="2">
        <v>44662.302976307874</v>
      </c>
      <c r="E3678" s="1" t="s">
        <v>8</v>
      </c>
      <c r="F3678" s="1">
        <v>3</v>
      </c>
      <c r="G3678" s="1">
        <v>0</v>
      </c>
      <c r="H3678" s="6">
        <f>INT(Query1[[#This Row],[EntryDateTime]])</f>
        <v>44662</v>
      </c>
      <c r="I3678" s="1">
        <f>IF(Query1[[#This Row],[ItemType]]="EVAP KIT SF GEN IV",Query1[[#This Row],[OrderQty]]+I3677,I3677)</f>
        <v>4579</v>
      </c>
      <c r="J3678" s="1">
        <f>IF(Query1[[#This Row],[ItemType]]="EVAP KIT UNIVERSAL",Query1[[#This Row],[OrderQty]]+J3677,J3677)</f>
        <v>1579</v>
      </c>
      <c r="K3678" s="1">
        <f>Query1[[#This Row],[SF Running Total]]+Query1[[#This Row],[UNIV Running Total]]</f>
        <v>6158</v>
      </c>
      <c r="L3678">
        <f>VLOOKUP(Query1[[#This Row],[Description]],'kits to boards'!$B$2:$E$156,2,FALSE)</f>
        <v>830054</v>
      </c>
      <c r="M3678">
        <f>VLOOKUP(Query1[[#This Row],[Description]],'kits to boards'!$B$2:$E$156,3,FALSE)</f>
        <v>0</v>
      </c>
      <c r="N3678">
        <f>VLOOKUP(Query1[[#This Row],[Description]],'kits to boards'!$B$2:$E$156,4,FALSE)</f>
        <v>0</v>
      </c>
      <c r="O3678" t="str">
        <f>CONCATENATE(Query1[[#This Row],[Description]]," - ",Query1[[#This Row],[MB1]]," - ",Query1[[#This Row],[MB2]]," - ",Query1[[#This Row],[MB3]])</f>
        <v>EVAP KIT 55-56 CHEVY 4-VENT - 830054 - 0 - 0</v>
      </c>
    </row>
    <row r="3679" spans="1:15" x14ac:dyDescent="0.25">
      <c r="A3679" s="1">
        <v>918987</v>
      </c>
      <c r="B3679" s="1" t="s">
        <v>102</v>
      </c>
      <c r="C3679" s="1" t="s">
        <v>103</v>
      </c>
      <c r="D3679" s="2">
        <v>44662.302978009262</v>
      </c>
      <c r="E3679" s="1" t="s">
        <v>8</v>
      </c>
      <c r="F3679" s="1">
        <v>1</v>
      </c>
      <c r="G3679" s="1">
        <v>0</v>
      </c>
      <c r="H3679" s="6">
        <f>INT(Query1[[#This Row],[EntryDateTime]])</f>
        <v>44662</v>
      </c>
      <c r="I3679" s="1">
        <f>IF(Query1[[#This Row],[ItemType]]="EVAP KIT SF GEN IV",Query1[[#This Row],[OrderQty]]+I3678,I3678)</f>
        <v>4580</v>
      </c>
      <c r="J3679" s="1">
        <f>IF(Query1[[#This Row],[ItemType]]="EVAP KIT UNIVERSAL",Query1[[#This Row],[OrderQty]]+J3678,J3678)</f>
        <v>1579</v>
      </c>
      <c r="K3679" s="1">
        <f>Query1[[#This Row],[SF Running Total]]+Query1[[#This Row],[UNIV Running Total]]</f>
        <v>6159</v>
      </c>
      <c r="L3679">
        <f>VLOOKUP(Query1[[#This Row],[Description]],'kits to boards'!$B$2:$E$156,2,FALSE)</f>
        <v>830012</v>
      </c>
      <c r="M3679">
        <f>VLOOKUP(Query1[[#This Row],[Description]],'kits to boards'!$B$2:$E$156,3,FALSE)</f>
        <v>0</v>
      </c>
      <c r="N3679">
        <f>VLOOKUP(Query1[[#This Row],[Description]],'kits to boards'!$B$2:$E$156,4,FALSE)</f>
        <v>0</v>
      </c>
      <c r="O3679" t="str">
        <f>CONCATENATE(Query1[[#This Row],[Description]]," - ",Query1[[#This Row],[MB1]]," - ",Query1[[#This Row],[MB2]]," - ",Query1[[#This Row],[MB3]])</f>
        <v>EVAP KIT 69 CAMARO WO/AC - 830012 - 0 - 0</v>
      </c>
    </row>
    <row r="3680" spans="1:15" x14ac:dyDescent="0.25">
      <c r="A3680" s="1">
        <v>918987</v>
      </c>
      <c r="B3680" s="1" t="s">
        <v>86</v>
      </c>
      <c r="C3680" s="1" t="s">
        <v>87</v>
      </c>
      <c r="D3680" s="2">
        <v>44662.302979664353</v>
      </c>
      <c r="E3680" s="1" t="s">
        <v>8</v>
      </c>
      <c r="F3680" s="1">
        <v>2</v>
      </c>
      <c r="G3680" s="1">
        <v>0</v>
      </c>
      <c r="H3680" s="6">
        <f>INT(Query1[[#This Row],[EntryDateTime]])</f>
        <v>44662</v>
      </c>
      <c r="I3680" s="1">
        <f>IF(Query1[[#This Row],[ItemType]]="EVAP KIT SF GEN IV",Query1[[#This Row],[OrderQty]]+I3679,I3679)</f>
        <v>4582</v>
      </c>
      <c r="J3680" s="1">
        <f>IF(Query1[[#This Row],[ItemType]]="EVAP KIT UNIVERSAL",Query1[[#This Row],[OrderQty]]+J3679,J3679)</f>
        <v>1579</v>
      </c>
      <c r="K3680" s="1">
        <f>Query1[[#This Row],[SF Running Total]]+Query1[[#This Row],[UNIV Running Total]]</f>
        <v>6161</v>
      </c>
      <c r="L3680">
        <f>VLOOKUP(Query1[[#This Row],[Description]],'kits to boards'!$B$2:$E$156,2,FALSE)</f>
        <v>830048</v>
      </c>
      <c r="M3680">
        <f>VLOOKUP(Query1[[#This Row],[Description]],'kits to boards'!$B$2:$E$156,3,FALSE)</f>
        <v>0</v>
      </c>
      <c r="N3680">
        <f>VLOOKUP(Query1[[#This Row],[Description]],'kits to boards'!$B$2:$E$156,4,FALSE)</f>
        <v>0</v>
      </c>
      <c r="O3680" t="str">
        <f>CONCATENATE(Query1[[#This Row],[Description]]," - ",Query1[[#This Row],[MB1]]," - ",Query1[[#This Row],[MB2]]," - ",Query1[[#This Row],[MB3]])</f>
        <v>EVAP KIT 66-67 NOVA - 830048 - 0 - 0</v>
      </c>
    </row>
    <row r="3681" spans="1:15" x14ac:dyDescent="0.25">
      <c r="A3681" s="1">
        <v>918987</v>
      </c>
      <c r="B3681" s="1" t="s">
        <v>50</v>
      </c>
      <c r="C3681" s="1" t="s">
        <v>51</v>
      </c>
      <c r="D3681" s="2">
        <v>44662.30298133102</v>
      </c>
      <c r="E3681" s="1" t="s">
        <v>8</v>
      </c>
      <c r="F3681" s="1">
        <v>1</v>
      </c>
      <c r="G3681" s="1">
        <v>0</v>
      </c>
      <c r="H3681" s="6">
        <f>INT(Query1[[#This Row],[EntryDateTime]])</f>
        <v>44662</v>
      </c>
      <c r="I3681" s="1">
        <f>IF(Query1[[#This Row],[ItemType]]="EVAP KIT SF GEN IV",Query1[[#This Row],[OrderQty]]+I3680,I3680)</f>
        <v>4583</v>
      </c>
      <c r="J3681" s="1">
        <f>IF(Query1[[#This Row],[ItemType]]="EVAP KIT UNIVERSAL",Query1[[#This Row],[OrderQty]]+J3680,J3680)</f>
        <v>1579</v>
      </c>
      <c r="K3681" s="1">
        <f>Query1[[#This Row],[SF Running Total]]+Query1[[#This Row],[UNIV Running Total]]</f>
        <v>6162</v>
      </c>
      <c r="L3681">
        <f>VLOOKUP(Query1[[#This Row],[Description]],'kits to boards'!$B$2:$E$156,2,FALSE)</f>
        <v>830043</v>
      </c>
      <c r="M3681">
        <f>VLOOKUP(Query1[[#This Row],[Description]],'kits to boards'!$B$2:$E$156,3,FALSE)</f>
        <v>0</v>
      </c>
      <c r="N3681">
        <f>VLOOKUP(Query1[[#This Row],[Description]],'kits to boards'!$B$2:$E$156,4,FALSE)</f>
        <v>0</v>
      </c>
      <c r="O3681" t="str">
        <f>CONCATENATE(Query1[[#This Row],[Description]]," - ",Query1[[#This Row],[MB1]]," - ",Query1[[#This Row],[MB2]]," - ",Query1[[#This Row],[MB3]])</f>
        <v>EVAP KIT 69-74 NOVA WO AC - 830043 - 0 - 0</v>
      </c>
    </row>
    <row r="3682" spans="1:15" x14ac:dyDescent="0.25">
      <c r="A3682" s="1">
        <v>918987</v>
      </c>
      <c r="B3682" s="1" t="s">
        <v>208</v>
      </c>
      <c r="C3682" s="1" t="s">
        <v>209</v>
      </c>
      <c r="D3682" s="2">
        <v>44662.302982986112</v>
      </c>
      <c r="E3682" s="1" t="s">
        <v>8</v>
      </c>
      <c r="F3682" s="1">
        <v>1</v>
      </c>
      <c r="G3682" s="1">
        <v>0</v>
      </c>
      <c r="H3682" s="6">
        <f>INT(Query1[[#This Row],[EntryDateTime]])</f>
        <v>44662</v>
      </c>
      <c r="I3682" s="1">
        <f>IF(Query1[[#This Row],[ItemType]]="EVAP KIT SF GEN IV",Query1[[#This Row],[OrderQty]]+I3681,I3681)</f>
        <v>4584</v>
      </c>
      <c r="J3682" s="1">
        <f>IF(Query1[[#This Row],[ItemType]]="EVAP KIT UNIVERSAL",Query1[[#This Row],[OrderQty]]+J3681,J3681)</f>
        <v>1579</v>
      </c>
      <c r="K3682" s="1">
        <f>Query1[[#This Row],[SF Running Total]]+Query1[[#This Row],[UNIV Running Total]]</f>
        <v>6163</v>
      </c>
      <c r="L3682">
        <f>VLOOKUP(Query1[[#This Row],[Description]],'kits to boards'!$B$2:$E$156,2,FALSE)</f>
        <v>830094</v>
      </c>
      <c r="M3682">
        <f>VLOOKUP(Query1[[#This Row],[Description]],'kits to boards'!$B$2:$E$156,3,FALSE)</f>
        <v>0</v>
      </c>
      <c r="N3682">
        <f>VLOOKUP(Query1[[#This Row],[Description]],'kits to boards'!$B$2:$E$156,4,FALSE)</f>
        <v>0</v>
      </c>
      <c r="O3682" t="str">
        <f>CONCATENATE(Query1[[#This Row],[Description]]," - ",Query1[[#This Row],[MB1]]," - ",Query1[[#This Row],[MB2]]," - ",Query1[[#This Row],[MB3]])</f>
        <v>EVAP KIT 68 VETTE W/AC - 830094 - 0 - 0</v>
      </c>
    </row>
    <row r="3683" spans="1:15" x14ac:dyDescent="0.25">
      <c r="A3683" s="1">
        <v>918987</v>
      </c>
      <c r="B3683" s="1" t="s">
        <v>66</v>
      </c>
      <c r="C3683" s="1" t="s">
        <v>67</v>
      </c>
      <c r="D3683" s="2">
        <v>44662.302984606482</v>
      </c>
      <c r="E3683" s="1" t="s">
        <v>8</v>
      </c>
      <c r="F3683" s="1">
        <v>1</v>
      </c>
      <c r="G3683" s="1">
        <v>0</v>
      </c>
      <c r="H3683" s="6">
        <f>INT(Query1[[#This Row],[EntryDateTime]])</f>
        <v>44662</v>
      </c>
      <c r="I3683" s="1">
        <f>IF(Query1[[#This Row],[ItemType]]="EVAP KIT SF GEN IV",Query1[[#This Row],[OrderQty]]+I3682,I3682)</f>
        <v>4585</v>
      </c>
      <c r="J3683" s="1">
        <f>IF(Query1[[#This Row],[ItemType]]="EVAP KIT UNIVERSAL",Query1[[#This Row],[OrderQty]]+J3682,J3682)</f>
        <v>1579</v>
      </c>
      <c r="K3683" s="1">
        <f>Query1[[#This Row],[SF Running Total]]+Query1[[#This Row],[UNIV Running Total]]</f>
        <v>6164</v>
      </c>
      <c r="L3683">
        <f>VLOOKUP(Query1[[#This Row],[Description]],'kits to boards'!$B$2:$E$156,2,FALSE)</f>
        <v>830060</v>
      </c>
      <c r="M3683">
        <f>VLOOKUP(Query1[[#This Row],[Description]],'kits to boards'!$B$2:$E$156,3,FALSE)</f>
        <v>0</v>
      </c>
      <c r="N3683">
        <f>VLOOKUP(Query1[[#This Row],[Description]],'kits to boards'!$B$2:$E$156,4,FALSE)</f>
        <v>0</v>
      </c>
      <c r="O3683" t="str">
        <f>CONCATENATE(Query1[[#This Row],[Description]]," - ",Query1[[#This Row],[MB1]]," - ",Query1[[#This Row],[MB2]]," - ",Query1[[#This Row],[MB3]])</f>
        <v>EVAP KIT 66-67 CHEVELLE WO AC - 830060 - 0 - 0</v>
      </c>
    </row>
    <row r="3684" spans="1:15" x14ac:dyDescent="0.25">
      <c r="A3684" s="1">
        <v>918987</v>
      </c>
      <c r="B3684" s="1" t="s">
        <v>16</v>
      </c>
      <c r="C3684" s="1" t="s">
        <v>17</v>
      </c>
      <c r="D3684" s="2">
        <v>44662.302986261573</v>
      </c>
      <c r="E3684" s="1" t="s">
        <v>8</v>
      </c>
      <c r="F3684" s="1">
        <v>2</v>
      </c>
      <c r="G3684" s="1">
        <v>0</v>
      </c>
      <c r="H3684" s="6">
        <f>INT(Query1[[#This Row],[EntryDateTime]])</f>
        <v>44662</v>
      </c>
      <c r="I3684" s="1">
        <f>IF(Query1[[#This Row],[ItemType]]="EVAP KIT SF GEN IV",Query1[[#This Row],[OrderQty]]+I3683,I3683)</f>
        <v>4587</v>
      </c>
      <c r="J3684" s="1">
        <f>IF(Query1[[#This Row],[ItemType]]="EVAP KIT UNIVERSAL",Query1[[#This Row],[OrderQty]]+J3683,J3683)</f>
        <v>1579</v>
      </c>
      <c r="K3684" s="1">
        <f>Query1[[#This Row],[SF Running Total]]+Query1[[#This Row],[UNIV Running Total]]</f>
        <v>6166</v>
      </c>
      <c r="L3684">
        <f>VLOOKUP(Query1[[#This Row],[Description]],'kits to boards'!$B$2:$E$156,2,FALSE)</f>
        <v>830061</v>
      </c>
      <c r="M3684">
        <f>VLOOKUP(Query1[[#This Row],[Description]],'kits to boards'!$B$2:$E$156,3,FALSE)</f>
        <v>0</v>
      </c>
      <c r="N3684">
        <f>VLOOKUP(Query1[[#This Row],[Description]],'kits to boards'!$B$2:$E$156,4,FALSE)</f>
        <v>0</v>
      </c>
      <c r="O3684" t="str">
        <f>CONCATENATE(Query1[[#This Row],[Description]]," - ",Query1[[#This Row],[MB1]]," - ",Query1[[#This Row],[MB2]]," - ",Query1[[#This Row],[MB3]])</f>
        <v>EVAP KIT 68-69 CHEVELLE W/AC - 830061 - 0 - 0</v>
      </c>
    </row>
    <row r="3685" spans="1:15" x14ac:dyDescent="0.25">
      <c r="A3685" s="1">
        <v>918987</v>
      </c>
      <c r="B3685" s="1" t="s">
        <v>68</v>
      </c>
      <c r="C3685" s="1" t="s">
        <v>69</v>
      </c>
      <c r="D3685" s="2">
        <v>44662.30298792824</v>
      </c>
      <c r="E3685" s="1" t="s">
        <v>8</v>
      </c>
      <c r="F3685" s="1">
        <v>2</v>
      </c>
      <c r="G3685" s="1">
        <v>0</v>
      </c>
      <c r="H3685" s="6">
        <f>INT(Query1[[#This Row],[EntryDateTime]])</f>
        <v>44662</v>
      </c>
      <c r="I3685" s="1">
        <f>IF(Query1[[#This Row],[ItemType]]="EVAP KIT SF GEN IV",Query1[[#This Row],[OrderQty]]+I3684,I3684)</f>
        <v>4589</v>
      </c>
      <c r="J3685" s="1">
        <f>IF(Query1[[#This Row],[ItemType]]="EVAP KIT UNIVERSAL",Query1[[#This Row],[OrderQty]]+J3684,J3684)</f>
        <v>1579</v>
      </c>
      <c r="K3685" s="1">
        <f>Query1[[#This Row],[SF Running Total]]+Query1[[#This Row],[UNIV Running Total]]</f>
        <v>6168</v>
      </c>
      <c r="L3685">
        <f>VLOOKUP(Query1[[#This Row],[Description]],'kits to boards'!$B$2:$E$156,2,FALSE)</f>
        <v>830010</v>
      </c>
      <c r="M3685">
        <f>VLOOKUP(Query1[[#This Row],[Description]],'kits to boards'!$B$2:$E$156,3,FALSE)</f>
        <v>0</v>
      </c>
      <c r="N3685">
        <f>VLOOKUP(Query1[[#This Row],[Description]],'kits to boards'!$B$2:$E$156,4,FALSE)</f>
        <v>0</v>
      </c>
      <c r="O3685" t="str">
        <f>CONCATENATE(Query1[[#This Row],[Description]]," - ",Query1[[#This Row],[MB1]]," - ",Query1[[#This Row],[MB2]]," - ",Query1[[#This Row],[MB3]])</f>
        <v>EVAP KIT 70-72 CHEVELLE WO AC - 830010 - 0 - 0</v>
      </c>
    </row>
    <row r="3686" spans="1:15" x14ac:dyDescent="0.25">
      <c r="A3686" s="1">
        <v>918987</v>
      </c>
      <c r="B3686" s="1" t="s">
        <v>218</v>
      </c>
      <c r="C3686" s="1" t="s">
        <v>219</v>
      </c>
      <c r="D3686" s="2">
        <v>44662.302989548611</v>
      </c>
      <c r="E3686" s="1" t="s">
        <v>8</v>
      </c>
      <c r="F3686" s="1">
        <v>1</v>
      </c>
      <c r="G3686" s="1">
        <v>0</v>
      </c>
      <c r="H3686" s="6">
        <f>INT(Query1[[#This Row],[EntryDateTime]])</f>
        <v>44662</v>
      </c>
      <c r="I3686" s="1">
        <f>IF(Query1[[#This Row],[ItemType]]="EVAP KIT SF GEN IV",Query1[[#This Row],[OrderQty]]+I3685,I3685)</f>
        <v>4590</v>
      </c>
      <c r="J3686" s="1">
        <f>IF(Query1[[#This Row],[ItemType]]="EVAP KIT UNIVERSAL",Query1[[#This Row],[OrderQty]]+J3685,J3685)</f>
        <v>1579</v>
      </c>
      <c r="K3686" s="1">
        <f>Query1[[#This Row],[SF Running Total]]+Query1[[#This Row],[UNIV Running Total]]</f>
        <v>6169</v>
      </c>
      <c r="L3686">
        <f>VLOOKUP(Query1[[#This Row],[Description]],'kits to boards'!$B$2:$E$156,2,FALSE)</f>
        <v>830022</v>
      </c>
      <c r="M3686">
        <f>VLOOKUP(Query1[[#This Row],[Description]],'kits to boards'!$B$2:$E$156,3,FALSE)</f>
        <v>0</v>
      </c>
      <c r="N3686">
        <f>VLOOKUP(Query1[[#This Row],[Description]],'kits to boards'!$B$2:$E$156,4,FALSE)</f>
        <v>0</v>
      </c>
      <c r="O3686" t="str">
        <f>CONCATENATE(Query1[[#This Row],[Description]]," - ",Query1[[#This Row],[MB1]]," - ",Query1[[#This Row],[MB2]]," - ",Query1[[#This Row],[MB3]])</f>
        <v>EVAP KIT 69 CUTLASS WO AC - 830022 - 0 - 0</v>
      </c>
    </row>
    <row r="3687" spans="1:15" x14ac:dyDescent="0.25">
      <c r="A3687" s="1">
        <v>918987</v>
      </c>
      <c r="B3687" s="1" t="s">
        <v>12</v>
      </c>
      <c r="C3687" s="1" t="s">
        <v>13</v>
      </c>
      <c r="D3687" s="2">
        <v>44662.302991168981</v>
      </c>
      <c r="E3687" s="1" t="s">
        <v>8</v>
      </c>
      <c r="F3687" s="1">
        <v>1</v>
      </c>
      <c r="G3687" s="1">
        <v>0</v>
      </c>
      <c r="H3687" s="6">
        <f>INT(Query1[[#This Row],[EntryDateTime]])</f>
        <v>44662</v>
      </c>
      <c r="I3687" s="1">
        <f>IF(Query1[[#This Row],[ItemType]]="EVAP KIT SF GEN IV",Query1[[#This Row],[OrderQty]]+I3686,I3686)</f>
        <v>4591</v>
      </c>
      <c r="J3687" s="1">
        <f>IF(Query1[[#This Row],[ItemType]]="EVAP KIT UNIVERSAL",Query1[[#This Row],[OrderQty]]+J3686,J3686)</f>
        <v>1579</v>
      </c>
      <c r="K3687" s="1">
        <f>Query1[[#This Row],[SF Running Total]]+Query1[[#This Row],[UNIV Running Total]]</f>
        <v>6170</v>
      </c>
      <c r="L3687">
        <f>VLOOKUP(Query1[[#This Row],[Description]],'kits to boards'!$B$2:$E$156,2,FALSE)</f>
        <v>830079</v>
      </c>
      <c r="M3687">
        <f>VLOOKUP(Query1[[#This Row],[Description]],'kits to boards'!$B$2:$E$156,3,FALSE)</f>
        <v>830046</v>
      </c>
      <c r="N3687">
        <f>VLOOKUP(Query1[[#This Row],[Description]],'kits to boards'!$B$2:$E$156,4,FALSE)</f>
        <v>0</v>
      </c>
      <c r="O3687" t="str">
        <f>CONCATENATE(Query1[[#This Row],[Description]]," - ",Query1[[#This Row],[MB1]]," - ",Query1[[#This Row],[MB2]]," - ",Query1[[#This Row],[MB3]])</f>
        <v>EVAP KIT 67-68 MUSTANG/COUGAR W/AC - 830079 - 830046 - 0</v>
      </c>
    </row>
    <row r="3688" spans="1:15" x14ac:dyDescent="0.25">
      <c r="A3688" s="1">
        <v>918987</v>
      </c>
      <c r="B3688" s="1" t="s">
        <v>92</v>
      </c>
      <c r="C3688" s="1" t="s">
        <v>93</v>
      </c>
      <c r="D3688" s="2">
        <v>44662.302992858793</v>
      </c>
      <c r="E3688" s="1" t="s">
        <v>8</v>
      </c>
      <c r="F3688" s="1">
        <v>3</v>
      </c>
      <c r="G3688" s="1">
        <v>0</v>
      </c>
      <c r="H3688" s="6">
        <f>INT(Query1[[#This Row],[EntryDateTime]])</f>
        <v>44662</v>
      </c>
      <c r="I3688" s="1">
        <f>IF(Query1[[#This Row],[ItemType]]="EVAP KIT SF GEN IV",Query1[[#This Row],[OrderQty]]+I3687,I3687)</f>
        <v>4594</v>
      </c>
      <c r="J3688" s="1">
        <f>IF(Query1[[#This Row],[ItemType]]="EVAP KIT UNIVERSAL",Query1[[#This Row],[OrderQty]]+J3687,J3687)</f>
        <v>1579</v>
      </c>
      <c r="K3688" s="1">
        <f>Query1[[#This Row],[SF Running Total]]+Query1[[#This Row],[UNIV Running Total]]</f>
        <v>6173</v>
      </c>
      <c r="L3688">
        <f>VLOOKUP(Query1[[#This Row],[Description]],'kits to boards'!$B$2:$E$156,2,FALSE)</f>
        <v>830063</v>
      </c>
      <c r="M3688">
        <f>VLOOKUP(Query1[[#This Row],[Description]],'kits to boards'!$B$2:$E$156,3,FALSE)</f>
        <v>0</v>
      </c>
      <c r="N3688">
        <f>VLOOKUP(Query1[[#This Row],[Description]],'kits to boards'!$B$2:$E$156,4,FALSE)</f>
        <v>0</v>
      </c>
      <c r="O3688" t="str">
        <f>CONCATENATE(Query1[[#This Row],[Description]]," - ",Query1[[#This Row],[MB1]]," - ",Query1[[#This Row],[MB2]]," - ",Query1[[#This Row],[MB3]])</f>
        <v>EVAP KIT 50-53 CHEV P-UP GEN IV - 830063 - 0 - 0</v>
      </c>
    </row>
    <row r="3689" spans="1:15" x14ac:dyDescent="0.25">
      <c r="A3689" s="1">
        <v>918987</v>
      </c>
      <c r="B3689" s="1" t="s">
        <v>42</v>
      </c>
      <c r="C3689" s="1" t="s">
        <v>43</v>
      </c>
      <c r="D3689" s="2">
        <v>44662.30299452546</v>
      </c>
      <c r="E3689" s="1" t="s">
        <v>8</v>
      </c>
      <c r="F3689" s="1">
        <v>1</v>
      </c>
      <c r="G3689" s="1">
        <v>0</v>
      </c>
      <c r="H3689" s="6">
        <f>INT(Query1[[#This Row],[EntryDateTime]])</f>
        <v>44662</v>
      </c>
      <c r="I3689" s="1">
        <f>IF(Query1[[#This Row],[ItemType]]="EVAP KIT SF GEN IV",Query1[[#This Row],[OrderQty]]+I3688,I3688)</f>
        <v>4595</v>
      </c>
      <c r="J3689" s="1">
        <f>IF(Query1[[#This Row],[ItemType]]="EVAP KIT UNIVERSAL",Query1[[#This Row],[OrderQty]]+J3688,J3688)</f>
        <v>1579</v>
      </c>
      <c r="K3689" s="1">
        <f>Query1[[#This Row],[SF Running Total]]+Query1[[#This Row],[UNIV Running Total]]</f>
        <v>6174</v>
      </c>
      <c r="L3689">
        <f>VLOOKUP(Query1[[#This Row],[Description]],'kits to boards'!$B$2:$E$156,2,FALSE)</f>
        <v>830014</v>
      </c>
      <c r="M3689">
        <f>VLOOKUP(Query1[[#This Row],[Description]],'kits to boards'!$B$2:$E$156,3,FALSE)</f>
        <v>0</v>
      </c>
      <c r="N3689">
        <f>VLOOKUP(Query1[[#This Row],[Description]],'kits to boards'!$B$2:$E$156,4,FALSE)</f>
        <v>0</v>
      </c>
      <c r="O3689" t="str">
        <f>CONCATENATE(Query1[[#This Row],[Description]]," - ",Query1[[#This Row],[MB1]]," - ",Query1[[#This Row],[MB2]]," - ",Query1[[#This Row],[MB3]])</f>
        <v>EVAP KIT 67-72 CHEV P-UP WO AC - 830014 - 0 - 0</v>
      </c>
    </row>
    <row r="3690" spans="1:15" x14ac:dyDescent="0.25">
      <c r="A3690" s="1">
        <v>918987</v>
      </c>
      <c r="B3690" s="1" t="s">
        <v>26</v>
      </c>
      <c r="C3690" s="1" t="s">
        <v>27</v>
      </c>
      <c r="D3690" s="2">
        <v>44662.302996145831</v>
      </c>
      <c r="E3690" s="1" t="s">
        <v>8</v>
      </c>
      <c r="F3690" s="1">
        <v>2</v>
      </c>
      <c r="G3690" s="1">
        <v>0</v>
      </c>
      <c r="H3690" s="6">
        <f>INT(Query1[[#This Row],[EntryDateTime]])</f>
        <v>44662</v>
      </c>
      <c r="I3690" s="1">
        <f>IF(Query1[[#This Row],[ItemType]]="EVAP KIT SF GEN IV",Query1[[#This Row],[OrderQty]]+I3689,I3689)</f>
        <v>4597</v>
      </c>
      <c r="J3690" s="1">
        <f>IF(Query1[[#This Row],[ItemType]]="EVAP KIT UNIVERSAL",Query1[[#This Row],[OrderQty]]+J3689,J3689)</f>
        <v>1579</v>
      </c>
      <c r="K3690" s="1">
        <f>Query1[[#This Row],[SF Running Total]]+Query1[[#This Row],[UNIV Running Total]]</f>
        <v>6176</v>
      </c>
      <c r="L3690">
        <f>VLOOKUP(Query1[[#This Row],[Description]],'kits to boards'!$B$2:$E$156,2,FALSE)</f>
        <v>830013</v>
      </c>
      <c r="M3690">
        <f>VLOOKUP(Query1[[#This Row],[Description]],'kits to boards'!$B$2:$E$156,3,FALSE)</f>
        <v>0</v>
      </c>
      <c r="N3690">
        <f>VLOOKUP(Query1[[#This Row],[Description]],'kits to boards'!$B$2:$E$156,4,FALSE)</f>
        <v>0</v>
      </c>
      <c r="O3690" t="str">
        <f>CONCATENATE(Query1[[#This Row],[Description]]," - ",Query1[[#This Row],[MB1]]," - ",Query1[[#This Row],[MB2]]," - ",Query1[[#This Row],[MB3]])</f>
        <v>EVAP KIT 67-72 CHEV P-UP W/AC - 830013 - 0 - 0</v>
      </c>
    </row>
    <row r="3691" spans="1:15" x14ac:dyDescent="0.25">
      <c r="A3691" s="1">
        <v>918987</v>
      </c>
      <c r="B3691" s="1" t="s">
        <v>28</v>
      </c>
      <c r="C3691" s="1" t="s">
        <v>29</v>
      </c>
      <c r="D3691" s="2">
        <v>44662.302997766201</v>
      </c>
      <c r="E3691" s="1" t="s">
        <v>8</v>
      </c>
      <c r="F3691" s="1">
        <v>1</v>
      </c>
      <c r="G3691" s="1">
        <v>0</v>
      </c>
      <c r="H3691" s="6">
        <f>INT(Query1[[#This Row],[EntryDateTime]])</f>
        <v>44662</v>
      </c>
      <c r="I3691" s="1">
        <f>IF(Query1[[#This Row],[ItemType]]="EVAP KIT SF GEN IV",Query1[[#This Row],[OrderQty]]+I3690,I3690)</f>
        <v>4598</v>
      </c>
      <c r="J3691" s="1">
        <f>IF(Query1[[#This Row],[ItemType]]="EVAP KIT UNIVERSAL",Query1[[#This Row],[OrderQty]]+J3690,J3690)</f>
        <v>1579</v>
      </c>
      <c r="K3691" s="1">
        <f>Query1[[#This Row],[SF Running Total]]+Query1[[#This Row],[UNIV Running Total]]</f>
        <v>6177</v>
      </c>
      <c r="L3691">
        <f>VLOOKUP(Query1[[#This Row],[Description]],'kits to boards'!$B$2:$E$156,2,FALSE)</f>
        <v>830001</v>
      </c>
      <c r="M3691">
        <f>VLOOKUP(Query1[[#This Row],[Description]],'kits to boards'!$B$2:$E$156,3,FALSE)</f>
        <v>0</v>
      </c>
      <c r="N3691">
        <f>VLOOKUP(Query1[[#This Row],[Description]],'kits to boards'!$B$2:$E$156,4,FALSE)</f>
        <v>0</v>
      </c>
      <c r="O3691" t="str">
        <f>CONCATENATE(Query1[[#This Row],[Description]]," - ",Query1[[#This Row],[MB1]]," - ",Query1[[#This Row],[MB2]]," - ",Query1[[#This Row],[MB3]])</f>
        <v>EVAP KIT 73-80 CHEV P-UP W/AC - 830001 - 0 - 0</v>
      </c>
    </row>
    <row r="3692" spans="1:15" x14ac:dyDescent="0.25">
      <c r="A3692" s="1">
        <v>918987</v>
      </c>
      <c r="B3692" s="1" t="s">
        <v>110</v>
      </c>
      <c r="C3692" s="1" t="s">
        <v>111</v>
      </c>
      <c r="D3692" s="2">
        <v>44662.302999386571</v>
      </c>
      <c r="E3692" s="1" t="s">
        <v>8</v>
      </c>
      <c r="F3692" s="1">
        <v>1</v>
      </c>
      <c r="G3692" s="1">
        <v>0</v>
      </c>
      <c r="H3692" s="6">
        <f>INT(Query1[[#This Row],[EntryDateTime]])</f>
        <v>44662</v>
      </c>
      <c r="I3692" s="1">
        <f>IF(Query1[[#This Row],[ItemType]]="EVAP KIT SF GEN IV",Query1[[#This Row],[OrderQty]]+I3691,I3691)</f>
        <v>4599</v>
      </c>
      <c r="J3692" s="1">
        <f>IF(Query1[[#This Row],[ItemType]]="EVAP KIT UNIVERSAL",Query1[[#This Row],[OrderQty]]+J3691,J3691)</f>
        <v>1579</v>
      </c>
      <c r="K3692" s="1">
        <f>Query1[[#This Row],[SF Running Total]]+Query1[[#This Row],[UNIV Running Total]]</f>
        <v>6178</v>
      </c>
      <c r="L3692">
        <f>VLOOKUP(Query1[[#This Row],[Description]],'kits to boards'!$B$2:$E$156,2,FALSE)</f>
        <v>830053</v>
      </c>
      <c r="M3692">
        <f>VLOOKUP(Query1[[#This Row],[Description]],'kits to boards'!$B$2:$E$156,3,FALSE)</f>
        <v>0</v>
      </c>
      <c r="N3692">
        <f>VLOOKUP(Query1[[#This Row],[Description]],'kits to boards'!$B$2:$E$156,4,FALSE)</f>
        <v>0</v>
      </c>
      <c r="O3692" t="str">
        <f>CONCATENATE(Query1[[#This Row],[Description]]," - ",Query1[[#This Row],[MB1]]," - ",Query1[[#This Row],[MB2]]," - ",Query1[[#This Row],[MB3]])</f>
        <v>EVAP KIT 65-66 FORD F-100 - 830053 - 0 - 0</v>
      </c>
    </row>
    <row r="3693" spans="1:15" x14ac:dyDescent="0.25">
      <c r="A3693" s="1">
        <v>918987</v>
      </c>
      <c r="B3693" s="1" t="s">
        <v>6</v>
      </c>
      <c r="C3693" s="1" t="s">
        <v>7</v>
      </c>
      <c r="D3693" s="2">
        <v>44662.303001006941</v>
      </c>
      <c r="E3693" s="1" t="s">
        <v>8</v>
      </c>
      <c r="F3693" s="1">
        <v>1</v>
      </c>
      <c r="G3693" s="1">
        <v>0</v>
      </c>
      <c r="H3693" s="6">
        <f>INT(Query1[[#This Row],[EntryDateTime]])</f>
        <v>44662</v>
      </c>
      <c r="I3693" s="1">
        <f>IF(Query1[[#This Row],[ItemType]]="EVAP KIT SF GEN IV",Query1[[#This Row],[OrderQty]]+I3692,I3692)</f>
        <v>4600</v>
      </c>
      <c r="J3693" s="1">
        <f>IF(Query1[[#This Row],[ItemType]]="EVAP KIT UNIVERSAL",Query1[[#This Row],[OrderQty]]+J3692,J3692)</f>
        <v>1579</v>
      </c>
      <c r="K3693" s="1">
        <f>Query1[[#This Row],[SF Running Total]]+Query1[[#This Row],[UNIV Running Total]]</f>
        <v>6179</v>
      </c>
      <c r="L3693">
        <f>VLOOKUP(Query1[[#This Row],[Description]],'kits to boards'!$B$2:$E$156,2,FALSE)</f>
        <v>830132</v>
      </c>
      <c r="M3693">
        <f>VLOOKUP(Query1[[#This Row],[Description]],'kits to boards'!$B$2:$E$156,3,FALSE)</f>
        <v>0</v>
      </c>
      <c r="N3693">
        <f>VLOOKUP(Query1[[#This Row],[Description]],'kits to boards'!$B$2:$E$156,4,FALSE)</f>
        <v>0</v>
      </c>
      <c r="O3693" t="str">
        <f>CONCATENATE(Query1[[#This Row],[Description]]," - ",Query1[[#This Row],[MB1]]," - ",Query1[[#This Row],[MB2]]," - ",Query1[[#This Row],[MB3]])</f>
        <v>EVAP KIT 82-88 MONTE CARLO/EL CAMINO - 830132 - 0 - 0</v>
      </c>
    </row>
    <row r="3694" spans="1:15" x14ac:dyDescent="0.25">
      <c r="A3694" s="1">
        <v>918985</v>
      </c>
      <c r="B3694" s="1" t="s">
        <v>106</v>
      </c>
      <c r="C3694" s="1" t="s">
        <v>253</v>
      </c>
      <c r="D3694" s="2">
        <v>44662.308085300923</v>
      </c>
      <c r="E3694" s="1" t="s">
        <v>8</v>
      </c>
      <c r="F3694" s="1">
        <v>1</v>
      </c>
      <c r="G3694" s="1">
        <v>0</v>
      </c>
      <c r="H3694" s="6">
        <f>INT(Query1[[#This Row],[EntryDateTime]])</f>
        <v>44662</v>
      </c>
      <c r="I3694" s="1">
        <f>IF(Query1[[#This Row],[ItemType]]="EVAP KIT SF GEN IV",Query1[[#This Row],[OrderQty]]+I3693,I3693)</f>
        <v>4601</v>
      </c>
      <c r="J3694" s="1">
        <f>IF(Query1[[#This Row],[ItemType]]="EVAP KIT UNIVERSAL",Query1[[#This Row],[OrderQty]]+J3693,J3693)</f>
        <v>1579</v>
      </c>
      <c r="K3694" s="1">
        <f>Query1[[#This Row],[SF Running Total]]+Query1[[#This Row],[UNIV Running Total]]</f>
        <v>6180</v>
      </c>
      <c r="L3694">
        <f>VLOOKUP(Query1[[#This Row],[Description]],'kits to boards'!$B$2:$E$156,2,FALSE)</f>
        <v>830028</v>
      </c>
      <c r="M3694">
        <f>VLOOKUP(Query1[[#This Row],[Description]],'kits to boards'!$B$2:$E$156,3,FALSE)</f>
        <v>0</v>
      </c>
      <c r="N3694">
        <f>VLOOKUP(Query1[[#This Row],[Description]],'kits to boards'!$B$2:$E$156,4,FALSE)</f>
        <v>0</v>
      </c>
      <c r="O3694" t="str">
        <f>CONCATENATE(Query1[[#This Row],[Description]]," - ",Query1[[#This Row],[MB1]]," - ",Query1[[#This Row],[MB2]]," - ",Query1[[#This Row],[MB3]])</f>
        <v>EVAP KIT 55-59 CHEV P-UP WO AC W/DELX  - 830028 - 0 - 0</v>
      </c>
    </row>
    <row r="3695" spans="1:15" x14ac:dyDescent="0.25">
      <c r="A3695" s="1">
        <v>918989</v>
      </c>
      <c r="B3695" s="1" t="s">
        <v>98</v>
      </c>
      <c r="C3695" s="1" t="s">
        <v>99</v>
      </c>
      <c r="D3695" s="2">
        <v>44662.311156331016</v>
      </c>
      <c r="E3695" s="1" t="s">
        <v>11</v>
      </c>
      <c r="F3695" s="1">
        <v>1</v>
      </c>
      <c r="G3695" s="1">
        <v>0</v>
      </c>
      <c r="H3695" s="6">
        <f>INT(Query1[[#This Row],[EntryDateTime]])</f>
        <v>44662</v>
      </c>
      <c r="I3695" s="1">
        <f>IF(Query1[[#This Row],[ItemType]]="EVAP KIT SF GEN IV",Query1[[#This Row],[OrderQty]]+I3694,I3694)</f>
        <v>4601</v>
      </c>
      <c r="J3695" s="1">
        <f>IF(Query1[[#This Row],[ItemType]]="EVAP KIT UNIVERSAL",Query1[[#This Row],[OrderQty]]+J3694,J3694)</f>
        <v>1580</v>
      </c>
      <c r="K3695" s="1">
        <f>Query1[[#This Row],[SF Running Total]]+Query1[[#This Row],[UNIV Running Total]]</f>
        <v>6181</v>
      </c>
      <c r="L3695">
        <f>VLOOKUP(Query1[[#This Row],[Description]],'kits to boards'!$B$2:$E$156,2,FALSE)</f>
        <v>830099</v>
      </c>
      <c r="M3695">
        <f>VLOOKUP(Query1[[#This Row],[Description]],'kits to boards'!$B$2:$E$156,3,FALSE)</f>
        <v>0</v>
      </c>
      <c r="N3695">
        <f>VLOOKUP(Query1[[#This Row],[Description]],'kits to boards'!$B$2:$E$156,4,FALSE)</f>
        <v>0</v>
      </c>
      <c r="O3695" t="str">
        <f>CONCATENATE(Query1[[#This Row],[Description]]," - ",Query1[[#This Row],[MB1]]," - ",Query1[[#This Row],[MB2]]," - ",Query1[[#This Row],[MB3]])</f>
        <v>MINI GEN II W/DEF - 830099 - 0 - 0</v>
      </c>
    </row>
    <row r="3696" spans="1:15" x14ac:dyDescent="0.25">
      <c r="A3696" s="1">
        <v>918989</v>
      </c>
      <c r="B3696" s="1" t="s">
        <v>82</v>
      </c>
      <c r="C3696" s="1" t="s">
        <v>83</v>
      </c>
      <c r="D3696" s="2">
        <v>44662.31127716435</v>
      </c>
      <c r="E3696" s="1" t="s">
        <v>11</v>
      </c>
      <c r="F3696" s="1">
        <v>1</v>
      </c>
      <c r="G3696" s="1">
        <v>0</v>
      </c>
      <c r="H3696" s="6">
        <f>INT(Query1[[#This Row],[EntryDateTime]])</f>
        <v>44662</v>
      </c>
      <c r="I3696" s="1">
        <f>IF(Query1[[#This Row],[ItemType]]="EVAP KIT SF GEN IV",Query1[[#This Row],[OrderQty]]+I3695,I3695)</f>
        <v>4601</v>
      </c>
      <c r="J3696" s="1">
        <f>IF(Query1[[#This Row],[ItemType]]="EVAP KIT UNIVERSAL",Query1[[#This Row],[OrderQty]]+J3695,J3695)</f>
        <v>1581</v>
      </c>
      <c r="K3696" s="1">
        <f>Query1[[#This Row],[SF Running Total]]+Query1[[#This Row],[UNIV Running Total]]</f>
        <v>6182</v>
      </c>
      <c r="L3696">
        <f>VLOOKUP(Query1[[#This Row],[Description]],'kits to boards'!$B$2:$E$156,2,FALSE)</f>
        <v>830029</v>
      </c>
      <c r="M3696">
        <f>VLOOKUP(Query1[[#This Row],[Description]],'kits to boards'!$B$2:$E$156,3,FALSE)</f>
        <v>830030</v>
      </c>
      <c r="N3696">
        <f>VLOOKUP(Query1[[#This Row],[Description]],'kits to boards'!$B$2:$E$156,4,FALSE)</f>
        <v>0</v>
      </c>
      <c r="O3696" t="str">
        <f>CONCATENATE(Query1[[#This Row],[Description]]," - ",Query1[[#This Row],[MB1]]," - ",Query1[[#This Row],[MB2]]," - ",Query1[[#This Row],[MB3]])</f>
        <v>ComPac GEN II H/C - 830029 - 830030 - 0</v>
      </c>
    </row>
    <row r="3697" spans="1:15" x14ac:dyDescent="0.25">
      <c r="A3697" s="1">
        <v>918991</v>
      </c>
      <c r="B3697" s="1" t="s">
        <v>96</v>
      </c>
      <c r="C3697" s="1" t="s">
        <v>97</v>
      </c>
      <c r="D3697" s="2">
        <v>44662.318446412035</v>
      </c>
      <c r="E3697" s="1" t="s">
        <v>8</v>
      </c>
      <c r="F3697" s="1">
        <v>1</v>
      </c>
      <c r="G3697" s="1">
        <v>0</v>
      </c>
      <c r="H3697" s="6">
        <f>INT(Query1[[#This Row],[EntryDateTime]])</f>
        <v>44662</v>
      </c>
      <c r="I3697" s="1">
        <f>IF(Query1[[#This Row],[ItemType]]="EVAP KIT SF GEN IV",Query1[[#This Row],[OrderQty]]+I3696,I3696)</f>
        <v>4602</v>
      </c>
      <c r="J3697" s="1">
        <f>IF(Query1[[#This Row],[ItemType]]="EVAP KIT UNIVERSAL",Query1[[#This Row],[OrderQty]]+J3696,J3696)</f>
        <v>1581</v>
      </c>
      <c r="K3697" s="1">
        <f>Query1[[#This Row],[SF Running Total]]+Query1[[#This Row],[UNIV Running Total]]</f>
        <v>6183</v>
      </c>
      <c r="L3697">
        <f>VLOOKUP(Query1[[#This Row],[Description]],'kits to boards'!$B$2:$E$156,2,FALSE)</f>
        <v>830004</v>
      </c>
      <c r="M3697">
        <f>VLOOKUP(Query1[[#This Row],[Description]],'kits to boards'!$B$2:$E$156,3,FALSE)</f>
        <v>0</v>
      </c>
      <c r="N3697">
        <f>VLOOKUP(Query1[[#This Row],[Description]],'kits to boards'!$B$2:$E$156,4,FALSE)</f>
        <v>0</v>
      </c>
      <c r="O3697" t="str">
        <f>CONCATENATE(Query1[[#This Row],[Description]]," - ",Query1[[#This Row],[MB1]]," - ",Query1[[#This Row],[MB2]]," - ",Query1[[#This Row],[MB3]])</f>
        <v>EVAP KIT 81-87 CHEV P-UP W/AC - 830004 - 0 - 0</v>
      </c>
    </row>
    <row r="3698" spans="1:15" x14ac:dyDescent="0.25">
      <c r="A3698" s="1">
        <v>918992</v>
      </c>
      <c r="B3698" s="1" t="s">
        <v>84</v>
      </c>
      <c r="C3698" s="1" t="s">
        <v>85</v>
      </c>
      <c r="D3698" s="2">
        <v>44662.320065312502</v>
      </c>
      <c r="E3698" s="1" t="s">
        <v>8</v>
      </c>
      <c r="F3698" s="1">
        <v>1</v>
      </c>
      <c r="G3698" s="1">
        <v>0</v>
      </c>
      <c r="H3698" s="6">
        <f>INT(Query1[[#This Row],[EntryDateTime]])</f>
        <v>44662</v>
      </c>
      <c r="I3698" s="1">
        <f>IF(Query1[[#This Row],[ItemType]]="EVAP KIT SF GEN IV",Query1[[#This Row],[OrderQty]]+I3697,I3697)</f>
        <v>4603</v>
      </c>
      <c r="J3698" s="1">
        <f>IF(Query1[[#This Row],[ItemType]]="EVAP KIT UNIVERSAL",Query1[[#This Row],[OrderQty]]+J3697,J3697)</f>
        <v>1581</v>
      </c>
      <c r="K3698" s="1">
        <f>Query1[[#This Row],[SF Running Total]]+Query1[[#This Row],[UNIV Running Total]]</f>
        <v>6184</v>
      </c>
      <c r="L3698">
        <f>VLOOKUP(Query1[[#This Row],[Description]],'kits to boards'!$B$2:$E$156,2,FALSE)</f>
        <v>830085</v>
      </c>
      <c r="M3698">
        <f>VLOOKUP(Query1[[#This Row],[Description]],'kits to boards'!$B$2:$E$156,3,FALSE)</f>
        <v>0</v>
      </c>
      <c r="N3698">
        <f>VLOOKUP(Query1[[#This Row],[Description]],'kits to boards'!$B$2:$E$156,4,FALSE)</f>
        <v>0</v>
      </c>
      <c r="O3698" t="str">
        <f>CONCATENATE(Query1[[#This Row],[Description]]," - ",Query1[[#This Row],[MB1]]," - ",Query1[[#This Row],[MB2]]," - ",Query1[[#This Row],[MB3]])</f>
        <v>EVAP KIT 66-77 BRONCO 4-VENT PLENUM - 830085 - 0 - 0</v>
      </c>
    </row>
    <row r="3699" spans="1:15" x14ac:dyDescent="0.25">
      <c r="A3699" s="1">
        <v>919004</v>
      </c>
      <c r="B3699" s="1" t="s">
        <v>24</v>
      </c>
      <c r="C3699" s="1" t="s">
        <v>25</v>
      </c>
      <c r="D3699" s="2">
        <v>44662.335145173609</v>
      </c>
      <c r="E3699" s="1" t="s">
        <v>11</v>
      </c>
      <c r="F3699" s="1">
        <v>1</v>
      </c>
      <c r="G3699" s="1">
        <v>0</v>
      </c>
      <c r="H3699" s="6">
        <f>INT(Query1[[#This Row],[EntryDateTime]])</f>
        <v>44662</v>
      </c>
      <c r="I3699" s="1">
        <f>IF(Query1[[#This Row],[ItemType]]="EVAP KIT SF GEN IV",Query1[[#This Row],[OrderQty]]+I3698,I3698)</f>
        <v>4603</v>
      </c>
      <c r="J3699" s="1">
        <f>IF(Query1[[#This Row],[ItemType]]="EVAP KIT UNIVERSAL",Query1[[#This Row],[OrderQty]]+J3698,J3698)</f>
        <v>1582</v>
      </c>
      <c r="K3699" s="1">
        <f>Query1[[#This Row],[SF Running Total]]+Query1[[#This Row],[UNIV Running Total]]</f>
        <v>6185</v>
      </c>
      <c r="L3699">
        <f>VLOOKUP(Query1[[#This Row],[Description]],'kits to boards'!$B$2:$E$156,2,FALSE)</f>
        <v>830029</v>
      </c>
      <c r="M3699">
        <f>VLOOKUP(Query1[[#This Row],[Description]],'kits to boards'!$B$2:$E$156,3,FALSE)</f>
        <v>830030</v>
      </c>
      <c r="N3699">
        <f>VLOOKUP(Query1[[#This Row],[Description]],'kits to boards'!$B$2:$E$156,4,FALSE)</f>
        <v>0</v>
      </c>
      <c r="O3699" t="str">
        <f>CONCATENATE(Query1[[#This Row],[Description]]," - ",Query1[[#This Row],[MB1]]," - ",Query1[[#This Row],[MB2]]," - ",Query1[[#This Row],[MB3]])</f>
        <v>ComPac GEN II W/DEF - 830029 - 830030 - 0</v>
      </c>
    </row>
    <row r="3700" spans="1:15" x14ac:dyDescent="0.25">
      <c r="A3700" s="1">
        <v>919008</v>
      </c>
      <c r="B3700" s="1" t="s">
        <v>261</v>
      </c>
      <c r="C3700" s="1" t="s">
        <v>262</v>
      </c>
      <c r="D3700" s="2">
        <v>44662.336871412037</v>
      </c>
      <c r="E3700" s="1" t="s">
        <v>8</v>
      </c>
      <c r="F3700" s="1">
        <v>1</v>
      </c>
      <c r="G3700" s="1">
        <v>0</v>
      </c>
      <c r="H3700" s="6">
        <f>INT(Query1[[#This Row],[EntryDateTime]])</f>
        <v>44662</v>
      </c>
      <c r="I3700" s="1">
        <f>IF(Query1[[#This Row],[ItemType]]="EVAP KIT SF GEN IV",Query1[[#This Row],[OrderQty]]+I3699,I3699)</f>
        <v>4604</v>
      </c>
      <c r="J3700" s="1">
        <f>IF(Query1[[#This Row],[ItemType]]="EVAP KIT UNIVERSAL",Query1[[#This Row],[OrderQty]]+J3699,J3699)</f>
        <v>1582</v>
      </c>
      <c r="K3700" s="1">
        <f>Query1[[#This Row],[SF Running Total]]+Query1[[#This Row],[UNIV Running Total]]</f>
        <v>6186</v>
      </c>
      <c r="L3700">
        <f>VLOOKUP(Query1[[#This Row],[Description]],'kits to boards'!$B$2:$E$156,2,FALSE)</f>
        <v>830074</v>
      </c>
      <c r="M3700">
        <f>VLOOKUP(Query1[[#This Row],[Description]],'kits to boards'!$B$2:$E$156,3,FALSE)</f>
        <v>0</v>
      </c>
      <c r="N3700">
        <f>VLOOKUP(Query1[[#This Row],[Description]],'kits to boards'!$B$2:$E$156,4,FALSE)</f>
        <v>0</v>
      </c>
      <c r="O3700" t="str">
        <f>CONCATENATE(Query1[[#This Row],[Description]]," - ",Query1[[#This Row],[MB1]]," - ",Query1[[#This Row],[MB2]]," - ",Query1[[#This Row],[MB3]])</f>
        <v>EVAP KIT 68 MOPAR B BODY W/AC - 830074 - 0 - 0</v>
      </c>
    </row>
    <row r="3701" spans="1:15" x14ac:dyDescent="0.25">
      <c r="A3701" s="1">
        <v>919013</v>
      </c>
      <c r="B3701" s="1" t="s">
        <v>106</v>
      </c>
      <c r="C3701" s="1" t="s">
        <v>107</v>
      </c>
      <c r="D3701" s="2">
        <v>44662.344137187501</v>
      </c>
      <c r="E3701" s="1" t="s">
        <v>8</v>
      </c>
      <c r="F3701" s="1">
        <v>1</v>
      </c>
      <c r="G3701" s="1">
        <v>0</v>
      </c>
      <c r="H3701" s="6">
        <f>INT(Query1[[#This Row],[EntryDateTime]])</f>
        <v>44662</v>
      </c>
      <c r="I3701" s="1">
        <f>IF(Query1[[#This Row],[ItemType]]="EVAP KIT SF GEN IV",Query1[[#This Row],[OrderQty]]+I3700,I3700)</f>
        <v>4605</v>
      </c>
      <c r="J3701" s="1">
        <f>IF(Query1[[#This Row],[ItemType]]="EVAP KIT UNIVERSAL",Query1[[#This Row],[OrderQty]]+J3700,J3700)</f>
        <v>1582</v>
      </c>
      <c r="K3701" s="1">
        <f>Query1[[#This Row],[SF Running Total]]+Query1[[#This Row],[UNIV Running Total]]</f>
        <v>6187</v>
      </c>
      <c r="L3701">
        <f>VLOOKUP(Query1[[#This Row],[Description]],'kits to boards'!$B$2:$E$156,2,FALSE)</f>
        <v>830028</v>
      </c>
      <c r="M3701">
        <f>VLOOKUP(Query1[[#This Row],[Description]],'kits to boards'!$B$2:$E$156,3,FALSE)</f>
        <v>0</v>
      </c>
      <c r="N3701">
        <f>VLOOKUP(Query1[[#This Row],[Description]],'kits to boards'!$B$2:$E$156,4,FALSE)</f>
        <v>0</v>
      </c>
      <c r="O3701" t="str">
        <f>CONCATENATE(Query1[[#This Row],[Description]]," - ",Query1[[#This Row],[MB1]]," - ",Query1[[#This Row],[MB2]]," - ",Query1[[#This Row],[MB3]])</f>
        <v>EVAP KIT 55-59 CHEV P-UP WO AC W/DELX - 830028 - 0 - 0</v>
      </c>
    </row>
    <row r="3702" spans="1:15" x14ac:dyDescent="0.25">
      <c r="A3702" s="1">
        <v>918983</v>
      </c>
      <c r="B3702" s="1" t="s">
        <v>60</v>
      </c>
      <c r="C3702" s="1" t="s">
        <v>61</v>
      </c>
      <c r="D3702" s="2">
        <v>44662.344701354166</v>
      </c>
      <c r="E3702" s="1" t="s">
        <v>8</v>
      </c>
      <c r="F3702" s="1">
        <v>1</v>
      </c>
      <c r="G3702" s="1">
        <v>0</v>
      </c>
      <c r="H3702" s="6">
        <f>INT(Query1[[#This Row],[EntryDateTime]])</f>
        <v>44662</v>
      </c>
      <c r="I3702" s="1">
        <f>IF(Query1[[#This Row],[ItemType]]="EVAP KIT SF GEN IV",Query1[[#This Row],[OrderQty]]+I3701,I3701)</f>
        <v>4606</v>
      </c>
      <c r="J3702" s="1">
        <f>IF(Query1[[#This Row],[ItemType]]="EVAP KIT UNIVERSAL",Query1[[#This Row],[OrderQty]]+J3701,J3701)</f>
        <v>1582</v>
      </c>
      <c r="K3702" s="1">
        <f>Query1[[#This Row],[SF Running Total]]+Query1[[#This Row],[UNIV Running Total]]</f>
        <v>6188</v>
      </c>
      <c r="L3702">
        <f>VLOOKUP(Query1[[#This Row],[Description]],'kits to boards'!$B$2:$E$156,2,FALSE)</f>
        <v>830062</v>
      </c>
      <c r="M3702">
        <f>VLOOKUP(Query1[[#This Row],[Description]],'kits to boards'!$B$2:$E$156,3,FALSE)</f>
        <v>0</v>
      </c>
      <c r="N3702">
        <f>VLOOKUP(Query1[[#This Row],[Description]],'kits to boards'!$B$2:$E$156,4,FALSE)</f>
        <v>0</v>
      </c>
      <c r="O3702" t="str">
        <f>CONCATENATE(Query1[[#This Row],[Description]]," - ",Query1[[#This Row],[MB1]]," - ",Query1[[#This Row],[MB2]]," - ",Query1[[#This Row],[MB3]])</f>
        <v>EVAP KIT 68-69 CHEVELLE WO AC - 830062 - 0 - 0</v>
      </c>
    </row>
    <row r="3703" spans="1:15" x14ac:dyDescent="0.25">
      <c r="A3703" s="1">
        <v>919014</v>
      </c>
      <c r="B3703" s="1" t="s">
        <v>16</v>
      </c>
      <c r="C3703" s="1" t="s">
        <v>17</v>
      </c>
      <c r="D3703" s="2">
        <v>44662.34659158565</v>
      </c>
      <c r="E3703" s="1" t="s">
        <v>8</v>
      </c>
      <c r="F3703" s="1">
        <v>1</v>
      </c>
      <c r="G3703" s="1">
        <v>0</v>
      </c>
      <c r="H3703" s="6">
        <f>INT(Query1[[#This Row],[EntryDateTime]])</f>
        <v>44662</v>
      </c>
      <c r="I3703" s="1">
        <f>IF(Query1[[#This Row],[ItemType]]="EVAP KIT SF GEN IV",Query1[[#This Row],[OrderQty]]+I3702,I3702)</f>
        <v>4607</v>
      </c>
      <c r="J3703" s="1">
        <f>IF(Query1[[#This Row],[ItemType]]="EVAP KIT UNIVERSAL",Query1[[#This Row],[OrderQty]]+J3702,J3702)</f>
        <v>1582</v>
      </c>
      <c r="K3703" s="1">
        <f>Query1[[#This Row],[SF Running Total]]+Query1[[#This Row],[UNIV Running Total]]</f>
        <v>6189</v>
      </c>
      <c r="L3703">
        <f>VLOOKUP(Query1[[#This Row],[Description]],'kits to boards'!$B$2:$E$156,2,FALSE)</f>
        <v>830061</v>
      </c>
      <c r="M3703">
        <f>VLOOKUP(Query1[[#This Row],[Description]],'kits to boards'!$B$2:$E$156,3,FALSE)</f>
        <v>0</v>
      </c>
      <c r="N3703">
        <f>VLOOKUP(Query1[[#This Row],[Description]],'kits to boards'!$B$2:$E$156,4,FALSE)</f>
        <v>0</v>
      </c>
      <c r="O3703" t="str">
        <f>CONCATENATE(Query1[[#This Row],[Description]]," - ",Query1[[#This Row],[MB1]]," - ",Query1[[#This Row],[MB2]]," - ",Query1[[#This Row],[MB3]])</f>
        <v>EVAP KIT 68-69 CHEVELLE W/AC - 830061 - 0 - 0</v>
      </c>
    </row>
    <row r="3704" spans="1:15" x14ac:dyDescent="0.25">
      <c r="A3704" s="1">
        <v>919024</v>
      </c>
      <c r="B3704" s="1" t="s">
        <v>24</v>
      </c>
      <c r="C3704" s="1" t="s">
        <v>25</v>
      </c>
      <c r="D3704" s="2">
        <v>44662.358818437497</v>
      </c>
      <c r="E3704" s="1" t="s">
        <v>11</v>
      </c>
      <c r="F3704" s="1">
        <v>2</v>
      </c>
      <c r="G3704" s="1">
        <v>0</v>
      </c>
      <c r="H3704" s="6">
        <f>INT(Query1[[#This Row],[EntryDateTime]])</f>
        <v>44662</v>
      </c>
      <c r="I3704" s="1">
        <f>IF(Query1[[#This Row],[ItemType]]="EVAP KIT SF GEN IV",Query1[[#This Row],[OrderQty]]+I3703,I3703)</f>
        <v>4607</v>
      </c>
      <c r="J3704" s="1">
        <f>IF(Query1[[#This Row],[ItemType]]="EVAP KIT UNIVERSAL",Query1[[#This Row],[OrderQty]]+J3703,J3703)</f>
        <v>1584</v>
      </c>
      <c r="K3704" s="1">
        <f>Query1[[#This Row],[SF Running Total]]+Query1[[#This Row],[UNIV Running Total]]</f>
        <v>6191</v>
      </c>
      <c r="L3704">
        <f>VLOOKUP(Query1[[#This Row],[Description]],'kits to boards'!$B$2:$E$156,2,FALSE)</f>
        <v>830029</v>
      </c>
      <c r="M3704">
        <f>VLOOKUP(Query1[[#This Row],[Description]],'kits to boards'!$B$2:$E$156,3,FALSE)</f>
        <v>830030</v>
      </c>
      <c r="N3704">
        <f>VLOOKUP(Query1[[#This Row],[Description]],'kits to boards'!$B$2:$E$156,4,FALSE)</f>
        <v>0</v>
      </c>
      <c r="O3704" t="str">
        <f>CONCATENATE(Query1[[#This Row],[Description]]," - ",Query1[[#This Row],[MB1]]," - ",Query1[[#This Row],[MB2]]," - ",Query1[[#This Row],[MB3]])</f>
        <v>ComPac GEN II W/DEF - 830029 - 830030 - 0</v>
      </c>
    </row>
    <row r="3705" spans="1:15" x14ac:dyDescent="0.25">
      <c r="A3705" s="1">
        <v>919023</v>
      </c>
      <c r="B3705" s="1" t="s">
        <v>42</v>
      </c>
      <c r="C3705" s="1" t="s">
        <v>43</v>
      </c>
      <c r="D3705" s="2">
        <v>44662.361954398148</v>
      </c>
      <c r="E3705" s="1" t="s">
        <v>8</v>
      </c>
      <c r="F3705" s="1">
        <v>1</v>
      </c>
      <c r="G3705" s="1">
        <v>0</v>
      </c>
      <c r="H3705" s="6">
        <f>INT(Query1[[#This Row],[EntryDateTime]])</f>
        <v>44662</v>
      </c>
      <c r="I3705" s="1">
        <f>IF(Query1[[#This Row],[ItemType]]="EVAP KIT SF GEN IV",Query1[[#This Row],[OrderQty]]+I3704,I3704)</f>
        <v>4608</v>
      </c>
      <c r="J3705" s="1">
        <f>IF(Query1[[#This Row],[ItemType]]="EVAP KIT UNIVERSAL",Query1[[#This Row],[OrderQty]]+J3704,J3704)</f>
        <v>1584</v>
      </c>
      <c r="K3705" s="1">
        <f>Query1[[#This Row],[SF Running Total]]+Query1[[#This Row],[UNIV Running Total]]</f>
        <v>6192</v>
      </c>
      <c r="L3705">
        <f>VLOOKUP(Query1[[#This Row],[Description]],'kits to boards'!$B$2:$E$156,2,FALSE)</f>
        <v>830014</v>
      </c>
      <c r="M3705">
        <f>VLOOKUP(Query1[[#This Row],[Description]],'kits to boards'!$B$2:$E$156,3,FALSE)</f>
        <v>0</v>
      </c>
      <c r="N3705">
        <f>VLOOKUP(Query1[[#This Row],[Description]],'kits to boards'!$B$2:$E$156,4,FALSE)</f>
        <v>0</v>
      </c>
      <c r="O3705" t="str">
        <f>CONCATENATE(Query1[[#This Row],[Description]]," - ",Query1[[#This Row],[MB1]]," - ",Query1[[#This Row],[MB2]]," - ",Query1[[#This Row],[MB3]])</f>
        <v>EVAP KIT 67-72 CHEV P-UP WO AC - 830014 - 0 - 0</v>
      </c>
    </row>
    <row r="3706" spans="1:15" x14ac:dyDescent="0.25">
      <c r="A3706" s="1">
        <v>919023</v>
      </c>
      <c r="B3706" s="1" t="s">
        <v>14</v>
      </c>
      <c r="C3706" s="1" t="s">
        <v>15</v>
      </c>
      <c r="D3706" s="2">
        <v>44662.362121180558</v>
      </c>
      <c r="E3706" s="1" t="s">
        <v>8</v>
      </c>
      <c r="F3706" s="1">
        <v>1</v>
      </c>
      <c r="G3706" s="1">
        <v>0</v>
      </c>
      <c r="H3706" s="6">
        <f>INT(Query1[[#This Row],[EntryDateTime]])</f>
        <v>44662</v>
      </c>
      <c r="I3706" s="1">
        <f>IF(Query1[[#This Row],[ItemType]]="EVAP KIT SF GEN IV",Query1[[#This Row],[OrderQty]]+I3705,I3705)</f>
        <v>4609</v>
      </c>
      <c r="J3706" s="1">
        <f>IF(Query1[[#This Row],[ItemType]]="EVAP KIT UNIVERSAL",Query1[[#This Row],[OrderQty]]+J3705,J3705)</f>
        <v>1584</v>
      </c>
      <c r="K3706" s="1">
        <f>Query1[[#This Row],[SF Running Total]]+Query1[[#This Row],[UNIV Running Total]]</f>
        <v>6193</v>
      </c>
      <c r="L3706">
        <f>VLOOKUP(Query1[[#This Row],[Description]],'kits to boards'!$B$2:$E$156,2,FALSE)</f>
        <v>830054</v>
      </c>
      <c r="M3706">
        <f>VLOOKUP(Query1[[#This Row],[Description]],'kits to boards'!$B$2:$E$156,3,FALSE)</f>
        <v>0</v>
      </c>
      <c r="N3706">
        <f>VLOOKUP(Query1[[#This Row],[Description]],'kits to boards'!$B$2:$E$156,4,FALSE)</f>
        <v>0</v>
      </c>
      <c r="O3706" t="str">
        <f>CONCATENATE(Query1[[#This Row],[Description]]," - ",Query1[[#This Row],[MB1]]," - ",Query1[[#This Row],[MB2]]," - ",Query1[[#This Row],[MB3]])</f>
        <v>EVAP KIT 55-56 CHEVY - 830054 - 0 - 0</v>
      </c>
    </row>
    <row r="3707" spans="1:15" x14ac:dyDescent="0.25">
      <c r="A3707" s="1">
        <v>919023</v>
      </c>
      <c r="B3707" s="1" t="s">
        <v>22</v>
      </c>
      <c r="C3707" s="1" t="s">
        <v>23</v>
      </c>
      <c r="D3707" s="2">
        <v>44662.36238619213</v>
      </c>
      <c r="E3707" s="1" t="s">
        <v>8</v>
      </c>
      <c r="F3707" s="1">
        <v>2</v>
      </c>
      <c r="G3707" s="1">
        <v>0</v>
      </c>
      <c r="H3707" s="6">
        <f>INT(Query1[[#This Row],[EntryDateTime]])</f>
        <v>44662</v>
      </c>
      <c r="I3707" s="1">
        <f>IF(Query1[[#This Row],[ItemType]]="EVAP KIT SF GEN IV",Query1[[#This Row],[OrderQty]]+I3706,I3706)</f>
        <v>4611</v>
      </c>
      <c r="J3707" s="1">
        <f>IF(Query1[[#This Row],[ItemType]]="EVAP KIT UNIVERSAL",Query1[[#This Row],[OrderQty]]+J3706,J3706)</f>
        <v>1584</v>
      </c>
      <c r="K3707" s="1">
        <f>Query1[[#This Row],[SF Running Total]]+Query1[[#This Row],[UNIV Running Total]]</f>
        <v>6195</v>
      </c>
      <c r="L3707">
        <f>VLOOKUP(Query1[[#This Row],[Description]],'kits to boards'!$B$2:$E$156,2,FALSE)</f>
        <v>830083</v>
      </c>
      <c r="M3707">
        <f>VLOOKUP(Query1[[#This Row],[Description]],'kits to boards'!$B$2:$E$156,3,FALSE)</f>
        <v>0</v>
      </c>
      <c r="N3707">
        <f>VLOOKUP(Query1[[#This Row],[Description]],'kits to boards'!$B$2:$E$156,4,FALSE)</f>
        <v>0</v>
      </c>
      <c r="O3707" t="str">
        <f>CONCATENATE(Query1[[#This Row],[Description]]," - ",Query1[[#This Row],[MB1]]," - ",Query1[[#This Row],[MB2]]," - ",Query1[[#This Row],[MB3]])</f>
        <v>GEN IV MAGNUM EVAP KIT - 830083 - 0 - 0</v>
      </c>
    </row>
    <row r="3708" spans="1:15" x14ac:dyDescent="0.25">
      <c r="A3708" s="1">
        <v>919023</v>
      </c>
      <c r="B3708" s="1" t="s">
        <v>9</v>
      </c>
      <c r="C3708" s="1" t="s">
        <v>10</v>
      </c>
      <c r="D3708" s="2">
        <v>44662.362570451391</v>
      </c>
      <c r="E3708" s="1" t="s">
        <v>11</v>
      </c>
      <c r="F3708" s="1">
        <v>2</v>
      </c>
      <c r="G3708" s="1">
        <v>0</v>
      </c>
      <c r="H3708" s="6">
        <f>INT(Query1[[#This Row],[EntryDateTime]])</f>
        <v>44662</v>
      </c>
      <c r="I3708" s="1">
        <f>IF(Query1[[#This Row],[ItemType]]="EVAP KIT SF GEN IV",Query1[[#This Row],[OrderQty]]+I3707,I3707)</f>
        <v>4611</v>
      </c>
      <c r="J3708" s="1">
        <f>IF(Query1[[#This Row],[ItemType]]="EVAP KIT UNIVERSAL",Query1[[#This Row],[OrderQty]]+J3707,J3707)</f>
        <v>1586</v>
      </c>
      <c r="K3708" s="1">
        <f>Query1[[#This Row],[SF Running Total]]+Query1[[#This Row],[UNIV Running Total]]</f>
        <v>6197</v>
      </c>
      <c r="L3708">
        <f>VLOOKUP(Query1[[#This Row],[Description]],'kits to boards'!$B$2:$E$156,2,FALSE)</f>
        <v>830069</v>
      </c>
      <c r="M3708">
        <f>VLOOKUP(Query1[[#This Row],[Description]],'kits to boards'!$B$2:$E$156,3,FALSE)</f>
        <v>0</v>
      </c>
      <c r="N3708">
        <f>VLOOKUP(Query1[[#This Row],[Description]],'kits to boards'!$B$2:$E$156,4,FALSE)</f>
        <v>0</v>
      </c>
      <c r="O3708" t="str">
        <f>CONCATENATE(Query1[[#This Row],[Description]]," - ",Query1[[#This Row],[MB1]]," - ",Query1[[#This Row],[MB2]]," - ",Query1[[#This Row],[MB3]])</f>
        <v>SLIMLINE H/C W/DEF STD LOUVER - 830069 - 0 - 0</v>
      </c>
    </row>
    <row r="3709" spans="1:15" x14ac:dyDescent="0.25">
      <c r="A3709" s="1">
        <v>919023</v>
      </c>
      <c r="B3709" s="1" t="s">
        <v>100</v>
      </c>
      <c r="C3709" s="1" t="s">
        <v>101</v>
      </c>
      <c r="D3709" s="2">
        <v>44662.362684803244</v>
      </c>
      <c r="E3709" s="1" t="s">
        <v>8</v>
      </c>
      <c r="F3709" s="1">
        <v>1</v>
      </c>
      <c r="G3709" s="1">
        <v>0</v>
      </c>
      <c r="H3709" s="6">
        <f>INT(Query1[[#This Row],[EntryDateTime]])</f>
        <v>44662</v>
      </c>
      <c r="I3709" s="1">
        <f>IF(Query1[[#This Row],[ItemType]]="EVAP KIT SF GEN IV",Query1[[#This Row],[OrderQty]]+I3708,I3708)</f>
        <v>4612</v>
      </c>
      <c r="J3709" s="1">
        <f>IF(Query1[[#This Row],[ItemType]]="EVAP KIT UNIVERSAL",Query1[[#This Row],[OrderQty]]+J3708,J3708)</f>
        <v>1586</v>
      </c>
      <c r="K3709" s="1">
        <f>Query1[[#This Row],[SF Running Total]]+Query1[[#This Row],[UNIV Running Total]]</f>
        <v>6198</v>
      </c>
      <c r="L3709">
        <f>VLOOKUP(Query1[[#This Row],[Description]],'kits to boards'!$B$2:$E$156,2,FALSE)</f>
        <v>830096</v>
      </c>
      <c r="M3709">
        <f>VLOOKUP(Query1[[#This Row],[Description]],'kits to boards'!$B$2:$E$156,3,FALSE)</f>
        <v>0</v>
      </c>
      <c r="N3709">
        <f>VLOOKUP(Query1[[#This Row],[Description]],'kits to boards'!$B$2:$E$156,4,FALSE)</f>
        <v>0</v>
      </c>
      <c r="O3709" t="str">
        <f>CONCATENATE(Query1[[#This Row],[Description]]," - ",Query1[[#This Row],[MB1]]," - ",Query1[[#This Row],[MB2]]," - ",Query1[[#This Row],[MB3]])</f>
        <v>EVAP KIT 62-65 NOVA - 830096 - 0 - 0</v>
      </c>
    </row>
    <row r="3710" spans="1:15" x14ac:dyDescent="0.25">
      <c r="A3710" s="1">
        <v>919023</v>
      </c>
      <c r="B3710" s="1" t="s">
        <v>92</v>
      </c>
      <c r="C3710" s="1" t="s">
        <v>93</v>
      </c>
      <c r="D3710" s="2">
        <v>44662.362920520834</v>
      </c>
      <c r="E3710" s="1" t="s">
        <v>8</v>
      </c>
      <c r="F3710" s="1">
        <v>2</v>
      </c>
      <c r="G3710" s="1">
        <v>0</v>
      </c>
      <c r="H3710" s="6">
        <f>INT(Query1[[#This Row],[EntryDateTime]])</f>
        <v>44662</v>
      </c>
      <c r="I3710" s="1">
        <f>IF(Query1[[#This Row],[ItemType]]="EVAP KIT SF GEN IV",Query1[[#This Row],[OrderQty]]+I3709,I3709)</f>
        <v>4614</v>
      </c>
      <c r="J3710" s="1">
        <f>IF(Query1[[#This Row],[ItemType]]="EVAP KIT UNIVERSAL",Query1[[#This Row],[OrderQty]]+J3709,J3709)</f>
        <v>1586</v>
      </c>
      <c r="K3710" s="1">
        <f>Query1[[#This Row],[SF Running Total]]+Query1[[#This Row],[UNIV Running Total]]</f>
        <v>6200</v>
      </c>
      <c r="L3710">
        <f>VLOOKUP(Query1[[#This Row],[Description]],'kits to boards'!$B$2:$E$156,2,FALSE)</f>
        <v>830063</v>
      </c>
      <c r="M3710">
        <f>VLOOKUP(Query1[[#This Row],[Description]],'kits to boards'!$B$2:$E$156,3,FALSE)</f>
        <v>0</v>
      </c>
      <c r="N3710">
        <f>VLOOKUP(Query1[[#This Row],[Description]],'kits to boards'!$B$2:$E$156,4,FALSE)</f>
        <v>0</v>
      </c>
      <c r="O3710" t="str">
        <f>CONCATENATE(Query1[[#This Row],[Description]]," - ",Query1[[#This Row],[MB1]]," - ",Query1[[#This Row],[MB2]]," - ",Query1[[#This Row],[MB3]])</f>
        <v>EVAP KIT 50-53 CHEV P-UP GEN IV - 830063 - 0 - 0</v>
      </c>
    </row>
    <row r="3711" spans="1:15" x14ac:dyDescent="0.25">
      <c r="A3711" s="1">
        <v>919023</v>
      </c>
      <c r="B3711" s="1" t="s">
        <v>94</v>
      </c>
      <c r="C3711" s="1" t="s">
        <v>95</v>
      </c>
      <c r="D3711" s="2">
        <v>44662.363585879626</v>
      </c>
      <c r="E3711" s="1" t="s">
        <v>8</v>
      </c>
      <c r="F3711" s="1">
        <v>2</v>
      </c>
      <c r="G3711" s="1">
        <v>0</v>
      </c>
      <c r="H3711" s="6">
        <f>INT(Query1[[#This Row],[EntryDateTime]])</f>
        <v>44662</v>
      </c>
      <c r="I3711" s="1">
        <f>IF(Query1[[#This Row],[ItemType]]="EVAP KIT SF GEN IV",Query1[[#This Row],[OrderQty]]+I3710,I3710)</f>
        <v>4616</v>
      </c>
      <c r="J3711" s="1">
        <f>IF(Query1[[#This Row],[ItemType]]="EVAP KIT UNIVERSAL",Query1[[#This Row],[OrderQty]]+J3710,J3710)</f>
        <v>1586</v>
      </c>
      <c r="K3711" s="1">
        <f>Query1[[#This Row],[SF Running Total]]+Query1[[#This Row],[UNIV Running Total]]</f>
        <v>6202</v>
      </c>
      <c r="L3711">
        <f>VLOOKUP(Query1[[#This Row],[Description]],'kits to boards'!$B$2:$E$156,2,FALSE)</f>
        <v>830076</v>
      </c>
      <c r="M3711">
        <f>VLOOKUP(Query1[[#This Row],[Description]],'kits to boards'!$B$2:$E$156,3,FALSE)</f>
        <v>0</v>
      </c>
      <c r="N3711">
        <f>VLOOKUP(Query1[[#This Row],[Description]],'kits to boards'!$B$2:$E$156,4,FALSE)</f>
        <v>0</v>
      </c>
      <c r="O3711" t="str">
        <f>CONCATENATE(Query1[[#This Row],[Description]]," - ",Query1[[#This Row],[MB1]]," - ",Query1[[#This Row],[MB2]]," - ",Query1[[#This Row],[MB3]])</f>
        <v>EVAP KIT 64 1/2- 66 MUSTANG  - 830076 - 0 - 0</v>
      </c>
    </row>
    <row r="3712" spans="1:15" x14ac:dyDescent="0.25">
      <c r="A3712" s="1">
        <v>919023</v>
      </c>
      <c r="B3712" s="1" t="s">
        <v>128</v>
      </c>
      <c r="C3712" s="1" t="s">
        <v>129</v>
      </c>
      <c r="D3712" s="2">
        <v>44662.364359027779</v>
      </c>
      <c r="E3712" s="1" t="s">
        <v>8</v>
      </c>
      <c r="F3712" s="1">
        <v>1</v>
      </c>
      <c r="G3712" s="1">
        <v>0</v>
      </c>
      <c r="H3712" s="6">
        <f>INT(Query1[[#This Row],[EntryDateTime]])</f>
        <v>44662</v>
      </c>
      <c r="I3712" s="1">
        <f>IF(Query1[[#This Row],[ItemType]]="EVAP KIT SF GEN IV",Query1[[#This Row],[OrderQty]]+I3711,I3711)</f>
        <v>4617</v>
      </c>
      <c r="J3712" s="1">
        <f>IF(Query1[[#This Row],[ItemType]]="EVAP KIT UNIVERSAL",Query1[[#This Row],[OrderQty]]+J3711,J3711)</f>
        <v>1586</v>
      </c>
      <c r="K3712" s="1">
        <f>Query1[[#This Row],[SF Running Total]]+Query1[[#This Row],[UNIV Running Total]]</f>
        <v>6203</v>
      </c>
      <c r="L3712">
        <f>VLOOKUP(Query1[[#This Row],[Description]],'kits to boards'!$B$2:$E$156,2,FALSE)</f>
        <v>830036</v>
      </c>
      <c r="M3712">
        <f>VLOOKUP(Query1[[#This Row],[Description]],'kits to boards'!$B$2:$E$156,3,FALSE)</f>
        <v>830039</v>
      </c>
      <c r="N3712">
        <f>VLOOKUP(Query1[[#This Row],[Description]],'kits to boards'!$B$2:$E$156,4,FALSE)</f>
        <v>0</v>
      </c>
      <c r="O3712" t="str">
        <f>CONCATENATE(Query1[[#This Row],[Description]]," - ",Query1[[#This Row],[MB1]]," - ",Query1[[#This Row],[MB2]]," - ",Query1[[#This Row],[MB3]])</f>
        <v>EVAP KIT 63-66 VETTE WO AC - 830036 - 830039 - 0</v>
      </c>
    </row>
    <row r="3713" spans="1:15" x14ac:dyDescent="0.25">
      <c r="A3713" s="1">
        <v>919023</v>
      </c>
      <c r="B3713" s="1" t="s">
        <v>92</v>
      </c>
      <c r="C3713" s="1" t="s">
        <v>93</v>
      </c>
      <c r="D3713" s="2">
        <v>44662.366261226853</v>
      </c>
      <c r="E3713" s="1" t="s">
        <v>8</v>
      </c>
      <c r="F3713" s="1">
        <v>1</v>
      </c>
      <c r="G3713" s="1">
        <v>0</v>
      </c>
      <c r="H3713" s="6">
        <f>INT(Query1[[#This Row],[EntryDateTime]])</f>
        <v>44662</v>
      </c>
      <c r="I3713" s="1">
        <f>IF(Query1[[#This Row],[ItemType]]="EVAP KIT SF GEN IV",Query1[[#This Row],[OrderQty]]+I3712,I3712)</f>
        <v>4618</v>
      </c>
      <c r="J3713" s="1">
        <f>IF(Query1[[#This Row],[ItemType]]="EVAP KIT UNIVERSAL",Query1[[#This Row],[OrderQty]]+J3712,J3712)</f>
        <v>1586</v>
      </c>
      <c r="K3713" s="1">
        <f>Query1[[#This Row],[SF Running Total]]+Query1[[#This Row],[UNIV Running Total]]</f>
        <v>6204</v>
      </c>
      <c r="L3713">
        <f>VLOOKUP(Query1[[#This Row],[Description]],'kits to boards'!$B$2:$E$156,2,FALSE)</f>
        <v>830063</v>
      </c>
      <c r="M3713">
        <f>VLOOKUP(Query1[[#This Row],[Description]],'kits to boards'!$B$2:$E$156,3,FALSE)</f>
        <v>0</v>
      </c>
      <c r="N3713">
        <f>VLOOKUP(Query1[[#This Row],[Description]],'kits to boards'!$B$2:$E$156,4,FALSE)</f>
        <v>0</v>
      </c>
      <c r="O3713" t="str">
        <f>CONCATENATE(Query1[[#This Row],[Description]]," - ",Query1[[#This Row],[MB1]]," - ",Query1[[#This Row],[MB2]]," - ",Query1[[#This Row],[MB3]])</f>
        <v>EVAP KIT 50-53 CHEV P-UP GEN IV - 830063 - 0 - 0</v>
      </c>
    </row>
    <row r="3714" spans="1:15" x14ac:dyDescent="0.25">
      <c r="A3714" s="1">
        <v>919023</v>
      </c>
      <c r="B3714" s="1" t="s">
        <v>676</v>
      </c>
      <c r="C3714" s="1" t="s">
        <v>471</v>
      </c>
      <c r="D3714" s="2">
        <v>44662.371852314813</v>
      </c>
      <c r="E3714" s="1" t="s">
        <v>677</v>
      </c>
      <c r="F3714" s="1">
        <v>1</v>
      </c>
      <c r="G3714" s="1">
        <v>0</v>
      </c>
      <c r="H3714" s="6">
        <f>INT(Query1[[#This Row],[EntryDateTime]])</f>
        <v>44662</v>
      </c>
      <c r="I3714" s="1">
        <f>IF(Query1[[#This Row],[ItemType]]="EVAP KIT SF GEN IV",Query1[[#This Row],[OrderQty]]+I3713,I3713)</f>
        <v>4618</v>
      </c>
      <c r="J3714" s="1">
        <f>IF(Query1[[#This Row],[ItemType]]="EVAP KIT UNIVERSAL",Query1[[#This Row],[OrderQty]]+J3713,J3713)</f>
        <v>1586</v>
      </c>
      <c r="K3714" s="1">
        <f>Query1[[#This Row],[SF Running Total]]+Query1[[#This Row],[UNIV Running Total]]</f>
        <v>6204</v>
      </c>
      <c r="L3714" t="e">
        <f>VLOOKUP(Query1[[#This Row],[Description]],'kits to boards'!$B$2:$E$156,2,FALSE)</f>
        <v>#N/A</v>
      </c>
      <c r="M3714" t="e">
        <f>VLOOKUP(Query1[[#This Row],[Description]],'kits to boards'!$B$2:$E$156,3,FALSE)</f>
        <v>#N/A</v>
      </c>
      <c r="N3714" t="e">
        <f>VLOOKUP(Query1[[#This Row],[Description]],'kits to boards'!$B$2:$E$156,4,FALSE)</f>
        <v>#N/A</v>
      </c>
      <c r="O3714" t="e">
        <f>CONCATENATE(Query1[[#This Row],[Description]]," - ",Query1[[#This Row],[MB1]]," - ",Query1[[#This Row],[MB2]]," - ",Query1[[#This Row],[MB3]])</f>
        <v>#N/A</v>
      </c>
    </row>
    <row r="3715" spans="1:15" x14ac:dyDescent="0.25">
      <c r="A3715" s="1">
        <v>919023</v>
      </c>
      <c r="B3715" s="1" t="s">
        <v>36</v>
      </c>
      <c r="C3715" s="1" t="s">
        <v>37</v>
      </c>
      <c r="D3715" s="2">
        <v>44662.372702974535</v>
      </c>
      <c r="E3715" s="1" t="s">
        <v>8</v>
      </c>
      <c r="F3715" s="1">
        <v>1</v>
      </c>
      <c r="G3715" s="1">
        <v>0</v>
      </c>
      <c r="H3715" s="6">
        <f>INT(Query1[[#This Row],[EntryDateTime]])</f>
        <v>44662</v>
      </c>
      <c r="I3715" s="1">
        <f>IF(Query1[[#This Row],[ItemType]]="EVAP KIT SF GEN IV",Query1[[#This Row],[OrderQty]]+I3714,I3714)</f>
        <v>4619</v>
      </c>
      <c r="J3715" s="1">
        <f>IF(Query1[[#This Row],[ItemType]]="EVAP KIT UNIVERSAL",Query1[[#This Row],[OrderQty]]+J3714,J3714)</f>
        <v>1586</v>
      </c>
      <c r="K3715" s="1">
        <f>Query1[[#This Row],[SF Running Total]]+Query1[[#This Row],[UNIV Running Total]]</f>
        <v>6205</v>
      </c>
      <c r="L3715">
        <f>VLOOKUP(Query1[[#This Row],[Description]],'kits to boards'!$B$2:$E$156,2,FALSE)</f>
        <v>830015</v>
      </c>
      <c r="M3715">
        <f>VLOOKUP(Query1[[#This Row],[Description]],'kits to boards'!$B$2:$E$156,3,FALSE)</f>
        <v>0</v>
      </c>
      <c r="N3715">
        <f>VLOOKUP(Query1[[#This Row],[Description]],'kits to boards'!$B$2:$E$156,4,FALSE)</f>
        <v>0</v>
      </c>
      <c r="O3715" t="str">
        <f>CONCATENATE(Query1[[#This Row],[Description]]," - ",Query1[[#This Row],[MB1]]," - ",Query1[[#This Row],[MB2]]," - ",Query1[[#This Row],[MB3]])</f>
        <v>EVAP KIT 64-66 CHEV P-UP WO AC W/STD - 830015 - 0 - 0</v>
      </c>
    </row>
    <row r="3716" spans="1:15" x14ac:dyDescent="0.25">
      <c r="A3716" s="1">
        <v>919029</v>
      </c>
      <c r="B3716" s="1" t="s">
        <v>94</v>
      </c>
      <c r="C3716" s="1" t="s">
        <v>95</v>
      </c>
      <c r="D3716" s="2">
        <v>44662.373083298611</v>
      </c>
      <c r="E3716" s="1" t="s">
        <v>8</v>
      </c>
      <c r="F3716" s="1">
        <v>1</v>
      </c>
      <c r="G3716" s="1">
        <v>0</v>
      </c>
      <c r="H3716" s="6">
        <f>INT(Query1[[#This Row],[EntryDateTime]])</f>
        <v>44662</v>
      </c>
      <c r="I3716" s="1">
        <f>IF(Query1[[#This Row],[ItemType]]="EVAP KIT SF GEN IV",Query1[[#This Row],[OrderQty]]+I3715,I3715)</f>
        <v>4620</v>
      </c>
      <c r="J3716" s="1">
        <f>IF(Query1[[#This Row],[ItemType]]="EVAP KIT UNIVERSAL",Query1[[#This Row],[OrderQty]]+J3715,J3715)</f>
        <v>1586</v>
      </c>
      <c r="K3716" s="1">
        <f>Query1[[#This Row],[SF Running Total]]+Query1[[#This Row],[UNIV Running Total]]</f>
        <v>6206</v>
      </c>
      <c r="L3716">
        <f>VLOOKUP(Query1[[#This Row],[Description]],'kits to boards'!$B$2:$E$156,2,FALSE)</f>
        <v>830076</v>
      </c>
      <c r="M3716">
        <f>VLOOKUP(Query1[[#This Row],[Description]],'kits to boards'!$B$2:$E$156,3,FALSE)</f>
        <v>0</v>
      </c>
      <c r="N3716">
        <f>VLOOKUP(Query1[[#This Row],[Description]],'kits to boards'!$B$2:$E$156,4,FALSE)</f>
        <v>0</v>
      </c>
      <c r="O3716" t="str">
        <f>CONCATENATE(Query1[[#This Row],[Description]]," - ",Query1[[#This Row],[MB1]]," - ",Query1[[#This Row],[MB2]]," - ",Query1[[#This Row],[MB3]])</f>
        <v>EVAP KIT 64 1/2- 66 MUSTANG  - 830076 - 0 - 0</v>
      </c>
    </row>
    <row r="3717" spans="1:15" x14ac:dyDescent="0.25">
      <c r="A3717" s="1">
        <v>919023</v>
      </c>
      <c r="B3717" s="1" t="s">
        <v>224</v>
      </c>
      <c r="C3717" s="1" t="s">
        <v>225</v>
      </c>
      <c r="D3717" s="2">
        <v>44662.37353892361</v>
      </c>
      <c r="E3717" s="1" t="s">
        <v>8</v>
      </c>
      <c r="F3717" s="1">
        <v>1</v>
      </c>
      <c r="G3717" s="1">
        <v>0</v>
      </c>
      <c r="H3717" s="6">
        <f>INT(Query1[[#This Row],[EntryDateTime]])</f>
        <v>44662</v>
      </c>
      <c r="I3717" s="1">
        <f>IF(Query1[[#This Row],[ItemType]]="EVAP KIT SF GEN IV",Query1[[#This Row],[OrderQty]]+I3716,I3716)</f>
        <v>4621</v>
      </c>
      <c r="J3717" s="1">
        <f>IF(Query1[[#This Row],[ItemType]]="EVAP KIT UNIVERSAL",Query1[[#This Row],[OrderQty]]+J3716,J3716)</f>
        <v>1586</v>
      </c>
      <c r="K3717" s="1">
        <f>Query1[[#This Row],[SF Running Total]]+Query1[[#This Row],[UNIV Running Total]]</f>
        <v>6207</v>
      </c>
      <c r="L3717">
        <f>VLOOKUP(Query1[[#This Row],[Description]],'kits to boards'!$B$2:$E$156,2,FALSE)</f>
        <v>830124</v>
      </c>
      <c r="M3717">
        <f>VLOOKUP(Query1[[#This Row],[Description]],'kits to boards'!$B$2:$E$156,3,FALSE)</f>
        <v>0</v>
      </c>
      <c r="N3717">
        <f>VLOOKUP(Query1[[#This Row],[Description]],'kits to boards'!$B$2:$E$156,4,FALSE)</f>
        <v>0</v>
      </c>
      <c r="O3717" t="str">
        <f>CONCATENATE(Query1[[#This Row],[Description]]," - ",Query1[[#This Row],[MB1]]," - ",Query1[[#This Row],[MB2]]," - ",Query1[[#This Row],[MB3]])</f>
        <v>EVAP KIT 70-72 GTO WO/AC - 830124 - 0 - 0</v>
      </c>
    </row>
    <row r="3718" spans="1:15" x14ac:dyDescent="0.25">
      <c r="A3718" s="1">
        <v>919031</v>
      </c>
      <c r="B3718" s="1" t="s">
        <v>110</v>
      </c>
      <c r="C3718" s="1" t="s">
        <v>111</v>
      </c>
      <c r="D3718" s="2">
        <v>44662.374949039353</v>
      </c>
      <c r="E3718" s="1" t="s">
        <v>8</v>
      </c>
      <c r="F3718" s="1">
        <v>1</v>
      </c>
      <c r="G3718" s="1">
        <v>0</v>
      </c>
      <c r="H3718" s="6">
        <f>INT(Query1[[#This Row],[EntryDateTime]])</f>
        <v>44662</v>
      </c>
      <c r="I3718" s="1">
        <f>IF(Query1[[#This Row],[ItemType]]="EVAP KIT SF GEN IV",Query1[[#This Row],[OrderQty]]+I3717,I3717)</f>
        <v>4622</v>
      </c>
      <c r="J3718" s="1">
        <f>IF(Query1[[#This Row],[ItemType]]="EVAP KIT UNIVERSAL",Query1[[#This Row],[OrderQty]]+J3717,J3717)</f>
        <v>1586</v>
      </c>
      <c r="K3718" s="1">
        <f>Query1[[#This Row],[SF Running Total]]+Query1[[#This Row],[UNIV Running Total]]</f>
        <v>6208</v>
      </c>
      <c r="L3718">
        <f>VLOOKUP(Query1[[#This Row],[Description]],'kits to boards'!$B$2:$E$156,2,FALSE)</f>
        <v>830053</v>
      </c>
      <c r="M3718">
        <f>VLOOKUP(Query1[[#This Row],[Description]],'kits to boards'!$B$2:$E$156,3,FALSE)</f>
        <v>0</v>
      </c>
      <c r="N3718">
        <f>VLOOKUP(Query1[[#This Row],[Description]],'kits to boards'!$B$2:$E$156,4,FALSE)</f>
        <v>0</v>
      </c>
      <c r="O3718" t="str">
        <f>CONCATENATE(Query1[[#This Row],[Description]]," - ",Query1[[#This Row],[MB1]]," - ",Query1[[#This Row],[MB2]]," - ",Query1[[#This Row],[MB3]])</f>
        <v>EVAP KIT 65-66 FORD F-100 - 830053 - 0 - 0</v>
      </c>
    </row>
    <row r="3719" spans="1:15" x14ac:dyDescent="0.25">
      <c r="A3719" s="1">
        <v>919032</v>
      </c>
      <c r="B3719" s="1" t="s">
        <v>42</v>
      </c>
      <c r="C3719" s="1" t="s">
        <v>43</v>
      </c>
      <c r="D3719" s="2">
        <v>44662.375978275464</v>
      </c>
      <c r="E3719" s="1" t="s">
        <v>8</v>
      </c>
      <c r="F3719" s="1">
        <v>1</v>
      </c>
      <c r="G3719" s="1">
        <v>0</v>
      </c>
      <c r="H3719" s="6">
        <f>INT(Query1[[#This Row],[EntryDateTime]])</f>
        <v>44662</v>
      </c>
      <c r="I3719" s="1">
        <f>IF(Query1[[#This Row],[ItemType]]="EVAP KIT SF GEN IV",Query1[[#This Row],[OrderQty]]+I3718,I3718)</f>
        <v>4623</v>
      </c>
      <c r="J3719" s="1">
        <f>IF(Query1[[#This Row],[ItemType]]="EVAP KIT UNIVERSAL",Query1[[#This Row],[OrderQty]]+J3718,J3718)</f>
        <v>1586</v>
      </c>
      <c r="K3719" s="1">
        <f>Query1[[#This Row],[SF Running Total]]+Query1[[#This Row],[UNIV Running Total]]</f>
        <v>6209</v>
      </c>
      <c r="L3719">
        <f>VLOOKUP(Query1[[#This Row],[Description]],'kits to boards'!$B$2:$E$156,2,FALSE)</f>
        <v>830014</v>
      </c>
      <c r="M3719">
        <f>VLOOKUP(Query1[[#This Row],[Description]],'kits to boards'!$B$2:$E$156,3,FALSE)</f>
        <v>0</v>
      </c>
      <c r="N3719">
        <f>VLOOKUP(Query1[[#This Row],[Description]],'kits to boards'!$B$2:$E$156,4,FALSE)</f>
        <v>0</v>
      </c>
      <c r="O3719" t="str">
        <f>CONCATENATE(Query1[[#This Row],[Description]]," - ",Query1[[#This Row],[MB1]]," - ",Query1[[#This Row],[MB2]]," - ",Query1[[#This Row],[MB3]])</f>
        <v>EVAP KIT 67-72 CHEV P-UP WO AC - 830014 - 0 - 0</v>
      </c>
    </row>
    <row r="3720" spans="1:15" x14ac:dyDescent="0.25">
      <c r="A3720" s="1">
        <v>919036</v>
      </c>
      <c r="B3720" s="1" t="s">
        <v>26</v>
      </c>
      <c r="C3720" s="1" t="s">
        <v>27</v>
      </c>
      <c r="D3720" s="2">
        <v>44662.379208564817</v>
      </c>
      <c r="E3720" s="1" t="s">
        <v>8</v>
      </c>
      <c r="F3720" s="1">
        <v>1</v>
      </c>
      <c r="G3720" s="1">
        <v>0</v>
      </c>
      <c r="H3720" s="6">
        <f>INT(Query1[[#This Row],[EntryDateTime]])</f>
        <v>44662</v>
      </c>
      <c r="I3720" s="1">
        <f>IF(Query1[[#This Row],[ItemType]]="EVAP KIT SF GEN IV",Query1[[#This Row],[OrderQty]]+I3719,I3719)</f>
        <v>4624</v>
      </c>
      <c r="J3720" s="1">
        <f>IF(Query1[[#This Row],[ItemType]]="EVAP KIT UNIVERSAL",Query1[[#This Row],[OrderQty]]+J3719,J3719)</f>
        <v>1586</v>
      </c>
      <c r="K3720" s="1">
        <f>Query1[[#This Row],[SF Running Total]]+Query1[[#This Row],[UNIV Running Total]]</f>
        <v>6210</v>
      </c>
      <c r="L3720">
        <f>VLOOKUP(Query1[[#This Row],[Description]],'kits to boards'!$B$2:$E$156,2,FALSE)</f>
        <v>830013</v>
      </c>
      <c r="M3720">
        <f>VLOOKUP(Query1[[#This Row],[Description]],'kits to boards'!$B$2:$E$156,3,FALSE)</f>
        <v>0</v>
      </c>
      <c r="N3720">
        <f>VLOOKUP(Query1[[#This Row],[Description]],'kits to boards'!$B$2:$E$156,4,FALSE)</f>
        <v>0</v>
      </c>
      <c r="O3720" t="str">
        <f>CONCATENATE(Query1[[#This Row],[Description]]," - ",Query1[[#This Row],[MB1]]," - ",Query1[[#This Row],[MB2]]," - ",Query1[[#This Row],[MB3]])</f>
        <v>EVAP KIT 67-72 CHEV P-UP W/AC - 830013 - 0 - 0</v>
      </c>
    </row>
    <row r="3721" spans="1:15" x14ac:dyDescent="0.25">
      <c r="A3721" s="1">
        <v>919037</v>
      </c>
      <c r="B3721" s="1" t="s">
        <v>26</v>
      </c>
      <c r="C3721" s="1" t="s">
        <v>27</v>
      </c>
      <c r="D3721" s="2">
        <v>44662.38128765046</v>
      </c>
      <c r="E3721" s="1" t="s">
        <v>8</v>
      </c>
      <c r="F3721" s="1">
        <v>1</v>
      </c>
      <c r="G3721" s="1">
        <v>0</v>
      </c>
      <c r="H3721" s="6">
        <f>INT(Query1[[#This Row],[EntryDateTime]])</f>
        <v>44662</v>
      </c>
      <c r="I3721" s="1">
        <f>IF(Query1[[#This Row],[ItemType]]="EVAP KIT SF GEN IV",Query1[[#This Row],[OrderQty]]+I3720,I3720)</f>
        <v>4625</v>
      </c>
      <c r="J3721" s="1">
        <f>IF(Query1[[#This Row],[ItemType]]="EVAP KIT UNIVERSAL",Query1[[#This Row],[OrderQty]]+J3720,J3720)</f>
        <v>1586</v>
      </c>
      <c r="K3721" s="1">
        <f>Query1[[#This Row],[SF Running Total]]+Query1[[#This Row],[UNIV Running Total]]</f>
        <v>6211</v>
      </c>
      <c r="L3721">
        <f>VLOOKUP(Query1[[#This Row],[Description]],'kits to boards'!$B$2:$E$156,2,FALSE)</f>
        <v>830013</v>
      </c>
      <c r="M3721">
        <f>VLOOKUP(Query1[[#This Row],[Description]],'kits to boards'!$B$2:$E$156,3,FALSE)</f>
        <v>0</v>
      </c>
      <c r="N3721">
        <f>VLOOKUP(Query1[[#This Row],[Description]],'kits to boards'!$B$2:$E$156,4,FALSE)</f>
        <v>0</v>
      </c>
      <c r="O3721" t="str">
        <f>CONCATENATE(Query1[[#This Row],[Description]]," - ",Query1[[#This Row],[MB1]]," - ",Query1[[#This Row],[MB2]]," - ",Query1[[#This Row],[MB3]])</f>
        <v>EVAP KIT 67-72 CHEV P-UP W/AC - 830013 - 0 - 0</v>
      </c>
    </row>
    <row r="3722" spans="1:15" x14ac:dyDescent="0.25">
      <c r="A3722" s="1">
        <v>919039</v>
      </c>
      <c r="B3722" s="1" t="s">
        <v>68</v>
      </c>
      <c r="C3722" s="1" t="s">
        <v>69</v>
      </c>
      <c r="D3722" s="2">
        <v>44662.383182141202</v>
      </c>
      <c r="E3722" s="1" t="s">
        <v>8</v>
      </c>
      <c r="F3722" s="1">
        <v>1</v>
      </c>
      <c r="G3722" s="1">
        <v>0</v>
      </c>
      <c r="H3722" s="6">
        <f>INT(Query1[[#This Row],[EntryDateTime]])</f>
        <v>44662</v>
      </c>
      <c r="I3722" s="1">
        <f>IF(Query1[[#This Row],[ItemType]]="EVAP KIT SF GEN IV",Query1[[#This Row],[OrderQty]]+I3721,I3721)</f>
        <v>4626</v>
      </c>
      <c r="J3722" s="1">
        <f>IF(Query1[[#This Row],[ItemType]]="EVAP KIT UNIVERSAL",Query1[[#This Row],[OrderQty]]+J3721,J3721)</f>
        <v>1586</v>
      </c>
      <c r="K3722" s="1">
        <f>Query1[[#This Row],[SF Running Total]]+Query1[[#This Row],[UNIV Running Total]]</f>
        <v>6212</v>
      </c>
      <c r="L3722">
        <f>VLOOKUP(Query1[[#This Row],[Description]],'kits to boards'!$B$2:$E$156,2,FALSE)</f>
        <v>830010</v>
      </c>
      <c r="M3722">
        <f>VLOOKUP(Query1[[#This Row],[Description]],'kits to boards'!$B$2:$E$156,3,FALSE)</f>
        <v>0</v>
      </c>
      <c r="N3722">
        <f>VLOOKUP(Query1[[#This Row],[Description]],'kits to boards'!$B$2:$E$156,4,FALSE)</f>
        <v>0</v>
      </c>
      <c r="O3722" t="str">
        <f>CONCATENATE(Query1[[#This Row],[Description]]," - ",Query1[[#This Row],[MB1]]," - ",Query1[[#This Row],[MB2]]," - ",Query1[[#This Row],[MB3]])</f>
        <v>EVAP KIT 70-72 CHEVELLE WO AC - 830010 - 0 - 0</v>
      </c>
    </row>
    <row r="3723" spans="1:15" x14ac:dyDescent="0.25">
      <c r="A3723" s="1">
        <v>918895</v>
      </c>
      <c r="B3723" s="1" t="s">
        <v>24</v>
      </c>
      <c r="C3723" s="1" t="s">
        <v>25</v>
      </c>
      <c r="D3723" s="2">
        <v>44662.383408993053</v>
      </c>
      <c r="E3723" s="1" t="s">
        <v>11</v>
      </c>
      <c r="F3723" s="1">
        <v>2</v>
      </c>
      <c r="G3723" s="1">
        <v>0</v>
      </c>
      <c r="H3723" s="6">
        <f>INT(Query1[[#This Row],[EntryDateTime]])</f>
        <v>44662</v>
      </c>
      <c r="I3723" s="1">
        <f>IF(Query1[[#This Row],[ItemType]]="EVAP KIT SF GEN IV",Query1[[#This Row],[OrderQty]]+I3722,I3722)</f>
        <v>4626</v>
      </c>
      <c r="J3723" s="1">
        <f>IF(Query1[[#This Row],[ItemType]]="EVAP KIT UNIVERSAL",Query1[[#This Row],[OrderQty]]+J3722,J3722)</f>
        <v>1588</v>
      </c>
      <c r="K3723" s="1">
        <f>Query1[[#This Row],[SF Running Total]]+Query1[[#This Row],[UNIV Running Total]]</f>
        <v>6214</v>
      </c>
      <c r="L3723">
        <f>VLOOKUP(Query1[[#This Row],[Description]],'kits to boards'!$B$2:$E$156,2,FALSE)</f>
        <v>830029</v>
      </c>
      <c r="M3723">
        <f>VLOOKUP(Query1[[#This Row],[Description]],'kits to boards'!$B$2:$E$156,3,FALSE)</f>
        <v>830030</v>
      </c>
      <c r="N3723">
        <f>VLOOKUP(Query1[[#This Row],[Description]],'kits to boards'!$B$2:$E$156,4,FALSE)</f>
        <v>0</v>
      </c>
      <c r="O3723" t="str">
        <f>CONCATENATE(Query1[[#This Row],[Description]]," - ",Query1[[#This Row],[MB1]]," - ",Query1[[#This Row],[MB2]]," - ",Query1[[#This Row],[MB3]])</f>
        <v>ComPac GEN II W/DEF - 830029 - 830030 - 0</v>
      </c>
    </row>
    <row r="3724" spans="1:15" x14ac:dyDescent="0.25">
      <c r="A3724" s="1">
        <v>919044</v>
      </c>
      <c r="B3724" s="1" t="s">
        <v>96</v>
      </c>
      <c r="C3724" s="1" t="s">
        <v>97</v>
      </c>
      <c r="D3724" s="2">
        <v>44662.385559409726</v>
      </c>
      <c r="E3724" s="1" t="s">
        <v>8</v>
      </c>
      <c r="F3724" s="1">
        <v>1</v>
      </c>
      <c r="G3724" s="1">
        <v>0</v>
      </c>
      <c r="H3724" s="6">
        <f>INT(Query1[[#This Row],[EntryDateTime]])</f>
        <v>44662</v>
      </c>
      <c r="I3724" s="1">
        <f>IF(Query1[[#This Row],[ItemType]]="EVAP KIT SF GEN IV",Query1[[#This Row],[OrderQty]]+I3723,I3723)</f>
        <v>4627</v>
      </c>
      <c r="J3724" s="1">
        <f>IF(Query1[[#This Row],[ItemType]]="EVAP KIT UNIVERSAL",Query1[[#This Row],[OrderQty]]+J3723,J3723)</f>
        <v>1588</v>
      </c>
      <c r="K3724" s="1">
        <f>Query1[[#This Row],[SF Running Total]]+Query1[[#This Row],[UNIV Running Total]]</f>
        <v>6215</v>
      </c>
      <c r="L3724">
        <f>VLOOKUP(Query1[[#This Row],[Description]],'kits to boards'!$B$2:$E$156,2,FALSE)</f>
        <v>830004</v>
      </c>
      <c r="M3724">
        <f>VLOOKUP(Query1[[#This Row],[Description]],'kits to boards'!$B$2:$E$156,3,FALSE)</f>
        <v>0</v>
      </c>
      <c r="N3724">
        <f>VLOOKUP(Query1[[#This Row],[Description]],'kits to boards'!$B$2:$E$156,4,FALSE)</f>
        <v>0</v>
      </c>
      <c r="O3724" t="str">
        <f>CONCATENATE(Query1[[#This Row],[Description]]," - ",Query1[[#This Row],[MB1]]," - ",Query1[[#This Row],[MB2]]," - ",Query1[[#This Row],[MB3]])</f>
        <v>EVAP KIT 81-87 CHEV P-UP W/AC - 830004 - 0 - 0</v>
      </c>
    </row>
    <row r="3725" spans="1:15" x14ac:dyDescent="0.25">
      <c r="A3725" s="1">
        <v>919048</v>
      </c>
      <c r="B3725" s="1" t="s">
        <v>26</v>
      </c>
      <c r="C3725" s="1" t="s">
        <v>27</v>
      </c>
      <c r="D3725" s="2">
        <v>44662.388091284723</v>
      </c>
      <c r="E3725" s="1" t="s">
        <v>8</v>
      </c>
      <c r="F3725" s="1">
        <v>1</v>
      </c>
      <c r="G3725" s="1">
        <v>0</v>
      </c>
      <c r="H3725" s="6">
        <f>INT(Query1[[#This Row],[EntryDateTime]])</f>
        <v>44662</v>
      </c>
      <c r="I3725" s="1">
        <f>IF(Query1[[#This Row],[ItemType]]="EVAP KIT SF GEN IV",Query1[[#This Row],[OrderQty]]+I3724,I3724)</f>
        <v>4628</v>
      </c>
      <c r="J3725" s="1">
        <f>IF(Query1[[#This Row],[ItemType]]="EVAP KIT UNIVERSAL",Query1[[#This Row],[OrderQty]]+J3724,J3724)</f>
        <v>1588</v>
      </c>
      <c r="K3725" s="1">
        <f>Query1[[#This Row],[SF Running Total]]+Query1[[#This Row],[UNIV Running Total]]</f>
        <v>6216</v>
      </c>
      <c r="L3725">
        <f>VLOOKUP(Query1[[#This Row],[Description]],'kits to boards'!$B$2:$E$156,2,FALSE)</f>
        <v>830013</v>
      </c>
      <c r="M3725">
        <f>VLOOKUP(Query1[[#This Row],[Description]],'kits to boards'!$B$2:$E$156,3,FALSE)</f>
        <v>0</v>
      </c>
      <c r="N3725">
        <f>VLOOKUP(Query1[[#This Row],[Description]],'kits to boards'!$B$2:$E$156,4,FALSE)</f>
        <v>0</v>
      </c>
      <c r="O3725" t="str">
        <f>CONCATENATE(Query1[[#This Row],[Description]]," - ",Query1[[#This Row],[MB1]]," - ",Query1[[#This Row],[MB2]]," - ",Query1[[#This Row],[MB3]])</f>
        <v>EVAP KIT 67-72 CHEV P-UP W/AC - 830013 - 0 - 0</v>
      </c>
    </row>
    <row r="3726" spans="1:15" x14ac:dyDescent="0.25">
      <c r="A3726" s="1">
        <v>919050</v>
      </c>
      <c r="B3726" s="1" t="s">
        <v>116</v>
      </c>
      <c r="C3726" s="1" t="s">
        <v>117</v>
      </c>
      <c r="D3726" s="2">
        <v>44662.392033761571</v>
      </c>
      <c r="E3726" s="1" t="s">
        <v>8</v>
      </c>
      <c r="F3726" s="1">
        <v>1</v>
      </c>
      <c r="G3726" s="1">
        <v>0</v>
      </c>
      <c r="H3726" s="6">
        <f>INT(Query1[[#This Row],[EntryDateTime]])</f>
        <v>44662</v>
      </c>
      <c r="I3726" s="1">
        <f>IF(Query1[[#This Row],[ItemType]]="EVAP KIT SF GEN IV",Query1[[#This Row],[OrderQty]]+I3725,I3725)</f>
        <v>4629</v>
      </c>
      <c r="J3726" s="1">
        <f>IF(Query1[[#This Row],[ItemType]]="EVAP KIT UNIVERSAL",Query1[[#This Row],[OrderQty]]+J3725,J3725)</f>
        <v>1588</v>
      </c>
      <c r="K3726" s="1">
        <f>Query1[[#This Row],[SF Running Total]]+Query1[[#This Row],[UNIV Running Total]]</f>
        <v>6217</v>
      </c>
      <c r="L3726">
        <f>VLOOKUP(Query1[[#This Row],[Description]],'kits to boards'!$B$2:$E$156,2,FALSE)</f>
        <v>830058</v>
      </c>
      <c r="M3726">
        <f>VLOOKUP(Query1[[#This Row],[Description]],'kits to boards'!$B$2:$E$156,3,FALSE)</f>
        <v>0</v>
      </c>
      <c r="N3726">
        <f>VLOOKUP(Query1[[#This Row],[Description]],'kits to boards'!$B$2:$E$156,4,FALSE)</f>
        <v>0</v>
      </c>
      <c r="O3726" t="str">
        <f>CONCATENATE(Query1[[#This Row],[Description]]," - ",Query1[[#This Row],[MB1]]," - ",Query1[[#This Row],[MB2]]," - ",Query1[[#This Row],[MB3]])</f>
        <v>EVAP KIT 64-65 CHEVELLE WO AC - 830058 - 0 - 0</v>
      </c>
    </row>
    <row r="3727" spans="1:15" x14ac:dyDescent="0.25">
      <c r="A3727" s="1">
        <v>919056</v>
      </c>
      <c r="B3727" s="1" t="s">
        <v>102</v>
      </c>
      <c r="C3727" s="1" t="s">
        <v>103</v>
      </c>
      <c r="D3727" s="2">
        <v>44662.40195590278</v>
      </c>
      <c r="E3727" s="1" t="s">
        <v>8</v>
      </c>
      <c r="F3727" s="1">
        <v>1</v>
      </c>
      <c r="G3727" s="1">
        <v>0</v>
      </c>
      <c r="H3727" s="6">
        <f>INT(Query1[[#This Row],[EntryDateTime]])</f>
        <v>44662</v>
      </c>
      <c r="I3727" s="1">
        <f>IF(Query1[[#This Row],[ItemType]]="EVAP KIT SF GEN IV",Query1[[#This Row],[OrderQty]]+I3726,I3726)</f>
        <v>4630</v>
      </c>
      <c r="J3727" s="1">
        <f>IF(Query1[[#This Row],[ItemType]]="EVAP KIT UNIVERSAL",Query1[[#This Row],[OrderQty]]+J3726,J3726)</f>
        <v>1588</v>
      </c>
      <c r="K3727" s="1">
        <f>Query1[[#This Row],[SF Running Total]]+Query1[[#This Row],[UNIV Running Total]]</f>
        <v>6218</v>
      </c>
      <c r="L3727">
        <f>VLOOKUP(Query1[[#This Row],[Description]],'kits to boards'!$B$2:$E$156,2,FALSE)</f>
        <v>830012</v>
      </c>
      <c r="M3727">
        <f>VLOOKUP(Query1[[#This Row],[Description]],'kits to boards'!$B$2:$E$156,3,FALSE)</f>
        <v>0</v>
      </c>
      <c r="N3727">
        <f>VLOOKUP(Query1[[#This Row],[Description]],'kits to boards'!$B$2:$E$156,4,FALSE)</f>
        <v>0</v>
      </c>
      <c r="O3727" t="str">
        <f>CONCATENATE(Query1[[#This Row],[Description]]," - ",Query1[[#This Row],[MB1]]," - ",Query1[[#This Row],[MB2]]," - ",Query1[[#This Row],[MB3]])</f>
        <v>EVAP KIT 69 CAMARO WO/AC - 830012 - 0 - 0</v>
      </c>
    </row>
    <row r="3728" spans="1:15" x14ac:dyDescent="0.25">
      <c r="A3728" s="1">
        <v>919001</v>
      </c>
      <c r="B3728" s="1" t="s">
        <v>42</v>
      </c>
      <c r="C3728" s="1" t="s">
        <v>43</v>
      </c>
      <c r="D3728" s="2">
        <v>44662.406096296298</v>
      </c>
      <c r="E3728" s="1" t="s">
        <v>8</v>
      </c>
      <c r="F3728" s="1">
        <v>1</v>
      </c>
      <c r="G3728" s="1">
        <v>0</v>
      </c>
      <c r="H3728" s="6">
        <f>INT(Query1[[#This Row],[EntryDateTime]])</f>
        <v>44662</v>
      </c>
      <c r="I3728" s="1">
        <f>IF(Query1[[#This Row],[ItemType]]="EVAP KIT SF GEN IV",Query1[[#This Row],[OrderQty]]+I3727,I3727)</f>
        <v>4631</v>
      </c>
      <c r="J3728" s="1">
        <f>IF(Query1[[#This Row],[ItemType]]="EVAP KIT UNIVERSAL",Query1[[#This Row],[OrderQty]]+J3727,J3727)</f>
        <v>1588</v>
      </c>
      <c r="K3728" s="1">
        <f>Query1[[#This Row],[SF Running Total]]+Query1[[#This Row],[UNIV Running Total]]</f>
        <v>6219</v>
      </c>
      <c r="L3728">
        <f>VLOOKUP(Query1[[#This Row],[Description]],'kits to boards'!$B$2:$E$156,2,FALSE)</f>
        <v>830014</v>
      </c>
      <c r="M3728">
        <f>VLOOKUP(Query1[[#This Row],[Description]],'kits to boards'!$B$2:$E$156,3,FALSE)</f>
        <v>0</v>
      </c>
      <c r="N3728">
        <f>VLOOKUP(Query1[[#This Row],[Description]],'kits to boards'!$B$2:$E$156,4,FALSE)</f>
        <v>0</v>
      </c>
      <c r="O3728" t="str">
        <f>CONCATENATE(Query1[[#This Row],[Description]]," - ",Query1[[#This Row],[MB1]]," - ",Query1[[#This Row],[MB2]]," - ",Query1[[#This Row],[MB3]])</f>
        <v>EVAP KIT 67-72 CHEV P-UP WO AC - 830014 - 0 - 0</v>
      </c>
    </row>
    <row r="3729" spans="1:15" x14ac:dyDescent="0.25">
      <c r="A3729" s="1">
        <v>919060</v>
      </c>
      <c r="B3729" s="1" t="s">
        <v>70</v>
      </c>
      <c r="C3729" s="1" t="s">
        <v>71</v>
      </c>
      <c r="D3729" s="2">
        <v>44662.407429479164</v>
      </c>
      <c r="E3729" s="1" t="s">
        <v>8</v>
      </c>
      <c r="F3729" s="1">
        <v>1</v>
      </c>
      <c r="G3729" s="1">
        <v>0</v>
      </c>
      <c r="H3729" s="6">
        <f>INT(Query1[[#This Row],[EntryDateTime]])</f>
        <v>44662</v>
      </c>
      <c r="I3729" s="1">
        <f>IF(Query1[[#This Row],[ItemType]]="EVAP KIT SF GEN IV",Query1[[#This Row],[OrderQty]]+I3728,I3728)</f>
        <v>4632</v>
      </c>
      <c r="J3729" s="1">
        <f>IF(Query1[[#This Row],[ItemType]]="EVAP KIT UNIVERSAL",Query1[[#This Row],[OrderQty]]+J3728,J3728)</f>
        <v>1588</v>
      </c>
      <c r="K3729" s="1">
        <f>Query1[[#This Row],[SF Running Total]]+Query1[[#This Row],[UNIV Running Total]]</f>
        <v>6220</v>
      </c>
      <c r="L3729">
        <f>VLOOKUP(Query1[[#This Row],[Description]],'kits to boards'!$B$2:$E$156,2,FALSE)</f>
        <v>830050</v>
      </c>
      <c r="M3729">
        <f>VLOOKUP(Query1[[#This Row],[Description]],'kits to boards'!$B$2:$E$156,3,FALSE)</f>
        <v>0</v>
      </c>
      <c r="N3729">
        <f>VLOOKUP(Query1[[#This Row],[Description]],'kits to boards'!$B$2:$E$156,4,FALSE)</f>
        <v>0</v>
      </c>
      <c r="O3729" t="str">
        <f>CONCATENATE(Query1[[#This Row],[Description]]," - ",Query1[[#This Row],[MB1]]," - ",Query1[[#This Row],[MB2]]," - ",Query1[[#This Row],[MB3]])</f>
        <v>EVAP KIT 70-78 CAMARO WO AC - 830050 - 0 - 0</v>
      </c>
    </row>
    <row r="3730" spans="1:15" x14ac:dyDescent="0.25">
      <c r="A3730" s="1">
        <v>919062</v>
      </c>
      <c r="B3730" s="1" t="s">
        <v>192</v>
      </c>
      <c r="C3730" s="1" t="s">
        <v>193</v>
      </c>
      <c r="D3730" s="2">
        <v>44662.409433067129</v>
      </c>
      <c r="E3730" s="1" t="s">
        <v>8</v>
      </c>
      <c r="F3730" s="1">
        <v>1</v>
      </c>
      <c r="G3730" s="1">
        <v>0</v>
      </c>
      <c r="H3730" s="6">
        <f>INT(Query1[[#This Row],[EntryDateTime]])</f>
        <v>44662</v>
      </c>
      <c r="I3730" s="1">
        <f>IF(Query1[[#This Row],[ItemType]]="EVAP KIT SF GEN IV",Query1[[#This Row],[OrderQty]]+I3729,I3729)</f>
        <v>4633</v>
      </c>
      <c r="J3730" s="1">
        <f>IF(Query1[[#This Row],[ItemType]]="EVAP KIT UNIVERSAL",Query1[[#This Row],[OrderQty]]+J3729,J3729)</f>
        <v>1588</v>
      </c>
      <c r="K3730" s="1">
        <f>Query1[[#This Row],[SF Running Total]]+Query1[[#This Row],[UNIV Running Total]]</f>
        <v>6221</v>
      </c>
      <c r="L3730">
        <f>VLOOKUP(Query1[[#This Row],[Description]],'kits to boards'!$B$2:$E$156,2,FALSE)</f>
        <v>830094</v>
      </c>
      <c r="M3730">
        <f>VLOOKUP(Query1[[#This Row],[Description]],'kits to boards'!$B$2:$E$156,3,FALSE)</f>
        <v>0</v>
      </c>
      <c r="N3730">
        <f>VLOOKUP(Query1[[#This Row],[Description]],'kits to boards'!$B$2:$E$156,4,FALSE)</f>
        <v>0</v>
      </c>
      <c r="O3730" t="str">
        <f>CONCATENATE(Query1[[#This Row],[Description]]," - ",Query1[[#This Row],[MB1]]," - ",Query1[[#This Row],[MB2]]," - ",Query1[[#This Row],[MB3]])</f>
        <v>EVAP KIT 69-73 VETTE W/AC - 830094 - 0 - 0</v>
      </c>
    </row>
    <row r="3731" spans="1:15" x14ac:dyDescent="0.25">
      <c r="A3731" s="1">
        <v>919061</v>
      </c>
      <c r="B3731" s="1" t="s">
        <v>210</v>
      </c>
      <c r="C3731" s="1" t="s">
        <v>211</v>
      </c>
      <c r="D3731" s="2">
        <v>44662.409466319441</v>
      </c>
      <c r="E3731" s="1" t="s">
        <v>8</v>
      </c>
      <c r="F3731" s="1">
        <v>1</v>
      </c>
      <c r="G3731" s="1">
        <v>0</v>
      </c>
      <c r="H3731" s="6">
        <f>INT(Query1[[#This Row],[EntryDateTime]])</f>
        <v>44662</v>
      </c>
      <c r="I3731" s="1">
        <f>IF(Query1[[#This Row],[ItemType]]="EVAP KIT SF GEN IV",Query1[[#This Row],[OrderQty]]+I3730,I3730)</f>
        <v>4634</v>
      </c>
      <c r="J3731" s="1">
        <f>IF(Query1[[#This Row],[ItemType]]="EVAP KIT UNIVERSAL",Query1[[#This Row],[OrderQty]]+J3730,J3730)</f>
        <v>1588</v>
      </c>
      <c r="K3731" s="1">
        <f>Query1[[#This Row],[SF Running Total]]+Query1[[#This Row],[UNIV Running Total]]</f>
        <v>6222</v>
      </c>
      <c r="L3731">
        <f>VLOOKUP(Query1[[#This Row],[Description]],'kits to boards'!$B$2:$E$156,2,FALSE)</f>
        <v>830094</v>
      </c>
      <c r="M3731">
        <f>VLOOKUP(Query1[[#This Row],[Description]],'kits to boards'!$B$2:$E$156,3,FALSE)</f>
        <v>0</v>
      </c>
      <c r="N3731">
        <f>VLOOKUP(Query1[[#This Row],[Description]],'kits to boards'!$B$2:$E$156,4,FALSE)</f>
        <v>0</v>
      </c>
      <c r="O3731" t="str">
        <f>CONCATENATE(Query1[[#This Row],[Description]]," - ",Query1[[#This Row],[MB1]]," - ",Query1[[#This Row],[MB2]]," - ",Query1[[#This Row],[MB3]])</f>
        <v>EVAP KIT 74-76 VETTE W/AC - 830094 - 0 - 0</v>
      </c>
    </row>
    <row r="3732" spans="1:15" x14ac:dyDescent="0.25">
      <c r="A3732" s="1">
        <v>919066</v>
      </c>
      <c r="B3732" s="1" t="s">
        <v>46</v>
      </c>
      <c r="C3732" s="1" t="s">
        <v>47</v>
      </c>
      <c r="D3732" s="2">
        <v>44662.415293368053</v>
      </c>
      <c r="E3732" s="1" t="s">
        <v>8</v>
      </c>
      <c r="F3732" s="1">
        <v>1</v>
      </c>
      <c r="G3732" s="1">
        <v>0</v>
      </c>
      <c r="H3732" s="6">
        <f>INT(Query1[[#This Row],[EntryDateTime]])</f>
        <v>44662</v>
      </c>
      <c r="I3732" s="1">
        <f>IF(Query1[[#This Row],[ItemType]]="EVAP KIT SF GEN IV",Query1[[#This Row],[OrderQty]]+I3731,I3731)</f>
        <v>4635</v>
      </c>
      <c r="J3732" s="1">
        <f>IF(Query1[[#This Row],[ItemType]]="EVAP KIT UNIVERSAL",Query1[[#This Row],[OrderQty]]+J3731,J3731)</f>
        <v>1588</v>
      </c>
      <c r="K3732" s="1">
        <f>Query1[[#This Row],[SF Running Total]]+Query1[[#This Row],[UNIV Running Total]]</f>
        <v>6223</v>
      </c>
      <c r="L3732">
        <f>VLOOKUP(Query1[[#This Row],[Description]],'kits to boards'!$B$2:$E$156,2,FALSE)</f>
        <v>830018</v>
      </c>
      <c r="M3732">
        <f>VLOOKUP(Query1[[#This Row],[Description]],'kits to boards'!$B$2:$E$156,3,FALSE)</f>
        <v>0</v>
      </c>
      <c r="N3732">
        <f>VLOOKUP(Query1[[#This Row],[Description]],'kits to boards'!$B$2:$E$156,4,FALSE)</f>
        <v>0</v>
      </c>
      <c r="O3732" t="str">
        <f>CONCATENATE(Query1[[#This Row],[Description]]," - ",Query1[[#This Row],[MB1]]," - ",Query1[[#This Row],[MB2]]," - ",Query1[[#This Row],[MB3]])</f>
        <v>EVAP KIT 68-72 FORD P-UP F-100 - 830018 - 0 - 0</v>
      </c>
    </row>
    <row r="3733" spans="1:15" x14ac:dyDescent="0.25">
      <c r="A3733" s="1">
        <v>919071</v>
      </c>
      <c r="B3733" s="1" t="s">
        <v>96</v>
      </c>
      <c r="C3733" s="1" t="s">
        <v>97</v>
      </c>
      <c r="D3733" s="2">
        <v>44662.426018715276</v>
      </c>
      <c r="E3733" s="1" t="s">
        <v>8</v>
      </c>
      <c r="F3733" s="1">
        <v>1</v>
      </c>
      <c r="G3733" s="1">
        <v>0</v>
      </c>
      <c r="H3733" s="6">
        <f>INT(Query1[[#This Row],[EntryDateTime]])</f>
        <v>44662</v>
      </c>
      <c r="I3733" s="1">
        <f>IF(Query1[[#This Row],[ItemType]]="EVAP KIT SF GEN IV",Query1[[#This Row],[OrderQty]]+I3732,I3732)</f>
        <v>4636</v>
      </c>
      <c r="J3733" s="1">
        <f>IF(Query1[[#This Row],[ItemType]]="EVAP KIT UNIVERSAL",Query1[[#This Row],[OrderQty]]+J3732,J3732)</f>
        <v>1588</v>
      </c>
      <c r="K3733" s="1">
        <f>Query1[[#This Row],[SF Running Total]]+Query1[[#This Row],[UNIV Running Total]]</f>
        <v>6224</v>
      </c>
      <c r="L3733">
        <f>VLOOKUP(Query1[[#This Row],[Description]],'kits to boards'!$B$2:$E$156,2,FALSE)</f>
        <v>830004</v>
      </c>
      <c r="M3733">
        <f>VLOOKUP(Query1[[#This Row],[Description]],'kits to boards'!$B$2:$E$156,3,FALSE)</f>
        <v>0</v>
      </c>
      <c r="N3733">
        <f>VLOOKUP(Query1[[#This Row],[Description]],'kits to boards'!$B$2:$E$156,4,FALSE)</f>
        <v>0</v>
      </c>
      <c r="O3733" t="str">
        <f>CONCATENATE(Query1[[#This Row],[Description]]," - ",Query1[[#This Row],[MB1]]," - ",Query1[[#This Row],[MB2]]," - ",Query1[[#This Row],[MB3]])</f>
        <v>EVAP KIT 81-87 CHEV P-UP W/AC - 830004 - 0 - 0</v>
      </c>
    </row>
    <row r="3734" spans="1:15" x14ac:dyDescent="0.25">
      <c r="A3734" s="1">
        <v>919076</v>
      </c>
      <c r="B3734" s="1" t="s">
        <v>304</v>
      </c>
      <c r="C3734" s="1" t="s">
        <v>119</v>
      </c>
      <c r="D3734" s="2">
        <v>44662.43261640046</v>
      </c>
      <c r="E3734" s="1" t="s">
        <v>11</v>
      </c>
      <c r="F3734" s="1">
        <v>1</v>
      </c>
      <c r="G3734" s="1">
        <v>0</v>
      </c>
      <c r="H3734" s="6">
        <f>INT(Query1[[#This Row],[EntryDateTime]])</f>
        <v>44662</v>
      </c>
      <c r="I3734" s="1">
        <f>IF(Query1[[#This Row],[ItemType]]="EVAP KIT SF GEN IV",Query1[[#This Row],[OrderQty]]+I3733,I3733)</f>
        <v>4636</v>
      </c>
      <c r="J3734" s="1">
        <f>IF(Query1[[#This Row],[ItemType]]="EVAP KIT UNIVERSAL",Query1[[#This Row],[OrderQty]]+J3733,J3733)</f>
        <v>1589</v>
      </c>
      <c r="K3734" s="1">
        <f>Query1[[#This Row],[SF Running Total]]+Query1[[#This Row],[UNIV Running Total]]</f>
        <v>6225</v>
      </c>
      <c r="L3734">
        <f>VLOOKUP(Query1[[#This Row],[Description]],'kits to boards'!$B$2:$E$156,2,FALSE)</f>
        <v>830069</v>
      </c>
      <c r="M3734">
        <f>VLOOKUP(Query1[[#This Row],[Description]],'kits to boards'!$B$2:$E$156,3,FALSE)</f>
        <v>0</v>
      </c>
      <c r="N3734">
        <f>VLOOKUP(Query1[[#This Row],[Description]],'kits to boards'!$B$2:$E$156,4,FALSE)</f>
        <v>0</v>
      </c>
      <c r="O3734" t="str">
        <f>CONCATENATE(Query1[[#This Row],[Description]]," - ",Query1[[#This Row],[MB1]]," - ",Query1[[#This Row],[MB2]]," - ",Query1[[#This Row],[MB3]])</f>
        <v>SLIMLINE H/C W/DEF BLK LOUVER - 830069 - 0 - 0</v>
      </c>
    </row>
    <row r="3735" spans="1:15" x14ac:dyDescent="0.25">
      <c r="A3735" s="1">
        <v>918920</v>
      </c>
      <c r="B3735" s="1" t="s">
        <v>9</v>
      </c>
      <c r="C3735" s="1" t="s">
        <v>10</v>
      </c>
      <c r="D3735" s="2">
        <v>44662.43711770833</v>
      </c>
      <c r="E3735" s="1" t="s">
        <v>11</v>
      </c>
      <c r="F3735" s="1">
        <v>10</v>
      </c>
      <c r="G3735" s="1">
        <v>0</v>
      </c>
      <c r="H3735" s="6">
        <f>INT(Query1[[#This Row],[EntryDateTime]])</f>
        <v>44662</v>
      </c>
      <c r="I3735" s="1">
        <f>IF(Query1[[#This Row],[ItemType]]="EVAP KIT SF GEN IV",Query1[[#This Row],[OrderQty]]+I3734,I3734)</f>
        <v>4636</v>
      </c>
      <c r="J3735" s="1">
        <f>IF(Query1[[#This Row],[ItemType]]="EVAP KIT UNIVERSAL",Query1[[#This Row],[OrderQty]]+J3734,J3734)</f>
        <v>1599</v>
      </c>
      <c r="K3735" s="1">
        <f>Query1[[#This Row],[SF Running Total]]+Query1[[#This Row],[UNIV Running Total]]</f>
        <v>6235</v>
      </c>
      <c r="L3735">
        <f>VLOOKUP(Query1[[#This Row],[Description]],'kits to boards'!$B$2:$E$156,2,FALSE)</f>
        <v>830069</v>
      </c>
      <c r="M3735">
        <f>VLOOKUP(Query1[[#This Row],[Description]],'kits to boards'!$B$2:$E$156,3,FALSE)</f>
        <v>0</v>
      </c>
      <c r="N3735">
        <f>VLOOKUP(Query1[[#This Row],[Description]],'kits to boards'!$B$2:$E$156,4,FALSE)</f>
        <v>0</v>
      </c>
      <c r="O3735" t="str">
        <f>CONCATENATE(Query1[[#This Row],[Description]]," - ",Query1[[#This Row],[MB1]]," - ",Query1[[#This Row],[MB2]]," - ",Query1[[#This Row],[MB3]])</f>
        <v>SLIMLINE H/C W/DEF STD LOUVER - 830069 - 0 - 0</v>
      </c>
    </row>
    <row r="3736" spans="1:15" x14ac:dyDescent="0.25">
      <c r="A3736" s="1">
        <v>916821</v>
      </c>
      <c r="B3736" s="1" t="s">
        <v>92</v>
      </c>
      <c r="C3736" s="1" t="s">
        <v>93</v>
      </c>
      <c r="D3736" s="2">
        <v>44662.438571064813</v>
      </c>
      <c r="E3736" s="1" t="s">
        <v>8</v>
      </c>
      <c r="F3736" s="1">
        <v>1</v>
      </c>
      <c r="G3736" s="1">
        <v>0</v>
      </c>
      <c r="H3736" s="6">
        <f>INT(Query1[[#This Row],[EntryDateTime]])</f>
        <v>44662</v>
      </c>
      <c r="I3736" s="1">
        <f>IF(Query1[[#This Row],[ItemType]]="EVAP KIT SF GEN IV",Query1[[#This Row],[OrderQty]]+I3735,I3735)</f>
        <v>4637</v>
      </c>
      <c r="J3736" s="1">
        <f>IF(Query1[[#This Row],[ItemType]]="EVAP KIT UNIVERSAL",Query1[[#This Row],[OrderQty]]+J3735,J3735)</f>
        <v>1599</v>
      </c>
      <c r="K3736" s="1">
        <f>Query1[[#This Row],[SF Running Total]]+Query1[[#This Row],[UNIV Running Total]]</f>
        <v>6236</v>
      </c>
      <c r="L3736">
        <f>VLOOKUP(Query1[[#This Row],[Description]],'kits to boards'!$B$2:$E$156,2,FALSE)</f>
        <v>830063</v>
      </c>
      <c r="M3736">
        <f>VLOOKUP(Query1[[#This Row],[Description]],'kits to boards'!$B$2:$E$156,3,FALSE)</f>
        <v>0</v>
      </c>
      <c r="N3736">
        <f>VLOOKUP(Query1[[#This Row],[Description]],'kits to boards'!$B$2:$E$156,4,FALSE)</f>
        <v>0</v>
      </c>
      <c r="O3736" t="str">
        <f>CONCATENATE(Query1[[#This Row],[Description]]," - ",Query1[[#This Row],[MB1]]," - ",Query1[[#This Row],[MB2]]," - ",Query1[[#This Row],[MB3]])</f>
        <v>EVAP KIT 50-53 CHEV P-UP GEN IV - 830063 - 0 - 0</v>
      </c>
    </row>
    <row r="3737" spans="1:15" x14ac:dyDescent="0.25">
      <c r="A3737" s="1">
        <v>919084</v>
      </c>
      <c r="B3737" s="1" t="s">
        <v>150</v>
      </c>
      <c r="C3737" s="1" t="s">
        <v>151</v>
      </c>
      <c r="D3737" s="2">
        <v>44662.440735185184</v>
      </c>
      <c r="E3737" s="1" t="s">
        <v>8</v>
      </c>
      <c r="F3737" s="1">
        <v>1</v>
      </c>
      <c r="G3737" s="1">
        <v>0</v>
      </c>
      <c r="H3737" s="6">
        <f>INT(Query1[[#This Row],[EntryDateTime]])</f>
        <v>44662</v>
      </c>
      <c r="I3737" s="1">
        <f>IF(Query1[[#This Row],[ItemType]]="EVAP KIT SF GEN IV",Query1[[#This Row],[OrderQty]]+I3736,I3736)</f>
        <v>4638</v>
      </c>
      <c r="J3737" s="1">
        <f>IF(Query1[[#This Row],[ItemType]]="EVAP KIT UNIVERSAL",Query1[[#This Row],[OrderQty]]+J3736,J3736)</f>
        <v>1599</v>
      </c>
      <c r="K3737" s="1">
        <f>Query1[[#This Row],[SF Running Total]]+Query1[[#This Row],[UNIV Running Total]]</f>
        <v>6237</v>
      </c>
      <c r="L3737">
        <f>VLOOKUP(Query1[[#This Row],[Description]],'kits to boards'!$B$2:$E$156,2,FALSE)</f>
        <v>830010</v>
      </c>
      <c r="M3737">
        <f>VLOOKUP(Query1[[#This Row],[Description]],'kits to boards'!$B$2:$E$156,3,FALSE)</f>
        <v>0</v>
      </c>
      <c r="N3737">
        <f>VLOOKUP(Query1[[#This Row],[Description]],'kits to boards'!$B$2:$E$156,4,FALSE)</f>
        <v>0</v>
      </c>
      <c r="O3737" t="str">
        <f>CONCATENATE(Query1[[#This Row],[Description]]," - ",Query1[[#This Row],[MB1]]," - ",Query1[[#This Row],[MB2]]," - ",Query1[[#This Row],[MB3]])</f>
        <v>EVAP KIT 70-72 MONTE CARLO W/AC - 830010 - 0 - 0</v>
      </c>
    </row>
    <row r="3738" spans="1:15" x14ac:dyDescent="0.25">
      <c r="A3738" s="1">
        <v>919095</v>
      </c>
      <c r="B3738" s="1" t="s">
        <v>152</v>
      </c>
      <c r="C3738" s="1" t="s">
        <v>153</v>
      </c>
      <c r="D3738" s="2">
        <v>44662.458491898149</v>
      </c>
      <c r="E3738" s="1" t="s">
        <v>8</v>
      </c>
      <c r="F3738" s="1">
        <v>1</v>
      </c>
      <c r="G3738" s="1">
        <v>0</v>
      </c>
      <c r="H3738" s="6">
        <f>INT(Query1[[#This Row],[EntryDateTime]])</f>
        <v>44662</v>
      </c>
      <c r="I3738" s="1">
        <f>IF(Query1[[#This Row],[ItemType]]="EVAP KIT SF GEN IV",Query1[[#This Row],[OrderQty]]+I3737,I3737)</f>
        <v>4639</v>
      </c>
      <c r="J3738" s="1">
        <f>IF(Query1[[#This Row],[ItemType]]="EVAP KIT UNIVERSAL",Query1[[#This Row],[OrderQty]]+J3737,J3737)</f>
        <v>1599</v>
      </c>
      <c r="K3738" s="1">
        <f>Query1[[#This Row],[SF Running Total]]+Query1[[#This Row],[UNIV Running Total]]</f>
        <v>6238</v>
      </c>
      <c r="L3738">
        <f>VLOOKUP(Query1[[#This Row],[Description]],'kits to boards'!$B$2:$E$156,2,FALSE)</f>
        <v>830034</v>
      </c>
      <c r="M3738">
        <f>VLOOKUP(Query1[[#This Row],[Description]],'kits to boards'!$B$2:$E$156,3,FALSE)</f>
        <v>0</v>
      </c>
      <c r="N3738">
        <f>VLOOKUP(Query1[[#This Row],[Description]],'kits to boards'!$B$2:$E$156,4,FALSE)</f>
        <v>0</v>
      </c>
      <c r="O3738" t="str">
        <f>CONCATENATE(Query1[[#This Row],[Description]]," - ",Query1[[#This Row],[MB1]]," - ",Query1[[#This Row],[MB2]]," - ",Query1[[#This Row],[MB3]])</f>
        <v>EVAP KIT 64-67 GTO WO AC - 830034 - 0 - 0</v>
      </c>
    </row>
    <row r="3739" spans="1:15" x14ac:dyDescent="0.25">
      <c r="A3739" s="1">
        <v>919104</v>
      </c>
      <c r="B3739" s="1" t="s">
        <v>32</v>
      </c>
      <c r="C3739" s="1" t="s">
        <v>33</v>
      </c>
      <c r="D3739" s="2">
        <v>44662.488538391204</v>
      </c>
      <c r="E3739" s="1" t="s">
        <v>8</v>
      </c>
      <c r="F3739" s="1">
        <v>1</v>
      </c>
      <c r="G3739" s="1">
        <v>0</v>
      </c>
      <c r="H3739" s="6">
        <f>INT(Query1[[#This Row],[EntryDateTime]])</f>
        <v>44662</v>
      </c>
      <c r="I3739" s="1">
        <f>IF(Query1[[#This Row],[ItemType]]="EVAP KIT SF GEN IV",Query1[[#This Row],[OrderQty]]+I3738,I3738)</f>
        <v>4640</v>
      </c>
      <c r="J3739" s="1">
        <f>IF(Query1[[#This Row],[ItemType]]="EVAP KIT UNIVERSAL",Query1[[#This Row],[OrderQty]]+J3738,J3738)</f>
        <v>1599</v>
      </c>
      <c r="K3739" s="1">
        <f>Query1[[#This Row],[SF Running Total]]+Query1[[#This Row],[UNIV Running Total]]</f>
        <v>6239</v>
      </c>
      <c r="L3739">
        <f>VLOOKUP(Query1[[#This Row],[Description]],'kits to boards'!$B$2:$E$156,2,FALSE)</f>
        <v>830016</v>
      </c>
      <c r="M3739">
        <f>VLOOKUP(Query1[[#This Row],[Description]],'kits to boards'!$B$2:$E$156,3,FALSE)</f>
        <v>0</v>
      </c>
      <c r="N3739">
        <f>VLOOKUP(Query1[[#This Row],[Description]],'kits to boards'!$B$2:$E$156,4,FALSE)</f>
        <v>0</v>
      </c>
      <c r="O3739" t="str">
        <f>CONCATENATE(Query1[[#This Row],[Description]]," - ",Query1[[#This Row],[MB1]]," - ",Query1[[#This Row],[MB2]]," - ",Query1[[#This Row],[MB3]])</f>
        <v>EVAP KIT 67-68 CAMARO/FIREBIRD W/AC - 830016 - 0 - 0</v>
      </c>
    </row>
    <row r="3740" spans="1:15" x14ac:dyDescent="0.25">
      <c r="A3740" s="1">
        <v>919073</v>
      </c>
      <c r="B3740" s="1" t="s">
        <v>42</v>
      </c>
      <c r="C3740" s="1" t="s">
        <v>43</v>
      </c>
      <c r="D3740" s="2">
        <v>44662.492065509257</v>
      </c>
      <c r="E3740" s="1" t="s">
        <v>8</v>
      </c>
      <c r="F3740" s="1">
        <v>1</v>
      </c>
      <c r="G3740" s="1">
        <v>0</v>
      </c>
      <c r="H3740" s="6">
        <f>INT(Query1[[#This Row],[EntryDateTime]])</f>
        <v>44662</v>
      </c>
      <c r="I3740" s="1">
        <f>IF(Query1[[#This Row],[ItemType]]="EVAP KIT SF GEN IV",Query1[[#This Row],[OrderQty]]+I3739,I3739)</f>
        <v>4641</v>
      </c>
      <c r="J3740" s="1">
        <f>IF(Query1[[#This Row],[ItemType]]="EVAP KIT UNIVERSAL",Query1[[#This Row],[OrderQty]]+J3739,J3739)</f>
        <v>1599</v>
      </c>
      <c r="K3740" s="1">
        <f>Query1[[#This Row],[SF Running Total]]+Query1[[#This Row],[UNIV Running Total]]</f>
        <v>6240</v>
      </c>
      <c r="L3740">
        <f>VLOOKUP(Query1[[#This Row],[Description]],'kits to boards'!$B$2:$E$156,2,FALSE)</f>
        <v>830014</v>
      </c>
      <c r="M3740">
        <f>VLOOKUP(Query1[[#This Row],[Description]],'kits to boards'!$B$2:$E$156,3,FALSE)</f>
        <v>0</v>
      </c>
      <c r="N3740">
        <f>VLOOKUP(Query1[[#This Row],[Description]],'kits to boards'!$B$2:$E$156,4,FALSE)</f>
        <v>0</v>
      </c>
      <c r="O3740" t="str">
        <f>CONCATENATE(Query1[[#This Row],[Description]]," - ",Query1[[#This Row],[MB1]]," - ",Query1[[#This Row],[MB2]]," - ",Query1[[#This Row],[MB3]])</f>
        <v>EVAP KIT 67-72 CHEV P-UP WO AC - 830014 - 0 - 0</v>
      </c>
    </row>
    <row r="3741" spans="1:15" x14ac:dyDescent="0.25">
      <c r="A3741" s="1">
        <v>916557</v>
      </c>
      <c r="B3741" s="1" t="s">
        <v>52</v>
      </c>
      <c r="C3741" s="1" t="s">
        <v>53</v>
      </c>
      <c r="D3741" s="2">
        <v>44662.500320451392</v>
      </c>
      <c r="E3741" s="1" t="s">
        <v>8</v>
      </c>
      <c r="F3741" s="1">
        <v>1</v>
      </c>
      <c r="G3741" s="1">
        <v>0</v>
      </c>
      <c r="H3741" s="6">
        <f>INT(Query1[[#This Row],[EntryDateTime]])</f>
        <v>44662</v>
      </c>
      <c r="I3741" s="1">
        <f>IF(Query1[[#This Row],[ItemType]]="EVAP KIT SF GEN IV",Query1[[#This Row],[OrderQty]]+I3740,I3740)</f>
        <v>4642</v>
      </c>
      <c r="J3741" s="1">
        <f>IF(Query1[[#This Row],[ItemType]]="EVAP KIT UNIVERSAL",Query1[[#This Row],[OrderQty]]+J3740,J3740)</f>
        <v>1599</v>
      </c>
      <c r="K3741" s="1">
        <f>Query1[[#This Row],[SF Running Total]]+Query1[[#This Row],[UNIV Running Total]]</f>
        <v>6241</v>
      </c>
      <c r="L3741">
        <f>VLOOKUP(Query1[[#This Row],[Description]],'kits to boards'!$B$2:$E$156,2,FALSE)</f>
        <v>830017</v>
      </c>
      <c r="M3741">
        <f>VLOOKUP(Query1[[#This Row],[Description]],'kits to boards'!$B$2:$E$156,3,FALSE)</f>
        <v>830119</v>
      </c>
      <c r="N3741">
        <f>VLOOKUP(Query1[[#This Row],[Description]],'kits to boards'!$B$2:$E$156,4,FALSE)</f>
        <v>830120</v>
      </c>
      <c r="O3741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742" spans="1:15" x14ac:dyDescent="0.25">
      <c r="A3742" s="1">
        <v>919117</v>
      </c>
      <c r="B3742" s="1" t="s">
        <v>74</v>
      </c>
      <c r="C3742" s="1" t="s">
        <v>75</v>
      </c>
      <c r="D3742" s="2">
        <v>44662.503934490742</v>
      </c>
      <c r="E3742" s="1" t="s">
        <v>8</v>
      </c>
      <c r="F3742" s="1">
        <v>1</v>
      </c>
      <c r="G3742" s="1">
        <v>0</v>
      </c>
      <c r="H3742" s="6">
        <f>INT(Query1[[#This Row],[EntryDateTime]])</f>
        <v>44662</v>
      </c>
      <c r="I3742" s="1">
        <f>IF(Query1[[#This Row],[ItemType]]="EVAP KIT SF GEN IV",Query1[[#This Row],[OrderQty]]+I3741,I3741)</f>
        <v>4643</v>
      </c>
      <c r="J3742" s="1">
        <f>IF(Query1[[#This Row],[ItemType]]="EVAP KIT UNIVERSAL",Query1[[#This Row],[OrderQty]]+J3741,J3741)</f>
        <v>1599</v>
      </c>
      <c r="K3742" s="1">
        <f>Query1[[#This Row],[SF Running Total]]+Query1[[#This Row],[UNIV Running Total]]</f>
        <v>6242</v>
      </c>
      <c r="L3742">
        <f>VLOOKUP(Query1[[#This Row],[Description]],'kits to boards'!$B$2:$E$156,2,FALSE)</f>
        <v>830065</v>
      </c>
      <c r="M3742">
        <f>VLOOKUP(Query1[[#This Row],[Description]],'kits to boards'!$B$2:$E$156,3,FALSE)</f>
        <v>0</v>
      </c>
      <c r="N3742">
        <f>VLOOKUP(Query1[[#This Row],[Description]],'kits to boards'!$B$2:$E$156,4,FALSE)</f>
        <v>0</v>
      </c>
      <c r="O3742" t="str">
        <f>CONCATENATE(Query1[[#This Row],[Description]]," - ",Query1[[#This Row],[MB1]]," - ",Query1[[#This Row],[MB2]]," - ",Query1[[#This Row],[MB3]])</f>
        <v>EVAP KIT 57 CHEV WO AC 4-VENT PLENUM - 830065 - 0 - 0</v>
      </c>
    </row>
    <row r="3743" spans="1:15" x14ac:dyDescent="0.25">
      <c r="A3743" s="1">
        <v>919118</v>
      </c>
      <c r="B3743" s="1" t="s">
        <v>20</v>
      </c>
      <c r="C3743" s="1" t="s">
        <v>21</v>
      </c>
      <c r="D3743" s="2">
        <v>44662.504920949075</v>
      </c>
      <c r="E3743" s="1" t="s">
        <v>11</v>
      </c>
      <c r="F3743" s="1">
        <v>1</v>
      </c>
      <c r="G3743" s="1">
        <v>0</v>
      </c>
      <c r="H3743" s="6">
        <f>INT(Query1[[#This Row],[EntryDateTime]])</f>
        <v>44662</v>
      </c>
      <c r="I3743" s="1">
        <f>IF(Query1[[#This Row],[ItemType]]="EVAP KIT SF GEN IV",Query1[[#This Row],[OrderQty]]+I3742,I3742)</f>
        <v>4643</v>
      </c>
      <c r="J3743" s="1">
        <f>IF(Query1[[#This Row],[ItemType]]="EVAP KIT UNIVERSAL",Query1[[#This Row],[OrderQty]]+J3742,J3742)</f>
        <v>1600</v>
      </c>
      <c r="K3743" s="1">
        <f>Query1[[#This Row],[SF Running Total]]+Query1[[#This Row],[UNIV Running Total]]</f>
        <v>6243</v>
      </c>
      <c r="L3743">
        <f>VLOOKUP(Query1[[#This Row],[Description]],'kits to boards'!$B$2:$E$156,2,FALSE)</f>
        <v>830102</v>
      </c>
      <c r="M3743">
        <f>VLOOKUP(Query1[[#This Row],[Description]],'kits to boards'!$B$2:$E$156,3,FALSE)</f>
        <v>0</v>
      </c>
      <c r="N3743">
        <f>VLOOKUP(Query1[[#This Row],[Description]],'kits to boards'!$B$2:$E$156,4,FALSE)</f>
        <v>0</v>
      </c>
      <c r="O3743" t="str">
        <f>CONCATENATE(Query1[[#This Row],[Description]]," - ",Query1[[#This Row],[MB1]]," - ",Query1[[#This Row],[MB2]]," - ",Query1[[#This Row],[MB3]])</f>
        <v>SUPER GEN II W/DEF - 830102 - 0 - 0</v>
      </c>
    </row>
    <row r="3744" spans="1:15" x14ac:dyDescent="0.25">
      <c r="A3744" s="1">
        <v>919119</v>
      </c>
      <c r="B3744" s="1" t="s">
        <v>16</v>
      </c>
      <c r="C3744" s="1" t="s">
        <v>17</v>
      </c>
      <c r="D3744" s="2">
        <v>44662.506086226851</v>
      </c>
      <c r="E3744" s="1" t="s">
        <v>8</v>
      </c>
      <c r="F3744" s="1">
        <v>1</v>
      </c>
      <c r="G3744" s="1">
        <v>0</v>
      </c>
      <c r="H3744" s="6">
        <f>INT(Query1[[#This Row],[EntryDateTime]])</f>
        <v>44662</v>
      </c>
      <c r="I3744" s="1">
        <f>IF(Query1[[#This Row],[ItemType]]="EVAP KIT SF GEN IV",Query1[[#This Row],[OrderQty]]+I3743,I3743)</f>
        <v>4644</v>
      </c>
      <c r="J3744" s="1">
        <f>IF(Query1[[#This Row],[ItemType]]="EVAP KIT UNIVERSAL",Query1[[#This Row],[OrderQty]]+J3743,J3743)</f>
        <v>1600</v>
      </c>
      <c r="K3744" s="1">
        <f>Query1[[#This Row],[SF Running Total]]+Query1[[#This Row],[UNIV Running Total]]</f>
        <v>6244</v>
      </c>
      <c r="L3744">
        <f>VLOOKUP(Query1[[#This Row],[Description]],'kits to boards'!$B$2:$E$156,2,FALSE)</f>
        <v>830061</v>
      </c>
      <c r="M3744">
        <f>VLOOKUP(Query1[[#This Row],[Description]],'kits to boards'!$B$2:$E$156,3,FALSE)</f>
        <v>0</v>
      </c>
      <c r="N3744">
        <f>VLOOKUP(Query1[[#This Row],[Description]],'kits to boards'!$B$2:$E$156,4,FALSE)</f>
        <v>0</v>
      </c>
      <c r="O3744" t="str">
        <f>CONCATENATE(Query1[[#This Row],[Description]]," - ",Query1[[#This Row],[MB1]]," - ",Query1[[#This Row],[MB2]]," - ",Query1[[#This Row],[MB3]])</f>
        <v>EVAP KIT 68-69 CHEVELLE W/AC - 830061 - 0 - 0</v>
      </c>
    </row>
    <row r="3745" spans="1:15" x14ac:dyDescent="0.25">
      <c r="A3745" s="1">
        <v>919122</v>
      </c>
      <c r="B3745" s="1" t="s">
        <v>132</v>
      </c>
      <c r="C3745" s="1" t="s">
        <v>133</v>
      </c>
      <c r="D3745" s="2">
        <v>44662.509541284722</v>
      </c>
      <c r="E3745" s="1" t="s">
        <v>8</v>
      </c>
      <c r="F3745" s="1">
        <v>1</v>
      </c>
      <c r="G3745" s="1">
        <v>0</v>
      </c>
      <c r="H3745" s="6">
        <f>INT(Query1[[#This Row],[EntryDateTime]])</f>
        <v>44662</v>
      </c>
      <c r="I3745" s="1">
        <f>IF(Query1[[#This Row],[ItemType]]="EVAP KIT SF GEN IV",Query1[[#This Row],[OrderQty]]+I3744,I3744)</f>
        <v>4645</v>
      </c>
      <c r="J3745" s="1">
        <f>IF(Query1[[#This Row],[ItemType]]="EVAP KIT UNIVERSAL",Query1[[#This Row],[OrderQty]]+J3744,J3744)</f>
        <v>1600</v>
      </c>
      <c r="K3745" s="1">
        <f>Query1[[#This Row],[SF Running Total]]+Query1[[#This Row],[UNIV Running Total]]</f>
        <v>6245</v>
      </c>
      <c r="L3745">
        <f>VLOOKUP(Query1[[#This Row],[Description]],'kits to boards'!$B$2:$E$156,2,FALSE)</f>
        <v>830005</v>
      </c>
      <c r="M3745">
        <f>VLOOKUP(Query1[[#This Row],[Description]],'kits to boards'!$B$2:$E$156,3,FALSE)</f>
        <v>0</v>
      </c>
      <c r="N3745">
        <f>VLOOKUP(Query1[[#This Row],[Description]],'kits to boards'!$B$2:$E$156,4,FALSE)</f>
        <v>0</v>
      </c>
      <c r="O3745" t="str">
        <f>CONCATENATE(Query1[[#This Row],[Description]]," - ",Query1[[#This Row],[MB1]]," - ",Query1[[#This Row],[MB2]]," - ",Query1[[#This Row],[MB3]])</f>
        <v>EVAP KIT 61-62 IMPALA WO AC - 830005 - 0 - 0</v>
      </c>
    </row>
    <row r="3746" spans="1:15" x14ac:dyDescent="0.25">
      <c r="A3746" s="1">
        <v>919129</v>
      </c>
      <c r="B3746" s="1" t="s">
        <v>24</v>
      </c>
      <c r="C3746" s="1" t="s">
        <v>25</v>
      </c>
      <c r="D3746" s="2">
        <v>44662.521748263891</v>
      </c>
      <c r="E3746" s="1" t="s">
        <v>11</v>
      </c>
      <c r="F3746" s="1">
        <v>1</v>
      </c>
      <c r="G3746" s="1">
        <v>0</v>
      </c>
      <c r="H3746" s="6">
        <f>INT(Query1[[#This Row],[EntryDateTime]])</f>
        <v>44662</v>
      </c>
      <c r="I3746" s="1">
        <f>IF(Query1[[#This Row],[ItemType]]="EVAP KIT SF GEN IV",Query1[[#This Row],[OrderQty]]+I3745,I3745)</f>
        <v>4645</v>
      </c>
      <c r="J3746" s="1">
        <f>IF(Query1[[#This Row],[ItemType]]="EVAP KIT UNIVERSAL",Query1[[#This Row],[OrderQty]]+J3745,J3745)</f>
        <v>1601</v>
      </c>
      <c r="K3746" s="1">
        <f>Query1[[#This Row],[SF Running Total]]+Query1[[#This Row],[UNIV Running Total]]</f>
        <v>6246</v>
      </c>
      <c r="L3746">
        <f>VLOOKUP(Query1[[#This Row],[Description]],'kits to boards'!$B$2:$E$156,2,FALSE)</f>
        <v>830029</v>
      </c>
      <c r="M3746">
        <f>VLOOKUP(Query1[[#This Row],[Description]],'kits to boards'!$B$2:$E$156,3,FALSE)</f>
        <v>830030</v>
      </c>
      <c r="N3746">
        <f>VLOOKUP(Query1[[#This Row],[Description]],'kits to boards'!$B$2:$E$156,4,FALSE)</f>
        <v>0</v>
      </c>
      <c r="O3746" t="str">
        <f>CONCATENATE(Query1[[#This Row],[Description]]," - ",Query1[[#This Row],[MB1]]," - ",Query1[[#This Row],[MB2]]," - ",Query1[[#This Row],[MB3]])</f>
        <v>ComPac GEN II W/DEF - 830029 - 830030 - 0</v>
      </c>
    </row>
    <row r="3747" spans="1:15" x14ac:dyDescent="0.25">
      <c r="A3747" s="1">
        <v>919152</v>
      </c>
      <c r="B3747" s="1" t="s">
        <v>148</v>
      </c>
      <c r="C3747" s="1" t="s">
        <v>149</v>
      </c>
      <c r="D3747" s="2">
        <v>44662.556128668984</v>
      </c>
      <c r="E3747" s="1" t="s">
        <v>8</v>
      </c>
      <c r="F3747" s="1">
        <v>1</v>
      </c>
      <c r="G3747" s="1">
        <v>0</v>
      </c>
      <c r="H3747" s="6">
        <f>INT(Query1[[#This Row],[EntryDateTime]])</f>
        <v>44662</v>
      </c>
      <c r="I3747" s="1">
        <f>IF(Query1[[#This Row],[ItemType]]="EVAP KIT SF GEN IV",Query1[[#This Row],[OrderQty]]+I3746,I3746)</f>
        <v>4646</v>
      </c>
      <c r="J3747" s="1">
        <f>IF(Query1[[#This Row],[ItemType]]="EVAP KIT UNIVERSAL",Query1[[#This Row],[OrderQty]]+J3746,J3746)</f>
        <v>1601</v>
      </c>
      <c r="K3747" s="1">
        <f>Query1[[#This Row],[SF Running Total]]+Query1[[#This Row],[UNIV Running Total]]</f>
        <v>6247</v>
      </c>
      <c r="L3747">
        <f>VLOOKUP(Query1[[#This Row],[Description]],'kits to boards'!$B$2:$E$156,2,FALSE)</f>
        <v>830098</v>
      </c>
      <c r="M3747">
        <f>VLOOKUP(Query1[[#This Row],[Description]],'kits to boards'!$B$2:$E$156,3,FALSE)</f>
        <v>0</v>
      </c>
      <c r="N3747">
        <f>VLOOKUP(Query1[[#This Row],[Description]],'kits to boards'!$B$2:$E$156,4,FALSE)</f>
        <v>0</v>
      </c>
      <c r="O3747" t="str">
        <f>CONCATENATE(Query1[[#This Row],[Description]]," - ",Query1[[#This Row],[MB1]]," - ",Query1[[#This Row],[MB2]]," - ",Query1[[#This Row],[MB3]])</f>
        <v>EVAP KIT 77 VETTE W/AC - 830098 - 0 - 0</v>
      </c>
    </row>
    <row r="3748" spans="1:15" x14ac:dyDescent="0.25">
      <c r="A3748" s="1">
        <v>919157</v>
      </c>
      <c r="B3748" s="1" t="s">
        <v>152</v>
      </c>
      <c r="C3748" s="1" t="s">
        <v>153</v>
      </c>
      <c r="D3748" s="2">
        <v>44662.565361956018</v>
      </c>
      <c r="E3748" s="1" t="s">
        <v>8</v>
      </c>
      <c r="F3748" s="1">
        <v>1</v>
      </c>
      <c r="G3748" s="1">
        <v>0</v>
      </c>
      <c r="H3748" s="6">
        <f>INT(Query1[[#This Row],[EntryDateTime]])</f>
        <v>44662</v>
      </c>
      <c r="I3748" s="1">
        <f>IF(Query1[[#This Row],[ItemType]]="EVAP KIT SF GEN IV",Query1[[#This Row],[OrderQty]]+I3747,I3747)</f>
        <v>4647</v>
      </c>
      <c r="J3748" s="1">
        <f>IF(Query1[[#This Row],[ItemType]]="EVAP KIT UNIVERSAL",Query1[[#This Row],[OrderQty]]+J3747,J3747)</f>
        <v>1601</v>
      </c>
      <c r="K3748" s="1">
        <f>Query1[[#This Row],[SF Running Total]]+Query1[[#This Row],[UNIV Running Total]]</f>
        <v>6248</v>
      </c>
      <c r="L3748">
        <f>VLOOKUP(Query1[[#This Row],[Description]],'kits to boards'!$B$2:$E$156,2,FALSE)</f>
        <v>830034</v>
      </c>
      <c r="M3748">
        <f>VLOOKUP(Query1[[#This Row],[Description]],'kits to boards'!$B$2:$E$156,3,FALSE)</f>
        <v>0</v>
      </c>
      <c r="N3748">
        <f>VLOOKUP(Query1[[#This Row],[Description]],'kits to boards'!$B$2:$E$156,4,FALSE)</f>
        <v>0</v>
      </c>
      <c r="O3748" t="str">
        <f>CONCATENATE(Query1[[#This Row],[Description]]," - ",Query1[[#This Row],[MB1]]," - ",Query1[[#This Row],[MB2]]," - ",Query1[[#This Row],[MB3]])</f>
        <v>EVAP KIT 64-67 GTO WO AC - 830034 - 0 - 0</v>
      </c>
    </row>
    <row r="3749" spans="1:15" x14ac:dyDescent="0.25">
      <c r="A3749" s="1">
        <v>919164</v>
      </c>
      <c r="B3749" s="1" t="s">
        <v>92</v>
      </c>
      <c r="C3749" s="1" t="s">
        <v>93</v>
      </c>
      <c r="D3749" s="2">
        <v>44662.575167824078</v>
      </c>
      <c r="E3749" s="1" t="s">
        <v>8</v>
      </c>
      <c r="F3749" s="1">
        <v>1</v>
      </c>
      <c r="G3749" s="1">
        <v>0</v>
      </c>
      <c r="H3749" s="6">
        <f>INT(Query1[[#This Row],[EntryDateTime]])</f>
        <v>44662</v>
      </c>
      <c r="I3749" s="1">
        <f>IF(Query1[[#This Row],[ItemType]]="EVAP KIT SF GEN IV",Query1[[#This Row],[OrderQty]]+I3748,I3748)</f>
        <v>4648</v>
      </c>
      <c r="J3749" s="1">
        <f>IF(Query1[[#This Row],[ItemType]]="EVAP KIT UNIVERSAL",Query1[[#This Row],[OrderQty]]+J3748,J3748)</f>
        <v>1601</v>
      </c>
      <c r="K3749" s="1">
        <f>Query1[[#This Row],[SF Running Total]]+Query1[[#This Row],[UNIV Running Total]]</f>
        <v>6249</v>
      </c>
      <c r="L3749">
        <f>VLOOKUP(Query1[[#This Row],[Description]],'kits to boards'!$B$2:$E$156,2,FALSE)</f>
        <v>830063</v>
      </c>
      <c r="M3749">
        <f>VLOOKUP(Query1[[#This Row],[Description]],'kits to boards'!$B$2:$E$156,3,FALSE)</f>
        <v>0</v>
      </c>
      <c r="N3749">
        <f>VLOOKUP(Query1[[#This Row],[Description]],'kits to boards'!$B$2:$E$156,4,FALSE)</f>
        <v>0</v>
      </c>
      <c r="O3749" t="str">
        <f>CONCATENATE(Query1[[#This Row],[Description]]," - ",Query1[[#This Row],[MB1]]," - ",Query1[[#This Row],[MB2]]," - ",Query1[[#This Row],[MB3]])</f>
        <v>EVAP KIT 50-53 CHEV P-UP GEN IV - 830063 - 0 - 0</v>
      </c>
    </row>
    <row r="3750" spans="1:15" x14ac:dyDescent="0.25">
      <c r="A3750" s="1">
        <v>918798</v>
      </c>
      <c r="B3750" s="1" t="s">
        <v>32</v>
      </c>
      <c r="C3750" s="1" t="s">
        <v>33</v>
      </c>
      <c r="D3750" s="2">
        <v>44662.598194131948</v>
      </c>
      <c r="E3750" s="1" t="s">
        <v>8</v>
      </c>
      <c r="F3750" s="1">
        <v>1</v>
      </c>
      <c r="G3750" s="1">
        <v>0</v>
      </c>
      <c r="H3750" s="6">
        <f>INT(Query1[[#This Row],[EntryDateTime]])</f>
        <v>44662</v>
      </c>
      <c r="I3750" s="1">
        <f>IF(Query1[[#This Row],[ItemType]]="EVAP KIT SF GEN IV",Query1[[#This Row],[OrderQty]]+I3749,I3749)</f>
        <v>4649</v>
      </c>
      <c r="J3750" s="1">
        <f>IF(Query1[[#This Row],[ItemType]]="EVAP KIT UNIVERSAL",Query1[[#This Row],[OrderQty]]+J3749,J3749)</f>
        <v>1601</v>
      </c>
      <c r="K3750" s="1">
        <f>Query1[[#This Row],[SF Running Total]]+Query1[[#This Row],[UNIV Running Total]]</f>
        <v>6250</v>
      </c>
      <c r="L3750">
        <f>VLOOKUP(Query1[[#This Row],[Description]],'kits to boards'!$B$2:$E$156,2,FALSE)</f>
        <v>830016</v>
      </c>
      <c r="M3750">
        <f>VLOOKUP(Query1[[#This Row],[Description]],'kits to boards'!$B$2:$E$156,3,FALSE)</f>
        <v>0</v>
      </c>
      <c r="N3750">
        <f>VLOOKUP(Query1[[#This Row],[Description]],'kits to boards'!$B$2:$E$156,4,FALSE)</f>
        <v>0</v>
      </c>
      <c r="O3750" t="str">
        <f>CONCATENATE(Query1[[#This Row],[Description]]," - ",Query1[[#This Row],[MB1]]," - ",Query1[[#This Row],[MB2]]," - ",Query1[[#This Row],[MB3]])</f>
        <v>EVAP KIT 67-68 CAMARO/FIREBIRD W/AC - 830016 - 0 - 0</v>
      </c>
    </row>
    <row r="3751" spans="1:15" x14ac:dyDescent="0.25">
      <c r="A3751" s="1">
        <v>918801</v>
      </c>
      <c r="B3751" s="1" t="s">
        <v>210</v>
      </c>
      <c r="C3751" s="1" t="s">
        <v>211</v>
      </c>
      <c r="D3751" s="2">
        <v>44662.599674652774</v>
      </c>
      <c r="E3751" s="1" t="s">
        <v>8</v>
      </c>
      <c r="F3751" s="1">
        <v>1</v>
      </c>
      <c r="G3751" s="1">
        <v>0</v>
      </c>
      <c r="H3751" s="6">
        <f>INT(Query1[[#This Row],[EntryDateTime]])</f>
        <v>44662</v>
      </c>
      <c r="I3751" s="1">
        <f>IF(Query1[[#This Row],[ItemType]]="EVAP KIT SF GEN IV",Query1[[#This Row],[OrderQty]]+I3750,I3750)</f>
        <v>4650</v>
      </c>
      <c r="J3751" s="1">
        <f>IF(Query1[[#This Row],[ItemType]]="EVAP KIT UNIVERSAL",Query1[[#This Row],[OrderQty]]+J3750,J3750)</f>
        <v>1601</v>
      </c>
      <c r="K3751" s="1">
        <f>Query1[[#This Row],[SF Running Total]]+Query1[[#This Row],[UNIV Running Total]]</f>
        <v>6251</v>
      </c>
      <c r="L3751">
        <f>VLOOKUP(Query1[[#This Row],[Description]],'kits to boards'!$B$2:$E$156,2,FALSE)</f>
        <v>830094</v>
      </c>
      <c r="M3751">
        <f>VLOOKUP(Query1[[#This Row],[Description]],'kits to boards'!$B$2:$E$156,3,FALSE)</f>
        <v>0</v>
      </c>
      <c r="N3751">
        <f>VLOOKUP(Query1[[#This Row],[Description]],'kits to boards'!$B$2:$E$156,4,FALSE)</f>
        <v>0</v>
      </c>
      <c r="O3751" t="str">
        <f>CONCATENATE(Query1[[#This Row],[Description]]," - ",Query1[[#This Row],[MB1]]," - ",Query1[[#This Row],[MB2]]," - ",Query1[[#This Row],[MB3]])</f>
        <v>EVAP KIT 74-76 VETTE W/AC - 830094 - 0 - 0</v>
      </c>
    </row>
    <row r="3752" spans="1:15" x14ac:dyDescent="0.25">
      <c r="A3752" s="1">
        <v>919183</v>
      </c>
      <c r="B3752" s="1" t="s">
        <v>216</v>
      </c>
      <c r="C3752" s="1" t="s">
        <v>217</v>
      </c>
      <c r="D3752" s="2">
        <v>44662.606527743053</v>
      </c>
      <c r="E3752" s="1" t="s">
        <v>8</v>
      </c>
      <c r="F3752" s="1">
        <v>1</v>
      </c>
      <c r="G3752" s="1">
        <v>0</v>
      </c>
      <c r="H3752" s="6">
        <f>INT(Query1[[#This Row],[EntryDateTime]])</f>
        <v>44662</v>
      </c>
      <c r="I3752" s="1">
        <f>IF(Query1[[#This Row],[ItemType]]="EVAP KIT SF GEN IV",Query1[[#This Row],[OrderQty]]+I3751,I3751)</f>
        <v>4651</v>
      </c>
      <c r="J3752" s="1">
        <f>IF(Query1[[#This Row],[ItemType]]="EVAP KIT UNIVERSAL",Query1[[#This Row],[OrderQty]]+J3751,J3751)</f>
        <v>1601</v>
      </c>
      <c r="K3752" s="1">
        <f>Query1[[#This Row],[SF Running Total]]+Query1[[#This Row],[UNIV Running Total]]</f>
        <v>6252</v>
      </c>
      <c r="L3752">
        <f>VLOOKUP(Query1[[#This Row],[Description]],'kits to boards'!$B$2:$E$156,2,FALSE)</f>
        <v>830072</v>
      </c>
      <c r="M3752">
        <f>VLOOKUP(Query1[[#This Row],[Description]],'kits to boards'!$B$2:$E$156,3,FALSE)</f>
        <v>830075</v>
      </c>
      <c r="N3752">
        <f>VLOOKUP(Query1[[#This Row],[Description]],'kits to boards'!$B$2:$E$156,4,FALSE)</f>
        <v>0</v>
      </c>
      <c r="O3752" t="str">
        <f>CONCATENATE(Query1[[#This Row],[Description]]," - ",Query1[[#This Row],[MB1]]," - ",Query1[[#This Row],[MB2]]," - ",Query1[[#This Row],[MB3]])</f>
        <v>EVAP KIT 69-70 MOPAR B BODY W/AC - 830072 - 830075 - 0</v>
      </c>
    </row>
    <row r="3753" spans="1:15" x14ac:dyDescent="0.25">
      <c r="A3753" s="1">
        <v>919186</v>
      </c>
      <c r="B3753" s="1" t="s">
        <v>54</v>
      </c>
      <c r="C3753" s="1" t="s">
        <v>55</v>
      </c>
      <c r="D3753" s="2">
        <v>44662.615566006942</v>
      </c>
      <c r="E3753" s="1" t="s">
        <v>8</v>
      </c>
      <c r="F3753" s="1">
        <v>1</v>
      </c>
      <c r="G3753" s="1">
        <v>0</v>
      </c>
      <c r="H3753" s="6">
        <f>INT(Query1[[#This Row],[EntryDateTime]])</f>
        <v>44662</v>
      </c>
      <c r="I3753" s="1">
        <f>IF(Query1[[#This Row],[ItemType]]="EVAP KIT SF GEN IV",Query1[[#This Row],[OrderQty]]+I3752,I3752)</f>
        <v>4652</v>
      </c>
      <c r="J3753" s="1">
        <f>IF(Query1[[#This Row],[ItemType]]="EVAP KIT UNIVERSAL",Query1[[#This Row],[OrderQty]]+J3752,J3752)</f>
        <v>1601</v>
      </c>
      <c r="K3753" s="1">
        <f>Query1[[#This Row],[SF Running Total]]+Query1[[#This Row],[UNIV Running Total]]</f>
        <v>6253</v>
      </c>
      <c r="L3753">
        <f>VLOOKUP(Query1[[#This Row],[Description]],'kits to boards'!$B$2:$E$156,2,FALSE)</f>
        <v>830037</v>
      </c>
      <c r="M3753">
        <f>VLOOKUP(Query1[[#This Row],[Description]],'kits to boards'!$B$2:$E$156,3,FALSE)</f>
        <v>0</v>
      </c>
      <c r="N3753">
        <f>VLOOKUP(Query1[[#This Row],[Description]],'kits to boards'!$B$2:$E$156,4,FALSE)</f>
        <v>0</v>
      </c>
      <c r="O3753" t="str">
        <f>CONCATENATE(Query1[[#This Row],[Description]]," - ",Query1[[#This Row],[MB1]]," - ",Query1[[#This Row],[MB2]]," - ",Query1[[#This Row],[MB3]])</f>
        <v>EVAP KIT 70-81 FIREBIRD W/AC - 830037 - 0 - 0</v>
      </c>
    </row>
    <row r="3754" spans="1:15" x14ac:dyDescent="0.25">
      <c r="A3754" s="1">
        <v>918986</v>
      </c>
      <c r="B3754" s="1" t="s">
        <v>180</v>
      </c>
      <c r="C3754" s="1" t="s">
        <v>181</v>
      </c>
      <c r="D3754" s="2">
        <v>44662.617808449075</v>
      </c>
      <c r="E3754" s="1" t="s">
        <v>8</v>
      </c>
      <c r="F3754" s="1">
        <v>1</v>
      </c>
      <c r="G3754" s="1">
        <v>0</v>
      </c>
      <c r="H3754" s="6">
        <f>INT(Query1[[#This Row],[EntryDateTime]])</f>
        <v>44662</v>
      </c>
      <c r="I3754" s="1">
        <f>IF(Query1[[#This Row],[ItemType]]="EVAP KIT SF GEN IV",Query1[[#This Row],[OrderQty]]+I3753,I3753)</f>
        <v>4653</v>
      </c>
      <c r="J3754" s="1">
        <f>IF(Query1[[#This Row],[ItemType]]="EVAP KIT UNIVERSAL",Query1[[#This Row],[OrderQty]]+J3753,J3753)</f>
        <v>1601</v>
      </c>
      <c r="K3754" s="1">
        <f>Query1[[#This Row],[SF Running Total]]+Query1[[#This Row],[UNIV Running Total]]</f>
        <v>6254</v>
      </c>
      <c r="L3754">
        <f>VLOOKUP(Query1[[#This Row],[Description]],'kits to boards'!$B$2:$E$156,2,FALSE)</f>
        <v>830123</v>
      </c>
      <c r="M3754">
        <f>VLOOKUP(Query1[[#This Row],[Description]],'kits to boards'!$B$2:$E$156,3,FALSE)</f>
        <v>0</v>
      </c>
      <c r="N3754">
        <f>VLOOKUP(Query1[[#This Row],[Description]],'kits to boards'!$B$2:$E$156,4,FALSE)</f>
        <v>0</v>
      </c>
      <c r="O3754" t="str">
        <f>CONCATENATE(Query1[[#This Row],[Description]]," - ",Query1[[#This Row],[MB1]]," - ",Query1[[#This Row],[MB2]]," - ",Query1[[#This Row],[MB3]])</f>
        <v>EVAP KIT 68 GTO W/AC - 830123 - 0 - 0</v>
      </c>
    </row>
    <row r="3755" spans="1:15" x14ac:dyDescent="0.25">
      <c r="A3755" s="1">
        <v>919205</v>
      </c>
      <c r="B3755" s="1" t="s">
        <v>96</v>
      </c>
      <c r="C3755" s="1" t="s">
        <v>97</v>
      </c>
      <c r="D3755" s="2">
        <v>44662.631925694448</v>
      </c>
      <c r="E3755" s="1" t="s">
        <v>8</v>
      </c>
      <c r="F3755" s="1">
        <v>1</v>
      </c>
      <c r="G3755" s="1">
        <v>0</v>
      </c>
      <c r="H3755" s="6">
        <f>INT(Query1[[#This Row],[EntryDateTime]])</f>
        <v>44662</v>
      </c>
      <c r="I3755" s="1">
        <f>IF(Query1[[#This Row],[ItemType]]="EVAP KIT SF GEN IV",Query1[[#This Row],[OrderQty]]+I3754,I3754)</f>
        <v>4654</v>
      </c>
      <c r="J3755" s="1">
        <f>IF(Query1[[#This Row],[ItemType]]="EVAP KIT UNIVERSAL",Query1[[#This Row],[OrderQty]]+J3754,J3754)</f>
        <v>1601</v>
      </c>
      <c r="K3755" s="1">
        <f>Query1[[#This Row],[SF Running Total]]+Query1[[#This Row],[UNIV Running Total]]</f>
        <v>6255</v>
      </c>
      <c r="L3755">
        <f>VLOOKUP(Query1[[#This Row],[Description]],'kits to boards'!$B$2:$E$156,2,FALSE)</f>
        <v>830004</v>
      </c>
      <c r="M3755">
        <f>VLOOKUP(Query1[[#This Row],[Description]],'kits to boards'!$B$2:$E$156,3,FALSE)</f>
        <v>0</v>
      </c>
      <c r="N3755">
        <f>VLOOKUP(Query1[[#This Row],[Description]],'kits to boards'!$B$2:$E$156,4,FALSE)</f>
        <v>0</v>
      </c>
      <c r="O3755" t="str">
        <f>CONCATENATE(Query1[[#This Row],[Description]]," - ",Query1[[#This Row],[MB1]]," - ",Query1[[#This Row],[MB2]]," - ",Query1[[#This Row],[MB3]])</f>
        <v>EVAP KIT 81-87 CHEV P-UP W/AC - 830004 - 0 - 0</v>
      </c>
    </row>
    <row r="3756" spans="1:15" x14ac:dyDescent="0.25">
      <c r="A3756" s="1">
        <v>919218</v>
      </c>
      <c r="B3756" s="1" t="s">
        <v>20</v>
      </c>
      <c r="C3756" s="1" t="s">
        <v>21</v>
      </c>
      <c r="D3756" s="2">
        <v>44662.646019942127</v>
      </c>
      <c r="E3756" s="1" t="s">
        <v>11</v>
      </c>
      <c r="F3756" s="1">
        <v>2</v>
      </c>
      <c r="G3756" s="1">
        <v>0</v>
      </c>
      <c r="H3756" s="6">
        <f>INT(Query1[[#This Row],[EntryDateTime]])</f>
        <v>44662</v>
      </c>
      <c r="I3756" s="1">
        <f>IF(Query1[[#This Row],[ItemType]]="EVAP KIT SF GEN IV",Query1[[#This Row],[OrderQty]]+I3755,I3755)</f>
        <v>4654</v>
      </c>
      <c r="J3756" s="1">
        <f>IF(Query1[[#This Row],[ItemType]]="EVAP KIT UNIVERSAL",Query1[[#This Row],[OrderQty]]+J3755,J3755)</f>
        <v>1603</v>
      </c>
      <c r="K3756" s="1">
        <f>Query1[[#This Row],[SF Running Total]]+Query1[[#This Row],[UNIV Running Total]]</f>
        <v>6257</v>
      </c>
      <c r="L3756">
        <f>VLOOKUP(Query1[[#This Row],[Description]],'kits to boards'!$B$2:$E$156,2,FALSE)</f>
        <v>830102</v>
      </c>
      <c r="M3756">
        <f>VLOOKUP(Query1[[#This Row],[Description]],'kits to boards'!$B$2:$E$156,3,FALSE)</f>
        <v>0</v>
      </c>
      <c r="N3756">
        <f>VLOOKUP(Query1[[#This Row],[Description]],'kits to boards'!$B$2:$E$156,4,FALSE)</f>
        <v>0</v>
      </c>
      <c r="O3756" t="str">
        <f>CONCATENATE(Query1[[#This Row],[Description]]," - ",Query1[[#This Row],[MB1]]," - ",Query1[[#This Row],[MB2]]," - ",Query1[[#This Row],[MB3]])</f>
        <v>SUPER GEN II W/DEF - 830102 - 0 - 0</v>
      </c>
    </row>
    <row r="3757" spans="1:15" x14ac:dyDescent="0.25">
      <c r="A3757" s="1">
        <v>919218</v>
      </c>
      <c r="B3757" s="1" t="s">
        <v>98</v>
      </c>
      <c r="C3757" s="1" t="s">
        <v>99</v>
      </c>
      <c r="D3757" s="2">
        <v>44662.654810069442</v>
      </c>
      <c r="E3757" s="1" t="s">
        <v>11</v>
      </c>
      <c r="F3757" s="1">
        <v>2</v>
      </c>
      <c r="G3757" s="1">
        <v>0</v>
      </c>
      <c r="H3757" s="6">
        <f>INT(Query1[[#This Row],[EntryDateTime]])</f>
        <v>44662</v>
      </c>
      <c r="I3757" s="1">
        <f>IF(Query1[[#This Row],[ItemType]]="EVAP KIT SF GEN IV",Query1[[#This Row],[OrderQty]]+I3756,I3756)</f>
        <v>4654</v>
      </c>
      <c r="J3757" s="1">
        <f>IF(Query1[[#This Row],[ItemType]]="EVAP KIT UNIVERSAL",Query1[[#This Row],[OrderQty]]+J3756,J3756)</f>
        <v>1605</v>
      </c>
      <c r="K3757" s="1">
        <f>Query1[[#This Row],[SF Running Total]]+Query1[[#This Row],[UNIV Running Total]]</f>
        <v>6259</v>
      </c>
      <c r="L3757">
        <f>VLOOKUP(Query1[[#This Row],[Description]],'kits to boards'!$B$2:$E$156,2,FALSE)</f>
        <v>830099</v>
      </c>
      <c r="M3757">
        <f>VLOOKUP(Query1[[#This Row],[Description]],'kits to boards'!$B$2:$E$156,3,FALSE)</f>
        <v>0</v>
      </c>
      <c r="N3757">
        <f>VLOOKUP(Query1[[#This Row],[Description]],'kits to boards'!$B$2:$E$156,4,FALSE)</f>
        <v>0</v>
      </c>
      <c r="O3757" t="str">
        <f>CONCATENATE(Query1[[#This Row],[Description]]," - ",Query1[[#This Row],[MB1]]," - ",Query1[[#This Row],[MB2]]," - ",Query1[[#This Row],[MB3]])</f>
        <v>MINI GEN II W/DEF - 830099 - 0 - 0</v>
      </c>
    </row>
    <row r="3758" spans="1:15" x14ac:dyDescent="0.25">
      <c r="A3758" s="1">
        <v>919218</v>
      </c>
      <c r="B3758" s="1" t="s">
        <v>24</v>
      </c>
      <c r="C3758" s="1" t="s">
        <v>25</v>
      </c>
      <c r="D3758" s="2">
        <v>44662.654948113428</v>
      </c>
      <c r="E3758" s="1" t="s">
        <v>11</v>
      </c>
      <c r="F3758" s="1">
        <v>1</v>
      </c>
      <c r="G3758" s="1">
        <v>0</v>
      </c>
      <c r="H3758" s="6">
        <f>INT(Query1[[#This Row],[EntryDateTime]])</f>
        <v>44662</v>
      </c>
      <c r="I3758" s="1">
        <f>IF(Query1[[#This Row],[ItemType]]="EVAP KIT SF GEN IV",Query1[[#This Row],[OrderQty]]+I3757,I3757)</f>
        <v>4654</v>
      </c>
      <c r="J3758" s="1">
        <f>IF(Query1[[#This Row],[ItemType]]="EVAP KIT UNIVERSAL",Query1[[#This Row],[OrderQty]]+J3757,J3757)</f>
        <v>1606</v>
      </c>
      <c r="K3758" s="1">
        <f>Query1[[#This Row],[SF Running Total]]+Query1[[#This Row],[UNIV Running Total]]</f>
        <v>6260</v>
      </c>
      <c r="L3758">
        <f>VLOOKUP(Query1[[#This Row],[Description]],'kits to boards'!$B$2:$E$156,2,FALSE)</f>
        <v>830029</v>
      </c>
      <c r="M3758">
        <f>VLOOKUP(Query1[[#This Row],[Description]],'kits to boards'!$B$2:$E$156,3,FALSE)</f>
        <v>830030</v>
      </c>
      <c r="N3758">
        <f>VLOOKUP(Query1[[#This Row],[Description]],'kits to boards'!$B$2:$E$156,4,FALSE)</f>
        <v>0</v>
      </c>
      <c r="O3758" t="str">
        <f>CONCATENATE(Query1[[#This Row],[Description]]," - ",Query1[[#This Row],[MB1]]," - ",Query1[[#This Row],[MB2]]," - ",Query1[[#This Row],[MB3]])</f>
        <v>ComPac GEN II W/DEF - 830029 - 830030 - 0</v>
      </c>
    </row>
    <row r="3759" spans="1:15" x14ac:dyDescent="0.25">
      <c r="A3759" s="1">
        <v>919206</v>
      </c>
      <c r="B3759" s="1" t="s">
        <v>34</v>
      </c>
      <c r="C3759" s="1" t="s">
        <v>35</v>
      </c>
      <c r="D3759" s="2">
        <v>44662.657042743056</v>
      </c>
      <c r="E3759" s="1" t="s">
        <v>8</v>
      </c>
      <c r="F3759" s="1">
        <v>1</v>
      </c>
      <c r="G3759" s="1">
        <v>0</v>
      </c>
      <c r="H3759" s="6">
        <f>INT(Query1[[#This Row],[EntryDateTime]])</f>
        <v>44662</v>
      </c>
      <c r="I3759" s="1">
        <f>IF(Query1[[#This Row],[ItemType]]="EVAP KIT SF GEN IV",Query1[[#This Row],[OrderQty]]+I3758,I3758)</f>
        <v>4655</v>
      </c>
      <c r="J3759" s="1">
        <f>IF(Query1[[#This Row],[ItemType]]="EVAP KIT UNIVERSAL",Query1[[#This Row],[OrderQty]]+J3758,J3758)</f>
        <v>1606</v>
      </c>
      <c r="K3759" s="1">
        <f>Query1[[#This Row],[SF Running Total]]+Query1[[#This Row],[UNIV Running Total]]</f>
        <v>6261</v>
      </c>
      <c r="L3759">
        <f>VLOOKUP(Query1[[#This Row],[Description]],'kits to boards'!$B$2:$E$156,2,FALSE)</f>
        <v>830065</v>
      </c>
      <c r="M3759">
        <f>VLOOKUP(Query1[[#This Row],[Description]],'kits to boards'!$B$2:$E$156,3,FALSE)</f>
        <v>0</v>
      </c>
      <c r="N3759">
        <f>VLOOKUP(Query1[[#This Row],[Description]],'kits to boards'!$B$2:$E$156,4,FALSE)</f>
        <v>0</v>
      </c>
      <c r="O3759" t="str">
        <f>CONCATENATE(Query1[[#This Row],[Description]]," - ",Query1[[#This Row],[MB1]]," - ",Query1[[#This Row],[MB2]]," - ",Query1[[#This Row],[MB3]])</f>
        <v>EVAP KIT 57 CHEV WO AC - 830065 - 0 - 0</v>
      </c>
    </row>
    <row r="3760" spans="1:15" x14ac:dyDescent="0.25">
      <c r="A3760" s="1">
        <v>919227</v>
      </c>
      <c r="B3760" s="1" t="s">
        <v>28</v>
      </c>
      <c r="C3760" s="1" t="s">
        <v>29</v>
      </c>
      <c r="D3760" s="2">
        <v>44662.664894097223</v>
      </c>
      <c r="E3760" s="1" t="s">
        <v>8</v>
      </c>
      <c r="F3760" s="1">
        <v>1</v>
      </c>
      <c r="G3760" s="1">
        <v>0</v>
      </c>
      <c r="H3760" s="6">
        <f>INT(Query1[[#This Row],[EntryDateTime]])</f>
        <v>44662</v>
      </c>
      <c r="I3760" s="1">
        <f>IF(Query1[[#This Row],[ItemType]]="EVAP KIT SF GEN IV",Query1[[#This Row],[OrderQty]]+I3759,I3759)</f>
        <v>4656</v>
      </c>
      <c r="J3760" s="1">
        <f>IF(Query1[[#This Row],[ItemType]]="EVAP KIT UNIVERSAL",Query1[[#This Row],[OrderQty]]+J3759,J3759)</f>
        <v>1606</v>
      </c>
      <c r="K3760" s="1">
        <f>Query1[[#This Row],[SF Running Total]]+Query1[[#This Row],[UNIV Running Total]]</f>
        <v>6262</v>
      </c>
      <c r="L3760">
        <f>VLOOKUP(Query1[[#This Row],[Description]],'kits to boards'!$B$2:$E$156,2,FALSE)</f>
        <v>830001</v>
      </c>
      <c r="M3760">
        <f>VLOOKUP(Query1[[#This Row],[Description]],'kits to boards'!$B$2:$E$156,3,FALSE)</f>
        <v>0</v>
      </c>
      <c r="N3760">
        <f>VLOOKUP(Query1[[#This Row],[Description]],'kits to boards'!$B$2:$E$156,4,FALSE)</f>
        <v>0</v>
      </c>
      <c r="O3760" t="str">
        <f>CONCATENATE(Query1[[#This Row],[Description]]," - ",Query1[[#This Row],[MB1]]," - ",Query1[[#This Row],[MB2]]," - ",Query1[[#This Row],[MB3]])</f>
        <v>EVAP KIT 73-80 CHEV P-UP W/AC - 830001 - 0 - 0</v>
      </c>
    </row>
    <row r="3761" spans="1:15" x14ac:dyDescent="0.25">
      <c r="A3761" s="1">
        <v>919181</v>
      </c>
      <c r="B3761" s="1" t="s">
        <v>52</v>
      </c>
      <c r="C3761" s="1" t="s">
        <v>53</v>
      </c>
      <c r="D3761" s="2">
        <v>44662.680244293981</v>
      </c>
      <c r="E3761" s="1" t="s">
        <v>8</v>
      </c>
      <c r="F3761" s="1">
        <v>1</v>
      </c>
      <c r="G3761" s="1">
        <v>0</v>
      </c>
      <c r="H3761" s="6">
        <f>INT(Query1[[#This Row],[EntryDateTime]])</f>
        <v>44662</v>
      </c>
      <c r="I3761" s="1">
        <f>IF(Query1[[#This Row],[ItemType]]="EVAP KIT SF GEN IV",Query1[[#This Row],[OrderQty]]+I3760,I3760)</f>
        <v>4657</v>
      </c>
      <c r="J3761" s="1">
        <f>IF(Query1[[#This Row],[ItemType]]="EVAP KIT UNIVERSAL",Query1[[#This Row],[OrderQty]]+J3760,J3760)</f>
        <v>1606</v>
      </c>
      <c r="K3761" s="1">
        <f>Query1[[#This Row],[SF Running Total]]+Query1[[#This Row],[UNIV Running Total]]</f>
        <v>6263</v>
      </c>
      <c r="L3761">
        <f>VLOOKUP(Query1[[#This Row],[Description]],'kits to boards'!$B$2:$E$156,2,FALSE)</f>
        <v>830017</v>
      </c>
      <c r="M3761">
        <f>VLOOKUP(Query1[[#This Row],[Description]],'kits to boards'!$B$2:$E$156,3,FALSE)</f>
        <v>830119</v>
      </c>
      <c r="N3761">
        <f>VLOOKUP(Query1[[#This Row],[Description]],'kits to boards'!$B$2:$E$156,4,FALSE)</f>
        <v>830120</v>
      </c>
      <c r="O3761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762" spans="1:15" x14ac:dyDescent="0.25">
      <c r="A3762" s="1">
        <v>919241</v>
      </c>
      <c r="B3762" s="1" t="s">
        <v>142</v>
      </c>
      <c r="C3762" s="1" t="s">
        <v>143</v>
      </c>
      <c r="D3762" s="2">
        <v>44662.687189201388</v>
      </c>
      <c r="E3762" s="1" t="s">
        <v>8</v>
      </c>
      <c r="F3762" s="1">
        <v>1</v>
      </c>
      <c r="G3762" s="1">
        <v>0</v>
      </c>
      <c r="H3762" s="6">
        <f>INT(Query1[[#This Row],[EntryDateTime]])</f>
        <v>44662</v>
      </c>
      <c r="I3762" s="1">
        <f>IF(Query1[[#This Row],[ItemType]]="EVAP KIT SF GEN IV",Query1[[#This Row],[OrderQty]]+I3761,I3761)</f>
        <v>4658</v>
      </c>
      <c r="J3762" s="1">
        <f>IF(Query1[[#This Row],[ItemType]]="EVAP KIT UNIVERSAL",Query1[[#This Row],[OrderQty]]+J3761,J3761)</f>
        <v>1606</v>
      </c>
      <c r="K3762" s="1">
        <f>Query1[[#This Row],[SF Running Total]]+Query1[[#This Row],[UNIV Running Total]]</f>
        <v>6264</v>
      </c>
      <c r="L3762">
        <f>VLOOKUP(Query1[[#This Row],[Description]],'kits to boards'!$B$2:$E$156,2,FALSE)</f>
        <v>830052</v>
      </c>
      <c r="M3762">
        <f>VLOOKUP(Query1[[#This Row],[Description]],'kits to boards'!$B$2:$E$156,3,FALSE)</f>
        <v>0</v>
      </c>
      <c r="N3762">
        <f>VLOOKUP(Query1[[#This Row],[Description]],'kits to boards'!$B$2:$E$156,4,FALSE)</f>
        <v>0</v>
      </c>
      <c r="O3762" t="str">
        <f>CONCATENATE(Query1[[#This Row],[Description]]," - ",Query1[[#This Row],[MB1]]," - ",Query1[[#This Row],[MB2]]," - ",Query1[[#This Row],[MB3]])</f>
        <v>EVAP KIT 61-64 FORD F-100 - 830052 - 0 - 0</v>
      </c>
    </row>
    <row r="3763" spans="1:15" x14ac:dyDescent="0.25">
      <c r="A3763" s="1">
        <v>919243</v>
      </c>
      <c r="B3763" s="1" t="s">
        <v>54</v>
      </c>
      <c r="C3763" s="1" t="s">
        <v>55</v>
      </c>
      <c r="D3763" s="2">
        <v>44662.692122800923</v>
      </c>
      <c r="E3763" s="1" t="s">
        <v>8</v>
      </c>
      <c r="F3763" s="1">
        <v>1</v>
      </c>
      <c r="G3763" s="1">
        <v>0</v>
      </c>
      <c r="H3763" s="6">
        <f>INT(Query1[[#This Row],[EntryDateTime]])</f>
        <v>44662</v>
      </c>
      <c r="I3763" s="1">
        <f>IF(Query1[[#This Row],[ItemType]]="EVAP KIT SF GEN IV",Query1[[#This Row],[OrderQty]]+I3762,I3762)</f>
        <v>4659</v>
      </c>
      <c r="J3763" s="1">
        <f>IF(Query1[[#This Row],[ItemType]]="EVAP KIT UNIVERSAL",Query1[[#This Row],[OrderQty]]+J3762,J3762)</f>
        <v>1606</v>
      </c>
      <c r="K3763" s="1">
        <f>Query1[[#This Row],[SF Running Total]]+Query1[[#This Row],[UNIV Running Total]]</f>
        <v>6265</v>
      </c>
      <c r="L3763">
        <f>VLOOKUP(Query1[[#This Row],[Description]],'kits to boards'!$B$2:$E$156,2,FALSE)</f>
        <v>830037</v>
      </c>
      <c r="M3763">
        <f>VLOOKUP(Query1[[#This Row],[Description]],'kits to boards'!$B$2:$E$156,3,FALSE)</f>
        <v>0</v>
      </c>
      <c r="N3763">
        <f>VLOOKUP(Query1[[#This Row],[Description]],'kits to boards'!$B$2:$E$156,4,FALSE)</f>
        <v>0</v>
      </c>
      <c r="O3763" t="str">
        <f>CONCATENATE(Query1[[#This Row],[Description]]," - ",Query1[[#This Row],[MB1]]," - ",Query1[[#This Row],[MB2]]," - ",Query1[[#This Row],[MB3]])</f>
        <v>EVAP KIT 70-81 FIREBIRD W/AC - 830037 - 0 - 0</v>
      </c>
    </row>
    <row r="3764" spans="1:15" x14ac:dyDescent="0.25">
      <c r="A3764" s="1">
        <v>919245</v>
      </c>
      <c r="B3764" s="1" t="s">
        <v>156</v>
      </c>
      <c r="C3764" s="1" t="s">
        <v>157</v>
      </c>
      <c r="D3764" s="2">
        <v>44662.698170520831</v>
      </c>
      <c r="E3764" s="1" t="s">
        <v>8</v>
      </c>
      <c r="F3764" s="1">
        <v>1</v>
      </c>
      <c r="G3764" s="1">
        <v>0</v>
      </c>
      <c r="H3764" s="6">
        <f>INT(Query1[[#This Row],[EntryDateTime]])</f>
        <v>44662</v>
      </c>
      <c r="I3764" s="1">
        <f>IF(Query1[[#This Row],[ItemType]]="EVAP KIT SF GEN IV",Query1[[#This Row],[OrderQty]]+I3763,I3763)</f>
        <v>4660</v>
      </c>
      <c r="J3764" s="1">
        <f>IF(Query1[[#This Row],[ItemType]]="EVAP KIT UNIVERSAL",Query1[[#This Row],[OrderQty]]+J3763,J3763)</f>
        <v>1606</v>
      </c>
      <c r="K3764" s="1">
        <f>Query1[[#This Row],[SF Running Total]]+Query1[[#This Row],[UNIV Running Total]]</f>
        <v>6266</v>
      </c>
      <c r="L3764">
        <f>VLOOKUP(Query1[[#This Row],[Description]],'kits to boards'!$B$2:$E$156,2,FALSE)</f>
        <v>830019</v>
      </c>
      <c r="M3764">
        <f>VLOOKUP(Query1[[#This Row],[Description]],'kits to boards'!$B$2:$E$156,3,FALSE)</f>
        <v>0</v>
      </c>
      <c r="N3764">
        <f>VLOOKUP(Query1[[#This Row],[Description]],'kits to boards'!$B$2:$E$156,4,FALSE)</f>
        <v>0</v>
      </c>
      <c r="O3764" t="str">
        <f>CONCATENATE(Query1[[#This Row],[Description]]," - ",Query1[[#This Row],[MB1]]," - ",Query1[[#This Row],[MB2]]," - ",Query1[[#This Row],[MB3]])</f>
        <v>EVAP KIT 70-81 FIREBIRD WO AC - 830019 - 0 - 0</v>
      </c>
    </row>
    <row r="3765" spans="1:15" x14ac:dyDescent="0.25">
      <c r="A3765" s="1">
        <v>919248</v>
      </c>
      <c r="B3765" s="1" t="s">
        <v>52</v>
      </c>
      <c r="C3765" s="1" t="s">
        <v>53</v>
      </c>
      <c r="D3765" s="2">
        <v>44662.700889236112</v>
      </c>
      <c r="E3765" s="1" t="s">
        <v>8</v>
      </c>
      <c r="F3765" s="1">
        <v>1</v>
      </c>
      <c r="G3765" s="1">
        <v>0</v>
      </c>
      <c r="H3765" s="6">
        <f>INT(Query1[[#This Row],[EntryDateTime]])</f>
        <v>44662</v>
      </c>
      <c r="I3765" s="1">
        <f>IF(Query1[[#This Row],[ItemType]]="EVAP KIT SF GEN IV",Query1[[#This Row],[OrderQty]]+I3764,I3764)</f>
        <v>4661</v>
      </c>
      <c r="J3765" s="1">
        <f>IF(Query1[[#This Row],[ItemType]]="EVAP KIT UNIVERSAL",Query1[[#This Row],[OrderQty]]+J3764,J3764)</f>
        <v>1606</v>
      </c>
      <c r="K3765" s="1">
        <f>Query1[[#This Row],[SF Running Total]]+Query1[[#This Row],[UNIV Running Total]]</f>
        <v>6267</v>
      </c>
      <c r="L3765">
        <f>VLOOKUP(Query1[[#This Row],[Description]],'kits to boards'!$B$2:$E$156,2,FALSE)</f>
        <v>830017</v>
      </c>
      <c r="M3765">
        <f>VLOOKUP(Query1[[#This Row],[Description]],'kits to boards'!$B$2:$E$156,3,FALSE)</f>
        <v>830119</v>
      </c>
      <c r="N3765">
        <f>VLOOKUP(Query1[[#This Row],[Description]],'kits to boards'!$B$2:$E$156,4,FALSE)</f>
        <v>830120</v>
      </c>
      <c r="O3765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766" spans="1:15" x14ac:dyDescent="0.25">
      <c r="A3766" s="1">
        <v>919247</v>
      </c>
      <c r="B3766" s="1" t="s">
        <v>92</v>
      </c>
      <c r="C3766" s="1" t="s">
        <v>93</v>
      </c>
      <c r="D3766" s="2">
        <v>44662.701084224536</v>
      </c>
      <c r="E3766" s="1" t="s">
        <v>8</v>
      </c>
      <c r="F3766" s="1">
        <v>1</v>
      </c>
      <c r="G3766" s="1">
        <v>0</v>
      </c>
      <c r="H3766" s="6">
        <f>INT(Query1[[#This Row],[EntryDateTime]])</f>
        <v>44662</v>
      </c>
      <c r="I3766" s="1">
        <f>IF(Query1[[#This Row],[ItemType]]="EVAP KIT SF GEN IV",Query1[[#This Row],[OrderQty]]+I3765,I3765)</f>
        <v>4662</v>
      </c>
      <c r="J3766" s="1">
        <f>IF(Query1[[#This Row],[ItemType]]="EVAP KIT UNIVERSAL",Query1[[#This Row],[OrderQty]]+J3765,J3765)</f>
        <v>1606</v>
      </c>
      <c r="K3766" s="1">
        <f>Query1[[#This Row],[SF Running Total]]+Query1[[#This Row],[UNIV Running Total]]</f>
        <v>6268</v>
      </c>
      <c r="L3766">
        <f>VLOOKUP(Query1[[#This Row],[Description]],'kits to boards'!$B$2:$E$156,2,FALSE)</f>
        <v>830063</v>
      </c>
      <c r="M3766">
        <f>VLOOKUP(Query1[[#This Row],[Description]],'kits to boards'!$B$2:$E$156,3,FALSE)</f>
        <v>0</v>
      </c>
      <c r="N3766">
        <f>VLOOKUP(Query1[[#This Row],[Description]],'kits to boards'!$B$2:$E$156,4,FALSE)</f>
        <v>0</v>
      </c>
      <c r="O3766" t="str">
        <f>CONCATENATE(Query1[[#This Row],[Description]]," - ",Query1[[#This Row],[MB1]]," - ",Query1[[#This Row],[MB2]]," - ",Query1[[#This Row],[MB3]])</f>
        <v>EVAP KIT 50-53 CHEV P-UP GEN IV - 830063 - 0 - 0</v>
      </c>
    </row>
    <row r="3767" spans="1:15" x14ac:dyDescent="0.25">
      <c r="A3767" s="1">
        <v>919250</v>
      </c>
      <c r="B3767" s="1" t="s">
        <v>30</v>
      </c>
      <c r="C3767" s="1" t="s">
        <v>31</v>
      </c>
      <c r="D3767" s="2">
        <v>44662.70474533565</v>
      </c>
      <c r="E3767" s="1" t="s">
        <v>8</v>
      </c>
      <c r="F3767" s="1">
        <v>1</v>
      </c>
      <c r="G3767" s="1">
        <v>0</v>
      </c>
      <c r="H3767" s="6">
        <f>INT(Query1[[#This Row],[EntryDateTime]])</f>
        <v>44662</v>
      </c>
      <c r="I3767" s="1">
        <f>IF(Query1[[#This Row],[ItemType]]="EVAP KIT SF GEN IV",Query1[[#This Row],[OrderQty]]+I3766,I3766)</f>
        <v>4663</v>
      </c>
      <c r="J3767" s="1">
        <f>IF(Query1[[#This Row],[ItemType]]="EVAP KIT UNIVERSAL",Query1[[#This Row],[OrderQty]]+J3766,J3766)</f>
        <v>1606</v>
      </c>
      <c r="K3767" s="1">
        <f>Query1[[#This Row],[SF Running Total]]+Query1[[#This Row],[UNIV Running Total]]</f>
        <v>6269</v>
      </c>
      <c r="L3767">
        <f>VLOOKUP(Query1[[#This Row],[Description]],'kits to boards'!$B$2:$E$156,2,FALSE)</f>
        <v>830054</v>
      </c>
      <c r="M3767">
        <f>VLOOKUP(Query1[[#This Row],[Description]],'kits to boards'!$B$2:$E$156,3,FALSE)</f>
        <v>0</v>
      </c>
      <c r="N3767">
        <f>VLOOKUP(Query1[[#This Row],[Description]],'kits to boards'!$B$2:$E$156,4,FALSE)</f>
        <v>0</v>
      </c>
      <c r="O3767" t="str">
        <f>CONCATENATE(Query1[[#This Row],[Description]]," - ",Query1[[#This Row],[MB1]]," - ",Query1[[#This Row],[MB2]]," - ",Query1[[#This Row],[MB3]])</f>
        <v>EVAP KIT 55-56 CHEVY 4-VENT - 830054 - 0 - 0</v>
      </c>
    </row>
    <row r="3768" spans="1:15" x14ac:dyDescent="0.25">
      <c r="A3768" s="1">
        <v>919256</v>
      </c>
      <c r="B3768" s="1" t="s">
        <v>212</v>
      </c>
      <c r="C3768" s="1" t="s">
        <v>213</v>
      </c>
      <c r="D3768" s="2">
        <v>44663.322592708333</v>
      </c>
      <c r="E3768" s="1" t="s">
        <v>8</v>
      </c>
      <c r="F3768" s="1">
        <v>1</v>
      </c>
      <c r="G3768" s="1">
        <v>0</v>
      </c>
      <c r="H3768" s="6">
        <f>INT(Query1[[#This Row],[EntryDateTime]])</f>
        <v>44663</v>
      </c>
      <c r="I3768" s="1">
        <f>IF(Query1[[#This Row],[ItemType]]="EVAP KIT SF GEN IV",Query1[[#This Row],[OrderQty]]+I3767,I3767)</f>
        <v>4664</v>
      </c>
      <c r="J3768" s="1">
        <f>IF(Query1[[#This Row],[ItemType]]="EVAP KIT UNIVERSAL",Query1[[#This Row],[OrderQty]]+J3767,J3767)</f>
        <v>1606</v>
      </c>
      <c r="K3768" s="1">
        <f>Query1[[#This Row],[SF Running Total]]+Query1[[#This Row],[UNIV Running Total]]</f>
        <v>6270</v>
      </c>
      <c r="L3768">
        <f>VLOOKUP(Query1[[#This Row],[Description]],'kits to boards'!$B$2:$E$156,2,FALSE)</f>
        <v>830034</v>
      </c>
      <c r="M3768">
        <f>VLOOKUP(Query1[[#This Row],[Description]],'kits to boards'!$B$2:$E$156,3,FALSE)</f>
        <v>0</v>
      </c>
      <c r="N3768">
        <f>VLOOKUP(Query1[[#This Row],[Description]],'kits to boards'!$B$2:$E$156,4,FALSE)</f>
        <v>0</v>
      </c>
      <c r="O3768" t="str">
        <f>CONCATENATE(Query1[[#This Row],[Description]]," - ",Query1[[#This Row],[MB1]]," - ",Query1[[#This Row],[MB2]]," - ",Query1[[#This Row],[MB3]])</f>
        <v>EVAP KIT 64-67 GTO W/AC - 830034 - 0 - 0</v>
      </c>
    </row>
    <row r="3769" spans="1:15" x14ac:dyDescent="0.25">
      <c r="A3769" s="1">
        <v>919127</v>
      </c>
      <c r="B3769" s="1" t="s">
        <v>12</v>
      </c>
      <c r="C3769" s="1" t="s">
        <v>13</v>
      </c>
      <c r="D3769" s="2">
        <v>44663.323252743059</v>
      </c>
      <c r="E3769" s="1" t="s">
        <v>8</v>
      </c>
      <c r="F3769" s="1">
        <v>1</v>
      </c>
      <c r="G3769" s="1">
        <v>0</v>
      </c>
      <c r="H3769" s="6">
        <f>INT(Query1[[#This Row],[EntryDateTime]])</f>
        <v>44663</v>
      </c>
      <c r="I3769" s="1">
        <f>IF(Query1[[#This Row],[ItemType]]="EVAP KIT SF GEN IV",Query1[[#This Row],[OrderQty]]+I3768,I3768)</f>
        <v>4665</v>
      </c>
      <c r="J3769" s="1">
        <f>IF(Query1[[#This Row],[ItemType]]="EVAP KIT UNIVERSAL",Query1[[#This Row],[OrderQty]]+J3768,J3768)</f>
        <v>1606</v>
      </c>
      <c r="K3769" s="1">
        <f>Query1[[#This Row],[SF Running Total]]+Query1[[#This Row],[UNIV Running Total]]</f>
        <v>6271</v>
      </c>
      <c r="L3769">
        <f>VLOOKUP(Query1[[#This Row],[Description]],'kits to boards'!$B$2:$E$156,2,FALSE)</f>
        <v>830079</v>
      </c>
      <c r="M3769">
        <f>VLOOKUP(Query1[[#This Row],[Description]],'kits to boards'!$B$2:$E$156,3,FALSE)</f>
        <v>830046</v>
      </c>
      <c r="N3769">
        <f>VLOOKUP(Query1[[#This Row],[Description]],'kits to boards'!$B$2:$E$156,4,FALSE)</f>
        <v>0</v>
      </c>
      <c r="O3769" t="str">
        <f>CONCATENATE(Query1[[#This Row],[Description]]," - ",Query1[[#This Row],[MB1]]," - ",Query1[[#This Row],[MB2]]," - ",Query1[[#This Row],[MB3]])</f>
        <v>EVAP KIT 67-68 MUSTANG/COUGAR W/AC - 830079 - 830046 - 0</v>
      </c>
    </row>
    <row r="3770" spans="1:15" x14ac:dyDescent="0.25">
      <c r="A3770" s="1">
        <v>919260</v>
      </c>
      <c r="B3770" s="1" t="s">
        <v>96</v>
      </c>
      <c r="C3770" s="1" t="s">
        <v>97</v>
      </c>
      <c r="D3770" s="2">
        <v>44663.327100428243</v>
      </c>
      <c r="E3770" s="1" t="s">
        <v>8</v>
      </c>
      <c r="F3770" s="1">
        <v>1</v>
      </c>
      <c r="G3770" s="1">
        <v>0</v>
      </c>
      <c r="H3770" s="6">
        <f>INT(Query1[[#This Row],[EntryDateTime]])</f>
        <v>44663</v>
      </c>
      <c r="I3770" s="1">
        <f>IF(Query1[[#This Row],[ItemType]]="EVAP KIT SF GEN IV",Query1[[#This Row],[OrderQty]]+I3769,I3769)</f>
        <v>4666</v>
      </c>
      <c r="J3770" s="1">
        <f>IF(Query1[[#This Row],[ItemType]]="EVAP KIT UNIVERSAL",Query1[[#This Row],[OrderQty]]+J3769,J3769)</f>
        <v>1606</v>
      </c>
      <c r="K3770" s="1">
        <f>Query1[[#This Row],[SF Running Total]]+Query1[[#This Row],[UNIV Running Total]]</f>
        <v>6272</v>
      </c>
      <c r="L3770">
        <f>VLOOKUP(Query1[[#This Row],[Description]],'kits to boards'!$B$2:$E$156,2,FALSE)</f>
        <v>830004</v>
      </c>
      <c r="M3770">
        <f>VLOOKUP(Query1[[#This Row],[Description]],'kits to boards'!$B$2:$E$156,3,FALSE)</f>
        <v>0</v>
      </c>
      <c r="N3770">
        <f>VLOOKUP(Query1[[#This Row],[Description]],'kits to boards'!$B$2:$E$156,4,FALSE)</f>
        <v>0</v>
      </c>
      <c r="O3770" t="str">
        <f>CONCATENATE(Query1[[#This Row],[Description]]," - ",Query1[[#This Row],[MB1]]," - ",Query1[[#This Row],[MB2]]," - ",Query1[[#This Row],[MB3]])</f>
        <v>EVAP KIT 81-87 CHEV P-UP W/AC - 830004 - 0 - 0</v>
      </c>
    </row>
    <row r="3771" spans="1:15" x14ac:dyDescent="0.25">
      <c r="A3771" s="1">
        <v>919261</v>
      </c>
      <c r="B3771" s="1" t="s">
        <v>154</v>
      </c>
      <c r="C3771" s="1" t="s">
        <v>155</v>
      </c>
      <c r="D3771" s="2">
        <v>44663.337817013889</v>
      </c>
      <c r="E3771" s="1" t="s">
        <v>8</v>
      </c>
      <c r="F3771" s="1">
        <v>1</v>
      </c>
      <c r="G3771" s="1">
        <v>0</v>
      </c>
      <c r="H3771" s="6">
        <f>INT(Query1[[#This Row],[EntryDateTime]])</f>
        <v>44663</v>
      </c>
      <c r="I3771" s="1">
        <f>IF(Query1[[#This Row],[ItemType]]="EVAP KIT SF GEN IV",Query1[[#This Row],[OrderQty]]+I3770,I3770)</f>
        <v>4667</v>
      </c>
      <c r="J3771" s="1">
        <f>IF(Query1[[#This Row],[ItemType]]="EVAP KIT UNIVERSAL",Query1[[#This Row],[OrderQty]]+J3770,J3770)</f>
        <v>1606</v>
      </c>
      <c r="K3771" s="1">
        <f>Query1[[#This Row],[SF Running Total]]+Query1[[#This Row],[UNIV Running Total]]</f>
        <v>6273</v>
      </c>
      <c r="L3771">
        <f>VLOOKUP(Query1[[#This Row],[Description]],'kits to boards'!$B$2:$E$156,2,FALSE)</f>
        <v>830124</v>
      </c>
      <c r="M3771">
        <f>VLOOKUP(Query1[[#This Row],[Description]],'kits to boards'!$B$2:$E$156,3,FALSE)</f>
        <v>0</v>
      </c>
      <c r="N3771">
        <f>VLOOKUP(Query1[[#This Row],[Description]],'kits to boards'!$B$2:$E$156,4,FALSE)</f>
        <v>0</v>
      </c>
      <c r="O3771" t="str">
        <f>CONCATENATE(Query1[[#This Row],[Description]]," - ",Query1[[#This Row],[MB1]]," - ",Query1[[#This Row],[MB2]]," - ",Query1[[#This Row],[MB3]])</f>
        <v>EVAP KIT 69 GTO W/AC - 830124 - 0 - 0</v>
      </c>
    </row>
    <row r="3772" spans="1:15" x14ac:dyDescent="0.25">
      <c r="A3772" s="1">
        <v>919267</v>
      </c>
      <c r="B3772" s="1" t="s">
        <v>152</v>
      </c>
      <c r="C3772" s="1" t="s">
        <v>153</v>
      </c>
      <c r="D3772" s="2">
        <v>44663.341644525462</v>
      </c>
      <c r="E3772" s="1" t="s">
        <v>8</v>
      </c>
      <c r="F3772" s="1">
        <v>1</v>
      </c>
      <c r="G3772" s="1">
        <v>0</v>
      </c>
      <c r="H3772" s="6">
        <f>INT(Query1[[#This Row],[EntryDateTime]])</f>
        <v>44663</v>
      </c>
      <c r="I3772" s="1">
        <f>IF(Query1[[#This Row],[ItemType]]="EVAP KIT SF GEN IV",Query1[[#This Row],[OrderQty]]+I3771,I3771)</f>
        <v>4668</v>
      </c>
      <c r="J3772" s="1">
        <f>IF(Query1[[#This Row],[ItemType]]="EVAP KIT UNIVERSAL",Query1[[#This Row],[OrderQty]]+J3771,J3771)</f>
        <v>1606</v>
      </c>
      <c r="K3772" s="1">
        <f>Query1[[#This Row],[SF Running Total]]+Query1[[#This Row],[UNIV Running Total]]</f>
        <v>6274</v>
      </c>
      <c r="L3772">
        <f>VLOOKUP(Query1[[#This Row],[Description]],'kits to boards'!$B$2:$E$156,2,FALSE)</f>
        <v>830034</v>
      </c>
      <c r="M3772">
        <f>VLOOKUP(Query1[[#This Row],[Description]],'kits to boards'!$B$2:$E$156,3,FALSE)</f>
        <v>0</v>
      </c>
      <c r="N3772">
        <f>VLOOKUP(Query1[[#This Row],[Description]],'kits to boards'!$B$2:$E$156,4,FALSE)</f>
        <v>0</v>
      </c>
      <c r="O3772" t="str">
        <f>CONCATENATE(Query1[[#This Row],[Description]]," - ",Query1[[#This Row],[MB1]]," - ",Query1[[#This Row],[MB2]]," - ",Query1[[#This Row],[MB3]])</f>
        <v>EVAP KIT 64-67 GTO WO AC - 830034 - 0 - 0</v>
      </c>
    </row>
    <row r="3773" spans="1:15" x14ac:dyDescent="0.25">
      <c r="A3773" s="1">
        <v>919267</v>
      </c>
      <c r="B3773" s="1" t="s">
        <v>198</v>
      </c>
      <c r="C3773" s="1" t="s">
        <v>199</v>
      </c>
      <c r="D3773" s="2">
        <v>44663.341743287034</v>
      </c>
      <c r="E3773" s="1" t="s">
        <v>8</v>
      </c>
      <c r="F3773" s="1">
        <v>1</v>
      </c>
      <c r="G3773" s="1">
        <v>0</v>
      </c>
      <c r="H3773" s="6">
        <f>INT(Query1[[#This Row],[EntryDateTime]])</f>
        <v>44663</v>
      </c>
      <c r="I3773" s="1">
        <f>IF(Query1[[#This Row],[ItemType]]="EVAP KIT SF GEN IV",Query1[[#This Row],[OrderQty]]+I3772,I3772)</f>
        <v>4669</v>
      </c>
      <c r="J3773" s="1">
        <f>IF(Query1[[#This Row],[ItemType]]="EVAP KIT UNIVERSAL",Query1[[#This Row],[OrderQty]]+J3772,J3772)</f>
        <v>1606</v>
      </c>
      <c r="K3773" s="1">
        <f>Query1[[#This Row],[SF Running Total]]+Query1[[#This Row],[UNIV Running Total]]</f>
        <v>6275</v>
      </c>
      <c r="L3773">
        <f>VLOOKUP(Query1[[#This Row],[Description]],'kits to boards'!$B$2:$E$156,2,FALSE)</f>
        <v>830042</v>
      </c>
      <c r="M3773">
        <f>VLOOKUP(Query1[[#This Row],[Description]],'kits to boards'!$B$2:$E$156,3,FALSE)</f>
        <v>0</v>
      </c>
      <c r="N3773">
        <f>VLOOKUP(Query1[[#This Row],[Description]],'kits to boards'!$B$2:$E$156,4,FALSE)</f>
        <v>0</v>
      </c>
      <c r="O3773" t="str">
        <f>CONCATENATE(Query1[[#This Row],[Description]]," - ",Query1[[#This Row],[MB1]]," - ",Query1[[#This Row],[MB2]]," - ",Query1[[#This Row],[MB3]])</f>
        <v>EVAP KIT 68-83 TOYOTA FJ40 ULTRA HIGH PERF - 830042 - 0 - 0</v>
      </c>
    </row>
    <row r="3774" spans="1:15" x14ac:dyDescent="0.25">
      <c r="A3774" s="1">
        <v>919268</v>
      </c>
      <c r="B3774" s="1" t="s">
        <v>76</v>
      </c>
      <c r="C3774" s="1" t="s">
        <v>77</v>
      </c>
      <c r="D3774" s="2">
        <v>44663.342437233798</v>
      </c>
      <c r="E3774" s="1" t="s">
        <v>11</v>
      </c>
      <c r="F3774" s="1">
        <v>1</v>
      </c>
      <c r="G3774" s="1">
        <v>0</v>
      </c>
      <c r="H3774" s="6">
        <f>INT(Query1[[#This Row],[EntryDateTime]])</f>
        <v>44663</v>
      </c>
      <c r="I3774" s="1">
        <f>IF(Query1[[#This Row],[ItemType]]="EVAP KIT SF GEN IV",Query1[[#This Row],[OrderQty]]+I3773,I3773)</f>
        <v>4669</v>
      </c>
      <c r="J3774" s="1">
        <f>IF(Query1[[#This Row],[ItemType]]="EVAP KIT UNIVERSAL",Query1[[#This Row],[OrderQty]]+J3773,J3773)</f>
        <v>1607</v>
      </c>
      <c r="K3774" s="1">
        <f>Query1[[#This Row],[SF Running Total]]+Query1[[#This Row],[UNIV Running Total]]</f>
        <v>6276</v>
      </c>
      <c r="L3774">
        <f>VLOOKUP(Query1[[#This Row],[Description]],'kits to boards'!$B$2:$E$156,2,FALSE)</f>
        <v>830099</v>
      </c>
      <c r="M3774">
        <f>VLOOKUP(Query1[[#This Row],[Description]],'kits to boards'!$B$2:$E$156,3,FALSE)</f>
        <v>0</v>
      </c>
      <c r="N3774">
        <f>VLOOKUP(Query1[[#This Row],[Description]],'kits to boards'!$B$2:$E$156,4,FALSE)</f>
        <v>0</v>
      </c>
      <c r="O3774" t="str">
        <f>CONCATENATE(Query1[[#This Row],[Description]]," - ",Query1[[#This Row],[MB1]]," - ",Query1[[#This Row],[MB2]]," - ",Query1[[#This Row],[MB3]])</f>
        <v>MINI GEN II H/C - 830099 - 0 - 0</v>
      </c>
    </row>
    <row r="3775" spans="1:15" x14ac:dyDescent="0.25">
      <c r="A3775" s="1">
        <v>919270</v>
      </c>
      <c r="B3775" s="1" t="s">
        <v>244</v>
      </c>
      <c r="C3775" s="1" t="s">
        <v>245</v>
      </c>
      <c r="D3775" s="2">
        <v>44663.365357789349</v>
      </c>
      <c r="E3775" s="1" t="s">
        <v>8</v>
      </c>
      <c r="F3775" s="1">
        <v>1</v>
      </c>
      <c r="G3775" s="1">
        <v>0</v>
      </c>
      <c r="H3775" s="6">
        <f>INT(Query1[[#This Row],[EntryDateTime]])</f>
        <v>44663</v>
      </c>
      <c r="I3775" s="1">
        <f>IF(Query1[[#This Row],[ItemType]]="EVAP KIT SF GEN IV",Query1[[#This Row],[OrderQty]]+I3774,I3774)</f>
        <v>4670</v>
      </c>
      <c r="J3775" s="1">
        <f>IF(Query1[[#This Row],[ItemType]]="EVAP KIT UNIVERSAL",Query1[[#This Row],[OrderQty]]+J3774,J3774)</f>
        <v>1607</v>
      </c>
      <c r="K3775" s="1">
        <f>Query1[[#This Row],[SF Running Total]]+Query1[[#This Row],[UNIV Running Total]]</f>
        <v>6277</v>
      </c>
      <c r="L3775">
        <f>VLOOKUP(Query1[[#This Row],[Description]],'kits to boards'!$B$2:$E$156,2,FALSE)</f>
        <v>830100</v>
      </c>
      <c r="M3775">
        <f>VLOOKUP(Query1[[#This Row],[Description]],'kits to boards'!$B$2:$E$156,3,FALSE)</f>
        <v>0</v>
      </c>
      <c r="N3775">
        <f>VLOOKUP(Query1[[#This Row],[Description]],'kits to boards'!$B$2:$E$156,4,FALSE)</f>
        <v>0</v>
      </c>
      <c r="O3775" t="str">
        <f>CONCATENATE(Query1[[#This Row],[Description]]," - ",Query1[[#This Row],[MB1]]," - ",Query1[[#This Row],[MB2]]," - ",Query1[[#This Row],[MB3]])</f>
        <v>EVAP KIT 68-76 VETTE WO AC - 830100 - 0 - 0</v>
      </c>
    </row>
    <row r="3776" spans="1:15" x14ac:dyDescent="0.25">
      <c r="A3776" s="1">
        <v>919254</v>
      </c>
      <c r="B3776" s="1" t="s">
        <v>226</v>
      </c>
      <c r="C3776" s="1" t="s">
        <v>227</v>
      </c>
      <c r="D3776" s="2">
        <v>44663.373218981484</v>
      </c>
      <c r="E3776" s="1" t="s">
        <v>8</v>
      </c>
      <c r="F3776" s="1">
        <v>1</v>
      </c>
      <c r="G3776" s="1">
        <v>0</v>
      </c>
      <c r="H3776" s="6">
        <f>INT(Query1[[#This Row],[EntryDateTime]])</f>
        <v>44663</v>
      </c>
      <c r="I3776" s="1">
        <f>IF(Query1[[#This Row],[ItemType]]="EVAP KIT SF GEN IV",Query1[[#This Row],[OrderQty]]+I3775,I3775)</f>
        <v>4671</v>
      </c>
      <c r="J3776" s="1">
        <f>IF(Query1[[#This Row],[ItemType]]="EVAP KIT UNIVERSAL",Query1[[#This Row],[OrderQty]]+J3775,J3775)</f>
        <v>1607</v>
      </c>
      <c r="K3776" s="1">
        <f>Query1[[#This Row],[SF Running Total]]+Query1[[#This Row],[UNIV Running Total]]</f>
        <v>6278</v>
      </c>
      <c r="L3776">
        <f>VLOOKUP(Query1[[#This Row],[Description]],'kits to boards'!$B$2:$E$156,2,FALSE)</f>
        <v>830124</v>
      </c>
      <c r="M3776">
        <f>VLOOKUP(Query1[[#This Row],[Description]],'kits to boards'!$B$2:$E$156,3,FALSE)</f>
        <v>0</v>
      </c>
      <c r="N3776">
        <f>VLOOKUP(Query1[[#This Row],[Description]],'kits to boards'!$B$2:$E$156,4,FALSE)</f>
        <v>0</v>
      </c>
      <c r="O3776" t="str">
        <f>CONCATENATE(Query1[[#This Row],[Description]]," - ",Query1[[#This Row],[MB1]]," - ",Query1[[#This Row],[MB2]]," - ",Query1[[#This Row],[MB3]])</f>
        <v>EVAP KIT 70-72 GTO W/AC - 830124 - 0 - 0</v>
      </c>
    </row>
    <row r="3777" spans="1:15" x14ac:dyDescent="0.25">
      <c r="A3777" s="1">
        <v>919281</v>
      </c>
      <c r="B3777" s="1" t="s">
        <v>90</v>
      </c>
      <c r="C3777" s="1" t="s">
        <v>91</v>
      </c>
      <c r="D3777" s="2">
        <v>44663.37430239583</v>
      </c>
      <c r="E3777" s="1" t="s">
        <v>8</v>
      </c>
      <c r="F3777" s="1">
        <v>1</v>
      </c>
      <c r="G3777" s="1">
        <v>0</v>
      </c>
      <c r="H3777" s="6">
        <f>INT(Query1[[#This Row],[EntryDateTime]])</f>
        <v>44663</v>
      </c>
      <c r="I3777" s="1">
        <f>IF(Query1[[#This Row],[ItemType]]="EVAP KIT SF GEN IV",Query1[[#This Row],[OrderQty]]+I3776,I3776)</f>
        <v>4672</v>
      </c>
      <c r="J3777" s="1">
        <f>IF(Query1[[#This Row],[ItemType]]="EVAP KIT UNIVERSAL",Query1[[#This Row],[OrderQty]]+J3776,J3776)</f>
        <v>1607</v>
      </c>
      <c r="K3777" s="1">
        <f>Query1[[#This Row],[SF Running Total]]+Query1[[#This Row],[UNIV Running Total]]</f>
        <v>6279</v>
      </c>
      <c r="L3777">
        <f>VLOOKUP(Query1[[#This Row],[Description]],'kits to boards'!$B$2:$E$156,2,FALSE)</f>
        <v>830105</v>
      </c>
      <c r="M3777">
        <f>VLOOKUP(Query1[[#This Row],[Description]],'kits to boards'!$B$2:$E$156,3,FALSE)</f>
        <v>830106</v>
      </c>
      <c r="N3777">
        <f>VLOOKUP(Query1[[#This Row],[Description]],'kits to boards'!$B$2:$E$156,4,FALSE)</f>
        <v>0</v>
      </c>
      <c r="O3777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3778" spans="1:15" x14ac:dyDescent="0.25">
      <c r="A3778" s="1">
        <v>919258</v>
      </c>
      <c r="B3778" s="1" t="s">
        <v>52</v>
      </c>
      <c r="C3778" s="1" t="s">
        <v>53</v>
      </c>
      <c r="D3778" s="2">
        <v>44663.375381979167</v>
      </c>
      <c r="E3778" s="1" t="s">
        <v>8</v>
      </c>
      <c r="F3778" s="1">
        <v>1</v>
      </c>
      <c r="G3778" s="1">
        <v>0</v>
      </c>
      <c r="H3778" s="6">
        <f>INT(Query1[[#This Row],[EntryDateTime]])</f>
        <v>44663</v>
      </c>
      <c r="I3778" s="1">
        <f>IF(Query1[[#This Row],[ItemType]]="EVAP KIT SF GEN IV",Query1[[#This Row],[OrderQty]]+I3777,I3777)</f>
        <v>4673</v>
      </c>
      <c r="J3778" s="1">
        <f>IF(Query1[[#This Row],[ItemType]]="EVAP KIT UNIVERSAL",Query1[[#This Row],[OrderQty]]+J3777,J3777)</f>
        <v>1607</v>
      </c>
      <c r="K3778" s="1">
        <f>Query1[[#This Row],[SF Running Total]]+Query1[[#This Row],[UNIV Running Total]]</f>
        <v>6280</v>
      </c>
      <c r="L3778">
        <f>VLOOKUP(Query1[[#This Row],[Description]],'kits to boards'!$B$2:$E$156,2,FALSE)</f>
        <v>830017</v>
      </c>
      <c r="M3778">
        <f>VLOOKUP(Query1[[#This Row],[Description]],'kits to boards'!$B$2:$E$156,3,FALSE)</f>
        <v>830119</v>
      </c>
      <c r="N3778">
        <f>VLOOKUP(Query1[[#This Row],[Description]],'kits to boards'!$B$2:$E$156,4,FALSE)</f>
        <v>830120</v>
      </c>
      <c r="O3778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779" spans="1:15" x14ac:dyDescent="0.25">
      <c r="A3779" s="1">
        <v>918813</v>
      </c>
      <c r="B3779" s="1" t="s">
        <v>70</v>
      </c>
      <c r="C3779" s="1" t="s">
        <v>71</v>
      </c>
      <c r="D3779" s="2">
        <v>44663.37603738426</v>
      </c>
      <c r="E3779" s="1" t="s">
        <v>8</v>
      </c>
      <c r="F3779" s="1">
        <v>1</v>
      </c>
      <c r="G3779" s="1">
        <v>0</v>
      </c>
      <c r="H3779" s="6">
        <f>INT(Query1[[#This Row],[EntryDateTime]])</f>
        <v>44663</v>
      </c>
      <c r="I3779" s="1">
        <f>IF(Query1[[#This Row],[ItemType]]="EVAP KIT SF GEN IV",Query1[[#This Row],[OrderQty]]+I3778,I3778)</f>
        <v>4674</v>
      </c>
      <c r="J3779" s="1">
        <f>IF(Query1[[#This Row],[ItemType]]="EVAP KIT UNIVERSAL",Query1[[#This Row],[OrderQty]]+J3778,J3778)</f>
        <v>1607</v>
      </c>
      <c r="K3779" s="1">
        <f>Query1[[#This Row],[SF Running Total]]+Query1[[#This Row],[UNIV Running Total]]</f>
        <v>6281</v>
      </c>
      <c r="L3779">
        <f>VLOOKUP(Query1[[#This Row],[Description]],'kits to boards'!$B$2:$E$156,2,FALSE)</f>
        <v>830050</v>
      </c>
      <c r="M3779">
        <f>VLOOKUP(Query1[[#This Row],[Description]],'kits to boards'!$B$2:$E$156,3,FALSE)</f>
        <v>0</v>
      </c>
      <c r="N3779">
        <f>VLOOKUP(Query1[[#This Row],[Description]],'kits to boards'!$B$2:$E$156,4,FALSE)</f>
        <v>0</v>
      </c>
      <c r="O3779" t="str">
        <f>CONCATENATE(Query1[[#This Row],[Description]]," - ",Query1[[#This Row],[MB1]]," - ",Query1[[#This Row],[MB2]]," - ",Query1[[#This Row],[MB3]])</f>
        <v>EVAP KIT 70-78 CAMARO WO AC - 830050 - 0 - 0</v>
      </c>
    </row>
    <row r="3780" spans="1:15" x14ac:dyDescent="0.25">
      <c r="A3780" s="1">
        <v>919273</v>
      </c>
      <c r="B3780" s="1" t="s">
        <v>52</v>
      </c>
      <c r="C3780" s="1" t="s">
        <v>53</v>
      </c>
      <c r="D3780" s="2">
        <v>44663.376128356482</v>
      </c>
      <c r="E3780" s="1" t="s">
        <v>8</v>
      </c>
      <c r="F3780" s="1">
        <v>1</v>
      </c>
      <c r="G3780" s="1">
        <v>0</v>
      </c>
      <c r="H3780" s="6">
        <f>INT(Query1[[#This Row],[EntryDateTime]])</f>
        <v>44663</v>
      </c>
      <c r="I3780" s="1">
        <f>IF(Query1[[#This Row],[ItemType]]="EVAP KIT SF GEN IV",Query1[[#This Row],[OrderQty]]+I3779,I3779)</f>
        <v>4675</v>
      </c>
      <c r="J3780" s="1">
        <f>IF(Query1[[#This Row],[ItemType]]="EVAP KIT UNIVERSAL",Query1[[#This Row],[OrderQty]]+J3779,J3779)</f>
        <v>1607</v>
      </c>
      <c r="K3780" s="1">
        <f>Query1[[#This Row],[SF Running Total]]+Query1[[#This Row],[UNIV Running Total]]</f>
        <v>6282</v>
      </c>
      <c r="L3780">
        <f>VLOOKUP(Query1[[#This Row],[Description]],'kits to boards'!$B$2:$E$156,2,FALSE)</f>
        <v>830017</v>
      </c>
      <c r="M3780">
        <f>VLOOKUP(Query1[[#This Row],[Description]],'kits to boards'!$B$2:$E$156,3,FALSE)</f>
        <v>830119</v>
      </c>
      <c r="N3780">
        <f>VLOOKUP(Query1[[#This Row],[Description]],'kits to boards'!$B$2:$E$156,4,FALSE)</f>
        <v>830120</v>
      </c>
      <c r="O3780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781" spans="1:15" x14ac:dyDescent="0.25">
      <c r="A3781" s="1">
        <v>919286</v>
      </c>
      <c r="B3781" s="1" t="s">
        <v>160</v>
      </c>
      <c r="C3781" s="1" t="s">
        <v>161</v>
      </c>
      <c r="D3781" s="2">
        <v>44663.378859293982</v>
      </c>
      <c r="E3781" s="1" t="s">
        <v>8</v>
      </c>
      <c r="F3781" s="1">
        <v>1</v>
      </c>
      <c r="G3781" s="1">
        <v>0</v>
      </c>
      <c r="H3781" s="6">
        <f>INT(Query1[[#This Row],[EntryDateTime]])</f>
        <v>44663</v>
      </c>
      <c r="I3781" s="1">
        <f>IF(Query1[[#This Row],[ItemType]]="EVAP KIT SF GEN IV",Query1[[#This Row],[OrderQty]]+I3780,I3780)</f>
        <v>4676</v>
      </c>
      <c r="J3781" s="1">
        <f>IF(Query1[[#This Row],[ItemType]]="EVAP KIT UNIVERSAL",Query1[[#This Row],[OrderQty]]+J3780,J3780)</f>
        <v>1607</v>
      </c>
      <c r="K3781" s="1">
        <f>Query1[[#This Row],[SF Running Total]]+Query1[[#This Row],[UNIV Running Total]]</f>
        <v>6283</v>
      </c>
      <c r="L3781">
        <f>VLOOKUP(Query1[[#This Row],[Description]],'kits to boards'!$B$2:$E$156,2,FALSE)</f>
        <v>830083</v>
      </c>
      <c r="M3781">
        <f>VLOOKUP(Query1[[#This Row],[Description]],'kits to boards'!$B$2:$E$156,3,FALSE)</f>
        <v>0</v>
      </c>
      <c r="N3781">
        <f>VLOOKUP(Query1[[#This Row],[Description]],'kits to boards'!$B$2:$E$156,4,FALSE)</f>
        <v>0</v>
      </c>
      <c r="O3781" t="str">
        <f>CONCATENATE(Query1[[#This Row],[Description]]," - ",Query1[[#This Row],[MB1]]," - ",Query1[[#This Row],[MB2]]," - ",Query1[[#This Row],[MB3]])</f>
        <v>EVAP KIT 70-74 CHALNGR/CUDA WO AC - 830083 - 0 - 0</v>
      </c>
    </row>
    <row r="3782" spans="1:15" x14ac:dyDescent="0.25">
      <c r="A3782" s="1">
        <v>919288</v>
      </c>
      <c r="B3782" s="1" t="s">
        <v>66</v>
      </c>
      <c r="C3782" s="1" t="s">
        <v>67</v>
      </c>
      <c r="D3782" s="2">
        <v>44663.380359722221</v>
      </c>
      <c r="E3782" s="1" t="s">
        <v>8</v>
      </c>
      <c r="F3782" s="1">
        <v>1</v>
      </c>
      <c r="G3782" s="1">
        <v>0</v>
      </c>
      <c r="H3782" s="6">
        <f>INT(Query1[[#This Row],[EntryDateTime]])</f>
        <v>44663</v>
      </c>
      <c r="I3782" s="1">
        <f>IF(Query1[[#This Row],[ItemType]]="EVAP KIT SF GEN IV",Query1[[#This Row],[OrderQty]]+I3781,I3781)</f>
        <v>4677</v>
      </c>
      <c r="J3782" s="1">
        <f>IF(Query1[[#This Row],[ItemType]]="EVAP KIT UNIVERSAL",Query1[[#This Row],[OrderQty]]+J3781,J3781)</f>
        <v>1607</v>
      </c>
      <c r="K3782" s="1">
        <f>Query1[[#This Row],[SF Running Total]]+Query1[[#This Row],[UNIV Running Total]]</f>
        <v>6284</v>
      </c>
      <c r="L3782">
        <f>VLOOKUP(Query1[[#This Row],[Description]],'kits to boards'!$B$2:$E$156,2,FALSE)</f>
        <v>830060</v>
      </c>
      <c r="M3782">
        <f>VLOOKUP(Query1[[#This Row],[Description]],'kits to boards'!$B$2:$E$156,3,FALSE)</f>
        <v>0</v>
      </c>
      <c r="N3782">
        <f>VLOOKUP(Query1[[#This Row],[Description]],'kits to boards'!$B$2:$E$156,4,FALSE)</f>
        <v>0</v>
      </c>
      <c r="O3782" t="str">
        <f>CONCATENATE(Query1[[#This Row],[Description]]," - ",Query1[[#This Row],[MB1]]," - ",Query1[[#This Row],[MB2]]," - ",Query1[[#This Row],[MB3]])</f>
        <v>EVAP KIT 66-67 CHEVELLE WO AC - 830060 - 0 - 0</v>
      </c>
    </row>
    <row r="3783" spans="1:15" x14ac:dyDescent="0.25">
      <c r="A3783" s="1">
        <v>919291</v>
      </c>
      <c r="B3783" s="1" t="s">
        <v>36</v>
      </c>
      <c r="C3783" s="1" t="s">
        <v>37</v>
      </c>
      <c r="D3783" s="2">
        <v>44663.384083252313</v>
      </c>
      <c r="E3783" s="1" t="s">
        <v>8</v>
      </c>
      <c r="F3783" s="1">
        <v>1</v>
      </c>
      <c r="G3783" s="1">
        <v>0</v>
      </c>
      <c r="H3783" s="6">
        <f>INT(Query1[[#This Row],[EntryDateTime]])</f>
        <v>44663</v>
      </c>
      <c r="I3783" s="1">
        <f>IF(Query1[[#This Row],[ItemType]]="EVAP KIT SF GEN IV",Query1[[#This Row],[OrderQty]]+I3782,I3782)</f>
        <v>4678</v>
      </c>
      <c r="J3783" s="1">
        <f>IF(Query1[[#This Row],[ItemType]]="EVAP KIT UNIVERSAL",Query1[[#This Row],[OrderQty]]+J3782,J3782)</f>
        <v>1607</v>
      </c>
      <c r="K3783" s="1">
        <f>Query1[[#This Row],[SF Running Total]]+Query1[[#This Row],[UNIV Running Total]]</f>
        <v>6285</v>
      </c>
      <c r="L3783">
        <f>VLOOKUP(Query1[[#This Row],[Description]],'kits to boards'!$B$2:$E$156,2,FALSE)</f>
        <v>830015</v>
      </c>
      <c r="M3783">
        <f>VLOOKUP(Query1[[#This Row],[Description]],'kits to boards'!$B$2:$E$156,3,FALSE)</f>
        <v>0</v>
      </c>
      <c r="N3783">
        <f>VLOOKUP(Query1[[#This Row],[Description]],'kits to boards'!$B$2:$E$156,4,FALSE)</f>
        <v>0</v>
      </c>
      <c r="O3783" t="str">
        <f>CONCATENATE(Query1[[#This Row],[Description]]," - ",Query1[[#This Row],[MB1]]," - ",Query1[[#This Row],[MB2]]," - ",Query1[[#This Row],[MB3]])</f>
        <v>EVAP KIT 64-66 CHEV P-UP WO AC W/STD - 830015 - 0 - 0</v>
      </c>
    </row>
    <row r="3784" spans="1:15" x14ac:dyDescent="0.25">
      <c r="A3784" s="1">
        <v>919215</v>
      </c>
      <c r="B3784" s="1" t="s">
        <v>42</v>
      </c>
      <c r="C3784" s="1" t="s">
        <v>43</v>
      </c>
      <c r="D3784" s="2">
        <v>44663.386130324077</v>
      </c>
      <c r="E3784" s="1" t="s">
        <v>8</v>
      </c>
      <c r="F3784" s="1">
        <v>1</v>
      </c>
      <c r="G3784" s="1">
        <v>0</v>
      </c>
      <c r="H3784" s="6">
        <f>INT(Query1[[#This Row],[EntryDateTime]])</f>
        <v>44663</v>
      </c>
      <c r="I3784" s="1">
        <f>IF(Query1[[#This Row],[ItemType]]="EVAP KIT SF GEN IV",Query1[[#This Row],[OrderQty]]+I3783,I3783)</f>
        <v>4679</v>
      </c>
      <c r="J3784" s="1">
        <f>IF(Query1[[#This Row],[ItemType]]="EVAP KIT UNIVERSAL",Query1[[#This Row],[OrderQty]]+J3783,J3783)</f>
        <v>1607</v>
      </c>
      <c r="K3784" s="1">
        <f>Query1[[#This Row],[SF Running Total]]+Query1[[#This Row],[UNIV Running Total]]</f>
        <v>6286</v>
      </c>
      <c r="L3784">
        <f>VLOOKUP(Query1[[#This Row],[Description]],'kits to boards'!$B$2:$E$156,2,FALSE)</f>
        <v>830014</v>
      </c>
      <c r="M3784">
        <f>VLOOKUP(Query1[[#This Row],[Description]],'kits to boards'!$B$2:$E$156,3,FALSE)</f>
        <v>0</v>
      </c>
      <c r="N3784">
        <f>VLOOKUP(Query1[[#This Row],[Description]],'kits to boards'!$B$2:$E$156,4,FALSE)</f>
        <v>0</v>
      </c>
      <c r="O3784" t="str">
        <f>CONCATENATE(Query1[[#This Row],[Description]]," - ",Query1[[#This Row],[MB1]]," - ",Query1[[#This Row],[MB2]]," - ",Query1[[#This Row],[MB3]])</f>
        <v>EVAP KIT 67-72 CHEV P-UP WO AC - 830014 - 0 - 0</v>
      </c>
    </row>
    <row r="3785" spans="1:15" x14ac:dyDescent="0.25">
      <c r="A3785" s="1">
        <v>919293</v>
      </c>
      <c r="B3785" s="1" t="s">
        <v>66</v>
      </c>
      <c r="C3785" s="1" t="s">
        <v>67</v>
      </c>
      <c r="D3785" s="2">
        <v>44663.388647916669</v>
      </c>
      <c r="E3785" s="1" t="s">
        <v>8</v>
      </c>
      <c r="F3785" s="1">
        <v>1</v>
      </c>
      <c r="G3785" s="1">
        <v>0</v>
      </c>
      <c r="H3785" s="6">
        <f>INT(Query1[[#This Row],[EntryDateTime]])</f>
        <v>44663</v>
      </c>
      <c r="I3785" s="1">
        <f>IF(Query1[[#This Row],[ItemType]]="EVAP KIT SF GEN IV",Query1[[#This Row],[OrderQty]]+I3784,I3784)</f>
        <v>4680</v>
      </c>
      <c r="J3785" s="1">
        <f>IF(Query1[[#This Row],[ItemType]]="EVAP KIT UNIVERSAL",Query1[[#This Row],[OrderQty]]+J3784,J3784)</f>
        <v>1607</v>
      </c>
      <c r="K3785" s="1">
        <f>Query1[[#This Row],[SF Running Total]]+Query1[[#This Row],[UNIV Running Total]]</f>
        <v>6287</v>
      </c>
      <c r="L3785">
        <f>VLOOKUP(Query1[[#This Row],[Description]],'kits to boards'!$B$2:$E$156,2,FALSE)</f>
        <v>830060</v>
      </c>
      <c r="M3785">
        <f>VLOOKUP(Query1[[#This Row],[Description]],'kits to boards'!$B$2:$E$156,3,FALSE)</f>
        <v>0</v>
      </c>
      <c r="N3785">
        <f>VLOOKUP(Query1[[#This Row],[Description]],'kits to boards'!$B$2:$E$156,4,FALSE)</f>
        <v>0</v>
      </c>
      <c r="O3785" t="str">
        <f>CONCATENATE(Query1[[#This Row],[Description]]," - ",Query1[[#This Row],[MB1]]," - ",Query1[[#This Row],[MB2]]," - ",Query1[[#This Row],[MB3]])</f>
        <v>EVAP KIT 66-67 CHEVELLE WO AC - 830060 - 0 - 0</v>
      </c>
    </row>
    <row r="3786" spans="1:15" x14ac:dyDescent="0.25">
      <c r="A3786" s="1">
        <v>919295</v>
      </c>
      <c r="B3786" s="1" t="s">
        <v>54</v>
      </c>
      <c r="C3786" s="1" t="s">
        <v>55</v>
      </c>
      <c r="D3786" s="2">
        <v>44663.39023611111</v>
      </c>
      <c r="E3786" s="1" t="s">
        <v>8</v>
      </c>
      <c r="F3786" s="1">
        <v>1</v>
      </c>
      <c r="G3786" s="1">
        <v>0</v>
      </c>
      <c r="H3786" s="6">
        <f>INT(Query1[[#This Row],[EntryDateTime]])</f>
        <v>44663</v>
      </c>
      <c r="I3786" s="1">
        <f>IF(Query1[[#This Row],[ItemType]]="EVAP KIT SF GEN IV",Query1[[#This Row],[OrderQty]]+I3785,I3785)</f>
        <v>4681</v>
      </c>
      <c r="J3786" s="1">
        <f>IF(Query1[[#This Row],[ItemType]]="EVAP KIT UNIVERSAL",Query1[[#This Row],[OrderQty]]+J3785,J3785)</f>
        <v>1607</v>
      </c>
      <c r="K3786" s="1">
        <f>Query1[[#This Row],[SF Running Total]]+Query1[[#This Row],[UNIV Running Total]]</f>
        <v>6288</v>
      </c>
      <c r="L3786">
        <f>VLOOKUP(Query1[[#This Row],[Description]],'kits to boards'!$B$2:$E$156,2,FALSE)</f>
        <v>830037</v>
      </c>
      <c r="M3786">
        <f>VLOOKUP(Query1[[#This Row],[Description]],'kits to boards'!$B$2:$E$156,3,FALSE)</f>
        <v>0</v>
      </c>
      <c r="N3786">
        <f>VLOOKUP(Query1[[#This Row],[Description]],'kits to boards'!$B$2:$E$156,4,FALSE)</f>
        <v>0</v>
      </c>
      <c r="O3786" t="str">
        <f>CONCATENATE(Query1[[#This Row],[Description]]," - ",Query1[[#This Row],[MB1]]," - ",Query1[[#This Row],[MB2]]," - ",Query1[[#This Row],[MB3]])</f>
        <v>EVAP KIT 70-81 FIREBIRD W/AC - 830037 - 0 - 0</v>
      </c>
    </row>
    <row r="3787" spans="1:15" x14ac:dyDescent="0.25">
      <c r="A3787" s="1">
        <v>919296</v>
      </c>
      <c r="B3787" s="1" t="s">
        <v>46</v>
      </c>
      <c r="C3787" s="1" t="s">
        <v>47</v>
      </c>
      <c r="D3787" s="2">
        <v>44663.390686608793</v>
      </c>
      <c r="E3787" s="1" t="s">
        <v>8</v>
      </c>
      <c r="F3787" s="1">
        <v>1</v>
      </c>
      <c r="G3787" s="1">
        <v>0</v>
      </c>
      <c r="H3787" s="6">
        <f>INT(Query1[[#This Row],[EntryDateTime]])</f>
        <v>44663</v>
      </c>
      <c r="I3787" s="1">
        <f>IF(Query1[[#This Row],[ItemType]]="EVAP KIT SF GEN IV",Query1[[#This Row],[OrderQty]]+I3786,I3786)</f>
        <v>4682</v>
      </c>
      <c r="J3787" s="1">
        <f>IF(Query1[[#This Row],[ItemType]]="EVAP KIT UNIVERSAL",Query1[[#This Row],[OrderQty]]+J3786,J3786)</f>
        <v>1607</v>
      </c>
      <c r="K3787" s="1">
        <f>Query1[[#This Row],[SF Running Total]]+Query1[[#This Row],[UNIV Running Total]]</f>
        <v>6289</v>
      </c>
      <c r="L3787">
        <f>VLOOKUP(Query1[[#This Row],[Description]],'kits to boards'!$B$2:$E$156,2,FALSE)</f>
        <v>830018</v>
      </c>
      <c r="M3787">
        <f>VLOOKUP(Query1[[#This Row],[Description]],'kits to boards'!$B$2:$E$156,3,FALSE)</f>
        <v>0</v>
      </c>
      <c r="N3787">
        <f>VLOOKUP(Query1[[#This Row],[Description]],'kits to boards'!$B$2:$E$156,4,FALSE)</f>
        <v>0</v>
      </c>
      <c r="O3787" t="str">
        <f>CONCATENATE(Query1[[#This Row],[Description]]," - ",Query1[[#This Row],[MB1]]," - ",Query1[[#This Row],[MB2]]," - ",Query1[[#This Row],[MB3]])</f>
        <v>EVAP KIT 68-72 FORD P-UP F-100 - 830018 - 0 - 0</v>
      </c>
    </row>
    <row r="3788" spans="1:15" x14ac:dyDescent="0.25">
      <c r="A3788" s="1">
        <v>919297</v>
      </c>
      <c r="B3788" s="1" t="s">
        <v>42</v>
      </c>
      <c r="C3788" s="1" t="s">
        <v>43</v>
      </c>
      <c r="D3788" s="2">
        <v>44663.392583877314</v>
      </c>
      <c r="E3788" s="1" t="s">
        <v>8</v>
      </c>
      <c r="F3788" s="1">
        <v>1</v>
      </c>
      <c r="G3788" s="1">
        <v>0</v>
      </c>
      <c r="H3788" s="6">
        <f>INT(Query1[[#This Row],[EntryDateTime]])</f>
        <v>44663</v>
      </c>
      <c r="I3788" s="1">
        <f>IF(Query1[[#This Row],[ItemType]]="EVAP KIT SF GEN IV",Query1[[#This Row],[OrderQty]]+I3787,I3787)</f>
        <v>4683</v>
      </c>
      <c r="J3788" s="1">
        <f>IF(Query1[[#This Row],[ItemType]]="EVAP KIT UNIVERSAL",Query1[[#This Row],[OrderQty]]+J3787,J3787)</f>
        <v>1607</v>
      </c>
      <c r="K3788" s="1">
        <f>Query1[[#This Row],[SF Running Total]]+Query1[[#This Row],[UNIV Running Total]]</f>
        <v>6290</v>
      </c>
      <c r="L3788">
        <f>VLOOKUP(Query1[[#This Row],[Description]],'kits to boards'!$B$2:$E$156,2,FALSE)</f>
        <v>830014</v>
      </c>
      <c r="M3788">
        <f>VLOOKUP(Query1[[#This Row],[Description]],'kits to boards'!$B$2:$E$156,3,FALSE)</f>
        <v>0</v>
      </c>
      <c r="N3788">
        <f>VLOOKUP(Query1[[#This Row],[Description]],'kits to boards'!$B$2:$E$156,4,FALSE)</f>
        <v>0</v>
      </c>
      <c r="O3788" t="str">
        <f>CONCATENATE(Query1[[#This Row],[Description]]," - ",Query1[[#This Row],[MB1]]," - ",Query1[[#This Row],[MB2]]," - ",Query1[[#This Row],[MB3]])</f>
        <v>EVAP KIT 67-72 CHEV P-UP WO AC - 830014 - 0 - 0</v>
      </c>
    </row>
    <row r="3789" spans="1:15" x14ac:dyDescent="0.25">
      <c r="A3789" s="1">
        <v>919299</v>
      </c>
      <c r="B3789" s="1" t="s">
        <v>96</v>
      </c>
      <c r="C3789" s="1" t="s">
        <v>97</v>
      </c>
      <c r="D3789" s="2">
        <v>44663.392947835651</v>
      </c>
      <c r="E3789" s="1" t="s">
        <v>8</v>
      </c>
      <c r="F3789" s="1">
        <v>1</v>
      </c>
      <c r="G3789" s="1">
        <v>0</v>
      </c>
      <c r="H3789" s="6">
        <f>INT(Query1[[#This Row],[EntryDateTime]])</f>
        <v>44663</v>
      </c>
      <c r="I3789" s="1">
        <f>IF(Query1[[#This Row],[ItemType]]="EVAP KIT SF GEN IV",Query1[[#This Row],[OrderQty]]+I3788,I3788)</f>
        <v>4684</v>
      </c>
      <c r="J3789" s="1">
        <f>IF(Query1[[#This Row],[ItemType]]="EVAP KIT UNIVERSAL",Query1[[#This Row],[OrderQty]]+J3788,J3788)</f>
        <v>1607</v>
      </c>
      <c r="K3789" s="1">
        <f>Query1[[#This Row],[SF Running Total]]+Query1[[#This Row],[UNIV Running Total]]</f>
        <v>6291</v>
      </c>
      <c r="L3789">
        <f>VLOOKUP(Query1[[#This Row],[Description]],'kits to boards'!$B$2:$E$156,2,FALSE)</f>
        <v>830004</v>
      </c>
      <c r="M3789">
        <f>VLOOKUP(Query1[[#This Row],[Description]],'kits to boards'!$B$2:$E$156,3,FALSE)</f>
        <v>0</v>
      </c>
      <c r="N3789">
        <f>VLOOKUP(Query1[[#This Row],[Description]],'kits to boards'!$B$2:$E$156,4,FALSE)</f>
        <v>0</v>
      </c>
      <c r="O3789" t="str">
        <f>CONCATENATE(Query1[[#This Row],[Description]]," - ",Query1[[#This Row],[MB1]]," - ",Query1[[#This Row],[MB2]]," - ",Query1[[#This Row],[MB3]])</f>
        <v>EVAP KIT 81-87 CHEV P-UP W/AC - 830004 - 0 - 0</v>
      </c>
    </row>
    <row r="3790" spans="1:15" x14ac:dyDescent="0.25">
      <c r="A3790" s="1">
        <v>917405</v>
      </c>
      <c r="B3790" s="1" t="s">
        <v>50</v>
      </c>
      <c r="C3790" s="1" t="s">
        <v>51</v>
      </c>
      <c r="D3790" s="2">
        <v>44663.394224571763</v>
      </c>
      <c r="E3790" s="1" t="s">
        <v>8</v>
      </c>
      <c r="F3790" s="1">
        <v>1</v>
      </c>
      <c r="G3790" s="1">
        <v>0</v>
      </c>
      <c r="H3790" s="6">
        <f>INT(Query1[[#This Row],[EntryDateTime]])</f>
        <v>44663</v>
      </c>
      <c r="I3790" s="1">
        <f>IF(Query1[[#This Row],[ItemType]]="EVAP KIT SF GEN IV",Query1[[#This Row],[OrderQty]]+I3789,I3789)</f>
        <v>4685</v>
      </c>
      <c r="J3790" s="1">
        <f>IF(Query1[[#This Row],[ItemType]]="EVAP KIT UNIVERSAL",Query1[[#This Row],[OrderQty]]+J3789,J3789)</f>
        <v>1607</v>
      </c>
      <c r="K3790" s="1">
        <f>Query1[[#This Row],[SF Running Total]]+Query1[[#This Row],[UNIV Running Total]]</f>
        <v>6292</v>
      </c>
      <c r="L3790">
        <f>VLOOKUP(Query1[[#This Row],[Description]],'kits to boards'!$B$2:$E$156,2,FALSE)</f>
        <v>830043</v>
      </c>
      <c r="M3790">
        <f>VLOOKUP(Query1[[#This Row],[Description]],'kits to boards'!$B$2:$E$156,3,FALSE)</f>
        <v>0</v>
      </c>
      <c r="N3790">
        <f>VLOOKUP(Query1[[#This Row],[Description]],'kits to boards'!$B$2:$E$156,4,FALSE)</f>
        <v>0</v>
      </c>
      <c r="O3790" t="str">
        <f>CONCATENATE(Query1[[#This Row],[Description]]," - ",Query1[[#This Row],[MB1]]," - ",Query1[[#This Row],[MB2]]," - ",Query1[[#This Row],[MB3]])</f>
        <v>EVAP KIT 69-74 NOVA WO AC - 830043 - 0 - 0</v>
      </c>
    </row>
    <row r="3791" spans="1:15" x14ac:dyDescent="0.25">
      <c r="A3791" s="1">
        <v>919301</v>
      </c>
      <c r="B3791" s="1" t="s">
        <v>18</v>
      </c>
      <c r="C3791" s="1" t="s">
        <v>19</v>
      </c>
      <c r="D3791" s="2">
        <v>44663.395880821758</v>
      </c>
      <c r="E3791" s="1" t="s">
        <v>8</v>
      </c>
      <c r="F3791" s="1">
        <v>1</v>
      </c>
      <c r="G3791" s="1">
        <v>0</v>
      </c>
      <c r="H3791" s="6">
        <f>INT(Query1[[#This Row],[EntryDateTime]])</f>
        <v>44663</v>
      </c>
      <c r="I3791" s="1">
        <f>IF(Query1[[#This Row],[ItemType]]="EVAP KIT SF GEN IV",Query1[[#This Row],[OrderQty]]+I3790,I3790)</f>
        <v>4686</v>
      </c>
      <c r="J3791" s="1">
        <f>IF(Query1[[#This Row],[ItemType]]="EVAP KIT UNIVERSAL",Query1[[#This Row],[OrderQty]]+J3790,J3790)</f>
        <v>1607</v>
      </c>
      <c r="K3791" s="1">
        <f>Query1[[#This Row],[SF Running Total]]+Query1[[#This Row],[UNIV Running Total]]</f>
        <v>6293</v>
      </c>
      <c r="L3791">
        <f>VLOOKUP(Query1[[#This Row],[Description]],'kits to boards'!$B$2:$E$156,2,FALSE)</f>
        <v>830051</v>
      </c>
      <c r="M3791">
        <f>VLOOKUP(Query1[[#This Row],[Description]],'kits to boards'!$B$2:$E$156,3,FALSE)</f>
        <v>0</v>
      </c>
      <c r="N3791">
        <f>VLOOKUP(Query1[[#This Row],[Description]],'kits to boards'!$B$2:$E$156,4,FALSE)</f>
        <v>0</v>
      </c>
      <c r="O3791" t="str">
        <f>CONCATENATE(Query1[[#This Row],[Description]]," - ",Query1[[#This Row],[MB1]]," - ",Query1[[#This Row],[MB2]]," - ",Query1[[#This Row],[MB3]])</f>
        <v>EVAP KIT 70-78 CAMARO W/AC - 830051 - 0 - 0</v>
      </c>
    </row>
    <row r="3792" spans="1:15" x14ac:dyDescent="0.25">
      <c r="A3792" s="1">
        <v>919302</v>
      </c>
      <c r="B3792" s="1" t="s">
        <v>40</v>
      </c>
      <c r="C3792" s="1" t="s">
        <v>246</v>
      </c>
      <c r="D3792" s="2">
        <v>44663.39639976852</v>
      </c>
      <c r="E3792" s="1" t="s">
        <v>8</v>
      </c>
      <c r="F3792" s="1">
        <v>1</v>
      </c>
      <c r="G3792" s="1">
        <v>0</v>
      </c>
      <c r="H3792" s="6">
        <f>INT(Query1[[#This Row],[EntryDateTime]])</f>
        <v>44663</v>
      </c>
      <c r="I3792" s="1">
        <f>IF(Query1[[#This Row],[ItemType]]="EVAP KIT SF GEN IV",Query1[[#This Row],[OrderQty]]+I3791,I3791)</f>
        <v>4687</v>
      </c>
      <c r="J3792" s="1">
        <f>IF(Query1[[#This Row],[ItemType]]="EVAP KIT UNIVERSAL",Query1[[#This Row],[OrderQty]]+J3791,J3791)</f>
        <v>1607</v>
      </c>
      <c r="K3792" s="1">
        <f>Query1[[#This Row],[SF Running Total]]+Query1[[#This Row],[UNIV Running Total]]</f>
        <v>6294</v>
      </c>
      <c r="L3792" t="e">
        <f>VLOOKUP(Query1[[#This Row],[Description]],'kits to boards'!$B$2:$E$156,2,FALSE)</f>
        <v>#N/A</v>
      </c>
      <c r="M3792" t="e">
        <f>VLOOKUP(Query1[[#This Row],[Description]],'kits to boards'!$B$2:$E$156,3,FALSE)</f>
        <v>#N/A</v>
      </c>
      <c r="N3792" t="e">
        <f>VLOOKUP(Query1[[#This Row],[Description]],'kits to boards'!$B$2:$E$156,4,FALSE)</f>
        <v>#N/A</v>
      </c>
      <c r="O3792" t="e">
        <f>CONCATENATE(Query1[[#This Row],[Description]]," - ",Query1[[#This Row],[MB1]]," - ",Query1[[#This Row],[MB2]]," - ",Query1[[#This Row],[MB3]])</f>
        <v>#N/A</v>
      </c>
    </row>
    <row r="3793" spans="1:15" x14ac:dyDescent="0.25">
      <c r="A3793" s="1">
        <v>919311</v>
      </c>
      <c r="B3793" s="1" t="s">
        <v>48</v>
      </c>
      <c r="C3793" s="1" t="s">
        <v>49</v>
      </c>
      <c r="D3793" s="2">
        <v>44663.408755821758</v>
      </c>
      <c r="E3793" s="1" t="s">
        <v>8</v>
      </c>
      <c r="F3793" s="1">
        <v>1</v>
      </c>
      <c r="G3793" s="1">
        <v>0</v>
      </c>
      <c r="H3793" s="6">
        <f>INT(Query1[[#This Row],[EntryDateTime]])</f>
        <v>44663</v>
      </c>
      <c r="I3793" s="1">
        <f>IF(Query1[[#This Row],[ItemType]]="EVAP KIT SF GEN IV",Query1[[#This Row],[OrderQty]]+I3792,I3792)</f>
        <v>4688</v>
      </c>
      <c r="J3793" s="1">
        <f>IF(Query1[[#This Row],[ItemType]]="EVAP KIT UNIVERSAL",Query1[[#This Row],[OrderQty]]+J3792,J3792)</f>
        <v>1607</v>
      </c>
      <c r="K3793" s="1">
        <f>Query1[[#This Row],[SF Running Total]]+Query1[[#This Row],[UNIV Running Total]]</f>
        <v>6295</v>
      </c>
      <c r="L3793">
        <f>VLOOKUP(Query1[[#This Row],[Description]],'kits to boards'!$B$2:$E$156,2,FALSE)</f>
        <v>830015</v>
      </c>
      <c r="M3793">
        <f>VLOOKUP(Query1[[#This Row],[Description]],'kits to boards'!$B$2:$E$156,3,FALSE)</f>
        <v>0</v>
      </c>
      <c r="N3793">
        <f>VLOOKUP(Query1[[#This Row],[Description]],'kits to boards'!$B$2:$E$156,4,FALSE)</f>
        <v>0</v>
      </c>
      <c r="O3793" t="str">
        <f>CONCATENATE(Query1[[#This Row],[Description]]," - ",Query1[[#This Row],[MB1]]," - ",Query1[[#This Row],[MB2]]," - ",Query1[[#This Row],[MB3]])</f>
        <v>EVAP KIT 64-66 CHEV P-UP WO AC W/DELX - 830015 - 0 - 0</v>
      </c>
    </row>
    <row r="3794" spans="1:15" x14ac:dyDescent="0.25">
      <c r="A3794" s="1">
        <v>918839</v>
      </c>
      <c r="B3794" s="1" t="s">
        <v>14</v>
      </c>
      <c r="C3794" s="1" t="s">
        <v>15</v>
      </c>
      <c r="D3794" s="2">
        <v>44663.409224884257</v>
      </c>
      <c r="E3794" s="1" t="s">
        <v>8</v>
      </c>
      <c r="F3794" s="1">
        <v>1</v>
      </c>
      <c r="G3794" s="1">
        <v>0</v>
      </c>
      <c r="H3794" s="6">
        <f>INT(Query1[[#This Row],[EntryDateTime]])</f>
        <v>44663</v>
      </c>
      <c r="I3794" s="1">
        <f>IF(Query1[[#This Row],[ItemType]]="EVAP KIT SF GEN IV",Query1[[#This Row],[OrderQty]]+I3793,I3793)</f>
        <v>4689</v>
      </c>
      <c r="J3794" s="1">
        <f>IF(Query1[[#This Row],[ItemType]]="EVAP KIT UNIVERSAL",Query1[[#This Row],[OrderQty]]+J3793,J3793)</f>
        <v>1607</v>
      </c>
      <c r="K3794" s="1">
        <f>Query1[[#This Row],[SF Running Total]]+Query1[[#This Row],[UNIV Running Total]]</f>
        <v>6296</v>
      </c>
      <c r="L3794">
        <f>VLOOKUP(Query1[[#This Row],[Description]],'kits to boards'!$B$2:$E$156,2,FALSE)</f>
        <v>830054</v>
      </c>
      <c r="M3794">
        <f>VLOOKUP(Query1[[#This Row],[Description]],'kits to boards'!$B$2:$E$156,3,FALSE)</f>
        <v>0</v>
      </c>
      <c r="N3794">
        <f>VLOOKUP(Query1[[#This Row],[Description]],'kits to boards'!$B$2:$E$156,4,FALSE)</f>
        <v>0</v>
      </c>
      <c r="O3794" t="str">
        <f>CONCATENATE(Query1[[#This Row],[Description]]," - ",Query1[[#This Row],[MB1]]," - ",Query1[[#This Row],[MB2]]," - ",Query1[[#This Row],[MB3]])</f>
        <v>EVAP KIT 55-56 CHEVY - 830054 - 0 - 0</v>
      </c>
    </row>
    <row r="3795" spans="1:15" x14ac:dyDescent="0.25">
      <c r="A3795" s="1">
        <v>918749</v>
      </c>
      <c r="B3795" s="1" t="s">
        <v>22</v>
      </c>
      <c r="C3795" s="1" t="s">
        <v>23</v>
      </c>
      <c r="D3795" s="2">
        <v>44663.411742974538</v>
      </c>
      <c r="E3795" s="1" t="s">
        <v>8</v>
      </c>
      <c r="F3795" s="1">
        <v>1</v>
      </c>
      <c r="G3795" s="1">
        <v>0</v>
      </c>
      <c r="H3795" s="6">
        <f>INT(Query1[[#This Row],[EntryDateTime]])</f>
        <v>44663</v>
      </c>
      <c r="I3795" s="1">
        <f>IF(Query1[[#This Row],[ItemType]]="EVAP KIT SF GEN IV",Query1[[#This Row],[OrderQty]]+I3794,I3794)</f>
        <v>4690</v>
      </c>
      <c r="J3795" s="1">
        <f>IF(Query1[[#This Row],[ItemType]]="EVAP KIT UNIVERSAL",Query1[[#This Row],[OrderQty]]+J3794,J3794)</f>
        <v>1607</v>
      </c>
      <c r="K3795" s="1">
        <f>Query1[[#This Row],[SF Running Total]]+Query1[[#This Row],[UNIV Running Total]]</f>
        <v>6297</v>
      </c>
      <c r="L3795">
        <f>VLOOKUP(Query1[[#This Row],[Description]],'kits to boards'!$B$2:$E$156,2,FALSE)</f>
        <v>830083</v>
      </c>
      <c r="M3795">
        <f>VLOOKUP(Query1[[#This Row],[Description]],'kits to boards'!$B$2:$E$156,3,FALSE)</f>
        <v>0</v>
      </c>
      <c r="N3795">
        <f>VLOOKUP(Query1[[#This Row],[Description]],'kits to boards'!$B$2:$E$156,4,FALSE)</f>
        <v>0</v>
      </c>
      <c r="O3795" t="str">
        <f>CONCATENATE(Query1[[#This Row],[Description]]," - ",Query1[[#This Row],[MB1]]," - ",Query1[[#This Row],[MB2]]," - ",Query1[[#This Row],[MB3]])</f>
        <v>GEN IV MAGNUM EVAP KIT - 830083 - 0 - 0</v>
      </c>
    </row>
    <row r="3796" spans="1:15" x14ac:dyDescent="0.25">
      <c r="A3796" s="1">
        <v>919317</v>
      </c>
      <c r="B3796" s="1" t="s">
        <v>44</v>
      </c>
      <c r="C3796" s="1" t="s">
        <v>45</v>
      </c>
      <c r="D3796" s="2">
        <v>44663.415993287039</v>
      </c>
      <c r="E3796" s="1" t="s">
        <v>8</v>
      </c>
      <c r="F3796" s="1">
        <v>1</v>
      </c>
      <c r="G3796" s="1">
        <v>0</v>
      </c>
      <c r="H3796" s="6">
        <f>INT(Query1[[#This Row],[EntryDateTime]])</f>
        <v>44663</v>
      </c>
      <c r="I3796" s="1">
        <f>IF(Query1[[#This Row],[ItemType]]="EVAP KIT SF GEN IV",Query1[[#This Row],[OrderQty]]+I3795,I3795)</f>
        <v>4691</v>
      </c>
      <c r="J3796" s="1">
        <f>IF(Query1[[#This Row],[ItemType]]="EVAP KIT UNIVERSAL",Query1[[#This Row],[OrderQty]]+J3795,J3795)</f>
        <v>1607</v>
      </c>
      <c r="K3796" s="1">
        <f>Query1[[#This Row],[SF Running Total]]+Query1[[#This Row],[UNIV Running Total]]</f>
        <v>6298</v>
      </c>
      <c r="L3796">
        <f>VLOOKUP(Query1[[#This Row],[Description]],'kits to boards'!$B$2:$E$156,2,FALSE)</f>
        <v>830085</v>
      </c>
      <c r="M3796">
        <f>VLOOKUP(Query1[[#This Row],[Description]],'kits to boards'!$B$2:$E$156,3,FALSE)</f>
        <v>0</v>
      </c>
      <c r="N3796">
        <f>VLOOKUP(Query1[[#This Row],[Description]],'kits to boards'!$B$2:$E$156,4,FALSE)</f>
        <v>0</v>
      </c>
      <c r="O3796" t="str">
        <f>CONCATENATE(Query1[[#This Row],[Description]]," - ",Query1[[#This Row],[MB1]]," - ",Query1[[#This Row],[MB2]]," - ",Query1[[#This Row],[MB3]])</f>
        <v>EVAP KIT 66-77 BRONCO - 830085 - 0 - 0</v>
      </c>
    </row>
    <row r="3797" spans="1:15" x14ac:dyDescent="0.25">
      <c r="A3797" s="1">
        <v>919318</v>
      </c>
      <c r="B3797" s="1" t="s">
        <v>20</v>
      </c>
      <c r="C3797" s="1" t="s">
        <v>21</v>
      </c>
      <c r="D3797" s="2">
        <v>44663.420315393516</v>
      </c>
      <c r="E3797" s="1" t="s">
        <v>11</v>
      </c>
      <c r="F3797" s="1">
        <v>1</v>
      </c>
      <c r="G3797" s="1">
        <v>0</v>
      </c>
      <c r="H3797" s="6">
        <f>INT(Query1[[#This Row],[EntryDateTime]])</f>
        <v>44663</v>
      </c>
      <c r="I3797" s="1">
        <f>IF(Query1[[#This Row],[ItemType]]="EVAP KIT SF GEN IV",Query1[[#This Row],[OrderQty]]+I3796,I3796)</f>
        <v>4691</v>
      </c>
      <c r="J3797" s="1">
        <f>IF(Query1[[#This Row],[ItemType]]="EVAP KIT UNIVERSAL",Query1[[#This Row],[OrderQty]]+J3796,J3796)</f>
        <v>1608</v>
      </c>
      <c r="K3797" s="1">
        <f>Query1[[#This Row],[SF Running Total]]+Query1[[#This Row],[UNIV Running Total]]</f>
        <v>6299</v>
      </c>
      <c r="L3797">
        <f>VLOOKUP(Query1[[#This Row],[Description]],'kits to boards'!$B$2:$E$156,2,FALSE)</f>
        <v>830102</v>
      </c>
      <c r="M3797">
        <f>VLOOKUP(Query1[[#This Row],[Description]],'kits to boards'!$B$2:$E$156,3,FALSE)</f>
        <v>0</v>
      </c>
      <c r="N3797">
        <f>VLOOKUP(Query1[[#This Row],[Description]],'kits to boards'!$B$2:$E$156,4,FALSE)</f>
        <v>0</v>
      </c>
      <c r="O3797" t="str">
        <f>CONCATENATE(Query1[[#This Row],[Description]]," - ",Query1[[#This Row],[MB1]]," - ",Query1[[#This Row],[MB2]]," - ",Query1[[#This Row],[MB3]])</f>
        <v>SUPER GEN II W/DEF - 830102 - 0 - 0</v>
      </c>
    </row>
    <row r="3798" spans="1:15" x14ac:dyDescent="0.25">
      <c r="A3798" s="1">
        <v>919318</v>
      </c>
      <c r="B3798" s="1" t="s">
        <v>22</v>
      </c>
      <c r="C3798" s="1" t="s">
        <v>23</v>
      </c>
      <c r="D3798" s="2">
        <v>44663.420413888889</v>
      </c>
      <c r="E3798" s="1" t="s">
        <v>8</v>
      </c>
      <c r="F3798" s="1">
        <v>1</v>
      </c>
      <c r="G3798" s="1">
        <v>0</v>
      </c>
      <c r="H3798" s="6">
        <f>INT(Query1[[#This Row],[EntryDateTime]])</f>
        <v>44663</v>
      </c>
      <c r="I3798" s="1">
        <f>IF(Query1[[#This Row],[ItemType]]="EVAP KIT SF GEN IV",Query1[[#This Row],[OrderQty]]+I3797,I3797)</f>
        <v>4692</v>
      </c>
      <c r="J3798" s="1">
        <f>IF(Query1[[#This Row],[ItemType]]="EVAP KIT UNIVERSAL",Query1[[#This Row],[OrderQty]]+J3797,J3797)</f>
        <v>1608</v>
      </c>
      <c r="K3798" s="1">
        <f>Query1[[#This Row],[SF Running Total]]+Query1[[#This Row],[UNIV Running Total]]</f>
        <v>6300</v>
      </c>
      <c r="L3798">
        <f>VLOOKUP(Query1[[#This Row],[Description]],'kits to boards'!$B$2:$E$156,2,FALSE)</f>
        <v>830083</v>
      </c>
      <c r="M3798">
        <f>VLOOKUP(Query1[[#This Row],[Description]],'kits to boards'!$B$2:$E$156,3,FALSE)</f>
        <v>0</v>
      </c>
      <c r="N3798">
        <f>VLOOKUP(Query1[[#This Row],[Description]],'kits to boards'!$B$2:$E$156,4,FALSE)</f>
        <v>0</v>
      </c>
      <c r="O3798" t="str">
        <f>CONCATENATE(Query1[[#This Row],[Description]]," - ",Query1[[#This Row],[MB1]]," - ",Query1[[#This Row],[MB2]]," - ",Query1[[#This Row],[MB3]])</f>
        <v>GEN IV MAGNUM EVAP KIT - 830083 - 0 - 0</v>
      </c>
    </row>
    <row r="3799" spans="1:15" x14ac:dyDescent="0.25">
      <c r="A3799" s="1">
        <v>919318</v>
      </c>
      <c r="B3799" s="1" t="s">
        <v>30</v>
      </c>
      <c r="C3799" s="1" t="s">
        <v>31</v>
      </c>
      <c r="D3799" s="2">
        <v>44663.420539502316</v>
      </c>
      <c r="E3799" s="1" t="s">
        <v>8</v>
      </c>
      <c r="F3799" s="1">
        <v>1</v>
      </c>
      <c r="G3799" s="1">
        <v>0</v>
      </c>
      <c r="H3799" s="6">
        <f>INT(Query1[[#This Row],[EntryDateTime]])</f>
        <v>44663</v>
      </c>
      <c r="I3799" s="1">
        <f>IF(Query1[[#This Row],[ItemType]]="EVAP KIT SF GEN IV",Query1[[#This Row],[OrderQty]]+I3798,I3798)</f>
        <v>4693</v>
      </c>
      <c r="J3799" s="1">
        <f>IF(Query1[[#This Row],[ItemType]]="EVAP KIT UNIVERSAL",Query1[[#This Row],[OrderQty]]+J3798,J3798)</f>
        <v>1608</v>
      </c>
      <c r="K3799" s="1">
        <f>Query1[[#This Row],[SF Running Total]]+Query1[[#This Row],[UNIV Running Total]]</f>
        <v>6301</v>
      </c>
      <c r="L3799">
        <f>VLOOKUP(Query1[[#This Row],[Description]],'kits to boards'!$B$2:$E$156,2,FALSE)</f>
        <v>830054</v>
      </c>
      <c r="M3799">
        <f>VLOOKUP(Query1[[#This Row],[Description]],'kits to boards'!$B$2:$E$156,3,FALSE)</f>
        <v>0</v>
      </c>
      <c r="N3799">
        <f>VLOOKUP(Query1[[#This Row],[Description]],'kits to boards'!$B$2:$E$156,4,FALSE)</f>
        <v>0</v>
      </c>
      <c r="O3799" t="str">
        <f>CONCATENATE(Query1[[#This Row],[Description]]," - ",Query1[[#This Row],[MB1]]," - ",Query1[[#This Row],[MB2]]," - ",Query1[[#This Row],[MB3]])</f>
        <v>EVAP KIT 55-56 CHEVY 4-VENT - 830054 - 0 - 0</v>
      </c>
    </row>
    <row r="3800" spans="1:15" x14ac:dyDescent="0.25">
      <c r="A3800" s="1">
        <v>919318</v>
      </c>
      <c r="B3800" s="1" t="s">
        <v>16</v>
      </c>
      <c r="C3800" s="1" t="s">
        <v>17</v>
      </c>
      <c r="D3800" s="2">
        <v>44663.421387696762</v>
      </c>
      <c r="E3800" s="1" t="s">
        <v>8</v>
      </c>
      <c r="F3800" s="1">
        <v>1</v>
      </c>
      <c r="G3800" s="1">
        <v>0</v>
      </c>
      <c r="H3800" s="6">
        <f>INT(Query1[[#This Row],[EntryDateTime]])</f>
        <v>44663</v>
      </c>
      <c r="I3800" s="1">
        <f>IF(Query1[[#This Row],[ItemType]]="EVAP KIT SF GEN IV",Query1[[#This Row],[OrderQty]]+I3799,I3799)</f>
        <v>4694</v>
      </c>
      <c r="J3800" s="1">
        <f>IF(Query1[[#This Row],[ItemType]]="EVAP KIT UNIVERSAL",Query1[[#This Row],[OrderQty]]+J3799,J3799)</f>
        <v>1608</v>
      </c>
      <c r="K3800" s="1">
        <f>Query1[[#This Row],[SF Running Total]]+Query1[[#This Row],[UNIV Running Total]]</f>
        <v>6302</v>
      </c>
      <c r="L3800">
        <f>VLOOKUP(Query1[[#This Row],[Description]],'kits to boards'!$B$2:$E$156,2,FALSE)</f>
        <v>830061</v>
      </c>
      <c r="M3800">
        <f>VLOOKUP(Query1[[#This Row],[Description]],'kits to boards'!$B$2:$E$156,3,FALSE)</f>
        <v>0</v>
      </c>
      <c r="N3800">
        <f>VLOOKUP(Query1[[#This Row],[Description]],'kits to boards'!$B$2:$E$156,4,FALSE)</f>
        <v>0</v>
      </c>
      <c r="O3800" t="str">
        <f>CONCATENATE(Query1[[#This Row],[Description]]," - ",Query1[[#This Row],[MB1]]," - ",Query1[[#This Row],[MB2]]," - ",Query1[[#This Row],[MB3]])</f>
        <v>EVAP KIT 68-69 CHEVELLE W/AC - 830061 - 0 - 0</v>
      </c>
    </row>
    <row r="3801" spans="1:15" x14ac:dyDescent="0.25">
      <c r="A3801" s="1">
        <v>919319</v>
      </c>
      <c r="B3801" s="1" t="s">
        <v>166</v>
      </c>
      <c r="C3801" s="1" t="s">
        <v>167</v>
      </c>
      <c r="D3801" s="2">
        <v>44663.42615324074</v>
      </c>
      <c r="E3801" s="1" t="s">
        <v>8</v>
      </c>
      <c r="F3801" s="1">
        <v>1</v>
      </c>
      <c r="G3801" s="1">
        <v>0</v>
      </c>
      <c r="H3801" s="6">
        <f>INT(Query1[[#This Row],[EntryDateTime]])</f>
        <v>44663</v>
      </c>
      <c r="I3801" s="1">
        <f>IF(Query1[[#This Row],[ItemType]]="EVAP KIT SF GEN IV",Query1[[#This Row],[OrderQty]]+I3800,I3800)</f>
        <v>4695</v>
      </c>
      <c r="J3801" s="1">
        <f>IF(Query1[[#This Row],[ItemType]]="EVAP KIT UNIVERSAL",Query1[[#This Row],[OrderQty]]+J3800,J3800)</f>
        <v>1608</v>
      </c>
      <c r="K3801" s="1">
        <f>Query1[[#This Row],[SF Running Total]]+Query1[[#This Row],[UNIV Running Total]]</f>
        <v>6303</v>
      </c>
      <c r="L3801">
        <f>VLOOKUP(Query1[[#This Row],[Description]],'kits to boards'!$B$2:$E$156,2,FALSE)</f>
        <v>830063</v>
      </c>
      <c r="M3801">
        <f>VLOOKUP(Query1[[#This Row],[Description]],'kits to boards'!$B$2:$E$156,3,FALSE)</f>
        <v>0</v>
      </c>
      <c r="N3801">
        <f>VLOOKUP(Query1[[#This Row],[Description]],'kits to boards'!$B$2:$E$156,4,FALSE)</f>
        <v>0</v>
      </c>
      <c r="O3801" t="str">
        <f>CONCATENATE(Query1[[#This Row],[Description]]," - ",Query1[[#This Row],[MB1]]," - ",Query1[[#This Row],[MB2]]," - ",Query1[[#This Row],[MB3]])</f>
        <v>EVAP KIT 47-49 CHEV P-UP GEN IV - 830063 - 0 - 0</v>
      </c>
    </row>
    <row r="3802" spans="1:15" x14ac:dyDescent="0.25">
      <c r="A3802" s="1">
        <v>919323</v>
      </c>
      <c r="B3802" s="1" t="s">
        <v>56</v>
      </c>
      <c r="C3802" s="1" t="s">
        <v>57</v>
      </c>
      <c r="D3802" s="2">
        <v>44663.437769710647</v>
      </c>
      <c r="E3802" s="1" t="s">
        <v>8</v>
      </c>
      <c r="F3802" s="1">
        <v>1</v>
      </c>
      <c r="G3802" s="1">
        <v>0</v>
      </c>
      <c r="H3802" s="6">
        <f>INT(Query1[[#This Row],[EntryDateTime]])</f>
        <v>44663</v>
      </c>
      <c r="I3802" s="1">
        <f>IF(Query1[[#This Row],[ItemType]]="EVAP KIT SF GEN IV",Query1[[#This Row],[OrderQty]]+I3801,I3801)</f>
        <v>4696</v>
      </c>
      <c r="J3802" s="1">
        <f>IF(Query1[[#This Row],[ItemType]]="EVAP KIT UNIVERSAL",Query1[[#This Row],[OrderQty]]+J3801,J3801)</f>
        <v>1608</v>
      </c>
      <c r="K3802" s="1">
        <f>Query1[[#This Row],[SF Running Total]]+Query1[[#This Row],[UNIV Running Total]]</f>
        <v>6304</v>
      </c>
      <c r="L3802">
        <f>VLOOKUP(Query1[[#This Row],[Description]],'kits to boards'!$B$2:$E$156,2,FALSE)</f>
        <v>830011</v>
      </c>
      <c r="M3802">
        <f>VLOOKUP(Query1[[#This Row],[Description]],'kits to boards'!$B$2:$E$156,3,FALSE)</f>
        <v>0</v>
      </c>
      <c r="N3802">
        <f>VLOOKUP(Query1[[#This Row],[Description]],'kits to boards'!$B$2:$E$156,4,FALSE)</f>
        <v>0</v>
      </c>
      <c r="O3802" t="str">
        <f>CONCATENATE(Query1[[#This Row],[Description]]," - ",Query1[[#This Row],[MB1]]," - ",Query1[[#This Row],[MB2]]," - ",Query1[[#This Row],[MB3]])</f>
        <v>EVAP KIT 70-72 CHEVELLE W/AC - 830011 - 0 - 0</v>
      </c>
    </row>
    <row r="3803" spans="1:15" x14ac:dyDescent="0.25">
      <c r="A3803" s="1">
        <v>919324</v>
      </c>
      <c r="B3803" s="1" t="s">
        <v>96</v>
      </c>
      <c r="C3803" s="1" t="s">
        <v>97</v>
      </c>
      <c r="D3803" s="2">
        <v>44663.439746446762</v>
      </c>
      <c r="E3803" s="1" t="s">
        <v>8</v>
      </c>
      <c r="F3803" s="1">
        <v>1</v>
      </c>
      <c r="G3803" s="1">
        <v>0</v>
      </c>
      <c r="H3803" s="6">
        <f>INT(Query1[[#This Row],[EntryDateTime]])</f>
        <v>44663</v>
      </c>
      <c r="I3803" s="1">
        <f>IF(Query1[[#This Row],[ItemType]]="EVAP KIT SF GEN IV",Query1[[#This Row],[OrderQty]]+I3802,I3802)</f>
        <v>4697</v>
      </c>
      <c r="J3803" s="1">
        <f>IF(Query1[[#This Row],[ItemType]]="EVAP KIT UNIVERSAL",Query1[[#This Row],[OrderQty]]+J3802,J3802)</f>
        <v>1608</v>
      </c>
      <c r="K3803" s="1">
        <f>Query1[[#This Row],[SF Running Total]]+Query1[[#This Row],[UNIV Running Total]]</f>
        <v>6305</v>
      </c>
      <c r="L3803">
        <f>VLOOKUP(Query1[[#This Row],[Description]],'kits to boards'!$B$2:$E$156,2,FALSE)</f>
        <v>830004</v>
      </c>
      <c r="M3803">
        <f>VLOOKUP(Query1[[#This Row],[Description]],'kits to boards'!$B$2:$E$156,3,FALSE)</f>
        <v>0</v>
      </c>
      <c r="N3803">
        <f>VLOOKUP(Query1[[#This Row],[Description]],'kits to boards'!$B$2:$E$156,4,FALSE)</f>
        <v>0</v>
      </c>
      <c r="O3803" t="str">
        <f>CONCATENATE(Query1[[#This Row],[Description]]," - ",Query1[[#This Row],[MB1]]," - ",Query1[[#This Row],[MB2]]," - ",Query1[[#This Row],[MB3]])</f>
        <v>EVAP KIT 81-87 CHEV P-UP W/AC - 830004 - 0 - 0</v>
      </c>
    </row>
    <row r="3804" spans="1:15" x14ac:dyDescent="0.25">
      <c r="A3804" s="1">
        <v>919326</v>
      </c>
      <c r="B3804" s="1" t="s">
        <v>92</v>
      </c>
      <c r="C3804" s="1" t="s">
        <v>93</v>
      </c>
      <c r="D3804" s="2">
        <v>44663.443758368056</v>
      </c>
      <c r="E3804" s="1" t="s">
        <v>8</v>
      </c>
      <c r="F3804" s="1">
        <v>1</v>
      </c>
      <c r="G3804" s="1">
        <v>0</v>
      </c>
      <c r="H3804" s="6">
        <f>INT(Query1[[#This Row],[EntryDateTime]])</f>
        <v>44663</v>
      </c>
      <c r="I3804" s="1">
        <f>IF(Query1[[#This Row],[ItemType]]="EVAP KIT SF GEN IV",Query1[[#This Row],[OrderQty]]+I3803,I3803)</f>
        <v>4698</v>
      </c>
      <c r="J3804" s="1">
        <f>IF(Query1[[#This Row],[ItemType]]="EVAP KIT UNIVERSAL",Query1[[#This Row],[OrderQty]]+J3803,J3803)</f>
        <v>1608</v>
      </c>
      <c r="K3804" s="1">
        <f>Query1[[#This Row],[SF Running Total]]+Query1[[#This Row],[UNIV Running Total]]</f>
        <v>6306</v>
      </c>
      <c r="L3804">
        <f>VLOOKUP(Query1[[#This Row],[Description]],'kits to boards'!$B$2:$E$156,2,FALSE)</f>
        <v>830063</v>
      </c>
      <c r="M3804">
        <f>VLOOKUP(Query1[[#This Row],[Description]],'kits to boards'!$B$2:$E$156,3,FALSE)</f>
        <v>0</v>
      </c>
      <c r="N3804">
        <f>VLOOKUP(Query1[[#This Row],[Description]],'kits to boards'!$B$2:$E$156,4,FALSE)</f>
        <v>0</v>
      </c>
      <c r="O3804" t="str">
        <f>CONCATENATE(Query1[[#This Row],[Description]]," - ",Query1[[#This Row],[MB1]]," - ",Query1[[#This Row],[MB2]]," - ",Query1[[#This Row],[MB3]])</f>
        <v>EVAP KIT 50-53 CHEV P-UP GEN IV - 830063 - 0 - 0</v>
      </c>
    </row>
    <row r="3805" spans="1:15" x14ac:dyDescent="0.25">
      <c r="A3805" s="1">
        <v>919328</v>
      </c>
      <c r="B3805" s="1" t="s">
        <v>56</v>
      </c>
      <c r="C3805" s="1" t="s">
        <v>57</v>
      </c>
      <c r="D3805" s="2">
        <v>44663.44933653935</v>
      </c>
      <c r="E3805" s="1" t="s">
        <v>8</v>
      </c>
      <c r="F3805" s="1">
        <v>1</v>
      </c>
      <c r="G3805" s="1">
        <v>0</v>
      </c>
      <c r="H3805" s="6">
        <f>INT(Query1[[#This Row],[EntryDateTime]])</f>
        <v>44663</v>
      </c>
      <c r="I3805" s="1">
        <f>IF(Query1[[#This Row],[ItemType]]="EVAP KIT SF GEN IV",Query1[[#This Row],[OrderQty]]+I3804,I3804)</f>
        <v>4699</v>
      </c>
      <c r="J3805" s="1">
        <f>IF(Query1[[#This Row],[ItemType]]="EVAP KIT UNIVERSAL",Query1[[#This Row],[OrderQty]]+J3804,J3804)</f>
        <v>1608</v>
      </c>
      <c r="K3805" s="1">
        <f>Query1[[#This Row],[SF Running Total]]+Query1[[#This Row],[UNIV Running Total]]</f>
        <v>6307</v>
      </c>
      <c r="L3805">
        <f>VLOOKUP(Query1[[#This Row],[Description]],'kits to boards'!$B$2:$E$156,2,FALSE)</f>
        <v>830011</v>
      </c>
      <c r="M3805">
        <f>VLOOKUP(Query1[[#This Row],[Description]],'kits to boards'!$B$2:$E$156,3,FALSE)</f>
        <v>0</v>
      </c>
      <c r="N3805">
        <f>VLOOKUP(Query1[[#This Row],[Description]],'kits to boards'!$B$2:$E$156,4,FALSE)</f>
        <v>0</v>
      </c>
      <c r="O3805" t="str">
        <f>CONCATENATE(Query1[[#This Row],[Description]]," - ",Query1[[#This Row],[MB1]]," - ",Query1[[#This Row],[MB2]]," - ",Query1[[#This Row],[MB3]])</f>
        <v>EVAP KIT 70-72 CHEVELLE W/AC - 830011 - 0 - 0</v>
      </c>
    </row>
    <row r="3806" spans="1:15" x14ac:dyDescent="0.25">
      <c r="A3806" s="1">
        <v>919329</v>
      </c>
      <c r="B3806" s="1" t="s">
        <v>132</v>
      </c>
      <c r="C3806" s="1" t="s">
        <v>133</v>
      </c>
      <c r="D3806" s="2">
        <v>44663.454170914352</v>
      </c>
      <c r="E3806" s="1" t="s">
        <v>8</v>
      </c>
      <c r="F3806" s="1">
        <v>1</v>
      </c>
      <c r="G3806" s="1">
        <v>0</v>
      </c>
      <c r="H3806" s="6">
        <f>INT(Query1[[#This Row],[EntryDateTime]])</f>
        <v>44663</v>
      </c>
      <c r="I3806" s="1">
        <f>IF(Query1[[#This Row],[ItemType]]="EVAP KIT SF GEN IV",Query1[[#This Row],[OrderQty]]+I3805,I3805)</f>
        <v>4700</v>
      </c>
      <c r="J3806" s="1">
        <f>IF(Query1[[#This Row],[ItemType]]="EVAP KIT UNIVERSAL",Query1[[#This Row],[OrderQty]]+J3805,J3805)</f>
        <v>1608</v>
      </c>
      <c r="K3806" s="1">
        <f>Query1[[#This Row],[SF Running Total]]+Query1[[#This Row],[UNIV Running Total]]</f>
        <v>6308</v>
      </c>
      <c r="L3806">
        <f>VLOOKUP(Query1[[#This Row],[Description]],'kits to boards'!$B$2:$E$156,2,FALSE)</f>
        <v>830005</v>
      </c>
      <c r="M3806">
        <f>VLOOKUP(Query1[[#This Row],[Description]],'kits to boards'!$B$2:$E$156,3,FALSE)</f>
        <v>0</v>
      </c>
      <c r="N3806">
        <f>VLOOKUP(Query1[[#This Row],[Description]],'kits to boards'!$B$2:$E$156,4,FALSE)</f>
        <v>0</v>
      </c>
      <c r="O3806" t="str">
        <f>CONCATENATE(Query1[[#This Row],[Description]]," - ",Query1[[#This Row],[MB1]]," - ",Query1[[#This Row],[MB2]]," - ",Query1[[#This Row],[MB3]])</f>
        <v>EVAP KIT 61-62 IMPALA WO AC - 830005 - 0 - 0</v>
      </c>
    </row>
    <row r="3807" spans="1:15" x14ac:dyDescent="0.25">
      <c r="A3807" s="1">
        <v>919336</v>
      </c>
      <c r="B3807" s="1" t="s">
        <v>126</v>
      </c>
      <c r="C3807" s="1" t="s">
        <v>127</v>
      </c>
      <c r="D3807" s="2">
        <v>44663.456375497684</v>
      </c>
      <c r="E3807" s="1" t="s">
        <v>8</v>
      </c>
      <c r="F3807" s="1">
        <v>1</v>
      </c>
      <c r="G3807" s="1">
        <v>0</v>
      </c>
      <c r="H3807" s="6">
        <f>INT(Query1[[#This Row],[EntryDateTime]])</f>
        <v>44663</v>
      </c>
      <c r="I3807" s="1">
        <f>IF(Query1[[#This Row],[ItemType]]="EVAP KIT SF GEN IV",Query1[[#This Row],[OrderQty]]+I3806,I3806)</f>
        <v>4701</v>
      </c>
      <c r="J3807" s="1">
        <f>IF(Query1[[#This Row],[ItemType]]="EVAP KIT UNIVERSAL",Query1[[#This Row],[OrderQty]]+J3806,J3806)</f>
        <v>1608</v>
      </c>
      <c r="K3807" s="1">
        <f>Query1[[#This Row],[SF Running Total]]+Query1[[#This Row],[UNIV Running Total]]</f>
        <v>6309</v>
      </c>
      <c r="L3807">
        <f>VLOOKUP(Query1[[#This Row],[Description]],'kits to boards'!$B$2:$E$156,2,FALSE)</f>
        <v>830080</v>
      </c>
      <c r="M3807">
        <f>VLOOKUP(Query1[[#This Row],[Description]],'kits to boards'!$B$2:$E$156,3,FALSE)</f>
        <v>0</v>
      </c>
      <c r="N3807">
        <f>VLOOKUP(Query1[[#This Row],[Description]],'kits to boards'!$B$2:$E$156,4,FALSE)</f>
        <v>0</v>
      </c>
      <c r="O3807" t="str">
        <f>CONCATENATE(Query1[[#This Row],[Description]]," - ",Query1[[#This Row],[MB1]]," - ",Query1[[#This Row],[MB2]]," - ",Query1[[#This Row],[MB3]])</f>
        <v>EVAP KIT 69-70 MUSTANG WO AC  - 830080 - 0 - 0</v>
      </c>
    </row>
    <row r="3808" spans="1:15" x14ac:dyDescent="0.25">
      <c r="A3808" s="1">
        <v>916747</v>
      </c>
      <c r="B3808" s="1" t="s">
        <v>42</v>
      </c>
      <c r="C3808" s="1" t="s">
        <v>43</v>
      </c>
      <c r="D3808" s="2">
        <v>44663.502875081016</v>
      </c>
      <c r="E3808" s="1" t="s">
        <v>8</v>
      </c>
      <c r="F3808" s="1">
        <v>1</v>
      </c>
      <c r="G3808" s="1">
        <v>0</v>
      </c>
      <c r="H3808" s="6">
        <f>INT(Query1[[#This Row],[EntryDateTime]])</f>
        <v>44663</v>
      </c>
      <c r="I3808" s="1">
        <f>IF(Query1[[#This Row],[ItemType]]="EVAP KIT SF GEN IV",Query1[[#This Row],[OrderQty]]+I3807,I3807)</f>
        <v>4702</v>
      </c>
      <c r="J3808" s="1">
        <f>IF(Query1[[#This Row],[ItemType]]="EVAP KIT UNIVERSAL",Query1[[#This Row],[OrderQty]]+J3807,J3807)</f>
        <v>1608</v>
      </c>
      <c r="K3808" s="1">
        <f>Query1[[#This Row],[SF Running Total]]+Query1[[#This Row],[UNIV Running Total]]</f>
        <v>6310</v>
      </c>
      <c r="L3808">
        <f>VLOOKUP(Query1[[#This Row],[Description]],'kits to boards'!$B$2:$E$156,2,FALSE)</f>
        <v>830014</v>
      </c>
      <c r="M3808">
        <f>VLOOKUP(Query1[[#This Row],[Description]],'kits to boards'!$B$2:$E$156,3,FALSE)</f>
        <v>0</v>
      </c>
      <c r="N3808">
        <f>VLOOKUP(Query1[[#This Row],[Description]],'kits to boards'!$B$2:$E$156,4,FALSE)</f>
        <v>0</v>
      </c>
      <c r="O3808" t="str">
        <f>CONCATENATE(Query1[[#This Row],[Description]]," - ",Query1[[#This Row],[MB1]]," - ",Query1[[#This Row],[MB2]]," - ",Query1[[#This Row],[MB3]])</f>
        <v>EVAP KIT 67-72 CHEV P-UP WO AC - 830014 - 0 - 0</v>
      </c>
    </row>
    <row r="3809" spans="1:15" x14ac:dyDescent="0.25">
      <c r="A3809" s="1">
        <v>919359</v>
      </c>
      <c r="B3809" s="1" t="s">
        <v>52</v>
      </c>
      <c r="C3809" s="1" t="s">
        <v>53</v>
      </c>
      <c r="D3809" s="2">
        <v>44663.505368090278</v>
      </c>
      <c r="E3809" s="1" t="s">
        <v>8</v>
      </c>
      <c r="F3809" s="1">
        <v>1</v>
      </c>
      <c r="G3809" s="1">
        <v>0</v>
      </c>
      <c r="H3809" s="6">
        <f>INT(Query1[[#This Row],[EntryDateTime]])</f>
        <v>44663</v>
      </c>
      <c r="I3809" s="1">
        <f>IF(Query1[[#This Row],[ItemType]]="EVAP KIT SF GEN IV",Query1[[#This Row],[OrderQty]]+I3808,I3808)</f>
        <v>4703</v>
      </c>
      <c r="J3809" s="1">
        <f>IF(Query1[[#This Row],[ItemType]]="EVAP KIT UNIVERSAL",Query1[[#This Row],[OrderQty]]+J3808,J3808)</f>
        <v>1608</v>
      </c>
      <c r="K3809" s="1">
        <f>Query1[[#This Row],[SF Running Total]]+Query1[[#This Row],[UNIV Running Total]]</f>
        <v>6311</v>
      </c>
      <c r="L3809">
        <f>VLOOKUP(Query1[[#This Row],[Description]],'kits to boards'!$B$2:$E$156,2,FALSE)</f>
        <v>830017</v>
      </c>
      <c r="M3809">
        <f>VLOOKUP(Query1[[#This Row],[Description]],'kits to boards'!$B$2:$E$156,3,FALSE)</f>
        <v>830119</v>
      </c>
      <c r="N3809">
        <f>VLOOKUP(Query1[[#This Row],[Description]],'kits to boards'!$B$2:$E$156,4,FALSE)</f>
        <v>830120</v>
      </c>
      <c r="O3809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810" spans="1:15" x14ac:dyDescent="0.25">
      <c r="A3810" s="1">
        <v>919372</v>
      </c>
      <c r="B3810" s="1" t="s">
        <v>52</v>
      </c>
      <c r="C3810" s="1" t="s">
        <v>53</v>
      </c>
      <c r="D3810" s="2">
        <v>44663.522382673611</v>
      </c>
      <c r="E3810" s="1" t="s">
        <v>8</v>
      </c>
      <c r="F3810" s="1">
        <v>1</v>
      </c>
      <c r="G3810" s="1">
        <v>0</v>
      </c>
      <c r="H3810" s="6">
        <f>INT(Query1[[#This Row],[EntryDateTime]])</f>
        <v>44663</v>
      </c>
      <c r="I3810" s="1">
        <f>IF(Query1[[#This Row],[ItemType]]="EVAP KIT SF GEN IV",Query1[[#This Row],[OrderQty]]+I3809,I3809)</f>
        <v>4704</v>
      </c>
      <c r="J3810" s="1">
        <f>IF(Query1[[#This Row],[ItemType]]="EVAP KIT UNIVERSAL",Query1[[#This Row],[OrderQty]]+J3809,J3809)</f>
        <v>1608</v>
      </c>
      <c r="K3810" s="1">
        <f>Query1[[#This Row],[SF Running Total]]+Query1[[#This Row],[UNIV Running Total]]</f>
        <v>6312</v>
      </c>
      <c r="L3810">
        <f>VLOOKUP(Query1[[#This Row],[Description]],'kits to boards'!$B$2:$E$156,2,FALSE)</f>
        <v>830017</v>
      </c>
      <c r="M3810">
        <f>VLOOKUP(Query1[[#This Row],[Description]],'kits to boards'!$B$2:$E$156,3,FALSE)</f>
        <v>830119</v>
      </c>
      <c r="N3810">
        <f>VLOOKUP(Query1[[#This Row],[Description]],'kits to boards'!$B$2:$E$156,4,FALSE)</f>
        <v>830120</v>
      </c>
      <c r="O3810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811" spans="1:15" x14ac:dyDescent="0.25">
      <c r="A3811" s="1">
        <v>919242</v>
      </c>
      <c r="B3811" s="1" t="s">
        <v>24</v>
      </c>
      <c r="C3811" s="1" t="s">
        <v>25</v>
      </c>
      <c r="D3811" s="2">
        <v>44663.522729710647</v>
      </c>
      <c r="E3811" s="1" t="s">
        <v>11</v>
      </c>
      <c r="F3811" s="1">
        <v>1</v>
      </c>
      <c r="G3811" s="1">
        <v>0</v>
      </c>
      <c r="H3811" s="6">
        <f>INT(Query1[[#This Row],[EntryDateTime]])</f>
        <v>44663</v>
      </c>
      <c r="I3811" s="1">
        <f>IF(Query1[[#This Row],[ItemType]]="EVAP KIT SF GEN IV",Query1[[#This Row],[OrderQty]]+I3810,I3810)</f>
        <v>4704</v>
      </c>
      <c r="J3811" s="1">
        <f>IF(Query1[[#This Row],[ItemType]]="EVAP KIT UNIVERSAL",Query1[[#This Row],[OrderQty]]+J3810,J3810)</f>
        <v>1609</v>
      </c>
      <c r="K3811" s="1">
        <f>Query1[[#This Row],[SF Running Total]]+Query1[[#This Row],[UNIV Running Total]]</f>
        <v>6313</v>
      </c>
      <c r="L3811">
        <f>VLOOKUP(Query1[[#This Row],[Description]],'kits to boards'!$B$2:$E$156,2,FALSE)</f>
        <v>830029</v>
      </c>
      <c r="M3811">
        <f>VLOOKUP(Query1[[#This Row],[Description]],'kits to boards'!$B$2:$E$156,3,FALSE)</f>
        <v>830030</v>
      </c>
      <c r="N3811">
        <f>VLOOKUP(Query1[[#This Row],[Description]],'kits to boards'!$B$2:$E$156,4,FALSE)</f>
        <v>0</v>
      </c>
      <c r="O3811" t="str">
        <f>CONCATENATE(Query1[[#This Row],[Description]]," - ",Query1[[#This Row],[MB1]]," - ",Query1[[#This Row],[MB2]]," - ",Query1[[#This Row],[MB3]])</f>
        <v>ComPac GEN II W/DEF - 830029 - 830030 - 0</v>
      </c>
    </row>
    <row r="3812" spans="1:15" x14ac:dyDescent="0.25">
      <c r="A3812" s="1">
        <v>919371</v>
      </c>
      <c r="B3812" s="1" t="s">
        <v>214</v>
      </c>
      <c r="C3812" s="1" t="s">
        <v>215</v>
      </c>
      <c r="D3812" s="2">
        <v>44663.523006863426</v>
      </c>
      <c r="E3812" s="1" t="s">
        <v>8</v>
      </c>
      <c r="F3812" s="1">
        <v>1</v>
      </c>
      <c r="G3812" s="1">
        <v>0</v>
      </c>
      <c r="H3812" s="6">
        <f>INT(Query1[[#This Row],[EntryDateTime]])</f>
        <v>44663</v>
      </c>
      <c r="I3812" s="1">
        <f>IF(Query1[[#This Row],[ItemType]]="EVAP KIT SF GEN IV",Query1[[#This Row],[OrderQty]]+I3811,I3811)</f>
        <v>4705</v>
      </c>
      <c r="J3812" s="1">
        <f>IF(Query1[[#This Row],[ItemType]]="EVAP KIT UNIVERSAL",Query1[[#This Row],[OrderQty]]+J3811,J3811)</f>
        <v>1609</v>
      </c>
      <c r="K3812" s="1">
        <f>Query1[[#This Row],[SF Running Total]]+Query1[[#This Row],[UNIV Running Total]]</f>
        <v>6314</v>
      </c>
      <c r="L3812">
        <f>VLOOKUP(Query1[[#This Row],[Description]],'kits to boards'!$B$2:$E$156,2,FALSE)</f>
        <v>830072</v>
      </c>
      <c r="M3812">
        <f>VLOOKUP(Query1[[#This Row],[Description]],'kits to boards'!$B$2:$E$156,3,FALSE)</f>
        <v>0</v>
      </c>
      <c r="N3812">
        <f>VLOOKUP(Query1[[#This Row],[Description]],'kits to boards'!$B$2:$E$156,4,FALSE)</f>
        <v>0</v>
      </c>
      <c r="O3812" t="str">
        <f>CONCATENATE(Query1[[#This Row],[Description]]," - ",Query1[[#This Row],[MB1]]," - ",Query1[[#This Row],[MB2]]," - ",Query1[[#This Row],[MB3]])</f>
        <v>EVAP KIT 68 MOPAR B BODY WO AC - 830072 - 0 - 0</v>
      </c>
    </row>
    <row r="3813" spans="1:15" x14ac:dyDescent="0.25">
      <c r="A3813" s="1">
        <v>919373</v>
      </c>
      <c r="B3813" s="1" t="s">
        <v>76</v>
      </c>
      <c r="C3813" s="1" t="s">
        <v>77</v>
      </c>
      <c r="D3813" s="2">
        <v>44663.524035648152</v>
      </c>
      <c r="E3813" s="1" t="s">
        <v>11</v>
      </c>
      <c r="F3813" s="1">
        <v>1</v>
      </c>
      <c r="G3813" s="1">
        <v>0</v>
      </c>
      <c r="H3813" s="6">
        <f>INT(Query1[[#This Row],[EntryDateTime]])</f>
        <v>44663</v>
      </c>
      <c r="I3813" s="1">
        <f>IF(Query1[[#This Row],[ItemType]]="EVAP KIT SF GEN IV",Query1[[#This Row],[OrderQty]]+I3812,I3812)</f>
        <v>4705</v>
      </c>
      <c r="J3813" s="1">
        <f>IF(Query1[[#This Row],[ItemType]]="EVAP KIT UNIVERSAL",Query1[[#This Row],[OrderQty]]+J3812,J3812)</f>
        <v>1610</v>
      </c>
      <c r="K3813" s="1">
        <f>Query1[[#This Row],[SF Running Total]]+Query1[[#This Row],[UNIV Running Total]]</f>
        <v>6315</v>
      </c>
      <c r="L3813">
        <f>VLOOKUP(Query1[[#This Row],[Description]],'kits to boards'!$B$2:$E$156,2,FALSE)</f>
        <v>830099</v>
      </c>
      <c r="M3813">
        <f>VLOOKUP(Query1[[#This Row],[Description]],'kits to boards'!$B$2:$E$156,3,FALSE)</f>
        <v>0</v>
      </c>
      <c r="N3813">
        <f>VLOOKUP(Query1[[#This Row],[Description]],'kits to boards'!$B$2:$E$156,4,FALSE)</f>
        <v>0</v>
      </c>
      <c r="O3813" t="str">
        <f>CONCATENATE(Query1[[#This Row],[Description]]," - ",Query1[[#This Row],[MB1]]," - ",Query1[[#This Row],[MB2]]," - ",Query1[[#This Row],[MB3]])</f>
        <v>MINI GEN II H/C - 830099 - 0 - 0</v>
      </c>
    </row>
    <row r="3814" spans="1:15" x14ac:dyDescent="0.25">
      <c r="A3814" s="1">
        <v>919379</v>
      </c>
      <c r="B3814" s="1" t="s">
        <v>214</v>
      </c>
      <c r="C3814" s="1" t="s">
        <v>215</v>
      </c>
      <c r="D3814" s="2">
        <v>44663.535177546299</v>
      </c>
      <c r="E3814" s="1" t="s">
        <v>8</v>
      </c>
      <c r="F3814" s="1">
        <v>1</v>
      </c>
      <c r="G3814" s="1">
        <v>0</v>
      </c>
      <c r="H3814" s="6">
        <f>INT(Query1[[#This Row],[EntryDateTime]])</f>
        <v>44663</v>
      </c>
      <c r="I3814" s="1">
        <f>IF(Query1[[#This Row],[ItemType]]="EVAP KIT SF GEN IV",Query1[[#This Row],[OrderQty]]+I3813,I3813)</f>
        <v>4706</v>
      </c>
      <c r="J3814" s="1">
        <f>IF(Query1[[#This Row],[ItemType]]="EVAP KIT UNIVERSAL",Query1[[#This Row],[OrderQty]]+J3813,J3813)</f>
        <v>1610</v>
      </c>
      <c r="K3814" s="1">
        <f>Query1[[#This Row],[SF Running Total]]+Query1[[#This Row],[UNIV Running Total]]</f>
        <v>6316</v>
      </c>
      <c r="L3814">
        <f>VLOOKUP(Query1[[#This Row],[Description]],'kits to boards'!$B$2:$E$156,2,FALSE)</f>
        <v>830072</v>
      </c>
      <c r="M3814">
        <f>VLOOKUP(Query1[[#This Row],[Description]],'kits to boards'!$B$2:$E$156,3,FALSE)</f>
        <v>0</v>
      </c>
      <c r="N3814">
        <f>VLOOKUP(Query1[[#This Row],[Description]],'kits to boards'!$B$2:$E$156,4,FALSE)</f>
        <v>0</v>
      </c>
      <c r="O3814" t="str">
        <f>CONCATENATE(Query1[[#This Row],[Description]]," - ",Query1[[#This Row],[MB1]]," - ",Query1[[#This Row],[MB2]]," - ",Query1[[#This Row],[MB3]])</f>
        <v>EVAP KIT 68 MOPAR B BODY WO AC - 830072 - 0 - 0</v>
      </c>
    </row>
    <row r="3815" spans="1:15" x14ac:dyDescent="0.25">
      <c r="A3815" s="1">
        <v>919380</v>
      </c>
      <c r="B3815" s="1" t="s">
        <v>48</v>
      </c>
      <c r="C3815" s="1" t="s">
        <v>49</v>
      </c>
      <c r="D3815" s="2">
        <v>44663.535799340279</v>
      </c>
      <c r="E3815" s="1" t="s">
        <v>8</v>
      </c>
      <c r="F3815" s="1">
        <v>1</v>
      </c>
      <c r="G3815" s="1">
        <v>0</v>
      </c>
      <c r="H3815" s="6">
        <f>INT(Query1[[#This Row],[EntryDateTime]])</f>
        <v>44663</v>
      </c>
      <c r="I3815" s="1">
        <f>IF(Query1[[#This Row],[ItemType]]="EVAP KIT SF GEN IV",Query1[[#This Row],[OrderQty]]+I3814,I3814)</f>
        <v>4707</v>
      </c>
      <c r="J3815" s="1">
        <f>IF(Query1[[#This Row],[ItemType]]="EVAP KIT UNIVERSAL",Query1[[#This Row],[OrderQty]]+J3814,J3814)</f>
        <v>1610</v>
      </c>
      <c r="K3815" s="1">
        <f>Query1[[#This Row],[SF Running Total]]+Query1[[#This Row],[UNIV Running Total]]</f>
        <v>6317</v>
      </c>
      <c r="L3815">
        <f>VLOOKUP(Query1[[#This Row],[Description]],'kits to boards'!$B$2:$E$156,2,FALSE)</f>
        <v>830015</v>
      </c>
      <c r="M3815">
        <f>VLOOKUP(Query1[[#This Row],[Description]],'kits to boards'!$B$2:$E$156,3,FALSE)</f>
        <v>0</v>
      </c>
      <c r="N3815">
        <f>VLOOKUP(Query1[[#This Row],[Description]],'kits to boards'!$B$2:$E$156,4,FALSE)</f>
        <v>0</v>
      </c>
      <c r="O3815" t="str">
        <f>CONCATENATE(Query1[[#This Row],[Description]]," - ",Query1[[#This Row],[MB1]]," - ",Query1[[#This Row],[MB2]]," - ",Query1[[#This Row],[MB3]])</f>
        <v>EVAP KIT 64-66 CHEV P-UP WO AC W/DELX - 830015 - 0 - 0</v>
      </c>
    </row>
    <row r="3816" spans="1:15" x14ac:dyDescent="0.25">
      <c r="A3816" s="1">
        <v>919381</v>
      </c>
      <c r="B3816" s="1" t="s">
        <v>26</v>
      </c>
      <c r="C3816" s="1" t="s">
        <v>27</v>
      </c>
      <c r="D3816" s="2">
        <v>44663.537109641205</v>
      </c>
      <c r="E3816" s="1" t="s">
        <v>8</v>
      </c>
      <c r="F3816" s="1">
        <v>1</v>
      </c>
      <c r="G3816" s="1">
        <v>0</v>
      </c>
      <c r="H3816" s="6">
        <f>INT(Query1[[#This Row],[EntryDateTime]])</f>
        <v>44663</v>
      </c>
      <c r="I3816" s="1">
        <f>IF(Query1[[#This Row],[ItemType]]="EVAP KIT SF GEN IV",Query1[[#This Row],[OrderQty]]+I3815,I3815)</f>
        <v>4708</v>
      </c>
      <c r="J3816" s="1">
        <f>IF(Query1[[#This Row],[ItemType]]="EVAP KIT UNIVERSAL",Query1[[#This Row],[OrderQty]]+J3815,J3815)</f>
        <v>1610</v>
      </c>
      <c r="K3816" s="1">
        <f>Query1[[#This Row],[SF Running Total]]+Query1[[#This Row],[UNIV Running Total]]</f>
        <v>6318</v>
      </c>
      <c r="L3816">
        <f>VLOOKUP(Query1[[#This Row],[Description]],'kits to boards'!$B$2:$E$156,2,FALSE)</f>
        <v>830013</v>
      </c>
      <c r="M3816">
        <f>VLOOKUP(Query1[[#This Row],[Description]],'kits to boards'!$B$2:$E$156,3,FALSE)</f>
        <v>0</v>
      </c>
      <c r="N3816">
        <f>VLOOKUP(Query1[[#This Row],[Description]],'kits to boards'!$B$2:$E$156,4,FALSE)</f>
        <v>0</v>
      </c>
      <c r="O3816" t="str">
        <f>CONCATENATE(Query1[[#This Row],[Description]]," - ",Query1[[#This Row],[MB1]]," - ",Query1[[#This Row],[MB2]]," - ",Query1[[#This Row],[MB3]])</f>
        <v>EVAP KIT 67-72 CHEV P-UP W/AC - 830013 - 0 - 0</v>
      </c>
    </row>
    <row r="3817" spans="1:15" x14ac:dyDescent="0.25">
      <c r="A3817" s="1">
        <v>919348</v>
      </c>
      <c r="B3817" s="1" t="s">
        <v>28</v>
      </c>
      <c r="C3817" s="1" t="s">
        <v>29</v>
      </c>
      <c r="D3817" s="2">
        <v>44663.546278935188</v>
      </c>
      <c r="E3817" s="1" t="s">
        <v>8</v>
      </c>
      <c r="F3817" s="1">
        <v>1</v>
      </c>
      <c r="G3817" s="1">
        <v>0</v>
      </c>
      <c r="H3817" s="6">
        <f>INT(Query1[[#This Row],[EntryDateTime]])</f>
        <v>44663</v>
      </c>
      <c r="I3817" s="1">
        <f>IF(Query1[[#This Row],[ItemType]]="EVAP KIT SF GEN IV",Query1[[#This Row],[OrderQty]]+I3816,I3816)</f>
        <v>4709</v>
      </c>
      <c r="J3817" s="1">
        <f>IF(Query1[[#This Row],[ItemType]]="EVAP KIT UNIVERSAL",Query1[[#This Row],[OrderQty]]+J3816,J3816)</f>
        <v>1610</v>
      </c>
      <c r="K3817" s="1">
        <f>Query1[[#This Row],[SF Running Total]]+Query1[[#This Row],[UNIV Running Total]]</f>
        <v>6319</v>
      </c>
      <c r="L3817">
        <f>VLOOKUP(Query1[[#This Row],[Description]],'kits to boards'!$B$2:$E$156,2,FALSE)</f>
        <v>830001</v>
      </c>
      <c r="M3817">
        <f>VLOOKUP(Query1[[#This Row],[Description]],'kits to boards'!$B$2:$E$156,3,FALSE)</f>
        <v>0</v>
      </c>
      <c r="N3817">
        <f>VLOOKUP(Query1[[#This Row],[Description]],'kits to boards'!$B$2:$E$156,4,FALSE)</f>
        <v>0</v>
      </c>
      <c r="O3817" t="str">
        <f>CONCATENATE(Query1[[#This Row],[Description]]," - ",Query1[[#This Row],[MB1]]," - ",Query1[[#This Row],[MB2]]," - ",Query1[[#This Row],[MB3]])</f>
        <v>EVAP KIT 73-80 CHEV P-UP W/AC - 830001 - 0 - 0</v>
      </c>
    </row>
    <row r="3818" spans="1:15" x14ac:dyDescent="0.25">
      <c r="A3818" s="1">
        <v>919399</v>
      </c>
      <c r="B3818" s="1" t="s">
        <v>52</v>
      </c>
      <c r="C3818" s="1" t="s">
        <v>53</v>
      </c>
      <c r="D3818" s="2">
        <v>44663.572949884256</v>
      </c>
      <c r="E3818" s="1" t="s">
        <v>8</v>
      </c>
      <c r="F3818" s="1">
        <v>1</v>
      </c>
      <c r="G3818" s="1">
        <v>0</v>
      </c>
      <c r="H3818" s="6">
        <f>INT(Query1[[#This Row],[EntryDateTime]])</f>
        <v>44663</v>
      </c>
      <c r="I3818" s="1">
        <f>IF(Query1[[#This Row],[ItemType]]="EVAP KIT SF GEN IV",Query1[[#This Row],[OrderQty]]+I3817,I3817)</f>
        <v>4710</v>
      </c>
      <c r="J3818" s="1">
        <f>IF(Query1[[#This Row],[ItemType]]="EVAP KIT UNIVERSAL",Query1[[#This Row],[OrderQty]]+J3817,J3817)</f>
        <v>1610</v>
      </c>
      <c r="K3818" s="1">
        <f>Query1[[#This Row],[SF Running Total]]+Query1[[#This Row],[UNIV Running Total]]</f>
        <v>6320</v>
      </c>
      <c r="L3818">
        <f>VLOOKUP(Query1[[#This Row],[Description]],'kits to boards'!$B$2:$E$156,2,FALSE)</f>
        <v>830017</v>
      </c>
      <c r="M3818">
        <f>VLOOKUP(Query1[[#This Row],[Description]],'kits to boards'!$B$2:$E$156,3,FALSE)</f>
        <v>830119</v>
      </c>
      <c r="N3818">
        <f>VLOOKUP(Query1[[#This Row],[Description]],'kits to boards'!$B$2:$E$156,4,FALSE)</f>
        <v>830120</v>
      </c>
      <c r="O3818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819" spans="1:15" x14ac:dyDescent="0.25">
      <c r="A3819" s="1">
        <v>919230</v>
      </c>
      <c r="B3819" s="1" t="s">
        <v>305</v>
      </c>
      <c r="C3819" s="1" t="s">
        <v>306</v>
      </c>
      <c r="D3819" s="2">
        <v>44663.586334953703</v>
      </c>
      <c r="E3819" s="1" t="s">
        <v>11</v>
      </c>
      <c r="F3819" s="1">
        <v>1</v>
      </c>
      <c r="G3819" s="1">
        <v>0</v>
      </c>
      <c r="H3819" s="6">
        <f>INT(Query1[[#This Row],[EntryDateTime]])</f>
        <v>44663</v>
      </c>
      <c r="I3819" s="1">
        <f>IF(Query1[[#This Row],[ItemType]]="EVAP KIT SF GEN IV",Query1[[#This Row],[OrderQty]]+I3818,I3818)</f>
        <v>4710</v>
      </c>
      <c r="J3819" s="1">
        <f>IF(Query1[[#This Row],[ItemType]]="EVAP KIT UNIVERSAL",Query1[[#This Row],[OrderQty]]+J3818,J3818)</f>
        <v>1611</v>
      </c>
      <c r="K3819" s="1">
        <f>Query1[[#This Row],[SF Running Total]]+Query1[[#This Row],[UNIV Running Total]]</f>
        <v>6321</v>
      </c>
      <c r="L3819">
        <f>VLOOKUP(Query1[[#This Row],[Description]],'kits to boards'!$B$2:$E$156,2,FALSE)</f>
        <v>830069</v>
      </c>
      <c r="M3819">
        <f>VLOOKUP(Query1[[#This Row],[Description]],'kits to boards'!$B$2:$E$156,3,FALSE)</f>
        <v>0</v>
      </c>
      <c r="N3819">
        <f>VLOOKUP(Query1[[#This Row],[Description]],'kits to boards'!$B$2:$E$156,4,FALSE)</f>
        <v>0</v>
      </c>
      <c r="O3819" t="str">
        <f>CONCATENATE(Query1[[#This Row],[Description]]," - ",Query1[[#This Row],[MB1]]," - ",Query1[[#This Row],[MB2]]," - ",Query1[[#This Row],[MB3]])</f>
        <v>SLIMLINE COOL BLK LOUVER - 830069 - 0 - 0</v>
      </c>
    </row>
    <row r="3820" spans="1:15" x14ac:dyDescent="0.25">
      <c r="A3820" s="1">
        <v>919404</v>
      </c>
      <c r="B3820" s="1" t="s">
        <v>182</v>
      </c>
      <c r="C3820" s="1" t="s">
        <v>183</v>
      </c>
      <c r="D3820" s="2">
        <v>44663.586754398151</v>
      </c>
      <c r="E3820" s="1" t="s">
        <v>8</v>
      </c>
      <c r="F3820" s="1">
        <v>1</v>
      </c>
      <c r="G3820" s="1">
        <v>0</v>
      </c>
      <c r="H3820" s="6">
        <f>INT(Query1[[#This Row],[EntryDateTime]])</f>
        <v>44663</v>
      </c>
      <c r="I3820" s="1">
        <f>IF(Query1[[#This Row],[ItemType]]="EVAP KIT SF GEN IV",Query1[[#This Row],[OrderQty]]+I3819,I3819)</f>
        <v>4711</v>
      </c>
      <c r="J3820" s="1">
        <f>IF(Query1[[#This Row],[ItemType]]="EVAP KIT UNIVERSAL",Query1[[#This Row],[OrderQty]]+J3819,J3819)</f>
        <v>1611</v>
      </c>
      <c r="K3820" s="1">
        <f>Query1[[#This Row],[SF Running Total]]+Query1[[#This Row],[UNIV Running Total]]</f>
        <v>6322</v>
      </c>
      <c r="L3820">
        <f>VLOOKUP(Query1[[#This Row],[Description]],'kits to boards'!$B$2:$E$156,2,FALSE)</f>
        <v>830075</v>
      </c>
      <c r="M3820">
        <f>VLOOKUP(Query1[[#This Row],[Description]],'kits to boards'!$B$2:$E$156,3,FALSE)</f>
        <v>0</v>
      </c>
      <c r="N3820">
        <f>VLOOKUP(Query1[[#This Row],[Description]],'kits to boards'!$B$2:$E$156,4,FALSE)</f>
        <v>0</v>
      </c>
      <c r="O3820" t="str">
        <f>CONCATENATE(Query1[[#This Row],[Description]]," - ",Query1[[#This Row],[MB1]]," - ",Query1[[#This Row],[MB2]]," - ",Query1[[#This Row],[MB3]])</f>
        <v>EVAP KIT 69-70 MOPAR B BODY WO AC - 830075 - 0 - 0</v>
      </c>
    </row>
    <row r="3821" spans="1:15" x14ac:dyDescent="0.25">
      <c r="A3821" s="1">
        <v>919409</v>
      </c>
      <c r="B3821" s="1" t="s">
        <v>78</v>
      </c>
      <c r="C3821" s="1" t="s">
        <v>79</v>
      </c>
      <c r="D3821" s="2">
        <v>44663.593578472224</v>
      </c>
      <c r="E3821" s="1" t="s">
        <v>11</v>
      </c>
      <c r="F3821" s="1">
        <v>2</v>
      </c>
      <c r="G3821" s="1">
        <v>0</v>
      </c>
      <c r="H3821" s="6">
        <f>INT(Query1[[#This Row],[EntryDateTime]])</f>
        <v>44663</v>
      </c>
      <c r="I3821" s="1">
        <f>IF(Query1[[#This Row],[ItemType]]="EVAP KIT SF GEN IV",Query1[[#This Row],[OrderQty]]+I3820,I3820)</f>
        <v>4711</v>
      </c>
      <c r="J3821" s="1">
        <f>IF(Query1[[#This Row],[ItemType]]="EVAP KIT UNIVERSAL",Query1[[#This Row],[OrderQty]]+J3820,J3820)</f>
        <v>1613</v>
      </c>
      <c r="K3821" s="1">
        <f>Query1[[#This Row],[SF Running Total]]+Query1[[#This Row],[UNIV Running Total]]</f>
        <v>6324</v>
      </c>
      <c r="L3821">
        <f>VLOOKUP(Query1[[#This Row],[Description]],'kits to boards'!$B$2:$E$156,2,FALSE)</f>
        <v>0</v>
      </c>
      <c r="M3821">
        <f>VLOOKUP(Query1[[#This Row],[Description]],'kits to boards'!$B$2:$E$156,3,FALSE)</f>
        <v>0</v>
      </c>
      <c r="N3821">
        <f>VLOOKUP(Query1[[#This Row],[Description]],'kits to boards'!$B$2:$E$156,4,FALSE)</f>
        <v>0</v>
      </c>
      <c r="O3821" t="str">
        <f>CONCATENATE(Query1[[#This Row],[Description]]," - ",Query1[[#This Row],[MB1]]," - ",Query1[[#This Row],[MB2]]," - ",Query1[[#This Row],[MB3]])</f>
        <v>MARK IV STYLELINE UNDERDASH EVAP - 0 - 0 - 0</v>
      </c>
    </row>
    <row r="3822" spans="1:15" x14ac:dyDescent="0.25">
      <c r="A3822" s="1">
        <v>919410</v>
      </c>
      <c r="B3822" s="1" t="s">
        <v>90</v>
      </c>
      <c r="C3822" s="1" t="s">
        <v>91</v>
      </c>
      <c r="D3822" s="2">
        <v>44663.594363391203</v>
      </c>
      <c r="E3822" s="1" t="s">
        <v>8</v>
      </c>
      <c r="F3822" s="1">
        <v>1</v>
      </c>
      <c r="G3822" s="1">
        <v>0</v>
      </c>
      <c r="H3822" s="6">
        <f>INT(Query1[[#This Row],[EntryDateTime]])</f>
        <v>44663</v>
      </c>
      <c r="I3822" s="1">
        <f>IF(Query1[[#This Row],[ItemType]]="EVAP KIT SF GEN IV",Query1[[#This Row],[OrderQty]]+I3821,I3821)</f>
        <v>4712</v>
      </c>
      <c r="J3822" s="1">
        <f>IF(Query1[[#This Row],[ItemType]]="EVAP KIT UNIVERSAL",Query1[[#This Row],[OrderQty]]+J3821,J3821)</f>
        <v>1613</v>
      </c>
      <c r="K3822" s="1">
        <f>Query1[[#This Row],[SF Running Total]]+Query1[[#This Row],[UNIV Running Total]]</f>
        <v>6325</v>
      </c>
      <c r="L3822">
        <f>VLOOKUP(Query1[[#This Row],[Description]],'kits to boards'!$B$2:$E$156,2,FALSE)</f>
        <v>830105</v>
      </c>
      <c r="M3822">
        <f>VLOOKUP(Query1[[#This Row],[Description]],'kits to boards'!$B$2:$E$156,3,FALSE)</f>
        <v>830106</v>
      </c>
      <c r="N3822">
        <f>VLOOKUP(Query1[[#This Row],[Description]],'kits to boards'!$B$2:$E$156,4,FALSE)</f>
        <v>0</v>
      </c>
      <c r="O3822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3823" spans="1:15" x14ac:dyDescent="0.25">
      <c r="A3823" s="1">
        <v>919374</v>
      </c>
      <c r="B3823" s="1" t="s">
        <v>96</v>
      </c>
      <c r="C3823" s="1" t="s">
        <v>97</v>
      </c>
      <c r="D3823" s="2">
        <v>44663.599686030095</v>
      </c>
      <c r="E3823" s="1" t="s">
        <v>8</v>
      </c>
      <c r="F3823" s="1">
        <v>1</v>
      </c>
      <c r="G3823" s="1">
        <v>0</v>
      </c>
      <c r="H3823" s="6">
        <f>INT(Query1[[#This Row],[EntryDateTime]])</f>
        <v>44663</v>
      </c>
      <c r="I3823" s="1">
        <f>IF(Query1[[#This Row],[ItemType]]="EVAP KIT SF GEN IV",Query1[[#This Row],[OrderQty]]+I3822,I3822)</f>
        <v>4713</v>
      </c>
      <c r="J3823" s="1">
        <f>IF(Query1[[#This Row],[ItemType]]="EVAP KIT UNIVERSAL",Query1[[#This Row],[OrderQty]]+J3822,J3822)</f>
        <v>1613</v>
      </c>
      <c r="K3823" s="1">
        <f>Query1[[#This Row],[SF Running Total]]+Query1[[#This Row],[UNIV Running Total]]</f>
        <v>6326</v>
      </c>
      <c r="L3823">
        <f>VLOOKUP(Query1[[#This Row],[Description]],'kits to boards'!$B$2:$E$156,2,FALSE)</f>
        <v>830004</v>
      </c>
      <c r="M3823">
        <f>VLOOKUP(Query1[[#This Row],[Description]],'kits to boards'!$B$2:$E$156,3,FALSE)</f>
        <v>0</v>
      </c>
      <c r="N3823">
        <f>VLOOKUP(Query1[[#This Row],[Description]],'kits to boards'!$B$2:$E$156,4,FALSE)</f>
        <v>0</v>
      </c>
      <c r="O3823" t="str">
        <f>CONCATENATE(Query1[[#This Row],[Description]]," - ",Query1[[#This Row],[MB1]]," - ",Query1[[#This Row],[MB2]]," - ",Query1[[#This Row],[MB3]])</f>
        <v>EVAP KIT 81-87 CHEV P-UP W/AC - 830004 - 0 - 0</v>
      </c>
    </row>
    <row r="3824" spans="1:15" x14ac:dyDescent="0.25">
      <c r="A3824" s="1">
        <v>919413</v>
      </c>
      <c r="B3824" s="1" t="s">
        <v>54</v>
      </c>
      <c r="C3824" s="1" t="s">
        <v>55</v>
      </c>
      <c r="D3824" s="2">
        <v>44663.602595486111</v>
      </c>
      <c r="E3824" s="1" t="s">
        <v>8</v>
      </c>
      <c r="F3824" s="1">
        <v>1</v>
      </c>
      <c r="G3824" s="1">
        <v>0</v>
      </c>
      <c r="H3824" s="6">
        <f>INT(Query1[[#This Row],[EntryDateTime]])</f>
        <v>44663</v>
      </c>
      <c r="I3824" s="1">
        <f>IF(Query1[[#This Row],[ItemType]]="EVAP KIT SF GEN IV",Query1[[#This Row],[OrderQty]]+I3823,I3823)</f>
        <v>4714</v>
      </c>
      <c r="J3824" s="1">
        <f>IF(Query1[[#This Row],[ItemType]]="EVAP KIT UNIVERSAL",Query1[[#This Row],[OrderQty]]+J3823,J3823)</f>
        <v>1613</v>
      </c>
      <c r="K3824" s="1">
        <f>Query1[[#This Row],[SF Running Total]]+Query1[[#This Row],[UNIV Running Total]]</f>
        <v>6327</v>
      </c>
      <c r="L3824">
        <f>VLOOKUP(Query1[[#This Row],[Description]],'kits to boards'!$B$2:$E$156,2,FALSE)</f>
        <v>830037</v>
      </c>
      <c r="M3824">
        <f>VLOOKUP(Query1[[#This Row],[Description]],'kits to boards'!$B$2:$E$156,3,FALSE)</f>
        <v>0</v>
      </c>
      <c r="N3824">
        <f>VLOOKUP(Query1[[#This Row],[Description]],'kits to boards'!$B$2:$E$156,4,FALSE)</f>
        <v>0</v>
      </c>
      <c r="O3824" t="str">
        <f>CONCATENATE(Query1[[#This Row],[Description]]," - ",Query1[[#This Row],[MB1]]," - ",Query1[[#This Row],[MB2]]," - ",Query1[[#This Row],[MB3]])</f>
        <v>EVAP KIT 70-81 FIREBIRD W/AC - 830037 - 0 - 0</v>
      </c>
    </row>
    <row r="3825" spans="1:15" x14ac:dyDescent="0.25">
      <c r="A3825" s="1">
        <v>919414</v>
      </c>
      <c r="B3825" s="1" t="s">
        <v>58</v>
      </c>
      <c r="C3825" s="1" t="s">
        <v>59</v>
      </c>
      <c r="D3825" s="2">
        <v>44663.602842939814</v>
      </c>
      <c r="E3825" s="1" t="s">
        <v>11</v>
      </c>
      <c r="F3825" s="1">
        <v>1</v>
      </c>
      <c r="G3825" s="1">
        <v>0</v>
      </c>
      <c r="H3825" s="6">
        <f>INT(Query1[[#This Row],[EntryDateTime]])</f>
        <v>44663</v>
      </c>
      <c r="I3825" s="1">
        <f>IF(Query1[[#This Row],[ItemType]]="EVAP KIT SF GEN IV",Query1[[#This Row],[OrderQty]]+I3824,I3824)</f>
        <v>4714</v>
      </c>
      <c r="J3825" s="1">
        <f>IF(Query1[[#This Row],[ItemType]]="EVAP KIT UNIVERSAL",Query1[[#This Row],[OrderQty]]+J3824,J3824)</f>
        <v>1614</v>
      </c>
      <c r="K3825" s="1">
        <f>Query1[[#This Row],[SF Running Total]]+Query1[[#This Row],[UNIV Running Total]]</f>
        <v>6328</v>
      </c>
      <c r="L3825">
        <f>VLOOKUP(Query1[[#This Row],[Description]],'kits to boards'!$B$2:$E$156,2,FALSE)</f>
        <v>830088</v>
      </c>
      <c r="M3825">
        <f>VLOOKUP(Query1[[#This Row],[Description]],'kits to boards'!$B$2:$E$156,3,FALSE)</f>
        <v>830099</v>
      </c>
      <c r="N3825">
        <f>VLOOKUP(Query1[[#This Row],[Description]],'kits to boards'!$B$2:$E$156,4,FALSE)</f>
        <v>0</v>
      </c>
      <c r="O3825" t="str">
        <f>CONCATENATE(Query1[[#This Row],[Description]]," - ",Query1[[#This Row],[MB1]]," - ",Query1[[#This Row],[MB2]]," - ",Query1[[#This Row],[MB3]])</f>
        <v>MONSTER TRUNK UNIT COOL - 830088 - 830099 - 0</v>
      </c>
    </row>
    <row r="3826" spans="1:15" x14ac:dyDescent="0.25">
      <c r="A3826" s="1">
        <v>919415</v>
      </c>
      <c r="B3826" s="1" t="s">
        <v>14</v>
      </c>
      <c r="C3826" s="1" t="s">
        <v>15</v>
      </c>
      <c r="D3826" s="2">
        <v>44663.603385798611</v>
      </c>
      <c r="E3826" s="1" t="s">
        <v>8</v>
      </c>
      <c r="F3826" s="1">
        <v>1</v>
      </c>
      <c r="G3826" s="1">
        <v>0</v>
      </c>
      <c r="H3826" s="6">
        <f>INT(Query1[[#This Row],[EntryDateTime]])</f>
        <v>44663</v>
      </c>
      <c r="I3826" s="1">
        <f>IF(Query1[[#This Row],[ItemType]]="EVAP KIT SF GEN IV",Query1[[#This Row],[OrderQty]]+I3825,I3825)</f>
        <v>4715</v>
      </c>
      <c r="J3826" s="1">
        <f>IF(Query1[[#This Row],[ItemType]]="EVAP KIT UNIVERSAL",Query1[[#This Row],[OrderQty]]+J3825,J3825)</f>
        <v>1614</v>
      </c>
      <c r="K3826" s="1">
        <f>Query1[[#This Row],[SF Running Total]]+Query1[[#This Row],[UNIV Running Total]]</f>
        <v>6329</v>
      </c>
      <c r="L3826">
        <f>VLOOKUP(Query1[[#This Row],[Description]],'kits to boards'!$B$2:$E$156,2,FALSE)</f>
        <v>830054</v>
      </c>
      <c r="M3826">
        <f>VLOOKUP(Query1[[#This Row],[Description]],'kits to boards'!$B$2:$E$156,3,FALSE)</f>
        <v>0</v>
      </c>
      <c r="N3826">
        <f>VLOOKUP(Query1[[#This Row],[Description]],'kits to boards'!$B$2:$E$156,4,FALSE)</f>
        <v>0</v>
      </c>
      <c r="O3826" t="str">
        <f>CONCATENATE(Query1[[#This Row],[Description]]," - ",Query1[[#This Row],[MB1]]," - ",Query1[[#This Row],[MB2]]," - ",Query1[[#This Row],[MB3]])</f>
        <v>EVAP KIT 55-56 CHEVY - 830054 - 0 - 0</v>
      </c>
    </row>
    <row r="3827" spans="1:15" x14ac:dyDescent="0.25">
      <c r="A3827" s="1">
        <v>919416</v>
      </c>
      <c r="B3827" s="1" t="s">
        <v>70</v>
      </c>
      <c r="C3827" s="1" t="s">
        <v>71</v>
      </c>
      <c r="D3827" s="2">
        <v>44663.604464502314</v>
      </c>
      <c r="E3827" s="1" t="s">
        <v>8</v>
      </c>
      <c r="F3827" s="1">
        <v>1</v>
      </c>
      <c r="G3827" s="1">
        <v>0</v>
      </c>
      <c r="H3827" s="6">
        <f>INT(Query1[[#This Row],[EntryDateTime]])</f>
        <v>44663</v>
      </c>
      <c r="I3827" s="1">
        <f>IF(Query1[[#This Row],[ItemType]]="EVAP KIT SF GEN IV",Query1[[#This Row],[OrderQty]]+I3826,I3826)</f>
        <v>4716</v>
      </c>
      <c r="J3827" s="1">
        <f>IF(Query1[[#This Row],[ItemType]]="EVAP KIT UNIVERSAL",Query1[[#This Row],[OrderQty]]+J3826,J3826)</f>
        <v>1614</v>
      </c>
      <c r="K3827" s="1">
        <f>Query1[[#This Row],[SF Running Total]]+Query1[[#This Row],[UNIV Running Total]]</f>
        <v>6330</v>
      </c>
      <c r="L3827">
        <f>VLOOKUP(Query1[[#This Row],[Description]],'kits to boards'!$B$2:$E$156,2,FALSE)</f>
        <v>830050</v>
      </c>
      <c r="M3827">
        <f>VLOOKUP(Query1[[#This Row],[Description]],'kits to boards'!$B$2:$E$156,3,FALSE)</f>
        <v>0</v>
      </c>
      <c r="N3827">
        <f>VLOOKUP(Query1[[#This Row],[Description]],'kits to boards'!$B$2:$E$156,4,FALSE)</f>
        <v>0</v>
      </c>
      <c r="O3827" t="str">
        <f>CONCATENATE(Query1[[#This Row],[Description]]," - ",Query1[[#This Row],[MB1]]," - ",Query1[[#This Row],[MB2]]," - ",Query1[[#This Row],[MB3]])</f>
        <v>EVAP KIT 70-78 CAMARO WO AC - 830050 - 0 - 0</v>
      </c>
    </row>
    <row r="3828" spans="1:15" x14ac:dyDescent="0.25">
      <c r="A3828" s="1">
        <v>919423</v>
      </c>
      <c r="B3828" s="1" t="s">
        <v>52</v>
      </c>
      <c r="C3828" s="1" t="s">
        <v>53</v>
      </c>
      <c r="D3828" s="2">
        <v>44663.610587812502</v>
      </c>
      <c r="E3828" s="1" t="s">
        <v>8</v>
      </c>
      <c r="F3828" s="1">
        <v>1</v>
      </c>
      <c r="G3828" s="1">
        <v>0</v>
      </c>
      <c r="H3828" s="6">
        <f>INT(Query1[[#This Row],[EntryDateTime]])</f>
        <v>44663</v>
      </c>
      <c r="I3828" s="1">
        <f>IF(Query1[[#This Row],[ItemType]]="EVAP KIT SF GEN IV",Query1[[#This Row],[OrderQty]]+I3827,I3827)</f>
        <v>4717</v>
      </c>
      <c r="J3828" s="1">
        <f>IF(Query1[[#This Row],[ItemType]]="EVAP KIT UNIVERSAL",Query1[[#This Row],[OrderQty]]+J3827,J3827)</f>
        <v>1614</v>
      </c>
      <c r="K3828" s="1">
        <f>Query1[[#This Row],[SF Running Total]]+Query1[[#This Row],[UNIV Running Total]]</f>
        <v>6331</v>
      </c>
      <c r="L3828">
        <f>VLOOKUP(Query1[[#This Row],[Description]],'kits to boards'!$B$2:$E$156,2,FALSE)</f>
        <v>830017</v>
      </c>
      <c r="M3828">
        <f>VLOOKUP(Query1[[#This Row],[Description]],'kits to boards'!$B$2:$E$156,3,FALSE)</f>
        <v>830119</v>
      </c>
      <c r="N3828">
        <f>VLOOKUP(Query1[[#This Row],[Description]],'kits to boards'!$B$2:$E$156,4,FALSE)</f>
        <v>830120</v>
      </c>
      <c r="O3828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829" spans="1:15" x14ac:dyDescent="0.25">
      <c r="A3829" s="1">
        <v>917745</v>
      </c>
      <c r="B3829" s="1" t="s">
        <v>48</v>
      </c>
      <c r="C3829" s="1" t="s">
        <v>49</v>
      </c>
      <c r="D3829" s="2">
        <v>44663.621811655095</v>
      </c>
      <c r="E3829" s="1" t="s">
        <v>8</v>
      </c>
      <c r="F3829" s="1">
        <v>1</v>
      </c>
      <c r="G3829" s="1">
        <v>0</v>
      </c>
      <c r="H3829" s="6">
        <f>INT(Query1[[#This Row],[EntryDateTime]])</f>
        <v>44663</v>
      </c>
      <c r="I3829" s="1">
        <f>IF(Query1[[#This Row],[ItemType]]="EVAP KIT SF GEN IV",Query1[[#This Row],[OrderQty]]+I3828,I3828)</f>
        <v>4718</v>
      </c>
      <c r="J3829" s="1">
        <f>IF(Query1[[#This Row],[ItemType]]="EVAP KIT UNIVERSAL",Query1[[#This Row],[OrderQty]]+J3828,J3828)</f>
        <v>1614</v>
      </c>
      <c r="K3829" s="1">
        <f>Query1[[#This Row],[SF Running Total]]+Query1[[#This Row],[UNIV Running Total]]</f>
        <v>6332</v>
      </c>
      <c r="L3829">
        <f>VLOOKUP(Query1[[#This Row],[Description]],'kits to boards'!$B$2:$E$156,2,FALSE)</f>
        <v>830015</v>
      </c>
      <c r="M3829">
        <f>VLOOKUP(Query1[[#This Row],[Description]],'kits to boards'!$B$2:$E$156,3,FALSE)</f>
        <v>0</v>
      </c>
      <c r="N3829">
        <f>VLOOKUP(Query1[[#This Row],[Description]],'kits to boards'!$B$2:$E$156,4,FALSE)</f>
        <v>0</v>
      </c>
      <c r="O3829" t="str">
        <f>CONCATENATE(Query1[[#This Row],[Description]]," - ",Query1[[#This Row],[MB1]]," - ",Query1[[#This Row],[MB2]]," - ",Query1[[#This Row],[MB3]])</f>
        <v>EVAP KIT 64-66 CHEV P-UP WO AC W/DELX - 830015 - 0 - 0</v>
      </c>
    </row>
    <row r="3830" spans="1:15" x14ac:dyDescent="0.25">
      <c r="A3830" s="1">
        <v>919041</v>
      </c>
      <c r="B3830" s="1" t="s">
        <v>140</v>
      </c>
      <c r="C3830" s="1" t="s">
        <v>141</v>
      </c>
      <c r="D3830" s="2">
        <v>44663.625540624998</v>
      </c>
      <c r="E3830" s="1" t="s">
        <v>8</v>
      </c>
      <c r="F3830" s="1">
        <v>1</v>
      </c>
      <c r="G3830" s="1">
        <v>0</v>
      </c>
      <c r="H3830" s="6">
        <f>INT(Query1[[#This Row],[EntryDateTime]])</f>
        <v>44663</v>
      </c>
      <c r="I3830" s="1">
        <f>IF(Query1[[#This Row],[ItemType]]="EVAP KIT SF GEN IV",Query1[[#This Row],[OrderQty]]+I3829,I3829)</f>
        <v>4719</v>
      </c>
      <c r="J3830" s="1">
        <f>IF(Query1[[#This Row],[ItemType]]="EVAP KIT UNIVERSAL",Query1[[#This Row],[OrderQty]]+J3829,J3829)</f>
        <v>1614</v>
      </c>
      <c r="K3830" s="1">
        <f>Query1[[#This Row],[SF Running Total]]+Query1[[#This Row],[UNIV Running Total]]</f>
        <v>6333</v>
      </c>
      <c r="L3830">
        <f>VLOOKUP(Query1[[#This Row],[Description]],'kits to boards'!$B$2:$E$156,2,FALSE)</f>
        <v>830066</v>
      </c>
      <c r="M3830">
        <f>VLOOKUP(Query1[[#This Row],[Description]],'kits to boards'!$B$2:$E$156,3,FALSE)</f>
        <v>0</v>
      </c>
      <c r="N3830">
        <f>VLOOKUP(Query1[[#This Row],[Description]],'kits to boards'!$B$2:$E$156,4,FALSE)</f>
        <v>0</v>
      </c>
      <c r="O3830" t="str">
        <f>CONCATENATE(Query1[[#This Row],[Description]]," - ",Query1[[#This Row],[MB1]]," - ",Query1[[#This Row],[MB2]]," - ",Query1[[#This Row],[MB3]])</f>
        <v>EVAP KIT 60-63 CHEV P-UP WO AC - 830066 - 0 - 0</v>
      </c>
    </row>
    <row r="3831" spans="1:15" x14ac:dyDescent="0.25">
      <c r="A3831" s="1">
        <v>919436</v>
      </c>
      <c r="B3831" s="1" t="s">
        <v>44</v>
      </c>
      <c r="C3831" s="1" t="s">
        <v>45</v>
      </c>
      <c r="D3831" s="2">
        <v>44663.62931527778</v>
      </c>
      <c r="E3831" s="1" t="s">
        <v>8</v>
      </c>
      <c r="F3831" s="1">
        <v>1</v>
      </c>
      <c r="G3831" s="1">
        <v>0</v>
      </c>
      <c r="H3831" s="6">
        <f>INT(Query1[[#This Row],[EntryDateTime]])</f>
        <v>44663</v>
      </c>
      <c r="I3831" s="1">
        <f>IF(Query1[[#This Row],[ItemType]]="EVAP KIT SF GEN IV",Query1[[#This Row],[OrderQty]]+I3830,I3830)</f>
        <v>4720</v>
      </c>
      <c r="J3831" s="1">
        <f>IF(Query1[[#This Row],[ItemType]]="EVAP KIT UNIVERSAL",Query1[[#This Row],[OrderQty]]+J3830,J3830)</f>
        <v>1614</v>
      </c>
      <c r="K3831" s="1">
        <f>Query1[[#This Row],[SF Running Total]]+Query1[[#This Row],[UNIV Running Total]]</f>
        <v>6334</v>
      </c>
      <c r="L3831">
        <f>VLOOKUP(Query1[[#This Row],[Description]],'kits to boards'!$B$2:$E$156,2,FALSE)</f>
        <v>830085</v>
      </c>
      <c r="M3831">
        <f>VLOOKUP(Query1[[#This Row],[Description]],'kits to boards'!$B$2:$E$156,3,FALSE)</f>
        <v>0</v>
      </c>
      <c r="N3831">
        <f>VLOOKUP(Query1[[#This Row],[Description]],'kits to boards'!$B$2:$E$156,4,FALSE)</f>
        <v>0</v>
      </c>
      <c r="O3831" t="str">
        <f>CONCATENATE(Query1[[#This Row],[Description]]," - ",Query1[[#This Row],[MB1]]," - ",Query1[[#This Row],[MB2]]," - ",Query1[[#This Row],[MB3]])</f>
        <v>EVAP KIT 66-77 BRONCO - 830085 - 0 - 0</v>
      </c>
    </row>
    <row r="3832" spans="1:15" x14ac:dyDescent="0.25">
      <c r="A3832" s="1">
        <v>919439</v>
      </c>
      <c r="B3832" s="1" t="s">
        <v>96</v>
      </c>
      <c r="C3832" s="1" t="s">
        <v>97</v>
      </c>
      <c r="D3832" s="2">
        <v>44663.630349652776</v>
      </c>
      <c r="E3832" s="1" t="s">
        <v>8</v>
      </c>
      <c r="F3832" s="1">
        <v>1</v>
      </c>
      <c r="G3832" s="1">
        <v>0</v>
      </c>
      <c r="H3832" s="6">
        <f>INT(Query1[[#This Row],[EntryDateTime]])</f>
        <v>44663</v>
      </c>
      <c r="I3832" s="1">
        <f>IF(Query1[[#This Row],[ItemType]]="EVAP KIT SF GEN IV",Query1[[#This Row],[OrderQty]]+I3831,I3831)</f>
        <v>4721</v>
      </c>
      <c r="J3832" s="1">
        <f>IF(Query1[[#This Row],[ItemType]]="EVAP KIT UNIVERSAL",Query1[[#This Row],[OrderQty]]+J3831,J3831)</f>
        <v>1614</v>
      </c>
      <c r="K3832" s="1">
        <f>Query1[[#This Row],[SF Running Total]]+Query1[[#This Row],[UNIV Running Total]]</f>
        <v>6335</v>
      </c>
      <c r="L3832">
        <f>VLOOKUP(Query1[[#This Row],[Description]],'kits to boards'!$B$2:$E$156,2,FALSE)</f>
        <v>830004</v>
      </c>
      <c r="M3832">
        <f>VLOOKUP(Query1[[#This Row],[Description]],'kits to boards'!$B$2:$E$156,3,FALSE)</f>
        <v>0</v>
      </c>
      <c r="N3832">
        <f>VLOOKUP(Query1[[#This Row],[Description]],'kits to boards'!$B$2:$E$156,4,FALSE)</f>
        <v>0</v>
      </c>
      <c r="O3832" t="str">
        <f>CONCATENATE(Query1[[#This Row],[Description]]," - ",Query1[[#This Row],[MB1]]," - ",Query1[[#This Row],[MB2]]," - ",Query1[[#This Row],[MB3]])</f>
        <v>EVAP KIT 81-87 CHEV P-UP W/AC - 830004 - 0 - 0</v>
      </c>
    </row>
    <row r="3833" spans="1:15" x14ac:dyDescent="0.25">
      <c r="A3833" s="1">
        <v>919442</v>
      </c>
      <c r="B3833" s="1" t="s">
        <v>76</v>
      </c>
      <c r="C3833" s="1" t="s">
        <v>77</v>
      </c>
      <c r="D3833" s="2">
        <v>44663.634211539349</v>
      </c>
      <c r="E3833" s="1" t="s">
        <v>11</v>
      </c>
      <c r="F3833" s="1">
        <v>1</v>
      </c>
      <c r="G3833" s="1">
        <v>0</v>
      </c>
      <c r="H3833" s="6">
        <f>INT(Query1[[#This Row],[EntryDateTime]])</f>
        <v>44663</v>
      </c>
      <c r="I3833" s="1">
        <f>IF(Query1[[#This Row],[ItemType]]="EVAP KIT SF GEN IV",Query1[[#This Row],[OrderQty]]+I3832,I3832)</f>
        <v>4721</v>
      </c>
      <c r="J3833" s="1">
        <f>IF(Query1[[#This Row],[ItemType]]="EVAP KIT UNIVERSAL",Query1[[#This Row],[OrderQty]]+J3832,J3832)</f>
        <v>1615</v>
      </c>
      <c r="K3833" s="1">
        <f>Query1[[#This Row],[SF Running Total]]+Query1[[#This Row],[UNIV Running Total]]</f>
        <v>6336</v>
      </c>
      <c r="L3833">
        <f>VLOOKUP(Query1[[#This Row],[Description]],'kits to boards'!$B$2:$E$156,2,FALSE)</f>
        <v>830099</v>
      </c>
      <c r="M3833">
        <f>VLOOKUP(Query1[[#This Row],[Description]],'kits to boards'!$B$2:$E$156,3,FALSE)</f>
        <v>0</v>
      </c>
      <c r="N3833">
        <f>VLOOKUP(Query1[[#This Row],[Description]],'kits to boards'!$B$2:$E$156,4,FALSE)</f>
        <v>0</v>
      </c>
      <c r="O3833" t="str">
        <f>CONCATENATE(Query1[[#This Row],[Description]]," - ",Query1[[#This Row],[MB1]]," - ",Query1[[#This Row],[MB2]]," - ",Query1[[#This Row],[MB3]])</f>
        <v>MINI GEN II H/C - 830099 - 0 - 0</v>
      </c>
    </row>
    <row r="3834" spans="1:15" x14ac:dyDescent="0.25">
      <c r="A3834" s="1">
        <v>919173</v>
      </c>
      <c r="B3834" s="1" t="s">
        <v>162</v>
      </c>
      <c r="C3834" s="1" t="s">
        <v>163</v>
      </c>
      <c r="D3834" s="2">
        <v>44663.639041284725</v>
      </c>
      <c r="E3834" s="1" t="s">
        <v>8</v>
      </c>
      <c r="F3834" s="1">
        <v>1</v>
      </c>
      <c r="G3834" s="1">
        <v>0</v>
      </c>
      <c r="H3834" s="6">
        <f>INT(Query1[[#This Row],[EntryDateTime]])</f>
        <v>44663</v>
      </c>
      <c r="I3834" s="1">
        <f>IF(Query1[[#This Row],[ItemType]]="EVAP KIT SF GEN IV",Query1[[#This Row],[OrderQty]]+I3833,I3833)</f>
        <v>4722</v>
      </c>
      <c r="J3834" s="1">
        <f>IF(Query1[[#This Row],[ItemType]]="EVAP KIT UNIVERSAL",Query1[[#This Row],[OrderQty]]+J3833,J3833)</f>
        <v>1615</v>
      </c>
      <c r="K3834" s="1">
        <f>Query1[[#This Row],[SF Running Total]]+Query1[[#This Row],[UNIV Running Total]]</f>
        <v>6337</v>
      </c>
      <c r="L3834">
        <f>VLOOKUP(Query1[[#This Row],[Description]],'kits to boards'!$B$2:$E$156,2,FALSE)</f>
        <v>830083</v>
      </c>
      <c r="M3834">
        <f>VLOOKUP(Query1[[#This Row],[Description]],'kits to boards'!$B$2:$E$156,3,FALSE)</f>
        <v>0</v>
      </c>
      <c r="N3834">
        <f>VLOOKUP(Query1[[#This Row],[Description]],'kits to boards'!$B$2:$E$156,4,FALSE)</f>
        <v>0</v>
      </c>
      <c r="O3834" t="str">
        <f>CONCATENATE(Query1[[#This Row],[Description]]," - ",Query1[[#This Row],[MB1]]," - ",Query1[[#This Row],[MB2]]," - ",Query1[[#This Row],[MB3]])</f>
        <v>EVAP KIT 70-74 CHALNGR/CUDA W/AC W/RD - 830083 - 0 - 0</v>
      </c>
    </row>
    <row r="3835" spans="1:15" x14ac:dyDescent="0.25">
      <c r="A3835" s="1">
        <v>919446</v>
      </c>
      <c r="B3835" s="1" t="s">
        <v>9</v>
      </c>
      <c r="C3835" s="1" t="s">
        <v>10</v>
      </c>
      <c r="D3835" s="2">
        <v>44663.639718171296</v>
      </c>
      <c r="E3835" s="1" t="s">
        <v>11</v>
      </c>
      <c r="F3835" s="1">
        <v>1</v>
      </c>
      <c r="G3835" s="1">
        <v>0</v>
      </c>
      <c r="H3835" s="6">
        <f>INT(Query1[[#This Row],[EntryDateTime]])</f>
        <v>44663</v>
      </c>
      <c r="I3835" s="1">
        <f>IF(Query1[[#This Row],[ItemType]]="EVAP KIT SF GEN IV",Query1[[#This Row],[OrderQty]]+I3834,I3834)</f>
        <v>4722</v>
      </c>
      <c r="J3835" s="1">
        <f>IF(Query1[[#This Row],[ItemType]]="EVAP KIT UNIVERSAL",Query1[[#This Row],[OrderQty]]+J3834,J3834)</f>
        <v>1616</v>
      </c>
      <c r="K3835" s="1">
        <f>Query1[[#This Row],[SF Running Total]]+Query1[[#This Row],[UNIV Running Total]]</f>
        <v>6338</v>
      </c>
      <c r="L3835">
        <f>VLOOKUP(Query1[[#This Row],[Description]],'kits to boards'!$B$2:$E$156,2,FALSE)</f>
        <v>830069</v>
      </c>
      <c r="M3835">
        <f>VLOOKUP(Query1[[#This Row],[Description]],'kits to boards'!$B$2:$E$156,3,FALSE)</f>
        <v>0</v>
      </c>
      <c r="N3835">
        <f>VLOOKUP(Query1[[#This Row],[Description]],'kits to boards'!$B$2:$E$156,4,FALSE)</f>
        <v>0</v>
      </c>
      <c r="O3835" t="str">
        <f>CONCATENATE(Query1[[#This Row],[Description]]," - ",Query1[[#This Row],[MB1]]," - ",Query1[[#This Row],[MB2]]," - ",Query1[[#This Row],[MB3]])</f>
        <v>SLIMLINE H/C W/DEF STD LOUVER - 830069 - 0 - 0</v>
      </c>
    </row>
    <row r="3836" spans="1:15" x14ac:dyDescent="0.25">
      <c r="A3836" s="1">
        <v>919445</v>
      </c>
      <c r="B3836" s="1" t="s">
        <v>96</v>
      </c>
      <c r="C3836" s="1" t="s">
        <v>97</v>
      </c>
      <c r="D3836" s="2">
        <v>44663.639772719907</v>
      </c>
      <c r="E3836" s="1" t="s">
        <v>8</v>
      </c>
      <c r="F3836" s="1">
        <v>1</v>
      </c>
      <c r="G3836" s="1">
        <v>0</v>
      </c>
      <c r="H3836" s="6">
        <f>INT(Query1[[#This Row],[EntryDateTime]])</f>
        <v>44663</v>
      </c>
      <c r="I3836" s="1">
        <f>IF(Query1[[#This Row],[ItemType]]="EVAP KIT SF GEN IV",Query1[[#This Row],[OrderQty]]+I3835,I3835)</f>
        <v>4723</v>
      </c>
      <c r="J3836" s="1">
        <f>IF(Query1[[#This Row],[ItemType]]="EVAP KIT UNIVERSAL",Query1[[#This Row],[OrderQty]]+J3835,J3835)</f>
        <v>1616</v>
      </c>
      <c r="K3836" s="1">
        <f>Query1[[#This Row],[SF Running Total]]+Query1[[#This Row],[UNIV Running Total]]</f>
        <v>6339</v>
      </c>
      <c r="L3836">
        <f>VLOOKUP(Query1[[#This Row],[Description]],'kits to boards'!$B$2:$E$156,2,FALSE)</f>
        <v>830004</v>
      </c>
      <c r="M3836">
        <f>VLOOKUP(Query1[[#This Row],[Description]],'kits to boards'!$B$2:$E$156,3,FALSE)</f>
        <v>0</v>
      </c>
      <c r="N3836">
        <f>VLOOKUP(Query1[[#This Row],[Description]],'kits to boards'!$B$2:$E$156,4,FALSE)</f>
        <v>0</v>
      </c>
      <c r="O3836" t="str">
        <f>CONCATENATE(Query1[[#This Row],[Description]]," - ",Query1[[#This Row],[MB1]]," - ",Query1[[#This Row],[MB2]]," - ",Query1[[#This Row],[MB3]])</f>
        <v>EVAP KIT 81-87 CHEV P-UP W/AC - 830004 - 0 - 0</v>
      </c>
    </row>
    <row r="3837" spans="1:15" x14ac:dyDescent="0.25">
      <c r="A3837" s="1">
        <v>919446</v>
      </c>
      <c r="B3837" s="1" t="s">
        <v>94</v>
      </c>
      <c r="C3837" s="1" t="s">
        <v>95</v>
      </c>
      <c r="D3837" s="2">
        <v>44663.639784525461</v>
      </c>
      <c r="E3837" s="1" t="s">
        <v>8</v>
      </c>
      <c r="F3837" s="1">
        <v>1</v>
      </c>
      <c r="G3837" s="1">
        <v>0</v>
      </c>
      <c r="H3837" s="6">
        <f>INT(Query1[[#This Row],[EntryDateTime]])</f>
        <v>44663</v>
      </c>
      <c r="I3837" s="1">
        <f>IF(Query1[[#This Row],[ItemType]]="EVAP KIT SF GEN IV",Query1[[#This Row],[OrderQty]]+I3836,I3836)</f>
        <v>4724</v>
      </c>
      <c r="J3837" s="1">
        <f>IF(Query1[[#This Row],[ItemType]]="EVAP KIT UNIVERSAL",Query1[[#This Row],[OrderQty]]+J3836,J3836)</f>
        <v>1616</v>
      </c>
      <c r="K3837" s="1">
        <f>Query1[[#This Row],[SF Running Total]]+Query1[[#This Row],[UNIV Running Total]]</f>
        <v>6340</v>
      </c>
      <c r="L3837">
        <f>VLOOKUP(Query1[[#This Row],[Description]],'kits to boards'!$B$2:$E$156,2,FALSE)</f>
        <v>830076</v>
      </c>
      <c r="M3837">
        <f>VLOOKUP(Query1[[#This Row],[Description]],'kits to boards'!$B$2:$E$156,3,FALSE)</f>
        <v>0</v>
      </c>
      <c r="N3837">
        <f>VLOOKUP(Query1[[#This Row],[Description]],'kits to boards'!$B$2:$E$156,4,FALSE)</f>
        <v>0</v>
      </c>
      <c r="O3837" t="str">
        <f>CONCATENATE(Query1[[#This Row],[Description]]," - ",Query1[[#This Row],[MB1]]," - ",Query1[[#This Row],[MB2]]," - ",Query1[[#This Row],[MB3]])</f>
        <v>EVAP KIT 64 1/2- 66 MUSTANG  - 830076 - 0 - 0</v>
      </c>
    </row>
    <row r="3838" spans="1:15" x14ac:dyDescent="0.25">
      <c r="A3838" s="1">
        <v>919446</v>
      </c>
      <c r="B3838" s="1" t="s">
        <v>76</v>
      </c>
      <c r="C3838" s="1" t="s">
        <v>77</v>
      </c>
      <c r="D3838" s="2">
        <v>44663.639798530094</v>
      </c>
      <c r="E3838" s="1" t="s">
        <v>11</v>
      </c>
      <c r="F3838" s="1">
        <v>1</v>
      </c>
      <c r="G3838" s="1">
        <v>0</v>
      </c>
      <c r="H3838" s="6">
        <f>INT(Query1[[#This Row],[EntryDateTime]])</f>
        <v>44663</v>
      </c>
      <c r="I3838" s="1">
        <f>IF(Query1[[#This Row],[ItemType]]="EVAP KIT SF GEN IV",Query1[[#This Row],[OrderQty]]+I3837,I3837)</f>
        <v>4724</v>
      </c>
      <c r="J3838" s="1">
        <f>IF(Query1[[#This Row],[ItemType]]="EVAP KIT UNIVERSAL",Query1[[#This Row],[OrderQty]]+J3837,J3837)</f>
        <v>1617</v>
      </c>
      <c r="K3838" s="1">
        <f>Query1[[#This Row],[SF Running Total]]+Query1[[#This Row],[UNIV Running Total]]</f>
        <v>6341</v>
      </c>
      <c r="L3838">
        <f>VLOOKUP(Query1[[#This Row],[Description]],'kits to boards'!$B$2:$E$156,2,FALSE)</f>
        <v>830099</v>
      </c>
      <c r="M3838">
        <f>VLOOKUP(Query1[[#This Row],[Description]],'kits to boards'!$B$2:$E$156,3,FALSE)</f>
        <v>0</v>
      </c>
      <c r="N3838">
        <f>VLOOKUP(Query1[[#This Row],[Description]],'kits to boards'!$B$2:$E$156,4,FALSE)</f>
        <v>0</v>
      </c>
      <c r="O3838" t="str">
        <f>CONCATENATE(Query1[[#This Row],[Description]]," - ",Query1[[#This Row],[MB1]]," - ",Query1[[#This Row],[MB2]]," - ",Query1[[#This Row],[MB3]])</f>
        <v>MINI GEN II H/C - 830099 - 0 - 0</v>
      </c>
    </row>
    <row r="3839" spans="1:15" x14ac:dyDescent="0.25">
      <c r="A3839" s="1">
        <v>919446</v>
      </c>
      <c r="B3839" s="1" t="s">
        <v>98</v>
      </c>
      <c r="C3839" s="1" t="s">
        <v>99</v>
      </c>
      <c r="D3839" s="2">
        <v>44663.639800381941</v>
      </c>
      <c r="E3839" s="1" t="s">
        <v>11</v>
      </c>
      <c r="F3839" s="1">
        <v>1</v>
      </c>
      <c r="G3839" s="1">
        <v>0</v>
      </c>
      <c r="H3839" s="6">
        <f>INT(Query1[[#This Row],[EntryDateTime]])</f>
        <v>44663</v>
      </c>
      <c r="I3839" s="1">
        <f>IF(Query1[[#This Row],[ItemType]]="EVAP KIT SF GEN IV",Query1[[#This Row],[OrderQty]]+I3838,I3838)</f>
        <v>4724</v>
      </c>
      <c r="J3839" s="1">
        <f>IF(Query1[[#This Row],[ItemType]]="EVAP KIT UNIVERSAL",Query1[[#This Row],[OrderQty]]+J3838,J3838)</f>
        <v>1618</v>
      </c>
      <c r="K3839" s="1">
        <f>Query1[[#This Row],[SF Running Total]]+Query1[[#This Row],[UNIV Running Total]]</f>
        <v>6342</v>
      </c>
      <c r="L3839">
        <f>VLOOKUP(Query1[[#This Row],[Description]],'kits to boards'!$B$2:$E$156,2,FALSE)</f>
        <v>830099</v>
      </c>
      <c r="M3839">
        <f>VLOOKUP(Query1[[#This Row],[Description]],'kits to boards'!$B$2:$E$156,3,FALSE)</f>
        <v>0</v>
      </c>
      <c r="N3839">
        <f>VLOOKUP(Query1[[#This Row],[Description]],'kits to boards'!$B$2:$E$156,4,FALSE)</f>
        <v>0</v>
      </c>
      <c r="O3839" t="str">
        <f>CONCATENATE(Query1[[#This Row],[Description]]," - ",Query1[[#This Row],[MB1]]," - ",Query1[[#This Row],[MB2]]," - ",Query1[[#This Row],[MB3]])</f>
        <v>MINI GEN II W/DEF - 830099 - 0 - 0</v>
      </c>
    </row>
    <row r="3840" spans="1:15" x14ac:dyDescent="0.25">
      <c r="A3840" s="1">
        <v>919446</v>
      </c>
      <c r="B3840" s="1" t="s">
        <v>22</v>
      </c>
      <c r="C3840" s="1" t="s">
        <v>23</v>
      </c>
      <c r="D3840" s="2">
        <v>44663.639802858794</v>
      </c>
      <c r="E3840" s="1" t="s">
        <v>8</v>
      </c>
      <c r="F3840" s="1">
        <v>1</v>
      </c>
      <c r="G3840" s="1">
        <v>0</v>
      </c>
      <c r="H3840" s="6">
        <f>INT(Query1[[#This Row],[EntryDateTime]])</f>
        <v>44663</v>
      </c>
      <c r="I3840" s="1">
        <f>IF(Query1[[#This Row],[ItemType]]="EVAP KIT SF GEN IV",Query1[[#This Row],[OrderQty]]+I3839,I3839)</f>
        <v>4725</v>
      </c>
      <c r="J3840" s="1">
        <f>IF(Query1[[#This Row],[ItemType]]="EVAP KIT UNIVERSAL",Query1[[#This Row],[OrderQty]]+J3839,J3839)</f>
        <v>1618</v>
      </c>
      <c r="K3840" s="1">
        <f>Query1[[#This Row],[SF Running Total]]+Query1[[#This Row],[UNIV Running Total]]</f>
        <v>6343</v>
      </c>
      <c r="L3840">
        <f>VLOOKUP(Query1[[#This Row],[Description]],'kits to boards'!$B$2:$E$156,2,FALSE)</f>
        <v>830083</v>
      </c>
      <c r="M3840">
        <f>VLOOKUP(Query1[[#This Row],[Description]],'kits to boards'!$B$2:$E$156,3,FALSE)</f>
        <v>0</v>
      </c>
      <c r="N3840">
        <f>VLOOKUP(Query1[[#This Row],[Description]],'kits to boards'!$B$2:$E$156,4,FALSE)</f>
        <v>0</v>
      </c>
      <c r="O3840" t="str">
        <f>CONCATENATE(Query1[[#This Row],[Description]]," - ",Query1[[#This Row],[MB1]]," - ",Query1[[#This Row],[MB2]]," - ",Query1[[#This Row],[MB3]])</f>
        <v>GEN IV MAGNUM EVAP KIT - 830083 - 0 - 0</v>
      </c>
    </row>
    <row r="3841" spans="1:15" x14ac:dyDescent="0.25">
      <c r="A3841" s="1">
        <v>919446</v>
      </c>
      <c r="B3841" s="1" t="s">
        <v>24</v>
      </c>
      <c r="C3841" s="1" t="s">
        <v>25</v>
      </c>
      <c r="D3841" s="2">
        <v>44663.639804629631</v>
      </c>
      <c r="E3841" s="1" t="s">
        <v>11</v>
      </c>
      <c r="F3841" s="1">
        <v>1</v>
      </c>
      <c r="G3841" s="1">
        <v>0</v>
      </c>
      <c r="H3841" s="6">
        <f>INT(Query1[[#This Row],[EntryDateTime]])</f>
        <v>44663</v>
      </c>
      <c r="I3841" s="1">
        <f>IF(Query1[[#This Row],[ItemType]]="EVAP KIT SF GEN IV",Query1[[#This Row],[OrderQty]]+I3840,I3840)</f>
        <v>4725</v>
      </c>
      <c r="J3841" s="1">
        <f>IF(Query1[[#This Row],[ItemType]]="EVAP KIT UNIVERSAL",Query1[[#This Row],[OrderQty]]+J3840,J3840)</f>
        <v>1619</v>
      </c>
      <c r="K3841" s="1">
        <f>Query1[[#This Row],[SF Running Total]]+Query1[[#This Row],[UNIV Running Total]]</f>
        <v>6344</v>
      </c>
      <c r="L3841">
        <f>VLOOKUP(Query1[[#This Row],[Description]],'kits to boards'!$B$2:$E$156,2,FALSE)</f>
        <v>830029</v>
      </c>
      <c r="M3841">
        <f>VLOOKUP(Query1[[#This Row],[Description]],'kits to boards'!$B$2:$E$156,3,FALSE)</f>
        <v>830030</v>
      </c>
      <c r="N3841">
        <f>VLOOKUP(Query1[[#This Row],[Description]],'kits to boards'!$B$2:$E$156,4,FALSE)</f>
        <v>0</v>
      </c>
      <c r="O3841" t="str">
        <f>CONCATENATE(Query1[[#This Row],[Description]]," - ",Query1[[#This Row],[MB1]]," - ",Query1[[#This Row],[MB2]]," - ",Query1[[#This Row],[MB3]])</f>
        <v>ComPac GEN II W/DEF - 830029 - 830030 - 0</v>
      </c>
    </row>
    <row r="3842" spans="1:15" x14ac:dyDescent="0.25">
      <c r="A3842" s="1">
        <v>919113</v>
      </c>
      <c r="B3842" s="1" t="s">
        <v>166</v>
      </c>
      <c r="C3842" s="1" t="s">
        <v>167</v>
      </c>
      <c r="D3842" s="2">
        <v>44663.64956755787</v>
      </c>
      <c r="E3842" s="1" t="s">
        <v>8</v>
      </c>
      <c r="F3842" s="1">
        <v>1</v>
      </c>
      <c r="G3842" s="1">
        <v>0</v>
      </c>
      <c r="H3842" s="6">
        <f>INT(Query1[[#This Row],[EntryDateTime]])</f>
        <v>44663</v>
      </c>
      <c r="I3842" s="1">
        <f>IF(Query1[[#This Row],[ItemType]]="EVAP KIT SF GEN IV",Query1[[#This Row],[OrderQty]]+I3841,I3841)</f>
        <v>4726</v>
      </c>
      <c r="J3842" s="1">
        <f>IF(Query1[[#This Row],[ItemType]]="EVAP KIT UNIVERSAL",Query1[[#This Row],[OrderQty]]+J3841,J3841)</f>
        <v>1619</v>
      </c>
      <c r="K3842" s="1">
        <f>Query1[[#This Row],[SF Running Total]]+Query1[[#This Row],[UNIV Running Total]]</f>
        <v>6345</v>
      </c>
      <c r="L3842">
        <f>VLOOKUP(Query1[[#This Row],[Description]],'kits to boards'!$B$2:$E$156,2,FALSE)</f>
        <v>830063</v>
      </c>
      <c r="M3842">
        <f>VLOOKUP(Query1[[#This Row],[Description]],'kits to boards'!$B$2:$E$156,3,FALSE)</f>
        <v>0</v>
      </c>
      <c r="N3842">
        <f>VLOOKUP(Query1[[#This Row],[Description]],'kits to boards'!$B$2:$E$156,4,FALSE)</f>
        <v>0</v>
      </c>
      <c r="O3842" t="str">
        <f>CONCATENATE(Query1[[#This Row],[Description]]," - ",Query1[[#This Row],[MB1]]," - ",Query1[[#This Row],[MB2]]," - ",Query1[[#This Row],[MB3]])</f>
        <v>EVAP KIT 47-49 CHEV P-UP GEN IV - 830063 - 0 - 0</v>
      </c>
    </row>
    <row r="3843" spans="1:15" x14ac:dyDescent="0.25">
      <c r="A3843" s="1">
        <v>919417</v>
      </c>
      <c r="B3843" s="1" t="s">
        <v>124</v>
      </c>
      <c r="C3843" s="1" t="s">
        <v>125</v>
      </c>
      <c r="D3843" s="2">
        <v>44663.653963738427</v>
      </c>
      <c r="E3843" s="1" t="s">
        <v>8</v>
      </c>
      <c r="F3843" s="1">
        <v>1</v>
      </c>
      <c r="G3843" s="1">
        <v>0</v>
      </c>
      <c r="H3843" s="6">
        <f>INT(Query1[[#This Row],[EntryDateTime]])</f>
        <v>44663</v>
      </c>
      <c r="I3843" s="1">
        <f>IF(Query1[[#This Row],[ItemType]]="EVAP KIT SF GEN IV",Query1[[#This Row],[OrderQty]]+I3842,I3842)</f>
        <v>4727</v>
      </c>
      <c r="J3843" s="1">
        <f>IF(Query1[[#This Row],[ItemType]]="EVAP KIT UNIVERSAL",Query1[[#This Row],[OrderQty]]+J3842,J3842)</f>
        <v>1619</v>
      </c>
      <c r="K3843" s="1">
        <f>Query1[[#This Row],[SF Running Total]]+Query1[[#This Row],[UNIV Running Total]]</f>
        <v>6346</v>
      </c>
      <c r="L3843">
        <f>VLOOKUP(Query1[[#This Row],[Description]],'kits to boards'!$B$2:$E$156,2,FALSE)</f>
        <v>830002</v>
      </c>
      <c r="M3843">
        <f>VLOOKUP(Query1[[#This Row],[Description]],'kits to boards'!$B$2:$E$156,3,FALSE)</f>
        <v>0</v>
      </c>
      <c r="N3843">
        <f>VLOOKUP(Query1[[#This Row],[Description]],'kits to boards'!$B$2:$E$156,4,FALSE)</f>
        <v>0</v>
      </c>
      <c r="O3843" t="str">
        <f>CONCATENATE(Query1[[#This Row],[Description]]," - ",Query1[[#This Row],[MB1]]," - ",Query1[[#This Row],[MB2]]," - ",Query1[[#This Row],[MB3]])</f>
        <v>EVAP KIT 73-80 CHEV P-UP WO AC - 830002 - 0 - 0</v>
      </c>
    </row>
    <row r="3844" spans="1:15" x14ac:dyDescent="0.25">
      <c r="A3844" s="1">
        <v>918480</v>
      </c>
      <c r="B3844" s="1" t="s">
        <v>74</v>
      </c>
      <c r="C3844" s="1" t="s">
        <v>75</v>
      </c>
      <c r="D3844" s="2">
        <v>44663.654123032407</v>
      </c>
      <c r="E3844" s="1" t="s">
        <v>8</v>
      </c>
      <c r="F3844" s="1">
        <v>1</v>
      </c>
      <c r="G3844" s="1">
        <v>0</v>
      </c>
      <c r="H3844" s="6">
        <f>INT(Query1[[#This Row],[EntryDateTime]])</f>
        <v>44663</v>
      </c>
      <c r="I3844" s="1">
        <f>IF(Query1[[#This Row],[ItemType]]="EVAP KIT SF GEN IV",Query1[[#This Row],[OrderQty]]+I3843,I3843)</f>
        <v>4728</v>
      </c>
      <c r="J3844" s="1">
        <f>IF(Query1[[#This Row],[ItemType]]="EVAP KIT UNIVERSAL",Query1[[#This Row],[OrderQty]]+J3843,J3843)</f>
        <v>1619</v>
      </c>
      <c r="K3844" s="1">
        <f>Query1[[#This Row],[SF Running Total]]+Query1[[#This Row],[UNIV Running Total]]</f>
        <v>6347</v>
      </c>
      <c r="L3844">
        <f>VLOOKUP(Query1[[#This Row],[Description]],'kits to boards'!$B$2:$E$156,2,FALSE)</f>
        <v>830065</v>
      </c>
      <c r="M3844">
        <f>VLOOKUP(Query1[[#This Row],[Description]],'kits to boards'!$B$2:$E$156,3,FALSE)</f>
        <v>0</v>
      </c>
      <c r="N3844">
        <f>VLOOKUP(Query1[[#This Row],[Description]],'kits to boards'!$B$2:$E$156,4,FALSE)</f>
        <v>0</v>
      </c>
      <c r="O3844" t="str">
        <f>CONCATENATE(Query1[[#This Row],[Description]]," - ",Query1[[#This Row],[MB1]]," - ",Query1[[#This Row],[MB2]]," - ",Query1[[#This Row],[MB3]])</f>
        <v>EVAP KIT 57 CHEV WO AC 4-VENT PLENUM - 830065 - 0 - 0</v>
      </c>
    </row>
    <row r="3845" spans="1:15" x14ac:dyDescent="0.25">
      <c r="A3845" s="1">
        <v>919455</v>
      </c>
      <c r="B3845" s="1" t="s">
        <v>120</v>
      </c>
      <c r="C3845" s="1" t="s">
        <v>121</v>
      </c>
      <c r="D3845" s="2">
        <v>44663.656503935184</v>
      </c>
      <c r="E3845" s="1" t="s">
        <v>8</v>
      </c>
      <c r="F3845" s="1">
        <v>1</v>
      </c>
      <c r="G3845" s="1">
        <v>0</v>
      </c>
      <c r="H3845" s="6">
        <f>INT(Query1[[#This Row],[EntryDateTime]])</f>
        <v>44663</v>
      </c>
      <c r="I3845" s="1">
        <f>IF(Query1[[#This Row],[ItemType]]="EVAP KIT SF GEN IV",Query1[[#This Row],[OrderQty]]+I3844,I3844)</f>
        <v>4729</v>
      </c>
      <c r="J3845" s="1">
        <f>IF(Query1[[#This Row],[ItemType]]="EVAP KIT UNIVERSAL",Query1[[#This Row],[OrderQty]]+J3844,J3844)</f>
        <v>1619</v>
      </c>
      <c r="K3845" s="1">
        <f>Query1[[#This Row],[SF Running Total]]+Query1[[#This Row],[UNIV Running Total]]</f>
        <v>6348</v>
      </c>
      <c r="L3845">
        <f>VLOOKUP(Query1[[#This Row],[Description]],'kits to boards'!$B$2:$E$156,2,FALSE)</f>
        <v>830014</v>
      </c>
      <c r="M3845">
        <f>VLOOKUP(Query1[[#This Row],[Description]],'kits to boards'!$B$2:$E$156,3,FALSE)</f>
        <v>0</v>
      </c>
      <c r="N3845">
        <f>VLOOKUP(Query1[[#This Row],[Description]],'kits to boards'!$B$2:$E$156,4,FALSE)</f>
        <v>0</v>
      </c>
      <c r="O3845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3846" spans="1:15" x14ac:dyDescent="0.25">
      <c r="A3846" s="1">
        <v>918809</v>
      </c>
      <c r="B3846" s="1" t="s">
        <v>34</v>
      </c>
      <c r="C3846" s="1" t="s">
        <v>35</v>
      </c>
      <c r="D3846" s="2">
        <v>44663.659500266207</v>
      </c>
      <c r="E3846" s="1" t="s">
        <v>8</v>
      </c>
      <c r="F3846" s="1">
        <v>1</v>
      </c>
      <c r="G3846" s="1">
        <v>0</v>
      </c>
      <c r="H3846" s="6">
        <f>INT(Query1[[#This Row],[EntryDateTime]])</f>
        <v>44663</v>
      </c>
      <c r="I3846" s="1">
        <f>IF(Query1[[#This Row],[ItemType]]="EVAP KIT SF GEN IV",Query1[[#This Row],[OrderQty]]+I3845,I3845)</f>
        <v>4730</v>
      </c>
      <c r="J3846" s="1">
        <f>IF(Query1[[#This Row],[ItemType]]="EVAP KIT UNIVERSAL",Query1[[#This Row],[OrderQty]]+J3845,J3845)</f>
        <v>1619</v>
      </c>
      <c r="K3846" s="1">
        <f>Query1[[#This Row],[SF Running Total]]+Query1[[#This Row],[UNIV Running Total]]</f>
        <v>6349</v>
      </c>
      <c r="L3846">
        <f>VLOOKUP(Query1[[#This Row],[Description]],'kits to boards'!$B$2:$E$156,2,FALSE)</f>
        <v>830065</v>
      </c>
      <c r="M3846">
        <f>VLOOKUP(Query1[[#This Row],[Description]],'kits to boards'!$B$2:$E$156,3,FALSE)</f>
        <v>0</v>
      </c>
      <c r="N3846">
        <f>VLOOKUP(Query1[[#This Row],[Description]],'kits to boards'!$B$2:$E$156,4,FALSE)</f>
        <v>0</v>
      </c>
      <c r="O3846" t="str">
        <f>CONCATENATE(Query1[[#This Row],[Description]]," - ",Query1[[#This Row],[MB1]]," - ",Query1[[#This Row],[MB2]]," - ",Query1[[#This Row],[MB3]])</f>
        <v>EVAP KIT 57 CHEV WO AC - 830065 - 0 - 0</v>
      </c>
    </row>
    <row r="3847" spans="1:15" x14ac:dyDescent="0.25">
      <c r="A3847" s="1">
        <v>919411</v>
      </c>
      <c r="B3847" s="1" t="s">
        <v>126</v>
      </c>
      <c r="C3847" s="1" t="s">
        <v>127</v>
      </c>
      <c r="D3847" s="2">
        <v>44663.661407789354</v>
      </c>
      <c r="E3847" s="1" t="s">
        <v>8</v>
      </c>
      <c r="F3847" s="1">
        <v>1</v>
      </c>
      <c r="G3847" s="1">
        <v>0</v>
      </c>
      <c r="H3847" s="6">
        <f>INT(Query1[[#This Row],[EntryDateTime]])</f>
        <v>44663</v>
      </c>
      <c r="I3847" s="1">
        <f>IF(Query1[[#This Row],[ItemType]]="EVAP KIT SF GEN IV",Query1[[#This Row],[OrderQty]]+I3846,I3846)</f>
        <v>4731</v>
      </c>
      <c r="J3847" s="1">
        <f>IF(Query1[[#This Row],[ItemType]]="EVAP KIT UNIVERSAL",Query1[[#This Row],[OrderQty]]+J3846,J3846)</f>
        <v>1619</v>
      </c>
      <c r="K3847" s="1">
        <f>Query1[[#This Row],[SF Running Total]]+Query1[[#This Row],[UNIV Running Total]]</f>
        <v>6350</v>
      </c>
      <c r="L3847">
        <f>VLOOKUP(Query1[[#This Row],[Description]],'kits to boards'!$B$2:$E$156,2,FALSE)</f>
        <v>830080</v>
      </c>
      <c r="M3847">
        <f>VLOOKUP(Query1[[#This Row],[Description]],'kits to boards'!$B$2:$E$156,3,FALSE)</f>
        <v>0</v>
      </c>
      <c r="N3847">
        <f>VLOOKUP(Query1[[#This Row],[Description]],'kits to boards'!$B$2:$E$156,4,FALSE)</f>
        <v>0</v>
      </c>
      <c r="O3847" t="str">
        <f>CONCATENATE(Query1[[#This Row],[Description]]," - ",Query1[[#This Row],[MB1]]," - ",Query1[[#This Row],[MB2]]," - ",Query1[[#This Row],[MB3]])</f>
        <v>EVAP KIT 69-70 MUSTANG WO AC  - 830080 - 0 - 0</v>
      </c>
    </row>
    <row r="3848" spans="1:15" x14ac:dyDescent="0.25">
      <c r="A3848" s="1">
        <v>919458</v>
      </c>
      <c r="B3848" s="1" t="s">
        <v>36</v>
      </c>
      <c r="C3848" s="1" t="s">
        <v>37</v>
      </c>
      <c r="D3848" s="2">
        <v>44663.664335266207</v>
      </c>
      <c r="E3848" s="1" t="s">
        <v>8</v>
      </c>
      <c r="F3848" s="1">
        <v>1</v>
      </c>
      <c r="G3848" s="1">
        <v>0</v>
      </c>
      <c r="H3848" s="6">
        <f>INT(Query1[[#This Row],[EntryDateTime]])</f>
        <v>44663</v>
      </c>
      <c r="I3848" s="1">
        <f>IF(Query1[[#This Row],[ItemType]]="EVAP KIT SF GEN IV",Query1[[#This Row],[OrderQty]]+I3847,I3847)</f>
        <v>4732</v>
      </c>
      <c r="J3848" s="1">
        <f>IF(Query1[[#This Row],[ItemType]]="EVAP KIT UNIVERSAL",Query1[[#This Row],[OrderQty]]+J3847,J3847)</f>
        <v>1619</v>
      </c>
      <c r="K3848" s="1">
        <f>Query1[[#This Row],[SF Running Total]]+Query1[[#This Row],[UNIV Running Total]]</f>
        <v>6351</v>
      </c>
      <c r="L3848">
        <f>VLOOKUP(Query1[[#This Row],[Description]],'kits to boards'!$B$2:$E$156,2,FALSE)</f>
        <v>830015</v>
      </c>
      <c r="M3848">
        <f>VLOOKUP(Query1[[#This Row],[Description]],'kits to boards'!$B$2:$E$156,3,FALSE)</f>
        <v>0</v>
      </c>
      <c r="N3848">
        <f>VLOOKUP(Query1[[#This Row],[Description]],'kits to boards'!$B$2:$E$156,4,FALSE)</f>
        <v>0</v>
      </c>
      <c r="O3848" t="str">
        <f>CONCATENATE(Query1[[#This Row],[Description]]," - ",Query1[[#This Row],[MB1]]," - ",Query1[[#This Row],[MB2]]," - ",Query1[[#This Row],[MB3]])</f>
        <v>EVAP KIT 64-66 CHEV P-UP WO AC W/STD - 830015 - 0 - 0</v>
      </c>
    </row>
    <row r="3849" spans="1:15" x14ac:dyDescent="0.25">
      <c r="A3849" s="1">
        <v>919461</v>
      </c>
      <c r="B3849" s="1" t="s">
        <v>106</v>
      </c>
      <c r="C3849" s="1" t="s">
        <v>107</v>
      </c>
      <c r="D3849" s="2">
        <v>44663.670839004626</v>
      </c>
      <c r="E3849" s="1" t="s">
        <v>8</v>
      </c>
      <c r="F3849" s="1">
        <v>1</v>
      </c>
      <c r="G3849" s="1">
        <v>0</v>
      </c>
      <c r="H3849" s="6">
        <f>INT(Query1[[#This Row],[EntryDateTime]])</f>
        <v>44663</v>
      </c>
      <c r="I3849" s="1">
        <f>IF(Query1[[#This Row],[ItemType]]="EVAP KIT SF GEN IV",Query1[[#This Row],[OrderQty]]+I3848,I3848)</f>
        <v>4733</v>
      </c>
      <c r="J3849" s="1">
        <f>IF(Query1[[#This Row],[ItemType]]="EVAP KIT UNIVERSAL",Query1[[#This Row],[OrderQty]]+J3848,J3848)</f>
        <v>1619</v>
      </c>
      <c r="K3849" s="1">
        <f>Query1[[#This Row],[SF Running Total]]+Query1[[#This Row],[UNIV Running Total]]</f>
        <v>6352</v>
      </c>
      <c r="L3849">
        <f>VLOOKUP(Query1[[#This Row],[Description]],'kits to boards'!$B$2:$E$156,2,FALSE)</f>
        <v>830028</v>
      </c>
      <c r="M3849">
        <f>VLOOKUP(Query1[[#This Row],[Description]],'kits to boards'!$B$2:$E$156,3,FALSE)</f>
        <v>0</v>
      </c>
      <c r="N3849">
        <f>VLOOKUP(Query1[[#This Row],[Description]],'kits to boards'!$B$2:$E$156,4,FALSE)</f>
        <v>0</v>
      </c>
      <c r="O3849" t="str">
        <f>CONCATENATE(Query1[[#This Row],[Description]]," - ",Query1[[#This Row],[MB1]]," - ",Query1[[#This Row],[MB2]]," - ",Query1[[#This Row],[MB3]])</f>
        <v>EVAP KIT 55-59 CHEV P-UP WO AC W/DELX - 830028 - 0 - 0</v>
      </c>
    </row>
    <row r="3850" spans="1:15" x14ac:dyDescent="0.25">
      <c r="A3850" s="1">
        <v>919463</v>
      </c>
      <c r="B3850" s="1" t="s">
        <v>18</v>
      </c>
      <c r="C3850" s="1" t="s">
        <v>19</v>
      </c>
      <c r="D3850" s="2">
        <v>44663.677687928241</v>
      </c>
      <c r="E3850" s="1" t="s">
        <v>8</v>
      </c>
      <c r="F3850" s="1">
        <v>1</v>
      </c>
      <c r="G3850" s="1">
        <v>0</v>
      </c>
      <c r="H3850" s="6">
        <f>INT(Query1[[#This Row],[EntryDateTime]])</f>
        <v>44663</v>
      </c>
      <c r="I3850" s="1">
        <f>IF(Query1[[#This Row],[ItemType]]="EVAP KIT SF GEN IV",Query1[[#This Row],[OrderQty]]+I3849,I3849)</f>
        <v>4734</v>
      </c>
      <c r="J3850" s="1">
        <f>IF(Query1[[#This Row],[ItemType]]="EVAP KIT UNIVERSAL",Query1[[#This Row],[OrderQty]]+J3849,J3849)</f>
        <v>1619</v>
      </c>
      <c r="K3850" s="1">
        <f>Query1[[#This Row],[SF Running Total]]+Query1[[#This Row],[UNIV Running Total]]</f>
        <v>6353</v>
      </c>
      <c r="L3850">
        <f>VLOOKUP(Query1[[#This Row],[Description]],'kits to boards'!$B$2:$E$156,2,FALSE)</f>
        <v>830051</v>
      </c>
      <c r="M3850">
        <f>VLOOKUP(Query1[[#This Row],[Description]],'kits to boards'!$B$2:$E$156,3,FALSE)</f>
        <v>0</v>
      </c>
      <c r="N3850">
        <f>VLOOKUP(Query1[[#This Row],[Description]],'kits to boards'!$B$2:$E$156,4,FALSE)</f>
        <v>0</v>
      </c>
      <c r="O3850" t="str">
        <f>CONCATENATE(Query1[[#This Row],[Description]]," - ",Query1[[#This Row],[MB1]]," - ",Query1[[#This Row],[MB2]]," - ",Query1[[#This Row],[MB3]])</f>
        <v>EVAP KIT 70-78 CAMARO W/AC - 830051 - 0 - 0</v>
      </c>
    </row>
    <row r="3851" spans="1:15" x14ac:dyDescent="0.25">
      <c r="A3851" s="1">
        <v>919467</v>
      </c>
      <c r="B3851" s="1" t="s">
        <v>36</v>
      </c>
      <c r="C3851" s="1" t="s">
        <v>37</v>
      </c>
      <c r="D3851" s="2">
        <v>44663.688245949073</v>
      </c>
      <c r="E3851" s="1" t="s">
        <v>8</v>
      </c>
      <c r="F3851" s="1">
        <v>1</v>
      </c>
      <c r="G3851" s="1">
        <v>0</v>
      </c>
      <c r="H3851" s="6">
        <f>INT(Query1[[#This Row],[EntryDateTime]])</f>
        <v>44663</v>
      </c>
      <c r="I3851" s="1">
        <f>IF(Query1[[#This Row],[ItemType]]="EVAP KIT SF GEN IV",Query1[[#This Row],[OrderQty]]+I3850,I3850)</f>
        <v>4735</v>
      </c>
      <c r="J3851" s="1">
        <f>IF(Query1[[#This Row],[ItemType]]="EVAP KIT UNIVERSAL",Query1[[#This Row],[OrderQty]]+J3850,J3850)</f>
        <v>1619</v>
      </c>
      <c r="K3851" s="1">
        <f>Query1[[#This Row],[SF Running Total]]+Query1[[#This Row],[UNIV Running Total]]</f>
        <v>6354</v>
      </c>
      <c r="L3851">
        <f>VLOOKUP(Query1[[#This Row],[Description]],'kits to boards'!$B$2:$E$156,2,FALSE)</f>
        <v>830015</v>
      </c>
      <c r="M3851">
        <f>VLOOKUP(Query1[[#This Row],[Description]],'kits to boards'!$B$2:$E$156,3,FALSE)</f>
        <v>0</v>
      </c>
      <c r="N3851">
        <f>VLOOKUP(Query1[[#This Row],[Description]],'kits to boards'!$B$2:$E$156,4,FALSE)</f>
        <v>0</v>
      </c>
      <c r="O3851" t="str">
        <f>CONCATENATE(Query1[[#This Row],[Description]]," - ",Query1[[#This Row],[MB1]]," - ",Query1[[#This Row],[MB2]]," - ",Query1[[#This Row],[MB3]])</f>
        <v>EVAP KIT 64-66 CHEV P-UP WO AC W/STD - 830015 - 0 - 0</v>
      </c>
    </row>
    <row r="3852" spans="1:15" x14ac:dyDescent="0.25">
      <c r="A3852" s="1">
        <v>919468</v>
      </c>
      <c r="B3852" s="1" t="s">
        <v>128</v>
      </c>
      <c r="C3852" s="1" t="s">
        <v>129</v>
      </c>
      <c r="D3852" s="2">
        <v>44663.690786076389</v>
      </c>
      <c r="E3852" s="1" t="s">
        <v>8</v>
      </c>
      <c r="F3852" s="1">
        <v>1</v>
      </c>
      <c r="G3852" s="1">
        <v>0</v>
      </c>
      <c r="H3852" s="6">
        <f>INT(Query1[[#This Row],[EntryDateTime]])</f>
        <v>44663</v>
      </c>
      <c r="I3852" s="1">
        <f>IF(Query1[[#This Row],[ItemType]]="EVAP KIT SF GEN IV",Query1[[#This Row],[OrderQty]]+I3851,I3851)</f>
        <v>4736</v>
      </c>
      <c r="J3852" s="1">
        <f>IF(Query1[[#This Row],[ItemType]]="EVAP KIT UNIVERSAL",Query1[[#This Row],[OrderQty]]+J3851,J3851)</f>
        <v>1619</v>
      </c>
      <c r="K3852" s="1">
        <f>Query1[[#This Row],[SF Running Total]]+Query1[[#This Row],[UNIV Running Total]]</f>
        <v>6355</v>
      </c>
      <c r="L3852">
        <f>VLOOKUP(Query1[[#This Row],[Description]],'kits to boards'!$B$2:$E$156,2,FALSE)</f>
        <v>830036</v>
      </c>
      <c r="M3852">
        <f>VLOOKUP(Query1[[#This Row],[Description]],'kits to boards'!$B$2:$E$156,3,FALSE)</f>
        <v>830039</v>
      </c>
      <c r="N3852">
        <f>VLOOKUP(Query1[[#This Row],[Description]],'kits to boards'!$B$2:$E$156,4,FALSE)</f>
        <v>0</v>
      </c>
      <c r="O3852" t="str">
        <f>CONCATENATE(Query1[[#This Row],[Description]]," - ",Query1[[#This Row],[MB1]]," - ",Query1[[#This Row],[MB2]]," - ",Query1[[#This Row],[MB3]])</f>
        <v>EVAP KIT 63-66 VETTE WO AC - 830036 - 830039 - 0</v>
      </c>
    </row>
    <row r="3853" spans="1:15" x14ac:dyDescent="0.25">
      <c r="A3853" s="1">
        <v>919403</v>
      </c>
      <c r="B3853" s="1" t="s">
        <v>68</v>
      </c>
      <c r="C3853" s="1" t="s">
        <v>69</v>
      </c>
      <c r="D3853" s="2">
        <v>44663.695729479165</v>
      </c>
      <c r="E3853" s="1" t="s">
        <v>8</v>
      </c>
      <c r="F3853" s="1">
        <v>1</v>
      </c>
      <c r="G3853" s="1">
        <v>0</v>
      </c>
      <c r="H3853" s="6">
        <f>INT(Query1[[#This Row],[EntryDateTime]])</f>
        <v>44663</v>
      </c>
      <c r="I3853" s="1">
        <f>IF(Query1[[#This Row],[ItemType]]="EVAP KIT SF GEN IV",Query1[[#This Row],[OrderQty]]+I3852,I3852)</f>
        <v>4737</v>
      </c>
      <c r="J3853" s="1">
        <f>IF(Query1[[#This Row],[ItemType]]="EVAP KIT UNIVERSAL",Query1[[#This Row],[OrderQty]]+J3852,J3852)</f>
        <v>1619</v>
      </c>
      <c r="K3853" s="1">
        <f>Query1[[#This Row],[SF Running Total]]+Query1[[#This Row],[UNIV Running Total]]</f>
        <v>6356</v>
      </c>
      <c r="L3853">
        <f>VLOOKUP(Query1[[#This Row],[Description]],'kits to boards'!$B$2:$E$156,2,FALSE)</f>
        <v>830010</v>
      </c>
      <c r="M3853">
        <f>VLOOKUP(Query1[[#This Row],[Description]],'kits to boards'!$B$2:$E$156,3,FALSE)</f>
        <v>0</v>
      </c>
      <c r="N3853">
        <f>VLOOKUP(Query1[[#This Row],[Description]],'kits to boards'!$B$2:$E$156,4,FALSE)</f>
        <v>0</v>
      </c>
      <c r="O3853" t="str">
        <f>CONCATENATE(Query1[[#This Row],[Description]]," - ",Query1[[#This Row],[MB1]]," - ",Query1[[#This Row],[MB2]]," - ",Query1[[#This Row],[MB3]])</f>
        <v>EVAP KIT 70-72 CHEVELLE WO AC - 830010 - 0 - 0</v>
      </c>
    </row>
    <row r="3854" spans="1:15" x14ac:dyDescent="0.25">
      <c r="A3854" s="1">
        <v>919471</v>
      </c>
      <c r="B3854" s="1" t="s">
        <v>44</v>
      </c>
      <c r="C3854" s="1" t="s">
        <v>45</v>
      </c>
      <c r="D3854" s="2">
        <v>44663.696169988427</v>
      </c>
      <c r="E3854" s="1" t="s">
        <v>8</v>
      </c>
      <c r="F3854" s="1">
        <v>1</v>
      </c>
      <c r="G3854" s="1">
        <v>0</v>
      </c>
      <c r="H3854" s="6">
        <f>INT(Query1[[#This Row],[EntryDateTime]])</f>
        <v>44663</v>
      </c>
      <c r="I3854" s="1">
        <f>IF(Query1[[#This Row],[ItemType]]="EVAP KIT SF GEN IV",Query1[[#This Row],[OrderQty]]+I3853,I3853)</f>
        <v>4738</v>
      </c>
      <c r="J3854" s="1">
        <f>IF(Query1[[#This Row],[ItemType]]="EVAP KIT UNIVERSAL",Query1[[#This Row],[OrderQty]]+J3853,J3853)</f>
        <v>1619</v>
      </c>
      <c r="K3854" s="1">
        <f>Query1[[#This Row],[SF Running Total]]+Query1[[#This Row],[UNIV Running Total]]</f>
        <v>6357</v>
      </c>
      <c r="L3854">
        <f>VLOOKUP(Query1[[#This Row],[Description]],'kits to boards'!$B$2:$E$156,2,FALSE)</f>
        <v>830085</v>
      </c>
      <c r="M3854">
        <f>VLOOKUP(Query1[[#This Row],[Description]],'kits to boards'!$B$2:$E$156,3,FALSE)</f>
        <v>0</v>
      </c>
      <c r="N3854">
        <f>VLOOKUP(Query1[[#This Row],[Description]],'kits to boards'!$B$2:$E$156,4,FALSE)</f>
        <v>0</v>
      </c>
      <c r="O3854" t="str">
        <f>CONCATENATE(Query1[[#This Row],[Description]]," - ",Query1[[#This Row],[MB1]]," - ",Query1[[#This Row],[MB2]]," - ",Query1[[#This Row],[MB3]])</f>
        <v>EVAP KIT 66-77 BRONCO - 830085 - 0 - 0</v>
      </c>
    </row>
    <row r="3855" spans="1:15" x14ac:dyDescent="0.25">
      <c r="A3855" s="1">
        <v>919473</v>
      </c>
      <c r="B3855" s="1" t="s">
        <v>20</v>
      </c>
      <c r="C3855" s="1" t="s">
        <v>21</v>
      </c>
      <c r="D3855" s="2">
        <v>44663.697930439812</v>
      </c>
      <c r="E3855" s="1" t="s">
        <v>11</v>
      </c>
      <c r="F3855" s="1">
        <v>5</v>
      </c>
      <c r="G3855" s="1">
        <v>0</v>
      </c>
      <c r="H3855" s="6">
        <f>INT(Query1[[#This Row],[EntryDateTime]])</f>
        <v>44663</v>
      </c>
      <c r="I3855" s="1">
        <f>IF(Query1[[#This Row],[ItemType]]="EVAP KIT SF GEN IV",Query1[[#This Row],[OrderQty]]+I3854,I3854)</f>
        <v>4738</v>
      </c>
      <c r="J3855" s="1">
        <f>IF(Query1[[#This Row],[ItemType]]="EVAP KIT UNIVERSAL",Query1[[#This Row],[OrderQty]]+J3854,J3854)</f>
        <v>1624</v>
      </c>
      <c r="K3855" s="1">
        <f>Query1[[#This Row],[SF Running Total]]+Query1[[#This Row],[UNIV Running Total]]</f>
        <v>6362</v>
      </c>
      <c r="L3855">
        <f>VLOOKUP(Query1[[#This Row],[Description]],'kits to boards'!$B$2:$E$156,2,FALSE)</f>
        <v>830102</v>
      </c>
      <c r="M3855">
        <f>VLOOKUP(Query1[[#This Row],[Description]],'kits to boards'!$B$2:$E$156,3,FALSE)</f>
        <v>0</v>
      </c>
      <c r="N3855">
        <f>VLOOKUP(Query1[[#This Row],[Description]],'kits to boards'!$B$2:$E$156,4,FALSE)</f>
        <v>0</v>
      </c>
      <c r="O3855" t="str">
        <f>CONCATENATE(Query1[[#This Row],[Description]]," - ",Query1[[#This Row],[MB1]]," - ",Query1[[#This Row],[MB2]]," - ",Query1[[#This Row],[MB3]])</f>
        <v>SUPER GEN II W/DEF - 830102 - 0 - 0</v>
      </c>
    </row>
    <row r="3856" spans="1:15" x14ac:dyDescent="0.25">
      <c r="A3856" s="1">
        <v>919473</v>
      </c>
      <c r="B3856" s="1" t="s">
        <v>22</v>
      </c>
      <c r="C3856" s="1" t="s">
        <v>23</v>
      </c>
      <c r="D3856" s="2">
        <v>44663.698125381947</v>
      </c>
      <c r="E3856" s="1" t="s">
        <v>8</v>
      </c>
      <c r="F3856" s="1">
        <v>5</v>
      </c>
      <c r="G3856" s="1">
        <v>0</v>
      </c>
      <c r="H3856" s="6">
        <f>INT(Query1[[#This Row],[EntryDateTime]])</f>
        <v>44663</v>
      </c>
      <c r="I3856" s="1">
        <f>IF(Query1[[#This Row],[ItemType]]="EVAP KIT SF GEN IV",Query1[[#This Row],[OrderQty]]+I3855,I3855)</f>
        <v>4743</v>
      </c>
      <c r="J3856" s="1">
        <f>IF(Query1[[#This Row],[ItemType]]="EVAP KIT UNIVERSAL",Query1[[#This Row],[OrderQty]]+J3855,J3855)</f>
        <v>1624</v>
      </c>
      <c r="K3856" s="1">
        <f>Query1[[#This Row],[SF Running Total]]+Query1[[#This Row],[UNIV Running Total]]</f>
        <v>6367</v>
      </c>
      <c r="L3856">
        <f>VLOOKUP(Query1[[#This Row],[Description]],'kits to boards'!$B$2:$E$156,2,FALSE)</f>
        <v>830083</v>
      </c>
      <c r="M3856">
        <f>VLOOKUP(Query1[[#This Row],[Description]],'kits to boards'!$B$2:$E$156,3,FALSE)</f>
        <v>0</v>
      </c>
      <c r="N3856">
        <f>VLOOKUP(Query1[[#This Row],[Description]],'kits to boards'!$B$2:$E$156,4,FALSE)</f>
        <v>0</v>
      </c>
      <c r="O3856" t="str">
        <f>CONCATENATE(Query1[[#This Row],[Description]]," - ",Query1[[#This Row],[MB1]]," - ",Query1[[#This Row],[MB2]]," - ",Query1[[#This Row],[MB3]])</f>
        <v>GEN IV MAGNUM EVAP KIT - 830083 - 0 - 0</v>
      </c>
    </row>
    <row r="3857" spans="1:15" x14ac:dyDescent="0.25">
      <c r="A3857" s="1">
        <v>918545</v>
      </c>
      <c r="B3857" s="1" t="s">
        <v>62</v>
      </c>
      <c r="C3857" s="1" t="s">
        <v>63</v>
      </c>
      <c r="D3857" s="2">
        <v>44663.705137696757</v>
      </c>
      <c r="E3857" s="1" t="s">
        <v>8</v>
      </c>
      <c r="F3857" s="1">
        <v>1</v>
      </c>
      <c r="G3857" s="1">
        <v>0</v>
      </c>
      <c r="H3857" s="6">
        <f>INT(Query1[[#This Row],[EntryDateTime]])</f>
        <v>44663</v>
      </c>
      <c r="I3857" s="1">
        <f>IF(Query1[[#This Row],[ItemType]]="EVAP KIT SF GEN IV",Query1[[#This Row],[OrderQty]]+I3856,I3856)</f>
        <v>4744</v>
      </c>
      <c r="J3857" s="1">
        <f>IF(Query1[[#This Row],[ItemType]]="EVAP KIT UNIVERSAL",Query1[[#This Row],[OrderQty]]+J3856,J3856)</f>
        <v>1624</v>
      </c>
      <c r="K3857" s="1">
        <f>Query1[[#This Row],[SF Running Total]]+Query1[[#This Row],[UNIV Running Total]]</f>
        <v>6368</v>
      </c>
      <c r="L3857">
        <f>VLOOKUP(Query1[[#This Row],[Description]],'kits to boards'!$B$2:$E$156,2,FALSE)</f>
        <v>830079</v>
      </c>
      <c r="M3857">
        <f>VLOOKUP(Query1[[#This Row],[Description]],'kits to boards'!$B$2:$E$156,3,FALSE)</f>
        <v>830046</v>
      </c>
      <c r="N3857">
        <f>VLOOKUP(Query1[[#This Row],[Description]],'kits to boards'!$B$2:$E$156,4,FALSE)</f>
        <v>0</v>
      </c>
      <c r="O3857" t="str">
        <f>CONCATENATE(Query1[[#This Row],[Description]]," - ",Query1[[#This Row],[MB1]]," - ",Query1[[#This Row],[MB2]]," - ",Query1[[#This Row],[MB3]])</f>
        <v>EVAP KIT 67-68 MUSTANG/COUGAR WO AC - 830079 - 830046 - 0</v>
      </c>
    </row>
    <row r="3858" spans="1:15" x14ac:dyDescent="0.25">
      <c r="A3858" s="1">
        <v>919479</v>
      </c>
      <c r="B3858" s="1" t="s">
        <v>100</v>
      </c>
      <c r="C3858" s="1" t="s">
        <v>101</v>
      </c>
      <c r="D3858" s="2">
        <v>44664.298274502318</v>
      </c>
      <c r="E3858" s="1" t="s">
        <v>8</v>
      </c>
      <c r="F3858" s="1">
        <v>1</v>
      </c>
      <c r="G3858" s="1">
        <v>0</v>
      </c>
      <c r="H3858" s="6">
        <f>INT(Query1[[#This Row],[EntryDateTime]])</f>
        <v>44664</v>
      </c>
      <c r="I3858" s="1">
        <f>IF(Query1[[#This Row],[ItemType]]="EVAP KIT SF GEN IV",Query1[[#This Row],[OrderQty]]+I3857,I3857)</f>
        <v>4745</v>
      </c>
      <c r="J3858" s="1">
        <f>IF(Query1[[#This Row],[ItemType]]="EVAP KIT UNIVERSAL",Query1[[#This Row],[OrderQty]]+J3857,J3857)</f>
        <v>1624</v>
      </c>
      <c r="K3858" s="1">
        <f>Query1[[#This Row],[SF Running Total]]+Query1[[#This Row],[UNIV Running Total]]</f>
        <v>6369</v>
      </c>
      <c r="L3858">
        <f>VLOOKUP(Query1[[#This Row],[Description]],'kits to boards'!$B$2:$E$156,2,FALSE)</f>
        <v>830096</v>
      </c>
      <c r="M3858">
        <f>VLOOKUP(Query1[[#This Row],[Description]],'kits to boards'!$B$2:$E$156,3,FALSE)</f>
        <v>0</v>
      </c>
      <c r="N3858">
        <f>VLOOKUP(Query1[[#This Row],[Description]],'kits to boards'!$B$2:$E$156,4,FALSE)</f>
        <v>0</v>
      </c>
      <c r="O3858" t="str">
        <f>CONCATENATE(Query1[[#This Row],[Description]]," - ",Query1[[#This Row],[MB1]]," - ",Query1[[#This Row],[MB2]]," - ",Query1[[#This Row],[MB3]])</f>
        <v>EVAP KIT 62-65 NOVA - 830096 - 0 - 0</v>
      </c>
    </row>
    <row r="3859" spans="1:15" x14ac:dyDescent="0.25">
      <c r="A3859" s="1">
        <v>919495</v>
      </c>
      <c r="B3859" s="1" t="s">
        <v>30</v>
      </c>
      <c r="C3859" s="1" t="s">
        <v>31</v>
      </c>
      <c r="D3859" s="2">
        <v>44664.34181258102</v>
      </c>
      <c r="E3859" s="1" t="s">
        <v>8</v>
      </c>
      <c r="F3859" s="1">
        <v>1</v>
      </c>
      <c r="G3859" s="1">
        <v>0</v>
      </c>
      <c r="H3859" s="6">
        <f>INT(Query1[[#This Row],[EntryDateTime]])</f>
        <v>44664</v>
      </c>
      <c r="I3859" s="1">
        <f>IF(Query1[[#This Row],[ItemType]]="EVAP KIT SF GEN IV",Query1[[#This Row],[OrderQty]]+I3858,I3858)</f>
        <v>4746</v>
      </c>
      <c r="J3859" s="1">
        <f>IF(Query1[[#This Row],[ItemType]]="EVAP KIT UNIVERSAL",Query1[[#This Row],[OrderQty]]+J3858,J3858)</f>
        <v>1624</v>
      </c>
      <c r="K3859" s="1">
        <f>Query1[[#This Row],[SF Running Total]]+Query1[[#This Row],[UNIV Running Total]]</f>
        <v>6370</v>
      </c>
      <c r="L3859">
        <f>VLOOKUP(Query1[[#This Row],[Description]],'kits to boards'!$B$2:$E$156,2,FALSE)</f>
        <v>830054</v>
      </c>
      <c r="M3859">
        <f>VLOOKUP(Query1[[#This Row],[Description]],'kits to boards'!$B$2:$E$156,3,FALSE)</f>
        <v>0</v>
      </c>
      <c r="N3859">
        <f>VLOOKUP(Query1[[#This Row],[Description]],'kits to boards'!$B$2:$E$156,4,FALSE)</f>
        <v>0</v>
      </c>
      <c r="O3859" t="str">
        <f>CONCATENATE(Query1[[#This Row],[Description]]," - ",Query1[[#This Row],[MB1]]," - ",Query1[[#This Row],[MB2]]," - ",Query1[[#This Row],[MB3]])</f>
        <v>EVAP KIT 55-56 CHEVY 4-VENT - 830054 - 0 - 0</v>
      </c>
    </row>
    <row r="3860" spans="1:15" x14ac:dyDescent="0.25">
      <c r="A3860" s="1">
        <v>919498</v>
      </c>
      <c r="B3860" s="1" t="s">
        <v>34</v>
      </c>
      <c r="C3860" s="1" t="s">
        <v>35</v>
      </c>
      <c r="D3860" s="2">
        <v>44664.347699305552</v>
      </c>
      <c r="E3860" s="1" t="s">
        <v>8</v>
      </c>
      <c r="F3860" s="1">
        <v>1</v>
      </c>
      <c r="G3860" s="1">
        <v>0</v>
      </c>
      <c r="H3860" s="6">
        <f>INT(Query1[[#This Row],[EntryDateTime]])</f>
        <v>44664</v>
      </c>
      <c r="I3860" s="1">
        <f>IF(Query1[[#This Row],[ItemType]]="EVAP KIT SF GEN IV",Query1[[#This Row],[OrderQty]]+I3859,I3859)</f>
        <v>4747</v>
      </c>
      <c r="J3860" s="1">
        <f>IF(Query1[[#This Row],[ItemType]]="EVAP KIT UNIVERSAL",Query1[[#This Row],[OrderQty]]+J3859,J3859)</f>
        <v>1624</v>
      </c>
      <c r="K3860" s="1">
        <f>Query1[[#This Row],[SF Running Total]]+Query1[[#This Row],[UNIV Running Total]]</f>
        <v>6371</v>
      </c>
      <c r="L3860">
        <f>VLOOKUP(Query1[[#This Row],[Description]],'kits to boards'!$B$2:$E$156,2,FALSE)</f>
        <v>830065</v>
      </c>
      <c r="M3860">
        <f>VLOOKUP(Query1[[#This Row],[Description]],'kits to boards'!$B$2:$E$156,3,FALSE)</f>
        <v>0</v>
      </c>
      <c r="N3860">
        <f>VLOOKUP(Query1[[#This Row],[Description]],'kits to boards'!$B$2:$E$156,4,FALSE)</f>
        <v>0</v>
      </c>
      <c r="O3860" t="str">
        <f>CONCATENATE(Query1[[#This Row],[Description]]," - ",Query1[[#This Row],[MB1]]," - ",Query1[[#This Row],[MB2]]," - ",Query1[[#This Row],[MB3]])</f>
        <v>EVAP KIT 57 CHEV WO AC - 830065 - 0 - 0</v>
      </c>
    </row>
    <row r="3861" spans="1:15" x14ac:dyDescent="0.25">
      <c r="A3861" s="1">
        <v>915828</v>
      </c>
      <c r="B3861" s="1" t="s">
        <v>96</v>
      </c>
      <c r="C3861" s="1" t="s">
        <v>97</v>
      </c>
      <c r="D3861" s="2">
        <v>44664.367892245369</v>
      </c>
      <c r="E3861" s="1" t="s">
        <v>8</v>
      </c>
      <c r="F3861" s="1">
        <v>1</v>
      </c>
      <c r="G3861" s="1">
        <v>0</v>
      </c>
      <c r="H3861" s="6">
        <f>INT(Query1[[#This Row],[EntryDateTime]])</f>
        <v>44664</v>
      </c>
      <c r="I3861" s="1">
        <f>IF(Query1[[#This Row],[ItemType]]="EVAP KIT SF GEN IV",Query1[[#This Row],[OrderQty]]+I3860,I3860)</f>
        <v>4748</v>
      </c>
      <c r="J3861" s="1">
        <f>IF(Query1[[#This Row],[ItemType]]="EVAP KIT UNIVERSAL",Query1[[#This Row],[OrderQty]]+J3860,J3860)</f>
        <v>1624</v>
      </c>
      <c r="K3861" s="1">
        <f>Query1[[#This Row],[SF Running Total]]+Query1[[#This Row],[UNIV Running Total]]</f>
        <v>6372</v>
      </c>
      <c r="L3861">
        <f>VLOOKUP(Query1[[#This Row],[Description]],'kits to boards'!$B$2:$E$156,2,FALSE)</f>
        <v>830004</v>
      </c>
      <c r="M3861">
        <f>VLOOKUP(Query1[[#This Row],[Description]],'kits to boards'!$B$2:$E$156,3,FALSE)</f>
        <v>0</v>
      </c>
      <c r="N3861">
        <f>VLOOKUP(Query1[[#This Row],[Description]],'kits to boards'!$B$2:$E$156,4,FALSE)</f>
        <v>0</v>
      </c>
      <c r="O3861" t="str">
        <f>CONCATENATE(Query1[[#This Row],[Description]]," - ",Query1[[#This Row],[MB1]]," - ",Query1[[#This Row],[MB2]]," - ",Query1[[#This Row],[MB3]])</f>
        <v>EVAP KIT 81-87 CHEV P-UP W/AC - 830004 - 0 - 0</v>
      </c>
    </row>
    <row r="3862" spans="1:15" x14ac:dyDescent="0.25">
      <c r="A3862" s="1">
        <v>919507</v>
      </c>
      <c r="B3862" s="1" t="s">
        <v>90</v>
      </c>
      <c r="C3862" s="1" t="s">
        <v>91</v>
      </c>
      <c r="D3862" s="2">
        <v>44664.368975925929</v>
      </c>
      <c r="E3862" s="1" t="s">
        <v>8</v>
      </c>
      <c r="F3862" s="1">
        <v>1</v>
      </c>
      <c r="G3862" s="1">
        <v>0</v>
      </c>
      <c r="H3862" s="6">
        <f>INT(Query1[[#This Row],[EntryDateTime]])</f>
        <v>44664</v>
      </c>
      <c r="I3862" s="1">
        <f>IF(Query1[[#This Row],[ItemType]]="EVAP KIT SF GEN IV",Query1[[#This Row],[OrderQty]]+I3861,I3861)</f>
        <v>4749</v>
      </c>
      <c r="J3862" s="1">
        <f>IF(Query1[[#This Row],[ItemType]]="EVAP KIT UNIVERSAL",Query1[[#This Row],[OrderQty]]+J3861,J3861)</f>
        <v>1624</v>
      </c>
      <c r="K3862" s="1">
        <f>Query1[[#This Row],[SF Running Total]]+Query1[[#This Row],[UNIV Running Total]]</f>
        <v>6373</v>
      </c>
      <c r="L3862">
        <f>VLOOKUP(Query1[[#This Row],[Description]],'kits to boards'!$B$2:$E$156,2,FALSE)</f>
        <v>830105</v>
      </c>
      <c r="M3862">
        <f>VLOOKUP(Query1[[#This Row],[Description]],'kits to boards'!$B$2:$E$156,3,FALSE)</f>
        <v>830106</v>
      </c>
      <c r="N3862">
        <f>VLOOKUP(Query1[[#This Row],[Description]],'kits to boards'!$B$2:$E$156,4,FALSE)</f>
        <v>0</v>
      </c>
      <c r="O3862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3863" spans="1:15" x14ac:dyDescent="0.25">
      <c r="A3863" s="1">
        <v>919512</v>
      </c>
      <c r="B3863" s="1" t="s">
        <v>56</v>
      </c>
      <c r="C3863" s="1" t="s">
        <v>57</v>
      </c>
      <c r="D3863" s="2">
        <v>44664.37699409722</v>
      </c>
      <c r="E3863" s="1" t="s">
        <v>8</v>
      </c>
      <c r="F3863" s="1">
        <v>1</v>
      </c>
      <c r="G3863" s="1">
        <v>0</v>
      </c>
      <c r="H3863" s="6">
        <f>INT(Query1[[#This Row],[EntryDateTime]])</f>
        <v>44664</v>
      </c>
      <c r="I3863" s="1">
        <f>IF(Query1[[#This Row],[ItemType]]="EVAP KIT SF GEN IV",Query1[[#This Row],[OrderQty]]+I3862,I3862)</f>
        <v>4750</v>
      </c>
      <c r="J3863" s="1">
        <f>IF(Query1[[#This Row],[ItemType]]="EVAP KIT UNIVERSAL",Query1[[#This Row],[OrderQty]]+J3862,J3862)</f>
        <v>1624</v>
      </c>
      <c r="K3863" s="1">
        <f>Query1[[#This Row],[SF Running Total]]+Query1[[#This Row],[UNIV Running Total]]</f>
        <v>6374</v>
      </c>
      <c r="L3863">
        <f>VLOOKUP(Query1[[#This Row],[Description]],'kits to boards'!$B$2:$E$156,2,FALSE)</f>
        <v>830011</v>
      </c>
      <c r="M3863">
        <f>VLOOKUP(Query1[[#This Row],[Description]],'kits to boards'!$B$2:$E$156,3,FALSE)</f>
        <v>0</v>
      </c>
      <c r="N3863">
        <f>VLOOKUP(Query1[[#This Row],[Description]],'kits to boards'!$B$2:$E$156,4,FALSE)</f>
        <v>0</v>
      </c>
      <c r="O3863" t="str">
        <f>CONCATENATE(Query1[[#This Row],[Description]]," - ",Query1[[#This Row],[MB1]]," - ",Query1[[#This Row],[MB2]]," - ",Query1[[#This Row],[MB3]])</f>
        <v>EVAP KIT 70-72 CHEVELLE W/AC - 830011 - 0 - 0</v>
      </c>
    </row>
    <row r="3864" spans="1:15" x14ac:dyDescent="0.25">
      <c r="A3864" s="1">
        <v>919506</v>
      </c>
      <c r="B3864" s="1" t="s">
        <v>22</v>
      </c>
      <c r="C3864" s="1" t="s">
        <v>23</v>
      </c>
      <c r="D3864" s="2">
        <v>44664.377851192126</v>
      </c>
      <c r="E3864" s="1" t="s">
        <v>8</v>
      </c>
      <c r="F3864" s="1">
        <v>1</v>
      </c>
      <c r="G3864" s="1">
        <v>0</v>
      </c>
      <c r="H3864" s="6">
        <f>INT(Query1[[#This Row],[EntryDateTime]])</f>
        <v>44664</v>
      </c>
      <c r="I3864" s="1">
        <f>IF(Query1[[#This Row],[ItemType]]="EVAP KIT SF GEN IV",Query1[[#This Row],[OrderQty]]+I3863,I3863)</f>
        <v>4751</v>
      </c>
      <c r="J3864" s="1">
        <f>IF(Query1[[#This Row],[ItemType]]="EVAP KIT UNIVERSAL",Query1[[#This Row],[OrderQty]]+J3863,J3863)</f>
        <v>1624</v>
      </c>
      <c r="K3864" s="1">
        <f>Query1[[#This Row],[SF Running Total]]+Query1[[#This Row],[UNIV Running Total]]</f>
        <v>6375</v>
      </c>
      <c r="L3864">
        <f>VLOOKUP(Query1[[#This Row],[Description]],'kits to boards'!$B$2:$E$156,2,FALSE)</f>
        <v>830083</v>
      </c>
      <c r="M3864">
        <f>VLOOKUP(Query1[[#This Row],[Description]],'kits to boards'!$B$2:$E$156,3,FALSE)</f>
        <v>0</v>
      </c>
      <c r="N3864">
        <f>VLOOKUP(Query1[[#This Row],[Description]],'kits to boards'!$B$2:$E$156,4,FALSE)</f>
        <v>0</v>
      </c>
      <c r="O3864" t="str">
        <f>CONCATENATE(Query1[[#This Row],[Description]]," - ",Query1[[#This Row],[MB1]]," - ",Query1[[#This Row],[MB2]]," - ",Query1[[#This Row],[MB3]])</f>
        <v>GEN IV MAGNUM EVAP KIT - 830083 - 0 - 0</v>
      </c>
    </row>
    <row r="3865" spans="1:15" x14ac:dyDescent="0.25">
      <c r="A3865" s="1">
        <v>919513</v>
      </c>
      <c r="B3865" s="1" t="s">
        <v>6</v>
      </c>
      <c r="C3865" s="1" t="s">
        <v>7</v>
      </c>
      <c r="D3865" s="2">
        <v>44664.378359490744</v>
      </c>
      <c r="E3865" s="1" t="s">
        <v>8</v>
      </c>
      <c r="F3865" s="1">
        <v>1</v>
      </c>
      <c r="G3865" s="1">
        <v>0</v>
      </c>
      <c r="H3865" s="6">
        <f>INT(Query1[[#This Row],[EntryDateTime]])</f>
        <v>44664</v>
      </c>
      <c r="I3865" s="1">
        <f>IF(Query1[[#This Row],[ItemType]]="EVAP KIT SF GEN IV",Query1[[#This Row],[OrderQty]]+I3864,I3864)</f>
        <v>4752</v>
      </c>
      <c r="J3865" s="1">
        <f>IF(Query1[[#This Row],[ItemType]]="EVAP KIT UNIVERSAL",Query1[[#This Row],[OrderQty]]+J3864,J3864)</f>
        <v>1624</v>
      </c>
      <c r="K3865" s="1">
        <f>Query1[[#This Row],[SF Running Total]]+Query1[[#This Row],[UNIV Running Total]]</f>
        <v>6376</v>
      </c>
      <c r="L3865">
        <f>VLOOKUP(Query1[[#This Row],[Description]],'kits to boards'!$B$2:$E$156,2,FALSE)</f>
        <v>830132</v>
      </c>
      <c r="M3865">
        <f>VLOOKUP(Query1[[#This Row],[Description]],'kits to boards'!$B$2:$E$156,3,FALSE)</f>
        <v>0</v>
      </c>
      <c r="N3865">
        <f>VLOOKUP(Query1[[#This Row],[Description]],'kits to boards'!$B$2:$E$156,4,FALSE)</f>
        <v>0</v>
      </c>
      <c r="O3865" t="str">
        <f>CONCATENATE(Query1[[#This Row],[Description]]," - ",Query1[[#This Row],[MB1]]," - ",Query1[[#This Row],[MB2]]," - ",Query1[[#This Row],[MB3]])</f>
        <v>EVAP KIT 82-88 MONTE CARLO/EL CAMINO - 830132 - 0 - 0</v>
      </c>
    </row>
    <row r="3866" spans="1:15" x14ac:dyDescent="0.25">
      <c r="A3866" s="1">
        <v>919518</v>
      </c>
      <c r="B3866" s="1" t="s">
        <v>94</v>
      </c>
      <c r="C3866" s="1" t="s">
        <v>95</v>
      </c>
      <c r="D3866" s="2">
        <v>44664.386404363424</v>
      </c>
      <c r="E3866" s="1" t="s">
        <v>8</v>
      </c>
      <c r="F3866" s="1">
        <v>1</v>
      </c>
      <c r="G3866" s="1">
        <v>0</v>
      </c>
      <c r="H3866" s="6">
        <f>INT(Query1[[#This Row],[EntryDateTime]])</f>
        <v>44664</v>
      </c>
      <c r="I3866" s="1">
        <f>IF(Query1[[#This Row],[ItemType]]="EVAP KIT SF GEN IV",Query1[[#This Row],[OrderQty]]+I3865,I3865)</f>
        <v>4753</v>
      </c>
      <c r="J3866" s="1">
        <f>IF(Query1[[#This Row],[ItemType]]="EVAP KIT UNIVERSAL",Query1[[#This Row],[OrderQty]]+J3865,J3865)</f>
        <v>1624</v>
      </c>
      <c r="K3866" s="1">
        <f>Query1[[#This Row],[SF Running Total]]+Query1[[#This Row],[UNIV Running Total]]</f>
        <v>6377</v>
      </c>
      <c r="L3866">
        <f>VLOOKUP(Query1[[#This Row],[Description]],'kits to boards'!$B$2:$E$156,2,FALSE)</f>
        <v>830076</v>
      </c>
      <c r="M3866">
        <f>VLOOKUP(Query1[[#This Row],[Description]],'kits to boards'!$B$2:$E$156,3,FALSE)</f>
        <v>0</v>
      </c>
      <c r="N3866">
        <f>VLOOKUP(Query1[[#This Row],[Description]],'kits to boards'!$B$2:$E$156,4,FALSE)</f>
        <v>0</v>
      </c>
      <c r="O3866" t="str">
        <f>CONCATENATE(Query1[[#This Row],[Description]]," - ",Query1[[#This Row],[MB1]]," - ",Query1[[#This Row],[MB2]]," - ",Query1[[#This Row],[MB3]])</f>
        <v>EVAP KIT 64 1/2- 66 MUSTANG  - 830076 - 0 - 0</v>
      </c>
    </row>
    <row r="3867" spans="1:15" x14ac:dyDescent="0.25">
      <c r="A3867" s="1">
        <v>919523</v>
      </c>
      <c r="B3867" s="1" t="s">
        <v>26</v>
      </c>
      <c r="C3867" s="1" t="s">
        <v>27</v>
      </c>
      <c r="D3867" s="2">
        <v>44664.389694756945</v>
      </c>
      <c r="E3867" s="1" t="s">
        <v>8</v>
      </c>
      <c r="F3867" s="1">
        <v>1</v>
      </c>
      <c r="G3867" s="1">
        <v>0</v>
      </c>
      <c r="H3867" s="6">
        <f>INT(Query1[[#This Row],[EntryDateTime]])</f>
        <v>44664</v>
      </c>
      <c r="I3867" s="1">
        <f>IF(Query1[[#This Row],[ItemType]]="EVAP KIT SF GEN IV",Query1[[#This Row],[OrderQty]]+I3866,I3866)</f>
        <v>4754</v>
      </c>
      <c r="J3867" s="1">
        <f>IF(Query1[[#This Row],[ItemType]]="EVAP KIT UNIVERSAL",Query1[[#This Row],[OrderQty]]+J3866,J3866)</f>
        <v>1624</v>
      </c>
      <c r="K3867" s="1">
        <f>Query1[[#This Row],[SF Running Total]]+Query1[[#This Row],[UNIV Running Total]]</f>
        <v>6378</v>
      </c>
      <c r="L3867">
        <f>VLOOKUP(Query1[[#This Row],[Description]],'kits to boards'!$B$2:$E$156,2,FALSE)</f>
        <v>830013</v>
      </c>
      <c r="M3867">
        <f>VLOOKUP(Query1[[#This Row],[Description]],'kits to boards'!$B$2:$E$156,3,FALSE)</f>
        <v>0</v>
      </c>
      <c r="N3867">
        <f>VLOOKUP(Query1[[#This Row],[Description]],'kits to boards'!$B$2:$E$156,4,FALSE)</f>
        <v>0</v>
      </c>
      <c r="O3867" t="str">
        <f>CONCATENATE(Query1[[#This Row],[Description]]," - ",Query1[[#This Row],[MB1]]," - ",Query1[[#This Row],[MB2]]," - ",Query1[[#This Row],[MB3]])</f>
        <v>EVAP KIT 67-72 CHEV P-UP W/AC - 830013 - 0 - 0</v>
      </c>
    </row>
    <row r="3868" spans="1:15" x14ac:dyDescent="0.25">
      <c r="A3868" s="1">
        <v>919525</v>
      </c>
      <c r="B3868" s="1" t="s">
        <v>40</v>
      </c>
      <c r="C3868" s="1" t="s">
        <v>246</v>
      </c>
      <c r="D3868" s="2">
        <v>44664.391324918979</v>
      </c>
      <c r="E3868" s="1" t="s">
        <v>8</v>
      </c>
      <c r="F3868" s="1">
        <v>1</v>
      </c>
      <c r="G3868" s="1">
        <v>0</v>
      </c>
      <c r="H3868" s="6">
        <f>INT(Query1[[#This Row],[EntryDateTime]])</f>
        <v>44664</v>
      </c>
      <c r="I3868" s="1">
        <f>IF(Query1[[#This Row],[ItemType]]="EVAP KIT SF GEN IV",Query1[[#This Row],[OrderQty]]+I3867,I3867)</f>
        <v>4755</v>
      </c>
      <c r="J3868" s="1">
        <f>IF(Query1[[#This Row],[ItemType]]="EVAP KIT UNIVERSAL",Query1[[#This Row],[OrderQty]]+J3867,J3867)</f>
        <v>1624</v>
      </c>
      <c r="K3868" s="1">
        <f>Query1[[#This Row],[SF Running Total]]+Query1[[#This Row],[UNIV Running Total]]</f>
        <v>6379</v>
      </c>
      <c r="L3868" t="e">
        <f>VLOOKUP(Query1[[#This Row],[Description]],'kits to boards'!$B$2:$E$156,2,FALSE)</f>
        <v>#N/A</v>
      </c>
      <c r="M3868" t="e">
        <f>VLOOKUP(Query1[[#This Row],[Description]],'kits to boards'!$B$2:$E$156,3,FALSE)</f>
        <v>#N/A</v>
      </c>
      <c r="N3868" t="e">
        <f>VLOOKUP(Query1[[#This Row],[Description]],'kits to boards'!$B$2:$E$156,4,FALSE)</f>
        <v>#N/A</v>
      </c>
      <c r="O3868" t="e">
        <f>CONCATENATE(Query1[[#This Row],[Description]]," - ",Query1[[#This Row],[MB1]]," - ",Query1[[#This Row],[MB2]]," - ",Query1[[#This Row],[MB3]])</f>
        <v>#N/A</v>
      </c>
    </row>
    <row r="3869" spans="1:15" x14ac:dyDescent="0.25">
      <c r="A3869" s="1">
        <v>919527</v>
      </c>
      <c r="B3869" s="1" t="s">
        <v>128</v>
      </c>
      <c r="C3869" s="1" t="s">
        <v>129</v>
      </c>
      <c r="D3869" s="2">
        <v>44664.395621030089</v>
      </c>
      <c r="E3869" s="1" t="s">
        <v>8</v>
      </c>
      <c r="F3869" s="1">
        <v>1</v>
      </c>
      <c r="G3869" s="1">
        <v>0</v>
      </c>
      <c r="H3869" s="6">
        <f>INT(Query1[[#This Row],[EntryDateTime]])</f>
        <v>44664</v>
      </c>
      <c r="I3869" s="1">
        <f>IF(Query1[[#This Row],[ItemType]]="EVAP KIT SF GEN IV",Query1[[#This Row],[OrderQty]]+I3868,I3868)</f>
        <v>4756</v>
      </c>
      <c r="J3869" s="1">
        <f>IF(Query1[[#This Row],[ItemType]]="EVAP KIT UNIVERSAL",Query1[[#This Row],[OrderQty]]+J3868,J3868)</f>
        <v>1624</v>
      </c>
      <c r="K3869" s="1">
        <f>Query1[[#This Row],[SF Running Total]]+Query1[[#This Row],[UNIV Running Total]]</f>
        <v>6380</v>
      </c>
      <c r="L3869">
        <f>VLOOKUP(Query1[[#This Row],[Description]],'kits to boards'!$B$2:$E$156,2,FALSE)</f>
        <v>830036</v>
      </c>
      <c r="M3869">
        <f>VLOOKUP(Query1[[#This Row],[Description]],'kits to boards'!$B$2:$E$156,3,FALSE)</f>
        <v>830039</v>
      </c>
      <c r="N3869">
        <f>VLOOKUP(Query1[[#This Row],[Description]],'kits to boards'!$B$2:$E$156,4,FALSE)</f>
        <v>0</v>
      </c>
      <c r="O3869" t="str">
        <f>CONCATENATE(Query1[[#This Row],[Description]]," - ",Query1[[#This Row],[MB1]]," - ",Query1[[#This Row],[MB2]]," - ",Query1[[#This Row],[MB3]])</f>
        <v>EVAP KIT 63-66 VETTE WO AC - 830036 - 830039 - 0</v>
      </c>
    </row>
    <row r="3870" spans="1:15" x14ac:dyDescent="0.25">
      <c r="A3870" s="1">
        <v>919529</v>
      </c>
      <c r="B3870" s="1" t="s">
        <v>144</v>
      </c>
      <c r="C3870" s="1" t="s">
        <v>145</v>
      </c>
      <c r="D3870" s="2">
        <v>44664.397296030096</v>
      </c>
      <c r="E3870" s="1" t="s">
        <v>11</v>
      </c>
      <c r="F3870" s="1">
        <v>1</v>
      </c>
      <c r="G3870" s="1">
        <v>0</v>
      </c>
      <c r="H3870" s="6">
        <f>INT(Query1[[#This Row],[EntryDateTime]])</f>
        <v>44664</v>
      </c>
      <c r="I3870" s="1">
        <f>IF(Query1[[#This Row],[ItemType]]="EVAP KIT SF GEN IV",Query1[[#This Row],[OrderQty]]+I3869,I3869)</f>
        <v>4756</v>
      </c>
      <c r="J3870" s="1">
        <f>IF(Query1[[#This Row],[ItemType]]="EVAP KIT UNIVERSAL",Query1[[#This Row],[OrderQty]]+J3869,J3869)</f>
        <v>1625</v>
      </c>
      <c r="K3870" s="1">
        <f>Query1[[#This Row],[SF Running Total]]+Query1[[#This Row],[UNIV Running Total]]</f>
        <v>6381</v>
      </c>
      <c r="L3870">
        <f>VLOOKUP(Query1[[#This Row],[Description]],'kits to boards'!$B$2:$E$156,2,FALSE)</f>
        <v>830102</v>
      </c>
      <c r="M3870">
        <f>VLOOKUP(Query1[[#This Row],[Description]],'kits to boards'!$B$2:$E$156,3,FALSE)</f>
        <v>0</v>
      </c>
      <c r="N3870">
        <f>VLOOKUP(Query1[[#This Row],[Description]],'kits to boards'!$B$2:$E$156,4,FALSE)</f>
        <v>0</v>
      </c>
      <c r="O3870" t="str">
        <f>CONCATENATE(Query1[[#This Row],[Description]]," - ",Query1[[#This Row],[MB1]]," - ",Query1[[#This Row],[MB2]]," - ",Query1[[#This Row],[MB3]])</f>
        <v>SUPER GEN II H/C - 830102 - 0 - 0</v>
      </c>
    </row>
    <row r="3871" spans="1:15" x14ac:dyDescent="0.25">
      <c r="A3871" s="1">
        <v>919531</v>
      </c>
      <c r="B3871" s="1" t="s">
        <v>60</v>
      </c>
      <c r="C3871" s="1" t="s">
        <v>61</v>
      </c>
      <c r="D3871" s="2">
        <v>44664.408069363424</v>
      </c>
      <c r="E3871" s="1" t="s">
        <v>8</v>
      </c>
      <c r="F3871" s="1">
        <v>1</v>
      </c>
      <c r="G3871" s="1">
        <v>0</v>
      </c>
      <c r="H3871" s="6">
        <f>INT(Query1[[#This Row],[EntryDateTime]])</f>
        <v>44664</v>
      </c>
      <c r="I3871" s="1">
        <f>IF(Query1[[#This Row],[ItemType]]="EVAP KIT SF GEN IV",Query1[[#This Row],[OrderQty]]+I3870,I3870)</f>
        <v>4757</v>
      </c>
      <c r="J3871" s="1">
        <f>IF(Query1[[#This Row],[ItemType]]="EVAP KIT UNIVERSAL",Query1[[#This Row],[OrderQty]]+J3870,J3870)</f>
        <v>1625</v>
      </c>
      <c r="K3871" s="1">
        <f>Query1[[#This Row],[SF Running Total]]+Query1[[#This Row],[UNIV Running Total]]</f>
        <v>6382</v>
      </c>
      <c r="L3871">
        <f>VLOOKUP(Query1[[#This Row],[Description]],'kits to boards'!$B$2:$E$156,2,FALSE)</f>
        <v>830062</v>
      </c>
      <c r="M3871">
        <f>VLOOKUP(Query1[[#This Row],[Description]],'kits to boards'!$B$2:$E$156,3,FALSE)</f>
        <v>0</v>
      </c>
      <c r="N3871">
        <f>VLOOKUP(Query1[[#This Row],[Description]],'kits to boards'!$B$2:$E$156,4,FALSE)</f>
        <v>0</v>
      </c>
      <c r="O3871" t="str">
        <f>CONCATENATE(Query1[[#This Row],[Description]]," - ",Query1[[#This Row],[MB1]]," - ",Query1[[#This Row],[MB2]]," - ",Query1[[#This Row],[MB3]])</f>
        <v>EVAP KIT 68-69 CHEVELLE WO AC - 830062 - 0 - 0</v>
      </c>
    </row>
    <row r="3872" spans="1:15" x14ac:dyDescent="0.25">
      <c r="A3872" s="1">
        <v>919533</v>
      </c>
      <c r="B3872" s="1" t="s">
        <v>128</v>
      </c>
      <c r="C3872" s="1" t="s">
        <v>129</v>
      </c>
      <c r="D3872" s="2">
        <v>44664.410083993054</v>
      </c>
      <c r="E3872" s="1" t="s">
        <v>8</v>
      </c>
      <c r="F3872" s="1">
        <v>1</v>
      </c>
      <c r="G3872" s="1">
        <v>0</v>
      </c>
      <c r="H3872" s="6">
        <f>INT(Query1[[#This Row],[EntryDateTime]])</f>
        <v>44664</v>
      </c>
      <c r="I3872" s="1">
        <f>IF(Query1[[#This Row],[ItemType]]="EVAP KIT SF GEN IV",Query1[[#This Row],[OrderQty]]+I3871,I3871)</f>
        <v>4758</v>
      </c>
      <c r="J3872" s="1">
        <f>IF(Query1[[#This Row],[ItemType]]="EVAP KIT UNIVERSAL",Query1[[#This Row],[OrderQty]]+J3871,J3871)</f>
        <v>1625</v>
      </c>
      <c r="K3872" s="1">
        <f>Query1[[#This Row],[SF Running Total]]+Query1[[#This Row],[UNIV Running Total]]</f>
        <v>6383</v>
      </c>
      <c r="L3872">
        <f>VLOOKUP(Query1[[#This Row],[Description]],'kits to boards'!$B$2:$E$156,2,FALSE)</f>
        <v>830036</v>
      </c>
      <c r="M3872">
        <f>VLOOKUP(Query1[[#This Row],[Description]],'kits to boards'!$B$2:$E$156,3,FALSE)</f>
        <v>830039</v>
      </c>
      <c r="N3872">
        <f>VLOOKUP(Query1[[#This Row],[Description]],'kits to boards'!$B$2:$E$156,4,FALSE)</f>
        <v>0</v>
      </c>
      <c r="O3872" t="str">
        <f>CONCATENATE(Query1[[#This Row],[Description]]," - ",Query1[[#This Row],[MB1]]," - ",Query1[[#This Row],[MB2]]," - ",Query1[[#This Row],[MB3]])</f>
        <v>EVAP KIT 63-66 VETTE WO AC - 830036 - 830039 - 0</v>
      </c>
    </row>
    <row r="3873" spans="1:15" x14ac:dyDescent="0.25">
      <c r="A3873" s="1">
        <v>919536</v>
      </c>
      <c r="B3873" s="1" t="s">
        <v>128</v>
      </c>
      <c r="C3873" s="1" t="s">
        <v>129</v>
      </c>
      <c r="D3873" s="2">
        <v>44664.413224768519</v>
      </c>
      <c r="E3873" s="1" t="s">
        <v>8</v>
      </c>
      <c r="F3873" s="1">
        <v>1</v>
      </c>
      <c r="G3873" s="1">
        <v>0</v>
      </c>
      <c r="H3873" s="6">
        <f>INT(Query1[[#This Row],[EntryDateTime]])</f>
        <v>44664</v>
      </c>
      <c r="I3873" s="1">
        <f>IF(Query1[[#This Row],[ItemType]]="EVAP KIT SF GEN IV",Query1[[#This Row],[OrderQty]]+I3872,I3872)</f>
        <v>4759</v>
      </c>
      <c r="J3873" s="1">
        <f>IF(Query1[[#This Row],[ItemType]]="EVAP KIT UNIVERSAL",Query1[[#This Row],[OrderQty]]+J3872,J3872)</f>
        <v>1625</v>
      </c>
      <c r="K3873" s="1">
        <f>Query1[[#This Row],[SF Running Total]]+Query1[[#This Row],[UNIV Running Total]]</f>
        <v>6384</v>
      </c>
      <c r="L3873">
        <f>VLOOKUP(Query1[[#This Row],[Description]],'kits to boards'!$B$2:$E$156,2,FALSE)</f>
        <v>830036</v>
      </c>
      <c r="M3873">
        <f>VLOOKUP(Query1[[#This Row],[Description]],'kits to boards'!$B$2:$E$156,3,FALSE)</f>
        <v>830039</v>
      </c>
      <c r="N3873">
        <f>VLOOKUP(Query1[[#This Row],[Description]],'kits to boards'!$B$2:$E$156,4,FALSE)</f>
        <v>0</v>
      </c>
      <c r="O3873" t="str">
        <f>CONCATENATE(Query1[[#This Row],[Description]]," - ",Query1[[#This Row],[MB1]]," - ",Query1[[#This Row],[MB2]]," - ",Query1[[#This Row],[MB3]])</f>
        <v>EVAP KIT 63-66 VETTE WO AC - 830036 - 830039 - 0</v>
      </c>
    </row>
    <row r="3874" spans="1:15" x14ac:dyDescent="0.25">
      <c r="A3874" s="1">
        <v>918998</v>
      </c>
      <c r="B3874" s="1" t="s">
        <v>68</v>
      </c>
      <c r="C3874" s="1" t="s">
        <v>69</v>
      </c>
      <c r="D3874" s="2">
        <v>44664.417460034725</v>
      </c>
      <c r="E3874" s="1" t="s">
        <v>8</v>
      </c>
      <c r="F3874" s="1">
        <v>1</v>
      </c>
      <c r="G3874" s="1">
        <v>0</v>
      </c>
      <c r="H3874" s="6">
        <f>INT(Query1[[#This Row],[EntryDateTime]])</f>
        <v>44664</v>
      </c>
      <c r="I3874" s="1">
        <f>IF(Query1[[#This Row],[ItemType]]="EVAP KIT SF GEN IV",Query1[[#This Row],[OrderQty]]+I3873,I3873)</f>
        <v>4760</v>
      </c>
      <c r="J3874" s="1">
        <f>IF(Query1[[#This Row],[ItemType]]="EVAP KIT UNIVERSAL",Query1[[#This Row],[OrderQty]]+J3873,J3873)</f>
        <v>1625</v>
      </c>
      <c r="K3874" s="1">
        <f>Query1[[#This Row],[SF Running Total]]+Query1[[#This Row],[UNIV Running Total]]</f>
        <v>6385</v>
      </c>
      <c r="L3874">
        <f>VLOOKUP(Query1[[#This Row],[Description]],'kits to boards'!$B$2:$E$156,2,FALSE)</f>
        <v>830010</v>
      </c>
      <c r="M3874">
        <f>VLOOKUP(Query1[[#This Row],[Description]],'kits to boards'!$B$2:$E$156,3,FALSE)</f>
        <v>0</v>
      </c>
      <c r="N3874">
        <f>VLOOKUP(Query1[[#This Row],[Description]],'kits to boards'!$B$2:$E$156,4,FALSE)</f>
        <v>0</v>
      </c>
      <c r="O3874" t="str">
        <f>CONCATENATE(Query1[[#This Row],[Description]]," - ",Query1[[#This Row],[MB1]]," - ",Query1[[#This Row],[MB2]]," - ",Query1[[#This Row],[MB3]])</f>
        <v>EVAP KIT 70-72 CHEVELLE WO AC - 830010 - 0 - 0</v>
      </c>
    </row>
    <row r="3875" spans="1:15" x14ac:dyDescent="0.25">
      <c r="A3875" s="1">
        <v>919534</v>
      </c>
      <c r="B3875" s="1" t="s">
        <v>106</v>
      </c>
      <c r="C3875" s="1" t="s">
        <v>253</v>
      </c>
      <c r="D3875" s="2">
        <v>44664.419175543982</v>
      </c>
      <c r="E3875" s="1" t="s">
        <v>8</v>
      </c>
      <c r="F3875" s="1">
        <v>1</v>
      </c>
      <c r="G3875" s="1">
        <v>0</v>
      </c>
      <c r="H3875" s="6">
        <f>INT(Query1[[#This Row],[EntryDateTime]])</f>
        <v>44664</v>
      </c>
      <c r="I3875" s="1">
        <f>IF(Query1[[#This Row],[ItemType]]="EVAP KIT SF GEN IV",Query1[[#This Row],[OrderQty]]+I3874,I3874)</f>
        <v>4761</v>
      </c>
      <c r="J3875" s="1">
        <f>IF(Query1[[#This Row],[ItemType]]="EVAP KIT UNIVERSAL",Query1[[#This Row],[OrderQty]]+J3874,J3874)</f>
        <v>1625</v>
      </c>
      <c r="K3875" s="1">
        <f>Query1[[#This Row],[SF Running Total]]+Query1[[#This Row],[UNIV Running Total]]</f>
        <v>6386</v>
      </c>
      <c r="L3875">
        <f>VLOOKUP(Query1[[#This Row],[Description]],'kits to boards'!$B$2:$E$156,2,FALSE)</f>
        <v>830028</v>
      </c>
      <c r="M3875">
        <f>VLOOKUP(Query1[[#This Row],[Description]],'kits to boards'!$B$2:$E$156,3,FALSE)</f>
        <v>0</v>
      </c>
      <c r="N3875">
        <f>VLOOKUP(Query1[[#This Row],[Description]],'kits to boards'!$B$2:$E$156,4,FALSE)</f>
        <v>0</v>
      </c>
      <c r="O3875" t="str">
        <f>CONCATENATE(Query1[[#This Row],[Description]]," - ",Query1[[#This Row],[MB1]]," - ",Query1[[#This Row],[MB2]]," - ",Query1[[#This Row],[MB3]])</f>
        <v>EVAP KIT 55-59 CHEV P-UP WO AC W/DELX  - 830028 - 0 - 0</v>
      </c>
    </row>
    <row r="3876" spans="1:15" x14ac:dyDescent="0.25">
      <c r="A3876" s="1">
        <v>919528</v>
      </c>
      <c r="B3876" s="1" t="s">
        <v>194</v>
      </c>
      <c r="C3876" s="1" t="s">
        <v>195</v>
      </c>
      <c r="D3876" s="2">
        <v>44664.427329745369</v>
      </c>
      <c r="E3876" s="1" t="s">
        <v>8</v>
      </c>
      <c r="F3876" s="1">
        <v>1</v>
      </c>
      <c r="G3876" s="1">
        <v>0</v>
      </c>
      <c r="H3876" s="6">
        <f>INT(Query1[[#This Row],[EntryDateTime]])</f>
        <v>44664</v>
      </c>
      <c r="I3876" s="1">
        <f>IF(Query1[[#This Row],[ItemType]]="EVAP KIT SF GEN IV",Query1[[#This Row],[OrderQty]]+I3875,I3875)</f>
        <v>4762</v>
      </c>
      <c r="J3876" s="1">
        <f>IF(Query1[[#This Row],[ItemType]]="EVAP KIT UNIVERSAL",Query1[[#This Row],[OrderQty]]+J3875,J3875)</f>
        <v>1625</v>
      </c>
      <c r="K3876" s="1">
        <f>Query1[[#This Row],[SF Running Total]]+Query1[[#This Row],[UNIV Running Total]]</f>
        <v>6387</v>
      </c>
      <c r="L3876">
        <f>VLOOKUP(Query1[[#This Row],[Description]],'kits to boards'!$B$2:$E$156,2,FALSE)</f>
        <v>830103</v>
      </c>
      <c r="M3876">
        <f>VLOOKUP(Query1[[#This Row],[Description]],'kits to boards'!$B$2:$E$156,3,FALSE)</f>
        <v>0</v>
      </c>
      <c r="N3876">
        <f>VLOOKUP(Query1[[#This Row],[Description]],'kits to boards'!$B$2:$E$156,4,FALSE)</f>
        <v>0</v>
      </c>
      <c r="O3876" t="str">
        <f>CONCATENATE(Query1[[#This Row],[Description]]," - ",Query1[[#This Row],[MB1]]," - ",Query1[[#This Row],[MB2]]," - ",Query1[[#This Row],[MB3]])</f>
        <v>EVAP KIT 78-82 VETTE W/AC - 830103 - 0 - 0</v>
      </c>
    </row>
    <row r="3877" spans="1:15" x14ac:dyDescent="0.25">
      <c r="A3877" s="1">
        <v>919537</v>
      </c>
      <c r="B3877" s="1" t="s">
        <v>296</v>
      </c>
      <c r="C3877" s="1" t="s">
        <v>297</v>
      </c>
      <c r="D3877" s="2">
        <v>44664.43391832176</v>
      </c>
      <c r="E3877" s="1" t="s">
        <v>11</v>
      </c>
      <c r="F3877" s="1">
        <v>1</v>
      </c>
      <c r="G3877" s="1">
        <v>0</v>
      </c>
      <c r="H3877" s="6">
        <f>INT(Query1[[#This Row],[EntryDateTime]])</f>
        <v>44664</v>
      </c>
      <c r="I3877" s="1">
        <f>IF(Query1[[#This Row],[ItemType]]="EVAP KIT SF GEN IV",Query1[[#This Row],[OrderQty]]+I3876,I3876)</f>
        <v>4762</v>
      </c>
      <c r="J3877" s="1">
        <f>IF(Query1[[#This Row],[ItemType]]="EVAP KIT UNIVERSAL",Query1[[#This Row],[OrderQty]]+J3876,J3876)</f>
        <v>1626</v>
      </c>
      <c r="K3877" s="1">
        <f>Query1[[#This Row],[SF Running Total]]+Query1[[#This Row],[UNIV Running Total]]</f>
        <v>6388</v>
      </c>
      <c r="L3877">
        <f>VLOOKUP(Query1[[#This Row],[Description]],'kits to boards'!$B$2:$E$156,2,FALSE)</f>
        <v>0</v>
      </c>
      <c r="M3877">
        <f>VLOOKUP(Query1[[#This Row],[Description]],'kits to boards'!$B$2:$E$156,3,FALSE)</f>
        <v>0</v>
      </c>
      <c r="N3877">
        <f>VLOOKUP(Query1[[#This Row],[Description]],'kits to boards'!$B$2:$E$156,4,FALSE)</f>
        <v>0</v>
      </c>
      <c r="O3877" t="str">
        <f>CONCATENATE(Query1[[#This Row],[Description]]," - ",Query1[[#This Row],[MB1]]," - ",Query1[[#This Row],[MB2]]," - ",Query1[[#This Row],[MB3]])</f>
        <v>HERITAGE TURNED EVAP KIT COOL ONLY - 0 - 0 - 0</v>
      </c>
    </row>
    <row r="3878" spans="1:15" x14ac:dyDescent="0.25">
      <c r="A3878" s="1">
        <v>919466</v>
      </c>
      <c r="B3878" s="1" t="s">
        <v>28</v>
      </c>
      <c r="C3878" s="1" t="s">
        <v>29</v>
      </c>
      <c r="D3878" s="2">
        <v>44664.441663344907</v>
      </c>
      <c r="E3878" s="1" t="s">
        <v>8</v>
      </c>
      <c r="F3878" s="1">
        <v>1</v>
      </c>
      <c r="G3878" s="1">
        <v>0</v>
      </c>
      <c r="H3878" s="6">
        <f>INT(Query1[[#This Row],[EntryDateTime]])</f>
        <v>44664</v>
      </c>
      <c r="I3878" s="1">
        <f>IF(Query1[[#This Row],[ItemType]]="EVAP KIT SF GEN IV",Query1[[#This Row],[OrderQty]]+I3877,I3877)</f>
        <v>4763</v>
      </c>
      <c r="J3878" s="1">
        <f>IF(Query1[[#This Row],[ItemType]]="EVAP KIT UNIVERSAL",Query1[[#This Row],[OrderQty]]+J3877,J3877)</f>
        <v>1626</v>
      </c>
      <c r="K3878" s="1">
        <f>Query1[[#This Row],[SF Running Total]]+Query1[[#This Row],[UNIV Running Total]]</f>
        <v>6389</v>
      </c>
      <c r="L3878">
        <f>VLOOKUP(Query1[[#This Row],[Description]],'kits to boards'!$B$2:$E$156,2,FALSE)</f>
        <v>830001</v>
      </c>
      <c r="M3878">
        <f>VLOOKUP(Query1[[#This Row],[Description]],'kits to boards'!$B$2:$E$156,3,FALSE)</f>
        <v>0</v>
      </c>
      <c r="N3878">
        <f>VLOOKUP(Query1[[#This Row],[Description]],'kits to boards'!$B$2:$E$156,4,FALSE)</f>
        <v>0</v>
      </c>
      <c r="O3878" t="str">
        <f>CONCATENATE(Query1[[#This Row],[Description]]," - ",Query1[[#This Row],[MB1]]," - ",Query1[[#This Row],[MB2]]," - ",Query1[[#This Row],[MB3]])</f>
        <v>EVAP KIT 73-80 CHEV P-UP W/AC - 830001 - 0 - 0</v>
      </c>
    </row>
    <row r="3879" spans="1:15" x14ac:dyDescent="0.25">
      <c r="A3879" s="1">
        <v>919555</v>
      </c>
      <c r="B3879" s="1" t="s">
        <v>42</v>
      </c>
      <c r="C3879" s="1" t="s">
        <v>43</v>
      </c>
      <c r="D3879" s="2">
        <v>44664.450051157408</v>
      </c>
      <c r="E3879" s="1" t="s">
        <v>8</v>
      </c>
      <c r="F3879" s="1">
        <v>1</v>
      </c>
      <c r="G3879" s="1">
        <v>0</v>
      </c>
      <c r="H3879" s="6">
        <f>INT(Query1[[#This Row],[EntryDateTime]])</f>
        <v>44664</v>
      </c>
      <c r="I3879" s="1">
        <f>IF(Query1[[#This Row],[ItemType]]="EVAP KIT SF GEN IV",Query1[[#This Row],[OrderQty]]+I3878,I3878)</f>
        <v>4764</v>
      </c>
      <c r="J3879" s="1">
        <f>IF(Query1[[#This Row],[ItemType]]="EVAP KIT UNIVERSAL",Query1[[#This Row],[OrderQty]]+J3878,J3878)</f>
        <v>1626</v>
      </c>
      <c r="K3879" s="1">
        <f>Query1[[#This Row],[SF Running Total]]+Query1[[#This Row],[UNIV Running Total]]</f>
        <v>6390</v>
      </c>
      <c r="L3879">
        <f>VLOOKUP(Query1[[#This Row],[Description]],'kits to boards'!$B$2:$E$156,2,FALSE)</f>
        <v>830014</v>
      </c>
      <c r="M3879">
        <f>VLOOKUP(Query1[[#This Row],[Description]],'kits to boards'!$B$2:$E$156,3,FALSE)</f>
        <v>0</v>
      </c>
      <c r="N3879">
        <f>VLOOKUP(Query1[[#This Row],[Description]],'kits to boards'!$B$2:$E$156,4,FALSE)</f>
        <v>0</v>
      </c>
      <c r="O3879" t="str">
        <f>CONCATENATE(Query1[[#This Row],[Description]]," - ",Query1[[#This Row],[MB1]]," - ",Query1[[#This Row],[MB2]]," - ",Query1[[#This Row],[MB3]])</f>
        <v>EVAP KIT 67-72 CHEV P-UP WO AC - 830014 - 0 - 0</v>
      </c>
    </row>
    <row r="3880" spans="1:15" x14ac:dyDescent="0.25">
      <c r="A3880" s="1">
        <v>916533</v>
      </c>
      <c r="B3880" s="1" t="s">
        <v>14</v>
      </c>
      <c r="C3880" s="1" t="s">
        <v>15</v>
      </c>
      <c r="D3880" s="2">
        <v>44664.452511307871</v>
      </c>
      <c r="E3880" s="1" t="s">
        <v>8</v>
      </c>
      <c r="F3880" s="1">
        <v>1</v>
      </c>
      <c r="G3880" s="1">
        <v>0</v>
      </c>
      <c r="H3880" s="6">
        <f>INT(Query1[[#This Row],[EntryDateTime]])</f>
        <v>44664</v>
      </c>
      <c r="I3880" s="1">
        <f>IF(Query1[[#This Row],[ItemType]]="EVAP KIT SF GEN IV",Query1[[#This Row],[OrderQty]]+I3879,I3879)</f>
        <v>4765</v>
      </c>
      <c r="J3880" s="1">
        <f>IF(Query1[[#This Row],[ItemType]]="EVAP KIT UNIVERSAL",Query1[[#This Row],[OrderQty]]+J3879,J3879)</f>
        <v>1626</v>
      </c>
      <c r="K3880" s="1">
        <f>Query1[[#This Row],[SF Running Total]]+Query1[[#This Row],[UNIV Running Total]]</f>
        <v>6391</v>
      </c>
      <c r="L3880">
        <f>VLOOKUP(Query1[[#This Row],[Description]],'kits to boards'!$B$2:$E$156,2,FALSE)</f>
        <v>830054</v>
      </c>
      <c r="M3880">
        <f>VLOOKUP(Query1[[#This Row],[Description]],'kits to boards'!$B$2:$E$156,3,FALSE)</f>
        <v>0</v>
      </c>
      <c r="N3880">
        <f>VLOOKUP(Query1[[#This Row],[Description]],'kits to boards'!$B$2:$E$156,4,FALSE)</f>
        <v>0</v>
      </c>
      <c r="O3880" t="str">
        <f>CONCATENATE(Query1[[#This Row],[Description]]," - ",Query1[[#This Row],[MB1]]," - ",Query1[[#This Row],[MB2]]," - ",Query1[[#This Row],[MB3]])</f>
        <v>EVAP KIT 55-56 CHEVY - 830054 - 0 - 0</v>
      </c>
    </row>
    <row r="3881" spans="1:15" x14ac:dyDescent="0.25">
      <c r="A3881" s="1">
        <v>918332</v>
      </c>
      <c r="B3881" s="1" t="s">
        <v>160</v>
      </c>
      <c r="C3881" s="1" t="s">
        <v>161</v>
      </c>
      <c r="D3881" s="2">
        <v>44664.468523229167</v>
      </c>
      <c r="E3881" s="1" t="s">
        <v>8</v>
      </c>
      <c r="F3881" s="1">
        <v>1</v>
      </c>
      <c r="G3881" s="1">
        <v>0</v>
      </c>
      <c r="H3881" s="6">
        <f>INT(Query1[[#This Row],[EntryDateTime]])</f>
        <v>44664</v>
      </c>
      <c r="I3881" s="1">
        <f>IF(Query1[[#This Row],[ItemType]]="EVAP KIT SF GEN IV",Query1[[#This Row],[OrderQty]]+I3880,I3880)</f>
        <v>4766</v>
      </c>
      <c r="J3881" s="1">
        <f>IF(Query1[[#This Row],[ItemType]]="EVAP KIT UNIVERSAL",Query1[[#This Row],[OrderQty]]+J3880,J3880)</f>
        <v>1626</v>
      </c>
      <c r="K3881" s="1">
        <f>Query1[[#This Row],[SF Running Total]]+Query1[[#This Row],[UNIV Running Total]]</f>
        <v>6392</v>
      </c>
      <c r="L3881">
        <f>VLOOKUP(Query1[[#This Row],[Description]],'kits to boards'!$B$2:$E$156,2,FALSE)</f>
        <v>830083</v>
      </c>
      <c r="M3881">
        <f>VLOOKUP(Query1[[#This Row],[Description]],'kits to boards'!$B$2:$E$156,3,FALSE)</f>
        <v>0</v>
      </c>
      <c r="N3881">
        <f>VLOOKUP(Query1[[#This Row],[Description]],'kits to boards'!$B$2:$E$156,4,FALSE)</f>
        <v>0</v>
      </c>
      <c r="O3881" t="str">
        <f>CONCATENATE(Query1[[#This Row],[Description]]," - ",Query1[[#This Row],[MB1]]," - ",Query1[[#This Row],[MB2]]," - ",Query1[[#This Row],[MB3]])</f>
        <v>EVAP KIT 70-74 CHALNGR/CUDA WO AC - 830083 - 0 - 0</v>
      </c>
    </row>
    <row r="3882" spans="1:15" x14ac:dyDescent="0.25">
      <c r="A3882" s="1">
        <v>918334</v>
      </c>
      <c r="B3882" s="1" t="s">
        <v>182</v>
      </c>
      <c r="C3882" s="1" t="s">
        <v>183</v>
      </c>
      <c r="D3882" s="2">
        <v>44664.46889556713</v>
      </c>
      <c r="E3882" s="1" t="s">
        <v>8</v>
      </c>
      <c r="F3882" s="1">
        <v>1</v>
      </c>
      <c r="G3882" s="1">
        <v>0</v>
      </c>
      <c r="H3882" s="6">
        <f>INT(Query1[[#This Row],[EntryDateTime]])</f>
        <v>44664</v>
      </c>
      <c r="I3882" s="1">
        <f>IF(Query1[[#This Row],[ItemType]]="EVAP KIT SF GEN IV",Query1[[#This Row],[OrderQty]]+I3881,I3881)</f>
        <v>4767</v>
      </c>
      <c r="J3882" s="1">
        <f>IF(Query1[[#This Row],[ItemType]]="EVAP KIT UNIVERSAL",Query1[[#This Row],[OrderQty]]+J3881,J3881)</f>
        <v>1626</v>
      </c>
      <c r="K3882" s="1">
        <f>Query1[[#This Row],[SF Running Total]]+Query1[[#This Row],[UNIV Running Total]]</f>
        <v>6393</v>
      </c>
      <c r="L3882">
        <f>VLOOKUP(Query1[[#This Row],[Description]],'kits to boards'!$B$2:$E$156,2,FALSE)</f>
        <v>830075</v>
      </c>
      <c r="M3882">
        <f>VLOOKUP(Query1[[#This Row],[Description]],'kits to boards'!$B$2:$E$156,3,FALSE)</f>
        <v>0</v>
      </c>
      <c r="N3882">
        <f>VLOOKUP(Query1[[#This Row],[Description]],'kits to boards'!$B$2:$E$156,4,FALSE)</f>
        <v>0</v>
      </c>
      <c r="O3882" t="str">
        <f>CONCATENATE(Query1[[#This Row],[Description]]," - ",Query1[[#This Row],[MB1]]," - ",Query1[[#This Row],[MB2]]," - ",Query1[[#This Row],[MB3]])</f>
        <v>EVAP KIT 69-70 MOPAR B BODY WO AC - 830075 - 0 - 0</v>
      </c>
    </row>
    <row r="3883" spans="1:15" x14ac:dyDescent="0.25">
      <c r="A3883" s="1">
        <v>918335</v>
      </c>
      <c r="B3883" s="1" t="s">
        <v>261</v>
      </c>
      <c r="C3883" s="1" t="s">
        <v>262</v>
      </c>
      <c r="D3883" s="2">
        <v>44664.469591435183</v>
      </c>
      <c r="E3883" s="1" t="s">
        <v>8</v>
      </c>
      <c r="F3883" s="1">
        <v>1</v>
      </c>
      <c r="G3883" s="1">
        <v>0</v>
      </c>
      <c r="H3883" s="6">
        <f>INT(Query1[[#This Row],[EntryDateTime]])</f>
        <v>44664</v>
      </c>
      <c r="I3883" s="1">
        <f>IF(Query1[[#This Row],[ItemType]]="EVAP KIT SF GEN IV",Query1[[#This Row],[OrderQty]]+I3882,I3882)</f>
        <v>4768</v>
      </c>
      <c r="J3883" s="1">
        <f>IF(Query1[[#This Row],[ItemType]]="EVAP KIT UNIVERSAL",Query1[[#This Row],[OrderQty]]+J3882,J3882)</f>
        <v>1626</v>
      </c>
      <c r="K3883" s="1">
        <f>Query1[[#This Row],[SF Running Total]]+Query1[[#This Row],[UNIV Running Total]]</f>
        <v>6394</v>
      </c>
      <c r="L3883">
        <f>VLOOKUP(Query1[[#This Row],[Description]],'kits to boards'!$B$2:$E$156,2,FALSE)</f>
        <v>830074</v>
      </c>
      <c r="M3883">
        <f>VLOOKUP(Query1[[#This Row],[Description]],'kits to boards'!$B$2:$E$156,3,FALSE)</f>
        <v>0</v>
      </c>
      <c r="N3883">
        <f>VLOOKUP(Query1[[#This Row],[Description]],'kits to boards'!$B$2:$E$156,4,FALSE)</f>
        <v>0</v>
      </c>
      <c r="O3883" t="str">
        <f>CONCATENATE(Query1[[#This Row],[Description]]," - ",Query1[[#This Row],[MB1]]," - ",Query1[[#This Row],[MB2]]," - ",Query1[[#This Row],[MB3]])</f>
        <v>EVAP KIT 68 MOPAR B BODY W/AC - 830074 - 0 - 0</v>
      </c>
    </row>
    <row r="3884" spans="1:15" x14ac:dyDescent="0.25">
      <c r="A3884" s="1">
        <v>918337</v>
      </c>
      <c r="B3884" s="1" t="s">
        <v>66</v>
      </c>
      <c r="C3884" s="1" t="s">
        <v>67</v>
      </c>
      <c r="D3884" s="2">
        <v>44664.469981284725</v>
      </c>
      <c r="E3884" s="1" t="s">
        <v>8</v>
      </c>
      <c r="F3884" s="1">
        <v>1</v>
      </c>
      <c r="G3884" s="1">
        <v>0</v>
      </c>
      <c r="H3884" s="6">
        <f>INT(Query1[[#This Row],[EntryDateTime]])</f>
        <v>44664</v>
      </c>
      <c r="I3884" s="1">
        <f>IF(Query1[[#This Row],[ItemType]]="EVAP KIT SF GEN IV",Query1[[#This Row],[OrderQty]]+I3883,I3883)</f>
        <v>4769</v>
      </c>
      <c r="J3884" s="1">
        <f>IF(Query1[[#This Row],[ItemType]]="EVAP KIT UNIVERSAL",Query1[[#This Row],[OrderQty]]+J3883,J3883)</f>
        <v>1626</v>
      </c>
      <c r="K3884" s="1">
        <f>Query1[[#This Row],[SF Running Total]]+Query1[[#This Row],[UNIV Running Total]]</f>
        <v>6395</v>
      </c>
      <c r="L3884">
        <f>VLOOKUP(Query1[[#This Row],[Description]],'kits to boards'!$B$2:$E$156,2,FALSE)</f>
        <v>830060</v>
      </c>
      <c r="M3884">
        <f>VLOOKUP(Query1[[#This Row],[Description]],'kits to boards'!$B$2:$E$156,3,FALSE)</f>
        <v>0</v>
      </c>
      <c r="N3884">
        <f>VLOOKUP(Query1[[#This Row],[Description]],'kits to boards'!$B$2:$E$156,4,FALSE)</f>
        <v>0</v>
      </c>
      <c r="O3884" t="str">
        <f>CONCATENATE(Query1[[#This Row],[Description]]," - ",Query1[[#This Row],[MB1]]," - ",Query1[[#This Row],[MB2]]," - ",Query1[[#This Row],[MB3]])</f>
        <v>EVAP KIT 66-67 CHEVELLE WO AC - 830060 - 0 - 0</v>
      </c>
    </row>
    <row r="3885" spans="1:15" x14ac:dyDescent="0.25">
      <c r="A3885" s="1">
        <v>918339</v>
      </c>
      <c r="B3885" s="1" t="s">
        <v>52</v>
      </c>
      <c r="C3885" s="1" t="s">
        <v>53</v>
      </c>
      <c r="D3885" s="2">
        <v>44664.470585613424</v>
      </c>
      <c r="E3885" s="1" t="s">
        <v>8</v>
      </c>
      <c r="F3885" s="1">
        <v>1</v>
      </c>
      <c r="G3885" s="1">
        <v>0</v>
      </c>
      <c r="H3885" s="6">
        <f>INT(Query1[[#This Row],[EntryDateTime]])</f>
        <v>44664</v>
      </c>
      <c r="I3885" s="1">
        <f>IF(Query1[[#This Row],[ItemType]]="EVAP KIT SF GEN IV",Query1[[#This Row],[OrderQty]]+I3884,I3884)</f>
        <v>4770</v>
      </c>
      <c r="J3885" s="1">
        <f>IF(Query1[[#This Row],[ItemType]]="EVAP KIT UNIVERSAL",Query1[[#This Row],[OrderQty]]+J3884,J3884)</f>
        <v>1626</v>
      </c>
      <c r="K3885" s="1">
        <f>Query1[[#This Row],[SF Running Total]]+Query1[[#This Row],[UNIV Running Total]]</f>
        <v>6396</v>
      </c>
      <c r="L3885">
        <f>VLOOKUP(Query1[[#This Row],[Description]],'kits to boards'!$B$2:$E$156,2,FALSE)</f>
        <v>830017</v>
      </c>
      <c r="M3885">
        <f>VLOOKUP(Query1[[#This Row],[Description]],'kits to boards'!$B$2:$E$156,3,FALSE)</f>
        <v>830119</v>
      </c>
      <c r="N3885">
        <f>VLOOKUP(Query1[[#This Row],[Description]],'kits to boards'!$B$2:$E$156,4,FALSE)</f>
        <v>830120</v>
      </c>
      <c r="O3885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886" spans="1:15" x14ac:dyDescent="0.25">
      <c r="A3886" s="1">
        <v>919561</v>
      </c>
      <c r="B3886" s="1" t="s">
        <v>88</v>
      </c>
      <c r="C3886" s="1" t="s">
        <v>89</v>
      </c>
      <c r="D3886" s="2">
        <v>44664.473781365741</v>
      </c>
      <c r="E3886" s="1" t="s">
        <v>8</v>
      </c>
      <c r="F3886" s="1">
        <v>1</v>
      </c>
      <c r="G3886" s="1">
        <v>0</v>
      </c>
      <c r="H3886" s="6">
        <f>INT(Query1[[#This Row],[EntryDateTime]])</f>
        <v>44664</v>
      </c>
      <c r="I3886" s="1">
        <f>IF(Query1[[#This Row],[ItemType]]="EVAP KIT SF GEN IV",Query1[[#This Row],[OrderQty]]+I3885,I3885)</f>
        <v>4771</v>
      </c>
      <c r="J3886" s="1">
        <f>IF(Query1[[#This Row],[ItemType]]="EVAP KIT UNIVERSAL",Query1[[#This Row],[OrderQty]]+J3885,J3885)</f>
        <v>1626</v>
      </c>
      <c r="K3886" s="1">
        <f>Query1[[#This Row],[SF Running Total]]+Query1[[#This Row],[UNIV Running Total]]</f>
        <v>6397</v>
      </c>
      <c r="L3886">
        <f>VLOOKUP(Query1[[#This Row],[Description]],'kits to boards'!$B$2:$E$156,2,FALSE)</f>
        <v>830003</v>
      </c>
      <c r="M3886">
        <f>VLOOKUP(Query1[[#This Row],[Description]],'kits to boards'!$B$2:$E$156,3,FALSE)</f>
        <v>0</v>
      </c>
      <c r="N3886">
        <f>VLOOKUP(Query1[[#This Row],[Description]],'kits to boards'!$B$2:$E$156,4,FALSE)</f>
        <v>0</v>
      </c>
      <c r="O3886" t="str">
        <f>CONCATENATE(Query1[[#This Row],[Description]]," - ",Query1[[#This Row],[MB1]]," - ",Query1[[#This Row],[MB2]]," - ",Query1[[#This Row],[MB3]])</f>
        <v>EVAP KIT 81-87 CHEV P-UP WO AC - 830003 - 0 - 0</v>
      </c>
    </row>
    <row r="3887" spans="1:15" x14ac:dyDescent="0.25">
      <c r="A3887" s="1">
        <v>919563</v>
      </c>
      <c r="B3887" s="1" t="s">
        <v>98</v>
      </c>
      <c r="C3887" s="1" t="s">
        <v>99</v>
      </c>
      <c r="D3887" s="2">
        <v>44664.476895601852</v>
      </c>
      <c r="E3887" s="1" t="s">
        <v>11</v>
      </c>
      <c r="F3887" s="1">
        <v>1</v>
      </c>
      <c r="G3887" s="1">
        <v>0</v>
      </c>
      <c r="H3887" s="6">
        <f>INT(Query1[[#This Row],[EntryDateTime]])</f>
        <v>44664</v>
      </c>
      <c r="I3887" s="1">
        <f>IF(Query1[[#This Row],[ItemType]]="EVAP KIT SF GEN IV",Query1[[#This Row],[OrderQty]]+I3886,I3886)</f>
        <v>4771</v>
      </c>
      <c r="J3887" s="1">
        <f>IF(Query1[[#This Row],[ItemType]]="EVAP KIT UNIVERSAL",Query1[[#This Row],[OrderQty]]+J3886,J3886)</f>
        <v>1627</v>
      </c>
      <c r="K3887" s="1">
        <f>Query1[[#This Row],[SF Running Total]]+Query1[[#This Row],[UNIV Running Total]]</f>
        <v>6398</v>
      </c>
      <c r="L3887">
        <f>VLOOKUP(Query1[[#This Row],[Description]],'kits to boards'!$B$2:$E$156,2,FALSE)</f>
        <v>830099</v>
      </c>
      <c r="M3887">
        <f>VLOOKUP(Query1[[#This Row],[Description]],'kits to boards'!$B$2:$E$156,3,FALSE)</f>
        <v>0</v>
      </c>
      <c r="N3887">
        <f>VLOOKUP(Query1[[#This Row],[Description]],'kits to boards'!$B$2:$E$156,4,FALSE)</f>
        <v>0</v>
      </c>
      <c r="O3887" t="str">
        <f>CONCATENATE(Query1[[#This Row],[Description]]," - ",Query1[[#This Row],[MB1]]," - ",Query1[[#This Row],[MB2]]," - ",Query1[[#This Row],[MB3]])</f>
        <v>MINI GEN II W/DEF - 830099 - 0 - 0</v>
      </c>
    </row>
    <row r="3888" spans="1:15" x14ac:dyDescent="0.25">
      <c r="A3888" s="1">
        <v>919564</v>
      </c>
      <c r="B3888" s="1" t="s">
        <v>66</v>
      </c>
      <c r="C3888" s="1" t="s">
        <v>67</v>
      </c>
      <c r="D3888" s="2">
        <v>44664.478495405092</v>
      </c>
      <c r="E3888" s="1" t="s">
        <v>8</v>
      </c>
      <c r="F3888" s="1">
        <v>1</v>
      </c>
      <c r="G3888" s="1">
        <v>0</v>
      </c>
      <c r="H3888" s="6">
        <f>INT(Query1[[#This Row],[EntryDateTime]])</f>
        <v>44664</v>
      </c>
      <c r="I3888" s="1">
        <f>IF(Query1[[#This Row],[ItemType]]="EVAP KIT SF GEN IV",Query1[[#This Row],[OrderQty]]+I3887,I3887)</f>
        <v>4772</v>
      </c>
      <c r="J3888" s="1">
        <f>IF(Query1[[#This Row],[ItemType]]="EVAP KIT UNIVERSAL",Query1[[#This Row],[OrderQty]]+J3887,J3887)</f>
        <v>1627</v>
      </c>
      <c r="K3888" s="1">
        <f>Query1[[#This Row],[SF Running Total]]+Query1[[#This Row],[UNIV Running Total]]</f>
        <v>6399</v>
      </c>
      <c r="L3888">
        <f>VLOOKUP(Query1[[#This Row],[Description]],'kits to boards'!$B$2:$E$156,2,FALSE)</f>
        <v>830060</v>
      </c>
      <c r="M3888">
        <f>VLOOKUP(Query1[[#This Row],[Description]],'kits to boards'!$B$2:$E$156,3,FALSE)</f>
        <v>0</v>
      </c>
      <c r="N3888">
        <f>VLOOKUP(Query1[[#This Row],[Description]],'kits to boards'!$B$2:$E$156,4,FALSE)</f>
        <v>0</v>
      </c>
      <c r="O3888" t="str">
        <f>CONCATENATE(Query1[[#This Row],[Description]]," - ",Query1[[#This Row],[MB1]]," - ",Query1[[#This Row],[MB2]]," - ",Query1[[#This Row],[MB3]])</f>
        <v>EVAP KIT 66-67 CHEVELLE WO AC - 830060 - 0 - 0</v>
      </c>
    </row>
    <row r="3889" spans="1:15" x14ac:dyDescent="0.25">
      <c r="A3889" s="1">
        <v>919566</v>
      </c>
      <c r="B3889" s="1" t="s">
        <v>42</v>
      </c>
      <c r="C3889" s="1" t="s">
        <v>43</v>
      </c>
      <c r="D3889" s="2">
        <v>44664.482000497686</v>
      </c>
      <c r="E3889" s="1" t="s">
        <v>8</v>
      </c>
      <c r="F3889" s="1">
        <v>1</v>
      </c>
      <c r="G3889" s="1">
        <v>0</v>
      </c>
      <c r="H3889" s="6">
        <f>INT(Query1[[#This Row],[EntryDateTime]])</f>
        <v>44664</v>
      </c>
      <c r="I3889" s="1">
        <f>IF(Query1[[#This Row],[ItemType]]="EVAP KIT SF GEN IV",Query1[[#This Row],[OrderQty]]+I3888,I3888)</f>
        <v>4773</v>
      </c>
      <c r="J3889" s="1">
        <f>IF(Query1[[#This Row],[ItemType]]="EVAP KIT UNIVERSAL",Query1[[#This Row],[OrderQty]]+J3888,J3888)</f>
        <v>1627</v>
      </c>
      <c r="K3889" s="1">
        <f>Query1[[#This Row],[SF Running Total]]+Query1[[#This Row],[UNIV Running Total]]</f>
        <v>6400</v>
      </c>
      <c r="L3889">
        <f>VLOOKUP(Query1[[#This Row],[Description]],'kits to boards'!$B$2:$E$156,2,FALSE)</f>
        <v>830014</v>
      </c>
      <c r="M3889">
        <f>VLOOKUP(Query1[[#This Row],[Description]],'kits to boards'!$B$2:$E$156,3,FALSE)</f>
        <v>0</v>
      </c>
      <c r="N3889">
        <f>VLOOKUP(Query1[[#This Row],[Description]],'kits to boards'!$B$2:$E$156,4,FALSE)</f>
        <v>0</v>
      </c>
      <c r="O3889" t="str">
        <f>CONCATENATE(Query1[[#This Row],[Description]]," - ",Query1[[#This Row],[MB1]]," - ",Query1[[#This Row],[MB2]]," - ",Query1[[#This Row],[MB3]])</f>
        <v>EVAP KIT 67-72 CHEV P-UP WO AC - 830014 - 0 - 0</v>
      </c>
    </row>
    <row r="3890" spans="1:15" x14ac:dyDescent="0.25">
      <c r="A3890" s="1">
        <v>909846</v>
      </c>
      <c r="B3890" s="1" t="s">
        <v>102</v>
      </c>
      <c r="C3890" s="1" t="s">
        <v>103</v>
      </c>
      <c r="D3890" s="2">
        <v>44664.484801932871</v>
      </c>
      <c r="E3890" s="1" t="s">
        <v>8</v>
      </c>
      <c r="F3890" s="1">
        <v>1</v>
      </c>
      <c r="G3890" s="1">
        <v>0</v>
      </c>
      <c r="H3890" s="6">
        <f>INT(Query1[[#This Row],[EntryDateTime]])</f>
        <v>44664</v>
      </c>
      <c r="I3890" s="1">
        <f>IF(Query1[[#This Row],[ItemType]]="EVAP KIT SF GEN IV",Query1[[#This Row],[OrderQty]]+I3889,I3889)</f>
        <v>4774</v>
      </c>
      <c r="J3890" s="1">
        <f>IF(Query1[[#This Row],[ItemType]]="EVAP KIT UNIVERSAL",Query1[[#This Row],[OrderQty]]+J3889,J3889)</f>
        <v>1627</v>
      </c>
      <c r="K3890" s="1">
        <f>Query1[[#This Row],[SF Running Total]]+Query1[[#This Row],[UNIV Running Total]]</f>
        <v>6401</v>
      </c>
      <c r="L3890">
        <f>VLOOKUP(Query1[[#This Row],[Description]],'kits to boards'!$B$2:$E$156,2,FALSE)</f>
        <v>830012</v>
      </c>
      <c r="M3890">
        <f>VLOOKUP(Query1[[#This Row],[Description]],'kits to boards'!$B$2:$E$156,3,FALSE)</f>
        <v>0</v>
      </c>
      <c r="N3890">
        <f>VLOOKUP(Query1[[#This Row],[Description]],'kits to boards'!$B$2:$E$156,4,FALSE)</f>
        <v>0</v>
      </c>
      <c r="O3890" t="str">
        <f>CONCATENATE(Query1[[#This Row],[Description]]," - ",Query1[[#This Row],[MB1]]," - ",Query1[[#This Row],[MB2]]," - ",Query1[[#This Row],[MB3]])</f>
        <v>EVAP KIT 69 CAMARO WO/AC - 830012 - 0 - 0</v>
      </c>
    </row>
    <row r="3891" spans="1:15" x14ac:dyDescent="0.25">
      <c r="A3891" s="1">
        <v>917889</v>
      </c>
      <c r="B3891" s="1" t="s">
        <v>22</v>
      </c>
      <c r="C3891" s="1" t="s">
        <v>23</v>
      </c>
      <c r="D3891" s="2">
        <v>44664.490951006941</v>
      </c>
      <c r="E3891" s="1" t="s">
        <v>8</v>
      </c>
      <c r="F3891" s="1">
        <v>1</v>
      </c>
      <c r="G3891" s="1">
        <v>0</v>
      </c>
      <c r="H3891" s="6">
        <f>INT(Query1[[#This Row],[EntryDateTime]])</f>
        <v>44664</v>
      </c>
      <c r="I3891" s="1">
        <f>IF(Query1[[#This Row],[ItemType]]="EVAP KIT SF GEN IV",Query1[[#This Row],[OrderQty]]+I3890,I3890)</f>
        <v>4775</v>
      </c>
      <c r="J3891" s="1">
        <f>IF(Query1[[#This Row],[ItemType]]="EVAP KIT UNIVERSAL",Query1[[#This Row],[OrderQty]]+J3890,J3890)</f>
        <v>1627</v>
      </c>
      <c r="K3891" s="1">
        <f>Query1[[#This Row],[SF Running Total]]+Query1[[#This Row],[UNIV Running Total]]</f>
        <v>6402</v>
      </c>
      <c r="L3891">
        <f>VLOOKUP(Query1[[#This Row],[Description]],'kits to boards'!$B$2:$E$156,2,FALSE)</f>
        <v>830083</v>
      </c>
      <c r="M3891">
        <f>VLOOKUP(Query1[[#This Row],[Description]],'kits to boards'!$B$2:$E$156,3,FALSE)</f>
        <v>0</v>
      </c>
      <c r="N3891">
        <f>VLOOKUP(Query1[[#This Row],[Description]],'kits to boards'!$B$2:$E$156,4,FALSE)</f>
        <v>0</v>
      </c>
      <c r="O3891" t="str">
        <f>CONCATENATE(Query1[[#This Row],[Description]]," - ",Query1[[#This Row],[MB1]]," - ",Query1[[#This Row],[MB2]]," - ",Query1[[#This Row],[MB3]])</f>
        <v>GEN IV MAGNUM EVAP KIT - 830083 - 0 - 0</v>
      </c>
    </row>
    <row r="3892" spans="1:15" x14ac:dyDescent="0.25">
      <c r="A3892" s="1">
        <v>918787</v>
      </c>
      <c r="B3892" s="1" t="s">
        <v>46</v>
      </c>
      <c r="C3892" s="1" t="s">
        <v>47</v>
      </c>
      <c r="D3892" s="2">
        <v>44664.492019988429</v>
      </c>
      <c r="E3892" s="1" t="s">
        <v>8</v>
      </c>
      <c r="F3892" s="1">
        <v>1</v>
      </c>
      <c r="G3892" s="1">
        <v>0</v>
      </c>
      <c r="H3892" s="6">
        <f>INT(Query1[[#This Row],[EntryDateTime]])</f>
        <v>44664</v>
      </c>
      <c r="I3892" s="1">
        <f>IF(Query1[[#This Row],[ItemType]]="EVAP KIT SF GEN IV",Query1[[#This Row],[OrderQty]]+I3891,I3891)</f>
        <v>4776</v>
      </c>
      <c r="J3892" s="1">
        <f>IF(Query1[[#This Row],[ItemType]]="EVAP KIT UNIVERSAL",Query1[[#This Row],[OrderQty]]+J3891,J3891)</f>
        <v>1627</v>
      </c>
      <c r="K3892" s="1">
        <f>Query1[[#This Row],[SF Running Total]]+Query1[[#This Row],[UNIV Running Total]]</f>
        <v>6403</v>
      </c>
      <c r="L3892">
        <f>VLOOKUP(Query1[[#This Row],[Description]],'kits to boards'!$B$2:$E$156,2,FALSE)</f>
        <v>830018</v>
      </c>
      <c r="M3892">
        <f>VLOOKUP(Query1[[#This Row],[Description]],'kits to boards'!$B$2:$E$156,3,FALSE)</f>
        <v>0</v>
      </c>
      <c r="N3892">
        <f>VLOOKUP(Query1[[#This Row],[Description]],'kits to boards'!$B$2:$E$156,4,FALSE)</f>
        <v>0</v>
      </c>
      <c r="O3892" t="str">
        <f>CONCATENATE(Query1[[#This Row],[Description]]," - ",Query1[[#This Row],[MB1]]," - ",Query1[[#This Row],[MB2]]," - ",Query1[[#This Row],[MB3]])</f>
        <v>EVAP KIT 68-72 FORD P-UP F-100 - 830018 - 0 - 0</v>
      </c>
    </row>
    <row r="3893" spans="1:15" x14ac:dyDescent="0.25">
      <c r="A3893" s="1">
        <v>918990</v>
      </c>
      <c r="B3893" s="1" t="s">
        <v>42</v>
      </c>
      <c r="C3893" s="1" t="s">
        <v>43</v>
      </c>
      <c r="D3893" s="2">
        <v>44664.498461377312</v>
      </c>
      <c r="E3893" s="1" t="s">
        <v>8</v>
      </c>
      <c r="F3893" s="1">
        <v>3</v>
      </c>
      <c r="G3893" s="1">
        <v>0</v>
      </c>
      <c r="H3893" s="6">
        <f>INT(Query1[[#This Row],[EntryDateTime]])</f>
        <v>44664</v>
      </c>
      <c r="I3893" s="1">
        <f>IF(Query1[[#This Row],[ItemType]]="EVAP KIT SF GEN IV",Query1[[#This Row],[OrderQty]]+I3892,I3892)</f>
        <v>4779</v>
      </c>
      <c r="J3893" s="1">
        <f>IF(Query1[[#This Row],[ItemType]]="EVAP KIT UNIVERSAL",Query1[[#This Row],[OrderQty]]+J3892,J3892)</f>
        <v>1627</v>
      </c>
      <c r="K3893" s="1">
        <f>Query1[[#This Row],[SF Running Total]]+Query1[[#This Row],[UNIV Running Total]]</f>
        <v>6406</v>
      </c>
      <c r="L3893">
        <f>VLOOKUP(Query1[[#This Row],[Description]],'kits to boards'!$B$2:$E$156,2,FALSE)</f>
        <v>830014</v>
      </c>
      <c r="M3893">
        <f>VLOOKUP(Query1[[#This Row],[Description]],'kits to boards'!$B$2:$E$156,3,FALSE)</f>
        <v>0</v>
      </c>
      <c r="N3893">
        <f>VLOOKUP(Query1[[#This Row],[Description]],'kits to boards'!$B$2:$E$156,4,FALSE)</f>
        <v>0</v>
      </c>
      <c r="O3893" t="str">
        <f>CONCATENATE(Query1[[#This Row],[Description]]," - ",Query1[[#This Row],[MB1]]," - ",Query1[[#This Row],[MB2]]," - ",Query1[[#This Row],[MB3]])</f>
        <v>EVAP KIT 67-72 CHEV P-UP WO AC - 830014 - 0 - 0</v>
      </c>
    </row>
    <row r="3894" spans="1:15" x14ac:dyDescent="0.25">
      <c r="A3894" s="1">
        <v>918990</v>
      </c>
      <c r="B3894" s="1" t="s">
        <v>42</v>
      </c>
      <c r="C3894" s="1" t="s">
        <v>43</v>
      </c>
      <c r="D3894" s="2">
        <v>44664.498461377312</v>
      </c>
      <c r="E3894" s="1" t="s">
        <v>8</v>
      </c>
      <c r="F3894" s="1">
        <v>7</v>
      </c>
      <c r="G3894" s="1">
        <v>0</v>
      </c>
      <c r="H3894" s="6">
        <f>INT(Query1[[#This Row],[EntryDateTime]])</f>
        <v>44664</v>
      </c>
      <c r="I3894" s="1">
        <f>IF(Query1[[#This Row],[ItemType]]="EVAP KIT SF GEN IV",Query1[[#This Row],[OrderQty]]+I3893,I3893)</f>
        <v>4786</v>
      </c>
      <c r="J3894" s="1">
        <f>IF(Query1[[#This Row],[ItemType]]="EVAP KIT UNIVERSAL",Query1[[#This Row],[OrderQty]]+J3893,J3893)</f>
        <v>1627</v>
      </c>
      <c r="K3894" s="1">
        <f>Query1[[#This Row],[SF Running Total]]+Query1[[#This Row],[UNIV Running Total]]</f>
        <v>6413</v>
      </c>
      <c r="L3894">
        <f>VLOOKUP(Query1[[#This Row],[Description]],'kits to boards'!$B$2:$E$156,2,FALSE)</f>
        <v>830014</v>
      </c>
      <c r="M3894">
        <f>VLOOKUP(Query1[[#This Row],[Description]],'kits to boards'!$B$2:$E$156,3,FALSE)</f>
        <v>0</v>
      </c>
      <c r="N3894">
        <f>VLOOKUP(Query1[[#This Row],[Description]],'kits to boards'!$B$2:$E$156,4,FALSE)</f>
        <v>0</v>
      </c>
      <c r="O3894" t="str">
        <f>CONCATENATE(Query1[[#This Row],[Description]]," - ",Query1[[#This Row],[MB1]]," - ",Query1[[#This Row],[MB2]]," - ",Query1[[#This Row],[MB3]])</f>
        <v>EVAP KIT 67-72 CHEV P-UP WO AC - 830014 - 0 - 0</v>
      </c>
    </row>
    <row r="3895" spans="1:15" x14ac:dyDescent="0.25">
      <c r="A3895" s="1">
        <v>917820</v>
      </c>
      <c r="B3895" s="1" t="s">
        <v>26</v>
      </c>
      <c r="C3895" s="1" t="s">
        <v>27</v>
      </c>
      <c r="D3895" s="2">
        <v>44664.531586458332</v>
      </c>
      <c r="E3895" s="1" t="s">
        <v>8</v>
      </c>
      <c r="F3895" s="1">
        <v>2</v>
      </c>
      <c r="G3895" s="1">
        <v>0</v>
      </c>
      <c r="H3895" s="6">
        <f>INT(Query1[[#This Row],[EntryDateTime]])</f>
        <v>44664</v>
      </c>
      <c r="I3895" s="1">
        <f>IF(Query1[[#This Row],[ItemType]]="EVAP KIT SF GEN IV",Query1[[#This Row],[OrderQty]]+I3894,I3894)</f>
        <v>4788</v>
      </c>
      <c r="J3895" s="1">
        <f>IF(Query1[[#This Row],[ItemType]]="EVAP KIT UNIVERSAL",Query1[[#This Row],[OrderQty]]+J3894,J3894)</f>
        <v>1627</v>
      </c>
      <c r="K3895" s="1">
        <f>Query1[[#This Row],[SF Running Total]]+Query1[[#This Row],[UNIV Running Total]]</f>
        <v>6415</v>
      </c>
      <c r="L3895">
        <f>VLOOKUP(Query1[[#This Row],[Description]],'kits to boards'!$B$2:$E$156,2,FALSE)</f>
        <v>830013</v>
      </c>
      <c r="M3895">
        <f>VLOOKUP(Query1[[#This Row],[Description]],'kits to boards'!$B$2:$E$156,3,FALSE)</f>
        <v>0</v>
      </c>
      <c r="N3895">
        <f>VLOOKUP(Query1[[#This Row],[Description]],'kits to boards'!$B$2:$E$156,4,FALSE)</f>
        <v>0</v>
      </c>
      <c r="O3895" t="str">
        <f>CONCATENATE(Query1[[#This Row],[Description]]," - ",Query1[[#This Row],[MB1]]," - ",Query1[[#This Row],[MB2]]," - ",Query1[[#This Row],[MB3]])</f>
        <v>EVAP KIT 67-72 CHEV P-UP W/AC - 830013 - 0 - 0</v>
      </c>
    </row>
    <row r="3896" spans="1:15" x14ac:dyDescent="0.25">
      <c r="A3896" s="1">
        <v>919602</v>
      </c>
      <c r="B3896" s="1" t="s">
        <v>152</v>
      </c>
      <c r="C3896" s="1" t="s">
        <v>153</v>
      </c>
      <c r="D3896" s="2">
        <v>44664.559039618056</v>
      </c>
      <c r="E3896" s="1" t="s">
        <v>8</v>
      </c>
      <c r="F3896" s="1">
        <v>1</v>
      </c>
      <c r="G3896" s="1">
        <v>0</v>
      </c>
      <c r="H3896" s="6">
        <f>INT(Query1[[#This Row],[EntryDateTime]])</f>
        <v>44664</v>
      </c>
      <c r="I3896" s="1">
        <f>IF(Query1[[#This Row],[ItemType]]="EVAP KIT SF GEN IV",Query1[[#This Row],[OrderQty]]+I3895,I3895)</f>
        <v>4789</v>
      </c>
      <c r="J3896" s="1">
        <f>IF(Query1[[#This Row],[ItemType]]="EVAP KIT UNIVERSAL",Query1[[#This Row],[OrderQty]]+J3895,J3895)</f>
        <v>1627</v>
      </c>
      <c r="K3896" s="1">
        <f>Query1[[#This Row],[SF Running Total]]+Query1[[#This Row],[UNIV Running Total]]</f>
        <v>6416</v>
      </c>
      <c r="L3896">
        <f>VLOOKUP(Query1[[#This Row],[Description]],'kits to boards'!$B$2:$E$156,2,FALSE)</f>
        <v>830034</v>
      </c>
      <c r="M3896">
        <f>VLOOKUP(Query1[[#This Row],[Description]],'kits to boards'!$B$2:$E$156,3,FALSE)</f>
        <v>0</v>
      </c>
      <c r="N3896">
        <f>VLOOKUP(Query1[[#This Row],[Description]],'kits to boards'!$B$2:$E$156,4,FALSE)</f>
        <v>0</v>
      </c>
      <c r="O3896" t="str">
        <f>CONCATENATE(Query1[[#This Row],[Description]]," - ",Query1[[#This Row],[MB1]]," - ",Query1[[#This Row],[MB2]]," - ",Query1[[#This Row],[MB3]])</f>
        <v>EVAP KIT 64-67 GTO WO AC - 830034 - 0 - 0</v>
      </c>
    </row>
    <row r="3897" spans="1:15" x14ac:dyDescent="0.25">
      <c r="A3897" s="1">
        <v>919605</v>
      </c>
      <c r="B3897" s="1" t="s">
        <v>98</v>
      </c>
      <c r="C3897" s="1" t="s">
        <v>99</v>
      </c>
      <c r="D3897" s="2">
        <v>44664.565221956022</v>
      </c>
      <c r="E3897" s="1" t="s">
        <v>11</v>
      </c>
      <c r="F3897" s="1">
        <v>1</v>
      </c>
      <c r="G3897" s="1">
        <v>0</v>
      </c>
      <c r="H3897" s="6">
        <f>INT(Query1[[#This Row],[EntryDateTime]])</f>
        <v>44664</v>
      </c>
      <c r="I3897" s="1">
        <f>IF(Query1[[#This Row],[ItemType]]="EVAP KIT SF GEN IV",Query1[[#This Row],[OrderQty]]+I3896,I3896)</f>
        <v>4789</v>
      </c>
      <c r="J3897" s="1">
        <f>IF(Query1[[#This Row],[ItemType]]="EVAP KIT UNIVERSAL",Query1[[#This Row],[OrderQty]]+J3896,J3896)</f>
        <v>1628</v>
      </c>
      <c r="K3897" s="1">
        <f>Query1[[#This Row],[SF Running Total]]+Query1[[#This Row],[UNIV Running Total]]</f>
        <v>6417</v>
      </c>
      <c r="L3897">
        <f>VLOOKUP(Query1[[#This Row],[Description]],'kits to boards'!$B$2:$E$156,2,FALSE)</f>
        <v>830099</v>
      </c>
      <c r="M3897">
        <f>VLOOKUP(Query1[[#This Row],[Description]],'kits to boards'!$B$2:$E$156,3,FALSE)</f>
        <v>0</v>
      </c>
      <c r="N3897">
        <f>VLOOKUP(Query1[[#This Row],[Description]],'kits to boards'!$B$2:$E$156,4,FALSE)</f>
        <v>0</v>
      </c>
      <c r="O3897" t="str">
        <f>CONCATENATE(Query1[[#This Row],[Description]]," - ",Query1[[#This Row],[MB1]]," - ",Query1[[#This Row],[MB2]]," - ",Query1[[#This Row],[MB3]])</f>
        <v>MINI GEN II W/DEF - 830099 - 0 - 0</v>
      </c>
    </row>
    <row r="3898" spans="1:15" x14ac:dyDescent="0.25">
      <c r="A3898" s="1">
        <v>919586</v>
      </c>
      <c r="B3898" s="1" t="s">
        <v>162</v>
      </c>
      <c r="C3898" s="1" t="s">
        <v>163</v>
      </c>
      <c r="D3898" s="2">
        <v>44664.586762534724</v>
      </c>
      <c r="E3898" s="1" t="s">
        <v>8</v>
      </c>
      <c r="F3898" s="1">
        <v>1</v>
      </c>
      <c r="G3898" s="1">
        <v>0</v>
      </c>
      <c r="H3898" s="6">
        <f>INT(Query1[[#This Row],[EntryDateTime]])</f>
        <v>44664</v>
      </c>
      <c r="I3898" s="1">
        <f>IF(Query1[[#This Row],[ItemType]]="EVAP KIT SF GEN IV",Query1[[#This Row],[OrderQty]]+I3897,I3897)</f>
        <v>4790</v>
      </c>
      <c r="J3898" s="1">
        <f>IF(Query1[[#This Row],[ItemType]]="EVAP KIT UNIVERSAL",Query1[[#This Row],[OrderQty]]+J3897,J3897)</f>
        <v>1628</v>
      </c>
      <c r="K3898" s="1">
        <f>Query1[[#This Row],[SF Running Total]]+Query1[[#This Row],[UNIV Running Total]]</f>
        <v>6418</v>
      </c>
      <c r="L3898">
        <f>VLOOKUP(Query1[[#This Row],[Description]],'kits to boards'!$B$2:$E$156,2,FALSE)</f>
        <v>830083</v>
      </c>
      <c r="M3898">
        <f>VLOOKUP(Query1[[#This Row],[Description]],'kits to boards'!$B$2:$E$156,3,FALSE)</f>
        <v>0</v>
      </c>
      <c r="N3898">
        <f>VLOOKUP(Query1[[#This Row],[Description]],'kits to boards'!$B$2:$E$156,4,FALSE)</f>
        <v>0</v>
      </c>
      <c r="O3898" t="str">
        <f>CONCATENATE(Query1[[#This Row],[Description]]," - ",Query1[[#This Row],[MB1]]," - ",Query1[[#This Row],[MB2]]," - ",Query1[[#This Row],[MB3]])</f>
        <v>EVAP KIT 70-74 CHALNGR/CUDA W/AC W/RD - 830083 - 0 - 0</v>
      </c>
    </row>
    <row r="3899" spans="1:15" x14ac:dyDescent="0.25">
      <c r="A3899" s="1">
        <v>919586</v>
      </c>
      <c r="B3899" s="1" t="s">
        <v>72</v>
      </c>
      <c r="C3899" s="1" t="s">
        <v>73</v>
      </c>
      <c r="D3899" s="2">
        <v>44664.586762534724</v>
      </c>
      <c r="E3899" s="1" t="s">
        <v>8</v>
      </c>
      <c r="F3899" s="1">
        <v>1</v>
      </c>
      <c r="G3899" s="1">
        <v>0</v>
      </c>
      <c r="H3899" s="6">
        <f>INT(Query1[[#This Row],[EntryDateTime]])</f>
        <v>44664</v>
      </c>
      <c r="I3899" s="1">
        <f>IF(Query1[[#This Row],[ItemType]]="EVAP KIT SF GEN IV",Query1[[#This Row],[OrderQty]]+I3898,I3898)</f>
        <v>4791</v>
      </c>
      <c r="J3899" s="1">
        <f>IF(Query1[[#This Row],[ItemType]]="EVAP KIT UNIVERSAL",Query1[[#This Row],[OrderQty]]+J3898,J3898)</f>
        <v>1628</v>
      </c>
      <c r="K3899" s="1">
        <f>Query1[[#This Row],[SF Running Total]]+Query1[[#This Row],[UNIV Running Total]]</f>
        <v>6419</v>
      </c>
      <c r="L3899">
        <f>VLOOKUP(Query1[[#This Row],[Description]],'kits to boards'!$B$2:$E$156,2,FALSE)</f>
        <v>830043</v>
      </c>
      <c r="M3899">
        <f>VLOOKUP(Query1[[#This Row],[Description]],'kits to boards'!$B$2:$E$156,3,FALSE)</f>
        <v>0</v>
      </c>
      <c r="N3899">
        <f>VLOOKUP(Query1[[#This Row],[Description]],'kits to boards'!$B$2:$E$156,4,FALSE)</f>
        <v>0</v>
      </c>
      <c r="O3899" t="str">
        <f>CONCATENATE(Query1[[#This Row],[Description]]," - ",Query1[[#This Row],[MB1]]," - ",Query1[[#This Row],[MB2]]," - ",Query1[[#This Row],[MB3]])</f>
        <v>EVAP KIT 69-74 NOVA W/AC - 830043 - 0 - 0</v>
      </c>
    </row>
    <row r="3900" spans="1:15" x14ac:dyDescent="0.25">
      <c r="A3900" s="1">
        <v>919612</v>
      </c>
      <c r="B3900" s="1" t="s">
        <v>94</v>
      </c>
      <c r="C3900" s="1" t="s">
        <v>95</v>
      </c>
      <c r="D3900" s="2">
        <v>44664.591143750004</v>
      </c>
      <c r="E3900" s="1" t="s">
        <v>8</v>
      </c>
      <c r="F3900" s="1">
        <v>1</v>
      </c>
      <c r="G3900" s="1">
        <v>0</v>
      </c>
      <c r="H3900" s="6">
        <f>INT(Query1[[#This Row],[EntryDateTime]])</f>
        <v>44664</v>
      </c>
      <c r="I3900" s="1">
        <f>IF(Query1[[#This Row],[ItemType]]="EVAP KIT SF GEN IV",Query1[[#This Row],[OrderQty]]+I3899,I3899)</f>
        <v>4792</v>
      </c>
      <c r="J3900" s="1">
        <f>IF(Query1[[#This Row],[ItemType]]="EVAP KIT UNIVERSAL",Query1[[#This Row],[OrderQty]]+J3899,J3899)</f>
        <v>1628</v>
      </c>
      <c r="K3900" s="1">
        <f>Query1[[#This Row],[SF Running Total]]+Query1[[#This Row],[UNIV Running Total]]</f>
        <v>6420</v>
      </c>
      <c r="L3900">
        <f>VLOOKUP(Query1[[#This Row],[Description]],'kits to boards'!$B$2:$E$156,2,FALSE)</f>
        <v>830076</v>
      </c>
      <c r="M3900">
        <f>VLOOKUP(Query1[[#This Row],[Description]],'kits to boards'!$B$2:$E$156,3,FALSE)</f>
        <v>0</v>
      </c>
      <c r="N3900">
        <f>VLOOKUP(Query1[[#This Row],[Description]],'kits to boards'!$B$2:$E$156,4,FALSE)</f>
        <v>0</v>
      </c>
      <c r="O3900" t="str">
        <f>CONCATENATE(Query1[[#This Row],[Description]]," - ",Query1[[#This Row],[MB1]]," - ",Query1[[#This Row],[MB2]]," - ",Query1[[#This Row],[MB3]])</f>
        <v>EVAP KIT 64 1/2- 66 MUSTANG  - 830076 - 0 - 0</v>
      </c>
    </row>
    <row r="3901" spans="1:15" x14ac:dyDescent="0.25">
      <c r="A3901" s="1">
        <v>919615</v>
      </c>
      <c r="B3901" s="1" t="s">
        <v>178</v>
      </c>
      <c r="C3901" s="1" t="s">
        <v>179</v>
      </c>
      <c r="D3901" s="2">
        <v>44664.592349456019</v>
      </c>
      <c r="E3901" s="1" t="s">
        <v>8</v>
      </c>
      <c r="F3901" s="1">
        <v>1</v>
      </c>
      <c r="G3901" s="1">
        <v>0</v>
      </c>
      <c r="H3901" s="6">
        <f>INT(Query1[[#This Row],[EntryDateTime]])</f>
        <v>44664</v>
      </c>
      <c r="I3901" s="1">
        <f>IF(Query1[[#This Row],[ItemType]]="EVAP KIT SF GEN IV",Query1[[#This Row],[OrderQty]]+I3900,I3900)</f>
        <v>4793</v>
      </c>
      <c r="J3901" s="1">
        <f>IF(Query1[[#This Row],[ItemType]]="EVAP KIT UNIVERSAL",Query1[[#This Row],[OrderQty]]+J3900,J3900)</f>
        <v>1628</v>
      </c>
      <c r="K3901" s="1">
        <f>Query1[[#This Row],[SF Running Total]]+Query1[[#This Row],[UNIV Running Total]]</f>
        <v>6421</v>
      </c>
      <c r="L3901">
        <f>VLOOKUP(Query1[[#This Row],[Description]],'kits to boards'!$B$2:$E$156,2,FALSE)</f>
        <v>830009</v>
      </c>
      <c r="M3901">
        <f>VLOOKUP(Query1[[#This Row],[Description]],'kits to boards'!$B$2:$E$156,3,FALSE)</f>
        <v>0</v>
      </c>
      <c r="N3901">
        <f>VLOOKUP(Query1[[#This Row],[Description]],'kits to boards'!$B$2:$E$156,4,FALSE)</f>
        <v>0</v>
      </c>
      <c r="O3901" t="str">
        <f>CONCATENATE(Query1[[#This Row],[Description]]," - ",Query1[[#This Row],[MB1]]," - ",Query1[[#This Row],[MB2]]," - ",Query1[[#This Row],[MB3]])</f>
        <v>EVAP KIT 63 IMPALA W/AC - 830009 - 0 - 0</v>
      </c>
    </row>
    <row r="3902" spans="1:15" x14ac:dyDescent="0.25">
      <c r="A3902" s="1">
        <v>919621</v>
      </c>
      <c r="B3902" s="1" t="s">
        <v>66</v>
      </c>
      <c r="C3902" s="1" t="s">
        <v>67</v>
      </c>
      <c r="D3902" s="2">
        <v>44664.601003854164</v>
      </c>
      <c r="E3902" s="1" t="s">
        <v>8</v>
      </c>
      <c r="F3902" s="1">
        <v>1</v>
      </c>
      <c r="G3902" s="1">
        <v>0</v>
      </c>
      <c r="H3902" s="6">
        <f>INT(Query1[[#This Row],[EntryDateTime]])</f>
        <v>44664</v>
      </c>
      <c r="I3902" s="1">
        <f>IF(Query1[[#This Row],[ItemType]]="EVAP KIT SF GEN IV",Query1[[#This Row],[OrderQty]]+I3901,I3901)</f>
        <v>4794</v>
      </c>
      <c r="J3902" s="1">
        <f>IF(Query1[[#This Row],[ItemType]]="EVAP KIT UNIVERSAL",Query1[[#This Row],[OrderQty]]+J3901,J3901)</f>
        <v>1628</v>
      </c>
      <c r="K3902" s="1">
        <f>Query1[[#This Row],[SF Running Total]]+Query1[[#This Row],[UNIV Running Total]]</f>
        <v>6422</v>
      </c>
      <c r="L3902">
        <f>VLOOKUP(Query1[[#This Row],[Description]],'kits to boards'!$B$2:$E$156,2,FALSE)</f>
        <v>830060</v>
      </c>
      <c r="M3902">
        <f>VLOOKUP(Query1[[#This Row],[Description]],'kits to boards'!$B$2:$E$156,3,FALSE)</f>
        <v>0</v>
      </c>
      <c r="N3902">
        <f>VLOOKUP(Query1[[#This Row],[Description]],'kits to boards'!$B$2:$E$156,4,FALSE)</f>
        <v>0</v>
      </c>
      <c r="O3902" t="str">
        <f>CONCATENATE(Query1[[#This Row],[Description]]," - ",Query1[[#This Row],[MB1]]," - ",Query1[[#This Row],[MB2]]," - ",Query1[[#This Row],[MB3]])</f>
        <v>EVAP KIT 66-67 CHEVELLE WO AC - 830060 - 0 - 0</v>
      </c>
    </row>
    <row r="3903" spans="1:15" x14ac:dyDescent="0.25">
      <c r="A3903" s="1">
        <v>918946</v>
      </c>
      <c r="B3903" s="1" t="s">
        <v>52</v>
      </c>
      <c r="C3903" s="1" t="s">
        <v>53</v>
      </c>
      <c r="D3903" s="2">
        <v>44664.604733877313</v>
      </c>
      <c r="E3903" s="1" t="s">
        <v>8</v>
      </c>
      <c r="F3903" s="1">
        <v>1</v>
      </c>
      <c r="G3903" s="1">
        <v>0</v>
      </c>
      <c r="H3903" s="6">
        <f>INT(Query1[[#This Row],[EntryDateTime]])</f>
        <v>44664</v>
      </c>
      <c r="I3903" s="1">
        <f>IF(Query1[[#This Row],[ItemType]]="EVAP KIT SF GEN IV",Query1[[#This Row],[OrderQty]]+I3902,I3902)</f>
        <v>4795</v>
      </c>
      <c r="J3903" s="1">
        <f>IF(Query1[[#This Row],[ItemType]]="EVAP KIT UNIVERSAL",Query1[[#This Row],[OrderQty]]+J3902,J3902)</f>
        <v>1628</v>
      </c>
      <c r="K3903" s="1">
        <f>Query1[[#This Row],[SF Running Total]]+Query1[[#This Row],[UNIV Running Total]]</f>
        <v>6423</v>
      </c>
      <c r="L3903">
        <f>VLOOKUP(Query1[[#This Row],[Description]],'kits to boards'!$B$2:$E$156,2,FALSE)</f>
        <v>830017</v>
      </c>
      <c r="M3903">
        <f>VLOOKUP(Query1[[#This Row],[Description]],'kits to boards'!$B$2:$E$156,3,FALSE)</f>
        <v>830119</v>
      </c>
      <c r="N3903">
        <f>VLOOKUP(Query1[[#This Row],[Description]],'kits to boards'!$B$2:$E$156,4,FALSE)</f>
        <v>830120</v>
      </c>
      <c r="O3903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904" spans="1:15" x14ac:dyDescent="0.25">
      <c r="A3904" s="1">
        <v>919624</v>
      </c>
      <c r="B3904" s="1" t="s">
        <v>48</v>
      </c>
      <c r="C3904" s="1" t="s">
        <v>49</v>
      </c>
      <c r="D3904" s="2">
        <v>44664.606994062502</v>
      </c>
      <c r="E3904" s="1" t="s">
        <v>8</v>
      </c>
      <c r="F3904" s="1">
        <v>1</v>
      </c>
      <c r="G3904" s="1">
        <v>0</v>
      </c>
      <c r="H3904" s="6">
        <f>INT(Query1[[#This Row],[EntryDateTime]])</f>
        <v>44664</v>
      </c>
      <c r="I3904" s="1">
        <f>IF(Query1[[#This Row],[ItemType]]="EVAP KIT SF GEN IV",Query1[[#This Row],[OrderQty]]+I3903,I3903)</f>
        <v>4796</v>
      </c>
      <c r="J3904" s="1">
        <f>IF(Query1[[#This Row],[ItemType]]="EVAP KIT UNIVERSAL",Query1[[#This Row],[OrderQty]]+J3903,J3903)</f>
        <v>1628</v>
      </c>
      <c r="K3904" s="1">
        <f>Query1[[#This Row],[SF Running Total]]+Query1[[#This Row],[UNIV Running Total]]</f>
        <v>6424</v>
      </c>
      <c r="L3904">
        <f>VLOOKUP(Query1[[#This Row],[Description]],'kits to boards'!$B$2:$E$156,2,FALSE)</f>
        <v>830015</v>
      </c>
      <c r="M3904">
        <f>VLOOKUP(Query1[[#This Row],[Description]],'kits to boards'!$B$2:$E$156,3,FALSE)</f>
        <v>0</v>
      </c>
      <c r="N3904">
        <f>VLOOKUP(Query1[[#This Row],[Description]],'kits to boards'!$B$2:$E$156,4,FALSE)</f>
        <v>0</v>
      </c>
      <c r="O3904" t="str">
        <f>CONCATENATE(Query1[[#This Row],[Description]]," - ",Query1[[#This Row],[MB1]]," - ",Query1[[#This Row],[MB2]]," - ",Query1[[#This Row],[MB3]])</f>
        <v>EVAP KIT 64-66 CHEV P-UP WO AC W/DELX - 830015 - 0 - 0</v>
      </c>
    </row>
    <row r="3905" spans="1:15" x14ac:dyDescent="0.25">
      <c r="A3905" s="1">
        <v>919233</v>
      </c>
      <c r="B3905" s="1" t="s">
        <v>279</v>
      </c>
      <c r="C3905" s="1" t="s">
        <v>280</v>
      </c>
      <c r="D3905" s="2">
        <v>44664.607014120367</v>
      </c>
      <c r="E3905" s="1" t="s">
        <v>8</v>
      </c>
      <c r="F3905" s="1">
        <v>1</v>
      </c>
      <c r="G3905" s="1">
        <v>0</v>
      </c>
      <c r="H3905" s="6">
        <f>INT(Query1[[#This Row],[EntryDateTime]])</f>
        <v>44664</v>
      </c>
      <c r="I3905" s="1">
        <f>IF(Query1[[#This Row],[ItemType]]="EVAP KIT SF GEN IV",Query1[[#This Row],[OrderQty]]+I3904,I3904)</f>
        <v>4797</v>
      </c>
      <c r="J3905" s="1">
        <f>IF(Query1[[#This Row],[ItemType]]="EVAP KIT UNIVERSAL",Query1[[#This Row],[OrderQty]]+J3904,J3904)</f>
        <v>1628</v>
      </c>
      <c r="K3905" s="1">
        <f>Query1[[#This Row],[SF Running Total]]+Query1[[#This Row],[UNIV Running Total]]</f>
        <v>6425</v>
      </c>
      <c r="L3905">
        <f>VLOOKUP(Query1[[#This Row],[Description]],'kits to boards'!$B$2:$E$156,2,FALSE)</f>
        <v>830067</v>
      </c>
      <c r="M3905">
        <f>VLOOKUP(Query1[[#This Row],[Description]],'kits to boards'!$B$2:$E$156,3,FALSE)</f>
        <v>0</v>
      </c>
      <c r="N3905">
        <f>VLOOKUP(Query1[[#This Row],[Description]],'kits to boards'!$B$2:$E$156,4,FALSE)</f>
        <v>0</v>
      </c>
      <c r="O3905" t="str">
        <f>CONCATENATE(Query1[[#This Row],[Description]]," - ",Query1[[#This Row],[MB1]]," - ",Query1[[#This Row],[MB2]]," - ",Query1[[#This Row],[MB3]])</f>
        <v>EVAP KIT 59-60 CHEV CAR 2-LEVER - 830067 - 0 - 0</v>
      </c>
    </row>
    <row r="3906" spans="1:15" x14ac:dyDescent="0.25">
      <c r="A3906" s="1">
        <v>919626</v>
      </c>
      <c r="B3906" s="1" t="s">
        <v>104</v>
      </c>
      <c r="C3906" s="1" t="s">
        <v>105</v>
      </c>
      <c r="D3906" s="2">
        <v>44664.607053587963</v>
      </c>
      <c r="E3906" s="1" t="s">
        <v>11</v>
      </c>
      <c r="F3906" s="1">
        <v>1</v>
      </c>
      <c r="G3906" s="1">
        <v>0</v>
      </c>
      <c r="H3906" s="6">
        <f>INT(Query1[[#This Row],[EntryDateTime]])</f>
        <v>44664</v>
      </c>
      <c r="I3906" s="1">
        <f>IF(Query1[[#This Row],[ItemType]]="EVAP KIT SF GEN IV",Query1[[#This Row],[OrderQty]]+I3905,I3905)</f>
        <v>4797</v>
      </c>
      <c r="J3906" s="1">
        <f>IF(Query1[[#This Row],[ItemType]]="EVAP KIT UNIVERSAL",Query1[[#This Row],[OrderQty]]+J3905,J3905)</f>
        <v>1629</v>
      </c>
      <c r="K3906" s="1">
        <f>Query1[[#This Row],[SF Running Total]]+Query1[[#This Row],[UNIV Running Total]]</f>
        <v>6426</v>
      </c>
      <c r="L3906">
        <f>VLOOKUP(Query1[[#This Row],[Description]],'kits to boards'!$B$2:$E$156,2,FALSE)</f>
        <v>0</v>
      </c>
      <c r="M3906">
        <f>VLOOKUP(Query1[[#This Row],[Description]],'kits to boards'!$B$2:$E$156,3,FALSE)</f>
        <v>0</v>
      </c>
      <c r="N3906">
        <f>VLOOKUP(Query1[[#This Row],[Description]],'kits to boards'!$B$2:$E$156,4,FALSE)</f>
        <v>0</v>
      </c>
      <c r="O3906" t="str">
        <f>CONCATENATE(Query1[[#This Row],[Description]]," - ",Query1[[#This Row],[MB1]]," - ",Query1[[#This Row],[MB2]]," - ",Query1[[#This Row],[MB3]])</f>
        <v>HERITAGE BRUSHED EVAP KIT HEAT/COOL - 0 - 0 - 0</v>
      </c>
    </row>
    <row r="3907" spans="1:15" x14ac:dyDescent="0.25">
      <c r="A3907" s="1">
        <v>919629</v>
      </c>
      <c r="B3907" s="1" t="s">
        <v>46</v>
      </c>
      <c r="C3907" s="1" t="s">
        <v>47</v>
      </c>
      <c r="D3907" s="2">
        <v>44664.612682673614</v>
      </c>
      <c r="E3907" s="1" t="s">
        <v>8</v>
      </c>
      <c r="F3907" s="1">
        <v>1</v>
      </c>
      <c r="G3907" s="1">
        <v>0</v>
      </c>
      <c r="H3907" s="6">
        <f>INT(Query1[[#This Row],[EntryDateTime]])</f>
        <v>44664</v>
      </c>
      <c r="I3907" s="1">
        <f>IF(Query1[[#This Row],[ItemType]]="EVAP KIT SF GEN IV",Query1[[#This Row],[OrderQty]]+I3906,I3906)</f>
        <v>4798</v>
      </c>
      <c r="J3907" s="1">
        <f>IF(Query1[[#This Row],[ItemType]]="EVAP KIT UNIVERSAL",Query1[[#This Row],[OrderQty]]+J3906,J3906)</f>
        <v>1629</v>
      </c>
      <c r="K3907" s="1">
        <f>Query1[[#This Row],[SF Running Total]]+Query1[[#This Row],[UNIV Running Total]]</f>
        <v>6427</v>
      </c>
      <c r="L3907">
        <f>VLOOKUP(Query1[[#This Row],[Description]],'kits to boards'!$B$2:$E$156,2,FALSE)</f>
        <v>830018</v>
      </c>
      <c r="M3907">
        <f>VLOOKUP(Query1[[#This Row],[Description]],'kits to boards'!$B$2:$E$156,3,FALSE)</f>
        <v>0</v>
      </c>
      <c r="N3907">
        <f>VLOOKUP(Query1[[#This Row],[Description]],'kits to boards'!$B$2:$E$156,4,FALSE)</f>
        <v>0</v>
      </c>
      <c r="O3907" t="str">
        <f>CONCATENATE(Query1[[#This Row],[Description]]," - ",Query1[[#This Row],[MB1]]," - ",Query1[[#This Row],[MB2]]," - ",Query1[[#This Row],[MB3]])</f>
        <v>EVAP KIT 68-72 FORD P-UP F-100 - 830018 - 0 - 0</v>
      </c>
    </row>
    <row r="3908" spans="1:15" x14ac:dyDescent="0.25">
      <c r="A3908" s="1">
        <v>919634</v>
      </c>
      <c r="B3908" s="1" t="s">
        <v>96</v>
      </c>
      <c r="C3908" s="1" t="s">
        <v>97</v>
      </c>
      <c r="D3908" s="2">
        <v>44664.615678738424</v>
      </c>
      <c r="E3908" s="1" t="s">
        <v>8</v>
      </c>
      <c r="F3908" s="1">
        <v>1</v>
      </c>
      <c r="G3908" s="1">
        <v>0</v>
      </c>
      <c r="H3908" s="6">
        <f>INT(Query1[[#This Row],[EntryDateTime]])</f>
        <v>44664</v>
      </c>
      <c r="I3908" s="1">
        <f>IF(Query1[[#This Row],[ItemType]]="EVAP KIT SF GEN IV",Query1[[#This Row],[OrderQty]]+I3907,I3907)</f>
        <v>4799</v>
      </c>
      <c r="J3908" s="1">
        <f>IF(Query1[[#This Row],[ItemType]]="EVAP KIT UNIVERSAL",Query1[[#This Row],[OrderQty]]+J3907,J3907)</f>
        <v>1629</v>
      </c>
      <c r="K3908" s="1">
        <f>Query1[[#This Row],[SF Running Total]]+Query1[[#This Row],[UNIV Running Total]]</f>
        <v>6428</v>
      </c>
      <c r="L3908">
        <f>VLOOKUP(Query1[[#This Row],[Description]],'kits to boards'!$B$2:$E$156,2,FALSE)</f>
        <v>830004</v>
      </c>
      <c r="M3908">
        <f>VLOOKUP(Query1[[#This Row],[Description]],'kits to boards'!$B$2:$E$156,3,FALSE)</f>
        <v>0</v>
      </c>
      <c r="N3908">
        <f>VLOOKUP(Query1[[#This Row],[Description]],'kits to boards'!$B$2:$E$156,4,FALSE)</f>
        <v>0</v>
      </c>
      <c r="O3908" t="str">
        <f>CONCATENATE(Query1[[#This Row],[Description]]," - ",Query1[[#This Row],[MB1]]," - ",Query1[[#This Row],[MB2]]," - ",Query1[[#This Row],[MB3]])</f>
        <v>EVAP KIT 81-87 CHEV P-UP W/AC - 830004 - 0 - 0</v>
      </c>
    </row>
    <row r="3909" spans="1:15" x14ac:dyDescent="0.25">
      <c r="A3909" s="1">
        <v>919638</v>
      </c>
      <c r="B3909" s="1" t="s">
        <v>34</v>
      </c>
      <c r="C3909" s="1" t="s">
        <v>35</v>
      </c>
      <c r="D3909" s="2">
        <v>44664.62375864583</v>
      </c>
      <c r="E3909" s="1" t="s">
        <v>8</v>
      </c>
      <c r="F3909" s="1">
        <v>1</v>
      </c>
      <c r="G3909" s="1">
        <v>0</v>
      </c>
      <c r="H3909" s="6">
        <f>INT(Query1[[#This Row],[EntryDateTime]])</f>
        <v>44664</v>
      </c>
      <c r="I3909" s="1">
        <f>IF(Query1[[#This Row],[ItemType]]="EVAP KIT SF GEN IV",Query1[[#This Row],[OrderQty]]+I3908,I3908)</f>
        <v>4800</v>
      </c>
      <c r="J3909" s="1">
        <f>IF(Query1[[#This Row],[ItemType]]="EVAP KIT UNIVERSAL",Query1[[#This Row],[OrderQty]]+J3908,J3908)</f>
        <v>1629</v>
      </c>
      <c r="K3909" s="1">
        <f>Query1[[#This Row],[SF Running Total]]+Query1[[#This Row],[UNIV Running Total]]</f>
        <v>6429</v>
      </c>
      <c r="L3909">
        <f>VLOOKUP(Query1[[#This Row],[Description]],'kits to boards'!$B$2:$E$156,2,FALSE)</f>
        <v>830065</v>
      </c>
      <c r="M3909">
        <f>VLOOKUP(Query1[[#This Row],[Description]],'kits to boards'!$B$2:$E$156,3,FALSE)</f>
        <v>0</v>
      </c>
      <c r="N3909">
        <f>VLOOKUP(Query1[[#This Row],[Description]],'kits to boards'!$B$2:$E$156,4,FALSE)</f>
        <v>0</v>
      </c>
      <c r="O3909" t="str">
        <f>CONCATENATE(Query1[[#This Row],[Description]]," - ",Query1[[#This Row],[MB1]]," - ",Query1[[#This Row],[MB2]]," - ",Query1[[#This Row],[MB3]])</f>
        <v>EVAP KIT 57 CHEV WO AC - 830065 - 0 - 0</v>
      </c>
    </row>
    <row r="3910" spans="1:15" x14ac:dyDescent="0.25">
      <c r="A3910" s="1">
        <v>919640</v>
      </c>
      <c r="B3910" s="1" t="s">
        <v>34</v>
      </c>
      <c r="C3910" s="1" t="s">
        <v>35</v>
      </c>
      <c r="D3910" s="2">
        <v>44664.624372951388</v>
      </c>
      <c r="E3910" s="1" t="s">
        <v>8</v>
      </c>
      <c r="F3910" s="1">
        <v>1</v>
      </c>
      <c r="G3910" s="1">
        <v>0</v>
      </c>
      <c r="H3910" s="6">
        <f>INT(Query1[[#This Row],[EntryDateTime]])</f>
        <v>44664</v>
      </c>
      <c r="I3910" s="1">
        <f>IF(Query1[[#This Row],[ItemType]]="EVAP KIT SF GEN IV",Query1[[#This Row],[OrderQty]]+I3909,I3909)</f>
        <v>4801</v>
      </c>
      <c r="J3910" s="1">
        <f>IF(Query1[[#This Row],[ItemType]]="EVAP KIT UNIVERSAL",Query1[[#This Row],[OrderQty]]+J3909,J3909)</f>
        <v>1629</v>
      </c>
      <c r="K3910" s="1">
        <f>Query1[[#This Row],[SF Running Total]]+Query1[[#This Row],[UNIV Running Total]]</f>
        <v>6430</v>
      </c>
      <c r="L3910">
        <f>VLOOKUP(Query1[[#This Row],[Description]],'kits to boards'!$B$2:$E$156,2,FALSE)</f>
        <v>830065</v>
      </c>
      <c r="M3910">
        <f>VLOOKUP(Query1[[#This Row],[Description]],'kits to boards'!$B$2:$E$156,3,FALSE)</f>
        <v>0</v>
      </c>
      <c r="N3910">
        <f>VLOOKUP(Query1[[#This Row],[Description]],'kits to boards'!$B$2:$E$156,4,FALSE)</f>
        <v>0</v>
      </c>
      <c r="O3910" t="str">
        <f>CONCATENATE(Query1[[#This Row],[Description]]," - ",Query1[[#This Row],[MB1]]," - ",Query1[[#This Row],[MB2]]," - ",Query1[[#This Row],[MB3]])</f>
        <v>EVAP KIT 57 CHEV WO AC - 830065 - 0 - 0</v>
      </c>
    </row>
    <row r="3911" spans="1:15" x14ac:dyDescent="0.25">
      <c r="A3911" s="1">
        <v>919641</v>
      </c>
      <c r="B3911" s="1" t="s">
        <v>166</v>
      </c>
      <c r="C3911" s="1" t="s">
        <v>167</v>
      </c>
      <c r="D3911" s="2">
        <v>44664.626337731483</v>
      </c>
      <c r="E3911" s="1" t="s">
        <v>8</v>
      </c>
      <c r="F3911" s="1">
        <v>1</v>
      </c>
      <c r="G3911" s="1">
        <v>0</v>
      </c>
      <c r="H3911" s="6">
        <f>INT(Query1[[#This Row],[EntryDateTime]])</f>
        <v>44664</v>
      </c>
      <c r="I3911" s="1">
        <f>IF(Query1[[#This Row],[ItemType]]="EVAP KIT SF GEN IV",Query1[[#This Row],[OrderQty]]+I3910,I3910)</f>
        <v>4802</v>
      </c>
      <c r="J3911" s="1">
        <f>IF(Query1[[#This Row],[ItemType]]="EVAP KIT UNIVERSAL",Query1[[#This Row],[OrderQty]]+J3910,J3910)</f>
        <v>1629</v>
      </c>
      <c r="K3911" s="1">
        <f>Query1[[#This Row],[SF Running Total]]+Query1[[#This Row],[UNIV Running Total]]</f>
        <v>6431</v>
      </c>
      <c r="L3911">
        <f>VLOOKUP(Query1[[#This Row],[Description]],'kits to boards'!$B$2:$E$156,2,FALSE)</f>
        <v>830063</v>
      </c>
      <c r="M3911">
        <f>VLOOKUP(Query1[[#This Row],[Description]],'kits to boards'!$B$2:$E$156,3,FALSE)</f>
        <v>0</v>
      </c>
      <c r="N3911">
        <f>VLOOKUP(Query1[[#This Row],[Description]],'kits to boards'!$B$2:$E$156,4,FALSE)</f>
        <v>0</v>
      </c>
      <c r="O3911" t="str">
        <f>CONCATENATE(Query1[[#This Row],[Description]]," - ",Query1[[#This Row],[MB1]]," - ",Query1[[#This Row],[MB2]]," - ",Query1[[#This Row],[MB3]])</f>
        <v>EVAP KIT 47-49 CHEV P-UP GEN IV - 830063 - 0 - 0</v>
      </c>
    </row>
    <row r="3912" spans="1:15" x14ac:dyDescent="0.25">
      <c r="A3912" s="1">
        <v>919412</v>
      </c>
      <c r="B3912" s="1" t="s">
        <v>52</v>
      </c>
      <c r="C3912" s="1" t="s">
        <v>53</v>
      </c>
      <c r="D3912" s="2">
        <v>44664.629805983794</v>
      </c>
      <c r="E3912" s="1" t="s">
        <v>8</v>
      </c>
      <c r="F3912" s="1">
        <v>1</v>
      </c>
      <c r="G3912" s="1">
        <v>0</v>
      </c>
      <c r="H3912" s="6">
        <f>INT(Query1[[#This Row],[EntryDateTime]])</f>
        <v>44664</v>
      </c>
      <c r="I3912" s="1">
        <f>IF(Query1[[#This Row],[ItemType]]="EVAP KIT SF GEN IV",Query1[[#This Row],[OrderQty]]+I3911,I3911)</f>
        <v>4803</v>
      </c>
      <c r="J3912" s="1">
        <f>IF(Query1[[#This Row],[ItemType]]="EVAP KIT UNIVERSAL",Query1[[#This Row],[OrderQty]]+J3911,J3911)</f>
        <v>1629</v>
      </c>
      <c r="K3912" s="1">
        <f>Query1[[#This Row],[SF Running Total]]+Query1[[#This Row],[UNIV Running Total]]</f>
        <v>6432</v>
      </c>
      <c r="L3912">
        <f>VLOOKUP(Query1[[#This Row],[Description]],'kits to boards'!$B$2:$E$156,2,FALSE)</f>
        <v>830017</v>
      </c>
      <c r="M3912">
        <f>VLOOKUP(Query1[[#This Row],[Description]],'kits to boards'!$B$2:$E$156,3,FALSE)</f>
        <v>830119</v>
      </c>
      <c r="N3912">
        <f>VLOOKUP(Query1[[#This Row],[Description]],'kits to boards'!$B$2:$E$156,4,FALSE)</f>
        <v>830120</v>
      </c>
      <c r="O3912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913" spans="1:15" x14ac:dyDescent="0.25">
      <c r="A3913" s="1">
        <v>919646</v>
      </c>
      <c r="B3913" s="1" t="s">
        <v>26</v>
      </c>
      <c r="C3913" s="1" t="s">
        <v>27</v>
      </c>
      <c r="D3913" s="2">
        <v>44664.631678124999</v>
      </c>
      <c r="E3913" s="1" t="s">
        <v>8</v>
      </c>
      <c r="F3913" s="1">
        <v>1</v>
      </c>
      <c r="G3913" s="1">
        <v>0</v>
      </c>
      <c r="H3913" s="6">
        <f>INT(Query1[[#This Row],[EntryDateTime]])</f>
        <v>44664</v>
      </c>
      <c r="I3913" s="1">
        <f>IF(Query1[[#This Row],[ItemType]]="EVAP KIT SF GEN IV",Query1[[#This Row],[OrderQty]]+I3912,I3912)</f>
        <v>4804</v>
      </c>
      <c r="J3913" s="1">
        <f>IF(Query1[[#This Row],[ItemType]]="EVAP KIT UNIVERSAL",Query1[[#This Row],[OrderQty]]+J3912,J3912)</f>
        <v>1629</v>
      </c>
      <c r="K3913" s="1">
        <f>Query1[[#This Row],[SF Running Total]]+Query1[[#This Row],[UNIV Running Total]]</f>
        <v>6433</v>
      </c>
      <c r="L3913">
        <f>VLOOKUP(Query1[[#This Row],[Description]],'kits to boards'!$B$2:$E$156,2,FALSE)</f>
        <v>830013</v>
      </c>
      <c r="M3913">
        <f>VLOOKUP(Query1[[#This Row],[Description]],'kits to boards'!$B$2:$E$156,3,FALSE)</f>
        <v>0</v>
      </c>
      <c r="N3913">
        <f>VLOOKUP(Query1[[#This Row],[Description]],'kits to boards'!$B$2:$E$156,4,FALSE)</f>
        <v>0</v>
      </c>
      <c r="O3913" t="str">
        <f>CONCATENATE(Query1[[#This Row],[Description]]," - ",Query1[[#This Row],[MB1]]," - ",Query1[[#This Row],[MB2]]," - ",Query1[[#This Row],[MB3]])</f>
        <v>EVAP KIT 67-72 CHEV P-UP W/AC - 830013 - 0 - 0</v>
      </c>
    </row>
    <row r="3914" spans="1:15" x14ac:dyDescent="0.25">
      <c r="A3914" s="1">
        <v>919632</v>
      </c>
      <c r="B3914" s="1" t="s">
        <v>68</v>
      </c>
      <c r="C3914" s="1" t="s">
        <v>69</v>
      </c>
      <c r="D3914" s="2">
        <v>44664.632202465276</v>
      </c>
      <c r="E3914" s="1" t="s">
        <v>8</v>
      </c>
      <c r="F3914" s="1">
        <v>1</v>
      </c>
      <c r="G3914" s="1">
        <v>0</v>
      </c>
      <c r="H3914" s="6">
        <f>INT(Query1[[#This Row],[EntryDateTime]])</f>
        <v>44664</v>
      </c>
      <c r="I3914" s="1">
        <f>IF(Query1[[#This Row],[ItemType]]="EVAP KIT SF GEN IV",Query1[[#This Row],[OrderQty]]+I3913,I3913)</f>
        <v>4805</v>
      </c>
      <c r="J3914" s="1">
        <f>IF(Query1[[#This Row],[ItemType]]="EVAP KIT UNIVERSAL",Query1[[#This Row],[OrderQty]]+J3913,J3913)</f>
        <v>1629</v>
      </c>
      <c r="K3914" s="1">
        <f>Query1[[#This Row],[SF Running Total]]+Query1[[#This Row],[UNIV Running Total]]</f>
        <v>6434</v>
      </c>
      <c r="L3914">
        <f>VLOOKUP(Query1[[#This Row],[Description]],'kits to boards'!$B$2:$E$156,2,FALSE)</f>
        <v>830010</v>
      </c>
      <c r="M3914">
        <f>VLOOKUP(Query1[[#This Row],[Description]],'kits to boards'!$B$2:$E$156,3,FALSE)</f>
        <v>0</v>
      </c>
      <c r="N3914">
        <f>VLOOKUP(Query1[[#This Row],[Description]],'kits to boards'!$B$2:$E$156,4,FALSE)</f>
        <v>0</v>
      </c>
      <c r="O3914" t="str">
        <f>CONCATENATE(Query1[[#This Row],[Description]]," - ",Query1[[#This Row],[MB1]]," - ",Query1[[#This Row],[MB2]]," - ",Query1[[#This Row],[MB3]])</f>
        <v>EVAP KIT 70-72 CHEVELLE WO AC - 830010 - 0 - 0</v>
      </c>
    </row>
    <row r="3915" spans="1:15" x14ac:dyDescent="0.25">
      <c r="A3915" s="1">
        <v>919649</v>
      </c>
      <c r="B3915" s="1" t="s">
        <v>36</v>
      </c>
      <c r="C3915" s="1" t="s">
        <v>37</v>
      </c>
      <c r="D3915" s="2">
        <v>44664.634513576391</v>
      </c>
      <c r="E3915" s="1" t="s">
        <v>8</v>
      </c>
      <c r="F3915" s="1">
        <v>1</v>
      </c>
      <c r="G3915" s="1">
        <v>0</v>
      </c>
      <c r="H3915" s="6">
        <f>INT(Query1[[#This Row],[EntryDateTime]])</f>
        <v>44664</v>
      </c>
      <c r="I3915" s="1">
        <f>IF(Query1[[#This Row],[ItemType]]="EVAP KIT SF GEN IV",Query1[[#This Row],[OrderQty]]+I3914,I3914)</f>
        <v>4806</v>
      </c>
      <c r="J3915" s="1">
        <f>IF(Query1[[#This Row],[ItemType]]="EVAP KIT UNIVERSAL",Query1[[#This Row],[OrderQty]]+J3914,J3914)</f>
        <v>1629</v>
      </c>
      <c r="K3915" s="1">
        <f>Query1[[#This Row],[SF Running Total]]+Query1[[#This Row],[UNIV Running Total]]</f>
        <v>6435</v>
      </c>
      <c r="L3915">
        <f>VLOOKUP(Query1[[#This Row],[Description]],'kits to boards'!$B$2:$E$156,2,FALSE)</f>
        <v>830015</v>
      </c>
      <c r="M3915">
        <f>VLOOKUP(Query1[[#This Row],[Description]],'kits to boards'!$B$2:$E$156,3,FALSE)</f>
        <v>0</v>
      </c>
      <c r="N3915">
        <f>VLOOKUP(Query1[[#This Row],[Description]],'kits to boards'!$B$2:$E$156,4,FALSE)</f>
        <v>0</v>
      </c>
      <c r="O3915" t="str">
        <f>CONCATENATE(Query1[[#This Row],[Description]]," - ",Query1[[#This Row],[MB1]]," - ",Query1[[#This Row],[MB2]]," - ",Query1[[#This Row],[MB3]])</f>
        <v>EVAP KIT 64-66 CHEV P-UP WO AC W/STD - 830015 - 0 - 0</v>
      </c>
    </row>
    <row r="3916" spans="1:15" x14ac:dyDescent="0.25">
      <c r="A3916" s="1">
        <v>919575</v>
      </c>
      <c r="B3916" s="1" t="s">
        <v>251</v>
      </c>
      <c r="C3916" s="1" t="s">
        <v>252</v>
      </c>
      <c r="D3916" s="2">
        <v>44664.646379317128</v>
      </c>
      <c r="E3916" s="1" t="s">
        <v>8</v>
      </c>
      <c r="F3916" s="1">
        <v>1</v>
      </c>
      <c r="G3916" s="1">
        <v>0</v>
      </c>
      <c r="H3916" s="6">
        <f>INT(Query1[[#This Row],[EntryDateTime]])</f>
        <v>44664</v>
      </c>
      <c r="I3916" s="1">
        <f>IF(Query1[[#This Row],[ItemType]]="EVAP KIT SF GEN IV",Query1[[#This Row],[OrderQty]]+I3915,I3915)</f>
        <v>4807</v>
      </c>
      <c r="J3916" s="1">
        <f>IF(Query1[[#This Row],[ItemType]]="EVAP KIT UNIVERSAL",Query1[[#This Row],[OrderQty]]+J3915,J3915)</f>
        <v>1629</v>
      </c>
      <c r="K3916" s="1">
        <f>Query1[[#This Row],[SF Running Total]]+Query1[[#This Row],[UNIV Running Total]]</f>
        <v>6436</v>
      </c>
      <c r="L3916">
        <f>VLOOKUP(Query1[[#This Row],[Description]],'kits to boards'!$B$2:$E$156,2,FALSE)</f>
        <v>830020</v>
      </c>
      <c r="M3916">
        <f>VLOOKUP(Query1[[#This Row],[Description]],'kits to boards'!$B$2:$E$156,3,FALSE)</f>
        <v>0</v>
      </c>
      <c r="N3916">
        <f>VLOOKUP(Query1[[#This Row],[Description]],'kits to boards'!$B$2:$E$156,4,FALSE)</f>
        <v>0</v>
      </c>
      <c r="O3916" t="str">
        <f>CONCATENATE(Query1[[#This Row],[Description]]," - ",Query1[[#This Row],[MB1]]," - ",Query1[[#This Row],[MB2]]," - ",Query1[[#This Row],[MB3]])</f>
        <v>EVAP KIT 69 FIREBIRD WO AC - 830020 - 0 - 0</v>
      </c>
    </row>
    <row r="3917" spans="1:15" x14ac:dyDescent="0.25">
      <c r="A3917" s="1">
        <v>919472</v>
      </c>
      <c r="B3917" s="1" t="s">
        <v>22</v>
      </c>
      <c r="C3917" s="1" t="s">
        <v>23</v>
      </c>
      <c r="D3917" s="2">
        <v>44664.648369826391</v>
      </c>
      <c r="E3917" s="1" t="s">
        <v>8</v>
      </c>
      <c r="F3917" s="1">
        <v>1</v>
      </c>
      <c r="G3917" s="1">
        <v>0</v>
      </c>
      <c r="H3917" s="6">
        <f>INT(Query1[[#This Row],[EntryDateTime]])</f>
        <v>44664</v>
      </c>
      <c r="I3917" s="1">
        <f>IF(Query1[[#This Row],[ItemType]]="EVAP KIT SF GEN IV",Query1[[#This Row],[OrderQty]]+I3916,I3916)</f>
        <v>4808</v>
      </c>
      <c r="J3917" s="1">
        <f>IF(Query1[[#This Row],[ItemType]]="EVAP KIT UNIVERSAL",Query1[[#This Row],[OrderQty]]+J3916,J3916)</f>
        <v>1629</v>
      </c>
      <c r="K3917" s="1">
        <f>Query1[[#This Row],[SF Running Total]]+Query1[[#This Row],[UNIV Running Total]]</f>
        <v>6437</v>
      </c>
      <c r="L3917">
        <f>VLOOKUP(Query1[[#This Row],[Description]],'kits to boards'!$B$2:$E$156,2,FALSE)</f>
        <v>830083</v>
      </c>
      <c r="M3917">
        <f>VLOOKUP(Query1[[#This Row],[Description]],'kits to boards'!$B$2:$E$156,3,FALSE)</f>
        <v>0</v>
      </c>
      <c r="N3917">
        <f>VLOOKUP(Query1[[#This Row],[Description]],'kits to boards'!$B$2:$E$156,4,FALSE)</f>
        <v>0</v>
      </c>
      <c r="O3917" t="str">
        <f>CONCATENATE(Query1[[#This Row],[Description]]," - ",Query1[[#This Row],[MB1]]," - ",Query1[[#This Row],[MB2]]," - ",Query1[[#This Row],[MB3]])</f>
        <v>GEN IV MAGNUM EVAP KIT - 830083 - 0 - 0</v>
      </c>
    </row>
    <row r="3918" spans="1:15" x14ac:dyDescent="0.25">
      <c r="A3918" s="1">
        <v>919651</v>
      </c>
      <c r="B3918" s="1" t="s">
        <v>132</v>
      </c>
      <c r="C3918" s="1" t="s">
        <v>133</v>
      </c>
      <c r="D3918" s="2">
        <v>44664.679872800923</v>
      </c>
      <c r="E3918" s="1" t="s">
        <v>8</v>
      </c>
      <c r="F3918" s="1">
        <v>1</v>
      </c>
      <c r="G3918" s="1">
        <v>0</v>
      </c>
      <c r="H3918" s="6">
        <f>INT(Query1[[#This Row],[EntryDateTime]])</f>
        <v>44664</v>
      </c>
      <c r="I3918" s="1">
        <f>IF(Query1[[#This Row],[ItemType]]="EVAP KIT SF GEN IV",Query1[[#This Row],[OrderQty]]+I3917,I3917)</f>
        <v>4809</v>
      </c>
      <c r="J3918" s="1">
        <f>IF(Query1[[#This Row],[ItemType]]="EVAP KIT UNIVERSAL",Query1[[#This Row],[OrderQty]]+J3917,J3917)</f>
        <v>1629</v>
      </c>
      <c r="K3918" s="1">
        <f>Query1[[#This Row],[SF Running Total]]+Query1[[#This Row],[UNIV Running Total]]</f>
        <v>6438</v>
      </c>
      <c r="L3918">
        <f>VLOOKUP(Query1[[#This Row],[Description]],'kits to boards'!$B$2:$E$156,2,FALSE)</f>
        <v>830005</v>
      </c>
      <c r="M3918">
        <f>VLOOKUP(Query1[[#This Row],[Description]],'kits to boards'!$B$2:$E$156,3,FALSE)</f>
        <v>0</v>
      </c>
      <c r="N3918">
        <f>VLOOKUP(Query1[[#This Row],[Description]],'kits to boards'!$B$2:$E$156,4,FALSE)</f>
        <v>0</v>
      </c>
      <c r="O3918" t="str">
        <f>CONCATENATE(Query1[[#This Row],[Description]]," - ",Query1[[#This Row],[MB1]]," - ",Query1[[#This Row],[MB2]]," - ",Query1[[#This Row],[MB3]])</f>
        <v>EVAP KIT 61-62 IMPALA WO AC - 830005 - 0 - 0</v>
      </c>
    </row>
    <row r="3919" spans="1:15" x14ac:dyDescent="0.25">
      <c r="A3919" s="1">
        <v>919667</v>
      </c>
      <c r="B3919" s="1" t="s">
        <v>52</v>
      </c>
      <c r="C3919" s="1" t="s">
        <v>53</v>
      </c>
      <c r="D3919" s="2">
        <v>44664.682600462962</v>
      </c>
      <c r="E3919" s="1" t="s">
        <v>8</v>
      </c>
      <c r="F3919" s="1">
        <v>8</v>
      </c>
      <c r="G3919" s="1">
        <v>0</v>
      </c>
      <c r="H3919" s="6">
        <f>INT(Query1[[#This Row],[EntryDateTime]])</f>
        <v>44664</v>
      </c>
      <c r="I3919" s="1">
        <f>IF(Query1[[#This Row],[ItemType]]="EVAP KIT SF GEN IV",Query1[[#This Row],[OrderQty]]+I3918,I3918)</f>
        <v>4817</v>
      </c>
      <c r="J3919" s="1">
        <f>IF(Query1[[#This Row],[ItemType]]="EVAP KIT UNIVERSAL",Query1[[#This Row],[OrderQty]]+J3918,J3918)</f>
        <v>1629</v>
      </c>
      <c r="K3919" s="1">
        <f>Query1[[#This Row],[SF Running Total]]+Query1[[#This Row],[UNIV Running Total]]</f>
        <v>6446</v>
      </c>
      <c r="L3919">
        <f>VLOOKUP(Query1[[#This Row],[Description]],'kits to boards'!$B$2:$E$156,2,FALSE)</f>
        <v>830017</v>
      </c>
      <c r="M3919">
        <f>VLOOKUP(Query1[[#This Row],[Description]],'kits to boards'!$B$2:$E$156,3,FALSE)</f>
        <v>830119</v>
      </c>
      <c r="N3919">
        <f>VLOOKUP(Query1[[#This Row],[Description]],'kits to boards'!$B$2:$E$156,4,FALSE)</f>
        <v>830120</v>
      </c>
      <c r="O3919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920" spans="1:15" x14ac:dyDescent="0.25">
      <c r="A3920" s="1">
        <v>919667</v>
      </c>
      <c r="B3920" s="1" t="s">
        <v>30</v>
      </c>
      <c r="C3920" s="1" t="s">
        <v>31</v>
      </c>
      <c r="D3920" s="2">
        <v>44664.682602777779</v>
      </c>
      <c r="E3920" s="1" t="s">
        <v>8</v>
      </c>
      <c r="F3920" s="1">
        <v>2</v>
      </c>
      <c r="G3920" s="1">
        <v>0</v>
      </c>
      <c r="H3920" s="6">
        <f>INT(Query1[[#This Row],[EntryDateTime]])</f>
        <v>44664</v>
      </c>
      <c r="I3920" s="1">
        <f>IF(Query1[[#This Row],[ItemType]]="EVAP KIT SF GEN IV",Query1[[#This Row],[OrderQty]]+I3919,I3919)</f>
        <v>4819</v>
      </c>
      <c r="J3920" s="1">
        <f>IF(Query1[[#This Row],[ItemType]]="EVAP KIT UNIVERSAL",Query1[[#This Row],[OrderQty]]+J3919,J3919)</f>
        <v>1629</v>
      </c>
      <c r="K3920" s="1">
        <f>Query1[[#This Row],[SF Running Total]]+Query1[[#This Row],[UNIV Running Total]]</f>
        <v>6448</v>
      </c>
      <c r="L3920">
        <f>VLOOKUP(Query1[[#This Row],[Description]],'kits to boards'!$B$2:$E$156,2,FALSE)</f>
        <v>830054</v>
      </c>
      <c r="M3920">
        <f>VLOOKUP(Query1[[#This Row],[Description]],'kits to boards'!$B$2:$E$156,3,FALSE)</f>
        <v>0</v>
      </c>
      <c r="N3920">
        <f>VLOOKUP(Query1[[#This Row],[Description]],'kits to boards'!$B$2:$E$156,4,FALSE)</f>
        <v>0</v>
      </c>
      <c r="O3920" t="str">
        <f>CONCATENATE(Query1[[#This Row],[Description]]," - ",Query1[[#This Row],[MB1]]," - ",Query1[[#This Row],[MB2]]," - ",Query1[[#This Row],[MB3]])</f>
        <v>EVAP KIT 55-56 CHEVY 4-VENT - 830054 - 0 - 0</v>
      </c>
    </row>
    <row r="3921" spans="1:15" x14ac:dyDescent="0.25">
      <c r="A3921" s="1">
        <v>919667</v>
      </c>
      <c r="B3921" s="1" t="s">
        <v>28</v>
      </c>
      <c r="C3921" s="1" t="s">
        <v>29</v>
      </c>
      <c r="D3921" s="2">
        <v>44664.682606828705</v>
      </c>
      <c r="E3921" s="1" t="s">
        <v>8</v>
      </c>
      <c r="F3921" s="1">
        <v>4</v>
      </c>
      <c r="G3921" s="1">
        <v>0</v>
      </c>
      <c r="H3921" s="6">
        <f>INT(Query1[[#This Row],[EntryDateTime]])</f>
        <v>44664</v>
      </c>
      <c r="I3921" s="1">
        <f>IF(Query1[[#This Row],[ItemType]]="EVAP KIT SF GEN IV",Query1[[#This Row],[OrderQty]]+I3920,I3920)</f>
        <v>4823</v>
      </c>
      <c r="J3921" s="1">
        <f>IF(Query1[[#This Row],[ItemType]]="EVAP KIT UNIVERSAL",Query1[[#This Row],[OrderQty]]+J3920,J3920)</f>
        <v>1629</v>
      </c>
      <c r="K3921" s="1">
        <f>Query1[[#This Row],[SF Running Total]]+Query1[[#This Row],[UNIV Running Total]]</f>
        <v>6452</v>
      </c>
      <c r="L3921">
        <f>VLOOKUP(Query1[[#This Row],[Description]],'kits to boards'!$B$2:$E$156,2,FALSE)</f>
        <v>830001</v>
      </c>
      <c r="M3921">
        <f>VLOOKUP(Query1[[#This Row],[Description]],'kits to boards'!$B$2:$E$156,3,FALSE)</f>
        <v>0</v>
      </c>
      <c r="N3921">
        <f>VLOOKUP(Query1[[#This Row],[Description]],'kits to boards'!$B$2:$E$156,4,FALSE)</f>
        <v>0</v>
      </c>
      <c r="O3921" t="str">
        <f>CONCATENATE(Query1[[#This Row],[Description]]," - ",Query1[[#This Row],[MB1]]," - ",Query1[[#This Row],[MB2]]," - ",Query1[[#This Row],[MB3]])</f>
        <v>EVAP KIT 73-80 CHEV P-UP W/AC - 830001 - 0 - 0</v>
      </c>
    </row>
    <row r="3922" spans="1:15" x14ac:dyDescent="0.25">
      <c r="A3922" s="1">
        <v>919669</v>
      </c>
      <c r="B3922" s="1" t="s">
        <v>66</v>
      </c>
      <c r="C3922" s="1" t="s">
        <v>67</v>
      </c>
      <c r="D3922" s="2">
        <v>44664.684184687503</v>
      </c>
      <c r="E3922" s="1" t="s">
        <v>8</v>
      </c>
      <c r="F3922" s="1">
        <v>7</v>
      </c>
      <c r="G3922" s="1">
        <v>0</v>
      </c>
      <c r="H3922" s="6">
        <f>INT(Query1[[#This Row],[EntryDateTime]])</f>
        <v>44664</v>
      </c>
      <c r="I3922" s="1">
        <f>IF(Query1[[#This Row],[ItemType]]="EVAP KIT SF GEN IV",Query1[[#This Row],[OrderQty]]+I3921,I3921)</f>
        <v>4830</v>
      </c>
      <c r="J3922" s="1">
        <f>IF(Query1[[#This Row],[ItemType]]="EVAP KIT UNIVERSAL",Query1[[#This Row],[OrderQty]]+J3921,J3921)</f>
        <v>1629</v>
      </c>
      <c r="K3922" s="1">
        <f>Query1[[#This Row],[SF Running Total]]+Query1[[#This Row],[UNIV Running Total]]</f>
        <v>6459</v>
      </c>
      <c r="L3922">
        <f>VLOOKUP(Query1[[#This Row],[Description]],'kits to boards'!$B$2:$E$156,2,FALSE)</f>
        <v>830060</v>
      </c>
      <c r="M3922">
        <f>VLOOKUP(Query1[[#This Row],[Description]],'kits to boards'!$B$2:$E$156,3,FALSE)</f>
        <v>0</v>
      </c>
      <c r="N3922">
        <f>VLOOKUP(Query1[[#This Row],[Description]],'kits to boards'!$B$2:$E$156,4,FALSE)</f>
        <v>0</v>
      </c>
      <c r="O3922" t="str">
        <f>CONCATENATE(Query1[[#This Row],[Description]]," - ",Query1[[#This Row],[MB1]]," - ",Query1[[#This Row],[MB2]]," - ",Query1[[#This Row],[MB3]])</f>
        <v>EVAP KIT 66-67 CHEVELLE WO AC - 830060 - 0 - 0</v>
      </c>
    </row>
    <row r="3923" spans="1:15" x14ac:dyDescent="0.25">
      <c r="A3923" s="1">
        <v>919669</v>
      </c>
      <c r="B3923" s="1" t="s">
        <v>14</v>
      </c>
      <c r="C3923" s="1" t="s">
        <v>15</v>
      </c>
      <c r="D3923" s="2">
        <v>44664.684186377315</v>
      </c>
      <c r="E3923" s="1" t="s">
        <v>8</v>
      </c>
      <c r="F3923" s="1">
        <v>4</v>
      </c>
      <c r="G3923" s="1">
        <v>0</v>
      </c>
      <c r="H3923" s="6">
        <f>INT(Query1[[#This Row],[EntryDateTime]])</f>
        <v>44664</v>
      </c>
      <c r="I3923" s="1">
        <f>IF(Query1[[#This Row],[ItemType]]="EVAP KIT SF GEN IV",Query1[[#This Row],[OrderQty]]+I3922,I3922)</f>
        <v>4834</v>
      </c>
      <c r="J3923" s="1">
        <f>IF(Query1[[#This Row],[ItemType]]="EVAP KIT UNIVERSAL",Query1[[#This Row],[OrderQty]]+J3922,J3922)</f>
        <v>1629</v>
      </c>
      <c r="K3923" s="1">
        <f>Query1[[#This Row],[SF Running Total]]+Query1[[#This Row],[UNIV Running Total]]</f>
        <v>6463</v>
      </c>
      <c r="L3923">
        <f>VLOOKUP(Query1[[#This Row],[Description]],'kits to boards'!$B$2:$E$156,2,FALSE)</f>
        <v>830054</v>
      </c>
      <c r="M3923">
        <f>VLOOKUP(Query1[[#This Row],[Description]],'kits to boards'!$B$2:$E$156,3,FALSE)</f>
        <v>0</v>
      </c>
      <c r="N3923">
        <f>VLOOKUP(Query1[[#This Row],[Description]],'kits to boards'!$B$2:$E$156,4,FALSE)</f>
        <v>0</v>
      </c>
      <c r="O3923" t="str">
        <f>CONCATENATE(Query1[[#This Row],[Description]]," - ",Query1[[#This Row],[MB1]]," - ",Query1[[#This Row],[MB2]]," - ",Query1[[#This Row],[MB3]])</f>
        <v>EVAP KIT 55-56 CHEVY - 830054 - 0 - 0</v>
      </c>
    </row>
    <row r="3924" spans="1:15" x14ac:dyDescent="0.25">
      <c r="A3924" s="1">
        <v>919669</v>
      </c>
      <c r="B3924" s="1" t="s">
        <v>80</v>
      </c>
      <c r="C3924" s="1" t="s">
        <v>81</v>
      </c>
      <c r="D3924" s="2">
        <v>44664.6841915162</v>
      </c>
      <c r="E3924" s="1" t="s">
        <v>11</v>
      </c>
      <c r="F3924" s="1">
        <v>7</v>
      </c>
      <c r="G3924" s="1">
        <v>0</v>
      </c>
      <c r="H3924" s="6">
        <f>INT(Query1[[#This Row],[EntryDateTime]])</f>
        <v>44664</v>
      </c>
      <c r="I3924" s="1">
        <f>IF(Query1[[#This Row],[ItemType]]="EVAP KIT SF GEN IV",Query1[[#This Row],[OrderQty]]+I3923,I3923)</f>
        <v>4834</v>
      </c>
      <c r="J3924" s="1">
        <f>IF(Query1[[#This Row],[ItemType]]="EVAP KIT UNIVERSAL",Query1[[#This Row],[OrderQty]]+J3923,J3923)</f>
        <v>1636</v>
      </c>
      <c r="K3924" s="1">
        <f>Query1[[#This Row],[SF Running Total]]+Query1[[#This Row],[UNIV Running Total]]</f>
        <v>6470</v>
      </c>
      <c r="L3924">
        <f>VLOOKUP(Query1[[#This Row],[Description]],'kits to boards'!$B$2:$E$156,2,FALSE)</f>
        <v>0</v>
      </c>
      <c r="M3924">
        <f>VLOOKUP(Query1[[#This Row],[Description]],'kits to boards'!$B$2:$E$156,3,FALSE)</f>
        <v>0</v>
      </c>
      <c r="N3924">
        <f>VLOOKUP(Query1[[#This Row],[Description]],'kits to boards'!$B$2:$E$156,4,FALSE)</f>
        <v>0</v>
      </c>
      <c r="O3924" t="str">
        <f>CONCATENATE(Query1[[#This Row],[Description]]," - ",Query1[[#This Row],[MB1]]," - ",Query1[[#This Row],[MB2]]," - ",Query1[[#This Row],[MB3]])</f>
        <v>HERITAGE BRUSHED EVAP KIT COOL ONLY - 0 - 0 - 0</v>
      </c>
    </row>
    <row r="3925" spans="1:15" x14ac:dyDescent="0.25">
      <c r="A3925" s="1">
        <v>919669</v>
      </c>
      <c r="B3925" s="1" t="s">
        <v>44</v>
      </c>
      <c r="C3925" s="1" t="s">
        <v>45</v>
      </c>
      <c r="D3925" s="2">
        <v>44664.684193252317</v>
      </c>
      <c r="E3925" s="1" t="s">
        <v>8</v>
      </c>
      <c r="F3925" s="1">
        <v>3</v>
      </c>
      <c r="G3925" s="1">
        <v>0</v>
      </c>
      <c r="H3925" s="6">
        <f>INT(Query1[[#This Row],[EntryDateTime]])</f>
        <v>44664</v>
      </c>
      <c r="I3925" s="1">
        <f>IF(Query1[[#This Row],[ItemType]]="EVAP KIT SF GEN IV",Query1[[#This Row],[OrderQty]]+I3924,I3924)</f>
        <v>4837</v>
      </c>
      <c r="J3925" s="1">
        <f>IF(Query1[[#This Row],[ItemType]]="EVAP KIT UNIVERSAL",Query1[[#This Row],[OrderQty]]+J3924,J3924)</f>
        <v>1636</v>
      </c>
      <c r="K3925" s="1">
        <f>Query1[[#This Row],[SF Running Total]]+Query1[[#This Row],[UNIV Running Total]]</f>
        <v>6473</v>
      </c>
      <c r="L3925">
        <f>VLOOKUP(Query1[[#This Row],[Description]],'kits to boards'!$B$2:$E$156,2,FALSE)</f>
        <v>830085</v>
      </c>
      <c r="M3925">
        <f>VLOOKUP(Query1[[#This Row],[Description]],'kits to boards'!$B$2:$E$156,3,FALSE)</f>
        <v>0</v>
      </c>
      <c r="N3925">
        <f>VLOOKUP(Query1[[#This Row],[Description]],'kits to boards'!$B$2:$E$156,4,FALSE)</f>
        <v>0</v>
      </c>
      <c r="O3925" t="str">
        <f>CONCATENATE(Query1[[#This Row],[Description]]," - ",Query1[[#This Row],[MB1]]," - ",Query1[[#This Row],[MB2]]," - ",Query1[[#This Row],[MB3]])</f>
        <v>EVAP KIT 66-77 BRONCO - 830085 - 0 - 0</v>
      </c>
    </row>
    <row r="3926" spans="1:15" x14ac:dyDescent="0.25">
      <c r="A3926" s="1">
        <v>919669</v>
      </c>
      <c r="B3926" s="1" t="s">
        <v>28</v>
      </c>
      <c r="C3926" s="1" t="s">
        <v>29</v>
      </c>
      <c r="D3926" s="2">
        <v>44664.684195057867</v>
      </c>
      <c r="E3926" s="1" t="s">
        <v>8</v>
      </c>
      <c r="F3926" s="1">
        <v>4</v>
      </c>
      <c r="G3926" s="1">
        <v>0</v>
      </c>
      <c r="H3926" s="6">
        <f>INT(Query1[[#This Row],[EntryDateTime]])</f>
        <v>44664</v>
      </c>
      <c r="I3926" s="1">
        <f>IF(Query1[[#This Row],[ItemType]]="EVAP KIT SF GEN IV",Query1[[#This Row],[OrderQty]]+I3925,I3925)</f>
        <v>4841</v>
      </c>
      <c r="J3926" s="1">
        <f>IF(Query1[[#This Row],[ItemType]]="EVAP KIT UNIVERSAL",Query1[[#This Row],[OrderQty]]+J3925,J3925)</f>
        <v>1636</v>
      </c>
      <c r="K3926" s="1">
        <f>Query1[[#This Row],[SF Running Total]]+Query1[[#This Row],[UNIV Running Total]]</f>
        <v>6477</v>
      </c>
      <c r="L3926">
        <f>VLOOKUP(Query1[[#This Row],[Description]],'kits to boards'!$B$2:$E$156,2,FALSE)</f>
        <v>830001</v>
      </c>
      <c r="M3926">
        <f>VLOOKUP(Query1[[#This Row],[Description]],'kits to boards'!$B$2:$E$156,3,FALSE)</f>
        <v>0</v>
      </c>
      <c r="N3926">
        <f>VLOOKUP(Query1[[#This Row],[Description]],'kits to boards'!$B$2:$E$156,4,FALSE)</f>
        <v>0</v>
      </c>
      <c r="O3926" t="str">
        <f>CONCATENATE(Query1[[#This Row],[Description]]," - ",Query1[[#This Row],[MB1]]," - ",Query1[[#This Row],[MB2]]," - ",Query1[[#This Row],[MB3]])</f>
        <v>EVAP KIT 73-80 CHEV P-UP W/AC - 830001 - 0 - 0</v>
      </c>
    </row>
    <row r="3927" spans="1:15" x14ac:dyDescent="0.25">
      <c r="A3927" s="1">
        <v>919669</v>
      </c>
      <c r="B3927" s="1" t="s">
        <v>96</v>
      </c>
      <c r="C3927" s="1" t="s">
        <v>97</v>
      </c>
      <c r="D3927" s="2">
        <v>44664.684196759263</v>
      </c>
      <c r="E3927" s="1" t="s">
        <v>8</v>
      </c>
      <c r="F3927" s="1">
        <v>3</v>
      </c>
      <c r="G3927" s="1">
        <v>0</v>
      </c>
      <c r="H3927" s="6">
        <f>INT(Query1[[#This Row],[EntryDateTime]])</f>
        <v>44664</v>
      </c>
      <c r="I3927" s="1">
        <f>IF(Query1[[#This Row],[ItemType]]="EVAP KIT SF GEN IV",Query1[[#This Row],[OrderQty]]+I3926,I3926)</f>
        <v>4844</v>
      </c>
      <c r="J3927" s="1">
        <f>IF(Query1[[#This Row],[ItemType]]="EVAP KIT UNIVERSAL",Query1[[#This Row],[OrderQty]]+J3926,J3926)</f>
        <v>1636</v>
      </c>
      <c r="K3927" s="1">
        <f>Query1[[#This Row],[SF Running Total]]+Query1[[#This Row],[UNIV Running Total]]</f>
        <v>6480</v>
      </c>
      <c r="L3927">
        <f>VLOOKUP(Query1[[#This Row],[Description]],'kits to boards'!$B$2:$E$156,2,FALSE)</f>
        <v>830004</v>
      </c>
      <c r="M3927">
        <f>VLOOKUP(Query1[[#This Row],[Description]],'kits to boards'!$B$2:$E$156,3,FALSE)</f>
        <v>0</v>
      </c>
      <c r="N3927">
        <f>VLOOKUP(Query1[[#This Row],[Description]],'kits to boards'!$B$2:$E$156,4,FALSE)</f>
        <v>0</v>
      </c>
      <c r="O3927" t="str">
        <f>CONCATENATE(Query1[[#This Row],[Description]]," - ",Query1[[#This Row],[MB1]]," - ",Query1[[#This Row],[MB2]]," - ",Query1[[#This Row],[MB3]])</f>
        <v>EVAP KIT 81-87 CHEV P-UP W/AC - 830004 - 0 - 0</v>
      </c>
    </row>
    <row r="3928" spans="1:15" x14ac:dyDescent="0.25">
      <c r="A3928" s="1">
        <v>919672</v>
      </c>
      <c r="B3928" s="1" t="s">
        <v>14</v>
      </c>
      <c r="C3928" s="1" t="s">
        <v>15</v>
      </c>
      <c r="D3928" s="2">
        <v>44664.687496331018</v>
      </c>
      <c r="E3928" s="1" t="s">
        <v>8</v>
      </c>
      <c r="F3928" s="1">
        <v>5</v>
      </c>
      <c r="G3928" s="1">
        <v>0</v>
      </c>
      <c r="H3928" s="6">
        <f>INT(Query1[[#This Row],[EntryDateTime]])</f>
        <v>44664</v>
      </c>
      <c r="I3928" s="1">
        <f>IF(Query1[[#This Row],[ItemType]]="EVAP KIT SF GEN IV",Query1[[#This Row],[OrderQty]]+I3927,I3927)</f>
        <v>4849</v>
      </c>
      <c r="J3928" s="1">
        <f>IF(Query1[[#This Row],[ItemType]]="EVAP KIT UNIVERSAL",Query1[[#This Row],[OrderQty]]+J3927,J3927)</f>
        <v>1636</v>
      </c>
      <c r="K3928" s="1">
        <f>Query1[[#This Row],[SF Running Total]]+Query1[[#This Row],[UNIV Running Total]]</f>
        <v>6485</v>
      </c>
      <c r="L3928">
        <f>VLOOKUP(Query1[[#This Row],[Description]],'kits to boards'!$B$2:$E$156,2,FALSE)</f>
        <v>830054</v>
      </c>
      <c r="M3928">
        <f>VLOOKUP(Query1[[#This Row],[Description]],'kits to boards'!$B$2:$E$156,3,FALSE)</f>
        <v>0</v>
      </c>
      <c r="N3928">
        <f>VLOOKUP(Query1[[#This Row],[Description]],'kits to boards'!$B$2:$E$156,4,FALSE)</f>
        <v>0</v>
      </c>
      <c r="O3928" t="str">
        <f>CONCATENATE(Query1[[#This Row],[Description]]," - ",Query1[[#This Row],[MB1]]," - ",Query1[[#This Row],[MB2]]," - ",Query1[[#This Row],[MB3]])</f>
        <v>EVAP KIT 55-56 CHEVY - 830054 - 0 - 0</v>
      </c>
    </row>
    <row r="3929" spans="1:15" x14ac:dyDescent="0.25">
      <c r="A3929" s="1">
        <v>919672</v>
      </c>
      <c r="B3929" s="1" t="s">
        <v>80</v>
      </c>
      <c r="C3929" s="1" t="s">
        <v>81</v>
      </c>
      <c r="D3929" s="2">
        <v>44664.687499687498</v>
      </c>
      <c r="E3929" s="1" t="s">
        <v>11</v>
      </c>
      <c r="F3929" s="1">
        <v>4</v>
      </c>
      <c r="G3929" s="1">
        <v>0</v>
      </c>
      <c r="H3929" s="6">
        <f>INT(Query1[[#This Row],[EntryDateTime]])</f>
        <v>44664</v>
      </c>
      <c r="I3929" s="1">
        <f>IF(Query1[[#This Row],[ItemType]]="EVAP KIT SF GEN IV",Query1[[#This Row],[OrderQty]]+I3928,I3928)</f>
        <v>4849</v>
      </c>
      <c r="J3929" s="1">
        <f>IF(Query1[[#This Row],[ItemType]]="EVAP KIT UNIVERSAL",Query1[[#This Row],[OrderQty]]+J3928,J3928)</f>
        <v>1640</v>
      </c>
      <c r="K3929" s="1">
        <f>Query1[[#This Row],[SF Running Total]]+Query1[[#This Row],[UNIV Running Total]]</f>
        <v>6489</v>
      </c>
      <c r="L3929">
        <f>VLOOKUP(Query1[[#This Row],[Description]],'kits to boards'!$B$2:$E$156,2,FALSE)</f>
        <v>0</v>
      </c>
      <c r="M3929">
        <f>VLOOKUP(Query1[[#This Row],[Description]],'kits to boards'!$B$2:$E$156,3,FALSE)</f>
        <v>0</v>
      </c>
      <c r="N3929">
        <f>VLOOKUP(Query1[[#This Row],[Description]],'kits to boards'!$B$2:$E$156,4,FALSE)</f>
        <v>0</v>
      </c>
      <c r="O3929" t="str">
        <f>CONCATENATE(Query1[[#This Row],[Description]]," - ",Query1[[#This Row],[MB1]]," - ",Query1[[#This Row],[MB2]]," - ",Query1[[#This Row],[MB3]])</f>
        <v>HERITAGE BRUSHED EVAP KIT COOL ONLY - 0 - 0 - 0</v>
      </c>
    </row>
    <row r="3930" spans="1:15" x14ac:dyDescent="0.25">
      <c r="A3930" s="1">
        <v>919672</v>
      </c>
      <c r="B3930" s="1" t="s">
        <v>84</v>
      </c>
      <c r="C3930" s="1" t="s">
        <v>85</v>
      </c>
      <c r="D3930" s="2">
        <v>44664.687501388886</v>
      </c>
      <c r="E3930" s="1" t="s">
        <v>8</v>
      </c>
      <c r="F3930" s="1">
        <v>25</v>
      </c>
      <c r="G3930" s="1">
        <v>0</v>
      </c>
      <c r="H3930" s="6">
        <f>INT(Query1[[#This Row],[EntryDateTime]])</f>
        <v>44664</v>
      </c>
      <c r="I3930" s="1">
        <f>IF(Query1[[#This Row],[ItemType]]="EVAP KIT SF GEN IV",Query1[[#This Row],[OrderQty]]+I3929,I3929)</f>
        <v>4874</v>
      </c>
      <c r="J3930" s="1">
        <f>IF(Query1[[#This Row],[ItemType]]="EVAP KIT UNIVERSAL",Query1[[#This Row],[OrderQty]]+J3929,J3929)</f>
        <v>1640</v>
      </c>
      <c r="K3930" s="1">
        <f>Query1[[#This Row],[SF Running Total]]+Query1[[#This Row],[UNIV Running Total]]</f>
        <v>6514</v>
      </c>
      <c r="L3930">
        <f>VLOOKUP(Query1[[#This Row],[Description]],'kits to boards'!$B$2:$E$156,2,FALSE)</f>
        <v>830085</v>
      </c>
      <c r="M3930">
        <f>VLOOKUP(Query1[[#This Row],[Description]],'kits to boards'!$B$2:$E$156,3,FALSE)</f>
        <v>0</v>
      </c>
      <c r="N3930">
        <f>VLOOKUP(Query1[[#This Row],[Description]],'kits to boards'!$B$2:$E$156,4,FALSE)</f>
        <v>0</v>
      </c>
      <c r="O3930" t="str">
        <f>CONCATENATE(Query1[[#This Row],[Description]]," - ",Query1[[#This Row],[MB1]]," - ",Query1[[#This Row],[MB2]]," - ",Query1[[#This Row],[MB3]])</f>
        <v>EVAP KIT 66-77 BRONCO 4-VENT PLENUM - 830085 - 0 - 0</v>
      </c>
    </row>
    <row r="3931" spans="1:15" x14ac:dyDescent="0.25">
      <c r="A3931" s="1">
        <v>919672</v>
      </c>
      <c r="B3931" s="1" t="s">
        <v>106</v>
      </c>
      <c r="C3931" s="1" t="s">
        <v>107</v>
      </c>
      <c r="D3931" s="2">
        <v>44664.687503854169</v>
      </c>
      <c r="E3931" s="1" t="s">
        <v>8</v>
      </c>
      <c r="F3931" s="1">
        <v>5</v>
      </c>
      <c r="G3931" s="1">
        <v>0</v>
      </c>
      <c r="H3931" s="6">
        <f>INT(Query1[[#This Row],[EntryDateTime]])</f>
        <v>44664</v>
      </c>
      <c r="I3931" s="1">
        <f>IF(Query1[[#This Row],[ItemType]]="EVAP KIT SF GEN IV",Query1[[#This Row],[OrderQty]]+I3930,I3930)</f>
        <v>4879</v>
      </c>
      <c r="J3931" s="1">
        <f>IF(Query1[[#This Row],[ItemType]]="EVAP KIT UNIVERSAL",Query1[[#This Row],[OrderQty]]+J3930,J3930)</f>
        <v>1640</v>
      </c>
      <c r="K3931" s="1">
        <f>Query1[[#This Row],[SF Running Total]]+Query1[[#This Row],[UNIV Running Total]]</f>
        <v>6519</v>
      </c>
      <c r="L3931">
        <f>VLOOKUP(Query1[[#This Row],[Description]],'kits to boards'!$B$2:$E$156,2,FALSE)</f>
        <v>830028</v>
      </c>
      <c r="M3931">
        <f>VLOOKUP(Query1[[#This Row],[Description]],'kits to boards'!$B$2:$E$156,3,FALSE)</f>
        <v>0</v>
      </c>
      <c r="N3931">
        <f>VLOOKUP(Query1[[#This Row],[Description]],'kits to boards'!$B$2:$E$156,4,FALSE)</f>
        <v>0</v>
      </c>
      <c r="O3931" t="str">
        <f>CONCATENATE(Query1[[#This Row],[Description]]," - ",Query1[[#This Row],[MB1]]," - ",Query1[[#This Row],[MB2]]," - ",Query1[[#This Row],[MB3]])</f>
        <v>EVAP KIT 55-59 CHEV P-UP WO AC W/DELX - 830028 - 0 - 0</v>
      </c>
    </row>
    <row r="3932" spans="1:15" x14ac:dyDescent="0.25">
      <c r="A3932" s="1">
        <v>919672</v>
      </c>
      <c r="B3932" s="1" t="s">
        <v>42</v>
      </c>
      <c r="C3932" s="1" t="s">
        <v>43</v>
      </c>
      <c r="D3932" s="2">
        <v>44664.687505821756</v>
      </c>
      <c r="E3932" s="1" t="s">
        <v>8</v>
      </c>
      <c r="F3932" s="1">
        <v>8</v>
      </c>
      <c r="G3932" s="1">
        <v>0</v>
      </c>
      <c r="H3932" s="6">
        <f>INT(Query1[[#This Row],[EntryDateTime]])</f>
        <v>44664</v>
      </c>
      <c r="I3932" s="1">
        <f>IF(Query1[[#This Row],[ItemType]]="EVAP KIT SF GEN IV",Query1[[#This Row],[OrderQty]]+I3931,I3931)</f>
        <v>4887</v>
      </c>
      <c r="J3932" s="1">
        <f>IF(Query1[[#This Row],[ItemType]]="EVAP KIT UNIVERSAL",Query1[[#This Row],[OrderQty]]+J3931,J3931)</f>
        <v>1640</v>
      </c>
      <c r="K3932" s="1">
        <f>Query1[[#This Row],[SF Running Total]]+Query1[[#This Row],[UNIV Running Total]]</f>
        <v>6527</v>
      </c>
      <c r="L3932">
        <f>VLOOKUP(Query1[[#This Row],[Description]],'kits to boards'!$B$2:$E$156,2,FALSE)</f>
        <v>830014</v>
      </c>
      <c r="M3932">
        <f>VLOOKUP(Query1[[#This Row],[Description]],'kits to boards'!$B$2:$E$156,3,FALSE)</f>
        <v>0</v>
      </c>
      <c r="N3932">
        <f>VLOOKUP(Query1[[#This Row],[Description]],'kits to boards'!$B$2:$E$156,4,FALSE)</f>
        <v>0</v>
      </c>
      <c r="O3932" t="str">
        <f>CONCATENATE(Query1[[#This Row],[Description]]," - ",Query1[[#This Row],[MB1]]," - ",Query1[[#This Row],[MB2]]," - ",Query1[[#This Row],[MB3]])</f>
        <v>EVAP KIT 67-72 CHEV P-UP WO AC - 830014 - 0 - 0</v>
      </c>
    </row>
    <row r="3933" spans="1:15" x14ac:dyDescent="0.25">
      <c r="A3933" s="1">
        <v>919672</v>
      </c>
      <c r="B3933" s="1" t="s">
        <v>88</v>
      </c>
      <c r="C3933" s="1" t="s">
        <v>89</v>
      </c>
      <c r="D3933" s="2">
        <v>44664.68750980324</v>
      </c>
      <c r="E3933" s="1" t="s">
        <v>8</v>
      </c>
      <c r="F3933" s="1">
        <v>2</v>
      </c>
      <c r="G3933" s="1">
        <v>0</v>
      </c>
      <c r="H3933" s="6">
        <f>INT(Query1[[#This Row],[EntryDateTime]])</f>
        <v>44664</v>
      </c>
      <c r="I3933" s="1">
        <f>IF(Query1[[#This Row],[ItemType]]="EVAP KIT SF GEN IV",Query1[[#This Row],[OrderQty]]+I3932,I3932)</f>
        <v>4889</v>
      </c>
      <c r="J3933" s="1">
        <f>IF(Query1[[#This Row],[ItemType]]="EVAP KIT UNIVERSAL",Query1[[#This Row],[OrderQty]]+J3932,J3932)</f>
        <v>1640</v>
      </c>
      <c r="K3933" s="1">
        <f>Query1[[#This Row],[SF Running Total]]+Query1[[#This Row],[UNIV Running Total]]</f>
        <v>6529</v>
      </c>
      <c r="L3933">
        <f>VLOOKUP(Query1[[#This Row],[Description]],'kits to boards'!$B$2:$E$156,2,FALSE)</f>
        <v>830003</v>
      </c>
      <c r="M3933">
        <f>VLOOKUP(Query1[[#This Row],[Description]],'kits to boards'!$B$2:$E$156,3,FALSE)</f>
        <v>0</v>
      </c>
      <c r="N3933">
        <f>VLOOKUP(Query1[[#This Row],[Description]],'kits to boards'!$B$2:$E$156,4,FALSE)</f>
        <v>0</v>
      </c>
      <c r="O3933" t="str">
        <f>CONCATENATE(Query1[[#This Row],[Description]]," - ",Query1[[#This Row],[MB1]]," - ",Query1[[#This Row],[MB2]]," - ",Query1[[#This Row],[MB3]])</f>
        <v>EVAP KIT 81-87 CHEV P-UP WO AC - 830003 - 0 - 0</v>
      </c>
    </row>
    <row r="3934" spans="1:15" x14ac:dyDescent="0.25">
      <c r="A3934" s="1">
        <v>919673</v>
      </c>
      <c r="B3934" s="1" t="s">
        <v>78</v>
      </c>
      <c r="C3934" s="1" t="s">
        <v>79</v>
      </c>
      <c r="D3934" s="2">
        <v>44664.692075347222</v>
      </c>
      <c r="E3934" s="1" t="s">
        <v>11</v>
      </c>
      <c r="F3934" s="1">
        <v>6</v>
      </c>
      <c r="G3934" s="1">
        <v>0</v>
      </c>
      <c r="H3934" s="6">
        <f>INT(Query1[[#This Row],[EntryDateTime]])</f>
        <v>44664</v>
      </c>
      <c r="I3934" s="1">
        <f>IF(Query1[[#This Row],[ItemType]]="EVAP KIT SF GEN IV",Query1[[#This Row],[OrderQty]]+I3933,I3933)</f>
        <v>4889</v>
      </c>
      <c r="J3934" s="1">
        <f>IF(Query1[[#This Row],[ItemType]]="EVAP KIT UNIVERSAL",Query1[[#This Row],[OrderQty]]+J3933,J3933)</f>
        <v>1646</v>
      </c>
      <c r="K3934" s="1">
        <f>Query1[[#This Row],[SF Running Total]]+Query1[[#This Row],[UNIV Running Total]]</f>
        <v>6535</v>
      </c>
      <c r="L3934">
        <f>VLOOKUP(Query1[[#This Row],[Description]],'kits to boards'!$B$2:$E$156,2,FALSE)</f>
        <v>0</v>
      </c>
      <c r="M3934">
        <f>VLOOKUP(Query1[[#This Row],[Description]],'kits to boards'!$B$2:$E$156,3,FALSE)</f>
        <v>0</v>
      </c>
      <c r="N3934">
        <f>VLOOKUP(Query1[[#This Row],[Description]],'kits to boards'!$B$2:$E$156,4,FALSE)</f>
        <v>0</v>
      </c>
      <c r="O3934" t="str">
        <f>CONCATENATE(Query1[[#This Row],[Description]]," - ",Query1[[#This Row],[MB1]]," - ",Query1[[#This Row],[MB2]]," - ",Query1[[#This Row],[MB3]])</f>
        <v>MARK IV STYLELINE UNDERDASH EVAP - 0 - 0 - 0</v>
      </c>
    </row>
    <row r="3935" spans="1:15" x14ac:dyDescent="0.25">
      <c r="A3935" s="1">
        <v>919673</v>
      </c>
      <c r="B3935" s="1" t="s">
        <v>110</v>
      </c>
      <c r="C3935" s="1" t="s">
        <v>111</v>
      </c>
      <c r="D3935" s="2">
        <v>44664.692077118052</v>
      </c>
      <c r="E3935" s="1" t="s">
        <v>8</v>
      </c>
      <c r="F3935" s="1">
        <v>10</v>
      </c>
      <c r="G3935" s="1">
        <v>0</v>
      </c>
      <c r="H3935" s="6">
        <f>INT(Query1[[#This Row],[EntryDateTime]])</f>
        <v>44664</v>
      </c>
      <c r="I3935" s="1">
        <f>IF(Query1[[#This Row],[ItemType]]="EVAP KIT SF GEN IV",Query1[[#This Row],[OrderQty]]+I3934,I3934)</f>
        <v>4899</v>
      </c>
      <c r="J3935" s="1">
        <f>IF(Query1[[#This Row],[ItemType]]="EVAP KIT UNIVERSAL",Query1[[#This Row],[OrderQty]]+J3934,J3934)</f>
        <v>1646</v>
      </c>
      <c r="K3935" s="1">
        <f>Query1[[#This Row],[SF Running Total]]+Query1[[#This Row],[UNIV Running Total]]</f>
        <v>6545</v>
      </c>
      <c r="L3935">
        <f>VLOOKUP(Query1[[#This Row],[Description]],'kits to boards'!$B$2:$E$156,2,FALSE)</f>
        <v>830053</v>
      </c>
      <c r="M3935">
        <f>VLOOKUP(Query1[[#This Row],[Description]],'kits to boards'!$B$2:$E$156,3,FALSE)</f>
        <v>0</v>
      </c>
      <c r="N3935">
        <f>VLOOKUP(Query1[[#This Row],[Description]],'kits to boards'!$B$2:$E$156,4,FALSE)</f>
        <v>0</v>
      </c>
      <c r="O3935" t="str">
        <f>CONCATENATE(Query1[[#This Row],[Description]]," - ",Query1[[#This Row],[MB1]]," - ",Query1[[#This Row],[MB2]]," - ",Query1[[#This Row],[MB3]])</f>
        <v>EVAP KIT 65-66 FORD F-100 - 830053 - 0 - 0</v>
      </c>
    </row>
    <row r="3936" spans="1:15" x14ac:dyDescent="0.25">
      <c r="A3936" s="1">
        <v>919673</v>
      </c>
      <c r="B3936" s="1" t="s">
        <v>26</v>
      </c>
      <c r="C3936" s="1" t="s">
        <v>27</v>
      </c>
      <c r="D3936" s="2">
        <v>44664.692079166663</v>
      </c>
      <c r="E3936" s="1" t="s">
        <v>8</v>
      </c>
      <c r="F3936" s="1">
        <v>7</v>
      </c>
      <c r="G3936" s="1">
        <v>0</v>
      </c>
      <c r="H3936" s="6">
        <f>INT(Query1[[#This Row],[EntryDateTime]])</f>
        <v>44664</v>
      </c>
      <c r="I3936" s="1">
        <f>IF(Query1[[#This Row],[ItemType]]="EVAP KIT SF GEN IV",Query1[[#This Row],[OrderQty]]+I3935,I3935)</f>
        <v>4906</v>
      </c>
      <c r="J3936" s="1">
        <f>IF(Query1[[#This Row],[ItemType]]="EVAP KIT UNIVERSAL",Query1[[#This Row],[OrderQty]]+J3935,J3935)</f>
        <v>1646</v>
      </c>
      <c r="K3936" s="1">
        <f>Query1[[#This Row],[SF Running Total]]+Query1[[#This Row],[UNIV Running Total]]</f>
        <v>6552</v>
      </c>
      <c r="L3936">
        <f>VLOOKUP(Query1[[#This Row],[Description]],'kits to boards'!$B$2:$E$156,2,FALSE)</f>
        <v>830013</v>
      </c>
      <c r="M3936">
        <f>VLOOKUP(Query1[[#This Row],[Description]],'kits to boards'!$B$2:$E$156,3,FALSE)</f>
        <v>0</v>
      </c>
      <c r="N3936">
        <f>VLOOKUP(Query1[[#This Row],[Description]],'kits to boards'!$B$2:$E$156,4,FALSE)</f>
        <v>0</v>
      </c>
      <c r="O3936" t="str">
        <f>CONCATENATE(Query1[[#This Row],[Description]]," - ",Query1[[#This Row],[MB1]]," - ",Query1[[#This Row],[MB2]]," - ",Query1[[#This Row],[MB3]])</f>
        <v>EVAP KIT 67-72 CHEV P-UP W/AC - 830013 - 0 - 0</v>
      </c>
    </row>
    <row r="3937" spans="1:15" x14ac:dyDescent="0.25">
      <c r="A3937" s="1">
        <v>919608</v>
      </c>
      <c r="B3937" s="1" t="s">
        <v>74</v>
      </c>
      <c r="C3937" s="1" t="s">
        <v>75</v>
      </c>
      <c r="D3937" s="2">
        <v>44664.698093136576</v>
      </c>
      <c r="E3937" s="1" t="s">
        <v>8</v>
      </c>
      <c r="F3937" s="1">
        <v>1</v>
      </c>
      <c r="G3937" s="1">
        <v>0</v>
      </c>
      <c r="H3937" s="6">
        <f>INT(Query1[[#This Row],[EntryDateTime]])</f>
        <v>44664</v>
      </c>
      <c r="I3937" s="1">
        <f>IF(Query1[[#This Row],[ItemType]]="EVAP KIT SF GEN IV",Query1[[#This Row],[OrderQty]]+I3936,I3936)</f>
        <v>4907</v>
      </c>
      <c r="J3937" s="1">
        <f>IF(Query1[[#This Row],[ItemType]]="EVAP KIT UNIVERSAL",Query1[[#This Row],[OrderQty]]+J3936,J3936)</f>
        <v>1646</v>
      </c>
      <c r="K3937" s="1">
        <f>Query1[[#This Row],[SF Running Total]]+Query1[[#This Row],[UNIV Running Total]]</f>
        <v>6553</v>
      </c>
      <c r="L3937">
        <f>VLOOKUP(Query1[[#This Row],[Description]],'kits to boards'!$B$2:$E$156,2,FALSE)</f>
        <v>830065</v>
      </c>
      <c r="M3937">
        <f>VLOOKUP(Query1[[#This Row],[Description]],'kits to boards'!$B$2:$E$156,3,FALSE)</f>
        <v>0</v>
      </c>
      <c r="N3937">
        <f>VLOOKUP(Query1[[#This Row],[Description]],'kits to boards'!$B$2:$E$156,4,FALSE)</f>
        <v>0</v>
      </c>
      <c r="O3937" t="str">
        <f>CONCATENATE(Query1[[#This Row],[Description]]," - ",Query1[[#This Row],[MB1]]," - ",Query1[[#This Row],[MB2]]," - ",Query1[[#This Row],[MB3]])</f>
        <v>EVAP KIT 57 CHEV WO AC 4-VENT PLENUM - 830065 - 0 - 0</v>
      </c>
    </row>
    <row r="3938" spans="1:15" x14ac:dyDescent="0.25">
      <c r="A3938" s="1">
        <v>919677</v>
      </c>
      <c r="B3938" s="1" t="s">
        <v>84</v>
      </c>
      <c r="C3938" s="1" t="s">
        <v>85</v>
      </c>
      <c r="D3938" s="2">
        <v>44664.700293831018</v>
      </c>
      <c r="E3938" s="1" t="s">
        <v>8</v>
      </c>
      <c r="F3938" s="1">
        <v>1</v>
      </c>
      <c r="G3938" s="1">
        <v>0</v>
      </c>
      <c r="H3938" s="6">
        <f>INT(Query1[[#This Row],[EntryDateTime]])</f>
        <v>44664</v>
      </c>
      <c r="I3938" s="1">
        <f>IF(Query1[[#This Row],[ItemType]]="EVAP KIT SF GEN IV",Query1[[#This Row],[OrderQty]]+I3937,I3937)</f>
        <v>4908</v>
      </c>
      <c r="J3938" s="1">
        <f>IF(Query1[[#This Row],[ItemType]]="EVAP KIT UNIVERSAL",Query1[[#This Row],[OrderQty]]+J3937,J3937)</f>
        <v>1646</v>
      </c>
      <c r="K3938" s="1">
        <f>Query1[[#This Row],[SF Running Total]]+Query1[[#This Row],[UNIV Running Total]]</f>
        <v>6554</v>
      </c>
      <c r="L3938">
        <f>VLOOKUP(Query1[[#This Row],[Description]],'kits to boards'!$B$2:$E$156,2,FALSE)</f>
        <v>830085</v>
      </c>
      <c r="M3938">
        <f>VLOOKUP(Query1[[#This Row],[Description]],'kits to boards'!$B$2:$E$156,3,FALSE)</f>
        <v>0</v>
      </c>
      <c r="N3938">
        <f>VLOOKUP(Query1[[#This Row],[Description]],'kits to boards'!$B$2:$E$156,4,FALSE)</f>
        <v>0</v>
      </c>
      <c r="O3938" t="str">
        <f>CONCATENATE(Query1[[#This Row],[Description]]," - ",Query1[[#This Row],[MB1]]," - ",Query1[[#This Row],[MB2]]," - ",Query1[[#This Row],[MB3]])</f>
        <v>EVAP KIT 66-77 BRONCO 4-VENT PLENUM - 830085 - 0 - 0</v>
      </c>
    </row>
    <row r="3939" spans="1:15" x14ac:dyDescent="0.25">
      <c r="A3939" s="1">
        <v>919679</v>
      </c>
      <c r="B3939" s="1" t="s">
        <v>134</v>
      </c>
      <c r="C3939" s="1" t="s">
        <v>135</v>
      </c>
      <c r="D3939" s="2">
        <v>44664.709998692131</v>
      </c>
      <c r="E3939" s="1" t="s">
        <v>8</v>
      </c>
      <c r="F3939" s="1">
        <v>1</v>
      </c>
      <c r="G3939" s="1">
        <v>0</v>
      </c>
      <c r="H3939" s="6">
        <f>INT(Query1[[#This Row],[EntryDateTime]])</f>
        <v>44664</v>
      </c>
      <c r="I3939" s="1">
        <f>IF(Query1[[#This Row],[ItemType]]="EVAP KIT SF GEN IV",Query1[[#This Row],[OrderQty]]+I3938,I3938)</f>
        <v>4909</v>
      </c>
      <c r="J3939" s="1">
        <f>IF(Query1[[#This Row],[ItemType]]="EVAP KIT UNIVERSAL",Query1[[#This Row],[OrderQty]]+J3938,J3938)</f>
        <v>1646</v>
      </c>
      <c r="K3939" s="1">
        <f>Query1[[#This Row],[SF Running Total]]+Query1[[#This Row],[UNIV Running Total]]</f>
        <v>6555</v>
      </c>
      <c r="L3939">
        <f>VLOOKUP(Query1[[#This Row],[Description]],'kits to boards'!$B$2:$E$156,2,FALSE)</f>
        <v>830007</v>
      </c>
      <c r="M3939">
        <f>VLOOKUP(Query1[[#This Row],[Description]],'kits to boards'!$B$2:$E$156,3,FALSE)</f>
        <v>0</v>
      </c>
      <c r="N3939">
        <f>VLOOKUP(Query1[[#This Row],[Description]],'kits to boards'!$B$2:$E$156,4,FALSE)</f>
        <v>0</v>
      </c>
      <c r="O3939" t="str">
        <f>CONCATENATE(Query1[[#This Row],[Description]]," - ",Query1[[#This Row],[MB1]]," - ",Query1[[#This Row],[MB2]]," - ",Query1[[#This Row],[MB3]])</f>
        <v>EVAP KIT 64 IMPALA WO AC - 830007 - 0 - 0</v>
      </c>
    </row>
    <row r="3940" spans="1:15" x14ac:dyDescent="0.25">
      <c r="A3940" s="1">
        <v>919681</v>
      </c>
      <c r="B3940" s="1" t="s">
        <v>44</v>
      </c>
      <c r="C3940" s="1" t="s">
        <v>45</v>
      </c>
      <c r="D3940" s="2">
        <v>44665.302495520831</v>
      </c>
      <c r="E3940" s="1" t="s">
        <v>8</v>
      </c>
      <c r="F3940" s="1">
        <v>1</v>
      </c>
      <c r="G3940" s="1">
        <v>0</v>
      </c>
      <c r="H3940" s="6">
        <f>INT(Query1[[#This Row],[EntryDateTime]])</f>
        <v>44665</v>
      </c>
      <c r="I3940" s="1">
        <f>IF(Query1[[#This Row],[ItemType]]="EVAP KIT SF GEN IV",Query1[[#This Row],[OrderQty]]+I3939,I3939)</f>
        <v>4910</v>
      </c>
      <c r="J3940" s="1">
        <f>IF(Query1[[#This Row],[ItemType]]="EVAP KIT UNIVERSAL",Query1[[#This Row],[OrderQty]]+J3939,J3939)</f>
        <v>1646</v>
      </c>
      <c r="K3940" s="1">
        <f>Query1[[#This Row],[SF Running Total]]+Query1[[#This Row],[UNIV Running Total]]</f>
        <v>6556</v>
      </c>
      <c r="L3940">
        <f>VLOOKUP(Query1[[#This Row],[Description]],'kits to boards'!$B$2:$E$156,2,FALSE)</f>
        <v>830085</v>
      </c>
      <c r="M3940">
        <f>VLOOKUP(Query1[[#This Row],[Description]],'kits to boards'!$B$2:$E$156,3,FALSE)</f>
        <v>0</v>
      </c>
      <c r="N3940">
        <f>VLOOKUP(Query1[[#This Row],[Description]],'kits to boards'!$B$2:$E$156,4,FALSE)</f>
        <v>0</v>
      </c>
      <c r="O3940" t="str">
        <f>CONCATENATE(Query1[[#This Row],[Description]]," - ",Query1[[#This Row],[MB1]]," - ",Query1[[#This Row],[MB2]]," - ",Query1[[#This Row],[MB3]])</f>
        <v>EVAP KIT 66-77 BRONCO - 830085 - 0 - 0</v>
      </c>
    </row>
    <row r="3941" spans="1:15" x14ac:dyDescent="0.25">
      <c r="A3941" s="1">
        <v>919682</v>
      </c>
      <c r="B3941" s="1" t="s">
        <v>44</v>
      </c>
      <c r="C3941" s="1" t="s">
        <v>45</v>
      </c>
      <c r="D3941" s="2">
        <v>44665.307472418979</v>
      </c>
      <c r="E3941" s="1" t="s">
        <v>8</v>
      </c>
      <c r="F3941" s="1">
        <v>1</v>
      </c>
      <c r="G3941" s="1">
        <v>0</v>
      </c>
      <c r="H3941" s="6">
        <f>INT(Query1[[#This Row],[EntryDateTime]])</f>
        <v>44665</v>
      </c>
      <c r="I3941" s="1">
        <f>IF(Query1[[#This Row],[ItemType]]="EVAP KIT SF GEN IV",Query1[[#This Row],[OrderQty]]+I3940,I3940)</f>
        <v>4911</v>
      </c>
      <c r="J3941" s="1">
        <f>IF(Query1[[#This Row],[ItemType]]="EVAP KIT UNIVERSAL",Query1[[#This Row],[OrderQty]]+J3940,J3940)</f>
        <v>1646</v>
      </c>
      <c r="K3941" s="1">
        <f>Query1[[#This Row],[SF Running Total]]+Query1[[#This Row],[UNIV Running Total]]</f>
        <v>6557</v>
      </c>
      <c r="L3941">
        <f>VLOOKUP(Query1[[#This Row],[Description]],'kits to boards'!$B$2:$E$156,2,FALSE)</f>
        <v>830085</v>
      </c>
      <c r="M3941">
        <f>VLOOKUP(Query1[[#This Row],[Description]],'kits to boards'!$B$2:$E$156,3,FALSE)</f>
        <v>0</v>
      </c>
      <c r="N3941">
        <f>VLOOKUP(Query1[[#This Row],[Description]],'kits to boards'!$B$2:$E$156,4,FALSE)</f>
        <v>0</v>
      </c>
      <c r="O3941" t="str">
        <f>CONCATENATE(Query1[[#This Row],[Description]]," - ",Query1[[#This Row],[MB1]]," - ",Query1[[#This Row],[MB2]]," - ",Query1[[#This Row],[MB3]])</f>
        <v>EVAP KIT 66-77 BRONCO - 830085 - 0 - 0</v>
      </c>
    </row>
    <row r="3942" spans="1:15" x14ac:dyDescent="0.25">
      <c r="A3942" s="1">
        <v>919683</v>
      </c>
      <c r="B3942" s="1" t="s">
        <v>26</v>
      </c>
      <c r="C3942" s="1" t="s">
        <v>27</v>
      </c>
      <c r="D3942" s="2">
        <v>44665.310592395836</v>
      </c>
      <c r="E3942" s="1" t="s">
        <v>8</v>
      </c>
      <c r="F3942" s="1">
        <v>2</v>
      </c>
      <c r="G3942" s="1">
        <v>0</v>
      </c>
      <c r="H3942" s="6">
        <f>INT(Query1[[#This Row],[EntryDateTime]])</f>
        <v>44665</v>
      </c>
      <c r="I3942" s="1">
        <f>IF(Query1[[#This Row],[ItemType]]="EVAP KIT SF GEN IV",Query1[[#This Row],[OrderQty]]+I3941,I3941)</f>
        <v>4913</v>
      </c>
      <c r="J3942" s="1">
        <f>IF(Query1[[#This Row],[ItemType]]="EVAP KIT UNIVERSAL",Query1[[#This Row],[OrderQty]]+J3941,J3941)</f>
        <v>1646</v>
      </c>
      <c r="K3942" s="1">
        <f>Query1[[#This Row],[SF Running Total]]+Query1[[#This Row],[UNIV Running Total]]</f>
        <v>6559</v>
      </c>
      <c r="L3942">
        <f>VLOOKUP(Query1[[#This Row],[Description]],'kits to boards'!$B$2:$E$156,2,FALSE)</f>
        <v>830013</v>
      </c>
      <c r="M3942">
        <f>VLOOKUP(Query1[[#This Row],[Description]],'kits to boards'!$B$2:$E$156,3,FALSE)</f>
        <v>0</v>
      </c>
      <c r="N3942">
        <f>VLOOKUP(Query1[[#This Row],[Description]],'kits to boards'!$B$2:$E$156,4,FALSE)</f>
        <v>0</v>
      </c>
      <c r="O3942" t="str">
        <f>CONCATENATE(Query1[[#This Row],[Description]]," - ",Query1[[#This Row],[MB1]]," - ",Query1[[#This Row],[MB2]]," - ",Query1[[#This Row],[MB3]])</f>
        <v>EVAP KIT 67-72 CHEV P-UP W/AC - 830013 - 0 - 0</v>
      </c>
    </row>
    <row r="3943" spans="1:15" x14ac:dyDescent="0.25">
      <c r="A3943" s="1">
        <v>919683</v>
      </c>
      <c r="B3943" s="1" t="s">
        <v>104</v>
      </c>
      <c r="C3943" s="1" t="s">
        <v>105</v>
      </c>
      <c r="D3943" s="2">
        <v>44665.310803356479</v>
      </c>
      <c r="E3943" s="1" t="s">
        <v>11</v>
      </c>
      <c r="F3943" s="1">
        <v>2</v>
      </c>
      <c r="G3943" s="1">
        <v>0</v>
      </c>
      <c r="H3943" s="6">
        <f>INT(Query1[[#This Row],[EntryDateTime]])</f>
        <v>44665</v>
      </c>
      <c r="I3943" s="1">
        <f>IF(Query1[[#This Row],[ItemType]]="EVAP KIT SF GEN IV",Query1[[#This Row],[OrderQty]]+I3942,I3942)</f>
        <v>4913</v>
      </c>
      <c r="J3943" s="1">
        <f>IF(Query1[[#This Row],[ItemType]]="EVAP KIT UNIVERSAL",Query1[[#This Row],[OrderQty]]+J3942,J3942)</f>
        <v>1648</v>
      </c>
      <c r="K3943" s="1">
        <f>Query1[[#This Row],[SF Running Total]]+Query1[[#This Row],[UNIV Running Total]]</f>
        <v>6561</v>
      </c>
      <c r="L3943">
        <f>VLOOKUP(Query1[[#This Row],[Description]],'kits to boards'!$B$2:$E$156,2,FALSE)</f>
        <v>0</v>
      </c>
      <c r="M3943">
        <f>VLOOKUP(Query1[[#This Row],[Description]],'kits to boards'!$B$2:$E$156,3,FALSE)</f>
        <v>0</v>
      </c>
      <c r="N3943">
        <f>VLOOKUP(Query1[[#This Row],[Description]],'kits to boards'!$B$2:$E$156,4,FALSE)</f>
        <v>0</v>
      </c>
      <c r="O3943" t="str">
        <f>CONCATENATE(Query1[[#This Row],[Description]]," - ",Query1[[#This Row],[MB1]]," - ",Query1[[#This Row],[MB2]]," - ",Query1[[#This Row],[MB3]])</f>
        <v>HERITAGE BRUSHED EVAP KIT HEAT/COOL - 0 - 0 - 0</v>
      </c>
    </row>
    <row r="3944" spans="1:15" x14ac:dyDescent="0.25">
      <c r="A3944" s="1">
        <v>919688</v>
      </c>
      <c r="B3944" s="1" t="s">
        <v>42</v>
      </c>
      <c r="C3944" s="1" t="s">
        <v>43</v>
      </c>
      <c r="D3944" s="2">
        <v>44665.32425366898</v>
      </c>
      <c r="E3944" s="1" t="s">
        <v>8</v>
      </c>
      <c r="F3944" s="1">
        <v>1</v>
      </c>
      <c r="G3944" s="1">
        <v>0</v>
      </c>
      <c r="H3944" s="6">
        <f>INT(Query1[[#This Row],[EntryDateTime]])</f>
        <v>44665</v>
      </c>
      <c r="I3944" s="1">
        <f>IF(Query1[[#This Row],[ItemType]]="EVAP KIT SF GEN IV",Query1[[#This Row],[OrderQty]]+I3943,I3943)</f>
        <v>4914</v>
      </c>
      <c r="J3944" s="1">
        <f>IF(Query1[[#This Row],[ItemType]]="EVAP KIT UNIVERSAL",Query1[[#This Row],[OrderQty]]+J3943,J3943)</f>
        <v>1648</v>
      </c>
      <c r="K3944" s="1">
        <f>Query1[[#This Row],[SF Running Total]]+Query1[[#This Row],[UNIV Running Total]]</f>
        <v>6562</v>
      </c>
      <c r="L3944">
        <f>VLOOKUP(Query1[[#This Row],[Description]],'kits to boards'!$B$2:$E$156,2,FALSE)</f>
        <v>830014</v>
      </c>
      <c r="M3944">
        <f>VLOOKUP(Query1[[#This Row],[Description]],'kits to boards'!$B$2:$E$156,3,FALSE)</f>
        <v>0</v>
      </c>
      <c r="N3944">
        <f>VLOOKUP(Query1[[#This Row],[Description]],'kits to boards'!$B$2:$E$156,4,FALSE)</f>
        <v>0</v>
      </c>
      <c r="O3944" t="str">
        <f>CONCATENATE(Query1[[#This Row],[Description]]," - ",Query1[[#This Row],[MB1]]," - ",Query1[[#This Row],[MB2]]," - ",Query1[[#This Row],[MB3]])</f>
        <v>EVAP KIT 67-72 CHEV P-UP WO AC - 830014 - 0 - 0</v>
      </c>
    </row>
    <row r="3945" spans="1:15" x14ac:dyDescent="0.25">
      <c r="A3945" s="1">
        <v>919690</v>
      </c>
      <c r="B3945" s="1" t="s">
        <v>54</v>
      </c>
      <c r="C3945" s="1" t="s">
        <v>55</v>
      </c>
      <c r="D3945" s="2">
        <v>44665.326639618055</v>
      </c>
      <c r="E3945" s="1" t="s">
        <v>8</v>
      </c>
      <c r="F3945" s="1">
        <v>1</v>
      </c>
      <c r="G3945" s="1">
        <v>0</v>
      </c>
      <c r="H3945" s="6">
        <f>INT(Query1[[#This Row],[EntryDateTime]])</f>
        <v>44665</v>
      </c>
      <c r="I3945" s="1">
        <f>IF(Query1[[#This Row],[ItemType]]="EVAP KIT SF GEN IV",Query1[[#This Row],[OrderQty]]+I3944,I3944)</f>
        <v>4915</v>
      </c>
      <c r="J3945" s="1">
        <f>IF(Query1[[#This Row],[ItemType]]="EVAP KIT UNIVERSAL",Query1[[#This Row],[OrderQty]]+J3944,J3944)</f>
        <v>1648</v>
      </c>
      <c r="K3945" s="1">
        <f>Query1[[#This Row],[SF Running Total]]+Query1[[#This Row],[UNIV Running Total]]</f>
        <v>6563</v>
      </c>
      <c r="L3945">
        <f>VLOOKUP(Query1[[#This Row],[Description]],'kits to boards'!$B$2:$E$156,2,FALSE)</f>
        <v>830037</v>
      </c>
      <c r="M3945">
        <f>VLOOKUP(Query1[[#This Row],[Description]],'kits to boards'!$B$2:$E$156,3,FALSE)</f>
        <v>0</v>
      </c>
      <c r="N3945">
        <f>VLOOKUP(Query1[[#This Row],[Description]],'kits to boards'!$B$2:$E$156,4,FALSE)</f>
        <v>0</v>
      </c>
      <c r="O3945" t="str">
        <f>CONCATENATE(Query1[[#This Row],[Description]]," - ",Query1[[#This Row],[MB1]]," - ",Query1[[#This Row],[MB2]]," - ",Query1[[#This Row],[MB3]])</f>
        <v>EVAP KIT 70-81 FIREBIRD W/AC - 830037 - 0 - 0</v>
      </c>
    </row>
    <row r="3946" spans="1:15" x14ac:dyDescent="0.25">
      <c r="A3946" s="1">
        <v>919692</v>
      </c>
      <c r="B3946" s="1" t="s">
        <v>174</v>
      </c>
      <c r="C3946" s="1" t="s">
        <v>175</v>
      </c>
      <c r="D3946" s="2">
        <v>44665.330253206019</v>
      </c>
      <c r="E3946" s="1" t="s">
        <v>8</v>
      </c>
      <c r="F3946" s="1">
        <v>1</v>
      </c>
      <c r="G3946" s="1">
        <v>0</v>
      </c>
      <c r="H3946" s="6">
        <f>INT(Query1[[#This Row],[EntryDateTime]])</f>
        <v>44665</v>
      </c>
      <c r="I3946" s="1">
        <f>IF(Query1[[#This Row],[ItemType]]="EVAP KIT SF GEN IV",Query1[[#This Row],[OrderQty]]+I3945,I3945)</f>
        <v>4916</v>
      </c>
      <c r="J3946" s="1">
        <f>IF(Query1[[#This Row],[ItemType]]="EVAP KIT UNIVERSAL",Query1[[#This Row],[OrderQty]]+J3945,J3945)</f>
        <v>1648</v>
      </c>
      <c r="K3946" s="1">
        <f>Query1[[#This Row],[SF Running Total]]+Query1[[#This Row],[UNIV Running Total]]</f>
        <v>6564</v>
      </c>
      <c r="L3946">
        <f>VLOOKUP(Query1[[#This Row],[Description]],'kits to boards'!$B$2:$E$156,2,FALSE)</f>
        <v>830007</v>
      </c>
      <c r="M3946">
        <f>VLOOKUP(Query1[[#This Row],[Description]],'kits to boards'!$B$2:$E$156,3,FALSE)</f>
        <v>0</v>
      </c>
      <c r="N3946">
        <f>VLOOKUP(Query1[[#This Row],[Description]],'kits to boards'!$B$2:$E$156,4,FALSE)</f>
        <v>0</v>
      </c>
      <c r="O3946" t="str">
        <f>CONCATENATE(Query1[[#This Row],[Description]]," - ",Query1[[#This Row],[MB1]]," - ",Query1[[#This Row],[MB2]]," - ",Query1[[#This Row],[MB3]])</f>
        <v>EVAP KIT 64 IMPALA W/AC - 830007 - 0 - 0</v>
      </c>
    </row>
    <row r="3947" spans="1:15" x14ac:dyDescent="0.25">
      <c r="A3947" s="1">
        <v>919693</v>
      </c>
      <c r="B3947" s="1" t="s">
        <v>94</v>
      </c>
      <c r="C3947" s="1" t="s">
        <v>95</v>
      </c>
      <c r="D3947" s="2">
        <v>44665.331348495369</v>
      </c>
      <c r="E3947" s="1" t="s">
        <v>8</v>
      </c>
      <c r="F3947" s="1">
        <v>1</v>
      </c>
      <c r="G3947" s="1">
        <v>0</v>
      </c>
      <c r="H3947" s="6">
        <f>INT(Query1[[#This Row],[EntryDateTime]])</f>
        <v>44665</v>
      </c>
      <c r="I3947" s="1">
        <f>IF(Query1[[#This Row],[ItemType]]="EVAP KIT SF GEN IV",Query1[[#This Row],[OrderQty]]+I3946,I3946)</f>
        <v>4917</v>
      </c>
      <c r="J3947" s="1">
        <f>IF(Query1[[#This Row],[ItemType]]="EVAP KIT UNIVERSAL",Query1[[#This Row],[OrderQty]]+J3946,J3946)</f>
        <v>1648</v>
      </c>
      <c r="K3947" s="1">
        <f>Query1[[#This Row],[SF Running Total]]+Query1[[#This Row],[UNIV Running Total]]</f>
        <v>6565</v>
      </c>
      <c r="L3947">
        <f>VLOOKUP(Query1[[#This Row],[Description]],'kits to boards'!$B$2:$E$156,2,FALSE)</f>
        <v>830076</v>
      </c>
      <c r="M3947">
        <f>VLOOKUP(Query1[[#This Row],[Description]],'kits to boards'!$B$2:$E$156,3,FALSE)</f>
        <v>0</v>
      </c>
      <c r="N3947">
        <f>VLOOKUP(Query1[[#This Row],[Description]],'kits to boards'!$B$2:$E$156,4,FALSE)</f>
        <v>0</v>
      </c>
      <c r="O3947" t="str">
        <f>CONCATENATE(Query1[[#This Row],[Description]]," - ",Query1[[#This Row],[MB1]]," - ",Query1[[#This Row],[MB2]]," - ",Query1[[#This Row],[MB3]])</f>
        <v>EVAP KIT 64 1/2- 66 MUSTANG  - 830076 - 0 - 0</v>
      </c>
    </row>
    <row r="3948" spans="1:15" x14ac:dyDescent="0.25">
      <c r="A3948" s="1">
        <v>919695</v>
      </c>
      <c r="B3948" s="1" t="s">
        <v>112</v>
      </c>
      <c r="C3948" s="1" t="s">
        <v>113</v>
      </c>
      <c r="D3948" s="2">
        <v>44665.333661261575</v>
      </c>
      <c r="E3948" s="1" t="s">
        <v>8</v>
      </c>
      <c r="F3948" s="1">
        <v>1</v>
      </c>
      <c r="G3948" s="1">
        <v>0</v>
      </c>
      <c r="H3948" s="6">
        <f>INT(Query1[[#This Row],[EntryDateTime]])</f>
        <v>44665</v>
      </c>
      <c r="I3948" s="1">
        <f>IF(Query1[[#This Row],[ItemType]]="EVAP KIT SF GEN IV",Query1[[#This Row],[OrderQty]]+I3947,I3947)</f>
        <v>4918</v>
      </c>
      <c r="J3948" s="1">
        <f>IF(Query1[[#This Row],[ItemType]]="EVAP KIT UNIVERSAL",Query1[[#This Row],[OrderQty]]+J3947,J3947)</f>
        <v>1648</v>
      </c>
      <c r="K3948" s="1">
        <f>Query1[[#This Row],[SF Running Total]]+Query1[[#This Row],[UNIV Running Total]]</f>
        <v>6566</v>
      </c>
      <c r="L3948">
        <f>VLOOKUP(Query1[[#This Row],[Description]],'kits to boards'!$B$2:$E$156,2,FALSE)</f>
        <v>830063</v>
      </c>
      <c r="M3948">
        <f>VLOOKUP(Query1[[#This Row],[Description]],'kits to boards'!$B$2:$E$156,3,FALSE)</f>
        <v>0</v>
      </c>
      <c r="N3948">
        <f>VLOOKUP(Query1[[#This Row],[Description]],'kits to boards'!$B$2:$E$156,4,FALSE)</f>
        <v>0</v>
      </c>
      <c r="O3948" t="str">
        <f>CONCATENATE(Query1[[#This Row],[Description]]," - ",Query1[[#This Row],[MB1]]," - ",Query1[[#This Row],[MB2]]," - ",Query1[[#This Row],[MB3]])</f>
        <v>EVAP KIT 54-55 CHEV P-UP GEN IV - 830063 - 0 - 0</v>
      </c>
    </row>
    <row r="3949" spans="1:15" x14ac:dyDescent="0.25">
      <c r="A3949" s="1">
        <v>919696</v>
      </c>
      <c r="B3949" s="1" t="s">
        <v>259</v>
      </c>
      <c r="C3949" s="1" t="s">
        <v>260</v>
      </c>
      <c r="D3949" s="2">
        <v>44665.335081597223</v>
      </c>
      <c r="E3949" s="1" t="s">
        <v>8</v>
      </c>
      <c r="F3949" s="1">
        <v>1</v>
      </c>
      <c r="G3949" s="1">
        <v>0</v>
      </c>
      <c r="H3949" s="6">
        <f>INT(Query1[[#This Row],[EntryDateTime]])</f>
        <v>44665</v>
      </c>
      <c r="I3949" s="1">
        <f>IF(Query1[[#This Row],[ItemType]]="EVAP KIT SF GEN IV",Query1[[#This Row],[OrderQty]]+I3948,I3948)</f>
        <v>4919</v>
      </c>
      <c r="J3949" s="1">
        <f>IF(Query1[[#This Row],[ItemType]]="EVAP KIT UNIVERSAL",Query1[[#This Row],[OrderQty]]+J3948,J3948)</f>
        <v>1648</v>
      </c>
      <c r="K3949" s="1">
        <f>Query1[[#This Row],[SF Running Total]]+Query1[[#This Row],[UNIV Running Total]]</f>
        <v>6567</v>
      </c>
      <c r="L3949">
        <f>VLOOKUP(Query1[[#This Row],[Description]],'kits to boards'!$B$2:$E$156,2,FALSE)</f>
        <v>830025</v>
      </c>
      <c r="M3949">
        <f>VLOOKUP(Query1[[#This Row],[Description]],'kits to boards'!$B$2:$E$156,3,FALSE)</f>
        <v>0</v>
      </c>
      <c r="N3949">
        <f>VLOOKUP(Query1[[#This Row],[Description]],'kits to boards'!$B$2:$E$156,4,FALSE)</f>
        <v>0</v>
      </c>
      <c r="O3949" t="str">
        <f>CONCATENATE(Query1[[#This Row],[Description]]," - ",Query1[[#This Row],[MB1]]," - ",Query1[[#This Row],[MB2]]," - ",Query1[[#This Row],[MB3]])</f>
        <v>EVAP KIT 68 CUTLASS WO AC - 830025 - 0 - 0</v>
      </c>
    </row>
    <row r="3950" spans="1:15" x14ac:dyDescent="0.25">
      <c r="A3950" s="1">
        <v>919045</v>
      </c>
      <c r="B3950" s="1" t="s">
        <v>96</v>
      </c>
      <c r="C3950" s="1" t="s">
        <v>97</v>
      </c>
      <c r="D3950" s="2">
        <v>44665.339610104165</v>
      </c>
      <c r="E3950" s="1" t="s">
        <v>8</v>
      </c>
      <c r="F3950" s="1">
        <v>1</v>
      </c>
      <c r="G3950" s="1">
        <v>0</v>
      </c>
      <c r="H3950" s="6">
        <f>INT(Query1[[#This Row],[EntryDateTime]])</f>
        <v>44665</v>
      </c>
      <c r="I3950" s="1">
        <f>IF(Query1[[#This Row],[ItemType]]="EVAP KIT SF GEN IV",Query1[[#This Row],[OrderQty]]+I3949,I3949)</f>
        <v>4920</v>
      </c>
      <c r="J3950" s="1">
        <f>IF(Query1[[#This Row],[ItemType]]="EVAP KIT UNIVERSAL",Query1[[#This Row],[OrderQty]]+J3949,J3949)</f>
        <v>1648</v>
      </c>
      <c r="K3950" s="1">
        <f>Query1[[#This Row],[SF Running Total]]+Query1[[#This Row],[UNIV Running Total]]</f>
        <v>6568</v>
      </c>
      <c r="L3950">
        <f>VLOOKUP(Query1[[#This Row],[Description]],'kits to boards'!$B$2:$E$156,2,FALSE)</f>
        <v>830004</v>
      </c>
      <c r="M3950">
        <f>VLOOKUP(Query1[[#This Row],[Description]],'kits to boards'!$B$2:$E$156,3,FALSE)</f>
        <v>0</v>
      </c>
      <c r="N3950">
        <f>VLOOKUP(Query1[[#This Row],[Description]],'kits to boards'!$B$2:$E$156,4,FALSE)</f>
        <v>0</v>
      </c>
      <c r="O3950" t="str">
        <f>CONCATENATE(Query1[[#This Row],[Description]]," - ",Query1[[#This Row],[MB1]]," - ",Query1[[#This Row],[MB2]]," - ",Query1[[#This Row],[MB3]])</f>
        <v>EVAP KIT 81-87 CHEV P-UP W/AC - 830004 - 0 - 0</v>
      </c>
    </row>
    <row r="3951" spans="1:15" x14ac:dyDescent="0.25">
      <c r="A3951" s="1">
        <v>919540</v>
      </c>
      <c r="B3951" s="1" t="s">
        <v>204</v>
      </c>
      <c r="C3951" s="1" t="s">
        <v>205</v>
      </c>
      <c r="D3951" s="2">
        <v>44665.340141747685</v>
      </c>
      <c r="E3951" s="1" t="s">
        <v>8</v>
      </c>
      <c r="F3951" s="1">
        <v>1</v>
      </c>
      <c r="G3951" s="1">
        <v>0</v>
      </c>
      <c r="H3951" s="6">
        <f>INT(Query1[[#This Row],[EntryDateTime]])</f>
        <v>44665</v>
      </c>
      <c r="I3951" s="1">
        <f>IF(Query1[[#This Row],[ItemType]]="EVAP KIT SF GEN IV",Query1[[#This Row],[OrderQty]]+I3950,I3950)</f>
        <v>4921</v>
      </c>
      <c r="J3951" s="1">
        <f>IF(Query1[[#This Row],[ItemType]]="EVAP KIT UNIVERSAL",Query1[[#This Row],[OrderQty]]+J3950,J3950)</f>
        <v>1648</v>
      </c>
      <c r="K3951" s="1">
        <f>Query1[[#This Row],[SF Running Total]]+Query1[[#This Row],[UNIV Running Total]]</f>
        <v>6569</v>
      </c>
      <c r="L3951">
        <f>VLOOKUP(Query1[[#This Row],[Description]],'kits to boards'!$B$2:$E$156,2,FALSE)</f>
        <v>830108</v>
      </c>
      <c r="M3951">
        <f>VLOOKUP(Query1[[#This Row],[Description]],'kits to boards'!$B$2:$E$156,3,FALSE)</f>
        <v>0</v>
      </c>
      <c r="N3951">
        <f>VLOOKUP(Query1[[#This Row],[Description]],'kits to boards'!$B$2:$E$156,4,FALSE)</f>
        <v>0</v>
      </c>
      <c r="O3951" t="str">
        <f>CONCATENATE(Query1[[#This Row],[Description]]," - ",Query1[[#This Row],[MB1]]," - ",Query1[[#This Row],[MB2]]," - ",Query1[[#This Row],[MB3]])</f>
        <v>EVAP KIT 79-81 CAMARO WO AC  - 830108 - 0 - 0</v>
      </c>
    </row>
    <row r="3952" spans="1:15" x14ac:dyDescent="0.25">
      <c r="A3952" s="1">
        <v>919492</v>
      </c>
      <c r="B3952" s="1" t="s">
        <v>116</v>
      </c>
      <c r="C3952" s="1" t="s">
        <v>117</v>
      </c>
      <c r="D3952" s="2">
        <v>44665.344027812498</v>
      </c>
      <c r="E3952" s="1" t="s">
        <v>8</v>
      </c>
      <c r="F3952" s="1">
        <v>1</v>
      </c>
      <c r="G3952" s="1">
        <v>0</v>
      </c>
      <c r="H3952" s="6">
        <f>INT(Query1[[#This Row],[EntryDateTime]])</f>
        <v>44665</v>
      </c>
      <c r="I3952" s="1">
        <f>IF(Query1[[#This Row],[ItemType]]="EVAP KIT SF GEN IV",Query1[[#This Row],[OrderQty]]+I3951,I3951)</f>
        <v>4922</v>
      </c>
      <c r="J3952" s="1">
        <f>IF(Query1[[#This Row],[ItemType]]="EVAP KIT UNIVERSAL",Query1[[#This Row],[OrderQty]]+J3951,J3951)</f>
        <v>1648</v>
      </c>
      <c r="K3952" s="1">
        <f>Query1[[#This Row],[SF Running Total]]+Query1[[#This Row],[UNIV Running Total]]</f>
        <v>6570</v>
      </c>
      <c r="L3952">
        <f>VLOOKUP(Query1[[#This Row],[Description]],'kits to boards'!$B$2:$E$156,2,FALSE)</f>
        <v>830058</v>
      </c>
      <c r="M3952">
        <f>VLOOKUP(Query1[[#This Row],[Description]],'kits to boards'!$B$2:$E$156,3,FALSE)</f>
        <v>0</v>
      </c>
      <c r="N3952">
        <f>VLOOKUP(Query1[[#This Row],[Description]],'kits to boards'!$B$2:$E$156,4,FALSE)</f>
        <v>0</v>
      </c>
      <c r="O3952" t="str">
        <f>CONCATENATE(Query1[[#This Row],[Description]]," - ",Query1[[#This Row],[MB1]]," - ",Query1[[#This Row],[MB2]]," - ",Query1[[#This Row],[MB3]])</f>
        <v>EVAP KIT 64-65 CHEVELLE WO AC - 830058 - 0 - 0</v>
      </c>
    </row>
    <row r="3953" spans="1:15" x14ac:dyDescent="0.25">
      <c r="A3953" s="1">
        <v>919700</v>
      </c>
      <c r="B3953" s="1" t="s">
        <v>94</v>
      </c>
      <c r="C3953" s="1" t="s">
        <v>95</v>
      </c>
      <c r="D3953" s="2">
        <v>44665.34603857639</v>
      </c>
      <c r="E3953" s="1" t="s">
        <v>8</v>
      </c>
      <c r="F3953" s="1">
        <v>1</v>
      </c>
      <c r="G3953" s="1">
        <v>0</v>
      </c>
      <c r="H3953" s="6">
        <f>INT(Query1[[#This Row],[EntryDateTime]])</f>
        <v>44665</v>
      </c>
      <c r="I3953" s="1">
        <f>IF(Query1[[#This Row],[ItemType]]="EVAP KIT SF GEN IV",Query1[[#This Row],[OrderQty]]+I3952,I3952)</f>
        <v>4923</v>
      </c>
      <c r="J3953" s="1">
        <f>IF(Query1[[#This Row],[ItemType]]="EVAP KIT UNIVERSAL",Query1[[#This Row],[OrderQty]]+J3952,J3952)</f>
        <v>1648</v>
      </c>
      <c r="K3953" s="1">
        <f>Query1[[#This Row],[SF Running Total]]+Query1[[#This Row],[UNIV Running Total]]</f>
        <v>6571</v>
      </c>
      <c r="L3953">
        <f>VLOOKUP(Query1[[#This Row],[Description]],'kits to boards'!$B$2:$E$156,2,FALSE)</f>
        <v>830076</v>
      </c>
      <c r="M3953">
        <f>VLOOKUP(Query1[[#This Row],[Description]],'kits to boards'!$B$2:$E$156,3,FALSE)</f>
        <v>0</v>
      </c>
      <c r="N3953">
        <f>VLOOKUP(Query1[[#This Row],[Description]],'kits to boards'!$B$2:$E$156,4,FALSE)</f>
        <v>0</v>
      </c>
      <c r="O3953" t="str">
        <f>CONCATENATE(Query1[[#This Row],[Description]]," - ",Query1[[#This Row],[MB1]]," - ",Query1[[#This Row],[MB2]]," - ",Query1[[#This Row],[MB3]])</f>
        <v>EVAP KIT 64 1/2- 66 MUSTANG  - 830076 - 0 - 0</v>
      </c>
    </row>
    <row r="3954" spans="1:15" x14ac:dyDescent="0.25">
      <c r="A3954" s="1">
        <v>919702</v>
      </c>
      <c r="B3954" s="1" t="s">
        <v>52</v>
      </c>
      <c r="C3954" s="1" t="s">
        <v>53</v>
      </c>
      <c r="D3954" s="2">
        <v>44665.352777627311</v>
      </c>
      <c r="E3954" s="1" t="s">
        <v>8</v>
      </c>
      <c r="F3954" s="1">
        <v>1</v>
      </c>
      <c r="G3954" s="1">
        <v>0</v>
      </c>
      <c r="H3954" s="6">
        <f>INT(Query1[[#This Row],[EntryDateTime]])</f>
        <v>44665</v>
      </c>
      <c r="I3954" s="1">
        <f>IF(Query1[[#This Row],[ItemType]]="EVAP KIT SF GEN IV",Query1[[#This Row],[OrderQty]]+I3953,I3953)</f>
        <v>4924</v>
      </c>
      <c r="J3954" s="1">
        <f>IF(Query1[[#This Row],[ItemType]]="EVAP KIT UNIVERSAL",Query1[[#This Row],[OrderQty]]+J3953,J3953)</f>
        <v>1648</v>
      </c>
      <c r="K3954" s="1">
        <f>Query1[[#This Row],[SF Running Total]]+Query1[[#This Row],[UNIV Running Total]]</f>
        <v>6572</v>
      </c>
      <c r="L3954">
        <f>VLOOKUP(Query1[[#This Row],[Description]],'kits to boards'!$B$2:$E$156,2,FALSE)</f>
        <v>830017</v>
      </c>
      <c r="M3954">
        <f>VLOOKUP(Query1[[#This Row],[Description]],'kits to boards'!$B$2:$E$156,3,FALSE)</f>
        <v>830119</v>
      </c>
      <c r="N3954">
        <f>VLOOKUP(Query1[[#This Row],[Description]],'kits to boards'!$B$2:$E$156,4,FALSE)</f>
        <v>830120</v>
      </c>
      <c r="O3954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955" spans="1:15" x14ac:dyDescent="0.25">
      <c r="A3955" s="1">
        <v>919706</v>
      </c>
      <c r="B3955" s="1" t="s">
        <v>194</v>
      </c>
      <c r="C3955" s="1" t="s">
        <v>195</v>
      </c>
      <c r="D3955" s="2">
        <v>44665.355002974538</v>
      </c>
      <c r="E3955" s="1" t="s">
        <v>8</v>
      </c>
      <c r="F3955" s="1">
        <v>1</v>
      </c>
      <c r="G3955" s="1">
        <v>0</v>
      </c>
      <c r="H3955" s="6">
        <f>INT(Query1[[#This Row],[EntryDateTime]])</f>
        <v>44665</v>
      </c>
      <c r="I3955" s="1">
        <f>IF(Query1[[#This Row],[ItemType]]="EVAP KIT SF GEN IV",Query1[[#This Row],[OrderQty]]+I3954,I3954)</f>
        <v>4925</v>
      </c>
      <c r="J3955" s="1">
        <f>IF(Query1[[#This Row],[ItemType]]="EVAP KIT UNIVERSAL",Query1[[#This Row],[OrderQty]]+J3954,J3954)</f>
        <v>1648</v>
      </c>
      <c r="K3955" s="1">
        <f>Query1[[#This Row],[SF Running Total]]+Query1[[#This Row],[UNIV Running Total]]</f>
        <v>6573</v>
      </c>
      <c r="L3955">
        <f>VLOOKUP(Query1[[#This Row],[Description]],'kits to boards'!$B$2:$E$156,2,FALSE)</f>
        <v>830103</v>
      </c>
      <c r="M3955">
        <f>VLOOKUP(Query1[[#This Row],[Description]],'kits to boards'!$B$2:$E$156,3,FALSE)</f>
        <v>0</v>
      </c>
      <c r="N3955">
        <f>VLOOKUP(Query1[[#This Row],[Description]],'kits to boards'!$B$2:$E$156,4,FALSE)</f>
        <v>0</v>
      </c>
      <c r="O3955" t="str">
        <f>CONCATENATE(Query1[[#This Row],[Description]]," - ",Query1[[#This Row],[MB1]]," - ",Query1[[#This Row],[MB2]]," - ",Query1[[#This Row],[MB3]])</f>
        <v>EVAP KIT 78-82 VETTE W/AC - 830103 - 0 - 0</v>
      </c>
    </row>
    <row r="3956" spans="1:15" x14ac:dyDescent="0.25">
      <c r="A3956" s="1">
        <v>919707</v>
      </c>
      <c r="B3956" s="1" t="s">
        <v>52</v>
      </c>
      <c r="C3956" s="1" t="s">
        <v>53</v>
      </c>
      <c r="D3956" s="2">
        <v>44665.356905092594</v>
      </c>
      <c r="E3956" s="1" t="s">
        <v>8</v>
      </c>
      <c r="F3956" s="1">
        <v>1</v>
      </c>
      <c r="G3956" s="1">
        <v>0</v>
      </c>
      <c r="H3956" s="6">
        <f>INT(Query1[[#This Row],[EntryDateTime]])</f>
        <v>44665</v>
      </c>
      <c r="I3956" s="1">
        <f>IF(Query1[[#This Row],[ItemType]]="EVAP KIT SF GEN IV",Query1[[#This Row],[OrderQty]]+I3955,I3955)</f>
        <v>4926</v>
      </c>
      <c r="J3956" s="1">
        <f>IF(Query1[[#This Row],[ItemType]]="EVAP KIT UNIVERSAL",Query1[[#This Row],[OrderQty]]+J3955,J3955)</f>
        <v>1648</v>
      </c>
      <c r="K3956" s="1">
        <f>Query1[[#This Row],[SF Running Total]]+Query1[[#This Row],[UNIV Running Total]]</f>
        <v>6574</v>
      </c>
      <c r="L3956">
        <f>VLOOKUP(Query1[[#This Row],[Description]],'kits to boards'!$B$2:$E$156,2,FALSE)</f>
        <v>830017</v>
      </c>
      <c r="M3956">
        <f>VLOOKUP(Query1[[#This Row],[Description]],'kits to boards'!$B$2:$E$156,3,FALSE)</f>
        <v>830119</v>
      </c>
      <c r="N3956">
        <f>VLOOKUP(Query1[[#This Row],[Description]],'kits to boards'!$B$2:$E$156,4,FALSE)</f>
        <v>830120</v>
      </c>
      <c r="O3956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957" spans="1:15" x14ac:dyDescent="0.25">
      <c r="A3957" s="1">
        <v>919708</v>
      </c>
      <c r="B3957" s="1" t="s">
        <v>190</v>
      </c>
      <c r="C3957" s="1" t="s">
        <v>191</v>
      </c>
      <c r="D3957" s="2">
        <v>44665.358954513889</v>
      </c>
      <c r="E3957" s="1" t="s">
        <v>8</v>
      </c>
      <c r="F3957" s="1">
        <v>1</v>
      </c>
      <c r="G3957" s="1">
        <v>0</v>
      </c>
      <c r="H3957" s="6">
        <f>INT(Query1[[#This Row],[EntryDateTime]])</f>
        <v>44665</v>
      </c>
      <c r="I3957" s="1">
        <f>IF(Query1[[#This Row],[ItemType]]="EVAP KIT SF GEN IV",Query1[[#This Row],[OrderQty]]+I3956,I3956)</f>
        <v>4927</v>
      </c>
      <c r="J3957" s="1">
        <f>IF(Query1[[#This Row],[ItemType]]="EVAP KIT UNIVERSAL",Query1[[#This Row],[OrderQty]]+J3956,J3956)</f>
        <v>1648</v>
      </c>
      <c r="K3957" s="1">
        <f>Query1[[#This Row],[SF Running Total]]+Query1[[#This Row],[UNIV Running Total]]</f>
        <v>6575</v>
      </c>
      <c r="L3957">
        <f>VLOOKUP(Query1[[#This Row],[Description]],'kits to boards'!$B$2:$E$156,2,FALSE)</f>
        <v>830008</v>
      </c>
      <c r="M3957">
        <f>VLOOKUP(Query1[[#This Row],[Description]],'kits to boards'!$B$2:$E$156,3,FALSE)</f>
        <v>0</v>
      </c>
      <c r="N3957">
        <f>VLOOKUP(Query1[[#This Row],[Description]],'kits to boards'!$B$2:$E$156,4,FALSE)</f>
        <v>0</v>
      </c>
      <c r="O3957" t="str">
        <f>CONCATENATE(Query1[[#This Row],[Description]]," - ",Query1[[#This Row],[MB1]]," - ",Query1[[#This Row],[MB2]]," - ",Query1[[#This Row],[MB3]])</f>
        <v>EVAP KIT 63 IMPALA WO AC - 830008 - 0 - 0</v>
      </c>
    </row>
    <row r="3958" spans="1:15" x14ac:dyDescent="0.25">
      <c r="A3958" s="1">
        <v>919710</v>
      </c>
      <c r="B3958" s="1" t="s">
        <v>48</v>
      </c>
      <c r="C3958" s="1" t="s">
        <v>49</v>
      </c>
      <c r="D3958" s="2">
        <v>44665.360264618059</v>
      </c>
      <c r="E3958" s="1" t="s">
        <v>8</v>
      </c>
      <c r="F3958" s="1">
        <v>1</v>
      </c>
      <c r="G3958" s="1">
        <v>0</v>
      </c>
      <c r="H3958" s="6">
        <f>INT(Query1[[#This Row],[EntryDateTime]])</f>
        <v>44665</v>
      </c>
      <c r="I3958" s="1">
        <f>IF(Query1[[#This Row],[ItemType]]="EVAP KIT SF GEN IV",Query1[[#This Row],[OrderQty]]+I3957,I3957)</f>
        <v>4928</v>
      </c>
      <c r="J3958" s="1">
        <f>IF(Query1[[#This Row],[ItemType]]="EVAP KIT UNIVERSAL",Query1[[#This Row],[OrderQty]]+J3957,J3957)</f>
        <v>1648</v>
      </c>
      <c r="K3958" s="1">
        <f>Query1[[#This Row],[SF Running Total]]+Query1[[#This Row],[UNIV Running Total]]</f>
        <v>6576</v>
      </c>
      <c r="L3958">
        <f>VLOOKUP(Query1[[#This Row],[Description]],'kits to boards'!$B$2:$E$156,2,FALSE)</f>
        <v>830015</v>
      </c>
      <c r="M3958">
        <f>VLOOKUP(Query1[[#This Row],[Description]],'kits to boards'!$B$2:$E$156,3,FALSE)</f>
        <v>0</v>
      </c>
      <c r="N3958">
        <f>VLOOKUP(Query1[[#This Row],[Description]],'kits to boards'!$B$2:$E$156,4,FALSE)</f>
        <v>0</v>
      </c>
      <c r="O3958" t="str">
        <f>CONCATENATE(Query1[[#This Row],[Description]]," - ",Query1[[#This Row],[MB1]]," - ",Query1[[#This Row],[MB2]]," - ",Query1[[#This Row],[MB3]])</f>
        <v>EVAP KIT 64-66 CHEV P-UP WO AC W/DELX - 830015 - 0 - 0</v>
      </c>
    </row>
    <row r="3959" spans="1:15" x14ac:dyDescent="0.25">
      <c r="A3959" s="1">
        <v>919712</v>
      </c>
      <c r="B3959" s="1" t="s">
        <v>128</v>
      </c>
      <c r="C3959" s="1" t="s">
        <v>129</v>
      </c>
      <c r="D3959" s="2">
        <v>44665.361827083332</v>
      </c>
      <c r="E3959" s="1" t="s">
        <v>8</v>
      </c>
      <c r="F3959" s="1">
        <v>1</v>
      </c>
      <c r="G3959" s="1">
        <v>0</v>
      </c>
      <c r="H3959" s="6">
        <f>INT(Query1[[#This Row],[EntryDateTime]])</f>
        <v>44665</v>
      </c>
      <c r="I3959" s="1">
        <f>IF(Query1[[#This Row],[ItemType]]="EVAP KIT SF GEN IV",Query1[[#This Row],[OrderQty]]+I3958,I3958)</f>
        <v>4929</v>
      </c>
      <c r="J3959" s="1">
        <f>IF(Query1[[#This Row],[ItemType]]="EVAP KIT UNIVERSAL",Query1[[#This Row],[OrderQty]]+J3958,J3958)</f>
        <v>1648</v>
      </c>
      <c r="K3959" s="1">
        <f>Query1[[#This Row],[SF Running Total]]+Query1[[#This Row],[UNIV Running Total]]</f>
        <v>6577</v>
      </c>
      <c r="L3959">
        <f>VLOOKUP(Query1[[#This Row],[Description]],'kits to boards'!$B$2:$E$156,2,FALSE)</f>
        <v>830036</v>
      </c>
      <c r="M3959">
        <f>VLOOKUP(Query1[[#This Row],[Description]],'kits to boards'!$B$2:$E$156,3,FALSE)</f>
        <v>830039</v>
      </c>
      <c r="N3959">
        <f>VLOOKUP(Query1[[#This Row],[Description]],'kits to boards'!$B$2:$E$156,4,FALSE)</f>
        <v>0</v>
      </c>
      <c r="O3959" t="str">
        <f>CONCATENATE(Query1[[#This Row],[Description]]," - ",Query1[[#This Row],[MB1]]," - ",Query1[[#This Row],[MB2]]," - ",Query1[[#This Row],[MB3]])</f>
        <v>EVAP KIT 63-66 VETTE WO AC - 830036 - 830039 - 0</v>
      </c>
    </row>
    <row r="3960" spans="1:15" x14ac:dyDescent="0.25">
      <c r="A3960" s="1">
        <v>919713</v>
      </c>
      <c r="B3960" s="1" t="s">
        <v>166</v>
      </c>
      <c r="C3960" s="1" t="s">
        <v>167</v>
      </c>
      <c r="D3960" s="2">
        <v>44665.362843437499</v>
      </c>
      <c r="E3960" s="1" t="s">
        <v>8</v>
      </c>
      <c r="F3960" s="1">
        <v>1</v>
      </c>
      <c r="G3960" s="1">
        <v>0</v>
      </c>
      <c r="H3960" s="6">
        <f>INT(Query1[[#This Row],[EntryDateTime]])</f>
        <v>44665</v>
      </c>
      <c r="I3960" s="1">
        <f>IF(Query1[[#This Row],[ItemType]]="EVAP KIT SF GEN IV",Query1[[#This Row],[OrderQty]]+I3959,I3959)</f>
        <v>4930</v>
      </c>
      <c r="J3960" s="1">
        <f>IF(Query1[[#This Row],[ItemType]]="EVAP KIT UNIVERSAL",Query1[[#This Row],[OrderQty]]+J3959,J3959)</f>
        <v>1648</v>
      </c>
      <c r="K3960" s="1">
        <f>Query1[[#This Row],[SF Running Total]]+Query1[[#This Row],[UNIV Running Total]]</f>
        <v>6578</v>
      </c>
      <c r="L3960">
        <f>VLOOKUP(Query1[[#This Row],[Description]],'kits to boards'!$B$2:$E$156,2,FALSE)</f>
        <v>830063</v>
      </c>
      <c r="M3960">
        <f>VLOOKUP(Query1[[#This Row],[Description]],'kits to boards'!$B$2:$E$156,3,FALSE)</f>
        <v>0</v>
      </c>
      <c r="N3960">
        <f>VLOOKUP(Query1[[#This Row],[Description]],'kits to boards'!$B$2:$E$156,4,FALSE)</f>
        <v>0</v>
      </c>
      <c r="O3960" t="str">
        <f>CONCATENATE(Query1[[#This Row],[Description]]," - ",Query1[[#This Row],[MB1]]," - ",Query1[[#This Row],[MB2]]," - ",Query1[[#This Row],[MB3]])</f>
        <v>EVAP KIT 47-49 CHEV P-UP GEN IV - 830063 - 0 - 0</v>
      </c>
    </row>
    <row r="3961" spans="1:15" x14ac:dyDescent="0.25">
      <c r="A3961" s="1">
        <v>919441</v>
      </c>
      <c r="B3961" s="1" t="s">
        <v>42</v>
      </c>
      <c r="C3961" s="1" t="s">
        <v>43</v>
      </c>
      <c r="D3961" s="2">
        <v>44665.363660185183</v>
      </c>
      <c r="E3961" s="1" t="s">
        <v>8</v>
      </c>
      <c r="F3961" s="1">
        <v>1</v>
      </c>
      <c r="G3961" s="1">
        <v>0</v>
      </c>
      <c r="H3961" s="6">
        <f>INT(Query1[[#This Row],[EntryDateTime]])</f>
        <v>44665</v>
      </c>
      <c r="I3961" s="1">
        <f>IF(Query1[[#This Row],[ItemType]]="EVAP KIT SF GEN IV",Query1[[#This Row],[OrderQty]]+I3960,I3960)</f>
        <v>4931</v>
      </c>
      <c r="J3961" s="1">
        <f>IF(Query1[[#This Row],[ItemType]]="EVAP KIT UNIVERSAL",Query1[[#This Row],[OrderQty]]+J3960,J3960)</f>
        <v>1648</v>
      </c>
      <c r="K3961" s="1">
        <f>Query1[[#This Row],[SF Running Total]]+Query1[[#This Row],[UNIV Running Total]]</f>
        <v>6579</v>
      </c>
      <c r="L3961">
        <f>VLOOKUP(Query1[[#This Row],[Description]],'kits to boards'!$B$2:$E$156,2,FALSE)</f>
        <v>830014</v>
      </c>
      <c r="M3961">
        <f>VLOOKUP(Query1[[#This Row],[Description]],'kits to boards'!$B$2:$E$156,3,FALSE)</f>
        <v>0</v>
      </c>
      <c r="N3961">
        <f>VLOOKUP(Query1[[#This Row],[Description]],'kits to boards'!$B$2:$E$156,4,FALSE)</f>
        <v>0</v>
      </c>
      <c r="O3961" t="str">
        <f>CONCATENATE(Query1[[#This Row],[Description]]," - ",Query1[[#This Row],[MB1]]," - ",Query1[[#This Row],[MB2]]," - ",Query1[[#This Row],[MB3]])</f>
        <v>EVAP KIT 67-72 CHEV P-UP WO AC - 830014 - 0 - 0</v>
      </c>
    </row>
    <row r="3962" spans="1:15" x14ac:dyDescent="0.25">
      <c r="A3962" s="1">
        <v>919714</v>
      </c>
      <c r="B3962" s="1" t="s">
        <v>244</v>
      </c>
      <c r="C3962" s="1" t="s">
        <v>245</v>
      </c>
      <c r="D3962" s="2">
        <v>44665.364116747682</v>
      </c>
      <c r="E3962" s="1" t="s">
        <v>8</v>
      </c>
      <c r="F3962" s="1">
        <v>1</v>
      </c>
      <c r="G3962" s="1">
        <v>0</v>
      </c>
      <c r="H3962" s="6">
        <f>INT(Query1[[#This Row],[EntryDateTime]])</f>
        <v>44665</v>
      </c>
      <c r="I3962" s="1">
        <f>IF(Query1[[#This Row],[ItemType]]="EVAP KIT SF GEN IV",Query1[[#This Row],[OrderQty]]+I3961,I3961)</f>
        <v>4932</v>
      </c>
      <c r="J3962" s="1">
        <f>IF(Query1[[#This Row],[ItemType]]="EVAP KIT UNIVERSAL",Query1[[#This Row],[OrderQty]]+J3961,J3961)</f>
        <v>1648</v>
      </c>
      <c r="K3962" s="1">
        <f>Query1[[#This Row],[SF Running Total]]+Query1[[#This Row],[UNIV Running Total]]</f>
        <v>6580</v>
      </c>
      <c r="L3962">
        <f>VLOOKUP(Query1[[#This Row],[Description]],'kits to boards'!$B$2:$E$156,2,FALSE)</f>
        <v>830100</v>
      </c>
      <c r="M3962">
        <f>VLOOKUP(Query1[[#This Row],[Description]],'kits to boards'!$B$2:$E$156,3,FALSE)</f>
        <v>0</v>
      </c>
      <c r="N3962">
        <f>VLOOKUP(Query1[[#This Row],[Description]],'kits to boards'!$B$2:$E$156,4,FALSE)</f>
        <v>0</v>
      </c>
      <c r="O3962" t="str">
        <f>CONCATENATE(Query1[[#This Row],[Description]]," - ",Query1[[#This Row],[MB1]]," - ",Query1[[#This Row],[MB2]]," - ",Query1[[#This Row],[MB3]])</f>
        <v>EVAP KIT 68-76 VETTE WO AC - 830100 - 0 - 0</v>
      </c>
    </row>
    <row r="3963" spans="1:15" x14ac:dyDescent="0.25">
      <c r="A3963" s="1">
        <v>919715</v>
      </c>
      <c r="B3963" s="1" t="s">
        <v>16</v>
      </c>
      <c r="C3963" s="1" t="s">
        <v>17</v>
      </c>
      <c r="D3963" s="2">
        <v>44665.365897222226</v>
      </c>
      <c r="E3963" s="1" t="s">
        <v>8</v>
      </c>
      <c r="F3963" s="1">
        <v>1</v>
      </c>
      <c r="G3963" s="1">
        <v>0</v>
      </c>
      <c r="H3963" s="6">
        <f>INT(Query1[[#This Row],[EntryDateTime]])</f>
        <v>44665</v>
      </c>
      <c r="I3963" s="1">
        <f>IF(Query1[[#This Row],[ItemType]]="EVAP KIT SF GEN IV",Query1[[#This Row],[OrderQty]]+I3962,I3962)</f>
        <v>4933</v>
      </c>
      <c r="J3963" s="1">
        <f>IF(Query1[[#This Row],[ItemType]]="EVAP KIT UNIVERSAL",Query1[[#This Row],[OrderQty]]+J3962,J3962)</f>
        <v>1648</v>
      </c>
      <c r="K3963" s="1">
        <f>Query1[[#This Row],[SF Running Total]]+Query1[[#This Row],[UNIV Running Total]]</f>
        <v>6581</v>
      </c>
      <c r="L3963">
        <f>VLOOKUP(Query1[[#This Row],[Description]],'kits to boards'!$B$2:$E$156,2,FALSE)</f>
        <v>830061</v>
      </c>
      <c r="M3963">
        <f>VLOOKUP(Query1[[#This Row],[Description]],'kits to boards'!$B$2:$E$156,3,FALSE)</f>
        <v>0</v>
      </c>
      <c r="N3963">
        <f>VLOOKUP(Query1[[#This Row],[Description]],'kits to boards'!$B$2:$E$156,4,FALSE)</f>
        <v>0</v>
      </c>
      <c r="O3963" t="str">
        <f>CONCATENATE(Query1[[#This Row],[Description]]," - ",Query1[[#This Row],[MB1]]," - ",Query1[[#This Row],[MB2]]," - ",Query1[[#This Row],[MB3]])</f>
        <v>EVAP KIT 68-69 CHEVELLE W/AC - 830061 - 0 - 0</v>
      </c>
    </row>
    <row r="3964" spans="1:15" x14ac:dyDescent="0.25">
      <c r="A3964" s="1">
        <v>919718</v>
      </c>
      <c r="B3964" s="1" t="s">
        <v>182</v>
      </c>
      <c r="C3964" s="1" t="s">
        <v>183</v>
      </c>
      <c r="D3964" s="2">
        <v>44665.367430405095</v>
      </c>
      <c r="E3964" s="1" t="s">
        <v>8</v>
      </c>
      <c r="F3964" s="1">
        <v>1</v>
      </c>
      <c r="G3964" s="1">
        <v>0</v>
      </c>
      <c r="H3964" s="6">
        <f>INT(Query1[[#This Row],[EntryDateTime]])</f>
        <v>44665</v>
      </c>
      <c r="I3964" s="1">
        <f>IF(Query1[[#This Row],[ItemType]]="EVAP KIT SF GEN IV",Query1[[#This Row],[OrderQty]]+I3963,I3963)</f>
        <v>4934</v>
      </c>
      <c r="J3964" s="1">
        <f>IF(Query1[[#This Row],[ItemType]]="EVAP KIT UNIVERSAL",Query1[[#This Row],[OrderQty]]+J3963,J3963)</f>
        <v>1648</v>
      </c>
      <c r="K3964" s="1">
        <f>Query1[[#This Row],[SF Running Total]]+Query1[[#This Row],[UNIV Running Total]]</f>
        <v>6582</v>
      </c>
      <c r="L3964">
        <f>VLOOKUP(Query1[[#This Row],[Description]],'kits to boards'!$B$2:$E$156,2,FALSE)</f>
        <v>830075</v>
      </c>
      <c r="M3964">
        <f>VLOOKUP(Query1[[#This Row],[Description]],'kits to boards'!$B$2:$E$156,3,FALSE)</f>
        <v>0</v>
      </c>
      <c r="N3964">
        <f>VLOOKUP(Query1[[#This Row],[Description]],'kits to boards'!$B$2:$E$156,4,FALSE)</f>
        <v>0</v>
      </c>
      <c r="O3964" t="str">
        <f>CONCATENATE(Query1[[#This Row],[Description]]," - ",Query1[[#This Row],[MB1]]," - ",Query1[[#This Row],[MB2]]," - ",Query1[[#This Row],[MB3]])</f>
        <v>EVAP KIT 69-70 MOPAR B BODY WO AC - 830075 - 0 - 0</v>
      </c>
    </row>
    <row r="3965" spans="1:15" x14ac:dyDescent="0.25">
      <c r="A3965" s="1">
        <v>919719</v>
      </c>
      <c r="B3965" s="1" t="s">
        <v>228</v>
      </c>
      <c r="C3965" s="1" t="s">
        <v>229</v>
      </c>
      <c r="D3965" s="2">
        <v>44665.368045752315</v>
      </c>
      <c r="E3965" s="1" t="s">
        <v>8</v>
      </c>
      <c r="F3965" s="1">
        <v>1</v>
      </c>
      <c r="G3965" s="1">
        <v>0</v>
      </c>
      <c r="H3965" s="6">
        <f>INT(Query1[[#This Row],[EntryDateTime]])</f>
        <v>44665</v>
      </c>
      <c r="I3965" s="1">
        <f>IF(Query1[[#This Row],[ItemType]]="EVAP KIT SF GEN IV",Query1[[#This Row],[OrderQty]]+I3964,I3964)</f>
        <v>4935</v>
      </c>
      <c r="J3965" s="1">
        <f>IF(Query1[[#This Row],[ItemType]]="EVAP KIT UNIVERSAL",Query1[[#This Row],[OrderQty]]+J3964,J3964)</f>
        <v>1648</v>
      </c>
      <c r="K3965" s="1">
        <f>Query1[[#This Row],[SF Running Total]]+Query1[[#This Row],[UNIV Running Total]]</f>
        <v>6583</v>
      </c>
      <c r="L3965">
        <f>VLOOKUP(Query1[[#This Row],[Description]],'kits to boards'!$B$2:$E$156,2,FALSE)</f>
        <v>830044</v>
      </c>
      <c r="M3965">
        <f>VLOOKUP(Query1[[#This Row],[Description]],'kits to boards'!$B$2:$E$156,3,FALSE)</f>
        <v>0</v>
      </c>
      <c r="N3965">
        <f>VLOOKUP(Query1[[#This Row],[Description]],'kits to boards'!$B$2:$E$156,4,FALSE)</f>
        <v>0</v>
      </c>
      <c r="O3965" t="str">
        <f>CONCATENATE(Query1[[#This Row],[Description]]," - ",Query1[[#This Row],[MB1]]," - ",Query1[[#This Row],[MB2]]," - ",Query1[[#This Row],[MB3]])</f>
        <v>EVAP KIT 64-65 FALCON/RANCHERO - 830044 - 0 - 0</v>
      </c>
    </row>
    <row r="3966" spans="1:15" x14ac:dyDescent="0.25">
      <c r="A3966" s="1">
        <v>919720</v>
      </c>
      <c r="B3966" s="1" t="s">
        <v>244</v>
      </c>
      <c r="C3966" s="1" t="s">
        <v>245</v>
      </c>
      <c r="D3966" s="2">
        <v>44665.368666435184</v>
      </c>
      <c r="E3966" s="1" t="s">
        <v>8</v>
      </c>
      <c r="F3966" s="1">
        <v>1</v>
      </c>
      <c r="G3966" s="1">
        <v>0</v>
      </c>
      <c r="H3966" s="6">
        <f>INT(Query1[[#This Row],[EntryDateTime]])</f>
        <v>44665</v>
      </c>
      <c r="I3966" s="1">
        <f>IF(Query1[[#This Row],[ItemType]]="EVAP KIT SF GEN IV",Query1[[#This Row],[OrderQty]]+I3965,I3965)</f>
        <v>4936</v>
      </c>
      <c r="J3966" s="1">
        <f>IF(Query1[[#This Row],[ItemType]]="EVAP KIT UNIVERSAL",Query1[[#This Row],[OrderQty]]+J3965,J3965)</f>
        <v>1648</v>
      </c>
      <c r="K3966" s="1">
        <f>Query1[[#This Row],[SF Running Total]]+Query1[[#This Row],[UNIV Running Total]]</f>
        <v>6584</v>
      </c>
      <c r="L3966">
        <f>VLOOKUP(Query1[[#This Row],[Description]],'kits to boards'!$B$2:$E$156,2,FALSE)</f>
        <v>830100</v>
      </c>
      <c r="M3966">
        <f>VLOOKUP(Query1[[#This Row],[Description]],'kits to boards'!$B$2:$E$156,3,FALSE)</f>
        <v>0</v>
      </c>
      <c r="N3966">
        <f>VLOOKUP(Query1[[#This Row],[Description]],'kits to boards'!$B$2:$E$156,4,FALSE)</f>
        <v>0</v>
      </c>
      <c r="O3966" t="str">
        <f>CONCATENATE(Query1[[#This Row],[Description]]," - ",Query1[[#This Row],[MB1]]," - ",Query1[[#This Row],[MB2]]," - ",Query1[[#This Row],[MB3]])</f>
        <v>EVAP KIT 68-76 VETTE WO AC - 830100 - 0 - 0</v>
      </c>
    </row>
    <row r="3967" spans="1:15" x14ac:dyDescent="0.25">
      <c r="A3967" s="1">
        <v>917250</v>
      </c>
      <c r="B3967" s="1" t="s">
        <v>66</v>
      </c>
      <c r="C3967" s="1" t="s">
        <v>67</v>
      </c>
      <c r="D3967" s="2">
        <v>44665.370853437496</v>
      </c>
      <c r="E3967" s="1" t="s">
        <v>8</v>
      </c>
      <c r="F3967" s="1">
        <v>1</v>
      </c>
      <c r="G3967" s="1">
        <v>0</v>
      </c>
      <c r="H3967" s="6">
        <f>INT(Query1[[#This Row],[EntryDateTime]])</f>
        <v>44665</v>
      </c>
      <c r="I3967" s="1">
        <f>IF(Query1[[#This Row],[ItemType]]="EVAP KIT SF GEN IV",Query1[[#This Row],[OrderQty]]+I3966,I3966)</f>
        <v>4937</v>
      </c>
      <c r="J3967" s="1">
        <f>IF(Query1[[#This Row],[ItemType]]="EVAP KIT UNIVERSAL",Query1[[#This Row],[OrderQty]]+J3966,J3966)</f>
        <v>1648</v>
      </c>
      <c r="K3967" s="1">
        <f>Query1[[#This Row],[SF Running Total]]+Query1[[#This Row],[UNIV Running Total]]</f>
        <v>6585</v>
      </c>
      <c r="L3967">
        <f>VLOOKUP(Query1[[#This Row],[Description]],'kits to boards'!$B$2:$E$156,2,FALSE)</f>
        <v>830060</v>
      </c>
      <c r="M3967">
        <f>VLOOKUP(Query1[[#This Row],[Description]],'kits to boards'!$B$2:$E$156,3,FALSE)</f>
        <v>0</v>
      </c>
      <c r="N3967">
        <f>VLOOKUP(Query1[[#This Row],[Description]],'kits to boards'!$B$2:$E$156,4,FALSE)</f>
        <v>0</v>
      </c>
      <c r="O3967" t="str">
        <f>CONCATENATE(Query1[[#This Row],[Description]]," - ",Query1[[#This Row],[MB1]]," - ",Query1[[#This Row],[MB2]]," - ",Query1[[#This Row],[MB3]])</f>
        <v>EVAP KIT 66-67 CHEVELLE WO AC - 830060 - 0 - 0</v>
      </c>
    </row>
    <row r="3968" spans="1:15" x14ac:dyDescent="0.25">
      <c r="A3968" s="1">
        <v>919721</v>
      </c>
      <c r="B3968" s="1" t="s">
        <v>244</v>
      </c>
      <c r="C3968" s="1" t="s">
        <v>245</v>
      </c>
      <c r="D3968" s="2">
        <v>44665.371051736111</v>
      </c>
      <c r="E3968" s="1" t="s">
        <v>8</v>
      </c>
      <c r="F3968" s="1">
        <v>1</v>
      </c>
      <c r="G3968" s="1">
        <v>0</v>
      </c>
      <c r="H3968" s="6">
        <f>INT(Query1[[#This Row],[EntryDateTime]])</f>
        <v>44665</v>
      </c>
      <c r="I3968" s="1">
        <f>IF(Query1[[#This Row],[ItemType]]="EVAP KIT SF GEN IV",Query1[[#This Row],[OrderQty]]+I3967,I3967)</f>
        <v>4938</v>
      </c>
      <c r="J3968" s="1">
        <f>IF(Query1[[#This Row],[ItemType]]="EVAP KIT UNIVERSAL",Query1[[#This Row],[OrderQty]]+J3967,J3967)</f>
        <v>1648</v>
      </c>
      <c r="K3968" s="1">
        <f>Query1[[#This Row],[SF Running Total]]+Query1[[#This Row],[UNIV Running Total]]</f>
        <v>6586</v>
      </c>
      <c r="L3968">
        <f>VLOOKUP(Query1[[#This Row],[Description]],'kits to boards'!$B$2:$E$156,2,FALSE)</f>
        <v>830100</v>
      </c>
      <c r="M3968">
        <f>VLOOKUP(Query1[[#This Row],[Description]],'kits to boards'!$B$2:$E$156,3,FALSE)</f>
        <v>0</v>
      </c>
      <c r="N3968">
        <f>VLOOKUP(Query1[[#This Row],[Description]],'kits to boards'!$B$2:$E$156,4,FALSE)</f>
        <v>0</v>
      </c>
      <c r="O3968" t="str">
        <f>CONCATENATE(Query1[[#This Row],[Description]]," - ",Query1[[#This Row],[MB1]]," - ",Query1[[#This Row],[MB2]]," - ",Query1[[#This Row],[MB3]])</f>
        <v>EVAP KIT 68-76 VETTE WO AC - 830100 - 0 - 0</v>
      </c>
    </row>
    <row r="3969" spans="1:15" x14ac:dyDescent="0.25">
      <c r="A3969" s="1">
        <v>919723</v>
      </c>
      <c r="B3969" s="1" t="s">
        <v>192</v>
      </c>
      <c r="C3969" s="1" t="s">
        <v>193</v>
      </c>
      <c r="D3969" s="2">
        <v>44665.376738043982</v>
      </c>
      <c r="E3969" s="1" t="s">
        <v>8</v>
      </c>
      <c r="F3969" s="1">
        <v>1</v>
      </c>
      <c r="G3969" s="1">
        <v>0</v>
      </c>
      <c r="H3969" s="6">
        <f>INT(Query1[[#This Row],[EntryDateTime]])</f>
        <v>44665</v>
      </c>
      <c r="I3969" s="1">
        <f>IF(Query1[[#This Row],[ItemType]]="EVAP KIT SF GEN IV",Query1[[#This Row],[OrderQty]]+I3968,I3968)</f>
        <v>4939</v>
      </c>
      <c r="J3969" s="1">
        <f>IF(Query1[[#This Row],[ItemType]]="EVAP KIT UNIVERSAL",Query1[[#This Row],[OrderQty]]+J3968,J3968)</f>
        <v>1648</v>
      </c>
      <c r="K3969" s="1">
        <f>Query1[[#This Row],[SF Running Total]]+Query1[[#This Row],[UNIV Running Total]]</f>
        <v>6587</v>
      </c>
      <c r="L3969">
        <f>VLOOKUP(Query1[[#This Row],[Description]],'kits to boards'!$B$2:$E$156,2,FALSE)</f>
        <v>830094</v>
      </c>
      <c r="M3969">
        <f>VLOOKUP(Query1[[#This Row],[Description]],'kits to boards'!$B$2:$E$156,3,FALSE)</f>
        <v>0</v>
      </c>
      <c r="N3969">
        <f>VLOOKUP(Query1[[#This Row],[Description]],'kits to boards'!$B$2:$E$156,4,FALSE)</f>
        <v>0</v>
      </c>
      <c r="O3969" t="str">
        <f>CONCATENATE(Query1[[#This Row],[Description]]," - ",Query1[[#This Row],[MB1]]," - ",Query1[[#This Row],[MB2]]," - ",Query1[[#This Row],[MB3]])</f>
        <v>EVAP KIT 69-73 VETTE W/AC - 830094 - 0 - 0</v>
      </c>
    </row>
    <row r="3970" spans="1:15" x14ac:dyDescent="0.25">
      <c r="A3970" s="1">
        <v>919429</v>
      </c>
      <c r="B3970" s="1" t="s">
        <v>106</v>
      </c>
      <c r="C3970" s="1" t="s">
        <v>253</v>
      </c>
      <c r="D3970" s="2">
        <v>44665.378518900463</v>
      </c>
      <c r="E3970" s="1" t="s">
        <v>8</v>
      </c>
      <c r="F3970" s="1">
        <v>1</v>
      </c>
      <c r="G3970" s="1">
        <v>0</v>
      </c>
      <c r="H3970" s="6">
        <f>INT(Query1[[#This Row],[EntryDateTime]])</f>
        <v>44665</v>
      </c>
      <c r="I3970" s="1">
        <f>IF(Query1[[#This Row],[ItemType]]="EVAP KIT SF GEN IV",Query1[[#This Row],[OrderQty]]+I3969,I3969)</f>
        <v>4940</v>
      </c>
      <c r="J3970" s="1">
        <f>IF(Query1[[#This Row],[ItemType]]="EVAP KIT UNIVERSAL",Query1[[#This Row],[OrderQty]]+J3969,J3969)</f>
        <v>1648</v>
      </c>
      <c r="K3970" s="1">
        <f>Query1[[#This Row],[SF Running Total]]+Query1[[#This Row],[UNIV Running Total]]</f>
        <v>6588</v>
      </c>
      <c r="L3970">
        <f>VLOOKUP(Query1[[#This Row],[Description]],'kits to boards'!$B$2:$E$156,2,FALSE)</f>
        <v>830028</v>
      </c>
      <c r="M3970">
        <f>VLOOKUP(Query1[[#This Row],[Description]],'kits to boards'!$B$2:$E$156,3,FALSE)</f>
        <v>0</v>
      </c>
      <c r="N3970">
        <f>VLOOKUP(Query1[[#This Row],[Description]],'kits to boards'!$B$2:$E$156,4,FALSE)</f>
        <v>0</v>
      </c>
      <c r="O3970" t="str">
        <f>CONCATENATE(Query1[[#This Row],[Description]]," - ",Query1[[#This Row],[MB1]]," - ",Query1[[#This Row],[MB2]]," - ",Query1[[#This Row],[MB3]])</f>
        <v>EVAP KIT 55-59 CHEV P-UP WO AC W/DELX  - 830028 - 0 - 0</v>
      </c>
    </row>
    <row r="3971" spans="1:15" x14ac:dyDescent="0.25">
      <c r="A3971" s="1">
        <v>919725</v>
      </c>
      <c r="B3971" s="1" t="s">
        <v>34</v>
      </c>
      <c r="C3971" s="1" t="s">
        <v>35</v>
      </c>
      <c r="D3971" s="2">
        <v>44665.380408564815</v>
      </c>
      <c r="E3971" s="1" t="s">
        <v>8</v>
      </c>
      <c r="F3971" s="1">
        <v>1</v>
      </c>
      <c r="G3971" s="1">
        <v>0</v>
      </c>
      <c r="H3971" s="6">
        <f>INT(Query1[[#This Row],[EntryDateTime]])</f>
        <v>44665</v>
      </c>
      <c r="I3971" s="1">
        <f>IF(Query1[[#This Row],[ItemType]]="EVAP KIT SF GEN IV",Query1[[#This Row],[OrderQty]]+I3970,I3970)</f>
        <v>4941</v>
      </c>
      <c r="J3971" s="1">
        <f>IF(Query1[[#This Row],[ItemType]]="EVAP KIT UNIVERSAL",Query1[[#This Row],[OrderQty]]+J3970,J3970)</f>
        <v>1648</v>
      </c>
      <c r="K3971" s="1">
        <f>Query1[[#This Row],[SF Running Total]]+Query1[[#This Row],[UNIV Running Total]]</f>
        <v>6589</v>
      </c>
      <c r="L3971">
        <f>VLOOKUP(Query1[[#This Row],[Description]],'kits to boards'!$B$2:$E$156,2,FALSE)</f>
        <v>830065</v>
      </c>
      <c r="M3971">
        <f>VLOOKUP(Query1[[#This Row],[Description]],'kits to boards'!$B$2:$E$156,3,FALSE)</f>
        <v>0</v>
      </c>
      <c r="N3971">
        <f>VLOOKUP(Query1[[#This Row],[Description]],'kits to boards'!$B$2:$E$156,4,FALSE)</f>
        <v>0</v>
      </c>
      <c r="O3971" t="str">
        <f>CONCATENATE(Query1[[#This Row],[Description]]," - ",Query1[[#This Row],[MB1]]," - ",Query1[[#This Row],[MB2]]," - ",Query1[[#This Row],[MB3]])</f>
        <v>EVAP KIT 57 CHEV WO AC - 830065 - 0 - 0</v>
      </c>
    </row>
    <row r="3972" spans="1:15" x14ac:dyDescent="0.25">
      <c r="A3972" s="1">
        <v>919727</v>
      </c>
      <c r="B3972" s="1" t="s">
        <v>24</v>
      </c>
      <c r="C3972" s="1" t="s">
        <v>25</v>
      </c>
      <c r="D3972" s="2">
        <v>44665.38187824074</v>
      </c>
      <c r="E3972" s="1" t="s">
        <v>11</v>
      </c>
      <c r="F3972" s="1">
        <v>3</v>
      </c>
      <c r="G3972" s="1">
        <v>0</v>
      </c>
      <c r="H3972" s="6">
        <f>INT(Query1[[#This Row],[EntryDateTime]])</f>
        <v>44665</v>
      </c>
      <c r="I3972" s="1">
        <f>IF(Query1[[#This Row],[ItemType]]="EVAP KIT SF GEN IV",Query1[[#This Row],[OrderQty]]+I3971,I3971)</f>
        <v>4941</v>
      </c>
      <c r="J3972" s="1">
        <f>IF(Query1[[#This Row],[ItemType]]="EVAP KIT UNIVERSAL",Query1[[#This Row],[OrderQty]]+J3971,J3971)</f>
        <v>1651</v>
      </c>
      <c r="K3972" s="1">
        <f>Query1[[#This Row],[SF Running Total]]+Query1[[#This Row],[UNIV Running Total]]</f>
        <v>6592</v>
      </c>
      <c r="L3972">
        <f>VLOOKUP(Query1[[#This Row],[Description]],'kits to boards'!$B$2:$E$156,2,FALSE)</f>
        <v>830029</v>
      </c>
      <c r="M3972">
        <f>VLOOKUP(Query1[[#This Row],[Description]],'kits to boards'!$B$2:$E$156,3,FALSE)</f>
        <v>830030</v>
      </c>
      <c r="N3972">
        <f>VLOOKUP(Query1[[#This Row],[Description]],'kits to boards'!$B$2:$E$156,4,FALSE)</f>
        <v>0</v>
      </c>
      <c r="O3972" t="str">
        <f>CONCATENATE(Query1[[#This Row],[Description]]," - ",Query1[[#This Row],[MB1]]," - ",Query1[[#This Row],[MB2]]," - ",Query1[[#This Row],[MB3]])</f>
        <v>ComPac GEN II W/DEF - 830029 - 830030 - 0</v>
      </c>
    </row>
    <row r="3973" spans="1:15" x14ac:dyDescent="0.25">
      <c r="A3973" s="1">
        <v>919727</v>
      </c>
      <c r="B3973" s="1" t="s">
        <v>92</v>
      </c>
      <c r="C3973" s="1" t="s">
        <v>93</v>
      </c>
      <c r="D3973" s="2">
        <v>44665.382105127312</v>
      </c>
      <c r="E3973" s="1" t="s">
        <v>8</v>
      </c>
      <c r="F3973" s="1">
        <v>1</v>
      </c>
      <c r="G3973" s="1">
        <v>0</v>
      </c>
      <c r="H3973" s="6">
        <f>INT(Query1[[#This Row],[EntryDateTime]])</f>
        <v>44665</v>
      </c>
      <c r="I3973" s="1">
        <f>IF(Query1[[#This Row],[ItemType]]="EVAP KIT SF GEN IV",Query1[[#This Row],[OrderQty]]+I3972,I3972)</f>
        <v>4942</v>
      </c>
      <c r="J3973" s="1">
        <f>IF(Query1[[#This Row],[ItemType]]="EVAP KIT UNIVERSAL",Query1[[#This Row],[OrderQty]]+J3972,J3972)</f>
        <v>1651</v>
      </c>
      <c r="K3973" s="1">
        <f>Query1[[#This Row],[SF Running Total]]+Query1[[#This Row],[UNIV Running Total]]</f>
        <v>6593</v>
      </c>
      <c r="L3973">
        <f>VLOOKUP(Query1[[#This Row],[Description]],'kits to boards'!$B$2:$E$156,2,FALSE)</f>
        <v>830063</v>
      </c>
      <c r="M3973">
        <f>VLOOKUP(Query1[[#This Row],[Description]],'kits to boards'!$B$2:$E$156,3,FALSE)</f>
        <v>0</v>
      </c>
      <c r="N3973">
        <f>VLOOKUP(Query1[[#This Row],[Description]],'kits to boards'!$B$2:$E$156,4,FALSE)</f>
        <v>0</v>
      </c>
      <c r="O3973" t="str">
        <f>CONCATENATE(Query1[[#This Row],[Description]]," - ",Query1[[#This Row],[MB1]]," - ",Query1[[#This Row],[MB2]]," - ",Query1[[#This Row],[MB3]])</f>
        <v>EVAP KIT 50-53 CHEV P-UP GEN IV - 830063 - 0 - 0</v>
      </c>
    </row>
    <row r="3974" spans="1:15" x14ac:dyDescent="0.25">
      <c r="A3974" s="1">
        <v>919727</v>
      </c>
      <c r="B3974" s="1" t="s">
        <v>66</v>
      </c>
      <c r="C3974" s="1" t="s">
        <v>67</v>
      </c>
      <c r="D3974" s="2">
        <v>44665.382204780093</v>
      </c>
      <c r="E3974" s="1" t="s">
        <v>8</v>
      </c>
      <c r="F3974" s="1">
        <v>1</v>
      </c>
      <c r="G3974" s="1">
        <v>0</v>
      </c>
      <c r="H3974" s="6">
        <f>INT(Query1[[#This Row],[EntryDateTime]])</f>
        <v>44665</v>
      </c>
      <c r="I3974" s="1">
        <f>IF(Query1[[#This Row],[ItemType]]="EVAP KIT SF GEN IV",Query1[[#This Row],[OrderQty]]+I3973,I3973)</f>
        <v>4943</v>
      </c>
      <c r="J3974" s="1">
        <f>IF(Query1[[#This Row],[ItemType]]="EVAP KIT UNIVERSAL",Query1[[#This Row],[OrderQty]]+J3973,J3973)</f>
        <v>1651</v>
      </c>
      <c r="K3974" s="1">
        <f>Query1[[#This Row],[SF Running Total]]+Query1[[#This Row],[UNIV Running Total]]</f>
        <v>6594</v>
      </c>
      <c r="L3974">
        <f>VLOOKUP(Query1[[#This Row],[Description]],'kits to boards'!$B$2:$E$156,2,FALSE)</f>
        <v>830060</v>
      </c>
      <c r="M3974">
        <f>VLOOKUP(Query1[[#This Row],[Description]],'kits to boards'!$B$2:$E$156,3,FALSE)</f>
        <v>0</v>
      </c>
      <c r="N3974">
        <f>VLOOKUP(Query1[[#This Row],[Description]],'kits to boards'!$B$2:$E$156,4,FALSE)</f>
        <v>0</v>
      </c>
      <c r="O3974" t="str">
        <f>CONCATENATE(Query1[[#This Row],[Description]]," - ",Query1[[#This Row],[MB1]]," - ",Query1[[#This Row],[MB2]]," - ",Query1[[#This Row],[MB3]])</f>
        <v>EVAP KIT 66-67 CHEVELLE WO AC - 830060 - 0 - 0</v>
      </c>
    </row>
    <row r="3975" spans="1:15" x14ac:dyDescent="0.25">
      <c r="A3975" s="1">
        <v>919727</v>
      </c>
      <c r="B3975" s="1" t="s">
        <v>34</v>
      </c>
      <c r="C3975" s="1" t="s">
        <v>35</v>
      </c>
      <c r="D3975" s="2">
        <v>44665.3823003125</v>
      </c>
      <c r="E3975" s="1" t="s">
        <v>8</v>
      </c>
      <c r="F3975" s="1">
        <v>1</v>
      </c>
      <c r="G3975" s="1">
        <v>0</v>
      </c>
      <c r="H3975" s="6">
        <f>INT(Query1[[#This Row],[EntryDateTime]])</f>
        <v>44665</v>
      </c>
      <c r="I3975" s="1">
        <f>IF(Query1[[#This Row],[ItemType]]="EVAP KIT SF GEN IV",Query1[[#This Row],[OrderQty]]+I3974,I3974)</f>
        <v>4944</v>
      </c>
      <c r="J3975" s="1">
        <f>IF(Query1[[#This Row],[ItemType]]="EVAP KIT UNIVERSAL",Query1[[#This Row],[OrderQty]]+J3974,J3974)</f>
        <v>1651</v>
      </c>
      <c r="K3975" s="1">
        <f>Query1[[#This Row],[SF Running Total]]+Query1[[#This Row],[UNIV Running Total]]</f>
        <v>6595</v>
      </c>
      <c r="L3975">
        <f>VLOOKUP(Query1[[#This Row],[Description]],'kits to boards'!$B$2:$E$156,2,FALSE)</f>
        <v>830065</v>
      </c>
      <c r="M3975">
        <f>VLOOKUP(Query1[[#This Row],[Description]],'kits to boards'!$B$2:$E$156,3,FALSE)</f>
        <v>0</v>
      </c>
      <c r="N3975">
        <f>VLOOKUP(Query1[[#This Row],[Description]],'kits to boards'!$B$2:$E$156,4,FALSE)</f>
        <v>0</v>
      </c>
      <c r="O3975" t="str">
        <f>CONCATENATE(Query1[[#This Row],[Description]]," - ",Query1[[#This Row],[MB1]]," - ",Query1[[#This Row],[MB2]]," - ",Query1[[#This Row],[MB3]])</f>
        <v>EVAP KIT 57 CHEV WO AC - 830065 - 0 - 0</v>
      </c>
    </row>
    <row r="3976" spans="1:15" x14ac:dyDescent="0.25">
      <c r="A3976" s="1">
        <v>919727</v>
      </c>
      <c r="B3976" s="1" t="s">
        <v>14</v>
      </c>
      <c r="C3976" s="1" t="s">
        <v>15</v>
      </c>
      <c r="D3976" s="2">
        <v>44665.382437071756</v>
      </c>
      <c r="E3976" s="1" t="s">
        <v>8</v>
      </c>
      <c r="F3976" s="1">
        <v>1</v>
      </c>
      <c r="G3976" s="1">
        <v>0</v>
      </c>
      <c r="H3976" s="6">
        <f>INT(Query1[[#This Row],[EntryDateTime]])</f>
        <v>44665</v>
      </c>
      <c r="I3976" s="1">
        <f>IF(Query1[[#This Row],[ItemType]]="EVAP KIT SF GEN IV",Query1[[#This Row],[OrderQty]]+I3975,I3975)</f>
        <v>4945</v>
      </c>
      <c r="J3976" s="1">
        <f>IF(Query1[[#This Row],[ItemType]]="EVAP KIT UNIVERSAL",Query1[[#This Row],[OrderQty]]+J3975,J3975)</f>
        <v>1651</v>
      </c>
      <c r="K3976" s="1">
        <f>Query1[[#This Row],[SF Running Total]]+Query1[[#This Row],[UNIV Running Total]]</f>
        <v>6596</v>
      </c>
      <c r="L3976">
        <f>VLOOKUP(Query1[[#This Row],[Description]],'kits to boards'!$B$2:$E$156,2,FALSE)</f>
        <v>830054</v>
      </c>
      <c r="M3976">
        <f>VLOOKUP(Query1[[#This Row],[Description]],'kits to boards'!$B$2:$E$156,3,FALSE)</f>
        <v>0</v>
      </c>
      <c r="N3976">
        <f>VLOOKUP(Query1[[#This Row],[Description]],'kits to boards'!$B$2:$E$156,4,FALSE)</f>
        <v>0</v>
      </c>
      <c r="O3976" t="str">
        <f>CONCATENATE(Query1[[#This Row],[Description]]," - ",Query1[[#This Row],[MB1]]," - ",Query1[[#This Row],[MB2]]," - ",Query1[[#This Row],[MB3]])</f>
        <v>EVAP KIT 55-56 CHEVY - 830054 - 0 - 0</v>
      </c>
    </row>
    <row r="3977" spans="1:15" x14ac:dyDescent="0.25">
      <c r="A3977" s="1">
        <v>919729</v>
      </c>
      <c r="B3977" s="1" t="s">
        <v>108</v>
      </c>
      <c r="C3977" s="1" t="s">
        <v>109</v>
      </c>
      <c r="D3977" s="2">
        <v>44665.382530405092</v>
      </c>
      <c r="E3977" s="1" t="s">
        <v>8</v>
      </c>
      <c r="F3977" s="1">
        <v>1</v>
      </c>
      <c r="G3977" s="1">
        <v>0</v>
      </c>
      <c r="H3977" s="6">
        <f>INT(Query1[[#This Row],[EntryDateTime]])</f>
        <v>44665</v>
      </c>
      <c r="I3977" s="1">
        <f>IF(Query1[[#This Row],[ItemType]]="EVAP KIT SF GEN IV",Query1[[#This Row],[OrderQty]]+I3976,I3976)</f>
        <v>4946</v>
      </c>
      <c r="J3977" s="1">
        <f>IF(Query1[[#This Row],[ItemType]]="EVAP KIT UNIVERSAL",Query1[[#This Row],[OrderQty]]+J3976,J3976)</f>
        <v>1651</v>
      </c>
      <c r="K3977" s="1">
        <f>Query1[[#This Row],[SF Running Total]]+Query1[[#This Row],[UNIV Running Total]]</f>
        <v>6597</v>
      </c>
      <c r="L3977">
        <f>VLOOKUP(Query1[[#This Row],[Description]],'kits to boards'!$B$2:$E$156,2,FALSE)</f>
        <v>830105</v>
      </c>
      <c r="M3977">
        <f>VLOOKUP(Query1[[#This Row],[Description]],'kits to boards'!$B$2:$E$156,3,FALSE)</f>
        <v>830106</v>
      </c>
      <c r="N3977">
        <f>VLOOKUP(Query1[[#This Row],[Description]],'kits to boards'!$B$2:$E$156,4,FALSE)</f>
        <v>0</v>
      </c>
      <c r="O3977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3978" spans="1:15" x14ac:dyDescent="0.25">
      <c r="A3978" s="1">
        <v>919727</v>
      </c>
      <c r="B3978" s="1" t="s">
        <v>102</v>
      </c>
      <c r="C3978" s="1" t="s">
        <v>103</v>
      </c>
      <c r="D3978" s="2">
        <v>44665.382563159721</v>
      </c>
      <c r="E3978" s="1" t="s">
        <v>8</v>
      </c>
      <c r="F3978" s="1">
        <v>1</v>
      </c>
      <c r="G3978" s="1">
        <v>0</v>
      </c>
      <c r="H3978" s="6">
        <f>INT(Query1[[#This Row],[EntryDateTime]])</f>
        <v>44665</v>
      </c>
      <c r="I3978" s="1">
        <f>IF(Query1[[#This Row],[ItemType]]="EVAP KIT SF GEN IV",Query1[[#This Row],[OrderQty]]+I3977,I3977)</f>
        <v>4947</v>
      </c>
      <c r="J3978" s="1">
        <f>IF(Query1[[#This Row],[ItemType]]="EVAP KIT UNIVERSAL",Query1[[#This Row],[OrderQty]]+J3977,J3977)</f>
        <v>1651</v>
      </c>
      <c r="K3978" s="1">
        <f>Query1[[#This Row],[SF Running Total]]+Query1[[#This Row],[UNIV Running Total]]</f>
        <v>6598</v>
      </c>
      <c r="L3978">
        <f>VLOOKUP(Query1[[#This Row],[Description]],'kits to boards'!$B$2:$E$156,2,FALSE)</f>
        <v>830012</v>
      </c>
      <c r="M3978">
        <f>VLOOKUP(Query1[[#This Row],[Description]],'kits to boards'!$B$2:$E$156,3,FALSE)</f>
        <v>0</v>
      </c>
      <c r="N3978">
        <f>VLOOKUP(Query1[[#This Row],[Description]],'kits to boards'!$B$2:$E$156,4,FALSE)</f>
        <v>0</v>
      </c>
      <c r="O3978" t="str">
        <f>CONCATENATE(Query1[[#This Row],[Description]]," - ",Query1[[#This Row],[MB1]]," - ",Query1[[#This Row],[MB2]]," - ",Query1[[#This Row],[MB3]])</f>
        <v>EVAP KIT 69 CAMARO WO/AC - 830012 - 0 - 0</v>
      </c>
    </row>
    <row r="3979" spans="1:15" x14ac:dyDescent="0.25">
      <c r="A3979" s="1">
        <v>919727</v>
      </c>
      <c r="B3979" s="1" t="s">
        <v>100</v>
      </c>
      <c r="C3979" s="1" t="s">
        <v>101</v>
      </c>
      <c r="D3979" s="2">
        <v>44665.382679016206</v>
      </c>
      <c r="E3979" s="1" t="s">
        <v>8</v>
      </c>
      <c r="F3979" s="1">
        <v>1</v>
      </c>
      <c r="G3979" s="1">
        <v>0</v>
      </c>
      <c r="H3979" s="6">
        <f>INT(Query1[[#This Row],[EntryDateTime]])</f>
        <v>44665</v>
      </c>
      <c r="I3979" s="1">
        <f>IF(Query1[[#This Row],[ItemType]]="EVAP KIT SF GEN IV",Query1[[#This Row],[OrderQty]]+I3978,I3978)</f>
        <v>4948</v>
      </c>
      <c r="J3979" s="1">
        <f>IF(Query1[[#This Row],[ItemType]]="EVAP KIT UNIVERSAL",Query1[[#This Row],[OrderQty]]+J3978,J3978)</f>
        <v>1651</v>
      </c>
      <c r="K3979" s="1">
        <f>Query1[[#This Row],[SF Running Total]]+Query1[[#This Row],[UNIV Running Total]]</f>
        <v>6599</v>
      </c>
      <c r="L3979">
        <f>VLOOKUP(Query1[[#This Row],[Description]],'kits to boards'!$B$2:$E$156,2,FALSE)</f>
        <v>830096</v>
      </c>
      <c r="M3979">
        <f>VLOOKUP(Query1[[#This Row],[Description]],'kits to boards'!$B$2:$E$156,3,FALSE)</f>
        <v>0</v>
      </c>
      <c r="N3979">
        <f>VLOOKUP(Query1[[#This Row],[Description]],'kits to boards'!$B$2:$E$156,4,FALSE)</f>
        <v>0</v>
      </c>
      <c r="O3979" t="str">
        <f>CONCATENATE(Query1[[#This Row],[Description]]," - ",Query1[[#This Row],[MB1]]," - ",Query1[[#This Row],[MB2]]," - ",Query1[[#This Row],[MB3]])</f>
        <v>EVAP KIT 62-65 NOVA - 830096 - 0 - 0</v>
      </c>
    </row>
    <row r="3980" spans="1:15" x14ac:dyDescent="0.25">
      <c r="A3980" s="1">
        <v>919728</v>
      </c>
      <c r="B3980" s="1" t="s">
        <v>32</v>
      </c>
      <c r="C3980" s="1" t="s">
        <v>33</v>
      </c>
      <c r="D3980" s="2">
        <v>44665.383167361113</v>
      </c>
      <c r="E3980" s="1" t="s">
        <v>8</v>
      </c>
      <c r="F3980" s="1">
        <v>1</v>
      </c>
      <c r="G3980" s="1">
        <v>0</v>
      </c>
      <c r="H3980" s="6">
        <f>INT(Query1[[#This Row],[EntryDateTime]])</f>
        <v>44665</v>
      </c>
      <c r="I3980" s="1">
        <f>IF(Query1[[#This Row],[ItemType]]="EVAP KIT SF GEN IV",Query1[[#This Row],[OrderQty]]+I3979,I3979)</f>
        <v>4949</v>
      </c>
      <c r="J3980" s="1">
        <f>IF(Query1[[#This Row],[ItemType]]="EVAP KIT UNIVERSAL",Query1[[#This Row],[OrderQty]]+J3979,J3979)</f>
        <v>1651</v>
      </c>
      <c r="K3980" s="1">
        <f>Query1[[#This Row],[SF Running Total]]+Query1[[#This Row],[UNIV Running Total]]</f>
        <v>6600</v>
      </c>
      <c r="L3980">
        <f>VLOOKUP(Query1[[#This Row],[Description]],'kits to boards'!$B$2:$E$156,2,FALSE)</f>
        <v>830016</v>
      </c>
      <c r="M3980">
        <f>VLOOKUP(Query1[[#This Row],[Description]],'kits to boards'!$B$2:$E$156,3,FALSE)</f>
        <v>0</v>
      </c>
      <c r="N3980">
        <f>VLOOKUP(Query1[[#This Row],[Description]],'kits to boards'!$B$2:$E$156,4,FALSE)</f>
        <v>0</v>
      </c>
      <c r="O3980" t="str">
        <f>CONCATENATE(Query1[[#This Row],[Description]]," - ",Query1[[#This Row],[MB1]]," - ",Query1[[#This Row],[MB2]]," - ",Query1[[#This Row],[MB3]])</f>
        <v>EVAP KIT 67-68 CAMARO/FIREBIRD W/AC - 830016 - 0 - 0</v>
      </c>
    </row>
    <row r="3981" spans="1:15" x14ac:dyDescent="0.25">
      <c r="A3981" s="1">
        <v>919727</v>
      </c>
      <c r="B3981" s="1" t="s">
        <v>72</v>
      </c>
      <c r="C3981" s="1" t="s">
        <v>73</v>
      </c>
      <c r="D3981" s="2">
        <v>44665.384332905094</v>
      </c>
      <c r="E3981" s="1" t="s">
        <v>8</v>
      </c>
      <c r="F3981" s="1">
        <v>1</v>
      </c>
      <c r="G3981" s="1">
        <v>0</v>
      </c>
      <c r="H3981" s="6">
        <f>INT(Query1[[#This Row],[EntryDateTime]])</f>
        <v>44665</v>
      </c>
      <c r="I3981" s="1">
        <f>IF(Query1[[#This Row],[ItemType]]="EVAP KIT SF GEN IV",Query1[[#This Row],[OrderQty]]+I3980,I3980)</f>
        <v>4950</v>
      </c>
      <c r="J3981" s="1">
        <f>IF(Query1[[#This Row],[ItemType]]="EVAP KIT UNIVERSAL",Query1[[#This Row],[OrderQty]]+J3980,J3980)</f>
        <v>1651</v>
      </c>
      <c r="K3981" s="1">
        <f>Query1[[#This Row],[SF Running Total]]+Query1[[#This Row],[UNIV Running Total]]</f>
        <v>6601</v>
      </c>
      <c r="L3981">
        <f>VLOOKUP(Query1[[#This Row],[Description]],'kits to boards'!$B$2:$E$156,2,FALSE)</f>
        <v>830043</v>
      </c>
      <c r="M3981">
        <f>VLOOKUP(Query1[[#This Row],[Description]],'kits to boards'!$B$2:$E$156,3,FALSE)</f>
        <v>0</v>
      </c>
      <c r="N3981">
        <f>VLOOKUP(Query1[[#This Row],[Description]],'kits to boards'!$B$2:$E$156,4,FALSE)</f>
        <v>0</v>
      </c>
      <c r="O3981" t="str">
        <f>CONCATENATE(Query1[[#This Row],[Description]]," - ",Query1[[#This Row],[MB1]]," - ",Query1[[#This Row],[MB2]]," - ",Query1[[#This Row],[MB3]])</f>
        <v>EVAP KIT 69-74 NOVA W/AC - 830043 - 0 - 0</v>
      </c>
    </row>
    <row r="3982" spans="1:15" x14ac:dyDescent="0.25">
      <c r="A3982" s="1">
        <v>919727</v>
      </c>
      <c r="B3982" s="1" t="s">
        <v>158</v>
      </c>
      <c r="C3982" s="1" t="s">
        <v>159</v>
      </c>
      <c r="D3982" s="2">
        <v>44665.384824768516</v>
      </c>
      <c r="E3982" s="1" t="s">
        <v>8</v>
      </c>
      <c r="F3982" s="1">
        <v>1</v>
      </c>
      <c r="G3982" s="1">
        <v>0</v>
      </c>
      <c r="H3982" s="6">
        <f>INT(Query1[[#This Row],[EntryDateTime]])</f>
        <v>44665</v>
      </c>
      <c r="I3982" s="1">
        <f>IF(Query1[[#This Row],[ItemType]]="EVAP KIT SF GEN IV",Query1[[#This Row],[OrderQty]]+I3981,I3981)</f>
        <v>4951</v>
      </c>
      <c r="J3982" s="1">
        <f>IF(Query1[[#This Row],[ItemType]]="EVAP KIT UNIVERSAL",Query1[[#This Row],[OrderQty]]+J3981,J3981)</f>
        <v>1651</v>
      </c>
      <c r="K3982" s="1">
        <f>Query1[[#This Row],[SF Running Total]]+Query1[[#This Row],[UNIV Running Total]]</f>
        <v>6602</v>
      </c>
      <c r="L3982">
        <f>VLOOKUP(Query1[[#This Row],[Description]],'kits to boards'!$B$2:$E$156,2,FALSE)</f>
        <v>830080</v>
      </c>
      <c r="M3982">
        <f>VLOOKUP(Query1[[#This Row],[Description]],'kits to boards'!$B$2:$E$156,3,FALSE)</f>
        <v>830046</v>
      </c>
      <c r="N3982">
        <f>VLOOKUP(Query1[[#This Row],[Description]],'kits to boards'!$B$2:$E$156,4,FALSE)</f>
        <v>0</v>
      </c>
      <c r="O3982" t="str">
        <f>CONCATENATE(Query1[[#This Row],[Description]]," - ",Query1[[#This Row],[MB1]]," - ",Query1[[#This Row],[MB2]]," - ",Query1[[#This Row],[MB3]])</f>
        <v>EVAP KIT 69-70 MUSTANG W/AC  - 830080 - 830046 - 0</v>
      </c>
    </row>
    <row r="3983" spans="1:15" x14ac:dyDescent="0.25">
      <c r="A3983" s="1">
        <v>919727</v>
      </c>
      <c r="B3983" s="1" t="s">
        <v>182</v>
      </c>
      <c r="C3983" s="1" t="s">
        <v>183</v>
      </c>
      <c r="D3983" s="2">
        <v>44665.385441319442</v>
      </c>
      <c r="E3983" s="1" t="s">
        <v>8</v>
      </c>
      <c r="F3983" s="1">
        <v>1</v>
      </c>
      <c r="G3983" s="1">
        <v>0</v>
      </c>
      <c r="H3983" s="6">
        <f>INT(Query1[[#This Row],[EntryDateTime]])</f>
        <v>44665</v>
      </c>
      <c r="I3983" s="1">
        <f>IF(Query1[[#This Row],[ItemType]]="EVAP KIT SF GEN IV",Query1[[#This Row],[OrderQty]]+I3982,I3982)</f>
        <v>4952</v>
      </c>
      <c r="J3983" s="1">
        <f>IF(Query1[[#This Row],[ItemType]]="EVAP KIT UNIVERSAL",Query1[[#This Row],[OrderQty]]+J3982,J3982)</f>
        <v>1651</v>
      </c>
      <c r="K3983" s="1">
        <f>Query1[[#This Row],[SF Running Total]]+Query1[[#This Row],[UNIV Running Total]]</f>
        <v>6603</v>
      </c>
      <c r="L3983">
        <f>VLOOKUP(Query1[[#This Row],[Description]],'kits to boards'!$B$2:$E$156,2,FALSE)</f>
        <v>830075</v>
      </c>
      <c r="M3983">
        <f>VLOOKUP(Query1[[#This Row],[Description]],'kits to boards'!$B$2:$E$156,3,FALSE)</f>
        <v>0</v>
      </c>
      <c r="N3983">
        <f>VLOOKUP(Query1[[#This Row],[Description]],'kits to boards'!$B$2:$E$156,4,FALSE)</f>
        <v>0</v>
      </c>
      <c r="O3983" t="str">
        <f>CONCATENATE(Query1[[#This Row],[Description]]," - ",Query1[[#This Row],[MB1]]," - ",Query1[[#This Row],[MB2]]," - ",Query1[[#This Row],[MB3]])</f>
        <v>EVAP KIT 69-70 MOPAR B BODY WO AC - 830075 - 0 - 0</v>
      </c>
    </row>
    <row r="3984" spans="1:15" x14ac:dyDescent="0.25">
      <c r="A3984" s="1">
        <v>919727</v>
      </c>
      <c r="B3984" s="1" t="s">
        <v>42</v>
      </c>
      <c r="C3984" s="1" t="s">
        <v>43</v>
      </c>
      <c r="D3984" s="2">
        <v>44665.386167395831</v>
      </c>
      <c r="E3984" s="1" t="s">
        <v>8</v>
      </c>
      <c r="F3984" s="1">
        <v>1</v>
      </c>
      <c r="G3984" s="1">
        <v>0</v>
      </c>
      <c r="H3984" s="6">
        <f>INT(Query1[[#This Row],[EntryDateTime]])</f>
        <v>44665</v>
      </c>
      <c r="I3984" s="1">
        <f>IF(Query1[[#This Row],[ItemType]]="EVAP KIT SF GEN IV",Query1[[#This Row],[OrderQty]]+I3983,I3983)</f>
        <v>4953</v>
      </c>
      <c r="J3984" s="1">
        <f>IF(Query1[[#This Row],[ItemType]]="EVAP KIT UNIVERSAL",Query1[[#This Row],[OrderQty]]+J3983,J3983)</f>
        <v>1651</v>
      </c>
      <c r="K3984" s="1">
        <f>Query1[[#This Row],[SF Running Total]]+Query1[[#This Row],[UNIV Running Total]]</f>
        <v>6604</v>
      </c>
      <c r="L3984">
        <f>VLOOKUP(Query1[[#This Row],[Description]],'kits to boards'!$B$2:$E$156,2,FALSE)</f>
        <v>830014</v>
      </c>
      <c r="M3984">
        <f>VLOOKUP(Query1[[#This Row],[Description]],'kits to boards'!$B$2:$E$156,3,FALSE)</f>
        <v>0</v>
      </c>
      <c r="N3984">
        <f>VLOOKUP(Query1[[#This Row],[Description]],'kits to boards'!$B$2:$E$156,4,FALSE)</f>
        <v>0</v>
      </c>
      <c r="O3984" t="str">
        <f>CONCATENATE(Query1[[#This Row],[Description]]," - ",Query1[[#This Row],[MB1]]," - ",Query1[[#This Row],[MB2]]," - ",Query1[[#This Row],[MB3]])</f>
        <v>EVAP KIT 67-72 CHEV P-UP WO AC - 830014 - 0 - 0</v>
      </c>
    </row>
    <row r="3985" spans="1:15" x14ac:dyDescent="0.25">
      <c r="A3985" s="1">
        <v>919727</v>
      </c>
      <c r="B3985" s="1" t="s">
        <v>88</v>
      </c>
      <c r="C3985" s="1" t="s">
        <v>89</v>
      </c>
      <c r="D3985" s="2">
        <v>44665.3874005787</v>
      </c>
      <c r="E3985" s="1" t="s">
        <v>8</v>
      </c>
      <c r="F3985" s="1">
        <v>1</v>
      </c>
      <c r="G3985" s="1">
        <v>0</v>
      </c>
      <c r="H3985" s="6">
        <f>INT(Query1[[#This Row],[EntryDateTime]])</f>
        <v>44665</v>
      </c>
      <c r="I3985" s="1">
        <f>IF(Query1[[#This Row],[ItemType]]="EVAP KIT SF GEN IV",Query1[[#This Row],[OrderQty]]+I3984,I3984)</f>
        <v>4954</v>
      </c>
      <c r="J3985" s="1">
        <f>IF(Query1[[#This Row],[ItemType]]="EVAP KIT UNIVERSAL",Query1[[#This Row],[OrderQty]]+J3984,J3984)</f>
        <v>1651</v>
      </c>
      <c r="K3985" s="1">
        <f>Query1[[#This Row],[SF Running Total]]+Query1[[#This Row],[UNIV Running Total]]</f>
        <v>6605</v>
      </c>
      <c r="L3985">
        <f>VLOOKUP(Query1[[#This Row],[Description]],'kits to boards'!$B$2:$E$156,2,FALSE)</f>
        <v>830003</v>
      </c>
      <c r="M3985">
        <f>VLOOKUP(Query1[[#This Row],[Description]],'kits to boards'!$B$2:$E$156,3,FALSE)</f>
        <v>0</v>
      </c>
      <c r="N3985">
        <f>VLOOKUP(Query1[[#This Row],[Description]],'kits to boards'!$B$2:$E$156,4,FALSE)</f>
        <v>0</v>
      </c>
      <c r="O3985" t="str">
        <f>CONCATENATE(Query1[[#This Row],[Description]]," - ",Query1[[#This Row],[MB1]]," - ",Query1[[#This Row],[MB2]]," - ",Query1[[#This Row],[MB3]])</f>
        <v>EVAP KIT 81-87 CHEV P-UP WO AC - 830003 - 0 - 0</v>
      </c>
    </row>
    <row r="3986" spans="1:15" x14ac:dyDescent="0.25">
      <c r="A3986" s="1">
        <v>919727</v>
      </c>
      <c r="B3986" s="1" t="s">
        <v>86</v>
      </c>
      <c r="C3986" s="1" t="s">
        <v>87</v>
      </c>
      <c r="D3986" s="2">
        <v>44665.388062349535</v>
      </c>
      <c r="E3986" s="1" t="s">
        <v>8</v>
      </c>
      <c r="F3986" s="1">
        <v>1</v>
      </c>
      <c r="G3986" s="1">
        <v>0</v>
      </c>
      <c r="H3986" s="6">
        <f>INT(Query1[[#This Row],[EntryDateTime]])</f>
        <v>44665</v>
      </c>
      <c r="I3986" s="1">
        <f>IF(Query1[[#This Row],[ItemType]]="EVAP KIT SF GEN IV",Query1[[#This Row],[OrderQty]]+I3985,I3985)</f>
        <v>4955</v>
      </c>
      <c r="J3986" s="1">
        <f>IF(Query1[[#This Row],[ItemType]]="EVAP KIT UNIVERSAL",Query1[[#This Row],[OrderQty]]+J3985,J3985)</f>
        <v>1651</v>
      </c>
      <c r="K3986" s="1">
        <f>Query1[[#This Row],[SF Running Total]]+Query1[[#This Row],[UNIV Running Total]]</f>
        <v>6606</v>
      </c>
      <c r="L3986">
        <f>VLOOKUP(Query1[[#This Row],[Description]],'kits to boards'!$B$2:$E$156,2,FALSE)</f>
        <v>830048</v>
      </c>
      <c r="M3986">
        <f>VLOOKUP(Query1[[#This Row],[Description]],'kits to boards'!$B$2:$E$156,3,FALSE)</f>
        <v>0</v>
      </c>
      <c r="N3986">
        <f>VLOOKUP(Query1[[#This Row],[Description]],'kits to boards'!$B$2:$E$156,4,FALSE)</f>
        <v>0</v>
      </c>
      <c r="O3986" t="str">
        <f>CONCATENATE(Query1[[#This Row],[Description]]," - ",Query1[[#This Row],[MB1]]," - ",Query1[[#This Row],[MB2]]," - ",Query1[[#This Row],[MB3]])</f>
        <v>EVAP KIT 66-67 NOVA - 830048 - 0 - 0</v>
      </c>
    </row>
    <row r="3987" spans="1:15" x14ac:dyDescent="0.25">
      <c r="A3987" s="1">
        <v>919727</v>
      </c>
      <c r="B3987" s="1" t="s">
        <v>66</v>
      </c>
      <c r="C3987" s="1" t="s">
        <v>67</v>
      </c>
      <c r="D3987" s="2">
        <v>44665.389435960649</v>
      </c>
      <c r="E3987" s="1" t="s">
        <v>8</v>
      </c>
      <c r="F3987" s="1">
        <v>1</v>
      </c>
      <c r="G3987" s="1">
        <v>0</v>
      </c>
      <c r="H3987" s="6">
        <f>INT(Query1[[#This Row],[EntryDateTime]])</f>
        <v>44665</v>
      </c>
      <c r="I3987" s="1">
        <f>IF(Query1[[#This Row],[ItemType]]="EVAP KIT SF GEN IV",Query1[[#This Row],[OrderQty]]+I3986,I3986)</f>
        <v>4956</v>
      </c>
      <c r="J3987" s="1">
        <f>IF(Query1[[#This Row],[ItemType]]="EVAP KIT UNIVERSAL",Query1[[#This Row],[OrderQty]]+J3986,J3986)</f>
        <v>1651</v>
      </c>
      <c r="K3987" s="1">
        <f>Query1[[#This Row],[SF Running Total]]+Query1[[#This Row],[UNIV Running Total]]</f>
        <v>6607</v>
      </c>
      <c r="L3987">
        <f>VLOOKUP(Query1[[#This Row],[Description]],'kits to boards'!$B$2:$E$156,2,FALSE)</f>
        <v>830060</v>
      </c>
      <c r="M3987">
        <f>VLOOKUP(Query1[[#This Row],[Description]],'kits to boards'!$B$2:$E$156,3,FALSE)</f>
        <v>0</v>
      </c>
      <c r="N3987">
        <f>VLOOKUP(Query1[[#This Row],[Description]],'kits to boards'!$B$2:$E$156,4,FALSE)</f>
        <v>0</v>
      </c>
      <c r="O3987" t="str">
        <f>CONCATENATE(Query1[[#This Row],[Description]]," - ",Query1[[#This Row],[MB1]]," - ",Query1[[#This Row],[MB2]]," - ",Query1[[#This Row],[MB3]])</f>
        <v>EVAP KIT 66-67 CHEVELLE WO AC - 830060 - 0 - 0</v>
      </c>
    </row>
    <row r="3988" spans="1:15" x14ac:dyDescent="0.25">
      <c r="A3988" s="1">
        <v>919727</v>
      </c>
      <c r="B3988" s="1" t="s">
        <v>92</v>
      </c>
      <c r="C3988" s="1" t="s">
        <v>93</v>
      </c>
      <c r="D3988" s="2">
        <v>44665.390156597219</v>
      </c>
      <c r="E3988" s="1" t="s">
        <v>8</v>
      </c>
      <c r="F3988" s="1">
        <v>1</v>
      </c>
      <c r="G3988" s="1">
        <v>0</v>
      </c>
      <c r="H3988" s="6">
        <f>INT(Query1[[#This Row],[EntryDateTime]])</f>
        <v>44665</v>
      </c>
      <c r="I3988" s="1">
        <f>IF(Query1[[#This Row],[ItemType]]="EVAP KIT SF GEN IV",Query1[[#This Row],[OrderQty]]+I3987,I3987)</f>
        <v>4957</v>
      </c>
      <c r="J3988" s="1">
        <f>IF(Query1[[#This Row],[ItemType]]="EVAP KIT UNIVERSAL",Query1[[#This Row],[OrderQty]]+J3987,J3987)</f>
        <v>1651</v>
      </c>
      <c r="K3988" s="1">
        <f>Query1[[#This Row],[SF Running Total]]+Query1[[#This Row],[UNIV Running Total]]</f>
        <v>6608</v>
      </c>
      <c r="L3988">
        <f>VLOOKUP(Query1[[#This Row],[Description]],'kits to boards'!$B$2:$E$156,2,FALSE)</f>
        <v>830063</v>
      </c>
      <c r="M3988">
        <f>VLOOKUP(Query1[[#This Row],[Description]],'kits to boards'!$B$2:$E$156,3,FALSE)</f>
        <v>0</v>
      </c>
      <c r="N3988">
        <f>VLOOKUP(Query1[[#This Row],[Description]],'kits to boards'!$B$2:$E$156,4,FALSE)</f>
        <v>0</v>
      </c>
      <c r="O3988" t="str">
        <f>CONCATENATE(Query1[[#This Row],[Description]]," - ",Query1[[#This Row],[MB1]]," - ",Query1[[#This Row],[MB2]]," - ",Query1[[#This Row],[MB3]])</f>
        <v>EVAP KIT 50-53 CHEV P-UP GEN IV - 830063 - 0 - 0</v>
      </c>
    </row>
    <row r="3989" spans="1:15" x14ac:dyDescent="0.25">
      <c r="A3989" s="1">
        <v>919735</v>
      </c>
      <c r="B3989" s="1" t="s">
        <v>90</v>
      </c>
      <c r="C3989" s="1" t="s">
        <v>91</v>
      </c>
      <c r="D3989" s="2">
        <v>44665.398437268515</v>
      </c>
      <c r="E3989" s="1" t="s">
        <v>8</v>
      </c>
      <c r="F3989" s="1">
        <v>1</v>
      </c>
      <c r="G3989" s="1">
        <v>0</v>
      </c>
      <c r="H3989" s="6">
        <f>INT(Query1[[#This Row],[EntryDateTime]])</f>
        <v>44665</v>
      </c>
      <c r="I3989" s="1">
        <f>IF(Query1[[#This Row],[ItemType]]="EVAP KIT SF GEN IV",Query1[[#This Row],[OrderQty]]+I3988,I3988)</f>
        <v>4958</v>
      </c>
      <c r="J3989" s="1">
        <f>IF(Query1[[#This Row],[ItemType]]="EVAP KIT UNIVERSAL",Query1[[#This Row],[OrderQty]]+J3988,J3988)</f>
        <v>1651</v>
      </c>
      <c r="K3989" s="1">
        <f>Query1[[#This Row],[SF Running Total]]+Query1[[#This Row],[UNIV Running Total]]</f>
        <v>6609</v>
      </c>
      <c r="L3989">
        <f>VLOOKUP(Query1[[#This Row],[Description]],'kits to boards'!$B$2:$E$156,2,FALSE)</f>
        <v>830105</v>
      </c>
      <c r="M3989">
        <f>VLOOKUP(Query1[[#This Row],[Description]],'kits to boards'!$B$2:$E$156,3,FALSE)</f>
        <v>830106</v>
      </c>
      <c r="N3989">
        <f>VLOOKUP(Query1[[#This Row],[Description]],'kits to boards'!$B$2:$E$156,4,FALSE)</f>
        <v>0</v>
      </c>
      <c r="O3989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3990" spans="1:15" x14ac:dyDescent="0.25">
      <c r="A3990" s="1">
        <v>919737</v>
      </c>
      <c r="B3990" s="1" t="s">
        <v>30</v>
      </c>
      <c r="C3990" s="1" t="s">
        <v>31</v>
      </c>
      <c r="D3990" s="2">
        <v>44665.401251041665</v>
      </c>
      <c r="E3990" s="1" t="s">
        <v>8</v>
      </c>
      <c r="F3990" s="1">
        <v>1</v>
      </c>
      <c r="G3990" s="1">
        <v>0</v>
      </c>
      <c r="H3990" s="6">
        <f>INT(Query1[[#This Row],[EntryDateTime]])</f>
        <v>44665</v>
      </c>
      <c r="I3990" s="1">
        <f>IF(Query1[[#This Row],[ItemType]]="EVAP KIT SF GEN IV",Query1[[#This Row],[OrderQty]]+I3989,I3989)</f>
        <v>4959</v>
      </c>
      <c r="J3990" s="1">
        <f>IF(Query1[[#This Row],[ItemType]]="EVAP KIT UNIVERSAL",Query1[[#This Row],[OrderQty]]+J3989,J3989)</f>
        <v>1651</v>
      </c>
      <c r="K3990" s="1">
        <f>Query1[[#This Row],[SF Running Total]]+Query1[[#This Row],[UNIV Running Total]]</f>
        <v>6610</v>
      </c>
      <c r="L3990">
        <f>VLOOKUP(Query1[[#This Row],[Description]],'kits to boards'!$B$2:$E$156,2,FALSE)</f>
        <v>830054</v>
      </c>
      <c r="M3990">
        <f>VLOOKUP(Query1[[#This Row],[Description]],'kits to boards'!$B$2:$E$156,3,FALSE)</f>
        <v>0</v>
      </c>
      <c r="N3990">
        <f>VLOOKUP(Query1[[#This Row],[Description]],'kits to boards'!$B$2:$E$156,4,FALSE)</f>
        <v>0</v>
      </c>
      <c r="O3990" t="str">
        <f>CONCATENATE(Query1[[#This Row],[Description]]," - ",Query1[[#This Row],[MB1]]," - ",Query1[[#This Row],[MB2]]," - ",Query1[[#This Row],[MB3]])</f>
        <v>EVAP KIT 55-56 CHEVY 4-VENT - 830054 - 0 - 0</v>
      </c>
    </row>
    <row r="3991" spans="1:15" x14ac:dyDescent="0.25">
      <c r="A3991" s="1">
        <v>919093</v>
      </c>
      <c r="B3991" s="1" t="s">
        <v>28</v>
      </c>
      <c r="C3991" s="1" t="s">
        <v>29</v>
      </c>
      <c r="D3991" s="2">
        <v>44665.405328125002</v>
      </c>
      <c r="E3991" s="1" t="s">
        <v>8</v>
      </c>
      <c r="F3991" s="1">
        <v>1</v>
      </c>
      <c r="G3991" s="1">
        <v>0</v>
      </c>
      <c r="H3991" s="6">
        <f>INT(Query1[[#This Row],[EntryDateTime]])</f>
        <v>44665</v>
      </c>
      <c r="I3991" s="1">
        <f>IF(Query1[[#This Row],[ItemType]]="EVAP KIT SF GEN IV",Query1[[#This Row],[OrderQty]]+I3990,I3990)</f>
        <v>4960</v>
      </c>
      <c r="J3991" s="1">
        <f>IF(Query1[[#This Row],[ItemType]]="EVAP KIT UNIVERSAL",Query1[[#This Row],[OrderQty]]+J3990,J3990)</f>
        <v>1651</v>
      </c>
      <c r="K3991" s="1">
        <f>Query1[[#This Row],[SF Running Total]]+Query1[[#This Row],[UNIV Running Total]]</f>
        <v>6611</v>
      </c>
      <c r="L3991">
        <f>VLOOKUP(Query1[[#This Row],[Description]],'kits to boards'!$B$2:$E$156,2,FALSE)</f>
        <v>830001</v>
      </c>
      <c r="M3991">
        <f>VLOOKUP(Query1[[#This Row],[Description]],'kits to boards'!$B$2:$E$156,3,FALSE)</f>
        <v>0</v>
      </c>
      <c r="N3991">
        <f>VLOOKUP(Query1[[#This Row],[Description]],'kits to boards'!$B$2:$E$156,4,FALSE)</f>
        <v>0</v>
      </c>
      <c r="O3991" t="str">
        <f>CONCATENATE(Query1[[#This Row],[Description]]," - ",Query1[[#This Row],[MB1]]," - ",Query1[[#This Row],[MB2]]," - ",Query1[[#This Row],[MB3]])</f>
        <v>EVAP KIT 73-80 CHEV P-UP W/AC - 830001 - 0 - 0</v>
      </c>
    </row>
    <row r="3992" spans="1:15" x14ac:dyDescent="0.25">
      <c r="A3992" s="1">
        <v>919736</v>
      </c>
      <c r="B3992" s="1" t="s">
        <v>32</v>
      </c>
      <c r="C3992" s="1" t="s">
        <v>33</v>
      </c>
      <c r="D3992" s="2">
        <v>44665.405758564812</v>
      </c>
      <c r="E3992" s="1" t="s">
        <v>8</v>
      </c>
      <c r="F3992" s="1">
        <v>1</v>
      </c>
      <c r="G3992" s="1">
        <v>0</v>
      </c>
      <c r="H3992" s="6">
        <f>INT(Query1[[#This Row],[EntryDateTime]])</f>
        <v>44665</v>
      </c>
      <c r="I3992" s="1">
        <f>IF(Query1[[#This Row],[ItemType]]="EVAP KIT SF GEN IV",Query1[[#This Row],[OrderQty]]+I3991,I3991)</f>
        <v>4961</v>
      </c>
      <c r="J3992" s="1">
        <f>IF(Query1[[#This Row],[ItemType]]="EVAP KIT UNIVERSAL",Query1[[#This Row],[OrderQty]]+J3991,J3991)</f>
        <v>1651</v>
      </c>
      <c r="K3992" s="1">
        <f>Query1[[#This Row],[SF Running Total]]+Query1[[#This Row],[UNIV Running Total]]</f>
        <v>6612</v>
      </c>
      <c r="L3992">
        <f>VLOOKUP(Query1[[#This Row],[Description]],'kits to boards'!$B$2:$E$156,2,FALSE)</f>
        <v>830016</v>
      </c>
      <c r="M3992">
        <f>VLOOKUP(Query1[[#This Row],[Description]],'kits to boards'!$B$2:$E$156,3,FALSE)</f>
        <v>0</v>
      </c>
      <c r="N3992">
        <f>VLOOKUP(Query1[[#This Row],[Description]],'kits to boards'!$B$2:$E$156,4,FALSE)</f>
        <v>0</v>
      </c>
      <c r="O3992" t="str">
        <f>CONCATENATE(Query1[[#This Row],[Description]]," - ",Query1[[#This Row],[MB1]]," - ",Query1[[#This Row],[MB2]]," - ",Query1[[#This Row],[MB3]])</f>
        <v>EVAP KIT 67-68 CAMARO/FIREBIRD W/AC - 830016 - 0 - 0</v>
      </c>
    </row>
    <row r="3993" spans="1:15" x14ac:dyDescent="0.25">
      <c r="A3993" s="1">
        <v>919742</v>
      </c>
      <c r="B3993" s="1" t="s">
        <v>52</v>
      </c>
      <c r="C3993" s="1" t="s">
        <v>53</v>
      </c>
      <c r="D3993" s="2">
        <v>44665.407539351851</v>
      </c>
      <c r="E3993" s="1" t="s">
        <v>8</v>
      </c>
      <c r="F3993" s="1">
        <v>1</v>
      </c>
      <c r="G3993" s="1">
        <v>0</v>
      </c>
      <c r="H3993" s="6">
        <f>INT(Query1[[#This Row],[EntryDateTime]])</f>
        <v>44665</v>
      </c>
      <c r="I3993" s="1">
        <f>IF(Query1[[#This Row],[ItemType]]="EVAP KIT SF GEN IV",Query1[[#This Row],[OrderQty]]+I3992,I3992)</f>
        <v>4962</v>
      </c>
      <c r="J3993" s="1">
        <f>IF(Query1[[#This Row],[ItemType]]="EVAP KIT UNIVERSAL",Query1[[#This Row],[OrderQty]]+J3992,J3992)</f>
        <v>1651</v>
      </c>
      <c r="K3993" s="1">
        <f>Query1[[#This Row],[SF Running Total]]+Query1[[#This Row],[UNIV Running Total]]</f>
        <v>6613</v>
      </c>
      <c r="L3993">
        <f>VLOOKUP(Query1[[#This Row],[Description]],'kits to boards'!$B$2:$E$156,2,FALSE)</f>
        <v>830017</v>
      </c>
      <c r="M3993">
        <f>VLOOKUP(Query1[[#This Row],[Description]],'kits to boards'!$B$2:$E$156,3,FALSE)</f>
        <v>830119</v>
      </c>
      <c r="N3993">
        <f>VLOOKUP(Query1[[#This Row],[Description]],'kits to boards'!$B$2:$E$156,4,FALSE)</f>
        <v>830120</v>
      </c>
      <c r="O3993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3994" spans="1:15" x14ac:dyDescent="0.25">
      <c r="A3994" s="1">
        <v>919746</v>
      </c>
      <c r="B3994" s="1" t="s">
        <v>192</v>
      </c>
      <c r="C3994" s="1" t="s">
        <v>193</v>
      </c>
      <c r="D3994" s="2">
        <v>44665.411077696757</v>
      </c>
      <c r="E3994" s="1" t="s">
        <v>8</v>
      </c>
      <c r="F3994" s="1">
        <v>1</v>
      </c>
      <c r="G3994" s="1">
        <v>0</v>
      </c>
      <c r="H3994" s="6">
        <f>INT(Query1[[#This Row],[EntryDateTime]])</f>
        <v>44665</v>
      </c>
      <c r="I3994" s="1">
        <f>IF(Query1[[#This Row],[ItemType]]="EVAP KIT SF GEN IV",Query1[[#This Row],[OrderQty]]+I3993,I3993)</f>
        <v>4963</v>
      </c>
      <c r="J3994" s="1">
        <f>IF(Query1[[#This Row],[ItemType]]="EVAP KIT UNIVERSAL",Query1[[#This Row],[OrderQty]]+J3993,J3993)</f>
        <v>1651</v>
      </c>
      <c r="K3994" s="1">
        <f>Query1[[#This Row],[SF Running Total]]+Query1[[#This Row],[UNIV Running Total]]</f>
        <v>6614</v>
      </c>
      <c r="L3994">
        <f>VLOOKUP(Query1[[#This Row],[Description]],'kits to boards'!$B$2:$E$156,2,FALSE)</f>
        <v>830094</v>
      </c>
      <c r="M3994">
        <f>VLOOKUP(Query1[[#This Row],[Description]],'kits to boards'!$B$2:$E$156,3,FALSE)</f>
        <v>0</v>
      </c>
      <c r="N3994">
        <f>VLOOKUP(Query1[[#This Row],[Description]],'kits to boards'!$B$2:$E$156,4,FALSE)</f>
        <v>0</v>
      </c>
      <c r="O3994" t="str">
        <f>CONCATENATE(Query1[[#This Row],[Description]]," - ",Query1[[#This Row],[MB1]]," - ",Query1[[#This Row],[MB2]]," - ",Query1[[#This Row],[MB3]])</f>
        <v>EVAP KIT 69-73 VETTE W/AC - 830094 - 0 - 0</v>
      </c>
    </row>
    <row r="3995" spans="1:15" x14ac:dyDescent="0.25">
      <c r="A3995" s="1">
        <v>919749</v>
      </c>
      <c r="B3995" s="1" t="s">
        <v>170</v>
      </c>
      <c r="C3995" s="1" t="s">
        <v>171</v>
      </c>
      <c r="D3995" s="2">
        <v>44665.41527322917</v>
      </c>
      <c r="E3995" s="1" t="s">
        <v>8</v>
      </c>
      <c r="F3995" s="1">
        <v>1</v>
      </c>
      <c r="G3995" s="1">
        <v>0</v>
      </c>
      <c r="H3995" s="6">
        <f>INT(Query1[[#This Row],[EntryDateTime]])</f>
        <v>44665</v>
      </c>
      <c r="I3995" s="1">
        <f>IF(Query1[[#This Row],[ItemType]]="EVAP KIT SF GEN IV",Query1[[#This Row],[OrderQty]]+I3994,I3994)</f>
        <v>4964</v>
      </c>
      <c r="J3995" s="1">
        <f>IF(Query1[[#This Row],[ItemType]]="EVAP KIT UNIVERSAL",Query1[[#This Row],[OrderQty]]+J3994,J3994)</f>
        <v>1651</v>
      </c>
      <c r="K3995" s="1">
        <f>Query1[[#This Row],[SF Running Total]]+Query1[[#This Row],[UNIV Running Total]]</f>
        <v>6615</v>
      </c>
      <c r="L3995">
        <f>VLOOKUP(Query1[[#This Row],[Description]],'kits to boards'!$B$2:$E$156,2,FALSE)</f>
        <v>830018</v>
      </c>
      <c r="M3995">
        <f>VLOOKUP(Query1[[#This Row],[Description]],'kits to boards'!$B$2:$E$156,3,FALSE)</f>
        <v>0</v>
      </c>
      <c r="N3995">
        <f>VLOOKUP(Query1[[#This Row],[Description]],'kits to boards'!$B$2:$E$156,4,FALSE)</f>
        <v>0</v>
      </c>
      <c r="O3995" t="str">
        <f>CONCATENATE(Query1[[#This Row],[Description]]," - ",Query1[[#This Row],[MB1]]," - ",Query1[[#This Row],[MB2]]," - ",Query1[[#This Row],[MB3]])</f>
        <v>EVAP KIT 67 FORD P-UP F-100 - 830018 - 0 - 0</v>
      </c>
    </row>
    <row r="3996" spans="1:15" x14ac:dyDescent="0.25">
      <c r="A3996" s="1">
        <v>919752</v>
      </c>
      <c r="B3996" s="1" t="s">
        <v>210</v>
      </c>
      <c r="C3996" s="1" t="s">
        <v>211</v>
      </c>
      <c r="D3996" s="2">
        <v>44665.422583067128</v>
      </c>
      <c r="E3996" s="1" t="s">
        <v>8</v>
      </c>
      <c r="F3996" s="1">
        <v>1</v>
      </c>
      <c r="G3996" s="1">
        <v>0</v>
      </c>
      <c r="H3996" s="6">
        <f>INT(Query1[[#This Row],[EntryDateTime]])</f>
        <v>44665</v>
      </c>
      <c r="I3996" s="1">
        <f>IF(Query1[[#This Row],[ItemType]]="EVAP KIT SF GEN IV",Query1[[#This Row],[OrderQty]]+I3995,I3995)</f>
        <v>4965</v>
      </c>
      <c r="J3996" s="1">
        <f>IF(Query1[[#This Row],[ItemType]]="EVAP KIT UNIVERSAL",Query1[[#This Row],[OrderQty]]+J3995,J3995)</f>
        <v>1651</v>
      </c>
      <c r="K3996" s="1">
        <f>Query1[[#This Row],[SF Running Total]]+Query1[[#This Row],[UNIV Running Total]]</f>
        <v>6616</v>
      </c>
      <c r="L3996">
        <f>VLOOKUP(Query1[[#This Row],[Description]],'kits to boards'!$B$2:$E$156,2,FALSE)</f>
        <v>830094</v>
      </c>
      <c r="M3996">
        <f>VLOOKUP(Query1[[#This Row],[Description]],'kits to boards'!$B$2:$E$156,3,FALSE)</f>
        <v>0</v>
      </c>
      <c r="N3996">
        <f>VLOOKUP(Query1[[#This Row],[Description]],'kits to boards'!$B$2:$E$156,4,FALSE)</f>
        <v>0</v>
      </c>
      <c r="O3996" t="str">
        <f>CONCATENATE(Query1[[#This Row],[Description]]," - ",Query1[[#This Row],[MB1]]," - ",Query1[[#This Row],[MB2]]," - ",Query1[[#This Row],[MB3]])</f>
        <v>EVAP KIT 74-76 VETTE W/AC - 830094 - 0 - 0</v>
      </c>
    </row>
    <row r="3997" spans="1:15" x14ac:dyDescent="0.25">
      <c r="A3997" s="1">
        <v>919755</v>
      </c>
      <c r="B3997" s="1" t="s">
        <v>90</v>
      </c>
      <c r="C3997" s="1" t="s">
        <v>91</v>
      </c>
      <c r="D3997" s="2">
        <v>44665.426944872685</v>
      </c>
      <c r="E3997" s="1" t="s">
        <v>8</v>
      </c>
      <c r="F3997" s="1">
        <v>1</v>
      </c>
      <c r="G3997" s="1">
        <v>0</v>
      </c>
      <c r="H3997" s="6">
        <f>INT(Query1[[#This Row],[EntryDateTime]])</f>
        <v>44665</v>
      </c>
      <c r="I3997" s="1">
        <f>IF(Query1[[#This Row],[ItemType]]="EVAP KIT SF GEN IV",Query1[[#This Row],[OrderQty]]+I3996,I3996)</f>
        <v>4966</v>
      </c>
      <c r="J3997" s="1">
        <f>IF(Query1[[#This Row],[ItemType]]="EVAP KIT UNIVERSAL",Query1[[#This Row],[OrderQty]]+J3996,J3996)</f>
        <v>1651</v>
      </c>
      <c r="K3997" s="1">
        <f>Query1[[#This Row],[SF Running Total]]+Query1[[#This Row],[UNIV Running Total]]</f>
        <v>6617</v>
      </c>
      <c r="L3997">
        <f>VLOOKUP(Query1[[#This Row],[Description]],'kits to boards'!$B$2:$E$156,2,FALSE)</f>
        <v>830105</v>
      </c>
      <c r="M3997">
        <f>VLOOKUP(Query1[[#This Row],[Description]],'kits to boards'!$B$2:$E$156,3,FALSE)</f>
        <v>830106</v>
      </c>
      <c r="N3997">
        <f>VLOOKUP(Query1[[#This Row],[Description]],'kits to boards'!$B$2:$E$156,4,FALSE)</f>
        <v>0</v>
      </c>
      <c r="O3997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3998" spans="1:15" x14ac:dyDescent="0.25">
      <c r="A3998" s="1">
        <v>919760</v>
      </c>
      <c r="B3998" s="1" t="s">
        <v>244</v>
      </c>
      <c r="C3998" s="1" t="s">
        <v>245</v>
      </c>
      <c r="D3998" s="2">
        <v>44665.428552280093</v>
      </c>
      <c r="E3998" s="1" t="s">
        <v>8</v>
      </c>
      <c r="F3998" s="1">
        <v>1</v>
      </c>
      <c r="G3998" s="1">
        <v>0</v>
      </c>
      <c r="H3998" s="6">
        <f>INT(Query1[[#This Row],[EntryDateTime]])</f>
        <v>44665</v>
      </c>
      <c r="I3998" s="1">
        <f>IF(Query1[[#This Row],[ItemType]]="EVAP KIT SF GEN IV",Query1[[#This Row],[OrderQty]]+I3997,I3997)</f>
        <v>4967</v>
      </c>
      <c r="J3998" s="1">
        <f>IF(Query1[[#This Row],[ItemType]]="EVAP KIT UNIVERSAL",Query1[[#This Row],[OrderQty]]+J3997,J3997)</f>
        <v>1651</v>
      </c>
      <c r="K3998" s="1">
        <f>Query1[[#This Row],[SF Running Total]]+Query1[[#This Row],[UNIV Running Total]]</f>
        <v>6618</v>
      </c>
      <c r="L3998">
        <f>VLOOKUP(Query1[[#This Row],[Description]],'kits to boards'!$B$2:$E$156,2,FALSE)</f>
        <v>830100</v>
      </c>
      <c r="M3998">
        <f>VLOOKUP(Query1[[#This Row],[Description]],'kits to boards'!$B$2:$E$156,3,FALSE)</f>
        <v>0</v>
      </c>
      <c r="N3998">
        <f>VLOOKUP(Query1[[#This Row],[Description]],'kits to boards'!$B$2:$E$156,4,FALSE)</f>
        <v>0</v>
      </c>
      <c r="O3998" t="str">
        <f>CONCATENATE(Query1[[#This Row],[Description]]," - ",Query1[[#This Row],[MB1]]," - ",Query1[[#This Row],[MB2]]," - ",Query1[[#This Row],[MB3]])</f>
        <v>EVAP KIT 68-76 VETTE WO AC - 830100 - 0 - 0</v>
      </c>
    </row>
    <row r="3999" spans="1:15" x14ac:dyDescent="0.25">
      <c r="A3999" s="1">
        <v>919763</v>
      </c>
      <c r="B3999" s="1" t="s">
        <v>94</v>
      </c>
      <c r="C3999" s="1" t="s">
        <v>95</v>
      </c>
      <c r="D3999" s="2">
        <v>44665.43718966435</v>
      </c>
      <c r="E3999" s="1" t="s">
        <v>8</v>
      </c>
      <c r="F3999" s="1">
        <v>1</v>
      </c>
      <c r="G3999" s="1">
        <v>0</v>
      </c>
      <c r="H3999" s="6">
        <f>INT(Query1[[#This Row],[EntryDateTime]])</f>
        <v>44665</v>
      </c>
      <c r="I3999" s="1">
        <f>IF(Query1[[#This Row],[ItemType]]="EVAP KIT SF GEN IV",Query1[[#This Row],[OrderQty]]+I3998,I3998)</f>
        <v>4968</v>
      </c>
      <c r="J3999" s="1">
        <f>IF(Query1[[#This Row],[ItemType]]="EVAP KIT UNIVERSAL",Query1[[#This Row],[OrderQty]]+J3998,J3998)</f>
        <v>1651</v>
      </c>
      <c r="K3999" s="1">
        <f>Query1[[#This Row],[SF Running Total]]+Query1[[#This Row],[UNIV Running Total]]</f>
        <v>6619</v>
      </c>
      <c r="L3999">
        <f>VLOOKUP(Query1[[#This Row],[Description]],'kits to boards'!$B$2:$E$156,2,FALSE)</f>
        <v>830076</v>
      </c>
      <c r="M3999">
        <f>VLOOKUP(Query1[[#This Row],[Description]],'kits to boards'!$B$2:$E$156,3,FALSE)</f>
        <v>0</v>
      </c>
      <c r="N3999">
        <f>VLOOKUP(Query1[[#This Row],[Description]],'kits to boards'!$B$2:$E$156,4,FALSE)</f>
        <v>0</v>
      </c>
      <c r="O3999" t="str">
        <f>CONCATENATE(Query1[[#This Row],[Description]]," - ",Query1[[#This Row],[MB1]]," - ",Query1[[#This Row],[MB2]]," - ",Query1[[#This Row],[MB3]])</f>
        <v>EVAP KIT 64 1/2- 66 MUSTANG  - 830076 - 0 - 0</v>
      </c>
    </row>
    <row r="4000" spans="1:15" x14ac:dyDescent="0.25">
      <c r="A4000" s="1">
        <v>919767</v>
      </c>
      <c r="B4000" s="1" t="s">
        <v>20</v>
      </c>
      <c r="C4000" s="1" t="s">
        <v>21</v>
      </c>
      <c r="D4000" s="2">
        <v>44665.451148113425</v>
      </c>
      <c r="E4000" s="1" t="s">
        <v>11</v>
      </c>
      <c r="F4000" s="1">
        <v>1</v>
      </c>
      <c r="G4000" s="1">
        <v>0</v>
      </c>
      <c r="H4000" s="6">
        <f>INT(Query1[[#This Row],[EntryDateTime]])</f>
        <v>44665</v>
      </c>
      <c r="I4000" s="1">
        <f>IF(Query1[[#This Row],[ItemType]]="EVAP KIT SF GEN IV",Query1[[#This Row],[OrderQty]]+I3999,I3999)</f>
        <v>4968</v>
      </c>
      <c r="J4000" s="1">
        <f>IF(Query1[[#This Row],[ItemType]]="EVAP KIT UNIVERSAL",Query1[[#This Row],[OrderQty]]+J3999,J3999)</f>
        <v>1652</v>
      </c>
      <c r="K4000" s="1">
        <f>Query1[[#This Row],[SF Running Total]]+Query1[[#This Row],[UNIV Running Total]]</f>
        <v>6620</v>
      </c>
      <c r="L4000">
        <f>VLOOKUP(Query1[[#This Row],[Description]],'kits to boards'!$B$2:$E$156,2,FALSE)</f>
        <v>830102</v>
      </c>
      <c r="M4000">
        <f>VLOOKUP(Query1[[#This Row],[Description]],'kits to boards'!$B$2:$E$156,3,FALSE)</f>
        <v>0</v>
      </c>
      <c r="N4000">
        <f>VLOOKUP(Query1[[#This Row],[Description]],'kits to boards'!$B$2:$E$156,4,FALSE)</f>
        <v>0</v>
      </c>
      <c r="O4000" t="str">
        <f>CONCATENATE(Query1[[#This Row],[Description]]," - ",Query1[[#This Row],[MB1]]," - ",Query1[[#This Row],[MB2]]," - ",Query1[[#This Row],[MB3]])</f>
        <v>SUPER GEN II W/DEF - 830102 - 0 - 0</v>
      </c>
    </row>
    <row r="4001" spans="1:15" x14ac:dyDescent="0.25">
      <c r="A4001" s="1">
        <v>919774</v>
      </c>
      <c r="B4001" s="1" t="s">
        <v>96</v>
      </c>
      <c r="C4001" s="1" t="s">
        <v>97</v>
      </c>
      <c r="D4001" s="2">
        <v>44665.457493946757</v>
      </c>
      <c r="E4001" s="1" t="s">
        <v>8</v>
      </c>
      <c r="F4001" s="1">
        <v>1</v>
      </c>
      <c r="G4001" s="1">
        <v>0</v>
      </c>
      <c r="H4001" s="6">
        <f>INT(Query1[[#This Row],[EntryDateTime]])</f>
        <v>44665</v>
      </c>
      <c r="I4001" s="1">
        <f>IF(Query1[[#This Row],[ItemType]]="EVAP KIT SF GEN IV",Query1[[#This Row],[OrderQty]]+I4000,I4000)</f>
        <v>4969</v>
      </c>
      <c r="J4001" s="1">
        <f>IF(Query1[[#This Row],[ItemType]]="EVAP KIT UNIVERSAL",Query1[[#This Row],[OrderQty]]+J4000,J4000)</f>
        <v>1652</v>
      </c>
      <c r="K4001" s="1">
        <f>Query1[[#This Row],[SF Running Total]]+Query1[[#This Row],[UNIV Running Total]]</f>
        <v>6621</v>
      </c>
      <c r="L4001">
        <f>VLOOKUP(Query1[[#This Row],[Description]],'kits to boards'!$B$2:$E$156,2,FALSE)</f>
        <v>830004</v>
      </c>
      <c r="M4001">
        <f>VLOOKUP(Query1[[#This Row],[Description]],'kits to boards'!$B$2:$E$156,3,FALSE)</f>
        <v>0</v>
      </c>
      <c r="N4001">
        <f>VLOOKUP(Query1[[#This Row],[Description]],'kits to boards'!$B$2:$E$156,4,FALSE)</f>
        <v>0</v>
      </c>
      <c r="O4001" t="str">
        <f>CONCATENATE(Query1[[#This Row],[Description]]," - ",Query1[[#This Row],[MB1]]," - ",Query1[[#This Row],[MB2]]," - ",Query1[[#This Row],[MB3]])</f>
        <v>EVAP KIT 81-87 CHEV P-UP W/AC - 830004 - 0 - 0</v>
      </c>
    </row>
    <row r="4002" spans="1:15" x14ac:dyDescent="0.25">
      <c r="A4002" s="1">
        <v>919776</v>
      </c>
      <c r="B4002" s="1" t="s">
        <v>192</v>
      </c>
      <c r="C4002" s="1" t="s">
        <v>193</v>
      </c>
      <c r="D4002" s="2">
        <v>44665.459626655094</v>
      </c>
      <c r="E4002" s="1" t="s">
        <v>8</v>
      </c>
      <c r="F4002" s="1">
        <v>1</v>
      </c>
      <c r="G4002" s="1">
        <v>0</v>
      </c>
      <c r="H4002" s="6">
        <f>INT(Query1[[#This Row],[EntryDateTime]])</f>
        <v>44665</v>
      </c>
      <c r="I4002" s="1">
        <f>IF(Query1[[#This Row],[ItemType]]="EVAP KIT SF GEN IV",Query1[[#This Row],[OrderQty]]+I4001,I4001)</f>
        <v>4970</v>
      </c>
      <c r="J4002" s="1">
        <f>IF(Query1[[#This Row],[ItemType]]="EVAP KIT UNIVERSAL",Query1[[#This Row],[OrderQty]]+J4001,J4001)</f>
        <v>1652</v>
      </c>
      <c r="K4002" s="1">
        <f>Query1[[#This Row],[SF Running Total]]+Query1[[#This Row],[UNIV Running Total]]</f>
        <v>6622</v>
      </c>
      <c r="L4002">
        <f>VLOOKUP(Query1[[#This Row],[Description]],'kits to boards'!$B$2:$E$156,2,FALSE)</f>
        <v>830094</v>
      </c>
      <c r="M4002">
        <f>VLOOKUP(Query1[[#This Row],[Description]],'kits to boards'!$B$2:$E$156,3,FALSE)</f>
        <v>0</v>
      </c>
      <c r="N4002">
        <f>VLOOKUP(Query1[[#This Row],[Description]],'kits to boards'!$B$2:$E$156,4,FALSE)</f>
        <v>0</v>
      </c>
      <c r="O4002" t="str">
        <f>CONCATENATE(Query1[[#This Row],[Description]]," - ",Query1[[#This Row],[MB1]]," - ",Query1[[#This Row],[MB2]]," - ",Query1[[#This Row],[MB3]])</f>
        <v>EVAP KIT 69-73 VETTE W/AC - 830094 - 0 - 0</v>
      </c>
    </row>
    <row r="4003" spans="1:15" x14ac:dyDescent="0.25">
      <c r="A4003" s="1">
        <v>919780</v>
      </c>
      <c r="B4003" s="1" t="s">
        <v>128</v>
      </c>
      <c r="C4003" s="1" t="s">
        <v>129</v>
      </c>
      <c r="D4003" s="2">
        <v>44665.462485729164</v>
      </c>
      <c r="E4003" s="1" t="s">
        <v>8</v>
      </c>
      <c r="F4003" s="1">
        <v>1</v>
      </c>
      <c r="G4003" s="1">
        <v>0</v>
      </c>
      <c r="H4003" s="6">
        <f>INT(Query1[[#This Row],[EntryDateTime]])</f>
        <v>44665</v>
      </c>
      <c r="I4003" s="1">
        <f>IF(Query1[[#This Row],[ItemType]]="EVAP KIT SF GEN IV",Query1[[#This Row],[OrderQty]]+I4002,I4002)</f>
        <v>4971</v>
      </c>
      <c r="J4003" s="1">
        <f>IF(Query1[[#This Row],[ItemType]]="EVAP KIT UNIVERSAL",Query1[[#This Row],[OrderQty]]+J4002,J4002)</f>
        <v>1652</v>
      </c>
      <c r="K4003" s="1">
        <f>Query1[[#This Row],[SF Running Total]]+Query1[[#This Row],[UNIV Running Total]]</f>
        <v>6623</v>
      </c>
      <c r="L4003">
        <f>VLOOKUP(Query1[[#This Row],[Description]],'kits to boards'!$B$2:$E$156,2,FALSE)</f>
        <v>830036</v>
      </c>
      <c r="M4003">
        <f>VLOOKUP(Query1[[#This Row],[Description]],'kits to boards'!$B$2:$E$156,3,FALSE)</f>
        <v>830039</v>
      </c>
      <c r="N4003">
        <f>VLOOKUP(Query1[[#This Row],[Description]],'kits to boards'!$B$2:$E$156,4,FALSE)</f>
        <v>0</v>
      </c>
      <c r="O4003" t="str">
        <f>CONCATENATE(Query1[[#This Row],[Description]]," - ",Query1[[#This Row],[MB1]]," - ",Query1[[#This Row],[MB2]]," - ",Query1[[#This Row],[MB3]])</f>
        <v>EVAP KIT 63-66 VETTE WO AC - 830036 - 830039 - 0</v>
      </c>
    </row>
    <row r="4004" spans="1:15" x14ac:dyDescent="0.25">
      <c r="A4004" s="1">
        <v>919783</v>
      </c>
      <c r="B4004" s="1" t="s">
        <v>20</v>
      </c>
      <c r="C4004" s="1" t="s">
        <v>21</v>
      </c>
      <c r="D4004" s="2">
        <v>44665.464854050922</v>
      </c>
      <c r="E4004" s="1" t="s">
        <v>11</v>
      </c>
      <c r="F4004" s="1">
        <v>1</v>
      </c>
      <c r="G4004" s="1">
        <v>0</v>
      </c>
      <c r="H4004" s="6">
        <f>INT(Query1[[#This Row],[EntryDateTime]])</f>
        <v>44665</v>
      </c>
      <c r="I4004" s="1">
        <f>IF(Query1[[#This Row],[ItemType]]="EVAP KIT SF GEN IV",Query1[[#This Row],[OrderQty]]+I4003,I4003)</f>
        <v>4971</v>
      </c>
      <c r="J4004" s="1">
        <f>IF(Query1[[#This Row],[ItemType]]="EVAP KIT UNIVERSAL",Query1[[#This Row],[OrderQty]]+J4003,J4003)</f>
        <v>1653</v>
      </c>
      <c r="K4004" s="1">
        <f>Query1[[#This Row],[SF Running Total]]+Query1[[#This Row],[UNIV Running Total]]</f>
        <v>6624</v>
      </c>
      <c r="L4004">
        <f>VLOOKUP(Query1[[#This Row],[Description]],'kits to boards'!$B$2:$E$156,2,FALSE)</f>
        <v>830102</v>
      </c>
      <c r="M4004">
        <f>VLOOKUP(Query1[[#This Row],[Description]],'kits to boards'!$B$2:$E$156,3,FALSE)</f>
        <v>0</v>
      </c>
      <c r="N4004">
        <f>VLOOKUP(Query1[[#This Row],[Description]],'kits to boards'!$B$2:$E$156,4,FALSE)</f>
        <v>0</v>
      </c>
      <c r="O4004" t="str">
        <f>CONCATENATE(Query1[[#This Row],[Description]]," - ",Query1[[#This Row],[MB1]]," - ",Query1[[#This Row],[MB2]]," - ",Query1[[#This Row],[MB3]])</f>
        <v>SUPER GEN II W/DEF - 830102 - 0 - 0</v>
      </c>
    </row>
    <row r="4005" spans="1:15" x14ac:dyDescent="0.25">
      <c r="A4005" s="1">
        <v>919786</v>
      </c>
      <c r="B4005" s="1" t="s">
        <v>128</v>
      </c>
      <c r="C4005" s="1" t="s">
        <v>129</v>
      </c>
      <c r="D4005" s="2">
        <v>44665.469364236109</v>
      </c>
      <c r="E4005" s="1" t="s">
        <v>8</v>
      </c>
      <c r="F4005" s="1">
        <v>1</v>
      </c>
      <c r="G4005" s="1">
        <v>0</v>
      </c>
      <c r="H4005" s="6">
        <f>INT(Query1[[#This Row],[EntryDateTime]])</f>
        <v>44665</v>
      </c>
      <c r="I4005" s="1">
        <f>IF(Query1[[#This Row],[ItemType]]="EVAP KIT SF GEN IV",Query1[[#This Row],[OrderQty]]+I4004,I4004)</f>
        <v>4972</v>
      </c>
      <c r="J4005" s="1">
        <f>IF(Query1[[#This Row],[ItemType]]="EVAP KIT UNIVERSAL",Query1[[#This Row],[OrderQty]]+J4004,J4004)</f>
        <v>1653</v>
      </c>
      <c r="K4005" s="1">
        <f>Query1[[#This Row],[SF Running Total]]+Query1[[#This Row],[UNIV Running Total]]</f>
        <v>6625</v>
      </c>
      <c r="L4005">
        <f>VLOOKUP(Query1[[#This Row],[Description]],'kits to boards'!$B$2:$E$156,2,FALSE)</f>
        <v>830036</v>
      </c>
      <c r="M4005">
        <f>VLOOKUP(Query1[[#This Row],[Description]],'kits to boards'!$B$2:$E$156,3,FALSE)</f>
        <v>830039</v>
      </c>
      <c r="N4005">
        <f>VLOOKUP(Query1[[#This Row],[Description]],'kits to boards'!$B$2:$E$156,4,FALSE)</f>
        <v>0</v>
      </c>
      <c r="O4005" t="str">
        <f>CONCATENATE(Query1[[#This Row],[Description]]," - ",Query1[[#This Row],[MB1]]," - ",Query1[[#This Row],[MB2]]," - ",Query1[[#This Row],[MB3]])</f>
        <v>EVAP KIT 63-66 VETTE WO AC - 830036 - 830039 - 0</v>
      </c>
    </row>
    <row r="4006" spans="1:15" x14ac:dyDescent="0.25">
      <c r="A4006" s="1">
        <v>919787</v>
      </c>
      <c r="B4006" s="1" t="s">
        <v>244</v>
      </c>
      <c r="C4006" s="1" t="s">
        <v>245</v>
      </c>
      <c r="D4006" s="2">
        <v>44665.471320173609</v>
      </c>
      <c r="E4006" s="1" t="s">
        <v>8</v>
      </c>
      <c r="F4006" s="1">
        <v>1</v>
      </c>
      <c r="G4006" s="1">
        <v>0</v>
      </c>
      <c r="H4006" s="6">
        <f>INT(Query1[[#This Row],[EntryDateTime]])</f>
        <v>44665</v>
      </c>
      <c r="I4006" s="1">
        <f>IF(Query1[[#This Row],[ItemType]]="EVAP KIT SF GEN IV",Query1[[#This Row],[OrderQty]]+I4005,I4005)</f>
        <v>4973</v>
      </c>
      <c r="J4006" s="1">
        <f>IF(Query1[[#This Row],[ItemType]]="EVAP KIT UNIVERSAL",Query1[[#This Row],[OrderQty]]+J4005,J4005)</f>
        <v>1653</v>
      </c>
      <c r="K4006" s="1">
        <f>Query1[[#This Row],[SF Running Total]]+Query1[[#This Row],[UNIV Running Total]]</f>
        <v>6626</v>
      </c>
      <c r="L4006">
        <f>VLOOKUP(Query1[[#This Row],[Description]],'kits to boards'!$B$2:$E$156,2,FALSE)</f>
        <v>830100</v>
      </c>
      <c r="M4006">
        <f>VLOOKUP(Query1[[#This Row],[Description]],'kits to boards'!$B$2:$E$156,3,FALSE)</f>
        <v>0</v>
      </c>
      <c r="N4006">
        <f>VLOOKUP(Query1[[#This Row],[Description]],'kits to boards'!$B$2:$E$156,4,FALSE)</f>
        <v>0</v>
      </c>
      <c r="O4006" t="str">
        <f>CONCATENATE(Query1[[#This Row],[Description]]," - ",Query1[[#This Row],[MB1]]," - ",Query1[[#This Row],[MB2]]," - ",Query1[[#This Row],[MB3]])</f>
        <v>EVAP KIT 68-76 VETTE WO AC - 830100 - 0 - 0</v>
      </c>
    </row>
    <row r="4007" spans="1:15" x14ac:dyDescent="0.25">
      <c r="A4007" s="1">
        <v>919790</v>
      </c>
      <c r="B4007" s="1" t="s">
        <v>98</v>
      </c>
      <c r="C4007" s="1" t="s">
        <v>99</v>
      </c>
      <c r="D4007" s="2">
        <v>44665.473420289352</v>
      </c>
      <c r="E4007" s="1" t="s">
        <v>11</v>
      </c>
      <c r="F4007" s="1">
        <v>1</v>
      </c>
      <c r="G4007" s="1">
        <v>0</v>
      </c>
      <c r="H4007" s="6">
        <f>INT(Query1[[#This Row],[EntryDateTime]])</f>
        <v>44665</v>
      </c>
      <c r="I4007" s="1">
        <f>IF(Query1[[#This Row],[ItemType]]="EVAP KIT SF GEN IV",Query1[[#This Row],[OrderQty]]+I4006,I4006)</f>
        <v>4973</v>
      </c>
      <c r="J4007" s="1">
        <f>IF(Query1[[#This Row],[ItemType]]="EVAP KIT UNIVERSAL",Query1[[#This Row],[OrderQty]]+J4006,J4006)</f>
        <v>1654</v>
      </c>
      <c r="K4007" s="1">
        <f>Query1[[#This Row],[SF Running Total]]+Query1[[#This Row],[UNIV Running Total]]</f>
        <v>6627</v>
      </c>
      <c r="L4007">
        <f>VLOOKUP(Query1[[#This Row],[Description]],'kits to boards'!$B$2:$E$156,2,FALSE)</f>
        <v>830099</v>
      </c>
      <c r="M4007">
        <f>VLOOKUP(Query1[[#This Row],[Description]],'kits to boards'!$B$2:$E$156,3,FALSE)</f>
        <v>0</v>
      </c>
      <c r="N4007">
        <f>VLOOKUP(Query1[[#This Row],[Description]],'kits to boards'!$B$2:$E$156,4,FALSE)</f>
        <v>0</v>
      </c>
      <c r="O4007" t="str">
        <f>CONCATENATE(Query1[[#This Row],[Description]]," - ",Query1[[#This Row],[MB1]]," - ",Query1[[#This Row],[MB2]]," - ",Query1[[#This Row],[MB3]])</f>
        <v>MINI GEN II W/DEF - 830099 - 0 - 0</v>
      </c>
    </row>
    <row r="4008" spans="1:15" x14ac:dyDescent="0.25">
      <c r="A4008" s="1">
        <v>919354</v>
      </c>
      <c r="B4008" s="1" t="s">
        <v>152</v>
      </c>
      <c r="C4008" s="1" t="s">
        <v>153</v>
      </c>
      <c r="D4008" s="2">
        <v>44665.474873692132</v>
      </c>
      <c r="E4008" s="1" t="s">
        <v>8</v>
      </c>
      <c r="F4008" s="1">
        <v>1</v>
      </c>
      <c r="G4008" s="1">
        <v>0</v>
      </c>
      <c r="H4008" s="6">
        <f>INT(Query1[[#This Row],[EntryDateTime]])</f>
        <v>44665</v>
      </c>
      <c r="I4008" s="1">
        <f>IF(Query1[[#This Row],[ItemType]]="EVAP KIT SF GEN IV",Query1[[#This Row],[OrderQty]]+I4007,I4007)</f>
        <v>4974</v>
      </c>
      <c r="J4008" s="1">
        <f>IF(Query1[[#This Row],[ItemType]]="EVAP KIT UNIVERSAL",Query1[[#This Row],[OrderQty]]+J4007,J4007)</f>
        <v>1654</v>
      </c>
      <c r="K4008" s="1">
        <f>Query1[[#This Row],[SF Running Total]]+Query1[[#This Row],[UNIV Running Total]]</f>
        <v>6628</v>
      </c>
      <c r="L4008">
        <f>VLOOKUP(Query1[[#This Row],[Description]],'kits to boards'!$B$2:$E$156,2,FALSE)</f>
        <v>830034</v>
      </c>
      <c r="M4008">
        <f>VLOOKUP(Query1[[#This Row],[Description]],'kits to boards'!$B$2:$E$156,3,FALSE)</f>
        <v>0</v>
      </c>
      <c r="N4008">
        <f>VLOOKUP(Query1[[#This Row],[Description]],'kits to boards'!$B$2:$E$156,4,FALSE)</f>
        <v>0</v>
      </c>
      <c r="O4008" t="str">
        <f>CONCATENATE(Query1[[#This Row],[Description]]," - ",Query1[[#This Row],[MB1]]," - ",Query1[[#This Row],[MB2]]," - ",Query1[[#This Row],[MB3]])</f>
        <v>EVAP KIT 64-67 GTO WO AC - 830034 - 0 - 0</v>
      </c>
    </row>
    <row r="4009" spans="1:15" x14ac:dyDescent="0.25">
      <c r="A4009" s="1">
        <v>919791</v>
      </c>
      <c r="B4009" s="1" t="s">
        <v>24</v>
      </c>
      <c r="C4009" s="1" t="s">
        <v>25</v>
      </c>
      <c r="D4009" s="2">
        <v>44665.481484143522</v>
      </c>
      <c r="E4009" s="1" t="s">
        <v>11</v>
      </c>
      <c r="F4009" s="1">
        <v>1</v>
      </c>
      <c r="G4009" s="1">
        <v>0</v>
      </c>
      <c r="H4009" s="6">
        <f>INT(Query1[[#This Row],[EntryDateTime]])</f>
        <v>44665</v>
      </c>
      <c r="I4009" s="1">
        <f>IF(Query1[[#This Row],[ItemType]]="EVAP KIT SF GEN IV",Query1[[#This Row],[OrderQty]]+I4008,I4008)</f>
        <v>4974</v>
      </c>
      <c r="J4009" s="1">
        <f>IF(Query1[[#This Row],[ItemType]]="EVAP KIT UNIVERSAL",Query1[[#This Row],[OrderQty]]+J4008,J4008)</f>
        <v>1655</v>
      </c>
      <c r="K4009" s="1">
        <f>Query1[[#This Row],[SF Running Total]]+Query1[[#This Row],[UNIV Running Total]]</f>
        <v>6629</v>
      </c>
      <c r="L4009">
        <f>VLOOKUP(Query1[[#This Row],[Description]],'kits to boards'!$B$2:$E$156,2,FALSE)</f>
        <v>830029</v>
      </c>
      <c r="M4009">
        <f>VLOOKUP(Query1[[#This Row],[Description]],'kits to boards'!$B$2:$E$156,3,FALSE)</f>
        <v>830030</v>
      </c>
      <c r="N4009">
        <f>VLOOKUP(Query1[[#This Row],[Description]],'kits to boards'!$B$2:$E$156,4,FALSE)</f>
        <v>0</v>
      </c>
      <c r="O4009" t="str">
        <f>CONCATENATE(Query1[[#This Row],[Description]]," - ",Query1[[#This Row],[MB1]]," - ",Query1[[#This Row],[MB2]]," - ",Query1[[#This Row],[MB3]])</f>
        <v>ComPac GEN II W/DEF - 830029 - 830030 - 0</v>
      </c>
    </row>
    <row r="4010" spans="1:15" x14ac:dyDescent="0.25">
      <c r="A4010" s="1">
        <v>919797</v>
      </c>
      <c r="B4010" s="1" t="s">
        <v>112</v>
      </c>
      <c r="C4010" s="1" t="s">
        <v>113</v>
      </c>
      <c r="D4010" s="2">
        <v>44665.502200428244</v>
      </c>
      <c r="E4010" s="1" t="s">
        <v>8</v>
      </c>
      <c r="F4010" s="1">
        <v>1</v>
      </c>
      <c r="G4010" s="1">
        <v>0</v>
      </c>
      <c r="H4010" s="6">
        <f>INT(Query1[[#This Row],[EntryDateTime]])</f>
        <v>44665</v>
      </c>
      <c r="I4010" s="1">
        <f>IF(Query1[[#This Row],[ItemType]]="EVAP KIT SF GEN IV",Query1[[#This Row],[OrderQty]]+I4009,I4009)</f>
        <v>4975</v>
      </c>
      <c r="J4010" s="1">
        <f>IF(Query1[[#This Row],[ItemType]]="EVAP KIT UNIVERSAL",Query1[[#This Row],[OrderQty]]+J4009,J4009)</f>
        <v>1655</v>
      </c>
      <c r="K4010" s="1">
        <f>Query1[[#This Row],[SF Running Total]]+Query1[[#This Row],[UNIV Running Total]]</f>
        <v>6630</v>
      </c>
      <c r="L4010">
        <f>VLOOKUP(Query1[[#This Row],[Description]],'kits to boards'!$B$2:$E$156,2,FALSE)</f>
        <v>830063</v>
      </c>
      <c r="M4010">
        <f>VLOOKUP(Query1[[#This Row],[Description]],'kits to boards'!$B$2:$E$156,3,FALSE)</f>
        <v>0</v>
      </c>
      <c r="N4010">
        <f>VLOOKUP(Query1[[#This Row],[Description]],'kits to boards'!$B$2:$E$156,4,FALSE)</f>
        <v>0</v>
      </c>
      <c r="O4010" t="str">
        <f>CONCATENATE(Query1[[#This Row],[Description]]," - ",Query1[[#This Row],[MB1]]," - ",Query1[[#This Row],[MB2]]," - ",Query1[[#This Row],[MB3]])</f>
        <v>EVAP KIT 54-55 CHEV P-UP GEN IV - 830063 - 0 - 0</v>
      </c>
    </row>
    <row r="4011" spans="1:15" x14ac:dyDescent="0.25">
      <c r="A4011" s="1">
        <v>919805</v>
      </c>
      <c r="B4011" s="1" t="s">
        <v>12</v>
      </c>
      <c r="C4011" s="1" t="s">
        <v>13</v>
      </c>
      <c r="D4011" s="2">
        <v>44665.528251388889</v>
      </c>
      <c r="E4011" s="1" t="s">
        <v>8</v>
      </c>
      <c r="F4011" s="1">
        <v>1</v>
      </c>
      <c r="G4011" s="1">
        <v>0</v>
      </c>
      <c r="H4011" s="6">
        <f>INT(Query1[[#This Row],[EntryDateTime]])</f>
        <v>44665</v>
      </c>
      <c r="I4011" s="1">
        <f>IF(Query1[[#This Row],[ItemType]]="EVAP KIT SF GEN IV",Query1[[#This Row],[OrderQty]]+I4010,I4010)</f>
        <v>4976</v>
      </c>
      <c r="J4011" s="1">
        <f>IF(Query1[[#This Row],[ItemType]]="EVAP KIT UNIVERSAL",Query1[[#This Row],[OrderQty]]+J4010,J4010)</f>
        <v>1655</v>
      </c>
      <c r="K4011" s="1">
        <f>Query1[[#This Row],[SF Running Total]]+Query1[[#This Row],[UNIV Running Total]]</f>
        <v>6631</v>
      </c>
      <c r="L4011">
        <f>VLOOKUP(Query1[[#This Row],[Description]],'kits to boards'!$B$2:$E$156,2,FALSE)</f>
        <v>830079</v>
      </c>
      <c r="M4011">
        <f>VLOOKUP(Query1[[#This Row],[Description]],'kits to boards'!$B$2:$E$156,3,FALSE)</f>
        <v>830046</v>
      </c>
      <c r="N4011">
        <f>VLOOKUP(Query1[[#This Row],[Description]],'kits to boards'!$B$2:$E$156,4,FALSE)</f>
        <v>0</v>
      </c>
      <c r="O4011" t="str">
        <f>CONCATENATE(Query1[[#This Row],[Description]]," - ",Query1[[#This Row],[MB1]]," - ",Query1[[#This Row],[MB2]]," - ",Query1[[#This Row],[MB3]])</f>
        <v>EVAP KIT 67-68 MUSTANG/COUGAR W/AC - 830079 - 830046 - 0</v>
      </c>
    </row>
    <row r="4012" spans="1:15" x14ac:dyDescent="0.25">
      <c r="A4012" s="1">
        <v>919807</v>
      </c>
      <c r="B4012" s="1" t="s">
        <v>192</v>
      </c>
      <c r="C4012" s="1" t="s">
        <v>193</v>
      </c>
      <c r="D4012" s="2">
        <v>44665.53089170139</v>
      </c>
      <c r="E4012" s="1" t="s">
        <v>8</v>
      </c>
      <c r="F4012" s="1">
        <v>1</v>
      </c>
      <c r="G4012" s="1">
        <v>0</v>
      </c>
      <c r="H4012" s="6">
        <f>INT(Query1[[#This Row],[EntryDateTime]])</f>
        <v>44665</v>
      </c>
      <c r="I4012" s="1">
        <f>IF(Query1[[#This Row],[ItemType]]="EVAP KIT SF GEN IV",Query1[[#This Row],[OrderQty]]+I4011,I4011)</f>
        <v>4977</v>
      </c>
      <c r="J4012" s="1">
        <f>IF(Query1[[#This Row],[ItemType]]="EVAP KIT UNIVERSAL",Query1[[#This Row],[OrderQty]]+J4011,J4011)</f>
        <v>1655</v>
      </c>
      <c r="K4012" s="1">
        <f>Query1[[#This Row],[SF Running Total]]+Query1[[#This Row],[UNIV Running Total]]</f>
        <v>6632</v>
      </c>
      <c r="L4012">
        <f>VLOOKUP(Query1[[#This Row],[Description]],'kits to boards'!$B$2:$E$156,2,FALSE)</f>
        <v>830094</v>
      </c>
      <c r="M4012">
        <f>VLOOKUP(Query1[[#This Row],[Description]],'kits to boards'!$B$2:$E$156,3,FALSE)</f>
        <v>0</v>
      </c>
      <c r="N4012">
        <f>VLOOKUP(Query1[[#This Row],[Description]],'kits to boards'!$B$2:$E$156,4,FALSE)</f>
        <v>0</v>
      </c>
      <c r="O4012" t="str">
        <f>CONCATENATE(Query1[[#This Row],[Description]]," - ",Query1[[#This Row],[MB1]]," - ",Query1[[#This Row],[MB2]]," - ",Query1[[#This Row],[MB3]])</f>
        <v>EVAP KIT 69-73 VETTE W/AC - 830094 - 0 - 0</v>
      </c>
    </row>
    <row r="4013" spans="1:15" x14ac:dyDescent="0.25">
      <c r="A4013" s="1">
        <v>919808</v>
      </c>
      <c r="B4013" s="1" t="s">
        <v>20</v>
      </c>
      <c r="C4013" s="1" t="s">
        <v>21</v>
      </c>
      <c r="D4013" s="2">
        <v>44665.534391747686</v>
      </c>
      <c r="E4013" s="1" t="s">
        <v>11</v>
      </c>
      <c r="F4013" s="1">
        <v>1</v>
      </c>
      <c r="G4013" s="1">
        <v>0</v>
      </c>
      <c r="H4013" s="6">
        <f>INT(Query1[[#This Row],[EntryDateTime]])</f>
        <v>44665</v>
      </c>
      <c r="I4013" s="1">
        <f>IF(Query1[[#This Row],[ItemType]]="EVAP KIT SF GEN IV",Query1[[#This Row],[OrderQty]]+I4012,I4012)</f>
        <v>4977</v>
      </c>
      <c r="J4013" s="1">
        <f>IF(Query1[[#This Row],[ItemType]]="EVAP KIT UNIVERSAL",Query1[[#This Row],[OrderQty]]+J4012,J4012)</f>
        <v>1656</v>
      </c>
      <c r="K4013" s="1">
        <f>Query1[[#This Row],[SF Running Total]]+Query1[[#This Row],[UNIV Running Total]]</f>
        <v>6633</v>
      </c>
      <c r="L4013">
        <f>VLOOKUP(Query1[[#This Row],[Description]],'kits to boards'!$B$2:$E$156,2,FALSE)</f>
        <v>830102</v>
      </c>
      <c r="M4013">
        <f>VLOOKUP(Query1[[#This Row],[Description]],'kits to boards'!$B$2:$E$156,3,FALSE)</f>
        <v>0</v>
      </c>
      <c r="N4013">
        <f>VLOOKUP(Query1[[#This Row],[Description]],'kits to boards'!$B$2:$E$156,4,FALSE)</f>
        <v>0</v>
      </c>
      <c r="O4013" t="str">
        <f>CONCATENATE(Query1[[#This Row],[Description]]," - ",Query1[[#This Row],[MB1]]," - ",Query1[[#This Row],[MB2]]," - ",Query1[[#This Row],[MB3]])</f>
        <v>SUPER GEN II W/DEF - 830102 - 0 - 0</v>
      </c>
    </row>
    <row r="4014" spans="1:15" x14ac:dyDescent="0.25">
      <c r="A4014" s="1">
        <v>919809</v>
      </c>
      <c r="B4014" s="1" t="s">
        <v>148</v>
      </c>
      <c r="C4014" s="1" t="s">
        <v>149</v>
      </c>
      <c r="D4014" s="2">
        <v>44665.540478738425</v>
      </c>
      <c r="E4014" s="1" t="s">
        <v>8</v>
      </c>
      <c r="F4014" s="1">
        <v>1</v>
      </c>
      <c r="G4014" s="1">
        <v>0</v>
      </c>
      <c r="H4014" s="6">
        <f>INT(Query1[[#This Row],[EntryDateTime]])</f>
        <v>44665</v>
      </c>
      <c r="I4014" s="1">
        <f>IF(Query1[[#This Row],[ItemType]]="EVAP KIT SF GEN IV",Query1[[#This Row],[OrderQty]]+I4013,I4013)</f>
        <v>4978</v>
      </c>
      <c r="J4014" s="1">
        <f>IF(Query1[[#This Row],[ItemType]]="EVAP KIT UNIVERSAL",Query1[[#This Row],[OrderQty]]+J4013,J4013)</f>
        <v>1656</v>
      </c>
      <c r="K4014" s="1">
        <f>Query1[[#This Row],[SF Running Total]]+Query1[[#This Row],[UNIV Running Total]]</f>
        <v>6634</v>
      </c>
      <c r="L4014">
        <f>VLOOKUP(Query1[[#This Row],[Description]],'kits to boards'!$B$2:$E$156,2,FALSE)</f>
        <v>830098</v>
      </c>
      <c r="M4014">
        <f>VLOOKUP(Query1[[#This Row],[Description]],'kits to boards'!$B$2:$E$156,3,FALSE)</f>
        <v>0</v>
      </c>
      <c r="N4014">
        <f>VLOOKUP(Query1[[#This Row],[Description]],'kits to boards'!$B$2:$E$156,4,FALSE)</f>
        <v>0</v>
      </c>
      <c r="O4014" t="str">
        <f>CONCATENATE(Query1[[#This Row],[Description]]," - ",Query1[[#This Row],[MB1]]," - ",Query1[[#This Row],[MB2]]," - ",Query1[[#This Row],[MB3]])</f>
        <v>EVAP KIT 77 VETTE W/AC - 830098 - 0 - 0</v>
      </c>
    </row>
    <row r="4015" spans="1:15" x14ac:dyDescent="0.25">
      <c r="A4015" s="1">
        <v>919813</v>
      </c>
      <c r="B4015" s="1" t="s">
        <v>128</v>
      </c>
      <c r="C4015" s="1" t="s">
        <v>129</v>
      </c>
      <c r="D4015" s="2">
        <v>44665.548037384258</v>
      </c>
      <c r="E4015" s="1" t="s">
        <v>8</v>
      </c>
      <c r="F4015" s="1">
        <v>1</v>
      </c>
      <c r="G4015" s="1">
        <v>0</v>
      </c>
      <c r="H4015" s="6">
        <f>INT(Query1[[#This Row],[EntryDateTime]])</f>
        <v>44665</v>
      </c>
      <c r="I4015" s="1">
        <f>IF(Query1[[#This Row],[ItemType]]="EVAP KIT SF GEN IV",Query1[[#This Row],[OrderQty]]+I4014,I4014)</f>
        <v>4979</v>
      </c>
      <c r="J4015" s="1">
        <f>IF(Query1[[#This Row],[ItemType]]="EVAP KIT UNIVERSAL",Query1[[#This Row],[OrderQty]]+J4014,J4014)</f>
        <v>1656</v>
      </c>
      <c r="K4015" s="1">
        <f>Query1[[#This Row],[SF Running Total]]+Query1[[#This Row],[UNIV Running Total]]</f>
        <v>6635</v>
      </c>
      <c r="L4015">
        <f>VLOOKUP(Query1[[#This Row],[Description]],'kits to boards'!$B$2:$E$156,2,FALSE)</f>
        <v>830036</v>
      </c>
      <c r="M4015">
        <f>VLOOKUP(Query1[[#This Row],[Description]],'kits to boards'!$B$2:$E$156,3,FALSE)</f>
        <v>830039</v>
      </c>
      <c r="N4015">
        <f>VLOOKUP(Query1[[#This Row],[Description]],'kits to boards'!$B$2:$E$156,4,FALSE)</f>
        <v>0</v>
      </c>
      <c r="O4015" t="str">
        <f>CONCATENATE(Query1[[#This Row],[Description]]," - ",Query1[[#This Row],[MB1]]," - ",Query1[[#This Row],[MB2]]," - ",Query1[[#This Row],[MB3]])</f>
        <v>EVAP KIT 63-66 VETTE WO AC - 830036 - 830039 - 0</v>
      </c>
    </row>
    <row r="4016" spans="1:15" x14ac:dyDescent="0.25">
      <c r="A4016" s="1">
        <v>919557</v>
      </c>
      <c r="B4016" s="1" t="s">
        <v>14</v>
      </c>
      <c r="C4016" s="1" t="s">
        <v>15</v>
      </c>
      <c r="D4016" s="2">
        <v>44665.548263310186</v>
      </c>
      <c r="E4016" s="1" t="s">
        <v>8</v>
      </c>
      <c r="F4016" s="1">
        <v>1</v>
      </c>
      <c r="G4016" s="1">
        <v>0</v>
      </c>
      <c r="H4016" s="6">
        <f>INT(Query1[[#This Row],[EntryDateTime]])</f>
        <v>44665</v>
      </c>
      <c r="I4016" s="1">
        <f>IF(Query1[[#This Row],[ItemType]]="EVAP KIT SF GEN IV",Query1[[#This Row],[OrderQty]]+I4015,I4015)</f>
        <v>4980</v>
      </c>
      <c r="J4016" s="1">
        <f>IF(Query1[[#This Row],[ItemType]]="EVAP KIT UNIVERSAL",Query1[[#This Row],[OrderQty]]+J4015,J4015)</f>
        <v>1656</v>
      </c>
      <c r="K4016" s="1">
        <f>Query1[[#This Row],[SF Running Total]]+Query1[[#This Row],[UNIV Running Total]]</f>
        <v>6636</v>
      </c>
      <c r="L4016">
        <f>VLOOKUP(Query1[[#This Row],[Description]],'kits to boards'!$B$2:$E$156,2,FALSE)</f>
        <v>830054</v>
      </c>
      <c r="M4016">
        <f>VLOOKUP(Query1[[#This Row],[Description]],'kits to boards'!$B$2:$E$156,3,FALSE)</f>
        <v>0</v>
      </c>
      <c r="N4016">
        <f>VLOOKUP(Query1[[#This Row],[Description]],'kits to boards'!$B$2:$E$156,4,FALSE)</f>
        <v>0</v>
      </c>
      <c r="O4016" t="str">
        <f>CONCATENATE(Query1[[#This Row],[Description]]," - ",Query1[[#This Row],[MB1]]," - ",Query1[[#This Row],[MB2]]," - ",Query1[[#This Row],[MB3]])</f>
        <v>EVAP KIT 55-56 CHEVY - 830054 - 0 - 0</v>
      </c>
    </row>
    <row r="4017" spans="1:15" x14ac:dyDescent="0.25">
      <c r="A4017" s="1">
        <v>919811</v>
      </c>
      <c r="B4017" s="1" t="s">
        <v>34</v>
      </c>
      <c r="C4017" s="1" t="s">
        <v>35</v>
      </c>
      <c r="D4017" s="2">
        <v>44665.549144062497</v>
      </c>
      <c r="E4017" s="1" t="s">
        <v>8</v>
      </c>
      <c r="F4017" s="1">
        <v>1</v>
      </c>
      <c r="G4017" s="1">
        <v>0</v>
      </c>
      <c r="H4017" s="6">
        <f>INT(Query1[[#This Row],[EntryDateTime]])</f>
        <v>44665</v>
      </c>
      <c r="I4017" s="1">
        <f>IF(Query1[[#This Row],[ItemType]]="EVAP KIT SF GEN IV",Query1[[#This Row],[OrderQty]]+I4016,I4016)</f>
        <v>4981</v>
      </c>
      <c r="J4017" s="1">
        <f>IF(Query1[[#This Row],[ItemType]]="EVAP KIT UNIVERSAL",Query1[[#This Row],[OrderQty]]+J4016,J4016)</f>
        <v>1656</v>
      </c>
      <c r="K4017" s="1">
        <f>Query1[[#This Row],[SF Running Total]]+Query1[[#This Row],[UNIV Running Total]]</f>
        <v>6637</v>
      </c>
      <c r="L4017">
        <f>VLOOKUP(Query1[[#This Row],[Description]],'kits to boards'!$B$2:$E$156,2,FALSE)</f>
        <v>830065</v>
      </c>
      <c r="M4017">
        <f>VLOOKUP(Query1[[#This Row],[Description]],'kits to boards'!$B$2:$E$156,3,FALSE)</f>
        <v>0</v>
      </c>
      <c r="N4017">
        <f>VLOOKUP(Query1[[#This Row],[Description]],'kits to boards'!$B$2:$E$156,4,FALSE)</f>
        <v>0</v>
      </c>
      <c r="O4017" t="str">
        <f>CONCATENATE(Query1[[#This Row],[Description]]," - ",Query1[[#This Row],[MB1]]," - ",Query1[[#This Row],[MB2]]," - ",Query1[[#This Row],[MB3]])</f>
        <v>EVAP KIT 57 CHEV WO AC - 830065 - 0 - 0</v>
      </c>
    </row>
    <row r="4018" spans="1:15" x14ac:dyDescent="0.25">
      <c r="A4018" s="1">
        <v>919816</v>
      </c>
      <c r="B4018" s="1" t="s">
        <v>128</v>
      </c>
      <c r="C4018" s="1" t="s">
        <v>129</v>
      </c>
      <c r="D4018" s="2">
        <v>44665.552917395835</v>
      </c>
      <c r="E4018" s="1" t="s">
        <v>8</v>
      </c>
      <c r="F4018" s="1">
        <v>1</v>
      </c>
      <c r="G4018" s="1">
        <v>0</v>
      </c>
      <c r="H4018" s="6">
        <f>INT(Query1[[#This Row],[EntryDateTime]])</f>
        <v>44665</v>
      </c>
      <c r="I4018" s="1">
        <f>IF(Query1[[#This Row],[ItemType]]="EVAP KIT SF GEN IV",Query1[[#This Row],[OrderQty]]+I4017,I4017)</f>
        <v>4982</v>
      </c>
      <c r="J4018" s="1">
        <f>IF(Query1[[#This Row],[ItemType]]="EVAP KIT UNIVERSAL",Query1[[#This Row],[OrderQty]]+J4017,J4017)</f>
        <v>1656</v>
      </c>
      <c r="K4018" s="1">
        <f>Query1[[#This Row],[SF Running Total]]+Query1[[#This Row],[UNIV Running Total]]</f>
        <v>6638</v>
      </c>
      <c r="L4018">
        <f>VLOOKUP(Query1[[#This Row],[Description]],'kits to boards'!$B$2:$E$156,2,FALSE)</f>
        <v>830036</v>
      </c>
      <c r="M4018">
        <f>VLOOKUP(Query1[[#This Row],[Description]],'kits to boards'!$B$2:$E$156,3,FALSE)</f>
        <v>830039</v>
      </c>
      <c r="N4018">
        <f>VLOOKUP(Query1[[#This Row],[Description]],'kits to boards'!$B$2:$E$156,4,FALSE)</f>
        <v>0</v>
      </c>
      <c r="O4018" t="str">
        <f>CONCATENATE(Query1[[#This Row],[Description]]," - ",Query1[[#This Row],[MB1]]," - ",Query1[[#This Row],[MB2]]," - ",Query1[[#This Row],[MB3]])</f>
        <v>EVAP KIT 63-66 VETTE WO AC - 830036 - 830039 - 0</v>
      </c>
    </row>
    <row r="4019" spans="1:15" x14ac:dyDescent="0.25">
      <c r="A4019" s="1">
        <v>919819</v>
      </c>
      <c r="B4019" s="1" t="s">
        <v>110</v>
      </c>
      <c r="C4019" s="1" t="s">
        <v>111</v>
      </c>
      <c r="D4019" s="2">
        <v>44665.554626886573</v>
      </c>
      <c r="E4019" s="1" t="s">
        <v>8</v>
      </c>
      <c r="F4019" s="1">
        <v>1</v>
      </c>
      <c r="G4019" s="1">
        <v>0</v>
      </c>
      <c r="H4019" s="6">
        <f>INT(Query1[[#This Row],[EntryDateTime]])</f>
        <v>44665</v>
      </c>
      <c r="I4019" s="1">
        <f>IF(Query1[[#This Row],[ItemType]]="EVAP KIT SF GEN IV",Query1[[#This Row],[OrderQty]]+I4018,I4018)</f>
        <v>4983</v>
      </c>
      <c r="J4019" s="1">
        <f>IF(Query1[[#This Row],[ItemType]]="EVAP KIT UNIVERSAL",Query1[[#This Row],[OrderQty]]+J4018,J4018)</f>
        <v>1656</v>
      </c>
      <c r="K4019" s="1">
        <f>Query1[[#This Row],[SF Running Total]]+Query1[[#This Row],[UNIV Running Total]]</f>
        <v>6639</v>
      </c>
      <c r="L4019">
        <f>VLOOKUP(Query1[[#This Row],[Description]],'kits to boards'!$B$2:$E$156,2,FALSE)</f>
        <v>830053</v>
      </c>
      <c r="M4019">
        <f>VLOOKUP(Query1[[#This Row],[Description]],'kits to boards'!$B$2:$E$156,3,FALSE)</f>
        <v>0</v>
      </c>
      <c r="N4019">
        <f>VLOOKUP(Query1[[#This Row],[Description]],'kits to boards'!$B$2:$E$156,4,FALSE)</f>
        <v>0</v>
      </c>
      <c r="O4019" t="str">
        <f>CONCATENATE(Query1[[#This Row],[Description]]," - ",Query1[[#This Row],[MB1]]," - ",Query1[[#This Row],[MB2]]," - ",Query1[[#This Row],[MB3]])</f>
        <v>EVAP KIT 65-66 FORD F-100 - 830053 - 0 - 0</v>
      </c>
    </row>
    <row r="4020" spans="1:15" x14ac:dyDescent="0.25">
      <c r="A4020" s="1">
        <v>919821</v>
      </c>
      <c r="B4020" s="1" t="s">
        <v>116</v>
      </c>
      <c r="C4020" s="1" t="s">
        <v>117</v>
      </c>
      <c r="D4020" s="2">
        <v>44665.556449999996</v>
      </c>
      <c r="E4020" s="1" t="s">
        <v>8</v>
      </c>
      <c r="F4020" s="1">
        <v>1</v>
      </c>
      <c r="G4020" s="1">
        <v>0</v>
      </c>
      <c r="H4020" s="6">
        <f>INT(Query1[[#This Row],[EntryDateTime]])</f>
        <v>44665</v>
      </c>
      <c r="I4020" s="1">
        <f>IF(Query1[[#This Row],[ItemType]]="EVAP KIT SF GEN IV",Query1[[#This Row],[OrderQty]]+I4019,I4019)</f>
        <v>4984</v>
      </c>
      <c r="J4020" s="1">
        <f>IF(Query1[[#This Row],[ItemType]]="EVAP KIT UNIVERSAL",Query1[[#This Row],[OrderQty]]+J4019,J4019)</f>
        <v>1656</v>
      </c>
      <c r="K4020" s="1">
        <f>Query1[[#This Row],[SF Running Total]]+Query1[[#This Row],[UNIV Running Total]]</f>
        <v>6640</v>
      </c>
      <c r="L4020">
        <f>VLOOKUP(Query1[[#This Row],[Description]],'kits to boards'!$B$2:$E$156,2,FALSE)</f>
        <v>830058</v>
      </c>
      <c r="M4020">
        <f>VLOOKUP(Query1[[#This Row],[Description]],'kits to boards'!$B$2:$E$156,3,FALSE)</f>
        <v>0</v>
      </c>
      <c r="N4020">
        <f>VLOOKUP(Query1[[#This Row],[Description]],'kits to boards'!$B$2:$E$156,4,FALSE)</f>
        <v>0</v>
      </c>
      <c r="O4020" t="str">
        <f>CONCATENATE(Query1[[#This Row],[Description]]," - ",Query1[[#This Row],[MB1]]," - ",Query1[[#This Row],[MB2]]," - ",Query1[[#This Row],[MB3]])</f>
        <v>EVAP KIT 64-65 CHEVELLE WO AC - 830058 - 0 - 0</v>
      </c>
    </row>
    <row r="4021" spans="1:15" x14ac:dyDescent="0.25">
      <c r="A4021" s="1">
        <v>919822</v>
      </c>
      <c r="B4021" s="1" t="s">
        <v>32</v>
      </c>
      <c r="C4021" s="1" t="s">
        <v>33</v>
      </c>
      <c r="D4021" s="2">
        <v>44665.556610300926</v>
      </c>
      <c r="E4021" s="1" t="s">
        <v>8</v>
      </c>
      <c r="F4021" s="1">
        <v>1</v>
      </c>
      <c r="G4021" s="1">
        <v>0</v>
      </c>
      <c r="H4021" s="6">
        <f>INT(Query1[[#This Row],[EntryDateTime]])</f>
        <v>44665</v>
      </c>
      <c r="I4021" s="1">
        <f>IF(Query1[[#This Row],[ItemType]]="EVAP KIT SF GEN IV",Query1[[#This Row],[OrderQty]]+I4020,I4020)</f>
        <v>4985</v>
      </c>
      <c r="J4021" s="1">
        <f>IF(Query1[[#This Row],[ItemType]]="EVAP KIT UNIVERSAL",Query1[[#This Row],[OrderQty]]+J4020,J4020)</f>
        <v>1656</v>
      </c>
      <c r="K4021" s="1">
        <f>Query1[[#This Row],[SF Running Total]]+Query1[[#This Row],[UNIV Running Total]]</f>
        <v>6641</v>
      </c>
      <c r="L4021">
        <f>VLOOKUP(Query1[[#This Row],[Description]],'kits to boards'!$B$2:$E$156,2,FALSE)</f>
        <v>830016</v>
      </c>
      <c r="M4021">
        <f>VLOOKUP(Query1[[#This Row],[Description]],'kits to boards'!$B$2:$E$156,3,FALSE)</f>
        <v>0</v>
      </c>
      <c r="N4021">
        <f>VLOOKUP(Query1[[#This Row],[Description]],'kits to boards'!$B$2:$E$156,4,FALSE)</f>
        <v>0</v>
      </c>
      <c r="O4021" t="str">
        <f>CONCATENATE(Query1[[#This Row],[Description]]," - ",Query1[[#This Row],[MB1]]," - ",Query1[[#This Row],[MB2]]," - ",Query1[[#This Row],[MB3]])</f>
        <v>EVAP KIT 67-68 CAMARO/FIREBIRD W/AC - 830016 - 0 - 0</v>
      </c>
    </row>
    <row r="4022" spans="1:15" x14ac:dyDescent="0.25">
      <c r="A4022" s="1">
        <v>919823</v>
      </c>
      <c r="B4022" s="1" t="s">
        <v>210</v>
      </c>
      <c r="C4022" s="1" t="s">
        <v>211</v>
      </c>
      <c r="D4022" s="2">
        <v>44665.558570335648</v>
      </c>
      <c r="E4022" s="1" t="s">
        <v>8</v>
      </c>
      <c r="F4022" s="1">
        <v>1</v>
      </c>
      <c r="G4022" s="1">
        <v>0</v>
      </c>
      <c r="H4022" s="6">
        <f>INT(Query1[[#This Row],[EntryDateTime]])</f>
        <v>44665</v>
      </c>
      <c r="I4022" s="1">
        <f>IF(Query1[[#This Row],[ItemType]]="EVAP KIT SF GEN IV",Query1[[#This Row],[OrderQty]]+I4021,I4021)</f>
        <v>4986</v>
      </c>
      <c r="J4022" s="1">
        <f>IF(Query1[[#This Row],[ItemType]]="EVAP KIT UNIVERSAL",Query1[[#This Row],[OrderQty]]+J4021,J4021)</f>
        <v>1656</v>
      </c>
      <c r="K4022" s="1">
        <f>Query1[[#This Row],[SF Running Total]]+Query1[[#This Row],[UNIV Running Total]]</f>
        <v>6642</v>
      </c>
      <c r="L4022">
        <f>VLOOKUP(Query1[[#This Row],[Description]],'kits to boards'!$B$2:$E$156,2,FALSE)</f>
        <v>830094</v>
      </c>
      <c r="M4022">
        <f>VLOOKUP(Query1[[#This Row],[Description]],'kits to boards'!$B$2:$E$156,3,FALSE)</f>
        <v>0</v>
      </c>
      <c r="N4022">
        <f>VLOOKUP(Query1[[#This Row],[Description]],'kits to boards'!$B$2:$E$156,4,FALSE)</f>
        <v>0</v>
      </c>
      <c r="O4022" t="str">
        <f>CONCATENATE(Query1[[#This Row],[Description]]," - ",Query1[[#This Row],[MB1]]," - ",Query1[[#This Row],[MB2]]," - ",Query1[[#This Row],[MB3]])</f>
        <v>EVAP KIT 74-76 VETTE W/AC - 830094 - 0 - 0</v>
      </c>
    </row>
    <row r="4023" spans="1:15" x14ac:dyDescent="0.25">
      <c r="A4023" s="1">
        <v>919828</v>
      </c>
      <c r="B4023" s="1" t="s">
        <v>22</v>
      </c>
      <c r="C4023" s="1" t="s">
        <v>23</v>
      </c>
      <c r="D4023" s="2">
        <v>44665.563556250003</v>
      </c>
      <c r="E4023" s="1" t="s">
        <v>8</v>
      </c>
      <c r="F4023" s="1">
        <v>1</v>
      </c>
      <c r="G4023" s="1">
        <v>0</v>
      </c>
      <c r="H4023" s="6">
        <f>INT(Query1[[#This Row],[EntryDateTime]])</f>
        <v>44665</v>
      </c>
      <c r="I4023" s="1">
        <f>IF(Query1[[#This Row],[ItemType]]="EVAP KIT SF GEN IV",Query1[[#This Row],[OrderQty]]+I4022,I4022)</f>
        <v>4987</v>
      </c>
      <c r="J4023" s="1">
        <f>IF(Query1[[#This Row],[ItemType]]="EVAP KIT UNIVERSAL",Query1[[#This Row],[OrderQty]]+J4022,J4022)</f>
        <v>1656</v>
      </c>
      <c r="K4023" s="1">
        <f>Query1[[#This Row],[SF Running Total]]+Query1[[#This Row],[UNIV Running Total]]</f>
        <v>6643</v>
      </c>
      <c r="L4023">
        <f>VLOOKUP(Query1[[#This Row],[Description]],'kits to boards'!$B$2:$E$156,2,FALSE)</f>
        <v>830083</v>
      </c>
      <c r="M4023">
        <f>VLOOKUP(Query1[[#This Row],[Description]],'kits to boards'!$B$2:$E$156,3,FALSE)</f>
        <v>0</v>
      </c>
      <c r="N4023">
        <f>VLOOKUP(Query1[[#This Row],[Description]],'kits to boards'!$B$2:$E$156,4,FALSE)</f>
        <v>0</v>
      </c>
      <c r="O4023" t="str">
        <f>CONCATENATE(Query1[[#This Row],[Description]]," - ",Query1[[#This Row],[MB1]]," - ",Query1[[#This Row],[MB2]]," - ",Query1[[#This Row],[MB3]])</f>
        <v>GEN IV MAGNUM EVAP KIT - 830083 - 0 - 0</v>
      </c>
    </row>
    <row r="4024" spans="1:15" x14ac:dyDescent="0.25">
      <c r="A4024" s="1">
        <v>919827</v>
      </c>
      <c r="B4024" s="1" t="s">
        <v>52</v>
      </c>
      <c r="C4024" s="1" t="s">
        <v>53</v>
      </c>
      <c r="D4024" s="2">
        <v>44665.573314502311</v>
      </c>
      <c r="E4024" s="1" t="s">
        <v>8</v>
      </c>
      <c r="F4024" s="1">
        <v>1</v>
      </c>
      <c r="G4024" s="1">
        <v>0</v>
      </c>
      <c r="H4024" s="6">
        <f>INT(Query1[[#This Row],[EntryDateTime]])</f>
        <v>44665</v>
      </c>
      <c r="I4024" s="1">
        <f>IF(Query1[[#This Row],[ItemType]]="EVAP KIT SF GEN IV",Query1[[#This Row],[OrderQty]]+I4023,I4023)</f>
        <v>4988</v>
      </c>
      <c r="J4024" s="1">
        <f>IF(Query1[[#This Row],[ItemType]]="EVAP KIT UNIVERSAL",Query1[[#This Row],[OrderQty]]+J4023,J4023)</f>
        <v>1656</v>
      </c>
      <c r="K4024" s="1">
        <f>Query1[[#This Row],[SF Running Total]]+Query1[[#This Row],[UNIV Running Total]]</f>
        <v>6644</v>
      </c>
      <c r="L4024">
        <f>VLOOKUP(Query1[[#This Row],[Description]],'kits to boards'!$B$2:$E$156,2,FALSE)</f>
        <v>830017</v>
      </c>
      <c r="M4024">
        <f>VLOOKUP(Query1[[#This Row],[Description]],'kits to boards'!$B$2:$E$156,3,FALSE)</f>
        <v>830119</v>
      </c>
      <c r="N4024">
        <f>VLOOKUP(Query1[[#This Row],[Description]],'kits to boards'!$B$2:$E$156,4,FALSE)</f>
        <v>830120</v>
      </c>
      <c r="O4024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4025" spans="1:15" x14ac:dyDescent="0.25">
      <c r="A4025" s="1">
        <v>919836</v>
      </c>
      <c r="B4025" s="1" t="s">
        <v>128</v>
      </c>
      <c r="C4025" s="1" t="s">
        <v>129</v>
      </c>
      <c r="D4025" s="2">
        <v>44665.578532673608</v>
      </c>
      <c r="E4025" s="1" t="s">
        <v>8</v>
      </c>
      <c r="F4025" s="1">
        <v>1</v>
      </c>
      <c r="G4025" s="1">
        <v>0</v>
      </c>
      <c r="H4025" s="6">
        <f>INT(Query1[[#This Row],[EntryDateTime]])</f>
        <v>44665</v>
      </c>
      <c r="I4025" s="1">
        <f>IF(Query1[[#This Row],[ItemType]]="EVAP KIT SF GEN IV",Query1[[#This Row],[OrderQty]]+I4024,I4024)</f>
        <v>4989</v>
      </c>
      <c r="J4025" s="1">
        <f>IF(Query1[[#This Row],[ItemType]]="EVAP KIT UNIVERSAL",Query1[[#This Row],[OrderQty]]+J4024,J4024)</f>
        <v>1656</v>
      </c>
      <c r="K4025" s="1">
        <f>Query1[[#This Row],[SF Running Total]]+Query1[[#This Row],[UNIV Running Total]]</f>
        <v>6645</v>
      </c>
      <c r="L4025">
        <f>VLOOKUP(Query1[[#This Row],[Description]],'kits to boards'!$B$2:$E$156,2,FALSE)</f>
        <v>830036</v>
      </c>
      <c r="M4025">
        <f>VLOOKUP(Query1[[#This Row],[Description]],'kits to boards'!$B$2:$E$156,3,FALSE)</f>
        <v>830039</v>
      </c>
      <c r="N4025">
        <f>VLOOKUP(Query1[[#This Row],[Description]],'kits to boards'!$B$2:$E$156,4,FALSE)</f>
        <v>0</v>
      </c>
      <c r="O4025" t="str">
        <f>CONCATENATE(Query1[[#This Row],[Description]]," - ",Query1[[#This Row],[MB1]]," - ",Query1[[#This Row],[MB2]]," - ",Query1[[#This Row],[MB3]])</f>
        <v>EVAP KIT 63-66 VETTE WO AC - 830036 - 830039 - 0</v>
      </c>
    </row>
    <row r="4026" spans="1:15" x14ac:dyDescent="0.25">
      <c r="A4026" s="1">
        <v>919845</v>
      </c>
      <c r="B4026" s="1" t="s">
        <v>98</v>
      </c>
      <c r="C4026" s="1" t="s">
        <v>99</v>
      </c>
      <c r="D4026" s="2">
        <v>44665.599910729165</v>
      </c>
      <c r="E4026" s="1" t="s">
        <v>11</v>
      </c>
      <c r="F4026" s="1">
        <v>1</v>
      </c>
      <c r="G4026" s="1">
        <v>0</v>
      </c>
      <c r="H4026" s="6">
        <f>INT(Query1[[#This Row],[EntryDateTime]])</f>
        <v>44665</v>
      </c>
      <c r="I4026" s="1">
        <f>IF(Query1[[#This Row],[ItemType]]="EVAP KIT SF GEN IV",Query1[[#This Row],[OrderQty]]+I4025,I4025)</f>
        <v>4989</v>
      </c>
      <c r="J4026" s="1">
        <f>IF(Query1[[#This Row],[ItemType]]="EVAP KIT UNIVERSAL",Query1[[#This Row],[OrderQty]]+J4025,J4025)</f>
        <v>1657</v>
      </c>
      <c r="K4026" s="1">
        <f>Query1[[#This Row],[SF Running Total]]+Query1[[#This Row],[UNIV Running Total]]</f>
        <v>6646</v>
      </c>
      <c r="L4026">
        <f>VLOOKUP(Query1[[#This Row],[Description]],'kits to boards'!$B$2:$E$156,2,FALSE)</f>
        <v>830099</v>
      </c>
      <c r="M4026">
        <f>VLOOKUP(Query1[[#This Row],[Description]],'kits to boards'!$B$2:$E$156,3,FALSE)</f>
        <v>0</v>
      </c>
      <c r="N4026">
        <f>VLOOKUP(Query1[[#This Row],[Description]],'kits to boards'!$B$2:$E$156,4,FALSE)</f>
        <v>0</v>
      </c>
      <c r="O4026" t="str">
        <f>CONCATENATE(Query1[[#This Row],[Description]]," - ",Query1[[#This Row],[MB1]]," - ",Query1[[#This Row],[MB2]]," - ",Query1[[#This Row],[MB3]])</f>
        <v>MINI GEN II W/DEF - 830099 - 0 - 0</v>
      </c>
    </row>
    <row r="4027" spans="1:15" x14ac:dyDescent="0.25">
      <c r="A4027" s="1">
        <v>919847</v>
      </c>
      <c r="B4027" s="1" t="s">
        <v>22</v>
      </c>
      <c r="C4027" s="1" t="s">
        <v>23</v>
      </c>
      <c r="D4027" s="2">
        <v>44665.601650115743</v>
      </c>
      <c r="E4027" s="1" t="s">
        <v>8</v>
      </c>
      <c r="F4027" s="1">
        <v>2</v>
      </c>
      <c r="G4027" s="1">
        <v>0</v>
      </c>
      <c r="H4027" s="6">
        <f>INT(Query1[[#This Row],[EntryDateTime]])</f>
        <v>44665</v>
      </c>
      <c r="I4027" s="1">
        <f>IF(Query1[[#This Row],[ItemType]]="EVAP KIT SF GEN IV",Query1[[#This Row],[OrderQty]]+I4026,I4026)</f>
        <v>4991</v>
      </c>
      <c r="J4027" s="1">
        <f>IF(Query1[[#This Row],[ItemType]]="EVAP KIT UNIVERSAL",Query1[[#This Row],[OrderQty]]+J4026,J4026)</f>
        <v>1657</v>
      </c>
      <c r="K4027" s="1">
        <f>Query1[[#This Row],[SF Running Total]]+Query1[[#This Row],[UNIV Running Total]]</f>
        <v>6648</v>
      </c>
      <c r="L4027">
        <f>VLOOKUP(Query1[[#This Row],[Description]],'kits to boards'!$B$2:$E$156,2,FALSE)</f>
        <v>830083</v>
      </c>
      <c r="M4027">
        <f>VLOOKUP(Query1[[#This Row],[Description]],'kits to boards'!$B$2:$E$156,3,FALSE)</f>
        <v>0</v>
      </c>
      <c r="N4027">
        <f>VLOOKUP(Query1[[#This Row],[Description]],'kits to boards'!$B$2:$E$156,4,FALSE)</f>
        <v>0</v>
      </c>
      <c r="O4027" t="str">
        <f>CONCATENATE(Query1[[#This Row],[Description]]," - ",Query1[[#This Row],[MB1]]," - ",Query1[[#This Row],[MB2]]," - ",Query1[[#This Row],[MB3]])</f>
        <v>GEN IV MAGNUM EVAP KIT - 830083 - 0 - 0</v>
      </c>
    </row>
    <row r="4028" spans="1:15" x14ac:dyDescent="0.25">
      <c r="A4028" s="1">
        <v>919853</v>
      </c>
      <c r="B4028" s="1" t="s">
        <v>96</v>
      </c>
      <c r="C4028" s="1" t="s">
        <v>97</v>
      </c>
      <c r="D4028" s="2">
        <v>44665.605598842594</v>
      </c>
      <c r="E4028" s="1" t="s">
        <v>8</v>
      </c>
      <c r="F4028" s="1">
        <v>1</v>
      </c>
      <c r="G4028" s="1">
        <v>0</v>
      </c>
      <c r="H4028" s="6">
        <f>INT(Query1[[#This Row],[EntryDateTime]])</f>
        <v>44665</v>
      </c>
      <c r="I4028" s="1">
        <f>IF(Query1[[#This Row],[ItemType]]="EVAP KIT SF GEN IV",Query1[[#This Row],[OrderQty]]+I4027,I4027)</f>
        <v>4992</v>
      </c>
      <c r="J4028" s="1">
        <f>IF(Query1[[#This Row],[ItemType]]="EVAP KIT UNIVERSAL",Query1[[#This Row],[OrderQty]]+J4027,J4027)</f>
        <v>1657</v>
      </c>
      <c r="K4028" s="1">
        <f>Query1[[#This Row],[SF Running Total]]+Query1[[#This Row],[UNIV Running Total]]</f>
        <v>6649</v>
      </c>
      <c r="L4028">
        <f>VLOOKUP(Query1[[#This Row],[Description]],'kits to boards'!$B$2:$E$156,2,FALSE)</f>
        <v>830004</v>
      </c>
      <c r="M4028">
        <f>VLOOKUP(Query1[[#This Row],[Description]],'kits to boards'!$B$2:$E$156,3,FALSE)</f>
        <v>0</v>
      </c>
      <c r="N4028">
        <f>VLOOKUP(Query1[[#This Row],[Description]],'kits to boards'!$B$2:$E$156,4,FALSE)</f>
        <v>0</v>
      </c>
      <c r="O4028" t="str">
        <f>CONCATENATE(Query1[[#This Row],[Description]]," - ",Query1[[#This Row],[MB1]]," - ",Query1[[#This Row],[MB2]]," - ",Query1[[#This Row],[MB3]])</f>
        <v>EVAP KIT 81-87 CHEV P-UP W/AC - 830004 - 0 - 0</v>
      </c>
    </row>
    <row r="4029" spans="1:15" x14ac:dyDescent="0.25">
      <c r="A4029" s="1">
        <v>919854</v>
      </c>
      <c r="B4029" s="1" t="s">
        <v>14</v>
      </c>
      <c r="C4029" s="1" t="s">
        <v>15</v>
      </c>
      <c r="D4029" s="2">
        <v>44665.608011458331</v>
      </c>
      <c r="E4029" s="1" t="s">
        <v>8</v>
      </c>
      <c r="F4029" s="1">
        <v>1</v>
      </c>
      <c r="G4029" s="1">
        <v>0</v>
      </c>
      <c r="H4029" s="6">
        <f>INT(Query1[[#This Row],[EntryDateTime]])</f>
        <v>44665</v>
      </c>
      <c r="I4029" s="1">
        <f>IF(Query1[[#This Row],[ItemType]]="EVAP KIT SF GEN IV",Query1[[#This Row],[OrderQty]]+I4028,I4028)</f>
        <v>4993</v>
      </c>
      <c r="J4029" s="1">
        <f>IF(Query1[[#This Row],[ItemType]]="EVAP KIT UNIVERSAL",Query1[[#This Row],[OrderQty]]+J4028,J4028)</f>
        <v>1657</v>
      </c>
      <c r="K4029" s="1">
        <f>Query1[[#This Row],[SF Running Total]]+Query1[[#This Row],[UNIV Running Total]]</f>
        <v>6650</v>
      </c>
      <c r="L4029">
        <f>VLOOKUP(Query1[[#This Row],[Description]],'kits to boards'!$B$2:$E$156,2,FALSE)</f>
        <v>830054</v>
      </c>
      <c r="M4029">
        <f>VLOOKUP(Query1[[#This Row],[Description]],'kits to boards'!$B$2:$E$156,3,FALSE)</f>
        <v>0</v>
      </c>
      <c r="N4029">
        <f>VLOOKUP(Query1[[#This Row],[Description]],'kits to boards'!$B$2:$E$156,4,FALSE)</f>
        <v>0</v>
      </c>
      <c r="O4029" t="str">
        <f>CONCATENATE(Query1[[#This Row],[Description]]," - ",Query1[[#This Row],[MB1]]," - ",Query1[[#This Row],[MB2]]," - ",Query1[[#This Row],[MB3]])</f>
        <v>EVAP KIT 55-56 CHEVY - 830054 - 0 - 0</v>
      </c>
    </row>
    <row r="4030" spans="1:15" x14ac:dyDescent="0.25">
      <c r="A4030" s="1">
        <v>919861</v>
      </c>
      <c r="B4030" s="1" t="s">
        <v>170</v>
      </c>
      <c r="C4030" s="1" t="s">
        <v>171</v>
      </c>
      <c r="D4030" s="2">
        <v>44665.616165937499</v>
      </c>
      <c r="E4030" s="1" t="s">
        <v>8</v>
      </c>
      <c r="F4030" s="1">
        <v>1</v>
      </c>
      <c r="G4030" s="1">
        <v>0</v>
      </c>
      <c r="H4030" s="6">
        <f>INT(Query1[[#This Row],[EntryDateTime]])</f>
        <v>44665</v>
      </c>
      <c r="I4030" s="1">
        <f>IF(Query1[[#This Row],[ItemType]]="EVAP KIT SF GEN IV",Query1[[#This Row],[OrderQty]]+I4029,I4029)</f>
        <v>4994</v>
      </c>
      <c r="J4030" s="1">
        <f>IF(Query1[[#This Row],[ItemType]]="EVAP KIT UNIVERSAL",Query1[[#This Row],[OrderQty]]+J4029,J4029)</f>
        <v>1657</v>
      </c>
      <c r="K4030" s="1">
        <f>Query1[[#This Row],[SF Running Total]]+Query1[[#This Row],[UNIV Running Total]]</f>
        <v>6651</v>
      </c>
      <c r="L4030">
        <f>VLOOKUP(Query1[[#This Row],[Description]],'kits to boards'!$B$2:$E$156,2,FALSE)</f>
        <v>830018</v>
      </c>
      <c r="M4030">
        <f>VLOOKUP(Query1[[#This Row],[Description]],'kits to boards'!$B$2:$E$156,3,FALSE)</f>
        <v>0</v>
      </c>
      <c r="N4030">
        <f>VLOOKUP(Query1[[#This Row],[Description]],'kits to boards'!$B$2:$E$156,4,FALSE)</f>
        <v>0</v>
      </c>
      <c r="O4030" t="str">
        <f>CONCATENATE(Query1[[#This Row],[Description]]," - ",Query1[[#This Row],[MB1]]," - ",Query1[[#This Row],[MB2]]," - ",Query1[[#This Row],[MB3]])</f>
        <v>EVAP KIT 67 FORD P-UP F-100 - 830018 - 0 - 0</v>
      </c>
    </row>
    <row r="4031" spans="1:15" x14ac:dyDescent="0.25">
      <c r="A4031" s="1">
        <v>919862</v>
      </c>
      <c r="B4031" s="1" t="s">
        <v>124</v>
      </c>
      <c r="C4031" s="1" t="s">
        <v>125</v>
      </c>
      <c r="D4031" s="2">
        <v>44665.617829513889</v>
      </c>
      <c r="E4031" s="1" t="s">
        <v>8</v>
      </c>
      <c r="F4031" s="1">
        <v>1</v>
      </c>
      <c r="G4031" s="1">
        <v>0</v>
      </c>
      <c r="H4031" s="6">
        <f>INT(Query1[[#This Row],[EntryDateTime]])</f>
        <v>44665</v>
      </c>
      <c r="I4031" s="1">
        <f>IF(Query1[[#This Row],[ItemType]]="EVAP KIT SF GEN IV",Query1[[#This Row],[OrderQty]]+I4030,I4030)</f>
        <v>4995</v>
      </c>
      <c r="J4031" s="1">
        <f>IF(Query1[[#This Row],[ItemType]]="EVAP KIT UNIVERSAL",Query1[[#This Row],[OrderQty]]+J4030,J4030)</f>
        <v>1657</v>
      </c>
      <c r="K4031" s="1">
        <f>Query1[[#This Row],[SF Running Total]]+Query1[[#This Row],[UNIV Running Total]]</f>
        <v>6652</v>
      </c>
      <c r="L4031">
        <f>VLOOKUP(Query1[[#This Row],[Description]],'kits to boards'!$B$2:$E$156,2,FALSE)</f>
        <v>830002</v>
      </c>
      <c r="M4031">
        <f>VLOOKUP(Query1[[#This Row],[Description]],'kits to boards'!$B$2:$E$156,3,FALSE)</f>
        <v>0</v>
      </c>
      <c r="N4031">
        <f>VLOOKUP(Query1[[#This Row],[Description]],'kits to boards'!$B$2:$E$156,4,FALSE)</f>
        <v>0</v>
      </c>
      <c r="O4031" t="str">
        <f>CONCATENATE(Query1[[#This Row],[Description]]," - ",Query1[[#This Row],[MB1]]," - ",Query1[[#This Row],[MB2]]," - ",Query1[[#This Row],[MB3]])</f>
        <v>EVAP KIT 73-80 CHEV P-UP WO AC - 830002 - 0 - 0</v>
      </c>
    </row>
    <row r="4032" spans="1:15" x14ac:dyDescent="0.25">
      <c r="A4032" s="1">
        <v>919843</v>
      </c>
      <c r="B4032" s="1" t="s">
        <v>72</v>
      </c>
      <c r="C4032" s="1" t="s">
        <v>73</v>
      </c>
      <c r="D4032" s="2">
        <v>44665.622522534723</v>
      </c>
      <c r="E4032" s="1" t="s">
        <v>8</v>
      </c>
      <c r="F4032" s="1">
        <v>1</v>
      </c>
      <c r="G4032" s="1">
        <v>0</v>
      </c>
      <c r="H4032" s="6">
        <f>INT(Query1[[#This Row],[EntryDateTime]])</f>
        <v>44665</v>
      </c>
      <c r="I4032" s="1">
        <f>IF(Query1[[#This Row],[ItemType]]="EVAP KIT SF GEN IV",Query1[[#This Row],[OrderQty]]+I4031,I4031)</f>
        <v>4996</v>
      </c>
      <c r="J4032" s="1">
        <f>IF(Query1[[#This Row],[ItemType]]="EVAP KIT UNIVERSAL",Query1[[#This Row],[OrderQty]]+J4031,J4031)</f>
        <v>1657</v>
      </c>
      <c r="K4032" s="1">
        <f>Query1[[#This Row],[SF Running Total]]+Query1[[#This Row],[UNIV Running Total]]</f>
        <v>6653</v>
      </c>
      <c r="L4032">
        <f>VLOOKUP(Query1[[#This Row],[Description]],'kits to boards'!$B$2:$E$156,2,FALSE)</f>
        <v>830043</v>
      </c>
      <c r="M4032">
        <f>VLOOKUP(Query1[[#This Row],[Description]],'kits to boards'!$B$2:$E$156,3,FALSE)</f>
        <v>0</v>
      </c>
      <c r="N4032">
        <f>VLOOKUP(Query1[[#This Row],[Description]],'kits to boards'!$B$2:$E$156,4,FALSE)</f>
        <v>0</v>
      </c>
      <c r="O4032" t="str">
        <f>CONCATENATE(Query1[[#This Row],[Description]]," - ",Query1[[#This Row],[MB1]]," - ",Query1[[#This Row],[MB2]]," - ",Query1[[#This Row],[MB3]])</f>
        <v>EVAP KIT 69-74 NOVA W/AC - 830043 - 0 - 0</v>
      </c>
    </row>
    <row r="4033" spans="1:15" x14ac:dyDescent="0.25">
      <c r="A4033" s="1">
        <v>919866</v>
      </c>
      <c r="B4033" s="1" t="s">
        <v>42</v>
      </c>
      <c r="C4033" s="1" t="s">
        <v>43</v>
      </c>
      <c r="D4033" s="2">
        <v>44665.625475081019</v>
      </c>
      <c r="E4033" s="1" t="s">
        <v>8</v>
      </c>
      <c r="F4033" s="1">
        <v>1</v>
      </c>
      <c r="G4033" s="1">
        <v>0</v>
      </c>
      <c r="H4033" s="6">
        <f>INT(Query1[[#This Row],[EntryDateTime]])</f>
        <v>44665</v>
      </c>
      <c r="I4033" s="1">
        <f>IF(Query1[[#This Row],[ItemType]]="EVAP KIT SF GEN IV",Query1[[#This Row],[OrderQty]]+I4032,I4032)</f>
        <v>4997</v>
      </c>
      <c r="J4033" s="1">
        <f>IF(Query1[[#This Row],[ItemType]]="EVAP KIT UNIVERSAL",Query1[[#This Row],[OrderQty]]+J4032,J4032)</f>
        <v>1657</v>
      </c>
      <c r="K4033" s="1">
        <f>Query1[[#This Row],[SF Running Total]]+Query1[[#This Row],[UNIV Running Total]]</f>
        <v>6654</v>
      </c>
      <c r="L4033">
        <f>VLOOKUP(Query1[[#This Row],[Description]],'kits to boards'!$B$2:$E$156,2,FALSE)</f>
        <v>830014</v>
      </c>
      <c r="M4033">
        <f>VLOOKUP(Query1[[#This Row],[Description]],'kits to boards'!$B$2:$E$156,3,FALSE)</f>
        <v>0</v>
      </c>
      <c r="N4033">
        <f>VLOOKUP(Query1[[#This Row],[Description]],'kits to boards'!$B$2:$E$156,4,FALSE)</f>
        <v>0</v>
      </c>
      <c r="O4033" t="str">
        <f>CONCATENATE(Query1[[#This Row],[Description]]," - ",Query1[[#This Row],[MB1]]," - ",Query1[[#This Row],[MB2]]," - ",Query1[[#This Row],[MB3]])</f>
        <v>EVAP KIT 67-72 CHEV P-UP WO AC - 830014 - 0 - 0</v>
      </c>
    </row>
    <row r="4034" spans="1:15" x14ac:dyDescent="0.25">
      <c r="A4034" s="1">
        <v>919871</v>
      </c>
      <c r="B4034" s="1" t="s">
        <v>42</v>
      </c>
      <c r="C4034" s="1" t="s">
        <v>43</v>
      </c>
      <c r="D4034" s="2">
        <v>44665.632112037034</v>
      </c>
      <c r="E4034" s="1" t="s">
        <v>8</v>
      </c>
      <c r="F4034" s="1">
        <v>1</v>
      </c>
      <c r="G4034" s="1">
        <v>0</v>
      </c>
      <c r="H4034" s="6">
        <f>INT(Query1[[#This Row],[EntryDateTime]])</f>
        <v>44665</v>
      </c>
      <c r="I4034" s="1">
        <f>IF(Query1[[#This Row],[ItemType]]="EVAP KIT SF GEN IV",Query1[[#This Row],[OrderQty]]+I4033,I4033)</f>
        <v>4998</v>
      </c>
      <c r="J4034" s="1">
        <f>IF(Query1[[#This Row],[ItemType]]="EVAP KIT UNIVERSAL",Query1[[#This Row],[OrderQty]]+J4033,J4033)</f>
        <v>1657</v>
      </c>
      <c r="K4034" s="1">
        <f>Query1[[#This Row],[SF Running Total]]+Query1[[#This Row],[UNIV Running Total]]</f>
        <v>6655</v>
      </c>
      <c r="L4034">
        <f>VLOOKUP(Query1[[#This Row],[Description]],'kits to boards'!$B$2:$E$156,2,FALSE)</f>
        <v>830014</v>
      </c>
      <c r="M4034">
        <f>VLOOKUP(Query1[[#This Row],[Description]],'kits to boards'!$B$2:$E$156,3,FALSE)</f>
        <v>0</v>
      </c>
      <c r="N4034">
        <f>VLOOKUP(Query1[[#This Row],[Description]],'kits to boards'!$B$2:$E$156,4,FALSE)</f>
        <v>0</v>
      </c>
      <c r="O4034" t="str">
        <f>CONCATENATE(Query1[[#This Row],[Description]]," - ",Query1[[#This Row],[MB1]]," - ",Query1[[#This Row],[MB2]]," - ",Query1[[#This Row],[MB3]])</f>
        <v>EVAP KIT 67-72 CHEV P-UP WO AC - 830014 - 0 - 0</v>
      </c>
    </row>
    <row r="4035" spans="1:15" x14ac:dyDescent="0.25">
      <c r="A4035" s="1">
        <v>919875</v>
      </c>
      <c r="B4035" s="1" t="s">
        <v>114</v>
      </c>
      <c r="C4035" s="1" t="s">
        <v>115</v>
      </c>
      <c r="D4035" s="2">
        <v>44665.639914039355</v>
      </c>
      <c r="E4035" s="1" t="s">
        <v>8</v>
      </c>
      <c r="F4035" s="1">
        <v>1</v>
      </c>
      <c r="G4035" s="1">
        <v>0</v>
      </c>
      <c r="H4035" s="6">
        <f>INT(Query1[[#This Row],[EntryDateTime]])</f>
        <v>44665</v>
      </c>
      <c r="I4035" s="1">
        <f>IF(Query1[[#This Row],[ItemType]]="EVAP KIT SF GEN IV",Query1[[#This Row],[OrderQty]]+I4034,I4034)</f>
        <v>4999</v>
      </c>
      <c r="J4035" s="1">
        <f>IF(Query1[[#This Row],[ItemType]]="EVAP KIT UNIVERSAL",Query1[[#This Row],[OrderQty]]+J4034,J4034)</f>
        <v>1657</v>
      </c>
      <c r="K4035" s="1">
        <f>Query1[[#This Row],[SF Running Total]]+Query1[[#This Row],[UNIV Running Total]]</f>
        <v>6656</v>
      </c>
      <c r="L4035">
        <f>VLOOKUP(Query1[[#This Row],[Description]],'kits to boards'!$B$2:$E$156,2,FALSE)</f>
        <v>830059</v>
      </c>
      <c r="M4035">
        <f>VLOOKUP(Query1[[#This Row],[Description]],'kits to boards'!$B$2:$E$156,3,FALSE)</f>
        <v>0</v>
      </c>
      <c r="N4035">
        <f>VLOOKUP(Query1[[#This Row],[Description]],'kits to boards'!$B$2:$E$156,4,FALSE)</f>
        <v>0</v>
      </c>
      <c r="O4035" t="str">
        <f>CONCATENATE(Query1[[#This Row],[Description]]," - ",Query1[[#This Row],[MB1]]," - ",Query1[[#This Row],[MB2]]," - ",Query1[[#This Row],[MB3]])</f>
        <v>EVAP KIT 66-67 CHEVELLE W/AC - 830059 - 0 - 0</v>
      </c>
    </row>
    <row r="4036" spans="1:15" x14ac:dyDescent="0.25">
      <c r="A4036" s="1">
        <v>919877</v>
      </c>
      <c r="B4036" s="1" t="s">
        <v>98</v>
      </c>
      <c r="C4036" s="1" t="s">
        <v>99</v>
      </c>
      <c r="D4036" s="2">
        <v>44665.644311307871</v>
      </c>
      <c r="E4036" s="1" t="s">
        <v>11</v>
      </c>
      <c r="F4036" s="1">
        <v>1</v>
      </c>
      <c r="G4036" s="1">
        <v>0</v>
      </c>
      <c r="H4036" s="6">
        <f>INT(Query1[[#This Row],[EntryDateTime]])</f>
        <v>44665</v>
      </c>
      <c r="I4036" s="1">
        <f>IF(Query1[[#This Row],[ItemType]]="EVAP KIT SF GEN IV",Query1[[#This Row],[OrderQty]]+I4035,I4035)</f>
        <v>4999</v>
      </c>
      <c r="J4036" s="1">
        <f>IF(Query1[[#This Row],[ItemType]]="EVAP KIT UNIVERSAL",Query1[[#This Row],[OrderQty]]+J4035,J4035)</f>
        <v>1658</v>
      </c>
      <c r="K4036" s="1">
        <f>Query1[[#This Row],[SF Running Total]]+Query1[[#This Row],[UNIV Running Total]]</f>
        <v>6657</v>
      </c>
      <c r="L4036">
        <f>VLOOKUP(Query1[[#This Row],[Description]],'kits to boards'!$B$2:$E$156,2,FALSE)</f>
        <v>830099</v>
      </c>
      <c r="M4036">
        <f>VLOOKUP(Query1[[#This Row],[Description]],'kits to boards'!$B$2:$E$156,3,FALSE)</f>
        <v>0</v>
      </c>
      <c r="N4036">
        <f>VLOOKUP(Query1[[#This Row],[Description]],'kits to boards'!$B$2:$E$156,4,FALSE)</f>
        <v>0</v>
      </c>
      <c r="O4036" t="str">
        <f>CONCATENATE(Query1[[#This Row],[Description]]," - ",Query1[[#This Row],[MB1]]," - ",Query1[[#This Row],[MB2]]," - ",Query1[[#This Row],[MB3]])</f>
        <v>MINI GEN II W/DEF - 830099 - 0 - 0</v>
      </c>
    </row>
    <row r="4037" spans="1:15" x14ac:dyDescent="0.25">
      <c r="A4037" s="1">
        <v>919846</v>
      </c>
      <c r="B4037" s="1" t="s">
        <v>106</v>
      </c>
      <c r="C4037" s="1" t="s">
        <v>253</v>
      </c>
      <c r="D4037" s="2">
        <v>44665.654717708334</v>
      </c>
      <c r="E4037" s="1" t="s">
        <v>8</v>
      </c>
      <c r="F4037" s="1">
        <v>1</v>
      </c>
      <c r="G4037" s="1">
        <v>0</v>
      </c>
      <c r="H4037" s="6">
        <f>INT(Query1[[#This Row],[EntryDateTime]])</f>
        <v>44665</v>
      </c>
      <c r="I4037" s="1">
        <f>IF(Query1[[#This Row],[ItemType]]="EVAP KIT SF GEN IV",Query1[[#This Row],[OrderQty]]+I4036,I4036)</f>
        <v>5000</v>
      </c>
      <c r="J4037" s="1">
        <f>IF(Query1[[#This Row],[ItemType]]="EVAP KIT UNIVERSAL",Query1[[#This Row],[OrderQty]]+J4036,J4036)</f>
        <v>1658</v>
      </c>
      <c r="K4037" s="1">
        <f>Query1[[#This Row],[SF Running Total]]+Query1[[#This Row],[UNIV Running Total]]</f>
        <v>6658</v>
      </c>
      <c r="L4037">
        <f>VLOOKUP(Query1[[#This Row],[Description]],'kits to boards'!$B$2:$E$156,2,FALSE)</f>
        <v>830028</v>
      </c>
      <c r="M4037">
        <f>VLOOKUP(Query1[[#This Row],[Description]],'kits to boards'!$B$2:$E$156,3,FALSE)</f>
        <v>0</v>
      </c>
      <c r="N4037">
        <f>VLOOKUP(Query1[[#This Row],[Description]],'kits to boards'!$B$2:$E$156,4,FALSE)</f>
        <v>0</v>
      </c>
      <c r="O4037" t="str">
        <f>CONCATENATE(Query1[[#This Row],[Description]]," - ",Query1[[#This Row],[MB1]]," - ",Query1[[#This Row],[MB2]]," - ",Query1[[#This Row],[MB3]])</f>
        <v>EVAP KIT 55-59 CHEV P-UP WO AC W/DELX  - 830028 - 0 - 0</v>
      </c>
    </row>
    <row r="4038" spans="1:15" x14ac:dyDescent="0.25">
      <c r="A4038" s="1">
        <v>919884</v>
      </c>
      <c r="B4038" s="1" t="s">
        <v>24</v>
      </c>
      <c r="C4038" s="1" t="s">
        <v>25</v>
      </c>
      <c r="D4038" s="2">
        <v>44665.659574155092</v>
      </c>
      <c r="E4038" s="1" t="s">
        <v>11</v>
      </c>
      <c r="F4038" s="1">
        <v>1</v>
      </c>
      <c r="G4038" s="1">
        <v>0</v>
      </c>
      <c r="H4038" s="6">
        <f>INT(Query1[[#This Row],[EntryDateTime]])</f>
        <v>44665</v>
      </c>
      <c r="I4038" s="1">
        <f>IF(Query1[[#This Row],[ItemType]]="EVAP KIT SF GEN IV",Query1[[#This Row],[OrderQty]]+I4037,I4037)</f>
        <v>5000</v>
      </c>
      <c r="J4038" s="1">
        <f>IF(Query1[[#This Row],[ItemType]]="EVAP KIT UNIVERSAL",Query1[[#This Row],[OrderQty]]+J4037,J4037)</f>
        <v>1659</v>
      </c>
      <c r="K4038" s="1">
        <f>Query1[[#This Row],[SF Running Total]]+Query1[[#This Row],[UNIV Running Total]]</f>
        <v>6659</v>
      </c>
      <c r="L4038">
        <f>VLOOKUP(Query1[[#This Row],[Description]],'kits to boards'!$B$2:$E$156,2,FALSE)</f>
        <v>830029</v>
      </c>
      <c r="M4038">
        <f>VLOOKUP(Query1[[#This Row],[Description]],'kits to boards'!$B$2:$E$156,3,FALSE)</f>
        <v>830030</v>
      </c>
      <c r="N4038">
        <f>VLOOKUP(Query1[[#This Row],[Description]],'kits to boards'!$B$2:$E$156,4,FALSE)</f>
        <v>0</v>
      </c>
      <c r="O4038" t="str">
        <f>CONCATENATE(Query1[[#This Row],[Description]]," - ",Query1[[#This Row],[MB1]]," - ",Query1[[#This Row],[MB2]]," - ",Query1[[#This Row],[MB3]])</f>
        <v>ComPac GEN II W/DEF - 830029 - 830030 - 0</v>
      </c>
    </row>
    <row r="4039" spans="1:15" x14ac:dyDescent="0.25">
      <c r="A4039" s="1">
        <v>919886</v>
      </c>
      <c r="B4039" s="1" t="s">
        <v>128</v>
      </c>
      <c r="C4039" s="1" t="s">
        <v>129</v>
      </c>
      <c r="D4039" s="2">
        <v>44665.663165740742</v>
      </c>
      <c r="E4039" s="1" t="s">
        <v>8</v>
      </c>
      <c r="F4039" s="1">
        <v>1</v>
      </c>
      <c r="G4039" s="1">
        <v>0</v>
      </c>
      <c r="H4039" s="6">
        <f>INT(Query1[[#This Row],[EntryDateTime]])</f>
        <v>44665</v>
      </c>
      <c r="I4039" s="1">
        <f>IF(Query1[[#This Row],[ItemType]]="EVAP KIT SF GEN IV",Query1[[#This Row],[OrderQty]]+I4038,I4038)</f>
        <v>5001</v>
      </c>
      <c r="J4039" s="1">
        <f>IF(Query1[[#This Row],[ItemType]]="EVAP KIT UNIVERSAL",Query1[[#This Row],[OrderQty]]+J4038,J4038)</f>
        <v>1659</v>
      </c>
      <c r="K4039" s="1">
        <f>Query1[[#This Row],[SF Running Total]]+Query1[[#This Row],[UNIV Running Total]]</f>
        <v>6660</v>
      </c>
      <c r="L4039">
        <f>VLOOKUP(Query1[[#This Row],[Description]],'kits to boards'!$B$2:$E$156,2,FALSE)</f>
        <v>830036</v>
      </c>
      <c r="M4039">
        <f>VLOOKUP(Query1[[#This Row],[Description]],'kits to boards'!$B$2:$E$156,3,FALSE)</f>
        <v>830039</v>
      </c>
      <c r="N4039">
        <f>VLOOKUP(Query1[[#This Row],[Description]],'kits to boards'!$B$2:$E$156,4,FALSE)</f>
        <v>0</v>
      </c>
      <c r="O4039" t="str">
        <f>CONCATENATE(Query1[[#This Row],[Description]]," - ",Query1[[#This Row],[MB1]]," - ",Query1[[#This Row],[MB2]]," - ",Query1[[#This Row],[MB3]])</f>
        <v>EVAP KIT 63-66 VETTE WO AC - 830036 - 830039 - 0</v>
      </c>
    </row>
    <row r="4040" spans="1:15" x14ac:dyDescent="0.25">
      <c r="A4040" s="1">
        <v>919891</v>
      </c>
      <c r="B4040" s="1" t="s">
        <v>56</v>
      </c>
      <c r="C4040" s="1" t="s">
        <v>57</v>
      </c>
      <c r="D4040" s="2">
        <v>44665.673459178244</v>
      </c>
      <c r="E4040" s="1" t="s">
        <v>8</v>
      </c>
      <c r="F4040" s="1">
        <v>1</v>
      </c>
      <c r="G4040" s="1">
        <v>0</v>
      </c>
      <c r="H4040" s="6">
        <f>INT(Query1[[#This Row],[EntryDateTime]])</f>
        <v>44665</v>
      </c>
      <c r="I4040" s="1">
        <f>IF(Query1[[#This Row],[ItemType]]="EVAP KIT SF GEN IV",Query1[[#This Row],[OrderQty]]+I4039,I4039)</f>
        <v>5002</v>
      </c>
      <c r="J4040" s="1">
        <f>IF(Query1[[#This Row],[ItemType]]="EVAP KIT UNIVERSAL",Query1[[#This Row],[OrderQty]]+J4039,J4039)</f>
        <v>1659</v>
      </c>
      <c r="K4040" s="1">
        <f>Query1[[#This Row],[SF Running Total]]+Query1[[#This Row],[UNIV Running Total]]</f>
        <v>6661</v>
      </c>
      <c r="L4040">
        <f>VLOOKUP(Query1[[#This Row],[Description]],'kits to boards'!$B$2:$E$156,2,FALSE)</f>
        <v>830011</v>
      </c>
      <c r="M4040">
        <f>VLOOKUP(Query1[[#This Row],[Description]],'kits to boards'!$B$2:$E$156,3,FALSE)</f>
        <v>0</v>
      </c>
      <c r="N4040">
        <f>VLOOKUP(Query1[[#This Row],[Description]],'kits to boards'!$B$2:$E$156,4,FALSE)</f>
        <v>0</v>
      </c>
      <c r="O4040" t="str">
        <f>CONCATENATE(Query1[[#This Row],[Description]]," - ",Query1[[#This Row],[MB1]]," - ",Query1[[#This Row],[MB2]]," - ",Query1[[#This Row],[MB3]])</f>
        <v>EVAP KIT 70-72 CHEVELLE W/AC - 830011 - 0 - 0</v>
      </c>
    </row>
    <row r="4041" spans="1:15" x14ac:dyDescent="0.25">
      <c r="A4041" s="1">
        <v>919864</v>
      </c>
      <c r="B4041" s="1" t="s">
        <v>42</v>
      </c>
      <c r="C4041" s="1" t="s">
        <v>43</v>
      </c>
      <c r="D4041" s="2">
        <v>44665.680991469904</v>
      </c>
      <c r="E4041" s="1" t="s">
        <v>8</v>
      </c>
      <c r="F4041" s="1">
        <v>1</v>
      </c>
      <c r="G4041" s="1">
        <v>0</v>
      </c>
      <c r="H4041" s="6">
        <f>INT(Query1[[#This Row],[EntryDateTime]])</f>
        <v>44665</v>
      </c>
      <c r="I4041" s="1">
        <f>IF(Query1[[#This Row],[ItemType]]="EVAP KIT SF GEN IV",Query1[[#This Row],[OrderQty]]+I4040,I4040)</f>
        <v>5003</v>
      </c>
      <c r="J4041" s="1">
        <f>IF(Query1[[#This Row],[ItemType]]="EVAP KIT UNIVERSAL",Query1[[#This Row],[OrderQty]]+J4040,J4040)</f>
        <v>1659</v>
      </c>
      <c r="K4041" s="1">
        <f>Query1[[#This Row],[SF Running Total]]+Query1[[#This Row],[UNIV Running Total]]</f>
        <v>6662</v>
      </c>
      <c r="L4041">
        <f>VLOOKUP(Query1[[#This Row],[Description]],'kits to boards'!$B$2:$E$156,2,FALSE)</f>
        <v>830014</v>
      </c>
      <c r="M4041">
        <f>VLOOKUP(Query1[[#This Row],[Description]],'kits to boards'!$B$2:$E$156,3,FALSE)</f>
        <v>0</v>
      </c>
      <c r="N4041">
        <f>VLOOKUP(Query1[[#This Row],[Description]],'kits to boards'!$B$2:$E$156,4,FALSE)</f>
        <v>0</v>
      </c>
      <c r="O4041" t="str">
        <f>CONCATENATE(Query1[[#This Row],[Description]]," - ",Query1[[#This Row],[MB1]]," - ",Query1[[#This Row],[MB2]]," - ",Query1[[#This Row],[MB3]])</f>
        <v>EVAP KIT 67-72 CHEV P-UP WO AC - 830014 - 0 - 0</v>
      </c>
    </row>
    <row r="4042" spans="1:15" x14ac:dyDescent="0.25">
      <c r="A4042" s="1">
        <v>919592</v>
      </c>
      <c r="B4042" s="1" t="s">
        <v>236</v>
      </c>
      <c r="C4042" s="1" t="s">
        <v>237</v>
      </c>
      <c r="D4042" s="2">
        <v>44665.686180868055</v>
      </c>
      <c r="E4042" s="1" t="s">
        <v>8</v>
      </c>
      <c r="F4042" s="1">
        <v>1</v>
      </c>
      <c r="G4042" s="1">
        <v>0</v>
      </c>
      <c r="H4042" s="6">
        <f>INT(Query1[[#This Row],[EntryDateTime]])</f>
        <v>44665</v>
      </c>
      <c r="I4042" s="1">
        <f>IF(Query1[[#This Row],[ItemType]]="EVAP KIT SF GEN IV",Query1[[#This Row],[OrderQty]]+I4041,I4041)</f>
        <v>5004</v>
      </c>
      <c r="J4042" s="1">
        <f>IF(Query1[[#This Row],[ItemType]]="EVAP KIT UNIVERSAL",Query1[[#This Row],[OrderQty]]+J4041,J4041)</f>
        <v>1659</v>
      </c>
      <c r="K4042" s="1">
        <f>Query1[[#This Row],[SF Running Total]]+Query1[[#This Row],[UNIV Running Total]]</f>
        <v>6663</v>
      </c>
      <c r="L4042">
        <f>VLOOKUP(Query1[[#This Row],[Description]],'kits to boards'!$B$2:$E$156,2,FALSE)</f>
        <v>830026</v>
      </c>
      <c r="M4042">
        <f>VLOOKUP(Query1[[#This Row],[Description]],'kits to boards'!$B$2:$E$156,3,FALSE)</f>
        <v>0</v>
      </c>
      <c r="N4042">
        <f>VLOOKUP(Query1[[#This Row],[Description]],'kits to boards'!$B$2:$E$156,4,FALSE)</f>
        <v>0</v>
      </c>
      <c r="O4042" t="str">
        <f>CONCATENATE(Query1[[#This Row],[Description]]," - ",Query1[[#This Row],[MB1]]," - ",Query1[[#This Row],[MB2]]," - ",Query1[[#This Row],[MB3]])</f>
        <v>EVAP KIT 70-72 CUTLASS WO AC - 830026 - 0 - 0</v>
      </c>
    </row>
    <row r="4043" spans="1:15" x14ac:dyDescent="0.25">
      <c r="A4043" s="1">
        <v>919898</v>
      </c>
      <c r="B4043" s="1" t="s">
        <v>104</v>
      </c>
      <c r="C4043" s="1" t="s">
        <v>105</v>
      </c>
      <c r="D4043" s="2">
        <v>44669.278716203706</v>
      </c>
      <c r="E4043" s="1" t="s">
        <v>11</v>
      </c>
      <c r="F4043" s="1">
        <v>1</v>
      </c>
      <c r="G4043" s="1">
        <v>0</v>
      </c>
      <c r="H4043" s="6">
        <f>INT(Query1[[#This Row],[EntryDateTime]])</f>
        <v>44669</v>
      </c>
      <c r="I4043" s="1">
        <f>IF(Query1[[#This Row],[ItemType]]="EVAP KIT SF GEN IV",Query1[[#This Row],[OrderQty]]+I4042,I4042)</f>
        <v>5004</v>
      </c>
      <c r="J4043" s="1">
        <f>IF(Query1[[#This Row],[ItemType]]="EVAP KIT UNIVERSAL",Query1[[#This Row],[OrderQty]]+J4042,J4042)</f>
        <v>1660</v>
      </c>
      <c r="K4043" s="1">
        <f>Query1[[#This Row],[SF Running Total]]+Query1[[#This Row],[UNIV Running Total]]</f>
        <v>6664</v>
      </c>
      <c r="L4043">
        <f>VLOOKUP(Query1[[#This Row],[Description]],'kits to boards'!$B$2:$E$156,2,FALSE)</f>
        <v>0</v>
      </c>
      <c r="M4043">
        <f>VLOOKUP(Query1[[#This Row],[Description]],'kits to boards'!$B$2:$E$156,3,FALSE)</f>
        <v>0</v>
      </c>
      <c r="N4043">
        <f>VLOOKUP(Query1[[#This Row],[Description]],'kits to boards'!$B$2:$E$156,4,FALSE)</f>
        <v>0</v>
      </c>
      <c r="O4043" t="str">
        <f>CONCATENATE(Query1[[#This Row],[Description]]," - ",Query1[[#This Row],[MB1]]," - ",Query1[[#This Row],[MB2]]," - ",Query1[[#This Row],[MB3]])</f>
        <v>HERITAGE BRUSHED EVAP KIT HEAT/COOL - 0 - 0 - 0</v>
      </c>
    </row>
    <row r="4044" spans="1:15" x14ac:dyDescent="0.25">
      <c r="A4044" s="1">
        <v>919898</v>
      </c>
      <c r="B4044" s="1" t="s">
        <v>122</v>
      </c>
      <c r="C4044" s="1" t="s">
        <v>123</v>
      </c>
      <c r="D4044" s="2">
        <v>44669.278716203706</v>
      </c>
      <c r="E4044" s="1" t="s">
        <v>8</v>
      </c>
      <c r="F4044" s="1">
        <v>1</v>
      </c>
      <c r="G4044" s="1">
        <v>0</v>
      </c>
      <c r="H4044" s="6">
        <f>INT(Query1[[#This Row],[EntryDateTime]])</f>
        <v>44669</v>
      </c>
      <c r="I4044" s="1">
        <f>IF(Query1[[#This Row],[ItemType]]="EVAP KIT SF GEN IV",Query1[[#This Row],[OrderQty]]+I4043,I4043)</f>
        <v>5005</v>
      </c>
      <c r="J4044" s="1">
        <f>IF(Query1[[#This Row],[ItemType]]="EVAP KIT UNIVERSAL",Query1[[#This Row],[OrderQty]]+J4043,J4043)</f>
        <v>1660</v>
      </c>
      <c r="K4044" s="1">
        <f>Query1[[#This Row],[SF Running Total]]+Query1[[#This Row],[UNIV Running Total]]</f>
        <v>6665</v>
      </c>
      <c r="L4044">
        <f>VLOOKUP(Query1[[#This Row],[Description]],'kits to boards'!$B$2:$E$156,2,FALSE)</f>
        <v>830027</v>
      </c>
      <c r="M4044">
        <f>VLOOKUP(Query1[[#This Row],[Description]],'kits to boards'!$B$2:$E$156,3,FALSE)</f>
        <v>0</v>
      </c>
      <c r="N4044">
        <f>VLOOKUP(Query1[[#This Row],[Description]],'kits to boards'!$B$2:$E$156,4,FALSE)</f>
        <v>0</v>
      </c>
      <c r="O4044" t="str">
        <f>CONCATENATE(Query1[[#This Row],[Description]]," - ",Query1[[#This Row],[MB1]]," - ",Query1[[#This Row],[MB2]]," - ",Query1[[#This Row],[MB3]])</f>
        <v>EVAP KIT 70-72 CUTLASS W/AC - 830027 - 0 - 0</v>
      </c>
    </row>
    <row r="4045" spans="1:15" x14ac:dyDescent="0.25">
      <c r="A4045" s="1">
        <v>919898</v>
      </c>
      <c r="B4045" s="1" t="s">
        <v>32</v>
      </c>
      <c r="C4045" s="1" t="s">
        <v>33</v>
      </c>
      <c r="D4045" s="2">
        <v>44669.278716203706</v>
      </c>
      <c r="E4045" s="1" t="s">
        <v>8</v>
      </c>
      <c r="F4045" s="1">
        <v>1</v>
      </c>
      <c r="G4045" s="1">
        <v>0</v>
      </c>
      <c r="H4045" s="6">
        <f>INT(Query1[[#This Row],[EntryDateTime]])</f>
        <v>44669</v>
      </c>
      <c r="I4045" s="1">
        <f>IF(Query1[[#This Row],[ItemType]]="EVAP KIT SF GEN IV",Query1[[#This Row],[OrderQty]]+I4044,I4044)</f>
        <v>5006</v>
      </c>
      <c r="J4045" s="1">
        <f>IF(Query1[[#This Row],[ItemType]]="EVAP KIT UNIVERSAL",Query1[[#This Row],[OrderQty]]+J4044,J4044)</f>
        <v>1660</v>
      </c>
      <c r="K4045" s="1">
        <f>Query1[[#This Row],[SF Running Total]]+Query1[[#This Row],[UNIV Running Total]]</f>
        <v>6666</v>
      </c>
      <c r="L4045">
        <f>VLOOKUP(Query1[[#This Row],[Description]],'kits to boards'!$B$2:$E$156,2,FALSE)</f>
        <v>830016</v>
      </c>
      <c r="M4045">
        <f>VLOOKUP(Query1[[#This Row],[Description]],'kits to boards'!$B$2:$E$156,3,FALSE)</f>
        <v>0</v>
      </c>
      <c r="N4045">
        <f>VLOOKUP(Query1[[#This Row],[Description]],'kits to boards'!$B$2:$E$156,4,FALSE)</f>
        <v>0</v>
      </c>
      <c r="O4045" t="str">
        <f>CONCATENATE(Query1[[#This Row],[Description]]," - ",Query1[[#This Row],[MB1]]," - ",Query1[[#This Row],[MB2]]," - ",Query1[[#This Row],[MB3]])</f>
        <v>EVAP KIT 67-68 CAMARO/FIREBIRD W/AC - 830016 - 0 - 0</v>
      </c>
    </row>
    <row r="4046" spans="1:15" x14ac:dyDescent="0.25">
      <c r="A4046" s="1">
        <v>919898</v>
      </c>
      <c r="B4046" s="1" t="s">
        <v>48</v>
      </c>
      <c r="C4046" s="1" t="s">
        <v>49</v>
      </c>
      <c r="D4046" s="2">
        <v>44669.278716203706</v>
      </c>
      <c r="E4046" s="1" t="s">
        <v>8</v>
      </c>
      <c r="F4046" s="1">
        <v>1</v>
      </c>
      <c r="G4046" s="1">
        <v>0</v>
      </c>
      <c r="H4046" s="6">
        <f>INT(Query1[[#This Row],[EntryDateTime]])</f>
        <v>44669</v>
      </c>
      <c r="I4046" s="1">
        <f>IF(Query1[[#This Row],[ItemType]]="EVAP KIT SF GEN IV",Query1[[#This Row],[OrderQty]]+I4045,I4045)</f>
        <v>5007</v>
      </c>
      <c r="J4046" s="1">
        <f>IF(Query1[[#This Row],[ItemType]]="EVAP KIT UNIVERSAL",Query1[[#This Row],[OrderQty]]+J4045,J4045)</f>
        <v>1660</v>
      </c>
      <c r="K4046" s="1">
        <f>Query1[[#This Row],[SF Running Total]]+Query1[[#This Row],[UNIV Running Total]]</f>
        <v>6667</v>
      </c>
      <c r="L4046">
        <f>VLOOKUP(Query1[[#This Row],[Description]],'kits to boards'!$B$2:$E$156,2,FALSE)</f>
        <v>830015</v>
      </c>
      <c r="M4046">
        <f>VLOOKUP(Query1[[#This Row],[Description]],'kits to boards'!$B$2:$E$156,3,FALSE)</f>
        <v>0</v>
      </c>
      <c r="N4046">
        <f>VLOOKUP(Query1[[#This Row],[Description]],'kits to boards'!$B$2:$E$156,4,FALSE)</f>
        <v>0</v>
      </c>
      <c r="O4046" t="str">
        <f>CONCATENATE(Query1[[#This Row],[Description]]," - ",Query1[[#This Row],[MB1]]," - ",Query1[[#This Row],[MB2]]," - ",Query1[[#This Row],[MB3]])</f>
        <v>EVAP KIT 64-66 CHEV P-UP WO AC W/DELX - 830015 - 0 - 0</v>
      </c>
    </row>
    <row r="4047" spans="1:15" x14ac:dyDescent="0.25">
      <c r="A4047" s="1">
        <v>919898</v>
      </c>
      <c r="B4047" s="1" t="s">
        <v>22</v>
      </c>
      <c r="C4047" s="1" t="s">
        <v>23</v>
      </c>
      <c r="D4047" s="2">
        <v>44669.278716203706</v>
      </c>
      <c r="E4047" s="1" t="s">
        <v>8</v>
      </c>
      <c r="F4047" s="1">
        <v>3</v>
      </c>
      <c r="G4047" s="1">
        <v>0</v>
      </c>
      <c r="H4047" s="6">
        <f>INT(Query1[[#This Row],[EntryDateTime]])</f>
        <v>44669</v>
      </c>
      <c r="I4047" s="1">
        <f>IF(Query1[[#This Row],[ItemType]]="EVAP KIT SF GEN IV",Query1[[#This Row],[OrderQty]]+I4046,I4046)</f>
        <v>5010</v>
      </c>
      <c r="J4047" s="1">
        <f>IF(Query1[[#This Row],[ItemType]]="EVAP KIT UNIVERSAL",Query1[[#This Row],[OrderQty]]+J4046,J4046)</f>
        <v>1660</v>
      </c>
      <c r="K4047" s="1">
        <f>Query1[[#This Row],[SF Running Total]]+Query1[[#This Row],[UNIV Running Total]]</f>
        <v>6670</v>
      </c>
      <c r="L4047">
        <f>VLOOKUP(Query1[[#This Row],[Description]],'kits to boards'!$B$2:$E$156,2,FALSE)</f>
        <v>830083</v>
      </c>
      <c r="M4047">
        <f>VLOOKUP(Query1[[#This Row],[Description]],'kits to boards'!$B$2:$E$156,3,FALSE)</f>
        <v>0</v>
      </c>
      <c r="N4047">
        <f>VLOOKUP(Query1[[#This Row],[Description]],'kits to boards'!$B$2:$E$156,4,FALSE)</f>
        <v>0</v>
      </c>
      <c r="O4047" t="str">
        <f>CONCATENATE(Query1[[#This Row],[Description]]," - ",Query1[[#This Row],[MB1]]," - ",Query1[[#This Row],[MB2]]," - ",Query1[[#This Row],[MB3]])</f>
        <v>GEN IV MAGNUM EVAP KIT - 830083 - 0 - 0</v>
      </c>
    </row>
    <row r="4048" spans="1:15" x14ac:dyDescent="0.25">
      <c r="A4048" s="1">
        <v>919898</v>
      </c>
      <c r="B4048" s="1" t="s">
        <v>98</v>
      </c>
      <c r="C4048" s="1" t="s">
        <v>99</v>
      </c>
      <c r="D4048" s="2">
        <v>44669.278716203706</v>
      </c>
      <c r="E4048" s="1" t="s">
        <v>11</v>
      </c>
      <c r="F4048" s="1">
        <v>1</v>
      </c>
      <c r="G4048" s="1">
        <v>0</v>
      </c>
      <c r="H4048" s="6">
        <f>INT(Query1[[#This Row],[EntryDateTime]])</f>
        <v>44669</v>
      </c>
      <c r="I4048" s="1">
        <f>IF(Query1[[#This Row],[ItemType]]="EVAP KIT SF GEN IV",Query1[[#This Row],[OrderQty]]+I4047,I4047)</f>
        <v>5010</v>
      </c>
      <c r="J4048" s="1">
        <f>IF(Query1[[#This Row],[ItemType]]="EVAP KIT UNIVERSAL",Query1[[#This Row],[OrderQty]]+J4047,J4047)</f>
        <v>1661</v>
      </c>
      <c r="K4048" s="1">
        <f>Query1[[#This Row],[SF Running Total]]+Query1[[#This Row],[UNIV Running Total]]</f>
        <v>6671</v>
      </c>
      <c r="L4048">
        <f>VLOOKUP(Query1[[#This Row],[Description]],'kits to boards'!$B$2:$E$156,2,FALSE)</f>
        <v>830099</v>
      </c>
      <c r="M4048">
        <f>VLOOKUP(Query1[[#This Row],[Description]],'kits to boards'!$B$2:$E$156,3,FALSE)</f>
        <v>0</v>
      </c>
      <c r="N4048">
        <f>VLOOKUP(Query1[[#This Row],[Description]],'kits to boards'!$B$2:$E$156,4,FALSE)</f>
        <v>0</v>
      </c>
      <c r="O4048" t="str">
        <f>CONCATENATE(Query1[[#This Row],[Description]]," - ",Query1[[#This Row],[MB1]]," - ",Query1[[#This Row],[MB2]]," - ",Query1[[#This Row],[MB3]])</f>
        <v>MINI GEN II W/DEF - 830099 - 0 - 0</v>
      </c>
    </row>
    <row r="4049" spans="1:15" x14ac:dyDescent="0.25">
      <c r="A4049" s="1">
        <v>919898</v>
      </c>
      <c r="B4049" s="1" t="s">
        <v>24</v>
      </c>
      <c r="C4049" s="1" t="s">
        <v>25</v>
      </c>
      <c r="D4049" s="2">
        <v>44669.278716203706</v>
      </c>
      <c r="E4049" s="1" t="s">
        <v>11</v>
      </c>
      <c r="F4049" s="1">
        <v>1</v>
      </c>
      <c r="G4049" s="1">
        <v>0</v>
      </c>
      <c r="H4049" s="6">
        <f>INT(Query1[[#This Row],[EntryDateTime]])</f>
        <v>44669</v>
      </c>
      <c r="I4049" s="1">
        <f>IF(Query1[[#This Row],[ItemType]]="EVAP KIT SF GEN IV",Query1[[#This Row],[OrderQty]]+I4048,I4048)</f>
        <v>5010</v>
      </c>
      <c r="J4049" s="1">
        <f>IF(Query1[[#This Row],[ItemType]]="EVAP KIT UNIVERSAL",Query1[[#This Row],[OrderQty]]+J4048,J4048)</f>
        <v>1662</v>
      </c>
      <c r="K4049" s="1">
        <f>Query1[[#This Row],[SF Running Total]]+Query1[[#This Row],[UNIV Running Total]]</f>
        <v>6672</v>
      </c>
      <c r="L4049">
        <f>VLOOKUP(Query1[[#This Row],[Description]],'kits to boards'!$B$2:$E$156,2,FALSE)</f>
        <v>830029</v>
      </c>
      <c r="M4049">
        <f>VLOOKUP(Query1[[#This Row],[Description]],'kits to boards'!$B$2:$E$156,3,FALSE)</f>
        <v>830030</v>
      </c>
      <c r="N4049">
        <f>VLOOKUP(Query1[[#This Row],[Description]],'kits to boards'!$B$2:$E$156,4,FALSE)</f>
        <v>0</v>
      </c>
      <c r="O4049" t="str">
        <f>CONCATENATE(Query1[[#This Row],[Description]]," - ",Query1[[#This Row],[MB1]]," - ",Query1[[#This Row],[MB2]]," - ",Query1[[#This Row],[MB3]])</f>
        <v>ComPac GEN II W/DEF - 830029 - 830030 - 0</v>
      </c>
    </row>
    <row r="4050" spans="1:15" x14ac:dyDescent="0.25">
      <c r="A4050" s="1">
        <v>919898</v>
      </c>
      <c r="B4050" s="1" t="s">
        <v>34</v>
      </c>
      <c r="C4050" s="1" t="s">
        <v>35</v>
      </c>
      <c r="D4050" s="2">
        <v>44669.278716203706</v>
      </c>
      <c r="E4050" s="1" t="s">
        <v>8</v>
      </c>
      <c r="F4050" s="1">
        <v>1</v>
      </c>
      <c r="G4050" s="1">
        <v>0</v>
      </c>
      <c r="H4050" s="6">
        <f>INT(Query1[[#This Row],[EntryDateTime]])</f>
        <v>44669</v>
      </c>
      <c r="I4050" s="1">
        <f>IF(Query1[[#This Row],[ItemType]]="EVAP KIT SF GEN IV",Query1[[#This Row],[OrderQty]]+I4049,I4049)</f>
        <v>5011</v>
      </c>
      <c r="J4050" s="1">
        <f>IF(Query1[[#This Row],[ItemType]]="EVAP KIT UNIVERSAL",Query1[[#This Row],[OrderQty]]+J4049,J4049)</f>
        <v>1662</v>
      </c>
      <c r="K4050" s="1">
        <f>Query1[[#This Row],[SF Running Total]]+Query1[[#This Row],[UNIV Running Total]]</f>
        <v>6673</v>
      </c>
      <c r="L4050">
        <f>VLOOKUP(Query1[[#This Row],[Description]],'kits to boards'!$B$2:$E$156,2,FALSE)</f>
        <v>830065</v>
      </c>
      <c r="M4050">
        <f>VLOOKUP(Query1[[#This Row],[Description]],'kits to boards'!$B$2:$E$156,3,FALSE)</f>
        <v>0</v>
      </c>
      <c r="N4050">
        <f>VLOOKUP(Query1[[#This Row],[Description]],'kits to boards'!$B$2:$E$156,4,FALSE)</f>
        <v>0</v>
      </c>
      <c r="O4050" t="str">
        <f>CONCATENATE(Query1[[#This Row],[Description]]," - ",Query1[[#This Row],[MB1]]," - ",Query1[[#This Row],[MB2]]," - ",Query1[[#This Row],[MB3]])</f>
        <v>EVAP KIT 57 CHEV WO AC - 830065 - 0 - 0</v>
      </c>
    </row>
    <row r="4051" spans="1:15" x14ac:dyDescent="0.25">
      <c r="A4051" s="1">
        <v>919762</v>
      </c>
      <c r="B4051" s="1" t="s">
        <v>22</v>
      </c>
      <c r="C4051" s="1" t="s">
        <v>23</v>
      </c>
      <c r="D4051" s="2">
        <v>44669.280153738429</v>
      </c>
      <c r="E4051" s="1" t="s">
        <v>8</v>
      </c>
      <c r="F4051" s="1">
        <v>1</v>
      </c>
      <c r="G4051" s="1">
        <v>0</v>
      </c>
      <c r="H4051" s="6">
        <f>INT(Query1[[#This Row],[EntryDateTime]])</f>
        <v>44669</v>
      </c>
      <c r="I4051" s="1">
        <f>IF(Query1[[#This Row],[ItemType]]="EVAP KIT SF GEN IV",Query1[[#This Row],[OrderQty]]+I4050,I4050)</f>
        <v>5012</v>
      </c>
      <c r="J4051" s="1">
        <f>IF(Query1[[#This Row],[ItemType]]="EVAP KIT UNIVERSAL",Query1[[#This Row],[OrderQty]]+J4050,J4050)</f>
        <v>1662</v>
      </c>
      <c r="K4051" s="1">
        <f>Query1[[#This Row],[SF Running Total]]+Query1[[#This Row],[UNIV Running Total]]</f>
        <v>6674</v>
      </c>
      <c r="L4051">
        <f>VLOOKUP(Query1[[#This Row],[Description]],'kits to boards'!$B$2:$E$156,2,FALSE)</f>
        <v>830083</v>
      </c>
      <c r="M4051">
        <f>VLOOKUP(Query1[[#This Row],[Description]],'kits to boards'!$B$2:$E$156,3,FALSE)</f>
        <v>0</v>
      </c>
      <c r="N4051">
        <f>VLOOKUP(Query1[[#This Row],[Description]],'kits to boards'!$B$2:$E$156,4,FALSE)</f>
        <v>0</v>
      </c>
      <c r="O4051" t="str">
        <f>CONCATENATE(Query1[[#This Row],[Description]]," - ",Query1[[#This Row],[MB1]]," - ",Query1[[#This Row],[MB2]]," - ",Query1[[#This Row],[MB3]])</f>
        <v>GEN IV MAGNUM EVAP KIT - 830083 - 0 - 0</v>
      </c>
    </row>
    <row r="4052" spans="1:15" x14ac:dyDescent="0.25">
      <c r="A4052" s="1">
        <v>919900</v>
      </c>
      <c r="B4052" s="1" t="s">
        <v>52</v>
      </c>
      <c r="C4052" s="1" t="s">
        <v>53</v>
      </c>
      <c r="D4052" s="2">
        <v>44669.281701041669</v>
      </c>
      <c r="E4052" s="1" t="s">
        <v>8</v>
      </c>
      <c r="F4052" s="1">
        <v>1</v>
      </c>
      <c r="G4052" s="1">
        <v>0</v>
      </c>
      <c r="H4052" s="6">
        <f>INT(Query1[[#This Row],[EntryDateTime]])</f>
        <v>44669</v>
      </c>
      <c r="I4052" s="1">
        <f>IF(Query1[[#This Row],[ItemType]]="EVAP KIT SF GEN IV",Query1[[#This Row],[OrderQty]]+I4051,I4051)</f>
        <v>5013</v>
      </c>
      <c r="J4052" s="1">
        <f>IF(Query1[[#This Row],[ItemType]]="EVAP KIT UNIVERSAL",Query1[[#This Row],[OrderQty]]+J4051,J4051)</f>
        <v>1662</v>
      </c>
      <c r="K4052" s="1">
        <f>Query1[[#This Row],[SF Running Total]]+Query1[[#This Row],[UNIV Running Total]]</f>
        <v>6675</v>
      </c>
      <c r="L4052">
        <f>VLOOKUP(Query1[[#This Row],[Description]],'kits to boards'!$B$2:$E$156,2,FALSE)</f>
        <v>830017</v>
      </c>
      <c r="M4052">
        <f>VLOOKUP(Query1[[#This Row],[Description]],'kits to boards'!$B$2:$E$156,3,FALSE)</f>
        <v>830119</v>
      </c>
      <c r="N4052">
        <f>VLOOKUP(Query1[[#This Row],[Description]],'kits to boards'!$B$2:$E$156,4,FALSE)</f>
        <v>830120</v>
      </c>
      <c r="O4052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4053" spans="1:15" x14ac:dyDescent="0.25">
      <c r="A4053" s="1">
        <v>919901</v>
      </c>
      <c r="B4053" s="1" t="s">
        <v>44</v>
      </c>
      <c r="C4053" s="1" t="s">
        <v>45</v>
      </c>
      <c r="D4053" s="2">
        <v>44669.282728275466</v>
      </c>
      <c r="E4053" s="1" t="s">
        <v>8</v>
      </c>
      <c r="F4053" s="1">
        <v>1</v>
      </c>
      <c r="G4053" s="1">
        <v>0</v>
      </c>
      <c r="H4053" s="6">
        <f>INT(Query1[[#This Row],[EntryDateTime]])</f>
        <v>44669</v>
      </c>
      <c r="I4053" s="1">
        <f>IF(Query1[[#This Row],[ItemType]]="EVAP KIT SF GEN IV",Query1[[#This Row],[OrderQty]]+I4052,I4052)</f>
        <v>5014</v>
      </c>
      <c r="J4053" s="1">
        <f>IF(Query1[[#This Row],[ItemType]]="EVAP KIT UNIVERSAL",Query1[[#This Row],[OrderQty]]+J4052,J4052)</f>
        <v>1662</v>
      </c>
      <c r="K4053" s="1">
        <f>Query1[[#This Row],[SF Running Total]]+Query1[[#This Row],[UNIV Running Total]]</f>
        <v>6676</v>
      </c>
      <c r="L4053">
        <f>VLOOKUP(Query1[[#This Row],[Description]],'kits to boards'!$B$2:$E$156,2,FALSE)</f>
        <v>830085</v>
      </c>
      <c r="M4053">
        <f>VLOOKUP(Query1[[#This Row],[Description]],'kits to boards'!$B$2:$E$156,3,FALSE)</f>
        <v>0</v>
      </c>
      <c r="N4053">
        <f>VLOOKUP(Query1[[#This Row],[Description]],'kits to boards'!$B$2:$E$156,4,FALSE)</f>
        <v>0</v>
      </c>
      <c r="O4053" t="str">
        <f>CONCATENATE(Query1[[#This Row],[Description]]," - ",Query1[[#This Row],[MB1]]," - ",Query1[[#This Row],[MB2]]," - ",Query1[[#This Row],[MB3]])</f>
        <v>EVAP KIT 66-77 BRONCO - 830085 - 0 - 0</v>
      </c>
    </row>
    <row r="4054" spans="1:15" x14ac:dyDescent="0.25">
      <c r="A4054" s="1">
        <v>919905</v>
      </c>
      <c r="B4054" s="1" t="s">
        <v>98</v>
      </c>
      <c r="C4054" s="1" t="s">
        <v>99</v>
      </c>
      <c r="D4054" s="2">
        <v>44669.319522916667</v>
      </c>
      <c r="E4054" s="1" t="s">
        <v>11</v>
      </c>
      <c r="F4054" s="1">
        <v>1</v>
      </c>
      <c r="G4054" s="1">
        <v>0</v>
      </c>
      <c r="H4054" s="6">
        <f>INT(Query1[[#This Row],[EntryDateTime]])</f>
        <v>44669</v>
      </c>
      <c r="I4054" s="1">
        <f>IF(Query1[[#This Row],[ItemType]]="EVAP KIT SF GEN IV",Query1[[#This Row],[OrderQty]]+I4053,I4053)</f>
        <v>5014</v>
      </c>
      <c r="J4054" s="1">
        <f>IF(Query1[[#This Row],[ItemType]]="EVAP KIT UNIVERSAL",Query1[[#This Row],[OrderQty]]+J4053,J4053)</f>
        <v>1663</v>
      </c>
      <c r="K4054" s="1">
        <f>Query1[[#This Row],[SF Running Total]]+Query1[[#This Row],[UNIV Running Total]]</f>
        <v>6677</v>
      </c>
      <c r="L4054">
        <f>VLOOKUP(Query1[[#This Row],[Description]],'kits to boards'!$B$2:$E$156,2,FALSE)</f>
        <v>830099</v>
      </c>
      <c r="M4054">
        <f>VLOOKUP(Query1[[#This Row],[Description]],'kits to boards'!$B$2:$E$156,3,FALSE)</f>
        <v>0</v>
      </c>
      <c r="N4054">
        <f>VLOOKUP(Query1[[#This Row],[Description]],'kits to boards'!$B$2:$E$156,4,FALSE)</f>
        <v>0</v>
      </c>
      <c r="O4054" t="str">
        <f>CONCATENATE(Query1[[#This Row],[Description]]," - ",Query1[[#This Row],[MB1]]," - ",Query1[[#This Row],[MB2]]," - ",Query1[[#This Row],[MB3]])</f>
        <v>MINI GEN II W/DEF - 830099 - 0 - 0</v>
      </c>
    </row>
    <row r="4055" spans="1:15" x14ac:dyDescent="0.25">
      <c r="A4055" s="1">
        <v>919905</v>
      </c>
      <c r="B4055" s="1" t="s">
        <v>20</v>
      </c>
      <c r="C4055" s="1" t="s">
        <v>21</v>
      </c>
      <c r="D4055" s="2">
        <v>44669.319526157407</v>
      </c>
      <c r="E4055" s="1" t="s">
        <v>11</v>
      </c>
      <c r="F4055" s="1">
        <v>2</v>
      </c>
      <c r="G4055" s="1">
        <v>0</v>
      </c>
      <c r="H4055" s="6">
        <f>INT(Query1[[#This Row],[EntryDateTime]])</f>
        <v>44669</v>
      </c>
      <c r="I4055" s="1">
        <f>IF(Query1[[#This Row],[ItemType]]="EVAP KIT SF GEN IV",Query1[[#This Row],[OrderQty]]+I4054,I4054)</f>
        <v>5014</v>
      </c>
      <c r="J4055" s="1">
        <f>IF(Query1[[#This Row],[ItemType]]="EVAP KIT UNIVERSAL",Query1[[#This Row],[OrderQty]]+J4054,J4054)</f>
        <v>1665</v>
      </c>
      <c r="K4055" s="1">
        <f>Query1[[#This Row],[SF Running Total]]+Query1[[#This Row],[UNIV Running Total]]</f>
        <v>6679</v>
      </c>
      <c r="L4055">
        <f>VLOOKUP(Query1[[#This Row],[Description]],'kits to boards'!$B$2:$E$156,2,FALSE)</f>
        <v>830102</v>
      </c>
      <c r="M4055">
        <f>VLOOKUP(Query1[[#This Row],[Description]],'kits to boards'!$B$2:$E$156,3,FALSE)</f>
        <v>0</v>
      </c>
      <c r="N4055">
        <f>VLOOKUP(Query1[[#This Row],[Description]],'kits to boards'!$B$2:$E$156,4,FALSE)</f>
        <v>0</v>
      </c>
      <c r="O4055" t="str">
        <f>CONCATENATE(Query1[[#This Row],[Description]]," - ",Query1[[#This Row],[MB1]]," - ",Query1[[#This Row],[MB2]]," - ",Query1[[#This Row],[MB3]])</f>
        <v>SUPER GEN II W/DEF - 830102 - 0 - 0</v>
      </c>
    </row>
    <row r="4056" spans="1:15" x14ac:dyDescent="0.25">
      <c r="A4056" s="1">
        <v>919905</v>
      </c>
      <c r="B4056" s="1" t="s">
        <v>220</v>
      </c>
      <c r="C4056" s="1" t="s">
        <v>221</v>
      </c>
      <c r="D4056" s="2">
        <v>44669.319557025461</v>
      </c>
      <c r="E4056" s="1" t="s">
        <v>11</v>
      </c>
      <c r="F4056" s="1">
        <v>1</v>
      </c>
      <c r="G4056" s="1">
        <v>0</v>
      </c>
      <c r="H4056" s="6">
        <f>INT(Query1[[#This Row],[EntryDateTime]])</f>
        <v>44669</v>
      </c>
      <c r="I4056" s="1">
        <f>IF(Query1[[#This Row],[ItemType]]="EVAP KIT SF GEN IV",Query1[[#This Row],[OrderQty]]+I4055,I4055)</f>
        <v>5014</v>
      </c>
      <c r="J4056" s="1">
        <f>IF(Query1[[#This Row],[ItemType]]="EVAP KIT UNIVERSAL",Query1[[#This Row],[OrderQty]]+J4055,J4055)</f>
        <v>1666</v>
      </c>
      <c r="K4056" s="1">
        <f>Query1[[#This Row],[SF Running Total]]+Query1[[#This Row],[UNIV Running Total]]</f>
        <v>6680</v>
      </c>
      <c r="L4056">
        <f>VLOOKUP(Query1[[#This Row],[Description]],'kits to boards'!$B$2:$E$156,2,FALSE)</f>
        <v>0</v>
      </c>
      <c r="M4056">
        <f>VLOOKUP(Query1[[#This Row],[Description]],'kits to boards'!$B$2:$E$156,3,FALSE)</f>
        <v>0</v>
      </c>
      <c r="N4056">
        <f>VLOOKUP(Query1[[#This Row],[Description]],'kits to boards'!$B$2:$E$156,4,FALSE)</f>
        <v>0</v>
      </c>
      <c r="O4056" t="str">
        <f>CONCATENATE(Query1[[#This Row],[Description]]," - ",Query1[[#This Row],[MB1]]," - ",Query1[[#This Row],[MB2]]," - ",Query1[[#This Row],[MB3]])</f>
        <v>HERITAGE PEARL EVAP KIT HEAT/COOL - 0 - 0 - 0</v>
      </c>
    </row>
    <row r="4057" spans="1:15" x14ac:dyDescent="0.25">
      <c r="A4057" s="1">
        <v>919699</v>
      </c>
      <c r="B4057" s="1" t="s">
        <v>70</v>
      </c>
      <c r="C4057" s="1" t="s">
        <v>71</v>
      </c>
      <c r="D4057" s="2">
        <v>44669.322639120372</v>
      </c>
      <c r="E4057" s="1" t="s">
        <v>8</v>
      </c>
      <c r="F4057" s="1">
        <v>1</v>
      </c>
      <c r="G4057" s="1">
        <v>0</v>
      </c>
      <c r="H4057" s="6">
        <f>INT(Query1[[#This Row],[EntryDateTime]])</f>
        <v>44669</v>
      </c>
      <c r="I4057" s="1">
        <f>IF(Query1[[#This Row],[ItemType]]="EVAP KIT SF GEN IV",Query1[[#This Row],[OrderQty]]+I4056,I4056)</f>
        <v>5015</v>
      </c>
      <c r="J4057" s="1">
        <f>IF(Query1[[#This Row],[ItemType]]="EVAP KIT UNIVERSAL",Query1[[#This Row],[OrderQty]]+J4056,J4056)</f>
        <v>1666</v>
      </c>
      <c r="K4057" s="1">
        <f>Query1[[#This Row],[SF Running Total]]+Query1[[#This Row],[UNIV Running Total]]</f>
        <v>6681</v>
      </c>
      <c r="L4057">
        <f>VLOOKUP(Query1[[#This Row],[Description]],'kits to boards'!$B$2:$E$156,2,FALSE)</f>
        <v>830050</v>
      </c>
      <c r="M4057">
        <f>VLOOKUP(Query1[[#This Row],[Description]],'kits to boards'!$B$2:$E$156,3,FALSE)</f>
        <v>0</v>
      </c>
      <c r="N4057">
        <f>VLOOKUP(Query1[[#This Row],[Description]],'kits to boards'!$B$2:$E$156,4,FALSE)</f>
        <v>0</v>
      </c>
      <c r="O4057" t="str">
        <f>CONCATENATE(Query1[[#This Row],[Description]]," - ",Query1[[#This Row],[MB1]]," - ",Query1[[#This Row],[MB2]]," - ",Query1[[#This Row],[MB3]])</f>
        <v>EVAP KIT 70-78 CAMARO WO AC - 830050 - 0 - 0</v>
      </c>
    </row>
    <row r="4058" spans="1:15" x14ac:dyDescent="0.25">
      <c r="A4058" s="1">
        <v>919909</v>
      </c>
      <c r="B4058" s="1" t="s">
        <v>261</v>
      </c>
      <c r="C4058" s="1" t="s">
        <v>262</v>
      </c>
      <c r="D4058" s="2">
        <v>44669.324255902779</v>
      </c>
      <c r="E4058" s="1" t="s">
        <v>8</v>
      </c>
      <c r="F4058" s="1">
        <v>1</v>
      </c>
      <c r="G4058" s="1">
        <v>0</v>
      </c>
      <c r="H4058" s="6">
        <f>INT(Query1[[#This Row],[EntryDateTime]])</f>
        <v>44669</v>
      </c>
      <c r="I4058" s="1">
        <f>IF(Query1[[#This Row],[ItemType]]="EVAP KIT SF GEN IV",Query1[[#This Row],[OrderQty]]+I4057,I4057)</f>
        <v>5016</v>
      </c>
      <c r="J4058" s="1">
        <f>IF(Query1[[#This Row],[ItemType]]="EVAP KIT UNIVERSAL",Query1[[#This Row],[OrderQty]]+J4057,J4057)</f>
        <v>1666</v>
      </c>
      <c r="K4058" s="1">
        <f>Query1[[#This Row],[SF Running Total]]+Query1[[#This Row],[UNIV Running Total]]</f>
        <v>6682</v>
      </c>
      <c r="L4058">
        <f>VLOOKUP(Query1[[#This Row],[Description]],'kits to boards'!$B$2:$E$156,2,FALSE)</f>
        <v>830074</v>
      </c>
      <c r="M4058">
        <f>VLOOKUP(Query1[[#This Row],[Description]],'kits to boards'!$B$2:$E$156,3,FALSE)</f>
        <v>0</v>
      </c>
      <c r="N4058">
        <f>VLOOKUP(Query1[[#This Row],[Description]],'kits to boards'!$B$2:$E$156,4,FALSE)</f>
        <v>0</v>
      </c>
      <c r="O4058" t="str">
        <f>CONCATENATE(Query1[[#This Row],[Description]]," - ",Query1[[#This Row],[MB1]]," - ",Query1[[#This Row],[MB2]]," - ",Query1[[#This Row],[MB3]])</f>
        <v>EVAP KIT 68 MOPAR B BODY W/AC - 830074 - 0 - 0</v>
      </c>
    </row>
    <row r="4059" spans="1:15" x14ac:dyDescent="0.25">
      <c r="A4059" s="1">
        <v>919913</v>
      </c>
      <c r="B4059" s="1" t="s">
        <v>244</v>
      </c>
      <c r="C4059" s="1" t="s">
        <v>245</v>
      </c>
      <c r="D4059" s="2">
        <v>44669.325297222225</v>
      </c>
      <c r="E4059" s="1" t="s">
        <v>8</v>
      </c>
      <c r="F4059" s="1">
        <v>1</v>
      </c>
      <c r="G4059" s="1">
        <v>0</v>
      </c>
      <c r="H4059" s="6">
        <f>INT(Query1[[#This Row],[EntryDateTime]])</f>
        <v>44669</v>
      </c>
      <c r="I4059" s="1">
        <f>IF(Query1[[#This Row],[ItemType]]="EVAP KIT SF GEN IV",Query1[[#This Row],[OrderQty]]+I4058,I4058)</f>
        <v>5017</v>
      </c>
      <c r="J4059" s="1">
        <f>IF(Query1[[#This Row],[ItemType]]="EVAP KIT UNIVERSAL",Query1[[#This Row],[OrderQty]]+J4058,J4058)</f>
        <v>1666</v>
      </c>
      <c r="K4059" s="1">
        <f>Query1[[#This Row],[SF Running Total]]+Query1[[#This Row],[UNIV Running Total]]</f>
        <v>6683</v>
      </c>
      <c r="L4059">
        <f>VLOOKUP(Query1[[#This Row],[Description]],'kits to boards'!$B$2:$E$156,2,FALSE)</f>
        <v>830100</v>
      </c>
      <c r="M4059">
        <f>VLOOKUP(Query1[[#This Row],[Description]],'kits to boards'!$B$2:$E$156,3,FALSE)</f>
        <v>0</v>
      </c>
      <c r="N4059">
        <f>VLOOKUP(Query1[[#This Row],[Description]],'kits to boards'!$B$2:$E$156,4,FALSE)</f>
        <v>0</v>
      </c>
      <c r="O4059" t="str">
        <f>CONCATENATE(Query1[[#This Row],[Description]]," - ",Query1[[#This Row],[MB1]]," - ",Query1[[#This Row],[MB2]]," - ",Query1[[#This Row],[MB3]])</f>
        <v>EVAP KIT 68-76 VETTE WO AC - 830100 - 0 - 0</v>
      </c>
    </row>
    <row r="4060" spans="1:15" x14ac:dyDescent="0.25">
      <c r="A4060" s="1">
        <v>919917</v>
      </c>
      <c r="B4060" s="1" t="s">
        <v>22</v>
      </c>
      <c r="C4060" s="1" t="s">
        <v>23</v>
      </c>
      <c r="D4060" s="2">
        <v>44669.327384340279</v>
      </c>
      <c r="E4060" s="1" t="s">
        <v>8</v>
      </c>
      <c r="F4060" s="1">
        <v>1</v>
      </c>
      <c r="G4060" s="1">
        <v>0</v>
      </c>
      <c r="H4060" s="6">
        <f>INT(Query1[[#This Row],[EntryDateTime]])</f>
        <v>44669</v>
      </c>
      <c r="I4060" s="1">
        <f>IF(Query1[[#This Row],[ItemType]]="EVAP KIT SF GEN IV",Query1[[#This Row],[OrderQty]]+I4059,I4059)</f>
        <v>5018</v>
      </c>
      <c r="J4060" s="1">
        <f>IF(Query1[[#This Row],[ItemType]]="EVAP KIT UNIVERSAL",Query1[[#This Row],[OrderQty]]+J4059,J4059)</f>
        <v>1666</v>
      </c>
      <c r="K4060" s="1">
        <f>Query1[[#This Row],[SF Running Total]]+Query1[[#This Row],[UNIV Running Total]]</f>
        <v>6684</v>
      </c>
      <c r="L4060">
        <f>VLOOKUP(Query1[[#This Row],[Description]],'kits to boards'!$B$2:$E$156,2,FALSE)</f>
        <v>830083</v>
      </c>
      <c r="M4060">
        <f>VLOOKUP(Query1[[#This Row],[Description]],'kits to boards'!$B$2:$E$156,3,FALSE)</f>
        <v>0</v>
      </c>
      <c r="N4060">
        <f>VLOOKUP(Query1[[#This Row],[Description]],'kits to boards'!$B$2:$E$156,4,FALSE)</f>
        <v>0</v>
      </c>
      <c r="O4060" t="str">
        <f>CONCATENATE(Query1[[#This Row],[Description]]," - ",Query1[[#This Row],[MB1]]," - ",Query1[[#This Row],[MB2]]," - ",Query1[[#This Row],[MB3]])</f>
        <v>GEN IV MAGNUM EVAP KIT - 830083 - 0 - 0</v>
      </c>
    </row>
    <row r="4061" spans="1:15" x14ac:dyDescent="0.25">
      <c r="A4061" s="1">
        <v>919917</v>
      </c>
      <c r="B4061" s="1" t="s">
        <v>30</v>
      </c>
      <c r="C4061" s="1" t="s">
        <v>31</v>
      </c>
      <c r="D4061" s="2">
        <v>44669.327387962963</v>
      </c>
      <c r="E4061" s="1" t="s">
        <v>8</v>
      </c>
      <c r="F4061" s="1">
        <v>1</v>
      </c>
      <c r="G4061" s="1">
        <v>0</v>
      </c>
      <c r="H4061" s="6">
        <f>INT(Query1[[#This Row],[EntryDateTime]])</f>
        <v>44669</v>
      </c>
      <c r="I4061" s="1">
        <f>IF(Query1[[#This Row],[ItemType]]="EVAP KIT SF GEN IV",Query1[[#This Row],[OrderQty]]+I4060,I4060)</f>
        <v>5019</v>
      </c>
      <c r="J4061" s="1">
        <f>IF(Query1[[#This Row],[ItemType]]="EVAP KIT UNIVERSAL",Query1[[#This Row],[OrderQty]]+J4060,J4060)</f>
        <v>1666</v>
      </c>
      <c r="K4061" s="1">
        <f>Query1[[#This Row],[SF Running Total]]+Query1[[#This Row],[UNIV Running Total]]</f>
        <v>6685</v>
      </c>
      <c r="L4061">
        <f>VLOOKUP(Query1[[#This Row],[Description]],'kits to boards'!$B$2:$E$156,2,FALSE)</f>
        <v>830054</v>
      </c>
      <c r="M4061">
        <f>VLOOKUP(Query1[[#This Row],[Description]],'kits to boards'!$B$2:$E$156,3,FALSE)</f>
        <v>0</v>
      </c>
      <c r="N4061">
        <f>VLOOKUP(Query1[[#This Row],[Description]],'kits to boards'!$B$2:$E$156,4,FALSE)</f>
        <v>0</v>
      </c>
      <c r="O4061" t="str">
        <f>CONCATENATE(Query1[[#This Row],[Description]]," - ",Query1[[#This Row],[MB1]]," - ",Query1[[#This Row],[MB2]]," - ",Query1[[#This Row],[MB3]])</f>
        <v>EVAP KIT 55-56 CHEVY 4-VENT - 830054 - 0 - 0</v>
      </c>
    </row>
    <row r="4062" spans="1:15" x14ac:dyDescent="0.25">
      <c r="A4062" s="1">
        <v>919917</v>
      </c>
      <c r="B4062" s="1" t="s">
        <v>132</v>
      </c>
      <c r="C4062" s="1" t="s">
        <v>133</v>
      </c>
      <c r="D4062" s="2">
        <v>44669.327391631945</v>
      </c>
      <c r="E4062" s="1" t="s">
        <v>8</v>
      </c>
      <c r="F4062" s="1">
        <v>1</v>
      </c>
      <c r="G4062" s="1">
        <v>0</v>
      </c>
      <c r="H4062" s="6">
        <f>INT(Query1[[#This Row],[EntryDateTime]])</f>
        <v>44669</v>
      </c>
      <c r="I4062" s="1">
        <f>IF(Query1[[#This Row],[ItemType]]="EVAP KIT SF GEN IV",Query1[[#This Row],[OrderQty]]+I4061,I4061)</f>
        <v>5020</v>
      </c>
      <c r="J4062" s="1">
        <f>IF(Query1[[#This Row],[ItemType]]="EVAP KIT UNIVERSAL",Query1[[#This Row],[OrderQty]]+J4061,J4061)</f>
        <v>1666</v>
      </c>
      <c r="K4062" s="1">
        <f>Query1[[#This Row],[SF Running Total]]+Query1[[#This Row],[UNIV Running Total]]</f>
        <v>6686</v>
      </c>
      <c r="L4062">
        <f>VLOOKUP(Query1[[#This Row],[Description]],'kits to boards'!$B$2:$E$156,2,FALSE)</f>
        <v>830005</v>
      </c>
      <c r="M4062">
        <f>VLOOKUP(Query1[[#This Row],[Description]],'kits to boards'!$B$2:$E$156,3,FALSE)</f>
        <v>0</v>
      </c>
      <c r="N4062">
        <f>VLOOKUP(Query1[[#This Row],[Description]],'kits to boards'!$B$2:$E$156,4,FALSE)</f>
        <v>0</v>
      </c>
      <c r="O4062" t="str">
        <f>CONCATENATE(Query1[[#This Row],[Description]]," - ",Query1[[#This Row],[MB1]]," - ",Query1[[#This Row],[MB2]]," - ",Query1[[#This Row],[MB3]])</f>
        <v>EVAP KIT 61-62 IMPALA WO AC - 830005 - 0 - 0</v>
      </c>
    </row>
    <row r="4063" spans="1:15" x14ac:dyDescent="0.25">
      <c r="A4063" s="1">
        <v>919917</v>
      </c>
      <c r="B4063" s="1" t="s">
        <v>222</v>
      </c>
      <c r="C4063" s="1" t="s">
        <v>223</v>
      </c>
      <c r="D4063" s="2">
        <v>44669.327395289351</v>
      </c>
      <c r="E4063" s="1" t="s">
        <v>8</v>
      </c>
      <c r="F4063" s="1">
        <v>1</v>
      </c>
      <c r="G4063" s="1">
        <v>0</v>
      </c>
      <c r="H4063" s="6">
        <f>INT(Query1[[#This Row],[EntryDateTime]])</f>
        <v>44669</v>
      </c>
      <c r="I4063" s="1">
        <f>IF(Query1[[#This Row],[ItemType]]="EVAP KIT SF GEN IV",Query1[[#This Row],[OrderQty]]+I4062,I4062)</f>
        <v>5021</v>
      </c>
      <c r="J4063" s="1">
        <f>IF(Query1[[#This Row],[ItemType]]="EVAP KIT UNIVERSAL",Query1[[#This Row],[OrderQty]]+J4062,J4062)</f>
        <v>1666</v>
      </c>
      <c r="K4063" s="1">
        <f>Query1[[#This Row],[SF Running Total]]+Query1[[#This Row],[UNIV Running Total]]</f>
        <v>6687</v>
      </c>
      <c r="L4063">
        <f>VLOOKUP(Query1[[#This Row],[Description]],'kits to boards'!$B$2:$E$156,2,FALSE)</f>
        <v>830093</v>
      </c>
      <c r="M4063">
        <f>VLOOKUP(Query1[[#This Row],[Description]],'kits to boards'!$B$2:$E$156,3,FALSE)</f>
        <v>0</v>
      </c>
      <c r="N4063">
        <f>VLOOKUP(Query1[[#This Row],[Description]],'kits to boards'!$B$2:$E$156,4,FALSE)</f>
        <v>0</v>
      </c>
      <c r="O4063" t="str">
        <f>CONCATENATE(Query1[[#This Row],[Description]]," - ",Query1[[#This Row],[MB1]]," - ",Query1[[#This Row],[MB2]]," - ",Query1[[#This Row],[MB3]])</f>
        <v>EVAP KIT 67 VETTE WO AC - 830093 - 0 - 0</v>
      </c>
    </row>
    <row r="4064" spans="1:15" x14ac:dyDescent="0.25">
      <c r="A4064" s="1">
        <v>919917</v>
      </c>
      <c r="B4064" s="1" t="s">
        <v>194</v>
      </c>
      <c r="C4064" s="1" t="s">
        <v>195</v>
      </c>
      <c r="D4064" s="2">
        <v>44669.327398807873</v>
      </c>
      <c r="E4064" s="1" t="s">
        <v>8</v>
      </c>
      <c r="F4064" s="1">
        <v>1</v>
      </c>
      <c r="G4064" s="1">
        <v>0</v>
      </c>
      <c r="H4064" s="6">
        <f>INT(Query1[[#This Row],[EntryDateTime]])</f>
        <v>44669</v>
      </c>
      <c r="I4064" s="1">
        <f>IF(Query1[[#This Row],[ItemType]]="EVAP KIT SF GEN IV",Query1[[#This Row],[OrderQty]]+I4063,I4063)</f>
        <v>5022</v>
      </c>
      <c r="J4064" s="1">
        <f>IF(Query1[[#This Row],[ItemType]]="EVAP KIT UNIVERSAL",Query1[[#This Row],[OrderQty]]+J4063,J4063)</f>
        <v>1666</v>
      </c>
      <c r="K4064" s="1">
        <f>Query1[[#This Row],[SF Running Total]]+Query1[[#This Row],[UNIV Running Total]]</f>
        <v>6688</v>
      </c>
      <c r="L4064">
        <f>VLOOKUP(Query1[[#This Row],[Description]],'kits to boards'!$B$2:$E$156,2,FALSE)</f>
        <v>830103</v>
      </c>
      <c r="M4064">
        <f>VLOOKUP(Query1[[#This Row],[Description]],'kits to boards'!$B$2:$E$156,3,FALSE)</f>
        <v>0</v>
      </c>
      <c r="N4064">
        <f>VLOOKUP(Query1[[#This Row],[Description]],'kits to boards'!$B$2:$E$156,4,FALSE)</f>
        <v>0</v>
      </c>
      <c r="O4064" t="str">
        <f>CONCATENATE(Query1[[#This Row],[Description]]," - ",Query1[[#This Row],[MB1]]," - ",Query1[[#This Row],[MB2]]," - ",Query1[[#This Row],[MB3]])</f>
        <v>EVAP KIT 78-82 VETTE W/AC - 830103 - 0 - 0</v>
      </c>
    </row>
    <row r="4065" spans="1:15" x14ac:dyDescent="0.25">
      <c r="A4065" s="1">
        <v>919917</v>
      </c>
      <c r="B4065" s="1" t="s">
        <v>116</v>
      </c>
      <c r="C4065" s="1" t="s">
        <v>117</v>
      </c>
      <c r="D4065" s="2">
        <v>44669.327402233794</v>
      </c>
      <c r="E4065" s="1" t="s">
        <v>8</v>
      </c>
      <c r="F4065" s="1">
        <v>1</v>
      </c>
      <c r="G4065" s="1">
        <v>0</v>
      </c>
      <c r="H4065" s="6">
        <f>INT(Query1[[#This Row],[EntryDateTime]])</f>
        <v>44669</v>
      </c>
      <c r="I4065" s="1">
        <f>IF(Query1[[#This Row],[ItemType]]="EVAP KIT SF GEN IV",Query1[[#This Row],[OrderQty]]+I4064,I4064)</f>
        <v>5023</v>
      </c>
      <c r="J4065" s="1">
        <f>IF(Query1[[#This Row],[ItemType]]="EVAP KIT UNIVERSAL",Query1[[#This Row],[OrderQty]]+J4064,J4064)</f>
        <v>1666</v>
      </c>
      <c r="K4065" s="1">
        <f>Query1[[#This Row],[SF Running Total]]+Query1[[#This Row],[UNIV Running Total]]</f>
        <v>6689</v>
      </c>
      <c r="L4065">
        <f>VLOOKUP(Query1[[#This Row],[Description]],'kits to boards'!$B$2:$E$156,2,FALSE)</f>
        <v>830058</v>
      </c>
      <c r="M4065">
        <f>VLOOKUP(Query1[[#This Row],[Description]],'kits to boards'!$B$2:$E$156,3,FALSE)</f>
        <v>0</v>
      </c>
      <c r="N4065">
        <f>VLOOKUP(Query1[[#This Row],[Description]],'kits to boards'!$B$2:$E$156,4,FALSE)</f>
        <v>0</v>
      </c>
      <c r="O4065" t="str">
        <f>CONCATENATE(Query1[[#This Row],[Description]]," - ",Query1[[#This Row],[MB1]]," - ",Query1[[#This Row],[MB2]]," - ",Query1[[#This Row],[MB3]])</f>
        <v>EVAP KIT 64-65 CHEVELLE WO AC - 830058 - 0 - 0</v>
      </c>
    </row>
    <row r="4066" spans="1:15" x14ac:dyDescent="0.25">
      <c r="A4066" s="1">
        <v>919917</v>
      </c>
      <c r="B4066" s="1" t="s">
        <v>114</v>
      </c>
      <c r="C4066" s="1" t="s">
        <v>115</v>
      </c>
      <c r="D4066" s="2">
        <v>44669.327405821758</v>
      </c>
      <c r="E4066" s="1" t="s">
        <v>8</v>
      </c>
      <c r="F4066" s="1">
        <v>1</v>
      </c>
      <c r="G4066" s="1">
        <v>0</v>
      </c>
      <c r="H4066" s="6">
        <f>INT(Query1[[#This Row],[EntryDateTime]])</f>
        <v>44669</v>
      </c>
      <c r="I4066" s="1">
        <f>IF(Query1[[#This Row],[ItemType]]="EVAP KIT SF GEN IV",Query1[[#This Row],[OrderQty]]+I4065,I4065)</f>
        <v>5024</v>
      </c>
      <c r="J4066" s="1">
        <f>IF(Query1[[#This Row],[ItemType]]="EVAP KIT UNIVERSAL",Query1[[#This Row],[OrderQty]]+J4065,J4065)</f>
        <v>1666</v>
      </c>
      <c r="K4066" s="1">
        <f>Query1[[#This Row],[SF Running Total]]+Query1[[#This Row],[UNIV Running Total]]</f>
        <v>6690</v>
      </c>
      <c r="L4066">
        <f>VLOOKUP(Query1[[#This Row],[Description]],'kits to boards'!$B$2:$E$156,2,FALSE)</f>
        <v>830059</v>
      </c>
      <c r="M4066">
        <f>VLOOKUP(Query1[[#This Row],[Description]],'kits to boards'!$B$2:$E$156,3,FALSE)</f>
        <v>0</v>
      </c>
      <c r="N4066">
        <f>VLOOKUP(Query1[[#This Row],[Description]],'kits to boards'!$B$2:$E$156,4,FALSE)</f>
        <v>0</v>
      </c>
      <c r="O4066" t="str">
        <f>CONCATENATE(Query1[[#This Row],[Description]]," - ",Query1[[#This Row],[MB1]]," - ",Query1[[#This Row],[MB2]]," - ",Query1[[#This Row],[MB3]])</f>
        <v>EVAP KIT 66-67 CHEVELLE W/AC - 830059 - 0 - 0</v>
      </c>
    </row>
    <row r="4067" spans="1:15" x14ac:dyDescent="0.25">
      <c r="A4067" s="1">
        <v>919917</v>
      </c>
      <c r="B4067" s="1" t="s">
        <v>56</v>
      </c>
      <c r="C4067" s="1" t="s">
        <v>57</v>
      </c>
      <c r="D4067" s="2">
        <v>44669.32740934028</v>
      </c>
      <c r="E4067" s="1" t="s">
        <v>8</v>
      </c>
      <c r="F4067" s="1">
        <v>2</v>
      </c>
      <c r="G4067" s="1">
        <v>0</v>
      </c>
      <c r="H4067" s="6">
        <f>INT(Query1[[#This Row],[EntryDateTime]])</f>
        <v>44669</v>
      </c>
      <c r="I4067" s="1">
        <f>IF(Query1[[#This Row],[ItemType]]="EVAP KIT SF GEN IV",Query1[[#This Row],[OrderQty]]+I4066,I4066)</f>
        <v>5026</v>
      </c>
      <c r="J4067" s="1">
        <f>IF(Query1[[#This Row],[ItemType]]="EVAP KIT UNIVERSAL",Query1[[#This Row],[OrderQty]]+J4066,J4066)</f>
        <v>1666</v>
      </c>
      <c r="K4067" s="1">
        <f>Query1[[#This Row],[SF Running Total]]+Query1[[#This Row],[UNIV Running Total]]</f>
        <v>6692</v>
      </c>
      <c r="L4067">
        <f>VLOOKUP(Query1[[#This Row],[Description]],'kits to boards'!$B$2:$E$156,2,FALSE)</f>
        <v>830011</v>
      </c>
      <c r="M4067">
        <f>VLOOKUP(Query1[[#This Row],[Description]],'kits to boards'!$B$2:$E$156,3,FALSE)</f>
        <v>0</v>
      </c>
      <c r="N4067">
        <f>VLOOKUP(Query1[[#This Row],[Description]],'kits to boards'!$B$2:$E$156,4,FALSE)</f>
        <v>0</v>
      </c>
      <c r="O4067" t="str">
        <f>CONCATENATE(Query1[[#This Row],[Description]]," - ",Query1[[#This Row],[MB1]]," - ",Query1[[#This Row],[MB2]]," - ",Query1[[#This Row],[MB3]])</f>
        <v>EVAP KIT 70-72 CHEVELLE W/AC - 830011 - 0 - 0</v>
      </c>
    </row>
    <row r="4068" spans="1:15" x14ac:dyDescent="0.25">
      <c r="A4068" s="1">
        <v>919917</v>
      </c>
      <c r="B4068" s="1" t="s">
        <v>152</v>
      </c>
      <c r="C4068" s="1" t="s">
        <v>153</v>
      </c>
      <c r="D4068" s="2">
        <v>44669.327412812498</v>
      </c>
      <c r="E4068" s="1" t="s">
        <v>8</v>
      </c>
      <c r="F4068" s="1">
        <v>1</v>
      </c>
      <c r="G4068" s="1">
        <v>0</v>
      </c>
      <c r="H4068" s="6">
        <f>INT(Query1[[#This Row],[EntryDateTime]])</f>
        <v>44669</v>
      </c>
      <c r="I4068" s="1">
        <f>IF(Query1[[#This Row],[ItemType]]="EVAP KIT SF GEN IV",Query1[[#This Row],[OrderQty]]+I4067,I4067)</f>
        <v>5027</v>
      </c>
      <c r="J4068" s="1">
        <f>IF(Query1[[#This Row],[ItemType]]="EVAP KIT UNIVERSAL",Query1[[#This Row],[OrderQty]]+J4067,J4067)</f>
        <v>1666</v>
      </c>
      <c r="K4068" s="1">
        <f>Query1[[#This Row],[SF Running Total]]+Query1[[#This Row],[UNIV Running Total]]</f>
        <v>6693</v>
      </c>
      <c r="L4068">
        <f>VLOOKUP(Query1[[#This Row],[Description]],'kits to boards'!$B$2:$E$156,2,FALSE)</f>
        <v>830034</v>
      </c>
      <c r="M4068">
        <f>VLOOKUP(Query1[[#This Row],[Description]],'kits to boards'!$B$2:$E$156,3,FALSE)</f>
        <v>0</v>
      </c>
      <c r="N4068">
        <f>VLOOKUP(Query1[[#This Row],[Description]],'kits to boards'!$B$2:$E$156,4,FALSE)</f>
        <v>0</v>
      </c>
      <c r="O4068" t="str">
        <f>CONCATENATE(Query1[[#This Row],[Description]]," - ",Query1[[#This Row],[MB1]]," - ",Query1[[#This Row],[MB2]]," - ",Query1[[#This Row],[MB3]])</f>
        <v>EVAP KIT 64-67 GTO WO AC - 830034 - 0 - 0</v>
      </c>
    </row>
    <row r="4069" spans="1:15" x14ac:dyDescent="0.25">
      <c r="A4069" s="1">
        <v>919917</v>
      </c>
      <c r="B4069" s="1" t="s">
        <v>212</v>
      </c>
      <c r="C4069" s="1" t="s">
        <v>213</v>
      </c>
      <c r="D4069" s="2">
        <v>44669.327416319444</v>
      </c>
      <c r="E4069" s="1" t="s">
        <v>8</v>
      </c>
      <c r="F4069" s="1">
        <v>1</v>
      </c>
      <c r="G4069" s="1">
        <v>0</v>
      </c>
      <c r="H4069" s="6">
        <f>INT(Query1[[#This Row],[EntryDateTime]])</f>
        <v>44669</v>
      </c>
      <c r="I4069" s="1">
        <f>IF(Query1[[#This Row],[ItemType]]="EVAP KIT SF GEN IV",Query1[[#This Row],[OrderQty]]+I4068,I4068)</f>
        <v>5028</v>
      </c>
      <c r="J4069" s="1">
        <f>IF(Query1[[#This Row],[ItemType]]="EVAP KIT UNIVERSAL",Query1[[#This Row],[OrderQty]]+J4068,J4068)</f>
        <v>1666</v>
      </c>
      <c r="K4069" s="1">
        <f>Query1[[#This Row],[SF Running Total]]+Query1[[#This Row],[UNIV Running Total]]</f>
        <v>6694</v>
      </c>
      <c r="L4069">
        <f>VLOOKUP(Query1[[#This Row],[Description]],'kits to boards'!$B$2:$E$156,2,FALSE)</f>
        <v>830034</v>
      </c>
      <c r="M4069">
        <f>VLOOKUP(Query1[[#This Row],[Description]],'kits to boards'!$B$2:$E$156,3,FALSE)</f>
        <v>0</v>
      </c>
      <c r="N4069">
        <f>VLOOKUP(Query1[[#This Row],[Description]],'kits to boards'!$B$2:$E$156,4,FALSE)</f>
        <v>0</v>
      </c>
      <c r="O4069" t="str">
        <f>CONCATENATE(Query1[[#This Row],[Description]]," - ",Query1[[#This Row],[MB1]]," - ",Query1[[#This Row],[MB2]]," - ",Query1[[#This Row],[MB3]])</f>
        <v>EVAP KIT 64-67 GTO W/AC - 830034 - 0 - 0</v>
      </c>
    </row>
    <row r="4070" spans="1:15" x14ac:dyDescent="0.25">
      <c r="A4070" s="1">
        <v>919917</v>
      </c>
      <c r="B4070" s="1" t="s">
        <v>224</v>
      </c>
      <c r="C4070" s="1" t="s">
        <v>225</v>
      </c>
      <c r="D4070" s="2">
        <v>44669.327419791669</v>
      </c>
      <c r="E4070" s="1" t="s">
        <v>8</v>
      </c>
      <c r="F4070" s="1">
        <v>1</v>
      </c>
      <c r="G4070" s="1">
        <v>0</v>
      </c>
      <c r="H4070" s="6">
        <f>INT(Query1[[#This Row],[EntryDateTime]])</f>
        <v>44669</v>
      </c>
      <c r="I4070" s="1">
        <f>IF(Query1[[#This Row],[ItemType]]="EVAP KIT SF GEN IV",Query1[[#This Row],[OrderQty]]+I4069,I4069)</f>
        <v>5029</v>
      </c>
      <c r="J4070" s="1">
        <f>IF(Query1[[#This Row],[ItemType]]="EVAP KIT UNIVERSAL",Query1[[#This Row],[OrderQty]]+J4069,J4069)</f>
        <v>1666</v>
      </c>
      <c r="K4070" s="1">
        <f>Query1[[#This Row],[SF Running Total]]+Query1[[#This Row],[UNIV Running Total]]</f>
        <v>6695</v>
      </c>
      <c r="L4070">
        <f>VLOOKUP(Query1[[#This Row],[Description]],'kits to boards'!$B$2:$E$156,2,FALSE)</f>
        <v>830124</v>
      </c>
      <c r="M4070">
        <f>VLOOKUP(Query1[[#This Row],[Description]],'kits to boards'!$B$2:$E$156,3,FALSE)</f>
        <v>0</v>
      </c>
      <c r="N4070">
        <f>VLOOKUP(Query1[[#This Row],[Description]],'kits to boards'!$B$2:$E$156,4,FALSE)</f>
        <v>0</v>
      </c>
      <c r="O4070" t="str">
        <f>CONCATENATE(Query1[[#This Row],[Description]]," - ",Query1[[#This Row],[MB1]]," - ",Query1[[#This Row],[MB2]]," - ",Query1[[#This Row],[MB3]])</f>
        <v>EVAP KIT 70-72 GTO WO/AC - 830124 - 0 - 0</v>
      </c>
    </row>
    <row r="4071" spans="1:15" x14ac:dyDescent="0.25">
      <c r="A4071" s="1">
        <v>919917</v>
      </c>
      <c r="B4071" s="1" t="s">
        <v>198</v>
      </c>
      <c r="C4071" s="1" t="s">
        <v>199</v>
      </c>
      <c r="D4071" s="2">
        <v>44669.327423298608</v>
      </c>
      <c r="E4071" s="1" t="s">
        <v>8</v>
      </c>
      <c r="F4071" s="1">
        <v>1</v>
      </c>
      <c r="G4071" s="1">
        <v>0</v>
      </c>
      <c r="H4071" s="6">
        <f>INT(Query1[[#This Row],[EntryDateTime]])</f>
        <v>44669</v>
      </c>
      <c r="I4071" s="1">
        <f>IF(Query1[[#This Row],[ItemType]]="EVAP KIT SF GEN IV",Query1[[#This Row],[OrderQty]]+I4070,I4070)</f>
        <v>5030</v>
      </c>
      <c r="J4071" s="1">
        <f>IF(Query1[[#This Row],[ItemType]]="EVAP KIT UNIVERSAL",Query1[[#This Row],[OrderQty]]+J4070,J4070)</f>
        <v>1666</v>
      </c>
      <c r="K4071" s="1">
        <f>Query1[[#This Row],[SF Running Total]]+Query1[[#This Row],[UNIV Running Total]]</f>
        <v>6696</v>
      </c>
      <c r="L4071">
        <f>VLOOKUP(Query1[[#This Row],[Description]],'kits to boards'!$B$2:$E$156,2,FALSE)</f>
        <v>830042</v>
      </c>
      <c r="M4071">
        <f>VLOOKUP(Query1[[#This Row],[Description]],'kits to boards'!$B$2:$E$156,3,FALSE)</f>
        <v>0</v>
      </c>
      <c r="N4071">
        <f>VLOOKUP(Query1[[#This Row],[Description]],'kits to boards'!$B$2:$E$156,4,FALSE)</f>
        <v>0</v>
      </c>
      <c r="O4071" t="str">
        <f>CONCATENATE(Query1[[#This Row],[Description]]," - ",Query1[[#This Row],[MB1]]," - ",Query1[[#This Row],[MB2]]," - ",Query1[[#This Row],[MB3]])</f>
        <v>EVAP KIT 68-83 TOYOTA FJ40 ULTRA HIGH PERF - 830042 - 0 - 0</v>
      </c>
    </row>
    <row r="4072" spans="1:15" x14ac:dyDescent="0.25">
      <c r="A4072" s="1">
        <v>919917</v>
      </c>
      <c r="B4072" s="1" t="s">
        <v>160</v>
      </c>
      <c r="C4072" s="1" t="s">
        <v>161</v>
      </c>
      <c r="D4072" s="2">
        <v>44669.32742681713</v>
      </c>
      <c r="E4072" s="1" t="s">
        <v>8</v>
      </c>
      <c r="F4072" s="1">
        <v>3</v>
      </c>
      <c r="G4072" s="1">
        <v>0</v>
      </c>
      <c r="H4072" s="6">
        <f>INT(Query1[[#This Row],[EntryDateTime]])</f>
        <v>44669</v>
      </c>
      <c r="I4072" s="1">
        <f>IF(Query1[[#This Row],[ItemType]]="EVAP KIT SF GEN IV",Query1[[#This Row],[OrderQty]]+I4071,I4071)</f>
        <v>5033</v>
      </c>
      <c r="J4072" s="1">
        <f>IF(Query1[[#This Row],[ItemType]]="EVAP KIT UNIVERSAL",Query1[[#This Row],[OrderQty]]+J4071,J4071)</f>
        <v>1666</v>
      </c>
      <c r="K4072" s="1">
        <f>Query1[[#This Row],[SF Running Total]]+Query1[[#This Row],[UNIV Running Total]]</f>
        <v>6699</v>
      </c>
      <c r="L4072">
        <f>VLOOKUP(Query1[[#This Row],[Description]],'kits to boards'!$B$2:$E$156,2,FALSE)</f>
        <v>830083</v>
      </c>
      <c r="M4072">
        <f>VLOOKUP(Query1[[#This Row],[Description]],'kits to boards'!$B$2:$E$156,3,FALSE)</f>
        <v>0</v>
      </c>
      <c r="N4072">
        <f>VLOOKUP(Query1[[#This Row],[Description]],'kits to boards'!$B$2:$E$156,4,FALSE)</f>
        <v>0</v>
      </c>
      <c r="O4072" t="str">
        <f>CONCATENATE(Query1[[#This Row],[Description]]," - ",Query1[[#This Row],[MB1]]," - ",Query1[[#This Row],[MB2]]," - ",Query1[[#This Row],[MB3]])</f>
        <v>EVAP KIT 70-74 CHALNGR/CUDA WO AC - 830083 - 0 - 0</v>
      </c>
    </row>
    <row r="4073" spans="1:15" x14ac:dyDescent="0.25">
      <c r="A4073" s="1">
        <v>919917</v>
      </c>
      <c r="B4073" s="1" t="s">
        <v>162</v>
      </c>
      <c r="C4073" s="1" t="s">
        <v>163</v>
      </c>
      <c r="D4073" s="2">
        <v>44669.327430243058</v>
      </c>
      <c r="E4073" s="1" t="s">
        <v>8</v>
      </c>
      <c r="F4073" s="1">
        <v>1</v>
      </c>
      <c r="G4073" s="1">
        <v>0</v>
      </c>
      <c r="H4073" s="6">
        <f>INT(Query1[[#This Row],[EntryDateTime]])</f>
        <v>44669</v>
      </c>
      <c r="I4073" s="1">
        <f>IF(Query1[[#This Row],[ItemType]]="EVAP KIT SF GEN IV",Query1[[#This Row],[OrderQty]]+I4072,I4072)</f>
        <v>5034</v>
      </c>
      <c r="J4073" s="1">
        <f>IF(Query1[[#This Row],[ItemType]]="EVAP KIT UNIVERSAL",Query1[[#This Row],[OrderQty]]+J4072,J4072)</f>
        <v>1666</v>
      </c>
      <c r="K4073" s="1">
        <f>Query1[[#This Row],[SF Running Total]]+Query1[[#This Row],[UNIV Running Total]]</f>
        <v>6700</v>
      </c>
      <c r="L4073">
        <f>VLOOKUP(Query1[[#This Row],[Description]],'kits to boards'!$B$2:$E$156,2,FALSE)</f>
        <v>830083</v>
      </c>
      <c r="M4073">
        <f>VLOOKUP(Query1[[#This Row],[Description]],'kits to boards'!$B$2:$E$156,3,FALSE)</f>
        <v>0</v>
      </c>
      <c r="N4073">
        <f>VLOOKUP(Query1[[#This Row],[Description]],'kits to boards'!$B$2:$E$156,4,FALSE)</f>
        <v>0</v>
      </c>
      <c r="O4073" t="str">
        <f>CONCATENATE(Query1[[#This Row],[Description]]," - ",Query1[[#This Row],[MB1]]," - ",Query1[[#This Row],[MB2]]," - ",Query1[[#This Row],[MB3]])</f>
        <v>EVAP KIT 70-74 CHALNGR/CUDA W/AC W/RD - 830083 - 0 - 0</v>
      </c>
    </row>
    <row r="4074" spans="1:15" x14ac:dyDescent="0.25">
      <c r="A4074" s="1">
        <v>919917</v>
      </c>
      <c r="B4074" s="1" t="s">
        <v>166</v>
      </c>
      <c r="C4074" s="1" t="s">
        <v>167</v>
      </c>
      <c r="D4074" s="2">
        <v>44669.327433680555</v>
      </c>
      <c r="E4074" s="1" t="s">
        <v>8</v>
      </c>
      <c r="F4074" s="1">
        <v>1</v>
      </c>
      <c r="G4074" s="1">
        <v>0</v>
      </c>
      <c r="H4074" s="6">
        <f>INT(Query1[[#This Row],[EntryDateTime]])</f>
        <v>44669</v>
      </c>
      <c r="I4074" s="1">
        <f>IF(Query1[[#This Row],[ItemType]]="EVAP KIT SF GEN IV",Query1[[#This Row],[OrderQty]]+I4073,I4073)</f>
        <v>5035</v>
      </c>
      <c r="J4074" s="1">
        <f>IF(Query1[[#This Row],[ItemType]]="EVAP KIT UNIVERSAL",Query1[[#This Row],[OrderQty]]+J4073,J4073)</f>
        <v>1666</v>
      </c>
      <c r="K4074" s="1">
        <f>Query1[[#This Row],[SF Running Total]]+Query1[[#This Row],[UNIV Running Total]]</f>
        <v>6701</v>
      </c>
      <c r="L4074">
        <f>VLOOKUP(Query1[[#This Row],[Description]],'kits to boards'!$B$2:$E$156,2,FALSE)</f>
        <v>830063</v>
      </c>
      <c r="M4074">
        <f>VLOOKUP(Query1[[#This Row],[Description]],'kits to boards'!$B$2:$E$156,3,FALSE)</f>
        <v>0</v>
      </c>
      <c r="N4074">
        <f>VLOOKUP(Query1[[#This Row],[Description]],'kits to boards'!$B$2:$E$156,4,FALSE)</f>
        <v>0</v>
      </c>
      <c r="O4074" t="str">
        <f>CONCATENATE(Query1[[#This Row],[Description]]," - ",Query1[[#This Row],[MB1]]," - ",Query1[[#This Row],[MB2]]," - ",Query1[[#This Row],[MB3]])</f>
        <v>EVAP KIT 47-49 CHEV P-UP GEN IV - 830063 - 0 - 0</v>
      </c>
    </row>
    <row r="4075" spans="1:15" x14ac:dyDescent="0.25">
      <c r="A4075" s="1">
        <v>919917</v>
      </c>
      <c r="B4075" s="1" t="s">
        <v>48</v>
      </c>
      <c r="C4075" s="1" t="s">
        <v>49</v>
      </c>
      <c r="D4075" s="2">
        <v>44669.327437268519</v>
      </c>
      <c r="E4075" s="1" t="s">
        <v>8</v>
      </c>
      <c r="F4075" s="1">
        <v>1</v>
      </c>
      <c r="G4075" s="1">
        <v>0</v>
      </c>
      <c r="H4075" s="6">
        <f>INT(Query1[[#This Row],[EntryDateTime]])</f>
        <v>44669</v>
      </c>
      <c r="I4075" s="1">
        <f>IF(Query1[[#This Row],[ItemType]]="EVAP KIT SF GEN IV",Query1[[#This Row],[OrderQty]]+I4074,I4074)</f>
        <v>5036</v>
      </c>
      <c r="J4075" s="1">
        <f>IF(Query1[[#This Row],[ItemType]]="EVAP KIT UNIVERSAL",Query1[[#This Row],[OrderQty]]+J4074,J4074)</f>
        <v>1666</v>
      </c>
      <c r="K4075" s="1">
        <f>Query1[[#This Row],[SF Running Total]]+Query1[[#This Row],[UNIV Running Total]]</f>
        <v>6702</v>
      </c>
      <c r="L4075">
        <f>VLOOKUP(Query1[[#This Row],[Description]],'kits to boards'!$B$2:$E$156,2,FALSE)</f>
        <v>830015</v>
      </c>
      <c r="M4075">
        <f>VLOOKUP(Query1[[#This Row],[Description]],'kits to boards'!$B$2:$E$156,3,FALSE)</f>
        <v>0</v>
      </c>
      <c r="N4075">
        <f>VLOOKUP(Query1[[#This Row],[Description]],'kits to boards'!$B$2:$E$156,4,FALSE)</f>
        <v>0</v>
      </c>
      <c r="O4075" t="str">
        <f>CONCATENATE(Query1[[#This Row],[Description]]," - ",Query1[[#This Row],[MB1]]," - ",Query1[[#This Row],[MB2]]," - ",Query1[[#This Row],[MB3]])</f>
        <v>EVAP KIT 64-66 CHEV P-UP WO AC W/DELX - 830015 - 0 - 0</v>
      </c>
    </row>
    <row r="4076" spans="1:15" x14ac:dyDescent="0.25">
      <c r="A4076" s="1">
        <v>919917</v>
      </c>
      <c r="B4076" s="1" t="s">
        <v>42</v>
      </c>
      <c r="C4076" s="1" t="s">
        <v>43</v>
      </c>
      <c r="D4076" s="2">
        <v>44669.327440775465</v>
      </c>
      <c r="E4076" s="1" t="s">
        <v>8</v>
      </c>
      <c r="F4076" s="1">
        <v>2</v>
      </c>
      <c r="G4076" s="1">
        <v>0</v>
      </c>
      <c r="H4076" s="6">
        <f>INT(Query1[[#This Row],[EntryDateTime]])</f>
        <v>44669</v>
      </c>
      <c r="I4076" s="1">
        <f>IF(Query1[[#This Row],[ItemType]]="EVAP KIT SF GEN IV",Query1[[#This Row],[OrderQty]]+I4075,I4075)</f>
        <v>5038</v>
      </c>
      <c r="J4076" s="1">
        <f>IF(Query1[[#This Row],[ItemType]]="EVAP KIT UNIVERSAL",Query1[[#This Row],[OrderQty]]+J4075,J4075)</f>
        <v>1666</v>
      </c>
      <c r="K4076" s="1">
        <f>Query1[[#This Row],[SF Running Total]]+Query1[[#This Row],[UNIV Running Total]]</f>
        <v>6704</v>
      </c>
      <c r="L4076">
        <f>VLOOKUP(Query1[[#This Row],[Description]],'kits to boards'!$B$2:$E$156,2,FALSE)</f>
        <v>830014</v>
      </c>
      <c r="M4076">
        <f>VLOOKUP(Query1[[#This Row],[Description]],'kits to boards'!$B$2:$E$156,3,FALSE)</f>
        <v>0</v>
      </c>
      <c r="N4076">
        <f>VLOOKUP(Query1[[#This Row],[Description]],'kits to boards'!$B$2:$E$156,4,FALSE)</f>
        <v>0</v>
      </c>
      <c r="O4076" t="str">
        <f>CONCATENATE(Query1[[#This Row],[Description]]," - ",Query1[[#This Row],[MB1]]," - ",Query1[[#This Row],[MB2]]," - ",Query1[[#This Row],[MB3]])</f>
        <v>EVAP KIT 67-72 CHEV P-UP WO AC - 830014 - 0 - 0</v>
      </c>
    </row>
    <row r="4077" spans="1:15" x14ac:dyDescent="0.25">
      <c r="A4077" s="1">
        <v>919917</v>
      </c>
      <c r="B4077" s="1" t="s">
        <v>26</v>
      </c>
      <c r="C4077" s="1" t="s">
        <v>27</v>
      </c>
      <c r="D4077" s="2">
        <v>44669.327444247683</v>
      </c>
      <c r="E4077" s="1" t="s">
        <v>8</v>
      </c>
      <c r="F4077" s="1">
        <v>1</v>
      </c>
      <c r="G4077" s="1">
        <v>0</v>
      </c>
      <c r="H4077" s="6">
        <f>INT(Query1[[#This Row],[EntryDateTime]])</f>
        <v>44669</v>
      </c>
      <c r="I4077" s="1">
        <f>IF(Query1[[#This Row],[ItemType]]="EVAP KIT SF GEN IV",Query1[[#This Row],[OrderQty]]+I4076,I4076)</f>
        <v>5039</v>
      </c>
      <c r="J4077" s="1">
        <f>IF(Query1[[#This Row],[ItemType]]="EVAP KIT UNIVERSAL",Query1[[#This Row],[OrderQty]]+J4076,J4076)</f>
        <v>1666</v>
      </c>
      <c r="K4077" s="1">
        <f>Query1[[#This Row],[SF Running Total]]+Query1[[#This Row],[UNIV Running Total]]</f>
        <v>6705</v>
      </c>
      <c r="L4077">
        <f>VLOOKUP(Query1[[#This Row],[Description]],'kits to boards'!$B$2:$E$156,2,FALSE)</f>
        <v>830013</v>
      </c>
      <c r="M4077">
        <f>VLOOKUP(Query1[[#This Row],[Description]],'kits to boards'!$B$2:$E$156,3,FALSE)</f>
        <v>0</v>
      </c>
      <c r="N4077">
        <f>VLOOKUP(Query1[[#This Row],[Description]],'kits to boards'!$B$2:$E$156,4,FALSE)</f>
        <v>0</v>
      </c>
      <c r="O4077" t="str">
        <f>CONCATENATE(Query1[[#This Row],[Description]]," - ",Query1[[#This Row],[MB1]]," - ",Query1[[#This Row],[MB2]]," - ",Query1[[#This Row],[MB3]])</f>
        <v>EVAP KIT 67-72 CHEV P-UP W/AC - 830013 - 0 - 0</v>
      </c>
    </row>
    <row r="4078" spans="1:15" x14ac:dyDescent="0.25">
      <c r="A4078" s="1">
        <v>919917</v>
      </c>
      <c r="B4078" s="1" t="s">
        <v>96</v>
      </c>
      <c r="C4078" s="1" t="s">
        <v>97</v>
      </c>
      <c r="D4078" s="2">
        <v>44669.327447951386</v>
      </c>
      <c r="E4078" s="1" t="s">
        <v>8</v>
      </c>
      <c r="F4078" s="1">
        <v>1</v>
      </c>
      <c r="G4078" s="1">
        <v>0</v>
      </c>
      <c r="H4078" s="6">
        <f>INT(Query1[[#This Row],[EntryDateTime]])</f>
        <v>44669</v>
      </c>
      <c r="I4078" s="1">
        <f>IF(Query1[[#This Row],[ItemType]]="EVAP KIT SF GEN IV",Query1[[#This Row],[OrderQty]]+I4077,I4077)</f>
        <v>5040</v>
      </c>
      <c r="J4078" s="1">
        <f>IF(Query1[[#This Row],[ItemType]]="EVAP KIT UNIVERSAL",Query1[[#This Row],[OrderQty]]+J4077,J4077)</f>
        <v>1666</v>
      </c>
      <c r="K4078" s="1">
        <f>Query1[[#This Row],[SF Running Total]]+Query1[[#This Row],[UNIV Running Total]]</f>
        <v>6706</v>
      </c>
      <c r="L4078">
        <f>VLOOKUP(Query1[[#This Row],[Description]],'kits to boards'!$B$2:$E$156,2,FALSE)</f>
        <v>830004</v>
      </c>
      <c r="M4078">
        <f>VLOOKUP(Query1[[#This Row],[Description]],'kits to boards'!$B$2:$E$156,3,FALSE)</f>
        <v>0</v>
      </c>
      <c r="N4078">
        <f>VLOOKUP(Query1[[#This Row],[Description]],'kits to boards'!$B$2:$E$156,4,FALSE)</f>
        <v>0</v>
      </c>
      <c r="O4078" t="str">
        <f>CONCATENATE(Query1[[#This Row],[Description]]," - ",Query1[[#This Row],[MB1]]," - ",Query1[[#This Row],[MB2]]," - ",Query1[[#This Row],[MB3]])</f>
        <v>EVAP KIT 81-87 CHEV P-UP W/AC - 830004 - 0 - 0</v>
      </c>
    </row>
    <row r="4079" spans="1:15" x14ac:dyDescent="0.25">
      <c r="A4079" s="1">
        <v>919917</v>
      </c>
      <c r="B4079" s="1" t="s">
        <v>108</v>
      </c>
      <c r="C4079" s="1" t="s">
        <v>109</v>
      </c>
      <c r="D4079" s="2">
        <v>44669.327451469908</v>
      </c>
      <c r="E4079" s="1" t="s">
        <v>8</v>
      </c>
      <c r="F4079" s="1">
        <v>2</v>
      </c>
      <c r="G4079" s="1">
        <v>0</v>
      </c>
      <c r="H4079" s="6">
        <f>INT(Query1[[#This Row],[EntryDateTime]])</f>
        <v>44669</v>
      </c>
      <c r="I4079" s="1">
        <f>IF(Query1[[#This Row],[ItemType]]="EVAP KIT SF GEN IV",Query1[[#This Row],[OrderQty]]+I4078,I4078)</f>
        <v>5042</v>
      </c>
      <c r="J4079" s="1">
        <f>IF(Query1[[#This Row],[ItemType]]="EVAP KIT UNIVERSAL",Query1[[#This Row],[OrderQty]]+J4078,J4078)</f>
        <v>1666</v>
      </c>
      <c r="K4079" s="1">
        <f>Query1[[#This Row],[SF Running Total]]+Query1[[#This Row],[UNIV Running Total]]</f>
        <v>6708</v>
      </c>
      <c r="L4079">
        <f>VLOOKUP(Query1[[#This Row],[Description]],'kits to boards'!$B$2:$E$156,2,FALSE)</f>
        <v>830105</v>
      </c>
      <c r="M4079">
        <f>VLOOKUP(Query1[[#This Row],[Description]],'kits to boards'!$B$2:$E$156,3,FALSE)</f>
        <v>830106</v>
      </c>
      <c r="N4079">
        <f>VLOOKUP(Query1[[#This Row],[Description]],'kits to boards'!$B$2:$E$156,4,FALSE)</f>
        <v>0</v>
      </c>
      <c r="O4079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4080" spans="1:15" x14ac:dyDescent="0.25">
      <c r="A4080" s="1">
        <v>919917</v>
      </c>
      <c r="B4080" s="1" t="s">
        <v>44</v>
      </c>
      <c r="C4080" s="1" t="s">
        <v>45</v>
      </c>
      <c r="D4080" s="2">
        <v>44669.327455324077</v>
      </c>
      <c r="E4080" s="1" t="s">
        <v>8</v>
      </c>
      <c r="F4080" s="1">
        <v>6</v>
      </c>
      <c r="G4080" s="1">
        <v>0</v>
      </c>
      <c r="H4080" s="6">
        <f>INT(Query1[[#This Row],[EntryDateTime]])</f>
        <v>44669</v>
      </c>
      <c r="I4080" s="1">
        <f>IF(Query1[[#This Row],[ItemType]]="EVAP KIT SF GEN IV",Query1[[#This Row],[OrderQty]]+I4079,I4079)</f>
        <v>5048</v>
      </c>
      <c r="J4080" s="1">
        <f>IF(Query1[[#This Row],[ItemType]]="EVAP KIT UNIVERSAL",Query1[[#This Row],[OrderQty]]+J4079,J4079)</f>
        <v>1666</v>
      </c>
      <c r="K4080" s="1">
        <f>Query1[[#This Row],[SF Running Total]]+Query1[[#This Row],[UNIV Running Total]]</f>
        <v>6714</v>
      </c>
      <c r="L4080">
        <f>VLOOKUP(Query1[[#This Row],[Description]],'kits to boards'!$B$2:$E$156,2,FALSE)</f>
        <v>830085</v>
      </c>
      <c r="M4080">
        <f>VLOOKUP(Query1[[#This Row],[Description]],'kits to boards'!$B$2:$E$156,3,FALSE)</f>
        <v>0</v>
      </c>
      <c r="N4080">
        <f>VLOOKUP(Query1[[#This Row],[Description]],'kits to boards'!$B$2:$E$156,4,FALSE)</f>
        <v>0</v>
      </c>
      <c r="O4080" t="str">
        <f>CONCATENATE(Query1[[#This Row],[Description]]," - ",Query1[[#This Row],[MB1]]," - ",Query1[[#This Row],[MB2]]," - ",Query1[[#This Row],[MB3]])</f>
        <v>EVAP KIT 66-77 BRONCO - 830085 - 0 - 0</v>
      </c>
    </row>
    <row r="4081" spans="1:15" x14ac:dyDescent="0.25">
      <c r="A4081" s="1">
        <v>919917</v>
      </c>
      <c r="B4081" s="1" t="s">
        <v>84</v>
      </c>
      <c r="C4081" s="1" t="s">
        <v>85</v>
      </c>
      <c r="D4081" s="2">
        <v>44669.327458831016</v>
      </c>
      <c r="E4081" s="1" t="s">
        <v>8</v>
      </c>
      <c r="F4081" s="1">
        <v>6</v>
      </c>
      <c r="G4081" s="1">
        <v>0</v>
      </c>
      <c r="H4081" s="6">
        <f>INT(Query1[[#This Row],[EntryDateTime]])</f>
        <v>44669</v>
      </c>
      <c r="I4081" s="1">
        <f>IF(Query1[[#This Row],[ItemType]]="EVAP KIT SF GEN IV",Query1[[#This Row],[OrderQty]]+I4080,I4080)</f>
        <v>5054</v>
      </c>
      <c r="J4081" s="1">
        <f>IF(Query1[[#This Row],[ItemType]]="EVAP KIT UNIVERSAL",Query1[[#This Row],[OrderQty]]+J4080,J4080)</f>
        <v>1666</v>
      </c>
      <c r="K4081" s="1">
        <f>Query1[[#This Row],[SF Running Total]]+Query1[[#This Row],[UNIV Running Total]]</f>
        <v>6720</v>
      </c>
      <c r="L4081">
        <f>VLOOKUP(Query1[[#This Row],[Description]],'kits to boards'!$B$2:$E$156,2,FALSE)</f>
        <v>830085</v>
      </c>
      <c r="M4081">
        <f>VLOOKUP(Query1[[#This Row],[Description]],'kits to boards'!$B$2:$E$156,3,FALSE)</f>
        <v>0</v>
      </c>
      <c r="N4081">
        <f>VLOOKUP(Query1[[#This Row],[Description]],'kits to boards'!$B$2:$E$156,4,FALSE)</f>
        <v>0</v>
      </c>
      <c r="O4081" t="str">
        <f>CONCATENATE(Query1[[#This Row],[Description]]," - ",Query1[[#This Row],[MB1]]," - ",Query1[[#This Row],[MB2]]," - ",Query1[[#This Row],[MB3]])</f>
        <v>EVAP KIT 66-77 BRONCO 4-VENT PLENUM - 830085 - 0 - 0</v>
      </c>
    </row>
    <row r="4082" spans="1:15" x14ac:dyDescent="0.25">
      <c r="A4082" s="1">
        <v>919915</v>
      </c>
      <c r="B4082" s="1" t="s">
        <v>222</v>
      </c>
      <c r="C4082" s="1" t="s">
        <v>223</v>
      </c>
      <c r="D4082" s="2">
        <v>44669.328553587962</v>
      </c>
      <c r="E4082" s="1" t="s">
        <v>8</v>
      </c>
      <c r="F4082" s="1">
        <v>1</v>
      </c>
      <c r="G4082" s="1">
        <v>0</v>
      </c>
      <c r="H4082" s="6">
        <f>INT(Query1[[#This Row],[EntryDateTime]])</f>
        <v>44669</v>
      </c>
      <c r="I4082" s="1">
        <f>IF(Query1[[#This Row],[ItemType]]="EVAP KIT SF GEN IV",Query1[[#This Row],[OrderQty]]+I4081,I4081)</f>
        <v>5055</v>
      </c>
      <c r="J4082" s="1">
        <f>IF(Query1[[#This Row],[ItemType]]="EVAP KIT UNIVERSAL",Query1[[#This Row],[OrderQty]]+J4081,J4081)</f>
        <v>1666</v>
      </c>
      <c r="K4082" s="1">
        <f>Query1[[#This Row],[SF Running Total]]+Query1[[#This Row],[UNIV Running Total]]</f>
        <v>6721</v>
      </c>
      <c r="L4082">
        <f>VLOOKUP(Query1[[#This Row],[Description]],'kits to boards'!$B$2:$E$156,2,FALSE)</f>
        <v>830093</v>
      </c>
      <c r="M4082">
        <f>VLOOKUP(Query1[[#This Row],[Description]],'kits to boards'!$B$2:$E$156,3,FALSE)</f>
        <v>0</v>
      </c>
      <c r="N4082">
        <f>VLOOKUP(Query1[[#This Row],[Description]],'kits to boards'!$B$2:$E$156,4,FALSE)</f>
        <v>0</v>
      </c>
      <c r="O4082" t="str">
        <f>CONCATENATE(Query1[[#This Row],[Description]]," - ",Query1[[#This Row],[MB1]]," - ",Query1[[#This Row],[MB2]]," - ",Query1[[#This Row],[MB3]])</f>
        <v>EVAP KIT 67 VETTE WO AC - 830093 - 0 - 0</v>
      </c>
    </row>
    <row r="4083" spans="1:15" x14ac:dyDescent="0.25">
      <c r="A4083" s="1">
        <v>919919</v>
      </c>
      <c r="B4083" s="1" t="s">
        <v>247</v>
      </c>
      <c r="C4083" s="1" t="s">
        <v>248</v>
      </c>
      <c r="D4083" s="2">
        <v>44669.332125775465</v>
      </c>
      <c r="E4083" s="1" t="s">
        <v>8</v>
      </c>
      <c r="F4083" s="1">
        <v>1</v>
      </c>
      <c r="G4083" s="1">
        <v>0</v>
      </c>
      <c r="H4083" s="6">
        <f>INT(Query1[[#This Row],[EntryDateTime]])</f>
        <v>44669</v>
      </c>
      <c r="I4083" s="1">
        <f>IF(Query1[[#This Row],[ItemType]]="EVAP KIT SF GEN IV",Query1[[#This Row],[OrderQty]]+I4082,I4082)</f>
        <v>5056</v>
      </c>
      <c r="J4083" s="1">
        <f>IF(Query1[[#This Row],[ItemType]]="EVAP KIT UNIVERSAL",Query1[[#This Row],[OrderQty]]+J4082,J4082)</f>
        <v>1666</v>
      </c>
      <c r="K4083" s="1">
        <f>Query1[[#This Row],[SF Running Total]]+Query1[[#This Row],[UNIV Running Total]]</f>
        <v>6722</v>
      </c>
      <c r="L4083">
        <f>VLOOKUP(Query1[[#This Row],[Description]],'kits to boards'!$B$2:$E$156,2,FALSE)</f>
        <v>830107</v>
      </c>
      <c r="M4083">
        <f>VLOOKUP(Query1[[#This Row],[Description]],'kits to boards'!$B$2:$E$156,3,FALSE)</f>
        <v>0</v>
      </c>
      <c r="N4083">
        <f>VLOOKUP(Query1[[#This Row],[Description]],'kits to boards'!$B$2:$E$156,4,FALSE)</f>
        <v>0</v>
      </c>
      <c r="O4083" t="str">
        <f>CONCATENATE(Query1[[#This Row],[Description]]," - ",Query1[[#This Row],[MB1]]," - ",Query1[[#This Row],[MB2]]," - ",Query1[[#This Row],[MB3]])</f>
        <v>EVAP KIT 69 FIREBIRD W/AC - 830107 - 0 - 0</v>
      </c>
    </row>
    <row r="4084" spans="1:15" x14ac:dyDescent="0.25">
      <c r="A4084" s="1">
        <v>919921</v>
      </c>
      <c r="B4084" s="1" t="s">
        <v>22</v>
      </c>
      <c r="C4084" s="1" t="s">
        <v>23</v>
      </c>
      <c r="D4084" s="2">
        <v>44669.332781747682</v>
      </c>
      <c r="E4084" s="1" t="s">
        <v>8</v>
      </c>
      <c r="F4084" s="1">
        <v>6</v>
      </c>
      <c r="G4084" s="1">
        <v>0</v>
      </c>
      <c r="H4084" s="6">
        <f>INT(Query1[[#This Row],[EntryDateTime]])</f>
        <v>44669</v>
      </c>
      <c r="I4084" s="1">
        <f>IF(Query1[[#This Row],[ItemType]]="EVAP KIT SF GEN IV",Query1[[#This Row],[OrderQty]]+I4083,I4083)</f>
        <v>5062</v>
      </c>
      <c r="J4084" s="1">
        <f>IF(Query1[[#This Row],[ItemType]]="EVAP KIT UNIVERSAL",Query1[[#This Row],[OrderQty]]+J4083,J4083)</f>
        <v>1666</v>
      </c>
      <c r="K4084" s="1">
        <f>Query1[[#This Row],[SF Running Total]]+Query1[[#This Row],[UNIV Running Total]]</f>
        <v>6728</v>
      </c>
      <c r="L4084">
        <f>VLOOKUP(Query1[[#This Row],[Description]],'kits to boards'!$B$2:$E$156,2,FALSE)</f>
        <v>830083</v>
      </c>
      <c r="M4084">
        <f>VLOOKUP(Query1[[#This Row],[Description]],'kits to boards'!$B$2:$E$156,3,FALSE)</f>
        <v>0</v>
      </c>
      <c r="N4084">
        <f>VLOOKUP(Query1[[#This Row],[Description]],'kits to boards'!$B$2:$E$156,4,FALSE)</f>
        <v>0</v>
      </c>
      <c r="O4084" t="str">
        <f>CONCATENATE(Query1[[#This Row],[Description]]," - ",Query1[[#This Row],[MB1]]," - ",Query1[[#This Row],[MB2]]," - ",Query1[[#This Row],[MB3]])</f>
        <v>GEN IV MAGNUM EVAP KIT - 830083 - 0 - 0</v>
      </c>
    </row>
    <row r="4085" spans="1:15" x14ac:dyDescent="0.25">
      <c r="A4085" s="1">
        <v>919921</v>
      </c>
      <c r="B4085" s="1" t="s">
        <v>98</v>
      </c>
      <c r="C4085" s="1" t="s">
        <v>99</v>
      </c>
      <c r="D4085" s="2">
        <v>44669.332783449077</v>
      </c>
      <c r="E4085" s="1" t="s">
        <v>11</v>
      </c>
      <c r="F4085" s="1">
        <v>4</v>
      </c>
      <c r="G4085" s="1">
        <v>0</v>
      </c>
      <c r="H4085" s="6">
        <f>INT(Query1[[#This Row],[EntryDateTime]])</f>
        <v>44669</v>
      </c>
      <c r="I4085" s="1">
        <f>IF(Query1[[#This Row],[ItemType]]="EVAP KIT SF GEN IV",Query1[[#This Row],[OrderQty]]+I4084,I4084)</f>
        <v>5062</v>
      </c>
      <c r="J4085" s="1">
        <f>IF(Query1[[#This Row],[ItemType]]="EVAP KIT UNIVERSAL",Query1[[#This Row],[OrderQty]]+J4084,J4084)</f>
        <v>1670</v>
      </c>
      <c r="K4085" s="1">
        <f>Query1[[#This Row],[SF Running Total]]+Query1[[#This Row],[UNIV Running Total]]</f>
        <v>6732</v>
      </c>
      <c r="L4085">
        <f>VLOOKUP(Query1[[#This Row],[Description]],'kits to boards'!$B$2:$E$156,2,FALSE)</f>
        <v>830099</v>
      </c>
      <c r="M4085">
        <f>VLOOKUP(Query1[[#This Row],[Description]],'kits to boards'!$B$2:$E$156,3,FALSE)</f>
        <v>0</v>
      </c>
      <c r="N4085">
        <f>VLOOKUP(Query1[[#This Row],[Description]],'kits to boards'!$B$2:$E$156,4,FALSE)</f>
        <v>0</v>
      </c>
      <c r="O4085" t="str">
        <f>CONCATENATE(Query1[[#This Row],[Description]]," - ",Query1[[#This Row],[MB1]]," - ",Query1[[#This Row],[MB2]]," - ",Query1[[#This Row],[MB3]])</f>
        <v>MINI GEN II W/DEF - 830099 - 0 - 0</v>
      </c>
    </row>
    <row r="4086" spans="1:15" x14ac:dyDescent="0.25">
      <c r="A4086" s="1">
        <v>919921</v>
      </c>
      <c r="B4086" s="1" t="s">
        <v>20</v>
      </c>
      <c r="C4086" s="1" t="s">
        <v>21</v>
      </c>
      <c r="D4086" s="2">
        <v>44669.332785104169</v>
      </c>
      <c r="E4086" s="1" t="s">
        <v>11</v>
      </c>
      <c r="F4086" s="1">
        <v>6</v>
      </c>
      <c r="G4086" s="1">
        <v>0</v>
      </c>
      <c r="H4086" s="6">
        <f>INT(Query1[[#This Row],[EntryDateTime]])</f>
        <v>44669</v>
      </c>
      <c r="I4086" s="1">
        <f>IF(Query1[[#This Row],[ItemType]]="EVAP KIT SF GEN IV",Query1[[#This Row],[OrderQty]]+I4085,I4085)</f>
        <v>5062</v>
      </c>
      <c r="J4086" s="1">
        <f>IF(Query1[[#This Row],[ItemType]]="EVAP KIT UNIVERSAL",Query1[[#This Row],[OrderQty]]+J4085,J4085)</f>
        <v>1676</v>
      </c>
      <c r="K4086" s="1">
        <f>Query1[[#This Row],[SF Running Total]]+Query1[[#This Row],[UNIV Running Total]]</f>
        <v>6738</v>
      </c>
      <c r="L4086">
        <f>VLOOKUP(Query1[[#This Row],[Description]],'kits to boards'!$B$2:$E$156,2,FALSE)</f>
        <v>830102</v>
      </c>
      <c r="M4086">
        <f>VLOOKUP(Query1[[#This Row],[Description]],'kits to boards'!$B$2:$E$156,3,FALSE)</f>
        <v>0</v>
      </c>
      <c r="N4086">
        <f>VLOOKUP(Query1[[#This Row],[Description]],'kits to boards'!$B$2:$E$156,4,FALSE)</f>
        <v>0</v>
      </c>
      <c r="O4086" t="str">
        <f>CONCATENATE(Query1[[#This Row],[Description]]," - ",Query1[[#This Row],[MB1]]," - ",Query1[[#This Row],[MB2]]," - ",Query1[[#This Row],[MB3]])</f>
        <v>SUPER GEN II W/DEF - 830102 - 0 - 0</v>
      </c>
    </row>
    <row r="4087" spans="1:15" x14ac:dyDescent="0.25">
      <c r="A4087" s="1">
        <v>919921</v>
      </c>
      <c r="B4087" s="1" t="s">
        <v>24</v>
      </c>
      <c r="C4087" s="1" t="s">
        <v>25</v>
      </c>
      <c r="D4087" s="2">
        <v>44669.332786770836</v>
      </c>
      <c r="E4087" s="1" t="s">
        <v>11</v>
      </c>
      <c r="F4087" s="1">
        <v>3</v>
      </c>
      <c r="G4087" s="1">
        <v>0</v>
      </c>
      <c r="H4087" s="6">
        <f>INT(Query1[[#This Row],[EntryDateTime]])</f>
        <v>44669</v>
      </c>
      <c r="I4087" s="1">
        <f>IF(Query1[[#This Row],[ItemType]]="EVAP KIT SF GEN IV",Query1[[#This Row],[OrderQty]]+I4086,I4086)</f>
        <v>5062</v>
      </c>
      <c r="J4087" s="1">
        <f>IF(Query1[[#This Row],[ItemType]]="EVAP KIT UNIVERSAL",Query1[[#This Row],[OrderQty]]+J4086,J4086)</f>
        <v>1679</v>
      </c>
      <c r="K4087" s="1">
        <f>Query1[[#This Row],[SF Running Total]]+Query1[[#This Row],[UNIV Running Total]]</f>
        <v>6741</v>
      </c>
      <c r="L4087">
        <f>VLOOKUP(Query1[[#This Row],[Description]],'kits to boards'!$B$2:$E$156,2,FALSE)</f>
        <v>830029</v>
      </c>
      <c r="M4087">
        <f>VLOOKUP(Query1[[#This Row],[Description]],'kits to boards'!$B$2:$E$156,3,FALSE)</f>
        <v>830030</v>
      </c>
      <c r="N4087">
        <f>VLOOKUP(Query1[[#This Row],[Description]],'kits to boards'!$B$2:$E$156,4,FALSE)</f>
        <v>0</v>
      </c>
      <c r="O4087" t="str">
        <f>CONCATENATE(Query1[[#This Row],[Description]]," - ",Query1[[#This Row],[MB1]]," - ",Query1[[#This Row],[MB2]]," - ",Query1[[#This Row],[MB3]])</f>
        <v>ComPac GEN II W/DEF - 830029 - 830030 - 0</v>
      </c>
    </row>
    <row r="4088" spans="1:15" x14ac:dyDescent="0.25">
      <c r="A4088" s="1">
        <v>919921</v>
      </c>
      <c r="B4088" s="1" t="s">
        <v>144</v>
      </c>
      <c r="C4088" s="1" t="s">
        <v>145</v>
      </c>
      <c r="D4088" s="2">
        <v>44669.332788425927</v>
      </c>
      <c r="E4088" s="1" t="s">
        <v>11</v>
      </c>
      <c r="F4088" s="1">
        <v>3</v>
      </c>
      <c r="G4088" s="1">
        <v>0</v>
      </c>
      <c r="H4088" s="6">
        <f>INT(Query1[[#This Row],[EntryDateTime]])</f>
        <v>44669</v>
      </c>
      <c r="I4088" s="1">
        <f>IF(Query1[[#This Row],[ItemType]]="EVAP KIT SF GEN IV",Query1[[#This Row],[OrderQty]]+I4087,I4087)</f>
        <v>5062</v>
      </c>
      <c r="J4088" s="1">
        <f>IF(Query1[[#This Row],[ItemType]]="EVAP KIT UNIVERSAL",Query1[[#This Row],[OrderQty]]+J4087,J4087)</f>
        <v>1682</v>
      </c>
      <c r="K4088" s="1">
        <f>Query1[[#This Row],[SF Running Total]]+Query1[[#This Row],[UNIV Running Total]]</f>
        <v>6744</v>
      </c>
      <c r="L4088">
        <f>VLOOKUP(Query1[[#This Row],[Description]],'kits to boards'!$B$2:$E$156,2,FALSE)</f>
        <v>830102</v>
      </c>
      <c r="M4088">
        <f>VLOOKUP(Query1[[#This Row],[Description]],'kits to boards'!$B$2:$E$156,3,FALSE)</f>
        <v>0</v>
      </c>
      <c r="N4088">
        <f>VLOOKUP(Query1[[#This Row],[Description]],'kits to boards'!$B$2:$E$156,4,FALSE)</f>
        <v>0</v>
      </c>
      <c r="O4088" t="str">
        <f>CONCATENATE(Query1[[#This Row],[Description]]," - ",Query1[[#This Row],[MB1]]," - ",Query1[[#This Row],[MB2]]," - ",Query1[[#This Row],[MB3]])</f>
        <v>SUPER GEN II H/C - 830102 - 0 - 0</v>
      </c>
    </row>
    <row r="4089" spans="1:15" x14ac:dyDescent="0.25">
      <c r="A4089" s="1">
        <v>919921</v>
      </c>
      <c r="B4089" s="1" t="s">
        <v>82</v>
      </c>
      <c r="C4089" s="1" t="s">
        <v>83</v>
      </c>
      <c r="D4089" s="2">
        <v>44669.332790081018</v>
      </c>
      <c r="E4089" s="1" t="s">
        <v>11</v>
      </c>
      <c r="F4089" s="1">
        <v>3</v>
      </c>
      <c r="G4089" s="1">
        <v>0</v>
      </c>
      <c r="H4089" s="6">
        <f>INT(Query1[[#This Row],[EntryDateTime]])</f>
        <v>44669</v>
      </c>
      <c r="I4089" s="1">
        <f>IF(Query1[[#This Row],[ItemType]]="EVAP KIT SF GEN IV",Query1[[#This Row],[OrderQty]]+I4088,I4088)</f>
        <v>5062</v>
      </c>
      <c r="J4089" s="1">
        <f>IF(Query1[[#This Row],[ItemType]]="EVAP KIT UNIVERSAL",Query1[[#This Row],[OrderQty]]+J4088,J4088)</f>
        <v>1685</v>
      </c>
      <c r="K4089" s="1">
        <f>Query1[[#This Row],[SF Running Total]]+Query1[[#This Row],[UNIV Running Total]]</f>
        <v>6747</v>
      </c>
      <c r="L4089">
        <f>VLOOKUP(Query1[[#This Row],[Description]],'kits to boards'!$B$2:$E$156,2,FALSE)</f>
        <v>830029</v>
      </c>
      <c r="M4089">
        <f>VLOOKUP(Query1[[#This Row],[Description]],'kits to boards'!$B$2:$E$156,3,FALSE)</f>
        <v>830030</v>
      </c>
      <c r="N4089">
        <f>VLOOKUP(Query1[[#This Row],[Description]],'kits to boards'!$B$2:$E$156,4,FALSE)</f>
        <v>0</v>
      </c>
      <c r="O4089" t="str">
        <f>CONCATENATE(Query1[[#This Row],[Description]]," - ",Query1[[#This Row],[MB1]]," - ",Query1[[#This Row],[MB2]]," - ",Query1[[#This Row],[MB3]])</f>
        <v>ComPac GEN II H/C - 830029 - 830030 - 0</v>
      </c>
    </row>
    <row r="4090" spans="1:15" x14ac:dyDescent="0.25">
      <c r="A4090" s="1">
        <v>919921</v>
      </c>
      <c r="B4090" s="1" t="s">
        <v>76</v>
      </c>
      <c r="C4090" s="1" t="s">
        <v>77</v>
      </c>
      <c r="D4090" s="2">
        <v>44669.332791701388</v>
      </c>
      <c r="E4090" s="1" t="s">
        <v>11</v>
      </c>
      <c r="F4090" s="1">
        <v>2</v>
      </c>
      <c r="G4090" s="1">
        <v>0</v>
      </c>
      <c r="H4090" s="6">
        <f>INT(Query1[[#This Row],[EntryDateTime]])</f>
        <v>44669</v>
      </c>
      <c r="I4090" s="1">
        <f>IF(Query1[[#This Row],[ItemType]]="EVAP KIT SF GEN IV",Query1[[#This Row],[OrderQty]]+I4089,I4089)</f>
        <v>5062</v>
      </c>
      <c r="J4090" s="1">
        <f>IF(Query1[[#This Row],[ItemType]]="EVAP KIT UNIVERSAL",Query1[[#This Row],[OrderQty]]+J4089,J4089)</f>
        <v>1687</v>
      </c>
      <c r="K4090" s="1">
        <f>Query1[[#This Row],[SF Running Total]]+Query1[[#This Row],[UNIV Running Total]]</f>
        <v>6749</v>
      </c>
      <c r="L4090">
        <f>VLOOKUP(Query1[[#This Row],[Description]],'kits to boards'!$B$2:$E$156,2,FALSE)</f>
        <v>830099</v>
      </c>
      <c r="M4090">
        <f>VLOOKUP(Query1[[#This Row],[Description]],'kits to boards'!$B$2:$E$156,3,FALSE)</f>
        <v>0</v>
      </c>
      <c r="N4090">
        <f>VLOOKUP(Query1[[#This Row],[Description]],'kits to boards'!$B$2:$E$156,4,FALSE)</f>
        <v>0</v>
      </c>
      <c r="O4090" t="str">
        <f>CONCATENATE(Query1[[#This Row],[Description]]," - ",Query1[[#This Row],[MB1]]," - ",Query1[[#This Row],[MB2]]," - ",Query1[[#This Row],[MB3]])</f>
        <v>MINI GEN II H/C - 830099 - 0 - 0</v>
      </c>
    </row>
    <row r="4091" spans="1:15" x14ac:dyDescent="0.25">
      <c r="A4091" s="1">
        <v>919922</v>
      </c>
      <c r="B4091" s="1" t="s">
        <v>54</v>
      </c>
      <c r="C4091" s="1" t="s">
        <v>55</v>
      </c>
      <c r="D4091" s="2">
        <v>44669.335985381942</v>
      </c>
      <c r="E4091" s="1" t="s">
        <v>8</v>
      </c>
      <c r="F4091" s="1">
        <v>1</v>
      </c>
      <c r="G4091" s="1">
        <v>0</v>
      </c>
      <c r="H4091" s="6">
        <f>INT(Query1[[#This Row],[EntryDateTime]])</f>
        <v>44669</v>
      </c>
      <c r="I4091" s="1">
        <f>IF(Query1[[#This Row],[ItemType]]="EVAP KIT SF GEN IV",Query1[[#This Row],[OrderQty]]+I4090,I4090)</f>
        <v>5063</v>
      </c>
      <c r="J4091" s="1">
        <f>IF(Query1[[#This Row],[ItemType]]="EVAP KIT UNIVERSAL",Query1[[#This Row],[OrderQty]]+J4090,J4090)</f>
        <v>1687</v>
      </c>
      <c r="K4091" s="1">
        <f>Query1[[#This Row],[SF Running Total]]+Query1[[#This Row],[UNIV Running Total]]</f>
        <v>6750</v>
      </c>
      <c r="L4091">
        <f>VLOOKUP(Query1[[#This Row],[Description]],'kits to boards'!$B$2:$E$156,2,FALSE)</f>
        <v>830037</v>
      </c>
      <c r="M4091">
        <f>VLOOKUP(Query1[[#This Row],[Description]],'kits to boards'!$B$2:$E$156,3,FALSE)</f>
        <v>0</v>
      </c>
      <c r="N4091">
        <f>VLOOKUP(Query1[[#This Row],[Description]],'kits to boards'!$B$2:$E$156,4,FALSE)</f>
        <v>0</v>
      </c>
      <c r="O4091" t="str">
        <f>CONCATENATE(Query1[[#This Row],[Description]]," - ",Query1[[#This Row],[MB1]]," - ",Query1[[#This Row],[MB2]]," - ",Query1[[#This Row],[MB3]])</f>
        <v>EVAP KIT 70-81 FIREBIRD W/AC - 830037 - 0 - 0</v>
      </c>
    </row>
    <row r="4092" spans="1:15" x14ac:dyDescent="0.25">
      <c r="A4092" s="1">
        <v>919924</v>
      </c>
      <c r="B4092" s="1" t="s">
        <v>108</v>
      </c>
      <c r="C4092" s="1" t="s">
        <v>109</v>
      </c>
      <c r="D4092" s="2">
        <v>44669.337282442131</v>
      </c>
      <c r="E4092" s="1" t="s">
        <v>8</v>
      </c>
      <c r="F4092" s="1">
        <v>1</v>
      </c>
      <c r="G4092" s="1">
        <v>0</v>
      </c>
      <c r="H4092" s="6">
        <f>INT(Query1[[#This Row],[EntryDateTime]])</f>
        <v>44669</v>
      </c>
      <c r="I4092" s="1">
        <f>IF(Query1[[#This Row],[ItemType]]="EVAP KIT SF GEN IV",Query1[[#This Row],[OrderQty]]+I4091,I4091)</f>
        <v>5064</v>
      </c>
      <c r="J4092" s="1">
        <f>IF(Query1[[#This Row],[ItemType]]="EVAP KIT UNIVERSAL",Query1[[#This Row],[OrderQty]]+J4091,J4091)</f>
        <v>1687</v>
      </c>
      <c r="K4092" s="1">
        <f>Query1[[#This Row],[SF Running Total]]+Query1[[#This Row],[UNIV Running Total]]</f>
        <v>6751</v>
      </c>
      <c r="L4092">
        <f>VLOOKUP(Query1[[#This Row],[Description]],'kits to boards'!$B$2:$E$156,2,FALSE)</f>
        <v>830105</v>
      </c>
      <c r="M4092">
        <f>VLOOKUP(Query1[[#This Row],[Description]],'kits to boards'!$B$2:$E$156,3,FALSE)</f>
        <v>830106</v>
      </c>
      <c r="N4092">
        <f>VLOOKUP(Query1[[#This Row],[Description]],'kits to boards'!$B$2:$E$156,4,FALSE)</f>
        <v>0</v>
      </c>
      <c r="O4092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4093" spans="1:15" x14ac:dyDescent="0.25">
      <c r="A4093" s="1">
        <v>919925</v>
      </c>
      <c r="B4093" s="1" t="s">
        <v>26</v>
      </c>
      <c r="C4093" s="1" t="s">
        <v>27</v>
      </c>
      <c r="D4093" s="2">
        <v>44669.340205439818</v>
      </c>
      <c r="E4093" s="1" t="s">
        <v>8</v>
      </c>
      <c r="F4093" s="1">
        <v>1</v>
      </c>
      <c r="G4093" s="1">
        <v>0</v>
      </c>
      <c r="H4093" s="6">
        <f>INT(Query1[[#This Row],[EntryDateTime]])</f>
        <v>44669</v>
      </c>
      <c r="I4093" s="1">
        <f>IF(Query1[[#This Row],[ItemType]]="EVAP KIT SF GEN IV",Query1[[#This Row],[OrderQty]]+I4092,I4092)</f>
        <v>5065</v>
      </c>
      <c r="J4093" s="1">
        <f>IF(Query1[[#This Row],[ItemType]]="EVAP KIT UNIVERSAL",Query1[[#This Row],[OrderQty]]+J4092,J4092)</f>
        <v>1687</v>
      </c>
      <c r="K4093" s="1">
        <f>Query1[[#This Row],[SF Running Total]]+Query1[[#This Row],[UNIV Running Total]]</f>
        <v>6752</v>
      </c>
      <c r="L4093">
        <f>VLOOKUP(Query1[[#This Row],[Description]],'kits to boards'!$B$2:$E$156,2,FALSE)</f>
        <v>830013</v>
      </c>
      <c r="M4093">
        <f>VLOOKUP(Query1[[#This Row],[Description]],'kits to boards'!$B$2:$E$156,3,FALSE)</f>
        <v>0</v>
      </c>
      <c r="N4093">
        <f>VLOOKUP(Query1[[#This Row],[Description]],'kits to boards'!$B$2:$E$156,4,FALSE)</f>
        <v>0</v>
      </c>
      <c r="O4093" t="str">
        <f>CONCATENATE(Query1[[#This Row],[Description]]," - ",Query1[[#This Row],[MB1]]," - ",Query1[[#This Row],[MB2]]," - ",Query1[[#This Row],[MB3]])</f>
        <v>EVAP KIT 67-72 CHEV P-UP W/AC - 830013 - 0 - 0</v>
      </c>
    </row>
    <row r="4094" spans="1:15" x14ac:dyDescent="0.25">
      <c r="A4094" s="1">
        <v>919927</v>
      </c>
      <c r="B4094" s="1" t="s">
        <v>170</v>
      </c>
      <c r="C4094" s="1" t="s">
        <v>171</v>
      </c>
      <c r="D4094" s="2">
        <v>44669.341957256947</v>
      </c>
      <c r="E4094" s="1" t="s">
        <v>8</v>
      </c>
      <c r="F4094" s="1">
        <v>1</v>
      </c>
      <c r="G4094" s="1">
        <v>0</v>
      </c>
      <c r="H4094" s="6">
        <f>INT(Query1[[#This Row],[EntryDateTime]])</f>
        <v>44669</v>
      </c>
      <c r="I4094" s="1">
        <f>IF(Query1[[#This Row],[ItemType]]="EVAP KIT SF GEN IV",Query1[[#This Row],[OrderQty]]+I4093,I4093)</f>
        <v>5066</v>
      </c>
      <c r="J4094" s="1">
        <f>IF(Query1[[#This Row],[ItemType]]="EVAP KIT UNIVERSAL",Query1[[#This Row],[OrderQty]]+J4093,J4093)</f>
        <v>1687</v>
      </c>
      <c r="K4094" s="1">
        <f>Query1[[#This Row],[SF Running Total]]+Query1[[#This Row],[UNIV Running Total]]</f>
        <v>6753</v>
      </c>
      <c r="L4094">
        <f>VLOOKUP(Query1[[#This Row],[Description]],'kits to boards'!$B$2:$E$156,2,FALSE)</f>
        <v>830018</v>
      </c>
      <c r="M4094">
        <f>VLOOKUP(Query1[[#This Row],[Description]],'kits to boards'!$B$2:$E$156,3,FALSE)</f>
        <v>0</v>
      </c>
      <c r="N4094">
        <f>VLOOKUP(Query1[[#This Row],[Description]],'kits to boards'!$B$2:$E$156,4,FALSE)</f>
        <v>0</v>
      </c>
      <c r="O4094" t="str">
        <f>CONCATENATE(Query1[[#This Row],[Description]]," - ",Query1[[#This Row],[MB1]]," - ",Query1[[#This Row],[MB2]]," - ",Query1[[#This Row],[MB3]])</f>
        <v>EVAP KIT 67 FORD P-UP F-100 - 830018 - 0 - 0</v>
      </c>
    </row>
    <row r="4095" spans="1:15" x14ac:dyDescent="0.25">
      <c r="A4095" s="1">
        <v>919930</v>
      </c>
      <c r="B4095" s="1" t="s">
        <v>130</v>
      </c>
      <c r="C4095" s="1" t="s">
        <v>131</v>
      </c>
      <c r="D4095" s="2">
        <v>44669.346846562497</v>
      </c>
      <c r="E4095" s="1" t="s">
        <v>8</v>
      </c>
      <c r="F4095" s="1">
        <v>1</v>
      </c>
      <c r="G4095" s="1">
        <v>0</v>
      </c>
      <c r="H4095" s="6">
        <f>INT(Query1[[#This Row],[EntryDateTime]])</f>
        <v>44669</v>
      </c>
      <c r="I4095" s="1">
        <f>IF(Query1[[#This Row],[ItemType]]="EVAP KIT SF GEN IV",Query1[[#This Row],[OrderQty]]+I4094,I4094)</f>
        <v>5067</v>
      </c>
      <c r="J4095" s="1">
        <f>IF(Query1[[#This Row],[ItemType]]="EVAP KIT UNIVERSAL",Query1[[#This Row],[OrderQty]]+J4094,J4094)</f>
        <v>1687</v>
      </c>
      <c r="K4095" s="1">
        <f>Query1[[#This Row],[SF Running Total]]+Query1[[#This Row],[UNIV Running Total]]</f>
        <v>6754</v>
      </c>
      <c r="L4095">
        <f>VLOOKUP(Query1[[#This Row],[Description]],'kits to boards'!$B$2:$E$156,2,FALSE)</f>
        <v>830123</v>
      </c>
      <c r="M4095">
        <f>VLOOKUP(Query1[[#This Row],[Description]],'kits to boards'!$B$2:$E$156,3,FALSE)</f>
        <v>0</v>
      </c>
      <c r="N4095">
        <f>VLOOKUP(Query1[[#This Row],[Description]],'kits to boards'!$B$2:$E$156,4,FALSE)</f>
        <v>0</v>
      </c>
      <c r="O4095" t="str">
        <f>CONCATENATE(Query1[[#This Row],[Description]]," - ",Query1[[#This Row],[MB1]]," - ",Query1[[#This Row],[MB2]]," - ",Query1[[#This Row],[MB3]])</f>
        <v>EVAP KIT 68 GTO WO/AC - 830123 - 0 - 0</v>
      </c>
    </row>
    <row r="4096" spans="1:15" x14ac:dyDescent="0.25">
      <c r="A4096" s="1">
        <v>919931</v>
      </c>
      <c r="B4096" s="1" t="s">
        <v>114</v>
      </c>
      <c r="C4096" s="1" t="s">
        <v>115</v>
      </c>
      <c r="D4096" s="2">
        <v>44669.347900578701</v>
      </c>
      <c r="E4096" s="1" t="s">
        <v>8</v>
      </c>
      <c r="F4096" s="1">
        <v>2</v>
      </c>
      <c r="G4096" s="1">
        <v>0</v>
      </c>
      <c r="H4096" s="6">
        <f>INT(Query1[[#This Row],[EntryDateTime]])</f>
        <v>44669</v>
      </c>
      <c r="I4096" s="1">
        <f>IF(Query1[[#This Row],[ItemType]]="EVAP KIT SF GEN IV",Query1[[#This Row],[OrderQty]]+I4095,I4095)</f>
        <v>5069</v>
      </c>
      <c r="J4096" s="1">
        <f>IF(Query1[[#This Row],[ItemType]]="EVAP KIT UNIVERSAL",Query1[[#This Row],[OrderQty]]+J4095,J4095)</f>
        <v>1687</v>
      </c>
      <c r="K4096" s="1">
        <f>Query1[[#This Row],[SF Running Total]]+Query1[[#This Row],[UNIV Running Total]]</f>
        <v>6756</v>
      </c>
      <c r="L4096">
        <f>VLOOKUP(Query1[[#This Row],[Description]],'kits to boards'!$B$2:$E$156,2,FALSE)</f>
        <v>830059</v>
      </c>
      <c r="M4096">
        <f>VLOOKUP(Query1[[#This Row],[Description]],'kits to boards'!$B$2:$E$156,3,FALSE)</f>
        <v>0</v>
      </c>
      <c r="N4096">
        <f>VLOOKUP(Query1[[#This Row],[Description]],'kits to boards'!$B$2:$E$156,4,FALSE)</f>
        <v>0</v>
      </c>
      <c r="O4096" t="str">
        <f>CONCATENATE(Query1[[#This Row],[Description]]," - ",Query1[[#This Row],[MB1]]," - ",Query1[[#This Row],[MB2]]," - ",Query1[[#This Row],[MB3]])</f>
        <v>EVAP KIT 66-67 CHEVELLE W/AC - 830059 - 0 - 0</v>
      </c>
    </row>
    <row r="4097" spans="1:15" x14ac:dyDescent="0.25">
      <c r="A4097" s="1">
        <v>919932</v>
      </c>
      <c r="B4097" s="1" t="s">
        <v>298</v>
      </c>
      <c r="C4097" s="1" t="s">
        <v>299</v>
      </c>
      <c r="D4097" s="2">
        <v>44669.34875153935</v>
      </c>
      <c r="E4097" s="1" t="s">
        <v>11</v>
      </c>
      <c r="F4097" s="1">
        <v>1</v>
      </c>
      <c r="G4097" s="1">
        <v>0</v>
      </c>
      <c r="H4097" s="6">
        <f>INT(Query1[[#This Row],[EntryDateTime]])</f>
        <v>44669</v>
      </c>
      <c r="I4097" s="1">
        <f>IF(Query1[[#This Row],[ItemType]]="EVAP KIT SF GEN IV",Query1[[#This Row],[OrderQty]]+I4096,I4096)</f>
        <v>5069</v>
      </c>
      <c r="J4097" s="1">
        <f>IF(Query1[[#This Row],[ItemType]]="EVAP KIT UNIVERSAL",Query1[[#This Row],[OrderQty]]+J4096,J4096)</f>
        <v>1688</v>
      </c>
      <c r="K4097" s="1">
        <f>Query1[[#This Row],[SF Running Total]]+Query1[[#This Row],[UNIV Running Total]]</f>
        <v>6757</v>
      </c>
      <c r="L4097">
        <f>VLOOKUP(Query1[[#This Row],[Description]],'kits to boards'!$B$2:$E$156,2,FALSE)</f>
        <v>830045</v>
      </c>
      <c r="M4097">
        <f>VLOOKUP(Query1[[#This Row],[Description]],'kits to boards'!$B$2:$E$156,3,FALSE)</f>
        <v>0</v>
      </c>
      <c r="N4097">
        <f>VLOOKUP(Query1[[#This Row],[Description]],'kits to boards'!$B$2:$E$156,4,FALSE)</f>
        <v>0</v>
      </c>
      <c r="O4097" t="str">
        <f>CONCATENATE(Query1[[#This Row],[Description]]," - ",Query1[[#This Row],[MB1]]," - ",Query1[[#This Row],[MB2]]," - ",Query1[[#This Row],[MB3]])</f>
        <v>MINI SLIMLINE COOL STD LOUVER - 830045 - 0 - 0</v>
      </c>
    </row>
    <row r="4098" spans="1:15" x14ac:dyDescent="0.25">
      <c r="A4098" s="1">
        <v>919935</v>
      </c>
      <c r="B4098" s="1" t="s">
        <v>96</v>
      </c>
      <c r="C4098" s="1" t="s">
        <v>97</v>
      </c>
      <c r="D4098" s="2">
        <v>44669.352218784719</v>
      </c>
      <c r="E4098" s="1" t="s">
        <v>8</v>
      </c>
      <c r="F4098" s="1">
        <v>1</v>
      </c>
      <c r="G4098" s="1">
        <v>0</v>
      </c>
      <c r="H4098" s="6">
        <f>INT(Query1[[#This Row],[EntryDateTime]])</f>
        <v>44669</v>
      </c>
      <c r="I4098" s="1">
        <f>IF(Query1[[#This Row],[ItemType]]="EVAP KIT SF GEN IV",Query1[[#This Row],[OrderQty]]+I4097,I4097)</f>
        <v>5070</v>
      </c>
      <c r="J4098" s="1">
        <f>IF(Query1[[#This Row],[ItemType]]="EVAP KIT UNIVERSAL",Query1[[#This Row],[OrderQty]]+J4097,J4097)</f>
        <v>1688</v>
      </c>
      <c r="K4098" s="1">
        <f>Query1[[#This Row],[SF Running Total]]+Query1[[#This Row],[UNIV Running Total]]</f>
        <v>6758</v>
      </c>
      <c r="L4098">
        <f>VLOOKUP(Query1[[#This Row],[Description]],'kits to boards'!$B$2:$E$156,2,FALSE)</f>
        <v>830004</v>
      </c>
      <c r="M4098">
        <f>VLOOKUP(Query1[[#This Row],[Description]],'kits to boards'!$B$2:$E$156,3,FALSE)</f>
        <v>0</v>
      </c>
      <c r="N4098">
        <f>VLOOKUP(Query1[[#This Row],[Description]],'kits to boards'!$B$2:$E$156,4,FALSE)</f>
        <v>0</v>
      </c>
      <c r="O4098" t="str">
        <f>CONCATENATE(Query1[[#This Row],[Description]]," - ",Query1[[#This Row],[MB1]]," - ",Query1[[#This Row],[MB2]]," - ",Query1[[#This Row],[MB3]])</f>
        <v>EVAP KIT 81-87 CHEV P-UP W/AC - 830004 - 0 - 0</v>
      </c>
    </row>
    <row r="4099" spans="1:15" x14ac:dyDescent="0.25">
      <c r="A4099" s="1">
        <v>919936</v>
      </c>
      <c r="B4099" s="1" t="s">
        <v>102</v>
      </c>
      <c r="C4099" s="1" t="s">
        <v>103</v>
      </c>
      <c r="D4099" s="2">
        <v>44669.353394409722</v>
      </c>
      <c r="E4099" s="1" t="s">
        <v>8</v>
      </c>
      <c r="F4099" s="1">
        <v>1</v>
      </c>
      <c r="G4099" s="1">
        <v>0</v>
      </c>
      <c r="H4099" s="6">
        <f>INT(Query1[[#This Row],[EntryDateTime]])</f>
        <v>44669</v>
      </c>
      <c r="I4099" s="1">
        <f>IF(Query1[[#This Row],[ItemType]]="EVAP KIT SF GEN IV",Query1[[#This Row],[OrderQty]]+I4098,I4098)</f>
        <v>5071</v>
      </c>
      <c r="J4099" s="1">
        <f>IF(Query1[[#This Row],[ItemType]]="EVAP KIT UNIVERSAL",Query1[[#This Row],[OrderQty]]+J4098,J4098)</f>
        <v>1688</v>
      </c>
      <c r="K4099" s="1">
        <f>Query1[[#This Row],[SF Running Total]]+Query1[[#This Row],[UNIV Running Total]]</f>
        <v>6759</v>
      </c>
      <c r="L4099">
        <f>VLOOKUP(Query1[[#This Row],[Description]],'kits to boards'!$B$2:$E$156,2,FALSE)</f>
        <v>830012</v>
      </c>
      <c r="M4099">
        <f>VLOOKUP(Query1[[#This Row],[Description]],'kits to boards'!$B$2:$E$156,3,FALSE)</f>
        <v>0</v>
      </c>
      <c r="N4099">
        <f>VLOOKUP(Query1[[#This Row],[Description]],'kits to boards'!$B$2:$E$156,4,FALSE)</f>
        <v>0</v>
      </c>
      <c r="O4099" t="str">
        <f>CONCATENATE(Query1[[#This Row],[Description]]," - ",Query1[[#This Row],[MB1]]," - ",Query1[[#This Row],[MB2]]," - ",Query1[[#This Row],[MB3]])</f>
        <v>EVAP KIT 69 CAMARO WO/AC - 830012 - 0 - 0</v>
      </c>
    </row>
    <row r="4100" spans="1:15" x14ac:dyDescent="0.25">
      <c r="A4100" s="1">
        <v>919939</v>
      </c>
      <c r="B4100" s="1" t="s">
        <v>66</v>
      </c>
      <c r="C4100" s="1" t="s">
        <v>67</v>
      </c>
      <c r="D4100" s="2">
        <v>44669.362032986108</v>
      </c>
      <c r="E4100" s="1" t="s">
        <v>8</v>
      </c>
      <c r="F4100" s="1">
        <v>1</v>
      </c>
      <c r="G4100" s="1">
        <v>0</v>
      </c>
      <c r="H4100" s="6">
        <f>INT(Query1[[#This Row],[EntryDateTime]])</f>
        <v>44669</v>
      </c>
      <c r="I4100" s="1">
        <f>IF(Query1[[#This Row],[ItemType]]="EVAP KIT SF GEN IV",Query1[[#This Row],[OrderQty]]+I4099,I4099)</f>
        <v>5072</v>
      </c>
      <c r="J4100" s="1">
        <f>IF(Query1[[#This Row],[ItemType]]="EVAP KIT UNIVERSAL",Query1[[#This Row],[OrderQty]]+J4099,J4099)</f>
        <v>1688</v>
      </c>
      <c r="K4100" s="1">
        <f>Query1[[#This Row],[SF Running Total]]+Query1[[#This Row],[UNIV Running Total]]</f>
        <v>6760</v>
      </c>
      <c r="L4100">
        <f>VLOOKUP(Query1[[#This Row],[Description]],'kits to boards'!$B$2:$E$156,2,FALSE)</f>
        <v>830060</v>
      </c>
      <c r="M4100">
        <f>VLOOKUP(Query1[[#This Row],[Description]],'kits to boards'!$B$2:$E$156,3,FALSE)</f>
        <v>0</v>
      </c>
      <c r="N4100">
        <f>VLOOKUP(Query1[[#This Row],[Description]],'kits to boards'!$B$2:$E$156,4,FALSE)</f>
        <v>0</v>
      </c>
      <c r="O4100" t="str">
        <f>CONCATENATE(Query1[[#This Row],[Description]]," - ",Query1[[#This Row],[MB1]]," - ",Query1[[#This Row],[MB2]]," - ",Query1[[#This Row],[MB3]])</f>
        <v>EVAP KIT 66-67 CHEVELLE WO AC - 830060 - 0 - 0</v>
      </c>
    </row>
    <row r="4101" spans="1:15" x14ac:dyDescent="0.25">
      <c r="A4101" s="1">
        <v>914324</v>
      </c>
      <c r="B4101" s="1" t="s">
        <v>96</v>
      </c>
      <c r="C4101" s="1" t="s">
        <v>97</v>
      </c>
      <c r="D4101" s="2">
        <v>44669.363866006941</v>
      </c>
      <c r="E4101" s="1" t="s">
        <v>8</v>
      </c>
      <c r="F4101" s="1">
        <v>1</v>
      </c>
      <c r="G4101" s="1">
        <v>0</v>
      </c>
      <c r="H4101" s="6">
        <f>INT(Query1[[#This Row],[EntryDateTime]])</f>
        <v>44669</v>
      </c>
      <c r="I4101" s="1">
        <f>IF(Query1[[#This Row],[ItemType]]="EVAP KIT SF GEN IV",Query1[[#This Row],[OrderQty]]+I4100,I4100)</f>
        <v>5073</v>
      </c>
      <c r="J4101" s="1">
        <f>IF(Query1[[#This Row],[ItemType]]="EVAP KIT UNIVERSAL",Query1[[#This Row],[OrderQty]]+J4100,J4100)</f>
        <v>1688</v>
      </c>
      <c r="K4101" s="1">
        <f>Query1[[#This Row],[SF Running Total]]+Query1[[#This Row],[UNIV Running Total]]</f>
        <v>6761</v>
      </c>
      <c r="L4101">
        <f>VLOOKUP(Query1[[#This Row],[Description]],'kits to boards'!$B$2:$E$156,2,FALSE)</f>
        <v>830004</v>
      </c>
      <c r="M4101">
        <f>VLOOKUP(Query1[[#This Row],[Description]],'kits to boards'!$B$2:$E$156,3,FALSE)</f>
        <v>0</v>
      </c>
      <c r="N4101">
        <f>VLOOKUP(Query1[[#This Row],[Description]],'kits to boards'!$B$2:$E$156,4,FALSE)</f>
        <v>0</v>
      </c>
      <c r="O4101" t="str">
        <f>CONCATENATE(Query1[[#This Row],[Description]]," - ",Query1[[#This Row],[MB1]]," - ",Query1[[#This Row],[MB2]]," - ",Query1[[#This Row],[MB3]])</f>
        <v>EVAP KIT 81-87 CHEV P-UP W/AC - 830004 - 0 - 0</v>
      </c>
    </row>
    <row r="4102" spans="1:15" x14ac:dyDescent="0.25">
      <c r="A4102" s="1">
        <v>918173</v>
      </c>
      <c r="B4102" s="1" t="s">
        <v>44</v>
      </c>
      <c r="C4102" s="1" t="s">
        <v>45</v>
      </c>
      <c r="D4102" s="2">
        <v>44669.36902017361</v>
      </c>
      <c r="E4102" s="1" t="s">
        <v>8</v>
      </c>
      <c r="F4102" s="1">
        <v>3</v>
      </c>
      <c r="G4102" s="1">
        <v>0</v>
      </c>
      <c r="H4102" s="6">
        <f>INT(Query1[[#This Row],[EntryDateTime]])</f>
        <v>44669</v>
      </c>
      <c r="I4102" s="1">
        <f>IF(Query1[[#This Row],[ItemType]]="EVAP KIT SF GEN IV",Query1[[#This Row],[OrderQty]]+I4101,I4101)</f>
        <v>5076</v>
      </c>
      <c r="J4102" s="1">
        <f>IF(Query1[[#This Row],[ItemType]]="EVAP KIT UNIVERSAL",Query1[[#This Row],[OrderQty]]+J4101,J4101)</f>
        <v>1688</v>
      </c>
      <c r="K4102" s="1">
        <f>Query1[[#This Row],[SF Running Total]]+Query1[[#This Row],[UNIV Running Total]]</f>
        <v>6764</v>
      </c>
      <c r="L4102">
        <f>VLOOKUP(Query1[[#This Row],[Description]],'kits to boards'!$B$2:$E$156,2,FALSE)</f>
        <v>830085</v>
      </c>
      <c r="M4102">
        <f>VLOOKUP(Query1[[#This Row],[Description]],'kits to boards'!$B$2:$E$156,3,FALSE)</f>
        <v>0</v>
      </c>
      <c r="N4102">
        <f>VLOOKUP(Query1[[#This Row],[Description]],'kits to boards'!$B$2:$E$156,4,FALSE)</f>
        <v>0</v>
      </c>
      <c r="O4102" t="str">
        <f>CONCATENATE(Query1[[#This Row],[Description]]," - ",Query1[[#This Row],[MB1]]," - ",Query1[[#This Row],[MB2]]," - ",Query1[[#This Row],[MB3]])</f>
        <v>EVAP KIT 66-77 BRONCO - 830085 - 0 - 0</v>
      </c>
    </row>
    <row r="4103" spans="1:15" x14ac:dyDescent="0.25">
      <c r="A4103" s="1">
        <v>919946</v>
      </c>
      <c r="B4103" s="1" t="s">
        <v>194</v>
      </c>
      <c r="C4103" s="1" t="s">
        <v>195</v>
      </c>
      <c r="D4103" s="2">
        <v>44669.374287268518</v>
      </c>
      <c r="E4103" s="1" t="s">
        <v>8</v>
      </c>
      <c r="F4103" s="1">
        <v>1</v>
      </c>
      <c r="G4103" s="1">
        <v>0</v>
      </c>
      <c r="H4103" s="6">
        <f>INT(Query1[[#This Row],[EntryDateTime]])</f>
        <v>44669</v>
      </c>
      <c r="I4103" s="1">
        <f>IF(Query1[[#This Row],[ItemType]]="EVAP KIT SF GEN IV",Query1[[#This Row],[OrderQty]]+I4102,I4102)</f>
        <v>5077</v>
      </c>
      <c r="J4103" s="1">
        <f>IF(Query1[[#This Row],[ItemType]]="EVAP KIT UNIVERSAL",Query1[[#This Row],[OrderQty]]+J4102,J4102)</f>
        <v>1688</v>
      </c>
      <c r="K4103" s="1">
        <f>Query1[[#This Row],[SF Running Total]]+Query1[[#This Row],[UNIV Running Total]]</f>
        <v>6765</v>
      </c>
      <c r="L4103">
        <f>VLOOKUP(Query1[[#This Row],[Description]],'kits to boards'!$B$2:$E$156,2,FALSE)</f>
        <v>830103</v>
      </c>
      <c r="M4103">
        <f>VLOOKUP(Query1[[#This Row],[Description]],'kits to boards'!$B$2:$E$156,3,FALSE)</f>
        <v>0</v>
      </c>
      <c r="N4103">
        <f>VLOOKUP(Query1[[#This Row],[Description]],'kits to boards'!$B$2:$E$156,4,FALSE)</f>
        <v>0</v>
      </c>
      <c r="O4103" t="str">
        <f>CONCATENATE(Query1[[#This Row],[Description]]," - ",Query1[[#This Row],[MB1]]," - ",Query1[[#This Row],[MB2]]," - ",Query1[[#This Row],[MB3]])</f>
        <v>EVAP KIT 78-82 VETTE W/AC - 830103 - 0 - 0</v>
      </c>
    </row>
    <row r="4104" spans="1:15" x14ac:dyDescent="0.25">
      <c r="A4104" s="1">
        <v>919955</v>
      </c>
      <c r="B4104" s="1" t="s">
        <v>166</v>
      </c>
      <c r="C4104" s="1" t="s">
        <v>167</v>
      </c>
      <c r="D4104" s="2">
        <v>44669.382504131943</v>
      </c>
      <c r="E4104" s="1" t="s">
        <v>8</v>
      </c>
      <c r="F4104" s="1">
        <v>1</v>
      </c>
      <c r="G4104" s="1">
        <v>0</v>
      </c>
      <c r="H4104" s="6">
        <f>INT(Query1[[#This Row],[EntryDateTime]])</f>
        <v>44669</v>
      </c>
      <c r="I4104" s="1">
        <f>IF(Query1[[#This Row],[ItemType]]="EVAP KIT SF GEN IV",Query1[[#This Row],[OrderQty]]+I4103,I4103)</f>
        <v>5078</v>
      </c>
      <c r="J4104" s="1">
        <f>IF(Query1[[#This Row],[ItemType]]="EVAP KIT UNIVERSAL",Query1[[#This Row],[OrderQty]]+J4103,J4103)</f>
        <v>1688</v>
      </c>
      <c r="K4104" s="1">
        <f>Query1[[#This Row],[SF Running Total]]+Query1[[#This Row],[UNIV Running Total]]</f>
        <v>6766</v>
      </c>
      <c r="L4104">
        <f>VLOOKUP(Query1[[#This Row],[Description]],'kits to boards'!$B$2:$E$156,2,FALSE)</f>
        <v>830063</v>
      </c>
      <c r="M4104">
        <f>VLOOKUP(Query1[[#This Row],[Description]],'kits to boards'!$B$2:$E$156,3,FALSE)</f>
        <v>0</v>
      </c>
      <c r="N4104">
        <f>VLOOKUP(Query1[[#This Row],[Description]],'kits to boards'!$B$2:$E$156,4,FALSE)</f>
        <v>0</v>
      </c>
      <c r="O4104" t="str">
        <f>CONCATENATE(Query1[[#This Row],[Description]]," - ",Query1[[#This Row],[MB1]]," - ",Query1[[#This Row],[MB2]]," - ",Query1[[#This Row],[MB3]])</f>
        <v>EVAP KIT 47-49 CHEV P-UP GEN IV - 830063 - 0 - 0</v>
      </c>
    </row>
    <row r="4105" spans="1:15" x14ac:dyDescent="0.25">
      <c r="A4105" s="1">
        <v>919957</v>
      </c>
      <c r="B4105" s="1" t="s">
        <v>170</v>
      </c>
      <c r="C4105" s="1" t="s">
        <v>171</v>
      </c>
      <c r="D4105" s="2">
        <v>44669.385248761573</v>
      </c>
      <c r="E4105" s="1" t="s">
        <v>8</v>
      </c>
      <c r="F4105" s="1">
        <v>1</v>
      </c>
      <c r="G4105" s="1">
        <v>0</v>
      </c>
      <c r="H4105" s="6">
        <f>INT(Query1[[#This Row],[EntryDateTime]])</f>
        <v>44669</v>
      </c>
      <c r="I4105" s="1">
        <f>IF(Query1[[#This Row],[ItemType]]="EVAP KIT SF GEN IV",Query1[[#This Row],[OrderQty]]+I4104,I4104)</f>
        <v>5079</v>
      </c>
      <c r="J4105" s="1">
        <f>IF(Query1[[#This Row],[ItemType]]="EVAP KIT UNIVERSAL",Query1[[#This Row],[OrderQty]]+J4104,J4104)</f>
        <v>1688</v>
      </c>
      <c r="K4105" s="1">
        <f>Query1[[#This Row],[SF Running Total]]+Query1[[#This Row],[UNIV Running Total]]</f>
        <v>6767</v>
      </c>
      <c r="L4105">
        <f>VLOOKUP(Query1[[#This Row],[Description]],'kits to boards'!$B$2:$E$156,2,FALSE)</f>
        <v>830018</v>
      </c>
      <c r="M4105">
        <f>VLOOKUP(Query1[[#This Row],[Description]],'kits to boards'!$B$2:$E$156,3,FALSE)</f>
        <v>0</v>
      </c>
      <c r="N4105">
        <f>VLOOKUP(Query1[[#This Row],[Description]],'kits to boards'!$B$2:$E$156,4,FALSE)</f>
        <v>0</v>
      </c>
      <c r="O4105" t="str">
        <f>CONCATENATE(Query1[[#This Row],[Description]]," - ",Query1[[#This Row],[MB1]]," - ",Query1[[#This Row],[MB2]]," - ",Query1[[#This Row],[MB3]])</f>
        <v>EVAP KIT 67 FORD P-UP F-100 - 830018 - 0 - 0</v>
      </c>
    </row>
    <row r="4106" spans="1:15" x14ac:dyDescent="0.25">
      <c r="A4106" s="1">
        <v>919960</v>
      </c>
      <c r="B4106" s="1" t="s">
        <v>194</v>
      </c>
      <c r="C4106" s="1" t="s">
        <v>195</v>
      </c>
      <c r="D4106" s="2">
        <v>44669.387343981478</v>
      </c>
      <c r="E4106" s="1" t="s">
        <v>8</v>
      </c>
      <c r="F4106" s="1">
        <v>1</v>
      </c>
      <c r="G4106" s="1">
        <v>0</v>
      </c>
      <c r="H4106" s="6">
        <f>INT(Query1[[#This Row],[EntryDateTime]])</f>
        <v>44669</v>
      </c>
      <c r="I4106" s="1">
        <f>IF(Query1[[#This Row],[ItemType]]="EVAP KIT SF GEN IV",Query1[[#This Row],[OrderQty]]+I4105,I4105)</f>
        <v>5080</v>
      </c>
      <c r="J4106" s="1">
        <f>IF(Query1[[#This Row],[ItemType]]="EVAP KIT UNIVERSAL",Query1[[#This Row],[OrderQty]]+J4105,J4105)</f>
        <v>1688</v>
      </c>
      <c r="K4106" s="1">
        <f>Query1[[#This Row],[SF Running Total]]+Query1[[#This Row],[UNIV Running Total]]</f>
        <v>6768</v>
      </c>
      <c r="L4106">
        <f>VLOOKUP(Query1[[#This Row],[Description]],'kits to boards'!$B$2:$E$156,2,FALSE)</f>
        <v>830103</v>
      </c>
      <c r="M4106">
        <f>VLOOKUP(Query1[[#This Row],[Description]],'kits to boards'!$B$2:$E$156,3,FALSE)</f>
        <v>0</v>
      </c>
      <c r="N4106">
        <f>VLOOKUP(Query1[[#This Row],[Description]],'kits to boards'!$B$2:$E$156,4,FALSE)</f>
        <v>0</v>
      </c>
      <c r="O4106" t="str">
        <f>CONCATENATE(Query1[[#This Row],[Description]]," - ",Query1[[#This Row],[MB1]]," - ",Query1[[#This Row],[MB2]]," - ",Query1[[#This Row],[MB3]])</f>
        <v>EVAP KIT 78-82 VETTE W/AC - 830103 - 0 - 0</v>
      </c>
    </row>
    <row r="4107" spans="1:15" x14ac:dyDescent="0.25">
      <c r="A4107" s="1">
        <v>919961</v>
      </c>
      <c r="B4107" s="1" t="s">
        <v>176</v>
      </c>
      <c r="C4107" s="1" t="s">
        <v>177</v>
      </c>
      <c r="D4107" s="2">
        <v>44669.387995949073</v>
      </c>
      <c r="E4107" s="1" t="s">
        <v>8</v>
      </c>
      <c r="F4107" s="1">
        <v>1</v>
      </c>
      <c r="G4107" s="1">
        <v>0</v>
      </c>
      <c r="H4107" s="6">
        <f>INT(Query1[[#This Row],[EntryDateTime]])</f>
        <v>44669</v>
      </c>
      <c r="I4107" s="1">
        <f>IF(Query1[[#This Row],[ItemType]]="EVAP KIT SF GEN IV",Query1[[#This Row],[OrderQty]]+I4106,I4106)</f>
        <v>5081</v>
      </c>
      <c r="J4107" s="1">
        <f>IF(Query1[[#This Row],[ItemType]]="EVAP KIT UNIVERSAL",Query1[[#This Row],[OrderQty]]+J4106,J4106)</f>
        <v>1688</v>
      </c>
      <c r="K4107" s="1">
        <f>Query1[[#This Row],[SF Running Total]]+Query1[[#This Row],[UNIV Running Total]]</f>
        <v>6769</v>
      </c>
      <c r="L4107">
        <f>VLOOKUP(Query1[[#This Row],[Description]],'kits to boards'!$B$2:$E$156,2,FALSE)</f>
        <v>830125</v>
      </c>
      <c r="M4107">
        <f>VLOOKUP(Query1[[#This Row],[Description]],'kits to boards'!$B$2:$E$156,3,FALSE)</f>
        <v>0</v>
      </c>
      <c r="N4107">
        <f>VLOOKUP(Query1[[#This Row],[Description]],'kits to boards'!$B$2:$E$156,4,FALSE)</f>
        <v>0</v>
      </c>
      <c r="O4107" t="str">
        <f>CONCATENATE(Query1[[#This Row],[Description]]," - ",Query1[[#This Row],[MB1]]," - ",Query1[[#This Row],[MB2]]," - ",Query1[[#This Row],[MB3]])</f>
        <v>EVAP KIT 65-66 IMPALA W/AC - 830125 - 0 - 0</v>
      </c>
    </row>
    <row r="4108" spans="1:15" x14ac:dyDescent="0.25">
      <c r="A4108" s="1">
        <v>919962</v>
      </c>
      <c r="B4108" s="1" t="s">
        <v>164</v>
      </c>
      <c r="C4108" s="1" t="s">
        <v>165</v>
      </c>
      <c r="D4108" s="2">
        <v>44669.389798576391</v>
      </c>
      <c r="E4108" s="1" t="s">
        <v>8</v>
      </c>
      <c r="F4108" s="1">
        <v>1</v>
      </c>
      <c r="G4108" s="1">
        <v>0</v>
      </c>
      <c r="H4108" s="6">
        <f>INT(Query1[[#This Row],[EntryDateTime]])</f>
        <v>44669</v>
      </c>
      <c r="I4108" s="1">
        <f>IF(Query1[[#This Row],[ItemType]]="EVAP KIT SF GEN IV",Query1[[#This Row],[OrderQty]]+I4107,I4107)</f>
        <v>5082</v>
      </c>
      <c r="J4108" s="1">
        <f>IF(Query1[[#This Row],[ItemType]]="EVAP KIT UNIVERSAL",Query1[[#This Row],[OrderQty]]+J4107,J4107)</f>
        <v>1688</v>
      </c>
      <c r="K4108" s="1">
        <f>Query1[[#This Row],[SF Running Total]]+Query1[[#This Row],[UNIV Running Total]]</f>
        <v>6770</v>
      </c>
      <c r="L4108">
        <f>VLOOKUP(Query1[[#This Row],[Description]],'kits to boards'!$B$2:$E$156,2,FALSE)</f>
        <v>830083</v>
      </c>
      <c r="M4108">
        <f>VLOOKUP(Query1[[#This Row],[Description]],'kits to boards'!$B$2:$E$156,3,FALSE)</f>
        <v>0</v>
      </c>
      <c r="N4108">
        <f>VLOOKUP(Query1[[#This Row],[Description]],'kits to boards'!$B$2:$E$156,4,FALSE)</f>
        <v>0</v>
      </c>
      <c r="O4108" t="str">
        <f>CONCATENATE(Query1[[#This Row],[Description]]," - ",Query1[[#This Row],[MB1]]," - ",Query1[[#This Row],[MB2]]," - ",Query1[[#This Row],[MB3]])</f>
        <v>EVAP KIT 70-74 CHALNGR/CUDA W/AC - 830083 - 0 - 0</v>
      </c>
    </row>
    <row r="4109" spans="1:15" x14ac:dyDescent="0.25">
      <c r="A4109" s="1">
        <v>919965</v>
      </c>
      <c r="B4109" s="1" t="s">
        <v>114</v>
      </c>
      <c r="C4109" s="1" t="s">
        <v>115</v>
      </c>
      <c r="D4109" s="2">
        <v>44669.391619710645</v>
      </c>
      <c r="E4109" s="1" t="s">
        <v>8</v>
      </c>
      <c r="F4109" s="1">
        <v>1</v>
      </c>
      <c r="G4109" s="1">
        <v>0</v>
      </c>
      <c r="H4109" s="6">
        <f>INT(Query1[[#This Row],[EntryDateTime]])</f>
        <v>44669</v>
      </c>
      <c r="I4109" s="1">
        <f>IF(Query1[[#This Row],[ItemType]]="EVAP KIT SF GEN IV",Query1[[#This Row],[OrderQty]]+I4108,I4108)</f>
        <v>5083</v>
      </c>
      <c r="J4109" s="1">
        <f>IF(Query1[[#This Row],[ItemType]]="EVAP KIT UNIVERSAL",Query1[[#This Row],[OrderQty]]+J4108,J4108)</f>
        <v>1688</v>
      </c>
      <c r="K4109" s="1">
        <f>Query1[[#This Row],[SF Running Total]]+Query1[[#This Row],[UNIV Running Total]]</f>
        <v>6771</v>
      </c>
      <c r="L4109">
        <f>VLOOKUP(Query1[[#This Row],[Description]],'kits to boards'!$B$2:$E$156,2,FALSE)</f>
        <v>830059</v>
      </c>
      <c r="M4109">
        <f>VLOOKUP(Query1[[#This Row],[Description]],'kits to boards'!$B$2:$E$156,3,FALSE)</f>
        <v>0</v>
      </c>
      <c r="N4109">
        <f>VLOOKUP(Query1[[#This Row],[Description]],'kits to boards'!$B$2:$E$156,4,FALSE)</f>
        <v>0</v>
      </c>
      <c r="O4109" t="str">
        <f>CONCATENATE(Query1[[#This Row],[Description]]," - ",Query1[[#This Row],[MB1]]," - ",Query1[[#This Row],[MB2]]," - ",Query1[[#This Row],[MB3]])</f>
        <v>EVAP KIT 66-67 CHEVELLE W/AC - 830059 - 0 - 0</v>
      </c>
    </row>
    <row r="4110" spans="1:15" x14ac:dyDescent="0.25">
      <c r="A4110" s="1">
        <v>919967</v>
      </c>
      <c r="B4110" s="1" t="s">
        <v>32</v>
      </c>
      <c r="C4110" s="1" t="s">
        <v>33</v>
      </c>
      <c r="D4110" s="2">
        <v>44669.393489317132</v>
      </c>
      <c r="E4110" s="1" t="s">
        <v>8</v>
      </c>
      <c r="F4110" s="1">
        <v>1</v>
      </c>
      <c r="G4110" s="1">
        <v>0</v>
      </c>
      <c r="H4110" s="6">
        <f>INT(Query1[[#This Row],[EntryDateTime]])</f>
        <v>44669</v>
      </c>
      <c r="I4110" s="1">
        <f>IF(Query1[[#This Row],[ItemType]]="EVAP KIT SF GEN IV",Query1[[#This Row],[OrderQty]]+I4109,I4109)</f>
        <v>5084</v>
      </c>
      <c r="J4110" s="1">
        <f>IF(Query1[[#This Row],[ItemType]]="EVAP KIT UNIVERSAL",Query1[[#This Row],[OrderQty]]+J4109,J4109)</f>
        <v>1688</v>
      </c>
      <c r="K4110" s="1">
        <f>Query1[[#This Row],[SF Running Total]]+Query1[[#This Row],[UNIV Running Total]]</f>
        <v>6772</v>
      </c>
      <c r="L4110">
        <f>VLOOKUP(Query1[[#This Row],[Description]],'kits to boards'!$B$2:$E$156,2,FALSE)</f>
        <v>830016</v>
      </c>
      <c r="M4110">
        <f>VLOOKUP(Query1[[#This Row],[Description]],'kits to boards'!$B$2:$E$156,3,FALSE)</f>
        <v>0</v>
      </c>
      <c r="N4110">
        <f>VLOOKUP(Query1[[#This Row],[Description]],'kits to boards'!$B$2:$E$156,4,FALSE)</f>
        <v>0</v>
      </c>
      <c r="O4110" t="str">
        <f>CONCATENATE(Query1[[#This Row],[Description]]," - ",Query1[[#This Row],[MB1]]," - ",Query1[[#This Row],[MB2]]," - ",Query1[[#This Row],[MB3]])</f>
        <v>EVAP KIT 67-68 CAMARO/FIREBIRD W/AC - 830016 - 0 - 0</v>
      </c>
    </row>
    <row r="4111" spans="1:15" x14ac:dyDescent="0.25">
      <c r="A4111" s="1">
        <v>919906</v>
      </c>
      <c r="B4111" s="1" t="s">
        <v>150</v>
      </c>
      <c r="C4111" s="1" t="s">
        <v>151</v>
      </c>
      <c r="D4111" s="2">
        <v>44669.394013773148</v>
      </c>
      <c r="E4111" s="1" t="s">
        <v>8</v>
      </c>
      <c r="F4111" s="1">
        <v>1</v>
      </c>
      <c r="G4111" s="1">
        <v>0</v>
      </c>
      <c r="H4111" s="6">
        <f>INT(Query1[[#This Row],[EntryDateTime]])</f>
        <v>44669</v>
      </c>
      <c r="I4111" s="1">
        <f>IF(Query1[[#This Row],[ItemType]]="EVAP KIT SF GEN IV",Query1[[#This Row],[OrderQty]]+I4110,I4110)</f>
        <v>5085</v>
      </c>
      <c r="J4111" s="1">
        <f>IF(Query1[[#This Row],[ItemType]]="EVAP KIT UNIVERSAL",Query1[[#This Row],[OrderQty]]+J4110,J4110)</f>
        <v>1688</v>
      </c>
      <c r="K4111" s="1">
        <f>Query1[[#This Row],[SF Running Total]]+Query1[[#This Row],[UNIV Running Total]]</f>
        <v>6773</v>
      </c>
      <c r="L4111">
        <f>VLOOKUP(Query1[[#This Row],[Description]],'kits to boards'!$B$2:$E$156,2,FALSE)</f>
        <v>830010</v>
      </c>
      <c r="M4111">
        <f>VLOOKUP(Query1[[#This Row],[Description]],'kits to boards'!$B$2:$E$156,3,FALSE)</f>
        <v>0</v>
      </c>
      <c r="N4111">
        <f>VLOOKUP(Query1[[#This Row],[Description]],'kits to boards'!$B$2:$E$156,4,FALSE)</f>
        <v>0</v>
      </c>
      <c r="O4111" t="str">
        <f>CONCATENATE(Query1[[#This Row],[Description]]," - ",Query1[[#This Row],[MB1]]," - ",Query1[[#This Row],[MB2]]," - ",Query1[[#This Row],[MB3]])</f>
        <v>EVAP KIT 70-72 MONTE CARLO W/AC - 830010 - 0 - 0</v>
      </c>
    </row>
    <row r="4112" spans="1:15" x14ac:dyDescent="0.25">
      <c r="A4112" s="1">
        <v>919945</v>
      </c>
      <c r="B4112" s="1" t="s">
        <v>98</v>
      </c>
      <c r="C4112" s="1" t="s">
        <v>99</v>
      </c>
      <c r="D4112" s="2">
        <v>44669.396285682873</v>
      </c>
      <c r="E4112" s="1" t="s">
        <v>11</v>
      </c>
      <c r="F4112" s="1">
        <v>2</v>
      </c>
      <c r="G4112" s="1">
        <v>0</v>
      </c>
      <c r="H4112" s="6">
        <f>INT(Query1[[#This Row],[EntryDateTime]])</f>
        <v>44669</v>
      </c>
      <c r="I4112" s="1">
        <f>IF(Query1[[#This Row],[ItemType]]="EVAP KIT SF GEN IV",Query1[[#This Row],[OrderQty]]+I4111,I4111)</f>
        <v>5085</v>
      </c>
      <c r="J4112" s="1">
        <f>IF(Query1[[#This Row],[ItemType]]="EVAP KIT UNIVERSAL",Query1[[#This Row],[OrderQty]]+J4111,J4111)</f>
        <v>1690</v>
      </c>
      <c r="K4112" s="1">
        <f>Query1[[#This Row],[SF Running Total]]+Query1[[#This Row],[UNIV Running Total]]</f>
        <v>6775</v>
      </c>
      <c r="L4112">
        <f>VLOOKUP(Query1[[#This Row],[Description]],'kits to boards'!$B$2:$E$156,2,FALSE)</f>
        <v>830099</v>
      </c>
      <c r="M4112">
        <f>VLOOKUP(Query1[[#This Row],[Description]],'kits to boards'!$B$2:$E$156,3,FALSE)</f>
        <v>0</v>
      </c>
      <c r="N4112">
        <f>VLOOKUP(Query1[[#This Row],[Description]],'kits to boards'!$B$2:$E$156,4,FALSE)</f>
        <v>0</v>
      </c>
      <c r="O4112" t="str">
        <f>CONCATENATE(Query1[[#This Row],[Description]]," - ",Query1[[#This Row],[MB1]]," - ",Query1[[#This Row],[MB2]]," - ",Query1[[#This Row],[MB3]])</f>
        <v>MINI GEN II W/DEF - 830099 - 0 - 0</v>
      </c>
    </row>
    <row r="4113" spans="1:15" x14ac:dyDescent="0.25">
      <c r="A4113" s="1">
        <v>919945</v>
      </c>
      <c r="B4113" s="1" t="s">
        <v>78</v>
      </c>
      <c r="C4113" s="1" t="s">
        <v>79</v>
      </c>
      <c r="D4113" s="2">
        <v>44669.398324421294</v>
      </c>
      <c r="E4113" s="1" t="s">
        <v>11</v>
      </c>
      <c r="F4113" s="1">
        <v>1</v>
      </c>
      <c r="G4113" s="1">
        <v>0</v>
      </c>
      <c r="H4113" s="6">
        <f>INT(Query1[[#This Row],[EntryDateTime]])</f>
        <v>44669</v>
      </c>
      <c r="I4113" s="1">
        <f>IF(Query1[[#This Row],[ItemType]]="EVAP KIT SF GEN IV",Query1[[#This Row],[OrderQty]]+I4112,I4112)</f>
        <v>5085</v>
      </c>
      <c r="J4113" s="1">
        <f>IF(Query1[[#This Row],[ItemType]]="EVAP KIT UNIVERSAL",Query1[[#This Row],[OrderQty]]+J4112,J4112)</f>
        <v>1691</v>
      </c>
      <c r="K4113" s="1">
        <f>Query1[[#This Row],[SF Running Total]]+Query1[[#This Row],[UNIV Running Total]]</f>
        <v>6776</v>
      </c>
      <c r="L4113">
        <f>VLOOKUP(Query1[[#This Row],[Description]],'kits to boards'!$B$2:$E$156,2,FALSE)</f>
        <v>0</v>
      </c>
      <c r="M4113">
        <f>VLOOKUP(Query1[[#This Row],[Description]],'kits to boards'!$B$2:$E$156,3,FALSE)</f>
        <v>0</v>
      </c>
      <c r="N4113">
        <f>VLOOKUP(Query1[[#This Row],[Description]],'kits to boards'!$B$2:$E$156,4,FALSE)</f>
        <v>0</v>
      </c>
      <c r="O4113" t="str">
        <f>CONCATENATE(Query1[[#This Row],[Description]]," - ",Query1[[#This Row],[MB1]]," - ",Query1[[#This Row],[MB2]]," - ",Query1[[#This Row],[MB3]])</f>
        <v>MARK IV STYLELINE UNDERDASH EVAP - 0 - 0 - 0</v>
      </c>
    </row>
    <row r="4114" spans="1:15" x14ac:dyDescent="0.25">
      <c r="A4114" s="1">
        <v>919945</v>
      </c>
      <c r="B4114" s="1" t="s">
        <v>296</v>
      </c>
      <c r="C4114" s="1" t="s">
        <v>297</v>
      </c>
      <c r="D4114" s="2">
        <v>44669.398567442127</v>
      </c>
      <c r="E4114" s="1" t="s">
        <v>11</v>
      </c>
      <c r="F4114" s="1">
        <v>1</v>
      </c>
      <c r="G4114" s="1">
        <v>0</v>
      </c>
      <c r="H4114" s="6">
        <f>INT(Query1[[#This Row],[EntryDateTime]])</f>
        <v>44669</v>
      </c>
      <c r="I4114" s="1">
        <f>IF(Query1[[#This Row],[ItemType]]="EVAP KIT SF GEN IV",Query1[[#This Row],[OrderQty]]+I4113,I4113)</f>
        <v>5085</v>
      </c>
      <c r="J4114" s="1">
        <f>IF(Query1[[#This Row],[ItemType]]="EVAP KIT UNIVERSAL",Query1[[#This Row],[OrderQty]]+J4113,J4113)</f>
        <v>1692</v>
      </c>
      <c r="K4114" s="1">
        <f>Query1[[#This Row],[SF Running Total]]+Query1[[#This Row],[UNIV Running Total]]</f>
        <v>6777</v>
      </c>
      <c r="L4114">
        <f>VLOOKUP(Query1[[#This Row],[Description]],'kits to boards'!$B$2:$E$156,2,FALSE)</f>
        <v>0</v>
      </c>
      <c r="M4114">
        <f>VLOOKUP(Query1[[#This Row],[Description]],'kits to boards'!$B$2:$E$156,3,FALSE)</f>
        <v>0</v>
      </c>
      <c r="N4114">
        <f>VLOOKUP(Query1[[#This Row],[Description]],'kits to boards'!$B$2:$E$156,4,FALSE)</f>
        <v>0</v>
      </c>
      <c r="O4114" t="str">
        <f>CONCATENATE(Query1[[#This Row],[Description]]," - ",Query1[[#This Row],[MB1]]," - ",Query1[[#This Row],[MB2]]," - ",Query1[[#This Row],[MB3]])</f>
        <v>HERITAGE TURNED EVAP KIT COOL ONLY - 0 - 0 - 0</v>
      </c>
    </row>
    <row r="4115" spans="1:15" x14ac:dyDescent="0.25">
      <c r="A4115" s="1">
        <v>919945</v>
      </c>
      <c r="B4115" s="1" t="s">
        <v>24</v>
      </c>
      <c r="C4115" s="1" t="s">
        <v>25</v>
      </c>
      <c r="D4115" s="2">
        <v>44669.399407488425</v>
      </c>
      <c r="E4115" s="1" t="s">
        <v>11</v>
      </c>
      <c r="F4115" s="1">
        <v>1</v>
      </c>
      <c r="G4115" s="1">
        <v>0</v>
      </c>
      <c r="H4115" s="6">
        <f>INT(Query1[[#This Row],[EntryDateTime]])</f>
        <v>44669</v>
      </c>
      <c r="I4115" s="1">
        <f>IF(Query1[[#This Row],[ItemType]]="EVAP KIT SF GEN IV",Query1[[#This Row],[OrderQty]]+I4114,I4114)</f>
        <v>5085</v>
      </c>
      <c r="J4115" s="1">
        <f>IF(Query1[[#This Row],[ItemType]]="EVAP KIT UNIVERSAL",Query1[[#This Row],[OrderQty]]+J4114,J4114)</f>
        <v>1693</v>
      </c>
      <c r="K4115" s="1">
        <f>Query1[[#This Row],[SF Running Total]]+Query1[[#This Row],[UNIV Running Total]]</f>
        <v>6778</v>
      </c>
      <c r="L4115">
        <f>VLOOKUP(Query1[[#This Row],[Description]],'kits to boards'!$B$2:$E$156,2,FALSE)</f>
        <v>830029</v>
      </c>
      <c r="M4115">
        <f>VLOOKUP(Query1[[#This Row],[Description]],'kits to boards'!$B$2:$E$156,3,FALSE)</f>
        <v>830030</v>
      </c>
      <c r="N4115">
        <f>VLOOKUP(Query1[[#This Row],[Description]],'kits to boards'!$B$2:$E$156,4,FALSE)</f>
        <v>0</v>
      </c>
      <c r="O4115" t="str">
        <f>CONCATENATE(Query1[[#This Row],[Description]]," - ",Query1[[#This Row],[MB1]]," - ",Query1[[#This Row],[MB2]]," - ",Query1[[#This Row],[MB3]])</f>
        <v>ComPac GEN II W/DEF - 830029 - 830030 - 0</v>
      </c>
    </row>
    <row r="4116" spans="1:15" x14ac:dyDescent="0.25">
      <c r="A4116" s="1">
        <v>919971</v>
      </c>
      <c r="B4116" s="1" t="s">
        <v>294</v>
      </c>
      <c r="C4116" s="1" t="s">
        <v>295</v>
      </c>
      <c r="D4116" s="2">
        <v>44669.406148726855</v>
      </c>
      <c r="E4116" s="1" t="s">
        <v>8</v>
      </c>
      <c r="F4116" s="1">
        <v>1</v>
      </c>
      <c r="G4116" s="1">
        <v>0</v>
      </c>
      <c r="H4116" s="6">
        <f>INT(Query1[[#This Row],[EntryDateTime]])</f>
        <v>44669</v>
      </c>
      <c r="I4116" s="1">
        <f>IF(Query1[[#This Row],[ItemType]]="EVAP KIT SF GEN IV",Query1[[#This Row],[OrderQty]]+I4115,I4115)</f>
        <v>5086</v>
      </c>
      <c r="J4116" s="1">
        <f>IF(Query1[[#This Row],[ItemType]]="EVAP KIT UNIVERSAL",Query1[[#This Row],[OrderQty]]+J4115,J4115)</f>
        <v>1693</v>
      </c>
      <c r="K4116" s="1">
        <f>Query1[[#This Row],[SF Running Total]]+Query1[[#This Row],[UNIV Running Total]]</f>
        <v>6779</v>
      </c>
      <c r="L4116">
        <f>VLOOKUP(Query1[[#This Row],[Description]],'kits to boards'!$B$2:$E$156,2,FALSE)</f>
        <v>830006</v>
      </c>
      <c r="M4116">
        <f>VLOOKUP(Query1[[#This Row],[Description]],'kits to boards'!$B$2:$E$156,3,FALSE)</f>
        <v>0</v>
      </c>
      <c r="N4116">
        <f>VLOOKUP(Query1[[#This Row],[Description]],'kits to boards'!$B$2:$E$156,4,FALSE)</f>
        <v>0</v>
      </c>
      <c r="O4116" t="str">
        <f>CONCATENATE(Query1[[#This Row],[Description]]," - ",Query1[[#This Row],[MB1]]," - ",Query1[[#This Row],[MB2]]," - ",Query1[[#This Row],[MB3]])</f>
        <v>EVAP KIT 61-62 IMPALA W/AC - 830006 - 0 - 0</v>
      </c>
    </row>
    <row r="4117" spans="1:15" x14ac:dyDescent="0.25">
      <c r="A4117" s="1">
        <v>919988</v>
      </c>
      <c r="B4117" s="1" t="s">
        <v>98</v>
      </c>
      <c r="C4117" s="1" t="s">
        <v>99</v>
      </c>
      <c r="D4117" s="2">
        <v>44669.429103472219</v>
      </c>
      <c r="E4117" s="1" t="s">
        <v>11</v>
      </c>
      <c r="F4117" s="1">
        <v>1</v>
      </c>
      <c r="G4117" s="1">
        <v>0</v>
      </c>
      <c r="H4117" s="6">
        <f>INT(Query1[[#This Row],[EntryDateTime]])</f>
        <v>44669</v>
      </c>
      <c r="I4117" s="1">
        <f>IF(Query1[[#This Row],[ItemType]]="EVAP KIT SF GEN IV",Query1[[#This Row],[OrderQty]]+I4116,I4116)</f>
        <v>5086</v>
      </c>
      <c r="J4117" s="1">
        <f>IF(Query1[[#This Row],[ItemType]]="EVAP KIT UNIVERSAL",Query1[[#This Row],[OrderQty]]+J4116,J4116)</f>
        <v>1694</v>
      </c>
      <c r="K4117" s="1">
        <f>Query1[[#This Row],[SF Running Total]]+Query1[[#This Row],[UNIV Running Total]]</f>
        <v>6780</v>
      </c>
      <c r="L4117">
        <f>VLOOKUP(Query1[[#This Row],[Description]],'kits to boards'!$B$2:$E$156,2,FALSE)</f>
        <v>830099</v>
      </c>
      <c r="M4117">
        <f>VLOOKUP(Query1[[#This Row],[Description]],'kits to boards'!$B$2:$E$156,3,FALSE)</f>
        <v>0</v>
      </c>
      <c r="N4117">
        <f>VLOOKUP(Query1[[#This Row],[Description]],'kits to boards'!$B$2:$E$156,4,FALSE)</f>
        <v>0</v>
      </c>
      <c r="O4117" t="str">
        <f>CONCATENATE(Query1[[#This Row],[Description]]," - ",Query1[[#This Row],[MB1]]," - ",Query1[[#This Row],[MB2]]," - ",Query1[[#This Row],[MB3]])</f>
        <v>MINI GEN II W/DEF - 830099 - 0 - 0</v>
      </c>
    </row>
    <row r="4118" spans="1:15" x14ac:dyDescent="0.25">
      <c r="A4118" s="1">
        <v>919996</v>
      </c>
      <c r="B4118" s="1" t="s">
        <v>206</v>
      </c>
      <c r="C4118" s="1" t="s">
        <v>207</v>
      </c>
      <c r="D4118" s="2">
        <v>44669.437780590277</v>
      </c>
      <c r="E4118" s="1" t="s">
        <v>8</v>
      </c>
      <c r="F4118" s="1">
        <v>1</v>
      </c>
      <c r="G4118" s="1">
        <v>0</v>
      </c>
      <c r="H4118" s="6">
        <f>INT(Query1[[#This Row],[EntryDateTime]])</f>
        <v>44669</v>
      </c>
      <c r="I4118" s="1">
        <f>IF(Query1[[#This Row],[ItemType]]="EVAP KIT SF GEN IV",Query1[[#This Row],[OrderQty]]+I4117,I4117)</f>
        <v>5087</v>
      </c>
      <c r="J4118" s="1">
        <f>IF(Query1[[#This Row],[ItemType]]="EVAP KIT UNIVERSAL",Query1[[#This Row],[OrderQty]]+J4117,J4117)</f>
        <v>1694</v>
      </c>
      <c r="K4118" s="1">
        <f>Query1[[#This Row],[SF Running Total]]+Query1[[#This Row],[UNIV Running Total]]</f>
        <v>6781</v>
      </c>
      <c r="L4118">
        <f>VLOOKUP(Query1[[#This Row],[Description]],'kits to boards'!$B$2:$E$156,2,FALSE)</f>
        <v>830032</v>
      </c>
      <c r="M4118">
        <f>VLOOKUP(Query1[[#This Row],[Description]],'kits to boards'!$B$2:$E$156,3,FALSE)</f>
        <v>0</v>
      </c>
      <c r="N4118">
        <f>VLOOKUP(Query1[[#This Row],[Description]],'kits to boards'!$B$2:$E$156,4,FALSE)</f>
        <v>0</v>
      </c>
      <c r="O4118" t="str">
        <f>CONCATENATE(Query1[[#This Row],[Description]]," - ",Query1[[#This Row],[MB1]]," - ",Query1[[#This Row],[MB2]]," - ",Query1[[#This Row],[MB3]])</f>
        <v>EVAP KIT 61-62 VETTE - 830032 - 0 - 0</v>
      </c>
    </row>
    <row r="4119" spans="1:15" x14ac:dyDescent="0.25">
      <c r="A4119" s="1">
        <v>919996</v>
      </c>
      <c r="B4119" s="1" t="s">
        <v>38</v>
      </c>
      <c r="C4119" s="1" t="s">
        <v>39</v>
      </c>
      <c r="D4119" s="2">
        <v>44669.438933530095</v>
      </c>
      <c r="E4119" s="1" t="s">
        <v>8</v>
      </c>
      <c r="F4119" s="1">
        <v>1</v>
      </c>
      <c r="G4119" s="1">
        <v>0</v>
      </c>
      <c r="H4119" s="6">
        <f>INT(Query1[[#This Row],[EntryDateTime]])</f>
        <v>44669</v>
      </c>
      <c r="I4119" s="1">
        <f>IF(Query1[[#This Row],[ItemType]]="EVAP KIT SF GEN IV",Query1[[#This Row],[OrderQty]]+I4118,I4118)</f>
        <v>5088</v>
      </c>
      <c r="J4119" s="1">
        <f>IF(Query1[[#This Row],[ItemType]]="EVAP KIT UNIVERSAL",Query1[[#This Row],[OrderQty]]+J4118,J4118)</f>
        <v>1694</v>
      </c>
      <c r="K4119" s="1">
        <f>Query1[[#This Row],[SF Running Total]]+Query1[[#This Row],[UNIV Running Total]]</f>
        <v>6782</v>
      </c>
      <c r="L4119">
        <f>VLOOKUP(Query1[[#This Row],[Description]],'kits to boards'!$B$2:$E$156,2,FALSE)</f>
        <v>830012</v>
      </c>
      <c r="M4119">
        <f>VLOOKUP(Query1[[#This Row],[Description]],'kits to boards'!$B$2:$E$156,3,FALSE)</f>
        <v>0</v>
      </c>
      <c r="N4119">
        <f>VLOOKUP(Query1[[#This Row],[Description]],'kits to boards'!$B$2:$E$156,4,FALSE)</f>
        <v>0</v>
      </c>
      <c r="O4119" t="str">
        <f>CONCATENATE(Query1[[#This Row],[Description]]," - ",Query1[[#This Row],[MB1]]," - ",Query1[[#This Row],[MB2]]," - ",Query1[[#This Row],[MB3]])</f>
        <v>EVAP KIT 69 CAMARO W/AC - 830012 - 0 - 0</v>
      </c>
    </row>
    <row r="4120" spans="1:15" x14ac:dyDescent="0.25">
      <c r="A4120" s="1">
        <v>920000</v>
      </c>
      <c r="B4120" s="1" t="s">
        <v>56</v>
      </c>
      <c r="C4120" s="1" t="s">
        <v>57</v>
      </c>
      <c r="D4120" s="2">
        <v>44669.447343518521</v>
      </c>
      <c r="E4120" s="1" t="s">
        <v>8</v>
      </c>
      <c r="F4120" s="1">
        <v>1</v>
      </c>
      <c r="G4120" s="1">
        <v>0</v>
      </c>
      <c r="H4120" s="6">
        <f>INT(Query1[[#This Row],[EntryDateTime]])</f>
        <v>44669</v>
      </c>
      <c r="I4120" s="1">
        <f>IF(Query1[[#This Row],[ItemType]]="EVAP KIT SF GEN IV",Query1[[#This Row],[OrderQty]]+I4119,I4119)</f>
        <v>5089</v>
      </c>
      <c r="J4120" s="1">
        <f>IF(Query1[[#This Row],[ItemType]]="EVAP KIT UNIVERSAL",Query1[[#This Row],[OrderQty]]+J4119,J4119)</f>
        <v>1694</v>
      </c>
      <c r="K4120" s="1">
        <f>Query1[[#This Row],[SF Running Total]]+Query1[[#This Row],[UNIV Running Total]]</f>
        <v>6783</v>
      </c>
      <c r="L4120">
        <f>VLOOKUP(Query1[[#This Row],[Description]],'kits to boards'!$B$2:$E$156,2,FALSE)</f>
        <v>830011</v>
      </c>
      <c r="M4120">
        <f>VLOOKUP(Query1[[#This Row],[Description]],'kits to boards'!$B$2:$E$156,3,FALSE)</f>
        <v>0</v>
      </c>
      <c r="N4120">
        <f>VLOOKUP(Query1[[#This Row],[Description]],'kits to boards'!$B$2:$E$156,4,FALSE)</f>
        <v>0</v>
      </c>
      <c r="O4120" t="str">
        <f>CONCATENATE(Query1[[#This Row],[Description]]," - ",Query1[[#This Row],[MB1]]," - ",Query1[[#This Row],[MB2]]," - ",Query1[[#This Row],[MB3]])</f>
        <v>EVAP KIT 70-72 CHEVELLE W/AC - 830011 - 0 - 0</v>
      </c>
    </row>
    <row r="4121" spans="1:15" x14ac:dyDescent="0.25">
      <c r="A4121" s="1">
        <v>920001</v>
      </c>
      <c r="B4121" s="1" t="s">
        <v>18</v>
      </c>
      <c r="C4121" s="1" t="s">
        <v>19</v>
      </c>
      <c r="D4121" s="2">
        <v>44669.45280914352</v>
      </c>
      <c r="E4121" s="1" t="s">
        <v>8</v>
      </c>
      <c r="F4121" s="1">
        <v>1</v>
      </c>
      <c r="G4121" s="1">
        <v>0</v>
      </c>
      <c r="H4121" s="6">
        <f>INT(Query1[[#This Row],[EntryDateTime]])</f>
        <v>44669</v>
      </c>
      <c r="I4121" s="1">
        <f>IF(Query1[[#This Row],[ItemType]]="EVAP KIT SF GEN IV",Query1[[#This Row],[OrderQty]]+I4120,I4120)</f>
        <v>5090</v>
      </c>
      <c r="J4121" s="1">
        <f>IF(Query1[[#This Row],[ItemType]]="EVAP KIT UNIVERSAL",Query1[[#This Row],[OrderQty]]+J4120,J4120)</f>
        <v>1694</v>
      </c>
      <c r="K4121" s="1">
        <f>Query1[[#This Row],[SF Running Total]]+Query1[[#This Row],[UNIV Running Total]]</f>
        <v>6784</v>
      </c>
      <c r="L4121">
        <f>VLOOKUP(Query1[[#This Row],[Description]],'kits to boards'!$B$2:$E$156,2,FALSE)</f>
        <v>830051</v>
      </c>
      <c r="M4121">
        <f>VLOOKUP(Query1[[#This Row],[Description]],'kits to boards'!$B$2:$E$156,3,FALSE)</f>
        <v>0</v>
      </c>
      <c r="N4121">
        <f>VLOOKUP(Query1[[#This Row],[Description]],'kits to boards'!$B$2:$E$156,4,FALSE)</f>
        <v>0</v>
      </c>
      <c r="O4121" t="str">
        <f>CONCATENATE(Query1[[#This Row],[Description]]," - ",Query1[[#This Row],[MB1]]," - ",Query1[[#This Row],[MB2]]," - ",Query1[[#This Row],[MB3]])</f>
        <v>EVAP KIT 70-78 CAMARO W/AC - 830051 - 0 - 0</v>
      </c>
    </row>
    <row r="4122" spans="1:15" x14ac:dyDescent="0.25">
      <c r="A4122" s="1">
        <v>920006</v>
      </c>
      <c r="B4122" s="1" t="s">
        <v>247</v>
      </c>
      <c r="C4122" s="1" t="s">
        <v>248</v>
      </c>
      <c r="D4122" s="2">
        <v>44669.468201886571</v>
      </c>
      <c r="E4122" s="1" t="s">
        <v>8</v>
      </c>
      <c r="F4122" s="1">
        <v>1</v>
      </c>
      <c r="G4122" s="1">
        <v>0</v>
      </c>
      <c r="H4122" s="6">
        <f>INT(Query1[[#This Row],[EntryDateTime]])</f>
        <v>44669</v>
      </c>
      <c r="I4122" s="1">
        <f>IF(Query1[[#This Row],[ItemType]]="EVAP KIT SF GEN IV",Query1[[#This Row],[OrderQty]]+I4121,I4121)</f>
        <v>5091</v>
      </c>
      <c r="J4122" s="1">
        <f>IF(Query1[[#This Row],[ItemType]]="EVAP KIT UNIVERSAL",Query1[[#This Row],[OrderQty]]+J4121,J4121)</f>
        <v>1694</v>
      </c>
      <c r="K4122" s="1">
        <f>Query1[[#This Row],[SF Running Total]]+Query1[[#This Row],[UNIV Running Total]]</f>
        <v>6785</v>
      </c>
      <c r="L4122">
        <f>VLOOKUP(Query1[[#This Row],[Description]],'kits to boards'!$B$2:$E$156,2,FALSE)</f>
        <v>830107</v>
      </c>
      <c r="M4122">
        <f>VLOOKUP(Query1[[#This Row],[Description]],'kits to boards'!$B$2:$E$156,3,FALSE)</f>
        <v>0</v>
      </c>
      <c r="N4122">
        <f>VLOOKUP(Query1[[#This Row],[Description]],'kits to boards'!$B$2:$E$156,4,FALSE)</f>
        <v>0</v>
      </c>
      <c r="O4122" t="str">
        <f>CONCATENATE(Query1[[#This Row],[Description]]," - ",Query1[[#This Row],[MB1]]," - ",Query1[[#This Row],[MB2]]," - ",Query1[[#This Row],[MB3]])</f>
        <v>EVAP KIT 69 FIREBIRD W/AC - 830107 - 0 - 0</v>
      </c>
    </row>
    <row r="4123" spans="1:15" x14ac:dyDescent="0.25">
      <c r="A4123" s="1">
        <v>919744</v>
      </c>
      <c r="B4123" s="1" t="s">
        <v>120</v>
      </c>
      <c r="C4123" s="1" t="s">
        <v>121</v>
      </c>
      <c r="D4123" s="2">
        <v>44669.473265856483</v>
      </c>
      <c r="E4123" s="1" t="s">
        <v>8</v>
      </c>
      <c r="F4123" s="1">
        <v>1</v>
      </c>
      <c r="G4123" s="1">
        <v>0</v>
      </c>
      <c r="H4123" s="6">
        <f>INT(Query1[[#This Row],[EntryDateTime]])</f>
        <v>44669</v>
      </c>
      <c r="I4123" s="1">
        <f>IF(Query1[[#This Row],[ItemType]]="EVAP KIT SF GEN IV",Query1[[#This Row],[OrderQty]]+I4122,I4122)</f>
        <v>5092</v>
      </c>
      <c r="J4123" s="1">
        <f>IF(Query1[[#This Row],[ItemType]]="EVAP KIT UNIVERSAL",Query1[[#This Row],[OrderQty]]+J4122,J4122)</f>
        <v>1694</v>
      </c>
      <c r="K4123" s="1">
        <f>Query1[[#This Row],[SF Running Total]]+Query1[[#This Row],[UNIV Running Total]]</f>
        <v>6786</v>
      </c>
      <c r="L4123">
        <f>VLOOKUP(Query1[[#This Row],[Description]],'kits to boards'!$B$2:$E$156,2,FALSE)</f>
        <v>830014</v>
      </c>
      <c r="M4123">
        <f>VLOOKUP(Query1[[#This Row],[Description]],'kits to boards'!$B$2:$E$156,3,FALSE)</f>
        <v>0</v>
      </c>
      <c r="N4123">
        <f>VLOOKUP(Query1[[#This Row],[Description]],'kits to boards'!$B$2:$E$156,4,FALSE)</f>
        <v>0</v>
      </c>
      <c r="O4123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4124" spans="1:15" x14ac:dyDescent="0.25">
      <c r="A4124" s="1">
        <v>920017</v>
      </c>
      <c r="B4124" s="1" t="s">
        <v>14</v>
      </c>
      <c r="C4124" s="1" t="s">
        <v>15</v>
      </c>
      <c r="D4124" s="2">
        <v>44669.491004282405</v>
      </c>
      <c r="E4124" s="1" t="s">
        <v>8</v>
      </c>
      <c r="F4124" s="1">
        <v>1</v>
      </c>
      <c r="G4124" s="1">
        <v>0</v>
      </c>
      <c r="H4124" s="6">
        <f>INT(Query1[[#This Row],[EntryDateTime]])</f>
        <v>44669</v>
      </c>
      <c r="I4124" s="1">
        <f>IF(Query1[[#This Row],[ItemType]]="EVAP KIT SF GEN IV",Query1[[#This Row],[OrderQty]]+I4123,I4123)</f>
        <v>5093</v>
      </c>
      <c r="J4124" s="1">
        <f>IF(Query1[[#This Row],[ItemType]]="EVAP KIT UNIVERSAL",Query1[[#This Row],[OrderQty]]+J4123,J4123)</f>
        <v>1694</v>
      </c>
      <c r="K4124" s="1">
        <f>Query1[[#This Row],[SF Running Total]]+Query1[[#This Row],[UNIV Running Total]]</f>
        <v>6787</v>
      </c>
      <c r="L4124">
        <f>VLOOKUP(Query1[[#This Row],[Description]],'kits to boards'!$B$2:$E$156,2,FALSE)</f>
        <v>830054</v>
      </c>
      <c r="M4124">
        <f>VLOOKUP(Query1[[#This Row],[Description]],'kits to boards'!$B$2:$E$156,3,FALSE)</f>
        <v>0</v>
      </c>
      <c r="N4124">
        <f>VLOOKUP(Query1[[#This Row],[Description]],'kits to boards'!$B$2:$E$156,4,FALSE)</f>
        <v>0</v>
      </c>
      <c r="O4124" t="str">
        <f>CONCATENATE(Query1[[#This Row],[Description]]," - ",Query1[[#This Row],[MB1]]," - ",Query1[[#This Row],[MB2]]," - ",Query1[[#This Row],[MB3]])</f>
        <v>EVAP KIT 55-56 CHEVY - 830054 - 0 - 0</v>
      </c>
    </row>
    <row r="4125" spans="1:15" x14ac:dyDescent="0.25">
      <c r="A4125" s="1">
        <v>920029</v>
      </c>
      <c r="B4125" s="1" t="s">
        <v>22</v>
      </c>
      <c r="C4125" s="1" t="s">
        <v>23</v>
      </c>
      <c r="D4125" s="2">
        <v>44669.53515077546</v>
      </c>
      <c r="E4125" s="1" t="s">
        <v>8</v>
      </c>
      <c r="F4125" s="1">
        <v>1</v>
      </c>
      <c r="G4125" s="1">
        <v>0</v>
      </c>
      <c r="H4125" s="6">
        <f>INT(Query1[[#This Row],[EntryDateTime]])</f>
        <v>44669</v>
      </c>
      <c r="I4125" s="1">
        <f>IF(Query1[[#This Row],[ItemType]]="EVAP KIT SF GEN IV",Query1[[#This Row],[OrderQty]]+I4124,I4124)</f>
        <v>5094</v>
      </c>
      <c r="J4125" s="1">
        <f>IF(Query1[[#This Row],[ItemType]]="EVAP KIT UNIVERSAL",Query1[[#This Row],[OrderQty]]+J4124,J4124)</f>
        <v>1694</v>
      </c>
      <c r="K4125" s="1">
        <f>Query1[[#This Row],[SF Running Total]]+Query1[[#This Row],[UNIV Running Total]]</f>
        <v>6788</v>
      </c>
      <c r="L4125">
        <f>VLOOKUP(Query1[[#This Row],[Description]],'kits to boards'!$B$2:$E$156,2,FALSE)</f>
        <v>830083</v>
      </c>
      <c r="M4125">
        <f>VLOOKUP(Query1[[#This Row],[Description]],'kits to boards'!$B$2:$E$156,3,FALSE)</f>
        <v>0</v>
      </c>
      <c r="N4125">
        <f>VLOOKUP(Query1[[#This Row],[Description]],'kits to boards'!$B$2:$E$156,4,FALSE)</f>
        <v>0</v>
      </c>
      <c r="O4125" t="str">
        <f>CONCATENATE(Query1[[#This Row],[Description]]," - ",Query1[[#This Row],[MB1]]," - ",Query1[[#This Row],[MB2]]," - ",Query1[[#This Row],[MB3]])</f>
        <v>GEN IV MAGNUM EVAP KIT - 830083 - 0 - 0</v>
      </c>
    </row>
    <row r="4126" spans="1:15" x14ac:dyDescent="0.25">
      <c r="A4126" s="1">
        <v>920039</v>
      </c>
      <c r="B4126" s="1" t="s">
        <v>98</v>
      </c>
      <c r="C4126" s="1" t="s">
        <v>99</v>
      </c>
      <c r="D4126" s="2">
        <v>44669.560345104168</v>
      </c>
      <c r="E4126" s="1" t="s">
        <v>11</v>
      </c>
      <c r="F4126" s="1">
        <v>1</v>
      </c>
      <c r="G4126" s="1">
        <v>0</v>
      </c>
      <c r="H4126" s="6">
        <f>INT(Query1[[#This Row],[EntryDateTime]])</f>
        <v>44669</v>
      </c>
      <c r="I4126" s="1">
        <f>IF(Query1[[#This Row],[ItemType]]="EVAP KIT SF GEN IV",Query1[[#This Row],[OrderQty]]+I4125,I4125)</f>
        <v>5094</v>
      </c>
      <c r="J4126" s="1">
        <f>IF(Query1[[#This Row],[ItemType]]="EVAP KIT UNIVERSAL",Query1[[#This Row],[OrderQty]]+J4125,J4125)</f>
        <v>1695</v>
      </c>
      <c r="K4126" s="1">
        <f>Query1[[#This Row],[SF Running Total]]+Query1[[#This Row],[UNIV Running Total]]</f>
        <v>6789</v>
      </c>
      <c r="L4126">
        <f>VLOOKUP(Query1[[#This Row],[Description]],'kits to boards'!$B$2:$E$156,2,FALSE)</f>
        <v>830099</v>
      </c>
      <c r="M4126">
        <f>VLOOKUP(Query1[[#This Row],[Description]],'kits to boards'!$B$2:$E$156,3,FALSE)</f>
        <v>0</v>
      </c>
      <c r="N4126">
        <f>VLOOKUP(Query1[[#This Row],[Description]],'kits to boards'!$B$2:$E$156,4,FALSE)</f>
        <v>0</v>
      </c>
      <c r="O4126" t="str">
        <f>CONCATENATE(Query1[[#This Row],[Description]]," - ",Query1[[#This Row],[MB1]]," - ",Query1[[#This Row],[MB2]]," - ",Query1[[#This Row],[MB3]])</f>
        <v>MINI GEN II W/DEF - 830099 - 0 - 0</v>
      </c>
    </row>
    <row r="4127" spans="1:15" x14ac:dyDescent="0.25">
      <c r="A4127" s="1">
        <v>920040</v>
      </c>
      <c r="B4127" s="1" t="s">
        <v>128</v>
      </c>
      <c r="C4127" s="1" t="s">
        <v>129</v>
      </c>
      <c r="D4127" s="2">
        <v>44669.560815891207</v>
      </c>
      <c r="E4127" s="1" t="s">
        <v>8</v>
      </c>
      <c r="F4127" s="1">
        <v>1</v>
      </c>
      <c r="G4127" s="1">
        <v>0</v>
      </c>
      <c r="H4127" s="6">
        <f>INT(Query1[[#This Row],[EntryDateTime]])</f>
        <v>44669</v>
      </c>
      <c r="I4127" s="1">
        <f>IF(Query1[[#This Row],[ItemType]]="EVAP KIT SF GEN IV",Query1[[#This Row],[OrderQty]]+I4126,I4126)</f>
        <v>5095</v>
      </c>
      <c r="J4127" s="1">
        <f>IF(Query1[[#This Row],[ItemType]]="EVAP KIT UNIVERSAL",Query1[[#This Row],[OrderQty]]+J4126,J4126)</f>
        <v>1695</v>
      </c>
      <c r="K4127" s="1">
        <f>Query1[[#This Row],[SF Running Total]]+Query1[[#This Row],[UNIV Running Total]]</f>
        <v>6790</v>
      </c>
      <c r="L4127">
        <f>VLOOKUP(Query1[[#This Row],[Description]],'kits to boards'!$B$2:$E$156,2,FALSE)</f>
        <v>830036</v>
      </c>
      <c r="M4127">
        <f>VLOOKUP(Query1[[#This Row],[Description]],'kits to boards'!$B$2:$E$156,3,FALSE)</f>
        <v>830039</v>
      </c>
      <c r="N4127">
        <f>VLOOKUP(Query1[[#This Row],[Description]],'kits to boards'!$B$2:$E$156,4,FALSE)</f>
        <v>0</v>
      </c>
      <c r="O4127" t="str">
        <f>CONCATENATE(Query1[[#This Row],[Description]]," - ",Query1[[#This Row],[MB1]]," - ",Query1[[#This Row],[MB2]]," - ",Query1[[#This Row],[MB3]])</f>
        <v>EVAP KIT 63-66 VETTE WO AC - 830036 - 830039 - 0</v>
      </c>
    </row>
    <row r="4128" spans="1:15" x14ac:dyDescent="0.25">
      <c r="A4128" s="1">
        <v>910535</v>
      </c>
      <c r="B4128" s="1" t="s">
        <v>128</v>
      </c>
      <c r="C4128" s="1" t="s">
        <v>129</v>
      </c>
      <c r="D4128" s="2">
        <v>44669.567656446758</v>
      </c>
      <c r="E4128" s="1" t="s">
        <v>8</v>
      </c>
      <c r="F4128" s="1">
        <v>1</v>
      </c>
      <c r="G4128" s="1">
        <v>0</v>
      </c>
      <c r="H4128" s="6">
        <f>INT(Query1[[#This Row],[EntryDateTime]])</f>
        <v>44669</v>
      </c>
      <c r="I4128" s="1">
        <f>IF(Query1[[#This Row],[ItemType]]="EVAP KIT SF GEN IV",Query1[[#This Row],[OrderQty]]+I4127,I4127)</f>
        <v>5096</v>
      </c>
      <c r="J4128" s="1">
        <f>IF(Query1[[#This Row],[ItemType]]="EVAP KIT UNIVERSAL",Query1[[#This Row],[OrderQty]]+J4127,J4127)</f>
        <v>1695</v>
      </c>
      <c r="K4128" s="1">
        <f>Query1[[#This Row],[SF Running Total]]+Query1[[#This Row],[UNIV Running Total]]</f>
        <v>6791</v>
      </c>
      <c r="L4128">
        <f>VLOOKUP(Query1[[#This Row],[Description]],'kits to boards'!$B$2:$E$156,2,FALSE)</f>
        <v>830036</v>
      </c>
      <c r="M4128">
        <f>VLOOKUP(Query1[[#This Row],[Description]],'kits to boards'!$B$2:$E$156,3,FALSE)</f>
        <v>830039</v>
      </c>
      <c r="N4128">
        <f>VLOOKUP(Query1[[#This Row],[Description]],'kits to boards'!$B$2:$E$156,4,FALSE)</f>
        <v>0</v>
      </c>
      <c r="O4128" t="str">
        <f>CONCATENATE(Query1[[#This Row],[Description]]," - ",Query1[[#This Row],[MB1]]," - ",Query1[[#This Row],[MB2]]," - ",Query1[[#This Row],[MB3]])</f>
        <v>EVAP KIT 63-66 VETTE WO AC - 830036 - 830039 - 0</v>
      </c>
    </row>
    <row r="4129" spans="1:15" x14ac:dyDescent="0.25">
      <c r="A4129" s="1">
        <v>920053</v>
      </c>
      <c r="B4129" s="1" t="s">
        <v>60</v>
      </c>
      <c r="C4129" s="1" t="s">
        <v>61</v>
      </c>
      <c r="D4129" s="2">
        <v>44669.591609224539</v>
      </c>
      <c r="E4129" s="1" t="s">
        <v>8</v>
      </c>
      <c r="F4129" s="1">
        <v>1</v>
      </c>
      <c r="G4129" s="1">
        <v>0</v>
      </c>
      <c r="H4129" s="6">
        <f>INT(Query1[[#This Row],[EntryDateTime]])</f>
        <v>44669</v>
      </c>
      <c r="I4129" s="1">
        <f>IF(Query1[[#This Row],[ItemType]]="EVAP KIT SF GEN IV",Query1[[#This Row],[OrderQty]]+I4128,I4128)</f>
        <v>5097</v>
      </c>
      <c r="J4129" s="1">
        <f>IF(Query1[[#This Row],[ItemType]]="EVAP KIT UNIVERSAL",Query1[[#This Row],[OrderQty]]+J4128,J4128)</f>
        <v>1695</v>
      </c>
      <c r="K4129" s="1">
        <f>Query1[[#This Row],[SF Running Total]]+Query1[[#This Row],[UNIV Running Total]]</f>
        <v>6792</v>
      </c>
      <c r="L4129">
        <f>VLOOKUP(Query1[[#This Row],[Description]],'kits to boards'!$B$2:$E$156,2,FALSE)</f>
        <v>830062</v>
      </c>
      <c r="M4129">
        <f>VLOOKUP(Query1[[#This Row],[Description]],'kits to boards'!$B$2:$E$156,3,FALSE)</f>
        <v>0</v>
      </c>
      <c r="N4129">
        <f>VLOOKUP(Query1[[#This Row],[Description]],'kits to boards'!$B$2:$E$156,4,FALSE)</f>
        <v>0</v>
      </c>
      <c r="O4129" t="str">
        <f>CONCATENATE(Query1[[#This Row],[Description]]," - ",Query1[[#This Row],[MB1]]," - ",Query1[[#This Row],[MB2]]," - ",Query1[[#This Row],[MB3]])</f>
        <v>EVAP KIT 68-69 CHEVELLE WO AC - 830062 - 0 - 0</v>
      </c>
    </row>
    <row r="4130" spans="1:15" x14ac:dyDescent="0.25">
      <c r="A4130" s="1">
        <v>920057</v>
      </c>
      <c r="B4130" s="1" t="s">
        <v>70</v>
      </c>
      <c r="C4130" s="1" t="s">
        <v>71</v>
      </c>
      <c r="D4130" s="2">
        <v>44669.598780706016</v>
      </c>
      <c r="E4130" s="1" t="s">
        <v>8</v>
      </c>
      <c r="F4130" s="1">
        <v>1</v>
      </c>
      <c r="G4130" s="1">
        <v>0</v>
      </c>
      <c r="H4130" s="6">
        <f>INT(Query1[[#This Row],[EntryDateTime]])</f>
        <v>44669</v>
      </c>
      <c r="I4130" s="1">
        <f>IF(Query1[[#This Row],[ItemType]]="EVAP KIT SF GEN IV",Query1[[#This Row],[OrderQty]]+I4129,I4129)</f>
        <v>5098</v>
      </c>
      <c r="J4130" s="1">
        <f>IF(Query1[[#This Row],[ItemType]]="EVAP KIT UNIVERSAL",Query1[[#This Row],[OrderQty]]+J4129,J4129)</f>
        <v>1695</v>
      </c>
      <c r="K4130" s="1">
        <f>Query1[[#This Row],[SF Running Total]]+Query1[[#This Row],[UNIV Running Total]]</f>
        <v>6793</v>
      </c>
      <c r="L4130">
        <f>VLOOKUP(Query1[[#This Row],[Description]],'kits to boards'!$B$2:$E$156,2,FALSE)</f>
        <v>830050</v>
      </c>
      <c r="M4130">
        <f>VLOOKUP(Query1[[#This Row],[Description]],'kits to boards'!$B$2:$E$156,3,FALSE)</f>
        <v>0</v>
      </c>
      <c r="N4130">
        <f>VLOOKUP(Query1[[#This Row],[Description]],'kits to boards'!$B$2:$E$156,4,FALSE)</f>
        <v>0</v>
      </c>
      <c r="O4130" t="str">
        <f>CONCATENATE(Query1[[#This Row],[Description]]," - ",Query1[[#This Row],[MB1]]," - ",Query1[[#This Row],[MB2]]," - ",Query1[[#This Row],[MB3]])</f>
        <v>EVAP KIT 70-78 CAMARO WO AC - 830050 - 0 - 0</v>
      </c>
    </row>
    <row r="4131" spans="1:15" x14ac:dyDescent="0.25">
      <c r="A4131" s="1">
        <v>920062</v>
      </c>
      <c r="B4131" s="1" t="s">
        <v>92</v>
      </c>
      <c r="C4131" s="1" t="s">
        <v>93</v>
      </c>
      <c r="D4131" s="2">
        <v>44669.603140312502</v>
      </c>
      <c r="E4131" s="1" t="s">
        <v>8</v>
      </c>
      <c r="F4131" s="1">
        <v>1</v>
      </c>
      <c r="G4131" s="1">
        <v>0</v>
      </c>
      <c r="H4131" s="6">
        <f>INT(Query1[[#This Row],[EntryDateTime]])</f>
        <v>44669</v>
      </c>
      <c r="I4131" s="1">
        <f>IF(Query1[[#This Row],[ItemType]]="EVAP KIT SF GEN IV",Query1[[#This Row],[OrderQty]]+I4130,I4130)</f>
        <v>5099</v>
      </c>
      <c r="J4131" s="1">
        <f>IF(Query1[[#This Row],[ItemType]]="EVAP KIT UNIVERSAL",Query1[[#This Row],[OrderQty]]+J4130,J4130)</f>
        <v>1695</v>
      </c>
      <c r="K4131" s="1">
        <f>Query1[[#This Row],[SF Running Total]]+Query1[[#This Row],[UNIV Running Total]]</f>
        <v>6794</v>
      </c>
      <c r="L4131">
        <f>VLOOKUP(Query1[[#This Row],[Description]],'kits to boards'!$B$2:$E$156,2,FALSE)</f>
        <v>830063</v>
      </c>
      <c r="M4131">
        <f>VLOOKUP(Query1[[#This Row],[Description]],'kits to boards'!$B$2:$E$156,3,FALSE)</f>
        <v>0</v>
      </c>
      <c r="N4131">
        <f>VLOOKUP(Query1[[#This Row],[Description]],'kits to boards'!$B$2:$E$156,4,FALSE)</f>
        <v>0</v>
      </c>
      <c r="O4131" t="str">
        <f>CONCATENATE(Query1[[#This Row],[Description]]," - ",Query1[[#This Row],[MB1]]," - ",Query1[[#This Row],[MB2]]," - ",Query1[[#This Row],[MB3]])</f>
        <v>EVAP KIT 50-53 CHEV P-UP GEN IV - 830063 - 0 - 0</v>
      </c>
    </row>
    <row r="4132" spans="1:15" x14ac:dyDescent="0.25">
      <c r="A4132" s="1">
        <v>920047</v>
      </c>
      <c r="B4132" s="1" t="s">
        <v>54</v>
      </c>
      <c r="C4132" s="1" t="s">
        <v>55</v>
      </c>
      <c r="D4132" s="2">
        <v>44669.604930821763</v>
      </c>
      <c r="E4132" s="1" t="s">
        <v>8</v>
      </c>
      <c r="F4132" s="1">
        <v>1</v>
      </c>
      <c r="G4132" s="1">
        <v>0</v>
      </c>
      <c r="H4132" s="6">
        <f>INT(Query1[[#This Row],[EntryDateTime]])</f>
        <v>44669</v>
      </c>
      <c r="I4132" s="1">
        <f>IF(Query1[[#This Row],[ItemType]]="EVAP KIT SF GEN IV",Query1[[#This Row],[OrderQty]]+I4131,I4131)</f>
        <v>5100</v>
      </c>
      <c r="J4132" s="1">
        <f>IF(Query1[[#This Row],[ItemType]]="EVAP KIT UNIVERSAL",Query1[[#This Row],[OrderQty]]+J4131,J4131)</f>
        <v>1695</v>
      </c>
      <c r="K4132" s="1">
        <f>Query1[[#This Row],[SF Running Total]]+Query1[[#This Row],[UNIV Running Total]]</f>
        <v>6795</v>
      </c>
      <c r="L4132">
        <f>VLOOKUP(Query1[[#This Row],[Description]],'kits to boards'!$B$2:$E$156,2,FALSE)</f>
        <v>830037</v>
      </c>
      <c r="M4132">
        <f>VLOOKUP(Query1[[#This Row],[Description]],'kits to boards'!$B$2:$E$156,3,FALSE)</f>
        <v>0</v>
      </c>
      <c r="N4132">
        <f>VLOOKUP(Query1[[#This Row],[Description]],'kits to boards'!$B$2:$E$156,4,FALSE)</f>
        <v>0</v>
      </c>
      <c r="O4132" t="str">
        <f>CONCATENATE(Query1[[#This Row],[Description]]," - ",Query1[[#This Row],[MB1]]," - ",Query1[[#This Row],[MB2]]," - ",Query1[[#This Row],[MB3]])</f>
        <v>EVAP KIT 70-81 FIREBIRD W/AC - 830037 - 0 - 0</v>
      </c>
    </row>
    <row r="4133" spans="1:15" x14ac:dyDescent="0.25">
      <c r="A4133" s="1">
        <v>920087</v>
      </c>
      <c r="B4133" s="1" t="s">
        <v>102</v>
      </c>
      <c r="C4133" s="1" t="s">
        <v>103</v>
      </c>
      <c r="D4133" s="2">
        <v>44669.640267361108</v>
      </c>
      <c r="E4133" s="1" t="s">
        <v>8</v>
      </c>
      <c r="F4133" s="1">
        <v>1</v>
      </c>
      <c r="G4133" s="1">
        <v>0</v>
      </c>
      <c r="H4133" s="6">
        <f>INT(Query1[[#This Row],[EntryDateTime]])</f>
        <v>44669</v>
      </c>
      <c r="I4133" s="1">
        <f>IF(Query1[[#This Row],[ItemType]]="EVAP KIT SF GEN IV",Query1[[#This Row],[OrderQty]]+I4132,I4132)</f>
        <v>5101</v>
      </c>
      <c r="J4133" s="1">
        <f>IF(Query1[[#This Row],[ItemType]]="EVAP KIT UNIVERSAL",Query1[[#This Row],[OrderQty]]+J4132,J4132)</f>
        <v>1695</v>
      </c>
      <c r="K4133" s="1">
        <f>Query1[[#This Row],[SF Running Total]]+Query1[[#This Row],[UNIV Running Total]]</f>
        <v>6796</v>
      </c>
      <c r="L4133">
        <f>VLOOKUP(Query1[[#This Row],[Description]],'kits to boards'!$B$2:$E$156,2,FALSE)</f>
        <v>830012</v>
      </c>
      <c r="M4133">
        <f>VLOOKUP(Query1[[#This Row],[Description]],'kits to boards'!$B$2:$E$156,3,FALSE)</f>
        <v>0</v>
      </c>
      <c r="N4133">
        <f>VLOOKUP(Query1[[#This Row],[Description]],'kits to boards'!$B$2:$E$156,4,FALSE)</f>
        <v>0</v>
      </c>
      <c r="O4133" t="str">
        <f>CONCATENATE(Query1[[#This Row],[Description]]," - ",Query1[[#This Row],[MB1]]," - ",Query1[[#This Row],[MB2]]," - ",Query1[[#This Row],[MB3]])</f>
        <v>EVAP KIT 69 CAMARO WO/AC - 830012 - 0 - 0</v>
      </c>
    </row>
    <row r="4134" spans="1:15" x14ac:dyDescent="0.25">
      <c r="A4134" s="1">
        <v>920098</v>
      </c>
      <c r="B4134" s="1" t="s">
        <v>22</v>
      </c>
      <c r="C4134" s="1" t="s">
        <v>23</v>
      </c>
      <c r="D4134" s="2">
        <v>44669.6620625</v>
      </c>
      <c r="E4134" s="1" t="s">
        <v>8</v>
      </c>
      <c r="F4134" s="1">
        <v>1</v>
      </c>
      <c r="G4134" s="1">
        <v>0</v>
      </c>
      <c r="H4134" s="6">
        <f>INT(Query1[[#This Row],[EntryDateTime]])</f>
        <v>44669</v>
      </c>
      <c r="I4134" s="1">
        <f>IF(Query1[[#This Row],[ItemType]]="EVAP KIT SF GEN IV",Query1[[#This Row],[OrderQty]]+I4133,I4133)</f>
        <v>5102</v>
      </c>
      <c r="J4134" s="1">
        <f>IF(Query1[[#This Row],[ItemType]]="EVAP KIT UNIVERSAL",Query1[[#This Row],[OrderQty]]+J4133,J4133)</f>
        <v>1695</v>
      </c>
      <c r="K4134" s="1">
        <f>Query1[[#This Row],[SF Running Total]]+Query1[[#This Row],[UNIV Running Total]]</f>
        <v>6797</v>
      </c>
      <c r="L4134">
        <f>VLOOKUP(Query1[[#This Row],[Description]],'kits to boards'!$B$2:$E$156,2,FALSE)</f>
        <v>830083</v>
      </c>
      <c r="M4134">
        <f>VLOOKUP(Query1[[#This Row],[Description]],'kits to boards'!$B$2:$E$156,3,FALSE)</f>
        <v>0</v>
      </c>
      <c r="N4134">
        <f>VLOOKUP(Query1[[#This Row],[Description]],'kits to boards'!$B$2:$E$156,4,FALSE)</f>
        <v>0</v>
      </c>
      <c r="O4134" t="str">
        <f>CONCATENATE(Query1[[#This Row],[Description]]," - ",Query1[[#This Row],[MB1]]," - ",Query1[[#This Row],[MB2]]," - ",Query1[[#This Row],[MB3]])</f>
        <v>GEN IV MAGNUM EVAP KIT - 830083 - 0 - 0</v>
      </c>
    </row>
    <row r="4135" spans="1:15" x14ac:dyDescent="0.25">
      <c r="A4135" s="1">
        <v>920099</v>
      </c>
      <c r="B4135" s="1" t="s">
        <v>256</v>
      </c>
      <c r="C4135" s="1" t="s">
        <v>257</v>
      </c>
      <c r="D4135" s="2">
        <v>44669.662725150461</v>
      </c>
      <c r="E4135" s="1" t="s">
        <v>8</v>
      </c>
      <c r="F4135" s="1">
        <v>1</v>
      </c>
      <c r="G4135" s="1">
        <v>0</v>
      </c>
      <c r="H4135" s="6">
        <f>INT(Query1[[#This Row],[EntryDateTime]])</f>
        <v>44669</v>
      </c>
      <c r="I4135" s="1">
        <f>IF(Query1[[#This Row],[ItemType]]="EVAP KIT SF GEN IV",Query1[[#This Row],[OrderQty]]+I4134,I4134)</f>
        <v>5103</v>
      </c>
      <c r="J4135" s="1">
        <f>IF(Query1[[#This Row],[ItemType]]="EVAP KIT UNIVERSAL",Query1[[#This Row],[OrderQty]]+J4134,J4134)</f>
        <v>1695</v>
      </c>
      <c r="K4135" s="1">
        <f>Query1[[#This Row],[SF Running Total]]+Query1[[#This Row],[UNIV Running Total]]</f>
        <v>6798</v>
      </c>
      <c r="L4135">
        <f>VLOOKUP(Query1[[#This Row],[Description]],'kits to boards'!$B$2:$E$156,2,FALSE)</f>
        <v>830025</v>
      </c>
      <c r="M4135">
        <f>VLOOKUP(Query1[[#This Row],[Description]],'kits to boards'!$B$2:$E$156,3,FALSE)</f>
        <v>830022</v>
      </c>
      <c r="N4135">
        <f>VLOOKUP(Query1[[#This Row],[Description]],'kits to boards'!$B$2:$E$156,4,FALSE)</f>
        <v>0</v>
      </c>
      <c r="O4135" t="str">
        <f>CONCATENATE(Query1[[#This Row],[Description]]," - ",Query1[[#This Row],[MB1]]," - ",Query1[[#This Row],[MB2]]," - ",Query1[[#This Row],[MB3]])</f>
        <v>EVAP KIT 68-69 CUTLASS W/AC - 830025 - 830022 - 0</v>
      </c>
    </row>
    <row r="4136" spans="1:15" x14ac:dyDescent="0.25">
      <c r="A4136" s="1">
        <v>920100</v>
      </c>
      <c r="B4136" s="1" t="s">
        <v>16</v>
      </c>
      <c r="C4136" s="1" t="s">
        <v>17</v>
      </c>
      <c r="D4136" s="2">
        <v>44669.664073842592</v>
      </c>
      <c r="E4136" s="1" t="s">
        <v>8</v>
      </c>
      <c r="F4136" s="1">
        <v>1</v>
      </c>
      <c r="G4136" s="1">
        <v>0</v>
      </c>
      <c r="H4136" s="6">
        <f>INT(Query1[[#This Row],[EntryDateTime]])</f>
        <v>44669</v>
      </c>
      <c r="I4136" s="1">
        <f>IF(Query1[[#This Row],[ItemType]]="EVAP KIT SF GEN IV",Query1[[#This Row],[OrderQty]]+I4135,I4135)</f>
        <v>5104</v>
      </c>
      <c r="J4136" s="1">
        <f>IF(Query1[[#This Row],[ItemType]]="EVAP KIT UNIVERSAL",Query1[[#This Row],[OrderQty]]+J4135,J4135)</f>
        <v>1695</v>
      </c>
      <c r="K4136" s="1">
        <f>Query1[[#This Row],[SF Running Total]]+Query1[[#This Row],[UNIV Running Total]]</f>
        <v>6799</v>
      </c>
      <c r="L4136">
        <f>VLOOKUP(Query1[[#This Row],[Description]],'kits to boards'!$B$2:$E$156,2,FALSE)</f>
        <v>830061</v>
      </c>
      <c r="M4136">
        <f>VLOOKUP(Query1[[#This Row],[Description]],'kits to boards'!$B$2:$E$156,3,FALSE)</f>
        <v>0</v>
      </c>
      <c r="N4136">
        <f>VLOOKUP(Query1[[#This Row],[Description]],'kits to boards'!$B$2:$E$156,4,FALSE)</f>
        <v>0</v>
      </c>
      <c r="O4136" t="str">
        <f>CONCATENATE(Query1[[#This Row],[Description]]," - ",Query1[[#This Row],[MB1]]," - ",Query1[[#This Row],[MB2]]," - ",Query1[[#This Row],[MB3]])</f>
        <v>EVAP KIT 68-69 CHEVELLE W/AC - 830061 - 0 - 0</v>
      </c>
    </row>
    <row r="4137" spans="1:15" x14ac:dyDescent="0.25">
      <c r="A4137" s="1">
        <v>920101</v>
      </c>
      <c r="B4137" s="1" t="s">
        <v>182</v>
      </c>
      <c r="C4137" s="1" t="s">
        <v>183</v>
      </c>
      <c r="D4137" s="2">
        <v>44669.665725775463</v>
      </c>
      <c r="E4137" s="1" t="s">
        <v>8</v>
      </c>
      <c r="F4137" s="1">
        <v>1</v>
      </c>
      <c r="G4137" s="1">
        <v>0</v>
      </c>
      <c r="H4137" s="6">
        <f>INT(Query1[[#This Row],[EntryDateTime]])</f>
        <v>44669</v>
      </c>
      <c r="I4137" s="1">
        <f>IF(Query1[[#This Row],[ItemType]]="EVAP KIT SF GEN IV",Query1[[#This Row],[OrderQty]]+I4136,I4136)</f>
        <v>5105</v>
      </c>
      <c r="J4137" s="1">
        <f>IF(Query1[[#This Row],[ItemType]]="EVAP KIT UNIVERSAL",Query1[[#This Row],[OrderQty]]+J4136,J4136)</f>
        <v>1695</v>
      </c>
      <c r="K4137" s="1">
        <f>Query1[[#This Row],[SF Running Total]]+Query1[[#This Row],[UNIV Running Total]]</f>
        <v>6800</v>
      </c>
      <c r="L4137">
        <f>VLOOKUP(Query1[[#This Row],[Description]],'kits to boards'!$B$2:$E$156,2,FALSE)</f>
        <v>830075</v>
      </c>
      <c r="M4137">
        <f>VLOOKUP(Query1[[#This Row],[Description]],'kits to boards'!$B$2:$E$156,3,FALSE)</f>
        <v>0</v>
      </c>
      <c r="N4137">
        <f>VLOOKUP(Query1[[#This Row],[Description]],'kits to boards'!$B$2:$E$156,4,FALSE)</f>
        <v>0</v>
      </c>
      <c r="O4137" t="str">
        <f>CONCATENATE(Query1[[#This Row],[Description]]," - ",Query1[[#This Row],[MB1]]," - ",Query1[[#This Row],[MB2]]," - ",Query1[[#This Row],[MB3]])</f>
        <v>EVAP KIT 69-70 MOPAR B BODY WO AC - 830075 - 0 - 0</v>
      </c>
    </row>
    <row r="4138" spans="1:15" x14ac:dyDescent="0.25">
      <c r="A4138" s="1">
        <v>920106</v>
      </c>
      <c r="B4138" s="1" t="s">
        <v>166</v>
      </c>
      <c r="C4138" s="1" t="s">
        <v>167</v>
      </c>
      <c r="D4138" s="2">
        <v>44669.66898642361</v>
      </c>
      <c r="E4138" s="1" t="s">
        <v>8</v>
      </c>
      <c r="F4138" s="1">
        <v>1</v>
      </c>
      <c r="G4138" s="1">
        <v>0</v>
      </c>
      <c r="H4138" s="6">
        <f>INT(Query1[[#This Row],[EntryDateTime]])</f>
        <v>44669</v>
      </c>
      <c r="I4138" s="1">
        <f>IF(Query1[[#This Row],[ItemType]]="EVAP KIT SF GEN IV",Query1[[#This Row],[OrderQty]]+I4137,I4137)</f>
        <v>5106</v>
      </c>
      <c r="J4138" s="1">
        <f>IF(Query1[[#This Row],[ItemType]]="EVAP KIT UNIVERSAL",Query1[[#This Row],[OrderQty]]+J4137,J4137)</f>
        <v>1695</v>
      </c>
      <c r="K4138" s="1">
        <f>Query1[[#This Row],[SF Running Total]]+Query1[[#This Row],[UNIV Running Total]]</f>
        <v>6801</v>
      </c>
      <c r="L4138">
        <f>VLOOKUP(Query1[[#This Row],[Description]],'kits to boards'!$B$2:$E$156,2,FALSE)</f>
        <v>830063</v>
      </c>
      <c r="M4138">
        <f>VLOOKUP(Query1[[#This Row],[Description]],'kits to boards'!$B$2:$E$156,3,FALSE)</f>
        <v>0</v>
      </c>
      <c r="N4138">
        <f>VLOOKUP(Query1[[#This Row],[Description]],'kits to boards'!$B$2:$E$156,4,FALSE)</f>
        <v>0</v>
      </c>
      <c r="O4138" t="str">
        <f>CONCATENATE(Query1[[#This Row],[Description]]," - ",Query1[[#This Row],[MB1]]," - ",Query1[[#This Row],[MB2]]," - ",Query1[[#This Row],[MB3]])</f>
        <v>EVAP KIT 47-49 CHEV P-UP GEN IV - 830063 - 0 - 0</v>
      </c>
    </row>
    <row r="4139" spans="1:15" x14ac:dyDescent="0.25">
      <c r="A4139" s="1">
        <v>920107</v>
      </c>
      <c r="B4139" s="1" t="s">
        <v>244</v>
      </c>
      <c r="C4139" s="1" t="s">
        <v>245</v>
      </c>
      <c r="D4139" s="2">
        <v>44669.670861192128</v>
      </c>
      <c r="E4139" s="1" t="s">
        <v>8</v>
      </c>
      <c r="F4139" s="1">
        <v>1</v>
      </c>
      <c r="G4139" s="1">
        <v>0</v>
      </c>
      <c r="H4139" s="6">
        <f>INT(Query1[[#This Row],[EntryDateTime]])</f>
        <v>44669</v>
      </c>
      <c r="I4139" s="1">
        <f>IF(Query1[[#This Row],[ItemType]]="EVAP KIT SF GEN IV",Query1[[#This Row],[OrderQty]]+I4138,I4138)</f>
        <v>5107</v>
      </c>
      <c r="J4139" s="1">
        <f>IF(Query1[[#This Row],[ItemType]]="EVAP KIT UNIVERSAL",Query1[[#This Row],[OrderQty]]+J4138,J4138)</f>
        <v>1695</v>
      </c>
      <c r="K4139" s="1">
        <f>Query1[[#This Row],[SF Running Total]]+Query1[[#This Row],[UNIV Running Total]]</f>
        <v>6802</v>
      </c>
      <c r="L4139">
        <f>VLOOKUP(Query1[[#This Row],[Description]],'kits to boards'!$B$2:$E$156,2,FALSE)</f>
        <v>830100</v>
      </c>
      <c r="M4139">
        <f>VLOOKUP(Query1[[#This Row],[Description]],'kits to boards'!$B$2:$E$156,3,FALSE)</f>
        <v>0</v>
      </c>
      <c r="N4139">
        <f>VLOOKUP(Query1[[#This Row],[Description]],'kits to boards'!$B$2:$E$156,4,FALSE)</f>
        <v>0</v>
      </c>
      <c r="O4139" t="str">
        <f>CONCATENATE(Query1[[#This Row],[Description]]," - ",Query1[[#This Row],[MB1]]," - ",Query1[[#This Row],[MB2]]," - ",Query1[[#This Row],[MB3]])</f>
        <v>EVAP KIT 68-76 VETTE WO AC - 830100 - 0 - 0</v>
      </c>
    </row>
    <row r="4140" spans="1:15" x14ac:dyDescent="0.25">
      <c r="A4140" s="1">
        <v>920109</v>
      </c>
      <c r="B4140" s="1" t="s">
        <v>50</v>
      </c>
      <c r="C4140" s="1" t="s">
        <v>51</v>
      </c>
      <c r="D4140" s="2">
        <v>44669.679078356479</v>
      </c>
      <c r="E4140" s="1" t="s">
        <v>8</v>
      </c>
      <c r="F4140" s="1">
        <v>1</v>
      </c>
      <c r="G4140" s="1">
        <v>0</v>
      </c>
      <c r="H4140" s="6">
        <f>INT(Query1[[#This Row],[EntryDateTime]])</f>
        <v>44669</v>
      </c>
      <c r="I4140" s="1">
        <f>IF(Query1[[#This Row],[ItemType]]="EVAP KIT SF GEN IV",Query1[[#This Row],[OrderQty]]+I4139,I4139)</f>
        <v>5108</v>
      </c>
      <c r="J4140" s="1">
        <f>IF(Query1[[#This Row],[ItemType]]="EVAP KIT UNIVERSAL",Query1[[#This Row],[OrderQty]]+J4139,J4139)</f>
        <v>1695</v>
      </c>
      <c r="K4140" s="1">
        <f>Query1[[#This Row],[SF Running Total]]+Query1[[#This Row],[UNIV Running Total]]</f>
        <v>6803</v>
      </c>
      <c r="L4140">
        <f>VLOOKUP(Query1[[#This Row],[Description]],'kits to boards'!$B$2:$E$156,2,FALSE)</f>
        <v>830043</v>
      </c>
      <c r="M4140">
        <f>VLOOKUP(Query1[[#This Row],[Description]],'kits to boards'!$B$2:$E$156,3,FALSE)</f>
        <v>0</v>
      </c>
      <c r="N4140">
        <f>VLOOKUP(Query1[[#This Row],[Description]],'kits to boards'!$B$2:$E$156,4,FALSE)</f>
        <v>0</v>
      </c>
      <c r="O4140" t="str">
        <f>CONCATENATE(Query1[[#This Row],[Description]]," - ",Query1[[#This Row],[MB1]]," - ",Query1[[#This Row],[MB2]]," - ",Query1[[#This Row],[MB3]])</f>
        <v>EVAP KIT 69-74 NOVA WO AC - 830043 - 0 - 0</v>
      </c>
    </row>
    <row r="4141" spans="1:15" x14ac:dyDescent="0.25">
      <c r="A4141" s="1">
        <v>920119</v>
      </c>
      <c r="B4141" s="1" t="s">
        <v>128</v>
      </c>
      <c r="C4141" s="1" t="s">
        <v>129</v>
      </c>
      <c r="D4141" s="2">
        <v>44669.686237881942</v>
      </c>
      <c r="E4141" s="1" t="s">
        <v>8</v>
      </c>
      <c r="F4141" s="1">
        <v>1</v>
      </c>
      <c r="G4141" s="1">
        <v>0</v>
      </c>
      <c r="H4141" s="6">
        <f>INT(Query1[[#This Row],[EntryDateTime]])</f>
        <v>44669</v>
      </c>
      <c r="I4141" s="1">
        <f>IF(Query1[[#This Row],[ItemType]]="EVAP KIT SF GEN IV",Query1[[#This Row],[OrderQty]]+I4140,I4140)</f>
        <v>5109</v>
      </c>
      <c r="J4141" s="1">
        <f>IF(Query1[[#This Row],[ItemType]]="EVAP KIT UNIVERSAL",Query1[[#This Row],[OrderQty]]+J4140,J4140)</f>
        <v>1695</v>
      </c>
      <c r="K4141" s="1">
        <f>Query1[[#This Row],[SF Running Total]]+Query1[[#This Row],[UNIV Running Total]]</f>
        <v>6804</v>
      </c>
      <c r="L4141">
        <f>VLOOKUP(Query1[[#This Row],[Description]],'kits to boards'!$B$2:$E$156,2,FALSE)</f>
        <v>830036</v>
      </c>
      <c r="M4141">
        <f>VLOOKUP(Query1[[#This Row],[Description]],'kits to boards'!$B$2:$E$156,3,FALSE)</f>
        <v>830039</v>
      </c>
      <c r="N4141">
        <f>VLOOKUP(Query1[[#This Row],[Description]],'kits to boards'!$B$2:$E$156,4,FALSE)</f>
        <v>0</v>
      </c>
      <c r="O4141" t="str">
        <f>CONCATENATE(Query1[[#This Row],[Description]]," - ",Query1[[#This Row],[MB1]]," - ",Query1[[#This Row],[MB2]]," - ",Query1[[#This Row],[MB3]])</f>
        <v>EVAP KIT 63-66 VETTE WO AC - 830036 - 830039 - 0</v>
      </c>
    </row>
    <row r="4142" spans="1:15" x14ac:dyDescent="0.25">
      <c r="A4142" s="1">
        <v>918968</v>
      </c>
      <c r="B4142" s="1" t="s">
        <v>20</v>
      </c>
      <c r="C4142" s="1" t="s">
        <v>21</v>
      </c>
      <c r="D4142" s="2">
        <v>44669.69171875</v>
      </c>
      <c r="E4142" s="1" t="s">
        <v>11</v>
      </c>
      <c r="F4142" s="1">
        <v>1</v>
      </c>
      <c r="G4142" s="1">
        <v>0</v>
      </c>
      <c r="H4142" s="6">
        <f>INT(Query1[[#This Row],[EntryDateTime]])</f>
        <v>44669</v>
      </c>
      <c r="I4142" s="1">
        <f>IF(Query1[[#This Row],[ItemType]]="EVAP KIT SF GEN IV",Query1[[#This Row],[OrderQty]]+I4141,I4141)</f>
        <v>5109</v>
      </c>
      <c r="J4142" s="1">
        <f>IF(Query1[[#This Row],[ItemType]]="EVAP KIT UNIVERSAL",Query1[[#This Row],[OrderQty]]+J4141,J4141)</f>
        <v>1696</v>
      </c>
      <c r="K4142" s="1">
        <f>Query1[[#This Row],[SF Running Total]]+Query1[[#This Row],[UNIV Running Total]]</f>
        <v>6805</v>
      </c>
      <c r="L4142">
        <f>VLOOKUP(Query1[[#This Row],[Description]],'kits to boards'!$B$2:$E$156,2,FALSE)</f>
        <v>830102</v>
      </c>
      <c r="M4142">
        <f>VLOOKUP(Query1[[#This Row],[Description]],'kits to boards'!$B$2:$E$156,3,FALSE)</f>
        <v>0</v>
      </c>
      <c r="N4142">
        <f>VLOOKUP(Query1[[#This Row],[Description]],'kits to boards'!$B$2:$E$156,4,FALSE)</f>
        <v>0</v>
      </c>
      <c r="O4142" t="str">
        <f>CONCATENATE(Query1[[#This Row],[Description]]," - ",Query1[[#This Row],[MB1]]," - ",Query1[[#This Row],[MB2]]," - ",Query1[[#This Row],[MB3]])</f>
        <v>SUPER GEN II W/DEF - 830102 - 0 - 0</v>
      </c>
    </row>
    <row r="4143" spans="1:15" x14ac:dyDescent="0.25">
      <c r="A4143" s="1">
        <v>919870</v>
      </c>
      <c r="B4143" s="1" t="s">
        <v>94</v>
      </c>
      <c r="C4143" s="1" t="s">
        <v>95</v>
      </c>
      <c r="D4143" s="2">
        <v>44669.706732673614</v>
      </c>
      <c r="E4143" s="1" t="s">
        <v>8</v>
      </c>
      <c r="F4143" s="1">
        <v>1</v>
      </c>
      <c r="G4143" s="1">
        <v>0</v>
      </c>
      <c r="H4143" s="6">
        <f>INT(Query1[[#This Row],[EntryDateTime]])</f>
        <v>44669</v>
      </c>
      <c r="I4143" s="1">
        <f>IF(Query1[[#This Row],[ItemType]]="EVAP KIT SF GEN IV",Query1[[#This Row],[OrderQty]]+I4142,I4142)</f>
        <v>5110</v>
      </c>
      <c r="J4143" s="1">
        <f>IF(Query1[[#This Row],[ItemType]]="EVAP KIT UNIVERSAL",Query1[[#This Row],[OrderQty]]+J4142,J4142)</f>
        <v>1696</v>
      </c>
      <c r="K4143" s="1">
        <f>Query1[[#This Row],[SF Running Total]]+Query1[[#This Row],[UNIV Running Total]]</f>
        <v>6806</v>
      </c>
      <c r="L4143">
        <f>VLOOKUP(Query1[[#This Row],[Description]],'kits to boards'!$B$2:$E$156,2,FALSE)</f>
        <v>830076</v>
      </c>
      <c r="M4143">
        <f>VLOOKUP(Query1[[#This Row],[Description]],'kits to boards'!$B$2:$E$156,3,FALSE)</f>
        <v>0</v>
      </c>
      <c r="N4143">
        <f>VLOOKUP(Query1[[#This Row],[Description]],'kits to boards'!$B$2:$E$156,4,FALSE)</f>
        <v>0</v>
      </c>
      <c r="O4143" t="str">
        <f>CONCATENATE(Query1[[#This Row],[Description]]," - ",Query1[[#This Row],[MB1]]," - ",Query1[[#This Row],[MB2]]," - ",Query1[[#This Row],[MB3]])</f>
        <v>EVAP KIT 64 1/2- 66 MUSTANG  - 830076 - 0 - 0</v>
      </c>
    </row>
    <row r="4144" spans="1:15" x14ac:dyDescent="0.25">
      <c r="A4144" s="1">
        <v>920134</v>
      </c>
      <c r="B4144" s="1" t="s">
        <v>164</v>
      </c>
      <c r="C4144" s="1" t="s">
        <v>165</v>
      </c>
      <c r="D4144" s="2">
        <v>44669.711631018516</v>
      </c>
      <c r="E4144" s="1" t="s">
        <v>8</v>
      </c>
      <c r="F4144" s="1">
        <v>1</v>
      </c>
      <c r="G4144" s="1">
        <v>0</v>
      </c>
      <c r="H4144" s="6">
        <f>INT(Query1[[#This Row],[EntryDateTime]])</f>
        <v>44669</v>
      </c>
      <c r="I4144" s="1">
        <f>IF(Query1[[#This Row],[ItemType]]="EVAP KIT SF GEN IV",Query1[[#This Row],[OrderQty]]+I4143,I4143)</f>
        <v>5111</v>
      </c>
      <c r="J4144" s="1">
        <f>IF(Query1[[#This Row],[ItemType]]="EVAP KIT UNIVERSAL",Query1[[#This Row],[OrderQty]]+J4143,J4143)</f>
        <v>1696</v>
      </c>
      <c r="K4144" s="1">
        <f>Query1[[#This Row],[SF Running Total]]+Query1[[#This Row],[UNIV Running Total]]</f>
        <v>6807</v>
      </c>
      <c r="L4144">
        <f>VLOOKUP(Query1[[#This Row],[Description]],'kits to boards'!$B$2:$E$156,2,FALSE)</f>
        <v>830083</v>
      </c>
      <c r="M4144">
        <f>VLOOKUP(Query1[[#This Row],[Description]],'kits to boards'!$B$2:$E$156,3,FALSE)</f>
        <v>0</v>
      </c>
      <c r="N4144">
        <f>VLOOKUP(Query1[[#This Row],[Description]],'kits to boards'!$B$2:$E$156,4,FALSE)</f>
        <v>0</v>
      </c>
      <c r="O4144" t="str">
        <f>CONCATENATE(Query1[[#This Row],[Description]]," - ",Query1[[#This Row],[MB1]]," - ",Query1[[#This Row],[MB2]]," - ",Query1[[#This Row],[MB3]])</f>
        <v>EVAP KIT 70-74 CHALNGR/CUDA W/AC - 830083 - 0 - 0</v>
      </c>
    </row>
    <row r="4145" spans="1:15" x14ac:dyDescent="0.25">
      <c r="A4145" s="1">
        <v>920137</v>
      </c>
      <c r="B4145" s="1" t="s">
        <v>30</v>
      </c>
      <c r="C4145" s="1" t="s">
        <v>31</v>
      </c>
      <c r="D4145" s="2">
        <v>44669.71619082176</v>
      </c>
      <c r="E4145" s="1" t="s">
        <v>8</v>
      </c>
      <c r="F4145" s="1">
        <v>1</v>
      </c>
      <c r="G4145" s="1">
        <v>0</v>
      </c>
      <c r="H4145" s="6">
        <f>INT(Query1[[#This Row],[EntryDateTime]])</f>
        <v>44669</v>
      </c>
      <c r="I4145" s="1">
        <f>IF(Query1[[#This Row],[ItemType]]="EVAP KIT SF GEN IV",Query1[[#This Row],[OrderQty]]+I4144,I4144)</f>
        <v>5112</v>
      </c>
      <c r="J4145" s="1">
        <f>IF(Query1[[#This Row],[ItemType]]="EVAP KIT UNIVERSAL",Query1[[#This Row],[OrderQty]]+J4144,J4144)</f>
        <v>1696</v>
      </c>
      <c r="K4145" s="1">
        <f>Query1[[#This Row],[SF Running Total]]+Query1[[#This Row],[UNIV Running Total]]</f>
        <v>6808</v>
      </c>
      <c r="L4145">
        <f>VLOOKUP(Query1[[#This Row],[Description]],'kits to boards'!$B$2:$E$156,2,FALSE)</f>
        <v>830054</v>
      </c>
      <c r="M4145">
        <f>VLOOKUP(Query1[[#This Row],[Description]],'kits to boards'!$B$2:$E$156,3,FALSE)</f>
        <v>0</v>
      </c>
      <c r="N4145">
        <f>VLOOKUP(Query1[[#This Row],[Description]],'kits to boards'!$B$2:$E$156,4,FALSE)</f>
        <v>0</v>
      </c>
      <c r="O4145" t="str">
        <f>CONCATENATE(Query1[[#This Row],[Description]]," - ",Query1[[#This Row],[MB1]]," - ",Query1[[#This Row],[MB2]]," - ",Query1[[#This Row],[MB3]])</f>
        <v>EVAP KIT 55-56 CHEVY 4-VENT - 830054 - 0 - 0</v>
      </c>
    </row>
    <row r="4146" spans="1:15" x14ac:dyDescent="0.25">
      <c r="A4146" s="1">
        <v>920138</v>
      </c>
      <c r="B4146" s="1" t="s">
        <v>114</v>
      </c>
      <c r="C4146" s="1" t="s">
        <v>115</v>
      </c>
      <c r="D4146" s="2">
        <v>44669.719009803244</v>
      </c>
      <c r="E4146" s="1" t="s">
        <v>8</v>
      </c>
      <c r="F4146" s="1">
        <v>1</v>
      </c>
      <c r="G4146" s="1">
        <v>0</v>
      </c>
      <c r="H4146" s="6">
        <f>INT(Query1[[#This Row],[EntryDateTime]])</f>
        <v>44669</v>
      </c>
      <c r="I4146" s="1">
        <f>IF(Query1[[#This Row],[ItemType]]="EVAP KIT SF GEN IV",Query1[[#This Row],[OrderQty]]+I4145,I4145)</f>
        <v>5113</v>
      </c>
      <c r="J4146" s="1">
        <f>IF(Query1[[#This Row],[ItemType]]="EVAP KIT UNIVERSAL",Query1[[#This Row],[OrderQty]]+J4145,J4145)</f>
        <v>1696</v>
      </c>
      <c r="K4146" s="1">
        <f>Query1[[#This Row],[SF Running Total]]+Query1[[#This Row],[UNIV Running Total]]</f>
        <v>6809</v>
      </c>
      <c r="L4146">
        <f>VLOOKUP(Query1[[#This Row],[Description]],'kits to boards'!$B$2:$E$156,2,FALSE)</f>
        <v>830059</v>
      </c>
      <c r="M4146">
        <f>VLOOKUP(Query1[[#This Row],[Description]],'kits to boards'!$B$2:$E$156,3,FALSE)</f>
        <v>0</v>
      </c>
      <c r="N4146">
        <f>VLOOKUP(Query1[[#This Row],[Description]],'kits to boards'!$B$2:$E$156,4,FALSE)</f>
        <v>0</v>
      </c>
      <c r="O4146" t="str">
        <f>CONCATENATE(Query1[[#This Row],[Description]]," - ",Query1[[#This Row],[MB1]]," - ",Query1[[#This Row],[MB2]]," - ",Query1[[#This Row],[MB3]])</f>
        <v>EVAP KIT 66-67 CHEVELLE W/AC - 830059 - 0 - 0</v>
      </c>
    </row>
    <row r="4147" spans="1:15" x14ac:dyDescent="0.25">
      <c r="A4147" s="1">
        <v>920140</v>
      </c>
      <c r="B4147" s="1" t="s">
        <v>84</v>
      </c>
      <c r="C4147" s="1" t="s">
        <v>85</v>
      </c>
      <c r="D4147" s="2">
        <v>44669.72303854167</v>
      </c>
      <c r="E4147" s="1" t="s">
        <v>8</v>
      </c>
      <c r="F4147" s="1">
        <v>1</v>
      </c>
      <c r="G4147" s="1">
        <v>0</v>
      </c>
      <c r="H4147" s="6">
        <f>INT(Query1[[#This Row],[EntryDateTime]])</f>
        <v>44669</v>
      </c>
      <c r="I4147" s="1">
        <f>IF(Query1[[#This Row],[ItemType]]="EVAP KIT SF GEN IV",Query1[[#This Row],[OrderQty]]+I4146,I4146)</f>
        <v>5114</v>
      </c>
      <c r="J4147" s="1">
        <f>IF(Query1[[#This Row],[ItemType]]="EVAP KIT UNIVERSAL",Query1[[#This Row],[OrderQty]]+J4146,J4146)</f>
        <v>1696</v>
      </c>
      <c r="K4147" s="1">
        <f>Query1[[#This Row],[SF Running Total]]+Query1[[#This Row],[UNIV Running Total]]</f>
        <v>6810</v>
      </c>
      <c r="L4147">
        <f>VLOOKUP(Query1[[#This Row],[Description]],'kits to boards'!$B$2:$E$156,2,FALSE)</f>
        <v>830085</v>
      </c>
      <c r="M4147">
        <f>VLOOKUP(Query1[[#This Row],[Description]],'kits to boards'!$B$2:$E$156,3,FALSE)</f>
        <v>0</v>
      </c>
      <c r="N4147">
        <f>VLOOKUP(Query1[[#This Row],[Description]],'kits to boards'!$B$2:$E$156,4,FALSE)</f>
        <v>0</v>
      </c>
      <c r="O4147" t="str">
        <f>CONCATENATE(Query1[[#This Row],[Description]]," - ",Query1[[#This Row],[MB1]]," - ",Query1[[#This Row],[MB2]]," - ",Query1[[#This Row],[MB3]])</f>
        <v>EVAP KIT 66-77 BRONCO 4-VENT PLENUM - 830085 - 0 - 0</v>
      </c>
    </row>
    <row r="4148" spans="1:15" x14ac:dyDescent="0.25">
      <c r="A4148" s="1">
        <v>920143</v>
      </c>
      <c r="B4148" s="1" t="s">
        <v>132</v>
      </c>
      <c r="C4148" s="1" t="s">
        <v>133</v>
      </c>
      <c r="D4148" s="2">
        <v>44669.733737037037</v>
      </c>
      <c r="E4148" s="1" t="s">
        <v>8</v>
      </c>
      <c r="F4148" s="1">
        <v>1</v>
      </c>
      <c r="G4148" s="1">
        <v>0</v>
      </c>
      <c r="H4148" s="6">
        <f>INT(Query1[[#This Row],[EntryDateTime]])</f>
        <v>44669</v>
      </c>
      <c r="I4148" s="1">
        <f>IF(Query1[[#This Row],[ItemType]]="EVAP KIT SF GEN IV",Query1[[#This Row],[OrderQty]]+I4147,I4147)</f>
        <v>5115</v>
      </c>
      <c r="J4148" s="1">
        <f>IF(Query1[[#This Row],[ItemType]]="EVAP KIT UNIVERSAL",Query1[[#This Row],[OrderQty]]+J4147,J4147)</f>
        <v>1696</v>
      </c>
      <c r="K4148" s="1">
        <f>Query1[[#This Row],[SF Running Total]]+Query1[[#This Row],[UNIV Running Total]]</f>
        <v>6811</v>
      </c>
      <c r="L4148">
        <f>VLOOKUP(Query1[[#This Row],[Description]],'kits to boards'!$B$2:$E$156,2,FALSE)</f>
        <v>830005</v>
      </c>
      <c r="M4148">
        <f>VLOOKUP(Query1[[#This Row],[Description]],'kits to boards'!$B$2:$E$156,3,FALSE)</f>
        <v>0</v>
      </c>
      <c r="N4148">
        <f>VLOOKUP(Query1[[#This Row],[Description]],'kits to boards'!$B$2:$E$156,4,FALSE)</f>
        <v>0</v>
      </c>
      <c r="O4148" t="str">
        <f>CONCATENATE(Query1[[#This Row],[Description]]," - ",Query1[[#This Row],[MB1]]," - ",Query1[[#This Row],[MB2]]," - ",Query1[[#This Row],[MB3]])</f>
        <v>EVAP KIT 61-62 IMPALA WO AC - 830005 - 0 - 0</v>
      </c>
    </row>
    <row r="4149" spans="1:15" x14ac:dyDescent="0.25">
      <c r="A4149" s="1">
        <v>920147</v>
      </c>
      <c r="B4149" s="1" t="s">
        <v>106</v>
      </c>
      <c r="C4149" s="1" t="s">
        <v>107</v>
      </c>
      <c r="D4149" s="2">
        <v>44670.288372337964</v>
      </c>
      <c r="E4149" s="1" t="s">
        <v>8</v>
      </c>
      <c r="F4149" s="1">
        <v>1</v>
      </c>
      <c r="G4149" s="1">
        <v>0</v>
      </c>
      <c r="H4149" s="6">
        <f>INT(Query1[[#This Row],[EntryDateTime]])</f>
        <v>44670</v>
      </c>
      <c r="I4149" s="1">
        <f>IF(Query1[[#This Row],[ItemType]]="EVAP KIT SF GEN IV",Query1[[#This Row],[OrderQty]]+I4148,I4148)</f>
        <v>5116</v>
      </c>
      <c r="J4149" s="1">
        <f>IF(Query1[[#This Row],[ItemType]]="EVAP KIT UNIVERSAL",Query1[[#This Row],[OrderQty]]+J4148,J4148)</f>
        <v>1696</v>
      </c>
      <c r="K4149" s="1">
        <f>Query1[[#This Row],[SF Running Total]]+Query1[[#This Row],[UNIV Running Total]]</f>
        <v>6812</v>
      </c>
      <c r="L4149">
        <f>VLOOKUP(Query1[[#This Row],[Description]],'kits to boards'!$B$2:$E$156,2,FALSE)</f>
        <v>830028</v>
      </c>
      <c r="M4149">
        <f>VLOOKUP(Query1[[#This Row],[Description]],'kits to boards'!$B$2:$E$156,3,FALSE)</f>
        <v>0</v>
      </c>
      <c r="N4149">
        <f>VLOOKUP(Query1[[#This Row],[Description]],'kits to boards'!$B$2:$E$156,4,FALSE)</f>
        <v>0</v>
      </c>
      <c r="O4149" t="str">
        <f>CONCATENATE(Query1[[#This Row],[Description]]," - ",Query1[[#This Row],[MB1]]," - ",Query1[[#This Row],[MB2]]," - ",Query1[[#This Row],[MB3]])</f>
        <v>EVAP KIT 55-59 CHEV P-UP WO AC W/DELX - 830028 - 0 - 0</v>
      </c>
    </row>
    <row r="4150" spans="1:15" x14ac:dyDescent="0.25">
      <c r="A4150" s="1">
        <v>920154</v>
      </c>
      <c r="B4150" s="1" t="s">
        <v>54</v>
      </c>
      <c r="C4150" s="1" t="s">
        <v>55</v>
      </c>
      <c r="D4150" s="2">
        <v>44670.306980983798</v>
      </c>
      <c r="E4150" s="1" t="s">
        <v>8</v>
      </c>
      <c r="F4150" s="1">
        <v>1</v>
      </c>
      <c r="G4150" s="1">
        <v>0</v>
      </c>
      <c r="H4150" s="6">
        <f>INT(Query1[[#This Row],[EntryDateTime]])</f>
        <v>44670</v>
      </c>
      <c r="I4150" s="1">
        <f>IF(Query1[[#This Row],[ItemType]]="EVAP KIT SF GEN IV",Query1[[#This Row],[OrderQty]]+I4149,I4149)</f>
        <v>5117</v>
      </c>
      <c r="J4150" s="1">
        <f>IF(Query1[[#This Row],[ItemType]]="EVAP KIT UNIVERSAL",Query1[[#This Row],[OrderQty]]+J4149,J4149)</f>
        <v>1696</v>
      </c>
      <c r="K4150" s="1">
        <f>Query1[[#This Row],[SF Running Total]]+Query1[[#This Row],[UNIV Running Total]]</f>
        <v>6813</v>
      </c>
      <c r="L4150">
        <f>VLOOKUP(Query1[[#This Row],[Description]],'kits to boards'!$B$2:$E$156,2,FALSE)</f>
        <v>830037</v>
      </c>
      <c r="M4150">
        <f>VLOOKUP(Query1[[#This Row],[Description]],'kits to boards'!$B$2:$E$156,3,FALSE)</f>
        <v>0</v>
      </c>
      <c r="N4150">
        <f>VLOOKUP(Query1[[#This Row],[Description]],'kits to boards'!$B$2:$E$156,4,FALSE)</f>
        <v>0</v>
      </c>
      <c r="O4150" t="str">
        <f>CONCATENATE(Query1[[#This Row],[Description]]," - ",Query1[[#This Row],[MB1]]," - ",Query1[[#This Row],[MB2]]," - ",Query1[[#This Row],[MB3]])</f>
        <v>EVAP KIT 70-81 FIREBIRD W/AC - 830037 - 0 - 0</v>
      </c>
    </row>
    <row r="4151" spans="1:15" x14ac:dyDescent="0.25">
      <c r="A4151" s="1">
        <v>920162</v>
      </c>
      <c r="B4151" s="1" t="s">
        <v>68</v>
      </c>
      <c r="C4151" s="1" t="s">
        <v>69</v>
      </c>
      <c r="D4151" s="2">
        <v>44670.321666550924</v>
      </c>
      <c r="E4151" s="1" t="s">
        <v>8</v>
      </c>
      <c r="F4151" s="1">
        <v>1</v>
      </c>
      <c r="G4151" s="1">
        <v>0</v>
      </c>
      <c r="H4151" s="6">
        <f>INT(Query1[[#This Row],[EntryDateTime]])</f>
        <v>44670</v>
      </c>
      <c r="I4151" s="1">
        <f>IF(Query1[[#This Row],[ItemType]]="EVAP KIT SF GEN IV",Query1[[#This Row],[OrderQty]]+I4150,I4150)</f>
        <v>5118</v>
      </c>
      <c r="J4151" s="1">
        <f>IF(Query1[[#This Row],[ItemType]]="EVAP KIT UNIVERSAL",Query1[[#This Row],[OrderQty]]+J4150,J4150)</f>
        <v>1696</v>
      </c>
      <c r="K4151" s="1">
        <f>Query1[[#This Row],[SF Running Total]]+Query1[[#This Row],[UNIV Running Total]]</f>
        <v>6814</v>
      </c>
      <c r="L4151">
        <f>VLOOKUP(Query1[[#This Row],[Description]],'kits to boards'!$B$2:$E$156,2,FALSE)</f>
        <v>830010</v>
      </c>
      <c r="M4151">
        <f>VLOOKUP(Query1[[#This Row],[Description]],'kits to boards'!$B$2:$E$156,3,FALSE)</f>
        <v>0</v>
      </c>
      <c r="N4151">
        <f>VLOOKUP(Query1[[#This Row],[Description]],'kits to boards'!$B$2:$E$156,4,FALSE)</f>
        <v>0</v>
      </c>
      <c r="O4151" t="str">
        <f>CONCATENATE(Query1[[#This Row],[Description]]," - ",Query1[[#This Row],[MB1]]," - ",Query1[[#This Row],[MB2]]," - ",Query1[[#This Row],[MB3]])</f>
        <v>EVAP KIT 70-72 CHEVELLE WO AC - 830010 - 0 - 0</v>
      </c>
    </row>
    <row r="4152" spans="1:15" x14ac:dyDescent="0.25">
      <c r="A4152" s="1">
        <v>920164</v>
      </c>
      <c r="B4152" s="1" t="s">
        <v>122</v>
      </c>
      <c r="C4152" s="1" t="s">
        <v>123</v>
      </c>
      <c r="D4152" s="2">
        <v>44670.324373726849</v>
      </c>
      <c r="E4152" s="1" t="s">
        <v>8</v>
      </c>
      <c r="F4152" s="1">
        <v>1</v>
      </c>
      <c r="G4152" s="1">
        <v>0</v>
      </c>
      <c r="H4152" s="6">
        <f>INT(Query1[[#This Row],[EntryDateTime]])</f>
        <v>44670</v>
      </c>
      <c r="I4152" s="1">
        <f>IF(Query1[[#This Row],[ItemType]]="EVAP KIT SF GEN IV",Query1[[#This Row],[OrderQty]]+I4151,I4151)</f>
        <v>5119</v>
      </c>
      <c r="J4152" s="1">
        <f>IF(Query1[[#This Row],[ItemType]]="EVAP KIT UNIVERSAL",Query1[[#This Row],[OrderQty]]+J4151,J4151)</f>
        <v>1696</v>
      </c>
      <c r="K4152" s="1">
        <f>Query1[[#This Row],[SF Running Total]]+Query1[[#This Row],[UNIV Running Total]]</f>
        <v>6815</v>
      </c>
      <c r="L4152">
        <f>VLOOKUP(Query1[[#This Row],[Description]],'kits to boards'!$B$2:$E$156,2,FALSE)</f>
        <v>830027</v>
      </c>
      <c r="M4152">
        <f>VLOOKUP(Query1[[#This Row],[Description]],'kits to boards'!$B$2:$E$156,3,FALSE)</f>
        <v>0</v>
      </c>
      <c r="N4152">
        <f>VLOOKUP(Query1[[#This Row],[Description]],'kits to boards'!$B$2:$E$156,4,FALSE)</f>
        <v>0</v>
      </c>
      <c r="O4152" t="str">
        <f>CONCATENATE(Query1[[#This Row],[Description]]," - ",Query1[[#This Row],[MB1]]," - ",Query1[[#This Row],[MB2]]," - ",Query1[[#This Row],[MB3]])</f>
        <v>EVAP KIT 70-72 CUTLASS W/AC - 830027 - 0 - 0</v>
      </c>
    </row>
    <row r="4153" spans="1:15" x14ac:dyDescent="0.25">
      <c r="A4153" s="1">
        <v>920166</v>
      </c>
      <c r="B4153" s="1" t="s">
        <v>122</v>
      </c>
      <c r="C4153" s="1" t="s">
        <v>123</v>
      </c>
      <c r="D4153" s="2">
        <v>44670.327224618057</v>
      </c>
      <c r="E4153" s="1" t="s">
        <v>8</v>
      </c>
      <c r="F4153" s="1">
        <v>1</v>
      </c>
      <c r="G4153" s="1">
        <v>0</v>
      </c>
      <c r="H4153" s="6">
        <f>INT(Query1[[#This Row],[EntryDateTime]])</f>
        <v>44670</v>
      </c>
      <c r="I4153" s="1">
        <f>IF(Query1[[#This Row],[ItemType]]="EVAP KIT SF GEN IV",Query1[[#This Row],[OrderQty]]+I4152,I4152)</f>
        <v>5120</v>
      </c>
      <c r="J4153" s="1">
        <f>IF(Query1[[#This Row],[ItemType]]="EVAP KIT UNIVERSAL",Query1[[#This Row],[OrderQty]]+J4152,J4152)</f>
        <v>1696</v>
      </c>
      <c r="K4153" s="1">
        <f>Query1[[#This Row],[SF Running Total]]+Query1[[#This Row],[UNIV Running Total]]</f>
        <v>6816</v>
      </c>
      <c r="L4153">
        <f>VLOOKUP(Query1[[#This Row],[Description]],'kits to boards'!$B$2:$E$156,2,FALSE)</f>
        <v>830027</v>
      </c>
      <c r="M4153">
        <f>VLOOKUP(Query1[[#This Row],[Description]],'kits to boards'!$B$2:$E$156,3,FALSE)</f>
        <v>0</v>
      </c>
      <c r="N4153">
        <f>VLOOKUP(Query1[[#This Row],[Description]],'kits to boards'!$B$2:$E$156,4,FALSE)</f>
        <v>0</v>
      </c>
      <c r="O4153" t="str">
        <f>CONCATENATE(Query1[[#This Row],[Description]]," - ",Query1[[#This Row],[MB1]]," - ",Query1[[#This Row],[MB2]]," - ",Query1[[#This Row],[MB3]])</f>
        <v>EVAP KIT 70-72 CUTLASS W/AC - 830027 - 0 - 0</v>
      </c>
    </row>
    <row r="4154" spans="1:15" x14ac:dyDescent="0.25">
      <c r="A4154" s="1">
        <v>920171</v>
      </c>
      <c r="B4154" s="1" t="s">
        <v>160</v>
      </c>
      <c r="C4154" s="1" t="s">
        <v>161</v>
      </c>
      <c r="D4154" s="2">
        <v>44670.339240891204</v>
      </c>
      <c r="E4154" s="1" t="s">
        <v>8</v>
      </c>
      <c r="F4154" s="1">
        <v>1</v>
      </c>
      <c r="G4154" s="1">
        <v>0</v>
      </c>
      <c r="H4154" s="6">
        <f>INT(Query1[[#This Row],[EntryDateTime]])</f>
        <v>44670</v>
      </c>
      <c r="I4154" s="1">
        <f>IF(Query1[[#This Row],[ItemType]]="EVAP KIT SF GEN IV",Query1[[#This Row],[OrderQty]]+I4153,I4153)</f>
        <v>5121</v>
      </c>
      <c r="J4154" s="1">
        <f>IF(Query1[[#This Row],[ItemType]]="EVAP KIT UNIVERSAL",Query1[[#This Row],[OrderQty]]+J4153,J4153)</f>
        <v>1696</v>
      </c>
      <c r="K4154" s="1">
        <f>Query1[[#This Row],[SF Running Total]]+Query1[[#This Row],[UNIV Running Total]]</f>
        <v>6817</v>
      </c>
      <c r="L4154">
        <f>VLOOKUP(Query1[[#This Row],[Description]],'kits to boards'!$B$2:$E$156,2,FALSE)</f>
        <v>830083</v>
      </c>
      <c r="M4154">
        <f>VLOOKUP(Query1[[#This Row],[Description]],'kits to boards'!$B$2:$E$156,3,FALSE)</f>
        <v>0</v>
      </c>
      <c r="N4154">
        <f>VLOOKUP(Query1[[#This Row],[Description]],'kits to boards'!$B$2:$E$156,4,FALSE)</f>
        <v>0</v>
      </c>
      <c r="O4154" t="str">
        <f>CONCATENATE(Query1[[#This Row],[Description]]," - ",Query1[[#This Row],[MB1]]," - ",Query1[[#This Row],[MB2]]," - ",Query1[[#This Row],[MB3]])</f>
        <v>EVAP KIT 70-74 CHALNGR/CUDA WO AC - 830083 - 0 - 0</v>
      </c>
    </row>
    <row r="4155" spans="1:15" x14ac:dyDescent="0.25">
      <c r="A4155" s="1">
        <v>920158</v>
      </c>
      <c r="B4155" s="1" t="s">
        <v>60</v>
      </c>
      <c r="C4155" s="1" t="s">
        <v>61</v>
      </c>
      <c r="D4155" s="2">
        <v>44670.346461921297</v>
      </c>
      <c r="E4155" s="1" t="s">
        <v>8</v>
      </c>
      <c r="F4155" s="1">
        <v>1</v>
      </c>
      <c r="G4155" s="1">
        <v>0</v>
      </c>
      <c r="H4155" s="6">
        <f>INT(Query1[[#This Row],[EntryDateTime]])</f>
        <v>44670</v>
      </c>
      <c r="I4155" s="1">
        <f>IF(Query1[[#This Row],[ItemType]]="EVAP KIT SF GEN IV",Query1[[#This Row],[OrderQty]]+I4154,I4154)</f>
        <v>5122</v>
      </c>
      <c r="J4155" s="1">
        <f>IF(Query1[[#This Row],[ItemType]]="EVAP KIT UNIVERSAL",Query1[[#This Row],[OrderQty]]+J4154,J4154)</f>
        <v>1696</v>
      </c>
      <c r="K4155" s="1">
        <f>Query1[[#This Row],[SF Running Total]]+Query1[[#This Row],[UNIV Running Total]]</f>
        <v>6818</v>
      </c>
      <c r="L4155">
        <f>VLOOKUP(Query1[[#This Row],[Description]],'kits to boards'!$B$2:$E$156,2,FALSE)</f>
        <v>830062</v>
      </c>
      <c r="M4155">
        <f>VLOOKUP(Query1[[#This Row],[Description]],'kits to boards'!$B$2:$E$156,3,FALSE)</f>
        <v>0</v>
      </c>
      <c r="N4155">
        <f>VLOOKUP(Query1[[#This Row],[Description]],'kits to boards'!$B$2:$E$156,4,FALSE)</f>
        <v>0</v>
      </c>
      <c r="O4155" t="str">
        <f>CONCATENATE(Query1[[#This Row],[Description]]," - ",Query1[[#This Row],[MB1]]," - ",Query1[[#This Row],[MB2]]," - ",Query1[[#This Row],[MB3]])</f>
        <v>EVAP KIT 68-69 CHEVELLE WO AC - 830062 - 0 - 0</v>
      </c>
    </row>
    <row r="4156" spans="1:15" x14ac:dyDescent="0.25">
      <c r="A4156" s="1">
        <v>920181</v>
      </c>
      <c r="B4156" s="1" t="s">
        <v>108</v>
      </c>
      <c r="C4156" s="1" t="s">
        <v>109</v>
      </c>
      <c r="D4156" s="2">
        <v>44670.356520335648</v>
      </c>
      <c r="E4156" s="1" t="s">
        <v>8</v>
      </c>
      <c r="F4156" s="1">
        <v>1</v>
      </c>
      <c r="G4156" s="1">
        <v>0</v>
      </c>
      <c r="H4156" s="6">
        <f>INT(Query1[[#This Row],[EntryDateTime]])</f>
        <v>44670</v>
      </c>
      <c r="I4156" s="1">
        <f>IF(Query1[[#This Row],[ItemType]]="EVAP KIT SF GEN IV",Query1[[#This Row],[OrderQty]]+I4155,I4155)</f>
        <v>5123</v>
      </c>
      <c r="J4156" s="1">
        <f>IF(Query1[[#This Row],[ItemType]]="EVAP KIT UNIVERSAL",Query1[[#This Row],[OrderQty]]+J4155,J4155)</f>
        <v>1696</v>
      </c>
      <c r="K4156" s="1">
        <f>Query1[[#This Row],[SF Running Total]]+Query1[[#This Row],[UNIV Running Total]]</f>
        <v>6819</v>
      </c>
      <c r="L4156">
        <f>VLOOKUP(Query1[[#This Row],[Description]],'kits to boards'!$B$2:$E$156,2,FALSE)</f>
        <v>830105</v>
      </c>
      <c r="M4156">
        <f>VLOOKUP(Query1[[#This Row],[Description]],'kits to boards'!$B$2:$E$156,3,FALSE)</f>
        <v>830106</v>
      </c>
      <c r="N4156">
        <f>VLOOKUP(Query1[[#This Row],[Description]],'kits to boards'!$B$2:$E$156,4,FALSE)</f>
        <v>0</v>
      </c>
      <c r="O4156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4157" spans="1:15" x14ac:dyDescent="0.25">
      <c r="A4157" s="1">
        <v>920191</v>
      </c>
      <c r="B4157" s="1" t="s">
        <v>198</v>
      </c>
      <c r="C4157" s="1" t="s">
        <v>199</v>
      </c>
      <c r="D4157" s="2">
        <v>44670.372436724538</v>
      </c>
      <c r="E4157" s="1" t="s">
        <v>8</v>
      </c>
      <c r="F4157" s="1">
        <v>1</v>
      </c>
      <c r="G4157" s="1">
        <v>0</v>
      </c>
      <c r="H4157" s="6">
        <f>INT(Query1[[#This Row],[EntryDateTime]])</f>
        <v>44670</v>
      </c>
      <c r="I4157" s="1">
        <f>IF(Query1[[#This Row],[ItemType]]="EVAP KIT SF GEN IV",Query1[[#This Row],[OrderQty]]+I4156,I4156)</f>
        <v>5124</v>
      </c>
      <c r="J4157" s="1">
        <f>IF(Query1[[#This Row],[ItemType]]="EVAP KIT UNIVERSAL",Query1[[#This Row],[OrderQty]]+J4156,J4156)</f>
        <v>1696</v>
      </c>
      <c r="K4157" s="1">
        <f>Query1[[#This Row],[SF Running Total]]+Query1[[#This Row],[UNIV Running Total]]</f>
        <v>6820</v>
      </c>
      <c r="L4157">
        <f>VLOOKUP(Query1[[#This Row],[Description]],'kits to boards'!$B$2:$E$156,2,FALSE)</f>
        <v>830042</v>
      </c>
      <c r="M4157">
        <f>VLOOKUP(Query1[[#This Row],[Description]],'kits to boards'!$B$2:$E$156,3,FALSE)</f>
        <v>0</v>
      </c>
      <c r="N4157">
        <f>VLOOKUP(Query1[[#This Row],[Description]],'kits to boards'!$B$2:$E$156,4,FALSE)</f>
        <v>0</v>
      </c>
      <c r="O4157" t="str">
        <f>CONCATENATE(Query1[[#This Row],[Description]]," - ",Query1[[#This Row],[MB1]]," - ",Query1[[#This Row],[MB2]]," - ",Query1[[#This Row],[MB3]])</f>
        <v>EVAP KIT 68-83 TOYOTA FJ40 ULTRA HIGH PERF - 830042 - 0 - 0</v>
      </c>
    </row>
    <row r="4158" spans="1:15" x14ac:dyDescent="0.25">
      <c r="A4158" s="1">
        <v>917512</v>
      </c>
      <c r="B4158" s="1" t="s">
        <v>168</v>
      </c>
      <c r="C4158" s="1" t="s">
        <v>169</v>
      </c>
      <c r="D4158" s="2">
        <v>44670.378885763887</v>
      </c>
      <c r="E4158" s="1" t="s">
        <v>8</v>
      </c>
      <c r="F4158" s="1">
        <v>1</v>
      </c>
      <c r="G4158" s="1">
        <v>0</v>
      </c>
      <c r="H4158" s="6">
        <f>INT(Query1[[#This Row],[EntryDateTime]])</f>
        <v>44670</v>
      </c>
      <c r="I4158" s="1">
        <f>IF(Query1[[#This Row],[ItemType]]="EVAP KIT SF GEN IV",Query1[[#This Row],[OrderQty]]+I4157,I4157)</f>
        <v>5125</v>
      </c>
      <c r="J4158" s="1">
        <f>IF(Query1[[#This Row],[ItemType]]="EVAP KIT UNIVERSAL",Query1[[#This Row],[OrderQty]]+J4157,J4157)</f>
        <v>1696</v>
      </c>
      <c r="K4158" s="1">
        <f>Query1[[#This Row],[SF Running Total]]+Query1[[#This Row],[UNIV Running Total]]</f>
        <v>6821</v>
      </c>
      <c r="L4158">
        <f>VLOOKUP(Query1[[#This Row],[Description]],'kits to boards'!$B$2:$E$156,2,FALSE)</f>
        <v>830028</v>
      </c>
      <c r="M4158">
        <f>VLOOKUP(Query1[[#This Row],[Description]],'kits to boards'!$B$2:$E$156,3,FALSE)</f>
        <v>0</v>
      </c>
      <c r="N4158">
        <f>VLOOKUP(Query1[[#This Row],[Description]],'kits to boards'!$B$2:$E$156,4,FALSE)</f>
        <v>0</v>
      </c>
      <c r="O4158" t="str">
        <f>CONCATENATE(Query1[[#This Row],[Description]]," - ",Query1[[#This Row],[MB1]]," - ",Query1[[#This Row],[MB2]]," - ",Query1[[#This Row],[MB3]])</f>
        <v>EVAP KIT 55-59 CHEV P-UP WO AC W/STD  - 830028 - 0 - 0</v>
      </c>
    </row>
    <row r="4159" spans="1:15" x14ac:dyDescent="0.25">
      <c r="A4159" s="1">
        <v>920192</v>
      </c>
      <c r="B4159" s="1" t="s">
        <v>108</v>
      </c>
      <c r="C4159" s="1" t="s">
        <v>109</v>
      </c>
      <c r="D4159" s="2">
        <v>44670.37917847222</v>
      </c>
      <c r="E4159" s="1" t="s">
        <v>8</v>
      </c>
      <c r="F4159" s="1">
        <v>1</v>
      </c>
      <c r="G4159" s="1">
        <v>0</v>
      </c>
      <c r="H4159" s="6">
        <f>INT(Query1[[#This Row],[EntryDateTime]])</f>
        <v>44670</v>
      </c>
      <c r="I4159" s="1">
        <f>IF(Query1[[#This Row],[ItemType]]="EVAP KIT SF GEN IV",Query1[[#This Row],[OrderQty]]+I4158,I4158)</f>
        <v>5126</v>
      </c>
      <c r="J4159" s="1">
        <f>IF(Query1[[#This Row],[ItemType]]="EVAP KIT UNIVERSAL",Query1[[#This Row],[OrderQty]]+J4158,J4158)</f>
        <v>1696</v>
      </c>
      <c r="K4159" s="1">
        <f>Query1[[#This Row],[SF Running Total]]+Query1[[#This Row],[UNIV Running Total]]</f>
        <v>6822</v>
      </c>
      <c r="L4159">
        <f>VLOOKUP(Query1[[#This Row],[Description]],'kits to boards'!$B$2:$E$156,2,FALSE)</f>
        <v>830105</v>
      </c>
      <c r="M4159">
        <f>VLOOKUP(Query1[[#This Row],[Description]],'kits to boards'!$B$2:$E$156,3,FALSE)</f>
        <v>830106</v>
      </c>
      <c r="N4159">
        <f>VLOOKUP(Query1[[#This Row],[Description]],'kits to boards'!$B$2:$E$156,4,FALSE)</f>
        <v>0</v>
      </c>
      <c r="O4159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4160" spans="1:15" x14ac:dyDescent="0.25">
      <c r="A4160" s="1">
        <v>920204</v>
      </c>
      <c r="B4160" s="1" t="s">
        <v>50</v>
      </c>
      <c r="C4160" s="1" t="s">
        <v>51</v>
      </c>
      <c r="D4160" s="2">
        <v>44670.400514780093</v>
      </c>
      <c r="E4160" s="1" t="s">
        <v>8</v>
      </c>
      <c r="F4160" s="1">
        <v>1</v>
      </c>
      <c r="G4160" s="1">
        <v>0</v>
      </c>
      <c r="H4160" s="6">
        <f>INT(Query1[[#This Row],[EntryDateTime]])</f>
        <v>44670</v>
      </c>
      <c r="I4160" s="1">
        <f>IF(Query1[[#This Row],[ItemType]]="EVAP KIT SF GEN IV",Query1[[#This Row],[OrderQty]]+I4159,I4159)</f>
        <v>5127</v>
      </c>
      <c r="J4160" s="1">
        <f>IF(Query1[[#This Row],[ItemType]]="EVAP KIT UNIVERSAL",Query1[[#This Row],[OrderQty]]+J4159,J4159)</f>
        <v>1696</v>
      </c>
      <c r="K4160" s="1">
        <f>Query1[[#This Row],[SF Running Total]]+Query1[[#This Row],[UNIV Running Total]]</f>
        <v>6823</v>
      </c>
      <c r="L4160">
        <f>VLOOKUP(Query1[[#This Row],[Description]],'kits to boards'!$B$2:$E$156,2,FALSE)</f>
        <v>830043</v>
      </c>
      <c r="M4160">
        <f>VLOOKUP(Query1[[#This Row],[Description]],'kits to boards'!$B$2:$E$156,3,FALSE)</f>
        <v>0</v>
      </c>
      <c r="N4160">
        <f>VLOOKUP(Query1[[#This Row],[Description]],'kits to boards'!$B$2:$E$156,4,FALSE)</f>
        <v>0</v>
      </c>
      <c r="O4160" t="str">
        <f>CONCATENATE(Query1[[#This Row],[Description]]," - ",Query1[[#This Row],[MB1]]," - ",Query1[[#This Row],[MB2]]," - ",Query1[[#This Row],[MB3]])</f>
        <v>EVAP KIT 69-74 NOVA WO AC - 830043 - 0 - 0</v>
      </c>
    </row>
    <row r="4161" spans="1:15" x14ac:dyDescent="0.25">
      <c r="A4161" s="1">
        <v>920211</v>
      </c>
      <c r="B4161" s="1" t="s">
        <v>269</v>
      </c>
      <c r="C4161" s="1" t="s">
        <v>270</v>
      </c>
      <c r="D4161" s="2">
        <v>44670.409107291664</v>
      </c>
      <c r="E4161" s="1" t="s">
        <v>8</v>
      </c>
      <c r="F4161" s="1">
        <v>1</v>
      </c>
      <c r="G4161" s="1">
        <v>0</v>
      </c>
      <c r="H4161" s="6">
        <f>INT(Query1[[#This Row],[EntryDateTime]])</f>
        <v>44670</v>
      </c>
      <c r="I4161" s="1">
        <f>IF(Query1[[#This Row],[ItemType]]="EVAP KIT SF GEN IV",Query1[[#This Row],[OrderQty]]+I4160,I4160)</f>
        <v>5128</v>
      </c>
      <c r="J4161" s="1">
        <f>IF(Query1[[#This Row],[ItemType]]="EVAP KIT UNIVERSAL",Query1[[#This Row],[OrderQty]]+J4160,J4160)</f>
        <v>1696</v>
      </c>
      <c r="K4161" s="1">
        <f>Query1[[#This Row],[SF Running Total]]+Query1[[#This Row],[UNIV Running Total]]</f>
        <v>6824</v>
      </c>
      <c r="L4161">
        <f>VLOOKUP(Query1[[#This Row],[Description]],'kits to boards'!$B$2:$E$156,2,FALSE)</f>
        <v>830010</v>
      </c>
      <c r="M4161">
        <f>VLOOKUP(Query1[[#This Row],[Description]],'kits to boards'!$B$2:$E$156,3,FALSE)</f>
        <v>0</v>
      </c>
      <c r="N4161">
        <f>VLOOKUP(Query1[[#This Row],[Description]],'kits to boards'!$B$2:$E$156,4,FALSE)</f>
        <v>0</v>
      </c>
      <c r="O4161" t="str">
        <f>CONCATENATE(Query1[[#This Row],[Description]]," - ",Query1[[#This Row],[MB1]]," - ",Query1[[#This Row],[MB2]]," - ",Query1[[#This Row],[MB3]])</f>
        <v>EVAP KIT 70-72 MONTE CARLO WO AC - 830010 - 0 - 0</v>
      </c>
    </row>
    <row r="4162" spans="1:15" x14ac:dyDescent="0.25">
      <c r="A4162" s="1">
        <v>920215</v>
      </c>
      <c r="B4162" s="1" t="s">
        <v>110</v>
      </c>
      <c r="C4162" s="1" t="s">
        <v>111</v>
      </c>
      <c r="D4162" s="2">
        <v>44670.422217326392</v>
      </c>
      <c r="E4162" s="1" t="s">
        <v>8</v>
      </c>
      <c r="F4162" s="1">
        <v>1</v>
      </c>
      <c r="G4162" s="1">
        <v>0</v>
      </c>
      <c r="H4162" s="6">
        <f>INT(Query1[[#This Row],[EntryDateTime]])</f>
        <v>44670</v>
      </c>
      <c r="I4162" s="1">
        <f>IF(Query1[[#This Row],[ItemType]]="EVAP KIT SF GEN IV",Query1[[#This Row],[OrderQty]]+I4161,I4161)</f>
        <v>5129</v>
      </c>
      <c r="J4162" s="1">
        <f>IF(Query1[[#This Row],[ItemType]]="EVAP KIT UNIVERSAL",Query1[[#This Row],[OrderQty]]+J4161,J4161)</f>
        <v>1696</v>
      </c>
      <c r="K4162" s="1">
        <f>Query1[[#This Row],[SF Running Total]]+Query1[[#This Row],[UNIV Running Total]]</f>
        <v>6825</v>
      </c>
      <c r="L4162">
        <f>VLOOKUP(Query1[[#This Row],[Description]],'kits to boards'!$B$2:$E$156,2,FALSE)</f>
        <v>830053</v>
      </c>
      <c r="M4162">
        <f>VLOOKUP(Query1[[#This Row],[Description]],'kits to boards'!$B$2:$E$156,3,FALSE)</f>
        <v>0</v>
      </c>
      <c r="N4162">
        <f>VLOOKUP(Query1[[#This Row],[Description]],'kits to boards'!$B$2:$E$156,4,FALSE)</f>
        <v>0</v>
      </c>
      <c r="O4162" t="str">
        <f>CONCATENATE(Query1[[#This Row],[Description]]," - ",Query1[[#This Row],[MB1]]," - ",Query1[[#This Row],[MB2]]," - ",Query1[[#This Row],[MB3]])</f>
        <v>EVAP KIT 65-66 FORD F-100 - 830053 - 0 - 0</v>
      </c>
    </row>
    <row r="4163" spans="1:15" x14ac:dyDescent="0.25">
      <c r="A4163" s="1">
        <v>920225</v>
      </c>
      <c r="B4163" s="1" t="s">
        <v>42</v>
      </c>
      <c r="C4163" s="1" t="s">
        <v>43</v>
      </c>
      <c r="D4163" s="2">
        <v>44670.447080358797</v>
      </c>
      <c r="E4163" s="1" t="s">
        <v>8</v>
      </c>
      <c r="F4163" s="1">
        <v>1</v>
      </c>
      <c r="G4163" s="1">
        <v>0</v>
      </c>
      <c r="H4163" s="6">
        <f>INT(Query1[[#This Row],[EntryDateTime]])</f>
        <v>44670</v>
      </c>
      <c r="I4163" s="1">
        <f>IF(Query1[[#This Row],[ItemType]]="EVAP KIT SF GEN IV",Query1[[#This Row],[OrderQty]]+I4162,I4162)</f>
        <v>5130</v>
      </c>
      <c r="J4163" s="1">
        <f>IF(Query1[[#This Row],[ItemType]]="EVAP KIT UNIVERSAL",Query1[[#This Row],[OrderQty]]+J4162,J4162)</f>
        <v>1696</v>
      </c>
      <c r="K4163" s="1">
        <f>Query1[[#This Row],[SF Running Total]]+Query1[[#This Row],[UNIV Running Total]]</f>
        <v>6826</v>
      </c>
      <c r="L4163">
        <f>VLOOKUP(Query1[[#This Row],[Description]],'kits to boards'!$B$2:$E$156,2,FALSE)</f>
        <v>830014</v>
      </c>
      <c r="M4163">
        <f>VLOOKUP(Query1[[#This Row],[Description]],'kits to boards'!$B$2:$E$156,3,FALSE)</f>
        <v>0</v>
      </c>
      <c r="N4163">
        <f>VLOOKUP(Query1[[#This Row],[Description]],'kits to boards'!$B$2:$E$156,4,FALSE)</f>
        <v>0</v>
      </c>
      <c r="O4163" t="str">
        <f>CONCATENATE(Query1[[#This Row],[Description]]," - ",Query1[[#This Row],[MB1]]," - ",Query1[[#This Row],[MB2]]," - ",Query1[[#This Row],[MB3]])</f>
        <v>EVAP KIT 67-72 CHEV P-UP WO AC - 830014 - 0 - 0</v>
      </c>
    </row>
    <row r="4164" spans="1:15" x14ac:dyDescent="0.25">
      <c r="A4164" s="1">
        <v>919895</v>
      </c>
      <c r="B4164" s="1" t="s">
        <v>156</v>
      </c>
      <c r="C4164" s="1" t="s">
        <v>157</v>
      </c>
      <c r="D4164" s="2">
        <v>44670.454570983798</v>
      </c>
      <c r="E4164" s="1" t="s">
        <v>8</v>
      </c>
      <c r="F4164" s="1">
        <v>1</v>
      </c>
      <c r="G4164" s="1">
        <v>0</v>
      </c>
      <c r="H4164" s="6">
        <f>INT(Query1[[#This Row],[EntryDateTime]])</f>
        <v>44670</v>
      </c>
      <c r="I4164" s="1">
        <f>IF(Query1[[#This Row],[ItemType]]="EVAP KIT SF GEN IV",Query1[[#This Row],[OrderQty]]+I4163,I4163)</f>
        <v>5131</v>
      </c>
      <c r="J4164" s="1">
        <f>IF(Query1[[#This Row],[ItemType]]="EVAP KIT UNIVERSAL",Query1[[#This Row],[OrderQty]]+J4163,J4163)</f>
        <v>1696</v>
      </c>
      <c r="K4164" s="1">
        <f>Query1[[#This Row],[SF Running Total]]+Query1[[#This Row],[UNIV Running Total]]</f>
        <v>6827</v>
      </c>
      <c r="L4164">
        <f>VLOOKUP(Query1[[#This Row],[Description]],'kits to boards'!$B$2:$E$156,2,FALSE)</f>
        <v>830019</v>
      </c>
      <c r="M4164">
        <f>VLOOKUP(Query1[[#This Row],[Description]],'kits to boards'!$B$2:$E$156,3,FALSE)</f>
        <v>0</v>
      </c>
      <c r="N4164">
        <f>VLOOKUP(Query1[[#This Row],[Description]],'kits to boards'!$B$2:$E$156,4,FALSE)</f>
        <v>0</v>
      </c>
      <c r="O4164" t="str">
        <f>CONCATENATE(Query1[[#This Row],[Description]]," - ",Query1[[#This Row],[MB1]]," - ",Query1[[#This Row],[MB2]]," - ",Query1[[#This Row],[MB3]])</f>
        <v>EVAP KIT 70-81 FIREBIRD WO AC - 830019 - 0 - 0</v>
      </c>
    </row>
    <row r="4165" spans="1:15" x14ac:dyDescent="0.25">
      <c r="A4165" s="1">
        <v>920229</v>
      </c>
      <c r="B4165" s="1" t="s">
        <v>114</v>
      </c>
      <c r="C4165" s="1" t="s">
        <v>115</v>
      </c>
      <c r="D4165" s="2">
        <v>44670.455643020832</v>
      </c>
      <c r="E4165" s="1" t="s">
        <v>8</v>
      </c>
      <c r="F4165" s="1">
        <v>1</v>
      </c>
      <c r="G4165" s="1">
        <v>0</v>
      </c>
      <c r="H4165" s="6">
        <f>INT(Query1[[#This Row],[EntryDateTime]])</f>
        <v>44670</v>
      </c>
      <c r="I4165" s="1">
        <f>IF(Query1[[#This Row],[ItemType]]="EVAP KIT SF GEN IV",Query1[[#This Row],[OrderQty]]+I4164,I4164)</f>
        <v>5132</v>
      </c>
      <c r="J4165" s="1">
        <f>IF(Query1[[#This Row],[ItemType]]="EVAP KIT UNIVERSAL",Query1[[#This Row],[OrderQty]]+J4164,J4164)</f>
        <v>1696</v>
      </c>
      <c r="K4165" s="1">
        <f>Query1[[#This Row],[SF Running Total]]+Query1[[#This Row],[UNIV Running Total]]</f>
        <v>6828</v>
      </c>
      <c r="L4165">
        <f>VLOOKUP(Query1[[#This Row],[Description]],'kits to boards'!$B$2:$E$156,2,FALSE)</f>
        <v>830059</v>
      </c>
      <c r="M4165">
        <f>VLOOKUP(Query1[[#This Row],[Description]],'kits to boards'!$B$2:$E$156,3,FALSE)</f>
        <v>0</v>
      </c>
      <c r="N4165">
        <f>VLOOKUP(Query1[[#This Row],[Description]],'kits to boards'!$B$2:$E$156,4,FALSE)</f>
        <v>0</v>
      </c>
      <c r="O4165" t="str">
        <f>CONCATENATE(Query1[[#This Row],[Description]]," - ",Query1[[#This Row],[MB1]]," - ",Query1[[#This Row],[MB2]]," - ",Query1[[#This Row],[MB3]])</f>
        <v>EVAP KIT 66-67 CHEVELLE W/AC - 830059 - 0 - 0</v>
      </c>
    </row>
    <row r="4166" spans="1:15" x14ac:dyDescent="0.25">
      <c r="A4166" s="1">
        <v>920150</v>
      </c>
      <c r="B4166" s="1" t="s">
        <v>108</v>
      </c>
      <c r="C4166" s="1" t="s">
        <v>109</v>
      </c>
      <c r="D4166" s="2">
        <v>44670.469297025462</v>
      </c>
      <c r="E4166" s="1" t="s">
        <v>8</v>
      </c>
      <c r="F4166" s="1">
        <v>1</v>
      </c>
      <c r="G4166" s="1">
        <v>0</v>
      </c>
      <c r="H4166" s="6">
        <f>INT(Query1[[#This Row],[EntryDateTime]])</f>
        <v>44670</v>
      </c>
      <c r="I4166" s="1">
        <f>IF(Query1[[#This Row],[ItemType]]="EVAP KIT SF GEN IV",Query1[[#This Row],[OrderQty]]+I4165,I4165)</f>
        <v>5133</v>
      </c>
      <c r="J4166" s="1">
        <f>IF(Query1[[#This Row],[ItemType]]="EVAP KIT UNIVERSAL",Query1[[#This Row],[OrderQty]]+J4165,J4165)</f>
        <v>1696</v>
      </c>
      <c r="K4166" s="1">
        <f>Query1[[#This Row],[SF Running Total]]+Query1[[#This Row],[UNIV Running Total]]</f>
        <v>6829</v>
      </c>
      <c r="L4166">
        <f>VLOOKUP(Query1[[#This Row],[Description]],'kits to boards'!$B$2:$E$156,2,FALSE)</f>
        <v>830105</v>
      </c>
      <c r="M4166">
        <f>VLOOKUP(Query1[[#This Row],[Description]],'kits to boards'!$B$2:$E$156,3,FALSE)</f>
        <v>830106</v>
      </c>
      <c r="N4166">
        <f>VLOOKUP(Query1[[#This Row],[Description]],'kits to boards'!$B$2:$E$156,4,FALSE)</f>
        <v>0</v>
      </c>
      <c r="O4166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4167" spans="1:15" x14ac:dyDescent="0.25">
      <c r="A4167" s="1">
        <v>920243</v>
      </c>
      <c r="B4167" s="1" t="s">
        <v>166</v>
      </c>
      <c r="C4167" s="1" t="s">
        <v>167</v>
      </c>
      <c r="D4167" s="2">
        <v>44670.472208182873</v>
      </c>
      <c r="E4167" s="1" t="s">
        <v>8</v>
      </c>
      <c r="F4167" s="1">
        <v>1</v>
      </c>
      <c r="G4167" s="1">
        <v>0</v>
      </c>
      <c r="H4167" s="6">
        <f>INT(Query1[[#This Row],[EntryDateTime]])</f>
        <v>44670</v>
      </c>
      <c r="I4167" s="1">
        <f>IF(Query1[[#This Row],[ItemType]]="EVAP KIT SF GEN IV",Query1[[#This Row],[OrderQty]]+I4166,I4166)</f>
        <v>5134</v>
      </c>
      <c r="J4167" s="1">
        <f>IF(Query1[[#This Row],[ItemType]]="EVAP KIT UNIVERSAL",Query1[[#This Row],[OrderQty]]+J4166,J4166)</f>
        <v>1696</v>
      </c>
      <c r="K4167" s="1">
        <f>Query1[[#This Row],[SF Running Total]]+Query1[[#This Row],[UNIV Running Total]]</f>
        <v>6830</v>
      </c>
      <c r="L4167">
        <f>VLOOKUP(Query1[[#This Row],[Description]],'kits to boards'!$B$2:$E$156,2,FALSE)</f>
        <v>830063</v>
      </c>
      <c r="M4167">
        <f>VLOOKUP(Query1[[#This Row],[Description]],'kits to boards'!$B$2:$E$156,3,FALSE)</f>
        <v>0</v>
      </c>
      <c r="N4167">
        <f>VLOOKUP(Query1[[#This Row],[Description]],'kits to boards'!$B$2:$E$156,4,FALSE)</f>
        <v>0</v>
      </c>
      <c r="O4167" t="str">
        <f>CONCATENATE(Query1[[#This Row],[Description]]," - ",Query1[[#This Row],[MB1]]," - ",Query1[[#This Row],[MB2]]," - ",Query1[[#This Row],[MB3]])</f>
        <v>EVAP KIT 47-49 CHEV P-UP GEN IV - 830063 - 0 - 0</v>
      </c>
    </row>
    <row r="4168" spans="1:15" x14ac:dyDescent="0.25">
      <c r="A4168" s="1">
        <v>920249</v>
      </c>
      <c r="B4168" s="1" t="s">
        <v>28</v>
      </c>
      <c r="C4168" s="1" t="s">
        <v>29</v>
      </c>
      <c r="D4168" s="2">
        <v>44670.486585335646</v>
      </c>
      <c r="E4168" s="1" t="s">
        <v>8</v>
      </c>
      <c r="F4168" s="1">
        <v>1</v>
      </c>
      <c r="G4168" s="1">
        <v>0</v>
      </c>
      <c r="H4168" s="6">
        <f>INT(Query1[[#This Row],[EntryDateTime]])</f>
        <v>44670</v>
      </c>
      <c r="I4168" s="1">
        <f>IF(Query1[[#This Row],[ItemType]]="EVAP KIT SF GEN IV",Query1[[#This Row],[OrderQty]]+I4167,I4167)</f>
        <v>5135</v>
      </c>
      <c r="J4168" s="1">
        <f>IF(Query1[[#This Row],[ItemType]]="EVAP KIT UNIVERSAL",Query1[[#This Row],[OrderQty]]+J4167,J4167)</f>
        <v>1696</v>
      </c>
      <c r="K4168" s="1">
        <f>Query1[[#This Row],[SF Running Total]]+Query1[[#This Row],[UNIV Running Total]]</f>
        <v>6831</v>
      </c>
      <c r="L4168">
        <f>VLOOKUP(Query1[[#This Row],[Description]],'kits to boards'!$B$2:$E$156,2,FALSE)</f>
        <v>830001</v>
      </c>
      <c r="M4168">
        <f>VLOOKUP(Query1[[#This Row],[Description]],'kits to boards'!$B$2:$E$156,3,FALSE)</f>
        <v>0</v>
      </c>
      <c r="N4168">
        <f>VLOOKUP(Query1[[#This Row],[Description]],'kits to boards'!$B$2:$E$156,4,FALSE)</f>
        <v>0</v>
      </c>
      <c r="O4168" t="str">
        <f>CONCATENATE(Query1[[#This Row],[Description]]," - ",Query1[[#This Row],[MB1]]," - ",Query1[[#This Row],[MB2]]," - ",Query1[[#This Row],[MB3]])</f>
        <v>EVAP KIT 73-80 CHEV P-UP W/AC - 830001 - 0 - 0</v>
      </c>
    </row>
    <row r="4169" spans="1:15" x14ac:dyDescent="0.25">
      <c r="A4169" s="1">
        <v>920253</v>
      </c>
      <c r="B4169" s="1" t="s">
        <v>100</v>
      </c>
      <c r="C4169" s="1" t="s">
        <v>101</v>
      </c>
      <c r="D4169" s="2">
        <v>44670.492208298609</v>
      </c>
      <c r="E4169" s="1" t="s">
        <v>8</v>
      </c>
      <c r="F4169" s="1">
        <v>1</v>
      </c>
      <c r="G4169" s="1">
        <v>0</v>
      </c>
      <c r="H4169" s="6">
        <f>INT(Query1[[#This Row],[EntryDateTime]])</f>
        <v>44670</v>
      </c>
      <c r="I4169" s="1">
        <f>IF(Query1[[#This Row],[ItemType]]="EVAP KIT SF GEN IV",Query1[[#This Row],[OrderQty]]+I4168,I4168)</f>
        <v>5136</v>
      </c>
      <c r="J4169" s="1">
        <f>IF(Query1[[#This Row],[ItemType]]="EVAP KIT UNIVERSAL",Query1[[#This Row],[OrderQty]]+J4168,J4168)</f>
        <v>1696</v>
      </c>
      <c r="K4169" s="1">
        <f>Query1[[#This Row],[SF Running Total]]+Query1[[#This Row],[UNIV Running Total]]</f>
        <v>6832</v>
      </c>
      <c r="L4169">
        <f>VLOOKUP(Query1[[#This Row],[Description]],'kits to boards'!$B$2:$E$156,2,FALSE)</f>
        <v>830096</v>
      </c>
      <c r="M4169">
        <f>VLOOKUP(Query1[[#This Row],[Description]],'kits to boards'!$B$2:$E$156,3,FALSE)</f>
        <v>0</v>
      </c>
      <c r="N4169">
        <f>VLOOKUP(Query1[[#This Row],[Description]],'kits to boards'!$B$2:$E$156,4,FALSE)</f>
        <v>0</v>
      </c>
      <c r="O4169" t="str">
        <f>CONCATENATE(Query1[[#This Row],[Description]]," - ",Query1[[#This Row],[MB1]]," - ",Query1[[#This Row],[MB2]]," - ",Query1[[#This Row],[MB3]])</f>
        <v>EVAP KIT 62-65 NOVA - 830096 - 0 - 0</v>
      </c>
    </row>
    <row r="4170" spans="1:15" x14ac:dyDescent="0.25">
      <c r="A4170" s="1">
        <v>920167</v>
      </c>
      <c r="B4170" s="1" t="s">
        <v>251</v>
      </c>
      <c r="C4170" s="1" t="s">
        <v>252</v>
      </c>
      <c r="D4170" s="2">
        <v>44670.492893553244</v>
      </c>
      <c r="E4170" s="1" t="s">
        <v>8</v>
      </c>
      <c r="F4170" s="1">
        <v>1</v>
      </c>
      <c r="G4170" s="1">
        <v>0</v>
      </c>
      <c r="H4170" s="6">
        <f>INT(Query1[[#This Row],[EntryDateTime]])</f>
        <v>44670</v>
      </c>
      <c r="I4170" s="1">
        <f>IF(Query1[[#This Row],[ItemType]]="EVAP KIT SF GEN IV",Query1[[#This Row],[OrderQty]]+I4169,I4169)</f>
        <v>5137</v>
      </c>
      <c r="J4170" s="1">
        <f>IF(Query1[[#This Row],[ItemType]]="EVAP KIT UNIVERSAL",Query1[[#This Row],[OrderQty]]+J4169,J4169)</f>
        <v>1696</v>
      </c>
      <c r="K4170" s="1">
        <f>Query1[[#This Row],[SF Running Total]]+Query1[[#This Row],[UNIV Running Total]]</f>
        <v>6833</v>
      </c>
      <c r="L4170">
        <f>VLOOKUP(Query1[[#This Row],[Description]],'kits to boards'!$B$2:$E$156,2,FALSE)</f>
        <v>830020</v>
      </c>
      <c r="M4170">
        <f>VLOOKUP(Query1[[#This Row],[Description]],'kits to boards'!$B$2:$E$156,3,FALSE)</f>
        <v>0</v>
      </c>
      <c r="N4170">
        <f>VLOOKUP(Query1[[#This Row],[Description]],'kits to boards'!$B$2:$E$156,4,FALSE)</f>
        <v>0</v>
      </c>
      <c r="O4170" t="str">
        <f>CONCATENATE(Query1[[#This Row],[Description]]," - ",Query1[[#This Row],[MB1]]," - ",Query1[[#This Row],[MB2]]," - ",Query1[[#This Row],[MB3]])</f>
        <v>EVAP KIT 69 FIREBIRD WO AC - 830020 - 0 - 0</v>
      </c>
    </row>
    <row r="4171" spans="1:15" x14ac:dyDescent="0.25">
      <c r="A4171" s="1">
        <v>920254</v>
      </c>
      <c r="B4171" s="1" t="s">
        <v>42</v>
      </c>
      <c r="C4171" s="1" t="s">
        <v>43</v>
      </c>
      <c r="D4171" s="2">
        <v>44670.495462500003</v>
      </c>
      <c r="E4171" s="1" t="s">
        <v>8</v>
      </c>
      <c r="F4171" s="1">
        <v>1</v>
      </c>
      <c r="G4171" s="1">
        <v>0</v>
      </c>
      <c r="H4171" s="6">
        <f>INT(Query1[[#This Row],[EntryDateTime]])</f>
        <v>44670</v>
      </c>
      <c r="I4171" s="1">
        <f>IF(Query1[[#This Row],[ItemType]]="EVAP KIT SF GEN IV",Query1[[#This Row],[OrderQty]]+I4170,I4170)</f>
        <v>5138</v>
      </c>
      <c r="J4171" s="1">
        <f>IF(Query1[[#This Row],[ItemType]]="EVAP KIT UNIVERSAL",Query1[[#This Row],[OrderQty]]+J4170,J4170)</f>
        <v>1696</v>
      </c>
      <c r="K4171" s="1">
        <f>Query1[[#This Row],[SF Running Total]]+Query1[[#This Row],[UNIV Running Total]]</f>
        <v>6834</v>
      </c>
      <c r="L4171">
        <f>VLOOKUP(Query1[[#This Row],[Description]],'kits to boards'!$B$2:$E$156,2,FALSE)</f>
        <v>830014</v>
      </c>
      <c r="M4171">
        <f>VLOOKUP(Query1[[#This Row],[Description]],'kits to boards'!$B$2:$E$156,3,FALSE)</f>
        <v>0</v>
      </c>
      <c r="N4171">
        <f>VLOOKUP(Query1[[#This Row],[Description]],'kits to boards'!$B$2:$E$156,4,FALSE)</f>
        <v>0</v>
      </c>
      <c r="O4171" t="str">
        <f>CONCATENATE(Query1[[#This Row],[Description]]," - ",Query1[[#This Row],[MB1]]," - ",Query1[[#This Row],[MB2]]," - ",Query1[[#This Row],[MB3]])</f>
        <v>EVAP KIT 67-72 CHEV P-UP WO AC - 830014 - 0 - 0</v>
      </c>
    </row>
    <row r="4172" spans="1:15" x14ac:dyDescent="0.25">
      <c r="A4172" s="1">
        <v>920180</v>
      </c>
      <c r="B4172" s="1" t="s">
        <v>110</v>
      </c>
      <c r="C4172" s="1" t="s">
        <v>111</v>
      </c>
      <c r="D4172" s="2">
        <v>44670.495643020833</v>
      </c>
      <c r="E4172" s="1" t="s">
        <v>8</v>
      </c>
      <c r="F4172" s="1">
        <v>1</v>
      </c>
      <c r="G4172" s="1">
        <v>0</v>
      </c>
      <c r="H4172" s="6">
        <f>INT(Query1[[#This Row],[EntryDateTime]])</f>
        <v>44670</v>
      </c>
      <c r="I4172" s="1">
        <f>IF(Query1[[#This Row],[ItemType]]="EVAP KIT SF GEN IV",Query1[[#This Row],[OrderQty]]+I4171,I4171)</f>
        <v>5139</v>
      </c>
      <c r="J4172" s="1">
        <f>IF(Query1[[#This Row],[ItemType]]="EVAP KIT UNIVERSAL",Query1[[#This Row],[OrderQty]]+J4171,J4171)</f>
        <v>1696</v>
      </c>
      <c r="K4172" s="1">
        <f>Query1[[#This Row],[SF Running Total]]+Query1[[#This Row],[UNIV Running Total]]</f>
        <v>6835</v>
      </c>
      <c r="L4172">
        <f>VLOOKUP(Query1[[#This Row],[Description]],'kits to boards'!$B$2:$E$156,2,FALSE)</f>
        <v>830053</v>
      </c>
      <c r="M4172">
        <f>VLOOKUP(Query1[[#This Row],[Description]],'kits to boards'!$B$2:$E$156,3,FALSE)</f>
        <v>0</v>
      </c>
      <c r="N4172">
        <f>VLOOKUP(Query1[[#This Row],[Description]],'kits to boards'!$B$2:$E$156,4,FALSE)</f>
        <v>0</v>
      </c>
      <c r="O4172" t="str">
        <f>CONCATENATE(Query1[[#This Row],[Description]]," - ",Query1[[#This Row],[MB1]]," - ",Query1[[#This Row],[MB2]]," - ",Query1[[#This Row],[MB3]])</f>
        <v>EVAP KIT 65-66 FORD F-100 - 830053 - 0 - 0</v>
      </c>
    </row>
    <row r="4173" spans="1:15" x14ac:dyDescent="0.25">
      <c r="A4173" s="1">
        <v>920255</v>
      </c>
      <c r="B4173" s="1" t="s">
        <v>128</v>
      </c>
      <c r="C4173" s="1" t="s">
        <v>129</v>
      </c>
      <c r="D4173" s="2">
        <v>44670.497734722223</v>
      </c>
      <c r="E4173" s="1" t="s">
        <v>8</v>
      </c>
      <c r="F4173" s="1">
        <v>1</v>
      </c>
      <c r="G4173" s="1">
        <v>0</v>
      </c>
      <c r="H4173" s="6">
        <f>INT(Query1[[#This Row],[EntryDateTime]])</f>
        <v>44670</v>
      </c>
      <c r="I4173" s="1">
        <f>IF(Query1[[#This Row],[ItemType]]="EVAP KIT SF GEN IV",Query1[[#This Row],[OrderQty]]+I4172,I4172)</f>
        <v>5140</v>
      </c>
      <c r="J4173" s="1">
        <f>IF(Query1[[#This Row],[ItemType]]="EVAP KIT UNIVERSAL",Query1[[#This Row],[OrderQty]]+J4172,J4172)</f>
        <v>1696</v>
      </c>
      <c r="K4173" s="1">
        <f>Query1[[#This Row],[SF Running Total]]+Query1[[#This Row],[UNIV Running Total]]</f>
        <v>6836</v>
      </c>
      <c r="L4173">
        <f>VLOOKUP(Query1[[#This Row],[Description]],'kits to boards'!$B$2:$E$156,2,FALSE)</f>
        <v>830036</v>
      </c>
      <c r="M4173">
        <f>VLOOKUP(Query1[[#This Row],[Description]],'kits to boards'!$B$2:$E$156,3,FALSE)</f>
        <v>830039</v>
      </c>
      <c r="N4173">
        <f>VLOOKUP(Query1[[#This Row],[Description]],'kits to boards'!$B$2:$E$156,4,FALSE)</f>
        <v>0</v>
      </c>
      <c r="O4173" t="str">
        <f>CONCATENATE(Query1[[#This Row],[Description]]," - ",Query1[[#This Row],[MB1]]," - ",Query1[[#This Row],[MB2]]," - ",Query1[[#This Row],[MB3]])</f>
        <v>EVAP KIT 63-66 VETTE WO AC - 830036 - 830039 - 0</v>
      </c>
    </row>
    <row r="4174" spans="1:15" x14ac:dyDescent="0.25">
      <c r="A4174" s="1">
        <v>920257</v>
      </c>
      <c r="B4174" s="1" t="s">
        <v>244</v>
      </c>
      <c r="C4174" s="1" t="s">
        <v>245</v>
      </c>
      <c r="D4174" s="2">
        <v>44670.512315624997</v>
      </c>
      <c r="E4174" s="1" t="s">
        <v>8</v>
      </c>
      <c r="F4174" s="1">
        <v>1</v>
      </c>
      <c r="G4174" s="1">
        <v>0</v>
      </c>
      <c r="H4174" s="6">
        <f>INT(Query1[[#This Row],[EntryDateTime]])</f>
        <v>44670</v>
      </c>
      <c r="I4174" s="1">
        <f>IF(Query1[[#This Row],[ItemType]]="EVAP KIT SF GEN IV",Query1[[#This Row],[OrderQty]]+I4173,I4173)</f>
        <v>5141</v>
      </c>
      <c r="J4174" s="1">
        <f>IF(Query1[[#This Row],[ItemType]]="EVAP KIT UNIVERSAL",Query1[[#This Row],[OrderQty]]+J4173,J4173)</f>
        <v>1696</v>
      </c>
      <c r="K4174" s="1">
        <f>Query1[[#This Row],[SF Running Total]]+Query1[[#This Row],[UNIV Running Total]]</f>
        <v>6837</v>
      </c>
      <c r="L4174">
        <f>VLOOKUP(Query1[[#This Row],[Description]],'kits to boards'!$B$2:$E$156,2,FALSE)</f>
        <v>830100</v>
      </c>
      <c r="M4174">
        <f>VLOOKUP(Query1[[#This Row],[Description]],'kits to boards'!$B$2:$E$156,3,FALSE)</f>
        <v>0</v>
      </c>
      <c r="N4174">
        <f>VLOOKUP(Query1[[#This Row],[Description]],'kits to boards'!$B$2:$E$156,4,FALSE)</f>
        <v>0</v>
      </c>
      <c r="O4174" t="str">
        <f>CONCATENATE(Query1[[#This Row],[Description]]," - ",Query1[[#This Row],[MB1]]," - ",Query1[[#This Row],[MB2]]," - ",Query1[[#This Row],[MB3]])</f>
        <v>EVAP KIT 68-76 VETTE WO AC - 830100 - 0 - 0</v>
      </c>
    </row>
    <row r="4175" spans="1:15" x14ac:dyDescent="0.25">
      <c r="A4175" s="1">
        <v>920269</v>
      </c>
      <c r="B4175" s="1" t="s">
        <v>60</v>
      </c>
      <c r="C4175" s="1" t="s">
        <v>61</v>
      </c>
      <c r="D4175" s="2">
        <v>44670.516343900461</v>
      </c>
      <c r="E4175" s="1" t="s">
        <v>8</v>
      </c>
      <c r="F4175" s="1">
        <v>1</v>
      </c>
      <c r="G4175" s="1">
        <v>0</v>
      </c>
      <c r="H4175" s="6">
        <f>INT(Query1[[#This Row],[EntryDateTime]])</f>
        <v>44670</v>
      </c>
      <c r="I4175" s="1">
        <f>IF(Query1[[#This Row],[ItemType]]="EVAP KIT SF GEN IV",Query1[[#This Row],[OrderQty]]+I4174,I4174)</f>
        <v>5142</v>
      </c>
      <c r="J4175" s="1">
        <f>IF(Query1[[#This Row],[ItemType]]="EVAP KIT UNIVERSAL",Query1[[#This Row],[OrderQty]]+J4174,J4174)</f>
        <v>1696</v>
      </c>
      <c r="K4175" s="1">
        <f>Query1[[#This Row],[SF Running Total]]+Query1[[#This Row],[UNIV Running Total]]</f>
        <v>6838</v>
      </c>
      <c r="L4175">
        <f>VLOOKUP(Query1[[#This Row],[Description]],'kits to boards'!$B$2:$E$156,2,FALSE)</f>
        <v>830062</v>
      </c>
      <c r="M4175">
        <f>VLOOKUP(Query1[[#This Row],[Description]],'kits to boards'!$B$2:$E$156,3,FALSE)</f>
        <v>0</v>
      </c>
      <c r="N4175">
        <f>VLOOKUP(Query1[[#This Row],[Description]],'kits to boards'!$B$2:$E$156,4,FALSE)</f>
        <v>0</v>
      </c>
      <c r="O4175" t="str">
        <f>CONCATENATE(Query1[[#This Row],[Description]]," - ",Query1[[#This Row],[MB1]]," - ",Query1[[#This Row],[MB2]]," - ",Query1[[#This Row],[MB3]])</f>
        <v>EVAP KIT 68-69 CHEVELLE WO AC - 830062 - 0 - 0</v>
      </c>
    </row>
    <row r="4176" spans="1:15" x14ac:dyDescent="0.25">
      <c r="A4176" s="1">
        <v>920270</v>
      </c>
      <c r="B4176" s="1" t="s">
        <v>14</v>
      </c>
      <c r="C4176" s="1" t="s">
        <v>15</v>
      </c>
      <c r="D4176" s="2">
        <v>44670.518684641203</v>
      </c>
      <c r="E4176" s="1" t="s">
        <v>8</v>
      </c>
      <c r="F4176" s="1">
        <v>1</v>
      </c>
      <c r="G4176" s="1">
        <v>0</v>
      </c>
      <c r="H4176" s="6">
        <f>INT(Query1[[#This Row],[EntryDateTime]])</f>
        <v>44670</v>
      </c>
      <c r="I4176" s="1">
        <f>IF(Query1[[#This Row],[ItemType]]="EVAP KIT SF GEN IV",Query1[[#This Row],[OrderQty]]+I4175,I4175)</f>
        <v>5143</v>
      </c>
      <c r="J4176" s="1">
        <f>IF(Query1[[#This Row],[ItemType]]="EVAP KIT UNIVERSAL",Query1[[#This Row],[OrderQty]]+J4175,J4175)</f>
        <v>1696</v>
      </c>
      <c r="K4176" s="1">
        <f>Query1[[#This Row],[SF Running Total]]+Query1[[#This Row],[UNIV Running Total]]</f>
        <v>6839</v>
      </c>
      <c r="L4176">
        <f>VLOOKUP(Query1[[#This Row],[Description]],'kits to boards'!$B$2:$E$156,2,FALSE)</f>
        <v>830054</v>
      </c>
      <c r="M4176">
        <f>VLOOKUP(Query1[[#This Row],[Description]],'kits to boards'!$B$2:$E$156,3,FALSE)</f>
        <v>0</v>
      </c>
      <c r="N4176">
        <f>VLOOKUP(Query1[[#This Row],[Description]],'kits to boards'!$B$2:$E$156,4,FALSE)</f>
        <v>0</v>
      </c>
      <c r="O4176" t="str">
        <f>CONCATENATE(Query1[[#This Row],[Description]]," - ",Query1[[#This Row],[MB1]]," - ",Query1[[#This Row],[MB2]]," - ",Query1[[#This Row],[MB3]])</f>
        <v>EVAP KIT 55-56 CHEVY - 830054 - 0 - 0</v>
      </c>
    </row>
    <row r="4177" spans="1:15" x14ac:dyDescent="0.25">
      <c r="A4177" s="1">
        <v>920278</v>
      </c>
      <c r="B4177" s="1" t="s">
        <v>62</v>
      </c>
      <c r="C4177" s="1" t="s">
        <v>63</v>
      </c>
      <c r="D4177" s="2">
        <v>44670.53304332176</v>
      </c>
      <c r="E4177" s="1" t="s">
        <v>8</v>
      </c>
      <c r="F4177" s="1">
        <v>1</v>
      </c>
      <c r="G4177" s="1">
        <v>0</v>
      </c>
      <c r="H4177" s="6">
        <f>INT(Query1[[#This Row],[EntryDateTime]])</f>
        <v>44670</v>
      </c>
      <c r="I4177" s="1">
        <f>IF(Query1[[#This Row],[ItemType]]="EVAP KIT SF GEN IV",Query1[[#This Row],[OrderQty]]+I4176,I4176)</f>
        <v>5144</v>
      </c>
      <c r="J4177" s="1">
        <f>IF(Query1[[#This Row],[ItemType]]="EVAP KIT UNIVERSAL",Query1[[#This Row],[OrderQty]]+J4176,J4176)</f>
        <v>1696</v>
      </c>
      <c r="K4177" s="1">
        <f>Query1[[#This Row],[SF Running Total]]+Query1[[#This Row],[UNIV Running Total]]</f>
        <v>6840</v>
      </c>
      <c r="L4177">
        <f>VLOOKUP(Query1[[#This Row],[Description]],'kits to boards'!$B$2:$E$156,2,FALSE)</f>
        <v>830079</v>
      </c>
      <c r="M4177">
        <f>VLOOKUP(Query1[[#This Row],[Description]],'kits to boards'!$B$2:$E$156,3,FALSE)</f>
        <v>830046</v>
      </c>
      <c r="N4177">
        <f>VLOOKUP(Query1[[#This Row],[Description]],'kits to boards'!$B$2:$E$156,4,FALSE)</f>
        <v>0</v>
      </c>
      <c r="O4177" t="str">
        <f>CONCATENATE(Query1[[#This Row],[Description]]," - ",Query1[[#This Row],[MB1]]," - ",Query1[[#This Row],[MB2]]," - ",Query1[[#This Row],[MB3]])</f>
        <v>EVAP KIT 67-68 MUSTANG/COUGAR WO AC - 830079 - 830046 - 0</v>
      </c>
    </row>
    <row r="4178" spans="1:15" x14ac:dyDescent="0.25">
      <c r="A4178" s="1">
        <v>920280</v>
      </c>
      <c r="B4178" s="1" t="s">
        <v>68</v>
      </c>
      <c r="C4178" s="1" t="s">
        <v>69</v>
      </c>
      <c r="D4178" s="2">
        <v>44670.535071412036</v>
      </c>
      <c r="E4178" s="1" t="s">
        <v>8</v>
      </c>
      <c r="F4178" s="1">
        <v>1</v>
      </c>
      <c r="G4178" s="1">
        <v>0</v>
      </c>
      <c r="H4178" s="6">
        <f>INT(Query1[[#This Row],[EntryDateTime]])</f>
        <v>44670</v>
      </c>
      <c r="I4178" s="1">
        <f>IF(Query1[[#This Row],[ItemType]]="EVAP KIT SF GEN IV",Query1[[#This Row],[OrderQty]]+I4177,I4177)</f>
        <v>5145</v>
      </c>
      <c r="J4178" s="1">
        <f>IF(Query1[[#This Row],[ItemType]]="EVAP KIT UNIVERSAL",Query1[[#This Row],[OrderQty]]+J4177,J4177)</f>
        <v>1696</v>
      </c>
      <c r="K4178" s="1">
        <f>Query1[[#This Row],[SF Running Total]]+Query1[[#This Row],[UNIV Running Total]]</f>
        <v>6841</v>
      </c>
      <c r="L4178">
        <f>VLOOKUP(Query1[[#This Row],[Description]],'kits to boards'!$B$2:$E$156,2,FALSE)</f>
        <v>830010</v>
      </c>
      <c r="M4178">
        <f>VLOOKUP(Query1[[#This Row],[Description]],'kits to boards'!$B$2:$E$156,3,FALSE)</f>
        <v>0</v>
      </c>
      <c r="N4178">
        <f>VLOOKUP(Query1[[#This Row],[Description]],'kits to boards'!$B$2:$E$156,4,FALSE)</f>
        <v>0</v>
      </c>
      <c r="O4178" t="str">
        <f>CONCATENATE(Query1[[#This Row],[Description]]," - ",Query1[[#This Row],[MB1]]," - ",Query1[[#This Row],[MB2]]," - ",Query1[[#This Row],[MB3]])</f>
        <v>EVAP KIT 70-72 CHEVELLE WO AC - 830010 - 0 - 0</v>
      </c>
    </row>
    <row r="4179" spans="1:15" x14ac:dyDescent="0.25">
      <c r="A4179" s="1">
        <v>920239</v>
      </c>
      <c r="B4179" s="1" t="s">
        <v>82</v>
      </c>
      <c r="C4179" s="1" t="s">
        <v>83</v>
      </c>
      <c r="D4179" s="2">
        <v>44670.535617905094</v>
      </c>
      <c r="E4179" s="1" t="s">
        <v>11</v>
      </c>
      <c r="F4179" s="1">
        <v>1</v>
      </c>
      <c r="G4179" s="1">
        <v>0</v>
      </c>
      <c r="H4179" s="6">
        <f>INT(Query1[[#This Row],[EntryDateTime]])</f>
        <v>44670</v>
      </c>
      <c r="I4179" s="1">
        <f>IF(Query1[[#This Row],[ItemType]]="EVAP KIT SF GEN IV",Query1[[#This Row],[OrderQty]]+I4178,I4178)</f>
        <v>5145</v>
      </c>
      <c r="J4179" s="1">
        <f>IF(Query1[[#This Row],[ItemType]]="EVAP KIT UNIVERSAL",Query1[[#This Row],[OrderQty]]+J4178,J4178)</f>
        <v>1697</v>
      </c>
      <c r="K4179" s="1">
        <f>Query1[[#This Row],[SF Running Total]]+Query1[[#This Row],[UNIV Running Total]]</f>
        <v>6842</v>
      </c>
      <c r="L4179">
        <f>VLOOKUP(Query1[[#This Row],[Description]],'kits to boards'!$B$2:$E$156,2,FALSE)</f>
        <v>830029</v>
      </c>
      <c r="M4179">
        <f>VLOOKUP(Query1[[#This Row],[Description]],'kits to boards'!$B$2:$E$156,3,FALSE)</f>
        <v>830030</v>
      </c>
      <c r="N4179">
        <f>VLOOKUP(Query1[[#This Row],[Description]],'kits to boards'!$B$2:$E$156,4,FALSE)</f>
        <v>0</v>
      </c>
      <c r="O4179" t="str">
        <f>CONCATENATE(Query1[[#This Row],[Description]]," - ",Query1[[#This Row],[MB1]]," - ",Query1[[#This Row],[MB2]]," - ",Query1[[#This Row],[MB3]])</f>
        <v>ComPac GEN II H/C - 830029 - 830030 - 0</v>
      </c>
    </row>
    <row r="4180" spans="1:15" x14ac:dyDescent="0.25">
      <c r="A4180" s="1">
        <v>920282</v>
      </c>
      <c r="B4180" s="1" t="s">
        <v>100</v>
      </c>
      <c r="C4180" s="1" t="s">
        <v>101</v>
      </c>
      <c r="D4180" s="2">
        <v>44670.543091898151</v>
      </c>
      <c r="E4180" s="1" t="s">
        <v>8</v>
      </c>
      <c r="F4180" s="1">
        <v>1</v>
      </c>
      <c r="G4180" s="1">
        <v>0</v>
      </c>
      <c r="H4180" s="6">
        <f>INT(Query1[[#This Row],[EntryDateTime]])</f>
        <v>44670</v>
      </c>
      <c r="I4180" s="1">
        <f>IF(Query1[[#This Row],[ItemType]]="EVAP KIT SF GEN IV",Query1[[#This Row],[OrderQty]]+I4179,I4179)</f>
        <v>5146</v>
      </c>
      <c r="J4180" s="1">
        <f>IF(Query1[[#This Row],[ItemType]]="EVAP KIT UNIVERSAL",Query1[[#This Row],[OrderQty]]+J4179,J4179)</f>
        <v>1697</v>
      </c>
      <c r="K4180" s="1">
        <f>Query1[[#This Row],[SF Running Total]]+Query1[[#This Row],[UNIV Running Total]]</f>
        <v>6843</v>
      </c>
      <c r="L4180">
        <f>VLOOKUP(Query1[[#This Row],[Description]],'kits to boards'!$B$2:$E$156,2,FALSE)</f>
        <v>830096</v>
      </c>
      <c r="M4180">
        <f>VLOOKUP(Query1[[#This Row],[Description]],'kits to boards'!$B$2:$E$156,3,FALSE)</f>
        <v>0</v>
      </c>
      <c r="N4180">
        <f>VLOOKUP(Query1[[#This Row],[Description]],'kits to boards'!$B$2:$E$156,4,FALSE)</f>
        <v>0</v>
      </c>
      <c r="O4180" t="str">
        <f>CONCATENATE(Query1[[#This Row],[Description]]," - ",Query1[[#This Row],[MB1]]," - ",Query1[[#This Row],[MB2]]," - ",Query1[[#This Row],[MB3]])</f>
        <v>EVAP KIT 62-65 NOVA - 830096 - 0 - 0</v>
      </c>
    </row>
    <row r="4181" spans="1:15" x14ac:dyDescent="0.25">
      <c r="A4181" s="1">
        <v>916528</v>
      </c>
      <c r="B4181" s="1" t="s">
        <v>108</v>
      </c>
      <c r="C4181" s="1" t="s">
        <v>109</v>
      </c>
      <c r="D4181" s="2">
        <v>44670.559159687502</v>
      </c>
      <c r="E4181" s="1" t="s">
        <v>8</v>
      </c>
      <c r="F4181" s="1">
        <v>1</v>
      </c>
      <c r="G4181" s="1">
        <v>0</v>
      </c>
      <c r="H4181" s="6">
        <f>INT(Query1[[#This Row],[EntryDateTime]])</f>
        <v>44670</v>
      </c>
      <c r="I4181" s="1">
        <f>IF(Query1[[#This Row],[ItemType]]="EVAP KIT SF GEN IV",Query1[[#This Row],[OrderQty]]+I4180,I4180)</f>
        <v>5147</v>
      </c>
      <c r="J4181" s="1">
        <f>IF(Query1[[#This Row],[ItemType]]="EVAP KIT UNIVERSAL",Query1[[#This Row],[OrderQty]]+J4180,J4180)</f>
        <v>1697</v>
      </c>
      <c r="K4181" s="1">
        <f>Query1[[#This Row],[SF Running Total]]+Query1[[#This Row],[UNIV Running Total]]</f>
        <v>6844</v>
      </c>
      <c r="L4181">
        <f>VLOOKUP(Query1[[#This Row],[Description]],'kits to boards'!$B$2:$E$156,2,FALSE)</f>
        <v>830105</v>
      </c>
      <c r="M4181">
        <f>VLOOKUP(Query1[[#This Row],[Description]],'kits to boards'!$B$2:$E$156,3,FALSE)</f>
        <v>830106</v>
      </c>
      <c r="N4181">
        <f>VLOOKUP(Query1[[#This Row],[Description]],'kits to boards'!$B$2:$E$156,4,FALSE)</f>
        <v>0</v>
      </c>
      <c r="O4181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4182" spans="1:15" x14ac:dyDescent="0.25">
      <c r="A4182" s="1">
        <v>920289</v>
      </c>
      <c r="B4182" s="1" t="s">
        <v>42</v>
      </c>
      <c r="C4182" s="1" t="s">
        <v>43</v>
      </c>
      <c r="D4182" s="2">
        <v>44670.564784027774</v>
      </c>
      <c r="E4182" s="1" t="s">
        <v>8</v>
      </c>
      <c r="F4182" s="1">
        <v>1</v>
      </c>
      <c r="G4182" s="1">
        <v>0</v>
      </c>
      <c r="H4182" s="6">
        <f>INT(Query1[[#This Row],[EntryDateTime]])</f>
        <v>44670</v>
      </c>
      <c r="I4182" s="1">
        <f>IF(Query1[[#This Row],[ItemType]]="EVAP KIT SF GEN IV",Query1[[#This Row],[OrderQty]]+I4181,I4181)</f>
        <v>5148</v>
      </c>
      <c r="J4182" s="1">
        <f>IF(Query1[[#This Row],[ItemType]]="EVAP KIT UNIVERSAL",Query1[[#This Row],[OrderQty]]+J4181,J4181)</f>
        <v>1697</v>
      </c>
      <c r="K4182" s="1">
        <f>Query1[[#This Row],[SF Running Total]]+Query1[[#This Row],[UNIV Running Total]]</f>
        <v>6845</v>
      </c>
      <c r="L4182">
        <f>VLOOKUP(Query1[[#This Row],[Description]],'kits to boards'!$B$2:$E$156,2,FALSE)</f>
        <v>830014</v>
      </c>
      <c r="M4182">
        <f>VLOOKUP(Query1[[#This Row],[Description]],'kits to boards'!$B$2:$E$156,3,FALSE)</f>
        <v>0</v>
      </c>
      <c r="N4182">
        <f>VLOOKUP(Query1[[#This Row],[Description]],'kits to boards'!$B$2:$E$156,4,FALSE)</f>
        <v>0</v>
      </c>
      <c r="O4182" t="str">
        <f>CONCATENATE(Query1[[#This Row],[Description]]," - ",Query1[[#This Row],[MB1]]," - ",Query1[[#This Row],[MB2]]," - ",Query1[[#This Row],[MB3]])</f>
        <v>EVAP KIT 67-72 CHEV P-UP WO AC - 830014 - 0 - 0</v>
      </c>
    </row>
    <row r="4183" spans="1:15" x14ac:dyDescent="0.25">
      <c r="A4183" s="1">
        <v>920292</v>
      </c>
      <c r="B4183" s="1" t="s">
        <v>152</v>
      </c>
      <c r="C4183" s="1" t="s">
        <v>153</v>
      </c>
      <c r="D4183" s="2">
        <v>44670.566392974535</v>
      </c>
      <c r="E4183" s="1" t="s">
        <v>8</v>
      </c>
      <c r="F4183" s="1">
        <v>1</v>
      </c>
      <c r="G4183" s="1">
        <v>0</v>
      </c>
      <c r="H4183" s="6">
        <f>INT(Query1[[#This Row],[EntryDateTime]])</f>
        <v>44670</v>
      </c>
      <c r="I4183" s="1">
        <f>IF(Query1[[#This Row],[ItemType]]="EVAP KIT SF GEN IV",Query1[[#This Row],[OrderQty]]+I4182,I4182)</f>
        <v>5149</v>
      </c>
      <c r="J4183" s="1">
        <f>IF(Query1[[#This Row],[ItemType]]="EVAP KIT UNIVERSAL",Query1[[#This Row],[OrderQty]]+J4182,J4182)</f>
        <v>1697</v>
      </c>
      <c r="K4183" s="1">
        <f>Query1[[#This Row],[SF Running Total]]+Query1[[#This Row],[UNIV Running Total]]</f>
        <v>6846</v>
      </c>
      <c r="L4183">
        <f>VLOOKUP(Query1[[#This Row],[Description]],'kits to boards'!$B$2:$E$156,2,FALSE)</f>
        <v>830034</v>
      </c>
      <c r="M4183">
        <f>VLOOKUP(Query1[[#This Row],[Description]],'kits to boards'!$B$2:$E$156,3,FALSE)</f>
        <v>0</v>
      </c>
      <c r="N4183">
        <f>VLOOKUP(Query1[[#This Row],[Description]],'kits to boards'!$B$2:$E$156,4,FALSE)</f>
        <v>0</v>
      </c>
      <c r="O4183" t="str">
        <f>CONCATENATE(Query1[[#This Row],[Description]]," - ",Query1[[#This Row],[MB1]]," - ",Query1[[#This Row],[MB2]]," - ",Query1[[#This Row],[MB3]])</f>
        <v>EVAP KIT 64-67 GTO WO AC - 830034 - 0 - 0</v>
      </c>
    </row>
    <row r="4184" spans="1:15" x14ac:dyDescent="0.25">
      <c r="A4184" s="1">
        <v>920293</v>
      </c>
      <c r="B4184" s="1" t="s">
        <v>134</v>
      </c>
      <c r="C4184" s="1" t="s">
        <v>135</v>
      </c>
      <c r="D4184" s="2">
        <v>44670.567438043981</v>
      </c>
      <c r="E4184" s="1" t="s">
        <v>8</v>
      </c>
      <c r="F4184" s="1">
        <v>1</v>
      </c>
      <c r="G4184" s="1">
        <v>0</v>
      </c>
      <c r="H4184" s="6">
        <f>INT(Query1[[#This Row],[EntryDateTime]])</f>
        <v>44670</v>
      </c>
      <c r="I4184" s="1">
        <f>IF(Query1[[#This Row],[ItemType]]="EVAP KIT SF GEN IV",Query1[[#This Row],[OrderQty]]+I4183,I4183)</f>
        <v>5150</v>
      </c>
      <c r="J4184" s="1">
        <f>IF(Query1[[#This Row],[ItemType]]="EVAP KIT UNIVERSAL",Query1[[#This Row],[OrderQty]]+J4183,J4183)</f>
        <v>1697</v>
      </c>
      <c r="K4184" s="1">
        <f>Query1[[#This Row],[SF Running Total]]+Query1[[#This Row],[UNIV Running Total]]</f>
        <v>6847</v>
      </c>
      <c r="L4184">
        <f>VLOOKUP(Query1[[#This Row],[Description]],'kits to boards'!$B$2:$E$156,2,FALSE)</f>
        <v>830007</v>
      </c>
      <c r="M4184">
        <f>VLOOKUP(Query1[[#This Row],[Description]],'kits to boards'!$B$2:$E$156,3,FALSE)</f>
        <v>0</v>
      </c>
      <c r="N4184">
        <f>VLOOKUP(Query1[[#This Row],[Description]],'kits to boards'!$B$2:$E$156,4,FALSE)</f>
        <v>0</v>
      </c>
      <c r="O4184" t="str">
        <f>CONCATENATE(Query1[[#This Row],[Description]]," - ",Query1[[#This Row],[MB1]]," - ",Query1[[#This Row],[MB2]]," - ",Query1[[#This Row],[MB3]])</f>
        <v>EVAP KIT 64 IMPALA WO AC - 830007 - 0 - 0</v>
      </c>
    </row>
    <row r="4185" spans="1:15" x14ac:dyDescent="0.25">
      <c r="A4185" s="1">
        <v>920296</v>
      </c>
      <c r="B4185" s="1" t="s">
        <v>66</v>
      </c>
      <c r="C4185" s="1" t="s">
        <v>67</v>
      </c>
      <c r="D4185" s="2">
        <v>44670.573367789351</v>
      </c>
      <c r="E4185" s="1" t="s">
        <v>8</v>
      </c>
      <c r="F4185" s="1">
        <v>1</v>
      </c>
      <c r="G4185" s="1">
        <v>0</v>
      </c>
      <c r="H4185" s="6">
        <f>INT(Query1[[#This Row],[EntryDateTime]])</f>
        <v>44670</v>
      </c>
      <c r="I4185" s="1">
        <f>IF(Query1[[#This Row],[ItemType]]="EVAP KIT SF GEN IV",Query1[[#This Row],[OrderQty]]+I4184,I4184)</f>
        <v>5151</v>
      </c>
      <c r="J4185" s="1">
        <f>IF(Query1[[#This Row],[ItemType]]="EVAP KIT UNIVERSAL",Query1[[#This Row],[OrderQty]]+J4184,J4184)</f>
        <v>1697</v>
      </c>
      <c r="K4185" s="1">
        <f>Query1[[#This Row],[SF Running Total]]+Query1[[#This Row],[UNIV Running Total]]</f>
        <v>6848</v>
      </c>
      <c r="L4185">
        <f>VLOOKUP(Query1[[#This Row],[Description]],'kits to boards'!$B$2:$E$156,2,FALSE)</f>
        <v>830060</v>
      </c>
      <c r="M4185">
        <f>VLOOKUP(Query1[[#This Row],[Description]],'kits to boards'!$B$2:$E$156,3,FALSE)</f>
        <v>0</v>
      </c>
      <c r="N4185">
        <f>VLOOKUP(Query1[[#This Row],[Description]],'kits to boards'!$B$2:$E$156,4,FALSE)</f>
        <v>0</v>
      </c>
      <c r="O4185" t="str">
        <f>CONCATENATE(Query1[[#This Row],[Description]]," - ",Query1[[#This Row],[MB1]]," - ",Query1[[#This Row],[MB2]]," - ",Query1[[#This Row],[MB3]])</f>
        <v>EVAP KIT 66-67 CHEVELLE WO AC - 830060 - 0 - 0</v>
      </c>
    </row>
    <row r="4186" spans="1:15" x14ac:dyDescent="0.25">
      <c r="A4186" s="1">
        <v>920299</v>
      </c>
      <c r="B4186" s="1" t="s">
        <v>30</v>
      </c>
      <c r="C4186" s="1" t="s">
        <v>31</v>
      </c>
      <c r="D4186" s="2">
        <v>44670.578106331021</v>
      </c>
      <c r="E4186" s="1" t="s">
        <v>8</v>
      </c>
      <c r="F4186" s="1">
        <v>1</v>
      </c>
      <c r="G4186" s="1">
        <v>0</v>
      </c>
      <c r="H4186" s="6">
        <f>INT(Query1[[#This Row],[EntryDateTime]])</f>
        <v>44670</v>
      </c>
      <c r="I4186" s="1">
        <f>IF(Query1[[#This Row],[ItemType]]="EVAP KIT SF GEN IV",Query1[[#This Row],[OrderQty]]+I4185,I4185)</f>
        <v>5152</v>
      </c>
      <c r="J4186" s="1">
        <f>IF(Query1[[#This Row],[ItemType]]="EVAP KIT UNIVERSAL",Query1[[#This Row],[OrderQty]]+J4185,J4185)</f>
        <v>1697</v>
      </c>
      <c r="K4186" s="1">
        <f>Query1[[#This Row],[SF Running Total]]+Query1[[#This Row],[UNIV Running Total]]</f>
        <v>6849</v>
      </c>
      <c r="L4186">
        <f>VLOOKUP(Query1[[#This Row],[Description]],'kits to boards'!$B$2:$E$156,2,FALSE)</f>
        <v>830054</v>
      </c>
      <c r="M4186">
        <f>VLOOKUP(Query1[[#This Row],[Description]],'kits to boards'!$B$2:$E$156,3,FALSE)</f>
        <v>0</v>
      </c>
      <c r="N4186">
        <f>VLOOKUP(Query1[[#This Row],[Description]],'kits to boards'!$B$2:$E$156,4,FALSE)</f>
        <v>0</v>
      </c>
      <c r="O4186" t="str">
        <f>CONCATENATE(Query1[[#This Row],[Description]]," - ",Query1[[#This Row],[MB1]]," - ",Query1[[#This Row],[MB2]]," - ",Query1[[#This Row],[MB3]])</f>
        <v>EVAP KIT 55-56 CHEVY 4-VENT - 830054 - 0 - 0</v>
      </c>
    </row>
    <row r="4187" spans="1:15" x14ac:dyDescent="0.25">
      <c r="A4187" s="1">
        <v>920244</v>
      </c>
      <c r="B4187" s="1" t="s">
        <v>60</v>
      </c>
      <c r="C4187" s="1" t="s">
        <v>61</v>
      </c>
      <c r="D4187" s="2">
        <v>44670.578841666669</v>
      </c>
      <c r="E4187" s="1" t="s">
        <v>8</v>
      </c>
      <c r="F4187" s="1">
        <v>1</v>
      </c>
      <c r="G4187" s="1">
        <v>0</v>
      </c>
      <c r="H4187" s="6">
        <f>INT(Query1[[#This Row],[EntryDateTime]])</f>
        <v>44670</v>
      </c>
      <c r="I4187" s="1">
        <f>IF(Query1[[#This Row],[ItemType]]="EVAP KIT SF GEN IV",Query1[[#This Row],[OrderQty]]+I4186,I4186)</f>
        <v>5153</v>
      </c>
      <c r="J4187" s="1">
        <f>IF(Query1[[#This Row],[ItemType]]="EVAP KIT UNIVERSAL",Query1[[#This Row],[OrderQty]]+J4186,J4186)</f>
        <v>1697</v>
      </c>
      <c r="K4187" s="1">
        <f>Query1[[#This Row],[SF Running Total]]+Query1[[#This Row],[UNIV Running Total]]</f>
        <v>6850</v>
      </c>
      <c r="L4187">
        <f>VLOOKUP(Query1[[#This Row],[Description]],'kits to boards'!$B$2:$E$156,2,FALSE)</f>
        <v>830062</v>
      </c>
      <c r="M4187">
        <f>VLOOKUP(Query1[[#This Row],[Description]],'kits to boards'!$B$2:$E$156,3,FALSE)</f>
        <v>0</v>
      </c>
      <c r="N4187">
        <f>VLOOKUP(Query1[[#This Row],[Description]],'kits to boards'!$B$2:$E$156,4,FALSE)</f>
        <v>0</v>
      </c>
      <c r="O4187" t="str">
        <f>CONCATENATE(Query1[[#This Row],[Description]]," - ",Query1[[#This Row],[MB1]]," - ",Query1[[#This Row],[MB2]]," - ",Query1[[#This Row],[MB3]])</f>
        <v>EVAP KIT 68-69 CHEVELLE WO AC - 830062 - 0 - 0</v>
      </c>
    </row>
    <row r="4188" spans="1:15" x14ac:dyDescent="0.25">
      <c r="A4188" s="1">
        <v>920306</v>
      </c>
      <c r="B4188" s="1" t="s">
        <v>12</v>
      </c>
      <c r="C4188" s="1" t="s">
        <v>13</v>
      </c>
      <c r="D4188" s="2">
        <v>44670.592330902778</v>
      </c>
      <c r="E4188" s="1" t="s">
        <v>8</v>
      </c>
      <c r="F4188" s="1">
        <v>1</v>
      </c>
      <c r="G4188" s="1">
        <v>0</v>
      </c>
      <c r="H4188" s="6">
        <f>INT(Query1[[#This Row],[EntryDateTime]])</f>
        <v>44670</v>
      </c>
      <c r="I4188" s="1">
        <f>IF(Query1[[#This Row],[ItemType]]="EVAP KIT SF GEN IV",Query1[[#This Row],[OrderQty]]+I4187,I4187)</f>
        <v>5154</v>
      </c>
      <c r="J4188" s="1">
        <f>IF(Query1[[#This Row],[ItemType]]="EVAP KIT UNIVERSAL",Query1[[#This Row],[OrderQty]]+J4187,J4187)</f>
        <v>1697</v>
      </c>
      <c r="K4188" s="1">
        <f>Query1[[#This Row],[SF Running Total]]+Query1[[#This Row],[UNIV Running Total]]</f>
        <v>6851</v>
      </c>
      <c r="L4188">
        <f>VLOOKUP(Query1[[#This Row],[Description]],'kits to boards'!$B$2:$E$156,2,FALSE)</f>
        <v>830079</v>
      </c>
      <c r="M4188">
        <f>VLOOKUP(Query1[[#This Row],[Description]],'kits to boards'!$B$2:$E$156,3,FALSE)</f>
        <v>830046</v>
      </c>
      <c r="N4188">
        <f>VLOOKUP(Query1[[#This Row],[Description]],'kits to boards'!$B$2:$E$156,4,FALSE)</f>
        <v>0</v>
      </c>
      <c r="O4188" t="str">
        <f>CONCATENATE(Query1[[#This Row],[Description]]," - ",Query1[[#This Row],[MB1]]," - ",Query1[[#This Row],[MB2]]," - ",Query1[[#This Row],[MB3]])</f>
        <v>EVAP KIT 67-68 MUSTANG/COUGAR W/AC - 830079 - 830046 - 0</v>
      </c>
    </row>
    <row r="4189" spans="1:15" x14ac:dyDescent="0.25">
      <c r="A4189" s="1">
        <v>920306</v>
      </c>
      <c r="B4189" s="1" t="s">
        <v>30</v>
      </c>
      <c r="C4189" s="1" t="s">
        <v>31</v>
      </c>
      <c r="D4189" s="2">
        <v>44670.592332719905</v>
      </c>
      <c r="E4189" s="1" t="s">
        <v>8</v>
      </c>
      <c r="F4189" s="1">
        <v>1</v>
      </c>
      <c r="G4189" s="1">
        <v>0</v>
      </c>
      <c r="H4189" s="6">
        <f>INT(Query1[[#This Row],[EntryDateTime]])</f>
        <v>44670</v>
      </c>
      <c r="I4189" s="1">
        <f>IF(Query1[[#This Row],[ItemType]]="EVAP KIT SF GEN IV",Query1[[#This Row],[OrderQty]]+I4188,I4188)</f>
        <v>5155</v>
      </c>
      <c r="J4189" s="1">
        <f>IF(Query1[[#This Row],[ItemType]]="EVAP KIT UNIVERSAL",Query1[[#This Row],[OrderQty]]+J4188,J4188)</f>
        <v>1697</v>
      </c>
      <c r="K4189" s="1">
        <f>Query1[[#This Row],[SF Running Total]]+Query1[[#This Row],[UNIV Running Total]]</f>
        <v>6852</v>
      </c>
      <c r="L4189">
        <f>VLOOKUP(Query1[[#This Row],[Description]],'kits to boards'!$B$2:$E$156,2,FALSE)</f>
        <v>830054</v>
      </c>
      <c r="M4189">
        <f>VLOOKUP(Query1[[#This Row],[Description]],'kits to boards'!$B$2:$E$156,3,FALSE)</f>
        <v>0</v>
      </c>
      <c r="N4189">
        <f>VLOOKUP(Query1[[#This Row],[Description]],'kits to boards'!$B$2:$E$156,4,FALSE)</f>
        <v>0</v>
      </c>
      <c r="O4189" t="str">
        <f>CONCATENATE(Query1[[#This Row],[Description]]," - ",Query1[[#This Row],[MB1]]," - ",Query1[[#This Row],[MB2]]," - ",Query1[[#This Row],[MB3]])</f>
        <v>EVAP KIT 55-56 CHEVY 4-VENT - 830054 - 0 - 0</v>
      </c>
    </row>
    <row r="4190" spans="1:15" x14ac:dyDescent="0.25">
      <c r="A4190" s="1">
        <v>920306</v>
      </c>
      <c r="B4190" s="1" t="s">
        <v>76</v>
      </c>
      <c r="C4190" s="1" t="s">
        <v>77</v>
      </c>
      <c r="D4190" s="2">
        <v>44670.592341747688</v>
      </c>
      <c r="E4190" s="1" t="s">
        <v>11</v>
      </c>
      <c r="F4190" s="1">
        <v>1</v>
      </c>
      <c r="G4190" s="1">
        <v>0</v>
      </c>
      <c r="H4190" s="6">
        <f>INT(Query1[[#This Row],[EntryDateTime]])</f>
        <v>44670</v>
      </c>
      <c r="I4190" s="1">
        <f>IF(Query1[[#This Row],[ItemType]]="EVAP KIT SF GEN IV",Query1[[#This Row],[OrderQty]]+I4189,I4189)</f>
        <v>5155</v>
      </c>
      <c r="J4190" s="1">
        <f>IF(Query1[[#This Row],[ItemType]]="EVAP KIT UNIVERSAL",Query1[[#This Row],[OrderQty]]+J4189,J4189)</f>
        <v>1698</v>
      </c>
      <c r="K4190" s="1">
        <f>Query1[[#This Row],[SF Running Total]]+Query1[[#This Row],[UNIV Running Total]]</f>
        <v>6853</v>
      </c>
      <c r="L4190">
        <f>VLOOKUP(Query1[[#This Row],[Description]],'kits to boards'!$B$2:$E$156,2,FALSE)</f>
        <v>830099</v>
      </c>
      <c r="M4190">
        <f>VLOOKUP(Query1[[#This Row],[Description]],'kits to boards'!$B$2:$E$156,3,FALSE)</f>
        <v>0</v>
      </c>
      <c r="N4190">
        <f>VLOOKUP(Query1[[#This Row],[Description]],'kits to boards'!$B$2:$E$156,4,FALSE)</f>
        <v>0</v>
      </c>
      <c r="O4190" t="str">
        <f>CONCATENATE(Query1[[#This Row],[Description]]," - ",Query1[[#This Row],[MB1]]," - ",Query1[[#This Row],[MB2]]," - ",Query1[[#This Row],[MB3]])</f>
        <v>MINI GEN II H/C - 830099 - 0 - 0</v>
      </c>
    </row>
    <row r="4191" spans="1:15" x14ac:dyDescent="0.25">
      <c r="A4191" s="1">
        <v>920306</v>
      </c>
      <c r="B4191" s="1" t="s">
        <v>98</v>
      </c>
      <c r="C4191" s="1" t="s">
        <v>99</v>
      </c>
      <c r="D4191" s="2">
        <v>44670.592343518518</v>
      </c>
      <c r="E4191" s="1" t="s">
        <v>11</v>
      </c>
      <c r="F4191" s="1">
        <v>2</v>
      </c>
      <c r="G4191" s="1">
        <v>0</v>
      </c>
      <c r="H4191" s="6">
        <f>INT(Query1[[#This Row],[EntryDateTime]])</f>
        <v>44670</v>
      </c>
      <c r="I4191" s="1">
        <f>IF(Query1[[#This Row],[ItemType]]="EVAP KIT SF GEN IV",Query1[[#This Row],[OrderQty]]+I4190,I4190)</f>
        <v>5155</v>
      </c>
      <c r="J4191" s="1">
        <f>IF(Query1[[#This Row],[ItemType]]="EVAP KIT UNIVERSAL",Query1[[#This Row],[OrderQty]]+J4190,J4190)</f>
        <v>1700</v>
      </c>
      <c r="K4191" s="1">
        <f>Query1[[#This Row],[SF Running Total]]+Query1[[#This Row],[UNIV Running Total]]</f>
        <v>6855</v>
      </c>
      <c r="L4191">
        <f>VLOOKUP(Query1[[#This Row],[Description]],'kits to boards'!$B$2:$E$156,2,FALSE)</f>
        <v>830099</v>
      </c>
      <c r="M4191">
        <f>VLOOKUP(Query1[[#This Row],[Description]],'kits to boards'!$B$2:$E$156,3,FALSE)</f>
        <v>0</v>
      </c>
      <c r="N4191">
        <f>VLOOKUP(Query1[[#This Row],[Description]],'kits to boards'!$B$2:$E$156,4,FALSE)</f>
        <v>0</v>
      </c>
      <c r="O4191" t="str">
        <f>CONCATENATE(Query1[[#This Row],[Description]]," - ",Query1[[#This Row],[MB1]]," - ",Query1[[#This Row],[MB2]]," - ",Query1[[#This Row],[MB3]])</f>
        <v>MINI GEN II W/DEF - 830099 - 0 - 0</v>
      </c>
    </row>
    <row r="4192" spans="1:15" x14ac:dyDescent="0.25">
      <c r="A4192" s="1">
        <v>920004</v>
      </c>
      <c r="B4192" s="1" t="s">
        <v>158</v>
      </c>
      <c r="C4192" s="1" t="s">
        <v>159</v>
      </c>
      <c r="D4192" s="2">
        <v>44670.596067743056</v>
      </c>
      <c r="E4192" s="1" t="s">
        <v>8</v>
      </c>
      <c r="F4192" s="1">
        <v>1</v>
      </c>
      <c r="G4192" s="1">
        <v>0</v>
      </c>
      <c r="H4192" s="6">
        <f>INT(Query1[[#This Row],[EntryDateTime]])</f>
        <v>44670</v>
      </c>
      <c r="I4192" s="1">
        <f>IF(Query1[[#This Row],[ItemType]]="EVAP KIT SF GEN IV",Query1[[#This Row],[OrderQty]]+I4191,I4191)</f>
        <v>5156</v>
      </c>
      <c r="J4192" s="1">
        <f>IF(Query1[[#This Row],[ItemType]]="EVAP KIT UNIVERSAL",Query1[[#This Row],[OrderQty]]+J4191,J4191)</f>
        <v>1700</v>
      </c>
      <c r="K4192" s="1">
        <f>Query1[[#This Row],[SF Running Total]]+Query1[[#This Row],[UNIV Running Total]]</f>
        <v>6856</v>
      </c>
      <c r="L4192">
        <f>VLOOKUP(Query1[[#This Row],[Description]],'kits to boards'!$B$2:$E$156,2,FALSE)</f>
        <v>830080</v>
      </c>
      <c r="M4192">
        <f>VLOOKUP(Query1[[#This Row],[Description]],'kits to boards'!$B$2:$E$156,3,FALSE)</f>
        <v>830046</v>
      </c>
      <c r="N4192">
        <f>VLOOKUP(Query1[[#This Row],[Description]],'kits to boards'!$B$2:$E$156,4,FALSE)</f>
        <v>0</v>
      </c>
      <c r="O4192" t="str">
        <f>CONCATENATE(Query1[[#This Row],[Description]]," - ",Query1[[#This Row],[MB1]]," - ",Query1[[#This Row],[MB2]]," - ",Query1[[#This Row],[MB3]])</f>
        <v>EVAP KIT 69-70 MUSTANG W/AC  - 830080 - 830046 - 0</v>
      </c>
    </row>
    <row r="4193" spans="1:15" x14ac:dyDescent="0.25">
      <c r="A4193" s="1">
        <v>920309</v>
      </c>
      <c r="B4193" s="1" t="s">
        <v>28</v>
      </c>
      <c r="C4193" s="1" t="s">
        <v>29</v>
      </c>
      <c r="D4193" s="2">
        <v>44670.596944907411</v>
      </c>
      <c r="E4193" s="1" t="s">
        <v>8</v>
      </c>
      <c r="F4193" s="1">
        <v>1</v>
      </c>
      <c r="G4193" s="1">
        <v>0</v>
      </c>
      <c r="H4193" s="6">
        <f>INT(Query1[[#This Row],[EntryDateTime]])</f>
        <v>44670</v>
      </c>
      <c r="I4193" s="1">
        <f>IF(Query1[[#This Row],[ItemType]]="EVAP KIT SF GEN IV",Query1[[#This Row],[OrderQty]]+I4192,I4192)</f>
        <v>5157</v>
      </c>
      <c r="J4193" s="1">
        <f>IF(Query1[[#This Row],[ItemType]]="EVAP KIT UNIVERSAL",Query1[[#This Row],[OrderQty]]+J4192,J4192)</f>
        <v>1700</v>
      </c>
      <c r="K4193" s="1">
        <f>Query1[[#This Row],[SF Running Total]]+Query1[[#This Row],[UNIV Running Total]]</f>
        <v>6857</v>
      </c>
      <c r="L4193">
        <f>VLOOKUP(Query1[[#This Row],[Description]],'kits to boards'!$B$2:$E$156,2,FALSE)</f>
        <v>830001</v>
      </c>
      <c r="M4193">
        <f>VLOOKUP(Query1[[#This Row],[Description]],'kits to boards'!$B$2:$E$156,3,FALSE)</f>
        <v>0</v>
      </c>
      <c r="N4193">
        <f>VLOOKUP(Query1[[#This Row],[Description]],'kits to boards'!$B$2:$E$156,4,FALSE)</f>
        <v>0</v>
      </c>
      <c r="O4193" t="str">
        <f>CONCATENATE(Query1[[#This Row],[Description]]," - ",Query1[[#This Row],[MB1]]," - ",Query1[[#This Row],[MB2]]," - ",Query1[[#This Row],[MB3]])</f>
        <v>EVAP KIT 73-80 CHEV P-UP W/AC - 830001 - 0 - 0</v>
      </c>
    </row>
    <row r="4194" spans="1:15" x14ac:dyDescent="0.25">
      <c r="A4194" s="1">
        <v>920315</v>
      </c>
      <c r="B4194" s="1" t="s">
        <v>60</v>
      </c>
      <c r="C4194" s="1" t="s">
        <v>61</v>
      </c>
      <c r="D4194" s="2">
        <v>44670.610865590279</v>
      </c>
      <c r="E4194" s="1" t="s">
        <v>8</v>
      </c>
      <c r="F4194" s="1">
        <v>1</v>
      </c>
      <c r="G4194" s="1">
        <v>0</v>
      </c>
      <c r="H4194" s="6">
        <f>INT(Query1[[#This Row],[EntryDateTime]])</f>
        <v>44670</v>
      </c>
      <c r="I4194" s="1">
        <f>IF(Query1[[#This Row],[ItemType]]="EVAP KIT SF GEN IV",Query1[[#This Row],[OrderQty]]+I4193,I4193)</f>
        <v>5158</v>
      </c>
      <c r="J4194" s="1">
        <f>IF(Query1[[#This Row],[ItemType]]="EVAP KIT UNIVERSAL",Query1[[#This Row],[OrderQty]]+J4193,J4193)</f>
        <v>1700</v>
      </c>
      <c r="K4194" s="1">
        <f>Query1[[#This Row],[SF Running Total]]+Query1[[#This Row],[UNIV Running Total]]</f>
        <v>6858</v>
      </c>
      <c r="L4194">
        <f>VLOOKUP(Query1[[#This Row],[Description]],'kits to boards'!$B$2:$E$156,2,FALSE)</f>
        <v>830062</v>
      </c>
      <c r="M4194">
        <f>VLOOKUP(Query1[[#This Row],[Description]],'kits to boards'!$B$2:$E$156,3,FALSE)</f>
        <v>0</v>
      </c>
      <c r="N4194">
        <f>VLOOKUP(Query1[[#This Row],[Description]],'kits to boards'!$B$2:$E$156,4,FALSE)</f>
        <v>0</v>
      </c>
      <c r="O4194" t="str">
        <f>CONCATENATE(Query1[[#This Row],[Description]]," - ",Query1[[#This Row],[MB1]]," - ",Query1[[#This Row],[MB2]]," - ",Query1[[#This Row],[MB3]])</f>
        <v>EVAP KIT 68-69 CHEVELLE WO AC - 830062 - 0 - 0</v>
      </c>
    </row>
    <row r="4195" spans="1:15" x14ac:dyDescent="0.25">
      <c r="A4195" s="1">
        <v>920321</v>
      </c>
      <c r="B4195" s="1" t="s">
        <v>94</v>
      </c>
      <c r="C4195" s="1" t="s">
        <v>95</v>
      </c>
      <c r="D4195" s="2">
        <v>44670.62202372685</v>
      </c>
      <c r="E4195" s="1" t="s">
        <v>8</v>
      </c>
      <c r="F4195" s="1">
        <v>1</v>
      </c>
      <c r="G4195" s="1">
        <v>0</v>
      </c>
      <c r="H4195" s="6">
        <f>INT(Query1[[#This Row],[EntryDateTime]])</f>
        <v>44670</v>
      </c>
      <c r="I4195" s="1">
        <f>IF(Query1[[#This Row],[ItemType]]="EVAP KIT SF GEN IV",Query1[[#This Row],[OrderQty]]+I4194,I4194)</f>
        <v>5159</v>
      </c>
      <c r="J4195" s="1">
        <f>IF(Query1[[#This Row],[ItemType]]="EVAP KIT UNIVERSAL",Query1[[#This Row],[OrderQty]]+J4194,J4194)</f>
        <v>1700</v>
      </c>
      <c r="K4195" s="1">
        <f>Query1[[#This Row],[SF Running Total]]+Query1[[#This Row],[UNIV Running Total]]</f>
        <v>6859</v>
      </c>
      <c r="L4195">
        <f>VLOOKUP(Query1[[#This Row],[Description]],'kits to boards'!$B$2:$E$156,2,FALSE)</f>
        <v>830076</v>
      </c>
      <c r="M4195">
        <f>VLOOKUP(Query1[[#This Row],[Description]],'kits to boards'!$B$2:$E$156,3,FALSE)</f>
        <v>0</v>
      </c>
      <c r="N4195">
        <f>VLOOKUP(Query1[[#This Row],[Description]],'kits to boards'!$B$2:$E$156,4,FALSE)</f>
        <v>0</v>
      </c>
      <c r="O4195" t="str">
        <f>CONCATENATE(Query1[[#This Row],[Description]]," - ",Query1[[#This Row],[MB1]]," - ",Query1[[#This Row],[MB2]]," - ",Query1[[#This Row],[MB3]])</f>
        <v>EVAP KIT 64 1/2- 66 MUSTANG  - 830076 - 0 - 0</v>
      </c>
    </row>
    <row r="4196" spans="1:15" x14ac:dyDescent="0.25">
      <c r="A4196" s="1">
        <v>920324</v>
      </c>
      <c r="B4196" s="1" t="s">
        <v>68</v>
      </c>
      <c r="C4196" s="1" t="s">
        <v>69</v>
      </c>
      <c r="D4196" s="2">
        <v>44670.628605821759</v>
      </c>
      <c r="E4196" s="1" t="s">
        <v>8</v>
      </c>
      <c r="F4196" s="1">
        <v>1</v>
      </c>
      <c r="G4196" s="1">
        <v>0</v>
      </c>
      <c r="H4196" s="6">
        <f>INT(Query1[[#This Row],[EntryDateTime]])</f>
        <v>44670</v>
      </c>
      <c r="I4196" s="1">
        <f>IF(Query1[[#This Row],[ItemType]]="EVAP KIT SF GEN IV",Query1[[#This Row],[OrderQty]]+I4195,I4195)</f>
        <v>5160</v>
      </c>
      <c r="J4196" s="1">
        <f>IF(Query1[[#This Row],[ItemType]]="EVAP KIT UNIVERSAL",Query1[[#This Row],[OrderQty]]+J4195,J4195)</f>
        <v>1700</v>
      </c>
      <c r="K4196" s="1">
        <f>Query1[[#This Row],[SF Running Total]]+Query1[[#This Row],[UNIV Running Total]]</f>
        <v>6860</v>
      </c>
      <c r="L4196">
        <f>VLOOKUP(Query1[[#This Row],[Description]],'kits to boards'!$B$2:$E$156,2,FALSE)</f>
        <v>830010</v>
      </c>
      <c r="M4196">
        <f>VLOOKUP(Query1[[#This Row],[Description]],'kits to boards'!$B$2:$E$156,3,FALSE)</f>
        <v>0</v>
      </c>
      <c r="N4196">
        <f>VLOOKUP(Query1[[#This Row],[Description]],'kits to boards'!$B$2:$E$156,4,FALSE)</f>
        <v>0</v>
      </c>
      <c r="O4196" t="str">
        <f>CONCATENATE(Query1[[#This Row],[Description]]," - ",Query1[[#This Row],[MB1]]," - ",Query1[[#This Row],[MB2]]," - ",Query1[[#This Row],[MB3]])</f>
        <v>EVAP KIT 70-72 CHEVELLE WO AC - 830010 - 0 - 0</v>
      </c>
    </row>
    <row r="4197" spans="1:15" x14ac:dyDescent="0.25">
      <c r="A4197" s="1">
        <v>920326</v>
      </c>
      <c r="B4197" s="1" t="s">
        <v>190</v>
      </c>
      <c r="C4197" s="1" t="s">
        <v>191</v>
      </c>
      <c r="D4197" s="2">
        <v>44670.629867939817</v>
      </c>
      <c r="E4197" s="1" t="s">
        <v>8</v>
      </c>
      <c r="F4197" s="1">
        <v>1</v>
      </c>
      <c r="G4197" s="1">
        <v>0</v>
      </c>
      <c r="H4197" s="6">
        <f>INT(Query1[[#This Row],[EntryDateTime]])</f>
        <v>44670</v>
      </c>
      <c r="I4197" s="1">
        <f>IF(Query1[[#This Row],[ItemType]]="EVAP KIT SF GEN IV",Query1[[#This Row],[OrderQty]]+I4196,I4196)</f>
        <v>5161</v>
      </c>
      <c r="J4197" s="1">
        <f>IF(Query1[[#This Row],[ItemType]]="EVAP KIT UNIVERSAL",Query1[[#This Row],[OrderQty]]+J4196,J4196)</f>
        <v>1700</v>
      </c>
      <c r="K4197" s="1">
        <f>Query1[[#This Row],[SF Running Total]]+Query1[[#This Row],[UNIV Running Total]]</f>
        <v>6861</v>
      </c>
      <c r="L4197">
        <f>VLOOKUP(Query1[[#This Row],[Description]],'kits to boards'!$B$2:$E$156,2,FALSE)</f>
        <v>830008</v>
      </c>
      <c r="M4197">
        <f>VLOOKUP(Query1[[#This Row],[Description]],'kits to boards'!$B$2:$E$156,3,FALSE)</f>
        <v>0</v>
      </c>
      <c r="N4197">
        <f>VLOOKUP(Query1[[#This Row],[Description]],'kits to boards'!$B$2:$E$156,4,FALSE)</f>
        <v>0</v>
      </c>
      <c r="O4197" t="str">
        <f>CONCATENATE(Query1[[#This Row],[Description]]," - ",Query1[[#This Row],[MB1]]," - ",Query1[[#This Row],[MB2]]," - ",Query1[[#This Row],[MB3]])</f>
        <v>EVAP KIT 63 IMPALA WO AC - 830008 - 0 - 0</v>
      </c>
    </row>
    <row r="4198" spans="1:15" x14ac:dyDescent="0.25">
      <c r="A4198" s="1">
        <v>920277</v>
      </c>
      <c r="B4198" s="1" t="s">
        <v>6</v>
      </c>
      <c r="C4198" s="1" t="s">
        <v>7</v>
      </c>
      <c r="D4198" s="2">
        <v>44670.639366631942</v>
      </c>
      <c r="E4198" s="1" t="s">
        <v>8</v>
      </c>
      <c r="F4198" s="1">
        <v>1</v>
      </c>
      <c r="G4198" s="1">
        <v>0</v>
      </c>
      <c r="H4198" s="6">
        <f>INT(Query1[[#This Row],[EntryDateTime]])</f>
        <v>44670</v>
      </c>
      <c r="I4198" s="1">
        <f>IF(Query1[[#This Row],[ItemType]]="EVAP KIT SF GEN IV",Query1[[#This Row],[OrderQty]]+I4197,I4197)</f>
        <v>5162</v>
      </c>
      <c r="J4198" s="1">
        <f>IF(Query1[[#This Row],[ItemType]]="EVAP KIT UNIVERSAL",Query1[[#This Row],[OrderQty]]+J4197,J4197)</f>
        <v>1700</v>
      </c>
      <c r="K4198" s="1">
        <f>Query1[[#This Row],[SF Running Total]]+Query1[[#This Row],[UNIV Running Total]]</f>
        <v>6862</v>
      </c>
      <c r="L4198">
        <f>VLOOKUP(Query1[[#This Row],[Description]],'kits to boards'!$B$2:$E$156,2,FALSE)</f>
        <v>830132</v>
      </c>
      <c r="M4198">
        <f>VLOOKUP(Query1[[#This Row],[Description]],'kits to boards'!$B$2:$E$156,3,FALSE)</f>
        <v>0</v>
      </c>
      <c r="N4198">
        <f>VLOOKUP(Query1[[#This Row],[Description]],'kits to boards'!$B$2:$E$156,4,FALSE)</f>
        <v>0</v>
      </c>
      <c r="O4198" t="str">
        <f>CONCATENATE(Query1[[#This Row],[Description]]," - ",Query1[[#This Row],[MB1]]," - ",Query1[[#This Row],[MB2]]," - ",Query1[[#This Row],[MB3]])</f>
        <v>EVAP KIT 82-88 MONTE CARLO/EL CAMINO - 830132 - 0 - 0</v>
      </c>
    </row>
    <row r="4199" spans="1:15" x14ac:dyDescent="0.25">
      <c r="A4199" s="1">
        <v>920335</v>
      </c>
      <c r="B4199" s="1" t="s">
        <v>18</v>
      </c>
      <c r="C4199" s="1" t="s">
        <v>19</v>
      </c>
      <c r="D4199" s="2">
        <v>44670.653361886572</v>
      </c>
      <c r="E4199" s="1" t="s">
        <v>8</v>
      </c>
      <c r="F4199" s="1">
        <v>1</v>
      </c>
      <c r="G4199" s="1">
        <v>0</v>
      </c>
      <c r="H4199" s="6">
        <f>INT(Query1[[#This Row],[EntryDateTime]])</f>
        <v>44670</v>
      </c>
      <c r="I4199" s="1">
        <f>IF(Query1[[#This Row],[ItemType]]="EVAP KIT SF GEN IV",Query1[[#This Row],[OrderQty]]+I4198,I4198)</f>
        <v>5163</v>
      </c>
      <c r="J4199" s="1">
        <f>IF(Query1[[#This Row],[ItemType]]="EVAP KIT UNIVERSAL",Query1[[#This Row],[OrderQty]]+J4198,J4198)</f>
        <v>1700</v>
      </c>
      <c r="K4199" s="1">
        <f>Query1[[#This Row],[SF Running Total]]+Query1[[#This Row],[UNIV Running Total]]</f>
        <v>6863</v>
      </c>
      <c r="L4199">
        <f>VLOOKUP(Query1[[#This Row],[Description]],'kits to boards'!$B$2:$E$156,2,FALSE)</f>
        <v>830051</v>
      </c>
      <c r="M4199">
        <f>VLOOKUP(Query1[[#This Row],[Description]],'kits to boards'!$B$2:$E$156,3,FALSE)</f>
        <v>0</v>
      </c>
      <c r="N4199">
        <f>VLOOKUP(Query1[[#This Row],[Description]],'kits to boards'!$B$2:$E$156,4,FALSE)</f>
        <v>0</v>
      </c>
      <c r="O4199" t="str">
        <f>CONCATENATE(Query1[[#This Row],[Description]]," - ",Query1[[#This Row],[MB1]]," - ",Query1[[#This Row],[MB2]]," - ",Query1[[#This Row],[MB3]])</f>
        <v>EVAP KIT 70-78 CAMARO W/AC - 830051 - 0 - 0</v>
      </c>
    </row>
    <row r="4200" spans="1:15" x14ac:dyDescent="0.25">
      <c r="A4200" s="1">
        <v>920341</v>
      </c>
      <c r="B4200" s="1" t="s">
        <v>42</v>
      </c>
      <c r="C4200" s="1" t="s">
        <v>43</v>
      </c>
      <c r="D4200" s="2">
        <v>44670.657792789352</v>
      </c>
      <c r="E4200" s="1" t="s">
        <v>8</v>
      </c>
      <c r="F4200" s="1">
        <v>1</v>
      </c>
      <c r="G4200" s="1">
        <v>0</v>
      </c>
      <c r="H4200" s="6">
        <f>INT(Query1[[#This Row],[EntryDateTime]])</f>
        <v>44670</v>
      </c>
      <c r="I4200" s="1">
        <f>IF(Query1[[#This Row],[ItemType]]="EVAP KIT SF GEN IV",Query1[[#This Row],[OrderQty]]+I4199,I4199)</f>
        <v>5164</v>
      </c>
      <c r="J4200" s="1">
        <f>IF(Query1[[#This Row],[ItemType]]="EVAP KIT UNIVERSAL",Query1[[#This Row],[OrderQty]]+J4199,J4199)</f>
        <v>1700</v>
      </c>
      <c r="K4200" s="1">
        <f>Query1[[#This Row],[SF Running Total]]+Query1[[#This Row],[UNIV Running Total]]</f>
        <v>6864</v>
      </c>
      <c r="L4200">
        <f>VLOOKUP(Query1[[#This Row],[Description]],'kits to boards'!$B$2:$E$156,2,FALSE)</f>
        <v>830014</v>
      </c>
      <c r="M4200">
        <f>VLOOKUP(Query1[[#This Row],[Description]],'kits to boards'!$B$2:$E$156,3,FALSE)</f>
        <v>0</v>
      </c>
      <c r="N4200">
        <f>VLOOKUP(Query1[[#This Row],[Description]],'kits to boards'!$B$2:$E$156,4,FALSE)</f>
        <v>0</v>
      </c>
      <c r="O4200" t="str">
        <f>CONCATENATE(Query1[[#This Row],[Description]]," - ",Query1[[#This Row],[MB1]]," - ",Query1[[#This Row],[MB2]]," - ",Query1[[#This Row],[MB3]])</f>
        <v>EVAP KIT 67-72 CHEV P-UP WO AC - 830014 - 0 - 0</v>
      </c>
    </row>
    <row r="4201" spans="1:15" x14ac:dyDescent="0.25">
      <c r="A4201" s="1">
        <v>920347</v>
      </c>
      <c r="B4201" s="1" t="s">
        <v>22</v>
      </c>
      <c r="C4201" s="1" t="s">
        <v>23</v>
      </c>
      <c r="D4201" s="2">
        <v>44670.665849224541</v>
      </c>
      <c r="E4201" s="1" t="s">
        <v>8</v>
      </c>
      <c r="F4201" s="1">
        <v>1</v>
      </c>
      <c r="G4201" s="1">
        <v>0</v>
      </c>
      <c r="H4201" s="6">
        <f>INT(Query1[[#This Row],[EntryDateTime]])</f>
        <v>44670</v>
      </c>
      <c r="I4201" s="1">
        <f>IF(Query1[[#This Row],[ItemType]]="EVAP KIT SF GEN IV",Query1[[#This Row],[OrderQty]]+I4200,I4200)</f>
        <v>5165</v>
      </c>
      <c r="J4201" s="1">
        <f>IF(Query1[[#This Row],[ItemType]]="EVAP KIT UNIVERSAL",Query1[[#This Row],[OrderQty]]+J4200,J4200)</f>
        <v>1700</v>
      </c>
      <c r="K4201" s="1">
        <f>Query1[[#This Row],[SF Running Total]]+Query1[[#This Row],[UNIV Running Total]]</f>
        <v>6865</v>
      </c>
      <c r="L4201">
        <f>VLOOKUP(Query1[[#This Row],[Description]],'kits to boards'!$B$2:$E$156,2,FALSE)</f>
        <v>830083</v>
      </c>
      <c r="M4201">
        <f>VLOOKUP(Query1[[#This Row],[Description]],'kits to boards'!$B$2:$E$156,3,FALSE)</f>
        <v>0</v>
      </c>
      <c r="N4201">
        <f>VLOOKUP(Query1[[#This Row],[Description]],'kits to boards'!$B$2:$E$156,4,FALSE)</f>
        <v>0</v>
      </c>
      <c r="O4201" t="str">
        <f>CONCATENATE(Query1[[#This Row],[Description]]," - ",Query1[[#This Row],[MB1]]," - ",Query1[[#This Row],[MB2]]," - ",Query1[[#This Row],[MB3]])</f>
        <v>GEN IV MAGNUM EVAP KIT - 830083 - 0 - 0</v>
      </c>
    </row>
    <row r="4202" spans="1:15" x14ac:dyDescent="0.25">
      <c r="A4202" s="1">
        <v>920354</v>
      </c>
      <c r="B4202" s="1" t="s">
        <v>502</v>
      </c>
      <c r="C4202" s="1" t="s">
        <v>503</v>
      </c>
      <c r="D4202" s="2">
        <v>44670.675752430558</v>
      </c>
      <c r="E4202" s="1" t="s">
        <v>677</v>
      </c>
      <c r="F4202" s="1">
        <v>1</v>
      </c>
      <c r="G4202" s="1">
        <v>0</v>
      </c>
      <c r="H4202" s="6">
        <f>INT(Query1[[#This Row],[EntryDateTime]])</f>
        <v>44670</v>
      </c>
      <c r="I4202" s="1">
        <f>IF(Query1[[#This Row],[ItemType]]="EVAP KIT SF GEN IV",Query1[[#This Row],[OrderQty]]+I4201,I4201)</f>
        <v>5165</v>
      </c>
      <c r="J4202" s="1">
        <f>IF(Query1[[#This Row],[ItemType]]="EVAP KIT UNIVERSAL",Query1[[#This Row],[OrderQty]]+J4201,J4201)</f>
        <v>1700</v>
      </c>
      <c r="K4202" s="1">
        <f>Query1[[#This Row],[SF Running Total]]+Query1[[#This Row],[UNIV Running Total]]</f>
        <v>6865</v>
      </c>
      <c r="L4202" t="e">
        <f>VLOOKUP(Query1[[#This Row],[Description]],'kits to boards'!$B$2:$E$156,2,FALSE)</f>
        <v>#N/A</v>
      </c>
      <c r="M4202" t="e">
        <f>VLOOKUP(Query1[[#This Row],[Description]],'kits to boards'!$B$2:$E$156,3,FALSE)</f>
        <v>#N/A</v>
      </c>
      <c r="N4202" t="e">
        <f>VLOOKUP(Query1[[#This Row],[Description]],'kits to boards'!$B$2:$E$156,4,FALSE)</f>
        <v>#N/A</v>
      </c>
      <c r="O4202" t="e">
        <f>CONCATENATE(Query1[[#This Row],[Description]]," - ",Query1[[#This Row],[MB1]]," - ",Query1[[#This Row],[MB2]]," - ",Query1[[#This Row],[MB3]])</f>
        <v>#N/A</v>
      </c>
    </row>
    <row r="4203" spans="1:15" x14ac:dyDescent="0.25">
      <c r="A4203" s="1">
        <v>920360</v>
      </c>
      <c r="B4203" s="1" t="s">
        <v>108</v>
      </c>
      <c r="C4203" s="1" t="s">
        <v>109</v>
      </c>
      <c r="D4203" s="2">
        <v>44670.680574224534</v>
      </c>
      <c r="E4203" s="1" t="s">
        <v>8</v>
      </c>
      <c r="F4203" s="1">
        <v>1</v>
      </c>
      <c r="G4203" s="1">
        <v>0</v>
      </c>
      <c r="H4203" s="6">
        <f>INT(Query1[[#This Row],[EntryDateTime]])</f>
        <v>44670</v>
      </c>
      <c r="I4203" s="1">
        <f>IF(Query1[[#This Row],[ItemType]]="EVAP KIT SF GEN IV",Query1[[#This Row],[OrderQty]]+I4202,I4202)</f>
        <v>5166</v>
      </c>
      <c r="J4203" s="1">
        <f>IF(Query1[[#This Row],[ItemType]]="EVAP KIT UNIVERSAL",Query1[[#This Row],[OrderQty]]+J4202,J4202)</f>
        <v>1700</v>
      </c>
      <c r="K4203" s="1">
        <f>Query1[[#This Row],[SF Running Total]]+Query1[[#This Row],[UNIV Running Total]]</f>
        <v>6866</v>
      </c>
      <c r="L4203">
        <f>VLOOKUP(Query1[[#This Row],[Description]],'kits to boards'!$B$2:$E$156,2,FALSE)</f>
        <v>830105</v>
      </c>
      <c r="M4203">
        <f>VLOOKUP(Query1[[#This Row],[Description]],'kits to boards'!$B$2:$E$156,3,FALSE)</f>
        <v>830106</v>
      </c>
      <c r="N4203">
        <f>VLOOKUP(Query1[[#This Row],[Description]],'kits to boards'!$B$2:$E$156,4,FALSE)</f>
        <v>0</v>
      </c>
      <c r="O4203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4204" spans="1:15" x14ac:dyDescent="0.25">
      <c r="A4204" s="1">
        <v>920361</v>
      </c>
      <c r="B4204" s="1" t="s">
        <v>108</v>
      </c>
      <c r="C4204" s="1" t="s">
        <v>109</v>
      </c>
      <c r="D4204" s="2">
        <v>44670.683611342596</v>
      </c>
      <c r="E4204" s="1" t="s">
        <v>8</v>
      </c>
      <c r="F4204" s="1">
        <v>1</v>
      </c>
      <c r="G4204" s="1">
        <v>0</v>
      </c>
      <c r="H4204" s="6">
        <f>INT(Query1[[#This Row],[EntryDateTime]])</f>
        <v>44670</v>
      </c>
      <c r="I4204" s="1">
        <f>IF(Query1[[#This Row],[ItemType]]="EVAP KIT SF GEN IV",Query1[[#This Row],[OrderQty]]+I4203,I4203)</f>
        <v>5167</v>
      </c>
      <c r="J4204" s="1">
        <f>IF(Query1[[#This Row],[ItemType]]="EVAP KIT UNIVERSAL",Query1[[#This Row],[OrderQty]]+J4203,J4203)</f>
        <v>1700</v>
      </c>
      <c r="K4204" s="1">
        <f>Query1[[#This Row],[SF Running Total]]+Query1[[#This Row],[UNIV Running Total]]</f>
        <v>6867</v>
      </c>
      <c r="L4204">
        <f>VLOOKUP(Query1[[#This Row],[Description]],'kits to boards'!$B$2:$E$156,2,FALSE)</f>
        <v>830105</v>
      </c>
      <c r="M4204">
        <f>VLOOKUP(Query1[[#This Row],[Description]],'kits to boards'!$B$2:$E$156,3,FALSE)</f>
        <v>830106</v>
      </c>
      <c r="N4204">
        <f>VLOOKUP(Query1[[#This Row],[Description]],'kits to boards'!$B$2:$E$156,4,FALSE)</f>
        <v>0</v>
      </c>
      <c r="O4204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4205" spans="1:15" x14ac:dyDescent="0.25">
      <c r="A4205" s="1">
        <v>920365</v>
      </c>
      <c r="B4205" s="1" t="s">
        <v>128</v>
      </c>
      <c r="C4205" s="1" t="s">
        <v>129</v>
      </c>
      <c r="D4205" s="2">
        <v>44670.694353553241</v>
      </c>
      <c r="E4205" s="1" t="s">
        <v>8</v>
      </c>
      <c r="F4205" s="1">
        <v>2</v>
      </c>
      <c r="G4205" s="1">
        <v>0</v>
      </c>
      <c r="H4205" s="6">
        <f>INT(Query1[[#This Row],[EntryDateTime]])</f>
        <v>44670</v>
      </c>
      <c r="I4205" s="1">
        <f>IF(Query1[[#This Row],[ItemType]]="EVAP KIT SF GEN IV",Query1[[#This Row],[OrderQty]]+I4204,I4204)</f>
        <v>5169</v>
      </c>
      <c r="J4205" s="1">
        <f>IF(Query1[[#This Row],[ItemType]]="EVAP KIT UNIVERSAL",Query1[[#This Row],[OrderQty]]+J4204,J4204)</f>
        <v>1700</v>
      </c>
      <c r="K4205" s="1">
        <f>Query1[[#This Row],[SF Running Total]]+Query1[[#This Row],[UNIV Running Total]]</f>
        <v>6869</v>
      </c>
      <c r="L4205">
        <f>VLOOKUP(Query1[[#This Row],[Description]],'kits to boards'!$B$2:$E$156,2,FALSE)</f>
        <v>830036</v>
      </c>
      <c r="M4205">
        <f>VLOOKUP(Query1[[#This Row],[Description]],'kits to boards'!$B$2:$E$156,3,FALSE)</f>
        <v>830039</v>
      </c>
      <c r="N4205">
        <f>VLOOKUP(Query1[[#This Row],[Description]],'kits to boards'!$B$2:$E$156,4,FALSE)</f>
        <v>0</v>
      </c>
      <c r="O4205" t="str">
        <f>CONCATENATE(Query1[[#This Row],[Description]]," - ",Query1[[#This Row],[MB1]]," - ",Query1[[#This Row],[MB2]]," - ",Query1[[#This Row],[MB3]])</f>
        <v>EVAP KIT 63-66 VETTE WO AC - 830036 - 830039 - 0</v>
      </c>
    </row>
    <row r="4206" spans="1:15" x14ac:dyDescent="0.25">
      <c r="A4206" s="1">
        <v>920367</v>
      </c>
      <c r="B4206" s="1" t="s">
        <v>140</v>
      </c>
      <c r="C4206" s="1" t="s">
        <v>141</v>
      </c>
      <c r="D4206" s="2">
        <v>44670.706738692126</v>
      </c>
      <c r="E4206" s="1" t="s">
        <v>8</v>
      </c>
      <c r="F4206" s="1">
        <v>1</v>
      </c>
      <c r="G4206" s="1">
        <v>0</v>
      </c>
      <c r="H4206" s="6">
        <f>INT(Query1[[#This Row],[EntryDateTime]])</f>
        <v>44670</v>
      </c>
      <c r="I4206" s="1">
        <f>IF(Query1[[#This Row],[ItemType]]="EVAP KIT SF GEN IV",Query1[[#This Row],[OrderQty]]+I4205,I4205)</f>
        <v>5170</v>
      </c>
      <c r="J4206" s="1">
        <f>IF(Query1[[#This Row],[ItemType]]="EVAP KIT UNIVERSAL",Query1[[#This Row],[OrderQty]]+J4205,J4205)</f>
        <v>1700</v>
      </c>
      <c r="K4206" s="1">
        <f>Query1[[#This Row],[SF Running Total]]+Query1[[#This Row],[UNIV Running Total]]</f>
        <v>6870</v>
      </c>
      <c r="L4206">
        <f>VLOOKUP(Query1[[#This Row],[Description]],'kits to boards'!$B$2:$E$156,2,FALSE)</f>
        <v>830066</v>
      </c>
      <c r="M4206">
        <f>VLOOKUP(Query1[[#This Row],[Description]],'kits to boards'!$B$2:$E$156,3,FALSE)</f>
        <v>0</v>
      </c>
      <c r="N4206">
        <f>VLOOKUP(Query1[[#This Row],[Description]],'kits to boards'!$B$2:$E$156,4,FALSE)</f>
        <v>0</v>
      </c>
      <c r="O4206" t="str">
        <f>CONCATENATE(Query1[[#This Row],[Description]]," - ",Query1[[#This Row],[MB1]]," - ",Query1[[#This Row],[MB2]]," - ",Query1[[#This Row],[MB3]])</f>
        <v>EVAP KIT 60-63 CHEV P-UP WO AC - 830066 - 0 - 0</v>
      </c>
    </row>
    <row r="4207" spans="1:15" x14ac:dyDescent="0.25">
      <c r="A4207" s="1">
        <v>920368</v>
      </c>
      <c r="B4207" s="1" t="s">
        <v>188</v>
      </c>
      <c r="C4207" s="1" t="s">
        <v>189</v>
      </c>
      <c r="D4207" s="2">
        <v>44670.707119247687</v>
      </c>
      <c r="E4207" s="1" t="s">
        <v>11</v>
      </c>
      <c r="F4207" s="1">
        <v>1</v>
      </c>
      <c r="G4207" s="1">
        <v>0</v>
      </c>
      <c r="H4207" s="6">
        <f>INT(Query1[[#This Row],[EntryDateTime]])</f>
        <v>44670</v>
      </c>
      <c r="I4207" s="1">
        <f>IF(Query1[[#This Row],[ItemType]]="EVAP KIT SF GEN IV",Query1[[#This Row],[OrderQty]]+I4206,I4206)</f>
        <v>5170</v>
      </c>
      <c r="J4207" s="1">
        <f>IF(Query1[[#This Row],[ItemType]]="EVAP KIT UNIVERSAL",Query1[[#This Row],[OrderQty]]+J4206,J4206)</f>
        <v>1701</v>
      </c>
      <c r="K4207" s="1">
        <f>Query1[[#This Row],[SF Running Total]]+Query1[[#This Row],[UNIV Running Total]]</f>
        <v>6871</v>
      </c>
      <c r="L4207">
        <f>VLOOKUP(Query1[[#This Row],[Description]],'kits to boards'!$B$2:$E$156,2,FALSE)</f>
        <v>830069</v>
      </c>
      <c r="M4207">
        <f>VLOOKUP(Query1[[#This Row],[Description]],'kits to boards'!$B$2:$E$156,3,FALSE)</f>
        <v>0</v>
      </c>
      <c r="N4207">
        <f>VLOOKUP(Query1[[#This Row],[Description]],'kits to boards'!$B$2:$E$156,4,FALSE)</f>
        <v>0</v>
      </c>
      <c r="O4207" t="str">
        <f>CONCATENATE(Query1[[#This Row],[Description]]," - ",Query1[[#This Row],[MB1]]," - ",Query1[[#This Row],[MB2]]," - ",Query1[[#This Row],[MB3]])</f>
        <v>SLIMLINE H/C STD LOUVER - 830069 - 0 - 0</v>
      </c>
    </row>
    <row r="4208" spans="1:15" x14ac:dyDescent="0.25">
      <c r="A4208" s="1">
        <v>920370</v>
      </c>
      <c r="B4208" s="1" t="s">
        <v>18</v>
      </c>
      <c r="C4208" s="1" t="s">
        <v>19</v>
      </c>
      <c r="D4208" s="2">
        <v>44670.709893252315</v>
      </c>
      <c r="E4208" s="1" t="s">
        <v>8</v>
      </c>
      <c r="F4208" s="1">
        <v>1</v>
      </c>
      <c r="G4208" s="1">
        <v>0</v>
      </c>
      <c r="H4208" s="6">
        <f>INT(Query1[[#This Row],[EntryDateTime]])</f>
        <v>44670</v>
      </c>
      <c r="I4208" s="1">
        <f>IF(Query1[[#This Row],[ItemType]]="EVAP KIT SF GEN IV",Query1[[#This Row],[OrderQty]]+I4207,I4207)</f>
        <v>5171</v>
      </c>
      <c r="J4208" s="1">
        <f>IF(Query1[[#This Row],[ItemType]]="EVAP KIT UNIVERSAL",Query1[[#This Row],[OrderQty]]+J4207,J4207)</f>
        <v>1701</v>
      </c>
      <c r="K4208" s="1">
        <f>Query1[[#This Row],[SF Running Total]]+Query1[[#This Row],[UNIV Running Total]]</f>
        <v>6872</v>
      </c>
      <c r="L4208">
        <f>VLOOKUP(Query1[[#This Row],[Description]],'kits to boards'!$B$2:$E$156,2,FALSE)</f>
        <v>830051</v>
      </c>
      <c r="M4208">
        <f>VLOOKUP(Query1[[#This Row],[Description]],'kits to boards'!$B$2:$E$156,3,FALSE)</f>
        <v>0</v>
      </c>
      <c r="N4208">
        <f>VLOOKUP(Query1[[#This Row],[Description]],'kits to boards'!$B$2:$E$156,4,FALSE)</f>
        <v>0</v>
      </c>
      <c r="O4208" t="str">
        <f>CONCATENATE(Query1[[#This Row],[Description]]," - ",Query1[[#This Row],[MB1]]," - ",Query1[[#This Row],[MB2]]," - ",Query1[[#This Row],[MB3]])</f>
        <v>EVAP KIT 70-78 CAMARO W/AC - 830051 - 0 - 0</v>
      </c>
    </row>
    <row r="4209" spans="1:15" x14ac:dyDescent="0.25">
      <c r="A4209" s="1">
        <v>920373</v>
      </c>
      <c r="B4209" s="1" t="s">
        <v>106</v>
      </c>
      <c r="C4209" s="1" t="s">
        <v>253</v>
      </c>
      <c r="D4209" s="2">
        <v>44671.310967280093</v>
      </c>
      <c r="E4209" s="1" t="s">
        <v>8</v>
      </c>
      <c r="F4209" s="1">
        <v>1</v>
      </c>
      <c r="G4209" s="1">
        <v>0</v>
      </c>
      <c r="H4209" s="6">
        <f>INT(Query1[[#This Row],[EntryDateTime]])</f>
        <v>44671</v>
      </c>
      <c r="I4209" s="1">
        <f>IF(Query1[[#This Row],[ItemType]]="EVAP KIT SF GEN IV",Query1[[#This Row],[OrderQty]]+I4208,I4208)</f>
        <v>5172</v>
      </c>
      <c r="J4209" s="1">
        <f>IF(Query1[[#This Row],[ItemType]]="EVAP KIT UNIVERSAL",Query1[[#This Row],[OrderQty]]+J4208,J4208)</f>
        <v>1701</v>
      </c>
      <c r="K4209" s="1">
        <f>Query1[[#This Row],[SF Running Total]]+Query1[[#This Row],[UNIV Running Total]]</f>
        <v>6873</v>
      </c>
      <c r="L4209">
        <f>VLOOKUP(Query1[[#This Row],[Description]],'kits to boards'!$B$2:$E$156,2,FALSE)</f>
        <v>830028</v>
      </c>
      <c r="M4209">
        <f>VLOOKUP(Query1[[#This Row],[Description]],'kits to boards'!$B$2:$E$156,3,FALSE)</f>
        <v>0</v>
      </c>
      <c r="N4209">
        <f>VLOOKUP(Query1[[#This Row],[Description]],'kits to boards'!$B$2:$E$156,4,FALSE)</f>
        <v>0</v>
      </c>
      <c r="O4209" t="str">
        <f>CONCATENATE(Query1[[#This Row],[Description]]," - ",Query1[[#This Row],[MB1]]," - ",Query1[[#This Row],[MB2]]," - ",Query1[[#This Row],[MB3]])</f>
        <v>EVAP KIT 55-59 CHEV P-UP WO AC W/DELX  - 830028 - 0 - 0</v>
      </c>
    </row>
    <row r="4210" spans="1:15" x14ac:dyDescent="0.25">
      <c r="A4210" s="1">
        <v>919876</v>
      </c>
      <c r="B4210" s="1" t="s">
        <v>52</v>
      </c>
      <c r="C4210" s="1" t="s">
        <v>53</v>
      </c>
      <c r="D4210" s="2">
        <v>44671.321124884256</v>
      </c>
      <c r="E4210" s="1" t="s">
        <v>8</v>
      </c>
      <c r="F4210" s="1">
        <v>1</v>
      </c>
      <c r="G4210" s="1">
        <v>0</v>
      </c>
      <c r="H4210" s="6">
        <f>INT(Query1[[#This Row],[EntryDateTime]])</f>
        <v>44671</v>
      </c>
      <c r="I4210" s="1">
        <f>IF(Query1[[#This Row],[ItemType]]="EVAP KIT SF GEN IV",Query1[[#This Row],[OrderQty]]+I4209,I4209)</f>
        <v>5173</v>
      </c>
      <c r="J4210" s="1">
        <f>IF(Query1[[#This Row],[ItemType]]="EVAP KIT UNIVERSAL",Query1[[#This Row],[OrderQty]]+J4209,J4209)</f>
        <v>1701</v>
      </c>
      <c r="K4210" s="1">
        <f>Query1[[#This Row],[SF Running Total]]+Query1[[#This Row],[UNIV Running Total]]</f>
        <v>6874</v>
      </c>
      <c r="L4210">
        <f>VLOOKUP(Query1[[#This Row],[Description]],'kits to boards'!$B$2:$E$156,2,FALSE)</f>
        <v>830017</v>
      </c>
      <c r="M4210">
        <f>VLOOKUP(Query1[[#This Row],[Description]],'kits to boards'!$B$2:$E$156,3,FALSE)</f>
        <v>830119</v>
      </c>
      <c r="N4210">
        <f>VLOOKUP(Query1[[#This Row],[Description]],'kits to boards'!$B$2:$E$156,4,FALSE)</f>
        <v>830120</v>
      </c>
      <c r="O4210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4211" spans="1:15" x14ac:dyDescent="0.25">
      <c r="A4211" s="1">
        <v>920384</v>
      </c>
      <c r="B4211" s="1" t="s">
        <v>182</v>
      </c>
      <c r="C4211" s="1" t="s">
        <v>183</v>
      </c>
      <c r="D4211" s="2">
        <v>44671.337015196761</v>
      </c>
      <c r="E4211" s="1" t="s">
        <v>8</v>
      </c>
      <c r="F4211" s="1">
        <v>1</v>
      </c>
      <c r="G4211" s="1">
        <v>0</v>
      </c>
      <c r="H4211" s="6">
        <f>INT(Query1[[#This Row],[EntryDateTime]])</f>
        <v>44671</v>
      </c>
      <c r="I4211" s="1">
        <f>IF(Query1[[#This Row],[ItemType]]="EVAP KIT SF GEN IV",Query1[[#This Row],[OrderQty]]+I4210,I4210)</f>
        <v>5174</v>
      </c>
      <c r="J4211" s="1">
        <f>IF(Query1[[#This Row],[ItemType]]="EVAP KIT UNIVERSAL",Query1[[#This Row],[OrderQty]]+J4210,J4210)</f>
        <v>1701</v>
      </c>
      <c r="K4211" s="1">
        <f>Query1[[#This Row],[SF Running Total]]+Query1[[#This Row],[UNIV Running Total]]</f>
        <v>6875</v>
      </c>
      <c r="L4211">
        <f>VLOOKUP(Query1[[#This Row],[Description]],'kits to boards'!$B$2:$E$156,2,FALSE)</f>
        <v>830075</v>
      </c>
      <c r="M4211">
        <f>VLOOKUP(Query1[[#This Row],[Description]],'kits to boards'!$B$2:$E$156,3,FALSE)</f>
        <v>0</v>
      </c>
      <c r="N4211">
        <f>VLOOKUP(Query1[[#This Row],[Description]],'kits to boards'!$B$2:$E$156,4,FALSE)</f>
        <v>0</v>
      </c>
      <c r="O4211" t="str">
        <f>CONCATENATE(Query1[[#This Row],[Description]]," - ",Query1[[#This Row],[MB1]]," - ",Query1[[#This Row],[MB2]]," - ",Query1[[#This Row],[MB3]])</f>
        <v>EVAP KIT 69-70 MOPAR B BODY WO AC - 830075 - 0 - 0</v>
      </c>
    </row>
    <row r="4212" spans="1:15" x14ac:dyDescent="0.25">
      <c r="A4212" s="1">
        <v>920389</v>
      </c>
      <c r="B4212" s="1" t="s">
        <v>98</v>
      </c>
      <c r="C4212" s="1" t="s">
        <v>99</v>
      </c>
      <c r="D4212" s="2">
        <v>44671.351566053243</v>
      </c>
      <c r="E4212" s="1" t="s">
        <v>11</v>
      </c>
      <c r="F4212" s="1">
        <v>1</v>
      </c>
      <c r="G4212" s="1">
        <v>0</v>
      </c>
      <c r="H4212" s="6">
        <f>INT(Query1[[#This Row],[EntryDateTime]])</f>
        <v>44671</v>
      </c>
      <c r="I4212" s="1">
        <f>IF(Query1[[#This Row],[ItemType]]="EVAP KIT SF GEN IV",Query1[[#This Row],[OrderQty]]+I4211,I4211)</f>
        <v>5174</v>
      </c>
      <c r="J4212" s="1">
        <f>IF(Query1[[#This Row],[ItemType]]="EVAP KIT UNIVERSAL",Query1[[#This Row],[OrderQty]]+J4211,J4211)</f>
        <v>1702</v>
      </c>
      <c r="K4212" s="1">
        <f>Query1[[#This Row],[SF Running Total]]+Query1[[#This Row],[UNIV Running Total]]</f>
        <v>6876</v>
      </c>
      <c r="L4212">
        <f>VLOOKUP(Query1[[#This Row],[Description]],'kits to boards'!$B$2:$E$156,2,FALSE)</f>
        <v>830099</v>
      </c>
      <c r="M4212">
        <f>VLOOKUP(Query1[[#This Row],[Description]],'kits to boards'!$B$2:$E$156,3,FALSE)</f>
        <v>0</v>
      </c>
      <c r="N4212">
        <f>VLOOKUP(Query1[[#This Row],[Description]],'kits to boards'!$B$2:$E$156,4,FALSE)</f>
        <v>0</v>
      </c>
      <c r="O4212" t="str">
        <f>CONCATENATE(Query1[[#This Row],[Description]]," - ",Query1[[#This Row],[MB1]]," - ",Query1[[#This Row],[MB2]]," - ",Query1[[#This Row],[MB3]])</f>
        <v>MINI GEN II W/DEF - 830099 - 0 - 0</v>
      </c>
    </row>
    <row r="4213" spans="1:15" x14ac:dyDescent="0.25">
      <c r="A4213" s="1">
        <v>920337</v>
      </c>
      <c r="B4213" s="1" t="s">
        <v>265</v>
      </c>
      <c r="C4213" s="1" t="s">
        <v>266</v>
      </c>
      <c r="D4213" s="2">
        <v>44671.369182638889</v>
      </c>
      <c r="E4213" s="1" t="s">
        <v>11</v>
      </c>
      <c r="F4213" s="1">
        <v>1</v>
      </c>
      <c r="G4213" s="1">
        <v>0</v>
      </c>
      <c r="H4213" s="6">
        <f>INT(Query1[[#This Row],[EntryDateTime]])</f>
        <v>44671</v>
      </c>
      <c r="I4213" s="1">
        <f>IF(Query1[[#This Row],[ItemType]]="EVAP KIT SF GEN IV",Query1[[#This Row],[OrderQty]]+I4212,I4212)</f>
        <v>5174</v>
      </c>
      <c r="J4213" s="1">
        <f>IF(Query1[[#This Row],[ItemType]]="EVAP KIT UNIVERSAL",Query1[[#This Row],[OrderQty]]+J4212,J4212)</f>
        <v>1703</v>
      </c>
      <c r="K4213" s="1">
        <f>Query1[[#This Row],[SF Running Total]]+Query1[[#This Row],[UNIV Running Total]]</f>
        <v>6877</v>
      </c>
      <c r="L4213">
        <f>VLOOKUP(Query1[[#This Row],[Description]],'kits to boards'!$B$2:$E$156,2,FALSE)</f>
        <v>830045</v>
      </c>
      <c r="M4213">
        <f>VLOOKUP(Query1[[#This Row],[Description]],'kits to boards'!$B$2:$E$156,3,FALSE)</f>
        <v>0</v>
      </c>
      <c r="N4213">
        <f>VLOOKUP(Query1[[#This Row],[Description]],'kits to boards'!$B$2:$E$156,4,FALSE)</f>
        <v>0</v>
      </c>
      <c r="O4213" t="str">
        <f>CONCATENATE(Query1[[#This Row],[Description]]," - ",Query1[[#This Row],[MB1]]," - ",Query1[[#This Row],[MB2]]," - ",Query1[[#This Row],[MB3]])</f>
        <v>MINI SLIMLINE H/C STD LOUVER - 830045 - 0 - 0</v>
      </c>
    </row>
    <row r="4214" spans="1:15" x14ac:dyDescent="0.25">
      <c r="A4214" s="1">
        <v>920396</v>
      </c>
      <c r="B4214" s="1" t="s">
        <v>48</v>
      </c>
      <c r="C4214" s="1" t="s">
        <v>49</v>
      </c>
      <c r="D4214" s="2">
        <v>44671.386312118055</v>
      </c>
      <c r="E4214" s="1" t="s">
        <v>8</v>
      </c>
      <c r="F4214" s="1">
        <v>1</v>
      </c>
      <c r="G4214" s="1">
        <v>0</v>
      </c>
      <c r="H4214" s="6">
        <f>INT(Query1[[#This Row],[EntryDateTime]])</f>
        <v>44671</v>
      </c>
      <c r="I4214" s="1">
        <f>IF(Query1[[#This Row],[ItemType]]="EVAP KIT SF GEN IV",Query1[[#This Row],[OrderQty]]+I4213,I4213)</f>
        <v>5175</v>
      </c>
      <c r="J4214" s="1">
        <f>IF(Query1[[#This Row],[ItemType]]="EVAP KIT UNIVERSAL",Query1[[#This Row],[OrderQty]]+J4213,J4213)</f>
        <v>1703</v>
      </c>
      <c r="K4214" s="1">
        <f>Query1[[#This Row],[SF Running Total]]+Query1[[#This Row],[UNIV Running Total]]</f>
        <v>6878</v>
      </c>
      <c r="L4214">
        <f>VLOOKUP(Query1[[#This Row],[Description]],'kits to boards'!$B$2:$E$156,2,FALSE)</f>
        <v>830015</v>
      </c>
      <c r="M4214">
        <f>VLOOKUP(Query1[[#This Row],[Description]],'kits to boards'!$B$2:$E$156,3,FALSE)</f>
        <v>0</v>
      </c>
      <c r="N4214">
        <f>VLOOKUP(Query1[[#This Row],[Description]],'kits to boards'!$B$2:$E$156,4,FALSE)</f>
        <v>0</v>
      </c>
      <c r="O4214" t="str">
        <f>CONCATENATE(Query1[[#This Row],[Description]]," - ",Query1[[#This Row],[MB1]]," - ",Query1[[#This Row],[MB2]]," - ",Query1[[#This Row],[MB3]])</f>
        <v>EVAP KIT 64-66 CHEV P-UP WO AC W/DELX - 830015 - 0 - 0</v>
      </c>
    </row>
    <row r="4215" spans="1:15" x14ac:dyDescent="0.25">
      <c r="A4215" s="1">
        <v>920399</v>
      </c>
      <c r="B4215" s="1" t="s">
        <v>90</v>
      </c>
      <c r="C4215" s="1" t="s">
        <v>91</v>
      </c>
      <c r="D4215" s="2">
        <v>44671.391988622687</v>
      </c>
      <c r="E4215" s="1" t="s">
        <v>8</v>
      </c>
      <c r="F4215" s="1">
        <v>1</v>
      </c>
      <c r="G4215" s="1">
        <v>0</v>
      </c>
      <c r="H4215" s="6">
        <f>INT(Query1[[#This Row],[EntryDateTime]])</f>
        <v>44671</v>
      </c>
      <c r="I4215" s="1">
        <f>IF(Query1[[#This Row],[ItemType]]="EVAP KIT SF GEN IV",Query1[[#This Row],[OrderQty]]+I4214,I4214)</f>
        <v>5176</v>
      </c>
      <c r="J4215" s="1">
        <f>IF(Query1[[#This Row],[ItemType]]="EVAP KIT UNIVERSAL",Query1[[#This Row],[OrderQty]]+J4214,J4214)</f>
        <v>1703</v>
      </c>
      <c r="K4215" s="1">
        <f>Query1[[#This Row],[SF Running Total]]+Query1[[#This Row],[UNIV Running Total]]</f>
        <v>6879</v>
      </c>
      <c r="L4215">
        <f>VLOOKUP(Query1[[#This Row],[Description]],'kits to boards'!$B$2:$E$156,2,FALSE)</f>
        <v>830105</v>
      </c>
      <c r="M4215">
        <f>VLOOKUP(Query1[[#This Row],[Description]],'kits to boards'!$B$2:$E$156,3,FALSE)</f>
        <v>830106</v>
      </c>
      <c r="N4215">
        <f>VLOOKUP(Query1[[#This Row],[Description]],'kits to boards'!$B$2:$E$156,4,FALSE)</f>
        <v>0</v>
      </c>
      <c r="O4215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4216" spans="1:15" x14ac:dyDescent="0.25">
      <c r="A4216" s="1">
        <v>920403</v>
      </c>
      <c r="B4216" s="1" t="s">
        <v>128</v>
      </c>
      <c r="C4216" s="1" t="s">
        <v>129</v>
      </c>
      <c r="D4216" s="2">
        <v>44671.403242743057</v>
      </c>
      <c r="E4216" s="1" t="s">
        <v>8</v>
      </c>
      <c r="F4216" s="1">
        <v>1</v>
      </c>
      <c r="G4216" s="1">
        <v>0</v>
      </c>
      <c r="H4216" s="6">
        <f>INT(Query1[[#This Row],[EntryDateTime]])</f>
        <v>44671</v>
      </c>
      <c r="I4216" s="1">
        <f>IF(Query1[[#This Row],[ItemType]]="EVAP KIT SF GEN IV",Query1[[#This Row],[OrderQty]]+I4215,I4215)</f>
        <v>5177</v>
      </c>
      <c r="J4216" s="1">
        <f>IF(Query1[[#This Row],[ItemType]]="EVAP KIT UNIVERSAL",Query1[[#This Row],[OrderQty]]+J4215,J4215)</f>
        <v>1703</v>
      </c>
      <c r="K4216" s="1">
        <f>Query1[[#This Row],[SF Running Total]]+Query1[[#This Row],[UNIV Running Total]]</f>
        <v>6880</v>
      </c>
      <c r="L4216">
        <f>VLOOKUP(Query1[[#This Row],[Description]],'kits to boards'!$B$2:$E$156,2,FALSE)</f>
        <v>830036</v>
      </c>
      <c r="M4216">
        <f>VLOOKUP(Query1[[#This Row],[Description]],'kits to boards'!$B$2:$E$156,3,FALSE)</f>
        <v>830039</v>
      </c>
      <c r="N4216">
        <f>VLOOKUP(Query1[[#This Row],[Description]],'kits to boards'!$B$2:$E$156,4,FALSE)</f>
        <v>0</v>
      </c>
      <c r="O4216" t="str">
        <f>CONCATENATE(Query1[[#This Row],[Description]]," - ",Query1[[#This Row],[MB1]]," - ",Query1[[#This Row],[MB2]]," - ",Query1[[#This Row],[MB3]])</f>
        <v>EVAP KIT 63-66 VETTE WO AC - 830036 - 830039 - 0</v>
      </c>
    </row>
    <row r="4217" spans="1:15" x14ac:dyDescent="0.25">
      <c r="A4217" s="1">
        <v>920404</v>
      </c>
      <c r="B4217" s="1" t="s">
        <v>194</v>
      </c>
      <c r="C4217" s="1" t="s">
        <v>195</v>
      </c>
      <c r="D4217" s="2">
        <v>44671.403455057873</v>
      </c>
      <c r="E4217" s="1" t="s">
        <v>8</v>
      </c>
      <c r="F4217" s="1">
        <v>1</v>
      </c>
      <c r="G4217" s="1">
        <v>0</v>
      </c>
      <c r="H4217" s="6">
        <f>INT(Query1[[#This Row],[EntryDateTime]])</f>
        <v>44671</v>
      </c>
      <c r="I4217" s="1">
        <f>IF(Query1[[#This Row],[ItemType]]="EVAP KIT SF GEN IV",Query1[[#This Row],[OrderQty]]+I4216,I4216)</f>
        <v>5178</v>
      </c>
      <c r="J4217" s="1">
        <f>IF(Query1[[#This Row],[ItemType]]="EVAP KIT UNIVERSAL",Query1[[#This Row],[OrderQty]]+J4216,J4216)</f>
        <v>1703</v>
      </c>
      <c r="K4217" s="1">
        <f>Query1[[#This Row],[SF Running Total]]+Query1[[#This Row],[UNIV Running Total]]</f>
        <v>6881</v>
      </c>
      <c r="L4217">
        <f>VLOOKUP(Query1[[#This Row],[Description]],'kits to boards'!$B$2:$E$156,2,FALSE)</f>
        <v>830103</v>
      </c>
      <c r="M4217">
        <f>VLOOKUP(Query1[[#This Row],[Description]],'kits to boards'!$B$2:$E$156,3,FALSE)</f>
        <v>0</v>
      </c>
      <c r="N4217">
        <f>VLOOKUP(Query1[[#This Row],[Description]],'kits to boards'!$B$2:$E$156,4,FALSE)</f>
        <v>0</v>
      </c>
      <c r="O4217" t="str">
        <f>CONCATENATE(Query1[[#This Row],[Description]]," - ",Query1[[#This Row],[MB1]]," - ",Query1[[#This Row],[MB2]]," - ",Query1[[#This Row],[MB3]])</f>
        <v>EVAP KIT 78-82 VETTE W/AC - 830103 - 0 - 0</v>
      </c>
    </row>
    <row r="4218" spans="1:15" x14ac:dyDescent="0.25">
      <c r="A4218" s="1">
        <v>920406</v>
      </c>
      <c r="B4218" s="1" t="s">
        <v>104</v>
      </c>
      <c r="C4218" s="1" t="s">
        <v>105</v>
      </c>
      <c r="D4218" s="2">
        <v>44671.409127743056</v>
      </c>
      <c r="E4218" s="1" t="s">
        <v>11</v>
      </c>
      <c r="F4218" s="1">
        <v>15</v>
      </c>
      <c r="G4218" s="1">
        <v>0</v>
      </c>
      <c r="H4218" s="6">
        <f>INT(Query1[[#This Row],[EntryDateTime]])</f>
        <v>44671</v>
      </c>
      <c r="I4218" s="1">
        <f>IF(Query1[[#This Row],[ItemType]]="EVAP KIT SF GEN IV",Query1[[#This Row],[OrderQty]]+I4217,I4217)</f>
        <v>5178</v>
      </c>
      <c r="J4218" s="1">
        <f>IF(Query1[[#This Row],[ItemType]]="EVAP KIT UNIVERSAL",Query1[[#This Row],[OrderQty]]+J4217,J4217)</f>
        <v>1718</v>
      </c>
      <c r="K4218" s="1">
        <f>Query1[[#This Row],[SF Running Total]]+Query1[[#This Row],[UNIV Running Total]]</f>
        <v>6896</v>
      </c>
      <c r="L4218">
        <f>VLOOKUP(Query1[[#This Row],[Description]],'kits to boards'!$B$2:$E$156,2,FALSE)</f>
        <v>0</v>
      </c>
      <c r="M4218">
        <f>VLOOKUP(Query1[[#This Row],[Description]],'kits to boards'!$B$2:$E$156,3,FALSE)</f>
        <v>0</v>
      </c>
      <c r="N4218">
        <f>VLOOKUP(Query1[[#This Row],[Description]],'kits to boards'!$B$2:$E$156,4,FALSE)</f>
        <v>0</v>
      </c>
      <c r="O4218" t="str">
        <f>CONCATENATE(Query1[[#This Row],[Description]]," - ",Query1[[#This Row],[MB1]]," - ",Query1[[#This Row],[MB2]]," - ",Query1[[#This Row],[MB3]])</f>
        <v>HERITAGE BRUSHED EVAP KIT HEAT/COOL - 0 - 0 - 0</v>
      </c>
    </row>
    <row r="4219" spans="1:15" x14ac:dyDescent="0.25">
      <c r="A4219" s="1">
        <v>920406</v>
      </c>
      <c r="B4219" s="1" t="s">
        <v>220</v>
      </c>
      <c r="C4219" s="1" t="s">
        <v>221</v>
      </c>
      <c r="D4219" s="2">
        <v>44671.409298645834</v>
      </c>
      <c r="E4219" s="1" t="s">
        <v>11</v>
      </c>
      <c r="F4219" s="1">
        <v>8</v>
      </c>
      <c r="G4219" s="1">
        <v>0</v>
      </c>
      <c r="H4219" s="6">
        <f>INT(Query1[[#This Row],[EntryDateTime]])</f>
        <v>44671</v>
      </c>
      <c r="I4219" s="1">
        <f>IF(Query1[[#This Row],[ItemType]]="EVAP KIT SF GEN IV",Query1[[#This Row],[OrderQty]]+I4218,I4218)</f>
        <v>5178</v>
      </c>
      <c r="J4219" s="1">
        <f>IF(Query1[[#This Row],[ItemType]]="EVAP KIT UNIVERSAL",Query1[[#This Row],[OrderQty]]+J4218,J4218)</f>
        <v>1726</v>
      </c>
      <c r="K4219" s="1">
        <f>Query1[[#This Row],[SF Running Total]]+Query1[[#This Row],[UNIV Running Total]]</f>
        <v>6904</v>
      </c>
      <c r="L4219">
        <f>VLOOKUP(Query1[[#This Row],[Description]],'kits to boards'!$B$2:$E$156,2,FALSE)</f>
        <v>0</v>
      </c>
      <c r="M4219">
        <f>VLOOKUP(Query1[[#This Row],[Description]],'kits to boards'!$B$2:$E$156,3,FALSE)</f>
        <v>0</v>
      </c>
      <c r="N4219">
        <f>VLOOKUP(Query1[[#This Row],[Description]],'kits to boards'!$B$2:$E$156,4,FALSE)</f>
        <v>0</v>
      </c>
      <c r="O4219" t="str">
        <f>CONCATENATE(Query1[[#This Row],[Description]]," - ",Query1[[#This Row],[MB1]]," - ",Query1[[#This Row],[MB2]]," - ",Query1[[#This Row],[MB3]])</f>
        <v>HERITAGE PEARL EVAP KIT HEAT/COOL - 0 - 0 - 0</v>
      </c>
    </row>
    <row r="4220" spans="1:15" x14ac:dyDescent="0.25">
      <c r="A4220" s="1">
        <v>920406</v>
      </c>
      <c r="B4220" s="1" t="s">
        <v>40</v>
      </c>
      <c r="C4220" s="1" t="s">
        <v>41</v>
      </c>
      <c r="D4220" s="2">
        <v>44671.410258483796</v>
      </c>
      <c r="E4220" s="1" t="s">
        <v>8</v>
      </c>
      <c r="F4220" s="1">
        <v>5</v>
      </c>
      <c r="G4220" s="1">
        <v>0</v>
      </c>
      <c r="H4220" s="6">
        <f>INT(Query1[[#This Row],[EntryDateTime]])</f>
        <v>44671</v>
      </c>
      <c r="I4220" s="1">
        <f>IF(Query1[[#This Row],[ItemType]]="EVAP KIT SF GEN IV",Query1[[#This Row],[OrderQty]]+I4219,I4219)</f>
        <v>5183</v>
      </c>
      <c r="J4220" s="1">
        <f>IF(Query1[[#This Row],[ItemType]]="EVAP KIT UNIVERSAL",Query1[[#This Row],[OrderQty]]+J4219,J4219)</f>
        <v>1726</v>
      </c>
      <c r="K4220" s="1">
        <f>Query1[[#This Row],[SF Running Total]]+Query1[[#This Row],[UNIV Running Total]]</f>
        <v>6909</v>
      </c>
      <c r="L4220">
        <f>VLOOKUP(Query1[[#This Row],[Description]],'kits to boards'!$B$2:$E$156,2,FALSE)</f>
        <v>830024</v>
      </c>
      <c r="M4220">
        <f>VLOOKUP(Query1[[#This Row],[Description]],'kits to boards'!$B$2:$E$156,3,FALSE)</f>
        <v>0</v>
      </c>
      <c r="N4220">
        <f>VLOOKUP(Query1[[#This Row],[Description]],'kits to boards'!$B$2:$E$156,4,FALSE)</f>
        <v>0</v>
      </c>
      <c r="O4220" t="str">
        <f>CONCATENATE(Query1[[#This Row],[Description]]," - ",Query1[[#This Row],[MB1]]," - ",Query1[[#This Row],[MB2]]," - ",Query1[[#This Row],[MB3]])</f>
        <v>EVAP KIT 79-81 CAMARO W/AC - 830024 - 0 - 0</v>
      </c>
    </row>
    <row r="4221" spans="1:15" x14ac:dyDescent="0.25">
      <c r="A4221" s="1">
        <v>920406</v>
      </c>
      <c r="B4221" s="1" t="s">
        <v>24</v>
      </c>
      <c r="C4221" s="1" t="s">
        <v>25</v>
      </c>
      <c r="D4221" s="2">
        <v>44671.410484259257</v>
      </c>
      <c r="E4221" s="1" t="s">
        <v>11</v>
      </c>
      <c r="F4221" s="1">
        <v>5</v>
      </c>
      <c r="G4221" s="1">
        <v>0</v>
      </c>
      <c r="H4221" s="6">
        <f>INT(Query1[[#This Row],[EntryDateTime]])</f>
        <v>44671</v>
      </c>
      <c r="I4221" s="1">
        <f>IF(Query1[[#This Row],[ItemType]]="EVAP KIT SF GEN IV",Query1[[#This Row],[OrderQty]]+I4220,I4220)</f>
        <v>5183</v>
      </c>
      <c r="J4221" s="1">
        <f>IF(Query1[[#This Row],[ItemType]]="EVAP KIT UNIVERSAL",Query1[[#This Row],[OrderQty]]+J4220,J4220)</f>
        <v>1731</v>
      </c>
      <c r="K4221" s="1">
        <f>Query1[[#This Row],[SF Running Total]]+Query1[[#This Row],[UNIV Running Total]]</f>
        <v>6914</v>
      </c>
      <c r="L4221">
        <f>VLOOKUP(Query1[[#This Row],[Description]],'kits to boards'!$B$2:$E$156,2,FALSE)</f>
        <v>830029</v>
      </c>
      <c r="M4221">
        <f>VLOOKUP(Query1[[#This Row],[Description]],'kits to boards'!$B$2:$E$156,3,FALSE)</f>
        <v>830030</v>
      </c>
      <c r="N4221">
        <f>VLOOKUP(Query1[[#This Row],[Description]],'kits to boards'!$B$2:$E$156,4,FALSE)</f>
        <v>0</v>
      </c>
      <c r="O4221" t="str">
        <f>CONCATENATE(Query1[[#This Row],[Description]]," - ",Query1[[#This Row],[MB1]]," - ",Query1[[#This Row],[MB2]]," - ",Query1[[#This Row],[MB3]])</f>
        <v>ComPac GEN II W/DEF - 830029 - 830030 - 0</v>
      </c>
    </row>
    <row r="4222" spans="1:15" x14ac:dyDescent="0.25">
      <c r="A4222" s="1">
        <v>920406</v>
      </c>
      <c r="B4222" s="1" t="s">
        <v>98</v>
      </c>
      <c r="C4222" s="1" t="s">
        <v>99</v>
      </c>
      <c r="D4222" s="2">
        <v>44671.410882094904</v>
      </c>
      <c r="E4222" s="1" t="s">
        <v>11</v>
      </c>
      <c r="F4222" s="1">
        <v>10</v>
      </c>
      <c r="G4222" s="1">
        <v>0</v>
      </c>
      <c r="H4222" s="6">
        <f>INT(Query1[[#This Row],[EntryDateTime]])</f>
        <v>44671</v>
      </c>
      <c r="I4222" s="1">
        <f>IF(Query1[[#This Row],[ItemType]]="EVAP KIT SF GEN IV",Query1[[#This Row],[OrderQty]]+I4221,I4221)</f>
        <v>5183</v>
      </c>
      <c r="J4222" s="1">
        <f>IF(Query1[[#This Row],[ItemType]]="EVAP KIT UNIVERSAL",Query1[[#This Row],[OrderQty]]+J4221,J4221)</f>
        <v>1741</v>
      </c>
      <c r="K4222" s="1">
        <f>Query1[[#This Row],[SF Running Total]]+Query1[[#This Row],[UNIV Running Total]]</f>
        <v>6924</v>
      </c>
      <c r="L4222">
        <f>VLOOKUP(Query1[[#This Row],[Description]],'kits to boards'!$B$2:$E$156,2,FALSE)</f>
        <v>830099</v>
      </c>
      <c r="M4222">
        <f>VLOOKUP(Query1[[#This Row],[Description]],'kits to boards'!$B$2:$E$156,3,FALSE)</f>
        <v>0</v>
      </c>
      <c r="N4222">
        <f>VLOOKUP(Query1[[#This Row],[Description]],'kits to boards'!$B$2:$E$156,4,FALSE)</f>
        <v>0</v>
      </c>
      <c r="O4222" t="str">
        <f>CONCATENATE(Query1[[#This Row],[Description]]," - ",Query1[[#This Row],[MB1]]," - ",Query1[[#This Row],[MB2]]," - ",Query1[[#This Row],[MB3]])</f>
        <v>MINI GEN II W/DEF - 830099 - 0 - 0</v>
      </c>
    </row>
    <row r="4223" spans="1:15" x14ac:dyDescent="0.25">
      <c r="A4223" s="1">
        <v>920402</v>
      </c>
      <c r="B4223" s="1" t="s">
        <v>36</v>
      </c>
      <c r="C4223" s="1" t="s">
        <v>37</v>
      </c>
      <c r="D4223" s="2">
        <v>44671.428577465274</v>
      </c>
      <c r="E4223" s="1" t="s">
        <v>8</v>
      </c>
      <c r="F4223" s="1">
        <v>1</v>
      </c>
      <c r="G4223" s="1">
        <v>0</v>
      </c>
      <c r="H4223" s="6">
        <f>INT(Query1[[#This Row],[EntryDateTime]])</f>
        <v>44671</v>
      </c>
      <c r="I4223" s="1">
        <f>IF(Query1[[#This Row],[ItemType]]="EVAP KIT SF GEN IV",Query1[[#This Row],[OrderQty]]+I4222,I4222)</f>
        <v>5184</v>
      </c>
      <c r="J4223" s="1">
        <f>IF(Query1[[#This Row],[ItemType]]="EVAP KIT UNIVERSAL",Query1[[#This Row],[OrderQty]]+J4222,J4222)</f>
        <v>1741</v>
      </c>
      <c r="K4223" s="1">
        <f>Query1[[#This Row],[SF Running Total]]+Query1[[#This Row],[UNIV Running Total]]</f>
        <v>6925</v>
      </c>
      <c r="L4223">
        <f>VLOOKUP(Query1[[#This Row],[Description]],'kits to boards'!$B$2:$E$156,2,FALSE)</f>
        <v>830015</v>
      </c>
      <c r="M4223">
        <f>VLOOKUP(Query1[[#This Row],[Description]],'kits to boards'!$B$2:$E$156,3,FALSE)</f>
        <v>0</v>
      </c>
      <c r="N4223">
        <f>VLOOKUP(Query1[[#This Row],[Description]],'kits to boards'!$B$2:$E$156,4,FALSE)</f>
        <v>0</v>
      </c>
      <c r="O4223" t="str">
        <f>CONCATENATE(Query1[[#This Row],[Description]]," - ",Query1[[#This Row],[MB1]]," - ",Query1[[#This Row],[MB2]]," - ",Query1[[#This Row],[MB3]])</f>
        <v>EVAP KIT 64-66 CHEV P-UP WO AC W/STD - 830015 - 0 - 0</v>
      </c>
    </row>
    <row r="4224" spans="1:15" x14ac:dyDescent="0.25">
      <c r="A4224" s="1">
        <v>919343</v>
      </c>
      <c r="B4224" s="1" t="s">
        <v>96</v>
      </c>
      <c r="C4224" s="1" t="s">
        <v>97</v>
      </c>
      <c r="D4224" s="2">
        <v>44671.430865509261</v>
      </c>
      <c r="E4224" s="1" t="s">
        <v>8</v>
      </c>
      <c r="F4224" s="1">
        <v>1</v>
      </c>
      <c r="G4224" s="1">
        <v>0</v>
      </c>
      <c r="H4224" s="6">
        <f>INT(Query1[[#This Row],[EntryDateTime]])</f>
        <v>44671</v>
      </c>
      <c r="I4224" s="1">
        <f>IF(Query1[[#This Row],[ItemType]]="EVAP KIT SF GEN IV",Query1[[#This Row],[OrderQty]]+I4223,I4223)</f>
        <v>5185</v>
      </c>
      <c r="J4224" s="1">
        <f>IF(Query1[[#This Row],[ItemType]]="EVAP KIT UNIVERSAL",Query1[[#This Row],[OrderQty]]+J4223,J4223)</f>
        <v>1741</v>
      </c>
      <c r="K4224" s="1">
        <f>Query1[[#This Row],[SF Running Total]]+Query1[[#This Row],[UNIV Running Total]]</f>
        <v>6926</v>
      </c>
      <c r="L4224">
        <f>VLOOKUP(Query1[[#This Row],[Description]],'kits to boards'!$B$2:$E$156,2,FALSE)</f>
        <v>830004</v>
      </c>
      <c r="M4224">
        <f>VLOOKUP(Query1[[#This Row],[Description]],'kits to boards'!$B$2:$E$156,3,FALSE)</f>
        <v>0</v>
      </c>
      <c r="N4224">
        <f>VLOOKUP(Query1[[#This Row],[Description]],'kits to boards'!$B$2:$E$156,4,FALSE)</f>
        <v>0</v>
      </c>
      <c r="O4224" t="str">
        <f>CONCATENATE(Query1[[#This Row],[Description]]," - ",Query1[[#This Row],[MB1]]," - ",Query1[[#This Row],[MB2]]," - ",Query1[[#This Row],[MB3]])</f>
        <v>EVAP KIT 81-87 CHEV P-UP W/AC - 830004 - 0 - 0</v>
      </c>
    </row>
    <row r="4225" spans="1:15" x14ac:dyDescent="0.25">
      <c r="A4225" s="1">
        <v>920413</v>
      </c>
      <c r="B4225" s="1" t="s">
        <v>64</v>
      </c>
      <c r="C4225" s="1" t="s">
        <v>65</v>
      </c>
      <c r="D4225" s="2">
        <v>44671.437932638888</v>
      </c>
      <c r="E4225" s="1" t="s">
        <v>8</v>
      </c>
      <c r="F4225" s="1">
        <v>1</v>
      </c>
      <c r="G4225" s="1">
        <v>0</v>
      </c>
      <c r="H4225" s="6">
        <f>INT(Query1[[#This Row],[EntryDateTime]])</f>
        <v>44671</v>
      </c>
      <c r="I4225" s="1">
        <f>IF(Query1[[#This Row],[ItemType]]="EVAP KIT SF GEN IV",Query1[[#This Row],[OrderQty]]+I4224,I4224)</f>
        <v>5186</v>
      </c>
      <c r="J4225" s="1">
        <f>IF(Query1[[#This Row],[ItemType]]="EVAP KIT UNIVERSAL",Query1[[#This Row],[OrderQty]]+J4224,J4224)</f>
        <v>1741</v>
      </c>
      <c r="K4225" s="1">
        <f>Query1[[#This Row],[SF Running Total]]+Query1[[#This Row],[UNIV Running Total]]</f>
        <v>6927</v>
      </c>
      <c r="L4225">
        <f>VLOOKUP(Query1[[#This Row],[Description]],'kits to boards'!$B$2:$E$156,2,FALSE)</f>
        <v>830067</v>
      </c>
      <c r="M4225">
        <f>VLOOKUP(Query1[[#This Row],[Description]],'kits to boards'!$B$2:$E$156,3,FALSE)</f>
        <v>0</v>
      </c>
      <c r="N4225">
        <f>VLOOKUP(Query1[[#This Row],[Description]],'kits to boards'!$B$2:$E$156,4,FALSE)</f>
        <v>0</v>
      </c>
      <c r="O4225" t="str">
        <f>CONCATENATE(Query1[[#This Row],[Description]]," - ",Query1[[#This Row],[MB1]]," - ",Query1[[#This Row],[MB2]]," - ",Query1[[#This Row],[MB3]])</f>
        <v>EVAP KIT 59-60 CHEV CAR 4-LEVER - 830067 - 0 - 0</v>
      </c>
    </row>
    <row r="4226" spans="1:15" x14ac:dyDescent="0.25">
      <c r="A4226" s="1">
        <v>917937</v>
      </c>
      <c r="B4226" s="1" t="s">
        <v>140</v>
      </c>
      <c r="C4226" s="1" t="s">
        <v>141</v>
      </c>
      <c r="D4226" s="2">
        <v>44671.443004513887</v>
      </c>
      <c r="E4226" s="1" t="s">
        <v>8</v>
      </c>
      <c r="F4226" s="1">
        <v>1</v>
      </c>
      <c r="G4226" s="1">
        <v>0</v>
      </c>
      <c r="H4226" s="6">
        <f>INT(Query1[[#This Row],[EntryDateTime]])</f>
        <v>44671</v>
      </c>
      <c r="I4226" s="1">
        <f>IF(Query1[[#This Row],[ItemType]]="EVAP KIT SF GEN IV",Query1[[#This Row],[OrderQty]]+I4225,I4225)</f>
        <v>5187</v>
      </c>
      <c r="J4226" s="1">
        <f>IF(Query1[[#This Row],[ItemType]]="EVAP KIT UNIVERSAL",Query1[[#This Row],[OrderQty]]+J4225,J4225)</f>
        <v>1741</v>
      </c>
      <c r="K4226" s="1">
        <f>Query1[[#This Row],[SF Running Total]]+Query1[[#This Row],[UNIV Running Total]]</f>
        <v>6928</v>
      </c>
      <c r="L4226">
        <f>VLOOKUP(Query1[[#This Row],[Description]],'kits to boards'!$B$2:$E$156,2,FALSE)</f>
        <v>830066</v>
      </c>
      <c r="M4226">
        <f>VLOOKUP(Query1[[#This Row],[Description]],'kits to boards'!$B$2:$E$156,3,FALSE)</f>
        <v>0</v>
      </c>
      <c r="N4226">
        <f>VLOOKUP(Query1[[#This Row],[Description]],'kits to boards'!$B$2:$E$156,4,FALSE)</f>
        <v>0</v>
      </c>
      <c r="O4226" t="str">
        <f>CONCATENATE(Query1[[#This Row],[Description]]," - ",Query1[[#This Row],[MB1]]," - ",Query1[[#This Row],[MB2]]," - ",Query1[[#This Row],[MB3]])</f>
        <v>EVAP KIT 60-63 CHEV P-UP WO AC - 830066 - 0 - 0</v>
      </c>
    </row>
    <row r="4227" spans="1:15" x14ac:dyDescent="0.25">
      <c r="A4227" s="1">
        <v>920405</v>
      </c>
      <c r="B4227" s="1" t="s">
        <v>44</v>
      </c>
      <c r="C4227" s="1" t="s">
        <v>45</v>
      </c>
      <c r="D4227" s="2">
        <v>44671.46402028935</v>
      </c>
      <c r="E4227" s="1" t="s">
        <v>8</v>
      </c>
      <c r="F4227" s="1">
        <v>1</v>
      </c>
      <c r="G4227" s="1">
        <v>0</v>
      </c>
      <c r="H4227" s="6">
        <f>INT(Query1[[#This Row],[EntryDateTime]])</f>
        <v>44671</v>
      </c>
      <c r="I4227" s="1">
        <f>IF(Query1[[#This Row],[ItemType]]="EVAP KIT SF GEN IV",Query1[[#This Row],[OrderQty]]+I4226,I4226)</f>
        <v>5188</v>
      </c>
      <c r="J4227" s="1">
        <f>IF(Query1[[#This Row],[ItemType]]="EVAP KIT UNIVERSAL",Query1[[#This Row],[OrderQty]]+J4226,J4226)</f>
        <v>1741</v>
      </c>
      <c r="K4227" s="1">
        <f>Query1[[#This Row],[SF Running Total]]+Query1[[#This Row],[UNIV Running Total]]</f>
        <v>6929</v>
      </c>
      <c r="L4227">
        <f>VLOOKUP(Query1[[#This Row],[Description]],'kits to boards'!$B$2:$E$156,2,FALSE)</f>
        <v>830085</v>
      </c>
      <c r="M4227">
        <f>VLOOKUP(Query1[[#This Row],[Description]],'kits to boards'!$B$2:$E$156,3,FALSE)</f>
        <v>0</v>
      </c>
      <c r="N4227">
        <f>VLOOKUP(Query1[[#This Row],[Description]],'kits to boards'!$B$2:$E$156,4,FALSE)</f>
        <v>0</v>
      </c>
      <c r="O4227" t="str">
        <f>CONCATENATE(Query1[[#This Row],[Description]]," - ",Query1[[#This Row],[MB1]]," - ",Query1[[#This Row],[MB2]]," - ",Query1[[#This Row],[MB3]])</f>
        <v>EVAP KIT 66-77 BRONCO - 830085 - 0 - 0</v>
      </c>
    </row>
    <row r="4228" spans="1:15" x14ac:dyDescent="0.25">
      <c r="A4228" s="1">
        <v>920438</v>
      </c>
      <c r="B4228" s="1" t="s">
        <v>22</v>
      </c>
      <c r="C4228" s="1" t="s">
        <v>23</v>
      </c>
      <c r="D4228" s="2">
        <v>44671.485386574073</v>
      </c>
      <c r="E4228" s="1" t="s">
        <v>8</v>
      </c>
      <c r="F4228" s="1">
        <v>1</v>
      </c>
      <c r="G4228" s="1">
        <v>0</v>
      </c>
      <c r="H4228" s="6">
        <f>INT(Query1[[#This Row],[EntryDateTime]])</f>
        <v>44671</v>
      </c>
      <c r="I4228" s="1">
        <f>IF(Query1[[#This Row],[ItemType]]="EVAP KIT SF GEN IV",Query1[[#This Row],[OrderQty]]+I4227,I4227)</f>
        <v>5189</v>
      </c>
      <c r="J4228" s="1">
        <f>IF(Query1[[#This Row],[ItemType]]="EVAP KIT UNIVERSAL",Query1[[#This Row],[OrderQty]]+J4227,J4227)</f>
        <v>1741</v>
      </c>
      <c r="K4228" s="1">
        <f>Query1[[#This Row],[SF Running Total]]+Query1[[#This Row],[UNIV Running Total]]</f>
        <v>6930</v>
      </c>
      <c r="L4228">
        <f>VLOOKUP(Query1[[#This Row],[Description]],'kits to boards'!$B$2:$E$156,2,FALSE)</f>
        <v>830083</v>
      </c>
      <c r="M4228">
        <f>VLOOKUP(Query1[[#This Row],[Description]],'kits to boards'!$B$2:$E$156,3,FALSE)</f>
        <v>0</v>
      </c>
      <c r="N4228">
        <f>VLOOKUP(Query1[[#This Row],[Description]],'kits to boards'!$B$2:$E$156,4,FALSE)</f>
        <v>0</v>
      </c>
      <c r="O4228" t="str">
        <f>CONCATENATE(Query1[[#This Row],[Description]]," - ",Query1[[#This Row],[MB1]]," - ",Query1[[#This Row],[MB2]]," - ",Query1[[#This Row],[MB3]])</f>
        <v>GEN IV MAGNUM EVAP KIT - 830083 - 0 - 0</v>
      </c>
    </row>
    <row r="4229" spans="1:15" x14ac:dyDescent="0.25">
      <c r="A4229" s="1">
        <v>920417</v>
      </c>
      <c r="B4229" s="1" t="s">
        <v>52</v>
      </c>
      <c r="C4229" s="1" t="s">
        <v>53</v>
      </c>
      <c r="D4229" s="2">
        <v>44671.49061616898</v>
      </c>
      <c r="E4229" s="1" t="s">
        <v>8</v>
      </c>
      <c r="F4229" s="1">
        <v>1</v>
      </c>
      <c r="G4229" s="1">
        <v>0</v>
      </c>
      <c r="H4229" s="6">
        <f>INT(Query1[[#This Row],[EntryDateTime]])</f>
        <v>44671</v>
      </c>
      <c r="I4229" s="1">
        <f>IF(Query1[[#This Row],[ItemType]]="EVAP KIT SF GEN IV",Query1[[#This Row],[OrderQty]]+I4228,I4228)</f>
        <v>5190</v>
      </c>
      <c r="J4229" s="1">
        <f>IF(Query1[[#This Row],[ItemType]]="EVAP KIT UNIVERSAL",Query1[[#This Row],[OrderQty]]+J4228,J4228)</f>
        <v>1741</v>
      </c>
      <c r="K4229" s="1">
        <f>Query1[[#This Row],[SF Running Total]]+Query1[[#This Row],[UNIV Running Total]]</f>
        <v>6931</v>
      </c>
      <c r="L4229">
        <f>VLOOKUP(Query1[[#This Row],[Description]],'kits to boards'!$B$2:$E$156,2,FALSE)</f>
        <v>830017</v>
      </c>
      <c r="M4229">
        <f>VLOOKUP(Query1[[#This Row],[Description]],'kits to boards'!$B$2:$E$156,3,FALSE)</f>
        <v>830119</v>
      </c>
      <c r="N4229">
        <f>VLOOKUP(Query1[[#This Row],[Description]],'kits to boards'!$B$2:$E$156,4,FALSE)</f>
        <v>830120</v>
      </c>
      <c r="O4229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4230" spans="1:15" x14ac:dyDescent="0.25">
      <c r="A4230" s="1">
        <v>920441</v>
      </c>
      <c r="B4230" s="1" t="s">
        <v>20</v>
      </c>
      <c r="C4230" s="1" t="s">
        <v>21</v>
      </c>
      <c r="D4230" s="2">
        <v>44671.496002812499</v>
      </c>
      <c r="E4230" s="1" t="s">
        <v>11</v>
      </c>
      <c r="F4230" s="1">
        <v>1</v>
      </c>
      <c r="G4230" s="1">
        <v>0</v>
      </c>
      <c r="H4230" s="6">
        <f>INT(Query1[[#This Row],[EntryDateTime]])</f>
        <v>44671</v>
      </c>
      <c r="I4230" s="1">
        <f>IF(Query1[[#This Row],[ItemType]]="EVAP KIT SF GEN IV",Query1[[#This Row],[OrderQty]]+I4229,I4229)</f>
        <v>5190</v>
      </c>
      <c r="J4230" s="1">
        <f>IF(Query1[[#This Row],[ItemType]]="EVAP KIT UNIVERSAL",Query1[[#This Row],[OrderQty]]+J4229,J4229)</f>
        <v>1742</v>
      </c>
      <c r="K4230" s="1">
        <f>Query1[[#This Row],[SF Running Total]]+Query1[[#This Row],[UNIV Running Total]]</f>
        <v>6932</v>
      </c>
      <c r="L4230">
        <f>VLOOKUP(Query1[[#This Row],[Description]],'kits to boards'!$B$2:$E$156,2,FALSE)</f>
        <v>830102</v>
      </c>
      <c r="M4230">
        <f>VLOOKUP(Query1[[#This Row],[Description]],'kits to boards'!$B$2:$E$156,3,FALSE)</f>
        <v>0</v>
      </c>
      <c r="N4230">
        <f>VLOOKUP(Query1[[#This Row],[Description]],'kits to boards'!$B$2:$E$156,4,FALSE)</f>
        <v>0</v>
      </c>
      <c r="O4230" t="str">
        <f>CONCATENATE(Query1[[#This Row],[Description]]," - ",Query1[[#This Row],[MB1]]," - ",Query1[[#This Row],[MB2]]," - ",Query1[[#This Row],[MB3]])</f>
        <v>SUPER GEN II W/DEF - 830102 - 0 - 0</v>
      </c>
    </row>
    <row r="4231" spans="1:15" x14ac:dyDescent="0.25">
      <c r="A4231" s="1">
        <v>920447</v>
      </c>
      <c r="B4231" s="1" t="s">
        <v>82</v>
      </c>
      <c r="C4231" s="1" t="s">
        <v>83</v>
      </c>
      <c r="D4231" s="2">
        <v>44671.520202812499</v>
      </c>
      <c r="E4231" s="1" t="s">
        <v>11</v>
      </c>
      <c r="F4231" s="1">
        <v>1</v>
      </c>
      <c r="G4231" s="1">
        <v>0</v>
      </c>
      <c r="H4231" s="6">
        <f>INT(Query1[[#This Row],[EntryDateTime]])</f>
        <v>44671</v>
      </c>
      <c r="I4231" s="1">
        <f>IF(Query1[[#This Row],[ItemType]]="EVAP KIT SF GEN IV",Query1[[#This Row],[OrderQty]]+I4230,I4230)</f>
        <v>5190</v>
      </c>
      <c r="J4231" s="1">
        <f>IF(Query1[[#This Row],[ItemType]]="EVAP KIT UNIVERSAL",Query1[[#This Row],[OrderQty]]+J4230,J4230)</f>
        <v>1743</v>
      </c>
      <c r="K4231" s="1">
        <f>Query1[[#This Row],[SF Running Total]]+Query1[[#This Row],[UNIV Running Total]]</f>
        <v>6933</v>
      </c>
      <c r="L4231">
        <f>VLOOKUP(Query1[[#This Row],[Description]],'kits to boards'!$B$2:$E$156,2,FALSE)</f>
        <v>830029</v>
      </c>
      <c r="M4231">
        <f>VLOOKUP(Query1[[#This Row],[Description]],'kits to boards'!$B$2:$E$156,3,FALSE)</f>
        <v>830030</v>
      </c>
      <c r="N4231">
        <f>VLOOKUP(Query1[[#This Row],[Description]],'kits to boards'!$B$2:$E$156,4,FALSE)</f>
        <v>0</v>
      </c>
      <c r="O4231" t="str">
        <f>CONCATENATE(Query1[[#This Row],[Description]]," - ",Query1[[#This Row],[MB1]]," - ",Query1[[#This Row],[MB2]]," - ",Query1[[#This Row],[MB3]])</f>
        <v>ComPac GEN II H/C - 830029 - 830030 - 0</v>
      </c>
    </row>
    <row r="4232" spans="1:15" x14ac:dyDescent="0.25">
      <c r="A4232" s="1">
        <v>920449</v>
      </c>
      <c r="B4232" s="1" t="s">
        <v>98</v>
      </c>
      <c r="C4232" s="1" t="s">
        <v>99</v>
      </c>
      <c r="D4232" s="2">
        <v>44671.520281747682</v>
      </c>
      <c r="E4232" s="1" t="s">
        <v>11</v>
      </c>
      <c r="F4232" s="1">
        <v>2</v>
      </c>
      <c r="G4232" s="1">
        <v>0</v>
      </c>
      <c r="H4232" s="6">
        <f>INT(Query1[[#This Row],[EntryDateTime]])</f>
        <v>44671</v>
      </c>
      <c r="I4232" s="1">
        <f>IF(Query1[[#This Row],[ItemType]]="EVAP KIT SF GEN IV",Query1[[#This Row],[OrderQty]]+I4231,I4231)</f>
        <v>5190</v>
      </c>
      <c r="J4232" s="1">
        <f>IF(Query1[[#This Row],[ItemType]]="EVAP KIT UNIVERSAL",Query1[[#This Row],[OrderQty]]+J4231,J4231)</f>
        <v>1745</v>
      </c>
      <c r="K4232" s="1">
        <f>Query1[[#This Row],[SF Running Total]]+Query1[[#This Row],[UNIV Running Total]]</f>
        <v>6935</v>
      </c>
      <c r="L4232">
        <f>VLOOKUP(Query1[[#This Row],[Description]],'kits to boards'!$B$2:$E$156,2,FALSE)</f>
        <v>830099</v>
      </c>
      <c r="M4232">
        <f>VLOOKUP(Query1[[#This Row],[Description]],'kits to boards'!$B$2:$E$156,3,FALSE)</f>
        <v>0</v>
      </c>
      <c r="N4232">
        <f>VLOOKUP(Query1[[#This Row],[Description]],'kits to boards'!$B$2:$E$156,4,FALSE)</f>
        <v>0</v>
      </c>
      <c r="O4232" t="str">
        <f>CONCATENATE(Query1[[#This Row],[Description]]," - ",Query1[[#This Row],[MB1]]," - ",Query1[[#This Row],[MB2]]," - ",Query1[[#This Row],[MB3]])</f>
        <v>MINI GEN II W/DEF - 830099 - 0 - 0</v>
      </c>
    </row>
    <row r="4233" spans="1:15" x14ac:dyDescent="0.25">
      <c r="A4233" s="1">
        <v>920449</v>
      </c>
      <c r="B4233" s="1" t="s">
        <v>24</v>
      </c>
      <c r="C4233" s="1" t="s">
        <v>25</v>
      </c>
      <c r="D4233" s="2">
        <v>44671.520478124999</v>
      </c>
      <c r="E4233" s="1" t="s">
        <v>11</v>
      </c>
      <c r="F4233" s="1">
        <v>3</v>
      </c>
      <c r="G4233" s="1">
        <v>0</v>
      </c>
      <c r="H4233" s="6">
        <f>INT(Query1[[#This Row],[EntryDateTime]])</f>
        <v>44671</v>
      </c>
      <c r="I4233" s="1">
        <f>IF(Query1[[#This Row],[ItemType]]="EVAP KIT SF GEN IV",Query1[[#This Row],[OrderQty]]+I4232,I4232)</f>
        <v>5190</v>
      </c>
      <c r="J4233" s="1">
        <f>IF(Query1[[#This Row],[ItemType]]="EVAP KIT UNIVERSAL",Query1[[#This Row],[OrderQty]]+J4232,J4232)</f>
        <v>1748</v>
      </c>
      <c r="K4233" s="1">
        <f>Query1[[#This Row],[SF Running Total]]+Query1[[#This Row],[UNIV Running Total]]</f>
        <v>6938</v>
      </c>
      <c r="L4233">
        <f>VLOOKUP(Query1[[#This Row],[Description]],'kits to boards'!$B$2:$E$156,2,FALSE)</f>
        <v>830029</v>
      </c>
      <c r="M4233">
        <f>VLOOKUP(Query1[[#This Row],[Description]],'kits to boards'!$B$2:$E$156,3,FALSE)</f>
        <v>830030</v>
      </c>
      <c r="N4233">
        <f>VLOOKUP(Query1[[#This Row],[Description]],'kits to boards'!$B$2:$E$156,4,FALSE)</f>
        <v>0</v>
      </c>
      <c r="O4233" t="str">
        <f>CONCATENATE(Query1[[#This Row],[Description]]," - ",Query1[[#This Row],[MB1]]," - ",Query1[[#This Row],[MB2]]," - ",Query1[[#This Row],[MB3]])</f>
        <v>ComPac GEN II W/DEF - 830029 - 830030 - 0</v>
      </c>
    </row>
    <row r="4234" spans="1:15" x14ac:dyDescent="0.25">
      <c r="A4234" s="1">
        <v>920449</v>
      </c>
      <c r="B4234" s="1" t="s">
        <v>20</v>
      </c>
      <c r="C4234" s="1" t="s">
        <v>21</v>
      </c>
      <c r="D4234" s="2">
        <v>44671.520562152778</v>
      </c>
      <c r="E4234" s="1" t="s">
        <v>11</v>
      </c>
      <c r="F4234" s="1">
        <v>1</v>
      </c>
      <c r="G4234" s="1">
        <v>0</v>
      </c>
      <c r="H4234" s="6">
        <f>INT(Query1[[#This Row],[EntryDateTime]])</f>
        <v>44671</v>
      </c>
      <c r="I4234" s="1">
        <f>IF(Query1[[#This Row],[ItemType]]="EVAP KIT SF GEN IV",Query1[[#This Row],[OrderQty]]+I4233,I4233)</f>
        <v>5190</v>
      </c>
      <c r="J4234" s="1">
        <f>IF(Query1[[#This Row],[ItemType]]="EVAP KIT UNIVERSAL",Query1[[#This Row],[OrderQty]]+J4233,J4233)</f>
        <v>1749</v>
      </c>
      <c r="K4234" s="1">
        <f>Query1[[#This Row],[SF Running Total]]+Query1[[#This Row],[UNIV Running Total]]</f>
        <v>6939</v>
      </c>
      <c r="L4234">
        <f>VLOOKUP(Query1[[#This Row],[Description]],'kits to boards'!$B$2:$E$156,2,FALSE)</f>
        <v>830102</v>
      </c>
      <c r="M4234">
        <f>VLOOKUP(Query1[[#This Row],[Description]],'kits to boards'!$B$2:$E$156,3,FALSE)</f>
        <v>0</v>
      </c>
      <c r="N4234">
        <f>VLOOKUP(Query1[[#This Row],[Description]],'kits to boards'!$B$2:$E$156,4,FALSE)</f>
        <v>0</v>
      </c>
      <c r="O4234" t="str">
        <f>CONCATENATE(Query1[[#This Row],[Description]]," - ",Query1[[#This Row],[MB1]]," - ",Query1[[#This Row],[MB2]]," - ",Query1[[#This Row],[MB3]])</f>
        <v>SUPER GEN II W/DEF - 830102 - 0 - 0</v>
      </c>
    </row>
    <row r="4235" spans="1:15" x14ac:dyDescent="0.25">
      <c r="A4235" s="1">
        <v>920449</v>
      </c>
      <c r="B4235" s="1" t="s">
        <v>16</v>
      </c>
      <c r="C4235" s="1" t="s">
        <v>17</v>
      </c>
      <c r="D4235" s="2">
        <v>44671.520708298609</v>
      </c>
      <c r="E4235" s="1" t="s">
        <v>8</v>
      </c>
      <c r="F4235" s="1">
        <v>1</v>
      </c>
      <c r="G4235" s="1">
        <v>0</v>
      </c>
      <c r="H4235" s="6">
        <f>INT(Query1[[#This Row],[EntryDateTime]])</f>
        <v>44671</v>
      </c>
      <c r="I4235" s="1">
        <f>IF(Query1[[#This Row],[ItemType]]="EVAP KIT SF GEN IV",Query1[[#This Row],[OrderQty]]+I4234,I4234)</f>
        <v>5191</v>
      </c>
      <c r="J4235" s="1">
        <f>IF(Query1[[#This Row],[ItemType]]="EVAP KIT UNIVERSAL",Query1[[#This Row],[OrderQty]]+J4234,J4234)</f>
        <v>1749</v>
      </c>
      <c r="K4235" s="1">
        <f>Query1[[#This Row],[SF Running Total]]+Query1[[#This Row],[UNIV Running Total]]</f>
        <v>6940</v>
      </c>
      <c r="L4235">
        <f>VLOOKUP(Query1[[#This Row],[Description]],'kits to boards'!$B$2:$E$156,2,FALSE)</f>
        <v>830061</v>
      </c>
      <c r="M4235">
        <f>VLOOKUP(Query1[[#This Row],[Description]],'kits to boards'!$B$2:$E$156,3,FALSE)</f>
        <v>0</v>
      </c>
      <c r="N4235">
        <f>VLOOKUP(Query1[[#This Row],[Description]],'kits to boards'!$B$2:$E$156,4,FALSE)</f>
        <v>0</v>
      </c>
      <c r="O4235" t="str">
        <f>CONCATENATE(Query1[[#This Row],[Description]]," - ",Query1[[#This Row],[MB1]]," - ",Query1[[#This Row],[MB2]]," - ",Query1[[#This Row],[MB3]])</f>
        <v>EVAP KIT 68-69 CHEVELLE W/AC - 830061 - 0 - 0</v>
      </c>
    </row>
    <row r="4236" spans="1:15" x14ac:dyDescent="0.25">
      <c r="A4236" s="1">
        <v>920449</v>
      </c>
      <c r="B4236" s="1" t="s">
        <v>102</v>
      </c>
      <c r="C4236" s="1" t="s">
        <v>103</v>
      </c>
      <c r="D4236" s="2">
        <v>44671.520771331016</v>
      </c>
      <c r="E4236" s="1" t="s">
        <v>8</v>
      </c>
      <c r="F4236" s="1">
        <v>1</v>
      </c>
      <c r="G4236" s="1">
        <v>0</v>
      </c>
      <c r="H4236" s="6">
        <f>INT(Query1[[#This Row],[EntryDateTime]])</f>
        <v>44671</v>
      </c>
      <c r="I4236" s="1">
        <f>IF(Query1[[#This Row],[ItemType]]="EVAP KIT SF GEN IV",Query1[[#This Row],[OrderQty]]+I4235,I4235)</f>
        <v>5192</v>
      </c>
      <c r="J4236" s="1">
        <f>IF(Query1[[#This Row],[ItemType]]="EVAP KIT UNIVERSAL",Query1[[#This Row],[OrderQty]]+J4235,J4235)</f>
        <v>1749</v>
      </c>
      <c r="K4236" s="1">
        <f>Query1[[#This Row],[SF Running Total]]+Query1[[#This Row],[UNIV Running Total]]</f>
        <v>6941</v>
      </c>
      <c r="L4236">
        <f>VLOOKUP(Query1[[#This Row],[Description]],'kits to boards'!$B$2:$E$156,2,FALSE)</f>
        <v>830012</v>
      </c>
      <c r="M4236">
        <f>VLOOKUP(Query1[[#This Row],[Description]],'kits to boards'!$B$2:$E$156,3,FALSE)</f>
        <v>0</v>
      </c>
      <c r="N4236">
        <f>VLOOKUP(Query1[[#This Row],[Description]],'kits to boards'!$B$2:$E$156,4,FALSE)</f>
        <v>0</v>
      </c>
      <c r="O4236" t="str">
        <f>CONCATENATE(Query1[[#This Row],[Description]]," - ",Query1[[#This Row],[MB1]]," - ",Query1[[#This Row],[MB2]]," - ",Query1[[#This Row],[MB3]])</f>
        <v>EVAP KIT 69 CAMARO WO/AC - 830012 - 0 - 0</v>
      </c>
    </row>
    <row r="4237" spans="1:15" x14ac:dyDescent="0.25">
      <c r="A4237" s="1">
        <v>920449</v>
      </c>
      <c r="B4237" s="1" t="s">
        <v>26</v>
      </c>
      <c r="C4237" s="1" t="s">
        <v>27</v>
      </c>
      <c r="D4237" s="2">
        <v>44671.520845752311</v>
      </c>
      <c r="E4237" s="1" t="s">
        <v>8</v>
      </c>
      <c r="F4237" s="1">
        <v>1</v>
      </c>
      <c r="G4237" s="1">
        <v>0</v>
      </c>
      <c r="H4237" s="6">
        <f>INT(Query1[[#This Row],[EntryDateTime]])</f>
        <v>44671</v>
      </c>
      <c r="I4237" s="1">
        <f>IF(Query1[[#This Row],[ItemType]]="EVAP KIT SF GEN IV",Query1[[#This Row],[OrderQty]]+I4236,I4236)</f>
        <v>5193</v>
      </c>
      <c r="J4237" s="1">
        <f>IF(Query1[[#This Row],[ItemType]]="EVAP KIT UNIVERSAL",Query1[[#This Row],[OrderQty]]+J4236,J4236)</f>
        <v>1749</v>
      </c>
      <c r="K4237" s="1">
        <f>Query1[[#This Row],[SF Running Total]]+Query1[[#This Row],[UNIV Running Total]]</f>
        <v>6942</v>
      </c>
      <c r="L4237">
        <f>VLOOKUP(Query1[[#This Row],[Description]],'kits to boards'!$B$2:$E$156,2,FALSE)</f>
        <v>830013</v>
      </c>
      <c r="M4237">
        <f>VLOOKUP(Query1[[#This Row],[Description]],'kits to boards'!$B$2:$E$156,3,FALSE)</f>
        <v>0</v>
      </c>
      <c r="N4237">
        <f>VLOOKUP(Query1[[#This Row],[Description]],'kits to boards'!$B$2:$E$156,4,FALSE)</f>
        <v>0</v>
      </c>
      <c r="O4237" t="str">
        <f>CONCATENATE(Query1[[#This Row],[Description]]," - ",Query1[[#This Row],[MB1]]," - ",Query1[[#This Row],[MB2]]," - ",Query1[[#This Row],[MB3]])</f>
        <v>EVAP KIT 67-72 CHEV P-UP W/AC - 830013 - 0 - 0</v>
      </c>
    </row>
    <row r="4238" spans="1:15" x14ac:dyDescent="0.25">
      <c r="A4238" s="1">
        <v>920449</v>
      </c>
      <c r="B4238" s="1" t="s">
        <v>22</v>
      </c>
      <c r="C4238" s="1" t="s">
        <v>23</v>
      </c>
      <c r="D4238" s="2">
        <v>44671.520975729167</v>
      </c>
      <c r="E4238" s="1" t="s">
        <v>8</v>
      </c>
      <c r="F4238" s="1">
        <v>3</v>
      </c>
      <c r="G4238" s="1">
        <v>0</v>
      </c>
      <c r="H4238" s="6">
        <f>INT(Query1[[#This Row],[EntryDateTime]])</f>
        <v>44671</v>
      </c>
      <c r="I4238" s="1">
        <f>IF(Query1[[#This Row],[ItemType]]="EVAP KIT SF GEN IV",Query1[[#This Row],[OrderQty]]+I4237,I4237)</f>
        <v>5196</v>
      </c>
      <c r="J4238" s="1">
        <f>IF(Query1[[#This Row],[ItemType]]="EVAP KIT UNIVERSAL",Query1[[#This Row],[OrderQty]]+J4237,J4237)</f>
        <v>1749</v>
      </c>
      <c r="K4238" s="1">
        <f>Query1[[#This Row],[SF Running Total]]+Query1[[#This Row],[UNIV Running Total]]</f>
        <v>6945</v>
      </c>
      <c r="L4238">
        <f>VLOOKUP(Query1[[#This Row],[Description]],'kits to boards'!$B$2:$E$156,2,FALSE)</f>
        <v>830083</v>
      </c>
      <c r="M4238">
        <f>VLOOKUP(Query1[[#This Row],[Description]],'kits to boards'!$B$2:$E$156,3,FALSE)</f>
        <v>0</v>
      </c>
      <c r="N4238">
        <f>VLOOKUP(Query1[[#This Row],[Description]],'kits to boards'!$B$2:$E$156,4,FALSE)</f>
        <v>0</v>
      </c>
      <c r="O4238" t="str">
        <f>CONCATENATE(Query1[[#This Row],[Description]]," - ",Query1[[#This Row],[MB1]]," - ",Query1[[#This Row],[MB2]]," - ",Query1[[#This Row],[MB3]])</f>
        <v>GEN IV MAGNUM EVAP KIT - 830083 - 0 - 0</v>
      </c>
    </row>
    <row r="4239" spans="1:15" x14ac:dyDescent="0.25">
      <c r="A4239" s="1">
        <v>920449</v>
      </c>
      <c r="B4239" s="1" t="s">
        <v>34</v>
      </c>
      <c r="C4239" s="1" t="s">
        <v>35</v>
      </c>
      <c r="D4239" s="2">
        <v>44671.521103900464</v>
      </c>
      <c r="E4239" s="1" t="s">
        <v>8</v>
      </c>
      <c r="F4239" s="1">
        <v>1</v>
      </c>
      <c r="G4239" s="1">
        <v>0</v>
      </c>
      <c r="H4239" s="6">
        <f>INT(Query1[[#This Row],[EntryDateTime]])</f>
        <v>44671</v>
      </c>
      <c r="I4239" s="1">
        <f>IF(Query1[[#This Row],[ItemType]]="EVAP KIT SF GEN IV",Query1[[#This Row],[OrderQty]]+I4238,I4238)</f>
        <v>5197</v>
      </c>
      <c r="J4239" s="1">
        <f>IF(Query1[[#This Row],[ItemType]]="EVAP KIT UNIVERSAL",Query1[[#This Row],[OrderQty]]+J4238,J4238)</f>
        <v>1749</v>
      </c>
      <c r="K4239" s="1">
        <f>Query1[[#This Row],[SF Running Total]]+Query1[[#This Row],[UNIV Running Total]]</f>
        <v>6946</v>
      </c>
      <c r="L4239">
        <f>VLOOKUP(Query1[[#This Row],[Description]],'kits to boards'!$B$2:$E$156,2,FALSE)</f>
        <v>830065</v>
      </c>
      <c r="M4239">
        <f>VLOOKUP(Query1[[#This Row],[Description]],'kits to boards'!$B$2:$E$156,3,FALSE)</f>
        <v>0</v>
      </c>
      <c r="N4239">
        <f>VLOOKUP(Query1[[#This Row],[Description]],'kits to boards'!$B$2:$E$156,4,FALSE)</f>
        <v>0</v>
      </c>
      <c r="O4239" t="str">
        <f>CONCATENATE(Query1[[#This Row],[Description]]," - ",Query1[[#This Row],[MB1]]," - ",Query1[[#This Row],[MB2]]," - ",Query1[[#This Row],[MB3]])</f>
        <v>EVAP KIT 57 CHEV WO AC - 830065 - 0 - 0</v>
      </c>
    </row>
    <row r="4240" spans="1:15" x14ac:dyDescent="0.25">
      <c r="A4240" s="1">
        <v>920449</v>
      </c>
      <c r="B4240" s="1" t="s">
        <v>86</v>
      </c>
      <c r="C4240" s="1" t="s">
        <v>87</v>
      </c>
      <c r="D4240" s="2">
        <v>44671.521341053238</v>
      </c>
      <c r="E4240" s="1" t="s">
        <v>8</v>
      </c>
      <c r="F4240" s="1">
        <v>1</v>
      </c>
      <c r="G4240" s="1">
        <v>0</v>
      </c>
      <c r="H4240" s="6">
        <f>INT(Query1[[#This Row],[EntryDateTime]])</f>
        <v>44671</v>
      </c>
      <c r="I4240" s="1">
        <f>IF(Query1[[#This Row],[ItemType]]="EVAP KIT SF GEN IV",Query1[[#This Row],[OrderQty]]+I4239,I4239)</f>
        <v>5198</v>
      </c>
      <c r="J4240" s="1">
        <f>IF(Query1[[#This Row],[ItemType]]="EVAP KIT UNIVERSAL",Query1[[#This Row],[OrderQty]]+J4239,J4239)</f>
        <v>1749</v>
      </c>
      <c r="K4240" s="1">
        <f>Query1[[#This Row],[SF Running Total]]+Query1[[#This Row],[UNIV Running Total]]</f>
        <v>6947</v>
      </c>
      <c r="L4240">
        <f>VLOOKUP(Query1[[#This Row],[Description]],'kits to boards'!$B$2:$E$156,2,FALSE)</f>
        <v>830048</v>
      </c>
      <c r="M4240">
        <f>VLOOKUP(Query1[[#This Row],[Description]],'kits to boards'!$B$2:$E$156,3,FALSE)</f>
        <v>0</v>
      </c>
      <c r="N4240">
        <f>VLOOKUP(Query1[[#This Row],[Description]],'kits to boards'!$B$2:$E$156,4,FALSE)</f>
        <v>0</v>
      </c>
      <c r="O4240" t="str">
        <f>CONCATENATE(Query1[[#This Row],[Description]]," - ",Query1[[#This Row],[MB1]]," - ",Query1[[#This Row],[MB2]]," - ",Query1[[#This Row],[MB3]])</f>
        <v>EVAP KIT 66-67 NOVA - 830048 - 0 - 0</v>
      </c>
    </row>
    <row r="4241" spans="1:15" x14ac:dyDescent="0.25">
      <c r="A4241" s="1">
        <v>920449</v>
      </c>
      <c r="B4241" s="1" t="s">
        <v>106</v>
      </c>
      <c r="C4241" s="1" t="s">
        <v>107</v>
      </c>
      <c r="D4241" s="2">
        <v>44671.521428854168</v>
      </c>
      <c r="E4241" s="1" t="s">
        <v>8</v>
      </c>
      <c r="F4241" s="1">
        <v>1</v>
      </c>
      <c r="G4241" s="1">
        <v>0</v>
      </c>
      <c r="H4241" s="6">
        <f>INT(Query1[[#This Row],[EntryDateTime]])</f>
        <v>44671</v>
      </c>
      <c r="I4241" s="1">
        <f>IF(Query1[[#This Row],[ItemType]]="EVAP KIT SF GEN IV",Query1[[#This Row],[OrderQty]]+I4240,I4240)</f>
        <v>5199</v>
      </c>
      <c r="J4241" s="1">
        <f>IF(Query1[[#This Row],[ItemType]]="EVAP KIT UNIVERSAL",Query1[[#This Row],[OrderQty]]+J4240,J4240)</f>
        <v>1749</v>
      </c>
      <c r="K4241" s="1">
        <f>Query1[[#This Row],[SF Running Total]]+Query1[[#This Row],[UNIV Running Total]]</f>
        <v>6948</v>
      </c>
      <c r="L4241">
        <f>VLOOKUP(Query1[[#This Row],[Description]],'kits to boards'!$B$2:$E$156,2,FALSE)</f>
        <v>830028</v>
      </c>
      <c r="M4241">
        <f>VLOOKUP(Query1[[#This Row],[Description]],'kits to boards'!$B$2:$E$156,3,FALSE)</f>
        <v>0</v>
      </c>
      <c r="N4241">
        <f>VLOOKUP(Query1[[#This Row],[Description]],'kits to boards'!$B$2:$E$156,4,FALSE)</f>
        <v>0</v>
      </c>
      <c r="O4241" t="str">
        <f>CONCATENATE(Query1[[#This Row],[Description]]," - ",Query1[[#This Row],[MB1]]," - ",Query1[[#This Row],[MB2]]," - ",Query1[[#This Row],[MB3]])</f>
        <v>EVAP KIT 55-59 CHEV P-UP WO AC W/DELX - 830028 - 0 - 0</v>
      </c>
    </row>
    <row r="4242" spans="1:15" x14ac:dyDescent="0.25">
      <c r="A4242" s="1">
        <v>920449</v>
      </c>
      <c r="B4242" s="1" t="s">
        <v>96</v>
      </c>
      <c r="C4242" s="1" t="s">
        <v>97</v>
      </c>
      <c r="D4242" s="2">
        <v>44671.521587002317</v>
      </c>
      <c r="E4242" s="1" t="s">
        <v>8</v>
      </c>
      <c r="F4242" s="1">
        <v>2</v>
      </c>
      <c r="G4242" s="1">
        <v>0</v>
      </c>
      <c r="H4242" s="6">
        <f>INT(Query1[[#This Row],[EntryDateTime]])</f>
        <v>44671</v>
      </c>
      <c r="I4242" s="1">
        <f>IF(Query1[[#This Row],[ItemType]]="EVAP KIT SF GEN IV",Query1[[#This Row],[OrderQty]]+I4241,I4241)</f>
        <v>5201</v>
      </c>
      <c r="J4242" s="1">
        <f>IF(Query1[[#This Row],[ItemType]]="EVAP KIT UNIVERSAL",Query1[[#This Row],[OrderQty]]+J4241,J4241)</f>
        <v>1749</v>
      </c>
      <c r="K4242" s="1">
        <f>Query1[[#This Row],[SF Running Total]]+Query1[[#This Row],[UNIV Running Total]]</f>
        <v>6950</v>
      </c>
      <c r="L4242">
        <f>VLOOKUP(Query1[[#This Row],[Description]],'kits to boards'!$B$2:$E$156,2,FALSE)</f>
        <v>830004</v>
      </c>
      <c r="M4242">
        <f>VLOOKUP(Query1[[#This Row],[Description]],'kits to boards'!$B$2:$E$156,3,FALSE)</f>
        <v>0</v>
      </c>
      <c r="N4242">
        <f>VLOOKUP(Query1[[#This Row],[Description]],'kits to boards'!$B$2:$E$156,4,FALSE)</f>
        <v>0</v>
      </c>
      <c r="O4242" t="str">
        <f>CONCATENATE(Query1[[#This Row],[Description]]," - ",Query1[[#This Row],[MB1]]," - ",Query1[[#This Row],[MB2]]," - ",Query1[[#This Row],[MB3]])</f>
        <v>EVAP KIT 81-87 CHEV P-UP W/AC - 830004 - 0 - 0</v>
      </c>
    </row>
    <row r="4243" spans="1:15" x14ac:dyDescent="0.25">
      <c r="A4243" s="1">
        <v>920449</v>
      </c>
      <c r="B4243" s="1" t="s">
        <v>6</v>
      </c>
      <c r="C4243" s="1" t="s">
        <v>7</v>
      </c>
      <c r="D4243" s="2">
        <v>44671.522206099537</v>
      </c>
      <c r="E4243" s="1" t="s">
        <v>8</v>
      </c>
      <c r="F4243" s="1">
        <v>1</v>
      </c>
      <c r="G4243" s="1">
        <v>0</v>
      </c>
      <c r="H4243" s="6">
        <f>INT(Query1[[#This Row],[EntryDateTime]])</f>
        <v>44671</v>
      </c>
      <c r="I4243" s="1">
        <f>IF(Query1[[#This Row],[ItemType]]="EVAP KIT SF GEN IV",Query1[[#This Row],[OrderQty]]+I4242,I4242)</f>
        <v>5202</v>
      </c>
      <c r="J4243" s="1">
        <f>IF(Query1[[#This Row],[ItemType]]="EVAP KIT UNIVERSAL",Query1[[#This Row],[OrderQty]]+J4242,J4242)</f>
        <v>1749</v>
      </c>
      <c r="K4243" s="1">
        <f>Query1[[#This Row],[SF Running Total]]+Query1[[#This Row],[UNIV Running Total]]</f>
        <v>6951</v>
      </c>
      <c r="L4243">
        <f>VLOOKUP(Query1[[#This Row],[Description]],'kits to boards'!$B$2:$E$156,2,FALSE)</f>
        <v>830132</v>
      </c>
      <c r="M4243">
        <f>VLOOKUP(Query1[[#This Row],[Description]],'kits to boards'!$B$2:$E$156,3,FALSE)</f>
        <v>0</v>
      </c>
      <c r="N4243">
        <f>VLOOKUP(Query1[[#This Row],[Description]],'kits to boards'!$B$2:$E$156,4,FALSE)</f>
        <v>0</v>
      </c>
      <c r="O4243" t="str">
        <f>CONCATENATE(Query1[[#This Row],[Description]]," - ",Query1[[#This Row],[MB1]]," - ",Query1[[#This Row],[MB2]]," - ",Query1[[#This Row],[MB3]])</f>
        <v>EVAP KIT 82-88 MONTE CARLO/EL CAMINO - 830132 - 0 - 0</v>
      </c>
    </row>
    <row r="4244" spans="1:15" x14ac:dyDescent="0.25">
      <c r="A4244" s="1">
        <v>920449</v>
      </c>
      <c r="B4244" s="1" t="s">
        <v>140</v>
      </c>
      <c r="C4244" s="1" t="s">
        <v>141</v>
      </c>
      <c r="D4244" s="2">
        <v>44671.522608645835</v>
      </c>
      <c r="E4244" s="1" t="s">
        <v>8</v>
      </c>
      <c r="F4244" s="1">
        <v>1</v>
      </c>
      <c r="G4244" s="1">
        <v>0</v>
      </c>
      <c r="H4244" s="6">
        <f>INT(Query1[[#This Row],[EntryDateTime]])</f>
        <v>44671</v>
      </c>
      <c r="I4244" s="1">
        <f>IF(Query1[[#This Row],[ItemType]]="EVAP KIT SF GEN IV",Query1[[#This Row],[OrderQty]]+I4243,I4243)</f>
        <v>5203</v>
      </c>
      <c r="J4244" s="1">
        <f>IF(Query1[[#This Row],[ItemType]]="EVAP KIT UNIVERSAL",Query1[[#This Row],[OrderQty]]+J4243,J4243)</f>
        <v>1749</v>
      </c>
      <c r="K4244" s="1">
        <f>Query1[[#This Row],[SF Running Total]]+Query1[[#This Row],[UNIV Running Total]]</f>
        <v>6952</v>
      </c>
      <c r="L4244">
        <f>VLOOKUP(Query1[[#This Row],[Description]],'kits to boards'!$B$2:$E$156,2,FALSE)</f>
        <v>830066</v>
      </c>
      <c r="M4244">
        <f>VLOOKUP(Query1[[#This Row],[Description]],'kits to boards'!$B$2:$E$156,3,FALSE)</f>
        <v>0</v>
      </c>
      <c r="N4244">
        <f>VLOOKUP(Query1[[#This Row],[Description]],'kits to boards'!$B$2:$E$156,4,FALSE)</f>
        <v>0</v>
      </c>
      <c r="O4244" t="str">
        <f>CONCATENATE(Query1[[#This Row],[Description]]," - ",Query1[[#This Row],[MB1]]," - ",Query1[[#This Row],[MB2]]," - ",Query1[[#This Row],[MB3]])</f>
        <v>EVAP KIT 60-63 CHEV P-UP WO AC - 830066 - 0 - 0</v>
      </c>
    </row>
    <row r="4245" spans="1:15" x14ac:dyDescent="0.25">
      <c r="A4245" s="1">
        <v>920449</v>
      </c>
      <c r="B4245" s="1" t="s">
        <v>94</v>
      </c>
      <c r="C4245" s="1" t="s">
        <v>95</v>
      </c>
      <c r="D4245" s="2">
        <v>44671.522991006947</v>
      </c>
      <c r="E4245" s="1" t="s">
        <v>8</v>
      </c>
      <c r="F4245" s="1">
        <v>1</v>
      </c>
      <c r="G4245" s="1">
        <v>0</v>
      </c>
      <c r="H4245" s="6">
        <f>INT(Query1[[#This Row],[EntryDateTime]])</f>
        <v>44671</v>
      </c>
      <c r="I4245" s="1">
        <f>IF(Query1[[#This Row],[ItemType]]="EVAP KIT SF GEN IV",Query1[[#This Row],[OrderQty]]+I4244,I4244)</f>
        <v>5204</v>
      </c>
      <c r="J4245" s="1">
        <f>IF(Query1[[#This Row],[ItemType]]="EVAP KIT UNIVERSAL",Query1[[#This Row],[OrderQty]]+J4244,J4244)</f>
        <v>1749</v>
      </c>
      <c r="K4245" s="1">
        <f>Query1[[#This Row],[SF Running Total]]+Query1[[#This Row],[UNIV Running Total]]</f>
        <v>6953</v>
      </c>
      <c r="L4245">
        <f>VLOOKUP(Query1[[#This Row],[Description]],'kits to boards'!$B$2:$E$156,2,FALSE)</f>
        <v>830076</v>
      </c>
      <c r="M4245">
        <f>VLOOKUP(Query1[[#This Row],[Description]],'kits to boards'!$B$2:$E$156,3,FALSE)</f>
        <v>0</v>
      </c>
      <c r="N4245">
        <f>VLOOKUP(Query1[[#This Row],[Description]],'kits to boards'!$B$2:$E$156,4,FALSE)</f>
        <v>0</v>
      </c>
      <c r="O4245" t="str">
        <f>CONCATENATE(Query1[[#This Row],[Description]]," - ",Query1[[#This Row],[MB1]]," - ",Query1[[#This Row],[MB2]]," - ",Query1[[#This Row],[MB3]])</f>
        <v>EVAP KIT 64 1/2- 66 MUSTANG  - 830076 - 0 - 0</v>
      </c>
    </row>
    <row r="4246" spans="1:15" x14ac:dyDescent="0.25">
      <c r="A4246" s="1">
        <v>920449</v>
      </c>
      <c r="B4246" s="1" t="s">
        <v>54</v>
      </c>
      <c r="C4246" s="1" t="s">
        <v>55</v>
      </c>
      <c r="D4246" s="2">
        <v>44671.523441863428</v>
      </c>
      <c r="E4246" s="1" t="s">
        <v>8</v>
      </c>
      <c r="F4246" s="1">
        <v>1</v>
      </c>
      <c r="G4246" s="1">
        <v>0</v>
      </c>
      <c r="H4246" s="6">
        <f>INT(Query1[[#This Row],[EntryDateTime]])</f>
        <v>44671</v>
      </c>
      <c r="I4246" s="1">
        <f>IF(Query1[[#This Row],[ItemType]]="EVAP KIT SF GEN IV",Query1[[#This Row],[OrderQty]]+I4245,I4245)</f>
        <v>5205</v>
      </c>
      <c r="J4246" s="1">
        <f>IF(Query1[[#This Row],[ItemType]]="EVAP KIT UNIVERSAL",Query1[[#This Row],[OrderQty]]+J4245,J4245)</f>
        <v>1749</v>
      </c>
      <c r="K4246" s="1">
        <f>Query1[[#This Row],[SF Running Total]]+Query1[[#This Row],[UNIV Running Total]]</f>
        <v>6954</v>
      </c>
      <c r="L4246">
        <f>VLOOKUP(Query1[[#This Row],[Description]],'kits to boards'!$B$2:$E$156,2,FALSE)</f>
        <v>830037</v>
      </c>
      <c r="M4246">
        <f>VLOOKUP(Query1[[#This Row],[Description]],'kits to boards'!$B$2:$E$156,3,FALSE)</f>
        <v>0</v>
      </c>
      <c r="N4246">
        <f>VLOOKUP(Query1[[#This Row],[Description]],'kits to boards'!$B$2:$E$156,4,FALSE)</f>
        <v>0</v>
      </c>
      <c r="O4246" t="str">
        <f>CONCATENATE(Query1[[#This Row],[Description]]," - ",Query1[[#This Row],[MB1]]," - ",Query1[[#This Row],[MB2]]," - ",Query1[[#This Row],[MB3]])</f>
        <v>EVAP KIT 70-81 FIREBIRD W/AC - 830037 - 0 - 0</v>
      </c>
    </row>
    <row r="4247" spans="1:15" x14ac:dyDescent="0.25">
      <c r="A4247" s="1">
        <v>920455</v>
      </c>
      <c r="B4247" s="1" t="s">
        <v>96</v>
      </c>
      <c r="C4247" s="1" t="s">
        <v>97</v>
      </c>
      <c r="D4247" s="2">
        <v>44671.529695798614</v>
      </c>
      <c r="E4247" s="1" t="s">
        <v>8</v>
      </c>
      <c r="F4247" s="1">
        <v>1</v>
      </c>
      <c r="G4247" s="1">
        <v>0</v>
      </c>
      <c r="H4247" s="6">
        <f>INT(Query1[[#This Row],[EntryDateTime]])</f>
        <v>44671</v>
      </c>
      <c r="I4247" s="1">
        <f>IF(Query1[[#This Row],[ItemType]]="EVAP KIT SF GEN IV",Query1[[#This Row],[OrderQty]]+I4246,I4246)</f>
        <v>5206</v>
      </c>
      <c r="J4247" s="1">
        <f>IF(Query1[[#This Row],[ItemType]]="EVAP KIT UNIVERSAL",Query1[[#This Row],[OrderQty]]+J4246,J4246)</f>
        <v>1749</v>
      </c>
      <c r="K4247" s="1">
        <f>Query1[[#This Row],[SF Running Total]]+Query1[[#This Row],[UNIV Running Total]]</f>
        <v>6955</v>
      </c>
      <c r="L4247">
        <f>VLOOKUP(Query1[[#This Row],[Description]],'kits to boards'!$B$2:$E$156,2,FALSE)</f>
        <v>830004</v>
      </c>
      <c r="M4247">
        <f>VLOOKUP(Query1[[#This Row],[Description]],'kits to boards'!$B$2:$E$156,3,FALSE)</f>
        <v>0</v>
      </c>
      <c r="N4247">
        <f>VLOOKUP(Query1[[#This Row],[Description]],'kits to boards'!$B$2:$E$156,4,FALSE)</f>
        <v>0</v>
      </c>
      <c r="O4247" t="str">
        <f>CONCATENATE(Query1[[#This Row],[Description]]," - ",Query1[[#This Row],[MB1]]," - ",Query1[[#This Row],[MB2]]," - ",Query1[[#This Row],[MB3]])</f>
        <v>EVAP KIT 81-87 CHEV P-UP W/AC - 830004 - 0 - 0</v>
      </c>
    </row>
    <row r="4248" spans="1:15" x14ac:dyDescent="0.25">
      <c r="A4248" s="1">
        <v>920456</v>
      </c>
      <c r="B4248" s="1" t="s">
        <v>96</v>
      </c>
      <c r="C4248" s="1" t="s">
        <v>97</v>
      </c>
      <c r="D4248" s="2">
        <v>44671.536049305556</v>
      </c>
      <c r="E4248" s="1" t="s">
        <v>8</v>
      </c>
      <c r="F4248" s="1">
        <v>1</v>
      </c>
      <c r="G4248" s="1">
        <v>0</v>
      </c>
      <c r="H4248" s="6">
        <f>INT(Query1[[#This Row],[EntryDateTime]])</f>
        <v>44671</v>
      </c>
      <c r="I4248" s="1">
        <f>IF(Query1[[#This Row],[ItemType]]="EVAP KIT SF GEN IV",Query1[[#This Row],[OrderQty]]+I4247,I4247)</f>
        <v>5207</v>
      </c>
      <c r="J4248" s="1">
        <f>IF(Query1[[#This Row],[ItemType]]="EVAP KIT UNIVERSAL",Query1[[#This Row],[OrderQty]]+J4247,J4247)</f>
        <v>1749</v>
      </c>
      <c r="K4248" s="1">
        <f>Query1[[#This Row],[SF Running Total]]+Query1[[#This Row],[UNIV Running Total]]</f>
        <v>6956</v>
      </c>
      <c r="L4248">
        <f>VLOOKUP(Query1[[#This Row],[Description]],'kits to boards'!$B$2:$E$156,2,FALSE)</f>
        <v>830004</v>
      </c>
      <c r="M4248">
        <f>VLOOKUP(Query1[[#This Row],[Description]],'kits to boards'!$B$2:$E$156,3,FALSE)</f>
        <v>0</v>
      </c>
      <c r="N4248">
        <f>VLOOKUP(Query1[[#This Row],[Description]],'kits to boards'!$B$2:$E$156,4,FALSE)</f>
        <v>0</v>
      </c>
      <c r="O4248" t="str">
        <f>CONCATENATE(Query1[[#This Row],[Description]]," - ",Query1[[#This Row],[MB1]]," - ",Query1[[#This Row],[MB2]]," - ",Query1[[#This Row],[MB3]])</f>
        <v>EVAP KIT 81-87 CHEV P-UP W/AC - 830004 - 0 - 0</v>
      </c>
    </row>
    <row r="4249" spans="1:15" x14ac:dyDescent="0.25">
      <c r="A4249" s="1">
        <v>920458</v>
      </c>
      <c r="B4249" s="1" t="s">
        <v>66</v>
      </c>
      <c r="C4249" s="1" t="s">
        <v>67</v>
      </c>
      <c r="D4249" s="2">
        <v>44671.53874236111</v>
      </c>
      <c r="E4249" s="1" t="s">
        <v>8</v>
      </c>
      <c r="F4249" s="1">
        <v>1</v>
      </c>
      <c r="G4249" s="1">
        <v>0</v>
      </c>
      <c r="H4249" s="6">
        <f>INT(Query1[[#This Row],[EntryDateTime]])</f>
        <v>44671</v>
      </c>
      <c r="I4249" s="1">
        <f>IF(Query1[[#This Row],[ItemType]]="EVAP KIT SF GEN IV",Query1[[#This Row],[OrderQty]]+I4248,I4248)</f>
        <v>5208</v>
      </c>
      <c r="J4249" s="1">
        <f>IF(Query1[[#This Row],[ItemType]]="EVAP KIT UNIVERSAL",Query1[[#This Row],[OrderQty]]+J4248,J4248)</f>
        <v>1749</v>
      </c>
      <c r="K4249" s="1">
        <f>Query1[[#This Row],[SF Running Total]]+Query1[[#This Row],[UNIV Running Total]]</f>
        <v>6957</v>
      </c>
      <c r="L4249">
        <f>VLOOKUP(Query1[[#This Row],[Description]],'kits to boards'!$B$2:$E$156,2,FALSE)</f>
        <v>830060</v>
      </c>
      <c r="M4249">
        <f>VLOOKUP(Query1[[#This Row],[Description]],'kits to boards'!$B$2:$E$156,3,FALSE)</f>
        <v>0</v>
      </c>
      <c r="N4249">
        <f>VLOOKUP(Query1[[#This Row],[Description]],'kits to boards'!$B$2:$E$156,4,FALSE)</f>
        <v>0</v>
      </c>
      <c r="O4249" t="str">
        <f>CONCATENATE(Query1[[#This Row],[Description]]," - ",Query1[[#This Row],[MB1]]," - ",Query1[[#This Row],[MB2]]," - ",Query1[[#This Row],[MB3]])</f>
        <v>EVAP KIT 66-67 CHEVELLE WO AC - 830060 - 0 - 0</v>
      </c>
    </row>
    <row r="4250" spans="1:15" x14ac:dyDescent="0.25">
      <c r="A4250" s="1">
        <v>920459</v>
      </c>
      <c r="B4250" s="1" t="s">
        <v>54</v>
      </c>
      <c r="C4250" s="1" t="s">
        <v>55</v>
      </c>
      <c r="D4250" s="2">
        <v>44671.539014386573</v>
      </c>
      <c r="E4250" s="1" t="s">
        <v>8</v>
      </c>
      <c r="F4250" s="1">
        <v>4</v>
      </c>
      <c r="G4250" s="1">
        <v>0</v>
      </c>
      <c r="H4250" s="6">
        <f>INT(Query1[[#This Row],[EntryDateTime]])</f>
        <v>44671</v>
      </c>
      <c r="I4250" s="1">
        <f>IF(Query1[[#This Row],[ItemType]]="EVAP KIT SF GEN IV",Query1[[#This Row],[OrderQty]]+I4249,I4249)</f>
        <v>5212</v>
      </c>
      <c r="J4250" s="1">
        <f>IF(Query1[[#This Row],[ItemType]]="EVAP KIT UNIVERSAL",Query1[[#This Row],[OrderQty]]+J4249,J4249)</f>
        <v>1749</v>
      </c>
      <c r="K4250" s="1">
        <f>Query1[[#This Row],[SF Running Total]]+Query1[[#This Row],[UNIV Running Total]]</f>
        <v>6961</v>
      </c>
      <c r="L4250">
        <f>VLOOKUP(Query1[[#This Row],[Description]],'kits to boards'!$B$2:$E$156,2,FALSE)</f>
        <v>830037</v>
      </c>
      <c r="M4250">
        <f>VLOOKUP(Query1[[#This Row],[Description]],'kits to boards'!$B$2:$E$156,3,FALSE)</f>
        <v>0</v>
      </c>
      <c r="N4250">
        <f>VLOOKUP(Query1[[#This Row],[Description]],'kits to boards'!$B$2:$E$156,4,FALSE)</f>
        <v>0</v>
      </c>
      <c r="O4250" t="str">
        <f>CONCATENATE(Query1[[#This Row],[Description]]," - ",Query1[[#This Row],[MB1]]," - ",Query1[[#This Row],[MB2]]," - ",Query1[[#This Row],[MB3]])</f>
        <v>EVAP KIT 70-81 FIREBIRD W/AC - 830037 - 0 - 0</v>
      </c>
    </row>
    <row r="4251" spans="1:15" x14ac:dyDescent="0.25">
      <c r="A4251" s="1">
        <v>920459</v>
      </c>
      <c r="B4251" s="1" t="s">
        <v>122</v>
      </c>
      <c r="C4251" s="1" t="s">
        <v>123</v>
      </c>
      <c r="D4251" s="2">
        <v>44671.539016168979</v>
      </c>
      <c r="E4251" s="1" t="s">
        <v>8</v>
      </c>
      <c r="F4251" s="1">
        <v>2</v>
      </c>
      <c r="G4251" s="1">
        <v>0</v>
      </c>
      <c r="H4251" s="6">
        <f>INT(Query1[[#This Row],[EntryDateTime]])</f>
        <v>44671</v>
      </c>
      <c r="I4251" s="1">
        <f>IF(Query1[[#This Row],[ItemType]]="EVAP KIT SF GEN IV",Query1[[#This Row],[OrderQty]]+I4250,I4250)</f>
        <v>5214</v>
      </c>
      <c r="J4251" s="1">
        <f>IF(Query1[[#This Row],[ItemType]]="EVAP KIT UNIVERSAL",Query1[[#This Row],[OrderQty]]+J4250,J4250)</f>
        <v>1749</v>
      </c>
      <c r="K4251" s="1">
        <f>Query1[[#This Row],[SF Running Total]]+Query1[[#This Row],[UNIV Running Total]]</f>
        <v>6963</v>
      </c>
      <c r="L4251">
        <f>VLOOKUP(Query1[[#This Row],[Description]],'kits to boards'!$B$2:$E$156,2,FALSE)</f>
        <v>830027</v>
      </c>
      <c r="M4251">
        <f>VLOOKUP(Query1[[#This Row],[Description]],'kits to boards'!$B$2:$E$156,3,FALSE)</f>
        <v>0</v>
      </c>
      <c r="N4251">
        <f>VLOOKUP(Query1[[#This Row],[Description]],'kits to boards'!$B$2:$E$156,4,FALSE)</f>
        <v>0</v>
      </c>
      <c r="O4251" t="str">
        <f>CONCATENATE(Query1[[#This Row],[Description]]," - ",Query1[[#This Row],[MB1]]," - ",Query1[[#This Row],[MB2]]," - ",Query1[[#This Row],[MB3]])</f>
        <v>EVAP KIT 70-72 CUTLASS W/AC - 830027 - 0 - 0</v>
      </c>
    </row>
    <row r="4252" spans="1:15" x14ac:dyDescent="0.25">
      <c r="A4252" s="1">
        <v>920459</v>
      </c>
      <c r="B4252" s="1" t="s">
        <v>18</v>
      </c>
      <c r="C4252" s="1" t="s">
        <v>19</v>
      </c>
      <c r="D4252" s="2">
        <v>44671.539017939816</v>
      </c>
      <c r="E4252" s="1" t="s">
        <v>8</v>
      </c>
      <c r="F4252" s="1">
        <v>2</v>
      </c>
      <c r="G4252" s="1">
        <v>0</v>
      </c>
      <c r="H4252" s="6">
        <f>INT(Query1[[#This Row],[EntryDateTime]])</f>
        <v>44671</v>
      </c>
      <c r="I4252" s="1">
        <f>IF(Query1[[#This Row],[ItemType]]="EVAP KIT SF GEN IV",Query1[[#This Row],[OrderQty]]+I4251,I4251)</f>
        <v>5216</v>
      </c>
      <c r="J4252" s="1">
        <f>IF(Query1[[#This Row],[ItemType]]="EVAP KIT UNIVERSAL",Query1[[#This Row],[OrderQty]]+J4251,J4251)</f>
        <v>1749</v>
      </c>
      <c r="K4252" s="1">
        <f>Query1[[#This Row],[SF Running Total]]+Query1[[#This Row],[UNIV Running Total]]</f>
        <v>6965</v>
      </c>
      <c r="L4252">
        <f>VLOOKUP(Query1[[#This Row],[Description]],'kits to boards'!$B$2:$E$156,2,FALSE)</f>
        <v>830051</v>
      </c>
      <c r="M4252">
        <f>VLOOKUP(Query1[[#This Row],[Description]],'kits to boards'!$B$2:$E$156,3,FALSE)</f>
        <v>0</v>
      </c>
      <c r="N4252">
        <f>VLOOKUP(Query1[[#This Row],[Description]],'kits to boards'!$B$2:$E$156,4,FALSE)</f>
        <v>0</v>
      </c>
      <c r="O4252" t="str">
        <f>CONCATENATE(Query1[[#This Row],[Description]]," - ",Query1[[#This Row],[MB1]]," - ",Query1[[#This Row],[MB2]]," - ",Query1[[#This Row],[MB3]])</f>
        <v>EVAP KIT 70-78 CAMARO W/AC - 830051 - 0 - 0</v>
      </c>
    </row>
    <row r="4253" spans="1:15" x14ac:dyDescent="0.25">
      <c r="A4253" s="1">
        <v>920459</v>
      </c>
      <c r="B4253" s="1" t="s">
        <v>84</v>
      </c>
      <c r="C4253" s="1" t="s">
        <v>85</v>
      </c>
      <c r="D4253" s="2">
        <v>44671.539025266204</v>
      </c>
      <c r="E4253" s="1" t="s">
        <v>8</v>
      </c>
      <c r="F4253" s="1">
        <v>11</v>
      </c>
      <c r="G4253" s="1">
        <v>0</v>
      </c>
      <c r="H4253" s="6">
        <f>INT(Query1[[#This Row],[EntryDateTime]])</f>
        <v>44671</v>
      </c>
      <c r="I4253" s="1">
        <f>IF(Query1[[#This Row],[ItemType]]="EVAP KIT SF GEN IV",Query1[[#This Row],[OrderQty]]+I4252,I4252)</f>
        <v>5227</v>
      </c>
      <c r="J4253" s="1">
        <f>IF(Query1[[#This Row],[ItemType]]="EVAP KIT UNIVERSAL",Query1[[#This Row],[OrderQty]]+J4252,J4252)</f>
        <v>1749</v>
      </c>
      <c r="K4253" s="1">
        <f>Query1[[#This Row],[SF Running Total]]+Query1[[#This Row],[UNIV Running Total]]</f>
        <v>6976</v>
      </c>
      <c r="L4253">
        <f>VLOOKUP(Query1[[#This Row],[Description]],'kits to boards'!$B$2:$E$156,2,FALSE)</f>
        <v>830085</v>
      </c>
      <c r="M4253">
        <f>VLOOKUP(Query1[[#This Row],[Description]],'kits to boards'!$B$2:$E$156,3,FALSE)</f>
        <v>0</v>
      </c>
      <c r="N4253">
        <f>VLOOKUP(Query1[[#This Row],[Description]],'kits to boards'!$B$2:$E$156,4,FALSE)</f>
        <v>0</v>
      </c>
      <c r="O4253" t="str">
        <f>CONCATENATE(Query1[[#This Row],[Description]]," - ",Query1[[#This Row],[MB1]]," - ",Query1[[#This Row],[MB2]]," - ",Query1[[#This Row],[MB3]])</f>
        <v>EVAP KIT 66-77 BRONCO 4-VENT PLENUM - 830085 - 0 - 0</v>
      </c>
    </row>
    <row r="4254" spans="1:15" x14ac:dyDescent="0.25">
      <c r="A4254" s="1">
        <v>920457</v>
      </c>
      <c r="B4254" s="1" t="s">
        <v>78</v>
      </c>
      <c r="C4254" s="1" t="s">
        <v>79</v>
      </c>
      <c r="D4254" s="2">
        <v>44671.539073148146</v>
      </c>
      <c r="E4254" s="1" t="s">
        <v>11</v>
      </c>
      <c r="F4254" s="1">
        <v>1</v>
      </c>
      <c r="G4254" s="1">
        <v>0</v>
      </c>
      <c r="H4254" s="6">
        <f>INT(Query1[[#This Row],[EntryDateTime]])</f>
        <v>44671</v>
      </c>
      <c r="I4254" s="1">
        <f>IF(Query1[[#This Row],[ItemType]]="EVAP KIT SF GEN IV",Query1[[#This Row],[OrderQty]]+I4253,I4253)</f>
        <v>5227</v>
      </c>
      <c r="J4254" s="1">
        <f>IF(Query1[[#This Row],[ItemType]]="EVAP KIT UNIVERSAL",Query1[[#This Row],[OrderQty]]+J4253,J4253)</f>
        <v>1750</v>
      </c>
      <c r="K4254" s="1">
        <f>Query1[[#This Row],[SF Running Total]]+Query1[[#This Row],[UNIV Running Total]]</f>
        <v>6977</v>
      </c>
      <c r="L4254">
        <f>VLOOKUP(Query1[[#This Row],[Description]],'kits to boards'!$B$2:$E$156,2,FALSE)</f>
        <v>0</v>
      </c>
      <c r="M4254">
        <f>VLOOKUP(Query1[[#This Row],[Description]],'kits to boards'!$B$2:$E$156,3,FALSE)</f>
        <v>0</v>
      </c>
      <c r="N4254">
        <f>VLOOKUP(Query1[[#This Row],[Description]],'kits to boards'!$B$2:$E$156,4,FALSE)</f>
        <v>0</v>
      </c>
      <c r="O4254" t="str">
        <f>CONCATENATE(Query1[[#This Row],[Description]]," - ",Query1[[#This Row],[MB1]]," - ",Query1[[#This Row],[MB2]]," - ",Query1[[#This Row],[MB3]])</f>
        <v>MARK IV STYLELINE UNDERDASH EVAP - 0 - 0 - 0</v>
      </c>
    </row>
    <row r="4255" spans="1:15" x14ac:dyDescent="0.25">
      <c r="A4255" s="1">
        <v>920460</v>
      </c>
      <c r="B4255" s="1" t="s">
        <v>38</v>
      </c>
      <c r="C4255" s="1" t="s">
        <v>39</v>
      </c>
      <c r="D4255" s="2">
        <v>44671.541217395832</v>
      </c>
      <c r="E4255" s="1" t="s">
        <v>8</v>
      </c>
      <c r="F4255" s="1">
        <v>1</v>
      </c>
      <c r="G4255" s="1">
        <v>0</v>
      </c>
      <c r="H4255" s="6">
        <f>INT(Query1[[#This Row],[EntryDateTime]])</f>
        <v>44671</v>
      </c>
      <c r="I4255" s="1">
        <f>IF(Query1[[#This Row],[ItemType]]="EVAP KIT SF GEN IV",Query1[[#This Row],[OrderQty]]+I4254,I4254)</f>
        <v>5228</v>
      </c>
      <c r="J4255" s="1">
        <f>IF(Query1[[#This Row],[ItemType]]="EVAP KIT UNIVERSAL",Query1[[#This Row],[OrderQty]]+J4254,J4254)</f>
        <v>1750</v>
      </c>
      <c r="K4255" s="1">
        <f>Query1[[#This Row],[SF Running Total]]+Query1[[#This Row],[UNIV Running Total]]</f>
        <v>6978</v>
      </c>
      <c r="L4255">
        <f>VLOOKUP(Query1[[#This Row],[Description]],'kits to boards'!$B$2:$E$156,2,FALSE)</f>
        <v>830012</v>
      </c>
      <c r="M4255">
        <f>VLOOKUP(Query1[[#This Row],[Description]],'kits to boards'!$B$2:$E$156,3,FALSE)</f>
        <v>0</v>
      </c>
      <c r="N4255">
        <f>VLOOKUP(Query1[[#This Row],[Description]],'kits to boards'!$B$2:$E$156,4,FALSE)</f>
        <v>0</v>
      </c>
      <c r="O4255" t="str">
        <f>CONCATENATE(Query1[[#This Row],[Description]]," - ",Query1[[#This Row],[MB1]]," - ",Query1[[#This Row],[MB2]]," - ",Query1[[#This Row],[MB3]])</f>
        <v>EVAP KIT 69 CAMARO W/AC - 830012 - 0 - 0</v>
      </c>
    </row>
    <row r="4256" spans="1:15" x14ac:dyDescent="0.25">
      <c r="A4256" s="1">
        <v>920461</v>
      </c>
      <c r="B4256" s="1" t="s">
        <v>102</v>
      </c>
      <c r="C4256" s="1" t="s">
        <v>103</v>
      </c>
      <c r="D4256" s="2">
        <v>44671.541267048611</v>
      </c>
      <c r="E4256" s="1" t="s">
        <v>8</v>
      </c>
      <c r="F4256" s="1">
        <v>2</v>
      </c>
      <c r="G4256" s="1">
        <v>0</v>
      </c>
      <c r="H4256" s="6">
        <f>INT(Query1[[#This Row],[EntryDateTime]])</f>
        <v>44671</v>
      </c>
      <c r="I4256" s="1">
        <f>IF(Query1[[#This Row],[ItemType]]="EVAP KIT SF GEN IV",Query1[[#This Row],[OrderQty]]+I4255,I4255)</f>
        <v>5230</v>
      </c>
      <c r="J4256" s="1">
        <f>IF(Query1[[#This Row],[ItemType]]="EVAP KIT UNIVERSAL",Query1[[#This Row],[OrderQty]]+J4255,J4255)</f>
        <v>1750</v>
      </c>
      <c r="K4256" s="1">
        <f>Query1[[#This Row],[SF Running Total]]+Query1[[#This Row],[UNIV Running Total]]</f>
        <v>6980</v>
      </c>
      <c r="L4256">
        <f>VLOOKUP(Query1[[#This Row],[Description]],'kits to boards'!$B$2:$E$156,2,FALSE)</f>
        <v>830012</v>
      </c>
      <c r="M4256">
        <f>VLOOKUP(Query1[[#This Row],[Description]],'kits to boards'!$B$2:$E$156,3,FALSE)</f>
        <v>0</v>
      </c>
      <c r="N4256">
        <f>VLOOKUP(Query1[[#This Row],[Description]],'kits to boards'!$B$2:$E$156,4,FALSE)</f>
        <v>0</v>
      </c>
      <c r="O4256" t="str">
        <f>CONCATENATE(Query1[[#This Row],[Description]]," - ",Query1[[#This Row],[MB1]]," - ",Query1[[#This Row],[MB2]]," - ",Query1[[#This Row],[MB3]])</f>
        <v>EVAP KIT 69 CAMARO WO/AC - 830012 - 0 - 0</v>
      </c>
    </row>
    <row r="4257" spans="1:15" x14ac:dyDescent="0.25">
      <c r="A4257" s="1">
        <v>920461</v>
      </c>
      <c r="B4257" s="1" t="s">
        <v>56</v>
      </c>
      <c r="C4257" s="1" t="s">
        <v>57</v>
      </c>
      <c r="D4257" s="2">
        <v>44671.541269016205</v>
      </c>
      <c r="E4257" s="1" t="s">
        <v>8</v>
      </c>
      <c r="F4257" s="1">
        <v>11</v>
      </c>
      <c r="G4257" s="1">
        <v>0</v>
      </c>
      <c r="H4257" s="6">
        <f>INT(Query1[[#This Row],[EntryDateTime]])</f>
        <v>44671</v>
      </c>
      <c r="I4257" s="1">
        <f>IF(Query1[[#This Row],[ItemType]]="EVAP KIT SF GEN IV",Query1[[#This Row],[OrderQty]]+I4256,I4256)</f>
        <v>5241</v>
      </c>
      <c r="J4257" s="1">
        <f>IF(Query1[[#This Row],[ItemType]]="EVAP KIT UNIVERSAL",Query1[[#This Row],[OrderQty]]+J4256,J4256)</f>
        <v>1750</v>
      </c>
      <c r="K4257" s="1">
        <f>Query1[[#This Row],[SF Running Total]]+Query1[[#This Row],[UNIV Running Total]]</f>
        <v>6991</v>
      </c>
      <c r="L4257">
        <f>VLOOKUP(Query1[[#This Row],[Description]],'kits to boards'!$B$2:$E$156,2,FALSE)</f>
        <v>830011</v>
      </c>
      <c r="M4257">
        <f>VLOOKUP(Query1[[#This Row],[Description]],'kits to boards'!$B$2:$E$156,3,FALSE)</f>
        <v>0</v>
      </c>
      <c r="N4257">
        <f>VLOOKUP(Query1[[#This Row],[Description]],'kits to boards'!$B$2:$E$156,4,FALSE)</f>
        <v>0</v>
      </c>
      <c r="O4257" t="str">
        <f>CONCATENATE(Query1[[#This Row],[Description]]," - ",Query1[[#This Row],[MB1]]," - ",Query1[[#This Row],[MB2]]," - ",Query1[[#This Row],[MB3]])</f>
        <v>EVAP KIT 70-72 CHEVELLE W/AC - 830011 - 0 - 0</v>
      </c>
    </row>
    <row r="4258" spans="1:15" x14ac:dyDescent="0.25">
      <c r="A4258" s="1">
        <v>920461</v>
      </c>
      <c r="B4258" s="1" t="s">
        <v>76</v>
      </c>
      <c r="C4258" s="1" t="s">
        <v>77</v>
      </c>
      <c r="D4258" s="2">
        <v>44671.541270798611</v>
      </c>
      <c r="E4258" s="1" t="s">
        <v>11</v>
      </c>
      <c r="F4258" s="1">
        <v>9</v>
      </c>
      <c r="G4258" s="1">
        <v>0</v>
      </c>
      <c r="H4258" s="6">
        <f>INT(Query1[[#This Row],[EntryDateTime]])</f>
        <v>44671</v>
      </c>
      <c r="I4258" s="1">
        <f>IF(Query1[[#This Row],[ItemType]]="EVAP KIT SF GEN IV",Query1[[#This Row],[OrderQty]]+I4257,I4257)</f>
        <v>5241</v>
      </c>
      <c r="J4258" s="1">
        <f>IF(Query1[[#This Row],[ItemType]]="EVAP KIT UNIVERSAL",Query1[[#This Row],[OrderQty]]+J4257,J4257)</f>
        <v>1759</v>
      </c>
      <c r="K4258" s="1">
        <f>Query1[[#This Row],[SF Running Total]]+Query1[[#This Row],[UNIV Running Total]]</f>
        <v>7000</v>
      </c>
      <c r="L4258">
        <f>VLOOKUP(Query1[[#This Row],[Description]],'kits to boards'!$B$2:$E$156,2,FALSE)</f>
        <v>830099</v>
      </c>
      <c r="M4258">
        <f>VLOOKUP(Query1[[#This Row],[Description]],'kits to boards'!$B$2:$E$156,3,FALSE)</f>
        <v>0</v>
      </c>
      <c r="N4258">
        <f>VLOOKUP(Query1[[#This Row],[Description]],'kits to boards'!$B$2:$E$156,4,FALSE)</f>
        <v>0</v>
      </c>
      <c r="O4258" t="str">
        <f>CONCATENATE(Query1[[#This Row],[Description]]," - ",Query1[[#This Row],[MB1]]," - ",Query1[[#This Row],[MB2]]," - ",Query1[[#This Row],[MB3]])</f>
        <v>MINI GEN II H/C - 830099 - 0 - 0</v>
      </c>
    </row>
    <row r="4259" spans="1:15" x14ac:dyDescent="0.25">
      <c r="A4259" s="1">
        <v>920464</v>
      </c>
      <c r="B4259" s="1" t="s">
        <v>54</v>
      </c>
      <c r="C4259" s="1" t="s">
        <v>55</v>
      </c>
      <c r="D4259" s="2">
        <v>44671.543474733793</v>
      </c>
      <c r="E4259" s="1" t="s">
        <v>8</v>
      </c>
      <c r="F4259" s="1">
        <v>3</v>
      </c>
      <c r="G4259" s="1">
        <v>0</v>
      </c>
      <c r="H4259" s="6">
        <f>INT(Query1[[#This Row],[EntryDateTime]])</f>
        <v>44671</v>
      </c>
      <c r="I4259" s="1">
        <f>IF(Query1[[#This Row],[ItemType]]="EVAP KIT SF GEN IV",Query1[[#This Row],[OrderQty]]+I4258,I4258)</f>
        <v>5244</v>
      </c>
      <c r="J4259" s="1">
        <f>IF(Query1[[#This Row],[ItemType]]="EVAP KIT UNIVERSAL",Query1[[#This Row],[OrderQty]]+J4258,J4258)</f>
        <v>1759</v>
      </c>
      <c r="K4259" s="1">
        <f>Query1[[#This Row],[SF Running Total]]+Query1[[#This Row],[UNIV Running Total]]</f>
        <v>7003</v>
      </c>
      <c r="L4259">
        <f>VLOOKUP(Query1[[#This Row],[Description]],'kits to boards'!$B$2:$E$156,2,FALSE)</f>
        <v>830037</v>
      </c>
      <c r="M4259">
        <f>VLOOKUP(Query1[[#This Row],[Description]],'kits to boards'!$B$2:$E$156,3,FALSE)</f>
        <v>0</v>
      </c>
      <c r="N4259">
        <f>VLOOKUP(Query1[[#This Row],[Description]],'kits to boards'!$B$2:$E$156,4,FALSE)</f>
        <v>0</v>
      </c>
      <c r="O4259" t="str">
        <f>CONCATENATE(Query1[[#This Row],[Description]]," - ",Query1[[#This Row],[MB1]]," - ",Query1[[#This Row],[MB2]]," - ",Query1[[#This Row],[MB3]])</f>
        <v>EVAP KIT 70-81 FIREBIRD W/AC - 830037 - 0 - 0</v>
      </c>
    </row>
    <row r="4260" spans="1:15" x14ac:dyDescent="0.25">
      <c r="A4260" s="1">
        <v>920464</v>
      </c>
      <c r="B4260" s="1" t="s">
        <v>18</v>
      </c>
      <c r="C4260" s="1" t="s">
        <v>19</v>
      </c>
      <c r="D4260" s="2">
        <v>44671.54347650463</v>
      </c>
      <c r="E4260" s="1" t="s">
        <v>8</v>
      </c>
      <c r="F4260" s="1">
        <v>2</v>
      </c>
      <c r="G4260" s="1">
        <v>0</v>
      </c>
      <c r="H4260" s="6">
        <f>INT(Query1[[#This Row],[EntryDateTime]])</f>
        <v>44671</v>
      </c>
      <c r="I4260" s="1">
        <f>IF(Query1[[#This Row],[ItemType]]="EVAP KIT SF GEN IV",Query1[[#This Row],[OrderQty]]+I4259,I4259)</f>
        <v>5246</v>
      </c>
      <c r="J4260" s="1">
        <f>IF(Query1[[#This Row],[ItemType]]="EVAP KIT UNIVERSAL",Query1[[#This Row],[OrderQty]]+J4259,J4259)</f>
        <v>1759</v>
      </c>
      <c r="K4260" s="1">
        <f>Query1[[#This Row],[SF Running Total]]+Query1[[#This Row],[UNIV Running Total]]</f>
        <v>7005</v>
      </c>
      <c r="L4260">
        <f>VLOOKUP(Query1[[#This Row],[Description]],'kits to boards'!$B$2:$E$156,2,FALSE)</f>
        <v>830051</v>
      </c>
      <c r="M4260">
        <f>VLOOKUP(Query1[[#This Row],[Description]],'kits to boards'!$B$2:$E$156,3,FALSE)</f>
        <v>0</v>
      </c>
      <c r="N4260">
        <f>VLOOKUP(Query1[[#This Row],[Description]],'kits to boards'!$B$2:$E$156,4,FALSE)</f>
        <v>0</v>
      </c>
      <c r="O4260" t="str">
        <f>CONCATENATE(Query1[[#This Row],[Description]]," - ",Query1[[#This Row],[MB1]]," - ",Query1[[#This Row],[MB2]]," - ",Query1[[#This Row],[MB3]])</f>
        <v>EVAP KIT 70-78 CAMARO W/AC - 830051 - 0 - 0</v>
      </c>
    </row>
    <row r="4261" spans="1:15" x14ac:dyDescent="0.25">
      <c r="A4261" s="1">
        <v>920464</v>
      </c>
      <c r="B4261" s="1" t="s">
        <v>78</v>
      </c>
      <c r="C4261" s="1" t="s">
        <v>79</v>
      </c>
      <c r="D4261" s="2">
        <v>44671.543480057873</v>
      </c>
      <c r="E4261" s="1" t="s">
        <v>11</v>
      </c>
      <c r="F4261" s="1">
        <v>4</v>
      </c>
      <c r="G4261" s="1">
        <v>0</v>
      </c>
      <c r="H4261" s="6">
        <f>INT(Query1[[#This Row],[EntryDateTime]])</f>
        <v>44671</v>
      </c>
      <c r="I4261" s="1">
        <f>IF(Query1[[#This Row],[ItemType]]="EVAP KIT SF GEN IV",Query1[[#This Row],[OrderQty]]+I4260,I4260)</f>
        <v>5246</v>
      </c>
      <c r="J4261" s="1">
        <f>IF(Query1[[#This Row],[ItemType]]="EVAP KIT UNIVERSAL",Query1[[#This Row],[OrderQty]]+J4260,J4260)</f>
        <v>1763</v>
      </c>
      <c r="K4261" s="1">
        <f>Query1[[#This Row],[SF Running Total]]+Query1[[#This Row],[UNIV Running Total]]</f>
        <v>7009</v>
      </c>
      <c r="L4261">
        <f>VLOOKUP(Query1[[#This Row],[Description]],'kits to boards'!$B$2:$E$156,2,FALSE)</f>
        <v>0</v>
      </c>
      <c r="M4261">
        <f>VLOOKUP(Query1[[#This Row],[Description]],'kits to boards'!$B$2:$E$156,3,FALSE)</f>
        <v>0</v>
      </c>
      <c r="N4261">
        <f>VLOOKUP(Query1[[#This Row],[Description]],'kits to boards'!$B$2:$E$156,4,FALSE)</f>
        <v>0</v>
      </c>
      <c r="O4261" t="str">
        <f>CONCATENATE(Query1[[#This Row],[Description]]," - ",Query1[[#This Row],[MB1]]," - ",Query1[[#This Row],[MB2]]," - ",Query1[[#This Row],[MB3]])</f>
        <v>MARK IV STYLELINE UNDERDASH EVAP - 0 - 0 - 0</v>
      </c>
    </row>
    <row r="4262" spans="1:15" x14ac:dyDescent="0.25">
      <c r="A4262" s="1">
        <v>920465</v>
      </c>
      <c r="B4262" s="1" t="s">
        <v>12</v>
      </c>
      <c r="C4262" s="1" t="s">
        <v>13</v>
      </c>
      <c r="D4262" s="2">
        <v>44671.545474849539</v>
      </c>
      <c r="E4262" s="1" t="s">
        <v>8</v>
      </c>
      <c r="F4262" s="1">
        <v>2</v>
      </c>
      <c r="G4262" s="1">
        <v>0</v>
      </c>
      <c r="H4262" s="6">
        <f>INT(Query1[[#This Row],[EntryDateTime]])</f>
        <v>44671</v>
      </c>
      <c r="I4262" s="1">
        <f>IF(Query1[[#This Row],[ItemType]]="EVAP KIT SF GEN IV",Query1[[#This Row],[OrderQty]]+I4261,I4261)</f>
        <v>5248</v>
      </c>
      <c r="J4262" s="1">
        <f>IF(Query1[[#This Row],[ItemType]]="EVAP KIT UNIVERSAL",Query1[[#This Row],[OrderQty]]+J4261,J4261)</f>
        <v>1763</v>
      </c>
      <c r="K4262" s="1">
        <f>Query1[[#This Row],[SF Running Total]]+Query1[[#This Row],[UNIV Running Total]]</f>
        <v>7011</v>
      </c>
      <c r="L4262">
        <f>VLOOKUP(Query1[[#This Row],[Description]],'kits to boards'!$B$2:$E$156,2,FALSE)</f>
        <v>830079</v>
      </c>
      <c r="M4262">
        <f>VLOOKUP(Query1[[#This Row],[Description]],'kits to boards'!$B$2:$E$156,3,FALSE)</f>
        <v>830046</v>
      </c>
      <c r="N4262">
        <f>VLOOKUP(Query1[[#This Row],[Description]],'kits to boards'!$B$2:$E$156,4,FALSE)</f>
        <v>0</v>
      </c>
      <c r="O4262" t="str">
        <f>CONCATENATE(Query1[[#This Row],[Description]]," - ",Query1[[#This Row],[MB1]]," - ",Query1[[#This Row],[MB2]]," - ",Query1[[#This Row],[MB3]])</f>
        <v>EVAP KIT 67-68 MUSTANG/COUGAR W/AC - 830079 - 830046 - 0</v>
      </c>
    </row>
    <row r="4263" spans="1:15" x14ac:dyDescent="0.25">
      <c r="A4263" s="1">
        <v>920465</v>
      </c>
      <c r="B4263" s="1" t="s">
        <v>68</v>
      </c>
      <c r="C4263" s="1" t="s">
        <v>69</v>
      </c>
      <c r="D4263" s="2">
        <v>44671.545476504631</v>
      </c>
      <c r="E4263" s="1" t="s">
        <v>8</v>
      </c>
      <c r="F4263" s="1">
        <v>5</v>
      </c>
      <c r="G4263" s="1">
        <v>0</v>
      </c>
      <c r="H4263" s="6">
        <f>INT(Query1[[#This Row],[EntryDateTime]])</f>
        <v>44671</v>
      </c>
      <c r="I4263" s="1">
        <f>IF(Query1[[#This Row],[ItemType]]="EVAP KIT SF GEN IV",Query1[[#This Row],[OrderQty]]+I4262,I4262)</f>
        <v>5253</v>
      </c>
      <c r="J4263" s="1">
        <f>IF(Query1[[#This Row],[ItemType]]="EVAP KIT UNIVERSAL",Query1[[#This Row],[OrderQty]]+J4262,J4262)</f>
        <v>1763</v>
      </c>
      <c r="K4263" s="1">
        <f>Query1[[#This Row],[SF Running Total]]+Query1[[#This Row],[UNIV Running Total]]</f>
        <v>7016</v>
      </c>
      <c r="L4263">
        <f>VLOOKUP(Query1[[#This Row],[Description]],'kits to boards'!$B$2:$E$156,2,FALSE)</f>
        <v>830010</v>
      </c>
      <c r="M4263">
        <f>VLOOKUP(Query1[[#This Row],[Description]],'kits to boards'!$B$2:$E$156,3,FALSE)</f>
        <v>0</v>
      </c>
      <c r="N4263">
        <f>VLOOKUP(Query1[[#This Row],[Description]],'kits to boards'!$B$2:$E$156,4,FALSE)</f>
        <v>0</v>
      </c>
      <c r="O4263" t="str">
        <f>CONCATENATE(Query1[[#This Row],[Description]]," - ",Query1[[#This Row],[MB1]]," - ",Query1[[#This Row],[MB2]]," - ",Query1[[#This Row],[MB3]])</f>
        <v>EVAP KIT 70-72 CHEVELLE WO AC - 830010 - 0 - 0</v>
      </c>
    </row>
    <row r="4264" spans="1:15" x14ac:dyDescent="0.25">
      <c r="A4264" s="1">
        <v>920465</v>
      </c>
      <c r="B4264" s="1" t="s">
        <v>18</v>
      </c>
      <c r="C4264" s="1" t="s">
        <v>19</v>
      </c>
      <c r="D4264" s="2">
        <v>44671.545478206019</v>
      </c>
      <c r="E4264" s="1" t="s">
        <v>8</v>
      </c>
      <c r="F4264" s="1">
        <v>2</v>
      </c>
      <c r="G4264" s="1">
        <v>0</v>
      </c>
      <c r="H4264" s="6">
        <f>INT(Query1[[#This Row],[EntryDateTime]])</f>
        <v>44671</v>
      </c>
      <c r="I4264" s="1">
        <f>IF(Query1[[#This Row],[ItemType]]="EVAP KIT SF GEN IV",Query1[[#This Row],[OrderQty]]+I4263,I4263)</f>
        <v>5255</v>
      </c>
      <c r="J4264" s="1">
        <f>IF(Query1[[#This Row],[ItemType]]="EVAP KIT UNIVERSAL",Query1[[#This Row],[OrderQty]]+J4263,J4263)</f>
        <v>1763</v>
      </c>
      <c r="K4264" s="1">
        <f>Query1[[#This Row],[SF Running Total]]+Query1[[#This Row],[UNIV Running Total]]</f>
        <v>7018</v>
      </c>
      <c r="L4264">
        <f>VLOOKUP(Query1[[#This Row],[Description]],'kits to boards'!$B$2:$E$156,2,FALSE)</f>
        <v>830051</v>
      </c>
      <c r="M4264">
        <f>VLOOKUP(Query1[[#This Row],[Description]],'kits to boards'!$B$2:$E$156,3,FALSE)</f>
        <v>0</v>
      </c>
      <c r="N4264">
        <f>VLOOKUP(Query1[[#This Row],[Description]],'kits to boards'!$B$2:$E$156,4,FALSE)</f>
        <v>0</v>
      </c>
      <c r="O4264" t="str">
        <f>CONCATENATE(Query1[[#This Row],[Description]]," - ",Query1[[#This Row],[MB1]]," - ",Query1[[#This Row],[MB2]]," - ",Query1[[#This Row],[MB3]])</f>
        <v>EVAP KIT 70-78 CAMARO W/AC - 830051 - 0 - 0</v>
      </c>
    </row>
    <row r="4265" spans="1:15" x14ac:dyDescent="0.25">
      <c r="A4265" s="1">
        <v>920465</v>
      </c>
      <c r="B4265" s="1" t="s">
        <v>108</v>
      </c>
      <c r="C4265" s="1" t="s">
        <v>109</v>
      </c>
      <c r="D4265" s="2">
        <v>44671.545483252317</v>
      </c>
      <c r="E4265" s="1" t="s">
        <v>8</v>
      </c>
      <c r="F4265" s="1">
        <v>2</v>
      </c>
      <c r="G4265" s="1">
        <v>0</v>
      </c>
      <c r="H4265" s="6">
        <f>INT(Query1[[#This Row],[EntryDateTime]])</f>
        <v>44671</v>
      </c>
      <c r="I4265" s="1">
        <f>IF(Query1[[#This Row],[ItemType]]="EVAP KIT SF GEN IV",Query1[[#This Row],[OrderQty]]+I4264,I4264)</f>
        <v>5257</v>
      </c>
      <c r="J4265" s="1">
        <f>IF(Query1[[#This Row],[ItemType]]="EVAP KIT UNIVERSAL",Query1[[#This Row],[OrderQty]]+J4264,J4264)</f>
        <v>1763</v>
      </c>
      <c r="K4265" s="1">
        <f>Query1[[#This Row],[SF Running Total]]+Query1[[#This Row],[UNIV Running Total]]</f>
        <v>7020</v>
      </c>
      <c r="L4265">
        <f>VLOOKUP(Query1[[#This Row],[Description]],'kits to boards'!$B$2:$E$156,2,FALSE)</f>
        <v>830105</v>
      </c>
      <c r="M4265">
        <f>VLOOKUP(Query1[[#This Row],[Description]],'kits to boards'!$B$2:$E$156,3,FALSE)</f>
        <v>830106</v>
      </c>
      <c r="N4265">
        <f>VLOOKUP(Query1[[#This Row],[Description]],'kits to boards'!$B$2:$E$156,4,FALSE)</f>
        <v>0</v>
      </c>
      <c r="O4265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4266" spans="1:15" x14ac:dyDescent="0.25">
      <c r="A4266" s="1">
        <v>920465</v>
      </c>
      <c r="B4266" s="1" t="s">
        <v>48</v>
      </c>
      <c r="C4266" s="1" t="s">
        <v>49</v>
      </c>
      <c r="D4266" s="2">
        <v>44671.545484953705</v>
      </c>
      <c r="E4266" s="1" t="s">
        <v>8</v>
      </c>
      <c r="F4266" s="1">
        <v>3</v>
      </c>
      <c r="G4266" s="1">
        <v>0</v>
      </c>
      <c r="H4266" s="6">
        <f>INT(Query1[[#This Row],[EntryDateTime]])</f>
        <v>44671</v>
      </c>
      <c r="I4266" s="1">
        <f>IF(Query1[[#This Row],[ItemType]]="EVAP KIT SF GEN IV",Query1[[#This Row],[OrderQty]]+I4265,I4265)</f>
        <v>5260</v>
      </c>
      <c r="J4266" s="1">
        <f>IF(Query1[[#This Row],[ItemType]]="EVAP KIT UNIVERSAL",Query1[[#This Row],[OrderQty]]+J4265,J4265)</f>
        <v>1763</v>
      </c>
      <c r="K4266" s="1">
        <f>Query1[[#This Row],[SF Running Total]]+Query1[[#This Row],[UNIV Running Total]]</f>
        <v>7023</v>
      </c>
      <c r="L4266">
        <f>VLOOKUP(Query1[[#This Row],[Description]],'kits to boards'!$B$2:$E$156,2,FALSE)</f>
        <v>830015</v>
      </c>
      <c r="M4266">
        <f>VLOOKUP(Query1[[#This Row],[Description]],'kits to boards'!$B$2:$E$156,3,FALSE)</f>
        <v>0</v>
      </c>
      <c r="N4266">
        <f>VLOOKUP(Query1[[#This Row],[Description]],'kits to boards'!$B$2:$E$156,4,FALSE)</f>
        <v>0</v>
      </c>
      <c r="O4266" t="str">
        <f>CONCATENATE(Query1[[#This Row],[Description]]," - ",Query1[[#This Row],[MB1]]," - ",Query1[[#This Row],[MB2]]," - ",Query1[[#This Row],[MB3]])</f>
        <v>EVAP KIT 64-66 CHEV P-UP WO AC W/DELX - 830015 - 0 - 0</v>
      </c>
    </row>
    <row r="4267" spans="1:15" x14ac:dyDescent="0.25">
      <c r="A4267" s="1">
        <v>920465</v>
      </c>
      <c r="B4267" s="1" t="s">
        <v>96</v>
      </c>
      <c r="C4267" s="1" t="s">
        <v>97</v>
      </c>
      <c r="D4267" s="2">
        <v>44671.545486608797</v>
      </c>
      <c r="E4267" s="1" t="s">
        <v>8</v>
      </c>
      <c r="F4267" s="1">
        <v>2</v>
      </c>
      <c r="G4267" s="1">
        <v>0</v>
      </c>
      <c r="H4267" s="6">
        <f>INT(Query1[[#This Row],[EntryDateTime]])</f>
        <v>44671</v>
      </c>
      <c r="I4267" s="1">
        <f>IF(Query1[[#This Row],[ItemType]]="EVAP KIT SF GEN IV",Query1[[#This Row],[OrderQty]]+I4266,I4266)</f>
        <v>5262</v>
      </c>
      <c r="J4267" s="1">
        <f>IF(Query1[[#This Row],[ItemType]]="EVAP KIT UNIVERSAL",Query1[[#This Row],[OrderQty]]+J4266,J4266)</f>
        <v>1763</v>
      </c>
      <c r="K4267" s="1">
        <f>Query1[[#This Row],[SF Running Total]]+Query1[[#This Row],[UNIV Running Total]]</f>
        <v>7025</v>
      </c>
      <c r="L4267">
        <f>VLOOKUP(Query1[[#This Row],[Description]],'kits to boards'!$B$2:$E$156,2,FALSE)</f>
        <v>830004</v>
      </c>
      <c r="M4267">
        <f>VLOOKUP(Query1[[#This Row],[Description]],'kits to boards'!$B$2:$E$156,3,FALSE)</f>
        <v>0</v>
      </c>
      <c r="N4267">
        <f>VLOOKUP(Query1[[#This Row],[Description]],'kits to boards'!$B$2:$E$156,4,FALSE)</f>
        <v>0</v>
      </c>
      <c r="O4267" t="str">
        <f>CONCATENATE(Query1[[#This Row],[Description]]," - ",Query1[[#This Row],[MB1]]," - ",Query1[[#This Row],[MB2]]," - ",Query1[[#This Row],[MB3]])</f>
        <v>EVAP KIT 81-87 CHEV P-UP W/AC - 830004 - 0 - 0</v>
      </c>
    </row>
    <row r="4268" spans="1:15" x14ac:dyDescent="0.25">
      <c r="A4268" s="1">
        <v>920470</v>
      </c>
      <c r="B4268" s="1" t="s">
        <v>48</v>
      </c>
      <c r="C4268" s="1" t="s">
        <v>49</v>
      </c>
      <c r="D4268" s="2">
        <v>44671.568006365742</v>
      </c>
      <c r="E4268" s="1" t="s">
        <v>8</v>
      </c>
      <c r="F4268" s="1">
        <v>1</v>
      </c>
      <c r="G4268" s="1">
        <v>0</v>
      </c>
      <c r="H4268" s="6">
        <f>INT(Query1[[#This Row],[EntryDateTime]])</f>
        <v>44671</v>
      </c>
      <c r="I4268" s="1">
        <f>IF(Query1[[#This Row],[ItemType]]="EVAP KIT SF GEN IV",Query1[[#This Row],[OrderQty]]+I4267,I4267)</f>
        <v>5263</v>
      </c>
      <c r="J4268" s="1">
        <f>IF(Query1[[#This Row],[ItemType]]="EVAP KIT UNIVERSAL",Query1[[#This Row],[OrderQty]]+J4267,J4267)</f>
        <v>1763</v>
      </c>
      <c r="K4268" s="1">
        <f>Query1[[#This Row],[SF Running Total]]+Query1[[#This Row],[UNIV Running Total]]</f>
        <v>7026</v>
      </c>
      <c r="L4268">
        <f>VLOOKUP(Query1[[#This Row],[Description]],'kits to boards'!$B$2:$E$156,2,FALSE)</f>
        <v>830015</v>
      </c>
      <c r="M4268">
        <f>VLOOKUP(Query1[[#This Row],[Description]],'kits to boards'!$B$2:$E$156,3,FALSE)</f>
        <v>0</v>
      </c>
      <c r="N4268">
        <f>VLOOKUP(Query1[[#This Row],[Description]],'kits to boards'!$B$2:$E$156,4,FALSE)</f>
        <v>0</v>
      </c>
      <c r="O4268" t="str">
        <f>CONCATENATE(Query1[[#This Row],[Description]]," - ",Query1[[#This Row],[MB1]]," - ",Query1[[#This Row],[MB2]]," - ",Query1[[#This Row],[MB3]])</f>
        <v>EVAP KIT 64-66 CHEV P-UP WO AC W/DELX - 830015 - 0 - 0</v>
      </c>
    </row>
    <row r="4269" spans="1:15" x14ac:dyDescent="0.25">
      <c r="A4269" s="1">
        <v>920472</v>
      </c>
      <c r="B4269" s="1" t="s">
        <v>54</v>
      </c>
      <c r="C4269" s="1" t="s">
        <v>55</v>
      </c>
      <c r="D4269" s="2">
        <v>44671.572026932874</v>
      </c>
      <c r="E4269" s="1" t="s">
        <v>8</v>
      </c>
      <c r="F4269" s="1">
        <v>1</v>
      </c>
      <c r="G4269" s="1">
        <v>0</v>
      </c>
      <c r="H4269" s="6">
        <f>INT(Query1[[#This Row],[EntryDateTime]])</f>
        <v>44671</v>
      </c>
      <c r="I4269" s="1">
        <f>IF(Query1[[#This Row],[ItemType]]="EVAP KIT SF GEN IV",Query1[[#This Row],[OrderQty]]+I4268,I4268)</f>
        <v>5264</v>
      </c>
      <c r="J4269" s="1">
        <f>IF(Query1[[#This Row],[ItemType]]="EVAP KIT UNIVERSAL",Query1[[#This Row],[OrderQty]]+J4268,J4268)</f>
        <v>1763</v>
      </c>
      <c r="K4269" s="1">
        <f>Query1[[#This Row],[SF Running Total]]+Query1[[#This Row],[UNIV Running Total]]</f>
        <v>7027</v>
      </c>
      <c r="L4269">
        <f>VLOOKUP(Query1[[#This Row],[Description]],'kits to boards'!$B$2:$E$156,2,FALSE)</f>
        <v>830037</v>
      </c>
      <c r="M4269">
        <f>VLOOKUP(Query1[[#This Row],[Description]],'kits to boards'!$B$2:$E$156,3,FALSE)</f>
        <v>0</v>
      </c>
      <c r="N4269">
        <f>VLOOKUP(Query1[[#This Row],[Description]],'kits to boards'!$B$2:$E$156,4,FALSE)</f>
        <v>0</v>
      </c>
      <c r="O4269" t="str">
        <f>CONCATENATE(Query1[[#This Row],[Description]]," - ",Query1[[#This Row],[MB1]]," - ",Query1[[#This Row],[MB2]]," - ",Query1[[#This Row],[MB3]])</f>
        <v>EVAP KIT 70-81 FIREBIRD W/AC - 830037 - 0 - 0</v>
      </c>
    </row>
    <row r="4270" spans="1:15" x14ac:dyDescent="0.25">
      <c r="A4270" s="1">
        <v>920473</v>
      </c>
      <c r="B4270" s="1" t="s">
        <v>44</v>
      </c>
      <c r="C4270" s="1" t="s">
        <v>45</v>
      </c>
      <c r="D4270" s="2">
        <v>44671.573556400464</v>
      </c>
      <c r="E4270" s="1" t="s">
        <v>8</v>
      </c>
      <c r="F4270" s="1">
        <v>1</v>
      </c>
      <c r="G4270" s="1">
        <v>0</v>
      </c>
      <c r="H4270" s="6">
        <f>INT(Query1[[#This Row],[EntryDateTime]])</f>
        <v>44671</v>
      </c>
      <c r="I4270" s="1">
        <f>IF(Query1[[#This Row],[ItemType]]="EVAP KIT SF GEN IV",Query1[[#This Row],[OrderQty]]+I4269,I4269)</f>
        <v>5265</v>
      </c>
      <c r="J4270" s="1">
        <f>IF(Query1[[#This Row],[ItemType]]="EVAP KIT UNIVERSAL",Query1[[#This Row],[OrderQty]]+J4269,J4269)</f>
        <v>1763</v>
      </c>
      <c r="K4270" s="1">
        <f>Query1[[#This Row],[SF Running Total]]+Query1[[#This Row],[UNIV Running Total]]</f>
        <v>7028</v>
      </c>
      <c r="L4270">
        <f>VLOOKUP(Query1[[#This Row],[Description]],'kits to boards'!$B$2:$E$156,2,FALSE)</f>
        <v>830085</v>
      </c>
      <c r="M4270">
        <f>VLOOKUP(Query1[[#This Row],[Description]],'kits to boards'!$B$2:$E$156,3,FALSE)</f>
        <v>0</v>
      </c>
      <c r="N4270">
        <f>VLOOKUP(Query1[[#This Row],[Description]],'kits to boards'!$B$2:$E$156,4,FALSE)</f>
        <v>0</v>
      </c>
      <c r="O4270" t="str">
        <f>CONCATENATE(Query1[[#This Row],[Description]]," - ",Query1[[#This Row],[MB1]]," - ",Query1[[#This Row],[MB2]]," - ",Query1[[#This Row],[MB3]])</f>
        <v>EVAP KIT 66-77 BRONCO - 830085 - 0 - 0</v>
      </c>
    </row>
    <row r="4271" spans="1:15" x14ac:dyDescent="0.25">
      <c r="A4271" s="1">
        <v>920475</v>
      </c>
      <c r="B4271" s="1" t="s">
        <v>126</v>
      </c>
      <c r="C4271" s="1" t="s">
        <v>127</v>
      </c>
      <c r="D4271" s="2">
        <v>44671.575007210646</v>
      </c>
      <c r="E4271" s="1" t="s">
        <v>8</v>
      </c>
      <c r="F4271" s="1">
        <v>1</v>
      </c>
      <c r="G4271" s="1">
        <v>0</v>
      </c>
      <c r="H4271" s="6">
        <f>INT(Query1[[#This Row],[EntryDateTime]])</f>
        <v>44671</v>
      </c>
      <c r="I4271" s="1">
        <f>IF(Query1[[#This Row],[ItemType]]="EVAP KIT SF GEN IV",Query1[[#This Row],[OrderQty]]+I4270,I4270)</f>
        <v>5266</v>
      </c>
      <c r="J4271" s="1">
        <f>IF(Query1[[#This Row],[ItemType]]="EVAP KIT UNIVERSAL",Query1[[#This Row],[OrderQty]]+J4270,J4270)</f>
        <v>1763</v>
      </c>
      <c r="K4271" s="1">
        <f>Query1[[#This Row],[SF Running Total]]+Query1[[#This Row],[UNIV Running Total]]</f>
        <v>7029</v>
      </c>
      <c r="L4271">
        <f>VLOOKUP(Query1[[#This Row],[Description]],'kits to boards'!$B$2:$E$156,2,FALSE)</f>
        <v>830080</v>
      </c>
      <c r="M4271">
        <f>VLOOKUP(Query1[[#This Row],[Description]],'kits to boards'!$B$2:$E$156,3,FALSE)</f>
        <v>0</v>
      </c>
      <c r="N4271">
        <f>VLOOKUP(Query1[[#This Row],[Description]],'kits to boards'!$B$2:$E$156,4,FALSE)</f>
        <v>0</v>
      </c>
      <c r="O4271" t="str">
        <f>CONCATENATE(Query1[[#This Row],[Description]]," - ",Query1[[#This Row],[MB1]]," - ",Query1[[#This Row],[MB2]]," - ",Query1[[#This Row],[MB3]])</f>
        <v>EVAP KIT 69-70 MUSTANG WO AC  - 830080 - 0 - 0</v>
      </c>
    </row>
    <row r="4272" spans="1:15" x14ac:dyDescent="0.25">
      <c r="A4272" s="1">
        <v>920476</v>
      </c>
      <c r="B4272" s="1" t="s">
        <v>26</v>
      </c>
      <c r="C4272" s="1" t="s">
        <v>27</v>
      </c>
      <c r="D4272" s="2">
        <v>44671.577453206017</v>
      </c>
      <c r="E4272" s="1" t="s">
        <v>8</v>
      </c>
      <c r="F4272" s="1">
        <v>1</v>
      </c>
      <c r="G4272" s="1">
        <v>0</v>
      </c>
      <c r="H4272" s="6">
        <f>INT(Query1[[#This Row],[EntryDateTime]])</f>
        <v>44671</v>
      </c>
      <c r="I4272" s="1">
        <f>IF(Query1[[#This Row],[ItemType]]="EVAP KIT SF GEN IV",Query1[[#This Row],[OrderQty]]+I4271,I4271)</f>
        <v>5267</v>
      </c>
      <c r="J4272" s="1">
        <f>IF(Query1[[#This Row],[ItemType]]="EVAP KIT UNIVERSAL",Query1[[#This Row],[OrderQty]]+J4271,J4271)</f>
        <v>1763</v>
      </c>
      <c r="K4272" s="1">
        <f>Query1[[#This Row],[SF Running Total]]+Query1[[#This Row],[UNIV Running Total]]</f>
        <v>7030</v>
      </c>
      <c r="L4272">
        <f>VLOOKUP(Query1[[#This Row],[Description]],'kits to boards'!$B$2:$E$156,2,FALSE)</f>
        <v>830013</v>
      </c>
      <c r="M4272">
        <f>VLOOKUP(Query1[[#This Row],[Description]],'kits to boards'!$B$2:$E$156,3,FALSE)</f>
        <v>0</v>
      </c>
      <c r="N4272">
        <f>VLOOKUP(Query1[[#This Row],[Description]],'kits to boards'!$B$2:$E$156,4,FALSE)</f>
        <v>0</v>
      </c>
      <c r="O4272" t="str">
        <f>CONCATENATE(Query1[[#This Row],[Description]]," - ",Query1[[#This Row],[MB1]]," - ",Query1[[#This Row],[MB2]]," - ",Query1[[#This Row],[MB3]])</f>
        <v>EVAP KIT 67-72 CHEV P-UP W/AC - 830013 - 0 - 0</v>
      </c>
    </row>
    <row r="4273" spans="1:15" x14ac:dyDescent="0.25">
      <c r="A4273" s="1">
        <v>920477</v>
      </c>
      <c r="B4273" s="1" t="s">
        <v>48</v>
      </c>
      <c r="C4273" s="1" t="s">
        <v>49</v>
      </c>
      <c r="D4273" s="2">
        <v>44671.578768206018</v>
      </c>
      <c r="E4273" s="1" t="s">
        <v>8</v>
      </c>
      <c r="F4273" s="1">
        <v>1</v>
      </c>
      <c r="G4273" s="1">
        <v>0</v>
      </c>
      <c r="H4273" s="6">
        <f>INT(Query1[[#This Row],[EntryDateTime]])</f>
        <v>44671</v>
      </c>
      <c r="I4273" s="1">
        <f>IF(Query1[[#This Row],[ItemType]]="EVAP KIT SF GEN IV",Query1[[#This Row],[OrderQty]]+I4272,I4272)</f>
        <v>5268</v>
      </c>
      <c r="J4273" s="1">
        <f>IF(Query1[[#This Row],[ItemType]]="EVAP KIT UNIVERSAL",Query1[[#This Row],[OrderQty]]+J4272,J4272)</f>
        <v>1763</v>
      </c>
      <c r="K4273" s="1">
        <f>Query1[[#This Row],[SF Running Total]]+Query1[[#This Row],[UNIV Running Total]]</f>
        <v>7031</v>
      </c>
      <c r="L4273">
        <f>VLOOKUP(Query1[[#This Row],[Description]],'kits to boards'!$B$2:$E$156,2,FALSE)</f>
        <v>830015</v>
      </c>
      <c r="M4273">
        <f>VLOOKUP(Query1[[#This Row],[Description]],'kits to boards'!$B$2:$E$156,3,FALSE)</f>
        <v>0</v>
      </c>
      <c r="N4273">
        <f>VLOOKUP(Query1[[#This Row],[Description]],'kits to boards'!$B$2:$E$156,4,FALSE)</f>
        <v>0</v>
      </c>
      <c r="O4273" t="str">
        <f>CONCATENATE(Query1[[#This Row],[Description]]," - ",Query1[[#This Row],[MB1]]," - ",Query1[[#This Row],[MB2]]," - ",Query1[[#This Row],[MB3]])</f>
        <v>EVAP KIT 64-66 CHEV P-UP WO AC W/DELX - 830015 - 0 - 0</v>
      </c>
    </row>
    <row r="4274" spans="1:15" x14ac:dyDescent="0.25">
      <c r="A4274" s="1">
        <v>920483</v>
      </c>
      <c r="B4274" s="1" t="s">
        <v>168</v>
      </c>
      <c r="C4274" s="1" t="s">
        <v>169</v>
      </c>
      <c r="D4274" s="2">
        <v>44671.586436574071</v>
      </c>
      <c r="E4274" s="1" t="s">
        <v>8</v>
      </c>
      <c r="F4274" s="1">
        <v>1</v>
      </c>
      <c r="G4274" s="1">
        <v>0</v>
      </c>
      <c r="H4274" s="6">
        <f>INT(Query1[[#This Row],[EntryDateTime]])</f>
        <v>44671</v>
      </c>
      <c r="I4274" s="1">
        <f>IF(Query1[[#This Row],[ItemType]]="EVAP KIT SF GEN IV",Query1[[#This Row],[OrderQty]]+I4273,I4273)</f>
        <v>5269</v>
      </c>
      <c r="J4274" s="1">
        <f>IF(Query1[[#This Row],[ItemType]]="EVAP KIT UNIVERSAL",Query1[[#This Row],[OrderQty]]+J4273,J4273)</f>
        <v>1763</v>
      </c>
      <c r="K4274" s="1">
        <f>Query1[[#This Row],[SF Running Total]]+Query1[[#This Row],[UNIV Running Total]]</f>
        <v>7032</v>
      </c>
      <c r="L4274">
        <f>VLOOKUP(Query1[[#This Row],[Description]],'kits to boards'!$B$2:$E$156,2,FALSE)</f>
        <v>830028</v>
      </c>
      <c r="M4274">
        <f>VLOOKUP(Query1[[#This Row],[Description]],'kits to boards'!$B$2:$E$156,3,FALSE)</f>
        <v>0</v>
      </c>
      <c r="N4274">
        <f>VLOOKUP(Query1[[#This Row],[Description]],'kits to boards'!$B$2:$E$156,4,FALSE)</f>
        <v>0</v>
      </c>
      <c r="O4274" t="str">
        <f>CONCATENATE(Query1[[#This Row],[Description]]," - ",Query1[[#This Row],[MB1]]," - ",Query1[[#This Row],[MB2]]," - ",Query1[[#This Row],[MB3]])</f>
        <v>EVAP KIT 55-59 CHEV P-UP WO AC W/STD  - 830028 - 0 - 0</v>
      </c>
    </row>
    <row r="4275" spans="1:15" x14ac:dyDescent="0.25">
      <c r="A4275" s="1">
        <v>920486</v>
      </c>
      <c r="B4275" s="1" t="s">
        <v>56</v>
      </c>
      <c r="C4275" s="1" t="s">
        <v>57</v>
      </c>
      <c r="D4275" s="2">
        <v>44671.595508993058</v>
      </c>
      <c r="E4275" s="1" t="s">
        <v>8</v>
      </c>
      <c r="F4275" s="1">
        <v>1</v>
      </c>
      <c r="G4275" s="1">
        <v>0</v>
      </c>
      <c r="H4275" s="6">
        <f>INT(Query1[[#This Row],[EntryDateTime]])</f>
        <v>44671</v>
      </c>
      <c r="I4275" s="1">
        <f>IF(Query1[[#This Row],[ItemType]]="EVAP KIT SF GEN IV",Query1[[#This Row],[OrderQty]]+I4274,I4274)</f>
        <v>5270</v>
      </c>
      <c r="J4275" s="1">
        <f>IF(Query1[[#This Row],[ItemType]]="EVAP KIT UNIVERSAL",Query1[[#This Row],[OrderQty]]+J4274,J4274)</f>
        <v>1763</v>
      </c>
      <c r="K4275" s="1">
        <f>Query1[[#This Row],[SF Running Total]]+Query1[[#This Row],[UNIV Running Total]]</f>
        <v>7033</v>
      </c>
      <c r="L4275">
        <f>VLOOKUP(Query1[[#This Row],[Description]],'kits to boards'!$B$2:$E$156,2,FALSE)</f>
        <v>830011</v>
      </c>
      <c r="M4275">
        <f>VLOOKUP(Query1[[#This Row],[Description]],'kits to boards'!$B$2:$E$156,3,FALSE)</f>
        <v>0</v>
      </c>
      <c r="N4275">
        <f>VLOOKUP(Query1[[#This Row],[Description]],'kits to boards'!$B$2:$E$156,4,FALSE)</f>
        <v>0</v>
      </c>
      <c r="O4275" t="str">
        <f>CONCATENATE(Query1[[#This Row],[Description]]," - ",Query1[[#This Row],[MB1]]," - ",Query1[[#This Row],[MB2]]," - ",Query1[[#This Row],[MB3]])</f>
        <v>EVAP KIT 70-72 CHEVELLE W/AC - 830011 - 0 - 0</v>
      </c>
    </row>
    <row r="4276" spans="1:15" x14ac:dyDescent="0.25">
      <c r="A4276" s="1">
        <v>920474</v>
      </c>
      <c r="B4276" s="1" t="s">
        <v>128</v>
      </c>
      <c r="C4276" s="1" t="s">
        <v>129</v>
      </c>
      <c r="D4276" s="2">
        <v>44671.600226238428</v>
      </c>
      <c r="E4276" s="1" t="s">
        <v>8</v>
      </c>
      <c r="F4276" s="1">
        <v>1</v>
      </c>
      <c r="G4276" s="1">
        <v>0</v>
      </c>
      <c r="H4276" s="6">
        <f>INT(Query1[[#This Row],[EntryDateTime]])</f>
        <v>44671</v>
      </c>
      <c r="I4276" s="1">
        <f>IF(Query1[[#This Row],[ItemType]]="EVAP KIT SF GEN IV",Query1[[#This Row],[OrderQty]]+I4275,I4275)</f>
        <v>5271</v>
      </c>
      <c r="J4276" s="1">
        <f>IF(Query1[[#This Row],[ItemType]]="EVAP KIT UNIVERSAL",Query1[[#This Row],[OrderQty]]+J4275,J4275)</f>
        <v>1763</v>
      </c>
      <c r="K4276" s="1">
        <f>Query1[[#This Row],[SF Running Total]]+Query1[[#This Row],[UNIV Running Total]]</f>
        <v>7034</v>
      </c>
      <c r="L4276">
        <f>VLOOKUP(Query1[[#This Row],[Description]],'kits to boards'!$B$2:$E$156,2,FALSE)</f>
        <v>830036</v>
      </c>
      <c r="M4276">
        <f>VLOOKUP(Query1[[#This Row],[Description]],'kits to boards'!$B$2:$E$156,3,FALSE)</f>
        <v>830039</v>
      </c>
      <c r="N4276">
        <f>VLOOKUP(Query1[[#This Row],[Description]],'kits to boards'!$B$2:$E$156,4,FALSE)</f>
        <v>0</v>
      </c>
      <c r="O4276" t="str">
        <f>CONCATENATE(Query1[[#This Row],[Description]]," - ",Query1[[#This Row],[MB1]]," - ",Query1[[#This Row],[MB2]]," - ",Query1[[#This Row],[MB3]])</f>
        <v>EVAP KIT 63-66 VETTE WO AC - 830036 - 830039 - 0</v>
      </c>
    </row>
    <row r="4277" spans="1:15" x14ac:dyDescent="0.25">
      <c r="A4277" s="1">
        <v>920496</v>
      </c>
      <c r="B4277" s="1" t="s">
        <v>152</v>
      </c>
      <c r="C4277" s="1" t="s">
        <v>153</v>
      </c>
      <c r="D4277" s="2">
        <v>44671.618018321758</v>
      </c>
      <c r="E4277" s="1" t="s">
        <v>8</v>
      </c>
      <c r="F4277" s="1">
        <v>1</v>
      </c>
      <c r="G4277" s="1">
        <v>0</v>
      </c>
      <c r="H4277" s="6">
        <f>INT(Query1[[#This Row],[EntryDateTime]])</f>
        <v>44671</v>
      </c>
      <c r="I4277" s="1">
        <f>IF(Query1[[#This Row],[ItemType]]="EVAP KIT SF GEN IV",Query1[[#This Row],[OrderQty]]+I4276,I4276)</f>
        <v>5272</v>
      </c>
      <c r="J4277" s="1">
        <f>IF(Query1[[#This Row],[ItemType]]="EVAP KIT UNIVERSAL",Query1[[#This Row],[OrderQty]]+J4276,J4276)</f>
        <v>1763</v>
      </c>
      <c r="K4277" s="1">
        <f>Query1[[#This Row],[SF Running Total]]+Query1[[#This Row],[UNIV Running Total]]</f>
        <v>7035</v>
      </c>
      <c r="L4277">
        <f>VLOOKUP(Query1[[#This Row],[Description]],'kits to boards'!$B$2:$E$156,2,FALSE)</f>
        <v>830034</v>
      </c>
      <c r="M4277">
        <f>VLOOKUP(Query1[[#This Row],[Description]],'kits to boards'!$B$2:$E$156,3,FALSE)</f>
        <v>0</v>
      </c>
      <c r="N4277">
        <f>VLOOKUP(Query1[[#This Row],[Description]],'kits to boards'!$B$2:$E$156,4,FALSE)</f>
        <v>0</v>
      </c>
      <c r="O4277" t="str">
        <f>CONCATENATE(Query1[[#This Row],[Description]]," - ",Query1[[#This Row],[MB1]]," - ",Query1[[#This Row],[MB2]]," - ",Query1[[#This Row],[MB3]])</f>
        <v>EVAP KIT 64-67 GTO WO AC - 830034 - 0 - 0</v>
      </c>
    </row>
    <row r="4278" spans="1:15" x14ac:dyDescent="0.25">
      <c r="A4278" s="1">
        <v>920499</v>
      </c>
      <c r="B4278" s="1" t="s">
        <v>194</v>
      </c>
      <c r="C4278" s="1" t="s">
        <v>195</v>
      </c>
      <c r="D4278" s="2">
        <v>44671.624396099534</v>
      </c>
      <c r="E4278" s="1" t="s">
        <v>8</v>
      </c>
      <c r="F4278" s="1">
        <v>1</v>
      </c>
      <c r="G4278" s="1">
        <v>0</v>
      </c>
      <c r="H4278" s="6">
        <f>INT(Query1[[#This Row],[EntryDateTime]])</f>
        <v>44671</v>
      </c>
      <c r="I4278" s="1">
        <f>IF(Query1[[#This Row],[ItemType]]="EVAP KIT SF GEN IV",Query1[[#This Row],[OrderQty]]+I4277,I4277)</f>
        <v>5273</v>
      </c>
      <c r="J4278" s="1">
        <f>IF(Query1[[#This Row],[ItemType]]="EVAP KIT UNIVERSAL",Query1[[#This Row],[OrderQty]]+J4277,J4277)</f>
        <v>1763</v>
      </c>
      <c r="K4278" s="1">
        <f>Query1[[#This Row],[SF Running Total]]+Query1[[#This Row],[UNIV Running Total]]</f>
        <v>7036</v>
      </c>
      <c r="L4278">
        <f>VLOOKUP(Query1[[#This Row],[Description]],'kits to boards'!$B$2:$E$156,2,FALSE)</f>
        <v>830103</v>
      </c>
      <c r="M4278">
        <f>VLOOKUP(Query1[[#This Row],[Description]],'kits to boards'!$B$2:$E$156,3,FALSE)</f>
        <v>0</v>
      </c>
      <c r="N4278">
        <f>VLOOKUP(Query1[[#This Row],[Description]],'kits to boards'!$B$2:$E$156,4,FALSE)</f>
        <v>0</v>
      </c>
      <c r="O4278" t="str">
        <f>CONCATENATE(Query1[[#This Row],[Description]]," - ",Query1[[#This Row],[MB1]]," - ",Query1[[#This Row],[MB2]]," - ",Query1[[#This Row],[MB3]])</f>
        <v>EVAP KIT 78-82 VETTE W/AC - 830103 - 0 - 0</v>
      </c>
    </row>
    <row r="4279" spans="1:15" x14ac:dyDescent="0.25">
      <c r="A4279" s="1">
        <v>920435</v>
      </c>
      <c r="B4279" s="1" t="s">
        <v>38</v>
      </c>
      <c r="C4279" s="1" t="s">
        <v>39</v>
      </c>
      <c r="D4279" s="2">
        <v>44671.637323182869</v>
      </c>
      <c r="E4279" s="1" t="s">
        <v>8</v>
      </c>
      <c r="F4279" s="1">
        <v>1</v>
      </c>
      <c r="G4279" s="1">
        <v>0</v>
      </c>
      <c r="H4279" s="6">
        <f>INT(Query1[[#This Row],[EntryDateTime]])</f>
        <v>44671</v>
      </c>
      <c r="I4279" s="1">
        <f>IF(Query1[[#This Row],[ItemType]]="EVAP KIT SF GEN IV",Query1[[#This Row],[OrderQty]]+I4278,I4278)</f>
        <v>5274</v>
      </c>
      <c r="J4279" s="1">
        <f>IF(Query1[[#This Row],[ItemType]]="EVAP KIT UNIVERSAL",Query1[[#This Row],[OrderQty]]+J4278,J4278)</f>
        <v>1763</v>
      </c>
      <c r="K4279" s="1">
        <f>Query1[[#This Row],[SF Running Total]]+Query1[[#This Row],[UNIV Running Total]]</f>
        <v>7037</v>
      </c>
      <c r="L4279">
        <f>VLOOKUP(Query1[[#This Row],[Description]],'kits to boards'!$B$2:$E$156,2,FALSE)</f>
        <v>830012</v>
      </c>
      <c r="M4279">
        <f>VLOOKUP(Query1[[#This Row],[Description]],'kits to boards'!$B$2:$E$156,3,FALSE)</f>
        <v>0</v>
      </c>
      <c r="N4279">
        <f>VLOOKUP(Query1[[#This Row],[Description]],'kits to boards'!$B$2:$E$156,4,FALSE)</f>
        <v>0</v>
      </c>
      <c r="O4279" t="str">
        <f>CONCATENATE(Query1[[#This Row],[Description]]," - ",Query1[[#This Row],[MB1]]," - ",Query1[[#This Row],[MB2]]," - ",Query1[[#This Row],[MB3]])</f>
        <v>EVAP KIT 69 CAMARO W/AC - 830012 - 0 - 0</v>
      </c>
    </row>
    <row r="4280" spans="1:15" x14ac:dyDescent="0.25">
      <c r="A4280" s="1">
        <v>919949</v>
      </c>
      <c r="B4280" s="1" t="s">
        <v>86</v>
      </c>
      <c r="C4280" s="1" t="s">
        <v>87</v>
      </c>
      <c r="D4280" s="2">
        <v>44671.640579247687</v>
      </c>
      <c r="E4280" s="1" t="s">
        <v>8</v>
      </c>
      <c r="F4280" s="1">
        <v>1</v>
      </c>
      <c r="G4280" s="1">
        <v>0</v>
      </c>
      <c r="H4280" s="6">
        <f>INT(Query1[[#This Row],[EntryDateTime]])</f>
        <v>44671</v>
      </c>
      <c r="I4280" s="1">
        <f>IF(Query1[[#This Row],[ItemType]]="EVAP KIT SF GEN IV",Query1[[#This Row],[OrderQty]]+I4279,I4279)</f>
        <v>5275</v>
      </c>
      <c r="J4280" s="1">
        <f>IF(Query1[[#This Row],[ItemType]]="EVAP KIT UNIVERSAL",Query1[[#This Row],[OrderQty]]+J4279,J4279)</f>
        <v>1763</v>
      </c>
      <c r="K4280" s="1">
        <f>Query1[[#This Row],[SF Running Total]]+Query1[[#This Row],[UNIV Running Total]]</f>
        <v>7038</v>
      </c>
      <c r="L4280">
        <f>VLOOKUP(Query1[[#This Row],[Description]],'kits to boards'!$B$2:$E$156,2,FALSE)</f>
        <v>830048</v>
      </c>
      <c r="M4280">
        <f>VLOOKUP(Query1[[#This Row],[Description]],'kits to boards'!$B$2:$E$156,3,FALSE)</f>
        <v>0</v>
      </c>
      <c r="N4280">
        <f>VLOOKUP(Query1[[#This Row],[Description]],'kits to boards'!$B$2:$E$156,4,FALSE)</f>
        <v>0</v>
      </c>
      <c r="O4280" t="str">
        <f>CONCATENATE(Query1[[#This Row],[Description]]," - ",Query1[[#This Row],[MB1]]," - ",Query1[[#This Row],[MB2]]," - ",Query1[[#This Row],[MB3]])</f>
        <v>EVAP KIT 66-67 NOVA - 830048 - 0 - 0</v>
      </c>
    </row>
    <row r="4281" spans="1:15" x14ac:dyDescent="0.25">
      <c r="A4281" s="1">
        <v>920521</v>
      </c>
      <c r="B4281" s="1" t="s">
        <v>94</v>
      </c>
      <c r="C4281" s="1" t="s">
        <v>95</v>
      </c>
      <c r="D4281" s="2">
        <v>44671.654235729169</v>
      </c>
      <c r="E4281" s="1" t="s">
        <v>8</v>
      </c>
      <c r="F4281" s="1">
        <v>1</v>
      </c>
      <c r="G4281" s="1">
        <v>0</v>
      </c>
      <c r="H4281" s="6">
        <f>INT(Query1[[#This Row],[EntryDateTime]])</f>
        <v>44671</v>
      </c>
      <c r="I4281" s="1">
        <f>IF(Query1[[#This Row],[ItemType]]="EVAP KIT SF GEN IV",Query1[[#This Row],[OrderQty]]+I4280,I4280)</f>
        <v>5276</v>
      </c>
      <c r="J4281" s="1">
        <f>IF(Query1[[#This Row],[ItemType]]="EVAP KIT UNIVERSAL",Query1[[#This Row],[OrderQty]]+J4280,J4280)</f>
        <v>1763</v>
      </c>
      <c r="K4281" s="1">
        <f>Query1[[#This Row],[SF Running Total]]+Query1[[#This Row],[UNIV Running Total]]</f>
        <v>7039</v>
      </c>
      <c r="L4281">
        <f>VLOOKUP(Query1[[#This Row],[Description]],'kits to boards'!$B$2:$E$156,2,FALSE)</f>
        <v>830076</v>
      </c>
      <c r="M4281">
        <f>VLOOKUP(Query1[[#This Row],[Description]],'kits to boards'!$B$2:$E$156,3,FALSE)</f>
        <v>0</v>
      </c>
      <c r="N4281">
        <f>VLOOKUP(Query1[[#This Row],[Description]],'kits to boards'!$B$2:$E$156,4,FALSE)</f>
        <v>0</v>
      </c>
      <c r="O4281" t="str">
        <f>CONCATENATE(Query1[[#This Row],[Description]]," - ",Query1[[#This Row],[MB1]]," - ",Query1[[#This Row],[MB2]]," - ",Query1[[#This Row],[MB3]])</f>
        <v>EVAP KIT 64 1/2- 66 MUSTANG  - 830076 - 0 - 0</v>
      </c>
    </row>
    <row r="4282" spans="1:15" x14ac:dyDescent="0.25">
      <c r="A4282" s="1">
        <v>920525</v>
      </c>
      <c r="B4282" s="1" t="s">
        <v>36</v>
      </c>
      <c r="C4282" s="1" t="s">
        <v>37</v>
      </c>
      <c r="D4282" s="2">
        <v>44671.658470752314</v>
      </c>
      <c r="E4282" s="1" t="s">
        <v>8</v>
      </c>
      <c r="F4282" s="1">
        <v>1</v>
      </c>
      <c r="G4282" s="1">
        <v>0</v>
      </c>
      <c r="H4282" s="6">
        <f>INT(Query1[[#This Row],[EntryDateTime]])</f>
        <v>44671</v>
      </c>
      <c r="I4282" s="1">
        <f>IF(Query1[[#This Row],[ItemType]]="EVAP KIT SF GEN IV",Query1[[#This Row],[OrderQty]]+I4281,I4281)</f>
        <v>5277</v>
      </c>
      <c r="J4282" s="1">
        <f>IF(Query1[[#This Row],[ItemType]]="EVAP KIT UNIVERSAL",Query1[[#This Row],[OrderQty]]+J4281,J4281)</f>
        <v>1763</v>
      </c>
      <c r="K4282" s="1">
        <f>Query1[[#This Row],[SF Running Total]]+Query1[[#This Row],[UNIV Running Total]]</f>
        <v>7040</v>
      </c>
      <c r="L4282">
        <f>VLOOKUP(Query1[[#This Row],[Description]],'kits to boards'!$B$2:$E$156,2,FALSE)</f>
        <v>830015</v>
      </c>
      <c r="M4282">
        <f>VLOOKUP(Query1[[#This Row],[Description]],'kits to boards'!$B$2:$E$156,3,FALSE)</f>
        <v>0</v>
      </c>
      <c r="N4282">
        <f>VLOOKUP(Query1[[#This Row],[Description]],'kits to boards'!$B$2:$E$156,4,FALSE)</f>
        <v>0</v>
      </c>
      <c r="O4282" t="str">
        <f>CONCATENATE(Query1[[#This Row],[Description]]," - ",Query1[[#This Row],[MB1]]," - ",Query1[[#This Row],[MB2]]," - ",Query1[[#This Row],[MB3]])</f>
        <v>EVAP KIT 64-66 CHEV P-UP WO AC W/STD - 830015 - 0 - 0</v>
      </c>
    </row>
    <row r="4283" spans="1:15" x14ac:dyDescent="0.25">
      <c r="A4283" s="1">
        <v>920543</v>
      </c>
      <c r="B4283" s="1" t="s">
        <v>108</v>
      </c>
      <c r="C4283" s="1" t="s">
        <v>109</v>
      </c>
      <c r="D4283" s="2">
        <v>44671.677952002312</v>
      </c>
      <c r="E4283" s="1" t="s">
        <v>8</v>
      </c>
      <c r="F4283" s="1">
        <v>1</v>
      </c>
      <c r="G4283" s="1">
        <v>0</v>
      </c>
      <c r="H4283" s="6">
        <f>INT(Query1[[#This Row],[EntryDateTime]])</f>
        <v>44671</v>
      </c>
      <c r="I4283" s="1">
        <f>IF(Query1[[#This Row],[ItemType]]="EVAP KIT SF GEN IV",Query1[[#This Row],[OrderQty]]+I4282,I4282)</f>
        <v>5278</v>
      </c>
      <c r="J4283" s="1">
        <f>IF(Query1[[#This Row],[ItemType]]="EVAP KIT UNIVERSAL",Query1[[#This Row],[OrderQty]]+J4282,J4282)</f>
        <v>1763</v>
      </c>
      <c r="K4283" s="1">
        <f>Query1[[#This Row],[SF Running Total]]+Query1[[#This Row],[UNIV Running Total]]</f>
        <v>7041</v>
      </c>
      <c r="L4283">
        <f>VLOOKUP(Query1[[#This Row],[Description]],'kits to boards'!$B$2:$E$156,2,FALSE)</f>
        <v>830105</v>
      </c>
      <c r="M4283">
        <f>VLOOKUP(Query1[[#This Row],[Description]],'kits to boards'!$B$2:$E$156,3,FALSE)</f>
        <v>830106</v>
      </c>
      <c r="N4283">
        <f>VLOOKUP(Query1[[#This Row],[Description]],'kits to boards'!$B$2:$E$156,4,FALSE)</f>
        <v>0</v>
      </c>
      <c r="O4283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4284" spans="1:15" x14ac:dyDescent="0.25">
      <c r="A4284" s="1">
        <v>920545</v>
      </c>
      <c r="B4284" s="1" t="s">
        <v>192</v>
      </c>
      <c r="C4284" s="1" t="s">
        <v>193</v>
      </c>
      <c r="D4284" s="2">
        <v>44671.680847071759</v>
      </c>
      <c r="E4284" s="1" t="s">
        <v>8</v>
      </c>
      <c r="F4284" s="1">
        <v>1</v>
      </c>
      <c r="G4284" s="1">
        <v>0</v>
      </c>
      <c r="H4284" s="6">
        <f>INT(Query1[[#This Row],[EntryDateTime]])</f>
        <v>44671</v>
      </c>
      <c r="I4284" s="1">
        <f>IF(Query1[[#This Row],[ItemType]]="EVAP KIT SF GEN IV",Query1[[#This Row],[OrderQty]]+I4283,I4283)</f>
        <v>5279</v>
      </c>
      <c r="J4284" s="1">
        <f>IF(Query1[[#This Row],[ItemType]]="EVAP KIT UNIVERSAL",Query1[[#This Row],[OrderQty]]+J4283,J4283)</f>
        <v>1763</v>
      </c>
      <c r="K4284" s="1">
        <f>Query1[[#This Row],[SF Running Total]]+Query1[[#This Row],[UNIV Running Total]]</f>
        <v>7042</v>
      </c>
      <c r="L4284">
        <f>VLOOKUP(Query1[[#This Row],[Description]],'kits to boards'!$B$2:$E$156,2,FALSE)</f>
        <v>830094</v>
      </c>
      <c r="M4284">
        <f>VLOOKUP(Query1[[#This Row],[Description]],'kits to boards'!$B$2:$E$156,3,FALSE)</f>
        <v>0</v>
      </c>
      <c r="N4284">
        <f>VLOOKUP(Query1[[#This Row],[Description]],'kits to boards'!$B$2:$E$156,4,FALSE)</f>
        <v>0</v>
      </c>
      <c r="O4284" t="str">
        <f>CONCATENATE(Query1[[#This Row],[Description]]," - ",Query1[[#This Row],[MB1]]," - ",Query1[[#This Row],[MB2]]," - ",Query1[[#This Row],[MB3]])</f>
        <v>EVAP KIT 69-73 VETTE W/AC - 830094 - 0 - 0</v>
      </c>
    </row>
    <row r="4285" spans="1:15" x14ac:dyDescent="0.25">
      <c r="A4285" s="1">
        <v>916974</v>
      </c>
      <c r="B4285" s="1" t="s">
        <v>14</v>
      </c>
      <c r="C4285" s="1" t="s">
        <v>15</v>
      </c>
      <c r="D4285" s="2">
        <v>44671.683872337962</v>
      </c>
      <c r="E4285" s="1" t="s">
        <v>8</v>
      </c>
      <c r="F4285" s="1">
        <v>1</v>
      </c>
      <c r="G4285" s="1">
        <v>0</v>
      </c>
      <c r="H4285" s="6">
        <f>INT(Query1[[#This Row],[EntryDateTime]])</f>
        <v>44671</v>
      </c>
      <c r="I4285" s="1">
        <f>IF(Query1[[#This Row],[ItemType]]="EVAP KIT SF GEN IV",Query1[[#This Row],[OrderQty]]+I4284,I4284)</f>
        <v>5280</v>
      </c>
      <c r="J4285" s="1">
        <f>IF(Query1[[#This Row],[ItemType]]="EVAP KIT UNIVERSAL",Query1[[#This Row],[OrderQty]]+J4284,J4284)</f>
        <v>1763</v>
      </c>
      <c r="K4285" s="1">
        <f>Query1[[#This Row],[SF Running Total]]+Query1[[#This Row],[UNIV Running Total]]</f>
        <v>7043</v>
      </c>
      <c r="L4285">
        <f>VLOOKUP(Query1[[#This Row],[Description]],'kits to boards'!$B$2:$E$156,2,FALSE)</f>
        <v>830054</v>
      </c>
      <c r="M4285">
        <f>VLOOKUP(Query1[[#This Row],[Description]],'kits to boards'!$B$2:$E$156,3,FALSE)</f>
        <v>0</v>
      </c>
      <c r="N4285">
        <f>VLOOKUP(Query1[[#This Row],[Description]],'kits to boards'!$B$2:$E$156,4,FALSE)</f>
        <v>0</v>
      </c>
      <c r="O4285" t="str">
        <f>CONCATENATE(Query1[[#This Row],[Description]]," - ",Query1[[#This Row],[MB1]]," - ",Query1[[#This Row],[MB2]]," - ",Query1[[#This Row],[MB3]])</f>
        <v>EVAP KIT 55-56 CHEVY - 830054 - 0 - 0</v>
      </c>
    </row>
    <row r="4286" spans="1:15" x14ac:dyDescent="0.25">
      <c r="A4286" s="1">
        <v>920549</v>
      </c>
      <c r="B4286" s="1" t="s">
        <v>96</v>
      </c>
      <c r="C4286" s="1" t="s">
        <v>97</v>
      </c>
      <c r="D4286" s="2">
        <v>44671.690138113423</v>
      </c>
      <c r="E4286" s="1" t="s">
        <v>8</v>
      </c>
      <c r="F4286" s="1">
        <v>1</v>
      </c>
      <c r="G4286" s="1">
        <v>0</v>
      </c>
      <c r="H4286" s="6">
        <f>INT(Query1[[#This Row],[EntryDateTime]])</f>
        <v>44671</v>
      </c>
      <c r="I4286" s="1">
        <f>IF(Query1[[#This Row],[ItemType]]="EVAP KIT SF GEN IV",Query1[[#This Row],[OrderQty]]+I4285,I4285)</f>
        <v>5281</v>
      </c>
      <c r="J4286" s="1">
        <f>IF(Query1[[#This Row],[ItemType]]="EVAP KIT UNIVERSAL",Query1[[#This Row],[OrderQty]]+J4285,J4285)</f>
        <v>1763</v>
      </c>
      <c r="K4286" s="1">
        <f>Query1[[#This Row],[SF Running Total]]+Query1[[#This Row],[UNIV Running Total]]</f>
        <v>7044</v>
      </c>
      <c r="L4286">
        <f>VLOOKUP(Query1[[#This Row],[Description]],'kits to boards'!$B$2:$E$156,2,FALSE)</f>
        <v>830004</v>
      </c>
      <c r="M4286">
        <f>VLOOKUP(Query1[[#This Row],[Description]],'kits to boards'!$B$2:$E$156,3,FALSE)</f>
        <v>0</v>
      </c>
      <c r="N4286">
        <f>VLOOKUP(Query1[[#This Row],[Description]],'kits to boards'!$B$2:$E$156,4,FALSE)</f>
        <v>0</v>
      </c>
      <c r="O4286" t="str">
        <f>CONCATENATE(Query1[[#This Row],[Description]]," - ",Query1[[#This Row],[MB1]]," - ",Query1[[#This Row],[MB2]]," - ",Query1[[#This Row],[MB3]])</f>
        <v>EVAP KIT 81-87 CHEV P-UP W/AC - 830004 - 0 - 0</v>
      </c>
    </row>
    <row r="4287" spans="1:15" x14ac:dyDescent="0.25">
      <c r="A4287" s="1">
        <v>920555</v>
      </c>
      <c r="B4287" s="1" t="s">
        <v>22</v>
      </c>
      <c r="C4287" s="1" t="s">
        <v>23</v>
      </c>
      <c r="D4287" s="2">
        <v>44672.320691631947</v>
      </c>
      <c r="E4287" s="1" t="s">
        <v>8</v>
      </c>
      <c r="F4287" s="1">
        <v>4</v>
      </c>
      <c r="G4287" s="1">
        <v>0</v>
      </c>
      <c r="H4287" s="6">
        <f>INT(Query1[[#This Row],[EntryDateTime]])</f>
        <v>44672</v>
      </c>
      <c r="I4287" s="1">
        <f>IF(Query1[[#This Row],[ItemType]]="EVAP KIT SF GEN IV",Query1[[#This Row],[OrderQty]]+I4286,I4286)</f>
        <v>5285</v>
      </c>
      <c r="J4287" s="1">
        <f>IF(Query1[[#This Row],[ItemType]]="EVAP KIT UNIVERSAL",Query1[[#This Row],[OrderQty]]+J4286,J4286)</f>
        <v>1763</v>
      </c>
      <c r="K4287" s="1">
        <f>Query1[[#This Row],[SF Running Total]]+Query1[[#This Row],[UNIV Running Total]]</f>
        <v>7048</v>
      </c>
      <c r="L4287">
        <f>VLOOKUP(Query1[[#This Row],[Description]],'kits to boards'!$B$2:$E$156,2,FALSE)</f>
        <v>830083</v>
      </c>
      <c r="M4287">
        <f>VLOOKUP(Query1[[#This Row],[Description]],'kits to boards'!$B$2:$E$156,3,FALSE)</f>
        <v>0</v>
      </c>
      <c r="N4287">
        <f>VLOOKUP(Query1[[#This Row],[Description]],'kits to boards'!$B$2:$E$156,4,FALSE)</f>
        <v>0</v>
      </c>
      <c r="O4287" t="str">
        <f>CONCATENATE(Query1[[#This Row],[Description]]," - ",Query1[[#This Row],[MB1]]," - ",Query1[[#This Row],[MB2]]," - ",Query1[[#This Row],[MB3]])</f>
        <v>GEN IV MAGNUM EVAP KIT - 830083 - 0 - 0</v>
      </c>
    </row>
    <row r="4288" spans="1:15" x14ac:dyDescent="0.25">
      <c r="A4288" s="1">
        <v>920555</v>
      </c>
      <c r="B4288" s="1" t="s">
        <v>28</v>
      </c>
      <c r="C4288" s="1" t="s">
        <v>29</v>
      </c>
      <c r="D4288" s="2">
        <v>44672.320823263886</v>
      </c>
      <c r="E4288" s="1" t="s">
        <v>8</v>
      </c>
      <c r="F4288" s="1">
        <v>2</v>
      </c>
      <c r="G4288" s="1">
        <v>0</v>
      </c>
      <c r="H4288" s="6">
        <f>INT(Query1[[#This Row],[EntryDateTime]])</f>
        <v>44672</v>
      </c>
      <c r="I4288" s="1">
        <f>IF(Query1[[#This Row],[ItemType]]="EVAP KIT SF GEN IV",Query1[[#This Row],[OrderQty]]+I4287,I4287)</f>
        <v>5287</v>
      </c>
      <c r="J4288" s="1">
        <f>IF(Query1[[#This Row],[ItemType]]="EVAP KIT UNIVERSAL",Query1[[#This Row],[OrderQty]]+J4287,J4287)</f>
        <v>1763</v>
      </c>
      <c r="K4288" s="1">
        <f>Query1[[#This Row],[SF Running Total]]+Query1[[#This Row],[UNIV Running Total]]</f>
        <v>7050</v>
      </c>
      <c r="L4288">
        <f>VLOOKUP(Query1[[#This Row],[Description]],'kits to boards'!$B$2:$E$156,2,FALSE)</f>
        <v>830001</v>
      </c>
      <c r="M4288">
        <f>VLOOKUP(Query1[[#This Row],[Description]],'kits to boards'!$B$2:$E$156,3,FALSE)</f>
        <v>0</v>
      </c>
      <c r="N4288">
        <f>VLOOKUP(Query1[[#This Row],[Description]],'kits to boards'!$B$2:$E$156,4,FALSE)</f>
        <v>0</v>
      </c>
      <c r="O4288" t="str">
        <f>CONCATENATE(Query1[[#This Row],[Description]]," - ",Query1[[#This Row],[MB1]]," - ",Query1[[#This Row],[MB2]]," - ",Query1[[#This Row],[MB3]])</f>
        <v>EVAP KIT 73-80 CHEV P-UP W/AC - 830001 - 0 - 0</v>
      </c>
    </row>
    <row r="4289" spans="1:15" x14ac:dyDescent="0.25">
      <c r="A4289" s="1">
        <v>919574</v>
      </c>
      <c r="B4289" s="1" t="s">
        <v>74</v>
      </c>
      <c r="C4289" s="1" t="s">
        <v>75</v>
      </c>
      <c r="D4289" s="2">
        <v>44672.321422685185</v>
      </c>
      <c r="E4289" s="1" t="s">
        <v>8</v>
      </c>
      <c r="F4289" s="1">
        <v>1</v>
      </c>
      <c r="G4289" s="1">
        <v>0</v>
      </c>
      <c r="H4289" s="6">
        <f>INT(Query1[[#This Row],[EntryDateTime]])</f>
        <v>44672</v>
      </c>
      <c r="I4289" s="1">
        <f>IF(Query1[[#This Row],[ItemType]]="EVAP KIT SF GEN IV",Query1[[#This Row],[OrderQty]]+I4288,I4288)</f>
        <v>5288</v>
      </c>
      <c r="J4289" s="1">
        <f>IF(Query1[[#This Row],[ItemType]]="EVAP KIT UNIVERSAL",Query1[[#This Row],[OrderQty]]+J4288,J4288)</f>
        <v>1763</v>
      </c>
      <c r="K4289" s="1">
        <f>Query1[[#This Row],[SF Running Total]]+Query1[[#This Row],[UNIV Running Total]]</f>
        <v>7051</v>
      </c>
      <c r="L4289">
        <f>VLOOKUP(Query1[[#This Row],[Description]],'kits to boards'!$B$2:$E$156,2,FALSE)</f>
        <v>830065</v>
      </c>
      <c r="M4289">
        <f>VLOOKUP(Query1[[#This Row],[Description]],'kits to boards'!$B$2:$E$156,3,FALSE)</f>
        <v>0</v>
      </c>
      <c r="N4289">
        <f>VLOOKUP(Query1[[#This Row],[Description]],'kits to boards'!$B$2:$E$156,4,FALSE)</f>
        <v>0</v>
      </c>
      <c r="O4289" t="str">
        <f>CONCATENATE(Query1[[#This Row],[Description]]," - ",Query1[[#This Row],[MB1]]," - ",Query1[[#This Row],[MB2]]," - ",Query1[[#This Row],[MB3]])</f>
        <v>EVAP KIT 57 CHEV WO AC 4-VENT PLENUM - 830065 - 0 - 0</v>
      </c>
    </row>
    <row r="4290" spans="1:15" x14ac:dyDescent="0.25">
      <c r="A4290" s="1">
        <v>920556</v>
      </c>
      <c r="B4290" s="1" t="s">
        <v>46</v>
      </c>
      <c r="C4290" s="1" t="s">
        <v>47</v>
      </c>
      <c r="D4290" s="2">
        <v>44672.322241550923</v>
      </c>
      <c r="E4290" s="1" t="s">
        <v>8</v>
      </c>
      <c r="F4290" s="1">
        <v>1</v>
      </c>
      <c r="G4290" s="1">
        <v>0</v>
      </c>
      <c r="H4290" s="6">
        <f>INT(Query1[[#This Row],[EntryDateTime]])</f>
        <v>44672</v>
      </c>
      <c r="I4290" s="1">
        <f>IF(Query1[[#This Row],[ItemType]]="EVAP KIT SF GEN IV",Query1[[#This Row],[OrderQty]]+I4289,I4289)</f>
        <v>5289</v>
      </c>
      <c r="J4290" s="1">
        <f>IF(Query1[[#This Row],[ItemType]]="EVAP KIT UNIVERSAL",Query1[[#This Row],[OrderQty]]+J4289,J4289)</f>
        <v>1763</v>
      </c>
      <c r="K4290" s="1">
        <f>Query1[[#This Row],[SF Running Total]]+Query1[[#This Row],[UNIV Running Total]]</f>
        <v>7052</v>
      </c>
      <c r="L4290">
        <f>VLOOKUP(Query1[[#This Row],[Description]],'kits to boards'!$B$2:$E$156,2,FALSE)</f>
        <v>830018</v>
      </c>
      <c r="M4290">
        <f>VLOOKUP(Query1[[#This Row],[Description]],'kits to boards'!$B$2:$E$156,3,FALSE)</f>
        <v>0</v>
      </c>
      <c r="N4290">
        <f>VLOOKUP(Query1[[#This Row],[Description]],'kits to boards'!$B$2:$E$156,4,FALSE)</f>
        <v>0</v>
      </c>
      <c r="O4290" t="str">
        <f>CONCATENATE(Query1[[#This Row],[Description]]," - ",Query1[[#This Row],[MB1]]," - ",Query1[[#This Row],[MB2]]," - ",Query1[[#This Row],[MB3]])</f>
        <v>EVAP KIT 68-72 FORD P-UP F-100 - 830018 - 0 - 0</v>
      </c>
    </row>
    <row r="4291" spans="1:15" x14ac:dyDescent="0.25">
      <c r="A4291" s="1">
        <v>920558</v>
      </c>
      <c r="B4291" s="1" t="s">
        <v>214</v>
      </c>
      <c r="C4291" s="1" t="s">
        <v>215</v>
      </c>
      <c r="D4291" s="2">
        <v>44672.326503738426</v>
      </c>
      <c r="E4291" s="1" t="s">
        <v>8</v>
      </c>
      <c r="F4291" s="1">
        <v>1</v>
      </c>
      <c r="G4291" s="1">
        <v>0</v>
      </c>
      <c r="H4291" s="6">
        <f>INT(Query1[[#This Row],[EntryDateTime]])</f>
        <v>44672</v>
      </c>
      <c r="I4291" s="1">
        <f>IF(Query1[[#This Row],[ItemType]]="EVAP KIT SF GEN IV",Query1[[#This Row],[OrderQty]]+I4290,I4290)</f>
        <v>5290</v>
      </c>
      <c r="J4291" s="1">
        <f>IF(Query1[[#This Row],[ItemType]]="EVAP KIT UNIVERSAL",Query1[[#This Row],[OrderQty]]+J4290,J4290)</f>
        <v>1763</v>
      </c>
      <c r="K4291" s="1">
        <f>Query1[[#This Row],[SF Running Total]]+Query1[[#This Row],[UNIV Running Total]]</f>
        <v>7053</v>
      </c>
      <c r="L4291">
        <f>VLOOKUP(Query1[[#This Row],[Description]],'kits to boards'!$B$2:$E$156,2,FALSE)</f>
        <v>830072</v>
      </c>
      <c r="M4291">
        <f>VLOOKUP(Query1[[#This Row],[Description]],'kits to boards'!$B$2:$E$156,3,FALSE)</f>
        <v>0</v>
      </c>
      <c r="N4291">
        <f>VLOOKUP(Query1[[#This Row],[Description]],'kits to boards'!$B$2:$E$156,4,FALSE)</f>
        <v>0</v>
      </c>
      <c r="O4291" t="str">
        <f>CONCATENATE(Query1[[#This Row],[Description]]," - ",Query1[[#This Row],[MB1]]," - ",Query1[[#This Row],[MB2]]," - ",Query1[[#This Row],[MB3]])</f>
        <v>EVAP KIT 68 MOPAR B BODY WO AC - 830072 - 0 - 0</v>
      </c>
    </row>
    <row r="4292" spans="1:15" x14ac:dyDescent="0.25">
      <c r="A4292" s="1">
        <v>920445</v>
      </c>
      <c r="B4292" s="1" t="s">
        <v>194</v>
      </c>
      <c r="C4292" s="1" t="s">
        <v>195</v>
      </c>
      <c r="D4292" s="2">
        <v>44672.327915277776</v>
      </c>
      <c r="E4292" s="1" t="s">
        <v>8</v>
      </c>
      <c r="F4292" s="1">
        <v>1</v>
      </c>
      <c r="G4292" s="1">
        <v>0</v>
      </c>
      <c r="H4292" s="6">
        <f>INT(Query1[[#This Row],[EntryDateTime]])</f>
        <v>44672</v>
      </c>
      <c r="I4292" s="1">
        <f>IF(Query1[[#This Row],[ItemType]]="EVAP KIT SF GEN IV",Query1[[#This Row],[OrderQty]]+I4291,I4291)</f>
        <v>5291</v>
      </c>
      <c r="J4292" s="1">
        <f>IF(Query1[[#This Row],[ItemType]]="EVAP KIT UNIVERSAL",Query1[[#This Row],[OrderQty]]+J4291,J4291)</f>
        <v>1763</v>
      </c>
      <c r="K4292" s="1">
        <f>Query1[[#This Row],[SF Running Total]]+Query1[[#This Row],[UNIV Running Total]]</f>
        <v>7054</v>
      </c>
      <c r="L4292">
        <f>VLOOKUP(Query1[[#This Row],[Description]],'kits to boards'!$B$2:$E$156,2,FALSE)</f>
        <v>830103</v>
      </c>
      <c r="M4292">
        <f>VLOOKUP(Query1[[#This Row],[Description]],'kits to boards'!$B$2:$E$156,3,FALSE)</f>
        <v>0</v>
      </c>
      <c r="N4292">
        <f>VLOOKUP(Query1[[#This Row],[Description]],'kits to boards'!$B$2:$E$156,4,FALSE)</f>
        <v>0</v>
      </c>
      <c r="O4292" t="str">
        <f>CONCATENATE(Query1[[#This Row],[Description]]," - ",Query1[[#This Row],[MB1]]," - ",Query1[[#This Row],[MB2]]," - ",Query1[[#This Row],[MB3]])</f>
        <v>EVAP KIT 78-82 VETTE W/AC - 830103 - 0 - 0</v>
      </c>
    </row>
    <row r="4293" spans="1:15" x14ac:dyDescent="0.25">
      <c r="A4293" s="1">
        <v>920560</v>
      </c>
      <c r="B4293" s="1" t="s">
        <v>50</v>
      </c>
      <c r="C4293" s="1" t="s">
        <v>51</v>
      </c>
      <c r="D4293" s="2">
        <v>44672.328549618054</v>
      </c>
      <c r="E4293" s="1" t="s">
        <v>8</v>
      </c>
      <c r="F4293" s="1">
        <v>1</v>
      </c>
      <c r="G4293" s="1">
        <v>0</v>
      </c>
      <c r="H4293" s="6">
        <f>INT(Query1[[#This Row],[EntryDateTime]])</f>
        <v>44672</v>
      </c>
      <c r="I4293" s="1">
        <f>IF(Query1[[#This Row],[ItemType]]="EVAP KIT SF GEN IV",Query1[[#This Row],[OrderQty]]+I4292,I4292)</f>
        <v>5292</v>
      </c>
      <c r="J4293" s="1">
        <f>IF(Query1[[#This Row],[ItemType]]="EVAP KIT UNIVERSAL",Query1[[#This Row],[OrderQty]]+J4292,J4292)</f>
        <v>1763</v>
      </c>
      <c r="K4293" s="1">
        <f>Query1[[#This Row],[SF Running Total]]+Query1[[#This Row],[UNIV Running Total]]</f>
        <v>7055</v>
      </c>
      <c r="L4293">
        <f>VLOOKUP(Query1[[#This Row],[Description]],'kits to boards'!$B$2:$E$156,2,FALSE)</f>
        <v>830043</v>
      </c>
      <c r="M4293">
        <f>VLOOKUP(Query1[[#This Row],[Description]],'kits to boards'!$B$2:$E$156,3,FALSE)</f>
        <v>0</v>
      </c>
      <c r="N4293">
        <f>VLOOKUP(Query1[[#This Row],[Description]],'kits to boards'!$B$2:$E$156,4,FALSE)</f>
        <v>0</v>
      </c>
      <c r="O4293" t="str">
        <f>CONCATENATE(Query1[[#This Row],[Description]]," - ",Query1[[#This Row],[MB1]]," - ",Query1[[#This Row],[MB2]]," - ",Query1[[#This Row],[MB3]])</f>
        <v>EVAP KIT 69-74 NOVA WO AC - 830043 - 0 - 0</v>
      </c>
    </row>
    <row r="4294" spans="1:15" x14ac:dyDescent="0.25">
      <c r="A4294" s="1">
        <v>920569</v>
      </c>
      <c r="B4294" s="1" t="s">
        <v>22</v>
      </c>
      <c r="C4294" s="1" t="s">
        <v>23</v>
      </c>
      <c r="D4294" s="2">
        <v>44672.34086866898</v>
      </c>
      <c r="E4294" s="1" t="s">
        <v>8</v>
      </c>
      <c r="F4294" s="1">
        <v>3</v>
      </c>
      <c r="G4294" s="1">
        <v>0</v>
      </c>
      <c r="H4294" s="6">
        <f>INT(Query1[[#This Row],[EntryDateTime]])</f>
        <v>44672</v>
      </c>
      <c r="I4294" s="1">
        <f>IF(Query1[[#This Row],[ItemType]]="EVAP KIT SF GEN IV",Query1[[#This Row],[OrderQty]]+I4293,I4293)</f>
        <v>5295</v>
      </c>
      <c r="J4294" s="1">
        <f>IF(Query1[[#This Row],[ItemType]]="EVAP KIT UNIVERSAL",Query1[[#This Row],[OrderQty]]+J4293,J4293)</f>
        <v>1763</v>
      </c>
      <c r="K4294" s="1">
        <f>Query1[[#This Row],[SF Running Total]]+Query1[[#This Row],[UNIV Running Total]]</f>
        <v>7058</v>
      </c>
      <c r="L4294">
        <f>VLOOKUP(Query1[[#This Row],[Description]],'kits to boards'!$B$2:$E$156,2,FALSE)</f>
        <v>830083</v>
      </c>
      <c r="M4294">
        <f>VLOOKUP(Query1[[#This Row],[Description]],'kits to boards'!$B$2:$E$156,3,FALSE)</f>
        <v>0</v>
      </c>
      <c r="N4294">
        <f>VLOOKUP(Query1[[#This Row],[Description]],'kits to boards'!$B$2:$E$156,4,FALSE)</f>
        <v>0</v>
      </c>
      <c r="O4294" t="str">
        <f>CONCATENATE(Query1[[#This Row],[Description]]," - ",Query1[[#This Row],[MB1]]," - ",Query1[[#This Row],[MB2]]," - ",Query1[[#This Row],[MB3]])</f>
        <v>GEN IV MAGNUM EVAP KIT - 830083 - 0 - 0</v>
      </c>
    </row>
    <row r="4295" spans="1:15" x14ac:dyDescent="0.25">
      <c r="A4295" s="1">
        <v>920573</v>
      </c>
      <c r="B4295" s="1" t="s">
        <v>26</v>
      </c>
      <c r="C4295" s="1" t="s">
        <v>27</v>
      </c>
      <c r="D4295" s="2">
        <v>44672.3452903125</v>
      </c>
      <c r="E4295" s="1" t="s">
        <v>8</v>
      </c>
      <c r="F4295" s="1">
        <v>1</v>
      </c>
      <c r="G4295" s="1">
        <v>0</v>
      </c>
      <c r="H4295" s="6">
        <f>INT(Query1[[#This Row],[EntryDateTime]])</f>
        <v>44672</v>
      </c>
      <c r="I4295" s="1">
        <f>IF(Query1[[#This Row],[ItemType]]="EVAP KIT SF GEN IV",Query1[[#This Row],[OrderQty]]+I4294,I4294)</f>
        <v>5296</v>
      </c>
      <c r="J4295" s="1">
        <f>IF(Query1[[#This Row],[ItemType]]="EVAP KIT UNIVERSAL",Query1[[#This Row],[OrderQty]]+J4294,J4294)</f>
        <v>1763</v>
      </c>
      <c r="K4295" s="1">
        <f>Query1[[#This Row],[SF Running Total]]+Query1[[#This Row],[UNIV Running Total]]</f>
        <v>7059</v>
      </c>
      <c r="L4295">
        <f>VLOOKUP(Query1[[#This Row],[Description]],'kits to boards'!$B$2:$E$156,2,FALSE)</f>
        <v>830013</v>
      </c>
      <c r="M4295">
        <f>VLOOKUP(Query1[[#This Row],[Description]],'kits to boards'!$B$2:$E$156,3,FALSE)</f>
        <v>0</v>
      </c>
      <c r="N4295">
        <f>VLOOKUP(Query1[[#This Row],[Description]],'kits to boards'!$B$2:$E$156,4,FALSE)</f>
        <v>0</v>
      </c>
      <c r="O4295" t="str">
        <f>CONCATENATE(Query1[[#This Row],[Description]]," - ",Query1[[#This Row],[MB1]]," - ",Query1[[#This Row],[MB2]]," - ",Query1[[#This Row],[MB3]])</f>
        <v>EVAP KIT 67-72 CHEV P-UP W/AC - 830013 - 0 - 0</v>
      </c>
    </row>
    <row r="4296" spans="1:15" x14ac:dyDescent="0.25">
      <c r="A4296" s="1">
        <v>920576</v>
      </c>
      <c r="B4296" s="1" t="s">
        <v>124</v>
      </c>
      <c r="C4296" s="1" t="s">
        <v>125</v>
      </c>
      <c r="D4296" s="2">
        <v>44672.348892013892</v>
      </c>
      <c r="E4296" s="1" t="s">
        <v>8</v>
      </c>
      <c r="F4296" s="1">
        <v>1</v>
      </c>
      <c r="G4296" s="1">
        <v>0</v>
      </c>
      <c r="H4296" s="6">
        <f>INT(Query1[[#This Row],[EntryDateTime]])</f>
        <v>44672</v>
      </c>
      <c r="I4296" s="1">
        <f>IF(Query1[[#This Row],[ItemType]]="EVAP KIT SF GEN IV",Query1[[#This Row],[OrderQty]]+I4295,I4295)</f>
        <v>5297</v>
      </c>
      <c r="J4296" s="1">
        <f>IF(Query1[[#This Row],[ItemType]]="EVAP KIT UNIVERSAL",Query1[[#This Row],[OrderQty]]+J4295,J4295)</f>
        <v>1763</v>
      </c>
      <c r="K4296" s="1">
        <f>Query1[[#This Row],[SF Running Total]]+Query1[[#This Row],[UNIV Running Total]]</f>
        <v>7060</v>
      </c>
      <c r="L4296">
        <f>VLOOKUP(Query1[[#This Row],[Description]],'kits to boards'!$B$2:$E$156,2,FALSE)</f>
        <v>830002</v>
      </c>
      <c r="M4296">
        <f>VLOOKUP(Query1[[#This Row],[Description]],'kits to boards'!$B$2:$E$156,3,FALSE)</f>
        <v>0</v>
      </c>
      <c r="N4296">
        <f>VLOOKUP(Query1[[#This Row],[Description]],'kits to boards'!$B$2:$E$156,4,FALSE)</f>
        <v>0</v>
      </c>
      <c r="O4296" t="str">
        <f>CONCATENATE(Query1[[#This Row],[Description]]," - ",Query1[[#This Row],[MB1]]," - ",Query1[[#This Row],[MB2]]," - ",Query1[[#This Row],[MB3]])</f>
        <v>EVAP KIT 73-80 CHEV P-UP WO AC - 830002 - 0 - 0</v>
      </c>
    </row>
    <row r="4297" spans="1:15" x14ac:dyDescent="0.25">
      <c r="A4297" s="1">
        <v>920577</v>
      </c>
      <c r="B4297" s="1" t="s">
        <v>12</v>
      </c>
      <c r="C4297" s="1" t="s">
        <v>13</v>
      </c>
      <c r="D4297" s="2">
        <v>44672.350559525461</v>
      </c>
      <c r="E4297" s="1" t="s">
        <v>8</v>
      </c>
      <c r="F4297" s="1">
        <v>1</v>
      </c>
      <c r="G4297" s="1">
        <v>0</v>
      </c>
      <c r="H4297" s="6">
        <f>INT(Query1[[#This Row],[EntryDateTime]])</f>
        <v>44672</v>
      </c>
      <c r="I4297" s="1">
        <f>IF(Query1[[#This Row],[ItemType]]="EVAP KIT SF GEN IV",Query1[[#This Row],[OrderQty]]+I4296,I4296)</f>
        <v>5298</v>
      </c>
      <c r="J4297" s="1">
        <f>IF(Query1[[#This Row],[ItemType]]="EVAP KIT UNIVERSAL",Query1[[#This Row],[OrderQty]]+J4296,J4296)</f>
        <v>1763</v>
      </c>
      <c r="K4297" s="1">
        <f>Query1[[#This Row],[SF Running Total]]+Query1[[#This Row],[UNIV Running Total]]</f>
        <v>7061</v>
      </c>
      <c r="L4297">
        <f>VLOOKUP(Query1[[#This Row],[Description]],'kits to boards'!$B$2:$E$156,2,FALSE)</f>
        <v>830079</v>
      </c>
      <c r="M4297">
        <f>VLOOKUP(Query1[[#This Row],[Description]],'kits to boards'!$B$2:$E$156,3,FALSE)</f>
        <v>830046</v>
      </c>
      <c r="N4297">
        <f>VLOOKUP(Query1[[#This Row],[Description]],'kits to boards'!$B$2:$E$156,4,FALSE)</f>
        <v>0</v>
      </c>
      <c r="O4297" t="str">
        <f>CONCATENATE(Query1[[#This Row],[Description]]," - ",Query1[[#This Row],[MB1]]," - ",Query1[[#This Row],[MB2]]," - ",Query1[[#This Row],[MB3]])</f>
        <v>EVAP KIT 67-68 MUSTANG/COUGAR W/AC - 830079 - 830046 - 0</v>
      </c>
    </row>
    <row r="4298" spans="1:15" x14ac:dyDescent="0.25">
      <c r="A4298" s="1">
        <v>920580</v>
      </c>
      <c r="B4298" s="1" t="s">
        <v>94</v>
      </c>
      <c r="C4298" s="1" t="s">
        <v>95</v>
      </c>
      <c r="D4298" s="2">
        <v>44672.354230474535</v>
      </c>
      <c r="E4298" s="1" t="s">
        <v>8</v>
      </c>
      <c r="F4298" s="1">
        <v>1</v>
      </c>
      <c r="G4298" s="1">
        <v>0</v>
      </c>
      <c r="H4298" s="6">
        <f>INT(Query1[[#This Row],[EntryDateTime]])</f>
        <v>44672</v>
      </c>
      <c r="I4298" s="1">
        <f>IF(Query1[[#This Row],[ItemType]]="EVAP KIT SF GEN IV",Query1[[#This Row],[OrderQty]]+I4297,I4297)</f>
        <v>5299</v>
      </c>
      <c r="J4298" s="1">
        <f>IF(Query1[[#This Row],[ItemType]]="EVAP KIT UNIVERSAL",Query1[[#This Row],[OrderQty]]+J4297,J4297)</f>
        <v>1763</v>
      </c>
      <c r="K4298" s="1">
        <f>Query1[[#This Row],[SF Running Total]]+Query1[[#This Row],[UNIV Running Total]]</f>
        <v>7062</v>
      </c>
      <c r="L4298">
        <f>VLOOKUP(Query1[[#This Row],[Description]],'kits to boards'!$B$2:$E$156,2,FALSE)</f>
        <v>830076</v>
      </c>
      <c r="M4298">
        <f>VLOOKUP(Query1[[#This Row],[Description]],'kits to boards'!$B$2:$E$156,3,FALSE)</f>
        <v>0</v>
      </c>
      <c r="N4298">
        <f>VLOOKUP(Query1[[#This Row],[Description]],'kits to boards'!$B$2:$E$156,4,FALSE)</f>
        <v>0</v>
      </c>
      <c r="O4298" t="str">
        <f>CONCATENATE(Query1[[#This Row],[Description]]," - ",Query1[[#This Row],[MB1]]," - ",Query1[[#This Row],[MB2]]," - ",Query1[[#This Row],[MB3]])</f>
        <v>EVAP KIT 64 1/2- 66 MUSTANG  - 830076 - 0 - 0</v>
      </c>
    </row>
    <row r="4299" spans="1:15" x14ac:dyDescent="0.25">
      <c r="A4299" s="1">
        <v>920585</v>
      </c>
      <c r="B4299" s="1" t="s">
        <v>222</v>
      </c>
      <c r="C4299" s="1" t="s">
        <v>223</v>
      </c>
      <c r="D4299" s="2">
        <v>44672.36299603009</v>
      </c>
      <c r="E4299" s="1" t="s">
        <v>8</v>
      </c>
      <c r="F4299" s="1">
        <v>4</v>
      </c>
      <c r="G4299" s="1">
        <v>0</v>
      </c>
      <c r="H4299" s="6">
        <f>INT(Query1[[#This Row],[EntryDateTime]])</f>
        <v>44672</v>
      </c>
      <c r="I4299" s="1">
        <f>IF(Query1[[#This Row],[ItemType]]="EVAP KIT SF GEN IV",Query1[[#This Row],[OrderQty]]+I4298,I4298)</f>
        <v>5303</v>
      </c>
      <c r="J4299" s="1">
        <f>IF(Query1[[#This Row],[ItemType]]="EVAP KIT UNIVERSAL",Query1[[#This Row],[OrderQty]]+J4298,J4298)</f>
        <v>1763</v>
      </c>
      <c r="K4299" s="1">
        <f>Query1[[#This Row],[SF Running Total]]+Query1[[#This Row],[UNIV Running Total]]</f>
        <v>7066</v>
      </c>
      <c r="L4299">
        <f>VLOOKUP(Query1[[#This Row],[Description]],'kits to boards'!$B$2:$E$156,2,FALSE)</f>
        <v>830093</v>
      </c>
      <c r="M4299">
        <f>VLOOKUP(Query1[[#This Row],[Description]],'kits to boards'!$B$2:$E$156,3,FALSE)</f>
        <v>0</v>
      </c>
      <c r="N4299">
        <f>VLOOKUP(Query1[[#This Row],[Description]],'kits to boards'!$B$2:$E$156,4,FALSE)</f>
        <v>0</v>
      </c>
      <c r="O4299" t="str">
        <f>CONCATENATE(Query1[[#This Row],[Description]]," - ",Query1[[#This Row],[MB1]]," - ",Query1[[#This Row],[MB2]]," - ",Query1[[#This Row],[MB3]])</f>
        <v>EVAP KIT 67 VETTE WO AC - 830093 - 0 - 0</v>
      </c>
    </row>
    <row r="4300" spans="1:15" x14ac:dyDescent="0.25">
      <c r="A4300" s="1">
        <v>920587</v>
      </c>
      <c r="B4300" s="1" t="s">
        <v>192</v>
      </c>
      <c r="C4300" s="1" t="s">
        <v>193</v>
      </c>
      <c r="D4300" s="2">
        <v>44672.36625269676</v>
      </c>
      <c r="E4300" s="1" t="s">
        <v>8</v>
      </c>
      <c r="F4300" s="1">
        <v>1</v>
      </c>
      <c r="G4300" s="1">
        <v>0</v>
      </c>
      <c r="H4300" s="6">
        <f>INT(Query1[[#This Row],[EntryDateTime]])</f>
        <v>44672</v>
      </c>
      <c r="I4300" s="1">
        <f>IF(Query1[[#This Row],[ItemType]]="EVAP KIT SF GEN IV",Query1[[#This Row],[OrderQty]]+I4299,I4299)</f>
        <v>5304</v>
      </c>
      <c r="J4300" s="1">
        <f>IF(Query1[[#This Row],[ItemType]]="EVAP KIT UNIVERSAL",Query1[[#This Row],[OrderQty]]+J4299,J4299)</f>
        <v>1763</v>
      </c>
      <c r="K4300" s="1">
        <f>Query1[[#This Row],[SF Running Total]]+Query1[[#This Row],[UNIV Running Total]]</f>
        <v>7067</v>
      </c>
      <c r="L4300">
        <f>VLOOKUP(Query1[[#This Row],[Description]],'kits to boards'!$B$2:$E$156,2,FALSE)</f>
        <v>830094</v>
      </c>
      <c r="M4300">
        <f>VLOOKUP(Query1[[#This Row],[Description]],'kits to boards'!$B$2:$E$156,3,FALSE)</f>
        <v>0</v>
      </c>
      <c r="N4300">
        <f>VLOOKUP(Query1[[#This Row],[Description]],'kits to boards'!$B$2:$E$156,4,FALSE)</f>
        <v>0</v>
      </c>
      <c r="O4300" t="str">
        <f>CONCATENATE(Query1[[#This Row],[Description]]," - ",Query1[[#This Row],[MB1]]," - ",Query1[[#This Row],[MB2]]," - ",Query1[[#This Row],[MB3]])</f>
        <v>EVAP KIT 69-73 VETTE W/AC - 830094 - 0 - 0</v>
      </c>
    </row>
    <row r="4301" spans="1:15" x14ac:dyDescent="0.25">
      <c r="A4301" s="1">
        <v>920588</v>
      </c>
      <c r="B4301" s="1" t="s">
        <v>108</v>
      </c>
      <c r="C4301" s="1" t="s">
        <v>109</v>
      </c>
      <c r="D4301" s="2">
        <v>44672.366523842589</v>
      </c>
      <c r="E4301" s="1" t="s">
        <v>8</v>
      </c>
      <c r="F4301" s="1">
        <v>1</v>
      </c>
      <c r="G4301" s="1">
        <v>0</v>
      </c>
      <c r="H4301" s="6">
        <f>INT(Query1[[#This Row],[EntryDateTime]])</f>
        <v>44672</v>
      </c>
      <c r="I4301" s="1">
        <f>IF(Query1[[#This Row],[ItemType]]="EVAP KIT SF GEN IV",Query1[[#This Row],[OrderQty]]+I4300,I4300)</f>
        <v>5305</v>
      </c>
      <c r="J4301" s="1">
        <f>IF(Query1[[#This Row],[ItemType]]="EVAP KIT UNIVERSAL",Query1[[#This Row],[OrderQty]]+J4300,J4300)</f>
        <v>1763</v>
      </c>
      <c r="K4301" s="1">
        <f>Query1[[#This Row],[SF Running Total]]+Query1[[#This Row],[UNIV Running Total]]</f>
        <v>7068</v>
      </c>
      <c r="L4301">
        <f>VLOOKUP(Query1[[#This Row],[Description]],'kits to boards'!$B$2:$E$156,2,FALSE)</f>
        <v>830105</v>
      </c>
      <c r="M4301">
        <f>VLOOKUP(Query1[[#This Row],[Description]],'kits to boards'!$B$2:$E$156,3,FALSE)</f>
        <v>830106</v>
      </c>
      <c r="N4301">
        <f>VLOOKUP(Query1[[#This Row],[Description]],'kits to boards'!$B$2:$E$156,4,FALSE)</f>
        <v>0</v>
      </c>
      <c r="O4301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4302" spans="1:15" x14ac:dyDescent="0.25">
      <c r="A4302" s="1">
        <v>920591</v>
      </c>
      <c r="B4302" s="1" t="s">
        <v>44</v>
      </c>
      <c r="C4302" s="1" t="s">
        <v>45</v>
      </c>
      <c r="D4302" s="2">
        <v>44672.368561770832</v>
      </c>
      <c r="E4302" s="1" t="s">
        <v>8</v>
      </c>
      <c r="F4302" s="1">
        <v>1</v>
      </c>
      <c r="G4302" s="1">
        <v>0</v>
      </c>
      <c r="H4302" s="6">
        <f>INT(Query1[[#This Row],[EntryDateTime]])</f>
        <v>44672</v>
      </c>
      <c r="I4302" s="1">
        <f>IF(Query1[[#This Row],[ItemType]]="EVAP KIT SF GEN IV",Query1[[#This Row],[OrderQty]]+I4301,I4301)</f>
        <v>5306</v>
      </c>
      <c r="J4302" s="1">
        <f>IF(Query1[[#This Row],[ItemType]]="EVAP KIT UNIVERSAL",Query1[[#This Row],[OrderQty]]+J4301,J4301)</f>
        <v>1763</v>
      </c>
      <c r="K4302" s="1">
        <f>Query1[[#This Row],[SF Running Total]]+Query1[[#This Row],[UNIV Running Total]]</f>
        <v>7069</v>
      </c>
      <c r="L4302">
        <f>VLOOKUP(Query1[[#This Row],[Description]],'kits to boards'!$B$2:$E$156,2,FALSE)</f>
        <v>830085</v>
      </c>
      <c r="M4302">
        <f>VLOOKUP(Query1[[#This Row],[Description]],'kits to boards'!$B$2:$E$156,3,FALSE)</f>
        <v>0</v>
      </c>
      <c r="N4302">
        <f>VLOOKUP(Query1[[#This Row],[Description]],'kits to boards'!$B$2:$E$156,4,FALSE)</f>
        <v>0</v>
      </c>
      <c r="O4302" t="str">
        <f>CONCATENATE(Query1[[#This Row],[Description]]," - ",Query1[[#This Row],[MB1]]," - ",Query1[[#This Row],[MB2]]," - ",Query1[[#This Row],[MB3]])</f>
        <v>EVAP KIT 66-77 BRONCO - 830085 - 0 - 0</v>
      </c>
    </row>
    <row r="4303" spans="1:15" x14ac:dyDescent="0.25">
      <c r="A4303" s="1">
        <v>920597</v>
      </c>
      <c r="B4303" s="1" t="s">
        <v>222</v>
      </c>
      <c r="C4303" s="1" t="s">
        <v>223</v>
      </c>
      <c r="D4303" s="2">
        <v>44672.38328746528</v>
      </c>
      <c r="E4303" s="1" t="s">
        <v>8</v>
      </c>
      <c r="F4303" s="1">
        <v>1</v>
      </c>
      <c r="G4303" s="1">
        <v>0</v>
      </c>
      <c r="H4303" s="6">
        <f>INT(Query1[[#This Row],[EntryDateTime]])</f>
        <v>44672</v>
      </c>
      <c r="I4303" s="1">
        <f>IF(Query1[[#This Row],[ItemType]]="EVAP KIT SF GEN IV",Query1[[#This Row],[OrderQty]]+I4302,I4302)</f>
        <v>5307</v>
      </c>
      <c r="J4303" s="1">
        <f>IF(Query1[[#This Row],[ItemType]]="EVAP KIT UNIVERSAL",Query1[[#This Row],[OrderQty]]+J4302,J4302)</f>
        <v>1763</v>
      </c>
      <c r="K4303" s="1">
        <f>Query1[[#This Row],[SF Running Total]]+Query1[[#This Row],[UNIV Running Total]]</f>
        <v>7070</v>
      </c>
      <c r="L4303">
        <f>VLOOKUP(Query1[[#This Row],[Description]],'kits to boards'!$B$2:$E$156,2,FALSE)</f>
        <v>830093</v>
      </c>
      <c r="M4303">
        <f>VLOOKUP(Query1[[#This Row],[Description]],'kits to boards'!$B$2:$E$156,3,FALSE)</f>
        <v>0</v>
      </c>
      <c r="N4303">
        <f>VLOOKUP(Query1[[#This Row],[Description]],'kits to boards'!$B$2:$E$156,4,FALSE)</f>
        <v>0</v>
      </c>
      <c r="O4303" t="str">
        <f>CONCATENATE(Query1[[#This Row],[Description]]," - ",Query1[[#This Row],[MB1]]," - ",Query1[[#This Row],[MB2]]," - ",Query1[[#This Row],[MB3]])</f>
        <v>EVAP KIT 67 VETTE WO AC - 830093 - 0 - 0</v>
      </c>
    </row>
    <row r="4304" spans="1:15" x14ac:dyDescent="0.25">
      <c r="A4304" s="1">
        <v>920444</v>
      </c>
      <c r="B4304" s="1" t="s">
        <v>52</v>
      </c>
      <c r="C4304" s="1" t="s">
        <v>53</v>
      </c>
      <c r="D4304" s="2">
        <v>44672.387971678239</v>
      </c>
      <c r="E4304" s="1" t="s">
        <v>8</v>
      </c>
      <c r="F4304" s="1">
        <v>1</v>
      </c>
      <c r="G4304" s="1">
        <v>0</v>
      </c>
      <c r="H4304" s="6">
        <f>INT(Query1[[#This Row],[EntryDateTime]])</f>
        <v>44672</v>
      </c>
      <c r="I4304" s="1">
        <f>IF(Query1[[#This Row],[ItemType]]="EVAP KIT SF GEN IV",Query1[[#This Row],[OrderQty]]+I4303,I4303)</f>
        <v>5308</v>
      </c>
      <c r="J4304" s="1">
        <f>IF(Query1[[#This Row],[ItemType]]="EVAP KIT UNIVERSAL",Query1[[#This Row],[OrderQty]]+J4303,J4303)</f>
        <v>1763</v>
      </c>
      <c r="K4304" s="1">
        <f>Query1[[#This Row],[SF Running Total]]+Query1[[#This Row],[UNIV Running Total]]</f>
        <v>7071</v>
      </c>
      <c r="L4304">
        <f>VLOOKUP(Query1[[#This Row],[Description]],'kits to boards'!$B$2:$E$156,2,FALSE)</f>
        <v>830017</v>
      </c>
      <c r="M4304">
        <f>VLOOKUP(Query1[[#This Row],[Description]],'kits to boards'!$B$2:$E$156,3,FALSE)</f>
        <v>830119</v>
      </c>
      <c r="N4304">
        <f>VLOOKUP(Query1[[#This Row],[Description]],'kits to boards'!$B$2:$E$156,4,FALSE)</f>
        <v>830120</v>
      </c>
      <c r="O4304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4305" spans="1:15" x14ac:dyDescent="0.25">
      <c r="A4305" s="1">
        <v>920607</v>
      </c>
      <c r="B4305" s="1" t="s">
        <v>228</v>
      </c>
      <c r="C4305" s="1" t="s">
        <v>229</v>
      </c>
      <c r="D4305" s="2">
        <v>44672.406880752314</v>
      </c>
      <c r="E4305" s="1" t="s">
        <v>8</v>
      </c>
      <c r="F4305" s="1">
        <v>1</v>
      </c>
      <c r="G4305" s="1">
        <v>0</v>
      </c>
      <c r="H4305" s="6">
        <f>INT(Query1[[#This Row],[EntryDateTime]])</f>
        <v>44672</v>
      </c>
      <c r="I4305" s="1">
        <f>IF(Query1[[#This Row],[ItemType]]="EVAP KIT SF GEN IV",Query1[[#This Row],[OrderQty]]+I4304,I4304)</f>
        <v>5309</v>
      </c>
      <c r="J4305" s="1">
        <f>IF(Query1[[#This Row],[ItemType]]="EVAP KIT UNIVERSAL",Query1[[#This Row],[OrderQty]]+J4304,J4304)</f>
        <v>1763</v>
      </c>
      <c r="K4305" s="1">
        <f>Query1[[#This Row],[SF Running Total]]+Query1[[#This Row],[UNIV Running Total]]</f>
        <v>7072</v>
      </c>
      <c r="L4305">
        <f>VLOOKUP(Query1[[#This Row],[Description]],'kits to boards'!$B$2:$E$156,2,FALSE)</f>
        <v>830044</v>
      </c>
      <c r="M4305">
        <f>VLOOKUP(Query1[[#This Row],[Description]],'kits to boards'!$B$2:$E$156,3,FALSE)</f>
        <v>0</v>
      </c>
      <c r="N4305">
        <f>VLOOKUP(Query1[[#This Row],[Description]],'kits to boards'!$B$2:$E$156,4,FALSE)</f>
        <v>0</v>
      </c>
      <c r="O4305" t="str">
        <f>CONCATENATE(Query1[[#This Row],[Description]]," - ",Query1[[#This Row],[MB1]]," - ",Query1[[#This Row],[MB2]]," - ",Query1[[#This Row],[MB3]])</f>
        <v>EVAP KIT 64-65 FALCON/RANCHERO - 830044 - 0 - 0</v>
      </c>
    </row>
    <row r="4306" spans="1:15" x14ac:dyDescent="0.25">
      <c r="A4306" s="1">
        <v>920609</v>
      </c>
      <c r="B4306" s="1" t="s">
        <v>28</v>
      </c>
      <c r="C4306" s="1" t="s">
        <v>29</v>
      </c>
      <c r="D4306" s="2">
        <v>44672.407534456019</v>
      </c>
      <c r="E4306" s="1" t="s">
        <v>8</v>
      </c>
      <c r="F4306" s="1">
        <v>1</v>
      </c>
      <c r="G4306" s="1">
        <v>0</v>
      </c>
      <c r="H4306" s="6">
        <f>INT(Query1[[#This Row],[EntryDateTime]])</f>
        <v>44672</v>
      </c>
      <c r="I4306" s="1">
        <f>IF(Query1[[#This Row],[ItemType]]="EVAP KIT SF GEN IV",Query1[[#This Row],[OrderQty]]+I4305,I4305)</f>
        <v>5310</v>
      </c>
      <c r="J4306" s="1">
        <f>IF(Query1[[#This Row],[ItemType]]="EVAP KIT UNIVERSAL",Query1[[#This Row],[OrderQty]]+J4305,J4305)</f>
        <v>1763</v>
      </c>
      <c r="K4306" s="1">
        <f>Query1[[#This Row],[SF Running Total]]+Query1[[#This Row],[UNIV Running Total]]</f>
        <v>7073</v>
      </c>
      <c r="L4306">
        <f>VLOOKUP(Query1[[#This Row],[Description]],'kits to boards'!$B$2:$E$156,2,FALSE)</f>
        <v>830001</v>
      </c>
      <c r="M4306">
        <f>VLOOKUP(Query1[[#This Row],[Description]],'kits to boards'!$B$2:$E$156,3,FALSE)</f>
        <v>0</v>
      </c>
      <c r="N4306">
        <f>VLOOKUP(Query1[[#This Row],[Description]],'kits to boards'!$B$2:$E$156,4,FALSE)</f>
        <v>0</v>
      </c>
      <c r="O4306" t="str">
        <f>CONCATENATE(Query1[[#This Row],[Description]]," - ",Query1[[#This Row],[MB1]]," - ",Query1[[#This Row],[MB2]]," - ",Query1[[#This Row],[MB3]])</f>
        <v>EVAP KIT 73-80 CHEV P-UP W/AC - 830001 - 0 - 0</v>
      </c>
    </row>
    <row r="4307" spans="1:15" x14ac:dyDescent="0.25">
      <c r="A4307" s="1">
        <v>920611</v>
      </c>
      <c r="B4307" s="1" t="s">
        <v>307</v>
      </c>
      <c r="C4307" s="1" t="s">
        <v>308</v>
      </c>
      <c r="D4307" s="2">
        <v>44672.414318483796</v>
      </c>
      <c r="E4307" s="1" t="s">
        <v>8</v>
      </c>
      <c r="F4307" s="1">
        <v>30</v>
      </c>
      <c r="G4307" s="1">
        <v>0</v>
      </c>
      <c r="H4307" s="6">
        <f>INT(Query1[[#This Row],[EntryDateTime]])</f>
        <v>44672</v>
      </c>
      <c r="I4307" s="1">
        <f>IF(Query1[[#This Row],[ItemType]]="EVAP KIT SF GEN IV",Query1[[#This Row],[OrderQty]]+I4306,I4306)</f>
        <v>5340</v>
      </c>
      <c r="J4307" s="1">
        <f>IF(Query1[[#This Row],[ItemType]]="EVAP KIT UNIVERSAL",Query1[[#This Row],[OrderQty]]+J4306,J4306)</f>
        <v>1763</v>
      </c>
      <c r="K4307" s="1">
        <f>Query1[[#This Row],[SF Running Total]]+Query1[[#This Row],[UNIV Running Total]]</f>
        <v>7103</v>
      </c>
      <c r="L4307">
        <f>VLOOKUP(Query1[[#This Row],[Description]],'kits to boards'!$B$2:$E$156,2,FALSE)</f>
        <v>830111</v>
      </c>
      <c r="M4307">
        <f>VLOOKUP(Query1[[#This Row],[Description]],'kits to boards'!$B$2:$E$156,3,FALSE)</f>
        <v>0</v>
      </c>
      <c r="N4307">
        <f>VLOOKUP(Query1[[#This Row],[Description]],'kits to boards'!$B$2:$E$156,4,FALSE)</f>
        <v>0</v>
      </c>
      <c r="O4307" t="str">
        <f>CONCATENATE(Query1[[#This Row],[Description]]," - ",Query1[[#This Row],[MB1]]," - ",Query1[[#This Row],[MB2]]," - ",Query1[[#This Row],[MB3]])</f>
        <v>EVAP KIT 66-77 BC BRONCO 4 VENT (CUSTOM) - 830111 - 0 - 0</v>
      </c>
    </row>
    <row r="4308" spans="1:15" x14ac:dyDescent="0.25">
      <c r="A4308" s="1">
        <v>920350</v>
      </c>
      <c r="B4308" s="1" t="s">
        <v>54</v>
      </c>
      <c r="C4308" s="1" t="s">
        <v>55</v>
      </c>
      <c r="D4308" s="2">
        <v>44672.445406597224</v>
      </c>
      <c r="E4308" s="1" t="s">
        <v>8</v>
      </c>
      <c r="F4308" s="1">
        <v>1</v>
      </c>
      <c r="G4308" s="1">
        <v>0</v>
      </c>
      <c r="H4308" s="6">
        <f>INT(Query1[[#This Row],[EntryDateTime]])</f>
        <v>44672</v>
      </c>
      <c r="I4308" s="1">
        <f>IF(Query1[[#This Row],[ItemType]]="EVAP KIT SF GEN IV",Query1[[#This Row],[OrderQty]]+I4307,I4307)</f>
        <v>5341</v>
      </c>
      <c r="J4308" s="1">
        <f>IF(Query1[[#This Row],[ItemType]]="EVAP KIT UNIVERSAL",Query1[[#This Row],[OrderQty]]+J4307,J4307)</f>
        <v>1763</v>
      </c>
      <c r="K4308" s="1">
        <f>Query1[[#This Row],[SF Running Total]]+Query1[[#This Row],[UNIV Running Total]]</f>
        <v>7104</v>
      </c>
      <c r="L4308">
        <f>VLOOKUP(Query1[[#This Row],[Description]],'kits to boards'!$B$2:$E$156,2,FALSE)</f>
        <v>830037</v>
      </c>
      <c r="M4308">
        <f>VLOOKUP(Query1[[#This Row],[Description]],'kits to boards'!$B$2:$E$156,3,FALSE)</f>
        <v>0</v>
      </c>
      <c r="N4308">
        <f>VLOOKUP(Query1[[#This Row],[Description]],'kits to boards'!$B$2:$E$156,4,FALSE)</f>
        <v>0</v>
      </c>
      <c r="O4308" t="str">
        <f>CONCATENATE(Query1[[#This Row],[Description]]," - ",Query1[[#This Row],[MB1]]," - ",Query1[[#This Row],[MB2]]," - ",Query1[[#This Row],[MB3]])</f>
        <v>EVAP KIT 70-81 FIREBIRD W/AC - 830037 - 0 - 0</v>
      </c>
    </row>
    <row r="4309" spans="1:15" x14ac:dyDescent="0.25">
      <c r="A4309" s="1">
        <v>920627</v>
      </c>
      <c r="B4309" s="1" t="s">
        <v>24</v>
      </c>
      <c r="C4309" s="1" t="s">
        <v>25</v>
      </c>
      <c r="D4309" s="2">
        <v>44672.457042326387</v>
      </c>
      <c r="E4309" s="1" t="s">
        <v>11</v>
      </c>
      <c r="F4309" s="1">
        <v>1</v>
      </c>
      <c r="G4309" s="1">
        <v>0</v>
      </c>
      <c r="H4309" s="6">
        <f>INT(Query1[[#This Row],[EntryDateTime]])</f>
        <v>44672</v>
      </c>
      <c r="I4309" s="1">
        <f>IF(Query1[[#This Row],[ItemType]]="EVAP KIT SF GEN IV",Query1[[#This Row],[OrderQty]]+I4308,I4308)</f>
        <v>5341</v>
      </c>
      <c r="J4309" s="1">
        <f>IF(Query1[[#This Row],[ItemType]]="EVAP KIT UNIVERSAL",Query1[[#This Row],[OrderQty]]+J4308,J4308)</f>
        <v>1764</v>
      </c>
      <c r="K4309" s="1">
        <f>Query1[[#This Row],[SF Running Total]]+Query1[[#This Row],[UNIV Running Total]]</f>
        <v>7105</v>
      </c>
      <c r="L4309">
        <f>VLOOKUP(Query1[[#This Row],[Description]],'kits to boards'!$B$2:$E$156,2,FALSE)</f>
        <v>830029</v>
      </c>
      <c r="M4309">
        <f>VLOOKUP(Query1[[#This Row],[Description]],'kits to boards'!$B$2:$E$156,3,FALSE)</f>
        <v>830030</v>
      </c>
      <c r="N4309">
        <f>VLOOKUP(Query1[[#This Row],[Description]],'kits to boards'!$B$2:$E$156,4,FALSE)</f>
        <v>0</v>
      </c>
      <c r="O4309" t="str">
        <f>CONCATENATE(Query1[[#This Row],[Description]]," - ",Query1[[#This Row],[MB1]]," - ",Query1[[#This Row],[MB2]]," - ",Query1[[#This Row],[MB3]])</f>
        <v>ComPac GEN II W/DEF - 830029 - 830030 - 0</v>
      </c>
    </row>
    <row r="4310" spans="1:15" x14ac:dyDescent="0.25">
      <c r="A4310" s="1">
        <v>920630</v>
      </c>
      <c r="B4310" s="1" t="s">
        <v>42</v>
      </c>
      <c r="C4310" s="1" t="s">
        <v>43</v>
      </c>
      <c r="D4310" s="2">
        <v>44672.461120370368</v>
      </c>
      <c r="E4310" s="1" t="s">
        <v>8</v>
      </c>
      <c r="F4310" s="1">
        <v>1</v>
      </c>
      <c r="G4310" s="1">
        <v>0</v>
      </c>
      <c r="H4310" s="6">
        <f>INT(Query1[[#This Row],[EntryDateTime]])</f>
        <v>44672</v>
      </c>
      <c r="I4310" s="1">
        <f>IF(Query1[[#This Row],[ItemType]]="EVAP KIT SF GEN IV",Query1[[#This Row],[OrderQty]]+I4309,I4309)</f>
        <v>5342</v>
      </c>
      <c r="J4310" s="1">
        <f>IF(Query1[[#This Row],[ItemType]]="EVAP KIT UNIVERSAL",Query1[[#This Row],[OrderQty]]+J4309,J4309)</f>
        <v>1764</v>
      </c>
      <c r="K4310" s="1">
        <f>Query1[[#This Row],[SF Running Total]]+Query1[[#This Row],[UNIV Running Total]]</f>
        <v>7106</v>
      </c>
      <c r="L4310">
        <f>VLOOKUP(Query1[[#This Row],[Description]],'kits to boards'!$B$2:$E$156,2,FALSE)</f>
        <v>830014</v>
      </c>
      <c r="M4310">
        <f>VLOOKUP(Query1[[#This Row],[Description]],'kits to boards'!$B$2:$E$156,3,FALSE)</f>
        <v>0</v>
      </c>
      <c r="N4310">
        <f>VLOOKUP(Query1[[#This Row],[Description]],'kits to boards'!$B$2:$E$156,4,FALSE)</f>
        <v>0</v>
      </c>
      <c r="O4310" t="str">
        <f>CONCATENATE(Query1[[#This Row],[Description]]," - ",Query1[[#This Row],[MB1]]," - ",Query1[[#This Row],[MB2]]," - ",Query1[[#This Row],[MB3]])</f>
        <v>EVAP KIT 67-72 CHEV P-UP WO AC - 830014 - 0 - 0</v>
      </c>
    </row>
    <row r="4311" spans="1:15" x14ac:dyDescent="0.25">
      <c r="A4311" s="1">
        <v>920637</v>
      </c>
      <c r="B4311" s="1" t="s">
        <v>28</v>
      </c>
      <c r="C4311" s="1" t="s">
        <v>29</v>
      </c>
      <c r="D4311" s="2">
        <v>44672.476788576387</v>
      </c>
      <c r="E4311" s="1" t="s">
        <v>8</v>
      </c>
      <c r="F4311" s="1">
        <v>1</v>
      </c>
      <c r="G4311" s="1">
        <v>0</v>
      </c>
      <c r="H4311" s="6">
        <f>INT(Query1[[#This Row],[EntryDateTime]])</f>
        <v>44672</v>
      </c>
      <c r="I4311" s="1">
        <f>IF(Query1[[#This Row],[ItemType]]="EVAP KIT SF GEN IV",Query1[[#This Row],[OrderQty]]+I4310,I4310)</f>
        <v>5343</v>
      </c>
      <c r="J4311" s="1">
        <f>IF(Query1[[#This Row],[ItemType]]="EVAP KIT UNIVERSAL",Query1[[#This Row],[OrderQty]]+J4310,J4310)</f>
        <v>1764</v>
      </c>
      <c r="K4311" s="1">
        <f>Query1[[#This Row],[SF Running Total]]+Query1[[#This Row],[UNIV Running Total]]</f>
        <v>7107</v>
      </c>
      <c r="L4311">
        <f>VLOOKUP(Query1[[#This Row],[Description]],'kits to boards'!$B$2:$E$156,2,FALSE)</f>
        <v>830001</v>
      </c>
      <c r="M4311">
        <f>VLOOKUP(Query1[[#This Row],[Description]],'kits to boards'!$B$2:$E$156,3,FALSE)</f>
        <v>0</v>
      </c>
      <c r="N4311">
        <f>VLOOKUP(Query1[[#This Row],[Description]],'kits to boards'!$B$2:$E$156,4,FALSE)</f>
        <v>0</v>
      </c>
      <c r="O4311" t="str">
        <f>CONCATENATE(Query1[[#This Row],[Description]]," - ",Query1[[#This Row],[MB1]]," - ",Query1[[#This Row],[MB2]]," - ",Query1[[#This Row],[MB3]])</f>
        <v>EVAP KIT 73-80 CHEV P-UP W/AC - 830001 - 0 - 0</v>
      </c>
    </row>
    <row r="4312" spans="1:15" x14ac:dyDescent="0.25">
      <c r="A4312" s="1">
        <v>920638</v>
      </c>
      <c r="B4312" s="1" t="s">
        <v>108</v>
      </c>
      <c r="C4312" s="1" t="s">
        <v>109</v>
      </c>
      <c r="D4312" s="2">
        <v>44672.478032060186</v>
      </c>
      <c r="E4312" s="1" t="s">
        <v>8</v>
      </c>
      <c r="F4312" s="1">
        <v>1</v>
      </c>
      <c r="G4312" s="1">
        <v>0</v>
      </c>
      <c r="H4312" s="6">
        <f>INT(Query1[[#This Row],[EntryDateTime]])</f>
        <v>44672</v>
      </c>
      <c r="I4312" s="1">
        <f>IF(Query1[[#This Row],[ItemType]]="EVAP KIT SF GEN IV",Query1[[#This Row],[OrderQty]]+I4311,I4311)</f>
        <v>5344</v>
      </c>
      <c r="J4312" s="1">
        <f>IF(Query1[[#This Row],[ItemType]]="EVAP KIT UNIVERSAL",Query1[[#This Row],[OrderQty]]+J4311,J4311)</f>
        <v>1764</v>
      </c>
      <c r="K4312" s="1">
        <f>Query1[[#This Row],[SF Running Total]]+Query1[[#This Row],[UNIV Running Total]]</f>
        <v>7108</v>
      </c>
      <c r="L4312">
        <f>VLOOKUP(Query1[[#This Row],[Description]],'kits to boards'!$B$2:$E$156,2,FALSE)</f>
        <v>830105</v>
      </c>
      <c r="M4312">
        <f>VLOOKUP(Query1[[#This Row],[Description]],'kits to boards'!$B$2:$E$156,3,FALSE)</f>
        <v>830106</v>
      </c>
      <c r="N4312">
        <f>VLOOKUP(Query1[[#This Row],[Description]],'kits to boards'!$B$2:$E$156,4,FALSE)</f>
        <v>0</v>
      </c>
      <c r="O4312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4313" spans="1:15" x14ac:dyDescent="0.25">
      <c r="A4313" s="1">
        <v>920639</v>
      </c>
      <c r="B4313" s="1" t="s">
        <v>46</v>
      </c>
      <c r="C4313" s="1" t="s">
        <v>47</v>
      </c>
      <c r="D4313" s="2">
        <v>44672.479690081018</v>
      </c>
      <c r="E4313" s="1" t="s">
        <v>8</v>
      </c>
      <c r="F4313" s="1">
        <v>1</v>
      </c>
      <c r="G4313" s="1">
        <v>0</v>
      </c>
      <c r="H4313" s="6">
        <f>INT(Query1[[#This Row],[EntryDateTime]])</f>
        <v>44672</v>
      </c>
      <c r="I4313" s="1">
        <f>IF(Query1[[#This Row],[ItemType]]="EVAP KIT SF GEN IV",Query1[[#This Row],[OrderQty]]+I4312,I4312)</f>
        <v>5345</v>
      </c>
      <c r="J4313" s="1">
        <f>IF(Query1[[#This Row],[ItemType]]="EVAP KIT UNIVERSAL",Query1[[#This Row],[OrderQty]]+J4312,J4312)</f>
        <v>1764</v>
      </c>
      <c r="K4313" s="1">
        <f>Query1[[#This Row],[SF Running Total]]+Query1[[#This Row],[UNIV Running Total]]</f>
        <v>7109</v>
      </c>
      <c r="L4313">
        <f>VLOOKUP(Query1[[#This Row],[Description]],'kits to boards'!$B$2:$E$156,2,FALSE)</f>
        <v>830018</v>
      </c>
      <c r="M4313">
        <f>VLOOKUP(Query1[[#This Row],[Description]],'kits to boards'!$B$2:$E$156,3,FALSE)</f>
        <v>0</v>
      </c>
      <c r="N4313">
        <f>VLOOKUP(Query1[[#This Row],[Description]],'kits to boards'!$B$2:$E$156,4,FALSE)</f>
        <v>0</v>
      </c>
      <c r="O4313" t="str">
        <f>CONCATENATE(Query1[[#This Row],[Description]]," - ",Query1[[#This Row],[MB1]]," - ",Query1[[#This Row],[MB2]]," - ",Query1[[#This Row],[MB3]])</f>
        <v>EVAP KIT 68-72 FORD P-UP F-100 - 830018 - 0 - 0</v>
      </c>
    </row>
    <row r="4314" spans="1:15" x14ac:dyDescent="0.25">
      <c r="A4314" s="1">
        <v>920642</v>
      </c>
      <c r="B4314" s="1" t="s">
        <v>218</v>
      </c>
      <c r="C4314" s="1" t="s">
        <v>219</v>
      </c>
      <c r="D4314" s="2">
        <v>44672.489590740741</v>
      </c>
      <c r="E4314" s="1" t="s">
        <v>8</v>
      </c>
      <c r="F4314" s="1">
        <v>1</v>
      </c>
      <c r="G4314" s="1">
        <v>0</v>
      </c>
      <c r="H4314" s="6">
        <f>INT(Query1[[#This Row],[EntryDateTime]])</f>
        <v>44672</v>
      </c>
      <c r="I4314" s="1">
        <f>IF(Query1[[#This Row],[ItemType]]="EVAP KIT SF GEN IV",Query1[[#This Row],[OrderQty]]+I4313,I4313)</f>
        <v>5346</v>
      </c>
      <c r="J4314" s="1">
        <f>IF(Query1[[#This Row],[ItemType]]="EVAP KIT UNIVERSAL",Query1[[#This Row],[OrderQty]]+J4313,J4313)</f>
        <v>1764</v>
      </c>
      <c r="K4314" s="1">
        <f>Query1[[#This Row],[SF Running Total]]+Query1[[#This Row],[UNIV Running Total]]</f>
        <v>7110</v>
      </c>
      <c r="L4314">
        <f>VLOOKUP(Query1[[#This Row],[Description]],'kits to boards'!$B$2:$E$156,2,FALSE)</f>
        <v>830022</v>
      </c>
      <c r="M4314">
        <f>VLOOKUP(Query1[[#This Row],[Description]],'kits to boards'!$B$2:$E$156,3,FALSE)</f>
        <v>0</v>
      </c>
      <c r="N4314">
        <f>VLOOKUP(Query1[[#This Row],[Description]],'kits to boards'!$B$2:$E$156,4,FALSE)</f>
        <v>0</v>
      </c>
      <c r="O4314" t="str">
        <f>CONCATENATE(Query1[[#This Row],[Description]]," - ",Query1[[#This Row],[MB1]]," - ",Query1[[#This Row],[MB2]]," - ",Query1[[#This Row],[MB3]])</f>
        <v>EVAP KIT 69 CUTLASS WO AC - 830022 - 0 - 0</v>
      </c>
    </row>
    <row r="4315" spans="1:15" x14ac:dyDescent="0.25">
      <c r="A4315" s="1">
        <v>918220</v>
      </c>
      <c r="B4315" s="1" t="s">
        <v>42</v>
      </c>
      <c r="C4315" s="1" t="s">
        <v>43</v>
      </c>
      <c r="D4315" s="2">
        <v>44672.490820833336</v>
      </c>
      <c r="E4315" s="1" t="s">
        <v>8</v>
      </c>
      <c r="F4315" s="1">
        <v>1</v>
      </c>
      <c r="G4315" s="1">
        <v>0</v>
      </c>
      <c r="H4315" s="6">
        <f>INT(Query1[[#This Row],[EntryDateTime]])</f>
        <v>44672</v>
      </c>
      <c r="I4315" s="1">
        <f>IF(Query1[[#This Row],[ItemType]]="EVAP KIT SF GEN IV",Query1[[#This Row],[OrderQty]]+I4314,I4314)</f>
        <v>5347</v>
      </c>
      <c r="J4315" s="1">
        <f>IF(Query1[[#This Row],[ItemType]]="EVAP KIT UNIVERSAL",Query1[[#This Row],[OrderQty]]+J4314,J4314)</f>
        <v>1764</v>
      </c>
      <c r="K4315" s="1">
        <f>Query1[[#This Row],[SF Running Total]]+Query1[[#This Row],[UNIV Running Total]]</f>
        <v>7111</v>
      </c>
      <c r="L4315">
        <f>VLOOKUP(Query1[[#This Row],[Description]],'kits to boards'!$B$2:$E$156,2,FALSE)</f>
        <v>830014</v>
      </c>
      <c r="M4315">
        <f>VLOOKUP(Query1[[#This Row],[Description]],'kits to boards'!$B$2:$E$156,3,FALSE)</f>
        <v>0</v>
      </c>
      <c r="N4315">
        <f>VLOOKUP(Query1[[#This Row],[Description]],'kits to boards'!$B$2:$E$156,4,FALSE)</f>
        <v>0</v>
      </c>
      <c r="O4315" t="str">
        <f>CONCATENATE(Query1[[#This Row],[Description]]," - ",Query1[[#This Row],[MB1]]," - ",Query1[[#This Row],[MB2]]," - ",Query1[[#This Row],[MB3]])</f>
        <v>EVAP KIT 67-72 CHEV P-UP WO AC - 830014 - 0 - 0</v>
      </c>
    </row>
    <row r="4316" spans="1:15" x14ac:dyDescent="0.25">
      <c r="A4316" s="1">
        <v>920644</v>
      </c>
      <c r="B4316" s="1" t="s">
        <v>122</v>
      </c>
      <c r="C4316" s="1" t="s">
        <v>123</v>
      </c>
      <c r="D4316" s="2">
        <v>44672.493788460648</v>
      </c>
      <c r="E4316" s="1" t="s">
        <v>8</v>
      </c>
      <c r="F4316" s="1">
        <v>2</v>
      </c>
      <c r="G4316" s="1">
        <v>0</v>
      </c>
      <c r="H4316" s="6">
        <f>INT(Query1[[#This Row],[EntryDateTime]])</f>
        <v>44672</v>
      </c>
      <c r="I4316" s="1">
        <f>IF(Query1[[#This Row],[ItemType]]="EVAP KIT SF GEN IV",Query1[[#This Row],[OrderQty]]+I4315,I4315)</f>
        <v>5349</v>
      </c>
      <c r="J4316" s="1">
        <f>IF(Query1[[#This Row],[ItemType]]="EVAP KIT UNIVERSAL",Query1[[#This Row],[OrderQty]]+J4315,J4315)</f>
        <v>1764</v>
      </c>
      <c r="K4316" s="1">
        <f>Query1[[#This Row],[SF Running Total]]+Query1[[#This Row],[UNIV Running Total]]</f>
        <v>7113</v>
      </c>
      <c r="L4316">
        <f>VLOOKUP(Query1[[#This Row],[Description]],'kits to boards'!$B$2:$E$156,2,FALSE)</f>
        <v>830027</v>
      </c>
      <c r="M4316">
        <f>VLOOKUP(Query1[[#This Row],[Description]],'kits to boards'!$B$2:$E$156,3,FALSE)</f>
        <v>0</v>
      </c>
      <c r="N4316">
        <f>VLOOKUP(Query1[[#This Row],[Description]],'kits to boards'!$B$2:$E$156,4,FALSE)</f>
        <v>0</v>
      </c>
      <c r="O4316" t="str">
        <f>CONCATENATE(Query1[[#This Row],[Description]]," - ",Query1[[#This Row],[MB1]]," - ",Query1[[#This Row],[MB2]]," - ",Query1[[#This Row],[MB3]])</f>
        <v>EVAP KIT 70-72 CUTLASS W/AC - 830027 - 0 - 0</v>
      </c>
    </row>
    <row r="4317" spans="1:15" x14ac:dyDescent="0.25">
      <c r="A4317" s="1">
        <v>920645</v>
      </c>
      <c r="B4317" s="1" t="s">
        <v>50</v>
      </c>
      <c r="C4317" s="1" t="s">
        <v>51</v>
      </c>
      <c r="D4317" s="2">
        <v>44672.496079247685</v>
      </c>
      <c r="E4317" s="1" t="s">
        <v>8</v>
      </c>
      <c r="F4317" s="1">
        <v>1</v>
      </c>
      <c r="G4317" s="1">
        <v>0</v>
      </c>
      <c r="H4317" s="6">
        <f>INT(Query1[[#This Row],[EntryDateTime]])</f>
        <v>44672</v>
      </c>
      <c r="I4317" s="1">
        <f>IF(Query1[[#This Row],[ItemType]]="EVAP KIT SF GEN IV",Query1[[#This Row],[OrderQty]]+I4316,I4316)</f>
        <v>5350</v>
      </c>
      <c r="J4317" s="1">
        <f>IF(Query1[[#This Row],[ItemType]]="EVAP KIT UNIVERSAL",Query1[[#This Row],[OrderQty]]+J4316,J4316)</f>
        <v>1764</v>
      </c>
      <c r="K4317" s="1">
        <f>Query1[[#This Row],[SF Running Total]]+Query1[[#This Row],[UNIV Running Total]]</f>
        <v>7114</v>
      </c>
      <c r="L4317">
        <f>VLOOKUP(Query1[[#This Row],[Description]],'kits to boards'!$B$2:$E$156,2,FALSE)</f>
        <v>830043</v>
      </c>
      <c r="M4317">
        <f>VLOOKUP(Query1[[#This Row],[Description]],'kits to boards'!$B$2:$E$156,3,FALSE)</f>
        <v>0</v>
      </c>
      <c r="N4317">
        <f>VLOOKUP(Query1[[#This Row],[Description]],'kits to boards'!$B$2:$E$156,4,FALSE)</f>
        <v>0</v>
      </c>
      <c r="O4317" t="str">
        <f>CONCATENATE(Query1[[#This Row],[Description]]," - ",Query1[[#This Row],[MB1]]," - ",Query1[[#This Row],[MB2]]," - ",Query1[[#This Row],[MB3]])</f>
        <v>EVAP KIT 69-74 NOVA WO AC - 830043 - 0 - 0</v>
      </c>
    </row>
    <row r="4318" spans="1:15" x14ac:dyDescent="0.25">
      <c r="A4318" s="1">
        <v>920613</v>
      </c>
      <c r="B4318" s="1" t="s">
        <v>140</v>
      </c>
      <c r="C4318" s="1" t="s">
        <v>141</v>
      </c>
      <c r="D4318" s="2">
        <v>44672.501418206019</v>
      </c>
      <c r="E4318" s="1" t="s">
        <v>8</v>
      </c>
      <c r="F4318" s="1">
        <v>1</v>
      </c>
      <c r="G4318" s="1">
        <v>0</v>
      </c>
      <c r="H4318" s="6">
        <f>INT(Query1[[#This Row],[EntryDateTime]])</f>
        <v>44672</v>
      </c>
      <c r="I4318" s="1">
        <f>IF(Query1[[#This Row],[ItemType]]="EVAP KIT SF GEN IV",Query1[[#This Row],[OrderQty]]+I4317,I4317)</f>
        <v>5351</v>
      </c>
      <c r="J4318" s="1">
        <f>IF(Query1[[#This Row],[ItemType]]="EVAP KIT UNIVERSAL",Query1[[#This Row],[OrderQty]]+J4317,J4317)</f>
        <v>1764</v>
      </c>
      <c r="K4318" s="1">
        <f>Query1[[#This Row],[SF Running Total]]+Query1[[#This Row],[UNIV Running Total]]</f>
        <v>7115</v>
      </c>
      <c r="L4318">
        <f>VLOOKUP(Query1[[#This Row],[Description]],'kits to boards'!$B$2:$E$156,2,FALSE)</f>
        <v>830066</v>
      </c>
      <c r="M4318">
        <f>VLOOKUP(Query1[[#This Row],[Description]],'kits to boards'!$B$2:$E$156,3,FALSE)</f>
        <v>0</v>
      </c>
      <c r="N4318">
        <f>VLOOKUP(Query1[[#This Row],[Description]],'kits to boards'!$B$2:$E$156,4,FALSE)</f>
        <v>0</v>
      </c>
      <c r="O4318" t="str">
        <f>CONCATENATE(Query1[[#This Row],[Description]]," - ",Query1[[#This Row],[MB1]]," - ",Query1[[#This Row],[MB2]]," - ",Query1[[#This Row],[MB3]])</f>
        <v>EVAP KIT 60-63 CHEV P-UP WO AC - 830066 - 0 - 0</v>
      </c>
    </row>
    <row r="4319" spans="1:15" x14ac:dyDescent="0.25">
      <c r="A4319" s="1">
        <v>918576</v>
      </c>
      <c r="B4319" s="1" t="s">
        <v>6</v>
      </c>
      <c r="C4319" s="1" t="s">
        <v>7</v>
      </c>
      <c r="D4319" s="2">
        <v>44672.515267129631</v>
      </c>
      <c r="E4319" s="1" t="s">
        <v>8</v>
      </c>
      <c r="F4319" s="1">
        <v>1</v>
      </c>
      <c r="G4319" s="1">
        <v>0</v>
      </c>
      <c r="H4319" s="6">
        <f>INT(Query1[[#This Row],[EntryDateTime]])</f>
        <v>44672</v>
      </c>
      <c r="I4319" s="1">
        <f>IF(Query1[[#This Row],[ItemType]]="EVAP KIT SF GEN IV",Query1[[#This Row],[OrderQty]]+I4318,I4318)</f>
        <v>5352</v>
      </c>
      <c r="J4319" s="1">
        <f>IF(Query1[[#This Row],[ItemType]]="EVAP KIT UNIVERSAL",Query1[[#This Row],[OrderQty]]+J4318,J4318)</f>
        <v>1764</v>
      </c>
      <c r="K4319" s="1">
        <f>Query1[[#This Row],[SF Running Total]]+Query1[[#This Row],[UNIV Running Total]]</f>
        <v>7116</v>
      </c>
      <c r="L4319">
        <f>VLOOKUP(Query1[[#This Row],[Description]],'kits to boards'!$B$2:$E$156,2,FALSE)</f>
        <v>830132</v>
      </c>
      <c r="M4319">
        <f>VLOOKUP(Query1[[#This Row],[Description]],'kits to boards'!$B$2:$E$156,3,FALSE)</f>
        <v>0</v>
      </c>
      <c r="N4319">
        <f>VLOOKUP(Query1[[#This Row],[Description]],'kits to boards'!$B$2:$E$156,4,FALSE)</f>
        <v>0</v>
      </c>
      <c r="O4319" t="str">
        <f>CONCATENATE(Query1[[#This Row],[Description]]," - ",Query1[[#This Row],[MB1]]," - ",Query1[[#This Row],[MB2]]," - ",Query1[[#This Row],[MB3]])</f>
        <v>EVAP KIT 82-88 MONTE CARLO/EL CAMINO - 830132 - 0 - 0</v>
      </c>
    </row>
    <row r="4320" spans="1:15" x14ac:dyDescent="0.25">
      <c r="A4320" s="1">
        <v>920654</v>
      </c>
      <c r="B4320" s="1" t="s">
        <v>34</v>
      </c>
      <c r="C4320" s="1" t="s">
        <v>35</v>
      </c>
      <c r="D4320" s="2">
        <v>44672.522070023151</v>
      </c>
      <c r="E4320" s="1" t="s">
        <v>8</v>
      </c>
      <c r="F4320" s="1">
        <v>1</v>
      </c>
      <c r="G4320" s="1">
        <v>0</v>
      </c>
      <c r="H4320" s="6">
        <f>INT(Query1[[#This Row],[EntryDateTime]])</f>
        <v>44672</v>
      </c>
      <c r="I4320" s="1">
        <f>IF(Query1[[#This Row],[ItemType]]="EVAP KIT SF GEN IV",Query1[[#This Row],[OrderQty]]+I4319,I4319)</f>
        <v>5353</v>
      </c>
      <c r="J4320" s="1">
        <f>IF(Query1[[#This Row],[ItemType]]="EVAP KIT UNIVERSAL",Query1[[#This Row],[OrderQty]]+J4319,J4319)</f>
        <v>1764</v>
      </c>
      <c r="K4320" s="1">
        <f>Query1[[#This Row],[SF Running Total]]+Query1[[#This Row],[UNIV Running Total]]</f>
        <v>7117</v>
      </c>
      <c r="L4320">
        <f>VLOOKUP(Query1[[#This Row],[Description]],'kits to boards'!$B$2:$E$156,2,FALSE)</f>
        <v>830065</v>
      </c>
      <c r="M4320">
        <f>VLOOKUP(Query1[[#This Row],[Description]],'kits to boards'!$B$2:$E$156,3,FALSE)</f>
        <v>0</v>
      </c>
      <c r="N4320">
        <f>VLOOKUP(Query1[[#This Row],[Description]],'kits to boards'!$B$2:$E$156,4,FALSE)</f>
        <v>0</v>
      </c>
      <c r="O4320" t="str">
        <f>CONCATENATE(Query1[[#This Row],[Description]]," - ",Query1[[#This Row],[MB1]]," - ",Query1[[#This Row],[MB2]]," - ",Query1[[#This Row],[MB3]])</f>
        <v>EVAP KIT 57 CHEV WO AC - 830065 - 0 - 0</v>
      </c>
    </row>
    <row r="4321" spans="1:15" x14ac:dyDescent="0.25">
      <c r="A4321" s="1">
        <v>920649</v>
      </c>
      <c r="B4321" s="1" t="s">
        <v>102</v>
      </c>
      <c r="C4321" s="1" t="s">
        <v>103</v>
      </c>
      <c r="D4321" s="2">
        <v>44672.52548005787</v>
      </c>
      <c r="E4321" s="1" t="s">
        <v>8</v>
      </c>
      <c r="F4321" s="1">
        <v>1</v>
      </c>
      <c r="G4321" s="1">
        <v>0</v>
      </c>
      <c r="H4321" s="6">
        <f>INT(Query1[[#This Row],[EntryDateTime]])</f>
        <v>44672</v>
      </c>
      <c r="I4321" s="1">
        <f>IF(Query1[[#This Row],[ItemType]]="EVAP KIT SF GEN IV",Query1[[#This Row],[OrderQty]]+I4320,I4320)</f>
        <v>5354</v>
      </c>
      <c r="J4321" s="1">
        <f>IF(Query1[[#This Row],[ItemType]]="EVAP KIT UNIVERSAL",Query1[[#This Row],[OrderQty]]+J4320,J4320)</f>
        <v>1764</v>
      </c>
      <c r="K4321" s="1">
        <f>Query1[[#This Row],[SF Running Total]]+Query1[[#This Row],[UNIV Running Total]]</f>
        <v>7118</v>
      </c>
      <c r="L4321">
        <f>VLOOKUP(Query1[[#This Row],[Description]],'kits to boards'!$B$2:$E$156,2,FALSE)</f>
        <v>830012</v>
      </c>
      <c r="M4321">
        <f>VLOOKUP(Query1[[#This Row],[Description]],'kits to boards'!$B$2:$E$156,3,FALSE)</f>
        <v>0</v>
      </c>
      <c r="N4321">
        <f>VLOOKUP(Query1[[#This Row],[Description]],'kits to boards'!$B$2:$E$156,4,FALSE)</f>
        <v>0</v>
      </c>
      <c r="O4321" t="str">
        <f>CONCATENATE(Query1[[#This Row],[Description]]," - ",Query1[[#This Row],[MB1]]," - ",Query1[[#This Row],[MB2]]," - ",Query1[[#This Row],[MB3]])</f>
        <v>EVAP KIT 69 CAMARO WO/AC - 830012 - 0 - 0</v>
      </c>
    </row>
    <row r="4322" spans="1:15" x14ac:dyDescent="0.25">
      <c r="A4322" s="1">
        <v>920659</v>
      </c>
      <c r="B4322" s="1" t="s">
        <v>22</v>
      </c>
      <c r="C4322" s="1" t="s">
        <v>23</v>
      </c>
      <c r="D4322" s="2">
        <v>44672.526601851852</v>
      </c>
      <c r="E4322" s="1" t="s">
        <v>8</v>
      </c>
      <c r="F4322" s="1">
        <v>1</v>
      </c>
      <c r="G4322" s="1">
        <v>0</v>
      </c>
      <c r="H4322" s="6">
        <f>INT(Query1[[#This Row],[EntryDateTime]])</f>
        <v>44672</v>
      </c>
      <c r="I4322" s="1">
        <f>IF(Query1[[#This Row],[ItemType]]="EVAP KIT SF GEN IV",Query1[[#This Row],[OrderQty]]+I4321,I4321)</f>
        <v>5355</v>
      </c>
      <c r="J4322" s="1">
        <f>IF(Query1[[#This Row],[ItemType]]="EVAP KIT UNIVERSAL",Query1[[#This Row],[OrderQty]]+J4321,J4321)</f>
        <v>1764</v>
      </c>
      <c r="K4322" s="1">
        <f>Query1[[#This Row],[SF Running Total]]+Query1[[#This Row],[UNIV Running Total]]</f>
        <v>7119</v>
      </c>
      <c r="L4322">
        <f>VLOOKUP(Query1[[#This Row],[Description]],'kits to boards'!$B$2:$E$156,2,FALSE)</f>
        <v>830083</v>
      </c>
      <c r="M4322">
        <f>VLOOKUP(Query1[[#This Row],[Description]],'kits to boards'!$B$2:$E$156,3,FALSE)</f>
        <v>0</v>
      </c>
      <c r="N4322">
        <f>VLOOKUP(Query1[[#This Row],[Description]],'kits to boards'!$B$2:$E$156,4,FALSE)</f>
        <v>0</v>
      </c>
      <c r="O4322" t="str">
        <f>CONCATENATE(Query1[[#This Row],[Description]]," - ",Query1[[#This Row],[MB1]]," - ",Query1[[#This Row],[MB2]]," - ",Query1[[#This Row],[MB3]])</f>
        <v>GEN IV MAGNUM EVAP KIT - 830083 - 0 - 0</v>
      </c>
    </row>
    <row r="4323" spans="1:15" x14ac:dyDescent="0.25">
      <c r="A4323" s="1">
        <v>920660</v>
      </c>
      <c r="B4323" s="1" t="s">
        <v>126</v>
      </c>
      <c r="C4323" s="1" t="s">
        <v>127</v>
      </c>
      <c r="D4323" s="2">
        <v>44672.528091087966</v>
      </c>
      <c r="E4323" s="1" t="s">
        <v>8</v>
      </c>
      <c r="F4323" s="1">
        <v>1</v>
      </c>
      <c r="G4323" s="1">
        <v>0</v>
      </c>
      <c r="H4323" s="6">
        <f>INT(Query1[[#This Row],[EntryDateTime]])</f>
        <v>44672</v>
      </c>
      <c r="I4323" s="1">
        <f>IF(Query1[[#This Row],[ItemType]]="EVAP KIT SF GEN IV",Query1[[#This Row],[OrderQty]]+I4322,I4322)</f>
        <v>5356</v>
      </c>
      <c r="J4323" s="1">
        <f>IF(Query1[[#This Row],[ItemType]]="EVAP KIT UNIVERSAL",Query1[[#This Row],[OrderQty]]+J4322,J4322)</f>
        <v>1764</v>
      </c>
      <c r="K4323" s="1">
        <f>Query1[[#This Row],[SF Running Total]]+Query1[[#This Row],[UNIV Running Total]]</f>
        <v>7120</v>
      </c>
      <c r="L4323">
        <f>VLOOKUP(Query1[[#This Row],[Description]],'kits to boards'!$B$2:$E$156,2,FALSE)</f>
        <v>830080</v>
      </c>
      <c r="M4323">
        <f>VLOOKUP(Query1[[#This Row],[Description]],'kits to boards'!$B$2:$E$156,3,FALSE)</f>
        <v>0</v>
      </c>
      <c r="N4323">
        <f>VLOOKUP(Query1[[#This Row],[Description]],'kits to boards'!$B$2:$E$156,4,FALSE)</f>
        <v>0</v>
      </c>
      <c r="O4323" t="str">
        <f>CONCATENATE(Query1[[#This Row],[Description]]," - ",Query1[[#This Row],[MB1]]," - ",Query1[[#This Row],[MB2]]," - ",Query1[[#This Row],[MB3]])</f>
        <v>EVAP KIT 69-70 MUSTANG WO AC  - 830080 - 0 - 0</v>
      </c>
    </row>
    <row r="4324" spans="1:15" x14ac:dyDescent="0.25">
      <c r="A4324" s="1">
        <v>920658</v>
      </c>
      <c r="B4324" s="1" t="s">
        <v>114</v>
      </c>
      <c r="C4324" s="1" t="s">
        <v>115</v>
      </c>
      <c r="D4324" s="2">
        <v>44672.532819641201</v>
      </c>
      <c r="E4324" s="1" t="s">
        <v>8</v>
      </c>
      <c r="F4324" s="1">
        <v>1</v>
      </c>
      <c r="G4324" s="1">
        <v>0</v>
      </c>
      <c r="H4324" s="6">
        <f>INT(Query1[[#This Row],[EntryDateTime]])</f>
        <v>44672</v>
      </c>
      <c r="I4324" s="1">
        <f>IF(Query1[[#This Row],[ItemType]]="EVAP KIT SF GEN IV",Query1[[#This Row],[OrderQty]]+I4323,I4323)</f>
        <v>5357</v>
      </c>
      <c r="J4324" s="1">
        <f>IF(Query1[[#This Row],[ItemType]]="EVAP KIT UNIVERSAL",Query1[[#This Row],[OrderQty]]+J4323,J4323)</f>
        <v>1764</v>
      </c>
      <c r="K4324" s="1">
        <f>Query1[[#This Row],[SF Running Total]]+Query1[[#This Row],[UNIV Running Total]]</f>
        <v>7121</v>
      </c>
      <c r="L4324">
        <f>VLOOKUP(Query1[[#This Row],[Description]],'kits to boards'!$B$2:$E$156,2,FALSE)</f>
        <v>830059</v>
      </c>
      <c r="M4324">
        <f>VLOOKUP(Query1[[#This Row],[Description]],'kits to boards'!$B$2:$E$156,3,FALSE)</f>
        <v>0</v>
      </c>
      <c r="N4324">
        <f>VLOOKUP(Query1[[#This Row],[Description]],'kits to boards'!$B$2:$E$156,4,FALSE)</f>
        <v>0</v>
      </c>
      <c r="O4324" t="str">
        <f>CONCATENATE(Query1[[#This Row],[Description]]," - ",Query1[[#This Row],[MB1]]," - ",Query1[[#This Row],[MB2]]," - ",Query1[[#This Row],[MB3]])</f>
        <v>EVAP KIT 66-67 CHEVELLE W/AC - 830059 - 0 - 0</v>
      </c>
    </row>
    <row r="4325" spans="1:15" x14ac:dyDescent="0.25">
      <c r="A4325" s="1">
        <v>920662</v>
      </c>
      <c r="B4325" s="1" t="s">
        <v>112</v>
      </c>
      <c r="C4325" s="1" t="s">
        <v>113</v>
      </c>
      <c r="D4325" s="2">
        <v>44672.536557870371</v>
      </c>
      <c r="E4325" s="1" t="s">
        <v>8</v>
      </c>
      <c r="F4325" s="1">
        <v>1</v>
      </c>
      <c r="G4325" s="1">
        <v>0</v>
      </c>
      <c r="H4325" s="6">
        <f>INT(Query1[[#This Row],[EntryDateTime]])</f>
        <v>44672</v>
      </c>
      <c r="I4325" s="1">
        <f>IF(Query1[[#This Row],[ItemType]]="EVAP KIT SF GEN IV",Query1[[#This Row],[OrderQty]]+I4324,I4324)</f>
        <v>5358</v>
      </c>
      <c r="J4325" s="1">
        <f>IF(Query1[[#This Row],[ItemType]]="EVAP KIT UNIVERSAL",Query1[[#This Row],[OrderQty]]+J4324,J4324)</f>
        <v>1764</v>
      </c>
      <c r="K4325" s="1">
        <f>Query1[[#This Row],[SF Running Total]]+Query1[[#This Row],[UNIV Running Total]]</f>
        <v>7122</v>
      </c>
      <c r="L4325">
        <f>VLOOKUP(Query1[[#This Row],[Description]],'kits to boards'!$B$2:$E$156,2,FALSE)</f>
        <v>830063</v>
      </c>
      <c r="M4325">
        <f>VLOOKUP(Query1[[#This Row],[Description]],'kits to boards'!$B$2:$E$156,3,FALSE)</f>
        <v>0</v>
      </c>
      <c r="N4325">
        <f>VLOOKUP(Query1[[#This Row],[Description]],'kits to boards'!$B$2:$E$156,4,FALSE)</f>
        <v>0</v>
      </c>
      <c r="O4325" t="str">
        <f>CONCATENATE(Query1[[#This Row],[Description]]," - ",Query1[[#This Row],[MB1]]," - ",Query1[[#This Row],[MB2]]," - ",Query1[[#This Row],[MB3]])</f>
        <v>EVAP KIT 54-55 CHEV P-UP GEN IV - 830063 - 0 - 0</v>
      </c>
    </row>
    <row r="4326" spans="1:15" x14ac:dyDescent="0.25">
      <c r="A4326" s="1">
        <v>920670</v>
      </c>
      <c r="B4326" s="1" t="s">
        <v>16</v>
      </c>
      <c r="C4326" s="1" t="s">
        <v>17</v>
      </c>
      <c r="D4326" s="2">
        <v>44672.56042908565</v>
      </c>
      <c r="E4326" s="1" t="s">
        <v>8</v>
      </c>
      <c r="F4326" s="1">
        <v>1</v>
      </c>
      <c r="G4326" s="1">
        <v>0</v>
      </c>
      <c r="H4326" s="6">
        <f>INT(Query1[[#This Row],[EntryDateTime]])</f>
        <v>44672</v>
      </c>
      <c r="I4326" s="1">
        <f>IF(Query1[[#This Row],[ItemType]]="EVAP KIT SF GEN IV",Query1[[#This Row],[OrderQty]]+I4325,I4325)</f>
        <v>5359</v>
      </c>
      <c r="J4326" s="1">
        <f>IF(Query1[[#This Row],[ItemType]]="EVAP KIT UNIVERSAL",Query1[[#This Row],[OrderQty]]+J4325,J4325)</f>
        <v>1764</v>
      </c>
      <c r="K4326" s="1">
        <f>Query1[[#This Row],[SF Running Total]]+Query1[[#This Row],[UNIV Running Total]]</f>
        <v>7123</v>
      </c>
      <c r="L4326">
        <f>VLOOKUP(Query1[[#This Row],[Description]],'kits to boards'!$B$2:$E$156,2,FALSE)</f>
        <v>830061</v>
      </c>
      <c r="M4326">
        <f>VLOOKUP(Query1[[#This Row],[Description]],'kits to boards'!$B$2:$E$156,3,FALSE)</f>
        <v>0</v>
      </c>
      <c r="N4326">
        <f>VLOOKUP(Query1[[#This Row],[Description]],'kits to boards'!$B$2:$E$156,4,FALSE)</f>
        <v>0</v>
      </c>
      <c r="O4326" t="str">
        <f>CONCATENATE(Query1[[#This Row],[Description]]," - ",Query1[[#This Row],[MB1]]," - ",Query1[[#This Row],[MB2]]," - ",Query1[[#This Row],[MB3]])</f>
        <v>EVAP KIT 68-69 CHEVELLE W/AC - 830061 - 0 - 0</v>
      </c>
    </row>
    <row r="4327" spans="1:15" x14ac:dyDescent="0.25">
      <c r="A4327" s="1">
        <v>920551</v>
      </c>
      <c r="B4327" s="1" t="s">
        <v>68</v>
      </c>
      <c r="C4327" s="1" t="s">
        <v>69</v>
      </c>
      <c r="D4327" s="2">
        <v>44672.561489386571</v>
      </c>
      <c r="E4327" s="1" t="s">
        <v>8</v>
      </c>
      <c r="F4327" s="1">
        <v>1</v>
      </c>
      <c r="G4327" s="1">
        <v>0</v>
      </c>
      <c r="H4327" s="6">
        <f>INT(Query1[[#This Row],[EntryDateTime]])</f>
        <v>44672</v>
      </c>
      <c r="I4327" s="1">
        <f>IF(Query1[[#This Row],[ItemType]]="EVAP KIT SF GEN IV",Query1[[#This Row],[OrderQty]]+I4326,I4326)</f>
        <v>5360</v>
      </c>
      <c r="J4327" s="1">
        <f>IF(Query1[[#This Row],[ItemType]]="EVAP KIT UNIVERSAL",Query1[[#This Row],[OrderQty]]+J4326,J4326)</f>
        <v>1764</v>
      </c>
      <c r="K4327" s="1">
        <f>Query1[[#This Row],[SF Running Total]]+Query1[[#This Row],[UNIV Running Total]]</f>
        <v>7124</v>
      </c>
      <c r="L4327">
        <f>VLOOKUP(Query1[[#This Row],[Description]],'kits to boards'!$B$2:$E$156,2,FALSE)</f>
        <v>830010</v>
      </c>
      <c r="M4327">
        <f>VLOOKUP(Query1[[#This Row],[Description]],'kits to boards'!$B$2:$E$156,3,FALSE)</f>
        <v>0</v>
      </c>
      <c r="N4327">
        <f>VLOOKUP(Query1[[#This Row],[Description]],'kits to boards'!$B$2:$E$156,4,FALSE)</f>
        <v>0</v>
      </c>
      <c r="O4327" t="str">
        <f>CONCATENATE(Query1[[#This Row],[Description]]," - ",Query1[[#This Row],[MB1]]," - ",Query1[[#This Row],[MB2]]," - ",Query1[[#This Row],[MB3]])</f>
        <v>EVAP KIT 70-72 CHEVELLE WO AC - 830010 - 0 - 0</v>
      </c>
    </row>
    <row r="4328" spans="1:15" x14ac:dyDescent="0.25">
      <c r="A4328" s="1">
        <v>920680</v>
      </c>
      <c r="B4328" s="1" t="s">
        <v>194</v>
      </c>
      <c r="C4328" s="1" t="s">
        <v>195</v>
      </c>
      <c r="D4328" s="2">
        <v>44672.563890740741</v>
      </c>
      <c r="E4328" s="1" t="s">
        <v>8</v>
      </c>
      <c r="F4328" s="1">
        <v>1</v>
      </c>
      <c r="G4328" s="1">
        <v>0</v>
      </c>
      <c r="H4328" s="6">
        <f>INT(Query1[[#This Row],[EntryDateTime]])</f>
        <v>44672</v>
      </c>
      <c r="I4328" s="1">
        <f>IF(Query1[[#This Row],[ItemType]]="EVAP KIT SF GEN IV",Query1[[#This Row],[OrderQty]]+I4327,I4327)</f>
        <v>5361</v>
      </c>
      <c r="J4328" s="1">
        <f>IF(Query1[[#This Row],[ItemType]]="EVAP KIT UNIVERSAL",Query1[[#This Row],[OrderQty]]+J4327,J4327)</f>
        <v>1764</v>
      </c>
      <c r="K4328" s="1">
        <f>Query1[[#This Row],[SF Running Total]]+Query1[[#This Row],[UNIV Running Total]]</f>
        <v>7125</v>
      </c>
      <c r="L4328">
        <f>VLOOKUP(Query1[[#This Row],[Description]],'kits to boards'!$B$2:$E$156,2,FALSE)</f>
        <v>830103</v>
      </c>
      <c r="M4328">
        <f>VLOOKUP(Query1[[#This Row],[Description]],'kits to boards'!$B$2:$E$156,3,FALSE)</f>
        <v>0</v>
      </c>
      <c r="N4328">
        <f>VLOOKUP(Query1[[#This Row],[Description]],'kits to boards'!$B$2:$E$156,4,FALSE)</f>
        <v>0</v>
      </c>
      <c r="O4328" t="str">
        <f>CONCATENATE(Query1[[#This Row],[Description]]," - ",Query1[[#This Row],[MB1]]," - ",Query1[[#This Row],[MB2]]," - ",Query1[[#This Row],[MB3]])</f>
        <v>EVAP KIT 78-82 VETTE W/AC - 830103 - 0 - 0</v>
      </c>
    </row>
    <row r="4329" spans="1:15" x14ac:dyDescent="0.25">
      <c r="A4329" s="1">
        <v>920685</v>
      </c>
      <c r="B4329" s="1" t="s">
        <v>102</v>
      </c>
      <c r="C4329" s="1" t="s">
        <v>103</v>
      </c>
      <c r="D4329" s="2">
        <v>44672.575203125001</v>
      </c>
      <c r="E4329" s="1" t="s">
        <v>8</v>
      </c>
      <c r="F4329" s="1">
        <v>1</v>
      </c>
      <c r="G4329" s="1">
        <v>0</v>
      </c>
      <c r="H4329" s="6">
        <f>INT(Query1[[#This Row],[EntryDateTime]])</f>
        <v>44672</v>
      </c>
      <c r="I4329" s="1">
        <f>IF(Query1[[#This Row],[ItemType]]="EVAP KIT SF GEN IV",Query1[[#This Row],[OrderQty]]+I4328,I4328)</f>
        <v>5362</v>
      </c>
      <c r="J4329" s="1">
        <f>IF(Query1[[#This Row],[ItemType]]="EVAP KIT UNIVERSAL",Query1[[#This Row],[OrderQty]]+J4328,J4328)</f>
        <v>1764</v>
      </c>
      <c r="K4329" s="1">
        <f>Query1[[#This Row],[SF Running Total]]+Query1[[#This Row],[UNIV Running Total]]</f>
        <v>7126</v>
      </c>
      <c r="L4329">
        <f>VLOOKUP(Query1[[#This Row],[Description]],'kits to boards'!$B$2:$E$156,2,FALSE)</f>
        <v>830012</v>
      </c>
      <c r="M4329">
        <f>VLOOKUP(Query1[[#This Row],[Description]],'kits to boards'!$B$2:$E$156,3,FALSE)</f>
        <v>0</v>
      </c>
      <c r="N4329">
        <f>VLOOKUP(Query1[[#This Row],[Description]],'kits to boards'!$B$2:$E$156,4,FALSE)</f>
        <v>0</v>
      </c>
      <c r="O4329" t="str">
        <f>CONCATENATE(Query1[[#This Row],[Description]]," - ",Query1[[#This Row],[MB1]]," - ",Query1[[#This Row],[MB2]]," - ",Query1[[#This Row],[MB3]])</f>
        <v>EVAP KIT 69 CAMARO WO/AC - 830012 - 0 - 0</v>
      </c>
    </row>
    <row r="4330" spans="1:15" x14ac:dyDescent="0.25">
      <c r="A4330" s="1">
        <v>920687</v>
      </c>
      <c r="B4330" s="1" t="s">
        <v>106</v>
      </c>
      <c r="C4330" s="1" t="s">
        <v>107</v>
      </c>
      <c r="D4330" s="2">
        <v>44672.577383877317</v>
      </c>
      <c r="E4330" s="1" t="s">
        <v>8</v>
      </c>
      <c r="F4330" s="1">
        <v>1</v>
      </c>
      <c r="G4330" s="1">
        <v>0</v>
      </c>
      <c r="H4330" s="6">
        <f>INT(Query1[[#This Row],[EntryDateTime]])</f>
        <v>44672</v>
      </c>
      <c r="I4330" s="1">
        <f>IF(Query1[[#This Row],[ItemType]]="EVAP KIT SF GEN IV",Query1[[#This Row],[OrderQty]]+I4329,I4329)</f>
        <v>5363</v>
      </c>
      <c r="J4330" s="1">
        <f>IF(Query1[[#This Row],[ItemType]]="EVAP KIT UNIVERSAL",Query1[[#This Row],[OrderQty]]+J4329,J4329)</f>
        <v>1764</v>
      </c>
      <c r="K4330" s="1">
        <f>Query1[[#This Row],[SF Running Total]]+Query1[[#This Row],[UNIV Running Total]]</f>
        <v>7127</v>
      </c>
      <c r="L4330">
        <f>VLOOKUP(Query1[[#This Row],[Description]],'kits to boards'!$B$2:$E$156,2,FALSE)</f>
        <v>830028</v>
      </c>
      <c r="M4330">
        <f>VLOOKUP(Query1[[#This Row],[Description]],'kits to boards'!$B$2:$E$156,3,FALSE)</f>
        <v>0</v>
      </c>
      <c r="N4330">
        <f>VLOOKUP(Query1[[#This Row],[Description]],'kits to boards'!$B$2:$E$156,4,FALSE)</f>
        <v>0</v>
      </c>
      <c r="O4330" t="str">
        <f>CONCATENATE(Query1[[#This Row],[Description]]," - ",Query1[[#This Row],[MB1]]," - ",Query1[[#This Row],[MB2]]," - ",Query1[[#This Row],[MB3]])</f>
        <v>EVAP KIT 55-59 CHEV P-UP WO AC W/DELX - 830028 - 0 - 0</v>
      </c>
    </row>
    <row r="4331" spans="1:15" x14ac:dyDescent="0.25">
      <c r="A4331" s="1">
        <v>918421</v>
      </c>
      <c r="B4331" s="1" t="s">
        <v>62</v>
      </c>
      <c r="C4331" s="1" t="s">
        <v>63</v>
      </c>
      <c r="D4331" s="2">
        <v>44672.588948842589</v>
      </c>
      <c r="E4331" s="1" t="s">
        <v>8</v>
      </c>
      <c r="F4331" s="1">
        <v>1</v>
      </c>
      <c r="G4331" s="1">
        <v>0</v>
      </c>
      <c r="H4331" s="6">
        <f>INT(Query1[[#This Row],[EntryDateTime]])</f>
        <v>44672</v>
      </c>
      <c r="I4331" s="1">
        <f>IF(Query1[[#This Row],[ItemType]]="EVAP KIT SF GEN IV",Query1[[#This Row],[OrderQty]]+I4330,I4330)</f>
        <v>5364</v>
      </c>
      <c r="J4331" s="1">
        <f>IF(Query1[[#This Row],[ItemType]]="EVAP KIT UNIVERSAL",Query1[[#This Row],[OrderQty]]+J4330,J4330)</f>
        <v>1764</v>
      </c>
      <c r="K4331" s="1">
        <f>Query1[[#This Row],[SF Running Total]]+Query1[[#This Row],[UNIV Running Total]]</f>
        <v>7128</v>
      </c>
      <c r="L4331">
        <f>VLOOKUP(Query1[[#This Row],[Description]],'kits to boards'!$B$2:$E$156,2,FALSE)</f>
        <v>830079</v>
      </c>
      <c r="M4331">
        <f>VLOOKUP(Query1[[#This Row],[Description]],'kits to boards'!$B$2:$E$156,3,FALSE)</f>
        <v>830046</v>
      </c>
      <c r="N4331">
        <f>VLOOKUP(Query1[[#This Row],[Description]],'kits to boards'!$B$2:$E$156,4,FALSE)</f>
        <v>0</v>
      </c>
      <c r="O4331" t="str">
        <f>CONCATENATE(Query1[[#This Row],[Description]]," - ",Query1[[#This Row],[MB1]]," - ",Query1[[#This Row],[MB2]]," - ",Query1[[#This Row],[MB3]])</f>
        <v>EVAP KIT 67-68 MUSTANG/COUGAR WO AC - 830079 - 830046 - 0</v>
      </c>
    </row>
    <row r="4332" spans="1:15" x14ac:dyDescent="0.25">
      <c r="A4332" s="1">
        <v>913883</v>
      </c>
      <c r="B4332" s="1" t="s">
        <v>30</v>
      </c>
      <c r="C4332" s="1" t="s">
        <v>31</v>
      </c>
      <c r="D4332" s="2">
        <v>44672.603404710651</v>
      </c>
      <c r="E4332" s="1" t="s">
        <v>8</v>
      </c>
      <c r="F4332" s="1">
        <v>1</v>
      </c>
      <c r="G4332" s="1">
        <v>0</v>
      </c>
      <c r="H4332" s="6">
        <f>INT(Query1[[#This Row],[EntryDateTime]])</f>
        <v>44672</v>
      </c>
      <c r="I4332" s="1">
        <f>IF(Query1[[#This Row],[ItemType]]="EVAP KIT SF GEN IV",Query1[[#This Row],[OrderQty]]+I4331,I4331)</f>
        <v>5365</v>
      </c>
      <c r="J4332" s="1">
        <f>IF(Query1[[#This Row],[ItemType]]="EVAP KIT UNIVERSAL",Query1[[#This Row],[OrderQty]]+J4331,J4331)</f>
        <v>1764</v>
      </c>
      <c r="K4332" s="1">
        <f>Query1[[#This Row],[SF Running Total]]+Query1[[#This Row],[UNIV Running Total]]</f>
        <v>7129</v>
      </c>
      <c r="L4332">
        <f>VLOOKUP(Query1[[#This Row],[Description]],'kits to boards'!$B$2:$E$156,2,FALSE)</f>
        <v>830054</v>
      </c>
      <c r="M4332">
        <f>VLOOKUP(Query1[[#This Row],[Description]],'kits to boards'!$B$2:$E$156,3,FALSE)</f>
        <v>0</v>
      </c>
      <c r="N4332">
        <f>VLOOKUP(Query1[[#This Row],[Description]],'kits to boards'!$B$2:$E$156,4,FALSE)</f>
        <v>0</v>
      </c>
      <c r="O4332" t="str">
        <f>CONCATENATE(Query1[[#This Row],[Description]]," - ",Query1[[#This Row],[MB1]]," - ",Query1[[#This Row],[MB2]]," - ",Query1[[#This Row],[MB3]])</f>
        <v>EVAP KIT 55-56 CHEVY 4-VENT - 830054 - 0 - 0</v>
      </c>
    </row>
    <row r="4333" spans="1:15" x14ac:dyDescent="0.25">
      <c r="A4333" s="1">
        <v>920700</v>
      </c>
      <c r="B4333" s="1" t="s">
        <v>126</v>
      </c>
      <c r="C4333" s="1" t="s">
        <v>127</v>
      </c>
      <c r="D4333" s="2">
        <v>44672.609598807867</v>
      </c>
      <c r="E4333" s="1" t="s">
        <v>8</v>
      </c>
      <c r="F4333" s="1">
        <v>1</v>
      </c>
      <c r="G4333" s="1">
        <v>0</v>
      </c>
      <c r="H4333" s="6">
        <f>INT(Query1[[#This Row],[EntryDateTime]])</f>
        <v>44672</v>
      </c>
      <c r="I4333" s="1">
        <f>IF(Query1[[#This Row],[ItemType]]="EVAP KIT SF GEN IV",Query1[[#This Row],[OrderQty]]+I4332,I4332)</f>
        <v>5366</v>
      </c>
      <c r="J4333" s="1">
        <f>IF(Query1[[#This Row],[ItemType]]="EVAP KIT UNIVERSAL",Query1[[#This Row],[OrderQty]]+J4332,J4332)</f>
        <v>1764</v>
      </c>
      <c r="K4333" s="1">
        <f>Query1[[#This Row],[SF Running Total]]+Query1[[#This Row],[UNIV Running Total]]</f>
        <v>7130</v>
      </c>
      <c r="L4333">
        <f>VLOOKUP(Query1[[#This Row],[Description]],'kits to boards'!$B$2:$E$156,2,FALSE)</f>
        <v>830080</v>
      </c>
      <c r="M4333">
        <f>VLOOKUP(Query1[[#This Row],[Description]],'kits to boards'!$B$2:$E$156,3,FALSE)</f>
        <v>0</v>
      </c>
      <c r="N4333">
        <f>VLOOKUP(Query1[[#This Row],[Description]],'kits to boards'!$B$2:$E$156,4,FALSE)</f>
        <v>0</v>
      </c>
      <c r="O4333" t="str">
        <f>CONCATENATE(Query1[[#This Row],[Description]]," - ",Query1[[#This Row],[MB1]]," - ",Query1[[#This Row],[MB2]]," - ",Query1[[#This Row],[MB3]])</f>
        <v>EVAP KIT 69-70 MUSTANG WO AC  - 830080 - 0 - 0</v>
      </c>
    </row>
    <row r="4334" spans="1:15" x14ac:dyDescent="0.25">
      <c r="A4334" s="1">
        <v>920701</v>
      </c>
      <c r="B4334" s="1" t="s">
        <v>94</v>
      </c>
      <c r="C4334" s="1" t="s">
        <v>95</v>
      </c>
      <c r="D4334" s="2">
        <v>44672.610909756942</v>
      </c>
      <c r="E4334" s="1" t="s">
        <v>8</v>
      </c>
      <c r="F4334" s="1">
        <v>1</v>
      </c>
      <c r="G4334" s="1">
        <v>0</v>
      </c>
      <c r="H4334" s="6">
        <f>INT(Query1[[#This Row],[EntryDateTime]])</f>
        <v>44672</v>
      </c>
      <c r="I4334" s="1">
        <f>IF(Query1[[#This Row],[ItemType]]="EVAP KIT SF GEN IV",Query1[[#This Row],[OrderQty]]+I4333,I4333)</f>
        <v>5367</v>
      </c>
      <c r="J4334" s="1">
        <f>IF(Query1[[#This Row],[ItemType]]="EVAP KIT UNIVERSAL",Query1[[#This Row],[OrderQty]]+J4333,J4333)</f>
        <v>1764</v>
      </c>
      <c r="K4334" s="1">
        <f>Query1[[#This Row],[SF Running Total]]+Query1[[#This Row],[UNIV Running Total]]</f>
        <v>7131</v>
      </c>
      <c r="L4334">
        <f>VLOOKUP(Query1[[#This Row],[Description]],'kits to boards'!$B$2:$E$156,2,FALSE)</f>
        <v>830076</v>
      </c>
      <c r="M4334">
        <f>VLOOKUP(Query1[[#This Row],[Description]],'kits to boards'!$B$2:$E$156,3,FALSE)</f>
        <v>0</v>
      </c>
      <c r="N4334">
        <f>VLOOKUP(Query1[[#This Row],[Description]],'kits to boards'!$B$2:$E$156,4,FALSE)</f>
        <v>0</v>
      </c>
      <c r="O4334" t="str">
        <f>CONCATENATE(Query1[[#This Row],[Description]]," - ",Query1[[#This Row],[MB1]]," - ",Query1[[#This Row],[MB2]]," - ",Query1[[#This Row],[MB3]])</f>
        <v>EVAP KIT 64 1/2- 66 MUSTANG  - 830076 - 0 - 0</v>
      </c>
    </row>
    <row r="4335" spans="1:15" x14ac:dyDescent="0.25">
      <c r="A4335" s="1">
        <v>920702</v>
      </c>
      <c r="B4335" s="1" t="s">
        <v>94</v>
      </c>
      <c r="C4335" s="1" t="s">
        <v>95</v>
      </c>
      <c r="D4335" s="2">
        <v>44672.612097800928</v>
      </c>
      <c r="E4335" s="1" t="s">
        <v>8</v>
      </c>
      <c r="F4335" s="1">
        <v>1</v>
      </c>
      <c r="G4335" s="1">
        <v>0</v>
      </c>
      <c r="H4335" s="6">
        <f>INT(Query1[[#This Row],[EntryDateTime]])</f>
        <v>44672</v>
      </c>
      <c r="I4335" s="1">
        <f>IF(Query1[[#This Row],[ItemType]]="EVAP KIT SF GEN IV",Query1[[#This Row],[OrderQty]]+I4334,I4334)</f>
        <v>5368</v>
      </c>
      <c r="J4335" s="1">
        <f>IF(Query1[[#This Row],[ItemType]]="EVAP KIT UNIVERSAL",Query1[[#This Row],[OrderQty]]+J4334,J4334)</f>
        <v>1764</v>
      </c>
      <c r="K4335" s="1">
        <f>Query1[[#This Row],[SF Running Total]]+Query1[[#This Row],[UNIV Running Total]]</f>
        <v>7132</v>
      </c>
      <c r="L4335">
        <f>VLOOKUP(Query1[[#This Row],[Description]],'kits to boards'!$B$2:$E$156,2,FALSE)</f>
        <v>830076</v>
      </c>
      <c r="M4335">
        <f>VLOOKUP(Query1[[#This Row],[Description]],'kits to boards'!$B$2:$E$156,3,FALSE)</f>
        <v>0</v>
      </c>
      <c r="N4335">
        <f>VLOOKUP(Query1[[#This Row],[Description]],'kits to boards'!$B$2:$E$156,4,FALSE)</f>
        <v>0</v>
      </c>
      <c r="O4335" t="str">
        <f>CONCATENATE(Query1[[#This Row],[Description]]," - ",Query1[[#This Row],[MB1]]," - ",Query1[[#This Row],[MB2]]," - ",Query1[[#This Row],[MB3]])</f>
        <v>EVAP KIT 64 1/2- 66 MUSTANG  - 830076 - 0 - 0</v>
      </c>
    </row>
    <row r="4336" spans="1:15" x14ac:dyDescent="0.25">
      <c r="A4336" s="1">
        <v>920703</v>
      </c>
      <c r="B4336" s="1" t="s">
        <v>94</v>
      </c>
      <c r="C4336" s="1" t="s">
        <v>95</v>
      </c>
      <c r="D4336" s="2">
        <v>44672.612933020835</v>
      </c>
      <c r="E4336" s="1" t="s">
        <v>8</v>
      </c>
      <c r="F4336" s="1">
        <v>1</v>
      </c>
      <c r="G4336" s="1">
        <v>0</v>
      </c>
      <c r="H4336" s="6">
        <f>INT(Query1[[#This Row],[EntryDateTime]])</f>
        <v>44672</v>
      </c>
      <c r="I4336" s="1">
        <f>IF(Query1[[#This Row],[ItemType]]="EVAP KIT SF GEN IV",Query1[[#This Row],[OrderQty]]+I4335,I4335)</f>
        <v>5369</v>
      </c>
      <c r="J4336" s="1">
        <f>IF(Query1[[#This Row],[ItemType]]="EVAP KIT UNIVERSAL",Query1[[#This Row],[OrderQty]]+J4335,J4335)</f>
        <v>1764</v>
      </c>
      <c r="K4336" s="1">
        <f>Query1[[#This Row],[SF Running Total]]+Query1[[#This Row],[UNIV Running Total]]</f>
        <v>7133</v>
      </c>
      <c r="L4336">
        <f>VLOOKUP(Query1[[#This Row],[Description]],'kits to boards'!$B$2:$E$156,2,FALSE)</f>
        <v>830076</v>
      </c>
      <c r="M4336">
        <f>VLOOKUP(Query1[[#This Row],[Description]],'kits to boards'!$B$2:$E$156,3,FALSE)</f>
        <v>0</v>
      </c>
      <c r="N4336">
        <f>VLOOKUP(Query1[[#This Row],[Description]],'kits to boards'!$B$2:$E$156,4,FALSE)</f>
        <v>0</v>
      </c>
      <c r="O4336" t="str">
        <f>CONCATENATE(Query1[[#This Row],[Description]]," - ",Query1[[#This Row],[MB1]]," - ",Query1[[#This Row],[MB2]]," - ",Query1[[#This Row],[MB3]])</f>
        <v>EVAP KIT 64 1/2- 66 MUSTANG  - 830076 - 0 - 0</v>
      </c>
    </row>
    <row r="4337" spans="1:15" x14ac:dyDescent="0.25">
      <c r="A4337" s="1">
        <v>919944</v>
      </c>
      <c r="B4337" s="1" t="s">
        <v>502</v>
      </c>
      <c r="C4337" s="1" t="s">
        <v>503</v>
      </c>
      <c r="D4337" s="2">
        <v>44672.614421990744</v>
      </c>
      <c r="E4337" s="1" t="s">
        <v>677</v>
      </c>
      <c r="F4337" s="1">
        <v>1</v>
      </c>
      <c r="G4337" s="1">
        <v>0</v>
      </c>
      <c r="H4337" s="6">
        <f>INT(Query1[[#This Row],[EntryDateTime]])</f>
        <v>44672</v>
      </c>
      <c r="I4337" s="1">
        <f>IF(Query1[[#This Row],[ItemType]]="EVAP KIT SF GEN IV",Query1[[#This Row],[OrderQty]]+I4336,I4336)</f>
        <v>5369</v>
      </c>
      <c r="J4337" s="1">
        <f>IF(Query1[[#This Row],[ItemType]]="EVAP KIT UNIVERSAL",Query1[[#This Row],[OrderQty]]+J4336,J4336)</f>
        <v>1764</v>
      </c>
      <c r="K4337" s="1">
        <f>Query1[[#This Row],[SF Running Total]]+Query1[[#This Row],[UNIV Running Total]]</f>
        <v>7133</v>
      </c>
      <c r="L4337" t="e">
        <f>VLOOKUP(Query1[[#This Row],[Description]],'kits to boards'!$B$2:$E$156,2,FALSE)</f>
        <v>#N/A</v>
      </c>
      <c r="M4337" t="e">
        <f>VLOOKUP(Query1[[#This Row],[Description]],'kits to boards'!$B$2:$E$156,3,FALSE)</f>
        <v>#N/A</v>
      </c>
      <c r="N4337" t="e">
        <f>VLOOKUP(Query1[[#This Row],[Description]],'kits to boards'!$B$2:$E$156,4,FALSE)</f>
        <v>#N/A</v>
      </c>
      <c r="O4337" t="e">
        <f>CONCATENATE(Query1[[#This Row],[Description]]," - ",Query1[[#This Row],[MB1]]," - ",Query1[[#This Row],[MB2]]," - ",Query1[[#This Row],[MB3]])</f>
        <v>#N/A</v>
      </c>
    </row>
    <row r="4338" spans="1:15" x14ac:dyDescent="0.25">
      <c r="A4338" s="1">
        <v>920706</v>
      </c>
      <c r="B4338" s="1" t="s">
        <v>42</v>
      </c>
      <c r="C4338" s="1" t="s">
        <v>43</v>
      </c>
      <c r="D4338" s="2">
        <v>44672.615020370373</v>
      </c>
      <c r="E4338" s="1" t="s">
        <v>8</v>
      </c>
      <c r="F4338" s="1">
        <v>1</v>
      </c>
      <c r="G4338" s="1">
        <v>0</v>
      </c>
      <c r="H4338" s="6">
        <f>INT(Query1[[#This Row],[EntryDateTime]])</f>
        <v>44672</v>
      </c>
      <c r="I4338" s="1">
        <f>IF(Query1[[#This Row],[ItemType]]="EVAP KIT SF GEN IV",Query1[[#This Row],[OrderQty]]+I4337,I4337)</f>
        <v>5370</v>
      </c>
      <c r="J4338" s="1">
        <f>IF(Query1[[#This Row],[ItemType]]="EVAP KIT UNIVERSAL",Query1[[#This Row],[OrderQty]]+J4337,J4337)</f>
        <v>1764</v>
      </c>
      <c r="K4338" s="1">
        <f>Query1[[#This Row],[SF Running Total]]+Query1[[#This Row],[UNIV Running Total]]</f>
        <v>7134</v>
      </c>
      <c r="L4338">
        <f>VLOOKUP(Query1[[#This Row],[Description]],'kits to boards'!$B$2:$E$156,2,FALSE)</f>
        <v>830014</v>
      </c>
      <c r="M4338">
        <f>VLOOKUP(Query1[[#This Row],[Description]],'kits to boards'!$B$2:$E$156,3,FALSE)</f>
        <v>0</v>
      </c>
      <c r="N4338">
        <f>VLOOKUP(Query1[[#This Row],[Description]],'kits to boards'!$B$2:$E$156,4,FALSE)</f>
        <v>0</v>
      </c>
      <c r="O4338" t="str">
        <f>CONCATENATE(Query1[[#This Row],[Description]]," - ",Query1[[#This Row],[MB1]]," - ",Query1[[#This Row],[MB2]]," - ",Query1[[#This Row],[MB3]])</f>
        <v>EVAP KIT 67-72 CHEV P-UP WO AC - 830014 - 0 - 0</v>
      </c>
    </row>
    <row r="4339" spans="1:15" x14ac:dyDescent="0.25">
      <c r="A4339" s="1">
        <v>920730</v>
      </c>
      <c r="B4339" s="1" t="s">
        <v>68</v>
      </c>
      <c r="C4339" s="1" t="s">
        <v>69</v>
      </c>
      <c r="D4339" s="2">
        <v>44672.669840358794</v>
      </c>
      <c r="E4339" s="1" t="s">
        <v>8</v>
      </c>
      <c r="F4339" s="1">
        <v>1</v>
      </c>
      <c r="G4339" s="1">
        <v>0</v>
      </c>
      <c r="H4339" s="6">
        <f>INT(Query1[[#This Row],[EntryDateTime]])</f>
        <v>44672</v>
      </c>
      <c r="I4339" s="1">
        <f>IF(Query1[[#This Row],[ItemType]]="EVAP KIT SF GEN IV",Query1[[#This Row],[OrderQty]]+I4338,I4338)</f>
        <v>5371</v>
      </c>
      <c r="J4339" s="1">
        <f>IF(Query1[[#This Row],[ItemType]]="EVAP KIT UNIVERSAL",Query1[[#This Row],[OrderQty]]+J4338,J4338)</f>
        <v>1764</v>
      </c>
      <c r="K4339" s="1">
        <f>Query1[[#This Row],[SF Running Total]]+Query1[[#This Row],[UNIV Running Total]]</f>
        <v>7135</v>
      </c>
      <c r="L4339">
        <f>VLOOKUP(Query1[[#This Row],[Description]],'kits to boards'!$B$2:$E$156,2,FALSE)</f>
        <v>830010</v>
      </c>
      <c r="M4339">
        <f>VLOOKUP(Query1[[#This Row],[Description]],'kits to boards'!$B$2:$E$156,3,FALSE)</f>
        <v>0</v>
      </c>
      <c r="N4339">
        <f>VLOOKUP(Query1[[#This Row],[Description]],'kits to boards'!$B$2:$E$156,4,FALSE)</f>
        <v>0</v>
      </c>
      <c r="O4339" t="str">
        <f>CONCATENATE(Query1[[#This Row],[Description]]," - ",Query1[[#This Row],[MB1]]," - ",Query1[[#This Row],[MB2]]," - ",Query1[[#This Row],[MB3]])</f>
        <v>EVAP KIT 70-72 CHEVELLE WO AC - 830010 - 0 - 0</v>
      </c>
    </row>
    <row r="4340" spans="1:15" x14ac:dyDescent="0.25">
      <c r="A4340" s="1">
        <v>920729</v>
      </c>
      <c r="B4340" s="1" t="s">
        <v>34</v>
      </c>
      <c r="C4340" s="1" t="s">
        <v>35</v>
      </c>
      <c r="D4340" s="2">
        <v>44672.671485648149</v>
      </c>
      <c r="E4340" s="1" t="s">
        <v>8</v>
      </c>
      <c r="F4340" s="1">
        <v>1</v>
      </c>
      <c r="G4340" s="1">
        <v>0</v>
      </c>
      <c r="H4340" s="6">
        <f>INT(Query1[[#This Row],[EntryDateTime]])</f>
        <v>44672</v>
      </c>
      <c r="I4340" s="1">
        <f>IF(Query1[[#This Row],[ItemType]]="EVAP KIT SF GEN IV",Query1[[#This Row],[OrderQty]]+I4339,I4339)</f>
        <v>5372</v>
      </c>
      <c r="J4340" s="1">
        <f>IF(Query1[[#This Row],[ItemType]]="EVAP KIT UNIVERSAL",Query1[[#This Row],[OrderQty]]+J4339,J4339)</f>
        <v>1764</v>
      </c>
      <c r="K4340" s="1">
        <f>Query1[[#This Row],[SF Running Total]]+Query1[[#This Row],[UNIV Running Total]]</f>
        <v>7136</v>
      </c>
      <c r="L4340">
        <f>VLOOKUP(Query1[[#This Row],[Description]],'kits to boards'!$B$2:$E$156,2,FALSE)</f>
        <v>830065</v>
      </c>
      <c r="M4340">
        <f>VLOOKUP(Query1[[#This Row],[Description]],'kits to boards'!$B$2:$E$156,3,FALSE)</f>
        <v>0</v>
      </c>
      <c r="N4340">
        <f>VLOOKUP(Query1[[#This Row],[Description]],'kits to boards'!$B$2:$E$156,4,FALSE)</f>
        <v>0</v>
      </c>
      <c r="O4340" t="str">
        <f>CONCATENATE(Query1[[#This Row],[Description]]," - ",Query1[[#This Row],[MB1]]," - ",Query1[[#This Row],[MB2]]," - ",Query1[[#This Row],[MB3]])</f>
        <v>EVAP KIT 57 CHEV WO AC - 830065 - 0 - 0</v>
      </c>
    </row>
    <row r="4341" spans="1:15" x14ac:dyDescent="0.25">
      <c r="A4341" s="1">
        <v>920719</v>
      </c>
      <c r="B4341" s="1" t="s">
        <v>244</v>
      </c>
      <c r="C4341" s="1" t="s">
        <v>245</v>
      </c>
      <c r="D4341" s="2">
        <v>44672.679215625001</v>
      </c>
      <c r="E4341" s="1" t="s">
        <v>8</v>
      </c>
      <c r="F4341" s="1">
        <v>1</v>
      </c>
      <c r="G4341" s="1">
        <v>0</v>
      </c>
      <c r="H4341" s="6">
        <f>INT(Query1[[#This Row],[EntryDateTime]])</f>
        <v>44672</v>
      </c>
      <c r="I4341" s="1">
        <f>IF(Query1[[#This Row],[ItemType]]="EVAP KIT SF GEN IV",Query1[[#This Row],[OrderQty]]+I4340,I4340)</f>
        <v>5373</v>
      </c>
      <c r="J4341" s="1">
        <f>IF(Query1[[#This Row],[ItemType]]="EVAP KIT UNIVERSAL",Query1[[#This Row],[OrderQty]]+J4340,J4340)</f>
        <v>1764</v>
      </c>
      <c r="K4341" s="1">
        <f>Query1[[#This Row],[SF Running Total]]+Query1[[#This Row],[UNIV Running Total]]</f>
        <v>7137</v>
      </c>
      <c r="L4341">
        <f>VLOOKUP(Query1[[#This Row],[Description]],'kits to boards'!$B$2:$E$156,2,FALSE)</f>
        <v>830100</v>
      </c>
      <c r="M4341">
        <f>VLOOKUP(Query1[[#This Row],[Description]],'kits to boards'!$B$2:$E$156,3,FALSE)</f>
        <v>0</v>
      </c>
      <c r="N4341">
        <f>VLOOKUP(Query1[[#This Row],[Description]],'kits to boards'!$B$2:$E$156,4,FALSE)</f>
        <v>0</v>
      </c>
      <c r="O4341" t="str">
        <f>CONCATENATE(Query1[[#This Row],[Description]]," - ",Query1[[#This Row],[MB1]]," - ",Query1[[#This Row],[MB2]]," - ",Query1[[#This Row],[MB3]])</f>
        <v>EVAP KIT 68-76 VETTE WO AC - 830100 - 0 - 0</v>
      </c>
    </row>
    <row r="4342" spans="1:15" x14ac:dyDescent="0.25">
      <c r="A4342" s="1">
        <v>920721</v>
      </c>
      <c r="B4342" s="1" t="s">
        <v>244</v>
      </c>
      <c r="C4342" s="1" t="s">
        <v>245</v>
      </c>
      <c r="D4342" s="2">
        <v>44672.680295752318</v>
      </c>
      <c r="E4342" s="1" t="s">
        <v>8</v>
      </c>
      <c r="F4342" s="1">
        <v>1</v>
      </c>
      <c r="G4342" s="1">
        <v>0</v>
      </c>
      <c r="H4342" s="6">
        <f>INT(Query1[[#This Row],[EntryDateTime]])</f>
        <v>44672</v>
      </c>
      <c r="I4342" s="1">
        <f>IF(Query1[[#This Row],[ItemType]]="EVAP KIT SF GEN IV",Query1[[#This Row],[OrderQty]]+I4341,I4341)</f>
        <v>5374</v>
      </c>
      <c r="J4342" s="1">
        <f>IF(Query1[[#This Row],[ItemType]]="EVAP KIT UNIVERSAL",Query1[[#This Row],[OrderQty]]+J4341,J4341)</f>
        <v>1764</v>
      </c>
      <c r="K4342" s="1">
        <f>Query1[[#This Row],[SF Running Total]]+Query1[[#This Row],[UNIV Running Total]]</f>
        <v>7138</v>
      </c>
      <c r="L4342">
        <f>VLOOKUP(Query1[[#This Row],[Description]],'kits to boards'!$B$2:$E$156,2,FALSE)</f>
        <v>830100</v>
      </c>
      <c r="M4342">
        <f>VLOOKUP(Query1[[#This Row],[Description]],'kits to boards'!$B$2:$E$156,3,FALSE)</f>
        <v>0</v>
      </c>
      <c r="N4342">
        <f>VLOOKUP(Query1[[#This Row],[Description]],'kits to boards'!$B$2:$E$156,4,FALSE)</f>
        <v>0</v>
      </c>
      <c r="O4342" t="str">
        <f>CONCATENATE(Query1[[#This Row],[Description]]," - ",Query1[[#This Row],[MB1]]," - ",Query1[[#This Row],[MB2]]," - ",Query1[[#This Row],[MB3]])</f>
        <v>EVAP KIT 68-76 VETTE WO AC - 830100 - 0 - 0</v>
      </c>
    </row>
    <row r="4343" spans="1:15" x14ac:dyDescent="0.25">
      <c r="A4343" s="1">
        <v>920722</v>
      </c>
      <c r="B4343" s="1" t="s">
        <v>244</v>
      </c>
      <c r="C4343" s="1" t="s">
        <v>245</v>
      </c>
      <c r="D4343" s="2">
        <v>44672.682232060186</v>
      </c>
      <c r="E4343" s="1" t="s">
        <v>8</v>
      </c>
      <c r="F4343" s="1">
        <v>1</v>
      </c>
      <c r="G4343" s="1">
        <v>0</v>
      </c>
      <c r="H4343" s="6">
        <f>INT(Query1[[#This Row],[EntryDateTime]])</f>
        <v>44672</v>
      </c>
      <c r="I4343" s="1">
        <f>IF(Query1[[#This Row],[ItemType]]="EVAP KIT SF GEN IV",Query1[[#This Row],[OrderQty]]+I4342,I4342)</f>
        <v>5375</v>
      </c>
      <c r="J4343" s="1">
        <f>IF(Query1[[#This Row],[ItemType]]="EVAP KIT UNIVERSAL",Query1[[#This Row],[OrderQty]]+J4342,J4342)</f>
        <v>1764</v>
      </c>
      <c r="K4343" s="1">
        <f>Query1[[#This Row],[SF Running Total]]+Query1[[#This Row],[UNIV Running Total]]</f>
        <v>7139</v>
      </c>
      <c r="L4343">
        <f>VLOOKUP(Query1[[#This Row],[Description]],'kits to boards'!$B$2:$E$156,2,FALSE)</f>
        <v>830100</v>
      </c>
      <c r="M4343">
        <f>VLOOKUP(Query1[[#This Row],[Description]],'kits to boards'!$B$2:$E$156,3,FALSE)</f>
        <v>0</v>
      </c>
      <c r="N4343">
        <f>VLOOKUP(Query1[[#This Row],[Description]],'kits to boards'!$B$2:$E$156,4,FALSE)</f>
        <v>0</v>
      </c>
      <c r="O4343" t="str">
        <f>CONCATENATE(Query1[[#This Row],[Description]]," - ",Query1[[#This Row],[MB1]]," - ",Query1[[#This Row],[MB2]]," - ",Query1[[#This Row],[MB3]])</f>
        <v>EVAP KIT 68-76 VETTE WO AC - 830100 - 0 - 0</v>
      </c>
    </row>
    <row r="4344" spans="1:15" x14ac:dyDescent="0.25">
      <c r="A4344" s="1">
        <v>920739</v>
      </c>
      <c r="B4344" s="1" t="s">
        <v>192</v>
      </c>
      <c r="C4344" s="1" t="s">
        <v>193</v>
      </c>
      <c r="D4344" s="2">
        <v>44672.683840277779</v>
      </c>
      <c r="E4344" s="1" t="s">
        <v>8</v>
      </c>
      <c r="F4344" s="1">
        <v>1</v>
      </c>
      <c r="G4344" s="1">
        <v>0</v>
      </c>
      <c r="H4344" s="6">
        <f>INT(Query1[[#This Row],[EntryDateTime]])</f>
        <v>44672</v>
      </c>
      <c r="I4344" s="1">
        <f>IF(Query1[[#This Row],[ItemType]]="EVAP KIT SF GEN IV",Query1[[#This Row],[OrderQty]]+I4343,I4343)</f>
        <v>5376</v>
      </c>
      <c r="J4344" s="1">
        <f>IF(Query1[[#This Row],[ItemType]]="EVAP KIT UNIVERSAL",Query1[[#This Row],[OrderQty]]+J4343,J4343)</f>
        <v>1764</v>
      </c>
      <c r="K4344" s="1">
        <f>Query1[[#This Row],[SF Running Total]]+Query1[[#This Row],[UNIV Running Total]]</f>
        <v>7140</v>
      </c>
      <c r="L4344">
        <f>VLOOKUP(Query1[[#This Row],[Description]],'kits to boards'!$B$2:$E$156,2,FALSE)</f>
        <v>830094</v>
      </c>
      <c r="M4344">
        <f>VLOOKUP(Query1[[#This Row],[Description]],'kits to boards'!$B$2:$E$156,3,FALSE)</f>
        <v>0</v>
      </c>
      <c r="N4344">
        <f>VLOOKUP(Query1[[#This Row],[Description]],'kits to boards'!$B$2:$E$156,4,FALSE)</f>
        <v>0</v>
      </c>
      <c r="O4344" t="str">
        <f>CONCATENATE(Query1[[#This Row],[Description]]," - ",Query1[[#This Row],[MB1]]," - ",Query1[[#This Row],[MB2]]," - ",Query1[[#This Row],[MB3]])</f>
        <v>EVAP KIT 69-73 VETTE W/AC - 830094 - 0 - 0</v>
      </c>
    </row>
    <row r="4345" spans="1:15" x14ac:dyDescent="0.25">
      <c r="A4345" s="1">
        <v>920740</v>
      </c>
      <c r="B4345" s="1" t="s">
        <v>112</v>
      </c>
      <c r="C4345" s="1" t="s">
        <v>113</v>
      </c>
      <c r="D4345" s="2">
        <v>44672.687565277774</v>
      </c>
      <c r="E4345" s="1" t="s">
        <v>8</v>
      </c>
      <c r="F4345" s="1">
        <v>1</v>
      </c>
      <c r="G4345" s="1">
        <v>0</v>
      </c>
      <c r="H4345" s="6">
        <f>INT(Query1[[#This Row],[EntryDateTime]])</f>
        <v>44672</v>
      </c>
      <c r="I4345" s="1">
        <f>IF(Query1[[#This Row],[ItemType]]="EVAP KIT SF GEN IV",Query1[[#This Row],[OrderQty]]+I4344,I4344)</f>
        <v>5377</v>
      </c>
      <c r="J4345" s="1">
        <f>IF(Query1[[#This Row],[ItemType]]="EVAP KIT UNIVERSAL",Query1[[#This Row],[OrderQty]]+J4344,J4344)</f>
        <v>1764</v>
      </c>
      <c r="K4345" s="1">
        <f>Query1[[#This Row],[SF Running Total]]+Query1[[#This Row],[UNIV Running Total]]</f>
        <v>7141</v>
      </c>
      <c r="L4345">
        <f>VLOOKUP(Query1[[#This Row],[Description]],'kits to boards'!$B$2:$E$156,2,FALSE)</f>
        <v>830063</v>
      </c>
      <c r="M4345">
        <f>VLOOKUP(Query1[[#This Row],[Description]],'kits to boards'!$B$2:$E$156,3,FALSE)</f>
        <v>0</v>
      </c>
      <c r="N4345">
        <f>VLOOKUP(Query1[[#This Row],[Description]],'kits to boards'!$B$2:$E$156,4,FALSE)</f>
        <v>0</v>
      </c>
      <c r="O4345" t="str">
        <f>CONCATENATE(Query1[[#This Row],[Description]]," - ",Query1[[#This Row],[MB1]]," - ",Query1[[#This Row],[MB2]]," - ",Query1[[#This Row],[MB3]])</f>
        <v>EVAP KIT 54-55 CHEV P-UP GEN IV - 830063 - 0 - 0</v>
      </c>
    </row>
    <row r="4346" spans="1:15" x14ac:dyDescent="0.25">
      <c r="A4346" s="1">
        <v>920508</v>
      </c>
      <c r="B4346" s="1" t="s">
        <v>102</v>
      </c>
      <c r="C4346" s="1" t="s">
        <v>103</v>
      </c>
      <c r="D4346" s="2">
        <v>44672.704403622687</v>
      </c>
      <c r="E4346" s="1" t="s">
        <v>8</v>
      </c>
      <c r="F4346" s="1">
        <v>1</v>
      </c>
      <c r="G4346" s="1">
        <v>0</v>
      </c>
      <c r="H4346" s="6">
        <f>INT(Query1[[#This Row],[EntryDateTime]])</f>
        <v>44672</v>
      </c>
      <c r="I4346" s="1">
        <f>IF(Query1[[#This Row],[ItemType]]="EVAP KIT SF GEN IV",Query1[[#This Row],[OrderQty]]+I4345,I4345)</f>
        <v>5378</v>
      </c>
      <c r="J4346" s="1">
        <f>IF(Query1[[#This Row],[ItemType]]="EVAP KIT UNIVERSAL",Query1[[#This Row],[OrderQty]]+J4345,J4345)</f>
        <v>1764</v>
      </c>
      <c r="K4346" s="1">
        <f>Query1[[#This Row],[SF Running Total]]+Query1[[#This Row],[UNIV Running Total]]</f>
        <v>7142</v>
      </c>
      <c r="L4346">
        <f>VLOOKUP(Query1[[#This Row],[Description]],'kits to boards'!$B$2:$E$156,2,FALSE)</f>
        <v>830012</v>
      </c>
      <c r="M4346">
        <f>VLOOKUP(Query1[[#This Row],[Description]],'kits to boards'!$B$2:$E$156,3,FALSE)</f>
        <v>0</v>
      </c>
      <c r="N4346">
        <f>VLOOKUP(Query1[[#This Row],[Description]],'kits to boards'!$B$2:$E$156,4,FALSE)</f>
        <v>0</v>
      </c>
      <c r="O4346" t="str">
        <f>CONCATENATE(Query1[[#This Row],[Description]]," - ",Query1[[#This Row],[MB1]]," - ",Query1[[#This Row],[MB2]]," - ",Query1[[#This Row],[MB3]])</f>
        <v>EVAP KIT 69 CAMARO WO/AC - 830012 - 0 - 0</v>
      </c>
    </row>
    <row r="4347" spans="1:15" x14ac:dyDescent="0.25">
      <c r="A4347" s="1">
        <v>914830</v>
      </c>
      <c r="B4347" s="1" t="s">
        <v>30</v>
      </c>
      <c r="C4347" s="1" t="s">
        <v>31</v>
      </c>
      <c r="D4347" s="2">
        <v>44673.337480405091</v>
      </c>
      <c r="E4347" s="1" t="s">
        <v>8</v>
      </c>
      <c r="F4347" s="1">
        <v>1</v>
      </c>
      <c r="G4347" s="1">
        <v>0</v>
      </c>
      <c r="H4347" s="6">
        <f>INT(Query1[[#This Row],[EntryDateTime]])</f>
        <v>44673</v>
      </c>
      <c r="I4347" s="1">
        <f>IF(Query1[[#This Row],[ItemType]]="EVAP KIT SF GEN IV",Query1[[#This Row],[OrderQty]]+I4346,I4346)</f>
        <v>5379</v>
      </c>
      <c r="J4347" s="1">
        <f>IF(Query1[[#This Row],[ItemType]]="EVAP KIT UNIVERSAL",Query1[[#This Row],[OrderQty]]+J4346,J4346)</f>
        <v>1764</v>
      </c>
      <c r="K4347" s="1">
        <f>Query1[[#This Row],[SF Running Total]]+Query1[[#This Row],[UNIV Running Total]]</f>
        <v>7143</v>
      </c>
      <c r="L4347">
        <f>VLOOKUP(Query1[[#This Row],[Description]],'kits to boards'!$B$2:$E$156,2,FALSE)</f>
        <v>830054</v>
      </c>
      <c r="M4347">
        <f>VLOOKUP(Query1[[#This Row],[Description]],'kits to boards'!$B$2:$E$156,3,FALSE)</f>
        <v>0</v>
      </c>
      <c r="N4347">
        <f>VLOOKUP(Query1[[#This Row],[Description]],'kits to boards'!$B$2:$E$156,4,FALSE)</f>
        <v>0</v>
      </c>
      <c r="O4347" t="str">
        <f>CONCATENATE(Query1[[#This Row],[Description]]," - ",Query1[[#This Row],[MB1]]," - ",Query1[[#This Row],[MB2]]," - ",Query1[[#This Row],[MB3]])</f>
        <v>EVAP KIT 55-56 CHEVY 4-VENT - 830054 - 0 - 0</v>
      </c>
    </row>
    <row r="4348" spans="1:15" x14ac:dyDescent="0.25">
      <c r="A4348" s="1">
        <v>920749</v>
      </c>
      <c r="B4348" s="1" t="s">
        <v>64</v>
      </c>
      <c r="C4348" s="1" t="s">
        <v>65</v>
      </c>
      <c r="D4348" s="2">
        <v>44673.338753240743</v>
      </c>
      <c r="E4348" s="1" t="s">
        <v>8</v>
      </c>
      <c r="F4348" s="1">
        <v>1</v>
      </c>
      <c r="G4348" s="1">
        <v>0</v>
      </c>
      <c r="H4348" s="6">
        <f>INT(Query1[[#This Row],[EntryDateTime]])</f>
        <v>44673</v>
      </c>
      <c r="I4348" s="1">
        <f>IF(Query1[[#This Row],[ItemType]]="EVAP KIT SF GEN IV",Query1[[#This Row],[OrderQty]]+I4347,I4347)</f>
        <v>5380</v>
      </c>
      <c r="J4348" s="1">
        <f>IF(Query1[[#This Row],[ItemType]]="EVAP KIT UNIVERSAL",Query1[[#This Row],[OrderQty]]+J4347,J4347)</f>
        <v>1764</v>
      </c>
      <c r="K4348" s="1">
        <f>Query1[[#This Row],[SF Running Total]]+Query1[[#This Row],[UNIV Running Total]]</f>
        <v>7144</v>
      </c>
      <c r="L4348">
        <f>VLOOKUP(Query1[[#This Row],[Description]],'kits to boards'!$B$2:$E$156,2,FALSE)</f>
        <v>830067</v>
      </c>
      <c r="M4348">
        <f>VLOOKUP(Query1[[#This Row],[Description]],'kits to boards'!$B$2:$E$156,3,FALSE)</f>
        <v>0</v>
      </c>
      <c r="N4348">
        <f>VLOOKUP(Query1[[#This Row],[Description]],'kits to boards'!$B$2:$E$156,4,FALSE)</f>
        <v>0</v>
      </c>
      <c r="O4348" t="str">
        <f>CONCATENATE(Query1[[#This Row],[Description]]," - ",Query1[[#This Row],[MB1]]," - ",Query1[[#This Row],[MB2]]," - ",Query1[[#This Row],[MB3]])</f>
        <v>EVAP KIT 59-60 CHEV CAR 4-LEVER - 830067 - 0 - 0</v>
      </c>
    </row>
    <row r="4349" spans="1:15" x14ac:dyDescent="0.25">
      <c r="A4349" s="1">
        <v>920756</v>
      </c>
      <c r="B4349" s="1" t="s">
        <v>116</v>
      </c>
      <c r="C4349" s="1" t="s">
        <v>117</v>
      </c>
      <c r="D4349" s="2">
        <v>44673.350629398148</v>
      </c>
      <c r="E4349" s="1" t="s">
        <v>8</v>
      </c>
      <c r="F4349" s="1">
        <v>1</v>
      </c>
      <c r="G4349" s="1">
        <v>0</v>
      </c>
      <c r="H4349" s="6">
        <f>INT(Query1[[#This Row],[EntryDateTime]])</f>
        <v>44673</v>
      </c>
      <c r="I4349" s="1">
        <f>IF(Query1[[#This Row],[ItemType]]="EVAP KIT SF GEN IV",Query1[[#This Row],[OrderQty]]+I4348,I4348)</f>
        <v>5381</v>
      </c>
      <c r="J4349" s="1">
        <f>IF(Query1[[#This Row],[ItemType]]="EVAP KIT UNIVERSAL",Query1[[#This Row],[OrderQty]]+J4348,J4348)</f>
        <v>1764</v>
      </c>
      <c r="K4349" s="1">
        <f>Query1[[#This Row],[SF Running Total]]+Query1[[#This Row],[UNIV Running Total]]</f>
        <v>7145</v>
      </c>
      <c r="L4349">
        <f>VLOOKUP(Query1[[#This Row],[Description]],'kits to boards'!$B$2:$E$156,2,FALSE)</f>
        <v>830058</v>
      </c>
      <c r="M4349">
        <f>VLOOKUP(Query1[[#This Row],[Description]],'kits to boards'!$B$2:$E$156,3,FALSE)</f>
        <v>0</v>
      </c>
      <c r="N4349">
        <f>VLOOKUP(Query1[[#This Row],[Description]],'kits to boards'!$B$2:$E$156,4,FALSE)</f>
        <v>0</v>
      </c>
      <c r="O4349" t="str">
        <f>CONCATENATE(Query1[[#This Row],[Description]]," - ",Query1[[#This Row],[MB1]]," - ",Query1[[#This Row],[MB2]]," - ",Query1[[#This Row],[MB3]])</f>
        <v>EVAP KIT 64-65 CHEVELLE WO AC - 830058 - 0 - 0</v>
      </c>
    </row>
    <row r="4350" spans="1:15" x14ac:dyDescent="0.25">
      <c r="A4350" s="1">
        <v>920763</v>
      </c>
      <c r="B4350" s="1" t="s">
        <v>84</v>
      </c>
      <c r="C4350" s="1" t="s">
        <v>85</v>
      </c>
      <c r="D4350" s="2">
        <v>44673.359215625002</v>
      </c>
      <c r="E4350" s="1" t="s">
        <v>8</v>
      </c>
      <c r="F4350" s="1">
        <v>1</v>
      </c>
      <c r="G4350" s="1">
        <v>0</v>
      </c>
      <c r="H4350" s="6">
        <f>INT(Query1[[#This Row],[EntryDateTime]])</f>
        <v>44673</v>
      </c>
      <c r="I4350" s="1">
        <f>IF(Query1[[#This Row],[ItemType]]="EVAP KIT SF GEN IV",Query1[[#This Row],[OrderQty]]+I4349,I4349)</f>
        <v>5382</v>
      </c>
      <c r="J4350" s="1">
        <f>IF(Query1[[#This Row],[ItemType]]="EVAP KIT UNIVERSAL",Query1[[#This Row],[OrderQty]]+J4349,J4349)</f>
        <v>1764</v>
      </c>
      <c r="K4350" s="1">
        <f>Query1[[#This Row],[SF Running Total]]+Query1[[#This Row],[UNIV Running Total]]</f>
        <v>7146</v>
      </c>
      <c r="L4350">
        <f>VLOOKUP(Query1[[#This Row],[Description]],'kits to boards'!$B$2:$E$156,2,FALSE)</f>
        <v>830085</v>
      </c>
      <c r="M4350">
        <f>VLOOKUP(Query1[[#This Row],[Description]],'kits to boards'!$B$2:$E$156,3,FALSE)</f>
        <v>0</v>
      </c>
      <c r="N4350">
        <f>VLOOKUP(Query1[[#This Row],[Description]],'kits to boards'!$B$2:$E$156,4,FALSE)</f>
        <v>0</v>
      </c>
      <c r="O4350" t="str">
        <f>CONCATENATE(Query1[[#This Row],[Description]]," - ",Query1[[#This Row],[MB1]]," - ",Query1[[#This Row],[MB2]]," - ",Query1[[#This Row],[MB3]])</f>
        <v>EVAP KIT 66-77 BRONCO 4-VENT PLENUM - 830085 - 0 - 0</v>
      </c>
    </row>
    <row r="4351" spans="1:15" x14ac:dyDescent="0.25">
      <c r="A4351" s="1">
        <v>920768</v>
      </c>
      <c r="B4351" s="1" t="s">
        <v>34</v>
      </c>
      <c r="C4351" s="1" t="s">
        <v>35</v>
      </c>
      <c r="D4351" s="2">
        <v>44673.377855092593</v>
      </c>
      <c r="E4351" s="1" t="s">
        <v>8</v>
      </c>
      <c r="F4351" s="1">
        <v>1</v>
      </c>
      <c r="G4351" s="1">
        <v>0</v>
      </c>
      <c r="H4351" s="6">
        <f>INT(Query1[[#This Row],[EntryDateTime]])</f>
        <v>44673</v>
      </c>
      <c r="I4351" s="1">
        <f>IF(Query1[[#This Row],[ItemType]]="EVAP KIT SF GEN IV",Query1[[#This Row],[OrderQty]]+I4350,I4350)</f>
        <v>5383</v>
      </c>
      <c r="J4351" s="1">
        <f>IF(Query1[[#This Row],[ItemType]]="EVAP KIT UNIVERSAL",Query1[[#This Row],[OrderQty]]+J4350,J4350)</f>
        <v>1764</v>
      </c>
      <c r="K4351" s="1">
        <f>Query1[[#This Row],[SF Running Total]]+Query1[[#This Row],[UNIV Running Total]]</f>
        <v>7147</v>
      </c>
      <c r="L4351">
        <f>VLOOKUP(Query1[[#This Row],[Description]],'kits to boards'!$B$2:$E$156,2,FALSE)</f>
        <v>830065</v>
      </c>
      <c r="M4351">
        <f>VLOOKUP(Query1[[#This Row],[Description]],'kits to boards'!$B$2:$E$156,3,FALSE)</f>
        <v>0</v>
      </c>
      <c r="N4351">
        <f>VLOOKUP(Query1[[#This Row],[Description]],'kits to boards'!$B$2:$E$156,4,FALSE)</f>
        <v>0</v>
      </c>
      <c r="O4351" t="str">
        <f>CONCATENATE(Query1[[#This Row],[Description]]," - ",Query1[[#This Row],[MB1]]," - ",Query1[[#This Row],[MB2]]," - ",Query1[[#This Row],[MB3]])</f>
        <v>EVAP KIT 57 CHEV WO AC - 830065 - 0 - 0</v>
      </c>
    </row>
    <row r="4352" spans="1:15" x14ac:dyDescent="0.25">
      <c r="A4352" s="1">
        <v>920771</v>
      </c>
      <c r="B4352" s="1" t="s">
        <v>194</v>
      </c>
      <c r="C4352" s="1" t="s">
        <v>195</v>
      </c>
      <c r="D4352" s="2">
        <v>44673.379171412038</v>
      </c>
      <c r="E4352" s="1" t="s">
        <v>8</v>
      </c>
      <c r="F4352" s="1">
        <v>1</v>
      </c>
      <c r="G4352" s="1">
        <v>0</v>
      </c>
      <c r="H4352" s="6">
        <f>INT(Query1[[#This Row],[EntryDateTime]])</f>
        <v>44673</v>
      </c>
      <c r="I4352" s="1">
        <f>IF(Query1[[#This Row],[ItemType]]="EVAP KIT SF GEN IV",Query1[[#This Row],[OrderQty]]+I4351,I4351)</f>
        <v>5384</v>
      </c>
      <c r="J4352" s="1">
        <f>IF(Query1[[#This Row],[ItemType]]="EVAP KIT UNIVERSAL",Query1[[#This Row],[OrderQty]]+J4351,J4351)</f>
        <v>1764</v>
      </c>
      <c r="K4352" s="1">
        <f>Query1[[#This Row],[SF Running Total]]+Query1[[#This Row],[UNIV Running Total]]</f>
        <v>7148</v>
      </c>
      <c r="L4352">
        <f>VLOOKUP(Query1[[#This Row],[Description]],'kits to boards'!$B$2:$E$156,2,FALSE)</f>
        <v>830103</v>
      </c>
      <c r="M4352">
        <f>VLOOKUP(Query1[[#This Row],[Description]],'kits to boards'!$B$2:$E$156,3,FALSE)</f>
        <v>0</v>
      </c>
      <c r="N4352">
        <f>VLOOKUP(Query1[[#This Row],[Description]],'kits to boards'!$B$2:$E$156,4,FALSE)</f>
        <v>0</v>
      </c>
      <c r="O4352" t="str">
        <f>CONCATENATE(Query1[[#This Row],[Description]]," - ",Query1[[#This Row],[MB1]]," - ",Query1[[#This Row],[MB2]]," - ",Query1[[#This Row],[MB3]])</f>
        <v>EVAP KIT 78-82 VETTE W/AC - 830103 - 0 - 0</v>
      </c>
    </row>
    <row r="4353" spans="1:15" x14ac:dyDescent="0.25">
      <c r="A4353" s="1">
        <v>920767</v>
      </c>
      <c r="B4353" s="1" t="s">
        <v>48</v>
      </c>
      <c r="C4353" s="1" t="s">
        <v>49</v>
      </c>
      <c r="D4353" s="2">
        <v>44673.379710300927</v>
      </c>
      <c r="E4353" s="1" t="s">
        <v>8</v>
      </c>
      <c r="F4353" s="1">
        <v>1</v>
      </c>
      <c r="G4353" s="1">
        <v>0</v>
      </c>
      <c r="H4353" s="6">
        <f>INT(Query1[[#This Row],[EntryDateTime]])</f>
        <v>44673</v>
      </c>
      <c r="I4353" s="1">
        <f>IF(Query1[[#This Row],[ItemType]]="EVAP KIT SF GEN IV",Query1[[#This Row],[OrderQty]]+I4352,I4352)</f>
        <v>5385</v>
      </c>
      <c r="J4353" s="1">
        <f>IF(Query1[[#This Row],[ItemType]]="EVAP KIT UNIVERSAL",Query1[[#This Row],[OrderQty]]+J4352,J4352)</f>
        <v>1764</v>
      </c>
      <c r="K4353" s="1">
        <f>Query1[[#This Row],[SF Running Total]]+Query1[[#This Row],[UNIV Running Total]]</f>
        <v>7149</v>
      </c>
      <c r="L4353">
        <f>VLOOKUP(Query1[[#This Row],[Description]],'kits to boards'!$B$2:$E$156,2,FALSE)</f>
        <v>830015</v>
      </c>
      <c r="M4353">
        <f>VLOOKUP(Query1[[#This Row],[Description]],'kits to boards'!$B$2:$E$156,3,FALSE)</f>
        <v>0</v>
      </c>
      <c r="N4353">
        <f>VLOOKUP(Query1[[#This Row],[Description]],'kits to boards'!$B$2:$E$156,4,FALSE)</f>
        <v>0</v>
      </c>
      <c r="O4353" t="str">
        <f>CONCATENATE(Query1[[#This Row],[Description]]," - ",Query1[[#This Row],[MB1]]," - ",Query1[[#This Row],[MB2]]," - ",Query1[[#This Row],[MB3]])</f>
        <v>EVAP KIT 64-66 CHEV P-UP WO AC W/DELX - 830015 - 0 - 0</v>
      </c>
    </row>
    <row r="4354" spans="1:15" x14ac:dyDescent="0.25">
      <c r="A4354" s="1">
        <v>920774</v>
      </c>
      <c r="B4354" s="1" t="s">
        <v>26</v>
      </c>
      <c r="C4354" s="1" t="s">
        <v>27</v>
      </c>
      <c r="D4354" s="2">
        <v>44673.3870159375</v>
      </c>
      <c r="E4354" s="1" t="s">
        <v>8</v>
      </c>
      <c r="F4354" s="1">
        <v>1</v>
      </c>
      <c r="G4354" s="1">
        <v>0</v>
      </c>
      <c r="H4354" s="6">
        <f>INT(Query1[[#This Row],[EntryDateTime]])</f>
        <v>44673</v>
      </c>
      <c r="I4354" s="1">
        <f>IF(Query1[[#This Row],[ItemType]]="EVAP KIT SF GEN IV",Query1[[#This Row],[OrderQty]]+I4353,I4353)</f>
        <v>5386</v>
      </c>
      <c r="J4354" s="1">
        <f>IF(Query1[[#This Row],[ItemType]]="EVAP KIT UNIVERSAL",Query1[[#This Row],[OrderQty]]+J4353,J4353)</f>
        <v>1764</v>
      </c>
      <c r="K4354" s="1">
        <f>Query1[[#This Row],[SF Running Total]]+Query1[[#This Row],[UNIV Running Total]]</f>
        <v>7150</v>
      </c>
      <c r="L4354">
        <f>VLOOKUP(Query1[[#This Row],[Description]],'kits to boards'!$B$2:$E$156,2,FALSE)</f>
        <v>830013</v>
      </c>
      <c r="M4354">
        <f>VLOOKUP(Query1[[#This Row],[Description]],'kits to boards'!$B$2:$E$156,3,FALSE)</f>
        <v>0</v>
      </c>
      <c r="N4354">
        <f>VLOOKUP(Query1[[#This Row],[Description]],'kits to boards'!$B$2:$E$156,4,FALSE)</f>
        <v>0</v>
      </c>
      <c r="O4354" t="str">
        <f>CONCATENATE(Query1[[#This Row],[Description]]," - ",Query1[[#This Row],[MB1]]," - ",Query1[[#This Row],[MB2]]," - ",Query1[[#This Row],[MB3]])</f>
        <v>EVAP KIT 67-72 CHEV P-UP W/AC - 830013 - 0 - 0</v>
      </c>
    </row>
    <row r="4355" spans="1:15" x14ac:dyDescent="0.25">
      <c r="A4355" s="1">
        <v>920780</v>
      </c>
      <c r="B4355" s="1" t="s">
        <v>502</v>
      </c>
      <c r="C4355" s="1" t="s">
        <v>503</v>
      </c>
      <c r="D4355" s="2">
        <v>44673.41450204861</v>
      </c>
      <c r="E4355" s="1" t="s">
        <v>677</v>
      </c>
      <c r="F4355" s="1">
        <v>1</v>
      </c>
      <c r="G4355" s="1">
        <v>0</v>
      </c>
      <c r="H4355" s="6">
        <f>INT(Query1[[#This Row],[EntryDateTime]])</f>
        <v>44673</v>
      </c>
      <c r="I4355" s="1">
        <f>IF(Query1[[#This Row],[ItemType]]="EVAP KIT SF GEN IV",Query1[[#This Row],[OrderQty]]+I4354,I4354)</f>
        <v>5386</v>
      </c>
      <c r="J4355" s="1">
        <f>IF(Query1[[#This Row],[ItemType]]="EVAP KIT UNIVERSAL",Query1[[#This Row],[OrderQty]]+J4354,J4354)</f>
        <v>1764</v>
      </c>
      <c r="K4355" s="1">
        <f>Query1[[#This Row],[SF Running Total]]+Query1[[#This Row],[UNIV Running Total]]</f>
        <v>7150</v>
      </c>
      <c r="L4355" t="e">
        <f>VLOOKUP(Query1[[#This Row],[Description]],'kits to boards'!$B$2:$E$156,2,FALSE)</f>
        <v>#N/A</v>
      </c>
      <c r="M4355" t="e">
        <f>VLOOKUP(Query1[[#This Row],[Description]],'kits to boards'!$B$2:$E$156,3,FALSE)</f>
        <v>#N/A</v>
      </c>
      <c r="N4355" t="e">
        <f>VLOOKUP(Query1[[#This Row],[Description]],'kits to boards'!$B$2:$E$156,4,FALSE)</f>
        <v>#N/A</v>
      </c>
      <c r="O4355" t="e">
        <f>CONCATENATE(Query1[[#This Row],[Description]]," - ",Query1[[#This Row],[MB1]]," - ",Query1[[#This Row],[MB2]]," - ",Query1[[#This Row],[MB3]])</f>
        <v>#N/A</v>
      </c>
    </row>
    <row r="4356" spans="1:15" x14ac:dyDescent="0.25">
      <c r="A4356" s="1">
        <v>920783</v>
      </c>
      <c r="B4356" s="1" t="s">
        <v>38</v>
      </c>
      <c r="C4356" s="1" t="s">
        <v>39</v>
      </c>
      <c r="D4356" s="2">
        <v>44673.418858252313</v>
      </c>
      <c r="E4356" s="1" t="s">
        <v>8</v>
      </c>
      <c r="F4356" s="1">
        <v>1</v>
      </c>
      <c r="G4356" s="1">
        <v>0</v>
      </c>
      <c r="H4356" s="6">
        <f>INT(Query1[[#This Row],[EntryDateTime]])</f>
        <v>44673</v>
      </c>
      <c r="I4356" s="1">
        <f>IF(Query1[[#This Row],[ItemType]]="EVAP KIT SF GEN IV",Query1[[#This Row],[OrderQty]]+I4355,I4355)</f>
        <v>5387</v>
      </c>
      <c r="J4356" s="1">
        <f>IF(Query1[[#This Row],[ItemType]]="EVAP KIT UNIVERSAL",Query1[[#This Row],[OrderQty]]+J4355,J4355)</f>
        <v>1764</v>
      </c>
      <c r="K4356" s="1">
        <f>Query1[[#This Row],[SF Running Total]]+Query1[[#This Row],[UNIV Running Total]]</f>
        <v>7151</v>
      </c>
      <c r="L4356">
        <f>VLOOKUP(Query1[[#This Row],[Description]],'kits to boards'!$B$2:$E$156,2,FALSE)</f>
        <v>830012</v>
      </c>
      <c r="M4356">
        <f>VLOOKUP(Query1[[#This Row],[Description]],'kits to boards'!$B$2:$E$156,3,FALSE)</f>
        <v>0</v>
      </c>
      <c r="N4356">
        <f>VLOOKUP(Query1[[#This Row],[Description]],'kits to boards'!$B$2:$E$156,4,FALSE)</f>
        <v>0</v>
      </c>
      <c r="O4356" t="str">
        <f>CONCATENATE(Query1[[#This Row],[Description]]," - ",Query1[[#This Row],[MB1]]," - ",Query1[[#This Row],[MB2]]," - ",Query1[[#This Row],[MB3]])</f>
        <v>EVAP KIT 69 CAMARO W/AC - 830012 - 0 - 0</v>
      </c>
    </row>
    <row r="4357" spans="1:15" x14ac:dyDescent="0.25">
      <c r="A4357" s="1">
        <v>920784</v>
      </c>
      <c r="B4357" s="1" t="s">
        <v>12</v>
      </c>
      <c r="C4357" s="1" t="s">
        <v>13</v>
      </c>
      <c r="D4357" s="2">
        <v>44673.421722256942</v>
      </c>
      <c r="E4357" s="1" t="s">
        <v>8</v>
      </c>
      <c r="F4357" s="1">
        <v>1</v>
      </c>
      <c r="G4357" s="1">
        <v>0</v>
      </c>
      <c r="H4357" s="6">
        <f>INT(Query1[[#This Row],[EntryDateTime]])</f>
        <v>44673</v>
      </c>
      <c r="I4357" s="1">
        <f>IF(Query1[[#This Row],[ItemType]]="EVAP KIT SF GEN IV",Query1[[#This Row],[OrderQty]]+I4356,I4356)</f>
        <v>5388</v>
      </c>
      <c r="J4357" s="1">
        <f>IF(Query1[[#This Row],[ItemType]]="EVAP KIT UNIVERSAL",Query1[[#This Row],[OrderQty]]+J4356,J4356)</f>
        <v>1764</v>
      </c>
      <c r="K4357" s="1">
        <f>Query1[[#This Row],[SF Running Total]]+Query1[[#This Row],[UNIV Running Total]]</f>
        <v>7152</v>
      </c>
      <c r="L4357">
        <f>VLOOKUP(Query1[[#This Row],[Description]],'kits to boards'!$B$2:$E$156,2,FALSE)</f>
        <v>830079</v>
      </c>
      <c r="M4357">
        <f>VLOOKUP(Query1[[#This Row],[Description]],'kits to boards'!$B$2:$E$156,3,FALSE)</f>
        <v>830046</v>
      </c>
      <c r="N4357">
        <f>VLOOKUP(Query1[[#This Row],[Description]],'kits to boards'!$B$2:$E$156,4,FALSE)</f>
        <v>0</v>
      </c>
      <c r="O4357" t="str">
        <f>CONCATENATE(Query1[[#This Row],[Description]]," - ",Query1[[#This Row],[MB1]]," - ",Query1[[#This Row],[MB2]]," - ",Query1[[#This Row],[MB3]])</f>
        <v>EVAP KIT 67-68 MUSTANG/COUGAR W/AC - 830079 - 830046 - 0</v>
      </c>
    </row>
    <row r="4358" spans="1:15" x14ac:dyDescent="0.25">
      <c r="A4358" s="1">
        <v>920784</v>
      </c>
      <c r="B4358" s="1" t="s">
        <v>166</v>
      </c>
      <c r="C4358" s="1" t="s">
        <v>167</v>
      </c>
      <c r="D4358" s="2">
        <v>44673.421828125</v>
      </c>
      <c r="E4358" s="1" t="s">
        <v>8</v>
      </c>
      <c r="F4358" s="1">
        <v>1</v>
      </c>
      <c r="G4358" s="1">
        <v>0</v>
      </c>
      <c r="H4358" s="6">
        <f>INT(Query1[[#This Row],[EntryDateTime]])</f>
        <v>44673</v>
      </c>
      <c r="I4358" s="1">
        <f>IF(Query1[[#This Row],[ItemType]]="EVAP KIT SF GEN IV",Query1[[#This Row],[OrderQty]]+I4357,I4357)</f>
        <v>5389</v>
      </c>
      <c r="J4358" s="1">
        <f>IF(Query1[[#This Row],[ItemType]]="EVAP KIT UNIVERSAL",Query1[[#This Row],[OrderQty]]+J4357,J4357)</f>
        <v>1764</v>
      </c>
      <c r="K4358" s="1">
        <f>Query1[[#This Row],[SF Running Total]]+Query1[[#This Row],[UNIV Running Total]]</f>
        <v>7153</v>
      </c>
      <c r="L4358">
        <f>VLOOKUP(Query1[[#This Row],[Description]],'kits to boards'!$B$2:$E$156,2,FALSE)</f>
        <v>830063</v>
      </c>
      <c r="M4358">
        <f>VLOOKUP(Query1[[#This Row],[Description]],'kits to boards'!$B$2:$E$156,3,FALSE)</f>
        <v>0</v>
      </c>
      <c r="N4358">
        <f>VLOOKUP(Query1[[#This Row],[Description]],'kits to boards'!$B$2:$E$156,4,FALSE)</f>
        <v>0</v>
      </c>
      <c r="O4358" t="str">
        <f>CONCATENATE(Query1[[#This Row],[Description]]," - ",Query1[[#This Row],[MB1]]," - ",Query1[[#This Row],[MB2]]," - ",Query1[[#This Row],[MB3]])</f>
        <v>EVAP KIT 47-49 CHEV P-UP GEN IV - 830063 - 0 - 0</v>
      </c>
    </row>
    <row r="4359" spans="1:15" x14ac:dyDescent="0.25">
      <c r="A4359" s="1">
        <v>920785</v>
      </c>
      <c r="B4359" s="1" t="s">
        <v>156</v>
      </c>
      <c r="C4359" s="1" t="s">
        <v>157</v>
      </c>
      <c r="D4359" s="2">
        <v>44673.422467939818</v>
      </c>
      <c r="E4359" s="1" t="s">
        <v>8</v>
      </c>
      <c r="F4359" s="1">
        <v>1</v>
      </c>
      <c r="G4359" s="1">
        <v>0</v>
      </c>
      <c r="H4359" s="6">
        <f>INT(Query1[[#This Row],[EntryDateTime]])</f>
        <v>44673</v>
      </c>
      <c r="I4359" s="1">
        <f>IF(Query1[[#This Row],[ItemType]]="EVAP KIT SF GEN IV",Query1[[#This Row],[OrderQty]]+I4358,I4358)</f>
        <v>5390</v>
      </c>
      <c r="J4359" s="1">
        <f>IF(Query1[[#This Row],[ItemType]]="EVAP KIT UNIVERSAL",Query1[[#This Row],[OrderQty]]+J4358,J4358)</f>
        <v>1764</v>
      </c>
      <c r="K4359" s="1">
        <f>Query1[[#This Row],[SF Running Total]]+Query1[[#This Row],[UNIV Running Total]]</f>
        <v>7154</v>
      </c>
      <c r="L4359">
        <f>VLOOKUP(Query1[[#This Row],[Description]],'kits to boards'!$B$2:$E$156,2,FALSE)</f>
        <v>830019</v>
      </c>
      <c r="M4359">
        <f>VLOOKUP(Query1[[#This Row],[Description]],'kits to boards'!$B$2:$E$156,3,FALSE)</f>
        <v>0</v>
      </c>
      <c r="N4359">
        <f>VLOOKUP(Query1[[#This Row],[Description]],'kits to boards'!$B$2:$E$156,4,FALSE)</f>
        <v>0</v>
      </c>
      <c r="O4359" t="str">
        <f>CONCATENATE(Query1[[#This Row],[Description]]," - ",Query1[[#This Row],[MB1]]," - ",Query1[[#This Row],[MB2]]," - ",Query1[[#This Row],[MB3]])</f>
        <v>EVAP KIT 70-81 FIREBIRD WO AC - 830019 - 0 - 0</v>
      </c>
    </row>
    <row r="4360" spans="1:15" x14ac:dyDescent="0.25">
      <c r="A4360" s="1">
        <v>920787</v>
      </c>
      <c r="B4360" s="1" t="s">
        <v>18</v>
      </c>
      <c r="C4360" s="1" t="s">
        <v>19</v>
      </c>
      <c r="D4360" s="2">
        <v>44673.426011805554</v>
      </c>
      <c r="E4360" s="1" t="s">
        <v>8</v>
      </c>
      <c r="F4360" s="1">
        <v>1</v>
      </c>
      <c r="G4360" s="1">
        <v>0</v>
      </c>
      <c r="H4360" s="6">
        <f>INT(Query1[[#This Row],[EntryDateTime]])</f>
        <v>44673</v>
      </c>
      <c r="I4360" s="1">
        <f>IF(Query1[[#This Row],[ItemType]]="EVAP KIT SF GEN IV",Query1[[#This Row],[OrderQty]]+I4359,I4359)</f>
        <v>5391</v>
      </c>
      <c r="J4360" s="1">
        <f>IF(Query1[[#This Row],[ItemType]]="EVAP KIT UNIVERSAL",Query1[[#This Row],[OrderQty]]+J4359,J4359)</f>
        <v>1764</v>
      </c>
      <c r="K4360" s="1">
        <f>Query1[[#This Row],[SF Running Total]]+Query1[[#This Row],[UNIV Running Total]]</f>
        <v>7155</v>
      </c>
      <c r="L4360">
        <f>VLOOKUP(Query1[[#This Row],[Description]],'kits to boards'!$B$2:$E$156,2,FALSE)</f>
        <v>830051</v>
      </c>
      <c r="M4360">
        <f>VLOOKUP(Query1[[#This Row],[Description]],'kits to boards'!$B$2:$E$156,3,FALSE)</f>
        <v>0</v>
      </c>
      <c r="N4360">
        <f>VLOOKUP(Query1[[#This Row],[Description]],'kits to boards'!$B$2:$E$156,4,FALSE)</f>
        <v>0</v>
      </c>
      <c r="O4360" t="str">
        <f>CONCATENATE(Query1[[#This Row],[Description]]," - ",Query1[[#This Row],[MB1]]," - ",Query1[[#This Row],[MB2]]," - ",Query1[[#This Row],[MB3]])</f>
        <v>EVAP KIT 70-78 CAMARO W/AC - 830051 - 0 - 0</v>
      </c>
    </row>
    <row r="4361" spans="1:15" x14ac:dyDescent="0.25">
      <c r="A4361" s="1">
        <v>920790</v>
      </c>
      <c r="B4361" s="1" t="s">
        <v>14</v>
      </c>
      <c r="C4361" s="1" t="s">
        <v>15</v>
      </c>
      <c r="D4361" s="2">
        <v>44673.429998576386</v>
      </c>
      <c r="E4361" s="1" t="s">
        <v>8</v>
      </c>
      <c r="F4361" s="1">
        <v>1</v>
      </c>
      <c r="G4361" s="1">
        <v>0</v>
      </c>
      <c r="H4361" s="6">
        <f>INT(Query1[[#This Row],[EntryDateTime]])</f>
        <v>44673</v>
      </c>
      <c r="I4361" s="1">
        <f>IF(Query1[[#This Row],[ItemType]]="EVAP KIT SF GEN IV",Query1[[#This Row],[OrderQty]]+I4360,I4360)</f>
        <v>5392</v>
      </c>
      <c r="J4361" s="1">
        <f>IF(Query1[[#This Row],[ItemType]]="EVAP KIT UNIVERSAL",Query1[[#This Row],[OrderQty]]+J4360,J4360)</f>
        <v>1764</v>
      </c>
      <c r="K4361" s="1">
        <f>Query1[[#This Row],[SF Running Total]]+Query1[[#This Row],[UNIV Running Total]]</f>
        <v>7156</v>
      </c>
      <c r="L4361">
        <f>VLOOKUP(Query1[[#This Row],[Description]],'kits to boards'!$B$2:$E$156,2,FALSE)</f>
        <v>830054</v>
      </c>
      <c r="M4361">
        <f>VLOOKUP(Query1[[#This Row],[Description]],'kits to boards'!$B$2:$E$156,3,FALSE)</f>
        <v>0</v>
      </c>
      <c r="N4361">
        <f>VLOOKUP(Query1[[#This Row],[Description]],'kits to boards'!$B$2:$E$156,4,FALSE)</f>
        <v>0</v>
      </c>
      <c r="O4361" t="str">
        <f>CONCATENATE(Query1[[#This Row],[Description]]," - ",Query1[[#This Row],[MB1]]," - ",Query1[[#This Row],[MB2]]," - ",Query1[[#This Row],[MB3]])</f>
        <v>EVAP KIT 55-56 CHEVY - 830054 - 0 - 0</v>
      </c>
    </row>
    <row r="4362" spans="1:15" x14ac:dyDescent="0.25">
      <c r="A4362" s="1">
        <v>920792</v>
      </c>
      <c r="B4362" s="1" t="s">
        <v>216</v>
      </c>
      <c r="C4362" s="1" t="s">
        <v>217</v>
      </c>
      <c r="D4362" s="2">
        <v>44673.434412962961</v>
      </c>
      <c r="E4362" s="1" t="s">
        <v>8</v>
      </c>
      <c r="F4362" s="1">
        <v>1</v>
      </c>
      <c r="G4362" s="1">
        <v>0</v>
      </c>
      <c r="H4362" s="6">
        <f>INT(Query1[[#This Row],[EntryDateTime]])</f>
        <v>44673</v>
      </c>
      <c r="I4362" s="1">
        <f>IF(Query1[[#This Row],[ItemType]]="EVAP KIT SF GEN IV",Query1[[#This Row],[OrderQty]]+I4361,I4361)</f>
        <v>5393</v>
      </c>
      <c r="J4362" s="1">
        <f>IF(Query1[[#This Row],[ItemType]]="EVAP KIT UNIVERSAL",Query1[[#This Row],[OrderQty]]+J4361,J4361)</f>
        <v>1764</v>
      </c>
      <c r="K4362" s="1">
        <f>Query1[[#This Row],[SF Running Total]]+Query1[[#This Row],[UNIV Running Total]]</f>
        <v>7157</v>
      </c>
      <c r="L4362">
        <f>VLOOKUP(Query1[[#This Row],[Description]],'kits to boards'!$B$2:$E$156,2,FALSE)</f>
        <v>830072</v>
      </c>
      <c r="M4362">
        <f>VLOOKUP(Query1[[#This Row],[Description]],'kits to boards'!$B$2:$E$156,3,FALSE)</f>
        <v>830075</v>
      </c>
      <c r="N4362">
        <f>VLOOKUP(Query1[[#This Row],[Description]],'kits to boards'!$B$2:$E$156,4,FALSE)</f>
        <v>0</v>
      </c>
      <c r="O4362" t="str">
        <f>CONCATENATE(Query1[[#This Row],[Description]]," - ",Query1[[#This Row],[MB1]]," - ",Query1[[#This Row],[MB2]]," - ",Query1[[#This Row],[MB3]])</f>
        <v>EVAP KIT 69-70 MOPAR B BODY W/AC - 830072 - 830075 - 0</v>
      </c>
    </row>
    <row r="4363" spans="1:15" x14ac:dyDescent="0.25">
      <c r="A4363" s="1">
        <v>920801</v>
      </c>
      <c r="B4363" s="1" t="s">
        <v>190</v>
      </c>
      <c r="C4363" s="1" t="s">
        <v>191</v>
      </c>
      <c r="D4363" s="2">
        <v>44673.451926388887</v>
      </c>
      <c r="E4363" s="1" t="s">
        <v>8</v>
      </c>
      <c r="F4363" s="1">
        <v>1</v>
      </c>
      <c r="G4363" s="1">
        <v>0</v>
      </c>
      <c r="H4363" s="6">
        <f>INT(Query1[[#This Row],[EntryDateTime]])</f>
        <v>44673</v>
      </c>
      <c r="I4363" s="1">
        <f>IF(Query1[[#This Row],[ItemType]]="EVAP KIT SF GEN IV",Query1[[#This Row],[OrderQty]]+I4362,I4362)</f>
        <v>5394</v>
      </c>
      <c r="J4363" s="1">
        <f>IF(Query1[[#This Row],[ItemType]]="EVAP KIT UNIVERSAL",Query1[[#This Row],[OrderQty]]+J4362,J4362)</f>
        <v>1764</v>
      </c>
      <c r="K4363" s="1">
        <f>Query1[[#This Row],[SF Running Total]]+Query1[[#This Row],[UNIV Running Total]]</f>
        <v>7158</v>
      </c>
      <c r="L4363">
        <f>VLOOKUP(Query1[[#This Row],[Description]],'kits to boards'!$B$2:$E$156,2,FALSE)</f>
        <v>830008</v>
      </c>
      <c r="M4363">
        <f>VLOOKUP(Query1[[#This Row],[Description]],'kits to boards'!$B$2:$E$156,3,FALSE)</f>
        <v>0</v>
      </c>
      <c r="N4363">
        <f>VLOOKUP(Query1[[#This Row],[Description]],'kits to boards'!$B$2:$E$156,4,FALSE)</f>
        <v>0</v>
      </c>
      <c r="O4363" t="str">
        <f>CONCATENATE(Query1[[#This Row],[Description]]," - ",Query1[[#This Row],[MB1]]," - ",Query1[[#This Row],[MB2]]," - ",Query1[[#This Row],[MB3]])</f>
        <v>EVAP KIT 63 IMPALA WO AC - 830008 - 0 - 0</v>
      </c>
    </row>
    <row r="4364" spans="1:15" x14ac:dyDescent="0.25">
      <c r="A4364" s="1">
        <v>920809</v>
      </c>
      <c r="B4364" s="1" t="s">
        <v>120</v>
      </c>
      <c r="C4364" s="1" t="s">
        <v>121</v>
      </c>
      <c r="D4364" s="2">
        <v>44673.47660721065</v>
      </c>
      <c r="E4364" s="1" t="s">
        <v>8</v>
      </c>
      <c r="F4364" s="1">
        <v>1</v>
      </c>
      <c r="G4364" s="1">
        <v>0</v>
      </c>
      <c r="H4364" s="6">
        <f>INT(Query1[[#This Row],[EntryDateTime]])</f>
        <v>44673</v>
      </c>
      <c r="I4364" s="1">
        <f>IF(Query1[[#This Row],[ItemType]]="EVAP KIT SF GEN IV",Query1[[#This Row],[OrderQty]]+I4363,I4363)</f>
        <v>5395</v>
      </c>
      <c r="J4364" s="1">
        <f>IF(Query1[[#This Row],[ItemType]]="EVAP KIT UNIVERSAL",Query1[[#This Row],[OrderQty]]+J4363,J4363)</f>
        <v>1764</v>
      </c>
      <c r="K4364" s="1">
        <f>Query1[[#This Row],[SF Running Total]]+Query1[[#This Row],[UNIV Running Total]]</f>
        <v>7159</v>
      </c>
      <c r="L4364">
        <f>VLOOKUP(Query1[[#This Row],[Description]],'kits to boards'!$B$2:$E$156,2,FALSE)</f>
        <v>830014</v>
      </c>
      <c r="M4364">
        <f>VLOOKUP(Query1[[#This Row],[Description]],'kits to boards'!$B$2:$E$156,3,FALSE)</f>
        <v>0</v>
      </c>
      <c r="N4364">
        <f>VLOOKUP(Query1[[#This Row],[Description]],'kits to boards'!$B$2:$E$156,4,FALSE)</f>
        <v>0</v>
      </c>
      <c r="O4364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4365" spans="1:15" x14ac:dyDescent="0.25">
      <c r="A4365" s="1">
        <v>920810</v>
      </c>
      <c r="B4365" s="1" t="s">
        <v>20</v>
      </c>
      <c r="C4365" s="1" t="s">
        <v>21</v>
      </c>
      <c r="D4365" s="2">
        <v>44673.477907638888</v>
      </c>
      <c r="E4365" s="1" t="s">
        <v>11</v>
      </c>
      <c r="F4365" s="1">
        <v>1</v>
      </c>
      <c r="G4365" s="1">
        <v>0</v>
      </c>
      <c r="H4365" s="6">
        <f>INT(Query1[[#This Row],[EntryDateTime]])</f>
        <v>44673</v>
      </c>
      <c r="I4365" s="1">
        <f>IF(Query1[[#This Row],[ItemType]]="EVAP KIT SF GEN IV",Query1[[#This Row],[OrderQty]]+I4364,I4364)</f>
        <v>5395</v>
      </c>
      <c r="J4365" s="1">
        <f>IF(Query1[[#This Row],[ItemType]]="EVAP KIT UNIVERSAL",Query1[[#This Row],[OrderQty]]+J4364,J4364)</f>
        <v>1765</v>
      </c>
      <c r="K4365" s="1">
        <f>Query1[[#This Row],[SF Running Total]]+Query1[[#This Row],[UNIV Running Total]]</f>
        <v>7160</v>
      </c>
      <c r="L4365">
        <f>VLOOKUP(Query1[[#This Row],[Description]],'kits to boards'!$B$2:$E$156,2,FALSE)</f>
        <v>830102</v>
      </c>
      <c r="M4365">
        <f>VLOOKUP(Query1[[#This Row],[Description]],'kits to boards'!$B$2:$E$156,3,FALSE)</f>
        <v>0</v>
      </c>
      <c r="N4365">
        <f>VLOOKUP(Query1[[#This Row],[Description]],'kits to boards'!$B$2:$E$156,4,FALSE)</f>
        <v>0</v>
      </c>
      <c r="O4365" t="str">
        <f>CONCATENATE(Query1[[#This Row],[Description]]," - ",Query1[[#This Row],[MB1]]," - ",Query1[[#This Row],[MB2]]," - ",Query1[[#This Row],[MB3]])</f>
        <v>SUPER GEN II W/DEF - 830102 - 0 - 0</v>
      </c>
    </row>
    <row r="4366" spans="1:15" x14ac:dyDescent="0.25">
      <c r="A4366" s="1">
        <v>920815</v>
      </c>
      <c r="B4366" s="1" t="s">
        <v>54</v>
      </c>
      <c r="C4366" s="1" t="s">
        <v>55</v>
      </c>
      <c r="D4366" s="2">
        <v>44673.487743287034</v>
      </c>
      <c r="E4366" s="1" t="s">
        <v>8</v>
      </c>
      <c r="F4366" s="1">
        <v>1</v>
      </c>
      <c r="G4366" s="1">
        <v>0</v>
      </c>
      <c r="H4366" s="6">
        <f>INT(Query1[[#This Row],[EntryDateTime]])</f>
        <v>44673</v>
      </c>
      <c r="I4366" s="1">
        <f>IF(Query1[[#This Row],[ItemType]]="EVAP KIT SF GEN IV",Query1[[#This Row],[OrderQty]]+I4365,I4365)</f>
        <v>5396</v>
      </c>
      <c r="J4366" s="1">
        <f>IF(Query1[[#This Row],[ItemType]]="EVAP KIT UNIVERSAL",Query1[[#This Row],[OrderQty]]+J4365,J4365)</f>
        <v>1765</v>
      </c>
      <c r="K4366" s="1">
        <f>Query1[[#This Row],[SF Running Total]]+Query1[[#This Row],[UNIV Running Total]]</f>
        <v>7161</v>
      </c>
      <c r="L4366">
        <f>VLOOKUP(Query1[[#This Row],[Description]],'kits to boards'!$B$2:$E$156,2,FALSE)</f>
        <v>830037</v>
      </c>
      <c r="M4366">
        <f>VLOOKUP(Query1[[#This Row],[Description]],'kits to boards'!$B$2:$E$156,3,FALSE)</f>
        <v>0</v>
      </c>
      <c r="N4366">
        <f>VLOOKUP(Query1[[#This Row],[Description]],'kits to boards'!$B$2:$E$156,4,FALSE)</f>
        <v>0</v>
      </c>
      <c r="O4366" t="str">
        <f>CONCATENATE(Query1[[#This Row],[Description]]," - ",Query1[[#This Row],[MB1]]," - ",Query1[[#This Row],[MB2]]," - ",Query1[[#This Row],[MB3]])</f>
        <v>EVAP KIT 70-81 FIREBIRD W/AC - 830037 - 0 - 0</v>
      </c>
    </row>
    <row r="4367" spans="1:15" x14ac:dyDescent="0.25">
      <c r="A4367" s="1">
        <v>920772</v>
      </c>
      <c r="B4367" s="1" t="s">
        <v>42</v>
      </c>
      <c r="C4367" s="1" t="s">
        <v>43</v>
      </c>
      <c r="D4367" s="2">
        <v>44673.495455752316</v>
      </c>
      <c r="E4367" s="1" t="s">
        <v>8</v>
      </c>
      <c r="F4367" s="1">
        <v>1</v>
      </c>
      <c r="G4367" s="1">
        <v>0</v>
      </c>
      <c r="H4367" s="6">
        <f>INT(Query1[[#This Row],[EntryDateTime]])</f>
        <v>44673</v>
      </c>
      <c r="I4367" s="1">
        <f>IF(Query1[[#This Row],[ItemType]]="EVAP KIT SF GEN IV",Query1[[#This Row],[OrderQty]]+I4366,I4366)</f>
        <v>5397</v>
      </c>
      <c r="J4367" s="1">
        <f>IF(Query1[[#This Row],[ItemType]]="EVAP KIT UNIVERSAL",Query1[[#This Row],[OrderQty]]+J4366,J4366)</f>
        <v>1765</v>
      </c>
      <c r="K4367" s="1">
        <f>Query1[[#This Row],[SF Running Total]]+Query1[[#This Row],[UNIV Running Total]]</f>
        <v>7162</v>
      </c>
      <c r="L4367">
        <f>VLOOKUP(Query1[[#This Row],[Description]],'kits to boards'!$B$2:$E$156,2,FALSE)</f>
        <v>830014</v>
      </c>
      <c r="M4367">
        <f>VLOOKUP(Query1[[#This Row],[Description]],'kits to boards'!$B$2:$E$156,3,FALSE)</f>
        <v>0</v>
      </c>
      <c r="N4367">
        <f>VLOOKUP(Query1[[#This Row],[Description]],'kits to boards'!$B$2:$E$156,4,FALSE)</f>
        <v>0</v>
      </c>
      <c r="O4367" t="str">
        <f>CONCATENATE(Query1[[#This Row],[Description]]," - ",Query1[[#This Row],[MB1]]," - ",Query1[[#This Row],[MB2]]," - ",Query1[[#This Row],[MB3]])</f>
        <v>EVAP KIT 67-72 CHEV P-UP WO AC - 830014 - 0 - 0</v>
      </c>
    </row>
    <row r="4368" spans="1:15" x14ac:dyDescent="0.25">
      <c r="A4368" s="1">
        <v>920819</v>
      </c>
      <c r="B4368" s="1" t="s">
        <v>98</v>
      </c>
      <c r="C4368" s="1" t="s">
        <v>99</v>
      </c>
      <c r="D4368" s="2">
        <v>44673.500850960649</v>
      </c>
      <c r="E4368" s="1" t="s">
        <v>11</v>
      </c>
      <c r="F4368" s="1">
        <v>5</v>
      </c>
      <c r="G4368" s="1">
        <v>0</v>
      </c>
      <c r="H4368" s="6">
        <f>INT(Query1[[#This Row],[EntryDateTime]])</f>
        <v>44673</v>
      </c>
      <c r="I4368" s="1">
        <f>IF(Query1[[#This Row],[ItemType]]="EVAP KIT SF GEN IV",Query1[[#This Row],[OrderQty]]+I4367,I4367)</f>
        <v>5397</v>
      </c>
      <c r="J4368" s="1">
        <f>IF(Query1[[#This Row],[ItemType]]="EVAP KIT UNIVERSAL",Query1[[#This Row],[OrderQty]]+J4367,J4367)</f>
        <v>1770</v>
      </c>
      <c r="K4368" s="1">
        <f>Query1[[#This Row],[SF Running Total]]+Query1[[#This Row],[UNIV Running Total]]</f>
        <v>7167</v>
      </c>
      <c r="L4368">
        <f>VLOOKUP(Query1[[#This Row],[Description]],'kits to boards'!$B$2:$E$156,2,FALSE)</f>
        <v>830099</v>
      </c>
      <c r="M4368">
        <f>VLOOKUP(Query1[[#This Row],[Description]],'kits to boards'!$B$2:$E$156,3,FALSE)</f>
        <v>0</v>
      </c>
      <c r="N4368">
        <f>VLOOKUP(Query1[[#This Row],[Description]],'kits to boards'!$B$2:$E$156,4,FALSE)</f>
        <v>0</v>
      </c>
      <c r="O4368" t="str">
        <f>CONCATENATE(Query1[[#This Row],[Description]]," - ",Query1[[#This Row],[MB1]]," - ",Query1[[#This Row],[MB2]]," - ",Query1[[#This Row],[MB3]])</f>
        <v>MINI GEN II W/DEF - 830099 - 0 - 0</v>
      </c>
    </row>
    <row r="4369" spans="1:15" x14ac:dyDescent="0.25">
      <c r="A4369" s="1">
        <v>920819</v>
      </c>
      <c r="B4369" s="1" t="s">
        <v>22</v>
      </c>
      <c r="C4369" s="1" t="s">
        <v>23</v>
      </c>
      <c r="D4369" s="2">
        <v>44673.50107322917</v>
      </c>
      <c r="E4369" s="1" t="s">
        <v>8</v>
      </c>
      <c r="F4369" s="1">
        <v>5</v>
      </c>
      <c r="G4369" s="1">
        <v>0</v>
      </c>
      <c r="H4369" s="6">
        <f>INT(Query1[[#This Row],[EntryDateTime]])</f>
        <v>44673</v>
      </c>
      <c r="I4369" s="1">
        <f>IF(Query1[[#This Row],[ItemType]]="EVAP KIT SF GEN IV",Query1[[#This Row],[OrderQty]]+I4368,I4368)</f>
        <v>5402</v>
      </c>
      <c r="J4369" s="1">
        <f>IF(Query1[[#This Row],[ItemType]]="EVAP KIT UNIVERSAL",Query1[[#This Row],[OrderQty]]+J4368,J4368)</f>
        <v>1770</v>
      </c>
      <c r="K4369" s="1">
        <f>Query1[[#This Row],[SF Running Total]]+Query1[[#This Row],[UNIV Running Total]]</f>
        <v>7172</v>
      </c>
      <c r="L4369">
        <f>VLOOKUP(Query1[[#This Row],[Description]],'kits to boards'!$B$2:$E$156,2,FALSE)</f>
        <v>830083</v>
      </c>
      <c r="M4369">
        <f>VLOOKUP(Query1[[#This Row],[Description]],'kits to boards'!$B$2:$E$156,3,FALSE)</f>
        <v>0</v>
      </c>
      <c r="N4369">
        <f>VLOOKUP(Query1[[#This Row],[Description]],'kits to boards'!$B$2:$E$156,4,FALSE)</f>
        <v>0</v>
      </c>
      <c r="O4369" t="str">
        <f>CONCATENATE(Query1[[#This Row],[Description]]," - ",Query1[[#This Row],[MB1]]," - ",Query1[[#This Row],[MB2]]," - ",Query1[[#This Row],[MB3]])</f>
        <v>GEN IV MAGNUM EVAP KIT - 830083 - 0 - 0</v>
      </c>
    </row>
    <row r="4370" spans="1:15" x14ac:dyDescent="0.25">
      <c r="A4370" s="1">
        <v>920819</v>
      </c>
      <c r="B4370" s="1" t="s">
        <v>78</v>
      </c>
      <c r="C4370" s="1" t="s">
        <v>79</v>
      </c>
      <c r="D4370" s="2">
        <v>44673.501290474538</v>
      </c>
      <c r="E4370" s="1" t="s">
        <v>11</v>
      </c>
      <c r="F4370" s="1">
        <v>5</v>
      </c>
      <c r="G4370" s="1">
        <v>0</v>
      </c>
      <c r="H4370" s="6">
        <f>INT(Query1[[#This Row],[EntryDateTime]])</f>
        <v>44673</v>
      </c>
      <c r="I4370" s="1">
        <f>IF(Query1[[#This Row],[ItemType]]="EVAP KIT SF GEN IV",Query1[[#This Row],[OrderQty]]+I4369,I4369)</f>
        <v>5402</v>
      </c>
      <c r="J4370" s="1">
        <f>IF(Query1[[#This Row],[ItemType]]="EVAP KIT UNIVERSAL",Query1[[#This Row],[OrderQty]]+J4369,J4369)</f>
        <v>1775</v>
      </c>
      <c r="K4370" s="1">
        <f>Query1[[#This Row],[SF Running Total]]+Query1[[#This Row],[UNIV Running Total]]</f>
        <v>7177</v>
      </c>
      <c r="L4370">
        <f>VLOOKUP(Query1[[#This Row],[Description]],'kits to boards'!$B$2:$E$156,2,FALSE)</f>
        <v>0</v>
      </c>
      <c r="M4370">
        <f>VLOOKUP(Query1[[#This Row],[Description]],'kits to boards'!$B$2:$E$156,3,FALSE)</f>
        <v>0</v>
      </c>
      <c r="N4370">
        <f>VLOOKUP(Query1[[#This Row],[Description]],'kits to boards'!$B$2:$E$156,4,FALSE)</f>
        <v>0</v>
      </c>
      <c r="O4370" t="str">
        <f>CONCATENATE(Query1[[#This Row],[Description]]," - ",Query1[[#This Row],[MB1]]," - ",Query1[[#This Row],[MB2]]," - ",Query1[[#This Row],[MB3]])</f>
        <v>MARK IV STYLELINE UNDERDASH EVAP - 0 - 0 - 0</v>
      </c>
    </row>
    <row r="4371" spans="1:15" x14ac:dyDescent="0.25">
      <c r="A4371" s="1">
        <v>920819</v>
      </c>
      <c r="B4371" s="1" t="s">
        <v>24</v>
      </c>
      <c r="C4371" s="1" t="s">
        <v>25</v>
      </c>
      <c r="D4371" s="2">
        <v>44673.501714351849</v>
      </c>
      <c r="E4371" s="1" t="s">
        <v>11</v>
      </c>
      <c r="F4371" s="1">
        <v>10</v>
      </c>
      <c r="G4371" s="1">
        <v>0</v>
      </c>
      <c r="H4371" s="6">
        <f>INT(Query1[[#This Row],[EntryDateTime]])</f>
        <v>44673</v>
      </c>
      <c r="I4371" s="1">
        <f>IF(Query1[[#This Row],[ItemType]]="EVAP KIT SF GEN IV",Query1[[#This Row],[OrderQty]]+I4370,I4370)</f>
        <v>5402</v>
      </c>
      <c r="J4371" s="1">
        <f>IF(Query1[[#This Row],[ItemType]]="EVAP KIT UNIVERSAL",Query1[[#This Row],[OrderQty]]+J4370,J4370)</f>
        <v>1785</v>
      </c>
      <c r="K4371" s="1">
        <f>Query1[[#This Row],[SF Running Total]]+Query1[[#This Row],[UNIV Running Total]]</f>
        <v>7187</v>
      </c>
      <c r="L4371">
        <f>VLOOKUP(Query1[[#This Row],[Description]],'kits to boards'!$B$2:$E$156,2,FALSE)</f>
        <v>830029</v>
      </c>
      <c r="M4371">
        <f>VLOOKUP(Query1[[#This Row],[Description]],'kits to boards'!$B$2:$E$156,3,FALSE)</f>
        <v>830030</v>
      </c>
      <c r="N4371">
        <f>VLOOKUP(Query1[[#This Row],[Description]],'kits to boards'!$B$2:$E$156,4,FALSE)</f>
        <v>0</v>
      </c>
      <c r="O4371" t="str">
        <f>CONCATENATE(Query1[[#This Row],[Description]]," - ",Query1[[#This Row],[MB1]]," - ",Query1[[#This Row],[MB2]]," - ",Query1[[#This Row],[MB3]])</f>
        <v>ComPac GEN II W/DEF - 830029 - 830030 - 0</v>
      </c>
    </row>
    <row r="4372" spans="1:15" x14ac:dyDescent="0.25">
      <c r="A4372" s="1">
        <v>919622</v>
      </c>
      <c r="B4372" s="1" t="s">
        <v>98</v>
      </c>
      <c r="C4372" s="1" t="s">
        <v>99</v>
      </c>
      <c r="D4372" s="2">
        <v>44673.524169293982</v>
      </c>
      <c r="E4372" s="1" t="s">
        <v>11</v>
      </c>
      <c r="F4372" s="1">
        <v>2</v>
      </c>
      <c r="G4372" s="1">
        <v>0</v>
      </c>
      <c r="H4372" s="6">
        <f>INT(Query1[[#This Row],[EntryDateTime]])</f>
        <v>44673</v>
      </c>
      <c r="I4372" s="1">
        <f>IF(Query1[[#This Row],[ItemType]]="EVAP KIT SF GEN IV",Query1[[#This Row],[OrderQty]]+I4371,I4371)</f>
        <v>5402</v>
      </c>
      <c r="J4372" s="1">
        <f>IF(Query1[[#This Row],[ItemType]]="EVAP KIT UNIVERSAL",Query1[[#This Row],[OrderQty]]+J4371,J4371)</f>
        <v>1787</v>
      </c>
      <c r="K4372" s="1">
        <f>Query1[[#This Row],[SF Running Total]]+Query1[[#This Row],[UNIV Running Total]]</f>
        <v>7189</v>
      </c>
      <c r="L4372">
        <f>VLOOKUP(Query1[[#This Row],[Description]],'kits to boards'!$B$2:$E$156,2,FALSE)</f>
        <v>830099</v>
      </c>
      <c r="M4372">
        <f>VLOOKUP(Query1[[#This Row],[Description]],'kits to boards'!$B$2:$E$156,3,FALSE)</f>
        <v>0</v>
      </c>
      <c r="N4372">
        <f>VLOOKUP(Query1[[#This Row],[Description]],'kits to boards'!$B$2:$E$156,4,FALSE)</f>
        <v>0</v>
      </c>
      <c r="O4372" t="str">
        <f>CONCATENATE(Query1[[#This Row],[Description]]," - ",Query1[[#This Row],[MB1]]," - ",Query1[[#This Row],[MB2]]," - ",Query1[[#This Row],[MB3]])</f>
        <v>MINI GEN II W/DEF - 830099 - 0 - 0</v>
      </c>
    </row>
    <row r="4373" spans="1:15" x14ac:dyDescent="0.25">
      <c r="A4373" s="1">
        <v>920829</v>
      </c>
      <c r="B4373" s="1" t="s">
        <v>42</v>
      </c>
      <c r="C4373" s="1" t="s">
        <v>43</v>
      </c>
      <c r="D4373" s="2">
        <v>44673.543444479168</v>
      </c>
      <c r="E4373" s="1" t="s">
        <v>8</v>
      </c>
      <c r="F4373" s="1">
        <v>1</v>
      </c>
      <c r="G4373" s="1">
        <v>0</v>
      </c>
      <c r="H4373" s="6">
        <f>INT(Query1[[#This Row],[EntryDateTime]])</f>
        <v>44673</v>
      </c>
      <c r="I4373" s="1">
        <f>IF(Query1[[#This Row],[ItemType]]="EVAP KIT SF GEN IV",Query1[[#This Row],[OrderQty]]+I4372,I4372)</f>
        <v>5403</v>
      </c>
      <c r="J4373" s="1">
        <f>IF(Query1[[#This Row],[ItemType]]="EVAP KIT UNIVERSAL",Query1[[#This Row],[OrderQty]]+J4372,J4372)</f>
        <v>1787</v>
      </c>
      <c r="K4373" s="1">
        <f>Query1[[#This Row],[SF Running Total]]+Query1[[#This Row],[UNIV Running Total]]</f>
        <v>7190</v>
      </c>
      <c r="L4373">
        <f>VLOOKUP(Query1[[#This Row],[Description]],'kits to boards'!$B$2:$E$156,2,FALSE)</f>
        <v>830014</v>
      </c>
      <c r="M4373">
        <f>VLOOKUP(Query1[[#This Row],[Description]],'kits to boards'!$B$2:$E$156,3,FALSE)</f>
        <v>0</v>
      </c>
      <c r="N4373">
        <f>VLOOKUP(Query1[[#This Row],[Description]],'kits to boards'!$B$2:$E$156,4,FALSE)</f>
        <v>0</v>
      </c>
      <c r="O4373" t="str">
        <f>CONCATENATE(Query1[[#This Row],[Description]]," - ",Query1[[#This Row],[MB1]]," - ",Query1[[#This Row],[MB2]]," - ",Query1[[#This Row],[MB3]])</f>
        <v>EVAP KIT 67-72 CHEV P-UP WO AC - 830014 - 0 - 0</v>
      </c>
    </row>
    <row r="4374" spans="1:15" x14ac:dyDescent="0.25">
      <c r="A4374" s="1">
        <v>920714</v>
      </c>
      <c r="B4374" s="1" t="s">
        <v>26</v>
      </c>
      <c r="C4374" s="1" t="s">
        <v>27</v>
      </c>
      <c r="D4374" s="2">
        <v>44673.546710266201</v>
      </c>
      <c r="E4374" s="1" t="s">
        <v>8</v>
      </c>
      <c r="F4374" s="1">
        <v>1</v>
      </c>
      <c r="G4374" s="1">
        <v>0</v>
      </c>
      <c r="H4374" s="6">
        <f>INT(Query1[[#This Row],[EntryDateTime]])</f>
        <v>44673</v>
      </c>
      <c r="I4374" s="1">
        <f>IF(Query1[[#This Row],[ItemType]]="EVAP KIT SF GEN IV",Query1[[#This Row],[OrderQty]]+I4373,I4373)</f>
        <v>5404</v>
      </c>
      <c r="J4374" s="1">
        <f>IF(Query1[[#This Row],[ItemType]]="EVAP KIT UNIVERSAL",Query1[[#This Row],[OrderQty]]+J4373,J4373)</f>
        <v>1787</v>
      </c>
      <c r="K4374" s="1">
        <f>Query1[[#This Row],[SF Running Total]]+Query1[[#This Row],[UNIV Running Total]]</f>
        <v>7191</v>
      </c>
      <c r="L4374">
        <f>VLOOKUP(Query1[[#This Row],[Description]],'kits to boards'!$B$2:$E$156,2,FALSE)</f>
        <v>830013</v>
      </c>
      <c r="M4374">
        <f>VLOOKUP(Query1[[#This Row],[Description]],'kits to boards'!$B$2:$E$156,3,FALSE)</f>
        <v>0</v>
      </c>
      <c r="N4374">
        <f>VLOOKUP(Query1[[#This Row],[Description]],'kits to boards'!$B$2:$E$156,4,FALSE)</f>
        <v>0</v>
      </c>
      <c r="O4374" t="str">
        <f>CONCATENATE(Query1[[#This Row],[Description]]," - ",Query1[[#This Row],[MB1]]," - ",Query1[[#This Row],[MB2]]," - ",Query1[[#This Row],[MB3]])</f>
        <v>EVAP KIT 67-72 CHEV P-UP W/AC - 830013 - 0 - 0</v>
      </c>
    </row>
    <row r="4375" spans="1:15" x14ac:dyDescent="0.25">
      <c r="A4375" s="1">
        <v>920817</v>
      </c>
      <c r="B4375" s="1" t="s">
        <v>22</v>
      </c>
      <c r="C4375" s="1" t="s">
        <v>23</v>
      </c>
      <c r="D4375" s="2">
        <v>44673.576194328707</v>
      </c>
      <c r="E4375" s="1" t="s">
        <v>8</v>
      </c>
      <c r="F4375" s="1">
        <v>1</v>
      </c>
      <c r="G4375" s="1">
        <v>0</v>
      </c>
      <c r="H4375" s="6">
        <f>INT(Query1[[#This Row],[EntryDateTime]])</f>
        <v>44673</v>
      </c>
      <c r="I4375" s="1">
        <f>IF(Query1[[#This Row],[ItemType]]="EVAP KIT SF GEN IV",Query1[[#This Row],[OrderQty]]+I4374,I4374)</f>
        <v>5405</v>
      </c>
      <c r="J4375" s="1">
        <f>IF(Query1[[#This Row],[ItemType]]="EVAP KIT UNIVERSAL",Query1[[#This Row],[OrderQty]]+J4374,J4374)</f>
        <v>1787</v>
      </c>
      <c r="K4375" s="1">
        <f>Query1[[#This Row],[SF Running Total]]+Query1[[#This Row],[UNIV Running Total]]</f>
        <v>7192</v>
      </c>
      <c r="L4375">
        <f>VLOOKUP(Query1[[#This Row],[Description]],'kits to boards'!$B$2:$E$156,2,FALSE)</f>
        <v>830083</v>
      </c>
      <c r="M4375">
        <f>VLOOKUP(Query1[[#This Row],[Description]],'kits to boards'!$B$2:$E$156,3,FALSE)</f>
        <v>0</v>
      </c>
      <c r="N4375">
        <f>VLOOKUP(Query1[[#This Row],[Description]],'kits to boards'!$B$2:$E$156,4,FALSE)</f>
        <v>0</v>
      </c>
      <c r="O4375" t="str">
        <f>CONCATENATE(Query1[[#This Row],[Description]]," - ",Query1[[#This Row],[MB1]]," - ",Query1[[#This Row],[MB2]]," - ",Query1[[#This Row],[MB3]])</f>
        <v>GEN IV MAGNUM EVAP KIT - 830083 - 0 - 0</v>
      </c>
    </row>
    <row r="4376" spans="1:15" x14ac:dyDescent="0.25">
      <c r="A4376" s="1">
        <v>920843</v>
      </c>
      <c r="B4376" s="1" t="s">
        <v>72</v>
      </c>
      <c r="C4376" s="1" t="s">
        <v>73</v>
      </c>
      <c r="D4376" s="2">
        <v>44673.59346866898</v>
      </c>
      <c r="E4376" s="1" t="s">
        <v>8</v>
      </c>
      <c r="F4376" s="1">
        <v>1</v>
      </c>
      <c r="G4376" s="1">
        <v>0</v>
      </c>
      <c r="H4376" s="6">
        <f>INT(Query1[[#This Row],[EntryDateTime]])</f>
        <v>44673</v>
      </c>
      <c r="I4376" s="1">
        <f>IF(Query1[[#This Row],[ItemType]]="EVAP KIT SF GEN IV",Query1[[#This Row],[OrderQty]]+I4375,I4375)</f>
        <v>5406</v>
      </c>
      <c r="J4376" s="1">
        <f>IF(Query1[[#This Row],[ItemType]]="EVAP KIT UNIVERSAL",Query1[[#This Row],[OrderQty]]+J4375,J4375)</f>
        <v>1787</v>
      </c>
      <c r="K4376" s="1">
        <f>Query1[[#This Row],[SF Running Total]]+Query1[[#This Row],[UNIV Running Total]]</f>
        <v>7193</v>
      </c>
      <c r="L4376">
        <f>VLOOKUP(Query1[[#This Row],[Description]],'kits to boards'!$B$2:$E$156,2,FALSE)</f>
        <v>830043</v>
      </c>
      <c r="M4376">
        <f>VLOOKUP(Query1[[#This Row],[Description]],'kits to boards'!$B$2:$E$156,3,FALSE)</f>
        <v>0</v>
      </c>
      <c r="N4376">
        <f>VLOOKUP(Query1[[#This Row],[Description]],'kits to boards'!$B$2:$E$156,4,FALSE)</f>
        <v>0</v>
      </c>
      <c r="O4376" t="str">
        <f>CONCATENATE(Query1[[#This Row],[Description]]," - ",Query1[[#This Row],[MB1]]," - ",Query1[[#This Row],[MB2]]," - ",Query1[[#This Row],[MB3]])</f>
        <v>EVAP KIT 69-74 NOVA W/AC - 830043 - 0 - 0</v>
      </c>
    </row>
    <row r="4377" spans="1:15" x14ac:dyDescent="0.25">
      <c r="A4377" s="1">
        <v>920846</v>
      </c>
      <c r="B4377" s="1" t="s">
        <v>22</v>
      </c>
      <c r="C4377" s="1" t="s">
        <v>23</v>
      </c>
      <c r="D4377" s="2">
        <v>44673.601167326386</v>
      </c>
      <c r="E4377" s="1" t="s">
        <v>8</v>
      </c>
      <c r="F4377" s="1">
        <v>2</v>
      </c>
      <c r="G4377" s="1">
        <v>0</v>
      </c>
      <c r="H4377" s="6">
        <f>INT(Query1[[#This Row],[EntryDateTime]])</f>
        <v>44673</v>
      </c>
      <c r="I4377" s="1">
        <f>IF(Query1[[#This Row],[ItemType]]="EVAP KIT SF GEN IV",Query1[[#This Row],[OrderQty]]+I4376,I4376)</f>
        <v>5408</v>
      </c>
      <c r="J4377" s="1">
        <f>IF(Query1[[#This Row],[ItemType]]="EVAP KIT UNIVERSAL",Query1[[#This Row],[OrderQty]]+J4376,J4376)</f>
        <v>1787</v>
      </c>
      <c r="K4377" s="1">
        <f>Query1[[#This Row],[SF Running Total]]+Query1[[#This Row],[UNIV Running Total]]</f>
        <v>7195</v>
      </c>
      <c r="L4377">
        <f>VLOOKUP(Query1[[#This Row],[Description]],'kits to boards'!$B$2:$E$156,2,FALSE)</f>
        <v>830083</v>
      </c>
      <c r="M4377">
        <f>VLOOKUP(Query1[[#This Row],[Description]],'kits to boards'!$B$2:$E$156,3,FALSE)</f>
        <v>0</v>
      </c>
      <c r="N4377">
        <f>VLOOKUP(Query1[[#This Row],[Description]],'kits to boards'!$B$2:$E$156,4,FALSE)</f>
        <v>0</v>
      </c>
      <c r="O4377" t="str">
        <f>CONCATENATE(Query1[[#This Row],[Description]]," - ",Query1[[#This Row],[MB1]]," - ",Query1[[#This Row],[MB2]]," - ",Query1[[#This Row],[MB3]])</f>
        <v>GEN IV MAGNUM EVAP KIT - 830083 - 0 - 0</v>
      </c>
    </row>
    <row r="4378" spans="1:15" x14ac:dyDescent="0.25">
      <c r="A4378" s="1">
        <v>920850</v>
      </c>
      <c r="B4378" s="1" t="s">
        <v>166</v>
      </c>
      <c r="C4378" s="1" t="s">
        <v>167</v>
      </c>
      <c r="D4378" s="2">
        <v>44673.60583429398</v>
      </c>
      <c r="E4378" s="1" t="s">
        <v>8</v>
      </c>
      <c r="F4378" s="1">
        <v>1</v>
      </c>
      <c r="G4378" s="1">
        <v>0</v>
      </c>
      <c r="H4378" s="6">
        <f>INT(Query1[[#This Row],[EntryDateTime]])</f>
        <v>44673</v>
      </c>
      <c r="I4378" s="1">
        <f>IF(Query1[[#This Row],[ItemType]]="EVAP KIT SF GEN IV",Query1[[#This Row],[OrderQty]]+I4377,I4377)</f>
        <v>5409</v>
      </c>
      <c r="J4378" s="1">
        <f>IF(Query1[[#This Row],[ItemType]]="EVAP KIT UNIVERSAL",Query1[[#This Row],[OrderQty]]+J4377,J4377)</f>
        <v>1787</v>
      </c>
      <c r="K4378" s="1">
        <f>Query1[[#This Row],[SF Running Total]]+Query1[[#This Row],[UNIV Running Total]]</f>
        <v>7196</v>
      </c>
      <c r="L4378">
        <f>VLOOKUP(Query1[[#This Row],[Description]],'kits to boards'!$B$2:$E$156,2,FALSE)</f>
        <v>830063</v>
      </c>
      <c r="M4378">
        <f>VLOOKUP(Query1[[#This Row],[Description]],'kits to boards'!$B$2:$E$156,3,FALSE)</f>
        <v>0</v>
      </c>
      <c r="N4378">
        <f>VLOOKUP(Query1[[#This Row],[Description]],'kits to boards'!$B$2:$E$156,4,FALSE)</f>
        <v>0</v>
      </c>
      <c r="O4378" t="str">
        <f>CONCATENATE(Query1[[#This Row],[Description]]," - ",Query1[[#This Row],[MB1]]," - ",Query1[[#This Row],[MB2]]," - ",Query1[[#This Row],[MB3]])</f>
        <v>EVAP KIT 47-49 CHEV P-UP GEN IV - 830063 - 0 - 0</v>
      </c>
    </row>
    <row r="4379" spans="1:15" x14ac:dyDescent="0.25">
      <c r="A4379" s="1">
        <v>920566</v>
      </c>
      <c r="B4379" s="1" t="s">
        <v>42</v>
      </c>
      <c r="C4379" s="1" t="s">
        <v>43</v>
      </c>
      <c r="D4379" s="2">
        <v>44673.644770601852</v>
      </c>
      <c r="E4379" s="1" t="s">
        <v>8</v>
      </c>
      <c r="F4379" s="1">
        <v>1</v>
      </c>
      <c r="G4379" s="1">
        <v>0</v>
      </c>
      <c r="H4379" s="6">
        <f>INT(Query1[[#This Row],[EntryDateTime]])</f>
        <v>44673</v>
      </c>
      <c r="I4379" s="1">
        <f>IF(Query1[[#This Row],[ItemType]]="EVAP KIT SF GEN IV",Query1[[#This Row],[OrderQty]]+I4378,I4378)</f>
        <v>5410</v>
      </c>
      <c r="J4379" s="1">
        <f>IF(Query1[[#This Row],[ItemType]]="EVAP KIT UNIVERSAL",Query1[[#This Row],[OrderQty]]+J4378,J4378)</f>
        <v>1787</v>
      </c>
      <c r="K4379" s="1">
        <f>Query1[[#This Row],[SF Running Total]]+Query1[[#This Row],[UNIV Running Total]]</f>
        <v>7197</v>
      </c>
      <c r="L4379">
        <f>VLOOKUP(Query1[[#This Row],[Description]],'kits to boards'!$B$2:$E$156,2,FALSE)</f>
        <v>830014</v>
      </c>
      <c r="M4379">
        <f>VLOOKUP(Query1[[#This Row],[Description]],'kits to boards'!$B$2:$E$156,3,FALSE)</f>
        <v>0</v>
      </c>
      <c r="N4379">
        <f>VLOOKUP(Query1[[#This Row],[Description]],'kits to boards'!$B$2:$E$156,4,FALSE)</f>
        <v>0</v>
      </c>
      <c r="O4379" t="str">
        <f>CONCATENATE(Query1[[#This Row],[Description]]," - ",Query1[[#This Row],[MB1]]," - ",Query1[[#This Row],[MB2]]," - ",Query1[[#This Row],[MB3]])</f>
        <v>EVAP KIT 67-72 CHEV P-UP WO AC - 830014 - 0 - 0</v>
      </c>
    </row>
    <row r="4380" spans="1:15" x14ac:dyDescent="0.25">
      <c r="A4380" s="1">
        <v>920870</v>
      </c>
      <c r="B4380" s="1" t="s">
        <v>6</v>
      </c>
      <c r="C4380" s="1" t="s">
        <v>7</v>
      </c>
      <c r="D4380" s="2">
        <v>44673.647453668978</v>
      </c>
      <c r="E4380" s="1" t="s">
        <v>8</v>
      </c>
      <c r="F4380" s="1">
        <v>1</v>
      </c>
      <c r="G4380" s="1">
        <v>0</v>
      </c>
      <c r="H4380" s="6">
        <f>INT(Query1[[#This Row],[EntryDateTime]])</f>
        <v>44673</v>
      </c>
      <c r="I4380" s="1">
        <f>IF(Query1[[#This Row],[ItemType]]="EVAP KIT SF GEN IV",Query1[[#This Row],[OrderQty]]+I4379,I4379)</f>
        <v>5411</v>
      </c>
      <c r="J4380" s="1">
        <f>IF(Query1[[#This Row],[ItemType]]="EVAP KIT UNIVERSAL",Query1[[#This Row],[OrderQty]]+J4379,J4379)</f>
        <v>1787</v>
      </c>
      <c r="K4380" s="1">
        <f>Query1[[#This Row],[SF Running Total]]+Query1[[#This Row],[UNIV Running Total]]</f>
        <v>7198</v>
      </c>
      <c r="L4380">
        <f>VLOOKUP(Query1[[#This Row],[Description]],'kits to boards'!$B$2:$E$156,2,FALSE)</f>
        <v>830132</v>
      </c>
      <c r="M4380">
        <f>VLOOKUP(Query1[[#This Row],[Description]],'kits to boards'!$B$2:$E$156,3,FALSE)</f>
        <v>0</v>
      </c>
      <c r="N4380">
        <f>VLOOKUP(Query1[[#This Row],[Description]],'kits to boards'!$B$2:$E$156,4,FALSE)</f>
        <v>0</v>
      </c>
      <c r="O4380" t="str">
        <f>CONCATENATE(Query1[[#This Row],[Description]]," - ",Query1[[#This Row],[MB1]]," - ",Query1[[#This Row],[MB2]]," - ",Query1[[#This Row],[MB3]])</f>
        <v>EVAP KIT 82-88 MONTE CARLO/EL CAMINO - 830132 - 0 - 0</v>
      </c>
    </row>
    <row r="4381" spans="1:15" x14ac:dyDescent="0.25">
      <c r="A4381" s="1">
        <v>920880</v>
      </c>
      <c r="B4381" s="1" t="s">
        <v>30</v>
      </c>
      <c r="C4381" s="1" t="s">
        <v>31</v>
      </c>
      <c r="D4381" s="2">
        <v>44676.314315277777</v>
      </c>
      <c r="E4381" s="1" t="s">
        <v>8</v>
      </c>
      <c r="F4381" s="1">
        <v>1</v>
      </c>
      <c r="G4381" s="1">
        <v>0</v>
      </c>
      <c r="H4381" s="6">
        <f>INT(Query1[[#This Row],[EntryDateTime]])</f>
        <v>44676</v>
      </c>
      <c r="I4381" s="1">
        <f>IF(Query1[[#This Row],[ItemType]]="EVAP KIT SF GEN IV",Query1[[#This Row],[OrderQty]]+I4380,I4380)</f>
        <v>5412</v>
      </c>
      <c r="J4381" s="1">
        <f>IF(Query1[[#This Row],[ItemType]]="EVAP KIT UNIVERSAL",Query1[[#This Row],[OrderQty]]+J4380,J4380)</f>
        <v>1787</v>
      </c>
      <c r="K4381" s="1">
        <f>Query1[[#This Row],[SF Running Total]]+Query1[[#This Row],[UNIV Running Total]]</f>
        <v>7199</v>
      </c>
      <c r="L4381">
        <f>VLOOKUP(Query1[[#This Row],[Description]],'kits to boards'!$B$2:$E$156,2,FALSE)</f>
        <v>830054</v>
      </c>
      <c r="M4381">
        <f>VLOOKUP(Query1[[#This Row],[Description]],'kits to boards'!$B$2:$E$156,3,FALSE)</f>
        <v>0</v>
      </c>
      <c r="N4381">
        <f>VLOOKUP(Query1[[#This Row],[Description]],'kits to boards'!$B$2:$E$156,4,FALSE)</f>
        <v>0</v>
      </c>
      <c r="O4381" t="str">
        <f>CONCATENATE(Query1[[#This Row],[Description]]," - ",Query1[[#This Row],[MB1]]," - ",Query1[[#This Row],[MB2]]," - ",Query1[[#This Row],[MB3]])</f>
        <v>EVAP KIT 55-56 CHEVY 4-VENT - 830054 - 0 - 0</v>
      </c>
    </row>
    <row r="4382" spans="1:15" x14ac:dyDescent="0.25">
      <c r="A4382" s="1">
        <v>920880</v>
      </c>
      <c r="B4382" s="1" t="s">
        <v>102</v>
      </c>
      <c r="C4382" s="1" t="s">
        <v>103</v>
      </c>
      <c r="D4382" s="2">
        <v>44676.314317094904</v>
      </c>
      <c r="E4382" s="1" t="s">
        <v>8</v>
      </c>
      <c r="F4382" s="1">
        <v>1</v>
      </c>
      <c r="G4382" s="1">
        <v>0</v>
      </c>
      <c r="H4382" s="6">
        <f>INT(Query1[[#This Row],[EntryDateTime]])</f>
        <v>44676</v>
      </c>
      <c r="I4382" s="1">
        <f>IF(Query1[[#This Row],[ItemType]]="EVAP KIT SF GEN IV",Query1[[#This Row],[OrderQty]]+I4381,I4381)</f>
        <v>5413</v>
      </c>
      <c r="J4382" s="1">
        <f>IF(Query1[[#This Row],[ItemType]]="EVAP KIT UNIVERSAL",Query1[[#This Row],[OrderQty]]+J4381,J4381)</f>
        <v>1787</v>
      </c>
      <c r="K4382" s="1">
        <f>Query1[[#This Row],[SF Running Total]]+Query1[[#This Row],[UNIV Running Total]]</f>
        <v>7200</v>
      </c>
      <c r="L4382">
        <f>VLOOKUP(Query1[[#This Row],[Description]],'kits to boards'!$B$2:$E$156,2,FALSE)</f>
        <v>830012</v>
      </c>
      <c r="M4382">
        <f>VLOOKUP(Query1[[#This Row],[Description]],'kits to boards'!$B$2:$E$156,3,FALSE)</f>
        <v>0</v>
      </c>
      <c r="N4382">
        <f>VLOOKUP(Query1[[#This Row],[Description]],'kits to boards'!$B$2:$E$156,4,FALSE)</f>
        <v>0</v>
      </c>
      <c r="O4382" t="str">
        <f>CONCATENATE(Query1[[#This Row],[Description]]," - ",Query1[[#This Row],[MB1]]," - ",Query1[[#This Row],[MB2]]," - ",Query1[[#This Row],[MB3]])</f>
        <v>EVAP KIT 69 CAMARO WO/AC - 830012 - 0 - 0</v>
      </c>
    </row>
    <row r="4383" spans="1:15" x14ac:dyDescent="0.25">
      <c r="A4383" s="1">
        <v>920880</v>
      </c>
      <c r="B4383" s="1" t="s">
        <v>40</v>
      </c>
      <c r="C4383" s="1" t="s">
        <v>41</v>
      </c>
      <c r="D4383" s="2">
        <v>44676.314318865741</v>
      </c>
      <c r="E4383" s="1" t="s">
        <v>8</v>
      </c>
      <c r="F4383" s="1">
        <v>1</v>
      </c>
      <c r="G4383" s="1">
        <v>0</v>
      </c>
      <c r="H4383" s="6">
        <f>INT(Query1[[#This Row],[EntryDateTime]])</f>
        <v>44676</v>
      </c>
      <c r="I4383" s="1">
        <f>IF(Query1[[#This Row],[ItemType]]="EVAP KIT SF GEN IV",Query1[[#This Row],[OrderQty]]+I4382,I4382)</f>
        <v>5414</v>
      </c>
      <c r="J4383" s="1">
        <f>IF(Query1[[#This Row],[ItemType]]="EVAP KIT UNIVERSAL",Query1[[#This Row],[OrderQty]]+J4382,J4382)</f>
        <v>1787</v>
      </c>
      <c r="K4383" s="1">
        <f>Query1[[#This Row],[SF Running Total]]+Query1[[#This Row],[UNIV Running Total]]</f>
        <v>7201</v>
      </c>
      <c r="L4383">
        <f>VLOOKUP(Query1[[#This Row],[Description]],'kits to boards'!$B$2:$E$156,2,FALSE)</f>
        <v>830024</v>
      </c>
      <c r="M4383">
        <f>VLOOKUP(Query1[[#This Row],[Description]],'kits to boards'!$B$2:$E$156,3,FALSE)</f>
        <v>0</v>
      </c>
      <c r="N4383">
        <f>VLOOKUP(Query1[[#This Row],[Description]],'kits to boards'!$B$2:$E$156,4,FALSE)</f>
        <v>0</v>
      </c>
      <c r="O4383" t="str">
        <f>CONCATENATE(Query1[[#This Row],[Description]]," - ",Query1[[#This Row],[MB1]]," - ",Query1[[#This Row],[MB2]]," - ",Query1[[#This Row],[MB3]])</f>
        <v>EVAP KIT 79-81 CAMARO W/AC - 830024 - 0 - 0</v>
      </c>
    </row>
    <row r="4384" spans="1:15" x14ac:dyDescent="0.25">
      <c r="A4384" s="1">
        <v>920880</v>
      </c>
      <c r="B4384" s="1" t="s">
        <v>86</v>
      </c>
      <c r="C4384" s="1" t="s">
        <v>87</v>
      </c>
      <c r="D4384" s="2">
        <v>44676.314320636571</v>
      </c>
      <c r="E4384" s="1" t="s">
        <v>8</v>
      </c>
      <c r="F4384" s="1">
        <v>2</v>
      </c>
      <c r="G4384" s="1">
        <v>0</v>
      </c>
      <c r="H4384" s="6">
        <f>INT(Query1[[#This Row],[EntryDateTime]])</f>
        <v>44676</v>
      </c>
      <c r="I4384" s="1">
        <f>IF(Query1[[#This Row],[ItemType]]="EVAP KIT SF GEN IV",Query1[[#This Row],[OrderQty]]+I4383,I4383)</f>
        <v>5416</v>
      </c>
      <c r="J4384" s="1">
        <f>IF(Query1[[#This Row],[ItemType]]="EVAP KIT UNIVERSAL",Query1[[#This Row],[OrderQty]]+J4383,J4383)</f>
        <v>1787</v>
      </c>
      <c r="K4384" s="1">
        <f>Query1[[#This Row],[SF Running Total]]+Query1[[#This Row],[UNIV Running Total]]</f>
        <v>7203</v>
      </c>
      <c r="L4384">
        <f>VLOOKUP(Query1[[#This Row],[Description]],'kits to boards'!$B$2:$E$156,2,FALSE)</f>
        <v>830048</v>
      </c>
      <c r="M4384">
        <f>VLOOKUP(Query1[[#This Row],[Description]],'kits to boards'!$B$2:$E$156,3,FALSE)</f>
        <v>0</v>
      </c>
      <c r="N4384">
        <f>VLOOKUP(Query1[[#This Row],[Description]],'kits to boards'!$B$2:$E$156,4,FALSE)</f>
        <v>0</v>
      </c>
      <c r="O4384" t="str">
        <f>CONCATENATE(Query1[[#This Row],[Description]]," - ",Query1[[#This Row],[MB1]]," - ",Query1[[#This Row],[MB2]]," - ",Query1[[#This Row],[MB3]])</f>
        <v>EVAP KIT 66-67 NOVA - 830048 - 0 - 0</v>
      </c>
    </row>
    <row r="4385" spans="1:15" x14ac:dyDescent="0.25">
      <c r="A4385" s="1">
        <v>920880</v>
      </c>
      <c r="B4385" s="1" t="s">
        <v>208</v>
      </c>
      <c r="C4385" s="1" t="s">
        <v>209</v>
      </c>
      <c r="D4385" s="2">
        <v>44676.314322453705</v>
      </c>
      <c r="E4385" s="1" t="s">
        <v>8</v>
      </c>
      <c r="F4385" s="1">
        <v>1</v>
      </c>
      <c r="G4385" s="1">
        <v>0</v>
      </c>
      <c r="H4385" s="6">
        <f>INT(Query1[[#This Row],[EntryDateTime]])</f>
        <v>44676</v>
      </c>
      <c r="I4385" s="1">
        <f>IF(Query1[[#This Row],[ItemType]]="EVAP KIT SF GEN IV",Query1[[#This Row],[OrderQty]]+I4384,I4384)</f>
        <v>5417</v>
      </c>
      <c r="J4385" s="1">
        <f>IF(Query1[[#This Row],[ItemType]]="EVAP KIT UNIVERSAL",Query1[[#This Row],[OrderQty]]+J4384,J4384)</f>
        <v>1787</v>
      </c>
      <c r="K4385" s="1">
        <f>Query1[[#This Row],[SF Running Total]]+Query1[[#This Row],[UNIV Running Total]]</f>
        <v>7204</v>
      </c>
      <c r="L4385">
        <f>VLOOKUP(Query1[[#This Row],[Description]],'kits to boards'!$B$2:$E$156,2,FALSE)</f>
        <v>830094</v>
      </c>
      <c r="M4385">
        <f>VLOOKUP(Query1[[#This Row],[Description]],'kits to boards'!$B$2:$E$156,3,FALSE)</f>
        <v>0</v>
      </c>
      <c r="N4385">
        <f>VLOOKUP(Query1[[#This Row],[Description]],'kits to boards'!$B$2:$E$156,4,FALSE)</f>
        <v>0</v>
      </c>
      <c r="O4385" t="str">
        <f>CONCATENATE(Query1[[#This Row],[Description]]," - ",Query1[[#This Row],[MB1]]," - ",Query1[[#This Row],[MB2]]," - ",Query1[[#This Row],[MB3]])</f>
        <v>EVAP KIT 68 VETTE W/AC - 830094 - 0 - 0</v>
      </c>
    </row>
    <row r="4386" spans="1:15" x14ac:dyDescent="0.25">
      <c r="A4386" s="1">
        <v>920880</v>
      </c>
      <c r="B4386" s="1" t="s">
        <v>116</v>
      </c>
      <c r="C4386" s="1" t="s">
        <v>117</v>
      </c>
      <c r="D4386" s="2">
        <v>44676.314324189814</v>
      </c>
      <c r="E4386" s="1" t="s">
        <v>8</v>
      </c>
      <c r="F4386" s="1">
        <v>1</v>
      </c>
      <c r="G4386" s="1">
        <v>0</v>
      </c>
      <c r="H4386" s="6">
        <f>INT(Query1[[#This Row],[EntryDateTime]])</f>
        <v>44676</v>
      </c>
      <c r="I4386" s="1">
        <f>IF(Query1[[#This Row],[ItemType]]="EVAP KIT SF GEN IV",Query1[[#This Row],[OrderQty]]+I4385,I4385)</f>
        <v>5418</v>
      </c>
      <c r="J4386" s="1">
        <f>IF(Query1[[#This Row],[ItemType]]="EVAP KIT UNIVERSAL",Query1[[#This Row],[OrderQty]]+J4385,J4385)</f>
        <v>1787</v>
      </c>
      <c r="K4386" s="1">
        <f>Query1[[#This Row],[SF Running Total]]+Query1[[#This Row],[UNIV Running Total]]</f>
        <v>7205</v>
      </c>
      <c r="L4386">
        <f>VLOOKUP(Query1[[#This Row],[Description]],'kits to boards'!$B$2:$E$156,2,FALSE)</f>
        <v>830058</v>
      </c>
      <c r="M4386">
        <f>VLOOKUP(Query1[[#This Row],[Description]],'kits to boards'!$B$2:$E$156,3,FALSE)</f>
        <v>0</v>
      </c>
      <c r="N4386">
        <f>VLOOKUP(Query1[[#This Row],[Description]],'kits to boards'!$B$2:$E$156,4,FALSE)</f>
        <v>0</v>
      </c>
      <c r="O4386" t="str">
        <f>CONCATENATE(Query1[[#This Row],[Description]]," - ",Query1[[#This Row],[MB1]]," - ",Query1[[#This Row],[MB2]]," - ",Query1[[#This Row],[MB3]])</f>
        <v>EVAP KIT 64-65 CHEVELLE WO AC - 830058 - 0 - 0</v>
      </c>
    </row>
    <row r="4387" spans="1:15" x14ac:dyDescent="0.25">
      <c r="A4387" s="1">
        <v>920880</v>
      </c>
      <c r="B4387" s="1" t="s">
        <v>66</v>
      </c>
      <c r="C4387" s="1" t="s">
        <v>67</v>
      </c>
      <c r="D4387" s="2">
        <v>44676.314325960651</v>
      </c>
      <c r="E4387" s="1" t="s">
        <v>8</v>
      </c>
      <c r="F4387" s="1">
        <v>1</v>
      </c>
      <c r="G4387" s="1">
        <v>0</v>
      </c>
      <c r="H4387" s="6">
        <f>INT(Query1[[#This Row],[EntryDateTime]])</f>
        <v>44676</v>
      </c>
      <c r="I4387" s="1">
        <f>IF(Query1[[#This Row],[ItemType]]="EVAP KIT SF GEN IV",Query1[[#This Row],[OrderQty]]+I4386,I4386)</f>
        <v>5419</v>
      </c>
      <c r="J4387" s="1">
        <f>IF(Query1[[#This Row],[ItemType]]="EVAP KIT UNIVERSAL",Query1[[#This Row],[OrderQty]]+J4386,J4386)</f>
        <v>1787</v>
      </c>
      <c r="K4387" s="1">
        <f>Query1[[#This Row],[SF Running Total]]+Query1[[#This Row],[UNIV Running Total]]</f>
        <v>7206</v>
      </c>
      <c r="L4387">
        <f>VLOOKUP(Query1[[#This Row],[Description]],'kits to boards'!$B$2:$E$156,2,FALSE)</f>
        <v>830060</v>
      </c>
      <c r="M4387">
        <f>VLOOKUP(Query1[[#This Row],[Description]],'kits to boards'!$B$2:$E$156,3,FALSE)</f>
        <v>0</v>
      </c>
      <c r="N4387">
        <f>VLOOKUP(Query1[[#This Row],[Description]],'kits to boards'!$B$2:$E$156,4,FALSE)</f>
        <v>0</v>
      </c>
      <c r="O4387" t="str">
        <f>CONCATENATE(Query1[[#This Row],[Description]]," - ",Query1[[#This Row],[MB1]]," - ",Query1[[#This Row],[MB2]]," - ",Query1[[#This Row],[MB3]])</f>
        <v>EVAP KIT 66-67 CHEVELLE WO AC - 830060 - 0 - 0</v>
      </c>
    </row>
    <row r="4388" spans="1:15" x14ac:dyDescent="0.25">
      <c r="A4388" s="1">
        <v>920880</v>
      </c>
      <c r="B4388" s="1" t="s">
        <v>56</v>
      </c>
      <c r="C4388" s="1" t="s">
        <v>57</v>
      </c>
      <c r="D4388" s="2">
        <v>44676.314327743057</v>
      </c>
      <c r="E4388" s="1" t="s">
        <v>8</v>
      </c>
      <c r="F4388" s="1">
        <v>1</v>
      </c>
      <c r="G4388" s="1">
        <v>0</v>
      </c>
      <c r="H4388" s="6">
        <f>INT(Query1[[#This Row],[EntryDateTime]])</f>
        <v>44676</v>
      </c>
      <c r="I4388" s="1">
        <f>IF(Query1[[#This Row],[ItemType]]="EVAP KIT SF GEN IV",Query1[[#This Row],[OrderQty]]+I4387,I4387)</f>
        <v>5420</v>
      </c>
      <c r="J4388" s="1">
        <f>IF(Query1[[#This Row],[ItemType]]="EVAP KIT UNIVERSAL",Query1[[#This Row],[OrderQty]]+J4387,J4387)</f>
        <v>1787</v>
      </c>
      <c r="K4388" s="1">
        <f>Query1[[#This Row],[SF Running Total]]+Query1[[#This Row],[UNIV Running Total]]</f>
        <v>7207</v>
      </c>
      <c r="L4388">
        <f>VLOOKUP(Query1[[#This Row],[Description]],'kits to boards'!$B$2:$E$156,2,FALSE)</f>
        <v>830011</v>
      </c>
      <c r="M4388">
        <f>VLOOKUP(Query1[[#This Row],[Description]],'kits to boards'!$B$2:$E$156,3,FALSE)</f>
        <v>0</v>
      </c>
      <c r="N4388">
        <f>VLOOKUP(Query1[[#This Row],[Description]],'kits to boards'!$B$2:$E$156,4,FALSE)</f>
        <v>0</v>
      </c>
      <c r="O4388" t="str">
        <f>CONCATENATE(Query1[[#This Row],[Description]]," - ",Query1[[#This Row],[MB1]]," - ",Query1[[#This Row],[MB2]]," - ",Query1[[#This Row],[MB3]])</f>
        <v>EVAP KIT 70-72 CHEVELLE W/AC - 830011 - 0 - 0</v>
      </c>
    </row>
    <row r="4389" spans="1:15" x14ac:dyDescent="0.25">
      <c r="A4389" s="1">
        <v>920880</v>
      </c>
      <c r="B4389" s="1" t="s">
        <v>152</v>
      </c>
      <c r="C4389" s="1" t="s">
        <v>153</v>
      </c>
      <c r="D4389" s="2">
        <v>44676.314329513887</v>
      </c>
      <c r="E4389" s="1" t="s">
        <v>8</v>
      </c>
      <c r="F4389" s="1">
        <v>1</v>
      </c>
      <c r="G4389" s="1">
        <v>0</v>
      </c>
      <c r="H4389" s="6">
        <f>INT(Query1[[#This Row],[EntryDateTime]])</f>
        <v>44676</v>
      </c>
      <c r="I4389" s="1">
        <f>IF(Query1[[#This Row],[ItemType]]="EVAP KIT SF GEN IV",Query1[[#This Row],[OrderQty]]+I4388,I4388)</f>
        <v>5421</v>
      </c>
      <c r="J4389" s="1">
        <f>IF(Query1[[#This Row],[ItemType]]="EVAP KIT UNIVERSAL",Query1[[#This Row],[OrderQty]]+J4388,J4388)</f>
        <v>1787</v>
      </c>
      <c r="K4389" s="1">
        <f>Query1[[#This Row],[SF Running Total]]+Query1[[#This Row],[UNIV Running Total]]</f>
        <v>7208</v>
      </c>
      <c r="L4389">
        <f>VLOOKUP(Query1[[#This Row],[Description]],'kits to boards'!$B$2:$E$156,2,FALSE)</f>
        <v>830034</v>
      </c>
      <c r="M4389">
        <f>VLOOKUP(Query1[[#This Row],[Description]],'kits to boards'!$B$2:$E$156,3,FALSE)</f>
        <v>0</v>
      </c>
      <c r="N4389">
        <f>VLOOKUP(Query1[[#This Row],[Description]],'kits to boards'!$B$2:$E$156,4,FALSE)</f>
        <v>0</v>
      </c>
      <c r="O4389" t="str">
        <f>CONCATENATE(Query1[[#This Row],[Description]]," - ",Query1[[#This Row],[MB1]]," - ",Query1[[#This Row],[MB2]]," - ",Query1[[#This Row],[MB3]])</f>
        <v>EVAP KIT 64-67 GTO WO AC - 830034 - 0 - 0</v>
      </c>
    </row>
    <row r="4390" spans="1:15" x14ac:dyDescent="0.25">
      <c r="A4390" s="1">
        <v>920880</v>
      </c>
      <c r="B4390" s="1" t="s">
        <v>226</v>
      </c>
      <c r="C4390" s="1" t="s">
        <v>227</v>
      </c>
      <c r="D4390" s="2">
        <v>44676.314331284724</v>
      </c>
      <c r="E4390" s="1" t="s">
        <v>8</v>
      </c>
      <c r="F4390" s="1">
        <v>1</v>
      </c>
      <c r="G4390" s="1">
        <v>0</v>
      </c>
      <c r="H4390" s="6">
        <f>INT(Query1[[#This Row],[EntryDateTime]])</f>
        <v>44676</v>
      </c>
      <c r="I4390" s="1">
        <f>IF(Query1[[#This Row],[ItemType]]="EVAP KIT SF GEN IV",Query1[[#This Row],[OrderQty]]+I4389,I4389)</f>
        <v>5422</v>
      </c>
      <c r="J4390" s="1">
        <f>IF(Query1[[#This Row],[ItemType]]="EVAP KIT UNIVERSAL",Query1[[#This Row],[OrderQty]]+J4389,J4389)</f>
        <v>1787</v>
      </c>
      <c r="K4390" s="1">
        <f>Query1[[#This Row],[SF Running Total]]+Query1[[#This Row],[UNIV Running Total]]</f>
        <v>7209</v>
      </c>
      <c r="L4390">
        <f>VLOOKUP(Query1[[#This Row],[Description]],'kits to boards'!$B$2:$E$156,2,FALSE)</f>
        <v>830124</v>
      </c>
      <c r="M4390">
        <f>VLOOKUP(Query1[[#This Row],[Description]],'kits to boards'!$B$2:$E$156,3,FALSE)</f>
        <v>0</v>
      </c>
      <c r="N4390">
        <f>VLOOKUP(Query1[[#This Row],[Description]],'kits to boards'!$B$2:$E$156,4,FALSE)</f>
        <v>0</v>
      </c>
      <c r="O4390" t="str">
        <f>CONCATENATE(Query1[[#This Row],[Description]]," - ",Query1[[#This Row],[MB1]]," - ",Query1[[#This Row],[MB2]]," - ",Query1[[#This Row],[MB3]])</f>
        <v>EVAP KIT 70-72 GTO W/AC - 830124 - 0 - 0</v>
      </c>
    </row>
    <row r="4391" spans="1:15" x14ac:dyDescent="0.25">
      <c r="A4391" s="1">
        <v>920880</v>
      </c>
      <c r="B4391" s="1" t="s">
        <v>156</v>
      </c>
      <c r="C4391" s="1" t="s">
        <v>157</v>
      </c>
      <c r="D4391" s="2">
        <v>44676.314333020833</v>
      </c>
      <c r="E4391" s="1" t="s">
        <v>8</v>
      </c>
      <c r="F4391" s="1">
        <v>1</v>
      </c>
      <c r="G4391" s="1">
        <v>0</v>
      </c>
      <c r="H4391" s="6">
        <f>INT(Query1[[#This Row],[EntryDateTime]])</f>
        <v>44676</v>
      </c>
      <c r="I4391" s="1">
        <f>IF(Query1[[#This Row],[ItemType]]="EVAP KIT SF GEN IV",Query1[[#This Row],[OrderQty]]+I4390,I4390)</f>
        <v>5423</v>
      </c>
      <c r="J4391" s="1">
        <f>IF(Query1[[#This Row],[ItemType]]="EVAP KIT UNIVERSAL",Query1[[#This Row],[OrderQty]]+J4390,J4390)</f>
        <v>1787</v>
      </c>
      <c r="K4391" s="1">
        <f>Query1[[#This Row],[SF Running Total]]+Query1[[#This Row],[UNIV Running Total]]</f>
        <v>7210</v>
      </c>
      <c r="L4391">
        <f>VLOOKUP(Query1[[#This Row],[Description]],'kits to boards'!$B$2:$E$156,2,FALSE)</f>
        <v>830019</v>
      </c>
      <c r="M4391">
        <f>VLOOKUP(Query1[[#This Row],[Description]],'kits to boards'!$B$2:$E$156,3,FALSE)</f>
        <v>0</v>
      </c>
      <c r="N4391">
        <f>VLOOKUP(Query1[[#This Row],[Description]],'kits to boards'!$B$2:$E$156,4,FALSE)</f>
        <v>0</v>
      </c>
      <c r="O4391" t="str">
        <f>CONCATENATE(Query1[[#This Row],[Description]]," - ",Query1[[#This Row],[MB1]]," - ",Query1[[#This Row],[MB2]]," - ",Query1[[#This Row],[MB3]])</f>
        <v>EVAP KIT 70-81 FIREBIRD WO AC - 830019 - 0 - 0</v>
      </c>
    </row>
    <row r="4392" spans="1:15" x14ac:dyDescent="0.25">
      <c r="A4392" s="1">
        <v>920880</v>
      </c>
      <c r="B4392" s="1" t="s">
        <v>228</v>
      </c>
      <c r="C4392" s="1" t="s">
        <v>229</v>
      </c>
      <c r="D4392" s="2">
        <v>44676.314334756942</v>
      </c>
      <c r="E4392" s="1" t="s">
        <v>8</v>
      </c>
      <c r="F4392" s="1">
        <v>1</v>
      </c>
      <c r="G4392" s="1">
        <v>0</v>
      </c>
      <c r="H4392" s="6">
        <f>INT(Query1[[#This Row],[EntryDateTime]])</f>
        <v>44676</v>
      </c>
      <c r="I4392" s="1">
        <f>IF(Query1[[#This Row],[ItemType]]="EVAP KIT SF GEN IV",Query1[[#This Row],[OrderQty]]+I4391,I4391)</f>
        <v>5424</v>
      </c>
      <c r="J4392" s="1">
        <f>IF(Query1[[#This Row],[ItemType]]="EVAP KIT UNIVERSAL",Query1[[#This Row],[OrderQty]]+J4391,J4391)</f>
        <v>1787</v>
      </c>
      <c r="K4392" s="1">
        <f>Query1[[#This Row],[SF Running Total]]+Query1[[#This Row],[UNIV Running Total]]</f>
        <v>7211</v>
      </c>
      <c r="L4392">
        <f>VLOOKUP(Query1[[#This Row],[Description]],'kits to boards'!$B$2:$E$156,2,FALSE)</f>
        <v>830044</v>
      </c>
      <c r="M4392">
        <f>VLOOKUP(Query1[[#This Row],[Description]],'kits to boards'!$B$2:$E$156,3,FALSE)</f>
        <v>0</v>
      </c>
      <c r="N4392">
        <f>VLOOKUP(Query1[[#This Row],[Description]],'kits to boards'!$B$2:$E$156,4,FALSE)</f>
        <v>0</v>
      </c>
      <c r="O4392" t="str">
        <f>CONCATENATE(Query1[[#This Row],[Description]]," - ",Query1[[#This Row],[MB1]]," - ",Query1[[#This Row],[MB2]]," - ",Query1[[#This Row],[MB3]])</f>
        <v>EVAP KIT 64-65 FALCON/RANCHERO - 830044 - 0 - 0</v>
      </c>
    </row>
    <row r="4393" spans="1:15" x14ac:dyDescent="0.25">
      <c r="A4393" s="1">
        <v>920880</v>
      </c>
      <c r="B4393" s="1" t="s">
        <v>92</v>
      </c>
      <c r="C4393" s="1" t="s">
        <v>93</v>
      </c>
      <c r="D4393" s="2">
        <v>44676.314336493058</v>
      </c>
      <c r="E4393" s="1" t="s">
        <v>8</v>
      </c>
      <c r="F4393" s="1">
        <v>1</v>
      </c>
      <c r="G4393" s="1">
        <v>0</v>
      </c>
      <c r="H4393" s="6">
        <f>INT(Query1[[#This Row],[EntryDateTime]])</f>
        <v>44676</v>
      </c>
      <c r="I4393" s="1">
        <f>IF(Query1[[#This Row],[ItemType]]="EVAP KIT SF GEN IV",Query1[[#This Row],[OrderQty]]+I4392,I4392)</f>
        <v>5425</v>
      </c>
      <c r="J4393" s="1">
        <f>IF(Query1[[#This Row],[ItemType]]="EVAP KIT UNIVERSAL",Query1[[#This Row],[OrderQty]]+J4392,J4392)</f>
        <v>1787</v>
      </c>
      <c r="K4393" s="1">
        <f>Query1[[#This Row],[SF Running Total]]+Query1[[#This Row],[UNIV Running Total]]</f>
        <v>7212</v>
      </c>
      <c r="L4393">
        <f>VLOOKUP(Query1[[#This Row],[Description]],'kits to boards'!$B$2:$E$156,2,FALSE)</f>
        <v>830063</v>
      </c>
      <c r="M4393">
        <f>VLOOKUP(Query1[[#This Row],[Description]],'kits to boards'!$B$2:$E$156,3,FALSE)</f>
        <v>0</v>
      </c>
      <c r="N4393">
        <f>VLOOKUP(Query1[[#This Row],[Description]],'kits to boards'!$B$2:$E$156,4,FALSE)</f>
        <v>0</v>
      </c>
      <c r="O4393" t="str">
        <f>CONCATENATE(Query1[[#This Row],[Description]]," - ",Query1[[#This Row],[MB1]]," - ",Query1[[#This Row],[MB2]]," - ",Query1[[#This Row],[MB3]])</f>
        <v>EVAP KIT 50-53 CHEV P-UP GEN IV - 830063 - 0 - 0</v>
      </c>
    </row>
    <row r="4394" spans="1:15" x14ac:dyDescent="0.25">
      <c r="A4394" s="1">
        <v>920880</v>
      </c>
      <c r="B4394" s="1" t="s">
        <v>106</v>
      </c>
      <c r="C4394" s="1" t="s">
        <v>107</v>
      </c>
      <c r="D4394" s="2">
        <v>44676.314338229167</v>
      </c>
      <c r="E4394" s="1" t="s">
        <v>8</v>
      </c>
      <c r="F4394" s="1">
        <v>1</v>
      </c>
      <c r="G4394" s="1">
        <v>0</v>
      </c>
      <c r="H4394" s="6">
        <f>INT(Query1[[#This Row],[EntryDateTime]])</f>
        <v>44676</v>
      </c>
      <c r="I4394" s="1">
        <f>IF(Query1[[#This Row],[ItemType]]="EVAP KIT SF GEN IV",Query1[[#This Row],[OrderQty]]+I4393,I4393)</f>
        <v>5426</v>
      </c>
      <c r="J4394" s="1">
        <f>IF(Query1[[#This Row],[ItemType]]="EVAP KIT UNIVERSAL",Query1[[#This Row],[OrderQty]]+J4393,J4393)</f>
        <v>1787</v>
      </c>
      <c r="K4394" s="1">
        <f>Query1[[#This Row],[SF Running Total]]+Query1[[#This Row],[UNIV Running Total]]</f>
        <v>7213</v>
      </c>
      <c r="L4394">
        <f>VLOOKUP(Query1[[#This Row],[Description]],'kits to boards'!$B$2:$E$156,2,FALSE)</f>
        <v>830028</v>
      </c>
      <c r="M4394">
        <f>VLOOKUP(Query1[[#This Row],[Description]],'kits to boards'!$B$2:$E$156,3,FALSE)</f>
        <v>0</v>
      </c>
      <c r="N4394">
        <f>VLOOKUP(Query1[[#This Row],[Description]],'kits to boards'!$B$2:$E$156,4,FALSE)</f>
        <v>0</v>
      </c>
      <c r="O4394" t="str">
        <f>CONCATENATE(Query1[[#This Row],[Description]]," - ",Query1[[#This Row],[MB1]]," - ",Query1[[#This Row],[MB2]]," - ",Query1[[#This Row],[MB3]])</f>
        <v>EVAP KIT 55-59 CHEV P-UP WO AC W/DELX - 830028 - 0 - 0</v>
      </c>
    </row>
    <row r="4395" spans="1:15" x14ac:dyDescent="0.25">
      <c r="A4395" s="1">
        <v>920880</v>
      </c>
      <c r="B4395" s="1" t="s">
        <v>140</v>
      </c>
      <c r="C4395" s="1" t="s">
        <v>141</v>
      </c>
      <c r="D4395" s="2">
        <v>44676.314340011573</v>
      </c>
      <c r="E4395" s="1" t="s">
        <v>8</v>
      </c>
      <c r="F4395" s="1">
        <v>1</v>
      </c>
      <c r="G4395" s="1">
        <v>0</v>
      </c>
      <c r="H4395" s="6">
        <f>INT(Query1[[#This Row],[EntryDateTime]])</f>
        <v>44676</v>
      </c>
      <c r="I4395" s="1">
        <f>IF(Query1[[#This Row],[ItemType]]="EVAP KIT SF GEN IV",Query1[[#This Row],[OrderQty]]+I4394,I4394)</f>
        <v>5427</v>
      </c>
      <c r="J4395" s="1">
        <f>IF(Query1[[#This Row],[ItemType]]="EVAP KIT UNIVERSAL",Query1[[#This Row],[OrderQty]]+J4394,J4394)</f>
        <v>1787</v>
      </c>
      <c r="K4395" s="1">
        <f>Query1[[#This Row],[SF Running Total]]+Query1[[#This Row],[UNIV Running Total]]</f>
        <v>7214</v>
      </c>
      <c r="L4395">
        <f>VLOOKUP(Query1[[#This Row],[Description]],'kits to boards'!$B$2:$E$156,2,FALSE)</f>
        <v>830066</v>
      </c>
      <c r="M4395">
        <f>VLOOKUP(Query1[[#This Row],[Description]],'kits to boards'!$B$2:$E$156,3,FALSE)</f>
        <v>0</v>
      </c>
      <c r="N4395">
        <f>VLOOKUP(Query1[[#This Row],[Description]],'kits to boards'!$B$2:$E$156,4,FALSE)</f>
        <v>0</v>
      </c>
      <c r="O4395" t="str">
        <f>CONCATENATE(Query1[[#This Row],[Description]]," - ",Query1[[#This Row],[MB1]]," - ",Query1[[#This Row],[MB2]]," - ",Query1[[#This Row],[MB3]])</f>
        <v>EVAP KIT 60-63 CHEV P-UP WO AC - 830066 - 0 - 0</v>
      </c>
    </row>
    <row r="4396" spans="1:15" x14ac:dyDescent="0.25">
      <c r="A4396" s="1">
        <v>920880</v>
      </c>
      <c r="B4396" s="1" t="s">
        <v>36</v>
      </c>
      <c r="C4396" s="1" t="s">
        <v>37</v>
      </c>
      <c r="D4396" s="2">
        <v>44676.314341747682</v>
      </c>
      <c r="E4396" s="1" t="s">
        <v>8</v>
      </c>
      <c r="F4396" s="1">
        <v>1</v>
      </c>
      <c r="G4396" s="1">
        <v>0</v>
      </c>
      <c r="H4396" s="6">
        <f>INT(Query1[[#This Row],[EntryDateTime]])</f>
        <v>44676</v>
      </c>
      <c r="I4396" s="1">
        <f>IF(Query1[[#This Row],[ItemType]]="EVAP KIT SF GEN IV",Query1[[#This Row],[OrderQty]]+I4395,I4395)</f>
        <v>5428</v>
      </c>
      <c r="J4396" s="1">
        <f>IF(Query1[[#This Row],[ItemType]]="EVAP KIT UNIVERSAL",Query1[[#This Row],[OrderQty]]+J4395,J4395)</f>
        <v>1787</v>
      </c>
      <c r="K4396" s="1">
        <f>Query1[[#This Row],[SF Running Total]]+Query1[[#This Row],[UNIV Running Total]]</f>
        <v>7215</v>
      </c>
      <c r="L4396">
        <f>VLOOKUP(Query1[[#This Row],[Description]],'kits to boards'!$B$2:$E$156,2,FALSE)</f>
        <v>830015</v>
      </c>
      <c r="M4396">
        <f>VLOOKUP(Query1[[#This Row],[Description]],'kits to boards'!$B$2:$E$156,3,FALSE)</f>
        <v>0</v>
      </c>
      <c r="N4396">
        <f>VLOOKUP(Query1[[#This Row],[Description]],'kits to boards'!$B$2:$E$156,4,FALSE)</f>
        <v>0</v>
      </c>
      <c r="O4396" t="str">
        <f>CONCATENATE(Query1[[#This Row],[Description]]," - ",Query1[[#This Row],[MB1]]," - ",Query1[[#This Row],[MB2]]," - ",Query1[[#This Row],[MB3]])</f>
        <v>EVAP KIT 64-66 CHEV P-UP WO AC W/STD - 830015 - 0 - 0</v>
      </c>
    </row>
    <row r="4397" spans="1:15" x14ac:dyDescent="0.25">
      <c r="A4397" s="1">
        <v>920880</v>
      </c>
      <c r="B4397" s="1" t="s">
        <v>42</v>
      </c>
      <c r="C4397" s="1" t="s">
        <v>43</v>
      </c>
      <c r="D4397" s="2">
        <v>44676.314343483798</v>
      </c>
      <c r="E4397" s="1" t="s">
        <v>8</v>
      </c>
      <c r="F4397" s="1">
        <v>1</v>
      </c>
      <c r="G4397" s="1">
        <v>0</v>
      </c>
      <c r="H4397" s="6">
        <f>INT(Query1[[#This Row],[EntryDateTime]])</f>
        <v>44676</v>
      </c>
      <c r="I4397" s="1">
        <f>IF(Query1[[#This Row],[ItemType]]="EVAP KIT SF GEN IV",Query1[[#This Row],[OrderQty]]+I4396,I4396)</f>
        <v>5429</v>
      </c>
      <c r="J4397" s="1">
        <f>IF(Query1[[#This Row],[ItemType]]="EVAP KIT UNIVERSAL",Query1[[#This Row],[OrderQty]]+J4396,J4396)</f>
        <v>1787</v>
      </c>
      <c r="K4397" s="1">
        <f>Query1[[#This Row],[SF Running Total]]+Query1[[#This Row],[UNIV Running Total]]</f>
        <v>7216</v>
      </c>
      <c r="L4397">
        <f>VLOOKUP(Query1[[#This Row],[Description]],'kits to boards'!$B$2:$E$156,2,FALSE)</f>
        <v>830014</v>
      </c>
      <c r="M4397">
        <f>VLOOKUP(Query1[[#This Row],[Description]],'kits to boards'!$B$2:$E$156,3,FALSE)</f>
        <v>0</v>
      </c>
      <c r="N4397">
        <f>VLOOKUP(Query1[[#This Row],[Description]],'kits to boards'!$B$2:$E$156,4,FALSE)</f>
        <v>0</v>
      </c>
      <c r="O4397" t="str">
        <f>CONCATENATE(Query1[[#This Row],[Description]]," - ",Query1[[#This Row],[MB1]]," - ",Query1[[#This Row],[MB2]]," - ",Query1[[#This Row],[MB3]])</f>
        <v>EVAP KIT 67-72 CHEV P-UP WO AC - 830014 - 0 - 0</v>
      </c>
    </row>
    <row r="4398" spans="1:15" x14ac:dyDescent="0.25">
      <c r="A4398" s="1">
        <v>920880</v>
      </c>
      <c r="B4398" s="1" t="s">
        <v>26</v>
      </c>
      <c r="C4398" s="1" t="s">
        <v>27</v>
      </c>
      <c r="D4398" s="2">
        <v>44676.314345219907</v>
      </c>
      <c r="E4398" s="1" t="s">
        <v>8</v>
      </c>
      <c r="F4398" s="1">
        <v>2</v>
      </c>
      <c r="G4398" s="1">
        <v>0</v>
      </c>
      <c r="H4398" s="6">
        <f>INT(Query1[[#This Row],[EntryDateTime]])</f>
        <v>44676</v>
      </c>
      <c r="I4398" s="1">
        <f>IF(Query1[[#This Row],[ItemType]]="EVAP KIT SF GEN IV",Query1[[#This Row],[OrderQty]]+I4397,I4397)</f>
        <v>5431</v>
      </c>
      <c r="J4398" s="1">
        <f>IF(Query1[[#This Row],[ItemType]]="EVAP KIT UNIVERSAL",Query1[[#This Row],[OrderQty]]+J4397,J4397)</f>
        <v>1787</v>
      </c>
      <c r="K4398" s="1">
        <f>Query1[[#This Row],[SF Running Total]]+Query1[[#This Row],[UNIV Running Total]]</f>
        <v>7218</v>
      </c>
      <c r="L4398">
        <f>VLOOKUP(Query1[[#This Row],[Description]],'kits to boards'!$B$2:$E$156,2,FALSE)</f>
        <v>830013</v>
      </c>
      <c r="M4398">
        <f>VLOOKUP(Query1[[#This Row],[Description]],'kits to boards'!$B$2:$E$156,3,FALSE)</f>
        <v>0</v>
      </c>
      <c r="N4398">
        <f>VLOOKUP(Query1[[#This Row],[Description]],'kits to boards'!$B$2:$E$156,4,FALSE)</f>
        <v>0</v>
      </c>
      <c r="O4398" t="str">
        <f>CONCATENATE(Query1[[#This Row],[Description]]," - ",Query1[[#This Row],[MB1]]," - ",Query1[[#This Row],[MB2]]," - ",Query1[[#This Row],[MB3]])</f>
        <v>EVAP KIT 67-72 CHEV P-UP W/AC - 830013 - 0 - 0</v>
      </c>
    </row>
    <row r="4399" spans="1:15" x14ac:dyDescent="0.25">
      <c r="A4399" s="1">
        <v>920880</v>
      </c>
      <c r="B4399" s="1" t="s">
        <v>88</v>
      </c>
      <c r="C4399" s="1" t="s">
        <v>89</v>
      </c>
      <c r="D4399" s="2">
        <v>44676.314346956016</v>
      </c>
      <c r="E4399" s="1" t="s">
        <v>8</v>
      </c>
      <c r="F4399" s="1">
        <v>1</v>
      </c>
      <c r="G4399" s="1">
        <v>0</v>
      </c>
      <c r="H4399" s="6">
        <f>INT(Query1[[#This Row],[EntryDateTime]])</f>
        <v>44676</v>
      </c>
      <c r="I4399" s="1">
        <f>IF(Query1[[#This Row],[ItemType]]="EVAP KIT SF GEN IV",Query1[[#This Row],[OrderQty]]+I4398,I4398)</f>
        <v>5432</v>
      </c>
      <c r="J4399" s="1">
        <f>IF(Query1[[#This Row],[ItemType]]="EVAP KIT UNIVERSAL",Query1[[#This Row],[OrderQty]]+J4398,J4398)</f>
        <v>1787</v>
      </c>
      <c r="K4399" s="1">
        <f>Query1[[#This Row],[SF Running Total]]+Query1[[#This Row],[UNIV Running Total]]</f>
        <v>7219</v>
      </c>
      <c r="L4399">
        <f>VLOOKUP(Query1[[#This Row],[Description]],'kits to boards'!$B$2:$E$156,2,FALSE)</f>
        <v>830003</v>
      </c>
      <c r="M4399">
        <f>VLOOKUP(Query1[[#This Row],[Description]],'kits to boards'!$B$2:$E$156,3,FALSE)</f>
        <v>0</v>
      </c>
      <c r="N4399">
        <f>VLOOKUP(Query1[[#This Row],[Description]],'kits to boards'!$B$2:$E$156,4,FALSE)</f>
        <v>0</v>
      </c>
      <c r="O4399" t="str">
        <f>CONCATENATE(Query1[[#This Row],[Description]]," - ",Query1[[#This Row],[MB1]]," - ",Query1[[#This Row],[MB2]]," - ",Query1[[#This Row],[MB3]])</f>
        <v>EVAP KIT 81-87 CHEV P-UP WO AC - 830003 - 0 - 0</v>
      </c>
    </row>
    <row r="4400" spans="1:15" x14ac:dyDescent="0.25">
      <c r="A4400" s="1">
        <v>920880</v>
      </c>
      <c r="B4400" s="1" t="s">
        <v>96</v>
      </c>
      <c r="C4400" s="1" t="s">
        <v>97</v>
      </c>
      <c r="D4400" s="2">
        <v>44676.314348692133</v>
      </c>
      <c r="E4400" s="1" t="s">
        <v>8</v>
      </c>
      <c r="F4400" s="1">
        <v>1</v>
      </c>
      <c r="G4400" s="1">
        <v>0</v>
      </c>
      <c r="H4400" s="6">
        <f>INT(Query1[[#This Row],[EntryDateTime]])</f>
        <v>44676</v>
      </c>
      <c r="I4400" s="1">
        <f>IF(Query1[[#This Row],[ItemType]]="EVAP KIT SF GEN IV",Query1[[#This Row],[OrderQty]]+I4399,I4399)</f>
        <v>5433</v>
      </c>
      <c r="J4400" s="1">
        <f>IF(Query1[[#This Row],[ItemType]]="EVAP KIT UNIVERSAL",Query1[[#This Row],[OrderQty]]+J4399,J4399)</f>
        <v>1787</v>
      </c>
      <c r="K4400" s="1">
        <f>Query1[[#This Row],[SF Running Total]]+Query1[[#This Row],[UNIV Running Total]]</f>
        <v>7220</v>
      </c>
      <c r="L4400">
        <f>VLOOKUP(Query1[[#This Row],[Description]],'kits to boards'!$B$2:$E$156,2,FALSE)</f>
        <v>830004</v>
      </c>
      <c r="M4400">
        <f>VLOOKUP(Query1[[#This Row],[Description]],'kits to boards'!$B$2:$E$156,3,FALSE)</f>
        <v>0</v>
      </c>
      <c r="N4400">
        <f>VLOOKUP(Query1[[#This Row],[Description]],'kits to boards'!$B$2:$E$156,4,FALSE)</f>
        <v>0</v>
      </c>
      <c r="O4400" t="str">
        <f>CONCATENATE(Query1[[#This Row],[Description]]," - ",Query1[[#This Row],[MB1]]," - ",Query1[[#This Row],[MB2]]," - ",Query1[[#This Row],[MB3]])</f>
        <v>EVAP KIT 81-87 CHEV P-UP W/AC - 830004 - 0 - 0</v>
      </c>
    </row>
    <row r="4401" spans="1:15" x14ac:dyDescent="0.25">
      <c r="A4401" s="1">
        <v>920880</v>
      </c>
      <c r="B4401" s="1" t="s">
        <v>90</v>
      </c>
      <c r="C4401" s="1" t="s">
        <v>91</v>
      </c>
      <c r="D4401" s="2">
        <v>44676.314350729168</v>
      </c>
      <c r="E4401" s="1" t="s">
        <v>8</v>
      </c>
      <c r="F4401" s="1">
        <v>1</v>
      </c>
      <c r="G4401" s="1">
        <v>0</v>
      </c>
      <c r="H4401" s="6">
        <f>INT(Query1[[#This Row],[EntryDateTime]])</f>
        <v>44676</v>
      </c>
      <c r="I4401" s="1">
        <f>IF(Query1[[#This Row],[ItemType]]="EVAP KIT SF GEN IV",Query1[[#This Row],[OrderQty]]+I4400,I4400)</f>
        <v>5434</v>
      </c>
      <c r="J4401" s="1">
        <f>IF(Query1[[#This Row],[ItemType]]="EVAP KIT UNIVERSAL",Query1[[#This Row],[OrderQty]]+J4400,J4400)</f>
        <v>1787</v>
      </c>
      <c r="K4401" s="1">
        <f>Query1[[#This Row],[SF Running Total]]+Query1[[#This Row],[UNIV Running Total]]</f>
        <v>7221</v>
      </c>
      <c r="L4401">
        <f>VLOOKUP(Query1[[#This Row],[Description]],'kits to boards'!$B$2:$E$156,2,FALSE)</f>
        <v>830105</v>
      </c>
      <c r="M4401">
        <f>VLOOKUP(Query1[[#This Row],[Description]],'kits to boards'!$B$2:$E$156,3,FALSE)</f>
        <v>830106</v>
      </c>
      <c r="N4401">
        <f>VLOOKUP(Query1[[#This Row],[Description]],'kits to boards'!$B$2:$E$156,4,FALSE)</f>
        <v>0</v>
      </c>
      <c r="O4401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4402" spans="1:15" x14ac:dyDescent="0.25">
      <c r="A4402" s="1">
        <v>920851</v>
      </c>
      <c r="B4402" s="1" t="s">
        <v>52</v>
      </c>
      <c r="C4402" s="1" t="s">
        <v>53</v>
      </c>
      <c r="D4402" s="2">
        <v>44676.318798298613</v>
      </c>
      <c r="E4402" s="1" t="s">
        <v>8</v>
      </c>
      <c r="F4402" s="1">
        <v>1</v>
      </c>
      <c r="G4402" s="1">
        <v>0</v>
      </c>
      <c r="H4402" s="6">
        <f>INT(Query1[[#This Row],[EntryDateTime]])</f>
        <v>44676</v>
      </c>
      <c r="I4402" s="1">
        <f>IF(Query1[[#This Row],[ItemType]]="EVAP KIT SF GEN IV",Query1[[#This Row],[OrderQty]]+I4401,I4401)</f>
        <v>5435</v>
      </c>
      <c r="J4402" s="1">
        <f>IF(Query1[[#This Row],[ItemType]]="EVAP KIT UNIVERSAL",Query1[[#This Row],[OrderQty]]+J4401,J4401)</f>
        <v>1787</v>
      </c>
      <c r="K4402" s="1">
        <f>Query1[[#This Row],[SF Running Total]]+Query1[[#This Row],[UNIV Running Total]]</f>
        <v>7222</v>
      </c>
      <c r="L4402">
        <f>VLOOKUP(Query1[[#This Row],[Description]],'kits to boards'!$B$2:$E$156,2,FALSE)</f>
        <v>830017</v>
      </c>
      <c r="M4402">
        <f>VLOOKUP(Query1[[#This Row],[Description]],'kits to boards'!$B$2:$E$156,3,FALSE)</f>
        <v>830119</v>
      </c>
      <c r="N4402">
        <f>VLOOKUP(Query1[[#This Row],[Description]],'kits to boards'!$B$2:$E$156,4,FALSE)</f>
        <v>830120</v>
      </c>
      <c r="O4402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4403" spans="1:15" x14ac:dyDescent="0.25">
      <c r="A4403" s="1">
        <v>920888</v>
      </c>
      <c r="B4403" s="1" t="s">
        <v>9</v>
      </c>
      <c r="C4403" s="1" t="s">
        <v>10</v>
      </c>
      <c r="D4403" s="2">
        <v>44676.325229479167</v>
      </c>
      <c r="E4403" s="1" t="s">
        <v>11</v>
      </c>
      <c r="F4403" s="1">
        <v>1</v>
      </c>
      <c r="G4403" s="1">
        <v>0</v>
      </c>
      <c r="H4403" s="6">
        <f>INT(Query1[[#This Row],[EntryDateTime]])</f>
        <v>44676</v>
      </c>
      <c r="I4403" s="1">
        <f>IF(Query1[[#This Row],[ItemType]]="EVAP KIT SF GEN IV",Query1[[#This Row],[OrderQty]]+I4402,I4402)</f>
        <v>5435</v>
      </c>
      <c r="J4403" s="1">
        <f>IF(Query1[[#This Row],[ItemType]]="EVAP KIT UNIVERSAL",Query1[[#This Row],[OrderQty]]+J4402,J4402)</f>
        <v>1788</v>
      </c>
      <c r="K4403" s="1">
        <f>Query1[[#This Row],[SF Running Total]]+Query1[[#This Row],[UNIV Running Total]]</f>
        <v>7223</v>
      </c>
      <c r="L4403">
        <f>VLOOKUP(Query1[[#This Row],[Description]],'kits to boards'!$B$2:$E$156,2,FALSE)</f>
        <v>830069</v>
      </c>
      <c r="M4403">
        <f>VLOOKUP(Query1[[#This Row],[Description]],'kits to boards'!$B$2:$E$156,3,FALSE)</f>
        <v>0</v>
      </c>
      <c r="N4403">
        <f>VLOOKUP(Query1[[#This Row],[Description]],'kits to boards'!$B$2:$E$156,4,FALSE)</f>
        <v>0</v>
      </c>
      <c r="O4403" t="str">
        <f>CONCATENATE(Query1[[#This Row],[Description]]," - ",Query1[[#This Row],[MB1]]," - ",Query1[[#This Row],[MB2]]," - ",Query1[[#This Row],[MB3]])</f>
        <v>SLIMLINE H/C W/DEF STD LOUVER - 830069 - 0 - 0</v>
      </c>
    </row>
    <row r="4404" spans="1:15" x14ac:dyDescent="0.25">
      <c r="A4404" s="1">
        <v>920888</v>
      </c>
      <c r="B4404" s="1" t="s">
        <v>80</v>
      </c>
      <c r="C4404" s="1" t="s">
        <v>81</v>
      </c>
      <c r="D4404" s="2">
        <v>44676.325255937503</v>
      </c>
      <c r="E4404" s="1" t="s">
        <v>11</v>
      </c>
      <c r="F4404" s="1">
        <v>1</v>
      </c>
      <c r="G4404" s="1">
        <v>0</v>
      </c>
      <c r="H4404" s="6">
        <f>INT(Query1[[#This Row],[EntryDateTime]])</f>
        <v>44676</v>
      </c>
      <c r="I4404" s="1">
        <f>IF(Query1[[#This Row],[ItemType]]="EVAP KIT SF GEN IV",Query1[[#This Row],[OrderQty]]+I4403,I4403)</f>
        <v>5435</v>
      </c>
      <c r="J4404" s="1">
        <f>IF(Query1[[#This Row],[ItemType]]="EVAP KIT UNIVERSAL",Query1[[#This Row],[OrderQty]]+J4403,J4403)</f>
        <v>1789</v>
      </c>
      <c r="K4404" s="1">
        <f>Query1[[#This Row],[SF Running Total]]+Query1[[#This Row],[UNIV Running Total]]</f>
        <v>7224</v>
      </c>
      <c r="L4404">
        <f>VLOOKUP(Query1[[#This Row],[Description]],'kits to boards'!$B$2:$E$156,2,FALSE)</f>
        <v>0</v>
      </c>
      <c r="M4404">
        <f>VLOOKUP(Query1[[#This Row],[Description]],'kits to boards'!$B$2:$E$156,3,FALSE)</f>
        <v>0</v>
      </c>
      <c r="N4404">
        <f>VLOOKUP(Query1[[#This Row],[Description]],'kits to boards'!$B$2:$E$156,4,FALSE)</f>
        <v>0</v>
      </c>
      <c r="O4404" t="str">
        <f>CONCATENATE(Query1[[#This Row],[Description]]," - ",Query1[[#This Row],[MB1]]," - ",Query1[[#This Row],[MB2]]," - ",Query1[[#This Row],[MB3]])</f>
        <v>HERITAGE BRUSHED EVAP KIT COOL ONLY - 0 - 0 - 0</v>
      </c>
    </row>
    <row r="4405" spans="1:15" x14ac:dyDescent="0.25">
      <c r="A4405" s="1">
        <v>920888</v>
      </c>
      <c r="B4405" s="1" t="s">
        <v>24</v>
      </c>
      <c r="C4405" s="1" t="s">
        <v>25</v>
      </c>
      <c r="D4405" s="2">
        <v>44676.325278587959</v>
      </c>
      <c r="E4405" s="1" t="s">
        <v>11</v>
      </c>
      <c r="F4405" s="1">
        <v>1</v>
      </c>
      <c r="G4405" s="1">
        <v>0</v>
      </c>
      <c r="H4405" s="6">
        <f>INT(Query1[[#This Row],[EntryDateTime]])</f>
        <v>44676</v>
      </c>
      <c r="I4405" s="1">
        <f>IF(Query1[[#This Row],[ItemType]]="EVAP KIT SF GEN IV",Query1[[#This Row],[OrderQty]]+I4404,I4404)</f>
        <v>5435</v>
      </c>
      <c r="J4405" s="1">
        <f>IF(Query1[[#This Row],[ItemType]]="EVAP KIT UNIVERSAL",Query1[[#This Row],[OrderQty]]+J4404,J4404)</f>
        <v>1790</v>
      </c>
      <c r="K4405" s="1">
        <f>Query1[[#This Row],[SF Running Total]]+Query1[[#This Row],[UNIV Running Total]]</f>
        <v>7225</v>
      </c>
      <c r="L4405">
        <f>VLOOKUP(Query1[[#This Row],[Description]],'kits to boards'!$B$2:$E$156,2,FALSE)</f>
        <v>830029</v>
      </c>
      <c r="M4405">
        <f>VLOOKUP(Query1[[#This Row],[Description]],'kits to boards'!$B$2:$E$156,3,FALSE)</f>
        <v>830030</v>
      </c>
      <c r="N4405">
        <f>VLOOKUP(Query1[[#This Row],[Description]],'kits to boards'!$B$2:$E$156,4,FALSE)</f>
        <v>0</v>
      </c>
      <c r="O4405" t="str">
        <f>CONCATENATE(Query1[[#This Row],[Description]]," - ",Query1[[#This Row],[MB1]]," - ",Query1[[#This Row],[MB2]]," - ",Query1[[#This Row],[MB3]])</f>
        <v>ComPac GEN II W/DEF - 830029 - 830030 - 0</v>
      </c>
    </row>
    <row r="4406" spans="1:15" x14ac:dyDescent="0.25">
      <c r="A4406" s="1">
        <v>920889</v>
      </c>
      <c r="B4406" s="1" t="s">
        <v>36</v>
      </c>
      <c r="C4406" s="1" t="s">
        <v>37</v>
      </c>
      <c r="D4406" s="2">
        <v>44676.328003206021</v>
      </c>
      <c r="E4406" s="1" t="s">
        <v>8</v>
      </c>
      <c r="F4406" s="1">
        <v>1</v>
      </c>
      <c r="G4406" s="1">
        <v>0</v>
      </c>
      <c r="H4406" s="6">
        <f>INT(Query1[[#This Row],[EntryDateTime]])</f>
        <v>44676</v>
      </c>
      <c r="I4406" s="1">
        <f>IF(Query1[[#This Row],[ItemType]]="EVAP KIT SF GEN IV",Query1[[#This Row],[OrderQty]]+I4405,I4405)</f>
        <v>5436</v>
      </c>
      <c r="J4406" s="1">
        <f>IF(Query1[[#This Row],[ItemType]]="EVAP KIT UNIVERSAL",Query1[[#This Row],[OrderQty]]+J4405,J4405)</f>
        <v>1790</v>
      </c>
      <c r="K4406" s="1">
        <f>Query1[[#This Row],[SF Running Total]]+Query1[[#This Row],[UNIV Running Total]]</f>
        <v>7226</v>
      </c>
      <c r="L4406">
        <f>VLOOKUP(Query1[[#This Row],[Description]],'kits to boards'!$B$2:$E$156,2,FALSE)</f>
        <v>830015</v>
      </c>
      <c r="M4406">
        <f>VLOOKUP(Query1[[#This Row],[Description]],'kits to boards'!$B$2:$E$156,3,FALSE)</f>
        <v>0</v>
      </c>
      <c r="N4406">
        <f>VLOOKUP(Query1[[#This Row],[Description]],'kits to boards'!$B$2:$E$156,4,FALSE)</f>
        <v>0</v>
      </c>
      <c r="O4406" t="str">
        <f>CONCATENATE(Query1[[#This Row],[Description]]," - ",Query1[[#This Row],[MB1]]," - ",Query1[[#This Row],[MB2]]," - ",Query1[[#This Row],[MB3]])</f>
        <v>EVAP KIT 64-66 CHEV P-UP WO AC W/STD - 830015 - 0 - 0</v>
      </c>
    </row>
    <row r="4407" spans="1:15" x14ac:dyDescent="0.25">
      <c r="A4407" s="1">
        <v>919874</v>
      </c>
      <c r="B4407" s="1" t="s">
        <v>18</v>
      </c>
      <c r="C4407" s="1" t="s">
        <v>19</v>
      </c>
      <c r="D4407" s="2">
        <v>44676.329914930553</v>
      </c>
      <c r="E4407" s="1" t="s">
        <v>8</v>
      </c>
      <c r="F4407" s="1">
        <v>1</v>
      </c>
      <c r="G4407" s="1">
        <v>0</v>
      </c>
      <c r="H4407" s="6">
        <f>INT(Query1[[#This Row],[EntryDateTime]])</f>
        <v>44676</v>
      </c>
      <c r="I4407" s="1">
        <f>IF(Query1[[#This Row],[ItemType]]="EVAP KIT SF GEN IV",Query1[[#This Row],[OrderQty]]+I4406,I4406)</f>
        <v>5437</v>
      </c>
      <c r="J4407" s="1">
        <f>IF(Query1[[#This Row],[ItemType]]="EVAP KIT UNIVERSAL",Query1[[#This Row],[OrderQty]]+J4406,J4406)</f>
        <v>1790</v>
      </c>
      <c r="K4407" s="1">
        <f>Query1[[#This Row],[SF Running Total]]+Query1[[#This Row],[UNIV Running Total]]</f>
        <v>7227</v>
      </c>
      <c r="L4407">
        <f>VLOOKUP(Query1[[#This Row],[Description]],'kits to boards'!$B$2:$E$156,2,FALSE)</f>
        <v>830051</v>
      </c>
      <c r="M4407">
        <f>VLOOKUP(Query1[[#This Row],[Description]],'kits to boards'!$B$2:$E$156,3,FALSE)</f>
        <v>0</v>
      </c>
      <c r="N4407">
        <f>VLOOKUP(Query1[[#This Row],[Description]],'kits to boards'!$B$2:$E$156,4,FALSE)</f>
        <v>0</v>
      </c>
      <c r="O4407" t="str">
        <f>CONCATENATE(Query1[[#This Row],[Description]]," - ",Query1[[#This Row],[MB1]]," - ",Query1[[#This Row],[MB2]]," - ",Query1[[#This Row],[MB3]])</f>
        <v>EVAP KIT 70-78 CAMARO W/AC - 830051 - 0 - 0</v>
      </c>
    </row>
    <row r="4408" spans="1:15" x14ac:dyDescent="0.25">
      <c r="A4408" s="1">
        <v>920891</v>
      </c>
      <c r="B4408" s="1" t="s">
        <v>70</v>
      </c>
      <c r="C4408" s="1" t="s">
        <v>71</v>
      </c>
      <c r="D4408" s="2">
        <v>44676.331784340276</v>
      </c>
      <c r="E4408" s="1" t="s">
        <v>8</v>
      </c>
      <c r="F4408" s="1">
        <v>1</v>
      </c>
      <c r="G4408" s="1">
        <v>0</v>
      </c>
      <c r="H4408" s="6">
        <f>INT(Query1[[#This Row],[EntryDateTime]])</f>
        <v>44676</v>
      </c>
      <c r="I4408" s="1">
        <f>IF(Query1[[#This Row],[ItemType]]="EVAP KIT SF GEN IV",Query1[[#This Row],[OrderQty]]+I4407,I4407)</f>
        <v>5438</v>
      </c>
      <c r="J4408" s="1">
        <f>IF(Query1[[#This Row],[ItemType]]="EVAP KIT UNIVERSAL",Query1[[#This Row],[OrderQty]]+J4407,J4407)</f>
        <v>1790</v>
      </c>
      <c r="K4408" s="1">
        <f>Query1[[#This Row],[SF Running Total]]+Query1[[#This Row],[UNIV Running Total]]</f>
        <v>7228</v>
      </c>
      <c r="L4408">
        <f>VLOOKUP(Query1[[#This Row],[Description]],'kits to boards'!$B$2:$E$156,2,FALSE)</f>
        <v>830050</v>
      </c>
      <c r="M4408">
        <f>VLOOKUP(Query1[[#This Row],[Description]],'kits to boards'!$B$2:$E$156,3,FALSE)</f>
        <v>0</v>
      </c>
      <c r="N4408">
        <f>VLOOKUP(Query1[[#This Row],[Description]],'kits to boards'!$B$2:$E$156,4,FALSE)</f>
        <v>0</v>
      </c>
      <c r="O4408" t="str">
        <f>CONCATENATE(Query1[[#This Row],[Description]]," - ",Query1[[#This Row],[MB1]]," - ",Query1[[#This Row],[MB2]]," - ",Query1[[#This Row],[MB3]])</f>
        <v>EVAP KIT 70-78 CAMARO WO AC - 830050 - 0 - 0</v>
      </c>
    </row>
    <row r="4409" spans="1:15" x14ac:dyDescent="0.25">
      <c r="A4409" s="1">
        <v>920894</v>
      </c>
      <c r="B4409" s="1" t="s">
        <v>156</v>
      </c>
      <c r="C4409" s="1" t="s">
        <v>157</v>
      </c>
      <c r="D4409" s="2">
        <v>44676.331818136576</v>
      </c>
      <c r="E4409" s="1" t="s">
        <v>8</v>
      </c>
      <c r="F4409" s="1">
        <v>1</v>
      </c>
      <c r="G4409" s="1">
        <v>0</v>
      </c>
      <c r="H4409" s="6">
        <f>INT(Query1[[#This Row],[EntryDateTime]])</f>
        <v>44676</v>
      </c>
      <c r="I4409" s="1">
        <f>IF(Query1[[#This Row],[ItemType]]="EVAP KIT SF GEN IV",Query1[[#This Row],[OrderQty]]+I4408,I4408)</f>
        <v>5439</v>
      </c>
      <c r="J4409" s="1">
        <f>IF(Query1[[#This Row],[ItemType]]="EVAP KIT UNIVERSAL",Query1[[#This Row],[OrderQty]]+J4408,J4408)</f>
        <v>1790</v>
      </c>
      <c r="K4409" s="1">
        <f>Query1[[#This Row],[SF Running Total]]+Query1[[#This Row],[UNIV Running Total]]</f>
        <v>7229</v>
      </c>
      <c r="L4409">
        <f>VLOOKUP(Query1[[#This Row],[Description]],'kits to boards'!$B$2:$E$156,2,FALSE)</f>
        <v>830019</v>
      </c>
      <c r="M4409">
        <f>VLOOKUP(Query1[[#This Row],[Description]],'kits to boards'!$B$2:$E$156,3,FALSE)</f>
        <v>0</v>
      </c>
      <c r="N4409">
        <f>VLOOKUP(Query1[[#This Row],[Description]],'kits to boards'!$B$2:$E$156,4,FALSE)</f>
        <v>0</v>
      </c>
      <c r="O4409" t="str">
        <f>CONCATENATE(Query1[[#This Row],[Description]]," - ",Query1[[#This Row],[MB1]]," - ",Query1[[#This Row],[MB2]]," - ",Query1[[#This Row],[MB3]])</f>
        <v>EVAP KIT 70-81 FIREBIRD WO AC - 830019 - 0 - 0</v>
      </c>
    </row>
    <row r="4410" spans="1:15" x14ac:dyDescent="0.25">
      <c r="A4410" s="1">
        <v>920899</v>
      </c>
      <c r="B4410" s="1" t="s">
        <v>104</v>
      </c>
      <c r="C4410" s="1" t="s">
        <v>105</v>
      </c>
      <c r="D4410" s="2">
        <v>44676.34100266204</v>
      </c>
      <c r="E4410" s="1" t="s">
        <v>11</v>
      </c>
      <c r="F4410" s="1">
        <v>1</v>
      </c>
      <c r="G4410" s="1">
        <v>0</v>
      </c>
      <c r="H4410" s="6">
        <f>INT(Query1[[#This Row],[EntryDateTime]])</f>
        <v>44676</v>
      </c>
      <c r="I4410" s="1">
        <f>IF(Query1[[#This Row],[ItemType]]="EVAP KIT SF GEN IV",Query1[[#This Row],[OrderQty]]+I4409,I4409)</f>
        <v>5439</v>
      </c>
      <c r="J4410" s="1">
        <f>IF(Query1[[#This Row],[ItemType]]="EVAP KIT UNIVERSAL",Query1[[#This Row],[OrderQty]]+J4409,J4409)</f>
        <v>1791</v>
      </c>
      <c r="K4410" s="1">
        <f>Query1[[#This Row],[SF Running Total]]+Query1[[#This Row],[UNIV Running Total]]</f>
        <v>7230</v>
      </c>
      <c r="L4410">
        <f>VLOOKUP(Query1[[#This Row],[Description]],'kits to boards'!$B$2:$E$156,2,FALSE)</f>
        <v>0</v>
      </c>
      <c r="M4410">
        <f>VLOOKUP(Query1[[#This Row],[Description]],'kits to boards'!$B$2:$E$156,3,FALSE)</f>
        <v>0</v>
      </c>
      <c r="N4410">
        <f>VLOOKUP(Query1[[#This Row],[Description]],'kits to boards'!$B$2:$E$156,4,FALSE)</f>
        <v>0</v>
      </c>
      <c r="O4410" t="str">
        <f>CONCATENATE(Query1[[#This Row],[Description]]," - ",Query1[[#This Row],[MB1]]," - ",Query1[[#This Row],[MB2]]," - ",Query1[[#This Row],[MB3]])</f>
        <v>HERITAGE BRUSHED EVAP KIT HEAT/COOL - 0 - 0 - 0</v>
      </c>
    </row>
    <row r="4411" spans="1:15" x14ac:dyDescent="0.25">
      <c r="A4411" s="1">
        <v>920905</v>
      </c>
      <c r="B4411" s="1" t="s">
        <v>120</v>
      </c>
      <c r="C4411" s="1" t="s">
        <v>121</v>
      </c>
      <c r="D4411" s="2">
        <v>44676.347047418982</v>
      </c>
      <c r="E4411" s="1" t="s">
        <v>8</v>
      </c>
      <c r="F4411" s="1">
        <v>1</v>
      </c>
      <c r="G4411" s="1">
        <v>0</v>
      </c>
      <c r="H4411" s="6">
        <f>INT(Query1[[#This Row],[EntryDateTime]])</f>
        <v>44676</v>
      </c>
      <c r="I4411" s="1">
        <f>IF(Query1[[#This Row],[ItemType]]="EVAP KIT SF GEN IV",Query1[[#This Row],[OrderQty]]+I4410,I4410)</f>
        <v>5440</v>
      </c>
      <c r="J4411" s="1">
        <f>IF(Query1[[#This Row],[ItemType]]="EVAP KIT UNIVERSAL",Query1[[#This Row],[OrderQty]]+J4410,J4410)</f>
        <v>1791</v>
      </c>
      <c r="K4411" s="1">
        <f>Query1[[#This Row],[SF Running Total]]+Query1[[#This Row],[UNIV Running Total]]</f>
        <v>7231</v>
      </c>
      <c r="L4411">
        <f>VLOOKUP(Query1[[#This Row],[Description]],'kits to boards'!$B$2:$E$156,2,FALSE)</f>
        <v>830014</v>
      </c>
      <c r="M4411">
        <f>VLOOKUP(Query1[[#This Row],[Description]],'kits to boards'!$B$2:$E$156,3,FALSE)</f>
        <v>0</v>
      </c>
      <c r="N4411">
        <f>VLOOKUP(Query1[[#This Row],[Description]],'kits to boards'!$B$2:$E$156,4,FALSE)</f>
        <v>0</v>
      </c>
      <c r="O4411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4412" spans="1:15" x14ac:dyDescent="0.25">
      <c r="A4412" s="1">
        <v>920910</v>
      </c>
      <c r="B4412" s="1" t="s">
        <v>166</v>
      </c>
      <c r="C4412" s="1" t="s">
        <v>167</v>
      </c>
      <c r="D4412" s="2">
        <v>44676.353255057867</v>
      </c>
      <c r="E4412" s="1" t="s">
        <v>8</v>
      </c>
      <c r="F4412" s="1">
        <v>1</v>
      </c>
      <c r="G4412" s="1">
        <v>0</v>
      </c>
      <c r="H4412" s="6">
        <f>INT(Query1[[#This Row],[EntryDateTime]])</f>
        <v>44676</v>
      </c>
      <c r="I4412" s="1">
        <f>IF(Query1[[#This Row],[ItemType]]="EVAP KIT SF GEN IV",Query1[[#This Row],[OrderQty]]+I4411,I4411)</f>
        <v>5441</v>
      </c>
      <c r="J4412" s="1">
        <f>IF(Query1[[#This Row],[ItemType]]="EVAP KIT UNIVERSAL",Query1[[#This Row],[OrderQty]]+J4411,J4411)</f>
        <v>1791</v>
      </c>
      <c r="K4412" s="1">
        <f>Query1[[#This Row],[SF Running Total]]+Query1[[#This Row],[UNIV Running Total]]</f>
        <v>7232</v>
      </c>
      <c r="L4412">
        <f>VLOOKUP(Query1[[#This Row],[Description]],'kits to boards'!$B$2:$E$156,2,FALSE)</f>
        <v>830063</v>
      </c>
      <c r="M4412">
        <f>VLOOKUP(Query1[[#This Row],[Description]],'kits to boards'!$B$2:$E$156,3,FALSE)</f>
        <v>0</v>
      </c>
      <c r="N4412">
        <f>VLOOKUP(Query1[[#This Row],[Description]],'kits to boards'!$B$2:$E$156,4,FALSE)</f>
        <v>0</v>
      </c>
      <c r="O4412" t="str">
        <f>CONCATENATE(Query1[[#This Row],[Description]]," - ",Query1[[#This Row],[MB1]]," - ",Query1[[#This Row],[MB2]]," - ",Query1[[#This Row],[MB3]])</f>
        <v>EVAP KIT 47-49 CHEV P-UP GEN IV - 830063 - 0 - 0</v>
      </c>
    </row>
    <row r="4413" spans="1:15" x14ac:dyDescent="0.25">
      <c r="A4413" s="1">
        <v>920914</v>
      </c>
      <c r="B4413" s="1" t="s">
        <v>166</v>
      </c>
      <c r="C4413" s="1" t="s">
        <v>167</v>
      </c>
      <c r="D4413" s="2">
        <v>44676.354906284723</v>
      </c>
      <c r="E4413" s="1" t="s">
        <v>8</v>
      </c>
      <c r="F4413" s="1">
        <v>1</v>
      </c>
      <c r="G4413" s="1">
        <v>0</v>
      </c>
      <c r="H4413" s="6">
        <f>INT(Query1[[#This Row],[EntryDateTime]])</f>
        <v>44676</v>
      </c>
      <c r="I4413" s="1">
        <f>IF(Query1[[#This Row],[ItemType]]="EVAP KIT SF GEN IV",Query1[[#This Row],[OrderQty]]+I4412,I4412)</f>
        <v>5442</v>
      </c>
      <c r="J4413" s="1">
        <f>IF(Query1[[#This Row],[ItemType]]="EVAP KIT UNIVERSAL",Query1[[#This Row],[OrderQty]]+J4412,J4412)</f>
        <v>1791</v>
      </c>
      <c r="K4413" s="1">
        <f>Query1[[#This Row],[SF Running Total]]+Query1[[#This Row],[UNIV Running Total]]</f>
        <v>7233</v>
      </c>
      <c r="L4413">
        <f>VLOOKUP(Query1[[#This Row],[Description]],'kits to boards'!$B$2:$E$156,2,FALSE)</f>
        <v>830063</v>
      </c>
      <c r="M4413">
        <f>VLOOKUP(Query1[[#This Row],[Description]],'kits to boards'!$B$2:$E$156,3,FALSE)</f>
        <v>0</v>
      </c>
      <c r="N4413">
        <f>VLOOKUP(Query1[[#This Row],[Description]],'kits to boards'!$B$2:$E$156,4,FALSE)</f>
        <v>0</v>
      </c>
      <c r="O4413" t="str">
        <f>CONCATENATE(Query1[[#This Row],[Description]]," - ",Query1[[#This Row],[MB1]]," - ",Query1[[#This Row],[MB2]]," - ",Query1[[#This Row],[MB3]])</f>
        <v>EVAP KIT 47-49 CHEV P-UP GEN IV - 830063 - 0 - 0</v>
      </c>
    </row>
    <row r="4414" spans="1:15" x14ac:dyDescent="0.25">
      <c r="A4414" s="1">
        <v>920916</v>
      </c>
      <c r="B4414" s="1" t="s">
        <v>62</v>
      </c>
      <c r="C4414" s="1" t="s">
        <v>63</v>
      </c>
      <c r="D4414" s="2">
        <v>44676.358945868058</v>
      </c>
      <c r="E4414" s="1" t="s">
        <v>8</v>
      </c>
      <c r="F4414" s="1">
        <v>1</v>
      </c>
      <c r="G4414" s="1">
        <v>0</v>
      </c>
      <c r="H4414" s="6">
        <f>INT(Query1[[#This Row],[EntryDateTime]])</f>
        <v>44676</v>
      </c>
      <c r="I4414" s="1">
        <f>IF(Query1[[#This Row],[ItemType]]="EVAP KIT SF GEN IV",Query1[[#This Row],[OrderQty]]+I4413,I4413)</f>
        <v>5443</v>
      </c>
      <c r="J4414" s="1">
        <f>IF(Query1[[#This Row],[ItemType]]="EVAP KIT UNIVERSAL",Query1[[#This Row],[OrderQty]]+J4413,J4413)</f>
        <v>1791</v>
      </c>
      <c r="K4414" s="1">
        <f>Query1[[#This Row],[SF Running Total]]+Query1[[#This Row],[UNIV Running Total]]</f>
        <v>7234</v>
      </c>
      <c r="L4414">
        <f>VLOOKUP(Query1[[#This Row],[Description]],'kits to boards'!$B$2:$E$156,2,FALSE)</f>
        <v>830079</v>
      </c>
      <c r="M4414">
        <f>VLOOKUP(Query1[[#This Row],[Description]],'kits to boards'!$B$2:$E$156,3,FALSE)</f>
        <v>830046</v>
      </c>
      <c r="N4414">
        <f>VLOOKUP(Query1[[#This Row],[Description]],'kits to boards'!$B$2:$E$156,4,FALSE)</f>
        <v>0</v>
      </c>
      <c r="O4414" t="str">
        <f>CONCATENATE(Query1[[#This Row],[Description]]," - ",Query1[[#This Row],[MB1]]," - ",Query1[[#This Row],[MB2]]," - ",Query1[[#This Row],[MB3]])</f>
        <v>EVAP KIT 67-68 MUSTANG/COUGAR WO AC - 830079 - 830046 - 0</v>
      </c>
    </row>
    <row r="4415" spans="1:15" x14ac:dyDescent="0.25">
      <c r="A4415" s="1">
        <v>920923</v>
      </c>
      <c r="B4415" s="1" t="s">
        <v>50</v>
      </c>
      <c r="C4415" s="1" t="s">
        <v>51</v>
      </c>
      <c r="D4415" s="2">
        <v>44676.365554085649</v>
      </c>
      <c r="E4415" s="1" t="s">
        <v>8</v>
      </c>
      <c r="F4415" s="1">
        <v>1</v>
      </c>
      <c r="G4415" s="1">
        <v>0</v>
      </c>
      <c r="H4415" s="6">
        <f>INT(Query1[[#This Row],[EntryDateTime]])</f>
        <v>44676</v>
      </c>
      <c r="I4415" s="1">
        <f>IF(Query1[[#This Row],[ItemType]]="EVAP KIT SF GEN IV",Query1[[#This Row],[OrderQty]]+I4414,I4414)</f>
        <v>5444</v>
      </c>
      <c r="J4415" s="1">
        <f>IF(Query1[[#This Row],[ItemType]]="EVAP KIT UNIVERSAL",Query1[[#This Row],[OrderQty]]+J4414,J4414)</f>
        <v>1791</v>
      </c>
      <c r="K4415" s="1">
        <f>Query1[[#This Row],[SF Running Total]]+Query1[[#This Row],[UNIV Running Total]]</f>
        <v>7235</v>
      </c>
      <c r="L4415">
        <f>VLOOKUP(Query1[[#This Row],[Description]],'kits to boards'!$B$2:$E$156,2,FALSE)</f>
        <v>830043</v>
      </c>
      <c r="M4415">
        <f>VLOOKUP(Query1[[#This Row],[Description]],'kits to boards'!$B$2:$E$156,3,FALSE)</f>
        <v>0</v>
      </c>
      <c r="N4415">
        <f>VLOOKUP(Query1[[#This Row],[Description]],'kits to boards'!$B$2:$E$156,4,FALSE)</f>
        <v>0</v>
      </c>
      <c r="O4415" t="str">
        <f>CONCATENATE(Query1[[#This Row],[Description]]," - ",Query1[[#This Row],[MB1]]," - ",Query1[[#This Row],[MB2]]," - ",Query1[[#This Row],[MB3]])</f>
        <v>EVAP KIT 69-74 NOVA WO AC - 830043 - 0 - 0</v>
      </c>
    </row>
    <row r="4416" spans="1:15" x14ac:dyDescent="0.25">
      <c r="A4416" s="1">
        <v>920925</v>
      </c>
      <c r="B4416" s="1" t="s">
        <v>198</v>
      </c>
      <c r="C4416" s="1" t="s">
        <v>199</v>
      </c>
      <c r="D4416" s="2">
        <v>44676.37153611111</v>
      </c>
      <c r="E4416" s="1" t="s">
        <v>8</v>
      </c>
      <c r="F4416" s="1">
        <v>1</v>
      </c>
      <c r="G4416" s="1">
        <v>0</v>
      </c>
      <c r="H4416" s="6">
        <f>INT(Query1[[#This Row],[EntryDateTime]])</f>
        <v>44676</v>
      </c>
      <c r="I4416" s="1">
        <f>IF(Query1[[#This Row],[ItemType]]="EVAP KIT SF GEN IV",Query1[[#This Row],[OrderQty]]+I4415,I4415)</f>
        <v>5445</v>
      </c>
      <c r="J4416" s="1">
        <f>IF(Query1[[#This Row],[ItemType]]="EVAP KIT UNIVERSAL",Query1[[#This Row],[OrderQty]]+J4415,J4415)</f>
        <v>1791</v>
      </c>
      <c r="K4416" s="1">
        <f>Query1[[#This Row],[SF Running Total]]+Query1[[#This Row],[UNIV Running Total]]</f>
        <v>7236</v>
      </c>
      <c r="L4416">
        <f>VLOOKUP(Query1[[#This Row],[Description]],'kits to boards'!$B$2:$E$156,2,FALSE)</f>
        <v>830042</v>
      </c>
      <c r="M4416">
        <f>VLOOKUP(Query1[[#This Row],[Description]],'kits to boards'!$B$2:$E$156,3,FALSE)</f>
        <v>0</v>
      </c>
      <c r="N4416">
        <f>VLOOKUP(Query1[[#This Row],[Description]],'kits to boards'!$B$2:$E$156,4,FALSE)</f>
        <v>0</v>
      </c>
      <c r="O4416" t="str">
        <f>CONCATENATE(Query1[[#This Row],[Description]]," - ",Query1[[#This Row],[MB1]]," - ",Query1[[#This Row],[MB2]]," - ",Query1[[#This Row],[MB3]])</f>
        <v>EVAP KIT 68-83 TOYOTA FJ40 ULTRA HIGH PERF - 830042 - 0 - 0</v>
      </c>
    </row>
    <row r="4417" spans="1:15" x14ac:dyDescent="0.25">
      <c r="A4417" s="1">
        <v>920927</v>
      </c>
      <c r="B4417" s="1" t="s">
        <v>66</v>
      </c>
      <c r="C4417" s="1" t="s">
        <v>67</v>
      </c>
      <c r="D4417" s="2">
        <v>44676.375361076389</v>
      </c>
      <c r="E4417" s="1" t="s">
        <v>8</v>
      </c>
      <c r="F4417" s="1">
        <v>1</v>
      </c>
      <c r="G4417" s="1">
        <v>0</v>
      </c>
      <c r="H4417" s="6">
        <f>INT(Query1[[#This Row],[EntryDateTime]])</f>
        <v>44676</v>
      </c>
      <c r="I4417" s="1">
        <f>IF(Query1[[#This Row],[ItemType]]="EVAP KIT SF GEN IV",Query1[[#This Row],[OrderQty]]+I4416,I4416)</f>
        <v>5446</v>
      </c>
      <c r="J4417" s="1">
        <f>IF(Query1[[#This Row],[ItemType]]="EVAP KIT UNIVERSAL",Query1[[#This Row],[OrderQty]]+J4416,J4416)</f>
        <v>1791</v>
      </c>
      <c r="K4417" s="1">
        <f>Query1[[#This Row],[SF Running Total]]+Query1[[#This Row],[UNIV Running Total]]</f>
        <v>7237</v>
      </c>
      <c r="L4417">
        <f>VLOOKUP(Query1[[#This Row],[Description]],'kits to boards'!$B$2:$E$156,2,FALSE)</f>
        <v>830060</v>
      </c>
      <c r="M4417">
        <f>VLOOKUP(Query1[[#This Row],[Description]],'kits to boards'!$B$2:$E$156,3,FALSE)</f>
        <v>0</v>
      </c>
      <c r="N4417">
        <f>VLOOKUP(Query1[[#This Row],[Description]],'kits to boards'!$B$2:$E$156,4,FALSE)</f>
        <v>0</v>
      </c>
      <c r="O4417" t="str">
        <f>CONCATENATE(Query1[[#This Row],[Description]]," - ",Query1[[#This Row],[MB1]]," - ",Query1[[#This Row],[MB2]]," - ",Query1[[#This Row],[MB3]])</f>
        <v>EVAP KIT 66-67 CHEVELLE WO AC - 830060 - 0 - 0</v>
      </c>
    </row>
    <row r="4418" spans="1:15" x14ac:dyDescent="0.25">
      <c r="A4418" s="1">
        <v>920935</v>
      </c>
      <c r="B4418" s="1" t="s">
        <v>247</v>
      </c>
      <c r="C4418" s="1" t="s">
        <v>248</v>
      </c>
      <c r="D4418" s="2">
        <v>44676.385550115738</v>
      </c>
      <c r="E4418" s="1" t="s">
        <v>8</v>
      </c>
      <c r="F4418" s="1">
        <v>1</v>
      </c>
      <c r="G4418" s="1">
        <v>0</v>
      </c>
      <c r="H4418" s="6">
        <f>INT(Query1[[#This Row],[EntryDateTime]])</f>
        <v>44676</v>
      </c>
      <c r="I4418" s="1">
        <f>IF(Query1[[#This Row],[ItemType]]="EVAP KIT SF GEN IV",Query1[[#This Row],[OrderQty]]+I4417,I4417)</f>
        <v>5447</v>
      </c>
      <c r="J4418" s="1">
        <f>IF(Query1[[#This Row],[ItemType]]="EVAP KIT UNIVERSAL",Query1[[#This Row],[OrderQty]]+J4417,J4417)</f>
        <v>1791</v>
      </c>
      <c r="K4418" s="1">
        <f>Query1[[#This Row],[SF Running Total]]+Query1[[#This Row],[UNIV Running Total]]</f>
        <v>7238</v>
      </c>
      <c r="L4418">
        <f>VLOOKUP(Query1[[#This Row],[Description]],'kits to boards'!$B$2:$E$156,2,FALSE)</f>
        <v>830107</v>
      </c>
      <c r="M4418">
        <f>VLOOKUP(Query1[[#This Row],[Description]],'kits to boards'!$B$2:$E$156,3,FALSE)</f>
        <v>0</v>
      </c>
      <c r="N4418">
        <f>VLOOKUP(Query1[[#This Row],[Description]],'kits to boards'!$B$2:$E$156,4,FALSE)</f>
        <v>0</v>
      </c>
      <c r="O4418" t="str">
        <f>CONCATENATE(Query1[[#This Row],[Description]]," - ",Query1[[#This Row],[MB1]]," - ",Query1[[#This Row],[MB2]]," - ",Query1[[#This Row],[MB3]])</f>
        <v>EVAP KIT 69 FIREBIRD W/AC - 830107 - 0 - 0</v>
      </c>
    </row>
    <row r="4419" spans="1:15" x14ac:dyDescent="0.25">
      <c r="A4419" s="1">
        <v>920966</v>
      </c>
      <c r="B4419" s="1" t="s">
        <v>44</v>
      </c>
      <c r="C4419" s="1" t="s">
        <v>45</v>
      </c>
      <c r="D4419" s="2">
        <v>44676.426226423609</v>
      </c>
      <c r="E4419" s="1" t="s">
        <v>8</v>
      </c>
      <c r="F4419" s="1">
        <v>1</v>
      </c>
      <c r="G4419" s="1">
        <v>0</v>
      </c>
      <c r="H4419" s="6">
        <f>INT(Query1[[#This Row],[EntryDateTime]])</f>
        <v>44676</v>
      </c>
      <c r="I4419" s="1">
        <f>IF(Query1[[#This Row],[ItemType]]="EVAP KIT SF GEN IV",Query1[[#This Row],[OrderQty]]+I4418,I4418)</f>
        <v>5448</v>
      </c>
      <c r="J4419" s="1">
        <f>IF(Query1[[#This Row],[ItemType]]="EVAP KIT UNIVERSAL",Query1[[#This Row],[OrderQty]]+J4418,J4418)</f>
        <v>1791</v>
      </c>
      <c r="K4419" s="1">
        <f>Query1[[#This Row],[SF Running Total]]+Query1[[#This Row],[UNIV Running Total]]</f>
        <v>7239</v>
      </c>
      <c r="L4419">
        <f>VLOOKUP(Query1[[#This Row],[Description]],'kits to boards'!$B$2:$E$156,2,FALSE)</f>
        <v>830085</v>
      </c>
      <c r="M4419">
        <f>VLOOKUP(Query1[[#This Row],[Description]],'kits to boards'!$B$2:$E$156,3,FALSE)</f>
        <v>0</v>
      </c>
      <c r="N4419">
        <f>VLOOKUP(Query1[[#This Row],[Description]],'kits to boards'!$B$2:$E$156,4,FALSE)</f>
        <v>0</v>
      </c>
      <c r="O4419" t="str">
        <f>CONCATENATE(Query1[[#This Row],[Description]]," - ",Query1[[#This Row],[MB1]]," - ",Query1[[#This Row],[MB2]]," - ",Query1[[#This Row],[MB3]])</f>
        <v>EVAP KIT 66-77 BRONCO - 830085 - 0 - 0</v>
      </c>
    </row>
    <row r="4420" spans="1:15" x14ac:dyDescent="0.25">
      <c r="A4420" s="1">
        <v>920969</v>
      </c>
      <c r="B4420" s="1" t="s">
        <v>68</v>
      </c>
      <c r="C4420" s="1" t="s">
        <v>69</v>
      </c>
      <c r="D4420" s="2">
        <v>44676.429062696756</v>
      </c>
      <c r="E4420" s="1" t="s">
        <v>8</v>
      </c>
      <c r="F4420" s="1">
        <v>1</v>
      </c>
      <c r="G4420" s="1">
        <v>0</v>
      </c>
      <c r="H4420" s="6">
        <f>INT(Query1[[#This Row],[EntryDateTime]])</f>
        <v>44676</v>
      </c>
      <c r="I4420" s="1">
        <f>IF(Query1[[#This Row],[ItemType]]="EVAP KIT SF GEN IV",Query1[[#This Row],[OrderQty]]+I4419,I4419)</f>
        <v>5449</v>
      </c>
      <c r="J4420" s="1">
        <f>IF(Query1[[#This Row],[ItemType]]="EVAP KIT UNIVERSAL",Query1[[#This Row],[OrderQty]]+J4419,J4419)</f>
        <v>1791</v>
      </c>
      <c r="K4420" s="1">
        <f>Query1[[#This Row],[SF Running Total]]+Query1[[#This Row],[UNIV Running Total]]</f>
        <v>7240</v>
      </c>
      <c r="L4420">
        <f>VLOOKUP(Query1[[#This Row],[Description]],'kits to boards'!$B$2:$E$156,2,FALSE)</f>
        <v>830010</v>
      </c>
      <c r="M4420">
        <f>VLOOKUP(Query1[[#This Row],[Description]],'kits to boards'!$B$2:$E$156,3,FALSE)</f>
        <v>0</v>
      </c>
      <c r="N4420">
        <f>VLOOKUP(Query1[[#This Row],[Description]],'kits to boards'!$B$2:$E$156,4,FALSE)</f>
        <v>0</v>
      </c>
      <c r="O4420" t="str">
        <f>CONCATENATE(Query1[[#This Row],[Description]]," - ",Query1[[#This Row],[MB1]]," - ",Query1[[#This Row],[MB2]]," - ",Query1[[#This Row],[MB3]])</f>
        <v>EVAP KIT 70-72 CHEVELLE WO AC - 830010 - 0 - 0</v>
      </c>
    </row>
    <row r="4421" spans="1:15" x14ac:dyDescent="0.25">
      <c r="A4421" s="1">
        <v>920977</v>
      </c>
      <c r="B4421" s="1" t="s">
        <v>106</v>
      </c>
      <c r="C4421" s="1" t="s">
        <v>253</v>
      </c>
      <c r="D4421" s="2">
        <v>44676.439459340276</v>
      </c>
      <c r="E4421" s="1" t="s">
        <v>8</v>
      </c>
      <c r="F4421" s="1">
        <v>1</v>
      </c>
      <c r="G4421" s="1">
        <v>0</v>
      </c>
      <c r="H4421" s="6">
        <f>INT(Query1[[#This Row],[EntryDateTime]])</f>
        <v>44676</v>
      </c>
      <c r="I4421" s="1">
        <f>IF(Query1[[#This Row],[ItemType]]="EVAP KIT SF GEN IV",Query1[[#This Row],[OrderQty]]+I4420,I4420)</f>
        <v>5450</v>
      </c>
      <c r="J4421" s="1">
        <f>IF(Query1[[#This Row],[ItemType]]="EVAP KIT UNIVERSAL",Query1[[#This Row],[OrderQty]]+J4420,J4420)</f>
        <v>1791</v>
      </c>
      <c r="K4421" s="1">
        <f>Query1[[#This Row],[SF Running Total]]+Query1[[#This Row],[UNIV Running Total]]</f>
        <v>7241</v>
      </c>
      <c r="L4421">
        <f>VLOOKUP(Query1[[#This Row],[Description]],'kits to boards'!$B$2:$E$156,2,FALSE)</f>
        <v>830028</v>
      </c>
      <c r="M4421">
        <f>VLOOKUP(Query1[[#This Row],[Description]],'kits to boards'!$B$2:$E$156,3,FALSE)</f>
        <v>0</v>
      </c>
      <c r="N4421">
        <f>VLOOKUP(Query1[[#This Row],[Description]],'kits to boards'!$B$2:$E$156,4,FALSE)</f>
        <v>0</v>
      </c>
      <c r="O4421" t="str">
        <f>CONCATENATE(Query1[[#This Row],[Description]]," - ",Query1[[#This Row],[MB1]]," - ",Query1[[#This Row],[MB2]]," - ",Query1[[#This Row],[MB3]])</f>
        <v>EVAP KIT 55-59 CHEV P-UP WO AC W/DELX  - 830028 - 0 - 0</v>
      </c>
    </row>
    <row r="4422" spans="1:15" x14ac:dyDescent="0.25">
      <c r="A4422" s="1">
        <v>920922</v>
      </c>
      <c r="B4422" s="1" t="s">
        <v>94</v>
      </c>
      <c r="C4422" s="1" t="s">
        <v>95</v>
      </c>
      <c r="D4422" s="2">
        <v>44676.457574386572</v>
      </c>
      <c r="E4422" s="1" t="s">
        <v>8</v>
      </c>
      <c r="F4422" s="1">
        <v>1</v>
      </c>
      <c r="G4422" s="1">
        <v>0</v>
      </c>
      <c r="H4422" s="6">
        <f>INT(Query1[[#This Row],[EntryDateTime]])</f>
        <v>44676</v>
      </c>
      <c r="I4422" s="1">
        <f>IF(Query1[[#This Row],[ItemType]]="EVAP KIT SF GEN IV",Query1[[#This Row],[OrderQty]]+I4421,I4421)</f>
        <v>5451</v>
      </c>
      <c r="J4422" s="1">
        <f>IF(Query1[[#This Row],[ItemType]]="EVAP KIT UNIVERSAL",Query1[[#This Row],[OrderQty]]+J4421,J4421)</f>
        <v>1791</v>
      </c>
      <c r="K4422" s="1">
        <f>Query1[[#This Row],[SF Running Total]]+Query1[[#This Row],[UNIV Running Total]]</f>
        <v>7242</v>
      </c>
      <c r="L4422">
        <f>VLOOKUP(Query1[[#This Row],[Description]],'kits to boards'!$B$2:$E$156,2,FALSE)</f>
        <v>830076</v>
      </c>
      <c r="M4422">
        <f>VLOOKUP(Query1[[#This Row],[Description]],'kits to boards'!$B$2:$E$156,3,FALSE)</f>
        <v>0</v>
      </c>
      <c r="N4422">
        <f>VLOOKUP(Query1[[#This Row],[Description]],'kits to boards'!$B$2:$E$156,4,FALSE)</f>
        <v>0</v>
      </c>
      <c r="O4422" t="str">
        <f>CONCATENATE(Query1[[#This Row],[Description]]," - ",Query1[[#This Row],[MB1]]," - ",Query1[[#This Row],[MB2]]," - ",Query1[[#This Row],[MB3]])</f>
        <v>EVAP KIT 64 1/2- 66 MUSTANG  - 830076 - 0 - 0</v>
      </c>
    </row>
    <row r="4423" spans="1:15" x14ac:dyDescent="0.25">
      <c r="A4423" s="1">
        <v>920993</v>
      </c>
      <c r="B4423" s="1" t="s">
        <v>92</v>
      </c>
      <c r="C4423" s="1" t="s">
        <v>93</v>
      </c>
      <c r="D4423" s="2">
        <v>44676.472929745367</v>
      </c>
      <c r="E4423" s="1" t="s">
        <v>8</v>
      </c>
      <c r="F4423" s="1">
        <v>1</v>
      </c>
      <c r="G4423" s="1">
        <v>0</v>
      </c>
      <c r="H4423" s="6">
        <f>INT(Query1[[#This Row],[EntryDateTime]])</f>
        <v>44676</v>
      </c>
      <c r="I4423" s="1">
        <f>IF(Query1[[#This Row],[ItemType]]="EVAP KIT SF GEN IV",Query1[[#This Row],[OrderQty]]+I4422,I4422)</f>
        <v>5452</v>
      </c>
      <c r="J4423" s="1">
        <f>IF(Query1[[#This Row],[ItemType]]="EVAP KIT UNIVERSAL",Query1[[#This Row],[OrderQty]]+J4422,J4422)</f>
        <v>1791</v>
      </c>
      <c r="K4423" s="1">
        <f>Query1[[#This Row],[SF Running Total]]+Query1[[#This Row],[UNIV Running Total]]</f>
        <v>7243</v>
      </c>
      <c r="L4423">
        <f>VLOOKUP(Query1[[#This Row],[Description]],'kits to boards'!$B$2:$E$156,2,FALSE)</f>
        <v>830063</v>
      </c>
      <c r="M4423">
        <f>VLOOKUP(Query1[[#This Row],[Description]],'kits to boards'!$B$2:$E$156,3,FALSE)</f>
        <v>0</v>
      </c>
      <c r="N4423">
        <f>VLOOKUP(Query1[[#This Row],[Description]],'kits to boards'!$B$2:$E$156,4,FALSE)</f>
        <v>0</v>
      </c>
      <c r="O4423" t="str">
        <f>CONCATENATE(Query1[[#This Row],[Description]]," - ",Query1[[#This Row],[MB1]]," - ",Query1[[#This Row],[MB2]]," - ",Query1[[#This Row],[MB3]])</f>
        <v>EVAP KIT 50-53 CHEV P-UP GEN IV - 830063 - 0 - 0</v>
      </c>
    </row>
    <row r="4424" spans="1:15" x14ac:dyDescent="0.25">
      <c r="A4424" s="1">
        <v>921004</v>
      </c>
      <c r="B4424" s="1" t="s">
        <v>42</v>
      </c>
      <c r="C4424" s="1" t="s">
        <v>43</v>
      </c>
      <c r="D4424" s="2">
        <v>44676.499535798612</v>
      </c>
      <c r="E4424" s="1" t="s">
        <v>8</v>
      </c>
      <c r="F4424" s="1">
        <v>1</v>
      </c>
      <c r="G4424" s="1">
        <v>0</v>
      </c>
      <c r="H4424" s="6">
        <f>INT(Query1[[#This Row],[EntryDateTime]])</f>
        <v>44676</v>
      </c>
      <c r="I4424" s="1">
        <f>IF(Query1[[#This Row],[ItemType]]="EVAP KIT SF GEN IV",Query1[[#This Row],[OrderQty]]+I4423,I4423)</f>
        <v>5453</v>
      </c>
      <c r="J4424" s="1">
        <f>IF(Query1[[#This Row],[ItemType]]="EVAP KIT UNIVERSAL",Query1[[#This Row],[OrderQty]]+J4423,J4423)</f>
        <v>1791</v>
      </c>
      <c r="K4424" s="1">
        <f>Query1[[#This Row],[SF Running Total]]+Query1[[#This Row],[UNIV Running Total]]</f>
        <v>7244</v>
      </c>
      <c r="L4424">
        <f>VLOOKUP(Query1[[#This Row],[Description]],'kits to boards'!$B$2:$E$156,2,FALSE)</f>
        <v>830014</v>
      </c>
      <c r="M4424">
        <f>VLOOKUP(Query1[[#This Row],[Description]],'kits to boards'!$B$2:$E$156,3,FALSE)</f>
        <v>0</v>
      </c>
      <c r="N4424">
        <f>VLOOKUP(Query1[[#This Row],[Description]],'kits to boards'!$B$2:$E$156,4,FALSE)</f>
        <v>0</v>
      </c>
      <c r="O4424" t="str">
        <f>CONCATENATE(Query1[[#This Row],[Description]]," - ",Query1[[#This Row],[MB1]]," - ",Query1[[#This Row],[MB2]]," - ",Query1[[#This Row],[MB3]])</f>
        <v>EVAP KIT 67-72 CHEV P-UP WO AC - 830014 - 0 - 0</v>
      </c>
    </row>
    <row r="4425" spans="1:15" x14ac:dyDescent="0.25">
      <c r="A4425" s="1">
        <v>921014</v>
      </c>
      <c r="B4425" s="1" t="s">
        <v>102</v>
      </c>
      <c r="C4425" s="1" t="s">
        <v>103</v>
      </c>
      <c r="D4425" s="2">
        <v>44676.512806250001</v>
      </c>
      <c r="E4425" s="1" t="s">
        <v>8</v>
      </c>
      <c r="F4425" s="1">
        <v>1</v>
      </c>
      <c r="G4425" s="1">
        <v>0</v>
      </c>
      <c r="H4425" s="6">
        <f>INT(Query1[[#This Row],[EntryDateTime]])</f>
        <v>44676</v>
      </c>
      <c r="I4425" s="1">
        <f>IF(Query1[[#This Row],[ItemType]]="EVAP KIT SF GEN IV",Query1[[#This Row],[OrderQty]]+I4424,I4424)</f>
        <v>5454</v>
      </c>
      <c r="J4425" s="1">
        <f>IF(Query1[[#This Row],[ItemType]]="EVAP KIT UNIVERSAL",Query1[[#This Row],[OrderQty]]+J4424,J4424)</f>
        <v>1791</v>
      </c>
      <c r="K4425" s="1">
        <f>Query1[[#This Row],[SF Running Total]]+Query1[[#This Row],[UNIV Running Total]]</f>
        <v>7245</v>
      </c>
      <c r="L4425">
        <f>VLOOKUP(Query1[[#This Row],[Description]],'kits to boards'!$B$2:$E$156,2,FALSE)</f>
        <v>830012</v>
      </c>
      <c r="M4425">
        <f>VLOOKUP(Query1[[#This Row],[Description]],'kits to boards'!$B$2:$E$156,3,FALSE)</f>
        <v>0</v>
      </c>
      <c r="N4425">
        <f>VLOOKUP(Query1[[#This Row],[Description]],'kits to boards'!$B$2:$E$156,4,FALSE)</f>
        <v>0</v>
      </c>
      <c r="O4425" t="str">
        <f>CONCATENATE(Query1[[#This Row],[Description]]," - ",Query1[[#This Row],[MB1]]," - ",Query1[[#This Row],[MB2]]," - ",Query1[[#This Row],[MB3]])</f>
        <v>EVAP KIT 69 CAMARO WO/AC - 830012 - 0 - 0</v>
      </c>
    </row>
    <row r="4426" spans="1:15" x14ac:dyDescent="0.25">
      <c r="A4426" s="1">
        <v>921015</v>
      </c>
      <c r="B4426" s="1" t="s">
        <v>102</v>
      </c>
      <c r="C4426" s="1" t="s">
        <v>103</v>
      </c>
      <c r="D4426" s="2">
        <v>44676.513028125002</v>
      </c>
      <c r="E4426" s="1" t="s">
        <v>8</v>
      </c>
      <c r="F4426" s="1">
        <v>1</v>
      </c>
      <c r="G4426" s="1">
        <v>0</v>
      </c>
      <c r="H4426" s="6">
        <f>INT(Query1[[#This Row],[EntryDateTime]])</f>
        <v>44676</v>
      </c>
      <c r="I4426" s="1">
        <f>IF(Query1[[#This Row],[ItemType]]="EVAP KIT SF GEN IV",Query1[[#This Row],[OrderQty]]+I4425,I4425)</f>
        <v>5455</v>
      </c>
      <c r="J4426" s="1">
        <f>IF(Query1[[#This Row],[ItemType]]="EVAP KIT UNIVERSAL",Query1[[#This Row],[OrderQty]]+J4425,J4425)</f>
        <v>1791</v>
      </c>
      <c r="K4426" s="1">
        <f>Query1[[#This Row],[SF Running Total]]+Query1[[#This Row],[UNIV Running Total]]</f>
        <v>7246</v>
      </c>
      <c r="L4426">
        <f>VLOOKUP(Query1[[#This Row],[Description]],'kits to boards'!$B$2:$E$156,2,FALSE)</f>
        <v>830012</v>
      </c>
      <c r="M4426">
        <f>VLOOKUP(Query1[[#This Row],[Description]],'kits to boards'!$B$2:$E$156,3,FALSE)</f>
        <v>0</v>
      </c>
      <c r="N4426">
        <f>VLOOKUP(Query1[[#This Row],[Description]],'kits to boards'!$B$2:$E$156,4,FALSE)</f>
        <v>0</v>
      </c>
      <c r="O4426" t="str">
        <f>CONCATENATE(Query1[[#This Row],[Description]]," - ",Query1[[#This Row],[MB1]]," - ",Query1[[#This Row],[MB2]]," - ",Query1[[#This Row],[MB3]])</f>
        <v>EVAP KIT 69 CAMARO WO/AC - 830012 - 0 - 0</v>
      </c>
    </row>
    <row r="4427" spans="1:15" x14ac:dyDescent="0.25">
      <c r="A4427" s="1">
        <v>921016</v>
      </c>
      <c r="B4427" s="1" t="s">
        <v>190</v>
      </c>
      <c r="C4427" s="1" t="s">
        <v>191</v>
      </c>
      <c r="D4427" s="2">
        <v>44676.519973842594</v>
      </c>
      <c r="E4427" s="1" t="s">
        <v>8</v>
      </c>
      <c r="F4427" s="1">
        <v>1</v>
      </c>
      <c r="G4427" s="1">
        <v>0</v>
      </c>
      <c r="H4427" s="6">
        <f>INT(Query1[[#This Row],[EntryDateTime]])</f>
        <v>44676</v>
      </c>
      <c r="I4427" s="1">
        <f>IF(Query1[[#This Row],[ItemType]]="EVAP KIT SF GEN IV",Query1[[#This Row],[OrderQty]]+I4426,I4426)</f>
        <v>5456</v>
      </c>
      <c r="J4427" s="1">
        <f>IF(Query1[[#This Row],[ItemType]]="EVAP KIT UNIVERSAL",Query1[[#This Row],[OrderQty]]+J4426,J4426)</f>
        <v>1791</v>
      </c>
      <c r="K4427" s="1">
        <f>Query1[[#This Row],[SF Running Total]]+Query1[[#This Row],[UNIV Running Total]]</f>
        <v>7247</v>
      </c>
      <c r="L4427">
        <f>VLOOKUP(Query1[[#This Row],[Description]],'kits to boards'!$B$2:$E$156,2,FALSE)</f>
        <v>830008</v>
      </c>
      <c r="M4427">
        <f>VLOOKUP(Query1[[#This Row],[Description]],'kits to boards'!$B$2:$E$156,3,FALSE)</f>
        <v>0</v>
      </c>
      <c r="N4427">
        <f>VLOOKUP(Query1[[#This Row],[Description]],'kits to boards'!$B$2:$E$156,4,FALSE)</f>
        <v>0</v>
      </c>
      <c r="O4427" t="str">
        <f>CONCATENATE(Query1[[#This Row],[Description]]," - ",Query1[[#This Row],[MB1]]," - ",Query1[[#This Row],[MB2]]," - ",Query1[[#This Row],[MB3]])</f>
        <v>EVAP KIT 63 IMPALA WO AC - 830008 - 0 - 0</v>
      </c>
    </row>
    <row r="4428" spans="1:15" x14ac:dyDescent="0.25">
      <c r="A4428" s="1">
        <v>921018</v>
      </c>
      <c r="B4428" s="1" t="s">
        <v>86</v>
      </c>
      <c r="C4428" s="1" t="s">
        <v>87</v>
      </c>
      <c r="D4428" s="2">
        <v>44676.527716932869</v>
      </c>
      <c r="E4428" s="1" t="s">
        <v>8</v>
      </c>
      <c r="F4428" s="1">
        <v>1</v>
      </c>
      <c r="G4428" s="1">
        <v>0</v>
      </c>
      <c r="H4428" s="6">
        <f>INT(Query1[[#This Row],[EntryDateTime]])</f>
        <v>44676</v>
      </c>
      <c r="I4428" s="1">
        <f>IF(Query1[[#This Row],[ItemType]]="EVAP KIT SF GEN IV",Query1[[#This Row],[OrderQty]]+I4427,I4427)</f>
        <v>5457</v>
      </c>
      <c r="J4428" s="1">
        <f>IF(Query1[[#This Row],[ItemType]]="EVAP KIT UNIVERSAL",Query1[[#This Row],[OrderQty]]+J4427,J4427)</f>
        <v>1791</v>
      </c>
      <c r="K4428" s="1">
        <f>Query1[[#This Row],[SF Running Total]]+Query1[[#This Row],[UNIV Running Total]]</f>
        <v>7248</v>
      </c>
      <c r="L4428">
        <f>VLOOKUP(Query1[[#This Row],[Description]],'kits to boards'!$B$2:$E$156,2,FALSE)</f>
        <v>830048</v>
      </c>
      <c r="M4428">
        <f>VLOOKUP(Query1[[#This Row],[Description]],'kits to boards'!$B$2:$E$156,3,FALSE)</f>
        <v>0</v>
      </c>
      <c r="N4428">
        <f>VLOOKUP(Query1[[#This Row],[Description]],'kits to boards'!$B$2:$E$156,4,FALSE)</f>
        <v>0</v>
      </c>
      <c r="O4428" t="str">
        <f>CONCATENATE(Query1[[#This Row],[Description]]," - ",Query1[[#This Row],[MB1]]," - ",Query1[[#This Row],[MB2]]," - ",Query1[[#This Row],[MB3]])</f>
        <v>EVAP KIT 66-67 NOVA - 830048 - 0 - 0</v>
      </c>
    </row>
    <row r="4429" spans="1:15" x14ac:dyDescent="0.25">
      <c r="A4429" s="1">
        <v>920942</v>
      </c>
      <c r="B4429" s="1" t="s">
        <v>52</v>
      </c>
      <c r="C4429" s="1" t="s">
        <v>53</v>
      </c>
      <c r="D4429" s="2">
        <v>44676.538934988428</v>
      </c>
      <c r="E4429" s="1" t="s">
        <v>8</v>
      </c>
      <c r="F4429" s="1">
        <v>1</v>
      </c>
      <c r="G4429" s="1">
        <v>0</v>
      </c>
      <c r="H4429" s="6">
        <f>INT(Query1[[#This Row],[EntryDateTime]])</f>
        <v>44676</v>
      </c>
      <c r="I4429" s="1">
        <f>IF(Query1[[#This Row],[ItemType]]="EVAP KIT SF GEN IV",Query1[[#This Row],[OrderQty]]+I4428,I4428)</f>
        <v>5458</v>
      </c>
      <c r="J4429" s="1">
        <f>IF(Query1[[#This Row],[ItemType]]="EVAP KIT UNIVERSAL",Query1[[#This Row],[OrderQty]]+J4428,J4428)</f>
        <v>1791</v>
      </c>
      <c r="K4429" s="1">
        <f>Query1[[#This Row],[SF Running Total]]+Query1[[#This Row],[UNIV Running Total]]</f>
        <v>7249</v>
      </c>
      <c r="L4429">
        <f>VLOOKUP(Query1[[#This Row],[Description]],'kits to boards'!$B$2:$E$156,2,FALSE)</f>
        <v>830017</v>
      </c>
      <c r="M4429">
        <f>VLOOKUP(Query1[[#This Row],[Description]],'kits to boards'!$B$2:$E$156,3,FALSE)</f>
        <v>830119</v>
      </c>
      <c r="N4429">
        <f>VLOOKUP(Query1[[#This Row],[Description]],'kits to boards'!$B$2:$E$156,4,FALSE)</f>
        <v>830120</v>
      </c>
      <c r="O4429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4430" spans="1:15" x14ac:dyDescent="0.25">
      <c r="A4430" s="1">
        <v>920947</v>
      </c>
      <c r="B4430" s="1" t="s">
        <v>70</v>
      </c>
      <c r="C4430" s="1" t="s">
        <v>71</v>
      </c>
      <c r="D4430" s="2">
        <v>44676.539616516202</v>
      </c>
      <c r="E4430" s="1" t="s">
        <v>8</v>
      </c>
      <c r="F4430" s="1">
        <v>1</v>
      </c>
      <c r="G4430" s="1">
        <v>0</v>
      </c>
      <c r="H4430" s="6">
        <f>INT(Query1[[#This Row],[EntryDateTime]])</f>
        <v>44676</v>
      </c>
      <c r="I4430" s="1">
        <f>IF(Query1[[#This Row],[ItemType]]="EVAP KIT SF GEN IV",Query1[[#This Row],[OrderQty]]+I4429,I4429)</f>
        <v>5459</v>
      </c>
      <c r="J4430" s="1">
        <f>IF(Query1[[#This Row],[ItemType]]="EVAP KIT UNIVERSAL",Query1[[#This Row],[OrderQty]]+J4429,J4429)</f>
        <v>1791</v>
      </c>
      <c r="K4430" s="1">
        <f>Query1[[#This Row],[SF Running Total]]+Query1[[#This Row],[UNIV Running Total]]</f>
        <v>7250</v>
      </c>
      <c r="L4430">
        <f>VLOOKUP(Query1[[#This Row],[Description]],'kits to boards'!$B$2:$E$156,2,FALSE)</f>
        <v>830050</v>
      </c>
      <c r="M4430">
        <f>VLOOKUP(Query1[[#This Row],[Description]],'kits to boards'!$B$2:$E$156,3,FALSE)</f>
        <v>0</v>
      </c>
      <c r="N4430">
        <f>VLOOKUP(Query1[[#This Row],[Description]],'kits to boards'!$B$2:$E$156,4,FALSE)</f>
        <v>0</v>
      </c>
      <c r="O4430" t="str">
        <f>CONCATENATE(Query1[[#This Row],[Description]]," - ",Query1[[#This Row],[MB1]]," - ",Query1[[#This Row],[MB2]]," - ",Query1[[#This Row],[MB3]])</f>
        <v>EVAP KIT 70-78 CAMARO WO AC - 830050 - 0 - 0</v>
      </c>
    </row>
    <row r="4431" spans="1:15" x14ac:dyDescent="0.25">
      <c r="A4431" s="1">
        <v>921011</v>
      </c>
      <c r="B4431" s="1" t="s">
        <v>112</v>
      </c>
      <c r="C4431" s="1" t="s">
        <v>113</v>
      </c>
      <c r="D4431" s="2">
        <v>44676.540394710646</v>
      </c>
      <c r="E4431" s="1" t="s">
        <v>8</v>
      </c>
      <c r="F4431" s="1">
        <v>1</v>
      </c>
      <c r="G4431" s="1">
        <v>0</v>
      </c>
      <c r="H4431" s="6">
        <f>INT(Query1[[#This Row],[EntryDateTime]])</f>
        <v>44676</v>
      </c>
      <c r="I4431" s="1">
        <f>IF(Query1[[#This Row],[ItemType]]="EVAP KIT SF GEN IV",Query1[[#This Row],[OrderQty]]+I4430,I4430)</f>
        <v>5460</v>
      </c>
      <c r="J4431" s="1">
        <f>IF(Query1[[#This Row],[ItemType]]="EVAP KIT UNIVERSAL",Query1[[#This Row],[OrderQty]]+J4430,J4430)</f>
        <v>1791</v>
      </c>
      <c r="K4431" s="1">
        <f>Query1[[#This Row],[SF Running Total]]+Query1[[#This Row],[UNIV Running Total]]</f>
        <v>7251</v>
      </c>
      <c r="L4431">
        <f>VLOOKUP(Query1[[#This Row],[Description]],'kits to boards'!$B$2:$E$156,2,FALSE)</f>
        <v>830063</v>
      </c>
      <c r="M4431">
        <f>VLOOKUP(Query1[[#This Row],[Description]],'kits to boards'!$B$2:$E$156,3,FALSE)</f>
        <v>0</v>
      </c>
      <c r="N4431">
        <f>VLOOKUP(Query1[[#This Row],[Description]],'kits to boards'!$B$2:$E$156,4,FALSE)</f>
        <v>0</v>
      </c>
      <c r="O4431" t="str">
        <f>CONCATENATE(Query1[[#This Row],[Description]]," - ",Query1[[#This Row],[MB1]]," - ",Query1[[#This Row],[MB2]]," - ",Query1[[#This Row],[MB3]])</f>
        <v>EVAP KIT 54-55 CHEV P-UP GEN IV - 830063 - 0 - 0</v>
      </c>
    </row>
    <row r="4432" spans="1:15" x14ac:dyDescent="0.25">
      <c r="A4432" s="1">
        <v>921024</v>
      </c>
      <c r="B4432" s="1" t="s">
        <v>64</v>
      </c>
      <c r="C4432" s="1" t="s">
        <v>65</v>
      </c>
      <c r="D4432" s="2">
        <v>44676.542331516204</v>
      </c>
      <c r="E4432" s="1" t="s">
        <v>8</v>
      </c>
      <c r="F4432" s="1">
        <v>1</v>
      </c>
      <c r="G4432" s="1">
        <v>0</v>
      </c>
      <c r="H4432" s="6">
        <f>INT(Query1[[#This Row],[EntryDateTime]])</f>
        <v>44676</v>
      </c>
      <c r="I4432" s="1">
        <f>IF(Query1[[#This Row],[ItemType]]="EVAP KIT SF GEN IV",Query1[[#This Row],[OrderQty]]+I4431,I4431)</f>
        <v>5461</v>
      </c>
      <c r="J4432" s="1">
        <f>IF(Query1[[#This Row],[ItemType]]="EVAP KIT UNIVERSAL",Query1[[#This Row],[OrderQty]]+J4431,J4431)</f>
        <v>1791</v>
      </c>
      <c r="K4432" s="1">
        <f>Query1[[#This Row],[SF Running Total]]+Query1[[#This Row],[UNIV Running Total]]</f>
        <v>7252</v>
      </c>
      <c r="L4432">
        <f>VLOOKUP(Query1[[#This Row],[Description]],'kits to boards'!$B$2:$E$156,2,FALSE)</f>
        <v>830067</v>
      </c>
      <c r="M4432">
        <f>VLOOKUP(Query1[[#This Row],[Description]],'kits to boards'!$B$2:$E$156,3,FALSE)</f>
        <v>0</v>
      </c>
      <c r="N4432">
        <f>VLOOKUP(Query1[[#This Row],[Description]],'kits to boards'!$B$2:$E$156,4,FALSE)</f>
        <v>0</v>
      </c>
      <c r="O4432" t="str">
        <f>CONCATENATE(Query1[[#This Row],[Description]]," - ",Query1[[#This Row],[MB1]]," - ",Query1[[#This Row],[MB2]]," - ",Query1[[#This Row],[MB3]])</f>
        <v>EVAP KIT 59-60 CHEV CAR 4-LEVER - 830067 - 0 - 0</v>
      </c>
    </row>
    <row r="4433" spans="1:15" x14ac:dyDescent="0.25">
      <c r="A4433" s="1">
        <v>921028</v>
      </c>
      <c r="B4433" s="1" t="s">
        <v>98</v>
      </c>
      <c r="C4433" s="1" t="s">
        <v>99</v>
      </c>
      <c r="D4433" s="2">
        <v>44676.549397025461</v>
      </c>
      <c r="E4433" s="1" t="s">
        <v>11</v>
      </c>
      <c r="F4433" s="1">
        <v>1</v>
      </c>
      <c r="G4433" s="1">
        <v>0</v>
      </c>
      <c r="H4433" s="6">
        <f>INT(Query1[[#This Row],[EntryDateTime]])</f>
        <v>44676</v>
      </c>
      <c r="I4433" s="1">
        <f>IF(Query1[[#This Row],[ItemType]]="EVAP KIT SF GEN IV",Query1[[#This Row],[OrderQty]]+I4432,I4432)</f>
        <v>5461</v>
      </c>
      <c r="J4433" s="1">
        <f>IF(Query1[[#This Row],[ItemType]]="EVAP KIT UNIVERSAL",Query1[[#This Row],[OrderQty]]+J4432,J4432)</f>
        <v>1792</v>
      </c>
      <c r="K4433" s="1">
        <f>Query1[[#This Row],[SF Running Total]]+Query1[[#This Row],[UNIV Running Total]]</f>
        <v>7253</v>
      </c>
      <c r="L4433">
        <f>VLOOKUP(Query1[[#This Row],[Description]],'kits to boards'!$B$2:$E$156,2,FALSE)</f>
        <v>830099</v>
      </c>
      <c r="M4433">
        <f>VLOOKUP(Query1[[#This Row],[Description]],'kits to boards'!$B$2:$E$156,3,FALSE)</f>
        <v>0</v>
      </c>
      <c r="N4433">
        <f>VLOOKUP(Query1[[#This Row],[Description]],'kits to boards'!$B$2:$E$156,4,FALSE)</f>
        <v>0</v>
      </c>
      <c r="O4433" t="str">
        <f>CONCATENATE(Query1[[#This Row],[Description]]," - ",Query1[[#This Row],[MB1]]," - ",Query1[[#This Row],[MB2]]," - ",Query1[[#This Row],[MB3]])</f>
        <v>MINI GEN II W/DEF - 830099 - 0 - 0</v>
      </c>
    </row>
    <row r="4434" spans="1:15" x14ac:dyDescent="0.25">
      <c r="A4434" s="1">
        <v>921029</v>
      </c>
      <c r="B4434" s="1" t="s">
        <v>42</v>
      </c>
      <c r="C4434" s="1" t="s">
        <v>43</v>
      </c>
      <c r="D4434" s="2">
        <v>44676.549768368059</v>
      </c>
      <c r="E4434" s="1" t="s">
        <v>8</v>
      </c>
      <c r="F4434" s="1">
        <v>1</v>
      </c>
      <c r="G4434" s="1">
        <v>0</v>
      </c>
      <c r="H4434" s="6">
        <f>INT(Query1[[#This Row],[EntryDateTime]])</f>
        <v>44676</v>
      </c>
      <c r="I4434" s="1">
        <f>IF(Query1[[#This Row],[ItemType]]="EVAP KIT SF GEN IV",Query1[[#This Row],[OrderQty]]+I4433,I4433)</f>
        <v>5462</v>
      </c>
      <c r="J4434" s="1">
        <f>IF(Query1[[#This Row],[ItemType]]="EVAP KIT UNIVERSAL",Query1[[#This Row],[OrderQty]]+J4433,J4433)</f>
        <v>1792</v>
      </c>
      <c r="K4434" s="1">
        <f>Query1[[#This Row],[SF Running Total]]+Query1[[#This Row],[UNIV Running Total]]</f>
        <v>7254</v>
      </c>
      <c r="L4434">
        <f>VLOOKUP(Query1[[#This Row],[Description]],'kits to boards'!$B$2:$E$156,2,FALSE)</f>
        <v>830014</v>
      </c>
      <c r="M4434">
        <f>VLOOKUP(Query1[[#This Row],[Description]],'kits to boards'!$B$2:$E$156,3,FALSE)</f>
        <v>0</v>
      </c>
      <c r="N4434">
        <f>VLOOKUP(Query1[[#This Row],[Description]],'kits to boards'!$B$2:$E$156,4,FALSE)</f>
        <v>0</v>
      </c>
      <c r="O4434" t="str">
        <f>CONCATENATE(Query1[[#This Row],[Description]]," - ",Query1[[#This Row],[MB1]]," - ",Query1[[#This Row],[MB2]]," - ",Query1[[#This Row],[MB3]])</f>
        <v>EVAP KIT 67-72 CHEV P-UP WO AC - 830014 - 0 - 0</v>
      </c>
    </row>
    <row r="4435" spans="1:15" x14ac:dyDescent="0.25">
      <c r="A4435" s="1">
        <v>921032</v>
      </c>
      <c r="B4435" s="1" t="s">
        <v>242</v>
      </c>
      <c r="C4435" s="1" t="s">
        <v>243</v>
      </c>
      <c r="D4435" s="2">
        <v>44676.558441319445</v>
      </c>
      <c r="E4435" s="1" t="s">
        <v>8</v>
      </c>
      <c r="F4435" s="1">
        <v>1</v>
      </c>
      <c r="G4435" s="1">
        <v>0</v>
      </c>
      <c r="H4435" s="6">
        <f>INT(Query1[[#This Row],[EntryDateTime]])</f>
        <v>44676</v>
      </c>
      <c r="I4435" s="1">
        <f>IF(Query1[[#This Row],[ItemType]]="EVAP KIT SF GEN IV",Query1[[#This Row],[OrderQty]]+I4434,I4434)</f>
        <v>5463</v>
      </c>
      <c r="J4435" s="1">
        <f>IF(Query1[[#This Row],[ItemType]]="EVAP KIT UNIVERSAL",Query1[[#This Row],[OrderQty]]+J4434,J4434)</f>
        <v>1792</v>
      </c>
      <c r="K4435" s="1">
        <f>Query1[[#This Row],[SF Running Total]]+Query1[[#This Row],[UNIV Running Total]]</f>
        <v>7255</v>
      </c>
      <c r="L4435">
        <f>VLOOKUP(Query1[[#This Row],[Description]],'kits to boards'!$B$2:$E$156,2,FALSE)</f>
        <v>830036</v>
      </c>
      <c r="M4435">
        <f>VLOOKUP(Query1[[#This Row],[Description]],'kits to boards'!$B$2:$E$156,3,FALSE)</f>
        <v>830039</v>
      </c>
      <c r="N4435">
        <f>VLOOKUP(Query1[[#This Row],[Description]],'kits to boards'!$B$2:$E$156,4,FALSE)</f>
        <v>0</v>
      </c>
      <c r="O4435" t="str">
        <f>CONCATENATE(Query1[[#This Row],[Description]]," - ",Query1[[#This Row],[MB1]]," - ",Query1[[#This Row],[MB2]]," - ",Query1[[#This Row],[MB3]])</f>
        <v>EVAP KIT 63-66 VETTE W/AC - 830036 - 830039 - 0</v>
      </c>
    </row>
    <row r="4436" spans="1:15" x14ac:dyDescent="0.25">
      <c r="A4436" s="1">
        <v>921034</v>
      </c>
      <c r="B4436" s="1" t="s">
        <v>14</v>
      </c>
      <c r="C4436" s="1" t="s">
        <v>15</v>
      </c>
      <c r="D4436" s="2">
        <v>44676.562895370371</v>
      </c>
      <c r="E4436" s="1" t="s">
        <v>8</v>
      </c>
      <c r="F4436" s="1">
        <v>1</v>
      </c>
      <c r="G4436" s="1">
        <v>0</v>
      </c>
      <c r="H4436" s="6">
        <f>INT(Query1[[#This Row],[EntryDateTime]])</f>
        <v>44676</v>
      </c>
      <c r="I4436" s="1">
        <f>IF(Query1[[#This Row],[ItemType]]="EVAP KIT SF GEN IV",Query1[[#This Row],[OrderQty]]+I4435,I4435)</f>
        <v>5464</v>
      </c>
      <c r="J4436" s="1">
        <f>IF(Query1[[#This Row],[ItemType]]="EVAP KIT UNIVERSAL",Query1[[#This Row],[OrderQty]]+J4435,J4435)</f>
        <v>1792</v>
      </c>
      <c r="K4436" s="1">
        <f>Query1[[#This Row],[SF Running Total]]+Query1[[#This Row],[UNIV Running Total]]</f>
        <v>7256</v>
      </c>
      <c r="L4436">
        <f>VLOOKUP(Query1[[#This Row],[Description]],'kits to boards'!$B$2:$E$156,2,FALSE)</f>
        <v>830054</v>
      </c>
      <c r="M4436">
        <f>VLOOKUP(Query1[[#This Row],[Description]],'kits to boards'!$B$2:$E$156,3,FALSE)</f>
        <v>0</v>
      </c>
      <c r="N4436">
        <f>VLOOKUP(Query1[[#This Row],[Description]],'kits to boards'!$B$2:$E$156,4,FALSE)</f>
        <v>0</v>
      </c>
      <c r="O4436" t="str">
        <f>CONCATENATE(Query1[[#This Row],[Description]]," - ",Query1[[#This Row],[MB1]]," - ",Query1[[#This Row],[MB2]]," - ",Query1[[#This Row],[MB3]])</f>
        <v>EVAP KIT 55-56 CHEVY - 830054 - 0 - 0</v>
      </c>
    </row>
    <row r="4437" spans="1:15" x14ac:dyDescent="0.25">
      <c r="A4437" s="1">
        <v>921035</v>
      </c>
      <c r="B4437" s="1" t="s">
        <v>76</v>
      </c>
      <c r="C4437" s="1" t="s">
        <v>77</v>
      </c>
      <c r="D4437" s="2">
        <v>44676.563166550928</v>
      </c>
      <c r="E4437" s="1" t="s">
        <v>11</v>
      </c>
      <c r="F4437" s="1">
        <v>1</v>
      </c>
      <c r="G4437" s="1">
        <v>0</v>
      </c>
      <c r="H4437" s="6">
        <f>INT(Query1[[#This Row],[EntryDateTime]])</f>
        <v>44676</v>
      </c>
      <c r="I4437" s="1">
        <f>IF(Query1[[#This Row],[ItemType]]="EVAP KIT SF GEN IV",Query1[[#This Row],[OrderQty]]+I4436,I4436)</f>
        <v>5464</v>
      </c>
      <c r="J4437" s="1">
        <f>IF(Query1[[#This Row],[ItemType]]="EVAP KIT UNIVERSAL",Query1[[#This Row],[OrderQty]]+J4436,J4436)</f>
        <v>1793</v>
      </c>
      <c r="K4437" s="1">
        <f>Query1[[#This Row],[SF Running Total]]+Query1[[#This Row],[UNIV Running Total]]</f>
        <v>7257</v>
      </c>
      <c r="L4437">
        <f>VLOOKUP(Query1[[#This Row],[Description]],'kits to boards'!$B$2:$E$156,2,FALSE)</f>
        <v>830099</v>
      </c>
      <c r="M4437">
        <f>VLOOKUP(Query1[[#This Row],[Description]],'kits to boards'!$B$2:$E$156,3,FALSE)</f>
        <v>0</v>
      </c>
      <c r="N4437">
        <f>VLOOKUP(Query1[[#This Row],[Description]],'kits to boards'!$B$2:$E$156,4,FALSE)</f>
        <v>0</v>
      </c>
      <c r="O4437" t="str">
        <f>CONCATENATE(Query1[[#This Row],[Description]]," - ",Query1[[#This Row],[MB1]]," - ",Query1[[#This Row],[MB2]]," - ",Query1[[#This Row],[MB3]])</f>
        <v>MINI GEN II H/C - 830099 - 0 - 0</v>
      </c>
    </row>
    <row r="4438" spans="1:15" x14ac:dyDescent="0.25">
      <c r="A4438" s="1">
        <v>921044</v>
      </c>
      <c r="B4438" s="1" t="s">
        <v>52</v>
      </c>
      <c r="C4438" s="1" t="s">
        <v>53</v>
      </c>
      <c r="D4438" s="2">
        <v>44676.578943599539</v>
      </c>
      <c r="E4438" s="1" t="s">
        <v>8</v>
      </c>
      <c r="F4438" s="1">
        <v>1</v>
      </c>
      <c r="G4438" s="1">
        <v>0</v>
      </c>
      <c r="H4438" s="6">
        <f>INT(Query1[[#This Row],[EntryDateTime]])</f>
        <v>44676</v>
      </c>
      <c r="I4438" s="1">
        <f>IF(Query1[[#This Row],[ItemType]]="EVAP KIT SF GEN IV",Query1[[#This Row],[OrderQty]]+I4437,I4437)</f>
        <v>5465</v>
      </c>
      <c r="J4438" s="1">
        <f>IF(Query1[[#This Row],[ItemType]]="EVAP KIT UNIVERSAL",Query1[[#This Row],[OrderQty]]+J4437,J4437)</f>
        <v>1793</v>
      </c>
      <c r="K4438" s="1">
        <f>Query1[[#This Row],[SF Running Total]]+Query1[[#This Row],[UNIV Running Total]]</f>
        <v>7258</v>
      </c>
      <c r="L4438">
        <f>VLOOKUP(Query1[[#This Row],[Description]],'kits to boards'!$B$2:$E$156,2,FALSE)</f>
        <v>830017</v>
      </c>
      <c r="M4438">
        <f>VLOOKUP(Query1[[#This Row],[Description]],'kits to boards'!$B$2:$E$156,3,FALSE)</f>
        <v>830119</v>
      </c>
      <c r="N4438">
        <f>VLOOKUP(Query1[[#This Row],[Description]],'kits to boards'!$B$2:$E$156,4,FALSE)</f>
        <v>830120</v>
      </c>
      <c r="O4438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4439" spans="1:15" x14ac:dyDescent="0.25">
      <c r="A4439" s="1">
        <v>920170</v>
      </c>
      <c r="B4439" s="1" t="s">
        <v>182</v>
      </c>
      <c r="C4439" s="1" t="s">
        <v>183</v>
      </c>
      <c r="D4439" s="2">
        <v>44676.584828125</v>
      </c>
      <c r="E4439" s="1" t="s">
        <v>8</v>
      </c>
      <c r="F4439" s="1">
        <v>1</v>
      </c>
      <c r="G4439" s="1">
        <v>0</v>
      </c>
      <c r="H4439" s="6">
        <f>INT(Query1[[#This Row],[EntryDateTime]])</f>
        <v>44676</v>
      </c>
      <c r="I4439" s="1">
        <f>IF(Query1[[#This Row],[ItemType]]="EVAP KIT SF GEN IV",Query1[[#This Row],[OrderQty]]+I4438,I4438)</f>
        <v>5466</v>
      </c>
      <c r="J4439" s="1">
        <f>IF(Query1[[#This Row],[ItemType]]="EVAP KIT UNIVERSAL",Query1[[#This Row],[OrderQty]]+J4438,J4438)</f>
        <v>1793</v>
      </c>
      <c r="K4439" s="1">
        <f>Query1[[#This Row],[SF Running Total]]+Query1[[#This Row],[UNIV Running Total]]</f>
        <v>7259</v>
      </c>
      <c r="L4439">
        <f>VLOOKUP(Query1[[#This Row],[Description]],'kits to boards'!$B$2:$E$156,2,FALSE)</f>
        <v>830075</v>
      </c>
      <c r="M4439">
        <f>VLOOKUP(Query1[[#This Row],[Description]],'kits to boards'!$B$2:$E$156,3,FALSE)</f>
        <v>0</v>
      </c>
      <c r="N4439">
        <f>VLOOKUP(Query1[[#This Row],[Description]],'kits to boards'!$B$2:$E$156,4,FALSE)</f>
        <v>0</v>
      </c>
      <c r="O4439" t="str">
        <f>CONCATENATE(Query1[[#This Row],[Description]]," - ",Query1[[#This Row],[MB1]]," - ",Query1[[#This Row],[MB2]]," - ",Query1[[#This Row],[MB3]])</f>
        <v>EVAP KIT 69-70 MOPAR B BODY WO AC - 830075 - 0 - 0</v>
      </c>
    </row>
    <row r="4440" spans="1:15" x14ac:dyDescent="0.25">
      <c r="A4440" s="1">
        <v>921049</v>
      </c>
      <c r="B4440" s="1" t="s">
        <v>76</v>
      </c>
      <c r="C4440" s="1" t="s">
        <v>77</v>
      </c>
      <c r="D4440" s="2">
        <v>44676.591142974539</v>
      </c>
      <c r="E4440" s="1" t="s">
        <v>11</v>
      </c>
      <c r="F4440" s="1">
        <v>1</v>
      </c>
      <c r="G4440" s="1">
        <v>0</v>
      </c>
      <c r="H4440" s="6">
        <f>INT(Query1[[#This Row],[EntryDateTime]])</f>
        <v>44676</v>
      </c>
      <c r="I4440" s="1">
        <f>IF(Query1[[#This Row],[ItemType]]="EVAP KIT SF GEN IV",Query1[[#This Row],[OrderQty]]+I4439,I4439)</f>
        <v>5466</v>
      </c>
      <c r="J4440" s="1">
        <f>IF(Query1[[#This Row],[ItemType]]="EVAP KIT UNIVERSAL",Query1[[#This Row],[OrderQty]]+J4439,J4439)</f>
        <v>1794</v>
      </c>
      <c r="K4440" s="1">
        <f>Query1[[#This Row],[SF Running Total]]+Query1[[#This Row],[UNIV Running Total]]</f>
        <v>7260</v>
      </c>
      <c r="L4440">
        <f>VLOOKUP(Query1[[#This Row],[Description]],'kits to boards'!$B$2:$E$156,2,FALSE)</f>
        <v>830099</v>
      </c>
      <c r="M4440">
        <f>VLOOKUP(Query1[[#This Row],[Description]],'kits to boards'!$B$2:$E$156,3,FALSE)</f>
        <v>0</v>
      </c>
      <c r="N4440">
        <f>VLOOKUP(Query1[[#This Row],[Description]],'kits to boards'!$B$2:$E$156,4,FALSE)</f>
        <v>0</v>
      </c>
      <c r="O4440" t="str">
        <f>CONCATENATE(Query1[[#This Row],[Description]]," - ",Query1[[#This Row],[MB1]]," - ",Query1[[#This Row],[MB2]]," - ",Query1[[#This Row],[MB3]])</f>
        <v>MINI GEN II H/C - 830099 - 0 - 0</v>
      </c>
    </row>
    <row r="4441" spans="1:15" x14ac:dyDescent="0.25">
      <c r="A4441" s="1">
        <v>921055</v>
      </c>
      <c r="B4441" s="1" t="s">
        <v>194</v>
      </c>
      <c r="C4441" s="1" t="s">
        <v>195</v>
      </c>
      <c r="D4441" s="2">
        <v>44676.596788738425</v>
      </c>
      <c r="E4441" s="1" t="s">
        <v>8</v>
      </c>
      <c r="F4441" s="1">
        <v>1</v>
      </c>
      <c r="G4441" s="1">
        <v>0</v>
      </c>
      <c r="H4441" s="6">
        <f>INT(Query1[[#This Row],[EntryDateTime]])</f>
        <v>44676</v>
      </c>
      <c r="I4441" s="1">
        <f>IF(Query1[[#This Row],[ItemType]]="EVAP KIT SF GEN IV",Query1[[#This Row],[OrderQty]]+I4440,I4440)</f>
        <v>5467</v>
      </c>
      <c r="J4441" s="1">
        <f>IF(Query1[[#This Row],[ItemType]]="EVAP KIT UNIVERSAL",Query1[[#This Row],[OrderQty]]+J4440,J4440)</f>
        <v>1794</v>
      </c>
      <c r="K4441" s="1">
        <f>Query1[[#This Row],[SF Running Total]]+Query1[[#This Row],[UNIV Running Total]]</f>
        <v>7261</v>
      </c>
      <c r="L4441">
        <f>VLOOKUP(Query1[[#This Row],[Description]],'kits to boards'!$B$2:$E$156,2,FALSE)</f>
        <v>830103</v>
      </c>
      <c r="M4441">
        <f>VLOOKUP(Query1[[#This Row],[Description]],'kits to boards'!$B$2:$E$156,3,FALSE)</f>
        <v>0</v>
      </c>
      <c r="N4441">
        <f>VLOOKUP(Query1[[#This Row],[Description]],'kits to boards'!$B$2:$E$156,4,FALSE)</f>
        <v>0</v>
      </c>
      <c r="O4441" t="str">
        <f>CONCATENATE(Query1[[#This Row],[Description]]," - ",Query1[[#This Row],[MB1]]," - ",Query1[[#This Row],[MB2]]," - ",Query1[[#This Row],[MB3]])</f>
        <v>EVAP KIT 78-82 VETTE W/AC - 830103 - 0 - 0</v>
      </c>
    </row>
    <row r="4442" spans="1:15" x14ac:dyDescent="0.25">
      <c r="A4442" s="1">
        <v>919941</v>
      </c>
      <c r="B4442" s="1" t="s">
        <v>32</v>
      </c>
      <c r="C4442" s="1" t="s">
        <v>33</v>
      </c>
      <c r="D4442" s="2">
        <v>44676.609789270835</v>
      </c>
      <c r="E4442" s="1" t="s">
        <v>8</v>
      </c>
      <c r="F4442" s="1">
        <v>1</v>
      </c>
      <c r="G4442" s="1">
        <v>0</v>
      </c>
      <c r="H4442" s="6">
        <f>INT(Query1[[#This Row],[EntryDateTime]])</f>
        <v>44676</v>
      </c>
      <c r="I4442" s="1">
        <f>IF(Query1[[#This Row],[ItemType]]="EVAP KIT SF GEN IV",Query1[[#This Row],[OrderQty]]+I4441,I4441)</f>
        <v>5468</v>
      </c>
      <c r="J4442" s="1">
        <f>IF(Query1[[#This Row],[ItemType]]="EVAP KIT UNIVERSAL",Query1[[#This Row],[OrderQty]]+J4441,J4441)</f>
        <v>1794</v>
      </c>
      <c r="K4442" s="1">
        <f>Query1[[#This Row],[SF Running Total]]+Query1[[#This Row],[UNIV Running Total]]</f>
        <v>7262</v>
      </c>
      <c r="L4442">
        <f>VLOOKUP(Query1[[#This Row],[Description]],'kits to boards'!$B$2:$E$156,2,FALSE)</f>
        <v>830016</v>
      </c>
      <c r="M4442">
        <f>VLOOKUP(Query1[[#This Row],[Description]],'kits to boards'!$B$2:$E$156,3,FALSE)</f>
        <v>0</v>
      </c>
      <c r="N4442">
        <f>VLOOKUP(Query1[[#This Row],[Description]],'kits to boards'!$B$2:$E$156,4,FALSE)</f>
        <v>0</v>
      </c>
      <c r="O4442" t="str">
        <f>CONCATENATE(Query1[[#This Row],[Description]]," - ",Query1[[#This Row],[MB1]]," - ",Query1[[#This Row],[MB2]]," - ",Query1[[#This Row],[MB3]])</f>
        <v>EVAP KIT 67-68 CAMARO/FIREBIRD W/AC - 830016 - 0 - 0</v>
      </c>
    </row>
    <row r="4443" spans="1:15" x14ac:dyDescent="0.25">
      <c r="A4443" s="1">
        <v>921062</v>
      </c>
      <c r="B4443" s="1" t="s">
        <v>100</v>
      </c>
      <c r="C4443" s="1" t="s">
        <v>101</v>
      </c>
      <c r="D4443" s="2">
        <v>44676.61122658565</v>
      </c>
      <c r="E4443" s="1" t="s">
        <v>8</v>
      </c>
      <c r="F4443" s="1">
        <v>1</v>
      </c>
      <c r="G4443" s="1">
        <v>0</v>
      </c>
      <c r="H4443" s="6">
        <f>INT(Query1[[#This Row],[EntryDateTime]])</f>
        <v>44676</v>
      </c>
      <c r="I4443" s="1">
        <f>IF(Query1[[#This Row],[ItemType]]="EVAP KIT SF GEN IV",Query1[[#This Row],[OrderQty]]+I4442,I4442)</f>
        <v>5469</v>
      </c>
      <c r="J4443" s="1">
        <f>IF(Query1[[#This Row],[ItemType]]="EVAP KIT UNIVERSAL",Query1[[#This Row],[OrderQty]]+J4442,J4442)</f>
        <v>1794</v>
      </c>
      <c r="K4443" s="1">
        <f>Query1[[#This Row],[SF Running Total]]+Query1[[#This Row],[UNIV Running Total]]</f>
        <v>7263</v>
      </c>
      <c r="L4443">
        <f>VLOOKUP(Query1[[#This Row],[Description]],'kits to boards'!$B$2:$E$156,2,FALSE)</f>
        <v>830096</v>
      </c>
      <c r="M4443">
        <f>VLOOKUP(Query1[[#This Row],[Description]],'kits to boards'!$B$2:$E$156,3,FALSE)</f>
        <v>0</v>
      </c>
      <c r="N4443">
        <f>VLOOKUP(Query1[[#This Row],[Description]],'kits to boards'!$B$2:$E$156,4,FALSE)</f>
        <v>0</v>
      </c>
      <c r="O4443" t="str">
        <f>CONCATENATE(Query1[[#This Row],[Description]]," - ",Query1[[#This Row],[MB1]]," - ",Query1[[#This Row],[MB2]]," - ",Query1[[#This Row],[MB3]])</f>
        <v>EVAP KIT 62-65 NOVA - 830096 - 0 - 0</v>
      </c>
    </row>
    <row r="4444" spans="1:15" x14ac:dyDescent="0.25">
      <c r="A4444" s="1">
        <v>920302</v>
      </c>
      <c r="B4444" s="1" t="s">
        <v>102</v>
      </c>
      <c r="C4444" s="1" t="s">
        <v>103</v>
      </c>
      <c r="D4444" s="2">
        <v>44676.623951504633</v>
      </c>
      <c r="E4444" s="1" t="s">
        <v>8</v>
      </c>
      <c r="F4444" s="1">
        <v>1</v>
      </c>
      <c r="G4444" s="1">
        <v>0</v>
      </c>
      <c r="H4444" s="6">
        <f>INT(Query1[[#This Row],[EntryDateTime]])</f>
        <v>44676</v>
      </c>
      <c r="I4444" s="1">
        <f>IF(Query1[[#This Row],[ItemType]]="EVAP KIT SF GEN IV",Query1[[#This Row],[OrderQty]]+I4443,I4443)</f>
        <v>5470</v>
      </c>
      <c r="J4444" s="1">
        <f>IF(Query1[[#This Row],[ItemType]]="EVAP KIT UNIVERSAL",Query1[[#This Row],[OrderQty]]+J4443,J4443)</f>
        <v>1794</v>
      </c>
      <c r="K4444" s="1">
        <f>Query1[[#This Row],[SF Running Total]]+Query1[[#This Row],[UNIV Running Total]]</f>
        <v>7264</v>
      </c>
      <c r="L4444">
        <f>VLOOKUP(Query1[[#This Row],[Description]],'kits to boards'!$B$2:$E$156,2,FALSE)</f>
        <v>830012</v>
      </c>
      <c r="M4444">
        <f>VLOOKUP(Query1[[#This Row],[Description]],'kits to boards'!$B$2:$E$156,3,FALSE)</f>
        <v>0</v>
      </c>
      <c r="N4444">
        <f>VLOOKUP(Query1[[#This Row],[Description]],'kits to boards'!$B$2:$E$156,4,FALSE)</f>
        <v>0</v>
      </c>
      <c r="O4444" t="str">
        <f>CONCATENATE(Query1[[#This Row],[Description]]," - ",Query1[[#This Row],[MB1]]," - ",Query1[[#This Row],[MB2]]," - ",Query1[[#This Row],[MB3]])</f>
        <v>EVAP KIT 69 CAMARO WO/AC - 830012 - 0 - 0</v>
      </c>
    </row>
    <row r="4445" spans="1:15" x14ac:dyDescent="0.25">
      <c r="A4445" s="1">
        <v>921083</v>
      </c>
      <c r="B4445" s="1" t="s">
        <v>12</v>
      </c>
      <c r="C4445" s="1" t="s">
        <v>13</v>
      </c>
      <c r="D4445" s="2">
        <v>44676.660243668979</v>
      </c>
      <c r="E4445" s="1" t="s">
        <v>8</v>
      </c>
      <c r="F4445" s="1">
        <v>1</v>
      </c>
      <c r="G4445" s="1">
        <v>0</v>
      </c>
      <c r="H4445" s="6">
        <f>INT(Query1[[#This Row],[EntryDateTime]])</f>
        <v>44676</v>
      </c>
      <c r="I4445" s="1">
        <f>IF(Query1[[#This Row],[ItemType]]="EVAP KIT SF GEN IV",Query1[[#This Row],[OrderQty]]+I4444,I4444)</f>
        <v>5471</v>
      </c>
      <c r="J4445" s="1">
        <f>IF(Query1[[#This Row],[ItemType]]="EVAP KIT UNIVERSAL",Query1[[#This Row],[OrderQty]]+J4444,J4444)</f>
        <v>1794</v>
      </c>
      <c r="K4445" s="1">
        <f>Query1[[#This Row],[SF Running Total]]+Query1[[#This Row],[UNIV Running Total]]</f>
        <v>7265</v>
      </c>
      <c r="L4445">
        <f>VLOOKUP(Query1[[#This Row],[Description]],'kits to boards'!$B$2:$E$156,2,FALSE)</f>
        <v>830079</v>
      </c>
      <c r="M4445">
        <f>VLOOKUP(Query1[[#This Row],[Description]],'kits to boards'!$B$2:$E$156,3,FALSE)</f>
        <v>830046</v>
      </c>
      <c r="N4445">
        <f>VLOOKUP(Query1[[#This Row],[Description]],'kits to boards'!$B$2:$E$156,4,FALSE)</f>
        <v>0</v>
      </c>
      <c r="O4445" t="str">
        <f>CONCATENATE(Query1[[#This Row],[Description]]," - ",Query1[[#This Row],[MB1]]," - ",Query1[[#This Row],[MB2]]," - ",Query1[[#This Row],[MB3]])</f>
        <v>EVAP KIT 67-68 MUSTANG/COUGAR W/AC - 830079 - 830046 - 0</v>
      </c>
    </row>
    <row r="4446" spans="1:15" x14ac:dyDescent="0.25">
      <c r="A4446" s="1">
        <v>920963</v>
      </c>
      <c r="B4446" s="1" t="s">
        <v>9</v>
      </c>
      <c r="C4446" s="1" t="s">
        <v>10</v>
      </c>
      <c r="D4446" s="2">
        <v>44676.669878043984</v>
      </c>
      <c r="E4446" s="1" t="s">
        <v>11</v>
      </c>
      <c r="F4446" s="1">
        <v>1</v>
      </c>
      <c r="G4446" s="1">
        <v>0</v>
      </c>
      <c r="H4446" s="6">
        <f>INT(Query1[[#This Row],[EntryDateTime]])</f>
        <v>44676</v>
      </c>
      <c r="I4446" s="1">
        <f>IF(Query1[[#This Row],[ItemType]]="EVAP KIT SF GEN IV",Query1[[#This Row],[OrderQty]]+I4445,I4445)</f>
        <v>5471</v>
      </c>
      <c r="J4446" s="1">
        <f>IF(Query1[[#This Row],[ItemType]]="EVAP KIT UNIVERSAL",Query1[[#This Row],[OrderQty]]+J4445,J4445)</f>
        <v>1795</v>
      </c>
      <c r="K4446" s="1">
        <f>Query1[[#This Row],[SF Running Total]]+Query1[[#This Row],[UNIV Running Total]]</f>
        <v>7266</v>
      </c>
      <c r="L4446">
        <f>VLOOKUP(Query1[[#This Row],[Description]],'kits to boards'!$B$2:$E$156,2,FALSE)</f>
        <v>830069</v>
      </c>
      <c r="M4446">
        <f>VLOOKUP(Query1[[#This Row],[Description]],'kits to boards'!$B$2:$E$156,3,FALSE)</f>
        <v>0</v>
      </c>
      <c r="N4446">
        <f>VLOOKUP(Query1[[#This Row],[Description]],'kits to boards'!$B$2:$E$156,4,FALSE)</f>
        <v>0</v>
      </c>
      <c r="O4446" t="str">
        <f>CONCATENATE(Query1[[#This Row],[Description]]," - ",Query1[[#This Row],[MB1]]," - ",Query1[[#This Row],[MB2]]," - ",Query1[[#This Row],[MB3]])</f>
        <v>SLIMLINE H/C W/DEF STD LOUVER - 830069 - 0 - 0</v>
      </c>
    </row>
    <row r="4447" spans="1:15" x14ac:dyDescent="0.25">
      <c r="A4447" s="1">
        <v>921093</v>
      </c>
      <c r="B4447" s="1" t="s">
        <v>16</v>
      </c>
      <c r="C4447" s="1" t="s">
        <v>17</v>
      </c>
      <c r="D4447" s="2">
        <v>44676.680708333333</v>
      </c>
      <c r="E4447" s="1" t="s">
        <v>8</v>
      </c>
      <c r="F4447" s="1">
        <v>1</v>
      </c>
      <c r="G4447" s="1">
        <v>0</v>
      </c>
      <c r="H4447" s="6">
        <f>INT(Query1[[#This Row],[EntryDateTime]])</f>
        <v>44676</v>
      </c>
      <c r="I4447" s="1">
        <f>IF(Query1[[#This Row],[ItemType]]="EVAP KIT SF GEN IV",Query1[[#This Row],[OrderQty]]+I4446,I4446)</f>
        <v>5472</v>
      </c>
      <c r="J4447" s="1">
        <f>IF(Query1[[#This Row],[ItemType]]="EVAP KIT UNIVERSAL",Query1[[#This Row],[OrderQty]]+J4446,J4446)</f>
        <v>1795</v>
      </c>
      <c r="K4447" s="1">
        <f>Query1[[#This Row],[SF Running Total]]+Query1[[#This Row],[UNIV Running Total]]</f>
        <v>7267</v>
      </c>
      <c r="L4447">
        <f>VLOOKUP(Query1[[#This Row],[Description]],'kits to boards'!$B$2:$E$156,2,FALSE)</f>
        <v>830061</v>
      </c>
      <c r="M4447">
        <f>VLOOKUP(Query1[[#This Row],[Description]],'kits to boards'!$B$2:$E$156,3,FALSE)</f>
        <v>0</v>
      </c>
      <c r="N4447">
        <f>VLOOKUP(Query1[[#This Row],[Description]],'kits to boards'!$B$2:$E$156,4,FALSE)</f>
        <v>0</v>
      </c>
      <c r="O4447" t="str">
        <f>CONCATENATE(Query1[[#This Row],[Description]]," - ",Query1[[#This Row],[MB1]]," - ",Query1[[#This Row],[MB2]]," - ",Query1[[#This Row],[MB3]])</f>
        <v>EVAP KIT 68-69 CHEVELLE W/AC - 830061 - 0 - 0</v>
      </c>
    </row>
    <row r="4448" spans="1:15" x14ac:dyDescent="0.25">
      <c r="A4448" s="1">
        <v>921099</v>
      </c>
      <c r="B4448" s="1" t="s">
        <v>156</v>
      </c>
      <c r="C4448" s="1" t="s">
        <v>157</v>
      </c>
      <c r="D4448" s="2">
        <v>44676.696686921299</v>
      </c>
      <c r="E4448" s="1" t="s">
        <v>8</v>
      </c>
      <c r="F4448" s="1">
        <v>1</v>
      </c>
      <c r="G4448" s="1">
        <v>0</v>
      </c>
      <c r="H4448" s="6">
        <f>INT(Query1[[#This Row],[EntryDateTime]])</f>
        <v>44676</v>
      </c>
      <c r="I4448" s="1">
        <f>IF(Query1[[#This Row],[ItemType]]="EVAP KIT SF GEN IV",Query1[[#This Row],[OrderQty]]+I4447,I4447)</f>
        <v>5473</v>
      </c>
      <c r="J4448" s="1">
        <f>IF(Query1[[#This Row],[ItemType]]="EVAP KIT UNIVERSAL",Query1[[#This Row],[OrderQty]]+J4447,J4447)</f>
        <v>1795</v>
      </c>
      <c r="K4448" s="1">
        <f>Query1[[#This Row],[SF Running Total]]+Query1[[#This Row],[UNIV Running Total]]</f>
        <v>7268</v>
      </c>
      <c r="L4448">
        <f>VLOOKUP(Query1[[#This Row],[Description]],'kits to boards'!$B$2:$E$156,2,FALSE)</f>
        <v>830019</v>
      </c>
      <c r="M4448">
        <f>VLOOKUP(Query1[[#This Row],[Description]],'kits to boards'!$B$2:$E$156,3,FALSE)</f>
        <v>0</v>
      </c>
      <c r="N4448">
        <f>VLOOKUP(Query1[[#This Row],[Description]],'kits to boards'!$B$2:$E$156,4,FALSE)</f>
        <v>0</v>
      </c>
      <c r="O4448" t="str">
        <f>CONCATENATE(Query1[[#This Row],[Description]]," - ",Query1[[#This Row],[MB1]]," - ",Query1[[#This Row],[MB2]]," - ",Query1[[#This Row],[MB3]])</f>
        <v>EVAP KIT 70-81 FIREBIRD WO AC - 830019 - 0 - 0</v>
      </c>
    </row>
    <row r="4449" spans="1:15" x14ac:dyDescent="0.25">
      <c r="A4449" s="1">
        <v>921103</v>
      </c>
      <c r="B4449" s="1" t="s">
        <v>98</v>
      </c>
      <c r="C4449" s="1" t="s">
        <v>99</v>
      </c>
      <c r="D4449" s="2">
        <v>44676.707125312503</v>
      </c>
      <c r="E4449" s="1" t="s">
        <v>11</v>
      </c>
      <c r="F4449" s="1">
        <v>1</v>
      </c>
      <c r="G4449" s="1">
        <v>0</v>
      </c>
      <c r="H4449" s="6">
        <f>INT(Query1[[#This Row],[EntryDateTime]])</f>
        <v>44676</v>
      </c>
      <c r="I4449" s="1">
        <f>IF(Query1[[#This Row],[ItemType]]="EVAP KIT SF GEN IV",Query1[[#This Row],[OrderQty]]+I4448,I4448)</f>
        <v>5473</v>
      </c>
      <c r="J4449" s="1">
        <f>IF(Query1[[#This Row],[ItemType]]="EVAP KIT UNIVERSAL",Query1[[#This Row],[OrderQty]]+J4448,J4448)</f>
        <v>1796</v>
      </c>
      <c r="K4449" s="1">
        <f>Query1[[#This Row],[SF Running Total]]+Query1[[#This Row],[UNIV Running Total]]</f>
        <v>7269</v>
      </c>
      <c r="L4449">
        <f>VLOOKUP(Query1[[#This Row],[Description]],'kits to boards'!$B$2:$E$156,2,FALSE)</f>
        <v>830099</v>
      </c>
      <c r="M4449">
        <f>VLOOKUP(Query1[[#This Row],[Description]],'kits to boards'!$B$2:$E$156,3,FALSE)</f>
        <v>0</v>
      </c>
      <c r="N4449">
        <f>VLOOKUP(Query1[[#This Row],[Description]],'kits to boards'!$B$2:$E$156,4,FALSE)</f>
        <v>0</v>
      </c>
      <c r="O4449" t="str">
        <f>CONCATENATE(Query1[[#This Row],[Description]]," - ",Query1[[#This Row],[MB1]]," - ",Query1[[#This Row],[MB2]]," - ",Query1[[#This Row],[MB3]])</f>
        <v>MINI GEN II W/DEF - 830099 - 0 - 0</v>
      </c>
    </row>
    <row r="4450" spans="1:15" x14ac:dyDescent="0.25">
      <c r="A4450" s="1">
        <v>921105</v>
      </c>
      <c r="B4450" s="1" t="s">
        <v>42</v>
      </c>
      <c r="C4450" s="1" t="s">
        <v>43</v>
      </c>
      <c r="D4450" s="2">
        <v>44676.710630937501</v>
      </c>
      <c r="E4450" s="1" t="s">
        <v>8</v>
      </c>
      <c r="F4450" s="1">
        <v>1</v>
      </c>
      <c r="G4450" s="1">
        <v>0</v>
      </c>
      <c r="H4450" s="6">
        <f>INT(Query1[[#This Row],[EntryDateTime]])</f>
        <v>44676</v>
      </c>
      <c r="I4450" s="1">
        <f>IF(Query1[[#This Row],[ItemType]]="EVAP KIT SF GEN IV",Query1[[#This Row],[OrderQty]]+I4449,I4449)</f>
        <v>5474</v>
      </c>
      <c r="J4450" s="1">
        <f>IF(Query1[[#This Row],[ItemType]]="EVAP KIT UNIVERSAL",Query1[[#This Row],[OrderQty]]+J4449,J4449)</f>
        <v>1796</v>
      </c>
      <c r="K4450" s="1">
        <f>Query1[[#This Row],[SF Running Total]]+Query1[[#This Row],[UNIV Running Total]]</f>
        <v>7270</v>
      </c>
      <c r="L4450">
        <f>VLOOKUP(Query1[[#This Row],[Description]],'kits to boards'!$B$2:$E$156,2,FALSE)</f>
        <v>830014</v>
      </c>
      <c r="M4450">
        <f>VLOOKUP(Query1[[#This Row],[Description]],'kits to boards'!$B$2:$E$156,3,FALSE)</f>
        <v>0</v>
      </c>
      <c r="N4450">
        <f>VLOOKUP(Query1[[#This Row],[Description]],'kits to boards'!$B$2:$E$156,4,FALSE)</f>
        <v>0</v>
      </c>
      <c r="O4450" t="str">
        <f>CONCATENATE(Query1[[#This Row],[Description]]," - ",Query1[[#This Row],[MB1]]," - ",Query1[[#This Row],[MB2]]," - ",Query1[[#This Row],[MB3]])</f>
        <v>EVAP KIT 67-72 CHEV P-UP WO AC - 830014 - 0 - 0</v>
      </c>
    </row>
    <row r="4451" spans="1:15" x14ac:dyDescent="0.25">
      <c r="A4451" s="1">
        <v>921107</v>
      </c>
      <c r="B4451" s="1" t="s">
        <v>106</v>
      </c>
      <c r="C4451" s="1" t="s">
        <v>253</v>
      </c>
      <c r="D4451" s="2">
        <v>44677.313288969905</v>
      </c>
      <c r="E4451" s="1" t="s">
        <v>8</v>
      </c>
      <c r="F4451" s="1">
        <v>1</v>
      </c>
      <c r="G4451" s="1">
        <v>0</v>
      </c>
      <c r="H4451" s="6">
        <f>INT(Query1[[#This Row],[EntryDateTime]])</f>
        <v>44677</v>
      </c>
      <c r="I4451" s="1">
        <f>IF(Query1[[#This Row],[ItemType]]="EVAP KIT SF GEN IV",Query1[[#This Row],[OrderQty]]+I4450,I4450)</f>
        <v>5475</v>
      </c>
      <c r="J4451" s="1">
        <f>IF(Query1[[#This Row],[ItemType]]="EVAP KIT UNIVERSAL",Query1[[#This Row],[OrderQty]]+J4450,J4450)</f>
        <v>1796</v>
      </c>
      <c r="K4451" s="1">
        <f>Query1[[#This Row],[SF Running Total]]+Query1[[#This Row],[UNIV Running Total]]</f>
        <v>7271</v>
      </c>
      <c r="L4451">
        <f>VLOOKUP(Query1[[#This Row],[Description]],'kits to boards'!$B$2:$E$156,2,FALSE)</f>
        <v>830028</v>
      </c>
      <c r="M4451">
        <f>VLOOKUP(Query1[[#This Row],[Description]],'kits to boards'!$B$2:$E$156,3,FALSE)</f>
        <v>0</v>
      </c>
      <c r="N4451">
        <f>VLOOKUP(Query1[[#This Row],[Description]],'kits to boards'!$B$2:$E$156,4,FALSE)</f>
        <v>0</v>
      </c>
      <c r="O4451" t="str">
        <f>CONCATENATE(Query1[[#This Row],[Description]]," - ",Query1[[#This Row],[MB1]]," - ",Query1[[#This Row],[MB2]]," - ",Query1[[#This Row],[MB3]])</f>
        <v>EVAP KIT 55-59 CHEV P-UP WO AC W/DELX  - 830028 - 0 - 0</v>
      </c>
    </row>
    <row r="4452" spans="1:15" x14ac:dyDescent="0.25">
      <c r="A4452" s="1">
        <v>921110</v>
      </c>
      <c r="B4452" s="1" t="s">
        <v>22</v>
      </c>
      <c r="C4452" s="1" t="s">
        <v>23</v>
      </c>
      <c r="D4452" s="2">
        <v>44677.317996956015</v>
      </c>
      <c r="E4452" s="1" t="s">
        <v>8</v>
      </c>
      <c r="F4452" s="1">
        <v>4</v>
      </c>
      <c r="G4452" s="1">
        <v>0</v>
      </c>
      <c r="H4452" s="6">
        <f>INT(Query1[[#This Row],[EntryDateTime]])</f>
        <v>44677</v>
      </c>
      <c r="I4452" s="1">
        <f>IF(Query1[[#This Row],[ItemType]]="EVAP KIT SF GEN IV",Query1[[#This Row],[OrderQty]]+I4451,I4451)</f>
        <v>5479</v>
      </c>
      <c r="J4452" s="1">
        <f>IF(Query1[[#This Row],[ItemType]]="EVAP KIT UNIVERSAL",Query1[[#This Row],[OrderQty]]+J4451,J4451)</f>
        <v>1796</v>
      </c>
      <c r="K4452" s="1">
        <f>Query1[[#This Row],[SF Running Total]]+Query1[[#This Row],[UNIV Running Total]]</f>
        <v>7275</v>
      </c>
      <c r="L4452">
        <f>VLOOKUP(Query1[[#This Row],[Description]],'kits to boards'!$B$2:$E$156,2,FALSE)</f>
        <v>830083</v>
      </c>
      <c r="M4452">
        <f>VLOOKUP(Query1[[#This Row],[Description]],'kits to boards'!$B$2:$E$156,3,FALSE)</f>
        <v>0</v>
      </c>
      <c r="N4452">
        <f>VLOOKUP(Query1[[#This Row],[Description]],'kits to boards'!$B$2:$E$156,4,FALSE)</f>
        <v>0</v>
      </c>
      <c r="O4452" t="str">
        <f>CONCATENATE(Query1[[#This Row],[Description]]," - ",Query1[[#This Row],[MB1]]," - ",Query1[[#This Row],[MB2]]," - ",Query1[[#This Row],[MB3]])</f>
        <v>GEN IV MAGNUM EVAP KIT - 830083 - 0 - 0</v>
      </c>
    </row>
    <row r="4453" spans="1:15" x14ac:dyDescent="0.25">
      <c r="A4453" s="1">
        <v>921110</v>
      </c>
      <c r="B4453" s="1" t="s">
        <v>24</v>
      </c>
      <c r="C4453" s="1" t="s">
        <v>25</v>
      </c>
      <c r="D4453" s="2">
        <v>44677.318155937501</v>
      </c>
      <c r="E4453" s="1" t="s">
        <v>11</v>
      </c>
      <c r="F4453" s="1">
        <v>3</v>
      </c>
      <c r="G4453" s="1">
        <v>0</v>
      </c>
      <c r="H4453" s="6">
        <f>INT(Query1[[#This Row],[EntryDateTime]])</f>
        <v>44677</v>
      </c>
      <c r="I4453" s="1">
        <f>IF(Query1[[#This Row],[ItemType]]="EVAP KIT SF GEN IV",Query1[[#This Row],[OrderQty]]+I4452,I4452)</f>
        <v>5479</v>
      </c>
      <c r="J4453" s="1">
        <f>IF(Query1[[#This Row],[ItemType]]="EVAP KIT UNIVERSAL",Query1[[#This Row],[OrderQty]]+J4452,J4452)</f>
        <v>1799</v>
      </c>
      <c r="K4453" s="1">
        <f>Query1[[#This Row],[SF Running Total]]+Query1[[#This Row],[UNIV Running Total]]</f>
        <v>7278</v>
      </c>
      <c r="L4453">
        <f>VLOOKUP(Query1[[#This Row],[Description]],'kits to boards'!$B$2:$E$156,2,FALSE)</f>
        <v>830029</v>
      </c>
      <c r="M4453">
        <f>VLOOKUP(Query1[[#This Row],[Description]],'kits to boards'!$B$2:$E$156,3,FALSE)</f>
        <v>830030</v>
      </c>
      <c r="N4453">
        <f>VLOOKUP(Query1[[#This Row],[Description]],'kits to boards'!$B$2:$E$156,4,FALSE)</f>
        <v>0</v>
      </c>
      <c r="O4453" t="str">
        <f>CONCATENATE(Query1[[#This Row],[Description]]," - ",Query1[[#This Row],[MB1]]," - ",Query1[[#This Row],[MB2]]," - ",Query1[[#This Row],[MB3]])</f>
        <v>ComPac GEN II W/DEF - 830029 - 830030 - 0</v>
      </c>
    </row>
    <row r="4454" spans="1:15" x14ac:dyDescent="0.25">
      <c r="A4454" s="1">
        <v>921110</v>
      </c>
      <c r="B4454" s="1" t="s">
        <v>98</v>
      </c>
      <c r="C4454" s="1" t="s">
        <v>99</v>
      </c>
      <c r="D4454" s="2">
        <v>44677.318289236115</v>
      </c>
      <c r="E4454" s="1" t="s">
        <v>11</v>
      </c>
      <c r="F4454" s="1">
        <v>3</v>
      </c>
      <c r="G4454" s="1">
        <v>0</v>
      </c>
      <c r="H4454" s="6">
        <f>INT(Query1[[#This Row],[EntryDateTime]])</f>
        <v>44677</v>
      </c>
      <c r="I4454" s="1">
        <f>IF(Query1[[#This Row],[ItemType]]="EVAP KIT SF GEN IV",Query1[[#This Row],[OrderQty]]+I4453,I4453)</f>
        <v>5479</v>
      </c>
      <c r="J4454" s="1">
        <f>IF(Query1[[#This Row],[ItemType]]="EVAP KIT UNIVERSAL",Query1[[#This Row],[OrderQty]]+J4453,J4453)</f>
        <v>1802</v>
      </c>
      <c r="K4454" s="1">
        <f>Query1[[#This Row],[SF Running Total]]+Query1[[#This Row],[UNIV Running Total]]</f>
        <v>7281</v>
      </c>
      <c r="L4454">
        <f>VLOOKUP(Query1[[#This Row],[Description]],'kits to boards'!$B$2:$E$156,2,FALSE)</f>
        <v>830099</v>
      </c>
      <c r="M4454">
        <f>VLOOKUP(Query1[[#This Row],[Description]],'kits to boards'!$B$2:$E$156,3,FALSE)</f>
        <v>0</v>
      </c>
      <c r="N4454">
        <f>VLOOKUP(Query1[[#This Row],[Description]],'kits to boards'!$B$2:$E$156,4,FALSE)</f>
        <v>0</v>
      </c>
      <c r="O4454" t="str">
        <f>CONCATENATE(Query1[[#This Row],[Description]]," - ",Query1[[#This Row],[MB1]]," - ",Query1[[#This Row],[MB2]]," - ",Query1[[#This Row],[MB3]])</f>
        <v>MINI GEN II W/DEF - 830099 - 0 - 0</v>
      </c>
    </row>
    <row r="4455" spans="1:15" x14ac:dyDescent="0.25">
      <c r="A4455" s="1">
        <v>921110</v>
      </c>
      <c r="B4455" s="1" t="s">
        <v>42</v>
      </c>
      <c r="C4455" s="1" t="s">
        <v>43</v>
      </c>
      <c r="D4455" s="2">
        <v>44677.318475497683</v>
      </c>
      <c r="E4455" s="1" t="s">
        <v>8</v>
      </c>
      <c r="F4455" s="1">
        <v>1</v>
      </c>
      <c r="G4455" s="1">
        <v>0</v>
      </c>
      <c r="H4455" s="6">
        <f>INT(Query1[[#This Row],[EntryDateTime]])</f>
        <v>44677</v>
      </c>
      <c r="I4455" s="1">
        <f>IF(Query1[[#This Row],[ItemType]]="EVAP KIT SF GEN IV",Query1[[#This Row],[OrderQty]]+I4454,I4454)</f>
        <v>5480</v>
      </c>
      <c r="J4455" s="1">
        <f>IF(Query1[[#This Row],[ItemType]]="EVAP KIT UNIVERSAL",Query1[[#This Row],[OrderQty]]+J4454,J4454)</f>
        <v>1802</v>
      </c>
      <c r="K4455" s="1">
        <f>Query1[[#This Row],[SF Running Total]]+Query1[[#This Row],[UNIV Running Total]]</f>
        <v>7282</v>
      </c>
      <c r="L4455">
        <f>VLOOKUP(Query1[[#This Row],[Description]],'kits to boards'!$B$2:$E$156,2,FALSE)</f>
        <v>830014</v>
      </c>
      <c r="M4455">
        <f>VLOOKUP(Query1[[#This Row],[Description]],'kits to boards'!$B$2:$E$156,3,FALSE)</f>
        <v>0</v>
      </c>
      <c r="N4455">
        <f>VLOOKUP(Query1[[#This Row],[Description]],'kits to boards'!$B$2:$E$156,4,FALSE)</f>
        <v>0</v>
      </c>
      <c r="O4455" t="str">
        <f>CONCATENATE(Query1[[#This Row],[Description]]," - ",Query1[[#This Row],[MB1]]," - ",Query1[[#This Row],[MB2]]," - ",Query1[[#This Row],[MB3]])</f>
        <v>EVAP KIT 67-72 CHEV P-UP WO AC - 830014 - 0 - 0</v>
      </c>
    </row>
    <row r="4456" spans="1:15" x14ac:dyDescent="0.25">
      <c r="A4456" s="1">
        <v>921110</v>
      </c>
      <c r="B4456" s="1" t="s">
        <v>52</v>
      </c>
      <c r="C4456" s="1" t="s">
        <v>53</v>
      </c>
      <c r="D4456" s="2">
        <v>44677.318595914352</v>
      </c>
      <c r="E4456" s="1" t="s">
        <v>8</v>
      </c>
      <c r="F4456" s="1">
        <v>1</v>
      </c>
      <c r="G4456" s="1">
        <v>0</v>
      </c>
      <c r="H4456" s="6">
        <f>INT(Query1[[#This Row],[EntryDateTime]])</f>
        <v>44677</v>
      </c>
      <c r="I4456" s="1">
        <f>IF(Query1[[#This Row],[ItemType]]="EVAP KIT SF GEN IV",Query1[[#This Row],[OrderQty]]+I4455,I4455)</f>
        <v>5481</v>
      </c>
      <c r="J4456" s="1">
        <f>IF(Query1[[#This Row],[ItemType]]="EVAP KIT UNIVERSAL",Query1[[#This Row],[OrderQty]]+J4455,J4455)</f>
        <v>1802</v>
      </c>
      <c r="K4456" s="1">
        <f>Query1[[#This Row],[SF Running Total]]+Query1[[#This Row],[UNIV Running Total]]</f>
        <v>7283</v>
      </c>
      <c r="L4456">
        <f>VLOOKUP(Query1[[#This Row],[Description]],'kits to boards'!$B$2:$E$156,2,FALSE)</f>
        <v>830017</v>
      </c>
      <c r="M4456">
        <f>VLOOKUP(Query1[[#This Row],[Description]],'kits to boards'!$B$2:$E$156,3,FALSE)</f>
        <v>830119</v>
      </c>
      <c r="N4456">
        <f>VLOOKUP(Query1[[#This Row],[Description]],'kits to boards'!$B$2:$E$156,4,FALSE)</f>
        <v>830120</v>
      </c>
      <c r="O4456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4457" spans="1:15" x14ac:dyDescent="0.25">
      <c r="A4457" s="1">
        <v>921110</v>
      </c>
      <c r="B4457" s="1" t="s">
        <v>126</v>
      </c>
      <c r="C4457" s="1" t="s">
        <v>127</v>
      </c>
      <c r="D4457" s="2">
        <v>44677.318961030091</v>
      </c>
      <c r="E4457" s="1" t="s">
        <v>8</v>
      </c>
      <c r="F4457" s="1">
        <v>1</v>
      </c>
      <c r="G4457" s="1">
        <v>0</v>
      </c>
      <c r="H4457" s="6">
        <f>INT(Query1[[#This Row],[EntryDateTime]])</f>
        <v>44677</v>
      </c>
      <c r="I4457" s="1">
        <f>IF(Query1[[#This Row],[ItemType]]="EVAP KIT SF GEN IV",Query1[[#This Row],[OrderQty]]+I4456,I4456)</f>
        <v>5482</v>
      </c>
      <c r="J4457" s="1">
        <f>IF(Query1[[#This Row],[ItemType]]="EVAP KIT UNIVERSAL",Query1[[#This Row],[OrderQty]]+J4456,J4456)</f>
        <v>1802</v>
      </c>
      <c r="K4457" s="1">
        <f>Query1[[#This Row],[SF Running Total]]+Query1[[#This Row],[UNIV Running Total]]</f>
        <v>7284</v>
      </c>
      <c r="L4457">
        <f>VLOOKUP(Query1[[#This Row],[Description]],'kits to boards'!$B$2:$E$156,2,FALSE)</f>
        <v>830080</v>
      </c>
      <c r="M4457">
        <f>VLOOKUP(Query1[[#This Row],[Description]],'kits to boards'!$B$2:$E$156,3,FALSE)</f>
        <v>0</v>
      </c>
      <c r="N4457">
        <f>VLOOKUP(Query1[[#This Row],[Description]],'kits to boards'!$B$2:$E$156,4,FALSE)</f>
        <v>0</v>
      </c>
      <c r="O4457" t="str">
        <f>CONCATENATE(Query1[[#This Row],[Description]]," - ",Query1[[#This Row],[MB1]]," - ",Query1[[#This Row],[MB2]]," - ",Query1[[#This Row],[MB3]])</f>
        <v>EVAP KIT 69-70 MUSTANG WO AC  - 830080 - 0 - 0</v>
      </c>
    </row>
    <row r="4458" spans="1:15" x14ac:dyDescent="0.25">
      <c r="A4458" s="1">
        <v>921110</v>
      </c>
      <c r="B4458" s="1" t="s">
        <v>36</v>
      </c>
      <c r="C4458" s="1" t="s">
        <v>37</v>
      </c>
      <c r="D4458" s="2">
        <v>44677.31957939815</v>
      </c>
      <c r="E4458" s="1" t="s">
        <v>8</v>
      </c>
      <c r="F4458" s="1">
        <v>1</v>
      </c>
      <c r="G4458" s="1">
        <v>0</v>
      </c>
      <c r="H4458" s="6">
        <f>INT(Query1[[#This Row],[EntryDateTime]])</f>
        <v>44677</v>
      </c>
      <c r="I4458" s="1">
        <f>IF(Query1[[#This Row],[ItemType]]="EVAP KIT SF GEN IV",Query1[[#This Row],[OrderQty]]+I4457,I4457)</f>
        <v>5483</v>
      </c>
      <c r="J4458" s="1">
        <f>IF(Query1[[#This Row],[ItemType]]="EVAP KIT UNIVERSAL",Query1[[#This Row],[OrderQty]]+J4457,J4457)</f>
        <v>1802</v>
      </c>
      <c r="K4458" s="1">
        <f>Query1[[#This Row],[SF Running Total]]+Query1[[#This Row],[UNIV Running Total]]</f>
        <v>7285</v>
      </c>
      <c r="L4458">
        <f>VLOOKUP(Query1[[#This Row],[Description]],'kits to boards'!$B$2:$E$156,2,FALSE)</f>
        <v>830015</v>
      </c>
      <c r="M4458">
        <f>VLOOKUP(Query1[[#This Row],[Description]],'kits to boards'!$B$2:$E$156,3,FALSE)</f>
        <v>0</v>
      </c>
      <c r="N4458">
        <f>VLOOKUP(Query1[[#This Row],[Description]],'kits to boards'!$B$2:$E$156,4,FALSE)</f>
        <v>0</v>
      </c>
      <c r="O4458" t="str">
        <f>CONCATENATE(Query1[[#This Row],[Description]]," - ",Query1[[#This Row],[MB1]]," - ",Query1[[#This Row],[MB2]]," - ",Query1[[#This Row],[MB3]])</f>
        <v>EVAP KIT 64-66 CHEV P-UP WO AC W/STD - 830015 - 0 - 0</v>
      </c>
    </row>
    <row r="4459" spans="1:15" x14ac:dyDescent="0.25">
      <c r="A4459" s="1">
        <v>921112</v>
      </c>
      <c r="B4459" s="1" t="s">
        <v>46</v>
      </c>
      <c r="C4459" s="1" t="s">
        <v>47</v>
      </c>
      <c r="D4459" s="2">
        <v>44677.319768981484</v>
      </c>
      <c r="E4459" s="1" t="s">
        <v>8</v>
      </c>
      <c r="F4459" s="1">
        <v>1</v>
      </c>
      <c r="G4459" s="1">
        <v>0</v>
      </c>
      <c r="H4459" s="6">
        <f>INT(Query1[[#This Row],[EntryDateTime]])</f>
        <v>44677</v>
      </c>
      <c r="I4459" s="1">
        <f>IF(Query1[[#This Row],[ItemType]]="EVAP KIT SF GEN IV",Query1[[#This Row],[OrderQty]]+I4458,I4458)</f>
        <v>5484</v>
      </c>
      <c r="J4459" s="1">
        <f>IF(Query1[[#This Row],[ItemType]]="EVAP KIT UNIVERSAL",Query1[[#This Row],[OrderQty]]+J4458,J4458)</f>
        <v>1802</v>
      </c>
      <c r="K4459" s="1">
        <f>Query1[[#This Row],[SF Running Total]]+Query1[[#This Row],[UNIV Running Total]]</f>
        <v>7286</v>
      </c>
      <c r="L4459">
        <f>VLOOKUP(Query1[[#This Row],[Description]],'kits to boards'!$B$2:$E$156,2,FALSE)</f>
        <v>830018</v>
      </c>
      <c r="M4459">
        <f>VLOOKUP(Query1[[#This Row],[Description]],'kits to boards'!$B$2:$E$156,3,FALSE)</f>
        <v>0</v>
      </c>
      <c r="N4459">
        <f>VLOOKUP(Query1[[#This Row],[Description]],'kits to boards'!$B$2:$E$156,4,FALSE)</f>
        <v>0</v>
      </c>
      <c r="O4459" t="str">
        <f>CONCATENATE(Query1[[#This Row],[Description]]," - ",Query1[[#This Row],[MB1]]," - ",Query1[[#This Row],[MB2]]," - ",Query1[[#This Row],[MB3]])</f>
        <v>EVAP KIT 68-72 FORD P-UP F-100 - 830018 - 0 - 0</v>
      </c>
    </row>
    <row r="4460" spans="1:15" x14ac:dyDescent="0.25">
      <c r="A4460" s="1">
        <v>921110</v>
      </c>
      <c r="B4460" s="1" t="s">
        <v>62</v>
      </c>
      <c r="C4460" s="1" t="s">
        <v>63</v>
      </c>
      <c r="D4460" s="2">
        <v>44677.320633298608</v>
      </c>
      <c r="E4460" s="1" t="s">
        <v>8</v>
      </c>
      <c r="F4460" s="1">
        <v>1</v>
      </c>
      <c r="G4460" s="1">
        <v>0</v>
      </c>
      <c r="H4460" s="6">
        <f>INT(Query1[[#This Row],[EntryDateTime]])</f>
        <v>44677</v>
      </c>
      <c r="I4460" s="1">
        <f>IF(Query1[[#This Row],[ItemType]]="EVAP KIT SF GEN IV",Query1[[#This Row],[OrderQty]]+I4459,I4459)</f>
        <v>5485</v>
      </c>
      <c r="J4460" s="1">
        <f>IF(Query1[[#This Row],[ItemType]]="EVAP KIT UNIVERSAL",Query1[[#This Row],[OrderQty]]+J4459,J4459)</f>
        <v>1802</v>
      </c>
      <c r="K4460" s="1">
        <f>Query1[[#This Row],[SF Running Total]]+Query1[[#This Row],[UNIV Running Total]]</f>
        <v>7287</v>
      </c>
      <c r="L4460">
        <f>VLOOKUP(Query1[[#This Row],[Description]],'kits to boards'!$B$2:$E$156,2,FALSE)</f>
        <v>830079</v>
      </c>
      <c r="M4460">
        <f>VLOOKUP(Query1[[#This Row],[Description]],'kits to boards'!$B$2:$E$156,3,FALSE)</f>
        <v>830046</v>
      </c>
      <c r="N4460">
        <f>VLOOKUP(Query1[[#This Row],[Description]],'kits to boards'!$B$2:$E$156,4,FALSE)</f>
        <v>0</v>
      </c>
      <c r="O4460" t="str">
        <f>CONCATENATE(Query1[[#This Row],[Description]]," - ",Query1[[#This Row],[MB1]]," - ",Query1[[#This Row],[MB2]]," - ",Query1[[#This Row],[MB3]])</f>
        <v>EVAP KIT 67-68 MUSTANG/COUGAR WO AC - 830079 - 830046 - 0</v>
      </c>
    </row>
    <row r="4461" spans="1:15" x14ac:dyDescent="0.25">
      <c r="A4461" s="1">
        <v>921110</v>
      </c>
      <c r="B4461" s="1" t="s">
        <v>273</v>
      </c>
      <c r="C4461" s="1" t="s">
        <v>274</v>
      </c>
      <c r="D4461" s="2">
        <v>44677.321186493056</v>
      </c>
      <c r="E4461" s="1" t="s">
        <v>8</v>
      </c>
      <c r="F4461" s="1">
        <v>1</v>
      </c>
      <c r="G4461" s="1">
        <v>0</v>
      </c>
      <c r="H4461" s="6">
        <f>INT(Query1[[#This Row],[EntryDateTime]])</f>
        <v>44677</v>
      </c>
      <c r="I4461" s="1">
        <f>IF(Query1[[#This Row],[ItemType]]="EVAP KIT SF GEN IV",Query1[[#This Row],[OrderQty]]+I4460,I4460)</f>
        <v>5486</v>
      </c>
      <c r="J4461" s="1">
        <f>IF(Query1[[#This Row],[ItemType]]="EVAP KIT UNIVERSAL",Query1[[#This Row],[OrderQty]]+J4460,J4460)</f>
        <v>1802</v>
      </c>
      <c r="K4461" s="1">
        <f>Query1[[#This Row],[SF Running Total]]+Query1[[#This Row],[UNIV Running Total]]</f>
        <v>7288</v>
      </c>
      <c r="L4461">
        <f>VLOOKUP(Query1[[#This Row],[Description]],'kits to boards'!$B$2:$E$156,2,FALSE)</f>
        <v>830056</v>
      </c>
      <c r="M4461">
        <f>VLOOKUP(Query1[[#This Row],[Description]],'kits to boards'!$B$2:$E$156,3,FALSE)</f>
        <v>0</v>
      </c>
      <c r="N4461">
        <f>VLOOKUP(Query1[[#This Row],[Description]],'kits to boards'!$B$2:$E$156,4,FALSE)</f>
        <v>0</v>
      </c>
      <c r="O4461" t="str">
        <f>CONCATENATE(Query1[[#This Row],[Description]]," - ",Query1[[#This Row],[MB1]]," - ",Query1[[#This Row],[MB2]]," - ",Query1[[#This Row],[MB3]])</f>
        <v>EVAP KIT 64-65 CHEVELLE W/AC - 830056 - 0 - 0</v>
      </c>
    </row>
    <row r="4462" spans="1:15" x14ac:dyDescent="0.25">
      <c r="A4462" s="1">
        <v>921110</v>
      </c>
      <c r="B4462" s="1" t="s">
        <v>226</v>
      </c>
      <c r="C4462" s="1" t="s">
        <v>227</v>
      </c>
      <c r="D4462" s="2">
        <v>44677.321922569441</v>
      </c>
      <c r="E4462" s="1" t="s">
        <v>8</v>
      </c>
      <c r="F4462" s="1">
        <v>1</v>
      </c>
      <c r="G4462" s="1">
        <v>0</v>
      </c>
      <c r="H4462" s="6">
        <f>INT(Query1[[#This Row],[EntryDateTime]])</f>
        <v>44677</v>
      </c>
      <c r="I4462" s="1">
        <f>IF(Query1[[#This Row],[ItemType]]="EVAP KIT SF GEN IV",Query1[[#This Row],[OrderQty]]+I4461,I4461)</f>
        <v>5487</v>
      </c>
      <c r="J4462" s="1">
        <f>IF(Query1[[#This Row],[ItemType]]="EVAP KIT UNIVERSAL",Query1[[#This Row],[OrderQty]]+J4461,J4461)</f>
        <v>1802</v>
      </c>
      <c r="K4462" s="1">
        <f>Query1[[#This Row],[SF Running Total]]+Query1[[#This Row],[UNIV Running Total]]</f>
        <v>7289</v>
      </c>
      <c r="L4462">
        <f>VLOOKUP(Query1[[#This Row],[Description]],'kits to boards'!$B$2:$E$156,2,FALSE)</f>
        <v>830124</v>
      </c>
      <c r="M4462">
        <f>VLOOKUP(Query1[[#This Row],[Description]],'kits to boards'!$B$2:$E$156,3,FALSE)</f>
        <v>0</v>
      </c>
      <c r="N4462">
        <f>VLOOKUP(Query1[[#This Row],[Description]],'kits to boards'!$B$2:$E$156,4,FALSE)</f>
        <v>0</v>
      </c>
      <c r="O4462" t="str">
        <f>CONCATENATE(Query1[[#This Row],[Description]]," - ",Query1[[#This Row],[MB1]]," - ",Query1[[#This Row],[MB2]]," - ",Query1[[#This Row],[MB3]])</f>
        <v>EVAP KIT 70-72 GTO W/AC - 830124 - 0 - 0</v>
      </c>
    </row>
    <row r="4463" spans="1:15" x14ac:dyDescent="0.25">
      <c r="A4463" s="1">
        <v>920410</v>
      </c>
      <c r="B4463" s="1" t="s">
        <v>126</v>
      </c>
      <c r="C4463" s="1" t="s">
        <v>127</v>
      </c>
      <c r="D4463" s="2">
        <v>44677.321937615743</v>
      </c>
      <c r="E4463" s="1" t="s">
        <v>8</v>
      </c>
      <c r="F4463" s="1">
        <v>1</v>
      </c>
      <c r="G4463" s="1">
        <v>0</v>
      </c>
      <c r="H4463" s="6">
        <f>INT(Query1[[#This Row],[EntryDateTime]])</f>
        <v>44677</v>
      </c>
      <c r="I4463" s="1">
        <f>IF(Query1[[#This Row],[ItemType]]="EVAP KIT SF GEN IV",Query1[[#This Row],[OrderQty]]+I4462,I4462)</f>
        <v>5488</v>
      </c>
      <c r="J4463" s="1">
        <f>IF(Query1[[#This Row],[ItemType]]="EVAP KIT UNIVERSAL",Query1[[#This Row],[OrderQty]]+J4462,J4462)</f>
        <v>1802</v>
      </c>
      <c r="K4463" s="1">
        <f>Query1[[#This Row],[SF Running Total]]+Query1[[#This Row],[UNIV Running Total]]</f>
        <v>7290</v>
      </c>
      <c r="L4463">
        <f>VLOOKUP(Query1[[#This Row],[Description]],'kits to boards'!$B$2:$E$156,2,FALSE)</f>
        <v>830080</v>
      </c>
      <c r="M4463">
        <f>VLOOKUP(Query1[[#This Row],[Description]],'kits to boards'!$B$2:$E$156,3,FALSE)</f>
        <v>0</v>
      </c>
      <c r="N4463">
        <f>VLOOKUP(Query1[[#This Row],[Description]],'kits to boards'!$B$2:$E$156,4,FALSE)</f>
        <v>0</v>
      </c>
      <c r="O4463" t="str">
        <f>CONCATENATE(Query1[[#This Row],[Description]]," - ",Query1[[#This Row],[MB1]]," - ",Query1[[#This Row],[MB2]]," - ",Query1[[#This Row],[MB3]])</f>
        <v>EVAP KIT 69-70 MUSTANG WO AC  - 830080 - 0 - 0</v>
      </c>
    </row>
    <row r="4464" spans="1:15" x14ac:dyDescent="0.25">
      <c r="A4464" s="1">
        <v>919897</v>
      </c>
      <c r="B4464" s="1" t="s">
        <v>30</v>
      </c>
      <c r="C4464" s="1" t="s">
        <v>31</v>
      </c>
      <c r="D4464" s="2">
        <v>44677.324750844906</v>
      </c>
      <c r="E4464" s="1" t="s">
        <v>8</v>
      </c>
      <c r="F4464" s="1">
        <v>1</v>
      </c>
      <c r="G4464" s="1">
        <v>0</v>
      </c>
      <c r="H4464" s="6">
        <f>INT(Query1[[#This Row],[EntryDateTime]])</f>
        <v>44677</v>
      </c>
      <c r="I4464" s="1">
        <f>IF(Query1[[#This Row],[ItemType]]="EVAP KIT SF GEN IV",Query1[[#This Row],[OrderQty]]+I4463,I4463)</f>
        <v>5489</v>
      </c>
      <c r="J4464" s="1">
        <f>IF(Query1[[#This Row],[ItemType]]="EVAP KIT UNIVERSAL",Query1[[#This Row],[OrderQty]]+J4463,J4463)</f>
        <v>1802</v>
      </c>
      <c r="K4464" s="1">
        <f>Query1[[#This Row],[SF Running Total]]+Query1[[#This Row],[UNIV Running Total]]</f>
        <v>7291</v>
      </c>
      <c r="L4464">
        <f>VLOOKUP(Query1[[#This Row],[Description]],'kits to boards'!$B$2:$E$156,2,FALSE)</f>
        <v>830054</v>
      </c>
      <c r="M4464">
        <f>VLOOKUP(Query1[[#This Row],[Description]],'kits to boards'!$B$2:$E$156,3,FALSE)</f>
        <v>0</v>
      </c>
      <c r="N4464">
        <f>VLOOKUP(Query1[[#This Row],[Description]],'kits to boards'!$B$2:$E$156,4,FALSE)</f>
        <v>0</v>
      </c>
      <c r="O4464" t="str">
        <f>CONCATENATE(Query1[[#This Row],[Description]]," - ",Query1[[#This Row],[MB1]]," - ",Query1[[#This Row],[MB2]]," - ",Query1[[#This Row],[MB3]])</f>
        <v>EVAP KIT 55-56 CHEVY 4-VENT - 830054 - 0 - 0</v>
      </c>
    </row>
    <row r="4465" spans="1:15" x14ac:dyDescent="0.25">
      <c r="A4465" s="1">
        <v>921118</v>
      </c>
      <c r="B4465" s="1" t="s">
        <v>48</v>
      </c>
      <c r="C4465" s="1" t="s">
        <v>49</v>
      </c>
      <c r="D4465" s="2">
        <v>44677.326016400461</v>
      </c>
      <c r="E4465" s="1" t="s">
        <v>8</v>
      </c>
      <c r="F4465" s="1">
        <v>1</v>
      </c>
      <c r="G4465" s="1">
        <v>0</v>
      </c>
      <c r="H4465" s="6">
        <f>INT(Query1[[#This Row],[EntryDateTime]])</f>
        <v>44677</v>
      </c>
      <c r="I4465" s="1">
        <f>IF(Query1[[#This Row],[ItemType]]="EVAP KIT SF GEN IV",Query1[[#This Row],[OrderQty]]+I4464,I4464)</f>
        <v>5490</v>
      </c>
      <c r="J4465" s="1">
        <f>IF(Query1[[#This Row],[ItemType]]="EVAP KIT UNIVERSAL",Query1[[#This Row],[OrderQty]]+J4464,J4464)</f>
        <v>1802</v>
      </c>
      <c r="K4465" s="1">
        <f>Query1[[#This Row],[SF Running Total]]+Query1[[#This Row],[UNIV Running Total]]</f>
        <v>7292</v>
      </c>
      <c r="L4465">
        <f>VLOOKUP(Query1[[#This Row],[Description]],'kits to boards'!$B$2:$E$156,2,FALSE)</f>
        <v>830015</v>
      </c>
      <c r="M4465">
        <f>VLOOKUP(Query1[[#This Row],[Description]],'kits to boards'!$B$2:$E$156,3,FALSE)</f>
        <v>0</v>
      </c>
      <c r="N4465">
        <f>VLOOKUP(Query1[[#This Row],[Description]],'kits to boards'!$B$2:$E$156,4,FALSE)</f>
        <v>0</v>
      </c>
      <c r="O4465" t="str">
        <f>CONCATENATE(Query1[[#This Row],[Description]]," - ",Query1[[#This Row],[MB1]]," - ",Query1[[#This Row],[MB2]]," - ",Query1[[#This Row],[MB3]])</f>
        <v>EVAP KIT 64-66 CHEV P-UP WO AC W/DELX - 830015 - 0 - 0</v>
      </c>
    </row>
    <row r="4466" spans="1:15" x14ac:dyDescent="0.25">
      <c r="A4466" s="1">
        <v>919671</v>
      </c>
      <c r="B4466" s="1" t="s">
        <v>34</v>
      </c>
      <c r="C4466" s="1" t="s">
        <v>35</v>
      </c>
      <c r="D4466" s="2">
        <v>44677.328909027776</v>
      </c>
      <c r="E4466" s="1" t="s">
        <v>8</v>
      </c>
      <c r="F4466" s="1">
        <v>1</v>
      </c>
      <c r="G4466" s="1">
        <v>0</v>
      </c>
      <c r="H4466" s="6">
        <f>INT(Query1[[#This Row],[EntryDateTime]])</f>
        <v>44677</v>
      </c>
      <c r="I4466" s="1">
        <f>IF(Query1[[#This Row],[ItemType]]="EVAP KIT SF GEN IV",Query1[[#This Row],[OrderQty]]+I4465,I4465)</f>
        <v>5491</v>
      </c>
      <c r="J4466" s="1">
        <f>IF(Query1[[#This Row],[ItemType]]="EVAP KIT UNIVERSAL",Query1[[#This Row],[OrderQty]]+J4465,J4465)</f>
        <v>1802</v>
      </c>
      <c r="K4466" s="1">
        <f>Query1[[#This Row],[SF Running Total]]+Query1[[#This Row],[UNIV Running Total]]</f>
        <v>7293</v>
      </c>
      <c r="L4466">
        <f>VLOOKUP(Query1[[#This Row],[Description]],'kits to boards'!$B$2:$E$156,2,FALSE)</f>
        <v>830065</v>
      </c>
      <c r="M4466">
        <f>VLOOKUP(Query1[[#This Row],[Description]],'kits to boards'!$B$2:$E$156,3,FALSE)</f>
        <v>0</v>
      </c>
      <c r="N4466">
        <f>VLOOKUP(Query1[[#This Row],[Description]],'kits to boards'!$B$2:$E$156,4,FALSE)</f>
        <v>0</v>
      </c>
      <c r="O4466" t="str">
        <f>CONCATENATE(Query1[[#This Row],[Description]]," - ",Query1[[#This Row],[MB1]]," - ",Query1[[#This Row],[MB2]]," - ",Query1[[#This Row],[MB3]])</f>
        <v>EVAP KIT 57 CHEV WO AC - 830065 - 0 - 0</v>
      </c>
    </row>
    <row r="4467" spans="1:15" x14ac:dyDescent="0.25">
      <c r="A4467" s="1">
        <v>921122</v>
      </c>
      <c r="B4467" s="1" t="s">
        <v>60</v>
      </c>
      <c r="C4467" s="1" t="s">
        <v>61</v>
      </c>
      <c r="D4467" s="2">
        <v>44677.329023460647</v>
      </c>
      <c r="E4467" s="1" t="s">
        <v>8</v>
      </c>
      <c r="F4467" s="1">
        <v>1</v>
      </c>
      <c r="G4467" s="1">
        <v>0</v>
      </c>
      <c r="H4467" s="6">
        <f>INT(Query1[[#This Row],[EntryDateTime]])</f>
        <v>44677</v>
      </c>
      <c r="I4467" s="1">
        <f>IF(Query1[[#This Row],[ItemType]]="EVAP KIT SF GEN IV",Query1[[#This Row],[OrderQty]]+I4466,I4466)</f>
        <v>5492</v>
      </c>
      <c r="J4467" s="1">
        <f>IF(Query1[[#This Row],[ItemType]]="EVAP KIT UNIVERSAL",Query1[[#This Row],[OrderQty]]+J4466,J4466)</f>
        <v>1802</v>
      </c>
      <c r="K4467" s="1">
        <f>Query1[[#This Row],[SF Running Total]]+Query1[[#This Row],[UNIV Running Total]]</f>
        <v>7294</v>
      </c>
      <c r="L4467">
        <f>VLOOKUP(Query1[[#This Row],[Description]],'kits to boards'!$B$2:$E$156,2,FALSE)</f>
        <v>830062</v>
      </c>
      <c r="M4467">
        <f>VLOOKUP(Query1[[#This Row],[Description]],'kits to boards'!$B$2:$E$156,3,FALSE)</f>
        <v>0</v>
      </c>
      <c r="N4467">
        <f>VLOOKUP(Query1[[#This Row],[Description]],'kits to boards'!$B$2:$E$156,4,FALSE)</f>
        <v>0</v>
      </c>
      <c r="O4467" t="str">
        <f>CONCATENATE(Query1[[#This Row],[Description]]," - ",Query1[[#This Row],[MB1]]," - ",Query1[[#This Row],[MB2]]," - ",Query1[[#This Row],[MB3]])</f>
        <v>EVAP KIT 68-69 CHEVELLE WO AC - 830062 - 0 - 0</v>
      </c>
    </row>
    <row r="4468" spans="1:15" x14ac:dyDescent="0.25">
      <c r="A4468" s="1">
        <v>921121</v>
      </c>
      <c r="B4468" s="1" t="s">
        <v>26</v>
      </c>
      <c r="C4468" s="1" t="s">
        <v>27</v>
      </c>
      <c r="D4468" s="2">
        <v>44677.329165891206</v>
      </c>
      <c r="E4468" s="1" t="s">
        <v>8</v>
      </c>
      <c r="F4468" s="1">
        <v>1</v>
      </c>
      <c r="G4468" s="1">
        <v>0</v>
      </c>
      <c r="H4468" s="6">
        <f>INT(Query1[[#This Row],[EntryDateTime]])</f>
        <v>44677</v>
      </c>
      <c r="I4468" s="1">
        <f>IF(Query1[[#This Row],[ItemType]]="EVAP KIT SF GEN IV",Query1[[#This Row],[OrderQty]]+I4467,I4467)</f>
        <v>5493</v>
      </c>
      <c r="J4468" s="1">
        <f>IF(Query1[[#This Row],[ItemType]]="EVAP KIT UNIVERSAL",Query1[[#This Row],[OrderQty]]+J4467,J4467)</f>
        <v>1802</v>
      </c>
      <c r="K4468" s="1">
        <f>Query1[[#This Row],[SF Running Total]]+Query1[[#This Row],[UNIV Running Total]]</f>
        <v>7295</v>
      </c>
      <c r="L4468">
        <f>VLOOKUP(Query1[[#This Row],[Description]],'kits to boards'!$B$2:$E$156,2,FALSE)</f>
        <v>830013</v>
      </c>
      <c r="M4468">
        <f>VLOOKUP(Query1[[#This Row],[Description]],'kits to boards'!$B$2:$E$156,3,FALSE)</f>
        <v>0</v>
      </c>
      <c r="N4468">
        <f>VLOOKUP(Query1[[#This Row],[Description]],'kits to boards'!$B$2:$E$156,4,FALSE)</f>
        <v>0</v>
      </c>
      <c r="O4468" t="str">
        <f>CONCATENATE(Query1[[#This Row],[Description]]," - ",Query1[[#This Row],[MB1]]," - ",Query1[[#This Row],[MB2]]," - ",Query1[[#This Row],[MB3]])</f>
        <v>EVAP KIT 67-72 CHEV P-UP W/AC - 830013 - 0 - 0</v>
      </c>
    </row>
    <row r="4469" spans="1:15" x14ac:dyDescent="0.25">
      <c r="A4469" s="1">
        <v>921124</v>
      </c>
      <c r="B4469" s="1" t="s">
        <v>54</v>
      </c>
      <c r="C4469" s="1" t="s">
        <v>55</v>
      </c>
      <c r="D4469" s="2">
        <v>44677.331511805554</v>
      </c>
      <c r="E4469" s="1" t="s">
        <v>8</v>
      </c>
      <c r="F4469" s="1">
        <v>1</v>
      </c>
      <c r="G4469" s="1">
        <v>0</v>
      </c>
      <c r="H4469" s="6">
        <f>INT(Query1[[#This Row],[EntryDateTime]])</f>
        <v>44677</v>
      </c>
      <c r="I4469" s="1">
        <f>IF(Query1[[#This Row],[ItemType]]="EVAP KIT SF GEN IV",Query1[[#This Row],[OrderQty]]+I4468,I4468)</f>
        <v>5494</v>
      </c>
      <c r="J4469" s="1">
        <f>IF(Query1[[#This Row],[ItemType]]="EVAP KIT UNIVERSAL",Query1[[#This Row],[OrderQty]]+J4468,J4468)</f>
        <v>1802</v>
      </c>
      <c r="K4469" s="1">
        <f>Query1[[#This Row],[SF Running Total]]+Query1[[#This Row],[UNIV Running Total]]</f>
        <v>7296</v>
      </c>
      <c r="L4469">
        <f>VLOOKUP(Query1[[#This Row],[Description]],'kits to boards'!$B$2:$E$156,2,FALSE)</f>
        <v>830037</v>
      </c>
      <c r="M4469">
        <f>VLOOKUP(Query1[[#This Row],[Description]],'kits to boards'!$B$2:$E$156,3,FALSE)</f>
        <v>0</v>
      </c>
      <c r="N4469">
        <f>VLOOKUP(Query1[[#This Row],[Description]],'kits to boards'!$B$2:$E$156,4,FALSE)</f>
        <v>0</v>
      </c>
      <c r="O4469" t="str">
        <f>CONCATENATE(Query1[[#This Row],[Description]]," - ",Query1[[#This Row],[MB1]]," - ",Query1[[#This Row],[MB2]]," - ",Query1[[#This Row],[MB3]])</f>
        <v>EVAP KIT 70-81 FIREBIRD W/AC - 830037 - 0 - 0</v>
      </c>
    </row>
    <row r="4470" spans="1:15" x14ac:dyDescent="0.25">
      <c r="A4470" s="1">
        <v>921104</v>
      </c>
      <c r="B4470" s="1" t="s">
        <v>46</v>
      </c>
      <c r="C4470" s="1" t="s">
        <v>47</v>
      </c>
      <c r="D4470" s="2">
        <v>44677.3411871875</v>
      </c>
      <c r="E4470" s="1" t="s">
        <v>8</v>
      </c>
      <c r="F4470" s="1">
        <v>1</v>
      </c>
      <c r="G4470" s="1">
        <v>0</v>
      </c>
      <c r="H4470" s="6">
        <f>INT(Query1[[#This Row],[EntryDateTime]])</f>
        <v>44677</v>
      </c>
      <c r="I4470" s="1">
        <f>IF(Query1[[#This Row],[ItemType]]="EVAP KIT SF GEN IV",Query1[[#This Row],[OrderQty]]+I4469,I4469)</f>
        <v>5495</v>
      </c>
      <c r="J4470" s="1">
        <f>IF(Query1[[#This Row],[ItemType]]="EVAP KIT UNIVERSAL",Query1[[#This Row],[OrderQty]]+J4469,J4469)</f>
        <v>1802</v>
      </c>
      <c r="K4470" s="1">
        <f>Query1[[#This Row],[SF Running Total]]+Query1[[#This Row],[UNIV Running Total]]</f>
        <v>7297</v>
      </c>
      <c r="L4470">
        <f>VLOOKUP(Query1[[#This Row],[Description]],'kits to boards'!$B$2:$E$156,2,FALSE)</f>
        <v>830018</v>
      </c>
      <c r="M4470">
        <f>VLOOKUP(Query1[[#This Row],[Description]],'kits to boards'!$B$2:$E$156,3,FALSE)</f>
        <v>0</v>
      </c>
      <c r="N4470">
        <f>VLOOKUP(Query1[[#This Row],[Description]],'kits to boards'!$B$2:$E$156,4,FALSE)</f>
        <v>0</v>
      </c>
      <c r="O4470" t="str">
        <f>CONCATENATE(Query1[[#This Row],[Description]]," - ",Query1[[#This Row],[MB1]]," - ",Query1[[#This Row],[MB2]]," - ",Query1[[#This Row],[MB3]])</f>
        <v>EVAP KIT 68-72 FORD P-UP F-100 - 830018 - 0 - 0</v>
      </c>
    </row>
    <row r="4471" spans="1:15" x14ac:dyDescent="0.25">
      <c r="A4471" s="1">
        <v>920941</v>
      </c>
      <c r="B4471" s="1" t="s">
        <v>68</v>
      </c>
      <c r="C4471" s="1" t="s">
        <v>69</v>
      </c>
      <c r="D4471" s="2">
        <v>44677.342032870372</v>
      </c>
      <c r="E4471" s="1" t="s">
        <v>8</v>
      </c>
      <c r="F4471" s="1">
        <v>1</v>
      </c>
      <c r="G4471" s="1">
        <v>0</v>
      </c>
      <c r="H4471" s="6">
        <f>INT(Query1[[#This Row],[EntryDateTime]])</f>
        <v>44677</v>
      </c>
      <c r="I4471" s="1">
        <f>IF(Query1[[#This Row],[ItemType]]="EVAP KIT SF GEN IV",Query1[[#This Row],[OrderQty]]+I4470,I4470)</f>
        <v>5496</v>
      </c>
      <c r="J4471" s="1">
        <f>IF(Query1[[#This Row],[ItemType]]="EVAP KIT UNIVERSAL",Query1[[#This Row],[OrderQty]]+J4470,J4470)</f>
        <v>1802</v>
      </c>
      <c r="K4471" s="1">
        <f>Query1[[#This Row],[SF Running Total]]+Query1[[#This Row],[UNIV Running Total]]</f>
        <v>7298</v>
      </c>
      <c r="L4471">
        <f>VLOOKUP(Query1[[#This Row],[Description]],'kits to boards'!$B$2:$E$156,2,FALSE)</f>
        <v>830010</v>
      </c>
      <c r="M4471">
        <f>VLOOKUP(Query1[[#This Row],[Description]],'kits to boards'!$B$2:$E$156,3,FALSE)</f>
        <v>0</v>
      </c>
      <c r="N4471">
        <f>VLOOKUP(Query1[[#This Row],[Description]],'kits to boards'!$B$2:$E$156,4,FALSE)</f>
        <v>0</v>
      </c>
      <c r="O4471" t="str">
        <f>CONCATENATE(Query1[[#This Row],[Description]]," - ",Query1[[#This Row],[MB1]]," - ",Query1[[#This Row],[MB2]]," - ",Query1[[#This Row],[MB3]])</f>
        <v>EVAP KIT 70-72 CHEVELLE WO AC - 830010 - 0 - 0</v>
      </c>
    </row>
    <row r="4472" spans="1:15" x14ac:dyDescent="0.25">
      <c r="A4472" s="1">
        <v>921132</v>
      </c>
      <c r="B4472" s="1" t="s">
        <v>118</v>
      </c>
      <c r="C4472" s="1" t="s">
        <v>119</v>
      </c>
      <c r="D4472" s="2">
        <v>44677.345713113427</v>
      </c>
      <c r="E4472" s="1" t="s">
        <v>11</v>
      </c>
      <c r="F4472" s="1">
        <v>1</v>
      </c>
      <c r="G4472" s="1">
        <v>0</v>
      </c>
      <c r="H4472" s="6">
        <f>INT(Query1[[#This Row],[EntryDateTime]])</f>
        <v>44677</v>
      </c>
      <c r="I4472" s="1">
        <f>IF(Query1[[#This Row],[ItemType]]="EVAP KIT SF GEN IV",Query1[[#This Row],[OrderQty]]+I4471,I4471)</f>
        <v>5496</v>
      </c>
      <c r="J4472" s="1">
        <f>IF(Query1[[#This Row],[ItemType]]="EVAP KIT UNIVERSAL",Query1[[#This Row],[OrderQty]]+J4471,J4471)</f>
        <v>1803</v>
      </c>
      <c r="K4472" s="1">
        <f>Query1[[#This Row],[SF Running Total]]+Query1[[#This Row],[UNIV Running Total]]</f>
        <v>7299</v>
      </c>
      <c r="L4472">
        <f>VLOOKUP(Query1[[#This Row],[Description]],'kits to boards'!$B$2:$E$156,2,FALSE)</f>
        <v>830069</v>
      </c>
      <c r="M4472">
        <f>VLOOKUP(Query1[[#This Row],[Description]],'kits to boards'!$B$2:$E$156,3,FALSE)</f>
        <v>0</v>
      </c>
      <c r="N4472">
        <f>VLOOKUP(Query1[[#This Row],[Description]],'kits to boards'!$B$2:$E$156,4,FALSE)</f>
        <v>0</v>
      </c>
      <c r="O4472" t="str">
        <f>CONCATENATE(Query1[[#This Row],[Description]]," - ",Query1[[#This Row],[MB1]]," - ",Query1[[#This Row],[MB2]]," - ",Query1[[#This Row],[MB3]])</f>
        <v>SLIMLINE H/C W/DEF BLK LOUVER - 830069 - 0 - 0</v>
      </c>
    </row>
    <row r="4473" spans="1:15" x14ac:dyDescent="0.25">
      <c r="A4473" s="1">
        <v>921138</v>
      </c>
      <c r="B4473" s="1" t="s">
        <v>150</v>
      </c>
      <c r="C4473" s="1" t="s">
        <v>151</v>
      </c>
      <c r="D4473" s="2">
        <v>44677.364528437502</v>
      </c>
      <c r="E4473" s="1" t="s">
        <v>8</v>
      </c>
      <c r="F4473" s="1">
        <v>1</v>
      </c>
      <c r="G4473" s="1">
        <v>0</v>
      </c>
      <c r="H4473" s="6">
        <f>INT(Query1[[#This Row],[EntryDateTime]])</f>
        <v>44677</v>
      </c>
      <c r="I4473" s="1">
        <f>IF(Query1[[#This Row],[ItemType]]="EVAP KIT SF GEN IV",Query1[[#This Row],[OrderQty]]+I4472,I4472)</f>
        <v>5497</v>
      </c>
      <c r="J4473" s="1">
        <f>IF(Query1[[#This Row],[ItemType]]="EVAP KIT UNIVERSAL",Query1[[#This Row],[OrderQty]]+J4472,J4472)</f>
        <v>1803</v>
      </c>
      <c r="K4473" s="1">
        <f>Query1[[#This Row],[SF Running Total]]+Query1[[#This Row],[UNIV Running Total]]</f>
        <v>7300</v>
      </c>
      <c r="L4473">
        <f>VLOOKUP(Query1[[#This Row],[Description]],'kits to boards'!$B$2:$E$156,2,FALSE)</f>
        <v>830010</v>
      </c>
      <c r="M4473">
        <f>VLOOKUP(Query1[[#This Row],[Description]],'kits to boards'!$B$2:$E$156,3,FALSE)</f>
        <v>0</v>
      </c>
      <c r="N4473">
        <f>VLOOKUP(Query1[[#This Row],[Description]],'kits to boards'!$B$2:$E$156,4,FALSE)</f>
        <v>0</v>
      </c>
      <c r="O4473" t="str">
        <f>CONCATENATE(Query1[[#This Row],[Description]]," - ",Query1[[#This Row],[MB1]]," - ",Query1[[#This Row],[MB2]]," - ",Query1[[#This Row],[MB3]])</f>
        <v>EVAP KIT 70-72 MONTE CARLO W/AC - 830010 - 0 - 0</v>
      </c>
    </row>
    <row r="4474" spans="1:15" x14ac:dyDescent="0.25">
      <c r="A4474" s="1">
        <v>921143</v>
      </c>
      <c r="B4474" s="1" t="s">
        <v>68</v>
      </c>
      <c r="C4474" s="1" t="s">
        <v>69</v>
      </c>
      <c r="D4474" s="2">
        <v>44677.376798067133</v>
      </c>
      <c r="E4474" s="1" t="s">
        <v>8</v>
      </c>
      <c r="F4474" s="1">
        <v>1</v>
      </c>
      <c r="G4474" s="1">
        <v>0</v>
      </c>
      <c r="H4474" s="6">
        <f>INT(Query1[[#This Row],[EntryDateTime]])</f>
        <v>44677</v>
      </c>
      <c r="I4474" s="1">
        <f>IF(Query1[[#This Row],[ItemType]]="EVAP KIT SF GEN IV",Query1[[#This Row],[OrderQty]]+I4473,I4473)</f>
        <v>5498</v>
      </c>
      <c r="J4474" s="1">
        <f>IF(Query1[[#This Row],[ItemType]]="EVAP KIT UNIVERSAL",Query1[[#This Row],[OrderQty]]+J4473,J4473)</f>
        <v>1803</v>
      </c>
      <c r="K4474" s="1">
        <f>Query1[[#This Row],[SF Running Total]]+Query1[[#This Row],[UNIV Running Total]]</f>
        <v>7301</v>
      </c>
      <c r="L4474">
        <f>VLOOKUP(Query1[[#This Row],[Description]],'kits to boards'!$B$2:$E$156,2,FALSE)</f>
        <v>830010</v>
      </c>
      <c r="M4474">
        <f>VLOOKUP(Query1[[#This Row],[Description]],'kits to boards'!$B$2:$E$156,3,FALSE)</f>
        <v>0</v>
      </c>
      <c r="N4474">
        <f>VLOOKUP(Query1[[#This Row],[Description]],'kits to boards'!$B$2:$E$156,4,FALSE)</f>
        <v>0</v>
      </c>
      <c r="O4474" t="str">
        <f>CONCATENATE(Query1[[#This Row],[Description]]," - ",Query1[[#This Row],[MB1]]," - ",Query1[[#This Row],[MB2]]," - ",Query1[[#This Row],[MB3]])</f>
        <v>EVAP KIT 70-72 CHEVELLE WO AC - 830010 - 0 - 0</v>
      </c>
    </row>
    <row r="4475" spans="1:15" x14ac:dyDescent="0.25">
      <c r="A4475" s="1">
        <v>921141</v>
      </c>
      <c r="B4475" s="1" t="s">
        <v>26</v>
      </c>
      <c r="C4475" s="1" t="s">
        <v>27</v>
      </c>
      <c r="D4475" s="2">
        <v>44677.378013738424</v>
      </c>
      <c r="E4475" s="1" t="s">
        <v>8</v>
      </c>
      <c r="F4475" s="1">
        <v>1</v>
      </c>
      <c r="G4475" s="1">
        <v>0</v>
      </c>
      <c r="H4475" s="6">
        <f>INT(Query1[[#This Row],[EntryDateTime]])</f>
        <v>44677</v>
      </c>
      <c r="I4475" s="1">
        <f>IF(Query1[[#This Row],[ItemType]]="EVAP KIT SF GEN IV",Query1[[#This Row],[OrderQty]]+I4474,I4474)</f>
        <v>5499</v>
      </c>
      <c r="J4475" s="1">
        <f>IF(Query1[[#This Row],[ItemType]]="EVAP KIT UNIVERSAL",Query1[[#This Row],[OrderQty]]+J4474,J4474)</f>
        <v>1803</v>
      </c>
      <c r="K4475" s="1">
        <f>Query1[[#This Row],[SF Running Total]]+Query1[[#This Row],[UNIV Running Total]]</f>
        <v>7302</v>
      </c>
      <c r="L4475">
        <f>VLOOKUP(Query1[[#This Row],[Description]],'kits to boards'!$B$2:$E$156,2,FALSE)</f>
        <v>830013</v>
      </c>
      <c r="M4475">
        <f>VLOOKUP(Query1[[#This Row],[Description]],'kits to boards'!$B$2:$E$156,3,FALSE)</f>
        <v>0</v>
      </c>
      <c r="N4475">
        <f>VLOOKUP(Query1[[#This Row],[Description]],'kits to boards'!$B$2:$E$156,4,FALSE)</f>
        <v>0</v>
      </c>
      <c r="O4475" t="str">
        <f>CONCATENATE(Query1[[#This Row],[Description]]," - ",Query1[[#This Row],[MB1]]," - ",Query1[[#This Row],[MB2]]," - ",Query1[[#This Row],[MB3]])</f>
        <v>EVAP KIT 67-72 CHEV P-UP W/AC - 830013 - 0 - 0</v>
      </c>
    </row>
    <row r="4476" spans="1:15" x14ac:dyDescent="0.25">
      <c r="A4476" s="1">
        <v>921149</v>
      </c>
      <c r="B4476" s="1" t="s">
        <v>26</v>
      </c>
      <c r="C4476" s="1" t="s">
        <v>27</v>
      </c>
      <c r="D4476" s="2">
        <v>44677.382023923608</v>
      </c>
      <c r="E4476" s="1" t="s">
        <v>8</v>
      </c>
      <c r="F4476" s="1">
        <v>1</v>
      </c>
      <c r="G4476" s="1">
        <v>0</v>
      </c>
      <c r="H4476" s="6">
        <f>INT(Query1[[#This Row],[EntryDateTime]])</f>
        <v>44677</v>
      </c>
      <c r="I4476" s="1">
        <f>IF(Query1[[#This Row],[ItemType]]="EVAP KIT SF GEN IV",Query1[[#This Row],[OrderQty]]+I4475,I4475)</f>
        <v>5500</v>
      </c>
      <c r="J4476" s="1">
        <f>IF(Query1[[#This Row],[ItemType]]="EVAP KIT UNIVERSAL",Query1[[#This Row],[OrderQty]]+J4475,J4475)</f>
        <v>1803</v>
      </c>
      <c r="K4476" s="1">
        <f>Query1[[#This Row],[SF Running Total]]+Query1[[#This Row],[UNIV Running Total]]</f>
        <v>7303</v>
      </c>
      <c r="L4476">
        <f>VLOOKUP(Query1[[#This Row],[Description]],'kits to boards'!$B$2:$E$156,2,FALSE)</f>
        <v>830013</v>
      </c>
      <c r="M4476">
        <f>VLOOKUP(Query1[[#This Row],[Description]],'kits to boards'!$B$2:$E$156,3,FALSE)</f>
        <v>0</v>
      </c>
      <c r="N4476">
        <f>VLOOKUP(Query1[[#This Row],[Description]],'kits to boards'!$B$2:$E$156,4,FALSE)</f>
        <v>0</v>
      </c>
      <c r="O4476" t="str">
        <f>CONCATENATE(Query1[[#This Row],[Description]]," - ",Query1[[#This Row],[MB1]]," - ",Query1[[#This Row],[MB2]]," - ",Query1[[#This Row],[MB3]])</f>
        <v>EVAP KIT 67-72 CHEV P-UP W/AC - 830013 - 0 - 0</v>
      </c>
    </row>
    <row r="4477" spans="1:15" x14ac:dyDescent="0.25">
      <c r="A4477" s="1">
        <v>921154</v>
      </c>
      <c r="B4477" s="1" t="s">
        <v>32</v>
      </c>
      <c r="C4477" s="1" t="s">
        <v>33</v>
      </c>
      <c r="D4477" s="2">
        <v>44677.383986145833</v>
      </c>
      <c r="E4477" s="1" t="s">
        <v>8</v>
      </c>
      <c r="F4477" s="1">
        <v>1</v>
      </c>
      <c r="G4477" s="1">
        <v>0</v>
      </c>
      <c r="H4477" s="6">
        <f>INT(Query1[[#This Row],[EntryDateTime]])</f>
        <v>44677</v>
      </c>
      <c r="I4477" s="1">
        <f>IF(Query1[[#This Row],[ItemType]]="EVAP KIT SF GEN IV",Query1[[#This Row],[OrderQty]]+I4476,I4476)</f>
        <v>5501</v>
      </c>
      <c r="J4477" s="1">
        <f>IF(Query1[[#This Row],[ItemType]]="EVAP KIT UNIVERSAL",Query1[[#This Row],[OrderQty]]+J4476,J4476)</f>
        <v>1803</v>
      </c>
      <c r="K4477" s="1">
        <f>Query1[[#This Row],[SF Running Total]]+Query1[[#This Row],[UNIV Running Total]]</f>
        <v>7304</v>
      </c>
      <c r="L4477">
        <f>VLOOKUP(Query1[[#This Row],[Description]],'kits to boards'!$B$2:$E$156,2,FALSE)</f>
        <v>830016</v>
      </c>
      <c r="M4477">
        <f>VLOOKUP(Query1[[#This Row],[Description]],'kits to boards'!$B$2:$E$156,3,FALSE)</f>
        <v>0</v>
      </c>
      <c r="N4477">
        <f>VLOOKUP(Query1[[#This Row],[Description]],'kits to boards'!$B$2:$E$156,4,FALSE)</f>
        <v>0</v>
      </c>
      <c r="O4477" t="str">
        <f>CONCATENATE(Query1[[#This Row],[Description]]," - ",Query1[[#This Row],[MB1]]," - ",Query1[[#This Row],[MB2]]," - ",Query1[[#This Row],[MB3]])</f>
        <v>EVAP KIT 67-68 CAMARO/FIREBIRD W/AC - 830016 - 0 - 0</v>
      </c>
    </row>
    <row r="4478" spans="1:15" x14ac:dyDescent="0.25">
      <c r="A4478" s="1">
        <v>921155</v>
      </c>
      <c r="B4478" s="1" t="s">
        <v>60</v>
      </c>
      <c r="C4478" s="1" t="s">
        <v>61</v>
      </c>
      <c r="D4478" s="2">
        <v>44677.385664814814</v>
      </c>
      <c r="E4478" s="1" t="s">
        <v>8</v>
      </c>
      <c r="F4478" s="1">
        <v>1</v>
      </c>
      <c r="G4478" s="1">
        <v>0</v>
      </c>
      <c r="H4478" s="6">
        <f>INT(Query1[[#This Row],[EntryDateTime]])</f>
        <v>44677</v>
      </c>
      <c r="I4478" s="1">
        <f>IF(Query1[[#This Row],[ItemType]]="EVAP KIT SF GEN IV",Query1[[#This Row],[OrderQty]]+I4477,I4477)</f>
        <v>5502</v>
      </c>
      <c r="J4478" s="1">
        <f>IF(Query1[[#This Row],[ItemType]]="EVAP KIT UNIVERSAL",Query1[[#This Row],[OrderQty]]+J4477,J4477)</f>
        <v>1803</v>
      </c>
      <c r="K4478" s="1">
        <f>Query1[[#This Row],[SF Running Total]]+Query1[[#This Row],[UNIV Running Total]]</f>
        <v>7305</v>
      </c>
      <c r="L4478">
        <f>VLOOKUP(Query1[[#This Row],[Description]],'kits to boards'!$B$2:$E$156,2,FALSE)</f>
        <v>830062</v>
      </c>
      <c r="M4478">
        <f>VLOOKUP(Query1[[#This Row],[Description]],'kits to boards'!$B$2:$E$156,3,FALSE)</f>
        <v>0</v>
      </c>
      <c r="N4478">
        <f>VLOOKUP(Query1[[#This Row],[Description]],'kits to boards'!$B$2:$E$156,4,FALSE)</f>
        <v>0</v>
      </c>
      <c r="O4478" t="str">
        <f>CONCATENATE(Query1[[#This Row],[Description]]," - ",Query1[[#This Row],[MB1]]," - ",Query1[[#This Row],[MB2]]," - ",Query1[[#This Row],[MB3]])</f>
        <v>EVAP KIT 68-69 CHEVELLE WO AC - 830062 - 0 - 0</v>
      </c>
    </row>
    <row r="4479" spans="1:15" x14ac:dyDescent="0.25">
      <c r="A4479" s="1">
        <v>921158</v>
      </c>
      <c r="B4479" s="1" t="s">
        <v>62</v>
      </c>
      <c r="C4479" s="1" t="s">
        <v>63</v>
      </c>
      <c r="D4479" s="2">
        <v>44677.38792361111</v>
      </c>
      <c r="E4479" s="1" t="s">
        <v>8</v>
      </c>
      <c r="F4479" s="1">
        <v>1</v>
      </c>
      <c r="G4479" s="1">
        <v>0</v>
      </c>
      <c r="H4479" s="6">
        <f>INT(Query1[[#This Row],[EntryDateTime]])</f>
        <v>44677</v>
      </c>
      <c r="I4479" s="1">
        <f>IF(Query1[[#This Row],[ItemType]]="EVAP KIT SF GEN IV",Query1[[#This Row],[OrderQty]]+I4478,I4478)</f>
        <v>5503</v>
      </c>
      <c r="J4479" s="1">
        <f>IF(Query1[[#This Row],[ItemType]]="EVAP KIT UNIVERSAL",Query1[[#This Row],[OrderQty]]+J4478,J4478)</f>
        <v>1803</v>
      </c>
      <c r="K4479" s="1">
        <f>Query1[[#This Row],[SF Running Total]]+Query1[[#This Row],[UNIV Running Total]]</f>
        <v>7306</v>
      </c>
      <c r="L4479">
        <f>VLOOKUP(Query1[[#This Row],[Description]],'kits to boards'!$B$2:$E$156,2,FALSE)</f>
        <v>830079</v>
      </c>
      <c r="M4479">
        <f>VLOOKUP(Query1[[#This Row],[Description]],'kits to boards'!$B$2:$E$156,3,FALSE)</f>
        <v>830046</v>
      </c>
      <c r="N4479">
        <f>VLOOKUP(Query1[[#This Row],[Description]],'kits to boards'!$B$2:$E$156,4,FALSE)</f>
        <v>0</v>
      </c>
      <c r="O4479" t="str">
        <f>CONCATENATE(Query1[[#This Row],[Description]]," - ",Query1[[#This Row],[MB1]]," - ",Query1[[#This Row],[MB2]]," - ",Query1[[#This Row],[MB3]])</f>
        <v>EVAP KIT 67-68 MUSTANG/COUGAR WO AC - 830079 - 830046 - 0</v>
      </c>
    </row>
    <row r="4480" spans="1:15" x14ac:dyDescent="0.25">
      <c r="A4480" s="1">
        <v>921156</v>
      </c>
      <c r="B4480" s="1" t="s">
        <v>102</v>
      </c>
      <c r="C4480" s="1" t="s">
        <v>103</v>
      </c>
      <c r="D4480" s="2">
        <v>44677.387996064812</v>
      </c>
      <c r="E4480" s="1" t="s">
        <v>8</v>
      </c>
      <c r="F4480" s="1">
        <v>1</v>
      </c>
      <c r="G4480" s="1">
        <v>0</v>
      </c>
      <c r="H4480" s="6">
        <f>INT(Query1[[#This Row],[EntryDateTime]])</f>
        <v>44677</v>
      </c>
      <c r="I4480" s="1">
        <f>IF(Query1[[#This Row],[ItemType]]="EVAP KIT SF GEN IV",Query1[[#This Row],[OrderQty]]+I4479,I4479)</f>
        <v>5504</v>
      </c>
      <c r="J4480" s="1">
        <f>IF(Query1[[#This Row],[ItemType]]="EVAP KIT UNIVERSAL",Query1[[#This Row],[OrderQty]]+J4479,J4479)</f>
        <v>1803</v>
      </c>
      <c r="K4480" s="1">
        <f>Query1[[#This Row],[SF Running Total]]+Query1[[#This Row],[UNIV Running Total]]</f>
        <v>7307</v>
      </c>
      <c r="L4480">
        <f>VLOOKUP(Query1[[#This Row],[Description]],'kits to boards'!$B$2:$E$156,2,FALSE)</f>
        <v>830012</v>
      </c>
      <c r="M4480">
        <f>VLOOKUP(Query1[[#This Row],[Description]],'kits to boards'!$B$2:$E$156,3,FALSE)</f>
        <v>0</v>
      </c>
      <c r="N4480">
        <f>VLOOKUP(Query1[[#This Row],[Description]],'kits to boards'!$B$2:$E$156,4,FALSE)</f>
        <v>0</v>
      </c>
      <c r="O4480" t="str">
        <f>CONCATENATE(Query1[[#This Row],[Description]]," - ",Query1[[#This Row],[MB1]]," - ",Query1[[#This Row],[MB2]]," - ",Query1[[#This Row],[MB3]])</f>
        <v>EVAP KIT 69 CAMARO WO/AC - 830012 - 0 - 0</v>
      </c>
    </row>
    <row r="4481" spans="1:15" x14ac:dyDescent="0.25">
      <c r="A4481" s="1">
        <v>921145</v>
      </c>
      <c r="B4481" s="1" t="s">
        <v>36</v>
      </c>
      <c r="C4481" s="1" t="s">
        <v>37</v>
      </c>
      <c r="D4481" s="2">
        <v>44677.39516565972</v>
      </c>
      <c r="E4481" s="1" t="s">
        <v>8</v>
      </c>
      <c r="F4481" s="1">
        <v>1</v>
      </c>
      <c r="G4481" s="1">
        <v>0</v>
      </c>
      <c r="H4481" s="6">
        <f>INT(Query1[[#This Row],[EntryDateTime]])</f>
        <v>44677</v>
      </c>
      <c r="I4481" s="1">
        <f>IF(Query1[[#This Row],[ItemType]]="EVAP KIT SF GEN IV",Query1[[#This Row],[OrderQty]]+I4480,I4480)</f>
        <v>5505</v>
      </c>
      <c r="J4481" s="1">
        <f>IF(Query1[[#This Row],[ItemType]]="EVAP KIT UNIVERSAL",Query1[[#This Row],[OrderQty]]+J4480,J4480)</f>
        <v>1803</v>
      </c>
      <c r="K4481" s="1">
        <f>Query1[[#This Row],[SF Running Total]]+Query1[[#This Row],[UNIV Running Total]]</f>
        <v>7308</v>
      </c>
      <c r="L4481">
        <f>VLOOKUP(Query1[[#This Row],[Description]],'kits to boards'!$B$2:$E$156,2,FALSE)</f>
        <v>830015</v>
      </c>
      <c r="M4481">
        <f>VLOOKUP(Query1[[#This Row],[Description]],'kits to boards'!$B$2:$E$156,3,FALSE)</f>
        <v>0</v>
      </c>
      <c r="N4481">
        <f>VLOOKUP(Query1[[#This Row],[Description]],'kits to boards'!$B$2:$E$156,4,FALSE)</f>
        <v>0</v>
      </c>
      <c r="O4481" t="str">
        <f>CONCATENATE(Query1[[#This Row],[Description]]," - ",Query1[[#This Row],[MB1]]," - ",Query1[[#This Row],[MB2]]," - ",Query1[[#This Row],[MB3]])</f>
        <v>EVAP KIT 64-66 CHEV P-UP WO AC W/STD - 830015 - 0 - 0</v>
      </c>
    </row>
    <row r="4482" spans="1:15" x14ac:dyDescent="0.25">
      <c r="A4482" s="1">
        <v>921165</v>
      </c>
      <c r="B4482" s="1" t="s">
        <v>102</v>
      </c>
      <c r="C4482" s="1" t="s">
        <v>103</v>
      </c>
      <c r="D4482" s="2">
        <v>44677.4020633912</v>
      </c>
      <c r="E4482" s="1" t="s">
        <v>8</v>
      </c>
      <c r="F4482" s="1">
        <v>1</v>
      </c>
      <c r="G4482" s="1">
        <v>0</v>
      </c>
      <c r="H4482" s="6">
        <f>INT(Query1[[#This Row],[EntryDateTime]])</f>
        <v>44677</v>
      </c>
      <c r="I4482" s="1">
        <f>IF(Query1[[#This Row],[ItemType]]="EVAP KIT SF GEN IV",Query1[[#This Row],[OrderQty]]+I4481,I4481)</f>
        <v>5506</v>
      </c>
      <c r="J4482" s="1">
        <f>IF(Query1[[#This Row],[ItemType]]="EVAP KIT UNIVERSAL",Query1[[#This Row],[OrderQty]]+J4481,J4481)</f>
        <v>1803</v>
      </c>
      <c r="K4482" s="1">
        <f>Query1[[#This Row],[SF Running Total]]+Query1[[#This Row],[UNIV Running Total]]</f>
        <v>7309</v>
      </c>
      <c r="L4482">
        <f>VLOOKUP(Query1[[#This Row],[Description]],'kits to boards'!$B$2:$E$156,2,FALSE)</f>
        <v>830012</v>
      </c>
      <c r="M4482">
        <f>VLOOKUP(Query1[[#This Row],[Description]],'kits to boards'!$B$2:$E$156,3,FALSE)</f>
        <v>0</v>
      </c>
      <c r="N4482">
        <f>VLOOKUP(Query1[[#This Row],[Description]],'kits to boards'!$B$2:$E$156,4,FALSE)</f>
        <v>0</v>
      </c>
      <c r="O4482" t="str">
        <f>CONCATENATE(Query1[[#This Row],[Description]]," - ",Query1[[#This Row],[MB1]]," - ",Query1[[#This Row],[MB2]]," - ",Query1[[#This Row],[MB3]])</f>
        <v>EVAP KIT 69 CAMARO WO/AC - 830012 - 0 - 0</v>
      </c>
    </row>
    <row r="4483" spans="1:15" x14ac:dyDescent="0.25">
      <c r="A4483" s="1">
        <v>921172</v>
      </c>
      <c r="B4483" s="1" t="s">
        <v>30</v>
      </c>
      <c r="C4483" s="1" t="s">
        <v>31</v>
      </c>
      <c r="D4483" s="2">
        <v>44677.413709641201</v>
      </c>
      <c r="E4483" s="1" t="s">
        <v>8</v>
      </c>
      <c r="F4483" s="1">
        <v>1</v>
      </c>
      <c r="G4483" s="1">
        <v>0</v>
      </c>
      <c r="H4483" s="6">
        <f>INT(Query1[[#This Row],[EntryDateTime]])</f>
        <v>44677</v>
      </c>
      <c r="I4483" s="1">
        <f>IF(Query1[[#This Row],[ItemType]]="EVAP KIT SF GEN IV",Query1[[#This Row],[OrderQty]]+I4482,I4482)</f>
        <v>5507</v>
      </c>
      <c r="J4483" s="1">
        <f>IF(Query1[[#This Row],[ItemType]]="EVAP KIT UNIVERSAL",Query1[[#This Row],[OrderQty]]+J4482,J4482)</f>
        <v>1803</v>
      </c>
      <c r="K4483" s="1">
        <f>Query1[[#This Row],[SF Running Total]]+Query1[[#This Row],[UNIV Running Total]]</f>
        <v>7310</v>
      </c>
      <c r="L4483">
        <f>VLOOKUP(Query1[[#This Row],[Description]],'kits to boards'!$B$2:$E$156,2,FALSE)</f>
        <v>830054</v>
      </c>
      <c r="M4483">
        <f>VLOOKUP(Query1[[#This Row],[Description]],'kits to boards'!$B$2:$E$156,3,FALSE)</f>
        <v>0</v>
      </c>
      <c r="N4483">
        <f>VLOOKUP(Query1[[#This Row],[Description]],'kits to boards'!$B$2:$E$156,4,FALSE)</f>
        <v>0</v>
      </c>
      <c r="O4483" t="str">
        <f>CONCATENATE(Query1[[#This Row],[Description]]," - ",Query1[[#This Row],[MB1]]," - ",Query1[[#This Row],[MB2]]," - ",Query1[[#This Row],[MB3]])</f>
        <v>EVAP KIT 55-56 CHEVY 4-VENT - 830054 - 0 - 0</v>
      </c>
    </row>
    <row r="4484" spans="1:15" x14ac:dyDescent="0.25">
      <c r="A4484" s="1">
        <v>921005</v>
      </c>
      <c r="B4484" s="1" t="s">
        <v>26</v>
      </c>
      <c r="C4484" s="1" t="s">
        <v>27</v>
      </c>
      <c r="D4484" s="2">
        <v>44677.415724074075</v>
      </c>
      <c r="E4484" s="1" t="s">
        <v>8</v>
      </c>
      <c r="F4484" s="1">
        <v>1</v>
      </c>
      <c r="G4484" s="1">
        <v>0</v>
      </c>
      <c r="H4484" s="6">
        <f>INT(Query1[[#This Row],[EntryDateTime]])</f>
        <v>44677</v>
      </c>
      <c r="I4484" s="1">
        <f>IF(Query1[[#This Row],[ItemType]]="EVAP KIT SF GEN IV",Query1[[#This Row],[OrderQty]]+I4483,I4483)</f>
        <v>5508</v>
      </c>
      <c r="J4484" s="1">
        <f>IF(Query1[[#This Row],[ItemType]]="EVAP KIT UNIVERSAL",Query1[[#This Row],[OrderQty]]+J4483,J4483)</f>
        <v>1803</v>
      </c>
      <c r="K4484" s="1">
        <f>Query1[[#This Row],[SF Running Total]]+Query1[[#This Row],[UNIV Running Total]]</f>
        <v>7311</v>
      </c>
      <c r="L4484">
        <f>VLOOKUP(Query1[[#This Row],[Description]],'kits to boards'!$B$2:$E$156,2,FALSE)</f>
        <v>830013</v>
      </c>
      <c r="M4484">
        <f>VLOOKUP(Query1[[#This Row],[Description]],'kits to boards'!$B$2:$E$156,3,FALSE)</f>
        <v>0</v>
      </c>
      <c r="N4484">
        <f>VLOOKUP(Query1[[#This Row],[Description]],'kits to boards'!$B$2:$E$156,4,FALSE)</f>
        <v>0</v>
      </c>
      <c r="O4484" t="str">
        <f>CONCATENATE(Query1[[#This Row],[Description]]," - ",Query1[[#This Row],[MB1]]," - ",Query1[[#This Row],[MB2]]," - ",Query1[[#This Row],[MB3]])</f>
        <v>EVAP KIT 67-72 CHEV P-UP W/AC - 830013 - 0 - 0</v>
      </c>
    </row>
    <row r="4485" spans="1:15" x14ac:dyDescent="0.25">
      <c r="A4485" s="1">
        <v>921179</v>
      </c>
      <c r="B4485" s="1" t="s">
        <v>122</v>
      </c>
      <c r="C4485" s="1" t="s">
        <v>123</v>
      </c>
      <c r="D4485" s="2">
        <v>44677.41963005787</v>
      </c>
      <c r="E4485" s="1" t="s">
        <v>8</v>
      </c>
      <c r="F4485" s="1">
        <v>1</v>
      </c>
      <c r="G4485" s="1">
        <v>0</v>
      </c>
      <c r="H4485" s="6">
        <f>INT(Query1[[#This Row],[EntryDateTime]])</f>
        <v>44677</v>
      </c>
      <c r="I4485" s="1">
        <f>IF(Query1[[#This Row],[ItemType]]="EVAP KIT SF GEN IV",Query1[[#This Row],[OrderQty]]+I4484,I4484)</f>
        <v>5509</v>
      </c>
      <c r="J4485" s="1">
        <f>IF(Query1[[#This Row],[ItemType]]="EVAP KIT UNIVERSAL",Query1[[#This Row],[OrderQty]]+J4484,J4484)</f>
        <v>1803</v>
      </c>
      <c r="K4485" s="1">
        <f>Query1[[#This Row],[SF Running Total]]+Query1[[#This Row],[UNIV Running Total]]</f>
        <v>7312</v>
      </c>
      <c r="L4485">
        <f>VLOOKUP(Query1[[#This Row],[Description]],'kits to boards'!$B$2:$E$156,2,FALSE)</f>
        <v>830027</v>
      </c>
      <c r="M4485">
        <f>VLOOKUP(Query1[[#This Row],[Description]],'kits to boards'!$B$2:$E$156,3,FALSE)</f>
        <v>0</v>
      </c>
      <c r="N4485">
        <f>VLOOKUP(Query1[[#This Row],[Description]],'kits to boards'!$B$2:$E$156,4,FALSE)</f>
        <v>0</v>
      </c>
      <c r="O4485" t="str">
        <f>CONCATENATE(Query1[[#This Row],[Description]]," - ",Query1[[#This Row],[MB1]]," - ",Query1[[#This Row],[MB2]]," - ",Query1[[#This Row],[MB3]])</f>
        <v>EVAP KIT 70-72 CUTLASS W/AC - 830027 - 0 - 0</v>
      </c>
    </row>
    <row r="4486" spans="1:15" x14ac:dyDescent="0.25">
      <c r="A4486" s="1">
        <v>921174</v>
      </c>
      <c r="B4486" s="1" t="s">
        <v>166</v>
      </c>
      <c r="C4486" s="1" t="s">
        <v>167</v>
      </c>
      <c r="D4486" s="2">
        <v>44677.424133564811</v>
      </c>
      <c r="E4486" s="1" t="s">
        <v>8</v>
      </c>
      <c r="F4486" s="1">
        <v>1</v>
      </c>
      <c r="G4486" s="1">
        <v>0</v>
      </c>
      <c r="H4486" s="6">
        <f>INT(Query1[[#This Row],[EntryDateTime]])</f>
        <v>44677</v>
      </c>
      <c r="I4486" s="1">
        <f>IF(Query1[[#This Row],[ItemType]]="EVAP KIT SF GEN IV",Query1[[#This Row],[OrderQty]]+I4485,I4485)</f>
        <v>5510</v>
      </c>
      <c r="J4486" s="1">
        <f>IF(Query1[[#This Row],[ItemType]]="EVAP KIT UNIVERSAL",Query1[[#This Row],[OrderQty]]+J4485,J4485)</f>
        <v>1803</v>
      </c>
      <c r="K4486" s="1">
        <f>Query1[[#This Row],[SF Running Total]]+Query1[[#This Row],[UNIV Running Total]]</f>
        <v>7313</v>
      </c>
      <c r="L4486">
        <f>VLOOKUP(Query1[[#This Row],[Description]],'kits to boards'!$B$2:$E$156,2,FALSE)</f>
        <v>830063</v>
      </c>
      <c r="M4486">
        <f>VLOOKUP(Query1[[#This Row],[Description]],'kits to boards'!$B$2:$E$156,3,FALSE)</f>
        <v>0</v>
      </c>
      <c r="N4486">
        <f>VLOOKUP(Query1[[#This Row],[Description]],'kits to boards'!$B$2:$E$156,4,FALSE)</f>
        <v>0</v>
      </c>
      <c r="O4486" t="str">
        <f>CONCATENATE(Query1[[#This Row],[Description]]," - ",Query1[[#This Row],[MB1]]," - ",Query1[[#This Row],[MB2]]," - ",Query1[[#This Row],[MB3]])</f>
        <v>EVAP KIT 47-49 CHEV P-UP GEN IV - 830063 - 0 - 0</v>
      </c>
    </row>
    <row r="4487" spans="1:15" x14ac:dyDescent="0.25">
      <c r="A4487" s="1">
        <v>921183</v>
      </c>
      <c r="B4487" s="1" t="s">
        <v>52</v>
      </c>
      <c r="C4487" s="1" t="s">
        <v>53</v>
      </c>
      <c r="D4487" s="2">
        <v>44677.424710648149</v>
      </c>
      <c r="E4487" s="1" t="s">
        <v>8</v>
      </c>
      <c r="F4487" s="1">
        <v>1</v>
      </c>
      <c r="G4487" s="1">
        <v>0</v>
      </c>
      <c r="H4487" s="6">
        <f>INT(Query1[[#This Row],[EntryDateTime]])</f>
        <v>44677</v>
      </c>
      <c r="I4487" s="1">
        <f>IF(Query1[[#This Row],[ItemType]]="EVAP KIT SF GEN IV",Query1[[#This Row],[OrderQty]]+I4486,I4486)</f>
        <v>5511</v>
      </c>
      <c r="J4487" s="1">
        <f>IF(Query1[[#This Row],[ItemType]]="EVAP KIT UNIVERSAL",Query1[[#This Row],[OrderQty]]+J4486,J4486)</f>
        <v>1803</v>
      </c>
      <c r="K4487" s="1">
        <f>Query1[[#This Row],[SF Running Total]]+Query1[[#This Row],[UNIV Running Total]]</f>
        <v>7314</v>
      </c>
      <c r="L4487">
        <f>VLOOKUP(Query1[[#This Row],[Description]],'kits to boards'!$B$2:$E$156,2,FALSE)</f>
        <v>830017</v>
      </c>
      <c r="M4487">
        <f>VLOOKUP(Query1[[#This Row],[Description]],'kits to boards'!$B$2:$E$156,3,FALSE)</f>
        <v>830119</v>
      </c>
      <c r="N4487">
        <f>VLOOKUP(Query1[[#This Row],[Description]],'kits to boards'!$B$2:$E$156,4,FALSE)</f>
        <v>830120</v>
      </c>
      <c r="O4487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4488" spans="1:15" x14ac:dyDescent="0.25">
      <c r="A4488" s="1">
        <v>921139</v>
      </c>
      <c r="B4488" s="1" t="s">
        <v>42</v>
      </c>
      <c r="C4488" s="1" t="s">
        <v>43</v>
      </c>
      <c r="D4488" s="2">
        <v>44677.434858368055</v>
      </c>
      <c r="E4488" s="1" t="s">
        <v>8</v>
      </c>
      <c r="F4488" s="1">
        <v>1</v>
      </c>
      <c r="G4488" s="1">
        <v>0</v>
      </c>
      <c r="H4488" s="6">
        <f>INT(Query1[[#This Row],[EntryDateTime]])</f>
        <v>44677</v>
      </c>
      <c r="I4488" s="1">
        <f>IF(Query1[[#This Row],[ItemType]]="EVAP KIT SF GEN IV",Query1[[#This Row],[OrderQty]]+I4487,I4487)</f>
        <v>5512</v>
      </c>
      <c r="J4488" s="1">
        <f>IF(Query1[[#This Row],[ItemType]]="EVAP KIT UNIVERSAL",Query1[[#This Row],[OrderQty]]+J4487,J4487)</f>
        <v>1803</v>
      </c>
      <c r="K4488" s="1">
        <f>Query1[[#This Row],[SF Running Total]]+Query1[[#This Row],[UNIV Running Total]]</f>
        <v>7315</v>
      </c>
      <c r="L4488">
        <f>VLOOKUP(Query1[[#This Row],[Description]],'kits to boards'!$B$2:$E$156,2,FALSE)</f>
        <v>830014</v>
      </c>
      <c r="M4488">
        <f>VLOOKUP(Query1[[#This Row],[Description]],'kits to boards'!$B$2:$E$156,3,FALSE)</f>
        <v>0</v>
      </c>
      <c r="N4488">
        <f>VLOOKUP(Query1[[#This Row],[Description]],'kits to boards'!$B$2:$E$156,4,FALSE)</f>
        <v>0</v>
      </c>
      <c r="O4488" t="str">
        <f>CONCATENATE(Query1[[#This Row],[Description]]," - ",Query1[[#This Row],[MB1]]," - ",Query1[[#This Row],[MB2]]," - ",Query1[[#This Row],[MB3]])</f>
        <v>EVAP KIT 67-72 CHEV P-UP WO AC - 830014 - 0 - 0</v>
      </c>
    </row>
    <row r="4489" spans="1:15" x14ac:dyDescent="0.25">
      <c r="A4489" s="1">
        <v>921192</v>
      </c>
      <c r="B4489" s="1" t="s">
        <v>240</v>
      </c>
      <c r="C4489" s="1" t="s">
        <v>241</v>
      </c>
      <c r="D4489" s="2">
        <v>44677.441754201391</v>
      </c>
      <c r="E4489" s="1" t="s">
        <v>8</v>
      </c>
      <c r="F4489" s="1">
        <v>1</v>
      </c>
      <c r="G4489" s="1">
        <v>0</v>
      </c>
      <c r="H4489" s="6">
        <f>INT(Query1[[#This Row],[EntryDateTime]])</f>
        <v>44677</v>
      </c>
      <c r="I4489" s="1">
        <f>IF(Query1[[#This Row],[ItemType]]="EVAP KIT SF GEN IV",Query1[[#This Row],[OrderQty]]+I4488,I4488)</f>
        <v>5513</v>
      </c>
      <c r="J4489" s="1">
        <f>IF(Query1[[#This Row],[ItemType]]="EVAP KIT UNIVERSAL",Query1[[#This Row],[OrderQty]]+J4488,J4488)</f>
        <v>1803</v>
      </c>
      <c r="K4489" s="1">
        <f>Query1[[#This Row],[SF Running Total]]+Query1[[#This Row],[UNIV Running Total]]</f>
        <v>7316</v>
      </c>
      <c r="L4489">
        <f>VLOOKUP(Query1[[#This Row],[Description]],'kits to boards'!$B$2:$E$156,2,FALSE)</f>
        <v>830032</v>
      </c>
      <c r="M4489">
        <f>VLOOKUP(Query1[[#This Row],[Description]],'kits to boards'!$B$2:$E$156,3,FALSE)</f>
        <v>0</v>
      </c>
      <c r="N4489">
        <f>VLOOKUP(Query1[[#This Row],[Description]],'kits to boards'!$B$2:$E$156,4,FALSE)</f>
        <v>0</v>
      </c>
      <c r="O4489" t="str">
        <f>CONCATENATE(Query1[[#This Row],[Description]]," - ",Query1[[#This Row],[MB1]]," - ",Query1[[#This Row],[MB2]]," - ",Query1[[#This Row],[MB3]])</f>
        <v>EVAP KIT 58-60 VETTE - 830032 - 0 - 0</v>
      </c>
    </row>
    <row r="4490" spans="1:15" x14ac:dyDescent="0.25">
      <c r="A4490" s="1">
        <v>918474</v>
      </c>
      <c r="B4490" s="1" t="s">
        <v>182</v>
      </c>
      <c r="C4490" s="1" t="s">
        <v>183</v>
      </c>
      <c r="D4490" s="2">
        <v>44677.442517592594</v>
      </c>
      <c r="E4490" s="1" t="s">
        <v>8</v>
      </c>
      <c r="F4490" s="1">
        <v>1</v>
      </c>
      <c r="G4490" s="1">
        <v>0</v>
      </c>
      <c r="H4490" s="6">
        <f>INT(Query1[[#This Row],[EntryDateTime]])</f>
        <v>44677</v>
      </c>
      <c r="I4490" s="1">
        <f>IF(Query1[[#This Row],[ItemType]]="EVAP KIT SF GEN IV",Query1[[#This Row],[OrderQty]]+I4489,I4489)</f>
        <v>5514</v>
      </c>
      <c r="J4490" s="1">
        <f>IF(Query1[[#This Row],[ItemType]]="EVAP KIT UNIVERSAL",Query1[[#This Row],[OrderQty]]+J4489,J4489)</f>
        <v>1803</v>
      </c>
      <c r="K4490" s="1">
        <f>Query1[[#This Row],[SF Running Total]]+Query1[[#This Row],[UNIV Running Total]]</f>
        <v>7317</v>
      </c>
      <c r="L4490">
        <f>VLOOKUP(Query1[[#This Row],[Description]],'kits to boards'!$B$2:$E$156,2,FALSE)</f>
        <v>830075</v>
      </c>
      <c r="M4490">
        <f>VLOOKUP(Query1[[#This Row],[Description]],'kits to boards'!$B$2:$E$156,3,FALSE)</f>
        <v>0</v>
      </c>
      <c r="N4490">
        <f>VLOOKUP(Query1[[#This Row],[Description]],'kits to boards'!$B$2:$E$156,4,FALSE)</f>
        <v>0</v>
      </c>
      <c r="O4490" t="str">
        <f>CONCATENATE(Query1[[#This Row],[Description]]," - ",Query1[[#This Row],[MB1]]," - ",Query1[[#This Row],[MB2]]," - ",Query1[[#This Row],[MB3]])</f>
        <v>EVAP KIT 69-70 MOPAR B BODY WO AC - 830075 - 0 - 0</v>
      </c>
    </row>
    <row r="4491" spans="1:15" x14ac:dyDescent="0.25">
      <c r="A4491" s="1">
        <v>921195</v>
      </c>
      <c r="B4491" s="1" t="s">
        <v>138</v>
      </c>
      <c r="C4491" s="1" t="s">
        <v>139</v>
      </c>
      <c r="D4491" s="2">
        <v>44677.444099224536</v>
      </c>
      <c r="E4491" s="1" t="s">
        <v>11</v>
      </c>
      <c r="F4491" s="1">
        <v>1</v>
      </c>
      <c r="G4491" s="1">
        <v>0</v>
      </c>
      <c r="H4491" s="6">
        <f>INT(Query1[[#This Row],[EntryDateTime]])</f>
        <v>44677</v>
      </c>
      <c r="I4491" s="1">
        <f>IF(Query1[[#This Row],[ItemType]]="EVAP KIT SF GEN IV",Query1[[#This Row],[OrderQty]]+I4490,I4490)</f>
        <v>5514</v>
      </c>
      <c r="J4491" s="1">
        <f>IF(Query1[[#This Row],[ItemType]]="EVAP KIT UNIVERSAL",Query1[[#This Row],[OrderQty]]+J4490,J4490)</f>
        <v>1804</v>
      </c>
      <c r="K4491" s="1">
        <f>Query1[[#This Row],[SF Running Total]]+Query1[[#This Row],[UNIV Running Total]]</f>
        <v>7318</v>
      </c>
      <c r="L4491">
        <f>VLOOKUP(Query1[[#This Row],[Description]],'kits to boards'!$B$2:$E$156,2,FALSE)</f>
        <v>0</v>
      </c>
      <c r="M4491">
        <f>VLOOKUP(Query1[[#This Row],[Description]],'kits to boards'!$B$2:$E$156,3,FALSE)</f>
        <v>0</v>
      </c>
      <c r="N4491">
        <f>VLOOKUP(Query1[[#This Row],[Description]],'kits to boards'!$B$2:$E$156,4,FALSE)</f>
        <v>0</v>
      </c>
      <c r="O4491" t="str">
        <f>CONCATENATE(Query1[[#This Row],[Description]]," - ",Query1[[#This Row],[MB1]]," - ",Query1[[#This Row],[MB2]]," - ",Query1[[#This Row],[MB3]])</f>
        <v>HERITAGE TURNED BLACK EVAP KIT HEAT/COOL - 0 - 0 - 0</v>
      </c>
    </row>
    <row r="4492" spans="1:15" x14ac:dyDescent="0.25">
      <c r="A4492" s="1">
        <v>921202</v>
      </c>
      <c r="B4492" s="1" t="s">
        <v>106</v>
      </c>
      <c r="C4492" s="1" t="s">
        <v>107</v>
      </c>
      <c r="D4492" s="2">
        <v>44677.466418321761</v>
      </c>
      <c r="E4492" s="1" t="s">
        <v>8</v>
      </c>
      <c r="F4492" s="1">
        <v>1</v>
      </c>
      <c r="G4492" s="1">
        <v>0</v>
      </c>
      <c r="H4492" s="6">
        <f>INT(Query1[[#This Row],[EntryDateTime]])</f>
        <v>44677</v>
      </c>
      <c r="I4492" s="1">
        <f>IF(Query1[[#This Row],[ItemType]]="EVAP KIT SF GEN IV",Query1[[#This Row],[OrderQty]]+I4491,I4491)</f>
        <v>5515</v>
      </c>
      <c r="J4492" s="1">
        <f>IF(Query1[[#This Row],[ItemType]]="EVAP KIT UNIVERSAL",Query1[[#This Row],[OrderQty]]+J4491,J4491)</f>
        <v>1804</v>
      </c>
      <c r="K4492" s="1">
        <f>Query1[[#This Row],[SF Running Total]]+Query1[[#This Row],[UNIV Running Total]]</f>
        <v>7319</v>
      </c>
      <c r="L4492">
        <f>VLOOKUP(Query1[[#This Row],[Description]],'kits to boards'!$B$2:$E$156,2,FALSE)</f>
        <v>830028</v>
      </c>
      <c r="M4492">
        <f>VLOOKUP(Query1[[#This Row],[Description]],'kits to boards'!$B$2:$E$156,3,FALSE)</f>
        <v>0</v>
      </c>
      <c r="N4492">
        <f>VLOOKUP(Query1[[#This Row],[Description]],'kits to boards'!$B$2:$E$156,4,FALSE)</f>
        <v>0</v>
      </c>
      <c r="O4492" t="str">
        <f>CONCATENATE(Query1[[#This Row],[Description]]," - ",Query1[[#This Row],[MB1]]," - ",Query1[[#This Row],[MB2]]," - ",Query1[[#This Row],[MB3]])</f>
        <v>EVAP KIT 55-59 CHEV P-UP WO AC W/DELX - 830028 - 0 - 0</v>
      </c>
    </row>
    <row r="4493" spans="1:15" x14ac:dyDescent="0.25">
      <c r="A4493" s="1">
        <v>921204</v>
      </c>
      <c r="B4493" s="1" t="s">
        <v>198</v>
      </c>
      <c r="C4493" s="1" t="s">
        <v>199</v>
      </c>
      <c r="D4493" s="2">
        <v>44677.476827777777</v>
      </c>
      <c r="E4493" s="1" t="s">
        <v>8</v>
      </c>
      <c r="F4493" s="1">
        <v>1</v>
      </c>
      <c r="G4493" s="1">
        <v>0</v>
      </c>
      <c r="H4493" s="6">
        <f>INT(Query1[[#This Row],[EntryDateTime]])</f>
        <v>44677</v>
      </c>
      <c r="I4493" s="1">
        <f>IF(Query1[[#This Row],[ItemType]]="EVAP KIT SF GEN IV",Query1[[#This Row],[OrderQty]]+I4492,I4492)</f>
        <v>5516</v>
      </c>
      <c r="J4493" s="1">
        <f>IF(Query1[[#This Row],[ItemType]]="EVAP KIT UNIVERSAL",Query1[[#This Row],[OrderQty]]+J4492,J4492)</f>
        <v>1804</v>
      </c>
      <c r="K4493" s="1">
        <f>Query1[[#This Row],[SF Running Total]]+Query1[[#This Row],[UNIV Running Total]]</f>
        <v>7320</v>
      </c>
      <c r="L4493">
        <f>VLOOKUP(Query1[[#This Row],[Description]],'kits to boards'!$B$2:$E$156,2,FALSE)</f>
        <v>830042</v>
      </c>
      <c r="M4493">
        <f>VLOOKUP(Query1[[#This Row],[Description]],'kits to boards'!$B$2:$E$156,3,FALSE)</f>
        <v>0</v>
      </c>
      <c r="N4493">
        <f>VLOOKUP(Query1[[#This Row],[Description]],'kits to boards'!$B$2:$E$156,4,FALSE)</f>
        <v>0</v>
      </c>
      <c r="O4493" t="str">
        <f>CONCATENATE(Query1[[#This Row],[Description]]," - ",Query1[[#This Row],[MB1]]," - ",Query1[[#This Row],[MB2]]," - ",Query1[[#This Row],[MB3]])</f>
        <v>EVAP KIT 68-83 TOYOTA FJ40 ULTRA HIGH PERF - 830042 - 0 - 0</v>
      </c>
    </row>
    <row r="4494" spans="1:15" x14ac:dyDescent="0.25">
      <c r="A4494" s="1">
        <v>920876</v>
      </c>
      <c r="B4494" s="1" t="s">
        <v>42</v>
      </c>
      <c r="C4494" s="1" t="s">
        <v>43</v>
      </c>
      <c r="D4494" s="2">
        <v>44677.478189467591</v>
      </c>
      <c r="E4494" s="1" t="s">
        <v>8</v>
      </c>
      <c r="F4494" s="1">
        <v>1</v>
      </c>
      <c r="G4494" s="1">
        <v>0</v>
      </c>
      <c r="H4494" s="6">
        <f>INT(Query1[[#This Row],[EntryDateTime]])</f>
        <v>44677</v>
      </c>
      <c r="I4494" s="1">
        <f>IF(Query1[[#This Row],[ItemType]]="EVAP KIT SF GEN IV",Query1[[#This Row],[OrderQty]]+I4493,I4493)</f>
        <v>5517</v>
      </c>
      <c r="J4494" s="1">
        <f>IF(Query1[[#This Row],[ItemType]]="EVAP KIT UNIVERSAL",Query1[[#This Row],[OrderQty]]+J4493,J4493)</f>
        <v>1804</v>
      </c>
      <c r="K4494" s="1">
        <f>Query1[[#This Row],[SF Running Total]]+Query1[[#This Row],[UNIV Running Total]]</f>
        <v>7321</v>
      </c>
      <c r="L4494">
        <f>VLOOKUP(Query1[[#This Row],[Description]],'kits to boards'!$B$2:$E$156,2,FALSE)</f>
        <v>830014</v>
      </c>
      <c r="M4494">
        <f>VLOOKUP(Query1[[#This Row],[Description]],'kits to boards'!$B$2:$E$156,3,FALSE)</f>
        <v>0</v>
      </c>
      <c r="N4494">
        <f>VLOOKUP(Query1[[#This Row],[Description]],'kits to boards'!$B$2:$E$156,4,FALSE)</f>
        <v>0</v>
      </c>
      <c r="O4494" t="str">
        <f>CONCATENATE(Query1[[#This Row],[Description]]," - ",Query1[[#This Row],[MB1]]," - ",Query1[[#This Row],[MB2]]," - ",Query1[[#This Row],[MB3]])</f>
        <v>EVAP KIT 67-72 CHEV P-UP WO AC - 830014 - 0 - 0</v>
      </c>
    </row>
    <row r="4495" spans="1:15" x14ac:dyDescent="0.25">
      <c r="A4495" s="1">
        <v>921205</v>
      </c>
      <c r="B4495" s="1" t="s">
        <v>124</v>
      </c>
      <c r="C4495" s="1" t="s">
        <v>125</v>
      </c>
      <c r="D4495" s="2">
        <v>44677.500249189812</v>
      </c>
      <c r="E4495" s="1" t="s">
        <v>8</v>
      </c>
      <c r="F4495" s="1">
        <v>1</v>
      </c>
      <c r="G4495" s="1">
        <v>0</v>
      </c>
      <c r="H4495" s="6">
        <f>INT(Query1[[#This Row],[EntryDateTime]])</f>
        <v>44677</v>
      </c>
      <c r="I4495" s="1">
        <f>IF(Query1[[#This Row],[ItemType]]="EVAP KIT SF GEN IV",Query1[[#This Row],[OrderQty]]+I4494,I4494)</f>
        <v>5518</v>
      </c>
      <c r="J4495" s="1">
        <f>IF(Query1[[#This Row],[ItemType]]="EVAP KIT UNIVERSAL",Query1[[#This Row],[OrderQty]]+J4494,J4494)</f>
        <v>1804</v>
      </c>
      <c r="K4495" s="1">
        <f>Query1[[#This Row],[SF Running Total]]+Query1[[#This Row],[UNIV Running Total]]</f>
        <v>7322</v>
      </c>
      <c r="L4495">
        <f>VLOOKUP(Query1[[#This Row],[Description]],'kits to boards'!$B$2:$E$156,2,FALSE)</f>
        <v>830002</v>
      </c>
      <c r="M4495">
        <f>VLOOKUP(Query1[[#This Row],[Description]],'kits to boards'!$B$2:$E$156,3,FALSE)</f>
        <v>0</v>
      </c>
      <c r="N4495">
        <f>VLOOKUP(Query1[[#This Row],[Description]],'kits to boards'!$B$2:$E$156,4,FALSE)</f>
        <v>0</v>
      </c>
      <c r="O4495" t="str">
        <f>CONCATENATE(Query1[[#This Row],[Description]]," - ",Query1[[#This Row],[MB1]]," - ",Query1[[#This Row],[MB2]]," - ",Query1[[#This Row],[MB3]])</f>
        <v>EVAP KIT 73-80 CHEV P-UP WO AC - 830002 - 0 - 0</v>
      </c>
    </row>
    <row r="4496" spans="1:15" x14ac:dyDescent="0.25">
      <c r="A4496" s="1">
        <v>921207</v>
      </c>
      <c r="B4496" s="1" t="s">
        <v>106</v>
      </c>
      <c r="C4496" s="1" t="s">
        <v>253</v>
      </c>
      <c r="D4496" s="2">
        <v>44677.501073298612</v>
      </c>
      <c r="E4496" s="1" t="s">
        <v>8</v>
      </c>
      <c r="F4496" s="1">
        <v>1</v>
      </c>
      <c r="G4496" s="1">
        <v>0</v>
      </c>
      <c r="H4496" s="6">
        <f>INT(Query1[[#This Row],[EntryDateTime]])</f>
        <v>44677</v>
      </c>
      <c r="I4496" s="1">
        <f>IF(Query1[[#This Row],[ItemType]]="EVAP KIT SF GEN IV",Query1[[#This Row],[OrderQty]]+I4495,I4495)</f>
        <v>5519</v>
      </c>
      <c r="J4496" s="1">
        <f>IF(Query1[[#This Row],[ItemType]]="EVAP KIT UNIVERSAL",Query1[[#This Row],[OrderQty]]+J4495,J4495)</f>
        <v>1804</v>
      </c>
      <c r="K4496" s="1">
        <f>Query1[[#This Row],[SF Running Total]]+Query1[[#This Row],[UNIV Running Total]]</f>
        <v>7323</v>
      </c>
      <c r="L4496">
        <f>VLOOKUP(Query1[[#This Row],[Description]],'kits to boards'!$B$2:$E$156,2,FALSE)</f>
        <v>830028</v>
      </c>
      <c r="M4496">
        <f>VLOOKUP(Query1[[#This Row],[Description]],'kits to boards'!$B$2:$E$156,3,FALSE)</f>
        <v>0</v>
      </c>
      <c r="N4496">
        <f>VLOOKUP(Query1[[#This Row],[Description]],'kits to boards'!$B$2:$E$156,4,FALSE)</f>
        <v>0</v>
      </c>
      <c r="O4496" t="str">
        <f>CONCATENATE(Query1[[#This Row],[Description]]," - ",Query1[[#This Row],[MB1]]," - ",Query1[[#This Row],[MB2]]," - ",Query1[[#This Row],[MB3]])</f>
        <v>EVAP KIT 55-59 CHEV P-UP WO AC W/DELX  - 830028 - 0 - 0</v>
      </c>
    </row>
    <row r="4497" spans="1:15" x14ac:dyDescent="0.25">
      <c r="A4497" s="1">
        <v>921209</v>
      </c>
      <c r="B4497" s="1" t="s">
        <v>98</v>
      </c>
      <c r="C4497" s="1" t="s">
        <v>99</v>
      </c>
      <c r="D4497" s="2">
        <v>44677.503970752317</v>
      </c>
      <c r="E4497" s="1" t="s">
        <v>11</v>
      </c>
      <c r="F4497" s="1">
        <v>5</v>
      </c>
      <c r="G4497" s="1">
        <v>0</v>
      </c>
      <c r="H4497" s="6">
        <f>INT(Query1[[#This Row],[EntryDateTime]])</f>
        <v>44677</v>
      </c>
      <c r="I4497" s="1">
        <f>IF(Query1[[#This Row],[ItemType]]="EVAP KIT SF GEN IV",Query1[[#This Row],[OrderQty]]+I4496,I4496)</f>
        <v>5519</v>
      </c>
      <c r="J4497" s="1">
        <f>IF(Query1[[#This Row],[ItemType]]="EVAP KIT UNIVERSAL",Query1[[#This Row],[OrderQty]]+J4496,J4496)</f>
        <v>1809</v>
      </c>
      <c r="K4497" s="1">
        <f>Query1[[#This Row],[SF Running Total]]+Query1[[#This Row],[UNIV Running Total]]</f>
        <v>7328</v>
      </c>
      <c r="L4497">
        <f>VLOOKUP(Query1[[#This Row],[Description]],'kits to boards'!$B$2:$E$156,2,FALSE)</f>
        <v>830099</v>
      </c>
      <c r="M4497">
        <f>VLOOKUP(Query1[[#This Row],[Description]],'kits to boards'!$B$2:$E$156,3,FALSE)</f>
        <v>0</v>
      </c>
      <c r="N4497">
        <f>VLOOKUP(Query1[[#This Row],[Description]],'kits to boards'!$B$2:$E$156,4,FALSE)</f>
        <v>0</v>
      </c>
      <c r="O4497" t="str">
        <f>CONCATENATE(Query1[[#This Row],[Description]]," - ",Query1[[#This Row],[MB1]]," - ",Query1[[#This Row],[MB2]]," - ",Query1[[#This Row],[MB3]])</f>
        <v>MINI GEN II W/DEF - 830099 - 0 - 0</v>
      </c>
    </row>
    <row r="4498" spans="1:15" x14ac:dyDescent="0.25">
      <c r="A4498" s="1">
        <v>921209</v>
      </c>
      <c r="B4498" s="1" t="s">
        <v>76</v>
      </c>
      <c r="C4498" s="1" t="s">
        <v>77</v>
      </c>
      <c r="D4498" s="2">
        <v>44677.504162696758</v>
      </c>
      <c r="E4498" s="1" t="s">
        <v>11</v>
      </c>
      <c r="F4498" s="1">
        <v>2</v>
      </c>
      <c r="G4498" s="1">
        <v>0</v>
      </c>
      <c r="H4498" s="6">
        <f>INT(Query1[[#This Row],[EntryDateTime]])</f>
        <v>44677</v>
      </c>
      <c r="I4498" s="1">
        <f>IF(Query1[[#This Row],[ItemType]]="EVAP KIT SF GEN IV",Query1[[#This Row],[OrderQty]]+I4497,I4497)</f>
        <v>5519</v>
      </c>
      <c r="J4498" s="1">
        <f>IF(Query1[[#This Row],[ItemType]]="EVAP KIT UNIVERSAL",Query1[[#This Row],[OrderQty]]+J4497,J4497)</f>
        <v>1811</v>
      </c>
      <c r="K4498" s="1">
        <f>Query1[[#This Row],[SF Running Total]]+Query1[[#This Row],[UNIV Running Total]]</f>
        <v>7330</v>
      </c>
      <c r="L4498">
        <f>VLOOKUP(Query1[[#This Row],[Description]],'kits to boards'!$B$2:$E$156,2,FALSE)</f>
        <v>830099</v>
      </c>
      <c r="M4498">
        <f>VLOOKUP(Query1[[#This Row],[Description]],'kits to boards'!$B$2:$E$156,3,FALSE)</f>
        <v>0</v>
      </c>
      <c r="N4498">
        <f>VLOOKUP(Query1[[#This Row],[Description]],'kits to boards'!$B$2:$E$156,4,FALSE)</f>
        <v>0</v>
      </c>
      <c r="O4498" t="str">
        <f>CONCATENATE(Query1[[#This Row],[Description]]," - ",Query1[[#This Row],[MB1]]," - ",Query1[[#This Row],[MB2]]," - ",Query1[[#This Row],[MB3]])</f>
        <v>MINI GEN II H/C - 830099 - 0 - 0</v>
      </c>
    </row>
    <row r="4499" spans="1:15" x14ac:dyDescent="0.25">
      <c r="A4499" s="1">
        <v>921209</v>
      </c>
      <c r="B4499" s="1" t="s">
        <v>24</v>
      </c>
      <c r="C4499" s="1" t="s">
        <v>25</v>
      </c>
      <c r="D4499" s="2">
        <v>44677.504383182873</v>
      </c>
      <c r="E4499" s="1" t="s">
        <v>11</v>
      </c>
      <c r="F4499" s="1">
        <v>4</v>
      </c>
      <c r="G4499" s="1">
        <v>0</v>
      </c>
      <c r="H4499" s="6">
        <f>INT(Query1[[#This Row],[EntryDateTime]])</f>
        <v>44677</v>
      </c>
      <c r="I4499" s="1">
        <f>IF(Query1[[#This Row],[ItemType]]="EVAP KIT SF GEN IV",Query1[[#This Row],[OrderQty]]+I4498,I4498)</f>
        <v>5519</v>
      </c>
      <c r="J4499" s="1">
        <f>IF(Query1[[#This Row],[ItemType]]="EVAP KIT UNIVERSAL",Query1[[#This Row],[OrderQty]]+J4498,J4498)</f>
        <v>1815</v>
      </c>
      <c r="K4499" s="1">
        <f>Query1[[#This Row],[SF Running Total]]+Query1[[#This Row],[UNIV Running Total]]</f>
        <v>7334</v>
      </c>
      <c r="L4499">
        <f>VLOOKUP(Query1[[#This Row],[Description]],'kits to boards'!$B$2:$E$156,2,FALSE)</f>
        <v>830029</v>
      </c>
      <c r="M4499">
        <f>VLOOKUP(Query1[[#This Row],[Description]],'kits to boards'!$B$2:$E$156,3,FALSE)</f>
        <v>830030</v>
      </c>
      <c r="N4499">
        <f>VLOOKUP(Query1[[#This Row],[Description]],'kits to boards'!$B$2:$E$156,4,FALSE)</f>
        <v>0</v>
      </c>
      <c r="O4499" t="str">
        <f>CONCATENATE(Query1[[#This Row],[Description]]," - ",Query1[[#This Row],[MB1]]," - ",Query1[[#This Row],[MB2]]," - ",Query1[[#This Row],[MB3]])</f>
        <v>ComPac GEN II W/DEF - 830029 - 830030 - 0</v>
      </c>
    </row>
    <row r="4500" spans="1:15" x14ac:dyDescent="0.25">
      <c r="A4500" s="1">
        <v>921213</v>
      </c>
      <c r="B4500" s="1" t="s">
        <v>42</v>
      </c>
      <c r="C4500" s="1" t="s">
        <v>43</v>
      </c>
      <c r="D4500" s="2">
        <v>44677.509344641207</v>
      </c>
      <c r="E4500" s="1" t="s">
        <v>8</v>
      </c>
      <c r="F4500" s="1">
        <v>1</v>
      </c>
      <c r="G4500" s="1">
        <v>0</v>
      </c>
      <c r="H4500" s="6">
        <f>INT(Query1[[#This Row],[EntryDateTime]])</f>
        <v>44677</v>
      </c>
      <c r="I4500" s="1">
        <f>IF(Query1[[#This Row],[ItemType]]="EVAP KIT SF GEN IV",Query1[[#This Row],[OrderQty]]+I4499,I4499)</f>
        <v>5520</v>
      </c>
      <c r="J4500" s="1">
        <f>IF(Query1[[#This Row],[ItemType]]="EVAP KIT UNIVERSAL",Query1[[#This Row],[OrderQty]]+J4499,J4499)</f>
        <v>1815</v>
      </c>
      <c r="K4500" s="1">
        <f>Query1[[#This Row],[SF Running Total]]+Query1[[#This Row],[UNIV Running Total]]</f>
        <v>7335</v>
      </c>
      <c r="L4500">
        <f>VLOOKUP(Query1[[#This Row],[Description]],'kits to boards'!$B$2:$E$156,2,FALSE)</f>
        <v>830014</v>
      </c>
      <c r="M4500">
        <f>VLOOKUP(Query1[[#This Row],[Description]],'kits to boards'!$B$2:$E$156,3,FALSE)</f>
        <v>0</v>
      </c>
      <c r="N4500">
        <f>VLOOKUP(Query1[[#This Row],[Description]],'kits to boards'!$B$2:$E$156,4,FALSE)</f>
        <v>0</v>
      </c>
      <c r="O4500" t="str">
        <f>CONCATENATE(Query1[[#This Row],[Description]]," - ",Query1[[#This Row],[MB1]]," - ",Query1[[#This Row],[MB2]]," - ",Query1[[#This Row],[MB3]])</f>
        <v>EVAP KIT 67-72 CHEV P-UP WO AC - 830014 - 0 - 0</v>
      </c>
    </row>
    <row r="4501" spans="1:15" x14ac:dyDescent="0.25">
      <c r="A4501" s="1">
        <v>921214</v>
      </c>
      <c r="B4501" s="1" t="s">
        <v>54</v>
      </c>
      <c r="C4501" s="1" t="s">
        <v>55</v>
      </c>
      <c r="D4501" s="2">
        <v>44677.51302392361</v>
      </c>
      <c r="E4501" s="1" t="s">
        <v>8</v>
      </c>
      <c r="F4501" s="1">
        <v>1</v>
      </c>
      <c r="G4501" s="1">
        <v>0</v>
      </c>
      <c r="H4501" s="6">
        <f>INT(Query1[[#This Row],[EntryDateTime]])</f>
        <v>44677</v>
      </c>
      <c r="I4501" s="1">
        <f>IF(Query1[[#This Row],[ItemType]]="EVAP KIT SF GEN IV",Query1[[#This Row],[OrderQty]]+I4500,I4500)</f>
        <v>5521</v>
      </c>
      <c r="J4501" s="1">
        <f>IF(Query1[[#This Row],[ItemType]]="EVAP KIT UNIVERSAL",Query1[[#This Row],[OrderQty]]+J4500,J4500)</f>
        <v>1815</v>
      </c>
      <c r="K4501" s="1">
        <f>Query1[[#This Row],[SF Running Total]]+Query1[[#This Row],[UNIV Running Total]]</f>
        <v>7336</v>
      </c>
      <c r="L4501">
        <f>VLOOKUP(Query1[[#This Row],[Description]],'kits to boards'!$B$2:$E$156,2,FALSE)</f>
        <v>830037</v>
      </c>
      <c r="M4501">
        <f>VLOOKUP(Query1[[#This Row],[Description]],'kits to boards'!$B$2:$E$156,3,FALSE)</f>
        <v>0</v>
      </c>
      <c r="N4501">
        <f>VLOOKUP(Query1[[#This Row],[Description]],'kits to boards'!$B$2:$E$156,4,FALSE)</f>
        <v>0</v>
      </c>
      <c r="O4501" t="str">
        <f>CONCATENATE(Query1[[#This Row],[Description]]," - ",Query1[[#This Row],[MB1]]," - ",Query1[[#This Row],[MB2]]," - ",Query1[[#This Row],[MB3]])</f>
        <v>EVAP KIT 70-81 FIREBIRD W/AC - 830037 - 0 - 0</v>
      </c>
    </row>
    <row r="4502" spans="1:15" x14ac:dyDescent="0.25">
      <c r="A4502" s="1">
        <v>920956</v>
      </c>
      <c r="B4502" s="1" t="s">
        <v>96</v>
      </c>
      <c r="C4502" s="1" t="s">
        <v>97</v>
      </c>
      <c r="D4502" s="2">
        <v>44677.519284872687</v>
      </c>
      <c r="E4502" s="1" t="s">
        <v>8</v>
      </c>
      <c r="F4502" s="1">
        <v>1</v>
      </c>
      <c r="G4502" s="1">
        <v>0</v>
      </c>
      <c r="H4502" s="6">
        <f>INT(Query1[[#This Row],[EntryDateTime]])</f>
        <v>44677</v>
      </c>
      <c r="I4502" s="1">
        <f>IF(Query1[[#This Row],[ItemType]]="EVAP KIT SF GEN IV",Query1[[#This Row],[OrderQty]]+I4501,I4501)</f>
        <v>5522</v>
      </c>
      <c r="J4502" s="1">
        <f>IF(Query1[[#This Row],[ItemType]]="EVAP KIT UNIVERSAL",Query1[[#This Row],[OrderQty]]+J4501,J4501)</f>
        <v>1815</v>
      </c>
      <c r="K4502" s="1">
        <f>Query1[[#This Row],[SF Running Total]]+Query1[[#This Row],[UNIV Running Total]]</f>
        <v>7337</v>
      </c>
      <c r="L4502">
        <f>VLOOKUP(Query1[[#This Row],[Description]],'kits to boards'!$B$2:$E$156,2,FALSE)</f>
        <v>830004</v>
      </c>
      <c r="M4502">
        <f>VLOOKUP(Query1[[#This Row],[Description]],'kits to boards'!$B$2:$E$156,3,FALSE)</f>
        <v>0</v>
      </c>
      <c r="N4502">
        <f>VLOOKUP(Query1[[#This Row],[Description]],'kits to boards'!$B$2:$E$156,4,FALSE)</f>
        <v>0</v>
      </c>
      <c r="O4502" t="str">
        <f>CONCATENATE(Query1[[#This Row],[Description]]," - ",Query1[[#This Row],[MB1]]," - ",Query1[[#This Row],[MB2]]," - ",Query1[[#This Row],[MB3]])</f>
        <v>EVAP KIT 81-87 CHEV P-UP W/AC - 830004 - 0 - 0</v>
      </c>
    </row>
    <row r="4503" spans="1:15" x14ac:dyDescent="0.25">
      <c r="A4503" s="1">
        <v>921224</v>
      </c>
      <c r="B4503" s="1" t="s">
        <v>6</v>
      </c>
      <c r="C4503" s="1" t="s">
        <v>7</v>
      </c>
      <c r="D4503" s="2">
        <v>44677.534233136575</v>
      </c>
      <c r="E4503" s="1" t="s">
        <v>8</v>
      </c>
      <c r="F4503" s="1">
        <v>1</v>
      </c>
      <c r="G4503" s="1">
        <v>0</v>
      </c>
      <c r="H4503" s="6">
        <f>INT(Query1[[#This Row],[EntryDateTime]])</f>
        <v>44677</v>
      </c>
      <c r="I4503" s="1">
        <f>IF(Query1[[#This Row],[ItemType]]="EVAP KIT SF GEN IV",Query1[[#This Row],[OrderQty]]+I4502,I4502)</f>
        <v>5523</v>
      </c>
      <c r="J4503" s="1">
        <f>IF(Query1[[#This Row],[ItemType]]="EVAP KIT UNIVERSAL",Query1[[#This Row],[OrderQty]]+J4502,J4502)</f>
        <v>1815</v>
      </c>
      <c r="K4503" s="1">
        <f>Query1[[#This Row],[SF Running Total]]+Query1[[#This Row],[UNIV Running Total]]</f>
        <v>7338</v>
      </c>
      <c r="L4503">
        <f>VLOOKUP(Query1[[#This Row],[Description]],'kits to boards'!$B$2:$E$156,2,FALSE)</f>
        <v>830132</v>
      </c>
      <c r="M4503">
        <f>VLOOKUP(Query1[[#This Row],[Description]],'kits to boards'!$B$2:$E$156,3,FALSE)</f>
        <v>0</v>
      </c>
      <c r="N4503">
        <f>VLOOKUP(Query1[[#This Row],[Description]],'kits to boards'!$B$2:$E$156,4,FALSE)</f>
        <v>0</v>
      </c>
      <c r="O4503" t="str">
        <f>CONCATENATE(Query1[[#This Row],[Description]]," - ",Query1[[#This Row],[MB1]]," - ",Query1[[#This Row],[MB2]]," - ",Query1[[#This Row],[MB3]])</f>
        <v>EVAP KIT 82-88 MONTE CARLO/EL CAMINO - 830132 - 0 - 0</v>
      </c>
    </row>
    <row r="4504" spans="1:15" x14ac:dyDescent="0.25">
      <c r="A4504" s="1">
        <v>921233</v>
      </c>
      <c r="B4504" s="1" t="s">
        <v>108</v>
      </c>
      <c r="C4504" s="1" t="s">
        <v>109</v>
      </c>
      <c r="D4504" s="2">
        <v>44677.549432638887</v>
      </c>
      <c r="E4504" s="1" t="s">
        <v>8</v>
      </c>
      <c r="F4504" s="1">
        <v>1</v>
      </c>
      <c r="G4504" s="1">
        <v>0</v>
      </c>
      <c r="H4504" s="6">
        <f>INT(Query1[[#This Row],[EntryDateTime]])</f>
        <v>44677</v>
      </c>
      <c r="I4504" s="1">
        <f>IF(Query1[[#This Row],[ItemType]]="EVAP KIT SF GEN IV",Query1[[#This Row],[OrderQty]]+I4503,I4503)</f>
        <v>5524</v>
      </c>
      <c r="J4504" s="1">
        <f>IF(Query1[[#This Row],[ItemType]]="EVAP KIT UNIVERSAL",Query1[[#This Row],[OrderQty]]+J4503,J4503)</f>
        <v>1815</v>
      </c>
      <c r="K4504" s="1">
        <f>Query1[[#This Row],[SF Running Total]]+Query1[[#This Row],[UNIV Running Total]]</f>
        <v>7339</v>
      </c>
      <c r="L4504">
        <f>VLOOKUP(Query1[[#This Row],[Description]],'kits to boards'!$B$2:$E$156,2,FALSE)</f>
        <v>830105</v>
      </c>
      <c r="M4504">
        <f>VLOOKUP(Query1[[#This Row],[Description]],'kits to boards'!$B$2:$E$156,3,FALSE)</f>
        <v>830106</v>
      </c>
      <c r="N4504">
        <f>VLOOKUP(Query1[[#This Row],[Description]],'kits to boards'!$B$2:$E$156,4,FALSE)</f>
        <v>0</v>
      </c>
      <c r="O4504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4505" spans="1:15" x14ac:dyDescent="0.25">
      <c r="A4505" s="1">
        <v>921238</v>
      </c>
      <c r="B4505" s="1" t="s">
        <v>120</v>
      </c>
      <c r="C4505" s="1" t="s">
        <v>121</v>
      </c>
      <c r="D4505" s="2">
        <v>44677.555083796295</v>
      </c>
      <c r="E4505" s="1" t="s">
        <v>8</v>
      </c>
      <c r="F4505" s="1">
        <v>1</v>
      </c>
      <c r="G4505" s="1">
        <v>0</v>
      </c>
      <c r="H4505" s="6">
        <f>INT(Query1[[#This Row],[EntryDateTime]])</f>
        <v>44677</v>
      </c>
      <c r="I4505" s="1">
        <f>IF(Query1[[#This Row],[ItemType]]="EVAP KIT SF GEN IV",Query1[[#This Row],[OrderQty]]+I4504,I4504)</f>
        <v>5525</v>
      </c>
      <c r="J4505" s="1">
        <f>IF(Query1[[#This Row],[ItemType]]="EVAP KIT UNIVERSAL",Query1[[#This Row],[OrderQty]]+J4504,J4504)</f>
        <v>1815</v>
      </c>
      <c r="K4505" s="1">
        <f>Query1[[#This Row],[SF Running Total]]+Query1[[#This Row],[UNIV Running Total]]</f>
        <v>7340</v>
      </c>
      <c r="L4505">
        <f>VLOOKUP(Query1[[#This Row],[Description]],'kits to boards'!$B$2:$E$156,2,FALSE)</f>
        <v>830014</v>
      </c>
      <c r="M4505">
        <f>VLOOKUP(Query1[[#This Row],[Description]],'kits to boards'!$B$2:$E$156,3,FALSE)</f>
        <v>0</v>
      </c>
      <c r="N4505">
        <f>VLOOKUP(Query1[[#This Row],[Description]],'kits to boards'!$B$2:$E$156,4,FALSE)</f>
        <v>0</v>
      </c>
      <c r="O4505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4506" spans="1:15" x14ac:dyDescent="0.25">
      <c r="A4506" s="1">
        <v>921254</v>
      </c>
      <c r="B4506" s="1" t="s">
        <v>140</v>
      </c>
      <c r="C4506" s="1" t="s">
        <v>141</v>
      </c>
      <c r="D4506" s="2">
        <v>44677.589930358794</v>
      </c>
      <c r="E4506" s="1" t="s">
        <v>8</v>
      </c>
      <c r="F4506" s="1">
        <v>1</v>
      </c>
      <c r="G4506" s="1">
        <v>0</v>
      </c>
      <c r="H4506" s="6">
        <f>INT(Query1[[#This Row],[EntryDateTime]])</f>
        <v>44677</v>
      </c>
      <c r="I4506" s="1">
        <f>IF(Query1[[#This Row],[ItemType]]="EVAP KIT SF GEN IV",Query1[[#This Row],[OrderQty]]+I4505,I4505)</f>
        <v>5526</v>
      </c>
      <c r="J4506" s="1">
        <f>IF(Query1[[#This Row],[ItemType]]="EVAP KIT UNIVERSAL",Query1[[#This Row],[OrderQty]]+J4505,J4505)</f>
        <v>1815</v>
      </c>
      <c r="K4506" s="1">
        <f>Query1[[#This Row],[SF Running Total]]+Query1[[#This Row],[UNIV Running Total]]</f>
        <v>7341</v>
      </c>
      <c r="L4506">
        <f>VLOOKUP(Query1[[#This Row],[Description]],'kits to boards'!$B$2:$E$156,2,FALSE)</f>
        <v>830066</v>
      </c>
      <c r="M4506">
        <f>VLOOKUP(Query1[[#This Row],[Description]],'kits to boards'!$B$2:$E$156,3,FALSE)</f>
        <v>0</v>
      </c>
      <c r="N4506">
        <f>VLOOKUP(Query1[[#This Row],[Description]],'kits to boards'!$B$2:$E$156,4,FALSE)</f>
        <v>0</v>
      </c>
      <c r="O4506" t="str">
        <f>CONCATENATE(Query1[[#This Row],[Description]]," - ",Query1[[#This Row],[MB1]]," - ",Query1[[#This Row],[MB2]]," - ",Query1[[#This Row],[MB3]])</f>
        <v>EVAP KIT 60-63 CHEV P-UP WO AC - 830066 - 0 - 0</v>
      </c>
    </row>
    <row r="4507" spans="1:15" x14ac:dyDescent="0.25">
      <c r="A4507" s="1">
        <v>921261</v>
      </c>
      <c r="B4507" s="1" t="s">
        <v>86</v>
      </c>
      <c r="C4507" s="1" t="s">
        <v>87</v>
      </c>
      <c r="D4507" s="2">
        <v>44677.600430902778</v>
      </c>
      <c r="E4507" s="1" t="s">
        <v>8</v>
      </c>
      <c r="F4507" s="1">
        <v>1</v>
      </c>
      <c r="G4507" s="1">
        <v>0</v>
      </c>
      <c r="H4507" s="6">
        <f>INT(Query1[[#This Row],[EntryDateTime]])</f>
        <v>44677</v>
      </c>
      <c r="I4507" s="1">
        <f>IF(Query1[[#This Row],[ItemType]]="EVAP KIT SF GEN IV",Query1[[#This Row],[OrderQty]]+I4506,I4506)</f>
        <v>5527</v>
      </c>
      <c r="J4507" s="1">
        <f>IF(Query1[[#This Row],[ItemType]]="EVAP KIT UNIVERSAL",Query1[[#This Row],[OrderQty]]+J4506,J4506)</f>
        <v>1815</v>
      </c>
      <c r="K4507" s="1">
        <f>Query1[[#This Row],[SF Running Total]]+Query1[[#This Row],[UNIV Running Total]]</f>
        <v>7342</v>
      </c>
      <c r="L4507">
        <f>VLOOKUP(Query1[[#This Row],[Description]],'kits to boards'!$B$2:$E$156,2,FALSE)</f>
        <v>830048</v>
      </c>
      <c r="M4507">
        <f>VLOOKUP(Query1[[#This Row],[Description]],'kits to boards'!$B$2:$E$156,3,FALSE)</f>
        <v>0</v>
      </c>
      <c r="N4507">
        <f>VLOOKUP(Query1[[#This Row],[Description]],'kits to boards'!$B$2:$E$156,4,FALSE)</f>
        <v>0</v>
      </c>
      <c r="O4507" t="str">
        <f>CONCATENATE(Query1[[#This Row],[Description]]," - ",Query1[[#This Row],[MB1]]," - ",Query1[[#This Row],[MB2]]," - ",Query1[[#This Row],[MB3]])</f>
        <v>EVAP KIT 66-67 NOVA - 830048 - 0 - 0</v>
      </c>
    </row>
    <row r="4508" spans="1:15" x14ac:dyDescent="0.25">
      <c r="A4508" s="1">
        <v>921267</v>
      </c>
      <c r="B4508" s="1" t="s">
        <v>98</v>
      </c>
      <c r="C4508" s="1" t="s">
        <v>99</v>
      </c>
      <c r="D4508" s="2">
        <v>44677.609133761573</v>
      </c>
      <c r="E4508" s="1" t="s">
        <v>11</v>
      </c>
      <c r="F4508" s="1">
        <v>1</v>
      </c>
      <c r="G4508" s="1">
        <v>0</v>
      </c>
      <c r="H4508" s="6">
        <f>INT(Query1[[#This Row],[EntryDateTime]])</f>
        <v>44677</v>
      </c>
      <c r="I4508" s="1">
        <f>IF(Query1[[#This Row],[ItemType]]="EVAP KIT SF GEN IV",Query1[[#This Row],[OrderQty]]+I4507,I4507)</f>
        <v>5527</v>
      </c>
      <c r="J4508" s="1">
        <f>IF(Query1[[#This Row],[ItemType]]="EVAP KIT UNIVERSAL",Query1[[#This Row],[OrderQty]]+J4507,J4507)</f>
        <v>1816</v>
      </c>
      <c r="K4508" s="1">
        <f>Query1[[#This Row],[SF Running Total]]+Query1[[#This Row],[UNIV Running Total]]</f>
        <v>7343</v>
      </c>
      <c r="L4508">
        <f>VLOOKUP(Query1[[#This Row],[Description]],'kits to boards'!$B$2:$E$156,2,FALSE)</f>
        <v>830099</v>
      </c>
      <c r="M4508">
        <f>VLOOKUP(Query1[[#This Row],[Description]],'kits to boards'!$B$2:$E$156,3,FALSE)</f>
        <v>0</v>
      </c>
      <c r="N4508">
        <f>VLOOKUP(Query1[[#This Row],[Description]],'kits to boards'!$B$2:$E$156,4,FALSE)</f>
        <v>0</v>
      </c>
      <c r="O4508" t="str">
        <f>CONCATENATE(Query1[[#This Row],[Description]]," - ",Query1[[#This Row],[MB1]]," - ",Query1[[#This Row],[MB2]]," - ",Query1[[#This Row],[MB3]])</f>
        <v>MINI GEN II W/DEF - 830099 - 0 - 0</v>
      </c>
    </row>
    <row r="4509" spans="1:15" x14ac:dyDescent="0.25">
      <c r="A4509" s="1">
        <v>921267</v>
      </c>
      <c r="B4509" s="1" t="s">
        <v>20</v>
      </c>
      <c r="C4509" s="1" t="s">
        <v>21</v>
      </c>
      <c r="D4509" s="2">
        <v>44677.609490474541</v>
      </c>
      <c r="E4509" s="1" t="s">
        <v>11</v>
      </c>
      <c r="F4509" s="1">
        <v>1</v>
      </c>
      <c r="G4509" s="1">
        <v>0</v>
      </c>
      <c r="H4509" s="6">
        <f>INT(Query1[[#This Row],[EntryDateTime]])</f>
        <v>44677</v>
      </c>
      <c r="I4509" s="1">
        <f>IF(Query1[[#This Row],[ItemType]]="EVAP KIT SF GEN IV",Query1[[#This Row],[OrderQty]]+I4508,I4508)</f>
        <v>5527</v>
      </c>
      <c r="J4509" s="1">
        <f>IF(Query1[[#This Row],[ItemType]]="EVAP KIT UNIVERSAL",Query1[[#This Row],[OrderQty]]+J4508,J4508)</f>
        <v>1817</v>
      </c>
      <c r="K4509" s="1">
        <f>Query1[[#This Row],[SF Running Total]]+Query1[[#This Row],[UNIV Running Total]]</f>
        <v>7344</v>
      </c>
      <c r="L4509">
        <f>VLOOKUP(Query1[[#This Row],[Description]],'kits to boards'!$B$2:$E$156,2,FALSE)</f>
        <v>830102</v>
      </c>
      <c r="M4509">
        <f>VLOOKUP(Query1[[#This Row],[Description]],'kits to boards'!$B$2:$E$156,3,FALSE)</f>
        <v>0</v>
      </c>
      <c r="N4509">
        <f>VLOOKUP(Query1[[#This Row],[Description]],'kits to boards'!$B$2:$E$156,4,FALSE)</f>
        <v>0</v>
      </c>
      <c r="O4509" t="str">
        <f>CONCATENATE(Query1[[#This Row],[Description]]," - ",Query1[[#This Row],[MB1]]," - ",Query1[[#This Row],[MB2]]," - ",Query1[[#This Row],[MB3]])</f>
        <v>SUPER GEN II W/DEF - 830102 - 0 - 0</v>
      </c>
    </row>
    <row r="4510" spans="1:15" x14ac:dyDescent="0.25">
      <c r="A4510" s="1">
        <v>921230</v>
      </c>
      <c r="B4510" s="1" t="s">
        <v>112</v>
      </c>
      <c r="C4510" s="1" t="s">
        <v>113</v>
      </c>
      <c r="D4510" s="2">
        <v>44677.609575960647</v>
      </c>
      <c r="E4510" s="1" t="s">
        <v>8</v>
      </c>
      <c r="F4510" s="1">
        <v>1</v>
      </c>
      <c r="G4510" s="1">
        <v>0</v>
      </c>
      <c r="H4510" s="6">
        <f>INT(Query1[[#This Row],[EntryDateTime]])</f>
        <v>44677</v>
      </c>
      <c r="I4510" s="1">
        <f>IF(Query1[[#This Row],[ItemType]]="EVAP KIT SF GEN IV",Query1[[#This Row],[OrderQty]]+I4509,I4509)</f>
        <v>5528</v>
      </c>
      <c r="J4510" s="1">
        <f>IF(Query1[[#This Row],[ItemType]]="EVAP KIT UNIVERSAL",Query1[[#This Row],[OrderQty]]+J4509,J4509)</f>
        <v>1817</v>
      </c>
      <c r="K4510" s="1">
        <f>Query1[[#This Row],[SF Running Total]]+Query1[[#This Row],[UNIV Running Total]]</f>
        <v>7345</v>
      </c>
      <c r="L4510">
        <f>VLOOKUP(Query1[[#This Row],[Description]],'kits to boards'!$B$2:$E$156,2,FALSE)</f>
        <v>830063</v>
      </c>
      <c r="M4510">
        <f>VLOOKUP(Query1[[#This Row],[Description]],'kits to boards'!$B$2:$E$156,3,FALSE)</f>
        <v>0</v>
      </c>
      <c r="N4510">
        <f>VLOOKUP(Query1[[#This Row],[Description]],'kits to boards'!$B$2:$E$156,4,FALSE)</f>
        <v>0</v>
      </c>
      <c r="O4510" t="str">
        <f>CONCATENATE(Query1[[#This Row],[Description]]," - ",Query1[[#This Row],[MB1]]," - ",Query1[[#This Row],[MB2]]," - ",Query1[[#This Row],[MB3]])</f>
        <v>EVAP KIT 54-55 CHEV P-UP GEN IV - 830063 - 0 - 0</v>
      </c>
    </row>
    <row r="4511" spans="1:15" x14ac:dyDescent="0.25">
      <c r="A4511" s="1">
        <v>921266</v>
      </c>
      <c r="B4511" s="1" t="s">
        <v>12</v>
      </c>
      <c r="C4511" s="1" t="s">
        <v>13</v>
      </c>
      <c r="D4511" s="2">
        <v>44677.609722534726</v>
      </c>
      <c r="E4511" s="1" t="s">
        <v>8</v>
      </c>
      <c r="F4511" s="1">
        <v>1</v>
      </c>
      <c r="G4511" s="1">
        <v>0</v>
      </c>
      <c r="H4511" s="6">
        <f>INT(Query1[[#This Row],[EntryDateTime]])</f>
        <v>44677</v>
      </c>
      <c r="I4511" s="1">
        <f>IF(Query1[[#This Row],[ItemType]]="EVAP KIT SF GEN IV",Query1[[#This Row],[OrderQty]]+I4510,I4510)</f>
        <v>5529</v>
      </c>
      <c r="J4511" s="1">
        <f>IF(Query1[[#This Row],[ItemType]]="EVAP KIT UNIVERSAL",Query1[[#This Row],[OrderQty]]+J4510,J4510)</f>
        <v>1817</v>
      </c>
      <c r="K4511" s="1">
        <f>Query1[[#This Row],[SF Running Total]]+Query1[[#This Row],[UNIV Running Total]]</f>
        <v>7346</v>
      </c>
      <c r="L4511">
        <f>VLOOKUP(Query1[[#This Row],[Description]],'kits to boards'!$B$2:$E$156,2,FALSE)</f>
        <v>830079</v>
      </c>
      <c r="M4511">
        <f>VLOOKUP(Query1[[#This Row],[Description]],'kits to boards'!$B$2:$E$156,3,FALSE)</f>
        <v>830046</v>
      </c>
      <c r="N4511">
        <f>VLOOKUP(Query1[[#This Row],[Description]],'kits to boards'!$B$2:$E$156,4,FALSE)</f>
        <v>0</v>
      </c>
      <c r="O4511" t="str">
        <f>CONCATENATE(Query1[[#This Row],[Description]]," - ",Query1[[#This Row],[MB1]]," - ",Query1[[#This Row],[MB2]]," - ",Query1[[#This Row],[MB3]])</f>
        <v>EVAP KIT 67-68 MUSTANG/COUGAR W/AC - 830079 - 830046 - 0</v>
      </c>
    </row>
    <row r="4512" spans="1:15" x14ac:dyDescent="0.25">
      <c r="A4512" s="1">
        <v>921269</v>
      </c>
      <c r="B4512" s="1" t="s">
        <v>96</v>
      </c>
      <c r="C4512" s="1" t="s">
        <v>97</v>
      </c>
      <c r="D4512" s="2">
        <v>44677.611566435182</v>
      </c>
      <c r="E4512" s="1" t="s">
        <v>8</v>
      </c>
      <c r="F4512" s="1">
        <v>1</v>
      </c>
      <c r="G4512" s="1">
        <v>0</v>
      </c>
      <c r="H4512" s="6">
        <f>INT(Query1[[#This Row],[EntryDateTime]])</f>
        <v>44677</v>
      </c>
      <c r="I4512" s="1">
        <f>IF(Query1[[#This Row],[ItemType]]="EVAP KIT SF GEN IV",Query1[[#This Row],[OrderQty]]+I4511,I4511)</f>
        <v>5530</v>
      </c>
      <c r="J4512" s="1">
        <f>IF(Query1[[#This Row],[ItemType]]="EVAP KIT UNIVERSAL",Query1[[#This Row],[OrderQty]]+J4511,J4511)</f>
        <v>1817</v>
      </c>
      <c r="K4512" s="1">
        <f>Query1[[#This Row],[SF Running Total]]+Query1[[#This Row],[UNIV Running Total]]</f>
        <v>7347</v>
      </c>
      <c r="L4512">
        <f>VLOOKUP(Query1[[#This Row],[Description]],'kits to boards'!$B$2:$E$156,2,FALSE)</f>
        <v>830004</v>
      </c>
      <c r="M4512">
        <f>VLOOKUP(Query1[[#This Row],[Description]],'kits to boards'!$B$2:$E$156,3,FALSE)</f>
        <v>0</v>
      </c>
      <c r="N4512">
        <f>VLOOKUP(Query1[[#This Row],[Description]],'kits to boards'!$B$2:$E$156,4,FALSE)</f>
        <v>0</v>
      </c>
      <c r="O4512" t="str">
        <f>CONCATENATE(Query1[[#This Row],[Description]]," - ",Query1[[#This Row],[MB1]]," - ",Query1[[#This Row],[MB2]]," - ",Query1[[#This Row],[MB3]])</f>
        <v>EVAP KIT 81-87 CHEV P-UP W/AC - 830004 - 0 - 0</v>
      </c>
    </row>
    <row r="4513" spans="1:15" x14ac:dyDescent="0.25">
      <c r="A4513" s="1">
        <v>921274</v>
      </c>
      <c r="B4513" s="1" t="s">
        <v>142</v>
      </c>
      <c r="C4513" s="1" t="s">
        <v>143</v>
      </c>
      <c r="D4513" s="2">
        <v>44677.61392265046</v>
      </c>
      <c r="E4513" s="1" t="s">
        <v>8</v>
      </c>
      <c r="F4513" s="1">
        <v>1</v>
      </c>
      <c r="G4513" s="1">
        <v>0</v>
      </c>
      <c r="H4513" s="6">
        <f>INT(Query1[[#This Row],[EntryDateTime]])</f>
        <v>44677</v>
      </c>
      <c r="I4513" s="1">
        <f>IF(Query1[[#This Row],[ItemType]]="EVAP KIT SF GEN IV",Query1[[#This Row],[OrderQty]]+I4512,I4512)</f>
        <v>5531</v>
      </c>
      <c r="J4513" s="1">
        <f>IF(Query1[[#This Row],[ItemType]]="EVAP KIT UNIVERSAL",Query1[[#This Row],[OrderQty]]+J4512,J4512)</f>
        <v>1817</v>
      </c>
      <c r="K4513" s="1">
        <f>Query1[[#This Row],[SF Running Total]]+Query1[[#This Row],[UNIV Running Total]]</f>
        <v>7348</v>
      </c>
      <c r="L4513">
        <f>VLOOKUP(Query1[[#This Row],[Description]],'kits to boards'!$B$2:$E$156,2,FALSE)</f>
        <v>830052</v>
      </c>
      <c r="M4513">
        <f>VLOOKUP(Query1[[#This Row],[Description]],'kits to boards'!$B$2:$E$156,3,FALSE)</f>
        <v>0</v>
      </c>
      <c r="N4513">
        <f>VLOOKUP(Query1[[#This Row],[Description]],'kits to boards'!$B$2:$E$156,4,FALSE)</f>
        <v>0</v>
      </c>
      <c r="O4513" t="str">
        <f>CONCATENATE(Query1[[#This Row],[Description]]," - ",Query1[[#This Row],[MB1]]," - ",Query1[[#This Row],[MB2]]," - ",Query1[[#This Row],[MB3]])</f>
        <v>EVAP KIT 61-64 FORD F-100 - 830052 - 0 - 0</v>
      </c>
    </row>
    <row r="4514" spans="1:15" x14ac:dyDescent="0.25">
      <c r="A4514" s="1">
        <v>921275</v>
      </c>
      <c r="B4514" s="1" t="s">
        <v>62</v>
      </c>
      <c r="C4514" s="1" t="s">
        <v>63</v>
      </c>
      <c r="D4514" s="2">
        <v>44677.615319363424</v>
      </c>
      <c r="E4514" s="1" t="s">
        <v>8</v>
      </c>
      <c r="F4514" s="1">
        <v>1</v>
      </c>
      <c r="G4514" s="1">
        <v>0</v>
      </c>
      <c r="H4514" s="6">
        <f>INT(Query1[[#This Row],[EntryDateTime]])</f>
        <v>44677</v>
      </c>
      <c r="I4514" s="1">
        <f>IF(Query1[[#This Row],[ItemType]]="EVAP KIT SF GEN IV",Query1[[#This Row],[OrderQty]]+I4513,I4513)</f>
        <v>5532</v>
      </c>
      <c r="J4514" s="1">
        <f>IF(Query1[[#This Row],[ItemType]]="EVAP KIT UNIVERSAL",Query1[[#This Row],[OrderQty]]+J4513,J4513)</f>
        <v>1817</v>
      </c>
      <c r="K4514" s="1">
        <f>Query1[[#This Row],[SF Running Total]]+Query1[[#This Row],[UNIV Running Total]]</f>
        <v>7349</v>
      </c>
      <c r="L4514">
        <f>VLOOKUP(Query1[[#This Row],[Description]],'kits to boards'!$B$2:$E$156,2,FALSE)</f>
        <v>830079</v>
      </c>
      <c r="M4514">
        <f>VLOOKUP(Query1[[#This Row],[Description]],'kits to boards'!$B$2:$E$156,3,FALSE)</f>
        <v>830046</v>
      </c>
      <c r="N4514">
        <f>VLOOKUP(Query1[[#This Row],[Description]],'kits to boards'!$B$2:$E$156,4,FALSE)</f>
        <v>0</v>
      </c>
      <c r="O4514" t="str">
        <f>CONCATENATE(Query1[[#This Row],[Description]]," - ",Query1[[#This Row],[MB1]]," - ",Query1[[#This Row],[MB2]]," - ",Query1[[#This Row],[MB3]])</f>
        <v>EVAP KIT 67-68 MUSTANG/COUGAR WO AC - 830079 - 830046 - 0</v>
      </c>
    </row>
    <row r="4515" spans="1:15" x14ac:dyDescent="0.25">
      <c r="A4515" s="1">
        <v>921275</v>
      </c>
      <c r="B4515" s="1" t="s">
        <v>12</v>
      </c>
      <c r="C4515" s="1" t="s">
        <v>13</v>
      </c>
      <c r="D4515" s="2">
        <v>44677.61532109954</v>
      </c>
      <c r="E4515" s="1" t="s">
        <v>8</v>
      </c>
      <c r="F4515" s="1">
        <v>1</v>
      </c>
      <c r="G4515" s="1">
        <v>0</v>
      </c>
      <c r="H4515" s="6">
        <f>INT(Query1[[#This Row],[EntryDateTime]])</f>
        <v>44677</v>
      </c>
      <c r="I4515" s="1">
        <f>IF(Query1[[#This Row],[ItemType]]="EVAP KIT SF GEN IV",Query1[[#This Row],[OrderQty]]+I4514,I4514)</f>
        <v>5533</v>
      </c>
      <c r="J4515" s="1">
        <f>IF(Query1[[#This Row],[ItemType]]="EVAP KIT UNIVERSAL",Query1[[#This Row],[OrderQty]]+J4514,J4514)</f>
        <v>1817</v>
      </c>
      <c r="K4515" s="1">
        <f>Query1[[#This Row],[SF Running Total]]+Query1[[#This Row],[UNIV Running Total]]</f>
        <v>7350</v>
      </c>
      <c r="L4515">
        <f>VLOOKUP(Query1[[#This Row],[Description]],'kits to boards'!$B$2:$E$156,2,FALSE)</f>
        <v>830079</v>
      </c>
      <c r="M4515">
        <f>VLOOKUP(Query1[[#This Row],[Description]],'kits to boards'!$B$2:$E$156,3,FALSE)</f>
        <v>830046</v>
      </c>
      <c r="N4515">
        <f>VLOOKUP(Query1[[#This Row],[Description]],'kits to boards'!$B$2:$E$156,4,FALSE)</f>
        <v>0</v>
      </c>
      <c r="O4515" t="str">
        <f>CONCATENATE(Query1[[#This Row],[Description]]," - ",Query1[[#This Row],[MB1]]," - ",Query1[[#This Row],[MB2]]," - ",Query1[[#This Row],[MB3]])</f>
        <v>EVAP KIT 67-68 MUSTANG/COUGAR W/AC - 830079 - 830046 - 0</v>
      </c>
    </row>
    <row r="4516" spans="1:15" x14ac:dyDescent="0.25">
      <c r="A4516" s="1">
        <v>921275</v>
      </c>
      <c r="B4516" s="1" t="s">
        <v>52</v>
      </c>
      <c r="C4516" s="1" t="s">
        <v>53</v>
      </c>
      <c r="D4516" s="2">
        <v>44677.615322800928</v>
      </c>
      <c r="E4516" s="1" t="s">
        <v>8</v>
      </c>
      <c r="F4516" s="1">
        <v>2</v>
      </c>
      <c r="G4516" s="1">
        <v>0</v>
      </c>
      <c r="H4516" s="6">
        <f>INT(Query1[[#This Row],[EntryDateTime]])</f>
        <v>44677</v>
      </c>
      <c r="I4516" s="1">
        <f>IF(Query1[[#This Row],[ItemType]]="EVAP KIT SF GEN IV",Query1[[#This Row],[OrderQty]]+I4515,I4515)</f>
        <v>5535</v>
      </c>
      <c r="J4516" s="1">
        <f>IF(Query1[[#This Row],[ItemType]]="EVAP KIT UNIVERSAL",Query1[[#This Row],[OrderQty]]+J4515,J4515)</f>
        <v>1817</v>
      </c>
      <c r="K4516" s="1">
        <f>Query1[[#This Row],[SF Running Total]]+Query1[[#This Row],[UNIV Running Total]]</f>
        <v>7352</v>
      </c>
      <c r="L4516">
        <f>VLOOKUP(Query1[[#This Row],[Description]],'kits to boards'!$B$2:$E$156,2,FALSE)</f>
        <v>830017</v>
      </c>
      <c r="M4516">
        <f>VLOOKUP(Query1[[#This Row],[Description]],'kits to boards'!$B$2:$E$156,3,FALSE)</f>
        <v>830119</v>
      </c>
      <c r="N4516">
        <f>VLOOKUP(Query1[[#This Row],[Description]],'kits to boards'!$B$2:$E$156,4,FALSE)</f>
        <v>830120</v>
      </c>
      <c r="O4516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4517" spans="1:15" x14ac:dyDescent="0.25">
      <c r="A4517" s="1">
        <v>921275</v>
      </c>
      <c r="B4517" s="1" t="s">
        <v>102</v>
      </c>
      <c r="C4517" s="1" t="s">
        <v>103</v>
      </c>
      <c r="D4517" s="2">
        <v>44677.615324502316</v>
      </c>
      <c r="E4517" s="1" t="s">
        <v>8</v>
      </c>
      <c r="F4517" s="1">
        <v>1</v>
      </c>
      <c r="G4517" s="1">
        <v>0</v>
      </c>
      <c r="H4517" s="6">
        <f>INT(Query1[[#This Row],[EntryDateTime]])</f>
        <v>44677</v>
      </c>
      <c r="I4517" s="1">
        <f>IF(Query1[[#This Row],[ItemType]]="EVAP KIT SF GEN IV",Query1[[#This Row],[OrderQty]]+I4516,I4516)</f>
        <v>5536</v>
      </c>
      <c r="J4517" s="1">
        <f>IF(Query1[[#This Row],[ItemType]]="EVAP KIT UNIVERSAL",Query1[[#This Row],[OrderQty]]+J4516,J4516)</f>
        <v>1817</v>
      </c>
      <c r="K4517" s="1">
        <f>Query1[[#This Row],[SF Running Total]]+Query1[[#This Row],[UNIV Running Total]]</f>
        <v>7353</v>
      </c>
      <c r="L4517">
        <f>VLOOKUP(Query1[[#This Row],[Description]],'kits to boards'!$B$2:$E$156,2,FALSE)</f>
        <v>830012</v>
      </c>
      <c r="M4517">
        <f>VLOOKUP(Query1[[#This Row],[Description]],'kits to boards'!$B$2:$E$156,3,FALSE)</f>
        <v>0</v>
      </c>
      <c r="N4517">
        <f>VLOOKUP(Query1[[#This Row],[Description]],'kits to boards'!$B$2:$E$156,4,FALSE)</f>
        <v>0</v>
      </c>
      <c r="O4517" t="str">
        <f>CONCATENATE(Query1[[#This Row],[Description]]," - ",Query1[[#This Row],[MB1]]," - ",Query1[[#This Row],[MB2]]," - ",Query1[[#This Row],[MB3]])</f>
        <v>EVAP KIT 69 CAMARO WO/AC - 830012 - 0 - 0</v>
      </c>
    </row>
    <row r="4518" spans="1:15" x14ac:dyDescent="0.25">
      <c r="A4518" s="1">
        <v>921275</v>
      </c>
      <c r="B4518" s="1" t="s">
        <v>14</v>
      </c>
      <c r="C4518" s="1" t="s">
        <v>15</v>
      </c>
      <c r="D4518" s="2">
        <v>44677.615326157407</v>
      </c>
      <c r="E4518" s="1" t="s">
        <v>8</v>
      </c>
      <c r="F4518" s="1">
        <v>1</v>
      </c>
      <c r="G4518" s="1">
        <v>0</v>
      </c>
      <c r="H4518" s="6">
        <f>INT(Query1[[#This Row],[EntryDateTime]])</f>
        <v>44677</v>
      </c>
      <c r="I4518" s="1">
        <f>IF(Query1[[#This Row],[ItemType]]="EVAP KIT SF GEN IV",Query1[[#This Row],[OrderQty]]+I4517,I4517)</f>
        <v>5537</v>
      </c>
      <c r="J4518" s="1">
        <f>IF(Query1[[#This Row],[ItemType]]="EVAP KIT UNIVERSAL",Query1[[#This Row],[OrderQty]]+J4517,J4517)</f>
        <v>1817</v>
      </c>
      <c r="K4518" s="1">
        <f>Query1[[#This Row],[SF Running Total]]+Query1[[#This Row],[UNIV Running Total]]</f>
        <v>7354</v>
      </c>
      <c r="L4518">
        <f>VLOOKUP(Query1[[#This Row],[Description]],'kits to boards'!$B$2:$E$156,2,FALSE)</f>
        <v>830054</v>
      </c>
      <c r="M4518">
        <f>VLOOKUP(Query1[[#This Row],[Description]],'kits to boards'!$B$2:$E$156,3,FALSE)</f>
        <v>0</v>
      </c>
      <c r="N4518">
        <f>VLOOKUP(Query1[[#This Row],[Description]],'kits to boards'!$B$2:$E$156,4,FALSE)</f>
        <v>0</v>
      </c>
      <c r="O4518" t="str">
        <f>CONCATENATE(Query1[[#This Row],[Description]]," - ",Query1[[#This Row],[MB1]]," - ",Query1[[#This Row],[MB2]]," - ",Query1[[#This Row],[MB3]])</f>
        <v>EVAP KIT 55-56 CHEVY - 830054 - 0 - 0</v>
      </c>
    </row>
    <row r="4519" spans="1:15" x14ac:dyDescent="0.25">
      <c r="A4519" s="1">
        <v>921275</v>
      </c>
      <c r="B4519" s="1" t="s">
        <v>74</v>
      </c>
      <c r="C4519" s="1" t="s">
        <v>75</v>
      </c>
      <c r="D4519" s="2">
        <v>44677.615327812498</v>
      </c>
      <c r="E4519" s="1" t="s">
        <v>8</v>
      </c>
      <c r="F4519" s="1">
        <v>1</v>
      </c>
      <c r="G4519" s="1">
        <v>0</v>
      </c>
      <c r="H4519" s="6">
        <f>INT(Query1[[#This Row],[EntryDateTime]])</f>
        <v>44677</v>
      </c>
      <c r="I4519" s="1">
        <f>IF(Query1[[#This Row],[ItemType]]="EVAP KIT SF GEN IV",Query1[[#This Row],[OrderQty]]+I4518,I4518)</f>
        <v>5538</v>
      </c>
      <c r="J4519" s="1">
        <f>IF(Query1[[#This Row],[ItemType]]="EVAP KIT UNIVERSAL",Query1[[#This Row],[OrderQty]]+J4518,J4518)</f>
        <v>1817</v>
      </c>
      <c r="K4519" s="1">
        <f>Query1[[#This Row],[SF Running Total]]+Query1[[#This Row],[UNIV Running Total]]</f>
        <v>7355</v>
      </c>
      <c r="L4519">
        <f>VLOOKUP(Query1[[#This Row],[Description]],'kits to boards'!$B$2:$E$156,2,FALSE)</f>
        <v>830065</v>
      </c>
      <c r="M4519">
        <f>VLOOKUP(Query1[[#This Row],[Description]],'kits to boards'!$B$2:$E$156,3,FALSE)</f>
        <v>0</v>
      </c>
      <c r="N4519">
        <f>VLOOKUP(Query1[[#This Row],[Description]],'kits to boards'!$B$2:$E$156,4,FALSE)</f>
        <v>0</v>
      </c>
      <c r="O4519" t="str">
        <f>CONCATENATE(Query1[[#This Row],[Description]]," - ",Query1[[#This Row],[MB1]]," - ",Query1[[#This Row],[MB2]]," - ",Query1[[#This Row],[MB3]])</f>
        <v>EVAP KIT 57 CHEV WO AC 4-VENT PLENUM - 830065 - 0 - 0</v>
      </c>
    </row>
    <row r="4520" spans="1:15" x14ac:dyDescent="0.25">
      <c r="A4520" s="1">
        <v>921275</v>
      </c>
      <c r="B4520" s="1" t="s">
        <v>22</v>
      </c>
      <c r="C4520" s="1" t="s">
        <v>23</v>
      </c>
      <c r="D4520" s="2">
        <v>44677.615329513887</v>
      </c>
      <c r="E4520" s="1" t="s">
        <v>8</v>
      </c>
      <c r="F4520" s="1">
        <v>2</v>
      </c>
      <c r="G4520" s="1">
        <v>0</v>
      </c>
      <c r="H4520" s="6">
        <f>INT(Query1[[#This Row],[EntryDateTime]])</f>
        <v>44677</v>
      </c>
      <c r="I4520" s="1">
        <f>IF(Query1[[#This Row],[ItemType]]="EVAP KIT SF GEN IV",Query1[[#This Row],[OrderQty]]+I4519,I4519)</f>
        <v>5540</v>
      </c>
      <c r="J4520" s="1">
        <f>IF(Query1[[#This Row],[ItemType]]="EVAP KIT UNIVERSAL",Query1[[#This Row],[OrderQty]]+J4519,J4519)</f>
        <v>1817</v>
      </c>
      <c r="K4520" s="1">
        <f>Query1[[#This Row],[SF Running Total]]+Query1[[#This Row],[UNIV Running Total]]</f>
        <v>7357</v>
      </c>
      <c r="L4520">
        <f>VLOOKUP(Query1[[#This Row],[Description]],'kits to boards'!$B$2:$E$156,2,FALSE)</f>
        <v>830083</v>
      </c>
      <c r="M4520">
        <f>VLOOKUP(Query1[[#This Row],[Description]],'kits to boards'!$B$2:$E$156,3,FALSE)</f>
        <v>0</v>
      </c>
      <c r="N4520">
        <f>VLOOKUP(Query1[[#This Row],[Description]],'kits to boards'!$B$2:$E$156,4,FALSE)</f>
        <v>0</v>
      </c>
      <c r="O4520" t="str">
        <f>CONCATENATE(Query1[[#This Row],[Description]]," - ",Query1[[#This Row],[MB1]]," - ",Query1[[#This Row],[MB2]]," - ",Query1[[#This Row],[MB3]])</f>
        <v>GEN IV MAGNUM EVAP KIT - 830083 - 0 - 0</v>
      </c>
    </row>
    <row r="4521" spans="1:15" x14ac:dyDescent="0.25">
      <c r="A4521" s="1">
        <v>921270</v>
      </c>
      <c r="B4521" s="1" t="s">
        <v>52</v>
      </c>
      <c r="C4521" s="1" t="s">
        <v>53</v>
      </c>
      <c r="D4521" s="2">
        <v>44677.619462118055</v>
      </c>
      <c r="E4521" s="1" t="s">
        <v>8</v>
      </c>
      <c r="F4521" s="1">
        <v>1</v>
      </c>
      <c r="G4521" s="1">
        <v>0</v>
      </c>
      <c r="H4521" s="6">
        <f>INT(Query1[[#This Row],[EntryDateTime]])</f>
        <v>44677</v>
      </c>
      <c r="I4521" s="1">
        <f>IF(Query1[[#This Row],[ItemType]]="EVAP KIT SF GEN IV",Query1[[#This Row],[OrderQty]]+I4520,I4520)</f>
        <v>5541</v>
      </c>
      <c r="J4521" s="1">
        <f>IF(Query1[[#This Row],[ItemType]]="EVAP KIT UNIVERSAL",Query1[[#This Row],[OrderQty]]+J4520,J4520)</f>
        <v>1817</v>
      </c>
      <c r="K4521" s="1">
        <f>Query1[[#This Row],[SF Running Total]]+Query1[[#This Row],[UNIV Running Total]]</f>
        <v>7358</v>
      </c>
      <c r="L4521">
        <f>VLOOKUP(Query1[[#This Row],[Description]],'kits to boards'!$B$2:$E$156,2,FALSE)</f>
        <v>830017</v>
      </c>
      <c r="M4521">
        <f>VLOOKUP(Query1[[#This Row],[Description]],'kits to boards'!$B$2:$E$156,3,FALSE)</f>
        <v>830119</v>
      </c>
      <c r="N4521">
        <f>VLOOKUP(Query1[[#This Row],[Description]],'kits to boards'!$B$2:$E$156,4,FALSE)</f>
        <v>830120</v>
      </c>
      <c r="O4521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4522" spans="1:15" x14ac:dyDescent="0.25">
      <c r="A4522" s="1">
        <v>921278</v>
      </c>
      <c r="B4522" s="1" t="s">
        <v>102</v>
      </c>
      <c r="C4522" s="1" t="s">
        <v>103</v>
      </c>
      <c r="D4522" s="2">
        <v>44677.621134872687</v>
      </c>
      <c r="E4522" s="1" t="s">
        <v>8</v>
      </c>
      <c r="F4522" s="1">
        <v>1</v>
      </c>
      <c r="G4522" s="1">
        <v>0</v>
      </c>
      <c r="H4522" s="6">
        <f>INT(Query1[[#This Row],[EntryDateTime]])</f>
        <v>44677</v>
      </c>
      <c r="I4522" s="1">
        <f>IF(Query1[[#This Row],[ItemType]]="EVAP KIT SF GEN IV",Query1[[#This Row],[OrderQty]]+I4521,I4521)</f>
        <v>5542</v>
      </c>
      <c r="J4522" s="1">
        <f>IF(Query1[[#This Row],[ItemType]]="EVAP KIT UNIVERSAL",Query1[[#This Row],[OrderQty]]+J4521,J4521)</f>
        <v>1817</v>
      </c>
      <c r="K4522" s="1">
        <f>Query1[[#This Row],[SF Running Total]]+Query1[[#This Row],[UNIV Running Total]]</f>
        <v>7359</v>
      </c>
      <c r="L4522">
        <f>VLOOKUP(Query1[[#This Row],[Description]],'kits to boards'!$B$2:$E$156,2,FALSE)</f>
        <v>830012</v>
      </c>
      <c r="M4522">
        <f>VLOOKUP(Query1[[#This Row],[Description]],'kits to boards'!$B$2:$E$156,3,FALSE)</f>
        <v>0</v>
      </c>
      <c r="N4522">
        <f>VLOOKUP(Query1[[#This Row],[Description]],'kits to boards'!$B$2:$E$156,4,FALSE)</f>
        <v>0</v>
      </c>
      <c r="O4522" t="str">
        <f>CONCATENATE(Query1[[#This Row],[Description]]," - ",Query1[[#This Row],[MB1]]," - ",Query1[[#This Row],[MB2]]," - ",Query1[[#This Row],[MB3]])</f>
        <v>EVAP KIT 69 CAMARO WO/AC - 830012 - 0 - 0</v>
      </c>
    </row>
    <row r="4523" spans="1:15" x14ac:dyDescent="0.25">
      <c r="A4523" s="1">
        <v>920893</v>
      </c>
      <c r="B4523" s="1" t="s">
        <v>108</v>
      </c>
      <c r="C4523" s="1" t="s">
        <v>109</v>
      </c>
      <c r="D4523" s="2">
        <v>44677.622974502316</v>
      </c>
      <c r="E4523" s="1" t="s">
        <v>8</v>
      </c>
      <c r="F4523" s="1">
        <v>1</v>
      </c>
      <c r="G4523" s="1">
        <v>0</v>
      </c>
      <c r="H4523" s="6">
        <f>INT(Query1[[#This Row],[EntryDateTime]])</f>
        <v>44677</v>
      </c>
      <c r="I4523" s="1">
        <f>IF(Query1[[#This Row],[ItemType]]="EVAP KIT SF GEN IV",Query1[[#This Row],[OrderQty]]+I4522,I4522)</f>
        <v>5543</v>
      </c>
      <c r="J4523" s="1">
        <f>IF(Query1[[#This Row],[ItemType]]="EVAP KIT UNIVERSAL",Query1[[#This Row],[OrderQty]]+J4522,J4522)</f>
        <v>1817</v>
      </c>
      <c r="K4523" s="1">
        <f>Query1[[#This Row],[SF Running Total]]+Query1[[#This Row],[UNIV Running Total]]</f>
        <v>7360</v>
      </c>
      <c r="L4523">
        <f>VLOOKUP(Query1[[#This Row],[Description]],'kits to boards'!$B$2:$E$156,2,FALSE)</f>
        <v>830105</v>
      </c>
      <c r="M4523">
        <f>VLOOKUP(Query1[[#This Row],[Description]],'kits to boards'!$B$2:$E$156,3,FALSE)</f>
        <v>830106</v>
      </c>
      <c r="N4523">
        <f>VLOOKUP(Query1[[#This Row],[Description]],'kits to boards'!$B$2:$E$156,4,FALSE)</f>
        <v>0</v>
      </c>
      <c r="O4523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4524" spans="1:15" x14ac:dyDescent="0.25">
      <c r="A4524" s="1">
        <v>920478</v>
      </c>
      <c r="B4524" s="1" t="s">
        <v>128</v>
      </c>
      <c r="C4524" s="1" t="s">
        <v>129</v>
      </c>
      <c r="D4524" s="2">
        <v>44677.624232442133</v>
      </c>
      <c r="E4524" s="1" t="s">
        <v>8</v>
      </c>
      <c r="F4524" s="1">
        <v>1</v>
      </c>
      <c r="G4524" s="1">
        <v>0</v>
      </c>
      <c r="H4524" s="6">
        <f>INT(Query1[[#This Row],[EntryDateTime]])</f>
        <v>44677</v>
      </c>
      <c r="I4524" s="1">
        <f>IF(Query1[[#This Row],[ItemType]]="EVAP KIT SF GEN IV",Query1[[#This Row],[OrderQty]]+I4523,I4523)</f>
        <v>5544</v>
      </c>
      <c r="J4524" s="1">
        <f>IF(Query1[[#This Row],[ItemType]]="EVAP KIT UNIVERSAL",Query1[[#This Row],[OrderQty]]+J4523,J4523)</f>
        <v>1817</v>
      </c>
      <c r="K4524" s="1">
        <f>Query1[[#This Row],[SF Running Total]]+Query1[[#This Row],[UNIV Running Total]]</f>
        <v>7361</v>
      </c>
      <c r="L4524">
        <f>VLOOKUP(Query1[[#This Row],[Description]],'kits to boards'!$B$2:$E$156,2,FALSE)</f>
        <v>830036</v>
      </c>
      <c r="M4524">
        <f>VLOOKUP(Query1[[#This Row],[Description]],'kits to boards'!$B$2:$E$156,3,FALSE)</f>
        <v>830039</v>
      </c>
      <c r="N4524">
        <f>VLOOKUP(Query1[[#This Row],[Description]],'kits to boards'!$B$2:$E$156,4,FALSE)</f>
        <v>0</v>
      </c>
      <c r="O4524" t="str">
        <f>CONCATENATE(Query1[[#This Row],[Description]]," - ",Query1[[#This Row],[MB1]]," - ",Query1[[#This Row],[MB2]]," - ",Query1[[#This Row],[MB3]])</f>
        <v>EVAP KIT 63-66 VETTE WO AC - 830036 - 830039 - 0</v>
      </c>
    </row>
    <row r="4525" spans="1:15" x14ac:dyDescent="0.25">
      <c r="A4525" s="1">
        <v>921283</v>
      </c>
      <c r="B4525" s="1" t="s">
        <v>244</v>
      </c>
      <c r="C4525" s="1" t="s">
        <v>245</v>
      </c>
      <c r="D4525" s="2">
        <v>44677.625169826388</v>
      </c>
      <c r="E4525" s="1" t="s">
        <v>8</v>
      </c>
      <c r="F4525" s="1">
        <v>1</v>
      </c>
      <c r="G4525" s="1">
        <v>0</v>
      </c>
      <c r="H4525" s="6">
        <f>INT(Query1[[#This Row],[EntryDateTime]])</f>
        <v>44677</v>
      </c>
      <c r="I4525" s="1">
        <f>IF(Query1[[#This Row],[ItemType]]="EVAP KIT SF GEN IV",Query1[[#This Row],[OrderQty]]+I4524,I4524)</f>
        <v>5545</v>
      </c>
      <c r="J4525" s="1">
        <f>IF(Query1[[#This Row],[ItemType]]="EVAP KIT UNIVERSAL",Query1[[#This Row],[OrderQty]]+J4524,J4524)</f>
        <v>1817</v>
      </c>
      <c r="K4525" s="1">
        <f>Query1[[#This Row],[SF Running Total]]+Query1[[#This Row],[UNIV Running Total]]</f>
        <v>7362</v>
      </c>
      <c r="L4525">
        <f>VLOOKUP(Query1[[#This Row],[Description]],'kits to boards'!$B$2:$E$156,2,FALSE)</f>
        <v>830100</v>
      </c>
      <c r="M4525">
        <f>VLOOKUP(Query1[[#This Row],[Description]],'kits to boards'!$B$2:$E$156,3,FALSE)</f>
        <v>0</v>
      </c>
      <c r="N4525">
        <f>VLOOKUP(Query1[[#This Row],[Description]],'kits to boards'!$B$2:$E$156,4,FALSE)</f>
        <v>0</v>
      </c>
      <c r="O4525" t="str">
        <f>CONCATENATE(Query1[[#This Row],[Description]]," - ",Query1[[#This Row],[MB1]]," - ",Query1[[#This Row],[MB2]]," - ",Query1[[#This Row],[MB3]])</f>
        <v>EVAP KIT 68-76 VETTE WO AC - 830100 - 0 - 0</v>
      </c>
    </row>
    <row r="4526" spans="1:15" x14ac:dyDescent="0.25">
      <c r="A4526" s="1">
        <v>921288</v>
      </c>
      <c r="B4526" s="1" t="s">
        <v>34</v>
      </c>
      <c r="C4526" s="1" t="s">
        <v>35</v>
      </c>
      <c r="D4526" s="2">
        <v>44677.63753295139</v>
      </c>
      <c r="E4526" s="1" t="s">
        <v>8</v>
      </c>
      <c r="F4526" s="1">
        <v>1</v>
      </c>
      <c r="G4526" s="1">
        <v>0</v>
      </c>
      <c r="H4526" s="6">
        <f>INT(Query1[[#This Row],[EntryDateTime]])</f>
        <v>44677</v>
      </c>
      <c r="I4526" s="1">
        <f>IF(Query1[[#This Row],[ItemType]]="EVAP KIT SF GEN IV",Query1[[#This Row],[OrderQty]]+I4525,I4525)</f>
        <v>5546</v>
      </c>
      <c r="J4526" s="1">
        <f>IF(Query1[[#This Row],[ItemType]]="EVAP KIT UNIVERSAL",Query1[[#This Row],[OrderQty]]+J4525,J4525)</f>
        <v>1817</v>
      </c>
      <c r="K4526" s="1">
        <f>Query1[[#This Row],[SF Running Total]]+Query1[[#This Row],[UNIV Running Total]]</f>
        <v>7363</v>
      </c>
      <c r="L4526">
        <f>VLOOKUP(Query1[[#This Row],[Description]],'kits to boards'!$B$2:$E$156,2,FALSE)</f>
        <v>830065</v>
      </c>
      <c r="M4526">
        <f>VLOOKUP(Query1[[#This Row],[Description]],'kits to boards'!$B$2:$E$156,3,FALSE)</f>
        <v>0</v>
      </c>
      <c r="N4526">
        <f>VLOOKUP(Query1[[#This Row],[Description]],'kits to boards'!$B$2:$E$156,4,FALSE)</f>
        <v>0</v>
      </c>
      <c r="O4526" t="str">
        <f>CONCATENATE(Query1[[#This Row],[Description]]," - ",Query1[[#This Row],[MB1]]," - ",Query1[[#This Row],[MB2]]," - ",Query1[[#This Row],[MB3]])</f>
        <v>EVAP KIT 57 CHEV WO AC - 830065 - 0 - 0</v>
      </c>
    </row>
    <row r="4527" spans="1:15" x14ac:dyDescent="0.25">
      <c r="A4527" s="1">
        <v>921295</v>
      </c>
      <c r="B4527" s="1" t="s">
        <v>130</v>
      </c>
      <c r="C4527" s="1" t="s">
        <v>131</v>
      </c>
      <c r="D4527" s="2">
        <v>44677.646445451392</v>
      </c>
      <c r="E4527" s="1" t="s">
        <v>8</v>
      </c>
      <c r="F4527" s="1">
        <v>1</v>
      </c>
      <c r="G4527" s="1">
        <v>0</v>
      </c>
      <c r="H4527" s="6">
        <f>INT(Query1[[#This Row],[EntryDateTime]])</f>
        <v>44677</v>
      </c>
      <c r="I4527" s="1">
        <f>IF(Query1[[#This Row],[ItemType]]="EVAP KIT SF GEN IV",Query1[[#This Row],[OrderQty]]+I4526,I4526)</f>
        <v>5547</v>
      </c>
      <c r="J4527" s="1">
        <f>IF(Query1[[#This Row],[ItemType]]="EVAP KIT UNIVERSAL",Query1[[#This Row],[OrderQty]]+J4526,J4526)</f>
        <v>1817</v>
      </c>
      <c r="K4527" s="1">
        <f>Query1[[#This Row],[SF Running Total]]+Query1[[#This Row],[UNIV Running Total]]</f>
        <v>7364</v>
      </c>
      <c r="L4527">
        <f>VLOOKUP(Query1[[#This Row],[Description]],'kits to boards'!$B$2:$E$156,2,FALSE)</f>
        <v>830123</v>
      </c>
      <c r="M4527">
        <f>VLOOKUP(Query1[[#This Row],[Description]],'kits to boards'!$B$2:$E$156,3,FALSE)</f>
        <v>0</v>
      </c>
      <c r="N4527">
        <f>VLOOKUP(Query1[[#This Row],[Description]],'kits to boards'!$B$2:$E$156,4,FALSE)</f>
        <v>0</v>
      </c>
      <c r="O4527" t="str">
        <f>CONCATENATE(Query1[[#This Row],[Description]]," - ",Query1[[#This Row],[MB1]]," - ",Query1[[#This Row],[MB2]]," - ",Query1[[#This Row],[MB3]])</f>
        <v>EVAP KIT 68 GTO WO/AC - 830123 - 0 - 0</v>
      </c>
    </row>
    <row r="4528" spans="1:15" x14ac:dyDescent="0.25">
      <c r="A4528" s="1">
        <v>921298</v>
      </c>
      <c r="B4528" s="1" t="s">
        <v>42</v>
      </c>
      <c r="C4528" s="1" t="s">
        <v>43</v>
      </c>
      <c r="D4528" s="2">
        <v>44677.653958761577</v>
      </c>
      <c r="E4528" s="1" t="s">
        <v>8</v>
      </c>
      <c r="F4528" s="1">
        <v>1</v>
      </c>
      <c r="G4528" s="1">
        <v>0</v>
      </c>
      <c r="H4528" s="6">
        <f>INT(Query1[[#This Row],[EntryDateTime]])</f>
        <v>44677</v>
      </c>
      <c r="I4528" s="1">
        <f>IF(Query1[[#This Row],[ItemType]]="EVAP KIT SF GEN IV",Query1[[#This Row],[OrderQty]]+I4527,I4527)</f>
        <v>5548</v>
      </c>
      <c r="J4528" s="1">
        <f>IF(Query1[[#This Row],[ItemType]]="EVAP KIT UNIVERSAL",Query1[[#This Row],[OrderQty]]+J4527,J4527)</f>
        <v>1817</v>
      </c>
      <c r="K4528" s="1">
        <f>Query1[[#This Row],[SF Running Total]]+Query1[[#This Row],[UNIV Running Total]]</f>
        <v>7365</v>
      </c>
      <c r="L4528">
        <f>VLOOKUP(Query1[[#This Row],[Description]],'kits to boards'!$B$2:$E$156,2,FALSE)</f>
        <v>830014</v>
      </c>
      <c r="M4528">
        <f>VLOOKUP(Query1[[#This Row],[Description]],'kits to boards'!$B$2:$E$156,3,FALSE)</f>
        <v>0</v>
      </c>
      <c r="N4528">
        <f>VLOOKUP(Query1[[#This Row],[Description]],'kits to boards'!$B$2:$E$156,4,FALSE)</f>
        <v>0</v>
      </c>
      <c r="O4528" t="str">
        <f>CONCATENATE(Query1[[#This Row],[Description]]," - ",Query1[[#This Row],[MB1]]," - ",Query1[[#This Row],[MB2]]," - ",Query1[[#This Row],[MB3]])</f>
        <v>EVAP KIT 67-72 CHEV P-UP WO AC - 830014 - 0 - 0</v>
      </c>
    </row>
    <row r="4529" spans="1:15" x14ac:dyDescent="0.25">
      <c r="A4529" s="1">
        <v>919135</v>
      </c>
      <c r="B4529" s="1" t="s">
        <v>120</v>
      </c>
      <c r="C4529" s="1" t="s">
        <v>121</v>
      </c>
      <c r="D4529" s="2">
        <v>44677.671343206021</v>
      </c>
      <c r="E4529" s="1" t="s">
        <v>8</v>
      </c>
      <c r="F4529" s="1">
        <v>1</v>
      </c>
      <c r="G4529" s="1">
        <v>0</v>
      </c>
      <c r="H4529" s="6">
        <f>INT(Query1[[#This Row],[EntryDateTime]])</f>
        <v>44677</v>
      </c>
      <c r="I4529" s="1">
        <f>IF(Query1[[#This Row],[ItemType]]="EVAP KIT SF GEN IV",Query1[[#This Row],[OrderQty]]+I4528,I4528)</f>
        <v>5549</v>
      </c>
      <c r="J4529" s="1">
        <f>IF(Query1[[#This Row],[ItemType]]="EVAP KIT UNIVERSAL",Query1[[#This Row],[OrderQty]]+J4528,J4528)</f>
        <v>1817</v>
      </c>
      <c r="K4529" s="1">
        <f>Query1[[#This Row],[SF Running Total]]+Query1[[#This Row],[UNIV Running Total]]</f>
        <v>7366</v>
      </c>
      <c r="L4529">
        <f>VLOOKUP(Query1[[#This Row],[Description]],'kits to boards'!$B$2:$E$156,2,FALSE)</f>
        <v>830014</v>
      </c>
      <c r="M4529">
        <f>VLOOKUP(Query1[[#This Row],[Description]],'kits to boards'!$B$2:$E$156,3,FALSE)</f>
        <v>0</v>
      </c>
      <c r="N4529">
        <f>VLOOKUP(Query1[[#This Row],[Description]],'kits to boards'!$B$2:$E$156,4,FALSE)</f>
        <v>0</v>
      </c>
      <c r="O4529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4530" spans="1:15" x14ac:dyDescent="0.25">
      <c r="A4530" s="1">
        <v>921305</v>
      </c>
      <c r="B4530" s="1" t="s">
        <v>44</v>
      </c>
      <c r="C4530" s="1" t="s">
        <v>45</v>
      </c>
      <c r="D4530" s="2">
        <v>44677.671697800928</v>
      </c>
      <c r="E4530" s="1" t="s">
        <v>8</v>
      </c>
      <c r="F4530" s="1">
        <v>1</v>
      </c>
      <c r="G4530" s="1">
        <v>0</v>
      </c>
      <c r="H4530" s="6">
        <f>INT(Query1[[#This Row],[EntryDateTime]])</f>
        <v>44677</v>
      </c>
      <c r="I4530" s="1">
        <f>IF(Query1[[#This Row],[ItemType]]="EVAP KIT SF GEN IV",Query1[[#This Row],[OrderQty]]+I4529,I4529)</f>
        <v>5550</v>
      </c>
      <c r="J4530" s="1">
        <f>IF(Query1[[#This Row],[ItemType]]="EVAP KIT UNIVERSAL",Query1[[#This Row],[OrderQty]]+J4529,J4529)</f>
        <v>1817</v>
      </c>
      <c r="K4530" s="1">
        <f>Query1[[#This Row],[SF Running Total]]+Query1[[#This Row],[UNIV Running Total]]</f>
        <v>7367</v>
      </c>
      <c r="L4530">
        <f>VLOOKUP(Query1[[#This Row],[Description]],'kits to boards'!$B$2:$E$156,2,FALSE)</f>
        <v>830085</v>
      </c>
      <c r="M4530">
        <f>VLOOKUP(Query1[[#This Row],[Description]],'kits to boards'!$B$2:$E$156,3,FALSE)</f>
        <v>0</v>
      </c>
      <c r="N4530">
        <f>VLOOKUP(Query1[[#This Row],[Description]],'kits to boards'!$B$2:$E$156,4,FALSE)</f>
        <v>0</v>
      </c>
      <c r="O4530" t="str">
        <f>CONCATENATE(Query1[[#This Row],[Description]]," - ",Query1[[#This Row],[MB1]]," - ",Query1[[#This Row],[MB2]]," - ",Query1[[#This Row],[MB3]])</f>
        <v>EVAP KIT 66-77 BRONCO - 830085 - 0 - 0</v>
      </c>
    </row>
    <row r="4531" spans="1:15" x14ac:dyDescent="0.25">
      <c r="A4531" s="1">
        <v>921308</v>
      </c>
      <c r="B4531" s="1" t="s">
        <v>28</v>
      </c>
      <c r="C4531" s="1" t="s">
        <v>29</v>
      </c>
      <c r="D4531" s="2">
        <v>44677.675817048614</v>
      </c>
      <c r="E4531" s="1" t="s">
        <v>8</v>
      </c>
      <c r="F4531" s="1">
        <v>1</v>
      </c>
      <c r="G4531" s="1">
        <v>0</v>
      </c>
      <c r="H4531" s="6">
        <f>INT(Query1[[#This Row],[EntryDateTime]])</f>
        <v>44677</v>
      </c>
      <c r="I4531" s="1">
        <f>IF(Query1[[#This Row],[ItemType]]="EVAP KIT SF GEN IV",Query1[[#This Row],[OrderQty]]+I4530,I4530)</f>
        <v>5551</v>
      </c>
      <c r="J4531" s="1">
        <f>IF(Query1[[#This Row],[ItemType]]="EVAP KIT UNIVERSAL",Query1[[#This Row],[OrderQty]]+J4530,J4530)</f>
        <v>1817</v>
      </c>
      <c r="K4531" s="1">
        <f>Query1[[#This Row],[SF Running Total]]+Query1[[#This Row],[UNIV Running Total]]</f>
        <v>7368</v>
      </c>
      <c r="L4531">
        <f>VLOOKUP(Query1[[#This Row],[Description]],'kits to boards'!$B$2:$E$156,2,FALSE)</f>
        <v>830001</v>
      </c>
      <c r="M4531">
        <f>VLOOKUP(Query1[[#This Row],[Description]],'kits to boards'!$B$2:$E$156,3,FALSE)</f>
        <v>0</v>
      </c>
      <c r="N4531">
        <f>VLOOKUP(Query1[[#This Row],[Description]],'kits to boards'!$B$2:$E$156,4,FALSE)</f>
        <v>0</v>
      </c>
      <c r="O4531" t="str">
        <f>CONCATENATE(Query1[[#This Row],[Description]]," - ",Query1[[#This Row],[MB1]]," - ",Query1[[#This Row],[MB2]]," - ",Query1[[#This Row],[MB3]])</f>
        <v>EVAP KIT 73-80 CHEV P-UP W/AC - 830001 - 0 - 0</v>
      </c>
    </row>
    <row r="4532" spans="1:15" x14ac:dyDescent="0.25">
      <c r="A4532" s="1">
        <v>921311</v>
      </c>
      <c r="B4532" s="1" t="s">
        <v>98</v>
      </c>
      <c r="C4532" s="1" t="s">
        <v>99</v>
      </c>
      <c r="D4532" s="2">
        <v>44677.679211342591</v>
      </c>
      <c r="E4532" s="1" t="s">
        <v>11</v>
      </c>
      <c r="F4532" s="1">
        <v>1</v>
      </c>
      <c r="G4532" s="1">
        <v>0</v>
      </c>
      <c r="H4532" s="6">
        <f>INT(Query1[[#This Row],[EntryDateTime]])</f>
        <v>44677</v>
      </c>
      <c r="I4532" s="1">
        <f>IF(Query1[[#This Row],[ItemType]]="EVAP KIT SF GEN IV",Query1[[#This Row],[OrderQty]]+I4531,I4531)</f>
        <v>5551</v>
      </c>
      <c r="J4532" s="1">
        <f>IF(Query1[[#This Row],[ItemType]]="EVAP KIT UNIVERSAL",Query1[[#This Row],[OrderQty]]+J4531,J4531)</f>
        <v>1818</v>
      </c>
      <c r="K4532" s="1">
        <f>Query1[[#This Row],[SF Running Total]]+Query1[[#This Row],[UNIV Running Total]]</f>
        <v>7369</v>
      </c>
      <c r="L4532">
        <f>VLOOKUP(Query1[[#This Row],[Description]],'kits to boards'!$B$2:$E$156,2,FALSE)</f>
        <v>830099</v>
      </c>
      <c r="M4532">
        <f>VLOOKUP(Query1[[#This Row],[Description]],'kits to boards'!$B$2:$E$156,3,FALSE)</f>
        <v>0</v>
      </c>
      <c r="N4532">
        <f>VLOOKUP(Query1[[#This Row],[Description]],'kits to boards'!$B$2:$E$156,4,FALSE)</f>
        <v>0</v>
      </c>
      <c r="O4532" t="str">
        <f>CONCATENATE(Query1[[#This Row],[Description]]," - ",Query1[[#This Row],[MB1]]," - ",Query1[[#This Row],[MB2]]," - ",Query1[[#This Row],[MB3]])</f>
        <v>MINI GEN II W/DEF - 830099 - 0 - 0</v>
      </c>
    </row>
    <row r="4533" spans="1:15" x14ac:dyDescent="0.25">
      <c r="A4533" s="1">
        <v>921312</v>
      </c>
      <c r="B4533" s="1" t="s">
        <v>114</v>
      </c>
      <c r="C4533" s="1" t="s">
        <v>115</v>
      </c>
      <c r="D4533" s="2">
        <v>44677.6845221412</v>
      </c>
      <c r="E4533" s="1" t="s">
        <v>8</v>
      </c>
      <c r="F4533" s="1">
        <v>1</v>
      </c>
      <c r="G4533" s="1">
        <v>0</v>
      </c>
      <c r="H4533" s="6">
        <f>INT(Query1[[#This Row],[EntryDateTime]])</f>
        <v>44677</v>
      </c>
      <c r="I4533" s="1">
        <f>IF(Query1[[#This Row],[ItemType]]="EVAP KIT SF GEN IV",Query1[[#This Row],[OrderQty]]+I4532,I4532)</f>
        <v>5552</v>
      </c>
      <c r="J4533" s="1">
        <f>IF(Query1[[#This Row],[ItemType]]="EVAP KIT UNIVERSAL",Query1[[#This Row],[OrderQty]]+J4532,J4532)</f>
        <v>1818</v>
      </c>
      <c r="K4533" s="1">
        <f>Query1[[#This Row],[SF Running Total]]+Query1[[#This Row],[UNIV Running Total]]</f>
        <v>7370</v>
      </c>
      <c r="L4533">
        <f>VLOOKUP(Query1[[#This Row],[Description]],'kits to boards'!$B$2:$E$156,2,FALSE)</f>
        <v>830059</v>
      </c>
      <c r="M4533">
        <f>VLOOKUP(Query1[[#This Row],[Description]],'kits to boards'!$B$2:$E$156,3,FALSE)</f>
        <v>0</v>
      </c>
      <c r="N4533">
        <f>VLOOKUP(Query1[[#This Row],[Description]],'kits to boards'!$B$2:$E$156,4,FALSE)</f>
        <v>0</v>
      </c>
      <c r="O4533" t="str">
        <f>CONCATENATE(Query1[[#This Row],[Description]]," - ",Query1[[#This Row],[MB1]]," - ",Query1[[#This Row],[MB2]]," - ",Query1[[#This Row],[MB3]])</f>
        <v>EVAP KIT 66-67 CHEVELLE W/AC - 830059 - 0 - 0</v>
      </c>
    </row>
    <row r="4534" spans="1:15" x14ac:dyDescent="0.25">
      <c r="A4534" s="1">
        <v>921313</v>
      </c>
      <c r="B4534" s="1" t="s">
        <v>50</v>
      </c>
      <c r="C4534" s="1" t="s">
        <v>51</v>
      </c>
      <c r="D4534" s="2">
        <v>44677.68588665509</v>
      </c>
      <c r="E4534" s="1" t="s">
        <v>8</v>
      </c>
      <c r="F4534" s="1">
        <v>1</v>
      </c>
      <c r="G4534" s="1">
        <v>0</v>
      </c>
      <c r="H4534" s="6">
        <f>INT(Query1[[#This Row],[EntryDateTime]])</f>
        <v>44677</v>
      </c>
      <c r="I4534" s="1">
        <f>IF(Query1[[#This Row],[ItemType]]="EVAP KIT SF GEN IV",Query1[[#This Row],[OrderQty]]+I4533,I4533)</f>
        <v>5553</v>
      </c>
      <c r="J4534" s="1">
        <f>IF(Query1[[#This Row],[ItemType]]="EVAP KIT UNIVERSAL",Query1[[#This Row],[OrderQty]]+J4533,J4533)</f>
        <v>1818</v>
      </c>
      <c r="K4534" s="1">
        <f>Query1[[#This Row],[SF Running Total]]+Query1[[#This Row],[UNIV Running Total]]</f>
        <v>7371</v>
      </c>
      <c r="L4534">
        <f>VLOOKUP(Query1[[#This Row],[Description]],'kits to boards'!$B$2:$E$156,2,FALSE)</f>
        <v>830043</v>
      </c>
      <c r="M4534">
        <f>VLOOKUP(Query1[[#This Row],[Description]],'kits to boards'!$B$2:$E$156,3,FALSE)</f>
        <v>0</v>
      </c>
      <c r="N4534">
        <f>VLOOKUP(Query1[[#This Row],[Description]],'kits to boards'!$B$2:$E$156,4,FALSE)</f>
        <v>0</v>
      </c>
      <c r="O4534" t="str">
        <f>CONCATENATE(Query1[[#This Row],[Description]]," - ",Query1[[#This Row],[MB1]]," - ",Query1[[#This Row],[MB2]]," - ",Query1[[#This Row],[MB3]])</f>
        <v>EVAP KIT 69-74 NOVA WO AC - 830043 - 0 - 0</v>
      </c>
    </row>
    <row r="4535" spans="1:15" x14ac:dyDescent="0.25">
      <c r="A4535" s="1">
        <v>921316</v>
      </c>
      <c r="B4535" s="1" t="s">
        <v>251</v>
      </c>
      <c r="C4535" s="1" t="s">
        <v>252</v>
      </c>
      <c r="D4535" s="2">
        <v>44677.698453703706</v>
      </c>
      <c r="E4535" s="1" t="s">
        <v>8</v>
      </c>
      <c r="F4535" s="1">
        <v>1</v>
      </c>
      <c r="G4535" s="1">
        <v>0</v>
      </c>
      <c r="H4535" s="6">
        <f>INT(Query1[[#This Row],[EntryDateTime]])</f>
        <v>44677</v>
      </c>
      <c r="I4535" s="1">
        <f>IF(Query1[[#This Row],[ItemType]]="EVAP KIT SF GEN IV",Query1[[#This Row],[OrderQty]]+I4534,I4534)</f>
        <v>5554</v>
      </c>
      <c r="J4535" s="1">
        <f>IF(Query1[[#This Row],[ItemType]]="EVAP KIT UNIVERSAL",Query1[[#This Row],[OrderQty]]+J4534,J4534)</f>
        <v>1818</v>
      </c>
      <c r="K4535" s="1">
        <f>Query1[[#This Row],[SF Running Total]]+Query1[[#This Row],[UNIV Running Total]]</f>
        <v>7372</v>
      </c>
      <c r="L4535">
        <f>VLOOKUP(Query1[[#This Row],[Description]],'kits to boards'!$B$2:$E$156,2,FALSE)</f>
        <v>830020</v>
      </c>
      <c r="M4535">
        <f>VLOOKUP(Query1[[#This Row],[Description]],'kits to boards'!$B$2:$E$156,3,FALSE)</f>
        <v>0</v>
      </c>
      <c r="N4535">
        <f>VLOOKUP(Query1[[#This Row],[Description]],'kits to boards'!$B$2:$E$156,4,FALSE)</f>
        <v>0</v>
      </c>
      <c r="O4535" t="str">
        <f>CONCATENATE(Query1[[#This Row],[Description]]," - ",Query1[[#This Row],[MB1]]," - ",Query1[[#This Row],[MB2]]," - ",Query1[[#This Row],[MB3]])</f>
        <v>EVAP KIT 69 FIREBIRD WO AC - 830020 - 0 - 0</v>
      </c>
    </row>
    <row r="4536" spans="1:15" x14ac:dyDescent="0.25">
      <c r="A4536" s="1">
        <v>921318</v>
      </c>
      <c r="B4536" s="1" t="s">
        <v>90</v>
      </c>
      <c r="C4536" s="1" t="s">
        <v>91</v>
      </c>
      <c r="D4536" s="2">
        <v>44677.70224953704</v>
      </c>
      <c r="E4536" s="1" t="s">
        <v>8</v>
      </c>
      <c r="F4536" s="1">
        <v>1</v>
      </c>
      <c r="G4536" s="1">
        <v>0</v>
      </c>
      <c r="H4536" s="6">
        <f>INT(Query1[[#This Row],[EntryDateTime]])</f>
        <v>44677</v>
      </c>
      <c r="I4536" s="1">
        <f>IF(Query1[[#This Row],[ItemType]]="EVAP KIT SF GEN IV",Query1[[#This Row],[OrderQty]]+I4535,I4535)</f>
        <v>5555</v>
      </c>
      <c r="J4536" s="1">
        <f>IF(Query1[[#This Row],[ItemType]]="EVAP KIT UNIVERSAL",Query1[[#This Row],[OrderQty]]+J4535,J4535)</f>
        <v>1818</v>
      </c>
      <c r="K4536" s="1">
        <f>Query1[[#This Row],[SF Running Total]]+Query1[[#This Row],[UNIV Running Total]]</f>
        <v>7373</v>
      </c>
      <c r="L4536">
        <f>VLOOKUP(Query1[[#This Row],[Description]],'kits to boards'!$B$2:$E$156,2,FALSE)</f>
        <v>830105</v>
      </c>
      <c r="M4536">
        <f>VLOOKUP(Query1[[#This Row],[Description]],'kits to boards'!$B$2:$E$156,3,FALSE)</f>
        <v>830106</v>
      </c>
      <c r="N4536">
        <f>VLOOKUP(Query1[[#This Row],[Description]],'kits to boards'!$B$2:$E$156,4,FALSE)</f>
        <v>0</v>
      </c>
      <c r="O4536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4537" spans="1:15" x14ac:dyDescent="0.25">
      <c r="A4537" s="1">
        <v>921327</v>
      </c>
      <c r="B4537" s="1" t="s">
        <v>44</v>
      </c>
      <c r="C4537" s="1" t="s">
        <v>45</v>
      </c>
      <c r="D4537" s="2">
        <v>44678.314689236111</v>
      </c>
      <c r="E4537" s="1" t="s">
        <v>8</v>
      </c>
      <c r="F4537" s="1">
        <v>1</v>
      </c>
      <c r="G4537" s="1">
        <v>0</v>
      </c>
      <c r="H4537" s="6">
        <f>INT(Query1[[#This Row],[EntryDateTime]])</f>
        <v>44678</v>
      </c>
      <c r="I4537" s="1">
        <f>IF(Query1[[#This Row],[ItemType]]="EVAP KIT SF GEN IV",Query1[[#This Row],[OrderQty]]+I4536,I4536)</f>
        <v>5556</v>
      </c>
      <c r="J4537" s="1">
        <f>IF(Query1[[#This Row],[ItemType]]="EVAP KIT UNIVERSAL",Query1[[#This Row],[OrderQty]]+J4536,J4536)</f>
        <v>1818</v>
      </c>
      <c r="K4537" s="1">
        <f>Query1[[#This Row],[SF Running Total]]+Query1[[#This Row],[UNIV Running Total]]</f>
        <v>7374</v>
      </c>
      <c r="L4537">
        <f>VLOOKUP(Query1[[#This Row],[Description]],'kits to boards'!$B$2:$E$156,2,FALSE)</f>
        <v>830085</v>
      </c>
      <c r="M4537">
        <f>VLOOKUP(Query1[[#This Row],[Description]],'kits to boards'!$B$2:$E$156,3,FALSE)</f>
        <v>0</v>
      </c>
      <c r="N4537">
        <f>VLOOKUP(Query1[[#This Row],[Description]],'kits to boards'!$B$2:$E$156,4,FALSE)</f>
        <v>0</v>
      </c>
      <c r="O4537" t="str">
        <f>CONCATENATE(Query1[[#This Row],[Description]]," - ",Query1[[#This Row],[MB1]]," - ",Query1[[#This Row],[MB2]]," - ",Query1[[#This Row],[MB3]])</f>
        <v>EVAP KIT 66-77 BRONCO - 830085 - 0 - 0</v>
      </c>
    </row>
    <row r="4538" spans="1:15" x14ac:dyDescent="0.25">
      <c r="A4538" s="1">
        <v>921336</v>
      </c>
      <c r="B4538" s="1" t="s">
        <v>192</v>
      </c>
      <c r="C4538" s="1" t="s">
        <v>193</v>
      </c>
      <c r="D4538" s="2">
        <v>44678.337203356481</v>
      </c>
      <c r="E4538" s="1" t="s">
        <v>8</v>
      </c>
      <c r="F4538" s="1">
        <v>1</v>
      </c>
      <c r="G4538" s="1">
        <v>0</v>
      </c>
      <c r="H4538" s="6">
        <f>INT(Query1[[#This Row],[EntryDateTime]])</f>
        <v>44678</v>
      </c>
      <c r="I4538" s="1">
        <f>IF(Query1[[#This Row],[ItemType]]="EVAP KIT SF GEN IV",Query1[[#This Row],[OrderQty]]+I4537,I4537)</f>
        <v>5557</v>
      </c>
      <c r="J4538" s="1">
        <f>IF(Query1[[#This Row],[ItemType]]="EVAP KIT UNIVERSAL",Query1[[#This Row],[OrderQty]]+J4537,J4537)</f>
        <v>1818</v>
      </c>
      <c r="K4538" s="1">
        <f>Query1[[#This Row],[SF Running Total]]+Query1[[#This Row],[UNIV Running Total]]</f>
        <v>7375</v>
      </c>
      <c r="L4538">
        <f>VLOOKUP(Query1[[#This Row],[Description]],'kits to boards'!$B$2:$E$156,2,FALSE)</f>
        <v>830094</v>
      </c>
      <c r="M4538">
        <f>VLOOKUP(Query1[[#This Row],[Description]],'kits to boards'!$B$2:$E$156,3,FALSE)</f>
        <v>0</v>
      </c>
      <c r="N4538">
        <f>VLOOKUP(Query1[[#This Row],[Description]],'kits to boards'!$B$2:$E$156,4,FALSE)</f>
        <v>0</v>
      </c>
      <c r="O4538" t="str">
        <f>CONCATENATE(Query1[[#This Row],[Description]]," - ",Query1[[#This Row],[MB1]]," - ",Query1[[#This Row],[MB2]]," - ",Query1[[#This Row],[MB3]])</f>
        <v>EVAP KIT 69-73 VETTE W/AC - 830094 - 0 - 0</v>
      </c>
    </row>
    <row r="4539" spans="1:15" x14ac:dyDescent="0.25">
      <c r="A4539" s="1">
        <v>921339</v>
      </c>
      <c r="B4539" s="1" t="s">
        <v>30</v>
      </c>
      <c r="C4539" s="1" t="s">
        <v>31</v>
      </c>
      <c r="D4539" s="2">
        <v>44678.341631099538</v>
      </c>
      <c r="E4539" s="1" t="s">
        <v>8</v>
      </c>
      <c r="F4539" s="1">
        <v>1</v>
      </c>
      <c r="G4539" s="1">
        <v>0</v>
      </c>
      <c r="H4539" s="6">
        <f>INT(Query1[[#This Row],[EntryDateTime]])</f>
        <v>44678</v>
      </c>
      <c r="I4539" s="1">
        <f>IF(Query1[[#This Row],[ItemType]]="EVAP KIT SF GEN IV",Query1[[#This Row],[OrderQty]]+I4538,I4538)</f>
        <v>5558</v>
      </c>
      <c r="J4539" s="1">
        <f>IF(Query1[[#This Row],[ItemType]]="EVAP KIT UNIVERSAL",Query1[[#This Row],[OrderQty]]+J4538,J4538)</f>
        <v>1818</v>
      </c>
      <c r="K4539" s="1">
        <f>Query1[[#This Row],[SF Running Total]]+Query1[[#This Row],[UNIV Running Total]]</f>
        <v>7376</v>
      </c>
      <c r="L4539">
        <f>VLOOKUP(Query1[[#This Row],[Description]],'kits to boards'!$B$2:$E$156,2,FALSE)</f>
        <v>830054</v>
      </c>
      <c r="M4539">
        <f>VLOOKUP(Query1[[#This Row],[Description]],'kits to boards'!$B$2:$E$156,3,FALSE)</f>
        <v>0</v>
      </c>
      <c r="N4539">
        <f>VLOOKUP(Query1[[#This Row],[Description]],'kits to boards'!$B$2:$E$156,4,FALSE)</f>
        <v>0</v>
      </c>
      <c r="O4539" t="str">
        <f>CONCATENATE(Query1[[#This Row],[Description]]," - ",Query1[[#This Row],[MB1]]," - ",Query1[[#This Row],[MB2]]," - ",Query1[[#This Row],[MB3]])</f>
        <v>EVAP KIT 55-56 CHEVY 4-VENT - 830054 - 0 - 0</v>
      </c>
    </row>
    <row r="4540" spans="1:15" x14ac:dyDescent="0.25">
      <c r="A4540" s="1">
        <v>921343</v>
      </c>
      <c r="B4540" s="1" t="s">
        <v>298</v>
      </c>
      <c r="C4540" s="1" t="s">
        <v>299</v>
      </c>
      <c r="D4540" s="2">
        <v>44678.346057210649</v>
      </c>
      <c r="E4540" s="1" t="s">
        <v>11</v>
      </c>
      <c r="F4540" s="1">
        <v>1</v>
      </c>
      <c r="G4540" s="1">
        <v>0</v>
      </c>
      <c r="H4540" s="6">
        <f>INT(Query1[[#This Row],[EntryDateTime]])</f>
        <v>44678</v>
      </c>
      <c r="I4540" s="1">
        <f>IF(Query1[[#This Row],[ItemType]]="EVAP KIT SF GEN IV",Query1[[#This Row],[OrderQty]]+I4539,I4539)</f>
        <v>5558</v>
      </c>
      <c r="J4540" s="1">
        <f>IF(Query1[[#This Row],[ItemType]]="EVAP KIT UNIVERSAL",Query1[[#This Row],[OrderQty]]+J4539,J4539)</f>
        <v>1819</v>
      </c>
      <c r="K4540" s="1">
        <f>Query1[[#This Row],[SF Running Total]]+Query1[[#This Row],[UNIV Running Total]]</f>
        <v>7377</v>
      </c>
      <c r="L4540">
        <f>VLOOKUP(Query1[[#This Row],[Description]],'kits to boards'!$B$2:$E$156,2,FALSE)</f>
        <v>830045</v>
      </c>
      <c r="M4540">
        <f>VLOOKUP(Query1[[#This Row],[Description]],'kits to boards'!$B$2:$E$156,3,FALSE)</f>
        <v>0</v>
      </c>
      <c r="N4540">
        <f>VLOOKUP(Query1[[#This Row],[Description]],'kits to boards'!$B$2:$E$156,4,FALSE)</f>
        <v>0</v>
      </c>
      <c r="O4540" t="str">
        <f>CONCATENATE(Query1[[#This Row],[Description]]," - ",Query1[[#This Row],[MB1]]," - ",Query1[[#This Row],[MB2]]," - ",Query1[[#This Row],[MB3]])</f>
        <v>MINI SLIMLINE COOL STD LOUVER - 830045 - 0 - 0</v>
      </c>
    </row>
    <row r="4541" spans="1:15" x14ac:dyDescent="0.25">
      <c r="A4541" s="1">
        <v>921360</v>
      </c>
      <c r="B4541" s="1" t="s">
        <v>90</v>
      </c>
      <c r="C4541" s="1" t="s">
        <v>91</v>
      </c>
      <c r="D4541" s="2">
        <v>44678.376343599535</v>
      </c>
      <c r="E4541" s="1" t="s">
        <v>8</v>
      </c>
      <c r="F4541" s="1">
        <v>1</v>
      </c>
      <c r="G4541" s="1">
        <v>0</v>
      </c>
      <c r="H4541" s="6">
        <f>INT(Query1[[#This Row],[EntryDateTime]])</f>
        <v>44678</v>
      </c>
      <c r="I4541" s="1">
        <f>IF(Query1[[#This Row],[ItemType]]="EVAP KIT SF GEN IV",Query1[[#This Row],[OrderQty]]+I4540,I4540)</f>
        <v>5559</v>
      </c>
      <c r="J4541" s="1">
        <f>IF(Query1[[#This Row],[ItemType]]="EVAP KIT UNIVERSAL",Query1[[#This Row],[OrderQty]]+J4540,J4540)</f>
        <v>1819</v>
      </c>
      <c r="K4541" s="1">
        <f>Query1[[#This Row],[SF Running Total]]+Query1[[#This Row],[UNIV Running Total]]</f>
        <v>7378</v>
      </c>
      <c r="L4541">
        <f>VLOOKUP(Query1[[#This Row],[Description]],'kits to boards'!$B$2:$E$156,2,FALSE)</f>
        <v>830105</v>
      </c>
      <c r="M4541">
        <f>VLOOKUP(Query1[[#This Row],[Description]],'kits to boards'!$B$2:$E$156,3,FALSE)</f>
        <v>830106</v>
      </c>
      <c r="N4541">
        <f>VLOOKUP(Query1[[#This Row],[Description]],'kits to boards'!$B$2:$E$156,4,FALSE)</f>
        <v>0</v>
      </c>
      <c r="O4541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4542" spans="1:15" x14ac:dyDescent="0.25">
      <c r="A4542" s="1">
        <v>921361</v>
      </c>
      <c r="B4542" s="1" t="s">
        <v>56</v>
      </c>
      <c r="C4542" s="1" t="s">
        <v>57</v>
      </c>
      <c r="D4542" s="2">
        <v>44678.378031631946</v>
      </c>
      <c r="E4542" s="1" t="s">
        <v>8</v>
      </c>
      <c r="F4542" s="1">
        <v>1</v>
      </c>
      <c r="G4542" s="1">
        <v>0</v>
      </c>
      <c r="H4542" s="6">
        <f>INT(Query1[[#This Row],[EntryDateTime]])</f>
        <v>44678</v>
      </c>
      <c r="I4542" s="1">
        <f>IF(Query1[[#This Row],[ItemType]]="EVAP KIT SF GEN IV",Query1[[#This Row],[OrderQty]]+I4541,I4541)</f>
        <v>5560</v>
      </c>
      <c r="J4542" s="1">
        <f>IF(Query1[[#This Row],[ItemType]]="EVAP KIT UNIVERSAL",Query1[[#This Row],[OrderQty]]+J4541,J4541)</f>
        <v>1819</v>
      </c>
      <c r="K4542" s="1">
        <f>Query1[[#This Row],[SF Running Total]]+Query1[[#This Row],[UNIV Running Total]]</f>
        <v>7379</v>
      </c>
      <c r="L4542">
        <f>VLOOKUP(Query1[[#This Row],[Description]],'kits to boards'!$B$2:$E$156,2,FALSE)</f>
        <v>830011</v>
      </c>
      <c r="M4542">
        <f>VLOOKUP(Query1[[#This Row],[Description]],'kits to boards'!$B$2:$E$156,3,FALSE)</f>
        <v>0</v>
      </c>
      <c r="N4542">
        <f>VLOOKUP(Query1[[#This Row],[Description]],'kits to boards'!$B$2:$E$156,4,FALSE)</f>
        <v>0</v>
      </c>
      <c r="O4542" t="str">
        <f>CONCATENATE(Query1[[#This Row],[Description]]," - ",Query1[[#This Row],[MB1]]," - ",Query1[[#This Row],[MB2]]," - ",Query1[[#This Row],[MB3]])</f>
        <v>EVAP KIT 70-72 CHEVELLE W/AC - 830011 - 0 - 0</v>
      </c>
    </row>
    <row r="4543" spans="1:15" x14ac:dyDescent="0.25">
      <c r="A4543" s="1">
        <v>921362</v>
      </c>
      <c r="B4543" s="1" t="s">
        <v>108</v>
      </c>
      <c r="C4543" s="1" t="s">
        <v>109</v>
      </c>
      <c r="D4543" s="2">
        <v>44678.383331516205</v>
      </c>
      <c r="E4543" s="1" t="s">
        <v>8</v>
      </c>
      <c r="F4543" s="1">
        <v>1</v>
      </c>
      <c r="G4543" s="1">
        <v>0</v>
      </c>
      <c r="H4543" s="6">
        <f>INT(Query1[[#This Row],[EntryDateTime]])</f>
        <v>44678</v>
      </c>
      <c r="I4543" s="1">
        <f>IF(Query1[[#This Row],[ItemType]]="EVAP KIT SF GEN IV",Query1[[#This Row],[OrderQty]]+I4542,I4542)</f>
        <v>5561</v>
      </c>
      <c r="J4543" s="1">
        <f>IF(Query1[[#This Row],[ItemType]]="EVAP KIT UNIVERSAL",Query1[[#This Row],[OrderQty]]+J4542,J4542)</f>
        <v>1819</v>
      </c>
      <c r="K4543" s="1">
        <f>Query1[[#This Row],[SF Running Total]]+Query1[[#This Row],[UNIV Running Total]]</f>
        <v>7380</v>
      </c>
      <c r="L4543">
        <f>VLOOKUP(Query1[[#This Row],[Description]],'kits to boards'!$B$2:$E$156,2,FALSE)</f>
        <v>830105</v>
      </c>
      <c r="M4543">
        <f>VLOOKUP(Query1[[#This Row],[Description]],'kits to boards'!$B$2:$E$156,3,FALSE)</f>
        <v>830106</v>
      </c>
      <c r="N4543">
        <f>VLOOKUP(Query1[[#This Row],[Description]],'kits to boards'!$B$2:$E$156,4,FALSE)</f>
        <v>0</v>
      </c>
      <c r="O4543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4544" spans="1:15" x14ac:dyDescent="0.25">
      <c r="A4544" s="1">
        <v>921319</v>
      </c>
      <c r="B4544" s="1" t="s">
        <v>14</v>
      </c>
      <c r="C4544" s="1" t="s">
        <v>15</v>
      </c>
      <c r="D4544" s="2">
        <v>44678.390721215277</v>
      </c>
      <c r="E4544" s="1" t="s">
        <v>8</v>
      </c>
      <c r="F4544" s="1">
        <v>1</v>
      </c>
      <c r="G4544" s="1">
        <v>0</v>
      </c>
      <c r="H4544" s="6">
        <f>INT(Query1[[#This Row],[EntryDateTime]])</f>
        <v>44678</v>
      </c>
      <c r="I4544" s="1">
        <f>IF(Query1[[#This Row],[ItemType]]="EVAP KIT SF GEN IV",Query1[[#This Row],[OrderQty]]+I4543,I4543)</f>
        <v>5562</v>
      </c>
      <c r="J4544" s="1">
        <f>IF(Query1[[#This Row],[ItemType]]="EVAP KIT UNIVERSAL",Query1[[#This Row],[OrderQty]]+J4543,J4543)</f>
        <v>1819</v>
      </c>
      <c r="K4544" s="1">
        <f>Query1[[#This Row],[SF Running Total]]+Query1[[#This Row],[UNIV Running Total]]</f>
        <v>7381</v>
      </c>
      <c r="L4544">
        <f>VLOOKUP(Query1[[#This Row],[Description]],'kits to boards'!$B$2:$E$156,2,FALSE)</f>
        <v>830054</v>
      </c>
      <c r="M4544">
        <f>VLOOKUP(Query1[[#This Row],[Description]],'kits to boards'!$B$2:$E$156,3,FALSE)</f>
        <v>0</v>
      </c>
      <c r="N4544">
        <f>VLOOKUP(Query1[[#This Row],[Description]],'kits to boards'!$B$2:$E$156,4,FALSE)</f>
        <v>0</v>
      </c>
      <c r="O4544" t="str">
        <f>CONCATENATE(Query1[[#This Row],[Description]]," - ",Query1[[#This Row],[MB1]]," - ",Query1[[#This Row],[MB2]]," - ",Query1[[#This Row],[MB3]])</f>
        <v>EVAP KIT 55-56 CHEVY - 830054 - 0 - 0</v>
      </c>
    </row>
    <row r="4545" spans="1:15" x14ac:dyDescent="0.25">
      <c r="A4545" s="1">
        <v>921366</v>
      </c>
      <c r="B4545" s="1" t="s">
        <v>226</v>
      </c>
      <c r="C4545" s="1" t="s">
        <v>227</v>
      </c>
      <c r="D4545" s="2">
        <v>44678.395333877314</v>
      </c>
      <c r="E4545" s="1" t="s">
        <v>8</v>
      </c>
      <c r="F4545" s="1">
        <v>1</v>
      </c>
      <c r="G4545" s="1">
        <v>0</v>
      </c>
      <c r="H4545" s="6">
        <f>INT(Query1[[#This Row],[EntryDateTime]])</f>
        <v>44678</v>
      </c>
      <c r="I4545" s="1">
        <f>IF(Query1[[#This Row],[ItemType]]="EVAP KIT SF GEN IV",Query1[[#This Row],[OrderQty]]+I4544,I4544)</f>
        <v>5563</v>
      </c>
      <c r="J4545" s="1">
        <f>IF(Query1[[#This Row],[ItemType]]="EVAP KIT UNIVERSAL",Query1[[#This Row],[OrderQty]]+J4544,J4544)</f>
        <v>1819</v>
      </c>
      <c r="K4545" s="1">
        <f>Query1[[#This Row],[SF Running Total]]+Query1[[#This Row],[UNIV Running Total]]</f>
        <v>7382</v>
      </c>
      <c r="L4545">
        <f>VLOOKUP(Query1[[#This Row],[Description]],'kits to boards'!$B$2:$E$156,2,FALSE)</f>
        <v>830124</v>
      </c>
      <c r="M4545">
        <f>VLOOKUP(Query1[[#This Row],[Description]],'kits to boards'!$B$2:$E$156,3,FALSE)</f>
        <v>0</v>
      </c>
      <c r="N4545">
        <f>VLOOKUP(Query1[[#This Row],[Description]],'kits to boards'!$B$2:$E$156,4,FALSE)</f>
        <v>0</v>
      </c>
      <c r="O4545" t="str">
        <f>CONCATENATE(Query1[[#This Row],[Description]]," - ",Query1[[#This Row],[MB1]]," - ",Query1[[#This Row],[MB2]]," - ",Query1[[#This Row],[MB3]])</f>
        <v>EVAP KIT 70-72 GTO W/AC - 830124 - 0 - 0</v>
      </c>
    </row>
    <row r="4546" spans="1:15" x14ac:dyDescent="0.25">
      <c r="A4546" s="1">
        <v>921264</v>
      </c>
      <c r="B4546" s="1" t="s">
        <v>120</v>
      </c>
      <c r="C4546" s="1" t="s">
        <v>121</v>
      </c>
      <c r="D4546" s="2">
        <v>44678.395865243052</v>
      </c>
      <c r="E4546" s="1" t="s">
        <v>8</v>
      </c>
      <c r="F4546" s="1">
        <v>1</v>
      </c>
      <c r="G4546" s="1">
        <v>0</v>
      </c>
      <c r="H4546" s="6">
        <f>INT(Query1[[#This Row],[EntryDateTime]])</f>
        <v>44678</v>
      </c>
      <c r="I4546" s="1">
        <f>IF(Query1[[#This Row],[ItemType]]="EVAP KIT SF GEN IV",Query1[[#This Row],[OrderQty]]+I4545,I4545)</f>
        <v>5564</v>
      </c>
      <c r="J4546" s="1">
        <f>IF(Query1[[#This Row],[ItemType]]="EVAP KIT UNIVERSAL",Query1[[#This Row],[OrderQty]]+J4545,J4545)</f>
        <v>1819</v>
      </c>
      <c r="K4546" s="1">
        <f>Query1[[#This Row],[SF Running Total]]+Query1[[#This Row],[UNIV Running Total]]</f>
        <v>7383</v>
      </c>
      <c r="L4546">
        <f>VLOOKUP(Query1[[#This Row],[Description]],'kits to boards'!$B$2:$E$156,2,FALSE)</f>
        <v>830014</v>
      </c>
      <c r="M4546">
        <f>VLOOKUP(Query1[[#This Row],[Description]],'kits to boards'!$B$2:$E$156,3,FALSE)</f>
        <v>0</v>
      </c>
      <c r="N4546">
        <f>VLOOKUP(Query1[[#This Row],[Description]],'kits to boards'!$B$2:$E$156,4,FALSE)</f>
        <v>0</v>
      </c>
      <c r="O4546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4547" spans="1:15" x14ac:dyDescent="0.25">
      <c r="A4547" s="1">
        <v>921335</v>
      </c>
      <c r="B4547" s="1" t="s">
        <v>26</v>
      </c>
      <c r="C4547" s="1" t="s">
        <v>27</v>
      </c>
      <c r="D4547" s="2">
        <v>44678.407838425926</v>
      </c>
      <c r="E4547" s="1" t="s">
        <v>8</v>
      </c>
      <c r="F4547" s="1">
        <v>15</v>
      </c>
      <c r="G4547" s="1">
        <v>0</v>
      </c>
      <c r="H4547" s="6">
        <f>INT(Query1[[#This Row],[EntryDateTime]])</f>
        <v>44678</v>
      </c>
      <c r="I4547" s="1">
        <f>IF(Query1[[#This Row],[ItemType]]="EVAP KIT SF GEN IV",Query1[[#This Row],[OrderQty]]+I4546,I4546)</f>
        <v>5579</v>
      </c>
      <c r="J4547" s="1">
        <f>IF(Query1[[#This Row],[ItemType]]="EVAP KIT UNIVERSAL",Query1[[#This Row],[OrderQty]]+J4546,J4546)</f>
        <v>1819</v>
      </c>
      <c r="K4547" s="1">
        <f>Query1[[#This Row],[SF Running Total]]+Query1[[#This Row],[UNIV Running Total]]</f>
        <v>7398</v>
      </c>
      <c r="L4547">
        <f>VLOOKUP(Query1[[#This Row],[Description]],'kits to boards'!$B$2:$E$156,2,FALSE)</f>
        <v>830013</v>
      </c>
      <c r="M4547">
        <f>VLOOKUP(Query1[[#This Row],[Description]],'kits to boards'!$B$2:$E$156,3,FALSE)</f>
        <v>0</v>
      </c>
      <c r="N4547">
        <f>VLOOKUP(Query1[[#This Row],[Description]],'kits to boards'!$B$2:$E$156,4,FALSE)</f>
        <v>0</v>
      </c>
      <c r="O4547" t="str">
        <f>CONCATENATE(Query1[[#This Row],[Description]]," - ",Query1[[#This Row],[MB1]]," - ",Query1[[#This Row],[MB2]]," - ",Query1[[#This Row],[MB3]])</f>
        <v>EVAP KIT 67-72 CHEV P-UP W/AC - 830013 - 0 - 0</v>
      </c>
    </row>
    <row r="4548" spans="1:15" x14ac:dyDescent="0.25">
      <c r="A4548" s="1">
        <v>921335</v>
      </c>
      <c r="B4548" s="1" t="s">
        <v>42</v>
      </c>
      <c r="C4548" s="1" t="s">
        <v>43</v>
      </c>
      <c r="D4548" s="2">
        <v>44678.40797565972</v>
      </c>
      <c r="E4548" s="1" t="s">
        <v>8</v>
      </c>
      <c r="F4548" s="1">
        <v>15</v>
      </c>
      <c r="G4548" s="1">
        <v>0</v>
      </c>
      <c r="H4548" s="6">
        <f>INT(Query1[[#This Row],[EntryDateTime]])</f>
        <v>44678</v>
      </c>
      <c r="I4548" s="1">
        <f>IF(Query1[[#This Row],[ItemType]]="EVAP KIT SF GEN IV",Query1[[#This Row],[OrderQty]]+I4547,I4547)</f>
        <v>5594</v>
      </c>
      <c r="J4548" s="1">
        <f>IF(Query1[[#This Row],[ItemType]]="EVAP KIT UNIVERSAL",Query1[[#This Row],[OrderQty]]+J4547,J4547)</f>
        <v>1819</v>
      </c>
      <c r="K4548" s="1">
        <f>Query1[[#This Row],[SF Running Total]]+Query1[[#This Row],[UNIV Running Total]]</f>
        <v>7413</v>
      </c>
      <c r="L4548">
        <f>VLOOKUP(Query1[[#This Row],[Description]],'kits to boards'!$B$2:$E$156,2,FALSE)</f>
        <v>830014</v>
      </c>
      <c r="M4548">
        <f>VLOOKUP(Query1[[#This Row],[Description]],'kits to boards'!$B$2:$E$156,3,FALSE)</f>
        <v>0</v>
      </c>
      <c r="N4548">
        <f>VLOOKUP(Query1[[#This Row],[Description]],'kits to boards'!$B$2:$E$156,4,FALSE)</f>
        <v>0</v>
      </c>
      <c r="O4548" t="str">
        <f>CONCATENATE(Query1[[#This Row],[Description]]," - ",Query1[[#This Row],[MB1]]," - ",Query1[[#This Row],[MB2]]," - ",Query1[[#This Row],[MB3]])</f>
        <v>EVAP KIT 67-72 CHEV P-UP WO AC - 830014 - 0 - 0</v>
      </c>
    </row>
    <row r="4549" spans="1:15" x14ac:dyDescent="0.25">
      <c r="A4549" s="1">
        <v>921335</v>
      </c>
      <c r="B4549" s="1" t="s">
        <v>124</v>
      </c>
      <c r="C4549" s="1" t="s">
        <v>125</v>
      </c>
      <c r="D4549" s="2">
        <v>44678.408120486114</v>
      </c>
      <c r="E4549" s="1" t="s">
        <v>8</v>
      </c>
      <c r="F4549" s="1">
        <v>10</v>
      </c>
      <c r="G4549" s="1">
        <v>0</v>
      </c>
      <c r="H4549" s="6">
        <f>INT(Query1[[#This Row],[EntryDateTime]])</f>
        <v>44678</v>
      </c>
      <c r="I4549" s="1">
        <f>IF(Query1[[#This Row],[ItemType]]="EVAP KIT SF GEN IV",Query1[[#This Row],[OrderQty]]+I4548,I4548)</f>
        <v>5604</v>
      </c>
      <c r="J4549" s="1">
        <f>IF(Query1[[#This Row],[ItemType]]="EVAP KIT UNIVERSAL",Query1[[#This Row],[OrderQty]]+J4548,J4548)</f>
        <v>1819</v>
      </c>
      <c r="K4549" s="1">
        <f>Query1[[#This Row],[SF Running Total]]+Query1[[#This Row],[UNIV Running Total]]</f>
        <v>7423</v>
      </c>
      <c r="L4549">
        <f>VLOOKUP(Query1[[#This Row],[Description]],'kits to boards'!$B$2:$E$156,2,FALSE)</f>
        <v>830002</v>
      </c>
      <c r="M4549">
        <f>VLOOKUP(Query1[[#This Row],[Description]],'kits to boards'!$B$2:$E$156,3,FALSE)</f>
        <v>0</v>
      </c>
      <c r="N4549">
        <f>VLOOKUP(Query1[[#This Row],[Description]],'kits to boards'!$B$2:$E$156,4,FALSE)</f>
        <v>0</v>
      </c>
      <c r="O4549" t="str">
        <f>CONCATENATE(Query1[[#This Row],[Description]]," - ",Query1[[#This Row],[MB1]]," - ",Query1[[#This Row],[MB2]]," - ",Query1[[#This Row],[MB3]])</f>
        <v>EVAP KIT 73-80 CHEV P-UP WO AC - 830002 - 0 - 0</v>
      </c>
    </row>
    <row r="4550" spans="1:15" x14ac:dyDescent="0.25">
      <c r="A4550" s="1">
        <v>921346</v>
      </c>
      <c r="B4550" s="1" t="s">
        <v>96</v>
      </c>
      <c r="C4550" s="1" t="s">
        <v>97</v>
      </c>
      <c r="D4550" s="2">
        <v>44678.412257256947</v>
      </c>
      <c r="E4550" s="1" t="s">
        <v>8</v>
      </c>
      <c r="F4550" s="1">
        <v>1</v>
      </c>
      <c r="G4550" s="1">
        <v>0</v>
      </c>
      <c r="H4550" s="6">
        <f>INT(Query1[[#This Row],[EntryDateTime]])</f>
        <v>44678</v>
      </c>
      <c r="I4550" s="1">
        <f>IF(Query1[[#This Row],[ItemType]]="EVAP KIT SF GEN IV",Query1[[#This Row],[OrderQty]]+I4549,I4549)</f>
        <v>5605</v>
      </c>
      <c r="J4550" s="1">
        <f>IF(Query1[[#This Row],[ItemType]]="EVAP KIT UNIVERSAL",Query1[[#This Row],[OrderQty]]+J4549,J4549)</f>
        <v>1819</v>
      </c>
      <c r="K4550" s="1">
        <f>Query1[[#This Row],[SF Running Total]]+Query1[[#This Row],[UNIV Running Total]]</f>
        <v>7424</v>
      </c>
      <c r="L4550">
        <f>VLOOKUP(Query1[[#This Row],[Description]],'kits to boards'!$B$2:$E$156,2,FALSE)</f>
        <v>830004</v>
      </c>
      <c r="M4550">
        <f>VLOOKUP(Query1[[#This Row],[Description]],'kits to boards'!$B$2:$E$156,3,FALSE)</f>
        <v>0</v>
      </c>
      <c r="N4550">
        <f>VLOOKUP(Query1[[#This Row],[Description]],'kits to boards'!$B$2:$E$156,4,FALSE)</f>
        <v>0</v>
      </c>
      <c r="O4550" t="str">
        <f>CONCATENATE(Query1[[#This Row],[Description]]," - ",Query1[[#This Row],[MB1]]," - ",Query1[[#This Row],[MB2]]," - ",Query1[[#This Row],[MB3]])</f>
        <v>EVAP KIT 81-87 CHEV P-UP W/AC - 830004 - 0 - 0</v>
      </c>
    </row>
    <row r="4551" spans="1:15" x14ac:dyDescent="0.25">
      <c r="A4551" s="1">
        <v>921380</v>
      </c>
      <c r="B4551" s="1" t="s">
        <v>18</v>
      </c>
      <c r="C4551" s="1" t="s">
        <v>19</v>
      </c>
      <c r="D4551" s="2">
        <v>44678.428760104165</v>
      </c>
      <c r="E4551" s="1" t="s">
        <v>8</v>
      </c>
      <c r="F4551" s="1">
        <v>1</v>
      </c>
      <c r="G4551" s="1">
        <v>0</v>
      </c>
      <c r="H4551" s="6">
        <f>INT(Query1[[#This Row],[EntryDateTime]])</f>
        <v>44678</v>
      </c>
      <c r="I4551" s="1">
        <f>IF(Query1[[#This Row],[ItemType]]="EVAP KIT SF GEN IV",Query1[[#This Row],[OrderQty]]+I4550,I4550)</f>
        <v>5606</v>
      </c>
      <c r="J4551" s="1">
        <f>IF(Query1[[#This Row],[ItemType]]="EVAP KIT UNIVERSAL",Query1[[#This Row],[OrderQty]]+J4550,J4550)</f>
        <v>1819</v>
      </c>
      <c r="K4551" s="1">
        <f>Query1[[#This Row],[SF Running Total]]+Query1[[#This Row],[UNIV Running Total]]</f>
        <v>7425</v>
      </c>
      <c r="L4551">
        <f>VLOOKUP(Query1[[#This Row],[Description]],'kits to boards'!$B$2:$E$156,2,FALSE)</f>
        <v>830051</v>
      </c>
      <c r="M4551">
        <f>VLOOKUP(Query1[[#This Row],[Description]],'kits to boards'!$B$2:$E$156,3,FALSE)</f>
        <v>0</v>
      </c>
      <c r="N4551">
        <f>VLOOKUP(Query1[[#This Row],[Description]],'kits to boards'!$B$2:$E$156,4,FALSE)</f>
        <v>0</v>
      </c>
      <c r="O4551" t="str">
        <f>CONCATENATE(Query1[[#This Row],[Description]]," - ",Query1[[#This Row],[MB1]]," - ",Query1[[#This Row],[MB2]]," - ",Query1[[#This Row],[MB3]])</f>
        <v>EVAP KIT 70-78 CAMARO W/AC - 830051 - 0 - 0</v>
      </c>
    </row>
    <row r="4552" spans="1:15" x14ac:dyDescent="0.25">
      <c r="A4552" s="1">
        <v>921389</v>
      </c>
      <c r="B4552" s="1" t="s">
        <v>198</v>
      </c>
      <c r="C4552" s="1" t="s">
        <v>199</v>
      </c>
      <c r="D4552" s="2">
        <v>44678.440406828704</v>
      </c>
      <c r="E4552" s="1" t="s">
        <v>8</v>
      </c>
      <c r="F4552" s="1">
        <v>1</v>
      </c>
      <c r="G4552" s="1">
        <v>0</v>
      </c>
      <c r="H4552" s="6">
        <f>INT(Query1[[#This Row],[EntryDateTime]])</f>
        <v>44678</v>
      </c>
      <c r="I4552" s="1">
        <f>IF(Query1[[#This Row],[ItemType]]="EVAP KIT SF GEN IV",Query1[[#This Row],[OrderQty]]+I4551,I4551)</f>
        <v>5607</v>
      </c>
      <c r="J4552" s="1">
        <f>IF(Query1[[#This Row],[ItemType]]="EVAP KIT UNIVERSAL",Query1[[#This Row],[OrderQty]]+J4551,J4551)</f>
        <v>1819</v>
      </c>
      <c r="K4552" s="1">
        <f>Query1[[#This Row],[SF Running Total]]+Query1[[#This Row],[UNIV Running Total]]</f>
        <v>7426</v>
      </c>
      <c r="L4552">
        <f>VLOOKUP(Query1[[#This Row],[Description]],'kits to boards'!$B$2:$E$156,2,FALSE)</f>
        <v>830042</v>
      </c>
      <c r="M4552">
        <f>VLOOKUP(Query1[[#This Row],[Description]],'kits to boards'!$B$2:$E$156,3,FALSE)</f>
        <v>0</v>
      </c>
      <c r="N4552">
        <f>VLOOKUP(Query1[[#This Row],[Description]],'kits to boards'!$B$2:$E$156,4,FALSE)</f>
        <v>0</v>
      </c>
      <c r="O4552" t="str">
        <f>CONCATENATE(Query1[[#This Row],[Description]]," - ",Query1[[#This Row],[MB1]]," - ",Query1[[#This Row],[MB2]]," - ",Query1[[#This Row],[MB3]])</f>
        <v>EVAP KIT 68-83 TOYOTA FJ40 ULTRA HIGH PERF - 830042 - 0 - 0</v>
      </c>
    </row>
    <row r="4553" spans="1:15" x14ac:dyDescent="0.25">
      <c r="A4553" s="1">
        <v>921391</v>
      </c>
      <c r="B4553" s="1" t="s">
        <v>62</v>
      </c>
      <c r="C4553" s="1" t="s">
        <v>63</v>
      </c>
      <c r="D4553" s="2">
        <v>44678.442201307873</v>
      </c>
      <c r="E4553" s="1" t="s">
        <v>8</v>
      </c>
      <c r="F4553" s="1">
        <v>1</v>
      </c>
      <c r="G4553" s="1">
        <v>0</v>
      </c>
      <c r="H4553" s="6">
        <f>INT(Query1[[#This Row],[EntryDateTime]])</f>
        <v>44678</v>
      </c>
      <c r="I4553" s="1">
        <f>IF(Query1[[#This Row],[ItemType]]="EVAP KIT SF GEN IV",Query1[[#This Row],[OrderQty]]+I4552,I4552)</f>
        <v>5608</v>
      </c>
      <c r="J4553" s="1">
        <f>IF(Query1[[#This Row],[ItemType]]="EVAP KIT UNIVERSAL",Query1[[#This Row],[OrderQty]]+J4552,J4552)</f>
        <v>1819</v>
      </c>
      <c r="K4553" s="1">
        <f>Query1[[#This Row],[SF Running Total]]+Query1[[#This Row],[UNIV Running Total]]</f>
        <v>7427</v>
      </c>
      <c r="L4553">
        <f>VLOOKUP(Query1[[#This Row],[Description]],'kits to boards'!$B$2:$E$156,2,FALSE)</f>
        <v>830079</v>
      </c>
      <c r="M4553">
        <f>VLOOKUP(Query1[[#This Row],[Description]],'kits to boards'!$B$2:$E$156,3,FALSE)</f>
        <v>830046</v>
      </c>
      <c r="N4553">
        <f>VLOOKUP(Query1[[#This Row],[Description]],'kits to boards'!$B$2:$E$156,4,FALSE)</f>
        <v>0</v>
      </c>
      <c r="O4553" t="str">
        <f>CONCATENATE(Query1[[#This Row],[Description]]," - ",Query1[[#This Row],[MB1]]," - ",Query1[[#This Row],[MB2]]," - ",Query1[[#This Row],[MB3]])</f>
        <v>EVAP KIT 67-68 MUSTANG/COUGAR WO AC - 830079 - 830046 - 0</v>
      </c>
    </row>
    <row r="4554" spans="1:15" x14ac:dyDescent="0.25">
      <c r="A4554" s="1">
        <v>921396</v>
      </c>
      <c r="B4554" s="1" t="s">
        <v>108</v>
      </c>
      <c r="C4554" s="1" t="s">
        <v>109</v>
      </c>
      <c r="D4554" s="2">
        <v>44678.447681747683</v>
      </c>
      <c r="E4554" s="1" t="s">
        <v>8</v>
      </c>
      <c r="F4554" s="1">
        <v>1</v>
      </c>
      <c r="G4554" s="1">
        <v>0</v>
      </c>
      <c r="H4554" s="6">
        <f>INT(Query1[[#This Row],[EntryDateTime]])</f>
        <v>44678</v>
      </c>
      <c r="I4554" s="1">
        <f>IF(Query1[[#This Row],[ItemType]]="EVAP KIT SF GEN IV",Query1[[#This Row],[OrderQty]]+I4553,I4553)</f>
        <v>5609</v>
      </c>
      <c r="J4554" s="1">
        <f>IF(Query1[[#This Row],[ItemType]]="EVAP KIT UNIVERSAL",Query1[[#This Row],[OrderQty]]+J4553,J4553)</f>
        <v>1819</v>
      </c>
      <c r="K4554" s="1">
        <f>Query1[[#This Row],[SF Running Total]]+Query1[[#This Row],[UNIV Running Total]]</f>
        <v>7428</v>
      </c>
      <c r="L4554">
        <f>VLOOKUP(Query1[[#This Row],[Description]],'kits to boards'!$B$2:$E$156,2,FALSE)</f>
        <v>830105</v>
      </c>
      <c r="M4554">
        <f>VLOOKUP(Query1[[#This Row],[Description]],'kits to boards'!$B$2:$E$156,3,FALSE)</f>
        <v>830106</v>
      </c>
      <c r="N4554">
        <f>VLOOKUP(Query1[[#This Row],[Description]],'kits to boards'!$B$2:$E$156,4,FALSE)</f>
        <v>0</v>
      </c>
      <c r="O4554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4555" spans="1:15" x14ac:dyDescent="0.25">
      <c r="A4555" s="1">
        <v>921400</v>
      </c>
      <c r="B4555" s="1" t="s">
        <v>160</v>
      </c>
      <c r="C4555" s="1" t="s">
        <v>161</v>
      </c>
      <c r="D4555" s="2">
        <v>44678.458196643522</v>
      </c>
      <c r="E4555" s="1" t="s">
        <v>8</v>
      </c>
      <c r="F4555" s="1">
        <v>1</v>
      </c>
      <c r="G4555" s="1">
        <v>0</v>
      </c>
      <c r="H4555" s="6">
        <f>INT(Query1[[#This Row],[EntryDateTime]])</f>
        <v>44678</v>
      </c>
      <c r="I4555" s="1">
        <f>IF(Query1[[#This Row],[ItemType]]="EVAP KIT SF GEN IV",Query1[[#This Row],[OrderQty]]+I4554,I4554)</f>
        <v>5610</v>
      </c>
      <c r="J4555" s="1">
        <f>IF(Query1[[#This Row],[ItemType]]="EVAP KIT UNIVERSAL",Query1[[#This Row],[OrderQty]]+J4554,J4554)</f>
        <v>1819</v>
      </c>
      <c r="K4555" s="1">
        <f>Query1[[#This Row],[SF Running Total]]+Query1[[#This Row],[UNIV Running Total]]</f>
        <v>7429</v>
      </c>
      <c r="L4555">
        <f>VLOOKUP(Query1[[#This Row],[Description]],'kits to boards'!$B$2:$E$156,2,FALSE)</f>
        <v>830083</v>
      </c>
      <c r="M4555">
        <f>VLOOKUP(Query1[[#This Row],[Description]],'kits to boards'!$B$2:$E$156,3,FALSE)</f>
        <v>0</v>
      </c>
      <c r="N4555">
        <f>VLOOKUP(Query1[[#This Row],[Description]],'kits to boards'!$B$2:$E$156,4,FALSE)</f>
        <v>0</v>
      </c>
      <c r="O4555" t="str">
        <f>CONCATENATE(Query1[[#This Row],[Description]]," - ",Query1[[#This Row],[MB1]]," - ",Query1[[#This Row],[MB2]]," - ",Query1[[#This Row],[MB3]])</f>
        <v>EVAP KIT 70-74 CHALNGR/CUDA WO AC - 830083 - 0 - 0</v>
      </c>
    </row>
    <row r="4556" spans="1:15" x14ac:dyDescent="0.25">
      <c r="A4556" s="1">
        <v>921401</v>
      </c>
      <c r="B4556" s="1" t="s">
        <v>42</v>
      </c>
      <c r="C4556" s="1" t="s">
        <v>43</v>
      </c>
      <c r="D4556" s="2">
        <v>44678.462538888889</v>
      </c>
      <c r="E4556" s="1" t="s">
        <v>8</v>
      </c>
      <c r="F4556" s="1">
        <v>1</v>
      </c>
      <c r="G4556" s="1">
        <v>0</v>
      </c>
      <c r="H4556" s="6">
        <f>INT(Query1[[#This Row],[EntryDateTime]])</f>
        <v>44678</v>
      </c>
      <c r="I4556" s="1">
        <f>IF(Query1[[#This Row],[ItemType]]="EVAP KIT SF GEN IV",Query1[[#This Row],[OrderQty]]+I4555,I4555)</f>
        <v>5611</v>
      </c>
      <c r="J4556" s="1">
        <f>IF(Query1[[#This Row],[ItemType]]="EVAP KIT UNIVERSAL",Query1[[#This Row],[OrderQty]]+J4555,J4555)</f>
        <v>1819</v>
      </c>
      <c r="K4556" s="1">
        <f>Query1[[#This Row],[SF Running Total]]+Query1[[#This Row],[UNIV Running Total]]</f>
        <v>7430</v>
      </c>
      <c r="L4556">
        <f>VLOOKUP(Query1[[#This Row],[Description]],'kits to boards'!$B$2:$E$156,2,FALSE)</f>
        <v>830014</v>
      </c>
      <c r="M4556">
        <f>VLOOKUP(Query1[[#This Row],[Description]],'kits to boards'!$B$2:$E$156,3,FALSE)</f>
        <v>0</v>
      </c>
      <c r="N4556">
        <f>VLOOKUP(Query1[[#This Row],[Description]],'kits to boards'!$B$2:$E$156,4,FALSE)</f>
        <v>0</v>
      </c>
      <c r="O4556" t="str">
        <f>CONCATENATE(Query1[[#This Row],[Description]]," - ",Query1[[#This Row],[MB1]]," - ",Query1[[#This Row],[MB2]]," - ",Query1[[#This Row],[MB3]])</f>
        <v>EVAP KIT 67-72 CHEV P-UP WO AC - 830014 - 0 - 0</v>
      </c>
    </row>
    <row r="4557" spans="1:15" x14ac:dyDescent="0.25">
      <c r="A4557" s="1">
        <v>921417</v>
      </c>
      <c r="B4557" s="1" t="s">
        <v>32</v>
      </c>
      <c r="C4557" s="1" t="s">
        <v>33</v>
      </c>
      <c r="D4557" s="2">
        <v>44678.502033564815</v>
      </c>
      <c r="E4557" s="1" t="s">
        <v>8</v>
      </c>
      <c r="F4557" s="1">
        <v>1</v>
      </c>
      <c r="G4557" s="1">
        <v>0</v>
      </c>
      <c r="H4557" s="6">
        <f>INT(Query1[[#This Row],[EntryDateTime]])</f>
        <v>44678</v>
      </c>
      <c r="I4557" s="1">
        <f>IF(Query1[[#This Row],[ItemType]]="EVAP KIT SF GEN IV",Query1[[#This Row],[OrderQty]]+I4556,I4556)</f>
        <v>5612</v>
      </c>
      <c r="J4557" s="1">
        <f>IF(Query1[[#This Row],[ItemType]]="EVAP KIT UNIVERSAL",Query1[[#This Row],[OrderQty]]+J4556,J4556)</f>
        <v>1819</v>
      </c>
      <c r="K4557" s="1">
        <f>Query1[[#This Row],[SF Running Total]]+Query1[[#This Row],[UNIV Running Total]]</f>
        <v>7431</v>
      </c>
      <c r="L4557">
        <f>VLOOKUP(Query1[[#This Row],[Description]],'kits to boards'!$B$2:$E$156,2,FALSE)</f>
        <v>830016</v>
      </c>
      <c r="M4557">
        <f>VLOOKUP(Query1[[#This Row],[Description]],'kits to boards'!$B$2:$E$156,3,FALSE)</f>
        <v>0</v>
      </c>
      <c r="N4557">
        <f>VLOOKUP(Query1[[#This Row],[Description]],'kits to boards'!$B$2:$E$156,4,FALSE)</f>
        <v>0</v>
      </c>
      <c r="O4557" t="str">
        <f>CONCATENATE(Query1[[#This Row],[Description]]," - ",Query1[[#This Row],[MB1]]," - ",Query1[[#This Row],[MB2]]," - ",Query1[[#This Row],[MB3]])</f>
        <v>EVAP KIT 67-68 CAMARO/FIREBIRD W/AC - 830016 - 0 - 0</v>
      </c>
    </row>
    <row r="4558" spans="1:15" x14ac:dyDescent="0.25">
      <c r="A4558" s="1">
        <v>921247</v>
      </c>
      <c r="B4558" s="1" t="s">
        <v>14</v>
      </c>
      <c r="C4558" s="1" t="s">
        <v>15</v>
      </c>
      <c r="D4558" s="2">
        <v>44678.503607025465</v>
      </c>
      <c r="E4558" s="1" t="s">
        <v>8</v>
      </c>
      <c r="F4558" s="1">
        <v>1</v>
      </c>
      <c r="G4558" s="1">
        <v>0</v>
      </c>
      <c r="H4558" s="6">
        <f>INT(Query1[[#This Row],[EntryDateTime]])</f>
        <v>44678</v>
      </c>
      <c r="I4558" s="1">
        <f>IF(Query1[[#This Row],[ItemType]]="EVAP KIT SF GEN IV",Query1[[#This Row],[OrderQty]]+I4557,I4557)</f>
        <v>5613</v>
      </c>
      <c r="J4558" s="1">
        <f>IF(Query1[[#This Row],[ItemType]]="EVAP KIT UNIVERSAL",Query1[[#This Row],[OrderQty]]+J4557,J4557)</f>
        <v>1819</v>
      </c>
      <c r="K4558" s="1">
        <f>Query1[[#This Row],[SF Running Total]]+Query1[[#This Row],[UNIV Running Total]]</f>
        <v>7432</v>
      </c>
      <c r="L4558">
        <f>VLOOKUP(Query1[[#This Row],[Description]],'kits to boards'!$B$2:$E$156,2,FALSE)</f>
        <v>830054</v>
      </c>
      <c r="M4558">
        <f>VLOOKUP(Query1[[#This Row],[Description]],'kits to boards'!$B$2:$E$156,3,FALSE)</f>
        <v>0</v>
      </c>
      <c r="N4558">
        <f>VLOOKUP(Query1[[#This Row],[Description]],'kits to boards'!$B$2:$E$156,4,FALSE)</f>
        <v>0</v>
      </c>
      <c r="O4558" t="str">
        <f>CONCATENATE(Query1[[#This Row],[Description]]," - ",Query1[[#This Row],[MB1]]," - ",Query1[[#This Row],[MB2]]," - ",Query1[[#This Row],[MB3]])</f>
        <v>EVAP KIT 55-56 CHEVY - 830054 - 0 - 0</v>
      </c>
    </row>
    <row r="4559" spans="1:15" x14ac:dyDescent="0.25">
      <c r="A4559" s="1">
        <v>921412</v>
      </c>
      <c r="B4559" s="1" t="s">
        <v>96</v>
      </c>
      <c r="C4559" s="1" t="s">
        <v>97</v>
      </c>
      <c r="D4559" s="2">
        <v>44678.507968784725</v>
      </c>
      <c r="E4559" s="1" t="s">
        <v>8</v>
      </c>
      <c r="F4559" s="1">
        <v>1</v>
      </c>
      <c r="G4559" s="1">
        <v>0</v>
      </c>
      <c r="H4559" s="6">
        <f>INT(Query1[[#This Row],[EntryDateTime]])</f>
        <v>44678</v>
      </c>
      <c r="I4559" s="1">
        <f>IF(Query1[[#This Row],[ItemType]]="EVAP KIT SF GEN IV",Query1[[#This Row],[OrderQty]]+I4558,I4558)</f>
        <v>5614</v>
      </c>
      <c r="J4559" s="1">
        <f>IF(Query1[[#This Row],[ItemType]]="EVAP KIT UNIVERSAL",Query1[[#This Row],[OrderQty]]+J4558,J4558)</f>
        <v>1819</v>
      </c>
      <c r="K4559" s="1">
        <f>Query1[[#This Row],[SF Running Total]]+Query1[[#This Row],[UNIV Running Total]]</f>
        <v>7433</v>
      </c>
      <c r="L4559">
        <f>VLOOKUP(Query1[[#This Row],[Description]],'kits to boards'!$B$2:$E$156,2,FALSE)</f>
        <v>830004</v>
      </c>
      <c r="M4559">
        <f>VLOOKUP(Query1[[#This Row],[Description]],'kits to boards'!$B$2:$E$156,3,FALSE)</f>
        <v>0</v>
      </c>
      <c r="N4559">
        <f>VLOOKUP(Query1[[#This Row],[Description]],'kits to boards'!$B$2:$E$156,4,FALSE)</f>
        <v>0</v>
      </c>
      <c r="O4559" t="str">
        <f>CONCATENATE(Query1[[#This Row],[Description]]," - ",Query1[[#This Row],[MB1]]," - ",Query1[[#This Row],[MB2]]," - ",Query1[[#This Row],[MB3]])</f>
        <v>EVAP KIT 81-87 CHEV P-UP W/AC - 830004 - 0 - 0</v>
      </c>
    </row>
    <row r="4560" spans="1:15" x14ac:dyDescent="0.25">
      <c r="A4560" s="1">
        <v>920909</v>
      </c>
      <c r="B4560" s="1" t="s">
        <v>32</v>
      </c>
      <c r="C4560" s="1" t="s">
        <v>33</v>
      </c>
      <c r="D4560" s="2">
        <v>44678.542112303243</v>
      </c>
      <c r="E4560" s="1" t="s">
        <v>8</v>
      </c>
      <c r="F4560" s="1">
        <v>1</v>
      </c>
      <c r="G4560" s="1">
        <v>0</v>
      </c>
      <c r="H4560" s="6">
        <f>INT(Query1[[#This Row],[EntryDateTime]])</f>
        <v>44678</v>
      </c>
      <c r="I4560" s="1">
        <f>IF(Query1[[#This Row],[ItemType]]="EVAP KIT SF GEN IV",Query1[[#This Row],[OrderQty]]+I4559,I4559)</f>
        <v>5615</v>
      </c>
      <c r="J4560" s="1">
        <f>IF(Query1[[#This Row],[ItemType]]="EVAP KIT UNIVERSAL",Query1[[#This Row],[OrderQty]]+J4559,J4559)</f>
        <v>1819</v>
      </c>
      <c r="K4560" s="1">
        <f>Query1[[#This Row],[SF Running Total]]+Query1[[#This Row],[UNIV Running Total]]</f>
        <v>7434</v>
      </c>
      <c r="L4560">
        <f>VLOOKUP(Query1[[#This Row],[Description]],'kits to boards'!$B$2:$E$156,2,FALSE)</f>
        <v>830016</v>
      </c>
      <c r="M4560">
        <f>VLOOKUP(Query1[[#This Row],[Description]],'kits to boards'!$B$2:$E$156,3,FALSE)</f>
        <v>0</v>
      </c>
      <c r="N4560">
        <f>VLOOKUP(Query1[[#This Row],[Description]],'kits to boards'!$B$2:$E$156,4,FALSE)</f>
        <v>0</v>
      </c>
      <c r="O4560" t="str">
        <f>CONCATENATE(Query1[[#This Row],[Description]]," - ",Query1[[#This Row],[MB1]]," - ",Query1[[#This Row],[MB2]]," - ",Query1[[#This Row],[MB3]])</f>
        <v>EVAP KIT 67-68 CAMARO/FIREBIRD W/AC - 830016 - 0 - 0</v>
      </c>
    </row>
    <row r="4561" spans="1:15" x14ac:dyDescent="0.25">
      <c r="A4561" s="1">
        <v>921436</v>
      </c>
      <c r="B4561" s="1" t="s">
        <v>158</v>
      </c>
      <c r="C4561" s="1" t="s">
        <v>159</v>
      </c>
      <c r="D4561" s="2">
        <v>44678.550793020833</v>
      </c>
      <c r="E4561" s="1" t="s">
        <v>8</v>
      </c>
      <c r="F4561" s="1">
        <v>1</v>
      </c>
      <c r="G4561" s="1">
        <v>0</v>
      </c>
      <c r="H4561" s="6">
        <f>INT(Query1[[#This Row],[EntryDateTime]])</f>
        <v>44678</v>
      </c>
      <c r="I4561" s="1">
        <f>IF(Query1[[#This Row],[ItemType]]="EVAP KIT SF GEN IV",Query1[[#This Row],[OrderQty]]+I4560,I4560)</f>
        <v>5616</v>
      </c>
      <c r="J4561" s="1">
        <f>IF(Query1[[#This Row],[ItemType]]="EVAP KIT UNIVERSAL",Query1[[#This Row],[OrderQty]]+J4560,J4560)</f>
        <v>1819</v>
      </c>
      <c r="K4561" s="1">
        <f>Query1[[#This Row],[SF Running Total]]+Query1[[#This Row],[UNIV Running Total]]</f>
        <v>7435</v>
      </c>
      <c r="L4561">
        <f>VLOOKUP(Query1[[#This Row],[Description]],'kits to boards'!$B$2:$E$156,2,FALSE)</f>
        <v>830080</v>
      </c>
      <c r="M4561">
        <f>VLOOKUP(Query1[[#This Row],[Description]],'kits to boards'!$B$2:$E$156,3,FALSE)</f>
        <v>830046</v>
      </c>
      <c r="N4561">
        <f>VLOOKUP(Query1[[#This Row],[Description]],'kits to boards'!$B$2:$E$156,4,FALSE)</f>
        <v>0</v>
      </c>
      <c r="O4561" t="str">
        <f>CONCATENATE(Query1[[#This Row],[Description]]," - ",Query1[[#This Row],[MB1]]," - ",Query1[[#This Row],[MB2]]," - ",Query1[[#This Row],[MB3]])</f>
        <v>EVAP KIT 69-70 MUSTANG W/AC  - 830080 - 830046 - 0</v>
      </c>
    </row>
    <row r="4562" spans="1:15" x14ac:dyDescent="0.25">
      <c r="A4562" s="1">
        <v>921438</v>
      </c>
      <c r="B4562" s="1" t="s">
        <v>228</v>
      </c>
      <c r="C4562" s="1" t="s">
        <v>229</v>
      </c>
      <c r="D4562" s="2">
        <v>44678.558833252318</v>
      </c>
      <c r="E4562" s="1" t="s">
        <v>8</v>
      </c>
      <c r="F4562" s="1">
        <v>1</v>
      </c>
      <c r="G4562" s="1">
        <v>0</v>
      </c>
      <c r="H4562" s="6">
        <f>INT(Query1[[#This Row],[EntryDateTime]])</f>
        <v>44678</v>
      </c>
      <c r="I4562" s="1">
        <f>IF(Query1[[#This Row],[ItemType]]="EVAP KIT SF GEN IV",Query1[[#This Row],[OrderQty]]+I4561,I4561)</f>
        <v>5617</v>
      </c>
      <c r="J4562" s="1">
        <f>IF(Query1[[#This Row],[ItemType]]="EVAP KIT UNIVERSAL",Query1[[#This Row],[OrderQty]]+J4561,J4561)</f>
        <v>1819</v>
      </c>
      <c r="K4562" s="1">
        <f>Query1[[#This Row],[SF Running Total]]+Query1[[#This Row],[UNIV Running Total]]</f>
        <v>7436</v>
      </c>
      <c r="L4562">
        <f>VLOOKUP(Query1[[#This Row],[Description]],'kits to boards'!$B$2:$E$156,2,FALSE)</f>
        <v>830044</v>
      </c>
      <c r="M4562">
        <f>VLOOKUP(Query1[[#This Row],[Description]],'kits to boards'!$B$2:$E$156,3,FALSE)</f>
        <v>0</v>
      </c>
      <c r="N4562">
        <f>VLOOKUP(Query1[[#This Row],[Description]],'kits to boards'!$B$2:$E$156,4,FALSE)</f>
        <v>0</v>
      </c>
      <c r="O4562" t="str">
        <f>CONCATENATE(Query1[[#This Row],[Description]]," - ",Query1[[#This Row],[MB1]]," - ",Query1[[#This Row],[MB2]]," - ",Query1[[#This Row],[MB3]])</f>
        <v>EVAP KIT 64-65 FALCON/RANCHERO - 830044 - 0 - 0</v>
      </c>
    </row>
    <row r="4563" spans="1:15" x14ac:dyDescent="0.25">
      <c r="A4563" s="1">
        <v>921443</v>
      </c>
      <c r="B4563" s="1" t="s">
        <v>26</v>
      </c>
      <c r="C4563" s="1" t="s">
        <v>27</v>
      </c>
      <c r="D4563" s="2">
        <v>44678.56544140046</v>
      </c>
      <c r="E4563" s="1" t="s">
        <v>8</v>
      </c>
      <c r="F4563" s="1">
        <v>1</v>
      </c>
      <c r="G4563" s="1">
        <v>0</v>
      </c>
      <c r="H4563" s="6">
        <f>INT(Query1[[#This Row],[EntryDateTime]])</f>
        <v>44678</v>
      </c>
      <c r="I4563" s="1">
        <f>IF(Query1[[#This Row],[ItemType]]="EVAP KIT SF GEN IV",Query1[[#This Row],[OrderQty]]+I4562,I4562)</f>
        <v>5618</v>
      </c>
      <c r="J4563" s="1">
        <f>IF(Query1[[#This Row],[ItemType]]="EVAP KIT UNIVERSAL",Query1[[#This Row],[OrderQty]]+J4562,J4562)</f>
        <v>1819</v>
      </c>
      <c r="K4563" s="1">
        <f>Query1[[#This Row],[SF Running Total]]+Query1[[#This Row],[UNIV Running Total]]</f>
        <v>7437</v>
      </c>
      <c r="L4563">
        <f>VLOOKUP(Query1[[#This Row],[Description]],'kits to boards'!$B$2:$E$156,2,FALSE)</f>
        <v>830013</v>
      </c>
      <c r="M4563">
        <f>VLOOKUP(Query1[[#This Row],[Description]],'kits to boards'!$B$2:$E$156,3,FALSE)</f>
        <v>0</v>
      </c>
      <c r="N4563">
        <f>VLOOKUP(Query1[[#This Row],[Description]],'kits to boards'!$B$2:$E$156,4,FALSE)</f>
        <v>0</v>
      </c>
      <c r="O4563" t="str">
        <f>CONCATENATE(Query1[[#This Row],[Description]]," - ",Query1[[#This Row],[MB1]]," - ",Query1[[#This Row],[MB2]]," - ",Query1[[#This Row],[MB3]])</f>
        <v>EVAP KIT 67-72 CHEV P-UP W/AC - 830013 - 0 - 0</v>
      </c>
    </row>
    <row r="4564" spans="1:15" x14ac:dyDescent="0.25">
      <c r="A4564" s="1">
        <v>921447</v>
      </c>
      <c r="B4564" s="1" t="s">
        <v>6</v>
      </c>
      <c r="C4564" s="1" t="s">
        <v>7</v>
      </c>
      <c r="D4564" s="2">
        <v>44678.57790783565</v>
      </c>
      <c r="E4564" s="1" t="s">
        <v>8</v>
      </c>
      <c r="F4564" s="1">
        <v>1</v>
      </c>
      <c r="G4564" s="1">
        <v>0</v>
      </c>
      <c r="H4564" s="6">
        <f>INT(Query1[[#This Row],[EntryDateTime]])</f>
        <v>44678</v>
      </c>
      <c r="I4564" s="1">
        <f>IF(Query1[[#This Row],[ItemType]]="EVAP KIT SF GEN IV",Query1[[#This Row],[OrderQty]]+I4563,I4563)</f>
        <v>5619</v>
      </c>
      <c r="J4564" s="1">
        <f>IF(Query1[[#This Row],[ItemType]]="EVAP KIT UNIVERSAL",Query1[[#This Row],[OrderQty]]+J4563,J4563)</f>
        <v>1819</v>
      </c>
      <c r="K4564" s="1">
        <f>Query1[[#This Row],[SF Running Total]]+Query1[[#This Row],[UNIV Running Total]]</f>
        <v>7438</v>
      </c>
      <c r="L4564">
        <f>VLOOKUP(Query1[[#This Row],[Description]],'kits to boards'!$B$2:$E$156,2,FALSE)</f>
        <v>830132</v>
      </c>
      <c r="M4564">
        <f>VLOOKUP(Query1[[#This Row],[Description]],'kits to boards'!$B$2:$E$156,3,FALSE)</f>
        <v>0</v>
      </c>
      <c r="N4564">
        <f>VLOOKUP(Query1[[#This Row],[Description]],'kits to boards'!$B$2:$E$156,4,FALSE)</f>
        <v>0</v>
      </c>
      <c r="O4564" t="str">
        <f>CONCATENATE(Query1[[#This Row],[Description]]," - ",Query1[[#This Row],[MB1]]," - ",Query1[[#This Row],[MB2]]," - ",Query1[[#This Row],[MB3]])</f>
        <v>EVAP KIT 82-88 MONTE CARLO/EL CAMINO - 830132 - 0 - 0</v>
      </c>
    </row>
    <row r="4565" spans="1:15" x14ac:dyDescent="0.25">
      <c r="A4565" s="1">
        <v>921448</v>
      </c>
      <c r="B4565" s="1" t="s">
        <v>160</v>
      </c>
      <c r="C4565" s="1" t="s">
        <v>161</v>
      </c>
      <c r="D4565" s="2">
        <v>44678.584881168979</v>
      </c>
      <c r="E4565" s="1" t="s">
        <v>8</v>
      </c>
      <c r="F4565" s="1">
        <v>1</v>
      </c>
      <c r="G4565" s="1">
        <v>0</v>
      </c>
      <c r="H4565" s="6">
        <f>INT(Query1[[#This Row],[EntryDateTime]])</f>
        <v>44678</v>
      </c>
      <c r="I4565" s="1">
        <f>IF(Query1[[#This Row],[ItemType]]="EVAP KIT SF GEN IV",Query1[[#This Row],[OrderQty]]+I4564,I4564)</f>
        <v>5620</v>
      </c>
      <c r="J4565" s="1">
        <f>IF(Query1[[#This Row],[ItemType]]="EVAP KIT UNIVERSAL",Query1[[#This Row],[OrderQty]]+J4564,J4564)</f>
        <v>1819</v>
      </c>
      <c r="K4565" s="1">
        <f>Query1[[#This Row],[SF Running Total]]+Query1[[#This Row],[UNIV Running Total]]</f>
        <v>7439</v>
      </c>
      <c r="L4565">
        <f>VLOOKUP(Query1[[#This Row],[Description]],'kits to boards'!$B$2:$E$156,2,FALSE)</f>
        <v>830083</v>
      </c>
      <c r="M4565">
        <f>VLOOKUP(Query1[[#This Row],[Description]],'kits to boards'!$B$2:$E$156,3,FALSE)</f>
        <v>0</v>
      </c>
      <c r="N4565">
        <f>VLOOKUP(Query1[[#This Row],[Description]],'kits to boards'!$B$2:$E$156,4,FALSE)</f>
        <v>0</v>
      </c>
      <c r="O4565" t="str">
        <f>CONCATENATE(Query1[[#This Row],[Description]]," - ",Query1[[#This Row],[MB1]]," - ",Query1[[#This Row],[MB2]]," - ",Query1[[#This Row],[MB3]])</f>
        <v>EVAP KIT 70-74 CHALNGR/CUDA WO AC - 830083 - 0 - 0</v>
      </c>
    </row>
    <row r="4566" spans="1:15" x14ac:dyDescent="0.25">
      <c r="A4566" s="1">
        <v>921433</v>
      </c>
      <c r="B4566" s="1" t="s">
        <v>42</v>
      </c>
      <c r="C4566" s="1" t="s">
        <v>43</v>
      </c>
      <c r="D4566" s="2">
        <v>44678.592194444442</v>
      </c>
      <c r="E4566" s="1" t="s">
        <v>8</v>
      </c>
      <c r="F4566" s="1">
        <v>1</v>
      </c>
      <c r="G4566" s="1">
        <v>0</v>
      </c>
      <c r="H4566" s="6">
        <f>INT(Query1[[#This Row],[EntryDateTime]])</f>
        <v>44678</v>
      </c>
      <c r="I4566" s="1">
        <f>IF(Query1[[#This Row],[ItemType]]="EVAP KIT SF GEN IV",Query1[[#This Row],[OrderQty]]+I4565,I4565)</f>
        <v>5621</v>
      </c>
      <c r="J4566" s="1">
        <f>IF(Query1[[#This Row],[ItemType]]="EVAP KIT UNIVERSAL",Query1[[#This Row],[OrderQty]]+J4565,J4565)</f>
        <v>1819</v>
      </c>
      <c r="K4566" s="1">
        <f>Query1[[#This Row],[SF Running Total]]+Query1[[#This Row],[UNIV Running Total]]</f>
        <v>7440</v>
      </c>
      <c r="L4566">
        <f>VLOOKUP(Query1[[#This Row],[Description]],'kits to boards'!$B$2:$E$156,2,FALSE)</f>
        <v>830014</v>
      </c>
      <c r="M4566">
        <f>VLOOKUP(Query1[[#This Row],[Description]],'kits to boards'!$B$2:$E$156,3,FALSE)</f>
        <v>0</v>
      </c>
      <c r="N4566">
        <f>VLOOKUP(Query1[[#This Row],[Description]],'kits to boards'!$B$2:$E$156,4,FALSE)</f>
        <v>0</v>
      </c>
      <c r="O4566" t="str">
        <f>CONCATENATE(Query1[[#This Row],[Description]]," - ",Query1[[#This Row],[MB1]]," - ",Query1[[#This Row],[MB2]]," - ",Query1[[#This Row],[MB3]])</f>
        <v>EVAP KIT 67-72 CHEV P-UP WO AC - 830014 - 0 - 0</v>
      </c>
    </row>
    <row r="4567" spans="1:15" x14ac:dyDescent="0.25">
      <c r="A4567" s="1">
        <v>921453</v>
      </c>
      <c r="B4567" s="1" t="s">
        <v>12</v>
      </c>
      <c r="C4567" s="1" t="s">
        <v>13</v>
      </c>
      <c r="D4567" s="2">
        <v>44678.594697418979</v>
      </c>
      <c r="E4567" s="1" t="s">
        <v>8</v>
      </c>
      <c r="F4567" s="1">
        <v>1</v>
      </c>
      <c r="G4567" s="1">
        <v>0</v>
      </c>
      <c r="H4567" s="6">
        <f>INT(Query1[[#This Row],[EntryDateTime]])</f>
        <v>44678</v>
      </c>
      <c r="I4567" s="1">
        <f>IF(Query1[[#This Row],[ItemType]]="EVAP KIT SF GEN IV",Query1[[#This Row],[OrderQty]]+I4566,I4566)</f>
        <v>5622</v>
      </c>
      <c r="J4567" s="1">
        <f>IF(Query1[[#This Row],[ItemType]]="EVAP KIT UNIVERSAL",Query1[[#This Row],[OrderQty]]+J4566,J4566)</f>
        <v>1819</v>
      </c>
      <c r="K4567" s="1">
        <f>Query1[[#This Row],[SF Running Total]]+Query1[[#This Row],[UNIV Running Total]]</f>
        <v>7441</v>
      </c>
      <c r="L4567">
        <f>VLOOKUP(Query1[[#This Row],[Description]],'kits to boards'!$B$2:$E$156,2,FALSE)</f>
        <v>830079</v>
      </c>
      <c r="M4567">
        <f>VLOOKUP(Query1[[#This Row],[Description]],'kits to boards'!$B$2:$E$156,3,FALSE)</f>
        <v>830046</v>
      </c>
      <c r="N4567">
        <f>VLOOKUP(Query1[[#This Row],[Description]],'kits to boards'!$B$2:$E$156,4,FALSE)</f>
        <v>0</v>
      </c>
      <c r="O4567" t="str">
        <f>CONCATENATE(Query1[[#This Row],[Description]]," - ",Query1[[#This Row],[MB1]]," - ",Query1[[#This Row],[MB2]]," - ",Query1[[#This Row],[MB3]])</f>
        <v>EVAP KIT 67-68 MUSTANG/COUGAR W/AC - 830079 - 830046 - 0</v>
      </c>
    </row>
    <row r="4568" spans="1:15" x14ac:dyDescent="0.25">
      <c r="A4568" s="1">
        <v>921454</v>
      </c>
      <c r="B4568" s="1" t="s">
        <v>76</v>
      </c>
      <c r="C4568" s="1" t="s">
        <v>77</v>
      </c>
      <c r="D4568" s="2">
        <v>44678.594971840277</v>
      </c>
      <c r="E4568" s="1" t="s">
        <v>11</v>
      </c>
      <c r="F4568" s="1">
        <v>1</v>
      </c>
      <c r="G4568" s="1">
        <v>0</v>
      </c>
      <c r="H4568" s="6">
        <f>INT(Query1[[#This Row],[EntryDateTime]])</f>
        <v>44678</v>
      </c>
      <c r="I4568" s="1">
        <f>IF(Query1[[#This Row],[ItemType]]="EVAP KIT SF GEN IV",Query1[[#This Row],[OrderQty]]+I4567,I4567)</f>
        <v>5622</v>
      </c>
      <c r="J4568" s="1">
        <f>IF(Query1[[#This Row],[ItemType]]="EVAP KIT UNIVERSAL",Query1[[#This Row],[OrderQty]]+J4567,J4567)</f>
        <v>1820</v>
      </c>
      <c r="K4568" s="1">
        <f>Query1[[#This Row],[SF Running Total]]+Query1[[#This Row],[UNIV Running Total]]</f>
        <v>7442</v>
      </c>
      <c r="L4568">
        <f>VLOOKUP(Query1[[#This Row],[Description]],'kits to boards'!$B$2:$E$156,2,FALSE)</f>
        <v>830099</v>
      </c>
      <c r="M4568">
        <f>VLOOKUP(Query1[[#This Row],[Description]],'kits to boards'!$B$2:$E$156,3,FALSE)</f>
        <v>0</v>
      </c>
      <c r="N4568">
        <f>VLOOKUP(Query1[[#This Row],[Description]],'kits to boards'!$B$2:$E$156,4,FALSE)</f>
        <v>0</v>
      </c>
      <c r="O4568" t="str">
        <f>CONCATENATE(Query1[[#This Row],[Description]]," - ",Query1[[#This Row],[MB1]]," - ",Query1[[#This Row],[MB2]]," - ",Query1[[#This Row],[MB3]])</f>
        <v>MINI GEN II H/C - 830099 - 0 - 0</v>
      </c>
    </row>
    <row r="4569" spans="1:15" x14ac:dyDescent="0.25">
      <c r="A4569" s="1">
        <v>921454</v>
      </c>
      <c r="B4569" s="1" t="s">
        <v>98</v>
      </c>
      <c r="C4569" s="1" t="s">
        <v>99</v>
      </c>
      <c r="D4569" s="2">
        <v>44678.595075844911</v>
      </c>
      <c r="E4569" s="1" t="s">
        <v>11</v>
      </c>
      <c r="F4569" s="1">
        <v>4</v>
      </c>
      <c r="G4569" s="1">
        <v>0</v>
      </c>
      <c r="H4569" s="6">
        <f>INT(Query1[[#This Row],[EntryDateTime]])</f>
        <v>44678</v>
      </c>
      <c r="I4569" s="1">
        <f>IF(Query1[[#This Row],[ItemType]]="EVAP KIT SF GEN IV",Query1[[#This Row],[OrderQty]]+I4568,I4568)</f>
        <v>5622</v>
      </c>
      <c r="J4569" s="1">
        <f>IF(Query1[[#This Row],[ItemType]]="EVAP KIT UNIVERSAL",Query1[[#This Row],[OrderQty]]+J4568,J4568)</f>
        <v>1824</v>
      </c>
      <c r="K4569" s="1">
        <f>Query1[[#This Row],[SF Running Total]]+Query1[[#This Row],[UNIV Running Total]]</f>
        <v>7446</v>
      </c>
      <c r="L4569">
        <f>VLOOKUP(Query1[[#This Row],[Description]],'kits to boards'!$B$2:$E$156,2,FALSE)</f>
        <v>830099</v>
      </c>
      <c r="M4569">
        <f>VLOOKUP(Query1[[#This Row],[Description]],'kits to boards'!$B$2:$E$156,3,FALSE)</f>
        <v>0</v>
      </c>
      <c r="N4569">
        <f>VLOOKUP(Query1[[#This Row],[Description]],'kits to boards'!$B$2:$E$156,4,FALSE)</f>
        <v>0</v>
      </c>
      <c r="O4569" t="str">
        <f>CONCATENATE(Query1[[#This Row],[Description]]," - ",Query1[[#This Row],[MB1]]," - ",Query1[[#This Row],[MB2]]," - ",Query1[[#This Row],[MB3]])</f>
        <v>MINI GEN II W/DEF - 830099 - 0 - 0</v>
      </c>
    </row>
    <row r="4570" spans="1:15" x14ac:dyDescent="0.25">
      <c r="A4570" s="1">
        <v>921454</v>
      </c>
      <c r="B4570" s="1" t="s">
        <v>82</v>
      </c>
      <c r="C4570" s="1" t="s">
        <v>83</v>
      </c>
      <c r="D4570" s="2">
        <v>44678.595166747684</v>
      </c>
      <c r="E4570" s="1" t="s">
        <v>11</v>
      </c>
      <c r="F4570" s="1">
        <v>1</v>
      </c>
      <c r="G4570" s="1">
        <v>0</v>
      </c>
      <c r="H4570" s="6">
        <f>INT(Query1[[#This Row],[EntryDateTime]])</f>
        <v>44678</v>
      </c>
      <c r="I4570" s="1">
        <f>IF(Query1[[#This Row],[ItemType]]="EVAP KIT SF GEN IV",Query1[[#This Row],[OrderQty]]+I4569,I4569)</f>
        <v>5622</v>
      </c>
      <c r="J4570" s="1">
        <f>IF(Query1[[#This Row],[ItemType]]="EVAP KIT UNIVERSAL",Query1[[#This Row],[OrderQty]]+J4569,J4569)</f>
        <v>1825</v>
      </c>
      <c r="K4570" s="1">
        <f>Query1[[#This Row],[SF Running Total]]+Query1[[#This Row],[UNIV Running Total]]</f>
        <v>7447</v>
      </c>
      <c r="L4570">
        <f>VLOOKUP(Query1[[#This Row],[Description]],'kits to boards'!$B$2:$E$156,2,FALSE)</f>
        <v>830029</v>
      </c>
      <c r="M4570">
        <f>VLOOKUP(Query1[[#This Row],[Description]],'kits to boards'!$B$2:$E$156,3,FALSE)</f>
        <v>830030</v>
      </c>
      <c r="N4570">
        <f>VLOOKUP(Query1[[#This Row],[Description]],'kits to boards'!$B$2:$E$156,4,FALSE)</f>
        <v>0</v>
      </c>
      <c r="O4570" t="str">
        <f>CONCATENATE(Query1[[#This Row],[Description]]," - ",Query1[[#This Row],[MB1]]," - ",Query1[[#This Row],[MB2]]," - ",Query1[[#This Row],[MB3]])</f>
        <v>ComPac GEN II H/C - 830029 - 830030 - 0</v>
      </c>
    </row>
    <row r="4571" spans="1:15" x14ac:dyDescent="0.25">
      <c r="A4571" s="1">
        <v>921454</v>
      </c>
      <c r="B4571" s="1" t="s">
        <v>24</v>
      </c>
      <c r="C4571" s="1" t="s">
        <v>25</v>
      </c>
      <c r="D4571" s="2">
        <v>44678.595256250002</v>
      </c>
      <c r="E4571" s="1" t="s">
        <v>11</v>
      </c>
      <c r="F4571" s="1">
        <v>3</v>
      </c>
      <c r="G4571" s="1">
        <v>0</v>
      </c>
      <c r="H4571" s="6">
        <f>INT(Query1[[#This Row],[EntryDateTime]])</f>
        <v>44678</v>
      </c>
      <c r="I4571" s="1">
        <f>IF(Query1[[#This Row],[ItemType]]="EVAP KIT SF GEN IV",Query1[[#This Row],[OrderQty]]+I4570,I4570)</f>
        <v>5622</v>
      </c>
      <c r="J4571" s="1">
        <f>IF(Query1[[#This Row],[ItemType]]="EVAP KIT UNIVERSAL",Query1[[#This Row],[OrderQty]]+J4570,J4570)</f>
        <v>1828</v>
      </c>
      <c r="K4571" s="1">
        <f>Query1[[#This Row],[SF Running Total]]+Query1[[#This Row],[UNIV Running Total]]</f>
        <v>7450</v>
      </c>
      <c r="L4571">
        <f>VLOOKUP(Query1[[#This Row],[Description]],'kits to boards'!$B$2:$E$156,2,FALSE)</f>
        <v>830029</v>
      </c>
      <c r="M4571">
        <f>VLOOKUP(Query1[[#This Row],[Description]],'kits to boards'!$B$2:$E$156,3,FALSE)</f>
        <v>830030</v>
      </c>
      <c r="N4571">
        <f>VLOOKUP(Query1[[#This Row],[Description]],'kits to boards'!$B$2:$E$156,4,FALSE)</f>
        <v>0</v>
      </c>
      <c r="O4571" t="str">
        <f>CONCATENATE(Query1[[#This Row],[Description]]," - ",Query1[[#This Row],[MB1]]," - ",Query1[[#This Row],[MB2]]," - ",Query1[[#This Row],[MB3]])</f>
        <v>ComPac GEN II W/DEF - 830029 - 830030 - 0</v>
      </c>
    </row>
    <row r="4572" spans="1:15" x14ac:dyDescent="0.25">
      <c r="A4572" s="1">
        <v>921459</v>
      </c>
      <c r="B4572" s="1" t="s">
        <v>22</v>
      </c>
      <c r="C4572" s="1" t="s">
        <v>23</v>
      </c>
      <c r="D4572" s="2">
        <v>44678.598263807871</v>
      </c>
      <c r="E4572" s="1" t="s">
        <v>8</v>
      </c>
      <c r="F4572" s="1">
        <v>2</v>
      </c>
      <c r="G4572" s="1">
        <v>0</v>
      </c>
      <c r="H4572" s="6">
        <f>INT(Query1[[#This Row],[EntryDateTime]])</f>
        <v>44678</v>
      </c>
      <c r="I4572" s="1">
        <f>IF(Query1[[#This Row],[ItemType]]="EVAP KIT SF GEN IV",Query1[[#This Row],[OrderQty]]+I4571,I4571)</f>
        <v>5624</v>
      </c>
      <c r="J4572" s="1">
        <f>IF(Query1[[#This Row],[ItemType]]="EVAP KIT UNIVERSAL",Query1[[#This Row],[OrderQty]]+J4571,J4571)</f>
        <v>1828</v>
      </c>
      <c r="K4572" s="1">
        <f>Query1[[#This Row],[SF Running Total]]+Query1[[#This Row],[UNIV Running Total]]</f>
        <v>7452</v>
      </c>
      <c r="L4572">
        <f>VLOOKUP(Query1[[#This Row],[Description]],'kits to boards'!$B$2:$E$156,2,FALSE)</f>
        <v>830083</v>
      </c>
      <c r="M4572">
        <f>VLOOKUP(Query1[[#This Row],[Description]],'kits to boards'!$B$2:$E$156,3,FALSE)</f>
        <v>0</v>
      </c>
      <c r="N4572">
        <f>VLOOKUP(Query1[[#This Row],[Description]],'kits to boards'!$B$2:$E$156,4,FALSE)</f>
        <v>0</v>
      </c>
      <c r="O4572" t="str">
        <f>CONCATENATE(Query1[[#This Row],[Description]]," - ",Query1[[#This Row],[MB1]]," - ",Query1[[#This Row],[MB2]]," - ",Query1[[#This Row],[MB3]])</f>
        <v>GEN IV MAGNUM EVAP KIT - 830083 - 0 - 0</v>
      </c>
    </row>
    <row r="4573" spans="1:15" x14ac:dyDescent="0.25">
      <c r="A4573" s="1">
        <v>921466</v>
      </c>
      <c r="B4573" s="1" t="s">
        <v>128</v>
      </c>
      <c r="C4573" s="1" t="s">
        <v>129</v>
      </c>
      <c r="D4573" s="2">
        <v>44678.603245104168</v>
      </c>
      <c r="E4573" s="1" t="s">
        <v>8</v>
      </c>
      <c r="F4573" s="1">
        <v>1</v>
      </c>
      <c r="G4573" s="1">
        <v>0</v>
      </c>
      <c r="H4573" s="6">
        <f>INT(Query1[[#This Row],[EntryDateTime]])</f>
        <v>44678</v>
      </c>
      <c r="I4573" s="1">
        <f>IF(Query1[[#This Row],[ItemType]]="EVAP KIT SF GEN IV",Query1[[#This Row],[OrderQty]]+I4572,I4572)</f>
        <v>5625</v>
      </c>
      <c r="J4573" s="1">
        <f>IF(Query1[[#This Row],[ItemType]]="EVAP KIT UNIVERSAL",Query1[[#This Row],[OrderQty]]+J4572,J4572)</f>
        <v>1828</v>
      </c>
      <c r="K4573" s="1">
        <f>Query1[[#This Row],[SF Running Total]]+Query1[[#This Row],[UNIV Running Total]]</f>
        <v>7453</v>
      </c>
      <c r="L4573">
        <f>VLOOKUP(Query1[[#This Row],[Description]],'kits to boards'!$B$2:$E$156,2,FALSE)</f>
        <v>830036</v>
      </c>
      <c r="M4573">
        <f>VLOOKUP(Query1[[#This Row],[Description]],'kits to boards'!$B$2:$E$156,3,FALSE)</f>
        <v>830039</v>
      </c>
      <c r="N4573">
        <f>VLOOKUP(Query1[[#This Row],[Description]],'kits to boards'!$B$2:$E$156,4,FALSE)</f>
        <v>0</v>
      </c>
      <c r="O4573" t="str">
        <f>CONCATENATE(Query1[[#This Row],[Description]]," - ",Query1[[#This Row],[MB1]]," - ",Query1[[#This Row],[MB2]]," - ",Query1[[#This Row],[MB3]])</f>
        <v>EVAP KIT 63-66 VETTE WO AC - 830036 - 830039 - 0</v>
      </c>
    </row>
    <row r="4574" spans="1:15" x14ac:dyDescent="0.25">
      <c r="A4574" s="1">
        <v>921469</v>
      </c>
      <c r="B4574" s="1" t="s">
        <v>178</v>
      </c>
      <c r="C4574" s="1" t="s">
        <v>179</v>
      </c>
      <c r="D4574" s="2">
        <v>44678.605185300927</v>
      </c>
      <c r="E4574" s="1" t="s">
        <v>8</v>
      </c>
      <c r="F4574" s="1">
        <v>1</v>
      </c>
      <c r="G4574" s="1">
        <v>0</v>
      </c>
      <c r="H4574" s="6">
        <f>INT(Query1[[#This Row],[EntryDateTime]])</f>
        <v>44678</v>
      </c>
      <c r="I4574" s="1">
        <f>IF(Query1[[#This Row],[ItemType]]="EVAP KIT SF GEN IV",Query1[[#This Row],[OrderQty]]+I4573,I4573)</f>
        <v>5626</v>
      </c>
      <c r="J4574" s="1">
        <f>IF(Query1[[#This Row],[ItemType]]="EVAP KIT UNIVERSAL",Query1[[#This Row],[OrderQty]]+J4573,J4573)</f>
        <v>1828</v>
      </c>
      <c r="K4574" s="1">
        <f>Query1[[#This Row],[SF Running Total]]+Query1[[#This Row],[UNIV Running Total]]</f>
        <v>7454</v>
      </c>
      <c r="L4574">
        <f>VLOOKUP(Query1[[#This Row],[Description]],'kits to boards'!$B$2:$E$156,2,FALSE)</f>
        <v>830009</v>
      </c>
      <c r="M4574">
        <f>VLOOKUP(Query1[[#This Row],[Description]],'kits to boards'!$B$2:$E$156,3,FALSE)</f>
        <v>0</v>
      </c>
      <c r="N4574">
        <f>VLOOKUP(Query1[[#This Row],[Description]],'kits to boards'!$B$2:$E$156,4,FALSE)</f>
        <v>0</v>
      </c>
      <c r="O4574" t="str">
        <f>CONCATENATE(Query1[[#This Row],[Description]]," - ",Query1[[#This Row],[MB1]]," - ",Query1[[#This Row],[MB2]]," - ",Query1[[#This Row],[MB3]])</f>
        <v>EVAP KIT 63 IMPALA W/AC - 830009 - 0 - 0</v>
      </c>
    </row>
    <row r="4575" spans="1:15" x14ac:dyDescent="0.25">
      <c r="A4575" s="1">
        <v>921468</v>
      </c>
      <c r="B4575" s="1" t="s">
        <v>106</v>
      </c>
      <c r="C4575" s="1" t="s">
        <v>253</v>
      </c>
      <c r="D4575" s="2">
        <v>44678.606257488427</v>
      </c>
      <c r="E4575" s="1" t="s">
        <v>8</v>
      </c>
      <c r="F4575" s="1">
        <v>1</v>
      </c>
      <c r="G4575" s="1">
        <v>0</v>
      </c>
      <c r="H4575" s="6">
        <f>INT(Query1[[#This Row],[EntryDateTime]])</f>
        <v>44678</v>
      </c>
      <c r="I4575" s="1">
        <f>IF(Query1[[#This Row],[ItemType]]="EVAP KIT SF GEN IV",Query1[[#This Row],[OrderQty]]+I4574,I4574)</f>
        <v>5627</v>
      </c>
      <c r="J4575" s="1">
        <f>IF(Query1[[#This Row],[ItemType]]="EVAP KIT UNIVERSAL",Query1[[#This Row],[OrderQty]]+J4574,J4574)</f>
        <v>1828</v>
      </c>
      <c r="K4575" s="1">
        <f>Query1[[#This Row],[SF Running Total]]+Query1[[#This Row],[UNIV Running Total]]</f>
        <v>7455</v>
      </c>
      <c r="L4575">
        <f>VLOOKUP(Query1[[#This Row],[Description]],'kits to boards'!$B$2:$E$156,2,FALSE)</f>
        <v>830028</v>
      </c>
      <c r="M4575">
        <f>VLOOKUP(Query1[[#This Row],[Description]],'kits to boards'!$B$2:$E$156,3,FALSE)</f>
        <v>0</v>
      </c>
      <c r="N4575">
        <f>VLOOKUP(Query1[[#This Row],[Description]],'kits to boards'!$B$2:$E$156,4,FALSE)</f>
        <v>0</v>
      </c>
      <c r="O4575" t="str">
        <f>CONCATENATE(Query1[[#This Row],[Description]]," - ",Query1[[#This Row],[MB1]]," - ",Query1[[#This Row],[MB2]]," - ",Query1[[#This Row],[MB3]])</f>
        <v>EVAP KIT 55-59 CHEV P-UP WO AC W/DELX  - 830028 - 0 - 0</v>
      </c>
    </row>
    <row r="4576" spans="1:15" x14ac:dyDescent="0.25">
      <c r="A4576" s="1">
        <v>921473</v>
      </c>
      <c r="B4576" s="1" t="s">
        <v>38</v>
      </c>
      <c r="C4576" s="1" t="s">
        <v>39</v>
      </c>
      <c r="D4576" s="2">
        <v>44678.610450034721</v>
      </c>
      <c r="E4576" s="1" t="s">
        <v>8</v>
      </c>
      <c r="F4576" s="1">
        <v>1</v>
      </c>
      <c r="G4576" s="1">
        <v>0</v>
      </c>
      <c r="H4576" s="6">
        <f>INT(Query1[[#This Row],[EntryDateTime]])</f>
        <v>44678</v>
      </c>
      <c r="I4576" s="1">
        <f>IF(Query1[[#This Row],[ItemType]]="EVAP KIT SF GEN IV",Query1[[#This Row],[OrderQty]]+I4575,I4575)</f>
        <v>5628</v>
      </c>
      <c r="J4576" s="1">
        <f>IF(Query1[[#This Row],[ItemType]]="EVAP KIT UNIVERSAL",Query1[[#This Row],[OrderQty]]+J4575,J4575)</f>
        <v>1828</v>
      </c>
      <c r="K4576" s="1">
        <f>Query1[[#This Row],[SF Running Total]]+Query1[[#This Row],[UNIV Running Total]]</f>
        <v>7456</v>
      </c>
      <c r="L4576">
        <f>VLOOKUP(Query1[[#This Row],[Description]],'kits to boards'!$B$2:$E$156,2,FALSE)</f>
        <v>830012</v>
      </c>
      <c r="M4576">
        <f>VLOOKUP(Query1[[#This Row],[Description]],'kits to boards'!$B$2:$E$156,3,FALSE)</f>
        <v>0</v>
      </c>
      <c r="N4576">
        <f>VLOOKUP(Query1[[#This Row],[Description]],'kits to boards'!$B$2:$E$156,4,FALSE)</f>
        <v>0</v>
      </c>
      <c r="O4576" t="str">
        <f>CONCATENATE(Query1[[#This Row],[Description]]," - ",Query1[[#This Row],[MB1]]," - ",Query1[[#This Row],[MB2]]," - ",Query1[[#This Row],[MB3]])</f>
        <v>EVAP KIT 69 CAMARO W/AC - 830012 - 0 - 0</v>
      </c>
    </row>
    <row r="4577" spans="1:15" x14ac:dyDescent="0.25">
      <c r="A4577" s="1">
        <v>921494</v>
      </c>
      <c r="B4577" s="1" t="s">
        <v>52</v>
      </c>
      <c r="C4577" s="1" t="s">
        <v>53</v>
      </c>
      <c r="D4577" s="2">
        <v>44678.653445601849</v>
      </c>
      <c r="E4577" s="1" t="s">
        <v>8</v>
      </c>
      <c r="F4577" s="1">
        <v>1</v>
      </c>
      <c r="G4577" s="1">
        <v>0</v>
      </c>
      <c r="H4577" s="6">
        <f>INT(Query1[[#This Row],[EntryDateTime]])</f>
        <v>44678</v>
      </c>
      <c r="I4577" s="1">
        <f>IF(Query1[[#This Row],[ItemType]]="EVAP KIT SF GEN IV",Query1[[#This Row],[OrderQty]]+I4576,I4576)</f>
        <v>5629</v>
      </c>
      <c r="J4577" s="1">
        <f>IF(Query1[[#This Row],[ItemType]]="EVAP KIT UNIVERSAL",Query1[[#This Row],[OrderQty]]+J4576,J4576)</f>
        <v>1828</v>
      </c>
      <c r="K4577" s="1">
        <f>Query1[[#This Row],[SF Running Total]]+Query1[[#This Row],[UNIV Running Total]]</f>
        <v>7457</v>
      </c>
      <c r="L4577">
        <f>VLOOKUP(Query1[[#This Row],[Description]],'kits to boards'!$B$2:$E$156,2,FALSE)</f>
        <v>830017</v>
      </c>
      <c r="M4577">
        <f>VLOOKUP(Query1[[#This Row],[Description]],'kits to boards'!$B$2:$E$156,3,FALSE)</f>
        <v>830119</v>
      </c>
      <c r="N4577">
        <f>VLOOKUP(Query1[[#This Row],[Description]],'kits to boards'!$B$2:$E$156,4,FALSE)</f>
        <v>830120</v>
      </c>
      <c r="O4577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4578" spans="1:15" x14ac:dyDescent="0.25">
      <c r="A4578" s="1">
        <v>921495</v>
      </c>
      <c r="B4578" s="1" t="s">
        <v>106</v>
      </c>
      <c r="C4578" s="1" t="s">
        <v>107</v>
      </c>
      <c r="D4578" s="2">
        <v>44678.654504479164</v>
      </c>
      <c r="E4578" s="1" t="s">
        <v>8</v>
      </c>
      <c r="F4578" s="1">
        <v>1</v>
      </c>
      <c r="G4578" s="1">
        <v>0</v>
      </c>
      <c r="H4578" s="6">
        <f>INT(Query1[[#This Row],[EntryDateTime]])</f>
        <v>44678</v>
      </c>
      <c r="I4578" s="1">
        <f>IF(Query1[[#This Row],[ItemType]]="EVAP KIT SF GEN IV",Query1[[#This Row],[OrderQty]]+I4577,I4577)</f>
        <v>5630</v>
      </c>
      <c r="J4578" s="1">
        <f>IF(Query1[[#This Row],[ItemType]]="EVAP KIT UNIVERSAL",Query1[[#This Row],[OrderQty]]+J4577,J4577)</f>
        <v>1828</v>
      </c>
      <c r="K4578" s="1">
        <f>Query1[[#This Row],[SF Running Total]]+Query1[[#This Row],[UNIV Running Total]]</f>
        <v>7458</v>
      </c>
      <c r="L4578">
        <f>VLOOKUP(Query1[[#This Row],[Description]],'kits to boards'!$B$2:$E$156,2,FALSE)</f>
        <v>830028</v>
      </c>
      <c r="M4578">
        <f>VLOOKUP(Query1[[#This Row],[Description]],'kits to boards'!$B$2:$E$156,3,FALSE)</f>
        <v>0</v>
      </c>
      <c r="N4578">
        <f>VLOOKUP(Query1[[#This Row],[Description]],'kits to boards'!$B$2:$E$156,4,FALSE)</f>
        <v>0</v>
      </c>
      <c r="O4578" t="str">
        <f>CONCATENATE(Query1[[#This Row],[Description]]," - ",Query1[[#This Row],[MB1]]," - ",Query1[[#This Row],[MB2]]," - ",Query1[[#This Row],[MB3]])</f>
        <v>EVAP KIT 55-59 CHEV P-UP WO AC W/DELX - 830028 - 0 - 0</v>
      </c>
    </row>
    <row r="4579" spans="1:15" x14ac:dyDescent="0.25">
      <c r="A4579" s="1">
        <v>921498</v>
      </c>
      <c r="B4579" s="1" t="s">
        <v>96</v>
      </c>
      <c r="C4579" s="1" t="s">
        <v>97</v>
      </c>
      <c r="D4579" s="2">
        <v>44678.655318055557</v>
      </c>
      <c r="E4579" s="1" t="s">
        <v>8</v>
      </c>
      <c r="F4579" s="1">
        <v>1</v>
      </c>
      <c r="G4579" s="1">
        <v>0</v>
      </c>
      <c r="H4579" s="6">
        <f>INT(Query1[[#This Row],[EntryDateTime]])</f>
        <v>44678</v>
      </c>
      <c r="I4579" s="1">
        <f>IF(Query1[[#This Row],[ItemType]]="EVAP KIT SF GEN IV",Query1[[#This Row],[OrderQty]]+I4578,I4578)</f>
        <v>5631</v>
      </c>
      <c r="J4579" s="1">
        <f>IF(Query1[[#This Row],[ItemType]]="EVAP KIT UNIVERSAL",Query1[[#This Row],[OrderQty]]+J4578,J4578)</f>
        <v>1828</v>
      </c>
      <c r="K4579" s="1">
        <f>Query1[[#This Row],[SF Running Total]]+Query1[[#This Row],[UNIV Running Total]]</f>
        <v>7459</v>
      </c>
      <c r="L4579">
        <f>VLOOKUP(Query1[[#This Row],[Description]],'kits to boards'!$B$2:$E$156,2,FALSE)</f>
        <v>830004</v>
      </c>
      <c r="M4579">
        <f>VLOOKUP(Query1[[#This Row],[Description]],'kits to boards'!$B$2:$E$156,3,FALSE)</f>
        <v>0</v>
      </c>
      <c r="N4579">
        <f>VLOOKUP(Query1[[#This Row],[Description]],'kits to boards'!$B$2:$E$156,4,FALSE)</f>
        <v>0</v>
      </c>
      <c r="O4579" t="str">
        <f>CONCATENATE(Query1[[#This Row],[Description]]," - ",Query1[[#This Row],[MB1]]," - ",Query1[[#This Row],[MB2]]," - ",Query1[[#This Row],[MB3]])</f>
        <v>EVAP KIT 81-87 CHEV P-UP W/AC - 830004 - 0 - 0</v>
      </c>
    </row>
    <row r="4580" spans="1:15" x14ac:dyDescent="0.25">
      <c r="A4580" s="1">
        <v>921501</v>
      </c>
      <c r="B4580" s="1" t="s">
        <v>116</v>
      </c>
      <c r="C4580" s="1" t="s">
        <v>117</v>
      </c>
      <c r="D4580" s="2">
        <v>44678.661270173609</v>
      </c>
      <c r="E4580" s="1" t="s">
        <v>8</v>
      </c>
      <c r="F4580" s="1">
        <v>2</v>
      </c>
      <c r="G4580" s="1">
        <v>0</v>
      </c>
      <c r="H4580" s="6">
        <f>INT(Query1[[#This Row],[EntryDateTime]])</f>
        <v>44678</v>
      </c>
      <c r="I4580" s="1">
        <f>IF(Query1[[#This Row],[ItemType]]="EVAP KIT SF GEN IV",Query1[[#This Row],[OrderQty]]+I4579,I4579)</f>
        <v>5633</v>
      </c>
      <c r="J4580" s="1">
        <f>IF(Query1[[#This Row],[ItemType]]="EVAP KIT UNIVERSAL",Query1[[#This Row],[OrderQty]]+J4579,J4579)</f>
        <v>1828</v>
      </c>
      <c r="K4580" s="1">
        <f>Query1[[#This Row],[SF Running Total]]+Query1[[#This Row],[UNIV Running Total]]</f>
        <v>7461</v>
      </c>
      <c r="L4580">
        <f>VLOOKUP(Query1[[#This Row],[Description]],'kits to boards'!$B$2:$E$156,2,FALSE)</f>
        <v>830058</v>
      </c>
      <c r="M4580">
        <f>VLOOKUP(Query1[[#This Row],[Description]],'kits to boards'!$B$2:$E$156,3,FALSE)</f>
        <v>0</v>
      </c>
      <c r="N4580">
        <f>VLOOKUP(Query1[[#This Row],[Description]],'kits to boards'!$B$2:$E$156,4,FALSE)</f>
        <v>0</v>
      </c>
      <c r="O4580" t="str">
        <f>CONCATENATE(Query1[[#This Row],[Description]]," - ",Query1[[#This Row],[MB1]]," - ",Query1[[#This Row],[MB2]]," - ",Query1[[#This Row],[MB3]])</f>
        <v>EVAP KIT 64-65 CHEVELLE WO AC - 830058 - 0 - 0</v>
      </c>
    </row>
    <row r="4581" spans="1:15" x14ac:dyDescent="0.25">
      <c r="A4581" s="1">
        <v>921501</v>
      </c>
      <c r="B4581" s="1" t="s">
        <v>60</v>
      </c>
      <c r="C4581" s="1" t="s">
        <v>61</v>
      </c>
      <c r="D4581" s="2">
        <v>44678.661272187499</v>
      </c>
      <c r="E4581" s="1" t="s">
        <v>8</v>
      </c>
      <c r="F4581" s="1">
        <v>4</v>
      </c>
      <c r="G4581" s="1">
        <v>0</v>
      </c>
      <c r="H4581" s="6">
        <f>INT(Query1[[#This Row],[EntryDateTime]])</f>
        <v>44678</v>
      </c>
      <c r="I4581" s="1">
        <f>IF(Query1[[#This Row],[ItemType]]="EVAP KIT SF GEN IV",Query1[[#This Row],[OrderQty]]+I4580,I4580)</f>
        <v>5637</v>
      </c>
      <c r="J4581" s="1">
        <f>IF(Query1[[#This Row],[ItemType]]="EVAP KIT UNIVERSAL",Query1[[#This Row],[OrderQty]]+J4580,J4580)</f>
        <v>1828</v>
      </c>
      <c r="K4581" s="1">
        <f>Query1[[#This Row],[SF Running Total]]+Query1[[#This Row],[UNIV Running Total]]</f>
        <v>7465</v>
      </c>
      <c r="L4581">
        <f>VLOOKUP(Query1[[#This Row],[Description]],'kits to boards'!$B$2:$E$156,2,FALSE)</f>
        <v>830062</v>
      </c>
      <c r="M4581">
        <f>VLOOKUP(Query1[[#This Row],[Description]],'kits to boards'!$B$2:$E$156,3,FALSE)</f>
        <v>0</v>
      </c>
      <c r="N4581">
        <f>VLOOKUP(Query1[[#This Row],[Description]],'kits to boards'!$B$2:$E$156,4,FALSE)</f>
        <v>0</v>
      </c>
      <c r="O4581" t="str">
        <f>CONCATENATE(Query1[[#This Row],[Description]]," - ",Query1[[#This Row],[MB1]]," - ",Query1[[#This Row],[MB2]]," - ",Query1[[#This Row],[MB3]])</f>
        <v>EVAP KIT 68-69 CHEVELLE WO AC - 830062 - 0 - 0</v>
      </c>
    </row>
    <row r="4582" spans="1:15" x14ac:dyDescent="0.25">
      <c r="A4582" s="1">
        <v>921501</v>
      </c>
      <c r="B4582" s="1" t="s">
        <v>34</v>
      </c>
      <c r="C4582" s="1" t="s">
        <v>35</v>
      </c>
      <c r="D4582" s="2">
        <v>44678.661274386577</v>
      </c>
      <c r="E4582" s="1" t="s">
        <v>8</v>
      </c>
      <c r="F4582" s="1">
        <v>2</v>
      </c>
      <c r="G4582" s="1">
        <v>0</v>
      </c>
      <c r="H4582" s="6">
        <f>INT(Query1[[#This Row],[EntryDateTime]])</f>
        <v>44678</v>
      </c>
      <c r="I4582" s="1">
        <f>IF(Query1[[#This Row],[ItemType]]="EVAP KIT SF GEN IV",Query1[[#This Row],[OrderQty]]+I4581,I4581)</f>
        <v>5639</v>
      </c>
      <c r="J4582" s="1">
        <f>IF(Query1[[#This Row],[ItemType]]="EVAP KIT UNIVERSAL",Query1[[#This Row],[OrderQty]]+J4581,J4581)</f>
        <v>1828</v>
      </c>
      <c r="K4582" s="1">
        <f>Query1[[#This Row],[SF Running Total]]+Query1[[#This Row],[UNIV Running Total]]</f>
        <v>7467</v>
      </c>
      <c r="L4582">
        <f>VLOOKUP(Query1[[#This Row],[Description]],'kits to boards'!$B$2:$E$156,2,FALSE)</f>
        <v>830065</v>
      </c>
      <c r="M4582">
        <f>VLOOKUP(Query1[[#This Row],[Description]],'kits to boards'!$B$2:$E$156,3,FALSE)</f>
        <v>0</v>
      </c>
      <c r="N4582">
        <f>VLOOKUP(Query1[[#This Row],[Description]],'kits to boards'!$B$2:$E$156,4,FALSE)</f>
        <v>0</v>
      </c>
      <c r="O4582" t="str">
        <f>CONCATENATE(Query1[[#This Row],[Description]]," - ",Query1[[#This Row],[MB1]]," - ",Query1[[#This Row],[MB2]]," - ",Query1[[#This Row],[MB3]])</f>
        <v>EVAP KIT 57 CHEV WO AC - 830065 - 0 - 0</v>
      </c>
    </row>
    <row r="4583" spans="1:15" x14ac:dyDescent="0.25">
      <c r="A4583" s="1">
        <v>921501</v>
      </c>
      <c r="B4583" s="1" t="s">
        <v>22</v>
      </c>
      <c r="C4583" s="1" t="s">
        <v>23</v>
      </c>
      <c r="D4583" s="2">
        <v>44678.661280208333</v>
      </c>
      <c r="E4583" s="1" t="s">
        <v>8</v>
      </c>
      <c r="F4583" s="1">
        <v>18</v>
      </c>
      <c r="G4583" s="1">
        <v>0</v>
      </c>
      <c r="H4583" s="6">
        <f>INT(Query1[[#This Row],[EntryDateTime]])</f>
        <v>44678</v>
      </c>
      <c r="I4583" s="1">
        <f>IF(Query1[[#This Row],[ItemType]]="EVAP KIT SF GEN IV",Query1[[#This Row],[OrderQty]]+I4582,I4582)</f>
        <v>5657</v>
      </c>
      <c r="J4583" s="1">
        <f>IF(Query1[[#This Row],[ItemType]]="EVAP KIT UNIVERSAL",Query1[[#This Row],[OrderQty]]+J4582,J4582)</f>
        <v>1828</v>
      </c>
      <c r="K4583" s="1">
        <f>Query1[[#This Row],[SF Running Total]]+Query1[[#This Row],[UNIV Running Total]]</f>
        <v>7485</v>
      </c>
      <c r="L4583">
        <f>VLOOKUP(Query1[[#This Row],[Description]],'kits to boards'!$B$2:$E$156,2,FALSE)</f>
        <v>830083</v>
      </c>
      <c r="M4583">
        <f>VLOOKUP(Query1[[#This Row],[Description]],'kits to boards'!$B$2:$E$156,3,FALSE)</f>
        <v>0</v>
      </c>
      <c r="N4583">
        <f>VLOOKUP(Query1[[#This Row],[Description]],'kits to boards'!$B$2:$E$156,4,FALSE)</f>
        <v>0</v>
      </c>
      <c r="O4583" t="str">
        <f>CONCATENATE(Query1[[#This Row],[Description]]," - ",Query1[[#This Row],[MB1]]," - ",Query1[[#This Row],[MB2]]," - ",Query1[[#This Row],[MB3]])</f>
        <v>GEN IV MAGNUM EVAP KIT - 830083 - 0 - 0</v>
      </c>
    </row>
    <row r="4584" spans="1:15" x14ac:dyDescent="0.25">
      <c r="A4584" s="1">
        <v>921501</v>
      </c>
      <c r="B4584" s="1" t="s">
        <v>44</v>
      </c>
      <c r="C4584" s="1" t="s">
        <v>45</v>
      </c>
      <c r="D4584" s="2">
        <v>44678.661282141205</v>
      </c>
      <c r="E4584" s="1" t="s">
        <v>8</v>
      </c>
      <c r="F4584" s="1">
        <v>2</v>
      </c>
      <c r="G4584" s="1">
        <v>0</v>
      </c>
      <c r="H4584" s="6">
        <f>INT(Query1[[#This Row],[EntryDateTime]])</f>
        <v>44678</v>
      </c>
      <c r="I4584" s="1">
        <f>IF(Query1[[#This Row],[ItemType]]="EVAP KIT SF GEN IV",Query1[[#This Row],[OrderQty]]+I4583,I4583)</f>
        <v>5659</v>
      </c>
      <c r="J4584" s="1">
        <f>IF(Query1[[#This Row],[ItemType]]="EVAP KIT UNIVERSAL",Query1[[#This Row],[OrderQty]]+J4583,J4583)</f>
        <v>1828</v>
      </c>
      <c r="K4584" s="1">
        <f>Query1[[#This Row],[SF Running Total]]+Query1[[#This Row],[UNIV Running Total]]</f>
        <v>7487</v>
      </c>
      <c r="L4584">
        <f>VLOOKUP(Query1[[#This Row],[Description]],'kits to boards'!$B$2:$E$156,2,FALSE)</f>
        <v>830085</v>
      </c>
      <c r="M4584">
        <f>VLOOKUP(Query1[[#This Row],[Description]],'kits to boards'!$B$2:$E$156,3,FALSE)</f>
        <v>0</v>
      </c>
      <c r="N4584">
        <f>VLOOKUP(Query1[[#This Row],[Description]],'kits to boards'!$B$2:$E$156,4,FALSE)</f>
        <v>0</v>
      </c>
      <c r="O4584" t="str">
        <f>CONCATENATE(Query1[[#This Row],[Description]]," - ",Query1[[#This Row],[MB1]]," - ",Query1[[#This Row],[MB2]]," - ",Query1[[#This Row],[MB3]])</f>
        <v>EVAP KIT 66-77 BRONCO - 830085 - 0 - 0</v>
      </c>
    </row>
    <row r="4585" spans="1:15" x14ac:dyDescent="0.25">
      <c r="A4585" s="1">
        <v>921501</v>
      </c>
      <c r="B4585" s="1" t="s">
        <v>84</v>
      </c>
      <c r="C4585" s="1" t="s">
        <v>85</v>
      </c>
      <c r="D4585" s="2">
        <v>44678.661284108799</v>
      </c>
      <c r="E4585" s="1" t="s">
        <v>8</v>
      </c>
      <c r="F4585" s="1">
        <v>4</v>
      </c>
      <c r="G4585" s="1">
        <v>0</v>
      </c>
      <c r="H4585" s="6">
        <f>INT(Query1[[#This Row],[EntryDateTime]])</f>
        <v>44678</v>
      </c>
      <c r="I4585" s="1">
        <f>IF(Query1[[#This Row],[ItemType]]="EVAP KIT SF GEN IV",Query1[[#This Row],[OrderQty]]+I4584,I4584)</f>
        <v>5663</v>
      </c>
      <c r="J4585" s="1">
        <f>IF(Query1[[#This Row],[ItemType]]="EVAP KIT UNIVERSAL",Query1[[#This Row],[OrderQty]]+J4584,J4584)</f>
        <v>1828</v>
      </c>
      <c r="K4585" s="1">
        <f>Query1[[#This Row],[SF Running Total]]+Query1[[#This Row],[UNIV Running Total]]</f>
        <v>7491</v>
      </c>
      <c r="L4585">
        <f>VLOOKUP(Query1[[#This Row],[Description]],'kits to boards'!$B$2:$E$156,2,FALSE)</f>
        <v>830085</v>
      </c>
      <c r="M4585">
        <f>VLOOKUP(Query1[[#This Row],[Description]],'kits to boards'!$B$2:$E$156,3,FALSE)</f>
        <v>0</v>
      </c>
      <c r="N4585">
        <f>VLOOKUP(Query1[[#This Row],[Description]],'kits to boards'!$B$2:$E$156,4,FALSE)</f>
        <v>0</v>
      </c>
      <c r="O4585" t="str">
        <f>CONCATENATE(Query1[[#This Row],[Description]]," - ",Query1[[#This Row],[MB1]]," - ",Query1[[#This Row],[MB2]]," - ",Query1[[#This Row],[MB3]])</f>
        <v>EVAP KIT 66-77 BRONCO 4-VENT PLENUM - 830085 - 0 - 0</v>
      </c>
    </row>
    <row r="4586" spans="1:15" x14ac:dyDescent="0.25">
      <c r="A4586" s="1">
        <v>921501</v>
      </c>
      <c r="B4586" s="1" t="s">
        <v>48</v>
      </c>
      <c r="C4586" s="1" t="s">
        <v>49</v>
      </c>
      <c r="D4586" s="2">
        <v>44678.661286226852</v>
      </c>
      <c r="E4586" s="1" t="s">
        <v>8</v>
      </c>
      <c r="F4586" s="1">
        <v>2</v>
      </c>
      <c r="G4586" s="1">
        <v>0</v>
      </c>
      <c r="H4586" s="6">
        <f>INT(Query1[[#This Row],[EntryDateTime]])</f>
        <v>44678</v>
      </c>
      <c r="I4586" s="1">
        <f>IF(Query1[[#This Row],[ItemType]]="EVAP KIT SF GEN IV",Query1[[#This Row],[OrderQty]]+I4585,I4585)</f>
        <v>5665</v>
      </c>
      <c r="J4586" s="1">
        <f>IF(Query1[[#This Row],[ItemType]]="EVAP KIT UNIVERSAL",Query1[[#This Row],[OrderQty]]+J4585,J4585)</f>
        <v>1828</v>
      </c>
      <c r="K4586" s="1">
        <f>Query1[[#This Row],[SF Running Total]]+Query1[[#This Row],[UNIV Running Total]]</f>
        <v>7493</v>
      </c>
      <c r="L4586">
        <f>VLOOKUP(Query1[[#This Row],[Description]],'kits to boards'!$B$2:$E$156,2,FALSE)</f>
        <v>830015</v>
      </c>
      <c r="M4586">
        <f>VLOOKUP(Query1[[#This Row],[Description]],'kits to boards'!$B$2:$E$156,3,FALSE)</f>
        <v>0</v>
      </c>
      <c r="N4586">
        <f>VLOOKUP(Query1[[#This Row],[Description]],'kits to boards'!$B$2:$E$156,4,FALSE)</f>
        <v>0</v>
      </c>
      <c r="O4586" t="str">
        <f>CONCATENATE(Query1[[#This Row],[Description]]," - ",Query1[[#This Row],[MB1]]," - ",Query1[[#This Row],[MB2]]," - ",Query1[[#This Row],[MB3]])</f>
        <v>EVAP KIT 64-66 CHEV P-UP WO AC W/DELX - 830015 - 0 - 0</v>
      </c>
    </row>
    <row r="4587" spans="1:15" x14ac:dyDescent="0.25">
      <c r="A4587" s="1">
        <v>921501</v>
      </c>
      <c r="B4587" s="1" t="s">
        <v>92</v>
      </c>
      <c r="C4587" s="1" t="s">
        <v>93</v>
      </c>
      <c r="D4587" s="2">
        <v>44678.661288229167</v>
      </c>
      <c r="E4587" s="1" t="s">
        <v>8</v>
      </c>
      <c r="F4587" s="1">
        <v>2</v>
      </c>
      <c r="G4587" s="1">
        <v>0</v>
      </c>
      <c r="H4587" s="6">
        <f>INT(Query1[[#This Row],[EntryDateTime]])</f>
        <v>44678</v>
      </c>
      <c r="I4587" s="1">
        <f>IF(Query1[[#This Row],[ItemType]]="EVAP KIT SF GEN IV",Query1[[#This Row],[OrderQty]]+I4586,I4586)</f>
        <v>5667</v>
      </c>
      <c r="J4587" s="1">
        <f>IF(Query1[[#This Row],[ItemType]]="EVAP KIT UNIVERSAL",Query1[[#This Row],[OrderQty]]+J4586,J4586)</f>
        <v>1828</v>
      </c>
      <c r="K4587" s="1">
        <f>Query1[[#This Row],[SF Running Total]]+Query1[[#This Row],[UNIV Running Total]]</f>
        <v>7495</v>
      </c>
      <c r="L4587">
        <f>VLOOKUP(Query1[[#This Row],[Description]],'kits to boards'!$B$2:$E$156,2,FALSE)</f>
        <v>830063</v>
      </c>
      <c r="M4587">
        <f>VLOOKUP(Query1[[#This Row],[Description]],'kits to boards'!$B$2:$E$156,3,FALSE)</f>
        <v>0</v>
      </c>
      <c r="N4587">
        <f>VLOOKUP(Query1[[#This Row],[Description]],'kits to boards'!$B$2:$E$156,4,FALSE)</f>
        <v>0</v>
      </c>
      <c r="O4587" t="str">
        <f>CONCATENATE(Query1[[#This Row],[Description]]," - ",Query1[[#This Row],[MB1]]," - ",Query1[[#This Row],[MB2]]," - ",Query1[[#This Row],[MB3]])</f>
        <v>EVAP KIT 50-53 CHEV P-UP GEN IV - 830063 - 0 - 0</v>
      </c>
    </row>
    <row r="4588" spans="1:15" x14ac:dyDescent="0.25">
      <c r="A4588" s="1">
        <v>921503</v>
      </c>
      <c r="B4588" s="1" t="s">
        <v>62</v>
      </c>
      <c r="C4588" s="1" t="s">
        <v>63</v>
      </c>
      <c r="D4588" s="2">
        <v>44678.665765625003</v>
      </c>
      <c r="E4588" s="1" t="s">
        <v>8</v>
      </c>
      <c r="F4588" s="1">
        <v>7</v>
      </c>
      <c r="G4588" s="1">
        <v>0</v>
      </c>
      <c r="H4588" s="6">
        <f>INT(Query1[[#This Row],[EntryDateTime]])</f>
        <v>44678</v>
      </c>
      <c r="I4588" s="1">
        <f>IF(Query1[[#This Row],[ItemType]]="EVAP KIT SF GEN IV",Query1[[#This Row],[OrderQty]]+I4587,I4587)</f>
        <v>5674</v>
      </c>
      <c r="J4588" s="1">
        <f>IF(Query1[[#This Row],[ItemType]]="EVAP KIT UNIVERSAL",Query1[[#This Row],[OrderQty]]+J4587,J4587)</f>
        <v>1828</v>
      </c>
      <c r="K4588" s="1">
        <f>Query1[[#This Row],[SF Running Total]]+Query1[[#This Row],[UNIV Running Total]]</f>
        <v>7502</v>
      </c>
      <c r="L4588">
        <f>VLOOKUP(Query1[[#This Row],[Description]],'kits to boards'!$B$2:$E$156,2,FALSE)</f>
        <v>830079</v>
      </c>
      <c r="M4588">
        <f>VLOOKUP(Query1[[#This Row],[Description]],'kits to boards'!$B$2:$E$156,3,FALSE)</f>
        <v>830046</v>
      </c>
      <c r="N4588">
        <f>VLOOKUP(Query1[[#This Row],[Description]],'kits to boards'!$B$2:$E$156,4,FALSE)</f>
        <v>0</v>
      </c>
      <c r="O4588" t="str">
        <f>CONCATENATE(Query1[[#This Row],[Description]]," - ",Query1[[#This Row],[MB1]]," - ",Query1[[#This Row],[MB2]]," - ",Query1[[#This Row],[MB3]])</f>
        <v>EVAP KIT 67-68 MUSTANG/COUGAR WO AC - 830079 - 830046 - 0</v>
      </c>
    </row>
    <row r="4589" spans="1:15" x14ac:dyDescent="0.25">
      <c r="A4589" s="1">
        <v>921503</v>
      </c>
      <c r="B4589" s="1" t="s">
        <v>32</v>
      </c>
      <c r="C4589" s="1" t="s">
        <v>33</v>
      </c>
      <c r="D4589" s="2">
        <v>44678.6657696412</v>
      </c>
      <c r="E4589" s="1" t="s">
        <v>8</v>
      </c>
      <c r="F4589" s="1">
        <v>5</v>
      </c>
      <c r="G4589" s="1">
        <v>0</v>
      </c>
      <c r="H4589" s="6">
        <f>INT(Query1[[#This Row],[EntryDateTime]])</f>
        <v>44678</v>
      </c>
      <c r="I4589" s="1">
        <f>IF(Query1[[#This Row],[ItemType]]="EVAP KIT SF GEN IV",Query1[[#This Row],[OrderQty]]+I4588,I4588)</f>
        <v>5679</v>
      </c>
      <c r="J4589" s="1">
        <f>IF(Query1[[#This Row],[ItemType]]="EVAP KIT UNIVERSAL",Query1[[#This Row],[OrderQty]]+J4588,J4588)</f>
        <v>1828</v>
      </c>
      <c r="K4589" s="1">
        <f>Query1[[#This Row],[SF Running Total]]+Query1[[#This Row],[UNIV Running Total]]</f>
        <v>7507</v>
      </c>
      <c r="L4589">
        <f>VLOOKUP(Query1[[#This Row],[Description]],'kits to boards'!$B$2:$E$156,2,FALSE)</f>
        <v>830016</v>
      </c>
      <c r="M4589">
        <f>VLOOKUP(Query1[[#This Row],[Description]],'kits to boards'!$B$2:$E$156,3,FALSE)</f>
        <v>0</v>
      </c>
      <c r="N4589">
        <f>VLOOKUP(Query1[[#This Row],[Description]],'kits to boards'!$B$2:$E$156,4,FALSE)</f>
        <v>0</v>
      </c>
      <c r="O4589" t="str">
        <f>CONCATENATE(Query1[[#This Row],[Description]]," - ",Query1[[#This Row],[MB1]]," - ",Query1[[#This Row],[MB2]]," - ",Query1[[#This Row],[MB3]])</f>
        <v>EVAP KIT 67-68 CAMARO/FIREBIRD W/AC - 830016 - 0 - 0</v>
      </c>
    </row>
    <row r="4590" spans="1:15" x14ac:dyDescent="0.25">
      <c r="A4590" s="1">
        <v>921503</v>
      </c>
      <c r="B4590" s="1" t="s">
        <v>18</v>
      </c>
      <c r="C4590" s="1" t="s">
        <v>19</v>
      </c>
      <c r="D4590" s="2">
        <v>44678.665776851849</v>
      </c>
      <c r="E4590" s="1" t="s">
        <v>8</v>
      </c>
      <c r="F4590" s="1">
        <v>2</v>
      </c>
      <c r="G4590" s="1">
        <v>0</v>
      </c>
      <c r="H4590" s="6">
        <f>INT(Query1[[#This Row],[EntryDateTime]])</f>
        <v>44678</v>
      </c>
      <c r="I4590" s="1">
        <f>IF(Query1[[#This Row],[ItemType]]="EVAP KIT SF GEN IV",Query1[[#This Row],[OrderQty]]+I4589,I4589)</f>
        <v>5681</v>
      </c>
      <c r="J4590" s="1">
        <f>IF(Query1[[#This Row],[ItemType]]="EVAP KIT UNIVERSAL",Query1[[#This Row],[OrderQty]]+J4589,J4589)</f>
        <v>1828</v>
      </c>
      <c r="K4590" s="1">
        <f>Query1[[#This Row],[SF Running Total]]+Query1[[#This Row],[UNIV Running Total]]</f>
        <v>7509</v>
      </c>
      <c r="L4590">
        <f>VLOOKUP(Query1[[#This Row],[Description]],'kits to boards'!$B$2:$E$156,2,FALSE)</f>
        <v>830051</v>
      </c>
      <c r="M4590">
        <f>VLOOKUP(Query1[[#This Row],[Description]],'kits to boards'!$B$2:$E$156,3,FALSE)</f>
        <v>0</v>
      </c>
      <c r="N4590">
        <f>VLOOKUP(Query1[[#This Row],[Description]],'kits to boards'!$B$2:$E$156,4,FALSE)</f>
        <v>0</v>
      </c>
      <c r="O4590" t="str">
        <f>CONCATENATE(Query1[[#This Row],[Description]]," - ",Query1[[#This Row],[MB1]]," - ",Query1[[#This Row],[MB2]]," - ",Query1[[#This Row],[MB3]])</f>
        <v>EVAP KIT 70-78 CAMARO W/AC - 830051 - 0 - 0</v>
      </c>
    </row>
    <row r="4591" spans="1:15" x14ac:dyDescent="0.25">
      <c r="A4591" s="1">
        <v>921503</v>
      </c>
      <c r="B4591" s="1" t="s">
        <v>34</v>
      </c>
      <c r="C4591" s="1" t="s">
        <v>35</v>
      </c>
      <c r="D4591" s="2">
        <v>44678.665783182871</v>
      </c>
      <c r="E4591" s="1" t="s">
        <v>8</v>
      </c>
      <c r="F4591" s="1">
        <v>3</v>
      </c>
      <c r="G4591" s="1">
        <v>0</v>
      </c>
      <c r="H4591" s="6">
        <f>INT(Query1[[#This Row],[EntryDateTime]])</f>
        <v>44678</v>
      </c>
      <c r="I4591" s="1">
        <f>IF(Query1[[#This Row],[ItemType]]="EVAP KIT SF GEN IV",Query1[[#This Row],[OrderQty]]+I4590,I4590)</f>
        <v>5684</v>
      </c>
      <c r="J4591" s="1">
        <f>IF(Query1[[#This Row],[ItemType]]="EVAP KIT UNIVERSAL",Query1[[#This Row],[OrderQty]]+J4590,J4590)</f>
        <v>1828</v>
      </c>
      <c r="K4591" s="1">
        <f>Query1[[#This Row],[SF Running Total]]+Query1[[#This Row],[UNIV Running Total]]</f>
        <v>7512</v>
      </c>
      <c r="L4591">
        <f>VLOOKUP(Query1[[#This Row],[Description]],'kits to boards'!$B$2:$E$156,2,FALSE)</f>
        <v>830065</v>
      </c>
      <c r="M4591">
        <f>VLOOKUP(Query1[[#This Row],[Description]],'kits to boards'!$B$2:$E$156,3,FALSE)</f>
        <v>0</v>
      </c>
      <c r="N4591">
        <f>VLOOKUP(Query1[[#This Row],[Description]],'kits to boards'!$B$2:$E$156,4,FALSE)</f>
        <v>0</v>
      </c>
      <c r="O4591" t="str">
        <f>CONCATENATE(Query1[[#This Row],[Description]]," - ",Query1[[#This Row],[MB1]]," - ",Query1[[#This Row],[MB2]]," - ",Query1[[#This Row],[MB3]])</f>
        <v>EVAP KIT 57 CHEV WO AC - 830065 - 0 - 0</v>
      </c>
    </row>
    <row r="4592" spans="1:15" x14ac:dyDescent="0.25">
      <c r="A4592" s="1">
        <v>921503</v>
      </c>
      <c r="B4592" s="1" t="s">
        <v>44</v>
      </c>
      <c r="C4592" s="1" t="s">
        <v>45</v>
      </c>
      <c r="D4592" s="2">
        <v>44678.665785798614</v>
      </c>
      <c r="E4592" s="1" t="s">
        <v>8</v>
      </c>
      <c r="F4592" s="1">
        <v>25</v>
      </c>
      <c r="G4592" s="1">
        <v>0</v>
      </c>
      <c r="H4592" s="6">
        <f>INT(Query1[[#This Row],[EntryDateTime]])</f>
        <v>44678</v>
      </c>
      <c r="I4592" s="1">
        <f>IF(Query1[[#This Row],[ItemType]]="EVAP KIT SF GEN IV",Query1[[#This Row],[OrderQty]]+I4591,I4591)</f>
        <v>5709</v>
      </c>
      <c r="J4592" s="1">
        <f>IF(Query1[[#This Row],[ItemType]]="EVAP KIT UNIVERSAL",Query1[[#This Row],[OrderQty]]+J4591,J4591)</f>
        <v>1828</v>
      </c>
      <c r="K4592" s="1">
        <f>Query1[[#This Row],[SF Running Total]]+Query1[[#This Row],[UNIV Running Total]]</f>
        <v>7537</v>
      </c>
      <c r="L4592">
        <f>VLOOKUP(Query1[[#This Row],[Description]],'kits to boards'!$B$2:$E$156,2,FALSE)</f>
        <v>830085</v>
      </c>
      <c r="M4592">
        <f>VLOOKUP(Query1[[#This Row],[Description]],'kits to boards'!$B$2:$E$156,3,FALSE)</f>
        <v>0</v>
      </c>
      <c r="N4592">
        <f>VLOOKUP(Query1[[#This Row],[Description]],'kits to boards'!$B$2:$E$156,4,FALSE)</f>
        <v>0</v>
      </c>
      <c r="O4592" t="str">
        <f>CONCATENATE(Query1[[#This Row],[Description]]," - ",Query1[[#This Row],[MB1]]," - ",Query1[[#This Row],[MB2]]," - ",Query1[[#This Row],[MB3]])</f>
        <v>EVAP KIT 66-77 BRONCO - 830085 - 0 - 0</v>
      </c>
    </row>
    <row r="4593" spans="1:15" x14ac:dyDescent="0.25">
      <c r="A4593" s="1">
        <v>921503</v>
      </c>
      <c r="B4593" s="1" t="s">
        <v>106</v>
      </c>
      <c r="C4593" s="1" t="s">
        <v>107</v>
      </c>
      <c r="D4593" s="2">
        <v>44678.665788888888</v>
      </c>
      <c r="E4593" s="1" t="s">
        <v>8</v>
      </c>
      <c r="F4593" s="1">
        <v>2</v>
      </c>
      <c r="G4593" s="1">
        <v>0</v>
      </c>
      <c r="H4593" s="6">
        <f>INT(Query1[[#This Row],[EntryDateTime]])</f>
        <v>44678</v>
      </c>
      <c r="I4593" s="1">
        <f>IF(Query1[[#This Row],[ItemType]]="EVAP KIT SF GEN IV",Query1[[#This Row],[OrderQty]]+I4592,I4592)</f>
        <v>5711</v>
      </c>
      <c r="J4593" s="1">
        <f>IF(Query1[[#This Row],[ItemType]]="EVAP KIT UNIVERSAL",Query1[[#This Row],[OrderQty]]+J4592,J4592)</f>
        <v>1828</v>
      </c>
      <c r="K4593" s="1">
        <f>Query1[[#This Row],[SF Running Total]]+Query1[[#This Row],[UNIV Running Total]]</f>
        <v>7539</v>
      </c>
      <c r="L4593">
        <f>VLOOKUP(Query1[[#This Row],[Description]],'kits to boards'!$B$2:$E$156,2,FALSE)</f>
        <v>830028</v>
      </c>
      <c r="M4593">
        <f>VLOOKUP(Query1[[#This Row],[Description]],'kits to boards'!$B$2:$E$156,3,FALSE)</f>
        <v>0</v>
      </c>
      <c r="N4593">
        <f>VLOOKUP(Query1[[#This Row],[Description]],'kits to boards'!$B$2:$E$156,4,FALSE)</f>
        <v>0</v>
      </c>
      <c r="O4593" t="str">
        <f>CONCATENATE(Query1[[#This Row],[Description]]," - ",Query1[[#This Row],[MB1]]," - ",Query1[[#This Row],[MB2]]," - ",Query1[[#This Row],[MB3]])</f>
        <v>EVAP KIT 55-59 CHEV P-UP WO AC W/DELX - 830028 - 0 - 0</v>
      </c>
    </row>
    <row r="4594" spans="1:15" x14ac:dyDescent="0.25">
      <c r="A4594" s="1">
        <v>921504</v>
      </c>
      <c r="B4594" s="1" t="s">
        <v>52</v>
      </c>
      <c r="C4594" s="1" t="s">
        <v>53</v>
      </c>
      <c r="D4594" s="2">
        <v>44678.667952627315</v>
      </c>
      <c r="E4594" s="1" t="s">
        <v>8</v>
      </c>
      <c r="F4594" s="1">
        <v>4</v>
      </c>
      <c r="G4594" s="1">
        <v>0</v>
      </c>
      <c r="H4594" s="6">
        <f>INT(Query1[[#This Row],[EntryDateTime]])</f>
        <v>44678</v>
      </c>
      <c r="I4594" s="1">
        <f>IF(Query1[[#This Row],[ItemType]]="EVAP KIT SF GEN IV",Query1[[#This Row],[OrderQty]]+I4593,I4593)</f>
        <v>5715</v>
      </c>
      <c r="J4594" s="1">
        <f>IF(Query1[[#This Row],[ItemType]]="EVAP KIT UNIVERSAL",Query1[[#This Row],[OrderQty]]+J4593,J4593)</f>
        <v>1828</v>
      </c>
      <c r="K4594" s="1">
        <f>Query1[[#This Row],[SF Running Total]]+Query1[[#This Row],[UNIV Running Total]]</f>
        <v>7543</v>
      </c>
      <c r="L4594">
        <f>VLOOKUP(Query1[[#This Row],[Description]],'kits to boards'!$B$2:$E$156,2,FALSE)</f>
        <v>830017</v>
      </c>
      <c r="M4594">
        <f>VLOOKUP(Query1[[#This Row],[Description]],'kits to boards'!$B$2:$E$156,3,FALSE)</f>
        <v>830119</v>
      </c>
      <c r="N4594">
        <f>VLOOKUP(Query1[[#This Row],[Description]],'kits to boards'!$B$2:$E$156,4,FALSE)</f>
        <v>830120</v>
      </c>
      <c r="O4594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4595" spans="1:15" x14ac:dyDescent="0.25">
      <c r="A4595" s="1">
        <v>921504</v>
      </c>
      <c r="B4595" s="1" t="s">
        <v>20</v>
      </c>
      <c r="C4595" s="1" t="s">
        <v>21</v>
      </c>
      <c r="D4595" s="2">
        <v>44678.667954363424</v>
      </c>
      <c r="E4595" s="1" t="s">
        <v>11</v>
      </c>
      <c r="F4595" s="1">
        <v>12</v>
      </c>
      <c r="G4595" s="1">
        <v>0</v>
      </c>
      <c r="H4595" s="6">
        <f>INT(Query1[[#This Row],[EntryDateTime]])</f>
        <v>44678</v>
      </c>
      <c r="I4595" s="1">
        <f>IF(Query1[[#This Row],[ItemType]]="EVAP KIT SF GEN IV",Query1[[#This Row],[OrderQty]]+I4594,I4594)</f>
        <v>5715</v>
      </c>
      <c r="J4595" s="1">
        <f>IF(Query1[[#This Row],[ItemType]]="EVAP KIT UNIVERSAL",Query1[[#This Row],[OrderQty]]+J4594,J4594)</f>
        <v>1840</v>
      </c>
      <c r="K4595" s="1">
        <f>Query1[[#This Row],[SF Running Total]]+Query1[[#This Row],[UNIV Running Total]]</f>
        <v>7555</v>
      </c>
      <c r="L4595">
        <f>VLOOKUP(Query1[[#This Row],[Description]],'kits to boards'!$B$2:$E$156,2,FALSE)</f>
        <v>830102</v>
      </c>
      <c r="M4595">
        <f>VLOOKUP(Query1[[#This Row],[Description]],'kits to boards'!$B$2:$E$156,3,FALSE)</f>
        <v>0</v>
      </c>
      <c r="N4595">
        <f>VLOOKUP(Query1[[#This Row],[Description]],'kits to boards'!$B$2:$E$156,4,FALSE)</f>
        <v>0</v>
      </c>
      <c r="O4595" t="str">
        <f>CONCATENATE(Query1[[#This Row],[Description]]," - ",Query1[[#This Row],[MB1]]," - ",Query1[[#This Row],[MB2]]," - ",Query1[[#This Row],[MB3]])</f>
        <v>SUPER GEN II W/DEF - 830102 - 0 - 0</v>
      </c>
    </row>
    <row r="4596" spans="1:15" x14ac:dyDescent="0.25">
      <c r="A4596" s="1">
        <v>921504</v>
      </c>
      <c r="B4596" s="1" t="s">
        <v>142</v>
      </c>
      <c r="C4596" s="1" t="s">
        <v>143</v>
      </c>
      <c r="D4596" s="2">
        <v>44678.66795609954</v>
      </c>
      <c r="E4596" s="1" t="s">
        <v>8</v>
      </c>
      <c r="F4596" s="1">
        <v>9</v>
      </c>
      <c r="G4596" s="1">
        <v>0</v>
      </c>
      <c r="H4596" s="6">
        <f>INT(Query1[[#This Row],[EntryDateTime]])</f>
        <v>44678</v>
      </c>
      <c r="I4596" s="1">
        <f>IF(Query1[[#This Row],[ItemType]]="EVAP KIT SF GEN IV",Query1[[#This Row],[OrderQty]]+I4595,I4595)</f>
        <v>5724</v>
      </c>
      <c r="J4596" s="1">
        <f>IF(Query1[[#This Row],[ItemType]]="EVAP KIT UNIVERSAL",Query1[[#This Row],[OrderQty]]+J4595,J4595)</f>
        <v>1840</v>
      </c>
      <c r="K4596" s="1">
        <f>Query1[[#This Row],[SF Running Total]]+Query1[[#This Row],[UNIV Running Total]]</f>
        <v>7564</v>
      </c>
      <c r="L4596">
        <f>VLOOKUP(Query1[[#This Row],[Description]],'kits to boards'!$B$2:$E$156,2,FALSE)</f>
        <v>830052</v>
      </c>
      <c r="M4596">
        <f>VLOOKUP(Query1[[#This Row],[Description]],'kits to boards'!$B$2:$E$156,3,FALSE)</f>
        <v>0</v>
      </c>
      <c r="N4596">
        <f>VLOOKUP(Query1[[#This Row],[Description]],'kits to boards'!$B$2:$E$156,4,FALSE)</f>
        <v>0</v>
      </c>
      <c r="O4596" t="str">
        <f>CONCATENATE(Query1[[#This Row],[Description]]," - ",Query1[[#This Row],[MB1]]," - ",Query1[[#This Row],[MB2]]," - ",Query1[[#This Row],[MB3]])</f>
        <v>EVAP KIT 61-64 FORD F-100 - 830052 - 0 - 0</v>
      </c>
    </row>
    <row r="4597" spans="1:15" x14ac:dyDescent="0.25">
      <c r="A4597" s="1">
        <v>921504</v>
      </c>
      <c r="B4597" s="1" t="s">
        <v>92</v>
      </c>
      <c r="C4597" s="1" t="s">
        <v>93</v>
      </c>
      <c r="D4597" s="2">
        <v>44678.667957835649</v>
      </c>
      <c r="E4597" s="1" t="s">
        <v>8</v>
      </c>
      <c r="F4597" s="1">
        <v>3</v>
      </c>
      <c r="G4597" s="1">
        <v>0</v>
      </c>
      <c r="H4597" s="6">
        <f>INT(Query1[[#This Row],[EntryDateTime]])</f>
        <v>44678</v>
      </c>
      <c r="I4597" s="1">
        <f>IF(Query1[[#This Row],[ItemType]]="EVAP KIT SF GEN IV",Query1[[#This Row],[OrderQty]]+I4596,I4596)</f>
        <v>5727</v>
      </c>
      <c r="J4597" s="1">
        <f>IF(Query1[[#This Row],[ItemType]]="EVAP KIT UNIVERSAL",Query1[[#This Row],[OrderQty]]+J4596,J4596)</f>
        <v>1840</v>
      </c>
      <c r="K4597" s="1">
        <f>Query1[[#This Row],[SF Running Total]]+Query1[[#This Row],[UNIV Running Total]]</f>
        <v>7567</v>
      </c>
      <c r="L4597">
        <f>VLOOKUP(Query1[[#This Row],[Description]],'kits to boards'!$B$2:$E$156,2,FALSE)</f>
        <v>830063</v>
      </c>
      <c r="M4597">
        <f>VLOOKUP(Query1[[#This Row],[Description]],'kits to boards'!$B$2:$E$156,3,FALSE)</f>
        <v>0</v>
      </c>
      <c r="N4597">
        <f>VLOOKUP(Query1[[#This Row],[Description]],'kits to boards'!$B$2:$E$156,4,FALSE)</f>
        <v>0</v>
      </c>
      <c r="O4597" t="str">
        <f>CONCATENATE(Query1[[#This Row],[Description]]," - ",Query1[[#This Row],[MB1]]," - ",Query1[[#This Row],[MB2]]," - ",Query1[[#This Row],[MB3]])</f>
        <v>EVAP KIT 50-53 CHEV P-UP GEN IV - 830063 - 0 - 0</v>
      </c>
    </row>
    <row r="4598" spans="1:15" x14ac:dyDescent="0.25">
      <c r="A4598" s="1">
        <v>921505</v>
      </c>
      <c r="B4598" s="1" t="s">
        <v>168</v>
      </c>
      <c r="C4598" s="1" t="s">
        <v>169</v>
      </c>
      <c r="D4598" s="2">
        <v>44678.670571562499</v>
      </c>
      <c r="E4598" s="1" t="s">
        <v>8</v>
      </c>
      <c r="F4598" s="1">
        <v>1</v>
      </c>
      <c r="G4598" s="1">
        <v>0</v>
      </c>
      <c r="H4598" s="6">
        <f>INT(Query1[[#This Row],[EntryDateTime]])</f>
        <v>44678</v>
      </c>
      <c r="I4598" s="1">
        <f>IF(Query1[[#This Row],[ItemType]]="EVAP KIT SF GEN IV",Query1[[#This Row],[OrderQty]]+I4597,I4597)</f>
        <v>5728</v>
      </c>
      <c r="J4598" s="1">
        <f>IF(Query1[[#This Row],[ItemType]]="EVAP KIT UNIVERSAL",Query1[[#This Row],[OrderQty]]+J4597,J4597)</f>
        <v>1840</v>
      </c>
      <c r="K4598" s="1">
        <f>Query1[[#This Row],[SF Running Total]]+Query1[[#This Row],[UNIV Running Total]]</f>
        <v>7568</v>
      </c>
      <c r="L4598">
        <f>VLOOKUP(Query1[[#This Row],[Description]],'kits to boards'!$B$2:$E$156,2,FALSE)</f>
        <v>830028</v>
      </c>
      <c r="M4598">
        <f>VLOOKUP(Query1[[#This Row],[Description]],'kits to boards'!$B$2:$E$156,3,FALSE)</f>
        <v>0</v>
      </c>
      <c r="N4598">
        <f>VLOOKUP(Query1[[#This Row],[Description]],'kits to boards'!$B$2:$E$156,4,FALSE)</f>
        <v>0</v>
      </c>
      <c r="O4598" t="str">
        <f>CONCATENATE(Query1[[#This Row],[Description]]," - ",Query1[[#This Row],[MB1]]," - ",Query1[[#This Row],[MB2]]," - ",Query1[[#This Row],[MB3]])</f>
        <v>EVAP KIT 55-59 CHEV P-UP WO AC W/STD  - 830028 - 0 - 0</v>
      </c>
    </row>
    <row r="4599" spans="1:15" x14ac:dyDescent="0.25">
      <c r="A4599" s="1">
        <v>921509</v>
      </c>
      <c r="B4599" s="1" t="s">
        <v>22</v>
      </c>
      <c r="C4599" s="1" t="s">
        <v>23</v>
      </c>
      <c r="D4599" s="2">
        <v>44678.680742476849</v>
      </c>
      <c r="E4599" s="1" t="s">
        <v>8</v>
      </c>
      <c r="F4599" s="1">
        <v>1</v>
      </c>
      <c r="G4599" s="1">
        <v>0</v>
      </c>
      <c r="H4599" s="6">
        <f>INT(Query1[[#This Row],[EntryDateTime]])</f>
        <v>44678</v>
      </c>
      <c r="I4599" s="1">
        <f>IF(Query1[[#This Row],[ItemType]]="EVAP KIT SF GEN IV",Query1[[#This Row],[OrderQty]]+I4598,I4598)</f>
        <v>5729</v>
      </c>
      <c r="J4599" s="1">
        <f>IF(Query1[[#This Row],[ItemType]]="EVAP KIT UNIVERSAL",Query1[[#This Row],[OrderQty]]+J4598,J4598)</f>
        <v>1840</v>
      </c>
      <c r="K4599" s="1">
        <f>Query1[[#This Row],[SF Running Total]]+Query1[[#This Row],[UNIV Running Total]]</f>
        <v>7569</v>
      </c>
      <c r="L4599">
        <f>VLOOKUP(Query1[[#This Row],[Description]],'kits to boards'!$B$2:$E$156,2,FALSE)</f>
        <v>830083</v>
      </c>
      <c r="M4599">
        <f>VLOOKUP(Query1[[#This Row],[Description]],'kits to boards'!$B$2:$E$156,3,FALSE)</f>
        <v>0</v>
      </c>
      <c r="N4599">
        <f>VLOOKUP(Query1[[#This Row],[Description]],'kits to boards'!$B$2:$E$156,4,FALSE)</f>
        <v>0</v>
      </c>
      <c r="O4599" t="str">
        <f>CONCATENATE(Query1[[#This Row],[Description]]," - ",Query1[[#This Row],[MB1]]," - ",Query1[[#This Row],[MB2]]," - ",Query1[[#This Row],[MB3]])</f>
        <v>GEN IV MAGNUM EVAP KIT - 830083 - 0 - 0</v>
      </c>
    </row>
    <row r="4600" spans="1:15" x14ac:dyDescent="0.25">
      <c r="A4600" s="1">
        <v>921511</v>
      </c>
      <c r="B4600" s="1" t="s">
        <v>18</v>
      </c>
      <c r="C4600" s="1" t="s">
        <v>19</v>
      </c>
      <c r="D4600" s="2">
        <v>44678.683821180559</v>
      </c>
      <c r="E4600" s="1" t="s">
        <v>8</v>
      </c>
      <c r="F4600" s="1">
        <v>1</v>
      </c>
      <c r="G4600" s="1">
        <v>0</v>
      </c>
      <c r="H4600" s="6">
        <f>INT(Query1[[#This Row],[EntryDateTime]])</f>
        <v>44678</v>
      </c>
      <c r="I4600" s="1">
        <f>IF(Query1[[#This Row],[ItemType]]="EVAP KIT SF GEN IV",Query1[[#This Row],[OrderQty]]+I4599,I4599)</f>
        <v>5730</v>
      </c>
      <c r="J4600" s="1">
        <f>IF(Query1[[#This Row],[ItemType]]="EVAP KIT UNIVERSAL",Query1[[#This Row],[OrderQty]]+J4599,J4599)</f>
        <v>1840</v>
      </c>
      <c r="K4600" s="1">
        <f>Query1[[#This Row],[SF Running Total]]+Query1[[#This Row],[UNIV Running Total]]</f>
        <v>7570</v>
      </c>
      <c r="L4600">
        <f>VLOOKUP(Query1[[#This Row],[Description]],'kits to boards'!$B$2:$E$156,2,FALSE)</f>
        <v>830051</v>
      </c>
      <c r="M4600">
        <f>VLOOKUP(Query1[[#This Row],[Description]],'kits to boards'!$B$2:$E$156,3,FALSE)</f>
        <v>0</v>
      </c>
      <c r="N4600">
        <f>VLOOKUP(Query1[[#This Row],[Description]],'kits to boards'!$B$2:$E$156,4,FALSE)</f>
        <v>0</v>
      </c>
      <c r="O4600" t="str">
        <f>CONCATENATE(Query1[[#This Row],[Description]]," - ",Query1[[#This Row],[MB1]]," - ",Query1[[#This Row],[MB2]]," - ",Query1[[#This Row],[MB3]])</f>
        <v>EVAP KIT 70-78 CAMARO W/AC - 830051 - 0 - 0</v>
      </c>
    </row>
    <row r="4601" spans="1:15" x14ac:dyDescent="0.25">
      <c r="A4601" s="1">
        <v>921489</v>
      </c>
      <c r="B4601" s="1" t="s">
        <v>58</v>
      </c>
      <c r="C4601" s="1" t="s">
        <v>59</v>
      </c>
      <c r="D4601" s="2">
        <v>44678.698234062504</v>
      </c>
      <c r="E4601" s="1" t="s">
        <v>11</v>
      </c>
      <c r="F4601" s="1">
        <v>2</v>
      </c>
      <c r="G4601" s="1">
        <v>0</v>
      </c>
      <c r="H4601" s="6">
        <f>INT(Query1[[#This Row],[EntryDateTime]])</f>
        <v>44678</v>
      </c>
      <c r="I4601" s="1">
        <f>IF(Query1[[#This Row],[ItemType]]="EVAP KIT SF GEN IV",Query1[[#This Row],[OrderQty]]+I4600,I4600)</f>
        <v>5730</v>
      </c>
      <c r="J4601" s="1">
        <f>IF(Query1[[#This Row],[ItemType]]="EVAP KIT UNIVERSAL",Query1[[#This Row],[OrderQty]]+J4600,J4600)</f>
        <v>1842</v>
      </c>
      <c r="K4601" s="1">
        <f>Query1[[#This Row],[SF Running Total]]+Query1[[#This Row],[UNIV Running Total]]</f>
        <v>7572</v>
      </c>
      <c r="L4601">
        <f>VLOOKUP(Query1[[#This Row],[Description]],'kits to boards'!$B$2:$E$156,2,FALSE)</f>
        <v>830088</v>
      </c>
      <c r="M4601">
        <f>VLOOKUP(Query1[[#This Row],[Description]],'kits to boards'!$B$2:$E$156,3,FALSE)</f>
        <v>830099</v>
      </c>
      <c r="N4601">
        <f>VLOOKUP(Query1[[#This Row],[Description]],'kits to boards'!$B$2:$E$156,4,FALSE)</f>
        <v>0</v>
      </c>
      <c r="O4601" t="str">
        <f>CONCATENATE(Query1[[#This Row],[Description]]," - ",Query1[[#This Row],[MB1]]," - ",Query1[[#This Row],[MB2]]," - ",Query1[[#This Row],[MB3]])</f>
        <v>MONSTER TRUNK UNIT COOL - 830088 - 830099 - 0</v>
      </c>
    </row>
    <row r="4602" spans="1:15" x14ac:dyDescent="0.25">
      <c r="A4602" s="1">
        <v>921499</v>
      </c>
      <c r="B4602" s="1" t="s">
        <v>14</v>
      </c>
      <c r="C4602" s="1" t="s">
        <v>15</v>
      </c>
      <c r="D4602" s="2">
        <v>44678.702686342593</v>
      </c>
      <c r="E4602" s="1" t="s">
        <v>8</v>
      </c>
      <c r="F4602" s="1">
        <v>1</v>
      </c>
      <c r="G4602" s="1">
        <v>0</v>
      </c>
      <c r="H4602" s="6">
        <f>INT(Query1[[#This Row],[EntryDateTime]])</f>
        <v>44678</v>
      </c>
      <c r="I4602" s="1">
        <f>IF(Query1[[#This Row],[ItemType]]="EVAP KIT SF GEN IV",Query1[[#This Row],[OrderQty]]+I4601,I4601)</f>
        <v>5731</v>
      </c>
      <c r="J4602" s="1">
        <f>IF(Query1[[#This Row],[ItemType]]="EVAP KIT UNIVERSAL",Query1[[#This Row],[OrderQty]]+J4601,J4601)</f>
        <v>1842</v>
      </c>
      <c r="K4602" s="1">
        <f>Query1[[#This Row],[SF Running Total]]+Query1[[#This Row],[UNIV Running Total]]</f>
        <v>7573</v>
      </c>
      <c r="L4602">
        <f>VLOOKUP(Query1[[#This Row],[Description]],'kits to boards'!$B$2:$E$156,2,FALSE)</f>
        <v>830054</v>
      </c>
      <c r="M4602">
        <f>VLOOKUP(Query1[[#This Row],[Description]],'kits to boards'!$B$2:$E$156,3,FALSE)</f>
        <v>0</v>
      </c>
      <c r="N4602">
        <f>VLOOKUP(Query1[[#This Row],[Description]],'kits to boards'!$B$2:$E$156,4,FALSE)</f>
        <v>0</v>
      </c>
      <c r="O4602" t="str">
        <f>CONCATENATE(Query1[[#This Row],[Description]]," - ",Query1[[#This Row],[MB1]]," - ",Query1[[#This Row],[MB2]]," - ",Query1[[#This Row],[MB3]])</f>
        <v>EVAP KIT 55-56 CHEVY - 830054 - 0 - 0</v>
      </c>
    </row>
    <row r="4603" spans="1:15" x14ac:dyDescent="0.25">
      <c r="A4603" s="1">
        <v>921520</v>
      </c>
      <c r="B4603" s="1" t="s">
        <v>62</v>
      </c>
      <c r="C4603" s="1" t="s">
        <v>63</v>
      </c>
      <c r="D4603" s="2">
        <v>44678.709680752312</v>
      </c>
      <c r="E4603" s="1" t="s">
        <v>8</v>
      </c>
      <c r="F4603" s="1">
        <v>1</v>
      </c>
      <c r="G4603" s="1">
        <v>0</v>
      </c>
      <c r="H4603" s="6">
        <f>INT(Query1[[#This Row],[EntryDateTime]])</f>
        <v>44678</v>
      </c>
      <c r="I4603" s="1">
        <f>IF(Query1[[#This Row],[ItemType]]="EVAP KIT SF GEN IV",Query1[[#This Row],[OrderQty]]+I4602,I4602)</f>
        <v>5732</v>
      </c>
      <c r="J4603" s="1">
        <f>IF(Query1[[#This Row],[ItemType]]="EVAP KIT UNIVERSAL",Query1[[#This Row],[OrderQty]]+J4602,J4602)</f>
        <v>1842</v>
      </c>
      <c r="K4603" s="1">
        <f>Query1[[#This Row],[SF Running Total]]+Query1[[#This Row],[UNIV Running Total]]</f>
        <v>7574</v>
      </c>
      <c r="L4603">
        <f>VLOOKUP(Query1[[#This Row],[Description]],'kits to boards'!$B$2:$E$156,2,FALSE)</f>
        <v>830079</v>
      </c>
      <c r="M4603">
        <f>VLOOKUP(Query1[[#This Row],[Description]],'kits to boards'!$B$2:$E$156,3,FALSE)</f>
        <v>830046</v>
      </c>
      <c r="N4603">
        <f>VLOOKUP(Query1[[#This Row],[Description]],'kits to boards'!$B$2:$E$156,4,FALSE)</f>
        <v>0</v>
      </c>
      <c r="O4603" t="str">
        <f>CONCATENATE(Query1[[#This Row],[Description]]," - ",Query1[[#This Row],[MB1]]," - ",Query1[[#This Row],[MB2]]," - ",Query1[[#This Row],[MB3]])</f>
        <v>EVAP KIT 67-68 MUSTANG/COUGAR WO AC - 830079 - 830046 - 0</v>
      </c>
    </row>
    <row r="4604" spans="1:15" x14ac:dyDescent="0.25">
      <c r="A4604" s="1">
        <v>921425</v>
      </c>
      <c r="B4604" s="1" t="s">
        <v>54</v>
      </c>
      <c r="C4604" s="1" t="s">
        <v>55</v>
      </c>
      <c r="D4604" s="2">
        <v>44679.315464236111</v>
      </c>
      <c r="E4604" s="1" t="s">
        <v>8</v>
      </c>
      <c r="F4604" s="1">
        <v>1</v>
      </c>
      <c r="G4604" s="1">
        <v>0</v>
      </c>
      <c r="H4604" s="6">
        <f>INT(Query1[[#This Row],[EntryDateTime]])</f>
        <v>44679</v>
      </c>
      <c r="I4604" s="1">
        <f>IF(Query1[[#This Row],[ItemType]]="EVAP KIT SF GEN IV",Query1[[#This Row],[OrderQty]]+I4603,I4603)</f>
        <v>5733</v>
      </c>
      <c r="J4604" s="1">
        <f>IF(Query1[[#This Row],[ItemType]]="EVAP KIT UNIVERSAL",Query1[[#This Row],[OrderQty]]+J4603,J4603)</f>
        <v>1842</v>
      </c>
      <c r="K4604" s="1">
        <f>Query1[[#This Row],[SF Running Total]]+Query1[[#This Row],[UNIV Running Total]]</f>
        <v>7575</v>
      </c>
      <c r="L4604">
        <f>VLOOKUP(Query1[[#This Row],[Description]],'kits to boards'!$B$2:$E$156,2,FALSE)</f>
        <v>830037</v>
      </c>
      <c r="M4604">
        <f>VLOOKUP(Query1[[#This Row],[Description]],'kits to boards'!$B$2:$E$156,3,FALSE)</f>
        <v>0</v>
      </c>
      <c r="N4604">
        <f>VLOOKUP(Query1[[#This Row],[Description]],'kits to boards'!$B$2:$E$156,4,FALSE)</f>
        <v>0</v>
      </c>
      <c r="O4604" t="str">
        <f>CONCATENATE(Query1[[#This Row],[Description]]," - ",Query1[[#This Row],[MB1]]," - ",Query1[[#This Row],[MB2]]," - ",Query1[[#This Row],[MB3]])</f>
        <v>EVAP KIT 70-81 FIREBIRD W/AC - 830037 - 0 - 0</v>
      </c>
    </row>
    <row r="4605" spans="1:15" x14ac:dyDescent="0.25">
      <c r="A4605" s="1">
        <v>921524</v>
      </c>
      <c r="B4605" s="1" t="s">
        <v>90</v>
      </c>
      <c r="C4605" s="1" t="s">
        <v>91</v>
      </c>
      <c r="D4605" s="2">
        <v>44679.31551670139</v>
      </c>
      <c r="E4605" s="1" t="s">
        <v>8</v>
      </c>
      <c r="F4605" s="1">
        <v>1</v>
      </c>
      <c r="G4605" s="1">
        <v>0</v>
      </c>
      <c r="H4605" s="6">
        <f>INT(Query1[[#This Row],[EntryDateTime]])</f>
        <v>44679</v>
      </c>
      <c r="I4605" s="1">
        <f>IF(Query1[[#This Row],[ItemType]]="EVAP KIT SF GEN IV",Query1[[#This Row],[OrderQty]]+I4604,I4604)</f>
        <v>5734</v>
      </c>
      <c r="J4605" s="1">
        <f>IF(Query1[[#This Row],[ItemType]]="EVAP KIT UNIVERSAL",Query1[[#This Row],[OrderQty]]+J4604,J4604)</f>
        <v>1842</v>
      </c>
      <c r="K4605" s="1">
        <f>Query1[[#This Row],[SF Running Total]]+Query1[[#This Row],[UNIV Running Total]]</f>
        <v>7576</v>
      </c>
      <c r="L4605">
        <f>VLOOKUP(Query1[[#This Row],[Description]],'kits to boards'!$B$2:$E$156,2,FALSE)</f>
        <v>830105</v>
      </c>
      <c r="M4605">
        <f>VLOOKUP(Query1[[#This Row],[Description]],'kits to boards'!$B$2:$E$156,3,FALSE)</f>
        <v>830106</v>
      </c>
      <c r="N4605">
        <f>VLOOKUP(Query1[[#This Row],[Description]],'kits to boards'!$B$2:$E$156,4,FALSE)</f>
        <v>0</v>
      </c>
      <c r="O4605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4606" spans="1:15" x14ac:dyDescent="0.25">
      <c r="A4606" s="1">
        <v>921525</v>
      </c>
      <c r="B4606" s="1" t="s">
        <v>26</v>
      </c>
      <c r="C4606" s="1" t="s">
        <v>27</v>
      </c>
      <c r="D4606" s="2">
        <v>44679.316714664354</v>
      </c>
      <c r="E4606" s="1" t="s">
        <v>8</v>
      </c>
      <c r="F4606" s="1">
        <v>1</v>
      </c>
      <c r="G4606" s="1">
        <v>0</v>
      </c>
      <c r="H4606" s="6">
        <f>INT(Query1[[#This Row],[EntryDateTime]])</f>
        <v>44679</v>
      </c>
      <c r="I4606" s="1">
        <f>IF(Query1[[#This Row],[ItemType]]="EVAP KIT SF GEN IV",Query1[[#This Row],[OrderQty]]+I4605,I4605)</f>
        <v>5735</v>
      </c>
      <c r="J4606" s="1">
        <f>IF(Query1[[#This Row],[ItemType]]="EVAP KIT UNIVERSAL",Query1[[#This Row],[OrderQty]]+J4605,J4605)</f>
        <v>1842</v>
      </c>
      <c r="K4606" s="1">
        <f>Query1[[#This Row],[SF Running Total]]+Query1[[#This Row],[UNIV Running Total]]</f>
        <v>7577</v>
      </c>
      <c r="L4606">
        <f>VLOOKUP(Query1[[#This Row],[Description]],'kits to boards'!$B$2:$E$156,2,FALSE)</f>
        <v>830013</v>
      </c>
      <c r="M4606">
        <f>VLOOKUP(Query1[[#This Row],[Description]],'kits to boards'!$B$2:$E$156,3,FALSE)</f>
        <v>0</v>
      </c>
      <c r="N4606">
        <f>VLOOKUP(Query1[[#This Row],[Description]],'kits to boards'!$B$2:$E$156,4,FALSE)</f>
        <v>0</v>
      </c>
      <c r="O4606" t="str">
        <f>CONCATENATE(Query1[[#This Row],[Description]]," - ",Query1[[#This Row],[MB1]]," - ",Query1[[#This Row],[MB2]]," - ",Query1[[#This Row],[MB3]])</f>
        <v>EVAP KIT 67-72 CHEV P-UP W/AC - 830013 - 0 - 0</v>
      </c>
    </row>
    <row r="4607" spans="1:15" x14ac:dyDescent="0.25">
      <c r="A4607" s="1">
        <v>921526</v>
      </c>
      <c r="B4607" s="1" t="s">
        <v>52</v>
      </c>
      <c r="C4607" s="1" t="s">
        <v>53</v>
      </c>
      <c r="D4607" s="2">
        <v>44679.317327233795</v>
      </c>
      <c r="E4607" s="1" t="s">
        <v>8</v>
      </c>
      <c r="F4607" s="1">
        <v>1</v>
      </c>
      <c r="G4607" s="1">
        <v>0</v>
      </c>
      <c r="H4607" s="6">
        <f>INT(Query1[[#This Row],[EntryDateTime]])</f>
        <v>44679</v>
      </c>
      <c r="I4607" s="1">
        <f>IF(Query1[[#This Row],[ItemType]]="EVAP KIT SF GEN IV",Query1[[#This Row],[OrderQty]]+I4606,I4606)</f>
        <v>5736</v>
      </c>
      <c r="J4607" s="1">
        <f>IF(Query1[[#This Row],[ItemType]]="EVAP KIT UNIVERSAL",Query1[[#This Row],[OrderQty]]+J4606,J4606)</f>
        <v>1842</v>
      </c>
      <c r="K4607" s="1">
        <f>Query1[[#This Row],[SF Running Total]]+Query1[[#This Row],[UNIV Running Total]]</f>
        <v>7578</v>
      </c>
      <c r="L4607">
        <f>VLOOKUP(Query1[[#This Row],[Description]],'kits to boards'!$B$2:$E$156,2,FALSE)</f>
        <v>830017</v>
      </c>
      <c r="M4607">
        <f>VLOOKUP(Query1[[#This Row],[Description]],'kits to boards'!$B$2:$E$156,3,FALSE)</f>
        <v>830119</v>
      </c>
      <c r="N4607">
        <f>VLOOKUP(Query1[[#This Row],[Description]],'kits to boards'!$B$2:$E$156,4,FALSE)</f>
        <v>830120</v>
      </c>
      <c r="O4607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4608" spans="1:15" x14ac:dyDescent="0.25">
      <c r="A4608" s="1">
        <v>921240</v>
      </c>
      <c r="B4608" s="1" t="s">
        <v>152</v>
      </c>
      <c r="C4608" s="1" t="s">
        <v>153</v>
      </c>
      <c r="D4608" s="2">
        <v>44679.330369907409</v>
      </c>
      <c r="E4608" s="1" t="s">
        <v>8</v>
      </c>
      <c r="F4608" s="1">
        <v>1</v>
      </c>
      <c r="G4608" s="1">
        <v>0</v>
      </c>
      <c r="H4608" s="6">
        <f>INT(Query1[[#This Row],[EntryDateTime]])</f>
        <v>44679</v>
      </c>
      <c r="I4608" s="1">
        <f>IF(Query1[[#This Row],[ItemType]]="EVAP KIT SF GEN IV",Query1[[#This Row],[OrderQty]]+I4607,I4607)</f>
        <v>5737</v>
      </c>
      <c r="J4608" s="1">
        <f>IF(Query1[[#This Row],[ItemType]]="EVAP KIT UNIVERSAL",Query1[[#This Row],[OrderQty]]+J4607,J4607)</f>
        <v>1842</v>
      </c>
      <c r="K4608" s="1">
        <f>Query1[[#This Row],[SF Running Total]]+Query1[[#This Row],[UNIV Running Total]]</f>
        <v>7579</v>
      </c>
      <c r="L4608">
        <f>VLOOKUP(Query1[[#This Row],[Description]],'kits to boards'!$B$2:$E$156,2,FALSE)</f>
        <v>830034</v>
      </c>
      <c r="M4608">
        <f>VLOOKUP(Query1[[#This Row],[Description]],'kits to boards'!$B$2:$E$156,3,FALSE)</f>
        <v>0</v>
      </c>
      <c r="N4608">
        <f>VLOOKUP(Query1[[#This Row],[Description]],'kits to boards'!$B$2:$E$156,4,FALSE)</f>
        <v>0</v>
      </c>
      <c r="O4608" t="str">
        <f>CONCATENATE(Query1[[#This Row],[Description]]," - ",Query1[[#This Row],[MB1]]," - ",Query1[[#This Row],[MB2]]," - ",Query1[[#This Row],[MB3]])</f>
        <v>EVAP KIT 64-67 GTO WO AC - 830034 - 0 - 0</v>
      </c>
    </row>
    <row r="4609" spans="1:15" x14ac:dyDescent="0.25">
      <c r="A4609" s="1">
        <v>921047</v>
      </c>
      <c r="B4609" s="1" t="s">
        <v>26</v>
      </c>
      <c r="C4609" s="1" t="s">
        <v>27</v>
      </c>
      <c r="D4609" s="2">
        <v>44679.331072488429</v>
      </c>
      <c r="E4609" s="1" t="s">
        <v>8</v>
      </c>
      <c r="F4609" s="1">
        <v>1</v>
      </c>
      <c r="G4609" s="1">
        <v>0</v>
      </c>
      <c r="H4609" s="6">
        <f>INT(Query1[[#This Row],[EntryDateTime]])</f>
        <v>44679</v>
      </c>
      <c r="I4609" s="1">
        <f>IF(Query1[[#This Row],[ItemType]]="EVAP KIT SF GEN IV",Query1[[#This Row],[OrderQty]]+I4608,I4608)</f>
        <v>5738</v>
      </c>
      <c r="J4609" s="1">
        <f>IF(Query1[[#This Row],[ItemType]]="EVAP KIT UNIVERSAL",Query1[[#This Row],[OrderQty]]+J4608,J4608)</f>
        <v>1842</v>
      </c>
      <c r="K4609" s="1">
        <f>Query1[[#This Row],[SF Running Total]]+Query1[[#This Row],[UNIV Running Total]]</f>
        <v>7580</v>
      </c>
      <c r="L4609">
        <f>VLOOKUP(Query1[[#This Row],[Description]],'kits to boards'!$B$2:$E$156,2,FALSE)</f>
        <v>830013</v>
      </c>
      <c r="M4609">
        <f>VLOOKUP(Query1[[#This Row],[Description]],'kits to boards'!$B$2:$E$156,3,FALSE)</f>
        <v>0</v>
      </c>
      <c r="N4609">
        <f>VLOOKUP(Query1[[#This Row],[Description]],'kits to boards'!$B$2:$E$156,4,FALSE)</f>
        <v>0</v>
      </c>
      <c r="O4609" t="str">
        <f>CONCATENATE(Query1[[#This Row],[Description]]," - ",Query1[[#This Row],[MB1]]," - ",Query1[[#This Row],[MB2]]," - ",Query1[[#This Row],[MB3]])</f>
        <v>EVAP KIT 67-72 CHEV P-UP W/AC - 830013 - 0 - 0</v>
      </c>
    </row>
    <row r="4610" spans="1:15" x14ac:dyDescent="0.25">
      <c r="A4610" s="1">
        <v>920626</v>
      </c>
      <c r="B4610" s="1" t="s">
        <v>158</v>
      </c>
      <c r="C4610" s="1" t="s">
        <v>159</v>
      </c>
      <c r="D4610" s="2">
        <v>44679.33171716435</v>
      </c>
      <c r="E4610" s="1" t="s">
        <v>8</v>
      </c>
      <c r="F4610" s="1">
        <v>1</v>
      </c>
      <c r="G4610" s="1">
        <v>0</v>
      </c>
      <c r="H4610" s="6">
        <f>INT(Query1[[#This Row],[EntryDateTime]])</f>
        <v>44679</v>
      </c>
      <c r="I4610" s="1">
        <f>IF(Query1[[#This Row],[ItemType]]="EVAP KIT SF GEN IV",Query1[[#This Row],[OrderQty]]+I4609,I4609)</f>
        <v>5739</v>
      </c>
      <c r="J4610" s="1">
        <f>IF(Query1[[#This Row],[ItemType]]="EVAP KIT UNIVERSAL",Query1[[#This Row],[OrderQty]]+J4609,J4609)</f>
        <v>1842</v>
      </c>
      <c r="K4610" s="1">
        <f>Query1[[#This Row],[SF Running Total]]+Query1[[#This Row],[UNIV Running Total]]</f>
        <v>7581</v>
      </c>
      <c r="L4610">
        <f>VLOOKUP(Query1[[#This Row],[Description]],'kits to boards'!$B$2:$E$156,2,FALSE)</f>
        <v>830080</v>
      </c>
      <c r="M4610">
        <f>VLOOKUP(Query1[[#This Row],[Description]],'kits to boards'!$B$2:$E$156,3,FALSE)</f>
        <v>830046</v>
      </c>
      <c r="N4610">
        <f>VLOOKUP(Query1[[#This Row],[Description]],'kits to boards'!$B$2:$E$156,4,FALSE)</f>
        <v>0</v>
      </c>
      <c r="O4610" t="str">
        <f>CONCATENATE(Query1[[#This Row],[Description]]," - ",Query1[[#This Row],[MB1]]," - ",Query1[[#This Row],[MB2]]," - ",Query1[[#This Row],[MB3]])</f>
        <v>EVAP KIT 69-70 MUSTANG W/AC  - 830080 - 830046 - 0</v>
      </c>
    </row>
    <row r="4611" spans="1:15" x14ac:dyDescent="0.25">
      <c r="A4611" s="1">
        <v>921541</v>
      </c>
      <c r="B4611" s="1" t="s">
        <v>124</v>
      </c>
      <c r="C4611" s="1" t="s">
        <v>125</v>
      </c>
      <c r="D4611" s="2">
        <v>44679.333133217595</v>
      </c>
      <c r="E4611" s="1" t="s">
        <v>8</v>
      </c>
      <c r="F4611" s="1">
        <v>1</v>
      </c>
      <c r="G4611" s="1">
        <v>0</v>
      </c>
      <c r="H4611" s="6">
        <f>INT(Query1[[#This Row],[EntryDateTime]])</f>
        <v>44679</v>
      </c>
      <c r="I4611" s="1">
        <f>IF(Query1[[#This Row],[ItemType]]="EVAP KIT SF GEN IV",Query1[[#This Row],[OrderQty]]+I4610,I4610)</f>
        <v>5740</v>
      </c>
      <c r="J4611" s="1">
        <f>IF(Query1[[#This Row],[ItemType]]="EVAP KIT UNIVERSAL",Query1[[#This Row],[OrderQty]]+J4610,J4610)</f>
        <v>1842</v>
      </c>
      <c r="K4611" s="1">
        <f>Query1[[#This Row],[SF Running Total]]+Query1[[#This Row],[UNIV Running Total]]</f>
        <v>7582</v>
      </c>
      <c r="L4611">
        <f>VLOOKUP(Query1[[#This Row],[Description]],'kits to boards'!$B$2:$E$156,2,FALSE)</f>
        <v>830002</v>
      </c>
      <c r="M4611">
        <f>VLOOKUP(Query1[[#This Row],[Description]],'kits to boards'!$B$2:$E$156,3,FALSE)</f>
        <v>0</v>
      </c>
      <c r="N4611">
        <f>VLOOKUP(Query1[[#This Row],[Description]],'kits to boards'!$B$2:$E$156,4,FALSE)</f>
        <v>0</v>
      </c>
      <c r="O4611" t="str">
        <f>CONCATENATE(Query1[[#This Row],[Description]]," - ",Query1[[#This Row],[MB1]]," - ",Query1[[#This Row],[MB2]]," - ",Query1[[#This Row],[MB3]])</f>
        <v>EVAP KIT 73-80 CHEV P-UP WO AC - 830002 - 0 - 0</v>
      </c>
    </row>
    <row r="4612" spans="1:15" x14ac:dyDescent="0.25">
      <c r="A4612" s="1">
        <v>921543</v>
      </c>
      <c r="B4612" s="1" t="s">
        <v>58</v>
      </c>
      <c r="C4612" s="1" t="s">
        <v>59</v>
      </c>
      <c r="D4612" s="2">
        <v>44679.337055821758</v>
      </c>
      <c r="E4612" s="1" t="s">
        <v>11</v>
      </c>
      <c r="F4612" s="1">
        <v>1</v>
      </c>
      <c r="G4612" s="1">
        <v>0</v>
      </c>
      <c r="H4612" s="6">
        <f>INT(Query1[[#This Row],[EntryDateTime]])</f>
        <v>44679</v>
      </c>
      <c r="I4612" s="1">
        <f>IF(Query1[[#This Row],[ItemType]]="EVAP KIT SF GEN IV",Query1[[#This Row],[OrderQty]]+I4611,I4611)</f>
        <v>5740</v>
      </c>
      <c r="J4612" s="1">
        <f>IF(Query1[[#This Row],[ItemType]]="EVAP KIT UNIVERSAL",Query1[[#This Row],[OrderQty]]+J4611,J4611)</f>
        <v>1843</v>
      </c>
      <c r="K4612" s="1">
        <f>Query1[[#This Row],[SF Running Total]]+Query1[[#This Row],[UNIV Running Total]]</f>
        <v>7583</v>
      </c>
      <c r="L4612">
        <f>VLOOKUP(Query1[[#This Row],[Description]],'kits to boards'!$B$2:$E$156,2,FALSE)</f>
        <v>830088</v>
      </c>
      <c r="M4612">
        <f>VLOOKUP(Query1[[#This Row],[Description]],'kits to boards'!$B$2:$E$156,3,FALSE)</f>
        <v>830099</v>
      </c>
      <c r="N4612">
        <f>VLOOKUP(Query1[[#This Row],[Description]],'kits to boards'!$B$2:$E$156,4,FALSE)</f>
        <v>0</v>
      </c>
      <c r="O4612" t="str">
        <f>CONCATENATE(Query1[[#This Row],[Description]]," - ",Query1[[#This Row],[MB1]]," - ",Query1[[#This Row],[MB2]]," - ",Query1[[#This Row],[MB3]])</f>
        <v>MONSTER TRUNK UNIT COOL - 830088 - 830099 - 0</v>
      </c>
    </row>
    <row r="4613" spans="1:15" x14ac:dyDescent="0.25">
      <c r="A4613" s="1">
        <v>921548</v>
      </c>
      <c r="B4613" s="1" t="s">
        <v>44</v>
      </c>
      <c r="C4613" s="1" t="s">
        <v>45</v>
      </c>
      <c r="D4613" s="2">
        <v>44679.34749591435</v>
      </c>
      <c r="E4613" s="1" t="s">
        <v>8</v>
      </c>
      <c r="F4613" s="1">
        <v>3</v>
      </c>
      <c r="G4613" s="1">
        <v>0</v>
      </c>
      <c r="H4613" s="6">
        <f>INT(Query1[[#This Row],[EntryDateTime]])</f>
        <v>44679</v>
      </c>
      <c r="I4613" s="1">
        <f>IF(Query1[[#This Row],[ItemType]]="EVAP KIT SF GEN IV",Query1[[#This Row],[OrderQty]]+I4612,I4612)</f>
        <v>5743</v>
      </c>
      <c r="J4613" s="1">
        <f>IF(Query1[[#This Row],[ItemType]]="EVAP KIT UNIVERSAL",Query1[[#This Row],[OrderQty]]+J4612,J4612)</f>
        <v>1843</v>
      </c>
      <c r="K4613" s="1">
        <f>Query1[[#This Row],[SF Running Total]]+Query1[[#This Row],[UNIV Running Total]]</f>
        <v>7586</v>
      </c>
      <c r="L4613">
        <f>VLOOKUP(Query1[[#This Row],[Description]],'kits to boards'!$B$2:$E$156,2,FALSE)</f>
        <v>830085</v>
      </c>
      <c r="M4613">
        <f>VLOOKUP(Query1[[#This Row],[Description]],'kits to boards'!$B$2:$E$156,3,FALSE)</f>
        <v>0</v>
      </c>
      <c r="N4613">
        <f>VLOOKUP(Query1[[#This Row],[Description]],'kits to boards'!$B$2:$E$156,4,FALSE)</f>
        <v>0</v>
      </c>
      <c r="O4613" t="str">
        <f>CONCATENATE(Query1[[#This Row],[Description]]," - ",Query1[[#This Row],[MB1]]," - ",Query1[[#This Row],[MB2]]," - ",Query1[[#This Row],[MB3]])</f>
        <v>EVAP KIT 66-77 BRONCO - 830085 - 0 - 0</v>
      </c>
    </row>
    <row r="4614" spans="1:15" x14ac:dyDescent="0.25">
      <c r="A4614" s="1">
        <v>921545</v>
      </c>
      <c r="B4614" s="1" t="s">
        <v>62</v>
      </c>
      <c r="C4614" s="1" t="s">
        <v>63</v>
      </c>
      <c r="D4614" s="2">
        <v>44679.358144444443</v>
      </c>
      <c r="E4614" s="1" t="s">
        <v>8</v>
      </c>
      <c r="F4614" s="1">
        <v>1</v>
      </c>
      <c r="G4614" s="1">
        <v>0</v>
      </c>
      <c r="H4614" s="6">
        <f>INT(Query1[[#This Row],[EntryDateTime]])</f>
        <v>44679</v>
      </c>
      <c r="I4614" s="1">
        <f>IF(Query1[[#This Row],[ItemType]]="EVAP KIT SF GEN IV",Query1[[#This Row],[OrderQty]]+I4613,I4613)</f>
        <v>5744</v>
      </c>
      <c r="J4614" s="1">
        <f>IF(Query1[[#This Row],[ItemType]]="EVAP KIT UNIVERSAL",Query1[[#This Row],[OrderQty]]+J4613,J4613)</f>
        <v>1843</v>
      </c>
      <c r="K4614" s="1">
        <f>Query1[[#This Row],[SF Running Total]]+Query1[[#This Row],[UNIV Running Total]]</f>
        <v>7587</v>
      </c>
      <c r="L4614">
        <f>VLOOKUP(Query1[[#This Row],[Description]],'kits to boards'!$B$2:$E$156,2,FALSE)</f>
        <v>830079</v>
      </c>
      <c r="M4614">
        <f>VLOOKUP(Query1[[#This Row],[Description]],'kits to boards'!$B$2:$E$156,3,FALSE)</f>
        <v>830046</v>
      </c>
      <c r="N4614">
        <f>VLOOKUP(Query1[[#This Row],[Description]],'kits to boards'!$B$2:$E$156,4,FALSE)</f>
        <v>0</v>
      </c>
      <c r="O4614" t="str">
        <f>CONCATENATE(Query1[[#This Row],[Description]]," - ",Query1[[#This Row],[MB1]]," - ",Query1[[#This Row],[MB2]]," - ",Query1[[#This Row],[MB3]])</f>
        <v>EVAP KIT 67-68 MUSTANG/COUGAR WO AC - 830079 - 830046 - 0</v>
      </c>
    </row>
    <row r="4615" spans="1:15" x14ac:dyDescent="0.25">
      <c r="A4615" s="1">
        <v>921545</v>
      </c>
      <c r="B4615" s="1" t="s">
        <v>30</v>
      </c>
      <c r="C4615" s="1" t="s">
        <v>31</v>
      </c>
      <c r="D4615" s="2">
        <v>44679.358617361111</v>
      </c>
      <c r="E4615" s="1" t="s">
        <v>8</v>
      </c>
      <c r="F4615" s="1">
        <v>2</v>
      </c>
      <c r="G4615" s="1">
        <v>0</v>
      </c>
      <c r="H4615" s="6">
        <f>INT(Query1[[#This Row],[EntryDateTime]])</f>
        <v>44679</v>
      </c>
      <c r="I4615" s="1">
        <f>IF(Query1[[#This Row],[ItemType]]="EVAP KIT SF GEN IV",Query1[[#This Row],[OrderQty]]+I4614,I4614)</f>
        <v>5746</v>
      </c>
      <c r="J4615" s="1">
        <f>IF(Query1[[#This Row],[ItemType]]="EVAP KIT UNIVERSAL",Query1[[#This Row],[OrderQty]]+J4614,J4614)</f>
        <v>1843</v>
      </c>
      <c r="K4615" s="1">
        <f>Query1[[#This Row],[SF Running Total]]+Query1[[#This Row],[UNIV Running Total]]</f>
        <v>7589</v>
      </c>
      <c r="L4615">
        <f>VLOOKUP(Query1[[#This Row],[Description]],'kits to boards'!$B$2:$E$156,2,FALSE)</f>
        <v>830054</v>
      </c>
      <c r="M4615">
        <f>VLOOKUP(Query1[[#This Row],[Description]],'kits to boards'!$B$2:$E$156,3,FALSE)</f>
        <v>0</v>
      </c>
      <c r="N4615">
        <f>VLOOKUP(Query1[[#This Row],[Description]],'kits to boards'!$B$2:$E$156,4,FALSE)</f>
        <v>0</v>
      </c>
      <c r="O4615" t="str">
        <f>CONCATENATE(Query1[[#This Row],[Description]]," - ",Query1[[#This Row],[MB1]]," - ",Query1[[#This Row],[MB2]]," - ",Query1[[#This Row],[MB3]])</f>
        <v>EVAP KIT 55-56 CHEVY 4-VENT - 830054 - 0 - 0</v>
      </c>
    </row>
    <row r="4616" spans="1:15" x14ac:dyDescent="0.25">
      <c r="A4616" s="1">
        <v>921545</v>
      </c>
      <c r="B4616" s="1" t="s">
        <v>54</v>
      </c>
      <c r="C4616" s="1" t="s">
        <v>55</v>
      </c>
      <c r="D4616" s="2">
        <v>44679.358993368056</v>
      </c>
      <c r="E4616" s="1" t="s">
        <v>8</v>
      </c>
      <c r="F4616" s="1">
        <v>1</v>
      </c>
      <c r="G4616" s="1">
        <v>0</v>
      </c>
      <c r="H4616" s="6">
        <f>INT(Query1[[#This Row],[EntryDateTime]])</f>
        <v>44679</v>
      </c>
      <c r="I4616" s="1">
        <f>IF(Query1[[#This Row],[ItemType]]="EVAP KIT SF GEN IV",Query1[[#This Row],[OrderQty]]+I4615,I4615)</f>
        <v>5747</v>
      </c>
      <c r="J4616" s="1">
        <f>IF(Query1[[#This Row],[ItemType]]="EVAP KIT UNIVERSAL",Query1[[#This Row],[OrderQty]]+J4615,J4615)</f>
        <v>1843</v>
      </c>
      <c r="K4616" s="1">
        <f>Query1[[#This Row],[SF Running Total]]+Query1[[#This Row],[UNIV Running Total]]</f>
        <v>7590</v>
      </c>
      <c r="L4616">
        <f>VLOOKUP(Query1[[#This Row],[Description]],'kits to boards'!$B$2:$E$156,2,FALSE)</f>
        <v>830037</v>
      </c>
      <c r="M4616">
        <f>VLOOKUP(Query1[[#This Row],[Description]],'kits to boards'!$B$2:$E$156,3,FALSE)</f>
        <v>0</v>
      </c>
      <c r="N4616">
        <f>VLOOKUP(Query1[[#This Row],[Description]],'kits to boards'!$B$2:$E$156,4,FALSE)</f>
        <v>0</v>
      </c>
      <c r="O4616" t="str">
        <f>CONCATENATE(Query1[[#This Row],[Description]]," - ",Query1[[#This Row],[MB1]]," - ",Query1[[#This Row],[MB2]]," - ",Query1[[#This Row],[MB3]])</f>
        <v>EVAP KIT 70-81 FIREBIRD W/AC - 830037 - 0 - 0</v>
      </c>
    </row>
    <row r="4617" spans="1:15" x14ac:dyDescent="0.25">
      <c r="A4617" s="1">
        <v>921545</v>
      </c>
      <c r="B4617" s="1" t="s">
        <v>76</v>
      </c>
      <c r="C4617" s="1" t="s">
        <v>77</v>
      </c>
      <c r="D4617" s="2">
        <v>44679.359622569442</v>
      </c>
      <c r="E4617" s="1" t="s">
        <v>11</v>
      </c>
      <c r="F4617" s="1">
        <v>2</v>
      </c>
      <c r="G4617" s="1">
        <v>0</v>
      </c>
      <c r="H4617" s="6">
        <f>INT(Query1[[#This Row],[EntryDateTime]])</f>
        <v>44679</v>
      </c>
      <c r="I4617" s="1">
        <f>IF(Query1[[#This Row],[ItemType]]="EVAP KIT SF GEN IV",Query1[[#This Row],[OrderQty]]+I4616,I4616)</f>
        <v>5747</v>
      </c>
      <c r="J4617" s="1">
        <f>IF(Query1[[#This Row],[ItemType]]="EVAP KIT UNIVERSAL",Query1[[#This Row],[OrderQty]]+J4616,J4616)</f>
        <v>1845</v>
      </c>
      <c r="K4617" s="1">
        <f>Query1[[#This Row],[SF Running Total]]+Query1[[#This Row],[UNIV Running Total]]</f>
        <v>7592</v>
      </c>
      <c r="L4617">
        <f>VLOOKUP(Query1[[#This Row],[Description]],'kits to boards'!$B$2:$E$156,2,FALSE)</f>
        <v>830099</v>
      </c>
      <c r="M4617">
        <f>VLOOKUP(Query1[[#This Row],[Description]],'kits to boards'!$B$2:$E$156,3,FALSE)</f>
        <v>0</v>
      </c>
      <c r="N4617">
        <f>VLOOKUP(Query1[[#This Row],[Description]],'kits to boards'!$B$2:$E$156,4,FALSE)</f>
        <v>0</v>
      </c>
      <c r="O4617" t="str">
        <f>CONCATENATE(Query1[[#This Row],[Description]]," - ",Query1[[#This Row],[MB1]]," - ",Query1[[#This Row],[MB2]]," - ",Query1[[#This Row],[MB3]])</f>
        <v>MINI GEN II H/C - 830099 - 0 - 0</v>
      </c>
    </row>
    <row r="4618" spans="1:15" x14ac:dyDescent="0.25">
      <c r="A4618" s="1">
        <v>921545</v>
      </c>
      <c r="B4618" s="1" t="s">
        <v>24</v>
      </c>
      <c r="C4618" s="1" t="s">
        <v>25</v>
      </c>
      <c r="D4618" s="2">
        <v>44679.360301701388</v>
      </c>
      <c r="E4618" s="1" t="s">
        <v>11</v>
      </c>
      <c r="F4618" s="1">
        <v>4</v>
      </c>
      <c r="G4618" s="1">
        <v>0</v>
      </c>
      <c r="H4618" s="6">
        <f>INT(Query1[[#This Row],[EntryDateTime]])</f>
        <v>44679</v>
      </c>
      <c r="I4618" s="1">
        <f>IF(Query1[[#This Row],[ItemType]]="EVAP KIT SF GEN IV",Query1[[#This Row],[OrderQty]]+I4617,I4617)</f>
        <v>5747</v>
      </c>
      <c r="J4618" s="1">
        <f>IF(Query1[[#This Row],[ItemType]]="EVAP KIT UNIVERSAL",Query1[[#This Row],[OrderQty]]+J4617,J4617)</f>
        <v>1849</v>
      </c>
      <c r="K4618" s="1">
        <f>Query1[[#This Row],[SF Running Total]]+Query1[[#This Row],[UNIV Running Total]]</f>
        <v>7596</v>
      </c>
      <c r="L4618">
        <f>VLOOKUP(Query1[[#This Row],[Description]],'kits to boards'!$B$2:$E$156,2,FALSE)</f>
        <v>830029</v>
      </c>
      <c r="M4618">
        <f>VLOOKUP(Query1[[#This Row],[Description]],'kits to boards'!$B$2:$E$156,3,FALSE)</f>
        <v>830030</v>
      </c>
      <c r="N4618">
        <f>VLOOKUP(Query1[[#This Row],[Description]],'kits to boards'!$B$2:$E$156,4,FALSE)</f>
        <v>0</v>
      </c>
      <c r="O4618" t="str">
        <f>CONCATENATE(Query1[[#This Row],[Description]]," - ",Query1[[#This Row],[MB1]]," - ",Query1[[#This Row],[MB2]]," - ",Query1[[#This Row],[MB3]])</f>
        <v>ComPac GEN II W/DEF - 830029 - 830030 - 0</v>
      </c>
    </row>
    <row r="4619" spans="1:15" x14ac:dyDescent="0.25">
      <c r="A4619" s="1">
        <v>921545</v>
      </c>
      <c r="B4619" s="1" t="s">
        <v>42</v>
      </c>
      <c r="C4619" s="1" t="s">
        <v>43</v>
      </c>
      <c r="D4619" s="2">
        <v>44679.360935335651</v>
      </c>
      <c r="E4619" s="1" t="s">
        <v>8</v>
      </c>
      <c r="F4619" s="1">
        <v>4</v>
      </c>
      <c r="G4619" s="1">
        <v>0</v>
      </c>
      <c r="H4619" s="6">
        <f>INT(Query1[[#This Row],[EntryDateTime]])</f>
        <v>44679</v>
      </c>
      <c r="I4619" s="1">
        <f>IF(Query1[[#This Row],[ItemType]]="EVAP KIT SF GEN IV",Query1[[#This Row],[OrderQty]]+I4618,I4618)</f>
        <v>5751</v>
      </c>
      <c r="J4619" s="1">
        <f>IF(Query1[[#This Row],[ItemType]]="EVAP KIT UNIVERSAL",Query1[[#This Row],[OrderQty]]+J4618,J4618)</f>
        <v>1849</v>
      </c>
      <c r="K4619" s="1">
        <f>Query1[[#This Row],[SF Running Total]]+Query1[[#This Row],[UNIV Running Total]]</f>
        <v>7600</v>
      </c>
      <c r="L4619">
        <f>VLOOKUP(Query1[[#This Row],[Description]],'kits to boards'!$B$2:$E$156,2,FALSE)</f>
        <v>830014</v>
      </c>
      <c r="M4619">
        <f>VLOOKUP(Query1[[#This Row],[Description]],'kits to boards'!$B$2:$E$156,3,FALSE)</f>
        <v>0</v>
      </c>
      <c r="N4619">
        <f>VLOOKUP(Query1[[#This Row],[Description]],'kits to boards'!$B$2:$E$156,4,FALSE)</f>
        <v>0</v>
      </c>
      <c r="O4619" t="str">
        <f>CONCATENATE(Query1[[#This Row],[Description]]," - ",Query1[[#This Row],[MB1]]," - ",Query1[[#This Row],[MB2]]," - ",Query1[[#This Row],[MB3]])</f>
        <v>EVAP KIT 67-72 CHEV P-UP WO AC - 830014 - 0 - 0</v>
      </c>
    </row>
    <row r="4620" spans="1:15" x14ac:dyDescent="0.25">
      <c r="A4620" s="1">
        <v>921545</v>
      </c>
      <c r="B4620" s="1" t="s">
        <v>26</v>
      </c>
      <c r="C4620" s="1" t="s">
        <v>27</v>
      </c>
      <c r="D4620" s="2">
        <v>44679.361377546295</v>
      </c>
      <c r="E4620" s="1" t="s">
        <v>8</v>
      </c>
      <c r="F4620" s="1">
        <v>1</v>
      </c>
      <c r="G4620" s="1">
        <v>0</v>
      </c>
      <c r="H4620" s="6">
        <f>INT(Query1[[#This Row],[EntryDateTime]])</f>
        <v>44679</v>
      </c>
      <c r="I4620" s="1">
        <f>IF(Query1[[#This Row],[ItemType]]="EVAP KIT SF GEN IV",Query1[[#This Row],[OrderQty]]+I4619,I4619)</f>
        <v>5752</v>
      </c>
      <c r="J4620" s="1">
        <f>IF(Query1[[#This Row],[ItemType]]="EVAP KIT UNIVERSAL",Query1[[#This Row],[OrderQty]]+J4619,J4619)</f>
        <v>1849</v>
      </c>
      <c r="K4620" s="1">
        <f>Query1[[#This Row],[SF Running Total]]+Query1[[#This Row],[UNIV Running Total]]</f>
        <v>7601</v>
      </c>
      <c r="L4620">
        <f>VLOOKUP(Query1[[#This Row],[Description]],'kits to boards'!$B$2:$E$156,2,FALSE)</f>
        <v>830013</v>
      </c>
      <c r="M4620">
        <f>VLOOKUP(Query1[[#This Row],[Description]],'kits to boards'!$B$2:$E$156,3,FALSE)</f>
        <v>0</v>
      </c>
      <c r="N4620">
        <f>VLOOKUP(Query1[[#This Row],[Description]],'kits to boards'!$B$2:$E$156,4,FALSE)</f>
        <v>0</v>
      </c>
      <c r="O4620" t="str">
        <f>CONCATENATE(Query1[[#This Row],[Description]]," - ",Query1[[#This Row],[MB1]]," - ",Query1[[#This Row],[MB2]]," - ",Query1[[#This Row],[MB3]])</f>
        <v>EVAP KIT 67-72 CHEV P-UP W/AC - 830013 - 0 - 0</v>
      </c>
    </row>
    <row r="4621" spans="1:15" x14ac:dyDescent="0.25">
      <c r="A4621" s="1">
        <v>921545</v>
      </c>
      <c r="B4621" s="1" t="s">
        <v>244</v>
      </c>
      <c r="C4621" s="1" t="s">
        <v>245</v>
      </c>
      <c r="D4621" s="2">
        <v>44679.362549386577</v>
      </c>
      <c r="E4621" s="1" t="s">
        <v>8</v>
      </c>
      <c r="F4621" s="1">
        <v>1</v>
      </c>
      <c r="G4621" s="1">
        <v>0</v>
      </c>
      <c r="H4621" s="6">
        <f>INT(Query1[[#This Row],[EntryDateTime]])</f>
        <v>44679</v>
      </c>
      <c r="I4621" s="1">
        <f>IF(Query1[[#This Row],[ItemType]]="EVAP KIT SF GEN IV",Query1[[#This Row],[OrderQty]]+I4620,I4620)</f>
        <v>5753</v>
      </c>
      <c r="J4621" s="1">
        <f>IF(Query1[[#This Row],[ItemType]]="EVAP KIT UNIVERSAL",Query1[[#This Row],[OrderQty]]+J4620,J4620)</f>
        <v>1849</v>
      </c>
      <c r="K4621" s="1">
        <f>Query1[[#This Row],[SF Running Total]]+Query1[[#This Row],[UNIV Running Total]]</f>
        <v>7602</v>
      </c>
      <c r="L4621">
        <f>VLOOKUP(Query1[[#This Row],[Description]],'kits to boards'!$B$2:$E$156,2,FALSE)</f>
        <v>830100</v>
      </c>
      <c r="M4621">
        <f>VLOOKUP(Query1[[#This Row],[Description]],'kits to boards'!$B$2:$E$156,3,FALSE)</f>
        <v>0</v>
      </c>
      <c r="N4621">
        <f>VLOOKUP(Query1[[#This Row],[Description]],'kits to boards'!$B$2:$E$156,4,FALSE)</f>
        <v>0</v>
      </c>
      <c r="O4621" t="str">
        <f>CONCATENATE(Query1[[#This Row],[Description]]," - ",Query1[[#This Row],[MB1]]," - ",Query1[[#This Row],[MB2]]," - ",Query1[[#This Row],[MB3]])</f>
        <v>EVAP KIT 68-76 VETTE WO AC - 830100 - 0 - 0</v>
      </c>
    </row>
    <row r="4622" spans="1:15" x14ac:dyDescent="0.25">
      <c r="A4622" s="1">
        <v>921554</v>
      </c>
      <c r="B4622" s="1" t="s">
        <v>46</v>
      </c>
      <c r="C4622" s="1" t="s">
        <v>47</v>
      </c>
      <c r="D4622" s="2">
        <v>44679.365536956022</v>
      </c>
      <c r="E4622" s="1" t="s">
        <v>8</v>
      </c>
      <c r="F4622" s="1">
        <v>1</v>
      </c>
      <c r="G4622" s="1">
        <v>0</v>
      </c>
      <c r="H4622" s="6">
        <f>INT(Query1[[#This Row],[EntryDateTime]])</f>
        <v>44679</v>
      </c>
      <c r="I4622" s="1">
        <f>IF(Query1[[#This Row],[ItemType]]="EVAP KIT SF GEN IV",Query1[[#This Row],[OrderQty]]+I4621,I4621)</f>
        <v>5754</v>
      </c>
      <c r="J4622" s="1">
        <f>IF(Query1[[#This Row],[ItemType]]="EVAP KIT UNIVERSAL",Query1[[#This Row],[OrderQty]]+J4621,J4621)</f>
        <v>1849</v>
      </c>
      <c r="K4622" s="1">
        <f>Query1[[#This Row],[SF Running Total]]+Query1[[#This Row],[UNIV Running Total]]</f>
        <v>7603</v>
      </c>
      <c r="L4622">
        <f>VLOOKUP(Query1[[#This Row],[Description]],'kits to boards'!$B$2:$E$156,2,FALSE)</f>
        <v>830018</v>
      </c>
      <c r="M4622">
        <f>VLOOKUP(Query1[[#This Row],[Description]],'kits to boards'!$B$2:$E$156,3,FALSE)</f>
        <v>0</v>
      </c>
      <c r="N4622">
        <f>VLOOKUP(Query1[[#This Row],[Description]],'kits to boards'!$B$2:$E$156,4,FALSE)</f>
        <v>0</v>
      </c>
      <c r="O4622" t="str">
        <f>CONCATENATE(Query1[[#This Row],[Description]]," - ",Query1[[#This Row],[MB1]]," - ",Query1[[#This Row],[MB2]]," - ",Query1[[#This Row],[MB3]])</f>
        <v>EVAP KIT 68-72 FORD P-UP F-100 - 830018 - 0 - 0</v>
      </c>
    </row>
    <row r="4623" spans="1:15" x14ac:dyDescent="0.25">
      <c r="A4623" s="1">
        <v>921555</v>
      </c>
      <c r="B4623" s="1" t="s">
        <v>68</v>
      </c>
      <c r="C4623" s="1" t="s">
        <v>69</v>
      </c>
      <c r="D4623" s="2">
        <v>44679.366589386576</v>
      </c>
      <c r="E4623" s="1" t="s">
        <v>8</v>
      </c>
      <c r="F4623" s="1">
        <v>1</v>
      </c>
      <c r="G4623" s="1">
        <v>0</v>
      </c>
      <c r="H4623" s="6">
        <f>INT(Query1[[#This Row],[EntryDateTime]])</f>
        <v>44679</v>
      </c>
      <c r="I4623" s="1">
        <f>IF(Query1[[#This Row],[ItemType]]="EVAP KIT SF GEN IV",Query1[[#This Row],[OrderQty]]+I4622,I4622)</f>
        <v>5755</v>
      </c>
      <c r="J4623" s="1">
        <f>IF(Query1[[#This Row],[ItemType]]="EVAP KIT UNIVERSAL",Query1[[#This Row],[OrderQty]]+J4622,J4622)</f>
        <v>1849</v>
      </c>
      <c r="K4623" s="1">
        <f>Query1[[#This Row],[SF Running Total]]+Query1[[#This Row],[UNIV Running Total]]</f>
        <v>7604</v>
      </c>
      <c r="L4623">
        <f>VLOOKUP(Query1[[#This Row],[Description]],'kits to boards'!$B$2:$E$156,2,FALSE)</f>
        <v>830010</v>
      </c>
      <c r="M4623">
        <f>VLOOKUP(Query1[[#This Row],[Description]],'kits to boards'!$B$2:$E$156,3,FALSE)</f>
        <v>0</v>
      </c>
      <c r="N4623">
        <f>VLOOKUP(Query1[[#This Row],[Description]],'kits to boards'!$B$2:$E$156,4,FALSE)</f>
        <v>0</v>
      </c>
      <c r="O4623" t="str">
        <f>CONCATENATE(Query1[[#This Row],[Description]]," - ",Query1[[#This Row],[MB1]]," - ",Query1[[#This Row],[MB2]]," - ",Query1[[#This Row],[MB3]])</f>
        <v>EVAP KIT 70-72 CHEVELLE WO AC - 830010 - 0 - 0</v>
      </c>
    </row>
    <row r="4624" spans="1:15" x14ac:dyDescent="0.25">
      <c r="A4624" s="1">
        <v>921556</v>
      </c>
      <c r="B4624" s="1" t="s">
        <v>14</v>
      </c>
      <c r="C4624" s="1" t="s">
        <v>15</v>
      </c>
      <c r="D4624" s="2">
        <v>44679.367646261577</v>
      </c>
      <c r="E4624" s="1" t="s">
        <v>8</v>
      </c>
      <c r="F4624" s="1">
        <v>1</v>
      </c>
      <c r="G4624" s="1">
        <v>0</v>
      </c>
      <c r="H4624" s="6">
        <f>INT(Query1[[#This Row],[EntryDateTime]])</f>
        <v>44679</v>
      </c>
      <c r="I4624" s="1">
        <f>IF(Query1[[#This Row],[ItemType]]="EVAP KIT SF GEN IV",Query1[[#This Row],[OrderQty]]+I4623,I4623)</f>
        <v>5756</v>
      </c>
      <c r="J4624" s="1">
        <f>IF(Query1[[#This Row],[ItemType]]="EVAP KIT UNIVERSAL",Query1[[#This Row],[OrderQty]]+J4623,J4623)</f>
        <v>1849</v>
      </c>
      <c r="K4624" s="1">
        <f>Query1[[#This Row],[SF Running Total]]+Query1[[#This Row],[UNIV Running Total]]</f>
        <v>7605</v>
      </c>
      <c r="L4624">
        <f>VLOOKUP(Query1[[#This Row],[Description]],'kits to boards'!$B$2:$E$156,2,FALSE)</f>
        <v>830054</v>
      </c>
      <c r="M4624">
        <f>VLOOKUP(Query1[[#This Row],[Description]],'kits to boards'!$B$2:$E$156,3,FALSE)</f>
        <v>0</v>
      </c>
      <c r="N4624">
        <f>VLOOKUP(Query1[[#This Row],[Description]],'kits to boards'!$B$2:$E$156,4,FALSE)</f>
        <v>0</v>
      </c>
      <c r="O4624" t="str">
        <f>CONCATENATE(Query1[[#This Row],[Description]]," - ",Query1[[#This Row],[MB1]]," - ",Query1[[#This Row],[MB2]]," - ",Query1[[#This Row],[MB3]])</f>
        <v>EVAP KIT 55-56 CHEVY - 830054 - 0 - 0</v>
      </c>
    </row>
    <row r="4625" spans="1:15" x14ac:dyDescent="0.25">
      <c r="A4625" s="1">
        <v>921558</v>
      </c>
      <c r="B4625" s="1" t="s">
        <v>54</v>
      </c>
      <c r="C4625" s="1" t="s">
        <v>55</v>
      </c>
      <c r="D4625" s="2">
        <v>44679.369343599537</v>
      </c>
      <c r="E4625" s="1" t="s">
        <v>8</v>
      </c>
      <c r="F4625" s="1">
        <v>1</v>
      </c>
      <c r="G4625" s="1">
        <v>0</v>
      </c>
      <c r="H4625" s="6">
        <f>INT(Query1[[#This Row],[EntryDateTime]])</f>
        <v>44679</v>
      </c>
      <c r="I4625" s="1">
        <f>IF(Query1[[#This Row],[ItemType]]="EVAP KIT SF GEN IV",Query1[[#This Row],[OrderQty]]+I4624,I4624)</f>
        <v>5757</v>
      </c>
      <c r="J4625" s="1">
        <f>IF(Query1[[#This Row],[ItemType]]="EVAP KIT UNIVERSAL",Query1[[#This Row],[OrderQty]]+J4624,J4624)</f>
        <v>1849</v>
      </c>
      <c r="K4625" s="1">
        <f>Query1[[#This Row],[SF Running Total]]+Query1[[#This Row],[UNIV Running Total]]</f>
        <v>7606</v>
      </c>
      <c r="L4625">
        <f>VLOOKUP(Query1[[#This Row],[Description]],'kits to boards'!$B$2:$E$156,2,FALSE)</f>
        <v>830037</v>
      </c>
      <c r="M4625">
        <f>VLOOKUP(Query1[[#This Row],[Description]],'kits to boards'!$B$2:$E$156,3,FALSE)</f>
        <v>0</v>
      </c>
      <c r="N4625">
        <f>VLOOKUP(Query1[[#This Row],[Description]],'kits to boards'!$B$2:$E$156,4,FALSE)</f>
        <v>0</v>
      </c>
      <c r="O4625" t="str">
        <f>CONCATENATE(Query1[[#This Row],[Description]]," - ",Query1[[#This Row],[MB1]]," - ",Query1[[#This Row],[MB2]]," - ",Query1[[#This Row],[MB3]])</f>
        <v>EVAP KIT 70-81 FIREBIRD W/AC - 830037 - 0 - 0</v>
      </c>
    </row>
    <row r="4626" spans="1:15" x14ac:dyDescent="0.25">
      <c r="A4626" s="1">
        <v>921559</v>
      </c>
      <c r="B4626" s="1" t="s">
        <v>54</v>
      </c>
      <c r="C4626" s="1" t="s">
        <v>55</v>
      </c>
      <c r="D4626" s="2">
        <v>44679.370275613423</v>
      </c>
      <c r="E4626" s="1" t="s">
        <v>8</v>
      </c>
      <c r="F4626" s="1">
        <v>1</v>
      </c>
      <c r="G4626" s="1">
        <v>0</v>
      </c>
      <c r="H4626" s="6">
        <f>INT(Query1[[#This Row],[EntryDateTime]])</f>
        <v>44679</v>
      </c>
      <c r="I4626" s="1">
        <f>IF(Query1[[#This Row],[ItemType]]="EVAP KIT SF GEN IV",Query1[[#This Row],[OrderQty]]+I4625,I4625)</f>
        <v>5758</v>
      </c>
      <c r="J4626" s="1">
        <f>IF(Query1[[#This Row],[ItemType]]="EVAP KIT UNIVERSAL",Query1[[#This Row],[OrderQty]]+J4625,J4625)</f>
        <v>1849</v>
      </c>
      <c r="K4626" s="1">
        <f>Query1[[#This Row],[SF Running Total]]+Query1[[#This Row],[UNIV Running Total]]</f>
        <v>7607</v>
      </c>
      <c r="L4626">
        <f>VLOOKUP(Query1[[#This Row],[Description]],'kits to boards'!$B$2:$E$156,2,FALSE)</f>
        <v>830037</v>
      </c>
      <c r="M4626">
        <f>VLOOKUP(Query1[[#This Row],[Description]],'kits to boards'!$B$2:$E$156,3,FALSE)</f>
        <v>0</v>
      </c>
      <c r="N4626">
        <f>VLOOKUP(Query1[[#This Row],[Description]],'kits to boards'!$B$2:$E$156,4,FALSE)</f>
        <v>0</v>
      </c>
      <c r="O4626" t="str">
        <f>CONCATENATE(Query1[[#This Row],[Description]]," - ",Query1[[#This Row],[MB1]]," - ",Query1[[#This Row],[MB2]]," - ",Query1[[#This Row],[MB3]])</f>
        <v>EVAP KIT 70-81 FIREBIRD W/AC - 830037 - 0 - 0</v>
      </c>
    </row>
    <row r="4627" spans="1:15" x14ac:dyDescent="0.25">
      <c r="A4627" s="1">
        <v>921560</v>
      </c>
      <c r="B4627" s="1" t="s">
        <v>54</v>
      </c>
      <c r="C4627" s="1" t="s">
        <v>55</v>
      </c>
      <c r="D4627" s="2">
        <v>44679.371181134258</v>
      </c>
      <c r="E4627" s="1" t="s">
        <v>8</v>
      </c>
      <c r="F4627" s="1">
        <v>1</v>
      </c>
      <c r="G4627" s="1">
        <v>0</v>
      </c>
      <c r="H4627" s="6">
        <f>INT(Query1[[#This Row],[EntryDateTime]])</f>
        <v>44679</v>
      </c>
      <c r="I4627" s="1">
        <f>IF(Query1[[#This Row],[ItemType]]="EVAP KIT SF GEN IV",Query1[[#This Row],[OrderQty]]+I4626,I4626)</f>
        <v>5759</v>
      </c>
      <c r="J4627" s="1">
        <f>IF(Query1[[#This Row],[ItemType]]="EVAP KIT UNIVERSAL",Query1[[#This Row],[OrderQty]]+J4626,J4626)</f>
        <v>1849</v>
      </c>
      <c r="K4627" s="1">
        <f>Query1[[#This Row],[SF Running Total]]+Query1[[#This Row],[UNIV Running Total]]</f>
        <v>7608</v>
      </c>
      <c r="L4627">
        <f>VLOOKUP(Query1[[#This Row],[Description]],'kits to boards'!$B$2:$E$156,2,FALSE)</f>
        <v>830037</v>
      </c>
      <c r="M4627">
        <f>VLOOKUP(Query1[[#This Row],[Description]],'kits to boards'!$B$2:$E$156,3,FALSE)</f>
        <v>0</v>
      </c>
      <c r="N4627">
        <f>VLOOKUP(Query1[[#This Row],[Description]],'kits to boards'!$B$2:$E$156,4,FALSE)</f>
        <v>0</v>
      </c>
      <c r="O4627" t="str">
        <f>CONCATENATE(Query1[[#This Row],[Description]]," - ",Query1[[#This Row],[MB1]]," - ",Query1[[#This Row],[MB2]]," - ",Query1[[#This Row],[MB3]])</f>
        <v>EVAP KIT 70-81 FIREBIRD W/AC - 830037 - 0 - 0</v>
      </c>
    </row>
    <row r="4628" spans="1:15" x14ac:dyDescent="0.25">
      <c r="A4628" s="1">
        <v>921562</v>
      </c>
      <c r="B4628" s="1" t="s">
        <v>160</v>
      </c>
      <c r="C4628" s="1" t="s">
        <v>161</v>
      </c>
      <c r="D4628" s="2">
        <v>44679.372301620373</v>
      </c>
      <c r="E4628" s="1" t="s">
        <v>8</v>
      </c>
      <c r="F4628" s="1">
        <v>1</v>
      </c>
      <c r="G4628" s="1">
        <v>0</v>
      </c>
      <c r="H4628" s="6">
        <f>INT(Query1[[#This Row],[EntryDateTime]])</f>
        <v>44679</v>
      </c>
      <c r="I4628" s="1">
        <f>IF(Query1[[#This Row],[ItemType]]="EVAP KIT SF GEN IV",Query1[[#This Row],[OrderQty]]+I4627,I4627)</f>
        <v>5760</v>
      </c>
      <c r="J4628" s="1">
        <f>IF(Query1[[#This Row],[ItemType]]="EVAP KIT UNIVERSAL",Query1[[#This Row],[OrderQty]]+J4627,J4627)</f>
        <v>1849</v>
      </c>
      <c r="K4628" s="1">
        <f>Query1[[#This Row],[SF Running Total]]+Query1[[#This Row],[UNIV Running Total]]</f>
        <v>7609</v>
      </c>
      <c r="L4628">
        <f>VLOOKUP(Query1[[#This Row],[Description]],'kits to boards'!$B$2:$E$156,2,FALSE)</f>
        <v>830083</v>
      </c>
      <c r="M4628">
        <f>VLOOKUP(Query1[[#This Row],[Description]],'kits to boards'!$B$2:$E$156,3,FALSE)</f>
        <v>0</v>
      </c>
      <c r="N4628">
        <f>VLOOKUP(Query1[[#This Row],[Description]],'kits to boards'!$B$2:$E$156,4,FALSE)</f>
        <v>0</v>
      </c>
      <c r="O4628" t="str">
        <f>CONCATENATE(Query1[[#This Row],[Description]]," - ",Query1[[#This Row],[MB1]]," - ",Query1[[#This Row],[MB2]]," - ",Query1[[#This Row],[MB3]])</f>
        <v>EVAP KIT 70-74 CHALNGR/CUDA WO AC - 830083 - 0 - 0</v>
      </c>
    </row>
    <row r="4629" spans="1:15" x14ac:dyDescent="0.25">
      <c r="A4629" s="1">
        <v>921563</v>
      </c>
      <c r="B4629" s="1" t="s">
        <v>160</v>
      </c>
      <c r="C4629" s="1" t="s">
        <v>161</v>
      </c>
      <c r="D4629" s="2">
        <v>44679.373478703703</v>
      </c>
      <c r="E4629" s="1" t="s">
        <v>8</v>
      </c>
      <c r="F4629" s="1">
        <v>1</v>
      </c>
      <c r="G4629" s="1">
        <v>0</v>
      </c>
      <c r="H4629" s="6">
        <f>INT(Query1[[#This Row],[EntryDateTime]])</f>
        <v>44679</v>
      </c>
      <c r="I4629" s="1">
        <f>IF(Query1[[#This Row],[ItemType]]="EVAP KIT SF GEN IV",Query1[[#This Row],[OrderQty]]+I4628,I4628)</f>
        <v>5761</v>
      </c>
      <c r="J4629" s="1">
        <f>IF(Query1[[#This Row],[ItemType]]="EVAP KIT UNIVERSAL",Query1[[#This Row],[OrderQty]]+J4628,J4628)</f>
        <v>1849</v>
      </c>
      <c r="K4629" s="1">
        <f>Query1[[#This Row],[SF Running Total]]+Query1[[#This Row],[UNIV Running Total]]</f>
        <v>7610</v>
      </c>
      <c r="L4629">
        <f>VLOOKUP(Query1[[#This Row],[Description]],'kits to boards'!$B$2:$E$156,2,FALSE)</f>
        <v>830083</v>
      </c>
      <c r="M4629">
        <f>VLOOKUP(Query1[[#This Row],[Description]],'kits to boards'!$B$2:$E$156,3,FALSE)</f>
        <v>0</v>
      </c>
      <c r="N4629">
        <f>VLOOKUP(Query1[[#This Row],[Description]],'kits to boards'!$B$2:$E$156,4,FALSE)</f>
        <v>0</v>
      </c>
      <c r="O4629" t="str">
        <f>CONCATENATE(Query1[[#This Row],[Description]]," - ",Query1[[#This Row],[MB1]]," - ",Query1[[#This Row],[MB2]]," - ",Query1[[#This Row],[MB3]])</f>
        <v>EVAP KIT 70-74 CHALNGR/CUDA WO AC - 830083 - 0 - 0</v>
      </c>
    </row>
    <row r="4630" spans="1:15" x14ac:dyDescent="0.25">
      <c r="A4630" s="1">
        <v>921564</v>
      </c>
      <c r="B4630" s="1" t="s">
        <v>42</v>
      </c>
      <c r="C4630" s="1" t="s">
        <v>43</v>
      </c>
      <c r="D4630" s="2">
        <v>44679.374487766203</v>
      </c>
      <c r="E4630" s="1" t="s">
        <v>8</v>
      </c>
      <c r="F4630" s="1">
        <v>1</v>
      </c>
      <c r="G4630" s="1">
        <v>0</v>
      </c>
      <c r="H4630" s="6">
        <f>INT(Query1[[#This Row],[EntryDateTime]])</f>
        <v>44679</v>
      </c>
      <c r="I4630" s="1">
        <f>IF(Query1[[#This Row],[ItemType]]="EVAP KIT SF GEN IV",Query1[[#This Row],[OrderQty]]+I4629,I4629)</f>
        <v>5762</v>
      </c>
      <c r="J4630" s="1">
        <f>IF(Query1[[#This Row],[ItemType]]="EVAP KIT UNIVERSAL",Query1[[#This Row],[OrderQty]]+J4629,J4629)</f>
        <v>1849</v>
      </c>
      <c r="K4630" s="1">
        <f>Query1[[#This Row],[SF Running Total]]+Query1[[#This Row],[UNIV Running Total]]</f>
        <v>7611</v>
      </c>
      <c r="L4630">
        <f>VLOOKUP(Query1[[#This Row],[Description]],'kits to boards'!$B$2:$E$156,2,FALSE)</f>
        <v>830014</v>
      </c>
      <c r="M4630">
        <f>VLOOKUP(Query1[[#This Row],[Description]],'kits to boards'!$B$2:$E$156,3,FALSE)</f>
        <v>0</v>
      </c>
      <c r="N4630">
        <f>VLOOKUP(Query1[[#This Row],[Description]],'kits to boards'!$B$2:$E$156,4,FALSE)</f>
        <v>0</v>
      </c>
      <c r="O4630" t="str">
        <f>CONCATENATE(Query1[[#This Row],[Description]]," - ",Query1[[#This Row],[MB1]]," - ",Query1[[#This Row],[MB2]]," - ",Query1[[#This Row],[MB3]])</f>
        <v>EVAP KIT 67-72 CHEV P-UP WO AC - 830014 - 0 - 0</v>
      </c>
    </row>
    <row r="4631" spans="1:15" x14ac:dyDescent="0.25">
      <c r="A4631" s="1">
        <v>921565</v>
      </c>
      <c r="B4631" s="1" t="s">
        <v>42</v>
      </c>
      <c r="C4631" s="1" t="s">
        <v>43</v>
      </c>
      <c r="D4631" s="2">
        <v>44679.375494131942</v>
      </c>
      <c r="E4631" s="1" t="s">
        <v>8</v>
      </c>
      <c r="F4631" s="1">
        <v>1</v>
      </c>
      <c r="G4631" s="1">
        <v>0</v>
      </c>
      <c r="H4631" s="6">
        <f>INT(Query1[[#This Row],[EntryDateTime]])</f>
        <v>44679</v>
      </c>
      <c r="I4631" s="1">
        <f>IF(Query1[[#This Row],[ItemType]]="EVAP KIT SF GEN IV",Query1[[#This Row],[OrderQty]]+I4630,I4630)</f>
        <v>5763</v>
      </c>
      <c r="J4631" s="1">
        <f>IF(Query1[[#This Row],[ItemType]]="EVAP KIT UNIVERSAL",Query1[[#This Row],[OrderQty]]+J4630,J4630)</f>
        <v>1849</v>
      </c>
      <c r="K4631" s="1">
        <f>Query1[[#This Row],[SF Running Total]]+Query1[[#This Row],[UNIV Running Total]]</f>
        <v>7612</v>
      </c>
      <c r="L4631">
        <f>VLOOKUP(Query1[[#This Row],[Description]],'kits to boards'!$B$2:$E$156,2,FALSE)</f>
        <v>830014</v>
      </c>
      <c r="M4631">
        <f>VLOOKUP(Query1[[#This Row],[Description]],'kits to boards'!$B$2:$E$156,3,FALSE)</f>
        <v>0</v>
      </c>
      <c r="N4631">
        <f>VLOOKUP(Query1[[#This Row],[Description]],'kits to boards'!$B$2:$E$156,4,FALSE)</f>
        <v>0</v>
      </c>
      <c r="O4631" t="str">
        <f>CONCATENATE(Query1[[#This Row],[Description]]," - ",Query1[[#This Row],[MB1]]," - ",Query1[[#This Row],[MB2]]," - ",Query1[[#This Row],[MB3]])</f>
        <v>EVAP KIT 67-72 CHEV P-UP WO AC - 830014 - 0 - 0</v>
      </c>
    </row>
    <row r="4632" spans="1:15" x14ac:dyDescent="0.25">
      <c r="A4632" s="1">
        <v>921567</v>
      </c>
      <c r="B4632" s="1" t="s">
        <v>42</v>
      </c>
      <c r="C4632" s="1" t="s">
        <v>43</v>
      </c>
      <c r="D4632" s="2">
        <v>44679.376490821756</v>
      </c>
      <c r="E4632" s="1" t="s">
        <v>8</v>
      </c>
      <c r="F4632" s="1">
        <v>1</v>
      </c>
      <c r="G4632" s="1">
        <v>0</v>
      </c>
      <c r="H4632" s="6">
        <f>INT(Query1[[#This Row],[EntryDateTime]])</f>
        <v>44679</v>
      </c>
      <c r="I4632" s="1">
        <f>IF(Query1[[#This Row],[ItemType]]="EVAP KIT SF GEN IV",Query1[[#This Row],[OrderQty]]+I4631,I4631)</f>
        <v>5764</v>
      </c>
      <c r="J4632" s="1">
        <f>IF(Query1[[#This Row],[ItemType]]="EVAP KIT UNIVERSAL",Query1[[#This Row],[OrderQty]]+J4631,J4631)</f>
        <v>1849</v>
      </c>
      <c r="K4632" s="1">
        <f>Query1[[#This Row],[SF Running Total]]+Query1[[#This Row],[UNIV Running Total]]</f>
        <v>7613</v>
      </c>
      <c r="L4632">
        <f>VLOOKUP(Query1[[#This Row],[Description]],'kits to boards'!$B$2:$E$156,2,FALSE)</f>
        <v>830014</v>
      </c>
      <c r="M4632">
        <f>VLOOKUP(Query1[[#This Row],[Description]],'kits to boards'!$B$2:$E$156,3,FALSE)</f>
        <v>0</v>
      </c>
      <c r="N4632">
        <f>VLOOKUP(Query1[[#This Row],[Description]],'kits to boards'!$B$2:$E$156,4,FALSE)</f>
        <v>0</v>
      </c>
      <c r="O4632" t="str">
        <f>CONCATENATE(Query1[[#This Row],[Description]]," - ",Query1[[#This Row],[MB1]]," - ",Query1[[#This Row],[MB2]]," - ",Query1[[#This Row],[MB3]])</f>
        <v>EVAP KIT 67-72 CHEV P-UP WO AC - 830014 - 0 - 0</v>
      </c>
    </row>
    <row r="4633" spans="1:15" x14ac:dyDescent="0.25">
      <c r="A4633" s="1">
        <v>921568</v>
      </c>
      <c r="B4633" s="1" t="s">
        <v>120</v>
      </c>
      <c r="C4633" s="1" t="s">
        <v>121</v>
      </c>
      <c r="D4633" s="2">
        <v>44679.377422141202</v>
      </c>
      <c r="E4633" s="1" t="s">
        <v>8</v>
      </c>
      <c r="F4633" s="1">
        <v>1</v>
      </c>
      <c r="G4633" s="1">
        <v>0</v>
      </c>
      <c r="H4633" s="6">
        <f>INT(Query1[[#This Row],[EntryDateTime]])</f>
        <v>44679</v>
      </c>
      <c r="I4633" s="1">
        <f>IF(Query1[[#This Row],[ItemType]]="EVAP KIT SF GEN IV",Query1[[#This Row],[OrderQty]]+I4632,I4632)</f>
        <v>5765</v>
      </c>
      <c r="J4633" s="1">
        <f>IF(Query1[[#This Row],[ItemType]]="EVAP KIT UNIVERSAL",Query1[[#This Row],[OrderQty]]+J4632,J4632)</f>
        <v>1849</v>
      </c>
      <c r="K4633" s="1">
        <f>Query1[[#This Row],[SF Running Total]]+Query1[[#This Row],[UNIV Running Total]]</f>
        <v>7614</v>
      </c>
      <c r="L4633">
        <f>VLOOKUP(Query1[[#This Row],[Description]],'kits to boards'!$B$2:$E$156,2,FALSE)</f>
        <v>830014</v>
      </c>
      <c r="M4633">
        <f>VLOOKUP(Query1[[#This Row],[Description]],'kits to boards'!$B$2:$E$156,3,FALSE)</f>
        <v>0</v>
      </c>
      <c r="N4633">
        <f>VLOOKUP(Query1[[#This Row],[Description]],'kits to boards'!$B$2:$E$156,4,FALSE)</f>
        <v>0</v>
      </c>
      <c r="O4633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4634" spans="1:15" x14ac:dyDescent="0.25">
      <c r="A4634" s="1">
        <v>921569</v>
      </c>
      <c r="B4634" s="1" t="s">
        <v>120</v>
      </c>
      <c r="C4634" s="1" t="s">
        <v>121</v>
      </c>
      <c r="D4634" s="2">
        <v>44679.37852445602</v>
      </c>
      <c r="E4634" s="1" t="s">
        <v>8</v>
      </c>
      <c r="F4634" s="1">
        <v>1</v>
      </c>
      <c r="G4634" s="1">
        <v>0</v>
      </c>
      <c r="H4634" s="6">
        <f>INT(Query1[[#This Row],[EntryDateTime]])</f>
        <v>44679</v>
      </c>
      <c r="I4634" s="1">
        <f>IF(Query1[[#This Row],[ItemType]]="EVAP KIT SF GEN IV",Query1[[#This Row],[OrderQty]]+I4633,I4633)</f>
        <v>5766</v>
      </c>
      <c r="J4634" s="1">
        <f>IF(Query1[[#This Row],[ItemType]]="EVAP KIT UNIVERSAL",Query1[[#This Row],[OrderQty]]+J4633,J4633)</f>
        <v>1849</v>
      </c>
      <c r="K4634" s="1">
        <f>Query1[[#This Row],[SF Running Total]]+Query1[[#This Row],[UNIV Running Total]]</f>
        <v>7615</v>
      </c>
      <c r="L4634">
        <f>VLOOKUP(Query1[[#This Row],[Description]],'kits to boards'!$B$2:$E$156,2,FALSE)</f>
        <v>830014</v>
      </c>
      <c r="M4634">
        <f>VLOOKUP(Query1[[#This Row],[Description]],'kits to boards'!$B$2:$E$156,3,FALSE)</f>
        <v>0</v>
      </c>
      <c r="N4634">
        <f>VLOOKUP(Query1[[#This Row],[Description]],'kits to boards'!$B$2:$E$156,4,FALSE)</f>
        <v>0</v>
      </c>
      <c r="O4634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4635" spans="1:15" x14ac:dyDescent="0.25">
      <c r="A4635" s="1">
        <v>921570</v>
      </c>
      <c r="B4635" s="1" t="s">
        <v>66</v>
      </c>
      <c r="C4635" s="1" t="s">
        <v>67</v>
      </c>
      <c r="D4635" s="2">
        <v>44679.379486111109</v>
      </c>
      <c r="E4635" s="1" t="s">
        <v>8</v>
      </c>
      <c r="F4635" s="1">
        <v>1</v>
      </c>
      <c r="G4635" s="1">
        <v>0</v>
      </c>
      <c r="H4635" s="6">
        <f>INT(Query1[[#This Row],[EntryDateTime]])</f>
        <v>44679</v>
      </c>
      <c r="I4635" s="1">
        <f>IF(Query1[[#This Row],[ItemType]]="EVAP KIT SF GEN IV",Query1[[#This Row],[OrderQty]]+I4634,I4634)</f>
        <v>5767</v>
      </c>
      <c r="J4635" s="1">
        <f>IF(Query1[[#This Row],[ItemType]]="EVAP KIT UNIVERSAL",Query1[[#This Row],[OrderQty]]+J4634,J4634)</f>
        <v>1849</v>
      </c>
      <c r="K4635" s="1">
        <f>Query1[[#This Row],[SF Running Total]]+Query1[[#This Row],[UNIV Running Total]]</f>
        <v>7616</v>
      </c>
      <c r="L4635">
        <f>VLOOKUP(Query1[[#This Row],[Description]],'kits to boards'!$B$2:$E$156,2,FALSE)</f>
        <v>830060</v>
      </c>
      <c r="M4635">
        <f>VLOOKUP(Query1[[#This Row],[Description]],'kits to boards'!$B$2:$E$156,3,FALSE)</f>
        <v>0</v>
      </c>
      <c r="N4635">
        <f>VLOOKUP(Query1[[#This Row],[Description]],'kits to boards'!$B$2:$E$156,4,FALSE)</f>
        <v>0</v>
      </c>
      <c r="O4635" t="str">
        <f>CONCATENATE(Query1[[#This Row],[Description]]," - ",Query1[[#This Row],[MB1]]," - ",Query1[[#This Row],[MB2]]," - ",Query1[[#This Row],[MB3]])</f>
        <v>EVAP KIT 66-67 CHEVELLE WO AC - 830060 - 0 - 0</v>
      </c>
    </row>
    <row r="4636" spans="1:15" x14ac:dyDescent="0.25">
      <c r="A4636" s="1">
        <v>921571</v>
      </c>
      <c r="B4636" s="1" t="s">
        <v>52</v>
      </c>
      <c r="C4636" s="1" t="s">
        <v>53</v>
      </c>
      <c r="D4636" s="2">
        <v>44679.380518206017</v>
      </c>
      <c r="E4636" s="1" t="s">
        <v>8</v>
      </c>
      <c r="F4636" s="1">
        <v>1</v>
      </c>
      <c r="G4636" s="1">
        <v>0</v>
      </c>
      <c r="H4636" s="6">
        <f>INT(Query1[[#This Row],[EntryDateTime]])</f>
        <v>44679</v>
      </c>
      <c r="I4636" s="1">
        <f>IF(Query1[[#This Row],[ItemType]]="EVAP KIT SF GEN IV",Query1[[#This Row],[OrderQty]]+I4635,I4635)</f>
        <v>5768</v>
      </c>
      <c r="J4636" s="1">
        <f>IF(Query1[[#This Row],[ItemType]]="EVAP KIT UNIVERSAL",Query1[[#This Row],[OrderQty]]+J4635,J4635)</f>
        <v>1849</v>
      </c>
      <c r="K4636" s="1">
        <f>Query1[[#This Row],[SF Running Total]]+Query1[[#This Row],[UNIV Running Total]]</f>
        <v>7617</v>
      </c>
      <c r="L4636">
        <f>VLOOKUP(Query1[[#This Row],[Description]],'kits to boards'!$B$2:$E$156,2,FALSE)</f>
        <v>830017</v>
      </c>
      <c r="M4636">
        <f>VLOOKUP(Query1[[#This Row],[Description]],'kits to boards'!$B$2:$E$156,3,FALSE)</f>
        <v>830119</v>
      </c>
      <c r="N4636">
        <f>VLOOKUP(Query1[[#This Row],[Description]],'kits to boards'!$B$2:$E$156,4,FALSE)</f>
        <v>830120</v>
      </c>
      <c r="O4636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4637" spans="1:15" x14ac:dyDescent="0.25">
      <c r="A4637" s="1">
        <v>921573</v>
      </c>
      <c r="B4637" s="1" t="s">
        <v>52</v>
      </c>
      <c r="C4637" s="1" t="s">
        <v>53</v>
      </c>
      <c r="D4637" s="2">
        <v>44679.381410069444</v>
      </c>
      <c r="E4637" s="1" t="s">
        <v>8</v>
      </c>
      <c r="F4637" s="1">
        <v>1</v>
      </c>
      <c r="G4637" s="1">
        <v>0</v>
      </c>
      <c r="H4637" s="6">
        <f>INT(Query1[[#This Row],[EntryDateTime]])</f>
        <v>44679</v>
      </c>
      <c r="I4637" s="1">
        <f>IF(Query1[[#This Row],[ItemType]]="EVAP KIT SF GEN IV",Query1[[#This Row],[OrderQty]]+I4636,I4636)</f>
        <v>5769</v>
      </c>
      <c r="J4637" s="1">
        <f>IF(Query1[[#This Row],[ItemType]]="EVAP KIT UNIVERSAL",Query1[[#This Row],[OrderQty]]+J4636,J4636)</f>
        <v>1849</v>
      </c>
      <c r="K4637" s="1">
        <f>Query1[[#This Row],[SF Running Total]]+Query1[[#This Row],[UNIV Running Total]]</f>
        <v>7618</v>
      </c>
      <c r="L4637">
        <f>VLOOKUP(Query1[[#This Row],[Description]],'kits to boards'!$B$2:$E$156,2,FALSE)</f>
        <v>830017</v>
      </c>
      <c r="M4637">
        <f>VLOOKUP(Query1[[#This Row],[Description]],'kits to boards'!$B$2:$E$156,3,FALSE)</f>
        <v>830119</v>
      </c>
      <c r="N4637">
        <f>VLOOKUP(Query1[[#This Row],[Description]],'kits to boards'!$B$2:$E$156,4,FALSE)</f>
        <v>830120</v>
      </c>
      <c r="O4637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4638" spans="1:15" x14ac:dyDescent="0.25">
      <c r="A4638" s="1">
        <v>921574</v>
      </c>
      <c r="B4638" s="1" t="s">
        <v>156</v>
      </c>
      <c r="C4638" s="1" t="s">
        <v>157</v>
      </c>
      <c r="D4638" s="2">
        <v>44679.393307835649</v>
      </c>
      <c r="E4638" s="1" t="s">
        <v>8</v>
      </c>
      <c r="F4638" s="1">
        <v>1</v>
      </c>
      <c r="G4638" s="1">
        <v>0</v>
      </c>
      <c r="H4638" s="6">
        <f>INT(Query1[[#This Row],[EntryDateTime]])</f>
        <v>44679</v>
      </c>
      <c r="I4638" s="1">
        <f>IF(Query1[[#This Row],[ItemType]]="EVAP KIT SF GEN IV",Query1[[#This Row],[OrderQty]]+I4637,I4637)</f>
        <v>5770</v>
      </c>
      <c r="J4638" s="1">
        <f>IF(Query1[[#This Row],[ItemType]]="EVAP KIT UNIVERSAL",Query1[[#This Row],[OrderQty]]+J4637,J4637)</f>
        <v>1849</v>
      </c>
      <c r="K4638" s="1">
        <f>Query1[[#This Row],[SF Running Total]]+Query1[[#This Row],[UNIV Running Total]]</f>
        <v>7619</v>
      </c>
      <c r="L4638">
        <f>VLOOKUP(Query1[[#This Row],[Description]],'kits to boards'!$B$2:$E$156,2,FALSE)</f>
        <v>830019</v>
      </c>
      <c r="M4638">
        <f>VLOOKUP(Query1[[#This Row],[Description]],'kits to boards'!$B$2:$E$156,3,FALSE)</f>
        <v>0</v>
      </c>
      <c r="N4638">
        <f>VLOOKUP(Query1[[#This Row],[Description]],'kits to boards'!$B$2:$E$156,4,FALSE)</f>
        <v>0</v>
      </c>
      <c r="O4638" t="str">
        <f>CONCATENATE(Query1[[#This Row],[Description]]," - ",Query1[[#This Row],[MB1]]," - ",Query1[[#This Row],[MB2]]," - ",Query1[[#This Row],[MB3]])</f>
        <v>EVAP KIT 70-81 FIREBIRD WO AC - 830019 - 0 - 0</v>
      </c>
    </row>
    <row r="4639" spans="1:15" x14ac:dyDescent="0.25">
      <c r="A4639" s="1">
        <v>921576</v>
      </c>
      <c r="B4639" s="1" t="s">
        <v>118</v>
      </c>
      <c r="C4639" s="1" t="s">
        <v>119</v>
      </c>
      <c r="D4639" s="2">
        <v>44679.396486226855</v>
      </c>
      <c r="E4639" s="1" t="s">
        <v>11</v>
      </c>
      <c r="F4639" s="1">
        <v>6</v>
      </c>
      <c r="G4639" s="1">
        <v>0</v>
      </c>
      <c r="H4639" s="6">
        <f>INT(Query1[[#This Row],[EntryDateTime]])</f>
        <v>44679</v>
      </c>
      <c r="I4639" s="1">
        <f>IF(Query1[[#This Row],[ItemType]]="EVAP KIT SF GEN IV",Query1[[#This Row],[OrderQty]]+I4638,I4638)</f>
        <v>5770</v>
      </c>
      <c r="J4639" s="1">
        <f>IF(Query1[[#This Row],[ItemType]]="EVAP KIT UNIVERSAL",Query1[[#This Row],[OrderQty]]+J4638,J4638)</f>
        <v>1855</v>
      </c>
      <c r="K4639" s="1">
        <f>Query1[[#This Row],[SF Running Total]]+Query1[[#This Row],[UNIV Running Total]]</f>
        <v>7625</v>
      </c>
      <c r="L4639">
        <f>VLOOKUP(Query1[[#This Row],[Description]],'kits to boards'!$B$2:$E$156,2,FALSE)</f>
        <v>830069</v>
      </c>
      <c r="M4639">
        <f>VLOOKUP(Query1[[#This Row],[Description]],'kits to boards'!$B$2:$E$156,3,FALSE)</f>
        <v>0</v>
      </c>
      <c r="N4639">
        <f>VLOOKUP(Query1[[#This Row],[Description]],'kits to boards'!$B$2:$E$156,4,FALSE)</f>
        <v>0</v>
      </c>
      <c r="O4639" t="str">
        <f>CONCATENATE(Query1[[#This Row],[Description]]," - ",Query1[[#This Row],[MB1]]," - ",Query1[[#This Row],[MB2]]," - ",Query1[[#This Row],[MB3]])</f>
        <v>SLIMLINE H/C W/DEF BLK LOUVER - 830069 - 0 - 0</v>
      </c>
    </row>
    <row r="4640" spans="1:15" x14ac:dyDescent="0.25">
      <c r="A4640" s="1">
        <v>921223</v>
      </c>
      <c r="B4640" s="1" t="s">
        <v>170</v>
      </c>
      <c r="C4640" s="1" t="s">
        <v>171</v>
      </c>
      <c r="D4640" s="2">
        <v>44679.398489618055</v>
      </c>
      <c r="E4640" s="1" t="s">
        <v>8</v>
      </c>
      <c r="F4640" s="1">
        <v>1</v>
      </c>
      <c r="G4640" s="1">
        <v>0</v>
      </c>
      <c r="H4640" s="6">
        <f>INT(Query1[[#This Row],[EntryDateTime]])</f>
        <v>44679</v>
      </c>
      <c r="I4640" s="1">
        <f>IF(Query1[[#This Row],[ItemType]]="EVAP KIT SF GEN IV",Query1[[#This Row],[OrderQty]]+I4639,I4639)</f>
        <v>5771</v>
      </c>
      <c r="J4640" s="1">
        <f>IF(Query1[[#This Row],[ItemType]]="EVAP KIT UNIVERSAL",Query1[[#This Row],[OrderQty]]+J4639,J4639)</f>
        <v>1855</v>
      </c>
      <c r="K4640" s="1">
        <f>Query1[[#This Row],[SF Running Total]]+Query1[[#This Row],[UNIV Running Total]]</f>
        <v>7626</v>
      </c>
      <c r="L4640">
        <f>VLOOKUP(Query1[[#This Row],[Description]],'kits to boards'!$B$2:$E$156,2,FALSE)</f>
        <v>830018</v>
      </c>
      <c r="M4640">
        <f>VLOOKUP(Query1[[#This Row],[Description]],'kits to boards'!$B$2:$E$156,3,FALSE)</f>
        <v>0</v>
      </c>
      <c r="N4640">
        <f>VLOOKUP(Query1[[#This Row],[Description]],'kits to boards'!$B$2:$E$156,4,FALSE)</f>
        <v>0</v>
      </c>
      <c r="O4640" t="str">
        <f>CONCATENATE(Query1[[#This Row],[Description]]," - ",Query1[[#This Row],[MB1]]," - ",Query1[[#This Row],[MB2]]," - ",Query1[[#This Row],[MB3]])</f>
        <v>EVAP KIT 67 FORD P-UP F-100 - 830018 - 0 - 0</v>
      </c>
    </row>
    <row r="4641" spans="1:15" x14ac:dyDescent="0.25">
      <c r="A4641" s="1">
        <v>921578</v>
      </c>
      <c r="B4641" s="1" t="s">
        <v>54</v>
      </c>
      <c r="C4641" s="1" t="s">
        <v>55</v>
      </c>
      <c r="D4641" s="2">
        <v>44679.398677928242</v>
      </c>
      <c r="E4641" s="1" t="s">
        <v>8</v>
      </c>
      <c r="F4641" s="1">
        <v>1</v>
      </c>
      <c r="G4641" s="1">
        <v>0</v>
      </c>
      <c r="H4641" s="6">
        <f>INT(Query1[[#This Row],[EntryDateTime]])</f>
        <v>44679</v>
      </c>
      <c r="I4641" s="1">
        <f>IF(Query1[[#This Row],[ItemType]]="EVAP KIT SF GEN IV",Query1[[#This Row],[OrderQty]]+I4640,I4640)</f>
        <v>5772</v>
      </c>
      <c r="J4641" s="1">
        <f>IF(Query1[[#This Row],[ItemType]]="EVAP KIT UNIVERSAL",Query1[[#This Row],[OrderQty]]+J4640,J4640)</f>
        <v>1855</v>
      </c>
      <c r="K4641" s="1">
        <f>Query1[[#This Row],[SF Running Total]]+Query1[[#This Row],[UNIV Running Total]]</f>
        <v>7627</v>
      </c>
      <c r="L4641">
        <f>VLOOKUP(Query1[[#This Row],[Description]],'kits to boards'!$B$2:$E$156,2,FALSE)</f>
        <v>830037</v>
      </c>
      <c r="M4641">
        <f>VLOOKUP(Query1[[#This Row],[Description]],'kits to boards'!$B$2:$E$156,3,FALSE)</f>
        <v>0</v>
      </c>
      <c r="N4641">
        <f>VLOOKUP(Query1[[#This Row],[Description]],'kits to boards'!$B$2:$E$156,4,FALSE)</f>
        <v>0</v>
      </c>
      <c r="O4641" t="str">
        <f>CONCATENATE(Query1[[#This Row],[Description]]," - ",Query1[[#This Row],[MB1]]," - ",Query1[[#This Row],[MB2]]," - ",Query1[[#This Row],[MB3]])</f>
        <v>EVAP KIT 70-81 FIREBIRD W/AC - 830037 - 0 - 0</v>
      </c>
    </row>
    <row r="4642" spans="1:15" x14ac:dyDescent="0.25">
      <c r="A4642" s="1">
        <v>918141</v>
      </c>
      <c r="B4642" s="1" t="s">
        <v>94</v>
      </c>
      <c r="C4642" s="1" t="s">
        <v>95</v>
      </c>
      <c r="D4642" s="2">
        <v>44679.403224155096</v>
      </c>
      <c r="E4642" s="1" t="s">
        <v>8</v>
      </c>
      <c r="F4642" s="1">
        <v>1</v>
      </c>
      <c r="G4642" s="1">
        <v>0</v>
      </c>
      <c r="H4642" s="6">
        <f>INT(Query1[[#This Row],[EntryDateTime]])</f>
        <v>44679</v>
      </c>
      <c r="I4642" s="1">
        <f>IF(Query1[[#This Row],[ItemType]]="EVAP KIT SF GEN IV",Query1[[#This Row],[OrderQty]]+I4641,I4641)</f>
        <v>5773</v>
      </c>
      <c r="J4642" s="1">
        <f>IF(Query1[[#This Row],[ItemType]]="EVAP KIT UNIVERSAL",Query1[[#This Row],[OrderQty]]+J4641,J4641)</f>
        <v>1855</v>
      </c>
      <c r="K4642" s="1">
        <f>Query1[[#This Row],[SF Running Total]]+Query1[[#This Row],[UNIV Running Total]]</f>
        <v>7628</v>
      </c>
      <c r="L4642">
        <f>VLOOKUP(Query1[[#This Row],[Description]],'kits to boards'!$B$2:$E$156,2,FALSE)</f>
        <v>830076</v>
      </c>
      <c r="M4642">
        <f>VLOOKUP(Query1[[#This Row],[Description]],'kits to boards'!$B$2:$E$156,3,FALSE)</f>
        <v>0</v>
      </c>
      <c r="N4642">
        <f>VLOOKUP(Query1[[#This Row],[Description]],'kits to boards'!$B$2:$E$156,4,FALSE)</f>
        <v>0</v>
      </c>
      <c r="O4642" t="str">
        <f>CONCATENATE(Query1[[#This Row],[Description]]," - ",Query1[[#This Row],[MB1]]," - ",Query1[[#This Row],[MB2]]," - ",Query1[[#This Row],[MB3]])</f>
        <v>EVAP KIT 64 1/2- 66 MUSTANG  - 830076 - 0 - 0</v>
      </c>
    </row>
    <row r="4643" spans="1:15" x14ac:dyDescent="0.25">
      <c r="A4643" s="1">
        <v>921592</v>
      </c>
      <c r="B4643" s="1" t="s">
        <v>90</v>
      </c>
      <c r="C4643" s="1" t="s">
        <v>91</v>
      </c>
      <c r="D4643" s="2">
        <v>44679.428054710646</v>
      </c>
      <c r="E4643" s="1" t="s">
        <v>8</v>
      </c>
      <c r="F4643" s="1">
        <v>1</v>
      </c>
      <c r="G4643" s="1">
        <v>0</v>
      </c>
      <c r="H4643" s="6">
        <f>INT(Query1[[#This Row],[EntryDateTime]])</f>
        <v>44679</v>
      </c>
      <c r="I4643" s="1">
        <f>IF(Query1[[#This Row],[ItemType]]="EVAP KIT SF GEN IV",Query1[[#This Row],[OrderQty]]+I4642,I4642)</f>
        <v>5774</v>
      </c>
      <c r="J4643" s="1">
        <f>IF(Query1[[#This Row],[ItemType]]="EVAP KIT UNIVERSAL",Query1[[#This Row],[OrderQty]]+J4642,J4642)</f>
        <v>1855</v>
      </c>
      <c r="K4643" s="1">
        <f>Query1[[#This Row],[SF Running Total]]+Query1[[#This Row],[UNIV Running Total]]</f>
        <v>7629</v>
      </c>
      <c r="L4643">
        <f>VLOOKUP(Query1[[#This Row],[Description]],'kits to boards'!$B$2:$E$156,2,FALSE)</f>
        <v>830105</v>
      </c>
      <c r="M4643">
        <f>VLOOKUP(Query1[[#This Row],[Description]],'kits to boards'!$B$2:$E$156,3,FALSE)</f>
        <v>830106</v>
      </c>
      <c r="N4643">
        <f>VLOOKUP(Query1[[#This Row],[Description]],'kits to boards'!$B$2:$E$156,4,FALSE)</f>
        <v>0</v>
      </c>
      <c r="O4643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4644" spans="1:15" x14ac:dyDescent="0.25">
      <c r="A4644" s="1">
        <v>921594</v>
      </c>
      <c r="B4644" s="1" t="s">
        <v>102</v>
      </c>
      <c r="C4644" s="1" t="s">
        <v>103</v>
      </c>
      <c r="D4644" s="2">
        <v>44679.428598495368</v>
      </c>
      <c r="E4644" s="1" t="s">
        <v>8</v>
      </c>
      <c r="F4644" s="1">
        <v>1</v>
      </c>
      <c r="G4644" s="1">
        <v>0</v>
      </c>
      <c r="H4644" s="6">
        <f>INT(Query1[[#This Row],[EntryDateTime]])</f>
        <v>44679</v>
      </c>
      <c r="I4644" s="1">
        <f>IF(Query1[[#This Row],[ItemType]]="EVAP KIT SF GEN IV",Query1[[#This Row],[OrderQty]]+I4643,I4643)</f>
        <v>5775</v>
      </c>
      <c r="J4644" s="1">
        <f>IF(Query1[[#This Row],[ItemType]]="EVAP KIT UNIVERSAL",Query1[[#This Row],[OrderQty]]+J4643,J4643)</f>
        <v>1855</v>
      </c>
      <c r="K4644" s="1">
        <f>Query1[[#This Row],[SF Running Total]]+Query1[[#This Row],[UNIV Running Total]]</f>
        <v>7630</v>
      </c>
      <c r="L4644">
        <f>VLOOKUP(Query1[[#This Row],[Description]],'kits to boards'!$B$2:$E$156,2,FALSE)</f>
        <v>830012</v>
      </c>
      <c r="M4644">
        <f>VLOOKUP(Query1[[#This Row],[Description]],'kits to boards'!$B$2:$E$156,3,FALSE)</f>
        <v>0</v>
      </c>
      <c r="N4644">
        <f>VLOOKUP(Query1[[#This Row],[Description]],'kits to boards'!$B$2:$E$156,4,FALSE)</f>
        <v>0</v>
      </c>
      <c r="O4644" t="str">
        <f>CONCATENATE(Query1[[#This Row],[Description]]," - ",Query1[[#This Row],[MB1]]," - ",Query1[[#This Row],[MB2]]," - ",Query1[[#This Row],[MB3]])</f>
        <v>EVAP KIT 69 CAMARO WO/AC - 830012 - 0 - 0</v>
      </c>
    </row>
    <row r="4645" spans="1:15" x14ac:dyDescent="0.25">
      <c r="A4645" s="1">
        <v>921597</v>
      </c>
      <c r="B4645" s="1" t="s">
        <v>134</v>
      </c>
      <c r="C4645" s="1" t="s">
        <v>135</v>
      </c>
      <c r="D4645" s="2">
        <v>44679.429974340281</v>
      </c>
      <c r="E4645" s="1" t="s">
        <v>8</v>
      </c>
      <c r="F4645" s="1">
        <v>1</v>
      </c>
      <c r="G4645" s="1">
        <v>0</v>
      </c>
      <c r="H4645" s="6">
        <f>INT(Query1[[#This Row],[EntryDateTime]])</f>
        <v>44679</v>
      </c>
      <c r="I4645" s="1">
        <f>IF(Query1[[#This Row],[ItemType]]="EVAP KIT SF GEN IV",Query1[[#This Row],[OrderQty]]+I4644,I4644)</f>
        <v>5776</v>
      </c>
      <c r="J4645" s="1">
        <f>IF(Query1[[#This Row],[ItemType]]="EVAP KIT UNIVERSAL",Query1[[#This Row],[OrderQty]]+J4644,J4644)</f>
        <v>1855</v>
      </c>
      <c r="K4645" s="1">
        <f>Query1[[#This Row],[SF Running Total]]+Query1[[#This Row],[UNIV Running Total]]</f>
        <v>7631</v>
      </c>
      <c r="L4645">
        <f>VLOOKUP(Query1[[#This Row],[Description]],'kits to boards'!$B$2:$E$156,2,FALSE)</f>
        <v>830007</v>
      </c>
      <c r="M4645">
        <f>VLOOKUP(Query1[[#This Row],[Description]],'kits to boards'!$B$2:$E$156,3,FALSE)</f>
        <v>0</v>
      </c>
      <c r="N4645">
        <f>VLOOKUP(Query1[[#This Row],[Description]],'kits to boards'!$B$2:$E$156,4,FALSE)</f>
        <v>0</v>
      </c>
      <c r="O4645" t="str">
        <f>CONCATENATE(Query1[[#This Row],[Description]]," - ",Query1[[#This Row],[MB1]]," - ",Query1[[#This Row],[MB2]]," - ",Query1[[#This Row],[MB3]])</f>
        <v>EVAP KIT 64 IMPALA WO AC - 830007 - 0 - 0</v>
      </c>
    </row>
    <row r="4646" spans="1:15" x14ac:dyDescent="0.25">
      <c r="A4646" s="1">
        <v>921599</v>
      </c>
      <c r="B4646" s="1" t="s">
        <v>52</v>
      </c>
      <c r="C4646" s="1" t="s">
        <v>53</v>
      </c>
      <c r="D4646" s="2">
        <v>44679.436801469907</v>
      </c>
      <c r="E4646" s="1" t="s">
        <v>8</v>
      </c>
      <c r="F4646" s="1">
        <v>1</v>
      </c>
      <c r="G4646" s="1">
        <v>0</v>
      </c>
      <c r="H4646" s="6">
        <f>INT(Query1[[#This Row],[EntryDateTime]])</f>
        <v>44679</v>
      </c>
      <c r="I4646" s="1">
        <f>IF(Query1[[#This Row],[ItemType]]="EVAP KIT SF GEN IV",Query1[[#This Row],[OrderQty]]+I4645,I4645)</f>
        <v>5777</v>
      </c>
      <c r="J4646" s="1">
        <f>IF(Query1[[#This Row],[ItemType]]="EVAP KIT UNIVERSAL",Query1[[#This Row],[OrderQty]]+J4645,J4645)</f>
        <v>1855</v>
      </c>
      <c r="K4646" s="1">
        <f>Query1[[#This Row],[SF Running Total]]+Query1[[#This Row],[UNIV Running Total]]</f>
        <v>7632</v>
      </c>
      <c r="L4646">
        <f>VLOOKUP(Query1[[#This Row],[Description]],'kits to boards'!$B$2:$E$156,2,FALSE)</f>
        <v>830017</v>
      </c>
      <c r="M4646">
        <f>VLOOKUP(Query1[[#This Row],[Description]],'kits to boards'!$B$2:$E$156,3,FALSE)</f>
        <v>830119</v>
      </c>
      <c r="N4646">
        <f>VLOOKUP(Query1[[#This Row],[Description]],'kits to boards'!$B$2:$E$156,4,FALSE)</f>
        <v>830120</v>
      </c>
      <c r="O4646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4647" spans="1:15" x14ac:dyDescent="0.25">
      <c r="A4647" s="1">
        <v>918891</v>
      </c>
      <c r="B4647" s="1" t="s">
        <v>122</v>
      </c>
      <c r="C4647" s="1" t="s">
        <v>123</v>
      </c>
      <c r="D4647" s="2">
        <v>44679.437409178237</v>
      </c>
      <c r="E4647" s="1" t="s">
        <v>8</v>
      </c>
      <c r="F4647" s="1">
        <v>1</v>
      </c>
      <c r="G4647" s="1">
        <v>0</v>
      </c>
      <c r="H4647" s="6">
        <f>INT(Query1[[#This Row],[EntryDateTime]])</f>
        <v>44679</v>
      </c>
      <c r="I4647" s="1">
        <f>IF(Query1[[#This Row],[ItemType]]="EVAP KIT SF GEN IV",Query1[[#This Row],[OrderQty]]+I4646,I4646)</f>
        <v>5778</v>
      </c>
      <c r="J4647" s="1">
        <f>IF(Query1[[#This Row],[ItemType]]="EVAP KIT UNIVERSAL",Query1[[#This Row],[OrderQty]]+J4646,J4646)</f>
        <v>1855</v>
      </c>
      <c r="K4647" s="1">
        <f>Query1[[#This Row],[SF Running Total]]+Query1[[#This Row],[UNIV Running Total]]</f>
        <v>7633</v>
      </c>
      <c r="L4647">
        <f>VLOOKUP(Query1[[#This Row],[Description]],'kits to boards'!$B$2:$E$156,2,FALSE)</f>
        <v>830027</v>
      </c>
      <c r="M4647">
        <f>VLOOKUP(Query1[[#This Row],[Description]],'kits to boards'!$B$2:$E$156,3,FALSE)</f>
        <v>0</v>
      </c>
      <c r="N4647">
        <f>VLOOKUP(Query1[[#This Row],[Description]],'kits to boards'!$B$2:$E$156,4,FALSE)</f>
        <v>0</v>
      </c>
      <c r="O4647" t="str">
        <f>CONCATENATE(Query1[[#This Row],[Description]]," - ",Query1[[#This Row],[MB1]]," - ",Query1[[#This Row],[MB2]]," - ",Query1[[#This Row],[MB3]])</f>
        <v>EVAP KIT 70-72 CUTLASS W/AC - 830027 - 0 - 0</v>
      </c>
    </row>
    <row r="4648" spans="1:15" x14ac:dyDescent="0.25">
      <c r="A4648" s="1">
        <v>921606</v>
      </c>
      <c r="B4648" s="1" t="s">
        <v>236</v>
      </c>
      <c r="C4648" s="1" t="s">
        <v>237</v>
      </c>
      <c r="D4648" s="2">
        <v>44679.452220949075</v>
      </c>
      <c r="E4648" s="1" t="s">
        <v>8</v>
      </c>
      <c r="F4648" s="1">
        <v>1</v>
      </c>
      <c r="G4648" s="1">
        <v>0</v>
      </c>
      <c r="H4648" s="6">
        <f>INT(Query1[[#This Row],[EntryDateTime]])</f>
        <v>44679</v>
      </c>
      <c r="I4648" s="1">
        <f>IF(Query1[[#This Row],[ItemType]]="EVAP KIT SF GEN IV",Query1[[#This Row],[OrderQty]]+I4647,I4647)</f>
        <v>5779</v>
      </c>
      <c r="J4648" s="1">
        <f>IF(Query1[[#This Row],[ItemType]]="EVAP KIT UNIVERSAL",Query1[[#This Row],[OrderQty]]+J4647,J4647)</f>
        <v>1855</v>
      </c>
      <c r="K4648" s="1">
        <f>Query1[[#This Row],[SF Running Total]]+Query1[[#This Row],[UNIV Running Total]]</f>
        <v>7634</v>
      </c>
      <c r="L4648">
        <f>VLOOKUP(Query1[[#This Row],[Description]],'kits to boards'!$B$2:$E$156,2,FALSE)</f>
        <v>830026</v>
      </c>
      <c r="M4648">
        <f>VLOOKUP(Query1[[#This Row],[Description]],'kits to boards'!$B$2:$E$156,3,FALSE)</f>
        <v>0</v>
      </c>
      <c r="N4648">
        <f>VLOOKUP(Query1[[#This Row],[Description]],'kits to boards'!$B$2:$E$156,4,FALSE)</f>
        <v>0</v>
      </c>
      <c r="O4648" t="str">
        <f>CONCATENATE(Query1[[#This Row],[Description]]," - ",Query1[[#This Row],[MB1]]," - ",Query1[[#This Row],[MB2]]," - ",Query1[[#This Row],[MB3]])</f>
        <v>EVAP KIT 70-72 CUTLASS WO AC - 830026 - 0 - 0</v>
      </c>
    </row>
    <row r="4649" spans="1:15" x14ac:dyDescent="0.25">
      <c r="A4649" s="1">
        <v>921611</v>
      </c>
      <c r="B4649" s="1" t="s">
        <v>184</v>
      </c>
      <c r="C4649" s="1" t="s">
        <v>185</v>
      </c>
      <c r="D4649" s="2">
        <v>44679.466791354163</v>
      </c>
      <c r="E4649" s="1" t="s">
        <v>8</v>
      </c>
      <c r="F4649" s="1">
        <v>1</v>
      </c>
      <c r="G4649" s="1">
        <v>0</v>
      </c>
      <c r="H4649" s="6">
        <f>INT(Query1[[#This Row],[EntryDateTime]])</f>
        <v>44679</v>
      </c>
      <c r="I4649" s="1">
        <f>IF(Query1[[#This Row],[ItemType]]="EVAP KIT SF GEN IV",Query1[[#This Row],[OrderQty]]+I4648,I4648)</f>
        <v>5780</v>
      </c>
      <c r="J4649" s="1">
        <f>IF(Query1[[#This Row],[ItemType]]="EVAP KIT UNIVERSAL",Query1[[#This Row],[OrderQty]]+J4648,J4648)</f>
        <v>1855</v>
      </c>
      <c r="K4649" s="1">
        <f>Query1[[#This Row],[SF Running Total]]+Query1[[#This Row],[UNIV Running Total]]</f>
        <v>7635</v>
      </c>
      <c r="L4649">
        <f>VLOOKUP(Query1[[#This Row],[Description]],'kits to boards'!$B$2:$E$156,2,FALSE)</f>
        <v>830042</v>
      </c>
      <c r="M4649">
        <f>VLOOKUP(Query1[[#This Row],[Description]],'kits to boards'!$B$2:$E$156,3,FALSE)</f>
        <v>0</v>
      </c>
      <c r="N4649">
        <f>VLOOKUP(Query1[[#This Row],[Description]],'kits to boards'!$B$2:$E$156,4,FALSE)</f>
        <v>0</v>
      </c>
      <c r="O4649" t="str">
        <f>CONCATENATE(Query1[[#This Row],[Description]]," - ",Query1[[#This Row],[MB1]]," - ",Query1[[#This Row],[MB2]]," - ",Query1[[#This Row],[MB3]])</f>
        <v>EVAP KIT 68-83 TOYOTA FJ40 - 830042 - 0 - 0</v>
      </c>
    </row>
    <row r="4650" spans="1:15" x14ac:dyDescent="0.25">
      <c r="A4650" s="1">
        <v>921615</v>
      </c>
      <c r="B4650" s="1" t="s">
        <v>226</v>
      </c>
      <c r="C4650" s="1" t="s">
        <v>227</v>
      </c>
      <c r="D4650" s="2">
        <v>44679.477294525466</v>
      </c>
      <c r="E4650" s="1" t="s">
        <v>8</v>
      </c>
      <c r="F4650" s="1">
        <v>1</v>
      </c>
      <c r="G4650" s="1">
        <v>0</v>
      </c>
      <c r="H4650" s="6">
        <f>INT(Query1[[#This Row],[EntryDateTime]])</f>
        <v>44679</v>
      </c>
      <c r="I4650" s="1">
        <f>IF(Query1[[#This Row],[ItemType]]="EVAP KIT SF GEN IV",Query1[[#This Row],[OrderQty]]+I4649,I4649)</f>
        <v>5781</v>
      </c>
      <c r="J4650" s="1">
        <f>IF(Query1[[#This Row],[ItemType]]="EVAP KIT UNIVERSAL",Query1[[#This Row],[OrderQty]]+J4649,J4649)</f>
        <v>1855</v>
      </c>
      <c r="K4650" s="1">
        <f>Query1[[#This Row],[SF Running Total]]+Query1[[#This Row],[UNIV Running Total]]</f>
        <v>7636</v>
      </c>
      <c r="L4650">
        <f>VLOOKUP(Query1[[#This Row],[Description]],'kits to boards'!$B$2:$E$156,2,FALSE)</f>
        <v>830124</v>
      </c>
      <c r="M4650">
        <f>VLOOKUP(Query1[[#This Row],[Description]],'kits to boards'!$B$2:$E$156,3,FALSE)</f>
        <v>0</v>
      </c>
      <c r="N4650">
        <f>VLOOKUP(Query1[[#This Row],[Description]],'kits to boards'!$B$2:$E$156,4,FALSE)</f>
        <v>0</v>
      </c>
      <c r="O4650" t="str">
        <f>CONCATENATE(Query1[[#This Row],[Description]]," - ",Query1[[#This Row],[MB1]]," - ",Query1[[#This Row],[MB2]]," - ",Query1[[#This Row],[MB3]])</f>
        <v>EVAP KIT 70-72 GTO W/AC - 830124 - 0 - 0</v>
      </c>
    </row>
    <row r="4651" spans="1:15" x14ac:dyDescent="0.25">
      <c r="A4651" s="1">
        <v>921620</v>
      </c>
      <c r="B4651" s="1" t="s">
        <v>122</v>
      </c>
      <c r="C4651" s="1" t="s">
        <v>123</v>
      </c>
      <c r="D4651" s="2">
        <v>44679.501333020831</v>
      </c>
      <c r="E4651" s="1" t="s">
        <v>8</v>
      </c>
      <c r="F4651" s="1">
        <v>1</v>
      </c>
      <c r="G4651" s="1">
        <v>0</v>
      </c>
      <c r="H4651" s="6">
        <f>INT(Query1[[#This Row],[EntryDateTime]])</f>
        <v>44679</v>
      </c>
      <c r="I4651" s="1">
        <f>IF(Query1[[#This Row],[ItemType]]="EVAP KIT SF GEN IV",Query1[[#This Row],[OrderQty]]+I4650,I4650)</f>
        <v>5782</v>
      </c>
      <c r="J4651" s="1">
        <f>IF(Query1[[#This Row],[ItemType]]="EVAP KIT UNIVERSAL",Query1[[#This Row],[OrderQty]]+J4650,J4650)</f>
        <v>1855</v>
      </c>
      <c r="K4651" s="1">
        <f>Query1[[#This Row],[SF Running Total]]+Query1[[#This Row],[UNIV Running Total]]</f>
        <v>7637</v>
      </c>
      <c r="L4651">
        <f>VLOOKUP(Query1[[#This Row],[Description]],'kits to boards'!$B$2:$E$156,2,FALSE)</f>
        <v>830027</v>
      </c>
      <c r="M4651">
        <f>VLOOKUP(Query1[[#This Row],[Description]],'kits to boards'!$B$2:$E$156,3,FALSE)</f>
        <v>0</v>
      </c>
      <c r="N4651">
        <f>VLOOKUP(Query1[[#This Row],[Description]],'kits to boards'!$B$2:$E$156,4,FALSE)</f>
        <v>0</v>
      </c>
      <c r="O4651" t="str">
        <f>CONCATENATE(Query1[[#This Row],[Description]]," - ",Query1[[#This Row],[MB1]]," - ",Query1[[#This Row],[MB2]]," - ",Query1[[#This Row],[MB3]])</f>
        <v>EVAP KIT 70-72 CUTLASS W/AC - 830027 - 0 - 0</v>
      </c>
    </row>
    <row r="4652" spans="1:15" x14ac:dyDescent="0.25">
      <c r="A4652" s="1">
        <v>921630</v>
      </c>
      <c r="B4652" s="1" t="s">
        <v>22</v>
      </c>
      <c r="C4652" s="1" t="s">
        <v>23</v>
      </c>
      <c r="D4652" s="2">
        <v>44679.517328437498</v>
      </c>
      <c r="E4652" s="1" t="s">
        <v>8</v>
      </c>
      <c r="F4652" s="1">
        <v>1</v>
      </c>
      <c r="G4652" s="1">
        <v>0</v>
      </c>
      <c r="H4652" s="6">
        <f>INT(Query1[[#This Row],[EntryDateTime]])</f>
        <v>44679</v>
      </c>
      <c r="I4652" s="1">
        <f>IF(Query1[[#This Row],[ItemType]]="EVAP KIT SF GEN IV",Query1[[#This Row],[OrderQty]]+I4651,I4651)</f>
        <v>5783</v>
      </c>
      <c r="J4652" s="1">
        <f>IF(Query1[[#This Row],[ItemType]]="EVAP KIT UNIVERSAL",Query1[[#This Row],[OrderQty]]+J4651,J4651)</f>
        <v>1855</v>
      </c>
      <c r="K4652" s="1">
        <f>Query1[[#This Row],[SF Running Total]]+Query1[[#This Row],[UNIV Running Total]]</f>
        <v>7638</v>
      </c>
      <c r="L4652">
        <f>VLOOKUP(Query1[[#This Row],[Description]],'kits to boards'!$B$2:$E$156,2,FALSE)</f>
        <v>830083</v>
      </c>
      <c r="M4652">
        <f>VLOOKUP(Query1[[#This Row],[Description]],'kits to boards'!$B$2:$E$156,3,FALSE)</f>
        <v>0</v>
      </c>
      <c r="N4652">
        <f>VLOOKUP(Query1[[#This Row],[Description]],'kits to boards'!$B$2:$E$156,4,FALSE)</f>
        <v>0</v>
      </c>
      <c r="O4652" t="str">
        <f>CONCATENATE(Query1[[#This Row],[Description]]," - ",Query1[[#This Row],[MB1]]," - ",Query1[[#This Row],[MB2]]," - ",Query1[[#This Row],[MB3]])</f>
        <v>GEN IV MAGNUM EVAP KIT - 830083 - 0 - 0</v>
      </c>
    </row>
    <row r="4653" spans="1:15" x14ac:dyDescent="0.25">
      <c r="A4653" s="1">
        <v>921631</v>
      </c>
      <c r="B4653" s="1" t="s">
        <v>148</v>
      </c>
      <c r="C4653" s="1" t="s">
        <v>149</v>
      </c>
      <c r="D4653" s="2">
        <v>44679.517735185182</v>
      </c>
      <c r="E4653" s="1" t="s">
        <v>8</v>
      </c>
      <c r="F4653" s="1">
        <v>1</v>
      </c>
      <c r="G4653" s="1">
        <v>0</v>
      </c>
      <c r="H4653" s="6">
        <f>INT(Query1[[#This Row],[EntryDateTime]])</f>
        <v>44679</v>
      </c>
      <c r="I4653" s="1">
        <f>IF(Query1[[#This Row],[ItemType]]="EVAP KIT SF GEN IV",Query1[[#This Row],[OrderQty]]+I4652,I4652)</f>
        <v>5784</v>
      </c>
      <c r="J4653" s="1">
        <f>IF(Query1[[#This Row],[ItemType]]="EVAP KIT UNIVERSAL",Query1[[#This Row],[OrderQty]]+J4652,J4652)</f>
        <v>1855</v>
      </c>
      <c r="K4653" s="1">
        <f>Query1[[#This Row],[SF Running Total]]+Query1[[#This Row],[UNIV Running Total]]</f>
        <v>7639</v>
      </c>
      <c r="L4653">
        <f>VLOOKUP(Query1[[#This Row],[Description]],'kits to boards'!$B$2:$E$156,2,FALSE)</f>
        <v>830098</v>
      </c>
      <c r="M4653">
        <f>VLOOKUP(Query1[[#This Row],[Description]],'kits to boards'!$B$2:$E$156,3,FALSE)</f>
        <v>0</v>
      </c>
      <c r="N4653">
        <f>VLOOKUP(Query1[[#This Row],[Description]],'kits to boards'!$B$2:$E$156,4,FALSE)</f>
        <v>0</v>
      </c>
      <c r="O4653" t="str">
        <f>CONCATENATE(Query1[[#This Row],[Description]]," - ",Query1[[#This Row],[MB1]]," - ",Query1[[#This Row],[MB2]]," - ",Query1[[#This Row],[MB3]])</f>
        <v>EVAP KIT 77 VETTE W/AC - 830098 - 0 - 0</v>
      </c>
    </row>
    <row r="4654" spans="1:15" x14ac:dyDescent="0.25">
      <c r="A4654" s="1">
        <v>920526</v>
      </c>
      <c r="B4654" s="1" t="s">
        <v>42</v>
      </c>
      <c r="C4654" s="1" t="s">
        <v>43</v>
      </c>
      <c r="D4654" s="2">
        <v>44679.519248530094</v>
      </c>
      <c r="E4654" s="1" t="s">
        <v>8</v>
      </c>
      <c r="F4654" s="1">
        <v>1</v>
      </c>
      <c r="G4654" s="1">
        <v>0</v>
      </c>
      <c r="H4654" s="6">
        <f>INT(Query1[[#This Row],[EntryDateTime]])</f>
        <v>44679</v>
      </c>
      <c r="I4654" s="1">
        <f>IF(Query1[[#This Row],[ItemType]]="EVAP KIT SF GEN IV",Query1[[#This Row],[OrderQty]]+I4653,I4653)</f>
        <v>5785</v>
      </c>
      <c r="J4654" s="1">
        <f>IF(Query1[[#This Row],[ItemType]]="EVAP KIT UNIVERSAL",Query1[[#This Row],[OrderQty]]+J4653,J4653)</f>
        <v>1855</v>
      </c>
      <c r="K4654" s="1">
        <f>Query1[[#This Row],[SF Running Total]]+Query1[[#This Row],[UNIV Running Total]]</f>
        <v>7640</v>
      </c>
      <c r="L4654">
        <f>VLOOKUP(Query1[[#This Row],[Description]],'kits to boards'!$B$2:$E$156,2,FALSE)</f>
        <v>830014</v>
      </c>
      <c r="M4654">
        <f>VLOOKUP(Query1[[#This Row],[Description]],'kits to boards'!$B$2:$E$156,3,FALSE)</f>
        <v>0</v>
      </c>
      <c r="N4654">
        <f>VLOOKUP(Query1[[#This Row],[Description]],'kits to boards'!$B$2:$E$156,4,FALSE)</f>
        <v>0</v>
      </c>
      <c r="O4654" t="str">
        <f>CONCATENATE(Query1[[#This Row],[Description]]," - ",Query1[[#This Row],[MB1]]," - ",Query1[[#This Row],[MB2]]," - ",Query1[[#This Row],[MB3]])</f>
        <v>EVAP KIT 67-72 CHEV P-UP WO AC - 830014 - 0 - 0</v>
      </c>
    </row>
    <row r="4655" spans="1:15" x14ac:dyDescent="0.25">
      <c r="A4655" s="1">
        <v>921636</v>
      </c>
      <c r="B4655" s="1" t="s">
        <v>465</v>
      </c>
      <c r="C4655" s="1" t="s">
        <v>466</v>
      </c>
      <c r="D4655" s="2">
        <v>44679.521046956019</v>
      </c>
      <c r="E4655" s="1" t="s">
        <v>8</v>
      </c>
      <c r="F4655" s="1">
        <v>4</v>
      </c>
      <c r="G4655" s="1">
        <v>0</v>
      </c>
      <c r="H4655" s="6">
        <f>INT(Query1[[#This Row],[EntryDateTime]])</f>
        <v>44679</v>
      </c>
      <c r="I4655" s="1">
        <f>IF(Query1[[#This Row],[ItemType]]="EVAP KIT SF GEN IV",Query1[[#This Row],[OrderQty]]+I4654,I4654)</f>
        <v>5789</v>
      </c>
      <c r="J4655" s="1">
        <f>IF(Query1[[#This Row],[ItemType]]="EVAP KIT UNIVERSAL",Query1[[#This Row],[OrderQty]]+J4654,J4654)</f>
        <v>1855</v>
      </c>
      <c r="K4655" s="1">
        <f>Query1[[#This Row],[SF Running Total]]+Query1[[#This Row],[UNIV Running Total]]</f>
        <v>7644</v>
      </c>
      <c r="L4655" t="e">
        <f>VLOOKUP(Query1[[#This Row],[Description]],'kits to boards'!$B$2:$E$156,2,FALSE)</f>
        <v>#N/A</v>
      </c>
      <c r="M4655" t="e">
        <f>VLOOKUP(Query1[[#This Row],[Description]],'kits to boards'!$B$2:$E$156,3,FALSE)</f>
        <v>#N/A</v>
      </c>
      <c r="N4655" t="e">
        <f>VLOOKUP(Query1[[#This Row],[Description]],'kits to boards'!$B$2:$E$156,4,FALSE)</f>
        <v>#N/A</v>
      </c>
      <c r="O4655" t="e">
        <f>CONCATENATE(Query1[[#This Row],[Description]]," - ",Query1[[#This Row],[MB1]]," - ",Query1[[#This Row],[MB2]]," - ",Query1[[#This Row],[MB3]])</f>
        <v>#N/A</v>
      </c>
    </row>
    <row r="4656" spans="1:15" x14ac:dyDescent="0.25">
      <c r="A4656" s="1">
        <v>920527</v>
      </c>
      <c r="B4656" s="1" t="s">
        <v>26</v>
      </c>
      <c r="C4656" s="1" t="s">
        <v>27</v>
      </c>
      <c r="D4656" s="2">
        <v>44679.521063391207</v>
      </c>
      <c r="E4656" s="1" t="s">
        <v>8</v>
      </c>
      <c r="F4656" s="1">
        <v>1</v>
      </c>
      <c r="G4656" s="1">
        <v>0</v>
      </c>
      <c r="H4656" s="6">
        <f>INT(Query1[[#This Row],[EntryDateTime]])</f>
        <v>44679</v>
      </c>
      <c r="I4656" s="1">
        <f>IF(Query1[[#This Row],[ItemType]]="EVAP KIT SF GEN IV",Query1[[#This Row],[OrderQty]]+I4655,I4655)</f>
        <v>5790</v>
      </c>
      <c r="J4656" s="1">
        <f>IF(Query1[[#This Row],[ItemType]]="EVAP KIT UNIVERSAL",Query1[[#This Row],[OrderQty]]+J4655,J4655)</f>
        <v>1855</v>
      </c>
      <c r="K4656" s="1">
        <f>Query1[[#This Row],[SF Running Total]]+Query1[[#This Row],[UNIV Running Total]]</f>
        <v>7645</v>
      </c>
      <c r="L4656">
        <f>VLOOKUP(Query1[[#This Row],[Description]],'kits to boards'!$B$2:$E$156,2,FALSE)</f>
        <v>830013</v>
      </c>
      <c r="M4656">
        <f>VLOOKUP(Query1[[#This Row],[Description]],'kits to boards'!$B$2:$E$156,3,FALSE)</f>
        <v>0</v>
      </c>
      <c r="N4656">
        <f>VLOOKUP(Query1[[#This Row],[Description]],'kits to boards'!$B$2:$E$156,4,FALSE)</f>
        <v>0</v>
      </c>
      <c r="O4656" t="str">
        <f>CONCATENATE(Query1[[#This Row],[Description]]," - ",Query1[[#This Row],[MB1]]," - ",Query1[[#This Row],[MB2]]," - ",Query1[[#This Row],[MB3]])</f>
        <v>EVAP KIT 67-72 CHEV P-UP W/AC - 830013 - 0 - 0</v>
      </c>
    </row>
    <row r="4657" spans="1:15" x14ac:dyDescent="0.25">
      <c r="A4657" s="1">
        <v>920529</v>
      </c>
      <c r="B4657" s="1" t="s">
        <v>102</v>
      </c>
      <c r="C4657" s="1" t="s">
        <v>103</v>
      </c>
      <c r="D4657" s="2">
        <v>44679.521775428242</v>
      </c>
      <c r="E4657" s="1" t="s">
        <v>8</v>
      </c>
      <c r="F4657" s="1">
        <v>1</v>
      </c>
      <c r="G4657" s="1">
        <v>0</v>
      </c>
      <c r="H4657" s="6">
        <f>INT(Query1[[#This Row],[EntryDateTime]])</f>
        <v>44679</v>
      </c>
      <c r="I4657" s="1">
        <f>IF(Query1[[#This Row],[ItemType]]="EVAP KIT SF GEN IV",Query1[[#This Row],[OrderQty]]+I4656,I4656)</f>
        <v>5791</v>
      </c>
      <c r="J4657" s="1">
        <f>IF(Query1[[#This Row],[ItemType]]="EVAP KIT UNIVERSAL",Query1[[#This Row],[OrderQty]]+J4656,J4656)</f>
        <v>1855</v>
      </c>
      <c r="K4657" s="1">
        <f>Query1[[#This Row],[SF Running Total]]+Query1[[#This Row],[UNIV Running Total]]</f>
        <v>7646</v>
      </c>
      <c r="L4657">
        <f>VLOOKUP(Query1[[#This Row],[Description]],'kits to boards'!$B$2:$E$156,2,FALSE)</f>
        <v>830012</v>
      </c>
      <c r="M4657">
        <f>VLOOKUP(Query1[[#This Row],[Description]],'kits to boards'!$B$2:$E$156,3,FALSE)</f>
        <v>0</v>
      </c>
      <c r="N4657">
        <f>VLOOKUP(Query1[[#This Row],[Description]],'kits to boards'!$B$2:$E$156,4,FALSE)</f>
        <v>0</v>
      </c>
      <c r="O4657" t="str">
        <f>CONCATENATE(Query1[[#This Row],[Description]]," - ",Query1[[#This Row],[MB1]]," - ",Query1[[#This Row],[MB2]]," - ",Query1[[#This Row],[MB3]])</f>
        <v>EVAP KIT 69 CAMARO WO/AC - 830012 - 0 - 0</v>
      </c>
    </row>
    <row r="4658" spans="1:15" x14ac:dyDescent="0.25">
      <c r="A4658" s="1">
        <v>920531</v>
      </c>
      <c r="B4658" s="1" t="s">
        <v>52</v>
      </c>
      <c r="C4658" s="1" t="s">
        <v>53</v>
      </c>
      <c r="D4658" s="2">
        <v>44679.52225721065</v>
      </c>
      <c r="E4658" s="1" t="s">
        <v>8</v>
      </c>
      <c r="F4658" s="1">
        <v>1</v>
      </c>
      <c r="G4658" s="1">
        <v>0</v>
      </c>
      <c r="H4658" s="6">
        <f>INT(Query1[[#This Row],[EntryDateTime]])</f>
        <v>44679</v>
      </c>
      <c r="I4658" s="1">
        <f>IF(Query1[[#This Row],[ItemType]]="EVAP KIT SF GEN IV",Query1[[#This Row],[OrderQty]]+I4657,I4657)</f>
        <v>5792</v>
      </c>
      <c r="J4658" s="1">
        <f>IF(Query1[[#This Row],[ItemType]]="EVAP KIT UNIVERSAL",Query1[[#This Row],[OrderQty]]+J4657,J4657)</f>
        <v>1855</v>
      </c>
      <c r="K4658" s="1">
        <f>Query1[[#This Row],[SF Running Total]]+Query1[[#This Row],[UNIV Running Total]]</f>
        <v>7647</v>
      </c>
      <c r="L4658">
        <f>VLOOKUP(Query1[[#This Row],[Description]],'kits to boards'!$B$2:$E$156,2,FALSE)</f>
        <v>830017</v>
      </c>
      <c r="M4658">
        <f>VLOOKUP(Query1[[#This Row],[Description]],'kits to boards'!$B$2:$E$156,3,FALSE)</f>
        <v>830119</v>
      </c>
      <c r="N4658">
        <f>VLOOKUP(Query1[[#This Row],[Description]],'kits to boards'!$B$2:$E$156,4,FALSE)</f>
        <v>830120</v>
      </c>
      <c r="O4658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4659" spans="1:15" x14ac:dyDescent="0.25">
      <c r="A4659" s="1">
        <v>920532</v>
      </c>
      <c r="B4659" s="1" t="s">
        <v>96</v>
      </c>
      <c r="C4659" s="1" t="s">
        <v>97</v>
      </c>
      <c r="D4659" s="2">
        <v>44679.522751006945</v>
      </c>
      <c r="E4659" s="1" t="s">
        <v>8</v>
      </c>
      <c r="F4659" s="1">
        <v>1</v>
      </c>
      <c r="G4659" s="1">
        <v>0</v>
      </c>
      <c r="H4659" s="6">
        <f>INT(Query1[[#This Row],[EntryDateTime]])</f>
        <v>44679</v>
      </c>
      <c r="I4659" s="1">
        <f>IF(Query1[[#This Row],[ItemType]]="EVAP KIT SF GEN IV",Query1[[#This Row],[OrderQty]]+I4658,I4658)</f>
        <v>5793</v>
      </c>
      <c r="J4659" s="1">
        <f>IF(Query1[[#This Row],[ItemType]]="EVAP KIT UNIVERSAL",Query1[[#This Row],[OrderQty]]+J4658,J4658)</f>
        <v>1855</v>
      </c>
      <c r="K4659" s="1">
        <f>Query1[[#This Row],[SF Running Total]]+Query1[[#This Row],[UNIV Running Total]]</f>
        <v>7648</v>
      </c>
      <c r="L4659">
        <f>VLOOKUP(Query1[[#This Row],[Description]],'kits to boards'!$B$2:$E$156,2,FALSE)</f>
        <v>830004</v>
      </c>
      <c r="M4659">
        <f>VLOOKUP(Query1[[#This Row],[Description]],'kits to boards'!$B$2:$E$156,3,FALSE)</f>
        <v>0</v>
      </c>
      <c r="N4659">
        <f>VLOOKUP(Query1[[#This Row],[Description]],'kits to boards'!$B$2:$E$156,4,FALSE)</f>
        <v>0</v>
      </c>
      <c r="O4659" t="str">
        <f>CONCATENATE(Query1[[#This Row],[Description]]," - ",Query1[[#This Row],[MB1]]," - ",Query1[[#This Row],[MB2]]," - ",Query1[[#This Row],[MB3]])</f>
        <v>EVAP KIT 81-87 CHEV P-UP W/AC - 830004 - 0 - 0</v>
      </c>
    </row>
    <row r="4660" spans="1:15" x14ac:dyDescent="0.25">
      <c r="A4660" s="1">
        <v>920533</v>
      </c>
      <c r="B4660" s="1" t="s">
        <v>96</v>
      </c>
      <c r="C4660" s="1" t="s">
        <v>97</v>
      </c>
      <c r="D4660" s="2">
        <v>44679.523288692129</v>
      </c>
      <c r="E4660" s="1" t="s">
        <v>8</v>
      </c>
      <c r="F4660" s="1">
        <v>1</v>
      </c>
      <c r="G4660" s="1">
        <v>0</v>
      </c>
      <c r="H4660" s="6">
        <f>INT(Query1[[#This Row],[EntryDateTime]])</f>
        <v>44679</v>
      </c>
      <c r="I4660" s="1">
        <f>IF(Query1[[#This Row],[ItemType]]="EVAP KIT SF GEN IV",Query1[[#This Row],[OrderQty]]+I4659,I4659)</f>
        <v>5794</v>
      </c>
      <c r="J4660" s="1">
        <f>IF(Query1[[#This Row],[ItemType]]="EVAP KIT UNIVERSAL",Query1[[#This Row],[OrderQty]]+J4659,J4659)</f>
        <v>1855</v>
      </c>
      <c r="K4660" s="1">
        <f>Query1[[#This Row],[SF Running Total]]+Query1[[#This Row],[UNIV Running Total]]</f>
        <v>7649</v>
      </c>
      <c r="L4660">
        <f>VLOOKUP(Query1[[#This Row],[Description]],'kits to boards'!$B$2:$E$156,2,FALSE)</f>
        <v>830004</v>
      </c>
      <c r="M4660">
        <f>VLOOKUP(Query1[[#This Row],[Description]],'kits to boards'!$B$2:$E$156,3,FALSE)</f>
        <v>0</v>
      </c>
      <c r="N4660">
        <f>VLOOKUP(Query1[[#This Row],[Description]],'kits to boards'!$B$2:$E$156,4,FALSE)</f>
        <v>0</v>
      </c>
      <c r="O4660" t="str">
        <f>CONCATENATE(Query1[[#This Row],[Description]]," - ",Query1[[#This Row],[MB1]]," - ",Query1[[#This Row],[MB2]]," - ",Query1[[#This Row],[MB3]])</f>
        <v>EVAP KIT 81-87 CHEV P-UP W/AC - 830004 - 0 - 0</v>
      </c>
    </row>
    <row r="4661" spans="1:15" x14ac:dyDescent="0.25">
      <c r="A4661" s="1">
        <v>920534</v>
      </c>
      <c r="B4661" s="1" t="s">
        <v>94</v>
      </c>
      <c r="C4661" s="1" t="s">
        <v>95</v>
      </c>
      <c r="D4661" s="2">
        <v>44679.523713425922</v>
      </c>
      <c r="E4661" s="1" t="s">
        <v>8</v>
      </c>
      <c r="F4661" s="1">
        <v>1</v>
      </c>
      <c r="G4661" s="1">
        <v>0</v>
      </c>
      <c r="H4661" s="6">
        <f>INT(Query1[[#This Row],[EntryDateTime]])</f>
        <v>44679</v>
      </c>
      <c r="I4661" s="1">
        <f>IF(Query1[[#This Row],[ItemType]]="EVAP KIT SF GEN IV",Query1[[#This Row],[OrderQty]]+I4660,I4660)</f>
        <v>5795</v>
      </c>
      <c r="J4661" s="1">
        <f>IF(Query1[[#This Row],[ItemType]]="EVAP KIT UNIVERSAL",Query1[[#This Row],[OrderQty]]+J4660,J4660)</f>
        <v>1855</v>
      </c>
      <c r="K4661" s="1">
        <f>Query1[[#This Row],[SF Running Total]]+Query1[[#This Row],[UNIV Running Total]]</f>
        <v>7650</v>
      </c>
      <c r="L4661">
        <f>VLOOKUP(Query1[[#This Row],[Description]],'kits to boards'!$B$2:$E$156,2,FALSE)</f>
        <v>830076</v>
      </c>
      <c r="M4661">
        <f>VLOOKUP(Query1[[#This Row],[Description]],'kits to boards'!$B$2:$E$156,3,FALSE)</f>
        <v>0</v>
      </c>
      <c r="N4661">
        <f>VLOOKUP(Query1[[#This Row],[Description]],'kits to boards'!$B$2:$E$156,4,FALSE)</f>
        <v>0</v>
      </c>
      <c r="O4661" t="str">
        <f>CONCATENATE(Query1[[#This Row],[Description]]," - ",Query1[[#This Row],[MB1]]," - ",Query1[[#This Row],[MB2]]," - ",Query1[[#This Row],[MB3]])</f>
        <v>EVAP KIT 64 1/2- 66 MUSTANG  - 830076 - 0 - 0</v>
      </c>
    </row>
    <row r="4662" spans="1:15" x14ac:dyDescent="0.25">
      <c r="A4662" s="1">
        <v>920536</v>
      </c>
      <c r="B4662" s="1" t="s">
        <v>62</v>
      </c>
      <c r="C4662" s="1" t="s">
        <v>63</v>
      </c>
      <c r="D4662" s="2">
        <v>44679.524167708332</v>
      </c>
      <c r="E4662" s="1" t="s">
        <v>8</v>
      </c>
      <c r="F4662" s="1">
        <v>1</v>
      </c>
      <c r="G4662" s="1">
        <v>0</v>
      </c>
      <c r="H4662" s="6">
        <f>INT(Query1[[#This Row],[EntryDateTime]])</f>
        <v>44679</v>
      </c>
      <c r="I4662" s="1">
        <f>IF(Query1[[#This Row],[ItemType]]="EVAP KIT SF GEN IV",Query1[[#This Row],[OrderQty]]+I4661,I4661)</f>
        <v>5796</v>
      </c>
      <c r="J4662" s="1">
        <f>IF(Query1[[#This Row],[ItemType]]="EVAP KIT UNIVERSAL",Query1[[#This Row],[OrderQty]]+J4661,J4661)</f>
        <v>1855</v>
      </c>
      <c r="K4662" s="1">
        <f>Query1[[#This Row],[SF Running Total]]+Query1[[#This Row],[UNIV Running Total]]</f>
        <v>7651</v>
      </c>
      <c r="L4662">
        <f>VLOOKUP(Query1[[#This Row],[Description]],'kits to boards'!$B$2:$E$156,2,FALSE)</f>
        <v>830079</v>
      </c>
      <c r="M4662">
        <f>VLOOKUP(Query1[[#This Row],[Description]],'kits to boards'!$B$2:$E$156,3,FALSE)</f>
        <v>830046</v>
      </c>
      <c r="N4662">
        <f>VLOOKUP(Query1[[#This Row],[Description]],'kits to boards'!$B$2:$E$156,4,FALSE)</f>
        <v>0</v>
      </c>
      <c r="O4662" t="str">
        <f>CONCATENATE(Query1[[#This Row],[Description]]," - ",Query1[[#This Row],[MB1]]," - ",Query1[[#This Row],[MB2]]," - ",Query1[[#This Row],[MB3]])</f>
        <v>EVAP KIT 67-68 MUSTANG/COUGAR WO AC - 830079 - 830046 - 0</v>
      </c>
    </row>
    <row r="4663" spans="1:15" x14ac:dyDescent="0.25">
      <c r="A4663" s="1">
        <v>921280</v>
      </c>
      <c r="B4663" s="1" t="s">
        <v>42</v>
      </c>
      <c r="C4663" s="1" t="s">
        <v>43</v>
      </c>
      <c r="D4663" s="2">
        <v>44679.524686574077</v>
      </c>
      <c r="E4663" s="1" t="s">
        <v>8</v>
      </c>
      <c r="F4663" s="1">
        <v>2</v>
      </c>
      <c r="G4663" s="1">
        <v>0</v>
      </c>
      <c r="H4663" s="6">
        <f>INT(Query1[[#This Row],[EntryDateTime]])</f>
        <v>44679</v>
      </c>
      <c r="I4663" s="1">
        <f>IF(Query1[[#This Row],[ItemType]]="EVAP KIT SF GEN IV",Query1[[#This Row],[OrderQty]]+I4662,I4662)</f>
        <v>5798</v>
      </c>
      <c r="J4663" s="1">
        <f>IF(Query1[[#This Row],[ItemType]]="EVAP KIT UNIVERSAL",Query1[[#This Row],[OrderQty]]+J4662,J4662)</f>
        <v>1855</v>
      </c>
      <c r="K4663" s="1">
        <f>Query1[[#This Row],[SF Running Total]]+Query1[[#This Row],[UNIV Running Total]]</f>
        <v>7653</v>
      </c>
      <c r="L4663">
        <f>VLOOKUP(Query1[[#This Row],[Description]],'kits to boards'!$B$2:$E$156,2,FALSE)</f>
        <v>830014</v>
      </c>
      <c r="M4663">
        <f>VLOOKUP(Query1[[#This Row],[Description]],'kits to boards'!$B$2:$E$156,3,FALSE)</f>
        <v>0</v>
      </c>
      <c r="N4663">
        <f>VLOOKUP(Query1[[#This Row],[Description]],'kits to boards'!$B$2:$E$156,4,FALSE)</f>
        <v>0</v>
      </c>
      <c r="O4663" t="str">
        <f>CONCATENATE(Query1[[#This Row],[Description]]," - ",Query1[[#This Row],[MB1]]," - ",Query1[[#This Row],[MB2]]," - ",Query1[[#This Row],[MB3]])</f>
        <v>EVAP KIT 67-72 CHEV P-UP WO AC - 830014 - 0 - 0</v>
      </c>
    </row>
    <row r="4664" spans="1:15" x14ac:dyDescent="0.25">
      <c r="A4664" s="1">
        <v>921639</v>
      </c>
      <c r="B4664" s="1" t="s">
        <v>30</v>
      </c>
      <c r="C4664" s="1" t="s">
        <v>31</v>
      </c>
      <c r="D4664" s="2">
        <v>44679.53171408565</v>
      </c>
      <c r="E4664" s="1" t="s">
        <v>8</v>
      </c>
      <c r="F4664" s="1">
        <v>1</v>
      </c>
      <c r="G4664" s="1">
        <v>0</v>
      </c>
      <c r="H4664" s="6">
        <f>INT(Query1[[#This Row],[EntryDateTime]])</f>
        <v>44679</v>
      </c>
      <c r="I4664" s="1">
        <f>IF(Query1[[#This Row],[ItemType]]="EVAP KIT SF GEN IV",Query1[[#This Row],[OrderQty]]+I4663,I4663)</f>
        <v>5799</v>
      </c>
      <c r="J4664" s="1">
        <f>IF(Query1[[#This Row],[ItemType]]="EVAP KIT UNIVERSAL",Query1[[#This Row],[OrderQty]]+J4663,J4663)</f>
        <v>1855</v>
      </c>
      <c r="K4664" s="1">
        <f>Query1[[#This Row],[SF Running Total]]+Query1[[#This Row],[UNIV Running Total]]</f>
        <v>7654</v>
      </c>
      <c r="L4664">
        <f>VLOOKUP(Query1[[#This Row],[Description]],'kits to boards'!$B$2:$E$156,2,FALSE)</f>
        <v>830054</v>
      </c>
      <c r="M4664">
        <f>VLOOKUP(Query1[[#This Row],[Description]],'kits to boards'!$B$2:$E$156,3,FALSE)</f>
        <v>0</v>
      </c>
      <c r="N4664">
        <f>VLOOKUP(Query1[[#This Row],[Description]],'kits to boards'!$B$2:$E$156,4,FALSE)</f>
        <v>0</v>
      </c>
      <c r="O4664" t="str">
        <f>CONCATENATE(Query1[[#This Row],[Description]]," - ",Query1[[#This Row],[MB1]]," - ",Query1[[#This Row],[MB2]]," - ",Query1[[#This Row],[MB3]])</f>
        <v>EVAP KIT 55-56 CHEVY 4-VENT - 830054 - 0 - 0</v>
      </c>
    </row>
    <row r="4665" spans="1:15" x14ac:dyDescent="0.25">
      <c r="A4665" s="1">
        <v>921641</v>
      </c>
      <c r="B4665" s="1" t="s">
        <v>78</v>
      </c>
      <c r="C4665" s="1" t="s">
        <v>79</v>
      </c>
      <c r="D4665" s="2">
        <v>44679.532878668979</v>
      </c>
      <c r="E4665" s="1" t="s">
        <v>11</v>
      </c>
      <c r="F4665" s="1">
        <v>1</v>
      </c>
      <c r="G4665" s="1">
        <v>0</v>
      </c>
      <c r="H4665" s="6">
        <f>INT(Query1[[#This Row],[EntryDateTime]])</f>
        <v>44679</v>
      </c>
      <c r="I4665" s="1">
        <f>IF(Query1[[#This Row],[ItemType]]="EVAP KIT SF GEN IV",Query1[[#This Row],[OrderQty]]+I4664,I4664)</f>
        <v>5799</v>
      </c>
      <c r="J4665" s="1">
        <f>IF(Query1[[#This Row],[ItemType]]="EVAP KIT UNIVERSAL",Query1[[#This Row],[OrderQty]]+J4664,J4664)</f>
        <v>1856</v>
      </c>
      <c r="K4665" s="1">
        <f>Query1[[#This Row],[SF Running Total]]+Query1[[#This Row],[UNIV Running Total]]</f>
        <v>7655</v>
      </c>
      <c r="L4665">
        <f>VLOOKUP(Query1[[#This Row],[Description]],'kits to boards'!$B$2:$E$156,2,FALSE)</f>
        <v>0</v>
      </c>
      <c r="M4665">
        <f>VLOOKUP(Query1[[#This Row],[Description]],'kits to boards'!$B$2:$E$156,3,FALSE)</f>
        <v>0</v>
      </c>
      <c r="N4665">
        <f>VLOOKUP(Query1[[#This Row],[Description]],'kits to boards'!$B$2:$E$156,4,FALSE)</f>
        <v>0</v>
      </c>
      <c r="O4665" t="str">
        <f>CONCATENATE(Query1[[#This Row],[Description]]," - ",Query1[[#This Row],[MB1]]," - ",Query1[[#This Row],[MB2]]," - ",Query1[[#This Row],[MB3]])</f>
        <v>MARK IV STYLELINE UNDERDASH EVAP - 0 - 0 - 0</v>
      </c>
    </row>
    <row r="4666" spans="1:15" x14ac:dyDescent="0.25">
      <c r="A4666" s="1">
        <v>921651</v>
      </c>
      <c r="B4666" s="1" t="s">
        <v>86</v>
      </c>
      <c r="C4666" s="1" t="s">
        <v>87</v>
      </c>
      <c r="D4666" s="2">
        <v>44679.55760940972</v>
      </c>
      <c r="E4666" s="1" t="s">
        <v>8</v>
      </c>
      <c r="F4666" s="1">
        <v>1</v>
      </c>
      <c r="G4666" s="1">
        <v>0</v>
      </c>
      <c r="H4666" s="6">
        <f>INT(Query1[[#This Row],[EntryDateTime]])</f>
        <v>44679</v>
      </c>
      <c r="I4666" s="1">
        <f>IF(Query1[[#This Row],[ItemType]]="EVAP KIT SF GEN IV",Query1[[#This Row],[OrderQty]]+I4665,I4665)</f>
        <v>5800</v>
      </c>
      <c r="J4666" s="1">
        <f>IF(Query1[[#This Row],[ItemType]]="EVAP KIT UNIVERSAL",Query1[[#This Row],[OrderQty]]+J4665,J4665)</f>
        <v>1856</v>
      </c>
      <c r="K4666" s="1">
        <f>Query1[[#This Row],[SF Running Total]]+Query1[[#This Row],[UNIV Running Total]]</f>
        <v>7656</v>
      </c>
      <c r="L4666">
        <f>VLOOKUP(Query1[[#This Row],[Description]],'kits to boards'!$B$2:$E$156,2,FALSE)</f>
        <v>830048</v>
      </c>
      <c r="M4666">
        <f>VLOOKUP(Query1[[#This Row],[Description]],'kits to boards'!$B$2:$E$156,3,FALSE)</f>
        <v>0</v>
      </c>
      <c r="N4666">
        <f>VLOOKUP(Query1[[#This Row],[Description]],'kits to boards'!$B$2:$E$156,4,FALSE)</f>
        <v>0</v>
      </c>
      <c r="O4666" t="str">
        <f>CONCATENATE(Query1[[#This Row],[Description]]," - ",Query1[[#This Row],[MB1]]," - ",Query1[[#This Row],[MB2]]," - ",Query1[[#This Row],[MB3]])</f>
        <v>EVAP KIT 66-67 NOVA - 830048 - 0 - 0</v>
      </c>
    </row>
    <row r="4667" spans="1:15" x14ac:dyDescent="0.25">
      <c r="A4667" s="1">
        <v>921371</v>
      </c>
      <c r="B4667" s="1" t="s">
        <v>68</v>
      </c>
      <c r="C4667" s="1" t="s">
        <v>69</v>
      </c>
      <c r="D4667" s="2">
        <v>44679.557771527776</v>
      </c>
      <c r="E4667" s="1" t="s">
        <v>8</v>
      </c>
      <c r="F4667" s="1">
        <v>1</v>
      </c>
      <c r="G4667" s="1">
        <v>0</v>
      </c>
      <c r="H4667" s="6">
        <f>INT(Query1[[#This Row],[EntryDateTime]])</f>
        <v>44679</v>
      </c>
      <c r="I4667" s="1">
        <f>IF(Query1[[#This Row],[ItemType]]="EVAP KIT SF GEN IV",Query1[[#This Row],[OrderQty]]+I4666,I4666)</f>
        <v>5801</v>
      </c>
      <c r="J4667" s="1">
        <f>IF(Query1[[#This Row],[ItemType]]="EVAP KIT UNIVERSAL",Query1[[#This Row],[OrderQty]]+J4666,J4666)</f>
        <v>1856</v>
      </c>
      <c r="K4667" s="1">
        <f>Query1[[#This Row],[SF Running Total]]+Query1[[#This Row],[UNIV Running Total]]</f>
        <v>7657</v>
      </c>
      <c r="L4667">
        <f>VLOOKUP(Query1[[#This Row],[Description]],'kits to boards'!$B$2:$E$156,2,FALSE)</f>
        <v>830010</v>
      </c>
      <c r="M4667">
        <f>VLOOKUP(Query1[[#This Row],[Description]],'kits to boards'!$B$2:$E$156,3,FALSE)</f>
        <v>0</v>
      </c>
      <c r="N4667">
        <f>VLOOKUP(Query1[[#This Row],[Description]],'kits to boards'!$B$2:$E$156,4,FALSE)</f>
        <v>0</v>
      </c>
      <c r="O4667" t="str">
        <f>CONCATENATE(Query1[[#This Row],[Description]]," - ",Query1[[#This Row],[MB1]]," - ",Query1[[#This Row],[MB2]]," - ",Query1[[#This Row],[MB3]])</f>
        <v>EVAP KIT 70-72 CHEVELLE WO AC - 830010 - 0 - 0</v>
      </c>
    </row>
    <row r="4668" spans="1:15" x14ac:dyDescent="0.25">
      <c r="A4668" s="1">
        <v>921652</v>
      </c>
      <c r="B4668" s="1" t="s">
        <v>142</v>
      </c>
      <c r="C4668" s="1" t="s">
        <v>143</v>
      </c>
      <c r="D4668" s="2">
        <v>44679.560544293985</v>
      </c>
      <c r="E4668" s="1" t="s">
        <v>8</v>
      </c>
      <c r="F4668" s="1">
        <v>1</v>
      </c>
      <c r="G4668" s="1">
        <v>0</v>
      </c>
      <c r="H4668" s="6">
        <f>INT(Query1[[#This Row],[EntryDateTime]])</f>
        <v>44679</v>
      </c>
      <c r="I4668" s="1">
        <f>IF(Query1[[#This Row],[ItemType]]="EVAP KIT SF GEN IV",Query1[[#This Row],[OrderQty]]+I4667,I4667)</f>
        <v>5802</v>
      </c>
      <c r="J4668" s="1">
        <f>IF(Query1[[#This Row],[ItemType]]="EVAP KIT UNIVERSAL",Query1[[#This Row],[OrderQty]]+J4667,J4667)</f>
        <v>1856</v>
      </c>
      <c r="K4668" s="1">
        <f>Query1[[#This Row],[SF Running Total]]+Query1[[#This Row],[UNIV Running Total]]</f>
        <v>7658</v>
      </c>
      <c r="L4668">
        <f>VLOOKUP(Query1[[#This Row],[Description]],'kits to boards'!$B$2:$E$156,2,FALSE)</f>
        <v>830052</v>
      </c>
      <c r="M4668">
        <f>VLOOKUP(Query1[[#This Row],[Description]],'kits to boards'!$B$2:$E$156,3,FALSE)</f>
        <v>0</v>
      </c>
      <c r="N4668">
        <f>VLOOKUP(Query1[[#This Row],[Description]],'kits to boards'!$B$2:$E$156,4,FALSE)</f>
        <v>0</v>
      </c>
      <c r="O4668" t="str">
        <f>CONCATENATE(Query1[[#This Row],[Description]]," - ",Query1[[#This Row],[MB1]]," - ",Query1[[#This Row],[MB2]]," - ",Query1[[#This Row],[MB3]])</f>
        <v>EVAP KIT 61-64 FORD F-100 - 830052 - 0 - 0</v>
      </c>
    </row>
    <row r="4669" spans="1:15" x14ac:dyDescent="0.25">
      <c r="A4669" s="1">
        <v>921663</v>
      </c>
      <c r="B4669" s="1" t="s">
        <v>114</v>
      </c>
      <c r="C4669" s="1" t="s">
        <v>115</v>
      </c>
      <c r="D4669" s="2">
        <v>44679.585165891207</v>
      </c>
      <c r="E4669" s="1" t="s">
        <v>8</v>
      </c>
      <c r="F4669" s="1">
        <v>1</v>
      </c>
      <c r="G4669" s="1">
        <v>0</v>
      </c>
      <c r="H4669" s="6">
        <f>INT(Query1[[#This Row],[EntryDateTime]])</f>
        <v>44679</v>
      </c>
      <c r="I4669" s="1">
        <f>IF(Query1[[#This Row],[ItemType]]="EVAP KIT SF GEN IV",Query1[[#This Row],[OrderQty]]+I4668,I4668)</f>
        <v>5803</v>
      </c>
      <c r="J4669" s="1">
        <f>IF(Query1[[#This Row],[ItemType]]="EVAP KIT UNIVERSAL",Query1[[#This Row],[OrderQty]]+J4668,J4668)</f>
        <v>1856</v>
      </c>
      <c r="K4669" s="1">
        <f>Query1[[#This Row],[SF Running Total]]+Query1[[#This Row],[UNIV Running Total]]</f>
        <v>7659</v>
      </c>
      <c r="L4669">
        <f>VLOOKUP(Query1[[#This Row],[Description]],'kits to boards'!$B$2:$E$156,2,FALSE)</f>
        <v>830059</v>
      </c>
      <c r="M4669">
        <f>VLOOKUP(Query1[[#This Row],[Description]],'kits to boards'!$B$2:$E$156,3,FALSE)</f>
        <v>0</v>
      </c>
      <c r="N4669">
        <f>VLOOKUP(Query1[[#This Row],[Description]],'kits to boards'!$B$2:$E$156,4,FALSE)</f>
        <v>0</v>
      </c>
      <c r="O4669" t="str">
        <f>CONCATENATE(Query1[[#This Row],[Description]]," - ",Query1[[#This Row],[MB1]]," - ",Query1[[#This Row],[MB2]]," - ",Query1[[#This Row],[MB3]])</f>
        <v>EVAP KIT 66-67 CHEVELLE W/AC - 830059 - 0 - 0</v>
      </c>
    </row>
    <row r="4670" spans="1:15" x14ac:dyDescent="0.25">
      <c r="A4670" s="1">
        <v>921666</v>
      </c>
      <c r="B4670" s="1" t="s">
        <v>42</v>
      </c>
      <c r="C4670" s="1" t="s">
        <v>43</v>
      </c>
      <c r="D4670" s="2">
        <v>44679.586303587967</v>
      </c>
      <c r="E4670" s="1" t="s">
        <v>8</v>
      </c>
      <c r="F4670" s="1">
        <v>1</v>
      </c>
      <c r="G4670" s="1">
        <v>0</v>
      </c>
      <c r="H4670" s="6">
        <f>INT(Query1[[#This Row],[EntryDateTime]])</f>
        <v>44679</v>
      </c>
      <c r="I4670" s="1">
        <f>IF(Query1[[#This Row],[ItemType]]="EVAP KIT SF GEN IV",Query1[[#This Row],[OrderQty]]+I4669,I4669)</f>
        <v>5804</v>
      </c>
      <c r="J4670" s="1">
        <f>IF(Query1[[#This Row],[ItemType]]="EVAP KIT UNIVERSAL",Query1[[#This Row],[OrderQty]]+J4669,J4669)</f>
        <v>1856</v>
      </c>
      <c r="K4670" s="1">
        <f>Query1[[#This Row],[SF Running Total]]+Query1[[#This Row],[UNIV Running Total]]</f>
        <v>7660</v>
      </c>
      <c r="L4670">
        <f>VLOOKUP(Query1[[#This Row],[Description]],'kits to boards'!$B$2:$E$156,2,FALSE)</f>
        <v>830014</v>
      </c>
      <c r="M4670">
        <f>VLOOKUP(Query1[[#This Row],[Description]],'kits to boards'!$B$2:$E$156,3,FALSE)</f>
        <v>0</v>
      </c>
      <c r="N4670">
        <f>VLOOKUP(Query1[[#This Row],[Description]],'kits to boards'!$B$2:$E$156,4,FALSE)</f>
        <v>0</v>
      </c>
      <c r="O4670" t="str">
        <f>CONCATENATE(Query1[[#This Row],[Description]]," - ",Query1[[#This Row],[MB1]]," - ",Query1[[#This Row],[MB2]]," - ",Query1[[#This Row],[MB3]])</f>
        <v>EVAP KIT 67-72 CHEV P-UP WO AC - 830014 - 0 - 0</v>
      </c>
    </row>
    <row r="4671" spans="1:15" x14ac:dyDescent="0.25">
      <c r="A4671" s="1">
        <v>921673</v>
      </c>
      <c r="B4671" s="1" t="s">
        <v>14</v>
      </c>
      <c r="C4671" s="1" t="s">
        <v>15</v>
      </c>
      <c r="D4671" s="2">
        <v>44679.59332792824</v>
      </c>
      <c r="E4671" s="1" t="s">
        <v>8</v>
      </c>
      <c r="F4671" s="1">
        <v>1</v>
      </c>
      <c r="G4671" s="1">
        <v>0</v>
      </c>
      <c r="H4671" s="6">
        <f>INT(Query1[[#This Row],[EntryDateTime]])</f>
        <v>44679</v>
      </c>
      <c r="I4671" s="1">
        <f>IF(Query1[[#This Row],[ItemType]]="EVAP KIT SF GEN IV",Query1[[#This Row],[OrderQty]]+I4670,I4670)</f>
        <v>5805</v>
      </c>
      <c r="J4671" s="1">
        <f>IF(Query1[[#This Row],[ItemType]]="EVAP KIT UNIVERSAL",Query1[[#This Row],[OrderQty]]+J4670,J4670)</f>
        <v>1856</v>
      </c>
      <c r="K4671" s="1">
        <f>Query1[[#This Row],[SF Running Total]]+Query1[[#This Row],[UNIV Running Total]]</f>
        <v>7661</v>
      </c>
      <c r="L4671">
        <f>VLOOKUP(Query1[[#This Row],[Description]],'kits to boards'!$B$2:$E$156,2,FALSE)</f>
        <v>830054</v>
      </c>
      <c r="M4671">
        <f>VLOOKUP(Query1[[#This Row],[Description]],'kits to boards'!$B$2:$E$156,3,FALSE)</f>
        <v>0</v>
      </c>
      <c r="N4671">
        <f>VLOOKUP(Query1[[#This Row],[Description]],'kits to boards'!$B$2:$E$156,4,FALSE)</f>
        <v>0</v>
      </c>
      <c r="O4671" t="str">
        <f>CONCATENATE(Query1[[#This Row],[Description]]," - ",Query1[[#This Row],[MB1]]," - ",Query1[[#This Row],[MB2]]," - ",Query1[[#This Row],[MB3]])</f>
        <v>EVAP KIT 55-56 CHEVY - 830054 - 0 - 0</v>
      </c>
    </row>
    <row r="4672" spans="1:15" x14ac:dyDescent="0.25">
      <c r="A4672" s="1">
        <v>921679</v>
      </c>
      <c r="B4672" s="1" t="s">
        <v>184</v>
      </c>
      <c r="C4672" s="1" t="s">
        <v>185</v>
      </c>
      <c r="D4672" s="2">
        <v>44679.602718206021</v>
      </c>
      <c r="E4672" s="1" t="s">
        <v>8</v>
      </c>
      <c r="F4672" s="1">
        <v>1</v>
      </c>
      <c r="G4672" s="1">
        <v>0</v>
      </c>
      <c r="H4672" s="6">
        <f>INT(Query1[[#This Row],[EntryDateTime]])</f>
        <v>44679</v>
      </c>
      <c r="I4672" s="1">
        <f>IF(Query1[[#This Row],[ItemType]]="EVAP KIT SF GEN IV",Query1[[#This Row],[OrderQty]]+I4671,I4671)</f>
        <v>5806</v>
      </c>
      <c r="J4672" s="1">
        <f>IF(Query1[[#This Row],[ItemType]]="EVAP KIT UNIVERSAL",Query1[[#This Row],[OrderQty]]+J4671,J4671)</f>
        <v>1856</v>
      </c>
      <c r="K4672" s="1">
        <f>Query1[[#This Row],[SF Running Total]]+Query1[[#This Row],[UNIV Running Total]]</f>
        <v>7662</v>
      </c>
      <c r="L4672">
        <f>VLOOKUP(Query1[[#This Row],[Description]],'kits to boards'!$B$2:$E$156,2,FALSE)</f>
        <v>830042</v>
      </c>
      <c r="M4672">
        <f>VLOOKUP(Query1[[#This Row],[Description]],'kits to boards'!$B$2:$E$156,3,FALSE)</f>
        <v>0</v>
      </c>
      <c r="N4672">
        <f>VLOOKUP(Query1[[#This Row],[Description]],'kits to boards'!$B$2:$E$156,4,FALSE)</f>
        <v>0</v>
      </c>
      <c r="O4672" t="str">
        <f>CONCATENATE(Query1[[#This Row],[Description]]," - ",Query1[[#This Row],[MB1]]," - ",Query1[[#This Row],[MB2]]," - ",Query1[[#This Row],[MB3]])</f>
        <v>EVAP KIT 68-83 TOYOTA FJ40 - 830042 - 0 - 0</v>
      </c>
    </row>
    <row r="4673" spans="1:15" x14ac:dyDescent="0.25">
      <c r="A4673" s="1">
        <v>921680</v>
      </c>
      <c r="B4673" s="1" t="s">
        <v>38</v>
      </c>
      <c r="C4673" s="1" t="s">
        <v>39</v>
      </c>
      <c r="D4673" s="2">
        <v>44679.605487465276</v>
      </c>
      <c r="E4673" s="1" t="s">
        <v>8</v>
      </c>
      <c r="F4673" s="1">
        <v>1</v>
      </c>
      <c r="G4673" s="1">
        <v>0</v>
      </c>
      <c r="H4673" s="6">
        <f>INT(Query1[[#This Row],[EntryDateTime]])</f>
        <v>44679</v>
      </c>
      <c r="I4673" s="1">
        <f>IF(Query1[[#This Row],[ItemType]]="EVAP KIT SF GEN IV",Query1[[#This Row],[OrderQty]]+I4672,I4672)</f>
        <v>5807</v>
      </c>
      <c r="J4673" s="1">
        <f>IF(Query1[[#This Row],[ItemType]]="EVAP KIT UNIVERSAL",Query1[[#This Row],[OrderQty]]+J4672,J4672)</f>
        <v>1856</v>
      </c>
      <c r="K4673" s="1">
        <f>Query1[[#This Row],[SF Running Total]]+Query1[[#This Row],[UNIV Running Total]]</f>
        <v>7663</v>
      </c>
      <c r="L4673">
        <f>VLOOKUP(Query1[[#This Row],[Description]],'kits to boards'!$B$2:$E$156,2,FALSE)</f>
        <v>830012</v>
      </c>
      <c r="M4673">
        <f>VLOOKUP(Query1[[#This Row],[Description]],'kits to boards'!$B$2:$E$156,3,FALSE)</f>
        <v>0</v>
      </c>
      <c r="N4673">
        <f>VLOOKUP(Query1[[#This Row],[Description]],'kits to boards'!$B$2:$E$156,4,FALSE)</f>
        <v>0</v>
      </c>
      <c r="O4673" t="str">
        <f>CONCATENATE(Query1[[#This Row],[Description]]," - ",Query1[[#This Row],[MB1]]," - ",Query1[[#This Row],[MB2]]," - ",Query1[[#This Row],[MB3]])</f>
        <v>EVAP KIT 69 CAMARO W/AC - 830012 - 0 - 0</v>
      </c>
    </row>
    <row r="4674" spans="1:15" x14ac:dyDescent="0.25">
      <c r="A4674" s="1">
        <v>921681</v>
      </c>
      <c r="B4674" s="1" t="s">
        <v>108</v>
      </c>
      <c r="C4674" s="1" t="s">
        <v>109</v>
      </c>
      <c r="D4674" s="2">
        <v>44679.605789664354</v>
      </c>
      <c r="E4674" s="1" t="s">
        <v>8</v>
      </c>
      <c r="F4674" s="1">
        <v>1</v>
      </c>
      <c r="G4674" s="1">
        <v>0</v>
      </c>
      <c r="H4674" s="6">
        <f>INT(Query1[[#This Row],[EntryDateTime]])</f>
        <v>44679</v>
      </c>
      <c r="I4674" s="1">
        <f>IF(Query1[[#This Row],[ItemType]]="EVAP KIT SF GEN IV",Query1[[#This Row],[OrderQty]]+I4673,I4673)</f>
        <v>5808</v>
      </c>
      <c r="J4674" s="1">
        <f>IF(Query1[[#This Row],[ItemType]]="EVAP KIT UNIVERSAL",Query1[[#This Row],[OrderQty]]+J4673,J4673)</f>
        <v>1856</v>
      </c>
      <c r="K4674" s="1">
        <f>Query1[[#This Row],[SF Running Total]]+Query1[[#This Row],[UNIV Running Total]]</f>
        <v>7664</v>
      </c>
      <c r="L4674">
        <f>VLOOKUP(Query1[[#This Row],[Description]],'kits to boards'!$B$2:$E$156,2,FALSE)</f>
        <v>830105</v>
      </c>
      <c r="M4674">
        <f>VLOOKUP(Query1[[#This Row],[Description]],'kits to boards'!$B$2:$E$156,3,FALSE)</f>
        <v>830106</v>
      </c>
      <c r="N4674">
        <f>VLOOKUP(Query1[[#This Row],[Description]],'kits to boards'!$B$2:$E$156,4,FALSE)</f>
        <v>0</v>
      </c>
      <c r="O4674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4675" spans="1:15" x14ac:dyDescent="0.25">
      <c r="A4675" s="1">
        <v>921689</v>
      </c>
      <c r="B4675" s="1" t="s">
        <v>96</v>
      </c>
      <c r="C4675" s="1" t="s">
        <v>97</v>
      </c>
      <c r="D4675" s="2">
        <v>44679.624793784722</v>
      </c>
      <c r="E4675" s="1" t="s">
        <v>8</v>
      </c>
      <c r="F4675" s="1">
        <v>1</v>
      </c>
      <c r="G4675" s="1">
        <v>0</v>
      </c>
      <c r="H4675" s="6">
        <f>INT(Query1[[#This Row],[EntryDateTime]])</f>
        <v>44679</v>
      </c>
      <c r="I4675" s="1">
        <f>IF(Query1[[#This Row],[ItemType]]="EVAP KIT SF GEN IV",Query1[[#This Row],[OrderQty]]+I4674,I4674)</f>
        <v>5809</v>
      </c>
      <c r="J4675" s="1">
        <f>IF(Query1[[#This Row],[ItemType]]="EVAP KIT UNIVERSAL",Query1[[#This Row],[OrderQty]]+J4674,J4674)</f>
        <v>1856</v>
      </c>
      <c r="K4675" s="1">
        <f>Query1[[#This Row],[SF Running Total]]+Query1[[#This Row],[UNIV Running Total]]</f>
        <v>7665</v>
      </c>
      <c r="L4675">
        <f>VLOOKUP(Query1[[#This Row],[Description]],'kits to boards'!$B$2:$E$156,2,FALSE)</f>
        <v>830004</v>
      </c>
      <c r="M4675">
        <f>VLOOKUP(Query1[[#This Row],[Description]],'kits to boards'!$B$2:$E$156,3,FALSE)</f>
        <v>0</v>
      </c>
      <c r="N4675">
        <f>VLOOKUP(Query1[[#This Row],[Description]],'kits to boards'!$B$2:$E$156,4,FALSE)</f>
        <v>0</v>
      </c>
      <c r="O4675" t="str">
        <f>CONCATENATE(Query1[[#This Row],[Description]]," - ",Query1[[#This Row],[MB1]]," - ",Query1[[#This Row],[MB2]]," - ",Query1[[#This Row],[MB3]])</f>
        <v>EVAP KIT 81-87 CHEV P-UP W/AC - 830004 - 0 - 0</v>
      </c>
    </row>
    <row r="4676" spans="1:15" x14ac:dyDescent="0.25">
      <c r="A4676" s="1">
        <v>921206</v>
      </c>
      <c r="B4676" s="1" t="s">
        <v>106</v>
      </c>
      <c r="C4676" s="1" t="s">
        <v>107</v>
      </c>
      <c r="D4676" s="2">
        <v>44679.639623067131</v>
      </c>
      <c r="E4676" s="1" t="s">
        <v>8</v>
      </c>
      <c r="F4676" s="1">
        <v>1</v>
      </c>
      <c r="G4676" s="1">
        <v>0</v>
      </c>
      <c r="H4676" s="6">
        <f>INT(Query1[[#This Row],[EntryDateTime]])</f>
        <v>44679</v>
      </c>
      <c r="I4676" s="1">
        <f>IF(Query1[[#This Row],[ItemType]]="EVAP KIT SF GEN IV",Query1[[#This Row],[OrderQty]]+I4675,I4675)</f>
        <v>5810</v>
      </c>
      <c r="J4676" s="1">
        <f>IF(Query1[[#This Row],[ItemType]]="EVAP KIT UNIVERSAL",Query1[[#This Row],[OrderQty]]+J4675,J4675)</f>
        <v>1856</v>
      </c>
      <c r="K4676" s="1">
        <f>Query1[[#This Row],[SF Running Total]]+Query1[[#This Row],[UNIV Running Total]]</f>
        <v>7666</v>
      </c>
      <c r="L4676">
        <f>VLOOKUP(Query1[[#This Row],[Description]],'kits to boards'!$B$2:$E$156,2,FALSE)</f>
        <v>830028</v>
      </c>
      <c r="M4676">
        <f>VLOOKUP(Query1[[#This Row],[Description]],'kits to boards'!$B$2:$E$156,3,FALSE)</f>
        <v>0</v>
      </c>
      <c r="N4676">
        <f>VLOOKUP(Query1[[#This Row],[Description]],'kits to boards'!$B$2:$E$156,4,FALSE)</f>
        <v>0</v>
      </c>
      <c r="O4676" t="str">
        <f>CONCATENATE(Query1[[#This Row],[Description]]," - ",Query1[[#This Row],[MB1]]," - ",Query1[[#This Row],[MB2]]," - ",Query1[[#This Row],[MB3]])</f>
        <v>EVAP KIT 55-59 CHEV P-UP WO AC W/DELX - 830028 - 0 - 0</v>
      </c>
    </row>
    <row r="4677" spans="1:15" x14ac:dyDescent="0.25">
      <c r="A4677" s="1">
        <v>921706</v>
      </c>
      <c r="B4677" s="1" t="s">
        <v>34</v>
      </c>
      <c r="C4677" s="1" t="s">
        <v>35</v>
      </c>
      <c r="D4677" s="2">
        <v>44679.665484259262</v>
      </c>
      <c r="E4677" s="1" t="s">
        <v>8</v>
      </c>
      <c r="F4677" s="1">
        <v>1</v>
      </c>
      <c r="G4677" s="1">
        <v>0</v>
      </c>
      <c r="H4677" s="6">
        <f>INT(Query1[[#This Row],[EntryDateTime]])</f>
        <v>44679</v>
      </c>
      <c r="I4677" s="1">
        <f>IF(Query1[[#This Row],[ItemType]]="EVAP KIT SF GEN IV",Query1[[#This Row],[OrderQty]]+I4676,I4676)</f>
        <v>5811</v>
      </c>
      <c r="J4677" s="1">
        <f>IF(Query1[[#This Row],[ItemType]]="EVAP KIT UNIVERSAL",Query1[[#This Row],[OrderQty]]+J4676,J4676)</f>
        <v>1856</v>
      </c>
      <c r="K4677" s="1">
        <f>Query1[[#This Row],[SF Running Total]]+Query1[[#This Row],[UNIV Running Total]]</f>
        <v>7667</v>
      </c>
      <c r="L4677">
        <f>VLOOKUP(Query1[[#This Row],[Description]],'kits to boards'!$B$2:$E$156,2,FALSE)</f>
        <v>830065</v>
      </c>
      <c r="M4677">
        <f>VLOOKUP(Query1[[#This Row],[Description]],'kits to boards'!$B$2:$E$156,3,FALSE)</f>
        <v>0</v>
      </c>
      <c r="N4677">
        <f>VLOOKUP(Query1[[#This Row],[Description]],'kits to boards'!$B$2:$E$156,4,FALSE)</f>
        <v>0</v>
      </c>
      <c r="O4677" t="str">
        <f>CONCATENATE(Query1[[#This Row],[Description]]," - ",Query1[[#This Row],[MB1]]," - ",Query1[[#This Row],[MB2]]," - ",Query1[[#This Row],[MB3]])</f>
        <v>EVAP KIT 57 CHEV WO AC - 830065 - 0 - 0</v>
      </c>
    </row>
    <row r="4678" spans="1:15" x14ac:dyDescent="0.25">
      <c r="A4678" s="1">
        <v>916994</v>
      </c>
      <c r="B4678" s="1" t="s">
        <v>92</v>
      </c>
      <c r="C4678" s="1" t="s">
        <v>93</v>
      </c>
      <c r="D4678" s="2">
        <v>44679.667157638891</v>
      </c>
      <c r="E4678" s="1" t="s">
        <v>8</v>
      </c>
      <c r="F4678" s="1">
        <v>1</v>
      </c>
      <c r="G4678" s="1">
        <v>0</v>
      </c>
      <c r="H4678" s="6">
        <f>INT(Query1[[#This Row],[EntryDateTime]])</f>
        <v>44679</v>
      </c>
      <c r="I4678" s="1">
        <f>IF(Query1[[#This Row],[ItemType]]="EVAP KIT SF GEN IV",Query1[[#This Row],[OrderQty]]+I4677,I4677)</f>
        <v>5812</v>
      </c>
      <c r="J4678" s="1">
        <f>IF(Query1[[#This Row],[ItemType]]="EVAP KIT UNIVERSAL",Query1[[#This Row],[OrderQty]]+J4677,J4677)</f>
        <v>1856</v>
      </c>
      <c r="K4678" s="1">
        <f>Query1[[#This Row],[SF Running Total]]+Query1[[#This Row],[UNIV Running Total]]</f>
        <v>7668</v>
      </c>
      <c r="L4678">
        <f>VLOOKUP(Query1[[#This Row],[Description]],'kits to boards'!$B$2:$E$156,2,FALSE)</f>
        <v>830063</v>
      </c>
      <c r="M4678">
        <f>VLOOKUP(Query1[[#This Row],[Description]],'kits to boards'!$B$2:$E$156,3,FALSE)</f>
        <v>0</v>
      </c>
      <c r="N4678">
        <f>VLOOKUP(Query1[[#This Row],[Description]],'kits to boards'!$B$2:$E$156,4,FALSE)</f>
        <v>0</v>
      </c>
      <c r="O4678" t="str">
        <f>CONCATENATE(Query1[[#This Row],[Description]]," - ",Query1[[#This Row],[MB1]]," - ",Query1[[#This Row],[MB2]]," - ",Query1[[#This Row],[MB3]])</f>
        <v>EVAP KIT 50-53 CHEV P-UP GEN IV - 830063 - 0 - 0</v>
      </c>
    </row>
    <row r="4679" spans="1:15" x14ac:dyDescent="0.25">
      <c r="A4679" s="1">
        <v>921716</v>
      </c>
      <c r="B4679" s="1" t="s">
        <v>22</v>
      </c>
      <c r="C4679" s="1" t="s">
        <v>23</v>
      </c>
      <c r="D4679" s="2">
        <v>44679.679267743057</v>
      </c>
      <c r="E4679" s="1" t="s">
        <v>8</v>
      </c>
      <c r="F4679" s="1">
        <v>1</v>
      </c>
      <c r="G4679" s="1">
        <v>0</v>
      </c>
      <c r="H4679" s="6">
        <f>INT(Query1[[#This Row],[EntryDateTime]])</f>
        <v>44679</v>
      </c>
      <c r="I4679" s="1">
        <f>IF(Query1[[#This Row],[ItemType]]="EVAP KIT SF GEN IV",Query1[[#This Row],[OrderQty]]+I4678,I4678)</f>
        <v>5813</v>
      </c>
      <c r="J4679" s="1">
        <f>IF(Query1[[#This Row],[ItemType]]="EVAP KIT UNIVERSAL",Query1[[#This Row],[OrderQty]]+J4678,J4678)</f>
        <v>1856</v>
      </c>
      <c r="K4679" s="1">
        <f>Query1[[#This Row],[SF Running Total]]+Query1[[#This Row],[UNIV Running Total]]</f>
        <v>7669</v>
      </c>
      <c r="L4679">
        <f>VLOOKUP(Query1[[#This Row],[Description]],'kits to boards'!$B$2:$E$156,2,FALSE)</f>
        <v>830083</v>
      </c>
      <c r="M4679">
        <f>VLOOKUP(Query1[[#This Row],[Description]],'kits to boards'!$B$2:$E$156,3,FALSE)</f>
        <v>0</v>
      </c>
      <c r="N4679">
        <f>VLOOKUP(Query1[[#This Row],[Description]],'kits to boards'!$B$2:$E$156,4,FALSE)</f>
        <v>0</v>
      </c>
      <c r="O4679" t="str">
        <f>CONCATENATE(Query1[[#This Row],[Description]]," - ",Query1[[#This Row],[MB1]]," - ",Query1[[#This Row],[MB2]]," - ",Query1[[#This Row],[MB3]])</f>
        <v>GEN IV MAGNUM EVAP KIT - 830083 - 0 - 0</v>
      </c>
    </row>
    <row r="4680" spans="1:15" x14ac:dyDescent="0.25">
      <c r="A4680" s="1">
        <v>921736</v>
      </c>
      <c r="B4680" s="1" t="s">
        <v>20</v>
      </c>
      <c r="C4680" s="1" t="s">
        <v>21</v>
      </c>
      <c r="D4680" s="2">
        <v>44680.296265243058</v>
      </c>
      <c r="E4680" s="1" t="s">
        <v>11</v>
      </c>
      <c r="F4680" s="1">
        <v>1</v>
      </c>
      <c r="G4680" s="1">
        <v>0</v>
      </c>
      <c r="H4680" s="6">
        <f>INT(Query1[[#This Row],[EntryDateTime]])</f>
        <v>44680</v>
      </c>
      <c r="I4680" s="1">
        <f>IF(Query1[[#This Row],[ItemType]]="EVAP KIT SF GEN IV",Query1[[#This Row],[OrderQty]]+I4679,I4679)</f>
        <v>5813</v>
      </c>
      <c r="J4680" s="1">
        <f>IF(Query1[[#This Row],[ItemType]]="EVAP KIT UNIVERSAL",Query1[[#This Row],[OrderQty]]+J4679,J4679)</f>
        <v>1857</v>
      </c>
      <c r="K4680" s="1">
        <f>Query1[[#This Row],[SF Running Total]]+Query1[[#This Row],[UNIV Running Total]]</f>
        <v>7670</v>
      </c>
      <c r="L4680">
        <f>VLOOKUP(Query1[[#This Row],[Description]],'kits to boards'!$B$2:$E$156,2,FALSE)</f>
        <v>830102</v>
      </c>
      <c r="M4680">
        <f>VLOOKUP(Query1[[#This Row],[Description]],'kits to boards'!$B$2:$E$156,3,FALSE)</f>
        <v>0</v>
      </c>
      <c r="N4680">
        <f>VLOOKUP(Query1[[#This Row],[Description]],'kits to boards'!$B$2:$E$156,4,FALSE)</f>
        <v>0</v>
      </c>
      <c r="O4680" t="str">
        <f>CONCATENATE(Query1[[#This Row],[Description]]," - ",Query1[[#This Row],[MB1]]," - ",Query1[[#This Row],[MB2]]," - ",Query1[[#This Row],[MB3]])</f>
        <v>SUPER GEN II W/DEF - 830102 - 0 - 0</v>
      </c>
    </row>
    <row r="4681" spans="1:15" x14ac:dyDescent="0.25">
      <c r="A4681" s="1">
        <v>921736</v>
      </c>
      <c r="B4681" s="1" t="s">
        <v>22</v>
      </c>
      <c r="C4681" s="1" t="s">
        <v>23</v>
      </c>
      <c r="D4681" s="2">
        <v>44680.296409803239</v>
      </c>
      <c r="E4681" s="1" t="s">
        <v>8</v>
      </c>
      <c r="F4681" s="1">
        <v>2</v>
      </c>
      <c r="G4681" s="1">
        <v>0</v>
      </c>
      <c r="H4681" s="6">
        <f>INT(Query1[[#This Row],[EntryDateTime]])</f>
        <v>44680</v>
      </c>
      <c r="I4681" s="1">
        <f>IF(Query1[[#This Row],[ItemType]]="EVAP KIT SF GEN IV",Query1[[#This Row],[OrderQty]]+I4680,I4680)</f>
        <v>5815</v>
      </c>
      <c r="J4681" s="1">
        <f>IF(Query1[[#This Row],[ItemType]]="EVAP KIT UNIVERSAL",Query1[[#This Row],[OrderQty]]+J4680,J4680)</f>
        <v>1857</v>
      </c>
      <c r="K4681" s="1">
        <f>Query1[[#This Row],[SF Running Total]]+Query1[[#This Row],[UNIV Running Total]]</f>
        <v>7672</v>
      </c>
      <c r="L4681">
        <f>VLOOKUP(Query1[[#This Row],[Description]],'kits to boards'!$B$2:$E$156,2,FALSE)</f>
        <v>830083</v>
      </c>
      <c r="M4681">
        <f>VLOOKUP(Query1[[#This Row],[Description]],'kits to boards'!$B$2:$E$156,3,FALSE)</f>
        <v>0</v>
      </c>
      <c r="N4681">
        <f>VLOOKUP(Query1[[#This Row],[Description]],'kits to boards'!$B$2:$E$156,4,FALSE)</f>
        <v>0</v>
      </c>
      <c r="O4681" t="str">
        <f>CONCATENATE(Query1[[#This Row],[Description]]," - ",Query1[[#This Row],[MB1]]," - ",Query1[[#This Row],[MB2]]," - ",Query1[[#This Row],[MB3]])</f>
        <v>GEN IV MAGNUM EVAP KIT - 830083 - 0 - 0</v>
      </c>
    </row>
    <row r="4682" spans="1:15" x14ac:dyDescent="0.25">
      <c r="A4682" s="1">
        <v>921736</v>
      </c>
      <c r="B4682" s="1" t="s">
        <v>172</v>
      </c>
      <c r="C4682" s="1" t="s">
        <v>173</v>
      </c>
      <c r="D4682" s="2">
        <v>44680.296535034722</v>
      </c>
      <c r="E4682" s="1" t="s">
        <v>11</v>
      </c>
      <c r="F4682" s="1">
        <v>2</v>
      </c>
      <c r="G4682" s="1">
        <v>0</v>
      </c>
      <c r="H4682" s="6">
        <f>INT(Query1[[#This Row],[EntryDateTime]])</f>
        <v>44680</v>
      </c>
      <c r="I4682" s="1">
        <f>IF(Query1[[#This Row],[ItemType]]="EVAP KIT SF GEN IV",Query1[[#This Row],[OrderQty]]+I4681,I4681)</f>
        <v>5815</v>
      </c>
      <c r="J4682" s="1">
        <f>IF(Query1[[#This Row],[ItemType]]="EVAP KIT UNIVERSAL",Query1[[#This Row],[OrderQty]]+J4681,J4681)</f>
        <v>1859</v>
      </c>
      <c r="K4682" s="1">
        <f>Query1[[#This Row],[SF Running Total]]+Query1[[#This Row],[UNIV Running Total]]</f>
        <v>7674</v>
      </c>
      <c r="L4682">
        <f>VLOOKUP(Query1[[#This Row],[Description]],'kits to boards'!$B$2:$E$156,2,FALSE)</f>
        <v>0</v>
      </c>
      <c r="M4682">
        <f>VLOOKUP(Query1[[#This Row],[Description]],'kits to boards'!$B$2:$E$156,3,FALSE)</f>
        <v>0</v>
      </c>
      <c r="N4682">
        <f>VLOOKUP(Query1[[#This Row],[Description]],'kits to boards'!$B$2:$E$156,4,FALSE)</f>
        <v>0</v>
      </c>
      <c r="O4682" t="str">
        <f>CONCATENATE(Query1[[#This Row],[Description]]," - ",Query1[[#This Row],[MB1]]," - ",Query1[[#This Row],[MB2]]," - ",Query1[[#This Row],[MB3]])</f>
        <v>HERITAGE PEARL EVAP KIT COOL ONLY - 0 - 0 - 0</v>
      </c>
    </row>
    <row r="4683" spans="1:15" x14ac:dyDescent="0.25">
      <c r="A4683" s="1">
        <v>921736</v>
      </c>
      <c r="B4683" s="1" t="s">
        <v>136</v>
      </c>
      <c r="C4683" s="1" t="s">
        <v>137</v>
      </c>
      <c r="D4683" s="2">
        <v>44680.296677743056</v>
      </c>
      <c r="E4683" s="1" t="s">
        <v>11</v>
      </c>
      <c r="F4683" s="1">
        <v>5</v>
      </c>
      <c r="G4683" s="1">
        <v>0</v>
      </c>
      <c r="H4683" s="6">
        <f>INT(Query1[[#This Row],[EntryDateTime]])</f>
        <v>44680</v>
      </c>
      <c r="I4683" s="1">
        <f>IF(Query1[[#This Row],[ItemType]]="EVAP KIT SF GEN IV",Query1[[#This Row],[OrderQty]]+I4682,I4682)</f>
        <v>5815</v>
      </c>
      <c r="J4683" s="1">
        <f>IF(Query1[[#This Row],[ItemType]]="EVAP KIT UNIVERSAL",Query1[[#This Row],[OrderQty]]+J4682,J4682)</f>
        <v>1864</v>
      </c>
      <c r="K4683" s="1">
        <f>Query1[[#This Row],[SF Running Total]]+Query1[[#This Row],[UNIV Running Total]]</f>
        <v>7679</v>
      </c>
      <c r="L4683">
        <f>VLOOKUP(Query1[[#This Row],[Description]],'kits to boards'!$B$2:$E$156,2,FALSE)</f>
        <v>0</v>
      </c>
      <c r="M4683">
        <f>VLOOKUP(Query1[[#This Row],[Description]],'kits to boards'!$B$2:$E$156,3,FALSE)</f>
        <v>0</v>
      </c>
      <c r="N4683">
        <f>VLOOKUP(Query1[[#This Row],[Description]],'kits to boards'!$B$2:$E$156,4,FALSE)</f>
        <v>0</v>
      </c>
      <c r="O4683" t="str">
        <f>CONCATENATE(Query1[[#This Row],[Description]]," - ",Query1[[#This Row],[MB1]]," - ",Query1[[#This Row],[MB2]]," - ",Query1[[#This Row],[MB3]])</f>
        <v>HERITAGE TURNED EVAP KIT HEAT/COOL - 0 - 0 - 0</v>
      </c>
    </row>
    <row r="4684" spans="1:15" x14ac:dyDescent="0.25">
      <c r="A4684" s="1">
        <v>921736</v>
      </c>
      <c r="B4684" s="1" t="s">
        <v>98</v>
      </c>
      <c r="C4684" s="1" t="s">
        <v>99</v>
      </c>
      <c r="D4684" s="2">
        <v>44680.296832986111</v>
      </c>
      <c r="E4684" s="1" t="s">
        <v>11</v>
      </c>
      <c r="F4684" s="1">
        <v>20</v>
      </c>
      <c r="G4684" s="1">
        <v>0</v>
      </c>
      <c r="H4684" s="6">
        <f>INT(Query1[[#This Row],[EntryDateTime]])</f>
        <v>44680</v>
      </c>
      <c r="I4684" s="1">
        <f>IF(Query1[[#This Row],[ItemType]]="EVAP KIT SF GEN IV",Query1[[#This Row],[OrderQty]]+I4683,I4683)</f>
        <v>5815</v>
      </c>
      <c r="J4684" s="1">
        <f>IF(Query1[[#This Row],[ItemType]]="EVAP KIT UNIVERSAL",Query1[[#This Row],[OrderQty]]+J4683,J4683)</f>
        <v>1884</v>
      </c>
      <c r="K4684" s="1">
        <f>Query1[[#This Row],[SF Running Total]]+Query1[[#This Row],[UNIV Running Total]]</f>
        <v>7699</v>
      </c>
      <c r="L4684">
        <f>VLOOKUP(Query1[[#This Row],[Description]],'kits to boards'!$B$2:$E$156,2,FALSE)</f>
        <v>830099</v>
      </c>
      <c r="M4684">
        <f>VLOOKUP(Query1[[#This Row],[Description]],'kits to boards'!$B$2:$E$156,3,FALSE)</f>
        <v>0</v>
      </c>
      <c r="N4684">
        <f>VLOOKUP(Query1[[#This Row],[Description]],'kits to boards'!$B$2:$E$156,4,FALSE)</f>
        <v>0</v>
      </c>
      <c r="O4684" t="str">
        <f>CONCATENATE(Query1[[#This Row],[Description]]," - ",Query1[[#This Row],[MB1]]," - ",Query1[[#This Row],[MB2]]," - ",Query1[[#This Row],[MB3]])</f>
        <v>MINI GEN II W/DEF - 830099 - 0 - 0</v>
      </c>
    </row>
    <row r="4685" spans="1:15" x14ac:dyDescent="0.25">
      <c r="A4685" s="1">
        <v>921736</v>
      </c>
      <c r="B4685" s="1" t="s">
        <v>24</v>
      </c>
      <c r="C4685" s="1" t="s">
        <v>25</v>
      </c>
      <c r="D4685" s="2">
        <v>44680.296989548609</v>
      </c>
      <c r="E4685" s="1" t="s">
        <v>11</v>
      </c>
      <c r="F4685" s="1">
        <v>6</v>
      </c>
      <c r="G4685" s="1">
        <v>0</v>
      </c>
      <c r="H4685" s="6">
        <f>INT(Query1[[#This Row],[EntryDateTime]])</f>
        <v>44680</v>
      </c>
      <c r="I4685" s="1">
        <f>IF(Query1[[#This Row],[ItemType]]="EVAP KIT SF GEN IV",Query1[[#This Row],[OrderQty]]+I4684,I4684)</f>
        <v>5815</v>
      </c>
      <c r="J4685" s="1">
        <f>IF(Query1[[#This Row],[ItemType]]="EVAP KIT UNIVERSAL",Query1[[#This Row],[OrderQty]]+J4684,J4684)</f>
        <v>1890</v>
      </c>
      <c r="K4685" s="1">
        <f>Query1[[#This Row],[SF Running Total]]+Query1[[#This Row],[UNIV Running Total]]</f>
        <v>7705</v>
      </c>
      <c r="L4685">
        <f>VLOOKUP(Query1[[#This Row],[Description]],'kits to boards'!$B$2:$E$156,2,FALSE)</f>
        <v>830029</v>
      </c>
      <c r="M4685">
        <f>VLOOKUP(Query1[[#This Row],[Description]],'kits to boards'!$B$2:$E$156,3,FALSE)</f>
        <v>830030</v>
      </c>
      <c r="N4685">
        <f>VLOOKUP(Query1[[#This Row],[Description]],'kits to boards'!$B$2:$E$156,4,FALSE)</f>
        <v>0</v>
      </c>
      <c r="O4685" t="str">
        <f>CONCATENATE(Query1[[#This Row],[Description]]," - ",Query1[[#This Row],[MB1]]," - ",Query1[[#This Row],[MB2]]," - ",Query1[[#This Row],[MB3]])</f>
        <v>ComPac GEN II W/DEF - 830029 - 830030 - 0</v>
      </c>
    </row>
    <row r="4686" spans="1:15" x14ac:dyDescent="0.25">
      <c r="A4686" s="1">
        <v>921737</v>
      </c>
      <c r="B4686" s="1" t="s">
        <v>188</v>
      </c>
      <c r="C4686" s="1" t="s">
        <v>189</v>
      </c>
      <c r="D4686" s="2">
        <v>44680.301905173612</v>
      </c>
      <c r="E4686" s="1" t="s">
        <v>11</v>
      </c>
      <c r="F4686" s="1">
        <v>1</v>
      </c>
      <c r="G4686" s="1">
        <v>0</v>
      </c>
      <c r="H4686" s="6">
        <f>INT(Query1[[#This Row],[EntryDateTime]])</f>
        <v>44680</v>
      </c>
      <c r="I4686" s="1">
        <f>IF(Query1[[#This Row],[ItemType]]="EVAP KIT SF GEN IV",Query1[[#This Row],[OrderQty]]+I4685,I4685)</f>
        <v>5815</v>
      </c>
      <c r="J4686" s="1">
        <f>IF(Query1[[#This Row],[ItemType]]="EVAP KIT UNIVERSAL",Query1[[#This Row],[OrderQty]]+J4685,J4685)</f>
        <v>1891</v>
      </c>
      <c r="K4686" s="1">
        <f>Query1[[#This Row],[SF Running Total]]+Query1[[#This Row],[UNIV Running Total]]</f>
        <v>7706</v>
      </c>
      <c r="L4686">
        <f>VLOOKUP(Query1[[#This Row],[Description]],'kits to boards'!$B$2:$E$156,2,FALSE)</f>
        <v>830069</v>
      </c>
      <c r="M4686">
        <f>VLOOKUP(Query1[[#This Row],[Description]],'kits to boards'!$B$2:$E$156,3,FALSE)</f>
        <v>0</v>
      </c>
      <c r="N4686">
        <f>VLOOKUP(Query1[[#This Row],[Description]],'kits to boards'!$B$2:$E$156,4,FALSE)</f>
        <v>0</v>
      </c>
      <c r="O4686" t="str">
        <f>CONCATENATE(Query1[[#This Row],[Description]]," - ",Query1[[#This Row],[MB1]]," - ",Query1[[#This Row],[MB2]]," - ",Query1[[#This Row],[MB3]])</f>
        <v>SLIMLINE H/C STD LOUVER - 830069 - 0 - 0</v>
      </c>
    </row>
    <row r="4687" spans="1:15" x14ac:dyDescent="0.25">
      <c r="A4687" s="1">
        <v>921540</v>
      </c>
      <c r="B4687" s="1" t="s">
        <v>506</v>
      </c>
      <c r="C4687" s="1" t="s">
        <v>507</v>
      </c>
      <c r="D4687" s="2">
        <v>44680.306543321756</v>
      </c>
      <c r="E4687" s="1" t="s">
        <v>677</v>
      </c>
      <c r="F4687" s="1">
        <v>1</v>
      </c>
      <c r="G4687" s="1">
        <v>0</v>
      </c>
      <c r="H4687" s="6">
        <f>INT(Query1[[#This Row],[EntryDateTime]])</f>
        <v>44680</v>
      </c>
      <c r="I4687" s="1">
        <f>IF(Query1[[#This Row],[ItemType]]="EVAP KIT SF GEN IV",Query1[[#This Row],[OrderQty]]+I4686,I4686)</f>
        <v>5815</v>
      </c>
      <c r="J4687" s="1">
        <f>IF(Query1[[#This Row],[ItemType]]="EVAP KIT UNIVERSAL",Query1[[#This Row],[OrderQty]]+J4686,J4686)</f>
        <v>1891</v>
      </c>
      <c r="K4687" s="1">
        <f>Query1[[#This Row],[SF Running Total]]+Query1[[#This Row],[UNIV Running Total]]</f>
        <v>7706</v>
      </c>
      <c r="L4687" t="e">
        <f>VLOOKUP(Query1[[#This Row],[Description]],'kits to boards'!$B$2:$E$156,2,FALSE)</f>
        <v>#N/A</v>
      </c>
      <c r="M4687" t="e">
        <f>VLOOKUP(Query1[[#This Row],[Description]],'kits to boards'!$B$2:$E$156,3,FALSE)</f>
        <v>#N/A</v>
      </c>
      <c r="N4687" t="e">
        <f>VLOOKUP(Query1[[#This Row],[Description]],'kits to boards'!$B$2:$E$156,4,FALSE)</f>
        <v>#N/A</v>
      </c>
      <c r="O4687" t="e">
        <f>CONCATENATE(Query1[[#This Row],[Description]]," - ",Query1[[#This Row],[MB1]]," - ",Query1[[#This Row],[MB2]]," - ",Query1[[#This Row],[MB3]])</f>
        <v>#N/A</v>
      </c>
    </row>
    <row r="4688" spans="1:15" x14ac:dyDescent="0.25">
      <c r="A4688" s="1">
        <v>921625</v>
      </c>
      <c r="B4688" s="1" t="s">
        <v>132</v>
      </c>
      <c r="C4688" s="1" t="s">
        <v>133</v>
      </c>
      <c r="D4688" s="2">
        <v>44680.318337581019</v>
      </c>
      <c r="E4688" s="1" t="s">
        <v>8</v>
      </c>
      <c r="F4688" s="1">
        <v>1</v>
      </c>
      <c r="G4688" s="1">
        <v>0</v>
      </c>
      <c r="H4688" s="6">
        <f>INT(Query1[[#This Row],[EntryDateTime]])</f>
        <v>44680</v>
      </c>
      <c r="I4688" s="1">
        <f>IF(Query1[[#This Row],[ItemType]]="EVAP KIT SF GEN IV",Query1[[#This Row],[OrderQty]]+I4687,I4687)</f>
        <v>5816</v>
      </c>
      <c r="J4688" s="1">
        <f>IF(Query1[[#This Row],[ItemType]]="EVAP KIT UNIVERSAL",Query1[[#This Row],[OrderQty]]+J4687,J4687)</f>
        <v>1891</v>
      </c>
      <c r="K4688" s="1">
        <f>Query1[[#This Row],[SF Running Total]]+Query1[[#This Row],[UNIV Running Total]]</f>
        <v>7707</v>
      </c>
      <c r="L4688">
        <f>VLOOKUP(Query1[[#This Row],[Description]],'kits to boards'!$B$2:$E$156,2,FALSE)</f>
        <v>830005</v>
      </c>
      <c r="M4688">
        <f>VLOOKUP(Query1[[#This Row],[Description]],'kits to boards'!$B$2:$E$156,3,FALSE)</f>
        <v>0</v>
      </c>
      <c r="N4688">
        <f>VLOOKUP(Query1[[#This Row],[Description]],'kits to boards'!$B$2:$E$156,4,FALSE)</f>
        <v>0</v>
      </c>
      <c r="O4688" t="str">
        <f>CONCATENATE(Query1[[#This Row],[Description]]," - ",Query1[[#This Row],[MB1]]," - ",Query1[[#This Row],[MB2]]," - ",Query1[[#This Row],[MB3]])</f>
        <v>EVAP KIT 61-62 IMPALA WO AC - 830005 - 0 - 0</v>
      </c>
    </row>
    <row r="4689" spans="1:15" x14ac:dyDescent="0.25">
      <c r="A4689" s="1">
        <v>921742</v>
      </c>
      <c r="B4689" s="1" t="s">
        <v>78</v>
      </c>
      <c r="C4689" s="1" t="s">
        <v>79</v>
      </c>
      <c r="D4689" s="2">
        <v>44680.318934571762</v>
      </c>
      <c r="E4689" s="1" t="s">
        <v>11</v>
      </c>
      <c r="F4689" s="1">
        <v>1</v>
      </c>
      <c r="G4689" s="1">
        <v>0</v>
      </c>
      <c r="H4689" s="6">
        <f>INT(Query1[[#This Row],[EntryDateTime]])</f>
        <v>44680</v>
      </c>
      <c r="I4689" s="1">
        <f>IF(Query1[[#This Row],[ItemType]]="EVAP KIT SF GEN IV",Query1[[#This Row],[OrderQty]]+I4688,I4688)</f>
        <v>5816</v>
      </c>
      <c r="J4689" s="1">
        <f>IF(Query1[[#This Row],[ItemType]]="EVAP KIT UNIVERSAL",Query1[[#This Row],[OrderQty]]+J4688,J4688)</f>
        <v>1892</v>
      </c>
      <c r="K4689" s="1">
        <f>Query1[[#This Row],[SF Running Total]]+Query1[[#This Row],[UNIV Running Total]]</f>
        <v>7708</v>
      </c>
      <c r="L4689">
        <f>VLOOKUP(Query1[[#This Row],[Description]],'kits to boards'!$B$2:$E$156,2,FALSE)</f>
        <v>0</v>
      </c>
      <c r="M4689">
        <f>VLOOKUP(Query1[[#This Row],[Description]],'kits to boards'!$B$2:$E$156,3,FALSE)</f>
        <v>0</v>
      </c>
      <c r="N4689">
        <f>VLOOKUP(Query1[[#This Row],[Description]],'kits to boards'!$B$2:$E$156,4,FALSE)</f>
        <v>0</v>
      </c>
      <c r="O4689" t="str">
        <f>CONCATENATE(Query1[[#This Row],[Description]]," - ",Query1[[#This Row],[MB1]]," - ",Query1[[#This Row],[MB2]]," - ",Query1[[#This Row],[MB3]])</f>
        <v>MARK IV STYLELINE UNDERDASH EVAP - 0 - 0 - 0</v>
      </c>
    </row>
    <row r="4690" spans="1:15" x14ac:dyDescent="0.25">
      <c r="A4690" s="1">
        <v>921629</v>
      </c>
      <c r="B4690" s="1" t="s">
        <v>6</v>
      </c>
      <c r="C4690" s="1" t="s">
        <v>7</v>
      </c>
      <c r="D4690" s="2">
        <v>44680.319434409721</v>
      </c>
      <c r="E4690" s="1" t="s">
        <v>8</v>
      </c>
      <c r="F4690" s="1">
        <v>1</v>
      </c>
      <c r="G4690" s="1">
        <v>0</v>
      </c>
      <c r="H4690" s="6">
        <f>INT(Query1[[#This Row],[EntryDateTime]])</f>
        <v>44680</v>
      </c>
      <c r="I4690" s="1">
        <f>IF(Query1[[#This Row],[ItemType]]="EVAP KIT SF GEN IV",Query1[[#This Row],[OrderQty]]+I4689,I4689)</f>
        <v>5817</v>
      </c>
      <c r="J4690" s="1">
        <f>IF(Query1[[#This Row],[ItemType]]="EVAP KIT UNIVERSAL",Query1[[#This Row],[OrderQty]]+J4689,J4689)</f>
        <v>1892</v>
      </c>
      <c r="K4690" s="1">
        <f>Query1[[#This Row],[SF Running Total]]+Query1[[#This Row],[UNIV Running Total]]</f>
        <v>7709</v>
      </c>
      <c r="L4690">
        <f>VLOOKUP(Query1[[#This Row],[Description]],'kits to boards'!$B$2:$E$156,2,FALSE)</f>
        <v>830132</v>
      </c>
      <c r="M4690">
        <f>VLOOKUP(Query1[[#This Row],[Description]],'kits to boards'!$B$2:$E$156,3,FALSE)</f>
        <v>0</v>
      </c>
      <c r="N4690">
        <f>VLOOKUP(Query1[[#This Row],[Description]],'kits to boards'!$B$2:$E$156,4,FALSE)</f>
        <v>0</v>
      </c>
      <c r="O4690" t="str">
        <f>CONCATENATE(Query1[[#This Row],[Description]]," - ",Query1[[#This Row],[MB1]]," - ",Query1[[#This Row],[MB2]]," - ",Query1[[#This Row],[MB3]])</f>
        <v>EVAP KIT 82-88 MONTE CARLO/EL CAMINO - 830132 - 0 - 0</v>
      </c>
    </row>
    <row r="4691" spans="1:15" x14ac:dyDescent="0.25">
      <c r="A4691" s="1">
        <v>921743</v>
      </c>
      <c r="B4691" s="1" t="s">
        <v>138</v>
      </c>
      <c r="C4691" s="1" t="s">
        <v>139</v>
      </c>
      <c r="D4691" s="2">
        <v>44680.3213721875</v>
      </c>
      <c r="E4691" s="1" t="s">
        <v>11</v>
      </c>
      <c r="F4691" s="1">
        <v>1</v>
      </c>
      <c r="G4691" s="1">
        <v>0</v>
      </c>
      <c r="H4691" s="6">
        <f>INT(Query1[[#This Row],[EntryDateTime]])</f>
        <v>44680</v>
      </c>
      <c r="I4691" s="1">
        <f>IF(Query1[[#This Row],[ItemType]]="EVAP KIT SF GEN IV",Query1[[#This Row],[OrderQty]]+I4690,I4690)</f>
        <v>5817</v>
      </c>
      <c r="J4691" s="1">
        <f>IF(Query1[[#This Row],[ItemType]]="EVAP KIT UNIVERSAL",Query1[[#This Row],[OrderQty]]+J4690,J4690)</f>
        <v>1893</v>
      </c>
      <c r="K4691" s="1">
        <f>Query1[[#This Row],[SF Running Total]]+Query1[[#This Row],[UNIV Running Total]]</f>
        <v>7710</v>
      </c>
      <c r="L4691">
        <f>VLOOKUP(Query1[[#This Row],[Description]],'kits to boards'!$B$2:$E$156,2,FALSE)</f>
        <v>0</v>
      </c>
      <c r="M4691">
        <f>VLOOKUP(Query1[[#This Row],[Description]],'kits to boards'!$B$2:$E$156,3,FALSE)</f>
        <v>0</v>
      </c>
      <c r="N4691">
        <f>VLOOKUP(Query1[[#This Row],[Description]],'kits to boards'!$B$2:$E$156,4,FALSE)</f>
        <v>0</v>
      </c>
      <c r="O4691" t="str">
        <f>CONCATENATE(Query1[[#This Row],[Description]]," - ",Query1[[#This Row],[MB1]]," - ",Query1[[#This Row],[MB2]]," - ",Query1[[#This Row],[MB3]])</f>
        <v>HERITAGE TURNED BLACK EVAP KIT HEAT/COOL - 0 - 0 - 0</v>
      </c>
    </row>
    <row r="4692" spans="1:15" x14ac:dyDescent="0.25">
      <c r="A4692" s="1">
        <v>921751</v>
      </c>
      <c r="B4692" s="1" t="s">
        <v>56</v>
      </c>
      <c r="C4692" s="1" t="s">
        <v>57</v>
      </c>
      <c r="D4692" s="2">
        <v>44680.337193518521</v>
      </c>
      <c r="E4692" s="1" t="s">
        <v>8</v>
      </c>
      <c r="F4692" s="1">
        <v>1</v>
      </c>
      <c r="G4692" s="1">
        <v>0</v>
      </c>
      <c r="H4692" s="6">
        <f>INT(Query1[[#This Row],[EntryDateTime]])</f>
        <v>44680</v>
      </c>
      <c r="I4692" s="1">
        <f>IF(Query1[[#This Row],[ItemType]]="EVAP KIT SF GEN IV",Query1[[#This Row],[OrderQty]]+I4691,I4691)</f>
        <v>5818</v>
      </c>
      <c r="J4692" s="1">
        <f>IF(Query1[[#This Row],[ItemType]]="EVAP KIT UNIVERSAL",Query1[[#This Row],[OrderQty]]+J4691,J4691)</f>
        <v>1893</v>
      </c>
      <c r="K4692" s="1">
        <f>Query1[[#This Row],[SF Running Total]]+Query1[[#This Row],[UNIV Running Total]]</f>
        <v>7711</v>
      </c>
      <c r="L4692">
        <f>VLOOKUP(Query1[[#This Row],[Description]],'kits to boards'!$B$2:$E$156,2,FALSE)</f>
        <v>830011</v>
      </c>
      <c r="M4692">
        <f>VLOOKUP(Query1[[#This Row],[Description]],'kits to boards'!$B$2:$E$156,3,FALSE)</f>
        <v>0</v>
      </c>
      <c r="N4692">
        <f>VLOOKUP(Query1[[#This Row],[Description]],'kits to boards'!$B$2:$E$156,4,FALSE)</f>
        <v>0</v>
      </c>
      <c r="O4692" t="str">
        <f>CONCATENATE(Query1[[#This Row],[Description]]," - ",Query1[[#This Row],[MB1]]," - ",Query1[[#This Row],[MB2]]," - ",Query1[[#This Row],[MB3]])</f>
        <v>EVAP KIT 70-72 CHEVELLE W/AC - 830011 - 0 - 0</v>
      </c>
    </row>
    <row r="4693" spans="1:15" x14ac:dyDescent="0.25">
      <c r="A4693" s="1">
        <v>921753</v>
      </c>
      <c r="B4693" s="1" t="s">
        <v>26</v>
      </c>
      <c r="C4693" s="1" t="s">
        <v>27</v>
      </c>
      <c r="D4693" s="2">
        <v>44680.339698113428</v>
      </c>
      <c r="E4693" s="1" t="s">
        <v>8</v>
      </c>
      <c r="F4693" s="1">
        <v>1</v>
      </c>
      <c r="G4693" s="1">
        <v>0</v>
      </c>
      <c r="H4693" s="6">
        <f>INT(Query1[[#This Row],[EntryDateTime]])</f>
        <v>44680</v>
      </c>
      <c r="I4693" s="1">
        <f>IF(Query1[[#This Row],[ItemType]]="EVAP KIT SF GEN IV",Query1[[#This Row],[OrderQty]]+I4692,I4692)</f>
        <v>5819</v>
      </c>
      <c r="J4693" s="1">
        <f>IF(Query1[[#This Row],[ItemType]]="EVAP KIT UNIVERSAL",Query1[[#This Row],[OrderQty]]+J4692,J4692)</f>
        <v>1893</v>
      </c>
      <c r="K4693" s="1">
        <f>Query1[[#This Row],[SF Running Total]]+Query1[[#This Row],[UNIV Running Total]]</f>
        <v>7712</v>
      </c>
      <c r="L4693">
        <f>VLOOKUP(Query1[[#This Row],[Description]],'kits to boards'!$B$2:$E$156,2,FALSE)</f>
        <v>830013</v>
      </c>
      <c r="M4693">
        <f>VLOOKUP(Query1[[#This Row],[Description]],'kits to boards'!$B$2:$E$156,3,FALSE)</f>
        <v>0</v>
      </c>
      <c r="N4693">
        <f>VLOOKUP(Query1[[#This Row],[Description]],'kits to boards'!$B$2:$E$156,4,FALSE)</f>
        <v>0</v>
      </c>
      <c r="O4693" t="str">
        <f>CONCATENATE(Query1[[#This Row],[Description]]," - ",Query1[[#This Row],[MB1]]," - ",Query1[[#This Row],[MB2]]," - ",Query1[[#This Row],[MB3]])</f>
        <v>EVAP KIT 67-72 CHEV P-UP W/AC - 830013 - 0 - 0</v>
      </c>
    </row>
    <row r="4694" spans="1:15" x14ac:dyDescent="0.25">
      <c r="A4694" s="1">
        <v>921765</v>
      </c>
      <c r="B4694" s="1" t="s">
        <v>38</v>
      </c>
      <c r="C4694" s="1" t="s">
        <v>39</v>
      </c>
      <c r="D4694" s="2">
        <v>44680.352447997684</v>
      </c>
      <c r="E4694" s="1" t="s">
        <v>8</v>
      </c>
      <c r="F4694" s="1">
        <v>1</v>
      </c>
      <c r="G4694" s="1">
        <v>0</v>
      </c>
      <c r="H4694" s="6">
        <f>INT(Query1[[#This Row],[EntryDateTime]])</f>
        <v>44680</v>
      </c>
      <c r="I4694" s="1">
        <f>IF(Query1[[#This Row],[ItemType]]="EVAP KIT SF GEN IV",Query1[[#This Row],[OrderQty]]+I4693,I4693)</f>
        <v>5820</v>
      </c>
      <c r="J4694" s="1">
        <f>IF(Query1[[#This Row],[ItemType]]="EVAP KIT UNIVERSAL",Query1[[#This Row],[OrderQty]]+J4693,J4693)</f>
        <v>1893</v>
      </c>
      <c r="K4694" s="1">
        <f>Query1[[#This Row],[SF Running Total]]+Query1[[#This Row],[UNIV Running Total]]</f>
        <v>7713</v>
      </c>
      <c r="L4694">
        <f>VLOOKUP(Query1[[#This Row],[Description]],'kits to boards'!$B$2:$E$156,2,FALSE)</f>
        <v>830012</v>
      </c>
      <c r="M4694">
        <f>VLOOKUP(Query1[[#This Row],[Description]],'kits to boards'!$B$2:$E$156,3,FALSE)</f>
        <v>0</v>
      </c>
      <c r="N4694">
        <f>VLOOKUP(Query1[[#This Row],[Description]],'kits to boards'!$B$2:$E$156,4,FALSE)</f>
        <v>0</v>
      </c>
      <c r="O4694" t="str">
        <f>CONCATENATE(Query1[[#This Row],[Description]]," - ",Query1[[#This Row],[MB1]]," - ",Query1[[#This Row],[MB2]]," - ",Query1[[#This Row],[MB3]])</f>
        <v>EVAP KIT 69 CAMARO W/AC - 830012 - 0 - 0</v>
      </c>
    </row>
    <row r="4695" spans="1:15" x14ac:dyDescent="0.25">
      <c r="A4695" s="1">
        <v>921768</v>
      </c>
      <c r="B4695" s="1" t="s">
        <v>96</v>
      </c>
      <c r="C4695" s="1" t="s">
        <v>97</v>
      </c>
      <c r="D4695" s="2">
        <v>44680.365197881947</v>
      </c>
      <c r="E4695" s="1" t="s">
        <v>8</v>
      </c>
      <c r="F4695" s="1">
        <v>1</v>
      </c>
      <c r="G4695" s="1">
        <v>0</v>
      </c>
      <c r="H4695" s="6">
        <f>INT(Query1[[#This Row],[EntryDateTime]])</f>
        <v>44680</v>
      </c>
      <c r="I4695" s="1">
        <f>IF(Query1[[#This Row],[ItemType]]="EVAP KIT SF GEN IV",Query1[[#This Row],[OrderQty]]+I4694,I4694)</f>
        <v>5821</v>
      </c>
      <c r="J4695" s="1">
        <f>IF(Query1[[#This Row],[ItemType]]="EVAP KIT UNIVERSAL",Query1[[#This Row],[OrderQty]]+J4694,J4694)</f>
        <v>1893</v>
      </c>
      <c r="K4695" s="1">
        <f>Query1[[#This Row],[SF Running Total]]+Query1[[#This Row],[UNIV Running Total]]</f>
        <v>7714</v>
      </c>
      <c r="L4695">
        <f>VLOOKUP(Query1[[#This Row],[Description]],'kits to boards'!$B$2:$E$156,2,FALSE)</f>
        <v>830004</v>
      </c>
      <c r="M4695">
        <f>VLOOKUP(Query1[[#This Row],[Description]],'kits to boards'!$B$2:$E$156,3,FALSE)</f>
        <v>0</v>
      </c>
      <c r="N4695">
        <f>VLOOKUP(Query1[[#This Row],[Description]],'kits to boards'!$B$2:$E$156,4,FALSE)</f>
        <v>0</v>
      </c>
      <c r="O4695" t="str">
        <f>CONCATENATE(Query1[[#This Row],[Description]]," - ",Query1[[#This Row],[MB1]]," - ",Query1[[#This Row],[MB2]]," - ",Query1[[#This Row],[MB3]])</f>
        <v>EVAP KIT 81-87 CHEV P-UP W/AC - 830004 - 0 - 0</v>
      </c>
    </row>
    <row r="4696" spans="1:15" x14ac:dyDescent="0.25">
      <c r="A4696" s="1">
        <v>921772</v>
      </c>
      <c r="B4696" s="1" t="s">
        <v>244</v>
      </c>
      <c r="C4696" s="1" t="s">
        <v>245</v>
      </c>
      <c r="D4696" s="2">
        <v>44680.381428090281</v>
      </c>
      <c r="E4696" s="1" t="s">
        <v>8</v>
      </c>
      <c r="F4696" s="1">
        <v>2</v>
      </c>
      <c r="G4696" s="1">
        <v>0</v>
      </c>
      <c r="H4696" s="6">
        <f>INT(Query1[[#This Row],[EntryDateTime]])</f>
        <v>44680</v>
      </c>
      <c r="I4696" s="1">
        <f>IF(Query1[[#This Row],[ItemType]]="EVAP KIT SF GEN IV",Query1[[#This Row],[OrderQty]]+I4695,I4695)</f>
        <v>5823</v>
      </c>
      <c r="J4696" s="1">
        <f>IF(Query1[[#This Row],[ItemType]]="EVAP KIT UNIVERSAL",Query1[[#This Row],[OrderQty]]+J4695,J4695)</f>
        <v>1893</v>
      </c>
      <c r="K4696" s="1">
        <f>Query1[[#This Row],[SF Running Total]]+Query1[[#This Row],[UNIV Running Total]]</f>
        <v>7716</v>
      </c>
      <c r="L4696">
        <f>VLOOKUP(Query1[[#This Row],[Description]],'kits to boards'!$B$2:$E$156,2,FALSE)</f>
        <v>830100</v>
      </c>
      <c r="M4696">
        <f>VLOOKUP(Query1[[#This Row],[Description]],'kits to boards'!$B$2:$E$156,3,FALSE)</f>
        <v>0</v>
      </c>
      <c r="N4696">
        <f>VLOOKUP(Query1[[#This Row],[Description]],'kits to boards'!$B$2:$E$156,4,FALSE)</f>
        <v>0</v>
      </c>
      <c r="O4696" t="str">
        <f>CONCATENATE(Query1[[#This Row],[Description]]," - ",Query1[[#This Row],[MB1]]," - ",Query1[[#This Row],[MB2]]," - ",Query1[[#This Row],[MB3]])</f>
        <v>EVAP KIT 68-76 VETTE WO AC - 830100 - 0 - 0</v>
      </c>
    </row>
    <row r="4697" spans="1:15" x14ac:dyDescent="0.25">
      <c r="A4697" s="1">
        <v>921776</v>
      </c>
      <c r="B4697" s="1" t="s">
        <v>210</v>
      </c>
      <c r="C4697" s="1" t="s">
        <v>211</v>
      </c>
      <c r="D4697" s="2">
        <v>44680.385368402778</v>
      </c>
      <c r="E4697" s="1" t="s">
        <v>8</v>
      </c>
      <c r="F4697" s="1">
        <v>1</v>
      </c>
      <c r="G4697" s="1">
        <v>0</v>
      </c>
      <c r="H4697" s="6">
        <f>INT(Query1[[#This Row],[EntryDateTime]])</f>
        <v>44680</v>
      </c>
      <c r="I4697" s="1">
        <f>IF(Query1[[#This Row],[ItemType]]="EVAP KIT SF GEN IV",Query1[[#This Row],[OrderQty]]+I4696,I4696)</f>
        <v>5824</v>
      </c>
      <c r="J4697" s="1">
        <f>IF(Query1[[#This Row],[ItemType]]="EVAP KIT UNIVERSAL",Query1[[#This Row],[OrderQty]]+J4696,J4696)</f>
        <v>1893</v>
      </c>
      <c r="K4697" s="1">
        <f>Query1[[#This Row],[SF Running Total]]+Query1[[#This Row],[UNIV Running Total]]</f>
        <v>7717</v>
      </c>
      <c r="L4697">
        <f>VLOOKUP(Query1[[#This Row],[Description]],'kits to boards'!$B$2:$E$156,2,FALSE)</f>
        <v>830094</v>
      </c>
      <c r="M4697">
        <f>VLOOKUP(Query1[[#This Row],[Description]],'kits to boards'!$B$2:$E$156,3,FALSE)</f>
        <v>0</v>
      </c>
      <c r="N4697">
        <f>VLOOKUP(Query1[[#This Row],[Description]],'kits to boards'!$B$2:$E$156,4,FALSE)</f>
        <v>0</v>
      </c>
      <c r="O4697" t="str">
        <f>CONCATENATE(Query1[[#This Row],[Description]]," - ",Query1[[#This Row],[MB1]]," - ",Query1[[#This Row],[MB2]]," - ",Query1[[#This Row],[MB3]])</f>
        <v>EVAP KIT 74-76 VETTE W/AC - 830094 - 0 - 0</v>
      </c>
    </row>
    <row r="4698" spans="1:15" x14ac:dyDescent="0.25">
      <c r="A4698" s="1">
        <v>921777</v>
      </c>
      <c r="B4698" s="1" t="s">
        <v>208</v>
      </c>
      <c r="C4698" s="1" t="s">
        <v>209</v>
      </c>
      <c r="D4698" s="2">
        <v>44680.38663364583</v>
      </c>
      <c r="E4698" s="1" t="s">
        <v>8</v>
      </c>
      <c r="F4698" s="1">
        <v>1</v>
      </c>
      <c r="G4698" s="1">
        <v>0</v>
      </c>
      <c r="H4698" s="6">
        <f>INT(Query1[[#This Row],[EntryDateTime]])</f>
        <v>44680</v>
      </c>
      <c r="I4698" s="1">
        <f>IF(Query1[[#This Row],[ItemType]]="EVAP KIT SF GEN IV",Query1[[#This Row],[OrderQty]]+I4697,I4697)</f>
        <v>5825</v>
      </c>
      <c r="J4698" s="1">
        <f>IF(Query1[[#This Row],[ItemType]]="EVAP KIT UNIVERSAL",Query1[[#This Row],[OrderQty]]+J4697,J4697)</f>
        <v>1893</v>
      </c>
      <c r="K4698" s="1">
        <f>Query1[[#This Row],[SF Running Total]]+Query1[[#This Row],[UNIV Running Total]]</f>
        <v>7718</v>
      </c>
      <c r="L4698">
        <f>VLOOKUP(Query1[[#This Row],[Description]],'kits to boards'!$B$2:$E$156,2,FALSE)</f>
        <v>830094</v>
      </c>
      <c r="M4698">
        <f>VLOOKUP(Query1[[#This Row],[Description]],'kits to boards'!$B$2:$E$156,3,FALSE)</f>
        <v>0</v>
      </c>
      <c r="N4698">
        <f>VLOOKUP(Query1[[#This Row],[Description]],'kits to boards'!$B$2:$E$156,4,FALSE)</f>
        <v>0</v>
      </c>
      <c r="O4698" t="str">
        <f>CONCATENATE(Query1[[#This Row],[Description]]," - ",Query1[[#This Row],[MB1]]," - ",Query1[[#This Row],[MB2]]," - ",Query1[[#This Row],[MB3]])</f>
        <v>EVAP KIT 68 VETTE W/AC - 830094 - 0 - 0</v>
      </c>
    </row>
    <row r="4699" spans="1:15" x14ac:dyDescent="0.25">
      <c r="A4699" s="1">
        <v>921779</v>
      </c>
      <c r="B4699" s="1" t="s">
        <v>90</v>
      </c>
      <c r="C4699" s="1" t="s">
        <v>91</v>
      </c>
      <c r="D4699" s="2">
        <v>44680.386810532407</v>
      </c>
      <c r="E4699" s="1" t="s">
        <v>8</v>
      </c>
      <c r="F4699" s="1">
        <v>1</v>
      </c>
      <c r="G4699" s="1">
        <v>0</v>
      </c>
      <c r="H4699" s="6">
        <f>INT(Query1[[#This Row],[EntryDateTime]])</f>
        <v>44680</v>
      </c>
      <c r="I4699" s="1">
        <f>IF(Query1[[#This Row],[ItemType]]="EVAP KIT SF GEN IV",Query1[[#This Row],[OrderQty]]+I4698,I4698)</f>
        <v>5826</v>
      </c>
      <c r="J4699" s="1">
        <f>IF(Query1[[#This Row],[ItemType]]="EVAP KIT UNIVERSAL",Query1[[#This Row],[OrderQty]]+J4698,J4698)</f>
        <v>1893</v>
      </c>
      <c r="K4699" s="1">
        <f>Query1[[#This Row],[SF Running Total]]+Query1[[#This Row],[UNIV Running Total]]</f>
        <v>7719</v>
      </c>
      <c r="L4699">
        <f>VLOOKUP(Query1[[#This Row],[Description]],'kits to boards'!$B$2:$E$156,2,FALSE)</f>
        <v>830105</v>
      </c>
      <c r="M4699">
        <f>VLOOKUP(Query1[[#This Row],[Description]],'kits to boards'!$B$2:$E$156,3,FALSE)</f>
        <v>830106</v>
      </c>
      <c r="N4699">
        <f>VLOOKUP(Query1[[#This Row],[Description]],'kits to boards'!$B$2:$E$156,4,FALSE)</f>
        <v>0</v>
      </c>
      <c r="O4699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4700" spans="1:15" x14ac:dyDescent="0.25">
      <c r="A4700" s="1">
        <v>921778</v>
      </c>
      <c r="B4700" s="1" t="s">
        <v>98</v>
      </c>
      <c r="C4700" s="1" t="s">
        <v>99</v>
      </c>
      <c r="D4700" s="2">
        <v>44680.387472222224</v>
      </c>
      <c r="E4700" s="1" t="s">
        <v>11</v>
      </c>
      <c r="F4700" s="1">
        <v>1</v>
      </c>
      <c r="G4700" s="1">
        <v>0</v>
      </c>
      <c r="H4700" s="6">
        <f>INT(Query1[[#This Row],[EntryDateTime]])</f>
        <v>44680</v>
      </c>
      <c r="I4700" s="1">
        <f>IF(Query1[[#This Row],[ItemType]]="EVAP KIT SF GEN IV",Query1[[#This Row],[OrderQty]]+I4699,I4699)</f>
        <v>5826</v>
      </c>
      <c r="J4700" s="1">
        <f>IF(Query1[[#This Row],[ItemType]]="EVAP KIT UNIVERSAL",Query1[[#This Row],[OrderQty]]+J4699,J4699)</f>
        <v>1894</v>
      </c>
      <c r="K4700" s="1">
        <f>Query1[[#This Row],[SF Running Total]]+Query1[[#This Row],[UNIV Running Total]]</f>
        <v>7720</v>
      </c>
      <c r="L4700">
        <f>VLOOKUP(Query1[[#This Row],[Description]],'kits to boards'!$B$2:$E$156,2,FALSE)</f>
        <v>830099</v>
      </c>
      <c r="M4700">
        <f>VLOOKUP(Query1[[#This Row],[Description]],'kits to boards'!$B$2:$E$156,3,FALSE)</f>
        <v>0</v>
      </c>
      <c r="N4700">
        <f>VLOOKUP(Query1[[#This Row],[Description]],'kits to boards'!$B$2:$E$156,4,FALSE)</f>
        <v>0</v>
      </c>
      <c r="O4700" t="str">
        <f>CONCATENATE(Query1[[#This Row],[Description]]," - ",Query1[[#This Row],[MB1]]," - ",Query1[[#This Row],[MB2]]," - ",Query1[[#This Row],[MB3]])</f>
        <v>MINI GEN II W/DEF - 830099 - 0 - 0</v>
      </c>
    </row>
    <row r="4701" spans="1:15" x14ac:dyDescent="0.25">
      <c r="A4701" s="1">
        <v>921778</v>
      </c>
      <c r="B4701" s="1" t="s">
        <v>24</v>
      </c>
      <c r="C4701" s="1" t="s">
        <v>25</v>
      </c>
      <c r="D4701" s="2">
        <v>44680.3875934838</v>
      </c>
      <c r="E4701" s="1" t="s">
        <v>11</v>
      </c>
      <c r="F4701" s="1">
        <v>2</v>
      </c>
      <c r="G4701" s="1">
        <v>0</v>
      </c>
      <c r="H4701" s="6">
        <f>INT(Query1[[#This Row],[EntryDateTime]])</f>
        <v>44680</v>
      </c>
      <c r="I4701" s="1">
        <f>IF(Query1[[#This Row],[ItemType]]="EVAP KIT SF GEN IV",Query1[[#This Row],[OrderQty]]+I4700,I4700)</f>
        <v>5826</v>
      </c>
      <c r="J4701" s="1">
        <f>IF(Query1[[#This Row],[ItemType]]="EVAP KIT UNIVERSAL",Query1[[#This Row],[OrderQty]]+J4700,J4700)</f>
        <v>1896</v>
      </c>
      <c r="K4701" s="1">
        <f>Query1[[#This Row],[SF Running Total]]+Query1[[#This Row],[UNIV Running Total]]</f>
        <v>7722</v>
      </c>
      <c r="L4701">
        <f>VLOOKUP(Query1[[#This Row],[Description]],'kits to boards'!$B$2:$E$156,2,FALSE)</f>
        <v>830029</v>
      </c>
      <c r="M4701">
        <f>VLOOKUP(Query1[[#This Row],[Description]],'kits to boards'!$B$2:$E$156,3,FALSE)</f>
        <v>830030</v>
      </c>
      <c r="N4701">
        <f>VLOOKUP(Query1[[#This Row],[Description]],'kits to boards'!$B$2:$E$156,4,FALSE)</f>
        <v>0</v>
      </c>
      <c r="O4701" t="str">
        <f>CONCATENATE(Query1[[#This Row],[Description]]," - ",Query1[[#This Row],[MB1]]," - ",Query1[[#This Row],[MB2]]," - ",Query1[[#This Row],[MB3]])</f>
        <v>ComPac GEN II W/DEF - 830029 - 830030 - 0</v>
      </c>
    </row>
    <row r="4702" spans="1:15" x14ac:dyDescent="0.25">
      <c r="A4702" s="1">
        <v>921778</v>
      </c>
      <c r="B4702" s="1" t="s">
        <v>22</v>
      </c>
      <c r="C4702" s="1" t="s">
        <v>23</v>
      </c>
      <c r="D4702" s="2">
        <v>44680.387738229168</v>
      </c>
      <c r="E4702" s="1" t="s">
        <v>8</v>
      </c>
      <c r="F4702" s="1">
        <v>2</v>
      </c>
      <c r="G4702" s="1">
        <v>0</v>
      </c>
      <c r="H4702" s="6">
        <f>INT(Query1[[#This Row],[EntryDateTime]])</f>
        <v>44680</v>
      </c>
      <c r="I4702" s="1">
        <f>IF(Query1[[#This Row],[ItemType]]="EVAP KIT SF GEN IV",Query1[[#This Row],[OrderQty]]+I4701,I4701)</f>
        <v>5828</v>
      </c>
      <c r="J4702" s="1">
        <f>IF(Query1[[#This Row],[ItemType]]="EVAP KIT UNIVERSAL",Query1[[#This Row],[OrderQty]]+J4701,J4701)</f>
        <v>1896</v>
      </c>
      <c r="K4702" s="1">
        <f>Query1[[#This Row],[SF Running Total]]+Query1[[#This Row],[UNIV Running Total]]</f>
        <v>7724</v>
      </c>
      <c r="L4702">
        <f>VLOOKUP(Query1[[#This Row],[Description]],'kits to boards'!$B$2:$E$156,2,FALSE)</f>
        <v>830083</v>
      </c>
      <c r="M4702">
        <f>VLOOKUP(Query1[[#This Row],[Description]],'kits to boards'!$B$2:$E$156,3,FALSE)</f>
        <v>0</v>
      </c>
      <c r="N4702">
        <f>VLOOKUP(Query1[[#This Row],[Description]],'kits to boards'!$B$2:$E$156,4,FALSE)</f>
        <v>0</v>
      </c>
      <c r="O4702" t="str">
        <f>CONCATENATE(Query1[[#This Row],[Description]]," - ",Query1[[#This Row],[MB1]]," - ",Query1[[#This Row],[MB2]]," - ",Query1[[#This Row],[MB3]])</f>
        <v>GEN IV MAGNUM EVAP KIT - 830083 - 0 - 0</v>
      </c>
    </row>
    <row r="4703" spans="1:15" x14ac:dyDescent="0.25">
      <c r="A4703" s="1">
        <v>921778</v>
      </c>
      <c r="B4703" s="1" t="s">
        <v>296</v>
      </c>
      <c r="C4703" s="1" t="s">
        <v>297</v>
      </c>
      <c r="D4703" s="2">
        <v>44680.387834143519</v>
      </c>
      <c r="E4703" s="1" t="s">
        <v>11</v>
      </c>
      <c r="F4703" s="1">
        <v>1</v>
      </c>
      <c r="G4703" s="1">
        <v>0</v>
      </c>
      <c r="H4703" s="6">
        <f>INT(Query1[[#This Row],[EntryDateTime]])</f>
        <v>44680</v>
      </c>
      <c r="I4703" s="1">
        <f>IF(Query1[[#This Row],[ItemType]]="EVAP KIT SF GEN IV",Query1[[#This Row],[OrderQty]]+I4702,I4702)</f>
        <v>5828</v>
      </c>
      <c r="J4703" s="1">
        <f>IF(Query1[[#This Row],[ItemType]]="EVAP KIT UNIVERSAL",Query1[[#This Row],[OrderQty]]+J4702,J4702)</f>
        <v>1897</v>
      </c>
      <c r="K4703" s="1">
        <f>Query1[[#This Row],[SF Running Total]]+Query1[[#This Row],[UNIV Running Total]]</f>
        <v>7725</v>
      </c>
      <c r="L4703">
        <f>VLOOKUP(Query1[[#This Row],[Description]],'kits to boards'!$B$2:$E$156,2,FALSE)</f>
        <v>0</v>
      </c>
      <c r="M4703">
        <f>VLOOKUP(Query1[[#This Row],[Description]],'kits to boards'!$B$2:$E$156,3,FALSE)</f>
        <v>0</v>
      </c>
      <c r="N4703">
        <f>VLOOKUP(Query1[[#This Row],[Description]],'kits to boards'!$B$2:$E$156,4,FALSE)</f>
        <v>0</v>
      </c>
      <c r="O4703" t="str">
        <f>CONCATENATE(Query1[[#This Row],[Description]]," - ",Query1[[#This Row],[MB1]]," - ",Query1[[#This Row],[MB2]]," - ",Query1[[#This Row],[MB3]])</f>
        <v>HERITAGE TURNED EVAP KIT COOL ONLY - 0 - 0 - 0</v>
      </c>
    </row>
    <row r="4704" spans="1:15" x14ac:dyDescent="0.25">
      <c r="A4704" s="1">
        <v>921778</v>
      </c>
      <c r="B4704" s="1" t="s">
        <v>92</v>
      </c>
      <c r="C4704" s="1" t="s">
        <v>93</v>
      </c>
      <c r="D4704" s="2">
        <v>44680.389361423608</v>
      </c>
      <c r="E4704" s="1" t="s">
        <v>8</v>
      </c>
      <c r="F4704" s="1">
        <v>2</v>
      </c>
      <c r="G4704" s="1">
        <v>0</v>
      </c>
      <c r="H4704" s="6">
        <f>INT(Query1[[#This Row],[EntryDateTime]])</f>
        <v>44680</v>
      </c>
      <c r="I4704" s="1">
        <f>IF(Query1[[#This Row],[ItemType]]="EVAP KIT SF GEN IV",Query1[[#This Row],[OrderQty]]+I4703,I4703)</f>
        <v>5830</v>
      </c>
      <c r="J4704" s="1">
        <f>IF(Query1[[#This Row],[ItemType]]="EVAP KIT UNIVERSAL",Query1[[#This Row],[OrderQty]]+J4703,J4703)</f>
        <v>1897</v>
      </c>
      <c r="K4704" s="1">
        <f>Query1[[#This Row],[SF Running Total]]+Query1[[#This Row],[UNIV Running Total]]</f>
        <v>7727</v>
      </c>
      <c r="L4704">
        <f>VLOOKUP(Query1[[#This Row],[Description]],'kits to boards'!$B$2:$E$156,2,FALSE)</f>
        <v>830063</v>
      </c>
      <c r="M4704">
        <f>VLOOKUP(Query1[[#This Row],[Description]],'kits to boards'!$B$2:$E$156,3,FALSE)</f>
        <v>0</v>
      </c>
      <c r="N4704">
        <f>VLOOKUP(Query1[[#This Row],[Description]],'kits to boards'!$B$2:$E$156,4,FALSE)</f>
        <v>0</v>
      </c>
      <c r="O4704" t="str">
        <f>CONCATENATE(Query1[[#This Row],[Description]]," - ",Query1[[#This Row],[MB1]]," - ",Query1[[#This Row],[MB2]]," - ",Query1[[#This Row],[MB3]])</f>
        <v>EVAP KIT 50-53 CHEV P-UP GEN IV - 830063 - 0 - 0</v>
      </c>
    </row>
    <row r="4705" spans="1:15" x14ac:dyDescent="0.25">
      <c r="A4705" s="1">
        <v>921778</v>
      </c>
      <c r="B4705" s="1" t="s">
        <v>60</v>
      </c>
      <c r="C4705" s="1" t="s">
        <v>61</v>
      </c>
      <c r="D4705" s="2">
        <v>44680.39002353009</v>
      </c>
      <c r="E4705" s="1" t="s">
        <v>8</v>
      </c>
      <c r="F4705" s="1">
        <v>1</v>
      </c>
      <c r="G4705" s="1">
        <v>0</v>
      </c>
      <c r="H4705" s="6">
        <f>INT(Query1[[#This Row],[EntryDateTime]])</f>
        <v>44680</v>
      </c>
      <c r="I4705" s="1">
        <f>IF(Query1[[#This Row],[ItemType]]="EVAP KIT SF GEN IV",Query1[[#This Row],[OrderQty]]+I4704,I4704)</f>
        <v>5831</v>
      </c>
      <c r="J4705" s="1">
        <f>IF(Query1[[#This Row],[ItemType]]="EVAP KIT UNIVERSAL",Query1[[#This Row],[OrderQty]]+J4704,J4704)</f>
        <v>1897</v>
      </c>
      <c r="K4705" s="1">
        <f>Query1[[#This Row],[SF Running Total]]+Query1[[#This Row],[UNIV Running Total]]</f>
        <v>7728</v>
      </c>
      <c r="L4705">
        <f>VLOOKUP(Query1[[#This Row],[Description]],'kits to boards'!$B$2:$E$156,2,FALSE)</f>
        <v>830062</v>
      </c>
      <c r="M4705">
        <f>VLOOKUP(Query1[[#This Row],[Description]],'kits to boards'!$B$2:$E$156,3,FALSE)</f>
        <v>0</v>
      </c>
      <c r="N4705">
        <f>VLOOKUP(Query1[[#This Row],[Description]],'kits to boards'!$B$2:$E$156,4,FALSE)</f>
        <v>0</v>
      </c>
      <c r="O4705" t="str">
        <f>CONCATENATE(Query1[[#This Row],[Description]]," - ",Query1[[#This Row],[MB1]]," - ",Query1[[#This Row],[MB2]]," - ",Query1[[#This Row],[MB3]])</f>
        <v>EVAP KIT 68-69 CHEVELLE WO AC - 830062 - 0 - 0</v>
      </c>
    </row>
    <row r="4706" spans="1:15" x14ac:dyDescent="0.25">
      <c r="A4706" s="1">
        <v>921778</v>
      </c>
      <c r="B4706" s="1" t="s">
        <v>62</v>
      </c>
      <c r="C4706" s="1" t="s">
        <v>63</v>
      </c>
      <c r="D4706" s="2">
        <v>44680.390826354167</v>
      </c>
      <c r="E4706" s="1" t="s">
        <v>8</v>
      </c>
      <c r="F4706" s="1">
        <v>1</v>
      </c>
      <c r="G4706" s="1">
        <v>0</v>
      </c>
      <c r="H4706" s="6">
        <f>INT(Query1[[#This Row],[EntryDateTime]])</f>
        <v>44680</v>
      </c>
      <c r="I4706" s="1">
        <f>IF(Query1[[#This Row],[ItemType]]="EVAP KIT SF GEN IV",Query1[[#This Row],[OrderQty]]+I4705,I4705)</f>
        <v>5832</v>
      </c>
      <c r="J4706" s="1">
        <f>IF(Query1[[#This Row],[ItemType]]="EVAP KIT UNIVERSAL",Query1[[#This Row],[OrderQty]]+J4705,J4705)</f>
        <v>1897</v>
      </c>
      <c r="K4706" s="1">
        <f>Query1[[#This Row],[SF Running Total]]+Query1[[#This Row],[UNIV Running Total]]</f>
        <v>7729</v>
      </c>
      <c r="L4706">
        <f>VLOOKUP(Query1[[#This Row],[Description]],'kits to boards'!$B$2:$E$156,2,FALSE)</f>
        <v>830079</v>
      </c>
      <c r="M4706">
        <f>VLOOKUP(Query1[[#This Row],[Description]],'kits to boards'!$B$2:$E$156,3,FALSE)</f>
        <v>830046</v>
      </c>
      <c r="N4706">
        <f>VLOOKUP(Query1[[#This Row],[Description]],'kits to boards'!$B$2:$E$156,4,FALSE)</f>
        <v>0</v>
      </c>
      <c r="O4706" t="str">
        <f>CONCATENATE(Query1[[#This Row],[Description]]," - ",Query1[[#This Row],[MB1]]," - ",Query1[[#This Row],[MB2]]," - ",Query1[[#This Row],[MB3]])</f>
        <v>EVAP KIT 67-68 MUSTANG/COUGAR WO AC - 830079 - 830046 - 0</v>
      </c>
    </row>
    <row r="4707" spans="1:15" x14ac:dyDescent="0.25">
      <c r="A4707" s="1">
        <v>921778</v>
      </c>
      <c r="B4707" s="1" t="s">
        <v>502</v>
      </c>
      <c r="C4707" s="1" t="s">
        <v>503</v>
      </c>
      <c r="D4707" s="2">
        <v>44680.391403622685</v>
      </c>
      <c r="E4707" s="1" t="s">
        <v>677</v>
      </c>
      <c r="F4707" s="1">
        <v>1</v>
      </c>
      <c r="G4707" s="1">
        <v>0</v>
      </c>
      <c r="H4707" s="6">
        <f>INT(Query1[[#This Row],[EntryDateTime]])</f>
        <v>44680</v>
      </c>
      <c r="I4707" s="1">
        <f>IF(Query1[[#This Row],[ItemType]]="EVAP KIT SF GEN IV",Query1[[#This Row],[OrderQty]]+I4706,I4706)</f>
        <v>5832</v>
      </c>
      <c r="J4707" s="1">
        <f>IF(Query1[[#This Row],[ItemType]]="EVAP KIT UNIVERSAL",Query1[[#This Row],[OrderQty]]+J4706,J4706)</f>
        <v>1897</v>
      </c>
      <c r="K4707" s="1">
        <f>Query1[[#This Row],[SF Running Total]]+Query1[[#This Row],[UNIV Running Total]]</f>
        <v>7729</v>
      </c>
      <c r="L4707" t="e">
        <f>VLOOKUP(Query1[[#This Row],[Description]],'kits to boards'!$B$2:$E$156,2,FALSE)</f>
        <v>#N/A</v>
      </c>
      <c r="M4707" t="e">
        <f>VLOOKUP(Query1[[#This Row],[Description]],'kits to boards'!$B$2:$E$156,3,FALSE)</f>
        <v>#N/A</v>
      </c>
      <c r="N4707" t="e">
        <f>VLOOKUP(Query1[[#This Row],[Description]],'kits to boards'!$B$2:$E$156,4,FALSE)</f>
        <v>#N/A</v>
      </c>
      <c r="O4707" t="e">
        <f>CONCATENATE(Query1[[#This Row],[Description]]," - ",Query1[[#This Row],[MB1]]," - ",Query1[[#This Row],[MB2]]," - ",Query1[[#This Row],[MB3]])</f>
        <v>#N/A</v>
      </c>
    </row>
    <row r="4708" spans="1:15" x14ac:dyDescent="0.25">
      <c r="A4708" s="1">
        <v>921780</v>
      </c>
      <c r="B4708" s="1" t="s">
        <v>54</v>
      </c>
      <c r="C4708" s="1" t="s">
        <v>55</v>
      </c>
      <c r="D4708" s="2">
        <v>44680.392085648149</v>
      </c>
      <c r="E4708" s="1" t="s">
        <v>8</v>
      </c>
      <c r="F4708" s="1">
        <v>1</v>
      </c>
      <c r="G4708" s="1">
        <v>0</v>
      </c>
      <c r="H4708" s="6">
        <f>INT(Query1[[#This Row],[EntryDateTime]])</f>
        <v>44680</v>
      </c>
      <c r="I4708" s="1">
        <f>IF(Query1[[#This Row],[ItemType]]="EVAP KIT SF GEN IV",Query1[[#This Row],[OrderQty]]+I4707,I4707)</f>
        <v>5833</v>
      </c>
      <c r="J4708" s="1">
        <f>IF(Query1[[#This Row],[ItemType]]="EVAP KIT UNIVERSAL",Query1[[#This Row],[OrderQty]]+J4707,J4707)</f>
        <v>1897</v>
      </c>
      <c r="K4708" s="1">
        <f>Query1[[#This Row],[SF Running Total]]+Query1[[#This Row],[UNIV Running Total]]</f>
        <v>7730</v>
      </c>
      <c r="L4708">
        <f>VLOOKUP(Query1[[#This Row],[Description]],'kits to boards'!$B$2:$E$156,2,FALSE)</f>
        <v>830037</v>
      </c>
      <c r="M4708">
        <f>VLOOKUP(Query1[[#This Row],[Description]],'kits to boards'!$B$2:$E$156,3,FALSE)</f>
        <v>0</v>
      </c>
      <c r="N4708">
        <f>VLOOKUP(Query1[[#This Row],[Description]],'kits to boards'!$B$2:$E$156,4,FALSE)</f>
        <v>0</v>
      </c>
      <c r="O4708" t="str">
        <f>CONCATENATE(Query1[[#This Row],[Description]]," - ",Query1[[#This Row],[MB1]]," - ",Query1[[#This Row],[MB2]]," - ",Query1[[#This Row],[MB3]])</f>
        <v>EVAP KIT 70-81 FIREBIRD W/AC - 830037 - 0 - 0</v>
      </c>
    </row>
    <row r="4709" spans="1:15" x14ac:dyDescent="0.25">
      <c r="A4709" s="1">
        <v>921781</v>
      </c>
      <c r="B4709" s="1" t="s">
        <v>210</v>
      </c>
      <c r="C4709" s="1" t="s">
        <v>211</v>
      </c>
      <c r="D4709" s="2">
        <v>44680.399577280092</v>
      </c>
      <c r="E4709" s="1" t="s">
        <v>8</v>
      </c>
      <c r="F4709" s="1">
        <v>1</v>
      </c>
      <c r="G4709" s="1">
        <v>0</v>
      </c>
      <c r="H4709" s="6">
        <f>INT(Query1[[#This Row],[EntryDateTime]])</f>
        <v>44680</v>
      </c>
      <c r="I4709" s="1">
        <f>IF(Query1[[#This Row],[ItemType]]="EVAP KIT SF GEN IV",Query1[[#This Row],[OrderQty]]+I4708,I4708)</f>
        <v>5834</v>
      </c>
      <c r="J4709" s="1">
        <f>IF(Query1[[#This Row],[ItemType]]="EVAP KIT UNIVERSAL",Query1[[#This Row],[OrderQty]]+J4708,J4708)</f>
        <v>1897</v>
      </c>
      <c r="K4709" s="1">
        <f>Query1[[#This Row],[SF Running Total]]+Query1[[#This Row],[UNIV Running Total]]</f>
        <v>7731</v>
      </c>
      <c r="L4709">
        <f>VLOOKUP(Query1[[#This Row],[Description]],'kits to boards'!$B$2:$E$156,2,FALSE)</f>
        <v>830094</v>
      </c>
      <c r="M4709">
        <f>VLOOKUP(Query1[[#This Row],[Description]],'kits to boards'!$B$2:$E$156,3,FALSE)</f>
        <v>0</v>
      </c>
      <c r="N4709">
        <f>VLOOKUP(Query1[[#This Row],[Description]],'kits to boards'!$B$2:$E$156,4,FALSE)</f>
        <v>0</v>
      </c>
      <c r="O4709" t="str">
        <f>CONCATENATE(Query1[[#This Row],[Description]]," - ",Query1[[#This Row],[MB1]]," - ",Query1[[#This Row],[MB2]]," - ",Query1[[#This Row],[MB3]])</f>
        <v>EVAP KIT 74-76 VETTE W/AC - 830094 - 0 - 0</v>
      </c>
    </row>
    <row r="4710" spans="1:15" x14ac:dyDescent="0.25">
      <c r="A4710" s="1">
        <v>921778</v>
      </c>
      <c r="B4710" s="1" t="s">
        <v>116</v>
      </c>
      <c r="C4710" s="1" t="s">
        <v>117</v>
      </c>
      <c r="D4710" s="2">
        <v>44680.402653506942</v>
      </c>
      <c r="E4710" s="1" t="s">
        <v>8</v>
      </c>
      <c r="F4710" s="1">
        <v>1</v>
      </c>
      <c r="G4710" s="1">
        <v>0</v>
      </c>
      <c r="H4710" s="6">
        <f>INT(Query1[[#This Row],[EntryDateTime]])</f>
        <v>44680</v>
      </c>
      <c r="I4710" s="1">
        <f>IF(Query1[[#This Row],[ItemType]]="EVAP KIT SF GEN IV",Query1[[#This Row],[OrderQty]]+I4709,I4709)</f>
        <v>5835</v>
      </c>
      <c r="J4710" s="1">
        <f>IF(Query1[[#This Row],[ItemType]]="EVAP KIT UNIVERSAL",Query1[[#This Row],[OrderQty]]+J4709,J4709)</f>
        <v>1897</v>
      </c>
      <c r="K4710" s="1">
        <f>Query1[[#This Row],[SF Running Total]]+Query1[[#This Row],[UNIV Running Total]]</f>
        <v>7732</v>
      </c>
      <c r="L4710">
        <f>VLOOKUP(Query1[[#This Row],[Description]],'kits to boards'!$B$2:$E$156,2,FALSE)</f>
        <v>830058</v>
      </c>
      <c r="M4710">
        <f>VLOOKUP(Query1[[#This Row],[Description]],'kits to boards'!$B$2:$E$156,3,FALSE)</f>
        <v>0</v>
      </c>
      <c r="N4710">
        <f>VLOOKUP(Query1[[#This Row],[Description]],'kits to boards'!$B$2:$E$156,4,FALSE)</f>
        <v>0</v>
      </c>
      <c r="O4710" t="str">
        <f>CONCATENATE(Query1[[#This Row],[Description]]," - ",Query1[[#This Row],[MB1]]," - ",Query1[[#This Row],[MB2]]," - ",Query1[[#This Row],[MB3]])</f>
        <v>EVAP KIT 64-65 CHEVELLE WO AC - 830058 - 0 - 0</v>
      </c>
    </row>
    <row r="4711" spans="1:15" x14ac:dyDescent="0.25">
      <c r="A4711" s="1">
        <v>921778</v>
      </c>
      <c r="B4711" s="1" t="s">
        <v>34</v>
      </c>
      <c r="C4711" s="1" t="s">
        <v>35</v>
      </c>
      <c r="D4711" s="2">
        <v>44680.40354846065</v>
      </c>
      <c r="E4711" s="1" t="s">
        <v>8</v>
      </c>
      <c r="F4711" s="1">
        <v>1</v>
      </c>
      <c r="G4711" s="1">
        <v>0</v>
      </c>
      <c r="H4711" s="6">
        <f>INT(Query1[[#This Row],[EntryDateTime]])</f>
        <v>44680</v>
      </c>
      <c r="I4711" s="1">
        <f>IF(Query1[[#This Row],[ItemType]]="EVAP KIT SF GEN IV",Query1[[#This Row],[OrderQty]]+I4710,I4710)</f>
        <v>5836</v>
      </c>
      <c r="J4711" s="1">
        <f>IF(Query1[[#This Row],[ItemType]]="EVAP KIT UNIVERSAL",Query1[[#This Row],[OrderQty]]+J4710,J4710)</f>
        <v>1897</v>
      </c>
      <c r="K4711" s="1">
        <f>Query1[[#This Row],[SF Running Total]]+Query1[[#This Row],[UNIV Running Total]]</f>
        <v>7733</v>
      </c>
      <c r="L4711">
        <f>VLOOKUP(Query1[[#This Row],[Description]],'kits to boards'!$B$2:$E$156,2,FALSE)</f>
        <v>830065</v>
      </c>
      <c r="M4711">
        <f>VLOOKUP(Query1[[#This Row],[Description]],'kits to boards'!$B$2:$E$156,3,FALSE)</f>
        <v>0</v>
      </c>
      <c r="N4711">
        <f>VLOOKUP(Query1[[#This Row],[Description]],'kits to boards'!$B$2:$E$156,4,FALSE)</f>
        <v>0</v>
      </c>
      <c r="O4711" t="str">
        <f>CONCATENATE(Query1[[#This Row],[Description]]," - ",Query1[[#This Row],[MB1]]," - ",Query1[[#This Row],[MB2]]," - ",Query1[[#This Row],[MB3]])</f>
        <v>EVAP KIT 57 CHEV WO AC - 830065 - 0 - 0</v>
      </c>
    </row>
    <row r="4712" spans="1:15" x14ac:dyDescent="0.25">
      <c r="A4712" s="1">
        <v>921778</v>
      </c>
      <c r="B4712" s="1" t="s">
        <v>30</v>
      </c>
      <c r="C4712" s="1" t="s">
        <v>31</v>
      </c>
      <c r="D4712" s="2">
        <v>44680.406615358799</v>
      </c>
      <c r="E4712" s="1" t="s">
        <v>8</v>
      </c>
      <c r="F4712" s="1">
        <v>1</v>
      </c>
      <c r="G4712" s="1">
        <v>0</v>
      </c>
      <c r="H4712" s="6">
        <f>INT(Query1[[#This Row],[EntryDateTime]])</f>
        <v>44680</v>
      </c>
      <c r="I4712" s="1">
        <f>IF(Query1[[#This Row],[ItemType]]="EVAP KIT SF GEN IV",Query1[[#This Row],[OrderQty]]+I4711,I4711)</f>
        <v>5837</v>
      </c>
      <c r="J4712" s="1">
        <f>IF(Query1[[#This Row],[ItemType]]="EVAP KIT UNIVERSAL",Query1[[#This Row],[OrderQty]]+J4711,J4711)</f>
        <v>1897</v>
      </c>
      <c r="K4712" s="1">
        <f>Query1[[#This Row],[SF Running Total]]+Query1[[#This Row],[UNIV Running Total]]</f>
        <v>7734</v>
      </c>
      <c r="L4712">
        <f>VLOOKUP(Query1[[#This Row],[Description]],'kits to boards'!$B$2:$E$156,2,FALSE)</f>
        <v>830054</v>
      </c>
      <c r="M4712">
        <f>VLOOKUP(Query1[[#This Row],[Description]],'kits to boards'!$B$2:$E$156,3,FALSE)</f>
        <v>0</v>
      </c>
      <c r="N4712">
        <f>VLOOKUP(Query1[[#This Row],[Description]],'kits to boards'!$B$2:$E$156,4,FALSE)</f>
        <v>0</v>
      </c>
      <c r="O4712" t="str">
        <f>CONCATENATE(Query1[[#This Row],[Description]]," - ",Query1[[#This Row],[MB1]]," - ",Query1[[#This Row],[MB2]]," - ",Query1[[#This Row],[MB3]])</f>
        <v>EVAP KIT 55-56 CHEVY 4-VENT - 830054 - 0 - 0</v>
      </c>
    </row>
    <row r="4713" spans="1:15" x14ac:dyDescent="0.25">
      <c r="A4713" s="1">
        <v>921778</v>
      </c>
      <c r="B4713" s="1" t="s">
        <v>28</v>
      </c>
      <c r="C4713" s="1" t="s">
        <v>29</v>
      </c>
      <c r="D4713" s="2">
        <v>44680.408476157405</v>
      </c>
      <c r="E4713" s="1" t="s">
        <v>8</v>
      </c>
      <c r="F4713" s="1">
        <v>1</v>
      </c>
      <c r="G4713" s="1">
        <v>0</v>
      </c>
      <c r="H4713" s="6">
        <f>INT(Query1[[#This Row],[EntryDateTime]])</f>
        <v>44680</v>
      </c>
      <c r="I4713" s="1">
        <f>IF(Query1[[#This Row],[ItemType]]="EVAP KIT SF GEN IV",Query1[[#This Row],[OrderQty]]+I4712,I4712)</f>
        <v>5838</v>
      </c>
      <c r="J4713" s="1">
        <f>IF(Query1[[#This Row],[ItemType]]="EVAP KIT UNIVERSAL",Query1[[#This Row],[OrderQty]]+J4712,J4712)</f>
        <v>1897</v>
      </c>
      <c r="K4713" s="1">
        <f>Query1[[#This Row],[SF Running Total]]+Query1[[#This Row],[UNIV Running Total]]</f>
        <v>7735</v>
      </c>
      <c r="L4713">
        <f>VLOOKUP(Query1[[#This Row],[Description]],'kits to boards'!$B$2:$E$156,2,FALSE)</f>
        <v>830001</v>
      </c>
      <c r="M4713">
        <f>VLOOKUP(Query1[[#This Row],[Description]],'kits to boards'!$B$2:$E$156,3,FALSE)</f>
        <v>0</v>
      </c>
      <c r="N4713">
        <f>VLOOKUP(Query1[[#This Row],[Description]],'kits to boards'!$B$2:$E$156,4,FALSE)</f>
        <v>0</v>
      </c>
      <c r="O4713" t="str">
        <f>CONCATENATE(Query1[[#This Row],[Description]]," - ",Query1[[#This Row],[MB1]]," - ",Query1[[#This Row],[MB2]]," - ",Query1[[#This Row],[MB3]])</f>
        <v>EVAP KIT 73-80 CHEV P-UP W/AC - 830001 - 0 - 0</v>
      </c>
    </row>
    <row r="4714" spans="1:15" x14ac:dyDescent="0.25">
      <c r="A4714" s="1">
        <v>921778</v>
      </c>
      <c r="B4714" s="1" t="s">
        <v>12</v>
      </c>
      <c r="C4714" s="1" t="s">
        <v>13</v>
      </c>
      <c r="D4714" s="2">
        <v>44680.41046392361</v>
      </c>
      <c r="E4714" s="1" t="s">
        <v>8</v>
      </c>
      <c r="F4714" s="1">
        <v>1</v>
      </c>
      <c r="G4714" s="1">
        <v>0</v>
      </c>
      <c r="H4714" s="6">
        <f>INT(Query1[[#This Row],[EntryDateTime]])</f>
        <v>44680</v>
      </c>
      <c r="I4714" s="1">
        <f>IF(Query1[[#This Row],[ItemType]]="EVAP KIT SF GEN IV",Query1[[#This Row],[OrderQty]]+I4713,I4713)</f>
        <v>5839</v>
      </c>
      <c r="J4714" s="1">
        <f>IF(Query1[[#This Row],[ItemType]]="EVAP KIT UNIVERSAL",Query1[[#This Row],[OrderQty]]+J4713,J4713)</f>
        <v>1897</v>
      </c>
      <c r="K4714" s="1">
        <f>Query1[[#This Row],[SF Running Total]]+Query1[[#This Row],[UNIV Running Total]]</f>
        <v>7736</v>
      </c>
      <c r="L4714">
        <f>VLOOKUP(Query1[[#This Row],[Description]],'kits to boards'!$B$2:$E$156,2,FALSE)</f>
        <v>830079</v>
      </c>
      <c r="M4714">
        <f>VLOOKUP(Query1[[#This Row],[Description]],'kits to boards'!$B$2:$E$156,3,FALSE)</f>
        <v>830046</v>
      </c>
      <c r="N4714">
        <f>VLOOKUP(Query1[[#This Row],[Description]],'kits to boards'!$B$2:$E$156,4,FALSE)</f>
        <v>0</v>
      </c>
      <c r="O4714" t="str">
        <f>CONCATENATE(Query1[[#This Row],[Description]]," - ",Query1[[#This Row],[MB1]]," - ",Query1[[#This Row],[MB2]]," - ",Query1[[#This Row],[MB3]])</f>
        <v>EVAP KIT 67-68 MUSTANG/COUGAR W/AC - 830079 - 830046 - 0</v>
      </c>
    </row>
    <row r="4715" spans="1:15" x14ac:dyDescent="0.25">
      <c r="A4715" s="1">
        <v>921643</v>
      </c>
      <c r="B4715" s="1" t="s">
        <v>26</v>
      </c>
      <c r="C4715" s="1" t="s">
        <v>27</v>
      </c>
      <c r="D4715" s="2">
        <v>44680.418651967593</v>
      </c>
      <c r="E4715" s="1" t="s">
        <v>8</v>
      </c>
      <c r="F4715" s="1">
        <v>2</v>
      </c>
      <c r="G4715" s="1">
        <v>0</v>
      </c>
      <c r="H4715" s="6">
        <f>INT(Query1[[#This Row],[EntryDateTime]])</f>
        <v>44680</v>
      </c>
      <c r="I4715" s="1">
        <f>IF(Query1[[#This Row],[ItemType]]="EVAP KIT SF GEN IV",Query1[[#This Row],[OrderQty]]+I4714,I4714)</f>
        <v>5841</v>
      </c>
      <c r="J4715" s="1">
        <f>IF(Query1[[#This Row],[ItemType]]="EVAP KIT UNIVERSAL",Query1[[#This Row],[OrderQty]]+J4714,J4714)</f>
        <v>1897</v>
      </c>
      <c r="K4715" s="1">
        <f>Query1[[#This Row],[SF Running Total]]+Query1[[#This Row],[UNIV Running Total]]</f>
        <v>7738</v>
      </c>
      <c r="L4715">
        <f>VLOOKUP(Query1[[#This Row],[Description]],'kits to boards'!$B$2:$E$156,2,FALSE)</f>
        <v>830013</v>
      </c>
      <c r="M4715">
        <f>VLOOKUP(Query1[[#This Row],[Description]],'kits to boards'!$B$2:$E$156,3,FALSE)</f>
        <v>0</v>
      </c>
      <c r="N4715">
        <f>VLOOKUP(Query1[[#This Row],[Description]],'kits to boards'!$B$2:$E$156,4,FALSE)</f>
        <v>0</v>
      </c>
      <c r="O4715" t="str">
        <f>CONCATENATE(Query1[[#This Row],[Description]]," - ",Query1[[#This Row],[MB1]]," - ",Query1[[#This Row],[MB2]]," - ",Query1[[#This Row],[MB3]])</f>
        <v>EVAP KIT 67-72 CHEV P-UP W/AC - 830013 - 0 - 0</v>
      </c>
    </row>
    <row r="4716" spans="1:15" x14ac:dyDescent="0.25">
      <c r="A4716" s="1">
        <v>921778</v>
      </c>
      <c r="B4716" s="1" t="s">
        <v>114</v>
      </c>
      <c r="C4716" s="1" t="s">
        <v>115</v>
      </c>
      <c r="D4716" s="2">
        <v>44680.420148611112</v>
      </c>
      <c r="E4716" s="1" t="s">
        <v>8</v>
      </c>
      <c r="F4716" s="1">
        <v>1</v>
      </c>
      <c r="G4716" s="1">
        <v>0</v>
      </c>
      <c r="H4716" s="6">
        <f>INT(Query1[[#This Row],[EntryDateTime]])</f>
        <v>44680</v>
      </c>
      <c r="I4716" s="1">
        <f>IF(Query1[[#This Row],[ItemType]]="EVAP KIT SF GEN IV",Query1[[#This Row],[OrderQty]]+I4715,I4715)</f>
        <v>5842</v>
      </c>
      <c r="J4716" s="1">
        <f>IF(Query1[[#This Row],[ItemType]]="EVAP KIT UNIVERSAL",Query1[[#This Row],[OrderQty]]+J4715,J4715)</f>
        <v>1897</v>
      </c>
      <c r="K4716" s="1">
        <f>Query1[[#This Row],[SF Running Total]]+Query1[[#This Row],[UNIV Running Total]]</f>
        <v>7739</v>
      </c>
      <c r="L4716">
        <f>VLOOKUP(Query1[[#This Row],[Description]],'kits to boards'!$B$2:$E$156,2,FALSE)</f>
        <v>830059</v>
      </c>
      <c r="M4716">
        <f>VLOOKUP(Query1[[#This Row],[Description]],'kits to boards'!$B$2:$E$156,3,FALSE)</f>
        <v>0</v>
      </c>
      <c r="N4716">
        <f>VLOOKUP(Query1[[#This Row],[Description]],'kits to boards'!$B$2:$E$156,4,FALSE)</f>
        <v>0</v>
      </c>
      <c r="O4716" t="str">
        <f>CONCATENATE(Query1[[#This Row],[Description]]," - ",Query1[[#This Row],[MB1]]," - ",Query1[[#This Row],[MB2]]," - ",Query1[[#This Row],[MB3]])</f>
        <v>EVAP KIT 66-67 CHEVELLE W/AC - 830059 - 0 - 0</v>
      </c>
    </row>
    <row r="4717" spans="1:15" x14ac:dyDescent="0.25">
      <c r="A4717" s="1">
        <v>921670</v>
      </c>
      <c r="B4717" s="1" t="s">
        <v>84</v>
      </c>
      <c r="C4717" s="1" t="s">
        <v>85</v>
      </c>
      <c r="D4717" s="2">
        <v>44680.427290011576</v>
      </c>
      <c r="E4717" s="1" t="s">
        <v>8</v>
      </c>
      <c r="F4717" s="1">
        <v>8</v>
      </c>
      <c r="G4717" s="1">
        <v>0</v>
      </c>
      <c r="H4717" s="6">
        <f>INT(Query1[[#This Row],[EntryDateTime]])</f>
        <v>44680</v>
      </c>
      <c r="I4717" s="1">
        <f>IF(Query1[[#This Row],[ItemType]]="EVAP KIT SF GEN IV",Query1[[#This Row],[OrderQty]]+I4716,I4716)</f>
        <v>5850</v>
      </c>
      <c r="J4717" s="1">
        <f>IF(Query1[[#This Row],[ItemType]]="EVAP KIT UNIVERSAL",Query1[[#This Row],[OrderQty]]+J4716,J4716)</f>
        <v>1897</v>
      </c>
      <c r="K4717" s="1">
        <f>Query1[[#This Row],[SF Running Total]]+Query1[[#This Row],[UNIV Running Total]]</f>
        <v>7747</v>
      </c>
      <c r="L4717">
        <f>VLOOKUP(Query1[[#This Row],[Description]],'kits to boards'!$B$2:$E$156,2,FALSE)</f>
        <v>830085</v>
      </c>
      <c r="M4717">
        <f>VLOOKUP(Query1[[#This Row],[Description]],'kits to boards'!$B$2:$E$156,3,FALSE)</f>
        <v>0</v>
      </c>
      <c r="N4717">
        <f>VLOOKUP(Query1[[#This Row],[Description]],'kits to boards'!$B$2:$E$156,4,FALSE)</f>
        <v>0</v>
      </c>
      <c r="O4717" t="str">
        <f>CONCATENATE(Query1[[#This Row],[Description]]," - ",Query1[[#This Row],[MB1]]," - ",Query1[[#This Row],[MB2]]," - ",Query1[[#This Row],[MB3]])</f>
        <v>EVAP KIT 66-77 BRONCO 4-VENT PLENUM - 830085 - 0 - 0</v>
      </c>
    </row>
    <row r="4718" spans="1:15" x14ac:dyDescent="0.25">
      <c r="A4718" s="1">
        <v>912624</v>
      </c>
      <c r="B4718" s="1" t="s">
        <v>291</v>
      </c>
      <c r="C4718" s="1" t="s">
        <v>292</v>
      </c>
      <c r="D4718" s="2">
        <v>44680.43264421296</v>
      </c>
      <c r="E4718" s="1" t="s">
        <v>8</v>
      </c>
      <c r="F4718" s="1">
        <v>20</v>
      </c>
      <c r="G4718" s="1">
        <v>0</v>
      </c>
      <c r="H4718" s="6">
        <f>INT(Query1[[#This Row],[EntryDateTime]])</f>
        <v>44680</v>
      </c>
      <c r="I4718" s="1">
        <f>IF(Query1[[#This Row],[ItemType]]="EVAP KIT SF GEN IV",Query1[[#This Row],[OrderQty]]+I4717,I4717)</f>
        <v>5870</v>
      </c>
      <c r="J4718" s="1">
        <f>IF(Query1[[#This Row],[ItemType]]="EVAP KIT UNIVERSAL",Query1[[#This Row],[OrderQty]]+J4717,J4717)</f>
        <v>1897</v>
      </c>
      <c r="K4718" s="1">
        <f>Query1[[#This Row],[SF Running Total]]+Query1[[#This Row],[UNIV Running Total]]</f>
        <v>7767</v>
      </c>
      <c r="L4718" t="e">
        <f>VLOOKUP(Query1[[#This Row],[Description]],'kits to boards'!$B$2:$E$156,2,FALSE)</f>
        <v>#N/A</v>
      </c>
      <c r="M4718" t="e">
        <f>VLOOKUP(Query1[[#This Row],[Description]],'kits to boards'!$B$2:$E$156,3,FALSE)</f>
        <v>#N/A</v>
      </c>
      <c r="N4718" t="e">
        <f>VLOOKUP(Query1[[#This Row],[Description]],'kits to boards'!$B$2:$E$156,4,FALSE)</f>
        <v>#N/A</v>
      </c>
      <c r="O4718" t="e">
        <f>CONCATENATE(Query1[[#This Row],[Description]]," - ",Query1[[#This Row],[MB1]]," - ",Query1[[#This Row],[MB2]]," - ",Query1[[#This Row],[MB3]])</f>
        <v>#N/A</v>
      </c>
    </row>
    <row r="4719" spans="1:15" x14ac:dyDescent="0.25">
      <c r="A4719" s="1">
        <v>921775</v>
      </c>
      <c r="B4719" s="1" t="s">
        <v>54</v>
      </c>
      <c r="C4719" s="1" t="s">
        <v>55</v>
      </c>
      <c r="D4719" s="2">
        <v>44680.433443287038</v>
      </c>
      <c r="E4719" s="1" t="s">
        <v>8</v>
      </c>
      <c r="F4719" s="1">
        <v>1</v>
      </c>
      <c r="G4719" s="1">
        <v>0</v>
      </c>
      <c r="H4719" s="6">
        <f>INT(Query1[[#This Row],[EntryDateTime]])</f>
        <v>44680</v>
      </c>
      <c r="I4719" s="1">
        <f>IF(Query1[[#This Row],[ItemType]]="EVAP KIT SF GEN IV",Query1[[#This Row],[OrderQty]]+I4718,I4718)</f>
        <v>5871</v>
      </c>
      <c r="J4719" s="1">
        <f>IF(Query1[[#This Row],[ItemType]]="EVAP KIT UNIVERSAL",Query1[[#This Row],[OrderQty]]+J4718,J4718)</f>
        <v>1897</v>
      </c>
      <c r="K4719" s="1">
        <f>Query1[[#This Row],[SF Running Total]]+Query1[[#This Row],[UNIV Running Total]]</f>
        <v>7768</v>
      </c>
      <c r="L4719">
        <f>VLOOKUP(Query1[[#This Row],[Description]],'kits to boards'!$B$2:$E$156,2,FALSE)</f>
        <v>830037</v>
      </c>
      <c r="M4719">
        <f>VLOOKUP(Query1[[#This Row],[Description]],'kits to boards'!$B$2:$E$156,3,FALSE)</f>
        <v>0</v>
      </c>
      <c r="N4719">
        <f>VLOOKUP(Query1[[#This Row],[Description]],'kits to boards'!$B$2:$E$156,4,FALSE)</f>
        <v>0</v>
      </c>
      <c r="O4719" t="str">
        <f>CONCATENATE(Query1[[#This Row],[Description]]," - ",Query1[[#This Row],[MB1]]," - ",Query1[[#This Row],[MB2]]," - ",Query1[[#This Row],[MB3]])</f>
        <v>EVAP KIT 70-81 FIREBIRD W/AC - 830037 - 0 - 0</v>
      </c>
    </row>
    <row r="4720" spans="1:15" x14ac:dyDescent="0.25">
      <c r="A4720" s="1">
        <v>921800</v>
      </c>
      <c r="B4720" s="1" t="s">
        <v>96</v>
      </c>
      <c r="C4720" s="1" t="s">
        <v>97</v>
      </c>
      <c r="D4720" s="2">
        <v>44680.442706400463</v>
      </c>
      <c r="E4720" s="1" t="s">
        <v>8</v>
      </c>
      <c r="F4720" s="1">
        <v>1</v>
      </c>
      <c r="G4720" s="1">
        <v>0</v>
      </c>
      <c r="H4720" s="6">
        <f>INT(Query1[[#This Row],[EntryDateTime]])</f>
        <v>44680</v>
      </c>
      <c r="I4720" s="1">
        <f>IF(Query1[[#This Row],[ItemType]]="EVAP KIT SF GEN IV",Query1[[#This Row],[OrderQty]]+I4719,I4719)</f>
        <v>5872</v>
      </c>
      <c r="J4720" s="1">
        <f>IF(Query1[[#This Row],[ItemType]]="EVAP KIT UNIVERSAL",Query1[[#This Row],[OrderQty]]+J4719,J4719)</f>
        <v>1897</v>
      </c>
      <c r="K4720" s="1">
        <f>Query1[[#This Row],[SF Running Total]]+Query1[[#This Row],[UNIV Running Total]]</f>
        <v>7769</v>
      </c>
      <c r="L4720">
        <f>VLOOKUP(Query1[[#This Row],[Description]],'kits to boards'!$B$2:$E$156,2,FALSE)</f>
        <v>830004</v>
      </c>
      <c r="M4720">
        <f>VLOOKUP(Query1[[#This Row],[Description]],'kits to boards'!$B$2:$E$156,3,FALSE)</f>
        <v>0</v>
      </c>
      <c r="N4720">
        <f>VLOOKUP(Query1[[#This Row],[Description]],'kits to boards'!$B$2:$E$156,4,FALSE)</f>
        <v>0</v>
      </c>
      <c r="O4720" t="str">
        <f>CONCATENATE(Query1[[#This Row],[Description]]," - ",Query1[[#This Row],[MB1]]," - ",Query1[[#This Row],[MB2]]," - ",Query1[[#This Row],[MB3]])</f>
        <v>EVAP KIT 81-87 CHEV P-UP W/AC - 830004 - 0 - 0</v>
      </c>
    </row>
    <row r="4721" spans="1:15" x14ac:dyDescent="0.25">
      <c r="A4721" s="1">
        <v>921799</v>
      </c>
      <c r="B4721" s="1" t="s">
        <v>192</v>
      </c>
      <c r="C4721" s="1" t="s">
        <v>193</v>
      </c>
      <c r="D4721" s="2">
        <v>44680.444350578706</v>
      </c>
      <c r="E4721" s="1" t="s">
        <v>8</v>
      </c>
      <c r="F4721" s="1">
        <v>1</v>
      </c>
      <c r="G4721" s="1">
        <v>0</v>
      </c>
      <c r="H4721" s="6">
        <f>INT(Query1[[#This Row],[EntryDateTime]])</f>
        <v>44680</v>
      </c>
      <c r="I4721" s="1">
        <f>IF(Query1[[#This Row],[ItemType]]="EVAP KIT SF GEN IV",Query1[[#This Row],[OrderQty]]+I4720,I4720)</f>
        <v>5873</v>
      </c>
      <c r="J4721" s="1">
        <f>IF(Query1[[#This Row],[ItemType]]="EVAP KIT UNIVERSAL",Query1[[#This Row],[OrderQty]]+J4720,J4720)</f>
        <v>1897</v>
      </c>
      <c r="K4721" s="1">
        <f>Query1[[#This Row],[SF Running Total]]+Query1[[#This Row],[UNIV Running Total]]</f>
        <v>7770</v>
      </c>
      <c r="L4721">
        <f>VLOOKUP(Query1[[#This Row],[Description]],'kits to boards'!$B$2:$E$156,2,FALSE)</f>
        <v>830094</v>
      </c>
      <c r="M4721">
        <f>VLOOKUP(Query1[[#This Row],[Description]],'kits to boards'!$B$2:$E$156,3,FALSE)</f>
        <v>0</v>
      </c>
      <c r="N4721">
        <f>VLOOKUP(Query1[[#This Row],[Description]],'kits to boards'!$B$2:$E$156,4,FALSE)</f>
        <v>0</v>
      </c>
      <c r="O4721" t="str">
        <f>CONCATENATE(Query1[[#This Row],[Description]]," - ",Query1[[#This Row],[MB1]]," - ",Query1[[#This Row],[MB2]]," - ",Query1[[#This Row],[MB3]])</f>
        <v>EVAP KIT 69-73 VETTE W/AC - 830094 - 0 - 0</v>
      </c>
    </row>
    <row r="4722" spans="1:15" x14ac:dyDescent="0.25">
      <c r="A4722" s="1">
        <v>921593</v>
      </c>
      <c r="B4722" s="1" t="s">
        <v>28</v>
      </c>
      <c r="C4722" s="1" t="s">
        <v>29</v>
      </c>
      <c r="D4722" s="2">
        <v>44680.451301817127</v>
      </c>
      <c r="E4722" s="1" t="s">
        <v>8</v>
      </c>
      <c r="F4722" s="1">
        <v>1</v>
      </c>
      <c r="G4722" s="1">
        <v>0</v>
      </c>
      <c r="H4722" s="6">
        <f>INT(Query1[[#This Row],[EntryDateTime]])</f>
        <v>44680</v>
      </c>
      <c r="I4722" s="1">
        <f>IF(Query1[[#This Row],[ItemType]]="EVAP KIT SF GEN IV",Query1[[#This Row],[OrderQty]]+I4721,I4721)</f>
        <v>5874</v>
      </c>
      <c r="J4722" s="1">
        <f>IF(Query1[[#This Row],[ItemType]]="EVAP KIT UNIVERSAL",Query1[[#This Row],[OrderQty]]+J4721,J4721)</f>
        <v>1897</v>
      </c>
      <c r="K4722" s="1">
        <f>Query1[[#This Row],[SF Running Total]]+Query1[[#This Row],[UNIV Running Total]]</f>
        <v>7771</v>
      </c>
      <c r="L4722">
        <f>VLOOKUP(Query1[[#This Row],[Description]],'kits to boards'!$B$2:$E$156,2,FALSE)</f>
        <v>830001</v>
      </c>
      <c r="M4722">
        <f>VLOOKUP(Query1[[#This Row],[Description]],'kits to boards'!$B$2:$E$156,3,FALSE)</f>
        <v>0</v>
      </c>
      <c r="N4722">
        <f>VLOOKUP(Query1[[#This Row],[Description]],'kits to boards'!$B$2:$E$156,4,FALSE)</f>
        <v>0</v>
      </c>
      <c r="O4722" t="str">
        <f>CONCATENATE(Query1[[#This Row],[Description]]," - ",Query1[[#This Row],[MB1]]," - ",Query1[[#This Row],[MB2]]," - ",Query1[[#This Row],[MB3]])</f>
        <v>EVAP KIT 73-80 CHEV P-UP W/AC - 830001 - 0 - 0</v>
      </c>
    </row>
    <row r="4723" spans="1:15" x14ac:dyDescent="0.25">
      <c r="A4723" s="1">
        <v>921807</v>
      </c>
      <c r="B4723" s="1" t="s">
        <v>42</v>
      </c>
      <c r="C4723" s="1" t="s">
        <v>43</v>
      </c>
      <c r="D4723" s="2">
        <v>44680.48947403935</v>
      </c>
      <c r="E4723" s="1" t="s">
        <v>8</v>
      </c>
      <c r="F4723" s="1">
        <v>1</v>
      </c>
      <c r="G4723" s="1">
        <v>0</v>
      </c>
      <c r="H4723" s="6">
        <f>INT(Query1[[#This Row],[EntryDateTime]])</f>
        <v>44680</v>
      </c>
      <c r="I4723" s="1">
        <f>IF(Query1[[#This Row],[ItemType]]="EVAP KIT SF GEN IV",Query1[[#This Row],[OrderQty]]+I4722,I4722)</f>
        <v>5875</v>
      </c>
      <c r="J4723" s="1">
        <f>IF(Query1[[#This Row],[ItemType]]="EVAP KIT UNIVERSAL",Query1[[#This Row],[OrderQty]]+J4722,J4722)</f>
        <v>1897</v>
      </c>
      <c r="K4723" s="1">
        <f>Query1[[#This Row],[SF Running Total]]+Query1[[#This Row],[UNIV Running Total]]</f>
        <v>7772</v>
      </c>
      <c r="L4723">
        <f>VLOOKUP(Query1[[#This Row],[Description]],'kits to boards'!$B$2:$E$156,2,FALSE)</f>
        <v>830014</v>
      </c>
      <c r="M4723">
        <f>VLOOKUP(Query1[[#This Row],[Description]],'kits to boards'!$B$2:$E$156,3,FALSE)</f>
        <v>0</v>
      </c>
      <c r="N4723">
        <f>VLOOKUP(Query1[[#This Row],[Description]],'kits to boards'!$B$2:$E$156,4,FALSE)</f>
        <v>0</v>
      </c>
      <c r="O4723" t="str">
        <f>CONCATENATE(Query1[[#This Row],[Description]]," - ",Query1[[#This Row],[MB1]]," - ",Query1[[#This Row],[MB2]]," - ",Query1[[#This Row],[MB3]])</f>
        <v>EVAP KIT 67-72 CHEV P-UP WO AC - 830014 - 0 - 0</v>
      </c>
    </row>
    <row r="4724" spans="1:15" x14ac:dyDescent="0.25">
      <c r="A4724" s="1">
        <v>921810</v>
      </c>
      <c r="B4724" s="1" t="s">
        <v>30</v>
      </c>
      <c r="C4724" s="1" t="s">
        <v>31</v>
      </c>
      <c r="D4724" s="2">
        <v>44680.493998611113</v>
      </c>
      <c r="E4724" s="1" t="s">
        <v>8</v>
      </c>
      <c r="F4724" s="1">
        <v>1</v>
      </c>
      <c r="G4724" s="1">
        <v>0</v>
      </c>
      <c r="H4724" s="6">
        <f>INT(Query1[[#This Row],[EntryDateTime]])</f>
        <v>44680</v>
      </c>
      <c r="I4724" s="1">
        <f>IF(Query1[[#This Row],[ItemType]]="EVAP KIT SF GEN IV",Query1[[#This Row],[OrderQty]]+I4723,I4723)</f>
        <v>5876</v>
      </c>
      <c r="J4724" s="1">
        <f>IF(Query1[[#This Row],[ItemType]]="EVAP KIT UNIVERSAL",Query1[[#This Row],[OrderQty]]+J4723,J4723)</f>
        <v>1897</v>
      </c>
      <c r="K4724" s="1">
        <f>Query1[[#This Row],[SF Running Total]]+Query1[[#This Row],[UNIV Running Total]]</f>
        <v>7773</v>
      </c>
      <c r="L4724">
        <f>VLOOKUP(Query1[[#This Row],[Description]],'kits to boards'!$B$2:$E$156,2,FALSE)</f>
        <v>830054</v>
      </c>
      <c r="M4724">
        <f>VLOOKUP(Query1[[#This Row],[Description]],'kits to boards'!$B$2:$E$156,3,FALSE)</f>
        <v>0</v>
      </c>
      <c r="N4724">
        <f>VLOOKUP(Query1[[#This Row],[Description]],'kits to boards'!$B$2:$E$156,4,FALSE)</f>
        <v>0</v>
      </c>
      <c r="O4724" t="str">
        <f>CONCATENATE(Query1[[#This Row],[Description]]," - ",Query1[[#This Row],[MB1]]," - ",Query1[[#This Row],[MB2]]," - ",Query1[[#This Row],[MB3]])</f>
        <v>EVAP KIT 55-56 CHEVY 4-VENT - 830054 - 0 - 0</v>
      </c>
    </row>
    <row r="4725" spans="1:15" x14ac:dyDescent="0.25">
      <c r="A4725" s="1">
        <v>921812</v>
      </c>
      <c r="B4725" s="1" t="s">
        <v>24</v>
      </c>
      <c r="C4725" s="1" t="s">
        <v>25</v>
      </c>
      <c r="D4725" s="2">
        <v>44680.497120636574</v>
      </c>
      <c r="E4725" s="1" t="s">
        <v>11</v>
      </c>
      <c r="F4725" s="1">
        <v>1</v>
      </c>
      <c r="G4725" s="1">
        <v>0</v>
      </c>
      <c r="H4725" s="6">
        <f>INT(Query1[[#This Row],[EntryDateTime]])</f>
        <v>44680</v>
      </c>
      <c r="I4725" s="1">
        <f>IF(Query1[[#This Row],[ItemType]]="EVAP KIT SF GEN IV",Query1[[#This Row],[OrderQty]]+I4724,I4724)</f>
        <v>5876</v>
      </c>
      <c r="J4725" s="1">
        <f>IF(Query1[[#This Row],[ItemType]]="EVAP KIT UNIVERSAL",Query1[[#This Row],[OrderQty]]+J4724,J4724)</f>
        <v>1898</v>
      </c>
      <c r="K4725" s="1">
        <f>Query1[[#This Row],[SF Running Total]]+Query1[[#This Row],[UNIV Running Total]]</f>
        <v>7774</v>
      </c>
      <c r="L4725">
        <f>VLOOKUP(Query1[[#This Row],[Description]],'kits to boards'!$B$2:$E$156,2,FALSE)</f>
        <v>830029</v>
      </c>
      <c r="M4725">
        <f>VLOOKUP(Query1[[#This Row],[Description]],'kits to boards'!$B$2:$E$156,3,FALSE)</f>
        <v>830030</v>
      </c>
      <c r="N4725">
        <f>VLOOKUP(Query1[[#This Row],[Description]],'kits to boards'!$B$2:$E$156,4,FALSE)</f>
        <v>0</v>
      </c>
      <c r="O4725" t="str">
        <f>CONCATENATE(Query1[[#This Row],[Description]]," - ",Query1[[#This Row],[MB1]]," - ",Query1[[#This Row],[MB2]]," - ",Query1[[#This Row],[MB3]])</f>
        <v>ComPac GEN II W/DEF - 830029 - 830030 - 0</v>
      </c>
    </row>
    <row r="4726" spans="1:15" x14ac:dyDescent="0.25">
      <c r="A4726" s="1">
        <v>921813</v>
      </c>
      <c r="B4726" s="1" t="s">
        <v>28</v>
      </c>
      <c r="C4726" s="1" t="s">
        <v>29</v>
      </c>
      <c r="D4726" s="2">
        <v>44680.50154070602</v>
      </c>
      <c r="E4726" s="1" t="s">
        <v>8</v>
      </c>
      <c r="F4726" s="1">
        <v>1</v>
      </c>
      <c r="G4726" s="1">
        <v>0</v>
      </c>
      <c r="H4726" s="6">
        <f>INT(Query1[[#This Row],[EntryDateTime]])</f>
        <v>44680</v>
      </c>
      <c r="I4726" s="1">
        <f>IF(Query1[[#This Row],[ItemType]]="EVAP KIT SF GEN IV",Query1[[#This Row],[OrderQty]]+I4725,I4725)</f>
        <v>5877</v>
      </c>
      <c r="J4726" s="1">
        <f>IF(Query1[[#This Row],[ItemType]]="EVAP KIT UNIVERSAL",Query1[[#This Row],[OrderQty]]+J4725,J4725)</f>
        <v>1898</v>
      </c>
      <c r="K4726" s="1">
        <f>Query1[[#This Row],[SF Running Total]]+Query1[[#This Row],[UNIV Running Total]]</f>
        <v>7775</v>
      </c>
      <c r="L4726">
        <f>VLOOKUP(Query1[[#This Row],[Description]],'kits to boards'!$B$2:$E$156,2,FALSE)</f>
        <v>830001</v>
      </c>
      <c r="M4726">
        <f>VLOOKUP(Query1[[#This Row],[Description]],'kits to boards'!$B$2:$E$156,3,FALSE)</f>
        <v>0</v>
      </c>
      <c r="N4726">
        <f>VLOOKUP(Query1[[#This Row],[Description]],'kits to boards'!$B$2:$E$156,4,FALSE)</f>
        <v>0</v>
      </c>
      <c r="O4726" t="str">
        <f>CONCATENATE(Query1[[#This Row],[Description]]," - ",Query1[[#This Row],[MB1]]," - ",Query1[[#This Row],[MB2]]," - ",Query1[[#This Row],[MB3]])</f>
        <v>EVAP KIT 73-80 CHEV P-UP W/AC - 830001 - 0 - 0</v>
      </c>
    </row>
    <row r="4727" spans="1:15" x14ac:dyDescent="0.25">
      <c r="A4727" s="1">
        <v>921814</v>
      </c>
      <c r="B4727" s="1" t="s">
        <v>132</v>
      </c>
      <c r="C4727" s="1" t="s">
        <v>133</v>
      </c>
      <c r="D4727" s="2">
        <v>44680.50392959491</v>
      </c>
      <c r="E4727" s="1" t="s">
        <v>8</v>
      </c>
      <c r="F4727" s="1">
        <v>1</v>
      </c>
      <c r="G4727" s="1">
        <v>0</v>
      </c>
      <c r="H4727" s="6">
        <f>INT(Query1[[#This Row],[EntryDateTime]])</f>
        <v>44680</v>
      </c>
      <c r="I4727" s="1">
        <f>IF(Query1[[#This Row],[ItemType]]="EVAP KIT SF GEN IV",Query1[[#This Row],[OrderQty]]+I4726,I4726)</f>
        <v>5878</v>
      </c>
      <c r="J4727" s="1">
        <f>IF(Query1[[#This Row],[ItemType]]="EVAP KIT UNIVERSAL",Query1[[#This Row],[OrderQty]]+J4726,J4726)</f>
        <v>1898</v>
      </c>
      <c r="K4727" s="1">
        <f>Query1[[#This Row],[SF Running Total]]+Query1[[#This Row],[UNIV Running Total]]</f>
        <v>7776</v>
      </c>
      <c r="L4727">
        <f>VLOOKUP(Query1[[#This Row],[Description]],'kits to boards'!$B$2:$E$156,2,FALSE)</f>
        <v>830005</v>
      </c>
      <c r="M4727">
        <f>VLOOKUP(Query1[[#This Row],[Description]],'kits to boards'!$B$2:$E$156,3,FALSE)</f>
        <v>0</v>
      </c>
      <c r="N4727">
        <f>VLOOKUP(Query1[[#This Row],[Description]],'kits to boards'!$B$2:$E$156,4,FALSE)</f>
        <v>0</v>
      </c>
      <c r="O4727" t="str">
        <f>CONCATENATE(Query1[[#This Row],[Description]]," - ",Query1[[#This Row],[MB1]]," - ",Query1[[#This Row],[MB2]]," - ",Query1[[#This Row],[MB3]])</f>
        <v>EVAP KIT 61-62 IMPALA WO AC - 830005 - 0 - 0</v>
      </c>
    </row>
    <row r="4728" spans="1:15" x14ac:dyDescent="0.25">
      <c r="A4728" s="1">
        <v>921814</v>
      </c>
      <c r="B4728" s="1" t="s">
        <v>132</v>
      </c>
      <c r="C4728" s="1" t="s">
        <v>133</v>
      </c>
      <c r="D4728" s="2">
        <v>44680.504671064817</v>
      </c>
      <c r="E4728" s="1" t="s">
        <v>8</v>
      </c>
      <c r="F4728" s="1">
        <v>1</v>
      </c>
      <c r="G4728" s="1">
        <v>0</v>
      </c>
      <c r="H4728" s="6">
        <f>INT(Query1[[#This Row],[EntryDateTime]])</f>
        <v>44680</v>
      </c>
      <c r="I4728" s="1">
        <f>IF(Query1[[#This Row],[ItemType]]="EVAP KIT SF GEN IV",Query1[[#This Row],[OrderQty]]+I4727,I4727)</f>
        <v>5879</v>
      </c>
      <c r="J4728" s="1">
        <f>IF(Query1[[#This Row],[ItemType]]="EVAP KIT UNIVERSAL",Query1[[#This Row],[OrderQty]]+J4727,J4727)</f>
        <v>1898</v>
      </c>
      <c r="K4728" s="1">
        <f>Query1[[#This Row],[SF Running Total]]+Query1[[#This Row],[UNIV Running Total]]</f>
        <v>7777</v>
      </c>
      <c r="L4728">
        <f>VLOOKUP(Query1[[#This Row],[Description]],'kits to boards'!$B$2:$E$156,2,FALSE)</f>
        <v>830005</v>
      </c>
      <c r="M4728">
        <f>VLOOKUP(Query1[[#This Row],[Description]],'kits to boards'!$B$2:$E$156,3,FALSE)</f>
        <v>0</v>
      </c>
      <c r="N4728">
        <f>VLOOKUP(Query1[[#This Row],[Description]],'kits to boards'!$B$2:$E$156,4,FALSE)</f>
        <v>0</v>
      </c>
      <c r="O4728" t="str">
        <f>CONCATENATE(Query1[[#This Row],[Description]]," - ",Query1[[#This Row],[MB1]]," - ",Query1[[#This Row],[MB2]]," - ",Query1[[#This Row],[MB3]])</f>
        <v>EVAP KIT 61-62 IMPALA WO AC - 830005 - 0 - 0</v>
      </c>
    </row>
    <row r="4729" spans="1:15" x14ac:dyDescent="0.25">
      <c r="A4729" s="1">
        <v>921817</v>
      </c>
      <c r="B4729" s="1" t="s">
        <v>50</v>
      </c>
      <c r="C4729" s="1" t="s">
        <v>51</v>
      </c>
      <c r="D4729" s="2">
        <v>44680.512324768519</v>
      </c>
      <c r="E4729" s="1" t="s">
        <v>8</v>
      </c>
      <c r="F4729" s="1">
        <v>1</v>
      </c>
      <c r="G4729" s="1">
        <v>0</v>
      </c>
      <c r="H4729" s="6">
        <f>INT(Query1[[#This Row],[EntryDateTime]])</f>
        <v>44680</v>
      </c>
      <c r="I4729" s="1">
        <f>IF(Query1[[#This Row],[ItemType]]="EVAP KIT SF GEN IV",Query1[[#This Row],[OrderQty]]+I4728,I4728)</f>
        <v>5880</v>
      </c>
      <c r="J4729" s="1">
        <f>IF(Query1[[#This Row],[ItemType]]="EVAP KIT UNIVERSAL",Query1[[#This Row],[OrderQty]]+J4728,J4728)</f>
        <v>1898</v>
      </c>
      <c r="K4729" s="1">
        <f>Query1[[#This Row],[SF Running Total]]+Query1[[#This Row],[UNIV Running Total]]</f>
        <v>7778</v>
      </c>
      <c r="L4729">
        <f>VLOOKUP(Query1[[#This Row],[Description]],'kits to boards'!$B$2:$E$156,2,FALSE)</f>
        <v>830043</v>
      </c>
      <c r="M4729">
        <f>VLOOKUP(Query1[[#This Row],[Description]],'kits to boards'!$B$2:$E$156,3,FALSE)</f>
        <v>0</v>
      </c>
      <c r="N4729">
        <f>VLOOKUP(Query1[[#This Row],[Description]],'kits to boards'!$B$2:$E$156,4,FALSE)</f>
        <v>0</v>
      </c>
      <c r="O4729" t="str">
        <f>CONCATENATE(Query1[[#This Row],[Description]]," - ",Query1[[#This Row],[MB1]]," - ",Query1[[#This Row],[MB2]]," - ",Query1[[#This Row],[MB3]])</f>
        <v>EVAP KIT 69-74 NOVA WO AC - 830043 - 0 - 0</v>
      </c>
    </row>
    <row r="4730" spans="1:15" x14ac:dyDescent="0.25">
      <c r="A4730" s="1">
        <v>921819</v>
      </c>
      <c r="B4730" s="1" t="s">
        <v>66</v>
      </c>
      <c r="C4730" s="1" t="s">
        <v>67</v>
      </c>
      <c r="D4730" s="2">
        <v>44680.516554282411</v>
      </c>
      <c r="E4730" s="1" t="s">
        <v>8</v>
      </c>
      <c r="F4730" s="1">
        <v>1</v>
      </c>
      <c r="G4730" s="1">
        <v>0</v>
      </c>
      <c r="H4730" s="6">
        <f>INT(Query1[[#This Row],[EntryDateTime]])</f>
        <v>44680</v>
      </c>
      <c r="I4730" s="1">
        <f>IF(Query1[[#This Row],[ItemType]]="EVAP KIT SF GEN IV",Query1[[#This Row],[OrderQty]]+I4729,I4729)</f>
        <v>5881</v>
      </c>
      <c r="J4730" s="1">
        <f>IF(Query1[[#This Row],[ItemType]]="EVAP KIT UNIVERSAL",Query1[[#This Row],[OrderQty]]+J4729,J4729)</f>
        <v>1898</v>
      </c>
      <c r="K4730" s="1">
        <f>Query1[[#This Row],[SF Running Total]]+Query1[[#This Row],[UNIV Running Total]]</f>
        <v>7779</v>
      </c>
      <c r="L4730">
        <f>VLOOKUP(Query1[[#This Row],[Description]],'kits to boards'!$B$2:$E$156,2,FALSE)</f>
        <v>830060</v>
      </c>
      <c r="M4730">
        <f>VLOOKUP(Query1[[#This Row],[Description]],'kits to boards'!$B$2:$E$156,3,FALSE)</f>
        <v>0</v>
      </c>
      <c r="N4730">
        <f>VLOOKUP(Query1[[#This Row],[Description]],'kits to boards'!$B$2:$E$156,4,FALSE)</f>
        <v>0</v>
      </c>
      <c r="O4730" t="str">
        <f>CONCATENATE(Query1[[#This Row],[Description]]," - ",Query1[[#This Row],[MB1]]," - ",Query1[[#This Row],[MB2]]," - ",Query1[[#This Row],[MB3]])</f>
        <v>EVAP KIT 66-67 CHEVELLE WO AC - 830060 - 0 - 0</v>
      </c>
    </row>
    <row r="4731" spans="1:15" x14ac:dyDescent="0.25">
      <c r="A4731" s="1">
        <v>921822</v>
      </c>
      <c r="B4731" s="1" t="s">
        <v>84</v>
      </c>
      <c r="C4731" s="1" t="s">
        <v>85</v>
      </c>
      <c r="D4731" s="2">
        <v>44680.522594872687</v>
      </c>
      <c r="E4731" s="1" t="s">
        <v>8</v>
      </c>
      <c r="F4731" s="1">
        <v>1</v>
      </c>
      <c r="G4731" s="1">
        <v>0</v>
      </c>
      <c r="H4731" s="6">
        <f>INT(Query1[[#This Row],[EntryDateTime]])</f>
        <v>44680</v>
      </c>
      <c r="I4731" s="1">
        <f>IF(Query1[[#This Row],[ItemType]]="EVAP KIT SF GEN IV",Query1[[#This Row],[OrderQty]]+I4730,I4730)</f>
        <v>5882</v>
      </c>
      <c r="J4731" s="1">
        <f>IF(Query1[[#This Row],[ItemType]]="EVAP KIT UNIVERSAL",Query1[[#This Row],[OrderQty]]+J4730,J4730)</f>
        <v>1898</v>
      </c>
      <c r="K4731" s="1">
        <f>Query1[[#This Row],[SF Running Total]]+Query1[[#This Row],[UNIV Running Total]]</f>
        <v>7780</v>
      </c>
      <c r="L4731">
        <f>VLOOKUP(Query1[[#This Row],[Description]],'kits to boards'!$B$2:$E$156,2,FALSE)</f>
        <v>830085</v>
      </c>
      <c r="M4731">
        <f>VLOOKUP(Query1[[#This Row],[Description]],'kits to boards'!$B$2:$E$156,3,FALSE)</f>
        <v>0</v>
      </c>
      <c r="N4731">
        <f>VLOOKUP(Query1[[#This Row],[Description]],'kits to boards'!$B$2:$E$156,4,FALSE)</f>
        <v>0</v>
      </c>
      <c r="O4731" t="str">
        <f>CONCATENATE(Query1[[#This Row],[Description]]," - ",Query1[[#This Row],[MB1]]," - ",Query1[[#This Row],[MB2]]," - ",Query1[[#This Row],[MB3]])</f>
        <v>EVAP KIT 66-77 BRONCO 4-VENT PLENUM - 830085 - 0 - 0</v>
      </c>
    </row>
    <row r="4732" spans="1:15" x14ac:dyDescent="0.25">
      <c r="A4732" s="1">
        <v>921824</v>
      </c>
      <c r="B4732" s="1" t="s">
        <v>102</v>
      </c>
      <c r="C4732" s="1" t="s">
        <v>103</v>
      </c>
      <c r="D4732" s="2">
        <v>44680.526357407405</v>
      </c>
      <c r="E4732" s="1" t="s">
        <v>8</v>
      </c>
      <c r="F4732" s="1">
        <v>1</v>
      </c>
      <c r="G4732" s="1">
        <v>0</v>
      </c>
      <c r="H4732" s="6">
        <f>INT(Query1[[#This Row],[EntryDateTime]])</f>
        <v>44680</v>
      </c>
      <c r="I4732" s="1">
        <f>IF(Query1[[#This Row],[ItemType]]="EVAP KIT SF GEN IV",Query1[[#This Row],[OrderQty]]+I4731,I4731)</f>
        <v>5883</v>
      </c>
      <c r="J4732" s="1">
        <f>IF(Query1[[#This Row],[ItemType]]="EVAP KIT UNIVERSAL",Query1[[#This Row],[OrderQty]]+J4731,J4731)</f>
        <v>1898</v>
      </c>
      <c r="K4732" s="1">
        <f>Query1[[#This Row],[SF Running Total]]+Query1[[#This Row],[UNIV Running Total]]</f>
        <v>7781</v>
      </c>
      <c r="L4732">
        <f>VLOOKUP(Query1[[#This Row],[Description]],'kits to boards'!$B$2:$E$156,2,FALSE)</f>
        <v>830012</v>
      </c>
      <c r="M4732">
        <f>VLOOKUP(Query1[[#This Row],[Description]],'kits to boards'!$B$2:$E$156,3,FALSE)</f>
        <v>0</v>
      </c>
      <c r="N4732">
        <f>VLOOKUP(Query1[[#This Row],[Description]],'kits to boards'!$B$2:$E$156,4,FALSE)</f>
        <v>0</v>
      </c>
      <c r="O4732" t="str">
        <f>CONCATENATE(Query1[[#This Row],[Description]]," - ",Query1[[#This Row],[MB1]]," - ",Query1[[#This Row],[MB2]]," - ",Query1[[#This Row],[MB3]])</f>
        <v>EVAP KIT 69 CAMARO WO/AC - 830012 - 0 - 0</v>
      </c>
    </row>
    <row r="4733" spans="1:15" x14ac:dyDescent="0.25">
      <c r="A4733" s="1">
        <v>921823</v>
      </c>
      <c r="B4733" s="1" t="s">
        <v>52</v>
      </c>
      <c r="C4733" s="1" t="s">
        <v>53</v>
      </c>
      <c r="D4733" s="2">
        <v>44680.526899189812</v>
      </c>
      <c r="E4733" s="1" t="s">
        <v>8</v>
      </c>
      <c r="F4733" s="1">
        <v>1</v>
      </c>
      <c r="G4733" s="1">
        <v>0</v>
      </c>
      <c r="H4733" s="6">
        <f>INT(Query1[[#This Row],[EntryDateTime]])</f>
        <v>44680</v>
      </c>
      <c r="I4733" s="1">
        <f>IF(Query1[[#This Row],[ItemType]]="EVAP KIT SF GEN IV",Query1[[#This Row],[OrderQty]]+I4732,I4732)</f>
        <v>5884</v>
      </c>
      <c r="J4733" s="1">
        <f>IF(Query1[[#This Row],[ItemType]]="EVAP KIT UNIVERSAL",Query1[[#This Row],[OrderQty]]+J4732,J4732)</f>
        <v>1898</v>
      </c>
      <c r="K4733" s="1">
        <f>Query1[[#This Row],[SF Running Total]]+Query1[[#This Row],[UNIV Running Total]]</f>
        <v>7782</v>
      </c>
      <c r="L4733">
        <f>VLOOKUP(Query1[[#This Row],[Description]],'kits to boards'!$B$2:$E$156,2,FALSE)</f>
        <v>830017</v>
      </c>
      <c r="M4733">
        <f>VLOOKUP(Query1[[#This Row],[Description]],'kits to boards'!$B$2:$E$156,3,FALSE)</f>
        <v>830119</v>
      </c>
      <c r="N4733">
        <f>VLOOKUP(Query1[[#This Row],[Description]],'kits to boards'!$B$2:$E$156,4,FALSE)</f>
        <v>830120</v>
      </c>
      <c r="O4733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4734" spans="1:15" x14ac:dyDescent="0.25">
      <c r="A4734" s="1">
        <v>921823</v>
      </c>
      <c r="B4734" s="1" t="s">
        <v>128</v>
      </c>
      <c r="C4734" s="1" t="s">
        <v>129</v>
      </c>
      <c r="D4734" s="2">
        <v>44680.530642627316</v>
      </c>
      <c r="E4734" s="1" t="s">
        <v>8</v>
      </c>
      <c r="F4734" s="1">
        <v>1</v>
      </c>
      <c r="G4734" s="1">
        <v>0</v>
      </c>
      <c r="H4734" s="6">
        <f>INT(Query1[[#This Row],[EntryDateTime]])</f>
        <v>44680</v>
      </c>
      <c r="I4734" s="1">
        <f>IF(Query1[[#This Row],[ItemType]]="EVAP KIT SF GEN IV",Query1[[#This Row],[OrderQty]]+I4733,I4733)</f>
        <v>5885</v>
      </c>
      <c r="J4734" s="1">
        <f>IF(Query1[[#This Row],[ItemType]]="EVAP KIT UNIVERSAL",Query1[[#This Row],[OrderQty]]+J4733,J4733)</f>
        <v>1898</v>
      </c>
      <c r="K4734" s="1">
        <f>Query1[[#This Row],[SF Running Total]]+Query1[[#This Row],[UNIV Running Total]]</f>
        <v>7783</v>
      </c>
      <c r="L4734">
        <f>VLOOKUP(Query1[[#This Row],[Description]],'kits to boards'!$B$2:$E$156,2,FALSE)</f>
        <v>830036</v>
      </c>
      <c r="M4734">
        <f>VLOOKUP(Query1[[#This Row],[Description]],'kits to boards'!$B$2:$E$156,3,FALSE)</f>
        <v>830039</v>
      </c>
      <c r="N4734">
        <f>VLOOKUP(Query1[[#This Row],[Description]],'kits to boards'!$B$2:$E$156,4,FALSE)</f>
        <v>0</v>
      </c>
      <c r="O4734" t="str">
        <f>CONCATENATE(Query1[[#This Row],[Description]]," - ",Query1[[#This Row],[MB1]]," - ",Query1[[#This Row],[MB2]]," - ",Query1[[#This Row],[MB3]])</f>
        <v>EVAP KIT 63-66 VETTE WO AC - 830036 - 830039 - 0</v>
      </c>
    </row>
    <row r="4735" spans="1:15" x14ac:dyDescent="0.25">
      <c r="A4735" s="1">
        <v>921828</v>
      </c>
      <c r="B4735" s="1" t="s">
        <v>186</v>
      </c>
      <c r="C4735" s="1" t="s">
        <v>187</v>
      </c>
      <c r="D4735" s="2">
        <v>44680.531560682874</v>
      </c>
      <c r="E4735" s="1" t="s">
        <v>8</v>
      </c>
      <c r="F4735" s="1">
        <v>1</v>
      </c>
      <c r="G4735" s="1">
        <v>0</v>
      </c>
      <c r="H4735" s="6">
        <f>INT(Query1[[#This Row],[EntryDateTime]])</f>
        <v>44680</v>
      </c>
      <c r="I4735" s="1">
        <f>IF(Query1[[#This Row],[ItemType]]="EVAP KIT SF GEN IV",Query1[[#This Row],[OrderQty]]+I4734,I4734)</f>
        <v>5886</v>
      </c>
      <c r="J4735" s="1">
        <f>IF(Query1[[#This Row],[ItemType]]="EVAP KIT UNIVERSAL",Query1[[#This Row],[OrderQty]]+J4734,J4734)</f>
        <v>1898</v>
      </c>
      <c r="K4735" s="1">
        <f>Query1[[#This Row],[SF Running Total]]+Query1[[#This Row],[UNIV Running Total]]</f>
        <v>7784</v>
      </c>
      <c r="L4735">
        <f>VLOOKUP(Query1[[#This Row],[Description]],'kits to boards'!$B$2:$E$156,2,FALSE)</f>
        <v>830125</v>
      </c>
      <c r="M4735">
        <f>VLOOKUP(Query1[[#This Row],[Description]],'kits to boards'!$B$2:$E$156,3,FALSE)</f>
        <v>830126</v>
      </c>
      <c r="N4735">
        <f>VLOOKUP(Query1[[#This Row],[Description]],'kits to boards'!$B$2:$E$156,4,FALSE)</f>
        <v>0</v>
      </c>
      <c r="O4735" t="str">
        <f>CONCATENATE(Query1[[#This Row],[Description]]," - ",Query1[[#This Row],[MB1]]," - ",Query1[[#This Row],[MB2]]," - ",Query1[[#This Row],[MB3]])</f>
        <v>EVAP KIT 65-66 IMPALA WO/AC - 830125 - 830126 - 0</v>
      </c>
    </row>
    <row r="4736" spans="1:15" x14ac:dyDescent="0.25">
      <c r="A4736" s="1">
        <v>921834</v>
      </c>
      <c r="B4736" s="1" t="s">
        <v>98</v>
      </c>
      <c r="C4736" s="1" t="s">
        <v>99</v>
      </c>
      <c r="D4736" s="2">
        <v>44680.541264780091</v>
      </c>
      <c r="E4736" s="1" t="s">
        <v>11</v>
      </c>
      <c r="F4736" s="1">
        <v>1</v>
      </c>
      <c r="G4736" s="1">
        <v>0</v>
      </c>
      <c r="H4736" s="6">
        <f>INT(Query1[[#This Row],[EntryDateTime]])</f>
        <v>44680</v>
      </c>
      <c r="I4736" s="1">
        <f>IF(Query1[[#This Row],[ItemType]]="EVAP KIT SF GEN IV",Query1[[#This Row],[OrderQty]]+I4735,I4735)</f>
        <v>5886</v>
      </c>
      <c r="J4736" s="1">
        <f>IF(Query1[[#This Row],[ItemType]]="EVAP KIT UNIVERSAL",Query1[[#This Row],[OrderQty]]+J4735,J4735)</f>
        <v>1899</v>
      </c>
      <c r="K4736" s="1">
        <f>Query1[[#This Row],[SF Running Total]]+Query1[[#This Row],[UNIV Running Total]]</f>
        <v>7785</v>
      </c>
      <c r="L4736">
        <f>VLOOKUP(Query1[[#This Row],[Description]],'kits to boards'!$B$2:$E$156,2,FALSE)</f>
        <v>830099</v>
      </c>
      <c r="M4736">
        <f>VLOOKUP(Query1[[#This Row],[Description]],'kits to boards'!$B$2:$E$156,3,FALSE)</f>
        <v>0</v>
      </c>
      <c r="N4736">
        <f>VLOOKUP(Query1[[#This Row],[Description]],'kits to boards'!$B$2:$E$156,4,FALSE)</f>
        <v>0</v>
      </c>
      <c r="O4736" t="str">
        <f>CONCATENATE(Query1[[#This Row],[Description]]," - ",Query1[[#This Row],[MB1]]," - ",Query1[[#This Row],[MB2]]," - ",Query1[[#This Row],[MB3]])</f>
        <v>MINI GEN II W/DEF - 830099 - 0 - 0</v>
      </c>
    </row>
    <row r="4737" spans="1:15" x14ac:dyDescent="0.25">
      <c r="A4737" s="1">
        <v>921395</v>
      </c>
      <c r="B4737" s="1" t="s">
        <v>92</v>
      </c>
      <c r="C4737" s="1" t="s">
        <v>93</v>
      </c>
      <c r="D4737" s="2">
        <v>44680.541289618057</v>
      </c>
      <c r="E4737" s="1" t="s">
        <v>8</v>
      </c>
      <c r="F4737" s="1">
        <v>2</v>
      </c>
      <c r="G4737" s="1">
        <v>0</v>
      </c>
      <c r="H4737" s="6">
        <f>INT(Query1[[#This Row],[EntryDateTime]])</f>
        <v>44680</v>
      </c>
      <c r="I4737" s="1">
        <f>IF(Query1[[#This Row],[ItemType]]="EVAP KIT SF GEN IV",Query1[[#This Row],[OrderQty]]+I4736,I4736)</f>
        <v>5888</v>
      </c>
      <c r="J4737" s="1">
        <f>IF(Query1[[#This Row],[ItemType]]="EVAP KIT UNIVERSAL",Query1[[#This Row],[OrderQty]]+J4736,J4736)</f>
        <v>1899</v>
      </c>
      <c r="K4737" s="1">
        <f>Query1[[#This Row],[SF Running Total]]+Query1[[#This Row],[UNIV Running Total]]</f>
        <v>7787</v>
      </c>
      <c r="L4737">
        <f>VLOOKUP(Query1[[#This Row],[Description]],'kits to boards'!$B$2:$E$156,2,FALSE)</f>
        <v>830063</v>
      </c>
      <c r="M4737">
        <f>VLOOKUP(Query1[[#This Row],[Description]],'kits to boards'!$B$2:$E$156,3,FALSE)</f>
        <v>0</v>
      </c>
      <c r="N4737">
        <f>VLOOKUP(Query1[[#This Row],[Description]],'kits to boards'!$B$2:$E$156,4,FALSE)</f>
        <v>0</v>
      </c>
      <c r="O4737" t="str">
        <f>CONCATENATE(Query1[[#This Row],[Description]]," - ",Query1[[#This Row],[MB1]]," - ",Query1[[#This Row],[MB2]]," - ",Query1[[#This Row],[MB3]])</f>
        <v>EVAP KIT 50-53 CHEV P-UP GEN IV - 830063 - 0 - 0</v>
      </c>
    </row>
    <row r="4738" spans="1:15" x14ac:dyDescent="0.25">
      <c r="A4738" s="1">
        <v>921839</v>
      </c>
      <c r="B4738" s="1" t="s">
        <v>52</v>
      </c>
      <c r="C4738" s="1" t="s">
        <v>53</v>
      </c>
      <c r="D4738" s="2">
        <v>44680.545662418983</v>
      </c>
      <c r="E4738" s="1" t="s">
        <v>8</v>
      </c>
      <c r="F4738" s="1">
        <v>1</v>
      </c>
      <c r="G4738" s="1">
        <v>0</v>
      </c>
      <c r="H4738" s="6">
        <f>INT(Query1[[#This Row],[EntryDateTime]])</f>
        <v>44680</v>
      </c>
      <c r="I4738" s="1">
        <f>IF(Query1[[#This Row],[ItemType]]="EVAP KIT SF GEN IV",Query1[[#This Row],[OrderQty]]+I4737,I4737)</f>
        <v>5889</v>
      </c>
      <c r="J4738" s="1">
        <f>IF(Query1[[#This Row],[ItemType]]="EVAP KIT UNIVERSAL",Query1[[#This Row],[OrderQty]]+J4737,J4737)</f>
        <v>1899</v>
      </c>
      <c r="K4738" s="1">
        <f>Query1[[#This Row],[SF Running Total]]+Query1[[#This Row],[UNIV Running Total]]</f>
        <v>7788</v>
      </c>
      <c r="L4738">
        <f>VLOOKUP(Query1[[#This Row],[Description]],'kits to boards'!$B$2:$E$156,2,FALSE)</f>
        <v>830017</v>
      </c>
      <c r="M4738">
        <f>VLOOKUP(Query1[[#This Row],[Description]],'kits to boards'!$B$2:$E$156,3,FALSE)</f>
        <v>830119</v>
      </c>
      <c r="N4738">
        <f>VLOOKUP(Query1[[#This Row],[Description]],'kits to boards'!$B$2:$E$156,4,FALSE)</f>
        <v>830120</v>
      </c>
      <c r="O4738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4739" spans="1:15" x14ac:dyDescent="0.25">
      <c r="A4739" s="1">
        <v>921846</v>
      </c>
      <c r="B4739" s="1" t="s">
        <v>98</v>
      </c>
      <c r="C4739" s="1" t="s">
        <v>99</v>
      </c>
      <c r="D4739" s="2">
        <v>44680.569153009259</v>
      </c>
      <c r="E4739" s="1" t="s">
        <v>11</v>
      </c>
      <c r="F4739" s="1">
        <v>1</v>
      </c>
      <c r="G4739" s="1">
        <v>0</v>
      </c>
      <c r="H4739" s="6">
        <f>INT(Query1[[#This Row],[EntryDateTime]])</f>
        <v>44680</v>
      </c>
      <c r="I4739" s="1">
        <f>IF(Query1[[#This Row],[ItemType]]="EVAP KIT SF GEN IV",Query1[[#This Row],[OrderQty]]+I4738,I4738)</f>
        <v>5889</v>
      </c>
      <c r="J4739" s="1">
        <f>IF(Query1[[#This Row],[ItemType]]="EVAP KIT UNIVERSAL",Query1[[#This Row],[OrderQty]]+J4738,J4738)</f>
        <v>1900</v>
      </c>
      <c r="K4739" s="1">
        <f>Query1[[#This Row],[SF Running Total]]+Query1[[#This Row],[UNIV Running Total]]</f>
        <v>7789</v>
      </c>
      <c r="L4739">
        <f>VLOOKUP(Query1[[#This Row],[Description]],'kits to boards'!$B$2:$E$156,2,FALSE)</f>
        <v>830099</v>
      </c>
      <c r="M4739">
        <f>VLOOKUP(Query1[[#This Row],[Description]],'kits to boards'!$B$2:$E$156,3,FALSE)</f>
        <v>0</v>
      </c>
      <c r="N4739">
        <f>VLOOKUP(Query1[[#This Row],[Description]],'kits to boards'!$B$2:$E$156,4,FALSE)</f>
        <v>0</v>
      </c>
      <c r="O4739" t="str">
        <f>CONCATENATE(Query1[[#This Row],[Description]]," - ",Query1[[#This Row],[MB1]]," - ",Query1[[#This Row],[MB2]]," - ",Query1[[#This Row],[MB3]])</f>
        <v>MINI GEN II W/DEF - 830099 - 0 - 0</v>
      </c>
    </row>
    <row r="4740" spans="1:15" x14ac:dyDescent="0.25">
      <c r="A4740" s="1">
        <v>921232</v>
      </c>
      <c r="B4740" s="1" t="s">
        <v>178</v>
      </c>
      <c r="C4740" s="1" t="s">
        <v>179</v>
      </c>
      <c r="D4740" s="2">
        <v>44680.577063888886</v>
      </c>
      <c r="E4740" s="1" t="s">
        <v>8</v>
      </c>
      <c r="F4740" s="1">
        <v>1</v>
      </c>
      <c r="G4740" s="1">
        <v>0</v>
      </c>
      <c r="H4740" s="6">
        <f>INT(Query1[[#This Row],[EntryDateTime]])</f>
        <v>44680</v>
      </c>
      <c r="I4740" s="1">
        <f>IF(Query1[[#This Row],[ItemType]]="EVAP KIT SF GEN IV",Query1[[#This Row],[OrderQty]]+I4739,I4739)</f>
        <v>5890</v>
      </c>
      <c r="J4740" s="1">
        <f>IF(Query1[[#This Row],[ItemType]]="EVAP KIT UNIVERSAL",Query1[[#This Row],[OrderQty]]+J4739,J4739)</f>
        <v>1900</v>
      </c>
      <c r="K4740" s="1">
        <f>Query1[[#This Row],[SF Running Total]]+Query1[[#This Row],[UNIV Running Total]]</f>
        <v>7790</v>
      </c>
      <c r="L4740">
        <f>VLOOKUP(Query1[[#This Row],[Description]],'kits to boards'!$B$2:$E$156,2,FALSE)</f>
        <v>830009</v>
      </c>
      <c r="M4740">
        <f>VLOOKUP(Query1[[#This Row],[Description]],'kits to boards'!$B$2:$E$156,3,FALSE)</f>
        <v>0</v>
      </c>
      <c r="N4740">
        <f>VLOOKUP(Query1[[#This Row],[Description]],'kits to boards'!$B$2:$E$156,4,FALSE)</f>
        <v>0</v>
      </c>
      <c r="O4740" t="str">
        <f>CONCATENATE(Query1[[#This Row],[Description]]," - ",Query1[[#This Row],[MB1]]," - ",Query1[[#This Row],[MB2]]," - ",Query1[[#This Row],[MB3]])</f>
        <v>EVAP KIT 63 IMPALA W/AC - 830009 - 0 - 0</v>
      </c>
    </row>
    <row r="4741" spans="1:15" x14ac:dyDescent="0.25">
      <c r="A4741" s="1">
        <v>921852</v>
      </c>
      <c r="B4741" s="1" t="s">
        <v>22</v>
      </c>
      <c r="C4741" s="1" t="s">
        <v>23</v>
      </c>
      <c r="D4741" s="2">
        <v>44680.579153472223</v>
      </c>
      <c r="E4741" s="1" t="s">
        <v>8</v>
      </c>
      <c r="F4741" s="1">
        <v>1</v>
      </c>
      <c r="G4741" s="1">
        <v>0</v>
      </c>
      <c r="H4741" s="6">
        <f>INT(Query1[[#This Row],[EntryDateTime]])</f>
        <v>44680</v>
      </c>
      <c r="I4741" s="1">
        <f>IF(Query1[[#This Row],[ItemType]]="EVAP KIT SF GEN IV",Query1[[#This Row],[OrderQty]]+I4740,I4740)</f>
        <v>5891</v>
      </c>
      <c r="J4741" s="1">
        <f>IF(Query1[[#This Row],[ItemType]]="EVAP KIT UNIVERSAL",Query1[[#This Row],[OrderQty]]+J4740,J4740)</f>
        <v>1900</v>
      </c>
      <c r="K4741" s="1">
        <f>Query1[[#This Row],[SF Running Total]]+Query1[[#This Row],[UNIV Running Total]]</f>
        <v>7791</v>
      </c>
      <c r="L4741">
        <f>VLOOKUP(Query1[[#This Row],[Description]],'kits to boards'!$B$2:$E$156,2,FALSE)</f>
        <v>830083</v>
      </c>
      <c r="M4741">
        <f>VLOOKUP(Query1[[#This Row],[Description]],'kits to boards'!$B$2:$E$156,3,FALSE)</f>
        <v>0</v>
      </c>
      <c r="N4741">
        <f>VLOOKUP(Query1[[#This Row],[Description]],'kits to boards'!$B$2:$E$156,4,FALSE)</f>
        <v>0</v>
      </c>
      <c r="O4741" t="str">
        <f>CONCATENATE(Query1[[#This Row],[Description]]," - ",Query1[[#This Row],[MB1]]," - ",Query1[[#This Row],[MB2]]," - ",Query1[[#This Row],[MB3]])</f>
        <v>GEN IV MAGNUM EVAP KIT - 830083 - 0 - 0</v>
      </c>
    </row>
    <row r="4742" spans="1:15" x14ac:dyDescent="0.25">
      <c r="A4742" s="1">
        <v>921852</v>
      </c>
      <c r="B4742" s="1" t="s">
        <v>98</v>
      </c>
      <c r="C4742" s="1" t="s">
        <v>99</v>
      </c>
      <c r="D4742" s="2">
        <v>44680.579364201389</v>
      </c>
      <c r="E4742" s="1" t="s">
        <v>11</v>
      </c>
      <c r="F4742" s="1">
        <v>1</v>
      </c>
      <c r="G4742" s="1">
        <v>0</v>
      </c>
      <c r="H4742" s="6">
        <f>INT(Query1[[#This Row],[EntryDateTime]])</f>
        <v>44680</v>
      </c>
      <c r="I4742" s="1">
        <f>IF(Query1[[#This Row],[ItemType]]="EVAP KIT SF GEN IV",Query1[[#This Row],[OrderQty]]+I4741,I4741)</f>
        <v>5891</v>
      </c>
      <c r="J4742" s="1">
        <f>IF(Query1[[#This Row],[ItemType]]="EVAP KIT UNIVERSAL",Query1[[#This Row],[OrderQty]]+J4741,J4741)</f>
        <v>1901</v>
      </c>
      <c r="K4742" s="1">
        <f>Query1[[#This Row],[SF Running Total]]+Query1[[#This Row],[UNIV Running Total]]</f>
        <v>7792</v>
      </c>
      <c r="L4742">
        <f>VLOOKUP(Query1[[#This Row],[Description]],'kits to boards'!$B$2:$E$156,2,FALSE)</f>
        <v>830099</v>
      </c>
      <c r="M4742">
        <f>VLOOKUP(Query1[[#This Row],[Description]],'kits to boards'!$B$2:$E$156,3,FALSE)</f>
        <v>0</v>
      </c>
      <c r="N4742">
        <f>VLOOKUP(Query1[[#This Row],[Description]],'kits to boards'!$B$2:$E$156,4,FALSE)</f>
        <v>0</v>
      </c>
      <c r="O4742" t="str">
        <f>CONCATENATE(Query1[[#This Row],[Description]]," - ",Query1[[#This Row],[MB1]]," - ",Query1[[#This Row],[MB2]]," - ",Query1[[#This Row],[MB3]])</f>
        <v>MINI GEN II W/DEF - 830099 - 0 - 0</v>
      </c>
    </row>
    <row r="4743" spans="1:15" x14ac:dyDescent="0.25">
      <c r="A4743" s="1">
        <v>921833</v>
      </c>
      <c r="B4743" s="1" t="s">
        <v>62</v>
      </c>
      <c r="C4743" s="1" t="s">
        <v>63</v>
      </c>
      <c r="D4743" s="2">
        <v>44680.581115393521</v>
      </c>
      <c r="E4743" s="1" t="s">
        <v>8</v>
      </c>
      <c r="F4743" s="1">
        <v>1</v>
      </c>
      <c r="G4743" s="1">
        <v>0</v>
      </c>
      <c r="H4743" s="6">
        <f>INT(Query1[[#This Row],[EntryDateTime]])</f>
        <v>44680</v>
      </c>
      <c r="I4743" s="1">
        <f>IF(Query1[[#This Row],[ItemType]]="EVAP KIT SF GEN IV",Query1[[#This Row],[OrderQty]]+I4742,I4742)</f>
        <v>5892</v>
      </c>
      <c r="J4743" s="1">
        <f>IF(Query1[[#This Row],[ItemType]]="EVAP KIT UNIVERSAL",Query1[[#This Row],[OrderQty]]+J4742,J4742)</f>
        <v>1901</v>
      </c>
      <c r="K4743" s="1">
        <f>Query1[[#This Row],[SF Running Total]]+Query1[[#This Row],[UNIV Running Total]]</f>
        <v>7793</v>
      </c>
      <c r="L4743">
        <f>VLOOKUP(Query1[[#This Row],[Description]],'kits to boards'!$B$2:$E$156,2,FALSE)</f>
        <v>830079</v>
      </c>
      <c r="M4743">
        <f>VLOOKUP(Query1[[#This Row],[Description]],'kits to boards'!$B$2:$E$156,3,FALSE)</f>
        <v>830046</v>
      </c>
      <c r="N4743">
        <f>VLOOKUP(Query1[[#This Row],[Description]],'kits to boards'!$B$2:$E$156,4,FALSE)</f>
        <v>0</v>
      </c>
      <c r="O4743" t="str">
        <f>CONCATENATE(Query1[[#This Row],[Description]]," - ",Query1[[#This Row],[MB1]]," - ",Query1[[#This Row],[MB2]]," - ",Query1[[#This Row],[MB3]])</f>
        <v>EVAP KIT 67-68 MUSTANG/COUGAR WO AC - 830079 - 830046 - 0</v>
      </c>
    </row>
    <row r="4744" spans="1:15" x14ac:dyDescent="0.25">
      <c r="A4744" s="1">
        <v>919825</v>
      </c>
      <c r="B4744" s="1" t="s">
        <v>64</v>
      </c>
      <c r="C4744" s="1" t="s">
        <v>65</v>
      </c>
      <c r="D4744" s="2">
        <v>44680.583861724539</v>
      </c>
      <c r="E4744" s="1" t="s">
        <v>8</v>
      </c>
      <c r="F4744" s="1">
        <v>1</v>
      </c>
      <c r="G4744" s="1">
        <v>0</v>
      </c>
      <c r="H4744" s="6">
        <f>INT(Query1[[#This Row],[EntryDateTime]])</f>
        <v>44680</v>
      </c>
      <c r="I4744" s="1">
        <f>IF(Query1[[#This Row],[ItemType]]="EVAP KIT SF GEN IV",Query1[[#This Row],[OrderQty]]+I4743,I4743)</f>
        <v>5893</v>
      </c>
      <c r="J4744" s="1">
        <f>IF(Query1[[#This Row],[ItemType]]="EVAP KIT UNIVERSAL",Query1[[#This Row],[OrderQty]]+J4743,J4743)</f>
        <v>1901</v>
      </c>
      <c r="K4744" s="1">
        <f>Query1[[#This Row],[SF Running Total]]+Query1[[#This Row],[UNIV Running Total]]</f>
        <v>7794</v>
      </c>
      <c r="L4744">
        <f>VLOOKUP(Query1[[#This Row],[Description]],'kits to boards'!$B$2:$E$156,2,FALSE)</f>
        <v>830067</v>
      </c>
      <c r="M4744">
        <f>VLOOKUP(Query1[[#This Row],[Description]],'kits to boards'!$B$2:$E$156,3,FALSE)</f>
        <v>0</v>
      </c>
      <c r="N4744">
        <f>VLOOKUP(Query1[[#This Row],[Description]],'kits to boards'!$B$2:$E$156,4,FALSE)</f>
        <v>0</v>
      </c>
      <c r="O4744" t="str">
        <f>CONCATENATE(Query1[[#This Row],[Description]]," - ",Query1[[#This Row],[MB1]]," - ",Query1[[#This Row],[MB2]]," - ",Query1[[#This Row],[MB3]])</f>
        <v>EVAP KIT 59-60 CHEV CAR 4-LEVER - 830067 - 0 - 0</v>
      </c>
    </row>
    <row r="4745" spans="1:15" x14ac:dyDescent="0.25">
      <c r="A4745" s="1">
        <v>919825</v>
      </c>
      <c r="B4745" s="1" t="s">
        <v>132</v>
      </c>
      <c r="C4745" s="1" t="s">
        <v>133</v>
      </c>
      <c r="D4745" s="2">
        <v>44680.584482604165</v>
      </c>
      <c r="E4745" s="1" t="s">
        <v>8</v>
      </c>
      <c r="F4745" s="1">
        <v>1</v>
      </c>
      <c r="G4745" s="1">
        <v>0</v>
      </c>
      <c r="H4745" s="6">
        <f>INT(Query1[[#This Row],[EntryDateTime]])</f>
        <v>44680</v>
      </c>
      <c r="I4745" s="1">
        <f>IF(Query1[[#This Row],[ItemType]]="EVAP KIT SF GEN IV",Query1[[#This Row],[OrderQty]]+I4744,I4744)</f>
        <v>5894</v>
      </c>
      <c r="J4745" s="1">
        <f>IF(Query1[[#This Row],[ItemType]]="EVAP KIT UNIVERSAL",Query1[[#This Row],[OrderQty]]+J4744,J4744)</f>
        <v>1901</v>
      </c>
      <c r="K4745" s="1">
        <f>Query1[[#This Row],[SF Running Total]]+Query1[[#This Row],[UNIV Running Total]]</f>
        <v>7795</v>
      </c>
      <c r="L4745">
        <f>VLOOKUP(Query1[[#This Row],[Description]],'kits to boards'!$B$2:$E$156,2,FALSE)</f>
        <v>830005</v>
      </c>
      <c r="M4745">
        <f>VLOOKUP(Query1[[#This Row],[Description]],'kits to boards'!$B$2:$E$156,3,FALSE)</f>
        <v>0</v>
      </c>
      <c r="N4745">
        <f>VLOOKUP(Query1[[#This Row],[Description]],'kits to boards'!$B$2:$E$156,4,FALSE)</f>
        <v>0</v>
      </c>
      <c r="O4745" t="str">
        <f>CONCATENATE(Query1[[#This Row],[Description]]," - ",Query1[[#This Row],[MB1]]," - ",Query1[[#This Row],[MB2]]," - ",Query1[[#This Row],[MB3]])</f>
        <v>EVAP KIT 61-62 IMPALA WO AC - 830005 - 0 - 0</v>
      </c>
    </row>
    <row r="4746" spans="1:15" x14ac:dyDescent="0.25">
      <c r="A4746" s="1">
        <v>921858</v>
      </c>
      <c r="B4746" s="1" t="s">
        <v>132</v>
      </c>
      <c r="C4746" s="1" t="s">
        <v>133</v>
      </c>
      <c r="D4746" s="2">
        <v>44680.598211493052</v>
      </c>
      <c r="E4746" s="1" t="s">
        <v>8</v>
      </c>
      <c r="F4746" s="1">
        <v>1</v>
      </c>
      <c r="G4746" s="1">
        <v>0</v>
      </c>
      <c r="H4746" s="6">
        <f>INT(Query1[[#This Row],[EntryDateTime]])</f>
        <v>44680</v>
      </c>
      <c r="I4746" s="1">
        <f>IF(Query1[[#This Row],[ItemType]]="EVAP KIT SF GEN IV",Query1[[#This Row],[OrderQty]]+I4745,I4745)</f>
        <v>5895</v>
      </c>
      <c r="J4746" s="1">
        <f>IF(Query1[[#This Row],[ItemType]]="EVAP KIT UNIVERSAL",Query1[[#This Row],[OrderQty]]+J4745,J4745)</f>
        <v>1901</v>
      </c>
      <c r="K4746" s="1">
        <f>Query1[[#This Row],[SF Running Total]]+Query1[[#This Row],[UNIV Running Total]]</f>
        <v>7796</v>
      </c>
      <c r="L4746">
        <f>VLOOKUP(Query1[[#This Row],[Description]],'kits to boards'!$B$2:$E$156,2,FALSE)</f>
        <v>830005</v>
      </c>
      <c r="M4746">
        <f>VLOOKUP(Query1[[#This Row],[Description]],'kits to boards'!$B$2:$E$156,3,FALSE)</f>
        <v>0</v>
      </c>
      <c r="N4746">
        <f>VLOOKUP(Query1[[#This Row],[Description]],'kits to boards'!$B$2:$E$156,4,FALSE)</f>
        <v>0</v>
      </c>
      <c r="O4746" t="str">
        <f>CONCATENATE(Query1[[#This Row],[Description]]," - ",Query1[[#This Row],[MB1]]," - ",Query1[[#This Row],[MB2]]," - ",Query1[[#This Row],[MB3]])</f>
        <v>EVAP KIT 61-62 IMPALA WO AC - 830005 - 0 - 0</v>
      </c>
    </row>
    <row r="4747" spans="1:15" x14ac:dyDescent="0.25">
      <c r="A4747" s="1">
        <v>921861</v>
      </c>
      <c r="B4747" s="1" t="s">
        <v>140</v>
      </c>
      <c r="C4747" s="1" t="s">
        <v>141</v>
      </c>
      <c r="D4747" s="2">
        <v>44680.608771493055</v>
      </c>
      <c r="E4747" s="1" t="s">
        <v>8</v>
      </c>
      <c r="F4747" s="1">
        <v>1</v>
      </c>
      <c r="G4747" s="1">
        <v>0</v>
      </c>
      <c r="H4747" s="6">
        <f>INT(Query1[[#This Row],[EntryDateTime]])</f>
        <v>44680</v>
      </c>
      <c r="I4747" s="1">
        <f>IF(Query1[[#This Row],[ItemType]]="EVAP KIT SF GEN IV",Query1[[#This Row],[OrderQty]]+I4746,I4746)</f>
        <v>5896</v>
      </c>
      <c r="J4747" s="1">
        <f>IF(Query1[[#This Row],[ItemType]]="EVAP KIT UNIVERSAL",Query1[[#This Row],[OrderQty]]+J4746,J4746)</f>
        <v>1901</v>
      </c>
      <c r="K4747" s="1">
        <f>Query1[[#This Row],[SF Running Total]]+Query1[[#This Row],[UNIV Running Total]]</f>
        <v>7797</v>
      </c>
      <c r="L4747">
        <f>VLOOKUP(Query1[[#This Row],[Description]],'kits to boards'!$B$2:$E$156,2,FALSE)</f>
        <v>830066</v>
      </c>
      <c r="M4747">
        <f>VLOOKUP(Query1[[#This Row],[Description]],'kits to boards'!$B$2:$E$156,3,FALSE)</f>
        <v>0</v>
      </c>
      <c r="N4747">
        <f>VLOOKUP(Query1[[#This Row],[Description]],'kits to boards'!$B$2:$E$156,4,FALSE)</f>
        <v>0</v>
      </c>
      <c r="O4747" t="str">
        <f>CONCATENATE(Query1[[#This Row],[Description]]," - ",Query1[[#This Row],[MB1]]," - ",Query1[[#This Row],[MB2]]," - ",Query1[[#This Row],[MB3]])</f>
        <v>EVAP KIT 60-63 CHEV P-UP WO AC - 830066 - 0 - 0</v>
      </c>
    </row>
    <row r="4748" spans="1:15" x14ac:dyDescent="0.25">
      <c r="A4748" s="1">
        <v>921864</v>
      </c>
      <c r="B4748" s="1" t="s">
        <v>108</v>
      </c>
      <c r="C4748" s="1" t="s">
        <v>109</v>
      </c>
      <c r="D4748" s="2">
        <v>44680.615435844906</v>
      </c>
      <c r="E4748" s="1" t="s">
        <v>8</v>
      </c>
      <c r="F4748" s="1">
        <v>1</v>
      </c>
      <c r="G4748" s="1">
        <v>0</v>
      </c>
      <c r="H4748" s="6">
        <f>INT(Query1[[#This Row],[EntryDateTime]])</f>
        <v>44680</v>
      </c>
      <c r="I4748" s="1">
        <f>IF(Query1[[#This Row],[ItemType]]="EVAP KIT SF GEN IV",Query1[[#This Row],[OrderQty]]+I4747,I4747)</f>
        <v>5897</v>
      </c>
      <c r="J4748" s="1">
        <f>IF(Query1[[#This Row],[ItemType]]="EVAP KIT UNIVERSAL",Query1[[#This Row],[OrderQty]]+J4747,J4747)</f>
        <v>1901</v>
      </c>
      <c r="K4748" s="1">
        <f>Query1[[#This Row],[SF Running Total]]+Query1[[#This Row],[UNIV Running Total]]</f>
        <v>7798</v>
      </c>
      <c r="L4748">
        <f>VLOOKUP(Query1[[#This Row],[Description]],'kits to boards'!$B$2:$E$156,2,FALSE)</f>
        <v>830105</v>
      </c>
      <c r="M4748">
        <f>VLOOKUP(Query1[[#This Row],[Description]],'kits to boards'!$B$2:$E$156,3,FALSE)</f>
        <v>830106</v>
      </c>
      <c r="N4748">
        <f>VLOOKUP(Query1[[#This Row],[Description]],'kits to boards'!$B$2:$E$156,4,FALSE)</f>
        <v>0</v>
      </c>
      <c r="O4748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4749" spans="1:15" x14ac:dyDescent="0.25">
      <c r="A4749" s="1">
        <v>921867</v>
      </c>
      <c r="B4749" s="1" t="s">
        <v>42</v>
      </c>
      <c r="C4749" s="1" t="s">
        <v>43</v>
      </c>
      <c r="D4749" s="2">
        <v>44680.622309027778</v>
      </c>
      <c r="E4749" s="1" t="s">
        <v>8</v>
      </c>
      <c r="F4749" s="1">
        <v>1</v>
      </c>
      <c r="G4749" s="1">
        <v>0</v>
      </c>
      <c r="H4749" s="6">
        <f>INT(Query1[[#This Row],[EntryDateTime]])</f>
        <v>44680</v>
      </c>
      <c r="I4749" s="1">
        <f>IF(Query1[[#This Row],[ItemType]]="EVAP KIT SF GEN IV",Query1[[#This Row],[OrderQty]]+I4748,I4748)</f>
        <v>5898</v>
      </c>
      <c r="J4749" s="1">
        <f>IF(Query1[[#This Row],[ItemType]]="EVAP KIT UNIVERSAL",Query1[[#This Row],[OrderQty]]+J4748,J4748)</f>
        <v>1901</v>
      </c>
      <c r="K4749" s="1">
        <f>Query1[[#This Row],[SF Running Total]]+Query1[[#This Row],[UNIV Running Total]]</f>
        <v>7799</v>
      </c>
      <c r="L4749">
        <f>VLOOKUP(Query1[[#This Row],[Description]],'kits to boards'!$B$2:$E$156,2,FALSE)</f>
        <v>830014</v>
      </c>
      <c r="M4749">
        <f>VLOOKUP(Query1[[#This Row],[Description]],'kits to boards'!$B$2:$E$156,3,FALSE)</f>
        <v>0</v>
      </c>
      <c r="N4749">
        <f>VLOOKUP(Query1[[#This Row],[Description]],'kits to boards'!$B$2:$E$156,4,FALSE)</f>
        <v>0</v>
      </c>
      <c r="O4749" t="str">
        <f>CONCATENATE(Query1[[#This Row],[Description]]," - ",Query1[[#This Row],[MB1]]," - ",Query1[[#This Row],[MB2]]," - ",Query1[[#This Row],[MB3]])</f>
        <v>EVAP KIT 67-72 CHEV P-UP WO AC - 830014 - 0 - 0</v>
      </c>
    </row>
    <row r="4750" spans="1:15" x14ac:dyDescent="0.25">
      <c r="A4750" s="1">
        <v>921869</v>
      </c>
      <c r="B4750" s="1" t="s">
        <v>90</v>
      </c>
      <c r="C4750" s="1" t="s">
        <v>91</v>
      </c>
      <c r="D4750" s="2">
        <v>44680.625306516202</v>
      </c>
      <c r="E4750" s="1" t="s">
        <v>8</v>
      </c>
      <c r="F4750" s="1">
        <v>1</v>
      </c>
      <c r="G4750" s="1">
        <v>0</v>
      </c>
      <c r="H4750" s="6">
        <f>INT(Query1[[#This Row],[EntryDateTime]])</f>
        <v>44680</v>
      </c>
      <c r="I4750" s="1">
        <f>IF(Query1[[#This Row],[ItemType]]="EVAP KIT SF GEN IV",Query1[[#This Row],[OrderQty]]+I4749,I4749)</f>
        <v>5899</v>
      </c>
      <c r="J4750" s="1">
        <f>IF(Query1[[#This Row],[ItemType]]="EVAP KIT UNIVERSAL",Query1[[#This Row],[OrderQty]]+J4749,J4749)</f>
        <v>1901</v>
      </c>
      <c r="K4750" s="1">
        <f>Query1[[#This Row],[SF Running Total]]+Query1[[#This Row],[UNIV Running Total]]</f>
        <v>7800</v>
      </c>
      <c r="L4750">
        <f>VLOOKUP(Query1[[#This Row],[Description]],'kits to boards'!$B$2:$E$156,2,FALSE)</f>
        <v>830105</v>
      </c>
      <c r="M4750">
        <f>VLOOKUP(Query1[[#This Row],[Description]],'kits to boards'!$B$2:$E$156,3,FALSE)</f>
        <v>830106</v>
      </c>
      <c r="N4750">
        <f>VLOOKUP(Query1[[#This Row],[Description]],'kits to boards'!$B$2:$E$156,4,FALSE)</f>
        <v>0</v>
      </c>
      <c r="O4750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4751" spans="1:15" x14ac:dyDescent="0.25">
      <c r="A4751" s="1">
        <v>921871</v>
      </c>
      <c r="B4751" s="1" t="s">
        <v>56</v>
      </c>
      <c r="C4751" s="1" t="s">
        <v>57</v>
      </c>
      <c r="D4751" s="2">
        <v>44680.632633136571</v>
      </c>
      <c r="E4751" s="1" t="s">
        <v>8</v>
      </c>
      <c r="F4751" s="1">
        <v>1</v>
      </c>
      <c r="G4751" s="1">
        <v>0</v>
      </c>
      <c r="H4751" s="6">
        <f>INT(Query1[[#This Row],[EntryDateTime]])</f>
        <v>44680</v>
      </c>
      <c r="I4751" s="1">
        <f>IF(Query1[[#This Row],[ItemType]]="EVAP KIT SF GEN IV",Query1[[#This Row],[OrderQty]]+I4750,I4750)</f>
        <v>5900</v>
      </c>
      <c r="J4751" s="1">
        <f>IF(Query1[[#This Row],[ItemType]]="EVAP KIT UNIVERSAL",Query1[[#This Row],[OrderQty]]+J4750,J4750)</f>
        <v>1901</v>
      </c>
      <c r="K4751" s="1">
        <f>Query1[[#This Row],[SF Running Total]]+Query1[[#This Row],[UNIV Running Total]]</f>
        <v>7801</v>
      </c>
      <c r="L4751">
        <f>VLOOKUP(Query1[[#This Row],[Description]],'kits to boards'!$B$2:$E$156,2,FALSE)</f>
        <v>830011</v>
      </c>
      <c r="M4751">
        <f>VLOOKUP(Query1[[#This Row],[Description]],'kits to boards'!$B$2:$E$156,3,FALSE)</f>
        <v>0</v>
      </c>
      <c r="N4751">
        <f>VLOOKUP(Query1[[#This Row],[Description]],'kits to boards'!$B$2:$E$156,4,FALSE)</f>
        <v>0</v>
      </c>
      <c r="O4751" t="str">
        <f>CONCATENATE(Query1[[#This Row],[Description]]," - ",Query1[[#This Row],[MB1]]," - ",Query1[[#This Row],[MB2]]," - ",Query1[[#This Row],[MB3]])</f>
        <v>EVAP KIT 70-72 CHEVELLE W/AC - 830011 - 0 - 0</v>
      </c>
    </row>
    <row r="4752" spans="1:15" x14ac:dyDescent="0.25">
      <c r="A4752" s="1">
        <v>921850</v>
      </c>
      <c r="B4752" s="1" t="s">
        <v>96</v>
      </c>
      <c r="C4752" s="1" t="s">
        <v>97</v>
      </c>
      <c r="D4752" s="2">
        <v>44680.642207673613</v>
      </c>
      <c r="E4752" s="1" t="s">
        <v>8</v>
      </c>
      <c r="F4752" s="1">
        <v>1</v>
      </c>
      <c r="G4752" s="1">
        <v>0</v>
      </c>
      <c r="H4752" s="6">
        <f>INT(Query1[[#This Row],[EntryDateTime]])</f>
        <v>44680</v>
      </c>
      <c r="I4752" s="1">
        <f>IF(Query1[[#This Row],[ItemType]]="EVAP KIT SF GEN IV",Query1[[#This Row],[OrderQty]]+I4751,I4751)</f>
        <v>5901</v>
      </c>
      <c r="J4752" s="1">
        <f>IF(Query1[[#This Row],[ItemType]]="EVAP KIT UNIVERSAL",Query1[[#This Row],[OrderQty]]+J4751,J4751)</f>
        <v>1901</v>
      </c>
      <c r="K4752" s="1">
        <f>Query1[[#This Row],[SF Running Total]]+Query1[[#This Row],[UNIV Running Total]]</f>
        <v>7802</v>
      </c>
      <c r="L4752">
        <f>VLOOKUP(Query1[[#This Row],[Description]],'kits to boards'!$B$2:$E$156,2,FALSE)</f>
        <v>830004</v>
      </c>
      <c r="M4752">
        <f>VLOOKUP(Query1[[#This Row],[Description]],'kits to boards'!$B$2:$E$156,3,FALSE)</f>
        <v>0</v>
      </c>
      <c r="N4752">
        <f>VLOOKUP(Query1[[#This Row],[Description]],'kits to boards'!$B$2:$E$156,4,FALSE)</f>
        <v>0</v>
      </c>
      <c r="O4752" t="str">
        <f>CONCATENATE(Query1[[#This Row],[Description]]," - ",Query1[[#This Row],[MB1]]," - ",Query1[[#This Row],[MB2]]," - ",Query1[[#This Row],[MB3]])</f>
        <v>EVAP KIT 81-87 CHEV P-UP W/AC - 830004 - 0 - 0</v>
      </c>
    </row>
    <row r="4753" spans="1:15" x14ac:dyDescent="0.25">
      <c r="A4753" s="1">
        <v>921879</v>
      </c>
      <c r="B4753" s="1" t="s">
        <v>36</v>
      </c>
      <c r="C4753" s="1" t="s">
        <v>37</v>
      </c>
      <c r="D4753" s="2">
        <v>44680.643863622689</v>
      </c>
      <c r="E4753" s="1" t="s">
        <v>8</v>
      </c>
      <c r="F4753" s="1">
        <v>1</v>
      </c>
      <c r="G4753" s="1">
        <v>0</v>
      </c>
      <c r="H4753" s="6">
        <f>INT(Query1[[#This Row],[EntryDateTime]])</f>
        <v>44680</v>
      </c>
      <c r="I4753" s="1">
        <f>IF(Query1[[#This Row],[ItemType]]="EVAP KIT SF GEN IV",Query1[[#This Row],[OrderQty]]+I4752,I4752)</f>
        <v>5902</v>
      </c>
      <c r="J4753" s="1">
        <f>IF(Query1[[#This Row],[ItemType]]="EVAP KIT UNIVERSAL",Query1[[#This Row],[OrderQty]]+J4752,J4752)</f>
        <v>1901</v>
      </c>
      <c r="K4753" s="1">
        <f>Query1[[#This Row],[SF Running Total]]+Query1[[#This Row],[UNIV Running Total]]</f>
        <v>7803</v>
      </c>
      <c r="L4753">
        <f>VLOOKUP(Query1[[#This Row],[Description]],'kits to boards'!$B$2:$E$156,2,FALSE)</f>
        <v>830015</v>
      </c>
      <c r="M4753">
        <f>VLOOKUP(Query1[[#This Row],[Description]],'kits to boards'!$B$2:$E$156,3,FALSE)</f>
        <v>0</v>
      </c>
      <c r="N4753">
        <f>VLOOKUP(Query1[[#This Row],[Description]],'kits to boards'!$B$2:$E$156,4,FALSE)</f>
        <v>0</v>
      </c>
      <c r="O4753" t="str">
        <f>CONCATENATE(Query1[[#This Row],[Description]]," - ",Query1[[#This Row],[MB1]]," - ",Query1[[#This Row],[MB2]]," - ",Query1[[#This Row],[MB3]])</f>
        <v>EVAP KIT 64-66 CHEV P-UP WO AC W/STD - 830015 - 0 - 0</v>
      </c>
    </row>
    <row r="4754" spans="1:15" x14ac:dyDescent="0.25">
      <c r="A4754" s="1">
        <v>921886</v>
      </c>
      <c r="B4754" s="1" t="s">
        <v>52</v>
      </c>
      <c r="C4754" s="1" t="s">
        <v>53</v>
      </c>
      <c r="D4754" s="2">
        <v>44680.657315509263</v>
      </c>
      <c r="E4754" s="1" t="s">
        <v>8</v>
      </c>
      <c r="F4754" s="1">
        <v>1</v>
      </c>
      <c r="G4754" s="1">
        <v>0</v>
      </c>
      <c r="H4754" s="6">
        <f>INT(Query1[[#This Row],[EntryDateTime]])</f>
        <v>44680</v>
      </c>
      <c r="I4754" s="1">
        <f>IF(Query1[[#This Row],[ItemType]]="EVAP KIT SF GEN IV",Query1[[#This Row],[OrderQty]]+I4753,I4753)</f>
        <v>5903</v>
      </c>
      <c r="J4754" s="1">
        <f>IF(Query1[[#This Row],[ItemType]]="EVAP KIT UNIVERSAL",Query1[[#This Row],[OrderQty]]+J4753,J4753)</f>
        <v>1901</v>
      </c>
      <c r="K4754" s="1">
        <f>Query1[[#This Row],[SF Running Total]]+Query1[[#This Row],[UNIV Running Total]]</f>
        <v>7804</v>
      </c>
      <c r="L4754">
        <f>VLOOKUP(Query1[[#This Row],[Description]],'kits to boards'!$B$2:$E$156,2,FALSE)</f>
        <v>830017</v>
      </c>
      <c r="M4754">
        <f>VLOOKUP(Query1[[#This Row],[Description]],'kits to boards'!$B$2:$E$156,3,FALSE)</f>
        <v>830119</v>
      </c>
      <c r="N4754">
        <f>VLOOKUP(Query1[[#This Row],[Description]],'kits to boards'!$B$2:$E$156,4,FALSE)</f>
        <v>830120</v>
      </c>
      <c r="O4754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4755" spans="1:15" x14ac:dyDescent="0.25">
      <c r="A4755" s="1">
        <v>921888</v>
      </c>
      <c r="B4755" s="1" t="s">
        <v>168</v>
      </c>
      <c r="C4755" s="1" t="s">
        <v>169</v>
      </c>
      <c r="D4755" s="2">
        <v>44680.660780439815</v>
      </c>
      <c r="E4755" s="1" t="s">
        <v>8</v>
      </c>
      <c r="F4755" s="1">
        <v>1</v>
      </c>
      <c r="G4755" s="1">
        <v>0</v>
      </c>
      <c r="H4755" s="6">
        <f>INT(Query1[[#This Row],[EntryDateTime]])</f>
        <v>44680</v>
      </c>
      <c r="I4755" s="1">
        <f>IF(Query1[[#This Row],[ItemType]]="EVAP KIT SF GEN IV",Query1[[#This Row],[OrderQty]]+I4754,I4754)</f>
        <v>5904</v>
      </c>
      <c r="J4755" s="1">
        <f>IF(Query1[[#This Row],[ItemType]]="EVAP KIT UNIVERSAL",Query1[[#This Row],[OrderQty]]+J4754,J4754)</f>
        <v>1901</v>
      </c>
      <c r="K4755" s="1">
        <f>Query1[[#This Row],[SF Running Total]]+Query1[[#This Row],[UNIV Running Total]]</f>
        <v>7805</v>
      </c>
      <c r="L4755">
        <f>VLOOKUP(Query1[[#This Row],[Description]],'kits to boards'!$B$2:$E$156,2,FALSE)</f>
        <v>830028</v>
      </c>
      <c r="M4755">
        <f>VLOOKUP(Query1[[#This Row],[Description]],'kits to boards'!$B$2:$E$156,3,FALSE)</f>
        <v>0</v>
      </c>
      <c r="N4755">
        <f>VLOOKUP(Query1[[#This Row],[Description]],'kits to boards'!$B$2:$E$156,4,FALSE)</f>
        <v>0</v>
      </c>
      <c r="O4755" t="str">
        <f>CONCATENATE(Query1[[#This Row],[Description]]," - ",Query1[[#This Row],[MB1]]," - ",Query1[[#This Row],[MB2]]," - ",Query1[[#This Row],[MB3]])</f>
        <v>EVAP KIT 55-59 CHEV P-UP WO AC W/STD  - 830028 - 0 - 0</v>
      </c>
    </row>
    <row r="4756" spans="1:15" x14ac:dyDescent="0.25">
      <c r="A4756" s="1">
        <v>921891</v>
      </c>
      <c r="B4756" s="1" t="s">
        <v>84</v>
      </c>
      <c r="C4756" s="1" t="s">
        <v>85</v>
      </c>
      <c r="D4756" s="2">
        <v>44683.306035914349</v>
      </c>
      <c r="E4756" s="1" t="s">
        <v>8</v>
      </c>
      <c r="F4756" s="1">
        <v>1</v>
      </c>
      <c r="G4756" s="1">
        <v>0</v>
      </c>
      <c r="H4756" s="6">
        <f>INT(Query1[[#This Row],[EntryDateTime]])</f>
        <v>44683</v>
      </c>
      <c r="I4756" s="1">
        <f>IF(Query1[[#This Row],[ItemType]]="EVAP KIT SF GEN IV",Query1[[#This Row],[OrderQty]]+I4755,I4755)</f>
        <v>5905</v>
      </c>
      <c r="J4756" s="1">
        <f>IF(Query1[[#This Row],[ItemType]]="EVAP KIT UNIVERSAL",Query1[[#This Row],[OrderQty]]+J4755,J4755)</f>
        <v>1901</v>
      </c>
      <c r="K4756" s="1">
        <f>Query1[[#This Row],[SF Running Total]]+Query1[[#This Row],[UNIV Running Total]]</f>
        <v>7806</v>
      </c>
      <c r="L4756">
        <f>VLOOKUP(Query1[[#This Row],[Description]],'kits to boards'!$B$2:$E$156,2,FALSE)</f>
        <v>830085</v>
      </c>
      <c r="M4756">
        <f>VLOOKUP(Query1[[#This Row],[Description]],'kits to boards'!$B$2:$E$156,3,FALSE)</f>
        <v>0</v>
      </c>
      <c r="N4756">
        <f>VLOOKUP(Query1[[#This Row],[Description]],'kits to boards'!$B$2:$E$156,4,FALSE)</f>
        <v>0</v>
      </c>
      <c r="O4756" t="str">
        <f>CONCATENATE(Query1[[#This Row],[Description]]," - ",Query1[[#This Row],[MB1]]," - ",Query1[[#This Row],[MB2]]," - ",Query1[[#This Row],[MB3]])</f>
        <v>EVAP KIT 66-77 BRONCO 4-VENT PLENUM - 830085 - 0 - 0</v>
      </c>
    </row>
    <row r="4757" spans="1:15" x14ac:dyDescent="0.25">
      <c r="A4757" s="1">
        <v>921892</v>
      </c>
      <c r="B4757" s="1" t="s">
        <v>84</v>
      </c>
      <c r="C4757" s="1" t="s">
        <v>85</v>
      </c>
      <c r="D4757" s="2">
        <v>44683.30691658565</v>
      </c>
      <c r="E4757" s="1" t="s">
        <v>8</v>
      </c>
      <c r="F4757" s="1">
        <v>1</v>
      </c>
      <c r="G4757" s="1">
        <v>0</v>
      </c>
      <c r="H4757" s="6">
        <f>INT(Query1[[#This Row],[EntryDateTime]])</f>
        <v>44683</v>
      </c>
      <c r="I4757" s="1">
        <f>IF(Query1[[#This Row],[ItemType]]="EVAP KIT SF GEN IV",Query1[[#This Row],[OrderQty]]+I4756,I4756)</f>
        <v>5906</v>
      </c>
      <c r="J4757" s="1">
        <f>IF(Query1[[#This Row],[ItemType]]="EVAP KIT UNIVERSAL",Query1[[#This Row],[OrderQty]]+J4756,J4756)</f>
        <v>1901</v>
      </c>
      <c r="K4757" s="1">
        <f>Query1[[#This Row],[SF Running Total]]+Query1[[#This Row],[UNIV Running Total]]</f>
        <v>7807</v>
      </c>
      <c r="L4757">
        <f>VLOOKUP(Query1[[#This Row],[Description]],'kits to boards'!$B$2:$E$156,2,FALSE)</f>
        <v>830085</v>
      </c>
      <c r="M4757">
        <f>VLOOKUP(Query1[[#This Row],[Description]],'kits to boards'!$B$2:$E$156,3,FALSE)</f>
        <v>0</v>
      </c>
      <c r="N4757">
        <f>VLOOKUP(Query1[[#This Row],[Description]],'kits to boards'!$B$2:$E$156,4,FALSE)</f>
        <v>0</v>
      </c>
      <c r="O4757" t="str">
        <f>CONCATENATE(Query1[[#This Row],[Description]]," - ",Query1[[#This Row],[MB1]]," - ",Query1[[#This Row],[MB2]]," - ",Query1[[#This Row],[MB3]])</f>
        <v>EVAP KIT 66-77 BRONCO 4-VENT PLENUM - 830085 - 0 - 0</v>
      </c>
    </row>
    <row r="4758" spans="1:15" x14ac:dyDescent="0.25">
      <c r="A4758" s="1">
        <v>921284</v>
      </c>
      <c r="B4758" s="1" t="s">
        <v>92</v>
      </c>
      <c r="C4758" s="1" t="s">
        <v>93</v>
      </c>
      <c r="D4758" s="2">
        <v>44683.325871446759</v>
      </c>
      <c r="E4758" s="1" t="s">
        <v>8</v>
      </c>
      <c r="F4758" s="1">
        <v>1</v>
      </c>
      <c r="G4758" s="1">
        <v>0</v>
      </c>
      <c r="H4758" s="6">
        <f>INT(Query1[[#This Row],[EntryDateTime]])</f>
        <v>44683</v>
      </c>
      <c r="I4758" s="1">
        <f>IF(Query1[[#This Row],[ItemType]]="EVAP KIT SF GEN IV",Query1[[#This Row],[OrderQty]]+I4757,I4757)</f>
        <v>5907</v>
      </c>
      <c r="J4758" s="1">
        <f>IF(Query1[[#This Row],[ItemType]]="EVAP KIT UNIVERSAL",Query1[[#This Row],[OrderQty]]+J4757,J4757)</f>
        <v>1901</v>
      </c>
      <c r="K4758" s="1">
        <f>Query1[[#This Row],[SF Running Total]]+Query1[[#This Row],[UNIV Running Total]]</f>
        <v>7808</v>
      </c>
      <c r="L4758">
        <f>VLOOKUP(Query1[[#This Row],[Description]],'kits to boards'!$B$2:$E$156,2,FALSE)</f>
        <v>830063</v>
      </c>
      <c r="M4758">
        <f>VLOOKUP(Query1[[#This Row],[Description]],'kits to boards'!$B$2:$E$156,3,FALSE)</f>
        <v>0</v>
      </c>
      <c r="N4758">
        <f>VLOOKUP(Query1[[#This Row],[Description]],'kits to boards'!$B$2:$E$156,4,FALSE)</f>
        <v>0</v>
      </c>
      <c r="O4758" t="str">
        <f>CONCATENATE(Query1[[#This Row],[Description]]," - ",Query1[[#This Row],[MB1]]," - ",Query1[[#This Row],[MB2]]," - ",Query1[[#This Row],[MB3]])</f>
        <v>EVAP KIT 50-53 CHEV P-UP GEN IV - 830063 - 0 - 0</v>
      </c>
    </row>
    <row r="4759" spans="1:15" x14ac:dyDescent="0.25">
      <c r="A4759" s="1">
        <v>921903</v>
      </c>
      <c r="B4759" s="1" t="s">
        <v>128</v>
      </c>
      <c r="C4759" s="1" t="s">
        <v>129</v>
      </c>
      <c r="D4759" s="2">
        <v>44683.326028090276</v>
      </c>
      <c r="E4759" s="1" t="s">
        <v>8</v>
      </c>
      <c r="F4759" s="1">
        <v>1</v>
      </c>
      <c r="G4759" s="1">
        <v>0</v>
      </c>
      <c r="H4759" s="6">
        <f>INT(Query1[[#This Row],[EntryDateTime]])</f>
        <v>44683</v>
      </c>
      <c r="I4759" s="1">
        <f>IF(Query1[[#This Row],[ItemType]]="EVAP KIT SF GEN IV",Query1[[#This Row],[OrderQty]]+I4758,I4758)</f>
        <v>5908</v>
      </c>
      <c r="J4759" s="1">
        <f>IF(Query1[[#This Row],[ItemType]]="EVAP KIT UNIVERSAL",Query1[[#This Row],[OrderQty]]+J4758,J4758)</f>
        <v>1901</v>
      </c>
      <c r="K4759" s="1">
        <f>Query1[[#This Row],[SF Running Total]]+Query1[[#This Row],[UNIV Running Total]]</f>
        <v>7809</v>
      </c>
      <c r="L4759">
        <f>VLOOKUP(Query1[[#This Row],[Description]],'kits to boards'!$B$2:$E$156,2,FALSE)</f>
        <v>830036</v>
      </c>
      <c r="M4759">
        <f>VLOOKUP(Query1[[#This Row],[Description]],'kits to boards'!$B$2:$E$156,3,FALSE)</f>
        <v>830039</v>
      </c>
      <c r="N4759">
        <f>VLOOKUP(Query1[[#This Row],[Description]],'kits to boards'!$B$2:$E$156,4,FALSE)</f>
        <v>0</v>
      </c>
      <c r="O4759" t="str">
        <f>CONCATENATE(Query1[[#This Row],[Description]]," - ",Query1[[#This Row],[MB1]]," - ",Query1[[#This Row],[MB2]]," - ",Query1[[#This Row],[MB3]])</f>
        <v>EVAP KIT 63-66 VETTE WO AC - 830036 - 830039 - 0</v>
      </c>
    </row>
    <row r="4760" spans="1:15" x14ac:dyDescent="0.25">
      <c r="A4760" s="1">
        <v>921908</v>
      </c>
      <c r="B4760" s="1" t="s">
        <v>22</v>
      </c>
      <c r="C4760" s="1" t="s">
        <v>23</v>
      </c>
      <c r="D4760" s="2">
        <v>44683.327239386577</v>
      </c>
      <c r="E4760" s="1" t="s">
        <v>8</v>
      </c>
      <c r="F4760" s="1">
        <v>2</v>
      </c>
      <c r="G4760" s="1">
        <v>0</v>
      </c>
      <c r="H4760" s="6">
        <f>INT(Query1[[#This Row],[EntryDateTime]])</f>
        <v>44683</v>
      </c>
      <c r="I4760" s="1">
        <f>IF(Query1[[#This Row],[ItemType]]="EVAP KIT SF GEN IV",Query1[[#This Row],[OrderQty]]+I4759,I4759)</f>
        <v>5910</v>
      </c>
      <c r="J4760" s="1">
        <f>IF(Query1[[#This Row],[ItemType]]="EVAP KIT UNIVERSAL",Query1[[#This Row],[OrderQty]]+J4759,J4759)</f>
        <v>1901</v>
      </c>
      <c r="K4760" s="1">
        <f>Query1[[#This Row],[SF Running Total]]+Query1[[#This Row],[UNIV Running Total]]</f>
        <v>7811</v>
      </c>
      <c r="L4760">
        <f>VLOOKUP(Query1[[#This Row],[Description]],'kits to boards'!$B$2:$E$156,2,FALSE)</f>
        <v>830083</v>
      </c>
      <c r="M4760">
        <f>VLOOKUP(Query1[[#This Row],[Description]],'kits to boards'!$B$2:$E$156,3,FALSE)</f>
        <v>0</v>
      </c>
      <c r="N4760">
        <f>VLOOKUP(Query1[[#This Row],[Description]],'kits to boards'!$B$2:$E$156,4,FALSE)</f>
        <v>0</v>
      </c>
      <c r="O4760" t="str">
        <f>CONCATENATE(Query1[[#This Row],[Description]]," - ",Query1[[#This Row],[MB1]]," - ",Query1[[#This Row],[MB2]]," - ",Query1[[#This Row],[MB3]])</f>
        <v>GEN IV MAGNUM EVAP KIT - 830083 - 0 - 0</v>
      </c>
    </row>
    <row r="4761" spans="1:15" x14ac:dyDescent="0.25">
      <c r="A4761" s="1">
        <v>921909</v>
      </c>
      <c r="B4761" s="1" t="s">
        <v>150</v>
      </c>
      <c r="C4761" s="1" t="s">
        <v>151</v>
      </c>
      <c r="D4761" s="2">
        <v>44683.327670219907</v>
      </c>
      <c r="E4761" s="1" t="s">
        <v>8</v>
      </c>
      <c r="F4761" s="1">
        <v>1</v>
      </c>
      <c r="G4761" s="1">
        <v>0</v>
      </c>
      <c r="H4761" s="6">
        <f>INT(Query1[[#This Row],[EntryDateTime]])</f>
        <v>44683</v>
      </c>
      <c r="I4761" s="1">
        <f>IF(Query1[[#This Row],[ItemType]]="EVAP KIT SF GEN IV",Query1[[#This Row],[OrderQty]]+I4760,I4760)</f>
        <v>5911</v>
      </c>
      <c r="J4761" s="1">
        <f>IF(Query1[[#This Row],[ItemType]]="EVAP KIT UNIVERSAL",Query1[[#This Row],[OrderQty]]+J4760,J4760)</f>
        <v>1901</v>
      </c>
      <c r="K4761" s="1">
        <f>Query1[[#This Row],[SF Running Total]]+Query1[[#This Row],[UNIV Running Total]]</f>
        <v>7812</v>
      </c>
      <c r="L4761">
        <f>VLOOKUP(Query1[[#This Row],[Description]],'kits to boards'!$B$2:$E$156,2,FALSE)</f>
        <v>830010</v>
      </c>
      <c r="M4761">
        <f>VLOOKUP(Query1[[#This Row],[Description]],'kits to boards'!$B$2:$E$156,3,FALSE)</f>
        <v>0</v>
      </c>
      <c r="N4761">
        <f>VLOOKUP(Query1[[#This Row],[Description]],'kits to boards'!$B$2:$E$156,4,FALSE)</f>
        <v>0</v>
      </c>
      <c r="O4761" t="str">
        <f>CONCATENATE(Query1[[#This Row],[Description]]," - ",Query1[[#This Row],[MB1]]," - ",Query1[[#This Row],[MB2]]," - ",Query1[[#This Row],[MB3]])</f>
        <v>EVAP KIT 70-72 MONTE CARLO W/AC - 830010 - 0 - 0</v>
      </c>
    </row>
    <row r="4762" spans="1:15" x14ac:dyDescent="0.25">
      <c r="A4762" s="1">
        <v>921911</v>
      </c>
      <c r="B4762" s="1" t="s">
        <v>42</v>
      </c>
      <c r="C4762" s="1" t="s">
        <v>43</v>
      </c>
      <c r="D4762" s="2">
        <v>44683.331889317131</v>
      </c>
      <c r="E4762" s="1" t="s">
        <v>8</v>
      </c>
      <c r="F4762" s="1">
        <v>1</v>
      </c>
      <c r="G4762" s="1">
        <v>0</v>
      </c>
      <c r="H4762" s="6">
        <f>INT(Query1[[#This Row],[EntryDateTime]])</f>
        <v>44683</v>
      </c>
      <c r="I4762" s="1">
        <f>IF(Query1[[#This Row],[ItemType]]="EVAP KIT SF GEN IV",Query1[[#This Row],[OrderQty]]+I4761,I4761)</f>
        <v>5912</v>
      </c>
      <c r="J4762" s="1">
        <f>IF(Query1[[#This Row],[ItemType]]="EVAP KIT UNIVERSAL",Query1[[#This Row],[OrderQty]]+J4761,J4761)</f>
        <v>1901</v>
      </c>
      <c r="K4762" s="1">
        <f>Query1[[#This Row],[SF Running Total]]+Query1[[#This Row],[UNIV Running Total]]</f>
        <v>7813</v>
      </c>
      <c r="L4762">
        <f>VLOOKUP(Query1[[#This Row],[Description]],'kits to boards'!$B$2:$E$156,2,FALSE)</f>
        <v>830014</v>
      </c>
      <c r="M4762">
        <f>VLOOKUP(Query1[[#This Row],[Description]],'kits to boards'!$B$2:$E$156,3,FALSE)</f>
        <v>0</v>
      </c>
      <c r="N4762">
        <f>VLOOKUP(Query1[[#This Row],[Description]],'kits to boards'!$B$2:$E$156,4,FALSE)</f>
        <v>0</v>
      </c>
      <c r="O4762" t="str">
        <f>CONCATENATE(Query1[[#This Row],[Description]]," - ",Query1[[#This Row],[MB1]]," - ",Query1[[#This Row],[MB2]]," - ",Query1[[#This Row],[MB3]])</f>
        <v>EVAP KIT 67-72 CHEV P-UP WO AC - 830014 - 0 - 0</v>
      </c>
    </row>
    <row r="4763" spans="1:15" x14ac:dyDescent="0.25">
      <c r="A4763" s="1">
        <v>921912</v>
      </c>
      <c r="B4763" s="1" t="s">
        <v>54</v>
      </c>
      <c r="C4763" s="1" t="s">
        <v>55</v>
      </c>
      <c r="D4763" s="2">
        <v>44683.334052430553</v>
      </c>
      <c r="E4763" s="1" t="s">
        <v>8</v>
      </c>
      <c r="F4763" s="1">
        <v>1</v>
      </c>
      <c r="G4763" s="1">
        <v>0</v>
      </c>
      <c r="H4763" s="6">
        <f>INT(Query1[[#This Row],[EntryDateTime]])</f>
        <v>44683</v>
      </c>
      <c r="I4763" s="1">
        <f>IF(Query1[[#This Row],[ItemType]]="EVAP KIT SF GEN IV",Query1[[#This Row],[OrderQty]]+I4762,I4762)</f>
        <v>5913</v>
      </c>
      <c r="J4763" s="1">
        <f>IF(Query1[[#This Row],[ItemType]]="EVAP KIT UNIVERSAL",Query1[[#This Row],[OrderQty]]+J4762,J4762)</f>
        <v>1901</v>
      </c>
      <c r="K4763" s="1">
        <f>Query1[[#This Row],[SF Running Total]]+Query1[[#This Row],[UNIV Running Total]]</f>
        <v>7814</v>
      </c>
      <c r="L4763">
        <f>VLOOKUP(Query1[[#This Row],[Description]],'kits to boards'!$B$2:$E$156,2,FALSE)</f>
        <v>830037</v>
      </c>
      <c r="M4763">
        <f>VLOOKUP(Query1[[#This Row],[Description]],'kits to boards'!$B$2:$E$156,3,FALSE)</f>
        <v>0</v>
      </c>
      <c r="N4763">
        <f>VLOOKUP(Query1[[#This Row],[Description]],'kits to boards'!$B$2:$E$156,4,FALSE)</f>
        <v>0</v>
      </c>
      <c r="O4763" t="str">
        <f>CONCATENATE(Query1[[#This Row],[Description]]," - ",Query1[[#This Row],[MB1]]," - ",Query1[[#This Row],[MB2]]," - ",Query1[[#This Row],[MB3]])</f>
        <v>EVAP KIT 70-81 FIREBIRD W/AC - 830037 - 0 - 0</v>
      </c>
    </row>
    <row r="4764" spans="1:15" x14ac:dyDescent="0.25">
      <c r="A4764" s="1">
        <v>921914</v>
      </c>
      <c r="B4764" s="1" t="s">
        <v>50</v>
      </c>
      <c r="C4764" s="1" t="s">
        <v>51</v>
      </c>
      <c r="D4764" s="2">
        <v>44683.337475266206</v>
      </c>
      <c r="E4764" s="1" t="s">
        <v>8</v>
      </c>
      <c r="F4764" s="1">
        <v>1</v>
      </c>
      <c r="G4764" s="1">
        <v>0</v>
      </c>
      <c r="H4764" s="6">
        <f>INT(Query1[[#This Row],[EntryDateTime]])</f>
        <v>44683</v>
      </c>
      <c r="I4764" s="1">
        <f>IF(Query1[[#This Row],[ItemType]]="EVAP KIT SF GEN IV",Query1[[#This Row],[OrderQty]]+I4763,I4763)</f>
        <v>5914</v>
      </c>
      <c r="J4764" s="1">
        <f>IF(Query1[[#This Row],[ItemType]]="EVAP KIT UNIVERSAL",Query1[[#This Row],[OrderQty]]+J4763,J4763)</f>
        <v>1901</v>
      </c>
      <c r="K4764" s="1">
        <f>Query1[[#This Row],[SF Running Total]]+Query1[[#This Row],[UNIV Running Total]]</f>
        <v>7815</v>
      </c>
      <c r="L4764">
        <f>VLOOKUP(Query1[[#This Row],[Description]],'kits to boards'!$B$2:$E$156,2,FALSE)</f>
        <v>830043</v>
      </c>
      <c r="M4764">
        <f>VLOOKUP(Query1[[#This Row],[Description]],'kits to boards'!$B$2:$E$156,3,FALSE)</f>
        <v>0</v>
      </c>
      <c r="N4764">
        <f>VLOOKUP(Query1[[#This Row],[Description]],'kits to boards'!$B$2:$E$156,4,FALSE)</f>
        <v>0</v>
      </c>
      <c r="O4764" t="str">
        <f>CONCATENATE(Query1[[#This Row],[Description]]," - ",Query1[[#This Row],[MB1]]," - ",Query1[[#This Row],[MB2]]," - ",Query1[[#This Row],[MB3]])</f>
        <v>EVAP KIT 69-74 NOVA WO AC - 830043 - 0 - 0</v>
      </c>
    </row>
    <row r="4765" spans="1:15" x14ac:dyDescent="0.25">
      <c r="A4765" s="1">
        <v>921918</v>
      </c>
      <c r="B4765" s="1" t="s">
        <v>14</v>
      </c>
      <c r="C4765" s="1" t="s">
        <v>15</v>
      </c>
      <c r="D4765" s="2">
        <v>44683.34028290509</v>
      </c>
      <c r="E4765" s="1" t="s">
        <v>8</v>
      </c>
      <c r="F4765" s="1">
        <v>1</v>
      </c>
      <c r="G4765" s="1">
        <v>0</v>
      </c>
      <c r="H4765" s="6">
        <f>INT(Query1[[#This Row],[EntryDateTime]])</f>
        <v>44683</v>
      </c>
      <c r="I4765" s="1">
        <f>IF(Query1[[#This Row],[ItemType]]="EVAP KIT SF GEN IV",Query1[[#This Row],[OrderQty]]+I4764,I4764)</f>
        <v>5915</v>
      </c>
      <c r="J4765" s="1">
        <f>IF(Query1[[#This Row],[ItemType]]="EVAP KIT UNIVERSAL",Query1[[#This Row],[OrderQty]]+J4764,J4764)</f>
        <v>1901</v>
      </c>
      <c r="K4765" s="1">
        <f>Query1[[#This Row],[SF Running Total]]+Query1[[#This Row],[UNIV Running Total]]</f>
        <v>7816</v>
      </c>
      <c r="L4765">
        <f>VLOOKUP(Query1[[#This Row],[Description]],'kits to boards'!$B$2:$E$156,2,FALSE)</f>
        <v>830054</v>
      </c>
      <c r="M4765">
        <f>VLOOKUP(Query1[[#This Row],[Description]],'kits to boards'!$B$2:$E$156,3,FALSE)</f>
        <v>0</v>
      </c>
      <c r="N4765">
        <f>VLOOKUP(Query1[[#This Row],[Description]],'kits to boards'!$B$2:$E$156,4,FALSE)</f>
        <v>0</v>
      </c>
      <c r="O4765" t="str">
        <f>CONCATENATE(Query1[[#This Row],[Description]]," - ",Query1[[#This Row],[MB1]]," - ",Query1[[#This Row],[MB2]]," - ",Query1[[#This Row],[MB3]])</f>
        <v>EVAP KIT 55-56 CHEVY - 830054 - 0 - 0</v>
      </c>
    </row>
    <row r="4766" spans="1:15" x14ac:dyDescent="0.25">
      <c r="A4766" s="1">
        <v>921925</v>
      </c>
      <c r="B4766" s="1" t="s">
        <v>88</v>
      </c>
      <c r="C4766" s="1" t="s">
        <v>89</v>
      </c>
      <c r="D4766" s="2">
        <v>44683.349680590276</v>
      </c>
      <c r="E4766" s="1" t="s">
        <v>8</v>
      </c>
      <c r="F4766" s="1">
        <v>1</v>
      </c>
      <c r="G4766" s="1">
        <v>0</v>
      </c>
      <c r="H4766" s="6">
        <f>INT(Query1[[#This Row],[EntryDateTime]])</f>
        <v>44683</v>
      </c>
      <c r="I4766" s="1">
        <f>IF(Query1[[#This Row],[ItemType]]="EVAP KIT SF GEN IV",Query1[[#This Row],[OrderQty]]+I4765,I4765)</f>
        <v>5916</v>
      </c>
      <c r="J4766" s="1">
        <f>IF(Query1[[#This Row],[ItemType]]="EVAP KIT UNIVERSAL",Query1[[#This Row],[OrderQty]]+J4765,J4765)</f>
        <v>1901</v>
      </c>
      <c r="K4766" s="1">
        <f>Query1[[#This Row],[SF Running Total]]+Query1[[#This Row],[UNIV Running Total]]</f>
        <v>7817</v>
      </c>
      <c r="L4766">
        <f>VLOOKUP(Query1[[#This Row],[Description]],'kits to boards'!$B$2:$E$156,2,FALSE)</f>
        <v>830003</v>
      </c>
      <c r="M4766">
        <f>VLOOKUP(Query1[[#This Row],[Description]],'kits to boards'!$B$2:$E$156,3,FALSE)</f>
        <v>0</v>
      </c>
      <c r="N4766">
        <f>VLOOKUP(Query1[[#This Row],[Description]],'kits to boards'!$B$2:$E$156,4,FALSE)</f>
        <v>0</v>
      </c>
      <c r="O4766" t="str">
        <f>CONCATENATE(Query1[[#This Row],[Description]]," - ",Query1[[#This Row],[MB1]]," - ",Query1[[#This Row],[MB2]]," - ",Query1[[#This Row],[MB3]])</f>
        <v>EVAP KIT 81-87 CHEV P-UP WO AC - 830003 - 0 - 0</v>
      </c>
    </row>
    <row r="4767" spans="1:15" x14ac:dyDescent="0.25">
      <c r="A4767" s="1">
        <v>921926</v>
      </c>
      <c r="B4767" s="1" t="s">
        <v>42</v>
      </c>
      <c r="C4767" s="1" t="s">
        <v>43</v>
      </c>
      <c r="D4767" s="2">
        <v>44683.353867905091</v>
      </c>
      <c r="E4767" s="1" t="s">
        <v>8</v>
      </c>
      <c r="F4767" s="1">
        <v>1</v>
      </c>
      <c r="G4767" s="1">
        <v>0</v>
      </c>
      <c r="H4767" s="6">
        <f>INT(Query1[[#This Row],[EntryDateTime]])</f>
        <v>44683</v>
      </c>
      <c r="I4767" s="1">
        <f>IF(Query1[[#This Row],[ItemType]]="EVAP KIT SF GEN IV",Query1[[#This Row],[OrderQty]]+I4766,I4766)</f>
        <v>5917</v>
      </c>
      <c r="J4767" s="1">
        <f>IF(Query1[[#This Row],[ItemType]]="EVAP KIT UNIVERSAL",Query1[[#This Row],[OrderQty]]+J4766,J4766)</f>
        <v>1901</v>
      </c>
      <c r="K4767" s="1">
        <f>Query1[[#This Row],[SF Running Total]]+Query1[[#This Row],[UNIV Running Total]]</f>
        <v>7818</v>
      </c>
      <c r="L4767">
        <f>VLOOKUP(Query1[[#This Row],[Description]],'kits to boards'!$B$2:$E$156,2,FALSE)</f>
        <v>830014</v>
      </c>
      <c r="M4767">
        <f>VLOOKUP(Query1[[#This Row],[Description]],'kits to boards'!$B$2:$E$156,3,FALSE)</f>
        <v>0</v>
      </c>
      <c r="N4767">
        <f>VLOOKUP(Query1[[#This Row],[Description]],'kits to boards'!$B$2:$E$156,4,FALSE)</f>
        <v>0</v>
      </c>
      <c r="O4767" t="str">
        <f>CONCATENATE(Query1[[#This Row],[Description]]," - ",Query1[[#This Row],[MB1]]," - ",Query1[[#This Row],[MB2]]," - ",Query1[[#This Row],[MB3]])</f>
        <v>EVAP KIT 67-72 CHEV P-UP WO AC - 830014 - 0 - 0</v>
      </c>
    </row>
    <row r="4768" spans="1:15" x14ac:dyDescent="0.25">
      <c r="A4768" s="1">
        <v>921930</v>
      </c>
      <c r="B4768" s="1" t="s">
        <v>42</v>
      </c>
      <c r="C4768" s="1" t="s">
        <v>43</v>
      </c>
      <c r="D4768" s="2">
        <v>44683.361383564814</v>
      </c>
      <c r="E4768" s="1" t="s">
        <v>8</v>
      </c>
      <c r="F4768" s="1">
        <v>1</v>
      </c>
      <c r="G4768" s="1">
        <v>0</v>
      </c>
      <c r="H4768" s="6">
        <f>INT(Query1[[#This Row],[EntryDateTime]])</f>
        <v>44683</v>
      </c>
      <c r="I4768" s="1">
        <f>IF(Query1[[#This Row],[ItemType]]="EVAP KIT SF GEN IV",Query1[[#This Row],[OrderQty]]+I4767,I4767)</f>
        <v>5918</v>
      </c>
      <c r="J4768" s="1">
        <f>IF(Query1[[#This Row],[ItemType]]="EVAP KIT UNIVERSAL",Query1[[#This Row],[OrderQty]]+J4767,J4767)</f>
        <v>1901</v>
      </c>
      <c r="K4768" s="1">
        <f>Query1[[#This Row],[SF Running Total]]+Query1[[#This Row],[UNIV Running Total]]</f>
        <v>7819</v>
      </c>
      <c r="L4768">
        <f>VLOOKUP(Query1[[#This Row],[Description]],'kits to boards'!$B$2:$E$156,2,FALSE)</f>
        <v>830014</v>
      </c>
      <c r="M4768">
        <f>VLOOKUP(Query1[[#This Row],[Description]],'kits to boards'!$B$2:$E$156,3,FALSE)</f>
        <v>0</v>
      </c>
      <c r="N4768">
        <f>VLOOKUP(Query1[[#This Row],[Description]],'kits to boards'!$B$2:$E$156,4,FALSE)</f>
        <v>0</v>
      </c>
      <c r="O4768" t="str">
        <f>CONCATENATE(Query1[[#This Row],[Description]]," - ",Query1[[#This Row],[MB1]]," - ",Query1[[#This Row],[MB2]]," - ",Query1[[#This Row],[MB3]])</f>
        <v>EVAP KIT 67-72 CHEV P-UP WO AC - 830014 - 0 - 0</v>
      </c>
    </row>
    <row r="4769" spans="1:15" x14ac:dyDescent="0.25">
      <c r="A4769" s="1">
        <v>921931</v>
      </c>
      <c r="B4769" s="1" t="s">
        <v>34</v>
      </c>
      <c r="C4769" s="1" t="s">
        <v>35</v>
      </c>
      <c r="D4769" s="2">
        <v>44683.364155127318</v>
      </c>
      <c r="E4769" s="1" t="s">
        <v>8</v>
      </c>
      <c r="F4769" s="1">
        <v>1</v>
      </c>
      <c r="G4769" s="1">
        <v>0</v>
      </c>
      <c r="H4769" s="6">
        <f>INT(Query1[[#This Row],[EntryDateTime]])</f>
        <v>44683</v>
      </c>
      <c r="I4769" s="1">
        <f>IF(Query1[[#This Row],[ItemType]]="EVAP KIT SF GEN IV",Query1[[#This Row],[OrderQty]]+I4768,I4768)</f>
        <v>5919</v>
      </c>
      <c r="J4769" s="1">
        <f>IF(Query1[[#This Row],[ItemType]]="EVAP KIT UNIVERSAL",Query1[[#This Row],[OrderQty]]+J4768,J4768)</f>
        <v>1901</v>
      </c>
      <c r="K4769" s="1">
        <f>Query1[[#This Row],[SF Running Total]]+Query1[[#This Row],[UNIV Running Total]]</f>
        <v>7820</v>
      </c>
      <c r="L4769">
        <f>VLOOKUP(Query1[[#This Row],[Description]],'kits to boards'!$B$2:$E$156,2,FALSE)</f>
        <v>830065</v>
      </c>
      <c r="M4769">
        <f>VLOOKUP(Query1[[#This Row],[Description]],'kits to boards'!$B$2:$E$156,3,FALSE)</f>
        <v>0</v>
      </c>
      <c r="N4769">
        <f>VLOOKUP(Query1[[#This Row],[Description]],'kits to boards'!$B$2:$E$156,4,FALSE)</f>
        <v>0</v>
      </c>
      <c r="O4769" t="str">
        <f>CONCATENATE(Query1[[#This Row],[Description]]," - ",Query1[[#This Row],[MB1]]," - ",Query1[[#This Row],[MB2]]," - ",Query1[[#This Row],[MB3]])</f>
        <v>EVAP KIT 57 CHEV WO AC - 830065 - 0 - 0</v>
      </c>
    </row>
    <row r="4770" spans="1:15" x14ac:dyDescent="0.25">
      <c r="A4770" s="1">
        <v>921929</v>
      </c>
      <c r="B4770" s="1" t="s">
        <v>96</v>
      </c>
      <c r="C4770" s="1" t="s">
        <v>97</v>
      </c>
      <c r="D4770" s="2">
        <v>44683.368390625001</v>
      </c>
      <c r="E4770" s="1" t="s">
        <v>8</v>
      </c>
      <c r="F4770" s="1">
        <v>1</v>
      </c>
      <c r="G4770" s="1">
        <v>0</v>
      </c>
      <c r="H4770" s="6">
        <f>INT(Query1[[#This Row],[EntryDateTime]])</f>
        <v>44683</v>
      </c>
      <c r="I4770" s="1">
        <f>IF(Query1[[#This Row],[ItemType]]="EVAP KIT SF GEN IV",Query1[[#This Row],[OrderQty]]+I4769,I4769)</f>
        <v>5920</v>
      </c>
      <c r="J4770" s="1">
        <f>IF(Query1[[#This Row],[ItemType]]="EVAP KIT UNIVERSAL",Query1[[#This Row],[OrderQty]]+J4769,J4769)</f>
        <v>1901</v>
      </c>
      <c r="K4770" s="1">
        <f>Query1[[#This Row],[SF Running Total]]+Query1[[#This Row],[UNIV Running Total]]</f>
        <v>7821</v>
      </c>
      <c r="L4770">
        <f>VLOOKUP(Query1[[#This Row],[Description]],'kits to boards'!$B$2:$E$156,2,FALSE)</f>
        <v>830004</v>
      </c>
      <c r="M4770">
        <f>VLOOKUP(Query1[[#This Row],[Description]],'kits to boards'!$B$2:$E$156,3,FALSE)</f>
        <v>0</v>
      </c>
      <c r="N4770">
        <f>VLOOKUP(Query1[[#This Row],[Description]],'kits to boards'!$B$2:$E$156,4,FALSE)</f>
        <v>0</v>
      </c>
      <c r="O4770" t="str">
        <f>CONCATENATE(Query1[[#This Row],[Description]]," - ",Query1[[#This Row],[MB1]]," - ",Query1[[#This Row],[MB2]]," - ",Query1[[#This Row],[MB3]])</f>
        <v>EVAP KIT 81-87 CHEV P-UP W/AC - 830004 - 0 - 0</v>
      </c>
    </row>
    <row r="4771" spans="1:15" x14ac:dyDescent="0.25">
      <c r="A4771" s="1">
        <v>921932</v>
      </c>
      <c r="B4771" s="1" t="s">
        <v>52</v>
      </c>
      <c r="C4771" s="1" t="s">
        <v>53</v>
      </c>
      <c r="D4771" s="2">
        <v>44683.368444178239</v>
      </c>
      <c r="E4771" s="1" t="s">
        <v>8</v>
      </c>
      <c r="F4771" s="1">
        <v>1</v>
      </c>
      <c r="G4771" s="1">
        <v>0</v>
      </c>
      <c r="H4771" s="6">
        <f>INT(Query1[[#This Row],[EntryDateTime]])</f>
        <v>44683</v>
      </c>
      <c r="I4771" s="1">
        <f>IF(Query1[[#This Row],[ItemType]]="EVAP KIT SF GEN IV",Query1[[#This Row],[OrderQty]]+I4770,I4770)</f>
        <v>5921</v>
      </c>
      <c r="J4771" s="1">
        <f>IF(Query1[[#This Row],[ItemType]]="EVAP KIT UNIVERSAL",Query1[[#This Row],[OrderQty]]+J4770,J4770)</f>
        <v>1901</v>
      </c>
      <c r="K4771" s="1">
        <f>Query1[[#This Row],[SF Running Total]]+Query1[[#This Row],[UNIV Running Total]]</f>
        <v>7822</v>
      </c>
      <c r="L4771">
        <f>VLOOKUP(Query1[[#This Row],[Description]],'kits to boards'!$B$2:$E$156,2,FALSE)</f>
        <v>830017</v>
      </c>
      <c r="M4771">
        <f>VLOOKUP(Query1[[#This Row],[Description]],'kits to boards'!$B$2:$E$156,3,FALSE)</f>
        <v>830119</v>
      </c>
      <c r="N4771">
        <f>VLOOKUP(Query1[[#This Row],[Description]],'kits to boards'!$B$2:$E$156,4,FALSE)</f>
        <v>830120</v>
      </c>
      <c r="O4771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4772" spans="1:15" x14ac:dyDescent="0.25">
      <c r="A4772" s="1">
        <v>921939</v>
      </c>
      <c r="B4772" s="1" t="s">
        <v>16</v>
      </c>
      <c r="C4772" s="1" t="s">
        <v>17</v>
      </c>
      <c r="D4772" s="2">
        <v>44683.383405439818</v>
      </c>
      <c r="E4772" s="1" t="s">
        <v>8</v>
      </c>
      <c r="F4772" s="1">
        <v>1</v>
      </c>
      <c r="G4772" s="1">
        <v>0</v>
      </c>
      <c r="H4772" s="6">
        <f>INT(Query1[[#This Row],[EntryDateTime]])</f>
        <v>44683</v>
      </c>
      <c r="I4772" s="1">
        <f>IF(Query1[[#This Row],[ItemType]]="EVAP KIT SF GEN IV",Query1[[#This Row],[OrderQty]]+I4771,I4771)</f>
        <v>5922</v>
      </c>
      <c r="J4772" s="1">
        <f>IF(Query1[[#This Row],[ItemType]]="EVAP KIT UNIVERSAL",Query1[[#This Row],[OrderQty]]+J4771,J4771)</f>
        <v>1901</v>
      </c>
      <c r="K4772" s="1">
        <f>Query1[[#This Row],[SF Running Total]]+Query1[[#This Row],[UNIV Running Total]]</f>
        <v>7823</v>
      </c>
      <c r="L4772">
        <f>VLOOKUP(Query1[[#This Row],[Description]],'kits to boards'!$B$2:$E$156,2,FALSE)</f>
        <v>830061</v>
      </c>
      <c r="M4772">
        <f>VLOOKUP(Query1[[#This Row],[Description]],'kits to boards'!$B$2:$E$156,3,FALSE)</f>
        <v>0</v>
      </c>
      <c r="N4772">
        <f>VLOOKUP(Query1[[#This Row],[Description]],'kits to boards'!$B$2:$E$156,4,FALSE)</f>
        <v>0</v>
      </c>
      <c r="O4772" t="str">
        <f>CONCATENATE(Query1[[#This Row],[Description]]," - ",Query1[[#This Row],[MB1]]," - ",Query1[[#This Row],[MB2]]," - ",Query1[[#This Row],[MB3]])</f>
        <v>EVAP KIT 68-69 CHEVELLE W/AC - 830061 - 0 - 0</v>
      </c>
    </row>
    <row r="4773" spans="1:15" x14ac:dyDescent="0.25">
      <c r="A4773" s="1">
        <v>921694</v>
      </c>
      <c r="B4773" s="1" t="s">
        <v>58</v>
      </c>
      <c r="C4773" s="1" t="s">
        <v>59</v>
      </c>
      <c r="D4773" s="2">
        <v>44683.399262581021</v>
      </c>
      <c r="E4773" s="1" t="s">
        <v>11</v>
      </c>
      <c r="F4773" s="1">
        <v>1</v>
      </c>
      <c r="G4773" s="1">
        <v>0</v>
      </c>
      <c r="H4773" s="6">
        <f>INT(Query1[[#This Row],[EntryDateTime]])</f>
        <v>44683</v>
      </c>
      <c r="I4773" s="1">
        <f>IF(Query1[[#This Row],[ItemType]]="EVAP KIT SF GEN IV",Query1[[#This Row],[OrderQty]]+I4772,I4772)</f>
        <v>5922</v>
      </c>
      <c r="J4773" s="1">
        <f>IF(Query1[[#This Row],[ItemType]]="EVAP KIT UNIVERSAL",Query1[[#This Row],[OrderQty]]+J4772,J4772)</f>
        <v>1902</v>
      </c>
      <c r="K4773" s="1">
        <f>Query1[[#This Row],[SF Running Total]]+Query1[[#This Row],[UNIV Running Total]]</f>
        <v>7824</v>
      </c>
      <c r="L4773">
        <f>VLOOKUP(Query1[[#This Row],[Description]],'kits to boards'!$B$2:$E$156,2,FALSE)</f>
        <v>830088</v>
      </c>
      <c r="M4773">
        <f>VLOOKUP(Query1[[#This Row],[Description]],'kits to boards'!$B$2:$E$156,3,FALSE)</f>
        <v>830099</v>
      </c>
      <c r="N4773">
        <f>VLOOKUP(Query1[[#This Row],[Description]],'kits to boards'!$B$2:$E$156,4,FALSE)</f>
        <v>0</v>
      </c>
      <c r="O4773" t="str">
        <f>CONCATENATE(Query1[[#This Row],[Description]]," - ",Query1[[#This Row],[MB1]]," - ",Query1[[#This Row],[MB2]]," - ",Query1[[#This Row],[MB3]])</f>
        <v>MONSTER TRUNK UNIT COOL - 830088 - 830099 - 0</v>
      </c>
    </row>
    <row r="4774" spans="1:15" x14ac:dyDescent="0.25">
      <c r="A4774" s="1">
        <v>921694</v>
      </c>
      <c r="B4774" s="1" t="s">
        <v>80</v>
      </c>
      <c r="C4774" s="1" t="s">
        <v>81</v>
      </c>
      <c r="D4774" s="2">
        <v>44683.399262581021</v>
      </c>
      <c r="E4774" s="1" t="s">
        <v>11</v>
      </c>
      <c r="F4774" s="1">
        <v>1</v>
      </c>
      <c r="G4774" s="1">
        <v>0</v>
      </c>
      <c r="H4774" s="6">
        <f>INT(Query1[[#This Row],[EntryDateTime]])</f>
        <v>44683</v>
      </c>
      <c r="I4774" s="1">
        <f>IF(Query1[[#This Row],[ItemType]]="EVAP KIT SF GEN IV",Query1[[#This Row],[OrderQty]]+I4773,I4773)</f>
        <v>5922</v>
      </c>
      <c r="J4774" s="1">
        <f>IF(Query1[[#This Row],[ItemType]]="EVAP KIT UNIVERSAL",Query1[[#This Row],[OrderQty]]+J4773,J4773)</f>
        <v>1903</v>
      </c>
      <c r="K4774" s="1">
        <f>Query1[[#This Row],[SF Running Total]]+Query1[[#This Row],[UNIV Running Total]]</f>
        <v>7825</v>
      </c>
      <c r="L4774">
        <f>VLOOKUP(Query1[[#This Row],[Description]],'kits to boards'!$B$2:$E$156,2,FALSE)</f>
        <v>0</v>
      </c>
      <c r="M4774">
        <f>VLOOKUP(Query1[[#This Row],[Description]],'kits to boards'!$B$2:$E$156,3,FALSE)</f>
        <v>0</v>
      </c>
      <c r="N4774">
        <f>VLOOKUP(Query1[[#This Row],[Description]],'kits to boards'!$B$2:$E$156,4,FALSE)</f>
        <v>0</v>
      </c>
      <c r="O4774" t="str">
        <f>CONCATENATE(Query1[[#This Row],[Description]]," - ",Query1[[#This Row],[MB1]]," - ",Query1[[#This Row],[MB2]]," - ",Query1[[#This Row],[MB3]])</f>
        <v>HERITAGE BRUSHED EVAP KIT COOL ONLY - 0 - 0 - 0</v>
      </c>
    </row>
    <row r="4775" spans="1:15" x14ac:dyDescent="0.25">
      <c r="A4775" s="1">
        <v>921950</v>
      </c>
      <c r="B4775" s="1" t="s">
        <v>120</v>
      </c>
      <c r="C4775" s="1" t="s">
        <v>121</v>
      </c>
      <c r="D4775" s="2">
        <v>44683.403883645835</v>
      </c>
      <c r="E4775" s="1" t="s">
        <v>8</v>
      </c>
      <c r="F4775" s="1">
        <v>1</v>
      </c>
      <c r="G4775" s="1">
        <v>0</v>
      </c>
      <c r="H4775" s="6">
        <f>INT(Query1[[#This Row],[EntryDateTime]])</f>
        <v>44683</v>
      </c>
      <c r="I4775" s="1">
        <f>IF(Query1[[#This Row],[ItemType]]="EVAP KIT SF GEN IV",Query1[[#This Row],[OrderQty]]+I4774,I4774)</f>
        <v>5923</v>
      </c>
      <c r="J4775" s="1">
        <f>IF(Query1[[#This Row],[ItemType]]="EVAP KIT UNIVERSAL",Query1[[#This Row],[OrderQty]]+J4774,J4774)</f>
        <v>1903</v>
      </c>
      <c r="K4775" s="1">
        <f>Query1[[#This Row],[SF Running Total]]+Query1[[#This Row],[UNIV Running Total]]</f>
        <v>7826</v>
      </c>
      <c r="L4775">
        <f>VLOOKUP(Query1[[#This Row],[Description]],'kits to boards'!$B$2:$E$156,2,FALSE)</f>
        <v>830014</v>
      </c>
      <c r="M4775">
        <f>VLOOKUP(Query1[[#This Row],[Description]],'kits to boards'!$B$2:$E$156,3,FALSE)</f>
        <v>0</v>
      </c>
      <c r="N4775">
        <f>VLOOKUP(Query1[[#This Row],[Description]],'kits to boards'!$B$2:$E$156,4,FALSE)</f>
        <v>0</v>
      </c>
      <c r="O4775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4776" spans="1:15" x14ac:dyDescent="0.25">
      <c r="A4776" s="1">
        <v>921952</v>
      </c>
      <c r="B4776" s="1" t="s">
        <v>124</v>
      </c>
      <c r="C4776" s="1" t="s">
        <v>125</v>
      </c>
      <c r="D4776" s="2">
        <v>44683.406637650463</v>
      </c>
      <c r="E4776" s="1" t="s">
        <v>8</v>
      </c>
      <c r="F4776" s="1">
        <v>1</v>
      </c>
      <c r="G4776" s="1">
        <v>0</v>
      </c>
      <c r="H4776" s="6">
        <f>INT(Query1[[#This Row],[EntryDateTime]])</f>
        <v>44683</v>
      </c>
      <c r="I4776" s="1">
        <f>IF(Query1[[#This Row],[ItemType]]="EVAP KIT SF GEN IV",Query1[[#This Row],[OrderQty]]+I4775,I4775)</f>
        <v>5924</v>
      </c>
      <c r="J4776" s="1">
        <f>IF(Query1[[#This Row],[ItemType]]="EVAP KIT UNIVERSAL",Query1[[#This Row],[OrderQty]]+J4775,J4775)</f>
        <v>1903</v>
      </c>
      <c r="K4776" s="1">
        <f>Query1[[#This Row],[SF Running Total]]+Query1[[#This Row],[UNIV Running Total]]</f>
        <v>7827</v>
      </c>
      <c r="L4776">
        <f>VLOOKUP(Query1[[#This Row],[Description]],'kits to boards'!$B$2:$E$156,2,FALSE)</f>
        <v>830002</v>
      </c>
      <c r="M4776">
        <f>VLOOKUP(Query1[[#This Row],[Description]],'kits to boards'!$B$2:$E$156,3,FALSE)</f>
        <v>0</v>
      </c>
      <c r="N4776">
        <f>VLOOKUP(Query1[[#This Row],[Description]],'kits to boards'!$B$2:$E$156,4,FALSE)</f>
        <v>0</v>
      </c>
      <c r="O4776" t="str">
        <f>CONCATENATE(Query1[[#This Row],[Description]]," - ",Query1[[#This Row],[MB1]]," - ",Query1[[#This Row],[MB2]]," - ",Query1[[#This Row],[MB3]])</f>
        <v>EVAP KIT 73-80 CHEV P-UP WO AC - 830002 - 0 - 0</v>
      </c>
    </row>
    <row r="4777" spans="1:15" x14ac:dyDescent="0.25">
      <c r="A4777" s="1">
        <v>921961</v>
      </c>
      <c r="B4777" s="1" t="s">
        <v>160</v>
      </c>
      <c r="C4777" s="1" t="s">
        <v>161</v>
      </c>
      <c r="D4777" s="2">
        <v>44683.414861574071</v>
      </c>
      <c r="E4777" s="1" t="s">
        <v>8</v>
      </c>
      <c r="F4777" s="1">
        <v>1</v>
      </c>
      <c r="G4777" s="1">
        <v>0</v>
      </c>
      <c r="H4777" s="6">
        <f>INT(Query1[[#This Row],[EntryDateTime]])</f>
        <v>44683</v>
      </c>
      <c r="I4777" s="1">
        <f>IF(Query1[[#This Row],[ItemType]]="EVAP KIT SF GEN IV",Query1[[#This Row],[OrderQty]]+I4776,I4776)</f>
        <v>5925</v>
      </c>
      <c r="J4777" s="1">
        <f>IF(Query1[[#This Row],[ItemType]]="EVAP KIT UNIVERSAL",Query1[[#This Row],[OrderQty]]+J4776,J4776)</f>
        <v>1903</v>
      </c>
      <c r="K4777" s="1">
        <f>Query1[[#This Row],[SF Running Total]]+Query1[[#This Row],[UNIV Running Total]]</f>
        <v>7828</v>
      </c>
      <c r="L4777">
        <f>VLOOKUP(Query1[[#This Row],[Description]],'kits to boards'!$B$2:$E$156,2,FALSE)</f>
        <v>830083</v>
      </c>
      <c r="M4777">
        <f>VLOOKUP(Query1[[#This Row],[Description]],'kits to boards'!$B$2:$E$156,3,FALSE)</f>
        <v>0</v>
      </c>
      <c r="N4777">
        <f>VLOOKUP(Query1[[#This Row],[Description]],'kits to boards'!$B$2:$E$156,4,FALSE)</f>
        <v>0</v>
      </c>
      <c r="O4777" t="str">
        <f>CONCATENATE(Query1[[#This Row],[Description]]," - ",Query1[[#This Row],[MB1]]," - ",Query1[[#This Row],[MB2]]," - ",Query1[[#This Row],[MB3]])</f>
        <v>EVAP KIT 70-74 CHALNGR/CUDA WO AC - 830083 - 0 - 0</v>
      </c>
    </row>
    <row r="4778" spans="1:15" x14ac:dyDescent="0.25">
      <c r="A4778" s="1">
        <v>921965</v>
      </c>
      <c r="B4778" s="1" t="s">
        <v>182</v>
      </c>
      <c r="C4778" s="1" t="s">
        <v>183</v>
      </c>
      <c r="D4778" s="2">
        <v>44683.417856099535</v>
      </c>
      <c r="E4778" s="1" t="s">
        <v>8</v>
      </c>
      <c r="F4778" s="1">
        <v>1</v>
      </c>
      <c r="G4778" s="1">
        <v>0</v>
      </c>
      <c r="H4778" s="6">
        <f>INT(Query1[[#This Row],[EntryDateTime]])</f>
        <v>44683</v>
      </c>
      <c r="I4778" s="1">
        <f>IF(Query1[[#This Row],[ItemType]]="EVAP KIT SF GEN IV",Query1[[#This Row],[OrderQty]]+I4777,I4777)</f>
        <v>5926</v>
      </c>
      <c r="J4778" s="1">
        <f>IF(Query1[[#This Row],[ItemType]]="EVAP KIT UNIVERSAL",Query1[[#This Row],[OrderQty]]+J4777,J4777)</f>
        <v>1903</v>
      </c>
      <c r="K4778" s="1">
        <f>Query1[[#This Row],[SF Running Total]]+Query1[[#This Row],[UNIV Running Total]]</f>
        <v>7829</v>
      </c>
      <c r="L4778">
        <f>VLOOKUP(Query1[[#This Row],[Description]],'kits to boards'!$B$2:$E$156,2,FALSE)</f>
        <v>830075</v>
      </c>
      <c r="M4778">
        <f>VLOOKUP(Query1[[#This Row],[Description]],'kits to boards'!$B$2:$E$156,3,FALSE)</f>
        <v>0</v>
      </c>
      <c r="N4778">
        <f>VLOOKUP(Query1[[#This Row],[Description]],'kits to boards'!$B$2:$E$156,4,FALSE)</f>
        <v>0</v>
      </c>
      <c r="O4778" t="str">
        <f>CONCATENATE(Query1[[#This Row],[Description]]," - ",Query1[[#This Row],[MB1]]," - ",Query1[[#This Row],[MB2]]," - ",Query1[[#This Row],[MB3]])</f>
        <v>EVAP KIT 69-70 MOPAR B BODY WO AC - 830075 - 0 - 0</v>
      </c>
    </row>
    <row r="4779" spans="1:15" x14ac:dyDescent="0.25">
      <c r="A4779" s="1">
        <v>921967</v>
      </c>
      <c r="B4779" s="1" t="s">
        <v>66</v>
      </c>
      <c r="C4779" s="1" t="s">
        <v>67</v>
      </c>
      <c r="D4779" s="2">
        <v>44683.418316747688</v>
      </c>
      <c r="E4779" s="1" t="s">
        <v>8</v>
      </c>
      <c r="F4779" s="1">
        <v>1</v>
      </c>
      <c r="G4779" s="1">
        <v>0</v>
      </c>
      <c r="H4779" s="6">
        <f>INT(Query1[[#This Row],[EntryDateTime]])</f>
        <v>44683</v>
      </c>
      <c r="I4779" s="1">
        <f>IF(Query1[[#This Row],[ItemType]]="EVAP KIT SF GEN IV",Query1[[#This Row],[OrderQty]]+I4778,I4778)</f>
        <v>5927</v>
      </c>
      <c r="J4779" s="1">
        <f>IF(Query1[[#This Row],[ItemType]]="EVAP KIT UNIVERSAL",Query1[[#This Row],[OrderQty]]+J4778,J4778)</f>
        <v>1903</v>
      </c>
      <c r="K4779" s="1">
        <f>Query1[[#This Row],[SF Running Total]]+Query1[[#This Row],[UNIV Running Total]]</f>
        <v>7830</v>
      </c>
      <c r="L4779">
        <f>VLOOKUP(Query1[[#This Row],[Description]],'kits to boards'!$B$2:$E$156,2,FALSE)</f>
        <v>830060</v>
      </c>
      <c r="M4779">
        <f>VLOOKUP(Query1[[#This Row],[Description]],'kits to boards'!$B$2:$E$156,3,FALSE)</f>
        <v>0</v>
      </c>
      <c r="N4779">
        <f>VLOOKUP(Query1[[#This Row],[Description]],'kits to boards'!$B$2:$E$156,4,FALSE)</f>
        <v>0</v>
      </c>
      <c r="O4779" t="str">
        <f>CONCATENATE(Query1[[#This Row],[Description]]," - ",Query1[[#This Row],[MB1]]," - ",Query1[[#This Row],[MB2]]," - ",Query1[[#This Row],[MB3]])</f>
        <v>EVAP KIT 66-67 CHEVELLE WO AC - 830060 - 0 - 0</v>
      </c>
    </row>
    <row r="4780" spans="1:15" x14ac:dyDescent="0.25">
      <c r="A4780" s="1">
        <v>921968</v>
      </c>
      <c r="B4780" s="1" t="s">
        <v>34</v>
      </c>
      <c r="C4780" s="1" t="s">
        <v>35</v>
      </c>
      <c r="D4780" s="2">
        <v>44683.420028321758</v>
      </c>
      <c r="E4780" s="1" t="s">
        <v>8</v>
      </c>
      <c r="F4780" s="1">
        <v>1</v>
      </c>
      <c r="G4780" s="1">
        <v>0</v>
      </c>
      <c r="H4780" s="6">
        <f>INT(Query1[[#This Row],[EntryDateTime]])</f>
        <v>44683</v>
      </c>
      <c r="I4780" s="1">
        <f>IF(Query1[[#This Row],[ItemType]]="EVAP KIT SF GEN IV",Query1[[#This Row],[OrderQty]]+I4779,I4779)</f>
        <v>5928</v>
      </c>
      <c r="J4780" s="1">
        <f>IF(Query1[[#This Row],[ItemType]]="EVAP KIT UNIVERSAL",Query1[[#This Row],[OrderQty]]+J4779,J4779)</f>
        <v>1903</v>
      </c>
      <c r="K4780" s="1">
        <f>Query1[[#This Row],[SF Running Total]]+Query1[[#This Row],[UNIV Running Total]]</f>
        <v>7831</v>
      </c>
      <c r="L4780">
        <f>VLOOKUP(Query1[[#This Row],[Description]],'kits to boards'!$B$2:$E$156,2,FALSE)</f>
        <v>830065</v>
      </c>
      <c r="M4780">
        <f>VLOOKUP(Query1[[#This Row],[Description]],'kits to boards'!$B$2:$E$156,3,FALSE)</f>
        <v>0</v>
      </c>
      <c r="N4780">
        <f>VLOOKUP(Query1[[#This Row],[Description]],'kits to boards'!$B$2:$E$156,4,FALSE)</f>
        <v>0</v>
      </c>
      <c r="O4780" t="str">
        <f>CONCATENATE(Query1[[#This Row],[Description]]," - ",Query1[[#This Row],[MB1]]," - ",Query1[[#This Row],[MB2]]," - ",Query1[[#This Row],[MB3]])</f>
        <v>EVAP KIT 57 CHEV WO AC - 830065 - 0 - 0</v>
      </c>
    </row>
    <row r="4781" spans="1:15" x14ac:dyDescent="0.25">
      <c r="A4781" s="1">
        <v>921972</v>
      </c>
      <c r="B4781" s="1" t="s">
        <v>152</v>
      </c>
      <c r="C4781" s="1" t="s">
        <v>153</v>
      </c>
      <c r="D4781" s="2">
        <v>44683.422532638891</v>
      </c>
      <c r="E4781" s="1" t="s">
        <v>8</v>
      </c>
      <c r="F4781" s="1">
        <v>1</v>
      </c>
      <c r="G4781" s="1">
        <v>0</v>
      </c>
      <c r="H4781" s="6">
        <f>INT(Query1[[#This Row],[EntryDateTime]])</f>
        <v>44683</v>
      </c>
      <c r="I4781" s="1">
        <f>IF(Query1[[#This Row],[ItemType]]="EVAP KIT SF GEN IV",Query1[[#This Row],[OrderQty]]+I4780,I4780)</f>
        <v>5929</v>
      </c>
      <c r="J4781" s="1">
        <f>IF(Query1[[#This Row],[ItemType]]="EVAP KIT UNIVERSAL",Query1[[#This Row],[OrderQty]]+J4780,J4780)</f>
        <v>1903</v>
      </c>
      <c r="K4781" s="1">
        <f>Query1[[#This Row],[SF Running Total]]+Query1[[#This Row],[UNIV Running Total]]</f>
        <v>7832</v>
      </c>
      <c r="L4781">
        <f>VLOOKUP(Query1[[#This Row],[Description]],'kits to boards'!$B$2:$E$156,2,FALSE)</f>
        <v>830034</v>
      </c>
      <c r="M4781">
        <f>VLOOKUP(Query1[[#This Row],[Description]],'kits to boards'!$B$2:$E$156,3,FALSE)</f>
        <v>0</v>
      </c>
      <c r="N4781">
        <f>VLOOKUP(Query1[[#This Row],[Description]],'kits to boards'!$B$2:$E$156,4,FALSE)</f>
        <v>0</v>
      </c>
      <c r="O4781" t="str">
        <f>CONCATENATE(Query1[[#This Row],[Description]]," - ",Query1[[#This Row],[MB1]]," - ",Query1[[#This Row],[MB2]]," - ",Query1[[#This Row],[MB3]])</f>
        <v>EVAP KIT 64-67 GTO WO AC - 830034 - 0 - 0</v>
      </c>
    </row>
    <row r="4782" spans="1:15" x14ac:dyDescent="0.25">
      <c r="A4782" s="1">
        <v>921955</v>
      </c>
      <c r="B4782" s="1" t="s">
        <v>273</v>
      </c>
      <c r="C4782" s="1" t="s">
        <v>274</v>
      </c>
      <c r="D4782" s="2">
        <v>44683.42501550926</v>
      </c>
      <c r="E4782" s="1" t="s">
        <v>8</v>
      </c>
      <c r="F4782" s="1">
        <v>1</v>
      </c>
      <c r="G4782" s="1">
        <v>0</v>
      </c>
      <c r="H4782" s="6">
        <f>INT(Query1[[#This Row],[EntryDateTime]])</f>
        <v>44683</v>
      </c>
      <c r="I4782" s="1">
        <f>IF(Query1[[#This Row],[ItemType]]="EVAP KIT SF GEN IV",Query1[[#This Row],[OrderQty]]+I4781,I4781)</f>
        <v>5930</v>
      </c>
      <c r="J4782" s="1">
        <f>IF(Query1[[#This Row],[ItemType]]="EVAP KIT UNIVERSAL",Query1[[#This Row],[OrderQty]]+J4781,J4781)</f>
        <v>1903</v>
      </c>
      <c r="K4782" s="1">
        <f>Query1[[#This Row],[SF Running Total]]+Query1[[#This Row],[UNIV Running Total]]</f>
        <v>7833</v>
      </c>
      <c r="L4782">
        <f>VLOOKUP(Query1[[#This Row],[Description]],'kits to boards'!$B$2:$E$156,2,FALSE)</f>
        <v>830056</v>
      </c>
      <c r="M4782">
        <f>VLOOKUP(Query1[[#This Row],[Description]],'kits to boards'!$B$2:$E$156,3,FALSE)</f>
        <v>0</v>
      </c>
      <c r="N4782">
        <f>VLOOKUP(Query1[[#This Row],[Description]],'kits to boards'!$B$2:$E$156,4,FALSE)</f>
        <v>0</v>
      </c>
      <c r="O4782" t="str">
        <f>CONCATENATE(Query1[[#This Row],[Description]]," - ",Query1[[#This Row],[MB1]]," - ",Query1[[#This Row],[MB2]]," - ",Query1[[#This Row],[MB3]])</f>
        <v>EVAP KIT 64-65 CHEVELLE W/AC - 830056 - 0 - 0</v>
      </c>
    </row>
    <row r="4783" spans="1:15" x14ac:dyDescent="0.25">
      <c r="A4783" s="1">
        <v>921975</v>
      </c>
      <c r="B4783" s="1" t="s">
        <v>52</v>
      </c>
      <c r="C4783" s="1" t="s">
        <v>53</v>
      </c>
      <c r="D4783" s="2">
        <v>44683.425983020832</v>
      </c>
      <c r="E4783" s="1" t="s">
        <v>8</v>
      </c>
      <c r="F4783" s="1">
        <v>1</v>
      </c>
      <c r="G4783" s="1">
        <v>0</v>
      </c>
      <c r="H4783" s="6">
        <f>INT(Query1[[#This Row],[EntryDateTime]])</f>
        <v>44683</v>
      </c>
      <c r="I4783" s="1">
        <f>IF(Query1[[#This Row],[ItemType]]="EVAP KIT SF GEN IV",Query1[[#This Row],[OrderQty]]+I4782,I4782)</f>
        <v>5931</v>
      </c>
      <c r="J4783" s="1">
        <f>IF(Query1[[#This Row],[ItemType]]="EVAP KIT UNIVERSAL",Query1[[#This Row],[OrderQty]]+J4782,J4782)</f>
        <v>1903</v>
      </c>
      <c r="K4783" s="1">
        <f>Query1[[#This Row],[SF Running Total]]+Query1[[#This Row],[UNIV Running Total]]</f>
        <v>7834</v>
      </c>
      <c r="L4783">
        <f>VLOOKUP(Query1[[#This Row],[Description]],'kits to boards'!$B$2:$E$156,2,FALSE)</f>
        <v>830017</v>
      </c>
      <c r="M4783">
        <f>VLOOKUP(Query1[[#This Row],[Description]],'kits to boards'!$B$2:$E$156,3,FALSE)</f>
        <v>830119</v>
      </c>
      <c r="N4783">
        <f>VLOOKUP(Query1[[#This Row],[Description]],'kits to boards'!$B$2:$E$156,4,FALSE)</f>
        <v>830120</v>
      </c>
      <c r="O4783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4784" spans="1:15" x14ac:dyDescent="0.25">
      <c r="A4784" s="1">
        <v>921976</v>
      </c>
      <c r="B4784" s="1" t="s">
        <v>204</v>
      </c>
      <c r="C4784" s="1" t="s">
        <v>205</v>
      </c>
      <c r="D4784" s="2">
        <v>44683.428203506941</v>
      </c>
      <c r="E4784" s="1" t="s">
        <v>8</v>
      </c>
      <c r="F4784" s="1">
        <v>1</v>
      </c>
      <c r="G4784" s="1">
        <v>0</v>
      </c>
      <c r="H4784" s="6">
        <f>INT(Query1[[#This Row],[EntryDateTime]])</f>
        <v>44683</v>
      </c>
      <c r="I4784" s="1">
        <f>IF(Query1[[#This Row],[ItemType]]="EVAP KIT SF GEN IV",Query1[[#This Row],[OrderQty]]+I4783,I4783)</f>
        <v>5932</v>
      </c>
      <c r="J4784" s="1">
        <f>IF(Query1[[#This Row],[ItemType]]="EVAP KIT UNIVERSAL",Query1[[#This Row],[OrderQty]]+J4783,J4783)</f>
        <v>1903</v>
      </c>
      <c r="K4784" s="1">
        <f>Query1[[#This Row],[SF Running Total]]+Query1[[#This Row],[UNIV Running Total]]</f>
        <v>7835</v>
      </c>
      <c r="L4784">
        <f>VLOOKUP(Query1[[#This Row],[Description]],'kits to boards'!$B$2:$E$156,2,FALSE)</f>
        <v>830108</v>
      </c>
      <c r="M4784">
        <f>VLOOKUP(Query1[[#This Row],[Description]],'kits to boards'!$B$2:$E$156,3,FALSE)</f>
        <v>0</v>
      </c>
      <c r="N4784">
        <f>VLOOKUP(Query1[[#This Row],[Description]],'kits to boards'!$B$2:$E$156,4,FALSE)</f>
        <v>0</v>
      </c>
      <c r="O4784" t="str">
        <f>CONCATENATE(Query1[[#This Row],[Description]]," - ",Query1[[#This Row],[MB1]]," - ",Query1[[#This Row],[MB2]]," - ",Query1[[#This Row],[MB3]])</f>
        <v>EVAP KIT 79-81 CAMARO WO AC  - 830108 - 0 - 0</v>
      </c>
    </row>
    <row r="4785" spans="1:15" x14ac:dyDescent="0.25">
      <c r="A4785" s="1">
        <v>921980</v>
      </c>
      <c r="B4785" s="1" t="s">
        <v>20</v>
      </c>
      <c r="C4785" s="1" t="s">
        <v>21</v>
      </c>
      <c r="D4785" s="2">
        <v>44683.43098232639</v>
      </c>
      <c r="E4785" s="1" t="s">
        <v>11</v>
      </c>
      <c r="F4785" s="1">
        <v>1</v>
      </c>
      <c r="G4785" s="1">
        <v>0</v>
      </c>
      <c r="H4785" s="6">
        <f>INT(Query1[[#This Row],[EntryDateTime]])</f>
        <v>44683</v>
      </c>
      <c r="I4785" s="1">
        <f>IF(Query1[[#This Row],[ItemType]]="EVAP KIT SF GEN IV",Query1[[#This Row],[OrderQty]]+I4784,I4784)</f>
        <v>5932</v>
      </c>
      <c r="J4785" s="1">
        <f>IF(Query1[[#This Row],[ItemType]]="EVAP KIT UNIVERSAL",Query1[[#This Row],[OrderQty]]+J4784,J4784)</f>
        <v>1904</v>
      </c>
      <c r="K4785" s="1">
        <f>Query1[[#This Row],[SF Running Total]]+Query1[[#This Row],[UNIV Running Total]]</f>
        <v>7836</v>
      </c>
      <c r="L4785">
        <f>VLOOKUP(Query1[[#This Row],[Description]],'kits to boards'!$B$2:$E$156,2,FALSE)</f>
        <v>830102</v>
      </c>
      <c r="M4785">
        <f>VLOOKUP(Query1[[#This Row],[Description]],'kits to boards'!$B$2:$E$156,3,FALSE)</f>
        <v>0</v>
      </c>
      <c r="N4785">
        <f>VLOOKUP(Query1[[#This Row],[Description]],'kits to boards'!$B$2:$E$156,4,FALSE)</f>
        <v>0</v>
      </c>
      <c r="O4785" t="str">
        <f>CONCATENATE(Query1[[#This Row],[Description]]," - ",Query1[[#This Row],[MB1]]," - ",Query1[[#This Row],[MB2]]," - ",Query1[[#This Row],[MB3]])</f>
        <v>SUPER GEN II W/DEF - 830102 - 0 - 0</v>
      </c>
    </row>
    <row r="4786" spans="1:15" x14ac:dyDescent="0.25">
      <c r="A4786" s="1">
        <v>921981</v>
      </c>
      <c r="B4786" s="1" t="s">
        <v>194</v>
      </c>
      <c r="C4786" s="1" t="s">
        <v>195</v>
      </c>
      <c r="D4786" s="2">
        <v>44683.432473692126</v>
      </c>
      <c r="E4786" s="1" t="s">
        <v>8</v>
      </c>
      <c r="F4786" s="1">
        <v>1</v>
      </c>
      <c r="G4786" s="1">
        <v>0</v>
      </c>
      <c r="H4786" s="6">
        <f>INT(Query1[[#This Row],[EntryDateTime]])</f>
        <v>44683</v>
      </c>
      <c r="I4786" s="1">
        <f>IF(Query1[[#This Row],[ItemType]]="EVAP KIT SF GEN IV",Query1[[#This Row],[OrderQty]]+I4785,I4785)</f>
        <v>5933</v>
      </c>
      <c r="J4786" s="1">
        <f>IF(Query1[[#This Row],[ItemType]]="EVAP KIT UNIVERSAL",Query1[[#This Row],[OrderQty]]+J4785,J4785)</f>
        <v>1904</v>
      </c>
      <c r="K4786" s="1">
        <f>Query1[[#This Row],[SF Running Total]]+Query1[[#This Row],[UNIV Running Total]]</f>
        <v>7837</v>
      </c>
      <c r="L4786">
        <f>VLOOKUP(Query1[[#This Row],[Description]],'kits to boards'!$B$2:$E$156,2,FALSE)</f>
        <v>830103</v>
      </c>
      <c r="M4786">
        <f>VLOOKUP(Query1[[#This Row],[Description]],'kits to boards'!$B$2:$E$156,3,FALSE)</f>
        <v>0</v>
      </c>
      <c r="N4786">
        <f>VLOOKUP(Query1[[#This Row],[Description]],'kits to boards'!$B$2:$E$156,4,FALSE)</f>
        <v>0</v>
      </c>
      <c r="O4786" t="str">
        <f>CONCATENATE(Query1[[#This Row],[Description]]," - ",Query1[[#This Row],[MB1]]," - ",Query1[[#This Row],[MB2]]," - ",Query1[[#This Row],[MB3]])</f>
        <v>EVAP KIT 78-82 VETTE W/AC - 830103 - 0 - 0</v>
      </c>
    </row>
    <row r="4787" spans="1:15" x14ac:dyDescent="0.25">
      <c r="A4787" s="1">
        <v>921985</v>
      </c>
      <c r="B4787" s="1" t="s">
        <v>90</v>
      </c>
      <c r="C4787" s="1" t="s">
        <v>91</v>
      </c>
      <c r="D4787" s="2">
        <v>44683.437092627311</v>
      </c>
      <c r="E4787" s="1" t="s">
        <v>8</v>
      </c>
      <c r="F4787" s="1">
        <v>1</v>
      </c>
      <c r="G4787" s="1">
        <v>0</v>
      </c>
      <c r="H4787" s="6">
        <f>INT(Query1[[#This Row],[EntryDateTime]])</f>
        <v>44683</v>
      </c>
      <c r="I4787" s="1">
        <f>IF(Query1[[#This Row],[ItemType]]="EVAP KIT SF GEN IV",Query1[[#This Row],[OrderQty]]+I4786,I4786)</f>
        <v>5934</v>
      </c>
      <c r="J4787" s="1">
        <f>IF(Query1[[#This Row],[ItemType]]="EVAP KIT UNIVERSAL",Query1[[#This Row],[OrderQty]]+J4786,J4786)</f>
        <v>1904</v>
      </c>
      <c r="K4787" s="1">
        <f>Query1[[#This Row],[SF Running Total]]+Query1[[#This Row],[UNIV Running Total]]</f>
        <v>7838</v>
      </c>
      <c r="L4787">
        <f>VLOOKUP(Query1[[#This Row],[Description]],'kits to boards'!$B$2:$E$156,2,FALSE)</f>
        <v>830105</v>
      </c>
      <c r="M4787">
        <f>VLOOKUP(Query1[[#This Row],[Description]],'kits to boards'!$B$2:$E$156,3,FALSE)</f>
        <v>830106</v>
      </c>
      <c r="N4787">
        <f>VLOOKUP(Query1[[#This Row],[Description]],'kits to boards'!$B$2:$E$156,4,FALSE)</f>
        <v>0</v>
      </c>
      <c r="O4787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4788" spans="1:15" x14ac:dyDescent="0.25">
      <c r="A4788" s="1">
        <v>921610</v>
      </c>
      <c r="B4788" s="1" t="s">
        <v>42</v>
      </c>
      <c r="C4788" s="1" t="s">
        <v>43</v>
      </c>
      <c r="D4788" s="2">
        <v>44683.438602314818</v>
      </c>
      <c r="E4788" s="1" t="s">
        <v>8</v>
      </c>
      <c r="F4788" s="1">
        <v>1</v>
      </c>
      <c r="G4788" s="1">
        <v>0</v>
      </c>
      <c r="H4788" s="6">
        <f>INT(Query1[[#This Row],[EntryDateTime]])</f>
        <v>44683</v>
      </c>
      <c r="I4788" s="1">
        <f>IF(Query1[[#This Row],[ItemType]]="EVAP KIT SF GEN IV",Query1[[#This Row],[OrderQty]]+I4787,I4787)</f>
        <v>5935</v>
      </c>
      <c r="J4788" s="1">
        <f>IF(Query1[[#This Row],[ItemType]]="EVAP KIT UNIVERSAL",Query1[[#This Row],[OrderQty]]+J4787,J4787)</f>
        <v>1904</v>
      </c>
      <c r="K4788" s="1">
        <f>Query1[[#This Row],[SF Running Total]]+Query1[[#This Row],[UNIV Running Total]]</f>
        <v>7839</v>
      </c>
      <c r="L4788">
        <f>VLOOKUP(Query1[[#This Row],[Description]],'kits to boards'!$B$2:$E$156,2,FALSE)</f>
        <v>830014</v>
      </c>
      <c r="M4788">
        <f>VLOOKUP(Query1[[#This Row],[Description]],'kits to boards'!$B$2:$E$156,3,FALSE)</f>
        <v>0</v>
      </c>
      <c r="N4788">
        <f>VLOOKUP(Query1[[#This Row],[Description]],'kits to boards'!$B$2:$E$156,4,FALSE)</f>
        <v>0</v>
      </c>
      <c r="O4788" t="str">
        <f>CONCATENATE(Query1[[#This Row],[Description]]," - ",Query1[[#This Row],[MB1]]," - ",Query1[[#This Row],[MB2]]," - ",Query1[[#This Row],[MB3]])</f>
        <v>EVAP KIT 67-72 CHEV P-UP WO AC - 830014 - 0 - 0</v>
      </c>
    </row>
    <row r="4789" spans="1:15" x14ac:dyDescent="0.25">
      <c r="A4789" s="1">
        <v>922004</v>
      </c>
      <c r="B4789" s="1" t="s">
        <v>28</v>
      </c>
      <c r="C4789" s="1" t="s">
        <v>29</v>
      </c>
      <c r="D4789" s="2">
        <v>44683.499911608793</v>
      </c>
      <c r="E4789" s="1" t="s">
        <v>8</v>
      </c>
      <c r="F4789" s="1">
        <v>1</v>
      </c>
      <c r="G4789" s="1">
        <v>0</v>
      </c>
      <c r="H4789" s="6">
        <f>INT(Query1[[#This Row],[EntryDateTime]])</f>
        <v>44683</v>
      </c>
      <c r="I4789" s="1">
        <f>IF(Query1[[#This Row],[ItemType]]="EVAP KIT SF GEN IV",Query1[[#This Row],[OrderQty]]+I4788,I4788)</f>
        <v>5936</v>
      </c>
      <c r="J4789" s="1">
        <f>IF(Query1[[#This Row],[ItemType]]="EVAP KIT UNIVERSAL",Query1[[#This Row],[OrderQty]]+J4788,J4788)</f>
        <v>1904</v>
      </c>
      <c r="K4789" s="1">
        <f>Query1[[#This Row],[SF Running Total]]+Query1[[#This Row],[UNIV Running Total]]</f>
        <v>7840</v>
      </c>
      <c r="L4789">
        <f>VLOOKUP(Query1[[#This Row],[Description]],'kits to boards'!$B$2:$E$156,2,FALSE)</f>
        <v>830001</v>
      </c>
      <c r="M4789">
        <f>VLOOKUP(Query1[[#This Row],[Description]],'kits to boards'!$B$2:$E$156,3,FALSE)</f>
        <v>0</v>
      </c>
      <c r="N4789">
        <f>VLOOKUP(Query1[[#This Row],[Description]],'kits to boards'!$B$2:$E$156,4,FALSE)</f>
        <v>0</v>
      </c>
      <c r="O4789" t="str">
        <f>CONCATENATE(Query1[[#This Row],[Description]]," - ",Query1[[#This Row],[MB1]]," - ",Query1[[#This Row],[MB2]]," - ",Query1[[#This Row],[MB3]])</f>
        <v>EVAP KIT 73-80 CHEV P-UP W/AC - 830001 - 0 - 0</v>
      </c>
    </row>
    <row r="4790" spans="1:15" x14ac:dyDescent="0.25">
      <c r="A4790" s="1">
        <v>920415</v>
      </c>
      <c r="B4790" s="1" t="s">
        <v>294</v>
      </c>
      <c r="C4790" s="1" t="s">
        <v>295</v>
      </c>
      <c r="D4790" s="2">
        <v>44683.502153240741</v>
      </c>
      <c r="E4790" s="1" t="s">
        <v>8</v>
      </c>
      <c r="F4790" s="1">
        <v>1</v>
      </c>
      <c r="G4790" s="1">
        <v>0</v>
      </c>
      <c r="H4790" s="6">
        <f>INT(Query1[[#This Row],[EntryDateTime]])</f>
        <v>44683</v>
      </c>
      <c r="I4790" s="1">
        <f>IF(Query1[[#This Row],[ItemType]]="EVAP KIT SF GEN IV",Query1[[#This Row],[OrderQty]]+I4789,I4789)</f>
        <v>5937</v>
      </c>
      <c r="J4790" s="1">
        <f>IF(Query1[[#This Row],[ItemType]]="EVAP KIT UNIVERSAL",Query1[[#This Row],[OrderQty]]+J4789,J4789)</f>
        <v>1904</v>
      </c>
      <c r="K4790" s="1">
        <f>Query1[[#This Row],[SF Running Total]]+Query1[[#This Row],[UNIV Running Total]]</f>
        <v>7841</v>
      </c>
      <c r="L4790">
        <f>VLOOKUP(Query1[[#This Row],[Description]],'kits to boards'!$B$2:$E$156,2,FALSE)</f>
        <v>830006</v>
      </c>
      <c r="M4790">
        <f>VLOOKUP(Query1[[#This Row],[Description]],'kits to boards'!$B$2:$E$156,3,FALSE)</f>
        <v>0</v>
      </c>
      <c r="N4790">
        <f>VLOOKUP(Query1[[#This Row],[Description]],'kits to boards'!$B$2:$E$156,4,FALSE)</f>
        <v>0</v>
      </c>
      <c r="O4790" t="str">
        <f>CONCATENATE(Query1[[#This Row],[Description]]," - ",Query1[[#This Row],[MB1]]," - ",Query1[[#This Row],[MB2]]," - ",Query1[[#This Row],[MB3]])</f>
        <v>EVAP KIT 61-62 IMPALA W/AC - 830006 - 0 - 0</v>
      </c>
    </row>
    <row r="4791" spans="1:15" x14ac:dyDescent="0.25">
      <c r="A4791" s="1">
        <v>922006</v>
      </c>
      <c r="B4791" s="1" t="s">
        <v>88</v>
      </c>
      <c r="C4791" s="1" t="s">
        <v>89</v>
      </c>
      <c r="D4791" s="2">
        <v>44683.502245023148</v>
      </c>
      <c r="E4791" s="1" t="s">
        <v>8</v>
      </c>
      <c r="F4791" s="1">
        <v>1</v>
      </c>
      <c r="G4791" s="1">
        <v>0</v>
      </c>
      <c r="H4791" s="6">
        <f>INT(Query1[[#This Row],[EntryDateTime]])</f>
        <v>44683</v>
      </c>
      <c r="I4791" s="1">
        <f>IF(Query1[[#This Row],[ItemType]]="EVAP KIT SF GEN IV",Query1[[#This Row],[OrderQty]]+I4790,I4790)</f>
        <v>5938</v>
      </c>
      <c r="J4791" s="1">
        <f>IF(Query1[[#This Row],[ItemType]]="EVAP KIT UNIVERSAL",Query1[[#This Row],[OrderQty]]+J4790,J4790)</f>
        <v>1904</v>
      </c>
      <c r="K4791" s="1">
        <f>Query1[[#This Row],[SF Running Total]]+Query1[[#This Row],[UNIV Running Total]]</f>
        <v>7842</v>
      </c>
      <c r="L4791">
        <f>VLOOKUP(Query1[[#This Row],[Description]],'kits to boards'!$B$2:$E$156,2,FALSE)</f>
        <v>830003</v>
      </c>
      <c r="M4791">
        <f>VLOOKUP(Query1[[#This Row],[Description]],'kits to boards'!$B$2:$E$156,3,FALSE)</f>
        <v>0</v>
      </c>
      <c r="N4791">
        <f>VLOOKUP(Query1[[#This Row],[Description]],'kits to boards'!$B$2:$E$156,4,FALSE)</f>
        <v>0</v>
      </c>
      <c r="O4791" t="str">
        <f>CONCATENATE(Query1[[#This Row],[Description]]," - ",Query1[[#This Row],[MB1]]," - ",Query1[[#This Row],[MB2]]," - ",Query1[[#This Row],[MB3]])</f>
        <v>EVAP KIT 81-87 CHEV P-UP WO AC - 830003 - 0 - 0</v>
      </c>
    </row>
    <row r="4792" spans="1:15" x14ac:dyDescent="0.25">
      <c r="A4792" s="1">
        <v>921587</v>
      </c>
      <c r="B4792" s="1" t="s">
        <v>24</v>
      </c>
      <c r="C4792" s="1" t="s">
        <v>25</v>
      </c>
      <c r="D4792" s="2">
        <v>44683.503866284722</v>
      </c>
      <c r="E4792" s="1" t="s">
        <v>11</v>
      </c>
      <c r="F4792" s="1">
        <v>1</v>
      </c>
      <c r="G4792" s="1">
        <v>0</v>
      </c>
      <c r="H4792" s="6">
        <f>INT(Query1[[#This Row],[EntryDateTime]])</f>
        <v>44683</v>
      </c>
      <c r="I4792" s="1">
        <f>IF(Query1[[#This Row],[ItemType]]="EVAP KIT SF GEN IV",Query1[[#This Row],[OrderQty]]+I4791,I4791)</f>
        <v>5938</v>
      </c>
      <c r="J4792" s="1">
        <f>IF(Query1[[#This Row],[ItemType]]="EVAP KIT UNIVERSAL",Query1[[#This Row],[OrderQty]]+J4791,J4791)</f>
        <v>1905</v>
      </c>
      <c r="K4792" s="1">
        <f>Query1[[#This Row],[SF Running Total]]+Query1[[#This Row],[UNIV Running Total]]</f>
        <v>7843</v>
      </c>
      <c r="L4792">
        <f>VLOOKUP(Query1[[#This Row],[Description]],'kits to boards'!$B$2:$E$156,2,FALSE)</f>
        <v>830029</v>
      </c>
      <c r="M4792">
        <f>VLOOKUP(Query1[[#This Row],[Description]],'kits to boards'!$B$2:$E$156,3,FALSE)</f>
        <v>830030</v>
      </c>
      <c r="N4792">
        <f>VLOOKUP(Query1[[#This Row],[Description]],'kits to boards'!$B$2:$E$156,4,FALSE)</f>
        <v>0</v>
      </c>
      <c r="O4792" t="str">
        <f>CONCATENATE(Query1[[#This Row],[Description]]," - ",Query1[[#This Row],[MB1]]," - ",Query1[[#This Row],[MB2]]," - ",Query1[[#This Row],[MB3]])</f>
        <v>ComPac GEN II W/DEF - 830029 - 830030 - 0</v>
      </c>
    </row>
    <row r="4793" spans="1:15" x14ac:dyDescent="0.25">
      <c r="A4793" s="1">
        <v>922013</v>
      </c>
      <c r="B4793" s="1" t="s">
        <v>96</v>
      </c>
      <c r="C4793" s="1" t="s">
        <v>97</v>
      </c>
      <c r="D4793" s="2">
        <v>44683.52391866898</v>
      </c>
      <c r="E4793" s="1" t="s">
        <v>8</v>
      </c>
      <c r="F4793" s="1">
        <v>1</v>
      </c>
      <c r="G4793" s="1">
        <v>0</v>
      </c>
      <c r="H4793" s="6">
        <f>INT(Query1[[#This Row],[EntryDateTime]])</f>
        <v>44683</v>
      </c>
      <c r="I4793" s="1">
        <f>IF(Query1[[#This Row],[ItemType]]="EVAP KIT SF GEN IV",Query1[[#This Row],[OrderQty]]+I4792,I4792)</f>
        <v>5939</v>
      </c>
      <c r="J4793" s="1">
        <f>IF(Query1[[#This Row],[ItemType]]="EVAP KIT UNIVERSAL",Query1[[#This Row],[OrderQty]]+J4792,J4792)</f>
        <v>1905</v>
      </c>
      <c r="K4793" s="1">
        <f>Query1[[#This Row],[SF Running Total]]+Query1[[#This Row],[UNIV Running Total]]</f>
        <v>7844</v>
      </c>
      <c r="L4793">
        <f>VLOOKUP(Query1[[#This Row],[Description]],'kits to boards'!$B$2:$E$156,2,FALSE)</f>
        <v>830004</v>
      </c>
      <c r="M4793">
        <f>VLOOKUP(Query1[[#This Row],[Description]],'kits to boards'!$B$2:$E$156,3,FALSE)</f>
        <v>0</v>
      </c>
      <c r="N4793">
        <f>VLOOKUP(Query1[[#This Row],[Description]],'kits to boards'!$B$2:$E$156,4,FALSE)</f>
        <v>0</v>
      </c>
      <c r="O4793" t="str">
        <f>CONCATENATE(Query1[[#This Row],[Description]]," - ",Query1[[#This Row],[MB1]]," - ",Query1[[#This Row],[MB2]]," - ",Query1[[#This Row],[MB3]])</f>
        <v>EVAP KIT 81-87 CHEV P-UP W/AC - 830004 - 0 - 0</v>
      </c>
    </row>
    <row r="4794" spans="1:15" x14ac:dyDescent="0.25">
      <c r="A4794" s="1">
        <v>921388</v>
      </c>
      <c r="B4794" s="1" t="s">
        <v>68</v>
      </c>
      <c r="C4794" s="1" t="s">
        <v>69</v>
      </c>
      <c r="D4794" s="2">
        <v>44683.541104398151</v>
      </c>
      <c r="E4794" s="1" t="s">
        <v>8</v>
      </c>
      <c r="F4794" s="1">
        <v>1</v>
      </c>
      <c r="G4794" s="1">
        <v>0</v>
      </c>
      <c r="H4794" s="6">
        <f>INT(Query1[[#This Row],[EntryDateTime]])</f>
        <v>44683</v>
      </c>
      <c r="I4794" s="1">
        <f>IF(Query1[[#This Row],[ItemType]]="EVAP KIT SF GEN IV",Query1[[#This Row],[OrderQty]]+I4793,I4793)</f>
        <v>5940</v>
      </c>
      <c r="J4794" s="1">
        <f>IF(Query1[[#This Row],[ItemType]]="EVAP KIT UNIVERSAL",Query1[[#This Row],[OrderQty]]+J4793,J4793)</f>
        <v>1905</v>
      </c>
      <c r="K4794" s="1">
        <f>Query1[[#This Row],[SF Running Total]]+Query1[[#This Row],[UNIV Running Total]]</f>
        <v>7845</v>
      </c>
      <c r="L4794">
        <f>VLOOKUP(Query1[[#This Row],[Description]],'kits to boards'!$B$2:$E$156,2,FALSE)</f>
        <v>830010</v>
      </c>
      <c r="M4794">
        <f>VLOOKUP(Query1[[#This Row],[Description]],'kits to boards'!$B$2:$E$156,3,FALSE)</f>
        <v>0</v>
      </c>
      <c r="N4794">
        <f>VLOOKUP(Query1[[#This Row],[Description]],'kits to boards'!$B$2:$E$156,4,FALSE)</f>
        <v>0</v>
      </c>
      <c r="O4794" t="str">
        <f>CONCATENATE(Query1[[#This Row],[Description]]," - ",Query1[[#This Row],[MB1]]," - ",Query1[[#This Row],[MB2]]," - ",Query1[[#This Row],[MB3]])</f>
        <v>EVAP KIT 70-72 CHEVELLE WO AC - 830010 - 0 - 0</v>
      </c>
    </row>
    <row r="4795" spans="1:15" x14ac:dyDescent="0.25">
      <c r="A4795" s="1">
        <v>922022</v>
      </c>
      <c r="B4795" s="1" t="s">
        <v>52</v>
      </c>
      <c r="C4795" s="1" t="s">
        <v>53</v>
      </c>
      <c r="D4795" s="2">
        <v>44683.542081863423</v>
      </c>
      <c r="E4795" s="1" t="s">
        <v>8</v>
      </c>
      <c r="F4795" s="1">
        <v>1</v>
      </c>
      <c r="G4795" s="1">
        <v>0</v>
      </c>
      <c r="H4795" s="6">
        <f>INT(Query1[[#This Row],[EntryDateTime]])</f>
        <v>44683</v>
      </c>
      <c r="I4795" s="1">
        <f>IF(Query1[[#This Row],[ItemType]]="EVAP KIT SF GEN IV",Query1[[#This Row],[OrderQty]]+I4794,I4794)</f>
        <v>5941</v>
      </c>
      <c r="J4795" s="1">
        <f>IF(Query1[[#This Row],[ItemType]]="EVAP KIT UNIVERSAL",Query1[[#This Row],[OrderQty]]+J4794,J4794)</f>
        <v>1905</v>
      </c>
      <c r="K4795" s="1">
        <f>Query1[[#This Row],[SF Running Total]]+Query1[[#This Row],[UNIV Running Total]]</f>
        <v>7846</v>
      </c>
      <c r="L4795">
        <f>VLOOKUP(Query1[[#This Row],[Description]],'kits to boards'!$B$2:$E$156,2,FALSE)</f>
        <v>830017</v>
      </c>
      <c r="M4795">
        <f>VLOOKUP(Query1[[#This Row],[Description]],'kits to boards'!$B$2:$E$156,3,FALSE)</f>
        <v>830119</v>
      </c>
      <c r="N4795">
        <f>VLOOKUP(Query1[[#This Row],[Description]],'kits to boards'!$B$2:$E$156,4,FALSE)</f>
        <v>830120</v>
      </c>
      <c r="O4795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4796" spans="1:15" x14ac:dyDescent="0.25">
      <c r="A4796" s="1">
        <v>922024</v>
      </c>
      <c r="B4796" s="1" t="s">
        <v>96</v>
      </c>
      <c r="C4796" s="1" t="s">
        <v>97</v>
      </c>
      <c r="D4796" s="2">
        <v>44683.544612500002</v>
      </c>
      <c r="E4796" s="1" t="s">
        <v>8</v>
      </c>
      <c r="F4796" s="1">
        <v>1</v>
      </c>
      <c r="G4796" s="1">
        <v>0</v>
      </c>
      <c r="H4796" s="6">
        <f>INT(Query1[[#This Row],[EntryDateTime]])</f>
        <v>44683</v>
      </c>
      <c r="I4796" s="1">
        <f>IF(Query1[[#This Row],[ItemType]]="EVAP KIT SF GEN IV",Query1[[#This Row],[OrderQty]]+I4795,I4795)</f>
        <v>5942</v>
      </c>
      <c r="J4796" s="1">
        <f>IF(Query1[[#This Row],[ItemType]]="EVAP KIT UNIVERSAL",Query1[[#This Row],[OrderQty]]+J4795,J4795)</f>
        <v>1905</v>
      </c>
      <c r="K4796" s="1">
        <f>Query1[[#This Row],[SF Running Total]]+Query1[[#This Row],[UNIV Running Total]]</f>
        <v>7847</v>
      </c>
      <c r="L4796">
        <f>VLOOKUP(Query1[[#This Row],[Description]],'kits to boards'!$B$2:$E$156,2,FALSE)</f>
        <v>830004</v>
      </c>
      <c r="M4796">
        <f>VLOOKUP(Query1[[#This Row],[Description]],'kits to boards'!$B$2:$E$156,3,FALSE)</f>
        <v>0</v>
      </c>
      <c r="N4796">
        <f>VLOOKUP(Query1[[#This Row],[Description]],'kits to boards'!$B$2:$E$156,4,FALSE)</f>
        <v>0</v>
      </c>
      <c r="O4796" t="str">
        <f>CONCATENATE(Query1[[#This Row],[Description]]," - ",Query1[[#This Row],[MB1]]," - ",Query1[[#This Row],[MB2]]," - ",Query1[[#This Row],[MB3]])</f>
        <v>EVAP KIT 81-87 CHEV P-UP W/AC - 830004 - 0 - 0</v>
      </c>
    </row>
    <row r="4797" spans="1:15" x14ac:dyDescent="0.25">
      <c r="A4797" s="1">
        <v>922018</v>
      </c>
      <c r="B4797" s="1" t="s">
        <v>128</v>
      </c>
      <c r="C4797" s="1" t="s">
        <v>129</v>
      </c>
      <c r="D4797" s="2">
        <v>44683.549224618058</v>
      </c>
      <c r="E4797" s="1" t="s">
        <v>8</v>
      </c>
      <c r="F4797" s="1">
        <v>1</v>
      </c>
      <c r="G4797" s="1">
        <v>0</v>
      </c>
      <c r="H4797" s="6">
        <f>INT(Query1[[#This Row],[EntryDateTime]])</f>
        <v>44683</v>
      </c>
      <c r="I4797" s="1">
        <f>IF(Query1[[#This Row],[ItemType]]="EVAP KIT SF GEN IV",Query1[[#This Row],[OrderQty]]+I4796,I4796)</f>
        <v>5943</v>
      </c>
      <c r="J4797" s="1">
        <f>IF(Query1[[#This Row],[ItemType]]="EVAP KIT UNIVERSAL",Query1[[#This Row],[OrderQty]]+J4796,J4796)</f>
        <v>1905</v>
      </c>
      <c r="K4797" s="1">
        <f>Query1[[#This Row],[SF Running Total]]+Query1[[#This Row],[UNIV Running Total]]</f>
        <v>7848</v>
      </c>
      <c r="L4797">
        <f>VLOOKUP(Query1[[#This Row],[Description]],'kits to boards'!$B$2:$E$156,2,FALSE)</f>
        <v>830036</v>
      </c>
      <c r="M4797">
        <f>VLOOKUP(Query1[[#This Row],[Description]],'kits to boards'!$B$2:$E$156,3,FALSE)</f>
        <v>830039</v>
      </c>
      <c r="N4797">
        <f>VLOOKUP(Query1[[#This Row],[Description]],'kits to boards'!$B$2:$E$156,4,FALSE)</f>
        <v>0</v>
      </c>
      <c r="O4797" t="str">
        <f>CONCATENATE(Query1[[#This Row],[Description]]," - ",Query1[[#This Row],[MB1]]," - ",Query1[[#This Row],[MB2]]," - ",Query1[[#This Row],[MB3]])</f>
        <v>EVAP KIT 63-66 VETTE WO AC - 830036 - 830039 - 0</v>
      </c>
    </row>
    <row r="4798" spans="1:15" x14ac:dyDescent="0.25">
      <c r="A4798" s="1">
        <v>922028</v>
      </c>
      <c r="B4798" s="1" t="s">
        <v>110</v>
      </c>
      <c r="C4798" s="1" t="s">
        <v>111</v>
      </c>
      <c r="D4798" s="2">
        <v>44683.549485960648</v>
      </c>
      <c r="E4798" s="1" t="s">
        <v>8</v>
      </c>
      <c r="F4798" s="1">
        <v>1</v>
      </c>
      <c r="G4798" s="1">
        <v>0</v>
      </c>
      <c r="H4798" s="6">
        <f>INT(Query1[[#This Row],[EntryDateTime]])</f>
        <v>44683</v>
      </c>
      <c r="I4798" s="1">
        <f>IF(Query1[[#This Row],[ItemType]]="EVAP KIT SF GEN IV",Query1[[#This Row],[OrderQty]]+I4797,I4797)</f>
        <v>5944</v>
      </c>
      <c r="J4798" s="1">
        <f>IF(Query1[[#This Row],[ItemType]]="EVAP KIT UNIVERSAL",Query1[[#This Row],[OrderQty]]+J4797,J4797)</f>
        <v>1905</v>
      </c>
      <c r="K4798" s="1">
        <f>Query1[[#This Row],[SF Running Total]]+Query1[[#This Row],[UNIV Running Total]]</f>
        <v>7849</v>
      </c>
      <c r="L4798">
        <f>VLOOKUP(Query1[[#This Row],[Description]],'kits to boards'!$B$2:$E$156,2,FALSE)</f>
        <v>830053</v>
      </c>
      <c r="M4798">
        <f>VLOOKUP(Query1[[#This Row],[Description]],'kits to boards'!$B$2:$E$156,3,FALSE)</f>
        <v>0</v>
      </c>
      <c r="N4798">
        <f>VLOOKUP(Query1[[#This Row],[Description]],'kits to boards'!$B$2:$E$156,4,FALSE)</f>
        <v>0</v>
      </c>
      <c r="O4798" t="str">
        <f>CONCATENATE(Query1[[#This Row],[Description]]," - ",Query1[[#This Row],[MB1]]," - ",Query1[[#This Row],[MB2]]," - ",Query1[[#This Row],[MB3]])</f>
        <v>EVAP KIT 65-66 FORD F-100 - 830053 - 0 - 0</v>
      </c>
    </row>
    <row r="4799" spans="1:15" x14ac:dyDescent="0.25">
      <c r="A4799" s="1">
        <v>922031</v>
      </c>
      <c r="B4799" s="1" t="s">
        <v>52</v>
      </c>
      <c r="C4799" s="1" t="s">
        <v>53</v>
      </c>
      <c r="D4799" s="2">
        <v>44683.551277048609</v>
      </c>
      <c r="E4799" s="1" t="s">
        <v>8</v>
      </c>
      <c r="F4799" s="1">
        <v>1</v>
      </c>
      <c r="G4799" s="1">
        <v>0</v>
      </c>
      <c r="H4799" s="6">
        <f>INT(Query1[[#This Row],[EntryDateTime]])</f>
        <v>44683</v>
      </c>
      <c r="I4799" s="1">
        <f>IF(Query1[[#This Row],[ItemType]]="EVAP KIT SF GEN IV",Query1[[#This Row],[OrderQty]]+I4798,I4798)</f>
        <v>5945</v>
      </c>
      <c r="J4799" s="1">
        <f>IF(Query1[[#This Row],[ItemType]]="EVAP KIT UNIVERSAL",Query1[[#This Row],[OrderQty]]+J4798,J4798)</f>
        <v>1905</v>
      </c>
      <c r="K4799" s="1">
        <f>Query1[[#This Row],[SF Running Total]]+Query1[[#This Row],[UNIV Running Total]]</f>
        <v>7850</v>
      </c>
      <c r="L4799">
        <f>VLOOKUP(Query1[[#This Row],[Description]],'kits to boards'!$B$2:$E$156,2,FALSE)</f>
        <v>830017</v>
      </c>
      <c r="M4799">
        <f>VLOOKUP(Query1[[#This Row],[Description]],'kits to boards'!$B$2:$E$156,3,FALSE)</f>
        <v>830119</v>
      </c>
      <c r="N4799">
        <f>VLOOKUP(Query1[[#This Row],[Description]],'kits to boards'!$B$2:$E$156,4,FALSE)</f>
        <v>830120</v>
      </c>
      <c r="O4799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4800" spans="1:15" x14ac:dyDescent="0.25">
      <c r="A4800" s="1">
        <v>921756</v>
      </c>
      <c r="B4800" s="1" t="s">
        <v>92</v>
      </c>
      <c r="C4800" s="1" t="s">
        <v>93</v>
      </c>
      <c r="D4800" s="2">
        <v>44683.552711724536</v>
      </c>
      <c r="E4800" s="1" t="s">
        <v>8</v>
      </c>
      <c r="F4800" s="1">
        <v>1</v>
      </c>
      <c r="G4800" s="1">
        <v>0</v>
      </c>
      <c r="H4800" s="6">
        <f>INT(Query1[[#This Row],[EntryDateTime]])</f>
        <v>44683</v>
      </c>
      <c r="I4800" s="1">
        <f>IF(Query1[[#This Row],[ItemType]]="EVAP KIT SF GEN IV",Query1[[#This Row],[OrderQty]]+I4799,I4799)</f>
        <v>5946</v>
      </c>
      <c r="J4800" s="1">
        <f>IF(Query1[[#This Row],[ItemType]]="EVAP KIT UNIVERSAL",Query1[[#This Row],[OrderQty]]+J4799,J4799)</f>
        <v>1905</v>
      </c>
      <c r="K4800" s="1">
        <f>Query1[[#This Row],[SF Running Total]]+Query1[[#This Row],[UNIV Running Total]]</f>
        <v>7851</v>
      </c>
      <c r="L4800">
        <f>VLOOKUP(Query1[[#This Row],[Description]],'kits to boards'!$B$2:$E$156,2,FALSE)</f>
        <v>830063</v>
      </c>
      <c r="M4800">
        <f>VLOOKUP(Query1[[#This Row],[Description]],'kits to boards'!$B$2:$E$156,3,FALSE)</f>
        <v>0</v>
      </c>
      <c r="N4800">
        <f>VLOOKUP(Query1[[#This Row],[Description]],'kits to boards'!$B$2:$E$156,4,FALSE)</f>
        <v>0</v>
      </c>
      <c r="O4800" t="str">
        <f>CONCATENATE(Query1[[#This Row],[Description]]," - ",Query1[[#This Row],[MB1]]," - ",Query1[[#This Row],[MB2]]," - ",Query1[[#This Row],[MB3]])</f>
        <v>EVAP KIT 50-53 CHEV P-UP GEN IV - 830063 - 0 - 0</v>
      </c>
    </row>
    <row r="4801" spans="1:15" x14ac:dyDescent="0.25">
      <c r="A4801" s="1">
        <v>922034</v>
      </c>
      <c r="B4801" s="1" t="s">
        <v>46</v>
      </c>
      <c r="C4801" s="1" t="s">
        <v>47</v>
      </c>
      <c r="D4801" s="2">
        <v>44683.553371331021</v>
      </c>
      <c r="E4801" s="1" t="s">
        <v>8</v>
      </c>
      <c r="F4801" s="1">
        <v>1</v>
      </c>
      <c r="G4801" s="1">
        <v>0</v>
      </c>
      <c r="H4801" s="6">
        <f>INT(Query1[[#This Row],[EntryDateTime]])</f>
        <v>44683</v>
      </c>
      <c r="I4801" s="1">
        <f>IF(Query1[[#This Row],[ItemType]]="EVAP KIT SF GEN IV",Query1[[#This Row],[OrderQty]]+I4800,I4800)</f>
        <v>5947</v>
      </c>
      <c r="J4801" s="1">
        <f>IF(Query1[[#This Row],[ItemType]]="EVAP KIT UNIVERSAL",Query1[[#This Row],[OrderQty]]+J4800,J4800)</f>
        <v>1905</v>
      </c>
      <c r="K4801" s="1">
        <f>Query1[[#This Row],[SF Running Total]]+Query1[[#This Row],[UNIV Running Total]]</f>
        <v>7852</v>
      </c>
      <c r="L4801">
        <f>VLOOKUP(Query1[[#This Row],[Description]],'kits to boards'!$B$2:$E$156,2,FALSE)</f>
        <v>830018</v>
      </c>
      <c r="M4801">
        <f>VLOOKUP(Query1[[#This Row],[Description]],'kits to boards'!$B$2:$E$156,3,FALSE)</f>
        <v>0</v>
      </c>
      <c r="N4801">
        <f>VLOOKUP(Query1[[#This Row],[Description]],'kits to boards'!$B$2:$E$156,4,FALSE)</f>
        <v>0</v>
      </c>
      <c r="O4801" t="str">
        <f>CONCATENATE(Query1[[#This Row],[Description]]," - ",Query1[[#This Row],[MB1]]," - ",Query1[[#This Row],[MB2]]," - ",Query1[[#This Row],[MB3]])</f>
        <v>EVAP KIT 68-72 FORD P-UP F-100 - 830018 - 0 - 0</v>
      </c>
    </row>
    <row r="4802" spans="1:15" x14ac:dyDescent="0.25">
      <c r="A4802" s="1">
        <v>922033</v>
      </c>
      <c r="B4802" s="1" t="s">
        <v>194</v>
      </c>
      <c r="C4802" s="1" t="s">
        <v>195</v>
      </c>
      <c r="D4802" s="2">
        <v>44683.553496261571</v>
      </c>
      <c r="E4802" s="1" t="s">
        <v>8</v>
      </c>
      <c r="F4802" s="1">
        <v>1</v>
      </c>
      <c r="G4802" s="1">
        <v>0</v>
      </c>
      <c r="H4802" s="6">
        <f>INT(Query1[[#This Row],[EntryDateTime]])</f>
        <v>44683</v>
      </c>
      <c r="I4802" s="1">
        <f>IF(Query1[[#This Row],[ItemType]]="EVAP KIT SF GEN IV",Query1[[#This Row],[OrderQty]]+I4801,I4801)</f>
        <v>5948</v>
      </c>
      <c r="J4802" s="1">
        <f>IF(Query1[[#This Row],[ItemType]]="EVAP KIT UNIVERSAL",Query1[[#This Row],[OrderQty]]+J4801,J4801)</f>
        <v>1905</v>
      </c>
      <c r="K4802" s="1">
        <f>Query1[[#This Row],[SF Running Total]]+Query1[[#This Row],[UNIV Running Total]]</f>
        <v>7853</v>
      </c>
      <c r="L4802">
        <f>VLOOKUP(Query1[[#This Row],[Description]],'kits to boards'!$B$2:$E$156,2,FALSE)</f>
        <v>830103</v>
      </c>
      <c r="M4802">
        <f>VLOOKUP(Query1[[#This Row],[Description]],'kits to boards'!$B$2:$E$156,3,FALSE)</f>
        <v>0</v>
      </c>
      <c r="N4802">
        <f>VLOOKUP(Query1[[#This Row],[Description]],'kits to boards'!$B$2:$E$156,4,FALSE)</f>
        <v>0</v>
      </c>
      <c r="O4802" t="str">
        <f>CONCATENATE(Query1[[#This Row],[Description]]," - ",Query1[[#This Row],[MB1]]," - ",Query1[[#This Row],[MB2]]," - ",Query1[[#This Row],[MB3]])</f>
        <v>EVAP KIT 78-82 VETTE W/AC - 830103 - 0 - 0</v>
      </c>
    </row>
    <row r="4803" spans="1:15" x14ac:dyDescent="0.25">
      <c r="A4803" s="1">
        <v>922041</v>
      </c>
      <c r="B4803" s="1" t="s">
        <v>84</v>
      </c>
      <c r="C4803" s="1" t="s">
        <v>85</v>
      </c>
      <c r="D4803" s="2">
        <v>44683.560904131948</v>
      </c>
      <c r="E4803" s="1" t="s">
        <v>8</v>
      </c>
      <c r="F4803" s="1">
        <v>1</v>
      </c>
      <c r="G4803" s="1">
        <v>0</v>
      </c>
      <c r="H4803" s="6">
        <f>INT(Query1[[#This Row],[EntryDateTime]])</f>
        <v>44683</v>
      </c>
      <c r="I4803" s="1">
        <f>IF(Query1[[#This Row],[ItemType]]="EVAP KIT SF GEN IV",Query1[[#This Row],[OrderQty]]+I4802,I4802)</f>
        <v>5949</v>
      </c>
      <c r="J4803" s="1">
        <f>IF(Query1[[#This Row],[ItemType]]="EVAP KIT UNIVERSAL",Query1[[#This Row],[OrderQty]]+J4802,J4802)</f>
        <v>1905</v>
      </c>
      <c r="K4803" s="1">
        <f>Query1[[#This Row],[SF Running Total]]+Query1[[#This Row],[UNIV Running Total]]</f>
        <v>7854</v>
      </c>
      <c r="L4803">
        <f>VLOOKUP(Query1[[#This Row],[Description]],'kits to boards'!$B$2:$E$156,2,FALSE)</f>
        <v>830085</v>
      </c>
      <c r="M4803">
        <f>VLOOKUP(Query1[[#This Row],[Description]],'kits to boards'!$B$2:$E$156,3,FALSE)</f>
        <v>0</v>
      </c>
      <c r="N4803">
        <f>VLOOKUP(Query1[[#This Row],[Description]],'kits to boards'!$B$2:$E$156,4,FALSE)</f>
        <v>0</v>
      </c>
      <c r="O4803" t="str">
        <f>CONCATENATE(Query1[[#This Row],[Description]]," - ",Query1[[#This Row],[MB1]]," - ",Query1[[#This Row],[MB2]]," - ",Query1[[#This Row],[MB3]])</f>
        <v>EVAP KIT 66-77 BRONCO 4-VENT PLENUM - 830085 - 0 - 0</v>
      </c>
    </row>
    <row r="4804" spans="1:15" x14ac:dyDescent="0.25">
      <c r="A4804" s="1">
        <v>922042</v>
      </c>
      <c r="B4804" s="1" t="s">
        <v>506</v>
      </c>
      <c r="C4804" s="1" t="s">
        <v>507</v>
      </c>
      <c r="D4804" s="2">
        <v>44683.561135416669</v>
      </c>
      <c r="E4804" s="1" t="s">
        <v>677</v>
      </c>
      <c r="F4804" s="1">
        <v>1</v>
      </c>
      <c r="G4804" s="1">
        <v>0</v>
      </c>
      <c r="H4804" s="6">
        <f>INT(Query1[[#This Row],[EntryDateTime]])</f>
        <v>44683</v>
      </c>
      <c r="I4804" s="1">
        <f>IF(Query1[[#This Row],[ItemType]]="EVAP KIT SF GEN IV",Query1[[#This Row],[OrderQty]]+I4803,I4803)</f>
        <v>5949</v>
      </c>
      <c r="J4804" s="1">
        <f>IF(Query1[[#This Row],[ItemType]]="EVAP KIT UNIVERSAL",Query1[[#This Row],[OrderQty]]+J4803,J4803)</f>
        <v>1905</v>
      </c>
      <c r="K4804" s="1">
        <f>Query1[[#This Row],[SF Running Total]]+Query1[[#This Row],[UNIV Running Total]]</f>
        <v>7854</v>
      </c>
      <c r="L4804" t="e">
        <f>VLOOKUP(Query1[[#This Row],[Description]],'kits to boards'!$B$2:$E$156,2,FALSE)</f>
        <v>#N/A</v>
      </c>
      <c r="M4804" t="e">
        <f>VLOOKUP(Query1[[#This Row],[Description]],'kits to boards'!$B$2:$E$156,3,FALSE)</f>
        <v>#N/A</v>
      </c>
      <c r="N4804" t="e">
        <f>VLOOKUP(Query1[[#This Row],[Description]],'kits to boards'!$B$2:$E$156,4,FALSE)</f>
        <v>#N/A</v>
      </c>
      <c r="O4804" t="e">
        <f>CONCATENATE(Query1[[#This Row],[Description]]," - ",Query1[[#This Row],[MB1]]," - ",Query1[[#This Row],[MB2]]," - ",Query1[[#This Row],[MB3]])</f>
        <v>#N/A</v>
      </c>
    </row>
    <row r="4805" spans="1:15" x14ac:dyDescent="0.25">
      <c r="A4805" s="1">
        <v>922026</v>
      </c>
      <c r="B4805" s="1" t="s">
        <v>90</v>
      </c>
      <c r="C4805" s="1" t="s">
        <v>91</v>
      </c>
      <c r="D4805" s="2">
        <v>44683.56578109954</v>
      </c>
      <c r="E4805" s="1" t="s">
        <v>8</v>
      </c>
      <c r="F4805" s="1">
        <v>1</v>
      </c>
      <c r="G4805" s="1">
        <v>0</v>
      </c>
      <c r="H4805" s="6">
        <f>INT(Query1[[#This Row],[EntryDateTime]])</f>
        <v>44683</v>
      </c>
      <c r="I4805" s="1">
        <f>IF(Query1[[#This Row],[ItemType]]="EVAP KIT SF GEN IV",Query1[[#This Row],[OrderQty]]+I4804,I4804)</f>
        <v>5950</v>
      </c>
      <c r="J4805" s="1">
        <f>IF(Query1[[#This Row],[ItemType]]="EVAP KIT UNIVERSAL",Query1[[#This Row],[OrderQty]]+J4804,J4804)</f>
        <v>1905</v>
      </c>
      <c r="K4805" s="1">
        <f>Query1[[#This Row],[SF Running Total]]+Query1[[#This Row],[UNIV Running Total]]</f>
        <v>7855</v>
      </c>
      <c r="L4805">
        <f>VLOOKUP(Query1[[#This Row],[Description]],'kits to boards'!$B$2:$E$156,2,FALSE)</f>
        <v>830105</v>
      </c>
      <c r="M4805">
        <f>VLOOKUP(Query1[[#This Row],[Description]],'kits to boards'!$B$2:$E$156,3,FALSE)</f>
        <v>830106</v>
      </c>
      <c r="N4805">
        <f>VLOOKUP(Query1[[#This Row],[Description]],'kits to boards'!$B$2:$E$156,4,FALSE)</f>
        <v>0</v>
      </c>
      <c r="O4805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4806" spans="1:15" x14ac:dyDescent="0.25">
      <c r="A4806" s="1">
        <v>921989</v>
      </c>
      <c r="B4806" s="1" t="s">
        <v>34</v>
      </c>
      <c r="C4806" s="1" t="s">
        <v>35</v>
      </c>
      <c r="D4806" s="2">
        <v>44683.566849918985</v>
      </c>
      <c r="E4806" s="1" t="s">
        <v>8</v>
      </c>
      <c r="F4806" s="1">
        <v>1</v>
      </c>
      <c r="G4806" s="1">
        <v>0</v>
      </c>
      <c r="H4806" s="6">
        <f>INT(Query1[[#This Row],[EntryDateTime]])</f>
        <v>44683</v>
      </c>
      <c r="I4806" s="1">
        <f>IF(Query1[[#This Row],[ItemType]]="EVAP KIT SF GEN IV",Query1[[#This Row],[OrderQty]]+I4805,I4805)</f>
        <v>5951</v>
      </c>
      <c r="J4806" s="1">
        <f>IF(Query1[[#This Row],[ItemType]]="EVAP KIT UNIVERSAL",Query1[[#This Row],[OrderQty]]+J4805,J4805)</f>
        <v>1905</v>
      </c>
      <c r="K4806" s="1">
        <f>Query1[[#This Row],[SF Running Total]]+Query1[[#This Row],[UNIV Running Total]]</f>
        <v>7856</v>
      </c>
      <c r="L4806">
        <f>VLOOKUP(Query1[[#This Row],[Description]],'kits to boards'!$B$2:$E$156,2,FALSE)</f>
        <v>830065</v>
      </c>
      <c r="M4806">
        <f>VLOOKUP(Query1[[#This Row],[Description]],'kits to boards'!$B$2:$E$156,3,FALSE)</f>
        <v>0</v>
      </c>
      <c r="N4806">
        <f>VLOOKUP(Query1[[#This Row],[Description]],'kits to boards'!$B$2:$E$156,4,FALSE)</f>
        <v>0</v>
      </c>
      <c r="O4806" t="str">
        <f>CONCATENATE(Query1[[#This Row],[Description]]," - ",Query1[[#This Row],[MB1]]," - ",Query1[[#This Row],[MB2]]," - ",Query1[[#This Row],[MB3]])</f>
        <v>EVAP KIT 57 CHEV WO AC - 830065 - 0 - 0</v>
      </c>
    </row>
    <row r="4807" spans="1:15" x14ac:dyDescent="0.25">
      <c r="A4807" s="1">
        <v>922047</v>
      </c>
      <c r="B4807" s="1" t="s">
        <v>30</v>
      </c>
      <c r="C4807" s="1" t="s">
        <v>31</v>
      </c>
      <c r="D4807" s="2">
        <v>44683.571706053241</v>
      </c>
      <c r="E4807" s="1" t="s">
        <v>8</v>
      </c>
      <c r="F4807" s="1">
        <v>1</v>
      </c>
      <c r="G4807" s="1">
        <v>0</v>
      </c>
      <c r="H4807" s="6">
        <f>INT(Query1[[#This Row],[EntryDateTime]])</f>
        <v>44683</v>
      </c>
      <c r="I4807" s="1">
        <f>IF(Query1[[#This Row],[ItemType]]="EVAP KIT SF GEN IV",Query1[[#This Row],[OrderQty]]+I4806,I4806)</f>
        <v>5952</v>
      </c>
      <c r="J4807" s="1">
        <f>IF(Query1[[#This Row],[ItemType]]="EVAP KIT UNIVERSAL",Query1[[#This Row],[OrderQty]]+J4806,J4806)</f>
        <v>1905</v>
      </c>
      <c r="K4807" s="1">
        <f>Query1[[#This Row],[SF Running Total]]+Query1[[#This Row],[UNIV Running Total]]</f>
        <v>7857</v>
      </c>
      <c r="L4807">
        <f>VLOOKUP(Query1[[#This Row],[Description]],'kits to boards'!$B$2:$E$156,2,FALSE)</f>
        <v>830054</v>
      </c>
      <c r="M4807">
        <f>VLOOKUP(Query1[[#This Row],[Description]],'kits to boards'!$B$2:$E$156,3,FALSE)</f>
        <v>0</v>
      </c>
      <c r="N4807">
        <f>VLOOKUP(Query1[[#This Row],[Description]],'kits to boards'!$B$2:$E$156,4,FALSE)</f>
        <v>0</v>
      </c>
      <c r="O4807" t="str">
        <f>CONCATENATE(Query1[[#This Row],[Description]]," - ",Query1[[#This Row],[MB1]]," - ",Query1[[#This Row],[MB2]]," - ",Query1[[#This Row],[MB3]])</f>
        <v>EVAP KIT 55-56 CHEVY 4-VENT - 830054 - 0 - 0</v>
      </c>
    </row>
    <row r="4808" spans="1:15" x14ac:dyDescent="0.25">
      <c r="A4808" s="1">
        <v>922050</v>
      </c>
      <c r="B4808" s="1" t="s">
        <v>42</v>
      </c>
      <c r="C4808" s="1" t="s">
        <v>43</v>
      </c>
      <c r="D4808" s="2">
        <v>44683.573954861109</v>
      </c>
      <c r="E4808" s="1" t="s">
        <v>8</v>
      </c>
      <c r="F4808" s="1">
        <v>1</v>
      </c>
      <c r="G4808" s="1">
        <v>0</v>
      </c>
      <c r="H4808" s="6">
        <f>INT(Query1[[#This Row],[EntryDateTime]])</f>
        <v>44683</v>
      </c>
      <c r="I4808" s="1">
        <f>IF(Query1[[#This Row],[ItemType]]="EVAP KIT SF GEN IV",Query1[[#This Row],[OrderQty]]+I4807,I4807)</f>
        <v>5953</v>
      </c>
      <c r="J4808" s="1">
        <f>IF(Query1[[#This Row],[ItemType]]="EVAP KIT UNIVERSAL",Query1[[#This Row],[OrderQty]]+J4807,J4807)</f>
        <v>1905</v>
      </c>
      <c r="K4808" s="1">
        <f>Query1[[#This Row],[SF Running Total]]+Query1[[#This Row],[UNIV Running Total]]</f>
        <v>7858</v>
      </c>
      <c r="L4808">
        <f>VLOOKUP(Query1[[#This Row],[Description]],'kits to boards'!$B$2:$E$156,2,FALSE)</f>
        <v>830014</v>
      </c>
      <c r="M4808">
        <f>VLOOKUP(Query1[[#This Row],[Description]],'kits to boards'!$B$2:$E$156,3,FALSE)</f>
        <v>0</v>
      </c>
      <c r="N4808">
        <f>VLOOKUP(Query1[[#This Row],[Description]],'kits to boards'!$B$2:$E$156,4,FALSE)</f>
        <v>0</v>
      </c>
      <c r="O4808" t="str">
        <f>CONCATENATE(Query1[[#This Row],[Description]]," - ",Query1[[#This Row],[MB1]]," - ",Query1[[#This Row],[MB2]]," - ",Query1[[#This Row],[MB3]])</f>
        <v>EVAP KIT 67-72 CHEV P-UP WO AC - 830014 - 0 - 0</v>
      </c>
    </row>
    <row r="4809" spans="1:15" x14ac:dyDescent="0.25">
      <c r="A4809" s="1">
        <v>922054</v>
      </c>
      <c r="B4809" s="1" t="s">
        <v>38</v>
      </c>
      <c r="C4809" s="1" t="s">
        <v>39</v>
      </c>
      <c r="D4809" s="2">
        <v>44683.582530671294</v>
      </c>
      <c r="E4809" s="1" t="s">
        <v>8</v>
      </c>
      <c r="F4809" s="1">
        <v>1</v>
      </c>
      <c r="G4809" s="1">
        <v>0</v>
      </c>
      <c r="H4809" s="6">
        <f>INT(Query1[[#This Row],[EntryDateTime]])</f>
        <v>44683</v>
      </c>
      <c r="I4809" s="1">
        <f>IF(Query1[[#This Row],[ItemType]]="EVAP KIT SF GEN IV",Query1[[#This Row],[OrderQty]]+I4808,I4808)</f>
        <v>5954</v>
      </c>
      <c r="J4809" s="1">
        <f>IF(Query1[[#This Row],[ItemType]]="EVAP KIT UNIVERSAL",Query1[[#This Row],[OrderQty]]+J4808,J4808)</f>
        <v>1905</v>
      </c>
      <c r="K4809" s="1">
        <f>Query1[[#This Row],[SF Running Total]]+Query1[[#This Row],[UNIV Running Total]]</f>
        <v>7859</v>
      </c>
      <c r="L4809">
        <f>VLOOKUP(Query1[[#This Row],[Description]],'kits to boards'!$B$2:$E$156,2,FALSE)</f>
        <v>830012</v>
      </c>
      <c r="M4809">
        <f>VLOOKUP(Query1[[#This Row],[Description]],'kits to boards'!$B$2:$E$156,3,FALSE)</f>
        <v>0</v>
      </c>
      <c r="N4809">
        <f>VLOOKUP(Query1[[#This Row],[Description]],'kits to boards'!$B$2:$E$156,4,FALSE)</f>
        <v>0</v>
      </c>
      <c r="O4809" t="str">
        <f>CONCATENATE(Query1[[#This Row],[Description]]," - ",Query1[[#This Row],[MB1]]," - ",Query1[[#This Row],[MB2]]," - ",Query1[[#This Row],[MB3]])</f>
        <v>EVAP KIT 69 CAMARO W/AC - 830012 - 0 - 0</v>
      </c>
    </row>
    <row r="4810" spans="1:15" x14ac:dyDescent="0.25">
      <c r="A4810" s="1">
        <v>922054</v>
      </c>
      <c r="B4810" s="1" t="s">
        <v>279</v>
      </c>
      <c r="C4810" s="1" t="s">
        <v>280</v>
      </c>
      <c r="D4810" s="2">
        <v>44683.58253255787</v>
      </c>
      <c r="E4810" s="1" t="s">
        <v>8</v>
      </c>
      <c r="F4810" s="1">
        <v>2</v>
      </c>
      <c r="G4810" s="1">
        <v>0</v>
      </c>
      <c r="H4810" s="6">
        <f>INT(Query1[[#This Row],[EntryDateTime]])</f>
        <v>44683</v>
      </c>
      <c r="I4810" s="1">
        <f>IF(Query1[[#This Row],[ItemType]]="EVAP KIT SF GEN IV",Query1[[#This Row],[OrderQty]]+I4809,I4809)</f>
        <v>5956</v>
      </c>
      <c r="J4810" s="1">
        <f>IF(Query1[[#This Row],[ItemType]]="EVAP KIT UNIVERSAL",Query1[[#This Row],[OrderQty]]+J4809,J4809)</f>
        <v>1905</v>
      </c>
      <c r="K4810" s="1">
        <f>Query1[[#This Row],[SF Running Total]]+Query1[[#This Row],[UNIV Running Total]]</f>
        <v>7861</v>
      </c>
      <c r="L4810">
        <f>VLOOKUP(Query1[[#This Row],[Description]],'kits to boards'!$B$2:$E$156,2,FALSE)</f>
        <v>830067</v>
      </c>
      <c r="M4810">
        <f>VLOOKUP(Query1[[#This Row],[Description]],'kits to boards'!$B$2:$E$156,3,FALSE)</f>
        <v>0</v>
      </c>
      <c r="N4810">
        <f>VLOOKUP(Query1[[#This Row],[Description]],'kits to boards'!$B$2:$E$156,4,FALSE)</f>
        <v>0</v>
      </c>
      <c r="O4810" t="str">
        <f>CONCATENATE(Query1[[#This Row],[Description]]," - ",Query1[[#This Row],[MB1]]," - ",Query1[[#This Row],[MB2]]," - ",Query1[[#This Row],[MB3]])</f>
        <v>EVAP KIT 59-60 CHEV CAR 2-LEVER - 830067 - 0 - 0</v>
      </c>
    </row>
    <row r="4811" spans="1:15" x14ac:dyDescent="0.25">
      <c r="A4811" s="1">
        <v>922054</v>
      </c>
      <c r="B4811" s="1" t="s">
        <v>178</v>
      </c>
      <c r="C4811" s="1" t="s">
        <v>179</v>
      </c>
      <c r="D4811" s="2">
        <v>44683.582534803238</v>
      </c>
      <c r="E4811" s="1" t="s">
        <v>8</v>
      </c>
      <c r="F4811" s="1">
        <v>1</v>
      </c>
      <c r="G4811" s="1">
        <v>0</v>
      </c>
      <c r="H4811" s="6">
        <f>INT(Query1[[#This Row],[EntryDateTime]])</f>
        <v>44683</v>
      </c>
      <c r="I4811" s="1">
        <f>IF(Query1[[#This Row],[ItemType]]="EVAP KIT SF GEN IV",Query1[[#This Row],[OrderQty]]+I4810,I4810)</f>
        <v>5957</v>
      </c>
      <c r="J4811" s="1">
        <f>IF(Query1[[#This Row],[ItemType]]="EVAP KIT UNIVERSAL",Query1[[#This Row],[OrderQty]]+J4810,J4810)</f>
        <v>1905</v>
      </c>
      <c r="K4811" s="1">
        <f>Query1[[#This Row],[SF Running Total]]+Query1[[#This Row],[UNIV Running Total]]</f>
        <v>7862</v>
      </c>
      <c r="L4811">
        <f>VLOOKUP(Query1[[#This Row],[Description]],'kits to boards'!$B$2:$E$156,2,FALSE)</f>
        <v>830009</v>
      </c>
      <c r="M4811">
        <f>VLOOKUP(Query1[[#This Row],[Description]],'kits to boards'!$B$2:$E$156,3,FALSE)</f>
        <v>0</v>
      </c>
      <c r="N4811">
        <f>VLOOKUP(Query1[[#This Row],[Description]],'kits to boards'!$B$2:$E$156,4,FALSE)</f>
        <v>0</v>
      </c>
      <c r="O4811" t="str">
        <f>CONCATENATE(Query1[[#This Row],[Description]]," - ",Query1[[#This Row],[MB1]]," - ",Query1[[#This Row],[MB2]]," - ",Query1[[#This Row],[MB3]])</f>
        <v>EVAP KIT 63 IMPALA W/AC - 830009 - 0 - 0</v>
      </c>
    </row>
    <row r="4812" spans="1:15" x14ac:dyDescent="0.25">
      <c r="A4812" s="1">
        <v>922054</v>
      </c>
      <c r="B4812" s="1" t="s">
        <v>174</v>
      </c>
      <c r="C4812" s="1" t="s">
        <v>175</v>
      </c>
      <c r="D4812" s="2">
        <v>44683.582536886577</v>
      </c>
      <c r="E4812" s="1" t="s">
        <v>8</v>
      </c>
      <c r="F4812" s="1">
        <v>1</v>
      </c>
      <c r="G4812" s="1">
        <v>0</v>
      </c>
      <c r="H4812" s="6">
        <f>INT(Query1[[#This Row],[EntryDateTime]])</f>
        <v>44683</v>
      </c>
      <c r="I4812" s="1">
        <f>IF(Query1[[#This Row],[ItemType]]="EVAP KIT SF GEN IV",Query1[[#This Row],[OrderQty]]+I4811,I4811)</f>
        <v>5958</v>
      </c>
      <c r="J4812" s="1">
        <f>IF(Query1[[#This Row],[ItemType]]="EVAP KIT UNIVERSAL",Query1[[#This Row],[OrderQty]]+J4811,J4811)</f>
        <v>1905</v>
      </c>
      <c r="K4812" s="1">
        <f>Query1[[#This Row],[SF Running Total]]+Query1[[#This Row],[UNIV Running Total]]</f>
        <v>7863</v>
      </c>
      <c r="L4812">
        <f>VLOOKUP(Query1[[#This Row],[Description]],'kits to boards'!$B$2:$E$156,2,FALSE)</f>
        <v>830007</v>
      </c>
      <c r="M4812">
        <f>VLOOKUP(Query1[[#This Row],[Description]],'kits to boards'!$B$2:$E$156,3,FALSE)</f>
        <v>0</v>
      </c>
      <c r="N4812">
        <f>VLOOKUP(Query1[[#This Row],[Description]],'kits to boards'!$B$2:$E$156,4,FALSE)</f>
        <v>0</v>
      </c>
      <c r="O4812" t="str">
        <f>CONCATENATE(Query1[[#This Row],[Description]]," - ",Query1[[#This Row],[MB1]]," - ",Query1[[#This Row],[MB2]]," - ",Query1[[#This Row],[MB3]])</f>
        <v>EVAP KIT 64 IMPALA W/AC - 830007 - 0 - 0</v>
      </c>
    </row>
    <row r="4813" spans="1:15" x14ac:dyDescent="0.25">
      <c r="A4813" s="1">
        <v>922054</v>
      </c>
      <c r="B4813" s="1" t="s">
        <v>244</v>
      </c>
      <c r="C4813" s="1" t="s">
        <v>245</v>
      </c>
      <c r="D4813" s="2">
        <v>44683.582539120369</v>
      </c>
      <c r="E4813" s="1" t="s">
        <v>8</v>
      </c>
      <c r="F4813" s="1">
        <v>1</v>
      </c>
      <c r="G4813" s="1">
        <v>0</v>
      </c>
      <c r="H4813" s="6">
        <f>INT(Query1[[#This Row],[EntryDateTime]])</f>
        <v>44683</v>
      </c>
      <c r="I4813" s="1">
        <f>IF(Query1[[#This Row],[ItemType]]="EVAP KIT SF GEN IV",Query1[[#This Row],[OrderQty]]+I4812,I4812)</f>
        <v>5959</v>
      </c>
      <c r="J4813" s="1">
        <f>IF(Query1[[#This Row],[ItemType]]="EVAP KIT UNIVERSAL",Query1[[#This Row],[OrderQty]]+J4812,J4812)</f>
        <v>1905</v>
      </c>
      <c r="K4813" s="1">
        <f>Query1[[#This Row],[SF Running Total]]+Query1[[#This Row],[UNIV Running Total]]</f>
        <v>7864</v>
      </c>
      <c r="L4813">
        <f>VLOOKUP(Query1[[#This Row],[Description]],'kits to boards'!$B$2:$E$156,2,FALSE)</f>
        <v>830100</v>
      </c>
      <c r="M4813">
        <f>VLOOKUP(Query1[[#This Row],[Description]],'kits to boards'!$B$2:$E$156,3,FALSE)</f>
        <v>0</v>
      </c>
      <c r="N4813">
        <f>VLOOKUP(Query1[[#This Row],[Description]],'kits to boards'!$B$2:$E$156,4,FALSE)</f>
        <v>0</v>
      </c>
      <c r="O4813" t="str">
        <f>CONCATENATE(Query1[[#This Row],[Description]]," - ",Query1[[#This Row],[MB1]]," - ",Query1[[#This Row],[MB2]]," - ",Query1[[#This Row],[MB3]])</f>
        <v>EVAP KIT 68-76 VETTE WO AC - 830100 - 0 - 0</v>
      </c>
    </row>
    <row r="4814" spans="1:15" x14ac:dyDescent="0.25">
      <c r="A4814" s="1">
        <v>922054</v>
      </c>
      <c r="B4814" s="1" t="s">
        <v>116</v>
      </c>
      <c r="C4814" s="1" t="s">
        <v>117</v>
      </c>
      <c r="D4814" s="2">
        <v>44683.582541122683</v>
      </c>
      <c r="E4814" s="1" t="s">
        <v>8</v>
      </c>
      <c r="F4814" s="1">
        <v>1</v>
      </c>
      <c r="G4814" s="1">
        <v>0</v>
      </c>
      <c r="H4814" s="6">
        <f>INT(Query1[[#This Row],[EntryDateTime]])</f>
        <v>44683</v>
      </c>
      <c r="I4814" s="1">
        <f>IF(Query1[[#This Row],[ItemType]]="EVAP KIT SF GEN IV",Query1[[#This Row],[OrderQty]]+I4813,I4813)</f>
        <v>5960</v>
      </c>
      <c r="J4814" s="1">
        <f>IF(Query1[[#This Row],[ItemType]]="EVAP KIT UNIVERSAL",Query1[[#This Row],[OrderQty]]+J4813,J4813)</f>
        <v>1905</v>
      </c>
      <c r="K4814" s="1">
        <f>Query1[[#This Row],[SF Running Total]]+Query1[[#This Row],[UNIV Running Total]]</f>
        <v>7865</v>
      </c>
      <c r="L4814">
        <f>VLOOKUP(Query1[[#This Row],[Description]],'kits to boards'!$B$2:$E$156,2,FALSE)</f>
        <v>830058</v>
      </c>
      <c r="M4814">
        <f>VLOOKUP(Query1[[#This Row],[Description]],'kits to boards'!$B$2:$E$156,3,FALSE)</f>
        <v>0</v>
      </c>
      <c r="N4814">
        <f>VLOOKUP(Query1[[#This Row],[Description]],'kits to boards'!$B$2:$E$156,4,FALSE)</f>
        <v>0</v>
      </c>
      <c r="O4814" t="str">
        <f>CONCATENATE(Query1[[#This Row],[Description]]," - ",Query1[[#This Row],[MB1]]," - ",Query1[[#This Row],[MB2]]," - ",Query1[[#This Row],[MB3]])</f>
        <v>EVAP KIT 64-65 CHEVELLE WO AC - 830058 - 0 - 0</v>
      </c>
    </row>
    <row r="4815" spans="1:15" x14ac:dyDescent="0.25">
      <c r="A4815" s="1">
        <v>922054</v>
      </c>
      <c r="B4815" s="1" t="s">
        <v>114</v>
      </c>
      <c r="C4815" s="1" t="s">
        <v>115</v>
      </c>
      <c r="D4815" s="2">
        <v>44683.582543287041</v>
      </c>
      <c r="E4815" s="1" t="s">
        <v>8</v>
      </c>
      <c r="F4815" s="1">
        <v>1</v>
      </c>
      <c r="G4815" s="1">
        <v>0</v>
      </c>
      <c r="H4815" s="6">
        <f>INT(Query1[[#This Row],[EntryDateTime]])</f>
        <v>44683</v>
      </c>
      <c r="I4815" s="1">
        <f>IF(Query1[[#This Row],[ItemType]]="EVAP KIT SF GEN IV",Query1[[#This Row],[OrderQty]]+I4814,I4814)</f>
        <v>5961</v>
      </c>
      <c r="J4815" s="1">
        <f>IF(Query1[[#This Row],[ItemType]]="EVAP KIT UNIVERSAL",Query1[[#This Row],[OrderQty]]+J4814,J4814)</f>
        <v>1905</v>
      </c>
      <c r="K4815" s="1">
        <f>Query1[[#This Row],[SF Running Total]]+Query1[[#This Row],[UNIV Running Total]]</f>
        <v>7866</v>
      </c>
      <c r="L4815">
        <f>VLOOKUP(Query1[[#This Row],[Description]],'kits to boards'!$B$2:$E$156,2,FALSE)</f>
        <v>830059</v>
      </c>
      <c r="M4815">
        <f>VLOOKUP(Query1[[#This Row],[Description]],'kits to boards'!$B$2:$E$156,3,FALSE)</f>
        <v>0</v>
      </c>
      <c r="N4815">
        <f>VLOOKUP(Query1[[#This Row],[Description]],'kits to boards'!$B$2:$E$156,4,FALSE)</f>
        <v>0</v>
      </c>
      <c r="O4815" t="str">
        <f>CONCATENATE(Query1[[#This Row],[Description]]," - ",Query1[[#This Row],[MB1]]," - ",Query1[[#This Row],[MB2]]," - ",Query1[[#This Row],[MB3]])</f>
        <v>EVAP KIT 66-67 CHEVELLE W/AC - 830059 - 0 - 0</v>
      </c>
    </row>
    <row r="4816" spans="1:15" x14ac:dyDescent="0.25">
      <c r="A4816" s="1">
        <v>922054</v>
      </c>
      <c r="B4816" s="1" t="s">
        <v>60</v>
      </c>
      <c r="C4816" s="1" t="s">
        <v>61</v>
      </c>
      <c r="D4816" s="2">
        <v>44683.582545486111</v>
      </c>
      <c r="E4816" s="1" t="s">
        <v>8</v>
      </c>
      <c r="F4816" s="1">
        <v>1</v>
      </c>
      <c r="G4816" s="1">
        <v>0</v>
      </c>
      <c r="H4816" s="6">
        <f>INT(Query1[[#This Row],[EntryDateTime]])</f>
        <v>44683</v>
      </c>
      <c r="I4816" s="1">
        <f>IF(Query1[[#This Row],[ItemType]]="EVAP KIT SF GEN IV",Query1[[#This Row],[OrderQty]]+I4815,I4815)</f>
        <v>5962</v>
      </c>
      <c r="J4816" s="1">
        <f>IF(Query1[[#This Row],[ItemType]]="EVAP KIT UNIVERSAL",Query1[[#This Row],[OrderQty]]+J4815,J4815)</f>
        <v>1905</v>
      </c>
      <c r="K4816" s="1">
        <f>Query1[[#This Row],[SF Running Total]]+Query1[[#This Row],[UNIV Running Total]]</f>
        <v>7867</v>
      </c>
      <c r="L4816">
        <f>VLOOKUP(Query1[[#This Row],[Description]],'kits to boards'!$B$2:$E$156,2,FALSE)</f>
        <v>830062</v>
      </c>
      <c r="M4816">
        <f>VLOOKUP(Query1[[#This Row],[Description]],'kits to boards'!$B$2:$E$156,3,FALSE)</f>
        <v>0</v>
      </c>
      <c r="N4816">
        <f>VLOOKUP(Query1[[#This Row],[Description]],'kits to boards'!$B$2:$E$156,4,FALSE)</f>
        <v>0</v>
      </c>
      <c r="O4816" t="str">
        <f>CONCATENATE(Query1[[#This Row],[Description]]," - ",Query1[[#This Row],[MB1]]," - ",Query1[[#This Row],[MB2]]," - ",Query1[[#This Row],[MB3]])</f>
        <v>EVAP KIT 68-69 CHEVELLE WO AC - 830062 - 0 - 0</v>
      </c>
    </row>
    <row r="4817" spans="1:15" x14ac:dyDescent="0.25">
      <c r="A4817" s="1">
        <v>922054</v>
      </c>
      <c r="B4817" s="1" t="s">
        <v>54</v>
      </c>
      <c r="C4817" s="1" t="s">
        <v>55</v>
      </c>
      <c r="D4817" s="2">
        <v>44683.582547488426</v>
      </c>
      <c r="E4817" s="1" t="s">
        <v>8</v>
      </c>
      <c r="F4817" s="1">
        <v>2</v>
      </c>
      <c r="G4817" s="1">
        <v>0</v>
      </c>
      <c r="H4817" s="6">
        <f>INT(Query1[[#This Row],[EntryDateTime]])</f>
        <v>44683</v>
      </c>
      <c r="I4817" s="1">
        <f>IF(Query1[[#This Row],[ItemType]]="EVAP KIT SF GEN IV",Query1[[#This Row],[OrderQty]]+I4816,I4816)</f>
        <v>5964</v>
      </c>
      <c r="J4817" s="1">
        <f>IF(Query1[[#This Row],[ItemType]]="EVAP KIT UNIVERSAL",Query1[[#This Row],[OrderQty]]+J4816,J4816)</f>
        <v>1905</v>
      </c>
      <c r="K4817" s="1">
        <f>Query1[[#This Row],[SF Running Total]]+Query1[[#This Row],[UNIV Running Total]]</f>
        <v>7869</v>
      </c>
      <c r="L4817">
        <f>VLOOKUP(Query1[[#This Row],[Description]],'kits to boards'!$B$2:$E$156,2,FALSE)</f>
        <v>830037</v>
      </c>
      <c r="M4817">
        <f>VLOOKUP(Query1[[#This Row],[Description]],'kits to boards'!$B$2:$E$156,3,FALSE)</f>
        <v>0</v>
      </c>
      <c r="N4817">
        <f>VLOOKUP(Query1[[#This Row],[Description]],'kits to boards'!$B$2:$E$156,4,FALSE)</f>
        <v>0</v>
      </c>
      <c r="O4817" t="str">
        <f>CONCATENATE(Query1[[#This Row],[Description]]," - ",Query1[[#This Row],[MB1]]," - ",Query1[[#This Row],[MB2]]," - ",Query1[[#This Row],[MB3]])</f>
        <v>EVAP KIT 70-81 FIREBIRD W/AC - 830037 - 0 - 0</v>
      </c>
    </row>
    <row r="4818" spans="1:15" x14ac:dyDescent="0.25">
      <c r="A4818" s="1">
        <v>922054</v>
      </c>
      <c r="B4818" s="1" t="s">
        <v>236</v>
      </c>
      <c r="C4818" s="1" t="s">
        <v>237</v>
      </c>
      <c r="D4818" s="2">
        <v>44683.582549270832</v>
      </c>
      <c r="E4818" s="1" t="s">
        <v>8</v>
      </c>
      <c r="F4818" s="1">
        <v>1</v>
      </c>
      <c r="G4818" s="1">
        <v>0</v>
      </c>
      <c r="H4818" s="6">
        <f>INT(Query1[[#This Row],[EntryDateTime]])</f>
        <v>44683</v>
      </c>
      <c r="I4818" s="1">
        <f>IF(Query1[[#This Row],[ItemType]]="EVAP KIT SF GEN IV",Query1[[#This Row],[OrderQty]]+I4817,I4817)</f>
        <v>5965</v>
      </c>
      <c r="J4818" s="1">
        <f>IF(Query1[[#This Row],[ItemType]]="EVAP KIT UNIVERSAL",Query1[[#This Row],[OrderQty]]+J4817,J4817)</f>
        <v>1905</v>
      </c>
      <c r="K4818" s="1">
        <f>Query1[[#This Row],[SF Running Total]]+Query1[[#This Row],[UNIV Running Total]]</f>
        <v>7870</v>
      </c>
      <c r="L4818">
        <f>VLOOKUP(Query1[[#This Row],[Description]],'kits to boards'!$B$2:$E$156,2,FALSE)</f>
        <v>830026</v>
      </c>
      <c r="M4818">
        <f>VLOOKUP(Query1[[#This Row],[Description]],'kits to boards'!$B$2:$E$156,3,FALSE)</f>
        <v>0</v>
      </c>
      <c r="N4818">
        <f>VLOOKUP(Query1[[#This Row],[Description]],'kits to boards'!$B$2:$E$156,4,FALSE)</f>
        <v>0</v>
      </c>
      <c r="O4818" t="str">
        <f>CONCATENATE(Query1[[#This Row],[Description]]," - ",Query1[[#This Row],[MB1]]," - ",Query1[[#This Row],[MB2]]," - ",Query1[[#This Row],[MB3]])</f>
        <v>EVAP KIT 70-72 CUTLASS WO AC - 830026 - 0 - 0</v>
      </c>
    </row>
    <row r="4819" spans="1:15" x14ac:dyDescent="0.25">
      <c r="A4819" s="1">
        <v>922054</v>
      </c>
      <c r="B4819" s="1" t="s">
        <v>166</v>
      </c>
      <c r="C4819" s="1" t="s">
        <v>167</v>
      </c>
      <c r="D4819" s="2">
        <v>44683.58255107639</v>
      </c>
      <c r="E4819" s="1" t="s">
        <v>8</v>
      </c>
      <c r="F4819" s="1">
        <v>1</v>
      </c>
      <c r="G4819" s="1">
        <v>0</v>
      </c>
      <c r="H4819" s="6">
        <f>INT(Query1[[#This Row],[EntryDateTime]])</f>
        <v>44683</v>
      </c>
      <c r="I4819" s="1">
        <f>IF(Query1[[#This Row],[ItemType]]="EVAP KIT SF GEN IV",Query1[[#This Row],[OrderQty]]+I4818,I4818)</f>
        <v>5966</v>
      </c>
      <c r="J4819" s="1">
        <f>IF(Query1[[#This Row],[ItemType]]="EVAP KIT UNIVERSAL",Query1[[#This Row],[OrderQty]]+J4818,J4818)</f>
        <v>1905</v>
      </c>
      <c r="K4819" s="1">
        <f>Query1[[#This Row],[SF Running Total]]+Query1[[#This Row],[UNIV Running Total]]</f>
        <v>7871</v>
      </c>
      <c r="L4819">
        <f>VLOOKUP(Query1[[#This Row],[Description]],'kits to boards'!$B$2:$E$156,2,FALSE)</f>
        <v>830063</v>
      </c>
      <c r="M4819">
        <f>VLOOKUP(Query1[[#This Row],[Description]],'kits to boards'!$B$2:$E$156,3,FALSE)</f>
        <v>0</v>
      </c>
      <c r="N4819">
        <f>VLOOKUP(Query1[[#This Row],[Description]],'kits to boards'!$B$2:$E$156,4,FALSE)</f>
        <v>0</v>
      </c>
      <c r="O4819" t="str">
        <f>CONCATENATE(Query1[[#This Row],[Description]]," - ",Query1[[#This Row],[MB1]]," - ",Query1[[#This Row],[MB2]]," - ",Query1[[#This Row],[MB3]])</f>
        <v>EVAP KIT 47-49 CHEV P-UP GEN IV - 830063 - 0 - 0</v>
      </c>
    </row>
    <row r="4820" spans="1:15" x14ac:dyDescent="0.25">
      <c r="A4820" s="1">
        <v>922054</v>
      </c>
      <c r="B4820" s="1" t="s">
        <v>168</v>
      </c>
      <c r="C4820" s="1" t="s">
        <v>169</v>
      </c>
      <c r="D4820" s="2">
        <v>44683.582552974534</v>
      </c>
      <c r="E4820" s="1" t="s">
        <v>8</v>
      </c>
      <c r="F4820" s="1">
        <v>1</v>
      </c>
      <c r="G4820" s="1">
        <v>0</v>
      </c>
      <c r="H4820" s="6">
        <f>INT(Query1[[#This Row],[EntryDateTime]])</f>
        <v>44683</v>
      </c>
      <c r="I4820" s="1">
        <f>IF(Query1[[#This Row],[ItemType]]="EVAP KIT SF GEN IV",Query1[[#This Row],[OrderQty]]+I4819,I4819)</f>
        <v>5967</v>
      </c>
      <c r="J4820" s="1">
        <f>IF(Query1[[#This Row],[ItemType]]="EVAP KIT UNIVERSAL",Query1[[#This Row],[OrderQty]]+J4819,J4819)</f>
        <v>1905</v>
      </c>
      <c r="K4820" s="1">
        <f>Query1[[#This Row],[SF Running Total]]+Query1[[#This Row],[UNIV Running Total]]</f>
        <v>7872</v>
      </c>
      <c r="L4820">
        <f>VLOOKUP(Query1[[#This Row],[Description]],'kits to boards'!$B$2:$E$156,2,FALSE)</f>
        <v>830028</v>
      </c>
      <c r="M4820">
        <f>VLOOKUP(Query1[[#This Row],[Description]],'kits to boards'!$B$2:$E$156,3,FALSE)</f>
        <v>0</v>
      </c>
      <c r="N4820">
        <f>VLOOKUP(Query1[[#This Row],[Description]],'kits to boards'!$B$2:$E$156,4,FALSE)</f>
        <v>0</v>
      </c>
      <c r="O4820" t="str">
        <f>CONCATENATE(Query1[[#This Row],[Description]]," - ",Query1[[#This Row],[MB1]]," - ",Query1[[#This Row],[MB2]]," - ",Query1[[#This Row],[MB3]])</f>
        <v>EVAP KIT 55-59 CHEV P-UP WO AC W/STD  - 830028 - 0 - 0</v>
      </c>
    </row>
    <row r="4821" spans="1:15" x14ac:dyDescent="0.25">
      <c r="A4821" s="1">
        <v>922054</v>
      </c>
      <c r="B4821" s="1" t="s">
        <v>42</v>
      </c>
      <c r="C4821" s="1" t="s">
        <v>43</v>
      </c>
      <c r="D4821" s="2">
        <v>44683.582554895831</v>
      </c>
      <c r="E4821" s="1" t="s">
        <v>8</v>
      </c>
      <c r="F4821" s="1">
        <v>1</v>
      </c>
      <c r="G4821" s="1">
        <v>0</v>
      </c>
      <c r="H4821" s="6">
        <f>INT(Query1[[#This Row],[EntryDateTime]])</f>
        <v>44683</v>
      </c>
      <c r="I4821" s="1">
        <f>IF(Query1[[#This Row],[ItemType]]="EVAP KIT SF GEN IV",Query1[[#This Row],[OrderQty]]+I4820,I4820)</f>
        <v>5968</v>
      </c>
      <c r="J4821" s="1">
        <f>IF(Query1[[#This Row],[ItemType]]="EVAP KIT UNIVERSAL",Query1[[#This Row],[OrderQty]]+J4820,J4820)</f>
        <v>1905</v>
      </c>
      <c r="K4821" s="1">
        <f>Query1[[#This Row],[SF Running Total]]+Query1[[#This Row],[UNIV Running Total]]</f>
        <v>7873</v>
      </c>
      <c r="L4821">
        <f>VLOOKUP(Query1[[#This Row],[Description]],'kits to boards'!$B$2:$E$156,2,FALSE)</f>
        <v>830014</v>
      </c>
      <c r="M4821">
        <f>VLOOKUP(Query1[[#This Row],[Description]],'kits to boards'!$B$2:$E$156,3,FALSE)</f>
        <v>0</v>
      </c>
      <c r="N4821">
        <f>VLOOKUP(Query1[[#This Row],[Description]],'kits to boards'!$B$2:$E$156,4,FALSE)</f>
        <v>0</v>
      </c>
      <c r="O4821" t="str">
        <f>CONCATENATE(Query1[[#This Row],[Description]]," - ",Query1[[#This Row],[MB1]]," - ",Query1[[#This Row],[MB2]]," - ",Query1[[#This Row],[MB3]])</f>
        <v>EVAP KIT 67-72 CHEV P-UP WO AC - 830014 - 0 - 0</v>
      </c>
    </row>
    <row r="4822" spans="1:15" x14ac:dyDescent="0.25">
      <c r="A4822" s="1">
        <v>922054</v>
      </c>
      <c r="B4822" s="1" t="s">
        <v>28</v>
      </c>
      <c r="C4822" s="1" t="s">
        <v>29</v>
      </c>
      <c r="D4822" s="2">
        <v>44683.582556597219</v>
      </c>
      <c r="E4822" s="1" t="s">
        <v>8</v>
      </c>
      <c r="F4822" s="1">
        <v>1</v>
      </c>
      <c r="G4822" s="1">
        <v>0</v>
      </c>
      <c r="H4822" s="6">
        <f>INT(Query1[[#This Row],[EntryDateTime]])</f>
        <v>44683</v>
      </c>
      <c r="I4822" s="1">
        <f>IF(Query1[[#This Row],[ItemType]]="EVAP KIT SF GEN IV",Query1[[#This Row],[OrderQty]]+I4821,I4821)</f>
        <v>5969</v>
      </c>
      <c r="J4822" s="1">
        <f>IF(Query1[[#This Row],[ItemType]]="EVAP KIT UNIVERSAL",Query1[[#This Row],[OrderQty]]+J4821,J4821)</f>
        <v>1905</v>
      </c>
      <c r="K4822" s="1">
        <f>Query1[[#This Row],[SF Running Total]]+Query1[[#This Row],[UNIV Running Total]]</f>
        <v>7874</v>
      </c>
      <c r="L4822">
        <f>VLOOKUP(Query1[[#This Row],[Description]],'kits to boards'!$B$2:$E$156,2,FALSE)</f>
        <v>830001</v>
      </c>
      <c r="M4822">
        <f>VLOOKUP(Query1[[#This Row],[Description]],'kits to boards'!$B$2:$E$156,3,FALSE)</f>
        <v>0</v>
      </c>
      <c r="N4822">
        <f>VLOOKUP(Query1[[#This Row],[Description]],'kits to boards'!$B$2:$E$156,4,FALSE)</f>
        <v>0</v>
      </c>
      <c r="O4822" t="str">
        <f>CONCATENATE(Query1[[#This Row],[Description]]," - ",Query1[[#This Row],[MB1]]," - ",Query1[[#This Row],[MB2]]," - ",Query1[[#This Row],[MB3]])</f>
        <v>EVAP KIT 73-80 CHEV P-UP W/AC - 830001 - 0 - 0</v>
      </c>
    </row>
    <row r="4823" spans="1:15" x14ac:dyDescent="0.25">
      <c r="A4823" s="1">
        <v>922054</v>
      </c>
      <c r="B4823" s="1" t="s">
        <v>108</v>
      </c>
      <c r="C4823" s="1" t="s">
        <v>109</v>
      </c>
      <c r="D4823" s="2">
        <v>44683.582558252318</v>
      </c>
      <c r="E4823" s="1" t="s">
        <v>8</v>
      </c>
      <c r="F4823" s="1">
        <v>2</v>
      </c>
      <c r="G4823" s="1">
        <v>0</v>
      </c>
      <c r="H4823" s="6">
        <f>INT(Query1[[#This Row],[EntryDateTime]])</f>
        <v>44683</v>
      </c>
      <c r="I4823" s="1">
        <f>IF(Query1[[#This Row],[ItemType]]="EVAP KIT SF GEN IV",Query1[[#This Row],[OrderQty]]+I4822,I4822)</f>
        <v>5971</v>
      </c>
      <c r="J4823" s="1">
        <f>IF(Query1[[#This Row],[ItemType]]="EVAP KIT UNIVERSAL",Query1[[#This Row],[OrderQty]]+J4822,J4822)</f>
        <v>1905</v>
      </c>
      <c r="K4823" s="1">
        <f>Query1[[#This Row],[SF Running Total]]+Query1[[#This Row],[UNIV Running Total]]</f>
        <v>7876</v>
      </c>
      <c r="L4823">
        <f>VLOOKUP(Query1[[#This Row],[Description]],'kits to boards'!$B$2:$E$156,2,FALSE)</f>
        <v>830105</v>
      </c>
      <c r="M4823">
        <f>VLOOKUP(Query1[[#This Row],[Description]],'kits to boards'!$B$2:$E$156,3,FALSE)</f>
        <v>830106</v>
      </c>
      <c r="N4823">
        <f>VLOOKUP(Query1[[#This Row],[Description]],'kits to boards'!$B$2:$E$156,4,FALSE)</f>
        <v>0</v>
      </c>
      <c r="O4823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4824" spans="1:15" x14ac:dyDescent="0.25">
      <c r="A4824" s="1">
        <v>922054</v>
      </c>
      <c r="B4824" s="1" t="s">
        <v>186</v>
      </c>
      <c r="C4824" s="1" t="s">
        <v>187</v>
      </c>
      <c r="D4824" s="2">
        <v>44683.582559918985</v>
      </c>
      <c r="E4824" s="1" t="s">
        <v>8</v>
      </c>
      <c r="F4824" s="1">
        <v>1</v>
      </c>
      <c r="G4824" s="1">
        <v>0</v>
      </c>
      <c r="H4824" s="6">
        <f>INT(Query1[[#This Row],[EntryDateTime]])</f>
        <v>44683</v>
      </c>
      <c r="I4824" s="1">
        <f>IF(Query1[[#This Row],[ItemType]]="EVAP KIT SF GEN IV",Query1[[#This Row],[OrderQty]]+I4823,I4823)</f>
        <v>5972</v>
      </c>
      <c r="J4824" s="1">
        <f>IF(Query1[[#This Row],[ItemType]]="EVAP KIT UNIVERSAL",Query1[[#This Row],[OrderQty]]+J4823,J4823)</f>
        <v>1905</v>
      </c>
      <c r="K4824" s="1">
        <f>Query1[[#This Row],[SF Running Total]]+Query1[[#This Row],[UNIV Running Total]]</f>
        <v>7877</v>
      </c>
      <c r="L4824">
        <f>VLOOKUP(Query1[[#This Row],[Description]],'kits to boards'!$B$2:$E$156,2,FALSE)</f>
        <v>830125</v>
      </c>
      <c r="M4824">
        <f>VLOOKUP(Query1[[#This Row],[Description]],'kits to boards'!$B$2:$E$156,3,FALSE)</f>
        <v>830126</v>
      </c>
      <c r="N4824">
        <f>VLOOKUP(Query1[[#This Row],[Description]],'kits to boards'!$B$2:$E$156,4,FALSE)</f>
        <v>0</v>
      </c>
      <c r="O4824" t="str">
        <f>CONCATENATE(Query1[[#This Row],[Description]]," - ",Query1[[#This Row],[MB1]]," - ",Query1[[#This Row],[MB2]]," - ",Query1[[#This Row],[MB3]])</f>
        <v>EVAP KIT 65-66 IMPALA WO/AC - 830125 - 830126 - 0</v>
      </c>
    </row>
    <row r="4825" spans="1:15" x14ac:dyDescent="0.25">
      <c r="A4825" s="1">
        <v>922054</v>
      </c>
      <c r="B4825" s="1" t="s">
        <v>6</v>
      </c>
      <c r="C4825" s="1" t="s">
        <v>7</v>
      </c>
      <c r="D4825" s="2">
        <v>44683.582561574076</v>
      </c>
      <c r="E4825" s="1" t="s">
        <v>8</v>
      </c>
      <c r="F4825" s="1">
        <v>2</v>
      </c>
      <c r="G4825" s="1">
        <v>0</v>
      </c>
      <c r="H4825" s="6">
        <f>INT(Query1[[#This Row],[EntryDateTime]])</f>
        <v>44683</v>
      </c>
      <c r="I4825" s="1">
        <f>IF(Query1[[#This Row],[ItemType]]="EVAP KIT SF GEN IV",Query1[[#This Row],[OrderQty]]+I4824,I4824)</f>
        <v>5974</v>
      </c>
      <c r="J4825" s="1">
        <f>IF(Query1[[#This Row],[ItemType]]="EVAP KIT UNIVERSAL",Query1[[#This Row],[OrderQty]]+J4824,J4824)</f>
        <v>1905</v>
      </c>
      <c r="K4825" s="1">
        <f>Query1[[#This Row],[SF Running Total]]+Query1[[#This Row],[UNIV Running Total]]</f>
        <v>7879</v>
      </c>
      <c r="L4825">
        <f>VLOOKUP(Query1[[#This Row],[Description]],'kits to boards'!$B$2:$E$156,2,FALSE)</f>
        <v>830132</v>
      </c>
      <c r="M4825">
        <f>VLOOKUP(Query1[[#This Row],[Description]],'kits to boards'!$B$2:$E$156,3,FALSE)</f>
        <v>0</v>
      </c>
      <c r="N4825">
        <f>VLOOKUP(Query1[[#This Row],[Description]],'kits to boards'!$B$2:$E$156,4,FALSE)</f>
        <v>0</v>
      </c>
      <c r="O4825" t="str">
        <f>CONCATENATE(Query1[[#This Row],[Description]]," - ",Query1[[#This Row],[MB1]]," - ",Query1[[#This Row],[MB2]]," - ",Query1[[#This Row],[MB3]])</f>
        <v>EVAP KIT 82-88 MONTE CARLO/EL CAMINO - 830132 - 0 - 0</v>
      </c>
    </row>
    <row r="4826" spans="1:15" x14ac:dyDescent="0.25">
      <c r="A4826" s="1">
        <v>922056</v>
      </c>
      <c r="B4826" s="1" t="s">
        <v>50</v>
      </c>
      <c r="C4826" s="1" t="s">
        <v>51</v>
      </c>
      <c r="D4826" s="2">
        <v>44683.584658217595</v>
      </c>
      <c r="E4826" s="1" t="s">
        <v>8</v>
      </c>
      <c r="F4826" s="1">
        <v>1</v>
      </c>
      <c r="G4826" s="1">
        <v>0</v>
      </c>
      <c r="H4826" s="6">
        <f>INT(Query1[[#This Row],[EntryDateTime]])</f>
        <v>44683</v>
      </c>
      <c r="I4826" s="1">
        <f>IF(Query1[[#This Row],[ItemType]]="EVAP KIT SF GEN IV",Query1[[#This Row],[OrderQty]]+I4825,I4825)</f>
        <v>5975</v>
      </c>
      <c r="J4826" s="1">
        <f>IF(Query1[[#This Row],[ItemType]]="EVAP KIT UNIVERSAL",Query1[[#This Row],[OrderQty]]+J4825,J4825)</f>
        <v>1905</v>
      </c>
      <c r="K4826" s="1">
        <f>Query1[[#This Row],[SF Running Total]]+Query1[[#This Row],[UNIV Running Total]]</f>
        <v>7880</v>
      </c>
      <c r="L4826">
        <f>VLOOKUP(Query1[[#This Row],[Description]],'kits to boards'!$B$2:$E$156,2,FALSE)</f>
        <v>830043</v>
      </c>
      <c r="M4826">
        <f>VLOOKUP(Query1[[#This Row],[Description]],'kits to boards'!$B$2:$E$156,3,FALSE)</f>
        <v>0</v>
      </c>
      <c r="N4826">
        <f>VLOOKUP(Query1[[#This Row],[Description]],'kits to boards'!$B$2:$E$156,4,FALSE)</f>
        <v>0</v>
      </c>
      <c r="O4826" t="str">
        <f>CONCATENATE(Query1[[#This Row],[Description]]," - ",Query1[[#This Row],[MB1]]," - ",Query1[[#This Row],[MB2]]," - ",Query1[[#This Row],[MB3]])</f>
        <v>EVAP KIT 69-74 NOVA WO AC - 830043 - 0 - 0</v>
      </c>
    </row>
    <row r="4827" spans="1:15" x14ac:dyDescent="0.25">
      <c r="A4827" s="1">
        <v>922064</v>
      </c>
      <c r="B4827" s="1" t="s">
        <v>92</v>
      </c>
      <c r="C4827" s="1" t="s">
        <v>93</v>
      </c>
      <c r="D4827" s="2">
        <v>44683.598068831016</v>
      </c>
      <c r="E4827" s="1" t="s">
        <v>8</v>
      </c>
      <c r="F4827" s="1">
        <v>1</v>
      </c>
      <c r="G4827" s="1">
        <v>0</v>
      </c>
      <c r="H4827" s="6">
        <f>INT(Query1[[#This Row],[EntryDateTime]])</f>
        <v>44683</v>
      </c>
      <c r="I4827" s="1">
        <f>IF(Query1[[#This Row],[ItemType]]="EVAP KIT SF GEN IV",Query1[[#This Row],[OrderQty]]+I4826,I4826)</f>
        <v>5976</v>
      </c>
      <c r="J4827" s="1">
        <f>IF(Query1[[#This Row],[ItemType]]="EVAP KIT UNIVERSAL",Query1[[#This Row],[OrderQty]]+J4826,J4826)</f>
        <v>1905</v>
      </c>
      <c r="K4827" s="1">
        <f>Query1[[#This Row],[SF Running Total]]+Query1[[#This Row],[UNIV Running Total]]</f>
        <v>7881</v>
      </c>
      <c r="L4827">
        <f>VLOOKUP(Query1[[#This Row],[Description]],'kits to boards'!$B$2:$E$156,2,FALSE)</f>
        <v>830063</v>
      </c>
      <c r="M4827">
        <f>VLOOKUP(Query1[[#This Row],[Description]],'kits to boards'!$B$2:$E$156,3,FALSE)</f>
        <v>0</v>
      </c>
      <c r="N4827">
        <f>VLOOKUP(Query1[[#This Row],[Description]],'kits to boards'!$B$2:$E$156,4,FALSE)</f>
        <v>0</v>
      </c>
      <c r="O4827" t="str">
        <f>CONCATENATE(Query1[[#This Row],[Description]]," - ",Query1[[#This Row],[MB1]]," - ",Query1[[#This Row],[MB2]]," - ",Query1[[#This Row],[MB3]])</f>
        <v>EVAP KIT 50-53 CHEV P-UP GEN IV - 830063 - 0 - 0</v>
      </c>
    </row>
    <row r="4828" spans="1:15" x14ac:dyDescent="0.25">
      <c r="A4828" s="1">
        <v>922064</v>
      </c>
      <c r="B4828" s="1" t="s">
        <v>42</v>
      </c>
      <c r="C4828" s="1" t="s">
        <v>43</v>
      </c>
      <c r="D4828" s="2">
        <v>44683.598154942127</v>
      </c>
      <c r="E4828" s="1" t="s">
        <v>8</v>
      </c>
      <c r="F4828" s="1">
        <v>1</v>
      </c>
      <c r="G4828" s="1">
        <v>0</v>
      </c>
      <c r="H4828" s="6">
        <f>INT(Query1[[#This Row],[EntryDateTime]])</f>
        <v>44683</v>
      </c>
      <c r="I4828" s="1">
        <f>IF(Query1[[#This Row],[ItemType]]="EVAP KIT SF GEN IV",Query1[[#This Row],[OrderQty]]+I4827,I4827)</f>
        <v>5977</v>
      </c>
      <c r="J4828" s="1">
        <f>IF(Query1[[#This Row],[ItemType]]="EVAP KIT UNIVERSAL",Query1[[#This Row],[OrderQty]]+J4827,J4827)</f>
        <v>1905</v>
      </c>
      <c r="K4828" s="1">
        <f>Query1[[#This Row],[SF Running Total]]+Query1[[#This Row],[UNIV Running Total]]</f>
        <v>7882</v>
      </c>
      <c r="L4828">
        <f>VLOOKUP(Query1[[#This Row],[Description]],'kits to boards'!$B$2:$E$156,2,FALSE)</f>
        <v>830014</v>
      </c>
      <c r="M4828">
        <f>VLOOKUP(Query1[[#This Row],[Description]],'kits to boards'!$B$2:$E$156,3,FALSE)</f>
        <v>0</v>
      </c>
      <c r="N4828">
        <f>VLOOKUP(Query1[[#This Row],[Description]],'kits to boards'!$B$2:$E$156,4,FALSE)</f>
        <v>0</v>
      </c>
      <c r="O4828" t="str">
        <f>CONCATENATE(Query1[[#This Row],[Description]]," - ",Query1[[#This Row],[MB1]]," - ",Query1[[#This Row],[MB2]]," - ",Query1[[#This Row],[MB3]])</f>
        <v>EVAP KIT 67-72 CHEV P-UP WO AC - 830014 - 0 - 0</v>
      </c>
    </row>
    <row r="4829" spans="1:15" x14ac:dyDescent="0.25">
      <c r="A4829" s="1">
        <v>922064</v>
      </c>
      <c r="B4829" s="1" t="s">
        <v>48</v>
      </c>
      <c r="C4829" s="1" t="s">
        <v>49</v>
      </c>
      <c r="D4829" s="2">
        <v>44683.598283761574</v>
      </c>
      <c r="E4829" s="1" t="s">
        <v>8</v>
      </c>
      <c r="F4829" s="1">
        <v>1</v>
      </c>
      <c r="G4829" s="1">
        <v>0</v>
      </c>
      <c r="H4829" s="6">
        <f>INT(Query1[[#This Row],[EntryDateTime]])</f>
        <v>44683</v>
      </c>
      <c r="I4829" s="1">
        <f>IF(Query1[[#This Row],[ItemType]]="EVAP KIT SF GEN IV",Query1[[#This Row],[OrderQty]]+I4828,I4828)</f>
        <v>5978</v>
      </c>
      <c r="J4829" s="1">
        <f>IF(Query1[[#This Row],[ItemType]]="EVAP KIT UNIVERSAL",Query1[[#This Row],[OrderQty]]+J4828,J4828)</f>
        <v>1905</v>
      </c>
      <c r="K4829" s="1">
        <f>Query1[[#This Row],[SF Running Total]]+Query1[[#This Row],[UNIV Running Total]]</f>
        <v>7883</v>
      </c>
      <c r="L4829">
        <f>VLOOKUP(Query1[[#This Row],[Description]],'kits to boards'!$B$2:$E$156,2,FALSE)</f>
        <v>830015</v>
      </c>
      <c r="M4829">
        <f>VLOOKUP(Query1[[#This Row],[Description]],'kits to boards'!$B$2:$E$156,3,FALSE)</f>
        <v>0</v>
      </c>
      <c r="N4829">
        <f>VLOOKUP(Query1[[#This Row],[Description]],'kits to boards'!$B$2:$E$156,4,FALSE)</f>
        <v>0</v>
      </c>
      <c r="O4829" t="str">
        <f>CONCATENATE(Query1[[#This Row],[Description]]," - ",Query1[[#This Row],[MB1]]," - ",Query1[[#This Row],[MB2]]," - ",Query1[[#This Row],[MB3]])</f>
        <v>EVAP KIT 64-66 CHEV P-UP WO AC W/DELX - 830015 - 0 - 0</v>
      </c>
    </row>
    <row r="4830" spans="1:15" x14ac:dyDescent="0.25">
      <c r="A4830" s="1">
        <v>922066</v>
      </c>
      <c r="B4830" s="1" t="s">
        <v>64</v>
      </c>
      <c r="C4830" s="1" t="s">
        <v>65</v>
      </c>
      <c r="D4830" s="2">
        <v>44683.60445648148</v>
      </c>
      <c r="E4830" s="1" t="s">
        <v>8</v>
      </c>
      <c r="F4830" s="1">
        <v>1</v>
      </c>
      <c r="G4830" s="1">
        <v>0</v>
      </c>
      <c r="H4830" s="6">
        <f>INT(Query1[[#This Row],[EntryDateTime]])</f>
        <v>44683</v>
      </c>
      <c r="I4830" s="1">
        <f>IF(Query1[[#This Row],[ItemType]]="EVAP KIT SF GEN IV",Query1[[#This Row],[OrderQty]]+I4829,I4829)</f>
        <v>5979</v>
      </c>
      <c r="J4830" s="1">
        <f>IF(Query1[[#This Row],[ItemType]]="EVAP KIT UNIVERSAL",Query1[[#This Row],[OrderQty]]+J4829,J4829)</f>
        <v>1905</v>
      </c>
      <c r="K4830" s="1">
        <f>Query1[[#This Row],[SF Running Total]]+Query1[[#This Row],[UNIV Running Total]]</f>
        <v>7884</v>
      </c>
      <c r="L4830">
        <f>VLOOKUP(Query1[[#This Row],[Description]],'kits to boards'!$B$2:$E$156,2,FALSE)</f>
        <v>830067</v>
      </c>
      <c r="M4830">
        <f>VLOOKUP(Query1[[#This Row],[Description]],'kits to boards'!$B$2:$E$156,3,FALSE)</f>
        <v>0</v>
      </c>
      <c r="N4830">
        <f>VLOOKUP(Query1[[#This Row],[Description]],'kits to boards'!$B$2:$E$156,4,FALSE)</f>
        <v>0</v>
      </c>
      <c r="O4830" t="str">
        <f>CONCATENATE(Query1[[#This Row],[Description]]," - ",Query1[[#This Row],[MB1]]," - ",Query1[[#This Row],[MB2]]," - ",Query1[[#This Row],[MB3]])</f>
        <v>EVAP KIT 59-60 CHEV CAR 4-LEVER - 830067 - 0 - 0</v>
      </c>
    </row>
    <row r="4831" spans="1:15" x14ac:dyDescent="0.25">
      <c r="A4831" s="1">
        <v>922045</v>
      </c>
      <c r="B4831" s="1" t="s">
        <v>162</v>
      </c>
      <c r="C4831" s="1" t="s">
        <v>163</v>
      </c>
      <c r="D4831" s="2">
        <v>44683.609036770831</v>
      </c>
      <c r="E4831" s="1" t="s">
        <v>8</v>
      </c>
      <c r="F4831" s="1">
        <v>2</v>
      </c>
      <c r="G4831" s="1">
        <v>0</v>
      </c>
      <c r="H4831" s="6">
        <f>INT(Query1[[#This Row],[EntryDateTime]])</f>
        <v>44683</v>
      </c>
      <c r="I4831" s="1">
        <f>IF(Query1[[#This Row],[ItemType]]="EVAP KIT SF GEN IV",Query1[[#This Row],[OrderQty]]+I4830,I4830)</f>
        <v>5981</v>
      </c>
      <c r="J4831" s="1">
        <f>IF(Query1[[#This Row],[ItemType]]="EVAP KIT UNIVERSAL",Query1[[#This Row],[OrderQty]]+J4830,J4830)</f>
        <v>1905</v>
      </c>
      <c r="K4831" s="1">
        <f>Query1[[#This Row],[SF Running Total]]+Query1[[#This Row],[UNIV Running Total]]</f>
        <v>7886</v>
      </c>
      <c r="L4831">
        <f>VLOOKUP(Query1[[#This Row],[Description]],'kits to boards'!$B$2:$E$156,2,FALSE)</f>
        <v>830083</v>
      </c>
      <c r="M4831">
        <f>VLOOKUP(Query1[[#This Row],[Description]],'kits to boards'!$B$2:$E$156,3,FALSE)</f>
        <v>0</v>
      </c>
      <c r="N4831">
        <f>VLOOKUP(Query1[[#This Row],[Description]],'kits to boards'!$B$2:$E$156,4,FALSE)</f>
        <v>0</v>
      </c>
      <c r="O4831" t="str">
        <f>CONCATENATE(Query1[[#This Row],[Description]]," - ",Query1[[#This Row],[MB1]]," - ",Query1[[#This Row],[MB2]]," - ",Query1[[#This Row],[MB3]])</f>
        <v>EVAP KIT 70-74 CHALNGR/CUDA W/AC W/RD - 830083 - 0 - 0</v>
      </c>
    </row>
    <row r="4832" spans="1:15" x14ac:dyDescent="0.25">
      <c r="A4832" s="1">
        <v>922071</v>
      </c>
      <c r="B4832" s="1" t="s">
        <v>98</v>
      </c>
      <c r="C4832" s="1" t="s">
        <v>99</v>
      </c>
      <c r="D4832" s="2">
        <v>44683.61467195602</v>
      </c>
      <c r="E4832" s="1" t="s">
        <v>11</v>
      </c>
      <c r="F4832" s="1">
        <v>1</v>
      </c>
      <c r="G4832" s="1">
        <v>0</v>
      </c>
      <c r="H4832" s="6">
        <f>INT(Query1[[#This Row],[EntryDateTime]])</f>
        <v>44683</v>
      </c>
      <c r="I4832" s="1">
        <f>IF(Query1[[#This Row],[ItemType]]="EVAP KIT SF GEN IV",Query1[[#This Row],[OrderQty]]+I4831,I4831)</f>
        <v>5981</v>
      </c>
      <c r="J4832" s="1">
        <f>IF(Query1[[#This Row],[ItemType]]="EVAP KIT UNIVERSAL",Query1[[#This Row],[OrderQty]]+J4831,J4831)</f>
        <v>1906</v>
      </c>
      <c r="K4832" s="1">
        <f>Query1[[#This Row],[SF Running Total]]+Query1[[#This Row],[UNIV Running Total]]</f>
        <v>7887</v>
      </c>
      <c r="L4832">
        <f>VLOOKUP(Query1[[#This Row],[Description]],'kits to boards'!$B$2:$E$156,2,FALSE)</f>
        <v>830099</v>
      </c>
      <c r="M4832">
        <f>VLOOKUP(Query1[[#This Row],[Description]],'kits to boards'!$B$2:$E$156,3,FALSE)</f>
        <v>0</v>
      </c>
      <c r="N4832">
        <f>VLOOKUP(Query1[[#This Row],[Description]],'kits to boards'!$B$2:$E$156,4,FALSE)</f>
        <v>0</v>
      </c>
      <c r="O4832" t="str">
        <f>CONCATENATE(Query1[[#This Row],[Description]]," - ",Query1[[#This Row],[MB1]]," - ",Query1[[#This Row],[MB2]]," - ",Query1[[#This Row],[MB3]])</f>
        <v>MINI GEN II W/DEF - 830099 - 0 - 0</v>
      </c>
    </row>
    <row r="4833" spans="1:15" x14ac:dyDescent="0.25">
      <c r="A4833" s="1">
        <v>922037</v>
      </c>
      <c r="B4833" s="1" t="s">
        <v>22</v>
      </c>
      <c r="C4833" s="1" t="s">
        <v>23</v>
      </c>
      <c r="D4833" s="2">
        <v>44683.61541554398</v>
      </c>
      <c r="E4833" s="1" t="s">
        <v>8</v>
      </c>
      <c r="F4833" s="1">
        <v>1</v>
      </c>
      <c r="G4833" s="1">
        <v>0</v>
      </c>
      <c r="H4833" s="6">
        <f>INT(Query1[[#This Row],[EntryDateTime]])</f>
        <v>44683</v>
      </c>
      <c r="I4833" s="1">
        <f>IF(Query1[[#This Row],[ItemType]]="EVAP KIT SF GEN IV",Query1[[#This Row],[OrderQty]]+I4832,I4832)</f>
        <v>5982</v>
      </c>
      <c r="J4833" s="1">
        <f>IF(Query1[[#This Row],[ItemType]]="EVAP KIT UNIVERSAL",Query1[[#This Row],[OrderQty]]+J4832,J4832)</f>
        <v>1906</v>
      </c>
      <c r="K4833" s="1">
        <f>Query1[[#This Row],[SF Running Total]]+Query1[[#This Row],[UNIV Running Total]]</f>
        <v>7888</v>
      </c>
      <c r="L4833">
        <f>VLOOKUP(Query1[[#This Row],[Description]],'kits to boards'!$B$2:$E$156,2,FALSE)</f>
        <v>830083</v>
      </c>
      <c r="M4833">
        <f>VLOOKUP(Query1[[#This Row],[Description]],'kits to boards'!$B$2:$E$156,3,FALSE)</f>
        <v>0</v>
      </c>
      <c r="N4833">
        <f>VLOOKUP(Query1[[#This Row],[Description]],'kits to boards'!$B$2:$E$156,4,FALSE)</f>
        <v>0</v>
      </c>
      <c r="O4833" t="str">
        <f>CONCATENATE(Query1[[#This Row],[Description]]," - ",Query1[[#This Row],[MB1]]," - ",Query1[[#This Row],[MB2]]," - ",Query1[[#This Row],[MB3]])</f>
        <v>GEN IV MAGNUM EVAP KIT - 830083 - 0 - 0</v>
      </c>
    </row>
    <row r="4834" spans="1:15" x14ac:dyDescent="0.25">
      <c r="A4834" s="1">
        <v>922078</v>
      </c>
      <c r="B4834" s="1" t="s">
        <v>46</v>
      </c>
      <c r="C4834" s="1" t="s">
        <v>47</v>
      </c>
      <c r="D4834" s="2">
        <v>44683.625606400463</v>
      </c>
      <c r="E4834" s="1" t="s">
        <v>8</v>
      </c>
      <c r="F4834" s="1">
        <v>1</v>
      </c>
      <c r="G4834" s="1">
        <v>0</v>
      </c>
      <c r="H4834" s="6">
        <f>INT(Query1[[#This Row],[EntryDateTime]])</f>
        <v>44683</v>
      </c>
      <c r="I4834" s="1">
        <f>IF(Query1[[#This Row],[ItemType]]="EVAP KIT SF GEN IV",Query1[[#This Row],[OrderQty]]+I4833,I4833)</f>
        <v>5983</v>
      </c>
      <c r="J4834" s="1">
        <f>IF(Query1[[#This Row],[ItemType]]="EVAP KIT UNIVERSAL",Query1[[#This Row],[OrderQty]]+J4833,J4833)</f>
        <v>1906</v>
      </c>
      <c r="K4834" s="1">
        <f>Query1[[#This Row],[SF Running Total]]+Query1[[#This Row],[UNIV Running Total]]</f>
        <v>7889</v>
      </c>
      <c r="L4834">
        <f>VLOOKUP(Query1[[#This Row],[Description]],'kits to boards'!$B$2:$E$156,2,FALSE)</f>
        <v>830018</v>
      </c>
      <c r="M4834">
        <f>VLOOKUP(Query1[[#This Row],[Description]],'kits to boards'!$B$2:$E$156,3,FALSE)</f>
        <v>0</v>
      </c>
      <c r="N4834">
        <f>VLOOKUP(Query1[[#This Row],[Description]],'kits to boards'!$B$2:$E$156,4,FALSE)</f>
        <v>0</v>
      </c>
      <c r="O4834" t="str">
        <f>CONCATENATE(Query1[[#This Row],[Description]]," - ",Query1[[#This Row],[MB1]]," - ",Query1[[#This Row],[MB2]]," - ",Query1[[#This Row],[MB3]])</f>
        <v>EVAP KIT 68-72 FORD P-UP F-100 - 830018 - 0 - 0</v>
      </c>
    </row>
    <row r="4835" spans="1:15" x14ac:dyDescent="0.25">
      <c r="A4835" s="1">
        <v>919342</v>
      </c>
      <c r="B4835" s="1" t="s">
        <v>70</v>
      </c>
      <c r="C4835" s="1" t="s">
        <v>71</v>
      </c>
      <c r="D4835" s="2">
        <v>44683.632193090278</v>
      </c>
      <c r="E4835" s="1" t="s">
        <v>8</v>
      </c>
      <c r="F4835" s="1">
        <v>1</v>
      </c>
      <c r="G4835" s="1">
        <v>0</v>
      </c>
      <c r="H4835" s="6">
        <f>INT(Query1[[#This Row],[EntryDateTime]])</f>
        <v>44683</v>
      </c>
      <c r="I4835" s="1">
        <f>IF(Query1[[#This Row],[ItemType]]="EVAP KIT SF GEN IV",Query1[[#This Row],[OrderQty]]+I4834,I4834)</f>
        <v>5984</v>
      </c>
      <c r="J4835" s="1">
        <f>IF(Query1[[#This Row],[ItemType]]="EVAP KIT UNIVERSAL",Query1[[#This Row],[OrderQty]]+J4834,J4834)</f>
        <v>1906</v>
      </c>
      <c r="K4835" s="1">
        <f>Query1[[#This Row],[SF Running Total]]+Query1[[#This Row],[UNIV Running Total]]</f>
        <v>7890</v>
      </c>
      <c r="L4835">
        <f>VLOOKUP(Query1[[#This Row],[Description]],'kits to boards'!$B$2:$E$156,2,FALSE)</f>
        <v>830050</v>
      </c>
      <c r="M4835">
        <f>VLOOKUP(Query1[[#This Row],[Description]],'kits to boards'!$B$2:$E$156,3,FALSE)</f>
        <v>0</v>
      </c>
      <c r="N4835">
        <f>VLOOKUP(Query1[[#This Row],[Description]],'kits to boards'!$B$2:$E$156,4,FALSE)</f>
        <v>0</v>
      </c>
      <c r="O4835" t="str">
        <f>CONCATENATE(Query1[[#This Row],[Description]]," - ",Query1[[#This Row],[MB1]]," - ",Query1[[#This Row],[MB2]]," - ",Query1[[#This Row],[MB3]])</f>
        <v>EVAP KIT 70-78 CAMARO WO AC - 830050 - 0 - 0</v>
      </c>
    </row>
    <row r="4836" spans="1:15" x14ac:dyDescent="0.25">
      <c r="A4836" s="1">
        <v>922093</v>
      </c>
      <c r="B4836" s="1" t="s">
        <v>34</v>
      </c>
      <c r="C4836" s="1" t="s">
        <v>35</v>
      </c>
      <c r="D4836" s="2">
        <v>44683.657580671294</v>
      </c>
      <c r="E4836" s="1" t="s">
        <v>8</v>
      </c>
      <c r="F4836" s="1">
        <v>1</v>
      </c>
      <c r="G4836" s="1">
        <v>0</v>
      </c>
      <c r="H4836" s="6">
        <f>INT(Query1[[#This Row],[EntryDateTime]])</f>
        <v>44683</v>
      </c>
      <c r="I4836" s="1">
        <f>IF(Query1[[#This Row],[ItemType]]="EVAP KIT SF GEN IV",Query1[[#This Row],[OrderQty]]+I4835,I4835)</f>
        <v>5985</v>
      </c>
      <c r="J4836" s="1">
        <f>IF(Query1[[#This Row],[ItemType]]="EVAP KIT UNIVERSAL",Query1[[#This Row],[OrderQty]]+J4835,J4835)</f>
        <v>1906</v>
      </c>
      <c r="K4836" s="1">
        <f>Query1[[#This Row],[SF Running Total]]+Query1[[#This Row],[UNIV Running Total]]</f>
        <v>7891</v>
      </c>
      <c r="L4836">
        <f>VLOOKUP(Query1[[#This Row],[Description]],'kits to boards'!$B$2:$E$156,2,FALSE)</f>
        <v>830065</v>
      </c>
      <c r="M4836">
        <f>VLOOKUP(Query1[[#This Row],[Description]],'kits to boards'!$B$2:$E$156,3,FALSE)</f>
        <v>0</v>
      </c>
      <c r="N4836">
        <f>VLOOKUP(Query1[[#This Row],[Description]],'kits to boards'!$B$2:$E$156,4,FALSE)</f>
        <v>0</v>
      </c>
      <c r="O4836" t="str">
        <f>CONCATENATE(Query1[[#This Row],[Description]]," - ",Query1[[#This Row],[MB1]]," - ",Query1[[#This Row],[MB2]]," - ",Query1[[#This Row],[MB3]])</f>
        <v>EVAP KIT 57 CHEV WO AC - 830065 - 0 - 0</v>
      </c>
    </row>
    <row r="4837" spans="1:15" x14ac:dyDescent="0.25">
      <c r="A4837" s="1">
        <v>921982</v>
      </c>
      <c r="B4837" s="1" t="s">
        <v>96</v>
      </c>
      <c r="C4837" s="1" t="s">
        <v>97</v>
      </c>
      <c r="D4837" s="2">
        <v>44683.659896793979</v>
      </c>
      <c r="E4837" s="1" t="s">
        <v>8</v>
      </c>
      <c r="F4837" s="1">
        <v>1</v>
      </c>
      <c r="G4837" s="1">
        <v>0</v>
      </c>
      <c r="H4837" s="6">
        <f>INT(Query1[[#This Row],[EntryDateTime]])</f>
        <v>44683</v>
      </c>
      <c r="I4837" s="1">
        <f>IF(Query1[[#This Row],[ItemType]]="EVAP KIT SF GEN IV",Query1[[#This Row],[OrderQty]]+I4836,I4836)</f>
        <v>5986</v>
      </c>
      <c r="J4837" s="1">
        <f>IF(Query1[[#This Row],[ItemType]]="EVAP KIT UNIVERSAL",Query1[[#This Row],[OrderQty]]+J4836,J4836)</f>
        <v>1906</v>
      </c>
      <c r="K4837" s="1">
        <f>Query1[[#This Row],[SF Running Total]]+Query1[[#This Row],[UNIV Running Total]]</f>
        <v>7892</v>
      </c>
      <c r="L4837">
        <f>VLOOKUP(Query1[[#This Row],[Description]],'kits to boards'!$B$2:$E$156,2,FALSE)</f>
        <v>830004</v>
      </c>
      <c r="M4837">
        <f>VLOOKUP(Query1[[#This Row],[Description]],'kits to boards'!$B$2:$E$156,3,FALSE)</f>
        <v>0</v>
      </c>
      <c r="N4837">
        <f>VLOOKUP(Query1[[#This Row],[Description]],'kits to boards'!$B$2:$E$156,4,FALSE)</f>
        <v>0</v>
      </c>
      <c r="O4837" t="str">
        <f>CONCATENATE(Query1[[#This Row],[Description]]," - ",Query1[[#This Row],[MB1]]," - ",Query1[[#This Row],[MB2]]," - ",Query1[[#This Row],[MB3]])</f>
        <v>EVAP KIT 81-87 CHEV P-UP W/AC - 830004 - 0 - 0</v>
      </c>
    </row>
    <row r="4838" spans="1:15" x14ac:dyDescent="0.25">
      <c r="A4838" s="1">
        <v>922098</v>
      </c>
      <c r="B4838" s="1" t="s">
        <v>102</v>
      </c>
      <c r="C4838" s="1" t="s">
        <v>103</v>
      </c>
      <c r="D4838" s="2">
        <v>44683.663046493057</v>
      </c>
      <c r="E4838" s="1" t="s">
        <v>8</v>
      </c>
      <c r="F4838" s="1">
        <v>1</v>
      </c>
      <c r="G4838" s="1">
        <v>0</v>
      </c>
      <c r="H4838" s="6">
        <f>INT(Query1[[#This Row],[EntryDateTime]])</f>
        <v>44683</v>
      </c>
      <c r="I4838" s="1">
        <f>IF(Query1[[#This Row],[ItemType]]="EVAP KIT SF GEN IV",Query1[[#This Row],[OrderQty]]+I4837,I4837)</f>
        <v>5987</v>
      </c>
      <c r="J4838" s="1">
        <f>IF(Query1[[#This Row],[ItemType]]="EVAP KIT UNIVERSAL",Query1[[#This Row],[OrderQty]]+J4837,J4837)</f>
        <v>1906</v>
      </c>
      <c r="K4838" s="1">
        <f>Query1[[#This Row],[SF Running Total]]+Query1[[#This Row],[UNIV Running Total]]</f>
        <v>7893</v>
      </c>
      <c r="L4838">
        <f>VLOOKUP(Query1[[#This Row],[Description]],'kits to boards'!$B$2:$E$156,2,FALSE)</f>
        <v>830012</v>
      </c>
      <c r="M4838">
        <f>VLOOKUP(Query1[[#This Row],[Description]],'kits to boards'!$B$2:$E$156,3,FALSE)</f>
        <v>0</v>
      </c>
      <c r="N4838">
        <f>VLOOKUP(Query1[[#This Row],[Description]],'kits to boards'!$B$2:$E$156,4,FALSE)</f>
        <v>0</v>
      </c>
      <c r="O4838" t="str">
        <f>CONCATENATE(Query1[[#This Row],[Description]]," - ",Query1[[#This Row],[MB1]]," - ",Query1[[#This Row],[MB2]]," - ",Query1[[#This Row],[MB3]])</f>
        <v>EVAP KIT 69 CAMARO WO/AC - 830012 - 0 - 0</v>
      </c>
    </row>
    <row r="4839" spans="1:15" x14ac:dyDescent="0.25">
      <c r="A4839" s="1">
        <v>922109</v>
      </c>
      <c r="B4839" s="1" t="s">
        <v>76</v>
      </c>
      <c r="C4839" s="1" t="s">
        <v>77</v>
      </c>
      <c r="D4839" s="2">
        <v>44683.677266284722</v>
      </c>
      <c r="E4839" s="1" t="s">
        <v>11</v>
      </c>
      <c r="F4839" s="1">
        <v>1</v>
      </c>
      <c r="G4839" s="1">
        <v>0</v>
      </c>
      <c r="H4839" s="6">
        <f>INT(Query1[[#This Row],[EntryDateTime]])</f>
        <v>44683</v>
      </c>
      <c r="I4839" s="1">
        <f>IF(Query1[[#This Row],[ItemType]]="EVAP KIT SF GEN IV",Query1[[#This Row],[OrderQty]]+I4838,I4838)</f>
        <v>5987</v>
      </c>
      <c r="J4839" s="1">
        <f>IF(Query1[[#This Row],[ItemType]]="EVAP KIT UNIVERSAL",Query1[[#This Row],[OrderQty]]+J4838,J4838)</f>
        <v>1907</v>
      </c>
      <c r="K4839" s="1">
        <f>Query1[[#This Row],[SF Running Total]]+Query1[[#This Row],[UNIV Running Total]]</f>
        <v>7894</v>
      </c>
      <c r="L4839">
        <f>VLOOKUP(Query1[[#This Row],[Description]],'kits to boards'!$B$2:$E$156,2,FALSE)</f>
        <v>830099</v>
      </c>
      <c r="M4839">
        <f>VLOOKUP(Query1[[#This Row],[Description]],'kits to boards'!$B$2:$E$156,3,FALSE)</f>
        <v>0</v>
      </c>
      <c r="N4839">
        <f>VLOOKUP(Query1[[#This Row],[Description]],'kits to boards'!$B$2:$E$156,4,FALSE)</f>
        <v>0</v>
      </c>
      <c r="O4839" t="str">
        <f>CONCATENATE(Query1[[#This Row],[Description]]," - ",Query1[[#This Row],[MB1]]," - ",Query1[[#This Row],[MB2]]," - ",Query1[[#This Row],[MB3]])</f>
        <v>MINI GEN II H/C - 830099 - 0 - 0</v>
      </c>
    </row>
    <row r="4840" spans="1:15" x14ac:dyDescent="0.25">
      <c r="A4840" s="1">
        <v>922112</v>
      </c>
      <c r="B4840" s="1" t="s">
        <v>26</v>
      </c>
      <c r="C4840" s="1" t="s">
        <v>27</v>
      </c>
      <c r="D4840" s="2">
        <v>44683.682320798609</v>
      </c>
      <c r="E4840" s="1" t="s">
        <v>8</v>
      </c>
      <c r="F4840" s="1">
        <v>1</v>
      </c>
      <c r="G4840" s="1">
        <v>0</v>
      </c>
      <c r="H4840" s="6">
        <f>INT(Query1[[#This Row],[EntryDateTime]])</f>
        <v>44683</v>
      </c>
      <c r="I4840" s="1">
        <f>IF(Query1[[#This Row],[ItemType]]="EVAP KIT SF GEN IV",Query1[[#This Row],[OrderQty]]+I4839,I4839)</f>
        <v>5988</v>
      </c>
      <c r="J4840" s="1">
        <f>IF(Query1[[#This Row],[ItemType]]="EVAP KIT UNIVERSAL",Query1[[#This Row],[OrderQty]]+J4839,J4839)</f>
        <v>1907</v>
      </c>
      <c r="K4840" s="1">
        <f>Query1[[#This Row],[SF Running Total]]+Query1[[#This Row],[UNIV Running Total]]</f>
        <v>7895</v>
      </c>
      <c r="L4840">
        <f>VLOOKUP(Query1[[#This Row],[Description]],'kits to boards'!$B$2:$E$156,2,FALSE)</f>
        <v>830013</v>
      </c>
      <c r="M4840">
        <f>VLOOKUP(Query1[[#This Row],[Description]],'kits to boards'!$B$2:$E$156,3,FALSE)</f>
        <v>0</v>
      </c>
      <c r="N4840">
        <f>VLOOKUP(Query1[[#This Row],[Description]],'kits to boards'!$B$2:$E$156,4,FALSE)</f>
        <v>0</v>
      </c>
      <c r="O4840" t="str">
        <f>CONCATENATE(Query1[[#This Row],[Description]]," - ",Query1[[#This Row],[MB1]]," - ",Query1[[#This Row],[MB2]]," - ",Query1[[#This Row],[MB3]])</f>
        <v>EVAP KIT 67-72 CHEV P-UP W/AC - 830013 - 0 - 0</v>
      </c>
    </row>
    <row r="4841" spans="1:15" x14ac:dyDescent="0.25">
      <c r="A4841" s="1">
        <v>922009</v>
      </c>
      <c r="B4841" s="1" t="s">
        <v>176</v>
      </c>
      <c r="C4841" s="1" t="s">
        <v>177</v>
      </c>
      <c r="D4841" s="2">
        <v>44683.698273842594</v>
      </c>
      <c r="E4841" s="1" t="s">
        <v>8</v>
      </c>
      <c r="F4841" s="1">
        <v>1</v>
      </c>
      <c r="G4841" s="1">
        <v>0</v>
      </c>
      <c r="H4841" s="6">
        <f>INT(Query1[[#This Row],[EntryDateTime]])</f>
        <v>44683</v>
      </c>
      <c r="I4841" s="1">
        <f>IF(Query1[[#This Row],[ItemType]]="EVAP KIT SF GEN IV",Query1[[#This Row],[OrderQty]]+I4840,I4840)</f>
        <v>5989</v>
      </c>
      <c r="J4841" s="1">
        <f>IF(Query1[[#This Row],[ItemType]]="EVAP KIT UNIVERSAL",Query1[[#This Row],[OrderQty]]+J4840,J4840)</f>
        <v>1907</v>
      </c>
      <c r="K4841" s="1">
        <f>Query1[[#This Row],[SF Running Total]]+Query1[[#This Row],[UNIV Running Total]]</f>
        <v>7896</v>
      </c>
      <c r="L4841">
        <f>VLOOKUP(Query1[[#This Row],[Description]],'kits to boards'!$B$2:$E$156,2,FALSE)</f>
        <v>830125</v>
      </c>
      <c r="M4841">
        <f>VLOOKUP(Query1[[#This Row],[Description]],'kits to boards'!$B$2:$E$156,3,FALSE)</f>
        <v>0</v>
      </c>
      <c r="N4841">
        <f>VLOOKUP(Query1[[#This Row],[Description]],'kits to boards'!$B$2:$E$156,4,FALSE)</f>
        <v>0</v>
      </c>
      <c r="O4841" t="str">
        <f>CONCATENATE(Query1[[#This Row],[Description]]," - ",Query1[[#This Row],[MB1]]," - ",Query1[[#This Row],[MB2]]," - ",Query1[[#This Row],[MB3]])</f>
        <v>EVAP KIT 65-66 IMPALA W/AC - 830125 - 0 - 0</v>
      </c>
    </row>
    <row r="4842" spans="1:15" x14ac:dyDescent="0.25">
      <c r="A4842" s="1">
        <v>922125</v>
      </c>
      <c r="B4842" s="1" t="s">
        <v>98</v>
      </c>
      <c r="C4842" s="1" t="s">
        <v>99</v>
      </c>
      <c r="D4842" s="2">
        <v>44683.714080405094</v>
      </c>
      <c r="E4842" s="1" t="s">
        <v>11</v>
      </c>
      <c r="F4842" s="1">
        <v>1</v>
      </c>
      <c r="G4842" s="1">
        <v>0</v>
      </c>
      <c r="H4842" s="6">
        <f>INT(Query1[[#This Row],[EntryDateTime]])</f>
        <v>44683</v>
      </c>
      <c r="I4842" s="1">
        <f>IF(Query1[[#This Row],[ItemType]]="EVAP KIT SF GEN IV",Query1[[#This Row],[OrderQty]]+I4841,I4841)</f>
        <v>5989</v>
      </c>
      <c r="J4842" s="1">
        <f>IF(Query1[[#This Row],[ItemType]]="EVAP KIT UNIVERSAL",Query1[[#This Row],[OrderQty]]+J4841,J4841)</f>
        <v>1908</v>
      </c>
      <c r="K4842" s="1">
        <f>Query1[[#This Row],[SF Running Total]]+Query1[[#This Row],[UNIV Running Total]]</f>
        <v>7897</v>
      </c>
      <c r="L4842">
        <f>VLOOKUP(Query1[[#This Row],[Description]],'kits to boards'!$B$2:$E$156,2,FALSE)</f>
        <v>830099</v>
      </c>
      <c r="M4842">
        <f>VLOOKUP(Query1[[#This Row],[Description]],'kits to boards'!$B$2:$E$156,3,FALSE)</f>
        <v>0</v>
      </c>
      <c r="N4842">
        <f>VLOOKUP(Query1[[#This Row],[Description]],'kits to boards'!$B$2:$E$156,4,FALSE)</f>
        <v>0</v>
      </c>
      <c r="O4842" t="str">
        <f>CONCATENATE(Query1[[#This Row],[Description]]," - ",Query1[[#This Row],[MB1]]," - ",Query1[[#This Row],[MB2]]," - ",Query1[[#This Row],[MB3]])</f>
        <v>MINI GEN II W/DEF - 830099 - 0 - 0</v>
      </c>
    </row>
    <row r="4843" spans="1:15" x14ac:dyDescent="0.25">
      <c r="A4843" s="1">
        <v>922125</v>
      </c>
      <c r="B4843" s="1" t="s">
        <v>104</v>
      </c>
      <c r="C4843" s="1" t="s">
        <v>105</v>
      </c>
      <c r="D4843" s="2">
        <v>44683.714082210645</v>
      </c>
      <c r="E4843" s="1" t="s">
        <v>11</v>
      </c>
      <c r="F4843" s="1">
        <v>1</v>
      </c>
      <c r="G4843" s="1">
        <v>0</v>
      </c>
      <c r="H4843" s="6">
        <f>INT(Query1[[#This Row],[EntryDateTime]])</f>
        <v>44683</v>
      </c>
      <c r="I4843" s="1">
        <f>IF(Query1[[#This Row],[ItemType]]="EVAP KIT SF GEN IV",Query1[[#This Row],[OrderQty]]+I4842,I4842)</f>
        <v>5989</v>
      </c>
      <c r="J4843" s="1">
        <f>IF(Query1[[#This Row],[ItemType]]="EVAP KIT UNIVERSAL",Query1[[#This Row],[OrderQty]]+J4842,J4842)</f>
        <v>1909</v>
      </c>
      <c r="K4843" s="1">
        <f>Query1[[#This Row],[SF Running Total]]+Query1[[#This Row],[UNIV Running Total]]</f>
        <v>7898</v>
      </c>
      <c r="L4843">
        <f>VLOOKUP(Query1[[#This Row],[Description]],'kits to boards'!$B$2:$E$156,2,FALSE)</f>
        <v>0</v>
      </c>
      <c r="M4843">
        <f>VLOOKUP(Query1[[#This Row],[Description]],'kits to boards'!$B$2:$E$156,3,FALSE)</f>
        <v>0</v>
      </c>
      <c r="N4843">
        <f>VLOOKUP(Query1[[#This Row],[Description]],'kits to boards'!$B$2:$E$156,4,FALSE)</f>
        <v>0</v>
      </c>
      <c r="O4843" t="str">
        <f>CONCATENATE(Query1[[#This Row],[Description]]," - ",Query1[[#This Row],[MB1]]," - ",Query1[[#This Row],[MB2]]," - ",Query1[[#This Row],[MB3]])</f>
        <v>HERITAGE BRUSHED EVAP KIT HEAT/COOL - 0 - 0 - 0</v>
      </c>
    </row>
    <row r="4844" spans="1:15" x14ac:dyDescent="0.25">
      <c r="A4844" s="1">
        <v>922125</v>
      </c>
      <c r="B4844" s="1" t="s">
        <v>78</v>
      </c>
      <c r="C4844" s="1" t="s">
        <v>79</v>
      </c>
      <c r="D4844" s="2">
        <v>44683.714085613428</v>
      </c>
      <c r="E4844" s="1" t="s">
        <v>11</v>
      </c>
      <c r="F4844" s="1">
        <v>1</v>
      </c>
      <c r="G4844" s="1">
        <v>0</v>
      </c>
      <c r="H4844" s="6">
        <f>INT(Query1[[#This Row],[EntryDateTime]])</f>
        <v>44683</v>
      </c>
      <c r="I4844" s="1">
        <f>IF(Query1[[#This Row],[ItemType]]="EVAP KIT SF GEN IV",Query1[[#This Row],[OrderQty]]+I4843,I4843)</f>
        <v>5989</v>
      </c>
      <c r="J4844" s="1">
        <f>IF(Query1[[#This Row],[ItemType]]="EVAP KIT UNIVERSAL",Query1[[#This Row],[OrderQty]]+J4843,J4843)</f>
        <v>1910</v>
      </c>
      <c r="K4844" s="1">
        <f>Query1[[#This Row],[SF Running Total]]+Query1[[#This Row],[UNIV Running Total]]</f>
        <v>7899</v>
      </c>
      <c r="L4844">
        <f>VLOOKUP(Query1[[#This Row],[Description]],'kits to boards'!$B$2:$E$156,2,FALSE)</f>
        <v>0</v>
      </c>
      <c r="M4844">
        <f>VLOOKUP(Query1[[#This Row],[Description]],'kits to boards'!$B$2:$E$156,3,FALSE)</f>
        <v>0</v>
      </c>
      <c r="N4844">
        <f>VLOOKUP(Query1[[#This Row],[Description]],'kits to boards'!$B$2:$E$156,4,FALSE)</f>
        <v>0</v>
      </c>
      <c r="O4844" t="str">
        <f>CONCATENATE(Query1[[#This Row],[Description]]," - ",Query1[[#This Row],[MB1]]," - ",Query1[[#This Row],[MB2]]," - ",Query1[[#This Row],[MB3]])</f>
        <v>MARK IV STYLELINE UNDERDASH EVAP - 0 - 0 - 0</v>
      </c>
    </row>
    <row r="4845" spans="1:15" x14ac:dyDescent="0.25">
      <c r="A4845" s="1">
        <v>922125</v>
      </c>
      <c r="B4845" s="1" t="s">
        <v>24</v>
      </c>
      <c r="C4845" s="1" t="s">
        <v>25</v>
      </c>
      <c r="D4845" s="2">
        <v>44683.714107442131</v>
      </c>
      <c r="E4845" s="1" t="s">
        <v>11</v>
      </c>
      <c r="F4845" s="1">
        <v>3</v>
      </c>
      <c r="G4845" s="1">
        <v>0</v>
      </c>
      <c r="H4845" s="6">
        <f>INT(Query1[[#This Row],[EntryDateTime]])</f>
        <v>44683</v>
      </c>
      <c r="I4845" s="1">
        <f>IF(Query1[[#This Row],[ItemType]]="EVAP KIT SF GEN IV",Query1[[#This Row],[OrderQty]]+I4844,I4844)</f>
        <v>5989</v>
      </c>
      <c r="J4845" s="1">
        <f>IF(Query1[[#This Row],[ItemType]]="EVAP KIT UNIVERSAL",Query1[[#This Row],[OrderQty]]+J4844,J4844)</f>
        <v>1913</v>
      </c>
      <c r="K4845" s="1">
        <f>Query1[[#This Row],[SF Running Total]]+Query1[[#This Row],[UNIV Running Total]]</f>
        <v>7902</v>
      </c>
      <c r="L4845">
        <f>VLOOKUP(Query1[[#This Row],[Description]],'kits to boards'!$B$2:$E$156,2,FALSE)</f>
        <v>830029</v>
      </c>
      <c r="M4845">
        <f>VLOOKUP(Query1[[#This Row],[Description]],'kits to boards'!$B$2:$E$156,3,FALSE)</f>
        <v>830030</v>
      </c>
      <c r="N4845">
        <f>VLOOKUP(Query1[[#This Row],[Description]],'kits to boards'!$B$2:$E$156,4,FALSE)</f>
        <v>0</v>
      </c>
      <c r="O4845" t="str">
        <f>CONCATENATE(Query1[[#This Row],[Description]]," - ",Query1[[#This Row],[MB1]]," - ",Query1[[#This Row],[MB2]]," - ",Query1[[#This Row],[MB3]])</f>
        <v>ComPac GEN II W/DEF - 830029 - 830030 - 0</v>
      </c>
    </row>
    <row r="4846" spans="1:15" x14ac:dyDescent="0.25">
      <c r="A4846" s="1">
        <v>922125</v>
      </c>
      <c r="B4846" s="1" t="s">
        <v>263</v>
      </c>
      <c r="C4846" s="1" t="s">
        <v>264</v>
      </c>
      <c r="D4846" s="2">
        <v>44683.714141006945</v>
      </c>
      <c r="E4846" s="1" t="s">
        <v>11</v>
      </c>
      <c r="F4846" s="1">
        <v>1</v>
      </c>
      <c r="G4846" s="1">
        <v>0</v>
      </c>
      <c r="H4846" s="6">
        <f>INT(Query1[[#This Row],[EntryDateTime]])</f>
        <v>44683</v>
      </c>
      <c r="I4846" s="1">
        <f>IF(Query1[[#This Row],[ItemType]]="EVAP KIT SF GEN IV",Query1[[#This Row],[OrderQty]]+I4845,I4845)</f>
        <v>5989</v>
      </c>
      <c r="J4846" s="1">
        <f>IF(Query1[[#This Row],[ItemType]]="EVAP KIT UNIVERSAL",Query1[[#This Row],[OrderQty]]+J4845,J4845)</f>
        <v>1914</v>
      </c>
      <c r="K4846" s="1">
        <f>Query1[[#This Row],[SF Running Total]]+Query1[[#This Row],[UNIV Running Total]]</f>
        <v>7903</v>
      </c>
      <c r="L4846">
        <f>VLOOKUP(Query1[[#This Row],[Description]],'kits to boards'!$B$2:$E$156,2,FALSE)</f>
        <v>830069</v>
      </c>
      <c r="M4846">
        <f>VLOOKUP(Query1[[#This Row],[Description]],'kits to boards'!$B$2:$E$156,3,FALSE)</f>
        <v>0</v>
      </c>
      <c r="N4846">
        <f>VLOOKUP(Query1[[#This Row],[Description]],'kits to boards'!$B$2:$E$156,4,FALSE)</f>
        <v>0</v>
      </c>
      <c r="O4846" t="str">
        <f>CONCATENATE(Query1[[#This Row],[Description]]," - ",Query1[[#This Row],[MB1]]," - ",Query1[[#This Row],[MB2]]," - ",Query1[[#This Row],[MB3]])</f>
        <v>SLIMLINE COOL STD LOUVER - 830069 - 0 - 0</v>
      </c>
    </row>
    <row r="4847" spans="1:15" x14ac:dyDescent="0.25">
      <c r="A4847" s="1">
        <v>922126</v>
      </c>
      <c r="B4847" s="1" t="s">
        <v>124</v>
      </c>
      <c r="C4847" s="1" t="s">
        <v>125</v>
      </c>
      <c r="D4847" s="2">
        <v>44683.718988194443</v>
      </c>
      <c r="E4847" s="1" t="s">
        <v>8</v>
      </c>
      <c r="F4847" s="1">
        <v>1</v>
      </c>
      <c r="G4847" s="1">
        <v>0</v>
      </c>
      <c r="H4847" s="6">
        <f>INT(Query1[[#This Row],[EntryDateTime]])</f>
        <v>44683</v>
      </c>
      <c r="I4847" s="1">
        <f>IF(Query1[[#This Row],[ItemType]]="EVAP KIT SF GEN IV",Query1[[#This Row],[OrderQty]]+I4846,I4846)</f>
        <v>5990</v>
      </c>
      <c r="J4847" s="1">
        <f>IF(Query1[[#This Row],[ItemType]]="EVAP KIT UNIVERSAL",Query1[[#This Row],[OrderQty]]+J4846,J4846)</f>
        <v>1914</v>
      </c>
      <c r="K4847" s="1">
        <f>Query1[[#This Row],[SF Running Total]]+Query1[[#This Row],[UNIV Running Total]]</f>
        <v>7904</v>
      </c>
      <c r="L4847">
        <f>VLOOKUP(Query1[[#This Row],[Description]],'kits to boards'!$B$2:$E$156,2,FALSE)</f>
        <v>830002</v>
      </c>
      <c r="M4847">
        <f>VLOOKUP(Query1[[#This Row],[Description]],'kits to boards'!$B$2:$E$156,3,FALSE)</f>
        <v>0</v>
      </c>
      <c r="N4847">
        <f>VLOOKUP(Query1[[#This Row],[Description]],'kits to boards'!$B$2:$E$156,4,FALSE)</f>
        <v>0</v>
      </c>
      <c r="O4847" t="str">
        <f>CONCATENATE(Query1[[#This Row],[Description]]," - ",Query1[[#This Row],[MB1]]," - ",Query1[[#This Row],[MB2]]," - ",Query1[[#This Row],[MB3]])</f>
        <v>EVAP KIT 73-80 CHEV P-UP WO AC - 830002 - 0 - 0</v>
      </c>
    </row>
    <row r="4848" spans="1:15" x14ac:dyDescent="0.25">
      <c r="A4848" s="1">
        <v>922132</v>
      </c>
      <c r="B4848" s="1" t="s">
        <v>122</v>
      </c>
      <c r="C4848" s="1" t="s">
        <v>123</v>
      </c>
      <c r="D4848" s="2">
        <v>44683.826572418984</v>
      </c>
      <c r="E4848" s="1" t="s">
        <v>8</v>
      </c>
      <c r="F4848" s="1">
        <v>1</v>
      </c>
      <c r="G4848" s="1">
        <v>0</v>
      </c>
      <c r="H4848" s="6">
        <f>INT(Query1[[#This Row],[EntryDateTime]])</f>
        <v>44683</v>
      </c>
      <c r="I4848" s="1">
        <f>IF(Query1[[#This Row],[ItemType]]="EVAP KIT SF GEN IV",Query1[[#This Row],[OrderQty]]+I4847,I4847)</f>
        <v>5991</v>
      </c>
      <c r="J4848" s="1">
        <f>IF(Query1[[#This Row],[ItemType]]="EVAP KIT UNIVERSAL",Query1[[#This Row],[OrderQty]]+J4847,J4847)</f>
        <v>1914</v>
      </c>
      <c r="K4848" s="1">
        <f>Query1[[#This Row],[SF Running Total]]+Query1[[#This Row],[UNIV Running Total]]</f>
        <v>7905</v>
      </c>
      <c r="L4848">
        <f>VLOOKUP(Query1[[#This Row],[Description]],'kits to boards'!$B$2:$E$156,2,FALSE)</f>
        <v>830027</v>
      </c>
      <c r="M4848">
        <f>VLOOKUP(Query1[[#This Row],[Description]],'kits to boards'!$B$2:$E$156,3,FALSE)</f>
        <v>0</v>
      </c>
      <c r="N4848">
        <f>VLOOKUP(Query1[[#This Row],[Description]],'kits to boards'!$B$2:$E$156,4,FALSE)</f>
        <v>0</v>
      </c>
      <c r="O4848" t="str">
        <f>CONCATENATE(Query1[[#This Row],[Description]]," - ",Query1[[#This Row],[MB1]]," - ",Query1[[#This Row],[MB2]]," - ",Query1[[#This Row],[MB3]])</f>
        <v>EVAP KIT 70-72 CUTLASS W/AC - 830027 - 0 - 0</v>
      </c>
    </row>
    <row r="4849" spans="1:15" x14ac:dyDescent="0.25">
      <c r="A4849" s="1">
        <v>922142</v>
      </c>
      <c r="B4849" s="1" t="s">
        <v>128</v>
      </c>
      <c r="C4849" s="1" t="s">
        <v>129</v>
      </c>
      <c r="D4849" s="2">
        <v>44684.328019062501</v>
      </c>
      <c r="E4849" s="1" t="s">
        <v>8</v>
      </c>
      <c r="F4849" s="1">
        <v>1</v>
      </c>
      <c r="G4849" s="1">
        <v>0</v>
      </c>
      <c r="H4849" s="6">
        <f>INT(Query1[[#This Row],[EntryDateTime]])</f>
        <v>44684</v>
      </c>
      <c r="I4849" s="1">
        <f>IF(Query1[[#This Row],[ItemType]]="EVAP KIT SF GEN IV",Query1[[#This Row],[OrderQty]]+I4848,I4848)</f>
        <v>5992</v>
      </c>
      <c r="J4849" s="1">
        <f>IF(Query1[[#This Row],[ItemType]]="EVAP KIT UNIVERSAL",Query1[[#This Row],[OrderQty]]+J4848,J4848)</f>
        <v>1914</v>
      </c>
      <c r="K4849" s="1">
        <f>Query1[[#This Row],[SF Running Total]]+Query1[[#This Row],[UNIV Running Total]]</f>
        <v>7906</v>
      </c>
      <c r="L4849">
        <f>VLOOKUP(Query1[[#This Row],[Description]],'kits to boards'!$B$2:$E$156,2,FALSE)</f>
        <v>830036</v>
      </c>
      <c r="M4849">
        <f>VLOOKUP(Query1[[#This Row],[Description]],'kits to boards'!$B$2:$E$156,3,FALSE)</f>
        <v>830039</v>
      </c>
      <c r="N4849">
        <f>VLOOKUP(Query1[[#This Row],[Description]],'kits to boards'!$B$2:$E$156,4,FALSE)</f>
        <v>0</v>
      </c>
      <c r="O4849" t="str">
        <f>CONCATENATE(Query1[[#This Row],[Description]]," - ",Query1[[#This Row],[MB1]]," - ",Query1[[#This Row],[MB2]]," - ",Query1[[#This Row],[MB3]])</f>
        <v>EVAP KIT 63-66 VETTE WO AC - 830036 - 830039 - 0</v>
      </c>
    </row>
    <row r="4850" spans="1:15" x14ac:dyDescent="0.25">
      <c r="A4850" s="1">
        <v>922146</v>
      </c>
      <c r="B4850" s="1" t="s">
        <v>94</v>
      </c>
      <c r="C4850" s="1" t="s">
        <v>95</v>
      </c>
      <c r="D4850" s="2">
        <v>44684.333074305556</v>
      </c>
      <c r="E4850" s="1" t="s">
        <v>8</v>
      </c>
      <c r="F4850" s="1">
        <v>1</v>
      </c>
      <c r="G4850" s="1">
        <v>0</v>
      </c>
      <c r="H4850" s="6">
        <f>INT(Query1[[#This Row],[EntryDateTime]])</f>
        <v>44684</v>
      </c>
      <c r="I4850" s="1">
        <f>IF(Query1[[#This Row],[ItemType]]="EVAP KIT SF GEN IV",Query1[[#This Row],[OrderQty]]+I4849,I4849)</f>
        <v>5993</v>
      </c>
      <c r="J4850" s="1">
        <f>IF(Query1[[#This Row],[ItemType]]="EVAP KIT UNIVERSAL",Query1[[#This Row],[OrderQty]]+J4849,J4849)</f>
        <v>1914</v>
      </c>
      <c r="K4850" s="1">
        <f>Query1[[#This Row],[SF Running Total]]+Query1[[#This Row],[UNIV Running Total]]</f>
        <v>7907</v>
      </c>
      <c r="L4850">
        <f>VLOOKUP(Query1[[#This Row],[Description]],'kits to boards'!$B$2:$E$156,2,FALSE)</f>
        <v>830076</v>
      </c>
      <c r="M4850">
        <f>VLOOKUP(Query1[[#This Row],[Description]],'kits to boards'!$B$2:$E$156,3,FALSE)</f>
        <v>0</v>
      </c>
      <c r="N4850">
        <f>VLOOKUP(Query1[[#This Row],[Description]],'kits to boards'!$B$2:$E$156,4,FALSE)</f>
        <v>0</v>
      </c>
      <c r="O4850" t="str">
        <f>CONCATENATE(Query1[[#This Row],[Description]]," - ",Query1[[#This Row],[MB1]]," - ",Query1[[#This Row],[MB2]]," - ",Query1[[#This Row],[MB3]])</f>
        <v>EVAP KIT 64 1/2- 66 MUSTANG  - 830076 - 0 - 0</v>
      </c>
    </row>
    <row r="4851" spans="1:15" x14ac:dyDescent="0.25">
      <c r="A4851" s="1">
        <v>922148</v>
      </c>
      <c r="B4851" s="1" t="s">
        <v>128</v>
      </c>
      <c r="C4851" s="1" t="s">
        <v>129</v>
      </c>
      <c r="D4851" s="2">
        <v>44684.337633333336</v>
      </c>
      <c r="E4851" s="1" t="s">
        <v>8</v>
      </c>
      <c r="F4851" s="1">
        <v>1</v>
      </c>
      <c r="G4851" s="1">
        <v>0</v>
      </c>
      <c r="H4851" s="6">
        <f>INT(Query1[[#This Row],[EntryDateTime]])</f>
        <v>44684</v>
      </c>
      <c r="I4851" s="1">
        <f>IF(Query1[[#This Row],[ItemType]]="EVAP KIT SF GEN IV",Query1[[#This Row],[OrderQty]]+I4850,I4850)</f>
        <v>5994</v>
      </c>
      <c r="J4851" s="1">
        <f>IF(Query1[[#This Row],[ItemType]]="EVAP KIT UNIVERSAL",Query1[[#This Row],[OrderQty]]+J4850,J4850)</f>
        <v>1914</v>
      </c>
      <c r="K4851" s="1">
        <f>Query1[[#This Row],[SF Running Total]]+Query1[[#This Row],[UNIV Running Total]]</f>
        <v>7908</v>
      </c>
      <c r="L4851">
        <f>VLOOKUP(Query1[[#This Row],[Description]],'kits to boards'!$B$2:$E$156,2,FALSE)</f>
        <v>830036</v>
      </c>
      <c r="M4851">
        <f>VLOOKUP(Query1[[#This Row],[Description]],'kits to boards'!$B$2:$E$156,3,FALSE)</f>
        <v>830039</v>
      </c>
      <c r="N4851">
        <f>VLOOKUP(Query1[[#This Row],[Description]],'kits to boards'!$B$2:$E$156,4,FALSE)</f>
        <v>0</v>
      </c>
      <c r="O4851" t="str">
        <f>CONCATENATE(Query1[[#This Row],[Description]]," - ",Query1[[#This Row],[MB1]]," - ",Query1[[#This Row],[MB2]]," - ",Query1[[#This Row],[MB3]])</f>
        <v>EVAP KIT 63-66 VETTE WO AC - 830036 - 830039 - 0</v>
      </c>
    </row>
    <row r="4852" spans="1:15" x14ac:dyDescent="0.25">
      <c r="A4852" s="1">
        <v>922151</v>
      </c>
      <c r="B4852" s="1" t="s">
        <v>106</v>
      </c>
      <c r="C4852" s="1" t="s">
        <v>107</v>
      </c>
      <c r="D4852" s="2">
        <v>44684.341354594908</v>
      </c>
      <c r="E4852" s="1" t="s">
        <v>8</v>
      </c>
      <c r="F4852" s="1">
        <v>1</v>
      </c>
      <c r="G4852" s="1">
        <v>0</v>
      </c>
      <c r="H4852" s="6">
        <f>INT(Query1[[#This Row],[EntryDateTime]])</f>
        <v>44684</v>
      </c>
      <c r="I4852" s="1">
        <f>IF(Query1[[#This Row],[ItemType]]="EVAP KIT SF GEN IV",Query1[[#This Row],[OrderQty]]+I4851,I4851)</f>
        <v>5995</v>
      </c>
      <c r="J4852" s="1">
        <f>IF(Query1[[#This Row],[ItemType]]="EVAP KIT UNIVERSAL",Query1[[#This Row],[OrderQty]]+J4851,J4851)</f>
        <v>1914</v>
      </c>
      <c r="K4852" s="1">
        <f>Query1[[#This Row],[SF Running Total]]+Query1[[#This Row],[UNIV Running Total]]</f>
        <v>7909</v>
      </c>
      <c r="L4852">
        <f>VLOOKUP(Query1[[#This Row],[Description]],'kits to boards'!$B$2:$E$156,2,FALSE)</f>
        <v>830028</v>
      </c>
      <c r="M4852">
        <f>VLOOKUP(Query1[[#This Row],[Description]],'kits to boards'!$B$2:$E$156,3,FALSE)</f>
        <v>0</v>
      </c>
      <c r="N4852">
        <f>VLOOKUP(Query1[[#This Row],[Description]],'kits to boards'!$B$2:$E$156,4,FALSE)</f>
        <v>0</v>
      </c>
      <c r="O4852" t="str">
        <f>CONCATENATE(Query1[[#This Row],[Description]]," - ",Query1[[#This Row],[MB1]]," - ",Query1[[#This Row],[MB2]]," - ",Query1[[#This Row],[MB3]])</f>
        <v>EVAP KIT 55-59 CHEV P-UP WO AC W/DELX - 830028 - 0 - 0</v>
      </c>
    </row>
    <row r="4853" spans="1:15" x14ac:dyDescent="0.25">
      <c r="A4853" s="1">
        <v>922152</v>
      </c>
      <c r="B4853" s="1" t="s">
        <v>18</v>
      </c>
      <c r="C4853" s="1" t="s">
        <v>19</v>
      </c>
      <c r="D4853" s="2">
        <v>44684.344146412041</v>
      </c>
      <c r="E4853" s="1" t="s">
        <v>8</v>
      </c>
      <c r="F4853" s="1">
        <v>1</v>
      </c>
      <c r="G4853" s="1">
        <v>0</v>
      </c>
      <c r="H4853" s="6">
        <f>INT(Query1[[#This Row],[EntryDateTime]])</f>
        <v>44684</v>
      </c>
      <c r="I4853" s="1">
        <f>IF(Query1[[#This Row],[ItemType]]="EVAP KIT SF GEN IV",Query1[[#This Row],[OrderQty]]+I4852,I4852)</f>
        <v>5996</v>
      </c>
      <c r="J4853" s="1">
        <f>IF(Query1[[#This Row],[ItemType]]="EVAP KIT UNIVERSAL",Query1[[#This Row],[OrderQty]]+J4852,J4852)</f>
        <v>1914</v>
      </c>
      <c r="K4853" s="1">
        <f>Query1[[#This Row],[SF Running Total]]+Query1[[#This Row],[UNIV Running Total]]</f>
        <v>7910</v>
      </c>
      <c r="L4853">
        <f>VLOOKUP(Query1[[#This Row],[Description]],'kits to boards'!$B$2:$E$156,2,FALSE)</f>
        <v>830051</v>
      </c>
      <c r="M4853">
        <f>VLOOKUP(Query1[[#This Row],[Description]],'kits to boards'!$B$2:$E$156,3,FALSE)</f>
        <v>0</v>
      </c>
      <c r="N4853">
        <f>VLOOKUP(Query1[[#This Row],[Description]],'kits to boards'!$B$2:$E$156,4,FALSE)</f>
        <v>0</v>
      </c>
      <c r="O4853" t="str">
        <f>CONCATENATE(Query1[[#This Row],[Description]]," - ",Query1[[#This Row],[MB1]]," - ",Query1[[#This Row],[MB2]]," - ",Query1[[#This Row],[MB3]])</f>
        <v>EVAP KIT 70-78 CAMARO W/AC - 830051 - 0 - 0</v>
      </c>
    </row>
    <row r="4854" spans="1:15" x14ac:dyDescent="0.25">
      <c r="A4854" s="1">
        <v>921430</v>
      </c>
      <c r="B4854" s="1" t="s">
        <v>134</v>
      </c>
      <c r="C4854" s="1" t="s">
        <v>135</v>
      </c>
      <c r="D4854" s="2">
        <v>44684.357566550927</v>
      </c>
      <c r="E4854" s="1" t="s">
        <v>8</v>
      </c>
      <c r="F4854" s="1">
        <v>2</v>
      </c>
      <c r="G4854" s="1">
        <v>0</v>
      </c>
      <c r="H4854" s="6">
        <f>INT(Query1[[#This Row],[EntryDateTime]])</f>
        <v>44684</v>
      </c>
      <c r="I4854" s="1">
        <f>IF(Query1[[#This Row],[ItemType]]="EVAP KIT SF GEN IV",Query1[[#This Row],[OrderQty]]+I4853,I4853)</f>
        <v>5998</v>
      </c>
      <c r="J4854" s="1">
        <f>IF(Query1[[#This Row],[ItemType]]="EVAP KIT UNIVERSAL",Query1[[#This Row],[OrderQty]]+J4853,J4853)</f>
        <v>1914</v>
      </c>
      <c r="K4854" s="1">
        <f>Query1[[#This Row],[SF Running Total]]+Query1[[#This Row],[UNIV Running Total]]</f>
        <v>7912</v>
      </c>
      <c r="L4854">
        <f>VLOOKUP(Query1[[#This Row],[Description]],'kits to boards'!$B$2:$E$156,2,FALSE)</f>
        <v>830007</v>
      </c>
      <c r="M4854">
        <f>VLOOKUP(Query1[[#This Row],[Description]],'kits to boards'!$B$2:$E$156,3,FALSE)</f>
        <v>0</v>
      </c>
      <c r="N4854">
        <f>VLOOKUP(Query1[[#This Row],[Description]],'kits to boards'!$B$2:$E$156,4,FALSE)</f>
        <v>0</v>
      </c>
      <c r="O4854" t="str">
        <f>CONCATENATE(Query1[[#This Row],[Description]]," - ",Query1[[#This Row],[MB1]]," - ",Query1[[#This Row],[MB2]]," - ",Query1[[#This Row],[MB3]])</f>
        <v>EVAP KIT 64 IMPALA WO AC - 830007 - 0 - 0</v>
      </c>
    </row>
    <row r="4855" spans="1:15" x14ac:dyDescent="0.25">
      <c r="A4855" s="1">
        <v>922107</v>
      </c>
      <c r="B4855" s="1" t="s">
        <v>90</v>
      </c>
      <c r="C4855" s="1" t="s">
        <v>91</v>
      </c>
      <c r="D4855" s="2">
        <v>44684.362779513889</v>
      </c>
      <c r="E4855" s="1" t="s">
        <v>8</v>
      </c>
      <c r="F4855" s="1">
        <v>1</v>
      </c>
      <c r="G4855" s="1">
        <v>0</v>
      </c>
      <c r="H4855" s="6">
        <f>INT(Query1[[#This Row],[EntryDateTime]])</f>
        <v>44684</v>
      </c>
      <c r="I4855" s="1">
        <f>IF(Query1[[#This Row],[ItemType]]="EVAP KIT SF GEN IV",Query1[[#This Row],[OrderQty]]+I4854,I4854)</f>
        <v>5999</v>
      </c>
      <c r="J4855" s="1">
        <f>IF(Query1[[#This Row],[ItemType]]="EVAP KIT UNIVERSAL",Query1[[#This Row],[OrderQty]]+J4854,J4854)</f>
        <v>1914</v>
      </c>
      <c r="K4855" s="1">
        <f>Query1[[#This Row],[SF Running Total]]+Query1[[#This Row],[UNIV Running Total]]</f>
        <v>7913</v>
      </c>
      <c r="L4855">
        <f>VLOOKUP(Query1[[#This Row],[Description]],'kits to boards'!$B$2:$E$156,2,FALSE)</f>
        <v>830105</v>
      </c>
      <c r="M4855">
        <f>VLOOKUP(Query1[[#This Row],[Description]],'kits to boards'!$B$2:$E$156,3,FALSE)</f>
        <v>830106</v>
      </c>
      <c r="N4855">
        <f>VLOOKUP(Query1[[#This Row],[Description]],'kits to boards'!$B$2:$E$156,4,FALSE)</f>
        <v>0</v>
      </c>
      <c r="O4855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4856" spans="1:15" x14ac:dyDescent="0.25">
      <c r="A4856" s="1">
        <v>922166</v>
      </c>
      <c r="B4856" s="1" t="s">
        <v>186</v>
      </c>
      <c r="C4856" s="1" t="s">
        <v>187</v>
      </c>
      <c r="D4856" s="2">
        <v>44684.363878900462</v>
      </c>
      <c r="E4856" s="1" t="s">
        <v>8</v>
      </c>
      <c r="F4856" s="1">
        <v>1</v>
      </c>
      <c r="G4856" s="1">
        <v>0</v>
      </c>
      <c r="H4856" s="6">
        <f>INT(Query1[[#This Row],[EntryDateTime]])</f>
        <v>44684</v>
      </c>
      <c r="I4856" s="1">
        <f>IF(Query1[[#This Row],[ItemType]]="EVAP KIT SF GEN IV",Query1[[#This Row],[OrderQty]]+I4855,I4855)</f>
        <v>6000</v>
      </c>
      <c r="J4856" s="1">
        <f>IF(Query1[[#This Row],[ItemType]]="EVAP KIT UNIVERSAL",Query1[[#This Row],[OrderQty]]+J4855,J4855)</f>
        <v>1914</v>
      </c>
      <c r="K4856" s="1">
        <f>Query1[[#This Row],[SF Running Total]]+Query1[[#This Row],[UNIV Running Total]]</f>
        <v>7914</v>
      </c>
      <c r="L4856">
        <f>VLOOKUP(Query1[[#This Row],[Description]],'kits to boards'!$B$2:$E$156,2,FALSE)</f>
        <v>830125</v>
      </c>
      <c r="M4856">
        <f>VLOOKUP(Query1[[#This Row],[Description]],'kits to boards'!$B$2:$E$156,3,FALSE)</f>
        <v>830126</v>
      </c>
      <c r="N4856">
        <f>VLOOKUP(Query1[[#This Row],[Description]],'kits to boards'!$B$2:$E$156,4,FALSE)</f>
        <v>0</v>
      </c>
      <c r="O4856" t="str">
        <f>CONCATENATE(Query1[[#This Row],[Description]]," - ",Query1[[#This Row],[MB1]]," - ",Query1[[#This Row],[MB2]]," - ",Query1[[#This Row],[MB3]])</f>
        <v>EVAP KIT 65-66 IMPALA WO/AC - 830125 - 830126 - 0</v>
      </c>
    </row>
    <row r="4857" spans="1:15" x14ac:dyDescent="0.25">
      <c r="A4857" s="1">
        <v>922168</v>
      </c>
      <c r="B4857" s="1" t="s">
        <v>64</v>
      </c>
      <c r="C4857" s="1" t="s">
        <v>65</v>
      </c>
      <c r="D4857" s="2">
        <v>44684.36740894676</v>
      </c>
      <c r="E4857" s="1" t="s">
        <v>8</v>
      </c>
      <c r="F4857" s="1">
        <v>1</v>
      </c>
      <c r="G4857" s="1">
        <v>0</v>
      </c>
      <c r="H4857" s="6">
        <f>INT(Query1[[#This Row],[EntryDateTime]])</f>
        <v>44684</v>
      </c>
      <c r="I4857" s="1">
        <f>IF(Query1[[#This Row],[ItemType]]="EVAP KIT SF GEN IV",Query1[[#This Row],[OrderQty]]+I4856,I4856)</f>
        <v>6001</v>
      </c>
      <c r="J4857" s="1">
        <f>IF(Query1[[#This Row],[ItemType]]="EVAP KIT UNIVERSAL",Query1[[#This Row],[OrderQty]]+J4856,J4856)</f>
        <v>1914</v>
      </c>
      <c r="K4857" s="1">
        <f>Query1[[#This Row],[SF Running Total]]+Query1[[#This Row],[UNIV Running Total]]</f>
        <v>7915</v>
      </c>
      <c r="L4857">
        <f>VLOOKUP(Query1[[#This Row],[Description]],'kits to boards'!$B$2:$E$156,2,FALSE)</f>
        <v>830067</v>
      </c>
      <c r="M4857">
        <f>VLOOKUP(Query1[[#This Row],[Description]],'kits to boards'!$B$2:$E$156,3,FALSE)</f>
        <v>0</v>
      </c>
      <c r="N4857">
        <f>VLOOKUP(Query1[[#This Row],[Description]],'kits to boards'!$B$2:$E$156,4,FALSE)</f>
        <v>0</v>
      </c>
      <c r="O4857" t="str">
        <f>CONCATENATE(Query1[[#This Row],[Description]]," - ",Query1[[#This Row],[MB1]]," - ",Query1[[#This Row],[MB2]]," - ",Query1[[#This Row],[MB3]])</f>
        <v>EVAP KIT 59-60 CHEV CAR 4-LEVER - 830067 - 0 - 0</v>
      </c>
    </row>
    <row r="4858" spans="1:15" x14ac:dyDescent="0.25">
      <c r="A4858" s="1">
        <v>922170</v>
      </c>
      <c r="B4858" s="1" t="s">
        <v>14</v>
      </c>
      <c r="C4858" s="1" t="s">
        <v>15</v>
      </c>
      <c r="D4858" s="2">
        <v>44684.37021666667</v>
      </c>
      <c r="E4858" s="1" t="s">
        <v>8</v>
      </c>
      <c r="F4858" s="1">
        <v>2</v>
      </c>
      <c r="G4858" s="1">
        <v>0</v>
      </c>
      <c r="H4858" s="6">
        <f>INT(Query1[[#This Row],[EntryDateTime]])</f>
        <v>44684</v>
      </c>
      <c r="I4858" s="1">
        <f>IF(Query1[[#This Row],[ItemType]]="EVAP KIT SF GEN IV",Query1[[#This Row],[OrderQty]]+I4857,I4857)</f>
        <v>6003</v>
      </c>
      <c r="J4858" s="1">
        <f>IF(Query1[[#This Row],[ItemType]]="EVAP KIT UNIVERSAL",Query1[[#This Row],[OrderQty]]+J4857,J4857)</f>
        <v>1914</v>
      </c>
      <c r="K4858" s="1">
        <f>Query1[[#This Row],[SF Running Total]]+Query1[[#This Row],[UNIV Running Total]]</f>
        <v>7917</v>
      </c>
      <c r="L4858">
        <f>VLOOKUP(Query1[[#This Row],[Description]],'kits to boards'!$B$2:$E$156,2,FALSE)</f>
        <v>830054</v>
      </c>
      <c r="M4858">
        <f>VLOOKUP(Query1[[#This Row],[Description]],'kits to boards'!$B$2:$E$156,3,FALSE)</f>
        <v>0</v>
      </c>
      <c r="N4858">
        <f>VLOOKUP(Query1[[#This Row],[Description]],'kits to boards'!$B$2:$E$156,4,FALSE)</f>
        <v>0</v>
      </c>
      <c r="O4858" t="str">
        <f>CONCATENATE(Query1[[#This Row],[Description]]," - ",Query1[[#This Row],[MB1]]," - ",Query1[[#This Row],[MB2]]," - ",Query1[[#This Row],[MB3]])</f>
        <v>EVAP KIT 55-56 CHEVY - 830054 - 0 - 0</v>
      </c>
    </row>
    <row r="4859" spans="1:15" x14ac:dyDescent="0.25">
      <c r="A4859" s="1">
        <v>921771</v>
      </c>
      <c r="B4859" s="1" t="s">
        <v>96</v>
      </c>
      <c r="C4859" s="1" t="s">
        <v>97</v>
      </c>
      <c r="D4859" s="2">
        <v>44684.39281435185</v>
      </c>
      <c r="E4859" s="1" t="s">
        <v>8</v>
      </c>
      <c r="F4859" s="1">
        <v>1</v>
      </c>
      <c r="G4859" s="1">
        <v>0</v>
      </c>
      <c r="H4859" s="6">
        <f>INT(Query1[[#This Row],[EntryDateTime]])</f>
        <v>44684</v>
      </c>
      <c r="I4859" s="1">
        <f>IF(Query1[[#This Row],[ItemType]]="EVAP KIT SF GEN IV",Query1[[#This Row],[OrderQty]]+I4858,I4858)</f>
        <v>6004</v>
      </c>
      <c r="J4859" s="1">
        <f>IF(Query1[[#This Row],[ItemType]]="EVAP KIT UNIVERSAL",Query1[[#This Row],[OrderQty]]+J4858,J4858)</f>
        <v>1914</v>
      </c>
      <c r="K4859" s="1">
        <f>Query1[[#This Row],[SF Running Total]]+Query1[[#This Row],[UNIV Running Total]]</f>
        <v>7918</v>
      </c>
      <c r="L4859">
        <f>VLOOKUP(Query1[[#This Row],[Description]],'kits to boards'!$B$2:$E$156,2,FALSE)</f>
        <v>830004</v>
      </c>
      <c r="M4859">
        <f>VLOOKUP(Query1[[#This Row],[Description]],'kits to boards'!$B$2:$E$156,3,FALSE)</f>
        <v>0</v>
      </c>
      <c r="N4859">
        <f>VLOOKUP(Query1[[#This Row],[Description]],'kits to boards'!$B$2:$E$156,4,FALSE)</f>
        <v>0</v>
      </c>
      <c r="O4859" t="str">
        <f>CONCATENATE(Query1[[#This Row],[Description]]," - ",Query1[[#This Row],[MB1]]," - ",Query1[[#This Row],[MB2]]," - ",Query1[[#This Row],[MB3]])</f>
        <v>EVAP KIT 81-87 CHEV P-UP W/AC - 830004 - 0 - 0</v>
      </c>
    </row>
    <row r="4860" spans="1:15" x14ac:dyDescent="0.25">
      <c r="A4860" s="1">
        <v>922183</v>
      </c>
      <c r="B4860" s="1" t="s">
        <v>34</v>
      </c>
      <c r="C4860" s="1" t="s">
        <v>35</v>
      </c>
      <c r="D4860" s="2">
        <v>44684.403758298613</v>
      </c>
      <c r="E4860" s="1" t="s">
        <v>8</v>
      </c>
      <c r="F4860" s="1">
        <v>1</v>
      </c>
      <c r="G4860" s="1">
        <v>0</v>
      </c>
      <c r="H4860" s="6">
        <f>INT(Query1[[#This Row],[EntryDateTime]])</f>
        <v>44684</v>
      </c>
      <c r="I4860" s="1">
        <f>IF(Query1[[#This Row],[ItemType]]="EVAP KIT SF GEN IV",Query1[[#This Row],[OrderQty]]+I4859,I4859)</f>
        <v>6005</v>
      </c>
      <c r="J4860" s="1">
        <f>IF(Query1[[#This Row],[ItemType]]="EVAP KIT UNIVERSAL",Query1[[#This Row],[OrderQty]]+J4859,J4859)</f>
        <v>1914</v>
      </c>
      <c r="K4860" s="1">
        <f>Query1[[#This Row],[SF Running Total]]+Query1[[#This Row],[UNIV Running Total]]</f>
        <v>7919</v>
      </c>
      <c r="L4860">
        <f>VLOOKUP(Query1[[#This Row],[Description]],'kits to boards'!$B$2:$E$156,2,FALSE)</f>
        <v>830065</v>
      </c>
      <c r="M4860">
        <f>VLOOKUP(Query1[[#This Row],[Description]],'kits to boards'!$B$2:$E$156,3,FALSE)</f>
        <v>0</v>
      </c>
      <c r="N4860">
        <f>VLOOKUP(Query1[[#This Row],[Description]],'kits to boards'!$B$2:$E$156,4,FALSE)</f>
        <v>0</v>
      </c>
      <c r="O4860" t="str">
        <f>CONCATENATE(Query1[[#This Row],[Description]]," - ",Query1[[#This Row],[MB1]]," - ",Query1[[#This Row],[MB2]]," - ",Query1[[#This Row],[MB3]])</f>
        <v>EVAP KIT 57 CHEV WO AC - 830065 - 0 - 0</v>
      </c>
    </row>
    <row r="4861" spans="1:15" x14ac:dyDescent="0.25">
      <c r="A4861" s="1">
        <v>922193</v>
      </c>
      <c r="B4861" s="1" t="s">
        <v>28</v>
      </c>
      <c r="C4861" s="1" t="s">
        <v>29</v>
      </c>
      <c r="D4861" s="2">
        <v>44684.423958831016</v>
      </c>
      <c r="E4861" s="1" t="s">
        <v>8</v>
      </c>
      <c r="F4861" s="1">
        <v>1</v>
      </c>
      <c r="G4861" s="1">
        <v>0</v>
      </c>
      <c r="H4861" s="6">
        <f>INT(Query1[[#This Row],[EntryDateTime]])</f>
        <v>44684</v>
      </c>
      <c r="I4861" s="1">
        <f>IF(Query1[[#This Row],[ItemType]]="EVAP KIT SF GEN IV",Query1[[#This Row],[OrderQty]]+I4860,I4860)</f>
        <v>6006</v>
      </c>
      <c r="J4861" s="1">
        <f>IF(Query1[[#This Row],[ItemType]]="EVAP KIT UNIVERSAL",Query1[[#This Row],[OrderQty]]+J4860,J4860)</f>
        <v>1914</v>
      </c>
      <c r="K4861" s="1">
        <f>Query1[[#This Row],[SF Running Total]]+Query1[[#This Row],[UNIV Running Total]]</f>
        <v>7920</v>
      </c>
      <c r="L4861">
        <f>VLOOKUP(Query1[[#This Row],[Description]],'kits to boards'!$B$2:$E$156,2,FALSE)</f>
        <v>830001</v>
      </c>
      <c r="M4861">
        <f>VLOOKUP(Query1[[#This Row],[Description]],'kits to boards'!$B$2:$E$156,3,FALSE)</f>
        <v>0</v>
      </c>
      <c r="N4861">
        <f>VLOOKUP(Query1[[#This Row],[Description]],'kits to boards'!$B$2:$E$156,4,FALSE)</f>
        <v>0</v>
      </c>
      <c r="O4861" t="str">
        <f>CONCATENATE(Query1[[#This Row],[Description]]," - ",Query1[[#This Row],[MB1]]," - ",Query1[[#This Row],[MB2]]," - ",Query1[[#This Row],[MB3]])</f>
        <v>EVAP KIT 73-80 CHEV P-UP W/AC - 830001 - 0 - 0</v>
      </c>
    </row>
    <row r="4862" spans="1:15" x14ac:dyDescent="0.25">
      <c r="A4862" s="1">
        <v>921934</v>
      </c>
      <c r="B4862" s="1" t="s">
        <v>22</v>
      </c>
      <c r="C4862" s="1" t="s">
        <v>23</v>
      </c>
      <c r="D4862" s="2">
        <v>44684.441828668983</v>
      </c>
      <c r="E4862" s="1" t="s">
        <v>8</v>
      </c>
      <c r="F4862" s="1">
        <v>1</v>
      </c>
      <c r="G4862" s="1">
        <v>0</v>
      </c>
      <c r="H4862" s="6">
        <f>INT(Query1[[#This Row],[EntryDateTime]])</f>
        <v>44684</v>
      </c>
      <c r="I4862" s="1">
        <f>IF(Query1[[#This Row],[ItemType]]="EVAP KIT SF GEN IV",Query1[[#This Row],[OrderQty]]+I4861,I4861)</f>
        <v>6007</v>
      </c>
      <c r="J4862" s="1">
        <f>IF(Query1[[#This Row],[ItemType]]="EVAP KIT UNIVERSAL",Query1[[#This Row],[OrderQty]]+J4861,J4861)</f>
        <v>1914</v>
      </c>
      <c r="K4862" s="1">
        <f>Query1[[#This Row],[SF Running Total]]+Query1[[#This Row],[UNIV Running Total]]</f>
        <v>7921</v>
      </c>
      <c r="L4862">
        <f>VLOOKUP(Query1[[#This Row],[Description]],'kits to boards'!$B$2:$E$156,2,FALSE)</f>
        <v>830083</v>
      </c>
      <c r="M4862">
        <f>VLOOKUP(Query1[[#This Row],[Description]],'kits to boards'!$B$2:$E$156,3,FALSE)</f>
        <v>0</v>
      </c>
      <c r="N4862">
        <f>VLOOKUP(Query1[[#This Row],[Description]],'kits to boards'!$B$2:$E$156,4,FALSE)</f>
        <v>0</v>
      </c>
      <c r="O4862" t="str">
        <f>CONCATENATE(Query1[[#This Row],[Description]]," - ",Query1[[#This Row],[MB1]]," - ",Query1[[#This Row],[MB2]]," - ",Query1[[#This Row],[MB3]])</f>
        <v>GEN IV MAGNUM EVAP KIT - 830083 - 0 - 0</v>
      </c>
    </row>
    <row r="4863" spans="1:15" x14ac:dyDescent="0.25">
      <c r="A4863" s="1">
        <v>922201</v>
      </c>
      <c r="B4863" s="1" t="s">
        <v>506</v>
      </c>
      <c r="C4863" s="1" t="s">
        <v>507</v>
      </c>
      <c r="D4863" s="2">
        <v>44684.446702118054</v>
      </c>
      <c r="E4863" s="1" t="s">
        <v>677</v>
      </c>
      <c r="F4863" s="1">
        <v>1</v>
      </c>
      <c r="G4863" s="1">
        <v>0</v>
      </c>
      <c r="H4863" s="6">
        <f>INT(Query1[[#This Row],[EntryDateTime]])</f>
        <v>44684</v>
      </c>
      <c r="I4863" s="1">
        <f>IF(Query1[[#This Row],[ItemType]]="EVAP KIT SF GEN IV",Query1[[#This Row],[OrderQty]]+I4862,I4862)</f>
        <v>6007</v>
      </c>
      <c r="J4863" s="1">
        <f>IF(Query1[[#This Row],[ItemType]]="EVAP KIT UNIVERSAL",Query1[[#This Row],[OrderQty]]+J4862,J4862)</f>
        <v>1914</v>
      </c>
      <c r="K4863" s="1">
        <f>Query1[[#This Row],[SF Running Total]]+Query1[[#This Row],[UNIV Running Total]]</f>
        <v>7921</v>
      </c>
      <c r="L4863" t="e">
        <f>VLOOKUP(Query1[[#This Row],[Description]],'kits to boards'!$B$2:$E$156,2,FALSE)</f>
        <v>#N/A</v>
      </c>
      <c r="M4863" t="e">
        <f>VLOOKUP(Query1[[#This Row],[Description]],'kits to boards'!$B$2:$E$156,3,FALSE)</f>
        <v>#N/A</v>
      </c>
      <c r="N4863" t="e">
        <f>VLOOKUP(Query1[[#This Row],[Description]],'kits to boards'!$B$2:$E$156,4,FALSE)</f>
        <v>#N/A</v>
      </c>
      <c r="O4863" t="e">
        <f>CONCATENATE(Query1[[#This Row],[Description]]," - ",Query1[[#This Row],[MB1]]," - ",Query1[[#This Row],[MB2]]," - ",Query1[[#This Row],[MB3]])</f>
        <v>#N/A</v>
      </c>
    </row>
    <row r="4864" spans="1:15" x14ac:dyDescent="0.25">
      <c r="A4864" s="1">
        <v>922211</v>
      </c>
      <c r="B4864" s="1" t="s">
        <v>84</v>
      </c>
      <c r="C4864" s="1" t="s">
        <v>85</v>
      </c>
      <c r="D4864" s="2">
        <v>44684.48113310185</v>
      </c>
      <c r="E4864" s="1" t="s">
        <v>8</v>
      </c>
      <c r="F4864" s="1">
        <v>1</v>
      </c>
      <c r="G4864" s="1">
        <v>0</v>
      </c>
      <c r="H4864" s="6">
        <f>INT(Query1[[#This Row],[EntryDateTime]])</f>
        <v>44684</v>
      </c>
      <c r="I4864" s="1">
        <f>IF(Query1[[#This Row],[ItemType]]="EVAP KIT SF GEN IV",Query1[[#This Row],[OrderQty]]+I4863,I4863)</f>
        <v>6008</v>
      </c>
      <c r="J4864" s="1">
        <f>IF(Query1[[#This Row],[ItemType]]="EVAP KIT UNIVERSAL",Query1[[#This Row],[OrderQty]]+J4863,J4863)</f>
        <v>1914</v>
      </c>
      <c r="K4864" s="1">
        <f>Query1[[#This Row],[SF Running Total]]+Query1[[#This Row],[UNIV Running Total]]</f>
        <v>7922</v>
      </c>
      <c r="L4864">
        <f>VLOOKUP(Query1[[#This Row],[Description]],'kits to boards'!$B$2:$E$156,2,FALSE)</f>
        <v>830085</v>
      </c>
      <c r="M4864">
        <f>VLOOKUP(Query1[[#This Row],[Description]],'kits to boards'!$B$2:$E$156,3,FALSE)</f>
        <v>0</v>
      </c>
      <c r="N4864">
        <f>VLOOKUP(Query1[[#This Row],[Description]],'kits to boards'!$B$2:$E$156,4,FALSE)</f>
        <v>0</v>
      </c>
      <c r="O4864" t="str">
        <f>CONCATENATE(Query1[[#This Row],[Description]]," - ",Query1[[#This Row],[MB1]]," - ",Query1[[#This Row],[MB2]]," - ",Query1[[#This Row],[MB3]])</f>
        <v>EVAP KIT 66-77 BRONCO 4-VENT PLENUM - 830085 - 0 - 0</v>
      </c>
    </row>
    <row r="4865" spans="1:15" x14ac:dyDescent="0.25">
      <c r="A4865" s="1">
        <v>922240</v>
      </c>
      <c r="B4865" s="1" t="s">
        <v>18</v>
      </c>
      <c r="C4865" s="1" t="s">
        <v>19</v>
      </c>
      <c r="D4865" s="2">
        <v>44684.540417442127</v>
      </c>
      <c r="E4865" s="1" t="s">
        <v>8</v>
      </c>
      <c r="F4865" s="1">
        <v>1</v>
      </c>
      <c r="G4865" s="1">
        <v>0</v>
      </c>
      <c r="H4865" s="6">
        <f>INT(Query1[[#This Row],[EntryDateTime]])</f>
        <v>44684</v>
      </c>
      <c r="I4865" s="1">
        <f>IF(Query1[[#This Row],[ItemType]]="EVAP KIT SF GEN IV",Query1[[#This Row],[OrderQty]]+I4864,I4864)</f>
        <v>6009</v>
      </c>
      <c r="J4865" s="1">
        <f>IF(Query1[[#This Row],[ItemType]]="EVAP KIT UNIVERSAL",Query1[[#This Row],[OrderQty]]+J4864,J4864)</f>
        <v>1914</v>
      </c>
      <c r="K4865" s="1">
        <f>Query1[[#This Row],[SF Running Total]]+Query1[[#This Row],[UNIV Running Total]]</f>
        <v>7923</v>
      </c>
      <c r="L4865">
        <f>VLOOKUP(Query1[[#This Row],[Description]],'kits to boards'!$B$2:$E$156,2,FALSE)</f>
        <v>830051</v>
      </c>
      <c r="M4865">
        <f>VLOOKUP(Query1[[#This Row],[Description]],'kits to boards'!$B$2:$E$156,3,FALSE)</f>
        <v>0</v>
      </c>
      <c r="N4865">
        <f>VLOOKUP(Query1[[#This Row],[Description]],'kits to boards'!$B$2:$E$156,4,FALSE)</f>
        <v>0</v>
      </c>
      <c r="O4865" t="str">
        <f>CONCATENATE(Query1[[#This Row],[Description]]," - ",Query1[[#This Row],[MB1]]," - ",Query1[[#This Row],[MB2]]," - ",Query1[[#This Row],[MB3]])</f>
        <v>EVAP KIT 70-78 CAMARO W/AC - 830051 - 0 - 0</v>
      </c>
    </row>
    <row r="4866" spans="1:15" x14ac:dyDescent="0.25">
      <c r="A4866" s="1">
        <v>922248</v>
      </c>
      <c r="B4866" s="1" t="s">
        <v>22</v>
      </c>
      <c r="C4866" s="1" t="s">
        <v>23</v>
      </c>
      <c r="D4866" s="2">
        <v>44684.546147569446</v>
      </c>
      <c r="E4866" s="1" t="s">
        <v>8</v>
      </c>
      <c r="F4866" s="1">
        <v>1</v>
      </c>
      <c r="G4866" s="1">
        <v>0</v>
      </c>
      <c r="H4866" s="6">
        <f>INT(Query1[[#This Row],[EntryDateTime]])</f>
        <v>44684</v>
      </c>
      <c r="I4866" s="1">
        <f>IF(Query1[[#This Row],[ItemType]]="EVAP KIT SF GEN IV",Query1[[#This Row],[OrderQty]]+I4865,I4865)</f>
        <v>6010</v>
      </c>
      <c r="J4866" s="1">
        <f>IF(Query1[[#This Row],[ItemType]]="EVAP KIT UNIVERSAL",Query1[[#This Row],[OrderQty]]+J4865,J4865)</f>
        <v>1914</v>
      </c>
      <c r="K4866" s="1">
        <f>Query1[[#This Row],[SF Running Total]]+Query1[[#This Row],[UNIV Running Total]]</f>
        <v>7924</v>
      </c>
      <c r="L4866">
        <f>VLOOKUP(Query1[[#This Row],[Description]],'kits to boards'!$B$2:$E$156,2,FALSE)</f>
        <v>830083</v>
      </c>
      <c r="M4866">
        <f>VLOOKUP(Query1[[#This Row],[Description]],'kits to boards'!$B$2:$E$156,3,FALSE)</f>
        <v>0</v>
      </c>
      <c r="N4866">
        <f>VLOOKUP(Query1[[#This Row],[Description]],'kits to boards'!$B$2:$E$156,4,FALSE)</f>
        <v>0</v>
      </c>
      <c r="O4866" t="str">
        <f>CONCATENATE(Query1[[#This Row],[Description]]," - ",Query1[[#This Row],[MB1]]," - ",Query1[[#This Row],[MB2]]," - ",Query1[[#This Row],[MB3]])</f>
        <v>GEN IV MAGNUM EVAP KIT - 830083 - 0 - 0</v>
      </c>
    </row>
    <row r="4867" spans="1:15" x14ac:dyDescent="0.25">
      <c r="A4867" s="1">
        <v>919086</v>
      </c>
      <c r="B4867" s="1" t="s">
        <v>52</v>
      </c>
      <c r="C4867" s="1" t="s">
        <v>53</v>
      </c>
      <c r="D4867" s="2">
        <v>44684.548176886572</v>
      </c>
      <c r="E4867" s="1" t="s">
        <v>8</v>
      </c>
      <c r="F4867" s="1">
        <v>2</v>
      </c>
      <c r="G4867" s="1">
        <v>0</v>
      </c>
      <c r="H4867" s="6">
        <f>INT(Query1[[#This Row],[EntryDateTime]])</f>
        <v>44684</v>
      </c>
      <c r="I4867" s="1">
        <f>IF(Query1[[#This Row],[ItemType]]="EVAP KIT SF GEN IV",Query1[[#This Row],[OrderQty]]+I4866,I4866)</f>
        <v>6012</v>
      </c>
      <c r="J4867" s="1">
        <f>IF(Query1[[#This Row],[ItemType]]="EVAP KIT UNIVERSAL",Query1[[#This Row],[OrderQty]]+J4866,J4866)</f>
        <v>1914</v>
      </c>
      <c r="K4867" s="1">
        <f>Query1[[#This Row],[SF Running Total]]+Query1[[#This Row],[UNIV Running Total]]</f>
        <v>7926</v>
      </c>
      <c r="L4867">
        <f>VLOOKUP(Query1[[#This Row],[Description]],'kits to boards'!$B$2:$E$156,2,FALSE)</f>
        <v>830017</v>
      </c>
      <c r="M4867">
        <f>VLOOKUP(Query1[[#This Row],[Description]],'kits to boards'!$B$2:$E$156,3,FALSE)</f>
        <v>830119</v>
      </c>
      <c r="N4867">
        <f>VLOOKUP(Query1[[#This Row],[Description]],'kits to boards'!$B$2:$E$156,4,FALSE)</f>
        <v>830120</v>
      </c>
      <c r="O4867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4868" spans="1:15" x14ac:dyDescent="0.25">
      <c r="A4868" s="1">
        <v>922250</v>
      </c>
      <c r="B4868" s="1" t="s">
        <v>242</v>
      </c>
      <c r="C4868" s="1" t="s">
        <v>243</v>
      </c>
      <c r="D4868" s="2">
        <v>44684.549720567127</v>
      </c>
      <c r="E4868" s="1" t="s">
        <v>8</v>
      </c>
      <c r="F4868" s="1">
        <v>1</v>
      </c>
      <c r="G4868" s="1">
        <v>0</v>
      </c>
      <c r="H4868" s="6">
        <f>INT(Query1[[#This Row],[EntryDateTime]])</f>
        <v>44684</v>
      </c>
      <c r="I4868" s="1">
        <f>IF(Query1[[#This Row],[ItemType]]="EVAP KIT SF GEN IV",Query1[[#This Row],[OrderQty]]+I4867,I4867)</f>
        <v>6013</v>
      </c>
      <c r="J4868" s="1">
        <f>IF(Query1[[#This Row],[ItemType]]="EVAP KIT UNIVERSAL",Query1[[#This Row],[OrderQty]]+J4867,J4867)</f>
        <v>1914</v>
      </c>
      <c r="K4868" s="1">
        <f>Query1[[#This Row],[SF Running Total]]+Query1[[#This Row],[UNIV Running Total]]</f>
        <v>7927</v>
      </c>
      <c r="L4868">
        <f>VLOOKUP(Query1[[#This Row],[Description]],'kits to boards'!$B$2:$E$156,2,FALSE)</f>
        <v>830036</v>
      </c>
      <c r="M4868">
        <f>VLOOKUP(Query1[[#This Row],[Description]],'kits to boards'!$B$2:$E$156,3,FALSE)</f>
        <v>830039</v>
      </c>
      <c r="N4868">
        <f>VLOOKUP(Query1[[#This Row],[Description]],'kits to boards'!$B$2:$E$156,4,FALSE)</f>
        <v>0</v>
      </c>
      <c r="O4868" t="str">
        <f>CONCATENATE(Query1[[#This Row],[Description]]," - ",Query1[[#This Row],[MB1]]," - ",Query1[[#This Row],[MB2]]," - ",Query1[[#This Row],[MB3]])</f>
        <v>EVAP KIT 63-66 VETTE W/AC - 830036 - 830039 - 0</v>
      </c>
    </row>
    <row r="4869" spans="1:15" x14ac:dyDescent="0.25">
      <c r="A4869" s="1">
        <v>922255</v>
      </c>
      <c r="B4869" s="1" t="s">
        <v>118</v>
      </c>
      <c r="C4869" s="1" t="s">
        <v>119</v>
      </c>
      <c r="D4869" s="2">
        <v>44684.55494228009</v>
      </c>
      <c r="E4869" s="1" t="s">
        <v>11</v>
      </c>
      <c r="F4869" s="1">
        <v>1</v>
      </c>
      <c r="G4869" s="1">
        <v>0</v>
      </c>
      <c r="H4869" s="6">
        <f>INT(Query1[[#This Row],[EntryDateTime]])</f>
        <v>44684</v>
      </c>
      <c r="I4869" s="1">
        <f>IF(Query1[[#This Row],[ItemType]]="EVAP KIT SF GEN IV",Query1[[#This Row],[OrderQty]]+I4868,I4868)</f>
        <v>6013</v>
      </c>
      <c r="J4869" s="1">
        <f>IF(Query1[[#This Row],[ItemType]]="EVAP KIT UNIVERSAL",Query1[[#This Row],[OrderQty]]+J4868,J4868)</f>
        <v>1915</v>
      </c>
      <c r="K4869" s="1">
        <f>Query1[[#This Row],[SF Running Total]]+Query1[[#This Row],[UNIV Running Total]]</f>
        <v>7928</v>
      </c>
      <c r="L4869">
        <f>VLOOKUP(Query1[[#This Row],[Description]],'kits to boards'!$B$2:$E$156,2,FALSE)</f>
        <v>830069</v>
      </c>
      <c r="M4869">
        <f>VLOOKUP(Query1[[#This Row],[Description]],'kits to boards'!$B$2:$E$156,3,FALSE)</f>
        <v>0</v>
      </c>
      <c r="N4869">
        <f>VLOOKUP(Query1[[#This Row],[Description]],'kits to boards'!$B$2:$E$156,4,FALSE)</f>
        <v>0</v>
      </c>
      <c r="O4869" t="str">
        <f>CONCATENATE(Query1[[#This Row],[Description]]," - ",Query1[[#This Row],[MB1]]," - ",Query1[[#This Row],[MB2]]," - ",Query1[[#This Row],[MB3]])</f>
        <v>SLIMLINE H/C W/DEF BLK LOUVER - 830069 - 0 - 0</v>
      </c>
    </row>
    <row r="4870" spans="1:15" x14ac:dyDescent="0.25">
      <c r="A4870" s="1">
        <v>922176</v>
      </c>
      <c r="B4870" s="1" t="s">
        <v>22</v>
      </c>
      <c r="C4870" s="1" t="s">
        <v>23</v>
      </c>
      <c r="D4870" s="2">
        <v>44684.562532141201</v>
      </c>
      <c r="E4870" s="1" t="s">
        <v>8</v>
      </c>
      <c r="F4870" s="1">
        <v>1</v>
      </c>
      <c r="G4870" s="1">
        <v>0</v>
      </c>
      <c r="H4870" s="6">
        <f>INT(Query1[[#This Row],[EntryDateTime]])</f>
        <v>44684</v>
      </c>
      <c r="I4870" s="1">
        <f>IF(Query1[[#This Row],[ItemType]]="EVAP KIT SF GEN IV",Query1[[#This Row],[OrderQty]]+I4869,I4869)</f>
        <v>6014</v>
      </c>
      <c r="J4870" s="1">
        <f>IF(Query1[[#This Row],[ItemType]]="EVAP KIT UNIVERSAL",Query1[[#This Row],[OrderQty]]+J4869,J4869)</f>
        <v>1915</v>
      </c>
      <c r="K4870" s="1">
        <f>Query1[[#This Row],[SF Running Total]]+Query1[[#This Row],[UNIV Running Total]]</f>
        <v>7929</v>
      </c>
      <c r="L4870">
        <f>VLOOKUP(Query1[[#This Row],[Description]],'kits to boards'!$B$2:$E$156,2,FALSE)</f>
        <v>830083</v>
      </c>
      <c r="M4870">
        <f>VLOOKUP(Query1[[#This Row],[Description]],'kits to boards'!$B$2:$E$156,3,FALSE)</f>
        <v>0</v>
      </c>
      <c r="N4870">
        <f>VLOOKUP(Query1[[#This Row],[Description]],'kits to boards'!$B$2:$E$156,4,FALSE)</f>
        <v>0</v>
      </c>
      <c r="O4870" t="str">
        <f>CONCATENATE(Query1[[#This Row],[Description]]," - ",Query1[[#This Row],[MB1]]," - ",Query1[[#This Row],[MB2]]," - ",Query1[[#This Row],[MB3]])</f>
        <v>GEN IV MAGNUM EVAP KIT - 830083 - 0 - 0</v>
      </c>
    </row>
    <row r="4871" spans="1:15" x14ac:dyDescent="0.25">
      <c r="A4871" s="1">
        <v>922234</v>
      </c>
      <c r="B4871" s="1" t="s">
        <v>176</v>
      </c>
      <c r="C4871" s="1" t="s">
        <v>177</v>
      </c>
      <c r="D4871" s="2">
        <v>44684.564317395831</v>
      </c>
      <c r="E4871" s="1" t="s">
        <v>8</v>
      </c>
      <c r="F4871" s="1">
        <v>1</v>
      </c>
      <c r="G4871" s="1">
        <v>0</v>
      </c>
      <c r="H4871" s="6">
        <f>INT(Query1[[#This Row],[EntryDateTime]])</f>
        <v>44684</v>
      </c>
      <c r="I4871" s="1">
        <f>IF(Query1[[#This Row],[ItemType]]="EVAP KIT SF GEN IV",Query1[[#This Row],[OrderQty]]+I4870,I4870)</f>
        <v>6015</v>
      </c>
      <c r="J4871" s="1">
        <f>IF(Query1[[#This Row],[ItemType]]="EVAP KIT UNIVERSAL",Query1[[#This Row],[OrderQty]]+J4870,J4870)</f>
        <v>1915</v>
      </c>
      <c r="K4871" s="1">
        <f>Query1[[#This Row],[SF Running Total]]+Query1[[#This Row],[UNIV Running Total]]</f>
        <v>7930</v>
      </c>
      <c r="L4871">
        <f>VLOOKUP(Query1[[#This Row],[Description]],'kits to boards'!$B$2:$E$156,2,FALSE)</f>
        <v>830125</v>
      </c>
      <c r="M4871">
        <f>VLOOKUP(Query1[[#This Row],[Description]],'kits to boards'!$B$2:$E$156,3,FALSE)</f>
        <v>0</v>
      </c>
      <c r="N4871">
        <f>VLOOKUP(Query1[[#This Row],[Description]],'kits to boards'!$B$2:$E$156,4,FALSE)</f>
        <v>0</v>
      </c>
      <c r="O4871" t="str">
        <f>CONCATENATE(Query1[[#This Row],[Description]]," - ",Query1[[#This Row],[MB1]]," - ",Query1[[#This Row],[MB2]]," - ",Query1[[#This Row],[MB3]])</f>
        <v>EVAP KIT 65-66 IMPALA W/AC - 830125 - 0 - 0</v>
      </c>
    </row>
    <row r="4872" spans="1:15" x14ac:dyDescent="0.25">
      <c r="A4872" s="1">
        <v>922242</v>
      </c>
      <c r="B4872" s="1" t="s">
        <v>70</v>
      </c>
      <c r="C4872" s="1" t="s">
        <v>71</v>
      </c>
      <c r="D4872" s="2">
        <v>44684.578455671297</v>
      </c>
      <c r="E4872" s="1" t="s">
        <v>8</v>
      </c>
      <c r="F4872" s="1">
        <v>1</v>
      </c>
      <c r="G4872" s="1">
        <v>0</v>
      </c>
      <c r="H4872" s="6">
        <f>INT(Query1[[#This Row],[EntryDateTime]])</f>
        <v>44684</v>
      </c>
      <c r="I4872" s="1">
        <f>IF(Query1[[#This Row],[ItemType]]="EVAP KIT SF GEN IV",Query1[[#This Row],[OrderQty]]+I4871,I4871)</f>
        <v>6016</v>
      </c>
      <c r="J4872" s="1">
        <f>IF(Query1[[#This Row],[ItemType]]="EVAP KIT UNIVERSAL",Query1[[#This Row],[OrderQty]]+J4871,J4871)</f>
        <v>1915</v>
      </c>
      <c r="K4872" s="1">
        <f>Query1[[#This Row],[SF Running Total]]+Query1[[#This Row],[UNIV Running Total]]</f>
        <v>7931</v>
      </c>
      <c r="L4872">
        <f>VLOOKUP(Query1[[#This Row],[Description]],'kits to boards'!$B$2:$E$156,2,FALSE)</f>
        <v>830050</v>
      </c>
      <c r="M4872">
        <f>VLOOKUP(Query1[[#This Row],[Description]],'kits to boards'!$B$2:$E$156,3,FALSE)</f>
        <v>0</v>
      </c>
      <c r="N4872">
        <f>VLOOKUP(Query1[[#This Row],[Description]],'kits to boards'!$B$2:$E$156,4,FALSE)</f>
        <v>0</v>
      </c>
      <c r="O4872" t="str">
        <f>CONCATENATE(Query1[[#This Row],[Description]]," - ",Query1[[#This Row],[MB1]]," - ",Query1[[#This Row],[MB2]]," - ",Query1[[#This Row],[MB3]])</f>
        <v>EVAP KIT 70-78 CAMARO WO AC - 830050 - 0 - 0</v>
      </c>
    </row>
    <row r="4873" spans="1:15" x14ac:dyDescent="0.25">
      <c r="A4873" s="1">
        <v>922266</v>
      </c>
      <c r="B4873" s="1" t="s">
        <v>210</v>
      </c>
      <c r="C4873" s="1" t="s">
        <v>211</v>
      </c>
      <c r="D4873" s="2">
        <v>44684.584602164352</v>
      </c>
      <c r="E4873" s="1" t="s">
        <v>8</v>
      </c>
      <c r="F4873" s="1">
        <v>1</v>
      </c>
      <c r="G4873" s="1">
        <v>0</v>
      </c>
      <c r="H4873" s="6">
        <f>INT(Query1[[#This Row],[EntryDateTime]])</f>
        <v>44684</v>
      </c>
      <c r="I4873" s="1">
        <f>IF(Query1[[#This Row],[ItemType]]="EVAP KIT SF GEN IV",Query1[[#This Row],[OrderQty]]+I4872,I4872)</f>
        <v>6017</v>
      </c>
      <c r="J4873" s="1">
        <f>IF(Query1[[#This Row],[ItemType]]="EVAP KIT UNIVERSAL",Query1[[#This Row],[OrderQty]]+J4872,J4872)</f>
        <v>1915</v>
      </c>
      <c r="K4873" s="1">
        <f>Query1[[#This Row],[SF Running Total]]+Query1[[#This Row],[UNIV Running Total]]</f>
        <v>7932</v>
      </c>
      <c r="L4873">
        <f>VLOOKUP(Query1[[#This Row],[Description]],'kits to boards'!$B$2:$E$156,2,FALSE)</f>
        <v>830094</v>
      </c>
      <c r="M4873">
        <f>VLOOKUP(Query1[[#This Row],[Description]],'kits to boards'!$B$2:$E$156,3,FALSE)</f>
        <v>0</v>
      </c>
      <c r="N4873">
        <f>VLOOKUP(Query1[[#This Row],[Description]],'kits to boards'!$B$2:$E$156,4,FALSE)</f>
        <v>0</v>
      </c>
      <c r="O4873" t="str">
        <f>CONCATENATE(Query1[[#This Row],[Description]]," - ",Query1[[#This Row],[MB1]]," - ",Query1[[#This Row],[MB2]]," - ",Query1[[#This Row],[MB3]])</f>
        <v>EVAP KIT 74-76 VETTE W/AC - 830094 - 0 - 0</v>
      </c>
    </row>
    <row r="4874" spans="1:15" x14ac:dyDescent="0.25">
      <c r="A4874" s="1">
        <v>922274</v>
      </c>
      <c r="B4874" s="1" t="s">
        <v>20</v>
      </c>
      <c r="C4874" s="1" t="s">
        <v>21</v>
      </c>
      <c r="D4874" s="2">
        <v>44684.594811493058</v>
      </c>
      <c r="E4874" s="1" t="s">
        <v>11</v>
      </c>
      <c r="F4874" s="1">
        <v>1</v>
      </c>
      <c r="G4874" s="1">
        <v>0</v>
      </c>
      <c r="H4874" s="6">
        <f>INT(Query1[[#This Row],[EntryDateTime]])</f>
        <v>44684</v>
      </c>
      <c r="I4874" s="1">
        <f>IF(Query1[[#This Row],[ItemType]]="EVAP KIT SF GEN IV",Query1[[#This Row],[OrderQty]]+I4873,I4873)</f>
        <v>6017</v>
      </c>
      <c r="J4874" s="1">
        <f>IF(Query1[[#This Row],[ItemType]]="EVAP KIT UNIVERSAL",Query1[[#This Row],[OrderQty]]+J4873,J4873)</f>
        <v>1916</v>
      </c>
      <c r="K4874" s="1">
        <f>Query1[[#This Row],[SF Running Total]]+Query1[[#This Row],[UNIV Running Total]]</f>
        <v>7933</v>
      </c>
      <c r="L4874">
        <f>VLOOKUP(Query1[[#This Row],[Description]],'kits to boards'!$B$2:$E$156,2,FALSE)</f>
        <v>830102</v>
      </c>
      <c r="M4874">
        <f>VLOOKUP(Query1[[#This Row],[Description]],'kits to boards'!$B$2:$E$156,3,FALSE)</f>
        <v>0</v>
      </c>
      <c r="N4874">
        <f>VLOOKUP(Query1[[#This Row],[Description]],'kits to boards'!$B$2:$E$156,4,FALSE)</f>
        <v>0</v>
      </c>
      <c r="O4874" t="str">
        <f>CONCATENATE(Query1[[#This Row],[Description]]," - ",Query1[[#This Row],[MB1]]," - ",Query1[[#This Row],[MB2]]," - ",Query1[[#This Row],[MB3]])</f>
        <v>SUPER GEN II W/DEF - 830102 - 0 - 0</v>
      </c>
    </row>
    <row r="4875" spans="1:15" x14ac:dyDescent="0.25">
      <c r="A4875" s="1">
        <v>922276</v>
      </c>
      <c r="B4875" s="1" t="s">
        <v>78</v>
      </c>
      <c r="C4875" s="1" t="s">
        <v>79</v>
      </c>
      <c r="D4875" s="2">
        <v>44684.595749618056</v>
      </c>
      <c r="E4875" s="1" t="s">
        <v>11</v>
      </c>
      <c r="F4875" s="1">
        <v>1</v>
      </c>
      <c r="G4875" s="1">
        <v>0</v>
      </c>
      <c r="H4875" s="6">
        <f>INT(Query1[[#This Row],[EntryDateTime]])</f>
        <v>44684</v>
      </c>
      <c r="I4875" s="1">
        <f>IF(Query1[[#This Row],[ItemType]]="EVAP KIT SF GEN IV",Query1[[#This Row],[OrderQty]]+I4874,I4874)</f>
        <v>6017</v>
      </c>
      <c r="J4875" s="1">
        <f>IF(Query1[[#This Row],[ItemType]]="EVAP KIT UNIVERSAL",Query1[[#This Row],[OrderQty]]+J4874,J4874)</f>
        <v>1917</v>
      </c>
      <c r="K4875" s="1">
        <f>Query1[[#This Row],[SF Running Total]]+Query1[[#This Row],[UNIV Running Total]]</f>
        <v>7934</v>
      </c>
      <c r="L4875">
        <f>VLOOKUP(Query1[[#This Row],[Description]],'kits to boards'!$B$2:$E$156,2,FALSE)</f>
        <v>0</v>
      </c>
      <c r="M4875">
        <f>VLOOKUP(Query1[[#This Row],[Description]],'kits to boards'!$B$2:$E$156,3,FALSE)</f>
        <v>0</v>
      </c>
      <c r="N4875">
        <f>VLOOKUP(Query1[[#This Row],[Description]],'kits to boards'!$B$2:$E$156,4,FALSE)</f>
        <v>0</v>
      </c>
      <c r="O4875" t="str">
        <f>CONCATENATE(Query1[[#This Row],[Description]]," - ",Query1[[#This Row],[MB1]]," - ",Query1[[#This Row],[MB2]]," - ",Query1[[#This Row],[MB3]])</f>
        <v>MARK IV STYLELINE UNDERDASH EVAP - 0 - 0 - 0</v>
      </c>
    </row>
    <row r="4876" spans="1:15" x14ac:dyDescent="0.25">
      <c r="A4876" s="1">
        <v>922263</v>
      </c>
      <c r="B4876" s="1" t="s">
        <v>42</v>
      </c>
      <c r="C4876" s="1" t="s">
        <v>43</v>
      </c>
      <c r="D4876" s="2">
        <v>44684.598362037039</v>
      </c>
      <c r="E4876" s="1" t="s">
        <v>8</v>
      </c>
      <c r="F4876" s="1">
        <v>1</v>
      </c>
      <c r="G4876" s="1">
        <v>0</v>
      </c>
      <c r="H4876" s="6">
        <f>INT(Query1[[#This Row],[EntryDateTime]])</f>
        <v>44684</v>
      </c>
      <c r="I4876" s="1">
        <f>IF(Query1[[#This Row],[ItemType]]="EVAP KIT SF GEN IV",Query1[[#This Row],[OrderQty]]+I4875,I4875)</f>
        <v>6018</v>
      </c>
      <c r="J4876" s="1">
        <f>IF(Query1[[#This Row],[ItemType]]="EVAP KIT UNIVERSAL",Query1[[#This Row],[OrderQty]]+J4875,J4875)</f>
        <v>1917</v>
      </c>
      <c r="K4876" s="1">
        <f>Query1[[#This Row],[SF Running Total]]+Query1[[#This Row],[UNIV Running Total]]</f>
        <v>7935</v>
      </c>
      <c r="L4876">
        <f>VLOOKUP(Query1[[#This Row],[Description]],'kits to boards'!$B$2:$E$156,2,FALSE)</f>
        <v>830014</v>
      </c>
      <c r="M4876">
        <f>VLOOKUP(Query1[[#This Row],[Description]],'kits to boards'!$B$2:$E$156,3,FALSE)</f>
        <v>0</v>
      </c>
      <c r="N4876">
        <f>VLOOKUP(Query1[[#This Row],[Description]],'kits to boards'!$B$2:$E$156,4,FALSE)</f>
        <v>0</v>
      </c>
      <c r="O4876" t="str">
        <f>CONCATENATE(Query1[[#This Row],[Description]]," - ",Query1[[#This Row],[MB1]]," - ",Query1[[#This Row],[MB2]]," - ",Query1[[#This Row],[MB3]])</f>
        <v>EVAP KIT 67-72 CHEV P-UP WO AC - 830014 - 0 - 0</v>
      </c>
    </row>
    <row r="4877" spans="1:15" x14ac:dyDescent="0.25">
      <c r="A4877" s="1">
        <v>922284</v>
      </c>
      <c r="B4877" s="1" t="s">
        <v>60</v>
      </c>
      <c r="C4877" s="1" t="s">
        <v>61</v>
      </c>
      <c r="D4877" s="2">
        <v>44684.603631631944</v>
      </c>
      <c r="E4877" s="1" t="s">
        <v>8</v>
      </c>
      <c r="F4877" s="1">
        <v>1</v>
      </c>
      <c r="G4877" s="1">
        <v>0</v>
      </c>
      <c r="H4877" s="6">
        <f>INT(Query1[[#This Row],[EntryDateTime]])</f>
        <v>44684</v>
      </c>
      <c r="I4877" s="1">
        <f>IF(Query1[[#This Row],[ItemType]]="EVAP KIT SF GEN IV",Query1[[#This Row],[OrderQty]]+I4876,I4876)</f>
        <v>6019</v>
      </c>
      <c r="J4877" s="1">
        <f>IF(Query1[[#This Row],[ItemType]]="EVAP KIT UNIVERSAL",Query1[[#This Row],[OrderQty]]+J4876,J4876)</f>
        <v>1917</v>
      </c>
      <c r="K4877" s="1">
        <f>Query1[[#This Row],[SF Running Total]]+Query1[[#This Row],[UNIV Running Total]]</f>
        <v>7936</v>
      </c>
      <c r="L4877">
        <f>VLOOKUP(Query1[[#This Row],[Description]],'kits to boards'!$B$2:$E$156,2,FALSE)</f>
        <v>830062</v>
      </c>
      <c r="M4877">
        <f>VLOOKUP(Query1[[#This Row],[Description]],'kits to boards'!$B$2:$E$156,3,FALSE)</f>
        <v>0</v>
      </c>
      <c r="N4877">
        <f>VLOOKUP(Query1[[#This Row],[Description]],'kits to boards'!$B$2:$E$156,4,FALSE)</f>
        <v>0</v>
      </c>
      <c r="O4877" t="str">
        <f>CONCATENATE(Query1[[#This Row],[Description]]," - ",Query1[[#This Row],[MB1]]," - ",Query1[[#This Row],[MB2]]," - ",Query1[[#This Row],[MB3]])</f>
        <v>EVAP KIT 68-69 CHEVELLE WO AC - 830062 - 0 - 0</v>
      </c>
    </row>
    <row r="4878" spans="1:15" x14ac:dyDescent="0.25">
      <c r="A4878" s="1">
        <v>922296</v>
      </c>
      <c r="B4878" s="1" t="s">
        <v>94</v>
      </c>
      <c r="C4878" s="1" t="s">
        <v>95</v>
      </c>
      <c r="D4878" s="2">
        <v>44684.63360778935</v>
      </c>
      <c r="E4878" s="1" t="s">
        <v>8</v>
      </c>
      <c r="F4878" s="1">
        <v>1</v>
      </c>
      <c r="G4878" s="1">
        <v>0</v>
      </c>
      <c r="H4878" s="6">
        <f>INT(Query1[[#This Row],[EntryDateTime]])</f>
        <v>44684</v>
      </c>
      <c r="I4878" s="1">
        <f>IF(Query1[[#This Row],[ItemType]]="EVAP KIT SF GEN IV",Query1[[#This Row],[OrderQty]]+I4877,I4877)</f>
        <v>6020</v>
      </c>
      <c r="J4878" s="1">
        <f>IF(Query1[[#This Row],[ItemType]]="EVAP KIT UNIVERSAL",Query1[[#This Row],[OrderQty]]+J4877,J4877)</f>
        <v>1917</v>
      </c>
      <c r="K4878" s="1">
        <f>Query1[[#This Row],[SF Running Total]]+Query1[[#This Row],[UNIV Running Total]]</f>
        <v>7937</v>
      </c>
      <c r="L4878">
        <f>VLOOKUP(Query1[[#This Row],[Description]],'kits to boards'!$B$2:$E$156,2,FALSE)</f>
        <v>830076</v>
      </c>
      <c r="M4878">
        <f>VLOOKUP(Query1[[#This Row],[Description]],'kits to boards'!$B$2:$E$156,3,FALSE)</f>
        <v>0</v>
      </c>
      <c r="N4878">
        <f>VLOOKUP(Query1[[#This Row],[Description]],'kits to boards'!$B$2:$E$156,4,FALSE)</f>
        <v>0</v>
      </c>
      <c r="O4878" t="str">
        <f>CONCATENATE(Query1[[#This Row],[Description]]," - ",Query1[[#This Row],[MB1]]," - ",Query1[[#This Row],[MB2]]," - ",Query1[[#This Row],[MB3]])</f>
        <v>EVAP KIT 64 1/2- 66 MUSTANG  - 830076 - 0 - 0</v>
      </c>
    </row>
    <row r="4879" spans="1:15" x14ac:dyDescent="0.25">
      <c r="A4879" s="1">
        <v>922303</v>
      </c>
      <c r="B4879" s="1" t="s">
        <v>116</v>
      </c>
      <c r="C4879" s="1" t="s">
        <v>117</v>
      </c>
      <c r="D4879" s="2">
        <v>44684.649911076391</v>
      </c>
      <c r="E4879" s="1" t="s">
        <v>8</v>
      </c>
      <c r="F4879" s="1">
        <v>1</v>
      </c>
      <c r="G4879" s="1">
        <v>0</v>
      </c>
      <c r="H4879" s="6">
        <f>INT(Query1[[#This Row],[EntryDateTime]])</f>
        <v>44684</v>
      </c>
      <c r="I4879" s="1">
        <f>IF(Query1[[#This Row],[ItemType]]="EVAP KIT SF GEN IV",Query1[[#This Row],[OrderQty]]+I4878,I4878)</f>
        <v>6021</v>
      </c>
      <c r="J4879" s="1">
        <f>IF(Query1[[#This Row],[ItemType]]="EVAP KIT UNIVERSAL",Query1[[#This Row],[OrderQty]]+J4878,J4878)</f>
        <v>1917</v>
      </c>
      <c r="K4879" s="1">
        <f>Query1[[#This Row],[SF Running Total]]+Query1[[#This Row],[UNIV Running Total]]</f>
        <v>7938</v>
      </c>
      <c r="L4879">
        <f>VLOOKUP(Query1[[#This Row],[Description]],'kits to boards'!$B$2:$E$156,2,FALSE)</f>
        <v>830058</v>
      </c>
      <c r="M4879">
        <f>VLOOKUP(Query1[[#This Row],[Description]],'kits to boards'!$B$2:$E$156,3,FALSE)</f>
        <v>0</v>
      </c>
      <c r="N4879">
        <f>VLOOKUP(Query1[[#This Row],[Description]],'kits to boards'!$B$2:$E$156,4,FALSE)</f>
        <v>0</v>
      </c>
      <c r="O4879" t="str">
        <f>CONCATENATE(Query1[[#This Row],[Description]]," - ",Query1[[#This Row],[MB1]]," - ",Query1[[#This Row],[MB2]]," - ",Query1[[#This Row],[MB3]])</f>
        <v>EVAP KIT 64-65 CHEVELLE WO AC - 830058 - 0 - 0</v>
      </c>
    </row>
    <row r="4880" spans="1:15" x14ac:dyDescent="0.25">
      <c r="A4880" s="1">
        <v>922244</v>
      </c>
      <c r="B4880" s="1" t="s">
        <v>60</v>
      </c>
      <c r="C4880" s="1" t="s">
        <v>61</v>
      </c>
      <c r="D4880" s="2">
        <v>44684.650894675928</v>
      </c>
      <c r="E4880" s="1" t="s">
        <v>8</v>
      </c>
      <c r="F4880" s="1">
        <v>1</v>
      </c>
      <c r="G4880" s="1">
        <v>0</v>
      </c>
      <c r="H4880" s="6">
        <f>INT(Query1[[#This Row],[EntryDateTime]])</f>
        <v>44684</v>
      </c>
      <c r="I4880" s="1">
        <f>IF(Query1[[#This Row],[ItemType]]="EVAP KIT SF GEN IV",Query1[[#This Row],[OrderQty]]+I4879,I4879)</f>
        <v>6022</v>
      </c>
      <c r="J4880" s="1">
        <f>IF(Query1[[#This Row],[ItemType]]="EVAP KIT UNIVERSAL",Query1[[#This Row],[OrderQty]]+J4879,J4879)</f>
        <v>1917</v>
      </c>
      <c r="K4880" s="1">
        <f>Query1[[#This Row],[SF Running Total]]+Query1[[#This Row],[UNIV Running Total]]</f>
        <v>7939</v>
      </c>
      <c r="L4880">
        <f>VLOOKUP(Query1[[#This Row],[Description]],'kits to boards'!$B$2:$E$156,2,FALSE)</f>
        <v>830062</v>
      </c>
      <c r="M4880">
        <f>VLOOKUP(Query1[[#This Row],[Description]],'kits to boards'!$B$2:$E$156,3,FALSE)</f>
        <v>0</v>
      </c>
      <c r="N4880">
        <f>VLOOKUP(Query1[[#This Row],[Description]],'kits to boards'!$B$2:$E$156,4,FALSE)</f>
        <v>0</v>
      </c>
      <c r="O4880" t="str">
        <f>CONCATENATE(Query1[[#This Row],[Description]]," - ",Query1[[#This Row],[MB1]]," - ",Query1[[#This Row],[MB2]]," - ",Query1[[#This Row],[MB3]])</f>
        <v>EVAP KIT 68-69 CHEVELLE WO AC - 830062 - 0 - 0</v>
      </c>
    </row>
    <row r="4881" spans="1:15" x14ac:dyDescent="0.25">
      <c r="A4881" s="1">
        <v>921687</v>
      </c>
      <c r="B4881" s="1" t="s">
        <v>182</v>
      </c>
      <c r="C4881" s="1" t="s">
        <v>183</v>
      </c>
      <c r="D4881" s="2">
        <v>44684.653470868056</v>
      </c>
      <c r="E4881" s="1" t="s">
        <v>8</v>
      </c>
      <c r="F4881" s="1">
        <v>1</v>
      </c>
      <c r="G4881" s="1">
        <v>0</v>
      </c>
      <c r="H4881" s="6">
        <f>INT(Query1[[#This Row],[EntryDateTime]])</f>
        <v>44684</v>
      </c>
      <c r="I4881" s="1">
        <f>IF(Query1[[#This Row],[ItemType]]="EVAP KIT SF GEN IV",Query1[[#This Row],[OrderQty]]+I4880,I4880)</f>
        <v>6023</v>
      </c>
      <c r="J4881" s="1">
        <f>IF(Query1[[#This Row],[ItemType]]="EVAP KIT UNIVERSAL",Query1[[#This Row],[OrderQty]]+J4880,J4880)</f>
        <v>1917</v>
      </c>
      <c r="K4881" s="1">
        <f>Query1[[#This Row],[SF Running Total]]+Query1[[#This Row],[UNIV Running Total]]</f>
        <v>7940</v>
      </c>
      <c r="L4881">
        <f>VLOOKUP(Query1[[#This Row],[Description]],'kits to boards'!$B$2:$E$156,2,FALSE)</f>
        <v>830075</v>
      </c>
      <c r="M4881">
        <f>VLOOKUP(Query1[[#This Row],[Description]],'kits to boards'!$B$2:$E$156,3,FALSE)</f>
        <v>0</v>
      </c>
      <c r="N4881">
        <f>VLOOKUP(Query1[[#This Row],[Description]],'kits to boards'!$B$2:$E$156,4,FALSE)</f>
        <v>0</v>
      </c>
      <c r="O4881" t="str">
        <f>CONCATENATE(Query1[[#This Row],[Description]]," - ",Query1[[#This Row],[MB1]]," - ",Query1[[#This Row],[MB2]]," - ",Query1[[#This Row],[MB3]])</f>
        <v>EVAP KIT 69-70 MOPAR B BODY WO AC - 830075 - 0 - 0</v>
      </c>
    </row>
    <row r="4882" spans="1:15" x14ac:dyDescent="0.25">
      <c r="A4882" s="1">
        <v>922306</v>
      </c>
      <c r="B4882" s="1" t="s">
        <v>154</v>
      </c>
      <c r="C4882" s="1" t="s">
        <v>155</v>
      </c>
      <c r="D4882" s="2">
        <v>44684.654494675924</v>
      </c>
      <c r="E4882" s="1" t="s">
        <v>8</v>
      </c>
      <c r="F4882" s="1">
        <v>1</v>
      </c>
      <c r="G4882" s="1">
        <v>0</v>
      </c>
      <c r="H4882" s="6">
        <f>INT(Query1[[#This Row],[EntryDateTime]])</f>
        <v>44684</v>
      </c>
      <c r="I4882" s="1">
        <f>IF(Query1[[#This Row],[ItemType]]="EVAP KIT SF GEN IV",Query1[[#This Row],[OrderQty]]+I4881,I4881)</f>
        <v>6024</v>
      </c>
      <c r="J4882" s="1">
        <f>IF(Query1[[#This Row],[ItemType]]="EVAP KIT UNIVERSAL",Query1[[#This Row],[OrderQty]]+J4881,J4881)</f>
        <v>1917</v>
      </c>
      <c r="K4882" s="1">
        <f>Query1[[#This Row],[SF Running Total]]+Query1[[#This Row],[UNIV Running Total]]</f>
        <v>7941</v>
      </c>
      <c r="L4882">
        <f>VLOOKUP(Query1[[#This Row],[Description]],'kits to boards'!$B$2:$E$156,2,FALSE)</f>
        <v>830124</v>
      </c>
      <c r="M4882">
        <f>VLOOKUP(Query1[[#This Row],[Description]],'kits to boards'!$B$2:$E$156,3,FALSE)</f>
        <v>0</v>
      </c>
      <c r="N4882">
        <f>VLOOKUP(Query1[[#This Row],[Description]],'kits to boards'!$B$2:$E$156,4,FALSE)</f>
        <v>0</v>
      </c>
      <c r="O4882" t="str">
        <f>CONCATENATE(Query1[[#This Row],[Description]]," - ",Query1[[#This Row],[MB1]]," - ",Query1[[#This Row],[MB2]]," - ",Query1[[#This Row],[MB3]])</f>
        <v>EVAP KIT 69 GTO W/AC - 830124 - 0 - 0</v>
      </c>
    </row>
    <row r="4883" spans="1:15" x14ac:dyDescent="0.25">
      <c r="A4883" s="1">
        <v>922311</v>
      </c>
      <c r="B4883" s="1" t="s">
        <v>214</v>
      </c>
      <c r="C4883" s="1" t="s">
        <v>215</v>
      </c>
      <c r="D4883" s="2">
        <v>44684.657112615743</v>
      </c>
      <c r="E4883" s="1" t="s">
        <v>8</v>
      </c>
      <c r="F4883" s="1">
        <v>1</v>
      </c>
      <c r="G4883" s="1">
        <v>0</v>
      </c>
      <c r="H4883" s="6">
        <f>INT(Query1[[#This Row],[EntryDateTime]])</f>
        <v>44684</v>
      </c>
      <c r="I4883" s="1">
        <f>IF(Query1[[#This Row],[ItemType]]="EVAP KIT SF GEN IV",Query1[[#This Row],[OrderQty]]+I4882,I4882)</f>
        <v>6025</v>
      </c>
      <c r="J4883" s="1">
        <f>IF(Query1[[#This Row],[ItemType]]="EVAP KIT UNIVERSAL",Query1[[#This Row],[OrderQty]]+J4882,J4882)</f>
        <v>1917</v>
      </c>
      <c r="K4883" s="1">
        <f>Query1[[#This Row],[SF Running Total]]+Query1[[#This Row],[UNIV Running Total]]</f>
        <v>7942</v>
      </c>
      <c r="L4883">
        <f>VLOOKUP(Query1[[#This Row],[Description]],'kits to boards'!$B$2:$E$156,2,FALSE)</f>
        <v>830072</v>
      </c>
      <c r="M4883">
        <f>VLOOKUP(Query1[[#This Row],[Description]],'kits to boards'!$B$2:$E$156,3,FALSE)</f>
        <v>0</v>
      </c>
      <c r="N4883">
        <f>VLOOKUP(Query1[[#This Row],[Description]],'kits to boards'!$B$2:$E$156,4,FALSE)</f>
        <v>0</v>
      </c>
      <c r="O4883" t="str">
        <f>CONCATENATE(Query1[[#This Row],[Description]]," - ",Query1[[#This Row],[MB1]]," - ",Query1[[#This Row],[MB2]]," - ",Query1[[#This Row],[MB3]])</f>
        <v>EVAP KIT 68 MOPAR B BODY WO AC - 830072 - 0 - 0</v>
      </c>
    </row>
    <row r="4884" spans="1:15" x14ac:dyDescent="0.25">
      <c r="A4884" s="1">
        <v>922312</v>
      </c>
      <c r="B4884" s="1" t="s">
        <v>6</v>
      </c>
      <c r="C4884" s="1" t="s">
        <v>7</v>
      </c>
      <c r="D4884" s="2">
        <v>44684.65795818287</v>
      </c>
      <c r="E4884" s="1" t="s">
        <v>8</v>
      </c>
      <c r="F4884" s="1">
        <v>1</v>
      </c>
      <c r="G4884" s="1">
        <v>0</v>
      </c>
      <c r="H4884" s="6">
        <f>INT(Query1[[#This Row],[EntryDateTime]])</f>
        <v>44684</v>
      </c>
      <c r="I4884" s="1">
        <f>IF(Query1[[#This Row],[ItemType]]="EVAP KIT SF GEN IV",Query1[[#This Row],[OrderQty]]+I4883,I4883)</f>
        <v>6026</v>
      </c>
      <c r="J4884" s="1">
        <f>IF(Query1[[#This Row],[ItemType]]="EVAP KIT UNIVERSAL",Query1[[#This Row],[OrderQty]]+J4883,J4883)</f>
        <v>1917</v>
      </c>
      <c r="K4884" s="1">
        <f>Query1[[#This Row],[SF Running Total]]+Query1[[#This Row],[UNIV Running Total]]</f>
        <v>7943</v>
      </c>
      <c r="L4884">
        <f>VLOOKUP(Query1[[#This Row],[Description]],'kits to boards'!$B$2:$E$156,2,FALSE)</f>
        <v>830132</v>
      </c>
      <c r="M4884">
        <f>VLOOKUP(Query1[[#This Row],[Description]],'kits to boards'!$B$2:$E$156,3,FALSE)</f>
        <v>0</v>
      </c>
      <c r="N4884">
        <f>VLOOKUP(Query1[[#This Row],[Description]],'kits to boards'!$B$2:$E$156,4,FALSE)</f>
        <v>0</v>
      </c>
      <c r="O4884" t="str">
        <f>CONCATENATE(Query1[[#This Row],[Description]]," - ",Query1[[#This Row],[MB1]]," - ",Query1[[#This Row],[MB2]]," - ",Query1[[#This Row],[MB3]])</f>
        <v>EVAP KIT 82-88 MONTE CARLO/EL CAMINO - 830132 - 0 - 0</v>
      </c>
    </row>
    <row r="4885" spans="1:15" x14ac:dyDescent="0.25">
      <c r="A4885" s="1">
        <v>922323</v>
      </c>
      <c r="B4885" s="1" t="s">
        <v>94</v>
      </c>
      <c r="C4885" s="1" t="s">
        <v>95</v>
      </c>
      <c r="D4885" s="2">
        <v>44684.674253240744</v>
      </c>
      <c r="E4885" s="1" t="s">
        <v>8</v>
      </c>
      <c r="F4885" s="1">
        <v>2</v>
      </c>
      <c r="G4885" s="1">
        <v>0</v>
      </c>
      <c r="H4885" s="6">
        <f>INT(Query1[[#This Row],[EntryDateTime]])</f>
        <v>44684</v>
      </c>
      <c r="I4885" s="1">
        <f>IF(Query1[[#This Row],[ItemType]]="EVAP KIT SF GEN IV",Query1[[#This Row],[OrderQty]]+I4884,I4884)</f>
        <v>6028</v>
      </c>
      <c r="J4885" s="1">
        <f>IF(Query1[[#This Row],[ItemType]]="EVAP KIT UNIVERSAL",Query1[[#This Row],[OrderQty]]+J4884,J4884)</f>
        <v>1917</v>
      </c>
      <c r="K4885" s="1">
        <f>Query1[[#This Row],[SF Running Total]]+Query1[[#This Row],[UNIV Running Total]]</f>
        <v>7945</v>
      </c>
      <c r="L4885">
        <f>VLOOKUP(Query1[[#This Row],[Description]],'kits to boards'!$B$2:$E$156,2,FALSE)</f>
        <v>830076</v>
      </c>
      <c r="M4885">
        <f>VLOOKUP(Query1[[#This Row],[Description]],'kits to boards'!$B$2:$E$156,3,FALSE)</f>
        <v>0</v>
      </c>
      <c r="N4885">
        <f>VLOOKUP(Query1[[#This Row],[Description]],'kits to boards'!$B$2:$E$156,4,FALSE)</f>
        <v>0</v>
      </c>
      <c r="O4885" t="str">
        <f>CONCATENATE(Query1[[#This Row],[Description]]," - ",Query1[[#This Row],[MB1]]," - ",Query1[[#This Row],[MB2]]," - ",Query1[[#This Row],[MB3]])</f>
        <v>EVAP KIT 64 1/2- 66 MUSTANG  - 830076 - 0 - 0</v>
      </c>
    </row>
    <row r="4886" spans="1:15" x14ac:dyDescent="0.25">
      <c r="A4886" s="1">
        <v>922315</v>
      </c>
      <c r="B4886" s="1" t="s">
        <v>182</v>
      </c>
      <c r="C4886" s="1" t="s">
        <v>183</v>
      </c>
      <c r="D4886" s="2">
        <v>44684.679835763891</v>
      </c>
      <c r="E4886" s="1" t="s">
        <v>8</v>
      </c>
      <c r="F4886" s="1">
        <v>1</v>
      </c>
      <c r="G4886" s="1">
        <v>0</v>
      </c>
      <c r="H4886" s="6">
        <f>INT(Query1[[#This Row],[EntryDateTime]])</f>
        <v>44684</v>
      </c>
      <c r="I4886" s="1">
        <f>IF(Query1[[#This Row],[ItemType]]="EVAP KIT SF GEN IV",Query1[[#This Row],[OrderQty]]+I4885,I4885)</f>
        <v>6029</v>
      </c>
      <c r="J4886" s="1">
        <f>IF(Query1[[#This Row],[ItemType]]="EVAP KIT UNIVERSAL",Query1[[#This Row],[OrderQty]]+J4885,J4885)</f>
        <v>1917</v>
      </c>
      <c r="K4886" s="1">
        <f>Query1[[#This Row],[SF Running Total]]+Query1[[#This Row],[UNIV Running Total]]</f>
        <v>7946</v>
      </c>
      <c r="L4886">
        <f>VLOOKUP(Query1[[#This Row],[Description]],'kits to boards'!$B$2:$E$156,2,FALSE)</f>
        <v>830075</v>
      </c>
      <c r="M4886">
        <f>VLOOKUP(Query1[[#This Row],[Description]],'kits to boards'!$B$2:$E$156,3,FALSE)</f>
        <v>0</v>
      </c>
      <c r="N4886">
        <f>VLOOKUP(Query1[[#This Row],[Description]],'kits to boards'!$B$2:$E$156,4,FALSE)</f>
        <v>0</v>
      </c>
      <c r="O4886" t="str">
        <f>CONCATENATE(Query1[[#This Row],[Description]]," - ",Query1[[#This Row],[MB1]]," - ",Query1[[#This Row],[MB2]]," - ",Query1[[#This Row],[MB3]])</f>
        <v>EVAP KIT 69-70 MOPAR B BODY WO AC - 830075 - 0 - 0</v>
      </c>
    </row>
    <row r="4887" spans="1:15" x14ac:dyDescent="0.25">
      <c r="A4887" s="1">
        <v>922315</v>
      </c>
      <c r="B4887" s="1" t="s">
        <v>134</v>
      </c>
      <c r="C4887" s="1" t="s">
        <v>135</v>
      </c>
      <c r="D4887" s="2">
        <v>44684.679835763891</v>
      </c>
      <c r="E4887" s="1" t="s">
        <v>8</v>
      </c>
      <c r="F4887" s="1">
        <v>1</v>
      </c>
      <c r="G4887" s="1">
        <v>0</v>
      </c>
      <c r="H4887" s="6">
        <f>INT(Query1[[#This Row],[EntryDateTime]])</f>
        <v>44684</v>
      </c>
      <c r="I4887" s="1">
        <f>IF(Query1[[#This Row],[ItemType]]="EVAP KIT SF GEN IV",Query1[[#This Row],[OrderQty]]+I4886,I4886)</f>
        <v>6030</v>
      </c>
      <c r="J4887" s="1">
        <f>IF(Query1[[#This Row],[ItemType]]="EVAP KIT UNIVERSAL",Query1[[#This Row],[OrderQty]]+J4886,J4886)</f>
        <v>1917</v>
      </c>
      <c r="K4887" s="1">
        <f>Query1[[#This Row],[SF Running Total]]+Query1[[#This Row],[UNIV Running Total]]</f>
        <v>7947</v>
      </c>
      <c r="L4887">
        <f>VLOOKUP(Query1[[#This Row],[Description]],'kits to boards'!$B$2:$E$156,2,FALSE)</f>
        <v>830007</v>
      </c>
      <c r="M4887">
        <f>VLOOKUP(Query1[[#This Row],[Description]],'kits to boards'!$B$2:$E$156,3,FALSE)</f>
        <v>0</v>
      </c>
      <c r="N4887">
        <f>VLOOKUP(Query1[[#This Row],[Description]],'kits to boards'!$B$2:$E$156,4,FALSE)</f>
        <v>0</v>
      </c>
      <c r="O4887" t="str">
        <f>CONCATENATE(Query1[[#This Row],[Description]]," - ",Query1[[#This Row],[MB1]]," - ",Query1[[#This Row],[MB2]]," - ",Query1[[#This Row],[MB3]])</f>
        <v>EVAP KIT 64 IMPALA WO AC - 830007 - 0 - 0</v>
      </c>
    </row>
    <row r="4888" spans="1:15" x14ac:dyDescent="0.25">
      <c r="A4888" s="1">
        <v>922323</v>
      </c>
      <c r="B4888" s="1" t="s">
        <v>12</v>
      </c>
      <c r="C4888" s="1" t="s">
        <v>13</v>
      </c>
      <c r="D4888" s="2">
        <v>44684.680565509261</v>
      </c>
      <c r="E4888" s="1" t="s">
        <v>8</v>
      </c>
      <c r="F4888" s="1">
        <v>2</v>
      </c>
      <c r="G4888" s="1">
        <v>0</v>
      </c>
      <c r="H4888" s="6">
        <f>INT(Query1[[#This Row],[EntryDateTime]])</f>
        <v>44684</v>
      </c>
      <c r="I4888" s="1">
        <f>IF(Query1[[#This Row],[ItemType]]="EVAP KIT SF GEN IV",Query1[[#This Row],[OrderQty]]+I4887,I4887)</f>
        <v>6032</v>
      </c>
      <c r="J4888" s="1">
        <f>IF(Query1[[#This Row],[ItemType]]="EVAP KIT UNIVERSAL",Query1[[#This Row],[OrderQty]]+J4887,J4887)</f>
        <v>1917</v>
      </c>
      <c r="K4888" s="1">
        <f>Query1[[#This Row],[SF Running Total]]+Query1[[#This Row],[UNIV Running Total]]</f>
        <v>7949</v>
      </c>
      <c r="L4888">
        <f>VLOOKUP(Query1[[#This Row],[Description]],'kits to boards'!$B$2:$E$156,2,FALSE)</f>
        <v>830079</v>
      </c>
      <c r="M4888">
        <f>VLOOKUP(Query1[[#This Row],[Description]],'kits to boards'!$B$2:$E$156,3,FALSE)</f>
        <v>830046</v>
      </c>
      <c r="N4888">
        <f>VLOOKUP(Query1[[#This Row],[Description]],'kits to boards'!$B$2:$E$156,4,FALSE)</f>
        <v>0</v>
      </c>
      <c r="O4888" t="str">
        <f>CONCATENATE(Query1[[#This Row],[Description]]," - ",Query1[[#This Row],[MB1]]," - ",Query1[[#This Row],[MB2]]," - ",Query1[[#This Row],[MB3]])</f>
        <v>EVAP KIT 67-68 MUSTANG/COUGAR W/AC - 830079 - 830046 - 0</v>
      </c>
    </row>
    <row r="4889" spans="1:15" x14ac:dyDescent="0.25">
      <c r="A4889" s="1">
        <v>922294</v>
      </c>
      <c r="B4889" s="1" t="s">
        <v>30</v>
      </c>
      <c r="C4889" s="1" t="s">
        <v>31</v>
      </c>
      <c r="D4889" s="2">
        <v>44684.681392557868</v>
      </c>
      <c r="E4889" s="1" t="s">
        <v>8</v>
      </c>
      <c r="F4889" s="1">
        <v>1</v>
      </c>
      <c r="G4889" s="1">
        <v>0</v>
      </c>
      <c r="H4889" s="6">
        <f>INT(Query1[[#This Row],[EntryDateTime]])</f>
        <v>44684</v>
      </c>
      <c r="I4889" s="1">
        <f>IF(Query1[[#This Row],[ItemType]]="EVAP KIT SF GEN IV",Query1[[#This Row],[OrderQty]]+I4888,I4888)</f>
        <v>6033</v>
      </c>
      <c r="J4889" s="1">
        <f>IF(Query1[[#This Row],[ItemType]]="EVAP KIT UNIVERSAL",Query1[[#This Row],[OrderQty]]+J4888,J4888)</f>
        <v>1917</v>
      </c>
      <c r="K4889" s="1">
        <f>Query1[[#This Row],[SF Running Total]]+Query1[[#This Row],[UNIV Running Total]]</f>
        <v>7950</v>
      </c>
      <c r="L4889">
        <f>VLOOKUP(Query1[[#This Row],[Description]],'kits to boards'!$B$2:$E$156,2,FALSE)</f>
        <v>830054</v>
      </c>
      <c r="M4889">
        <f>VLOOKUP(Query1[[#This Row],[Description]],'kits to boards'!$B$2:$E$156,3,FALSE)</f>
        <v>0</v>
      </c>
      <c r="N4889">
        <f>VLOOKUP(Query1[[#This Row],[Description]],'kits to boards'!$B$2:$E$156,4,FALSE)</f>
        <v>0</v>
      </c>
      <c r="O4889" t="str">
        <f>CONCATENATE(Query1[[#This Row],[Description]]," - ",Query1[[#This Row],[MB1]]," - ",Query1[[#This Row],[MB2]]," - ",Query1[[#This Row],[MB3]])</f>
        <v>EVAP KIT 55-56 CHEVY 4-VENT - 830054 - 0 - 0</v>
      </c>
    </row>
    <row r="4890" spans="1:15" x14ac:dyDescent="0.25">
      <c r="A4890" s="1">
        <v>922324</v>
      </c>
      <c r="B4890" s="1" t="s">
        <v>6</v>
      </c>
      <c r="C4890" s="1" t="s">
        <v>7</v>
      </c>
      <c r="D4890" s="2">
        <v>44684.683999687499</v>
      </c>
      <c r="E4890" s="1" t="s">
        <v>8</v>
      </c>
      <c r="F4890" s="1">
        <v>1</v>
      </c>
      <c r="G4890" s="1">
        <v>0</v>
      </c>
      <c r="H4890" s="6">
        <f>INT(Query1[[#This Row],[EntryDateTime]])</f>
        <v>44684</v>
      </c>
      <c r="I4890" s="1">
        <f>IF(Query1[[#This Row],[ItemType]]="EVAP KIT SF GEN IV",Query1[[#This Row],[OrderQty]]+I4889,I4889)</f>
        <v>6034</v>
      </c>
      <c r="J4890" s="1">
        <f>IF(Query1[[#This Row],[ItemType]]="EVAP KIT UNIVERSAL",Query1[[#This Row],[OrderQty]]+J4889,J4889)</f>
        <v>1917</v>
      </c>
      <c r="K4890" s="1">
        <f>Query1[[#This Row],[SF Running Total]]+Query1[[#This Row],[UNIV Running Total]]</f>
        <v>7951</v>
      </c>
      <c r="L4890">
        <f>VLOOKUP(Query1[[#This Row],[Description]],'kits to boards'!$B$2:$E$156,2,FALSE)</f>
        <v>830132</v>
      </c>
      <c r="M4890">
        <f>VLOOKUP(Query1[[#This Row],[Description]],'kits to boards'!$B$2:$E$156,3,FALSE)</f>
        <v>0</v>
      </c>
      <c r="N4890">
        <f>VLOOKUP(Query1[[#This Row],[Description]],'kits to boards'!$B$2:$E$156,4,FALSE)</f>
        <v>0</v>
      </c>
      <c r="O4890" t="str">
        <f>CONCATENATE(Query1[[#This Row],[Description]]," - ",Query1[[#This Row],[MB1]]," - ",Query1[[#This Row],[MB2]]," - ",Query1[[#This Row],[MB3]])</f>
        <v>EVAP KIT 82-88 MONTE CARLO/EL CAMINO - 830132 - 0 - 0</v>
      </c>
    </row>
    <row r="4891" spans="1:15" x14ac:dyDescent="0.25">
      <c r="A4891" s="1">
        <v>922334</v>
      </c>
      <c r="B4891" s="1" t="s">
        <v>118</v>
      </c>
      <c r="C4891" s="1" t="s">
        <v>119</v>
      </c>
      <c r="D4891" s="2">
        <v>44685.299780868052</v>
      </c>
      <c r="E4891" s="1" t="s">
        <v>11</v>
      </c>
      <c r="F4891" s="1">
        <v>1</v>
      </c>
      <c r="G4891" s="1">
        <v>0</v>
      </c>
      <c r="H4891" s="6">
        <f>INT(Query1[[#This Row],[EntryDateTime]])</f>
        <v>44685</v>
      </c>
      <c r="I4891" s="1">
        <f>IF(Query1[[#This Row],[ItemType]]="EVAP KIT SF GEN IV",Query1[[#This Row],[OrderQty]]+I4890,I4890)</f>
        <v>6034</v>
      </c>
      <c r="J4891" s="1">
        <f>IF(Query1[[#This Row],[ItemType]]="EVAP KIT UNIVERSAL",Query1[[#This Row],[OrderQty]]+J4890,J4890)</f>
        <v>1918</v>
      </c>
      <c r="K4891" s="1">
        <f>Query1[[#This Row],[SF Running Total]]+Query1[[#This Row],[UNIV Running Total]]</f>
        <v>7952</v>
      </c>
      <c r="L4891">
        <f>VLOOKUP(Query1[[#This Row],[Description]],'kits to boards'!$B$2:$E$156,2,FALSE)</f>
        <v>830069</v>
      </c>
      <c r="M4891">
        <f>VLOOKUP(Query1[[#This Row],[Description]],'kits to boards'!$B$2:$E$156,3,FALSE)</f>
        <v>0</v>
      </c>
      <c r="N4891">
        <f>VLOOKUP(Query1[[#This Row],[Description]],'kits to boards'!$B$2:$E$156,4,FALSE)</f>
        <v>0</v>
      </c>
      <c r="O4891" t="str">
        <f>CONCATENATE(Query1[[#This Row],[Description]]," - ",Query1[[#This Row],[MB1]]," - ",Query1[[#This Row],[MB2]]," - ",Query1[[#This Row],[MB3]])</f>
        <v>SLIMLINE H/C W/DEF BLK LOUVER - 830069 - 0 - 0</v>
      </c>
    </row>
    <row r="4892" spans="1:15" x14ac:dyDescent="0.25">
      <c r="A4892" s="1">
        <v>922334</v>
      </c>
      <c r="B4892" s="1" t="s">
        <v>62</v>
      </c>
      <c r="C4892" s="1" t="s">
        <v>63</v>
      </c>
      <c r="D4892" s="2">
        <v>44685.299932210648</v>
      </c>
      <c r="E4892" s="1" t="s">
        <v>8</v>
      </c>
      <c r="F4892" s="1">
        <v>1</v>
      </c>
      <c r="G4892" s="1">
        <v>0</v>
      </c>
      <c r="H4892" s="6">
        <f>INT(Query1[[#This Row],[EntryDateTime]])</f>
        <v>44685</v>
      </c>
      <c r="I4892" s="1">
        <f>IF(Query1[[#This Row],[ItemType]]="EVAP KIT SF GEN IV",Query1[[#This Row],[OrderQty]]+I4891,I4891)</f>
        <v>6035</v>
      </c>
      <c r="J4892" s="1">
        <f>IF(Query1[[#This Row],[ItemType]]="EVAP KIT UNIVERSAL",Query1[[#This Row],[OrderQty]]+J4891,J4891)</f>
        <v>1918</v>
      </c>
      <c r="K4892" s="1">
        <f>Query1[[#This Row],[SF Running Total]]+Query1[[#This Row],[UNIV Running Total]]</f>
        <v>7953</v>
      </c>
      <c r="L4892">
        <f>VLOOKUP(Query1[[#This Row],[Description]],'kits to boards'!$B$2:$E$156,2,FALSE)</f>
        <v>830079</v>
      </c>
      <c r="M4892">
        <f>VLOOKUP(Query1[[#This Row],[Description]],'kits to boards'!$B$2:$E$156,3,FALSE)</f>
        <v>830046</v>
      </c>
      <c r="N4892">
        <f>VLOOKUP(Query1[[#This Row],[Description]],'kits to boards'!$B$2:$E$156,4,FALSE)</f>
        <v>0</v>
      </c>
      <c r="O4892" t="str">
        <f>CONCATENATE(Query1[[#This Row],[Description]]," - ",Query1[[#This Row],[MB1]]," - ",Query1[[#This Row],[MB2]]," - ",Query1[[#This Row],[MB3]])</f>
        <v>EVAP KIT 67-68 MUSTANG/COUGAR WO AC - 830079 - 830046 - 0</v>
      </c>
    </row>
    <row r="4893" spans="1:15" x14ac:dyDescent="0.25">
      <c r="A4893" s="1">
        <v>922334</v>
      </c>
      <c r="B4893" s="1" t="s">
        <v>12</v>
      </c>
      <c r="C4893" s="1" t="s">
        <v>13</v>
      </c>
      <c r="D4893" s="2">
        <v>44685.299933993054</v>
      </c>
      <c r="E4893" s="1" t="s">
        <v>8</v>
      </c>
      <c r="F4893" s="1">
        <v>2</v>
      </c>
      <c r="G4893" s="1">
        <v>0</v>
      </c>
      <c r="H4893" s="6">
        <f>INT(Query1[[#This Row],[EntryDateTime]])</f>
        <v>44685</v>
      </c>
      <c r="I4893" s="1">
        <f>IF(Query1[[#This Row],[ItemType]]="EVAP KIT SF GEN IV",Query1[[#This Row],[OrderQty]]+I4892,I4892)</f>
        <v>6037</v>
      </c>
      <c r="J4893" s="1">
        <f>IF(Query1[[#This Row],[ItemType]]="EVAP KIT UNIVERSAL",Query1[[#This Row],[OrderQty]]+J4892,J4892)</f>
        <v>1918</v>
      </c>
      <c r="K4893" s="1">
        <f>Query1[[#This Row],[SF Running Total]]+Query1[[#This Row],[UNIV Running Total]]</f>
        <v>7955</v>
      </c>
      <c r="L4893">
        <f>VLOOKUP(Query1[[#This Row],[Description]],'kits to boards'!$B$2:$E$156,2,FALSE)</f>
        <v>830079</v>
      </c>
      <c r="M4893">
        <f>VLOOKUP(Query1[[#This Row],[Description]],'kits to boards'!$B$2:$E$156,3,FALSE)</f>
        <v>830046</v>
      </c>
      <c r="N4893">
        <f>VLOOKUP(Query1[[#This Row],[Description]],'kits to boards'!$B$2:$E$156,4,FALSE)</f>
        <v>0</v>
      </c>
      <c r="O4893" t="str">
        <f>CONCATENATE(Query1[[#This Row],[Description]]," - ",Query1[[#This Row],[MB1]]," - ",Query1[[#This Row],[MB2]]," - ",Query1[[#This Row],[MB3]])</f>
        <v>EVAP KIT 67-68 MUSTANG/COUGAR W/AC - 830079 - 830046 - 0</v>
      </c>
    </row>
    <row r="4894" spans="1:15" x14ac:dyDescent="0.25">
      <c r="A4894" s="1">
        <v>922334</v>
      </c>
      <c r="B4894" s="1" t="s">
        <v>52</v>
      </c>
      <c r="C4894" s="1" t="s">
        <v>53</v>
      </c>
      <c r="D4894" s="2">
        <v>44685.29993572917</v>
      </c>
      <c r="E4894" s="1" t="s">
        <v>8</v>
      </c>
      <c r="F4894" s="1">
        <v>6</v>
      </c>
      <c r="G4894" s="1">
        <v>0</v>
      </c>
      <c r="H4894" s="6">
        <f>INT(Query1[[#This Row],[EntryDateTime]])</f>
        <v>44685</v>
      </c>
      <c r="I4894" s="1">
        <f>IF(Query1[[#This Row],[ItemType]]="EVAP KIT SF GEN IV",Query1[[#This Row],[OrderQty]]+I4893,I4893)</f>
        <v>6043</v>
      </c>
      <c r="J4894" s="1">
        <f>IF(Query1[[#This Row],[ItemType]]="EVAP KIT UNIVERSAL",Query1[[#This Row],[OrderQty]]+J4893,J4893)</f>
        <v>1918</v>
      </c>
      <c r="K4894" s="1">
        <f>Query1[[#This Row],[SF Running Total]]+Query1[[#This Row],[UNIV Running Total]]</f>
        <v>7961</v>
      </c>
      <c r="L4894">
        <f>VLOOKUP(Query1[[#This Row],[Description]],'kits to boards'!$B$2:$E$156,2,FALSE)</f>
        <v>830017</v>
      </c>
      <c r="M4894">
        <f>VLOOKUP(Query1[[#This Row],[Description]],'kits to boards'!$B$2:$E$156,3,FALSE)</f>
        <v>830119</v>
      </c>
      <c r="N4894">
        <f>VLOOKUP(Query1[[#This Row],[Description]],'kits to boards'!$B$2:$E$156,4,FALSE)</f>
        <v>830120</v>
      </c>
      <c r="O4894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4895" spans="1:15" x14ac:dyDescent="0.25">
      <c r="A4895" s="1">
        <v>922334</v>
      </c>
      <c r="B4895" s="1" t="s">
        <v>56</v>
      </c>
      <c r="C4895" s="1" t="s">
        <v>57</v>
      </c>
      <c r="D4895" s="2">
        <v>44685.299937465279</v>
      </c>
      <c r="E4895" s="1" t="s">
        <v>8</v>
      </c>
      <c r="F4895" s="1">
        <v>3</v>
      </c>
      <c r="G4895" s="1">
        <v>0</v>
      </c>
      <c r="H4895" s="6">
        <f>INT(Query1[[#This Row],[EntryDateTime]])</f>
        <v>44685</v>
      </c>
      <c r="I4895" s="1">
        <f>IF(Query1[[#This Row],[ItemType]]="EVAP KIT SF GEN IV",Query1[[#This Row],[OrderQty]]+I4894,I4894)</f>
        <v>6046</v>
      </c>
      <c r="J4895" s="1">
        <f>IF(Query1[[#This Row],[ItemType]]="EVAP KIT UNIVERSAL",Query1[[#This Row],[OrderQty]]+J4894,J4894)</f>
        <v>1918</v>
      </c>
      <c r="K4895" s="1">
        <f>Query1[[#This Row],[SF Running Total]]+Query1[[#This Row],[UNIV Running Total]]</f>
        <v>7964</v>
      </c>
      <c r="L4895">
        <f>VLOOKUP(Query1[[#This Row],[Description]],'kits to boards'!$B$2:$E$156,2,FALSE)</f>
        <v>830011</v>
      </c>
      <c r="M4895">
        <f>VLOOKUP(Query1[[#This Row],[Description]],'kits to boards'!$B$2:$E$156,3,FALSE)</f>
        <v>0</v>
      </c>
      <c r="N4895">
        <f>VLOOKUP(Query1[[#This Row],[Description]],'kits to boards'!$B$2:$E$156,4,FALSE)</f>
        <v>0</v>
      </c>
      <c r="O4895" t="str">
        <f>CONCATENATE(Query1[[#This Row],[Description]]," - ",Query1[[#This Row],[MB1]]," - ",Query1[[#This Row],[MB2]]," - ",Query1[[#This Row],[MB3]])</f>
        <v>EVAP KIT 70-72 CHEVELLE W/AC - 830011 - 0 - 0</v>
      </c>
    </row>
    <row r="4896" spans="1:15" x14ac:dyDescent="0.25">
      <c r="A4896" s="1">
        <v>922334</v>
      </c>
      <c r="B4896" s="1" t="s">
        <v>40</v>
      </c>
      <c r="C4896" s="1" t="s">
        <v>41</v>
      </c>
      <c r="D4896" s="2">
        <v>44685.299939236109</v>
      </c>
      <c r="E4896" s="1" t="s">
        <v>8</v>
      </c>
      <c r="F4896" s="1">
        <v>1</v>
      </c>
      <c r="G4896" s="1">
        <v>0</v>
      </c>
      <c r="H4896" s="6">
        <f>INT(Query1[[#This Row],[EntryDateTime]])</f>
        <v>44685</v>
      </c>
      <c r="I4896" s="1">
        <f>IF(Query1[[#This Row],[ItemType]]="EVAP KIT SF GEN IV",Query1[[#This Row],[OrderQty]]+I4895,I4895)</f>
        <v>6047</v>
      </c>
      <c r="J4896" s="1">
        <f>IF(Query1[[#This Row],[ItemType]]="EVAP KIT UNIVERSAL",Query1[[#This Row],[OrderQty]]+J4895,J4895)</f>
        <v>1918</v>
      </c>
      <c r="K4896" s="1">
        <f>Query1[[#This Row],[SF Running Total]]+Query1[[#This Row],[UNIV Running Total]]</f>
        <v>7965</v>
      </c>
      <c r="L4896">
        <f>VLOOKUP(Query1[[#This Row],[Description]],'kits to boards'!$B$2:$E$156,2,FALSE)</f>
        <v>830024</v>
      </c>
      <c r="M4896">
        <f>VLOOKUP(Query1[[#This Row],[Description]],'kits to boards'!$B$2:$E$156,3,FALSE)</f>
        <v>0</v>
      </c>
      <c r="N4896">
        <f>VLOOKUP(Query1[[#This Row],[Description]],'kits to boards'!$B$2:$E$156,4,FALSE)</f>
        <v>0</v>
      </c>
      <c r="O4896" t="str">
        <f>CONCATENATE(Query1[[#This Row],[Description]]," - ",Query1[[#This Row],[MB1]]," - ",Query1[[#This Row],[MB2]]," - ",Query1[[#This Row],[MB3]])</f>
        <v>EVAP KIT 79-81 CAMARO W/AC - 830024 - 0 - 0</v>
      </c>
    </row>
    <row r="4897" spans="1:15" x14ac:dyDescent="0.25">
      <c r="A4897" s="1">
        <v>922334</v>
      </c>
      <c r="B4897" s="1" t="s">
        <v>20</v>
      </c>
      <c r="C4897" s="1" t="s">
        <v>21</v>
      </c>
      <c r="D4897" s="2">
        <v>44685.299940972225</v>
      </c>
      <c r="E4897" s="1" t="s">
        <v>11</v>
      </c>
      <c r="F4897" s="1">
        <v>3</v>
      </c>
      <c r="G4897" s="1">
        <v>0</v>
      </c>
      <c r="H4897" s="6">
        <f>INT(Query1[[#This Row],[EntryDateTime]])</f>
        <v>44685</v>
      </c>
      <c r="I4897" s="1">
        <f>IF(Query1[[#This Row],[ItemType]]="EVAP KIT SF GEN IV",Query1[[#This Row],[OrderQty]]+I4896,I4896)</f>
        <v>6047</v>
      </c>
      <c r="J4897" s="1">
        <f>IF(Query1[[#This Row],[ItemType]]="EVAP KIT UNIVERSAL",Query1[[#This Row],[OrderQty]]+J4896,J4896)</f>
        <v>1921</v>
      </c>
      <c r="K4897" s="1">
        <f>Query1[[#This Row],[SF Running Total]]+Query1[[#This Row],[UNIV Running Total]]</f>
        <v>7968</v>
      </c>
      <c r="L4897">
        <f>VLOOKUP(Query1[[#This Row],[Description]],'kits to boards'!$B$2:$E$156,2,FALSE)</f>
        <v>830102</v>
      </c>
      <c r="M4897">
        <f>VLOOKUP(Query1[[#This Row],[Description]],'kits to boards'!$B$2:$E$156,3,FALSE)</f>
        <v>0</v>
      </c>
      <c r="N4897">
        <f>VLOOKUP(Query1[[#This Row],[Description]],'kits to boards'!$B$2:$E$156,4,FALSE)</f>
        <v>0</v>
      </c>
      <c r="O4897" t="str">
        <f>CONCATENATE(Query1[[#This Row],[Description]]," - ",Query1[[#This Row],[MB1]]," - ",Query1[[#This Row],[MB2]]," - ",Query1[[#This Row],[MB3]])</f>
        <v>SUPER GEN II W/DEF - 830102 - 0 - 0</v>
      </c>
    </row>
    <row r="4898" spans="1:15" x14ac:dyDescent="0.25">
      <c r="A4898" s="1">
        <v>922334</v>
      </c>
      <c r="B4898" s="1" t="s">
        <v>76</v>
      </c>
      <c r="C4898" s="1" t="s">
        <v>77</v>
      </c>
      <c r="D4898" s="2">
        <v>44685.299965972219</v>
      </c>
      <c r="E4898" s="1" t="s">
        <v>11</v>
      </c>
      <c r="F4898" s="1">
        <v>4</v>
      </c>
      <c r="G4898" s="1">
        <v>0</v>
      </c>
      <c r="H4898" s="6">
        <f>INT(Query1[[#This Row],[EntryDateTime]])</f>
        <v>44685</v>
      </c>
      <c r="I4898" s="1">
        <f>IF(Query1[[#This Row],[ItemType]]="EVAP KIT SF GEN IV",Query1[[#This Row],[OrderQty]]+I4897,I4897)</f>
        <v>6047</v>
      </c>
      <c r="J4898" s="1">
        <f>IF(Query1[[#This Row],[ItemType]]="EVAP KIT UNIVERSAL",Query1[[#This Row],[OrderQty]]+J4897,J4897)</f>
        <v>1925</v>
      </c>
      <c r="K4898" s="1">
        <f>Query1[[#This Row],[SF Running Total]]+Query1[[#This Row],[UNIV Running Total]]</f>
        <v>7972</v>
      </c>
      <c r="L4898">
        <f>VLOOKUP(Query1[[#This Row],[Description]],'kits to boards'!$B$2:$E$156,2,FALSE)</f>
        <v>830099</v>
      </c>
      <c r="M4898">
        <f>VLOOKUP(Query1[[#This Row],[Description]],'kits to boards'!$B$2:$E$156,3,FALSE)</f>
        <v>0</v>
      </c>
      <c r="N4898">
        <f>VLOOKUP(Query1[[#This Row],[Description]],'kits to boards'!$B$2:$E$156,4,FALSE)</f>
        <v>0</v>
      </c>
      <c r="O4898" t="str">
        <f>CONCATENATE(Query1[[#This Row],[Description]]," - ",Query1[[#This Row],[MB1]]," - ",Query1[[#This Row],[MB2]]," - ",Query1[[#This Row],[MB3]])</f>
        <v>MINI GEN II H/C - 830099 - 0 - 0</v>
      </c>
    </row>
    <row r="4899" spans="1:15" x14ac:dyDescent="0.25">
      <c r="A4899" s="1">
        <v>922334</v>
      </c>
      <c r="B4899" s="1" t="s">
        <v>98</v>
      </c>
      <c r="C4899" s="1" t="s">
        <v>99</v>
      </c>
      <c r="D4899" s="2">
        <v>44685.299969525462</v>
      </c>
      <c r="E4899" s="1" t="s">
        <v>11</v>
      </c>
      <c r="F4899" s="1">
        <v>4</v>
      </c>
      <c r="G4899" s="1">
        <v>0</v>
      </c>
      <c r="H4899" s="6">
        <f>INT(Query1[[#This Row],[EntryDateTime]])</f>
        <v>44685</v>
      </c>
      <c r="I4899" s="1">
        <f>IF(Query1[[#This Row],[ItemType]]="EVAP KIT SF GEN IV",Query1[[#This Row],[OrderQty]]+I4898,I4898)</f>
        <v>6047</v>
      </c>
      <c r="J4899" s="1">
        <f>IF(Query1[[#This Row],[ItemType]]="EVAP KIT UNIVERSAL",Query1[[#This Row],[OrderQty]]+J4898,J4898)</f>
        <v>1929</v>
      </c>
      <c r="K4899" s="1">
        <f>Query1[[#This Row],[SF Running Total]]+Query1[[#This Row],[UNIV Running Total]]</f>
        <v>7976</v>
      </c>
      <c r="L4899">
        <f>VLOOKUP(Query1[[#This Row],[Description]],'kits to boards'!$B$2:$E$156,2,FALSE)</f>
        <v>830099</v>
      </c>
      <c r="M4899">
        <f>VLOOKUP(Query1[[#This Row],[Description]],'kits to boards'!$B$2:$E$156,3,FALSE)</f>
        <v>0</v>
      </c>
      <c r="N4899">
        <f>VLOOKUP(Query1[[#This Row],[Description]],'kits to boards'!$B$2:$E$156,4,FALSE)</f>
        <v>0</v>
      </c>
      <c r="O4899" t="str">
        <f>CONCATENATE(Query1[[#This Row],[Description]]," - ",Query1[[#This Row],[MB1]]," - ",Query1[[#This Row],[MB2]]," - ",Query1[[#This Row],[MB3]])</f>
        <v>MINI GEN II W/DEF - 830099 - 0 - 0</v>
      </c>
    </row>
    <row r="4900" spans="1:15" x14ac:dyDescent="0.25">
      <c r="A4900" s="1">
        <v>922334</v>
      </c>
      <c r="B4900" s="1" t="s">
        <v>82</v>
      </c>
      <c r="C4900" s="1" t="s">
        <v>83</v>
      </c>
      <c r="D4900" s="2">
        <v>44685.299973113426</v>
      </c>
      <c r="E4900" s="1" t="s">
        <v>11</v>
      </c>
      <c r="F4900" s="1">
        <v>4</v>
      </c>
      <c r="G4900" s="1">
        <v>0</v>
      </c>
      <c r="H4900" s="6">
        <f>INT(Query1[[#This Row],[EntryDateTime]])</f>
        <v>44685</v>
      </c>
      <c r="I4900" s="1">
        <f>IF(Query1[[#This Row],[ItemType]]="EVAP KIT SF GEN IV",Query1[[#This Row],[OrderQty]]+I4899,I4899)</f>
        <v>6047</v>
      </c>
      <c r="J4900" s="1">
        <f>IF(Query1[[#This Row],[ItemType]]="EVAP KIT UNIVERSAL",Query1[[#This Row],[OrderQty]]+J4899,J4899)</f>
        <v>1933</v>
      </c>
      <c r="K4900" s="1">
        <f>Query1[[#This Row],[SF Running Total]]+Query1[[#This Row],[UNIV Running Total]]</f>
        <v>7980</v>
      </c>
      <c r="L4900">
        <f>VLOOKUP(Query1[[#This Row],[Description]],'kits to boards'!$B$2:$E$156,2,FALSE)</f>
        <v>830029</v>
      </c>
      <c r="M4900">
        <f>VLOOKUP(Query1[[#This Row],[Description]],'kits to boards'!$B$2:$E$156,3,FALSE)</f>
        <v>830030</v>
      </c>
      <c r="N4900">
        <f>VLOOKUP(Query1[[#This Row],[Description]],'kits to boards'!$B$2:$E$156,4,FALSE)</f>
        <v>0</v>
      </c>
      <c r="O4900" t="str">
        <f>CONCATENATE(Query1[[#This Row],[Description]]," - ",Query1[[#This Row],[MB1]]," - ",Query1[[#This Row],[MB2]]," - ",Query1[[#This Row],[MB3]])</f>
        <v>ComPac GEN II H/C - 830029 - 830030 - 0</v>
      </c>
    </row>
    <row r="4901" spans="1:15" x14ac:dyDescent="0.25">
      <c r="A4901" s="1">
        <v>922334</v>
      </c>
      <c r="B4901" s="1" t="s">
        <v>24</v>
      </c>
      <c r="C4901" s="1" t="s">
        <v>25</v>
      </c>
      <c r="D4901" s="2">
        <v>44685.299976620372</v>
      </c>
      <c r="E4901" s="1" t="s">
        <v>11</v>
      </c>
      <c r="F4901" s="1">
        <v>1</v>
      </c>
      <c r="G4901" s="1">
        <v>0</v>
      </c>
      <c r="H4901" s="6">
        <f>INT(Query1[[#This Row],[EntryDateTime]])</f>
        <v>44685</v>
      </c>
      <c r="I4901" s="1">
        <f>IF(Query1[[#This Row],[ItemType]]="EVAP KIT SF GEN IV",Query1[[#This Row],[OrderQty]]+I4900,I4900)</f>
        <v>6047</v>
      </c>
      <c r="J4901" s="1">
        <f>IF(Query1[[#This Row],[ItemType]]="EVAP KIT UNIVERSAL",Query1[[#This Row],[OrderQty]]+J4900,J4900)</f>
        <v>1934</v>
      </c>
      <c r="K4901" s="1">
        <f>Query1[[#This Row],[SF Running Total]]+Query1[[#This Row],[UNIV Running Total]]</f>
        <v>7981</v>
      </c>
      <c r="L4901">
        <f>VLOOKUP(Query1[[#This Row],[Description]],'kits to boards'!$B$2:$E$156,2,FALSE)</f>
        <v>830029</v>
      </c>
      <c r="M4901">
        <f>VLOOKUP(Query1[[#This Row],[Description]],'kits to boards'!$B$2:$E$156,3,FALSE)</f>
        <v>830030</v>
      </c>
      <c r="N4901">
        <f>VLOOKUP(Query1[[#This Row],[Description]],'kits to boards'!$B$2:$E$156,4,FALSE)</f>
        <v>0</v>
      </c>
      <c r="O4901" t="str">
        <f>CONCATENATE(Query1[[#This Row],[Description]]," - ",Query1[[#This Row],[MB1]]," - ",Query1[[#This Row],[MB2]]," - ",Query1[[#This Row],[MB3]])</f>
        <v>ComPac GEN II W/DEF - 830029 - 830030 - 0</v>
      </c>
    </row>
    <row r="4902" spans="1:15" x14ac:dyDescent="0.25">
      <c r="A4902" s="1">
        <v>922334</v>
      </c>
      <c r="B4902" s="1" t="s">
        <v>106</v>
      </c>
      <c r="C4902" s="1" t="s">
        <v>107</v>
      </c>
      <c r="D4902" s="2">
        <v>44685.299983761572</v>
      </c>
      <c r="E4902" s="1" t="s">
        <v>8</v>
      </c>
      <c r="F4902" s="1">
        <v>1</v>
      </c>
      <c r="G4902" s="1">
        <v>0</v>
      </c>
      <c r="H4902" s="6">
        <f>INT(Query1[[#This Row],[EntryDateTime]])</f>
        <v>44685</v>
      </c>
      <c r="I4902" s="1">
        <f>IF(Query1[[#This Row],[ItemType]]="EVAP KIT SF GEN IV",Query1[[#This Row],[OrderQty]]+I4901,I4901)</f>
        <v>6048</v>
      </c>
      <c r="J4902" s="1">
        <f>IF(Query1[[#This Row],[ItemType]]="EVAP KIT UNIVERSAL",Query1[[#This Row],[OrderQty]]+J4901,J4901)</f>
        <v>1934</v>
      </c>
      <c r="K4902" s="1">
        <f>Query1[[#This Row],[SF Running Total]]+Query1[[#This Row],[UNIV Running Total]]</f>
        <v>7982</v>
      </c>
      <c r="L4902">
        <f>VLOOKUP(Query1[[#This Row],[Description]],'kits to boards'!$B$2:$E$156,2,FALSE)</f>
        <v>830028</v>
      </c>
      <c r="M4902">
        <f>VLOOKUP(Query1[[#This Row],[Description]],'kits to boards'!$B$2:$E$156,3,FALSE)</f>
        <v>0</v>
      </c>
      <c r="N4902">
        <f>VLOOKUP(Query1[[#This Row],[Description]],'kits to boards'!$B$2:$E$156,4,FALSE)</f>
        <v>0</v>
      </c>
      <c r="O4902" t="str">
        <f>CONCATENATE(Query1[[#This Row],[Description]]," - ",Query1[[#This Row],[MB1]]," - ",Query1[[#This Row],[MB2]]," - ",Query1[[#This Row],[MB3]])</f>
        <v>EVAP KIT 55-59 CHEV P-UP WO AC W/DELX - 830028 - 0 - 0</v>
      </c>
    </row>
    <row r="4903" spans="1:15" x14ac:dyDescent="0.25">
      <c r="A4903" s="1">
        <v>922334</v>
      </c>
      <c r="B4903" s="1" t="s">
        <v>120</v>
      </c>
      <c r="C4903" s="1" t="s">
        <v>121</v>
      </c>
      <c r="D4903" s="2">
        <v>44685.299987384256</v>
      </c>
      <c r="E4903" s="1" t="s">
        <v>8</v>
      </c>
      <c r="F4903" s="1">
        <v>2</v>
      </c>
      <c r="G4903" s="1">
        <v>0</v>
      </c>
      <c r="H4903" s="6">
        <f>INT(Query1[[#This Row],[EntryDateTime]])</f>
        <v>44685</v>
      </c>
      <c r="I4903" s="1">
        <f>IF(Query1[[#This Row],[ItemType]]="EVAP KIT SF GEN IV",Query1[[#This Row],[OrderQty]]+I4902,I4902)</f>
        <v>6050</v>
      </c>
      <c r="J4903" s="1">
        <f>IF(Query1[[#This Row],[ItemType]]="EVAP KIT UNIVERSAL",Query1[[#This Row],[OrderQty]]+J4902,J4902)</f>
        <v>1934</v>
      </c>
      <c r="K4903" s="1">
        <f>Query1[[#This Row],[SF Running Total]]+Query1[[#This Row],[UNIV Running Total]]</f>
        <v>7984</v>
      </c>
      <c r="L4903">
        <f>VLOOKUP(Query1[[#This Row],[Description]],'kits to boards'!$B$2:$E$156,2,FALSE)</f>
        <v>830014</v>
      </c>
      <c r="M4903">
        <f>VLOOKUP(Query1[[#This Row],[Description]],'kits to boards'!$B$2:$E$156,3,FALSE)</f>
        <v>0</v>
      </c>
      <c r="N4903">
        <f>VLOOKUP(Query1[[#This Row],[Description]],'kits to boards'!$B$2:$E$156,4,FALSE)</f>
        <v>0</v>
      </c>
      <c r="O4903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4904" spans="1:15" x14ac:dyDescent="0.25">
      <c r="A4904" s="1">
        <v>922334</v>
      </c>
      <c r="B4904" s="1" t="s">
        <v>92</v>
      </c>
      <c r="C4904" s="1" t="s">
        <v>93</v>
      </c>
      <c r="D4904" s="2">
        <v>44685.29999097222</v>
      </c>
      <c r="E4904" s="1" t="s">
        <v>8</v>
      </c>
      <c r="F4904" s="1">
        <v>1</v>
      </c>
      <c r="G4904" s="1">
        <v>0</v>
      </c>
      <c r="H4904" s="6">
        <f>INT(Query1[[#This Row],[EntryDateTime]])</f>
        <v>44685</v>
      </c>
      <c r="I4904" s="1">
        <f>IF(Query1[[#This Row],[ItemType]]="EVAP KIT SF GEN IV",Query1[[#This Row],[OrderQty]]+I4903,I4903)</f>
        <v>6051</v>
      </c>
      <c r="J4904" s="1">
        <f>IF(Query1[[#This Row],[ItemType]]="EVAP KIT UNIVERSAL",Query1[[#This Row],[OrderQty]]+J4903,J4903)</f>
        <v>1934</v>
      </c>
      <c r="K4904" s="1">
        <f>Query1[[#This Row],[SF Running Total]]+Query1[[#This Row],[UNIV Running Total]]</f>
        <v>7985</v>
      </c>
      <c r="L4904">
        <f>VLOOKUP(Query1[[#This Row],[Description]],'kits to boards'!$B$2:$E$156,2,FALSE)</f>
        <v>830063</v>
      </c>
      <c r="M4904">
        <f>VLOOKUP(Query1[[#This Row],[Description]],'kits to boards'!$B$2:$E$156,3,FALSE)</f>
        <v>0</v>
      </c>
      <c r="N4904">
        <f>VLOOKUP(Query1[[#This Row],[Description]],'kits to boards'!$B$2:$E$156,4,FALSE)</f>
        <v>0</v>
      </c>
      <c r="O4904" t="str">
        <f>CONCATENATE(Query1[[#This Row],[Description]]," - ",Query1[[#This Row],[MB1]]," - ",Query1[[#This Row],[MB2]]," - ",Query1[[#This Row],[MB3]])</f>
        <v>EVAP KIT 50-53 CHEV P-UP GEN IV - 830063 - 0 - 0</v>
      </c>
    </row>
    <row r="4905" spans="1:15" x14ac:dyDescent="0.25">
      <c r="A4905" s="1">
        <v>922157</v>
      </c>
      <c r="B4905" s="1" t="s">
        <v>20</v>
      </c>
      <c r="C4905" s="1" t="s">
        <v>21</v>
      </c>
      <c r="D4905" s="2">
        <v>44685.331171527781</v>
      </c>
      <c r="E4905" s="1" t="s">
        <v>11</v>
      </c>
      <c r="F4905" s="1">
        <v>1</v>
      </c>
      <c r="G4905" s="1">
        <v>0</v>
      </c>
      <c r="H4905" s="6">
        <f>INT(Query1[[#This Row],[EntryDateTime]])</f>
        <v>44685</v>
      </c>
      <c r="I4905" s="1">
        <f>IF(Query1[[#This Row],[ItemType]]="EVAP KIT SF GEN IV",Query1[[#This Row],[OrderQty]]+I4904,I4904)</f>
        <v>6051</v>
      </c>
      <c r="J4905" s="1">
        <f>IF(Query1[[#This Row],[ItemType]]="EVAP KIT UNIVERSAL",Query1[[#This Row],[OrderQty]]+J4904,J4904)</f>
        <v>1935</v>
      </c>
      <c r="K4905" s="1">
        <f>Query1[[#This Row],[SF Running Total]]+Query1[[#This Row],[UNIV Running Total]]</f>
        <v>7986</v>
      </c>
      <c r="L4905">
        <f>VLOOKUP(Query1[[#This Row],[Description]],'kits to boards'!$B$2:$E$156,2,FALSE)</f>
        <v>830102</v>
      </c>
      <c r="M4905">
        <f>VLOOKUP(Query1[[#This Row],[Description]],'kits to boards'!$B$2:$E$156,3,FALSE)</f>
        <v>0</v>
      </c>
      <c r="N4905">
        <f>VLOOKUP(Query1[[#This Row],[Description]],'kits to boards'!$B$2:$E$156,4,FALSE)</f>
        <v>0</v>
      </c>
      <c r="O4905" t="str">
        <f>CONCATENATE(Query1[[#This Row],[Description]]," - ",Query1[[#This Row],[MB1]]," - ",Query1[[#This Row],[MB2]]," - ",Query1[[#This Row],[MB3]])</f>
        <v>SUPER GEN II W/DEF - 830102 - 0 - 0</v>
      </c>
    </row>
    <row r="4906" spans="1:15" x14ac:dyDescent="0.25">
      <c r="A4906" s="1">
        <v>922287</v>
      </c>
      <c r="B4906" s="1" t="s">
        <v>256</v>
      </c>
      <c r="C4906" s="1" t="s">
        <v>257</v>
      </c>
      <c r="D4906" s="2">
        <v>44685.331867013891</v>
      </c>
      <c r="E4906" s="1" t="s">
        <v>8</v>
      </c>
      <c r="F4906" s="1">
        <v>1</v>
      </c>
      <c r="G4906" s="1">
        <v>0</v>
      </c>
      <c r="H4906" s="6">
        <f>INT(Query1[[#This Row],[EntryDateTime]])</f>
        <v>44685</v>
      </c>
      <c r="I4906" s="1">
        <f>IF(Query1[[#This Row],[ItemType]]="EVAP KIT SF GEN IV",Query1[[#This Row],[OrderQty]]+I4905,I4905)</f>
        <v>6052</v>
      </c>
      <c r="J4906" s="1">
        <f>IF(Query1[[#This Row],[ItemType]]="EVAP KIT UNIVERSAL",Query1[[#This Row],[OrderQty]]+J4905,J4905)</f>
        <v>1935</v>
      </c>
      <c r="K4906" s="1">
        <f>Query1[[#This Row],[SF Running Total]]+Query1[[#This Row],[UNIV Running Total]]</f>
        <v>7987</v>
      </c>
      <c r="L4906">
        <f>VLOOKUP(Query1[[#This Row],[Description]],'kits to boards'!$B$2:$E$156,2,FALSE)</f>
        <v>830025</v>
      </c>
      <c r="M4906">
        <f>VLOOKUP(Query1[[#This Row],[Description]],'kits to boards'!$B$2:$E$156,3,FALSE)</f>
        <v>830022</v>
      </c>
      <c r="N4906">
        <f>VLOOKUP(Query1[[#This Row],[Description]],'kits to boards'!$B$2:$E$156,4,FALSE)</f>
        <v>0</v>
      </c>
      <c r="O4906" t="str">
        <f>CONCATENATE(Query1[[#This Row],[Description]]," - ",Query1[[#This Row],[MB1]]," - ",Query1[[#This Row],[MB2]]," - ",Query1[[#This Row],[MB3]])</f>
        <v>EVAP KIT 68-69 CUTLASS W/AC - 830025 - 830022 - 0</v>
      </c>
    </row>
    <row r="4907" spans="1:15" x14ac:dyDescent="0.25">
      <c r="A4907" s="1">
        <v>922341</v>
      </c>
      <c r="B4907" s="1" t="s">
        <v>98</v>
      </c>
      <c r="C4907" s="1" t="s">
        <v>99</v>
      </c>
      <c r="D4907" s="2">
        <v>44685.333264814813</v>
      </c>
      <c r="E4907" s="1" t="s">
        <v>11</v>
      </c>
      <c r="F4907" s="1">
        <v>1</v>
      </c>
      <c r="G4907" s="1">
        <v>0</v>
      </c>
      <c r="H4907" s="6">
        <f>INT(Query1[[#This Row],[EntryDateTime]])</f>
        <v>44685</v>
      </c>
      <c r="I4907" s="1">
        <f>IF(Query1[[#This Row],[ItemType]]="EVAP KIT SF GEN IV",Query1[[#This Row],[OrderQty]]+I4906,I4906)</f>
        <v>6052</v>
      </c>
      <c r="J4907" s="1">
        <f>IF(Query1[[#This Row],[ItemType]]="EVAP KIT UNIVERSAL",Query1[[#This Row],[OrderQty]]+J4906,J4906)</f>
        <v>1936</v>
      </c>
      <c r="K4907" s="1">
        <f>Query1[[#This Row],[SF Running Total]]+Query1[[#This Row],[UNIV Running Total]]</f>
        <v>7988</v>
      </c>
      <c r="L4907">
        <f>VLOOKUP(Query1[[#This Row],[Description]],'kits to boards'!$B$2:$E$156,2,FALSE)</f>
        <v>830099</v>
      </c>
      <c r="M4907">
        <f>VLOOKUP(Query1[[#This Row],[Description]],'kits to boards'!$B$2:$E$156,3,FALSE)</f>
        <v>0</v>
      </c>
      <c r="N4907">
        <f>VLOOKUP(Query1[[#This Row],[Description]],'kits to boards'!$B$2:$E$156,4,FALSE)</f>
        <v>0</v>
      </c>
      <c r="O4907" t="str">
        <f>CONCATENATE(Query1[[#This Row],[Description]]," - ",Query1[[#This Row],[MB1]]," - ",Query1[[#This Row],[MB2]]," - ",Query1[[#This Row],[MB3]])</f>
        <v>MINI GEN II W/DEF - 830099 - 0 - 0</v>
      </c>
    </row>
    <row r="4908" spans="1:15" x14ac:dyDescent="0.25">
      <c r="A4908" s="1">
        <v>922347</v>
      </c>
      <c r="B4908" s="1" t="s">
        <v>98</v>
      </c>
      <c r="C4908" s="1" t="s">
        <v>99</v>
      </c>
      <c r="D4908" s="2">
        <v>44685.335517824074</v>
      </c>
      <c r="E4908" s="1" t="s">
        <v>11</v>
      </c>
      <c r="F4908" s="1">
        <v>1</v>
      </c>
      <c r="G4908" s="1">
        <v>0</v>
      </c>
      <c r="H4908" s="6">
        <f>INT(Query1[[#This Row],[EntryDateTime]])</f>
        <v>44685</v>
      </c>
      <c r="I4908" s="1">
        <f>IF(Query1[[#This Row],[ItemType]]="EVAP KIT SF GEN IV",Query1[[#This Row],[OrderQty]]+I4907,I4907)</f>
        <v>6052</v>
      </c>
      <c r="J4908" s="1">
        <f>IF(Query1[[#This Row],[ItemType]]="EVAP KIT UNIVERSAL",Query1[[#This Row],[OrderQty]]+J4907,J4907)</f>
        <v>1937</v>
      </c>
      <c r="K4908" s="1">
        <f>Query1[[#This Row],[SF Running Total]]+Query1[[#This Row],[UNIV Running Total]]</f>
        <v>7989</v>
      </c>
      <c r="L4908">
        <f>VLOOKUP(Query1[[#This Row],[Description]],'kits to boards'!$B$2:$E$156,2,FALSE)</f>
        <v>830099</v>
      </c>
      <c r="M4908">
        <f>VLOOKUP(Query1[[#This Row],[Description]],'kits to boards'!$B$2:$E$156,3,FALSE)</f>
        <v>0</v>
      </c>
      <c r="N4908">
        <f>VLOOKUP(Query1[[#This Row],[Description]],'kits to boards'!$B$2:$E$156,4,FALSE)</f>
        <v>0</v>
      </c>
      <c r="O4908" t="str">
        <f>CONCATENATE(Query1[[#This Row],[Description]]," - ",Query1[[#This Row],[MB1]]," - ",Query1[[#This Row],[MB2]]," - ",Query1[[#This Row],[MB3]])</f>
        <v>MINI GEN II W/DEF - 830099 - 0 - 0</v>
      </c>
    </row>
    <row r="4909" spans="1:15" x14ac:dyDescent="0.25">
      <c r="A4909" s="1">
        <v>922351</v>
      </c>
      <c r="B4909" s="1" t="s">
        <v>106</v>
      </c>
      <c r="C4909" s="1" t="s">
        <v>253</v>
      </c>
      <c r="D4909" s="2">
        <v>44685.344171331017</v>
      </c>
      <c r="E4909" s="1" t="s">
        <v>8</v>
      </c>
      <c r="F4909" s="1">
        <v>1</v>
      </c>
      <c r="G4909" s="1">
        <v>0</v>
      </c>
      <c r="H4909" s="6">
        <f>INT(Query1[[#This Row],[EntryDateTime]])</f>
        <v>44685</v>
      </c>
      <c r="I4909" s="1">
        <f>IF(Query1[[#This Row],[ItemType]]="EVAP KIT SF GEN IV",Query1[[#This Row],[OrderQty]]+I4908,I4908)</f>
        <v>6053</v>
      </c>
      <c r="J4909" s="1">
        <f>IF(Query1[[#This Row],[ItemType]]="EVAP KIT UNIVERSAL",Query1[[#This Row],[OrderQty]]+J4908,J4908)</f>
        <v>1937</v>
      </c>
      <c r="K4909" s="1">
        <f>Query1[[#This Row],[SF Running Total]]+Query1[[#This Row],[UNIV Running Total]]</f>
        <v>7990</v>
      </c>
      <c r="L4909">
        <f>VLOOKUP(Query1[[#This Row],[Description]],'kits to boards'!$B$2:$E$156,2,FALSE)</f>
        <v>830028</v>
      </c>
      <c r="M4909">
        <f>VLOOKUP(Query1[[#This Row],[Description]],'kits to boards'!$B$2:$E$156,3,FALSE)</f>
        <v>0</v>
      </c>
      <c r="N4909">
        <f>VLOOKUP(Query1[[#This Row],[Description]],'kits to boards'!$B$2:$E$156,4,FALSE)</f>
        <v>0</v>
      </c>
      <c r="O4909" t="str">
        <f>CONCATENATE(Query1[[#This Row],[Description]]," - ",Query1[[#This Row],[MB1]]," - ",Query1[[#This Row],[MB2]]," - ",Query1[[#This Row],[MB3]])</f>
        <v>EVAP KIT 55-59 CHEV P-UP WO AC W/DELX  - 830028 - 0 - 0</v>
      </c>
    </row>
    <row r="4910" spans="1:15" x14ac:dyDescent="0.25">
      <c r="A4910" s="1">
        <v>922356</v>
      </c>
      <c r="B4910" s="1" t="s">
        <v>176</v>
      </c>
      <c r="C4910" s="1" t="s">
        <v>177</v>
      </c>
      <c r="D4910" s="2">
        <v>44685.352459293979</v>
      </c>
      <c r="E4910" s="1" t="s">
        <v>8</v>
      </c>
      <c r="F4910" s="1">
        <v>1</v>
      </c>
      <c r="G4910" s="1">
        <v>0</v>
      </c>
      <c r="H4910" s="6">
        <f>INT(Query1[[#This Row],[EntryDateTime]])</f>
        <v>44685</v>
      </c>
      <c r="I4910" s="1">
        <f>IF(Query1[[#This Row],[ItemType]]="EVAP KIT SF GEN IV",Query1[[#This Row],[OrderQty]]+I4909,I4909)</f>
        <v>6054</v>
      </c>
      <c r="J4910" s="1">
        <f>IF(Query1[[#This Row],[ItemType]]="EVAP KIT UNIVERSAL",Query1[[#This Row],[OrderQty]]+J4909,J4909)</f>
        <v>1937</v>
      </c>
      <c r="K4910" s="1">
        <f>Query1[[#This Row],[SF Running Total]]+Query1[[#This Row],[UNIV Running Total]]</f>
        <v>7991</v>
      </c>
      <c r="L4910">
        <f>VLOOKUP(Query1[[#This Row],[Description]],'kits to boards'!$B$2:$E$156,2,FALSE)</f>
        <v>830125</v>
      </c>
      <c r="M4910">
        <f>VLOOKUP(Query1[[#This Row],[Description]],'kits to boards'!$B$2:$E$156,3,FALSE)</f>
        <v>0</v>
      </c>
      <c r="N4910">
        <f>VLOOKUP(Query1[[#This Row],[Description]],'kits to boards'!$B$2:$E$156,4,FALSE)</f>
        <v>0</v>
      </c>
      <c r="O4910" t="str">
        <f>CONCATENATE(Query1[[#This Row],[Description]]," - ",Query1[[#This Row],[MB1]]," - ",Query1[[#This Row],[MB2]]," - ",Query1[[#This Row],[MB3]])</f>
        <v>EVAP KIT 65-66 IMPALA W/AC - 830125 - 0 - 0</v>
      </c>
    </row>
    <row r="4911" spans="1:15" x14ac:dyDescent="0.25">
      <c r="A4911" s="1">
        <v>922348</v>
      </c>
      <c r="B4911" s="1" t="s">
        <v>54</v>
      </c>
      <c r="C4911" s="1" t="s">
        <v>55</v>
      </c>
      <c r="D4911" s="2">
        <v>44685.374087037038</v>
      </c>
      <c r="E4911" s="1" t="s">
        <v>8</v>
      </c>
      <c r="F4911" s="1">
        <v>1</v>
      </c>
      <c r="G4911" s="1">
        <v>0</v>
      </c>
      <c r="H4911" s="6">
        <f>INT(Query1[[#This Row],[EntryDateTime]])</f>
        <v>44685</v>
      </c>
      <c r="I4911" s="1">
        <f>IF(Query1[[#This Row],[ItemType]]="EVAP KIT SF GEN IV",Query1[[#This Row],[OrderQty]]+I4910,I4910)</f>
        <v>6055</v>
      </c>
      <c r="J4911" s="1">
        <f>IF(Query1[[#This Row],[ItemType]]="EVAP KIT UNIVERSAL",Query1[[#This Row],[OrderQty]]+J4910,J4910)</f>
        <v>1937</v>
      </c>
      <c r="K4911" s="1">
        <f>Query1[[#This Row],[SF Running Total]]+Query1[[#This Row],[UNIV Running Total]]</f>
        <v>7992</v>
      </c>
      <c r="L4911">
        <f>VLOOKUP(Query1[[#This Row],[Description]],'kits to boards'!$B$2:$E$156,2,FALSE)</f>
        <v>830037</v>
      </c>
      <c r="M4911">
        <f>VLOOKUP(Query1[[#This Row],[Description]],'kits to boards'!$B$2:$E$156,3,FALSE)</f>
        <v>0</v>
      </c>
      <c r="N4911">
        <f>VLOOKUP(Query1[[#This Row],[Description]],'kits to boards'!$B$2:$E$156,4,FALSE)</f>
        <v>0</v>
      </c>
      <c r="O4911" t="str">
        <f>CONCATENATE(Query1[[#This Row],[Description]]," - ",Query1[[#This Row],[MB1]]," - ",Query1[[#This Row],[MB2]]," - ",Query1[[#This Row],[MB3]])</f>
        <v>EVAP KIT 70-81 FIREBIRD W/AC - 830037 - 0 - 0</v>
      </c>
    </row>
    <row r="4912" spans="1:15" x14ac:dyDescent="0.25">
      <c r="A4912" s="1">
        <v>922362</v>
      </c>
      <c r="B4912" s="1" t="s">
        <v>88</v>
      </c>
      <c r="C4912" s="1" t="s">
        <v>89</v>
      </c>
      <c r="D4912" s="2">
        <v>44685.393233877316</v>
      </c>
      <c r="E4912" s="1" t="s">
        <v>8</v>
      </c>
      <c r="F4912" s="1">
        <v>1</v>
      </c>
      <c r="G4912" s="1">
        <v>0</v>
      </c>
      <c r="H4912" s="6">
        <f>INT(Query1[[#This Row],[EntryDateTime]])</f>
        <v>44685</v>
      </c>
      <c r="I4912" s="1">
        <f>IF(Query1[[#This Row],[ItemType]]="EVAP KIT SF GEN IV",Query1[[#This Row],[OrderQty]]+I4911,I4911)</f>
        <v>6056</v>
      </c>
      <c r="J4912" s="1">
        <f>IF(Query1[[#This Row],[ItemType]]="EVAP KIT UNIVERSAL",Query1[[#This Row],[OrderQty]]+J4911,J4911)</f>
        <v>1937</v>
      </c>
      <c r="K4912" s="1">
        <f>Query1[[#This Row],[SF Running Total]]+Query1[[#This Row],[UNIV Running Total]]</f>
        <v>7993</v>
      </c>
      <c r="L4912">
        <f>VLOOKUP(Query1[[#This Row],[Description]],'kits to boards'!$B$2:$E$156,2,FALSE)</f>
        <v>830003</v>
      </c>
      <c r="M4912">
        <f>VLOOKUP(Query1[[#This Row],[Description]],'kits to boards'!$B$2:$E$156,3,FALSE)</f>
        <v>0</v>
      </c>
      <c r="N4912">
        <f>VLOOKUP(Query1[[#This Row],[Description]],'kits to boards'!$B$2:$E$156,4,FALSE)</f>
        <v>0</v>
      </c>
      <c r="O4912" t="str">
        <f>CONCATENATE(Query1[[#This Row],[Description]]," - ",Query1[[#This Row],[MB1]]," - ",Query1[[#This Row],[MB2]]," - ",Query1[[#This Row],[MB3]])</f>
        <v>EVAP KIT 81-87 CHEV P-UP WO AC - 830003 - 0 - 0</v>
      </c>
    </row>
    <row r="4913" spans="1:15" x14ac:dyDescent="0.25">
      <c r="A4913" s="1">
        <v>922384</v>
      </c>
      <c r="B4913" s="1" t="s">
        <v>64</v>
      </c>
      <c r="C4913" s="1" t="s">
        <v>65</v>
      </c>
      <c r="D4913" s="2">
        <v>44685.396259062501</v>
      </c>
      <c r="E4913" s="1" t="s">
        <v>8</v>
      </c>
      <c r="F4913" s="1">
        <v>1</v>
      </c>
      <c r="G4913" s="1">
        <v>0</v>
      </c>
      <c r="H4913" s="6">
        <f>INT(Query1[[#This Row],[EntryDateTime]])</f>
        <v>44685</v>
      </c>
      <c r="I4913" s="1">
        <f>IF(Query1[[#This Row],[ItemType]]="EVAP KIT SF GEN IV",Query1[[#This Row],[OrderQty]]+I4912,I4912)</f>
        <v>6057</v>
      </c>
      <c r="J4913" s="1">
        <f>IF(Query1[[#This Row],[ItemType]]="EVAP KIT UNIVERSAL",Query1[[#This Row],[OrderQty]]+J4912,J4912)</f>
        <v>1937</v>
      </c>
      <c r="K4913" s="1">
        <f>Query1[[#This Row],[SF Running Total]]+Query1[[#This Row],[UNIV Running Total]]</f>
        <v>7994</v>
      </c>
      <c r="L4913">
        <f>VLOOKUP(Query1[[#This Row],[Description]],'kits to boards'!$B$2:$E$156,2,FALSE)</f>
        <v>830067</v>
      </c>
      <c r="M4913">
        <f>VLOOKUP(Query1[[#This Row],[Description]],'kits to boards'!$B$2:$E$156,3,FALSE)</f>
        <v>0</v>
      </c>
      <c r="N4913">
        <f>VLOOKUP(Query1[[#This Row],[Description]],'kits to boards'!$B$2:$E$156,4,FALSE)</f>
        <v>0</v>
      </c>
      <c r="O4913" t="str">
        <f>CONCATENATE(Query1[[#This Row],[Description]]," - ",Query1[[#This Row],[MB1]]," - ",Query1[[#This Row],[MB2]]," - ",Query1[[#This Row],[MB3]])</f>
        <v>EVAP KIT 59-60 CHEV CAR 4-LEVER - 830067 - 0 - 0</v>
      </c>
    </row>
    <row r="4914" spans="1:15" x14ac:dyDescent="0.25">
      <c r="A4914" s="1">
        <v>922252</v>
      </c>
      <c r="B4914" s="1" t="s">
        <v>126</v>
      </c>
      <c r="C4914" s="1" t="s">
        <v>127</v>
      </c>
      <c r="D4914" s="2">
        <v>44685.397626273145</v>
      </c>
      <c r="E4914" s="1" t="s">
        <v>8</v>
      </c>
      <c r="F4914" s="1">
        <v>1</v>
      </c>
      <c r="G4914" s="1">
        <v>0</v>
      </c>
      <c r="H4914" s="6">
        <f>INT(Query1[[#This Row],[EntryDateTime]])</f>
        <v>44685</v>
      </c>
      <c r="I4914" s="1">
        <f>IF(Query1[[#This Row],[ItemType]]="EVAP KIT SF GEN IV",Query1[[#This Row],[OrderQty]]+I4913,I4913)</f>
        <v>6058</v>
      </c>
      <c r="J4914" s="1">
        <f>IF(Query1[[#This Row],[ItemType]]="EVAP KIT UNIVERSAL",Query1[[#This Row],[OrderQty]]+J4913,J4913)</f>
        <v>1937</v>
      </c>
      <c r="K4914" s="1">
        <f>Query1[[#This Row],[SF Running Total]]+Query1[[#This Row],[UNIV Running Total]]</f>
        <v>7995</v>
      </c>
      <c r="L4914">
        <f>VLOOKUP(Query1[[#This Row],[Description]],'kits to boards'!$B$2:$E$156,2,FALSE)</f>
        <v>830080</v>
      </c>
      <c r="M4914">
        <f>VLOOKUP(Query1[[#This Row],[Description]],'kits to boards'!$B$2:$E$156,3,FALSE)</f>
        <v>0</v>
      </c>
      <c r="N4914">
        <f>VLOOKUP(Query1[[#This Row],[Description]],'kits to boards'!$B$2:$E$156,4,FALSE)</f>
        <v>0</v>
      </c>
      <c r="O4914" t="str">
        <f>CONCATENATE(Query1[[#This Row],[Description]]," - ",Query1[[#This Row],[MB1]]," - ",Query1[[#This Row],[MB2]]," - ",Query1[[#This Row],[MB3]])</f>
        <v>EVAP KIT 69-70 MUSTANG WO AC  - 830080 - 0 - 0</v>
      </c>
    </row>
    <row r="4915" spans="1:15" x14ac:dyDescent="0.25">
      <c r="A4915" s="1">
        <v>922186</v>
      </c>
      <c r="B4915" s="1" t="s">
        <v>34</v>
      </c>
      <c r="C4915" s="1" t="s">
        <v>35</v>
      </c>
      <c r="D4915" s="2">
        <v>44685.401624999999</v>
      </c>
      <c r="E4915" s="1" t="s">
        <v>8</v>
      </c>
      <c r="F4915" s="1">
        <v>1</v>
      </c>
      <c r="G4915" s="1">
        <v>0</v>
      </c>
      <c r="H4915" s="6">
        <f>INT(Query1[[#This Row],[EntryDateTime]])</f>
        <v>44685</v>
      </c>
      <c r="I4915" s="1">
        <f>IF(Query1[[#This Row],[ItemType]]="EVAP KIT SF GEN IV",Query1[[#This Row],[OrderQty]]+I4914,I4914)</f>
        <v>6059</v>
      </c>
      <c r="J4915" s="1">
        <f>IF(Query1[[#This Row],[ItemType]]="EVAP KIT UNIVERSAL",Query1[[#This Row],[OrderQty]]+J4914,J4914)</f>
        <v>1937</v>
      </c>
      <c r="K4915" s="1">
        <f>Query1[[#This Row],[SF Running Total]]+Query1[[#This Row],[UNIV Running Total]]</f>
        <v>7996</v>
      </c>
      <c r="L4915">
        <f>VLOOKUP(Query1[[#This Row],[Description]],'kits to boards'!$B$2:$E$156,2,FALSE)</f>
        <v>830065</v>
      </c>
      <c r="M4915">
        <f>VLOOKUP(Query1[[#This Row],[Description]],'kits to boards'!$B$2:$E$156,3,FALSE)</f>
        <v>0</v>
      </c>
      <c r="N4915">
        <f>VLOOKUP(Query1[[#This Row],[Description]],'kits to boards'!$B$2:$E$156,4,FALSE)</f>
        <v>0</v>
      </c>
      <c r="O4915" t="str">
        <f>CONCATENATE(Query1[[#This Row],[Description]]," - ",Query1[[#This Row],[MB1]]," - ",Query1[[#This Row],[MB2]]," - ",Query1[[#This Row],[MB3]])</f>
        <v>EVAP KIT 57 CHEV WO AC - 830065 - 0 - 0</v>
      </c>
    </row>
    <row r="4916" spans="1:15" x14ac:dyDescent="0.25">
      <c r="A4916" s="1">
        <v>922399</v>
      </c>
      <c r="B4916" s="1" t="s">
        <v>52</v>
      </c>
      <c r="C4916" s="1" t="s">
        <v>53</v>
      </c>
      <c r="D4916" s="2">
        <v>44685.425524999999</v>
      </c>
      <c r="E4916" s="1" t="s">
        <v>8</v>
      </c>
      <c r="F4916" s="1">
        <v>1</v>
      </c>
      <c r="G4916" s="1">
        <v>0</v>
      </c>
      <c r="H4916" s="6">
        <f>INT(Query1[[#This Row],[EntryDateTime]])</f>
        <v>44685</v>
      </c>
      <c r="I4916" s="1">
        <f>IF(Query1[[#This Row],[ItemType]]="EVAP KIT SF GEN IV",Query1[[#This Row],[OrderQty]]+I4915,I4915)</f>
        <v>6060</v>
      </c>
      <c r="J4916" s="1">
        <f>IF(Query1[[#This Row],[ItemType]]="EVAP KIT UNIVERSAL",Query1[[#This Row],[OrderQty]]+J4915,J4915)</f>
        <v>1937</v>
      </c>
      <c r="K4916" s="1">
        <f>Query1[[#This Row],[SF Running Total]]+Query1[[#This Row],[UNIV Running Total]]</f>
        <v>7997</v>
      </c>
      <c r="L4916">
        <f>VLOOKUP(Query1[[#This Row],[Description]],'kits to boards'!$B$2:$E$156,2,FALSE)</f>
        <v>830017</v>
      </c>
      <c r="M4916">
        <f>VLOOKUP(Query1[[#This Row],[Description]],'kits to boards'!$B$2:$E$156,3,FALSE)</f>
        <v>830119</v>
      </c>
      <c r="N4916">
        <f>VLOOKUP(Query1[[#This Row],[Description]],'kits to boards'!$B$2:$E$156,4,FALSE)</f>
        <v>830120</v>
      </c>
      <c r="O4916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4917" spans="1:15" x14ac:dyDescent="0.25">
      <c r="A4917" s="1">
        <v>922403</v>
      </c>
      <c r="B4917" s="1" t="s">
        <v>42</v>
      </c>
      <c r="C4917" s="1" t="s">
        <v>43</v>
      </c>
      <c r="D4917" s="2">
        <v>44685.439586608794</v>
      </c>
      <c r="E4917" s="1" t="s">
        <v>8</v>
      </c>
      <c r="F4917" s="1">
        <v>1</v>
      </c>
      <c r="G4917" s="1">
        <v>0</v>
      </c>
      <c r="H4917" s="6">
        <f>INT(Query1[[#This Row],[EntryDateTime]])</f>
        <v>44685</v>
      </c>
      <c r="I4917" s="1">
        <f>IF(Query1[[#This Row],[ItemType]]="EVAP KIT SF GEN IV",Query1[[#This Row],[OrderQty]]+I4916,I4916)</f>
        <v>6061</v>
      </c>
      <c r="J4917" s="1">
        <f>IF(Query1[[#This Row],[ItemType]]="EVAP KIT UNIVERSAL",Query1[[#This Row],[OrderQty]]+J4916,J4916)</f>
        <v>1937</v>
      </c>
      <c r="K4917" s="1">
        <f>Query1[[#This Row],[SF Running Total]]+Query1[[#This Row],[UNIV Running Total]]</f>
        <v>7998</v>
      </c>
      <c r="L4917">
        <f>VLOOKUP(Query1[[#This Row],[Description]],'kits to boards'!$B$2:$E$156,2,FALSE)</f>
        <v>830014</v>
      </c>
      <c r="M4917">
        <f>VLOOKUP(Query1[[#This Row],[Description]],'kits to boards'!$B$2:$E$156,3,FALSE)</f>
        <v>0</v>
      </c>
      <c r="N4917">
        <f>VLOOKUP(Query1[[#This Row],[Description]],'kits to boards'!$B$2:$E$156,4,FALSE)</f>
        <v>0</v>
      </c>
      <c r="O4917" t="str">
        <f>CONCATENATE(Query1[[#This Row],[Description]]," - ",Query1[[#This Row],[MB1]]," - ",Query1[[#This Row],[MB2]]," - ",Query1[[#This Row],[MB3]])</f>
        <v>EVAP KIT 67-72 CHEV P-UP WO AC - 830014 - 0 - 0</v>
      </c>
    </row>
    <row r="4918" spans="1:15" x14ac:dyDescent="0.25">
      <c r="A4918" s="1">
        <v>922411</v>
      </c>
      <c r="B4918" s="1" t="s">
        <v>22</v>
      </c>
      <c r="C4918" s="1" t="s">
        <v>23</v>
      </c>
      <c r="D4918" s="2">
        <v>44685.452980636575</v>
      </c>
      <c r="E4918" s="1" t="s">
        <v>8</v>
      </c>
      <c r="F4918" s="1">
        <v>1</v>
      </c>
      <c r="G4918" s="1">
        <v>0</v>
      </c>
      <c r="H4918" s="6">
        <f>INT(Query1[[#This Row],[EntryDateTime]])</f>
        <v>44685</v>
      </c>
      <c r="I4918" s="1">
        <f>IF(Query1[[#This Row],[ItemType]]="EVAP KIT SF GEN IV",Query1[[#This Row],[OrderQty]]+I4917,I4917)</f>
        <v>6062</v>
      </c>
      <c r="J4918" s="1">
        <f>IF(Query1[[#This Row],[ItemType]]="EVAP KIT UNIVERSAL",Query1[[#This Row],[OrderQty]]+J4917,J4917)</f>
        <v>1937</v>
      </c>
      <c r="K4918" s="1">
        <f>Query1[[#This Row],[SF Running Total]]+Query1[[#This Row],[UNIV Running Total]]</f>
        <v>7999</v>
      </c>
      <c r="L4918">
        <f>VLOOKUP(Query1[[#This Row],[Description]],'kits to boards'!$B$2:$E$156,2,FALSE)</f>
        <v>830083</v>
      </c>
      <c r="M4918">
        <f>VLOOKUP(Query1[[#This Row],[Description]],'kits to boards'!$B$2:$E$156,3,FALSE)</f>
        <v>0</v>
      </c>
      <c r="N4918">
        <f>VLOOKUP(Query1[[#This Row],[Description]],'kits to boards'!$B$2:$E$156,4,FALSE)</f>
        <v>0</v>
      </c>
      <c r="O4918" t="str">
        <f>CONCATENATE(Query1[[#This Row],[Description]]," - ",Query1[[#This Row],[MB1]]," - ",Query1[[#This Row],[MB2]]," - ",Query1[[#This Row],[MB3]])</f>
        <v>GEN IV MAGNUM EVAP KIT - 830083 - 0 - 0</v>
      </c>
    </row>
    <row r="4919" spans="1:15" x14ac:dyDescent="0.25">
      <c r="A4919" s="1">
        <v>922411</v>
      </c>
      <c r="B4919" s="1" t="s">
        <v>20</v>
      </c>
      <c r="C4919" s="1" t="s">
        <v>21</v>
      </c>
      <c r="D4919" s="2">
        <v>44685.454118055553</v>
      </c>
      <c r="E4919" s="1" t="s">
        <v>11</v>
      </c>
      <c r="F4919" s="1">
        <v>1</v>
      </c>
      <c r="G4919" s="1">
        <v>0</v>
      </c>
      <c r="H4919" s="6">
        <f>INT(Query1[[#This Row],[EntryDateTime]])</f>
        <v>44685</v>
      </c>
      <c r="I4919" s="1">
        <f>IF(Query1[[#This Row],[ItemType]]="EVAP KIT SF GEN IV",Query1[[#This Row],[OrderQty]]+I4918,I4918)</f>
        <v>6062</v>
      </c>
      <c r="J4919" s="1">
        <f>IF(Query1[[#This Row],[ItemType]]="EVAP KIT UNIVERSAL",Query1[[#This Row],[OrderQty]]+J4918,J4918)</f>
        <v>1938</v>
      </c>
      <c r="K4919" s="1">
        <f>Query1[[#This Row],[SF Running Total]]+Query1[[#This Row],[UNIV Running Total]]</f>
        <v>8000</v>
      </c>
      <c r="L4919">
        <f>VLOOKUP(Query1[[#This Row],[Description]],'kits to boards'!$B$2:$E$156,2,FALSE)</f>
        <v>830102</v>
      </c>
      <c r="M4919">
        <f>VLOOKUP(Query1[[#This Row],[Description]],'kits to boards'!$B$2:$E$156,3,FALSE)</f>
        <v>0</v>
      </c>
      <c r="N4919">
        <f>VLOOKUP(Query1[[#This Row],[Description]],'kits to boards'!$B$2:$E$156,4,FALSE)</f>
        <v>0</v>
      </c>
      <c r="O4919" t="str">
        <f>CONCATENATE(Query1[[#This Row],[Description]]," - ",Query1[[#This Row],[MB1]]," - ",Query1[[#This Row],[MB2]]," - ",Query1[[#This Row],[MB3]])</f>
        <v>SUPER GEN II W/DEF - 830102 - 0 - 0</v>
      </c>
    </row>
    <row r="4920" spans="1:15" x14ac:dyDescent="0.25">
      <c r="A4920" s="1">
        <v>922415</v>
      </c>
      <c r="B4920" s="1" t="s">
        <v>256</v>
      </c>
      <c r="C4920" s="1" t="s">
        <v>257</v>
      </c>
      <c r="D4920" s="2">
        <v>44685.461405555558</v>
      </c>
      <c r="E4920" s="1" t="s">
        <v>8</v>
      </c>
      <c r="F4920" s="1">
        <v>1</v>
      </c>
      <c r="G4920" s="1">
        <v>0</v>
      </c>
      <c r="H4920" s="6">
        <f>INT(Query1[[#This Row],[EntryDateTime]])</f>
        <v>44685</v>
      </c>
      <c r="I4920" s="1">
        <f>IF(Query1[[#This Row],[ItemType]]="EVAP KIT SF GEN IV",Query1[[#This Row],[OrderQty]]+I4919,I4919)</f>
        <v>6063</v>
      </c>
      <c r="J4920" s="1">
        <f>IF(Query1[[#This Row],[ItemType]]="EVAP KIT UNIVERSAL",Query1[[#This Row],[OrderQty]]+J4919,J4919)</f>
        <v>1938</v>
      </c>
      <c r="K4920" s="1">
        <f>Query1[[#This Row],[SF Running Total]]+Query1[[#This Row],[UNIV Running Total]]</f>
        <v>8001</v>
      </c>
      <c r="L4920">
        <f>VLOOKUP(Query1[[#This Row],[Description]],'kits to boards'!$B$2:$E$156,2,FALSE)</f>
        <v>830025</v>
      </c>
      <c r="M4920">
        <f>VLOOKUP(Query1[[#This Row],[Description]],'kits to boards'!$B$2:$E$156,3,FALSE)</f>
        <v>830022</v>
      </c>
      <c r="N4920">
        <f>VLOOKUP(Query1[[#This Row],[Description]],'kits to boards'!$B$2:$E$156,4,FALSE)</f>
        <v>0</v>
      </c>
      <c r="O4920" t="str">
        <f>CONCATENATE(Query1[[#This Row],[Description]]," - ",Query1[[#This Row],[MB1]]," - ",Query1[[#This Row],[MB2]]," - ",Query1[[#This Row],[MB3]])</f>
        <v>EVAP KIT 68-69 CUTLASS W/AC - 830025 - 830022 - 0</v>
      </c>
    </row>
    <row r="4921" spans="1:15" x14ac:dyDescent="0.25">
      <c r="A4921" s="1">
        <v>922418</v>
      </c>
      <c r="B4921" s="1" t="s">
        <v>9</v>
      </c>
      <c r="C4921" s="1" t="s">
        <v>10</v>
      </c>
      <c r="D4921" s="2">
        <v>44685.464845983799</v>
      </c>
      <c r="E4921" s="1" t="s">
        <v>11</v>
      </c>
      <c r="F4921" s="1">
        <v>10</v>
      </c>
      <c r="G4921" s="1">
        <v>0</v>
      </c>
      <c r="H4921" s="6">
        <f>INT(Query1[[#This Row],[EntryDateTime]])</f>
        <v>44685</v>
      </c>
      <c r="I4921" s="1">
        <f>IF(Query1[[#This Row],[ItemType]]="EVAP KIT SF GEN IV",Query1[[#This Row],[OrderQty]]+I4920,I4920)</f>
        <v>6063</v>
      </c>
      <c r="J4921" s="1">
        <f>IF(Query1[[#This Row],[ItemType]]="EVAP KIT UNIVERSAL",Query1[[#This Row],[OrderQty]]+J4920,J4920)</f>
        <v>1948</v>
      </c>
      <c r="K4921" s="1">
        <f>Query1[[#This Row],[SF Running Total]]+Query1[[#This Row],[UNIV Running Total]]</f>
        <v>8011</v>
      </c>
      <c r="L4921">
        <f>VLOOKUP(Query1[[#This Row],[Description]],'kits to boards'!$B$2:$E$156,2,FALSE)</f>
        <v>830069</v>
      </c>
      <c r="M4921">
        <f>VLOOKUP(Query1[[#This Row],[Description]],'kits to boards'!$B$2:$E$156,3,FALSE)</f>
        <v>0</v>
      </c>
      <c r="N4921">
        <f>VLOOKUP(Query1[[#This Row],[Description]],'kits to boards'!$B$2:$E$156,4,FALSE)</f>
        <v>0</v>
      </c>
      <c r="O4921" t="str">
        <f>CONCATENATE(Query1[[#This Row],[Description]]," - ",Query1[[#This Row],[MB1]]," - ",Query1[[#This Row],[MB2]]," - ",Query1[[#This Row],[MB3]])</f>
        <v>SLIMLINE H/C W/DEF STD LOUVER - 830069 - 0 - 0</v>
      </c>
    </row>
    <row r="4922" spans="1:15" x14ac:dyDescent="0.25">
      <c r="A4922" s="1">
        <v>922423</v>
      </c>
      <c r="B4922" s="1" t="s">
        <v>72</v>
      </c>
      <c r="C4922" s="1" t="s">
        <v>73</v>
      </c>
      <c r="D4922" s="2">
        <v>44685.490654201392</v>
      </c>
      <c r="E4922" s="1" t="s">
        <v>8</v>
      </c>
      <c r="F4922" s="1">
        <v>1</v>
      </c>
      <c r="G4922" s="1">
        <v>0</v>
      </c>
      <c r="H4922" s="6">
        <f>INT(Query1[[#This Row],[EntryDateTime]])</f>
        <v>44685</v>
      </c>
      <c r="I4922" s="1">
        <f>IF(Query1[[#This Row],[ItemType]]="EVAP KIT SF GEN IV",Query1[[#This Row],[OrderQty]]+I4921,I4921)</f>
        <v>6064</v>
      </c>
      <c r="J4922" s="1">
        <f>IF(Query1[[#This Row],[ItemType]]="EVAP KIT UNIVERSAL",Query1[[#This Row],[OrderQty]]+J4921,J4921)</f>
        <v>1948</v>
      </c>
      <c r="K4922" s="1">
        <f>Query1[[#This Row],[SF Running Total]]+Query1[[#This Row],[UNIV Running Total]]</f>
        <v>8012</v>
      </c>
      <c r="L4922">
        <f>VLOOKUP(Query1[[#This Row],[Description]],'kits to boards'!$B$2:$E$156,2,FALSE)</f>
        <v>830043</v>
      </c>
      <c r="M4922">
        <f>VLOOKUP(Query1[[#This Row],[Description]],'kits to boards'!$B$2:$E$156,3,FALSE)</f>
        <v>0</v>
      </c>
      <c r="N4922">
        <f>VLOOKUP(Query1[[#This Row],[Description]],'kits to boards'!$B$2:$E$156,4,FALSE)</f>
        <v>0</v>
      </c>
      <c r="O4922" t="str">
        <f>CONCATENATE(Query1[[#This Row],[Description]]," - ",Query1[[#This Row],[MB1]]," - ",Query1[[#This Row],[MB2]]," - ",Query1[[#This Row],[MB3]])</f>
        <v>EVAP KIT 69-74 NOVA W/AC - 830043 - 0 - 0</v>
      </c>
    </row>
    <row r="4923" spans="1:15" x14ac:dyDescent="0.25">
      <c r="A4923" s="1">
        <v>922425</v>
      </c>
      <c r="B4923" s="1" t="s">
        <v>34</v>
      </c>
      <c r="C4923" s="1" t="s">
        <v>35</v>
      </c>
      <c r="D4923" s="2">
        <v>44685.496247685187</v>
      </c>
      <c r="E4923" s="1" t="s">
        <v>8</v>
      </c>
      <c r="F4923" s="1">
        <v>1</v>
      </c>
      <c r="G4923" s="1">
        <v>0</v>
      </c>
      <c r="H4923" s="6">
        <f>INT(Query1[[#This Row],[EntryDateTime]])</f>
        <v>44685</v>
      </c>
      <c r="I4923" s="1">
        <f>IF(Query1[[#This Row],[ItemType]]="EVAP KIT SF GEN IV",Query1[[#This Row],[OrderQty]]+I4922,I4922)</f>
        <v>6065</v>
      </c>
      <c r="J4923" s="1">
        <f>IF(Query1[[#This Row],[ItemType]]="EVAP KIT UNIVERSAL",Query1[[#This Row],[OrderQty]]+J4922,J4922)</f>
        <v>1948</v>
      </c>
      <c r="K4923" s="1">
        <f>Query1[[#This Row],[SF Running Total]]+Query1[[#This Row],[UNIV Running Total]]</f>
        <v>8013</v>
      </c>
      <c r="L4923">
        <f>VLOOKUP(Query1[[#This Row],[Description]],'kits to boards'!$B$2:$E$156,2,FALSE)</f>
        <v>830065</v>
      </c>
      <c r="M4923">
        <f>VLOOKUP(Query1[[#This Row],[Description]],'kits to boards'!$B$2:$E$156,3,FALSE)</f>
        <v>0</v>
      </c>
      <c r="N4923">
        <f>VLOOKUP(Query1[[#This Row],[Description]],'kits to boards'!$B$2:$E$156,4,FALSE)</f>
        <v>0</v>
      </c>
      <c r="O4923" t="str">
        <f>CONCATENATE(Query1[[#This Row],[Description]]," - ",Query1[[#This Row],[MB1]]," - ",Query1[[#This Row],[MB2]]," - ",Query1[[#This Row],[MB3]])</f>
        <v>EVAP KIT 57 CHEV WO AC - 830065 - 0 - 0</v>
      </c>
    </row>
    <row r="4924" spans="1:15" x14ac:dyDescent="0.25">
      <c r="A4924" s="1">
        <v>922430</v>
      </c>
      <c r="B4924" s="1" t="s">
        <v>102</v>
      </c>
      <c r="C4924" s="1" t="s">
        <v>103</v>
      </c>
      <c r="D4924" s="2">
        <v>44685.517188854166</v>
      </c>
      <c r="E4924" s="1" t="s">
        <v>8</v>
      </c>
      <c r="F4924" s="1">
        <v>1</v>
      </c>
      <c r="G4924" s="1">
        <v>0</v>
      </c>
      <c r="H4924" s="6">
        <f>INT(Query1[[#This Row],[EntryDateTime]])</f>
        <v>44685</v>
      </c>
      <c r="I4924" s="1">
        <f>IF(Query1[[#This Row],[ItemType]]="EVAP KIT SF GEN IV",Query1[[#This Row],[OrderQty]]+I4923,I4923)</f>
        <v>6066</v>
      </c>
      <c r="J4924" s="1">
        <f>IF(Query1[[#This Row],[ItemType]]="EVAP KIT UNIVERSAL",Query1[[#This Row],[OrderQty]]+J4923,J4923)</f>
        <v>1948</v>
      </c>
      <c r="K4924" s="1">
        <f>Query1[[#This Row],[SF Running Total]]+Query1[[#This Row],[UNIV Running Total]]</f>
        <v>8014</v>
      </c>
      <c r="L4924">
        <f>VLOOKUP(Query1[[#This Row],[Description]],'kits to boards'!$B$2:$E$156,2,FALSE)</f>
        <v>830012</v>
      </c>
      <c r="M4924">
        <f>VLOOKUP(Query1[[#This Row],[Description]],'kits to boards'!$B$2:$E$156,3,FALSE)</f>
        <v>0</v>
      </c>
      <c r="N4924">
        <f>VLOOKUP(Query1[[#This Row],[Description]],'kits to boards'!$B$2:$E$156,4,FALSE)</f>
        <v>0</v>
      </c>
      <c r="O4924" t="str">
        <f>CONCATENATE(Query1[[#This Row],[Description]]," - ",Query1[[#This Row],[MB1]]," - ",Query1[[#This Row],[MB2]]," - ",Query1[[#This Row],[MB3]])</f>
        <v>EVAP KIT 69 CAMARO WO/AC - 830012 - 0 - 0</v>
      </c>
    </row>
    <row r="4925" spans="1:15" x14ac:dyDescent="0.25">
      <c r="A4925" s="1">
        <v>922431</v>
      </c>
      <c r="B4925" s="1" t="s">
        <v>180</v>
      </c>
      <c r="C4925" s="1" t="s">
        <v>181</v>
      </c>
      <c r="D4925" s="2">
        <v>44685.518661076392</v>
      </c>
      <c r="E4925" s="1" t="s">
        <v>8</v>
      </c>
      <c r="F4925" s="1">
        <v>1</v>
      </c>
      <c r="G4925" s="1">
        <v>0</v>
      </c>
      <c r="H4925" s="6">
        <f>INT(Query1[[#This Row],[EntryDateTime]])</f>
        <v>44685</v>
      </c>
      <c r="I4925" s="1">
        <f>IF(Query1[[#This Row],[ItemType]]="EVAP KIT SF GEN IV",Query1[[#This Row],[OrderQty]]+I4924,I4924)</f>
        <v>6067</v>
      </c>
      <c r="J4925" s="1">
        <f>IF(Query1[[#This Row],[ItemType]]="EVAP KIT UNIVERSAL",Query1[[#This Row],[OrderQty]]+J4924,J4924)</f>
        <v>1948</v>
      </c>
      <c r="K4925" s="1">
        <f>Query1[[#This Row],[SF Running Total]]+Query1[[#This Row],[UNIV Running Total]]</f>
        <v>8015</v>
      </c>
      <c r="L4925">
        <f>VLOOKUP(Query1[[#This Row],[Description]],'kits to boards'!$B$2:$E$156,2,FALSE)</f>
        <v>830123</v>
      </c>
      <c r="M4925">
        <f>VLOOKUP(Query1[[#This Row],[Description]],'kits to boards'!$B$2:$E$156,3,FALSE)</f>
        <v>0</v>
      </c>
      <c r="N4925">
        <f>VLOOKUP(Query1[[#This Row],[Description]],'kits to boards'!$B$2:$E$156,4,FALSE)</f>
        <v>0</v>
      </c>
      <c r="O4925" t="str">
        <f>CONCATENATE(Query1[[#This Row],[Description]]," - ",Query1[[#This Row],[MB1]]," - ",Query1[[#This Row],[MB2]]," - ",Query1[[#This Row],[MB3]])</f>
        <v>EVAP KIT 68 GTO W/AC - 830123 - 0 - 0</v>
      </c>
    </row>
    <row r="4926" spans="1:15" x14ac:dyDescent="0.25">
      <c r="A4926" s="1">
        <v>922432</v>
      </c>
      <c r="B4926" s="1" t="s">
        <v>70</v>
      </c>
      <c r="C4926" s="1" t="s">
        <v>71</v>
      </c>
      <c r="D4926" s="2">
        <v>44685.522237731479</v>
      </c>
      <c r="E4926" s="1" t="s">
        <v>8</v>
      </c>
      <c r="F4926" s="1">
        <v>1</v>
      </c>
      <c r="G4926" s="1">
        <v>0</v>
      </c>
      <c r="H4926" s="6">
        <f>INT(Query1[[#This Row],[EntryDateTime]])</f>
        <v>44685</v>
      </c>
      <c r="I4926" s="1">
        <f>IF(Query1[[#This Row],[ItemType]]="EVAP KIT SF GEN IV",Query1[[#This Row],[OrderQty]]+I4925,I4925)</f>
        <v>6068</v>
      </c>
      <c r="J4926" s="1">
        <f>IF(Query1[[#This Row],[ItemType]]="EVAP KIT UNIVERSAL",Query1[[#This Row],[OrderQty]]+J4925,J4925)</f>
        <v>1948</v>
      </c>
      <c r="K4926" s="1">
        <f>Query1[[#This Row],[SF Running Total]]+Query1[[#This Row],[UNIV Running Total]]</f>
        <v>8016</v>
      </c>
      <c r="L4926">
        <f>VLOOKUP(Query1[[#This Row],[Description]],'kits to boards'!$B$2:$E$156,2,FALSE)</f>
        <v>830050</v>
      </c>
      <c r="M4926">
        <f>VLOOKUP(Query1[[#This Row],[Description]],'kits to boards'!$B$2:$E$156,3,FALSE)</f>
        <v>0</v>
      </c>
      <c r="N4926">
        <f>VLOOKUP(Query1[[#This Row],[Description]],'kits to boards'!$B$2:$E$156,4,FALSE)</f>
        <v>0</v>
      </c>
      <c r="O4926" t="str">
        <f>CONCATENATE(Query1[[#This Row],[Description]]," - ",Query1[[#This Row],[MB1]]," - ",Query1[[#This Row],[MB2]]," - ",Query1[[#This Row],[MB3]])</f>
        <v>EVAP KIT 70-78 CAMARO WO AC - 830050 - 0 - 0</v>
      </c>
    </row>
    <row r="4927" spans="1:15" x14ac:dyDescent="0.25">
      <c r="A4927" s="1">
        <v>922437</v>
      </c>
      <c r="B4927" s="1" t="s">
        <v>60</v>
      </c>
      <c r="C4927" s="1" t="s">
        <v>61</v>
      </c>
      <c r="D4927" s="2">
        <v>44685.525189780092</v>
      </c>
      <c r="E4927" s="1" t="s">
        <v>8</v>
      </c>
      <c r="F4927" s="1">
        <v>1</v>
      </c>
      <c r="G4927" s="1">
        <v>0</v>
      </c>
      <c r="H4927" s="6">
        <f>INT(Query1[[#This Row],[EntryDateTime]])</f>
        <v>44685</v>
      </c>
      <c r="I4927" s="1">
        <f>IF(Query1[[#This Row],[ItemType]]="EVAP KIT SF GEN IV",Query1[[#This Row],[OrderQty]]+I4926,I4926)</f>
        <v>6069</v>
      </c>
      <c r="J4927" s="1">
        <f>IF(Query1[[#This Row],[ItemType]]="EVAP KIT UNIVERSAL",Query1[[#This Row],[OrderQty]]+J4926,J4926)</f>
        <v>1948</v>
      </c>
      <c r="K4927" s="1">
        <f>Query1[[#This Row],[SF Running Total]]+Query1[[#This Row],[UNIV Running Total]]</f>
        <v>8017</v>
      </c>
      <c r="L4927">
        <f>VLOOKUP(Query1[[#This Row],[Description]],'kits to boards'!$B$2:$E$156,2,FALSE)</f>
        <v>830062</v>
      </c>
      <c r="M4927">
        <f>VLOOKUP(Query1[[#This Row],[Description]],'kits to boards'!$B$2:$E$156,3,FALSE)</f>
        <v>0</v>
      </c>
      <c r="N4927">
        <f>VLOOKUP(Query1[[#This Row],[Description]],'kits to boards'!$B$2:$E$156,4,FALSE)</f>
        <v>0</v>
      </c>
      <c r="O4927" t="str">
        <f>CONCATENATE(Query1[[#This Row],[Description]]," - ",Query1[[#This Row],[MB1]]," - ",Query1[[#This Row],[MB2]]," - ",Query1[[#This Row],[MB3]])</f>
        <v>EVAP KIT 68-69 CHEVELLE WO AC - 830062 - 0 - 0</v>
      </c>
    </row>
    <row r="4928" spans="1:15" x14ac:dyDescent="0.25">
      <c r="A4928" s="1">
        <v>922438</v>
      </c>
      <c r="B4928" s="1" t="s">
        <v>194</v>
      </c>
      <c r="C4928" s="1" t="s">
        <v>195</v>
      </c>
      <c r="D4928" s="2">
        <v>44685.528253090277</v>
      </c>
      <c r="E4928" s="1" t="s">
        <v>8</v>
      </c>
      <c r="F4928" s="1">
        <v>1</v>
      </c>
      <c r="G4928" s="1">
        <v>0</v>
      </c>
      <c r="H4928" s="6">
        <f>INT(Query1[[#This Row],[EntryDateTime]])</f>
        <v>44685</v>
      </c>
      <c r="I4928" s="1">
        <f>IF(Query1[[#This Row],[ItemType]]="EVAP KIT SF GEN IV",Query1[[#This Row],[OrderQty]]+I4927,I4927)</f>
        <v>6070</v>
      </c>
      <c r="J4928" s="1">
        <f>IF(Query1[[#This Row],[ItemType]]="EVAP KIT UNIVERSAL",Query1[[#This Row],[OrderQty]]+J4927,J4927)</f>
        <v>1948</v>
      </c>
      <c r="K4928" s="1">
        <f>Query1[[#This Row],[SF Running Total]]+Query1[[#This Row],[UNIV Running Total]]</f>
        <v>8018</v>
      </c>
      <c r="L4928">
        <f>VLOOKUP(Query1[[#This Row],[Description]],'kits to boards'!$B$2:$E$156,2,FALSE)</f>
        <v>830103</v>
      </c>
      <c r="M4928">
        <f>VLOOKUP(Query1[[#This Row],[Description]],'kits to boards'!$B$2:$E$156,3,FALSE)</f>
        <v>0</v>
      </c>
      <c r="N4928">
        <f>VLOOKUP(Query1[[#This Row],[Description]],'kits to boards'!$B$2:$E$156,4,FALSE)</f>
        <v>0</v>
      </c>
      <c r="O4928" t="str">
        <f>CONCATENATE(Query1[[#This Row],[Description]]," - ",Query1[[#This Row],[MB1]]," - ",Query1[[#This Row],[MB2]]," - ",Query1[[#This Row],[MB3]])</f>
        <v>EVAP KIT 78-82 VETTE W/AC - 830103 - 0 - 0</v>
      </c>
    </row>
    <row r="4929" spans="1:15" x14ac:dyDescent="0.25">
      <c r="A4929" s="1">
        <v>922439</v>
      </c>
      <c r="B4929" s="1" t="s">
        <v>128</v>
      </c>
      <c r="C4929" s="1" t="s">
        <v>129</v>
      </c>
      <c r="D4929" s="2">
        <v>44685.529400844905</v>
      </c>
      <c r="E4929" s="1" t="s">
        <v>8</v>
      </c>
      <c r="F4929" s="1">
        <v>1</v>
      </c>
      <c r="G4929" s="1">
        <v>0</v>
      </c>
      <c r="H4929" s="6">
        <f>INT(Query1[[#This Row],[EntryDateTime]])</f>
        <v>44685</v>
      </c>
      <c r="I4929" s="1">
        <f>IF(Query1[[#This Row],[ItemType]]="EVAP KIT SF GEN IV",Query1[[#This Row],[OrderQty]]+I4928,I4928)</f>
        <v>6071</v>
      </c>
      <c r="J4929" s="1">
        <f>IF(Query1[[#This Row],[ItemType]]="EVAP KIT UNIVERSAL",Query1[[#This Row],[OrderQty]]+J4928,J4928)</f>
        <v>1948</v>
      </c>
      <c r="K4929" s="1">
        <f>Query1[[#This Row],[SF Running Total]]+Query1[[#This Row],[UNIV Running Total]]</f>
        <v>8019</v>
      </c>
      <c r="L4929">
        <f>VLOOKUP(Query1[[#This Row],[Description]],'kits to boards'!$B$2:$E$156,2,FALSE)</f>
        <v>830036</v>
      </c>
      <c r="M4929">
        <f>VLOOKUP(Query1[[#This Row],[Description]],'kits to boards'!$B$2:$E$156,3,FALSE)</f>
        <v>830039</v>
      </c>
      <c r="N4929">
        <f>VLOOKUP(Query1[[#This Row],[Description]],'kits to boards'!$B$2:$E$156,4,FALSE)</f>
        <v>0</v>
      </c>
      <c r="O4929" t="str">
        <f>CONCATENATE(Query1[[#This Row],[Description]]," - ",Query1[[#This Row],[MB1]]," - ",Query1[[#This Row],[MB2]]," - ",Query1[[#This Row],[MB3]])</f>
        <v>EVAP KIT 63-66 VETTE WO AC - 830036 - 830039 - 0</v>
      </c>
    </row>
    <row r="4930" spans="1:15" x14ac:dyDescent="0.25">
      <c r="A4930" s="1">
        <v>922434</v>
      </c>
      <c r="B4930" s="1" t="s">
        <v>22</v>
      </c>
      <c r="C4930" s="1" t="s">
        <v>23</v>
      </c>
      <c r="D4930" s="2">
        <v>44685.540263159724</v>
      </c>
      <c r="E4930" s="1" t="s">
        <v>8</v>
      </c>
      <c r="F4930" s="1">
        <v>1</v>
      </c>
      <c r="G4930" s="1">
        <v>0</v>
      </c>
      <c r="H4930" s="6">
        <f>INT(Query1[[#This Row],[EntryDateTime]])</f>
        <v>44685</v>
      </c>
      <c r="I4930" s="1">
        <f>IF(Query1[[#This Row],[ItemType]]="EVAP KIT SF GEN IV",Query1[[#This Row],[OrderQty]]+I4929,I4929)</f>
        <v>6072</v>
      </c>
      <c r="J4930" s="1">
        <f>IF(Query1[[#This Row],[ItemType]]="EVAP KIT UNIVERSAL",Query1[[#This Row],[OrderQty]]+J4929,J4929)</f>
        <v>1948</v>
      </c>
      <c r="K4930" s="1">
        <f>Query1[[#This Row],[SF Running Total]]+Query1[[#This Row],[UNIV Running Total]]</f>
        <v>8020</v>
      </c>
      <c r="L4930">
        <f>VLOOKUP(Query1[[#This Row],[Description]],'kits to boards'!$B$2:$E$156,2,FALSE)</f>
        <v>830083</v>
      </c>
      <c r="M4930">
        <f>VLOOKUP(Query1[[#This Row],[Description]],'kits to boards'!$B$2:$E$156,3,FALSE)</f>
        <v>0</v>
      </c>
      <c r="N4930">
        <f>VLOOKUP(Query1[[#This Row],[Description]],'kits to boards'!$B$2:$E$156,4,FALSE)</f>
        <v>0</v>
      </c>
      <c r="O4930" t="str">
        <f>CONCATENATE(Query1[[#This Row],[Description]]," - ",Query1[[#This Row],[MB1]]," - ",Query1[[#This Row],[MB2]]," - ",Query1[[#This Row],[MB3]])</f>
        <v>GEN IV MAGNUM EVAP KIT - 830083 - 0 - 0</v>
      </c>
    </row>
    <row r="4931" spans="1:15" x14ac:dyDescent="0.25">
      <c r="A4931" s="1">
        <v>922447</v>
      </c>
      <c r="B4931" s="1" t="s">
        <v>506</v>
      </c>
      <c r="C4931" s="1" t="s">
        <v>507</v>
      </c>
      <c r="D4931" s="2">
        <v>44685.540334062498</v>
      </c>
      <c r="E4931" s="1" t="s">
        <v>677</v>
      </c>
      <c r="F4931" s="1">
        <v>1</v>
      </c>
      <c r="G4931" s="1">
        <v>0</v>
      </c>
      <c r="H4931" s="6">
        <f>INT(Query1[[#This Row],[EntryDateTime]])</f>
        <v>44685</v>
      </c>
      <c r="I4931" s="1">
        <f>IF(Query1[[#This Row],[ItemType]]="EVAP KIT SF GEN IV",Query1[[#This Row],[OrderQty]]+I4930,I4930)</f>
        <v>6072</v>
      </c>
      <c r="J4931" s="1">
        <f>IF(Query1[[#This Row],[ItemType]]="EVAP KIT UNIVERSAL",Query1[[#This Row],[OrderQty]]+J4930,J4930)</f>
        <v>1948</v>
      </c>
      <c r="K4931" s="1">
        <f>Query1[[#This Row],[SF Running Total]]+Query1[[#This Row],[UNIV Running Total]]</f>
        <v>8020</v>
      </c>
      <c r="L4931" t="e">
        <f>VLOOKUP(Query1[[#This Row],[Description]],'kits to boards'!$B$2:$E$156,2,FALSE)</f>
        <v>#N/A</v>
      </c>
      <c r="M4931" t="e">
        <f>VLOOKUP(Query1[[#This Row],[Description]],'kits to boards'!$B$2:$E$156,3,FALSE)</f>
        <v>#N/A</v>
      </c>
      <c r="N4931" t="e">
        <f>VLOOKUP(Query1[[#This Row],[Description]],'kits to boards'!$B$2:$E$156,4,FALSE)</f>
        <v>#N/A</v>
      </c>
      <c r="O4931" t="e">
        <f>CONCATENATE(Query1[[#This Row],[Description]]," - ",Query1[[#This Row],[MB1]]," - ",Query1[[#This Row],[MB2]]," - ",Query1[[#This Row],[MB3]])</f>
        <v>#N/A</v>
      </c>
    </row>
    <row r="4932" spans="1:15" x14ac:dyDescent="0.25">
      <c r="A4932" s="1">
        <v>922448</v>
      </c>
      <c r="B4932" s="1" t="s">
        <v>32</v>
      </c>
      <c r="C4932" s="1" t="s">
        <v>33</v>
      </c>
      <c r="D4932" s="2">
        <v>44685.545797303239</v>
      </c>
      <c r="E4932" s="1" t="s">
        <v>8</v>
      </c>
      <c r="F4932" s="1">
        <v>1</v>
      </c>
      <c r="G4932" s="1">
        <v>0</v>
      </c>
      <c r="H4932" s="6">
        <f>INT(Query1[[#This Row],[EntryDateTime]])</f>
        <v>44685</v>
      </c>
      <c r="I4932" s="1">
        <f>IF(Query1[[#This Row],[ItemType]]="EVAP KIT SF GEN IV",Query1[[#This Row],[OrderQty]]+I4931,I4931)</f>
        <v>6073</v>
      </c>
      <c r="J4932" s="1">
        <f>IF(Query1[[#This Row],[ItemType]]="EVAP KIT UNIVERSAL",Query1[[#This Row],[OrderQty]]+J4931,J4931)</f>
        <v>1948</v>
      </c>
      <c r="K4932" s="1">
        <f>Query1[[#This Row],[SF Running Total]]+Query1[[#This Row],[UNIV Running Total]]</f>
        <v>8021</v>
      </c>
      <c r="L4932">
        <f>VLOOKUP(Query1[[#This Row],[Description]],'kits to boards'!$B$2:$E$156,2,FALSE)</f>
        <v>830016</v>
      </c>
      <c r="M4932">
        <f>VLOOKUP(Query1[[#This Row],[Description]],'kits to boards'!$B$2:$E$156,3,FALSE)</f>
        <v>0</v>
      </c>
      <c r="N4932">
        <f>VLOOKUP(Query1[[#This Row],[Description]],'kits to boards'!$B$2:$E$156,4,FALSE)</f>
        <v>0</v>
      </c>
      <c r="O4932" t="str">
        <f>CONCATENATE(Query1[[#This Row],[Description]]," - ",Query1[[#This Row],[MB1]]," - ",Query1[[#This Row],[MB2]]," - ",Query1[[#This Row],[MB3]])</f>
        <v>EVAP KIT 67-68 CAMARO/FIREBIRD W/AC - 830016 - 0 - 0</v>
      </c>
    </row>
    <row r="4933" spans="1:15" x14ac:dyDescent="0.25">
      <c r="A4933" s="1">
        <v>922460</v>
      </c>
      <c r="B4933" s="1" t="s">
        <v>166</v>
      </c>
      <c r="C4933" s="1" t="s">
        <v>167</v>
      </c>
      <c r="D4933" s="2">
        <v>44685.571384143521</v>
      </c>
      <c r="E4933" s="1" t="s">
        <v>8</v>
      </c>
      <c r="F4933" s="1">
        <v>1</v>
      </c>
      <c r="G4933" s="1">
        <v>0</v>
      </c>
      <c r="H4933" s="6">
        <f>INT(Query1[[#This Row],[EntryDateTime]])</f>
        <v>44685</v>
      </c>
      <c r="I4933" s="1">
        <f>IF(Query1[[#This Row],[ItemType]]="EVAP KIT SF GEN IV",Query1[[#This Row],[OrderQty]]+I4932,I4932)</f>
        <v>6074</v>
      </c>
      <c r="J4933" s="1">
        <f>IF(Query1[[#This Row],[ItemType]]="EVAP KIT UNIVERSAL",Query1[[#This Row],[OrderQty]]+J4932,J4932)</f>
        <v>1948</v>
      </c>
      <c r="K4933" s="1">
        <f>Query1[[#This Row],[SF Running Total]]+Query1[[#This Row],[UNIV Running Total]]</f>
        <v>8022</v>
      </c>
      <c r="L4933">
        <f>VLOOKUP(Query1[[#This Row],[Description]],'kits to boards'!$B$2:$E$156,2,FALSE)</f>
        <v>830063</v>
      </c>
      <c r="M4933">
        <f>VLOOKUP(Query1[[#This Row],[Description]],'kits to boards'!$B$2:$E$156,3,FALSE)</f>
        <v>0</v>
      </c>
      <c r="N4933">
        <f>VLOOKUP(Query1[[#This Row],[Description]],'kits to boards'!$B$2:$E$156,4,FALSE)</f>
        <v>0</v>
      </c>
      <c r="O4933" t="str">
        <f>CONCATENATE(Query1[[#This Row],[Description]]," - ",Query1[[#This Row],[MB1]]," - ",Query1[[#This Row],[MB2]]," - ",Query1[[#This Row],[MB3]])</f>
        <v>EVAP KIT 47-49 CHEV P-UP GEN IV - 830063 - 0 - 0</v>
      </c>
    </row>
    <row r="4934" spans="1:15" x14ac:dyDescent="0.25">
      <c r="A4934" s="1">
        <v>921079</v>
      </c>
      <c r="B4934" s="1" t="s">
        <v>198</v>
      </c>
      <c r="C4934" s="1" t="s">
        <v>199</v>
      </c>
      <c r="D4934" s="2">
        <v>44685.575396412038</v>
      </c>
      <c r="E4934" s="1" t="s">
        <v>8</v>
      </c>
      <c r="F4934" s="1">
        <v>2</v>
      </c>
      <c r="G4934" s="1">
        <v>0</v>
      </c>
      <c r="H4934" s="6">
        <f>INT(Query1[[#This Row],[EntryDateTime]])</f>
        <v>44685</v>
      </c>
      <c r="I4934" s="1">
        <f>IF(Query1[[#This Row],[ItemType]]="EVAP KIT SF GEN IV",Query1[[#This Row],[OrderQty]]+I4933,I4933)</f>
        <v>6076</v>
      </c>
      <c r="J4934" s="1">
        <f>IF(Query1[[#This Row],[ItemType]]="EVAP KIT UNIVERSAL",Query1[[#This Row],[OrderQty]]+J4933,J4933)</f>
        <v>1948</v>
      </c>
      <c r="K4934" s="1">
        <f>Query1[[#This Row],[SF Running Total]]+Query1[[#This Row],[UNIV Running Total]]</f>
        <v>8024</v>
      </c>
      <c r="L4934">
        <f>VLOOKUP(Query1[[#This Row],[Description]],'kits to boards'!$B$2:$E$156,2,FALSE)</f>
        <v>830042</v>
      </c>
      <c r="M4934">
        <f>VLOOKUP(Query1[[#This Row],[Description]],'kits to boards'!$B$2:$E$156,3,FALSE)</f>
        <v>0</v>
      </c>
      <c r="N4934">
        <f>VLOOKUP(Query1[[#This Row],[Description]],'kits to boards'!$B$2:$E$156,4,FALSE)</f>
        <v>0</v>
      </c>
      <c r="O4934" t="str">
        <f>CONCATENATE(Query1[[#This Row],[Description]]," - ",Query1[[#This Row],[MB1]]," - ",Query1[[#This Row],[MB2]]," - ",Query1[[#This Row],[MB3]])</f>
        <v>EVAP KIT 68-83 TOYOTA FJ40 ULTRA HIGH PERF - 830042 - 0 - 0</v>
      </c>
    </row>
    <row r="4935" spans="1:15" x14ac:dyDescent="0.25">
      <c r="A4935" s="1">
        <v>921079</v>
      </c>
      <c r="B4935" s="1" t="s">
        <v>42</v>
      </c>
      <c r="C4935" s="1" t="s">
        <v>43</v>
      </c>
      <c r="D4935" s="2">
        <v>44685.575396412038</v>
      </c>
      <c r="E4935" s="1" t="s">
        <v>8</v>
      </c>
      <c r="F4935" s="1">
        <v>1</v>
      </c>
      <c r="G4935" s="1">
        <v>0</v>
      </c>
      <c r="H4935" s="6">
        <f>INT(Query1[[#This Row],[EntryDateTime]])</f>
        <v>44685</v>
      </c>
      <c r="I4935" s="1">
        <f>IF(Query1[[#This Row],[ItemType]]="EVAP KIT SF GEN IV",Query1[[#This Row],[OrderQty]]+I4934,I4934)</f>
        <v>6077</v>
      </c>
      <c r="J4935" s="1">
        <f>IF(Query1[[#This Row],[ItemType]]="EVAP KIT UNIVERSAL",Query1[[#This Row],[OrderQty]]+J4934,J4934)</f>
        <v>1948</v>
      </c>
      <c r="K4935" s="1">
        <f>Query1[[#This Row],[SF Running Total]]+Query1[[#This Row],[UNIV Running Total]]</f>
        <v>8025</v>
      </c>
      <c r="L4935">
        <f>VLOOKUP(Query1[[#This Row],[Description]],'kits to boards'!$B$2:$E$156,2,FALSE)</f>
        <v>830014</v>
      </c>
      <c r="M4935">
        <f>VLOOKUP(Query1[[#This Row],[Description]],'kits to boards'!$B$2:$E$156,3,FALSE)</f>
        <v>0</v>
      </c>
      <c r="N4935">
        <f>VLOOKUP(Query1[[#This Row],[Description]],'kits to boards'!$B$2:$E$156,4,FALSE)</f>
        <v>0</v>
      </c>
      <c r="O4935" t="str">
        <f>CONCATENATE(Query1[[#This Row],[Description]]," - ",Query1[[#This Row],[MB1]]," - ",Query1[[#This Row],[MB2]]," - ",Query1[[#This Row],[MB3]])</f>
        <v>EVAP KIT 67-72 CHEV P-UP WO AC - 830014 - 0 - 0</v>
      </c>
    </row>
    <row r="4936" spans="1:15" x14ac:dyDescent="0.25">
      <c r="A4936" s="1">
        <v>921079</v>
      </c>
      <c r="B4936" s="1" t="s">
        <v>184</v>
      </c>
      <c r="C4936" s="1" t="s">
        <v>185</v>
      </c>
      <c r="D4936" s="2">
        <v>44685.575396412038</v>
      </c>
      <c r="E4936" s="1" t="s">
        <v>8</v>
      </c>
      <c r="F4936" s="1">
        <v>3</v>
      </c>
      <c r="G4936" s="1">
        <v>0</v>
      </c>
      <c r="H4936" s="6">
        <f>INT(Query1[[#This Row],[EntryDateTime]])</f>
        <v>44685</v>
      </c>
      <c r="I4936" s="1">
        <f>IF(Query1[[#This Row],[ItemType]]="EVAP KIT SF GEN IV",Query1[[#This Row],[OrderQty]]+I4935,I4935)</f>
        <v>6080</v>
      </c>
      <c r="J4936" s="1">
        <f>IF(Query1[[#This Row],[ItemType]]="EVAP KIT UNIVERSAL",Query1[[#This Row],[OrderQty]]+J4935,J4935)</f>
        <v>1948</v>
      </c>
      <c r="K4936" s="1">
        <f>Query1[[#This Row],[SF Running Total]]+Query1[[#This Row],[UNIV Running Total]]</f>
        <v>8028</v>
      </c>
      <c r="L4936">
        <f>VLOOKUP(Query1[[#This Row],[Description]],'kits to boards'!$B$2:$E$156,2,FALSE)</f>
        <v>830042</v>
      </c>
      <c r="M4936">
        <f>VLOOKUP(Query1[[#This Row],[Description]],'kits to boards'!$B$2:$E$156,3,FALSE)</f>
        <v>0</v>
      </c>
      <c r="N4936">
        <f>VLOOKUP(Query1[[#This Row],[Description]],'kits to boards'!$B$2:$E$156,4,FALSE)</f>
        <v>0</v>
      </c>
      <c r="O4936" t="str">
        <f>CONCATENATE(Query1[[#This Row],[Description]]," - ",Query1[[#This Row],[MB1]]," - ",Query1[[#This Row],[MB2]]," - ",Query1[[#This Row],[MB3]])</f>
        <v>EVAP KIT 68-83 TOYOTA FJ40 - 830042 - 0 - 0</v>
      </c>
    </row>
    <row r="4937" spans="1:15" x14ac:dyDescent="0.25">
      <c r="A4937" s="1">
        <v>921079</v>
      </c>
      <c r="B4937" s="1" t="s">
        <v>44</v>
      </c>
      <c r="C4937" s="1" t="s">
        <v>45</v>
      </c>
      <c r="D4937" s="2">
        <v>44685.575396412038</v>
      </c>
      <c r="E4937" s="1" t="s">
        <v>8</v>
      </c>
      <c r="F4937" s="1">
        <v>1</v>
      </c>
      <c r="G4937" s="1">
        <v>0</v>
      </c>
      <c r="H4937" s="6">
        <f>INT(Query1[[#This Row],[EntryDateTime]])</f>
        <v>44685</v>
      </c>
      <c r="I4937" s="1">
        <f>IF(Query1[[#This Row],[ItemType]]="EVAP KIT SF GEN IV",Query1[[#This Row],[OrderQty]]+I4936,I4936)</f>
        <v>6081</v>
      </c>
      <c r="J4937" s="1">
        <f>IF(Query1[[#This Row],[ItemType]]="EVAP KIT UNIVERSAL",Query1[[#This Row],[OrderQty]]+J4936,J4936)</f>
        <v>1948</v>
      </c>
      <c r="K4937" s="1">
        <f>Query1[[#This Row],[SF Running Total]]+Query1[[#This Row],[UNIV Running Total]]</f>
        <v>8029</v>
      </c>
      <c r="L4937">
        <f>VLOOKUP(Query1[[#This Row],[Description]],'kits to boards'!$B$2:$E$156,2,FALSE)</f>
        <v>830085</v>
      </c>
      <c r="M4937">
        <f>VLOOKUP(Query1[[#This Row],[Description]],'kits to boards'!$B$2:$E$156,3,FALSE)</f>
        <v>0</v>
      </c>
      <c r="N4937">
        <f>VLOOKUP(Query1[[#This Row],[Description]],'kits to boards'!$B$2:$E$156,4,FALSE)</f>
        <v>0</v>
      </c>
      <c r="O4937" t="str">
        <f>CONCATENATE(Query1[[#This Row],[Description]]," - ",Query1[[#This Row],[MB1]]," - ",Query1[[#This Row],[MB2]]," - ",Query1[[#This Row],[MB3]])</f>
        <v>EVAP KIT 66-77 BRONCO - 830085 - 0 - 0</v>
      </c>
    </row>
    <row r="4938" spans="1:15" x14ac:dyDescent="0.25">
      <c r="A4938" s="1">
        <v>922466</v>
      </c>
      <c r="B4938" s="1" t="s">
        <v>42</v>
      </c>
      <c r="C4938" s="1" t="s">
        <v>43</v>
      </c>
      <c r="D4938" s="2">
        <v>44685.580696990743</v>
      </c>
      <c r="E4938" s="1" t="s">
        <v>8</v>
      </c>
      <c r="F4938" s="1">
        <v>1</v>
      </c>
      <c r="G4938" s="1">
        <v>0</v>
      </c>
      <c r="H4938" s="6">
        <f>INT(Query1[[#This Row],[EntryDateTime]])</f>
        <v>44685</v>
      </c>
      <c r="I4938" s="1">
        <f>IF(Query1[[#This Row],[ItemType]]="EVAP KIT SF GEN IV",Query1[[#This Row],[OrderQty]]+I4937,I4937)</f>
        <v>6082</v>
      </c>
      <c r="J4938" s="1">
        <f>IF(Query1[[#This Row],[ItemType]]="EVAP KIT UNIVERSAL",Query1[[#This Row],[OrderQty]]+J4937,J4937)</f>
        <v>1948</v>
      </c>
      <c r="K4938" s="1">
        <f>Query1[[#This Row],[SF Running Total]]+Query1[[#This Row],[UNIV Running Total]]</f>
        <v>8030</v>
      </c>
      <c r="L4938">
        <f>VLOOKUP(Query1[[#This Row],[Description]],'kits to boards'!$B$2:$E$156,2,FALSE)</f>
        <v>830014</v>
      </c>
      <c r="M4938">
        <f>VLOOKUP(Query1[[#This Row],[Description]],'kits to boards'!$B$2:$E$156,3,FALSE)</f>
        <v>0</v>
      </c>
      <c r="N4938">
        <f>VLOOKUP(Query1[[#This Row],[Description]],'kits to boards'!$B$2:$E$156,4,FALSE)</f>
        <v>0</v>
      </c>
      <c r="O4938" t="str">
        <f>CONCATENATE(Query1[[#This Row],[Description]]," - ",Query1[[#This Row],[MB1]]," - ",Query1[[#This Row],[MB2]]," - ",Query1[[#This Row],[MB3]])</f>
        <v>EVAP KIT 67-72 CHEV P-UP WO AC - 830014 - 0 - 0</v>
      </c>
    </row>
    <row r="4939" spans="1:15" x14ac:dyDescent="0.25">
      <c r="A4939" s="1">
        <v>921825</v>
      </c>
      <c r="B4939" s="1" t="s">
        <v>198</v>
      </c>
      <c r="C4939" s="1" t="s">
        <v>199</v>
      </c>
      <c r="D4939" s="2">
        <v>44685.584756597222</v>
      </c>
      <c r="E4939" s="1" t="s">
        <v>8</v>
      </c>
      <c r="F4939" s="1">
        <v>1</v>
      </c>
      <c r="G4939" s="1">
        <v>0</v>
      </c>
      <c r="H4939" s="6">
        <f>INT(Query1[[#This Row],[EntryDateTime]])</f>
        <v>44685</v>
      </c>
      <c r="I4939" s="1">
        <f>IF(Query1[[#This Row],[ItemType]]="EVAP KIT SF GEN IV",Query1[[#This Row],[OrderQty]]+I4938,I4938)</f>
        <v>6083</v>
      </c>
      <c r="J4939" s="1">
        <f>IF(Query1[[#This Row],[ItemType]]="EVAP KIT UNIVERSAL",Query1[[#This Row],[OrderQty]]+J4938,J4938)</f>
        <v>1948</v>
      </c>
      <c r="K4939" s="1">
        <f>Query1[[#This Row],[SF Running Total]]+Query1[[#This Row],[UNIV Running Total]]</f>
        <v>8031</v>
      </c>
      <c r="L4939">
        <f>VLOOKUP(Query1[[#This Row],[Description]],'kits to boards'!$B$2:$E$156,2,FALSE)</f>
        <v>830042</v>
      </c>
      <c r="M4939">
        <f>VLOOKUP(Query1[[#This Row],[Description]],'kits to boards'!$B$2:$E$156,3,FALSE)</f>
        <v>0</v>
      </c>
      <c r="N4939">
        <f>VLOOKUP(Query1[[#This Row],[Description]],'kits to boards'!$B$2:$E$156,4,FALSE)</f>
        <v>0</v>
      </c>
      <c r="O4939" t="str">
        <f>CONCATENATE(Query1[[#This Row],[Description]]," - ",Query1[[#This Row],[MB1]]," - ",Query1[[#This Row],[MB2]]," - ",Query1[[#This Row],[MB3]])</f>
        <v>EVAP KIT 68-83 TOYOTA FJ40 ULTRA HIGH PERF - 830042 - 0 - 0</v>
      </c>
    </row>
    <row r="4940" spans="1:15" x14ac:dyDescent="0.25">
      <c r="A4940" s="1">
        <v>922469</v>
      </c>
      <c r="B4940" s="1" t="s">
        <v>36</v>
      </c>
      <c r="C4940" s="1" t="s">
        <v>37</v>
      </c>
      <c r="D4940" s="2">
        <v>44685.585592442127</v>
      </c>
      <c r="E4940" s="1" t="s">
        <v>8</v>
      </c>
      <c r="F4940" s="1">
        <v>1</v>
      </c>
      <c r="G4940" s="1">
        <v>0</v>
      </c>
      <c r="H4940" s="6">
        <f>INT(Query1[[#This Row],[EntryDateTime]])</f>
        <v>44685</v>
      </c>
      <c r="I4940" s="1">
        <f>IF(Query1[[#This Row],[ItemType]]="EVAP KIT SF GEN IV",Query1[[#This Row],[OrderQty]]+I4939,I4939)</f>
        <v>6084</v>
      </c>
      <c r="J4940" s="1">
        <f>IF(Query1[[#This Row],[ItemType]]="EVAP KIT UNIVERSAL",Query1[[#This Row],[OrderQty]]+J4939,J4939)</f>
        <v>1948</v>
      </c>
      <c r="K4940" s="1">
        <f>Query1[[#This Row],[SF Running Total]]+Query1[[#This Row],[UNIV Running Total]]</f>
        <v>8032</v>
      </c>
      <c r="L4940">
        <f>VLOOKUP(Query1[[#This Row],[Description]],'kits to boards'!$B$2:$E$156,2,FALSE)</f>
        <v>830015</v>
      </c>
      <c r="M4940">
        <f>VLOOKUP(Query1[[#This Row],[Description]],'kits to boards'!$B$2:$E$156,3,FALSE)</f>
        <v>0</v>
      </c>
      <c r="N4940">
        <f>VLOOKUP(Query1[[#This Row],[Description]],'kits to boards'!$B$2:$E$156,4,FALSE)</f>
        <v>0</v>
      </c>
      <c r="O4940" t="str">
        <f>CONCATENATE(Query1[[#This Row],[Description]]," - ",Query1[[#This Row],[MB1]]," - ",Query1[[#This Row],[MB2]]," - ",Query1[[#This Row],[MB3]])</f>
        <v>EVAP KIT 64-66 CHEV P-UP WO AC W/STD - 830015 - 0 - 0</v>
      </c>
    </row>
    <row r="4941" spans="1:15" x14ac:dyDescent="0.25">
      <c r="A4941" s="1">
        <v>922169</v>
      </c>
      <c r="B4941" s="1" t="s">
        <v>52</v>
      </c>
      <c r="C4941" s="1" t="s">
        <v>53</v>
      </c>
      <c r="D4941" s="2">
        <v>44685.598601701386</v>
      </c>
      <c r="E4941" s="1" t="s">
        <v>8</v>
      </c>
      <c r="F4941" s="1">
        <v>1</v>
      </c>
      <c r="G4941" s="1">
        <v>0</v>
      </c>
      <c r="H4941" s="6">
        <f>INT(Query1[[#This Row],[EntryDateTime]])</f>
        <v>44685</v>
      </c>
      <c r="I4941" s="1">
        <f>IF(Query1[[#This Row],[ItemType]]="EVAP KIT SF GEN IV",Query1[[#This Row],[OrderQty]]+I4940,I4940)</f>
        <v>6085</v>
      </c>
      <c r="J4941" s="1">
        <f>IF(Query1[[#This Row],[ItemType]]="EVAP KIT UNIVERSAL",Query1[[#This Row],[OrderQty]]+J4940,J4940)</f>
        <v>1948</v>
      </c>
      <c r="K4941" s="1">
        <f>Query1[[#This Row],[SF Running Total]]+Query1[[#This Row],[UNIV Running Total]]</f>
        <v>8033</v>
      </c>
      <c r="L4941">
        <f>VLOOKUP(Query1[[#This Row],[Description]],'kits to boards'!$B$2:$E$156,2,FALSE)</f>
        <v>830017</v>
      </c>
      <c r="M4941">
        <f>VLOOKUP(Query1[[#This Row],[Description]],'kits to boards'!$B$2:$E$156,3,FALSE)</f>
        <v>830119</v>
      </c>
      <c r="N4941">
        <f>VLOOKUP(Query1[[#This Row],[Description]],'kits to boards'!$B$2:$E$156,4,FALSE)</f>
        <v>830120</v>
      </c>
      <c r="O4941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4942" spans="1:15" x14ac:dyDescent="0.25">
      <c r="A4942" s="1">
        <v>922461</v>
      </c>
      <c r="B4942" s="1" t="s">
        <v>14</v>
      </c>
      <c r="C4942" s="1" t="s">
        <v>15</v>
      </c>
      <c r="D4942" s="2">
        <v>44685.606230787038</v>
      </c>
      <c r="E4942" s="1" t="s">
        <v>8</v>
      </c>
      <c r="F4942" s="1">
        <v>1</v>
      </c>
      <c r="G4942" s="1">
        <v>0</v>
      </c>
      <c r="H4942" s="6">
        <f>INT(Query1[[#This Row],[EntryDateTime]])</f>
        <v>44685</v>
      </c>
      <c r="I4942" s="1">
        <f>IF(Query1[[#This Row],[ItemType]]="EVAP KIT SF GEN IV",Query1[[#This Row],[OrderQty]]+I4941,I4941)</f>
        <v>6086</v>
      </c>
      <c r="J4942" s="1">
        <f>IF(Query1[[#This Row],[ItemType]]="EVAP KIT UNIVERSAL",Query1[[#This Row],[OrderQty]]+J4941,J4941)</f>
        <v>1948</v>
      </c>
      <c r="K4942" s="1">
        <f>Query1[[#This Row],[SF Running Total]]+Query1[[#This Row],[UNIV Running Total]]</f>
        <v>8034</v>
      </c>
      <c r="L4942">
        <f>VLOOKUP(Query1[[#This Row],[Description]],'kits to boards'!$B$2:$E$156,2,FALSE)</f>
        <v>830054</v>
      </c>
      <c r="M4942">
        <f>VLOOKUP(Query1[[#This Row],[Description]],'kits to boards'!$B$2:$E$156,3,FALSE)</f>
        <v>0</v>
      </c>
      <c r="N4942">
        <f>VLOOKUP(Query1[[#This Row],[Description]],'kits to boards'!$B$2:$E$156,4,FALSE)</f>
        <v>0</v>
      </c>
      <c r="O4942" t="str">
        <f>CONCATENATE(Query1[[#This Row],[Description]]," - ",Query1[[#This Row],[MB1]]," - ",Query1[[#This Row],[MB2]]," - ",Query1[[#This Row],[MB3]])</f>
        <v>EVAP KIT 55-56 CHEVY - 830054 - 0 - 0</v>
      </c>
    </row>
    <row r="4943" spans="1:15" x14ac:dyDescent="0.25">
      <c r="A4943" s="1">
        <v>922481</v>
      </c>
      <c r="B4943" s="1" t="s">
        <v>74</v>
      </c>
      <c r="C4943" s="1" t="s">
        <v>75</v>
      </c>
      <c r="D4943" s="2">
        <v>44685.608800960646</v>
      </c>
      <c r="E4943" s="1" t="s">
        <v>8</v>
      </c>
      <c r="F4943" s="1">
        <v>1</v>
      </c>
      <c r="G4943" s="1">
        <v>0</v>
      </c>
      <c r="H4943" s="6">
        <f>INT(Query1[[#This Row],[EntryDateTime]])</f>
        <v>44685</v>
      </c>
      <c r="I4943" s="1">
        <f>IF(Query1[[#This Row],[ItemType]]="EVAP KIT SF GEN IV",Query1[[#This Row],[OrderQty]]+I4942,I4942)</f>
        <v>6087</v>
      </c>
      <c r="J4943" s="1">
        <f>IF(Query1[[#This Row],[ItemType]]="EVAP KIT UNIVERSAL",Query1[[#This Row],[OrderQty]]+J4942,J4942)</f>
        <v>1948</v>
      </c>
      <c r="K4943" s="1">
        <f>Query1[[#This Row],[SF Running Total]]+Query1[[#This Row],[UNIV Running Total]]</f>
        <v>8035</v>
      </c>
      <c r="L4943">
        <f>VLOOKUP(Query1[[#This Row],[Description]],'kits to boards'!$B$2:$E$156,2,FALSE)</f>
        <v>830065</v>
      </c>
      <c r="M4943">
        <f>VLOOKUP(Query1[[#This Row],[Description]],'kits to boards'!$B$2:$E$156,3,FALSE)</f>
        <v>0</v>
      </c>
      <c r="N4943">
        <f>VLOOKUP(Query1[[#This Row],[Description]],'kits to boards'!$B$2:$E$156,4,FALSE)</f>
        <v>0</v>
      </c>
      <c r="O4943" t="str">
        <f>CONCATENATE(Query1[[#This Row],[Description]]," - ",Query1[[#This Row],[MB1]]," - ",Query1[[#This Row],[MB2]]," - ",Query1[[#This Row],[MB3]])</f>
        <v>EVAP KIT 57 CHEV WO AC 4-VENT PLENUM - 830065 - 0 - 0</v>
      </c>
    </row>
    <row r="4944" spans="1:15" x14ac:dyDescent="0.25">
      <c r="A4944" s="1">
        <v>922480</v>
      </c>
      <c r="B4944" s="1" t="s">
        <v>30</v>
      </c>
      <c r="C4944" s="1" t="s">
        <v>31</v>
      </c>
      <c r="D4944" s="2">
        <v>44685.613557488425</v>
      </c>
      <c r="E4944" s="1" t="s">
        <v>8</v>
      </c>
      <c r="F4944" s="1">
        <v>1</v>
      </c>
      <c r="G4944" s="1">
        <v>0</v>
      </c>
      <c r="H4944" s="6">
        <f>INT(Query1[[#This Row],[EntryDateTime]])</f>
        <v>44685</v>
      </c>
      <c r="I4944" s="1">
        <f>IF(Query1[[#This Row],[ItemType]]="EVAP KIT SF GEN IV",Query1[[#This Row],[OrderQty]]+I4943,I4943)</f>
        <v>6088</v>
      </c>
      <c r="J4944" s="1">
        <f>IF(Query1[[#This Row],[ItemType]]="EVAP KIT UNIVERSAL",Query1[[#This Row],[OrderQty]]+J4943,J4943)</f>
        <v>1948</v>
      </c>
      <c r="K4944" s="1">
        <f>Query1[[#This Row],[SF Running Total]]+Query1[[#This Row],[UNIV Running Total]]</f>
        <v>8036</v>
      </c>
      <c r="L4944">
        <f>VLOOKUP(Query1[[#This Row],[Description]],'kits to boards'!$B$2:$E$156,2,FALSE)</f>
        <v>830054</v>
      </c>
      <c r="M4944">
        <f>VLOOKUP(Query1[[#This Row],[Description]],'kits to boards'!$B$2:$E$156,3,FALSE)</f>
        <v>0</v>
      </c>
      <c r="N4944">
        <f>VLOOKUP(Query1[[#This Row],[Description]],'kits to boards'!$B$2:$E$156,4,FALSE)</f>
        <v>0</v>
      </c>
      <c r="O4944" t="str">
        <f>CONCATENATE(Query1[[#This Row],[Description]]," - ",Query1[[#This Row],[MB1]]," - ",Query1[[#This Row],[MB2]]," - ",Query1[[#This Row],[MB3]])</f>
        <v>EVAP KIT 55-56 CHEVY 4-VENT - 830054 - 0 - 0</v>
      </c>
    </row>
    <row r="4945" spans="1:15" x14ac:dyDescent="0.25">
      <c r="A4945" s="1">
        <v>922479</v>
      </c>
      <c r="B4945" s="1" t="s">
        <v>216</v>
      </c>
      <c r="C4945" s="1" t="s">
        <v>217</v>
      </c>
      <c r="D4945" s="2">
        <v>44685.623492164355</v>
      </c>
      <c r="E4945" s="1" t="s">
        <v>8</v>
      </c>
      <c r="F4945" s="1">
        <v>1</v>
      </c>
      <c r="G4945" s="1">
        <v>0</v>
      </c>
      <c r="H4945" s="6">
        <f>INT(Query1[[#This Row],[EntryDateTime]])</f>
        <v>44685</v>
      </c>
      <c r="I4945" s="1">
        <f>IF(Query1[[#This Row],[ItemType]]="EVAP KIT SF GEN IV",Query1[[#This Row],[OrderQty]]+I4944,I4944)</f>
        <v>6089</v>
      </c>
      <c r="J4945" s="1">
        <f>IF(Query1[[#This Row],[ItemType]]="EVAP KIT UNIVERSAL",Query1[[#This Row],[OrderQty]]+J4944,J4944)</f>
        <v>1948</v>
      </c>
      <c r="K4945" s="1">
        <f>Query1[[#This Row],[SF Running Total]]+Query1[[#This Row],[UNIV Running Total]]</f>
        <v>8037</v>
      </c>
      <c r="L4945">
        <f>VLOOKUP(Query1[[#This Row],[Description]],'kits to boards'!$B$2:$E$156,2,FALSE)</f>
        <v>830072</v>
      </c>
      <c r="M4945">
        <f>VLOOKUP(Query1[[#This Row],[Description]],'kits to boards'!$B$2:$E$156,3,FALSE)</f>
        <v>830075</v>
      </c>
      <c r="N4945">
        <f>VLOOKUP(Query1[[#This Row],[Description]],'kits to boards'!$B$2:$E$156,4,FALSE)</f>
        <v>0</v>
      </c>
      <c r="O4945" t="str">
        <f>CONCATENATE(Query1[[#This Row],[Description]]," - ",Query1[[#This Row],[MB1]]," - ",Query1[[#This Row],[MB2]]," - ",Query1[[#This Row],[MB3]])</f>
        <v>EVAP KIT 69-70 MOPAR B BODY W/AC - 830072 - 830075 - 0</v>
      </c>
    </row>
    <row r="4946" spans="1:15" x14ac:dyDescent="0.25">
      <c r="A4946" s="1">
        <v>922337</v>
      </c>
      <c r="B4946" s="1" t="s">
        <v>166</v>
      </c>
      <c r="C4946" s="1" t="s">
        <v>167</v>
      </c>
      <c r="D4946" s="2">
        <v>44685.625867627314</v>
      </c>
      <c r="E4946" s="1" t="s">
        <v>8</v>
      </c>
      <c r="F4946" s="1">
        <v>1</v>
      </c>
      <c r="G4946" s="1">
        <v>0</v>
      </c>
      <c r="H4946" s="6">
        <f>INT(Query1[[#This Row],[EntryDateTime]])</f>
        <v>44685</v>
      </c>
      <c r="I4946" s="1">
        <f>IF(Query1[[#This Row],[ItemType]]="EVAP KIT SF GEN IV",Query1[[#This Row],[OrderQty]]+I4945,I4945)</f>
        <v>6090</v>
      </c>
      <c r="J4946" s="1">
        <f>IF(Query1[[#This Row],[ItemType]]="EVAP KIT UNIVERSAL",Query1[[#This Row],[OrderQty]]+J4945,J4945)</f>
        <v>1948</v>
      </c>
      <c r="K4946" s="1">
        <f>Query1[[#This Row],[SF Running Total]]+Query1[[#This Row],[UNIV Running Total]]</f>
        <v>8038</v>
      </c>
      <c r="L4946">
        <f>VLOOKUP(Query1[[#This Row],[Description]],'kits to boards'!$B$2:$E$156,2,FALSE)</f>
        <v>830063</v>
      </c>
      <c r="M4946">
        <f>VLOOKUP(Query1[[#This Row],[Description]],'kits to boards'!$B$2:$E$156,3,FALSE)</f>
        <v>0</v>
      </c>
      <c r="N4946">
        <f>VLOOKUP(Query1[[#This Row],[Description]],'kits to boards'!$B$2:$E$156,4,FALSE)</f>
        <v>0</v>
      </c>
      <c r="O4946" t="str">
        <f>CONCATENATE(Query1[[#This Row],[Description]]," - ",Query1[[#This Row],[MB1]]," - ",Query1[[#This Row],[MB2]]," - ",Query1[[#This Row],[MB3]])</f>
        <v>EVAP KIT 47-49 CHEV P-UP GEN IV - 830063 - 0 - 0</v>
      </c>
    </row>
    <row r="4947" spans="1:15" x14ac:dyDescent="0.25">
      <c r="A4947" s="1">
        <v>917095</v>
      </c>
      <c r="B4947" s="1" t="s">
        <v>14</v>
      </c>
      <c r="C4947" s="1" t="s">
        <v>15</v>
      </c>
      <c r="D4947" s="2">
        <v>44685.633952083335</v>
      </c>
      <c r="E4947" s="1" t="s">
        <v>8</v>
      </c>
      <c r="F4947" s="1">
        <v>1</v>
      </c>
      <c r="G4947" s="1">
        <v>0</v>
      </c>
      <c r="H4947" s="6">
        <f>INT(Query1[[#This Row],[EntryDateTime]])</f>
        <v>44685</v>
      </c>
      <c r="I4947" s="1">
        <f>IF(Query1[[#This Row],[ItemType]]="EVAP KIT SF GEN IV",Query1[[#This Row],[OrderQty]]+I4946,I4946)</f>
        <v>6091</v>
      </c>
      <c r="J4947" s="1">
        <f>IF(Query1[[#This Row],[ItemType]]="EVAP KIT UNIVERSAL",Query1[[#This Row],[OrderQty]]+J4946,J4946)</f>
        <v>1948</v>
      </c>
      <c r="K4947" s="1">
        <f>Query1[[#This Row],[SF Running Total]]+Query1[[#This Row],[UNIV Running Total]]</f>
        <v>8039</v>
      </c>
      <c r="L4947">
        <f>VLOOKUP(Query1[[#This Row],[Description]],'kits to boards'!$B$2:$E$156,2,FALSE)</f>
        <v>830054</v>
      </c>
      <c r="M4947">
        <f>VLOOKUP(Query1[[#This Row],[Description]],'kits to boards'!$B$2:$E$156,3,FALSE)</f>
        <v>0</v>
      </c>
      <c r="N4947">
        <f>VLOOKUP(Query1[[#This Row],[Description]],'kits to boards'!$B$2:$E$156,4,FALSE)</f>
        <v>0</v>
      </c>
      <c r="O4947" t="str">
        <f>CONCATENATE(Query1[[#This Row],[Description]]," - ",Query1[[#This Row],[MB1]]," - ",Query1[[#This Row],[MB2]]," - ",Query1[[#This Row],[MB3]])</f>
        <v>EVAP KIT 55-56 CHEVY - 830054 - 0 - 0</v>
      </c>
    </row>
    <row r="4948" spans="1:15" x14ac:dyDescent="0.25">
      <c r="A4948" s="1">
        <v>917096</v>
      </c>
      <c r="B4948" s="1" t="s">
        <v>92</v>
      </c>
      <c r="C4948" s="1" t="s">
        <v>93</v>
      </c>
      <c r="D4948" s="2">
        <v>44685.635110300929</v>
      </c>
      <c r="E4948" s="1" t="s">
        <v>8</v>
      </c>
      <c r="F4948" s="1">
        <v>1</v>
      </c>
      <c r="G4948" s="1">
        <v>0</v>
      </c>
      <c r="H4948" s="6">
        <f>INT(Query1[[#This Row],[EntryDateTime]])</f>
        <v>44685</v>
      </c>
      <c r="I4948" s="1">
        <f>IF(Query1[[#This Row],[ItemType]]="EVAP KIT SF GEN IV",Query1[[#This Row],[OrderQty]]+I4947,I4947)</f>
        <v>6092</v>
      </c>
      <c r="J4948" s="1">
        <f>IF(Query1[[#This Row],[ItemType]]="EVAP KIT UNIVERSAL",Query1[[#This Row],[OrderQty]]+J4947,J4947)</f>
        <v>1948</v>
      </c>
      <c r="K4948" s="1">
        <f>Query1[[#This Row],[SF Running Total]]+Query1[[#This Row],[UNIV Running Total]]</f>
        <v>8040</v>
      </c>
      <c r="L4948">
        <f>VLOOKUP(Query1[[#This Row],[Description]],'kits to boards'!$B$2:$E$156,2,FALSE)</f>
        <v>830063</v>
      </c>
      <c r="M4948">
        <f>VLOOKUP(Query1[[#This Row],[Description]],'kits to boards'!$B$2:$E$156,3,FALSE)</f>
        <v>0</v>
      </c>
      <c r="N4948">
        <f>VLOOKUP(Query1[[#This Row],[Description]],'kits to boards'!$B$2:$E$156,4,FALSE)</f>
        <v>0</v>
      </c>
      <c r="O4948" t="str">
        <f>CONCATENATE(Query1[[#This Row],[Description]]," - ",Query1[[#This Row],[MB1]]," - ",Query1[[#This Row],[MB2]]," - ",Query1[[#This Row],[MB3]])</f>
        <v>EVAP KIT 50-53 CHEV P-UP GEN IV - 830063 - 0 - 0</v>
      </c>
    </row>
    <row r="4949" spans="1:15" x14ac:dyDescent="0.25">
      <c r="A4949" s="1">
        <v>917097</v>
      </c>
      <c r="B4949" s="1" t="s">
        <v>126</v>
      </c>
      <c r="C4949" s="1" t="s">
        <v>127</v>
      </c>
      <c r="D4949" s="2">
        <v>44685.635481053243</v>
      </c>
      <c r="E4949" s="1" t="s">
        <v>8</v>
      </c>
      <c r="F4949" s="1">
        <v>1</v>
      </c>
      <c r="G4949" s="1">
        <v>0</v>
      </c>
      <c r="H4949" s="6">
        <f>INT(Query1[[#This Row],[EntryDateTime]])</f>
        <v>44685</v>
      </c>
      <c r="I4949" s="1">
        <f>IF(Query1[[#This Row],[ItemType]]="EVAP KIT SF GEN IV",Query1[[#This Row],[OrderQty]]+I4948,I4948)</f>
        <v>6093</v>
      </c>
      <c r="J4949" s="1">
        <f>IF(Query1[[#This Row],[ItemType]]="EVAP KIT UNIVERSAL",Query1[[#This Row],[OrderQty]]+J4948,J4948)</f>
        <v>1948</v>
      </c>
      <c r="K4949" s="1">
        <f>Query1[[#This Row],[SF Running Total]]+Query1[[#This Row],[UNIV Running Total]]</f>
        <v>8041</v>
      </c>
      <c r="L4949">
        <f>VLOOKUP(Query1[[#This Row],[Description]],'kits to boards'!$B$2:$E$156,2,FALSE)</f>
        <v>830080</v>
      </c>
      <c r="M4949">
        <f>VLOOKUP(Query1[[#This Row],[Description]],'kits to boards'!$B$2:$E$156,3,FALSE)</f>
        <v>0</v>
      </c>
      <c r="N4949">
        <f>VLOOKUP(Query1[[#This Row],[Description]],'kits to boards'!$B$2:$E$156,4,FALSE)</f>
        <v>0</v>
      </c>
      <c r="O4949" t="str">
        <f>CONCATENATE(Query1[[#This Row],[Description]]," - ",Query1[[#This Row],[MB1]]," - ",Query1[[#This Row],[MB2]]," - ",Query1[[#This Row],[MB3]])</f>
        <v>EVAP KIT 69-70 MUSTANG WO AC  - 830080 - 0 - 0</v>
      </c>
    </row>
    <row r="4950" spans="1:15" x14ac:dyDescent="0.25">
      <c r="A4950" s="1">
        <v>917098</v>
      </c>
      <c r="B4950" s="1" t="s">
        <v>152</v>
      </c>
      <c r="C4950" s="1" t="s">
        <v>153</v>
      </c>
      <c r="D4950" s="2">
        <v>44685.635887500001</v>
      </c>
      <c r="E4950" s="1" t="s">
        <v>8</v>
      </c>
      <c r="F4950" s="1">
        <v>1</v>
      </c>
      <c r="G4950" s="1">
        <v>0</v>
      </c>
      <c r="H4950" s="6">
        <f>INT(Query1[[#This Row],[EntryDateTime]])</f>
        <v>44685</v>
      </c>
      <c r="I4950" s="1">
        <f>IF(Query1[[#This Row],[ItemType]]="EVAP KIT SF GEN IV",Query1[[#This Row],[OrderQty]]+I4949,I4949)</f>
        <v>6094</v>
      </c>
      <c r="J4950" s="1">
        <f>IF(Query1[[#This Row],[ItemType]]="EVAP KIT UNIVERSAL",Query1[[#This Row],[OrderQty]]+J4949,J4949)</f>
        <v>1948</v>
      </c>
      <c r="K4950" s="1">
        <f>Query1[[#This Row],[SF Running Total]]+Query1[[#This Row],[UNIV Running Total]]</f>
        <v>8042</v>
      </c>
      <c r="L4950">
        <f>VLOOKUP(Query1[[#This Row],[Description]],'kits to boards'!$B$2:$E$156,2,FALSE)</f>
        <v>830034</v>
      </c>
      <c r="M4950">
        <f>VLOOKUP(Query1[[#This Row],[Description]],'kits to boards'!$B$2:$E$156,3,FALSE)</f>
        <v>0</v>
      </c>
      <c r="N4950">
        <f>VLOOKUP(Query1[[#This Row],[Description]],'kits to boards'!$B$2:$E$156,4,FALSE)</f>
        <v>0</v>
      </c>
      <c r="O4950" t="str">
        <f>CONCATENATE(Query1[[#This Row],[Description]]," - ",Query1[[#This Row],[MB1]]," - ",Query1[[#This Row],[MB2]]," - ",Query1[[#This Row],[MB3]])</f>
        <v>EVAP KIT 64-67 GTO WO AC - 830034 - 0 - 0</v>
      </c>
    </row>
    <row r="4951" spans="1:15" x14ac:dyDescent="0.25">
      <c r="A4951" s="1">
        <v>917099</v>
      </c>
      <c r="B4951" s="1" t="s">
        <v>98</v>
      </c>
      <c r="C4951" s="1" t="s">
        <v>99</v>
      </c>
      <c r="D4951" s="2">
        <v>44685.636464780095</v>
      </c>
      <c r="E4951" s="1" t="s">
        <v>11</v>
      </c>
      <c r="F4951" s="1">
        <v>3</v>
      </c>
      <c r="G4951" s="1">
        <v>0</v>
      </c>
      <c r="H4951" s="6">
        <f>INT(Query1[[#This Row],[EntryDateTime]])</f>
        <v>44685</v>
      </c>
      <c r="I4951" s="1">
        <f>IF(Query1[[#This Row],[ItemType]]="EVAP KIT SF GEN IV",Query1[[#This Row],[OrderQty]]+I4950,I4950)</f>
        <v>6094</v>
      </c>
      <c r="J4951" s="1">
        <f>IF(Query1[[#This Row],[ItemType]]="EVAP KIT UNIVERSAL",Query1[[#This Row],[OrderQty]]+J4950,J4950)</f>
        <v>1951</v>
      </c>
      <c r="K4951" s="1">
        <f>Query1[[#This Row],[SF Running Total]]+Query1[[#This Row],[UNIV Running Total]]</f>
        <v>8045</v>
      </c>
      <c r="L4951">
        <f>VLOOKUP(Query1[[#This Row],[Description]],'kits to boards'!$B$2:$E$156,2,FALSE)</f>
        <v>830099</v>
      </c>
      <c r="M4951">
        <f>VLOOKUP(Query1[[#This Row],[Description]],'kits to boards'!$B$2:$E$156,3,FALSE)</f>
        <v>0</v>
      </c>
      <c r="N4951">
        <f>VLOOKUP(Query1[[#This Row],[Description]],'kits to boards'!$B$2:$E$156,4,FALSE)</f>
        <v>0</v>
      </c>
      <c r="O4951" t="str">
        <f>CONCATENATE(Query1[[#This Row],[Description]]," - ",Query1[[#This Row],[MB1]]," - ",Query1[[#This Row],[MB2]]," - ",Query1[[#This Row],[MB3]])</f>
        <v>MINI GEN II W/DEF - 830099 - 0 - 0</v>
      </c>
    </row>
    <row r="4952" spans="1:15" x14ac:dyDescent="0.25">
      <c r="A4952" s="1">
        <v>917099</v>
      </c>
      <c r="B4952" s="1" t="s">
        <v>20</v>
      </c>
      <c r="C4952" s="1" t="s">
        <v>21</v>
      </c>
      <c r="D4952" s="2">
        <v>44685.636464780095</v>
      </c>
      <c r="E4952" s="1" t="s">
        <v>11</v>
      </c>
      <c r="F4952" s="1">
        <v>3</v>
      </c>
      <c r="G4952" s="1">
        <v>0</v>
      </c>
      <c r="H4952" s="6">
        <f>INT(Query1[[#This Row],[EntryDateTime]])</f>
        <v>44685</v>
      </c>
      <c r="I4952" s="1">
        <f>IF(Query1[[#This Row],[ItemType]]="EVAP KIT SF GEN IV",Query1[[#This Row],[OrderQty]]+I4951,I4951)</f>
        <v>6094</v>
      </c>
      <c r="J4952" s="1">
        <f>IF(Query1[[#This Row],[ItemType]]="EVAP KIT UNIVERSAL",Query1[[#This Row],[OrderQty]]+J4951,J4951)</f>
        <v>1954</v>
      </c>
      <c r="K4952" s="1">
        <f>Query1[[#This Row],[SF Running Total]]+Query1[[#This Row],[UNIV Running Total]]</f>
        <v>8048</v>
      </c>
      <c r="L4952">
        <f>VLOOKUP(Query1[[#This Row],[Description]],'kits to boards'!$B$2:$E$156,2,FALSE)</f>
        <v>830102</v>
      </c>
      <c r="M4952">
        <f>VLOOKUP(Query1[[#This Row],[Description]],'kits to boards'!$B$2:$E$156,3,FALSE)</f>
        <v>0</v>
      </c>
      <c r="N4952">
        <f>VLOOKUP(Query1[[#This Row],[Description]],'kits to boards'!$B$2:$E$156,4,FALSE)</f>
        <v>0</v>
      </c>
      <c r="O4952" t="str">
        <f>CONCATENATE(Query1[[#This Row],[Description]]," - ",Query1[[#This Row],[MB1]]," - ",Query1[[#This Row],[MB2]]," - ",Query1[[#This Row],[MB3]])</f>
        <v>SUPER GEN II W/DEF - 830102 - 0 - 0</v>
      </c>
    </row>
    <row r="4953" spans="1:15" x14ac:dyDescent="0.25">
      <c r="A4953" s="1">
        <v>917099</v>
      </c>
      <c r="B4953" s="1" t="s">
        <v>24</v>
      </c>
      <c r="C4953" s="1" t="s">
        <v>25</v>
      </c>
      <c r="D4953" s="2">
        <v>44685.636464780095</v>
      </c>
      <c r="E4953" s="1" t="s">
        <v>11</v>
      </c>
      <c r="F4953" s="1">
        <v>3</v>
      </c>
      <c r="G4953" s="1">
        <v>0</v>
      </c>
      <c r="H4953" s="6">
        <f>INT(Query1[[#This Row],[EntryDateTime]])</f>
        <v>44685</v>
      </c>
      <c r="I4953" s="1">
        <f>IF(Query1[[#This Row],[ItemType]]="EVAP KIT SF GEN IV",Query1[[#This Row],[OrderQty]]+I4952,I4952)</f>
        <v>6094</v>
      </c>
      <c r="J4953" s="1">
        <f>IF(Query1[[#This Row],[ItemType]]="EVAP KIT UNIVERSAL",Query1[[#This Row],[OrderQty]]+J4952,J4952)</f>
        <v>1957</v>
      </c>
      <c r="K4953" s="1">
        <f>Query1[[#This Row],[SF Running Total]]+Query1[[#This Row],[UNIV Running Total]]</f>
        <v>8051</v>
      </c>
      <c r="L4953">
        <f>VLOOKUP(Query1[[#This Row],[Description]],'kits to boards'!$B$2:$E$156,2,FALSE)</f>
        <v>830029</v>
      </c>
      <c r="M4953">
        <f>VLOOKUP(Query1[[#This Row],[Description]],'kits to boards'!$B$2:$E$156,3,FALSE)</f>
        <v>830030</v>
      </c>
      <c r="N4953">
        <f>VLOOKUP(Query1[[#This Row],[Description]],'kits to boards'!$B$2:$E$156,4,FALSE)</f>
        <v>0</v>
      </c>
      <c r="O4953" t="str">
        <f>CONCATENATE(Query1[[#This Row],[Description]]," - ",Query1[[#This Row],[MB1]]," - ",Query1[[#This Row],[MB2]]," - ",Query1[[#This Row],[MB3]])</f>
        <v>ComPac GEN II W/DEF - 830029 - 830030 - 0</v>
      </c>
    </row>
    <row r="4954" spans="1:15" x14ac:dyDescent="0.25">
      <c r="A4954" s="1">
        <v>917454</v>
      </c>
      <c r="B4954" s="1" t="s">
        <v>86</v>
      </c>
      <c r="C4954" s="1" t="s">
        <v>87</v>
      </c>
      <c r="D4954" s="2">
        <v>44685.637449965281</v>
      </c>
      <c r="E4954" s="1" t="s">
        <v>8</v>
      </c>
      <c r="F4954" s="1">
        <v>1</v>
      </c>
      <c r="G4954" s="1">
        <v>0</v>
      </c>
      <c r="H4954" s="6">
        <f>INT(Query1[[#This Row],[EntryDateTime]])</f>
        <v>44685</v>
      </c>
      <c r="I4954" s="1">
        <f>IF(Query1[[#This Row],[ItemType]]="EVAP KIT SF GEN IV",Query1[[#This Row],[OrderQty]]+I4953,I4953)</f>
        <v>6095</v>
      </c>
      <c r="J4954" s="1">
        <f>IF(Query1[[#This Row],[ItemType]]="EVAP KIT UNIVERSAL",Query1[[#This Row],[OrderQty]]+J4953,J4953)</f>
        <v>1957</v>
      </c>
      <c r="K4954" s="1">
        <f>Query1[[#This Row],[SF Running Total]]+Query1[[#This Row],[UNIV Running Total]]</f>
        <v>8052</v>
      </c>
      <c r="L4954">
        <f>VLOOKUP(Query1[[#This Row],[Description]],'kits to boards'!$B$2:$E$156,2,FALSE)</f>
        <v>830048</v>
      </c>
      <c r="M4954">
        <f>VLOOKUP(Query1[[#This Row],[Description]],'kits to boards'!$B$2:$E$156,3,FALSE)</f>
        <v>0</v>
      </c>
      <c r="N4954">
        <f>VLOOKUP(Query1[[#This Row],[Description]],'kits to boards'!$B$2:$E$156,4,FALSE)</f>
        <v>0</v>
      </c>
      <c r="O4954" t="str">
        <f>CONCATENATE(Query1[[#This Row],[Description]]," - ",Query1[[#This Row],[MB1]]," - ",Query1[[#This Row],[MB2]]," - ",Query1[[#This Row],[MB3]])</f>
        <v>EVAP KIT 66-67 NOVA - 830048 - 0 - 0</v>
      </c>
    </row>
    <row r="4955" spans="1:15" x14ac:dyDescent="0.25">
      <c r="A4955" s="1">
        <v>919236</v>
      </c>
      <c r="B4955" s="1" t="s">
        <v>14</v>
      </c>
      <c r="C4955" s="1" t="s">
        <v>15</v>
      </c>
      <c r="D4955" s="2">
        <v>44685.63811403935</v>
      </c>
      <c r="E4955" s="1" t="s">
        <v>8</v>
      </c>
      <c r="F4955" s="1">
        <v>1</v>
      </c>
      <c r="G4955" s="1">
        <v>0</v>
      </c>
      <c r="H4955" s="6">
        <f>INT(Query1[[#This Row],[EntryDateTime]])</f>
        <v>44685</v>
      </c>
      <c r="I4955" s="1">
        <f>IF(Query1[[#This Row],[ItemType]]="EVAP KIT SF GEN IV",Query1[[#This Row],[OrderQty]]+I4954,I4954)</f>
        <v>6096</v>
      </c>
      <c r="J4955" s="1">
        <f>IF(Query1[[#This Row],[ItemType]]="EVAP KIT UNIVERSAL",Query1[[#This Row],[OrderQty]]+J4954,J4954)</f>
        <v>1957</v>
      </c>
      <c r="K4955" s="1">
        <f>Query1[[#This Row],[SF Running Total]]+Query1[[#This Row],[UNIV Running Total]]</f>
        <v>8053</v>
      </c>
      <c r="L4955">
        <f>VLOOKUP(Query1[[#This Row],[Description]],'kits to boards'!$B$2:$E$156,2,FALSE)</f>
        <v>830054</v>
      </c>
      <c r="M4955">
        <f>VLOOKUP(Query1[[#This Row],[Description]],'kits to boards'!$B$2:$E$156,3,FALSE)</f>
        <v>0</v>
      </c>
      <c r="N4955">
        <f>VLOOKUP(Query1[[#This Row],[Description]],'kits to boards'!$B$2:$E$156,4,FALSE)</f>
        <v>0</v>
      </c>
      <c r="O4955" t="str">
        <f>CONCATENATE(Query1[[#This Row],[Description]]," - ",Query1[[#This Row],[MB1]]," - ",Query1[[#This Row],[MB2]]," - ",Query1[[#This Row],[MB3]])</f>
        <v>EVAP KIT 55-56 CHEVY - 830054 - 0 - 0</v>
      </c>
    </row>
    <row r="4956" spans="1:15" x14ac:dyDescent="0.25">
      <c r="A4956" s="1">
        <v>922227</v>
      </c>
      <c r="B4956" s="1" t="s">
        <v>502</v>
      </c>
      <c r="C4956" s="1" t="s">
        <v>503</v>
      </c>
      <c r="D4956" s="2">
        <v>44685.643187002315</v>
      </c>
      <c r="E4956" s="1" t="s">
        <v>677</v>
      </c>
      <c r="F4956" s="1">
        <v>1</v>
      </c>
      <c r="G4956" s="1">
        <v>0</v>
      </c>
      <c r="H4956" s="6">
        <f>INT(Query1[[#This Row],[EntryDateTime]])</f>
        <v>44685</v>
      </c>
      <c r="I4956" s="1">
        <f>IF(Query1[[#This Row],[ItemType]]="EVAP KIT SF GEN IV",Query1[[#This Row],[OrderQty]]+I4955,I4955)</f>
        <v>6096</v>
      </c>
      <c r="J4956" s="1">
        <f>IF(Query1[[#This Row],[ItemType]]="EVAP KIT UNIVERSAL",Query1[[#This Row],[OrderQty]]+J4955,J4955)</f>
        <v>1957</v>
      </c>
      <c r="K4956" s="1">
        <f>Query1[[#This Row],[SF Running Total]]+Query1[[#This Row],[UNIV Running Total]]</f>
        <v>8053</v>
      </c>
      <c r="L4956" t="e">
        <f>VLOOKUP(Query1[[#This Row],[Description]],'kits to boards'!$B$2:$E$156,2,FALSE)</f>
        <v>#N/A</v>
      </c>
      <c r="M4956" t="e">
        <f>VLOOKUP(Query1[[#This Row],[Description]],'kits to boards'!$B$2:$E$156,3,FALSE)</f>
        <v>#N/A</v>
      </c>
      <c r="N4956" t="e">
        <f>VLOOKUP(Query1[[#This Row],[Description]],'kits to boards'!$B$2:$E$156,4,FALSE)</f>
        <v>#N/A</v>
      </c>
      <c r="O4956" t="e">
        <f>CONCATENATE(Query1[[#This Row],[Description]]," - ",Query1[[#This Row],[MB1]]," - ",Query1[[#This Row],[MB2]]," - ",Query1[[#This Row],[MB3]])</f>
        <v>#N/A</v>
      </c>
    </row>
    <row r="4957" spans="1:15" x14ac:dyDescent="0.25">
      <c r="A4957" s="1">
        <v>922505</v>
      </c>
      <c r="B4957" s="1" t="s">
        <v>102</v>
      </c>
      <c r="C4957" s="1" t="s">
        <v>103</v>
      </c>
      <c r="D4957" s="2">
        <v>44685.645320289354</v>
      </c>
      <c r="E4957" s="1" t="s">
        <v>8</v>
      </c>
      <c r="F4957" s="1">
        <v>7</v>
      </c>
      <c r="G4957" s="1">
        <v>0</v>
      </c>
      <c r="H4957" s="6">
        <f>INT(Query1[[#This Row],[EntryDateTime]])</f>
        <v>44685</v>
      </c>
      <c r="I4957" s="1">
        <f>IF(Query1[[#This Row],[ItemType]]="EVAP KIT SF GEN IV",Query1[[#This Row],[OrderQty]]+I4956,I4956)</f>
        <v>6103</v>
      </c>
      <c r="J4957" s="1">
        <f>IF(Query1[[#This Row],[ItemType]]="EVAP KIT UNIVERSAL",Query1[[#This Row],[OrderQty]]+J4956,J4956)</f>
        <v>1957</v>
      </c>
      <c r="K4957" s="1">
        <f>Query1[[#This Row],[SF Running Total]]+Query1[[#This Row],[UNIV Running Total]]</f>
        <v>8060</v>
      </c>
      <c r="L4957">
        <f>VLOOKUP(Query1[[#This Row],[Description]],'kits to boards'!$B$2:$E$156,2,FALSE)</f>
        <v>830012</v>
      </c>
      <c r="M4957">
        <f>VLOOKUP(Query1[[#This Row],[Description]],'kits to boards'!$B$2:$E$156,3,FALSE)</f>
        <v>0</v>
      </c>
      <c r="N4957">
        <f>VLOOKUP(Query1[[#This Row],[Description]],'kits to boards'!$B$2:$E$156,4,FALSE)</f>
        <v>0</v>
      </c>
      <c r="O4957" t="str">
        <f>CONCATENATE(Query1[[#This Row],[Description]]," - ",Query1[[#This Row],[MB1]]," - ",Query1[[#This Row],[MB2]]," - ",Query1[[#This Row],[MB3]])</f>
        <v>EVAP KIT 69 CAMARO WO/AC - 830012 - 0 - 0</v>
      </c>
    </row>
    <row r="4958" spans="1:15" x14ac:dyDescent="0.25">
      <c r="A4958" s="1">
        <v>922505</v>
      </c>
      <c r="B4958" s="1" t="s">
        <v>56</v>
      </c>
      <c r="C4958" s="1" t="s">
        <v>57</v>
      </c>
      <c r="D4958" s="2">
        <v>44685.645322372686</v>
      </c>
      <c r="E4958" s="1" t="s">
        <v>8</v>
      </c>
      <c r="F4958" s="1">
        <v>6</v>
      </c>
      <c r="G4958" s="1">
        <v>0</v>
      </c>
      <c r="H4958" s="6">
        <f>INT(Query1[[#This Row],[EntryDateTime]])</f>
        <v>44685</v>
      </c>
      <c r="I4958" s="1">
        <f>IF(Query1[[#This Row],[ItemType]]="EVAP KIT SF GEN IV",Query1[[#This Row],[OrderQty]]+I4957,I4957)</f>
        <v>6109</v>
      </c>
      <c r="J4958" s="1">
        <f>IF(Query1[[#This Row],[ItemType]]="EVAP KIT UNIVERSAL",Query1[[#This Row],[OrderQty]]+J4957,J4957)</f>
        <v>1957</v>
      </c>
      <c r="K4958" s="1">
        <f>Query1[[#This Row],[SF Running Total]]+Query1[[#This Row],[UNIV Running Total]]</f>
        <v>8066</v>
      </c>
      <c r="L4958">
        <f>VLOOKUP(Query1[[#This Row],[Description]],'kits to boards'!$B$2:$E$156,2,FALSE)</f>
        <v>830011</v>
      </c>
      <c r="M4958">
        <f>VLOOKUP(Query1[[#This Row],[Description]],'kits to boards'!$B$2:$E$156,3,FALSE)</f>
        <v>0</v>
      </c>
      <c r="N4958">
        <f>VLOOKUP(Query1[[#This Row],[Description]],'kits to boards'!$B$2:$E$156,4,FALSE)</f>
        <v>0</v>
      </c>
      <c r="O4958" t="str">
        <f>CONCATENATE(Query1[[#This Row],[Description]]," - ",Query1[[#This Row],[MB1]]," - ",Query1[[#This Row],[MB2]]," - ",Query1[[#This Row],[MB3]])</f>
        <v>EVAP KIT 70-72 CHEVELLE W/AC - 830011 - 0 - 0</v>
      </c>
    </row>
    <row r="4959" spans="1:15" x14ac:dyDescent="0.25">
      <c r="A4959" s="1">
        <v>922505</v>
      </c>
      <c r="B4959" s="1" t="s">
        <v>22</v>
      </c>
      <c r="C4959" s="1" t="s">
        <v>23</v>
      </c>
      <c r="D4959" s="2">
        <v>44685.645329363426</v>
      </c>
      <c r="E4959" s="1" t="s">
        <v>8</v>
      </c>
      <c r="F4959" s="1">
        <v>23</v>
      </c>
      <c r="G4959" s="1">
        <v>0</v>
      </c>
      <c r="H4959" s="6">
        <f>INT(Query1[[#This Row],[EntryDateTime]])</f>
        <v>44685</v>
      </c>
      <c r="I4959" s="1">
        <f>IF(Query1[[#This Row],[ItemType]]="EVAP KIT SF GEN IV",Query1[[#This Row],[OrderQty]]+I4958,I4958)</f>
        <v>6132</v>
      </c>
      <c r="J4959" s="1">
        <f>IF(Query1[[#This Row],[ItemType]]="EVAP KIT UNIVERSAL",Query1[[#This Row],[OrderQty]]+J4958,J4958)</f>
        <v>1957</v>
      </c>
      <c r="K4959" s="1">
        <f>Query1[[#This Row],[SF Running Total]]+Query1[[#This Row],[UNIV Running Total]]</f>
        <v>8089</v>
      </c>
      <c r="L4959">
        <f>VLOOKUP(Query1[[#This Row],[Description]],'kits to boards'!$B$2:$E$156,2,FALSE)</f>
        <v>830083</v>
      </c>
      <c r="M4959">
        <f>VLOOKUP(Query1[[#This Row],[Description]],'kits to boards'!$B$2:$E$156,3,FALSE)</f>
        <v>0</v>
      </c>
      <c r="N4959">
        <f>VLOOKUP(Query1[[#This Row],[Description]],'kits to boards'!$B$2:$E$156,4,FALSE)</f>
        <v>0</v>
      </c>
      <c r="O4959" t="str">
        <f>CONCATENATE(Query1[[#This Row],[Description]]," - ",Query1[[#This Row],[MB1]]," - ",Query1[[#This Row],[MB2]]," - ",Query1[[#This Row],[MB3]])</f>
        <v>GEN IV MAGNUM EVAP KIT - 830083 - 0 - 0</v>
      </c>
    </row>
    <row r="4960" spans="1:15" x14ac:dyDescent="0.25">
      <c r="A4960" s="1">
        <v>922505</v>
      </c>
      <c r="B4960" s="1" t="s">
        <v>104</v>
      </c>
      <c r="C4960" s="1" t="s">
        <v>105</v>
      </c>
      <c r="D4960" s="2">
        <v>44685.645331134256</v>
      </c>
      <c r="E4960" s="1" t="s">
        <v>11</v>
      </c>
      <c r="F4960" s="1">
        <v>12</v>
      </c>
      <c r="G4960" s="1">
        <v>0</v>
      </c>
      <c r="H4960" s="6">
        <f>INT(Query1[[#This Row],[EntryDateTime]])</f>
        <v>44685</v>
      </c>
      <c r="I4960" s="1">
        <f>IF(Query1[[#This Row],[ItemType]]="EVAP KIT SF GEN IV",Query1[[#This Row],[OrderQty]]+I4959,I4959)</f>
        <v>6132</v>
      </c>
      <c r="J4960" s="1">
        <f>IF(Query1[[#This Row],[ItemType]]="EVAP KIT UNIVERSAL",Query1[[#This Row],[OrderQty]]+J4959,J4959)</f>
        <v>1969</v>
      </c>
      <c r="K4960" s="1">
        <f>Query1[[#This Row],[SF Running Total]]+Query1[[#This Row],[UNIV Running Total]]</f>
        <v>8101</v>
      </c>
      <c r="L4960">
        <f>VLOOKUP(Query1[[#This Row],[Description]],'kits to boards'!$B$2:$E$156,2,FALSE)</f>
        <v>0</v>
      </c>
      <c r="M4960">
        <f>VLOOKUP(Query1[[#This Row],[Description]],'kits to boards'!$B$2:$E$156,3,FALSE)</f>
        <v>0</v>
      </c>
      <c r="N4960">
        <f>VLOOKUP(Query1[[#This Row],[Description]],'kits to boards'!$B$2:$E$156,4,FALSE)</f>
        <v>0</v>
      </c>
      <c r="O4960" t="str">
        <f>CONCATENATE(Query1[[#This Row],[Description]]," - ",Query1[[#This Row],[MB1]]," - ",Query1[[#This Row],[MB2]]," - ",Query1[[#This Row],[MB3]])</f>
        <v>HERITAGE BRUSHED EVAP KIT HEAT/COOL - 0 - 0 - 0</v>
      </c>
    </row>
    <row r="4961" spans="1:15" x14ac:dyDescent="0.25">
      <c r="A4961" s="1">
        <v>922505</v>
      </c>
      <c r="B4961" s="1" t="s">
        <v>138</v>
      </c>
      <c r="C4961" s="1" t="s">
        <v>139</v>
      </c>
      <c r="D4961" s="2">
        <v>44685.645332905093</v>
      </c>
      <c r="E4961" s="1" t="s">
        <v>11</v>
      </c>
      <c r="F4961" s="1">
        <v>2</v>
      </c>
      <c r="G4961" s="1">
        <v>0</v>
      </c>
      <c r="H4961" s="6">
        <f>INT(Query1[[#This Row],[EntryDateTime]])</f>
        <v>44685</v>
      </c>
      <c r="I4961" s="1">
        <f>IF(Query1[[#This Row],[ItemType]]="EVAP KIT SF GEN IV",Query1[[#This Row],[OrderQty]]+I4960,I4960)</f>
        <v>6132</v>
      </c>
      <c r="J4961" s="1">
        <f>IF(Query1[[#This Row],[ItemType]]="EVAP KIT UNIVERSAL",Query1[[#This Row],[OrderQty]]+J4960,J4960)</f>
        <v>1971</v>
      </c>
      <c r="K4961" s="1">
        <f>Query1[[#This Row],[SF Running Total]]+Query1[[#This Row],[UNIV Running Total]]</f>
        <v>8103</v>
      </c>
      <c r="L4961">
        <f>VLOOKUP(Query1[[#This Row],[Description]],'kits to boards'!$B$2:$E$156,2,FALSE)</f>
        <v>0</v>
      </c>
      <c r="M4961">
        <f>VLOOKUP(Query1[[#This Row],[Description]],'kits to boards'!$B$2:$E$156,3,FALSE)</f>
        <v>0</v>
      </c>
      <c r="N4961">
        <f>VLOOKUP(Query1[[#This Row],[Description]],'kits to boards'!$B$2:$E$156,4,FALSE)</f>
        <v>0</v>
      </c>
      <c r="O4961" t="str">
        <f>CONCATENATE(Query1[[#This Row],[Description]]," - ",Query1[[#This Row],[MB1]]," - ",Query1[[#This Row],[MB2]]," - ",Query1[[#This Row],[MB3]])</f>
        <v>HERITAGE TURNED BLACK EVAP KIT HEAT/COOL - 0 - 0 - 0</v>
      </c>
    </row>
    <row r="4962" spans="1:15" x14ac:dyDescent="0.25">
      <c r="A4962" s="1">
        <v>922505</v>
      </c>
      <c r="B4962" s="1" t="s">
        <v>58</v>
      </c>
      <c r="C4962" s="1" t="s">
        <v>59</v>
      </c>
      <c r="D4962" s="2">
        <v>44685.645334687499</v>
      </c>
      <c r="E4962" s="1" t="s">
        <v>11</v>
      </c>
      <c r="F4962" s="1">
        <v>6</v>
      </c>
      <c r="G4962" s="1">
        <v>0</v>
      </c>
      <c r="H4962" s="6">
        <f>INT(Query1[[#This Row],[EntryDateTime]])</f>
        <v>44685</v>
      </c>
      <c r="I4962" s="1">
        <f>IF(Query1[[#This Row],[ItemType]]="EVAP KIT SF GEN IV",Query1[[#This Row],[OrderQty]]+I4961,I4961)</f>
        <v>6132</v>
      </c>
      <c r="J4962" s="1">
        <f>IF(Query1[[#This Row],[ItemType]]="EVAP KIT UNIVERSAL",Query1[[#This Row],[OrderQty]]+J4961,J4961)</f>
        <v>1977</v>
      </c>
      <c r="K4962" s="1">
        <f>Query1[[#This Row],[SF Running Total]]+Query1[[#This Row],[UNIV Running Total]]</f>
        <v>8109</v>
      </c>
      <c r="L4962">
        <f>VLOOKUP(Query1[[#This Row],[Description]],'kits to boards'!$B$2:$E$156,2,FALSE)</f>
        <v>830088</v>
      </c>
      <c r="M4962">
        <f>VLOOKUP(Query1[[#This Row],[Description]],'kits to boards'!$B$2:$E$156,3,FALSE)</f>
        <v>830099</v>
      </c>
      <c r="N4962">
        <f>VLOOKUP(Query1[[#This Row],[Description]],'kits to boards'!$B$2:$E$156,4,FALSE)</f>
        <v>0</v>
      </c>
      <c r="O4962" t="str">
        <f>CONCATENATE(Query1[[#This Row],[Description]]," - ",Query1[[#This Row],[MB1]]," - ",Query1[[#This Row],[MB2]]," - ",Query1[[#This Row],[MB3]])</f>
        <v>MONSTER TRUNK UNIT COOL - 830088 - 830099 - 0</v>
      </c>
    </row>
    <row r="4963" spans="1:15" x14ac:dyDescent="0.25">
      <c r="A4963" s="1">
        <v>922505</v>
      </c>
      <c r="B4963" s="1" t="s">
        <v>106</v>
      </c>
      <c r="C4963" s="1" t="s">
        <v>107</v>
      </c>
      <c r="D4963" s="2">
        <v>44685.645339155089</v>
      </c>
      <c r="E4963" s="1" t="s">
        <v>8</v>
      </c>
      <c r="F4963" s="1">
        <v>8</v>
      </c>
      <c r="G4963" s="1">
        <v>0</v>
      </c>
      <c r="H4963" s="6">
        <f>INT(Query1[[#This Row],[EntryDateTime]])</f>
        <v>44685</v>
      </c>
      <c r="I4963" s="1">
        <f>IF(Query1[[#This Row],[ItemType]]="EVAP KIT SF GEN IV",Query1[[#This Row],[OrderQty]]+I4962,I4962)</f>
        <v>6140</v>
      </c>
      <c r="J4963" s="1">
        <f>IF(Query1[[#This Row],[ItemType]]="EVAP KIT UNIVERSAL",Query1[[#This Row],[OrderQty]]+J4962,J4962)</f>
        <v>1977</v>
      </c>
      <c r="K4963" s="1">
        <f>Query1[[#This Row],[SF Running Total]]+Query1[[#This Row],[UNIV Running Total]]</f>
        <v>8117</v>
      </c>
      <c r="L4963">
        <f>VLOOKUP(Query1[[#This Row],[Description]],'kits to boards'!$B$2:$E$156,2,FALSE)</f>
        <v>830028</v>
      </c>
      <c r="M4963">
        <f>VLOOKUP(Query1[[#This Row],[Description]],'kits to boards'!$B$2:$E$156,3,FALSE)</f>
        <v>0</v>
      </c>
      <c r="N4963">
        <f>VLOOKUP(Query1[[#This Row],[Description]],'kits to boards'!$B$2:$E$156,4,FALSE)</f>
        <v>0</v>
      </c>
      <c r="O4963" t="str">
        <f>CONCATENATE(Query1[[#This Row],[Description]]," - ",Query1[[#This Row],[MB1]]," - ",Query1[[#This Row],[MB2]]," - ",Query1[[#This Row],[MB3]])</f>
        <v>EVAP KIT 55-59 CHEV P-UP WO AC W/DELX - 830028 - 0 - 0</v>
      </c>
    </row>
    <row r="4964" spans="1:15" x14ac:dyDescent="0.25">
      <c r="A4964" s="1">
        <v>922506</v>
      </c>
      <c r="B4964" s="1" t="s">
        <v>102</v>
      </c>
      <c r="C4964" s="1" t="s">
        <v>103</v>
      </c>
      <c r="D4964" s="2">
        <v>44685.64594603009</v>
      </c>
      <c r="E4964" s="1" t="s">
        <v>8</v>
      </c>
      <c r="F4964" s="1">
        <v>1</v>
      </c>
      <c r="G4964" s="1">
        <v>0</v>
      </c>
      <c r="H4964" s="6">
        <f>INT(Query1[[#This Row],[EntryDateTime]])</f>
        <v>44685</v>
      </c>
      <c r="I4964" s="1">
        <f>IF(Query1[[#This Row],[ItemType]]="EVAP KIT SF GEN IV",Query1[[#This Row],[OrderQty]]+I4963,I4963)</f>
        <v>6141</v>
      </c>
      <c r="J4964" s="1">
        <f>IF(Query1[[#This Row],[ItemType]]="EVAP KIT UNIVERSAL",Query1[[#This Row],[OrderQty]]+J4963,J4963)</f>
        <v>1977</v>
      </c>
      <c r="K4964" s="1">
        <f>Query1[[#This Row],[SF Running Total]]+Query1[[#This Row],[UNIV Running Total]]</f>
        <v>8118</v>
      </c>
      <c r="L4964">
        <f>VLOOKUP(Query1[[#This Row],[Description]],'kits to boards'!$B$2:$E$156,2,FALSE)</f>
        <v>830012</v>
      </c>
      <c r="M4964">
        <f>VLOOKUP(Query1[[#This Row],[Description]],'kits to boards'!$B$2:$E$156,3,FALSE)</f>
        <v>0</v>
      </c>
      <c r="N4964">
        <f>VLOOKUP(Query1[[#This Row],[Description]],'kits to boards'!$B$2:$E$156,4,FALSE)</f>
        <v>0</v>
      </c>
      <c r="O4964" t="str">
        <f>CONCATENATE(Query1[[#This Row],[Description]]," - ",Query1[[#This Row],[MB1]]," - ",Query1[[#This Row],[MB2]]," - ",Query1[[#This Row],[MB3]])</f>
        <v>EVAP KIT 69 CAMARO WO/AC - 830012 - 0 - 0</v>
      </c>
    </row>
    <row r="4965" spans="1:15" x14ac:dyDescent="0.25">
      <c r="A4965" s="1">
        <v>922507</v>
      </c>
      <c r="B4965" s="1" t="s">
        <v>60</v>
      </c>
      <c r="C4965" s="1" t="s">
        <v>61</v>
      </c>
      <c r="D4965" s="2">
        <v>44685.647606597224</v>
      </c>
      <c r="E4965" s="1" t="s">
        <v>8</v>
      </c>
      <c r="F4965" s="1">
        <v>3</v>
      </c>
      <c r="G4965" s="1">
        <v>0</v>
      </c>
      <c r="H4965" s="6">
        <f>INT(Query1[[#This Row],[EntryDateTime]])</f>
        <v>44685</v>
      </c>
      <c r="I4965" s="1">
        <f>IF(Query1[[#This Row],[ItemType]]="EVAP KIT SF GEN IV",Query1[[#This Row],[OrderQty]]+I4964,I4964)</f>
        <v>6144</v>
      </c>
      <c r="J4965" s="1">
        <f>IF(Query1[[#This Row],[ItemType]]="EVAP KIT UNIVERSAL",Query1[[#This Row],[OrderQty]]+J4964,J4964)</f>
        <v>1977</v>
      </c>
      <c r="K4965" s="1">
        <f>Query1[[#This Row],[SF Running Total]]+Query1[[#This Row],[UNIV Running Total]]</f>
        <v>8121</v>
      </c>
      <c r="L4965">
        <f>VLOOKUP(Query1[[#This Row],[Description]],'kits to boards'!$B$2:$E$156,2,FALSE)</f>
        <v>830062</v>
      </c>
      <c r="M4965">
        <f>VLOOKUP(Query1[[#This Row],[Description]],'kits to boards'!$B$2:$E$156,3,FALSE)</f>
        <v>0</v>
      </c>
      <c r="N4965">
        <f>VLOOKUP(Query1[[#This Row],[Description]],'kits to boards'!$B$2:$E$156,4,FALSE)</f>
        <v>0</v>
      </c>
      <c r="O4965" t="str">
        <f>CONCATENATE(Query1[[#This Row],[Description]]," - ",Query1[[#This Row],[MB1]]," - ",Query1[[#This Row],[MB2]]," - ",Query1[[#This Row],[MB3]])</f>
        <v>EVAP KIT 68-69 CHEVELLE WO AC - 830062 - 0 - 0</v>
      </c>
    </row>
    <row r="4966" spans="1:15" x14ac:dyDescent="0.25">
      <c r="A4966" s="1">
        <v>922507</v>
      </c>
      <c r="B4966" s="1" t="s">
        <v>80</v>
      </c>
      <c r="C4966" s="1" t="s">
        <v>81</v>
      </c>
      <c r="D4966" s="2">
        <v>44685.647614085647</v>
      </c>
      <c r="E4966" s="1" t="s">
        <v>11</v>
      </c>
      <c r="F4966" s="1">
        <v>4</v>
      </c>
      <c r="G4966" s="1">
        <v>0</v>
      </c>
      <c r="H4966" s="6">
        <f>INT(Query1[[#This Row],[EntryDateTime]])</f>
        <v>44685</v>
      </c>
      <c r="I4966" s="1">
        <f>IF(Query1[[#This Row],[ItemType]]="EVAP KIT SF GEN IV",Query1[[#This Row],[OrderQty]]+I4965,I4965)</f>
        <v>6144</v>
      </c>
      <c r="J4966" s="1">
        <f>IF(Query1[[#This Row],[ItemType]]="EVAP KIT UNIVERSAL",Query1[[#This Row],[OrderQty]]+J4965,J4965)</f>
        <v>1981</v>
      </c>
      <c r="K4966" s="1">
        <f>Query1[[#This Row],[SF Running Total]]+Query1[[#This Row],[UNIV Running Total]]</f>
        <v>8125</v>
      </c>
      <c r="L4966">
        <f>VLOOKUP(Query1[[#This Row],[Description]],'kits to boards'!$B$2:$E$156,2,FALSE)</f>
        <v>0</v>
      </c>
      <c r="M4966">
        <f>VLOOKUP(Query1[[#This Row],[Description]],'kits to boards'!$B$2:$E$156,3,FALSE)</f>
        <v>0</v>
      </c>
      <c r="N4966">
        <f>VLOOKUP(Query1[[#This Row],[Description]],'kits to boards'!$B$2:$E$156,4,FALSE)</f>
        <v>0</v>
      </c>
      <c r="O4966" t="str">
        <f>CONCATENATE(Query1[[#This Row],[Description]]," - ",Query1[[#This Row],[MB1]]," - ",Query1[[#This Row],[MB2]]," - ",Query1[[#This Row],[MB3]])</f>
        <v>HERITAGE BRUSHED EVAP KIT COOL ONLY - 0 - 0 - 0</v>
      </c>
    </row>
    <row r="4967" spans="1:15" x14ac:dyDescent="0.25">
      <c r="A4967" s="1">
        <v>922507</v>
      </c>
      <c r="B4967" s="1" t="s">
        <v>42</v>
      </c>
      <c r="C4967" s="1" t="s">
        <v>43</v>
      </c>
      <c r="D4967" s="2">
        <v>44685.647621724536</v>
      </c>
      <c r="E4967" s="1" t="s">
        <v>8</v>
      </c>
      <c r="F4967" s="1">
        <v>7</v>
      </c>
      <c r="G4967" s="1">
        <v>0</v>
      </c>
      <c r="H4967" s="6">
        <f>INT(Query1[[#This Row],[EntryDateTime]])</f>
        <v>44685</v>
      </c>
      <c r="I4967" s="1">
        <f>IF(Query1[[#This Row],[ItemType]]="EVAP KIT SF GEN IV",Query1[[#This Row],[OrderQty]]+I4966,I4966)</f>
        <v>6151</v>
      </c>
      <c r="J4967" s="1">
        <f>IF(Query1[[#This Row],[ItemType]]="EVAP KIT UNIVERSAL",Query1[[#This Row],[OrderQty]]+J4966,J4966)</f>
        <v>1981</v>
      </c>
      <c r="K4967" s="1">
        <f>Query1[[#This Row],[SF Running Total]]+Query1[[#This Row],[UNIV Running Total]]</f>
        <v>8132</v>
      </c>
      <c r="L4967">
        <f>VLOOKUP(Query1[[#This Row],[Description]],'kits to boards'!$B$2:$E$156,2,FALSE)</f>
        <v>830014</v>
      </c>
      <c r="M4967">
        <f>VLOOKUP(Query1[[#This Row],[Description]],'kits to boards'!$B$2:$E$156,3,FALSE)</f>
        <v>0</v>
      </c>
      <c r="N4967">
        <f>VLOOKUP(Query1[[#This Row],[Description]],'kits to boards'!$B$2:$E$156,4,FALSE)</f>
        <v>0</v>
      </c>
      <c r="O4967" t="str">
        <f>CONCATENATE(Query1[[#This Row],[Description]]," - ",Query1[[#This Row],[MB1]]," - ",Query1[[#This Row],[MB2]]," - ",Query1[[#This Row],[MB3]])</f>
        <v>EVAP KIT 67-72 CHEV P-UP WO AC - 830014 - 0 - 0</v>
      </c>
    </row>
    <row r="4968" spans="1:15" x14ac:dyDescent="0.25">
      <c r="A4968" s="1">
        <v>920872</v>
      </c>
      <c r="B4968" s="1" t="s">
        <v>70</v>
      </c>
      <c r="C4968" s="1" t="s">
        <v>71</v>
      </c>
      <c r="D4968" s="2">
        <v>44685.650619907407</v>
      </c>
      <c r="E4968" s="1" t="s">
        <v>8</v>
      </c>
      <c r="F4968" s="1">
        <v>1</v>
      </c>
      <c r="G4968" s="1">
        <v>0</v>
      </c>
      <c r="H4968" s="6">
        <f>INT(Query1[[#This Row],[EntryDateTime]])</f>
        <v>44685</v>
      </c>
      <c r="I4968" s="1">
        <f>IF(Query1[[#This Row],[ItemType]]="EVAP KIT SF GEN IV",Query1[[#This Row],[OrderQty]]+I4967,I4967)</f>
        <v>6152</v>
      </c>
      <c r="J4968" s="1">
        <f>IF(Query1[[#This Row],[ItemType]]="EVAP KIT UNIVERSAL",Query1[[#This Row],[OrderQty]]+J4967,J4967)</f>
        <v>1981</v>
      </c>
      <c r="K4968" s="1">
        <f>Query1[[#This Row],[SF Running Total]]+Query1[[#This Row],[UNIV Running Total]]</f>
        <v>8133</v>
      </c>
      <c r="L4968">
        <f>VLOOKUP(Query1[[#This Row],[Description]],'kits to boards'!$B$2:$E$156,2,FALSE)</f>
        <v>830050</v>
      </c>
      <c r="M4968">
        <f>VLOOKUP(Query1[[#This Row],[Description]],'kits to boards'!$B$2:$E$156,3,FALSE)</f>
        <v>0</v>
      </c>
      <c r="N4968">
        <f>VLOOKUP(Query1[[#This Row],[Description]],'kits to boards'!$B$2:$E$156,4,FALSE)</f>
        <v>0</v>
      </c>
      <c r="O4968" t="str">
        <f>CONCATENATE(Query1[[#This Row],[Description]]," - ",Query1[[#This Row],[MB1]]," - ",Query1[[#This Row],[MB2]]," - ",Query1[[#This Row],[MB3]])</f>
        <v>EVAP KIT 70-78 CAMARO WO AC - 830050 - 0 - 0</v>
      </c>
    </row>
    <row r="4969" spans="1:15" x14ac:dyDescent="0.25">
      <c r="A4969" s="1">
        <v>922508</v>
      </c>
      <c r="B4969" s="1" t="s">
        <v>152</v>
      </c>
      <c r="C4969" s="1" t="s">
        <v>153</v>
      </c>
      <c r="D4969" s="2">
        <v>44685.651124456017</v>
      </c>
      <c r="E4969" s="1" t="s">
        <v>8</v>
      </c>
      <c r="F4969" s="1">
        <v>1</v>
      </c>
      <c r="G4969" s="1">
        <v>0</v>
      </c>
      <c r="H4969" s="6">
        <f>INT(Query1[[#This Row],[EntryDateTime]])</f>
        <v>44685</v>
      </c>
      <c r="I4969" s="1">
        <f>IF(Query1[[#This Row],[ItemType]]="EVAP KIT SF GEN IV",Query1[[#This Row],[OrderQty]]+I4968,I4968)</f>
        <v>6153</v>
      </c>
      <c r="J4969" s="1">
        <f>IF(Query1[[#This Row],[ItemType]]="EVAP KIT UNIVERSAL",Query1[[#This Row],[OrderQty]]+J4968,J4968)</f>
        <v>1981</v>
      </c>
      <c r="K4969" s="1">
        <f>Query1[[#This Row],[SF Running Total]]+Query1[[#This Row],[UNIV Running Total]]</f>
        <v>8134</v>
      </c>
      <c r="L4969">
        <f>VLOOKUP(Query1[[#This Row],[Description]],'kits to boards'!$B$2:$E$156,2,FALSE)</f>
        <v>830034</v>
      </c>
      <c r="M4969">
        <f>VLOOKUP(Query1[[#This Row],[Description]],'kits to boards'!$B$2:$E$156,3,FALSE)</f>
        <v>0</v>
      </c>
      <c r="N4969">
        <f>VLOOKUP(Query1[[#This Row],[Description]],'kits to boards'!$B$2:$E$156,4,FALSE)</f>
        <v>0</v>
      </c>
      <c r="O4969" t="str">
        <f>CONCATENATE(Query1[[#This Row],[Description]]," - ",Query1[[#This Row],[MB1]]," - ",Query1[[#This Row],[MB2]]," - ",Query1[[#This Row],[MB3]])</f>
        <v>EVAP KIT 64-67 GTO WO AC - 830034 - 0 - 0</v>
      </c>
    </row>
    <row r="4970" spans="1:15" x14ac:dyDescent="0.25">
      <c r="A4970" s="1">
        <v>922508</v>
      </c>
      <c r="B4970" s="1" t="s">
        <v>38</v>
      </c>
      <c r="C4970" s="1" t="s">
        <v>39</v>
      </c>
      <c r="D4970" s="2">
        <v>44685.651128043981</v>
      </c>
      <c r="E4970" s="1" t="s">
        <v>8</v>
      </c>
      <c r="F4970" s="1">
        <v>4</v>
      </c>
      <c r="G4970" s="1">
        <v>0</v>
      </c>
      <c r="H4970" s="6">
        <f>INT(Query1[[#This Row],[EntryDateTime]])</f>
        <v>44685</v>
      </c>
      <c r="I4970" s="1">
        <f>IF(Query1[[#This Row],[ItemType]]="EVAP KIT SF GEN IV",Query1[[#This Row],[OrderQty]]+I4969,I4969)</f>
        <v>6157</v>
      </c>
      <c r="J4970" s="1">
        <f>IF(Query1[[#This Row],[ItemType]]="EVAP KIT UNIVERSAL",Query1[[#This Row],[OrderQty]]+J4969,J4969)</f>
        <v>1981</v>
      </c>
      <c r="K4970" s="1">
        <f>Query1[[#This Row],[SF Running Total]]+Query1[[#This Row],[UNIV Running Total]]</f>
        <v>8138</v>
      </c>
      <c r="L4970">
        <f>VLOOKUP(Query1[[#This Row],[Description]],'kits to boards'!$B$2:$E$156,2,FALSE)</f>
        <v>830012</v>
      </c>
      <c r="M4970">
        <f>VLOOKUP(Query1[[#This Row],[Description]],'kits to boards'!$B$2:$E$156,3,FALSE)</f>
        <v>0</v>
      </c>
      <c r="N4970">
        <f>VLOOKUP(Query1[[#This Row],[Description]],'kits to boards'!$B$2:$E$156,4,FALSE)</f>
        <v>0</v>
      </c>
      <c r="O4970" t="str">
        <f>CONCATENATE(Query1[[#This Row],[Description]]," - ",Query1[[#This Row],[MB1]]," - ",Query1[[#This Row],[MB2]]," - ",Query1[[#This Row],[MB3]])</f>
        <v>EVAP KIT 69 CAMARO W/AC - 830012 - 0 - 0</v>
      </c>
    </row>
    <row r="4971" spans="1:15" x14ac:dyDescent="0.25">
      <c r="A4971" s="1">
        <v>922508</v>
      </c>
      <c r="B4971" s="1" t="s">
        <v>26</v>
      </c>
      <c r="C4971" s="1" t="s">
        <v>27</v>
      </c>
      <c r="D4971" s="2">
        <v>44685.651139236114</v>
      </c>
      <c r="E4971" s="1" t="s">
        <v>8</v>
      </c>
      <c r="F4971" s="1">
        <v>4</v>
      </c>
      <c r="G4971" s="1">
        <v>0</v>
      </c>
      <c r="H4971" s="6">
        <f>INT(Query1[[#This Row],[EntryDateTime]])</f>
        <v>44685</v>
      </c>
      <c r="I4971" s="1">
        <f>IF(Query1[[#This Row],[ItemType]]="EVAP KIT SF GEN IV",Query1[[#This Row],[OrderQty]]+I4970,I4970)</f>
        <v>6161</v>
      </c>
      <c r="J4971" s="1">
        <f>IF(Query1[[#This Row],[ItemType]]="EVAP KIT UNIVERSAL",Query1[[#This Row],[OrderQty]]+J4970,J4970)</f>
        <v>1981</v>
      </c>
      <c r="K4971" s="1">
        <f>Query1[[#This Row],[SF Running Total]]+Query1[[#This Row],[UNIV Running Total]]</f>
        <v>8142</v>
      </c>
      <c r="L4971">
        <f>VLOOKUP(Query1[[#This Row],[Description]],'kits to boards'!$B$2:$E$156,2,FALSE)</f>
        <v>830013</v>
      </c>
      <c r="M4971">
        <f>VLOOKUP(Query1[[#This Row],[Description]],'kits to boards'!$B$2:$E$156,3,FALSE)</f>
        <v>0</v>
      </c>
      <c r="N4971">
        <f>VLOOKUP(Query1[[#This Row],[Description]],'kits to boards'!$B$2:$E$156,4,FALSE)</f>
        <v>0</v>
      </c>
      <c r="O4971" t="str">
        <f>CONCATENATE(Query1[[#This Row],[Description]]," - ",Query1[[#This Row],[MB1]]," - ",Query1[[#This Row],[MB2]]," - ",Query1[[#This Row],[MB3]])</f>
        <v>EVAP KIT 67-72 CHEV P-UP W/AC - 830013 - 0 - 0</v>
      </c>
    </row>
    <row r="4972" spans="1:15" x14ac:dyDescent="0.25">
      <c r="A4972" s="1">
        <v>922508</v>
      </c>
      <c r="B4972" s="1" t="s">
        <v>28</v>
      </c>
      <c r="C4972" s="1" t="s">
        <v>29</v>
      </c>
      <c r="D4972" s="2">
        <v>44685.651142824077</v>
      </c>
      <c r="E4972" s="1" t="s">
        <v>8</v>
      </c>
      <c r="F4972" s="1">
        <v>2</v>
      </c>
      <c r="G4972" s="1">
        <v>0</v>
      </c>
      <c r="H4972" s="6">
        <f>INT(Query1[[#This Row],[EntryDateTime]])</f>
        <v>44685</v>
      </c>
      <c r="I4972" s="1">
        <f>IF(Query1[[#This Row],[ItemType]]="EVAP KIT SF GEN IV",Query1[[#This Row],[OrderQty]]+I4971,I4971)</f>
        <v>6163</v>
      </c>
      <c r="J4972" s="1">
        <f>IF(Query1[[#This Row],[ItemType]]="EVAP KIT UNIVERSAL",Query1[[#This Row],[OrderQty]]+J4971,J4971)</f>
        <v>1981</v>
      </c>
      <c r="K4972" s="1">
        <f>Query1[[#This Row],[SF Running Total]]+Query1[[#This Row],[UNIV Running Total]]</f>
        <v>8144</v>
      </c>
      <c r="L4972">
        <f>VLOOKUP(Query1[[#This Row],[Description]],'kits to boards'!$B$2:$E$156,2,FALSE)</f>
        <v>830001</v>
      </c>
      <c r="M4972">
        <f>VLOOKUP(Query1[[#This Row],[Description]],'kits to boards'!$B$2:$E$156,3,FALSE)</f>
        <v>0</v>
      </c>
      <c r="N4972">
        <f>VLOOKUP(Query1[[#This Row],[Description]],'kits to boards'!$B$2:$E$156,4,FALSE)</f>
        <v>0</v>
      </c>
      <c r="O4972" t="str">
        <f>CONCATENATE(Query1[[#This Row],[Description]]," - ",Query1[[#This Row],[MB1]]," - ",Query1[[#This Row],[MB2]]," - ",Query1[[#This Row],[MB3]])</f>
        <v>EVAP KIT 73-80 CHEV P-UP W/AC - 830001 - 0 - 0</v>
      </c>
    </row>
    <row r="4973" spans="1:15" x14ac:dyDescent="0.25">
      <c r="A4973" s="1">
        <v>922510</v>
      </c>
      <c r="B4973" s="1" t="s">
        <v>90</v>
      </c>
      <c r="C4973" s="1" t="s">
        <v>91</v>
      </c>
      <c r="D4973" s="2">
        <v>44685.652775613424</v>
      </c>
      <c r="E4973" s="1" t="s">
        <v>8</v>
      </c>
      <c r="F4973" s="1">
        <v>5</v>
      </c>
      <c r="G4973" s="1">
        <v>0</v>
      </c>
      <c r="H4973" s="6">
        <f>INT(Query1[[#This Row],[EntryDateTime]])</f>
        <v>44685</v>
      </c>
      <c r="I4973" s="1">
        <f>IF(Query1[[#This Row],[ItemType]]="EVAP KIT SF GEN IV",Query1[[#This Row],[OrderQty]]+I4972,I4972)</f>
        <v>6168</v>
      </c>
      <c r="J4973" s="1">
        <f>IF(Query1[[#This Row],[ItemType]]="EVAP KIT UNIVERSAL",Query1[[#This Row],[OrderQty]]+J4972,J4972)</f>
        <v>1981</v>
      </c>
      <c r="K4973" s="1">
        <f>Query1[[#This Row],[SF Running Total]]+Query1[[#This Row],[UNIV Running Total]]</f>
        <v>8149</v>
      </c>
      <c r="L4973">
        <f>VLOOKUP(Query1[[#This Row],[Description]],'kits to boards'!$B$2:$E$156,2,FALSE)</f>
        <v>830105</v>
      </c>
      <c r="M4973">
        <f>VLOOKUP(Query1[[#This Row],[Description]],'kits to boards'!$B$2:$E$156,3,FALSE)</f>
        <v>830106</v>
      </c>
      <c r="N4973">
        <f>VLOOKUP(Query1[[#This Row],[Description]],'kits to boards'!$B$2:$E$156,4,FALSE)</f>
        <v>0</v>
      </c>
      <c r="O4973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4974" spans="1:15" x14ac:dyDescent="0.25">
      <c r="A4974" s="1">
        <v>922513</v>
      </c>
      <c r="B4974" s="1" t="s">
        <v>212</v>
      </c>
      <c r="C4974" s="1" t="s">
        <v>213</v>
      </c>
      <c r="D4974" s="2">
        <v>44685.655649803244</v>
      </c>
      <c r="E4974" s="1" t="s">
        <v>8</v>
      </c>
      <c r="F4974" s="1">
        <v>1</v>
      </c>
      <c r="G4974" s="1">
        <v>0</v>
      </c>
      <c r="H4974" s="6">
        <f>INT(Query1[[#This Row],[EntryDateTime]])</f>
        <v>44685</v>
      </c>
      <c r="I4974" s="1">
        <f>IF(Query1[[#This Row],[ItemType]]="EVAP KIT SF GEN IV",Query1[[#This Row],[OrderQty]]+I4973,I4973)</f>
        <v>6169</v>
      </c>
      <c r="J4974" s="1">
        <f>IF(Query1[[#This Row],[ItemType]]="EVAP KIT UNIVERSAL",Query1[[#This Row],[OrderQty]]+J4973,J4973)</f>
        <v>1981</v>
      </c>
      <c r="K4974" s="1">
        <f>Query1[[#This Row],[SF Running Total]]+Query1[[#This Row],[UNIV Running Total]]</f>
        <v>8150</v>
      </c>
      <c r="L4974">
        <f>VLOOKUP(Query1[[#This Row],[Description]],'kits to boards'!$B$2:$E$156,2,FALSE)</f>
        <v>830034</v>
      </c>
      <c r="M4974">
        <f>VLOOKUP(Query1[[#This Row],[Description]],'kits to boards'!$B$2:$E$156,3,FALSE)</f>
        <v>0</v>
      </c>
      <c r="N4974">
        <f>VLOOKUP(Query1[[#This Row],[Description]],'kits to boards'!$B$2:$E$156,4,FALSE)</f>
        <v>0</v>
      </c>
      <c r="O4974" t="str">
        <f>CONCATENATE(Query1[[#This Row],[Description]]," - ",Query1[[#This Row],[MB1]]," - ",Query1[[#This Row],[MB2]]," - ",Query1[[#This Row],[MB3]])</f>
        <v>EVAP KIT 64-67 GTO W/AC - 830034 - 0 - 0</v>
      </c>
    </row>
    <row r="4975" spans="1:15" x14ac:dyDescent="0.25">
      <c r="A4975" s="1">
        <v>922222</v>
      </c>
      <c r="B4975" s="1" t="s">
        <v>14</v>
      </c>
      <c r="C4975" s="1" t="s">
        <v>15</v>
      </c>
      <c r="D4975" s="2">
        <v>44685.658970868055</v>
      </c>
      <c r="E4975" s="1" t="s">
        <v>8</v>
      </c>
      <c r="F4975" s="1">
        <v>1</v>
      </c>
      <c r="G4975" s="1">
        <v>0</v>
      </c>
      <c r="H4975" s="6">
        <f>INT(Query1[[#This Row],[EntryDateTime]])</f>
        <v>44685</v>
      </c>
      <c r="I4975" s="1">
        <f>IF(Query1[[#This Row],[ItemType]]="EVAP KIT SF GEN IV",Query1[[#This Row],[OrderQty]]+I4974,I4974)</f>
        <v>6170</v>
      </c>
      <c r="J4975" s="1">
        <f>IF(Query1[[#This Row],[ItemType]]="EVAP KIT UNIVERSAL",Query1[[#This Row],[OrderQty]]+J4974,J4974)</f>
        <v>1981</v>
      </c>
      <c r="K4975" s="1">
        <f>Query1[[#This Row],[SF Running Total]]+Query1[[#This Row],[UNIV Running Total]]</f>
        <v>8151</v>
      </c>
      <c r="L4975">
        <f>VLOOKUP(Query1[[#This Row],[Description]],'kits to boards'!$B$2:$E$156,2,FALSE)</f>
        <v>830054</v>
      </c>
      <c r="M4975">
        <f>VLOOKUP(Query1[[#This Row],[Description]],'kits to boards'!$B$2:$E$156,3,FALSE)</f>
        <v>0</v>
      </c>
      <c r="N4975">
        <f>VLOOKUP(Query1[[#This Row],[Description]],'kits to boards'!$B$2:$E$156,4,FALSE)</f>
        <v>0</v>
      </c>
      <c r="O4975" t="str">
        <f>CONCATENATE(Query1[[#This Row],[Description]]," - ",Query1[[#This Row],[MB1]]," - ",Query1[[#This Row],[MB2]]," - ",Query1[[#This Row],[MB3]])</f>
        <v>EVAP KIT 55-56 CHEVY - 830054 - 0 - 0</v>
      </c>
    </row>
    <row r="4976" spans="1:15" x14ac:dyDescent="0.25">
      <c r="A4976" s="1">
        <v>922517</v>
      </c>
      <c r="B4976" s="1" t="s">
        <v>68</v>
      </c>
      <c r="C4976" s="1" t="s">
        <v>69</v>
      </c>
      <c r="D4976" s="2">
        <v>44685.662034872686</v>
      </c>
      <c r="E4976" s="1" t="s">
        <v>8</v>
      </c>
      <c r="F4976" s="1">
        <v>1</v>
      </c>
      <c r="G4976" s="1">
        <v>0</v>
      </c>
      <c r="H4976" s="6">
        <f>INT(Query1[[#This Row],[EntryDateTime]])</f>
        <v>44685</v>
      </c>
      <c r="I4976" s="1">
        <f>IF(Query1[[#This Row],[ItemType]]="EVAP KIT SF GEN IV",Query1[[#This Row],[OrderQty]]+I4975,I4975)</f>
        <v>6171</v>
      </c>
      <c r="J4976" s="1">
        <f>IF(Query1[[#This Row],[ItemType]]="EVAP KIT UNIVERSAL",Query1[[#This Row],[OrderQty]]+J4975,J4975)</f>
        <v>1981</v>
      </c>
      <c r="K4976" s="1">
        <f>Query1[[#This Row],[SF Running Total]]+Query1[[#This Row],[UNIV Running Total]]</f>
        <v>8152</v>
      </c>
      <c r="L4976">
        <f>VLOOKUP(Query1[[#This Row],[Description]],'kits to boards'!$B$2:$E$156,2,FALSE)</f>
        <v>830010</v>
      </c>
      <c r="M4976">
        <f>VLOOKUP(Query1[[#This Row],[Description]],'kits to boards'!$B$2:$E$156,3,FALSE)</f>
        <v>0</v>
      </c>
      <c r="N4976">
        <f>VLOOKUP(Query1[[#This Row],[Description]],'kits to boards'!$B$2:$E$156,4,FALSE)</f>
        <v>0</v>
      </c>
      <c r="O4976" t="str">
        <f>CONCATENATE(Query1[[#This Row],[Description]]," - ",Query1[[#This Row],[MB1]]," - ",Query1[[#This Row],[MB2]]," - ",Query1[[#This Row],[MB3]])</f>
        <v>EVAP KIT 70-72 CHEVELLE WO AC - 830010 - 0 - 0</v>
      </c>
    </row>
    <row r="4977" spans="1:15" x14ac:dyDescent="0.25">
      <c r="A4977" s="1">
        <v>922518</v>
      </c>
      <c r="B4977" s="1" t="s">
        <v>126</v>
      </c>
      <c r="C4977" s="1" t="s">
        <v>127</v>
      </c>
      <c r="D4977" s="2">
        <v>44685.663804976852</v>
      </c>
      <c r="E4977" s="1" t="s">
        <v>8</v>
      </c>
      <c r="F4977" s="1">
        <v>1</v>
      </c>
      <c r="G4977" s="1">
        <v>0</v>
      </c>
      <c r="H4977" s="6">
        <f>INT(Query1[[#This Row],[EntryDateTime]])</f>
        <v>44685</v>
      </c>
      <c r="I4977" s="1">
        <f>IF(Query1[[#This Row],[ItemType]]="EVAP KIT SF GEN IV",Query1[[#This Row],[OrderQty]]+I4976,I4976)</f>
        <v>6172</v>
      </c>
      <c r="J4977" s="1">
        <f>IF(Query1[[#This Row],[ItemType]]="EVAP KIT UNIVERSAL",Query1[[#This Row],[OrderQty]]+J4976,J4976)</f>
        <v>1981</v>
      </c>
      <c r="K4977" s="1">
        <f>Query1[[#This Row],[SF Running Total]]+Query1[[#This Row],[UNIV Running Total]]</f>
        <v>8153</v>
      </c>
      <c r="L4977">
        <f>VLOOKUP(Query1[[#This Row],[Description]],'kits to boards'!$B$2:$E$156,2,FALSE)</f>
        <v>830080</v>
      </c>
      <c r="M4977">
        <f>VLOOKUP(Query1[[#This Row],[Description]],'kits to boards'!$B$2:$E$156,3,FALSE)</f>
        <v>0</v>
      </c>
      <c r="N4977">
        <f>VLOOKUP(Query1[[#This Row],[Description]],'kits to boards'!$B$2:$E$156,4,FALSE)</f>
        <v>0</v>
      </c>
      <c r="O4977" t="str">
        <f>CONCATENATE(Query1[[#This Row],[Description]]," - ",Query1[[#This Row],[MB1]]," - ",Query1[[#This Row],[MB2]]," - ",Query1[[#This Row],[MB3]])</f>
        <v>EVAP KIT 69-70 MUSTANG WO AC  - 830080 - 0 - 0</v>
      </c>
    </row>
    <row r="4978" spans="1:15" x14ac:dyDescent="0.25">
      <c r="A4978" s="1">
        <v>922520</v>
      </c>
      <c r="B4978" s="1" t="s">
        <v>112</v>
      </c>
      <c r="C4978" s="1" t="s">
        <v>113</v>
      </c>
      <c r="D4978" s="2">
        <v>44685.66721994213</v>
      </c>
      <c r="E4978" s="1" t="s">
        <v>8</v>
      </c>
      <c r="F4978" s="1">
        <v>1</v>
      </c>
      <c r="G4978" s="1">
        <v>0</v>
      </c>
      <c r="H4978" s="6">
        <f>INT(Query1[[#This Row],[EntryDateTime]])</f>
        <v>44685</v>
      </c>
      <c r="I4978" s="1">
        <f>IF(Query1[[#This Row],[ItemType]]="EVAP KIT SF GEN IV",Query1[[#This Row],[OrderQty]]+I4977,I4977)</f>
        <v>6173</v>
      </c>
      <c r="J4978" s="1">
        <f>IF(Query1[[#This Row],[ItemType]]="EVAP KIT UNIVERSAL",Query1[[#This Row],[OrderQty]]+J4977,J4977)</f>
        <v>1981</v>
      </c>
      <c r="K4978" s="1">
        <f>Query1[[#This Row],[SF Running Total]]+Query1[[#This Row],[UNIV Running Total]]</f>
        <v>8154</v>
      </c>
      <c r="L4978">
        <f>VLOOKUP(Query1[[#This Row],[Description]],'kits to boards'!$B$2:$E$156,2,FALSE)</f>
        <v>830063</v>
      </c>
      <c r="M4978">
        <f>VLOOKUP(Query1[[#This Row],[Description]],'kits to boards'!$B$2:$E$156,3,FALSE)</f>
        <v>0</v>
      </c>
      <c r="N4978">
        <f>VLOOKUP(Query1[[#This Row],[Description]],'kits to boards'!$B$2:$E$156,4,FALSE)</f>
        <v>0</v>
      </c>
      <c r="O4978" t="str">
        <f>CONCATENATE(Query1[[#This Row],[Description]]," - ",Query1[[#This Row],[MB1]]," - ",Query1[[#This Row],[MB2]]," - ",Query1[[#This Row],[MB3]])</f>
        <v>EVAP KIT 54-55 CHEV P-UP GEN IV - 830063 - 0 - 0</v>
      </c>
    </row>
    <row r="4979" spans="1:15" x14ac:dyDescent="0.25">
      <c r="A4979" s="1">
        <v>922521</v>
      </c>
      <c r="B4979" s="1" t="s">
        <v>132</v>
      </c>
      <c r="C4979" s="1" t="s">
        <v>133</v>
      </c>
      <c r="D4979" s="2">
        <v>44685.67045902778</v>
      </c>
      <c r="E4979" s="1" t="s">
        <v>8</v>
      </c>
      <c r="F4979" s="1">
        <v>1</v>
      </c>
      <c r="G4979" s="1">
        <v>0</v>
      </c>
      <c r="H4979" s="6">
        <f>INT(Query1[[#This Row],[EntryDateTime]])</f>
        <v>44685</v>
      </c>
      <c r="I4979" s="1">
        <f>IF(Query1[[#This Row],[ItemType]]="EVAP KIT SF GEN IV",Query1[[#This Row],[OrderQty]]+I4978,I4978)</f>
        <v>6174</v>
      </c>
      <c r="J4979" s="1">
        <f>IF(Query1[[#This Row],[ItemType]]="EVAP KIT UNIVERSAL",Query1[[#This Row],[OrderQty]]+J4978,J4978)</f>
        <v>1981</v>
      </c>
      <c r="K4979" s="1">
        <f>Query1[[#This Row],[SF Running Total]]+Query1[[#This Row],[UNIV Running Total]]</f>
        <v>8155</v>
      </c>
      <c r="L4979">
        <f>VLOOKUP(Query1[[#This Row],[Description]],'kits to boards'!$B$2:$E$156,2,FALSE)</f>
        <v>830005</v>
      </c>
      <c r="M4979">
        <f>VLOOKUP(Query1[[#This Row],[Description]],'kits to boards'!$B$2:$E$156,3,FALSE)</f>
        <v>0</v>
      </c>
      <c r="N4979">
        <f>VLOOKUP(Query1[[#This Row],[Description]],'kits to boards'!$B$2:$E$156,4,FALSE)</f>
        <v>0</v>
      </c>
      <c r="O4979" t="str">
        <f>CONCATENATE(Query1[[#This Row],[Description]]," - ",Query1[[#This Row],[MB1]]," - ",Query1[[#This Row],[MB2]]," - ",Query1[[#This Row],[MB3]])</f>
        <v>EVAP KIT 61-62 IMPALA WO AC - 830005 - 0 - 0</v>
      </c>
    </row>
    <row r="4980" spans="1:15" x14ac:dyDescent="0.25">
      <c r="A4980" s="1">
        <v>922527</v>
      </c>
      <c r="B4980" s="1" t="s">
        <v>176</v>
      </c>
      <c r="C4980" s="1" t="s">
        <v>177</v>
      </c>
      <c r="D4980" s="2">
        <v>44685.69812951389</v>
      </c>
      <c r="E4980" s="1" t="s">
        <v>8</v>
      </c>
      <c r="F4980" s="1">
        <v>1</v>
      </c>
      <c r="G4980" s="1">
        <v>0</v>
      </c>
      <c r="H4980" s="6">
        <f>INT(Query1[[#This Row],[EntryDateTime]])</f>
        <v>44685</v>
      </c>
      <c r="I4980" s="1">
        <f>IF(Query1[[#This Row],[ItemType]]="EVAP KIT SF GEN IV",Query1[[#This Row],[OrderQty]]+I4979,I4979)</f>
        <v>6175</v>
      </c>
      <c r="J4980" s="1">
        <f>IF(Query1[[#This Row],[ItemType]]="EVAP KIT UNIVERSAL",Query1[[#This Row],[OrderQty]]+J4979,J4979)</f>
        <v>1981</v>
      </c>
      <c r="K4980" s="1">
        <f>Query1[[#This Row],[SF Running Total]]+Query1[[#This Row],[UNIV Running Total]]</f>
        <v>8156</v>
      </c>
      <c r="L4980">
        <f>VLOOKUP(Query1[[#This Row],[Description]],'kits to boards'!$B$2:$E$156,2,FALSE)</f>
        <v>830125</v>
      </c>
      <c r="M4980">
        <f>VLOOKUP(Query1[[#This Row],[Description]],'kits to boards'!$B$2:$E$156,3,FALSE)</f>
        <v>0</v>
      </c>
      <c r="N4980">
        <f>VLOOKUP(Query1[[#This Row],[Description]],'kits to boards'!$B$2:$E$156,4,FALSE)</f>
        <v>0</v>
      </c>
      <c r="O4980" t="str">
        <f>CONCATENATE(Query1[[#This Row],[Description]]," - ",Query1[[#This Row],[MB1]]," - ",Query1[[#This Row],[MB2]]," - ",Query1[[#This Row],[MB3]])</f>
        <v>EVAP KIT 65-66 IMPALA W/AC - 830125 - 0 - 0</v>
      </c>
    </row>
    <row r="4981" spans="1:15" x14ac:dyDescent="0.25">
      <c r="A4981" s="1">
        <v>922539</v>
      </c>
      <c r="B4981" s="1" t="s">
        <v>88</v>
      </c>
      <c r="C4981" s="1" t="s">
        <v>89</v>
      </c>
      <c r="D4981" s="2">
        <v>44685.71005613426</v>
      </c>
      <c r="E4981" s="1" t="s">
        <v>8</v>
      </c>
      <c r="F4981" s="1">
        <v>1</v>
      </c>
      <c r="G4981" s="1">
        <v>0</v>
      </c>
      <c r="H4981" s="6">
        <f>INT(Query1[[#This Row],[EntryDateTime]])</f>
        <v>44685</v>
      </c>
      <c r="I4981" s="1">
        <f>IF(Query1[[#This Row],[ItemType]]="EVAP KIT SF GEN IV",Query1[[#This Row],[OrderQty]]+I4980,I4980)</f>
        <v>6176</v>
      </c>
      <c r="J4981" s="1">
        <f>IF(Query1[[#This Row],[ItemType]]="EVAP KIT UNIVERSAL",Query1[[#This Row],[OrderQty]]+J4980,J4980)</f>
        <v>1981</v>
      </c>
      <c r="K4981" s="1">
        <f>Query1[[#This Row],[SF Running Total]]+Query1[[#This Row],[UNIV Running Total]]</f>
        <v>8157</v>
      </c>
      <c r="L4981">
        <f>VLOOKUP(Query1[[#This Row],[Description]],'kits to boards'!$B$2:$E$156,2,FALSE)</f>
        <v>830003</v>
      </c>
      <c r="M4981">
        <f>VLOOKUP(Query1[[#This Row],[Description]],'kits to boards'!$B$2:$E$156,3,FALSE)</f>
        <v>0</v>
      </c>
      <c r="N4981">
        <f>VLOOKUP(Query1[[#This Row],[Description]],'kits to boards'!$B$2:$E$156,4,FALSE)</f>
        <v>0</v>
      </c>
      <c r="O4981" t="str">
        <f>CONCATENATE(Query1[[#This Row],[Description]]," - ",Query1[[#This Row],[MB1]]," - ",Query1[[#This Row],[MB2]]," - ",Query1[[#This Row],[MB3]])</f>
        <v>EVAP KIT 81-87 CHEV P-UP WO AC - 830003 - 0 - 0</v>
      </c>
    </row>
    <row r="4982" spans="1:15" x14ac:dyDescent="0.25">
      <c r="A4982" s="1">
        <v>922542</v>
      </c>
      <c r="B4982" s="1" t="s">
        <v>9</v>
      </c>
      <c r="C4982" s="1" t="s">
        <v>10</v>
      </c>
      <c r="D4982" s="2">
        <v>44686.285167858798</v>
      </c>
      <c r="E4982" s="1" t="s">
        <v>11</v>
      </c>
      <c r="F4982" s="1">
        <v>1</v>
      </c>
      <c r="G4982" s="1">
        <v>0</v>
      </c>
      <c r="H4982" s="6">
        <f>INT(Query1[[#This Row],[EntryDateTime]])</f>
        <v>44686</v>
      </c>
      <c r="I4982" s="1">
        <f>IF(Query1[[#This Row],[ItemType]]="EVAP KIT SF GEN IV",Query1[[#This Row],[OrderQty]]+I4981,I4981)</f>
        <v>6176</v>
      </c>
      <c r="J4982" s="1">
        <f>IF(Query1[[#This Row],[ItemType]]="EVAP KIT UNIVERSAL",Query1[[#This Row],[OrderQty]]+J4981,J4981)</f>
        <v>1982</v>
      </c>
      <c r="K4982" s="1">
        <f>Query1[[#This Row],[SF Running Total]]+Query1[[#This Row],[UNIV Running Total]]</f>
        <v>8158</v>
      </c>
      <c r="L4982">
        <f>VLOOKUP(Query1[[#This Row],[Description]],'kits to boards'!$B$2:$E$156,2,FALSE)</f>
        <v>830069</v>
      </c>
      <c r="M4982">
        <f>VLOOKUP(Query1[[#This Row],[Description]],'kits to boards'!$B$2:$E$156,3,FALSE)</f>
        <v>0</v>
      </c>
      <c r="N4982">
        <f>VLOOKUP(Query1[[#This Row],[Description]],'kits to boards'!$B$2:$E$156,4,FALSE)</f>
        <v>0</v>
      </c>
      <c r="O4982" t="str">
        <f>CONCATENATE(Query1[[#This Row],[Description]]," - ",Query1[[#This Row],[MB1]]," - ",Query1[[#This Row],[MB2]]," - ",Query1[[#This Row],[MB3]])</f>
        <v>SLIMLINE H/C W/DEF STD LOUVER - 830069 - 0 - 0</v>
      </c>
    </row>
    <row r="4983" spans="1:15" x14ac:dyDescent="0.25">
      <c r="A4983" s="1">
        <v>922542</v>
      </c>
      <c r="B4983" s="1" t="s">
        <v>20</v>
      </c>
      <c r="C4983" s="1" t="s">
        <v>21</v>
      </c>
      <c r="D4983" s="2">
        <v>44686.285271215274</v>
      </c>
      <c r="E4983" s="1" t="s">
        <v>11</v>
      </c>
      <c r="F4983" s="1">
        <v>2</v>
      </c>
      <c r="G4983" s="1">
        <v>0</v>
      </c>
      <c r="H4983" s="6">
        <f>INT(Query1[[#This Row],[EntryDateTime]])</f>
        <v>44686</v>
      </c>
      <c r="I4983" s="1">
        <f>IF(Query1[[#This Row],[ItemType]]="EVAP KIT SF GEN IV",Query1[[#This Row],[OrderQty]]+I4982,I4982)</f>
        <v>6176</v>
      </c>
      <c r="J4983" s="1">
        <f>IF(Query1[[#This Row],[ItemType]]="EVAP KIT UNIVERSAL",Query1[[#This Row],[OrderQty]]+J4982,J4982)</f>
        <v>1984</v>
      </c>
      <c r="K4983" s="1">
        <f>Query1[[#This Row],[SF Running Total]]+Query1[[#This Row],[UNIV Running Total]]</f>
        <v>8160</v>
      </c>
      <c r="L4983">
        <f>VLOOKUP(Query1[[#This Row],[Description]],'kits to boards'!$B$2:$E$156,2,FALSE)</f>
        <v>830102</v>
      </c>
      <c r="M4983">
        <f>VLOOKUP(Query1[[#This Row],[Description]],'kits to boards'!$B$2:$E$156,3,FALSE)</f>
        <v>0</v>
      </c>
      <c r="N4983">
        <f>VLOOKUP(Query1[[#This Row],[Description]],'kits to boards'!$B$2:$E$156,4,FALSE)</f>
        <v>0</v>
      </c>
      <c r="O4983" t="str">
        <f>CONCATENATE(Query1[[#This Row],[Description]]," - ",Query1[[#This Row],[MB1]]," - ",Query1[[#This Row],[MB2]]," - ",Query1[[#This Row],[MB3]])</f>
        <v>SUPER GEN II W/DEF - 830102 - 0 - 0</v>
      </c>
    </row>
    <row r="4984" spans="1:15" x14ac:dyDescent="0.25">
      <c r="A4984" s="1">
        <v>922542</v>
      </c>
      <c r="B4984" s="1" t="s">
        <v>64</v>
      </c>
      <c r="C4984" s="1" t="s">
        <v>65</v>
      </c>
      <c r="D4984" s="2">
        <v>44686.285900497685</v>
      </c>
      <c r="E4984" s="1" t="s">
        <v>8</v>
      </c>
      <c r="F4984" s="1">
        <v>1</v>
      </c>
      <c r="G4984" s="1">
        <v>0</v>
      </c>
      <c r="H4984" s="6">
        <f>INT(Query1[[#This Row],[EntryDateTime]])</f>
        <v>44686</v>
      </c>
      <c r="I4984" s="1">
        <f>IF(Query1[[#This Row],[ItemType]]="EVAP KIT SF GEN IV",Query1[[#This Row],[OrderQty]]+I4983,I4983)</f>
        <v>6177</v>
      </c>
      <c r="J4984" s="1">
        <f>IF(Query1[[#This Row],[ItemType]]="EVAP KIT UNIVERSAL",Query1[[#This Row],[OrderQty]]+J4983,J4983)</f>
        <v>1984</v>
      </c>
      <c r="K4984" s="1">
        <f>Query1[[#This Row],[SF Running Total]]+Query1[[#This Row],[UNIV Running Total]]</f>
        <v>8161</v>
      </c>
      <c r="L4984">
        <f>VLOOKUP(Query1[[#This Row],[Description]],'kits to boards'!$B$2:$E$156,2,FALSE)</f>
        <v>830067</v>
      </c>
      <c r="M4984">
        <f>VLOOKUP(Query1[[#This Row],[Description]],'kits to boards'!$B$2:$E$156,3,FALSE)</f>
        <v>0</v>
      </c>
      <c r="N4984">
        <f>VLOOKUP(Query1[[#This Row],[Description]],'kits to boards'!$B$2:$E$156,4,FALSE)</f>
        <v>0</v>
      </c>
      <c r="O4984" t="str">
        <f>CONCATENATE(Query1[[#This Row],[Description]]," - ",Query1[[#This Row],[MB1]]," - ",Query1[[#This Row],[MB2]]," - ",Query1[[#This Row],[MB3]])</f>
        <v>EVAP KIT 59-60 CHEV CAR 4-LEVER - 830067 - 0 - 0</v>
      </c>
    </row>
    <row r="4985" spans="1:15" x14ac:dyDescent="0.25">
      <c r="A4985" s="1">
        <v>922542</v>
      </c>
      <c r="B4985" s="1" t="s">
        <v>96</v>
      </c>
      <c r="C4985" s="1" t="s">
        <v>97</v>
      </c>
      <c r="D4985" s="2">
        <v>44686.28602832176</v>
      </c>
      <c r="E4985" s="1" t="s">
        <v>8</v>
      </c>
      <c r="F4985" s="1">
        <v>1</v>
      </c>
      <c r="G4985" s="1">
        <v>0</v>
      </c>
      <c r="H4985" s="6">
        <f>INT(Query1[[#This Row],[EntryDateTime]])</f>
        <v>44686</v>
      </c>
      <c r="I4985" s="1">
        <f>IF(Query1[[#This Row],[ItemType]]="EVAP KIT SF GEN IV",Query1[[#This Row],[OrderQty]]+I4984,I4984)</f>
        <v>6178</v>
      </c>
      <c r="J4985" s="1">
        <f>IF(Query1[[#This Row],[ItemType]]="EVAP KIT UNIVERSAL",Query1[[#This Row],[OrderQty]]+J4984,J4984)</f>
        <v>1984</v>
      </c>
      <c r="K4985" s="1">
        <f>Query1[[#This Row],[SF Running Total]]+Query1[[#This Row],[UNIV Running Total]]</f>
        <v>8162</v>
      </c>
      <c r="L4985">
        <f>VLOOKUP(Query1[[#This Row],[Description]],'kits to boards'!$B$2:$E$156,2,FALSE)</f>
        <v>830004</v>
      </c>
      <c r="M4985">
        <f>VLOOKUP(Query1[[#This Row],[Description]],'kits to boards'!$B$2:$E$156,3,FALSE)</f>
        <v>0</v>
      </c>
      <c r="N4985">
        <f>VLOOKUP(Query1[[#This Row],[Description]],'kits to boards'!$B$2:$E$156,4,FALSE)</f>
        <v>0</v>
      </c>
      <c r="O4985" t="str">
        <f>CONCATENATE(Query1[[#This Row],[Description]]," - ",Query1[[#This Row],[MB1]]," - ",Query1[[#This Row],[MB2]]," - ",Query1[[#This Row],[MB3]])</f>
        <v>EVAP KIT 81-87 CHEV P-UP W/AC - 830004 - 0 - 0</v>
      </c>
    </row>
    <row r="4986" spans="1:15" x14ac:dyDescent="0.25">
      <c r="A4986" s="1">
        <v>922555</v>
      </c>
      <c r="B4986" s="1" t="s">
        <v>26</v>
      </c>
      <c r="C4986" s="1" t="s">
        <v>27</v>
      </c>
      <c r="D4986" s="2">
        <v>44686.33651947917</v>
      </c>
      <c r="E4986" s="1" t="s">
        <v>8</v>
      </c>
      <c r="F4986" s="1">
        <v>1</v>
      </c>
      <c r="G4986" s="1">
        <v>0</v>
      </c>
      <c r="H4986" s="6">
        <f>INT(Query1[[#This Row],[EntryDateTime]])</f>
        <v>44686</v>
      </c>
      <c r="I4986" s="1">
        <f>IF(Query1[[#This Row],[ItemType]]="EVAP KIT SF GEN IV",Query1[[#This Row],[OrderQty]]+I4985,I4985)</f>
        <v>6179</v>
      </c>
      <c r="J4986" s="1">
        <f>IF(Query1[[#This Row],[ItemType]]="EVAP KIT UNIVERSAL",Query1[[#This Row],[OrderQty]]+J4985,J4985)</f>
        <v>1984</v>
      </c>
      <c r="K4986" s="1">
        <f>Query1[[#This Row],[SF Running Total]]+Query1[[#This Row],[UNIV Running Total]]</f>
        <v>8163</v>
      </c>
      <c r="L4986">
        <f>VLOOKUP(Query1[[#This Row],[Description]],'kits to boards'!$B$2:$E$156,2,FALSE)</f>
        <v>830013</v>
      </c>
      <c r="M4986">
        <f>VLOOKUP(Query1[[#This Row],[Description]],'kits to boards'!$B$2:$E$156,3,FALSE)</f>
        <v>0</v>
      </c>
      <c r="N4986">
        <f>VLOOKUP(Query1[[#This Row],[Description]],'kits to boards'!$B$2:$E$156,4,FALSE)</f>
        <v>0</v>
      </c>
      <c r="O4986" t="str">
        <f>CONCATENATE(Query1[[#This Row],[Description]]," - ",Query1[[#This Row],[MB1]]," - ",Query1[[#This Row],[MB2]]," - ",Query1[[#This Row],[MB3]])</f>
        <v>EVAP KIT 67-72 CHEV P-UP W/AC - 830013 - 0 - 0</v>
      </c>
    </row>
    <row r="4987" spans="1:15" x14ac:dyDescent="0.25">
      <c r="A4987" s="1">
        <v>922559</v>
      </c>
      <c r="B4987" s="1" t="s">
        <v>94</v>
      </c>
      <c r="C4987" s="1" t="s">
        <v>95</v>
      </c>
      <c r="D4987" s="2">
        <v>44686.341109525463</v>
      </c>
      <c r="E4987" s="1" t="s">
        <v>8</v>
      </c>
      <c r="F4987" s="1">
        <v>1</v>
      </c>
      <c r="G4987" s="1">
        <v>0</v>
      </c>
      <c r="H4987" s="6">
        <f>INT(Query1[[#This Row],[EntryDateTime]])</f>
        <v>44686</v>
      </c>
      <c r="I4987" s="1">
        <f>IF(Query1[[#This Row],[ItemType]]="EVAP KIT SF GEN IV",Query1[[#This Row],[OrderQty]]+I4986,I4986)</f>
        <v>6180</v>
      </c>
      <c r="J4987" s="1">
        <f>IF(Query1[[#This Row],[ItemType]]="EVAP KIT UNIVERSAL",Query1[[#This Row],[OrderQty]]+J4986,J4986)</f>
        <v>1984</v>
      </c>
      <c r="K4987" s="1">
        <f>Query1[[#This Row],[SF Running Total]]+Query1[[#This Row],[UNIV Running Total]]</f>
        <v>8164</v>
      </c>
      <c r="L4987">
        <f>VLOOKUP(Query1[[#This Row],[Description]],'kits to boards'!$B$2:$E$156,2,FALSE)</f>
        <v>830076</v>
      </c>
      <c r="M4987">
        <f>VLOOKUP(Query1[[#This Row],[Description]],'kits to boards'!$B$2:$E$156,3,FALSE)</f>
        <v>0</v>
      </c>
      <c r="N4987">
        <f>VLOOKUP(Query1[[#This Row],[Description]],'kits to boards'!$B$2:$E$156,4,FALSE)</f>
        <v>0</v>
      </c>
      <c r="O4987" t="str">
        <f>CONCATENATE(Query1[[#This Row],[Description]]," - ",Query1[[#This Row],[MB1]]," - ",Query1[[#This Row],[MB2]]," - ",Query1[[#This Row],[MB3]])</f>
        <v>EVAP KIT 64 1/2- 66 MUSTANG  - 830076 - 0 - 0</v>
      </c>
    </row>
    <row r="4988" spans="1:15" x14ac:dyDescent="0.25">
      <c r="A4988" s="1">
        <v>921528</v>
      </c>
      <c r="B4988" s="1" t="s">
        <v>14</v>
      </c>
      <c r="C4988" s="1" t="s">
        <v>15</v>
      </c>
      <c r="D4988" s="2">
        <v>44686.34465752315</v>
      </c>
      <c r="E4988" s="1" t="s">
        <v>8</v>
      </c>
      <c r="F4988" s="1">
        <v>1</v>
      </c>
      <c r="G4988" s="1">
        <v>0</v>
      </c>
      <c r="H4988" s="6">
        <f>INT(Query1[[#This Row],[EntryDateTime]])</f>
        <v>44686</v>
      </c>
      <c r="I4988" s="1">
        <f>IF(Query1[[#This Row],[ItemType]]="EVAP KIT SF GEN IV",Query1[[#This Row],[OrderQty]]+I4987,I4987)</f>
        <v>6181</v>
      </c>
      <c r="J4988" s="1">
        <f>IF(Query1[[#This Row],[ItemType]]="EVAP KIT UNIVERSAL",Query1[[#This Row],[OrderQty]]+J4987,J4987)</f>
        <v>1984</v>
      </c>
      <c r="K4988" s="1">
        <f>Query1[[#This Row],[SF Running Total]]+Query1[[#This Row],[UNIV Running Total]]</f>
        <v>8165</v>
      </c>
      <c r="L4988">
        <f>VLOOKUP(Query1[[#This Row],[Description]],'kits to boards'!$B$2:$E$156,2,FALSE)</f>
        <v>830054</v>
      </c>
      <c r="M4988">
        <f>VLOOKUP(Query1[[#This Row],[Description]],'kits to boards'!$B$2:$E$156,3,FALSE)</f>
        <v>0</v>
      </c>
      <c r="N4988">
        <f>VLOOKUP(Query1[[#This Row],[Description]],'kits to boards'!$B$2:$E$156,4,FALSE)</f>
        <v>0</v>
      </c>
      <c r="O4988" t="str">
        <f>CONCATENATE(Query1[[#This Row],[Description]]," - ",Query1[[#This Row],[MB1]]," - ",Query1[[#This Row],[MB2]]," - ",Query1[[#This Row],[MB3]])</f>
        <v>EVAP KIT 55-56 CHEVY - 830054 - 0 - 0</v>
      </c>
    </row>
    <row r="4989" spans="1:15" x14ac:dyDescent="0.25">
      <c r="A4989" s="1">
        <v>922562</v>
      </c>
      <c r="B4989" s="1" t="s">
        <v>26</v>
      </c>
      <c r="C4989" s="1" t="s">
        <v>27</v>
      </c>
      <c r="D4989" s="2">
        <v>44686.347343020832</v>
      </c>
      <c r="E4989" s="1" t="s">
        <v>8</v>
      </c>
      <c r="F4989" s="1">
        <v>1</v>
      </c>
      <c r="G4989" s="1">
        <v>0</v>
      </c>
      <c r="H4989" s="6">
        <f>INT(Query1[[#This Row],[EntryDateTime]])</f>
        <v>44686</v>
      </c>
      <c r="I4989" s="1">
        <f>IF(Query1[[#This Row],[ItemType]]="EVAP KIT SF GEN IV",Query1[[#This Row],[OrderQty]]+I4988,I4988)</f>
        <v>6182</v>
      </c>
      <c r="J4989" s="1">
        <f>IF(Query1[[#This Row],[ItemType]]="EVAP KIT UNIVERSAL",Query1[[#This Row],[OrderQty]]+J4988,J4988)</f>
        <v>1984</v>
      </c>
      <c r="K4989" s="1">
        <f>Query1[[#This Row],[SF Running Total]]+Query1[[#This Row],[UNIV Running Total]]</f>
        <v>8166</v>
      </c>
      <c r="L4989">
        <f>VLOOKUP(Query1[[#This Row],[Description]],'kits to boards'!$B$2:$E$156,2,FALSE)</f>
        <v>830013</v>
      </c>
      <c r="M4989">
        <f>VLOOKUP(Query1[[#This Row],[Description]],'kits to boards'!$B$2:$E$156,3,FALSE)</f>
        <v>0</v>
      </c>
      <c r="N4989">
        <f>VLOOKUP(Query1[[#This Row],[Description]],'kits to boards'!$B$2:$E$156,4,FALSE)</f>
        <v>0</v>
      </c>
      <c r="O4989" t="str">
        <f>CONCATENATE(Query1[[#This Row],[Description]]," - ",Query1[[#This Row],[MB1]]," - ",Query1[[#This Row],[MB2]]," - ",Query1[[#This Row],[MB3]])</f>
        <v>EVAP KIT 67-72 CHEV P-UP W/AC - 830013 - 0 - 0</v>
      </c>
    </row>
    <row r="4990" spans="1:15" x14ac:dyDescent="0.25">
      <c r="A4990" s="1">
        <v>922442</v>
      </c>
      <c r="B4990" s="1" t="s">
        <v>20</v>
      </c>
      <c r="C4990" s="1" t="s">
        <v>21</v>
      </c>
      <c r="D4990" s="2">
        <v>44686.351628275464</v>
      </c>
      <c r="E4990" s="1" t="s">
        <v>11</v>
      </c>
      <c r="F4990" s="1">
        <v>1</v>
      </c>
      <c r="G4990" s="1">
        <v>0</v>
      </c>
      <c r="H4990" s="6">
        <f>INT(Query1[[#This Row],[EntryDateTime]])</f>
        <v>44686</v>
      </c>
      <c r="I4990" s="1">
        <f>IF(Query1[[#This Row],[ItemType]]="EVAP KIT SF GEN IV",Query1[[#This Row],[OrderQty]]+I4989,I4989)</f>
        <v>6182</v>
      </c>
      <c r="J4990" s="1">
        <f>IF(Query1[[#This Row],[ItemType]]="EVAP KIT UNIVERSAL",Query1[[#This Row],[OrderQty]]+J4989,J4989)</f>
        <v>1985</v>
      </c>
      <c r="K4990" s="1">
        <f>Query1[[#This Row],[SF Running Total]]+Query1[[#This Row],[UNIV Running Total]]</f>
        <v>8167</v>
      </c>
      <c r="L4990">
        <f>VLOOKUP(Query1[[#This Row],[Description]],'kits to boards'!$B$2:$E$156,2,FALSE)</f>
        <v>830102</v>
      </c>
      <c r="M4990">
        <f>VLOOKUP(Query1[[#This Row],[Description]],'kits to boards'!$B$2:$E$156,3,FALSE)</f>
        <v>0</v>
      </c>
      <c r="N4990">
        <f>VLOOKUP(Query1[[#This Row],[Description]],'kits to boards'!$B$2:$E$156,4,FALSE)</f>
        <v>0</v>
      </c>
      <c r="O4990" t="str">
        <f>CONCATENATE(Query1[[#This Row],[Description]]," - ",Query1[[#This Row],[MB1]]," - ",Query1[[#This Row],[MB2]]," - ",Query1[[#This Row],[MB3]])</f>
        <v>SUPER GEN II W/DEF - 830102 - 0 - 0</v>
      </c>
    </row>
    <row r="4991" spans="1:15" x14ac:dyDescent="0.25">
      <c r="A4991" s="1">
        <v>922550</v>
      </c>
      <c r="B4991" s="1" t="s">
        <v>24</v>
      </c>
      <c r="C4991" s="1" t="s">
        <v>25</v>
      </c>
      <c r="D4991" s="2">
        <v>44686.353380057873</v>
      </c>
      <c r="E4991" s="1" t="s">
        <v>11</v>
      </c>
      <c r="F4991" s="1">
        <v>1</v>
      </c>
      <c r="G4991" s="1">
        <v>0</v>
      </c>
      <c r="H4991" s="6">
        <f>INT(Query1[[#This Row],[EntryDateTime]])</f>
        <v>44686</v>
      </c>
      <c r="I4991" s="1">
        <f>IF(Query1[[#This Row],[ItemType]]="EVAP KIT SF GEN IV",Query1[[#This Row],[OrderQty]]+I4990,I4990)</f>
        <v>6182</v>
      </c>
      <c r="J4991" s="1">
        <f>IF(Query1[[#This Row],[ItemType]]="EVAP KIT UNIVERSAL",Query1[[#This Row],[OrderQty]]+J4990,J4990)</f>
        <v>1986</v>
      </c>
      <c r="K4991" s="1">
        <f>Query1[[#This Row],[SF Running Total]]+Query1[[#This Row],[UNIV Running Total]]</f>
        <v>8168</v>
      </c>
      <c r="L4991">
        <f>VLOOKUP(Query1[[#This Row],[Description]],'kits to boards'!$B$2:$E$156,2,FALSE)</f>
        <v>830029</v>
      </c>
      <c r="M4991">
        <f>VLOOKUP(Query1[[#This Row],[Description]],'kits to boards'!$B$2:$E$156,3,FALSE)</f>
        <v>830030</v>
      </c>
      <c r="N4991">
        <f>VLOOKUP(Query1[[#This Row],[Description]],'kits to boards'!$B$2:$E$156,4,FALSE)</f>
        <v>0</v>
      </c>
      <c r="O4991" t="str">
        <f>CONCATENATE(Query1[[#This Row],[Description]]," - ",Query1[[#This Row],[MB1]]," - ",Query1[[#This Row],[MB2]]," - ",Query1[[#This Row],[MB3]])</f>
        <v>ComPac GEN II W/DEF - 830029 - 830030 - 0</v>
      </c>
    </row>
    <row r="4992" spans="1:15" x14ac:dyDescent="0.25">
      <c r="A4992" s="1">
        <v>922553</v>
      </c>
      <c r="B4992" s="1" t="s">
        <v>98</v>
      </c>
      <c r="C4992" s="1" t="s">
        <v>99</v>
      </c>
      <c r="D4992" s="2">
        <v>44686.35441226852</v>
      </c>
      <c r="E4992" s="1" t="s">
        <v>11</v>
      </c>
      <c r="F4992" s="1">
        <v>1</v>
      </c>
      <c r="G4992" s="1">
        <v>0</v>
      </c>
      <c r="H4992" s="6">
        <f>INT(Query1[[#This Row],[EntryDateTime]])</f>
        <v>44686</v>
      </c>
      <c r="I4992" s="1">
        <f>IF(Query1[[#This Row],[ItemType]]="EVAP KIT SF GEN IV",Query1[[#This Row],[OrderQty]]+I4991,I4991)</f>
        <v>6182</v>
      </c>
      <c r="J4992" s="1">
        <f>IF(Query1[[#This Row],[ItemType]]="EVAP KIT UNIVERSAL",Query1[[#This Row],[OrderQty]]+J4991,J4991)</f>
        <v>1987</v>
      </c>
      <c r="K4992" s="1">
        <f>Query1[[#This Row],[SF Running Total]]+Query1[[#This Row],[UNIV Running Total]]</f>
        <v>8169</v>
      </c>
      <c r="L4992">
        <f>VLOOKUP(Query1[[#This Row],[Description]],'kits to boards'!$B$2:$E$156,2,FALSE)</f>
        <v>830099</v>
      </c>
      <c r="M4992">
        <f>VLOOKUP(Query1[[#This Row],[Description]],'kits to boards'!$B$2:$E$156,3,FALSE)</f>
        <v>0</v>
      </c>
      <c r="N4992">
        <f>VLOOKUP(Query1[[#This Row],[Description]],'kits to boards'!$B$2:$E$156,4,FALSE)</f>
        <v>0</v>
      </c>
      <c r="O4992" t="str">
        <f>CONCATENATE(Query1[[#This Row],[Description]]," - ",Query1[[#This Row],[MB1]]," - ",Query1[[#This Row],[MB2]]," - ",Query1[[#This Row],[MB3]])</f>
        <v>MINI GEN II W/DEF - 830099 - 0 - 0</v>
      </c>
    </row>
    <row r="4993" spans="1:15" x14ac:dyDescent="0.25">
      <c r="A4993" s="1">
        <v>922561</v>
      </c>
      <c r="B4993" s="1" t="s">
        <v>152</v>
      </c>
      <c r="C4993" s="1" t="s">
        <v>153</v>
      </c>
      <c r="D4993" s="2">
        <v>44686.356782835646</v>
      </c>
      <c r="E4993" s="1" t="s">
        <v>8</v>
      </c>
      <c r="F4993" s="1">
        <v>1</v>
      </c>
      <c r="G4993" s="1">
        <v>0</v>
      </c>
      <c r="H4993" s="6">
        <f>INT(Query1[[#This Row],[EntryDateTime]])</f>
        <v>44686</v>
      </c>
      <c r="I4993" s="1">
        <f>IF(Query1[[#This Row],[ItemType]]="EVAP KIT SF GEN IV",Query1[[#This Row],[OrderQty]]+I4992,I4992)</f>
        <v>6183</v>
      </c>
      <c r="J4993" s="1">
        <f>IF(Query1[[#This Row],[ItemType]]="EVAP KIT UNIVERSAL",Query1[[#This Row],[OrderQty]]+J4992,J4992)</f>
        <v>1987</v>
      </c>
      <c r="K4993" s="1">
        <f>Query1[[#This Row],[SF Running Total]]+Query1[[#This Row],[UNIV Running Total]]</f>
        <v>8170</v>
      </c>
      <c r="L4993">
        <f>VLOOKUP(Query1[[#This Row],[Description]],'kits to boards'!$B$2:$E$156,2,FALSE)</f>
        <v>830034</v>
      </c>
      <c r="M4993">
        <f>VLOOKUP(Query1[[#This Row],[Description]],'kits to boards'!$B$2:$E$156,3,FALSE)</f>
        <v>0</v>
      </c>
      <c r="N4993">
        <f>VLOOKUP(Query1[[#This Row],[Description]],'kits to boards'!$B$2:$E$156,4,FALSE)</f>
        <v>0</v>
      </c>
      <c r="O4993" t="str">
        <f>CONCATENATE(Query1[[#This Row],[Description]]," - ",Query1[[#This Row],[MB1]]," - ",Query1[[#This Row],[MB2]]," - ",Query1[[#This Row],[MB3]])</f>
        <v>EVAP KIT 64-67 GTO WO AC - 830034 - 0 - 0</v>
      </c>
    </row>
    <row r="4994" spans="1:15" x14ac:dyDescent="0.25">
      <c r="A4994" s="1">
        <v>922494</v>
      </c>
      <c r="B4994" s="1" t="s">
        <v>116</v>
      </c>
      <c r="C4994" s="1" t="s">
        <v>117</v>
      </c>
      <c r="D4994" s="2">
        <v>44686.358583831017</v>
      </c>
      <c r="E4994" s="1" t="s">
        <v>8</v>
      </c>
      <c r="F4994" s="1">
        <v>1</v>
      </c>
      <c r="G4994" s="1">
        <v>0</v>
      </c>
      <c r="H4994" s="6">
        <f>INT(Query1[[#This Row],[EntryDateTime]])</f>
        <v>44686</v>
      </c>
      <c r="I4994" s="1">
        <f>IF(Query1[[#This Row],[ItemType]]="EVAP KIT SF GEN IV",Query1[[#This Row],[OrderQty]]+I4993,I4993)</f>
        <v>6184</v>
      </c>
      <c r="J4994" s="1">
        <f>IF(Query1[[#This Row],[ItemType]]="EVAP KIT UNIVERSAL",Query1[[#This Row],[OrderQty]]+J4993,J4993)</f>
        <v>1987</v>
      </c>
      <c r="K4994" s="1">
        <f>Query1[[#This Row],[SF Running Total]]+Query1[[#This Row],[UNIV Running Total]]</f>
        <v>8171</v>
      </c>
      <c r="L4994">
        <f>VLOOKUP(Query1[[#This Row],[Description]],'kits to boards'!$B$2:$E$156,2,FALSE)</f>
        <v>830058</v>
      </c>
      <c r="M4994">
        <f>VLOOKUP(Query1[[#This Row],[Description]],'kits to boards'!$B$2:$E$156,3,FALSE)</f>
        <v>0</v>
      </c>
      <c r="N4994">
        <f>VLOOKUP(Query1[[#This Row],[Description]],'kits to boards'!$B$2:$E$156,4,FALSE)</f>
        <v>0</v>
      </c>
      <c r="O4994" t="str">
        <f>CONCATENATE(Query1[[#This Row],[Description]]," - ",Query1[[#This Row],[MB1]]," - ",Query1[[#This Row],[MB2]]," - ",Query1[[#This Row],[MB3]])</f>
        <v>EVAP KIT 64-65 CHEVELLE WO AC - 830058 - 0 - 0</v>
      </c>
    </row>
    <row r="4995" spans="1:15" x14ac:dyDescent="0.25">
      <c r="A4995" s="1">
        <v>921134</v>
      </c>
      <c r="B4995" s="1" t="s">
        <v>50</v>
      </c>
      <c r="C4995" s="1" t="s">
        <v>51</v>
      </c>
      <c r="D4995" s="2">
        <v>44686.360629710645</v>
      </c>
      <c r="E4995" s="1" t="s">
        <v>8</v>
      </c>
      <c r="F4995" s="1">
        <v>1</v>
      </c>
      <c r="G4995" s="1">
        <v>0</v>
      </c>
      <c r="H4995" s="6">
        <f>INT(Query1[[#This Row],[EntryDateTime]])</f>
        <v>44686</v>
      </c>
      <c r="I4995" s="1">
        <f>IF(Query1[[#This Row],[ItemType]]="EVAP KIT SF GEN IV",Query1[[#This Row],[OrderQty]]+I4994,I4994)</f>
        <v>6185</v>
      </c>
      <c r="J4995" s="1">
        <f>IF(Query1[[#This Row],[ItemType]]="EVAP KIT UNIVERSAL",Query1[[#This Row],[OrderQty]]+J4994,J4994)</f>
        <v>1987</v>
      </c>
      <c r="K4995" s="1">
        <f>Query1[[#This Row],[SF Running Total]]+Query1[[#This Row],[UNIV Running Total]]</f>
        <v>8172</v>
      </c>
      <c r="L4995">
        <f>VLOOKUP(Query1[[#This Row],[Description]],'kits to boards'!$B$2:$E$156,2,FALSE)</f>
        <v>830043</v>
      </c>
      <c r="M4995">
        <f>VLOOKUP(Query1[[#This Row],[Description]],'kits to boards'!$B$2:$E$156,3,FALSE)</f>
        <v>0</v>
      </c>
      <c r="N4995">
        <f>VLOOKUP(Query1[[#This Row],[Description]],'kits to boards'!$B$2:$E$156,4,FALSE)</f>
        <v>0</v>
      </c>
      <c r="O4995" t="str">
        <f>CONCATENATE(Query1[[#This Row],[Description]]," - ",Query1[[#This Row],[MB1]]," - ",Query1[[#This Row],[MB2]]," - ",Query1[[#This Row],[MB3]])</f>
        <v>EVAP KIT 69-74 NOVA WO AC - 830043 - 0 - 0</v>
      </c>
    </row>
    <row r="4996" spans="1:15" x14ac:dyDescent="0.25">
      <c r="A4996" s="1">
        <v>922573</v>
      </c>
      <c r="B4996" s="1" t="s">
        <v>112</v>
      </c>
      <c r="C4996" s="1" t="s">
        <v>113</v>
      </c>
      <c r="D4996" s="2">
        <v>44686.364507210645</v>
      </c>
      <c r="E4996" s="1" t="s">
        <v>8</v>
      </c>
      <c r="F4996" s="1">
        <v>1</v>
      </c>
      <c r="G4996" s="1">
        <v>0</v>
      </c>
      <c r="H4996" s="6">
        <f>INT(Query1[[#This Row],[EntryDateTime]])</f>
        <v>44686</v>
      </c>
      <c r="I4996" s="1">
        <f>IF(Query1[[#This Row],[ItemType]]="EVAP KIT SF GEN IV",Query1[[#This Row],[OrderQty]]+I4995,I4995)</f>
        <v>6186</v>
      </c>
      <c r="J4996" s="1">
        <f>IF(Query1[[#This Row],[ItemType]]="EVAP KIT UNIVERSAL",Query1[[#This Row],[OrderQty]]+J4995,J4995)</f>
        <v>1987</v>
      </c>
      <c r="K4996" s="1">
        <f>Query1[[#This Row],[SF Running Total]]+Query1[[#This Row],[UNIV Running Total]]</f>
        <v>8173</v>
      </c>
      <c r="L4996">
        <f>VLOOKUP(Query1[[#This Row],[Description]],'kits to boards'!$B$2:$E$156,2,FALSE)</f>
        <v>830063</v>
      </c>
      <c r="M4996">
        <f>VLOOKUP(Query1[[#This Row],[Description]],'kits to boards'!$B$2:$E$156,3,FALSE)</f>
        <v>0</v>
      </c>
      <c r="N4996">
        <f>VLOOKUP(Query1[[#This Row],[Description]],'kits to boards'!$B$2:$E$156,4,FALSE)</f>
        <v>0</v>
      </c>
      <c r="O4996" t="str">
        <f>CONCATENATE(Query1[[#This Row],[Description]]," - ",Query1[[#This Row],[MB1]]," - ",Query1[[#This Row],[MB2]]," - ",Query1[[#This Row],[MB3]])</f>
        <v>EVAP KIT 54-55 CHEV P-UP GEN IV - 830063 - 0 - 0</v>
      </c>
    </row>
    <row r="4997" spans="1:15" x14ac:dyDescent="0.25">
      <c r="A4997" s="1">
        <v>922564</v>
      </c>
      <c r="B4997" s="1" t="s">
        <v>98</v>
      </c>
      <c r="C4997" s="1" t="s">
        <v>99</v>
      </c>
      <c r="D4997" s="2">
        <v>44686.385801736113</v>
      </c>
      <c r="E4997" s="1" t="s">
        <v>11</v>
      </c>
      <c r="F4997" s="1">
        <v>1</v>
      </c>
      <c r="G4997" s="1">
        <v>0</v>
      </c>
      <c r="H4997" s="6">
        <f>INT(Query1[[#This Row],[EntryDateTime]])</f>
        <v>44686</v>
      </c>
      <c r="I4997" s="1">
        <f>IF(Query1[[#This Row],[ItemType]]="EVAP KIT SF GEN IV",Query1[[#This Row],[OrderQty]]+I4996,I4996)</f>
        <v>6186</v>
      </c>
      <c r="J4997" s="1">
        <f>IF(Query1[[#This Row],[ItemType]]="EVAP KIT UNIVERSAL",Query1[[#This Row],[OrderQty]]+J4996,J4996)</f>
        <v>1988</v>
      </c>
      <c r="K4997" s="1">
        <f>Query1[[#This Row],[SF Running Total]]+Query1[[#This Row],[UNIV Running Total]]</f>
        <v>8174</v>
      </c>
      <c r="L4997">
        <f>VLOOKUP(Query1[[#This Row],[Description]],'kits to boards'!$B$2:$E$156,2,FALSE)</f>
        <v>830099</v>
      </c>
      <c r="M4997">
        <f>VLOOKUP(Query1[[#This Row],[Description]],'kits to boards'!$B$2:$E$156,3,FALSE)</f>
        <v>0</v>
      </c>
      <c r="N4997">
        <f>VLOOKUP(Query1[[#This Row],[Description]],'kits to boards'!$B$2:$E$156,4,FALSE)</f>
        <v>0</v>
      </c>
      <c r="O4997" t="str">
        <f>CONCATENATE(Query1[[#This Row],[Description]]," - ",Query1[[#This Row],[MB1]]," - ",Query1[[#This Row],[MB2]]," - ",Query1[[#This Row],[MB3]])</f>
        <v>MINI GEN II W/DEF - 830099 - 0 - 0</v>
      </c>
    </row>
    <row r="4998" spans="1:15" x14ac:dyDescent="0.25">
      <c r="A4998" s="1">
        <v>922579</v>
      </c>
      <c r="B4998" s="1" t="s">
        <v>190</v>
      </c>
      <c r="C4998" s="1" t="s">
        <v>191</v>
      </c>
      <c r="D4998" s="2">
        <v>44686.386939699078</v>
      </c>
      <c r="E4998" s="1" t="s">
        <v>8</v>
      </c>
      <c r="F4998" s="1">
        <v>1</v>
      </c>
      <c r="G4998" s="1">
        <v>0</v>
      </c>
      <c r="H4998" s="6">
        <f>INT(Query1[[#This Row],[EntryDateTime]])</f>
        <v>44686</v>
      </c>
      <c r="I4998" s="1">
        <f>IF(Query1[[#This Row],[ItemType]]="EVAP KIT SF GEN IV",Query1[[#This Row],[OrderQty]]+I4997,I4997)</f>
        <v>6187</v>
      </c>
      <c r="J4998" s="1">
        <f>IF(Query1[[#This Row],[ItemType]]="EVAP KIT UNIVERSAL",Query1[[#This Row],[OrderQty]]+J4997,J4997)</f>
        <v>1988</v>
      </c>
      <c r="K4998" s="1">
        <f>Query1[[#This Row],[SF Running Total]]+Query1[[#This Row],[UNIV Running Total]]</f>
        <v>8175</v>
      </c>
      <c r="L4998">
        <f>VLOOKUP(Query1[[#This Row],[Description]],'kits to boards'!$B$2:$E$156,2,FALSE)</f>
        <v>830008</v>
      </c>
      <c r="M4998">
        <f>VLOOKUP(Query1[[#This Row],[Description]],'kits to boards'!$B$2:$E$156,3,FALSE)</f>
        <v>0</v>
      </c>
      <c r="N4998">
        <f>VLOOKUP(Query1[[#This Row],[Description]],'kits to boards'!$B$2:$E$156,4,FALSE)</f>
        <v>0</v>
      </c>
      <c r="O4998" t="str">
        <f>CONCATENATE(Query1[[#This Row],[Description]]," - ",Query1[[#This Row],[MB1]]," - ",Query1[[#This Row],[MB2]]," - ",Query1[[#This Row],[MB3]])</f>
        <v>EVAP KIT 63 IMPALA WO AC - 830008 - 0 - 0</v>
      </c>
    </row>
    <row r="4999" spans="1:15" x14ac:dyDescent="0.25">
      <c r="A4999" s="1">
        <v>922582</v>
      </c>
      <c r="B4999" s="1" t="s">
        <v>94</v>
      </c>
      <c r="C4999" s="1" t="s">
        <v>95</v>
      </c>
      <c r="D4999" s="2">
        <v>44686.405866203706</v>
      </c>
      <c r="E4999" s="1" t="s">
        <v>8</v>
      </c>
      <c r="F4999" s="1">
        <v>1</v>
      </c>
      <c r="G4999" s="1">
        <v>0</v>
      </c>
      <c r="H4999" s="6">
        <f>INT(Query1[[#This Row],[EntryDateTime]])</f>
        <v>44686</v>
      </c>
      <c r="I4999" s="1">
        <f>IF(Query1[[#This Row],[ItemType]]="EVAP KIT SF GEN IV",Query1[[#This Row],[OrderQty]]+I4998,I4998)</f>
        <v>6188</v>
      </c>
      <c r="J4999" s="1">
        <f>IF(Query1[[#This Row],[ItemType]]="EVAP KIT UNIVERSAL",Query1[[#This Row],[OrderQty]]+J4998,J4998)</f>
        <v>1988</v>
      </c>
      <c r="K4999" s="1">
        <f>Query1[[#This Row],[SF Running Total]]+Query1[[#This Row],[UNIV Running Total]]</f>
        <v>8176</v>
      </c>
      <c r="L4999">
        <f>VLOOKUP(Query1[[#This Row],[Description]],'kits to boards'!$B$2:$E$156,2,FALSE)</f>
        <v>830076</v>
      </c>
      <c r="M4999">
        <f>VLOOKUP(Query1[[#This Row],[Description]],'kits to boards'!$B$2:$E$156,3,FALSE)</f>
        <v>0</v>
      </c>
      <c r="N4999">
        <f>VLOOKUP(Query1[[#This Row],[Description]],'kits to boards'!$B$2:$E$156,4,FALSE)</f>
        <v>0</v>
      </c>
      <c r="O4999" t="str">
        <f>CONCATENATE(Query1[[#This Row],[Description]]," - ",Query1[[#This Row],[MB1]]," - ",Query1[[#This Row],[MB2]]," - ",Query1[[#This Row],[MB3]])</f>
        <v>EVAP KIT 64 1/2- 66 MUSTANG  - 830076 - 0 - 0</v>
      </c>
    </row>
    <row r="5000" spans="1:15" x14ac:dyDescent="0.25">
      <c r="A5000" s="1">
        <v>922583</v>
      </c>
      <c r="B5000" s="1" t="s">
        <v>94</v>
      </c>
      <c r="C5000" s="1" t="s">
        <v>95</v>
      </c>
      <c r="D5000" s="2">
        <v>44686.407393437497</v>
      </c>
      <c r="E5000" s="1" t="s">
        <v>8</v>
      </c>
      <c r="F5000" s="1">
        <v>1</v>
      </c>
      <c r="G5000" s="1">
        <v>0</v>
      </c>
      <c r="H5000" s="6">
        <f>INT(Query1[[#This Row],[EntryDateTime]])</f>
        <v>44686</v>
      </c>
      <c r="I5000" s="1">
        <f>IF(Query1[[#This Row],[ItemType]]="EVAP KIT SF GEN IV",Query1[[#This Row],[OrderQty]]+I4999,I4999)</f>
        <v>6189</v>
      </c>
      <c r="J5000" s="1">
        <f>IF(Query1[[#This Row],[ItemType]]="EVAP KIT UNIVERSAL",Query1[[#This Row],[OrderQty]]+J4999,J4999)</f>
        <v>1988</v>
      </c>
      <c r="K5000" s="1">
        <f>Query1[[#This Row],[SF Running Total]]+Query1[[#This Row],[UNIV Running Total]]</f>
        <v>8177</v>
      </c>
      <c r="L5000">
        <f>VLOOKUP(Query1[[#This Row],[Description]],'kits to boards'!$B$2:$E$156,2,FALSE)</f>
        <v>830076</v>
      </c>
      <c r="M5000">
        <f>VLOOKUP(Query1[[#This Row],[Description]],'kits to boards'!$B$2:$E$156,3,FALSE)</f>
        <v>0</v>
      </c>
      <c r="N5000">
        <f>VLOOKUP(Query1[[#This Row],[Description]],'kits to boards'!$B$2:$E$156,4,FALSE)</f>
        <v>0</v>
      </c>
      <c r="O5000" t="str">
        <f>CONCATENATE(Query1[[#This Row],[Description]]," - ",Query1[[#This Row],[MB1]]," - ",Query1[[#This Row],[MB2]]," - ",Query1[[#This Row],[MB3]])</f>
        <v>EVAP KIT 64 1/2- 66 MUSTANG  - 830076 - 0 - 0</v>
      </c>
    </row>
    <row r="5001" spans="1:15" x14ac:dyDescent="0.25">
      <c r="A5001" s="1">
        <v>922584</v>
      </c>
      <c r="B5001" s="1" t="s">
        <v>94</v>
      </c>
      <c r="C5001" s="1" t="s">
        <v>95</v>
      </c>
      <c r="D5001" s="2">
        <v>44686.411116782408</v>
      </c>
      <c r="E5001" s="1" t="s">
        <v>8</v>
      </c>
      <c r="F5001" s="1">
        <v>1</v>
      </c>
      <c r="G5001" s="1">
        <v>0</v>
      </c>
      <c r="H5001" s="6">
        <f>INT(Query1[[#This Row],[EntryDateTime]])</f>
        <v>44686</v>
      </c>
      <c r="I5001" s="1">
        <f>IF(Query1[[#This Row],[ItemType]]="EVAP KIT SF GEN IV",Query1[[#This Row],[OrderQty]]+I5000,I5000)</f>
        <v>6190</v>
      </c>
      <c r="J5001" s="1">
        <f>IF(Query1[[#This Row],[ItemType]]="EVAP KIT UNIVERSAL",Query1[[#This Row],[OrderQty]]+J5000,J5000)</f>
        <v>1988</v>
      </c>
      <c r="K5001" s="1">
        <f>Query1[[#This Row],[SF Running Total]]+Query1[[#This Row],[UNIV Running Total]]</f>
        <v>8178</v>
      </c>
      <c r="L5001">
        <f>VLOOKUP(Query1[[#This Row],[Description]],'kits to boards'!$B$2:$E$156,2,FALSE)</f>
        <v>830076</v>
      </c>
      <c r="M5001">
        <f>VLOOKUP(Query1[[#This Row],[Description]],'kits to boards'!$B$2:$E$156,3,FALSE)</f>
        <v>0</v>
      </c>
      <c r="N5001">
        <f>VLOOKUP(Query1[[#This Row],[Description]],'kits to boards'!$B$2:$E$156,4,FALSE)</f>
        <v>0</v>
      </c>
      <c r="O5001" t="str">
        <f>CONCATENATE(Query1[[#This Row],[Description]]," - ",Query1[[#This Row],[MB1]]," - ",Query1[[#This Row],[MB2]]," - ",Query1[[#This Row],[MB3]])</f>
        <v>EVAP KIT 64 1/2- 66 MUSTANG  - 830076 - 0 - 0</v>
      </c>
    </row>
    <row r="5002" spans="1:15" x14ac:dyDescent="0.25">
      <c r="A5002" s="1">
        <v>922585</v>
      </c>
      <c r="B5002" s="1" t="s">
        <v>12</v>
      </c>
      <c r="C5002" s="1" t="s">
        <v>13</v>
      </c>
      <c r="D5002" s="2">
        <v>44686.412341238429</v>
      </c>
      <c r="E5002" s="1" t="s">
        <v>8</v>
      </c>
      <c r="F5002" s="1">
        <v>1</v>
      </c>
      <c r="G5002" s="1">
        <v>0</v>
      </c>
      <c r="H5002" s="6">
        <f>INT(Query1[[#This Row],[EntryDateTime]])</f>
        <v>44686</v>
      </c>
      <c r="I5002" s="1">
        <f>IF(Query1[[#This Row],[ItemType]]="EVAP KIT SF GEN IV",Query1[[#This Row],[OrderQty]]+I5001,I5001)</f>
        <v>6191</v>
      </c>
      <c r="J5002" s="1">
        <f>IF(Query1[[#This Row],[ItemType]]="EVAP KIT UNIVERSAL",Query1[[#This Row],[OrderQty]]+J5001,J5001)</f>
        <v>1988</v>
      </c>
      <c r="K5002" s="1">
        <f>Query1[[#This Row],[SF Running Total]]+Query1[[#This Row],[UNIV Running Total]]</f>
        <v>8179</v>
      </c>
      <c r="L5002">
        <f>VLOOKUP(Query1[[#This Row],[Description]],'kits to boards'!$B$2:$E$156,2,FALSE)</f>
        <v>830079</v>
      </c>
      <c r="M5002">
        <f>VLOOKUP(Query1[[#This Row],[Description]],'kits to boards'!$B$2:$E$156,3,FALSE)</f>
        <v>830046</v>
      </c>
      <c r="N5002">
        <f>VLOOKUP(Query1[[#This Row],[Description]],'kits to boards'!$B$2:$E$156,4,FALSE)</f>
        <v>0</v>
      </c>
      <c r="O5002" t="str">
        <f>CONCATENATE(Query1[[#This Row],[Description]]," - ",Query1[[#This Row],[MB1]]," - ",Query1[[#This Row],[MB2]]," - ",Query1[[#This Row],[MB3]])</f>
        <v>EVAP KIT 67-68 MUSTANG/COUGAR W/AC - 830079 - 830046 - 0</v>
      </c>
    </row>
    <row r="5003" spans="1:15" x14ac:dyDescent="0.25">
      <c r="A5003" s="1">
        <v>922586</v>
      </c>
      <c r="B5003" s="1" t="s">
        <v>12</v>
      </c>
      <c r="C5003" s="1" t="s">
        <v>13</v>
      </c>
      <c r="D5003" s="2">
        <v>44686.413303043984</v>
      </c>
      <c r="E5003" s="1" t="s">
        <v>8</v>
      </c>
      <c r="F5003" s="1">
        <v>1</v>
      </c>
      <c r="G5003" s="1">
        <v>0</v>
      </c>
      <c r="H5003" s="6">
        <f>INT(Query1[[#This Row],[EntryDateTime]])</f>
        <v>44686</v>
      </c>
      <c r="I5003" s="1">
        <f>IF(Query1[[#This Row],[ItemType]]="EVAP KIT SF GEN IV",Query1[[#This Row],[OrderQty]]+I5002,I5002)</f>
        <v>6192</v>
      </c>
      <c r="J5003" s="1">
        <f>IF(Query1[[#This Row],[ItemType]]="EVAP KIT UNIVERSAL",Query1[[#This Row],[OrderQty]]+J5002,J5002)</f>
        <v>1988</v>
      </c>
      <c r="K5003" s="1">
        <f>Query1[[#This Row],[SF Running Total]]+Query1[[#This Row],[UNIV Running Total]]</f>
        <v>8180</v>
      </c>
      <c r="L5003">
        <f>VLOOKUP(Query1[[#This Row],[Description]],'kits to boards'!$B$2:$E$156,2,FALSE)</f>
        <v>830079</v>
      </c>
      <c r="M5003">
        <f>VLOOKUP(Query1[[#This Row],[Description]],'kits to boards'!$B$2:$E$156,3,FALSE)</f>
        <v>830046</v>
      </c>
      <c r="N5003">
        <f>VLOOKUP(Query1[[#This Row],[Description]],'kits to boards'!$B$2:$E$156,4,FALSE)</f>
        <v>0</v>
      </c>
      <c r="O5003" t="str">
        <f>CONCATENATE(Query1[[#This Row],[Description]]," - ",Query1[[#This Row],[MB1]]," - ",Query1[[#This Row],[MB2]]," - ",Query1[[#This Row],[MB3]])</f>
        <v>EVAP KIT 67-68 MUSTANG/COUGAR W/AC - 830079 - 830046 - 0</v>
      </c>
    </row>
    <row r="5004" spans="1:15" x14ac:dyDescent="0.25">
      <c r="A5004" s="1">
        <v>922591</v>
      </c>
      <c r="B5004" s="1" t="s">
        <v>78</v>
      </c>
      <c r="C5004" s="1" t="s">
        <v>79</v>
      </c>
      <c r="D5004" s="2">
        <v>44686.41647546296</v>
      </c>
      <c r="E5004" s="1" t="s">
        <v>11</v>
      </c>
      <c r="F5004" s="1">
        <v>1</v>
      </c>
      <c r="G5004" s="1">
        <v>0</v>
      </c>
      <c r="H5004" s="6">
        <f>INT(Query1[[#This Row],[EntryDateTime]])</f>
        <v>44686</v>
      </c>
      <c r="I5004" s="1">
        <f>IF(Query1[[#This Row],[ItemType]]="EVAP KIT SF GEN IV",Query1[[#This Row],[OrderQty]]+I5003,I5003)</f>
        <v>6192</v>
      </c>
      <c r="J5004" s="1">
        <f>IF(Query1[[#This Row],[ItemType]]="EVAP KIT UNIVERSAL",Query1[[#This Row],[OrderQty]]+J5003,J5003)</f>
        <v>1989</v>
      </c>
      <c r="K5004" s="1">
        <f>Query1[[#This Row],[SF Running Total]]+Query1[[#This Row],[UNIV Running Total]]</f>
        <v>8181</v>
      </c>
      <c r="L5004">
        <f>VLOOKUP(Query1[[#This Row],[Description]],'kits to boards'!$B$2:$E$156,2,FALSE)</f>
        <v>0</v>
      </c>
      <c r="M5004">
        <f>VLOOKUP(Query1[[#This Row],[Description]],'kits to boards'!$B$2:$E$156,3,FALSE)</f>
        <v>0</v>
      </c>
      <c r="N5004">
        <f>VLOOKUP(Query1[[#This Row],[Description]],'kits to boards'!$B$2:$E$156,4,FALSE)</f>
        <v>0</v>
      </c>
      <c r="O5004" t="str">
        <f>CONCATENATE(Query1[[#This Row],[Description]]," - ",Query1[[#This Row],[MB1]]," - ",Query1[[#This Row],[MB2]]," - ",Query1[[#This Row],[MB3]])</f>
        <v>MARK IV STYLELINE UNDERDASH EVAP - 0 - 0 - 0</v>
      </c>
    </row>
    <row r="5005" spans="1:15" x14ac:dyDescent="0.25">
      <c r="A5005" s="1">
        <v>922601</v>
      </c>
      <c r="B5005" s="1" t="s">
        <v>26</v>
      </c>
      <c r="C5005" s="1" t="s">
        <v>27</v>
      </c>
      <c r="D5005" s="2">
        <v>44686.424701967589</v>
      </c>
      <c r="E5005" s="1" t="s">
        <v>8</v>
      </c>
      <c r="F5005" s="1">
        <v>1</v>
      </c>
      <c r="G5005" s="1">
        <v>0</v>
      </c>
      <c r="H5005" s="6">
        <f>INT(Query1[[#This Row],[EntryDateTime]])</f>
        <v>44686</v>
      </c>
      <c r="I5005" s="1">
        <f>IF(Query1[[#This Row],[ItemType]]="EVAP KIT SF GEN IV",Query1[[#This Row],[OrderQty]]+I5004,I5004)</f>
        <v>6193</v>
      </c>
      <c r="J5005" s="1">
        <f>IF(Query1[[#This Row],[ItemType]]="EVAP KIT UNIVERSAL",Query1[[#This Row],[OrderQty]]+J5004,J5004)</f>
        <v>1989</v>
      </c>
      <c r="K5005" s="1">
        <f>Query1[[#This Row],[SF Running Total]]+Query1[[#This Row],[UNIV Running Total]]</f>
        <v>8182</v>
      </c>
      <c r="L5005">
        <f>VLOOKUP(Query1[[#This Row],[Description]],'kits to boards'!$B$2:$E$156,2,FALSE)</f>
        <v>830013</v>
      </c>
      <c r="M5005">
        <f>VLOOKUP(Query1[[#This Row],[Description]],'kits to boards'!$B$2:$E$156,3,FALSE)</f>
        <v>0</v>
      </c>
      <c r="N5005">
        <f>VLOOKUP(Query1[[#This Row],[Description]],'kits to boards'!$B$2:$E$156,4,FALSE)</f>
        <v>0</v>
      </c>
      <c r="O5005" t="str">
        <f>CONCATENATE(Query1[[#This Row],[Description]]," - ",Query1[[#This Row],[MB1]]," - ",Query1[[#This Row],[MB2]]," - ",Query1[[#This Row],[MB3]])</f>
        <v>EVAP KIT 67-72 CHEV P-UP W/AC - 830013 - 0 - 0</v>
      </c>
    </row>
    <row r="5006" spans="1:15" x14ac:dyDescent="0.25">
      <c r="A5006" s="1">
        <v>922604</v>
      </c>
      <c r="B5006" s="1" t="s">
        <v>22</v>
      </c>
      <c r="C5006" s="1" t="s">
        <v>23</v>
      </c>
      <c r="D5006" s="2">
        <v>44686.428556562503</v>
      </c>
      <c r="E5006" s="1" t="s">
        <v>8</v>
      </c>
      <c r="F5006" s="1">
        <v>1</v>
      </c>
      <c r="G5006" s="1">
        <v>0</v>
      </c>
      <c r="H5006" s="6">
        <f>INT(Query1[[#This Row],[EntryDateTime]])</f>
        <v>44686</v>
      </c>
      <c r="I5006" s="1">
        <f>IF(Query1[[#This Row],[ItemType]]="EVAP KIT SF GEN IV",Query1[[#This Row],[OrderQty]]+I5005,I5005)</f>
        <v>6194</v>
      </c>
      <c r="J5006" s="1">
        <f>IF(Query1[[#This Row],[ItemType]]="EVAP KIT UNIVERSAL",Query1[[#This Row],[OrderQty]]+J5005,J5005)</f>
        <v>1989</v>
      </c>
      <c r="K5006" s="1">
        <f>Query1[[#This Row],[SF Running Total]]+Query1[[#This Row],[UNIV Running Total]]</f>
        <v>8183</v>
      </c>
      <c r="L5006">
        <f>VLOOKUP(Query1[[#This Row],[Description]],'kits to boards'!$B$2:$E$156,2,FALSE)</f>
        <v>830083</v>
      </c>
      <c r="M5006">
        <f>VLOOKUP(Query1[[#This Row],[Description]],'kits to boards'!$B$2:$E$156,3,FALSE)</f>
        <v>0</v>
      </c>
      <c r="N5006">
        <f>VLOOKUP(Query1[[#This Row],[Description]],'kits to boards'!$B$2:$E$156,4,FALSE)</f>
        <v>0</v>
      </c>
      <c r="O5006" t="str">
        <f>CONCATENATE(Query1[[#This Row],[Description]]," - ",Query1[[#This Row],[MB1]]," - ",Query1[[#This Row],[MB2]]," - ",Query1[[#This Row],[MB3]])</f>
        <v>GEN IV MAGNUM EVAP KIT - 830083 - 0 - 0</v>
      </c>
    </row>
    <row r="5007" spans="1:15" x14ac:dyDescent="0.25">
      <c r="A5007" s="1">
        <v>922514</v>
      </c>
      <c r="B5007" s="1" t="s">
        <v>22</v>
      </c>
      <c r="C5007" s="1" t="s">
        <v>23</v>
      </c>
      <c r="D5007" s="2">
        <v>44686.428950925925</v>
      </c>
      <c r="E5007" s="1" t="s">
        <v>8</v>
      </c>
      <c r="F5007" s="1">
        <v>1</v>
      </c>
      <c r="G5007" s="1">
        <v>0</v>
      </c>
      <c r="H5007" s="6">
        <f>INT(Query1[[#This Row],[EntryDateTime]])</f>
        <v>44686</v>
      </c>
      <c r="I5007" s="1">
        <f>IF(Query1[[#This Row],[ItemType]]="EVAP KIT SF GEN IV",Query1[[#This Row],[OrderQty]]+I5006,I5006)</f>
        <v>6195</v>
      </c>
      <c r="J5007" s="1">
        <f>IF(Query1[[#This Row],[ItemType]]="EVAP KIT UNIVERSAL",Query1[[#This Row],[OrderQty]]+J5006,J5006)</f>
        <v>1989</v>
      </c>
      <c r="K5007" s="1">
        <f>Query1[[#This Row],[SF Running Total]]+Query1[[#This Row],[UNIV Running Total]]</f>
        <v>8184</v>
      </c>
      <c r="L5007">
        <f>VLOOKUP(Query1[[#This Row],[Description]],'kits to boards'!$B$2:$E$156,2,FALSE)</f>
        <v>830083</v>
      </c>
      <c r="M5007">
        <f>VLOOKUP(Query1[[#This Row],[Description]],'kits to boards'!$B$2:$E$156,3,FALSE)</f>
        <v>0</v>
      </c>
      <c r="N5007">
        <f>VLOOKUP(Query1[[#This Row],[Description]],'kits to boards'!$B$2:$E$156,4,FALSE)</f>
        <v>0</v>
      </c>
      <c r="O5007" t="str">
        <f>CONCATENATE(Query1[[#This Row],[Description]]," - ",Query1[[#This Row],[MB1]]," - ",Query1[[#This Row],[MB2]]," - ",Query1[[#This Row],[MB3]])</f>
        <v>GEN IV MAGNUM EVAP KIT - 830083 - 0 - 0</v>
      </c>
    </row>
    <row r="5008" spans="1:15" x14ac:dyDescent="0.25">
      <c r="A5008" s="1">
        <v>922611</v>
      </c>
      <c r="B5008" s="1" t="s">
        <v>92</v>
      </c>
      <c r="C5008" s="1" t="s">
        <v>93</v>
      </c>
      <c r="D5008" s="2">
        <v>44686.442938506945</v>
      </c>
      <c r="E5008" s="1" t="s">
        <v>8</v>
      </c>
      <c r="F5008" s="1">
        <v>1</v>
      </c>
      <c r="G5008" s="1">
        <v>0</v>
      </c>
      <c r="H5008" s="6">
        <f>INT(Query1[[#This Row],[EntryDateTime]])</f>
        <v>44686</v>
      </c>
      <c r="I5008" s="1">
        <f>IF(Query1[[#This Row],[ItemType]]="EVAP KIT SF GEN IV",Query1[[#This Row],[OrderQty]]+I5007,I5007)</f>
        <v>6196</v>
      </c>
      <c r="J5008" s="1">
        <f>IF(Query1[[#This Row],[ItemType]]="EVAP KIT UNIVERSAL",Query1[[#This Row],[OrderQty]]+J5007,J5007)</f>
        <v>1989</v>
      </c>
      <c r="K5008" s="1">
        <f>Query1[[#This Row],[SF Running Total]]+Query1[[#This Row],[UNIV Running Total]]</f>
        <v>8185</v>
      </c>
      <c r="L5008">
        <f>VLOOKUP(Query1[[#This Row],[Description]],'kits to boards'!$B$2:$E$156,2,FALSE)</f>
        <v>830063</v>
      </c>
      <c r="M5008">
        <f>VLOOKUP(Query1[[#This Row],[Description]],'kits to boards'!$B$2:$E$156,3,FALSE)</f>
        <v>0</v>
      </c>
      <c r="N5008">
        <f>VLOOKUP(Query1[[#This Row],[Description]],'kits to boards'!$B$2:$E$156,4,FALSE)</f>
        <v>0</v>
      </c>
      <c r="O5008" t="str">
        <f>CONCATENATE(Query1[[#This Row],[Description]]," - ",Query1[[#This Row],[MB1]]," - ",Query1[[#This Row],[MB2]]," - ",Query1[[#This Row],[MB3]])</f>
        <v>EVAP KIT 50-53 CHEV P-UP GEN IV - 830063 - 0 - 0</v>
      </c>
    </row>
    <row r="5009" spans="1:15" x14ac:dyDescent="0.25">
      <c r="A5009" s="1">
        <v>922598</v>
      </c>
      <c r="B5009" s="1" t="s">
        <v>206</v>
      </c>
      <c r="C5009" s="1" t="s">
        <v>207</v>
      </c>
      <c r="D5009" s="2">
        <v>44686.445025000001</v>
      </c>
      <c r="E5009" s="1" t="s">
        <v>8</v>
      </c>
      <c r="F5009" s="1">
        <v>1</v>
      </c>
      <c r="G5009" s="1">
        <v>0</v>
      </c>
      <c r="H5009" s="6">
        <f>INT(Query1[[#This Row],[EntryDateTime]])</f>
        <v>44686</v>
      </c>
      <c r="I5009" s="1">
        <f>IF(Query1[[#This Row],[ItemType]]="EVAP KIT SF GEN IV",Query1[[#This Row],[OrderQty]]+I5008,I5008)</f>
        <v>6197</v>
      </c>
      <c r="J5009" s="1">
        <f>IF(Query1[[#This Row],[ItemType]]="EVAP KIT UNIVERSAL",Query1[[#This Row],[OrderQty]]+J5008,J5008)</f>
        <v>1989</v>
      </c>
      <c r="K5009" s="1">
        <f>Query1[[#This Row],[SF Running Total]]+Query1[[#This Row],[UNIV Running Total]]</f>
        <v>8186</v>
      </c>
      <c r="L5009">
        <f>VLOOKUP(Query1[[#This Row],[Description]],'kits to boards'!$B$2:$E$156,2,FALSE)</f>
        <v>830032</v>
      </c>
      <c r="M5009">
        <f>VLOOKUP(Query1[[#This Row],[Description]],'kits to boards'!$B$2:$E$156,3,FALSE)</f>
        <v>0</v>
      </c>
      <c r="N5009">
        <f>VLOOKUP(Query1[[#This Row],[Description]],'kits to boards'!$B$2:$E$156,4,FALSE)</f>
        <v>0</v>
      </c>
      <c r="O5009" t="str">
        <f>CONCATENATE(Query1[[#This Row],[Description]]," - ",Query1[[#This Row],[MB1]]," - ",Query1[[#This Row],[MB2]]," - ",Query1[[#This Row],[MB3]])</f>
        <v>EVAP KIT 61-62 VETTE - 830032 - 0 - 0</v>
      </c>
    </row>
    <row r="5010" spans="1:15" x14ac:dyDescent="0.25">
      <c r="A5010" s="1">
        <v>922614</v>
      </c>
      <c r="B5010" s="1" t="s">
        <v>48</v>
      </c>
      <c r="C5010" s="1" t="s">
        <v>49</v>
      </c>
      <c r="D5010" s="2">
        <v>44686.447914386576</v>
      </c>
      <c r="E5010" s="1" t="s">
        <v>8</v>
      </c>
      <c r="F5010" s="1">
        <v>1</v>
      </c>
      <c r="G5010" s="1">
        <v>0</v>
      </c>
      <c r="H5010" s="6">
        <f>INT(Query1[[#This Row],[EntryDateTime]])</f>
        <v>44686</v>
      </c>
      <c r="I5010" s="1">
        <f>IF(Query1[[#This Row],[ItemType]]="EVAP KIT SF GEN IV",Query1[[#This Row],[OrderQty]]+I5009,I5009)</f>
        <v>6198</v>
      </c>
      <c r="J5010" s="1">
        <f>IF(Query1[[#This Row],[ItemType]]="EVAP KIT UNIVERSAL",Query1[[#This Row],[OrderQty]]+J5009,J5009)</f>
        <v>1989</v>
      </c>
      <c r="K5010" s="1">
        <f>Query1[[#This Row],[SF Running Total]]+Query1[[#This Row],[UNIV Running Total]]</f>
        <v>8187</v>
      </c>
      <c r="L5010">
        <f>VLOOKUP(Query1[[#This Row],[Description]],'kits to boards'!$B$2:$E$156,2,FALSE)</f>
        <v>830015</v>
      </c>
      <c r="M5010">
        <f>VLOOKUP(Query1[[#This Row],[Description]],'kits to boards'!$B$2:$E$156,3,FALSE)</f>
        <v>0</v>
      </c>
      <c r="N5010">
        <f>VLOOKUP(Query1[[#This Row],[Description]],'kits to boards'!$B$2:$E$156,4,FALSE)</f>
        <v>0</v>
      </c>
      <c r="O5010" t="str">
        <f>CONCATENATE(Query1[[#This Row],[Description]]," - ",Query1[[#This Row],[MB1]]," - ",Query1[[#This Row],[MB2]]," - ",Query1[[#This Row],[MB3]])</f>
        <v>EVAP KIT 64-66 CHEV P-UP WO AC W/DELX - 830015 - 0 - 0</v>
      </c>
    </row>
    <row r="5011" spans="1:15" x14ac:dyDescent="0.25">
      <c r="A5011" s="1">
        <v>922621</v>
      </c>
      <c r="B5011" s="1" t="s">
        <v>140</v>
      </c>
      <c r="C5011" s="1" t="s">
        <v>141</v>
      </c>
      <c r="D5011" s="2">
        <v>44686.455162615741</v>
      </c>
      <c r="E5011" s="1" t="s">
        <v>8</v>
      </c>
      <c r="F5011" s="1">
        <v>1</v>
      </c>
      <c r="G5011" s="1">
        <v>0</v>
      </c>
      <c r="H5011" s="6">
        <f>INT(Query1[[#This Row],[EntryDateTime]])</f>
        <v>44686</v>
      </c>
      <c r="I5011" s="1">
        <f>IF(Query1[[#This Row],[ItemType]]="EVAP KIT SF GEN IV",Query1[[#This Row],[OrderQty]]+I5010,I5010)</f>
        <v>6199</v>
      </c>
      <c r="J5011" s="1">
        <f>IF(Query1[[#This Row],[ItemType]]="EVAP KIT UNIVERSAL",Query1[[#This Row],[OrderQty]]+J5010,J5010)</f>
        <v>1989</v>
      </c>
      <c r="K5011" s="1">
        <f>Query1[[#This Row],[SF Running Total]]+Query1[[#This Row],[UNIV Running Total]]</f>
        <v>8188</v>
      </c>
      <c r="L5011">
        <f>VLOOKUP(Query1[[#This Row],[Description]],'kits to boards'!$B$2:$E$156,2,FALSE)</f>
        <v>830066</v>
      </c>
      <c r="M5011">
        <f>VLOOKUP(Query1[[#This Row],[Description]],'kits to boards'!$B$2:$E$156,3,FALSE)</f>
        <v>0</v>
      </c>
      <c r="N5011">
        <f>VLOOKUP(Query1[[#This Row],[Description]],'kits to boards'!$B$2:$E$156,4,FALSE)</f>
        <v>0</v>
      </c>
      <c r="O5011" t="str">
        <f>CONCATENATE(Query1[[#This Row],[Description]]," - ",Query1[[#This Row],[MB1]]," - ",Query1[[#This Row],[MB2]]," - ",Query1[[#This Row],[MB3]])</f>
        <v>EVAP KIT 60-63 CHEV P-UP WO AC - 830066 - 0 - 0</v>
      </c>
    </row>
    <row r="5012" spans="1:15" x14ac:dyDescent="0.25">
      <c r="A5012" s="1">
        <v>922624</v>
      </c>
      <c r="B5012" s="1" t="s">
        <v>78</v>
      </c>
      <c r="C5012" s="1" t="s">
        <v>79</v>
      </c>
      <c r="D5012" s="2">
        <v>44686.462743206015</v>
      </c>
      <c r="E5012" s="1" t="s">
        <v>11</v>
      </c>
      <c r="F5012" s="1">
        <v>1</v>
      </c>
      <c r="G5012" s="1">
        <v>0</v>
      </c>
      <c r="H5012" s="6">
        <f>INT(Query1[[#This Row],[EntryDateTime]])</f>
        <v>44686</v>
      </c>
      <c r="I5012" s="1">
        <f>IF(Query1[[#This Row],[ItemType]]="EVAP KIT SF GEN IV",Query1[[#This Row],[OrderQty]]+I5011,I5011)</f>
        <v>6199</v>
      </c>
      <c r="J5012" s="1">
        <f>IF(Query1[[#This Row],[ItemType]]="EVAP KIT UNIVERSAL",Query1[[#This Row],[OrderQty]]+J5011,J5011)</f>
        <v>1990</v>
      </c>
      <c r="K5012" s="1">
        <f>Query1[[#This Row],[SF Running Total]]+Query1[[#This Row],[UNIV Running Total]]</f>
        <v>8189</v>
      </c>
      <c r="L5012">
        <f>VLOOKUP(Query1[[#This Row],[Description]],'kits to boards'!$B$2:$E$156,2,FALSE)</f>
        <v>0</v>
      </c>
      <c r="M5012">
        <f>VLOOKUP(Query1[[#This Row],[Description]],'kits to boards'!$B$2:$E$156,3,FALSE)</f>
        <v>0</v>
      </c>
      <c r="N5012">
        <f>VLOOKUP(Query1[[#This Row],[Description]],'kits to boards'!$B$2:$E$156,4,FALSE)</f>
        <v>0</v>
      </c>
      <c r="O5012" t="str">
        <f>CONCATENATE(Query1[[#This Row],[Description]]," - ",Query1[[#This Row],[MB1]]," - ",Query1[[#This Row],[MB2]]," - ",Query1[[#This Row],[MB3]])</f>
        <v>MARK IV STYLELINE UNDERDASH EVAP - 0 - 0 - 0</v>
      </c>
    </row>
    <row r="5013" spans="1:15" x14ac:dyDescent="0.25">
      <c r="A5013" s="1">
        <v>922615</v>
      </c>
      <c r="B5013" s="1" t="s">
        <v>94</v>
      </c>
      <c r="C5013" s="1" t="s">
        <v>95</v>
      </c>
      <c r="D5013" s="2">
        <v>44686.475804861111</v>
      </c>
      <c r="E5013" s="1" t="s">
        <v>8</v>
      </c>
      <c r="F5013" s="1">
        <v>1</v>
      </c>
      <c r="G5013" s="1">
        <v>0</v>
      </c>
      <c r="H5013" s="6">
        <f>INT(Query1[[#This Row],[EntryDateTime]])</f>
        <v>44686</v>
      </c>
      <c r="I5013" s="1">
        <f>IF(Query1[[#This Row],[ItemType]]="EVAP KIT SF GEN IV",Query1[[#This Row],[OrderQty]]+I5012,I5012)</f>
        <v>6200</v>
      </c>
      <c r="J5013" s="1">
        <f>IF(Query1[[#This Row],[ItemType]]="EVAP KIT UNIVERSAL",Query1[[#This Row],[OrderQty]]+J5012,J5012)</f>
        <v>1990</v>
      </c>
      <c r="K5013" s="1">
        <f>Query1[[#This Row],[SF Running Total]]+Query1[[#This Row],[UNIV Running Total]]</f>
        <v>8190</v>
      </c>
      <c r="L5013">
        <f>VLOOKUP(Query1[[#This Row],[Description]],'kits to boards'!$B$2:$E$156,2,FALSE)</f>
        <v>830076</v>
      </c>
      <c r="M5013">
        <f>VLOOKUP(Query1[[#This Row],[Description]],'kits to boards'!$B$2:$E$156,3,FALSE)</f>
        <v>0</v>
      </c>
      <c r="N5013">
        <f>VLOOKUP(Query1[[#This Row],[Description]],'kits to boards'!$B$2:$E$156,4,FALSE)</f>
        <v>0</v>
      </c>
      <c r="O5013" t="str">
        <f>CONCATENATE(Query1[[#This Row],[Description]]," - ",Query1[[#This Row],[MB1]]," - ",Query1[[#This Row],[MB2]]," - ",Query1[[#This Row],[MB3]])</f>
        <v>EVAP KIT 64 1/2- 66 MUSTANG  - 830076 - 0 - 0</v>
      </c>
    </row>
    <row r="5014" spans="1:15" x14ac:dyDescent="0.25">
      <c r="A5014" s="1">
        <v>922634</v>
      </c>
      <c r="B5014" s="1" t="s">
        <v>22</v>
      </c>
      <c r="C5014" s="1" t="s">
        <v>23</v>
      </c>
      <c r="D5014" s="2">
        <v>44686.490434687497</v>
      </c>
      <c r="E5014" s="1" t="s">
        <v>8</v>
      </c>
      <c r="F5014" s="1">
        <v>1</v>
      </c>
      <c r="G5014" s="1">
        <v>0</v>
      </c>
      <c r="H5014" s="6">
        <f>INT(Query1[[#This Row],[EntryDateTime]])</f>
        <v>44686</v>
      </c>
      <c r="I5014" s="1">
        <f>IF(Query1[[#This Row],[ItemType]]="EVAP KIT SF GEN IV",Query1[[#This Row],[OrderQty]]+I5013,I5013)</f>
        <v>6201</v>
      </c>
      <c r="J5014" s="1">
        <f>IF(Query1[[#This Row],[ItemType]]="EVAP KIT UNIVERSAL",Query1[[#This Row],[OrderQty]]+J5013,J5013)</f>
        <v>1990</v>
      </c>
      <c r="K5014" s="1">
        <f>Query1[[#This Row],[SF Running Total]]+Query1[[#This Row],[UNIV Running Total]]</f>
        <v>8191</v>
      </c>
      <c r="L5014">
        <f>VLOOKUP(Query1[[#This Row],[Description]],'kits to boards'!$B$2:$E$156,2,FALSE)</f>
        <v>830083</v>
      </c>
      <c r="M5014">
        <f>VLOOKUP(Query1[[#This Row],[Description]],'kits to boards'!$B$2:$E$156,3,FALSE)</f>
        <v>0</v>
      </c>
      <c r="N5014">
        <f>VLOOKUP(Query1[[#This Row],[Description]],'kits to boards'!$B$2:$E$156,4,FALSE)</f>
        <v>0</v>
      </c>
      <c r="O5014" t="str">
        <f>CONCATENATE(Query1[[#This Row],[Description]]," - ",Query1[[#This Row],[MB1]]," - ",Query1[[#This Row],[MB2]]," - ",Query1[[#This Row],[MB3]])</f>
        <v>GEN IV MAGNUM EVAP KIT - 830083 - 0 - 0</v>
      </c>
    </row>
    <row r="5015" spans="1:15" x14ac:dyDescent="0.25">
      <c r="A5015" s="1">
        <v>922638</v>
      </c>
      <c r="B5015" s="1" t="s">
        <v>244</v>
      </c>
      <c r="C5015" s="1" t="s">
        <v>245</v>
      </c>
      <c r="D5015" s="2">
        <v>44686.503087847224</v>
      </c>
      <c r="E5015" s="1" t="s">
        <v>8</v>
      </c>
      <c r="F5015" s="1">
        <v>1</v>
      </c>
      <c r="G5015" s="1">
        <v>0</v>
      </c>
      <c r="H5015" s="6">
        <f>INT(Query1[[#This Row],[EntryDateTime]])</f>
        <v>44686</v>
      </c>
      <c r="I5015" s="1">
        <f>IF(Query1[[#This Row],[ItemType]]="EVAP KIT SF GEN IV",Query1[[#This Row],[OrderQty]]+I5014,I5014)</f>
        <v>6202</v>
      </c>
      <c r="J5015" s="1">
        <f>IF(Query1[[#This Row],[ItemType]]="EVAP KIT UNIVERSAL",Query1[[#This Row],[OrderQty]]+J5014,J5014)</f>
        <v>1990</v>
      </c>
      <c r="K5015" s="1">
        <f>Query1[[#This Row],[SF Running Total]]+Query1[[#This Row],[UNIV Running Total]]</f>
        <v>8192</v>
      </c>
      <c r="L5015">
        <f>VLOOKUP(Query1[[#This Row],[Description]],'kits to boards'!$B$2:$E$156,2,FALSE)</f>
        <v>830100</v>
      </c>
      <c r="M5015">
        <f>VLOOKUP(Query1[[#This Row],[Description]],'kits to boards'!$B$2:$E$156,3,FALSE)</f>
        <v>0</v>
      </c>
      <c r="N5015">
        <f>VLOOKUP(Query1[[#This Row],[Description]],'kits to boards'!$B$2:$E$156,4,FALSE)</f>
        <v>0</v>
      </c>
      <c r="O5015" t="str">
        <f>CONCATENATE(Query1[[#This Row],[Description]]," - ",Query1[[#This Row],[MB1]]," - ",Query1[[#This Row],[MB2]]," - ",Query1[[#This Row],[MB3]])</f>
        <v>EVAP KIT 68-76 VETTE WO AC - 830100 - 0 - 0</v>
      </c>
    </row>
    <row r="5016" spans="1:15" x14ac:dyDescent="0.25">
      <c r="A5016" s="1">
        <v>922487</v>
      </c>
      <c r="B5016" s="1" t="s">
        <v>84</v>
      </c>
      <c r="C5016" s="1" t="s">
        <v>85</v>
      </c>
      <c r="D5016" s="2">
        <v>44686.508698182872</v>
      </c>
      <c r="E5016" s="1" t="s">
        <v>8</v>
      </c>
      <c r="F5016" s="1">
        <v>1</v>
      </c>
      <c r="G5016" s="1">
        <v>0</v>
      </c>
      <c r="H5016" s="6">
        <f>INT(Query1[[#This Row],[EntryDateTime]])</f>
        <v>44686</v>
      </c>
      <c r="I5016" s="1">
        <f>IF(Query1[[#This Row],[ItemType]]="EVAP KIT SF GEN IV",Query1[[#This Row],[OrderQty]]+I5015,I5015)</f>
        <v>6203</v>
      </c>
      <c r="J5016" s="1">
        <f>IF(Query1[[#This Row],[ItemType]]="EVAP KIT UNIVERSAL",Query1[[#This Row],[OrderQty]]+J5015,J5015)</f>
        <v>1990</v>
      </c>
      <c r="K5016" s="1">
        <f>Query1[[#This Row],[SF Running Total]]+Query1[[#This Row],[UNIV Running Total]]</f>
        <v>8193</v>
      </c>
      <c r="L5016">
        <f>VLOOKUP(Query1[[#This Row],[Description]],'kits to boards'!$B$2:$E$156,2,FALSE)</f>
        <v>830085</v>
      </c>
      <c r="M5016">
        <f>VLOOKUP(Query1[[#This Row],[Description]],'kits to boards'!$B$2:$E$156,3,FALSE)</f>
        <v>0</v>
      </c>
      <c r="N5016">
        <f>VLOOKUP(Query1[[#This Row],[Description]],'kits to boards'!$B$2:$E$156,4,FALSE)</f>
        <v>0</v>
      </c>
      <c r="O5016" t="str">
        <f>CONCATENATE(Query1[[#This Row],[Description]]," - ",Query1[[#This Row],[MB1]]," - ",Query1[[#This Row],[MB2]]," - ",Query1[[#This Row],[MB3]])</f>
        <v>EVAP KIT 66-77 BRONCO 4-VENT PLENUM - 830085 - 0 - 0</v>
      </c>
    </row>
    <row r="5017" spans="1:15" x14ac:dyDescent="0.25">
      <c r="A5017" s="1">
        <v>922574</v>
      </c>
      <c r="B5017" s="1" t="s">
        <v>90</v>
      </c>
      <c r="C5017" s="1" t="s">
        <v>91</v>
      </c>
      <c r="D5017" s="2">
        <v>44686.518328738428</v>
      </c>
      <c r="E5017" s="1" t="s">
        <v>8</v>
      </c>
      <c r="F5017" s="1">
        <v>1</v>
      </c>
      <c r="G5017" s="1">
        <v>0</v>
      </c>
      <c r="H5017" s="6">
        <f>INT(Query1[[#This Row],[EntryDateTime]])</f>
        <v>44686</v>
      </c>
      <c r="I5017" s="1">
        <f>IF(Query1[[#This Row],[ItemType]]="EVAP KIT SF GEN IV",Query1[[#This Row],[OrderQty]]+I5016,I5016)</f>
        <v>6204</v>
      </c>
      <c r="J5017" s="1">
        <f>IF(Query1[[#This Row],[ItemType]]="EVAP KIT UNIVERSAL",Query1[[#This Row],[OrderQty]]+J5016,J5016)</f>
        <v>1990</v>
      </c>
      <c r="K5017" s="1">
        <f>Query1[[#This Row],[SF Running Total]]+Query1[[#This Row],[UNIV Running Total]]</f>
        <v>8194</v>
      </c>
      <c r="L5017">
        <f>VLOOKUP(Query1[[#This Row],[Description]],'kits to boards'!$B$2:$E$156,2,FALSE)</f>
        <v>830105</v>
      </c>
      <c r="M5017">
        <f>VLOOKUP(Query1[[#This Row],[Description]],'kits to boards'!$B$2:$E$156,3,FALSE)</f>
        <v>830106</v>
      </c>
      <c r="N5017">
        <f>VLOOKUP(Query1[[#This Row],[Description]],'kits to boards'!$B$2:$E$156,4,FALSE)</f>
        <v>0</v>
      </c>
      <c r="O5017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5018" spans="1:15" x14ac:dyDescent="0.25">
      <c r="A5018" s="1">
        <v>922246</v>
      </c>
      <c r="B5018" s="1" t="s">
        <v>216</v>
      </c>
      <c r="C5018" s="1" t="s">
        <v>217</v>
      </c>
      <c r="D5018" s="2">
        <v>44686.551767858793</v>
      </c>
      <c r="E5018" s="1" t="s">
        <v>8</v>
      </c>
      <c r="F5018" s="1">
        <v>1</v>
      </c>
      <c r="G5018" s="1">
        <v>0</v>
      </c>
      <c r="H5018" s="6">
        <f>INT(Query1[[#This Row],[EntryDateTime]])</f>
        <v>44686</v>
      </c>
      <c r="I5018" s="1">
        <f>IF(Query1[[#This Row],[ItemType]]="EVAP KIT SF GEN IV",Query1[[#This Row],[OrderQty]]+I5017,I5017)</f>
        <v>6205</v>
      </c>
      <c r="J5018" s="1">
        <f>IF(Query1[[#This Row],[ItemType]]="EVAP KIT UNIVERSAL",Query1[[#This Row],[OrderQty]]+J5017,J5017)</f>
        <v>1990</v>
      </c>
      <c r="K5018" s="1">
        <f>Query1[[#This Row],[SF Running Total]]+Query1[[#This Row],[UNIV Running Total]]</f>
        <v>8195</v>
      </c>
      <c r="L5018">
        <f>VLOOKUP(Query1[[#This Row],[Description]],'kits to boards'!$B$2:$E$156,2,FALSE)</f>
        <v>830072</v>
      </c>
      <c r="M5018">
        <f>VLOOKUP(Query1[[#This Row],[Description]],'kits to boards'!$B$2:$E$156,3,FALSE)</f>
        <v>830075</v>
      </c>
      <c r="N5018">
        <f>VLOOKUP(Query1[[#This Row],[Description]],'kits to boards'!$B$2:$E$156,4,FALSE)</f>
        <v>0</v>
      </c>
      <c r="O5018" t="str">
        <f>CONCATENATE(Query1[[#This Row],[Description]]," - ",Query1[[#This Row],[MB1]]," - ",Query1[[#This Row],[MB2]]," - ",Query1[[#This Row],[MB3]])</f>
        <v>EVAP KIT 69-70 MOPAR B BODY W/AC - 830072 - 830075 - 0</v>
      </c>
    </row>
    <row r="5019" spans="1:15" x14ac:dyDescent="0.25">
      <c r="A5019" s="1">
        <v>921236</v>
      </c>
      <c r="B5019" s="1" t="s">
        <v>88</v>
      </c>
      <c r="C5019" s="1" t="s">
        <v>89</v>
      </c>
      <c r="D5019" s="2">
        <v>44686.55765130787</v>
      </c>
      <c r="E5019" s="1" t="s">
        <v>8</v>
      </c>
      <c r="F5019" s="1">
        <v>1</v>
      </c>
      <c r="G5019" s="1">
        <v>0</v>
      </c>
      <c r="H5019" s="6">
        <f>INT(Query1[[#This Row],[EntryDateTime]])</f>
        <v>44686</v>
      </c>
      <c r="I5019" s="1">
        <f>IF(Query1[[#This Row],[ItemType]]="EVAP KIT SF GEN IV",Query1[[#This Row],[OrderQty]]+I5018,I5018)</f>
        <v>6206</v>
      </c>
      <c r="J5019" s="1">
        <f>IF(Query1[[#This Row],[ItemType]]="EVAP KIT UNIVERSAL",Query1[[#This Row],[OrderQty]]+J5018,J5018)</f>
        <v>1990</v>
      </c>
      <c r="K5019" s="1">
        <f>Query1[[#This Row],[SF Running Total]]+Query1[[#This Row],[UNIV Running Total]]</f>
        <v>8196</v>
      </c>
      <c r="L5019">
        <f>VLOOKUP(Query1[[#This Row],[Description]],'kits to boards'!$B$2:$E$156,2,FALSE)</f>
        <v>830003</v>
      </c>
      <c r="M5019">
        <f>VLOOKUP(Query1[[#This Row],[Description]],'kits to boards'!$B$2:$E$156,3,FALSE)</f>
        <v>0</v>
      </c>
      <c r="N5019">
        <f>VLOOKUP(Query1[[#This Row],[Description]],'kits to boards'!$B$2:$E$156,4,FALSE)</f>
        <v>0</v>
      </c>
      <c r="O5019" t="str">
        <f>CONCATENATE(Query1[[#This Row],[Description]]," - ",Query1[[#This Row],[MB1]]," - ",Query1[[#This Row],[MB2]]," - ",Query1[[#This Row],[MB3]])</f>
        <v>EVAP KIT 81-87 CHEV P-UP WO AC - 830003 - 0 - 0</v>
      </c>
    </row>
    <row r="5020" spans="1:15" x14ac:dyDescent="0.25">
      <c r="A5020" s="1">
        <v>922671</v>
      </c>
      <c r="B5020" s="1" t="s">
        <v>32</v>
      </c>
      <c r="C5020" s="1" t="s">
        <v>33</v>
      </c>
      <c r="D5020" s="2">
        <v>44686.55945385417</v>
      </c>
      <c r="E5020" s="1" t="s">
        <v>8</v>
      </c>
      <c r="F5020" s="1">
        <v>1</v>
      </c>
      <c r="G5020" s="1">
        <v>0</v>
      </c>
      <c r="H5020" s="6">
        <f>INT(Query1[[#This Row],[EntryDateTime]])</f>
        <v>44686</v>
      </c>
      <c r="I5020" s="1">
        <f>IF(Query1[[#This Row],[ItemType]]="EVAP KIT SF GEN IV",Query1[[#This Row],[OrderQty]]+I5019,I5019)</f>
        <v>6207</v>
      </c>
      <c r="J5020" s="1">
        <f>IF(Query1[[#This Row],[ItemType]]="EVAP KIT UNIVERSAL",Query1[[#This Row],[OrderQty]]+J5019,J5019)</f>
        <v>1990</v>
      </c>
      <c r="K5020" s="1">
        <f>Query1[[#This Row],[SF Running Total]]+Query1[[#This Row],[UNIV Running Total]]</f>
        <v>8197</v>
      </c>
      <c r="L5020">
        <f>VLOOKUP(Query1[[#This Row],[Description]],'kits to boards'!$B$2:$E$156,2,FALSE)</f>
        <v>830016</v>
      </c>
      <c r="M5020">
        <f>VLOOKUP(Query1[[#This Row],[Description]],'kits to boards'!$B$2:$E$156,3,FALSE)</f>
        <v>0</v>
      </c>
      <c r="N5020">
        <f>VLOOKUP(Query1[[#This Row],[Description]],'kits to boards'!$B$2:$E$156,4,FALSE)</f>
        <v>0</v>
      </c>
      <c r="O5020" t="str">
        <f>CONCATENATE(Query1[[#This Row],[Description]]," - ",Query1[[#This Row],[MB1]]," - ",Query1[[#This Row],[MB2]]," - ",Query1[[#This Row],[MB3]])</f>
        <v>EVAP KIT 67-68 CAMARO/FIREBIRD W/AC - 830016 - 0 - 0</v>
      </c>
    </row>
    <row r="5021" spans="1:15" x14ac:dyDescent="0.25">
      <c r="A5021" s="1">
        <v>921953</v>
      </c>
      <c r="B5021" s="1" t="s">
        <v>170</v>
      </c>
      <c r="C5021" s="1" t="s">
        <v>171</v>
      </c>
      <c r="D5021" s="2">
        <v>44686.56062989583</v>
      </c>
      <c r="E5021" s="1" t="s">
        <v>8</v>
      </c>
      <c r="F5021" s="1">
        <v>1</v>
      </c>
      <c r="G5021" s="1">
        <v>0</v>
      </c>
      <c r="H5021" s="6">
        <f>INT(Query1[[#This Row],[EntryDateTime]])</f>
        <v>44686</v>
      </c>
      <c r="I5021" s="1">
        <f>IF(Query1[[#This Row],[ItemType]]="EVAP KIT SF GEN IV",Query1[[#This Row],[OrderQty]]+I5020,I5020)</f>
        <v>6208</v>
      </c>
      <c r="J5021" s="1">
        <f>IF(Query1[[#This Row],[ItemType]]="EVAP KIT UNIVERSAL",Query1[[#This Row],[OrderQty]]+J5020,J5020)</f>
        <v>1990</v>
      </c>
      <c r="K5021" s="1">
        <f>Query1[[#This Row],[SF Running Total]]+Query1[[#This Row],[UNIV Running Total]]</f>
        <v>8198</v>
      </c>
      <c r="L5021">
        <f>VLOOKUP(Query1[[#This Row],[Description]],'kits to boards'!$B$2:$E$156,2,FALSE)</f>
        <v>830018</v>
      </c>
      <c r="M5021">
        <f>VLOOKUP(Query1[[#This Row],[Description]],'kits to boards'!$B$2:$E$156,3,FALSE)</f>
        <v>0</v>
      </c>
      <c r="N5021">
        <f>VLOOKUP(Query1[[#This Row],[Description]],'kits to boards'!$B$2:$E$156,4,FALSE)</f>
        <v>0</v>
      </c>
      <c r="O5021" t="str">
        <f>CONCATENATE(Query1[[#This Row],[Description]]," - ",Query1[[#This Row],[MB1]]," - ",Query1[[#This Row],[MB2]]," - ",Query1[[#This Row],[MB3]])</f>
        <v>EVAP KIT 67 FORD P-UP F-100 - 830018 - 0 - 0</v>
      </c>
    </row>
    <row r="5022" spans="1:15" x14ac:dyDescent="0.25">
      <c r="A5022" s="1">
        <v>922563</v>
      </c>
      <c r="B5022" s="1" t="s">
        <v>186</v>
      </c>
      <c r="C5022" s="1" t="s">
        <v>187</v>
      </c>
      <c r="D5022" s="2">
        <v>44686.567757060184</v>
      </c>
      <c r="E5022" s="1" t="s">
        <v>8</v>
      </c>
      <c r="F5022" s="1">
        <v>1</v>
      </c>
      <c r="G5022" s="1">
        <v>0</v>
      </c>
      <c r="H5022" s="6">
        <f>INT(Query1[[#This Row],[EntryDateTime]])</f>
        <v>44686</v>
      </c>
      <c r="I5022" s="1">
        <f>IF(Query1[[#This Row],[ItemType]]="EVAP KIT SF GEN IV",Query1[[#This Row],[OrderQty]]+I5021,I5021)</f>
        <v>6209</v>
      </c>
      <c r="J5022" s="1">
        <f>IF(Query1[[#This Row],[ItemType]]="EVAP KIT UNIVERSAL",Query1[[#This Row],[OrderQty]]+J5021,J5021)</f>
        <v>1990</v>
      </c>
      <c r="K5022" s="1">
        <f>Query1[[#This Row],[SF Running Total]]+Query1[[#This Row],[UNIV Running Total]]</f>
        <v>8199</v>
      </c>
      <c r="L5022">
        <f>VLOOKUP(Query1[[#This Row],[Description]],'kits to boards'!$B$2:$E$156,2,FALSE)</f>
        <v>830125</v>
      </c>
      <c r="M5022">
        <f>VLOOKUP(Query1[[#This Row],[Description]],'kits to boards'!$B$2:$E$156,3,FALSE)</f>
        <v>830126</v>
      </c>
      <c r="N5022">
        <f>VLOOKUP(Query1[[#This Row],[Description]],'kits to boards'!$B$2:$E$156,4,FALSE)</f>
        <v>0</v>
      </c>
      <c r="O5022" t="str">
        <f>CONCATENATE(Query1[[#This Row],[Description]]," - ",Query1[[#This Row],[MB1]]," - ",Query1[[#This Row],[MB2]]," - ",Query1[[#This Row],[MB3]])</f>
        <v>EVAP KIT 65-66 IMPALA WO/AC - 830125 - 830126 - 0</v>
      </c>
    </row>
    <row r="5023" spans="1:15" x14ac:dyDescent="0.25">
      <c r="A5023" s="1">
        <v>922676</v>
      </c>
      <c r="B5023" s="1" t="s">
        <v>34</v>
      </c>
      <c r="C5023" s="1" t="s">
        <v>35</v>
      </c>
      <c r="D5023" s="2">
        <v>44686.569373182872</v>
      </c>
      <c r="E5023" s="1" t="s">
        <v>8</v>
      </c>
      <c r="F5023" s="1">
        <v>1</v>
      </c>
      <c r="G5023" s="1">
        <v>0</v>
      </c>
      <c r="H5023" s="6">
        <f>INT(Query1[[#This Row],[EntryDateTime]])</f>
        <v>44686</v>
      </c>
      <c r="I5023" s="1">
        <f>IF(Query1[[#This Row],[ItemType]]="EVAP KIT SF GEN IV",Query1[[#This Row],[OrderQty]]+I5022,I5022)</f>
        <v>6210</v>
      </c>
      <c r="J5023" s="1">
        <f>IF(Query1[[#This Row],[ItemType]]="EVAP KIT UNIVERSAL",Query1[[#This Row],[OrderQty]]+J5022,J5022)</f>
        <v>1990</v>
      </c>
      <c r="K5023" s="1">
        <f>Query1[[#This Row],[SF Running Total]]+Query1[[#This Row],[UNIV Running Total]]</f>
        <v>8200</v>
      </c>
      <c r="L5023">
        <f>VLOOKUP(Query1[[#This Row],[Description]],'kits to boards'!$B$2:$E$156,2,FALSE)</f>
        <v>830065</v>
      </c>
      <c r="M5023">
        <f>VLOOKUP(Query1[[#This Row],[Description]],'kits to boards'!$B$2:$E$156,3,FALSE)</f>
        <v>0</v>
      </c>
      <c r="N5023">
        <f>VLOOKUP(Query1[[#This Row],[Description]],'kits to boards'!$B$2:$E$156,4,FALSE)</f>
        <v>0</v>
      </c>
      <c r="O5023" t="str">
        <f>CONCATENATE(Query1[[#This Row],[Description]]," - ",Query1[[#This Row],[MB1]]," - ",Query1[[#This Row],[MB2]]," - ",Query1[[#This Row],[MB3]])</f>
        <v>EVAP KIT 57 CHEV WO AC - 830065 - 0 - 0</v>
      </c>
    </row>
    <row r="5024" spans="1:15" x14ac:dyDescent="0.25">
      <c r="A5024" s="1">
        <v>922643</v>
      </c>
      <c r="B5024" s="1" t="s">
        <v>142</v>
      </c>
      <c r="C5024" s="1" t="s">
        <v>143</v>
      </c>
      <c r="D5024" s="2">
        <v>44686.571862152778</v>
      </c>
      <c r="E5024" s="1" t="s">
        <v>8</v>
      </c>
      <c r="F5024" s="1">
        <v>1</v>
      </c>
      <c r="G5024" s="1">
        <v>0</v>
      </c>
      <c r="H5024" s="6">
        <f>INT(Query1[[#This Row],[EntryDateTime]])</f>
        <v>44686</v>
      </c>
      <c r="I5024" s="1">
        <f>IF(Query1[[#This Row],[ItemType]]="EVAP KIT SF GEN IV",Query1[[#This Row],[OrderQty]]+I5023,I5023)</f>
        <v>6211</v>
      </c>
      <c r="J5024" s="1">
        <f>IF(Query1[[#This Row],[ItemType]]="EVAP KIT UNIVERSAL",Query1[[#This Row],[OrderQty]]+J5023,J5023)</f>
        <v>1990</v>
      </c>
      <c r="K5024" s="1">
        <f>Query1[[#This Row],[SF Running Total]]+Query1[[#This Row],[UNIV Running Total]]</f>
        <v>8201</v>
      </c>
      <c r="L5024">
        <f>VLOOKUP(Query1[[#This Row],[Description]],'kits to boards'!$B$2:$E$156,2,FALSE)</f>
        <v>830052</v>
      </c>
      <c r="M5024">
        <f>VLOOKUP(Query1[[#This Row],[Description]],'kits to boards'!$B$2:$E$156,3,FALSE)</f>
        <v>0</v>
      </c>
      <c r="N5024">
        <f>VLOOKUP(Query1[[#This Row],[Description]],'kits to boards'!$B$2:$E$156,4,FALSE)</f>
        <v>0</v>
      </c>
      <c r="O5024" t="str">
        <f>CONCATENATE(Query1[[#This Row],[Description]]," - ",Query1[[#This Row],[MB1]]," - ",Query1[[#This Row],[MB2]]," - ",Query1[[#This Row],[MB3]])</f>
        <v>EVAP KIT 61-64 FORD F-100 - 830052 - 0 - 0</v>
      </c>
    </row>
    <row r="5025" spans="1:15" x14ac:dyDescent="0.25">
      <c r="A5025" s="1">
        <v>922679</v>
      </c>
      <c r="B5025" s="1" t="s">
        <v>108</v>
      </c>
      <c r="C5025" s="1" t="s">
        <v>109</v>
      </c>
      <c r="D5025" s="2">
        <v>44686.577077546295</v>
      </c>
      <c r="E5025" s="1" t="s">
        <v>8</v>
      </c>
      <c r="F5025" s="1">
        <v>1</v>
      </c>
      <c r="G5025" s="1">
        <v>0</v>
      </c>
      <c r="H5025" s="6">
        <f>INT(Query1[[#This Row],[EntryDateTime]])</f>
        <v>44686</v>
      </c>
      <c r="I5025" s="1">
        <f>IF(Query1[[#This Row],[ItemType]]="EVAP KIT SF GEN IV",Query1[[#This Row],[OrderQty]]+I5024,I5024)</f>
        <v>6212</v>
      </c>
      <c r="J5025" s="1">
        <f>IF(Query1[[#This Row],[ItemType]]="EVAP KIT UNIVERSAL",Query1[[#This Row],[OrderQty]]+J5024,J5024)</f>
        <v>1990</v>
      </c>
      <c r="K5025" s="1">
        <f>Query1[[#This Row],[SF Running Total]]+Query1[[#This Row],[UNIV Running Total]]</f>
        <v>8202</v>
      </c>
      <c r="L5025">
        <f>VLOOKUP(Query1[[#This Row],[Description]],'kits to boards'!$B$2:$E$156,2,FALSE)</f>
        <v>830105</v>
      </c>
      <c r="M5025">
        <f>VLOOKUP(Query1[[#This Row],[Description]],'kits to boards'!$B$2:$E$156,3,FALSE)</f>
        <v>830106</v>
      </c>
      <c r="N5025">
        <f>VLOOKUP(Query1[[#This Row],[Description]],'kits to boards'!$B$2:$E$156,4,FALSE)</f>
        <v>0</v>
      </c>
      <c r="O5025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5026" spans="1:15" x14ac:dyDescent="0.25">
      <c r="A5026" s="1">
        <v>922681</v>
      </c>
      <c r="B5026" s="1" t="s">
        <v>108</v>
      </c>
      <c r="C5026" s="1" t="s">
        <v>109</v>
      </c>
      <c r="D5026" s="2">
        <v>44686.584171759256</v>
      </c>
      <c r="E5026" s="1" t="s">
        <v>8</v>
      </c>
      <c r="F5026" s="1">
        <v>1</v>
      </c>
      <c r="G5026" s="1">
        <v>0</v>
      </c>
      <c r="H5026" s="6">
        <f>INT(Query1[[#This Row],[EntryDateTime]])</f>
        <v>44686</v>
      </c>
      <c r="I5026" s="1">
        <f>IF(Query1[[#This Row],[ItemType]]="EVAP KIT SF GEN IV",Query1[[#This Row],[OrderQty]]+I5025,I5025)</f>
        <v>6213</v>
      </c>
      <c r="J5026" s="1">
        <f>IF(Query1[[#This Row],[ItemType]]="EVAP KIT UNIVERSAL",Query1[[#This Row],[OrderQty]]+J5025,J5025)</f>
        <v>1990</v>
      </c>
      <c r="K5026" s="1">
        <f>Query1[[#This Row],[SF Running Total]]+Query1[[#This Row],[UNIV Running Total]]</f>
        <v>8203</v>
      </c>
      <c r="L5026">
        <f>VLOOKUP(Query1[[#This Row],[Description]],'kits to boards'!$B$2:$E$156,2,FALSE)</f>
        <v>830105</v>
      </c>
      <c r="M5026">
        <f>VLOOKUP(Query1[[#This Row],[Description]],'kits to boards'!$B$2:$E$156,3,FALSE)</f>
        <v>830106</v>
      </c>
      <c r="N5026">
        <f>VLOOKUP(Query1[[#This Row],[Description]],'kits to boards'!$B$2:$E$156,4,FALSE)</f>
        <v>0</v>
      </c>
      <c r="O5026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5027" spans="1:15" x14ac:dyDescent="0.25">
      <c r="A5027" s="1">
        <v>922657</v>
      </c>
      <c r="B5027" s="1" t="s">
        <v>74</v>
      </c>
      <c r="C5027" s="1" t="s">
        <v>75</v>
      </c>
      <c r="D5027" s="2">
        <v>44686.587179942129</v>
      </c>
      <c r="E5027" s="1" t="s">
        <v>8</v>
      </c>
      <c r="F5027" s="1">
        <v>1</v>
      </c>
      <c r="G5027" s="1">
        <v>0</v>
      </c>
      <c r="H5027" s="6">
        <f>INT(Query1[[#This Row],[EntryDateTime]])</f>
        <v>44686</v>
      </c>
      <c r="I5027" s="1">
        <f>IF(Query1[[#This Row],[ItemType]]="EVAP KIT SF GEN IV",Query1[[#This Row],[OrderQty]]+I5026,I5026)</f>
        <v>6214</v>
      </c>
      <c r="J5027" s="1">
        <f>IF(Query1[[#This Row],[ItemType]]="EVAP KIT UNIVERSAL",Query1[[#This Row],[OrderQty]]+J5026,J5026)</f>
        <v>1990</v>
      </c>
      <c r="K5027" s="1">
        <f>Query1[[#This Row],[SF Running Total]]+Query1[[#This Row],[UNIV Running Total]]</f>
        <v>8204</v>
      </c>
      <c r="L5027">
        <f>VLOOKUP(Query1[[#This Row],[Description]],'kits to boards'!$B$2:$E$156,2,FALSE)</f>
        <v>830065</v>
      </c>
      <c r="M5027">
        <f>VLOOKUP(Query1[[#This Row],[Description]],'kits to boards'!$B$2:$E$156,3,FALSE)</f>
        <v>0</v>
      </c>
      <c r="N5027">
        <f>VLOOKUP(Query1[[#This Row],[Description]],'kits to boards'!$B$2:$E$156,4,FALSE)</f>
        <v>0</v>
      </c>
      <c r="O5027" t="str">
        <f>CONCATENATE(Query1[[#This Row],[Description]]," - ",Query1[[#This Row],[MB1]]," - ",Query1[[#This Row],[MB2]]," - ",Query1[[#This Row],[MB3]])</f>
        <v>EVAP KIT 57 CHEV WO AC 4-VENT PLENUM - 830065 - 0 - 0</v>
      </c>
    </row>
    <row r="5028" spans="1:15" x14ac:dyDescent="0.25">
      <c r="A5028" s="1">
        <v>922682</v>
      </c>
      <c r="B5028" s="1" t="s">
        <v>94</v>
      </c>
      <c r="C5028" s="1" t="s">
        <v>95</v>
      </c>
      <c r="D5028" s="2">
        <v>44686.588226504631</v>
      </c>
      <c r="E5028" s="1" t="s">
        <v>8</v>
      </c>
      <c r="F5028" s="1">
        <v>1</v>
      </c>
      <c r="G5028" s="1">
        <v>0</v>
      </c>
      <c r="H5028" s="6">
        <f>INT(Query1[[#This Row],[EntryDateTime]])</f>
        <v>44686</v>
      </c>
      <c r="I5028" s="1">
        <f>IF(Query1[[#This Row],[ItemType]]="EVAP KIT SF GEN IV",Query1[[#This Row],[OrderQty]]+I5027,I5027)</f>
        <v>6215</v>
      </c>
      <c r="J5028" s="1">
        <f>IF(Query1[[#This Row],[ItemType]]="EVAP KIT UNIVERSAL",Query1[[#This Row],[OrderQty]]+J5027,J5027)</f>
        <v>1990</v>
      </c>
      <c r="K5028" s="1">
        <f>Query1[[#This Row],[SF Running Total]]+Query1[[#This Row],[UNIV Running Total]]</f>
        <v>8205</v>
      </c>
      <c r="L5028">
        <f>VLOOKUP(Query1[[#This Row],[Description]],'kits to boards'!$B$2:$E$156,2,FALSE)</f>
        <v>830076</v>
      </c>
      <c r="M5028">
        <f>VLOOKUP(Query1[[#This Row],[Description]],'kits to boards'!$B$2:$E$156,3,FALSE)</f>
        <v>0</v>
      </c>
      <c r="N5028">
        <f>VLOOKUP(Query1[[#This Row],[Description]],'kits to boards'!$B$2:$E$156,4,FALSE)</f>
        <v>0</v>
      </c>
      <c r="O5028" t="str">
        <f>CONCATENATE(Query1[[#This Row],[Description]]," - ",Query1[[#This Row],[MB1]]," - ",Query1[[#This Row],[MB2]]," - ",Query1[[#This Row],[MB3]])</f>
        <v>EVAP KIT 64 1/2- 66 MUSTANG  - 830076 - 0 - 0</v>
      </c>
    </row>
    <row r="5029" spans="1:15" x14ac:dyDescent="0.25">
      <c r="A5029" s="1">
        <v>922485</v>
      </c>
      <c r="B5029" s="1" t="s">
        <v>118</v>
      </c>
      <c r="C5029" s="1" t="s">
        <v>119</v>
      </c>
      <c r="D5029" s="2">
        <v>44686.60179429398</v>
      </c>
      <c r="E5029" s="1" t="s">
        <v>11</v>
      </c>
      <c r="F5029" s="1">
        <v>1</v>
      </c>
      <c r="G5029" s="1">
        <v>0</v>
      </c>
      <c r="H5029" s="6">
        <f>INT(Query1[[#This Row],[EntryDateTime]])</f>
        <v>44686</v>
      </c>
      <c r="I5029" s="1">
        <f>IF(Query1[[#This Row],[ItemType]]="EVAP KIT SF GEN IV",Query1[[#This Row],[OrderQty]]+I5028,I5028)</f>
        <v>6215</v>
      </c>
      <c r="J5029" s="1">
        <f>IF(Query1[[#This Row],[ItemType]]="EVAP KIT UNIVERSAL",Query1[[#This Row],[OrderQty]]+J5028,J5028)</f>
        <v>1991</v>
      </c>
      <c r="K5029" s="1">
        <f>Query1[[#This Row],[SF Running Total]]+Query1[[#This Row],[UNIV Running Total]]</f>
        <v>8206</v>
      </c>
      <c r="L5029">
        <f>VLOOKUP(Query1[[#This Row],[Description]],'kits to boards'!$B$2:$E$156,2,FALSE)</f>
        <v>830069</v>
      </c>
      <c r="M5029">
        <f>VLOOKUP(Query1[[#This Row],[Description]],'kits to boards'!$B$2:$E$156,3,FALSE)</f>
        <v>0</v>
      </c>
      <c r="N5029">
        <f>VLOOKUP(Query1[[#This Row],[Description]],'kits to boards'!$B$2:$E$156,4,FALSE)</f>
        <v>0</v>
      </c>
      <c r="O5029" t="str">
        <f>CONCATENATE(Query1[[#This Row],[Description]]," - ",Query1[[#This Row],[MB1]]," - ",Query1[[#This Row],[MB2]]," - ",Query1[[#This Row],[MB3]])</f>
        <v>SLIMLINE H/C W/DEF BLK LOUVER - 830069 - 0 - 0</v>
      </c>
    </row>
    <row r="5030" spans="1:15" x14ac:dyDescent="0.25">
      <c r="A5030" s="1">
        <v>922690</v>
      </c>
      <c r="B5030" s="1" t="s">
        <v>70</v>
      </c>
      <c r="C5030" s="1" t="s">
        <v>71</v>
      </c>
      <c r="D5030" s="2">
        <v>44686.608192858796</v>
      </c>
      <c r="E5030" s="1" t="s">
        <v>8</v>
      </c>
      <c r="F5030" s="1">
        <v>1</v>
      </c>
      <c r="G5030" s="1">
        <v>0</v>
      </c>
      <c r="H5030" s="6">
        <f>INT(Query1[[#This Row],[EntryDateTime]])</f>
        <v>44686</v>
      </c>
      <c r="I5030" s="1">
        <f>IF(Query1[[#This Row],[ItemType]]="EVAP KIT SF GEN IV",Query1[[#This Row],[OrderQty]]+I5029,I5029)</f>
        <v>6216</v>
      </c>
      <c r="J5030" s="1">
        <f>IF(Query1[[#This Row],[ItemType]]="EVAP KIT UNIVERSAL",Query1[[#This Row],[OrderQty]]+J5029,J5029)</f>
        <v>1991</v>
      </c>
      <c r="K5030" s="1">
        <f>Query1[[#This Row],[SF Running Total]]+Query1[[#This Row],[UNIV Running Total]]</f>
        <v>8207</v>
      </c>
      <c r="L5030">
        <f>VLOOKUP(Query1[[#This Row],[Description]],'kits to boards'!$B$2:$E$156,2,FALSE)</f>
        <v>830050</v>
      </c>
      <c r="M5030">
        <f>VLOOKUP(Query1[[#This Row],[Description]],'kits to boards'!$B$2:$E$156,3,FALSE)</f>
        <v>0</v>
      </c>
      <c r="N5030">
        <f>VLOOKUP(Query1[[#This Row],[Description]],'kits to boards'!$B$2:$E$156,4,FALSE)</f>
        <v>0</v>
      </c>
      <c r="O5030" t="str">
        <f>CONCATENATE(Query1[[#This Row],[Description]]," - ",Query1[[#This Row],[MB1]]," - ",Query1[[#This Row],[MB2]]," - ",Query1[[#This Row],[MB3]])</f>
        <v>EVAP KIT 70-78 CAMARO WO AC - 830050 - 0 - 0</v>
      </c>
    </row>
    <row r="5031" spans="1:15" x14ac:dyDescent="0.25">
      <c r="A5031" s="1">
        <v>922685</v>
      </c>
      <c r="B5031" s="1" t="s">
        <v>78</v>
      </c>
      <c r="C5031" s="1" t="s">
        <v>79</v>
      </c>
      <c r="D5031" s="2">
        <v>44686.60993140046</v>
      </c>
      <c r="E5031" s="1" t="s">
        <v>11</v>
      </c>
      <c r="F5031" s="1">
        <v>1</v>
      </c>
      <c r="G5031" s="1">
        <v>0</v>
      </c>
      <c r="H5031" s="6">
        <f>INT(Query1[[#This Row],[EntryDateTime]])</f>
        <v>44686</v>
      </c>
      <c r="I5031" s="1">
        <f>IF(Query1[[#This Row],[ItemType]]="EVAP KIT SF GEN IV",Query1[[#This Row],[OrderQty]]+I5030,I5030)</f>
        <v>6216</v>
      </c>
      <c r="J5031" s="1">
        <f>IF(Query1[[#This Row],[ItemType]]="EVAP KIT UNIVERSAL",Query1[[#This Row],[OrderQty]]+J5030,J5030)</f>
        <v>1992</v>
      </c>
      <c r="K5031" s="1">
        <f>Query1[[#This Row],[SF Running Total]]+Query1[[#This Row],[UNIV Running Total]]</f>
        <v>8208</v>
      </c>
      <c r="L5031">
        <f>VLOOKUP(Query1[[#This Row],[Description]],'kits to boards'!$B$2:$E$156,2,FALSE)</f>
        <v>0</v>
      </c>
      <c r="M5031">
        <f>VLOOKUP(Query1[[#This Row],[Description]],'kits to boards'!$B$2:$E$156,3,FALSE)</f>
        <v>0</v>
      </c>
      <c r="N5031">
        <f>VLOOKUP(Query1[[#This Row],[Description]],'kits to boards'!$B$2:$E$156,4,FALSE)</f>
        <v>0</v>
      </c>
      <c r="O5031" t="str">
        <f>CONCATENATE(Query1[[#This Row],[Description]]," - ",Query1[[#This Row],[MB1]]," - ",Query1[[#This Row],[MB2]]," - ",Query1[[#This Row],[MB3]])</f>
        <v>MARK IV STYLELINE UNDERDASH EVAP - 0 - 0 - 0</v>
      </c>
    </row>
    <row r="5032" spans="1:15" x14ac:dyDescent="0.25">
      <c r="A5032" s="1">
        <v>922692</v>
      </c>
      <c r="B5032" s="1" t="s">
        <v>132</v>
      </c>
      <c r="C5032" s="1" t="s">
        <v>133</v>
      </c>
      <c r="D5032" s="2">
        <v>44686.610896840277</v>
      </c>
      <c r="E5032" s="1" t="s">
        <v>8</v>
      </c>
      <c r="F5032" s="1">
        <v>1</v>
      </c>
      <c r="G5032" s="1">
        <v>0</v>
      </c>
      <c r="H5032" s="6">
        <f>INT(Query1[[#This Row],[EntryDateTime]])</f>
        <v>44686</v>
      </c>
      <c r="I5032" s="1">
        <f>IF(Query1[[#This Row],[ItemType]]="EVAP KIT SF GEN IV",Query1[[#This Row],[OrderQty]]+I5031,I5031)</f>
        <v>6217</v>
      </c>
      <c r="J5032" s="1">
        <f>IF(Query1[[#This Row],[ItemType]]="EVAP KIT UNIVERSAL",Query1[[#This Row],[OrderQty]]+J5031,J5031)</f>
        <v>1992</v>
      </c>
      <c r="K5032" s="1">
        <f>Query1[[#This Row],[SF Running Total]]+Query1[[#This Row],[UNIV Running Total]]</f>
        <v>8209</v>
      </c>
      <c r="L5032">
        <f>VLOOKUP(Query1[[#This Row],[Description]],'kits to boards'!$B$2:$E$156,2,FALSE)</f>
        <v>830005</v>
      </c>
      <c r="M5032">
        <f>VLOOKUP(Query1[[#This Row],[Description]],'kits to boards'!$B$2:$E$156,3,FALSE)</f>
        <v>0</v>
      </c>
      <c r="N5032">
        <f>VLOOKUP(Query1[[#This Row],[Description]],'kits to boards'!$B$2:$E$156,4,FALSE)</f>
        <v>0</v>
      </c>
      <c r="O5032" t="str">
        <f>CONCATENATE(Query1[[#This Row],[Description]]," - ",Query1[[#This Row],[MB1]]," - ",Query1[[#This Row],[MB2]]," - ",Query1[[#This Row],[MB3]])</f>
        <v>EVAP KIT 61-62 IMPALA WO AC - 830005 - 0 - 0</v>
      </c>
    </row>
    <row r="5033" spans="1:15" x14ac:dyDescent="0.25">
      <c r="A5033" s="1">
        <v>922697</v>
      </c>
      <c r="B5033" s="1" t="s">
        <v>102</v>
      </c>
      <c r="C5033" s="1" t="s">
        <v>103</v>
      </c>
      <c r="D5033" s="2">
        <v>44686.657333796298</v>
      </c>
      <c r="E5033" s="1" t="s">
        <v>8</v>
      </c>
      <c r="F5033" s="1">
        <v>1</v>
      </c>
      <c r="G5033" s="1">
        <v>0</v>
      </c>
      <c r="H5033" s="6">
        <f>INT(Query1[[#This Row],[EntryDateTime]])</f>
        <v>44686</v>
      </c>
      <c r="I5033" s="1">
        <f>IF(Query1[[#This Row],[ItemType]]="EVAP KIT SF GEN IV",Query1[[#This Row],[OrderQty]]+I5032,I5032)</f>
        <v>6218</v>
      </c>
      <c r="J5033" s="1">
        <f>IF(Query1[[#This Row],[ItemType]]="EVAP KIT UNIVERSAL",Query1[[#This Row],[OrderQty]]+J5032,J5032)</f>
        <v>1992</v>
      </c>
      <c r="K5033" s="1">
        <f>Query1[[#This Row],[SF Running Total]]+Query1[[#This Row],[UNIV Running Total]]</f>
        <v>8210</v>
      </c>
      <c r="L5033">
        <f>VLOOKUP(Query1[[#This Row],[Description]],'kits to boards'!$B$2:$E$156,2,FALSE)</f>
        <v>830012</v>
      </c>
      <c r="M5033">
        <f>VLOOKUP(Query1[[#This Row],[Description]],'kits to boards'!$B$2:$E$156,3,FALSE)</f>
        <v>0</v>
      </c>
      <c r="N5033">
        <f>VLOOKUP(Query1[[#This Row],[Description]],'kits to boards'!$B$2:$E$156,4,FALSE)</f>
        <v>0</v>
      </c>
      <c r="O5033" t="str">
        <f>CONCATENATE(Query1[[#This Row],[Description]]," - ",Query1[[#This Row],[MB1]]," - ",Query1[[#This Row],[MB2]]," - ",Query1[[#This Row],[MB3]])</f>
        <v>EVAP KIT 69 CAMARO WO/AC - 830012 - 0 - 0</v>
      </c>
    </row>
    <row r="5034" spans="1:15" x14ac:dyDescent="0.25">
      <c r="A5034" s="1">
        <v>922717</v>
      </c>
      <c r="B5034" s="1" t="s">
        <v>96</v>
      </c>
      <c r="C5034" s="1" t="s">
        <v>97</v>
      </c>
      <c r="D5034" s="2">
        <v>44686.658807141204</v>
      </c>
      <c r="E5034" s="1" t="s">
        <v>8</v>
      </c>
      <c r="F5034" s="1">
        <v>1</v>
      </c>
      <c r="G5034" s="1">
        <v>0</v>
      </c>
      <c r="H5034" s="6">
        <f>INT(Query1[[#This Row],[EntryDateTime]])</f>
        <v>44686</v>
      </c>
      <c r="I5034" s="1">
        <f>IF(Query1[[#This Row],[ItemType]]="EVAP KIT SF GEN IV",Query1[[#This Row],[OrderQty]]+I5033,I5033)</f>
        <v>6219</v>
      </c>
      <c r="J5034" s="1">
        <f>IF(Query1[[#This Row],[ItemType]]="EVAP KIT UNIVERSAL",Query1[[#This Row],[OrderQty]]+J5033,J5033)</f>
        <v>1992</v>
      </c>
      <c r="K5034" s="1">
        <f>Query1[[#This Row],[SF Running Total]]+Query1[[#This Row],[UNIV Running Total]]</f>
        <v>8211</v>
      </c>
      <c r="L5034">
        <f>VLOOKUP(Query1[[#This Row],[Description]],'kits to boards'!$B$2:$E$156,2,FALSE)</f>
        <v>830004</v>
      </c>
      <c r="M5034">
        <f>VLOOKUP(Query1[[#This Row],[Description]],'kits to boards'!$B$2:$E$156,3,FALSE)</f>
        <v>0</v>
      </c>
      <c r="N5034">
        <f>VLOOKUP(Query1[[#This Row],[Description]],'kits to boards'!$B$2:$E$156,4,FALSE)</f>
        <v>0</v>
      </c>
      <c r="O5034" t="str">
        <f>CONCATENATE(Query1[[#This Row],[Description]]," - ",Query1[[#This Row],[MB1]]," - ",Query1[[#This Row],[MB2]]," - ",Query1[[#This Row],[MB3]])</f>
        <v>EVAP KIT 81-87 CHEV P-UP W/AC - 830004 - 0 - 0</v>
      </c>
    </row>
    <row r="5035" spans="1:15" x14ac:dyDescent="0.25">
      <c r="A5035" s="1">
        <v>922718</v>
      </c>
      <c r="B5035" s="1" t="s">
        <v>98</v>
      </c>
      <c r="C5035" s="1" t="s">
        <v>99</v>
      </c>
      <c r="D5035" s="2">
        <v>44686.6595633912</v>
      </c>
      <c r="E5035" s="1" t="s">
        <v>11</v>
      </c>
      <c r="F5035" s="1">
        <v>2</v>
      </c>
      <c r="G5035" s="1">
        <v>0</v>
      </c>
      <c r="H5035" s="6">
        <f>INT(Query1[[#This Row],[EntryDateTime]])</f>
        <v>44686</v>
      </c>
      <c r="I5035" s="1">
        <f>IF(Query1[[#This Row],[ItemType]]="EVAP KIT SF GEN IV",Query1[[#This Row],[OrderQty]]+I5034,I5034)</f>
        <v>6219</v>
      </c>
      <c r="J5035" s="1">
        <f>IF(Query1[[#This Row],[ItemType]]="EVAP KIT UNIVERSAL",Query1[[#This Row],[OrderQty]]+J5034,J5034)</f>
        <v>1994</v>
      </c>
      <c r="K5035" s="1">
        <f>Query1[[#This Row],[SF Running Total]]+Query1[[#This Row],[UNIV Running Total]]</f>
        <v>8213</v>
      </c>
      <c r="L5035">
        <f>VLOOKUP(Query1[[#This Row],[Description]],'kits to boards'!$B$2:$E$156,2,FALSE)</f>
        <v>830099</v>
      </c>
      <c r="M5035">
        <f>VLOOKUP(Query1[[#This Row],[Description]],'kits to boards'!$B$2:$E$156,3,FALSE)</f>
        <v>0</v>
      </c>
      <c r="N5035">
        <f>VLOOKUP(Query1[[#This Row],[Description]],'kits to boards'!$B$2:$E$156,4,FALSE)</f>
        <v>0</v>
      </c>
      <c r="O5035" t="str">
        <f>CONCATENATE(Query1[[#This Row],[Description]]," - ",Query1[[#This Row],[MB1]]," - ",Query1[[#This Row],[MB2]]," - ",Query1[[#This Row],[MB3]])</f>
        <v>MINI GEN II W/DEF - 830099 - 0 - 0</v>
      </c>
    </row>
    <row r="5036" spans="1:15" x14ac:dyDescent="0.25">
      <c r="A5036" s="1">
        <v>922709</v>
      </c>
      <c r="B5036" s="1" t="s">
        <v>86</v>
      </c>
      <c r="C5036" s="1" t="s">
        <v>87</v>
      </c>
      <c r="D5036" s="2">
        <v>44686.663575196762</v>
      </c>
      <c r="E5036" s="1" t="s">
        <v>8</v>
      </c>
      <c r="F5036" s="1">
        <v>1</v>
      </c>
      <c r="G5036" s="1">
        <v>0</v>
      </c>
      <c r="H5036" s="6">
        <f>INT(Query1[[#This Row],[EntryDateTime]])</f>
        <v>44686</v>
      </c>
      <c r="I5036" s="1">
        <f>IF(Query1[[#This Row],[ItemType]]="EVAP KIT SF GEN IV",Query1[[#This Row],[OrderQty]]+I5035,I5035)</f>
        <v>6220</v>
      </c>
      <c r="J5036" s="1">
        <f>IF(Query1[[#This Row],[ItemType]]="EVAP KIT UNIVERSAL",Query1[[#This Row],[OrderQty]]+J5035,J5035)</f>
        <v>1994</v>
      </c>
      <c r="K5036" s="1">
        <f>Query1[[#This Row],[SF Running Total]]+Query1[[#This Row],[UNIV Running Total]]</f>
        <v>8214</v>
      </c>
      <c r="L5036">
        <f>VLOOKUP(Query1[[#This Row],[Description]],'kits to boards'!$B$2:$E$156,2,FALSE)</f>
        <v>830048</v>
      </c>
      <c r="M5036">
        <f>VLOOKUP(Query1[[#This Row],[Description]],'kits to boards'!$B$2:$E$156,3,FALSE)</f>
        <v>0</v>
      </c>
      <c r="N5036">
        <f>VLOOKUP(Query1[[#This Row],[Description]],'kits to boards'!$B$2:$E$156,4,FALSE)</f>
        <v>0</v>
      </c>
      <c r="O5036" t="str">
        <f>CONCATENATE(Query1[[#This Row],[Description]]," - ",Query1[[#This Row],[MB1]]," - ",Query1[[#This Row],[MB2]]," - ",Query1[[#This Row],[MB3]])</f>
        <v>EVAP KIT 66-67 NOVA - 830048 - 0 - 0</v>
      </c>
    </row>
    <row r="5037" spans="1:15" x14ac:dyDescent="0.25">
      <c r="A5037" s="1">
        <v>922688</v>
      </c>
      <c r="B5037" s="1" t="s">
        <v>22</v>
      </c>
      <c r="C5037" s="1" t="s">
        <v>23</v>
      </c>
      <c r="D5037" s="2">
        <v>44686.664998761575</v>
      </c>
      <c r="E5037" s="1" t="s">
        <v>8</v>
      </c>
      <c r="F5037" s="1">
        <v>1</v>
      </c>
      <c r="G5037" s="1">
        <v>0</v>
      </c>
      <c r="H5037" s="6">
        <f>INT(Query1[[#This Row],[EntryDateTime]])</f>
        <v>44686</v>
      </c>
      <c r="I5037" s="1">
        <f>IF(Query1[[#This Row],[ItemType]]="EVAP KIT SF GEN IV",Query1[[#This Row],[OrderQty]]+I5036,I5036)</f>
        <v>6221</v>
      </c>
      <c r="J5037" s="1">
        <f>IF(Query1[[#This Row],[ItemType]]="EVAP KIT UNIVERSAL",Query1[[#This Row],[OrderQty]]+J5036,J5036)</f>
        <v>1994</v>
      </c>
      <c r="K5037" s="1">
        <f>Query1[[#This Row],[SF Running Total]]+Query1[[#This Row],[UNIV Running Total]]</f>
        <v>8215</v>
      </c>
      <c r="L5037">
        <f>VLOOKUP(Query1[[#This Row],[Description]],'kits to boards'!$B$2:$E$156,2,FALSE)</f>
        <v>830083</v>
      </c>
      <c r="M5037">
        <f>VLOOKUP(Query1[[#This Row],[Description]],'kits to boards'!$B$2:$E$156,3,FALSE)</f>
        <v>0</v>
      </c>
      <c r="N5037">
        <f>VLOOKUP(Query1[[#This Row],[Description]],'kits to boards'!$B$2:$E$156,4,FALSE)</f>
        <v>0</v>
      </c>
      <c r="O5037" t="str">
        <f>CONCATENATE(Query1[[#This Row],[Description]]," - ",Query1[[#This Row],[MB1]]," - ",Query1[[#This Row],[MB2]]," - ",Query1[[#This Row],[MB3]])</f>
        <v>GEN IV MAGNUM EVAP KIT - 830083 - 0 - 0</v>
      </c>
    </row>
    <row r="5038" spans="1:15" x14ac:dyDescent="0.25">
      <c r="A5038" s="1">
        <v>922721</v>
      </c>
      <c r="B5038" s="1" t="s">
        <v>22</v>
      </c>
      <c r="C5038" s="1" t="s">
        <v>23</v>
      </c>
      <c r="D5038" s="2">
        <v>44686.66718556713</v>
      </c>
      <c r="E5038" s="1" t="s">
        <v>8</v>
      </c>
      <c r="F5038" s="1">
        <v>1</v>
      </c>
      <c r="G5038" s="1">
        <v>0</v>
      </c>
      <c r="H5038" s="6">
        <f>INT(Query1[[#This Row],[EntryDateTime]])</f>
        <v>44686</v>
      </c>
      <c r="I5038" s="1">
        <f>IF(Query1[[#This Row],[ItemType]]="EVAP KIT SF GEN IV",Query1[[#This Row],[OrderQty]]+I5037,I5037)</f>
        <v>6222</v>
      </c>
      <c r="J5038" s="1">
        <f>IF(Query1[[#This Row],[ItemType]]="EVAP KIT UNIVERSAL",Query1[[#This Row],[OrderQty]]+J5037,J5037)</f>
        <v>1994</v>
      </c>
      <c r="K5038" s="1">
        <f>Query1[[#This Row],[SF Running Total]]+Query1[[#This Row],[UNIV Running Total]]</f>
        <v>8216</v>
      </c>
      <c r="L5038">
        <f>VLOOKUP(Query1[[#This Row],[Description]],'kits to boards'!$B$2:$E$156,2,FALSE)</f>
        <v>830083</v>
      </c>
      <c r="M5038">
        <f>VLOOKUP(Query1[[#This Row],[Description]],'kits to boards'!$B$2:$E$156,3,FALSE)</f>
        <v>0</v>
      </c>
      <c r="N5038">
        <f>VLOOKUP(Query1[[#This Row],[Description]],'kits to boards'!$B$2:$E$156,4,FALSE)</f>
        <v>0</v>
      </c>
      <c r="O5038" t="str">
        <f>CONCATENATE(Query1[[#This Row],[Description]]," - ",Query1[[#This Row],[MB1]]," - ",Query1[[#This Row],[MB2]]," - ",Query1[[#This Row],[MB3]])</f>
        <v>GEN IV MAGNUM EVAP KIT - 830083 - 0 - 0</v>
      </c>
    </row>
    <row r="5039" spans="1:15" x14ac:dyDescent="0.25">
      <c r="A5039" s="1">
        <v>922463</v>
      </c>
      <c r="B5039" s="1" t="s">
        <v>98</v>
      </c>
      <c r="C5039" s="1" t="s">
        <v>99</v>
      </c>
      <c r="D5039" s="2">
        <v>44687.317740937498</v>
      </c>
      <c r="E5039" s="1" t="s">
        <v>11</v>
      </c>
      <c r="F5039" s="1">
        <v>1</v>
      </c>
      <c r="G5039" s="1">
        <v>0</v>
      </c>
      <c r="H5039" s="6">
        <f>INT(Query1[[#This Row],[EntryDateTime]])</f>
        <v>44687</v>
      </c>
      <c r="I5039" s="1">
        <f>IF(Query1[[#This Row],[ItemType]]="EVAP KIT SF GEN IV",Query1[[#This Row],[OrderQty]]+I5038,I5038)</f>
        <v>6222</v>
      </c>
      <c r="J5039" s="1">
        <f>IF(Query1[[#This Row],[ItemType]]="EVAP KIT UNIVERSAL",Query1[[#This Row],[OrderQty]]+J5038,J5038)</f>
        <v>1995</v>
      </c>
      <c r="K5039" s="1">
        <f>Query1[[#This Row],[SF Running Total]]+Query1[[#This Row],[UNIV Running Total]]</f>
        <v>8217</v>
      </c>
      <c r="L5039">
        <f>VLOOKUP(Query1[[#This Row],[Description]],'kits to boards'!$B$2:$E$156,2,FALSE)</f>
        <v>830099</v>
      </c>
      <c r="M5039">
        <f>VLOOKUP(Query1[[#This Row],[Description]],'kits to boards'!$B$2:$E$156,3,FALSE)</f>
        <v>0</v>
      </c>
      <c r="N5039">
        <f>VLOOKUP(Query1[[#This Row],[Description]],'kits to boards'!$B$2:$E$156,4,FALSE)</f>
        <v>0</v>
      </c>
      <c r="O5039" t="str">
        <f>CONCATENATE(Query1[[#This Row],[Description]]," - ",Query1[[#This Row],[MB1]]," - ",Query1[[#This Row],[MB2]]," - ",Query1[[#This Row],[MB3]])</f>
        <v>MINI GEN II W/DEF - 830099 - 0 - 0</v>
      </c>
    </row>
    <row r="5040" spans="1:15" x14ac:dyDescent="0.25">
      <c r="A5040" s="1">
        <v>922745</v>
      </c>
      <c r="B5040" s="1" t="s">
        <v>20</v>
      </c>
      <c r="C5040" s="1" t="s">
        <v>21</v>
      </c>
      <c r="D5040" s="2">
        <v>44687.318669756947</v>
      </c>
      <c r="E5040" s="1" t="s">
        <v>11</v>
      </c>
      <c r="F5040" s="1">
        <v>2</v>
      </c>
      <c r="G5040" s="1">
        <v>0</v>
      </c>
      <c r="H5040" s="6">
        <f>INT(Query1[[#This Row],[EntryDateTime]])</f>
        <v>44687</v>
      </c>
      <c r="I5040" s="1">
        <f>IF(Query1[[#This Row],[ItemType]]="EVAP KIT SF GEN IV",Query1[[#This Row],[OrderQty]]+I5039,I5039)</f>
        <v>6222</v>
      </c>
      <c r="J5040" s="1">
        <f>IF(Query1[[#This Row],[ItemType]]="EVAP KIT UNIVERSAL",Query1[[#This Row],[OrderQty]]+J5039,J5039)</f>
        <v>1997</v>
      </c>
      <c r="K5040" s="1">
        <f>Query1[[#This Row],[SF Running Total]]+Query1[[#This Row],[UNIV Running Total]]</f>
        <v>8219</v>
      </c>
      <c r="L5040">
        <f>VLOOKUP(Query1[[#This Row],[Description]],'kits to boards'!$B$2:$E$156,2,FALSE)</f>
        <v>830102</v>
      </c>
      <c r="M5040">
        <f>VLOOKUP(Query1[[#This Row],[Description]],'kits to boards'!$B$2:$E$156,3,FALSE)</f>
        <v>0</v>
      </c>
      <c r="N5040">
        <f>VLOOKUP(Query1[[#This Row],[Description]],'kits to boards'!$B$2:$E$156,4,FALSE)</f>
        <v>0</v>
      </c>
      <c r="O5040" t="str">
        <f>CONCATENATE(Query1[[#This Row],[Description]]," - ",Query1[[#This Row],[MB1]]," - ",Query1[[#This Row],[MB2]]," - ",Query1[[#This Row],[MB3]])</f>
        <v>SUPER GEN II W/DEF - 830102 - 0 - 0</v>
      </c>
    </row>
    <row r="5041" spans="1:15" x14ac:dyDescent="0.25">
      <c r="A5041" s="1">
        <v>922734</v>
      </c>
      <c r="B5041" s="1" t="s">
        <v>240</v>
      </c>
      <c r="C5041" s="1" t="s">
        <v>241</v>
      </c>
      <c r="D5041" s="2">
        <v>44687.321592395834</v>
      </c>
      <c r="E5041" s="1" t="s">
        <v>8</v>
      </c>
      <c r="F5041" s="1">
        <v>1</v>
      </c>
      <c r="G5041" s="1">
        <v>0</v>
      </c>
      <c r="H5041" s="6">
        <f>INT(Query1[[#This Row],[EntryDateTime]])</f>
        <v>44687</v>
      </c>
      <c r="I5041" s="1">
        <f>IF(Query1[[#This Row],[ItemType]]="EVAP KIT SF GEN IV",Query1[[#This Row],[OrderQty]]+I5040,I5040)</f>
        <v>6223</v>
      </c>
      <c r="J5041" s="1">
        <f>IF(Query1[[#This Row],[ItemType]]="EVAP KIT UNIVERSAL",Query1[[#This Row],[OrderQty]]+J5040,J5040)</f>
        <v>1997</v>
      </c>
      <c r="K5041" s="1">
        <f>Query1[[#This Row],[SF Running Total]]+Query1[[#This Row],[UNIV Running Total]]</f>
        <v>8220</v>
      </c>
      <c r="L5041">
        <f>VLOOKUP(Query1[[#This Row],[Description]],'kits to boards'!$B$2:$E$156,2,FALSE)</f>
        <v>830032</v>
      </c>
      <c r="M5041">
        <f>VLOOKUP(Query1[[#This Row],[Description]],'kits to boards'!$B$2:$E$156,3,FALSE)</f>
        <v>0</v>
      </c>
      <c r="N5041">
        <f>VLOOKUP(Query1[[#This Row],[Description]],'kits to boards'!$B$2:$E$156,4,FALSE)</f>
        <v>0</v>
      </c>
      <c r="O5041" t="str">
        <f>CONCATENATE(Query1[[#This Row],[Description]]," - ",Query1[[#This Row],[MB1]]," - ",Query1[[#This Row],[MB2]]," - ",Query1[[#This Row],[MB3]])</f>
        <v>EVAP KIT 58-60 VETTE - 830032 - 0 - 0</v>
      </c>
    </row>
    <row r="5042" spans="1:15" x14ac:dyDescent="0.25">
      <c r="A5042" s="1">
        <v>922750</v>
      </c>
      <c r="B5042" s="1" t="s">
        <v>108</v>
      </c>
      <c r="C5042" s="1" t="s">
        <v>109</v>
      </c>
      <c r="D5042" s="2">
        <v>44687.351576388886</v>
      </c>
      <c r="E5042" s="1" t="s">
        <v>8</v>
      </c>
      <c r="F5042" s="1">
        <v>1</v>
      </c>
      <c r="G5042" s="1">
        <v>0</v>
      </c>
      <c r="H5042" s="6">
        <f>INT(Query1[[#This Row],[EntryDateTime]])</f>
        <v>44687</v>
      </c>
      <c r="I5042" s="1">
        <f>IF(Query1[[#This Row],[ItemType]]="EVAP KIT SF GEN IV",Query1[[#This Row],[OrderQty]]+I5041,I5041)</f>
        <v>6224</v>
      </c>
      <c r="J5042" s="1">
        <f>IF(Query1[[#This Row],[ItemType]]="EVAP KIT UNIVERSAL",Query1[[#This Row],[OrderQty]]+J5041,J5041)</f>
        <v>1997</v>
      </c>
      <c r="K5042" s="1">
        <f>Query1[[#This Row],[SF Running Total]]+Query1[[#This Row],[UNIV Running Total]]</f>
        <v>8221</v>
      </c>
      <c r="L5042">
        <f>VLOOKUP(Query1[[#This Row],[Description]],'kits to boards'!$B$2:$E$156,2,FALSE)</f>
        <v>830105</v>
      </c>
      <c r="M5042">
        <f>VLOOKUP(Query1[[#This Row],[Description]],'kits to boards'!$B$2:$E$156,3,FALSE)</f>
        <v>830106</v>
      </c>
      <c r="N5042">
        <f>VLOOKUP(Query1[[#This Row],[Description]],'kits to boards'!$B$2:$E$156,4,FALSE)</f>
        <v>0</v>
      </c>
      <c r="O5042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5043" spans="1:15" x14ac:dyDescent="0.25">
      <c r="A5043" s="1">
        <v>922751</v>
      </c>
      <c r="B5043" s="1" t="s">
        <v>136</v>
      </c>
      <c r="C5043" s="1" t="s">
        <v>137</v>
      </c>
      <c r="D5043" s="2">
        <v>44687.359065243058</v>
      </c>
      <c r="E5043" s="1" t="s">
        <v>11</v>
      </c>
      <c r="F5043" s="1">
        <v>1</v>
      </c>
      <c r="G5043" s="1">
        <v>0</v>
      </c>
      <c r="H5043" s="6">
        <f>INT(Query1[[#This Row],[EntryDateTime]])</f>
        <v>44687</v>
      </c>
      <c r="I5043" s="1">
        <f>IF(Query1[[#This Row],[ItemType]]="EVAP KIT SF GEN IV",Query1[[#This Row],[OrderQty]]+I5042,I5042)</f>
        <v>6224</v>
      </c>
      <c r="J5043" s="1">
        <f>IF(Query1[[#This Row],[ItemType]]="EVAP KIT UNIVERSAL",Query1[[#This Row],[OrderQty]]+J5042,J5042)</f>
        <v>1998</v>
      </c>
      <c r="K5043" s="1">
        <f>Query1[[#This Row],[SF Running Total]]+Query1[[#This Row],[UNIV Running Total]]</f>
        <v>8222</v>
      </c>
      <c r="L5043">
        <f>VLOOKUP(Query1[[#This Row],[Description]],'kits to boards'!$B$2:$E$156,2,FALSE)</f>
        <v>0</v>
      </c>
      <c r="M5043">
        <f>VLOOKUP(Query1[[#This Row],[Description]],'kits to boards'!$B$2:$E$156,3,FALSE)</f>
        <v>0</v>
      </c>
      <c r="N5043">
        <f>VLOOKUP(Query1[[#This Row],[Description]],'kits to boards'!$B$2:$E$156,4,FALSE)</f>
        <v>0</v>
      </c>
      <c r="O5043" t="str">
        <f>CONCATENATE(Query1[[#This Row],[Description]]," - ",Query1[[#This Row],[MB1]]," - ",Query1[[#This Row],[MB2]]," - ",Query1[[#This Row],[MB3]])</f>
        <v>HERITAGE TURNED EVAP KIT HEAT/COOL - 0 - 0 - 0</v>
      </c>
    </row>
    <row r="5044" spans="1:15" x14ac:dyDescent="0.25">
      <c r="A5044" s="1">
        <v>922751</v>
      </c>
      <c r="B5044" s="1" t="s">
        <v>80</v>
      </c>
      <c r="C5044" s="1" t="s">
        <v>81</v>
      </c>
      <c r="D5044" s="2">
        <v>44687.359065243058</v>
      </c>
      <c r="E5044" s="1" t="s">
        <v>11</v>
      </c>
      <c r="F5044" s="1">
        <v>4</v>
      </c>
      <c r="G5044" s="1">
        <v>0</v>
      </c>
      <c r="H5044" s="6">
        <f>INT(Query1[[#This Row],[EntryDateTime]])</f>
        <v>44687</v>
      </c>
      <c r="I5044" s="1">
        <f>IF(Query1[[#This Row],[ItemType]]="EVAP KIT SF GEN IV",Query1[[#This Row],[OrderQty]]+I5043,I5043)</f>
        <v>6224</v>
      </c>
      <c r="J5044" s="1">
        <f>IF(Query1[[#This Row],[ItemType]]="EVAP KIT UNIVERSAL",Query1[[#This Row],[OrderQty]]+J5043,J5043)</f>
        <v>2002</v>
      </c>
      <c r="K5044" s="1">
        <f>Query1[[#This Row],[SF Running Total]]+Query1[[#This Row],[UNIV Running Total]]</f>
        <v>8226</v>
      </c>
      <c r="L5044">
        <f>VLOOKUP(Query1[[#This Row],[Description]],'kits to boards'!$B$2:$E$156,2,FALSE)</f>
        <v>0</v>
      </c>
      <c r="M5044">
        <f>VLOOKUP(Query1[[#This Row],[Description]],'kits to boards'!$B$2:$E$156,3,FALSE)</f>
        <v>0</v>
      </c>
      <c r="N5044">
        <f>VLOOKUP(Query1[[#This Row],[Description]],'kits to boards'!$B$2:$E$156,4,FALSE)</f>
        <v>0</v>
      </c>
      <c r="O5044" t="str">
        <f>CONCATENATE(Query1[[#This Row],[Description]]," - ",Query1[[#This Row],[MB1]]," - ",Query1[[#This Row],[MB2]]," - ",Query1[[#This Row],[MB3]])</f>
        <v>HERITAGE BRUSHED EVAP KIT COOL ONLY - 0 - 0 - 0</v>
      </c>
    </row>
    <row r="5045" spans="1:15" x14ac:dyDescent="0.25">
      <c r="A5045" s="1">
        <v>922751</v>
      </c>
      <c r="B5045" s="1" t="s">
        <v>146</v>
      </c>
      <c r="C5045" s="1" t="s">
        <v>147</v>
      </c>
      <c r="D5045" s="2">
        <v>44687.359065243058</v>
      </c>
      <c r="E5045" s="1" t="s">
        <v>11</v>
      </c>
      <c r="F5045" s="1">
        <v>3</v>
      </c>
      <c r="G5045" s="1">
        <v>0</v>
      </c>
      <c r="H5045" s="6">
        <f>INT(Query1[[#This Row],[EntryDateTime]])</f>
        <v>44687</v>
      </c>
      <c r="I5045" s="1">
        <f>IF(Query1[[#This Row],[ItemType]]="EVAP KIT SF GEN IV",Query1[[#This Row],[OrderQty]]+I5044,I5044)</f>
        <v>6224</v>
      </c>
      <c r="J5045" s="1">
        <f>IF(Query1[[#This Row],[ItemType]]="EVAP KIT UNIVERSAL",Query1[[#This Row],[OrderQty]]+J5044,J5044)</f>
        <v>2005</v>
      </c>
      <c r="K5045" s="1">
        <f>Query1[[#This Row],[SF Running Total]]+Query1[[#This Row],[UNIV Running Total]]</f>
        <v>8229</v>
      </c>
      <c r="L5045">
        <f>VLOOKUP(Query1[[#This Row],[Description]],'kits to boards'!$B$2:$E$156,2,FALSE)</f>
        <v>0</v>
      </c>
      <c r="M5045">
        <f>VLOOKUP(Query1[[#This Row],[Description]],'kits to boards'!$B$2:$E$156,3,FALSE)</f>
        <v>0</v>
      </c>
      <c r="N5045">
        <f>VLOOKUP(Query1[[#This Row],[Description]],'kits to boards'!$B$2:$E$156,4,FALSE)</f>
        <v>0</v>
      </c>
      <c r="O5045" t="str">
        <f>CONCATENATE(Query1[[#This Row],[Description]]," - ",Query1[[#This Row],[MB1]]," - ",Query1[[#This Row],[MB2]]," - ",Query1[[#This Row],[MB3]])</f>
        <v>HERITAGE BLACK TURNED EVAP KIT COOL ONLY - 0 - 0 - 0</v>
      </c>
    </row>
    <row r="5046" spans="1:15" x14ac:dyDescent="0.25">
      <c r="A5046" s="1">
        <v>922751</v>
      </c>
      <c r="B5046" s="1" t="s">
        <v>298</v>
      </c>
      <c r="C5046" s="1" t="s">
        <v>299</v>
      </c>
      <c r="D5046" s="2">
        <v>44687.359065243058</v>
      </c>
      <c r="E5046" s="1" t="s">
        <v>11</v>
      </c>
      <c r="F5046" s="1">
        <v>2</v>
      </c>
      <c r="G5046" s="1">
        <v>0</v>
      </c>
      <c r="H5046" s="6">
        <f>INT(Query1[[#This Row],[EntryDateTime]])</f>
        <v>44687</v>
      </c>
      <c r="I5046" s="1">
        <f>IF(Query1[[#This Row],[ItemType]]="EVAP KIT SF GEN IV",Query1[[#This Row],[OrderQty]]+I5045,I5045)</f>
        <v>6224</v>
      </c>
      <c r="J5046" s="1">
        <f>IF(Query1[[#This Row],[ItemType]]="EVAP KIT UNIVERSAL",Query1[[#This Row],[OrderQty]]+J5045,J5045)</f>
        <v>2007</v>
      </c>
      <c r="K5046" s="1">
        <f>Query1[[#This Row],[SF Running Total]]+Query1[[#This Row],[UNIV Running Total]]</f>
        <v>8231</v>
      </c>
      <c r="L5046">
        <f>VLOOKUP(Query1[[#This Row],[Description]],'kits to boards'!$B$2:$E$156,2,FALSE)</f>
        <v>830045</v>
      </c>
      <c r="M5046">
        <f>VLOOKUP(Query1[[#This Row],[Description]],'kits to boards'!$B$2:$E$156,3,FALSE)</f>
        <v>0</v>
      </c>
      <c r="N5046">
        <f>VLOOKUP(Query1[[#This Row],[Description]],'kits to boards'!$B$2:$E$156,4,FALSE)</f>
        <v>0</v>
      </c>
      <c r="O5046" t="str">
        <f>CONCATENATE(Query1[[#This Row],[Description]]," - ",Query1[[#This Row],[MB1]]," - ",Query1[[#This Row],[MB2]]," - ",Query1[[#This Row],[MB3]])</f>
        <v>MINI SLIMLINE COOL STD LOUVER - 830045 - 0 - 0</v>
      </c>
    </row>
    <row r="5047" spans="1:15" x14ac:dyDescent="0.25">
      <c r="A5047" s="1">
        <v>922751</v>
      </c>
      <c r="B5047" s="1" t="s">
        <v>78</v>
      </c>
      <c r="C5047" s="1" t="s">
        <v>79</v>
      </c>
      <c r="D5047" s="2">
        <v>44687.359065243058</v>
      </c>
      <c r="E5047" s="1" t="s">
        <v>11</v>
      </c>
      <c r="F5047" s="1">
        <v>6</v>
      </c>
      <c r="G5047" s="1">
        <v>0</v>
      </c>
      <c r="H5047" s="6">
        <f>INT(Query1[[#This Row],[EntryDateTime]])</f>
        <v>44687</v>
      </c>
      <c r="I5047" s="1">
        <f>IF(Query1[[#This Row],[ItemType]]="EVAP KIT SF GEN IV",Query1[[#This Row],[OrderQty]]+I5046,I5046)</f>
        <v>6224</v>
      </c>
      <c r="J5047" s="1">
        <f>IF(Query1[[#This Row],[ItemType]]="EVAP KIT UNIVERSAL",Query1[[#This Row],[OrderQty]]+J5046,J5046)</f>
        <v>2013</v>
      </c>
      <c r="K5047" s="1">
        <f>Query1[[#This Row],[SF Running Total]]+Query1[[#This Row],[UNIV Running Total]]</f>
        <v>8237</v>
      </c>
      <c r="L5047">
        <f>VLOOKUP(Query1[[#This Row],[Description]],'kits to boards'!$B$2:$E$156,2,FALSE)</f>
        <v>0</v>
      </c>
      <c r="M5047">
        <f>VLOOKUP(Query1[[#This Row],[Description]],'kits to boards'!$B$2:$E$156,3,FALSE)</f>
        <v>0</v>
      </c>
      <c r="N5047">
        <f>VLOOKUP(Query1[[#This Row],[Description]],'kits to boards'!$B$2:$E$156,4,FALSE)</f>
        <v>0</v>
      </c>
      <c r="O5047" t="str">
        <f>CONCATENATE(Query1[[#This Row],[Description]]," - ",Query1[[#This Row],[MB1]]," - ",Query1[[#This Row],[MB2]]," - ",Query1[[#This Row],[MB3]])</f>
        <v>MARK IV STYLELINE UNDERDASH EVAP - 0 - 0 - 0</v>
      </c>
    </row>
    <row r="5048" spans="1:15" x14ac:dyDescent="0.25">
      <c r="A5048" s="1">
        <v>922751</v>
      </c>
      <c r="B5048" s="1" t="s">
        <v>104</v>
      </c>
      <c r="C5048" s="1" t="s">
        <v>105</v>
      </c>
      <c r="D5048" s="2">
        <v>44687.359065243058</v>
      </c>
      <c r="E5048" s="1" t="s">
        <v>11</v>
      </c>
      <c r="F5048" s="1">
        <v>4</v>
      </c>
      <c r="G5048" s="1">
        <v>0</v>
      </c>
      <c r="H5048" s="6">
        <f>INT(Query1[[#This Row],[EntryDateTime]])</f>
        <v>44687</v>
      </c>
      <c r="I5048" s="1">
        <f>IF(Query1[[#This Row],[ItemType]]="EVAP KIT SF GEN IV",Query1[[#This Row],[OrderQty]]+I5047,I5047)</f>
        <v>6224</v>
      </c>
      <c r="J5048" s="1">
        <f>IF(Query1[[#This Row],[ItemType]]="EVAP KIT UNIVERSAL",Query1[[#This Row],[OrderQty]]+J5047,J5047)</f>
        <v>2017</v>
      </c>
      <c r="K5048" s="1">
        <f>Query1[[#This Row],[SF Running Total]]+Query1[[#This Row],[UNIV Running Total]]</f>
        <v>8241</v>
      </c>
      <c r="L5048">
        <f>VLOOKUP(Query1[[#This Row],[Description]],'kits to boards'!$B$2:$E$156,2,FALSE)</f>
        <v>0</v>
      </c>
      <c r="M5048">
        <f>VLOOKUP(Query1[[#This Row],[Description]],'kits to boards'!$B$2:$E$156,3,FALSE)</f>
        <v>0</v>
      </c>
      <c r="N5048">
        <f>VLOOKUP(Query1[[#This Row],[Description]],'kits to boards'!$B$2:$E$156,4,FALSE)</f>
        <v>0</v>
      </c>
      <c r="O5048" t="str">
        <f>CONCATENATE(Query1[[#This Row],[Description]]," - ",Query1[[#This Row],[MB1]]," - ",Query1[[#This Row],[MB2]]," - ",Query1[[#This Row],[MB3]])</f>
        <v>HERITAGE BRUSHED EVAP KIT HEAT/COOL - 0 - 0 - 0</v>
      </c>
    </row>
    <row r="5049" spans="1:15" x14ac:dyDescent="0.25">
      <c r="A5049" s="1">
        <v>922751</v>
      </c>
      <c r="B5049" s="1" t="s">
        <v>98</v>
      </c>
      <c r="C5049" s="1" t="s">
        <v>99</v>
      </c>
      <c r="D5049" s="2">
        <v>44687.359065243058</v>
      </c>
      <c r="E5049" s="1" t="s">
        <v>11</v>
      </c>
      <c r="F5049" s="1">
        <v>30</v>
      </c>
      <c r="G5049" s="1">
        <v>0</v>
      </c>
      <c r="H5049" s="6">
        <f>INT(Query1[[#This Row],[EntryDateTime]])</f>
        <v>44687</v>
      </c>
      <c r="I5049" s="1">
        <f>IF(Query1[[#This Row],[ItemType]]="EVAP KIT SF GEN IV",Query1[[#This Row],[OrderQty]]+I5048,I5048)</f>
        <v>6224</v>
      </c>
      <c r="J5049" s="1">
        <f>IF(Query1[[#This Row],[ItemType]]="EVAP KIT UNIVERSAL",Query1[[#This Row],[OrderQty]]+J5048,J5048)</f>
        <v>2047</v>
      </c>
      <c r="K5049" s="1">
        <f>Query1[[#This Row],[SF Running Total]]+Query1[[#This Row],[UNIV Running Total]]</f>
        <v>8271</v>
      </c>
      <c r="L5049">
        <f>VLOOKUP(Query1[[#This Row],[Description]],'kits to boards'!$B$2:$E$156,2,FALSE)</f>
        <v>830099</v>
      </c>
      <c r="M5049">
        <f>VLOOKUP(Query1[[#This Row],[Description]],'kits to boards'!$B$2:$E$156,3,FALSE)</f>
        <v>0</v>
      </c>
      <c r="N5049">
        <f>VLOOKUP(Query1[[#This Row],[Description]],'kits to boards'!$B$2:$E$156,4,FALSE)</f>
        <v>0</v>
      </c>
      <c r="O5049" t="str">
        <f>CONCATENATE(Query1[[#This Row],[Description]]," - ",Query1[[#This Row],[MB1]]," - ",Query1[[#This Row],[MB2]]," - ",Query1[[#This Row],[MB3]])</f>
        <v>MINI GEN II W/DEF - 830099 - 0 - 0</v>
      </c>
    </row>
    <row r="5050" spans="1:15" x14ac:dyDescent="0.25">
      <c r="A5050" s="1">
        <v>922751</v>
      </c>
      <c r="B5050" s="1" t="s">
        <v>9</v>
      </c>
      <c r="C5050" s="1" t="s">
        <v>10</v>
      </c>
      <c r="D5050" s="2">
        <v>44687.359065243058</v>
      </c>
      <c r="E5050" s="1" t="s">
        <v>11</v>
      </c>
      <c r="F5050" s="1">
        <v>7</v>
      </c>
      <c r="G5050" s="1">
        <v>0</v>
      </c>
      <c r="H5050" s="6">
        <f>INT(Query1[[#This Row],[EntryDateTime]])</f>
        <v>44687</v>
      </c>
      <c r="I5050" s="1">
        <f>IF(Query1[[#This Row],[ItemType]]="EVAP KIT SF GEN IV",Query1[[#This Row],[OrderQty]]+I5049,I5049)</f>
        <v>6224</v>
      </c>
      <c r="J5050" s="1">
        <f>IF(Query1[[#This Row],[ItemType]]="EVAP KIT UNIVERSAL",Query1[[#This Row],[OrderQty]]+J5049,J5049)</f>
        <v>2054</v>
      </c>
      <c r="K5050" s="1">
        <f>Query1[[#This Row],[SF Running Total]]+Query1[[#This Row],[UNIV Running Total]]</f>
        <v>8278</v>
      </c>
      <c r="L5050">
        <f>VLOOKUP(Query1[[#This Row],[Description]],'kits to boards'!$B$2:$E$156,2,FALSE)</f>
        <v>830069</v>
      </c>
      <c r="M5050">
        <f>VLOOKUP(Query1[[#This Row],[Description]],'kits to boards'!$B$2:$E$156,3,FALSE)</f>
        <v>0</v>
      </c>
      <c r="N5050">
        <f>VLOOKUP(Query1[[#This Row],[Description]],'kits to boards'!$B$2:$E$156,4,FALSE)</f>
        <v>0</v>
      </c>
      <c r="O5050" t="str">
        <f>CONCATENATE(Query1[[#This Row],[Description]]," - ",Query1[[#This Row],[MB1]]," - ",Query1[[#This Row],[MB2]]," - ",Query1[[#This Row],[MB3]])</f>
        <v>SLIMLINE H/C W/DEF STD LOUVER - 830069 - 0 - 0</v>
      </c>
    </row>
    <row r="5051" spans="1:15" x14ac:dyDescent="0.25">
      <c r="A5051" s="1">
        <v>922751</v>
      </c>
      <c r="B5051" s="1" t="s">
        <v>24</v>
      </c>
      <c r="C5051" s="1" t="s">
        <v>25</v>
      </c>
      <c r="D5051" s="2">
        <v>44687.359065243058</v>
      </c>
      <c r="E5051" s="1" t="s">
        <v>11</v>
      </c>
      <c r="F5051" s="1">
        <v>80</v>
      </c>
      <c r="G5051" s="1">
        <v>0</v>
      </c>
      <c r="H5051" s="6">
        <f>INT(Query1[[#This Row],[EntryDateTime]])</f>
        <v>44687</v>
      </c>
      <c r="I5051" s="1">
        <f>IF(Query1[[#This Row],[ItemType]]="EVAP KIT SF GEN IV",Query1[[#This Row],[OrderQty]]+I5050,I5050)</f>
        <v>6224</v>
      </c>
      <c r="J5051" s="1">
        <f>IF(Query1[[#This Row],[ItemType]]="EVAP KIT UNIVERSAL",Query1[[#This Row],[OrderQty]]+J5050,J5050)</f>
        <v>2134</v>
      </c>
      <c r="K5051" s="1">
        <f>Query1[[#This Row],[SF Running Total]]+Query1[[#This Row],[UNIV Running Total]]</f>
        <v>8358</v>
      </c>
      <c r="L5051">
        <f>VLOOKUP(Query1[[#This Row],[Description]],'kits to boards'!$B$2:$E$156,2,FALSE)</f>
        <v>830029</v>
      </c>
      <c r="M5051">
        <f>VLOOKUP(Query1[[#This Row],[Description]],'kits to boards'!$B$2:$E$156,3,FALSE)</f>
        <v>830030</v>
      </c>
      <c r="N5051">
        <f>VLOOKUP(Query1[[#This Row],[Description]],'kits to boards'!$B$2:$E$156,4,FALSE)</f>
        <v>0</v>
      </c>
      <c r="O5051" t="str">
        <f>CONCATENATE(Query1[[#This Row],[Description]]," - ",Query1[[#This Row],[MB1]]," - ",Query1[[#This Row],[MB2]]," - ",Query1[[#This Row],[MB3]])</f>
        <v>ComPac GEN II W/DEF - 830029 - 830030 - 0</v>
      </c>
    </row>
    <row r="5052" spans="1:15" x14ac:dyDescent="0.25">
      <c r="A5052" s="1">
        <v>922751</v>
      </c>
      <c r="B5052" s="1" t="s">
        <v>22</v>
      </c>
      <c r="C5052" s="1" t="s">
        <v>23</v>
      </c>
      <c r="D5052" s="2">
        <v>44687.359065243058</v>
      </c>
      <c r="E5052" s="1" t="s">
        <v>8</v>
      </c>
      <c r="F5052" s="1">
        <v>1</v>
      </c>
      <c r="G5052" s="1">
        <v>0</v>
      </c>
      <c r="H5052" s="6">
        <f>INT(Query1[[#This Row],[EntryDateTime]])</f>
        <v>44687</v>
      </c>
      <c r="I5052" s="1">
        <f>IF(Query1[[#This Row],[ItemType]]="EVAP KIT SF GEN IV",Query1[[#This Row],[OrderQty]]+I5051,I5051)</f>
        <v>6225</v>
      </c>
      <c r="J5052" s="1">
        <f>IF(Query1[[#This Row],[ItemType]]="EVAP KIT UNIVERSAL",Query1[[#This Row],[OrderQty]]+J5051,J5051)</f>
        <v>2134</v>
      </c>
      <c r="K5052" s="1">
        <f>Query1[[#This Row],[SF Running Total]]+Query1[[#This Row],[UNIV Running Total]]</f>
        <v>8359</v>
      </c>
      <c r="L5052">
        <f>VLOOKUP(Query1[[#This Row],[Description]],'kits to boards'!$B$2:$E$156,2,FALSE)</f>
        <v>830083</v>
      </c>
      <c r="M5052">
        <f>VLOOKUP(Query1[[#This Row],[Description]],'kits to boards'!$B$2:$E$156,3,FALSE)</f>
        <v>0</v>
      </c>
      <c r="N5052">
        <f>VLOOKUP(Query1[[#This Row],[Description]],'kits to boards'!$B$2:$E$156,4,FALSE)</f>
        <v>0</v>
      </c>
      <c r="O5052" t="str">
        <f>CONCATENATE(Query1[[#This Row],[Description]]," - ",Query1[[#This Row],[MB1]]," - ",Query1[[#This Row],[MB2]]," - ",Query1[[#This Row],[MB3]])</f>
        <v>GEN IV MAGNUM EVAP KIT - 830083 - 0 - 0</v>
      </c>
    </row>
    <row r="5053" spans="1:15" x14ac:dyDescent="0.25">
      <c r="A5053" s="1">
        <v>922751</v>
      </c>
      <c r="B5053" s="1" t="s">
        <v>20</v>
      </c>
      <c r="C5053" s="1" t="s">
        <v>21</v>
      </c>
      <c r="D5053" s="2">
        <v>44687.359065243058</v>
      </c>
      <c r="E5053" s="1" t="s">
        <v>11</v>
      </c>
      <c r="F5053" s="1">
        <v>8</v>
      </c>
      <c r="G5053" s="1">
        <v>0</v>
      </c>
      <c r="H5053" s="6">
        <f>INT(Query1[[#This Row],[EntryDateTime]])</f>
        <v>44687</v>
      </c>
      <c r="I5053" s="1">
        <f>IF(Query1[[#This Row],[ItemType]]="EVAP KIT SF GEN IV",Query1[[#This Row],[OrderQty]]+I5052,I5052)</f>
        <v>6225</v>
      </c>
      <c r="J5053" s="1">
        <f>IF(Query1[[#This Row],[ItemType]]="EVAP KIT UNIVERSAL",Query1[[#This Row],[OrderQty]]+J5052,J5052)</f>
        <v>2142</v>
      </c>
      <c r="K5053" s="1">
        <f>Query1[[#This Row],[SF Running Total]]+Query1[[#This Row],[UNIV Running Total]]</f>
        <v>8367</v>
      </c>
      <c r="L5053">
        <f>VLOOKUP(Query1[[#This Row],[Description]],'kits to boards'!$B$2:$E$156,2,FALSE)</f>
        <v>830102</v>
      </c>
      <c r="M5053">
        <f>VLOOKUP(Query1[[#This Row],[Description]],'kits to boards'!$B$2:$E$156,3,FALSE)</f>
        <v>0</v>
      </c>
      <c r="N5053">
        <f>VLOOKUP(Query1[[#This Row],[Description]],'kits to boards'!$B$2:$E$156,4,FALSE)</f>
        <v>0</v>
      </c>
      <c r="O5053" t="str">
        <f>CONCATENATE(Query1[[#This Row],[Description]]," - ",Query1[[#This Row],[MB1]]," - ",Query1[[#This Row],[MB2]]," - ",Query1[[#This Row],[MB3]])</f>
        <v>SUPER GEN II W/DEF - 830102 - 0 - 0</v>
      </c>
    </row>
    <row r="5054" spans="1:15" x14ac:dyDescent="0.25">
      <c r="A5054" s="1">
        <v>922763</v>
      </c>
      <c r="B5054" s="1" t="s">
        <v>94</v>
      </c>
      <c r="C5054" s="1" t="s">
        <v>95</v>
      </c>
      <c r="D5054" s="2">
        <v>44687.362827581019</v>
      </c>
      <c r="E5054" s="1" t="s">
        <v>8</v>
      </c>
      <c r="F5054" s="1">
        <v>1</v>
      </c>
      <c r="G5054" s="1">
        <v>0</v>
      </c>
      <c r="H5054" s="6">
        <f>INT(Query1[[#This Row],[EntryDateTime]])</f>
        <v>44687</v>
      </c>
      <c r="I5054" s="1">
        <f>IF(Query1[[#This Row],[ItemType]]="EVAP KIT SF GEN IV",Query1[[#This Row],[OrderQty]]+I5053,I5053)</f>
        <v>6226</v>
      </c>
      <c r="J5054" s="1">
        <f>IF(Query1[[#This Row],[ItemType]]="EVAP KIT UNIVERSAL",Query1[[#This Row],[OrderQty]]+J5053,J5053)</f>
        <v>2142</v>
      </c>
      <c r="K5054" s="1">
        <f>Query1[[#This Row],[SF Running Total]]+Query1[[#This Row],[UNIV Running Total]]</f>
        <v>8368</v>
      </c>
      <c r="L5054">
        <f>VLOOKUP(Query1[[#This Row],[Description]],'kits to boards'!$B$2:$E$156,2,FALSE)</f>
        <v>830076</v>
      </c>
      <c r="M5054">
        <f>VLOOKUP(Query1[[#This Row],[Description]],'kits to boards'!$B$2:$E$156,3,FALSE)</f>
        <v>0</v>
      </c>
      <c r="N5054">
        <f>VLOOKUP(Query1[[#This Row],[Description]],'kits to boards'!$B$2:$E$156,4,FALSE)</f>
        <v>0</v>
      </c>
      <c r="O5054" t="str">
        <f>CONCATENATE(Query1[[#This Row],[Description]]," - ",Query1[[#This Row],[MB1]]," - ",Query1[[#This Row],[MB2]]," - ",Query1[[#This Row],[MB3]])</f>
        <v>EVAP KIT 64 1/2- 66 MUSTANG  - 830076 - 0 - 0</v>
      </c>
    </row>
    <row r="5055" spans="1:15" x14ac:dyDescent="0.25">
      <c r="A5055" s="1">
        <v>922769</v>
      </c>
      <c r="B5055" s="1" t="s">
        <v>28</v>
      </c>
      <c r="C5055" s="1" t="s">
        <v>29</v>
      </c>
      <c r="D5055" s="2">
        <v>44687.380397835645</v>
      </c>
      <c r="E5055" s="1" t="s">
        <v>8</v>
      </c>
      <c r="F5055" s="1">
        <v>1</v>
      </c>
      <c r="G5055" s="1">
        <v>0</v>
      </c>
      <c r="H5055" s="6">
        <f>INT(Query1[[#This Row],[EntryDateTime]])</f>
        <v>44687</v>
      </c>
      <c r="I5055" s="1">
        <f>IF(Query1[[#This Row],[ItemType]]="EVAP KIT SF GEN IV",Query1[[#This Row],[OrderQty]]+I5054,I5054)</f>
        <v>6227</v>
      </c>
      <c r="J5055" s="1">
        <f>IF(Query1[[#This Row],[ItemType]]="EVAP KIT UNIVERSAL",Query1[[#This Row],[OrderQty]]+J5054,J5054)</f>
        <v>2142</v>
      </c>
      <c r="K5055" s="1">
        <f>Query1[[#This Row],[SF Running Total]]+Query1[[#This Row],[UNIV Running Total]]</f>
        <v>8369</v>
      </c>
      <c r="L5055">
        <f>VLOOKUP(Query1[[#This Row],[Description]],'kits to boards'!$B$2:$E$156,2,FALSE)</f>
        <v>830001</v>
      </c>
      <c r="M5055">
        <f>VLOOKUP(Query1[[#This Row],[Description]],'kits to boards'!$B$2:$E$156,3,FALSE)</f>
        <v>0</v>
      </c>
      <c r="N5055">
        <f>VLOOKUP(Query1[[#This Row],[Description]],'kits to boards'!$B$2:$E$156,4,FALSE)</f>
        <v>0</v>
      </c>
      <c r="O5055" t="str">
        <f>CONCATENATE(Query1[[#This Row],[Description]]," - ",Query1[[#This Row],[MB1]]," - ",Query1[[#This Row],[MB2]]," - ",Query1[[#This Row],[MB3]])</f>
        <v>EVAP KIT 73-80 CHEV P-UP W/AC - 830001 - 0 - 0</v>
      </c>
    </row>
    <row r="5056" spans="1:15" x14ac:dyDescent="0.25">
      <c r="A5056" s="1">
        <v>922767</v>
      </c>
      <c r="B5056" s="1" t="s">
        <v>22</v>
      </c>
      <c r="C5056" s="1" t="s">
        <v>23</v>
      </c>
      <c r="D5056" s="2">
        <v>44687.399645451391</v>
      </c>
      <c r="E5056" s="1" t="s">
        <v>8</v>
      </c>
      <c r="F5056" s="1">
        <v>2</v>
      </c>
      <c r="G5056" s="1">
        <v>0</v>
      </c>
      <c r="H5056" s="6">
        <f>INT(Query1[[#This Row],[EntryDateTime]])</f>
        <v>44687</v>
      </c>
      <c r="I5056" s="1">
        <f>IF(Query1[[#This Row],[ItemType]]="EVAP KIT SF GEN IV",Query1[[#This Row],[OrderQty]]+I5055,I5055)</f>
        <v>6229</v>
      </c>
      <c r="J5056" s="1">
        <f>IF(Query1[[#This Row],[ItemType]]="EVAP KIT UNIVERSAL",Query1[[#This Row],[OrderQty]]+J5055,J5055)</f>
        <v>2142</v>
      </c>
      <c r="K5056" s="1">
        <f>Query1[[#This Row],[SF Running Total]]+Query1[[#This Row],[UNIV Running Total]]</f>
        <v>8371</v>
      </c>
      <c r="L5056">
        <f>VLOOKUP(Query1[[#This Row],[Description]],'kits to boards'!$B$2:$E$156,2,FALSE)</f>
        <v>830083</v>
      </c>
      <c r="M5056">
        <f>VLOOKUP(Query1[[#This Row],[Description]],'kits to boards'!$B$2:$E$156,3,FALSE)</f>
        <v>0</v>
      </c>
      <c r="N5056">
        <f>VLOOKUP(Query1[[#This Row],[Description]],'kits to boards'!$B$2:$E$156,4,FALSE)</f>
        <v>0</v>
      </c>
      <c r="O5056" t="str">
        <f>CONCATENATE(Query1[[#This Row],[Description]]," - ",Query1[[#This Row],[MB1]]," - ",Query1[[#This Row],[MB2]]," - ",Query1[[#This Row],[MB3]])</f>
        <v>GEN IV MAGNUM EVAP KIT - 830083 - 0 - 0</v>
      </c>
    </row>
    <row r="5057" spans="1:15" x14ac:dyDescent="0.25">
      <c r="A5057" s="1">
        <v>922767</v>
      </c>
      <c r="B5057" s="1" t="s">
        <v>62</v>
      </c>
      <c r="C5057" s="1" t="s">
        <v>63</v>
      </c>
      <c r="D5057" s="2">
        <v>44687.399645451391</v>
      </c>
      <c r="E5057" s="1" t="s">
        <v>8</v>
      </c>
      <c r="F5057" s="1">
        <v>1</v>
      </c>
      <c r="G5057" s="1">
        <v>0</v>
      </c>
      <c r="H5057" s="6">
        <f>INT(Query1[[#This Row],[EntryDateTime]])</f>
        <v>44687</v>
      </c>
      <c r="I5057" s="1">
        <f>IF(Query1[[#This Row],[ItemType]]="EVAP KIT SF GEN IV",Query1[[#This Row],[OrderQty]]+I5056,I5056)</f>
        <v>6230</v>
      </c>
      <c r="J5057" s="1">
        <f>IF(Query1[[#This Row],[ItemType]]="EVAP KIT UNIVERSAL",Query1[[#This Row],[OrderQty]]+J5056,J5056)</f>
        <v>2142</v>
      </c>
      <c r="K5057" s="1">
        <f>Query1[[#This Row],[SF Running Total]]+Query1[[#This Row],[UNIV Running Total]]</f>
        <v>8372</v>
      </c>
      <c r="L5057">
        <f>VLOOKUP(Query1[[#This Row],[Description]],'kits to boards'!$B$2:$E$156,2,FALSE)</f>
        <v>830079</v>
      </c>
      <c r="M5057">
        <f>VLOOKUP(Query1[[#This Row],[Description]],'kits to boards'!$B$2:$E$156,3,FALSE)</f>
        <v>830046</v>
      </c>
      <c r="N5057">
        <f>VLOOKUP(Query1[[#This Row],[Description]],'kits to boards'!$B$2:$E$156,4,FALSE)</f>
        <v>0</v>
      </c>
      <c r="O5057" t="str">
        <f>CONCATENATE(Query1[[#This Row],[Description]]," - ",Query1[[#This Row],[MB1]]," - ",Query1[[#This Row],[MB2]]," - ",Query1[[#This Row],[MB3]])</f>
        <v>EVAP KIT 67-68 MUSTANG/COUGAR WO AC - 830079 - 830046 - 0</v>
      </c>
    </row>
    <row r="5058" spans="1:15" x14ac:dyDescent="0.25">
      <c r="A5058" s="1">
        <v>922767</v>
      </c>
      <c r="B5058" s="1" t="s">
        <v>108</v>
      </c>
      <c r="C5058" s="1" t="s">
        <v>109</v>
      </c>
      <c r="D5058" s="2">
        <v>44687.399645451391</v>
      </c>
      <c r="E5058" s="1" t="s">
        <v>8</v>
      </c>
      <c r="F5058" s="1">
        <v>1</v>
      </c>
      <c r="G5058" s="1">
        <v>0</v>
      </c>
      <c r="H5058" s="6">
        <f>INT(Query1[[#This Row],[EntryDateTime]])</f>
        <v>44687</v>
      </c>
      <c r="I5058" s="1">
        <f>IF(Query1[[#This Row],[ItemType]]="EVAP KIT SF GEN IV",Query1[[#This Row],[OrderQty]]+I5057,I5057)</f>
        <v>6231</v>
      </c>
      <c r="J5058" s="1">
        <f>IF(Query1[[#This Row],[ItemType]]="EVAP KIT UNIVERSAL",Query1[[#This Row],[OrderQty]]+J5057,J5057)</f>
        <v>2142</v>
      </c>
      <c r="K5058" s="1">
        <f>Query1[[#This Row],[SF Running Total]]+Query1[[#This Row],[UNIV Running Total]]</f>
        <v>8373</v>
      </c>
      <c r="L5058">
        <f>VLOOKUP(Query1[[#This Row],[Description]],'kits to boards'!$B$2:$E$156,2,FALSE)</f>
        <v>830105</v>
      </c>
      <c r="M5058">
        <f>VLOOKUP(Query1[[#This Row],[Description]],'kits to boards'!$B$2:$E$156,3,FALSE)</f>
        <v>830106</v>
      </c>
      <c r="N5058">
        <f>VLOOKUP(Query1[[#This Row],[Description]],'kits to boards'!$B$2:$E$156,4,FALSE)</f>
        <v>0</v>
      </c>
      <c r="O5058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5059" spans="1:15" x14ac:dyDescent="0.25">
      <c r="A5059" s="1">
        <v>922767</v>
      </c>
      <c r="B5059" s="1" t="s">
        <v>42</v>
      </c>
      <c r="C5059" s="1" t="s">
        <v>43</v>
      </c>
      <c r="D5059" s="2">
        <v>44687.399645451391</v>
      </c>
      <c r="E5059" s="1" t="s">
        <v>8</v>
      </c>
      <c r="F5059" s="1">
        <v>2</v>
      </c>
      <c r="G5059" s="1">
        <v>0</v>
      </c>
      <c r="H5059" s="6">
        <f>INT(Query1[[#This Row],[EntryDateTime]])</f>
        <v>44687</v>
      </c>
      <c r="I5059" s="1">
        <f>IF(Query1[[#This Row],[ItemType]]="EVAP KIT SF GEN IV",Query1[[#This Row],[OrderQty]]+I5058,I5058)</f>
        <v>6233</v>
      </c>
      <c r="J5059" s="1">
        <f>IF(Query1[[#This Row],[ItemType]]="EVAP KIT UNIVERSAL",Query1[[#This Row],[OrderQty]]+J5058,J5058)</f>
        <v>2142</v>
      </c>
      <c r="K5059" s="1">
        <f>Query1[[#This Row],[SF Running Total]]+Query1[[#This Row],[UNIV Running Total]]</f>
        <v>8375</v>
      </c>
      <c r="L5059">
        <f>VLOOKUP(Query1[[#This Row],[Description]],'kits to boards'!$B$2:$E$156,2,FALSE)</f>
        <v>830014</v>
      </c>
      <c r="M5059">
        <f>VLOOKUP(Query1[[#This Row],[Description]],'kits to boards'!$B$2:$E$156,3,FALSE)</f>
        <v>0</v>
      </c>
      <c r="N5059">
        <f>VLOOKUP(Query1[[#This Row],[Description]],'kits to boards'!$B$2:$E$156,4,FALSE)</f>
        <v>0</v>
      </c>
      <c r="O5059" t="str">
        <f>CONCATENATE(Query1[[#This Row],[Description]]," - ",Query1[[#This Row],[MB1]]," - ",Query1[[#This Row],[MB2]]," - ",Query1[[#This Row],[MB3]])</f>
        <v>EVAP KIT 67-72 CHEV P-UP WO AC - 830014 - 0 - 0</v>
      </c>
    </row>
    <row r="5060" spans="1:15" x14ac:dyDescent="0.25">
      <c r="A5060" s="1">
        <v>922767</v>
      </c>
      <c r="B5060" s="1" t="s">
        <v>52</v>
      </c>
      <c r="C5060" s="1" t="s">
        <v>53</v>
      </c>
      <c r="D5060" s="2">
        <v>44687.399645451391</v>
      </c>
      <c r="E5060" s="1" t="s">
        <v>8</v>
      </c>
      <c r="F5060" s="1">
        <v>1</v>
      </c>
      <c r="G5060" s="1">
        <v>0</v>
      </c>
      <c r="H5060" s="6">
        <f>INT(Query1[[#This Row],[EntryDateTime]])</f>
        <v>44687</v>
      </c>
      <c r="I5060" s="1">
        <f>IF(Query1[[#This Row],[ItemType]]="EVAP KIT SF GEN IV",Query1[[#This Row],[OrderQty]]+I5059,I5059)</f>
        <v>6234</v>
      </c>
      <c r="J5060" s="1">
        <f>IF(Query1[[#This Row],[ItemType]]="EVAP KIT UNIVERSAL",Query1[[#This Row],[OrderQty]]+J5059,J5059)</f>
        <v>2142</v>
      </c>
      <c r="K5060" s="1">
        <f>Query1[[#This Row],[SF Running Total]]+Query1[[#This Row],[UNIV Running Total]]</f>
        <v>8376</v>
      </c>
      <c r="L5060">
        <f>VLOOKUP(Query1[[#This Row],[Description]],'kits to boards'!$B$2:$E$156,2,FALSE)</f>
        <v>830017</v>
      </c>
      <c r="M5060">
        <f>VLOOKUP(Query1[[#This Row],[Description]],'kits to boards'!$B$2:$E$156,3,FALSE)</f>
        <v>830119</v>
      </c>
      <c r="N5060">
        <f>VLOOKUP(Query1[[#This Row],[Description]],'kits to boards'!$B$2:$E$156,4,FALSE)</f>
        <v>830120</v>
      </c>
      <c r="O5060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5061" spans="1:15" x14ac:dyDescent="0.25">
      <c r="A5061" s="1">
        <v>922767</v>
      </c>
      <c r="B5061" s="1" t="s">
        <v>12</v>
      </c>
      <c r="C5061" s="1" t="s">
        <v>13</v>
      </c>
      <c r="D5061" s="2">
        <v>44687.399645451391</v>
      </c>
      <c r="E5061" s="1" t="s">
        <v>8</v>
      </c>
      <c r="F5061" s="1">
        <v>1</v>
      </c>
      <c r="G5061" s="1">
        <v>0</v>
      </c>
      <c r="H5061" s="6">
        <f>INT(Query1[[#This Row],[EntryDateTime]])</f>
        <v>44687</v>
      </c>
      <c r="I5061" s="1">
        <f>IF(Query1[[#This Row],[ItemType]]="EVAP KIT SF GEN IV",Query1[[#This Row],[OrderQty]]+I5060,I5060)</f>
        <v>6235</v>
      </c>
      <c r="J5061" s="1">
        <f>IF(Query1[[#This Row],[ItemType]]="EVAP KIT UNIVERSAL",Query1[[#This Row],[OrderQty]]+J5060,J5060)</f>
        <v>2142</v>
      </c>
      <c r="K5061" s="1">
        <f>Query1[[#This Row],[SF Running Total]]+Query1[[#This Row],[UNIV Running Total]]</f>
        <v>8377</v>
      </c>
      <c r="L5061">
        <f>VLOOKUP(Query1[[#This Row],[Description]],'kits to boards'!$B$2:$E$156,2,FALSE)</f>
        <v>830079</v>
      </c>
      <c r="M5061">
        <f>VLOOKUP(Query1[[#This Row],[Description]],'kits to boards'!$B$2:$E$156,3,FALSE)</f>
        <v>830046</v>
      </c>
      <c r="N5061">
        <f>VLOOKUP(Query1[[#This Row],[Description]],'kits to boards'!$B$2:$E$156,4,FALSE)</f>
        <v>0</v>
      </c>
      <c r="O5061" t="str">
        <f>CONCATENATE(Query1[[#This Row],[Description]]," - ",Query1[[#This Row],[MB1]]," - ",Query1[[#This Row],[MB2]]," - ",Query1[[#This Row],[MB3]])</f>
        <v>EVAP KIT 67-68 MUSTANG/COUGAR W/AC - 830079 - 830046 - 0</v>
      </c>
    </row>
    <row r="5062" spans="1:15" x14ac:dyDescent="0.25">
      <c r="A5062" s="1">
        <v>922767</v>
      </c>
      <c r="B5062" s="1" t="s">
        <v>18</v>
      </c>
      <c r="C5062" s="1" t="s">
        <v>19</v>
      </c>
      <c r="D5062" s="2">
        <v>44687.399645451391</v>
      </c>
      <c r="E5062" s="1" t="s">
        <v>8</v>
      </c>
      <c r="F5062" s="1">
        <v>1</v>
      </c>
      <c r="G5062" s="1">
        <v>0</v>
      </c>
      <c r="H5062" s="6">
        <f>INT(Query1[[#This Row],[EntryDateTime]])</f>
        <v>44687</v>
      </c>
      <c r="I5062" s="1">
        <f>IF(Query1[[#This Row],[ItemType]]="EVAP KIT SF GEN IV",Query1[[#This Row],[OrderQty]]+I5061,I5061)</f>
        <v>6236</v>
      </c>
      <c r="J5062" s="1">
        <f>IF(Query1[[#This Row],[ItemType]]="EVAP KIT UNIVERSAL",Query1[[#This Row],[OrderQty]]+J5061,J5061)</f>
        <v>2142</v>
      </c>
      <c r="K5062" s="1">
        <f>Query1[[#This Row],[SF Running Total]]+Query1[[#This Row],[UNIV Running Total]]</f>
        <v>8378</v>
      </c>
      <c r="L5062">
        <f>VLOOKUP(Query1[[#This Row],[Description]],'kits to boards'!$B$2:$E$156,2,FALSE)</f>
        <v>830051</v>
      </c>
      <c r="M5062">
        <f>VLOOKUP(Query1[[#This Row],[Description]],'kits to boards'!$B$2:$E$156,3,FALSE)</f>
        <v>0</v>
      </c>
      <c r="N5062">
        <f>VLOOKUP(Query1[[#This Row],[Description]],'kits to boards'!$B$2:$E$156,4,FALSE)</f>
        <v>0</v>
      </c>
      <c r="O5062" t="str">
        <f>CONCATENATE(Query1[[#This Row],[Description]]," - ",Query1[[#This Row],[MB1]]," - ",Query1[[#This Row],[MB2]]," - ",Query1[[#This Row],[MB3]])</f>
        <v>EVAP KIT 70-78 CAMARO W/AC - 830051 - 0 - 0</v>
      </c>
    </row>
    <row r="5063" spans="1:15" x14ac:dyDescent="0.25">
      <c r="A5063" s="1">
        <v>922767</v>
      </c>
      <c r="B5063" s="1" t="s">
        <v>92</v>
      </c>
      <c r="C5063" s="1" t="s">
        <v>93</v>
      </c>
      <c r="D5063" s="2">
        <v>44687.399645451391</v>
      </c>
      <c r="E5063" s="1" t="s">
        <v>8</v>
      </c>
      <c r="F5063" s="1">
        <v>1</v>
      </c>
      <c r="G5063" s="1">
        <v>0</v>
      </c>
      <c r="H5063" s="6">
        <f>INT(Query1[[#This Row],[EntryDateTime]])</f>
        <v>44687</v>
      </c>
      <c r="I5063" s="1">
        <f>IF(Query1[[#This Row],[ItemType]]="EVAP KIT SF GEN IV",Query1[[#This Row],[OrderQty]]+I5062,I5062)</f>
        <v>6237</v>
      </c>
      <c r="J5063" s="1">
        <f>IF(Query1[[#This Row],[ItemType]]="EVAP KIT UNIVERSAL",Query1[[#This Row],[OrderQty]]+J5062,J5062)</f>
        <v>2142</v>
      </c>
      <c r="K5063" s="1">
        <f>Query1[[#This Row],[SF Running Total]]+Query1[[#This Row],[UNIV Running Total]]</f>
        <v>8379</v>
      </c>
      <c r="L5063">
        <f>VLOOKUP(Query1[[#This Row],[Description]],'kits to boards'!$B$2:$E$156,2,FALSE)</f>
        <v>830063</v>
      </c>
      <c r="M5063">
        <f>VLOOKUP(Query1[[#This Row],[Description]],'kits to boards'!$B$2:$E$156,3,FALSE)</f>
        <v>0</v>
      </c>
      <c r="N5063">
        <f>VLOOKUP(Query1[[#This Row],[Description]],'kits to boards'!$B$2:$E$156,4,FALSE)</f>
        <v>0</v>
      </c>
      <c r="O5063" t="str">
        <f>CONCATENATE(Query1[[#This Row],[Description]]," - ",Query1[[#This Row],[MB1]]," - ",Query1[[#This Row],[MB2]]," - ",Query1[[#This Row],[MB3]])</f>
        <v>EVAP KIT 50-53 CHEV P-UP GEN IV - 830063 - 0 - 0</v>
      </c>
    </row>
    <row r="5064" spans="1:15" x14ac:dyDescent="0.25">
      <c r="A5064" s="1">
        <v>922767</v>
      </c>
      <c r="B5064" s="1" t="s">
        <v>14</v>
      </c>
      <c r="C5064" s="1" t="s">
        <v>15</v>
      </c>
      <c r="D5064" s="2">
        <v>44687.399645451391</v>
      </c>
      <c r="E5064" s="1" t="s">
        <v>8</v>
      </c>
      <c r="F5064" s="1">
        <v>3</v>
      </c>
      <c r="G5064" s="1">
        <v>0</v>
      </c>
      <c r="H5064" s="6">
        <f>INT(Query1[[#This Row],[EntryDateTime]])</f>
        <v>44687</v>
      </c>
      <c r="I5064" s="1">
        <f>IF(Query1[[#This Row],[ItemType]]="EVAP KIT SF GEN IV",Query1[[#This Row],[OrderQty]]+I5063,I5063)</f>
        <v>6240</v>
      </c>
      <c r="J5064" s="1">
        <f>IF(Query1[[#This Row],[ItemType]]="EVAP KIT UNIVERSAL",Query1[[#This Row],[OrderQty]]+J5063,J5063)</f>
        <v>2142</v>
      </c>
      <c r="K5064" s="1">
        <f>Query1[[#This Row],[SF Running Total]]+Query1[[#This Row],[UNIV Running Total]]</f>
        <v>8382</v>
      </c>
      <c r="L5064">
        <f>VLOOKUP(Query1[[#This Row],[Description]],'kits to boards'!$B$2:$E$156,2,FALSE)</f>
        <v>830054</v>
      </c>
      <c r="M5064">
        <f>VLOOKUP(Query1[[#This Row],[Description]],'kits to boards'!$B$2:$E$156,3,FALSE)</f>
        <v>0</v>
      </c>
      <c r="N5064">
        <f>VLOOKUP(Query1[[#This Row],[Description]],'kits to boards'!$B$2:$E$156,4,FALSE)</f>
        <v>0</v>
      </c>
      <c r="O5064" t="str">
        <f>CONCATENATE(Query1[[#This Row],[Description]]," - ",Query1[[#This Row],[MB1]]," - ",Query1[[#This Row],[MB2]]," - ",Query1[[#This Row],[MB3]])</f>
        <v>EVAP KIT 55-56 CHEVY - 830054 - 0 - 0</v>
      </c>
    </row>
    <row r="5065" spans="1:15" x14ac:dyDescent="0.25">
      <c r="A5065" s="1">
        <v>922767</v>
      </c>
      <c r="B5065" s="1" t="s">
        <v>502</v>
      </c>
      <c r="C5065" s="1" t="s">
        <v>503</v>
      </c>
      <c r="D5065" s="2">
        <v>44687.399645451391</v>
      </c>
      <c r="E5065" s="1" t="s">
        <v>677</v>
      </c>
      <c r="F5065" s="1">
        <v>1</v>
      </c>
      <c r="G5065" s="1">
        <v>0</v>
      </c>
      <c r="H5065" s="6">
        <f>INT(Query1[[#This Row],[EntryDateTime]])</f>
        <v>44687</v>
      </c>
      <c r="I5065" s="1">
        <f>IF(Query1[[#This Row],[ItemType]]="EVAP KIT SF GEN IV",Query1[[#This Row],[OrderQty]]+I5064,I5064)</f>
        <v>6240</v>
      </c>
      <c r="J5065" s="1">
        <f>IF(Query1[[#This Row],[ItemType]]="EVAP KIT UNIVERSAL",Query1[[#This Row],[OrderQty]]+J5064,J5064)</f>
        <v>2142</v>
      </c>
      <c r="K5065" s="1">
        <f>Query1[[#This Row],[SF Running Total]]+Query1[[#This Row],[UNIV Running Total]]</f>
        <v>8382</v>
      </c>
      <c r="L5065" t="e">
        <f>VLOOKUP(Query1[[#This Row],[Description]],'kits to boards'!$B$2:$E$156,2,FALSE)</f>
        <v>#N/A</v>
      </c>
      <c r="M5065" t="e">
        <f>VLOOKUP(Query1[[#This Row],[Description]],'kits to boards'!$B$2:$E$156,3,FALSE)</f>
        <v>#N/A</v>
      </c>
      <c r="N5065" t="e">
        <f>VLOOKUP(Query1[[#This Row],[Description]],'kits to boards'!$B$2:$E$156,4,FALSE)</f>
        <v>#N/A</v>
      </c>
      <c r="O5065" t="e">
        <f>CONCATENATE(Query1[[#This Row],[Description]]," - ",Query1[[#This Row],[MB1]]," - ",Query1[[#This Row],[MB2]]," - ",Query1[[#This Row],[MB3]])</f>
        <v>#N/A</v>
      </c>
    </row>
    <row r="5066" spans="1:15" x14ac:dyDescent="0.25">
      <c r="A5066" s="1">
        <v>922773</v>
      </c>
      <c r="B5066" s="1" t="s">
        <v>18</v>
      </c>
      <c r="C5066" s="1" t="s">
        <v>19</v>
      </c>
      <c r="D5066" s="2">
        <v>44687.402371793978</v>
      </c>
      <c r="E5066" s="1" t="s">
        <v>8</v>
      </c>
      <c r="F5066" s="1">
        <v>1</v>
      </c>
      <c r="G5066" s="1">
        <v>0</v>
      </c>
      <c r="H5066" s="6">
        <f>INT(Query1[[#This Row],[EntryDateTime]])</f>
        <v>44687</v>
      </c>
      <c r="I5066" s="1">
        <f>IF(Query1[[#This Row],[ItemType]]="EVAP KIT SF GEN IV",Query1[[#This Row],[OrderQty]]+I5065,I5065)</f>
        <v>6241</v>
      </c>
      <c r="J5066" s="1">
        <f>IF(Query1[[#This Row],[ItemType]]="EVAP KIT UNIVERSAL",Query1[[#This Row],[OrderQty]]+J5065,J5065)</f>
        <v>2142</v>
      </c>
      <c r="K5066" s="1">
        <f>Query1[[#This Row],[SF Running Total]]+Query1[[#This Row],[UNIV Running Total]]</f>
        <v>8383</v>
      </c>
      <c r="L5066">
        <f>VLOOKUP(Query1[[#This Row],[Description]],'kits to boards'!$B$2:$E$156,2,FALSE)</f>
        <v>830051</v>
      </c>
      <c r="M5066">
        <f>VLOOKUP(Query1[[#This Row],[Description]],'kits to boards'!$B$2:$E$156,3,FALSE)</f>
        <v>0</v>
      </c>
      <c r="N5066">
        <f>VLOOKUP(Query1[[#This Row],[Description]],'kits to boards'!$B$2:$E$156,4,FALSE)</f>
        <v>0</v>
      </c>
      <c r="O5066" t="str">
        <f>CONCATENATE(Query1[[#This Row],[Description]]," - ",Query1[[#This Row],[MB1]]," - ",Query1[[#This Row],[MB2]]," - ",Query1[[#This Row],[MB3]])</f>
        <v>EVAP KIT 70-78 CAMARO W/AC - 830051 - 0 - 0</v>
      </c>
    </row>
    <row r="5067" spans="1:15" x14ac:dyDescent="0.25">
      <c r="A5067" s="1">
        <v>922781</v>
      </c>
      <c r="B5067" s="1" t="s">
        <v>104</v>
      </c>
      <c r="C5067" s="1" t="s">
        <v>105</v>
      </c>
      <c r="D5067" s="2">
        <v>44687.406958136577</v>
      </c>
      <c r="E5067" s="1" t="s">
        <v>11</v>
      </c>
      <c r="F5067" s="1">
        <v>1</v>
      </c>
      <c r="G5067" s="1">
        <v>0</v>
      </c>
      <c r="H5067" s="6">
        <f>INT(Query1[[#This Row],[EntryDateTime]])</f>
        <v>44687</v>
      </c>
      <c r="I5067" s="1">
        <f>IF(Query1[[#This Row],[ItemType]]="EVAP KIT SF GEN IV",Query1[[#This Row],[OrderQty]]+I5066,I5066)</f>
        <v>6241</v>
      </c>
      <c r="J5067" s="1">
        <f>IF(Query1[[#This Row],[ItemType]]="EVAP KIT UNIVERSAL",Query1[[#This Row],[OrderQty]]+J5066,J5066)</f>
        <v>2143</v>
      </c>
      <c r="K5067" s="1">
        <f>Query1[[#This Row],[SF Running Total]]+Query1[[#This Row],[UNIV Running Total]]</f>
        <v>8384</v>
      </c>
      <c r="L5067">
        <f>VLOOKUP(Query1[[#This Row],[Description]],'kits to boards'!$B$2:$E$156,2,FALSE)</f>
        <v>0</v>
      </c>
      <c r="M5067">
        <f>VLOOKUP(Query1[[#This Row],[Description]],'kits to boards'!$B$2:$E$156,3,FALSE)</f>
        <v>0</v>
      </c>
      <c r="N5067">
        <f>VLOOKUP(Query1[[#This Row],[Description]],'kits to boards'!$B$2:$E$156,4,FALSE)</f>
        <v>0</v>
      </c>
      <c r="O5067" t="str">
        <f>CONCATENATE(Query1[[#This Row],[Description]]," - ",Query1[[#This Row],[MB1]]," - ",Query1[[#This Row],[MB2]]," - ",Query1[[#This Row],[MB3]])</f>
        <v>HERITAGE BRUSHED EVAP KIT HEAT/COOL - 0 - 0 - 0</v>
      </c>
    </row>
    <row r="5068" spans="1:15" x14ac:dyDescent="0.25">
      <c r="A5068" s="1">
        <v>922779</v>
      </c>
      <c r="B5068" s="1" t="s">
        <v>24</v>
      </c>
      <c r="C5068" s="1" t="s">
        <v>25</v>
      </c>
      <c r="D5068" s="2">
        <v>44687.410031168984</v>
      </c>
      <c r="E5068" s="1" t="s">
        <v>11</v>
      </c>
      <c r="F5068" s="1">
        <v>1</v>
      </c>
      <c r="G5068" s="1">
        <v>0</v>
      </c>
      <c r="H5068" s="6">
        <f>INT(Query1[[#This Row],[EntryDateTime]])</f>
        <v>44687</v>
      </c>
      <c r="I5068" s="1">
        <f>IF(Query1[[#This Row],[ItemType]]="EVAP KIT SF GEN IV",Query1[[#This Row],[OrderQty]]+I5067,I5067)</f>
        <v>6241</v>
      </c>
      <c r="J5068" s="1">
        <f>IF(Query1[[#This Row],[ItemType]]="EVAP KIT UNIVERSAL",Query1[[#This Row],[OrderQty]]+J5067,J5067)</f>
        <v>2144</v>
      </c>
      <c r="K5068" s="1">
        <f>Query1[[#This Row],[SF Running Total]]+Query1[[#This Row],[UNIV Running Total]]</f>
        <v>8385</v>
      </c>
      <c r="L5068">
        <f>VLOOKUP(Query1[[#This Row],[Description]],'kits to boards'!$B$2:$E$156,2,FALSE)</f>
        <v>830029</v>
      </c>
      <c r="M5068">
        <f>VLOOKUP(Query1[[#This Row],[Description]],'kits to boards'!$B$2:$E$156,3,FALSE)</f>
        <v>830030</v>
      </c>
      <c r="N5068">
        <f>VLOOKUP(Query1[[#This Row],[Description]],'kits to boards'!$B$2:$E$156,4,FALSE)</f>
        <v>0</v>
      </c>
      <c r="O5068" t="str">
        <f>CONCATENATE(Query1[[#This Row],[Description]]," - ",Query1[[#This Row],[MB1]]," - ",Query1[[#This Row],[MB2]]," - ",Query1[[#This Row],[MB3]])</f>
        <v>ComPac GEN II W/DEF - 830029 - 830030 - 0</v>
      </c>
    </row>
    <row r="5069" spans="1:15" x14ac:dyDescent="0.25">
      <c r="A5069" s="1">
        <v>922413</v>
      </c>
      <c r="B5069" s="1" t="s">
        <v>132</v>
      </c>
      <c r="C5069" s="1" t="s">
        <v>133</v>
      </c>
      <c r="D5069" s="2">
        <v>44687.413448067127</v>
      </c>
      <c r="E5069" s="1" t="s">
        <v>8</v>
      </c>
      <c r="F5069" s="1">
        <v>1</v>
      </c>
      <c r="G5069" s="1">
        <v>0</v>
      </c>
      <c r="H5069" s="6">
        <f>INT(Query1[[#This Row],[EntryDateTime]])</f>
        <v>44687</v>
      </c>
      <c r="I5069" s="1">
        <f>IF(Query1[[#This Row],[ItemType]]="EVAP KIT SF GEN IV",Query1[[#This Row],[OrderQty]]+I5068,I5068)</f>
        <v>6242</v>
      </c>
      <c r="J5069" s="1">
        <f>IF(Query1[[#This Row],[ItemType]]="EVAP KIT UNIVERSAL",Query1[[#This Row],[OrderQty]]+J5068,J5068)</f>
        <v>2144</v>
      </c>
      <c r="K5069" s="1">
        <f>Query1[[#This Row],[SF Running Total]]+Query1[[#This Row],[UNIV Running Total]]</f>
        <v>8386</v>
      </c>
      <c r="L5069">
        <f>VLOOKUP(Query1[[#This Row],[Description]],'kits to boards'!$B$2:$E$156,2,FALSE)</f>
        <v>830005</v>
      </c>
      <c r="M5069">
        <f>VLOOKUP(Query1[[#This Row],[Description]],'kits to boards'!$B$2:$E$156,3,FALSE)</f>
        <v>0</v>
      </c>
      <c r="N5069">
        <f>VLOOKUP(Query1[[#This Row],[Description]],'kits to boards'!$B$2:$E$156,4,FALSE)</f>
        <v>0</v>
      </c>
      <c r="O5069" t="str">
        <f>CONCATENATE(Query1[[#This Row],[Description]]," - ",Query1[[#This Row],[MB1]]," - ",Query1[[#This Row],[MB2]]," - ",Query1[[#This Row],[MB3]])</f>
        <v>EVAP KIT 61-62 IMPALA WO AC - 830005 - 0 - 0</v>
      </c>
    </row>
    <row r="5070" spans="1:15" x14ac:dyDescent="0.25">
      <c r="A5070" s="1">
        <v>922789</v>
      </c>
      <c r="B5070" s="1" t="s">
        <v>194</v>
      </c>
      <c r="C5070" s="1" t="s">
        <v>195</v>
      </c>
      <c r="D5070" s="2">
        <v>44687.416118518522</v>
      </c>
      <c r="E5070" s="1" t="s">
        <v>8</v>
      </c>
      <c r="F5070" s="1">
        <v>1</v>
      </c>
      <c r="G5070" s="1">
        <v>0</v>
      </c>
      <c r="H5070" s="6">
        <f>INT(Query1[[#This Row],[EntryDateTime]])</f>
        <v>44687</v>
      </c>
      <c r="I5070" s="1">
        <f>IF(Query1[[#This Row],[ItemType]]="EVAP KIT SF GEN IV",Query1[[#This Row],[OrderQty]]+I5069,I5069)</f>
        <v>6243</v>
      </c>
      <c r="J5070" s="1">
        <f>IF(Query1[[#This Row],[ItemType]]="EVAP KIT UNIVERSAL",Query1[[#This Row],[OrderQty]]+J5069,J5069)</f>
        <v>2144</v>
      </c>
      <c r="K5070" s="1">
        <f>Query1[[#This Row],[SF Running Total]]+Query1[[#This Row],[UNIV Running Total]]</f>
        <v>8387</v>
      </c>
      <c r="L5070">
        <f>VLOOKUP(Query1[[#This Row],[Description]],'kits to boards'!$B$2:$E$156,2,FALSE)</f>
        <v>830103</v>
      </c>
      <c r="M5070">
        <f>VLOOKUP(Query1[[#This Row],[Description]],'kits to boards'!$B$2:$E$156,3,FALSE)</f>
        <v>0</v>
      </c>
      <c r="N5070">
        <f>VLOOKUP(Query1[[#This Row],[Description]],'kits to boards'!$B$2:$E$156,4,FALSE)</f>
        <v>0</v>
      </c>
      <c r="O5070" t="str">
        <f>CONCATENATE(Query1[[#This Row],[Description]]," - ",Query1[[#This Row],[MB1]]," - ",Query1[[#This Row],[MB2]]," - ",Query1[[#This Row],[MB3]])</f>
        <v>EVAP KIT 78-82 VETTE W/AC - 830103 - 0 - 0</v>
      </c>
    </row>
    <row r="5071" spans="1:15" x14ac:dyDescent="0.25">
      <c r="A5071" s="1">
        <v>922782</v>
      </c>
      <c r="B5071" s="1" t="s">
        <v>92</v>
      </c>
      <c r="C5071" s="1" t="s">
        <v>93</v>
      </c>
      <c r="D5071" s="2">
        <v>44687.434157523145</v>
      </c>
      <c r="E5071" s="1" t="s">
        <v>8</v>
      </c>
      <c r="F5071" s="1">
        <v>1</v>
      </c>
      <c r="G5071" s="1">
        <v>0</v>
      </c>
      <c r="H5071" s="6">
        <f>INT(Query1[[#This Row],[EntryDateTime]])</f>
        <v>44687</v>
      </c>
      <c r="I5071" s="1">
        <f>IF(Query1[[#This Row],[ItemType]]="EVAP KIT SF GEN IV",Query1[[#This Row],[OrderQty]]+I5070,I5070)</f>
        <v>6244</v>
      </c>
      <c r="J5071" s="1">
        <f>IF(Query1[[#This Row],[ItemType]]="EVAP KIT UNIVERSAL",Query1[[#This Row],[OrderQty]]+J5070,J5070)</f>
        <v>2144</v>
      </c>
      <c r="K5071" s="1">
        <f>Query1[[#This Row],[SF Running Total]]+Query1[[#This Row],[UNIV Running Total]]</f>
        <v>8388</v>
      </c>
      <c r="L5071">
        <f>VLOOKUP(Query1[[#This Row],[Description]],'kits to boards'!$B$2:$E$156,2,FALSE)</f>
        <v>830063</v>
      </c>
      <c r="M5071">
        <f>VLOOKUP(Query1[[#This Row],[Description]],'kits to boards'!$B$2:$E$156,3,FALSE)</f>
        <v>0</v>
      </c>
      <c r="N5071">
        <f>VLOOKUP(Query1[[#This Row],[Description]],'kits to boards'!$B$2:$E$156,4,FALSE)</f>
        <v>0</v>
      </c>
      <c r="O5071" t="str">
        <f>CONCATENATE(Query1[[#This Row],[Description]]," - ",Query1[[#This Row],[MB1]]," - ",Query1[[#This Row],[MB2]]," - ",Query1[[#This Row],[MB3]])</f>
        <v>EVAP KIT 50-53 CHEV P-UP GEN IV - 830063 - 0 - 0</v>
      </c>
    </row>
    <row r="5072" spans="1:15" x14ac:dyDescent="0.25">
      <c r="A5072" s="1">
        <v>922806</v>
      </c>
      <c r="B5072" s="1" t="s">
        <v>6</v>
      </c>
      <c r="C5072" s="1" t="s">
        <v>7</v>
      </c>
      <c r="D5072" s="2">
        <v>44687.438689467592</v>
      </c>
      <c r="E5072" s="1" t="s">
        <v>8</v>
      </c>
      <c r="F5072" s="1">
        <v>1</v>
      </c>
      <c r="G5072" s="1">
        <v>0</v>
      </c>
      <c r="H5072" s="6">
        <f>INT(Query1[[#This Row],[EntryDateTime]])</f>
        <v>44687</v>
      </c>
      <c r="I5072" s="1">
        <f>IF(Query1[[#This Row],[ItemType]]="EVAP KIT SF GEN IV",Query1[[#This Row],[OrderQty]]+I5071,I5071)</f>
        <v>6245</v>
      </c>
      <c r="J5072" s="1">
        <f>IF(Query1[[#This Row],[ItemType]]="EVAP KIT UNIVERSAL",Query1[[#This Row],[OrderQty]]+J5071,J5071)</f>
        <v>2144</v>
      </c>
      <c r="K5072" s="1">
        <f>Query1[[#This Row],[SF Running Total]]+Query1[[#This Row],[UNIV Running Total]]</f>
        <v>8389</v>
      </c>
      <c r="L5072">
        <f>VLOOKUP(Query1[[#This Row],[Description]],'kits to boards'!$B$2:$E$156,2,FALSE)</f>
        <v>830132</v>
      </c>
      <c r="M5072">
        <f>VLOOKUP(Query1[[#This Row],[Description]],'kits to boards'!$B$2:$E$156,3,FALSE)</f>
        <v>0</v>
      </c>
      <c r="N5072">
        <f>VLOOKUP(Query1[[#This Row],[Description]],'kits to boards'!$B$2:$E$156,4,FALSE)</f>
        <v>0</v>
      </c>
      <c r="O5072" t="str">
        <f>CONCATENATE(Query1[[#This Row],[Description]]," - ",Query1[[#This Row],[MB1]]," - ",Query1[[#This Row],[MB2]]," - ",Query1[[#This Row],[MB3]])</f>
        <v>EVAP KIT 82-88 MONTE CARLO/EL CAMINO - 830132 - 0 - 0</v>
      </c>
    </row>
    <row r="5073" spans="1:15" x14ac:dyDescent="0.25">
      <c r="A5073" s="1">
        <v>922811</v>
      </c>
      <c r="B5073" s="1" t="s">
        <v>134</v>
      </c>
      <c r="C5073" s="1" t="s">
        <v>135</v>
      </c>
      <c r="D5073" s="2">
        <v>44687.447663657411</v>
      </c>
      <c r="E5073" s="1" t="s">
        <v>8</v>
      </c>
      <c r="F5073" s="1">
        <v>1</v>
      </c>
      <c r="G5073" s="1">
        <v>0</v>
      </c>
      <c r="H5073" s="6">
        <f>INT(Query1[[#This Row],[EntryDateTime]])</f>
        <v>44687</v>
      </c>
      <c r="I5073" s="1">
        <f>IF(Query1[[#This Row],[ItemType]]="EVAP KIT SF GEN IV",Query1[[#This Row],[OrderQty]]+I5072,I5072)</f>
        <v>6246</v>
      </c>
      <c r="J5073" s="1">
        <f>IF(Query1[[#This Row],[ItemType]]="EVAP KIT UNIVERSAL",Query1[[#This Row],[OrderQty]]+J5072,J5072)</f>
        <v>2144</v>
      </c>
      <c r="K5073" s="1">
        <f>Query1[[#This Row],[SF Running Total]]+Query1[[#This Row],[UNIV Running Total]]</f>
        <v>8390</v>
      </c>
      <c r="L5073">
        <f>VLOOKUP(Query1[[#This Row],[Description]],'kits to boards'!$B$2:$E$156,2,FALSE)</f>
        <v>830007</v>
      </c>
      <c r="M5073">
        <f>VLOOKUP(Query1[[#This Row],[Description]],'kits to boards'!$B$2:$E$156,3,FALSE)</f>
        <v>0</v>
      </c>
      <c r="N5073">
        <f>VLOOKUP(Query1[[#This Row],[Description]],'kits to boards'!$B$2:$E$156,4,FALSE)</f>
        <v>0</v>
      </c>
      <c r="O5073" t="str">
        <f>CONCATENATE(Query1[[#This Row],[Description]]," - ",Query1[[#This Row],[MB1]]," - ",Query1[[#This Row],[MB2]]," - ",Query1[[#This Row],[MB3]])</f>
        <v>EVAP KIT 64 IMPALA WO AC - 830007 - 0 - 0</v>
      </c>
    </row>
    <row r="5074" spans="1:15" x14ac:dyDescent="0.25">
      <c r="A5074" s="1">
        <v>922812</v>
      </c>
      <c r="B5074" s="1" t="s">
        <v>120</v>
      </c>
      <c r="C5074" s="1" t="s">
        <v>121</v>
      </c>
      <c r="D5074" s="2">
        <v>44687.44908510417</v>
      </c>
      <c r="E5074" s="1" t="s">
        <v>8</v>
      </c>
      <c r="F5074" s="1">
        <v>1</v>
      </c>
      <c r="G5074" s="1">
        <v>0</v>
      </c>
      <c r="H5074" s="6">
        <f>INT(Query1[[#This Row],[EntryDateTime]])</f>
        <v>44687</v>
      </c>
      <c r="I5074" s="1">
        <f>IF(Query1[[#This Row],[ItemType]]="EVAP KIT SF GEN IV",Query1[[#This Row],[OrderQty]]+I5073,I5073)</f>
        <v>6247</v>
      </c>
      <c r="J5074" s="1">
        <f>IF(Query1[[#This Row],[ItemType]]="EVAP KIT UNIVERSAL",Query1[[#This Row],[OrderQty]]+J5073,J5073)</f>
        <v>2144</v>
      </c>
      <c r="K5074" s="1">
        <f>Query1[[#This Row],[SF Running Total]]+Query1[[#This Row],[UNIV Running Total]]</f>
        <v>8391</v>
      </c>
      <c r="L5074">
        <f>VLOOKUP(Query1[[#This Row],[Description]],'kits to boards'!$B$2:$E$156,2,FALSE)</f>
        <v>830014</v>
      </c>
      <c r="M5074">
        <f>VLOOKUP(Query1[[#This Row],[Description]],'kits to boards'!$B$2:$E$156,3,FALSE)</f>
        <v>0</v>
      </c>
      <c r="N5074">
        <f>VLOOKUP(Query1[[#This Row],[Description]],'kits to boards'!$B$2:$E$156,4,FALSE)</f>
        <v>0</v>
      </c>
      <c r="O5074" t="str">
        <f>CONCATENATE(Query1[[#This Row],[Description]]," - ",Query1[[#This Row],[MB1]]," - ",Query1[[#This Row],[MB2]]," - ",Query1[[#This Row],[MB3]])</f>
        <v>EVAP KIT 67-72 CHEV P-UP WO AC W/FACT AIR CTRLS - 830014 - 0 - 0</v>
      </c>
    </row>
    <row r="5075" spans="1:15" x14ac:dyDescent="0.25">
      <c r="A5075" s="1">
        <v>922827</v>
      </c>
      <c r="B5075" s="1" t="s">
        <v>28</v>
      </c>
      <c r="C5075" s="1" t="s">
        <v>29</v>
      </c>
      <c r="D5075" s="2">
        <v>44687.492908298613</v>
      </c>
      <c r="E5075" s="1" t="s">
        <v>8</v>
      </c>
      <c r="F5075" s="1">
        <v>1</v>
      </c>
      <c r="G5075" s="1">
        <v>0</v>
      </c>
      <c r="H5075" s="6">
        <f>INT(Query1[[#This Row],[EntryDateTime]])</f>
        <v>44687</v>
      </c>
      <c r="I5075" s="1">
        <f>IF(Query1[[#This Row],[ItemType]]="EVAP KIT SF GEN IV",Query1[[#This Row],[OrderQty]]+I5074,I5074)</f>
        <v>6248</v>
      </c>
      <c r="J5075" s="1">
        <f>IF(Query1[[#This Row],[ItemType]]="EVAP KIT UNIVERSAL",Query1[[#This Row],[OrderQty]]+J5074,J5074)</f>
        <v>2144</v>
      </c>
      <c r="K5075" s="1">
        <f>Query1[[#This Row],[SF Running Total]]+Query1[[#This Row],[UNIV Running Total]]</f>
        <v>8392</v>
      </c>
      <c r="L5075">
        <f>VLOOKUP(Query1[[#This Row],[Description]],'kits to boards'!$B$2:$E$156,2,FALSE)</f>
        <v>830001</v>
      </c>
      <c r="M5075">
        <f>VLOOKUP(Query1[[#This Row],[Description]],'kits to boards'!$B$2:$E$156,3,FALSE)</f>
        <v>0</v>
      </c>
      <c r="N5075">
        <f>VLOOKUP(Query1[[#This Row],[Description]],'kits to boards'!$B$2:$E$156,4,FALSE)</f>
        <v>0</v>
      </c>
      <c r="O5075" t="str">
        <f>CONCATENATE(Query1[[#This Row],[Description]]," - ",Query1[[#This Row],[MB1]]," - ",Query1[[#This Row],[MB2]]," - ",Query1[[#This Row],[MB3]])</f>
        <v>EVAP KIT 73-80 CHEV P-UP W/AC - 830001 - 0 - 0</v>
      </c>
    </row>
    <row r="5076" spans="1:15" x14ac:dyDescent="0.25">
      <c r="A5076" s="1">
        <v>922817</v>
      </c>
      <c r="B5076" s="1" t="s">
        <v>78</v>
      </c>
      <c r="C5076" s="1" t="s">
        <v>79</v>
      </c>
      <c r="D5076" s="2">
        <v>44687.502079745369</v>
      </c>
      <c r="E5076" s="1" t="s">
        <v>11</v>
      </c>
      <c r="F5076" s="1">
        <v>1</v>
      </c>
      <c r="G5076" s="1">
        <v>0</v>
      </c>
      <c r="H5076" s="6">
        <f>INT(Query1[[#This Row],[EntryDateTime]])</f>
        <v>44687</v>
      </c>
      <c r="I5076" s="1">
        <f>IF(Query1[[#This Row],[ItemType]]="EVAP KIT SF GEN IV",Query1[[#This Row],[OrderQty]]+I5075,I5075)</f>
        <v>6248</v>
      </c>
      <c r="J5076" s="1">
        <f>IF(Query1[[#This Row],[ItemType]]="EVAP KIT UNIVERSAL",Query1[[#This Row],[OrderQty]]+J5075,J5075)</f>
        <v>2145</v>
      </c>
      <c r="K5076" s="1">
        <f>Query1[[#This Row],[SF Running Total]]+Query1[[#This Row],[UNIV Running Total]]</f>
        <v>8393</v>
      </c>
      <c r="L5076">
        <f>VLOOKUP(Query1[[#This Row],[Description]],'kits to boards'!$B$2:$E$156,2,FALSE)</f>
        <v>0</v>
      </c>
      <c r="M5076">
        <f>VLOOKUP(Query1[[#This Row],[Description]],'kits to boards'!$B$2:$E$156,3,FALSE)</f>
        <v>0</v>
      </c>
      <c r="N5076">
        <f>VLOOKUP(Query1[[#This Row],[Description]],'kits to boards'!$B$2:$E$156,4,FALSE)</f>
        <v>0</v>
      </c>
      <c r="O5076" t="str">
        <f>CONCATENATE(Query1[[#This Row],[Description]]," - ",Query1[[#This Row],[MB1]]," - ",Query1[[#This Row],[MB2]]," - ",Query1[[#This Row],[MB3]])</f>
        <v>MARK IV STYLELINE UNDERDASH EVAP - 0 - 0 - 0</v>
      </c>
    </row>
    <row r="5077" spans="1:15" x14ac:dyDescent="0.25">
      <c r="A5077" s="1">
        <v>922829</v>
      </c>
      <c r="B5077" s="1" t="s">
        <v>30</v>
      </c>
      <c r="C5077" s="1" t="s">
        <v>31</v>
      </c>
      <c r="D5077" s="2">
        <v>44687.507514467594</v>
      </c>
      <c r="E5077" s="1" t="s">
        <v>8</v>
      </c>
      <c r="F5077" s="1">
        <v>1</v>
      </c>
      <c r="G5077" s="1">
        <v>0</v>
      </c>
      <c r="H5077" s="6">
        <f>INT(Query1[[#This Row],[EntryDateTime]])</f>
        <v>44687</v>
      </c>
      <c r="I5077" s="1">
        <f>IF(Query1[[#This Row],[ItemType]]="EVAP KIT SF GEN IV",Query1[[#This Row],[OrderQty]]+I5076,I5076)</f>
        <v>6249</v>
      </c>
      <c r="J5077" s="1">
        <f>IF(Query1[[#This Row],[ItemType]]="EVAP KIT UNIVERSAL",Query1[[#This Row],[OrderQty]]+J5076,J5076)</f>
        <v>2145</v>
      </c>
      <c r="K5077" s="1">
        <f>Query1[[#This Row],[SF Running Total]]+Query1[[#This Row],[UNIV Running Total]]</f>
        <v>8394</v>
      </c>
      <c r="L5077">
        <f>VLOOKUP(Query1[[#This Row],[Description]],'kits to boards'!$B$2:$E$156,2,FALSE)</f>
        <v>830054</v>
      </c>
      <c r="M5077">
        <f>VLOOKUP(Query1[[#This Row],[Description]],'kits to boards'!$B$2:$E$156,3,FALSE)</f>
        <v>0</v>
      </c>
      <c r="N5077">
        <f>VLOOKUP(Query1[[#This Row],[Description]],'kits to boards'!$B$2:$E$156,4,FALSE)</f>
        <v>0</v>
      </c>
      <c r="O5077" t="str">
        <f>CONCATENATE(Query1[[#This Row],[Description]]," - ",Query1[[#This Row],[MB1]]," - ",Query1[[#This Row],[MB2]]," - ",Query1[[#This Row],[MB3]])</f>
        <v>EVAP KIT 55-56 CHEVY 4-VENT - 830054 - 0 - 0</v>
      </c>
    </row>
    <row r="5078" spans="1:15" x14ac:dyDescent="0.25">
      <c r="A5078" s="1">
        <v>922829</v>
      </c>
      <c r="B5078" s="1" t="s">
        <v>144</v>
      </c>
      <c r="C5078" s="1" t="s">
        <v>145</v>
      </c>
      <c r="D5078" s="2">
        <v>44687.507931944441</v>
      </c>
      <c r="E5078" s="1" t="s">
        <v>11</v>
      </c>
      <c r="F5078" s="1">
        <v>1</v>
      </c>
      <c r="G5078" s="1">
        <v>0</v>
      </c>
      <c r="H5078" s="6">
        <f>INT(Query1[[#This Row],[EntryDateTime]])</f>
        <v>44687</v>
      </c>
      <c r="I5078" s="1">
        <f>IF(Query1[[#This Row],[ItemType]]="EVAP KIT SF GEN IV",Query1[[#This Row],[OrderQty]]+I5077,I5077)</f>
        <v>6249</v>
      </c>
      <c r="J5078" s="1">
        <f>IF(Query1[[#This Row],[ItemType]]="EVAP KIT UNIVERSAL",Query1[[#This Row],[OrderQty]]+J5077,J5077)</f>
        <v>2146</v>
      </c>
      <c r="K5078" s="1">
        <f>Query1[[#This Row],[SF Running Total]]+Query1[[#This Row],[UNIV Running Total]]</f>
        <v>8395</v>
      </c>
      <c r="L5078">
        <f>VLOOKUP(Query1[[#This Row],[Description]],'kits to boards'!$B$2:$E$156,2,FALSE)</f>
        <v>830102</v>
      </c>
      <c r="M5078">
        <f>VLOOKUP(Query1[[#This Row],[Description]],'kits to boards'!$B$2:$E$156,3,FALSE)</f>
        <v>0</v>
      </c>
      <c r="N5078">
        <f>VLOOKUP(Query1[[#This Row],[Description]],'kits to boards'!$B$2:$E$156,4,FALSE)</f>
        <v>0</v>
      </c>
      <c r="O5078" t="str">
        <f>CONCATENATE(Query1[[#This Row],[Description]]," - ",Query1[[#This Row],[MB1]]," - ",Query1[[#This Row],[MB2]]," - ",Query1[[#This Row],[MB3]])</f>
        <v>SUPER GEN II H/C - 830102 - 0 - 0</v>
      </c>
    </row>
    <row r="5079" spans="1:15" x14ac:dyDescent="0.25">
      <c r="A5079" s="1">
        <v>922829</v>
      </c>
      <c r="B5079" s="1" t="s">
        <v>220</v>
      </c>
      <c r="C5079" s="1" t="s">
        <v>221</v>
      </c>
      <c r="D5079" s="2">
        <v>44687.508331331017</v>
      </c>
      <c r="E5079" s="1" t="s">
        <v>11</v>
      </c>
      <c r="F5079" s="1">
        <v>1</v>
      </c>
      <c r="G5079" s="1">
        <v>0</v>
      </c>
      <c r="H5079" s="6">
        <f>INT(Query1[[#This Row],[EntryDateTime]])</f>
        <v>44687</v>
      </c>
      <c r="I5079" s="1">
        <f>IF(Query1[[#This Row],[ItemType]]="EVAP KIT SF GEN IV",Query1[[#This Row],[OrderQty]]+I5078,I5078)</f>
        <v>6249</v>
      </c>
      <c r="J5079" s="1">
        <f>IF(Query1[[#This Row],[ItemType]]="EVAP KIT UNIVERSAL",Query1[[#This Row],[OrderQty]]+J5078,J5078)</f>
        <v>2147</v>
      </c>
      <c r="K5079" s="1">
        <f>Query1[[#This Row],[SF Running Total]]+Query1[[#This Row],[UNIV Running Total]]</f>
        <v>8396</v>
      </c>
      <c r="L5079">
        <f>VLOOKUP(Query1[[#This Row],[Description]],'kits to boards'!$B$2:$E$156,2,FALSE)</f>
        <v>0</v>
      </c>
      <c r="M5079">
        <f>VLOOKUP(Query1[[#This Row],[Description]],'kits to boards'!$B$2:$E$156,3,FALSE)</f>
        <v>0</v>
      </c>
      <c r="N5079">
        <f>VLOOKUP(Query1[[#This Row],[Description]],'kits to boards'!$B$2:$E$156,4,FALSE)</f>
        <v>0</v>
      </c>
      <c r="O5079" t="str">
        <f>CONCATENATE(Query1[[#This Row],[Description]]," - ",Query1[[#This Row],[MB1]]," - ",Query1[[#This Row],[MB2]]," - ",Query1[[#This Row],[MB3]])</f>
        <v>HERITAGE PEARL EVAP KIT HEAT/COOL - 0 - 0 - 0</v>
      </c>
    </row>
    <row r="5080" spans="1:15" x14ac:dyDescent="0.25">
      <c r="A5080" s="1">
        <v>922838</v>
      </c>
      <c r="B5080" s="1" t="s">
        <v>54</v>
      </c>
      <c r="C5080" s="1" t="s">
        <v>55</v>
      </c>
      <c r="D5080" s="2">
        <v>44687.522367708334</v>
      </c>
      <c r="E5080" s="1" t="s">
        <v>8</v>
      </c>
      <c r="F5080" s="1">
        <v>1</v>
      </c>
      <c r="G5080" s="1">
        <v>0</v>
      </c>
      <c r="H5080" s="6">
        <f>INT(Query1[[#This Row],[EntryDateTime]])</f>
        <v>44687</v>
      </c>
      <c r="I5080" s="1">
        <f>IF(Query1[[#This Row],[ItemType]]="EVAP KIT SF GEN IV",Query1[[#This Row],[OrderQty]]+I5079,I5079)</f>
        <v>6250</v>
      </c>
      <c r="J5080" s="1">
        <f>IF(Query1[[#This Row],[ItemType]]="EVAP KIT UNIVERSAL",Query1[[#This Row],[OrderQty]]+J5079,J5079)</f>
        <v>2147</v>
      </c>
      <c r="K5080" s="1">
        <f>Query1[[#This Row],[SF Running Total]]+Query1[[#This Row],[UNIV Running Total]]</f>
        <v>8397</v>
      </c>
      <c r="L5080">
        <f>VLOOKUP(Query1[[#This Row],[Description]],'kits to boards'!$B$2:$E$156,2,FALSE)</f>
        <v>830037</v>
      </c>
      <c r="M5080">
        <f>VLOOKUP(Query1[[#This Row],[Description]],'kits to boards'!$B$2:$E$156,3,FALSE)</f>
        <v>0</v>
      </c>
      <c r="N5080">
        <f>VLOOKUP(Query1[[#This Row],[Description]],'kits to boards'!$B$2:$E$156,4,FALSE)</f>
        <v>0</v>
      </c>
      <c r="O5080" t="str">
        <f>CONCATENATE(Query1[[#This Row],[Description]]," - ",Query1[[#This Row],[MB1]]," - ",Query1[[#This Row],[MB2]]," - ",Query1[[#This Row],[MB3]])</f>
        <v>EVAP KIT 70-81 FIREBIRD W/AC - 830037 - 0 - 0</v>
      </c>
    </row>
    <row r="5081" spans="1:15" x14ac:dyDescent="0.25">
      <c r="A5081" s="1">
        <v>922797</v>
      </c>
      <c r="B5081" s="1" t="s">
        <v>22</v>
      </c>
      <c r="C5081" s="1" t="s">
        <v>23</v>
      </c>
      <c r="D5081" s="2">
        <v>44687.528208645832</v>
      </c>
      <c r="E5081" s="1" t="s">
        <v>8</v>
      </c>
      <c r="F5081" s="1">
        <v>1</v>
      </c>
      <c r="G5081" s="1">
        <v>0</v>
      </c>
      <c r="H5081" s="6">
        <f>INT(Query1[[#This Row],[EntryDateTime]])</f>
        <v>44687</v>
      </c>
      <c r="I5081" s="1">
        <f>IF(Query1[[#This Row],[ItemType]]="EVAP KIT SF GEN IV",Query1[[#This Row],[OrderQty]]+I5080,I5080)</f>
        <v>6251</v>
      </c>
      <c r="J5081" s="1">
        <f>IF(Query1[[#This Row],[ItemType]]="EVAP KIT UNIVERSAL",Query1[[#This Row],[OrderQty]]+J5080,J5080)</f>
        <v>2147</v>
      </c>
      <c r="K5081" s="1">
        <f>Query1[[#This Row],[SF Running Total]]+Query1[[#This Row],[UNIV Running Total]]</f>
        <v>8398</v>
      </c>
      <c r="L5081">
        <f>VLOOKUP(Query1[[#This Row],[Description]],'kits to boards'!$B$2:$E$156,2,FALSE)</f>
        <v>830083</v>
      </c>
      <c r="M5081">
        <f>VLOOKUP(Query1[[#This Row],[Description]],'kits to boards'!$B$2:$E$156,3,FALSE)</f>
        <v>0</v>
      </c>
      <c r="N5081">
        <f>VLOOKUP(Query1[[#This Row],[Description]],'kits to boards'!$B$2:$E$156,4,FALSE)</f>
        <v>0</v>
      </c>
      <c r="O5081" t="str">
        <f>CONCATENATE(Query1[[#This Row],[Description]]," - ",Query1[[#This Row],[MB1]]," - ",Query1[[#This Row],[MB2]]," - ",Query1[[#This Row],[MB3]])</f>
        <v>GEN IV MAGNUM EVAP KIT - 830083 - 0 - 0</v>
      </c>
    </row>
    <row r="5082" spans="1:15" x14ac:dyDescent="0.25">
      <c r="A5082" s="1">
        <v>922808</v>
      </c>
      <c r="B5082" s="1" t="s">
        <v>96</v>
      </c>
      <c r="C5082" s="1" t="s">
        <v>97</v>
      </c>
      <c r="D5082" s="2">
        <v>44687.528497106483</v>
      </c>
      <c r="E5082" s="1" t="s">
        <v>8</v>
      </c>
      <c r="F5082" s="1">
        <v>1</v>
      </c>
      <c r="G5082" s="1">
        <v>0</v>
      </c>
      <c r="H5082" s="6">
        <f>INT(Query1[[#This Row],[EntryDateTime]])</f>
        <v>44687</v>
      </c>
      <c r="I5082" s="1">
        <f>IF(Query1[[#This Row],[ItemType]]="EVAP KIT SF GEN IV",Query1[[#This Row],[OrderQty]]+I5081,I5081)</f>
        <v>6252</v>
      </c>
      <c r="J5082" s="1">
        <f>IF(Query1[[#This Row],[ItemType]]="EVAP KIT UNIVERSAL",Query1[[#This Row],[OrderQty]]+J5081,J5081)</f>
        <v>2147</v>
      </c>
      <c r="K5082" s="1">
        <f>Query1[[#This Row],[SF Running Total]]+Query1[[#This Row],[UNIV Running Total]]</f>
        <v>8399</v>
      </c>
      <c r="L5082">
        <f>VLOOKUP(Query1[[#This Row],[Description]],'kits to boards'!$B$2:$E$156,2,FALSE)</f>
        <v>830004</v>
      </c>
      <c r="M5082">
        <f>VLOOKUP(Query1[[#This Row],[Description]],'kits to boards'!$B$2:$E$156,3,FALSE)</f>
        <v>0</v>
      </c>
      <c r="N5082">
        <f>VLOOKUP(Query1[[#This Row],[Description]],'kits to boards'!$B$2:$E$156,4,FALSE)</f>
        <v>0</v>
      </c>
      <c r="O5082" t="str">
        <f>CONCATENATE(Query1[[#This Row],[Description]]," - ",Query1[[#This Row],[MB1]]," - ",Query1[[#This Row],[MB2]]," - ",Query1[[#This Row],[MB3]])</f>
        <v>EVAP KIT 81-87 CHEV P-UP W/AC - 830004 - 0 - 0</v>
      </c>
    </row>
    <row r="5083" spans="1:15" x14ac:dyDescent="0.25">
      <c r="A5083" s="1">
        <v>922504</v>
      </c>
      <c r="B5083" s="1" t="s">
        <v>108</v>
      </c>
      <c r="C5083" s="1" t="s">
        <v>109</v>
      </c>
      <c r="D5083" s="2">
        <v>44687.539050810185</v>
      </c>
      <c r="E5083" s="1" t="s">
        <v>8</v>
      </c>
      <c r="F5083" s="1">
        <v>1</v>
      </c>
      <c r="G5083" s="1">
        <v>0</v>
      </c>
      <c r="H5083" s="6">
        <f>INT(Query1[[#This Row],[EntryDateTime]])</f>
        <v>44687</v>
      </c>
      <c r="I5083" s="1">
        <f>IF(Query1[[#This Row],[ItemType]]="EVAP KIT SF GEN IV",Query1[[#This Row],[OrderQty]]+I5082,I5082)</f>
        <v>6253</v>
      </c>
      <c r="J5083" s="1">
        <f>IF(Query1[[#This Row],[ItemType]]="EVAP KIT UNIVERSAL",Query1[[#This Row],[OrderQty]]+J5082,J5082)</f>
        <v>2147</v>
      </c>
      <c r="K5083" s="1">
        <f>Query1[[#This Row],[SF Running Total]]+Query1[[#This Row],[UNIV Running Total]]</f>
        <v>8400</v>
      </c>
      <c r="L5083">
        <f>VLOOKUP(Query1[[#This Row],[Description]],'kits to boards'!$B$2:$E$156,2,FALSE)</f>
        <v>830105</v>
      </c>
      <c r="M5083">
        <f>VLOOKUP(Query1[[#This Row],[Description]],'kits to boards'!$B$2:$E$156,3,FALSE)</f>
        <v>830106</v>
      </c>
      <c r="N5083">
        <f>VLOOKUP(Query1[[#This Row],[Description]],'kits to boards'!$B$2:$E$156,4,FALSE)</f>
        <v>0</v>
      </c>
      <c r="O5083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5084" spans="1:15" x14ac:dyDescent="0.25">
      <c r="A5084" s="1">
        <v>922845</v>
      </c>
      <c r="B5084" s="1" t="s">
        <v>176</v>
      </c>
      <c r="C5084" s="1" t="s">
        <v>177</v>
      </c>
      <c r="D5084" s="2">
        <v>44687.541473148151</v>
      </c>
      <c r="E5084" s="1" t="s">
        <v>8</v>
      </c>
      <c r="F5084" s="1">
        <v>1</v>
      </c>
      <c r="G5084" s="1">
        <v>0</v>
      </c>
      <c r="H5084" s="6">
        <f>INT(Query1[[#This Row],[EntryDateTime]])</f>
        <v>44687</v>
      </c>
      <c r="I5084" s="1">
        <f>IF(Query1[[#This Row],[ItemType]]="EVAP KIT SF GEN IV",Query1[[#This Row],[OrderQty]]+I5083,I5083)</f>
        <v>6254</v>
      </c>
      <c r="J5084" s="1">
        <f>IF(Query1[[#This Row],[ItemType]]="EVAP KIT UNIVERSAL",Query1[[#This Row],[OrderQty]]+J5083,J5083)</f>
        <v>2147</v>
      </c>
      <c r="K5084" s="1">
        <f>Query1[[#This Row],[SF Running Total]]+Query1[[#This Row],[UNIV Running Total]]</f>
        <v>8401</v>
      </c>
      <c r="L5084">
        <f>VLOOKUP(Query1[[#This Row],[Description]],'kits to boards'!$B$2:$E$156,2,FALSE)</f>
        <v>830125</v>
      </c>
      <c r="M5084">
        <f>VLOOKUP(Query1[[#This Row],[Description]],'kits to boards'!$B$2:$E$156,3,FALSE)</f>
        <v>0</v>
      </c>
      <c r="N5084">
        <f>VLOOKUP(Query1[[#This Row],[Description]],'kits to boards'!$B$2:$E$156,4,FALSE)</f>
        <v>0</v>
      </c>
      <c r="O5084" t="str">
        <f>CONCATENATE(Query1[[#This Row],[Description]]," - ",Query1[[#This Row],[MB1]]," - ",Query1[[#This Row],[MB2]]," - ",Query1[[#This Row],[MB3]])</f>
        <v>EVAP KIT 65-66 IMPALA W/AC - 830125 - 0 - 0</v>
      </c>
    </row>
    <row r="5085" spans="1:15" x14ac:dyDescent="0.25">
      <c r="A5085" s="1">
        <v>922804</v>
      </c>
      <c r="B5085" s="1" t="s">
        <v>158</v>
      </c>
      <c r="C5085" s="1" t="s">
        <v>159</v>
      </c>
      <c r="D5085" s="2">
        <v>44687.552603703705</v>
      </c>
      <c r="E5085" s="1" t="s">
        <v>8</v>
      </c>
      <c r="F5085" s="1">
        <v>1</v>
      </c>
      <c r="G5085" s="1">
        <v>0</v>
      </c>
      <c r="H5085" s="6">
        <f>INT(Query1[[#This Row],[EntryDateTime]])</f>
        <v>44687</v>
      </c>
      <c r="I5085" s="1">
        <f>IF(Query1[[#This Row],[ItemType]]="EVAP KIT SF GEN IV",Query1[[#This Row],[OrderQty]]+I5084,I5084)</f>
        <v>6255</v>
      </c>
      <c r="J5085" s="1">
        <f>IF(Query1[[#This Row],[ItemType]]="EVAP KIT UNIVERSAL",Query1[[#This Row],[OrderQty]]+J5084,J5084)</f>
        <v>2147</v>
      </c>
      <c r="K5085" s="1">
        <f>Query1[[#This Row],[SF Running Total]]+Query1[[#This Row],[UNIV Running Total]]</f>
        <v>8402</v>
      </c>
      <c r="L5085">
        <f>VLOOKUP(Query1[[#This Row],[Description]],'kits to boards'!$B$2:$E$156,2,FALSE)</f>
        <v>830080</v>
      </c>
      <c r="M5085">
        <f>VLOOKUP(Query1[[#This Row],[Description]],'kits to boards'!$B$2:$E$156,3,FALSE)</f>
        <v>830046</v>
      </c>
      <c r="N5085">
        <f>VLOOKUP(Query1[[#This Row],[Description]],'kits to boards'!$B$2:$E$156,4,FALSE)</f>
        <v>0</v>
      </c>
      <c r="O5085" t="str">
        <f>CONCATENATE(Query1[[#This Row],[Description]]," - ",Query1[[#This Row],[MB1]]," - ",Query1[[#This Row],[MB2]]," - ",Query1[[#This Row],[MB3]])</f>
        <v>EVAP KIT 69-70 MUSTANG W/AC  - 830080 - 830046 - 0</v>
      </c>
    </row>
    <row r="5086" spans="1:15" x14ac:dyDescent="0.25">
      <c r="A5086" s="1">
        <v>922805</v>
      </c>
      <c r="B5086" s="1" t="s">
        <v>158</v>
      </c>
      <c r="C5086" s="1" t="s">
        <v>159</v>
      </c>
      <c r="D5086" s="2">
        <v>44687.554822372687</v>
      </c>
      <c r="E5086" s="1" t="s">
        <v>8</v>
      </c>
      <c r="F5086" s="1">
        <v>1</v>
      </c>
      <c r="G5086" s="1">
        <v>0</v>
      </c>
      <c r="H5086" s="6">
        <f>INT(Query1[[#This Row],[EntryDateTime]])</f>
        <v>44687</v>
      </c>
      <c r="I5086" s="1">
        <f>IF(Query1[[#This Row],[ItemType]]="EVAP KIT SF GEN IV",Query1[[#This Row],[OrderQty]]+I5085,I5085)</f>
        <v>6256</v>
      </c>
      <c r="J5086" s="1">
        <f>IF(Query1[[#This Row],[ItemType]]="EVAP KIT UNIVERSAL",Query1[[#This Row],[OrderQty]]+J5085,J5085)</f>
        <v>2147</v>
      </c>
      <c r="K5086" s="1">
        <f>Query1[[#This Row],[SF Running Total]]+Query1[[#This Row],[UNIV Running Total]]</f>
        <v>8403</v>
      </c>
      <c r="L5086">
        <f>VLOOKUP(Query1[[#This Row],[Description]],'kits to boards'!$B$2:$E$156,2,FALSE)</f>
        <v>830080</v>
      </c>
      <c r="M5086">
        <f>VLOOKUP(Query1[[#This Row],[Description]],'kits to boards'!$B$2:$E$156,3,FALSE)</f>
        <v>830046</v>
      </c>
      <c r="N5086">
        <f>VLOOKUP(Query1[[#This Row],[Description]],'kits to boards'!$B$2:$E$156,4,FALSE)</f>
        <v>0</v>
      </c>
      <c r="O5086" t="str">
        <f>CONCATENATE(Query1[[#This Row],[Description]]," - ",Query1[[#This Row],[MB1]]," - ",Query1[[#This Row],[MB2]]," - ",Query1[[#This Row],[MB3]])</f>
        <v>EVAP KIT 69-70 MUSTANG W/AC  - 830080 - 830046 - 0</v>
      </c>
    </row>
    <row r="5087" spans="1:15" x14ac:dyDescent="0.25">
      <c r="A5087" s="1">
        <v>922793</v>
      </c>
      <c r="B5087" s="1" t="s">
        <v>158</v>
      </c>
      <c r="C5087" s="1" t="s">
        <v>159</v>
      </c>
      <c r="D5087" s="2">
        <v>44687.556650312501</v>
      </c>
      <c r="E5087" s="1" t="s">
        <v>8</v>
      </c>
      <c r="F5087" s="1">
        <v>1</v>
      </c>
      <c r="G5087" s="1">
        <v>0</v>
      </c>
      <c r="H5087" s="6">
        <f>INT(Query1[[#This Row],[EntryDateTime]])</f>
        <v>44687</v>
      </c>
      <c r="I5087" s="1">
        <f>IF(Query1[[#This Row],[ItemType]]="EVAP KIT SF GEN IV",Query1[[#This Row],[OrderQty]]+I5086,I5086)</f>
        <v>6257</v>
      </c>
      <c r="J5087" s="1">
        <f>IF(Query1[[#This Row],[ItemType]]="EVAP KIT UNIVERSAL",Query1[[#This Row],[OrderQty]]+J5086,J5086)</f>
        <v>2147</v>
      </c>
      <c r="K5087" s="1">
        <f>Query1[[#This Row],[SF Running Total]]+Query1[[#This Row],[UNIV Running Total]]</f>
        <v>8404</v>
      </c>
      <c r="L5087">
        <f>VLOOKUP(Query1[[#This Row],[Description]],'kits to boards'!$B$2:$E$156,2,FALSE)</f>
        <v>830080</v>
      </c>
      <c r="M5087">
        <f>VLOOKUP(Query1[[#This Row],[Description]],'kits to boards'!$B$2:$E$156,3,FALSE)</f>
        <v>830046</v>
      </c>
      <c r="N5087">
        <f>VLOOKUP(Query1[[#This Row],[Description]],'kits to boards'!$B$2:$E$156,4,FALSE)</f>
        <v>0</v>
      </c>
      <c r="O5087" t="str">
        <f>CONCATENATE(Query1[[#This Row],[Description]]," - ",Query1[[#This Row],[MB1]]," - ",Query1[[#This Row],[MB2]]," - ",Query1[[#This Row],[MB3]])</f>
        <v>EVAP KIT 69-70 MUSTANG W/AC  - 830080 - 830046 - 0</v>
      </c>
    </row>
    <row r="5088" spans="1:15" x14ac:dyDescent="0.25">
      <c r="A5088" s="1">
        <v>922807</v>
      </c>
      <c r="B5088" s="1" t="s">
        <v>62</v>
      </c>
      <c r="C5088" s="1" t="s">
        <v>63</v>
      </c>
      <c r="D5088" s="2">
        <v>44687.558175266204</v>
      </c>
      <c r="E5088" s="1" t="s">
        <v>8</v>
      </c>
      <c r="F5088" s="1">
        <v>1</v>
      </c>
      <c r="G5088" s="1">
        <v>0</v>
      </c>
      <c r="H5088" s="6">
        <f>INT(Query1[[#This Row],[EntryDateTime]])</f>
        <v>44687</v>
      </c>
      <c r="I5088" s="1">
        <f>IF(Query1[[#This Row],[ItemType]]="EVAP KIT SF GEN IV",Query1[[#This Row],[OrderQty]]+I5087,I5087)</f>
        <v>6258</v>
      </c>
      <c r="J5088" s="1">
        <f>IF(Query1[[#This Row],[ItemType]]="EVAP KIT UNIVERSAL",Query1[[#This Row],[OrderQty]]+J5087,J5087)</f>
        <v>2147</v>
      </c>
      <c r="K5088" s="1">
        <f>Query1[[#This Row],[SF Running Total]]+Query1[[#This Row],[UNIV Running Total]]</f>
        <v>8405</v>
      </c>
      <c r="L5088">
        <f>VLOOKUP(Query1[[#This Row],[Description]],'kits to boards'!$B$2:$E$156,2,FALSE)</f>
        <v>830079</v>
      </c>
      <c r="M5088">
        <f>VLOOKUP(Query1[[#This Row],[Description]],'kits to boards'!$B$2:$E$156,3,FALSE)</f>
        <v>830046</v>
      </c>
      <c r="N5088">
        <f>VLOOKUP(Query1[[#This Row],[Description]],'kits to boards'!$B$2:$E$156,4,FALSE)</f>
        <v>0</v>
      </c>
      <c r="O5088" t="str">
        <f>CONCATENATE(Query1[[#This Row],[Description]]," - ",Query1[[#This Row],[MB1]]," - ",Query1[[#This Row],[MB2]]," - ",Query1[[#This Row],[MB3]])</f>
        <v>EVAP KIT 67-68 MUSTANG/COUGAR WO AC - 830079 - 830046 - 0</v>
      </c>
    </row>
    <row r="5089" spans="1:15" x14ac:dyDescent="0.25">
      <c r="A5089" s="1">
        <v>922865</v>
      </c>
      <c r="B5089" s="1" t="s">
        <v>34</v>
      </c>
      <c r="C5089" s="1" t="s">
        <v>35</v>
      </c>
      <c r="D5089" s="2">
        <v>44687.581451006947</v>
      </c>
      <c r="E5089" s="1" t="s">
        <v>8</v>
      </c>
      <c r="F5089" s="1">
        <v>1</v>
      </c>
      <c r="G5089" s="1">
        <v>0</v>
      </c>
      <c r="H5089" s="6">
        <f>INT(Query1[[#This Row],[EntryDateTime]])</f>
        <v>44687</v>
      </c>
      <c r="I5089" s="1">
        <f>IF(Query1[[#This Row],[ItemType]]="EVAP KIT SF GEN IV",Query1[[#This Row],[OrderQty]]+I5088,I5088)</f>
        <v>6259</v>
      </c>
      <c r="J5089" s="1">
        <f>IF(Query1[[#This Row],[ItemType]]="EVAP KIT UNIVERSAL",Query1[[#This Row],[OrderQty]]+J5088,J5088)</f>
        <v>2147</v>
      </c>
      <c r="K5089" s="1">
        <f>Query1[[#This Row],[SF Running Total]]+Query1[[#This Row],[UNIV Running Total]]</f>
        <v>8406</v>
      </c>
      <c r="L5089">
        <f>VLOOKUP(Query1[[#This Row],[Description]],'kits to boards'!$B$2:$E$156,2,FALSE)</f>
        <v>830065</v>
      </c>
      <c r="M5089">
        <f>VLOOKUP(Query1[[#This Row],[Description]],'kits to boards'!$B$2:$E$156,3,FALSE)</f>
        <v>0</v>
      </c>
      <c r="N5089">
        <f>VLOOKUP(Query1[[#This Row],[Description]],'kits to boards'!$B$2:$E$156,4,FALSE)</f>
        <v>0</v>
      </c>
      <c r="O5089" t="str">
        <f>CONCATENATE(Query1[[#This Row],[Description]]," - ",Query1[[#This Row],[MB1]]," - ",Query1[[#This Row],[MB2]]," - ",Query1[[#This Row],[MB3]])</f>
        <v>EVAP KIT 57 CHEV WO AC - 830065 - 0 - 0</v>
      </c>
    </row>
    <row r="5090" spans="1:15" x14ac:dyDescent="0.25">
      <c r="A5090" s="1">
        <v>922863</v>
      </c>
      <c r="B5090" s="1" t="s">
        <v>52</v>
      </c>
      <c r="C5090" s="1" t="s">
        <v>53</v>
      </c>
      <c r="D5090" s="2">
        <v>44687.581513576391</v>
      </c>
      <c r="E5090" s="1" t="s">
        <v>8</v>
      </c>
      <c r="F5090" s="1">
        <v>1</v>
      </c>
      <c r="G5090" s="1">
        <v>0</v>
      </c>
      <c r="H5090" s="6">
        <f>INT(Query1[[#This Row],[EntryDateTime]])</f>
        <v>44687</v>
      </c>
      <c r="I5090" s="1">
        <f>IF(Query1[[#This Row],[ItemType]]="EVAP KIT SF GEN IV",Query1[[#This Row],[OrderQty]]+I5089,I5089)</f>
        <v>6260</v>
      </c>
      <c r="J5090" s="1">
        <f>IF(Query1[[#This Row],[ItemType]]="EVAP KIT UNIVERSAL",Query1[[#This Row],[OrderQty]]+J5089,J5089)</f>
        <v>2147</v>
      </c>
      <c r="K5090" s="1">
        <f>Query1[[#This Row],[SF Running Total]]+Query1[[#This Row],[UNIV Running Total]]</f>
        <v>8407</v>
      </c>
      <c r="L5090">
        <f>VLOOKUP(Query1[[#This Row],[Description]],'kits to boards'!$B$2:$E$156,2,FALSE)</f>
        <v>830017</v>
      </c>
      <c r="M5090">
        <f>VLOOKUP(Query1[[#This Row],[Description]],'kits to boards'!$B$2:$E$156,3,FALSE)</f>
        <v>830119</v>
      </c>
      <c r="N5090">
        <f>VLOOKUP(Query1[[#This Row],[Description]],'kits to boards'!$B$2:$E$156,4,FALSE)</f>
        <v>830120</v>
      </c>
      <c r="O5090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5091" spans="1:15" x14ac:dyDescent="0.25">
      <c r="A5091" s="1">
        <v>922814</v>
      </c>
      <c r="B5091" s="1" t="s">
        <v>40</v>
      </c>
      <c r="C5091" s="1" t="s">
        <v>41</v>
      </c>
      <c r="D5091" s="2">
        <v>44687.594055520836</v>
      </c>
      <c r="E5091" s="1" t="s">
        <v>8</v>
      </c>
      <c r="F5091" s="1">
        <v>1</v>
      </c>
      <c r="G5091" s="1">
        <v>0</v>
      </c>
      <c r="H5091" s="6">
        <f>INT(Query1[[#This Row],[EntryDateTime]])</f>
        <v>44687</v>
      </c>
      <c r="I5091" s="1">
        <f>IF(Query1[[#This Row],[ItemType]]="EVAP KIT SF GEN IV",Query1[[#This Row],[OrderQty]]+I5090,I5090)</f>
        <v>6261</v>
      </c>
      <c r="J5091" s="1">
        <f>IF(Query1[[#This Row],[ItemType]]="EVAP KIT UNIVERSAL",Query1[[#This Row],[OrderQty]]+J5090,J5090)</f>
        <v>2147</v>
      </c>
      <c r="K5091" s="1">
        <f>Query1[[#This Row],[SF Running Total]]+Query1[[#This Row],[UNIV Running Total]]</f>
        <v>8408</v>
      </c>
      <c r="L5091">
        <f>VLOOKUP(Query1[[#This Row],[Description]],'kits to boards'!$B$2:$E$156,2,FALSE)</f>
        <v>830024</v>
      </c>
      <c r="M5091">
        <f>VLOOKUP(Query1[[#This Row],[Description]],'kits to boards'!$B$2:$E$156,3,FALSE)</f>
        <v>0</v>
      </c>
      <c r="N5091">
        <f>VLOOKUP(Query1[[#This Row],[Description]],'kits to boards'!$B$2:$E$156,4,FALSE)</f>
        <v>0</v>
      </c>
      <c r="O5091" t="str">
        <f>CONCATENATE(Query1[[#This Row],[Description]]," - ",Query1[[#This Row],[MB1]]," - ",Query1[[#This Row],[MB2]]," - ",Query1[[#This Row],[MB3]])</f>
        <v>EVAP KIT 79-81 CAMARO W/AC - 830024 - 0 - 0</v>
      </c>
    </row>
    <row r="5092" spans="1:15" x14ac:dyDescent="0.25">
      <c r="A5092" s="1">
        <v>922426</v>
      </c>
      <c r="B5092" s="1" t="s">
        <v>42</v>
      </c>
      <c r="C5092" s="1" t="s">
        <v>43</v>
      </c>
      <c r="D5092" s="2">
        <v>44687.598615196759</v>
      </c>
      <c r="E5092" s="1" t="s">
        <v>8</v>
      </c>
      <c r="F5092" s="1">
        <v>1</v>
      </c>
      <c r="G5092" s="1">
        <v>0</v>
      </c>
      <c r="H5092" s="6">
        <f>INT(Query1[[#This Row],[EntryDateTime]])</f>
        <v>44687</v>
      </c>
      <c r="I5092" s="1">
        <f>IF(Query1[[#This Row],[ItemType]]="EVAP KIT SF GEN IV",Query1[[#This Row],[OrderQty]]+I5091,I5091)</f>
        <v>6262</v>
      </c>
      <c r="J5092" s="1">
        <f>IF(Query1[[#This Row],[ItemType]]="EVAP KIT UNIVERSAL",Query1[[#This Row],[OrderQty]]+J5091,J5091)</f>
        <v>2147</v>
      </c>
      <c r="K5092" s="1">
        <f>Query1[[#This Row],[SF Running Total]]+Query1[[#This Row],[UNIV Running Total]]</f>
        <v>8409</v>
      </c>
      <c r="L5092">
        <f>VLOOKUP(Query1[[#This Row],[Description]],'kits to boards'!$B$2:$E$156,2,FALSE)</f>
        <v>830014</v>
      </c>
      <c r="M5092">
        <f>VLOOKUP(Query1[[#This Row],[Description]],'kits to boards'!$B$2:$E$156,3,FALSE)</f>
        <v>0</v>
      </c>
      <c r="N5092">
        <f>VLOOKUP(Query1[[#This Row],[Description]],'kits to boards'!$B$2:$E$156,4,FALSE)</f>
        <v>0</v>
      </c>
      <c r="O5092" t="str">
        <f>CONCATENATE(Query1[[#This Row],[Description]]," - ",Query1[[#This Row],[MB1]]," - ",Query1[[#This Row],[MB2]]," - ",Query1[[#This Row],[MB3]])</f>
        <v>EVAP KIT 67-72 CHEV P-UP WO AC - 830014 - 0 - 0</v>
      </c>
    </row>
    <row r="5093" spans="1:15" x14ac:dyDescent="0.25">
      <c r="A5093" s="1">
        <v>922847</v>
      </c>
      <c r="B5093" s="1" t="s">
        <v>42</v>
      </c>
      <c r="C5093" s="1" t="s">
        <v>43</v>
      </c>
      <c r="D5093" s="2">
        <v>44687.598856446763</v>
      </c>
      <c r="E5093" s="1" t="s">
        <v>8</v>
      </c>
      <c r="F5093" s="1">
        <v>1</v>
      </c>
      <c r="G5093" s="1">
        <v>0</v>
      </c>
      <c r="H5093" s="6">
        <f>INT(Query1[[#This Row],[EntryDateTime]])</f>
        <v>44687</v>
      </c>
      <c r="I5093" s="1">
        <f>IF(Query1[[#This Row],[ItemType]]="EVAP KIT SF GEN IV",Query1[[#This Row],[OrderQty]]+I5092,I5092)</f>
        <v>6263</v>
      </c>
      <c r="J5093" s="1">
        <f>IF(Query1[[#This Row],[ItemType]]="EVAP KIT UNIVERSAL",Query1[[#This Row],[OrderQty]]+J5092,J5092)</f>
        <v>2147</v>
      </c>
      <c r="K5093" s="1">
        <f>Query1[[#This Row],[SF Running Total]]+Query1[[#This Row],[UNIV Running Total]]</f>
        <v>8410</v>
      </c>
      <c r="L5093">
        <f>VLOOKUP(Query1[[#This Row],[Description]],'kits to boards'!$B$2:$E$156,2,FALSE)</f>
        <v>830014</v>
      </c>
      <c r="M5093">
        <f>VLOOKUP(Query1[[#This Row],[Description]],'kits to boards'!$B$2:$E$156,3,FALSE)</f>
        <v>0</v>
      </c>
      <c r="N5093">
        <f>VLOOKUP(Query1[[#This Row],[Description]],'kits to boards'!$B$2:$E$156,4,FALSE)</f>
        <v>0</v>
      </c>
      <c r="O5093" t="str">
        <f>CONCATENATE(Query1[[#This Row],[Description]]," - ",Query1[[#This Row],[MB1]]," - ",Query1[[#This Row],[MB2]]," - ",Query1[[#This Row],[MB3]])</f>
        <v>EVAP KIT 67-72 CHEV P-UP WO AC - 830014 - 0 - 0</v>
      </c>
    </row>
    <row r="5094" spans="1:15" x14ac:dyDescent="0.25">
      <c r="A5094" s="1">
        <v>922855</v>
      </c>
      <c r="B5094" s="1" t="s">
        <v>158</v>
      </c>
      <c r="C5094" s="1" t="s">
        <v>159</v>
      </c>
      <c r="D5094" s="2">
        <v>44687.605627233796</v>
      </c>
      <c r="E5094" s="1" t="s">
        <v>8</v>
      </c>
      <c r="F5094" s="1">
        <v>1</v>
      </c>
      <c r="G5094" s="1">
        <v>0</v>
      </c>
      <c r="H5094" s="6">
        <f>INT(Query1[[#This Row],[EntryDateTime]])</f>
        <v>44687</v>
      </c>
      <c r="I5094" s="1">
        <f>IF(Query1[[#This Row],[ItemType]]="EVAP KIT SF GEN IV",Query1[[#This Row],[OrderQty]]+I5093,I5093)</f>
        <v>6264</v>
      </c>
      <c r="J5094" s="1">
        <f>IF(Query1[[#This Row],[ItemType]]="EVAP KIT UNIVERSAL",Query1[[#This Row],[OrderQty]]+J5093,J5093)</f>
        <v>2147</v>
      </c>
      <c r="K5094" s="1">
        <f>Query1[[#This Row],[SF Running Total]]+Query1[[#This Row],[UNIV Running Total]]</f>
        <v>8411</v>
      </c>
      <c r="L5094">
        <f>VLOOKUP(Query1[[#This Row],[Description]],'kits to boards'!$B$2:$E$156,2,FALSE)</f>
        <v>830080</v>
      </c>
      <c r="M5094">
        <f>VLOOKUP(Query1[[#This Row],[Description]],'kits to boards'!$B$2:$E$156,3,FALSE)</f>
        <v>830046</v>
      </c>
      <c r="N5094">
        <f>VLOOKUP(Query1[[#This Row],[Description]],'kits to boards'!$B$2:$E$156,4,FALSE)</f>
        <v>0</v>
      </c>
      <c r="O5094" t="str">
        <f>CONCATENATE(Query1[[#This Row],[Description]]," - ",Query1[[#This Row],[MB1]]," - ",Query1[[#This Row],[MB2]]," - ",Query1[[#This Row],[MB3]])</f>
        <v>EVAP KIT 69-70 MUSTANG W/AC  - 830080 - 830046 - 0</v>
      </c>
    </row>
    <row r="5095" spans="1:15" x14ac:dyDescent="0.25">
      <c r="A5095" s="1">
        <v>922858</v>
      </c>
      <c r="B5095" s="1" t="s">
        <v>168</v>
      </c>
      <c r="C5095" s="1" t="s">
        <v>169</v>
      </c>
      <c r="D5095" s="2">
        <v>44687.609382060182</v>
      </c>
      <c r="E5095" s="1" t="s">
        <v>8</v>
      </c>
      <c r="F5095" s="1">
        <v>2</v>
      </c>
      <c r="G5095" s="1">
        <v>0</v>
      </c>
      <c r="H5095" s="6">
        <f>INT(Query1[[#This Row],[EntryDateTime]])</f>
        <v>44687</v>
      </c>
      <c r="I5095" s="1">
        <f>IF(Query1[[#This Row],[ItemType]]="EVAP KIT SF GEN IV",Query1[[#This Row],[OrderQty]]+I5094,I5094)</f>
        <v>6266</v>
      </c>
      <c r="J5095" s="1">
        <f>IF(Query1[[#This Row],[ItemType]]="EVAP KIT UNIVERSAL",Query1[[#This Row],[OrderQty]]+J5094,J5094)</f>
        <v>2147</v>
      </c>
      <c r="K5095" s="1">
        <f>Query1[[#This Row],[SF Running Total]]+Query1[[#This Row],[UNIV Running Total]]</f>
        <v>8413</v>
      </c>
      <c r="L5095">
        <f>VLOOKUP(Query1[[#This Row],[Description]],'kits to boards'!$B$2:$E$156,2,FALSE)</f>
        <v>830028</v>
      </c>
      <c r="M5095">
        <f>VLOOKUP(Query1[[#This Row],[Description]],'kits to boards'!$B$2:$E$156,3,FALSE)</f>
        <v>0</v>
      </c>
      <c r="N5095">
        <f>VLOOKUP(Query1[[#This Row],[Description]],'kits to boards'!$B$2:$E$156,4,FALSE)</f>
        <v>0</v>
      </c>
      <c r="O5095" t="str">
        <f>CONCATENATE(Query1[[#This Row],[Description]]," - ",Query1[[#This Row],[MB1]]," - ",Query1[[#This Row],[MB2]]," - ",Query1[[#This Row],[MB3]])</f>
        <v>EVAP KIT 55-59 CHEV P-UP WO AC W/STD  - 830028 - 0 - 0</v>
      </c>
    </row>
    <row r="5096" spans="1:15" x14ac:dyDescent="0.25">
      <c r="A5096" s="1">
        <v>922160</v>
      </c>
      <c r="B5096" s="1" t="s">
        <v>20</v>
      </c>
      <c r="C5096" s="1" t="s">
        <v>21</v>
      </c>
      <c r="D5096" s="2">
        <v>44687.611665706019</v>
      </c>
      <c r="E5096" s="1" t="s">
        <v>11</v>
      </c>
      <c r="F5096" s="1">
        <v>2</v>
      </c>
      <c r="G5096" s="1">
        <v>0</v>
      </c>
      <c r="H5096" s="6">
        <f>INT(Query1[[#This Row],[EntryDateTime]])</f>
        <v>44687</v>
      </c>
      <c r="I5096" s="1">
        <f>IF(Query1[[#This Row],[ItemType]]="EVAP KIT SF GEN IV",Query1[[#This Row],[OrderQty]]+I5095,I5095)</f>
        <v>6266</v>
      </c>
      <c r="J5096" s="1">
        <f>IF(Query1[[#This Row],[ItemType]]="EVAP KIT UNIVERSAL",Query1[[#This Row],[OrderQty]]+J5095,J5095)</f>
        <v>2149</v>
      </c>
      <c r="K5096" s="1">
        <f>Query1[[#This Row],[SF Running Total]]+Query1[[#This Row],[UNIV Running Total]]</f>
        <v>8415</v>
      </c>
      <c r="L5096">
        <f>VLOOKUP(Query1[[#This Row],[Description]],'kits to boards'!$B$2:$E$156,2,FALSE)</f>
        <v>830102</v>
      </c>
      <c r="M5096">
        <f>VLOOKUP(Query1[[#This Row],[Description]],'kits to boards'!$B$2:$E$156,3,FALSE)</f>
        <v>0</v>
      </c>
      <c r="N5096">
        <f>VLOOKUP(Query1[[#This Row],[Description]],'kits to boards'!$B$2:$E$156,4,FALSE)</f>
        <v>0</v>
      </c>
      <c r="O5096" t="str">
        <f>CONCATENATE(Query1[[#This Row],[Description]]," - ",Query1[[#This Row],[MB1]]," - ",Query1[[#This Row],[MB2]]," - ",Query1[[#This Row],[MB3]])</f>
        <v>SUPER GEN II W/DEF - 830102 - 0 - 0</v>
      </c>
    </row>
    <row r="5097" spans="1:15" x14ac:dyDescent="0.25">
      <c r="A5097" s="1">
        <v>922160</v>
      </c>
      <c r="B5097" s="1" t="s">
        <v>22</v>
      </c>
      <c r="C5097" s="1" t="s">
        <v>23</v>
      </c>
      <c r="D5097" s="2">
        <v>44687.611665706019</v>
      </c>
      <c r="E5097" s="1" t="s">
        <v>8</v>
      </c>
      <c r="F5097" s="1">
        <v>2</v>
      </c>
      <c r="G5097" s="1">
        <v>0</v>
      </c>
      <c r="H5097" s="6">
        <f>INT(Query1[[#This Row],[EntryDateTime]])</f>
        <v>44687</v>
      </c>
      <c r="I5097" s="1">
        <f>IF(Query1[[#This Row],[ItemType]]="EVAP KIT SF GEN IV",Query1[[#This Row],[OrderQty]]+I5096,I5096)</f>
        <v>6268</v>
      </c>
      <c r="J5097" s="1">
        <f>IF(Query1[[#This Row],[ItemType]]="EVAP KIT UNIVERSAL",Query1[[#This Row],[OrderQty]]+J5096,J5096)</f>
        <v>2149</v>
      </c>
      <c r="K5097" s="1">
        <f>Query1[[#This Row],[SF Running Total]]+Query1[[#This Row],[UNIV Running Total]]</f>
        <v>8417</v>
      </c>
      <c r="L5097">
        <f>VLOOKUP(Query1[[#This Row],[Description]],'kits to boards'!$B$2:$E$156,2,FALSE)</f>
        <v>830083</v>
      </c>
      <c r="M5097">
        <f>VLOOKUP(Query1[[#This Row],[Description]],'kits to boards'!$B$2:$E$156,3,FALSE)</f>
        <v>0</v>
      </c>
      <c r="N5097">
        <f>VLOOKUP(Query1[[#This Row],[Description]],'kits to boards'!$B$2:$E$156,4,FALSE)</f>
        <v>0</v>
      </c>
      <c r="O5097" t="str">
        <f>CONCATENATE(Query1[[#This Row],[Description]]," - ",Query1[[#This Row],[MB1]]," - ",Query1[[#This Row],[MB2]]," - ",Query1[[#This Row],[MB3]])</f>
        <v>GEN IV MAGNUM EVAP KIT - 830083 - 0 - 0</v>
      </c>
    </row>
    <row r="5098" spans="1:15" x14ac:dyDescent="0.25">
      <c r="A5098" s="1">
        <v>922159</v>
      </c>
      <c r="B5098" s="1" t="s">
        <v>42</v>
      </c>
      <c r="C5098" s="1" t="s">
        <v>43</v>
      </c>
      <c r="D5098" s="2">
        <v>44687.612271990743</v>
      </c>
      <c r="E5098" s="1" t="s">
        <v>8</v>
      </c>
      <c r="F5098" s="1">
        <v>1</v>
      </c>
      <c r="G5098" s="1">
        <v>0</v>
      </c>
      <c r="H5098" s="6">
        <f>INT(Query1[[#This Row],[EntryDateTime]])</f>
        <v>44687</v>
      </c>
      <c r="I5098" s="1">
        <f>IF(Query1[[#This Row],[ItemType]]="EVAP KIT SF GEN IV",Query1[[#This Row],[OrderQty]]+I5097,I5097)</f>
        <v>6269</v>
      </c>
      <c r="J5098" s="1">
        <f>IF(Query1[[#This Row],[ItemType]]="EVAP KIT UNIVERSAL",Query1[[#This Row],[OrderQty]]+J5097,J5097)</f>
        <v>2149</v>
      </c>
      <c r="K5098" s="1">
        <f>Query1[[#This Row],[SF Running Total]]+Query1[[#This Row],[UNIV Running Total]]</f>
        <v>8418</v>
      </c>
      <c r="L5098">
        <f>VLOOKUP(Query1[[#This Row],[Description]],'kits to boards'!$B$2:$E$156,2,FALSE)</f>
        <v>830014</v>
      </c>
      <c r="M5098">
        <f>VLOOKUP(Query1[[#This Row],[Description]],'kits to boards'!$B$2:$E$156,3,FALSE)</f>
        <v>0</v>
      </c>
      <c r="N5098">
        <f>VLOOKUP(Query1[[#This Row],[Description]],'kits to boards'!$B$2:$E$156,4,FALSE)</f>
        <v>0</v>
      </c>
      <c r="O5098" t="str">
        <f>CONCATENATE(Query1[[#This Row],[Description]]," - ",Query1[[#This Row],[MB1]]," - ",Query1[[#This Row],[MB2]]," - ",Query1[[#This Row],[MB3]])</f>
        <v>EVAP KIT 67-72 CHEV P-UP WO AC - 830014 - 0 - 0</v>
      </c>
    </row>
    <row r="5099" spans="1:15" x14ac:dyDescent="0.25">
      <c r="A5099" s="1">
        <v>922158</v>
      </c>
      <c r="B5099" s="1" t="s">
        <v>134</v>
      </c>
      <c r="C5099" s="1" t="s">
        <v>135</v>
      </c>
      <c r="D5099" s="2">
        <v>44687.612747997686</v>
      </c>
      <c r="E5099" s="1" t="s">
        <v>8</v>
      </c>
      <c r="F5099" s="1">
        <v>1</v>
      </c>
      <c r="G5099" s="1">
        <v>0</v>
      </c>
      <c r="H5099" s="6">
        <f>INT(Query1[[#This Row],[EntryDateTime]])</f>
        <v>44687</v>
      </c>
      <c r="I5099" s="1">
        <f>IF(Query1[[#This Row],[ItemType]]="EVAP KIT SF GEN IV",Query1[[#This Row],[OrderQty]]+I5098,I5098)</f>
        <v>6270</v>
      </c>
      <c r="J5099" s="1">
        <f>IF(Query1[[#This Row],[ItemType]]="EVAP KIT UNIVERSAL",Query1[[#This Row],[OrderQty]]+J5098,J5098)</f>
        <v>2149</v>
      </c>
      <c r="K5099" s="1">
        <f>Query1[[#This Row],[SF Running Total]]+Query1[[#This Row],[UNIV Running Total]]</f>
        <v>8419</v>
      </c>
      <c r="L5099">
        <f>VLOOKUP(Query1[[#This Row],[Description]],'kits to boards'!$B$2:$E$156,2,FALSE)</f>
        <v>830007</v>
      </c>
      <c r="M5099">
        <f>VLOOKUP(Query1[[#This Row],[Description]],'kits to boards'!$B$2:$E$156,3,FALSE)</f>
        <v>0</v>
      </c>
      <c r="N5099">
        <f>VLOOKUP(Query1[[#This Row],[Description]],'kits to boards'!$B$2:$E$156,4,FALSE)</f>
        <v>0</v>
      </c>
      <c r="O5099" t="str">
        <f>CONCATENATE(Query1[[#This Row],[Description]]," - ",Query1[[#This Row],[MB1]]," - ",Query1[[#This Row],[MB2]]," - ",Query1[[#This Row],[MB3]])</f>
        <v>EVAP KIT 64 IMPALA WO AC - 830007 - 0 - 0</v>
      </c>
    </row>
    <row r="5100" spans="1:15" x14ac:dyDescent="0.25">
      <c r="A5100" s="1">
        <v>922156</v>
      </c>
      <c r="B5100" s="1" t="s">
        <v>64</v>
      </c>
      <c r="C5100" s="1" t="s">
        <v>65</v>
      </c>
      <c r="D5100" s="2">
        <v>44687.613149537035</v>
      </c>
      <c r="E5100" s="1" t="s">
        <v>8</v>
      </c>
      <c r="F5100" s="1">
        <v>1</v>
      </c>
      <c r="G5100" s="1">
        <v>0</v>
      </c>
      <c r="H5100" s="6">
        <f>INT(Query1[[#This Row],[EntryDateTime]])</f>
        <v>44687</v>
      </c>
      <c r="I5100" s="1">
        <f>IF(Query1[[#This Row],[ItemType]]="EVAP KIT SF GEN IV",Query1[[#This Row],[OrderQty]]+I5099,I5099)</f>
        <v>6271</v>
      </c>
      <c r="J5100" s="1">
        <f>IF(Query1[[#This Row],[ItemType]]="EVAP KIT UNIVERSAL",Query1[[#This Row],[OrderQty]]+J5099,J5099)</f>
        <v>2149</v>
      </c>
      <c r="K5100" s="1">
        <f>Query1[[#This Row],[SF Running Total]]+Query1[[#This Row],[UNIV Running Total]]</f>
        <v>8420</v>
      </c>
      <c r="L5100">
        <f>VLOOKUP(Query1[[#This Row],[Description]],'kits to boards'!$B$2:$E$156,2,FALSE)</f>
        <v>830067</v>
      </c>
      <c r="M5100">
        <f>VLOOKUP(Query1[[#This Row],[Description]],'kits to boards'!$B$2:$E$156,3,FALSE)</f>
        <v>0</v>
      </c>
      <c r="N5100">
        <f>VLOOKUP(Query1[[#This Row],[Description]],'kits to boards'!$B$2:$E$156,4,FALSE)</f>
        <v>0</v>
      </c>
      <c r="O5100" t="str">
        <f>CONCATENATE(Query1[[#This Row],[Description]]," - ",Query1[[#This Row],[MB1]]," - ",Query1[[#This Row],[MB2]]," - ",Query1[[#This Row],[MB3]])</f>
        <v>EVAP KIT 59-60 CHEV CAR 4-LEVER - 830067 - 0 - 0</v>
      </c>
    </row>
    <row r="5101" spans="1:15" x14ac:dyDescent="0.25">
      <c r="A5101" s="1">
        <v>922878</v>
      </c>
      <c r="B5101" s="1" t="s">
        <v>16</v>
      </c>
      <c r="C5101" s="1" t="s">
        <v>17</v>
      </c>
      <c r="D5101" s="2">
        <v>44687.614728553242</v>
      </c>
      <c r="E5101" s="1" t="s">
        <v>8</v>
      </c>
      <c r="F5101" s="1">
        <v>1</v>
      </c>
      <c r="G5101" s="1">
        <v>0</v>
      </c>
      <c r="H5101" s="6">
        <f>INT(Query1[[#This Row],[EntryDateTime]])</f>
        <v>44687</v>
      </c>
      <c r="I5101" s="1">
        <f>IF(Query1[[#This Row],[ItemType]]="EVAP KIT SF GEN IV",Query1[[#This Row],[OrderQty]]+I5100,I5100)</f>
        <v>6272</v>
      </c>
      <c r="J5101" s="1">
        <f>IF(Query1[[#This Row],[ItemType]]="EVAP KIT UNIVERSAL",Query1[[#This Row],[OrderQty]]+J5100,J5100)</f>
        <v>2149</v>
      </c>
      <c r="K5101" s="1">
        <f>Query1[[#This Row],[SF Running Total]]+Query1[[#This Row],[UNIV Running Total]]</f>
        <v>8421</v>
      </c>
      <c r="L5101">
        <f>VLOOKUP(Query1[[#This Row],[Description]],'kits to boards'!$B$2:$E$156,2,FALSE)</f>
        <v>830061</v>
      </c>
      <c r="M5101">
        <f>VLOOKUP(Query1[[#This Row],[Description]],'kits to boards'!$B$2:$E$156,3,FALSE)</f>
        <v>0</v>
      </c>
      <c r="N5101">
        <f>VLOOKUP(Query1[[#This Row],[Description]],'kits to boards'!$B$2:$E$156,4,FALSE)</f>
        <v>0</v>
      </c>
      <c r="O5101" t="str">
        <f>CONCATENATE(Query1[[#This Row],[Description]]," - ",Query1[[#This Row],[MB1]]," - ",Query1[[#This Row],[MB2]]," - ",Query1[[#This Row],[MB3]])</f>
        <v>EVAP KIT 68-69 CHEVELLE W/AC - 830061 - 0 - 0</v>
      </c>
    </row>
    <row r="5102" spans="1:15" x14ac:dyDescent="0.25">
      <c r="A5102" s="1">
        <v>922883</v>
      </c>
      <c r="B5102" s="1" t="s">
        <v>24</v>
      </c>
      <c r="C5102" s="1" t="s">
        <v>25</v>
      </c>
      <c r="D5102" s="2">
        <v>44687.620719062499</v>
      </c>
      <c r="E5102" s="1" t="s">
        <v>11</v>
      </c>
      <c r="F5102" s="1">
        <v>3</v>
      </c>
      <c r="G5102" s="1">
        <v>0</v>
      </c>
      <c r="H5102" s="6">
        <f>INT(Query1[[#This Row],[EntryDateTime]])</f>
        <v>44687</v>
      </c>
      <c r="I5102" s="1">
        <f>IF(Query1[[#This Row],[ItemType]]="EVAP KIT SF GEN IV",Query1[[#This Row],[OrderQty]]+I5101,I5101)</f>
        <v>6272</v>
      </c>
      <c r="J5102" s="1">
        <f>IF(Query1[[#This Row],[ItemType]]="EVAP KIT UNIVERSAL",Query1[[#This Row],[OrderQty]]+J5101,J5101)</f>
        <v>2152</v>
      </c>
      <c r="K5102" s="1">
        <f>Query1[[#This Row],[SF Running Total]]+Query1[[#This Row],[UNIV Running Total]]</f>
        <v>8424</v>
      </c>
      <c r="L5102">
        <f>VLOOKUP(Query1[[#This Row],[Description]],'kits to boards'!$B$2:$E$156,2,FALSE)</f>
        <v>830029</v>
      </c>
      <c r="M5102">
        <f>VLOOKUP(Query1[[#This Row],[Description]],'kits to boards'!$B$2:$E$156,3,FALSE)</f>
        <v>830030</v>
      </c>
      <c r="N5102">
        <f>VLOOKUP(Query1[[#This Row],[Description]],'kits to boards'!$B$2:$E$156,4,FALSE)</f>
        <v>0</v>
      </c>
      <c r="O5102" t="str">
        <f>CONCATENATE(Query1[[#This Row],[Description]]," - ",Query1[[#This Row],[MB1]]," - ",Query1[[#This Row],[MB2]]," - ",Query1[[#This Row],[MB3]])</f>
        <v>ComPac GEN II W/DEF - 830029 - 830030 - 0</v>
      </c>
    </row>
    <row r="5103" spans="1:15" x14ac:dyDescent="0.25">
      <c r="A5103" s="1">
        <v>922889</v>
      </c>
      <c r="B5103" s="1" t="s">
        <v>256</v>
      </c>
      <c r="C5103" s="1" t="s">
        <v>257</v>
      </c>
      <c r="D5103" s="2">
        <v>44687.630512847223</v>
      </c>
      <c r="E5103" s="1" t="s">
        <v>8</v>
      </c>
      <c r="F5103" s="1">
        <v>1</v>
      </c>
      <c r="G5103" s="1">
        <v>0</v>
      </c>
      <c r="H5103" s="6">
        <f>INT(Query1[[#This Row],[EntryDateTime]])</f>
        <v>44687</v>
      </c>
      <c r="I5103" s="1">
        <f>IF(Query1[[#This Row],[ItemType]]="EVAP KIT SF GEN IV",Query1[[#This Row],[OrderQty]]+I5102,I5102)</f>
        <v>6273</v>
      </c>
      <c r="J5103" s="1">
        <f>IF(Query1[[#This Row],[ItemType]]="EVAP KIT UNIVERSAL",Query1[[#This Row],[OrderQty]]+J5102,J5102)</f>
        <v>2152</v>
      </c>
      <c r="K5103" s="1">
        <f>Query1[[#This Row],[SF Running Total]]+Query1[[#This Row],[UNIV Running Total]]</f>
        <v>8425</v>
      </c>
      <c r="L5103">
        <f>VLOOKUP(Query1[[#This Row],[Description]],'kits to boards'!$B$2:$E$156,2,FALSE)</f>
        <v>830025</v>
      </c>
      <c r="M5103">
        <f>VLOOKUP(Query1[[#This Row],[Description]],'kits to boards'!$B$2:$E$156,3,FALSE)</f>
        <v>830022</v>
      </c>
      <c r="N5103">
        <f>VLOOKUP(Query1[[#This Row],[Description]],'kits to boards'!$B$2:$E$156,4,FALSE)</f>
        <v>0</v>
      </c>
      <c r="O5103" t="str">
        <f>CONCATENATE(Query1[[#This Row],[Description]]," - ",Query1[[#This Row],[MB1]]," - ",Query1[[#This Row],[MB2]]," - ",Query1[[#This Row],[MB3]])</f>
        <v>EVAP KIT 68-69 CUTLASS W/AC - 830025 - 830022 - 0</v>
      </c>
    </row>
    <row r="5104" spans="1:15" x14ac:dyDescent="0.25">
      <c r="A5104" s="1">
        <v>922894</v>
      </c>
      <c r="B5104" s="1" t="s">
        <v>256</v>
      </c>
      <c r="C5104" s="1" t="s">
        <v>257</v>
      </c>
      <c r="D5104" s="2">
        <v>44687.634064618054</v>
      </c>
      <c r="E5104" s="1" t="s">
        <v>8</v>
      </c>
      <c r="F5104" s="1">
        <v>1</v>
      </c>
      <c r="G5104" s="1">
        <v>0</v>
      </c>
      <c r="H5104" s="6">
        <f>INT(Query1[[#This Row],[EntryDateTime]])</f>
        <v>44687</v>
      </c>
      <c r="I5104" s="1">
        <f>IF(Query1[[#This Row],[ItemType]]="EVAP KIT SF GEN IV",Query1[[#This Row],[OrderQty]]+I5103,I5103)</f>
        <v>6274</v>
      </c>
      <c r="J5104" s="1">
        <f>IF(Query1[[#This Row],[ItemType]]="EVAP KIT UNIVERSAL",Query1[[#This Row],[OrderQty]]+J5103,J5103)</f>
        <v>2152</v>
      </c>
      <c r="K5104" s="1">
        <f>Query1[[#This Row],[SF Running Total]]+Query1[[#This Row],[UNIV Running Total]]</f>
        <v>8426</v>
      </c>
      <c r="L5104">
        <f>VLOOKUP(Query1[[#This Row],[Description]],'kits to boards'!$B$2:$E$156,2,FALSE)</f>
        <v>830025</v>
      </c>
      <c r="M5104">
        <f>VLOOKUP(Query1[[#This Row],[Description]],'kits to boards'!$B$2:$E$156,3,FALSE)</f>
        <v>830022</v>
      </c>
      <c r="N5104">
        <f>VLOOKUP(Query1[[#This Row],[Description]],'kits to boards'!$B$2:$E$156,4,FALSE)</f>
        <v>0</v>
      </c>
      <c r="O5104" t="str">
        <f>CONCATENATE(Query1[[#This Row],[Description]]," - ",Query1[[#This Row],[MB1]]," - ",Query1[[#This Row],[MB2]]," - ",Query1[[#This Row],[MB3]])</f>
        <v>EVAP KIT 68-69 CUTLASS W/AC - 830025 - 830022 - 0</v>
      </c>
    </row>
    <row r="5105" spans="1:15" x14ac:dyDescent="0.25">
      <c r="A5105" s="1">
        <v>922895</v>
      </c>
      <c r="B5105" s="1" t="s">
        <v>210</v>
      </c>
      <c r="C5105" s="1" t="s">
        <v>211</v>
      </c>
      <c r="D5105" s="2">
        <v>44687.634571030096</v>
      </c>
      <c r="E5105" s="1" t="s">
        <v>8</v>
      </c>
      <c r="F5105" s="1">
        <v>1</v>
      </c>
      <c r="G5105" s="1">
        <v>0</v>
      </c>
      <c r="H5105" s="6">
        <f>INT(Query1[[#This Row],[EntryDateTime]])</f>
        <v>44687</v>
      </c>
      <c r="I5105" s="1">
        <f>IF(Query1[[#This Row],[ItemType]]="EVAP KIT SF GEN IV",Query1[[#This Row],[OrderQty]]+I5104,I5104)</f>
        <v>6275</v>
      </c>
      <c r="J5105" s="1">
        <f>IF(Query1[[#This Row],[ItemType]]="EVAP KIT UNIVERSAL",Query1[[#This Row],[OrderQty]]+J5104,J5104)</f>
        <v>2152</v>
      </c>
      <c r="K5105" s="1">
        <f>Query1[[#This Row],[SF Running Total]]+Query1[[#This Row],[UNIV Running Total]]</f>
        <v>8427</v>
      </c>
      <c r="L5105">
        <f>VLOOKUP(Query1[[#This Row],[Description]],'kits to boards'!$B$2:$E$156,2,FALSE)</f>
        <v>830094</v>
      </c>
      <c r="M5105">
        <f>VLOOKUP(Query1[[#This Row],[Description]],'kits to boards'!$B$2:$E$156,3,FALSE)</f>
        <v>0</v>
      </c>
      <c r="N5105">
        <f>VLOOKUP(Query1[[#This Row],[Description]],'kits to boards'!$B$2:$E$156,4,FALSE)</f>
        <v>0</v>
      </c>
      <c r="O5105" t="str">
        <f>CONCATENATE(Query1[[#This Row],[Description]]," - ",Query1[[#This Row],[MB1]]," - ",Query1[[#This Row],[MB2]]," - ",Query1[[#This Row],[MB3]])</f>
        <v>EVAP KIT 74-76 VETTE W/AC - 830094 - 0 - 0</v>
      </c>
    </row>
    <row r="5106" spans="1:15" x14ac:dyDescent="0.25">
      <c r="A5106" s="1">
        <v>922070</v>
      </c>
      <c r="B5106" s="1" t="s">
        <v>42</v>
      </c>
      <c r="C5106" s="1" t="s">
        <v>43</v>
      </c>
      <c r="D5106" s="2">
        <v>44687.638621608799</v>
      </c>
      <c r="E5106" s="1" t="s">
        <v>8</v>
      </c>
      <c r="F5106" s="1">
        <v>1</v>
      </c>
      <c r="G5106" s="1">
        <v>0</v>
      </c>
      <c r="H5106" s="6">
        <f>INT(Query1[[#This Row],[EntryDateTime]])</f>
        <v>44687</v>
      </c>
      <c r="I5106" s="1">
        <f>IF(Query1[[#This Row],[ItemType]]="EVAP KIT SF GEN IV",Query1[[#This Row],[OrderQty]]+I5105,I5105)</f>
        <v>6276</v>
      </c>
      <c r="J5106" s="1">
        <f>IF(Query1[[#This Row],[ItemType]]="EVAP KIT UNIVERSAL",Query1[[#This Row],[OrderQty]]+J5105,J5105)</f>
        <v>2152</v>
      </c>
      <c r="K5106" s="1">
        <f>Query1[[#This Row],[SF Running Total]]+Query1[[#This Row],[UNIV Running Total]]</f>
        <v>8428</v>
      </c>
      <c r="L5106">
        <f>VLOOKUP(Query1[[#This Row],[Description]],'kits to boards'!$B$2:$E$156,2,FALSE)</f>
        <v>830014</v>
      </c>
      <c r="M5106">
        <f>VLOOKUP(Query1[[#This Row],[Description]],'kits to boards'!$B$2:$E$156,3,FALSE)</f>
        <v>0</v>
      </c>
      <c r="N5106">
        <f>VLOOKUP(Query1[[#This Row],[Description]],'kits to boards'!$B$2:$E$156,4,FALSE)</f>
        <v>0</v>
      </c>
      <c r="O5106" t="str">
        <f>CONCATENATE(Query1[[#This Row],[Description]]," - ",Query1[[#This Row],[MB1]]," - ",Query1[[#This Row],[MB2]]," - ",Query1[[#This Row],[MB3]])</f>
        <v>EVAP KIT 67-72 CHEV P-UP WO AC - 830014 - 0 - 0</v>
      </c>
    </row>
    <row r="5107" spans="1:15" x14ac:dyDescent="0.25">
      <c r="A5107" s="1">
        <v>922860</v>
      </c>
      <c r="B5107" s="1" t="s">
        <v>78</v>
      </c>
      <c r="C5107" s="1" t="s">
        <v>79</v>
      </c>
      <c r="D5107" s="2">
        <v>44687.638703668985</v>
      </c>
      <c r="E5107" s="1" t="s">
        <v>11</v>
      </c>
      <c r="F5107" s="1">
        <v>1</v>
      </c>
      <c r="G5107" s="1">
        <v>0</v>
      </c>
      <c r="H5107" s="6">
        <f>INT(Query1[[#This Row],[EntryDateTime]])</f>
        <v>44687</v>
      </c>
      <c r="I5107" s="1">
        <f>IF(Query1[[#This Row],[ItemType]]="EVAP KIT SF GEN IV",Query1[[#This Row],[OrderQty]]+I5106,I5106)</f>
        <v>6276</v>
      </c>
      <c r="J5107" s="1">
        <f>IF(Query1[[#This Row],[ItemType]]="EVAP KIT UNIVERSAL",Query1[[#This Row],[OrderQty]]+J5106,J5106)</f>
        <v>2153</v>
      </c>
      <c r="K5107" s="1">
        <f>Query1[[#This Row],[SF Running Total]]+Query1[[#This Row],[UNIV Running Total]]</f>
        <v>8429</v>
      </c>
      <c r="L5107">
        <f>VLOOKUP(Query1[[#This Row],[Description]],'kits to boards'!$B$2:$E$156,2,FALSE)</f>
        <v>0</v>
      </c>
      <c r="M5107">
        <f>VLOOKUP(Query1[[#This Row],[Description]],'kits to boards'!$B$2:$E$156,3,FALSE)</f>
        <v>0</v>
      </c>
      <c r="N5107">
        <f>VLOOKUP(Query1[[#This Row],[Description]],'kits to boards'!$B$2:$E$156,4,FALSE)</f>
        <v>0</v>
      </c>
      <c r="O5107" t="str">
        <f>CONCATENATE(Query1[[#This Row],[Description]]," - ",Query1[[#This Row],[MB1]]," - ",Query1[[#This Row],[MB2]]," - ",Query1[[#This Row],[MB3]])</f>
        <v>MARK IV STYLELINE UNDERDASH EVAP - 0 - 0 - 0</v>
      </c>
    </row>
    <row r="5108" spans="1:15" x14ac:dyDescent="0.25">
      <c r="A5108" s="1">
        <v>922903</v>
      </c>
      <c r="B5108" s="1" t="s">
        <v>34</v>
      </c>
      <c r="C5108" s="1" t="s">
        <v>35</v>
      </c>
      <c r="D5108" s="2">
        <v>44687.640399502314</v>
      </c>
      <c r="E5108" s="1" t="s">
        <v>8</v>
      </c>
      <c r="F5108" s="1">
        <v>1</v>
      </c>
      <c r="G5108" s="1">
        <v>0</v>
      </c>
      <c r="H5108" s="6">
        <f>INT(Query1[[#This Row],[EntryDateTime]])</f>
        <v>44687</v>
      </c>
      <c r="I5108" s="1">
        <f>IF(Query1[[#This Row],[ItemType]]="EVAP KIT SF GEN IV",Query1[[#This Row],[OrderQty]]+I5107,I5107)</f>
        <v>6277</v>
      </c>
      <c r="J5108" s="1">
        <f>IF(Query1[[#This Row],[ItemType]]="EVAP KIT UNIVERSAL",Query1[[#This Row],[OrderQty]]+J5107,J5107)</f>
        <v>2153</v>
      </c>
      <c r="K5108" s="1">
        <f>Query1[[#This Row],[SF Running Total]]+Query1[[#This Row],[UNIV Running Total]]</f>
        <v>8430</v>
      </c>
      <c r="L5108">
        <f>VLOOKUP(Query1[[#This Row],[Description]],'kits to boards'!$B$2:$E$156,2,FALSE)</f>
        <v>830065</v>
      </c>
      <c r="M5108">
        <f>VLOOKUP(Query1[[#This Row],[Description]],'kits to boards'!$B$2:$E$156,3,FALSE)</f>
        <v>0</v>
      </c>
      <c r="N5108">
        <f>VLOOKUP(Query1[[#This Row],[Description]],'kits to boards'!$B$2:$E$156,4,FALSE)</f>
        <v>0</v>
      </c>
      <c r="O5108" t="str">
        <f>CONCATENATE(Query1[[#This Row],[Description]]," - ",Query1[[#This Row],[MB1]]," - ",Query1[[#This Row],[MB2]]," - ",Query1[[#This Row],[MB3]])</f>
        <v>EVAP KIT 57 CHEV WO AC - 830065 - 0 - 0</v>
      </c>
    </row>
    <row r="5109" spans="1:15" x14ac:dyDescent="0.25">
      <c r="A5109" s="1">
        <v>922904</v>
      </c>
      <c r="B5109" s="1" t="s">
        <v>128</v>
      </c>
      <c r="C5109" s="1" t="s">
        <v>129</v>
      </c>
      <c r="D5109" s="2">
        <v>44687.640680706019</v>
      </c>
      <c r="E5109" s="1" t="s">
        <v>8</v>
      </c>
      <c r="F5109" s="1">
        <v>1</v>
      </c>
      <c r="G5109" s="1">
        <v>0</v>
      </c>
      <c r="H5109" s="6">
        <f>INT(Query1[[#This Row],[EntryDateTime]])</f>
        <v>44687</v>
      </c>
      <c r="I5109" s="1">
        <f>IF(Query1[[#This Row],[ItemType]]="EVAP KIT SF GEN IV",Query1[[#This Row],[OrderQty]]+I5108,I5108)</f>
        <v>6278</v>
      </c>
      <c r="J5109" s="1">
        <f>IF(Query1[[#This Row],[ItemType]]="EVAP KIT UNIVERSAL",Query1[[#This Row],[OrderQty]]+J5108,J5108)</f>
        <v>2153</v>
      </c>
      <c r="K5109" s="1">
        <f>Query1[[#This Row],[SF Running Total]]+Query1[[#This Row],[UNIV Running Total]]</f>
        <v>8431</v>
      </c>
      <c r="L5109">
        <f>VLOOKUP(Query1[[#This Row],[Description]],'kits to boards'!$B$2:$E$156,2,FALSE)</f>
        <v>830036</v>
      </c>
      <c r="M5109">
        <f>VLOOKUP(Query1[[#This Row],[Description]],'kits to boards'!$B$2:$E$156,3,FALSE)</f>
        <v>830039</v>
      </c>
      <c r="N5109">
        <f>VLOOKUP(Query1[[#This Row],[Description]],'kits to boards'!$B$2:$E$156,4,FALSE)</f>
        <v>0</v>
      </c>
      <c r="O5109" t="str">
        <f>CONCATENATE(Query1[[#This Row],[Description]]," - ",Query1[[#This Row],[MB1]]," - ",Query1[[#This Row],[MB2]]," - ",Query1[[#This Row],[MB3]])</f>
        <v>EVAP KIT 63-66 VETTE WO AC - 830036 - 830039 - 0</v>
      </c>
    </row>
    <row r="5110" spans="1:15" x14ac:dyDescent="0.25">
      <c r="A5110" s="1">
        <v>922890</v>
      </c>
      <c r="B5110" s="1" t="s">
        <v>256</v>
      </c>
      <c r="C5110" s="1" t="s">
        <v>257</v>
      </c>
      <c r="D5110" s="2">
        <v>44687.641809293978</v>
      </c>
      <c r="E5110" s="1" t="s">
        <v>8</v>
      </c>
      <c r="F5110" s="1">
        <v>1</v>
      </c>
      <c r="G5110" s="1">
        <v>0</v>
      </c>
      <c r="H5110" s="6">
        <f>INT(Query1[[#This Row],[EntryDateTime]])</f>
        <v>44687</v>
      </c>
      <c r="I5110" s="1">
        <f>IF(Query1[[#This Row],[ItemType]]="EVAP KIT SF GEN IV",Query1[[#This Row],[OrderQty]]+I5109,I5109)</f>
        <v>6279</v>
      </c>
      <c r="J5110" s="1">
        <f>IF(Query1[[#This Row],[ItemType]]="EVAP KIT UNIVERSAL",Query1[[#This Row],[OrderQty]]+J5109,J5109)</f>
        <v>2153</v>
      </c>
      <c r="K5110" s="1">
        <f>Query1[[#This Row],[SF Running Total]]+Query1[[#This Row],[UNIV Running Total]]</f>
        <v>8432</v>
      </c>
      <c r="L5110">
        <f>VLOOKUP(Query1[[#This Row],[Description]],'kits to boards'!$B$2:$E$156,2,FALSE)</f>
        <v>830025</v>
      </c>
      <c r="M5110">
        <f>VLOOKUP(Query1[[#This Row],[Description]],'kits to boards'!$B$2:$E$156,3,FALSE)</f>
        <v>830022</v>
      </c>
      <c r="N5110">
        <f>VLOOKUP(Query1[[#This Row],[Description]],'kits to boards'!$B$2:$E$156,4,FALSE)</f>
        <v>0</v>
      </c>
      <c r="O5110" t="str">
        <f>CONCATENATE(Query1[[#This Row],[Description]]," - ",Query1[[#This Row],[MB1]]," - ",Query1[[#This Row],[MB2]]," - ",Query1[[#This Row],[MB3]])</f>
        <v>EVAP KIT 68-69 CUTLASS W/AC - 830025 - 830022 - 0</v>
      </c>
    </row>
    <row r="5111" spans="1:15" x14ac:dyDescent="0.25">
      <c r="A5111" s="1">
        <v>922899</v>
      </c>
      <c r="B5111" s="1" t="s">
        <v>152</v>
      </c>
      <c r="C5111" s="1" t="s">
        <v>153</v>
      </c>
      <c r="D5111" s="2">
        <v>44687.644083252315</v>
      </c>
      <c r="E5111" s="1" t="s">
        <v>8</v>
      </c>
      <c r="F5111" s="1">
        <v>1</v>
      </c>
      <c r="G5111" s="1">
        <v>0</v>
      </c>
      <c r="H5111" s="6">
        <f>INT(Query1[[#This Row],[EntryDateTime]])</f>
        <v>44687</v>
      </c>
      <c r="I5111" s="1">
        <f>IF(Query1[[#This Row],[ItemType]]="EVAP KIT SF GEN IV",Query1[[#This Row],[OrderQty]]+I5110,I5110)</f>
        <v>6280</v>
      </c>
      <c r="J5111" s="1">
        <f>IF(Query1[[#This Row],[ItemType]]="EVAP KIT UNIVERSAL",Query1[[#This Row],[OrderQty]]+J5110,J5110)</f>
        <v>2153</v>
      </c>
      <c r="K5111" s="1">
        <f>Query1[[#This Row],[SF Running Total]]+Query1[[#This Row],[UNIV Running Total]]</f>
        <v>8433</v>
      </c>
      <c r="L5111">
        <f>VLOOKUP(Query1[[#This Row],[Description]],'kits to boards'!$B$2:$E$156,2,FALSE)</f>
        <v>830034</v>
      </c>
      <c r="M5111">
        <f>VLOOKUP(Query1[[#This Row],[Description]],'kits to boards'!$B$2:$E$156,3,FALSE)</f>
        <v>0</v>
      </c>
      <c r="N5111">
        <f>VLOOKUP(Query1[[#This Row],[Description]],'kits to boards'!$B$2:$E$156,4,FALSE)</f>
        <v>0</v>
      </c>
      <c r="O5111" t="str">
        <f>CONCATENATE(Query1[[#This Row],[Description]]," - ",Query1[[#This Row],[MB1]]," - ",Query1[[#This Row],[MB2]]," - ",Query1[[#This Row],[MB3]])</f>
        <v>EVAP KIT 64-67 GTO WO AC - 830034 - 0 - 0</v>
      </c>
    </row>
    <row r="5112" spans="1:15" x14ac:dyDescent="0.25">
      <c r="A5112" s="1">
        <v>922915</v>
      </c>
      <c r="B5112" s="1" t="s">
        <v>96</v>
      </c>
      <c r="C5112" s="1" t="s">
        <v>97</v>
      </c>
      <c r="D5112" s="2">
        <v>44687.651268715279</v>
      </c>
      <c r="E5112" s="1" t="s">
        <v>8</v>
      </c>
      <c r="F5112" s="1">
        <v>1</v>
      </c>
      <c r="G5112" s="1">
        <v>0</v>
      </c>
      <c r="H5112" s="6">
        <f>INT(Query1[[#This Row],[EntryDateTime]])</f>
        <v>44687</v>
      </c>
      <c r="I5112" s="1">
        <f>IF(Query1[[#This Row],[ItemType]]="EVAP KIT SF GEN IV",Query1[[#This Row],[OrderQty]]+I5111,I5111)</f>
        <v>6281</v>
      </c>
      <c r="J5112" s="1">
        <f>IF(Query1[[#This Row],[ItemType]]="EVAP KIT UNIVERSAL",Query1[[#This Row],[OrderQty]]+J5111,J5111)</f>
        <v>2153</v>
      </c>
      <c r="K5112" s="1">
        <f>Query1[[#This Row],[SF Running Total]]+Query1[[#This Row],[UNIV Running Total]]</f>
        <v>8434</v>
      </c>
      <c r="L5112">
        <f>VLOOKUP(Query1[[#This Row],[Description]],'kits to boards'!$B$2:$E$156,2,FALSE)</f>
        <v>830004</v>
      </c>
      <c r="M5112">
        <f>VLOOKUP(Query1[[#This Row],[Description]],'kits to boards'!$B$2:$E$156,3,FALSE)</f>
        <v>0</v>
      </c>
      <c r="N5112">
        <f>VLOOKUP(Query1[[#This Row],[Description]],'kits to boards'!$B$2:$E$156,4,FALSE)</f>
        <v>0</v>
      </c>
      <c r="O5112" t="str">
        <f>CONCATENATE(Query1[[#This Row],[Description]]," - ",Query1[[#This Row],[MB1]]," - ",Query1[[#This Row],[MB2]]," - ",Query1[[#This Row],[MB3]])</f>
        <v>EVAP KIT 81-87 CHEV P-UP W/AC - 830004 - 0 - 0</v>
      </c>
    </row>
    <row r="5113" spans="1:15" x14ac:dyDescent="0.25">
      <c r="A5113" s="1">
        <v>922765</v>
      </c>
      <c r="B5113" s="1" t="s">
        <v>126</v>
      </c>
      <c r="C5113" s="1" t="s">
        <v>127</v>
      </c>
      <c r="D5113" s="2">
        <v>44687.651931863424</v>
      </c>
      <c r="E5113" s="1" t="s">
        <v>8</v>
      </c>
      <c r="F5113" s="1">
        <v>1</v>
      </c>
      <c r="G5113" s="1">
        <v>0</v>
      </c>
      <c r="H5113" s="6">
        <f>INT(Query1[[#This Row],[EntryDateTime]])</f>
        <v>44687</v>
      </c>
      <c r="I5113" s="1">
        <f>IF(Query1[[#This Row],[ItemType]]="EVAP KIT SF GEN IV",Query1[[#This Row],[OrderQty]]+I5112,I5112)</f>
        <v>6282</v>
      </c>
      <c r="J5113" s="1">
        <f>IF(Query1[[#This Row],[ItemType]]="EVAP KIT UNIVERSAL",Query1[[#This Row],[OrderQty]]+J5112,J5112)</f>
        <v>2153</v>
      </c>
      <c r="K5113" s="1">
        <f>Query1[[#This Row],[SF Running Total]]+Query1[[#This Row],[UNIV Running Total]]</f>
        <v>8435</v>
      </c>
      <c r="L5113">
        <f>VLOOKUP(Query1[[#This Row],[Description]],'kits to boards'!$B$2:$E$156,2,FALSE)</f>
        <v>830080</v>
      </c>
      <c r="M5113">
        <f>VLOOKUP(Query1[[#This Row],[Description]],'kits to boards'!$B$2:$E$156,3,FALSE)</f>
        <v>0</v>
      </c>
      <c r="N5113">
        <f>VLOOKUP(Query1[[#This Row],[Description]],'kits to boards'!$B$2:$E$156,4,FALSE)</f>
        <v>0</v>
      </c>
      <c r="O5113" t="str">
        <f>CONCATENATE(Query1[[#This Row],[Description]]," - ",Query1[[#This Row],[MB1]]," - ",Query1[[#This Row],[MB2]]," - ",Query1[[#This Row],[MB3]])</f>
        <v>EVAP KIT 69-70 MUSTANG WO AC  - 830080 - 0 - 0</v>
      </c>
    </row>
    <row r="5114" spans="1:15" x14ac:dyDescent="0.25">
      <c r="A5114" s="1">
        <v>922906</v>
      </c>
      <c r="B5114" s="1" t="s">
        <v>154</v>
      </c>
      <c r="C5114" s="1" t="s">
        <v>155</v>
      </c>
      <c r="D5114" s="2">
        <v>44687.656149918985</v>
      </c>
      <c r="E5114" s="1" t="s">
        <v>8</v>
      </c>
      <c r="F5114" s="1">
        <v>1</v>
      </c>
      <c r="G5114" s="1">
        <v>0</v>
      </c>
      <c r="H5114" s="6">
        <f>INT(Query1[[#This Row],[EntryDateTime]])</f>
        <v>44687</v>
      </c>
      <c r="I5114" s="1">
        <f>IF(Query1[[#This Row],[ItemType]]="EVAP KIT SF GEN IV",Query1[[#This Row],[OrderQty]]+I5113,I5113)</f>
        <v>6283</v>
      </c>
      <c r="J5114" s="1">
        <f>IF(Query1[[#This Row],[ItemType]]="EVAP KIT UNIVERSAL",Query1[[#This Row],[OrderQty]]+J5113,J5113)</f>
        <v>2153</v>
      </c>
      <c r="K5114" s="1">
        <f>Query1[[#This Row],[SF Running Total]]+Query1[[#This Row],[UNIV Running Total]]</f>
        <v>8436</v>
      </c>
      <c r="L5114">
        <f>VLOOKUP(Query1[[#This Row],[Description]],'kits to boards'!$B$2:$E$156,2,FALSE)</f>
        <v>830124</v>
      </c>
      <c r="M5114">
        <f>VLOOKUP(Query1[[#This Row],[Description]],'kits to boards'!$B$2:$E$156,3,FALSE)</f>
        <v>0</v>
      </c>
      <c r="N5114">
        <f>VLOOKUP(Query1[[#This Row],[Description]],'kits to boards'!$B$2:$E$156,4,FALSE)</f>
        <v>0</v>
      </c>
      <c r="O5114" t="str">
        <f>CONCATENATE(Query1[[#This Row],[Description]]," - ",Query1[[#This Row],[MB1]]," - ",Query1[[#This Row],[MB2]]," - ",Query1[[#This Row],[MB3]])</f>
        <v>EVAP KIT 69 GTO W/AC - 830124 - 0 - 0</v>
      </c>
    </row>
    <row r="5115" spans="1:15" x14ac:dyDescent="0.25">
      <c r="A5115" s="1">
        <v>922909</v>
      </c>
      <c r="B5115" s="1" t="s">
        <v>68</v>
      </c>
      <c r="C5115" s="1" t="s">
        <v>69</v>
      </c>
      <c r="D5115" s="2">
        <v>44687.658912615741</v>
      </c>
      <c r="E5115" s="1" t="s">
        <v>8</v>
      </c>
      <c r="F5115" s="1">
        <v>1</v>
      </c>
      <c r="G5115" s="1">
        <v>0</v>
      </c>
      <c r="H5115" s="6">
        <f>INT(Query1[[#This Row],[EntryDateTime]])</f>
        <v>44687</v>
      </c>
      <c r="I5115" s="1">
        <f>IF(Query1[[#This Row],[ItemType]]="EVAP KIT SF GEN IV",Query1[[#This Row],[OrderQty]]+I5114,I5114)</f>
        <v>6284</v>
      </c>
      <c r="J5115" s="1">
        <f>IF(Query1[[#This Row],[ItemType]]="EVAP KIT UNIVERSAL",Query1[[#This Row],[OrderQty]]+J5114,J5114)</f>
        <v>2153</v>
      </c>
      <c r="K5115" s="1">
        <f>Query1[[#This Row],[SF Running Total]]+Query1[[#This Row],[UNIV Running Total]]</f>
        <v>8437</v>
      </c>
      <c r="L5115">
        <f>VLOOKUP(Query1[[#This Row],[Description]],'kits to boards'!$B$2:$E$156,2,FALSE)</f>
        <v>830010</v>
      </c>
      <c r="M5115">
        <f>VLOOKUP(Query1[[#This Row],[Description]],'kits to boards'!$B$2:$E$156,3,FALSE)</f>
        <v>0</v>
      </c>
      <c r="N5115">
        <f>VLOOKUP(Query1[[#This Row],[Description]],'kits to boards'!$B$2:$E$156,4,FALSE)</f>
        <v>0</v>
      </c>
      <c r="O5115" t="str">
        <f>CONCATENATE(Query1[[#This Row],[Description]]," - ",Query1[[#This Row],[MB1]]," - ",Query1[[#This Row],[MB2]]," - ",Query1[[#This Row],[MB3]])</f>
        <v>EVAP KIT 70-72 CHEVELLE WO AC - 830010 - 0 - 0</v>
      </c>
    </row>
    <row r="5116" spans="1:15" x14ac:dyDescent="0.25">
      <c r="A5116" s="1">
        <v>922919</v>
      </c>
      <c r="B5116" s="1" t="s">
        <v>22</v>
      </c>
      <c r="C5116" s="1" t="s">
        <v>23</v>
      </c>
      <c r="D5116" s="2">
        <v>44687.660645983793</v>
      </c>
      <c r="E5116" s="1" t="s">
        <v>8</v>
      </c>
      <c r="F5116" s="1">
        <v>1</v>
      </c>
      <c r="G5116" s="1">
        <v>0</v>
      </c>
      <c r="H5116" s="6">
        <f>INT(Query1[[#This Row],[EntryDateTime]])</f>
        <v>44687</v>
      </c>
      <c r="I5116" s="1">
        <f>IF(Query1[[#This Row],[ItemType]]="EVAP KIT SF GEN IV",Query1[[#This Row],[OrderQty]]+I5115,I5115)</f>
        <v>6285</v>
      </c>
      <c r="J5116" s="1">
        <f>IF(Query1[[#This Row],[ItemType]]="EVAP KIT UNIVERSAL",Query1[[#This Row],[OrderQty]]+J5115,J5115)</f>
        <v>2153</v>
      </c>
      <c r="K5116" s="1">
        <f>Query1[[#This Row],[SF Running Total]]+Query1[[#This Row],[UNIV Running Total]]</f>
        <v>8438</v>
      </c>
      <c r="L5116">
        <f>VLOOKUP(Query1[[#This Row],[Description]],'kits to boards'!$B$2:$E$156,2,FALSE)</f>
        <v>830083</v>
      </c>
      <c r="M5116">
        <f>VLOOKUP(Query1[[#This Row],[Description]],'kits to boards'!$B$2:$E$156,3,FALSE)</f>
        <v>0</v>
      </c>
      <c r="N5116">
        <f>VLOOKUP(Query1[[#This Row],[Description]],'kits to boards'!$B$2:$E$156,4,FALSE)</f>
        <v>0</v>
      </c>
      <c r="O5116" t="str">
        <f>CONCATENATE(Query1[[#This Row],[Description]]," - ",Query1[[#This Row],[MB1]]," - ",Query1[[#This Row],[MB2]]," - ",Query1[[#This Row],[MB3]])</f>
        <v>GEN IV MAGNUM EVAP KIT - 830083 - 0 - 0</v>
      </c>
    </row>
    <row r="5117" spans="1:15" x14ac:dyDescent="0.25">
      <c r="A5117" s="1">
        <v>922917</v>
      </c>
      <c r="B5117" s="1" t="s">
        <v>60</v>
      </c>
      <c r="C5117" s="1" t="s">
        <v>61</v>
      </c>
      <c r="D5117" s="2">
        <v>44687.662485335648</v>
      </c>
      <c r="E5117" s="1" t="s">
        <v>8</v>
      </c>
      <c r="F5117" s="1">
        <v>1</v>
      </c>
      <c r="G5117" s="1">
        <v>0</v>
      </c>
      <c r="H5117" s="6">
        <f>INT(Query1[[#This Row],[EntryDateTime]])</f>
        <v>44687</v>
      </c>
      <c r="I5117" s="1">
        <f>IF(Query1[[#This Row],[ItemType]]="EVAP KIT SF GEN IV",Query1[[#This Row],[OrderQty]]+I5116,I5116)</f>
        <v>6286</v>
      </c>
      <c r="J5117" s="1">
        <f>IF(Query1[[#This Row],[ItemType]]="EVAP KIT UNIVERSAL",Query1[[#This Row],[OrderQty]]+J5116,J5116)</f>
        <v>2153</v>
      </c>
      <c r="K5117" s="1">
        <f>Query1[[#This Row],[SF Running Total]]+Query1[[#This Row],[UNIV Running Total]]</f>
        <v>8439</v>
      </c>
      <c r="L5117">
        <f>VLOOKUP(Query1[[#This Row],[Description]],'kits to boards'!$B$2:$E$156,2,FALSE)</f>
        <v>830062</v>
      </c>
      <c r="M5117">
        <f>VLOOKUP(Query1[[#This Row],[Description]],'kits to boards'!$B$2:$E$156,3,FALSE)</f>
        <v>0</v>
      </c>
      <c r="N5117">
        <f>VLOOKUP(Query1[[#This Row],[Description]],'kits to boards'!$B$2:$E$156,4,FALSE)</f>
        <v>0</v>
      </c>
      <c r="O5117" t="str">
        <f>CONCATENATE(Query1[[#This Row],[Description]]," - ",Query1[[#This Row],[MB1]]," - ",Query1[[#This Row],[MB2]]," - ",Query1[[#This Row],[MB3]])</f>
        <v>EVAP KIT 68-69 CHEVELLE WO AC - 830062 - 0 - 0</v>
      </c>
    </row>
    <row r="5118" spans="1:15" x14ac:dyDescent="0.25">
      <c r="A5118" s="1">
        <v>922920</v>
      </c>
      <c r="B5118" s="1" t="s">
        <v>154</v>
      </c>
      <c r="C5118" s="1" t="s">
        <v>155</v>
      </c>
      <c r="D5118" s="2">
        <v>44687.669659872685</v>
      </c>
      <c r="E5118" s="1" t="s">
        <v>8</v>
      </c>
      <c r="F5118" s="1">
        <v>1</v>
      </c>
      <c r="G5118" s="1">
        <v>0</v>
      </c>
      <c r="H5118" s="6">
        <f>INT(Query1[[#This Row],[EntryDateTime]])</f>
        <v>44687</v>
      </c>
      <c r="I5118" s="1">
        <f>IF(Query1[[#This Row],[ItemType]]="EVAP KIT SF GEN IV",Query1[[#This Row],[OrderQty]]+I5117,I5117)</f>
        <v>6287</v>
      </c>
      <c r="J5118" s="1">
        <f>IF(Query1[[#This Row],[ItemType]]="EVAP KIT UNIVERSAL",Query1[[#This Row],[OrderQty]]+J5117,J5117)</f>
        <v>2153</v>
      </c>
      <c r="K5118" s="1">
        <f>Query1[[#This Row],[SF Running Total]]+Query1[[#This Row],[UNIV Running Total]]</f>
        <v>8440</v>
      </c>
      <c r="L5118">
        <f>VLOOKUP(Query1[[#This Row],[Description]],'kits to boards'!$B$2:$E$156,2,FALSE)</f>
        <v>830124</v>
      </c>
      <c r="M5118">
        <f>VLOOKUP(Query1[[#This Row],[Description]],'kits to boards'!$B$2:$E$156,3,FALSE)</f>
        <v>0</v>
      </c>
      <c r="N5118">
        <f>VLOOKUP(Query1[[#This Row],[Description]],'kits to boards'!$B$2:$E$156,4,FALSE)</f>
        <v>0</v>
      </c>
      <c r="O5118" t="str">
        <f>CONCATENATE(Query1[[#This Row],[Description]]," - ",Query1[[#This Row],[MB1]]," - ",Query1[[#This Row],[MB2]]," - ",Query1[[#This Row],[MB3]])</f>
        <v>EVAP KIT 69 GTO W/AC - 830124 - 0 - 0</v>
      </c>
    </row>
    <row r="5119" spans="1:15" x14ac:dyDescent="0.25">
      <c r="A5119" s="1">
        <v>922738</v>
      </c>
      <c r="B5119" s="1" t="s">
        <v>214</v>
      </c>
      <c r="C5119" s="1" t="s">
        <v>215</v>
      </c>
      <c r="D5119" s="2">
        <v>44690.335342164355</v>
      </c>
      <c r="E5119" s="1" t="s">
        <v>8</v>
      </c>
      <c r="F5119" s="1">
        <v>2</v>
      </c>
      <c r="G5119" s="1">
        <v>0</v>
      </c>
      <c r="H5119" s="6">
        <f>INT(Query1[[#This Row],[EntryDateTime]])</f>
        <v>44690</v>
      </c>
      <c r="I5119" s="1">
        <f>IF(Query1[[#This Row],[ItemType]]="EVAP KIT SF GEN IV",Query1[[#This Row],[OrderQty]]+I5118,I5118)</f>
        <v>6289</v>
      </c>
      <c r="J5119" s="1">
        <f>IF(Query1[[#This Row],[ItemType]]="EVAP KIT UNIVERSAL",Query1[[#This Row],[OrderQty]]+J5118,J5118)</f>
        <v>2153</v>
      </c>
      <c r="K5119" s="1">
        <f>Query1[[#This Row],[SF Running Total]]+Query1[[#This Row],[UNIV Running Total]]</f>
        <v>8442</v>
      </c>
      <c r="L5119">
        <f>VLOOKUP(Query1[[#This Row],[Description]],'kits to boards'!$B$2:$E$156,2,FALSE)</f>
        <v>830072</v>
      </c>
      <c r="M5119">
        <f>VLOOKUP(Query1[[#This Row],[Description]],'kits to boards'!$B$2:$E$156,3,FALSE)</f>
        <v>0</v>
      </c>
      <c r="N5119">
        <f>VLOOKUP(Query1[[#This Row],[Description]],'kits to boards'!$B$2:$E$156,4,FALSE)</f>
        <v>0</v>
      </c>
      <c r="O5119" t="str">
        <f>CONCATENATE(Query1[[#This Row],[Description]]," - ",Query1[[#This Row],[MB1]]," - ",Query1[[#This Row],[MB2]]," - ",Query1[[#This Row],[MB3]])</f>
        <v>EVAP KIT 68 MOPAR B BODY WO AC - 830072 - 0 - 0</v>
      </c>
    </row>
    <row r="5120" spans="1:15" x14ac:dyDescent="0.25">
      <c r="A5120" s="1">
        <v>922738</v>
      </c>
      <c r="B5120" s="1" t="s">
        <v>160</v>
      </c>
      <c r="C5120" s="1" t="s">
        <v>161</v>
      </c>
      <c r="D5120" s="2">
        <v>44690.335342164355</v>
      </c>
      <c r="E5120" s="1" t="s">
        <v>8</v>
      </c>
      <c r="F5120" s="1">
        <v>1</v>
      </c>
      <c r="G5120" s="1">
        <v>0</v>
      </c>
      <c r="H5120" s="6">
        <f>INT(Query1[[#This Row],[EntryDateTime]])</f>
        <v>44690</v>
      </c>
      <c r="I5120" s="1">
        <f>IF(Query1[[#This Row],[ItemType]]="EVAP KIT SF GEN IV",Query1[[#This Row],[OrderQty]]+I5119,I5119)</f>
        <v>6290</v>
      </c>
      <c r="J5120" s="1">
        <f>IF(Query1[[#This Row],[ItemType]]="EVAP KIT UNIVERSAL",Query1[[#This Row],[OrderQty]]+J5119,J5119)</f>
        <v>2153</v>
      </c>
      <c r="K5120" s="1">
        <f>Query1[[#This Row],[SF Running Total]]+Query1[[#This Row],[UNIV Running Total]]</f>
        <v>8443</v>
      </c>
      <c r="L5120">
        <f>VLOOKUP(Query1[[#This Row],[Description]],'kits to boards'!$B$2:$E$156,2,FALSE)</f>
        <v>830083</v>
      </c>
      <c r="M5120">
        <f>VLOOKUP(Query1[[#This Row],[Description]],'kits to boards'!$B$2:$E$156,3,FALSE)</f>
        <v>0</v>
      </c>
      <c r="N5120">
        <f>VLOOKUP(Query1[[#This Row],[Description]],'kits to boards'!$B$2:$E$156,4,FALSE)</f>
        <v>0</v>
      </c>
      <c r="O5120" t="str">
        <f>CONCATENATE(Query1[[#This Row],[Description]]," - ",Query1[[#This Row],[MB1]]," - ",Query1[[#This Row],[MB2]]," - ",Query1[[#This Row],[MB3]])</f>
        <v>EVAP KIT 70-74 CHALNGR/CUDA WO AC - 830083 - 0 - 0</v>
      </c>
    </row>
    <row r="5121" spans="1:15" x14ac:dyDescent="0.25">
      <c r="A5121" s="1">
        <v>922934</v>
      </c>
      <c r="B5121" s="1" t="s">
        <v>22</v>
      </c>
      <c r="C5121" s="1" t="s">
        <v>23</v>
      </c>
      <c r="D5121" s="2">
        <v>44690.335718136572</v>
      </c>
      <c r="E5121" s="1" t="s">
        <v>8</v>
      </c>
      <c r="F5121" s="1">
        <v>11</v>
      </c>
      <c r="G5121" s="1">
        <v>0</v>
      </c>
      <c r="H5121" s="6">
        <f>INT(Query1[[#This Row],[EntryDateTime]])</f>
        <v>44690</v>
      </c>
      <c r="I5121" s="1">
        <f>IF(Query1[[#This Row],[ItemType]]="EVAP KIT SF GEN IV",Query1[[#This Row],[OrderQty]]+I5120,I5120)</f>
        <v>6301</v>
      </c>
      <c r="J5121" s="1">
        <f>IF(Query1[[#This Row],[ItemType]]="EVAP KIT UNIVERSAL",Query1[[#This Row],[OrderQty]]+J5120,J5120)</f>
        <v>2153</v>
      </c>
      <c r="K5121" s="1">
        <f>Query1[[#This Row],[SF Running Total]]+Query1[[#This Row],[UNIV Running Total]]</f>
        <v>8454</v>
      </c>
      <c r="L5121">
        <f>VLOOKUP(Query1[[#This Row],[Description]],'kits to boards'!$B$2:$E$156,2,FALSE)</f>
        <v>830083</v>
      </c>
      <c r="M5121">
        <f>VLOOKUP(Query1[[#This Row],[Description]],'kits to boards'!$B$2:$E$156,3,FALSE)</f>
        <v>0</v>
      </c>
      <c r="N5121">
        <f>VLOOKUP(Query1[[#This Row],[Description]],'kits to boards'!$B$2:$E$156,4,FALSE)</f>
        <v>0</v>
      </c>
      <c r="O5121" t="str">
        <f>CONCATENATE(Query1[[#This Row],[Description]]," - ",Query1[[#This Row],[MB1]]," - ",Query1[[#This Row],[MB2]]," - ",Query1[[#This Row],[MB3]])</f>
        <v>GEN IV MAGNUM EVAP KIT - 830083 - 0 - 0</v>
      </c>
    </row>
    <row r="5122" spans="1:15" x14ac:dyDescent="0.25">
      <c r="A5122" s="1">
        <v>922934</v>
      </c>
      <c r="B5122" s="1" t="s">
        <v>98</v>
      </c>
      <c r="C5122" s="1" t="s">
        <v>99</v>
      </c>
      <c r="D5122" s="2">
        <v>44690.335720138886</v>
      </c>
      <c r="E5122" s="1" t="s">
        <v>11</v>
      </c>
      <c r="F5122" s="1">
        <v>4</v>
      </c>
      <c r="G5122" s="1">
        <v>0</v>
      </c>
      <c r="H5122" s="6">
        <f>INT(Query1[[#This Row],[EntryDateTime]])</f>
        <v>44690</v>
      </c>
      <c r="I5122" s="1">
        <f>IF(Query1[[#This Row],[ItemType]]="EVAP KIT SF GEN IV",Query1[[#This Row],[OrderQty]]+I5121,I5121)</f>
        <v>6301</v>
      </c>
      <c r="J5122" s="1">
        <f>IF(Query1[[#This Row],[ItemType]]="EVAP KIT UNIVERSAL",Query1[[#This Row],[OrderQty]]+J5121,J5121)</f>
        <v>2157</v>
      </c>
      <c r="K5122" s="1">
        <f>Query1[[#This Row],[SF Running Total]]+Query1[[#This Row],[UNIV Running Total]]</f>
        <v>8458</v>
      </c>
      <c r="L5122">
        <f>VLOOKUP(Query1[[#This Row],[Description]],'kits to boards'!$B$2:$E$156,2,FALSE)</f>
        <v>830099</v>
      </c>
      <c r="M5122">
        <f>VLOOKUP(Query1[[#This Row],[Description]],'kits to boards'!$B$2:$E$156,3,FALSE)</f>
        <v>0</v>
      </c>
      <c r="N5122">
        <f>VLOOKUP(Query1[[#This Row],[Description]],'kits to boards'!$B$2:$E$156,4,FALSE)</f>
        <v>0</v>
      </c>
      <c r="O5122" t="str">
        <f>CONCATENATE(Query1[[#This Row],[Description]]," - ",Query1[[#This Row],[MB1]]," - ",Query1[[#This Row],[MB2]]," - ",Query1[[#This Row],[MB3]])</f>
        <v>MINI GEN II W/DEF - 830099 - 0 - 0</v>
      </c>
    </row>
    <row r="5123" spans="1:15" x14ac:dyDescent="0.25">
      <c r="A5123" s="1">
        <v>922934</v>
      </c>
      <c r="B5123" s="1" t="s">
        <v>296</v>
      </c>
      <c r="C5123" s="1" t="s">
        <v>297</v>
      </c>
      <c r="D5123" s="2">
        <v>44690.335721875002</v>
      </c>
      <c r="E5123" s="1" t="s">
        <v>11</v>
      </c>
      <c r="F5123" s="1">
        <v>1</v>
      </c>
      <c r="G5123" s="1">
        <v>0</v>
      </c>
      <c r="H5123" s="6">
        <f>INT(Query1[[#This Row],[EntryDateTime]])</f>
        <v>44690</v>
      </c>
      <c r="I5123" s="1">
        <f>IF(Query1[[#This Row],[ItemType]]="EVAP KIT SF GEN IV",Query1[[#This Row],[OrderQty]]+I5122,I5122)</f>
        <v>6301</v>
      </c>
      <c r="J5123" s="1">
        <f>IF(Query1[[#This Row],[ItemType]]="EVAP KIT UNIVERSAL",Query1[[#This Row],[OrderQty]]+J5122,J5122)</f>
        <v>2158</v>
      </c>
      <c r="K5123" s="1">
        <f>Query1[[#This Row],[SF Running Total]]+Query1[[#This Row],[UNIV Running Total]]</f>
        <v>8459</v>
      </c>
      <c r="L5123">
        <f>VLOOKUP(Query1[[#This Row],[Description]],'kits to boards'!$B$2:$E$156,2,FALSE)</f>
        <v>0</v>
      </c>
      <c r="M5123">
        <f>VLOOKUP(Query1[[#This Row],[Description]],'kits to boards'!$B$2:$E$156,3,FALSE)</f>
        <v>0</v>
      </c>
      <c r="N5123">
        <f>VLOOKUP(Query1[[#This Row],[Description]],'kits to boards'!$B$2:$E$156,4,FALSE)</f>
        <v>0</v>
      </c>
      <c r="O5123" t="str">
        <f>CONCATENATE(Query1[[#This Row],[Description]]," - ",Query1[[#This Row],[MB1]]," - ",Query1[[#This Row],[MB2]]," - ",Query1[[#This Row],[MB3]])</f>
        <v>HERITAGE TURNED EVAP KIT COOL ONLY - 0 - 0 - 0</v>
      </c>
    </row>
    <row r="5124" spans="1:15" x14ac:dyDescent="0.25">
      <c r="A5124" s="1">
        <v>922934</v>
      </c>
      <c r="B5124" s="1" t="s">
        <v>78</v>
      </c>
      <c r="C5124" s="1" t="s">
        <v>79</v>
      </c>
      <c r="D5124" s="2">
        <v>44690.335723645832</v>
      </c>
      <c r="E5124" s="1" t="s">
        <v>11</v>
      </c>
      <c r="F5124" s="1">
        <v>1</v>
      </c>
      <c r="G5124" s="1">
        <v>0</v>
      </c>
      <c r="H5124" s="6">
        <f>INT(Query1[[#This Row],[EntryDateTime]])</f>
        <v>44690</v>
      </c>
      <c r="I5124" s="1">
        <f>IF(Query1[[#This Row],[ItemType]]="EVAP KIT SF GEN IV",Query1[[#This Row],[OrderQty]]+I5123,I5123)</f>
        <v>6301</v>
      </c>
      <c r="J5124" s="1">
        <f>IF(Query1[[#This Row],[ItemType]]="EVAP KIT UNIVERSAL",Query1[[#This Row],[OrderQty]]+J5123,J5123)</f>
        <v>2159</v>
      </c>
      <c r="K5124" s="1">
        <f>Query1[[#This Row],[SF Running Total]]+Query1[[#This Row],[UNIV Running Total]]</f>
        <v>8460</v>
      </c>
      <c r="L5124">
        <f>VLOOKUP(Query1[[#This Row],[Description]],'kits to boards'!$B$2:$E$156,2,FALSE)</f>
        <v>0</v>
      </c>
      <c r="M5124">
        <f>VLOOKUP(Query1[[#This Row],[Description]],'kits to boards'!$B$2:$E$156,3,FALSE)</f>
        <v>0</v>
      </c>
      <c r="N5124">
        <f>VLOOKUP(Query1[[#This Row],[Description]],'kits to boards'!$B$2:$E$156,4,FALSE)</f>
        <v>0</v>
      </c>
      <c r="O5124" t="str">
        <f>CONCATENATE(Query1[[#This Row],[Description]]," - ",Query1[[#This Row],[MB1]]," - ",Query1[[#This Row],[MB2]]," - ",Query1[[#This Row],[MB3]])</f>
        <v>MARK IV STYLELINE UNDERDASH EVAP - 0 - 0 - 0</v>
      </c>
    </row>
    <row r="5125" spans="1:15" x14ac:dyDescent="0.25">
      <c r="A5125" s="1">
        <v>922934</v>
      </c>
      <c r="B5125" s="1" t="s">
        <v>24</v>
      </c>
      <c r="C5125" s="1" t="s">
        <v>25</v>
      </c>
      <c r="D5125" s="2">
        <v>44690.335725428238</v>
      </c>
      <c r="E5125" s="1" t="s">
        <v>11</v>
      </c>
      <c r="F5125" s="1">
        <v>12</v>
      </c>
      <c r="G5125" s="1">
        <v>0</v>
      </c>
      <c r="H5125" s="6">
        <f>INT(Query1[[#This Row],[EntryDateTime]])</f>
        <v>44690</v>
      </c>
      <c r="I5125" s="1">
        <f>IF(Query1[[#This Row],[ItemType]]="EVAP KIT SF GEN IV",Query1[[#This Row],[OrderQty]]+I5124,I5124)</f>
        <v>6301</v>
      </c>
      <c r="J5125" s="1">
        <f>IF(Query1[[#This Row],[ItemType]]="EVAP KIT UNIVERSAL",Query1[[#This Row],[OrderQty]]+J5124,J5124)</f>
        <v>2171</v>
      </c>
      <c r="K5125" s="1">
        <f>Query1[[#This Row],[SF Running Total]]+Query1[[#This Row],[UNIV Running Total]]</f>
        <v>8472</v>
      </c>
      <c r="L5125">
        <f>VLOOKUP(Query1[[#This Row],[Description]],'kits to boards'!$B$2:$E$156,2,FALSE)</f>
        <v>830029</v>
      </c>
      <c r="M5125">
        <f>VLOOKUP(Query1[[#This Row],[Description]],'kits to boards'!$B$2:$E$156,3,FALSE)</f>
        <v>830030</v>
      </c>
      <c r="N5125">
        <f>VLOOKUP(Query1[[#This Row],[Description]],'kits to boards'!$B$2:$E$156,4,FALSE)</f>
        <v>0</v>
      </c>
      <c r="O5125" t="str">
        <f>CONCATENATE(Query1[[#This Row],[Description]]," - ",Query1[[#This Row],[MB1]]," - ",Query1[[#This Row],[MB2]]," - ",Query1[[#This Row],[MB3]])</f>
        <v>ComPac GEN II W/DEF - 830029 - 830030 - 0</v>
      </c>
    </row>
    <row r="5126" spans="1:15" x14ac:dyDescent="0.25">
      <c r="A5126" s="1">
        <v>922934</v>
      </c>
      <c r="B5126" s="1" t="s">
        <v>14</v>
      </c>
      <c r="C5126" s="1" t="s">
        <v>15</v>
      </c>
      <c r="D5126" s="2">
        <v>44690.335727199075</v>
      </c>
      <c r="E5126" s="1" t="s">
        <v>8</v>
      </c>
      <c r="F5126" s="1">
        <v>9</v>
      </c>
      <c r="G5126" s="1">
        <v>0</v>
      </c>
      <c r="H5126" s="6">
        <f>INT(Query1[[#This Row],[EntryDateTime]])</f>
        <v>44690</v>
      </c>
      <c r="I5126" s="1">
        <f>IF(Query1[[#This Row],[ItemType]]="EVAP KIT SF GEN IV",Query1[[#This Row],[OrderQty]]+I5125,I5125)</f>
        <v>6310</v>
      </c>
      <c r="J5126" s="1">
        <f>IF(Query1[[#This Row],[ItemType]]="EVAP KIT UNIVERSAL",Query1[[#This Row],[OrderQty]]+J5125,J5125)</f>
        <v>2171</v>
      </c>
      <c r="K5126" s="1">
        <f>Query1[[#This Row],[SF Running Total]]+Query1[[#This Row],[UNIV Running Total]]</f>
        <v>8481</v>
      </c>
      <c r="L5126">
        <f>VLOOKUP(Query1[[#This Row],[Description]],'kits to boards'!$B$2:$E$156,2,FALSE)</f>
        <v>830054</v>
      </c>
      <c r="M5126">
        <f>VLOOKUP(Query1[[#This Row],[Description]],'kits to boards'!$B$2:$E$156,3,FALSE)</f>
        <v>0</v>
      </c>
      <c r="N5126">
        <f>VLOOKUP(Query1[[#This Row],[Description]],'kits to boards'!$B$2:$E$156,4,FALSE)</f>
        <v>0</v>
      </c>
      <c r="O5126" t="str">
        <f>CONCATENATE(Query1[[#This Row],[Description]]," - ",Query1[[#This Row],[MB1]]," - ",Query1[[#This Row],[MB2]]," - ",Query1[[#This Row],[MB3]])</f>
        <v>EVAP KIT 55-56 CHEVY - 830054 - 0 - 0</v>
      </c>
    </row>
    <row r="5127" spans="1:15" x14ac:dyDescent="0.25">
      <c r="A5127" s="1">
        <v>922934</v>
      </c>
      <c r="B5127" s="1" t="s">
        <v>30</v>
      </c>
      <c r="C5127" s="1" t="s">
        <v>31</v>
      </c>
      <c r="D5127" s="2">
        <v>44690.335728935184</v>
      </c>
      <c r="E5127" s="1" t="s">
        <v>8</v>
      </c>
      <c r="F5127" s="1">
        <v>8</v>
      </c>
      <c r="G5127" s="1">
        <v>0</v>
      </c>
      <c r="H5127" s="6">
        <f>INT(Query1[[#This Row],[EntryDateTime]])</f>
        <v>44690</v>
      </c>
      <c r="I5127" s="1">
        <f>IF(Query1[[#This Row],[ItemType]]="EVAP KIT SF GEN IV",Query1[[#This Row],[OrderQty]]+I5126,I5126)</f>
        <v>6318</v>
      </c>
      <c r="J5127" s="1">
        <f>IF(Query1[[#This Row],[ItemType]]="EVAP KIT UNIVERSAL",Query1[[#This Row],[OrderQty]]+J5126,J5126)</f>
        <v>2171</v>
      </c>
      <c r="K5127" s="1">
        <f>Query1[[#This Row],[SF Running Total]]+Query1[[#This Row],[UNIV Running Total]]</f>
        <v>8489</v>
      </c>
      <c r="L5127">
        <f>VLOOKUP(Query1[[#This Row],[Description]],'kits to boards'!$B$2:$E$156,2,FALSE)</f>
        <v>830054</v>
      </c>
      <c r="M5127">
        <f>VLOOKUP(Query1[[#This Row],[Description]],'kits to boards'!$B$2:$E$156,3,FALSE)</f>
        <v>0</v>
      </c>
      <c r="N5127">
        <f>VLOOKUP(Query1[[#This Row],[Description]],'kits to boards'!$B$2:$E$156,4,FALSE)</f>
        <v>0</v>
      </c>
      <c r="O5127" t="str">
        <f>CONCATENATE(Query1[[#This Row],[Description]]," - ",Query1[[#This Row],[MB1]]," - ",Query1[[#This Row],[MB2]]," - ",Query1[[#This Row],[MB3]])</f>
        <v>EVAP KIT 55-56 CHEVY 4-VENT - 830054 - 0 - 0</v>
      </c>
    </row>
    <row r="5128" spans="1:15" x14ac:dyDescent="0.25">
      <c r="A5128" s="1">
        <v>922934</v>
      </c>
      <c r="B5128" s="1" t="s">
        <v>34</v>
      </c>
      <c r="C5128" s="1" t="s">
        <v>35</v>
      </c>
      <c r="D5128" s="2">
        <v>44690.335730752318</v>
      </c>
      <c r="E5128" s="1" t="s">
        <v>8</v>
      </c>
      <c r="F5128" s="1">
        <v>2</v>
      </c>
      <c r="G5128" s="1">
        <v>0</v>
      </c>
      <c r="H5128" s="6">
        <f>INT(Query1[[#This Row],[EntryDateTime]])</f>
        <v>44690</v>
      </c>
      <c r="I5128" s="1">
        <f>IF(Query1[[#This Row],[ItemType]]="EVAP KIT SF GEN IV",Query1[[#This Row],[OrderQty]]+I5127,I5127)</f>
        <v>6320</v>
      </c>
      <c r="J5128" s="1">
        <f>IF(Query1[[#This Row],[ItemType]]="EVAP KIT UNIVERSAL",Query1[[#This Row],[OrderQty]]+J5127,J5127)</f>
        <v>2171</v>
      </c>
      <c r="K5128" s="1">
        <f>Query1[[#This Row],[SF Running Total]]+Query1[[#This Row],[UNIV Running Total]]</f>
        <v>8491</v>
      </c>
      <c r="L5128">
        <f>VLOOKUP(Query1[[#This Row],[Description]],'kits to boards'!$B$2:$E$156,2,FALSE)</f>
        <v>830065</v>
      </c>
      <c r="M5128">
        <f>VLOOKUP(Query1[[#This Row],[Description]],'kits to boards'!$B$2:$E$156,3,FALSE)</f>
        <v>0</v>
      </c>
      <c r="N5128">
        <f>VLOOKUP(Query1[[#This Row],[Description]],'kits to boards'!$B$2:$E$156,4,FALSE)</f>
        <v>0</v>
      </c>
      <c r="O5128" t="str">
        <f>CONCATENATE(Query1[[#This Row],[Description]]," - ",Query1[[#This Row],[MB1]]," - ",Query1[[#This Row],[MB2]]," - ",Query1[[#This Row],[MB3]])</f>
        <v>EVAP KIT 57 CHEV WO AC - 830065 - 0 - 0</v>
      </c>
    </row>
    <row r="5129" spans="1:15" x14ac:dyDescent="0.25">
      <c r="A5129" s="1">
        <v>922934</v>
      </c>
      <c r="B5129" s="1" t="s">
        <v>52</v>
      </c>
      <c r="C5129" s="1" t="s">
        <v>53</v>
      </c>
      <c r="D5129" s="2">
        <v>44690.33573244213</v>
      </c>
      <c r="E5129" s="1" t="s">
        <v>8</v>
      </c>
      <c r="F5129" s="1">
        <v>4</v>
      </c>
      <c r="G5129" s="1">
        <v>0</v>
      </c>
      <c r="H5129" s="6">
        <f>INT(Query1[[#This Row],[EntryDateTime]])</f>
        <v>44690</v>
      </c>
      <c r="I5129" s="1">
        <f>IF(Query1[[#This Row],[ItemType]]="EVAP KIT SF GEN IV",Query1[[#This Row],[OrderQty]]+I5128,I5128)</f>
        <v>6324</v>
      </c>
      <c r="J5129" s="1">
        <f>IF(Query1[[#This Row],[ItemType]]="EVAP KIT UNIVERSAL",Query1[[#This Row],[OrderQty]]+J5128,J5128)</f>
        <v>2171</v>
      </c>
      <c r="K5129" s="1">
        <f>Query1[[#This Row],[SF Running Total]]+Query1[[#This Row],[UNIV Running Total]]</f>
        <v>8495</v>
      </c>
      <c r="L5129">
        <f>VLOOKUP(Query1[[#This Row],[Description]],'kits to boards'!$B$2:$E$156,2,FALSE)</f>
        <v>830017</v>
      </c>
      <c r="M5129">
        <f>VLOOKUP(Query1[[#This Row],[Description]],'kits to boards'!$B$2:$E$156,3,FALSE)</f>
        <v>830119</v>
      </c>
      <c r="N5129">
        <f>VLOOKUP(Query1[[#This Row],[Description]],'kits to boards'!$B$2:$E$156,4,FALSE)</f>
        <v>830120</v>
      </c>
      <c r="O5129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5130" spans="1:15" x14ac:dyDescent="0.25">
      <c r="A5130" s="1">
        <v>922934</v>
      </c>
      <c r="B5130" s="1" t="s">
        <v>32</v>
      </c>
      <c r="C5130" s="1" t="s">
        <v>33</v>
      </c>
      <c r="D5130" s="2">
        <v>44690.335734178239</v>
      </c>
      <c r="E5130" s="1" t="s">
        <v>8</v>
      </c>
      <c r="F5130" s="1">
        <v>4</v>
      </c>
      <c r="G5130" s="1">
        <v>0</v>
      </c>
      <c r="H5130" s="6">
        <f>INT(Query1[[#This Row],[EntryDateTime]])</f>
        <v>44690</v>
      </c>
      <c r="I5130" s="1">
        <f>IF(Query1[[#This Row],[ItemType]]="EVAP KIT SF GEN IV",Query1[[#This Row],[OrderQty]]+I5129,I5129)</f>
        <v>6328</v>
      </c>
      <c r="J5130" s="1">
        <f>IF(Query1[[#This Row],[ItemType]]="EVAP KIT UNIVERSAL",Query1[[#This Row],[OrderQty]]+J5129,J5129)</f>
        <v>2171</v>
      </c>
      <c r="K5130" s="1">
        <f>Query1[[#This Row],[SF Running Total]]+Query1[[#This Row],[UNIV Running Total]]</f>
        <v>8499</v>
      </c>
      <c r="L5130">
        <f>VLOOKUP(Query1[[#This Row],[Description]],'kits to boards'!$B$2:$E$156,2,FALSE)</f>
        <v>830016</v>
      </c>
      <c r="M5130">
        <f>VLOOKUP(Query1[[#This Row],[Description]],'kits to boards'!$B$2:$E$156,3,FALSE)</f>
        <v>0</v>
      </c>
      <c r="N5130">
        <f>VLOOKUP(Query1[[#This Row],[Description]],'kits to boards'!$B$2:$E$156,4,FALSE)</f>
        <v>0</v>
      </c>
      <c r="O5130" t="str">
        <f>CONCATENATE(Query1[[#This Row],[Description]]," - ",Query1[[#This Row],[MB1]]," - ",Query1[[#This Row],[MB2]]," - ",Query1[[#This Row],[MB3]])</f>
        <v>EVAP KIT 67-68 CAMARO/FIREBIRD W/AC - 830016 - 0 - 0</v>
      </c>
    </row>
    <row r="5131" spans="1:15" x14ac:dyDescent="0.25">
      <c r="A5131" s="1">
        <v>922934</v>
      </c>
      <c r="B5131" s="1" t="s">
        <v>102</v>
      </c>
      <c r="C5131" s="1" t="s">
        <v>103</v>
      </c>
      <c r="D5131" s="2">
        <v>44690.335735879627</v>
      </c>
      <c r="E5131" s="1" t="s">
        <v>8</v>
      </c>
      <c r="F5131" s="1">
        <v>6</v>
      </c>
      <c r="G5131" s="1">
        <v>0</v>
      </c>
      <c r="H5131" s="6">
        <f>INT(Query1[[#This Row],[EntryDateTime]])</f>
        <v>44690</v>
      </c>
      <c r="I5131" s="1">
        <f>IF(Query1[[#This Row],[ItemType]]="EVAP KIT SF GEN IV",Query1[[#This Row],[OrderQty]]+I5130,I5130)</f>
        <v>6334</v>
      </c>
      <c r="J5131" s="1">
        <f>IF(Query1[[#This Row],[ItemType]]="EVAP KIT UNIVERSAL",Query1[[#This Row],[OrderQty]]+J5130,J5130)</f>
        <v>2171</v>
      </c>
      <c r="K5131" s="1">
        <f>Query1[[#This Row],[SF Running Total]]+Query1[[#This Row],[UNIV Running Total]]</f>
        <v>8505</v>
      </c>
      <c r="L5131">
        <f>VLOOKUP(Query1[[#This Row],[Description]],'kits to boards'!$B$2:$E$156,2,FALSE)</f>
        <v>830012</v>
      </c>
      <c r="M5131">
        <f>VLOOKUP(Query1[[#This Row],[Description]],'kits to boards'!$B$2:$E$156,3,FALSE)</f>
        <v>0</v>
      </c>
      <c r="N5131">
        <f>VLOOKUP(Query1[[#This Row],[Description]],'kits to boards'!$B$2:$E$156,4,FALSE)</f>
        <v>0</v>
      </c>
      <c r="O5131" t="str">
        <f>CONCATENATE(Query1[[#This Row],[Description]]," - ",Query1[[#This Row],[MB1]]," - ",Query1[[#This Row],[MB2]]," - ",Query1[[#This Row],[MB3]])</f>
        <v>EVAP KIT 69 CAMARO WO/AC - 830012 - 0 - 0</v>
      </c>
    </row>
    <row r="5132" spans="1:15" x14ac:dyDescent="0.25">
      <c r="A5132" s="1">
        <v>922934</v>
      </c>
      <c r="B5132" s="1" t="s">
        <v>18</v>
      </c>
      <c r="C5132" s="1" t="s">
        <v>19</v>
      </c>
      <c r="D5132" s="2">
        <v>44690.335737615744</v>
      </c>
      <c r="E5132" s="1" t="s">
        <v>8</v>
      </c>
      <c r="F5132" s="1">
        <v>2</v>
      </c>
      <c r="G5132" s="1">
        <v>0</v>
      </c>
      <c r="H5132" s="6">
        <f>INT(Query1[[#This Row],[EntryDateTime]])</f>
        <v>44690</v>
      </c>
      <c r="I5132" s="1">
        <f>IF(Query1[[#This Row],[ItemType]]="EVAP KIT SF GEN IV",Query1[[#This Row],[OrderQty]]+I5131,I5131)</f>
        <v>6336</v>
      </c>
      <c r="J5132" s="1">
        <f>IF(Query1[[#This Row],[ItemType]]="EVAP KIT UNIVERSAL",Query1[[#This Row],[OrderQty]]+J5131,J5131)</f>
        <v>2171</v>
      </c>
      <c r="K5132" s="1">
        <f>Query1[[#This Row],[SF Running Total]]+Query1[[#This Row],[UNIV Running Total]]</f>
        <v>8507</v>
      </c>
      <c r="L5132">
        <f>VLOOKUP(Query1[[#This Row],[Description]],'kits to boards'!$B$2:$E$156,2,FALSE)</f>
        <v>830051</v>
      </c>
      <c r="M5132">
        <f>VLOOKUP(Query1[[#This Row],[Description]],'kits to boards'!$B$2:$E$156,3,FALSE)</f>
        <v>0</v>
      </c>
      <c r="N5132">
        <f>VLOOKUP(Query1[[#This Row],[Description]],'kits to boards'!$B$2:$E$156,4,FALSE)</f>
        <v>0</v>
      </c>
      <c r="O5132" t="str">
        <f>CONCATENATE(Query1[[#This Row],[Description]]," - ",Query1[[#This Row],[MB1]]," - ",Query1[[#This Row],[MB2]]," - ",Query1[[#This Row],[MB3]])</f>
        <v>EVAP KIT 70-78 CAMARO W/AC - 830051 - 0 - 0</v>
      </c>
    </row>
    <row r="5133" spans="1:15" x14ac:dyDescent="0.25">
      <c r="A5133" s="1">
        <v>922934</v>
      </c>
      <c r="B5133" s="1" t="s">
        <v>40</v>
      </c>
      <c r="C5133" s="1" t="s">
        <v>41</v>
      </c>
      <c r="D5133" s="2">
        <v>44690.335739351853</v>
      </c>
      <c r="E5133" s="1" t="s">
        <v>8</v>
      </c>
      <c r="F5133" s="1">
        <v>3</v>
      </c>
      <c r="G5133" s="1">
        <v>0</v>
      </c>
      <c r="H5133" s="6">
        <f>INT(Query1[[#This Row],[EntryDateTime]])</f>
        <v>44690</v>
      </c>
      <c r="I5133" s="1">
        <f>IF(Query1[[#This Row],[ItemType]]="EVAP KIT SF GEN IV",Query1[[#This Row],[OrderQty]]+I5132,I5132)</f>
        <v>6339</v>
      </c>
      <c r="J5133" s="1">
        <f>IF(Query1[[#This Row],[ItemType]]="EVAP KIT UNIVERSAL",Query1[[#This Row],[OrderQty]]+J5132,J5132)</f>
        <v>2171</v>
      </c>
      <c r="K5133" s="1">
        <f>Query1[[#This Row],[SF Running Total]]+Query1[[#This Row],[UNIV Running Total]]</f>
        <v>8510</v>
      </c>
      <c r="L5133">
        <f>VLOOKUP(Query1[[#This Row],[Description]],'kits to boards'!$B$2:$E$156,2,FALSE)</f>
        <v>830024</v>
      </c>
      <c r="M5133">
        <f>VLOOKUP(Query1[[#This Row],[Description]],'kits to boards'!$B$2:$E$156,3,FALSE)</f>
        <v>0</v>
      </c>
      <c r="N5133">
        <f>VLOOKUP(Query1[[#This Row],[Description]],'kits to boards'!$B$2:$E$156,4,FALSE)</f>
        <v>0</v>
      </c>
      <c r="O5133" t="str">
        <f>CONCATENATE(Query1[[#This Row],[Description]]," - ",Query1[[#This Row],[MB1]]," - ",Query1[[#This Row],[MB2]]," - ",Query1[[#This Row],[MB3]])</f>
        <v>EVAP KIT 79-81 CAMARO W/AC - 830024 - 0 - 0</v>
      </c>
    </row>
    <row r="5134" spans="1:15" x14ac:dyDescent="0.25">
      <c r="A5134" s="1">
        <v>922934</v>
      </c>
      <c r="B5134" s="1" t="s">
        <v>86</v>
      </c>
      <c r="C5134" s="1" t="s">
        <v>87</v>
      </c>
      <c r="D5134" s="2">
        <v>44690.335741087962</v>
      </c>
      <c r="E5134" s="1" t="s">
        <v>8</v>
      </c>
      <c r="F5134" s="1">
        <v>5</v>
      </c>
      <c r="G5134" s="1">
        <v>0</v>
      </c>
      <c r="H5134" s="6">
        <f>INT(Query1[[#This Row],[EntryDateTime]])</f>
        <v>44690</v>
      </c>
      <c r="I5134" s="1">
        <f>IF(Query1[[#This Row],[ItemType]]="EVAP KIT SF GEN IV",Query1[[#This Row],[OrderQty]]+I5133,I5133)</f>
        <v>6344</v>
      </c>
      <c r="J5134" s="1">
        <f>IF(Query1[[#This Row],[ItemType]]="EVAP KIT UNIVERSAL",Query1[[#This Row],[OrderQty]]+J5133,J5133)</f>
        <v>2171</v>
      </c>
      <c r="K5134" s="1">
        <f>Query1[[#This Row],[SF Running Total]]+Query1[[#This Row],[UNIV Running Total]]</f>
        <v>8515</v>
      </c>
      <c r="L5134">
        <f>VLOOKUP(Query1[[#This Row],[Description]],'kits to boards'!$B$2:$E$156,2,FALSE)</f>
        <v>830048</v>
      </c>
      <c r="M5134">
        <f>VLOOKUP(Query1[[#This Row],[Description]],'kits to boards'!$B$2:$E$156,3,FALSE)</f>
        <v>0</v>
      </c>
      <c r="N5134">
        <f>VLOOKUP(Query1[[#This Row],[Description]],'kits to boards'!$B$2:$E$156,4,FALSE)</f>
        <v>0</v>
      </c>
      <c r="O5134" t="str">
        <f>CONCATENATE(Query1[[#This Row],[Description]]," - ",Query1[[#This Row],[MB1]]," - ",Query1[[#This Row],[MB2]]," - ",Query1[[#This Row],[MB3]])</f>
        <v>EVAP KIT 66-67 NOVA - 830048 - 0 - 0</v>
      </c>
    </row>
    <row r="5135" spans="1:15" x14ac:dyDescent="0.25">
      <c r="A5135" s="1">
        <v>922934</v>
      </c>
      <c r="B5135" s="1" t="s">
        <v>132</v>
      </c>
      <c r="C5135" s="1" t="s">
        <v>133</v>
      </c>
      <c r="D5135" s="2">
        <v>44690.33574278935</v>
      </c>
      <c r="E5135" s="1" t="s">
        <v>8</v>
      </c>
      <c r="F5135" s="1">
        <v>3</v>
      </c>
      <c r="G5135" s="1">
        <v>0</v>
      </c>
      <c r="H5135" s="6">
        <f>INT(Query1[[#This Row],[EntryDateTime]])</f>
        <v>44690</v>
      </c>
      <c r="I5135" s="1">
        <f>IF(Query1[[#This Row],[ItemType]]="EVAP KIT SF GEN IV",Query1[[#This Row],[OrderQty]]+I5134,I5134)</f>
        <v>6347</v>
      </c>
      <c r="J5135" s="1">
        <f>IF(Query1[[#This Row],[ItemType]]="EVAP KIT UNIVERSAL",Query1[[#This Row],[OrderQty]]+J5134,J5134)</f>
        <v>2171</v>
      </c>
      <c r="K5135" s="1">
        <f>Query1[[#This Row],[SF Running Total]]+Query1[[#This Row],[UNIV Running Total]]</f>
        <v>8518</v>
      </c>
      <c r="L5135">
        <f>VLOOKUP(Query1[[#This Row],[Description]],'kits to boards'!$B$2:$E$156,2,FALSE)</f>
        <v>830005</v>
      </c>
      <c r="M5135">
        <f>VLOOKUP(Query1[[#This Row],[Description]],'kits to boards'!$B$2:$E$156,3,FALSE)</f>
        <v>0</v>
      </c>
      <c r="N5135">
        <f>VLOOKUP(Query1[[#This Row],[Description]],'kits to boards'!$B$2:$E$156,4,FALSE)</f>
        <v>0</v>
      </c>
      <c r="O5135" t="str">
        <f>CONCATENATE(Query1[[#This Row],[Description]]," - ",Query1[[#This Row],[MB1]]," - ",Query1[[#This Row],[MB2]]," - ",Query1[[#This Row],[MB3]])</f>
        <v>EVAP KIT 61-62 IMPALA WO AC - 830005 - 0 - 0</v>
      </c>
    </row>
    <row r="5136" spans="1:15" x14ac:dyDescent="0.25">
      <c r="A5136" s="1">
        <v>922934</v>
      </c>
      <c r="B5136" s="1" t="s">
        <v>178</v>
      </c>
      <c r="C5136" s="1" t="s">
        <v>179</v>
      </c>
      <c r="D5136" s="2">
        <v>44690.335744479169</v>
      </c>
      <c r="E5136" s="1" t="s">
        <v>8</v>
      </c>
      <c r="F5136" s="1">
        <v>1</v>
      </c>
      <c r="G5136" s="1">
        <v>0</v>
      </c>
      <c r="H5136" s="6">
        <f>INT(Query1[[#This Row],[EntryDateTime]])</f>
        <v>44690</v>
      </c>
      <c r="I5136" s="1">
        <f>IF(Query1[[#This Row],[ItemType]]="EVAP KIT SF GEN IV",Query1[[#This Row],[OrderQty]]+I5135,I5135)</f>
        <v>6348</v>
      </c>
      <c r="J5136" s="1">
        <f>IF(Query1[[#This Row],[ItemType]]="EVAP KIT UNIVERSAL",Query1[[#This Row],[OrderQty]]+J5135,J5135)</f>
        <v>2171</v>
      </c>
      <c r="K5136" s="1">
        <f>Query1[[#This Row],[SF Running Total]]+Query1[[#This Row],[UNIV Running Total]]</f>
        <v>8519</v>
      </c>
      <c r="L5136">
        <f>VLOOKUP(Query1[[#This Row],[Description]],'kits to boards'!$B$2:$E$156,2,FALSE)</f>
        <v>830009</v>
      </c>
      <c r="M5136">
        <f>VLOOKUP(Query1[[#This Row],[Description]],'kits to boards'!$B$2:$E$156,3,FALSE)</f>
        <v>0</v>
      </c>
      <c r="N5136">
        <f>VLOOKUP(Query1[[#This Row],[Description]],'kits to boards'!$B$2:$E$156,4,FALSE)</f>
        <v>0</v>
      </c>
      <c r="O5136" t="str">
        <f>CONCATENATE(Query1[[#This Row],[Description]]," - ",Query1[[#This Row],[MB1]]," - ",Query1[[#This Row],[MB2]]," - ",Query1[[#This Row],[MB3]])</f>
        <v>EVAP KIT 63 IMPALA W/AC - 830009 - 0 - 0</v>
      </c>
    </row>
    <row r="5137" spans="1:15" x14ac:dyDescent="0.25">
      <c r="A5137" s="1">
        <v>922934</v>
      </c>
      <c r="B5137" s="1" t="s">
        <v>134</v>
      </c>
      <c r="C5137" s="1" t="s">
        <v>135</v>
      </c>
      <c r="D5137" s="2">
        <v>44690.335746215278</v>
      </c>
      <c r="E5137" s="1" t="s">
        <v>8</v>
      </c>
      <c r="F5137" s="1">
        <v>1</v>
      </c>
      <c r="G5137" s="1">
        <v>0</v>
      </c>
      <c r="H5137" s="6">
        <f>INT(Query1[[#This Row],[EntryDateTime]])</f>
        <v>44690</v>
      </c>
      <c r="I5137" s="1">
        <f>IF(Query1[[#This Row],[ItemType]]="EVAP KIT SF GEN IV",Query1[[#This Row],[OrderQty]]+I5136,I5136)</f>
        <v>6349</v>
      </c>
      <c r="J5137" s="1">
        <f>IF(Query1[[#This Row],[ItemType]]="EVAP KIT UNIVERSAL",Query1[[#This Row],[OrderQty]]+J5136,J5136)</f>
        <v>2171</v>
      </c>
      <c r="K5137" s="1">
        <f>Query1[[#This Row],[SF Running Total]]+Query1[[#This Row],[UNIV Running Total]]</f>
        <v>8520</v>
      </c>
      <c r="L5137">
        <f>VLOOKUP(Query1[[#This Row],[Description]],'kits to boards'!$B$2:$E$156,2,FALSE)</f>
        <v>830007</v>
      </c>
      <c r="M5137">
        <f>VLOOKUP(Query1[[#This Row],[Description]],'kits to boards'!$B$2:$E$156,3,FALSE)</f>
        <v>0</v>
      </c>
      <c r="N5137">
        <f>VLOOKUP(Query1[[#This Row],[Description]],'kits to boards'!$B$2:$E$156,4,FALSE)</f>
        <v>0</v>
      </c>
      <c r="O5137" t="str">
        <f>CONCATENATE(Query1[[#This Row],[Description]]," - ",Query1[[#This Row],[MB1]]," - ",Query1[[#This Row],[MB2]]," - ",Query1[[#This Row],[MB3]])</f>
        <v>EVAP KIT 64 IMPALA WO AC - 830007 - 0 - 0</v>
      </c>
    </row>
    <row r="5138" spans="1:15" x14ac:dyDescent="0.25">
      <c r="A5138" s="1">
        <v>922934</v>
      </c>
      <c r="B5138" s="1" t="s">
        <v>174</v>
      </c>
      <c r="C5138" s="1" t="s">
        <v>175</v>
      </c>
      <c r="D5138" s="2">
        <v>44690.335747916666</v>
      </c>
      <c r="E5138" s="1" t="s">
        <v>8</v>
      </c>
      <c r="F5138" s="1">
        <v>1</v>
      </c>
      <c r="G5138" s="1">
        <v>0</v>
      </c>
      <c r="H5138" s="6">
        <f>INT(Query1[[#This Row],[EntryDateTime]])</f>
        <v>44690</v>
      </c>
      <c r="I5138" s="1">
        <f>IF(Query1[[#This Row],[ItemType]]="EVAP KIT SF GEN IV",Query1[[#This Row],[OrderQty]]+I5137,I5137)</f>
        <v>6350</v>
      </c>
      <c r="J5138" s="1">
        <f>IF(Query1[[#This Row],[ItemType]]="EVAP KIT UNIVERSAL",Query1[[#This Row],[OrderQty]]+J5137,J5137)</f>
        <v>2171</v>
      </c>
      <c r="K5138" s="1">
        <f>Query1[[#This Row],[SF Running Total]]+Query1[[#This Row],[UNIV Running Total]]</f>
        <v>8521</v>
      </c>
      <c r="L5138">
        <f>VLOOKUP(Query1[[#This Row],[Description]],'kits to boards'!$B$2:$E$156,2,FALSE)</f>
        <v>830007</v>
      </c>
      <c r="M5138">
        <f>VLOOKUP(Query1[[#This Row],[Description]],'kits to boards'!$B$2:$E$156,3,FALSE)</f>
        <v>0</v>
      </c>
      <c r="N5138">
        <f>VLOOKUP(Query1[[#This Row],[Description]],'kits to boards'!$B$2:$E$156,4,FALSE)</f>
        <v>0</v>
      </c>
      <c r="O5138" t="str">
        <f>CONCATENATE(Query1[[#This Row],[Description]]," - ",Query1[[#This Row],[MB1]]," - ",Query1[[#This Row],[MB2]]," - ",Query1[[#This Row],[MB3]])</f>
        <v>EVAP KIT 64 IMPALA W/AC - 830007 - 0 - 0</v>
      </c>
    </row>
    <row r="5139" spans="1:15" x14ac:dyDescent="0.25">
      <c r="A5139" s="1">
        <v>922934</v>
      </c>
      <c r="B5139" s="1" t="s">
        <v>240</v>
      </c>
      <c r="C5139" s="1" t="s">
        <v>241</v>
      </c>
      <c r="D5139" s="2">
        <v>44690.335749652775</v>
      </c>
      <c r="E5139" s="1" t="s">
        <v>8</v>
      </c>
      <c r="F5139" s="1">
        <v>1</v>
      </c>
      <c r="G5139" s="1">
        <v>0</v>
      </c>
      <c r="H5139" s="6">
        <f>INT(Query1[[#This Row],[EntryDateTime]])</f>
        <v>44690</v>
      </c>
      <c r="I5139" s="1">
        <f>IF(Query1[[#This Row],[ItemType]]="EVAP KIT SF GEN IV",Query1[[#This Row],[OrderQty]]+I5138,I5138)</f>
        <v>6351</v>
      </c>
      <c r="J5139" s="1">
        <f>IF(Query1[[#This Row],[ItemType]]="EVAP KIT UNIVERSAL",Query1[[#This Row],[OrderQty]]+J5138,J5138)</f>
        <v>2171</v>
      </c>
      <c r="K5139" s="1">
        <f>Query1[[#This Row],[SF Running Total]]+Query1[[#This Row],[UNIV Running Total]]</f>
        <v>8522</v>
      </c>
      <c r="L5139">
        <f>VLOOKUP(Query1[[#This Row],[Description]],'kits to boards'!$B$2:$E$156,2,FALSE)</f>
        <v>830032</v>
      </c>
      <c r="M5139">
        <f>VLOOKUP(Query1[[#This Row],[Description]],'kits to boards'!$B$2:$E$156,3,FALSE)</f>
        <v>0</v>
      </c>
      <c r="N5139">
        <f>VLOOKUP(Query1[[#This Row],[Description]],'kits to boards'!$B$2:$E$156,4,FALSE)</f>
        <v>0</v>
      </c>
      <c r="O5139" t="str">
        <f>CONCATENATE(Query1[[#This Row],[Description]]," - ",Query1[[#This Row],[MB1]]," - ",Query1[[#This Row],[MB2]]," - ",Query1[[#This Row],[MB3]])</f>
        <v>EVAP KIT 58-60 VETTE - 830032 - 0 - 0</v>
      </c>
    </row>
    <row r="5140" spans="1:15" x14ac:dyDescent="0.25">
      <c r="A5140" s="1">
        <v>922934</v>
      </c>
      <c r="B5140" s="1" t="s">
        <v>128</v>
      </c>
      <c r="C5140" s="1" t="s">
        <v>129</v>
      </c>
      <c r="D5140" s="2">
        <v>44690.335751388891</v>
      </c>
      <c r="E5140" s="1" t="s">
        <v>8</v>
      </c>
      <c r="F5140" s="1">
        <v>3</v>
      </c>
      <c r="G5140" s="1">
        <v>0</v>
      </c>
      <c r="H5140" s="6">
        <f>INT(Query1[[#This Row],[EntryDateTime]])</f>
        <v>44690</v>
      </c>
      <c r="I5140" s="1">
        <f>IF(Query1[[#This Row],[ItemType]]="EVAP KIT SF GEN IV",Query1[[#This Row],[OrderQty]]+I5139,I5139)</f>
        <v>6354</v>
      </c>
      <c r="J5140" s="1">
        <f>IF(Query1[[#This Row],[ItemType]]="EVAP KIT UNIVERSAL",Query1[[#This Row],[OrderQty]]+J5139,J5139)</f>
        <v>2171</v>
      </c>
      <c r="K5140" s="1">
        <f>Query1[[#This Row],[SF Running Total]]+Query1[[#This Row],[UNIV Running Total]]</f>
        <v>8525</v>
      </c>
      <c r="L5140">
        <f>VLOOKUP(Query1[[#This Row],[Description]],'kits to boards'!$B$2:$E$156,2,FALSE)</f>
        <v>830036</v>
      </c>
      <c r="M5140">
        <f>VLOOKUP(Query1[[#This Row],[Description]],'kits to boards'!$B$2:$E$156,3,FALSE)</f>
        <v>830039</v>
      </c>
      <c r="N5140">
        <f>VLOOKUP(Query1[[#This Row],[Description]],'kits to boards'!$B$2:$E$156,4,FALSE)</f>
        <v>0</v>
      </c>
      <c r="O5140" t="str">
        <f>CONCATENATE(Query1[[#This Row],[Description]]," - ",Query1[[#This Row],[MB1]]," - ",Query1[[#This Row],[MB2]]," - ",Query1[[#This Row],[MB3]])</f>
        <v>EVAP KIT 63-66 VETTE WO AC - 830036 - 830039 - 0</v>
      </c>
    </row>
    <row r="5141" spans="1:15" x14ac:dyDescent="0.25">
      <c r="A5141" s="1">
        <v>922934</v>
      </c>
      <c r="B5141" s="1" t="s">
        <v>194</v>
      </c>
      <c r="C5141" s="1" t="s">
        <v>195</v>
      </c>
      <c r="D5141" s="2">
        <v>44690.335753090279</v>
      </c>
      <c r="E5141" s="1" t="s">
        <v>8</v>
      </c>
      <c r="F5141" s="1">
        <v>2</v>
      </c>
      <c r="G5141" s="1">
        <v>0</v>
      </c>
      <c r="H5141" s="6">
        <f>INT(Query1[[#This Row],[EntryDateTime]])</f>
        <v>44690</v>
      </c>
      <c r="I5141" s="1">
        <f>IF(Query1[[#This Row],[ItemType]]="EVAP KIT SF GEN IV",Query1[[#This Row],[OrderQty]]+I5140,I5140)</f>
        <v>6356</v>
      </c>
      <c r="J5141" s="1">
        <f>IF(Query1[[#This Row],[ItemType]]="EVAP KIT UNIVERSAL",Query1[[#This Row],[OrderQty]]+J5140,J5140)</f>
        <v>2171</v>
      </c>
      <c r="K5141" s="1">
        <f>Query1[[#This Row],[SF Running Total]]+Query1[[#This Row],[UNIV Running Total]]</f>
        <v>8527</v>
      </c>
      <c r="L5141">
        <f>VLOOKUP(Query1[[#This Row],[Description]],'kits to boards'!$B$2:$E$156,2,FALSE)</f>
        <v>830103</v>
      </c>
      <c r="M5141">
        <f>VLOOKUP(Query1[[#This Row],[Description]],'kits to boards'!$B$2:$E$156,3,FALSE)</f>
        <v>0</v>
      </c>
      <c r="N5141">
        <f>VLOOKUP(Query1[[#This Row],[Description]],'kits to boards'!$B$2:$E$156,4,FALSE)</f>
        <v>0</v>
      </c>
      <c r="O5141" t="str">
        <f>CONCATENATE(Query1[[#This Row],[Description]]," - ",Query1[[#This Row],[MB1]]," - ",Query1[[#This Row],[MB2]]," - ",Query1[[#This Row],[MB3]])</f>
        <v>EVAP KIT 78-82 VETTE W/AC - 830103 - 0 - 0</v>
      </c>
    </row>
    <row r="5142" spans="1:15" x14ac:dyDescent="0.25">
      <c r="A5142" s="1">
        <v>922934</v>
      </c>
      <c r="B5142" s="1" t="s">
        <v>116</v>
      </c>
      <c r="C5142" s="1" t="s">
        <v>117</v>
      </c>
      <c r="D5142" s="2">
        <v>44690.335754826388</v>
      </c>
      <c r="E5142" s="1" t="s">
        <v>8</v>
      </c>
      <c r="F5142" s="1">
        <v>2</v>
      </c>
      <c r="G5142" s="1">
        <v>0</v>
      </c>
      <c r="H5142" s="6">
        <f>INT(Query1[[#This Row],[EntryDateTime]])</f>
        <v>44690</v>
      </c>
      <c r="I5142" s="1">
        <f>IF(Query1[[#This Row],[ItemType]]="EVAP KIT SF GEN IV",Query1[[#This Row],[OrderQty]]+I5141,I5141)</f>
        <v>6358</v>
      </c>
      <c r="J5142" s="1">
        <f>IF(Query1[[#This Row],[ItemType]]="EVAP KIT UNIVERSAL",Query1[[#This Row],[OrderQty]]+J5141,J5141)</f>
        <v>2171</v>
      </c>
      <c r="K5142" s="1">
        <f>Query1[[#This Row],[SF Running Total]]+Query1[[#This Row],[UNIV Running Total]]</f>
        <v>8529</v>
      </c>
      <c r="L5142">
        <f>VLOOKUP(Query1[[#This Row],[Description]],'kits to boards'!$B$2:$E$156,2,FALSE)</f>
        <v>830058</v>
      </c>
      <c r="M5142">
        <f>VLOOKUP(Query1[[#This Row],[Description]],'kits to boards'!$B$2:$E$156,3,FALSE)</f>
        <v>0</v>
      </c>
      <c r="N5142">
        <f>VLOOKUP(Query1[[#This Row],[Description]],'kits to boards'!$B$2:$E$156,4,FALSE)</f>
        <v>0</v>
      </c>
      <c r="O5142" t="str">
        <f>CONCATENATE(Query1[[#This Row],[Description]]," - ",Query1[[#This Row],[MB1]]," - ",Query1[[#This Row],[MB2]]," - ",Query1[[#This Row],[MB3]])</f>
        <v>EVAP KIT 64-65 CHEVELLE WO AC - 830058 - 0 - 0</v>
      </c>
    </row>
    <row r="5143" spans="1:15" x14ac:dyDescent="0.25">
      <c r="A5143" s="1">
        <v>922934</v>
      </c>
      <c r="B5143" s="1" t="s">
        <v>66</v>
      </c>
      <c r="C5143" s="1" t="s">
        <v>67</v>
      </c>
      <c r="D5143" s="2">
        <v>44690.3357565162</v>
      </c>
      <c r="E5143" s="1" t="s">
        <v>8</v>
      </c>
      <c r="F5143" s="1">
        <v>5</v>
      </c>
      <c r="G5143" s="1">
        <v>0</v>
      </c>
      <c r="H5143" s="6">
        <f>INT(Query1[[#This Row],[EntryDateTime]])</f>
        <v>44690</v>
      </c>
      <c r="I5143" s="1">
        <f>IF(Query1[[#This Row],[ItemType]]="EVAP KIT SF GEN IV",Query1[[#This Row],[OrderQty]]+I5142,I5142)</f>
        <v>6363</v>
      </c>
      <c r="J5143" s="1">
        <f>IF(Query1[[#This Row],[ItemType]]="EVAP KIT UNIVERSAL",Query1[[#This Row],[OrderQty]]+J5142,J5142)</f>
        <v>2171</v>
      </c>
      <c r="K5143" s="1">
        <f>Query1[[#This Row],[SF Running Total]]+Query1[[#This Row],[UNIV Running Total]]</f>
        <v>8534</v>
      </c>
      <c r="L5143">
        <f>VLOOKUP(Query1[[#This Row],[Description]],'kits to boards'!$B$2:$E$156,2,FALSE)</f>
        <v>830060</v>
      </c>
      <c r="M5143">
        <f>VLOOKUP(Query1[[#This Row],[Description]],'kits to boards'!$B$2:$E$156,3,FALSE)</f>
        <v>0</v>
      </c>
      <c r="N5143">
        <f>VLOOKUP(Query1[[#This Row],[Description]],'kits to boards'!$B$2:$E$156,4,FALSE)</f>
        <v>0</v>
      </c>
      <c r="O5143" t="str">
        <f>CONCATENATE(Query1[[#This Row],[Description]]," - ",Query1[[#This Row],[MB1]]," - ",Query1[[#This Row],[MB2]]," - ",Query1[[#This Row],[MB3]])</f>
        <v>EVAP KIT 66-67 CHEVELLE WO AC - 830060 - 0 - 0</v>
      </c>
    </row>
    <row r="5144" spans="1:15" x14ac:dyDescent="0.25">
      <c r="A5144" s="1">
        <v>922934</v>
      </c>
      <c r="B5144" s="1" t="s">
        <v>114</v>
      </c>
      <c r="C5144" s="1" t="s">
        <v>115</v>
      </c>
      <c r="D5144" s="2">
        <v>44690.335758252317</v>
      </c>
      <c r="E5144" s="1" t="s">
        <v>8</v>
      </c>
      <c r="F5144" s="1">
        <v>6</v>
      </c>
      <c r="G5144" s="1">
        <v>0</v>
      </c>
      <c r="H5144" s="6">
        <f>INT(Query1[[#This Row],[EntryDateTime]])</f>
        <v>44690</v>
      </c>
      <c r="I5144" s="1">
        <f>IF(Query1[[#This Row],[ItemType]]="EVAP KIT SF GEN IV",Query1[[#This Row],[OrderQty]]+I5143,I5143)</f>
        <v>6369</v>
      </c>
      <c r="J5144" s="1">
        <f>IF(Query1[[#This Row],[ItemType]]="EVAP KIT UNIVERSAL",Query1[[#This Row],[OrderQty]]+J5143,J5143)</f>
        <v>2171</v>
      </c>
      <c r="K5144" s="1">
        <f>Query1[[#This Row],[SF Running Total]]+Query1[[#This Row],[UNIV Running Total]]</f>
        <v>8540</v>
      </c>
      <c r="L5144">
        <f>VLOOKUP(Query1[[#This Row],[Description]],'kits to boards'!$B$2:$E$156,2,FALSE)</f>
        <v>830059</v>
      </c>
      <c r="M5144">
        <f>VLOOKUP(Query1[[#This Row],[Description]],'kits to boards'!$B$2:$E$156,3,FALSE)</f>
        <v>0</v>
      </c>
      <c r="N5144">
        <f>VLOOKUP(Query1[[#This Row],[Description]],'kits to boards'!$B$2:$E$156,4,FALSE)</f>
        <v>0</v>
      </c>
      <c r="O5144" t="str">
        <f>CONCATENATE(Query1[[#This Row],[Description]]," - ",Query1[[#This Row],[MB1]]," - ",Query1[[#This Row],[MB2]]," - ",Query1[[#This Row],[MB3]])</f>
        <v>EVAP KIT 66-67 CHEVELLE W/AC - 830059 - 0 - 0</v>
      </c>
    </row>
    <row r="5145" spans="1:15" x14ac:dyDescent="0.25">
      <c r="A5145" s="1">
        <v>922934</v>
      </c>
      <c r="B5145" s="1" t="s">
        <v>60</v>
      </c>
      <c r="C5145" s="1" t="s">
        <v>61</v>
      </c>
      <c r="D5145" s="2">
        <v>44690.335759953705</v>
      </c>
      <c r="E5145" s="1" t="s">
        <v>8</v>
      </c>
      <c r="F5145" s="1">
        <v>2</v>
      </c>
      <c r="G5145" s="1">
        <v>0</v>
      </c>
      <c r="H5145" s="6">
        <f>INT(Query1[[#This Row],[EntryDateTime]])</f>
        <v>44690</v>
      </c>
      <c r="I5145" s="1">
        <f>IF(Query1[[#This Row],[ItemType]]="EVAP KIT SF GEN IV",Query1[[#This Row],[OrderQty]]+I5144,I5144)</f>
        <v>6371</v>
      </c>
      <c r="J5145" s="1">
        <f>IF(Query1[[#This Row],[ItemType]]="EVAP KIT UNIVERSAL",Query1[[#This Row],[OrderQty]]+J5144,J5144)</f>
        <v>2171</v>
      </c>
      <c r="K5145" s="1">
        <f>Query1[[#This Row],[SF Running Total]]+Query1[[#This Row],[UNIV Running Total]]</f>
        <v>8542</v>
      </c>
      <c r="L5145">
        <f>VLOOKUP(Query1[[#This Row],[Description]],'kits to boards'!$B$2:$E$156,2,FALSE)</f>
        <v>830062</v>
      </c>
      <c r="M5145">
        <f>VLOOKUP(Query1[[#This Row],[Description]],'kits to boards'!$B$2:$E$156,3,FALSE)</f>
        <v>0</v>
      </c>
      <c r="N5145">
        <f>VLOOKUP(Query1[[#This Row],[Description]],'kits to boards'!$B$2:$E$156,4,FALSE)</f>
        <v>0</v>
      </c>
      <c r="O5145" t="str">
        <f>CONCATENATE(Query1[[#This Row],[Description]]," - ",Query1[[#This Row],[MB1]]," - ",Query1[[#This Row],[MB2]]," - ",Query1[[#This Row],[MB3]])</f>
        <v>EVAP KIT 68-69 CHEVELLE WO AC - 830062 - 0 - 0</v>
      </c>
    </row>
    <row r="5146" spans="1:15" x14ac:dyDescent="0.25">
      <c r="A5146" s="1">
        <v>922934</v>
      </c>
      <c r="B5146" s="1" t="s">
        <v>56</v>
      </c>
      <c r="C5146" s="1" t="s">
        <v>57</v>
      </c>
      <c r="D5146" s="2">
        <v>44690.335761689814</v>
      </c>
      <c r="E5146" s="1" t="s">
        <v>8</v>
      </c>
      <c r="F5146" s="1">
        <v>6</v>
      </c>
      <c r="G5146" s="1">
        <v>0</v>
      </c>
      <c r="H5146" s="6">
        <f>INT(Query1[[#This Row],[EntryDateTime]])</f>
        <v>44690</v>
      </c>
      <c r="I5146" s="1">
        <f>IF(Query1[[#This Row],[ItemType]]="EVAP KIT SF GEN IV",Query1[[#This Row],[OrderQty]]+I5145,I5145)</f>
        <v>6377</v>
      </c>
      <c r="J5146" s="1">
        <f>IF(Query1[[#This Row],[ItemType]]="EVAP KIT UNIVERSAL",Query1[[#This Row],[OrderQty]]+J5145,J5145)</f>
        <v>2171</v>
      </c>
      <c r="K5146" s="1">
        <f>Query1[[#This Row],[SF Running Total]]+Query1[[#This Row],[UNIV Running Total]]</f>
        <v>8548</v>
      </c>
      <c r="L5146">
        <f>VLOOKUP(Query1[[#This Row],[Description]],'kits to boards'!$B$2:$E$156,2,FALSE)</f>
        <v>830011</v>
      </c>
      <c r="M5146">
        <f>VLOOKUP(Query1[[#This Row],[Description]],'kits to boards'!$B$2:$E$156,3,FALSE)</f>
        <v>0</v>
      </c>
      <c r="N5146">
        <f>VLOOKUP(Query1[[#This Row],[Description]],'kits to boards'!$B$2:$E$156,4,FALSE)</f>
        <v>0</v>
      </c>
      <c r="O5146" t="str">
        <f>CONCATENATE(Query1[[#This Row],[Description]]," - ",Query1[[#This Row],[MB1]]," - ",Query1[[#This Row],[MB2]]," - ",Query1[[#This Row],[MB3]])</f>
        <v>EVAP KIT 70-72 CHEVELLE W/AC - 830011 - 0 - 0</v>
      </c>
    </row>
    <row r="5147" spans="1:15" x14ac:dyDescent="0.25">
      <c r="A5147" s="1">
        <v>922934</v>
      </c>
      <c r="B5147" s="1" t="s">
        <v>152</v>
      </c>
      <c r="C5147" s="1" t="s">
        <v>153</v>
      </c>
      <c r="D5147" s="2">
        <v>44690.335763425923</v>
      </c>
      <c r="E5147" s="1" t="s">
        <v>8</v>
      </c>
      <c r="F5147" s="1">
        <v>2</v>
      </c>
      <c r="G5147" s="1">
        <v>0</v>
      </c>
      <c r="H5147" s="6">
        <f>INT(Query1[[#This Row],[EntryDateTime]])</f>
        <v>44690</v>
      </c>
      <c r="I5147" s="1">
        <f>IF(Query1[[#This Row],[ItemType]]="EVAP KIT SF GEN IV",Query1[[#This Row],[OrderQty]]+I5146,I5146)</f>
        <v>6379</v>
      </c>
      <c r="J5147" s="1">
        <f>IF(Query1[[#This Row],[ItemType]]="EVAP KIT UNIVERSAL",Query1[[#This Row],[OrderQty]]+J5146,J5146)</f>
        <v>2171</v>
      </c>
      <c r="K5147" s="1">
        <f>Query1[[#This Row],[SF Running Total]]+Query1[[#This Row],[UNIV Running Total]]</f>
        <v>8550</v>
      </c>
      <c r="L5147">
        <f>VLOOKUP(Query1[[#This Row],[Description]],'kits to boards'!$B$2:$E$156,2,FALSE)</f>
        <v>830034</v>
      </c>
      <c r="M5147">
        <f>VLOOKUP(Query1[[#This Row],[Description]],'kits to boards'!$B$2:$E$156,3,FALSE)</f>
        <v>0</v>
      </c>
      <c r="N5147">
        <f>VLOOKUP(Query1[[#This Row],[Description]],'kits to boards'!$B$2:$E$156,4,FALSE)</f>
        <v>0</v>
      </c>
      <c r="O5147" t="str">
        <f>CONCATENATE(Query1[[#This Row],[Description]]," - ",Query1[[#This Row],[MB1]]," - ",Query1[[#This Row],[MB2]]," - ",Query1[[#This Row],[MB3]])</f>
        <v>EVAP KIT 64-67 GTO WO AC - 830034 - 0 - 0</v>
      </c>
    </row>
    <row r="5148" spans="1:15" x14ac:dyDescent="0.25">
      <c r="A5148" s="1">
        <v>922934</v>
      </c>
      <c r="B5148" s="1" t="s">
        <v>212</v>
      </c>
      <c r="C5148" s="1" t="s">
        <v>213</v>
      </c>
      <c r="D5148" s="2">
        <v>44690.335765127318</v>
      </c>
      <c r="E5148" s="1" t="s">
        <v>8</v>
      </c>
      <c r="F5148" s="1">
        <v>1</v>
      </c>
      <c r="G5148" s="1">
        <v>0</v>
      </c>
      <c r="H5148" s="6">
        <f>INT(Query1[[#This Row],[EntryDateTime]])</f>
        <v>44690</v>
      </c>
      <c r="I5148" s="1">
        <f>IF(Query1[[#This Row],[ItemType]]="EVAP KIT SF GEN IV",Query1[[#This Row],[OrderQty]]+I5147,I5147)</f>
        <v>6380</v>
      </c>
      <c r="J5148" s="1">
        <f>IF(Query1[[#This Row],[ItemType]]="EVAP KIT UNIVERSAL",Query1[[#This Row],[OrderQty]]+J5147,J5147)</f>
        <v>2171</v>
      </c>
      <c r="K5148" s="1">
        <f>Query1[[#This Row],[SF Running Total]]+Query1[[#This Row],[UNIV Running Total]]</f>
        <v>8551</v>
      </c>
      <c r="L5148">
        <f>VLOOKUP(Query1[[#This Row],[Description]],'kits to boards'!$B$2:$E$156,2,FALSE)</f>
        <v>830034</v>
      </c>
      <c r="M5148">
        <f>VLOOKUP(Query1[[#This Row],[Description]],'kits to boards'!$B$2:$E$156,3,FALSE)</f>
        <v>0</v>
      </c>
      <c r="N5148">
        <f>VLOOKUP(Query1[[#This Row],[Description]],'kits to boards'!$B$2:$E$156,4,FALSE)</f>
        <v>0</v>
      </c>
      <c r="O5148" t="str">
        <f>CONCATENATE(Query1[[#This Row],[Description]]," - ",Query1[[#This Row],[MB1]]," - ",Query1[[#This Row],[MB2]]," - ",Query1[[#This Row],[MB3]])</f>
        <v>EVAP KIT 64-67 GTO W/AC - 830034 - 0 - 0</v>
      </c>
    </row>
    <row r="5149" spans="1:15" x14ac:dyDescent="0.25">
      <c r="A5149" s="1">
        <v>922934</v>
      </c>
      <c r="B5149" s="1" t="s">
        <v>224</v>
      </c>
      <c r="C5149" s="1" t="s">
        <v>225</v>
      </c>
      <c r="D5149" s="2">
        <v>44690.33576681713</v>
      </c>
      <c r="E5149" s="1" t="s">
        <v>8</v>
      </c>
      <c r="F5149" s="1">
        <v>1</v>
      </c>
      <c r="G5149" s="1">
        <v>0</v>
      </c>
      <c r="H5149" s="6">
        <f>INT(Query1[[#This Row],[EntryDateTime]])</f>
        <v>44690</v>
      </c>
      <c r="I5149" s="1">
        <f>IF(Query1[[#This Row],[ItemType]]="EVAP KIT SF GEN IV",Query1[[#This Row],[OrderQty]]+I5148,I5148)</f>
        <v>6381</v>
      </c>
      <c r="J5149" s="1">
        <f>IF(Query1[[#This Row],[ItemType]]="EVAP KIT UNIVERSAL",Query1[[#This Row],[OrderQty]]+J5148,J5148)</f>
        <v>2171</v>
      </c>
      <c r="K5149" s="1">
        <f>Query1[[#This Row],[SF Running Total]]+Query1[[#This Row],[UNIV Running Total]]</f>
        <v>8552</v>
      </c>
      <c r="L5149">
        <f>VLOOKUP(Query1[[#This Row],[Description]],'kits to boards'!$B$2:$E$156,2,FALSE)</f>
        <v>830124</v>
      </c>
      <c r="M5149">
        <f>VLOOKUP(Query1[[#This Row],[Description]],'kits to boards'!$B$2:$E$156,3,FALSE)</f>
        <v>0</v>
      </c>
      <c r="N5149">
        <f>VLOOKUP(Query1[[#This Row],[Description]],'kits to boards'!$B$2:$E$156,4,FALSE)</f>
        <v>0</v>
      </c>
      <c r="O5149" t="str">
        <f>CONCATENATE(Query1[[#This Row],[Description]]," - ",Query1[[#This Row],[MB1]]," - ",Query1[[#This Row],[MB2]]," - ",Query1[[#This Row],[MB3]])</f>
        <v>EVAP KIT 70-72 GTO WO/AC - 830124 - 0 - 0</v>
      </c>
    </row>
    <row r="5150" spans="1:15" x14ac:dyDescent="0.25">
      <c r="A5150" s="1">
        <v>922934</v>
      </c>
      <c r="B5150" s="1" t="s">
        <v>226</v>
      </c>
      <c r="C5150" s="1" t="s">
        <v>227</v>
      </c>
      <c r="D5150" s="2">
        <v>44690.335768553239</v>
      </c>
      <c r="E5150" s="1" t="s">
        <v>8</v>
      </c>
      <c r="F5150" s="1">
        <v>1</v>
      </c>
      <c r="G5150" s="1">
        <v>0</v>
      </c>
      <c r="H5150" s="6">
        <f>INT(Query1[[#This Row],[EntryDateTime]])</f>
        <v>44690</v>
      </c>
      <c r="I5150" s="1">
        <f>IF(Query1[[#This Row],[ItemType]]="EVAP KIT SF GEN IV",Query1[[#This Row],[OrderQty]]+I5149,I5149)</f>
        <v>6382</v>
      </c>
      <c r="J5150" s="1">
        <f>IF(Query1[[#This Row],[ItemType]]="EVAP KIT UNIVERSAL",Query1[[#This Row],[OrderQty]]+J5149,J5149)</f>
        <v>2171</v>
      </c>
      <c r="K5150" s="1">
        <f>Query1[[#This Row],[SF Running Total]]+Query1[[#This Row],[UNIV Running Total]]</f>
        <v>8553</v>
      </c>
      <c r="L5150">
        <f>VLOOKUP(Query1[[#This Row],[Description]],'kits to boards'!$B$2:$E$156,2,FALSE)</f>
        <v>830124</v>
      </c>
      <c r="M5150">
        <f>VLOOKUP(Query1[[#This Row],[Description]],'kits to boards'!$B$2:$E$156,3,FALSE)</f>
        <v>0</v>
      </c>
      <c r="N5150">
        <f>VLOOKUP(Query1[[#This Row],[Description]],'kits to boards'!$B$2:$E$156,4,FALSE)</f>
        <v>0</v>
      </c>
      <c r="O5150" t="str">
        <f>CONCATENATE(Query1[[#This Row],[Description]]," - ",Query1[[#This Row],[MB1]]," - ",Query1[[#This Row],[MB2]]," - ",Query1[[#This Row],[MB3]])</f>
        <v>EVAP KIT 70-72 GTO W/AC - 830124 - 0 - 0</v>
      </c>
    </row>
    <row r="5151" spans="1:15" x14ac:dyDescent="0.25">
      <c r="A5151" s="1">
        <v>922934</v>
      </c>
      <c r="B5151" s="1" t="s">
        <v>156</v>
      </c>
      <c r="C5151" s="1" t="s">
        <v>157</v>
      </c>
      <c r="D5151" s="2">
        <v>44690.335770254627</v>
      </c>
      <c r="E5151" s="1" t="s">
        <v>8</v>
      </c>
      <c r="F5151" s="1">
        <v>2</v>
      </c>
      <c r="G5151" s="1">
        <v>0</v>
      </c>
      <c r="H5151" s="6">
        <f>INT(Query1[[#This Row],[EntryDateTime]])</f>
        <v>44690</v>
      </c>
      <c r="I5151" s="1">
        <f>IF(Query1[[#This Row],[ItemType]]="EVAP KIT SF GEN IV",Query1[[#This Row],[OrderQty]]+I5150,I5150)</f>
        <v>6384</v>
      </c>
      <c r="J5151" s="1">
        <f>IF(Query1[[#This Row],[ItemType]]="EVAP KIT UNIVERSAL",Query1[[#This Row],[OrderQty]]+J5150,J5150)</f>
        <v>2171</v>
      </c>
      <c r="K5151" s="1">
        <f>Query1[[#This Row],[SF Running Total]]+Query1[[#This Row],[UNIV Running Total]]</f>
        <v>8555</v>
      </c>
      <c r="L5151">
        <f>VLOOKUP(Query1[[#This Row],[Description]],'kits to boards'!$B$2:$E$156,2,FALSE)</f>
        <v>830019</v>
      </c>
      <c r="M5151">
        <f>VLOOKUP(Query1[[#This Row],[Description]],'kits to boards'!$B$2:$E$156,3,FALSE)</f>
        <v>0</v>
      </c>
      <c r="N5151">
        <f>VLOOKUP(Query1[[#This Row],[Description]],'kits to boards'!$B$2:$E$156,4,FALSE)</f>
        <v>0</v>
      </c>
      <c r="O5151" t="str">
        <f>CONCATENATE(Query1[[#This Row],[Description]]," - ",Query1[[#This Row],[MB1]]," - ",Query1[[#This Row],[MB2]]," - ",Query1[[#This Row],[MB3]])</f>
        <v>EVAP KIT 70-81 FIREBIRD WO AC - 830019 - 0 - 0</v>
      </c>
    </row>
    <row r="5152" spans="1:15" x14ac:dyDescent="0.25">
      <c r="A5152" s="1">
        <v>922934</v>
      </c>
      <c r="B5152" s="1" t="s">
        <v>54</v>
      </c>
      <c r="C5152" s="1" t="s">
        <v>55</v>
      </c>
      <c r="D5152" s="2">
        <v>44690.335771990744</v>
      </c>
      <c r="E5152" s="1" t="s">
        <v>8</v>
      </c>
      <c r="F5152" s="1">
        <v>6</v>
      </c>
      <c r="G5152" s="1">
        <v>0</v>
      </c>
      <c r="H5152" s="6">
        <f>INT(Query1[[#This Row],[EntryDateTime]])</f>
        <v>44690</v>
      </c>
      <c r="I5152" s="1">
        <f>IF(Query1[[#This Row],[ItemType]]="EVAP KIT SF GEN IV",Query1[[#This Row],[OrderQty]]+I5151,I5151)</f>
        <v>6390</v>
      </c>
      <c r="J5152" s="1">
        <f>IF(Query1[[#This Row],[ItemType]]="EVAP KIT UNIVERSAL",Query1[[#This Row],[OrderQty]]+J5151,J5151)</f>
        <v>2171</v>
      </c>
      <c r="K5152" s="1">
        <f>Query1[[#This Row],[SF Running Total]]+Query1[[#This Row],[UNIV Running Total]]</f>
        <v>8561</v>
      </c>
      <c r="L5152">
        <f>VLOOKUP(Query1[[#This Row],[Description]],'kits to boards'!$B$2:$E$156,2,FALSE)</f>
        <v>830037</v>
      </c>
      <c r="M5152">
        <f>VLOOKUP(Query1[[#This Row],[Description]],'kits to boards'!$B$2:$E$156,3,FALSE)</f>
        <v>0</v>
      </c>
      <c r="N5152">
        <f>VLOOKUP(Query1[[#This Row],[Description]],'kits to boards'!$B$2:$E$156,4,FALSE)</f>
        <v>0</v>
      </c>
      <c r="O5152" t="str">
        <f>CONCATENATE(Query1[[#This Row],[Description]]," - ",Query1[[#This Row],[MB1]]," - ",Query1[[#This Row],[MB2]]," - ",Query1[[#This Row],[MB3]])</f>
        <v>EVAP KIT 70-81 FIREBIRD W/AC - 830037 - 0 - 0</v>
      </c>
    </row>
    <row r="5153" spans="1:15" x14ac:dyDescent="0.25">
      <c r="A5153" s="1">
        <v>922934</v>
      </c>
      <c r="B5153" s="1" t="s">
        <v>236</v>
      </c>
      <c r="C5153" s="1" t="s">
        <v>237</v>
      </c>
      <c r="D5153" s="2">
        <v>44690.335774039355</v>
      </c>
      <c r="E5153" s="1" t="s">
        <v>8</v>
      </c>
      <c r="F5153" s="1">
        <v>1</v>
      </c>
      <c r="G5153" s="1">
        <v>0</v>
      </c>
      <c r="H5153" s="6">
        <f>INT(Query1[[#This Row],[EntryDateTime]])</f>
        <v>44690</v>
      </c>
      <c r="I5153" s="1">
        <f>IF(Query1[[#This Row],[ItemType]]="EVAP KIT SF GEN IV",Query1[[#This Row],[OrderQty]]+I5152,I5152)</f>
        <v>6391</v>
      </c>
      <c r="J5153" s="1">
        <f>IF(Query1[[#This Row],[ItemType]]="EVAP KIT UNIVERSAL",Query1[[#This Row],[OrderQty]]+J5152,J5152)</f>
        <v>2171</v>
      </c>
      <c r="K5153" s="1">
        <f>Query1[[#This Row],[SF Running Total]]+Query1[[#This Row],[UNIV Running Total]]</f>
        <v>8562</v>
      </c>
      <c r="L5153">
        <f>VLOOKUP(Query1[[#This Row],[Description]],'kits to boards'!$B$2:$E$156,2,FALSE)</f>
        <v>830026</v>
      </c>
      <c r="M5153">
        <f>VLOOKUP(Query1[[#This Row],[Description]],'kits to boards'!$B$2:$E$156,3,FALSE)</f>
        <v>0</v>
      </c>
      <c r="N5153">
        <f>VLOOKUP(Query1[[#This Row],[Description]],'kits to boards'!$B$2:$E$156,4,FALSE)</f>
        <v>0</v>
      </c>
      <c r="O5153" t="str">
        <f>CONCATENATE(Query1[[#This Row],[Description]]," - ",Query1[[#This Row],[MB1]]," - ",Query1[[#This Row],[MB2]]," - ",Query1[[#This Row],[MB3]])</f>
        <v>EVAP KIT 70-72 CUTLASS WO AC - 830026 - 0 - 0</v>
      </c>
    </row>
    <row r="5154" spans="1:15" x14ac:dyDescent="0.25">
      <c r="A5154" s="1">
        <v>922934</v>
      </c>
      <c r="B5154" s="1" t="s">
        <v>94</v>
      </c>
      <c r="C5154" s="1" t="s">
        <v>95</v>
      </c>
      <c r="D5154" s="2">
        <v>44690.335775775464</v>
      </c>
      <c r="E5154" s="1" t="s">
        <v>8</v>
      </c>
      <c r="F5154" s="1">
        <v>4</v>
      </c>
      <c r="G5154" s="1">
        <v>0</v>
      </c>
      <c r="H5154" s="6">
        <f>INT(Query1[[#This Row],[EntryDateTime]])</f>
        <v>44690</v>
      </c>
      <c r="I5154" s="1">
        <f>IF(Query1[[#This Row],[ItemType]]="EVAP KIT SF GEN IV",Query1[[#This Row],[OrderQty]]+I5153,I5153)</f>
        <v>6395</v>
      </c>
      <c r="J5154" s="1">
        <f>IF(Query1[[#This Row],[ItemType]]="EVAP KIT UNIVERSAL",Query1[[#This Row],[OrderQty]]+J5153,J5153)</f>
        <v>2171</v>
      </c>
      <c r="K5154" s="1">
        <f>Query1[[#This Row],[SF Running Total]]+Query1[[#This Row],[UNIV Running Total]]</f>
        <v>8566</v>
      </c>
      <c r="L5154">
        <f>VLOOKUP(Query1[[#This Row],[Description]],'kits to boards'!$B$2:$E$156,2,FALSE)</f>
        <v>830076</v>
      </c>
      <c r="M5154">
        <f>VLOOKUP(Query1[[#This Row],[Description]],'kits to boards'!$B$2:$E$156,3,FALSE)</f>
        <v>0</v>
      </c>
      <c r="N5154">
        <f>VLOOKUP(Query1[[#This Row],[Description]],'kits to boards'!$B$2:$E$156,4,FALSE)</f>
        <v>0</v>
      </c>
      <c r="O5154" t="str">
        <f>CONCATENATE(Query1[[#This Row],[Description]]," - ",Query1[[#This Row],[MB1]]," - ",Query1[[#This Row],[MB2]]," - ",Query1[[#This Row],[MB3]])</f>
        <v>EVAP KIT 64 1/2- 66 MUSTANG  - 830076 - 0 - 0</v>
      </c>
    </row>
    <row r="5155" spans="1:15" x14ac:dyDescent="0.25">
      <c r="A5155" s="1">
        <v>922934</v>
      </c>
      <c r="B5155" s="1" t="s">
        <v>158</v>
      </c>
      <c r="C5155" s="1" t="s">
        <v>159</v>
      </c>
      <c r="D5155" s="2">
        <v>44690.335777465276</v>
      </c>
      <c r="E5155" s="1" t="s">
        <v>8</v>
      </c>
      <c r="F5155" s="1">
        <v>1</v>
      </c>
      <c r="G5155" s="1">
        <v>0</v>
      </c>
      <c r="H5155" s="6">
        <f>INT(Query1[[#This Row],[EntryDateTime]])</f>
        <v>44690</v>
      </c>
      <c r="I5155" s="1">
        <f>IF(Query1[[#This Row],[ItemType]]="EVAP KIT SF GEN IV",Query1[[#This Row],[OrderQty]]+I5154,I5154)</f>
        <v>6396</v>
      </c>
      <c r="J5155" s="1">
        <f>IF(Query1[[#This Row],[ItemType]]="EVAP KIT UNIVERSAL",Query1[[#This Row],[OrderQty]]+J5154,J5154)</f>
        <v>2171</v>
      </c>
      <c r="K5155" s="1">
        <f>Query1[[#This Row],[SF Running Total]]+Query1[[#This Row],[UNIV Running Total]]</f>
        <v>8567</v>
      </c>
      <c r="L5155">
        <f>VLOOKUP(Query1[[#This Row],[Description]],'kits to boards'!$B$2:$E$156,2,FALSE)</f>
        <v>830080</v>
      </c>
      <c r="M5155">
        <f>VLOOKUP(Query1[[#This Row],[Description]],'kits to boards'!$B$2:$E$156,3,FALSE)</f>
        <v>830046</v>
      </c>
      <c r="N5155">
        <f>VLOOKUP(Query1[[#This Row],[Description]],'kits to boards'!$B$2:$E$156,4,FALSE)</f>
        <v>0</v>
      </c>
      <c r="O5155" t="str">
        <f>CONCATENATE(Query1[[#This Row],[Description]]," - ",Query1[[#This Row],[MB1]]," - ",Query1[[#This Row],[MB2]]," - ",Query1[[#This Row],[MB3]])</f>
        <v>EVAP KIT 69-70 MUSTANG W/AC  - 830080 - 830046 - 0</v>
      </c>
    </row>
    <row r="5156" spans="1:15" x14ac:dyDescent="0.25">
      <c r="A5156" s="1">
        <v>922934</v>
      </c>
      <c r="B5156" s="1" t="s">
        <v>228</v>
      </c>
      <c r="C5156" s="1" t="s">
        <v>229</v>
      </c>
      <c r="D5156" s="2">
        <v>44690.335779201392</v>
      </c>
      <c r="E5156" s="1" t="s">
        <v>8</v>
      </c>
      <c r="F5156" s="1">
        <v>1</v>
      </c>
      <c r="G5156" s="1">
        <v>0</v>
      </c>
      <c r="H5156" s="6">
        <f>INT(Query1[[#This Row],[EntryDateTime]])</f>
        <v>44690</v>
      </c>
      <c r="I5156" s="1">
        <f>IF(Query1[[#This Row],[ItemType]]="EVAP KIT SF GEN IV",Query1[[#This Row],[OrderQty]]+I5155,I5155)</f>
        <v>6397</v>
      </c>
      <c r="J5156" s="1">
        <f>IF(Query1[[#This Row],[ItemType]]="EVAP KIT UNIVERSAL",Query1[[#This Row],[OrderQty]]+J5155,J5155)</f>
        <v>2171</v>
      </c>
      <c r="K5156" s="1">
        <f>Query1[[#This Row],[SF Running Total]]+Query1[[#This Row],[UNIV Running Total]]</f>
        <v>8568</v>
      </c>
      <c r="L5156">
        <f>VLOOKUP(Query1[[#This Row],[Description]],'kits to boards'!$B$2:$E$156,2,FALSE)</f>
        <v>830044</v>
      </c>
      <c r="M5156">
        <f>VLOOKUP(Query1[[#This Row],[Description]],'kits to boards'!$B$2:$E$156,3,FALSE)</f>
        <v>0</v>
      </c>
      <c r="N5156">
        <f>VLOOKUP(Query1[[#This Row],[Description]],'kits to boards'!$B$2:$E$156,4,FALSE)</f>
        <v>0</v>
      </c>
      <c r="O5156" t="str">
        <f>CONCATENATE(Query1[[#This Row],[Description]]," - ",Query1[[#This Row],[MB1]]," - ",Query1[[#This Row],[MB2]]," - ",Query1[[#This Row],[MB3]])</f>
        <v>EVAP KIT 64-65 FALCON/RANCHERO - 830044 - 0 - 0</v>
      </c>
    </row>
    <row r="5157" spans="1:15" x14ac:dyDescent="0.25">
      <c r="A5157" s="1">
        <v>922934</v>
      </c>
      <c r="B5157" s="1" t="s">
        <v>214</v>
      </c>
      <c r="C5157" s="1" t="s">
        <v>215</v>
      </c>
      <c r="D5157" s="2">
        <v>44690.335780937501</v>
      </c>
      <c r="E5157" s="1" t="s">
        <v>8</v>
      </c>
      <c r="F5157" s="1">
        <v>1</v>
      </c>
      <c r="G5157" s="1">
        <v>0</v>
      </c>
      <c r="H5157" s="6">
        <f>INT(Query1[[#This Row],[EntryDateTime]])</f>
        <v>44690</v>
      </c>
      <c r="I5157" s="1">
        <f>IF(Query1[[#This Row],[ItemType]]="EVAP KIT SF GEN IV",Query1[[#This Row],[OrderQty]]+I5156,I5156)</f>
        <v>6398</v>
      </c>
      <c r="J5157" s="1">
        <f>IF(Query1[[#This Row],[ItemType]]="EVAP KIT UNIVERSAL",Query1[[#This Row],[OrderQty]]+J5156,J5156)</f>
        <v>2171</v>
      </c>
      <c r="K5157" s="1">
        <f>Query1[[#This Row],[SF Running Total]]+Query1[[#This Row],[UNIV Running Total]]</f>
        <v>8569</v>
      </c>
      <c r="L5157">
        <f>VLOOKUP(Query1[[#This Row],[Description]],'kits to boards'!$B$2:$E$156,2,FALSE)</f>
        <v>830072</v>
      </c>
      <c r="M5157">
        <f>VLOOKUP(Query1[[#This Row],[Description]],'kits to boards'!$B$2:$E$156,3,FALSE)</f>
        <v>0</v>
      </c>
      <c r="N5157">
        <f>VLOOKUP(Query1[[#This Row],[Description]],'kits to boards'!$B$2:$E$156,4,FALSE)</f>
        <v>0</v>
      </c>
      <c r="O5157" t="str">
        <f>CONCATENATE(Query1[[#This Row],[Description]]," - ",Query1[[#This Row],[MB1]]," - ",Query1[[#This Row],[MB2]]," - ",Query1[[#This Row],[MB3]])</f>
        <v>EVAP KIT 68 MOPAR B BODY WO AC - 830072 - 0 - 0</v>
      </c>
    </row>
    <row r="5158" spans="1:15" x14ac:dyDescent="0.25">
      <c r="A5158" s="1">
        <v>922934</v>
      </c>
      <c r="B5158" s="1" t="s">
        <v>160</v>
      </c>
      <c r="C5158" s="1" t="s">
        <v>161</v>
      </c>
      <c r="D5158" s="2">
        <v>44690.335782638889</v>
      </c>
      <c r="E5158" s="1" t="s">
        <v>8</v>
      </c>
      <c r="F5158" s="1">
        <v>1</v>
      </c>
      <c r="G5158" s="1">
        <v>0</v>
      </c>
      <c r="H5158" s="6">
        <f>INT(Query1[[#This Row],[EntryDateTime]])</f>
        <v>44690</v>
      </c>
      <c r="I5158" s="1">
        <f>IF(Query1[[#This Row],[ItemType]]="EVAP KIT SF GEN IV",Query1[[#This Row],[OrderQty]]+I5157,I5157)</f>
        <v>6399</v>
      </c>
      <c r="J5158" s="1">
        <f>IF(Query1[[#This Row],[ItemType]]="EVAP KIT UNIVERSAL",Query1[[#This Row],[OrderQty]]+J5157,J5157)</f>
        <v>2171</v>
      </c>
      <c r="K5158" s="1">
        <f>Query1[[#This Row],[SF Running Total]]+Query1[[#This Row],[UNIV Running Total]]</f>
        <v>8570</v>
      </c>
      <c r="L5158">
        <f>VLOOKUP(Query1[[#This Row],[Description]],'kits to boards'!$B$2:$E$156,2,FALSE)</f>
        <v>830083</v>
      </c>
      <c r="M5158">
        <f>VLOOKUP(Query1[[#This Row],[Description]],'kits to boards'!$B$2:$E$156,3,FALSE)</f>
        <v>0</v>
      </c>
      <c r="N5158">
        <f>VLOOKUP(Query1[[#This Row],[Description]],'kits to boards'!$B$2:$E$156,4,FALSE)</f>
        <v>0</v>
      </c>
      <c r="O5158" t="str">
        <f>CONCATENATE(Query1[[#This Row],[Description]]," - ",Query1[[#This Row],[MB1]]," - ",Query1[[#This Row],[MB2]]," - ",Query1[[#This Row],[MB3]])</f>
        <v>EVAP KIT 70-74 CHALNGR/CUDA WO AC - 830083 - 0 - 0</v>
      </c>
    </row>
    <row r="5159" spans="1:15" x14ac:dyDescent="0.25">
      <c r="A5159" s="1">
        <v>922934</v>
      </c>
      <c r="B5159" s="1" t="s">
        <v>166</v>
      </c>
      <c r="C5159" s="1" t="s">
        <v>167</v>
      </c>
      <c r="D5159" s="2">
        <v>44690.335784374998</v>
      </c>
      <c r="E5159" s="1" t="s">
        <v>8</v>
      </c>
      <c r="F5159" s="1">
        <v>4</v>
      </c>
      <c r="G5159" s="1">
        <v>0</v>
      </c>
      <c r="H5159" s="6">
        <f>INT(Query1[[#This Row],[EntryDateTime]])</f>
        <v>44690</v>
      </c>
      <c r="I5159" s="1">
        <f>IF(Query1[[#This Row],[ItemType]]="EVAP KIT SF GEN IV",Query1[[#This Row],[OrderQty]]+I5158,I5158)</f>
        <v>6403</v>
      </c>
      <c r="J5159" s="1">
        <f>IF(Query1[[#This Row],[ItemType]]="EVAP KIT UNIVERSAL",Query1[[#This Row],[OrderQty]]+J5158,J5158)</f>
        <v>2171</v>
      </c>
      <c r="K5159" s="1">
        <f>Query1[[#This Row],[SF Running Total]]+Query1[[#This Row],[UNIV Running Total]]</f>
        <v>8574</v>
      </c>
      <c r="L5159">
        <f>VLOOKUP(Query1[[#This Row],[Description]],'kits to boards'!$B$2:$E$156,2,FALSE)</f>
        <v>830063</v>
      </c>
      <c r="M5159">
        <f>VLOOKUP(Query1[[#This Row],[Description]],'kits to boards'!$B$2:$E$156,3,FALSE)</f>
        <v>0</v>
      </c>
      <c r="N5159">
        <f>VLOOKUP(Query1[[#This Row],[Description]],'kits to boards'!$B$2:$E$156,4,FALSE)</f>
        <v>0</v>
      </c>
      <c r="O5159" t="str">
        <f>CONCATENATE(Query1[[#This Row],[Description]]," - ",Query1[[#This Row],[MB1]]," - ",Query1[[#This Row],[MB2]]," - ",Query1[[#This Row],[MB3]])</f>
        <v>EVAP KIT 47-49 CHEV P-UP GEN IV - 830063 - 0 - 0</v>
      </c>
    </row>
    <row r="5160" spans="1:15" x14ac:dyDescent="0.25">
      <c r="A5160" s="1">
        <v>922934</v>
      </c>
      <c r="B5160" s="1" t="s">
        <v>92</v>
      </c>
      <c r="C5160" s="1" t="s">
        <v>93</v>
      </c>
      <c r="D5160" s="2">
        <v>44690.335786111114</v>
      </c>
      <c r="E5160" s="1" t="s">
        <v>8</v>
      </c>
      <c r="F5160" s="1">
        <v>6</v>
      </c>
      <c r="G5160" s="1">
        <v>0</v>
      </c>
      <c r="H5160" s="6">
        <f>INT(Query1[[#This Row],[EntryDateTime]])</f>
        <v>44690</v>
      </c>
      <c r="I5160" s="1">
        <f>IF(Query1[[#This Row],[ItemType]]="EVAP KIT SF GEN IV",Query1[[#This Row],[OrderQty]]+I5159,I5159)</f>
        <v>6409</v>
      </c>
      <c r="J5160" s="1">
        <f>IF(Query1[[#This Row],[ItemType]]="EVAP KIT UNIVERSAL",Query1[[#This Row],[OrderQty]]+J5159,J5159)</f>
        <v>2171</v>
      </c>
      <c r="K5160" s="1">
        <f>Query1[[#This Row],[SF Running Total]]+Query1[[#This Row],[UNIV Running Total]]</f>
        <v>8580</v>
      </c>
      <c r="L5160">
        <f>VLOOKUP(Query1[[#This Row],[Description]],'kits to boards'!$B$2:$E$156,2,FALSE)</f>
        <v>830063</v>
      </c>
      <c r="M5160">
        <f>VLOOKUP(Query1[[#This Row],[Description]],'kits to boards'!$B$2:$E$156,3,FALSE)</f>
        <v>0</v>
      </c>
      <c r="N5160">
        <f>VLOOKUP(Query1[[#This Row],[Description]],'kits to boards'!$B$2:$E$156,4,FALSE)</f>
        <v>0</v>
      </c>
      <c r="O5160" t="str">
        <f>CONCATENATE(Query1[[#This Row],[Description]]," - ",Query1[[#This Row],[MB1]]," - ",Query1[[#This Row],[MB2]]," - ",Query1[[#This Row],[MB3]])</f>
        <v>EVAP KIT 50-53 CHEV P-UP GEN IV - 830063 - 0 - 0</v>
      </c>
    </row>
    <row r="5161" spans="1:15" x14ac:dyDescent="0.25">
      <c r="A5161" s="1">
        <v>922934</v>
      </c>
      <c r="B5161" s="1" t="s">
        <v>106</v>
      </c>
      <c r="C5161" s="1" t="s">
        <v>107</v>
      </c>
      <c r="D5161" s="2">
        <v>44690.335787847223</v>
      </c>
      <c r="E5161" s="1" t="s">
        <v>8</v>
      </c>
      <c r="F5161" s="1">
        <v>7</v>
      </c>
      <c r="G5161" s="1">
        <v>0</v>
      </c>
      <c r="H5161" s="6">
        <f>INT(Query1[[#This Row],[EntryDateTime]])</f>
        <v>44690</v>
      </c>
      <c r="I5161" s="1">
        <f>IF(Query1[[#This Row],[ItemType]]="EVAP KIT SF GEN IV",Query1[[#This Row],[OrderQty]]+I5160,I5160)</f>
        <v>6416</v>
      </c>
      <c r="J5161" s="1">
        <f>IF(Query1[[#This Row],[ItemType]]="EVAP KIT UNIVERSAL",Query1[[#This Row],[OrderQty]]+J5160,J5160)</f>
        <v>2171</v>
      </c>
      <c r="K5161" s="1">
        <f>Query1[[#This Row],[SF Running Total]]+Query1[[#This Row],[UNIV Running Total]]</f>
        <v>8587</v>
      </c>
      <c r="L5161">
        <f>VLOOKUP(Query1[[#This Row],[Description]],'kits to boards'!$B$2:$E$156,2,FALSE)</f>
        <v>830028</v>
      </c>
      <c r="M5161">
        <f>VLOOKUP(Query1[[#This Row],[Description]],'kits to boards'!$B$2:$E$156,3,FALSE)</f>
        <v>0</v>
      </c>
      <c r="N5161">
        <f>VLOOKUP(Query1[[#This Row],[Description]],'kits to boards'!$B$2:$E$156,4,FALSE)</f>
        <v>0</v>
      </c>
      <c r="O5161" t="str">
        <f>CONCATENATE(Query1[[#This Row],[Description]]," - ",Query1[[#This Row],[MB1]]," - ",Query1[[#This Row],[MB2]]," - ",Query1[[#This Row],[MB3]])</f>
        <v>EVAP KIT 55-59 CHEV P-UP WO AC W/DELX - 830028 - 0 - 0</v>
      </c>
    </row>
    <row r="5162" spans="1:15" x14ac:dyDescent="0.25">
      <c r="A5162" s="1">
        <v>922934</v>
      </c>
      <c r="B5162" s="1" t="s">
        <v>140</v>
      </c>
      <c r="C5162" s="1" t="s">
        <v>141</v>
      </c>
      <c r="D5162" s="2">
        <v>44690.335789583332</v>
      </c>
      <c r="E5162" s="1" t="s">
        <v>8</v>
      </c>
      <c r="F5162" s="1">
        <v>3</v>
      </c>
      <c r="G5162" s="1">
        <v>0</v>
      </c>
      <c r="H5162" s="6">
        <f>INT(Query1[[#This Row],[EntryDateTime]])</f>
        <v>44690</v>
      </c>
      <c r="I5162" s="1">
        <f>IF(Query1[[#This Row],[ItemType]]="EVAP KIT SF GEN IV",Query1[[#This Row],[OrderQty]]+I5161,I5161)</f>
        <v>6419</v>
      </c>
      <c r="J5162" s="1">
        <f>IF(Query1[[#This Row],[ItemType]]="EVAP KIT UNIVERSAL",Query1[[#This Row],[OrderQty]]+J5161,J5161)</f>
        <v>2171</v>
      </c>
      <c r="K5162" s="1">
        <f>Query1[[#This Row],[SF Running Total]]+Query1[[#This Row],[UNIV Running Total]]</f>
        <v>8590</v>
      </c>
      <c r="L5162">
        <f>VLOOKUP(Query1[[#This Row],[Description]],'kits to boards'!$B$2:$E$156,2,FALSE)</f>
        <v>830066</v>
      </c>
      <c r="M5162">
        <f>VLOOKUP(Query1[[#This Row],[Description]],'kits to boards'!$B$2:$E$156,3,FALSE)</f>
        <v>0</v>
      </c>
      <c r="N5162">
        <f>VLOOKUP(Query1[[#This Row],[Description]],'kits to boards'!$B$2:$E$156,4,FALSE)</f>
        <v>0</v>
      </c>
      <c r="O5162" t="str">
        <f>CONCATENATE(Query1[[#This Row],[Description]]," - ",Query1[[#This Row],[MB1]]," - ",Query1[[#This Row],[MB2]]," - ",Query1[[#This Row],[MB3]])</f>
        <v>EVAP KIT 60-63 CHEV P-UP WO AC - 830066 - 0 - 0</v>
      </c>
    </row>
    <row r="5163" spans="1:15" x14ac:dyDescent="0.25">
      <c r="A5163" s="1">
        <v>922934</v>
      </c>
      <c r="B5163" s="1" t="s">
        <v>48</v>
      </c>
      <c r="C5163" s="1" t="s">
        <v>49</v>
      </c>
      <c r="D5163" s="2">
        <v>44690.335791354169</v>
      </c>
      <c r="E5163" s="1" t="s">
        <v>8</v>
      </c>
      <c r="F5163" s="1">
        <v>3</v>
      </c>
      <c r="G5163" s="1">
        <v>0</v>
      </c>
      <c r="H5163" s="6">
        <f>INT(Query1[[#This Row],[EntryDateTime]])</f>
        <v>44690</v>
      </c>
      <c r="I5163" s="1">
        <f>IF(Query1[[#This Row],[ItemType]]="EVAP KIT SF GEN IV",Query1[[#This Row],[OrderQty]]+I5162,I5162)</f>
        <v>6422</v>
      </c>
      <c r="J5163" s="1">
        <f>IF(Query1[[#This Row],[ItemType]]="EVAP KIT UNIVERSAL",Query1[[#This Row],[OrderQty]]+J5162,J5162)</f>
        <v>2171</v>
      </c>
      <c r="K5163" s="1">
        <f>Query1[[#This Row],[SF Running Total]]+Query1[[#This Row],[UNIV Running Total]]</f>
        <v>8593</v>
      </c>
      <c r="L5163">
        <f>VLOOKUP(Query1[[#This Row],[Description]],'kits to boards'!$B$2:$E$156,2,FALSE)</f>
        <v>830015</v>
      </c>
      <c r="M5163">
        <f>VLOOKUP(Query1[[#This Row],[Description]],'kits to boards'!$B$2:$E$156,3,FALSE)</f>
        <v>0</v>
      </c>
      <c r="N5163">
        <f>VLOOKUP(Query1[[#This Row],[Description]],'kits to boards'!$B$2:$E$156,4,FALSE)</f>
        <v>0</v>
      </c>
      <c r="O5163" t="str">
        <f>CONCATENATE(Query1[[#This Row],[Description]]," - ",Query1[[#This Row],[MB1]]," - ",Query1[[#This Row],[MB2]]," - ",Query1[[#This Row],[MB3]])</f>
        <v>EVAP KIT 64-66 CHEV P-UP WO AC W/DELX - 830015 - 0 - 0</v>
      </c>
    </row>
    <row r="5164" spans="1:15" x14ac:dyDescent="0.25">
      <c r="A5164" s="1">
        <v>922934</v>
      </c>
      <c r="B5164" s="1" t="s">
        <v>36</v>
      </c>
      <c r="C5164" s="1" t="s">
        <v>37</v>
      </c>
      <c r="D5164" s="2">
        <v>44690.335793055558</v>
      </c>
      <c r="E5164" s="1" t="s">
        <v>8</v>
      </c>
      <c r="F5164" s="1">
        <v>4</v>
      </c>
      <c r="G5164" s="1">
        <v>0</v>
      </c>
      <c r="H5164" s="6">
        <f>INT(Query1[[#This Row],[EntryDateTime]])</f>
        <v>44690</v>
      </c>
      <c r="I5164" s="1">
        <f>IF(Query1[[#This Row],[ItemType]]="EVAP KIT SF GEN IV",Query1[[#This Row],[OrderQty]]+I5163,I5163)</f>
        <v>6426</v>
      </c>
      <c r="J5164" s="1">
        <f>IF(Query1[[#This Row],[ItemType]]="EVAP KIT UNIVERSAL",Query1[[#This Row],[OrderQty]]+J5163,J5163)</f>
        <v>2171</v>
      </c>
      <c r="K5164" s="1">
        <f>Query1[[#This Row],[SF Running Total]]+Query1[[#This Row],[UNIV Running Total]]</f>
        <v>8597</v>
      </c>
      <c r="L5164">
        <f>VLOOKUP(Query1[[#This Row],[Description]],'kits to boards'!$B$2:$E$156,2,FALSE)</f>
        <v>830015</v>
      </c>
      <c r="M5164">
        <f>VLOOKUP(Query1[[#This Row],[Description]],'kits to boards'!$B$2:$E$156,3,FALSE)</f>
        <v>0</v>
      </c>
      <c r="N5164">
        <f>VLOOKUP(Query1[[#This Row],[Description]],'kits to boards'!$B$2:$E$156,4,FALSE)</f>
        <v>0</v>
      </c>
      <c r="O5164" t="str">
        <f>CONCATENATE(Query1[[#This Row],[Description]]," - ",Query1[[#This Row],[MB1]]," - ",Query1[[#This Row],[MB2]]," - ",Query1[[#This Row],[MB3]])</f>
        <v>EVAP KIT 64-66 CHEV P-UP WO AC W/STD - 830015 - 0 - 0</v>
      </c>
    </row>
    <row r="5165" spans="1:15" x14ac:dyDescent="0.25">
      <c r="A5165" s="1">
        <v>922934</v>
      </c>
      <c r="B5165" s="1" t="s">
        <v>42</v>
      </c>
      <c r="C5165" s="1" t="s">
        <v>43</v>
      </c>
      <c r="D5165" s="2">
        <v>44690.335794756946</v>
      </c>
      <c r="E5165" s="1" t="s">
        <v>8</v>
      </c>
      <c r="F5165" s="1">
        <v>5</v>
      </c>
      <c r="G5165" s="1">
        <v>0</v>
      </c>
      <c r="H5165" s="6">
        <f>INT(Query1[[#This Row],[EntryDateTime]])</f>
        <v>44690</v>
      </c>
      <c r="I5165" s="1">
        <f>IF(Query1[[#This Row],[ItemType]]="EVAP KIT SF GEN IV",Query1[[#This Row],[OrderQty]]+I5164,I5164)</f>
        <v>6431</v>
      </c>
      <c r="J5165" s="1">
        <f>IF(Query1[[#This Row],[ItemType]]="EVAP KIT UNIVERSAL",Query1[[#This Row],[OrderQty]]+J5164,J5164)</f>
        <v>2171</v>
      </c>
      <c r="K5165" s="1">
        <f>Query1[[#This Row],[SF Running Total]]+Query1[[#This Row],[UNIV Running Total]]</f>
        <v>8602</v>
      </c>
      <c r="L5165">
        <f>VLOOKUP(Query1[[#This Row],[Description]],'kits to boards'!$B$2:$E$156,2,FALSE)</f>
        <v>830014</v>
      </c>
      <c r="M5165">
        <f>VLOOKUP(Query1[[#This Row],[Description]],'kits to boards'!$B$2:$E$156,3,FALSE)</f>
        <v>0</v>
      </c>
      <c r="N5165">
        <f>VLOOKUP(Query1[[#This Row],[Description]],'kits to boards'!$B$2:$E$156,4,FALSE)</f>
        <v>0</v>
      </c>
      <c r="O5165" t="str">
        <f>CONCATENATE(Query1[[#This Row],[Description]]," - ",Query1[[#This Row],[MB1]]," - ",Query1[[#This Row],[MB2]]," - ",Query1[[#This Row],[MB3]])</f>
        <v>EVAP KIT 67-72 CHEV P-UP WO AC - 830014 - 0 - 0</v>
      </c>
    </row>
    <row r="5166" spans="1:15" x14ac:dyDescent="0.25">
      <c r="A5166" s="1">
        <v>922934</v>
      </c>
      <c r="B5166" s="1" t="s">
        <v>26</v>
      </c>
      <c r="C5166" s="1" t="s">
        <v>27</v>
      </c>
      <c r="D5166" s="2">
        <v>44690.335796446758</v>
      </c>
      <c r="E5166" s="1" t="s">
        <v>8</v>
      </c>
      <c r="F5166" s="1">
        <v>5</v>
      </c>
      <c r="G5166" s="1">
        <v>0</v>
      </c>
      <c r="H5166" s="6">
        <f>INT(Query1[[#This Row],[EntryDateTime]])</f>
        <v>44690</v>
      </c>
      <c r="I5166" s="1">
        <f>IF(Query1[[#This Row],[ItemType]]="EVAP KIT SF GEN IV",Query1[[#This Row],[OrderQty]]+I5165,I5165)</f>
        <v>6436</v>
      </c>
      <c r="J5166" s="1">
        <f>IF(Query1[[#This Row],[ItemType]]="EVAP KIT UNIVERSAL",Query1[[#This Row],[OrderQty]]+J5165,J5165)</f>
        <v>2171</v>
      </c>
      <c r="K5166" s="1">
        <f>Query1[[#This Row],[SF Running Total]]+Query1[[#This Row],[UNIV Running Total]]</f>
        <v>8607</v>
      </c>
      <c r="L5166">
        <f>VLOOKUP(Query1[[#This Row],[Description]],'kits to boards'!$B$2:$E$156,2,FALSE)</f>
        <v>830013</v>
      </c>
      <c r="M5166">
        <f>VLOOKUP(Query1[[#This Row],[Description]],'kits to boards'!$B$2:$E$156,3,FALSE)</f>
        <v>0</v>
      </c>
      <c r="N5166">
        <f>VLOOKUP(Query1[[#This Row],[Description]],'kits to boards'!$B$2:$E$156,4,FALSE)</f>
        <v>0</v>
      </c>
      <c r="O5166" t="str">
        <f>CONCATENATE(Query1[[#This Row],[Description]]," - ",Query1[[#This Row],[MB1]]," - ",Query1[[#This Row],[MB2]]," - ",Query1[[#This Row],[MB3]])</f>
        <v>EVAP KIT 67-72 CHEV P-UP W/AC - 830013 - 0 - 0</v>
      </c>
    </row>
    <row r="5167" spans="1:15" x14ac:dyDescent="0.25">
      <c r="A5167" s="1">
        <v>922934</v>
      </c>
      <c r="B5167" s="1" t="s">
        <v>124</v>
      </c>
      <c r="C5167" s="1" t="s">
        <v>125</v>
      </c>
      <c r="D5167" s="2">
        <v>44690.335798726854</v>
      </c>
      <c r="E5167" s="1" t="s">
        <v>8</v>
      </c>
      <c r="F5167" s="1">
        <v>4</v>
      </c>
      <c r="G5167" s="1">
        <v>0</v>
      </c>
      <c r="H5167" s="6">
        <f>INT(Query1[[#This Row],[EntryDateTime]])</f>
        <v>44690</v>
      </c>
      <c r="I5167" s="1">
        <f>IF(Query1[[#This Row],[ItemType]]="EVAP KIT SF GEN IV",Query1[[#This Row],[OrderQty]]+I5166,I5166)</f>
        <v>6440</v>
      </c>
      <c r="J5167" s="1">
        <f>IF(Query1[[#This Row],[ItemType]]="EVAP KIT UNIVERSAL",Query1[[#This Row],[OrderQty]]+J5166,J5166)</f>
        <v>2171</v>
      </c>
      <c r="K5167" s="1">
        <f>Query1[[#This Row],[SF Running Total]]+Query1[[#This Row],[UNIV Running Total]]</f>
        <v>8611</v>
      </c>
      <c r="L5167">
        <f>VLOOKUP(Query1[[#This Row],[Description]],'kits to boards'!$B$2:$E$156,2,FALSE)</f>
        <v>830002</v>
      </c>
      <c r="M5167">
        <f>VLOOKUP(Query1[[#This Row],[Description]],'kits to boards'!$B$2:$E$156,3,FALSE)</f>
        <v>0</v>
      </c>
      <c r="N5167">
        <f>VLOOKUP(Query1[[#This Row],[Description]],'kits to boards'!$B$2:$E$156,4,FALSE)</f>
        <v>0</v>
      </c>
      <c r="O5167" t="str">
        <f>CONCATENATE(Query1[[#This Row],[Description]]," - ",Query1[[#This Row],[MB1]]," - ",Query1[[#This Row],[MB2]]," - ",Query1[[#This Row],[MB3]])</f>
        <v>EVAP KIT 73-80 CHEV P-UP WO AC - 830002 - 0 - 0</v>
      </c>
    </row>
    <row r="5168" spans="1:15" x14ac:dyDescent="0.25">
      <c r="A5168" s="1">
        <v>922934</v>
      </c>
      <c r="B5168" s="1" t="s">
        <v>28</v>
      </c>
      <c r="C5168" s="1" t="s">
        <v>29</v>
      </c>
      <c r="D5168" s="2">
        <v>44690.335800694447</v>
      </c>
      <c r="E5168" s="1" t="s">
        <v>8</v>
      </c>
      <c r="F5168" s="1">
        <v>5</v>
      </c>
      <c r="G5168" s="1">
        <v>0</v>
      </c>
      <c r="H5168" s="6">
        <f>INT(Query1[[#This Row],[EntryDateTime]])</f>
        <v>44690</v>
      </c>
      <c r="I5168" s="1">
        <f>IF(Query1[[#This Row],[ItemType]]="EVAP KIT SF GEN IV",Query1[[#This Row],[OrderQty]]+I5167,I5167)</f>
        <v>6445</v>
      </c>
      <c r="J5168" s="1">
        <f>IF(Query1[[#This Row],[ItemType]]="EVAP KIT UNIVERSAL",Query1[[#This Row],[OrderQty]]+J5167,J5167)</f>
        <v>2171</v>
      </c>
      <c r="K5168" s="1">
        <f>Query1[[#This Row],[SF Running Total]]+Query1[[#This Row],[UNIV Running Total]]</f>
        <v>8616</v>
      </c>
      <c r="L5168">
        <f>VLOOKUP(Query1[[#This Row],[Description]],'kits to boards'!$B$2:$E$156,2,FALSE)</f>
        <v>830001</v>
      </c>
      <c r="M5168">
        <f>VLOOKUP(Query1[[#This Row],[Description]],'kits to boards'!$B$2:$E$156,3,FALSE)</f>
        <v>0</v>
      </c>
      <c r="N5168">
        <f>VLOOKUP(Query1[[#This Row],[Description]],'kits to boards'!$B$2:$E$156,4,FALSE)</f>
        <v>0</v>
      </c>
      <c r="O5168" t="str">
        <f>CONCATENATE(Query1[[#This Row],[Description]]," - ",Query1[[#This Row],[MB1]]," - ",Query1[[#This Row],[MB2]]," - ",Query1[[#This Row],[MB3]])</f>
        <v>EVAP KIT 73-80 CHEV P-UP W/AC - 830001 - 0 - 0</v>
      </c>
    </row>
    <row r="5169" spans="1:15" x14ac:dyDescent="0.25">
      <c r="A5169" s="1">
        <v>922934</v>
      </c>
      <c r="B5169" s="1" t="s">
        <v>88</v>
      </c>
      <c r="C5169" s="1" t="s">
        <v>89</v>
      </c>
      <c r="D5169" s="2">
        <v>44690.335802395835</v>
      </c>
      <c r="E5169" s="1" t="s">
        <v>8</v>
      </c>
      <c r="F5169" s="1">
        <v>2</v>
      </c>
      <c r="G5169" s="1">
        <v>0</v>
      </c>
      <c r="H5169" s="6">
        <f>INT(Query1[[#This Row],[EntryDateTime]])</f>
        <v>44690</v>
      </c>
      <c r="I5169" s="1">
        <f>IF(Query1[[#This Row],[ItemType]]="EVAP KIT SF GEN IV",Query1[[#This Row],[OrderQty]]+I5168,I5168)</f>
        <v>6447</v>
      </c>
      <c r="J5169" s="1">
        <f>IF(Query1[[#This Row],[ItemType]]="EVAP KIT UNIVERSAL",Query1[[#This Row],[OrderQty]]+J5168,J5168)</f>
        <v>2171</v>
      </c>
      <c r="K5169" s="1">
        <f>Query1[[#This Row],[SF Running Total]]+Query1[[#This Row],[UNIV Running Total]]</f>
        <v>8618</v>
      </c>
      <c r="L5169">
        <f>VLOOKUP(Query1[[#This Row],[Description]],'kits to boards'!$B$2:$E$156,2,FALSE)</f>
        <v>830003</v>
      </c>
      <c r="M5169">
        <f>VLOOKUP(Query1[[#This Row],[Description]],'kits to boards'!$B$2:$E$156,3,FALSE)</f>
        <v>0</v>
      </c>
      <c r="N5169">
        <f>VLOOKUP(Query1[[#This Row],[Description]],'kits to boards'!$B$2:$E$156,4,FALSE)</f>
        <v>0</v>
      </c>
      <c r="O5169" t="str">
        <f>CONCATENATE(Query1[[#This Row],[Description]]," - ",Query1[[#This Row],[MB1]]," - ",Query1[[#This Row],[MB2]]," - ",Query1[[#This Row],[MB3]])</f>
        <v>EVAP KIT 81-87 CHEV P-UP WO AC - 830003 - 0 - 0</v>
      </c>
    </row>
    <row r="5170" spans="1:15" x14ac:dyDescent="0.25">
      <c r="A5170" s="1">
        <v>922934</v>
      </c>
      <c r="B5170" s="1" t="s">
        <v>96</v>
      </c>
      <c r="C5170" s="1" t="s">
        <v>97</v>
      </c>
      <c r="D5170" s="2">
        <v>44690.335804131944</v>
      </c>
      <c r="E5170" s="1" t="s">
        <v>8</v>
      </c>
      <c r="F5170" s="1">
        <v>5</v>
      </c>
      <c r="G5170" s="1">
        <v>0</v>
      </c>
      <c r="H5170" s="6">
        <f>INT(Query1[[#This Row],[EntryDateTime]])</f>
        <v>44690</v>
      </c>
      <c r="I5170" s="1">
        <f>IF(Query1[[#This Row],[ItemType]]="EVAP KIT SF GEN IV",Query1[[#This Row],[OrderQty]]+I5169,I5169)</f>
        <v>6452</v>
      </c>
      <c r="J5170" s="1">
        <f>IF(Query1[[#This Row],[ItemType]]="EVAP KIT UNIVERSAL",Query1[[#This Row],[OrderQty]]+J5169,J5169)</f>
        <v>2171</v>
      </c>
      <c r="K5170" s="1">
        <f>Query1[[#This Row],[SF Running Total]]+Query1[[#This Row],[UNIV Running Total]]</f>
        <v>8623</v>
      </c>
      <c r="L5170">
        <f>VLOOKUP(Query1[[#This Row],[Description]],'kits to boards'!$B$2:$E$156,2,FALSE)</f>
        <v>830004</v>
      </c>
      <c r="M5170">
        <f>VLOOKUP(Query1[[#This Row],[Description]],'kits to boards'!$B$2:$E$156,3,FALSE)</f>
        <v>0</v>
      </c>
      <c r="N5170">
        <f>VLOOKUP(Query1[[#This Row],[Description]],'kits to boards'!$B$2:$E$156,4,FALSE)</f>
        <v>0</v>
      </c>
      <c r="O5170" t="str">
        <f>CONCATENATE(Query1[[#This Row],[Description]]," - ",Query1[[#This Row],[MB1]]," - ",Query1[[#This Row],[MB2]]," - ",Query1[[#This Row],[MB3]])</f>
        <v>EVAP KIT 81-87 CHEV P-UP W/AC - 830004 - 0 - 0</v>
      </c>
    </row>
    <row r="5171" spans="1:15" x14ac:dyDescent="0.25">
      <c r="A5171" s="1">
        <v>922934</v>
      </c>
      <c r="B5171" s="1" t="s">
        <v>502</v>
      </c>
      <c r="C5171" s="1" t="s">
        <v>503</v>
      </c>
      <c r="D5171" s="2">
        <v>44690.335805821756</v>
      </c>
      <c r="E5171" s="1" t="s">
        <v>677</v>
      </c>
      <c r="F5171" s="1">
        <v>3</v>
      </c>
      <c r="G5171" s="1">
        <v>0</v>
      </c>
      <c r="H5171" s="6">
        <f>INT(Query1[[#This Row],[EntryDateTime]])</f>
        <v>44690</v>
      </c>
      <c r="I5171" s="1">
        <f>IF(Query1[[#This Row],[ItemType]]="EVAP KIT SF GEN IV",Query1[[#This Row],[OrderQty]]+I5170,I5170)</f>
        <v>6452</v>
      </c>
      <c r="J5171" s="1">
        <f>IF(Query1[[#This Row],[ItemType]]="EVAP KIT UNIVERSAL",Query1[[#This Row],[OrderQty]]+J5170,J5170)</f>
        <v>2171</v>
      </c>
      <c r="K5171" s="1">
        <f>Query1[[#This Row],[SF Running Total]]+Query1[[#This Row],[UNIV Running Total]]</f>
        <v>8623</v>
      </c>
      <c r="L5171" t="e">
        <f>VLOOKUP(Query1[[#This Row],[Description]],'kits to boards'!$B$2:$E$156,2,FALSE)</f>
        <v>#N/A</v>
      </c>
      <c r="M5171" t="e">
        <f>VLOOKUP(Query1[[#This Row],[Description]],'kits to boards'!$B$2:$E$156,3,FALSE)</f>
        <v>#N/A</v>
      </c>
      <c r="N5171" t="e">
        <f>VLOOKUP(Query1[[#This Row],[Description]],'kits to boards'!$B$2:$E$156,4,FALSE)</f>
        <v>#N/A</v>
      </c>
      <c r="O5171" t="e">
        <f>CONCATENATE(Query1[[#This Row],[Description]]," - ",Query1[[#This Row],[MB1]]," - ",Query1[[#This Row],[MB2]]," - ",Query1[[#This Row],[MB3]])</f>
        <v>#N/A</v>
      </c>
    </row>
    <row r="5172" spans="1:15" x14ac:dyDescent="0.25">
      <c r="A5172" s="1">
        <v>922934</v>
      </c>
      <c r="B5172" s="1" t="s">
        <v>110</v>
      </c>
      <c r="C5172" s="1" t="s">
        <v>111</v>
      </c>
      <c r="D5172" s="2">
        <v>44690.335807557873</v>
      </c>
      <c r="E5172" s="1" t="s">
        <v>8</v>
      </c>
      <c r="F5172" s="1">
        <v>2</v>
      </c>
      <c r="G5172" s="1">
        <v>0</v>
      </c>
      <c r="H5172" s="6">
        <f>INT(Query1[[#This Row],[EntryDateTime]])</f>
        <v>44690</v>
      </c>
      <c r="I5172" s="1">
        <f>IF(Query1[[#This Row],[ItemType]]="EVAP KIT SF GEN IV",Query1[[#This Row],[OrderQty]]+I5171,I5171)</f>
        <v>6454</v>
      </c>
      <c r="J5172" s="1">
        <f>IF(Query1[[#This Row],[ItemType]]="EVAP KIT UNIVERSAL",Query1[[#This Row],[OrderQty]]+J5171,J5171)</f>
        <v>2171</v>
      </c>
      <c r="K5172" s="1">
        <f>Query1[[#This Row],[SF Running Total]]+Query1[[#This Row],[UNIV Running Total]]</f>
        <v>8625</v>
      </c>
      <c r="L5172">
        <f>VLOOKUP(Query1[[#This Row],[Description]],'kits to boards'!$B$2:$E$156,2,FALSE)</f>
        <v>830053</v>
      </c>
      <c r="M5172">
        <f>VLOOKUP(Query1[[#This Row],[Description]],'kits to boards'!$B$2:$E$156,3,FALSE)</f>
        <v>0</v>
      </c>
      <c r="N5172">
        <f>VLOOKUP(Query1[[#This Row],[Description]],'kits to boards'!$B$2:$E$156,4,FALSE)</f>
        <v>0</v>
      </c>
      <c r="O5172" t="str">
        <f>CONCATENATE(Query1[[#This Row],[Description]]," - ",Query1[[#This Row],[MB1]]," - ",Query1[[#This Row],[MB2]]," - ",Query1[[#This Row],[MB3]])</f>
        <v>EVAP KIT 65-66 FORD F-100 - 830053 - 0 - 0</v>
      </c>
    </row>
    <row r="5173" spans="1:15" x14ac:dyDescent="0.25">
      <c r="A5173" s="1">
        <v>922934</v>
      </c>
      <c r="B5173" s="1" t="s">
        <v>170</v>
      </c>
      <c r="C5173" s="1" t="s">
        <v>171</v>
      </c>
      <c r="D5173" s="2">
        <v>44690.335809293982</v>
      </c>
      <c r="E5173" s="1" t="s">
        <v>8</v>
      </c>
      <c r="F5173" s="1">
        <v>3</v>
      </c>
      <c r="G5173" s="1">
        <v>0</v>
      </c>
      <c r="H5173" s="6">
        <f>INT(Query1[[#This Row],[EntryDateTime]])</f>
        <v>44690</v>
      </c>
      <c r="I5173" s="1">
        <f>IF(Query1[[#This Row],[ItemType]]="EVAP KIT SF GEN IV",Query1[[#This Row],[OrderQty]]+I5172,I5172)</f>
        <v>6457</v>
      </c>
      <c r="J5173" s="1">
        <f>IF(Query1[[#This Row],[ItemType]]="EVAP KIT UNIVERSAL",Query1[[#This Row],[OrderQty]]+J5172,J5172)</f>
        <v>2171</v>
      </c>
      <c r="K5173" s="1">
        <f>Query1[[#This Row],[SF Running Total]]+Query1[[#This Row],[UNIV Running Total]]</f>
        <v>8628</v>
      </c>
      <c r="L5173">
        <f>VLOOKUP(Query1[[#This Row],[Description]],'kits to boards'!$B$2:$E$156,2,FALSE)</f>
        <v>830018</v>
      </c>
      <c r="M5173">
        <f>VLOOKUP(Query1[[#This Row],[Description]],'kits to boards'!$B$2:$E$156,3,FALSE)</f>
        <v>0</v>
      </c>
      <c r="N5173">
        <f>VLOOKUP(Query1[[#This Row],[Description]],'kits to boards'!$B$2:$E$156,4,FALSE)</f>
        <v>0</v>
      </c>
      <c r="O5173" t="str">
        <f>CONCATENATE(Query1[[#This Row],[Description]]," - ",Query1[[#This Row],[MB1]]," - ",Query1[[#This Row],[MB2]]," - ",Query1[[#This Row],[MB3]])</f>
        <v>EVAP KIT 67 FORD P-UP F-100 - 830018 - 0 - 0</v>
      </c>
    </row>
    <row r="5174" spans="1:15" x14ac:dyDescent="0.25">
      <c r="A5174" s="1">
        <v>922934</v>
      </c>
      <c r="B5174" s="1" t="s">
        <v>108</v>
      </c>
      <c r="C5174" s="1" t="s">
        <v>109</v>
      </c>
      <c r="D5174" s="2">
        <v>44690.335812152778</v>
      </c>
      <c r="E5174" s="1" t="s">
        <v>8</v>
      </c>
      <c r="F5174" s="1">
        <v>3</v>
      </c>
      <c r="G5174" s="1">
        <v>0</v>
      </c>
      <c r="H5174" s="6">
        <f>INT(Query1[[#This Row],[EntryDateTime]])</f>
        <v>44690</v>
      </c>
      <c r="I5174" s="1">
        <f>IF(Query1[[#This Row],[ItemType]]="EVAP KIT SF GEN IV",Query1[[#This Row],[OrderQty]]+I5173,I5173)</f>
        <v>6460</v>
      </c>
      <c r="J5174" s="1">
        <f>IF(Query1[[#This Row],[ItemType]]="EVAP KIT UNIVERSAL",Query1[[#This Row],[OrderQty]]+J5173,J5173)</f>
        <v>2171</v>
      </c>
      <c r="K5174" s="1">
        <f>Query1[[#This Row],[SF Running Total]]+Query1[[#This Row],[UNIV Running Total]]</f>
        <v>8631</v>
      </c>
      <c r="L5174">
        <f>VLOOKUP(Query1[[#This Row],[Description]],'kits to boards'!$B$2:$E$156,2,FALSE)</f>
        <v>830105</v>
      </c>
      <c r="M5174">
        <f>VLOOKUP(Query1[[#This Row],[Description]],'kits to boards'!$B$2:$E$156,3,FALSE)</f>
        <v>830106</v>
      </c>
      <c r="N5174">
        <f>VLOOKUP(Query1[[#This Row],[Description]],'kits to boards'!$B$2:$E$156,4,FALSE)</f>
        <v>0</v>
      </c>
      <c r="O5174" t="str">
        <f>CONCATENATE(Query1[[#This Row],[Description]]," - ",Query1[[#This Row],[MB1]]," - ",Query1[[#This Row],[MB2]]," - ",Query1[[#This Row],[MB3]])</f>
        <v>EVAP KIT 73-79 FORD TRK/78-79 BCO WO/AC - 830105 - 830106 - 0</v>
      </c>
    </row>
    <row r="5175" spans="1:15" x14ac:dyDescent="0.25">
      <c r="A5175" s="1">
        <v>922934</v>
      </c>
      <c r="B5175" s="1" t="s">
        <v>90</v>
      </c>
      <c r="C5175" s="1" t="s">
        <v>91</v>
      </c>
      <c r="D5175" s="2">
        <v>44690.335814583334</v>
      </c>
      <c r="E5175" s="1" t="s">
        <v>8</v>
      </c>
      <c r="F5175" s="1">
        <v>3</v>
      </c>
      <c r="G5175" s="1">
        <v>0</v>
      </c>
      <c r="H5175" s="6">
        <f>INT(Query1[[#This Row],[EntryDateTime]])</f>
        <v>44690</v>
      </c>
      <c r="I5175" s="1">
        <f>IF(Query1[[#This Row],[ItemType]]="EVAP KIT SF GEN IV",Query1[[#This Row],[OrderQty]]+I5174,I5174)</f>
        <v>6463</v>
      </c>
      <c r="J5175" s="1">
        <f>IF(Query1[[#This Row],[ItemType]]="EVAP KIT UNIVERSAL",Query1[[#This Row],[OrderQty]]+J5174,J5174)</f>
        <v>2171</v>
      </c>
      <c r="K5175" s="1">
        <f>Query1[[#This Row],[SF Running Total]]+Query1[[#This Row],[UNIV Running Total]]</f>
        <v>8634</v>
      </c>
      <c r="L5175">
        <f>VLOOKUP(Query1[[#This Row],[Description]],'kits to boards'!$B$2:$E$156,2,FALSE)</f>
        <v>830105</v>
      </c>
      <c r="M5175">
        <f>VLOOKUP(Query1[[#This Row],[Description]],'kits to boards'!$B$2:$E$156,3,FALSE)</f>
        <v>830106</v>
      </c>
      <c r="N5175">
        <f>VLOOKUP(Query1[[#This Row],[Description]],'kits to boards'!$B$2:$E$156,4,FALSE)</f>
        <v>0</v>
      </c>
      <c r="O5175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5176" spans="1:15" x14ac:dyDescent="0.25">
      <c r="A5176" s="1">
        <v>922934</v>
      </c>
      <c r="B5176" s="1" t="s">
        <v>186</v>
      </c>
      <c r="C5176" s="1" t="s">
        <v>187</v>
      </c>
      <c r="D5176" s="2">
        <v>44690.335816701387</v>
      </c>
      <c r="E5176" s="1" t="s">
        <v>8</v>
      </c>
      <c r="F5176" s="1">
        <v>1</v>
      </c>
      <c r="G5176" s="1">
        <v>0</v>
      </c>
      <c r="H5176" s="6">
        <f>INT(Query1[[#This Row],[EntryDateTime]])</f>
        <v>44690</v>
      </c>
      <c r="I5176" s="1">
        <f>IF(Query1[[#This Row],[ItemType]]="EVAP KIT SF GEN IV",Query1[[#This Row],[OrderQty]]+I5175,I5175)</f>
        <v>6464</v>
      </c>
      <c r="J5176" s="1">
        <f>IF(Query1[[#This Row],[ItemType]]="EVAP KIT UNIVERSAL",Query1[[#This Row],[OrderQty]]+J5175,J5175)</f>
        <v>2171</v>
      </c>
      <c r="K5176" s="1">
        <f>Query1[[#This Row],[SF Running Total]]+Query1[[#This Row],[UNIV Running Total]]</f>
        <v>8635</v>
      </c>
      <c r="L5176">
        <f>VLOOKUP(Query1[[#This Row],[Description]],'kits to boards'!$B$2:$E$156,2,FALSE)</f>
        <v>830125</v>
      </c>
      <c r="M5176">
        <f>VLOOKUP(Query1[[#This Row],[Description]],'kits to boards'!$B$2:$E$156,3,FALSE)</f>
        <v>830126</v>
      </c>
      <c r="N5176">
        <f>VLOOKUP(Query1[[#This Row],[Description]],'kits to boards'!$B$2:$E$156,4,FALSE)</f>
        <v>0</v>
      </c>
      <c r="O5176" t="str">
        <f>CONCATENATE(Query1[[#This Row],[Description]]," - ",Query1[[#This Row],[MB1]]," - ",Query1[[#This Row],[MB2]]," - ",Query1[[#This Row],[MB3]])</f>
        <v>EVAP KIT 65-66 IMPALA WO/AC - 830125 - 830126 - 0</v>
      </c>
    </row>
    <row r="5177" spans="1:15" x14ac:dyDescent="0.25">
      <c r="A5177" s="1">
        <v>922934</v>
      </c>
      <c r="B5177" s="1" t="s">
        <v>6</v>
      </c>
      <c r="C5177" s="1" t="s">
        <v>7</v>
      </c>
      <c r="D5177" s="2">
        <v>44690.335818599538</v>
      </c>
      <c r="E5177" s="1" t="s">
        <v>8</v>
      </c>
      <c r="F5177" s="1">
        <v>3</v>
      </c>
      <c r="G5177" s="1">
        <v>0</v>
      </c>
      <c r="H5177" s="6">
        <f>INT(Query1[[#This Row],[EntryDateTime]])</f>
        <v>44690</v>
      </c>
      <c r="I5177" s="1">
        <f>IF(Query1[[#This Row],[ItemType]]="EVAP KIT SF GEN IV",Query1[[#This Row],[OrderQty]]+I5176,I5176)</f>
        <v>6467</v>
      </c>
      <c r="J5177" s="1">
        <f>IF(Query1[[#This Row],[ItemType]]="EVAP KIT UNIVERSAL",Query1[[#This Row],[OrderQty]]+J5176,J5176)</f>
        <v>2171</v>
      </c>
      <c r="K5177" s="1">
        <f>Query1[[#This Row],[SF Running Total]]+Query1[[#This Row],[UNIV Running Total]]</f>
        <v>8638</v>
      </c>
      <c r="L5177">
        <f>VLOOKUP(Query1[[#This Row],[Description]],'kits to boards'!$B$2:$E$156,2,FALSE)</f>
        <v>830132</v>
      </c>
      <c r="M5177">
        <f>VLOOKUP(Query1[[#This Row],[Description]],'kits to boards'!$B$2:$E$156,3,FALSE)</f>
        <v>0</v>
      </c>
      <c r="N5177">
        <f>VLOOKUP(Query1[[#This Row],[Description]],'kits to boards'!$B$2:$E$156,4,FALSE)</f>
        <v>0</v>
      </c>
      <c r="O5177" t="str">
        <f>CONCATENATE(Query1[[#This Row],[Description]]," - ",Query1[[#This Row],[MB1]]," - ",Query1[[#This Row],[MB2]]," - ",Query1[[#This Row],[MB3]])</f>
        <v>EVAP KIT 82-88 MONTE CARLO/EL CAMINO - 830132 - 0 - 0</v>
      </c>
    </row>
    <row r="5178" spans="1:15" x14ac:dyDescent="0.25">
      <c r="A5178" s="1">
        <v>922938</v>
      </c>
      <c r="B5178" s="1" t="s">
        <v>52</v>
      </c>
      <c r="C5178" s="1" t="s">
        <v>53</v>
      </c>
      <c r="D5178" s="2">
        <v>44690.341678356483</v>
      </c>
      <c r="E5178" s="1" t="s">
        <v>8</v>
      </c>
      <c r="F5178" s="1">
        <v>1</v>
      </c>
      <c r="G5178" s="1">
        <v>0</v>
      </c>
      <c r="H5178" s="6">
        <f>INT(Query1[[#This Row],[EntryDateTime]])</f>
        <v>44690</v>
      </c>
      <c r="I5178" s="1">
        <f>IF(Query1[[#This Row],[ItemType]]="EVAP KIT SF GEN IV",Query1[[#This Row],[OrderQty]]+I5177,I5177)</f>
        <v>6468</v>
      </c>
      <c r="J5178" s="1">
        <f>IF(Query1[[#This Row],[ItemType]]="EVAP KIT UNIVERSAL",Query1[[#This Row],[OrderQty]]+J5177,J5177)</f>
        <v>2171</v>
      </c>
      <c r="K5178" s="1">
        <f>Query1[[#This Row],[SF Running Total]]+Query1[[#This Row],[UNIV Running Total]]</f>
        <v>8639</v>
      </c>
      <c r="L5178">
        <f>VLOOKUP(Query1[[#This Row],[Description]],'kits to boards'!$B$2:$E$156,2,FALSE)</f>
        <v>830017</v>
      </c>
      <c r="M5178">
        <f>VLOOKUP(Query1[[#This Row],[Description]],'kits to boards'!$B$2:$E$156,3,FALSE)</f>
        <v>830119</v>
      </c>
      <c r="N5178">
        <f>VLOOKUP(Query1[[#This Row],[Description]],'kits to boards'!$B$2:$E$156,4,FALSE)</f>
        <v>830120</v>
      </c>
      <c r="O5178" t="str">
        <f>CONCATENATE(Query1[[#This Row],[Description]]," - ",Query1[[#This Row],[MB1]]," - ",Query1[[#This Row],[MB2]]," - ",Query1[[#This Row],[MB3]])</f>
        <v>EVAP KIT 67-68 CAMARO/FIREBIRD WO/AC - 830017 - 830119 - 830120</v>
      </c>
    </row>
    <row r="5179" spans="1:15" x14ac:dyDescent="0.25">
      <c r="A5179" s="1">
        <v>922523</v>
      </c>
      <c r="B5179" s="1" t="s">
        <v>22</v>
      </c>
      <c r="C5179" s="1" t="s">
        <v>23</v>
      </c>
      <c r="D5179" s="2">
        <v>44690.34302734954</v>
      </c>
      <c r="E5179" s="1" t="s">
        <v>8</v>
      </c>
      <c r="F5179" s="1">
        <v>1</v>
      </c>
      <c r="G5179" s="1">
        <v>0</v>
      </c>
      <c r="H5179" s="6">
        <f>INT(Query1[[#This Row],[EntryDateTime]])</f>
        <v>44690</v>
      </c>
      <c r="I5179" s="1">
        <f>IF(Query1[[#This Row],[ItemType]]="EVAP KIT SF GEN IV",Query1[[#This Row],[OrderQty]]+I5178,I5178)</f>
        <v>6469</v>
      </c>
      <c r="J5179" s="1">
        <f>IF(Query1[[#This Row],[ItemType]]="EVAP KIT UNIVERSAL",Query1[[#This Row],[OrderQty]]+J5178,J5178)</f>
        <v>2171</v>
      </c>
      <c r="K5179" s="1">
        <f>Query1[[#This Row],[SF Running Total]]+Query1[[#This Row],[UNIV Running Total]]</f>
        <v>8640</v>
      </c>
      <c r="L5179">
        <f>VLOOKUP(Query1[[#This Row],[Description]],'kits to boards'!$B$2:$E$156,2,FALSE)</f>
        <v>830083</v>
      </c>
      <c r="M5179">
        <f>VLOOKUP(Query1[[#This Row],[Description]],'kits to boards'!$B$2:$E$156,3,FALSE)</f>
        <v>0</v>
      </c>
      <c r="N5179">
        <f>VLOOKUP(Query1[[#This Row],[Description]],'kits to boards'!$B$2:$E$156,4,FALSE)</f>
        <v>0</v>
      </c>
      <c r="O5179" t="str">
        <f>CONCATENATE(Query1[[#This Row],[Description]]," - ",Query1[[#This Row],[MB1]]," - ",Query1[[#This Row],[MB2]]," - ",Query1[[#This Row],[MB3]])</f>
        <v>GEN IV MAGNUM EVAP KIT - 830083 - 0 - 0</v>
      </c>
    </row>
    <row r="5180" spans="1:15" x14ac:dyDescent="0.25">
      <c r="A5180" s="1">
        <v>922930</v>
      </c>
      <c r="B5180" s="1" t="s">
        <v>154</v>
      </c>
      <c r="C5180" s="1" t="s">
        <v>155</v>
      </c>
      <c r="D5180" s="2">
        <v>44690.346892627313</v>
      </c>
      <c r="E5180" s="1" t="s">
        <v>8</v>
      </c>
      <c r="F5180" s="1">
        <v>1</v>
      </c>
      <c r="G5180" s="1">
        <v>0</v>
      </c>
      <c r="H5180" s="6">
        <f>INT(Query1[[#This Row],[EntryDateTime]])</f>
        <v>44690</v>
      </c>
      <c r="I5180" s="1">
        <f>IF(Query1[[#This Row],[ItemType]]="EVAP KIT SF GEN IV",Query1[[#This Row],[OrderQty]]+I5179,I5179)</f>
        <v>6470</v>
      </c>
      <c r="J5180" s="1">
        <f>IF(Query1[[#This Row],[ItemType]]="EVAP KIT UNIVERSAL",Query1[[#This Row],[OrderQty]]+J5179,J5179)</f>
        <v>2171</v>
      </c>
      <c r="K5180" s="1">
        <f>Query1[[#This Row],[SF Running Total]]+Query1[[#This Row],[UNIV Running Total]]</f>
        <v>8641</v>
      </c>
      <c r="L5180">
        <f>VLOOKUP(Query1[[#This Row],[Description]],'kits to boards'!$B$2:$E$156,2,FALSE)</f>
        <v>830124</v>
      </c>
      <c r="M5180">
        <f>VLOOKUP(Query1[[#This Row],[Description]],'kits to boards'!$B$2:$E$156,3,FALSE)</f>
        <v>0</v>
      </c>
      <c r="N5180">
        <f>VLOOKUP(Query1[[#This Row],[Description]],'kits to boards'!$B$2:$E$156,4,FALSE)</f>
        <v>0</v>
      </c>
      <c r="O5180" t="str">
        <f>CONCATENATE(Query1[[#This Row],[Description]]," - ",Query1[[#This Row],[MB1]]," - ",Query1[[#This Row],[MB2]]," - ",Query1[[#This Row],[MB3]])</f>
        <v>EVAP KIT 69 GTO W/AC - 830124 - 0 - 0</v>
      </c>
    </row>
    <row r="5181" spans="1:15" x14ac:dyDescent="0.25">
      <c r="A5181" s="1">
        <v>922937</v>
      </c>
      <c r="B5181" s="1" t="s">
        <v>56</v>
      </c>
      <c r="C5181" s="1" t="s">
        <v>57</v>
      </c>
      <c r="D5181" s="2">
        <v>44690.350741782408</v>
      </c>
      <c r="E5181" s="1" t="s">
        <v>8</v>
      </c>
      <c r="F5181" s="1">
        <v>1</v>
      </c>
      <c r="G5181" s="1">
        <v>0</v>
      </c>
      <c r="H5181" s="6">
        <f>INT(Query1[[#This Row],[EntryDateTime]])</f>
        <v>44690</v>
      </c>
      <c r="I5181" s="1">
        <f>IF(Query1[[#This Row],[ItemType]]="EVAP KIT SF GEN IV",Query1[[#This Row],[OrderQty]]+I5180,I5180)</f>
        <v>6471</v>
      </c>
      <c r="J5181" s="1">
        <f>IF(Query1[[#This Row],[ItemType]]="EVAP KIT UNIVERSAL",Query1[[#This Row],[OrderQty]]+J5180,J5180)</f>
        <v>2171</v>
      </c>
      <c r="K5181" s="1">
        <f>Query1[[#This Row],[SF Running Total]]+Query1[[#This Row],[UNIV Running Total]]</f>
        <v>8642</v>
      </c>
      <c r="L5181">
        <f>VLOOKUP(Query1[[#This Row],[Description]],'kits to boards'!$B$2:$E$156,2,FALSE)</f>
        <v>830011</v>
      </c>
      <c r="M5181">
        <f>VLOOKUP(Query1[[#This Row],[Description]],'kits to boards'!$B$2:$E$156,3,FALSE)</f>
        <v>0</v>
      </c>
      <c r="N5181">
        <f>VLOOKUP(Query1[[#This Row],[Description]],'kits to boards'!$B$2:$E$156,4,FALSE)</f>
        <v>0</v>
      </c>
      <c r="O5181" t="str">
        <f>CONCATENATE(Query1[[#This Row],[Description]]," - ",Query1[[#This Row],[MB1]]," - ",Query1[[#This Row],[MB2]]," - ",Query1[[#This Row],[MB3]])</f>
        <v>EVAP KIT 70-72 CHEVELLE W/AC - 830011 - 0 - 0</v>
      </c>
    </row>
    <row r="5182" spans="1:15" x14ac:dyDescent="0.25">
      <c r="A5182" s="1">
        <v>922945</v>
      </c>
      <c r="B5182" s="1" t="s">
        <v>126</v>
      </c>
      <c r="C5182" s="1" t="s">
        <v>127</v>
      </c>
      <c r="D5182" s="2">
        <v>44690.352369756947</v>
      </c>
      <c r="E5182" s="1" t="s">
        <v>8</v>
      </c>
      <c r="F5182" s="1">
        <v>1</v>
      </c>
      <c r="G5182" s="1">
        <v>0</v>
      </c>
      <c r="H5182" s="6">
        <f>INT(Query1[[#This Row],[EntryDateTime]])</f>
        <v>44690</v>
      </c>
      <c r="I5182" s="1">
        <f>IF(Query1[[#This Row],[ItemType]]="EVAP KIT SF GEN IV",Query1[[#This Row],[OrderQty]]+I5181,I5181)</f>
        <v>6472</v>
      </c>
      <c r="J5182" s="1">
        <f>IF(Query1[[#This Row],[ItemType]]="EVAP KIT UNIVERSAL",Query1[[#This Row],[OrderQty]]+J5181,J5181)</f>
        <v>2171</v>
      </c>
      <c r="K5182" s="1">
        <f>Query1[[#This Row],[SF Running Total]]+Query1[[#This Row],[UNIV Running Total]]</f>
        <v>8643</v>
      </c>
      <c r="L5182">
        <f>VLOOKUP(Query1[[#This Row],[Description]],'kits to boards'!$B$2:$E$156,2,FALSE)</f>
        <v>830080</v>
      </c>
      <c r="M5182">
        <f>VLOOKUP(Query1[[#This Row],[Description]],'kits to boards'!$B$2:$E$156,3,FALSE)</f>
        <v>0</v>
      </c>
      <c r="N5182">
        <f>VLOOKUP(Query1[[#This Row],[Description]],'kits to boards'!$B$2:$E$156,4,FALSE)</f>
        <v>0</v>
      </c>
      <c r="O5182" t="str">
        <f>CONCATENATE(Query1[[#This Row],[Description]]," - ",Query1[[#This Row],[MB1]]," - ",Query1[[#This Row],[MB2]]," - ",Query1[[#This Row],[MB3]])</f>
        <v>EVAP KIT 69-70 MUSTANG WO AC  - 830080 - 0 - 0</v>
      </c>
    </row>
    <row r="5183" spans="1:15" x14ac:dyDescent="0.25">
      <c r="A5183" s="1">
        <v>922952</v>
      </c>
      <c r="B5183" s="1" t="s">
        <v>86</v>
      </c>
      <c r="C5183" s="1" t="s">
        <v>87</v>
      </c>
      <c r="D5183" s="2">
        <v>44690.366986805559</v>
      </c>
      <c r="E5183" s="1" t="s">
        <v>8</v>
      </c>
      <c r="F5183" s="1">
        <v>1</v>
      </c>
      <c r="G5183" s="1">
        <v>0</v>
      </c>
      <c r="H5183" s="6">
        <f>INT(Query1[[#This Row],[EntryDateTime]])</f>
        <v>44690</v>
      </c>
      <c r="I5183" s="1">
        <f>IF(Query1[[#This Row],[ItemType]]="EVAP KIT SF GEN IV",Query1[[#This Row],[OrderQty]]+I5182,I5182)</f>
        <v>6473</v>
      </c>
      <c r="J5183" s="1">
        <f>IF(Query1[[#This Row],[ItemType]]="EVAP KIT UNIVERSAL",Query1[[#This Row],[OrderQty]]+J5182,J5182)</f>
        <v>2171</v>
      </c>
      <c r="K5183" s="1">
        <f>Query1[[#This Row],[SF Running Total]]+Query1[[#This Row],[UNIV Running Total]]</f>
        <v>8644</v>
      </c>
      <c r="L5183">
        <f>VLOOKUP(Query1[[#This Row],[Description]],'kits to boards'!$B$2:$E$156,2,FALSE)</f>
        <v>830048</v>
      </c>
      <c r="M5183">
        <f>VLOOKUP(Query1[[#This Row],[Description]],'kits to boards'!$B$2:$E$156,3,FALSE)</f>
        <v>0</v>
      </c>
      <c r="N5183">
        <f>VLOOKUP(Query1[[#This Row],[Description]],'kits to boards'!$B$2:$E$156,4,FALSE)</f>
        <v>0</v>
      </c>
      <c r="O5183" t="str">
        <f>CONCATENATE(Query1[[#This Row],[Description]]," - ",Query1[[#This Row],[MB1]]," - ",Query1[[#This Row],[MB2]]," - ",Query1[[#This Row],[MB3]])</f>
        <v>EVAP KIT 66-67 NOVA - 830048 - 0 - 0</v>
      </c>
    </row>
    <row r="5184" spans="1:15" x14ac:dyDescent="0.25">
      <c r="A5184" s="1">
        <v>922958</v>
      </c>
      <c r="B5184" s="1" t="s">
        <v>80</v>
      </c>
      <c r="C5184" s="1" t="s">
        <v>81</v>
      </c>
      <c r="D5184" s="2">
        <v>44690.375853819445</v>
      </c>
      <c r="E5184" s="1" t="s">
        <v>11</v>
      </c>
      <c r="F5184" s="1">
        <v>1</v>
      </c>
      <c r="G5184" s="1">
        <v>0</v>
      </c>
      <c r="H5184" s="6">
        <f>INT(Query1[[#This Row],[EntryDateTime]])</f>
        <v>44690</v>
      </c>
      <c r="I5184" s="1">
        <f>IF(Query1[[#This Row],[ItemType]]="EVAP KIT SF GEN IV",Query1[[#This Row],[OrderQty]]+I5183,I5183)</f>
        <v>6473</v>
      </c>
      <c r="J5184" s="1">
        <f>IF(Query1[[#This Row],[ItemType]]="EVAP KIT UNIVERSAL",Query1[[#This Row],[OrderQty]]+J5183,J5183)</f>
        <v>2172</v>
      </c>
      <c r="K5184" s="1">
        <f>Query1[[#This Row],[SF Running Total]]+Query1[[#This Row],[UNIV Running Total]]</f>
        <v>8645</v>
      </c>
      <c r="L5184">
        <f>VLOOKUP(Query1[[#This Row],[Description]],'kits to boards'!$B$2:$E$156,2,FALSE)</f>
        <v>0</v>
      </c>
      <c r="M5184">
        <f>VLOOKUP(Query1[[#This Row],[Description]],'kits to boards'!$B$2:$E$156,3,FALSE)</f>
        <v>0</v>
      </c>
      <c r="N5184">
        <f>VLOOKUP(Query1[[#This Row],[Description]],'kits to boards'!$B$2:$E$156,4,FALSE)</f>
        <v>0</v>
      </c>
      <c r="O5184" t="str">
        <f>CONCATENATE(Query1[[#This Row],[Description]]," - ",Query1[[#This Row],[MB1]]," - ",Query1[[#This Row],[MB2]]," - ",Query1[[#This Row],[MB3]])</f>
        <v>HERITAGE BRUSHED EVAP KIT COOL ONLY - 0 - 0 - 0</v>
      </c>
    </row>
    <row r="5185" spans="1:15" x14ac:dyDescent="0.25">
      <c r="A5185" s="1">
        <v>922951</v>
      </c>
      <c r="B5185" s="1" t="s">
        <v>240</v>
      </c>
      <c r="C5185" s="1" t="s">
        <v>241</v>
      </c>
      <c r="D5185" s="2">
        <v>44690.385710844908</v>
      </c>
      <c r="E5185" s="1" t="s">
        <v>8</v>
      </c>
      <c r="F5185" s="1">
        <v>1</v>
      </c>
      <c r="G5185" s="1">
        <v>0</v>
      </c>
      <c r="H5185" s="6">
        <f>INT(Query1[[#This Row],[EntryDateTime]])</f>
        <v>44690</v>
      </c>
      <c r="I5185" s="1">
        <f>IF(Query1[[#This Row],[ItemType]]="EVAP KIT SF GEN IV",Query1[[#This Row],[OrderQty]]+I5184,I5184)</f>
        <v>6474</v>
      </c>
      <c r="J5185" s="1">
        <f>IF(Query1[[#This Row],[ItemType]]="EVAP KIT UNIVERSAL",Query1[[#This Row],[OrderQty]]+J5184,J5184)</f>
        <v>2172</v>
      </c>
      <c r="K5185" s="1">
        <f>Query1[[#This Row],[SF Running Total]]+Query1[[#This Row],[UNIV Running Total]]</f>
        <v>8646</v>
      </c>
      <c r="L5185">
        <f>VLOOKUP(Query1[[#This Row],[Description]],'kits to boards'!$B$2:$E$156,2,FALSE)</f>
        <v>830032</v>
      </c>
      <c r="M5185">
        <f>VLOOKUP(Query1[[#This Row],[Description]],'kits to boards'!$B$2:$E$156,3,FALSE)</f>
        <v>0</v>
      </c>
      <c r="N5185">
        <f>VLOOKUP(Query1[[#This Row],[Description]],'kits to boards'!$B$2:$E$156,4,FALSE)</f>
        <v>0</v>
      </c>
      <c r="O5185" t="str">
        <f>CONCATENATE(Query1[[#This Row],[Description]]," - ",Query1[[#This Row],[MB1]]," - ",Query1[[#This Row],[MB2]]," - ",Query1[[#This Row],[MB3]])</f>
        <v>EVAP KIT 58-60 VETTE - 830032 - 0 - 0</v>
      </c>
    </row>
    <row r="5186" spans="1:15" x14ac:dyDescent="0.25">
      <c r="A5186" s="1">
        <v>922964</v>
      </c>
      <c r="B5186" s="1" t="s">
        <v>22</v>
      </c>
      <c r="C5186" s="1" t="s">
        <v>23</v>
      </c>
      <c r="D5186" s="2">
        <v>44690.392483020834</v>
      </c>
      <c r="E5186" s="1" t="s">
        <v>8</v>
      </c>
      <c r="F5186" s="1">
        <v>1</v>
      </c>
      <c r="G5186" s="1">
        <v>0</v>
      </c>
      <c r="H5186" s="6">
        <f>INT(Query1[[#This Row],[EntryDateTime]])</f>
        <v>44690</v>
      </c>
      <c r="I5186" s="1">
        <f>IF(Query1[[#This Row],[ItemType]]="EVAP KIT SF GEN IV",Query1[[#This Row],[OrderQty]]+I5185,I5185)</f>
        <v>6475</v>
      </c>
      <c r="J5186" s="1">
        <f>IF(Query1[[#This Row],[ItemType]]="EVAP KIT UNIVERSAL",Query1[[#This Row],[OrderQty]]+J5185,J5185)</f>
        <v>2172</v>
      </c>
      <c r="K5186" s="1">
        <f>Query1[[#This Row],[SF Running Total]]+Query1[[#This Row],[UNIV Running Total]]</f>
        <v>8647</v>
      </c>
      <c r="L5186">
        <f>VLOOKUP(Query1[[#This Row],[Description]],'kits to boards'!$B$2:$E$156,2,FALSE)</f>
        <v>830083</v>
      </c>
      <c r="M5186">
        <f>VLOOKUP(Query1[[#This Row],[Description]],'kits to boards'!$B$2:$E$156,3,FALSE)</f>
        <v>0</v>
      </c>
      <c r="N5186">
        <f>VLOOKUP(Query1[[#This Row],[Description]],'kits to boards'!$B$2:$E$156,4,FALSE)</f>
        <v>0</v>
      </c>
      <c r="O5186" t="str">
        <f>CONCATENATE(Query1[[#This Row],[Description]]," - ",Query1[[#This Row],[MB1]]," - ",Query1[[#This Row],[MB2]]," - ",Query1[[#This Row],[MB3]])</f>
        <v>GEN IV MAGNUM EVAP KIT - 830083 - 0 - 0</v>
      </c>
    </row>
    <row r="5187" spans="1:15" x14ac:dyDescent="0.25">
      <c r="A5187" s="1">
        <v>922549</v>
      </c>
      <c r="B5187" s="1" t="s">
        <v>94</v>
      </c>
      <c r="C5187" s="1" t="s">
        <v>95</v>
      </c>
      <c r="D5187" s="2">
        <v>44690.396445023151</v>
      </c>
      <c r="E5187" s="1" t="s">
        <v>8</v>
      </c>
      <c r="F5187" s="1">
        <v>1</v>
      </c>
      <c r="G5187" s="1">
        <v>0</v>
      </c>
      <c r="H5187" s="6">
        <f>INT(Query1[[#This Row],[EntryDateTime]])</f>
        <v>44690</v>
      </c>
      <c r="I5187" s="1">
        <f>IF(Query1[[#This Row],[ItemType]]="EVAP KIT SF GEN IV",Query1[[#This Row],[OrderQty]]+I5186,I5186)</f>
        <v>6476</v>
      </c>
      <c r="J5187" s="1">
        <f>IF(Query1[[#This Row],[ItemType]]="EVAP KIT UNIVERSAL",Query1[[#This Row],[OrderQty]]+J5186,J5186)</f>
        <v>2172</v>
      </c>
      <c r="K5187" s="1">
        <f>Query1[[#This Row],[SF Running Total]]+Query1[[#This Row],[UNIV Running Total]]</f>
        <v>8648</v>
      </c>
      <c r="L5187">
        <f>VLOOKUP(Query1[[#This Row],[Description]],'kits to boards'!$B$2:$E$156,2,FALSE)</f>
        <v>830076</v>
      </c>
      <c r="M5187">
        <f>VLOOKUP(Query1[[#This Row],[Description]],'kits to boards'!$B$2:$E$156,3,FALSE)</f>
        <v>0</v>
      </c>
      <c r="N5187">
        <f>VLOOKUP(Query1[[#This Row],[Description]],'kits to boards'!$B$2:$E$156,4,FALSE)</f>
        <v>0</v>
      </c>
      <c r="O5187" t="str">
        <f>CONCATENATE(Query1[[#This Row],[Description]]," - ",Query1[[#This Row],[MB1]]," - ",Query1[[#This Row],[MB2]]," - ",Query1[[#This Row],[MB3]])</f>
        <v>EVAP KIT 64 1/2- 66 MUSTANG  - 830076 - 0 - 0</v>
      </c>
    </row>
    <row r="5188" spans="1:15" x14ac:dyDescent="0.25">
      <c r="A5188" s="1">
        <v>922944</v>
      </c>
      <c r="B5188" s="1" t="s">
        <v>116</v>
      </c>
      <c r="C5188" s="1" t="s">
        <v>117</v>
      </c>
      <c r="D5188" s="2">
        <v>44690.404549074075</v>
      </c>
      <c r="E5188" s="1" t="s">
        <v>8</v>
      </c>
      <c r="F5188" s="1">
        <v>1</v>
      </c>
      <c r="G5188" s="1">
        <v>0</v>
      </c>
      <c r="H5188" s="6">
        <f>INT(Query1[[#This Row],[EntryDateTime]])</f>
        <v>44690</v>
      </c>
      <c r="I5188" s="1">
        <f>IF(Query1[[#This Row],[ItemType]]="EVAP KIT SF GEN IV",Query1[[#This Row],[OrderQty]]+I5187,I5187)</f>
        <v>6477</v>
      </c>
      <c r="J5188" s="1">
        <f>IF(Query1[[#This Row],[ItemType]]="EVAP KIT UNIVERSAL",Query1[[#This Row],[OrderQty]]+J5187,J5187)</f>
        <v>2172</v>
      </c>
      <c r="K5188" s="1">
        <f>Query1[[#This Row],[SF Running Total]]+Query1[[#This Row],[UNIV Running Total]]</f>
        <v>8649</v>
      </c>
      <c r="L5188">
        <f>VLOOKUP(Query1[[#This Row],[Description]],'kits to boards'!$B$2:$E$156,2,FALSE)</f>
        <v>830058</v>
      </c>
      <c r="M5188">
        <f>VLOOKUP(Query1[[#This Row],[Description]],'kits to boards'!$B$2:$E$156,3,FALSE)</f>
        <v>0</v>
      </c>
      <c r="N5188">
        <f>VLOOKUP(Query1[[#This Row],[Description]],'kits to boards'!$B$2:$E$156,4,FALSE)</f>
        <v>0</v>
      </c>
      <c r="O5188" t="str">
        <f>CONCATENATE(Query1[[#This Row],[Description]]," - ",Query1[[#This Row],[MB1]]," - ",Query1[[#This Row],[MB2]]," - ",Query1[[#This Row],[MB3]])</f>
        <v>EVAP KIT 64-65 CHEVELLE WO AC - 830058 - 0 - 0</v>
      </c>
    </row>
    <row r="5189" spans="1:15" x14ac:dyDescent="0.25">
      <c r="A5189" s="1">
        <v>922947</v>
      </c>
      <c r="B5189" s="1" t="s">
        <v>26</v>
      </c>
      <c r="C5189" s="1" t="s">
        <v>27</v>
      </c>
      <c r="D5189" s="2">
        <v>44690.406181863429</v>
      </c>
      <c r="E5189" s="1" t="s">
        <v>8</v>
      </c>
      <c r="F5189" s="1">
        <v>1</v>
      </c>
      <c r="G5189" s="1">
        <v>0</v>
      </c>
      <c r="H5189" s="6">
        <f>INT(Query1[[#This Row],[EntryDateTime]])</f>
        <v>44690</v>
      </c>
      <c r="I5189" s="1">
        <f>IF(Query1[[#This Row],[ItemType]]="EVAP KIT SF GEN IV",Query1[[#This Row],[OrderQty]]+I5188,I5188)</f>
        <v>6478</v>
      </c>
      <c r="J5189" s="1">
        <f>IF(Query1[[#This Row],[ItemType]]="EVAP KIT UNIVERSAL",Query1[[#This Row],[OrderQty]]+J5188,J5188)</f>
        <v>2172</v>
      </c>
      <c r="K5189" s="1">
        <f>Query1[[#This Row],[SF Running Total]]+Query1[[#This Row],[UNIV Running Total]]</f>
        <v>8650</v>
      </c>
      <c r="L5189">
        <f>VLOOKUP(Query1[[#This Row],[Description]],'kits to boards'!$B$2:$E$156,2,FALSE)</f>
        <v>830013</v>
      </c>
      <c r="M5189">
        <f>VLOOKUP(Query1[[#This Row],[Description]],'kits to boards'!$B$2:$E$156,3,FALSE)</f>
        <v>0</v>
      </c>
      <c r="N5189">
        <f>VLOOKUP(Query1[[#This Row],[Description]],'kits to boards'!$B$2:$E$156,4,FALSE)</f>
        <v>0</v>
      </c>
      <c r="O5189" t="str">
        <f>CONCATENATE(Query1[[#This Row],[Description]]," - ",Query1[[#This Row],[MB1]]," - ",Query1[[#This Row],[MB2]]," - ",Query1[[#This Row],[MB3]])</f>
        <v>EVAP KIT 67-72 CHEV P-UP W/AC - 830013 - 0 - 0</v>
      </c>
    </row>
    <row r="5190" spans="1:15" x14ac:dyDescent="0.25">
      <c r="A5190" s="1">
        <v>922954</v>
      </c>
      <c r="B5190" s="1" t="s">
        <v>256</v>
      </c>
      <c r="C5190" s="1" t="s">
        <v>257</v>
      </c>
      <c r="D5190" s="2">
        <v>44690.408927546297</v>
      </c>
      <c r="E5190" s="1" t="s">
        <v>8</v>
      </c>
      <c r="F5190" s="1">
        <v>1</v>
      </c>
      <c r="G5190" s="1">
        <v>0</v>
      </c>
      <c r="H5190" s="6">
        <f>INT(Query1[[#This Row],[EntryDateTime]])</f>
        <v>44690</v>
      </c>
      <c r="I5190" s="1">
        <f>IF(Query1[[#This Row],[ItemType]]="EVAP KIT SF GEN IV",Query1[[#This Row],[OrderQty]]+I5189,I5189)</f>
        <v>6479</v>
      </c>
      <c r="J5190" s="1">
        <f>IF(Query1[[#This Row],[ItemType]]="EVAP KIT UNIVERSAL",Query1[[#This Row],[OrderQty]]+J5189,J5189)</f>
        <v>2172</v>
      </c>
      <c r="K5190" s="1">
        <f>Query1[[#This Row],[SF Running Total]]+Query1[[#This Row],[UNIV Running Total]]</f>
        <v>8651</v>
      </c>
      <c r="L5190">
        <f>VLOOKUP(Query1[[#This Row],[Description]],'kits to boards'!$B$2:$E$156,2,FALSE)</f>
        <v>830025</v>
      </c>
      <c r="M5190">
        <f>VLOOKUP(Query1[[#This Row],[Description]],'kits to boards'!$B$2:$E$156,3,FALSE)</f>
        <v>830022</v>
      </c>
      <c r="N5190">
        <f>VLOOKUP(Query1[[#This Row],[Description]],'kits to boards'!$B$2:$E$156,4,FALSE)</f>
        <v>0</v>
      </c>
      <c r="O5190" t="str">
        <f>CONCATENATE(Query1[[#This Row],[Description]]," - ",Query1[[#This Row],[MB1]]," - ",Query1[[#This Row],[MB2]]," - ",Query1[[#This Row],[MB3]])</f>
        <v>EVAP KIT 68-69 CUTLASS W/AC - 830025 - 830022 - 0</v>
      </c>
    </row>
    <row r="5191" spans="1:15" x14ac:dyDescent="0.25">
      <c r="A5191" s="1">
        <v>922959</v>
      </c>
      <c r="B5191" s="1" t="s">
        <v>34</v>
      </c>
      <c r="C5191" s="1" t="s">
        <v>35</v>
      </c>
      <c r="D5191" s="2">
        <v>44690.416079745373</v>
      </c>
      <c r="E5191" s="1" t="s">
        <v>8</v>
      </c>
      <c r="F5191" s="1">
        <v>1</v>
      </c>
      <c r="G5191" s="1">
        <v>0</v>
      </c>
      <c r="H5191" s="6">
        <f>INT(Query1[[#This Row],[EntryDateTime]])</f>
        <v>44690</v>
      </c>
      <c r="I5191" s="1">
        <f>IF(Query1[[#This Row],[ItemType]]="EVAP KIT SF GEN IV",Query1[[#This Row],[OrderQty]]+I5190,I5190)</f>
        <v>6480</v>
      </c>
      <c r="J5191" s="1">
        <f>IF(Query1[[#This Row],[ItemType]]="EVAP KIT UNIVERSAL",Query1[[#This Row],[OrderQty]]+J5190,J5190)</f>
        <v>2172</v>
      </c>
      <c r="K5191" s="1">
        <f>Query1[[#This Row],[SF Running Total]]+Query1[[#This Row],[UNIV Running Total]]</f>
        <v>8652</v>
      </c>
      <c r="L5191">
        <f>VLOOKUP(Query1[[#This Row],[Description]],'kits to boards'!$B$2:$E$156,2,FALSE)</f>
        <v>830065</v>
      </c>
      <c r="M5191">
        <f>VLOOKUP(Query1[[#This Row],[Description]],'kits to boards'!$B$2:$E$156,3,FALSE)</f>
        <v>0</v>
      </c>
      <c r="N5191">
        <f>VLOOKUP(Query1[[#This Row],[Description]],'kits to boards'!$B$2:$E$156,4,FALSE)</f>
        <v>0</v>
      </c>
      <c r="O5191" t="str">
        <f>CONCATENATE(Query1[[#This Row],[Description]]," - ",Query1[[#This Row],[MB1]]," - ",Query1[[#This Row],[MB2]]," - ",Query1[[#This Row],[MB3]])</f>
        <v>EVAP KIT 57 CHEV WO AC - 830065 - 0 - 0</v>
      </c>
    </row>
    <row r="5192" spans="1:15" x14ac:dyDescent="0.25">
      <c r="A5192" s="1">
        <v>922962</v>
      </c>
      <c r="B5192" s="1" t="s">
        <v>72</v>
      </c>
      <c r="C5192" s="1" t="s">
        <v>73</v>
      </c>
      <c r="D5192" s="2">
        <v>44690.418019826386</v>
      </c>
      <c r="E5192" s="1" t="s">
        <v>8</v>
      </c>
      <c r="F5192" s="1">
        <v>1</v>
      </c>
      <c r="G5192" s="1">
        <v>0</v>
      </c>
      <c r="H5192" s="6">
        <f>INT(Query1[[#This Row],[EntryDateTime]])</f>
        <v>44690</v>
      </c>
      <c r="I5192" s="1">
        <f>IF(Query1[[#This Row],[ItemType]]="EVAP KIT SF GEN IV",Query1[[#This Row],[OrderQty]]+I5191,I5191)</f>
        <v>6481</v>
      </c>
      <c r="J5192" s="1">
        <f>IF(Query1[[#This Row],[ItemType]]="EVAP KIT UNIVERSAL",Query1[[#This Row],[OrderQty]]+J5191,J5191)</f>
        <v>2172</v>
      </c>
      <c r="K5192" s="1">
        <f>Query1[[#This Row],[SF Running Total]]+Query1[[#This Row],[UNIV Running Total]]</f>
        <v>8653</v>
      </c>
      <c r="L5192">
        <f>VLOOKUP(Query1[[#This Row],[Description]],'kits to boards'!$B$2:$E$156,2,FALSE)</f>
        <v>830043</v>
      </c>
      <c r="M5192">
        <f>VLOOKUP(Query1[[#This Row],[Description]],'kits to boards'!$B$2:$E$156,3,FALSE)</f>
        <v>0</v>
      </c>
      <c r="N5192">
        <f>VLOOKUP(Query1[[#This Row],[Description]],'kits to boards'!$B$2:$E$156,4,FALSE)</f>
        <v>0</v>
      </c>
      <c r="O5192" t="str">
        <f>CONCATENATE(Query1[[#This Row],[Description]]," - ",Query1[[#This Row],[MB1]]," - ",Query1[[#This Row],[MB2]]," - ",Query1[[#This Row],[MB3]])</f>
        <v>EVAP KIT 69-74 NOVA W/AC - 830043 - 0 - 0</v>
      </c>
    </row>
    <row r="5193" spans="1:15" x14ac:dyDescent="0.25">
      <c r="A5193" s="1">
        <v>922976</v>
      </c>
      <c r="B5193" s="1" t="s">
        <v>98</v>
      </c>
      <c r="C5193" s="1" t="s">
        <v>99</v>
      </c>
      <c r="D5193" s="2">
        <v>44690.419758993055</v>
      </c>
      <c r="E5193" s="1" t="s">
        <v>11</v>
      </c>
      <c r="F5193" s="1">
        <v>1</v>
      </c>
      <c r="G5193" s="1">
        <v>0</v>
      </c>
      <c r="H5193" s="6">
        <f>INT(Query1[[#This Row],[EntryDateTime]])</f>
        <v>44690</v>
      </c>
      <c r="I5193" s="1">
        <f>IF(Query1[[#This Row],[ItemType]]="EVAP KIT SF GEN IV",Query1[[#This Row],[OrderQty]]+I5192,I5192)</f>
        <v>6481</v>
      </c>
      <c r="J5193" s="1">
        <f>IF(Query1[[#This Row],[ItemType]]="EVAP KIT UNIVERSAL",Query1[[#This Row],[OrderQty]]+J5192,J5192)</f>
        <v>2173</v>
      </c>
      <c r="K5193" s="1">
        <f>Query1[[#This Row],[SF Running Total]]+Query1[[#This Row],[UNIV Running Total]]</f>
        <v>8654</v>
      </c>
      <c r="L5193">
        <f>VLOOKUP(Query1[[#This Row],[Description]],'kits to boards'!$B$2:$E$156,2,FALSE)</f>
        <v>830099</v>
      </c>
      <c r="M5193">
        <f>VLOOKUP(Query1[[#This Row],[Description]],'kits to boards'!$B$2:$E$156,3,FALSE)</f>
        <v>0</v>
      </c>
      <c r="N5193">
        <f>VLOOKUP(Query1[[#This Row],[Description]],'kits to boards'!$B$2:$E$156,4,FALSE)</f>
        <v>0</v>
      </c>
      <c r="O5193" t="str">
        <f>CONCATENATE(Query1[[#This Row],[Description]]," - ",Query1[[#This Row],[MB1]]," - ",Query1[[#This Row],[MB2]]," - ",Query1[[#This Row],[MB3]])</f>
        <v>MINI GEN II W/DEF - 830099 - 0 - 0</v>
      </c>
    </row>
    <row r="5194" spans="1:15" x14ac:dyDescent="0.25">
      <c r="A5194" s="1">
        <v>922984</v>
      </c>
      <c r="B5194" s="1" t="s">
        <v>6</v>
      </c>
      <c r="C5194" s="1" t="s">
        <v>7</v>
      </c>
      <c r="D5194" s="2">
        <v>44690.443053784722</v>
      </c>
      <c r="E5194" s="1" t="s">
        <v>8</v>
      </c>
      <c r="F5194" s="1">
        <v>1</v>
      </c>
      <c r="G5194" s="1">
        <v>0</v>
      </c>
      <c r="H5194" s="6">
        <f>INT(Query1[[#This Row],[EntryDateTime]])</f>
        <v>44690</v>
      </c>
      <c r="I5194" s="1">
        <f>IF(Query1[[#This Row],[ItemType]]="EVAP KIT SF GEN IV",Query1[[#This Row],[OrderQty]]+I5193,I5193)</f>
        <v>6482</v>
      </c>
      <c r="J5194" s="1">
        <f>IF(Query1[[#This Row],[ItemType]]="EVAP KIT UNIVERSAL",Query1[[#This Row],[OrderQty]]+J5193,J5193)</f>
        <v>2173</v>
      </c>
      <c r="K5194" s="1">
        <f>Query1[[#This Row],[SF Running Total]]+Query1[[#This Row],[UNIV Running Total]]</f>
        <v>8655</v>
      </c>
      <c r="L5194">
        <f>VLOOKUP(Query1[[#This Row],[Description]],'kits to boards'!$B$2:$E$156,2,FALSE)</f>
        <v>830132</v>
      </c>
      <c r="M5194">
        <f>VLOOKUP(Query1[[#This Row],[Description]],'kits to boards'!$B$2:$E$156,3,FALSE)</f>
        <v>0</v>
      </c>
      <c r="N5194">
        <f>VLOOKUP(Query1[[#This Row],[Description]],'kits to boards'!$B$2:$E$156,4,FALSE)</f>
        <v>0</v>
      </c>
      <c r="O5194" t="str">
        <f>CONCATENATE(Query1[[#This Row],[Description]]," - ",Query1[[#This Row],[MB1]]," - ",Query1[[#This Row],[MB2]]," - ",Query1[[#This Row],[MB3]])</f>
        <v>EVAP KIT 82-88 MONTE CARLO/EL CAMINO - 830132 - 0 - 0</v>
      </c>
    </row>
    <row r="5195" spans="1:15" x14ac:dyDescent="0.25">
      <c r="A5195" s="1">
        <v>922346</v>
      </c>
      <c r="B5195" s="1" t="s">
        <v>192</v>
      </c>
      <c r="C5195" s="1" t="s">
        <v>193</v>
      </c>
      <c r="D5195" s="2">
        <v>44690.460392789355</v>
      </c>
      <c r="E5195" s="1" t="s">
        <v>8</v>
      </c>
      <c r="F5195" s="1">
        <v>1</v>
      </c>
      <c r="G5195" s="1">
        <v>0</v>
      </c>
      <c r="H5195" s="6">
        <f>INT(Query1[[#This Row],[EntryDateTime]])</f>
        <v>44690</v>
      </c>
      <c r="I5195" s="1">
        <f>IF(Query1[[#This Row],[ItemType]]="EVAP KIT SF GEN IV",Query1[[#This Row],[OrderQty]]+I5194,I5194)</f>
        <v>6483</v>
      </c>
      <c r="J5195" s="1">
        <f>IF(Query1[[#This Row],[ItemType]]="EVAP KIT UNIVERSAL",Query1[[#This Row],[OrderQty]]+J5194,J5194)</f>
        <v>2173</v>
      </c>
      <c r="K5195" s="1">
        <f>Query1[[#This Row],[SF Running Total]]+Query1[[#This Row],[UNIV Running Total]]</f>
        <v>8656</v>
      </c>
      <c r="L5195">
        <f>VLOOKUP(Query1[[#This Row],[Description]],'kits to boards'!$B$2:$E$156,2,FALSE)</f>
        <v>830094</v>
      </c>
      <c r="M5195">
        <f>VLOOKUP(Query1[[#This Row],[Description]],'kits to boards'!$B$2:$E$156,3,FALSE)</f>
        <v>0</v>
      </c>
      <c r="N5195">
        <f>VLOOKUP(Query1[[#This Row],[Description]],'kits to boards'!$B$2:$E$156,4,FALSE)</f>
        <v>0</v>
      </c>
      <c r="O5195" t="str">
        <f>CONCATENATE(Query1[[#This Row],[Description]]," - ",Query1[[#This Row],[MB1]]," - ",Query1[[#This Row],[MB2]]," - ",Query1[[#This Row],[MB3]])</f>
        <v>EVAP KIT 69-73 VETTE W/AC - 830094 - 0 - 0</v>
      </c>
    </row>
    <row r="5196" spans="1:15" x14ac:dyDescent="0.25">
      <c r="A5196" s="1">
        <v>922991</v>
      </c>
      <c r="B5196" s="1" t="s">
        <v>220</v>
      </c>
      <c r="C5196" s="1" t="s">
        <v>221</v>
      </c>
      <c r="D5196" s="2">
        <v>44690.461642627313</v>
      </c>
      <c r="E5196" s="1" t="s">
        <v>11</v>
      </c>
      <c r="F5196" s="1">
        <v>1</v>
      </c>
      <c r="G5196" s="1">
        <v>0</v>
      </c>
      <c r="H5196" s="6">
        <f>INT(Query1[[#This Row],[EntryDateTime]])</f>
        <v>44690</v>
      </c>
      <c r="I5196" s="1">
        <f>IF(Query1[[#This Row],[ItemType]]="EVAP KIT SF GEN IV",Query1[[#This Row],[OrderQty]]+I5195,I5195)</f>
        <v>6483</v>
      </c>
      <c r="J5196" s="1">
        <f>IF(Query1[[#This Row],[ItemType]]="EVAP KIT UNIVERSAL",Query1[[#This Row],[OrderQty]]+J5195,J5195)</f>
        <v>2174</v>
      </c>
      <c r="K5196" s="1">
        <f>Query1[[#This Row],[SF Running Total]]+Query1[[#This Row],[UNIV Running Total]]</f>
        <v>8657</v>
      </c>
      <c r="L5196">
        <f>VLOOKUP(Query1[[#This Row],[Description]],'kits to boards'!$B$2:$E$156,2,FALSE)</f>
        <v>0</v>
      </c>
      <c r="M5196">
        <f>VLOOKUP(Query1[[#This Row],[Description]],'kits to boards'!$B$2:$E$156,3,FALSE)</f>
        <v>0</v>
      </c>
      <c r="N5196">
        <f>VLOOKUP(Query1[[#This Row],[Description]],'kits to boards'!$B$2:$E$156,4,FALSE)</f>
        <v>0</v>
      </c>
      <c r="O5196" t="str">
        <f>CONCATENATE(Query1[[#This Row],[Description]]," - ",Query1[[#This Row],[MB1]]," - ",Query1[[#This Row],[MB2]]," - ",Query1[[#This Row],[MB3]])</f>
        <v>HERITAGE PEARL EVAP KIT HEAT/COOL - 0 - 0 - 0</v>
      </c>
    </row>
    <row r="5197" spans="1:15" x14ac:dyDescent="0.25">
      <c r="A5197" s="1">
        <v>923007</v>
      </c>
      <c r="B5197" s="1" t="s">
        <v>94</v>
      </c>
      <c r="C5197" s="1" t="s">
        <v>95</v>
      </c>
      <c r="D5197" s="2">
        <v>44690.523696724536</v>
      </c>
      <c r="E5197" s="1" t="s">
        <v>8</v>
      </c>
      <c r="F5197" s="1">
        <v>1</v>
      </c>
      <c r="G5197" s="1">
        <v>0</v>
      </c>
      <c r="H5197" s="6">
        <f>INT(Query1[[#This Row],[EntryDateTime]])</f>
        <v>44690</v>
      </c>
      <c r="I5197" s="1">
        <f>IF(Query1[[#This Row],[ItemType]]="EVAP KIT SF GEN IV",Query1[[#This Row],[OrderQty]]+I5196,I5196)</f>
        <v>6484</v>
      </c>
      <c r="J5197" s="1">
        <f>IF(Query1[[#This Row],[ItemType]]="EVAP KIT UNIVERSAL",Query1[[#This Row],[OrderQty]]+J5196,J5196)</f>
        <v>2174</v>
      </c>
      <c r="K5197" s="1">
        <f>Query1[[#This Row],[SF Running Total]]+Query1[[#This Row],[UNIV Running Total]]</f>
        <v>8658</v>
      </c>
      <c r="L5197">
        <f>VLOOKUP(Query1[[#This Row],[Description]],'kits to boards'!$B$2:$E$156,2,FALSE)</f>
        <v>830076</v>
      </c>
      <c r="M5197">
        <f>VLOOKUP(Query1[[#This Row],[Description]],'kits to boards'!$B$2:$E$156,3,FALSE)</f>
        <v>0</v>
      </c>
      <c r="N5197">
        <f>VLOOKUP(Query1[[#This Row],[Description]],'kits to boards'!$B$2:$E$156,4,FALSE)</f>
        <v>0</v>
      </c>
      <c r="O5197" t="str">
        <f>CONCATENATE(Query1[[#This Row],[Description]]," - ",Query1[[#This Row],[MB1]]," - ",Query1[[#This Row],[MB2]]," - ",Query1[[#This Row],[MB3]])</f>
        <v>EVAP KIT 64 1/2- 66 MUSTANG  - 830076 - 0 - 0</v>
      </c>
    </row>
    <row r="5198" spans="1:15" x14ac:dyDescent="0.25">
      <c r="A5198" s="1">
        <v>923013</v>
      </c>
      <c r="B5198" s="1" t="s">
        <v>124</v>
      </c>
      <c r="C5198" s="1" t="s">
        <v>125</v>
      </c>
      <c r="D5198" s="2">
        <v>44690.532399999996</v>
      </c>
      <c r="E5198" s="1" t="s">
        <v>8</v>
      </c>
      <c r="F5198" s="1">
        <v>1</v>
      </c>
      <c r="G5198" s="1">
        <v>0</v>
      </c>
      <c r="H5198" s="6">
        <f>INT(Query1[[#This Row],[EntryDateTime]])</f>
        <v>44690</v>
      </c>
      <c r="I5198" s="1">
        <f>IF(Query1[[#This Row],[ItemType]]="EVAP KIT SF GEN IV",Query1[[#This Row],[OrderQty]]+I5197,I5197)</f>
        <v>6485</v>
      </c>
      <c r="J5198" s="1">
        <f>IF(Query1[[#This Row],[ItemType]]="EVAP KIT UNIVERSAL",Query1[[#This Row],[OrderQty]]+J5197,J5197)</f>
        <v>2174</v>
      </c>
      <c r="K5198" s="1">
        <f>Query1[[#This Row],[SF Running Total]]+Query1[[#This Row],[UNIV Running Total]]</f>
        <v>8659</v>
      </c>
      <c r="L5198">
        <f>VLOOKUP(Query1[[#This Row],[Description]],'kits to boards'!$B$2:$E$156,2,FALSE)</f>
        <v>830002</v>
      </c>
      <c r="M5198">
        <f>VLOOKUP(Query1[[#This Row],[Description]],'kits to boards'!$B$2:$E$156,3,FALSE)</f>
        <v>0</v>
      </c>
      <c r="N5198">
        <f>VLOOKUP(Query1[[#This Row],[Description]],'kits to boards'!$B$2:$E$156,4,FALSE)</f>
        <v>0</v>
      </c>
      <c r="O5198" t="str">
        <f>CONCATENATE(Query1[[#This Row],[Description]]," - ",Query1[[#This Row],[MB1]]," - ",Query1[[#This Row],[MB2]]," - ",Query1[[#This Row],[MB3]])</f>
        <v>EVAP KIT 73-80 CHEV P-UP WO AC - 830002 - 0 - 0</v>
      </c>
    </row>
    <row r="5199" spans="1:15" x14ac:dyDescent="0.25">
      <c r="A5199" s="1">
        <v>923014</v>
      </c>
      <c r="B5199" s="1" t="s">
        <v>26</v>
      </c>
      <c r="C5199" s="1" t="s">
        <v>27</v>
      </c>
      <c r="D5199" s="2">
        <v>44690.534077743054</v>
      </c>
      <c r="E5199" s="1" t="s">
        <v>8</v>
      </c>
      <c r="F5199" s="1">
        <v>1</v>
      </c>
      <c r="G5199" s="1">
        <v>0</v>
      </c>
      <c r="H5199" s="6">
        <f>INT(Query1[[#This Row],[EntryDateTime]])</f>
        <v>44690</v>
      </c>
      <c r="I5199" s="1">
        <f>IF(Query1[[#This Row],[ItemType]]="EVAP KIT SF GEN IV",Query1[[#This Row],[OrderQty]]+I5198,I5198)</f>
        <v>6486</v>
      </c>
      <c r="J5199" s="1">
        <f>IF(Query1[[#This Row],[ItemType]]="EVAP KIT UNIVERSAL",Query1[[#This Row],[OrderQty]]+J5198,J5198)</f>
        <v>2174</v>
      </c>
      <c r="K5199" s="1">
        <f>Query1[[#This Row],[SF Running Total]]+Query1[[#This Row],[UNIV Running Total]]</f>
        <v>8660</v>
      </c>
      <c r="L5199">
        <f>VLOOKUP(Query1[[#This Row],[Description]],'kits to boards'!$B$2:$E$156,2,FALSE)</f>
        <v>830013</v>
      </c>
      <c r="M5199">
        <f>VLOOKUP(Query1[[#This Row],[Description]],'kits to boards'!$B$2:$E$156,3,FALSE)</f>
        <v>0</v>
      </c>
      <c r="N5199">
        <f>VLOOKUP(Query1[[#This Row],[Description]],'kits to boards'!$B$2:$E$156,4,FALSE)</f>
        <v>0</v>
      </c>
      <c r="O5199" t="str">
        <f>CONCATENATE(Query1[[#This Row],[Description]]," - ",Query1[[#This Row],[MB1]]," - ",Query1[[#This Row],[MB2]]," - ",Query1[[#This Row],[MB3]])</f>
        <v>EVAP KIT 67-72 CHEV P-UP W/AC - 830013 - 0 - 0</v>
      </c>
    </row>
    <row r="5200" spans="1:15" x14ac:dyDescent="0.25">
      <c r="A5200" s="1">
        <v>923015</v>
      </c>
      <c r="B5200" s="1" t="s">
        <v>90</v>
      </c>
      <c r="C5200" s="1" t="s">
        <v>91</v>
      </c>
      <c r="D5200" s="2">
        <v>44690.537088229168</v>
      </c>
      <c r="E5200" s="1" t="s">
        <v>8</v>
      </c>
      <c r="F5200" s="1">
        <v>1</v>
      </c>
      <c r="G5200" s="1">
        <v>0</v>
      </c>
      <c r="H5200" s="6">
        <f>INT(Query1[[#This Row],[EntryDateTime]])</f>
        <v>44690</v>
      </c>
      <c r="I5200" s="1">
        <f>IF(Query1[[#This Row],[ItemType]]="EVAP KIT SF GEN IV",Query1[[#This Row],[OrderQty]]+I5199,I5199)</f>
        <v>6487</v>
      </c>
      <c r="J5200" s="1">
        <f>IF(Query1[[#This Row],[ItemType]]="EVAP KIT UNIVERSAL",Query1[[#This Row],[OrderQty]]+J5199,J5199)</f>
        <v>2174</v>
      </c>
      <c r="K5200" s="1">
        <f>Query1[[#This Row],[SF Running Total]]+Query1[[#This Row],[UNIV Running Total]]</f>
        <v>8661</v>
      </c>
      <c r="L5200">
        <f>VLOOKUP(Query1[[#This Row],[Description]],'kits to boards'!$B$2:$E$156,2,FALSE)</f>
        <v>830105</v>
      </c>
      <c r="M5200">
        <f>VLOOKUP(Query1[[#This Row],[Description]],'kits to boards'!$B$2:$E$156,3,FALSE)</f>
        <v>830106</v>
      </c>
      <c r="N5200">
        <f>VLOOKUP(Query1[[#This Row],[Description]],'kits to boards'!$B$2:$E$156,4,FALSE)</f>
        <v>0</v>
      </c>
      <c r="O5200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5201" spans="1:15" x14ac:dyDescent="0.25">
      <c r="A5201" s="1">
        <v>923019</v>
      </c>
      <c r="B5201" s="1" t="s">
        <v>128</v>
      </c>
      <c r="C5201" s="1" t="s">
        <v>129</v>
      </c>
      <c r="D5201" s="2">
        <v>44690.5432840625</v>
      </c>
      <c r="E5201" s="1" t="s">
        <v>8</v>
      </c>
      <c r="F5201" s="1">
        <v>1</v>
      </c>
      <c r="G5201" s="1">
        <v>0</v>
      </c>
      <c r="H5201" s="6">
        <f>INT(Query1[[#This Row],[EntryDateTime]])</f>
        <v>44690</v>
      </c>
      <c r="I5201" s="1">
        <f>IF(Query1[[#This Row],[ItemType]]="EVAP KIT SF GEN IV",Query1[[#This Row],[OrderQty]]+I5200,I5200)</f>
        <v>6488</v>
      </c>
      <c r="J5201" s="1">
        <f>IF(Query1[[#This Row],[ItemType]]="EVAP KIT UNIVERSAL",Query1[[#This Row],[OrderQty]]+J5200,J5200)</f>
        <v>2174</v>
      </c>
      <c r="K5201" s="1">
        <f>Query1[[#This Row],[SF Running Total]]+Query1[[#This Row],[UNIV Running Total]]</f>
        <v>8662</v>
      </c>
      <c r="L5201">
        <f>VLOOKUP(Query1[[#This Row],[Description]],'kits to boards'!$B$2:$E$156,2,FALSE)</f>
        <v>830036</v>
      </c>
      <c r="M5201">
        <f>VLOOKUP(Query1[[#This Row],[Description]],'kits to boards'!$B$2:$E$156,3,FALSE)</f>
        <v>830039</v>
      </c>
      <c r="N5201">
        <f>VLOOKUP(Query1[[#This Row],[Description]],'kits to boards'!$B$2:$E$156,4,FALSE)</f>
        <v>0</v>
      </c>
      <c r="O5201" t="str">
        <f>CONCATENATE(Query1[[#This Row],[Description]]," - ",Query1[[#This Row],[MB1]]," - ",Query1[[#This Row],[MB2]]," - ",Query1[[#This Row],[MB3]])</f>
        <v>EVAP KIT 63-66 VETTE WO AC - 830036 - 830039 - 0</v>
      </c>
    </row>
    <row r="5202" spans="1:15" x14ac:dyDescent="0.25">
      <c r="A5202" s="1">
        <v>923022</v>
      </c>
      <c r="B5202" s="1" t="s">
        <v>12</v>
      </c>
      <c r="C5202" s="1" t="s">
        <v>13</v>
      </c>
      <c r="D5202" s="2">
        <v>44690.548393090277</v>
      </c>
      <c r="E5202" s="1" t="s">
        <v>8</v>
      </c>
      <c r="F5202" s="1">
        <v>1</v>
      </c>
      <c r="G5202" s="1">
        <v>0</v>
      </c>
      <c r="H5202" s="6">
        <f>INT(Query1[[#This Row],[EntryDateTime]])</f>
        <v>44690</v>
      </c>
      <c r="I5202" s="1">
        <f>IF(Query1[[#This Row],[ItemType]]="EVAP KIT SF GEN IV",Query1[[#This Row],[OrderQty]]+I5201,I5201)</f>
        <v>6489</v>
      </c>
      <c r="J5202" s="1">
        <f>IF(Query1[[#This Row],[ItemType]]="EVAP KIT UNIVERSAL",Query1[[#This Row],[OrderQty]]+J5201,J5201)</f>
        <v>2174</v>
      </c>
      <c r="K5202" s="1">
        <f>Query1[[#This Row],[SF Running Total]]+Query1[[#This Row],[UNIV Running Total]]</f>
        <v>8663</v>
      </c>
      <c r="L5202">
        <f>VLOOKUP(Query1[[#This Row],[Description]],'kits to boards'!$B$2:$E$156,2,FALSE)</f>
        <v>830079</v>
      </c>
      <c r="M5202">
        <f>VLOOKUP(Query1[[#This Row],[Description]],'kits to boards'!$B$2:$E$156,3,FALSE)</f>
        <v>830046</v>
      </c>
      <c r="N5202">
        <f>VLOOKUP(Query1[[#This Row],[Description]],'kits to boards'!$B$2:$E$156,4,FALSE)</f>
        <v>0</v>
      </c>
      <c r="O5202" t="str">
        <f>CONCATENATE(Query1[[#This Row],[Description]]," - ",Query1[[#This Row],[MB1]]," - ",Query1[[#This Row],[MB2]]," - ",Query1[[#This Row],[MB3]])</f>
        <v>EVAP KIT 67-68 MUSTANG/COUGAR W/AC - 830079 - 830046 - 0</v>
      </c>
    </row>
    <row r="5203" spans="1:15" x14ac:dyDescent="0.25">
      <c r="A5203" s="1">
        <v>923011</v>
      </c>
      <c r="B5203" s="1" t="s">
        <v>96</v>
      </c>
      <c r="C5203" s="1" t="s">
        <v>97</v>
      </c>
      <c r="D5203" s="2">
        <v>44690.54982172454</v>
      </c>
      <c r="E5203" s="1" t="s">
        <v>8</v>
      </c>
      <c r="F5203" s="1">
        <v>1</v>
      </c>
      <c r="G5203" s="1">
        <v>0</v>
      </c>
      <c r="H5203" s="6">
        <f>INT(Query1[[#This Row],[EntryDateTime]])</f>
        <v>44690</v>
      </c>
      <c r="I5203" s="1">
        <f>IF(Query1[[#This Row],[ItemType]]="EVAP KIT SF GEN IV",Query1[[#This Row],[OrderQty]]+I5202,I5202)</f>
        <v>6490</v>
      </c>
      <c r="J5203" s="1">
        <f>IF(Query1[[#This Row],[ItemType]]="EVAP KIT UNIVERSAL",Query1[[#This Row],[OrderQty]]+J5202,J5202)</f>
        <v>2174</v>
      </c>
      <c r="K5203" s="1">
        <f>Query1[[#This Row],[SF Running Total]]+Query1[[#This Row],[UNIV Running Total]]</f>
        <v>8664</v>
      </c>
      <c r="L5203">
        <f>VLOOKUP(Query1[[#This Row],[Description]],'kits to boards'!$B$2:$E$156,2,FALSE)</f>
        <v>830004</v>
      </c>
      <c r="M5203">
        <f>VLOOKUP(Query1[[#This Row],[Description]],'kits to boards'!$B$2:$E$156,3,FALSE)</f>
        <v>0</v>
      </c>
      <c r="N5203">
        <f>VLOOKUP(Query1[[#This Row],[Description]],'kits to boards'!$B$2:$E$156,4,FALSE)</f>
        <v>0</v>
      </c>
      <c r="O5203" t="str">
        <f>CONCATENATE(Query1[[#This Row],[Description]]," - ",Query1[[#This Row],[MB1]]," - ",Query1[[#This Row],[MB2]]," - ",Query1[[#This Row],[MB3]])</f>
        <v>EVAP KIT 81-87 CHEV P-UP W/AC - 830004 - 0 - 0</v>
      </c>
    </row>
    <row r="5204" spans="1:15" x14ac:dyDescent="0.25">
      <c r="A5204" s="1">
        <v>910227</v>
      </c>
      <c r="B5204" s="1" t="s">
        <v>124</v>
      </c>
      <c r="C5204" s="1" t="s">
        <v>125</v>
      </c>
      <c r="D5204" s="2">
        <v>44690.555100694444</v>
      </c>
      <c r="E5204" s="1" t="s">
        <v>8</v>
      </c>
      <c r="F5204" s="1">
        <v>1</v>
      </c>
      <c r="G5204" s="1">
        <v>0</v>
      </c>
      <c r="H5204" s="6">
        <f>INT(Query1[[#This Row],[EntryDateTime]])</f>
        <v>44690</v>
      </c>
      <c r="I5204" s="1">
        <f>IF(Query1[[#This Row],[ItemType]]="EVAP KIT SF GEN IV",Query1[[#This Row],[OrderQty]]+I5203,I5203)</f>
        <v>6491</v>
      </c>
      <c r="J5204" s="1">
        <f>IF(Query1[[#This Row],[ItemType]]="EVAP KIT UNIVERSAL",Query1[[#This Row],[OrderQty]]+J5203,J5203)</f>
        <v>2174</v>
      </c>
      <c r="K5204" s="1">
        <f>Query1[[#This Row],[SF Running Total]]+Query1[[#This Row],[UNIV Running Total]]</f>
        <v>8665</v>
      </c>
      <c r="L5204">
        <f>VLOOKUP(Query1[[#This Row],[Description]],'kits to boards'!$B$2:$E$156,2,FALSE)</f>
        <v>830002</v>
      </c>
      <c r="M5204">
        <f>VLOOKUP(Query1[[#This Row],[Description]],'kits to boards'!$B$2:$E$156,3,FALSE)</f>
        <v>0</v>
      </c>
      <c r="N5204">
        <f>VLOOKUP(Query1[[#This Row],[Description]],'kits to boards'!$B$2:$E$156,4,FALSE)</f>
        <v>0</v>
      </c>
      <c r="O5204" t="str">
        <f>CONCATENATE(Query1[[#This Row],[Description]]," - ",Query1[[#This Row],[MB1]]," - ",Query1[[#This Row],[MB2]]," - ",Query1[[#This Row],[MB3]])</f>
        <v>EVAP KIT 73-80 CHEV P-UP WO AC - 830002 - 0 - 0</v>
      </c>
    </row>
    <row r="5205" spans="1:15" x14ac:dyDescent="0.25">
      <c r="A5205" s="1">
        <v>923030</v>
      </c>
      <c r="B5205" s="1" t="s">
        <v>210</v>
      </c>
      <c r="C5205" s="1" t="s">
        <v>211</v>
      </c>
      <c r="D5205" s="2">
        <v>44690.561490659726</v>
      </c>
      <c r="E5205" s="1" t="s">
        <v>8</v>
      </c>
      <c r="F5205" s="1">
        <v>1</v>
      </c>
      <c r="G5205" s="1">
        <v>0</v>
      </c>
      <c r="H5205" s="6">
        <f>INT(Query1[[#This Row],[EntryDateTime]])</f>
        <v>44690</v>
      </c>
      <c r="I5205" s="1">
        <f>IF(Query1[[#This Row],[ItemType]]="EVAP KIT SF GEN IV",Query1[[#This Row],[OrderQty]]+I5204,I5204)</f>
        <v>6492</v>
      </c>
      <c r="J5205" s="1">
        <f>IF(Query1[[#This Row],[ItemType]]="EVAP KIT UNIVERSAL",Query1[[#This Row],[OrderQty]]+J5204,J5204)</f>
        <v>2174</v>
      </c>
      <c r="K5205" s="1">
        <f>Query1[[#This Row],[SF Running Total]]+Query1[[#This Row],[UNIV Running Total]]</f>
        <v>8666</v>
      </c>
      <c r="L5205">
        <f>VLOOKUP(Query1[[#This Row],[Description]],'kits to boards'!$B$2:$E$156,2,FALSE)</f>
        <v>830094</v>
      </c>
      <c r="M5205">
        <f>VLOOKUP(Query1[[#This Row],[Description]],'kits to boards'!$B$2:$E$156,3,FALSE)</f>
        <v>0</v>
      </c>
      <c r="N5205">
        <f>VLOOKUP(Query1[[#This Row],[Description]],'kits to boards'!$B$2:$E$156,4,FALSE)</f>
        <v>0</v>
      </c>
      <c r="O5205" t="str">
        <f>CONCATENATE(Query1[[#This Row],[Description]]," - ",Query1[[#This Row],[MB1]]," - ",Query1[[#This Row],[MB2]]," - ",Query1[[#This Row],[MB3]])</f>
        <v>EVAP KIT 74-76 VETTE W/AC - 830094 - 0 - 0</v>
      </c>
    </row>
    <row r="5206" spans="1:15" x14ac:dyDescent="0.25">
      <c r="A5206" s="1">
        <v>923032</v>
      </c>
      <c r="B5206" s="1" t="s">
        <v>76</v>
      </c>
      <c r="C5206" s="1" t="s">
        <v>77</v>
      </c>
      <c r="D5206" s="2">
        <v>44690.566886886576</v>
      </c>
      <c r="E5206" s="1" t="s">
        <v>11</v>
      </c>
      <c r="F5206" s="1">
        <v>2</v>
      </c>
      <c r="G5206" s="1">
        <v>0</v>
      </c>
      <c r="H5206" s="6">
        <f>INT(Query1[[#This Row],[EntryDateTime]])</f>
        <v>44690</v>
      </c>
      <c r="I5206" s="1">
        <f>IF(Query1[[#This Row],[ItemType]]="EVAP KIT SF GEN IV",Query1[[#This Row],[OrderQty]]+I5205,I5205)</f>
        <v>6492</v>
      </c>
      <c r="J5206" s="1">
        <f>IF(Query1[[#This Row],[ItemType]]="EVAP KIT UNIVERSAL",Query1[[#This Row],[OrderQty]]+J5205,J5205)</f>
        <v>2176</v>
      </c>
      <c r="K5206" s="1">
        <f>Query1[[#This Row],[SF Running Total]]+Query1[[#This Row],[UNIV Running Total]]</f>
        <v>8668</v>
      </c>
      <c r="L5206">
        <f>VLOOKUP(Query1[[#This Row],[Description]],'kits to boards'!$B$2:$E$156,2,FALSE)</f>
        <v>830099</v>
      </c>
      <c r="M5206">
        <f>VLOOKUP(Query1[[#This Row],[Description]],'kits to boards'!$B$2:$E$156,3,FALSE)</f>
        <v>0</v>
      </c>
      <c r="N5206">
        <f>VLOOKUP(Query1[[#This Row],[Description]],'kits to boards'!$B$2:$E$156,4,FALSE)</f>
        <v>0</v>
      </c>
      <c r="O5206" t="str">
        <f>CONCATENATE(Query1[[#This Row],[Description]]," - ",Query1[[#This Row],[MB1]]," - ",Query1[[#This Row],[MB2]]," - ",Query1[[#This Row],[MB3]])</f>
        <v>MINI GEN II H/C - 830099 - 0 - 0</v>
      </c>
    </row>
    <row r="5207" spans="1:15" x14ac:dyDescent="0.25">
      <c r="A5207" s="1">
        <v>923032</v>
      </c>
      <c r="B5207" s="1" t="s">
        <v>82</v>
      </c>
      <c r="C5207" s="1" t="s">
        <v>83</v>
      </c>
      <c r="D5207" s="2">
        <v>44690.567055439817</v>
      </c>
      <c r="E5207" s="1" t="s">
        <v>11</v>
      </c>
      <c r="F5207" s="1">
        <v>2</v>
      </c>
      <c r="G5207" s="1">
        <v>0</v>
      </c>
      <c r="H5207" s="6">
        <f>INT(Query1[[#This Row],[EntryDateTime]])</f>
        <v>44690</v>
      </c>
      <c r="I5207" s="1">
        <f>IF(Query1[[#This Row],[ItemType]]="EVAP KIT SF GEN IV",Query1[[#This Row],[OrderQty]]+I5206,I5206)</f>
        <v>6492</v>
      </c>
      <c r="J5207" s="1">
        <f>IF(Query1[[#This Row],[ItemType]]="EVAP KIT UNIVERSAL",Query1[[#This Row],[OrderQty]]+J5206,J5206)</f>
        <v>2178</v>
      </c>
      <c r="K5207" s="1">
        <f>Query1[[#This Row],[SF Running Total]]+Query1[[#This Row],[UNIV Running Total]]</f>
        <v>8670</v>
      </c>
      <c r="L5207">
        <f>VLOOKUP(Query1[[#This Row],[Description]],'kits to boards'!$B$2:$E$156,2,FALSE)</f>
        <v>830029</v>
      </c>
      <c r="M5207">
        <f>VLOOKUP(Query1[[#This Row],[Description]],'kits to boards'!$B$2:$E$156,3,FALSE)</f>
        <v>830030</v>
      </c>
      <c r="N5207">
        <f>VLOOKUP(Query1[[#This Row],[Description]],'kits to boards'!$B$2:$E$156,4,FALSE)</f>
        <v>0</v>
      </c>
      <c r="O5207" t="str">
        <f>CONCATENATE(Query1[[#This Row],[Description]]," - ",Query1[[#This Row],[MB1]]," - ",Query1[[#This Row],[MB2]]," - ",Query1[[#This Row],[MB3]])</f>
        <v>ComPac GEN II H/C - 830029 - 830030 - 0</v>
      </c>
    </row>
    <row r="5208" spans="1:15" x14ac:dyDescent="0.25">
      <c r="A5208" s="1">
        <v>923032</v>
      </c>
      <c r="B5208" s="1" t="s">
        <v>98</v>
      </c>
      <c r="C5208" s="1" t="s">
        <v>99</v>
      </c>
      <c r="D5208" s="2">
        <v>44690.567528009262</v>
      </c>
      <c r="E5208" s="1" t="s">
        <v>11</v>
      </c>
      <c r="F5208" s="1">
        <v>2</v>
      </c>
      <c r="G5208" s="1">
        <v>0</v>
      </c>
      <c r="H5208" s="6">
        <f>INT(Query1[[#This Row],[EntryDateTime]])</f>
        <v>44690</v>
      </c>
      <c r="I5208" s="1">
        <f>IF(Query1[[#This Row],[ItemType]]="EVAP KIT SF GEN IV",Query1[[#This Row],[OrderQty]]+I5207,I5207)</f>
        <v>6492</v>
      </c>
      <c r="J5208" s="1">
        <f>IF(Query1[[#This Row],[ItemType]]="EVAP KIT UNIVERSAL",Query1[[#This Row],[OrderQty]]+J5207,J5207)</f>
        <v>2180</v>
      </c>
      <c r="K5208" s="1">
        <f>Query1[[#This Row],[SF Running Total]]+Query1[[#This Row],[UNIV Running Total]]</f>
        <v>8672</v>
      </c>
      <c r="L5208">
        <f>VLOOKUP(Query1[[#This Row],[Description]],'kits to boards'!$B$2:$E$156,2,FALSE)</f>
        <v>830099</v>
      </c>
      <c r="M5208">
        <f>VLOOKUP(Query1[[#This Row],[Description]],'kits to boards'!$B$2:$E$156,3,FALSE)</f>
        <v>0</v>
      </c>
      <c r="N5208">
        <f>VLOOKUP(Query1[[#This Row],[Description]],'kits to boards'!$B$2:$E$156,4,FALSE)</f>
        <v>0</v>
      </c>
      <c r="O5208" t="str">
        <f>CONCATENATE(Query1[[#This Row],[Description]]," - ",Query1[[#This Row],[MB1]]," - ",Query1[[#This Row],[MB2]]," - ",Query1[[#This Row],[MB3]])</f>
        <v>MINI GEN II W/DEF - 830099 - 0 - 0</v>
      </c>
    </row>
    <row r="5209" spans="1:15" x14ac:dyDescent="0.25">
      <c r="A5209" s="1">
        <v>923032</v>
      </c>
      <c r="B5209" s="1" t="s">
        <v>24</v>
      </c>
      <c r="C5209" s="1" t="s">
        <v>25</v>
      </c>
      <c r="D5209" s="2">
        <v>44690.567720983796</v>
      </c>
      <c r="E5209" s="1" t="s">
        <v>11</v>
      </c>
      <c r="F5209" s="1">
        <v>2</v>
      </c>
      <c r="G5209" s="1">
        <v>0</v>
      </c>
      <c r="H5209" s="6">
        <f>INT(Query1[[#This Row],[EntryDateTime]])</f>
        <v>44690</v>
      </c>
      <c r="I5209" s="1">
        <f>IF(Query1[[#This Row],[ItemType]]="EVAP KIT SF GEN IV",Query1[[#This Row],[OrderQty]]+I5208,I5208)</f>
        <v>6492</v>
      </c>
      <c r="J5209" s="1">
        <f>IF(Query1[[#This Row],[ItemType]]="EVAP KIT UNIVERSAL",Query1[[#This Row],[OrderQty]]+J5208,J5208)</f>
        <v>2182</v>
      </c>
      <c r="K5209" s="1">
        <f>Query1[[#This Row],[SF Running Total]]+Query1[[#This Row],[UNIV Running Total]]</f>
        <v>8674</v>
      </c>
      <c r="L5209">
        <f>VLOOKUP(Query1[[#This Row],[Description]],'kits to boards'!$B$2:$E$156,2,FALSE)</f>
        <v>830029</v>
      </c>
      <c r="M5209">
        <f>VLOOKUP(Query1[[#This Row],[Description]],'kits to boards'!$B$2:$E$156,3,FALSE)</f>
        <v>830030</v>
      </c>
      <c r="N5209">
        <f>VLOOKUP(Query1[[#This Row],[Description]],'kits to boards'!$B$2:$E$156,4,FALSE)</f>
        <v>0</v>
      </c>
      <c r="O5209" t="str">
        <f>CONCATENATE(Query1[[#This Row],[Description]]," - ",Query1[[#This Row],[MB1]]," - ",Query1[[#This Row],[MB2]]," - ",Query1[[#This Row],[MB3]])</f>
        <v>ComPac GEN II W/DEF - 830029 - 830030 - 0</v>
      </c>
    </row>
    <row r="5210" spans="1:15" x14ac:dyDescent="0.25">
      <c r="A5210" s="1">
        <v>923034</v>
      </c>
      <c r="B5210" s="1" t="s">
        <v>672</v>
      </c>
      <c r="C5210" s="1" t="s">
        <v>322</v>
      </c>
      <c r="D5210" s="2">
        <v>44690.570837881947</v>
      </c>
      <c r="E5210" s="1" t="s">
        <v>8</v>
      </c>
      <c r="F5210" s="1">
        <v>1</v>
      </c>
      <c r="G5210" s="1">
        <v>0</v>
      </c>
      <c r="H5210" s="6">
        <f>INT(Query1[[#This Row],[EntryDateTime]])</f>
        <v>44690</v>
      </c>
      <c r="I5210" s="1">
        <f>IF(Query1[[#This Row],[ItemType]]="EVAP KIT SF GEN IV",Query1[[#This Row],[OrderQty]]+I5209,I5209)</f>
        <v>6493</v>
      </c>
      <c r="J5210" s="1">
        <f>IF(Query1[[#This Row],[ItemType]]="EVAP KIT UNIVERSAL",Query1[[#This Row],[OrderQty]]+J5209,J5209)</f>
        <v>2182</v>
      </c>
      <c r="K5210" s="1">
        <f>Query1[[#This Row],[SF Running Total]]+Query1[[#This Row],[UNIV Running Total]]</f>
        <v>8675</v>
      </c>
      <c r="L5210">
        <f>VLOOKUP(Query1[[#This Row],[Description]],'kits to boards'!$B$2:$E$156,2,FALSE)</f>
        <v>0</v>
      </c>
      <c r="M5210">
        <f>VLOOKUP(Query1[[#This Row],[Description]],'kits to boards'!$B$2:$E$156,3,FALSE)</f>
        <v>0</v>
      </c>
      <c r="N5210">
        <f>VLOOKUP(Query1[[#This Row],[Description]],'kits to boards'!$B$2:$E$156,4,FALSE)</f>
        <v>0</v>
      </c>
      <c r="O5210" t="str">
        <f>CONCATENATE(Query1[[#This Row],[Description]]," - ",Query1[[#This Row],[MB1]]," - ",Query1[[#This Row],[MB2]]," - ",Query1[[#This Row],[MB3]])</f>
        <v>GEN IV MAGNUM W/207 ECU EVAP KIT - 0 - 0 - 0</v>
      </c>
    </row>
    <row r="5211" spans="1:15" x14ac:dyDescent="0.25">
      <c r="A5211" s="1">
        <v>923040</v>
      </c>
      <c r="B5211" s="1" t="s">
        <v>42</v>
      </c>
      <c r="C5211" s="1" t="s">
        <v>43</v>
      </c>
      <c r="D5211" s="2">
        <v>44690.585378124997</v>
      </c>
      <c r="E5211" s="1" t="s">
        <v>8</v>
      </c>
      <c r="F5211" s="1">
        <v>1</v>
      </c>
      <c r="G5211" s="1">
        <v>0</v>
      </c>
      <c r="H5211" s="6">
        <f>INT(Query1[[#This Row],[EntryDateTime]])</f>
        <v>44690</v>
      </c>
      <c r="I5211" s="1">
        <f>IF(Query1[[#This Row],[ItemType]]="EVAP KIT SF GEN IV",Query1[[#This Row],[OrderQty]]+I5210,I5210)</f>
        <v>6494</v>
      </c>
      <c r="J5211" s="1">
        <f>IF(Query1[[#This Row],[ItemType]]="EVAP KIT UNIVERSAL",Query1[[#This Row],[OrderQty]]+J5210,J5210)</f>
        <v>2182</v>
      </c>
      <c r="K5211" s="1">
        <f>Query1[[#This Row],[SF Running Total]]+Query1[[#This Row],[UNIV Running Total]]</f>
        <v>8676</v>
      </c>
      <c r="L5211">
        <f>VLOOKUP(Query1[[#This Row],[Description]],'kits to boards'!$B$2:$E$156,2,FALSE)</f>
        <v>830014</v>
      </c>
      <c r="M5211">
        <f>VLOOKUP(Query1[[#This Row],[Description]],'kits to boards'!$B$2:$E$156,3,FALSE)</f>
        <v>0</v>
      </c>
      <c r="N5211">
        <f>VLOOKUP(Query1[[#This Row],[Description]],'kits to boards'!$B$2:$E$156,4,FALSE)</f>
        <v>0</v>
      </c>
      <c r="O5211" t="str">
        <f>CONCATENATE(Query1[[#This Row],[Description]]," - ",Query1[[#This Row],[MB1]]," - ",Query1[[#This Row],[MB2]]," - ",Query1[[#This Row],[MB3]])</f>
        <v>EVAP KIT 67-72 CHEV P-UP WO AC - 830014 - 0 - 0</v>
      </c>
    </row>
    <row r="5212" spans="1:15" x14ac:dyDescent="0.25">
      <c r="A5212" s="1">
        <v>922866</v>
      </c>
      <c r="B5212" s="1" t="s">
        <v>78</v>
      </c>
      <c r="C5212" s="1" t="s">
        <v>79</v>
      </c>
      <c r="D5212" s="2">
        <v>44690.58613880787</v>
      </c>
      <c r="E5212" s="1" t="s">
        <v>11</v>
      </c>
      <c r="F5212" s="1">
        <v>1</v>
      </c>
      <c r="G5212" s="1">
        <v>0</v>
      </c>
      <c r="H5212" s="6">
        <f>INT(Query1[[#This Row],[EntryDateTime]])</f>
        <v>44690</v>
      </c>
      <c r="I5212" s="1">
        <f>IF(Query1[[#This Row],[ItemType]]="EVAP KIT SF GEN IV",Query1[[#This Row],[OrderQty]]+I5211,I5211)</f>
        <v>6494</v>
      </c>
      <c r="J5212" s="1">
        <f>IF(Query1[[#This Row],[ItemType]]="EVAP KIT UNIVERSAL",Query1[[#This Row],[OrderQty]]+J5211,J5211)</f>
        <v>2183</v>
      </c>
      <c r="K5212" s="1">
        <f>Query1[[#This Row],[SF Running Total]]+Query1[[#This Row],[UNIV Running Total]]</f>
        <v>8677</v>
      </c>
      <c r="L5212">
        <f>VLOOKUP(Query1[[#This Row],[Description]],'kits to boards'!$B$2:$E$156,2,FALSE)</f>
        <v>0</v>
      </c>
      <c r="M5212">
        <f>VLOOKUP(Query1[[#This Row],[Description]],'kits to boards'!$B$2:$E$156,3,FALSE)</f>
        <v>0</v>
      </c>
      <c r="N5212">
        <f>VLOOKUP(Query1[[#This Row],[Description]],'kits to boards'!$B$2:$E$156,4,FALSE)</f>
        <v>0</v>
      </c>
      <c r="O5212" t="str">
        <f>CONCATENATE(Query1[[#This Row],[Description]]," - ",Query1[[#This Row],[MB1]]," - ",Query1[[#This Row],[MB2]]," - ",Query1[[#This Row],[MB3]])</f>
        <v>MARK IV STYLELINE UNDERDASH EVAP - 0 - 0 - 0</v>
      </c>
    </row>
    <row r="5213" spans="1:15" x14ac:dyDescent="0.25">
      <c r="A5213" s="1">
        <v>923046</v>
      </c>
      <c r="B5213" s="1" t="s">
        <v>132</v>
      </c>
      <c r="C5213" s="1" t="s">
        <v>133</v>
      </c>
      <c r="D5213" s="2">
        <v>44690.59133703704</v>
      </c>
      <c r="E5213" s="1" t="s">
        <v>8</v>
      </c>
      <c r="F5213" s="1">
        <v>1</v>
      </c>
      <c r="G5213" s="1">
        <v>0</v>
      </c>
      <c r="H5213" s="6">
        <f>INT(Query1[[#This Row],[EntryDateTime]])</f>
        <v>44690</v>
      </c>
      <c r="I5213" s="1">
        <f>IF(Query1[[#This Row],[ItemType]]="EVAP KIT SF GEN IV",Query1[[#This Row],[OrderQty]]+I5212,I5212)</f>
        <v>6495</v>
      </c>
      <c r="J5213" s="1">
        <f>IF(Query1[[#This Row],[ItemType]]="EVAP KIT UNIVERSAL",Query1[[#This Row],[OrderQty]]+J5212,J5212)</f>
        <v>2183</v>
      </c>
      <c r="K5213" s="1">
        <f>Query1[[#This Row],[SF Running Total]]+Query1[[#This Row],[UNIV Running Total]]</f>
        <v>8678</v>
      </c>
      <c r="L5213">
        <f>VLOOKUP(Query1[[#This Row],[Description]],'kits to boards'!$B$2:$E$156,2,FALSE)</f>
        <v>830005</v>
      </c>
      <c r="M5213">
        <f>VLOOKUP(Query1[[#This Row],[Description]],'kits to boards'!$B$2:$E$156,3,FALSE)</f>
        <v>0</v>
      </c>
      <c r="N5213">
        <f>VLOOKUP(Query1[[#This Row],[Description]],'kits to boards'!$B$2:$E$156,4,FALSE)</f>
        <v>0</v>
      </c>
      <c r="O5213" t="str">
        <f>CONCATENATE(Query1[[#This Row],[Description]]," - ",Query1[[#This Row],[MB1]]," - ",Query1[[#This Row],[MB2]]," - ",Query1[[#This Row],[MB3]])</f>
        <v>EVAP KIT 61-62 IMPALA WO AC - 830005 - 0 - 0</v>
      </c>
    </row>
    <row r="5214" spans="1:15" x14ac:dyDescent="0.25">
      <c r="A5214" s="1">
        <v>923042</v>
      </c>
      <c r="B5214" s="1" t="s">
        <v>106</v>
      </c>
      <c r="C5214" s="1" t="s">
        <v>253</v>
      </c>
      <c r="D5214" s="2">
        <v>44690.604034953707</v>
      </c>
      <c r="E5214" s="1" t="s">
        <v>8</v>
      </c>
      <c r="F5214" s="1">
        <v>1</v>
      </c>
      <c r="G5214" s="1">
        <v>0</v>
      </c>
      <c r="H5214" s="6">
        <f>INT(Query1[[#This Row],[EntryDateTime]])</f>
        <v>44690</v>
      </c>
      <c r="I5214" s="1">
        <f>IF(Query1[[#This Row],[ItemType]]="EVAP KIT SF GEN IV",Query1[[#This Row],[OrderQty]]+I5213,I5213)</f>
        <v>6496</v>
      </c>
      <c r="J5214" s="1">
        <f>IF(Query1[[#This Row],[ItemType]]="EVAP KIT UNIVERSAL",Query1[[#This Row],[OrderQty]]+J5213,J5213)</f>
        <v>2183</v>
      </c>
      <c r="K5214" s="1">
        <f>Query1[[#This Row],[SF Running Total]]+Query1[[#This Row],[UNIV Running Total]]</f>
        <v>8679</v>
      </c>
      <c r="L5214">
        <f>VLOOKUP(Query1[[#This Row],[Description]],'kits to boards'!$B$2:$E$156,2,FALSE)</f>
        <v>830028</v>
      </c>
      <c r="M5214">
        <f>VLOOKUP(Query1[[#This Row],[Description]],'kits to boards'!$B$2:$E$156,3,FALSE)</f>
        <v>0</v>
      </c>
      <c r="N5214">
        <f>VLOOKUP(Query1[[#This Row],[Description]],'kits to boards'!$B$2:$E$156,4,FALSE)</f>
        <v>0</v>
      </c>
      <c r="O5214" t="str">
        <f>CONCATENATE(Query1[[#This Row],[Description]]," - ",Query1[[#This Row],[MB1]]," - ",Query1[[#This Row],[MB2]]," - ",Query1[[#This Row],[MB3]])</f>
        <v>EVAP KIT 55-59 CHEV P-UP WO AC W/DELX  - 830028 - 0 - 0</v>
      </c>
    </row>
    <row r="5215" spans="1:15" x14ac:dyDescent="0.25">
      <c r="A5215" s="1">
        <v>922478</v>
      </c>
      <c r="B5215" s="1" t="s">
        <v>34</v>
      </c>
      <c r="C5215" s="1" t="s">
        <v>35</v>
      </c>
      <c r="D5215" s="2">
        <v>44690.611538738427</v>
      </c>
      <c r="E5215" s="1" t="s">
        <v>8</v>
      </c>
      <c r="F5215" s="1">
        <v>1</v>
      </c>
      <c r="G5215" s="1">
        <v>0</v>
      </c>
      <c r="H5215" s="6">
        <f>INT(Query1[[#This Row],[EntryDateTime]])</f>
        <v>44690</v>
      </c>
      <c r="I5215" s="1">
        <f>IF(Query1[[#This Row],[ItemType]]="EVAP KIT SF GEN IV",Query1[[#This Row],[OrderQty]]+I5214,I5214)</f>
        <v>6497</v>
      </c>
      <c r="J5215" s="1">
        <f>IF(Query1[[#This Row],[ItemType]]="EVAP KIT UNIVERSAL",Query1[[#This Row],[OrderQty]]+J5214,J5214)</f>
        <v>2183</v>
      </c>
      <c r="K5215" s="1">
        <f>Query1[[#This Row],[SF Running Total]]+Query1[[#This Row],[UNIV Running Total]]</f>
        <v>8680</v>
      </c>
      <c r="L5215">
        <f>VLOOKUP(Query1[[#This Row],[Description]],'kits to boards'!$B$2:$E$156,2,FALSE)</f>
        <v>830065</v>
      </c>
      <c r="M5215">
        <f>VLOOKUP(Query1[[#This Row],[Description]],'kits to boards'!$B$2:$E$156,3,FALSE)</f>
        <v>0</v>
      </c>
      <c r="N5215">
        <f>VLOOKUP(Query1[[#This Row],[Description]],'kits to boards'!$B$2:$E$156,4,FALSE)</f>
        <v>0</v>
      </c>
      <c r="O5215" t="str">
        <f>CONCATENATE(Query1[[#This Row],[Description]]," - ",Query1[[#This Row],[MB1]]," - ",Query1[[#This Row],[MB2]]," - ",Query1[[#This Row],[MB3]])</f>
        <v>EVAP KIT 57 CHEV WO AC - 830065 - 0 - 0</v>
      </c>
    </row>
    <row r="5216" spans="1:15" x14ac:dyDescent="0.25">
      <c r="A5216" s="1">
        <v>923064</v>
      </c>
      <c r="B5216" s="1" t="s">
        <v>76</v>
      </c>
      <c r="C5216" s="1" t="s">
        <v>77</v>
      </c>
      <c r="D5216" s="2">
        <v>44690.638164317126</v>
      </c>
      <c r="E5216" s="1" t="s">
        <v>11</v>
      </c>
      <c r="F5216" s="1">
        <v>1</v>
      </c>
      <c r="G5216" s="1">
        <v>0</v>
      </c>
      <c r="H5216" s="6">
        <f>INT(Query1[[#This Row],[EntryDateTime]])</f>
        <v>44690</v>
      </c>
      <c r="I5216" s="1">
        <f>IF(Query1[[#This Row],[ItemType]]="EVAP KIT SF GEN IV",Query1[[#This Row],[OrderQty]]+I5215,I5215)</f>
        <v>6497</v>
      </c>
      <c r="J5216" s="1">
        <f>IF(Query1[[#This Row],[ItemType]]="EVAP KIT UNIVERSAL",Query1[[#This Row],[OrderQty]]+J5215,J5215)</f>
        <v>2184</v>
      </c>
      <c r="K5216" s="1">
        <f>Query1[[#This Row],[SF Running Total]]+Query1[[#This Row],[UNIV Running Total]]</f>
        <v>8681</v>
      </c>
      <c r="L5216">
        <f>VLOOKUP(Query1[[#This Row],[Description]],'kits to boards'!$B$2:$E$156,2,FALSE)</f>
        <v>830099</v>
      </c>
      <c r="M5216">
        <f>VLOOKUP(Query1[[#This Row],[Description]],'kits to boards'!$B$2:$E$156,3,FALSE)</f>
        <v>0</v>
      </c>
      <c r="N5216">
        <f>VLOOKUP(Query1[[#This Row],[Description]],'kits to boards'!$B$2:$E$156,4,FALSE)</f>
        <v>0</v>
      </c>
      <c r="O5216" t="str">
        <f>CONCATENATE(Query1[[#This Row],[Description]]," - ",Query1[[#This Row],[MB1]]," - ",Query1[[#This Row],[MB2]]," - ",Query1[[#This Row],[MB3]])</f>
        <v>MINI GEN II H/C - 830099 - 0 - 0</v>
      </c>
    </row>
    <row r="5217" spans="1:15" x14ac:dyDescent="0.25">
      <c r="A5217" s="1">
        <v>923065</v>
      </c>
      <c r="B5217" s="1" t="s">
        <v>46</v>
      </c>
      <c r="C5217" s="1" t="s">
        <v>47</v>
      </c>
      <c r="D5217" s="2">
        <v>44690.639046215278</v>
      </c>
      <c r="E5217" s="1" t="s">
        <v>8</v>
      </c>
      <c r="F5217" s="1">
        <v>1</v>
      </c>
      <c r="G5217" s="1">
        <v>0</v>
      </c>
      <c r="H5217" s="6">
        <f>INT(Query1[[#This Row],[EntryDateTime]])</f>
        <v>44690</v>
      </c>
      <c r="I5217" s="1">
        <f>IF(Query1[[#This Row],[ItemType]]="EVAP KIT SF GEN IV",Query1[[#This Row],[OrderQty]]+I5216,I5216)</f>
        <v>6498</v>
      </c>
      <c r="J5217" s="1">
        <f>IF(Query1[[#This Row],[ItemType]]="EVAP KIT UNIVERSAL",Query1[[#This Row],[OrderQty]]+J5216,J5216)</f>
        <v>2184</v>
      </c>
      <c r="K5217" s="1">
        <f>Query1[[#This Row],[SF Running Total]]+Query1[[#This Row],[UNIV Running Total]]</f>
        <v>8682</v>
      </c>
      <c r="L5217">
        <f>VLOOKUP(Query1[[#This Row],[Description]],'kits to boards'!$B$2:$E$156,2,FALSE)</f>
        <v>830018</v>
      </c>
      <c r="M5217">
        <f>VLOOKUP(Query1[[#This Row],[Description]],'kits to boards'!$B$2:$E$156,3,FALSE)</f>
        <v>0</v>
      </c>
      <c r="N5217">
        <f>VLOOKUP(Query1[[#This Row],[Description]],'kits to boards'!$B$2:$E$156,4,FALSE)</f>
        <v>0</v>
      </c>
      <c r="O5217" t="str">
        <f>CONCATENATE(Query1[[#This Row],[Description]]," - ",Query1[[#This Row],[MB1]]," - ",Query1[[#This Row],[MB2]]," - ",Query1[[#This Row],[MB3]])</f>
        <v>EVAP KIT 68-72 FORD P-UP F-100 - 830018 - 0 - 0</v>
      </c>
    </row>
    <row r="5218" spans="1:15" x14ac:dyDescent="0.25">
      <c r="A5218" s="1">
        <v>923041</v>
      </c>
      <c r="B5218" s="1" t="s">
        <v>106</v>
      </c>
      <c r="C5218" s="1" t="s">
        <v>253</v>
      </c>
      <c r="D5218" s="2">
        <v>44690.641376967593</v>
      </c>
      <c r="E5218" s="1" t="s">
        <v>8</v>
      </c>
      <c r="F5218" s="1">
        <v>1</v>
      </c>
      <c r="G5218" s="1">
        <v>0</v>
      </c>
      <c r="H5218" s="6">
        <f>INT(Query1[[#This Row],[EntryDateTime]])</f>
        <v>44690</v>
      </c>
      <c r="I5218" s="1">
        <f>IF(Query1[[#This Row],[ItemType]]="EVAP KIT SF GEN IV",Query1[[#This Row],[OrderQty]]+I5217,I5217)</f>
        <v>6499</v>
      </c>
      <c r="J5218" s="1">
        <f>IF(Query1[[#This Row],[ItemType]]="EVAP KIT UNIVERSAL",Query1[[#This Row],[OrderQty]]+J5217,J5217)</f>
        <v>2184</v>
      </c>
      <c r="K5218" s="1">
        <f>Query1[[#This Row],[SF Running Total]]+Query1[[#This Row],[UNIV Running Total]]</f>
        <v>8683</v>
      </c>
      <c r="L5218">
        <f>VLOOKUP(Query1[[#This Row],[Description]],'kits to boards'!$B$2:$E$156,2,FALSE)</f>
        <v>830028</v>
      </c>
      <c r="M5218">
        <f>VLOOKUP(Query1[[#This Row],[Description]],'kits to boards'!$B$2:$E$156,3,FALSE)</f>
        <v>0</v>
      </c>
      <c r="N5218">
        <f>VLOOKUP(Query1[[#This Row],[Description]],'kits to boards'!$B$2:$E$156,4,FALSE)</f>
        <v>0</v>
      </c>
      <c r="O5218" t="str">
        <f>CONCATENATE(Query1[[#This Row],[Description]]," - ",Query1[[#This Row],[MB1]]," - ",Query1[[#This Row],[MB2]]," - ",Query1[[#This Row],[MB3]])</f>
        <v>EVAP KIT 55-59 CHEV P-UP WO AC W/DELX  - 830028 - 0 - 0</v>
      </c>
    </row>
    <row r="5219" spans="1:15" x14ac:dyDescent="0.25">
      <c r="A5219" s="1">
        <v>923067</v>
      </c>
      <c r="B5219" s="1" t="s">
        <v>224</v>
      </c>
      <c r="C5219" s="1" t="s">
        <v>225</v>
      </c>
      <c r="D5219" s="2">
        <v>44690.644766516205</v>
      </c>
      <c r="E5219" s="1" t="s">
        <v>8</v>
      </c>
      <c r="F5219" s="1">
        <v>1</v>
      </c>
      <c r="G5219" s="1">
        <v>0</v>
      </c>
      <c r="H5219" s="6">
        <f>INT(Query1[[#This Row],[EntryDateTime]])</f>
        <v>44690</v>
      </c>
      <c r="I5219" s="1">
        <f>IF(Query1[[#This Row],[ItemType]]="EVAP KIT SF GEN IV",Query1[[#This Row],[OrderQty]]+I5218,I5218)</f>
        <v>6500</v>
      </c>
      <c r="J5219" s="1">
        <f>IF(Query1[[#This Row],[ItemType]]="EVAP KIT UNIVERSAL",Query1[[#This Row],[OrderQty]]+J5218,J5218)</f>
        <v>2184</v>
      </c>
      <c r="K5219" s="1">
        <f>Query1[[#This Row],[SF Running Total]]+Query1[[#This Row],[UNIV Running Total]]</f>
        <v>8684</v>
      </c>
      <c r="L5219">
        <f>VLOOKUP(Query1[[#This Row],[Description]],'kits to boards'!$B$2:$E$156,2,FALSE)</f>
        <v>830124</v>
      </c>
      <c r="M5219">
        <f>VLOOKUP(Query1[[#This Row],[Description]],'kits to boards'!$B$2:$E$156,3,FALSE)</f>
        <v>0</v>
      </c>
      <c r="N5219">
        <f>VLOOKUP(Query1[[#This Row],[Description]],'kits to boards'!$B$2:$E$156,4,FALSE)</f>
        <v>0</v>
      </c>
      <c r="O5219" t="str">
        <f>CONCATENATE(Query1[[#This Row],[Description]]," - ",Query1[[#This Row],[MB1]]," - ",Query1[[#This Row],[MB2]]," - ",Query1[[#This Row],[MB3]])</f>
        <v>EVAP KIT 70-72 GTO WO/AC - 830124 - 0 - 0</v>
      </c>
    </row>
    <row r="5220" spans="1:15" x14ac:dyDescent="0.25">
      <c r="A5220" s="1">
        <v>923072</v>
      </c>
      <c r="B5220" s="1" t="s">
        <v>14</v>
      </c>
      <c r="C5220" s="1" t="s">
        <v>15</v>
      </c>
      <c r="D5220" s="2">
        <v>44690.650298495369</v>
      </c>
      <c r="E5220" s="1" t="s">
        <v>8</v>
      </c>
      <c r="F5220" s="1">
        <v>1</v>
      </c>
      <c r="G5220" s="1">
        <v>0</v>
      </c>
      <c r="H5220" s="6">
        <f>INT(Query1[[#This Row],[EntryDateTime]])</f>
        <v>44690</v>
      </c>
      <c r="I5220" s="1">
        <f>IF(Query1[[#This Row],[ItemType]]="EVAP KIT SF GEN IV",Query1[[#This Row],[OrderQty]]+I5219,I5219)</f>
        <v>6501</v>
      </c>
      <c r="J5220" s="1">
        <f>IF(Query1[[#This Row],[ItemType]]="EVAP KIT UNIVERSAL",Query1[[#This Row],[OrderQty]]+J5219,J5219)</f>
        <v>2184</v>
      </c>
      <c r="K5220" s="1">
        <f>Query1[[#This Row],[SF Running Total]]+Query1[[#This Row],[UNIV Running Total]]</f>
        <v>8685</v>
      </c>
      <c r="L5220">
        <f>VLOOKUP(Query1[[#This Row],[Description]],'kits to boards'!$B$2:$E$156,2,FALSE)</f>
        <v>830054</v>
      </c>
      <c r="M5220">
        <f>VLOOKUP(Query1[[#This Row],[Description]],'kits to boards'!$B$2:$E$156,3,FALSE)</f>
        <v>0</v>
      </c>
      <c r="N5220">
        <f>VLOOKUP(Query1[[#This Row],[Description]],'kits to boards'!$B$2:$E$156,4,FALSE)</f>
        <v>0</v>
      </c>
      <c r="O5220" t="str">
        <f>CONCATENATE(Query1[[#This Row],[Description]]," - ",Query1[[#This Row],[MB1]]," - ",Query1[[#This Row],[MB2]]," - ",Query1[[#This Row],[MB3]])</f>
        <v>EVAP KIT 55-56 CHEVY - 830054 - 0 - 0</v>
      </c>
    </row>
    <row r="5221" spans="1:15" x14ac:dyDescent="0.25">
      <c r="A5221" s="1">
        <v>923077</v>
      </c>
      <c r="B5221" s="1" t="s">
        <v>40</v>
      </c>
      <c r="C5221" s="1" t="s">
        <v>41</v>
      </c>
      <c r="D5221" s="2">
        <v>44690.653089780091</v>
      </c>
      <c r="E5221" s="1" t="s">
        <v>8</v>
      </c>
      <c r="F5221" s="1">
        <v>1</v>
      </c>
      <c r="G5221" s="1">
        <v>0</v>
      </c>
      <c r="H5221" s="6">
        <f>INT(Query1[[#This Row],[EntryDateTime]])</f>
        <v>44690</v>
      </c>
      <c r="I5221" s="1">
        <f>IF(Query1[[#This Row],[ItemType]]="EVAP KIT SF GEN IV",Query1[[#This Row],[OrderQty]]+I5220,I5220)</f>
        <v>6502</v>
      </c>
      <c r="J5221" s="1">
        <f>IF(Query1[[#This Row],[ItemType]]="EVAP KIT UNIVERSAL",Query1[[#This Row],[OrderQty]]+J5220,J5220)</f>
        <v>2184</v>
      </c>
      <c r="K5221" s="1">
        <f>Query1[[#This Row],[SF Running Total]]+Query1[[#This Row],[UNIV Running Total]]</f>
        <v>8686</v>
      </c>
      <c r="L5221">
        <f>VLOOKUP(Query1[[#This Row],[Description]],'kits to boards'!$B$2:$E$156,2,FALSE)</f>
        <v>830024</v>
      </c>
      <c r="M5221">
        <f>VLOOKUP(Query1[[#This Row],[Description]],'kits to boards'!$B$2:$E$156,3,FALSE)</f>
        <v>0</v>
      </c>
      <c r="N5221">
        <f>VLOOKUP(Query1[[#This Row],[Description]],'kits to boards'!$B$2:$E$156,4,FALSE)</f>
        <v>0</v>
      </c>
      <c r="O5221" t="str">
        <f>CONCATENATE(Query1[[#This Row],[Description]]," - ",Query1[[#This Row],[MB1]]," - ",Query1[[#This Row],[MB2]]," - ",Query1[[#This Row],[MB3]])</f>
        <v>EVAP KIT 79-81 CAMARO W/AC - 830024 - 0 - 0</v>
      </c>
    </row>
    <row r="5222" spans="1:15" x14ac:dyDescent="0.25">
      <c r="A5222" s="1">
        <v>923079</v>
      </c>
      <c r="B5222" s="1" t="s">
        <v>100</v>
      </c>
      <c r="C5222" s="1" t="s">
        <v>101</v>
      </c>
      <c r="D5222" s="2">
        <v>44690.654752743052</v>
      </c>
      <c r="E5222" s="1" t="s">
        <v>8</v>
      </c>
      <c r="F5222" s="1">
        <v>1</v>
      </c>
      <c r="G5222" s="1">
        <v>0</v>
      </c>
      <c r="H5222" s="6">
        <f>INT(Query1[[#This Row],[EntryDateTime]])</f>
        <v>44690</v>
      </c>
      <c r="I5222" s="1">
        <f>IF(Query1[[#This Row],[ItemType]]="EVAP KIT SF GEN IV",Query1[[#This Row],[OrderQty]]+I5221,I5221)</f>
        <v>6503</v>
      </c>
      <c r="J5222" s="1">
        <f>IF(Query1[[#This Row],[ItemType]]="EVAP KIT UNIVERSAL",Query1[[#This Row],[OrderQty]]+J5221,J5221)</f>
        <v>2184</v>
      </c>
      <c r="K5222" s="1">
        <f>Query1[[#This Row],[SF Running Total]]+Query1[[#This Row],[UNIV Running Total]]</f>
        <v>8687</v>
      </c>
      <c r="L5222">
        <f>VLOOKUP(Query1[[#This Row],[Description]],'kits to boards'!$B$2:$E$156,2,FALSE)</f>
        <v>830096</v>
      </c>
      <c r="M5222">
        <f>VLOOKUP(Query1[[#This Row],[Description]],'kits to boards'!$B$2:$E$156,3,FALSE)</f>
        <v>0</v>
      </c>
      <c r="N5222">
        <f>VLOOKUP(Query1[[#This Row],[Description]],'kits to boards'!$B$2:$E$156,4,FALSE)</f>
        <v>0</v>
      </c>
      <c r="O5222" t="str">
        <f>CONCATENATE(Query1[[#This Row],[Description]]," - ",Query1[[#This Row],[MB1]]," - ",Query1[[#This Row],[MB2]]," - ",Query1[[#This Row],[MB3]])</f>
        <v>EVAP KIT 62-65 NOVA - 830096 - 0 - 0</v>
      </c>
    </row>
    <row r="5223" spans="1:15" x14ac:dyDescent="0.25">
      <c r="A5223" s="1">
        <v>923012</v>
      </c>
      <c r="B5223" s="1" t="s">
        <v>20</v>
      </c>
      <c r="C5223" s="1" t="s">
        <v>21</v>
      </c>
      <c r="D5223" s="2">
        <v>44690.664594247683</v>
      </c>
      <c r="E5223" s="1" t="s">
        <v>11</v>
      </c>
      <c r="F5223" s="1">
        <v>1</v>
      </c>
      <c r="G5223" s="1">
        <v>0</v>
      </c>
      <c r="H5223" s="6">
        <f>INT(Query1[[#This Row],[EntryDateTime]])</f>
        <v>44690</v>
      </c>
      <c r="I5223" s="1">
        <f>IF(Query1[[#This Row],[ItemType]]="EVAP KIT SF GEN IV",Query1[[#This Row],[OrderQty]]+I5222,I5222)</f>
        <v>6503</v>
      </c>
      <c r="J5223" s="1">
        <f>IF(Query1[[#This Row],[ItemType]]="EVAP KIT UNIVERSAL",Query1[[#This Row],[OrderQty]]+J5222,J5222)</f>
        <v>2185</v>
      </c>
      <c r="K5223" s="1">
        <f>Query1[[#This Row],[SF Running Total]]+Query1[[#This Row],[UNIV Running Total]]</f>
        <v>8688</v>
      </c>
      <c r="L5223">
        <f>VLOOKUP(Query1[[#This Row],[Description]],'kits to boards'!$B$2:$E$156,2,FALSE)</f>
        <v>830102</v>
      </c>
      <c r="M5223">
        <f>VLOOKUP(Query1[[#This Row],[Description]],'kits to boards'!$B$2:$E$156,3,FALSE)</f>
        <v>0</v>
      </c>
      <c r="N5223">
        <f>VLOOKUP(Query1[[#This Row],[Description]],'kits to boards'!$B$2:$E$156,4,FALSE)</f>
        <v>0</v>
      </c>
      <c r="O5223" t="str">
        <f>CONCATENATE(Query1[[#This Row],[Description]]," - ",Query1[[#This Row],[MB1]]," - ",Query1[[#This Row],[MB2]]," - ",Query1[[#This Row],[MB3]])</f>
        <v>SUPER GEN II W/DEF - 830102 - 0 - 0</v>
      </c>
    </row>
    <row r="5224" spans="1:15" x14ac:dyDescent="0.25">
      <c r="A5224" s="1">
        <v>923090</v>
      </c>
      <c r="B5224" s="1" t="s">
        <v>60</v>
      </c>
      <c r="C5224" s="1" t="s">
        <v>61</v>
      </c>
      <c r="D5224" s="2">
        <v>44690.673869675928</v>
      </c>
      <c r="E5224" s="1" t="s">
        <v>8</v>
      </c>
      <c r="F5224" s="1">
        <v>1</v>
      </c>
      <c r="G5224" s="1">
        <v>0</v>
      </c>
      <c r="H5224" s="6">
        <f>INT(Query1[[#This Row],[EntryDateTime]])</f>
        <v>44690</v>
      </c>
      <c r="I5224" s="1">
        <f>IF(Query1[[#This Row],[ItemType]]="EVAP KIT SF GEN IV",Query1[[#This Row],[OrderQty]]+I5223,I5223)</f>
        <v>6504</v>
      </c>
      <c r="J5224" s="1">
        <f>IF(Query1[[#This Row],[ItemType]]="EVAP KIT UNIVERSAL",Query1[[#This Row],[OrderQty]]+J5223,J5223)</f>
        <v>2185</v>
      </c>
      <c r="K5224" s="1">
        <f>Query1[[#This Row],[SF Running Total]]+Query1[[#This Row],[UNIV Running Total]]</f>
        <v>8689</v>
      </c>
      <c r="L5224">
        <f>VLOOKUP(Query1[[#This Row],[Description]],'kits to boards'!$B$2:$E$156,2,FALSE)</f>
        <v>830062</v>
      </c>
      <c r="M5224">
        <f>VLOOKUP(Query1[[#This Row],[Description]],'kits to boards'!$B$2:$E$156,3,FALSE)</f>
        <v>0</v>
      </c>
      <c r="N5224">
        <f>VLOOKUP(Query1[[#This Row],[Description]],'kits to boards'!$B$2:$E$156,4,FALSE)</f>
        <v>0</v>
      </c>
      <c r="O5224" t="str">
        <f>CONCATENATE(Query1[[#This Row],[Description]]," - ",Query1[[#This Row],[MB1]]," - ",Query1[[#This Row],[MB2]]," - ",Query1[[#This Row],[MB3]])</f>
        <v>EVAP KIT 68-69 CHEVELLE WO AC - 830062 - 0 - 0</v>
      </c>
    </row>
    <row r="5225" spans="1:15" x14ac:dyDescent="0.25">
      <c r="A5225" s="1">
        <v>923091</v>
      </c>
      <c r="B5225" s="1" t="s">
        <v>22</v>
      </c>
      <c r="C5225" s="1" t="s">
        <v>23</v>
      </c>
      <c r="D5225" s="2">
        <v>44690.688668090275</v>
      </c>
      <c r="E5225" s="1" t="s">
        <v>8</v>
      </c>
      <c r="F5225" s="1">
        <v>1</v>
      </c>
      <c r="G5225" s="1">
        <v>0</v>
      </c>
      <c r="H5225" s="6">
        <f>INT(Query1[[#This Row],[EntryDateTime]])</f>
        <v>44690</v>
      </c>
      <c r="I5225" s="1">
        <f>IF(Query1[[#This Row],[ItemType]]="EVAP KIT SF GEN IV",Query1[[#This Row],[OrderQty]]+I5224,I5224)</f>
        <v>6505</v>
      </c>
      <c r="J5225" s="1">
        <f>IF(Query1[[#This Row],[ItemType]]="EVAP KIT UNIVERSAL",Query1[[#This Row],[OrderQty]]+J5224,J5224)</f>
        <v>2185</v>
      </c>
      <c r="K5225" s="1">
        <f>Query1[[#This Row],[SF Running Total]]+Query1[[#This Row],[UNIV Running Total]]</f>
        <v>8690</v>
      </c>
      <c r="L5225">
        <f>VLOOKUP(Query1[[#This Row],[Description]],'kits to boards'!$B$2:$E$156,2,FALSE)</f>
        <v>830083</v>
      </c>
      <c r="M5225">
        <f>VLOOKUP(Query1[[#This Row],[Description]],'kits to boards'!$B$2:$E$156,3,FALSE)</f>
        <v>0</v>
      </c>
      <c r="N5225">
        <f>VLOOKUP(Query1[[#This Row],[Description]],'kits to boards'!$B$2:$E$156,4,FALSE)</f>
        <v>0</v>
      </c>
      <c r="O5225" t="str">
        <f>CONCATENATE(Query1[[#This Row],[Description]]," - ",Query1[[#This Row],[MB1]]," - ",Query1[[#This Row],[MB2]]," - ",Query1[[#This Row],[MB3]])</f>
        <v>GEN IV MAGNUM EVAP KIT - 830083 - 0 - 0</v>
      </c>
    </row>
    <row r="5226" spans="1:15" x14ac:dyDescent="0.25">
      <c r="A5226" s="1">
        <v>923071</v>
      </c>
      <c r="B5226" s="1" t="s">
        <v>102</v>
      </c>
      <c r="C5226" s="1" t="s">
        <v>103</v>
      </c>
      <c r="D5226" s="2">
        <v>44690.69827685185</v>
      </c>
      <c r="E5226" s="1" t="s">
        <v>8</v>
      </c>
      <c r="F5226" s="1">
        <v>1</v>
      </c>
      <c r="G5226" s="1">
        <v>0</v>
      </c>
      <c r="H5226" s="6">
        <f>INT(Query1[[#This Row],[EntryDateTime]])</f>
        <v>44690</v>
      </c>
      <c r="I5226" s="1">
        <f>IF(Query1[[#This Row],[ItemType]]="EVAP KIT SF GEN IV",Query1[[#This Row],[OrderQty]]+I5225,I5225)</f>
        <v>6506</v>
      </c>
      <c r="J5226" s="1">
        <f>IF(Query1[[#This Row],[ItemType]]="EVAP KIT UNIVERSAL",Query1[[#This Row],[OrderQty]]+J5225,J5225)</f>
        <v>2185</v>
      </c>
      <c r="K5226" s="1">
        <f>Query1[[#This Row],[SF Running Total]]+Query1[[#This Row],[UNIV Running Total]]</f>
        <v>8691</v>
      </c>
      <c r="L5226">
        <f>VLOOKUP(Query1[[#This Row],[Description]],'kits to boards'!$B$2:$E$156,2,FALSE)</f>
        <v>830012</v>
      </c>
      <c r="M5226">
        <f>VLOOKUP(Query1[[#This Row],[Description]],'kits to boards'!$B$2:$E$156,3,FALSE)</f>
        <v>0</v>
      </c>
      <c r="N5226">
        <f>VLOOKUP(Query1[[#This Row],[Description]],'kits to boards'!$B$2:$E$156,4,FALSE)</f>
        <v>0</v>
      </c>
      <c r="O5226" t="str">
        <f>CONCATENATE(Query1[[#This Row],[Description]]," - ",Query1[[#This Row],[MB1]]," - ",Query1[[#This Row],[MB2]]," - ",Query1[[#This Row],[MB3]])</f>
        <v>EVAP KIT 69 CAMARO WO/AC - 830012 - 0 - 0</v>
      </c>
    </row>
    <row r="5227" spans="1:15" x14ac:dyDescent="0.25">
      <c r="A5227" s="1">
        <v>923104</v>
      </c>
      <c r="B5227" s="1" t="s">
        <v>212</v>
      </c>
      <c r="C5227" s="1" t="s">
        <v>213</v>
      </c>
      <c r="D5227" s="2">
        <v>44690.713202893516</v>
      </c>
      <c r="E5227" s="1" t="s">
        <v>8</v>
      </c>
      <c r="F5227" s="1">
        <v>1</v>
      </c>
      <c r="G5227" s="1">
        <v>0</v>
      </c>
      <c r="H5227" s="6">
        <f>INT(Query1[[#This Row],[EntryDateTime]])</f>
        <v>44690</v>
      </c>
      <c r="I5227" s="1">
        <f>IF(Query1[[#This Row],[ItemType]]="EVAP KIT SF GEN IV",Query1[[#This Row],[OrderQty]]+I5226,I5226)</f>
        <v>6507</v>
      </c>
      <c r="J5227" s="1">
        <f>IF(Query1[[#This Row],[ItemType]]="EVAP KIT UNIVERSAL",Query1[[#This Row],[OrderQty]]+J5226,J5226)</f>
        <v>2185</v>
      </c>
      <c r="K5227" s="1">
        <f>Query1[[#This Row],[SF Running Total]]+Query1[[#This Row],[UNIV Running Total]]</f>
        <v>8692</v>
      </c>
      <c r="L5227">
        <f>VLOOKUP(Query1[[#This Row],[Description]],'kits to boards'!$B$2:$E$156,2,FALSE)</f>
        <v>830034</v>
      </c>
      <c r="M5227">
        <f>VLOOKUP(Query1[[#This Row],[Description]],'kits to boards'!$B$2:$E$156,3,FALSE)</f>
        <v>0</v>
      </c>
      <c r="N5227">
        <f>VLOOKUP(Query1[[#This Row],[Description]],'kits to boards'!$B$2:$E$156,4,FALSE)</f>
        <v>0</v>
      </c>
      <c r="O5227" t="str">
        <f>CONCATENATE(Query1[[#This Row],[Description]]," - ",Query1[[#This Row],[MB1]]," - ",Query1[[#This Row],[MB2]]," - ",Query1[[#This Row],[MB3]])</f>
        <v>EVAP KIT 64-67 GTO W/AC - 830034 - 0 - 0</v>
      </c>
    </row>
    <row r="5228" spans="1:15" x14ac:dyDescent="0.25">
      <c r="A5228" s="1">
        <v>923108</v>
      </c>
      <c r="B5228" s="1" t="s">
        <v>9</v>
      </c>
      <c r="C5228" s="1" t="s">
        <v>10</v>
      </c>
      <c r="D5228" s="2">
        <v>44691.308691817132</v>
      </c>
      <c r="E5228" s="1" t="s">
        <v>11</v>
      </c>
      <c r="F5228" s="1">
        <v>1</v>
      </c>
      <c r="G5228" s="1">
        <v>0</v>
      </c>
      <c r="H5228" s="6">
        <f>INT(Query1[[#This Row],[EntryDateTime]])</f>
        <v>44691</v>
      </c>
      <c r="I5228" s="1">
        <f>IF(Query1[[#This Row],[ItemType]]="EVAP KIT SF GEN IV",Query1[[#This Row],[OrderQty]]+I5227,I5227)</f>
        <v>6507</v>
      </c>
      <c r="J5228" s="1">
        <f>IF(Query1[[#This Row],[ItemType]]="EVAP KIT UNIVERSAL",Query1[[#This Row],[OrderQty]]+J5227,J5227)</f>
        <v>2186</v>
      </c>
      <c r="K5228" s="1">
        <f>Query1[[#This Row],[SF Running Total]]+Query1[[#This Row],[UNIV Running Total]]</f>
        <v>8693</v>
      </c>
      <c r="L5228">
        <f>VLOOKUP(Query1[[#This Row],[Description]],'kits to boards'!$B$2:$E$156,2,FALSE)</f>
        <v>830069</v>
      </c>
      <c r="M5228">
        <f>VLOOKUP(Query1[[#This Row],[Description]],'kits to boards'!$B$2:$E$156,3,FALSE)</f>
        <v>0</v>
      </c>
      <c r="N5228">
        <f>VLOOKUP(Query1[[#This Row],[Description]],'kits to boards'!$B$2:$E$156,4,FALSE)</f>
        <v>0</v>
      </c>
      <c r="O5228" t="str">
        <f>CONCATENATE(Query1[[#This Row],[Description]]," - ",Query1[[#This Row],[MB1]]," - ",Query1[[#This Row],[MB2]]," - ",Query1[[#This Row],[MB3]])</f>
        <v>SLIMLINE H/C W/DEF STD LOUVER - 830069 - 0 - 0</v>
      </c>
    </row>
    <row r="5229" spans="1:15" x14ac:dyDescent="0.25">
      <c r="A5229" s="1">
        <v>923108</v>
      </c>
      <c r="B5229" s="1" t="s">
        <v>106</v>
      </c>
      <c r="C5229" s="1" t="s">
        <v>107</v>
      </c>
      <c r="D5229" s="2">
        <v>44691.309086261572</v>
      </c>
      <c r="E5229" s="1" t="s">
        <v>8</v>
      </c>
      <c r="F5229" s="1">
        <v>1</v>
      </c>
      <c r="G5229" s="1">
        <v>0</v>
      </c>
      <c r="H5229" s="6">
        <f>INT(Query1[[#This Row],[EntryDateTime]])</f>
        <v>44691</v>
      </c>
      <c r="I5229" s="1">
        <f>IF(Query1[[#This Row],[ItemType]]="EVAP KIT SF GEN IV",Query1[[#This Row],[OrderQty]]+I5228,I5228)</f>
        <v>6508</v>
      </c>
      <c r="J5229" s="1">
        <f>IF(Query1[[#This Row],[ItemType]]="EVAP KIT UNIVERSAL",Query1[[#This Row],[OrderQty]]+J5228,J5228)</f>
        <v>2186</v>
      </c>
      <c r="K5229" s="1">
        <f>Query1[[#This Row],[SF Running Total]]+Query1[[#This Row],[UNIV Running Total]]</f>
        <v>8694</v>
      </c>
      <c r="L5229">
        <f>VLOOKUP(Query1[[#This Row],[Description]],'kits to boards'!$B$2:$E$156,2,FALSE)</f>
        <v>830028</v>
      </c>
      <c r="M5229">
        <f>VLOOKUP(Query1[[#This Row],[Description]],'kits to boards'!$B$2:$E$156,3,FALSE)</f>
        <v>0</v>
      </c>
      <c r="N5229">
        <f>VLOOKUP(Query1[[#This Row],[Description]],'kits to boards'!$B$2:$E$156,4,FALSE)</f>
        <v>0</v>
      </c>
      <c r="O5229" t="str">
        <f>CONCATENATE(Query1[[#This Row],[Description]]," - ",Query1[[#This Row],[MB1]]," - ",Query1[[#This Row],[MB2]]," - ",Query1[[#This Row],[MB3]])</f>
        <v>EVAP KIT 55-59 CHEV P-UP WO AC W/DELX - 830028 - 0 - 0</v>
      </c>
    </row>
    <row r="5230" spans="1:15" x14ac:dyDescent="0.25">
      <c r="A5230" s="1">
        <v>923108</v>
      </c>
      <c r="B5230" s="1" t="s">
        <v>166</v>
      </c>
      <c r="C5230" s="1" t="s">
        <v>167</v>
      </c>
      <c r="D5230" s="2">
        <v>44691.30918009259</v>
      </c>
      <c r="E5230" s="1" t="s">
        <v>8</v>
      </c>
      <c r="F5230" s="1">
        <v>1</v>
      </c>
      <c r="G5230" s="1">
        <v>0</v>
      </c>
      <c r="H5230" s="6">
        <f>INT(Query1[[#This Row],[EntryDateTime]])</f>
        <v>44691</v>
      </c>
      <c r="I5230" s="1">
        <f>IF(Query1[[#This Row],[ItemType]]="EVAP KIT SF GEN IV",Query1[[#This Row],[OrderQty]]+I5229,I5229)</f>
        <v>6509</v>
      </c>
      <c r="J5230" s="1">
        <f>IF(Query1[[#This Row],[ItemType]]="EVAP KIT UNIVERSAL",Query1[[#This Row],[OrderQty]]+J5229,J5229)</f>
        <v>2186</v>
      </c>
      <c r="K5230" s="1">
        <f>Query1[[#This Row],[SF Running Total]]+Query1[[#This Row],[UNIV Running Total]]</f>
        <v>8695</v>
      </c>
      <c r="L5230">
        <f>VLOOKUP(Query1[[#This Row],[Description]],'kits to boards'!$B$2:$E$156,2,FALSE)</f>
        <v>830063</v>
      </c>
      <c r="M5230">
        <f>VLOOKUP(Query1[[#This Row],[Description]],'kits to boards'!$B$2:$E$156,3,FALSE)</f>
        <v>0</v>
      </c>
      <c r="N5230">
        <f>VLOOKUP(Query1[[#This Row],[Description]],'kits to boards'!$B$2:$E$156,4,FALSE)</f>
        <v>0</v>
      </c>
      <c r="O5230" t="str">
        <f>CONCATENATE(Query1[[#This Row],[Description]]," - ",Query1[[#This Row],[MB1]]," - ",Query1[[#This Row],[MB2]]," - ",Query1[[#This Row],[MB3]])</f>
        <v>EVAP KIT 47-49 CHEV P-UP GEN IV - 830063 - 0 - 0</v>
      </c>
    </row>
    <row r="5231" spans="1:15" x14ac:dyDescent="0.25">
      <c r="A5231" s="1">
        <v>923108</v>
      </c>
      <c r="B5231" s="1" t="s">
        <v>98</v>
      </c>
      <c r="C5231" s="1" t="s">
        <v>99</v>
      </c>
      <c r="D5231" s="2">
        <v>44691.309332025463</v>
      </c>
      <c r="E5231" s="1" t="s">
        <v>11</v>
      </c>
      <c r="F5231" s="1">
        <v>3</v>
      </c>
      <c r="G5231" s="1">
        <v>0</v>
      </c>
      <c r="H5231" s="6">
        <f>INT(Query1[[#This Row],[EntryDateTime]])</f>
        <v>44691</v>
      </c>
      <c r="I5231" s="1">
        <f>IF(Query1[[#This Row],[ItemType]]="EVAP KIT SF GEN IV",Query1[[#This Row],[OrderQty]]+I5230,I5230)</f>
        <v>6509</v>
      </c>
      <c r="J5231" s="1">
        <f>IF(Query1[[#This Row],[ItemType]]="EVAP KIT UNIVERSAL",Query1[[#This Row],[OrderQty]]+J5230,J5230)</f>
        <v>2189</v>
      </c>
      <c r="K5231" s="1">
        <f>Query1[[#This Row],[SF Running Total]]+Query1[[#This Row],[UNIV Running Total]]</f>
        <v>8698</v>
      </c>
      <c r="L5231">
        <f>VLOOKUP(Query1[[#This Row],[Description]],'kits to boards'!$B$2:$E$156,2,FALSE)</f>
        <v>830099</v>
      </c>
      <c r="M5231">
        <f>VLOOKUP(Query1[[#This Row],[Description]],'kits to boards'!$B$2:$E$156,3,FALSE)</f>
        <v>0</v>
      </c>
      <c r="N5231">
        <f>VLOOKUP(Query1[[#This Row],[Description]],'kits to boards'!$B$2:$E$156,4,FALSE)</f>
        <v>0</v>
      </c>
      <c r="O5231" t="str">
        <f>CONCATENATE(Query1[[#This Row],[Description]]," - ",Query1[[#This Row],[MB1]]," - ",Query1[[#This Row],[MB2]]," - ",Query1[[#This Row],[MB3]])</f>
        <v>MINI GEN II W/DEF - 830099 - 0 - 0</v>
      </c>
    </row>
    <row r="5232" spans="1:15" x14ac:dyDescent="0.25">
      <c r="A5232" s="1">
        <v>923108</v>
      </c>
      <c r="B5232" s="1" t="s">
        <v>24</v>
      </c>
      <c r="C5232" s="1" t="s">
        <v>25</v>
      </c>
      <c r="D5232" s="2">
        <v>44691.30946866898</v>
      </c>
      <c r="E5232" s="1" t="s">
        <v>11</v>
      </c>
      <c r="F5232" s="1">
        <v>3</v>
      </c>
      <c r="G5232" s="1">
        <v>0</v>
      </c>
      <c r="H5232" s="6">
        <f>INT(Query1[[#This Row],[EntryDateTime]])</f>
        <v>44691</v>
      </c>
      <c r="I5232" s="1">
        <f>IF(Query1[[#This Row],[ItemType]]="EVAP KIT SF GEN IV",Query1[[#This Row],[OrderQty]]+I5231,I5231)</f>
        <v>6509</v>
      </c>
      <c r="J5232" s="1">
        <f>IF(Query1[[#This Row],[ItemType]]="EVAP KIT UNIVERSAL",Query1[[#This Row],[OrderQty]]+J5231,J5231)</f>
        <v>2192</v>
      </c>
      <c r="K5232" s="1">
        <f>Query1[[#This Row],[SF Running Total]]+Query1[[#This Row],[UNIV Running Total]]</f>
        <v>8701</v>
      </c>
      <c r="L5232">
        <f>VLOOKUP(Query1[[#This Row],[Description]],'kits to boards'!$B$2:$E$156,2,FALSE)</f>
        <v>830029</v>
      </c>
      <c r="M5232">
        <f>VLOOKUP(Query1[[#This Row],[Description]],'kits to boards'!$B$2:$E$156,3,FALSE)</f>
        <v>830030</v>
      </c>
      <c r="N5232">
        <f>VLOOKUP(Query1[[#This Row],[Description]],'kits to boards'!$B$2:$E$156,4,FALSE)</f>
        <v>0</v>
      </c>
      <c r="O5232" t="str">
        <f>CONCATENATE(Query1[[#This Row],[Description]]," - ",Query1[[#This Row],[MB1]]," - ",Query1[[#This Row],[MB2]]," - ",Query1[[#This Row],[MB3]])</f>
        <v>ComPac GEN II W/DEF - 830029 - 830030 - 0</v>
      </c>
    </row>
    <row r="5233" spans="1:15" x14ac:dyDescent="0.25">
      <c r="A5233" s="1">
        <v>923108</v>
      </c>
      <c r="B5233" s="1" t="s">
        <v>22</v>
      </c>
      <c r="C5233" s="1" t="s">
        <v>23</v>
      </c>
      <c r="D5233" s="2">
        <v>44691.309621446759</v>
      </c>
      <c r="E5233" s="1" t="s">
        <v>8</v>
      </c>
      <c r="F5233" s="1">
        <v>3</v>
      </c>
      <c r="G5233" s="1">
        <v>0</v>
      </c>
      <c r="H5233" s="6">
        <f>INT(Query1[[#This Row],[EntryDateTime]])</f>
        <v>44691</v>
      </c>
      <c r="I5233" s="1">
        <f>IF(Query1[[#This Row],[ItemType]]="EVAP KIT SF GEN IV",Query1[[#This Row],[OrderQty]]+I5232,I5232)</f>
        <v>6512</v>
      </c>
      <c r="J5233" s="1">
        <f>IF(Query1[[#This Row],[ItemType]]="EVAP KIT UNIVERSAL",Query1[[#This Row],[OrderQty]]+J5232,J5232)</f>
        <v>2192</v>
      </c>
      <c r="K5233" s="1">
        <f>Query1[[#This Row],[SF Running Total]]+Query1[[#This Row],[UNIV Running Total]]</f>
        <v>8704</v>
      </c>
      <c r="L5233">
        <f>VLOOKUP(Query1[[#This Row],[Description]],'kits to boards'!$B$2:$E$156,2,FALSE)</f>
        <v>830083</v>
      </c>
      <c r="M5233">
        <f>VLOOKUP(Query1[[#This Row],[Description]],'kits to boards'!$B$2:$E$156,3,FALSE)</f>
        <v>0</v>
      </c>
      <c r="N5233">
        <f>VLOOKUP(Query1[[#This Row],[Description]],'kits to boards'!$B$2:$E$156,4,FALSE)</f>
        <v>0</v>
      </c>
      <c r="O5233" t="str">
        <f>CONCATENATE(Query1[[#This Row],[Description]]," - ",Query1[[#This Row],[MB1]]," - ",Query1[[#This Row],[MB2]]," - ",Query1[[#This Row],[MB3]])</f>
        <v>GEN IV MAGNUM EVAP KIT - 830083 - 0 - 0</v>
      </c>
    </row>
    <row r="5234" spans="1:15" x14ac:dyDescent="0.25">
      <c r="A5234" s="1">
        <v>923108</v>
      </c>
      <c r="B5234" s="1" t="s">
        <v>138</v>
      </c>
      <c r="C5234" s="1" t="s">
        <v>139</v>
      </c>
      <c r="D5234" s="2">
        <v>44691.309749155094</v>
      </c>
      <c r="E5234" s="1" t="s">
        <v>11</v>
      </c>
      <c r="F5234" s="1">
        <v>2</v>
      </c>
      <c r="G5234" s="1">
        <v>0</v>
      </c>
      <c r="H5234" s="6">
        <f>INT(Query1[[#This Row],[EntryDateTime]])</f>
        <v>44691</v>
      </c>
      <c r="I5234" s="1">
        <f>IF(Query1[[#This Row],[ItemType]]="EVAP KIT SF GEN IV",Query1[[#This Row],[OrderQty]]+I5233,I5233)</f>
        <v>6512</v>
      </c>
      <c r="J5234" s="1">
        <f>IF(Query1[[#This Row],[ItemType]]="EVAP KIT UNIVERSAL",Query1[[#This Row],[OrderQty]]+J5233,J5233)</f>
        <v>2194</v>
      </c>
      <c r="K5234" s="1">
        <f>Query1[[#This Row],[SF Running Total]]+Query1[[#This Row],[UNIV Running Total]]</f>
        <v>8706</v>
      </c>
      <c r="L5234">
        <f>VLOOKUP(Query1[[#This Row],[Description]],'kits to boards'!$B$2:$E$156,2,FALSE)</f>
        <v>0</v>
      </c>
      <c r="M5234">
        <f>VLOOKUP(Query1[[#This Row],[Description]],'kits to boards'!$B$2:$E$156,3,FALSE)</f>
        <v>0</v>
      </c>
      <c r="N5234">
        <f>VLOOKUP(Query1[[#This Row],[Description]],'kits to boards'!$B$2:$E$156,4,FALSE)</f>
        <v>0</v>
      </c>
      <c r="O5234" t="str">
        <f>CONCATENATE(Query1[[#This Row],[Description]]," - ",Query1[[#This Row],[MB1]]," - ",Query1[[#This Row],[MB2]]," - ",Query1[[#This Row],[MB3]])</f>
        <v>HERITAGE TURNED BLACK EVAP KIT HEAT/COOL - 0 - 0 - 0</v>
      </c>
    </row>
    <row r="5235" spans="1:15" x14ac:dyDescent="0.25">
      <c r="A5235" s="1">
        <v>923115</v>
      </c>
      <c r="B5235" s="1" t="s">
        <v>114</v>
      </c>
      <c r="C5235" s="1" t="s">
        <v>115</v>
      </c>
      <c r="D5235" s="2">
        <v>44691.325898958334</v>
      </c>
      <c r="E5235" s="1" t="s">
        <v>8</v>
      </c>
      <c r="F5235" s="1">
        <v>1</v>
      </c>
      <c r="G5235" s="1">
        <v>0</v>
      </c>
      <c r="H5235" s="6">
        <f>INT(Query1[[#This Row],[EntryDateTime]])</f>
        <v>44691</v>
      </c>
      <c r="I5235" s="1">
        <f>IF(Query1[[#This Row],[ItemType]]="EVAP KIT SF GEN IV",Query1[[#This Row],[OrderQty]]+I5234,I5234)</f>
        <v>6513</v>
      </c>
      <c r="J5235" s="1">
        <f>IF(Query1[[#This Row],[ItemType]]="EVAP KIT UNIVERSAL",Query1[[#This Row],[OrderQty]]+J5234,J5234)</f>
        <v>2194</v>
      </c>
      <c r="K5235" s="1">
        <f>Query1[[#This Row],[SF Running Total]]+Query1[[#This Row],[UNIV Running Total]]</f>
        <v>8707</v>
      </c>
      <c r="L5235">
        <f>VLOOKUP(Query1[[#This Row],[Description]],'kits to boards'!$B$2:$E$156,2,FALSE)</f>
        <v>830059</v>
      </c>
      <c r="M5235">
        <f>VLOOKUP(Query1[[#This Row],[Description]],'kits to boards'!$B$2:$E$156,3,FALSE)</f>
        <v>0</v>
      </c>
      <c r="N5235">
        <f>VLOOKUP(Query1[[#This Row],[Description]],'kits to boards'!$B$2:$E$156,4,FALSE)</f>
        <v>0</v>
      </c>
      <c r="O5235" t="str">
        <f>CONCATENATE(Query1[[#This Row],[Description]]," - ",Query1[[#This Row],[MB1]]," - ",Query1[[#This Row],[MB2]]," - ",Query1[[#This Row],[MB3]])</f>
        <v>EVAP KIT 66-67 CHEVELLE W/AC - 830059 - 0 - 0</v>
      </c>
    </row>
    <row r="5236" spans="1:15" x14ac:dyDescent="0.25">
      <c r="A5236" s="1">
        <v>923116</v>
      </c>
      <c r="B5236" s="1" t="s">
        <v>90</v>
      </c>
      <c r="C5236" s="1" t="s">
        <v>91</v>
      </c>
      <c r="D5236" s="2">
        <v>44691.326188425926</v>
      </c>
      <c r="E5236" s="1" t="s">
        <v>8</v>
      </c>
      <c r="F5236" s="1">
        <v>1</v>
      </c>
      <c r="G5236" s="1">
        <v>0</v>
      </c>
      <c r="H5236" s="6">
        <f>INT(Query1[[#This Row],[EntryDateTime]])</f>
        <v>44691</v>
      </c>
      <c r="I5236" s="1">
        <f>IF(Query1[[#This Row],[ItemType]]="EVAP KIT SF GEN IV",Query1[[#This Row],[OrderQty]]+I5235,I5235)</f>
        <v>6514</v>
      </c>
      <c r="J5236" s="1">
        <f>IF(Query1[[#This Row],[ItemType]]="EVAP KIT UNIVERSAL",Query1[[#This Row],[OrderQty]]+J5235,J5235)</f>
        <v>2194</v>
      </c>
      <c r="K5236" s="1">
        <f>Query1[[#This Row],[SF Running Total]]+Query1[[#This Row],[UNIV Running Total]]</f>
        <v>8708</v>
      </c>
      <c r="L5236">
        <f>VLOOKUP(Query1[[#This Row],[Description]],'kits to boards'!$B$2:$E$156,2,FALSE)</f>
        <v>830105</v>
      </c>
      <c r="M5236">
        <f>VLOOKUP(Query1[[#This Row],[Description]],'kits to boards'!$B$2:$E$156,3,FALSE)</f>
        <v>830106</v>
      </c>
      <c r="N5236">
        <f>VLOOKUP(Query1[[#This Row],[Description]],'kits to boards'!$B$2:$E$156,4,FALSE)</f>
        <v>0</v>
      </c>
      <c r="O5236" t="str">
        <f>CONCATENATE(Query1[[#This Row],[Description]]," - ",Query1[[#This Row],[MB1]]," - ",Query1[[#This Row],[MB2]]," - ",Query1[[#This Row],[MB3]])</f>
        <v>EVAP KIT 73-79 FORD TRUCK/78-79 BCO W/AC - 830105 - 830106 - 0</v>
      </c>
    </row>
    <row r="5237" spans="1:15" x14ac:dyDescent="0.25">
      <c r="A5237" s="1">
        <v>923115</v>
      </c>
      <c r="B5237" s="1" t="s">
        <v>62</v>
      </c>
      <c r="C5237" s="1" t="s">
        <v>63</v>
      </c>
      <c r="D5237" s="2">
        <v>44691.326347951392</v>
      </c>
      <c r="E5237" s="1" t="s">
        <v>8</v>
      </c>
      <c r="F5237" s="1">
        <v>1</v>
      </c>
      <c r="G5237" s="1">
        <v>0</v>
      </c>
      <c r="H5237" s="6"/>
      <c r="I5237" s="1"/>
      <c r="J5237" s="1"/>
      <c r="K5237" s="1"/>
    </row>
    <row r="5238" spans="1:15" x14ac:dyDescent="0.25">
      <c r="A5238" s="1">
        <v>923115</v>
      </c>
      <c r="B5238" s="1" t="s">
        <v>72</v>
      </c>
      <c r="C5238" s="1" t="s">
        <v>73</v>
      </c>
      <c r="D5238" s="2">
        <v>44691.326901388886</v>
      </c>
      <c r="E5238" s="1" t="s">
        <v>8</v>
      </c>
      <c r="F5238" s="1">
        <v>1</v>
      </c>
      <c r="G5238" s="1">
        <v>0</v>
      </c>
      <c r="H5238" s="6"/>
    </row>
    <row r="5239" spans="1:15" x14ac:dyDescent="0.25">
      <c r="A5239" s="1">
        <v>923115</v>
      </c>
      <c r="B5239" s="1" t="s">
        <v>112</v>
      </c>
      <c r="C5239" s="1" t="s">
        <v>113</v>
      </c>
      <c r="D5239" s="2">
        <v>44691.327330092594</v>
      </c>
      <c r="E5239" s="1" t="s">
        <v>8</v>
      </c>
      <c r="F5239" s="1">
        <v>1</v>
      </c>
      <c r="G5239" s="1">
        <v>0</v>
      </c>
      <c r="H5239" s="6"/>
    </row>
    <row r="5240" spans="1:15" x14ac:dyDescent="0.25">
      <c r="A5240" s="1">
        <v>923115</v>
      </c>
      <c r="B5240" s="1" t="s">
        <v>42</v>
      </c>
      <c r="C5240" s="1" t="s">
        <v>43</v>
      </c>
      <c r="D5240" s="2">
        <v>44691.327705243057</v>
      </c>
      <c r="E5240" s="1" t="s">
        <v>8</v>
      </c>
      <c r="F5240" s="1">
        <v>1</v>
      </c>
      <c r="G5240" s="1">
        <v>0</v>
      </c>
      <c r="H5240" s="6"/>
    </row>
    <row r="5241" spans="1:15" x14ac:dyDescent="0.25">
      <c r="A5241" s="1">
        <v>923121</v>
      </c>
      <c r="B5241" s="1" t="s">
        <v>32</v>
      </c>
      <c r="C5241" s="1" t="s">
        <v>33</v>
      </c>
      <c r="D5241" s="2">
        <v>44691.339395405092</v>
      </c>
      <c r="E5241" s="1" t="s">
        <v>8</v>
      </c>
      <c r="F5241" s="1">
        <v>1</v>
      </c>
      <c r="G5241" s="1">
        <v>0</v>
      </c>
      <c r="H5241" s="6"/>
    </row>
    <row r="5242" spans="1:15" x14ac:dyDescent="0.25">
      <c r="A5242" s="1">
        <v>923120</v>
      </c>
      <c r="B5242" s="1" t="s">
        <v>164</v>
      </c>
      <c r="C5242" s="1" t="s">
        <v>165</v>
      </c>
      <c r="D5242" s="2">
        <v>44691.352306284723</v>
      </c>
      <c r="E5242" s="1" t="s">
        <v>8</v>
      </c>
      <c r="F5242" s="1">
        <v>1</v>
      </c>
      <c r="G5242" s="1">
        <v>0</v>
      </c>
      <c r="H5242" s="6"/>
    </row>
    <row r="5243" spans="1:15" x14ac:dyDescent="0.25">
      <c r="A5243" s="1">
        <v>923137</v>
      </c>
      <c r="B5243" s="1" t="s">
        <v>42</v>
      </c>
      <c r="C5243" s="1" t="s">
        <v>43</v>
      </c>
      <c r="D5243" s="2">
        <v>44691.355044710646</v>
      </c>
      <c r="E5243" s="1" t="s">
        <v>8</v>
      </c>
      <c r="F5243" s="1">
        <v>1</v>
      </c>
      <c r="G5243" s="1">
        <v>0</v>
      </c>
      <c r="H5243" s="6"/>
    </row>
    <row r="5244" spans="1:15" x14ac:dyDescent="0.25">
      <c r="A5244" s="1">
        <v>920490</v>
      </c>
      <c r="B5244" s="1" t="s">
        <v>26</v>
      </c>
      <c r="C5244" s="1" t="s">
        <v>27</v>
      </c>
      <c r="D5244" s="2">
        <v>44691.355985844908</v>
      </c>
      <c r="E5244" s="1" t="s">
        <v>8</v>
      </c>
      <c r="F5244" s="1">
        <v>1</v>
      </c>
      <c r="G5244" s="1">
        <v>0</v>
      </c>
      <c r="H5244" s="6"/>
    </row>
    <row r="5245" spans="1:15" x14ac:dyDescent="0.25">
      <c r="A5245" s="1">
        <v>923119</v>
      </c>
      <c r="B5245" s="1" t="s">
        <v>240</v>
      </c>
      <c r="C5245" s="1" t="s">
        <v>241</v>
      </c>
      <c r="D5245" s="2">
        <v>44691.36043645833</v>
      </c>
      <c r="E5245" s="1" t="s">
        <v>8</v>
      </c>
      <c r="F5245" s="1">
        <v>1</v>
      </c>
      <c r="G5245" s="1">
        <v>0</v>
      </c>
      <c r="H5245" s="6"/>
    </row>
    <row r="5246" spans="1:15" x14ac:dyDescent="0.25">
      <c r="A5246" s="1">
        <v>922955</v>
      </c>
      <c r="B5246" s="1" t="s">
        <v>26</v>
      </c>
      <c r="C5246" s="1" t="s">
        <v>27</v>
      </c>
      <c r="D5246" s="2">
        <v>44691.361910648149</v>
      </c>
      <c r="E5246" s="1" t="s">
        <v>8</v>
      </c>
      <c r="F5246" s="1">
        <v>1</v>
      </c>
      <c r="G5246" s="1">
        <v>0</v>
      </c>
      <c r="H5246" s="6"/>
    </row>
    <row r="5247" spans="1:15" x14ac:dyDescent="0.25">
      <c r="A5247" s="1">
        <v>923153</v>
      </c>
      <c r="B5247" s="1" t="s">
        <v>84</v>
      </c>
      <c r="C5247" s="1" t="s">
        <v>85</v>
      </c>
      <c r="D5247" s="2">
        <v>44691.371876354169</v>
      </c>
      <c r="E5247" s="1" t="s">
        <v>8</v>
      </c>
      <c r="F5247" s="1">
        <v>2</v>
      </c>
      <c r="G5247" s="1">
        <v>0</v>
      </c>
      <c r="H5247" s="6"/>
    </row>
    <row r="5248" spans="1:15" x14ac:dyDescent="0.25">
      <c r="A5248" s="1">
        <v>923165</v>
      </c>
      <c r="B5248" s="1" t="s">
        <v>676</v>
      </c>
      <c r="C5248" s="1" t="s">
        <v>471</v>
      </c>
      <c r="D5248" s="2">
        <v>44691.38839965278</v>
      </c>
      <c r="E5248" s="1" t="s">
        <v>677</v>
      </c>
      <c r="F5248" s="1">
        <v>1</v>
      </c>
      <c r="G5248" s="1">
        <v>0</v>
      </c>
      <c r="H5248" s="6"/>
    </row>
    <row r="5249" spans="1:8" x14ac:dyDescent="0.25">
      <c r="A5249" s="1">
        <v>923145</v>
      </c>
      <c r="B5249" s="1" t="s">
        <v>56</v>
      </c>
      <c r="C5249" s="1" t="s">
        <v>57</v>
      </c>
      <c r="D5249" s="2">
        <v>44691.390486689816</v>
      </c>
      <c r="E5249" s="1" t="s">
        <v>8</v>
      </c>
      <c r="F5249" s="1">
        <v>1</v>
      </c>
      <c r="G5249" s="1">
        <v>0</v>
      </c>
      <c r="H5249" s="6"/>
    </row>
    <row r="5250" spans="1:8" x14ac:dyDescent="0.25">
      <c r="A5250" s="1">
        <v>923170</v>
      </c>
      <c r="B5250" s="1" t="s">
        <v>12</v>
      </c>
      <c r="C5250" s="1" t="s">
        <v>13</v>
      </c>
      <c r="D5250" s="2">
        <v>44691.396093136573</v>
      </c>
      <c r="E5250" s="1" t="s">
        <v>8</v>
      </c>
      <c r="F5250" s="1">
        <v>1</v>
      </c>
      <c r="G5250" s="1">
        <v>0</v>
      </c>
      <c r="H5250" s="6"/>
    </row>
    <row r="5251" spans="1:8" x14ac:dyDescent="0.25">
      <c r="A5251" s="1">
        <v>923167</v>
      </c>
      <c r="B5251" s="1" t="s">
        <v>305</v>
      </c>
      <c r="C5251" s="1" t="s">
        <v>306</v>
      </c>
      <c r="D5251" s="2">
        <v>44691.399969710648</v>
      </c>
      <c r="E5251" s="1" t="s">
        <v>11</v>
      </c>
      <c r="F5251" s="1">
        <v>1</v>
      </c>
      <c r="G5251" s="1">
        <v>0</v>
      </c>
      <c r="H5251" s="6"/>
    </row>
    <row r="5252" spans="1:8" x14ac:dyDescent="0.25">
      <c r="A5252" s="1">
        <v>923088</v>
      </c>
      <c r="B5252" s="1" t="s">
        <v>90</v>
      </c>
      <c r="C5252" s="1" t="s">
        <v>91</v>
      </c>
      <c r="D5252" s="2">
        <v>44691.42911582176</v>
      </c>
      <c r="E5252" s="1" t="s">
        <v>8</v>
      </c>
      <c r="F5252" s="1">
        <v>1</v>
      </c>
      <c r="G5252" s="1">
        <v>0</v>
      </c>
      <c r="H5252" s="6"/>
    </row>
    <row r="5253" spans="1:8" x14ac:dyDescent="0.25">
      <c r="A5253" s="1">
        <v>923186</v>
      </c>
      <c r="B5253" s="1" t="s">
        <v>66</v>
      </c>
      <c r="C5253" s="1" t="s">
        <v>67</v>
      </c>
      <c r="D5253" s="2">
        <v>44691.433157905092</v>
      </c>
      <c r="E5253" s="1" t="s">
        <v>8</v>
      </c>
      <c r="F5253" s="1">
        <v>1</v>
      </c>
      <c r="G5253" s="1">
        <v>0</v>
      </c>
      <c r="H5253" s="6"/>
    </row>
    <row r="5254" spans="1:8" x14ac:dyDescent="0.25">
      <c r="A5254" s="1">
        <v>923183</v>
      </c>
      <c r="B5254" s="1" t="s">
        <v>22</v>
      </c>
      <c r="C5254" s="1" t="s">
        <v>23</v>
      </c>
      <c r="D5254" s="2">
        <v>44691.436286655095</v>
      </c>
      <c r="E5254" s="1" t="s">
        <v>8</v>
      </c>
      <c r="F5254" s="1">
        <v>4</v>
      </c>
      <c r="G5254" s="1">
        <v>0</v>
      </c>
      <c r="H5254" s="6"/>
    </row>
    <row r="5255" spans="1:8" x14ac:dyDescent="0.25">
      <c r="A5255" s="1">
        <v>923156</v>
      </c>
      <c r="B5255" s="1" t="s">
        <v>216</v>
      </c>
      <c r="C5255" s="1" t="s">
        <v>217</v>
      </c>
      <c r="D5255" s="2">
        <v>44691.44047361111</v>
      </c>
      <c r="E5255" s="1" t="s">
        <v>8</v>
      </c>
      <c r="F5255" s="1">
        <v>1</v>
      </c>
      <c r="G5255" s="1">
        <v>0</v>
      </c>
      <c r="H5255" s="6"/>
    </row>
    <row r="5256" spans="1:8" x14ac:dyDescent="0.25">
      <c r="A5256" s="1">
        <v>923192</v>
      </c>
      <c r="B5256" s="1" t="s">
        <v>106</v>
      </c>
      <c r="C5256" s="1" t="s">
        <v>107</v>
      </c>
      <c r="D5256" s="2">
        <v>44691.446972372687</v>
      </c>
      <c r="E5256" s="1" t="s">
        <v>8</v>
      </c>
      <c r="F5256" s="1">
        <v>1</v>
      </c>
      <c r="G5256" s="1">
        <v>0</v>
      </c>
      <c r="H5256" s="6"/>
    </row>
    <row r="5257" spans="1:8" x14ac:dyDescent="0.25">
      <c r="A5257" s="1">
        <v>921901</v>
      </c>
      <c r="B5257" s="1" t="s">
        <v>16</v>
      </c>
      <c r="C5257" s="1" t="s">
        <v>17</v>
      </c>
      <c r="D5257" s="2">
        <v>44691.450069479164</v>
      </c>
      <c r="E5257" s="1" t="s">
        <v>8</v>
      </c>
      <c r="F5257" s="1">
        <v>1</v>
      </c>
      <c r="G5257" s="1">
        <v>0</v>
      </c>
      <c r="H5257" s="6"/>
    </row>
    <row r="5258" spans="1:8" x14ac:dyDescent="0.25">
      <c r="A5258" s="1">
        <v>922867</v>
      </c>
      <c r="B5258" s="1" t="s">
        <v>102</v>
      </c>
      <c r="C5258" s="1" t="s">
        <v>103</v>
      </c>
      <c r="D5258" s="2">
        <v>44691.46812607639</v>
      </c>
      <c r="E5258" s="1" t="s">
        <v>8</v>
      </c>
      <c r="F5258" s="1">
        <v>1</v>
      </c>
      <c r="G5258" s="1">
        <v>0</v>
      </c>
      <c r="H5258" s="6"/>
    </row>
    <row r="5259" spans="1:8" x14ac:dyDescent="0.25">
      <c r="A5259" s="1">
        <v>923202</v>
      </c>
      <c r="B5259" s="1" t="s">
        <v>42</v>
      </c>
      <c r="C5259" s="1" t="s">
        <v>43</v>
      </c>
      <c r="D5259" s="2">
        <v>44691.478853553243</v>
      </c>
      <c r="E5259" s="1" t="s">
        <v>8</v>
      </c>
      <c r="F5259" s="1">
        <v>1</v>
      </c>
      <c r="G5259" s="1">
        <v>0</v>
      </c>
      <c r="H5259" s="6"/>
    </row>
    <row r="5260" spans="1:8" x14ac:dyDescent="0.25">
      <c r="A5260" s="1">
        <v>923206</v>
      </c>
      <c r="B5260" s="1" t="s">
        <v>40</v>
      </c>
      <c r="C5260" s="1" t="s">
        <v>246</v>
      </c>
      <c r="D5260" s="2">
        <v>44691.495219178243</v>
      </c>
      <c r="E5260" s="1" t="s">
        <v>8</v>
      </c>
      <c r="F5260" s="1">
        <v>1</v>
      </c>
      <c r="G5260" s="1">
        <v>0</v>
      </c>
      <c r="H5260" s="6"/>
    </row>
    <row r="5261" spans="1:8" x14ac:dyDescent="0.25">
      <c r="A5261" s="1">
        <v>923209</v>
      </c>
      <c r="B5261" s="1" t="s">
        <v>98</v>
      </c>
      <c r="C5261" s="1" t="s">
        <v>99</v>
      </c>
      <c r="D5261" s="2">
        <v>44691.501552083333</v>
      </c>
      <c r="E5261" s="1" t="s">
        <v>11</v>
      </c>
      <c r="F5261" s="1">
        <v>1</v>
      </c>
      <c r="G5261" s="1">
        <v>0</v>
      </c>
      <c r="H5261" s="6"/>
    </row>
    <row r="5262" spans="1:8" x14ac:dyDescent="0.25">
      <c r="A5262" s="1">
        <v>922726</v>
      </c>
      <c r="B5262" s="1" t="s">
        <v>126</v>
      </c>
      <c r="C5262" s="1" t="s">
        <v>127</v>
      </c>
      <c r="D5262" s="2">
        <v>44691.52966832176</v>
      </c>
      <c r="E5262" s="1" t="s">
        <v>8</v>
      </c>
      <c r="F5262" s="1">
        <v>1</v>
      </c>
      <c r="G5262" s="1">
        <v>0</v>
      </c>
      <c r="H5262" s="6"/>
    </row>
    <row r="5263" spans="1:8" x14ac:dyDescent="0.25">
      <c r="A5263" s="1">
        <v>923140</v>
      </c>
      <c r="B5263" s="1" t="s">
        <v>82</v>
      </c>
      <c r="C5263" s="1" t="s">
        <v>83</v>
      </c>
      <c r="D5263" s="2">
        <v>44691.530814155092</v>
      </c>
      <c r="E5263" s="1" t="s">
        <v>11</v>
      </c>
      <c r="F5263" s="1">
        <v>1</v>
      </c>
      <c r="G5263" s="1">
        <v>0</v>
      </c>
      <c r="H5263" s="6"/>
    </row>
    <row r="5264" spans="1:8" x14ac:dyDescent="0.25">
      <c r="A5264" s="1">
        <v>923160</v>
      </c>
      <c r="B5264" s="1" t="s">
        <v>22</v>
      </c>
      <c r="C5264" s="1" t="s">
        <v>23</v>
      </c>
      <c r="D5264" s="2">
        <v>44691.535430011572</v>
      </c>
      <c r="E5264" s="1" t="s">
        <v>8</v>
      </c>
      <c r="F5264" s="1">
        <v>1</v>
      </c>
      <c r="G5264" s="1">
        <v>0</v>
      </c>
      <c r="H5264" s="6"/>
    </row>
    <row r="5265" spans="1:8" x14ac:dyDescent="0.25">
      <c r="A5265" s="1">
        <v>919983</v>
      </c>
      <c r="B5265" s="1" t="s">
        <v>26</v>
      </c>
      <c r="C5265" s="1" t="s">
        <v>27</v>
      </c>
      <c r="D5265" s="2">
        <v>44691.536642326391</v>
      </c>
      <c r="E5265" s="1" t="s">
        <v>8</v>
      </c>
      <c r="F5265" s="1">
        <v>1</v>
      </c>
      <c r="G5265" s="1">
        <v>0</v>
      </c>
      <c r="H5265" s="6"/>
    </row>
    <row r="5266" spans="1:8" x14ac:dyDescent="0.25">
      <c r="A5266" s="1">
        <v>923217</v>
      </c>
      <c r="B5266" s="1" t="s">
        <v>26</v>
      </c>
      <c r="C5266" s="1" t="s">
        <v>27</v>
      </c>
      <c r="D5266" s="2">
        <v>44691.539159108797</v>
      </c>
      <c r="E5266" s="1" t="s">
        <v>8</v>
      </c>
      <c r="F5266" s="1">
        <v>1</v>
      </c>
      <c r="G5266" s="1">
        <v>0</v>
      </c>
      <c r="H5266" s="6"/>
    </row>
    <row r="5267" spans="1:8" x14ac:dyDescent="0.25">
      <c r="A5267" s="1">
        <v>923221</v>
      </c>
      <c r="B5267" s="1" t="s">
        <v>42</v>
      </c>
      <c r="C5267" s="1" t="s">
        <v>43</v>
      </c>
      <c r="D5267" s="2">
        <v>44691.540895949074</v>
      </c>
      <c r="E5267" s="1" t="s">
        <v>8</v>
      </c>
      <c r="F5267" s="1">
        <v>1</v>
      </c>
      <c r="G5267" s="1">
        <v>0</v>
      </c>
      <c r="H5267" s="6"/>
    </row>
    <row r="5268" spans="1:8" x14ac:dyDescent="0.25">
      <c r="A5268" s="1">
        <v>923227</v>
      </c>
      <c r="B5268" s="1" t="s">
        <v>60</v>
      </c>
      <c r="C5268" s="1" t="s">
        <v>61</v>
      </c>
      <c r="D5268" s="2">
        <v>44691.549839317129</v>
      </c>
      <c r="E5268" s="1" t="s">
        <v>8</v>
      </c>
      <c r="F5268" s="1">
        <v>1</v>
      </c>
      <c r="G5268" s="1">
        <v>0</v>
      </c>
      <c r="H5268" s="6"/>
    </row>
    <row r="5269" spans="1:8" x14ac:dyDescent="0.25">
      <c r="A5269" s="1">
        <v>923228</v>
      </c>
      <c r="B5269" s="1" t="s">
        <v>88</v>
      </c>
      <c r="C5269" s="1" t="s">
        <v>89</v>
      </c>
      <c r="D5269" s="2">
        <v>44691.552806250002</v>
      </c>
      <c r="E5269" s="1" t="s">
        <v>8</v>
      </c>
      <c r="F5269" s="1">
        <v>1</v>
      </c>
      <c r="G5269" s="1">
        <v>0</v>
      </c>
      <c r="H5269" s="6"/>
    </row>
    <row r="5270" spans="1:8" x14ac:dyDescent="0.25">
      <c r="A5270" s="1">
        <v>923230</v>
      </c>
      <c r="B5270" s="1" t="s">
        <v>14</v>
      </c>
      <c r="C5270" s="1" t="s">
        <v>15</v>
      </c>
      <c r="D5270" s="2">
        <v>44691.554672488426</v>
      </c>
      <c r="E5270" s="1" t="s">
        <v>8</v>
      </c>
      <c r="F5270" s="1">
        <v>1</v>
      </c>
      <c r="G5270" s="1">
        <v>0</v>
      </c>
      <c r="H5270" s="6"/>
    </row>
    <row r="5271" spans="1:8" x14ac:dyDescent="0.25">
      <c r="A5271" s="1">
        <v>923222</v>
      </c>
      <c r="B5271" s="1" t="s">
        <v>42</v>
      </c>
      <c r="C5271" s="1" t="s">
        <v>43</v>
      </c>
      <c r="D5271" s="2">
        <v>44691.555182835647</v>
      </c>
      <c r="E5271" s="1" t="s">
        <v>8</v>
      </c>
      <c r="F5271" s="1">
        <v>1</v>
      </c>
      <c r="G5271" s="1">
        <v>0</v>
      </c>
      <c r="H5271" s="6"/>
    </row>
    <row r="5272" spans="1:8" x14ac:dyDescent="0.25">
      <c r="A5272" s="1">
        <v>922931</v>
      </c>
      <c r="B5272" s="1" t="s">
        <v>184</v>
      </c>
      <c r="C5272" s="1" t="s">
        <v>185</v>
      </c>
      <c r="D5272" s="2">
        <v>44691.558887233798</v>
      </c>
      <c r="E5272" s="1" t="s">
        <v>8</v>
      </c>
      <c r="F5272" s="1">
        <v>1</v>
      </c>
      <c r="G5272" s="1">
        <v>0</v>
      </c>
      <c r="H5272" s="6"/>
    </row>
    <row r="5273" spans="1:8" x14ac:dyDescent="0.25">
      <c r="A5273" s="1">
        <v>923225</v>
      </c>
      <c r="B5273" s="1" t="s">
        <v>52</v>
      </c>
      <c r="C5273" s="1" t="s">
        <v>53</v>
      </c>
      <c r="D5273" s="2">
        <v>44691.560233946759</v>
      </c>
      <c r="E5273" s="1" t="s">
        <v>8</v>
      </c>
      <c r="F5273" s="1">
        <v>1</v>
      </c>
      <c r="G5273" s="1">
        <v>0</v>
      </c>
      <c r="H5273" s="6"/>
    </row>
    <row r="5274" spans="1:8" x14ac:dyDescent="0.25">
      <c r="A5274" s="1">
        <v>923229</v>
      </c>
      <c r="B5274" s="1" t="s">
        <v>160</v>
      </c>
      <c r="C5274" s="1" t="s">
        <v>161</v>
      </c>
      <c r="D5274" s="2">
        <v>44691.571343055555</v>
      </c>
      <c r="E5274" s="1" t="s">
        <v>8</v>
      </c>
      <c r="F5274" s="1">
        <v>1</v>
      </c>
      <c r="G5274" s="1">
        <v>0</v>
      </c>
      <c r="H5274" s="6"/>
    </row>
    <row r="5275" spans="1:8" x14ac:dyDescent="0.25">
      <c r="A5275" s="1">
        <v>923239</v>
      </c>
      <c r="B5275" s="1" t="s">
        <v>90</v>
      </c>
      <c r="C5275" s="1" t="s">
        <v>91</v>
      </c>
      <c r="D5275" s="2">
        <v>44691.594872534719</v>
      </c>
      <c r="E5275" s="1" t="s">
        <v>8</v>
      </c>
      <c r="F5275" s="1">
        <v>1</v>
      </c>
      <c r="G5275" s="1">
        <v>0</v>
      </c>
      <c r="H5275" s="6"/>
    </row>
    <row r="5276" spans="1:8" x14ac:dyDescent="0.25">
      <c r="A5276" s="1">
        <v>923267</v>
      </c>
      <c r="B5276" s="1" t="s">
        <v>102</v>
      </c>
      <c r="C5276" s="1" t="s">
        <v>103</v>
      </c>
      <c r="D5276" s="2">
        <v>44691.610718599535</v>
      </c>
      <c r="E5276" s="1" t="s">
        <v>8</v>
      </c>
      <c r="F5276" s="1">
        <v>1</v>
      </c>
      <c r="G5276" s="1">
        <v>0</v>
      </c>
      <c r="H5276" s="6"/>
    </row>
    <row r="5277" spans="1:8" x14ac:dyDescent="0.25">
      <c r="A5277" s="1">
        <v>918396</v>
      </c>
      <c r="B5277" s="1" t="s">
        <v>96</v>
      </c>
      <c r="C5277" s="1" t="s">
        <v>97</v>
      </c>
      <c r="D5277" s="2">
        <v>44691.614392442127</v>
      </c>
      <c r="E5277" s="1" t="s">
        <v>8</v>
      </c>
      <c r="F5277" s="1">
        <v>1</v>
      </c>
      <c r="G5277" s="1">
        <v>0</v>
      </c>
      <c r="H5277" s="6"/>
    </row>
    <row r="5278" spans="1:8" x14ac:dyDescent="0.25">
      <c r="A5278" s="1">
        <v>923250</v>
      </c>
      <c r="B5278" s="1" t="s">
        <v>28</v>
      </c>
      <c r="C5278" s="1" t="s">
        <v>29</v>
      </c>
      <c r="D5278" s="2">
        <v>44691.615440011577</v>
      </c>
      <c r="E5278" s="1" t="s">
        <v>8</v>
      </c>
      <c r="F5278" s="1">
        <v>1</v>
      </c>
      <c r="G5278" s="1">
        <v>0</v>
      </c>
      <c r="H5278" s="6"/>
    </row>
    <row r="5279" spans="1:8" x14ac:dyDescent="0.25">
      <c r="A5279" s="1">
        <v>918398</v>
      </c>
      <c r="B5279" s="1" t="s">
        <v>70</v>
      </c>
      <c r="C5279" s="1" t="s">
        <v>71</v>
      </c>
      <c r="D5279" s="2">
        <v>44691.618340277775</v>
      </c>
      <c r="E5279" s="1" t="s">
        <v>8</v>
      </c>
      <c r="F5279" s="1">
        <v>1</v>
      </c>
      <c r="G5279" s="1">
        <v>0</v>
      </c>
      <c r="H5279" s="6"/>
    </row>
    <row r="5280" spans="1:8" x14ac:dyDescent="0.25">
      <c r="A5280" s="1">
        <v>918403</v>
      </c>
      <c r="B5280" s="1" t="s">
        <v>38</v>
      </c>
      <c r="C5280" s="1" t="s">
        <v>39</v>
      </c>
      <c r="D5280" s="2">
        <v>44691.618935104168</v>
      </c>
      <c r="E5280" s="1" t="s">
        <v>8</v>
      </c>
      <c r="F5280" s="1">
        <v>1</v>
      </c>
      <c r="G5280" s="1">
        <v>0</v>
      </c>
      <c r="H5280" s="6"/>
    </row>
    <row r="5281" spans="1:8" x14ac:dyDescent="0.25">
      <c r="A5281" s="1">
        <v>923280</v>
      </c>
      <c r="B5281" s="1" t="s">
        <v>118</v>
      </c>
      <c r="C5281" s="1" t="s">
        <v>119</v>
      </c>
      <c r="D5281" s="2">
        <v>44691.628289699074</v>
      </c>
      <c r="E5281" s="1" t="s">
        <v>11</v>
      </c>
      <c r="F5281" s="1">
        <v>1</v>
      </c>
      <c r="G5281" s="1">
        <v>0</v>
      </c>
      <c r="H5281" s="6"/>
    </row>
    <row r="5282" spans="1:8" x14ac:dyDescent="0.25">
      <c r="A5282" s="1">
        <v>923280</v>
      </c>
      <c r="B5282" s="1" t="s">
        <v>62</v>
      </c>
      <c r="C5282" s="1" t="s">
        <v>63</v>
      </c>
      <c r="D5282" s="2">
        <v>44691.628397766202</v>
      </c>
      <c r="E5282" s="1" t="s">
        <v>8</v>
      </c>
      <c r="F5282" s="1">
        <v>1</v>
      </c>
      <c r="G5282" s="1">
        <v>0</v>
      </c>
      <c r="H5282" s="6"/>
    </row>
    <row r="5283" spans="1:8" x14ac:dyDescent="0.25">
      <c r="A5283" s="1">
        <v>923280</v>
      </c>
      <c r="B5283" s="1" t="s">
        <v>12</v>
      </c>
      <c r="C5283" s="1" t="s">
        <v>13</v>
      </c>
      <c r="D5283" s="2">
        <v>44691.628399652778</v>
      </c>
      <c r="E5283" s="1" t="s">
        <v>8</v>
      </c>
      <c r="F5283" s="1">
        <v>1</v>
      </c>
      <c r="G5283" s="1">
        <v>0</v>
      </c>
      <c r="H5283" s="6"/>
    </row>
    <row r="5284" spans="1:8" x14ac:dyDescent="0.25">
      <c r="A5284" s="1">
        <v>923280</v>
      </c>
      <c r="B5284" s="1" t="s">
        <v>86</v>
      </c>
      <c r="C5284" s="1" t="s">
        <v>87</v>
      </c>
      <c r="D5284" s="2">
        <v>44691.628401539354</v>
      </c>
      <c r="E5284" s="1" t="s">
        <v>8</v>
      </c>
      <c r="F5284" s="1">
        <v>1</v>
      </c>
      <c r="G5284" s="1">
        <v>0</v>
      </c>
      <c r="H5284" s="6"/>
    </row>
    <row r="5285" spans="1:8" x14ac:dyDescent="0.25">
      <c r="A5285" s="1">
        <v>923280</v>
      </c>
      <c r="B5285" s="1" t="s">
        <v>40</v>
      </c>
      <c r="C5285" s="1" t="s">
        <v>41</v>
      </c>
      <c r="D5285" s="2">
        <v>44691.628403275463</v>
      </c>
      <c r="E5285" s="1" t="s">
        <v>8</v>
      </c>
      <c r="F5285" s="1">
        <v>1</v>
      </c>
      <c r="G5285" s="1">
        <v>0</v>
      </c>
      <c r="H5285" s="6"/>
    </row>
    <row r="5286" spans="1:8" x14ac:dyDescent="0.25">
      <c r="A5286" s="1">
        <v>923280</v>
      </c>
      <c r="B5286" s="1" t="s">
        <v>20</v>
      </c>
      <c r="C5286" s="1" t="s">
        <v>21</v>
      </c>
      <c r="D5286" s="2">
        <v>44691.628405902775</v>
      </c>
      <c r="E5286" s="1" t="s">
        <v>11</v>
      </c>
      <c r="F5286" s="1">
        <v>1</v>
      </c>
      <c r="G5286" s="1">
        <v>0</v>
      </c>
      <c r="H5286" s="6"/>
    </row>
    <row r="5287" spans="1:8" x14ac:dyDescent="0.25">
      <c r="A5287" s="1">
        <v>923280</v>
      </c>
      <c r="B5287" s="1" t="s">
        <v>22</v>
      </c>
      <c r="C5287" s="1" t="s">
        <v>23</v>
      </c>
      <c r="D5287" s="2">
        <v>44691.62841153935</v>
      </c>
      <c r="E5287" s="1" t="s">
        <v>8</v>
      </c>
      <c r="F5287" s="1">
        <v>2</v>
      </c>
      <c r="G5287" s="1">
        <v>0</v>
      </c>
      <c r="H5287" s="6"/>
    </row>
    <row r="5288" spans="1:8" x14ac:dyDescent="0.25">
      <c r="A5288" s="1">
        <v>923280</v>
      </c>
      <c r="B5288" s="1" t="s">
        <v>24</v>
      </c>
      <c r="C5288" s="1" t="s">
        <v>25</v>
      </c>
      <c r="D5288" s="2">
        <v>44691.628413425926</v>
      </c>
      <c r="E5288" s="1" t="s">
        <v>11</v>
      </c>
      <c r="F5288" s="1">
        <v>1</v>
      </c>
      <c r="G5288" s="1">
        <v>0</v>
      </c>
      <c r="H5288" s="6"/>
    </row>
    <row r="5289" spans="1:8" x14ac:dyDescent="0.25">
      <c r="A5289" s="1">
        <v>923281</v>
      </c>
      <c r="B5289" s="1" t="s">
        <v>52</v>
      </c>
      <c r="C5289" s="1" t="s">
        <v>53</v>
      </c>
      <c r="D5289" s="2">
        <v>44691.62929730324</v>
      </c>
      <c r="E5289" s="1" t="s">
        <v>8</v>
      </c>
      <c r="F5289" s="1">
        <v>1</v>
      </c>
      <c r="G5289" s="1">
        <v>0</v>
      </c>
      <c r="H5289" s="6"/>
    </row>
    <row r="5290" spans="1:8" x14ac:dyDescent="0.25">
      <c r="A5290" s="1">
        <v>923282</v>
      </c>
      <c r="B5290" s="1" t="s">
        <v>279</v>
      </c>
      <c r="C5290" s="1" t="s">
        <v>280</v>
      </c>
      <c r="D5290" s="2">
        <v>44691.63104270833</v>
      </c>
      <c r="E5290" s="1" t="s">
        <v>8</v>
      </c>
      <c r="F5290" s="1">
        <v>1</v>
      </c>
      <c r="G5290" s="1">
        <v>0</v>
      </c>
      <c r="H5290" s="6"/>
    </row>
    <row r="5291" spans="1:8" x14ac:dyDescent="0.25">
      <c r="A5291" s="1">
        <v>921292</v>
      </c>
      <c r="B5291" s="1" t="s">
        <v>186</v>
      </c>
      <c r="C5291" s="1" t="s">
        <v>187</v>
      </c>
      <c r="D5291" s="2">
        <v>44691.636422766205</v>
      </c>
      <c r="E5291" s="1" t="s">
        <v>8</v>
      </c>
      <c r="F5291" s="1">
        <v>1</v>
      </c>
      <c r="G5291" s="1">
        <v>0</v>
      </c>
      <c r="H5291" s="6"/>
    </row>
    <row r="5292" spans="1:8" x14ac:dyDescent="0.25">
      <c r="A5292" s="1">
        <v>923298</v>
      </c>
      <c r="B5292" s="1" t="s">
        <v>108</v>
      </c>
      <c r="C5292" s="1" t="s">
        <v>109</v>
      </c>
      <c r="D5292" s="2">
        <v>44691.65147326389</v>
      </c>
      <c r="E5292" s="1" t="s">
        <v>8</v>
      </c>
      <c r="F5292" s="1">
        <v>1</v>
      </c>
      <c r="G5292" s="1">
        <v>0</v>
      </c>
      <c r="H5292" s="6"/>
    </row>
    <row r="5293" spans="1:8" x14ac:dyDescent="0.25">
      <c r="A5293" s="1">
        <v>923296</v>
      </c>
      <c r="B5293" s="1" t="s">
        <v>242</v>
      </c>
      <c r="C5293" s="1" t="s">
        <v>243</v>
      </c>
      <c r="D5293" s="2">
        <v>44691.651991585648</v>
      </c>
      <c r="E5293" s="1" t="s">
        <v>8</v>
      </c>
      <c r="F5293" s="1">
        <v>1</v>
      </c>
      <c r="G5293" s="1">
        <v>0</v>
      </c>
      <c r="H5293" s="6"/>
    </row>
    <row r="5294" spans="1:8" x14ac:dyDescent="0.25">
      <c r="A5294" s="1">
        <v>923304</v>
      </c>
      <c r="B5294" s="1" t="s">
        <v>94</v>
      </c>
      <c r="C5294" s="1" t="s">
        <v>95</v>
      </c>
      <c r="D5294" s="2">
        <v>44691.661670914349</v>
      </c>
      <c r="E5294" s="1" t="s">
        <v>8</v>
      </c>
      <c r="F5294" s="1">
        <v>1</v>
      </c>
      <c r="G5294" s="1">
        <v>0</v>
      </c>
      <c r="H5294" s="6"/>
    </row>
    <row r="5295" spans="1:8" x14ac:dyDescent="0.25">
      <c r="A5295" s="1">
        <v>923305</v>
      </c>
      <c r="B5295" s="1" t="s">
        <v>170</v>
      </c>
      <c r="C5295" s="1" t="s">
        <v>171</v>
      </c>
      <c r="D5295" s="2">
        <v>44691.661868831019</v>
      </c>
      <c r="E5295" s="1" t="s">
        <v>8</v>
      </c>
      <c r="F5295" s="1">
        <v>1</v>
      </c>
      <c r="G5295" s="1">
        <v>0</v>
      </c>
      <c r="H5295" s="6"/>
    </row>
    <row r="5296" spans="1:8" x14ac:dyDescent="0.25">
      <c r="A5296" s="1">
        <v>923306</v>
      </c>
      <c r="B5296" s="1" t="s">
        <v>94</v>
      </c>
      <c r="C5296" s="1" t="s">
        <v>95</v>
      </c>
      <c r="D5296" s="2">
        <v>44691.663336377314</v>
      </c>
      <c r="E5296" s="1" t="s">
        <v>8</v>
      </c>
      <c r="F5296" s="1">
        <v>1</v>
      </c>
      <c r="G5296" s="1">
        <v>0</v>
      </c>
      <c r="H5296" s="6"/>
    </row>
    <row r="5297" spans="1:11" x14ac:dyDescent="0.25">
      <c r="A5297" s="1">
        <v>923317</v>
      </c>
      <c r="B5297" s="1" t="s">
        <v>28</v>
      </c>
      <c r="C5297" s="1" t="s">
        <v>29</v>
      </c>
      <c r="D5297" s="2">
        <v>44691.674982372686</v>
      </c>
      <c r="E5297" s="1" t="s">
        <v>8</v>
      </c>
      <c r="F5297" s="1">
        <v>1</v>
      </c>
      <c r="G5297" s="1">
        <v>0</v>
      </c>
      <c r="H5297" s="6"/>
    </row>
    <row r="5298" spans="1:11" x14ac:dyDescent="0.25">
      <c r="A5298" s="1">
        <v>923325</v>
      </c>
      <c r="B5298" s="1" t="s">
        <v>96</v>
      </c>
      <c r="C5298" s="1" t="s">
        <v>97</v>
      </c>
      <c r="D5298" s="2">
        <v>44691.690149386573</v>
      </c>
      <c r="E5298" s="1" t="s">
        <v>8</v>
      </c>
      <c r="F5298" s="1">
        <v>1</v>
      </c>
      <c r="G5298" s="1">
        <v>0</v>
      </c>
      <c r="H5298" s="6"/>
    </row>
    <row r="5299" spans="1:11" x14ac:dyDescent="0.25">
      <c r="A5299" s="1">
        <v>923329</v>
      </c>
      <c r="B5299" s="1" t="s">
        <v>26</v>
      </c>
      <c r="C5299" s="1" t="s">
        <v>27</v>
      </c>
      <c r="D5299" s="2">
        <v>44692.304117824075</v>
      </c>
      <c r="E5299" s="1" t="s">
        <v>8</v>
      </c>
      <c r="F5299" s="1">
        <v>1</v>
      </c>
      <c r="G5299" s="1">
        <v>0</v>
      </c>
      <c r="H5299" s="6"/>
    </row>
    <row r="5300" spans="1:11" x14ac:dyDescent="0.25">
      <c r="A5300" s="1">
        <v>923334</v>
      </c>
      <c r="B5300" s="1" t="s">
        <v>128</v>
      </c>
      <c r="C5300" s="1" t="s">
        <v>129</v>
      </c>
      <c r="D5300" s="2">
        <v>44692.305751585649</v>
      </c>
      <c r="E5300" s="1" t="s">
        <v>8</v>
      </c>
      <c r="F5300" s="1">
        <v>1</v>
      </c>
      <c r="G5300" s="1">
        <v>0</v>
      </c>
      <c r="H5300" s="6"/>
    </row>
    <row r="5301" spans="1:11" x14ac:dyDescent="0.25">
      <c r="A5301" s="1">
        <v>923336</v>
      </c>
      <c r="B5301" s="1" t="s">
        <v>42</v>
      </c>
      <c r="C5301" s="1" t="s">
        <v>43</v>
      </c>
      <c r="D5301" s="2">
        <v>44692.315542164353</v>
      </c>
      <c r="E5301" s="1" t="s">
        <v>8</v>
      </c>
      <c r="F5301" s="1">
        <v>1</v>
      </c>
      <c r="G5301" s="1">
        <v>0</v>
      </c>
      <c r="H5301" s="6"/>
    </row>
    <row r="5302" spans="1:11" x14ac:dyDescent="0.25">
      <c r="A5302" s="1">
        <v>923337</v>
      </c>
      <c r="B5302" s="1" t="s">
        <v>56</v>
      </c>
      <c r="C5302" s="1" t="s">
        <v>57</v>
      </c>
      <c r="D5302" s="2">
        <v>44692.323363854164</v>
      </c>
      <c r="E5302" s="1" t="s">
        <v>8</v>
      </c>
      <c r="F5302" s="1">
        <v>1</v>
      </c>
      <c r="G5302" s="1">
        <v>0</v>
      </c>
      <c r="H5302" s="6"/>
    </row>
    <row r="5303" spans="1:11" x14ac:dyDescent="0.25">
      <c r="A5303" s="1">
        <v>911577</v>
      </c>
      <c r="B5303" s="1" t="s">
        <v>48</v>
      </c>
      <c r="C5303" s="1" t="s">
        <v>49</v>
      </c>
      <c r="D5303" s="2">
        <v>44692.323476157406</v>
      </c>
      <c r="E5303" s="1" t="s">
        <v>8</v>
      </c>
      <c r="F5303" s="1">
        <v>1</v>
      </c>
      <c r="G5303" s="1">
        <v>0</v>
      </c>
      <c r="H5303" s="6"/>
    </row>
    <row r="5304" spans="1:11" x14ac:dyDescent="0.25">
      <c r="A5304" s="1">
        <v>923348</v>
      </c>
      <c r="B5304" s="1" t="s">
        <v>112</v>
      </c>
      <c r="C5304" s="1" t="s">
        <v>113</v>
      </c>
      <c r="D5304" s="2">
        <v>44692.341985300925</v>
      </c>
      <c r="E5304" s="1" t="s">
        <v>8</v>
      </c>
      <c r="F5304" s="1">
        <v>1</v>
      </c>
      <c r="G5304" s="1">
        <v>0</v>
      </c>
      <c r="H5304" s="6"/>
      <c r="I5304" t="e">
        <f>IF(Query1[[#This Row],[ItemType]]="EVAP KIT SF GEN IV",Query1[[#This Row],[OrderQty]]+#REF!,#REF!)</f>
        <v>#REF!</v>
      </c>
      <c r="J5304" t="e">
        <f>IF(Query1[[#This Row],[ItemType]]="EVAP KIT UNIVERSAL",Query1[[#This Row],[OrderQty]]+#REF!,#REF!)</f>
        <v>#REF!</v>
      </c>
      <c r="K5304" t="e">
        <f>Query1[[#This Row],[SF Running Total]]+Query1[[#This Row],[UNIV Running Total]]</f>
        <v>#REF!</v>
      </c>
    </row>
  </sheetData>
  <pageMargins left="0.7" right="0.7" top="0.75" bottom="0.75" header="0.3" footer="0.3"/>
  <pageSetup scale="42" fitToHeight="0" orientation="landscape" horizontalDpi="4294967295" verticalDpi="4294967295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97"/>
  <sheetViews>
    <sheetView zoomScaleNormal="100" workbookViewId="0">
      <selection activeCell="B2" sqref="B2:B97"/>
    </sheetView>
  </sheetViews>
  <sheetFormatPr defaultRowHeight="15" x14ac:dyDescent="0.25"/>
  <cols>
    <col min="1" max="1" width="12.85546875" customWidth="1"/>
    <col min="2" max="2" width="14" customWidth="1"/>
    <col min="3" max="3" width="48.28515625" bestFit="1" customWidth="1"/>
    <col min="4" max="4" width="16.28515625" customWidth="1"/>
    <col min="5" max="5" width="18.42578125" customWidth="1"/>
    <col min="6" max="6" width="11.42578125" customWidth="1"/>
    <col min="7" max="7" width="13.5703125" customWidth="1"/>
    <col min="8" max="8" width="9.7109375" bestFit="1" customWidth="1"/>
    <col min="9" max="9" width="17.7109375" customWidth="1"/>
    <col min="10" max="10" width="20.42578125" customWidth="1"/>
    <col min="11" max="11" width="15.28515625" customWidth="1"/>
    <col min="15" max="15" width="19" customWidth="1"/>
  </cols>
  <sheetData>
    <row r="1" spans="1:15" x14ac:dyDescent="0.25">
      <c r="A1" s="24" t="s">
        <v>0</v>
      </c>
      <c r="B1" s="24" t="s">
        <v>1</v>
      </c>
      <c r="C1" s="24" t="s">
        <v>2</v>
      </c>
      <c r="D1" s="24" t="s">
        <v>3</v>
      </c>
      <c r="E1" s="24" t="s">
        <v>4</v>
      </c>
      <c r="F1" s="24" t="s">
        <v>5</v>
      </c>
      <c r="G1" s="24" t="s">
        <v>235</v>
      </c>
      <c r="H1" s="25" t="s">
        <v>234</v>
      </c>
      <c r="I1" s="18" t="s">
        <v>635</v>
      </c>
      <c r="J1" s="18" t="s">
        <v>310</v>
      </c>
      <c r="K1" s="18" t="s">
        <v>309</v>
      </c>
    </row>
    <row r="2" spans="1:15" x14ac:dyDescent="0.25">
      <c r="A2" s="3">
        <v>909405</v>
      </c>
      <c r="B2" s="3" t="s">
        <v>94</v>
      </c>
      <c r="C2" s="3" t="s">
        <v>95</v>
      </c>
      <c r="D2" s="22">
        <v>44599.732231863425</v>
      </c>
      <c r="E2" s="3" t="s">
        <v>8</v>
      </c>
      <c r="F2" s="3">
        <v>2</v>
      </c>
      <c r="G2" s="3">
        <v>0</v>
      </c>
      <c r="H2" s="23">
        <f>INT(Query1[[#This Row],[EntryDateTime]])</f>
        <v>44571</v>
      </c>
      <c r="I2">
        <f>IF(E2="EVAP KIT SF GEN IV",F2,0)</f>
        <v>2</v>
      </c>
      <c r="J2">
        <f>IF(E2="EVAP KIT UNIVERSAL",F2,0)</f>
        <v>0</v>
      </c>
      <c r="K2">
        <f t="shared" ref="K2:K65" si="0">I2+J2</f>
        <v>2</v>
      </c>
      <c r="L2">
        <f t="shared" ref="L2:L65" si="1">A2</f>
        <v>909405</v>
      </c>
      <c r="O2" t="s">
        <v>670</v>
      </c>
    </row>
    <row r="3" spans="1:15" x14ac:dyDescent="0.25">
      <c r="A3" s="19">
        <v>909405</v>
      </c>
      <c r="B3" s="19" t="s">
        <v>66</v>
      </c>
      <c r="C3" s="19" t="s">
        <v>67</v>
      </c>
      <c r="D3" s="20">
        <v>44599.732234143521</v>
      </c>
      <c r="E3" s="19" t="s">
        <v>8</v>
      </c>
      <c r="F3" s="19">
        <v>2</v>
      </c>
      <c r="G3" s="19">
        <v>0</v>
      </c>
      <c r="H3" s="21">
        <f>INT(Query1[[#This Row],[EntryDateTime]])</f>
        <v>44571</v>
      </c>
      <c r="I3">
        <f>IF(E3="EVAP KIT SF GEN IV",F3+I2,I2)</f>
        <v>4</v>
      </c>
      <c r="J3">
        <f>IF(E3="EVAP KIT UNIVERSAL",F3+J2,J2)</f>
        <v>0</v>
      </c>
      <c r="K3">
        <f t="shared" si="0"/>
        <v>4</v>
      </c>
      <c r="L3">
        <f t="shared" si="1"/>
        <v>909405</v>
      </c>
      <c r="O3" t="s">
        <v>670</v>
      </c>
    </row>
    <row r="4" spans="1:15" x14ac:dyDescent="0.25">
      <c r="A4" s="3">
        <v>909405</v>
      </c>
      <c r="B4" s="3" t="s">
        <v>60</v>
      </c>
      <c r="C4" s="3" t="s">
        <v>61</v>
      </c>
      <c r="D4" s="22">
        <v>44599.732236724536</v>
      </c>
      <c r="E4" s="3" t="s">
        <v>8</v>
      </c>
      <c r="F4" s="3">
        <v>7</v>
      </c>
      <c r="G4" s="3">
        <v>0</v>
      </c>
      <c r="H4" s="23">
        <f>INT(Query1[[#This Row],[EntryDateTime]])</f>
        <v>44571</v>
      </c>
      <c r="I4">
        <f t="shared" ref="I4:I67" si="2">IF(E4="EVAP KIT SF GEN IV",F4+I3,I3)</f>
        <v>11</v>
      </c>
      <c r="J4">
        <f t="shared" ref="J4:J67" si="3">IF(E4="EVAP KIT UNIVERSAL",F4+J3,J3)</f>
        <v>0</v>
      </c>
      <c r="K4">
        <f t="shared" si="0"/>
        <v>11</v>
      </c>
      <c r="L4">
        <f t="shared" si="1"/>
        <v>909405</v>
      </c>
      <c r="O4" t="s">
        <v>670</v>
      </c>
    </row>
    <row r="5" spans="1:15" x14ac:dyDescent="0.25">
      <c r="A5" s="19">
        <v>909405</v>
      </c>
      <c r="B5" s="19" t="s">
        <v>122</v>
      </c>
      <c r="C5" s="19" t="s">
        <v>123</v>
      </c>
      <c r="D5" s="20">
        <v>44599.732239201388</v>
      </c>
      <c r="E5" s="19" t="s">
        <v>8</v>
      </c>
      <c r="F5" s="19">
        <v>2</v>
      </c>
      <c r="G5" s="19">
        <v>0</v>
      </c>
      <c r="H5" s="21">
        <f>INT(Query1[[#This Row],[EntryDateTime]])</f>
        <v>44572</v>
      </c>
      <c r="I5">
        <f t="shared" si="2"/>
        <v>13</v>
      </c>
      <c r="J5">
        <f t="shared" si="3"/>
        <v>0</v>
      </c>
      <c r="K5">
        <f t="shared" si="0"/>
        <v>13</v>
      </c>
      <c r="L5">
        <f t="shared" si="1"/>
        <v>909405</v>
      </c>
      <c r="O5" t="s">
        <v>670</v>
      </c>
    </row>
    <row r="6" spans="1:15" x14ac:dyDescent="0.25">
      <c r="A6" s="3">
        <v>909405</v>
      </c>
      <c r="B6" s="3" t="s">
        <v>32</v>
      </c>
      <c r="C6" s="3" t="s">
        <v>33</v>
      </c>
      <c r="D6" s="22">
        <v>44599.732242592596</v>
      </c>
      <c r="E6" s="3" t="s">
        <v>8</v>
      </c>
      <c r="F6" s="3">
        <v>2</v>
      </c>
      <c r="G6" s="3">
        <v>0</v>
      </c>
      <c r="H6" s="23">
        <f>INT(Query1[[#This Row],[EntryDateTime]])</f>
        <v>44573</v>
      </c>
      <c r="I6">
        <f t="shared" si="2"/>
        <v>15</v>
      </c>
      <c r="J6">
        <f t="shared" si="3"/>
        <v>0</v>
      </c>
      <c r="K6">
        <f t="shared" si="0"/>
        <v>15</v>
      </c>
      <c r="L6">
        <f t="shared" si="1"/>
        <v>909405</v>
      </c>
      <c r="O6" t="s">
        <v>670</v>
      </c>
    </row>
    <row r="7" spans="1:15" x14ac:dyDescent="0.25">
      <c r="A7" s="19">
        <v>909405</v>
      </c>
      <c r="B7" s="19" t="s">
        <v>40</v>
      </c>
      <c r="C7" s="19" t="s">
        <v>41</v>
      </c>
      <c r="D7" s="20">
        <v>44599.732246296298</v>
      </c>
      <c r="E7" s="19" t="s">
        <v>8</v>
      </c>
      <c r="F7" s="19">
        <v>2</v>
      </c>
      <c r="G7" s="19">
        <v>0</v>
      </c>
      <c r="H7" s="21">
        <f>INT(Query1[[#This Row],[EntryDateTime]])</f>
        <v>44573</v>
      </c>
      <c r="I7">
        <f t="shared" si="2"/>
        <v>17</v>
      </c>
      <c r="J7">
        <f t="shared" si="3"/>
        <v>0</v>
      </c>
      <c r="K7">
        <f t="shared" si="0"/>
        <v>17</v>
      </c>
      <c r="L7">
        <f t="shared" si="1"/>
        <v>909405</v>
      </c>
      <c r="O7" t="s">
        <v>670</v>
      </c>
    </row>
    <row r="8" spans="1:15" x14ac:dyDescent="0.25">
      <c r="A8" s="3">
        <v>909405</v>
      </c>
      <c r="B8" s="3" t="s">
        <v>34</v>
      </c>
      <c r="C8" s="3" t="s">
        <v>35</v>
      </c>
      <c r="D8" s="22">
        <v>44599.732249537039</v>
      </c>
      <c r="E8" s="3" t="s">
        <v>8</v>
      </c>
      <c r="F8" s="3">
        <v>2</v>
      </c>
      <c r="G8" s="3">
        <v>0</v>
      </c>
      <c r="H8" s="23">
        <f>INT(Query1[[#This Row],[EntryDateTime]])</f>
        <v>44574</v>
      </c>
      <c r="I8">
        <f t="shared" si="2"/>
        <v>19</v>
      </c>
      <c r="J8">
        <f t="shared" si="3"/>
        <v>0</v>
      </c>
      <c r="K8">
        <f t="shared" si="0"/>
        <v>19</v>
      </c>
      <c r="L8">
        <f t="shared" si="1"/>
        <v>909405</v>
      </c>
      <c r="O8" t="s">
        <v>670</v>
      </c>
    </row>
    <row r="9" spans="1:15" x14ac:dyDescent="0.25">
      <c r="A9" s="19">
        <v>909405</v>
      </c>
      <c r="B9" s="19" t="s">
        <v>74</v>
      </c>
      <c r="C9" s="19" t="s">
        <v>75</v>
      </c>
      <c r="D9" s="20">
        <v>44599.732251701389</v>
      </c>
      <c r="E9" s="19" t="s">
        <v>8</v>
      </c>
      <c r="F9" s="19">
        <v>6</v>
      </c>
      <c r="G9" s="19">
        <v>0</v>
      </c>
      <c r="H9" s="21">
        <f>INT(Query1[[#This Row],[EntryDateTime]])</f>
        <v>44575</v>
      </c>
      <c r="I9">
        <f t="shared" si="2"/>
        <v>25</v>
      </c>
      <c r="J9">
        <f t="shared" si="3"/>
        <v>0</v>
      </c>
      <c r="K9">
        <f t="shared" si="0"/>
        <v>25</v>
      </c>
      <c r="L9">
        <f t="shared" si="1"/>
        <v>909405</v>
      </c>
      <c r="O9" t="s">
        <v>670</v>
      </c>
    </row>
    <row r="10" spans="1:15" x14ac:dyDescent="0.25">
      <c r="A10" s="3">
        <v>909405</v>
      </c>
      <c r="B10" s="3" t="s">
        <v>120</v>
      </c>
      <c r="C10" s="3" t="s">
        <v>121</v>
      </c>
      <c r="D10" s="22">
        <v>44599.73227453704</v>
      </c>
      <c r="E10" s="3" t="s">
        <v>8</v>
      </c>
      <c r="F10" s="3">
        <v>1</v>
      </c>
      <c r="G10" s="3">
        <v>0</v>
      </c>
      <c r="H10" s="23">
        <f>INT(Query1[[#This Row],[EntryDateTime]])</f>
        <v>44575</v>
      </c>
      <c r="I10">
        <f t="shared" si="2"/>
        <v>26</v>
      </c>
      <c r="J10">
        <f t="shared" si="3"/>
        <v>0</v>
      </c>
      <c r="K10">
        <f t="shared" si="0"/>
        <v>26</v>
      </c>
      <c r="L10">
        <f t="shared" si="1"/>
        <v>909405</v>
      </c>
      <c r="O10" t="s">
        <v>670</v>
      </c>
    </row>
    <row r="11" spans="1:15" x14ac:dyDescent="0.25">
      <c r="A11" s="19">
        <v>909405</v>
      </c>
      <c r="B11" s="19" t="s">
        <v>26</v>
      </c>
      <c r="C11" s="19" t="s">
        <v>27</v>
      </c>
      <c r="D11" s="20">
        <v>44599.732277696756</v>
      </c>
      <c r="E11" s="19" t="s">
        <v>8</v>
      </c>
      <c r="F11" s="19">
        <v>4</v>
      </c>
      <c r="G11" s="19">
        <v>0</v>
      </c>
      <c r="H11" s="21">
        <f>INT(Query1[[#This Row],[EntryDateTime]])</f>
        <v>44575</v>
      </c>
      <c r="I11">
        <f t="shared" si="2"/>
        <v>30</v>
      </c>
      <c r="J11">
        <f t="shared" si="3"/>
        <v>0</v>
      </c>
      <c r="K11">
        <f t="shared" si="0"/>
        <v>30</v>
      </c>
      <c r="L11">
        <f t="shared" si="1"/>
        <v>909405</v>
      </c>
      <c r="O11" t="s">
        <v>670</v>
      </c>
    </row>
    <row r="12" spans="1:15" x14ac:dyDescent="0.25">
      <c r="A12" s="3">
        <v>909408</v>
      </c>
      <c r="B12" s="3" t="s">
        <v>94</v>
      </c>
      <c r="C12" s="3" t="s">
        <v>95</v>
      </c>
      <c r="D12" s="22">
        <v>44599.735957372686</v>
      </c>
      <c r="E12" s="3" t="s">
        <v>8</v>
      </c>
      <c r="F12" s="3">
        <v>2</v>
      </c>
      <c r="G12" s="3">
        <v>0</v>
      </c>
      <c r="H12" s="23">
        <f>INT(Query1[[#This Row],[EntryDateTime]])</f>
        <v>44578</v>
      </c>
      <c r="I12">
        <f t="shared" si="2"/>
        <v>32</v>
      </c>
      <c r="J12">
        <f t="shared" si="3"/>
        <v>0</v>
      </c>
      <c r="K12">
        <f t="shared" si="0"/>
        <v>32</v>
      </c>
      <c r="L12">
        <f t="shared" si="1"/>
        <v>909408</v>
      </c>
      <c r="O12" t="s">
        <v>673</v>
      </c>
    </row>
    <row r="13" spans="1:15" x14ac:dyDescent="0.25">
      <c r="A13" s="19">
        <v>909408</v>
      </c>
      <c r="B13" s="19" t="s">
        <v>66</v>
      </c>
      <c r="C13" s="19" t="s">
        <v>67</v>
      </c>
      <c r="D13" s="20">
        <v>44599.735959259262</v>
      </c>
      <c r="E13" s="19" t="s">
        <v>8</v>
      </c>
      <c r="F13" s="19">
        <v>2</v>
      </c>
      <c r="G13" s="19">
        <v>0</v>
      </c>
      <c r="H13" s="21">
        <f>INT(Query1[[#This Row],[EntryDateTime]])</f>
        <v>44578</v>
      </c>
      <c r="I13">
        <f t="shared" si="2"/>
        <v>34</v>
      </c>
      <c r="J13">
        <f t="shared" si="3"/>
        <v>0</v>
      </c>
      <c r="K13">
        <f t="shared" si="0"/>
        <v>34</v>
      </c>
      <c r="L13">
        <f t="shared" si="1"/>
        <v>909408</v>
      </c>
      <c r="O13" t="s">
        <v>673</v>
      </c>
    </row>
    <row r="14" spans="1:15" x14ac:dyDescent="0.25">
      <c r="A14" s="3">
        <v>909408</v>
      </c>
      <c r="B14" s="3" t="s">
        <v>14</v>
      </c>
      <c r="C14" s="3" t="s">
        <v>15</v>
      </c>
      <c r="D14" s="22">
        <v>44599.735961840277</v>
      </c>
      <c r="E14" s="3" t="s">
        <v>8</v>
      </c>
      <c r="F14" s="3">
        <v>2</v>
      </c>
      <c r="G14" s="3">
        <v>0</v>
      </c>
      <c r="H14" s="23">
        <f>INT(Query1[[#This Row],[EntryDateTime]])</f>
        <v>44578</v>
      </c>
      <c r="I14">
        <f t="shared" si="2"/>
        <v>36</v>
      </c>
      <c r="J14">
        <f t="shared" si="3"/>
        <v>0</v>
      </c>
      <c r="K14">
        <f t="shared" si="0"/>
        <v>36</v>
      </c>
      <c r="L14">
        <f t="shared" si="1"/>
        <v>909408</v>
      </c>
      <c r="O14" t="s">
        <v>674</v>
      </c>
    </row>
    <row r="15" spans="1:15" x14ac:dyDescent="0.25">
      <c r="A15" s="19">
        <v>909408</v>
      </c>
      <c r="B15" s="19" t="s">
        <v>54</v>
      </c>
      <c r="C15" s="19" t="s">
        <v>55</v>
      </c>
      <c r="D15" s="20">
        <v>44599.735964039355</v>
      </c>
      <c r="E15" s="19" t="s">
        <v>8</v>
      </c>
      <c r="F15" s="19">
        <v>2</v>
      </c>
      <c r="G15" s="19">
        <v>0</v>
      </c>
      <c r="H15" s="21">
        <f>INT(Query1[[#This Row],[EntryDateTime]])</f>
        <v>44578</v>
      </c>
      <c r="I15">
        <f t="shared" si="2"/>
        <v>38</v>
      </c>
      <c r="J15">
        <f t="shared" si="3"/>
        <v>0</v>
      </c>
      <c r="K15">
        <f t="shared" si="0"/>
        <v>38</v>
      </c>
      <c r="L15">
        <f t="shared" si="1"/>
        <v>909408</v>
      </c>
      <c r="O15" t="s">
        <v>674</v>
      </c>
    </row>
    <row r="16" spans="1:15" x14ac:dyDescent="0.25">
      <c r="A16" s="3">
        <v>909408</v>
      </c>
      <c r="B16" s="3" t="s">
        <v>32</v>
      </c>
      <c r="C16" s="3" t="s">
        <v>33</v>
      </c>
      <c r="D16" s="22">
        <v>44599.735966469911</v>
      </c>
      <c r="E16" s="3" t="s">
        <v>8</v>
      </c>
      <c r="F16" s="3">
        <v>2</v>
      </c>
      <c r="G16" s="3">
        <v>0</v>
      </c>
      <c r="H16" s="23">
        <f>INT(Query1[[#This Row],[EntryDateTime]])</f>
        <v>44578</v>
      </c>
      <c r="I16">
        <f t="shared" si="2"/>
        <v>40</v>
      </c>
      <c r="J16">
        <f t="shared" si="3"/>
        <v>0</v>
      </c>
      <c r="K16">
        <f t="shared" si="0"/>
        <v>40</v>
      </c>
      <c r="L16">
        <f t="shared" si="1"/>
        <v>909408</v>
      </c>
      <c r="O16" t="s">
        <v>673</v>
      </c>
    </row>
    <row r="17" spans="1:15" x14ac:dyDescent="0.25">
      <c r="A17" s="19">
        <v>909408</v>
      </c>
      <c r="B17" s="19" t="s">
        <v>34</v>
      </c>
      <c r="C17" s="19" t="s">
        <v>35</v>
      </c>
      <c r="D17" s="20">
        <v>44599.73597040509</v>
      </c>
      <c r="E17" s="19" t="s">
        <v>8</v>
      </c>
      <c r="F17" s="19">
        <v>2</v>
      </c>
      <c r="G17" s="19">
        <v>0</v>
      </c>
      <c r="H17" s="21">
        <f>INT(Query1[[#This Row],[EntryDateTime]])</f>
        <v>44578</v>
      </c>
      <c r="I17">
        <f t="shared" si="2"/>
        <v>42</v>
      </c>
      <c r="J17">
        <f t="shared" si="3"/>
        <v>0</v>
      </c>
      <c r="K17">
        <f t="shared" si="0"/>
        <v>42</v>
      </c>
      <c r="L17">
        <f t="shared" si="1"/>
        <v>909408</v>
      </c>
      <c r="O17" t="s">
        <v>673</v>
      </c>
    </row>
    <row r="18" spans="1:15" x14ac:dyDescent="0.25">
      <c r="A18" s="3">
        <v>909408</v>
      </c>
      <c r="B18" s="3" t="s">
        <v>36</v>
      </c>
      <c r="C18" s="3" t="s">
        <v>37</v>
      </c>
      <c r="D18" s="22">
        <v>44599.735974386575</v>
      </c>
      <c r="E18" s="3" t="s">
        <v>8</v>
      </c>
      <c r="F18" s="3">
        <v>2</v>
      </c>
      <c r="G18" s="3">
        <v>0</v>
      </c>
      <c r="H18" s="23">
        <f>INT(Query1[[#This Row],[EntryDateTime]])</f>
        <v>44578</v>
      </c>
      <c r="I18">
        <f t="shared" si="2"/>
        <v>44</v>
      </c>
      <c r="J18">
        <f t="shared" si="3"/>
        <v>0</v>
      </c>
      <c r="K18">
        <f t="shared" si="0"/>
        <v>44</v>
      </c>
      <c r="L18">
        <f t="shared" si="1"/>
        <v>909408</v>
      </c>
      <c r="O18" t="s">
        <v>674</v>
      </c>
    </row>
    <row r="19" spans="1:15" x14ac:dyDescent="0.25">
      <c r="A19" s="19">
        <v>909408</v>
      </c>
      <c r="B19" s="19" t="s">
        <v>124</v>
      </c>
      <c r="C19" s="19" t="s">
        <v>125</v>
      </c>
      <c r="D19" s="20">
        <v>44599.735976388889</v>
      </c>
      <c r="E19" s="19" t="s">
        <v>8</v>
      </c>
      <c r="F19" s="19">
        <v>4</v>
      </c>
      <c r="G19" s="19">
        <v>0</v>
      </c>
      <c r="H19" s="21">
        <f>INT(Query1[[#This Row],[EntryDateTime]])</f>
        <v>44579</v>
      </c>
      <c r="I19">
        <f t="shared" si="2"/>
        <v>48</v>
      </c>
      <c r="J19">
        <f t="shared" si="3"/>
        <v>0</v>
      </c>
      <c r="K19">
        <f t="shared" si="0"/>
        <v>48</v>
      </c>
      <c r="L19">
        <f t="shared" si="1"/>
        <v>909408</v>
      </c>
      <c r="O19" t="s">
        <v>674</v>
      </c>
    </row>
    <row r="20" spans="1:15" hidden="1" x14ac:dyDescent="0.25">
      <c r="A20" s="3">
        <v>909409</v>
      </c>
      <c r="B20" s="3" t="s">
        <v>98</v>
      </c>
      <c r="C20" s="3" t="s">
        <v>99</v>
      </c>
      <c r="D20" s="22">
        <v>44599.745955706021</v>
      </c>
      <c r="E20" s="3" t="s">
        <v>11</v>
      </c>
      <c r="F20" s="3">
        <v>1</v>
      </c>
      <c r="G20" s="3">
        <v>0</v>
      </c>
      <c r="H20" s="23">
        <f>INT(Query1[[#This Row],[EntryDateTime]])</f>
        <v>44579</v>
      </c>
      <c r="I20">
        <f t="shared" si="2"/>
        <v>48</v>
      </c>
      <c r="J20">
        <f t="shared" si="3"/>
        <v>1</v>
      </c>
      <c r="K20">
        <f t="shared" si="0"/>
        <v>49</v>
      </c>
      <c r="L20">
        <f t="shared" si="1"/>
        <v>909409</v>
      </c>
    </row>
    <row r="21" spans="1:15" x14ac:dyDescent="0.25">
      <c r="A21" s="19">
        <v>909410</v>
      </c>
      <c r="B21" s="19" t="s">
        <v>128</v>
      </c>
      <c r="C21" s="19" t="s">
        <v>129</v>
      </c>
      <c r="D21" s="20">
        <v>44599.749780787039</v>
      </c>
      <c r="E21" s="19" t="s">
        <v>8</v>
      </c>
      <c r="F21" s="19">
        <v>1</v>
      </c>
      <c r="G21" s="19">
        <v>0</v>
      </c>
      <c r="H21" s="21">
        <f>INT(Query1[[#This Row],[EntryDateTime]])</f>
        <v>44579</v>
      </c>
      <c r="I21">
        <f t="shared" si="2"/>
        <v>49</v>
      </c>
      <c r="J21">
        <f t="shared" si="3"/>
        <v>1</v>
      </c>
      <c r="K21">
        <f t="shared" si="0"/>
        <v>50</v>
      </c>
      <c r="L21">
        <f t="shared" si="1"/>
        <v>909410</v>
      </c>
      <c r="O21" t="s">
        <v>675</v>
      </c>
    </row>
    <row r="22" spans="1:15" x14ac:dyDescent="0.25">
      <c r="A22" s="3">
        <v>909416</v>
      </c>
      <c r="B22" s="3" t="s">
        <v>676</v>
      </c>
      <c r="C22" s="3" t="s">
        <v>471</v>
      </c>
      <c r="D22" s="22">
        <v>44599.76484074074</v>
      </c>
      <c r="E22" s="3" t="s">
        <v>677</v>
      </c>
      <c r="F22" s="3">
        <v>1</v>
      </c>
      <c r="G22" s="3">
        <v>0</v>
      </c>
      <c r="H22" s="23">
        <f>INT(Query1[[#This Row],[EntryDateTime]])</f>
        <v>44579</v>
      </c>
      <c r="I22">
        <f t="shared" si="2"/>
        <v>49</v>
      </c>
      <c r="J22">
        <f t="shared" si="3"/>
        <v>1</v>
      </c>
      <c r="K22">
        <f t="shared" si="0"/>
        <v>50</v>
      </c>
      <c r="L22">
        <f t="shared" si="1"/>
        <v>909416</v>
      </c>
      <c r="O22" t="s">
        <v>746</v>
      </c>
    </row>
    <row r="23" spans="1:15" x14ac:dyDescent="0.25">
      <c r="A23" s="19">
        <v>909417</v>
      </c>
      <c r="B23" s="19" t="s">
        <v>30</v>
      </c>
      <c r="C23" s="19" t="s">
        <v>31</v>
      </c>
      <c r="D23" s="20">
        <v>44599.76685605324</v>
      </c>
      <c r="E23" s="19" t="s">
        <v>8</v>
      </c>
      <c r="F23" s="19">
        <v>1</v>
      </c>
      <c r="G23" s="19">
        <v>0</v>
      </c>
      <c r="H23" s="21">
        <f>INT(Query1[[#This Row],[EntryDateTime]])</f>
        <v>44579</v>
      </c>
      <c r="I23">
        <f t="shared" si="2"/>
        <v>50</v>
      </c>
      <c r="J23">
        <f t="shared" si="3"/>
        <v>1</v>
      </c>
      <c r="K23">
        <f t="shared" si="0"/>
        <v>51</v>
      </c>
      <c r="L23">
        <f t="shared" si="1"/>
        <v>909417</v>
      </c>
      <c r="O23" t="s">
        <v>689</v>
      </c>
    </row>
    <row r="24" spans="1:15" x14ac:dyDescent="0.25">
      <c r="A24" s="3">
        <v>909422</v>
      </c>
      <c r="B24" s="3" t="s">
        <v>72</v>
      </c>
      <c r="C24" s="3" t="s">
        <v>73</v>
      </c>
      <c r="D24" s="22">
        <v>44599.777366319446</v>
      </c>
      <c r="E24" s="3" t="s">
        <v>8</v>
      </c>
      <c r="F24" s="3">
        <v>1</v>
      </c>
      <c r="G24" s="3">
        <v>0</v>
      </c>
      <c r="H24" s="23">
        <f>INT(Query1[[#This Row],[EntryDateTime]])</f>
        <v>44579</v>
      </c>
      <c r="I24">
        <f t="shared" si="2"/>
        <v>51</v>
      </c>
      <c r="J24">
        <f t="shared" si="3"/>
        <v>1</v>
      </c>
      <c r="K24">
        <f t="shared" si="0"/>
        <v>52</v>
      </c>
      <c r="L24">
        <f t="shared" si="1"/>
        <v>909422</v>
      </c>
      <c r="O24" t="s">
        <v>692</v>
      </c>
    </row>
    <row r="25" spans="1:15" x14ac:dyDescent="0.25">
      <c r="A25" s="19">
        <v>909433</v>
      </c>
      <c r="B25" s="19" t="s">
        <v>30</v>
      </c>
      <c r="C25" s="19" t="s">
        <v>31</v>
      </c>
      <c r="D25" s="20">
        <v>44599.829431215279</v>
      </c>
      <c r="E25" s="19" t="s">
        <v>8</v>
      </c>
      <c r="F25" s="19">
        <v>1</v>
      </c>
      <c r="G25" s="19">
        <v>0</v>
      </c>
      <c r="H25" s="21">
        <f>INT(Query1[[#This Row],[EntryDateTime]])</f>
        <v>44579</v>
      </c>
      <c r="I25">
        <f t="shared" si="2"/>
        <v>52</v>
      </c>
      <c r="J25">
        <f t="shared" si="3"/>
        <v>1</v>
      </c>
      <c r="K25">
        <f t="shared" si="0"/>
        <v>53</v>
      </c>
      <c r="L25">
        <f t="shared" si="1"/>
        <v>909433</v>
      </c>
      <c r="O25" t="s">
        <v>690</v>
      </c>
    </row>
    <row r="26" spans="1:15" x14ac:dyDescent="0.25">
      <c r="A26" s="3">
        <v>909437</v>
      </c>
      <c r="B26" s="3" t="s">
        <v>74</v>
      </c>
      <c r="C26" s="3" t="s">
        <v>75</v>
      </c>
      <c r="D26" s="22">
        <v>44599.841451504632</v>
      </c>
      <c r="E26" s="3" t="s">
        <v>8</v>
      </c>
      <c r="F26" s="3">
        <v>1</v>
      </c>
      <c r="G26" s="3">
        <v>0</v>
      </c>
      <c r="H26" s="23">
        <f>INT(Query1[[#This Row],[EntryDateTime]])</f>
        <v>44580</v>
      </c>
      <c r="I26">
        <f t="shared" si="2"/>
        <v>53</v>
      </c>
      <c r="J26">
        <f t="shared" si="3"/>
        <v>1</v>
      </c>
      <c r="K26">
        <f t="shared" si="0"/>
        <v>54</v>
      </c>
      <c r="L26">
        <f t="shared" si="1"/>
        <v>909437</v>
      </c>
      <c r="O26" t="s">
        <v>683</v>
      </c>
    </row>
    <row r="27" spans="1:15" x14ac:dyDescent="0.25">
      <c r="A27" s="19">
        <v>909443</v>
      </c>
      <c r="B27" s="19" t="s">
        <v>60</v>
      </c>
      <c r="C27" s="19" t="s">
        <v>61</v>
      </c>
      <c r="D27" s="20">
        <v>44600.293012071757</v>
      </c>
      <c r="E27" s="19" t="s">
        <v>8</v>
      </c>
      <c r="F27" s="19">
        <v>1</v>
      </c>
      <c r="G27" s="19">
        <v>0</v>
      </c>
      <c r="H27" s="21">
        <f>INT(Query1[[#This Row],[EntryDateTime]])</f>
        <v>44580</v>
      </c>
      <c r="I27">
        <f t="shared" si="2"/>
        <v>54</v>
      </c>
      <c r="J27">
        <f t="shared" si="3"/>
        <v>1</v>
      </c>
      <c r="K27">
        <f t="shared" si="0"/>
        <v>55</v>
      </c>
      <c r="L27">
        <f t="shared" si="1"/>
        <v>909443</v>
      </c>
      <c r="O27" t="s">
        <v>680</v>
      </c>
    </row>
    <row r="28" spans="1:15" x14ac:dyDescent="0.25">
      <c r="A28" s="3">
        <v>909448</v>
      </c>
      <c r="B28" s="3" t="s">
        <v>132</v>
      </c>
      <c r="C28" s="3" t="s">
        <v>133</v>
      </c>
      <c r="D28" s="22">
        <v>44600.31646681713</v>
      </c>
      <c r="E28" s="3" t="s">
        <v>8</v>
      </c>
      <c r="F28" s="3">
        <v>1</v>
      </c>
      <c r="G28" s="3">
        <v>0</v>
      </c>
      <c r="H28" s="23">
        <f>INT(Query1[[#This Row],[EntryDateTime]])</f>
        <v>44580</v>
      </c>
      <c r="I28">
        <f t="shared" si="2"/>
        <v>55</v>
      </c>
      <c r="J28">
        <f t="shared" si="3"/>
        <v>1</v>
      </c>
      <c r="K28">
        <f t="shared" si="0"/>
        <v>56</v>
      </c>
      <c r="L28">
        <f t="shared" si="1"/>
        <v>909448</v>
      </c>
      <c r="O28" t="s">
        <v>693</v>
      </c>
    </row>
    <row r="29" spans="1:15" x14ac:dyDescent="0.25">
      <c r="A29" s="19">
        <v>909451</v>
      </c>
      <c r="B29" s="19" t="s">
        <v>92</v>
      </c>
      <c r="C29" s="19" t="s">
        <v>93</v>
      </c>
      <c r="D29" s="20">
        <v>44600.321879826392</v>
      </c>
      <c r="E29" s="19" t="s">
        <v>8</v>
      </c>
      <c r="F29" s="19">
        <v>1</v>
      </c>
      <c r="G29" s="19">
        <v>0</v>
      </c>
      <c r="H29" s="21">
        <f>INT(Query1[[#This Row],[EntryDateTime]])</f>
        <v>44580</v>
      </c>
      <c r="I29">
        <f t="shared" si="2"/>
        <v>56</v>
      </c>
      <c r="J29">
        <f t="shared" si="3"/>
        <v>1</v>
      </c>
      <c r="K29">
        <f t="shared" si="0"/>
        <v>57</v>
      </c>
      <c r="L29">
        <f t="shared" si="1"/>
        <v>909451</v>
      </c>
      <c r="O29" t="s">
        <v>694</v>
      </c>
    </row>
    <row r="30" spans="1:15" x14ac:dyDescent="0.25">
      <c r="A30" s="3">
        <v>909454</v>
      </c>
      <c r="B30" s="3" t="s">
        <v>30</v>
      </c>
      <c r="C30" s="3" t="s">
        <v>31</v>
      </c>
      <c r="D30" s="22">
        <v>44600.331267592592</v>
      </c>
      <c r="E30" s="3" t="s">
        <v>8</v>
      </c>
      <c r="F30" s="3">
        <v>1</v>
      </c>
      <c r="G30" s="3">
        <v>0</v>
      </c>
      <c r="H30" s="23">
        <f>INT(Query1[[#This Row],[EntryDateTime]])</f>
        <v>44580</v>
      </c>
      <c r="I30">
        <f t="shared" si="2"/>
        <v>57</v>
      </c>
      <c r="J30">
        <f t="shared" si="3"/>
        <v>1</v>
      </c>
      <c r="K30">
        <f t="shared" si="0"/>
        <v>58</v>
      </c>
      <c r="L30">
        <f t="shared" si="1"/>
        <v>909454</v>
      </c>
      <c r="O30" t="s">
        <v>691</v>
      </c>
    </row>
    <row r="31" spans="1:15" hidden="1" x14ac:dyDescent="0.25">
      <c r="A31" s="19">
        <v>909459</v>
      </c>
      <c r="B31" s="19" t="s">
        <v>24</v>
      </c>
      <c r="C31" s="19" t="s">
        <v>25</v>
      </c>
      <c r="D31" s="20">
        <v>44600.332051307872</v>
      </c>
      <c r="E31" s="19" t="s">
        <v>11</v>
      </c>
      <c r="F31" s="19">
        <v>12</v>
      </c>
      <c r="G31" s="19">
        <v>0</v>
      </c>
      <c r="H31" s="21">
        <f>INT(Query1[[#This Row],[EntryDateTime]])</f>
        <v>44580</v>
      </c>
      <c r="I31">
        <f t="shared" si="2"/>
        <v>57</v>
      </c>
      <c r="J31">
        <f t="shared" si="3"/>
        <v>13</v>
      </c>
      <c r="K31">
        <f t="shared" si="0"/>
        <v>70</v>
      </c>
      <c r="L31">
        <f t="shared" si="1"/>
        <v>909459</v>
      </c>
    </row>
    <row r="32" spans="1:15" hidden="1" x14ac:dyDescent="0.25">
      <c r="A32" s="3">
        <v>909459</v>
      </c>
      <c r="B32" s="3" t="s">
        <v>104</v>
      </c>
      <c r="C32" s="3" t="s">
        <v>105</v>
      </c>
      <c r="D32" s="22">
        <v>44600.332254594905</v>
      </c>
      <c r="E32" s="3" t="s">
        <v>11</v>
      </c>
      <c r="F32" s="3">
        <v>15</v>
      </c>
      <c r="G32" s="3">
        <v>0</v>
      </c>
      <c r="H32" s="23">
        <f>INT(Query1[[#This Row],[EntryDateTime]])</f>
        <v>44580</v>
      </c>
      <c r="I32">
        <f t="shared" si="2"/>
        <v>57</v>
      </c>
      <c r="J32">
        <f t="shared" si="3"/>
        <v>28</v>
      </c>
      <c r="K32">
        <f t="shared" si="0"/>
        <v>85</v>
      </c>
      <c r="L32">
        <f t="shared" si="1"/>
        <v>909459</v>
      </c>
    </row>
    <row r="33" spans="1:15" x14ac:dyDescent="0.25">
      <c r="A33" s="19">
        <v>909461</v>
      </c>
      <c r="B33" s="19" t="s">
        <v>50</v>
      </c>
      <c r="C33" s="19" t="s">
        <v>51</v>
      </c>
      <c r="D33" s="20">
        <v>44600.334498692129</v>
      </c>
      <c r="E33" s="19" t="s">
        <v>8</v>
      </c>
      <c r="F33" s="19">
        <v>1</v>
      </c>
      <c r="G33" s="19">
        <v>0</v>
      </c>
      <c r="H33" s="21">
        <f>INT(Query1[[#This Row],[EntryDateTime]])</f>
        <v>44581</v>
      </c>
      <c r="I33">
        <f t="shared" si="2"/>
        <v>58</v>
      </c>
      <c r="J33">
        <f t="shared" si="3"/>
        <v>28</v>
      </c>
      <c r="K33">
        <f t="shared" si="0"/>
        <v>86</v>
      </c>
      <c r="L33">
        <f t="shared" si="1"/>
        <v>909461</v>
      </c>
      <c r="O33" t="s">
        <v>695</v>
      </c>
    </row>
    <row r="34" spans="1:15" x14ac:dyDescent="0.25">
      <c r="A34" s="3">
        <v>909460</v>
      </c>
      <c r="B34" s="3" t="s">
        <v>128</v>
      </c>
      <c r="C34" s="3" t="s">
        <v>129</v>
      </c>
      <c r="D34" s="22">
        <v>44600.337871180556</v>
      </c>
      <c r="E34" s="3" t="s">
        <v>8</v>
      </c>
      <c r="F34" s="3">
        <v>1</v>
      </c>
      <c r="G34" s="3">
        <v>0</v>
      </c>
      <c r="H34" s="23">
        <f>INT(Query1[[#This Row],[EntryDateTime]])</f>
        <v>44581</v>
      </c>
      <c r="I34">
        <f t="shared" si="2"/>
        <v>59</v>
      </c>
      <c r="J34">
        <f t="shared" si="3"/>
        <v>28</v>
      </c>
      <c r="K34">
        <f t="shared" si="0"/>
        <v>87</v>
      </c>
      <c r="L34">
        <f t="shared" si="1"/>
        <v>909460</v>
      </c>
      <c r="O34" t="s">
        <v>688</v>
      </c>
    </row>
    <row r="35" spans="1:15" x14ac:dyDescent="0.25">
      <c r="A35" s="19">
        <v>909472</v>
      </c>
      <c r="B35" s="19" t="s">
        <v>42</v>
      </c>
      <c r="C35" s="19" t="s">
        <v>43</v>
      </c>
      <c r="D35" s="20">
        <v>44600.345346064816</v>
      </c>
      <c r="E35" s="19" t="s">
        <v>8</v>
      </c>
      <c r="F35" s="19">
        <v>1</v>
      </c>
      <c r="G35" s="19">
        <v>0</v>
      </c>
      <c r="H35" s="21">
        <f>INT(Query1[[#This Row],[EntryDateTime]])</f>
        <v>44581</v>
      </c>
      <c r="I35">
        <f t="shared" si="2"/>
        <v>60</v>
      </c>
      <c r="J35">
        <f t="shared" si="3"/>
        <v>28</v>
      </c>
      <c r="K35">
        <f t="shared" si="0"/>
        <v>88</v>
      </c>
      <c r="L35">
        <f t="shared" si="1"/>
        <v>909472</v>
      </c>
      <c r="O35" t="s">
        <v>697</v>
      </c>
    </row>
    <row r="36" spans="1:15" x14ac:dyDescent="0.25">
      <c r="A36" s="3">
        <v>909474</v>
      </c>
      <c r="B36" s="3" t="s">
        <v>134</v>
      </c>
      <c r="C36" s="3" t="s">
        <v>135</v>
      </c>
      <c r="D36" s="22">
        <v>44600.348641354169</v>
      </c>
      <c r="E36" s="3" t="s">
        <v>8</v>
      </c>
      <c r="F36" s="3">
        <v>1</v>
      </c>
      <c r="G36" s="3">
        <v>0</v>
      </c>
      <c r="H36" s="23">
        <f>INT(Query1[[#This Row],[EntryDateTime]])</f>
        <v>44582</v>
      </c>
      <c r="I36">
        <f t="shared" si="2"/>
        <v>61</v>
      </c>
      <c r="J36">
        <f t="shared" si="3"/>
        <v>28</v>
      </c>
      <c r="K36">
        <f t="shared" si="0"/>
        <v>89</v>
      </c>
      <c r="L36">
        <f t="shared" si="1"/>
        <v>909474</v>
      </c>
      <c r="O36" t="s">
        <v>700</v>
      </c>
    </row>
    <row r="37" spans="1:15" x14ac:dyDescent="0.25">
      <c r="A37" s="19">
        <v>909478</v>
      </c>
      <c r="B37" s="19" t="s">
        <v>94</v>
      </c>
      <c r="C37" s="19" t="s">
        <v>95</v>
      </c>
      <c r="D37" s="20">
        <v>44600.356792673614</v>
      </c>
      <c r="E37" s="19" t="s">
        <v>8</v>
      </c>
      <c r="F37" s="19">
        <v>1</v>
      </c>
      <c r="G37" s="19">
        <v>0</v>
      </c>
      <c r="H37" s="21">
        <f>INT(Query1[[#This Row],[EntryDateTime]])</f>
        <v>44582</v>
      </c>
      <c r="I37">
        <f t="shared" si="2"/>
        <v>62</v>
      </c>
      <c r="J37">
        <f t="shared" si="3"/>
        <v>28</v>
      </c>
      <c r="K37">
        <f t="shared" si="0"/>
        <v>90</v>
      </c>
      <c r="L37">
        <f t="shared" si="1"/>
        <v>909478</v>
      </c>
      <c r="O37" t="s">
        <v>678</v>
      </c>
    </row>
    <row r="38" spans="1:15" x14ac:dyDescent="0.25">
      <c r="A38" s="3">
        <v>909483</v>
      </c>
      <c r="B38" s="3" t="s">
        <v>64</v>
      </c>
      <c r="C38" s="3" t="s">
        <v>65</v>
      </c>
      <c r="D38" s="22">
        <v>44600.361851354166</v>
      </c>
      <c r="E38" s="3" t="s">
        <v>8</v>
      </c>
      <c r="F38" s="3">
        <v>1</v>
      </c>
      <c r="G38" s="3">
        <v>0</v>
      </c>
      <c r="H38" s="23">
        <f>INT(Query1[[#This Row],[EntryDateTime]])</f>
        <v>44582</v>
      </c>
      <c r="I38">
        <f t="shared" si="2"/>
        <v>63</v>
      </c>
      <c r="J38">
        <f t="shared" si="3"/>
        <v>28</v>
      </c>
      <c r="K38">
        <f t="shared" si="0"/>
        <v>91</v>
      </c>
      <c r="L38">
        <f t="shared" si="1"/>
        <v>909483</v>
      </c>
      <c r="O38" t="s">
        <v>701</v>
      </c>
    </row>
    <row r="39" spans="1:15" x14ac:dyDescent="0.25">
      <c r="A39" s="19">
        <v>909493</v>
      </c>
      <c r="B39" s="19" t="s">
        <v>152</v>
      </c>
      <c r="C39" s="19" t="s">
        <v>153</v>
      </c>
      <c r="D39" s="20">
        <v>44600.369012418982</v>
      </c>
      <c r="E39" s="19" t="s">
        <v>8</v>
      </c>
      <c r="F39" s="19">
        <v>1</v>
      </c>
      <c r="G39" s="19">
        <v>0</v>
      </c>
      <c r="H39" s="21">
        <f>INT(Query1[[#This Row],[EntryDateTime]])</f>
        <v>44582</v>
      </c>
      <c r="I39">
        <f t="shared" si="2"/>
        <v>64</v>
      </c>
      <c r="J39">
        <f t="shared" si="3"/>
        <v>28</v>
      </c>
      <c r="K39">
        <f t="shared" si="0"/>
        <v>92</v>
      </c>
      <c r="L39">
        <f t="shared" si="1"/>
        <v>909493</v>
      </c>
      <c r="O39" t="s">
        <v>703</v>
      </c>
    </row>
    <row r="40" spans="1:15" x14ac:dyDescent="0.25">
      <c r="A40" s="3">
        <v>906288</v>
      </c>
      <c r="B40" s="3" t="s">
        <v>52</v>
      </c>
      <c r="C40" s="3" t="s">
        <v>53</v>
      </c>
      <c r="D40" s="22">
        <v>44600.371831168981</v>
      </c>
      <c r="E40" s="3" t="s">
        <v>8</v>
      </c>
      <c r="F40" s="3">
        <v>1</v>
      </c>
      <c r="G40" s="3">
        <v>0</v>
      </c>
      <c r="H40" s="23">
        <f>INT(Query1[[#This Row],[EntryDateTime]])</f>
        <v>44585</v>
      </c>
      <c r="I40">
        <f t="shared" si="2"/>
        <v>65</v>
      </c>
      <c r="J40">
        <f t="shared" si="3"/>
        <v>28</v>
      </c>
      <c r="K40">
        <f t="shared" si="0"/>
        <v>93</v>
      </c>
      <c r="L40">
        <f t="shared" si="1"/>
        <v>906288</v>
      </c>
      <c r="O40" t="s">
        <v>705</v>
      </c>
    </row>
    <row r="41" spans="1:15" x14ac:dyDescent="0.25">
      <c r="A41" s="19">
        <v>909495</v>
      </c>
      <c r="B41" s="19" t="s">
        <v>192</v>
      </c>
      <c r="C41" s="19" t="s">
        <v>193</v>
      </c>
      <c r="D41" s="20">
        <v>44600.371831446762</v>
      </c>
      <c r="E41" s="19" t="s">
        <v>8</v>
      </c>
      <c r="F41" s="19">
        <v>1</v>
      </c>
      <c r="G41" s="19">
        <v>0</v>
      </c>
      <c r="H41" s="21">
        <f>INT(Query1[[#This Row],[EntryDateTime]])</f>
        <v>44585</v>
      </c>
      <c r="I41">
        <f t="shared" si="2"/>
        <v>66</v>
      </c>
      <c r="J41">
        <f t="shared" si="3"/>
        <v>28</v>
      </c>
      <c r="K41">
        <f t="shared" si="0"/>
        <v>94</v>
      </c>
      <c r="L41">
        <f t="shared" si="1"/>
        <v>909495</v>
      </c>
      <c r="O41" t="s">
        <v>709</v>
      </c>
    </row>
    <row r="42" spans="1:15" x14ac:dyDescent="0.25">
      <c r="A42" s="3">
        <v>909498</v>
      </c>
      <c r="B42" s="3" t="s">
        <v>62</v>
      </c>
      <c r="C42" s="3" t="s">
        <v>63</v>
      </c>
      <c r="D42" s="22">
        <v>44600.373720601849</v>
      </c>
      <c r="E42" s="3" t="s">
        <v>8</v>
      </c>
      <c r="F42" s="3">
        <v>1</v>
      </c>
      <c r="G42" s="3">
        <v>0</v>
      </c>
      <c r="H42" s="23">
        <f>INT(Query1[[#This Row],[EntryDateTime]])</f>
        <v>44585</v>
      </c>
      <c r="I42">
        <f t="shared" si="2"/>
        <v>67</v>
      </c>
      <c r="J42">
        <f t="shared" si="3"/>
        <v>28</v>
      </c>
      <c r="K42">
        <f t="shared" si="0"/>
        <v>95</v>
      </c>
      <c r="L42">
        <f t="shared" si="1"/>
        <v>909498</v>
      </c>
      <c r="O42" t="s">
        <v>711</v>
      </c>
    </row>
    <row r="43" spans="1:15" x14ac:dyDescent="0.25">
      <c r="A43" s="19">
        <v>909501</v>
      </c>
      <c r="B43" s="19" t="s">
        <v>148</v>
      </c>
      <c r="C43" s="19" t="s">
        <v>149</v>
      </c>
      <c r="D43" s="20">
        <v>44600.377380208331</v>
      </c>
      <c r="E43" s="19" t="s">
        <v>8</v>
      </c>
      <c r="F43" s="19">
        <v>1</v>
      </c>
      <c r="G43" s="19">
        <v>0</v>
      </c>
      <c r="H43" s="21">
        <f>INT(Query1[[#This Row],[EntryDateTime]])</f>
        <v>44586</v>
      </c>
      <c r="I43">
        <f t="shared" si="2"/>
        <v>68</v>
      </c>
      <c r="J43">
        <f t="shared" si="3"/>
        <v>28</v>
      </c>
      <c r="K43">
        <f t="shared" si="0"/>
        <v>96</v>
      </c>
      <c r="L43">
        <f t="shared" si="1"/>
        <v>909501</v>
      </c>
      <c r="O43" t="s">
        <v>713</v>
      </c>
    </row>
    <row r="44" spans="1:15" x14ac:dyDescent="0.25">
      <c r="A44" s="3">
        <v>909504</v>
      </c>
      <c r="B44" s="3" t="s">
        <v>256</v>
      </c>
      <c r="C44" s="3" t="s">
        <v>257</v>
      </c>
      <c r="D44" s="22">
        <v>44600.381646180555</v>
      </c>
      <c r="E44" s="3" t="s">
        <v>8</v>
      </c>
      <c r="F44" s="3">
        <v>1</v>
      </c>
      <c r="G44" s="3">
        <v>0</v>
      </c>
      <c r="H44" s="23">
        <f>INT(Query1[[#This Row],[EntryDateTime]])</f>
        <v>44586</v>
      </c>
      <c r="I44">
        <f t="shared" si="2"/>
        <v>69</v>
      </c>
      <c r="J44">
        <f t="shared" si="3"/>
        <v>28</v>
      </c>
      <c r="K44">
        <f t="shared" si="0"/>
        <v>97</v>
      </c>
      <c r="L44">
        <f t="shared" si="1"/>
        <v>909504</v>
      </c>
      <c r="O44" t="s">
        <v>714</v>
      </c>
    </row>
    <row r="45" spans="1:15" x14ac:dyDescent="0.25">
      <c r="A45" s="19">
        <v>909505</v>
      </c>
      <c r="B45" s="19" t="s">
        <v>114</v>
      </c>
      <c r="C45" s="19" t="s">
        <v>115</v>
      </c>
      <c r="D45" s="20">
        <v>44600.384425613425</v>
      </c>
      <c r="E45" s="19" t="s">
        <v>8</v>
      </c>
      <c r="F45" s="19">
        <v>1</v>
      </c>
      <c r="G45" s="19">
        <v>0</v>
      </c>
      <c r="H45" s="21">
        <f>INT(Query1[[#This Row],[EntryDateTime]])</f>
        <v>44587</v>
      </c>
      <c r="I45">
        <f t="shared" si="2"/>
        <v>70</v>
      </c>
      <c r="J45">
        <f t="shared" si="3"/>
        <v>28</v>
      </c>
      <c r="K45">
        <f t="shared" si="0"/>
        <v>98</v>
      </c>
      <c r="L45">
        <f t="shared" si="1"/>
        <v>909505</v>
      </c>
      <c r="O45" t="s">
        <v>716</v>
      </c>
    </row>
    <row r="46" spans="1:15" x14ac:dyDescent="0.25">
      <c r="A46" s="3">
        <v>909516</v>
      </c>
      <c r="B46" s="3" t="s">
        <v>18</v>
      </c>
      <c r="C46" s="3" t="s">
        <v>19</v>
      </c>
      <c r="D46" s="22">
        <v>44600.400141550926</v>
      </c>
      <c r="E46" s="3" t="s">
        <v>8</v>
      </c>
      <c r="F46" s="3">
        <v>1</v>
      </c>
      <c r="G46" s="3">
        <v>0</v>
      </c>
      <c r="H46" s="23">
        <f>INT(Query1[[#This Row],[EntryDateTime]])</f>
        <v>44587</v>
      </c>
      <c r="I46">
        <f t="shared" si="2"/>
        <v>71</v>
      </c>
      <c r="J46">
        <f t="shared" si="3"/>
        <v>28</v>
      </c>
      <c r="K46">
        <f t="shared" si="0"/>
        <v>99</v>
      </c>
      <c r="L46">
        <f t="shared" si="1"/>
        <v>909516</v>
      </c>
      <c r="O46" t="s">
        <v>717</v>
      </c>
    </row>
    <row r="47" spans="1:15" x14ac:dyDescent="0.25">
      <c r="A47" s="19">
        <v>909533</v>
      </c>
      <c r="B47" s="19" t="s">
        <v>108</v>
      </c>
      <c r="C47" s="19" t="s">
        <v>109</v>
      </c>
      <c r="D47" s="20">
        <v>44600.416700462963</v>
      </c>
      <c r="E47" s="19" t="s">
        <v>8</v>
      </c>
      <c r="F47" s="19">
        <v>1</v>
      </c>
      <c r="G47" s="19">
        <v>0</v>
      </c>
      <c r="H47" s="21">
        <f>INT(Query1[[#This Row],[EntryDateTime]])</f>
        <v>44587</v>
      </c>
      <c r="I47">
        <f t="shared" si="2"/>
        <v>72</v>
      </c>
      <c r="J47">
        <f t="shared" si="3"/>
        <v>28</v>
      </c>
      <c r="K47">
        <f t="shared" si="0"/>
        <v>100</v>
      </c>
      <c r="L47">
        <f t="shared" si="1"/>
        <v>909533</v>
      </c>
      <c r="O47" t="s">
        <v>720</v>
      </c>
    </row>
    <row r="48" spans="1:15" x14ac:dyDescent="0.25">
      <c r="A48" s="3">
        <v>909523</v>
      </c>
      <c r="B48" s="3" t="s">
        <v>122</v>
      </c>
      <c r="C48" s="3" t="s">
        <v>123</v>
      </c>
      <c r="D48" s="22">
        <v>44600.416917361108</v>
      </c>
      <c r="E48" s="3" t="s">
        <v>8</v>
      </c>
      <c r="F48" s="3">
        <v>1</v>
      </c>
      <c r="G48" s="3">
        <v>0</v>
      </c>
      <c r="H48" s="23">
        <f>INT(Query1[[#This Row],[EntryDateTime]])</f>
        <v>44587</v>
      </c>
      <c r="I48">
        <f t="shared" si="2"/>
        <v>73</v>
      </c>
      <c r="J48">
        <f t="shared" si="3"/>
        <v>28</v>
      </c>
      <c r="K48">
        <f t="shared" si="0"/>
        <v>101</v>
      </c>
      <c r="L48">
        <f t="shared" si="1"/>
        <v>909523</v>
      </c>
      <c r="O48" t="s">
        <v>682</v>
      </c>
    </row>
    <row r="49" spans="1:15" x14ac:dyDescent="0.25">
      <c r="A49" s="19">
        <v>909537</v>
      </c>
      <c r="B49" s="19" t="s">
        <v>88</v>
      </c>
      <c r="C49" s="19" t="s">
        <v>89</v>
      </c>
      <c r="D49" s="20">
        <v>44600.417350266202</v>
      </c>
      <c r="E49" s="19" t="s">
        <v>8</v>
      </c>
      <c r="F49" s="19">
        <v>1</v>
      </c>
      <c r="G49" s="19">
        <v>0</v>
      </c>
      <c r="H49" s="21">
        <f>INT(Query1[[#This Row],[EntryDateTime]])</f>
        <v>44587</v>
      </c>
      <c r="I49">
        <f t="shared" si="2"/>
        <v>74</v>
      </c>
      <c r="J49">
        <f t="shared" si="3"/>
        <v>28</v>
      </c>
      <c r="K49">
        <f t="shared" si="0"/>
        <v>102</v>
      </c>
      <c r="L49">
        <f t="shared" si="1"/>
        <v>909537</v>
      </c>
      <c r="O49" t="s">
        <v>721</v>
      </c>
    </row>
    <row r="50" spans="1:15" hidden="1" x14ac:dyDescent="0.25">
      <c r="A50" s="3">
        <v>909544</v>
      </c>
      <c r="B50" s="3" t="s">
        <v>138</v>
      </c>
      <c r="C50" s="3" t="s">
        <v>139</v>
      </c>
      <c r="D50" s="22">
        <v>44600.421583599535</v>
      </c>
      <c r="E50" s="3" t="s">
        <v>11</v>
      </c>
      <c r="F50" s="3">
        <v>1</v>
      </c>
      <c r="G50" s="3">
        <v>0</v>
      </c>
      <c r="H50" s="23">
        <f>INT(Query1[[#This Row],[EntryDateTime]])</f>
        <v>44587</v>
      </c>
      <c r="I50">
        <f t="shared" si="2"/>
        <v>74</v>
      </c>
      <c r="J50">
        <f t="shared" si="3"/>
        <v>29</v>
      </c>
      <c r="K50">
        <f t="shared" si="0"/>
        <v>103</v>
      </c>
      <c r="L50">
        <f t="shared" si="1"/>
        <v>909544</v>
      </c>
    </row>
    <row r="51" spans="1:15" x14ac:dyDescent="0.25">
      <c r="A51" s="19">
        <v>909528</v>
      </c>
      <c r="B51" s="19" t="s">
        <v>66</v>
      </c>
      <c r="C51" s="19" t="s">
        <v>67</v>
      </c>
      <c r="D51" s="20">
        <v>44600.423087766205</v>
      </c>
      <c r="E51" s="19" t="s">
        <v>8</v>
      </c>
      <c r="F51" s="19">
        <v>1</v>
      </c>
      <c r="G51" s="19">
        <v>0</v>
      </c>
      <c r="H51" s="21">
        <f>INT(Query1[[#This Row],[EntryDateTime]])</f>
        <v>44587</v>
      </c>
      <c r="I51">
        <f t="shared" si="2"/>
        <v>75</v>
      </c>
      <c r="J51">
        <f t="shared" si="3"/>
        <v>29</v>
      </c>
      <c r="K51">
        <f t="shared" si="0"/>
        <v>104</v>
      </c>
      <c r="L51">
        <f t="shared" si="1"/>
        <v>909528</v>
      </c>
      <c r="O51" t="s">
        <v>679</v>
      </c>
    </row>
    <row r="52" spans="1:15" x14ac:dyDescent="0.25">
      <c r="A52" s="3">
        <v>909547</v>
      </c>
      <c r="B52" s="3" t="s">
        <v>68</v>
      </c>
      <c r="C52" s="3" t="s">
        <v>69</v>
      </c>
      <c r="D52" s="22">
        <v>44600.424518020831</v>
      </c>
      <c r="E52" s="3" t="s">
        <v>8</v>
      </c>
      <c r="F52" s="3">
        <v>1</v>
      </c>
      <c r="G52" s="3">
        <v>0</v>
      </c>
      <c r="H52" s="23">
        <f>INT(Query1[[#This Row],[EntryDateTime]])</f>
        <v>44587</v>
      </c>
      <c r="I52">
        <f t="shared" si="2"/>
        <v>76</v>
      </c>
      <c r="J52">
        <f t="shared" si="3"/>
        <v>29</v>
      </c>
      <c r="K52">
        <f t="shared" si="0"/>
        <v>105</v>
      </c>
      <c r="L52">
        <f t="shared" si="1"/>
        <v>909547</v>
      </c>
      <c r="O52" t="s">
        <v>722</v>
      </c>
    </row>
    <row r="53" spans="1:15" x14ac:dyDescent="0.25">
      <c r="A53" s="19">
        <v>909536</v>
      </c>
      <c r="B53" s="19" t="s">
        <v>52</v>
      </c>
      <c r="C53" s="19" t="s">
        <v>53</v>
      </c>
      <c r="D53" s="20">
        <v>44600.425676006947</v>
      </c>
      <c r="E53" s="19" t="s">
        <v>8</v>
      </c>
      <c r="F53" s="19">
        <v>1</v>
      </c>
      <c r="G53" s="19">
        <v>0</v>
      </c>
      <c r="H53" s="21">
        <f>INT(Query1[[#This Row],[EntryDateTime]])</f>
        <v>44587</v>
      </c>
      <c r="I53">
        <f t="shared" si="2"/>
        <v>77</v>
      </c>
      <c r="J53">
        <f t="shared" si="3"/>
        <v>29</v>
      </c>
      <c r="K53">
        <f t="shared" si="0"/>
        <v>106</v>
      </c>
      <c r="L53">
        <f t="shared" si="1"/>
        <v>909536</v>
      </c>
      <c r="O53" t="s">
        <v>706</v>
      </c>
    </row>
    <row r="54" spans="1:15" x14ac:dyDescent="0.25">
      <c r="A54" s="3">
        <v>909549</v>
      </c>
      <c r="B54" s="3" t="s">
        <v>198</v>
      </c>
      <c r="C54" s="3" t="s">
        <v>199</v>
      </c>
      <c r="D54" s="22">
        <v>44600.427164849534</v>
      </c>
      <c r="E54" s="3" t="s">
        <v>8</v>
      </c>
      <c r="F54" s="3">
        <v>1</v>
      </c>
      <c r="G54" s="3">
        <v>0</v>
      </c>
      <c r="H54" s="23">
        <f>INT(Query1[[#This Row],[EntryDateTime]])</f>
        <v>44587</v>
      </c>
      <c r="I54">
        <f t="shared" si="2"/>
        <v>78</v>
      </c>
      <c r="J54">
        <f t="shared" si="3"/>
        <v>29</v>
      </c>
      <c r="K54">
        <f t="shared" si="0"/>
        <v>107</v>
      </c>
      <c r="L54">
        <f t="shared" si="1"/>
        <v>909549</v>
      </c>
      <c r="O54" t="s">
        <v>723</v>
      </c>
    </row>
    <row r="55" spans="1:15" x14ac:dyDescent="0.25">
      <c r="A55" s="19">
        <v>909552</v>
      </c>
      <c r="B55" s="19" t="s">
        <v>116</v>
      </c>
      <c r="C55" s="19" t="s">
        <v>117</v>
      </c>
      <c r="D55" s="20">
        <v>44600.428127118059</v>
      </c>
      <c r="E55" s="19" t="s">
        <v>8</v>
      </c>
      <c r="F55" s="19">
        <v>1</v>
      </c>
      <c r="G55" s="19">
        <v>0</v>
      </c>
      <c r="H55" s="21">
        <f>INT(Query1[[#This Row],[EntryDateTime]])</f>
        <v>44587</v>
      </c>
      <c r="I55">
        <f t="shared" si="2"/>
        <v>79</v>
      </c>
      <c r="J55">
        <f t="shared" si="3"/>
        <v>29</v>
      </c>
      <c r="K55">
        <f t="shared" si="0"/>
        <v>108</v>
      </c>
      <c r="L55">
        <f t="shared" si="1"/>
        <v>909552</v>
      </c>
      <c r="O55" t="s">
        <v>724</v>
      </c>
    </row>
    <row r="56" spans="1:15" x14ac:dyDescent="0.25">
      <c r="A56" s="3">
        <v>909554</v>
      </c>
      <c r="B56" s="3" t="s">
        <v>46</v>
      </c>
      <c r="C56" s="3" t="s">
        <v>47</v>
      </c>
      <c r="D56" s="22">
        <v>44600.429636539353</v>
      </c>
      <c r="E56" s="3" t="s">
        <v>8</v>
      </c>
      <c r="F56" s="3">
        <v>1</v>
      </c>
      <c r="G56" s="3">
        <v>0</v>
      </c>
      <c r="H56" s="23">
        <f>INT(Query1[[#This Row],[EntryDateTime]])</f>
        <v>44587</v>
      </c>
      <c r="I56">
        <f t="shared" si="2"/>
        <v>80</v>
      </c>
      <c r="J56">
        <f t="shared" si="3"/>
        <v>29</v>
      </c>
      <c r="K56">
        <f t="shared" si="0"/>
        <v>109</v>
      </c>
      <c r="L56">
        <f t="shared" si="1"/>
        <v>909554</v>
      </c>
      <c r="O56" t="s">
        <v>725</v>
      </c>
    </row>
    <row r="57" spans="1:15" x14ac:dyDescent="0.25">
      <c r="A57" s="19">
        <v>909557</v>
      </c>
      <c r="B57" s="19" t="s">
        <v>36</v>
      </c>
      <c r="C57" s="19" t="s">
        <v>37</v>
      </c>
      <c r="D57" s="20">
        <v>44600.432756631948</v>
      </c>
      <c r="E57" s="19" t="s">
        <v>8</v>
      </c>
      <c r="F57" s="19">
        <v>1</v>
      </c>
      <c r="G57" s="19">
        <v>0</v>
      </c>
      <c r="H57" s="21">
        <f>INT(Query1[[#This Row],[EntryDateTime]])</f>
        <v>44587</v>
      </c>
      <c r="I57">
        <f t="shared" si="2"/>
        <v>81</v>
      </c>
      <c r="J57">
        <f t="shared" si="3"/>
        <v>29</v>
      </c>
      <c r="K57">
        <f t="shared" si="0"/>
        <v>110</v>
      </c>
      <c r="L57">
        <f t="shared" si="1"/>
        <v>909557</v>
      </c>
      <c r="O57" t="s">
        <v>687</v>
      </c>
    </row>
    <row r="58" spans="1:15" x14ac:dyDescent="0.25">
      <c r="A58" s="3">
        <v>909560</v>
      </c>
      <c r="B58" s="3" t="s">
        <v>224</v>
      </c>
      <c r="C58" s="3" t="s">
        <v>225</v>
      </c>
      <c r="D58" s="22">
        <v>44600.435380011571</v>
      </c>
      <c r="E58" s="3" t="s">
        <v>8</v>
      </c>
      <c r="F58" s="3">
        <v>1</v>
      </c>
      <c r="G58" s="3">
        <v>0</v>
      </c>
      <c r="H58" s="23">
        <f>INT(Query1[[#This Row],[EntryDateTime]])</f>
        <v>44587</v>
      </c>
      <c r="I58">
        <f t="shared" si="2"/>
        <v>82</v>
      </c>
      <c r="J58">
        <f t="shared" si="3"/>
        <v>29</v>
      </c>
      <c r="K58">
        <f t="shared" si="0"/>
        <v>111</v>
      </c>
      <c r="L58">
        <f t="shared" si="1"/>
        <v>909560</v>
      </c>
      <c r="O58" t="s">
        <v>726</v>
      </c>
    </row>
    <row r="59" spans="1:15" x14ac:dyDescent="0.25">
      <c r="A59" s="19">
        <v>909567</v>
      </c>
      <c r="B59" s="19" t="s">
        <v>52</v>
      </c>
      <c r="C59" s="19" t="s">
        <v>53</v>
      </c>
      <c r="D59" s="20">
        <v>44600.440182986109</v>
      </c>
      <c r="E59" s="19" t="s">
        <v>8</v>
      </c>
      <c r="F59" s="19">
        <v>1</v>
      </c>
      <c r="G59" s="19">
        <v>0</v>
      </c>
      <c r="H59" s="21">
        <f>INT(Query1[[#This Row],[EntryDateTime]])</f>
        <v>44587</v>
      </c>
      <c r="I59">
        <f t="shared" si="2"/>
        <v>83</v>
      </c>
      <c r="J59">
        <f t="shared" si="3"/>
        <v>29</v>
      </c>
      <c r="K59">
        <f t="shared" si="0"/>
        <v>112</v>
      </c>
      <c r="L59">
        <f t="shared" si="1"/>
        <v>909567</v>
      </c>
      <c r="O59" t="s">
        <v>707</v>
      </c>
    </row>
    <row r="60" spans="1:15" x14ac:dyDescent="0.25">
      <c r="A60" s="3">
        <v>909573</v>
      </c>
      <c r="B60" s="3" t="s">
        <v>48</v>
      </c>
      <c r="C60" s="3" t="s">
        <v>49</v>
      </c>
      <c r="D60" s="22">
        <v>44600.444509803237</v>
      </c>
      <c r="E60" s="3" t="s">
        <v>8</v>
      </c>
      <c r="F60" s="3">
        <v>1</v>
      </c>
      <c r="G60" s="3">
        <v>0</v>
      </c>
      <c r="H60" s="23">
        <f>INT(Query1[[#This Row],[EntryDateTime]])</f>
        <v>44587</v>
      </c>
      <c r="I60">
        <f t="shared" si="2"/>
        <v>84</v>
      </c>
      <c r="J60">
        <f t="shared" si="3"/>
        <v>29</v>
      </c>
      <c r="K60">
        <f t="shared" si="0"/>
        <v>113</v>
      </c>
      <c r="L60">
        <f t="shared" si="1"/>
        <v>909573</v>
      </c>
      <c r="O60" t="s">
        <v>727</v>
      </c>
    </row>
    <row r="61" spans="1:15" x14ac:dyDescent="0.25">
      <c r="A61" s="19">
        <v>909576</v>
      </c>
      <c r="B61" s="19" t="s">
        <v>96</v>
      </c>
      <c r="C61" s="19" t="s">
        <v>97</v>
      </c>
      <c r="D61" s="20">
        <v>44600.446277465278</v>
      </c>
      <c r="E61" s="19" t="s">
        <v>8</v>
      </c>
      <c r="F61" s="19">
        <v>1</v>
      </c>
      <c r="G61" s="19">
        <v>0</v>
      </c>
      <c r="H61" s="21">
        <f>INT(Query1[[#This Row],[EntryDateTime]])</f>
        <v>44588</v>
      </c>
      <c r="I61">
        <f t="shared" si="2"/>
        <v>85</v>
      </c>
      <c r="J61">
        <f t="shared" si="3"/>
        <v>29</v>
      </c>
      <c r="K61">
        <f t="shared" si="0"/>
        <v>114</v>
      </c>
      <c r="L61">
        <f t="shared" si="1"/>
        <v>909576</v>
      </c>
      <c r="O61" t="s">
        <v>729</v>
      </c>
    </row>
    <row r="62" spans="1:15" x14ac:dyDescent="0.25">
      <c r="A62" s="3">
        <v>909578</v>
      </c>
      <c r="B62" s="3" t="s">
        <v>18</v>
      </c>
      <c r="C62" s="3" t="s">
        <v>19</v>
      </c>
      <c r="D62" s="22">
        <v>44600.448566631945</v>
      </c>
      <c r="E62" s="3" t="s">
        <v>8</v>
      </c>
      <c r="F62" s="3">
        <v>1</v>
      </c>
      <c r="G62" s="3">
        <v>0</v>
      </c>
      <c r="H62" s="23">
        <f>INT(Query1[[#This Row],[EntryDateTime]])</f>
        <v>44588</v>
      </c>
      <c r="I62">
        <f t="shared" si="2"/>
        <v>86</v>
      </c>
      <c r="J62">
        <f t="shared" si="3"/>
        <v>29</v>
      </c>
      <c r="K62">
        <f t="shared" si="0"/>
        <v>115</v>
      </c>
      <c r="L62">
        <f t="shared" si="1"/>
        <v>909578</v>
      </c>
      <c r="O62" t="s">
        <v>718</v>
      </c>
    </row>
    <row r="63" spans="1:15" x14ac:dyDescent="0.25">
      <c r="A63" s="19">
        <v>909581</v>
      </c>
      <c r="B63" s="19" t="s">
        <v>176</v>
      </c>
      <c r="C63" s="19" t="s">
        <v>177</v>
      </c>
      <c r="D63" s="20">
        <v>44600.452316354167</v>
      </c>
      <c r="E63" s="19" t="s">
        <v>8</v>
      </c>
      <c r="F63" s="19">
        <v>1</v>
      </c>
      <c r="G63" s="19">
        <v>0</v>
      </c>
      <c r="H63" s="21">
        <f>INT(Query1[[#This Row],[EntryDateTime]])</f>
        <v>44589</v>
      </c>
      <c r="I63">
        <f t="shared" si="2"/>
        <v>87</v>
      </c>
      <c r="J63">
        <f t="shared" si="3"/>
        <v>29</v>
      </c>
      <c r="K63">
        <f t="shared" si="0"/>
        <v>116</v>
      </c>
      <c r="L63">
        <f t="shared" si="1"/>
        <v>909581</v>
      </c>
      <c r="O63" t="s">
        <v>730</v>
      </c>
    </row>
    <row r="64" spans="1:15" x14ac:dyDescent="0.25">
      <c r="A64" s="3">
        <v>909585</v>
      </c>
      <c r="B64" s="3" t="s">
        <v>261</v>
      </c>
      <c r="C64" s="3" t="s">
        <v>262</v>
      </c>
      <c r="D64" s="22">
        <v>44600.454398379632</v>
      </c>
      <c r="E64" s="3" t="s">
        <v>8</v>
      </c>
      <c r="F64" s="3">
        <v>1</v>
      </c>
      <c r="G64" s="3">
        <v>0</v>
      </c>
      <c r="H64" s="23">
        <f>INT(Query1[[#This Row],[EntryDateTime]])</f>
        <v>44589</v>
      </c>
      <c r="I64">
        <f t="shared" si="2"/>
        <v>88</v>
      </c>
      <c r="J64">
        <f t="shared" si="3"/>
        <v>29</v>
      </c>
      <c r="K64">
        <f t="shared" si="0"/>
        <v>117</v>
      </c>
      <c r="L64">
        <f t="shared" si="1"/>
        <v>909585</v>
      </c>
      <c r="O64" t="s">
        <v>731</v>
      </c>
    </row>
    <row r="65" spans="1:15" x14ac:dyDescent="0.25">
      <c r="A65" s="19">
        <v>909586</v>
      </c>
      <c r="B65" s="19" t="s">
        <v>54</v>
      </c>
      <c r="C65" s="19" t="s">
        <v>55</v>
      </c>
      <c r="D65" s="20">
        <v>44600.454922835648</v>
      </c>
      <c r="E65" s="19" t="s">
        <v>8</v>
      </c>
      <c r="F65" s="19">
        <v>1</v>
      </c>
      <c r="G65" s="19">
        <v>0</v>
      </c>
      <c r="H65" s="21">
        <f>INT(Query1[[#This Row],[EntryDateTime]])</f>
        <v>44589</v>
      </c>
      <c r="I65">
        <f t="shared" si="2"/>
        <v>89</v>
      </c>
      <c r="J65">
        <f t="shared" si="3"/>
        <v>29</v>
      </c>
      <c r="K65">
        <f t="shared" si="0"/>
        <v>118</v>
      </c>
      <c r="L65">
        <f t="shared" si="1"/>
        <v>909586</v>
      </c>
      <c r="O65" t="s">
        <v>686</v>
      </c>
    </row>
    <row r="66" spans="1:15" x14ac:dyDescent="0.25">
      <c r="A66" s="3">
        <v>909588</v>
      </c>
      <c r="B66" s="3" t="s">
        <v>244</v>
      </c>
      <c r="C66" s="3" t="s">
        <v>245</v>
      </c>
      <c r="D66" s="22">
        <v>44600.456389780091</v>
      </c>
      <c r="E66" s="3" t="s">
        <v>8</v>
      </c>
      <c r="F66" s="3">
        <v>1</v>
      </c>
      <c r="G66" s="3">
        <v>0</v>
      </c>
      <c r="H66" s="23">
        <f>INT(Query1[[#This Row],[EntryDateTime]])</f>
        <v>44589</v>
      </c>
      <c r="I66">
        <f t="shared" si="2"/>
        <v>90</v>
      </c>
      <c r="J66">
        <f t="shared" si="3"/>
        <v>29</v>
      </c>
      <c r="K66">
        <f t="shared" ref="K66:K97" si="4">I66+J66</f>
        <v>119</v>
      </c>
      <c r="L66">
        <f t="shared" ref="L66:L97" si="5">A66</f>
        <v>909588</v>
      </c>
      <c r="O66" t="s">
        <v>732</v>
      </c>
    </row>
    <row r="67" spans="1:15" x14ac:dyDescent="0.25">
      <c r="A67" s="19">
        <v>909587</v>
      </c>
      <c r="B67" s="19" t="s">
        <v>222</v>
      </c>
      <c r="C67" s="19" t="s">
        <v>223</v>
      </c>
      <c r="D67" s="20">
        <v>44600.456409456019</v>
      </c>
      <c r="E67" s="19" t="s">
        <v>8</v>
      </c>
      <c r="F67" s="19">
        <v>1</v>
      </c>
      <c r="G67" s="19">
        <v>0</v>
      </c>
      <c r="H67" s="21">
        <f>INT(Query1[[#This Row],[EntryDateTime]])</f>
        <v>44592</v>
      </c>
      <c r="I67">
        <f t="shared" si="2"/>
        <v>91</v>
      </c>
      <c r="J67">
        <f t="shared" si="3"/>
        <v>29</v>
      </c>
      <c r="K67">
        <f t="shared" si="4"/>
        <v>120</v>
      </c>
      <c r="L67">
        <f t="shared" si="5"/>
        <v>909587</v>
      </c>
      <c r="O67" t="s">
        <v>747</v>
      </c>
    </row>
    <row r="68" spans="1:15" x14ac:dyDescent="0.25">
      <c r="A68" s="3">
        <v>909594</v>
      </c>
      <c r="B68" s="3" t="s">
        <v>48</v>
      </c>
      <c r="C68" s="3" t="s">
        <v>49</v>
      </c>
      <c r="D68" s="22">
        <v>44600.458447303237</v>
      </c>
      <c r="E68" s="3" t="s">
        <v>8</v>
      </c>
      <c r="F68" s="3">
        <v>1</v>
      </c>
      <c r="G68" s="3">
        <v>0</v>
      </c>
      <c r="H68" s="23">
        <f>INT(Query1[[#This Row],[EntryDateTime]])</f>
        <v>44592</v>
      </c>
      <c r="I68">
        <f t="shared" ref="I68:I97" si="6">IF(E68="EVAP KIT SF GEN IV",F68+I67,I67)</f>
        <v>92</v>
      </c>
      <c r="J68">
        <f t="shared" ref="J68:J97" si="7">IF(E68="EVAP KIT UNIVERSAL",F68+J67,J67)</f>
        <v>29</v>
      </c>
      <c r="K68">
        <f t="shared" si="4"/>
        <v>121</v>
      </c>
      <c r="L68">
        <f t="shared" si="5"/>
        <v>909594</v>
      </c>
      <c r="O68" t="s">
        <v>728</v>
      </c>
    </row>
    <row r="69" spans="1:15" hidden="1" x14ac:dyDescent="0.25">
      <c r="A69" s="19">
        <v>909600</v>
      </c>
      <c r="B69" s="19" t="s">
        <v>20</v>
      </c>
      <c r="C69" s="19" t="s">
        <v>21</v>
      </c>
      <c r="D69" s="20">
        <v>44600.463999803243</v>
      </c>
      <c r="E69" s="19" t="s">
        <v>11</v>
      </c>
      <c r="F69" s="19">
        <v>1</v>
      </c>
      <c r="G69" s="19">
        <v>0</v>
      </c>
      <c r="H69" s="21">
        <f>INT(Query1[[#This Row],[EntryDateTime]])</f>
        <v>44592</v>
      </c>
      <c r="I69">
        <f t="shared" si="6"/>
        <v>92</v>
      </c>
      <c r="J69">
        <f t="shared" si="7"/>
        <v>30</v>
      </c>
      <c r="K69">
        <f t="shared" si="4"/>
        <v>122</v>
      </c>
      <c r="L69">
        <f t="shared" si="5"/>
        <v>909600</v>
      </c>
    </row>
    <row r="70" spans="1:15" hidden="1" x14ac:dyDescent="0.25">
      <c r="A70" s="3">
        <v>909600</v>
      </c>
      <c r="B70" s="3" t="s">
        <v>98</v>
      </c>
      <c r="C70" s="3" t="s">
        <v>99</v>
      </c>
      <c r="D70" s="22">
        <v>44600.464147604165</v>
      </c>
      <c r="E70" s="3" t="s">
        <v>11</v>
      </c>
      <c r="F70" s="3">
        <v>1</v>
      </c>
      <c r="G70" s="3">
        <v>0</v>
      </c>
      <c r="H70" s="23">
        <f>INT(Query1[[#This Row],[EntryDateTime]])</f>
        <v>44592</v>
      </c>
      <c r="I70">
        <f t="shared" si="6"/>
        <v>92</v>
      </c>
      <c r="J70">
        <f t="shared" si="7"/>
        <v>31</v>
      </c>
      <c r="K70">
        <f t="shared" si="4"/>
        <v>123</v>
      </c>
      <c r="L70">
        <f t="shared" si="5"/>
        <v>909600</v>
      </c>
    </row>
    <row r="71" spans="1:15" hidden="1" x14ac:dyDescent="0.25">
      <c r="A71" s="19">
        <v>909600</v>
      </c>
      <c r="B71" s="19" t="s">
        <v>24</v>
      </c>
      <c r="C71" s="19" t="s">
        <v>25</v>
      </c>
      <c r="D71" s="20">
        <v>44600.464305636575</v>
      </c>
      <c r="E71" s="19" t="s">
        <v>11</v>
      </c>
      <c r="F71" s="19">
        <v>1</v>
      </c>
      <c r="G71" s="19">
        <v>0</v>
      </c>
      <c r="H71" s="21">
        <f>INT(Query1[[#This Row],[EntryDateTime]])</f>
        <v>44592</v>
      </c>
      <c r="I71">
        <f t="shared" si="6"/>
        <v>92</v>
      </c>
      <c r="J71">
        <f t="shared" si="7"/>
        <v>32</v>
      </c>
      <c r="K71">
        <f t="shared" si="4"/>
        <v>124</v>
      </c>
      <c r="L71">
        <f t="shared" si="5"/>
        <v>909600</v>
      </c>
    </row>
    <row r="72" spans="1:15" x14ac:dyDescent="0.25">
      <c r="A72" s="3">
        <v>909603</v>
      </c>
      <c r="B72" s="3" t="s">
        <v>170</v>
      </c>
      <c r="C72" s="3" t="s">
        <v>171</v>
      </c>
      <c r="D72" s="22">
        <v>44600.466021875</v>
      </c>
      <c r="E72" s="3" t="s">
        <v>8</v>
      </c>
      <c r="F72" s="3">
        <v>1</v>
      </c>
      <c r="G72" s="3">
        <v>0</v>
      </c>
      <c r="H72" s="23">
        <f>INT(Query1[[#This Row],[EntryDateTime]])</f>
        <v>44592</v>
      </c>
      <c r="I72">
        <f t="shared" si="6"/>
        <v>93</v>
      </c>
      <c r="J72">
        <f t="shared" si="7"/>
        <v>32</v>
      </c>
      <c r="K72">
        <f t="shared" si="4"/>
        <v>125</v>
      </c>
      <c r="L72">
        <f t="shared" si="5"/>
        <v>909603</v>
      </c>
      <c r="O72" t="s">
        <v>733</v>
      </c>
    </row>
    <row r="73" spans="1:15" x14ac:dyDescent="0.25">
      <c r="A73" s="19">
        <v>909604</v>
      </c>
      <c r="B73" s="19" t="s">
        <v>194</v>
      </c>
      <c r="C73" s="19" t="s">
        <v>195</v>
      </c>
      <c r="D73" s="20">
        <v>44600.468437268515</v>
      </c>
      <c r="E73" s="19" t="s">
        <v>8</v>
      </c>
      <c r="F73" s="19">
        <v>1</v>
      </c>
      <c r="G73" s="19">
        <v>0</v>
      </c>
      <c r="H73" s="21">
        <f>INT(Query1[[#This Row],[EntryDateTime]])</f>
        <v>44592</v>
      </c>
      <c r="I73">
        <f t="shared" si="6"/>
        <v>94</v>
      </c>
      <c r="J73">
        <f t="shared" si="7"/>
        <v>32</v>
      </c>
      <c r="K73">
        <f t="shared" si="4"/>
        <v>126</v>
      </c>
      <c r="L73">
        <f t="shared" si="5"/>
        <v>909604</v>
      </c>
      <c r="O73" t="s">
        <v>735</v>
      </c>
    </row>
    <row r="74" spans="1:15" x14ac:dyDescent="0.25">
      <c r="A74" s="3">
        <v>909606</v>
      </c>
      <c r="B74" s="3" t="s">
        <v>56</v>
      </c>
      <c r="C74" s="3" t="s">
        <v>57</v>
      </c>
      <c r="D74" s="22">
        <v>44600.470221875003</v>
      </c>
      <c r="E74" s="3" t="s">
        <v>8</v>
      </c>
      <c r="F74" s="3">
        <v>1</v>
      </c>
      <c r="G74" s="3">
        <v>0</v>
      </c>
      <c r="H74" s="23">
        <f>INT(Query1[[#This Row],[EntryDateTime]])</f>
        <v>44592</v>
      </c>
      <c r="I74">
        <f t="shared" si="6"/>
        <v>95</v>
      </c>
      <c r="J74">
        <f t="shared" si="7"/>
        <v>32</v>
      </c>
      <c r="K74">
        <f t="shared" si="4"/>
        <v>127</v>
      </c>
      <c r="L74">
        <f t="shared" si="5"/>
        <v>909606</v>
      </c>
      <c r="O74" t="s">
        <v>736</v>
      </c>
    </row>
    <row r="75" spans="1:15" x14ac:dyDescent="0.25">
      <c r="A75" s="19">
        <v>909608</v>
      </c>
      <c r="B75" s="19" t="s">
        <v>52</v>
      </c>
      <c r="C75" s="19" t="s">
        <v>53</v>
      </c>
      <c r="D75" s="20">
        <v>44600.471691203704</v>
      </c>
      <c r="E75" s="19" t="s">
        <v>8</v>
      </c>
      <c r="F75" s="19">
        <v>1</v>
      </c>
      <c r="G75" s="19">
        <v>0</v>
      </c>
      <c r="H75" s="21">
        <f>INT(Query1[[#This Row],[EntryDateTime]])</f>
        <v>44592</v>
      </c>
      <c r="I75">
        <f t="shared" si="6"/>
        <v>96</v>
      </c>
      <c r="J75">
        <f t="shared" si="7"/>
        <v>32</v>
      </c>
      <c r="K75">
        <f t="shared" si="4"/>
        <v>128</v>
      </c>
      <c r="L75">
        <f t="shared" si="5"/>
        <v>909608</v>
      </c>
      <c r="O75" t="s">
        <v>708</v>
      </c>
    </row>
    <row r="76" spans="1:15" x14ac:dyDescent="0.25">
      <c r="A76" s="3">
        <v>909615</v>
      </c>
      <c r="B76" s="3" t="s">
        <v>60</v>
      </c>
      <c r="C76" s="3" t="s">
        <v>61</v>
      </c>
      <c r="D76" s="22">
        <v>44600.481761805553</v>
      </c>
      <c r="E76" s="3" t="s">
        <v>8</v>
      </c>
      <c r="F76" s="3">
        <v>1</v>
      </c>
      <c r="G76" s="3">
        <v>0</v>
      </c>
      <c r="H76" s="23">
        <f>INT(Query1[[#This Row],[EntryDateTime]])</f>
        <v>44592</v>
      </c>
      <c r="I76">
        <f t="shared" si="6"/>
        <v>97</v>
      </c>
      <c r="J76">
        <f t="shared" si="7"/>
        <v>32</v>
      </c>
      <c r="K76">
        <f t="shared" si="4"/>
        <v>129</v>
      </c>
      <c r="L76">
        <f t="shared" si="5"/>
        <v>909615</v>
      </c>
      <c r="O76" t="s">
        <v>681</v>
      </c>
    </row>
    <row r="77" spans="1:15" x14ac:dyDescent="0.25">
      <c r="A77" s="19">
        <v>909620</v>
      </c>
      <c r="B77" s="19" t="s">
        <v>62</v>
      </c>
      <c r="C77" s="19" t="s">
        <v>63</v>
      </c>
      <c r="D77" s="20">
        <v>44600.486920682873</v>
      </c>
      <c r="E77" s="19" t="s">
        <v>8</v>
      </c>
      <c r="F77" s="19">
        <v>1</v>
      </c>
      <c r="G77" s="19">
        <v>0</v>
      </c>
      <c r="H77" s="21">
        <f>INT(Query1[[#This Row],[EntryDateTime]])</f>
        <v>44592</v>
      </c>
      <c r="I77">
        <f t="shared" si="6"/>
        <v>98</v>
      </c>
      <c r="J77">
        <f t="shared" si="7"/>
        <v>32</v>
      </c>
      <c r="K77">
        <f t="shared" si="4"/>
        <v>130</v>
      </c>
      <c r="L77">
        <f t="shared" si="5"/>
        <v>909620</v>
      </c>
      <c r="O77" t="s">
        <v>712</v>
      </c>
    </row>
    <row r="78" spans="1:15" x14ac:dyDescent="0.25">
      <c r="A78" s="3">
        <v>909621</v>
      </c>
      <c r="B78" s="3" t="s">
        <v>18</v>
      </c>
      <c r="C78" s="3" t="s">
        <v>19</v>
      </c>
      <c r="D78" s="22">
        <v>44600.48720408565</v>
      </c>
      <c r="E78" s="3" t="s">
        <v>8</v>
      </c>
      <c r="F78" s="3">
        <v>1</v>
      </c>
      <c r="G78" s="3">
        <v>0</v>
      </c>
      <c r="H78" s="23">
        <f>INT(Query1[[#This Row],[EntryDateTime]])</f>
        <v>44592</v>
      </c>
      <c r="I78">
        <f t="shared" si="6"/>
        <v>99</v>
      </c>
      <c r="J78">
        <f t="shared" si="7"/>
        <v>32</v>
      </c>
      <c r="K78">
        <f t="shared" si="4"/>
        <v>131</v>
      </c>
      <c r="L78">
        <f t="shared" si="5"/>
        <v>909621</v>
      </c>
      <c r="O78" t="s">
        <v>719</v>
      </c>
    </row>
    <row r="79" spans="1:15" x14ac:dyDescent="0.25">
      <c r="A79" s="19">
        <v>909623</v>
      </c>
      <c r="B79" s="19" t="s">
        <v>42</v>
      </c>
      <c r="C79" s="19" t="s">
        <v>43</v>
      </c>
      <c r="D79" s="20">
        <v>44600.488633831017</v>
      </c>
      <c r="E79" s="19" t="s">
        <v>8</v>
      </c>
      <c r="F79" s="19">
        <v>1</v>
      </c>
      <c r="G79" s="19">
        <v>0</v>
      </c>
      <c r="H79" s="21">
        <f>INT(Query1[[#This Row],[EntryDateTime]])</f>
        <v>44592</v>
      </c>
      <c r="I79">
        <f t="shared" si="6"/>
        <v>100</v>
      </c>
      <c r="J79">
        <f t="shared" si="7"/>
        <v>32</v>
      </c>
      <c r="K79">
        <f t="shared" si="4"/>
        <v>132</v>
      </c>
      <c r="L79">
        <f t="shared" si="5"/>
        <v>909623</v>
      </c>
      <c r="O79" t="s">
        <v>698</v>
      </c>
    </row>
    <row r="80" spans="1:15" x14ac:dyDescent="0.25">
      <c r="A80" s="3">
        <v>909624</v>
      </c>
      <c r="B80" s="3" t="s">
        <v>42</v>
      </c>
      <c r="C80" s="3" t="s">
        <v>43</v>
      </c>
      <c r="D80" s="22">
        <v>44600.490735960651</v>
      </c>
      <c r="E80" s="3" t="s">
        <v>8</v>
      </c>
      <c r="F80" s="3">
        <v>1</v>
      </c>
      <c r="G80" s="3">
        <v>0</v>
      </c>
      <c r="H80" s="23">
        <f>INT(Query1[[#This Row],[EntryDateTime]])</f>
        <v>44592</v>
      </c>
      <c r="I80">
        <f t="shared" si="6"/>
        <v>101</v>
      </c>
      <c r="J80">
        <f t="shared" si="7"/>
        <v>32</v>
      </c>
      <c r="K80">
        <f t="shared" si="4"/>
        <v>133</v>
      </c>
      <c r="L80">
        <f t="shared" si="5"/>
        <v>909624</v>
      </c>
      <c r="O80" t="s">
        <v>699</v>
      </c>
    </row>
    <row r="81" spans="1:15" x14ac:dyDescent="0.25">
      <c r="A81" s="19">
        <v>909629</v>
      </c>
      <c r="B81" s="19" t="s">
        <v>50</v>
      </c>
      <c r="C81" s="19" t="s">
        <v>51</v>
      </c>
      <c r="D81" s="20">
        <v>44600.494180983798</v>
      </c>
      <c r="E81" s="19" t="s">
        <v>8</v>
      </c>
      <c r="F81" s="19">
        <v>1</v>
      </c>
      <c r="G81" s="19">
        <v>0</v>
      </c>
      <c r="H81" s="21">
        <f>INT(Query1[[#This Row],[EntryDateTime]])</f>
        <v>44592</v>
      </c>
      <c r="I81">
        <f t="shared" si="6"/>
        <v>102</v>
      </c>
      <c r="J81">
        <f t="shared" si="7"/>
        <v>32</v>
      </c>
      <c r="K81">
        <f t="shared" si="4"/>
        <v>134</v>
      </c>
      <c r="L81">
        <f t="shared" si="5"/>
        <v>909629</v>
      </c>
      <c r="O81" t="s">
        <v>696</v>
      </c>
    </row>
    <row r="82" spans="1:15" x14ac:dyDescent="0.25">
      <c r="A82" s="3">
        <v>909628</v>
      </c>
      <c r="B82" s="3" t="s">
        <v>22</v>
      </c>
      <c r="C82" s="3" t="s">
        <v>23</v>
      </c>
      <c r="D82" s="22">
        <v>44600.494385879632</v>
      </c>
      <c r="E82" s="3" t="s">
        <v>8</v>
      </c>
      <c r="F82" s="3">
        <v>1</v>
      </c>
      <c r="G82" s="3">
        <v>0</v>
      </c>
      <c r="H82" s="23">
        <f>INT(Query1[[#This Row],[EntryDateTime]])</f>
        <v>44599</v>
      </c>
      <c r="I82">
        <f t="shared" si="6"/>
        <v>103</v>
      </c>
      <c r="J82">
        <f t="shared" si="7"/>
        <v>32</v>
      </c>
      <c r="K82">
        <f t="shared" si="4"/>
        <v>135</v>
      </c>
      <c r="L82">
        <f t="shared" si="5"/>
        <v>909628</v>
      </c>
      <c r="O82" t="s">
        <v>737</v>
      </c>
    </row>
    <row r="83" spans="1:15" x14ac:dyDescent="0.25">
      <c r="A83" s="19">
        <v>909631</v>
      </c>
      <c r="B83" s="19" t="s">
        <v>283</v>
      </c>
      <c r="C83" s="19" t="s">
        <v>284</v>
      </c>
      <c r="D83" s="20">
        <v>44600.497518900462</v>
      </c>
      <c r="E83" s="19" t="s">
        <v>8</v>
      </c>
      <c r="F83" s="19">
        <v>1</v>
      </c>
      <c r="G83" s="19">
        <v>0</v>
      </c>
      <c r="H83" s="21">
        <f>INT(Query1[[#This Row],[EntryDateTime]])</f>
        <v>44599</v>
      </c>
      <c r="I83">
        <f t="shared" si="6"/>
        <v>104</v>
      </c>
      <c r="J83">
        <f t="shared" si="7"/>
        <v>32</v>
      </c>
      <c r="K83">
        <f t="shared" si="4"/>
        <v>136</v>
      </c>
      <c r="L83">
        <f t="shared" si="5"/>
        <v>909631</v>
      </c>
      <c r="O83" t="s">
        <v>739</v>
      </c>
    </row>
    <row r="84" spans="1:15" x14ac:dyDescent="0.25">
      <c r="A84" s="3">
        <v>909636</v>
      </c>
      <c r="B84" s="3" t="s">
        <v>192</v>
      </c>
      <c r="C84" s="3" t="s">
        <v>193</v>
      </c>
      <c r="D84" s="22">
        <v>44600.501591863424</v>
      </c>
      <c r="E84" s="3" t="s">
        <v>8</v>
      </c>
      <c r="F84" s="3">
        <v>1</v>
      </c>
      <c r="G84" s="3">
        <v>0</v>
      </c>
      <c r="H84" s="23">
        <f>INT(Query1[[#This Row],[EntryDateTime]])</f>
        <v>44599</v>
      </c>
      <c r="I84">
        <f t="shared" si="6"/>
        <v>105</v>
      </c>
      <c r="J84">
        <f t="shared" si="7"/>
        <v>32</v>
      </c>
      <c r="K84">
        <f t="shared" si="4"/>
        <v>137</v>
      </c>
      <c r="L84">
        <f t="shared" si="5"/>
        <v>909636</v>
      </c>
      <c r="O84" t="s">
        <v>710</v>
      </c>
    </row>
    <row r="85" spans="1:15" x14ac:dyDescent="0.25">
      <c r="A85" s="19">
        <v>909641</v>
      </c>
      <c r="B85" s="19" t="s">
        <v>156</v>
      </c>
      <c r="C85" s="19" t="s">
        <v>157</v>
      </c>
      <c r="D85" s="20">
        <v>44600.505142974536</v>
      </c>
      <c r="E85" s="19" t="s">
        <v>8</v>
      </c>
      <c r="F85" s="19">
        <v>1</v>
      </c>
      <c r="G85" s="19">
        <v>0</v>
      </c>
      <c r="H85" s="21">
        <f>INT(Query1[[#This Row],[EntryDateTime]])</f>
        <v>44599</v>
      </c>
      <c r="I85">
        <f t="shared" si="6"/>
        <v>106</v>
      </c>
      <c r="J85">
        <f t="shared" si="7"/>
        <v>32</v>
      </c>
      <c r="K85">
        <f t="shared" si="4"/>
        <v>138</v>
      </c>
      <c r="L85">
        <f t="shared" si="5"/>
        <v>909641</v>
      </c>
      <c r="O85" t="s">
        <v>740</v>
      </c>
    </row>
    <row r="86" spans="1:15" x14ac:dyDescent="0.25">
      <c r="A86" s="3">
        <v>909648</v>
      </c>
      <c r="B86" s="3" t="s">
        <v>16</v>
      </c>
      <c r="C86" s="3" t="s">
        <v>17</v>
      </c>
      <c r="D86" s="22">
        <v>44600.507252314812</v>
      </c>
      <c r="E86" s="3" t="s">
        <v>8</v>
      </c>
      <c r="F86" s="3">
        <v>1</v>
      </c>
      <c r="G86" s="3">
        <v>0</v>
      </c>
      <c r="H86" s="23">
        <f>INT(Query1[[#This Row],[EntryDateTime]])</f>
        <v>44599</v>
      </c>
      <c r="I86">
        <f t="shared" si="6"/>
        <v>107</v>
      </c>
      <c r="J86">
        <f t="shared" si="7"/>
        <v>32</v>
      </c>
      <c r="K86">
        <f t="shared" si="4"/>
        <v>139</v>
      </c>
      <c r="L86">
        <f t="shared" si="5"/>
        <v>909648</v>
      </c>
      <c r="O86" t="s">
        <v>741</v>
      </c>
    </row>
    <row r="87" spans="1:15" x14ac:dyDescent="0.25">
      <c r="A87" s="19">
        <v>909649</v>
      </c>
      <c r="B87" s="19" t="s">
        <v>14</v>
      </c>
      <c r="C87" s="19" t="s">
        <v>15</v>
      </c>
      <c r="D87" s="20">
        <v>44600.508010995371</v>
      </c>
      <c r="E87" s="19" t="s">
        <v>8</v>
      </c>
      <c r="F87" s="19">
        <v>1</v>
      </c>
      <c r="G87" s="19">
        <v>0</v>
      </c>
      <c r="H87" s="21">
        <f>INT(Query1[[#This Row],[EntryDateTime]])</f>
        <v>44599</v>
      </c>
      <c r="I87">
        <f t="shared" si="6"/>
        <v>108</v>
      </c>
      <c r="J87">
        <f t="shared" si="7"/>
        <v>32</v>
      </c>
      <c r="K87">
        <f t="shared" si="4"/>
        <v>140</v>
      </c>
      <c r="L87">
        <f t="shared" si="5"/>
        <v>909649</v>
      </c>
      <c r="O87" t="s">
        <v>684</v>
      </c>
    </row>
    <row r="88" spans="1:15" x14ac:dyDescent="0.25">
      <c r="A88" s="3">
        <v>909651</v>
      </c>
      <c r="B88" s="3" t="s">
        <v>170</v>
      </c>
      <c r="C88" s="3" t="s">
        <v>171</v>
      </c>
      <c r="D88" s="22">
        <v>44600.508518518516</v>
      </c>
      <c r="E88" s="3" t="s">
        <v>8</v>
      </c>
      <c r="F88" s="3">
        <v>1</v>
      </c>
      <c r="G88" s="3">
        <v>0</v>
      </c>
      <c r="H88" s="23">
        <f>INT(Query1[[#This Row],[EntryDateTime]])</f>
        <v>44599</v>
      </c>
      <c r="I88">
        <f t="shared" si="6"/>
        <v>109</v>
      </c>
      <c r="J88">
        <f t="shared" si="7"/>
        <v>32</v>
      </c>
      <c r="K88">
        <f t="shared" si="4"/>
        <v>141</v>
      </c>
      <c r="L88">
        <f t="shared" si="5"/>
        <v>909651</v>
      </c>
      <c r="O88" t="s">
        <v>734</v>
      </c>
    </row>
    <row r="89" spans="1:15" x14ac:dyDescent="0.25">
      <c r="A89" s="19">
        <v>909658</v>
      </c>
      <c r="B89" s="19" t="s">
        <v>22</v>
      </c>
      <c r="C89" s="19" t="s">
        <v>23</v>
      </c>
      <c r="D89" s="20">
        <v>44600.512548182873</v>
      </c>
      <c r="E89" s="19" t="s">
        <v>8</v>
      </c>
      <c r="F89" s="19">
        <v>4</v>
      </c>
      <c r="G89" s="19">
        <v>0</v>
      </c>
      <c r="H89" s="21">
        <f>INT(Query1[[#This Row],[EntryDateTime]])</f>
        <v>44599</v>
      </c>
      <c r="I89">
        <f t="shared" si="6"/>
        <v>113</v>
      </c>
      <c r="J89">
        <f t="shared" si="7"/>
        <v>32</v>
      </c>
      <c r="K89">
        <f t="shared" si="4"/>
        <v>145</v>
      </c>
      <c r="L89">
        <f t="shared" si="5"/>
        <v>909658</v>
      </c>
      <c r="O89" t="s">
        <v>738</v>
      </c>
    </row>
    <row r="90" spans="1:15" x14ac:dyDescent="0.25">
      <c r="A90" s="3">
        <v>909664</v>
      </c>
      <c r="B90" s="3" t="s">
        <v>140</v>
      </c>
      <c r="C90" s="3" t="s">
        <v>141</v>
      </c>
      <c r="D90" s="22">
        <v>44600.515256099534</v>
      </c>
      <c r="E90" s="3" t="s">
        <v>8</v>
      </c>
      <c r="F90" s="3">
        <v>1</v>
      </c>
      <c r="G90" s="3">
        <v>0</v>
      </c>
      <c r="H90" s="23">
        <f>INT(Query1[[#This Row],[EntryDateTime]])</f>
        <v>44599</v>
      </c>
      <c r="I90">
        <f t="shared" si="6"/>
        <v>114</v>
      </c>
      <c r="J90">
        <f t="shared" si="7"/>
        <v>32</v>
      </c>
      <c r="K90">
        <f t="shared" si="4"/>
        <v>146</v>
      </c>
      <c r="L90">
        <f t="shared" si="5"/>
        <v>909664</v>
      </c>
      <c r="O90" t="s">
        <v>742</v>
      </c>
    </row>
    <row r="91" spans="1:15" x14ac:dyDescent="0.25">
      <c r="A91" s="19">
        <v>909662</v>
      </c>
      <c r="B91" s="19" t="s">
        <v>256</v>
      </c>
      <c r="C91" s="19" t="s">
        <v>257</v>
      </c>
      <c r="D91" s="20">
        <v>44600.515740428244</v>
      </c>
      <c r="E91" s="19" t="s">
        <v>8</v>
      </c>
      <c r="F91" s="19">
        <v>1</v>
      </c>
      <c r="G91" s="19">
        <v>0</v>
      </c>
      <c r="H91" s="21">
        <f>INT(Query1[[#This Row],[EntryDateTime]])</f>
        <v>44599</v>
      </c>
      <c r="I91">
        <f t="shared" si="6"/>
        <v>115</v>
      </c>
      <c r="J91">
        <f t="shared" si="7"/>
        <v>32</v>
      </c>
      <c r="K91">
        <f t="shared" si="4"/>
        <v>147</v>
      </c>
      <c r="L91">
        <f t="shared" si="5"/>
        <v>909662</v>
      </c>
      <c r="O91" t="s">
        <v>715</v>
      </c>
    </row>
    <row r="92" spans="1:15" x14ac:dyDescent="0.25">
      <c r="A92" s="3">
        <v>909666</v>
      </c>
      <c r="B92" s="3" t="s">
        <v>14</v>
      </c>
      <c r="C92" s="3" t="s">
        <v>15</v>
      </c>
      <c r="D92" s="22">
        <v>44600.517899386577</v>
      </c>
      <c r="E92" s="3" t="s">
        <v>8</v>
      </c>
      <c r="F92" s="3">
        <v>1</v>
      </c>
      <c r="G92" s="3">
        <v>0</v>
      </c>
      <c r="H92" s="23">
        <f>INT(Query1[[#This Row],[EntryDateTime]])</f>
        <v>44599</v>
      </c>
      <c r="I92">
        <f t="shared" si="6"/>
        <v>116</v>
      </c>
      <c r="J92">
        <f t="shared" si="7"/>
        <v>32</v>
      </c>
      <c r="K92">
        <f t="shared" si="4"/>
        <v>148</v>
      </c>
      <c r="L92">
        <f t="shared" si="5"/>
        <v>909666</v>
      </c>
      <c r="O92" t="s">
        <v>685</v>
      </c>
    </row>
    <row r="93" spans="1:15" x14ac:dyDescent="0.25">
      <c r="A93" s="19">
        <v>909668</v>
      </c>
      <c r="B93" s="19" t="s">
        <v>64</v>
      </c>
      <c r="C93" s="19" t="s">
        <v>65</v>
      </c>
      <c r="D93" s="20">
        <v>44600.521330555559</v>
      </c>
      <c r="E93" s="19" t="s">
        <v>8</v>
      </c>
      <c r="F93" s="19">
        <v>1</v>
      </c>
      <c r="G93" s="19">
        <v>0</v>
      </c>
      <c r="H93" s="21">
        <f>INT(Query1[[#This Row],[EntryDateTime]])</f>
        <v>44599</v>
      </c>
      <c r="I93">
        <f t="shared" si="6"/>
        <v>117</v>
      </c>
      <c r="J93">
        <f t="shared" si="7"/>
        <v>32</v>
      </c>
      <c r="K93">
        <f t="shared" si="4"/>
        <v>149</v>
      </c>
      <c r="L93">
        <f t="shared" si="5"/>
        <v>909668</v>
      </c>
      <c r="O93" t="s">
        <v>702</v>
      </c>
    </row>
    <row r="94" spans="1:15" x14ac:dyDescent="0.25">
      <c r="A94" s="3">
        <v>909673</v>
      </c>
      <c r="B94" s="3" t="s">
        <v>106</v>
      </c>
      <c r="C94" s="3" t="s">
        <v>253</v>
      </c>
      <c r="D94" s="22">
        <v>44600.524293750001</v>
      </c>
      <c r="E94" s="3" t="s">
        <v>8</v>
      </c>
      <c r="F94" s="3">
        <v>1</v>
      </c>
      <c r="G94" s="3">
        <v>0</v>
      </c>
      <c r="H94" s="23">
        <f>INT(Query1[[#This Row],[EntryDateTime]])</f>
        <v>44599</v>
      </c>
      <c r="I94">
        <f t="shared" si="6"/>
        <v>118</v>
      </c>
      <c r="J94">
        <f t="shared" si="7"/>
        <v>32</v>
      </c>
      <c r="K94">
        <f t="shared" si="4"/>
        <v>150</v>
      </c>
      <c r="L94">
        <f t="shared" si="5"/>
        <v>909673</v>
      </c>
      <c r="O94" t="s">
        <v>743</v>
      </c>
    </row>
    <row r="95" spans="1:15" x14ac:dyDescent="0.25">
      <c r="A95" s="19">
        <v>909677</v>
      </c>
      <c r="B95" s="19" t="s">
        <v>218</v>
      </c>
      <c r="C95" s="19" t="s">
        <v>219</v>
      </c>
      <c r="D95" s="20">
        <v>44600.528620833335</v>
      </c>
      <c r="E95" s="19" t="s">
        <v>8</v>
      </c>
      <c r="F95" s="19">
        <v>1</v>
      </c>
      <c r="G95" s="19">
        <v>0</v>
      </c>
      <c r="H95" s="21">
        <f>INT(Query1[[#This Row],[EntryDateTime]])</f>
        <v>44599</v>
      </c>
      <c r="I95">
        <f t="shared" si="6"/>
        <v>119</v>
      </c>
      <c r="J95">
        <f t="shared" si="7"/>
        <v>32</v>
      </c>
      <c r="K95">
        <f t="shared" si="4"/>
        <v>151</v>
      </c>
      <c r="L95">
        <f t="shared" si="5"/>
        <v>909677</v>
      </c>
      <c r="O95" t="s">
        <v>744</v>
      </c>
    </row>
    <row r="96" spans="1:15" x14ac:dyDescent="0.25">
      <c r="A96" s="3">
        <v>909680</v>
      </c>
      <c r="B96" s="3" t="s">
        <v>152</v>
      </c>
      <c r="C96" s="3" t="s">
        <v>153</v>
      </c>
      <c r="D96" s="22">
        <v>44600.531706018519</v>
      </c>
      <c r="E96" s="3" t="s">
        <v>8</v>
      </c>
      <c r="F96" s="3">
        <v>1</v>
      </c>
      <c r="G96" s="3">
        <v>0</v>
      </c>
      <c r="H96" s="23">
        <f>INT(Query1[[#This Row],[EntryDateTime]])</f>
        <v>44599</v>
      </c>
      <c r="I96">
        <f t="shared" si="6"/>
        <v>120</v>
      </c>
      <c r="J96">
        <f t="shared" si="7"/>
        <v>32</v>
      </c>
      <c r="K96">
        <f t="shared" si="4"/>
        <v>152</v>
      </c>
      <c r="L96">
        <f t="shared" si="5"/>
        <v>909680</v>
      </c>
      <c r="O96" t="s">
        <v>704</v>
      </c>
    </row>
    <row r="97" spans="1:15" x14ac:dyDescent="0.25">
      <c r="A97" s="19">
        <v>909681</v>
      </c>
      <c r="B97" s="19" t="s">
        <v>84</v>
      </c>
      <c r="C97" s="19" t="s">
        <v>85</v>
      </c>
      <c r="D97" s="20">
        <v>44600.532064733794</v>
      </c>
      <c r="E97" s="19" t="s">
        <v>8</v>
      </c>
      <c r="F97" s="19">
        <v>1</v>
      </c>
      <c r="G97" s="19">
        <v>0</v>
      </c>
      <c r="H97" s="21">
        <f>INT(Query1[[#This Row],[EntryDateTime]])</f>
        <v>44599</v>
      </c>
      <c r="I97">
        <f t="shared" si="6"/>
        <v>121</v>
      </c>
      <c r="J97">
        <f t="shared" si="7"/>
        <v>32</v>
      </c>
      <c r="K97">
        <f t="shared" si="4"/>
        <v>153</v>
      </c>
      <c r="L97">
        <f t="shared" si="5"/>
        <v>909681</v>
      </c>
      <c r="O97" t="s">
        <v>745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274"/>
  <sheetViews>
    <sheetView topLeftCell="A100" zoomScale="90" zoomScaleNormal="90" workbookViewId="0">
      <selection activeCell="C111" sqref="C111"/>
    </sheetView>
  </sheetViews>
  <sheetFormatPr defaultRowHeight="15" x14ac:dyDescent="0.25"/>
  <cols>
    <col min="1" max="1" width="12.5703125" bestFit="1" customWidth="1"/>
    <col min="2" max="2" width="48.5703125" bestFit="1" customWidth="1"/>
    <col min="6" max="6" width="12" bestFit="1" customWidth="1"/>
    <col min="7" max="7" width="10.42578125" bestFit="1" customWidth="1"/>
    <col min="13" max="13" width="12" bestFit="1" customWidth="1"/>
    <col min="14" max="14" width="51.42578125" bestFit="1" customWidth="1"/>
    <col min="15" max="15" width="12" bestFit="1" customWidth="1"/>
    <col min="16" max="16" width="48.5703125" bestFit="1" customWidth="1"/>
  </cols>
  <sheetData>
    <row r="1" spans="1:16" x14ac:dyDescent="0.25">
      <c r="A1" t="s">
        <v>312</v>
      </c>
      <c r="B1" t="s">
        <v>2</v>
      </c>
      <c r="C1" t="s">
        <v>313</v>
      </c>
      <c r="D1" t="s">
        <v>314</v>
      </c>
      <c r="E1" t="s">
        <v>315</v>
      </c>
      <c r="F1" t="s">
        <v>628</v>
      </c>
      <c r="G1" t="s">
        <v>629</v>
      </c>
      <c r="M1" s="1">
        <v>506100</v>
      </c>
      <c r="N1" s="1" t="s">
        <v>346</v>
      </c>
      <c r="O1" s="1">
        <v>636602</v>
      </c>
      <c r="P1" t="s">
        <v>347</v>
      </c>
    </row>
    <row r="2" spans="1:16" x14ac:dyDescent="0.25">
      <c r="A2" s="1" t="s">
        <v>316</v>
      </c>
      <c r="B2" t="s">
        <v>318</v>
      </c>
      <c r="C2">
        <v>830070</v>
      </c>
      <c r="F2">
        <f>IF(ISNA(VLOOKUP(A2,$M$1:$O$271,3,0))=TRUE,0,VLOOKUP(A2,$M$1:$O$271,3,0))</f>
        <v>0</v>
      </c>
      <c r="G2" t="str">
        <f>CONCATENATE(C2,"-",D2,"-",E2)</f>
        <v>830070--</v>
      </c>
      <c r="M2" s="1">
        <v>506101</v>
      </c>
      <c r="N2" s="1" t="s">
        <v>348</v>
      </c>
      <c r="O2" s="1">
        <v>633601</v>
      </c>
      <c r="P2" t="s">
        <v>349</v>
      </c>
    </row>
    <row r="3" spans="1:16" x14ac:dyDescent="0.25">
      <c r="A3" s="1" t="s">
        <v>317</v>
      </c>
      <c r="B3" t="s">
        <v>319</v>
      </c>
      <c r="C3">
        <v>830070</v>
      </c>
      <c r="F3">
        <f t="shared" ref="F3:F66" si="0">IF(ISNA(VLOOKUP(A3,$M$1:$O$271,3,0))=TRUE,0,VLOOKUP(A3,$M$1:$O$271,3,0))</f>
        <v>0</v>
      </c>
      <c r="G3" t="str">
        <f t="shared" ref="G3:G66" si="1">CONCATENATE(C3,"-",D3,"-",E3)</f>
        <v>830070--</v>
      </c>
      <c r="M3" s="1">
        <v>551150</v>
      </c>
      <c r="N3" s="1" t="s">
        <v>350</v>
      </c>
      <c r="O3" s="1">
        <v>791150</v>
      </c>
      <c r="P3" t="s">
        <v>351</v>
      </c>
    </row>
    <row r="4" spans="1:16" x14ac:dyDescent="0.25">
      <c r="A4" s="1" t="s">
        <v>200</v>
      </c>
      <c r="B4" t="s">
        <v>201</v>
      </c>
      <c r="C4">
        <v>830070</v>
      </c>
      <c r="F4">
        <f t="shared" si="0"/>
        <v>0</v>
      </c>
      <c r="G4" t="str">
        <f t="shared" si="1"/>
        <v>830070--</v>
      </c>
      <c r="M4" s="1">
        <v>551151</v>
      </c>
      <c r="N4" s="1" t="s">
        <v>352</v>
      </c>
      <c r="O4" s="1">
        <v>791151</v>
      </c>
      <c r="P4" t="s">
        <v>353</v>
      </c>
    </row>
    <row r="5" spans="1:16" x14ac:dyDescent="0.25">
      <c r="A5" s="1" t="s">
        <v>267</v>
      </c>
      <c r="B5" t="s">
        <v>268</v>
      </c>
      <c r="C5">
        <v>830070</v>
      </c>
      <c r="F5">
        <f t="shared" si="0"/>
        <v>0</v>
      </c>
      <c r="G5" t="str">
        <f t="shared" si="1"/>
        <v>830070--</v>
      </c>
      <c r="M5" s="1">
        <v>551168</v>
      </c>
      <c r="N5" s="1" t="s">
        <v>63</v>
      </c>
      <c r="O5" s="1">
        <v>781067</v>
      </c>
      <c r="P5" t="s">
        <v>354</v>
      </c>
    </row>
    <row r="6" spans="1:16" x14ac:dyDescent="0.25">
      <c r="A6" s="1">
        <v>101410</v>
      </c>
      <c r="B6" t="s">
        <v>272</v>
      </c>
      <c r="F6">
        <f t="shared" si="0"/>
        <v>0</v>
      </c>
      <c r="G6" t="str">
        <f t="shared" si="1"/>
        <v>--</v>
      </c>
      <c r="M6" s="1">
        <v>551170</v>
      </c>
      <c r="N6" s="1" t="s">
        <v>127</v>
      </c>
      <c r="O6" s="1">
        <v>781069</v>
      </c>
      <c r="P6" t="s">
        <v>355</v>
      </c>
    </row>
    <row r="7" spans="1:16" x14ac:dyDescent="0.25">
      <c r="A7" s="1" t="s">
        <v>265</v>
      </c>
      <c r="B7" t="s">
        <v>266</v>
      </c>
      <c r="C7">
        <v>830045</v>
      </c>
      <c r="F7">
        <f t="shared" si="0"/>
        <v>0</v>
      </c>
      <c r="G7" t="str">
        <f t="shared" si="1"/>
        <v>830045--</v>
      </c>
      <c r="M7" s="1">
        <v>554150</v>
      </c>
      <c r="N7" s="1" t="s">
        <v>229</v>
      </c>
      <c r="O7" s="1">
        <v>784150</v>
      </c>
      <c r="P7" t="s">
        <v>356</v>
      </c>
    </row>
    <row r="8" spans="1:16" x14ac:dyDescent="0.25">
      <c r="A8" s="1" t="s">
        <v>298</v>
      </c>
      <c r="B8" t="s">
        <v>299</v>
      </c>
      <c r="C8">
        <v>830045</v>
      </c>
      <c r="F8">
        <f t="shared" si="0"/>
        <v>0</v>
      </c>
      <c r="G8" t="str">
        <f t="shared" si="1"/>
        <v>830045--</v>
      </c>
      <c r="M8" s="1">
        <v>554164</v>
      </c>
      <c r="N8" s="1" t="s">
        <v>95</v>
      </c>
      <c r="O8" s="1">
        <v>781066</v>
      </c>
      <c r="P8" t="s">
        <v>357</v>
      </c>
    </row>
    <row r="9" spans="1:16" x14ac:dyDescent="0.25">
      <c r="A9" s="1" t="s">
        <v>300</v>
      </c>
      <c r="B9" t="s">
        <v>301</v>
      </c>
      <c r="C9">
        <v>830045</v>
      </c>
      <c r="F9">
        <f t="shared" si="0"/>
        <v>0</v>
      </c>
      <c r="G9" t="str">
        <f t="shared" si="1"/>
        <v>830045--</v>
      </c>
      <c r="M9" s="1">
        <v>554168</v>
      </c>
      <c r="N9" s="1" t="s">
        <v>13</v>
      </c>
      <c r="O9" s="1">
        <v>785167</v>
      </c>
      <c r="P9" t="s">
        <v>358</v>
      </c>
    </row>
    <row r="10" spans="1:16" x14ac:dyDescent="0.25">
      <c r="A10" s="1" t="s">
        <v>302</v>
      </c>
      <c r="B10" t="s">
        <v>303</v>
      </c>
      <c r="C10">
        <v>830045</v>
      </c>
      <c r="F10">
        <f t="shared" si="0"/>
        <v>0</v>
      </c>
      <c r="G10" t="str">
        <f t="shared" si="1"/>
        <v>830045--</v>
      </c>
      <c r="M10" s="1">
        <v>554170</v>
      </c>
      <c r="N10" s="1" t="s">
        <v>159</v>
      </c>
      <c r="O10" s="1">
        <v>785169</v>
      </c>
      <c r="P10" t="s">
        <v>359</v>
      </c>
    </row>
    <row r="11" spans="1:16" x14ac:dyDescent="0.25">
      <c r="A11" s="1" t="s">
        <v>9</v>
      </c>
      <c r="B11" t="s">
        <v>10</v>
      </c>
      <c r="C11">
        <v>830069</v>
      </c>
      <c r="F11">
        <f t="shared" si="0"/>
        <v>0</v>
      </c>
      <c r="G11" t="str">
        <f t="shared" si="1"/>
        <v>830069--</v>
      </c>
      <c r="M11" s="1">
        <v>561010</v>
      </c>
      <c r="N11" s="1" t="s">
        <v>360</v>
      </c>
      <c r="O11" s="1">
        <v>784159</v>
      </c>
      <c r="P11" t="s">
        <v>361</v>
      </c>
    </row>
    <row r="12" spans="1:16" x14ac:dyDescent="0.25">
      <c r="A12" s="1" t="s">
        <v>188</v>
      </c>
      <c r="B12" t="s">
        <v>189</v>
      </c>
      <c r="C12">
        <v>830069</v>
      </c>
      <c r="F12">
        <f t="shared" si="0"/>
        <v>0</v>
      </c>
      <c r="G12" t="str">
        <f t="shared" si="1"/>
        <v>830069--</v>
      </c>
      <c r="M12" s="1">
        <v>561011</v>
      </c>
      <c r="N12" s="1" t="s">
        <v>362</v>
      </c>
      <c r="O12" s="1">
        <v>784161</v>
      </c>
      <c r="P12" t="s">
        <v>363</v>
      </c>
    </row>
    <row r="13" spans="1:16" x14ac:dyDescent="0.25">
      <c r="A13" s="1" t="s">
        <v>263</v>
      </c>
      <c r="B13" t="s">
        <v>264</v>
      </c>
      <c r="C13">
        <v>830069</v>
      </c>
      <c r="F13">
        <f t="shared" si="0"/>
        <v>0</v>
      </c>
      <c r="G13" t="str">
        <f t="shared" si="1"/>
        <v>830069--</v>
      </c>
      <c r="M13" s="1">
        <v>561012</v>
      </c>
      <c r="N13" s="1" t="s">
        <v>364</v>
      </c>
      <c r="O13" s="1">
        <v>784165</v>
      </c>
      <c r="P13" t="s">
        <v>365</v>
      </c>
    </row>
    <row r="14" spans="1:16" x14ac:dyDescent="0.25">
      <c r="A14" s="1" t="s">
        <v>118</v>
      </c>
      <c r="B14" t="s">
        <v>119</v>
      </c>
      <c r="C14">
        <v>830069</v>
      </c>
      <c r="F14">
        <f t="shared" si="0"/>
        <v>0</v>
      </c>
      <c r="G14" t="str">
        <f t="shared" si="1"/>
        <v>830069--</v>
      </c>
      <c r="M14" s="1">
        <v>561013</v>
      </c>
      <c r="N14" s="1" t="s">
        <v>366</v>
      </c>
      <c r="O14" s="1">
        <v>784171</v>
      </c>
      <c r="P14" t="s">
        <v>367</v>
      </c>
    </row>
    <row r="15" spans="1:16" x14ac:dyDescent="0.25">
      <c r="A15" s="1" t="s">
        <v>289</v>
      </c>
      <c r="B15" t="s">
        <v>290</v>
      </c>
      <c r="C15">
        <v>830069</v>
      </c>
      <c r="F15">
        <f t="shared" si="0"/>
        <v>0</v>
      </c>
      <c r="G15" t="str">
        <f t="shared" si="1"/>
        <v>830069--</v>
      </c>
      <c r="M15" s="1">
        <v>561014</v>
      </c>
      <c r="N15" s="1" t="s">
        <v>368</v>
      </c>
      <c r="O15" s="1">
        <v>784171</v>
      </c>
      <c r="P15" t="s">
        <v>367</v>
      </c>
    </row>
    <row r="16" spans="1:16" x14ac:dyDescent="0.25">
      <c r="A16" s="1" t="s">
        <v>305</v>
      </c>
      <c r="B16" t="s">
        <v>306</v>
      </c>
      <c r="C16">
        <v>830069</v>
      </c>
      <c r="F16">
        <f t="shared" si="0"/>
        <v>0</v>
      </c>
      <c r="G16" t="str">
        <f t="shared" si="1"/>
        <v>830069--</v>
      </c>
      <c r="M16" s="1">
        <v>561054</v>
      </c>
      <c r="N16" s="1" t="s">
        <v>187</v>
      </c>
      <c r="O16" s="1">
        <v>781054</v>
      </c>
      <c r="P16" t="s">
        <v>369</v>
      </c>
    </row>
    <row r="17" spans="1:16" x14ac:dyDescent="0.25">
      <c r="A17" s="1">
        <v>551168</v>
      </c>
      <c r="B17" t="s">
        <v>63</v>
      </c>
      <c r="C17">
        <v>830079</v>
      </c>
      <c r="D17">
        <v>830046</v>
      </c>
      <c r="F17">
        <f t="shared" si="0"/>
        <v>781067</v>
      </c>
      <c r="G17" t="str">
        <f t="shared" si="1"/>
        <v>830079-830046-</v>
      </c>
      <c r="M17" s="1">
        <v>561055</v>
      </c>
      <c r="N17" s="1" t="s">
        <v>280</v>
      </c>
      <c r="O17" s="1">
        <v>781159</v>
      </c>
      <c r="P17" t="s">
        <v>370</v>
      </c>
    </row>
    <row r="18" spans="1:16" x14ac:dyDescent="0.25">
      <c r="A18" s="1">
        <v>551170</v>
      </c>
      <c r="B18" t="s">
        <v>127</v>
      </c>
      <c r="C18">
        <v>830080</v>
      </c>
      <c r="F18">
        <f t="shared" si="0"/>
        <v>781069</v>
      </c>
      <c r="G18" t="str">
        <f t="shared" si="1"/>
        <v>830080--</v>
      </c>
      <c r="M18" s="1">
        <v>561056</v>
      </c>
      <c r="N18" s="1" t="s">
        <v>65</v>
      </c>
      <c r="O18" s="1">
        <v>781160</v>
      </c>
      <c r="P18" t="s">
        <v>371</v>
      </c>
    </row>
    <row r="19" spans="1:16" x14ac:dyDescent="0.25">
      <c r="A19" s="1">
        <v>554150</v>
      </c>
      <c r="B19" t="s">
        <v>229</v>
      </c>
      <c r="C19">
        <v>830044</v>
      </c>
      <c r="F19">
        <f t="shared" si="0"/>
        <v>784150</v>
      </c>
      <c r="G19" t="str">
        <f t="shared" si="1"/>
        <v>830044--</v>
      </c>
      <c r="M19" s="1">
        <v>561059</v>
      </c>
      <c r="N19" s="1" t="s">
        <v>241</v>
      </c>
      <c r="O19" s="1">
        <v>781059</v>
      </c>
      <c r="P19" t="s">
        <v>372</v>
      </c>
    </row>
    <row r="20" spans="1:16" x14ac:dyDescent="0.25">
      <c r="A20" s="1">
        <v>554164</v>
      </c>
      <c r="B20" t="s">
        <v>95</v>
      </c>
      <c r="C20">
        <v>830076</v>
      </c>
      <c r="F20">
        <f t="shared" si="0"/>
        <v>781066</v>
      </c>
      <c r="G20" t="str">
        <f t="shared" si="1"/>
        <v>830076--</v>
      </c>
      <c r="M20" s="1">
        <v>561060</v>
      </c>
      <c r="N20" s="1" t="s">
        <v>207</v>
      </c>
      <c r="O20" s="1">
        <v>781062</v>
      </c>
      <c r="P20" t="s">
        <v>373</v>
      </c>
    </row>
    <row r="21" spans="1:16" x14ac:dyDescent="0.25">
      <c r="A21" s="1">
        <v>554168</v>
      </c>
      <c r="B21" t="s">
        <v>13</v>
      </c>
      <c r="C21">
        <v>830079</v>
      </c>
      <c r="D21">
        <v>830046</v>
      </c>
      <c r="F21">
        <f t="shared" si="0"/>
        <v>785167</v>
      </c>
      <c r="G21" t="str">
        <f t="shared" si="1"/>
        <v>830079-830046-</v>
      </c>
      <c r="M21" s="1">
        <v>561061</v>
      </c>
      <c r="N21" s="1" t="s">
        <v>260</v>
      </c>
      <c r="O21" s="1">
        <v>784068</v>
      </c>
      <c r="P21" t="s">
        <v>374</v>
      </c>
    </row>
    <row r="22" spans="1:16" x14ac:dyDescent="0.25">
      <c r="A22" s="1">
        <v>554170</v>
      </c>
      <c r="B22" t="s">
        <v>159</v>
      </c>
      <c r="C22">
        <v>830080</v>
      </c>
      <c r="D22">
        <v>830046</v>
      </c>
      <c r="F22">
        <f t="shared" si="0"/>
        <v>785169</v>
      </c>
      <c r="G22" t="str">
        <f t="shared" si="1"/>
        <v>830080-830046-</v>
      </c>
      <c r="M22" s="1">
        <v>561062</v>
      </c>
      <c r="N22" s="1" t="s">
        <v>133</v>
      </c>
      <c r="O22" s="1">
        <v>784061</v>
      </c>
      <c r="P22" t="s">
        <v>375</v>
      </c>
    </row>
    <row r="23" spans="1:16" x14ac:dyDescent="0.25">
      <c r="A23" s="1">
        <v>561054</v>
      </c>
      <c r="B23" t="s">
        <v>187</v>
      </c>
      <c r="C23">
        <v>830125</v>
      </c>
      <c r="D23">
        <v>830126</v>
      </c>
      <c r="F23">
        <f t="shared" si="0"/>
        <v>781054</v>
      </c>
      <c r="G23" t="str">
        <f t="shared" si="1"/>
        <v>830125-830126-</v>
      </c>
      <c r="M23" s="1">
        <v>561063</v>
      </c>
      <c r="N23" s="1" t="s">
        <v>191</v>
      </c>
      <c r="O23" s="1">
        <v>784063</v>
      </c>
      <c r="P23" t="s">
        <v>376</v>
      </c>
    </row>
    <row r="24" spans="1:16" x14ac:dyDescent="0.25">
      <c r="A24" s="1">
        <v>561055</v>
      </c>
      <c r="B24" t="s">
        <v>280</v>
      </c>
      <c r="C24">
        <v>830067</v>
      </c>
      <c r="F24">
        <f t="shared" si="0"/>
        <v>781159</v>
      </c>
      <c r="G24" t="str">
        <f t="shared" si="1"/>
        <v>830067--</v>
      </c>
      <c r="M24" s="1">
        <v>561064</v>
      </c>
      <c r="N24" s="1" t="s">
        <v>135</v>
      </c>
      <c r="O24" s="1">
        <v>784163</v>
      </c>
      <c r="P24" t="s">
        <v>377</v>
      </c>
    </row>
    <row r="25" spans="1:16" x14ac:dyDescent="0.25">
      <c r="A25" s="1">
        <v>561056</v>
      </c>
      <c r="B25" t="s">
        <v>65</v>
      </c>
      <c r="C25">
        <v>830067</v>
      </c>
      <c r="F25">
        <f t="shared" si="0"/>
        <v>781160</v>
      </c>
      <c r="G25" t="str">
        <f t="shared" si="1"/>
        <v>830067--</v>
      </c>
      <c r="M25" s="1">
        <v>561065</v>
      </c>
      <c r="N25" s="1" t="s">
        <v>117</v>
      </c>
      <c r="O25" s="1">
        <v>784159</v>
      </c>
      <c r="P25" t="s">
        <v>361</v>
      </c>
    </row>
    <row r="26" spans="1:16" x14ac:dyDescent="0.25">
      <c r="A26" s="1">
        <v>561059</v>
      </c>
      <c r="B26" t="s">
        <v>241</v>
      </c>
      <c r="C26">
        <v>830032</v>
      </c>
      <c r="F26">
        <f t="shared" si="0"/>
        <v>781059</v>
      </c>
      <c r="G26" t="str">
        <f t="shared" si="1"/>
        <v>830032--</v>
      </c>
      <c r="M26" s="1">
        <v>561066</v>
      </c>
      <c r="N26" s="1" t="s">
        <v>67</v>
      </c>
      <c r="O26" s="1">
        <v>784161</v>
      </c>
      <c r="P26" t="s">
        <v>363</v>
      </c>
    </row>
    <row r="27" spans="1:16" x14ac:dyDescent="0.25">
      <c r="A27" s="1">
        <v>561060</v>
      </c>
      <c r="B27" t="s">
        <v>207</v>
      </c>
      <c r="C27">
        <v>830032</v>
      </c>
      <c r="F27">
        <f t="shared" si="0"/>
        <v>781062</v>
      </c>
      <c r="G27" t="str">
        <f t="shared" si="1"/>
        <v>830032--</v>
      </c>
      <c r="M27" s="1">
        <v>561067</v>
      </c>
      <c r="N27" s="1" t="s">
        <v>153</v>
      </c>
      <c r="O27" s="1">
        <v>784157</v>
      </c>
      <c r="P27" t="s">
        <v>378</v>
      </c>
    </row>
    <row r="28" spans="1:16" x14ac:dyDescent="0.25">
      <c r="A28" s="1">
        <v>561061</v>
      </c>
      <c r="B28" t="s">
        <v>260</v>
      </c>
      <c r="C28">
        <v>830025</v>
      </c>
      <c r="F28">
        <f t="shared" si="0"/>
        <v>784068</v>
      </c>
      <c r="G28" t="str">
        <f t="shared" si="1"/>
        <v>830025--</v>
      </c>
      <c r="M28" s="1">
        <v>561068</v>
      </c>
      <c r="N28" s="1" t="s">
        <v>61</v>
      </c>
      <c r="O28" s="1">
        <v>784165</v>
      </c>
      <c r="P28" t="s">
        <v>365</v>
      </c>
    </row>
    <row r="29" spans="1:16" x14ac:dyDescent="0.25">
      <c r="A29" s="1">
        <v>561062</v>
      </c>
      <c r="B29" t="s">
        <v>133</v>
      </c>
      <c r="C29">
        <v>830005</v>
      </c>
      <c r="F29">
        <f t="shared" si="0"/>
        <v>784061</v>
      </c>
      <c r="G29" t="str">
        <f t="shared" si="1"/>
        <v>830005--</v>
      </c>
      <c r="M29" s="1">
        <v>561069</v>
      </c>
      <c r="N29" s="1" t="s">
        <v>278</v>
      </c>
      <c r="O29" s="1">
        <v>784178</v>
      </c>
      <c r="P29" t="s">
        <v>379</v>
      </c>
    </row>
    <row r="30" spans="1:16" x14ac:dyDescent="0.25">
      <c r="A30" s="1">
        <v>561063</v>
      </c>
      <c r="B30" t="s">
        <v>191</v>
      </c>
      <c r="C30">
        <v>830008</v>
      </c>
      <c r="F30">
        <f t="shared" si="0"/>
        <v>784063</v>
      </c>
      <c r="G30" t="str">
        <f t="shared" si="1"/>
        <v>830008--</v>
      </c>
      <c r="M30" s="1">
        <v>561070</v>
      </c>
      <c r="N30" s="1" t="s">
        <v>219</v>
      </c>
      <c r="O30" s="1">
        <v>784069</v>
      </c>
      <c r="P30" t="s">
        <v>380</v>
      </c>
    </row>
    <row r="31" spans="1:16" x14ac:dyDescent="0.25">
      <c r="A31" s="1">
        <v>561064</v>
      </c>
      <c r="B31" t="s">
        <v>135</v>
      </c>
      <c r="C31">
        <v>830007</v>
      </c>
      <c r="F31">
        <f t="shared" si="0"/>
        <v>784163</v>
      </c>
      <c r="G31" t="str">
        <f t="shared" si="1"/>
        <v>830007--</v>
      </c>
      <c r="M31" s="1">
        <v>561071</v>
      </c>
      <c r="N31" s="1" t="s">
        <v>69</v>
      </c>
      <c r="O31" s="1">
        <v>784171</v>
      </c>
      <c r="P31" t="s">
        <v>367</v>
      </c>
    </row>
    <row r="32" spans="1:16" x14ac:dyDescent="0.25">
      <c r="A32" s="1">
        <v>561065</v>
      </c>
      <c r="B32" t="s">
        <v>117</v>
      </c>
      <c r="C32">
        <v>830058</v>
      </c>
      <c r="F32">
        <f t="shared" si="0"/>
        <v>784159</v>
      </c>
      <c r="G32" t="str">
        <f t="shared" si="1"/>
        <v>830058--</v>
      </c>
      <c r="M32" s="1">
        <v>561072</v>
      </c>
      <c r="N32" s="1" t="s">
        <v>51</v>
      </c>
      <c r="O32" s="1">
        <v>784176</v>
      </c>
      <c r="P32" t="s">
        <v>381</v>
      </c>
    </row>
    <row r="33" spans="1:16" x14ac:dyDescent="0.25">
      <c r="A33" s="1">
        <v>561066</v>
      </c>
      <c r="B33" t="s">
        <v>67</v>
      </c>
      <c r="C33">
        <v>830060</v>
      </c>
      <c r="F33">
        <f t="shared" si="0"/>
        <v>784161</v>
      </c>
      <c r="G33" t="str">
        <f t="shared" si="1"/>
        <v>830060--</v>
      </c>
      <c r="M33" s="1">
        <v>561076</v>
      </c>
      <c r="N33" s="1" t="s">
        <v>237</v>
      </c>
      <c r="O33" s="1">
        <v>781176</v>
      </c>
      <c r="P33" t="s">
        <v>382</v>
      </c>
    </row>
    <row r="34" spans="1:16" x14ac:dyDescent="0.25">
      <c r="A34" s="1">
        <v>561067</v>
      </c>
      <c r="B34" t="s">
        <v>153</v>
      </c>
      <c r="C34">
        <v>830034</v>
      </c>
      <c r="F34">
        <f t="shared" si="0"/>
        <v>784157</v>
      </c>
      <c r="G34" t="str">
        <f t="shared" si="1"/>
        <v>830034--</v>
      </c>
      <c r="M34" s="1">
        <v>561081</v>
      </c>
      <c r="N34" s="1" t="s">
        <v>270</v>
      </c>
      <c r="O34" s="1">
        <v>784171</v>
      </c>
      <c r="P34" t="s">
        <v>367</v>
      </c>
    </row>
    <row r="35" spans="1:16" x14ac:dyDescent="0.25">
      <c r="A35" s="1">
        <v>561068</v>
      </c>
      <c r="B35" t="s">
        <v>61</v>
      </c>
      <c r="C35">
        <v>830062</v>
      </c>
      <c r="F35">
        <f t="shared" si="0"/>
        <v>784165</v>
      </c>
      <c r="G35" t="str">
        <f t="shared" si="1"/>
        <v>830062--</v>
      </c>
      <c r="M35" s="1">
        <v>561082</v>
      </c>
      <c r="N35" s="1" t="s">
        <v>131</v>
      </c>
      <c r="O35" s="1">
        <v>781082</v>
      </c>
      <c r="P35" t="s">
        <v>383</v>
      </c>
    </row>
    <row r="36" spans="1:16" x14ac:dyDescent="0.25">
      <c r="A36" s="1">
        <v>561069</v>
      </c>
      <c r="B36" t="s">
        <v>278</v>
      </c>
      <c r="C36">
        <v>830047</v>
      </c>
      <c r="F36">
        <f t="shared" si="0"/>
        <v>784178</v>
      </c>
      <c r="G36" t="str">
        <f t="shared" si="1"/>
        <v>830047--</v>
      </c>
      <c r="M36" s="1">
        <v>561083</v>
      </c>
      <c r="N36" s="1" t="s">
        <v>276</v>
      </c>
      <c r="O36" s="1">
        <v>781083</v>
      </c>
      <c r="P36" t="s">
        <v>384</v>
      </c>
    </row>
    <row r="37" spans="1:16" x14ac:dyDescent="0.25">
      <c r="A37" s="1">
        <v>561070</v>
      </c>
      <c r="B37" t="s">
        <v>219</v>
      </c>
      <c r="C37">
        <v>830022</v>
      </c>
      <c r="F37">
        <f t="shared" si="0"/>
        <v>784069</v>
      </c>
      <c r="G37" t="str">
        <f t="shared" si="1"/>
        <v>830022--</v>
      </c>
      <c r="M37" s="1">
        <v>561084</v>
      </c>
      <c r="N37" s="1" t="s">
        <v>225</v>
      </c>
      <c r="O37" s="1">
        <v>781084</v>
      </c>
      <c r="P37" t="s">
        <v>385</v>
      </c>
    </row>
    <row r="38" spans="1:16" x14ac:dyDescent="0.25">
      <c r="A38" s="1">
        <v>561071</v>
      </c>
      <c r="B38" t="s">
        <v>69</v>
      </c>
      <c r="C38">
        <v>830010</v>
      </c>
      <c r="F38">
        <f t="shared" si="0"/>
        <v>784171</v>
      </c>
      <c r="G38" t="str">
        <f t="shared" si="1"/>
        <v>830010--</v>
      </c>
      <c r="M38" s="1">
        <v>561150</v>
      </c>
      <c r="N38" s="1" t="s">
        <v>157</v>
      </c>
      <c r="O38" s="1">
        <v>781182</v>
      </c>
      <c r="P38" t="s">
        <v>386</v>
      </c>
    </row>
    <row r="39" spans="1:16" x14ac:dyDescent="0.25">
      <c r="A39" s="1">
        <v>561072</v>
      </c>
      <c r="B39" t="s">
        <v>51</v>
      </c>
      <c r="C39">
        <v>830043</v>
      </c>
      <c r="F39">
        <f t="shared" si="0"/>
        <v>784176</v>
      </c>
      <c r="G39" t="str">
        <f t="shared" si="1"/>
        <v>830043--</v>
      </c>
      <c r="M39" s="1">
        <v>561163</v>
      </c>
      <c r="N39" s="1" t="s">
        <v>129</v>
      </c>
      <c r="O39" s="1">
        <v>781063</v>
      </c>
      <c r="P39" t="s">
        <v>387</v>
      </c>
    </row>
    <row r="40" spans="1:16" x14ac:dyDescent="0.25">
      <c r="A40" s="1">
        <v>561076</v>
      </c>
      <c r="B40" t="s">
        <v>237</v>
      </c>
      <c r="C40">
        <v>830026</v>
      </c>
      <c r="F40">
        <f t="shared" si="0"/>
        <v>781176</v>
      </c>
      <c r="G40" t="str">
        <f t="shared" si="1"/>
        <v>830026--</v>
      </c>
      <c r="M40" s="1">
        <v>561164</v>
      </c>
      <c r="N40" s="1" t="s">
        <v>101</v>
      </c>
      <c r="O40" s="1">
        <v>784065</v>
      </c>
      <c r="P40" t="s">
        <v>388</v>
      </c>
    </row>
    <row r="41" spans="1:16" x14ac:dyDescent="0.25">
      <c r="A41" s="1">
        <v>561081</v>
      </c>
      <c r="B41" t="s">
        <v>270</v>
      </c>
      <c r="C41">
        <v>830010</v>
      </c>
      <c r="F41">
        <f t="shared" si="0"/>
        <v>784171</v>
      </c>
      <c r="G41" t="str">
        <f t="shared" si="1"/>
        <v>830010--</v>
      </c>
      <c r="M41" s="1">
        <v>561165</v>
      </c>
      <c r="N41" s="1" t="s">
        <v>223</v>
      </c>
      <c r="O41" s="1">
        <v>781065</v>
      </c>
      <c r="P41" t="s">
        <v>389</v>
      </c>
    </row>
    <row r="42" spans="1:16" x14ac:dyDescent="0.25">
      <c r="A42" s="1">
        <v>561082</v>
      </c>
      <c r="B42" t="s">
        <v>131</v>
      </c>
      <c r="C42">
        <v>830123</v>
      </c>
      <c r="F42">
        <f t="shared" si="0"/>
        <v>781082</v>
      </c>
      <c r="G42" t="str">
        <f t="shared" si="1"/>
        <v>830123--</v>
      </c>
      <c r="M42" s="1">
        <v>561166</v>
      </c>
      <c r="N42" s="1" t="s">
        <v>87</v>
      </c>
      <c r="O42" s="1">
        <v>784066</v>
      </c>
      <c r="P42" t="s">
        <v>390</v>
      </c>
    </row>
    <row r="43" spans="1:16" x14ac:dyDescent="0.25">
      <c r="A43" s="1">
        <v>561083</v>
      </c>
      <c r="B43" t="s">
        <v>276</v>
      </c>
      <c r="C43">
        <v>830124</v>
      </c>
      <c r="F43">
        <f t="shared" si="0"/>
        <v>781083</v>
      </c>
      <c r="G43" t="str">
        <f t="shared" si="1"/>
        <v>830124--</v>
      </c>
      <c r="M43" s="1">
        <v>561168</v>
      </c>
      <c r="N43" s="1" t="s">
        <v>252</v>
      </c>
      <c r="O43" s="1">
        <v>781179</v>
      </c>
      <c r="P43" t="s">
        <v>391</v>
      </c>
    </row>
    <row r="44" spans="1:16" x14ac:dyDescent="0.25">
      <c r="A44" s="1">
        <v>561084</v>
      </c>
      <c r="B44" t="s">
        <v>225</v>
      </c>
      <c r="C44">
        <v>830124</v>
      </c>
      <c r="F44">
        <f t="shared" si="0"/>
        <v>781084</v>
      </c>
      <c r="G44" t="str">
        <f t="shared" si="1"/>
        <v>830124--</v>
      </c>
      <c r="M44" s="1">
        <v>561169</v>
      </c>
      <c r="N44" s="1" t="s">
        <v>392</v>
      </c>
      <c r="O44" s="1">
        <v>781169</v>
      </c>
      <c r="P44" t="s">
        <v>393</v>
      </c>
    </row>
    <row r="45" spans="1:16" x14ac:dyDescent="0.25">
      <c r="A45" s="1">
        <v>561150</v>
      </c>
      <c r="B45" t="s">
        <v>157</v>
      </c>
      <c r="C45">
        <v>830019</v>
      </c>
      <c r="F45">
        <f t="shared" si="0"/>
        <v>781182</v>
      </c>
      <c r="G45" t="str">
        <f t="shared" si="1"/>
        <v>830019--</v>
      </c>
      <c r="M45" s="1">
        <v>561173</v>
      </c>
      <c r="N45" s="1" t="s">
        <v>71</v>
      </c>
      <c r="O45" s="1">
        <v>781178</v>
      </c>
      <c r="P45" t="s">
        <v>394</v>
      </c>
    </row>
    <row r="46" spans="1:16" x14ac:dyDescent="0.25">
      <c r="A46" s="1">
        <v>561163</v>
      </c>
      <c r="B46" t="s">
        <v>129</v>
      </c>
      <c r="C46">
        <v>830036</v>
      </c>
      <c r="D46">
        <v>830039</v>
      </c>
      <c r="F46">
        <f t="shared" si="0"/>
        <v>781063</v>
      </c>
      <c r="G46" t="str">
        <f t="shared" si="1"/>
        <v>830036-830039-</v>
      </c>
      <c r="M46" s="1" t="s">
        <v>244</v>
      </c>
      <c r="N46" s="1" t="s">
        <v>245</v>
      </c>
      <c r="O46" s="1" t="s">
        <v>395</v>
      </c>
      <c r="P46" t="s">
        <v>396</v>
      </c>
    </row>
    <row r="47" spans="1:16" x14ac:dyDescent="0.25">
      <c r="A47" s="1">
        <v>561164</v>
      </c>
      <c r="B47" t="s">
        <v>101</v>
      </c>
      <c r="C47">
        <v>830096</v>
      </c>
      <c r="F47">
        <f t="shared" si="0"/>
        <v>784065</v>
      </c>
      <c r="G47" t="str">
        <f t="shared" si="1"/>
        <v>830096--</v>
      </c>
      <c r="M47" s="1">
        <v>561180</v>
      </c>
      <c r="N47" s="1" t="s">
        <v>205</v>
      </c>
      <c r="O47" s="1">
        <v>781173</v>
      </c>
      <c r="P47" t="s">
        <v>397</v>
      </c>
    </row>
    <row r="48" spans="1:16" x14ac:dyDescent="0.25">
      <c r="A48" s="1">
        <v>561165</v>
      </c>
      <c r="B48" t="s">
        <v>223</v>
      </c>
      <c r="C48">
        <v>830093</v>
      </c>
      <c r="F48">
        <f t="shared" si="0"/>
        <v>781065</v>
      </c>
      <c r="G48" t="str">
        <f t="shared" si="1"/>
        <v>830093--</v>
      </c>
      <c r="M48" s="1">
        <v>561190</v>
      </c>
      <c r="N48" s="1" t="s">
        <v>53</v>
      </c>
      <c r="O48" s="1">
        <v>781190</v>
      </c>
      <c r="P48" t="s">
        <v>398</v>
      </c>
    </row>
    <row r="49" spans="1:16" x14ac:dyDescent="0.25">
      <c r="A49" s="1">
        <v>561166</v>
      </c>
      <c r="B49" t="s">
        <v>87</v>
      </c>
      <c r="C49">
        <v>830048</v>
      </c>
      <c r="F49">
        <f t="shared" si="0"/>
        <v>784066</v>
      </c>
      <c r="G49" t="str">
        <f t="shared" si="1"/>
        <v>830048--</v>
      </c>
      <c r="M49" s="1">
        <v>561191</v>
      </c>
      <c r="N49" s="1" t="s">
        <v>103</v>
      </c>
      <c r="O49" s="1">
        <v>781191</v>
      </c>
      <c r="P49" t="s">
        <v>399</v>
      </c>
    </row>
    <row r="50" spans="1:16" x14ac:dyDescent="0.25">
      <c r="A50" s="1">
        <v>561168</v>
      </c>
      <c r="B50" t="s">
        <v>252</v>
      </c>
      <c r="C50">
        <v>830020</v>
      </c>
      <c r="F50">
        <f t="shared" si="0"/>
        <v>781179</v>
      </c>
      <c r="G50" t="str">
        <f t="shared" si="1"/>
        <v>830020--</v>
      </c>
      <c r="M50" s="1" t="s">
        <v>14</v>
      </c>
      <c r="N50" s="1" t="s">
        <v>15</v>
      </c>
      <c r="O50" s="1" t="s">
        <v>400</v>
      </c>
      <c r="P50" t="s">
        <v>401</v>
      </c>
    </row>
    <row r="51" spans="1:16" x14ac:dyDescent="0.25">
      <c r="A51" s="1">
        <v>561173</v>
      </c>
      <c r="B51" t="s">
        <v>71</v>
      </c>
      <c r="C51">
        <v>830050</v>
      </c>
      <c r="F51">
        <f t="shared" si="0"/>
        <v>781178</v>
      </c>
      <c r="G51" t="str">
        <f t="shared" si="1"/>
        <v>830050--</v>
      </c>
      <c r="M51" s="1" t="s">
        <v>30</v>
      </c>
      <c r="N51" s="1" t="s">
        <v>31</v>
      </c>
      <c r="O51" s="1" t="s">
        <v>402</v>
      </c>
      <c r="P51" t="s">
        <v>403</v>
      </c>
    </row>
    <row r="52" spans="1:16" x14ac:dyDescent="0.25">
      <c r="A52" s="1" t="s">
        <v>244</v>
      </c>
      <c r="B52" t="s">
        <v>245</v>
      </c>
      <c r="C52">
        <v>830100</v>
      </c>
      <c r="F52" t="str">
        <f t="shared" si="0"/>
        <v>781174-PCN</v>
      </c>
      <c r="G52" t="str">
        <f t="shared" si="1"/>
        <v>830100--</v>
      </c>
      <c r="M52" s="1">
        <v>564010</v>
      </c>
      <c r="N52" s="1" t="s">
        <v>404</v>
      </c>
      <c r="O52" s="1">
        <v>784160</v>
      </c>
      <c r="P52" t="s">
        <v>405</v>
      </c>
    </row>
    <row r="53" spans="1:16" x14ac:dyDescent="0.25">
      <c r="A53" s="1">
        <v>561180</v>
      </c>
      <c r="B53" t="s">
        <v>205</v>
      </c>
      <c r="C53">
        <v>830108</v>
      </c>
      <c r="F53">
        <f t="shared" si="0"/>
        <v>781173</v>
      </c>
      <c r="G53" t="str">
        <f t="shared" si="1"/>
        <v>830108--</v>
      </c>
      <c r="M53" s="1">
        <v>564011</v>
      </c>
      <c r="N53" s="1" t="s">
        <v>406</v>
      </c>
      <c r="O53" s="1">
        <v>784175</v>
      </c>
      <c r="P53" t="s">
        <v>407</v>
      </c>
    </row>
    <row r="54" spans="1:16" x14ac:dyDescent="0.25">
      <c r="A54" s="1">
        <v>561190</v>
      </c>
      <c r="B54" t="s">
        <v>53</v>
      </c>
      <c r="C54">
        <v>830017</v>
      </c>
      <c r="D54">
        <v>830119</v>
      </c>
      <c r="E54">
        <v>830120</v>
      </c>
      <c r="F54">
        <f t="shared" si="0"/>
        <v>781190</v>
      </c>
      <c r="G54" t="str">
        <f t="shared" si="1"/>
        <v>830017-830119-830120</v>
      </c>
      <c r="M54" s="1">
        <v>564012</v>
      </c>
      <c r="N54" s="1" t="s">
        <v>408</v>
      </c>
      <c r="O54" s="1">
        <v>784166</v>
      </c>
      <c r="P54" t="s">
        <v>409</v>
      </c>
    </row>
    <row r="55" spans="1:16" x14ac:dyDescent="0.25">
      <c r="A55" s="1">
        <v>561191</v>
      </c>
      <c r="B55" t="s">
        <v>103</v>
      </c>
      <c r="C55">
        <v>830012</v>
      </c>
      <c r="F55">
        <f t="shared" si="0"/>
        <v>781191</v>
      </c>
      <c r="G55" t="str">
        <f t="shared" si="1"/>
        <v>830012--</v>
      </c>
      <c r="M55" s="1">
        <v>564013</v>
      </c>
      <c r="N55" s="1" t="s">
        <v>410</v>
      </c>
      <c r="O55" s="1">
        <v>784172</v>
      </c>
      <c r="P55" t="s">
        <v>411</v>
      </c>
    </row>
    <row r="56" spans="1:16" x14ac:dyDescent="0.25">
      <c r="A56" s="1" t="s">
        <v>14</v>
      </c>
      <c r="B56" t="s">
        <v>15</v>
      </c>
      <c r="C56">
        <v>830054</v>
      </c>
      <c r="F56" t="str">
        <f t="shared" si="0"/>
        <v>78255-PCN</v>
      </c>
      <c r="G56" t="str">
        <f t="shared" si="1"/>
        <v>830054--</v>
      </c>
      <c r="M56" s="1">
        <v>564014</v>
      </c>
      <c r="N56" s="1" t="s">
        <v>412</v>
      </c>
      <c r="O56" s="1">
        <v>784172</v>
      </c>
      <c r="P56" t="s">
        <v>411</v>
      </c>
    </row>
    <row r="57" spans="1:16" x14ac:dyDescent="0.25">
      <c r="A57" s="1" t="s">
        <v>30</v>
      </c>
      <c r="B57" t="s">
        <v>31</v>
      </c>
      <c r="C57">
        <v>830054</v>
      </c>
      <c r="F57" t="str">
        <f t="shared" si="0"/>
        <v>78256-PCN</v>
      </c>
      <c r="G57" t="str">
        <f t="shared" si="1"/>
        <v>830054--</v>
      </c>
      <c r="M57" s="1">
        <v>564054</v>
      </c>
      <c r="N57" s="1" t="s">
        <v>177</v>
      </c>
      <c r="O57" s="1">
        <v>784054</v>
      </c>
      <c r="P57" t="s">
        <v>413</v>
      </c>
    </row>
    <row r="58" spans="1:16" x14ac:dyDescent="0.25">
      <c r="A58" s="1">
        <v>564054</v>
      </c>
      <c r="B58" t="s">
        <v>177</v>
      </c>
      <c r="C58">
        <v>830125</v>
      </c>
      <c r="F58">
        <f t="shared" si="0"/>
        <v>784054</v>
      </c>
      <c r="G58" t="str">
        <f t="shared" si="1"/>
        <v>830125--</v>
      </c>
      <c r="M58" s="1">
        <v>564062</v>
      </c>
      <c r="N58" s="1" t="s">
        <v>295</v>
      </c>
      <c r="O58" s="1">
        <v>784062</v>
      </c>
      <c r="P58" t="s">
        <v>414</v>
      </c>
    </row>
    <row r="59" spans="1:16" x14ac:dyDescent="0.25">
      <c r="A59" s="1">
        <v>564062</v>
      </c>
      <c r="B59" t="s">
        <v>295</v>
      </c>
      <c r="C59">
        <v>830006</v>
      </c>
      <c r="F59">
        <f t="shared" si="0"/>
        <v>784062</v>
      </c>
      <c r="G59" t="str">
        <f t="shared" si="1"/>
        <v>830006--</v>
      </c>
      <c r="M59" s="1">
        <v>564063</v>
      </c>
      <c r="N59" s="1" t="s">
        <v>179</v>
      </c>
      <c r="O59" s="1">
        <v>784064</v>
      </c>
      <c r="P59" t="s">
        <v>415</v>
      </c>
    </row>
    <row r="60" spans="1:16" x14ac:dyDescent="0.25">
      <c r="A60" s="1">
        <v>564063</v>
      </c>
      <c r="B60" t="s">
        <v>179</v>
      </c>
      <c r="C60">
        <v>830009</v>
      </c>
      <c r="F60">
        <f t="shared" si="0"/>
        <v>784064</v>
      </c>
      <c r="G60" t="str">
        <f t="shared" si="1"/>
        <v>830009--</v>
      </c>
      <c r="M60" s="1">
        <v>564064</v>
      </c>
      <c r="N60" s="1" t="s">
        <v>175</v>
      </c>
      <c r="O60" s="1">
        <v>784164</v>
      </c>
      <c r="P60" t="s">
        <v>416</v>
      </c>
    </row>
    <row r="61" spans="1:16" x14ac:dyDescent="0.25">
      <c r="A61" s="1">
        <v>564064</v>
      </c>
      <c r="B61" t="s">
        <v>175</v>
      </c>
      <c r="C61">
        <v>830007</v>
      </c>
      <c r="F61">
        <f t="shared" si="0"/>
        <v>784164</v>
      </c>
      <c r="G61" t="str">
        <f t="shared" si="1"/>
        <v>830007--</v>
      </c>
      <c r="M61" s="1">
        <v>564069</v>
      </c>
      <c r="N61" s="1" t="s">
        <v>257</v>
      </c>
      <c r="O61" s="1">
        <v>784070</v>
      </c>
      <c r="P61" t="s">
        <v>417</v>
      </c>
    </row>
    <row r="62" spans="1:16" x14ac:dyDescent="0.25">
      <c r="A62" s="1">
        <v>564069</v>
      </c>
      <c r="B62" t="s">
        <v>257</v>
      </c>
      <c r="C62">
        <v>830025</v>
      </c>
      <c r="D62">
        <v>830022</v>
      </c>
      <c r="F62">
        <f t="shared" si="0"/>
        <v>784070</v>
      </c>
      <c r="G62" t="str">
        <f t="shared" si="1"/>
        <v>830025-830022-</v>
      </c>
      <c r="M62" s="1">
        <v>564150</v>
      </c>
      <c r="N62" s="1" t="s">
        <v>55</v>
      </c>
      <c r="O62" s="1">
        <v>781181</v>
      </c>
      <c r="P62" t="s">
        <v>418</v>
      </c>
    </row>
    <row r="63" spans="1:16" x14ac:dyDescent="0.25">
      <c r="A63" s="1">
        <v>564150</v>
      </c>
      <c r="B63" t="s">
        <v>55</v>
      </c>
      <c r="C63">
        <v>830037</v>
      </c>
      <c r="F63">
        <f t="shared" si="0"/>
        <v>781181</v>
      </c>
      <c r="G63" t="str">
        <f t="shared" si="1"/>
        <v>830037--</v>
      </c>
      <c r="M63" s="1">
        <v>564163</v>
      </c>
      <c r="N63" s="1" t="s">
        <v>243</v>
      </c>
      <c r="O63" s="1">
        <v>784162</v>
      </c>
      <c r="P63" t="s">
        <v>419</v>
      </c>
    </row>
    <row r="64" spans="1:16" x14ac:dyDescent="0.25">
      <c r="A64" s="1">
        <v>564163</v>
      </c>
      <c r="B64" t="s">
        <v>243</v>
      </c>
      <c r="C64">
        <v>830036</v>
      </c>
      <c r="D64">
        <v>830039</v>
      </c>
      <c r="F64">
        <f t="shared" si="0"/>
        <v>784162</v>
      </c>
      <c r="G64" t="str">
        <f t="shared" si="1"/>
        <v>830036-830039-</v>
      </c>
      <c r="M64" s="1">
        <v>564166</v>
      </c>
      <c r="N64" s="1" t="s">
        <v>282</v>
      </c>
      <c r="O64" s="1">
        <v>784168</v>
      </c>
      <c r="P64" t="s">
        <v>420</v>
      </c>
    </row>
    <row r="65" spans="1:16" x14ac:dyDescent="0.25">
      <c r="A65" s="1">
        <v>564166</v>
      </c>
      <c r="B65" t="s">
        <v>282</v>
      </c>
      <c r="C65">
        <v>830093</v>
      </c>
      <c r="F65">
        <f t="shared" si="0"/>
        <v>784168</v>
      </c>
      <c r="G65" t="str">
        <f t="shared" si="1"/>
        <v>830093--</v>
      </c>
      <c r="M65" s="1">
        <v>564168</v>
      </c>
      <c r="N65" s="1" t="s">
        <v>209</v>
      </c>
      <c r="O65" s="1">
        <v>784170</v>
      </c>
      <c r="P65" t="s">
        <v>421</v>
      </c>
    </row>
    <row r="66" spans="1:16" x14ac:dyDescent="0.25">
      <c r="A66" s="1">
        <v>564168</v>
      </c>
      <c r="B66" t="s">
        <v>209</v>
      </c>
      <c r="C66">
        <v>830094</v>
      </c>
      <c r="F66">
        <f t="shared" si="0"/>
        <v>784170</v>
      </c>
      <c r="G66" t="str">
        <f t="shared" si="1"/>
        <v>830094--</v>
      </c>
      <c r="M66" s="1">
        <v>564169</v>
      </c>
      <c r="N66" s="1" t="s">
        <v>39</v>
      </c>
      <c r="O66" s="1">
        <v>784169</v>
      </c>
      <c r="P66" t="s">
        <v>422</v>
      </c>
    </row>
    <row r="67" spans="1:16" x14ac:dyDescent="0.25">
      <c r="A67" s="1">
        <v>564171</v>
      </c>
      <c r="B67" t="s">
        <v>123</v>
      </c>
      <c r="C67">
        <v>830027</v>
      </c>
      <c r="F67">
        <f t="shared" ref="F67:F130" si="2">IF(ISNA(VLOOKUP(A67,$M$1:$O$271,3,0))=TRUE,0,VLOOKUP(A67,$M$1:$O$271,3,0))</f>
        <v>784156</v>
      </c>
      <c r="G67" t="str">
        <f t="shared" ref="G67:G130" si="3">CONCATENATE(C67,"-",D67,"-",E67)</f>
        <v>830027--</v>
      </c>
      <c r="M67" s="1">
        <v>564171</v>
      </c>
      <c r="N67" s="1" t="s">
        <v>123</v>
      </c>
      <c r="O67" s="1">
        <v>784156</v>
      </c>
      <c r="P67" t="s">
        <v>423</v>
      </c>
    </row>
    <row r="68" spans="1:16" x14ac:dyDescent="0.25">
      <c r="A68" s="1" t="s">
        <v>192</v>
      </c>
      <c r="B68" t="s">
        <v>193</v>
      </c>
      <c r="C68">
        <v>830094</v>
      </c>
      <c r="F68" t="str">
        <f t="shared" si="2"/>
        <v>784173-PCF</v>
      </c>
      <c r="G68" t="str">
        <f t="shared" si="3"/>
        <v>830094--</v>
      </c>
      <c r="M68" s="1" t="s">
        <v>192</v>
      </c>
      <c r="N68" s="1" t="s">
        <v>193</v>
      </c>
      <c r="O68" s="1" t="s">
        <v>424</v>
      </c>
      <c r="P68" t="s">
        <v>425</v>
      </c>
    </row>
    <row r="69" spans="1:16" x14ac:dyDescent="0.25">
      <c r="A69" s="1">
        <v>564174</v>
      </c>
      <c r="B69" t="s">
        <v>211</v>
      </c>
      <c r="C69">
        <v>830094</v>
      </c>
      <c r="F69">
        <f t="shared" si="2"/>
        <v>784174</v>
      </c>
      <c r="G69" t="str">
        <f t="shared" si="3"/>
        <v>830094--</v>
      </c>
      <c r="M69" s="1">
        <v>564174</v>
      </c>
      <c r="N69" s="1" t="s">
        <v>211</v>
      </c>
      <c r="O69" s="1">
        <v>784174</v>
      </c>
      <c r="P69" t="s">
        <v>426</v>
      </c>
    </row>
    <row r="70" spans="1:16" x14ac:dyDescent="0.25">
      <c r="A70" s="1">
        <v>564175</v>
      </c>
      <c r="B70" t="s">
        <v>149</v>
      </c>
      <c r="C70">
        <v>830098</v>
      </c>
      <c r="F70">
        <f t="shared" si="2"/>
        <v>785175</v>
      </c>
      <c r="G70" t="str">
        <f t="shared" si="3"/>
        <v>830098--</v>
      </c>
      <c r="M70" s="1">
        <v>564175</v>
      </c>
      <c r="N70" s="1" t="s">
        <v>149</v>
      </c>
      <c r="O70" s="1">
        <v>785175</v>
      </c>
      <c r="P70" t="s">
        <v>427</v>
      </c>
    </row>
    <row r="71" spans="1:16" x14ac:dyDescent="0.25">
      <c r="A71" s="1">
        <v>564176</v>
      </c>
      <c r="B71" t="s">
        <v>195</v>
      </c>
      <c r="C71">
        <v>830103</v>
      </c>
      <c r="F71">
        <f t="shared" si="2"/>
        <v>785176</v>
      </c>
      <c r="G71" t="str">
        <f t="shared" si="3"/>
        <v>830103--</v>
      </c>
      <c r="M71" s="1">
        <v>564176</v>
      </c>
      <c r="N71" s="1" t="s">
        <v>195</v>
      </c>
      <c r="O71" s="1">
        <v>785176</v>
      </c>
      <c r="P71" t="s">
        <v>428</v>
      </c>
    </row>
    <row r="72" spans="1:16" x14ac:dyDescent="0.25">
      <c r="A72" s="1">
        <v>564190</v>
      </c>
      <c r="B72" t="s">
        <v>33</v>
      </c>
      <c r="C72">
        <v>830016</v>
      </c>
      <c r="F72">
        <f t="shared" si="2"/>
        <v>784190</v>
      </c>
      <c r="G72" t="str">
        <f t="shared" si="3"/>
        <v>830016--</v>
      </c>
      <c r="M72" s="1">
        <v>564190</v>
      </c>
      <c r="N72" s="1" t="s">
        <v>33</v>
      </c>
      <c r="O72" s="1">
        <v>784190</v>
      </c>
      <c r="P72" t="s">
        <v>429</v>
      </c>
    </row>
    <row r="73" spans="1:16" x14ac:dyDescent="0.25">
      <c r="A73" s="1">
        <v>564191</v>
      </c>
      <c r="B73" t="s">
        <v>39</v>
      </c>
      <c r="C73">
        <v>830012</v>
      </c>
      <c r="F73">
        <f t="shared" si="2"/>
        <v>784191</v>
      </c>
      <c r="G73" t="str">
        <f t="shared" si="3"/>
        <v>830012--</v>
      </c>
      <c r="M73" s="1">
        <v>564191</v>
      </c>
      <c r="N73" s="1" t="s">
        <v>39</v>
      </c>
      <c r="O73" s="1">
        <v>784191</v>
      </c>
      <c r="P73" t="s">
        <v>422</v>
      </c>
    </row>
    <row r="74" spans="1:16" x14ac:dyDescent="0.25">
      <c r="A74" s="1">
        <v>564464</v>
      </c>
      <c r="B74" t="s">
        <v>274</v>
      </c>
      <c r="C74">
        <v>830056</v>
      </c>
      <c r="F74">
        <f t="shared" si="2"/>
        <v>784160</v>
      </c>
      <c r="G74" t="str">
        <f t="shared" si="3"/>
        <v>830056--</v>
      </c>
      <c r="M74" s="1">
        <v>564464</v>
      </c>
      <c r="N74" s="1" t="s">
        <v>274</v>
      </c>
      <c r="O74" s="1">
        <v>784160</v>
      </c>
      <c r="P74" t="s">
        <v>405</v>
      </c>
    </row>
    <row r="75" spans="1:16" x14ac:dyDescent="0.25">
      <c r="A75" s="1">
        <v>564466</v>
      </c>
      <c r="B75" t="s">
        <v>115</v>
      </c>
      <c r="C75">
        <v>830059</v>
      </c>
      <c r="F75">
        <f t="shared" si="2"/>
        <v>784175</v>
      </c>
      <c r="G75" t="str">
        <f t="shared" si="3"/>
        <v>830059--</v>
      </c>
      <c r="M75" s="1">
        <v>564466</v>
      </c>
      <c r="N75" s="1" t="s">
        <v>115</v>
      </c>
      <c r="O75" s="1">
        <v>784175</v>
      </c>
      <c r="P75" t="s">
        <v>407</v>
      </c>
    </row>
    <row r="76" spans="1:16" x14ac:dyDescent="0.25">
      <c r="A76" s="1">
        <v>564467</v>
      </c>
      <c r="B76" t="s">
        <v>213</v>
      </c>
      <c r="C76">
        <v>830034</v>
      </c>
      <c r="F76">
        <f t="shared" si="2"/>
        <v>784158</v>
      </c>
      <c r="G76" t="str">
        <f t="shared" si="3"/>
        <v>830034--</v>
      </c>
      <c r="M76" s="1">
        <v>564467</v>
      </c>
      <c r="N76" s="1" t="s">
        <v>213</v>
      </c>
      <c r="O76" s="1">
        <v>784158</v>
      </c>
      <c r="P76" t="s">
        <v>430</v>
      </c>
    </row>
    <row r="77" spans="1:16" x14ac:dyDescent="0.25">
      <c r="A77" s="1">
        <v>564468</v>
      </c>
      <c r="B77" t="s">
        <v>248</v>
      </c>
      <c r="C77">
        <v>830107</v>
      </c>
      <c r="F77">
        <f t="shared" si="2"/>
        <v>781180</v>
      </c>
      <c r="G77" t="str">
        <f t="shared" si="3"/>
        <v>830107--</v>
      </c>
      <c r="M77" s="1">
        <v>564468</v>
      </c>
      <c r="N77" s="1" t="s">
        <v>248</v>
      </c>
      <c r="O77" s="1">
        <v>781180</v>
      </c>
      <c r="P77" t="s">
        <v>431</v>
      </c>
    </row>
    <row r="78" spans="1:16" x14ac:dyDescent="0.25">
      <c r="A78" s="1">
        <v>564471</v>
      </c>
      <c r="B78" t="s">
        <v>17</v>
      </c>
      <c r="C78">
        <v>830061</v>
      </c>
      <c r="F78">
        <f t="shared" si="2"/>
        <v>784166</v>
      </c>
      <c r="G78" t="str">
        <f t="shared" si="3"/>
        <v>830061--</v>
      </c>
      <c r="M78" s="1">
        <v>564471</v>
      </c>
      <c r="N78" s="1" t="s">
        <v>17</v>
      </c>
      <c r="O78" s="1">
        <v>784166</v>
      </c>
      <c r="P78" t="s">
        <v>409</v>
      </c>
    </row>
    <row r="79" spans="1:16" x14ac:dyDescent="0.25">
      <c r="A79" s="1">
        <v>564482</v>
      </c>
      <c r="B79" t="s">
        <v>181</v>
      </c>
      <c r="C79">
        <v>830123</v>
      </c>
      <c r="F79">
        <f t="shared" si="2"/>
        <v>784482</v>
      </c>
      <c r="G79" t="str">
        <f t="shared" si="3"/>
        <v>830123--</v>
      </c>
      <c r="M79" s="1">
        <v>564482</v>
      </c>
      <c r="N79" s="1" t="s">
        <v>181</v>
      </c>
      <c r="O79" s="1">
        <v>784482</v>
      </c>
      <c r="P79" t="s">
        <v>432</v>
      </c>
    </row>
    <row r="80" spans="1:16" x14ac:dyDescent="0.25">
      <c r="A80" s="1">
        <v>564483</v>
      </c>
      <c r="B80" t="s">
        <v>155</v>
      </c>
      <c r="C80">
        <v>830124</v>
      </c>
      <c r="F80">
        <f t="shared" si="2"/>
        <v>784483</v>
      </c>
      <c r="G80" t="str">
        <f t="shared" si="3"/>
        <v>830124--</v>
      </c>
      <c r="M80" s="1">
        <v>564483</v>
      </c>
      <c r="N80" s="1" t="s">
        <v>155</v>
      </c>
      <c r="O80" s="1">
        <v>784483</v>
      </c>
      <c r="P80" t="s">
        <v>433</v>
      </c>
    </row>
    <row r="81" spans="1:16" x14ac:dyDescent="0.25">
      <c r="A81" s="1">
        <v>564484</v>
      </c>
      <c r="B81" t="s">
        <v>227</v>
      </c>
      <c r="C81">
        <v>830124</v>
      </c>
      <c r="F81">
        <f t="shared" si="2"/>
        <v>784484</v>
      </c>
      <c r="G81" t="str">
        <f t="shared" si="3"/>
        <v>830124--</v>
      </c>
      <c r="M81" s="1">
        <v>564484</v>
      </c>
      <c r="N81" s="1" t="s">
        <v>227</v>
      </c>
      <c r="O81" s="1">
        <v>784484</v>
      </c>
      <c r="P81" t="s">
        <v>434</v>
      </c>
    </row>
    <row r="82" spans="1:16" x14ac:dyDescent="0.25">
      <c r="A82" s="1">
        <v>565069</v>
      </c>
      <c r="B82" t="s">
        <v>250</v>
      </c>
      <c r="C82">
        <v>830047</v>
      </c>
      <c r="F82">
        <f t="shared" si="2"/>
        <v>784179</v>
      </c>
      <c r="G82" t="str">
        <f t="shared" si="3"/>
        <v>830047--</v>
      </c>
      <c r="M82" s="1">
        <v>565069</v>
      </c>
      <c r="N82" s="1" t="s">
        <v>250</v>
      </c>
      <c r="O82" s="1">
        <v>784179</v>
      </c>
      <c r="P82" t="s">
        <v>435</v>
      </c>
    </row>
    <row r="83" spans="1:16" x14ac:dyDescent="0.25">
      <c r="A83" s="1">
        <v>565071</v>
      </c>
      <c r="B83" t="s">
        <v>57</v>
      </c>
      <c r="C83">
        <v>830011</v>
      </c>
      <c r="F83">
        <f t="shared" si="2"/>
        <v>784172</v>
      </c>
      <c r="G83" t="str">
        <f t="shared" si="3"/>
        <v>830011--</v>
      </c>
      <c r="M83" s="1">
        <v>565071</v>
      </c>
      <c r="N83" s="1" t="s">
        <v>57</v>
      </c>
      <c r="O83" s="1">
        <v>784172</v>
      </c>
      <c r="P83" t="s">
        <v>411</v>
      </c>
    </row>
    <row r="84" spans="1:16" x14ac:dyDescent="0.25">
      <c r="A84" s="1">
        <v>565072</v>
      </c>
      <c r="B84" t="s">
        <v>73</v>
      </c>
      <c r="C84">
        <v>830043</v>
      </c>
      <c r="F84">
        <f t="shared" si="2"/>
        <v>784177</v>
      </c>
      <c r="G84" t="str">
        <f t="shared" si="3"/>
        <v>830043--</v>
      </c>
      <c r="M84" s="1">
        <v>565072</v>
      </c>
      <c r="N84" s="1" t="s">
        <v>73</v>
      </c>
      <c r="O84" s="1">
        <v>784177</v>
      </c>
      <c r="P84" t="s">
        <v>436</v>
      </c>
    </row>
    <row r="85" spans="1:16" x14ac:dyDescent="0.25">
      <c r="A85" s="1">
        <v>565073</v>
      </c>
      <c r="B85" t="s">
        <v>19</v>
      </c>
      <c r="C85">
        <v>830051</v>
      </c>
      <c r="F85">
        <f t="shared" si="2"/>
        <v>781177</v>
      </c>
      <c r="G85" t="str">
        <f t="shared" si="3"/>
        <v>830051--</v>
      </c>
      <c r="M85" s="1">
        <v>565073</v>
      </c>
      <c r="N85" s="1" t="s">
        <v>19</v>
      </c>
      <c r="O85" s="1">
        <v>781177</v>
      </c>
      <c r="P85" t="s">
        <v>437</v>
      </c>
    </row>
    <row r="86" spans="1:16" x14ac:dyDescent="0.25">
      <c r="A86" s="1">
        <v>565080</v>
      </c>
      <c r="B86" t="s">
        <v>41</v>
      </c>
      <c r="C86">
        <v>830024</v>
      </c>
      <c r="F86">
        <f t="shared" si="2"/>
        <v>781175</v>
      </c>
      <c r="G86" t="str">
        <f t="shared" si="3"/>
        <v>830024--</v>
      </c>
      <c r="M86" s="1">
        <v>565080</v>
      </c>
      <c r="N86" s="1" t="s">
        <v>41</v>
      </c>
      <c r="O86" s="1">
        <v>781175</v>
      </c>
      <c r="P86" t="s">
        <v>438</v>
      </c>
    </row>
    <row r="87" spans="1:16" x14ac:dyDescent="0.25">
      <c r="A87" s="1">
        <v>565081</v>
      </c>
      <c r="B87" t="s">
        <v>151</v>
      </c>
      <c r="C87">
        <v>830010</v>
      </c>
      <c r="F87">
        <f t="shared" si="2"/>
        <v>784172</v>
      </c>
      <c r="G87" t="str">
        <f t="shared" si="3"/>
        <v>830010--</v>
      </c>
      <c r="M87" s="1">
        <v>565081</v>
      </c>
      <c r="N87" s="1" t="s">
        <v>151</v>
      </c>
      <c r="O87" s="1">
        <v>784172</v>
      </c>
      <c r="P87" t="s">
        <v>411</v>
      </c>
    </row>
    <row r="88" spans="1:16" x14ac:dyDescent="0.25">
      <c r="A88" s="1">
        <v>565083</v>
      </c>
      <c r="B88" t="s">
        <v>7</v>
      </c>
      <c r="C88">
        <v>830132</v>
      </c>
      <c r="F88">
        <f t="shared" si="2"/>
        <v>785083</v>
      </c>
      <c r="G88" t="str">
        <f t="shared" si="3"/>
        <v>830132--</v>
      </c>
      <c r="M88" s="1">
        <v>565083</v>
      </c>
      <c r="N88" s="1" t="s">
        <v>7</v>
      </c>
      <c r="O88" s="1">
        <v>785083</v>
      </c>
      <c r="P88" t="s">
        <v>439</v>
      </c>
    </row>
    <row r="89" spans="1:16" x14ac:dyDescent="0.25">
      <c r="A89" s="1">
        <v>565701</v>
      </c>
      <c r="B89" t="s">
        <v>35</v>
      </c>
      <c r="C89">
        <v>830065</v>
      </c>
      <c r="F89">
        <f t="shared" si="2"/>
        <v>781161</v>
      </c>
      <c r="G89" t="str">
        <f t="shared" si="3"/>
        <v>830065--</v>
      </c>
      <c r="M89" s="1">
        <v>565701</v>
      </c>
      <c r="N89" s="1" t="s">
        <v>35</v>
      </c>
      <c r="O89" s="1">
        <v>781161</v>
      </c>
      <c r="P89" t="s">
        <v>440</v>
      </c>
    </row>
    <row r="90" spans="1:16" x14ac:dyDescent="0.25">
      <c r="A90" s="1">
        <v>565702</v>
      </c>
      <c r="B90" t="s">
        <v>75</v>
      </c>
      <c r="C90">
        <v>830065</v>
      </c>
      <c r="F90">
        <f t="shared" si="2"/>
        <v>781162</v>
      </c>
      <c r="G90" t="str">
        <f t="shared" si="3"/>
        <v>830065--</v>
      </c>
      <c r="M90" s="1">
        <v>565702</v>
      </c>
      <c r="N90" s="1" t="s">
        <v>75</v>
      </c>
      <c r="O90" s="1">
        <v>781162</v>
      </c>
      <c r="P90" t="s">
        <v>441</v>
      </c>
    </row>
    <row r="91" spans="1:16" x14ac:dyDescent="0.25">
      <c r="A91" s="1">
        <v>571060</v>
      </c>
      <c r="B91" t="s">
        <v>255</v>
      </c>
      <c r="C91">
        <v>830073</v>
      </c>
      <c r="F91">
        <f t="shared" si="2"/>
        <v>781070</v>
      </c>
      <c r="G91" t="str">
        <f t="shared" si="3"/>
        <v>830073--</v>
      </c>
      <c r="M91" s="1">
        <v>571060</v>
      </c>
      <c r="N91" s="1" t="s">
        <v>255</v>
      </c>
      <c r="O91" s="1">
        <v>781070</v>
      </c>
      <c r="P91" t="s">
        <v>442</v>
      </c>
    </row>
    <row r="92" spans="1:16" x14ac:dyDescent="0.25">
      <c r="A92" s="1">
        <v>571061</v>
      </c>
      <c r="B92" t="s">
        <v>239</v>
      </c>
      <c r="C92">
        <v>830073</v>
      </c>
      <c r="F92">
        <f t="shared" si="2"/>
        <v>781071</v>
      </c>
      <c r="G92" t="str">
        <f t="shared" si="3"/>
        <v>830073--</v>
      </c>
      <c r="M92" s="1">
        <v>571061</v>
      </c>
      <c r="N92" s="1" t="s">
        <v>239</v>
      </c>
      <c r="O92" s="1">
        <v>781071</v>
      </c>
      <c r="P92" t="s">
        <v>443</v>
      </c>
    </row>
    <row r="93" spans="1:16" x14ac:dyDescent="0.25">
      <c r="A93" s="1">
        <v>571062</v>
      </c>
      <c r="B93" t="s">
        <v>215</v>
      </c>
      <c r="C93">
        <v>830072</v>
      </c>
      <c r="F93">
        <f t="shared" si="2"/>
        <v>781072</v>
      </c>
      <c r="G93" t="str">
        <f t="shared" si="3"/>
        <v>830072--</v>
      </c>
      <c r="M93" s="1">
        <v>571062</v>
      </c>
      <c r="N93" s="1" t="s">
        <v>215</v>
      </c>
      <c r="O93" s="1">
        <v>781072</v>
      </c>
      <c r="P93" t="s">
        <v>444</v>
      </c>
    </row>
    <row r="94" spans="1:16" x14ac:dyDescent="0.25">
      <c r="A94" s="1">
        <v>571063</v>
      </c>
      <c r="B94" t="s">
        <v>262</v>
      </c>
      <c r="C94">
        <v>830074</v>
      </c>
      <c r="F94">
        <f t="shared" si="2"/>
        <v>781073</v>
      </c>
      <c r="G94" t="str">
        <f t="shared" si="3"/>
        <v>830074--</v>
      </c>
      <c r="M94" s="1">
        <v>571063</v>
      </c>
      <c r="N94" s="1" t="s">
        <v>262</v>
      </c>
      <c r="O94" s="1">
        <v>781073</v>
      </c>
      <c r="P94" t="s">
        <v>445</v>
      </c>
    </row>
    <row r="95" spans="1:16" x14ac:dyDescent="0.25">
      <c r="A95" s="1">
        <v>571064</v>
      </c>
      <c r="B95" t="s">
        <v>183</v>
      </c>
      <c r="C95">
        <v>830075</v>
      </c>
      <c r="F95">
        <f t="shared" si="2"/>
        <v>781075</v>
      </c>
      <c r="G95" t="str">
        <f t="shared" si="3"/>
        <v>830075--</v>
      </c>
      <c r="M95" s="1">
        <v>571064</v>
      </c>
      <c r="N95" s="1" t="s">
        <v>183</v>
      </c>
      <c r="O95" s="1">
        <v>781075</v>
      </c>
      <c r="P95" t="s">
        <v>446</v>
      </c>
    </row>
    <row r="96" spans="1:16" x14ac:dyDescent="0.25">
      <c r="A96" s="1">
        <v>571065</v>
      </c>
      <c r="B96" t="s">
        <v>217</v>
      </c>
      <c r="C96">
        <v>830072</v>
      </c>
      <c r="D96">
        <v>830075</v>
      </c>
      <c r="F96">
        <f t="shared" si="2"/>
        <v>781076</v>
      </c>
      <c r="G96" t="str">
        <f t="shared" si="3"/>
        <v>830072-830075-</v>
      </c>
      <c r="M96" s="1">
        <v>571065</v>
      </c>
      <c r="N96" s="1" t="s">
        <v>217</v>
      </c>
      <c r="O96" s="1">
        <v>781076</v>
      </c>
      <c r="P96" t="s">
        <v>447</v>
      </c>
    </row>
    <row r="97" spans="1:16" x14ac:dyDescent="0.25">
      <c r="A97" s="1">
        <v>571066</v>
      </c>
      <c r="B97" t="s">
        <v>284</v>
      </c>
      <c r="C97">
        <v>830033</v>
      </c>
      <c r="F97">
        <f t="shared" si="2"/>
        <v>781077</v>
      </c>
      <c r="G97" t="str">
        <f t="shared" si="3"/>
        <v>830033--</v>
      </c>
      <c r="M97" s="1">
        <v>571066</v>
      </c>
      <c r="N97" s="1" t="s">
        <v>284</v>
      </c>
      <c r="O97" s="1">
        <v>781077</v>
      </c>
      <c r="P97" t="s">
        <v>448</v>
      </c>
    </row>
    <row r="98" spans="1:16" x14ac:dyDescent="0.25">
      <c r="A98" s="1">
        <v>571067</v>
      </c>
      <c r="B98" t="s">
        <v>286</v>
      </c>
      <c r="C98">
        <v>830033</v>
      </c>
      <c r="F98">
        <f t="shared" si="2"/>
        <v>781078</v>
      </c>
      <c r="G98" t="str">
        <f t="shared" si="3"/>
        <v>830033--</v>
      </c>
      <c r="M98" s="1">
        <v>571067</v>
      </c>
      <c r="N98" s="1" t="s">
        <v>286</v>
      </c>
      <c r="O98" s="1">
        <v>781078</v>
      </c>
      <c r="P98" t="s">
        <v>449</v>
      </c>
    </row>
    <row r="99" spans="1:16" x14ac:dyDescent="0.25">
      <c r="A99" s="1" t="s">
        <v>160</v>
      </c>
      <c r="B99" t="s">
        <v>161</v>
      </c>
      <c r="C99">
        <v>830083</v>
      </c>
      <c r="F99" t="str">
        <f t="shared" si="2"/>
        <v>781074-PMN</v>
      </c>
      <c r="G99" t="str">
        <f t="shared" si="3"/>
        <v>830083--</v>
      </c>
      <c r="M99" s="1" t="s">
        <v>160</v>
      </c>
      <c r="N99" s="1" t="s">
        <v>161</v>
      </c>
      <c r="O99" s="1" t="s">
        <v>450</v>
      </c>
      <c r="P99" t="s">
        <v>451</v>
      </c>
    </row>
    <row r="100" spans="1:16" x14ac:dyDescent="0.25">
      <c r="A100" s="1" t="s">
        <v>162</v>
      </c>
      <c r="B100" t="s">
        <v>163</v>
      </c>
      <c r="C100">
        <v>830083</v>
      </c>
      <c r="F100">
        <f t="shared" si="2"/>
        <v>0</v>
      </c>
      <c r="G100" t="str">
        <f t="shared" si="3"/>
        <v>830083--</v>
      </c>
      <c r="M100" s="1" t="s">
        <v>164</v>
      </c>
      <c r="N100" s="1" t="s">
        <v>165</v>
      </c>
      <c r="O100" s="1" t="s">
        <v>452</v>
      </c>
      <c r="P100" t="s">
        <v>453</v>
      </c>
    </row>
    <row r="101" spans="1:16" x14ac:dyDescent="0.25">
      <c r="A101" s="1" t="s">
        <v>164</v>
      </c>
      <c r="B101" t="s">
        <v>165</v>
      </c>
      <c r="C101">
        <v>830083</v>
      </c>
      <c r="F101" t="str">
        <f t="shared" si="2"/>
        <v>784074-PMF</v>
      </c>
      <c r="G101" t="str">
        <f t="shared" si="3"/>
        <v>830083--</v>
      </c>
      <c r="M101" s="1" t="s">
        <v>454</v>
      </c>
      <c r="N101" s="1" t="s">
        <v>455</v>
      </c>
      <c r="O101" s="1" t="s">
        <v>456</v>
      </c>
      <c r="P101" t="s">
        <v>457</v>
      </c>
    </row>
    <row r="102" spans="1:16" x14ac:dyDescent="0.25">
      <c r="A102" s="1">
        <v>589002</v>
      </c>
      <c r="B102" t="s">
        <v>320</v>
      </c>
      <c r="F102">
        <f t="shared" si="2"/>
        <v>789002</v>
      </c>
      <c r="G102" t="str">
        <f t="shared" si="3"/>
        <v>--</v>
      </c>
      <c r="M102" s="1">
        <v>589002</v>
      </c>
      <c r="N102" s="1" t="s">
        <v>320</v>
      </c>
      <c r="O102" s="1">
        <v>789002</v>
      </c>
      <c r="P102" t="s">
        <v>458</v>
      </c>
    </row>
    <row r="103" spans="1:16" x14ac:dyDescent="0.25">
      <c r="A103" s="1">
        <v>589003</v>
      </c>
      <c r="B103" t="s">
        <v>321</v>
      </c>
      <c r="F103">
        <f t="shared" si="2"/>
        <v>789003</v>
      </c>
      <c r="G103" t="str">
        <f t="shared" si="3"/>
        <v>--</v>
      </c>
      <c r="M103" s="1">
        <v>589003</v>
      </c>
      <c r="N103" s="1" t="s">
        <v>321</v>
      </c>
      <c r="O103" s="1">
        <v>789003</v>
      </c>
      <c r="P103" t="s">
        <v>459</v>
      </c>
    </row>
    <row r="104" spans="1:16" x14ac:dyDescent="0.25">
      <c r="A104" s="1" t="s">
        <v>144</v>
      </c>
      <c r="B104" t="s">
        <v>145</v>
      </c>
      <c r="C104">
        <v>830102</v>
      </c>
      <c r="F104">
        <f t="shared" si="2"/>
        <v>0</v>
      </c>
      <c r="G104" t="str">
        <f t="shared" si="3"/>
        <v>830102--</v>
      </c>
      <c r="M104" s="1">
        <v>589006</v>
      </c>
      <c r="N104" s="1" t="s">
        <v>460</v>
      </c>
      <c r="O104" s="1">
        <v>779002</v>
      </c>
      <c r="P104" t="s">
        <v>461</v>
      </c>
    </row>
    <row r="105" spans="1:16" x14ac:dyDescent="0.25">
      <c r="A105" s="1" t="s">
        <v>20</v>
      </c>
      <c r="B105" t="s">
        <v>21</v>
      </c>
      <c r="C105">
        <v>830102</v>
      </c>
      <c r="F105">
        <f t="shared" si="2"/>
        <v>0</v>
      </c>
      <c r="G105" t="str">
        <f t="shared" si="3"/>
        <v>830102--</v>
      </c>
      <c r="M105" s="1">
        <v>589006</v>
      </c>
      <c r="N105" s="1" t="s">
        <v>460</v>
      </c>
      <c r="O105" s="1">
        <v>779003</v>
      </c>
      <c r="P105" t="s">
        <v>462</v>
      </c>
    </row>
    <row r="106" spans="1:16" x14ac:dyDescent="0.25">
      <c r="A106" s="1" t="s">
        <v>196</v>
      </c>
      <c r="B106" t="s">
        <v>197</v>
      </c>
      <c r="C106">
        <v>830090</v>
      </c>
      <c r="F106">
        <f t="shared" si="2"/>
        <v>0</v>
      </c>
      <c r="G106" t="str">
        <f t="shared" si="3"/>
        <v>830090--</v>
      </c>
      <c r="M106" s="1">
        <v>589009</v>
      </c>
      <c r="N106" s="1" t="s">
        <v>292</v>
      </c>
      <c r="O106" s="1" t="s">
        <v>463</v>
      </c>
      <c r="P106" t="s">
        <v>464</v>
      </c>
    </row>
    <row r="107" spans="1:16" x14ac:dyDescent="0.25">
      <c r="A107" s="1" t="s">
        <v>202</v>
      </c>
      <c r="B107" t="s">
        <v>203</v>
      </c>
      <c r="C107">
        <v>830090</v>
      </c>
      <c r="F107">
        <f t="shared" si="2"/>
        <v>0</v>
      </c>
      <c r="G107" t="str">
        <f t="shared" si="3"/>
        <v>830090--</v>
      </c>
      <c r="M107" s="1" t="s">
        <v>465</v>
      </c>
      <c r="N107" s="1" t="s">
        <v>466</v>
      </c>
      <c r="O107" s="1" t="s">
        <v>467</v>
      </c>
      <c r="P107" t="s">
        <v>468</v>
      </c>
    </row>
    <row r="108" spans="1:16" x14ac:dyDescent="0.25">
      <c r="A108" s="1" t="s">
        <v>76</v>
      </c>
      <c r="B108" t="s">
        <v>77</v>
      </c>
      <c r="C108">
        <v>830099</v>
      </c>
      <c r="F108">
        <f t="shared" si="2"/>
        <v>0</v>
      </c>
      <c r="G108" t="str">
        <f t="shared" si="3"/>
        <v>830099--</v>
      </c>
      <c r="M108" s="1" t="s">
        <v>22</v>
      </c>
      <c r="N108" s="1" t="s">
        <v>23</v>
      </c>
      <c r="O108" s="1" t="s">
        <v>469</v>
      </c>
      <c r="P108" t="s">
        <v>470</v>
      </c>
    </row>
    <row r="109" spans="1:16" x14ac:dyDescent="0.25">
      <c r="A109" s="1" t="s">
        <v>98</v>
      </c>
      <c r="B109" t="s">
        <v>99</v>
      </c>
      <c r="C109">
        <v>830099</v>
      </c>
      <c r="F109">
        <f t="shared" si="2"/>
        <v>0</v>
      </c>
      <c r="G109" t="str">
        <f t="shared" si="3"/>
        <v>830099--</v>
      </c>
      <c r="M109" s="1">
        <v>671401</v>
      </c>
      <c r="N109" s="1" t="s">
        <v>322</v>
      </c>
      <c r="O109" s="1" t="s">
        <v>469</v>
      </c>
      <c r="P109" t="s">
        <v>470</v>
      </c>
    </row>
    <row r="110" spans="1:16" x14ac:dyDescent="0.25">
      <c r="A110" s="1" t="s">
        <v>22</v>
      </c>
      <c r="B110" t="s">
        <v>23</v>
      </c>
      <c r="C110">
        <v>830083</v>
      </c>
      <c r="F110" t="str">
        <f t="shared" si="2"/>
        <v>784004-VUA</v>
      </c>
      <c r="G110" t="str">
        <f t="shared" si="3"/>
        <v>830083--</v>
      </c>
      <c r="M110" s="1">
        <v>671452</v>
      </c>
      <c r="N110" s="1" t="s">
        <v>323</v>
      </c>
      <c r="O110" s="1" t="s">
        <v>469</v>
      </c>
      <c r="P110" t="s">
        <v>470</v>
      </c>
    </row>
    <row r="111" spans="1:16" x14ac:dyDescent="0.25">
      <c r="A111" s="1">
        <v>671401</v>
      </c>
      <c r="B111" t="s">
        <v>322</v>
      </c>
      <c r="F111" t="str">
        <f t="shared" si="2"/>
        <v>784004-VUA</v>
      </c>
      <c r="G111" t="str">
        <f t="shared" si="3"/>
        <v>--</v>
      </c>
      <c r="M111" s="1">
        <v>681001</v>
      </c>
      <c r="N111" s="1" t="s">
        <v>471</v>
      </c>
      <c r="O111" s="1">
        <v>799000</v>
      </c>
      <c r="P111" t="s">
        <v>472</v>
      </c>
    </row>
    <row r="112" spans="1:16" x14ac:dyDescent="0.25">
      <c r="A112" s="1">
        <v>671452</v>
      </c>
      <c r="B112" t="s">
        <v>323</v>
      </c>
      <c r="F112" t="str">
        <f t="shared" si="2"/>
        <v>784004-VUA</v>
      </c>
      <c r="G112" t="str">
        <f t="shared" si="3"/>
        <v>--</v>
      </c>
      <c r="M112" s="1" t="s">
        <v>473</v>
      </c>
      <c r="N112" s="1" t="s">
        <v>474</v>
      </c>
      <c r="O112" s="1" t="s">
        <v>475</v>
      </c>
      <c r="P112" t="s">
        <v>476</v>
      </c>
    </row>
    <row r="113" spans="1:16" x14ac:dyDescent="0.25">
      <c r="A113" s="1" t="s">
        <v>78</v>
      </c>
      <c r="B113" t="s">
        <v>79</v>
      </c>
      <c r="F113">
        <f t="shared" si="2"/>
        <v>0</v>
      </c>
      <c r="G113" t="str">
        <f t="shared" si="3"/>
        <v>--</v>
      </c>
      <c r="M113" s="1">
        <v>751150</v>
      </c>
      <c r="N113" s="1" t="s">
        <v>45</v>
      </c>
      <c r="O113" s="1">
        <v>791176</v>
      </c>
      <c r="P113" t="s">
        <v>477</v>
      </c>
    </row>
    <row r="114" spans="1:16" x14ac:dyDescent="0.25">
      <c r="A114" s="1">
        <v>674001</v>
      </c>
      <c r="B114" t="s">
        <v>173</v>
      </c>
      <c r="F114">
        <f t="shared" si="2"/>
        <v>0</v>
      </c>
      <c r="G114" t="str">
        <f t="shared" si="3"/>
        <v>--</v>
      </c>
      <c r="M114" s="1">
        <v>751151</v>
      </c>
      <c r="N114" s="1" t="s">
        <v>85</v>
      </c>
      <c r="O114" s="1">
        <v>791178</v>
      </c>
      <c r="P114" t="s">
        <v>478</v>
      </c>
    </row>
    <row r="115" spans="1:16" x14ac:dyDescent="0.25">
      <c r="A115" s="1">
        <v>674002</v>
      </c>
      <c r="B115" t="s">
        <v>297</v>
      </c>
      <c r="F115">
        <f t="shared" si="2"/>
        <v>0</v>
      </c>
      <c r="G115" t="str">
        <f t="shared" si="3"/>
        <v>--</v>
      </c>
      <c r="M115" s="1">
        <v>751152</v>
      </c>
      <c r="N115" s="1" t="s">
        <v>171</v>
      </c>
      <c r="O115" s="1">
        <v>791152</v>
      </c>
      <c r="P115" t="s">
        <v>479</v>
      </c>
    </row>
    <row r="116" spans="1:16" x14ac:dyDescent="0.25">
      <c r="A116" s="1">
        <v>674003</v>
      </c>
      <c r="B116" t="s">
        <v>81</v>
      </c>
      <c r="F116">
        <f t="shared" si="2"/>
        <v>0</v>
      </c>
      <c r="G116" t="str">
        <f t="shared" si="3"/>
        <v>--</v>
      </c>
      <c r="M116" s="1">
        <v>751153</v>
      </c>
      <c r="N116" s="1" t="s">
        <v>47</v>
      </c>
      <c r="O116" s="1">
        <v>791153</v>
      </c>
      <c r="P116" t="s">
        <v>480</v>
      </c>
    </row>
    <row r="117" spans="1:16" x14ac:dyDescent="0.25">
      <c r="A117" s="1">
        <v>674005</v>
      </c>
      <c r="B117" t="s">
        <v>147</v>
      </c>
      <c r="F117">
        <f t="shared" si="2"/>
        <v>0</v>
      </c>
      <c r="G117" t="str">
        <f t="shared" si="3"/>
        <v>--</v>
      </c>
      <c r="M117" s="1">
        <v>751154</v>
      </c>
      <c r="N117" s="1" t="s">
        <v>308</v>
      </c>
      <c r="O117" s="1">
        <v>791179</v>
      </c>
      <c r="P117" t="s">
        <v>481</v>
      </c>
    </row>
    <row r="118" spans="1:16" x14ac:dyDescent="0.25">
      <c r="A118" s="1">
        <v>674011</v>
      </c>
      <c r="B118" t="s">
        <v>221</v>
      </c>
      <c r="F118">
        <f t="shared" si="2"/>
        <v>0</v>
      </c>
      <c r="G118" t="str">
        <f t="shared" si="3"/>
        <v>--</v>
      </c>
      <c r="M118" s="1">
        <v>751155</v>
      </c>
      <c r="N118" s="1" t="s">
        <v>169</v>
      </c>
      <c r="O118" s="1">
        <v>791155</v>
      </c>
      <c r="P118" t="s">
        <v>482</v>
      </c>
    </row>
    <row r="119" spans="1:16" x14ac:dyDescent="0.25">
      <c r="A119" s="1">
        <v>674012</v>
      </c>
      <c r="B119" t="s">
        <v>137</v>
      </c>
      <c r="F119">
        <f t="shared" si="2"/>
        <v>0</v>
      </c>
      <c r="G119" t="str">
        <f t="shared" si="3"/>
        <v>--</v>
      </c>
      <c r="M119" s="1">
        <v>751156</v>
      </c>
      <c r="N119" s="1" t="s">
        <v>107</v>
      </c>
      <c r="O119" s="1">
        <v>791156</v>
      </c>
      <c r="P119" t="s">
        <v>483</v>
      </c>
    </row>
    <row r="120" spans="1:16" x14ac:dyDescent="0.25">
      <c r="A120" s="1">
        <v>674013</v>
      </c>
      <c r="B120" t="s">
        <v>105</v>
      </c>
      <c r="F120">
        <f t="shared" si="2"/>
        <v>0</v>
      </c>
      <c r="G120" t="str">
        <f t="shared" si="3"/>
        <v>--</v>
      </c>
      <c r="M120" s="1">
        <v>751160</v>
      </c>
      <c r="N120" s="1" t="s">
        <v>109</v>
      </c>
      <c r="O120" s="1">
        <v>791160</v>
      </c>
      <c r="P120" t="s">
        <v>484</v>
      </c>
    </row>
    <row r="121" spans="1:16" x14ac:dyDescent="0.25">
      <c r="A121" s="1">
        <v>674014</v>
      </c>
      <c r="B121" t="s">
        <v>139</v>
      </c>
      <c r="F121">
        <f t="shared" si="2"/>
        <v>0</v>
      </c>
      <c r="G121" t="str">
        <f t="shared" si="3"/>
        <v>--</v>
      </c>
      <c r="M121" s="1">
        <v>751163</v>
      </c>
      <c r="N121" s="1" t="s">
        <v>141</v>
      </c>
      <c r="O121" s="1">
        <v>791163</v>
      </c>
      <c r="P121" t="s">
        <v>485</v>
      </c>
    </row>
    <row r="122" spans="1:16" x14ac:dyDescent="0.25">
      <c r="A122" s="1" t="s">
        <v>82</v>
      </c>
      <c r="B122" t="s">
        <v>83</v>
      </c>
      <c r="C122">
        <v>830029</v>
      </c>
      <c r="D122">
        <v>830030</v>
      </c>
      <c r="F122">
        <f t="shared" si="2"/>
        <v>0</v>
      </c>
      <c r="G122" t="str">
        <f t="shared" si="3"/>
        <v>830029-830030-</v>
      </c>
      <c r="M122" s="1">
        <v>751164</v>
      </c>
      <c r="N122" s="1" t="s">
        <v>49</v>
      </c>
      <c r="O122" s="1">
        <v>791164</v>
      </c>
      <c r="P122" t="s">
        <v>486</v>
      </c>
    </row>
    <row r="123" spans="1:16" x14ac:dyDescent="0.25">
      <c r="A123" s="1" t="s">
        <v>24</v>
      </c>
      <c r="B123" t="s">
        <v>25</v>
      </c>
      <c r="C123">
        <v>830029</v>
      </c>
      <c r="D123">
        <v>830030</v>
      </c>
      <c r="F123">
        <f t="shared" si="2"/>
        <v>0</v>
      </c>
      <c r="G123" t="str">
        <f t="shared" si="3"/>
        <v>830029-830030-</v>
      </c>
      <c r="M123" s="1">
        <v>751165</v>
      </c>
      <c r="N123" s="1" t="s">
        <v>37</v>
      </c>
      <c r="O123" s="1">
        <v>791165</v>
      </c>
      <c r="P123" t="s">
        <v>487</v>
      </c>
    </row>
    <row r="124" spans="1:16" x14ac:dyDescent="0.25">
      <c r="A124" s="1" t="s">
        <v>24</v>
      </c>
      <c r="B124" t="s">
        <v>258</v>
      </c>
      <c r="C124">
        <v>830029</v>
      </c>
      <c r="D124">
        <v>830030</v>
      </c>
      <c r="F124">
        <f t="shared" si="2"/>
        <v>0</v>
      </c>
      <c r="G124" t="str">
        <f t="shared" si="3"/>
        <v>830029-830030-</v>
      </c>
      <c r="M124" s="1">
        <v>751170</v>
      </c>
      <c r="N124" s="1" t="s">
        <v>43</v>
      </c>
      <c r="O124" s="1">
        <v>791170</v>
      </c>
      <c r="P124" t="s">
        <v>488</v>
      </c>
    </row>
    <row r="125" spans="1:16" x14ac:dyDescent="0.25">
      <c r="A125" s="1" t="s">
        <v>58</v>
      </c>
      <c r="B125" t="s">
        <v>59</v>
      </c>
      <c r="C125">
        <v>830088</v>
      </c>
      <c r="D125">
        <v>830099</v>
      </c>
      <c r="F125">
        <f t="shared" si="2"/>
        <v>0</v>
      </c>
      <c r="G125" t="str">
        <f t="shared" si="3"/>
        <v>830088-830099-</v>
      </c>
      <c r="M125" s="1">
        <v>751171</v>
      </c>
      <c r="N125" s="1" t="s">
        <v>121</v>
      </c>
      <c r="O125" s="1">
        <v>791171</v>
      </c>
      <c r="P125" t="s">
        <v>489</v>
      </c>
    </row>
    <row r="126" spans="1:16" x14ac:dyDescent="0.25">
      <c r="A126" s="1">
        <v>751150</v>
      </c>
      <c r="B126" t="s">
        <v>45</v>
      </c>
      <c r="C126">
        <v>830085</v>
      </c>
      <c r="F126">
        <f t="shared" si="2"/>
        <v>791176</v>
      </c>
      <c r="G126" t="str">
        <f t="shared" si="3"/>
        <v>830085--</v>
      </c>
      <c r="M126" s="1">
        <v>751175</v>
      </c>
      <c r="N126" s="1" t="s">
        <v>125</v>
      </c>
      <c r="O126" s="1">
        <v>791175</v>
      </c>
      <c r="P126" t="s">
        <v>490</v>
      </c>
    </row>
    <row r="127" spans="1:16" x14ac:dyDescent="0.25">
      <c r="A127" s="1">
        <v>751151</v>
      </c>
      <c r="B127" t="s">
        <v>85</v>
      </c>
      <c r="C127">
        <v>830085</v>
      </c>
      <c r="F127">
        <f t="shared" si="2"/>
        <v>791178</v>
      </c>
      <c r="G127" t="str">
        <f t="shared" si="3"/>
        <v>830085--</v>
      </c>
      <c r="M127" s="1">
        <v>751181</v>
      </c>
      <c r="N127" s="1" t="s">
        <v>89</v>
      </c>
      <c r="O127" s="1">
        <v>791181</v>
      </c>
      <c r="P127" t="s">
        <v>491</v>
      </c>
    </row>
    <row r="128" spans="1:16" x14ac:dyDescent="0.25">
      <c r="A128" s="1">
        <v>751152</v>
      </c>
      <c r="B128" t="s">
        <v>171</v>
      </c>
      <c r="C128">
        <v>830018</v>
      </c>
      <c r="F128">
        <f t="shared" si="2"/>
        <v>791152</v>
      </c>
      <c r="G128" t="str">
        <f t="shared" si="3"/>
        <v>830018--</v>
      </c>
      <c r="M128" s="1">
        <v>751200</v>
      </c>
      <c r="N128" s="1" t="s">
        <v>185</v>
      </c>
      <c r="O128" s="1">
        <v>791200</v>
      </c>
      <c r="P128" t="s">
        <v>492</v>
      </c>
    </row>
    <row r="129" spans="1:16" x14ac:dyDescent="0.25">
      <c r="A129" s="1">
        <v>751153</v>
      </c>
      <c r="B129" t="s">
        <v>47</v>
      </c>
      <c r="C129">
        <v>830018</v>
      </c>
      <c r="F129">
        <f t="shared" si="2"/>
        <v>791153</v>
      </c>
      <c r="G129" t="str">
        <f t="shared" si="3"/>
        <v>830018--</v>
      </c>
      <c r="M129" s="1">
        <v>751201</v>
      </c>
      <c r="N129" s="1" t="s">
        <v>199</v>
      </c>
      <c r="O129" s="1">
        <v>791201</v>
      </c>
      <c r="P129" t="s">
        <v>493</v>
      </c>
    </row>
    <row r="130" spans="1:16" x14ac:dyDescent="0.25">
      <c r="A130" s="1">
        <v>751154</v>
      </c>
      <c r="B130" t="s">
        <v>308</v>
      </c>
      <c r="C130">
        <v>830111</v>
      </c>
      <c r="F130">
        <f t="shared" si="2"/>
        <v>791179</v>
      </c>
      <c r="G130" t="str">
        <f t="shared" si="3"/>
        <v>830111--</v>
      </c>
      <c r="M130" s="1">
        <v>751202</v>
      </c>
      <c r="N130" s="1" t="s">
        <v>494</v>
      </c>
      <c r="O130" s="1">
        <v>791202</v>
      </c>
      <c r="P130" t="s">
        <v>495</v>
      </c>
    </row>
    <row r="131" spans="1:16" x14ac:dyDescent="0.25">
      <c r="A131" s="1">
        <v>751155</v>
      </c>
      <c r="B131" t="s">
        <v>169</v>
      </c>
      <c r="C131">
        <v>830028</v>
      </c>
      <c r="F131">
        <f t="shared" ref="F131:F154" si="4">IF(ISNA(VLOOKUP(A131,$M$1:$O$271,3,0))=TRUE,0,VLOOKUP(A131,$M$1:$O$271,3,0))</f>
        <v>791155</v>
      </c>
      <c r="G131" t="str">
        <f t="shared" ref="G131:G154" si="5">CONCATENATE(C131,"-",D131,"-",E131)</f>
        <v>830028--</v>
      </c>
      <c r="M131" s="1">
        <v>754150</v>
      </c>
      <c r="N131" s="1" t="s">
        <v>143</v>
      </c>
      <c r="O131" s="1">
        <v>791150</v>
      </c>
      <c r="P131" t="s">
        <v>351</v>
      </c>
    </row>
    <row r="132" spans="1:16" x14ac:dyDescent="0.25">
      <c r="A132" s="8">
        <v>751156</v>
      </c>
      <c r="B132" s="9" t="s">
        <v>253</v>
      </c>
      <c r="C132" s="9">
        <v>830028</v>
      </c>
      <c r="D132" s="9"/>
      <c r="F132">
        <f t="shared" si="4"/>
        <v>791156</v>
      </c>
      <c r="G132" t="str">
        <f t="shared" si="5"/>
        <v>830028--</v>
      </c>
      <c r="H132" s="3"/>
      <c r="I132" s="3"/>
      <c r="M132" s="1">
        <v>754151</v>
      </c>
      <c r="N132" s="1" t="s">
        <v>111</v>
      </c>
      <c r="O132" s="1">
        <v>791151</v>
      </c>
      <c r="P132" t="s">
        <v>353</v>
      </c>
    </row>
    <row r="133" spans="1:16" x14ac:dyDescent="0.25">
      <c r="A133" s="8">
        <v>751156</v>
      </c>
      <c r="B133" s="9" t="s">
        <v>107</v>
      </c>
      <c r="C133" s="9">
        <v>830028</v>
      </c>
      <c r="D133" s="9"/>
      <c r="F133">
        <f t="shared" si="4"/>
        <v>791156</v>
      </c>
      <c r="G133" t="str">
        <f t="shared" si="5"/>
        <v>830028--</v>
      </c>
      <c r="H133" s="10"/>
      <c r="I133" s="10"/>
      <c r="M133" s="1">
        <v>754160</v>
      </c>
      <c r="N133" s="1" t="s">
        <v>91</v>
      </c>
      <c r="O133" s="1">
        <v>794160</v>
      </c>
      <c r="P133" t="s">
        <v>496</v>
      </c>
    </row>
    <row r="134" spans="1:16" x14ac:dyDescent="0.25">
      <c r="A134" s="1">
        <v>751160</v>
      </c>
      <c r="B134" t="s">
        <v>109</v>
      </c>
      <c r="C134">
        <v>830105</v>
      </c>
      <c r="D134">
        <v>830106</v>
      </c>
      <c r="F134">
        <f t="shared" si="4"/>
        <v>791160</v>
      </c>
      <c r="G134" t="str">
        <f t="shared" si="5"/>
        <v>830105-830106-</v>
      </c>
      <c r="M134" s="1">
        <v>754170</v>
      </c>
      <c r="N134" s="1" t="s">
        <v>27</v>
      </c>
      <c r="O134" s="1">
        <v>794170</v>
      </c>
      <c r="P134" t="s">
        <v>497</v>
      </c>
    </row>
    <row r="135" spans="1:16" x14ac:dyDescent="0.25">
      <c r="A135" s="1">
        <v>751163</v>
      </c>
      <c r="B135" t="s">
        <v>141</v>
      </c>
      <c r="C135">
        <v>830066</v>
      </c>
      <c r="F135">
        <f t="shared" si="4"/>
        <v>791163</v>
      </c>
      <c r="G135" t="str">
        <f t="shared" si="5"/>
        <v>830066--</v>
      </c>
      <c r="M135" s="1">
        <v>754175</v>
      </c>
      <c r="N135" s="1" t="s">
        <v>29</v>
      </c>
      <c r="O135" s="1">
        <v>794175</v>
      </c>
      <c r="P135" t="s">
        <v>498</v>
      </c>
    </row>
    <row r="136" spans="1:16" x14ac:dyDescent="0.25">
      <c r="A136" s="1">
        <v>751164</v>
      </c>
      <c r="B136" t="s">
        <v>49</v>
      </c>
      <c r="C136">
        <v>830015</v>
      </c>
      <c r="F136">
        <f t="shared" si="4"/>
        <v>791164</v>
      </c>
      <c r="G136" t="str">
        <f t="shared" si="5"/>
        <v>830015--</v>
      </c>
      <c r="M136" s="1">
        <v>754176</v>
      </c>
      <c r="N136" s="1" t="s">
        <v>324</v>
      </c>
      <c r="O136" s="1">
        <v>794176</v>
      </c>
      <c r="P136" t="s">
        <v>499</v>
      </c>
    </row>
    <row r="137" spans="1:16" x14ac:dyDescent="0.25">
      <c r="A137" s="1">
        <v>751165</v>
      </c>
      <c r="B137" t="s">
        <v>37</v>
      </c>
      <c r="C137">
        <v>830015</v>
      </c>
      <c r="F137">
        <f t="shared" si="4"/>
        <v>791165</v>
      </c>
      <c r="G137" t="str">
        <f t="shared" si="5"/>
        <v>830015--</v>
      </c>
      <c r="M137" s="1">
        <v>754177</v>
      </c>
      <c r="N137" s="1" t="s">
        <v>325</v>
      </c>
      <c r="O137" s="1">
        <v>794177</v>
      </c>
      <c r="P137" t="s">
        <v>500</v>
      </c>
    </row>
    <row r="138" spans="1:16" x14ac:dyDescent="0.25">
      <c r="A138" s="1">
        <v>751170</v>
      </c>
      <c r="B138" t="s">
        <v>43</v>
      </c>
      <c r="C138">
        <v>830014</v>
      </c>
      <c r="F138">
        <f t="shared" si="4"/>
        <v>791170</v>
      </c>
      <c r="G138" t="str">
        <f t="shared" si="5"/>
        <v>830014--</v>
      </c>
      <c r="M138" s="1">
        <v>754181</v>
      </c>
      <c r="N138" s="1" t="s">
        <v>97</v>
      </c>
      <c r="O138" s="1">
        <v>794180</v>
      </c>
      <c r="P138" t="s">
        <v>501</v>
      </c>
    </row>
    <row r="139" spans="1:16" x14ac:dyDescent="0.25">
      <c r="A139" s="1">
        <v>751171</v>
      </c>
      <c r="B139" t="s">
        <v>121</v>
      </c>
      <c r="C139">
        <v>830014</v>
      </c>
      <c r="F139">
        <f t="shared" si="4"/>
        <v>791171</v>
      </c>
      <c r="G139" t="str">
        <f t="shared" si="5"/>
        <v>830014--</v>
      </c>
      <c r="M139" s="1" t="s">
        <v>502</v>
      </c>
      <c r="N139" s="1" t="s">
        <v>503</v>
      </c>
      <c r="O139" s="1" t="s">
        <v>504</v>
      </c>
      <c r="P139" t="s">
        <v>505</v>
      </c>
    </row>
    <row r="140" spans="1:16" x14ac:dyDescent="0.25">
      <c r="A140" s="1">
        <v>751175</v>
      </c>
      <c r="B140" t="s">
        <v>125</v>
      </c>
      <c r="C140">
        <v>830002</v>
      </c>
      <c r="F140">
        <f t="shared" si="4"/>
        <v>791175</v>
      </c>
      <c r="G140" t="str">
        <f t="shared" si="5"/>
        <v>830002--</v>
      </c>
      <c r="M140" s="1" t="s">
        <v>506</v>
      </c>
      <c r="N140" s="1" t="s">
        <v>507</v>
      </c>
      <c r="O140" s="1" t="s">
        <v>508</v>
      </c>
      <c r="P140" t="s">
        <v>509</v>
      </c>
    </row>
    <row r="141" spans="1:16" x14ac:dyDescent="0.25">
      <c r="A141" s="1">
        <v>751181</v>
      </c>
      <c r="B141" t="s">
        <v>89</v>
      </c>
      <c r="C141">
        <v>830003</v>
      </c>
      <c r="F141">
        <f t="shared" si="4"/>
        <v>791181</v>
      </c>
      <c r="G141" t="str">
        <f t="shared" si="5"/>
        <v>830003--</v>
      </c>
      <c r="M141" s="1">
        <v>754561</v>
      </c>
      <c r="N141" s="1" t="s">
        <v>167</v>
      </c>
      <c r="O141" s="1">
        <v>799002</v>
      </c>
      <c r="P141" t="s">
        <v>510</v>
      </c>
    </row>
    <row r="142" spans="1:16" x14ac:dyDescent="0.25">
      <c r="A142" s="1">
        <v>751200</v>
      </c>
      <c r="B142" t="s">
        <v>185</v>
      </c>
      <c r="C142">
        <v>830042</v>
      </c>
      <c r="F142">
        <f t="shared" si="4"/>
        <v>791200</v>
      </c>
      <c r="G142" t="str">
        <f t="shared" si="5"/>
        <v>830042--</v>
      </c>
      <c r="M142" s="1">
        <v>754562</v>
      </c>
      <c r="N142" s="1" t="s">
        <v>93</v>
      </c>
      <c r="O142" s="1">
        <v>799003</v>
      </c>
      <c r="P142" t="s">
        <v>511</v>
      </c>
    </row>
    <row r="143" spans="1:16" x14ac:dyDescent="0.25">
      <c r="A143" s="1">
        <v>751201</v>
      </c>
      <c r="B143" t="s">
        <v>199</v>
      </c>
      <c r="C143">
        <v>830042</v>
      </c>
      <c r="F143">
        <f t="shared" si="4"/>
        <v>791201</v>
      </c>
      <c r="G143" t="str">
        <f t="shared" si="5"/>
        <v>830042--</v>
      </c>
      <c r="M143" s="1">
        <v>754563</v>
      </c>
      <c r="N143" s="1" t="s">
        <v>113</v>
      </c>
      <c r="O143" s="1">
        <v>799004</v>
      </c>
      <c r="P143" t="s">
        <v>512</v>
      </c>
    </row>
    <row r="144" spans="1:16" x14ac:dyDescent="0.25">
      <c r="A144" s="1">
        <v>754150</v>
      </c>
      <c r="B144" t="s">
        <v>143</v>
      </c>
      <c r="C144">
        <v>830052</v>
      </c>
      <c r="F144">
        <f t="shared" si="4"/>
        <v>791150</v>
      </c>
      <c r="G144" t="str">
        <f t="shared" si="5"/>
        <v>830052--</v>
      </c>
      <c r="M144" s="1">
        <v>781054</v>
      </c>
      <c r="N144" s="1" t="s">
        <v>369</v>
      </c>
      <c r="O144" s="1">
        <v>631054</v>
      </c>
      <c r="P144" t="s">
        <v>513</v>
      </c>
    </row>
    <row r="145" spans="1:16" x14ac:dyDescent="0.25">
      <c r="A145" s="1">
        <v>754151</v>
      </c>
      <c r="B145" t="s">
        <v>111</v>
      </c>
      <c r="C145">
        <v>830053</v>
      </c>
      <c r="F145">
        <f t="shared" si="4"/>
        <v>791151</v>
      </c>
      <c r="G145" t="str">
        <f t="shared" si="5"/>
        <v>830053--</v>
      </c>
      <c r="M145" s="1">
        <v>781059</v>
      </c>
      <c r="N145" s="1" t="s">
        <v>372</v>
      </c>
      <c r="O145" s="1">
        <v>633159</v>
      </c>
      <c r="P145" t="s">
        <v>514</v>
      </c>
    </row>
    <row r="146" spans="1:16" x14ac:dyDescent="0.25">
      <c r="A146" s="1">
        <v>754160</v>
      </c>
      <c r="B146" t="s">
        <v>91</v>
      </c>
      <c r="C146">
        <v>830105</v>
      </c>
      <c r="D146">
        <v>830106</v>
      </c>
      <c r="F146">
        <f t="shared" si="4"/>
        <v>794160</v>
      </c>
      <c r="G146" t="str">
        <f t="shared" si="5"/>
        <v>830105-830106-</v>
      </c>
      <c r="M146" s="1">
        <v>781062</v>
      </c>
      <c r="N146" s="1" t="s">
        <v>373</v>
      </c>
      <c r="O146" s="1">
        <v>633159</v>
      </c>
      <c r="P146" t="s">
        <v>514</v>
      </c>
    </row>
    <row r="147" spans="1:16" x14ac:dyDescent="0.25">
      <c r="A147" s="1">
        <v>754170</v>
      </c>
      <c r="B147" t="s">
        <v>27</v>
      </c>
      <c r="C147">
        <v>830013</v>
      </c>
      <c r="F147">
        <f t="shared" si="4"/>
        <v>794170</v>
      </c>
      <c r="G147" t="str">
        <f t="shared" si="5"/>
        <v>830013--</v>
      </c>
      <c r="M147" s="1">
        <v>781063</v>
      </c>
      <c r="N147" s="1" t="s">
        <v>387</v>
      </c>
      <c r="O147" s="1">
        <v>633158</v>
      </c>
      <c r="P147" t="s">
        <v>515</v>
      </c>
    </row>
    <row r="148" spans="1:16" x14ac:dyDescent="0.25">
      <c r="A148" s="1">
        <v>754175</v>
      </c>
      <c r="B148" t="s">
        <v>29</v>
      </c>
      <c r="C148">
        <v>830001</v>
      </c>
      <c r="F148">
        <f t="shared" si="4"/>
        <v>794175</v>
      </c>
      <c r="G148" t="str">
        <f t="shared" si="5"/>
        <v>830001--</v>
      </c>
      <c r="M148" s="1">
        <v>781065</v>
      </c>
      <c r="N148" s="1" t="s">
        <v>389</v>
      </c>
      <c r="O148" s="1">
        <v>633158</v>
      </c>
      <c r="P148" t="s">
        <v>515</v>
      </c>
    </row>
    <row r="149" spans="1:16" x14ac:dyDescent="0.25">
      <c r="A149" s="1">
        <v>754176</v>
      </c>
      <c r="B149" t="s">
        <v>324</v>
      </c>
      <c r="F149">
        <f t="shared" si="4"/>
        <v>794176</v>
      </c>
      <c r="G149" t="str">
        <f t="shared" si="5"/>
        <v>--</v>
      </c>
      <c r="M149" s="1">
        <v>781066</v>
      </c>
      <c r="N149" s="1" t="s">
        <v>357</v>
      </c>
      <c r="O149" s="1">
        <v>632066</v>
      </c>
      <c r="P149" t="s">
        <v>516</v>
      </c>
    </row>
    <row r="150" spans="1:16" x14ac:dyDescent="0.25">
      <c r="A150" s="1">
        <v>754177</v>
      </c>
      <c r="B150" t="s">
        <v>325</v>
      </c>
      <c r="F150">
        <f t="shared" si="4"/>
        <v>794177</v>
      </c>
      <c r="G150" t="str">
        <f t="shared" si="5"/>
        <v>--</v>
      </c>
      <c r="M150" s="1">
        <v>781067</v>
      </c>
      <c r="N150" s="1" t="s">
        <v>354</v>
      </c>
      <c r="O150" s="1">
        <v>632067</v>
      </c>
      <c r="P150" t="s">
        <v>517</v>
      </c>
    </row>
    <row r="151" spans="1:16" x14ac:dyDescent="0.25">
      <c r="A151" s="1">
        <v>754181</v>
      </c>
      <c r="B151" t="s">
        <v>97</v>
      </c>
      <c r="C151">
        <v>830004</v>
      </c>
      <c r="F151">
        <f t="shared" si="4"/>
        <v>794180</v>
      </c>
      <c r="G151" t="str">
        <f t="shared" si="5"/>
        <v>830004--</v>
      </c>
      <c r="M151" s="1">
        <v>781069</v>
      </c>
      <c r="N151" s="1" t="s">
        <v>355</v>
      </c>
      <c r="O151" s="1">
        <v>632063</v>
      </c>
      <c r="P151" t="s">
        <v>518</v>
      </c>
    </row>
    <row r="152" spans="1:16" x14ac:dyDescent="0.25">
      <c r="A152" s="1">
        <v>754561</v>
      </c>
      <c r="B152" t="s">
        <v>167</v>
      </c>
      <c r="C152">
        <v>830063</v>
      </c>
      <c r="F152">
        <f t="shared" si="4"/>
        <v>799002</v>
      </c>
      <c r="G152" t="str">
        <f t="shared" si="5"/>
        <v>830063--</v>
      </c>
      <c r="M152" s="1">
        <v>781070</v>
      </c>
      <c r="N152" s="1" t="s">
        <v>442</v>
      </c>
      <c r="O152" s="1">
        <v>633153</v>
      </c>
      <c r="P152" t="s">
        <v>519</v>
      </c>
    </row>
    <row r="153" spans="1:16" x14ac:dyDescent="0.25">
      <c r="A153" s="1">
        <v>754562</v>
      </c>
      <c r="B153" t="s">
        <v>93</v>
      </c>
      <c r="C153">
        <v>830063</v>
      </c>
      <c r="F153">
        <f t="shared" si="4"/>
        <v>799003</v>
      </c>
      <c r="G153" t="str">
        <f t="shared" si="5"/>
        <v>830063--</v>
      </c>
      <c r="M153" s="1">
        <v>781071</v>
      </c>
      <c r="N153" s="1" t="s">
        <v>443</v>
      </c>
      <c r="O153" s="1">
        <v>633152</v>
      </c>
      <c r="P153" t="s">
        <v>520</v>
      </c>
    </row>
    <row r="154" spans="1:16" x14ac:dyDescent="0.25">
      <c r="A154" s="1">
        <v>754563</v>
      </c>
      <c r="B154" t="s">
        <v>113</v>
      </c>
      <c r="C154">
        <v>830063</v>
      </c>
      <c r="F154">
        <f t="shared" si="4"/>
        <v>799004</v>
      </c>
      <c r="G154" t="str">
        <f t="shared" si="5"/>
        <v>830063--</v>
      </c>
      <c r="M154" s="1">
        <v>781072</v>
      </c>
      <c r="N154" s="1" t="s">
        <v>444</v>
      </c>
      <c r="O154" s="1">
        <v>633181</v>
      </c>
      <c r="P154" t="s">
        <v>521</v>
      </c>
    </row>
    <row r="155" spans="1:16" x14ac:dyDescent="0.25">
      <c r="M155" s="1">
        <v>781073</v>
      </c>
      <c r="N155" s="1" t="s">
        <v>445</v>
      </c>
      <c r="O155" s="1">
        <v>633150</v>
      </c>
      <c r="P155" t="s">
        <v>522</v>
      </c>
    </row>
    <row r="156" spans="1:16" x14ac:dyDescent="0.25">
      <c r="M156" s="1" t="s">
        <v>450</v>
      </c>
      <c r="N156" s="1" t="s">
        <v>451</v>
      </c>
      <c r="O156" s="1" t="s">
        <v>523</v>
      </c>
      <c r="P156" t="s">
        <v>524</v>
      </c>
    </row>
    <row r="157" spans="1:16" x14ac:dyDescent="0.25">
      <c r="M157" s="1">
        <v>781075</v>
      </c>
      <c r="N157" s="1" t="s">
        <v>446</v>
      </c>
      <c r="O157" s="1">
        <v>633151</v>
      </c>
      <c r="P157" t="s">
        <v>525</v>
      </c>
    </row>
    <row r="158" spans="1:16" x14ac:dyDescent="0.25">
      <c r="M158" s="1">
        <v>781076</v>
      </c>
      <c r="N158" s="1" t="s">
        <v>447</v>
      </c>
      <c r="O158" s="1">
        <v>633150</v>
      </c>
      <c r="P158" t="s">
        <v>522</v>
      </c>
    </row>
    <row r="159" spans="1:16" x14ac:dyDescent="0.25">
      <c r="M159" s="1">
        <v>781077</v>
      </c>
      <c r="N159" s="1" t="s">
        <v>448</v>
      </c>
      <c r="O159" s="1">
        <v>633182</v>
      </c>
      <c r="P159" t="s">
        <v>526</v>
      </c>
    </row>
    <row r="160" spans="1:16" x14ac:dyDescent="0.25">
      <c r="M160" s="1">
        <v>781078</v>
      </c>
      <c r="N160" s="1" t="s">
        <v>449</v>
      </c>
      <c r="O160" s="1">
        <v>633152</v>
      </c>
      <c r="P160" t="s">
        <v>520</v>
      </c>
    </row>
    <row r="161" spans="13:16" x14ac:dyDescent="0.25">
      <c r="M161" s="1">
        <v>781082</v>
      </c>
      <c r="N161" s="1" t="s">
        <v>383</v>
      </c>
      <c r="O161" s="1">
        <v>631082</v>
      </c>
      <c r="P161" t="s">
        <v>527</v>
      </c>
    </row>
    <row r="162" spans="13:16" x14ac:dyDescent="0.25">
      <c r="M162" s="1">
        <v>781083</v>
      </c>
      <c r="N162" s="1" t="s">
        <v>384</v>
      </c>
      <c r="O162" s="1">
        <v>631083</v>
      </c>
      <c r="P162" t="s">
        <v>528</v>
      </c>
    </row>
    <row r="163" spans="13:16" x14ac:dyDescent="0.25">
      <c r="M163" s="1">
        <v>781084</v>
      </c>
      <c r="N163" s="1" t="s">
        <v>385</v>
      </c>
      <c r="O163" s="1">
        <v>631084</v>
      </c>
      <c r="P163" t="s">
        <v>529</v>
      </c>
    </row>
    <row r="164" spans="13:16" x14ac:dyDescent="0.25">
      <c r="M164" s="1">
        <v>781159</v>
      </c>
      <c r="N164" s="1" t="s">
        <v>370</v>
      </c>
      <c r="O164" s="1">
        <v>633154</v>
      </c>
      <c r="P164" t="s">
        <v>530</v>
      </c>
    </row>
    <row r="165" spans="13:16" x14ac:dyDescent="0.25">
      <c r="M165" s="1">
        <v>781160</v>
      </c>
      <c r="N165" s="1" t="s">
        <v>371</v>
      </c>
      <c r="O165" s="1">
        <v>633154</v>
      </c>
      <c r="P165" t="s">
        <v>530</v>
      </c>
    </row>
    <row r="166" spans="13:16" x14ac:dyDescent="0.25">
      <c r="M166" s="1">
        <v>781161</v>
      </c>
      <c r="N166" s="1" t="s">
        <v>440</v>
      </c>
      <c r="O166" s="1">
        <v>631161</v>
      </c>
      <c r="P166" t="s">
        <v>531</v>
      </c>
    </row>
    <row r="167" spans="13:16" x14ac:dyDescent="0.25">
      <c r="M167" s="1">
        <v>781162</v>
      </c>
      <c r="N167" s="1" t="s">
        <v>441</v>
      </c>
      <c r="O167" s="1">
        <v>631162</v>
      </c>
      <c r="P167" t="s">
        <v>532</v>
      </c>
    </row>
    <row r="168" spans="13:16" x14ac:dyDescent="0.25">
      <c r="M168" s="1">
        <v>781168</v>
      </c>
      <c r="N168" s="1" t="s">
        <v>533</v>
      </c>
      <c r="O168" s="1" t="s">
        <v>534</v>
      </c>
      <c r="P168" t="s">
        <v>535</v>
      </c>
    </row>
    <row r="169" spans="13:16" x14ac:dyDescent="0.25">
      <c r="M169" s="1">
        <v>781169</v>
      </c>
      <c r="N169" s="1" t="s">
        <v>393</v>
      </c>
      <c r="O169" s="1" t="s">
        <v>534</v>
      </c>
      <c r="P169" t="s">
        <v>535</v>
      </c>
    </row>
    <row r="170" spans="13:16" x14ac:dyDescent="0.25">
      <c r="M170" s="1" t="s">
        <v>536</v>
      </c>
      <c r="N170" s="1" t="s">
        <v>537</v>
      </c>
      <c r="O170" s="1" t="s">
        <v>534</v>
      </c>
      <c r="P170" t="s">
        <v>535</v>
      </c>
    </row>
    <row r="171" spans="13:16" x14ac:dyDescent="0.25">
      <c r="M171" s="1">
        <v>781170</v>
      </c>
      <c r="N171" s="1" t="s">
        <v>538</v>
      </c>
      <c r="O171" s="1" t="s">
        <v>539</v>
      </c>
      <c r="P171" t="s">
        <v>540</v>
      </c>
    </row>
    <row r="172" spans="13:16" x14ac:dyDescent="0.25">
      <c r="M172" s="1">
        <v>781171</v>
      </c>
      <c r="N172" s="1" t="s">
        <v>541</v>
      </c>
      <c r="O172" s="1" t="s">
        <v>539</v>
      </c>
      <c r="P172" t="s">
        <v>540</v>
      </c>
    </row>
    <row r="173" spans="13:16" x14ac:dyDescent="0.25">
      <c r="M173" s="1">
        <v>781172</v>
      </c>
      <c r="N173" s="1" t="s">
        <v>542</v>
      </c>
      <c r="O173" s="1" t="s">
        <v>539</v>
      </c>
      <c r="P173" t="s">
        <v>540</v>
      </c>
    </row>
    <row r="174" spans="13:16" x14ac:dyDescent="0.25">
      <c r="M174" s="1">
        <v>781173</v>
      </c>
      <c r="N174" s="1" t="s">
        <v>397</v>
      </c>
      <c r="O174" s="1">
        <v>633178</v>
      </c>
      <c r="P174" t="s">
        <v>543</v>
      </c>
    </row>
    <row r="175" spans="13:16" x14ac:dyDescent="0.25">
      <c r="M175" s="1" t="s">
        <v>395</v>
      </c>
      <c r="N175" s="1" t="s">
        <v>396</v>
      </c>
      <c r="O175" s="1">
        <v>634169</v>
      </c>
      <c r="P175" t="s">
        <v>544</v>
      </c>
    </row>
    <row r="176" spans="13:16" x14ac:dyDescent="0.25">
      <c r="M176" s="1">
        <v>781175</v>
      </c>
      <c r="N176" s="1" t="s">
        <v>438</v>
      </c>
      <c r="O176" s="1">
        <v>633168</v>
      </c>
      <c r="P176" t="s">
        <v>545</v>
      </c>
    </row>
    <row r="177" spans="13:16" x14ac:dyDescent="0.25">
      <c r="M177" s="1">
        <v>781176</v>
      </c>
      <c r="N177" s="1" t="s">
        <v>382</v>
      </c>
      <c r="O177" s="1">
        <v>633176</v>
      </c>
      <c r="P177" t="s">
        <v>546</v>
      </c>
    </row>
    <row r="178" spans="13:16" x14ac:dyDescent="0.25">
      <c r="M178" s="1">
        <v>781177</v>
      </c>
      <c r="N178" s="1" t="s">
        <v>437</v>
      </c>
      <c r="O178" s="1">
        <v>633179</v>
      </c>
      <c r="P178" t="s">
        <v>547</v>
      </c>
    </row>
    <row r="179" spans="13:16" x14ac:dyDescent="0.25">
      <c r="M179" s="1">
        <v>781178</v>
      </c>
      <c r="N179" s="1" t="s">
        <v>394</v>
      </c>
      <c r="O179" s="1">
        <v>633180</v>
      </c>
      <c r="P179" t="s">
        <v>548</v>
      </c>
    </row>
    <row r="180" spans="13:16" x14ac:dyDescent="0.25">
      <c r="M180" s="1">
        <v>781179</v>
      </c>
      <c r="N180" s="1" t="s">
        <v>391</v>
      </c>
      <c r="O180" s="1">
        <v>633156</v>
      </c>
      <c r="P180" t="s">
        <v>549</v>
      </c>
    </row>
    <row r="181" spans="13:16" x14ac:dyDescent="0.25">
      <c r="M181" s="1">
        <v>781180</v>
      </c>
      <c r="N181" s="1" t="s">
        <v>431</v>
      </c>
      <c r="O181" s="1">
        <v>633155</v>
      </c>
      <c r="P181" t="s">
        <v>550</v>
      </c>
    </row>
    <row r="182" spans="13:16" x14ac:dyDescent="0.25">
      <c r="M182" s="1">
        <v>781181</v>
      </c>
      <c r="N182" s="1" t="s">
        <v>418</v>
      </c>
      <c r="O182" s="1">
        <v>632054</v>
      </c>
      <c r="P182" t="s">
        <v>551</v>
      </c>
    </row>
    <row r="183" spans="13:16" x14ac:dyDescent="0.25">
      <c r="M183" s="1">
        <v>781182</v>
      </c>
      <c r="N183" s="1" t="s">
        <v>386</v>
      </c>
      <c r="O183" s="1">
        <v>632055</v>
      </c>
      <c r="P183" t="s">
        <v>552</v>
      </c>
    </row>
    <row r="184" spans="13:16" x14ac:dyDescent="0.25">
      <c r="M184" s="1">
        <v>781190</v>
      </c>
      <c r="N184" s="1" t="s">
        <v>398</v>
      </c>
      <c r="O184" s="1">
        <v>631190</v>
      </c>
      <c r="P184" t="s">
        <v>553</v>
      </c>
    </row>
    <row r="185" spans="13:16" x14ac:dyDescent="0.25">
      <c r="M185" s="1">
        <v>781191</v>
      </c>
      <c r="N185" s="1" t="s">
        <v>399</v>
      </c>
      <c r="O185" s="1">
        <v>631191</v>
      </c>
      <c r="P185" t="s">
        <v>554</v>
      </c>
    </row>
    <row r="186" spans="13:16" x14ac:dyDescent="0.25">
      <c r="M186" s="1" t="s">
        <v>400</v>
      </c>
      <c r="N186" s="1" t="s">
        <v>401</v>
      </c>
      <c r="O186" s="1" t="s">
        <v>555</v>
      </c>
      <c r="P186" t="s">
        <v>556</v>
      </c>
    </row>
    <row r="187" spans="13:16" x14ac:dyDescent="0.25">
      <c r="M187" s="1" t="s">
        <v>402</v>
      </c>
      <c r="N187" s="1" t="s">
        <v>403</v>
      </c>
      <c r="O187" s="1" t="s">
        <v>555</v>
      </c>
      <c r="P187" t="s">
        <v>556</v>
      </c>
    </row>
    <row r="188" spans="13:16" x14ac:dyDescent="0.25">
      <c r="M188" s="1" t="s">
        <v>469</v>
      </c>
      <c r="N188" s="1" t="s">
        <v>470</v>
      </c>
      <c r="O188" s="1" t="s">
        <v>463</v>
      </c>
      <c r="P188" t="s">
        <v>464</v>
      </c>
    </row>
    <row r="189" spans="13:16" x14ac:dyDescent="0.25">
      <c r="M189" s="1">
        <v>784054</v>
      </c>
      <c r="N189" s="1" t="s">
        <v>413</v>
      </c>
      <c r="O189" s="1">
        <v>634054</v>
      </c>
      <c r="P189" t="s">
        <v>557</v>
      </c>
    </row>
    <row r="190" spans="13:16" x14ac:dyDescent="0.25">
      <c r="M190" s="1">
        <v>784061</v>
      </c>
      <c r="N190" s="1" t="s">
        <v>375</v>
      </c>
      <c r="O190" s="1">
        <v>632061</v>
      </c>
      <c r="P190" t="s">
        <v>558</v>
      </c>
    </row>
    <row r="191" spans="13:16" x14ac:dyDescent="0.25">
      <c r="M191" s="1">
        <v>784062</v>
      </c>
      <c r="N191" s="1" t="s">
        <v>414</v>
      </c>
      <c r="O191" s="1">
        <v>632062</v>
      </c>
      <c r="P191" t="s">
        <v>559</v>
      </c>
    </row>
    <row r="192" spans="13:16" x14ac:dyDescent="0.25">
      <c r="M192" s="1">
        <v>784063</v>
      </c>
      <c r="N192" s="1" t="s">
        <v>376</v>
      </c>
      <c r="O192" s="1">
        <v>632059</v>
      </c>
      <c r="P192" t="s">
        <v>560</v>
      </c>
    </row>
    <row r="193" spans="13:16" x14ac:dyDescent="0.25">
      <c r="M193" s="1">
        <v>784064</v>
      </c>
      <c r="N193" s="1" t="s">
        <v>415</v>
      </c>
      <c r="O193" s="1">
        <v>632058</v>
      </c>
      <c r="P193" t="s">
        <v>561</v>
      </c>
    </row>
    <row r="194" spans="13:16" x14ac:dyDescent="0.25">
      <c r="M194" s="1">
        <v>784065</v>
      </c>
      <c r="N194" s="1" t="s">
        <v>388</v>
      </c>
      <c r="O194" s="1">
        <v>633162</v>
      </c>
      <c r="P194" t="s">
        <v>562</v>
      </c>
    </row>
    <row r="195" spans="13:16" x14ac:dyDescent="0.25">
      <c r="M195" s="1">
        <v>784066</v>
      </c>
      <c r="N195" s="1" t="s">
        <v>390</v>
      </c>
      <c r="O195" s="1">
        <v>633163</v>
      </c>
      <c r="P195" t="s">
        <v>563</v>
      </c>
    </row>
    <row r="196" spans="13:16" x14ac:dyDescent="0.25">
      <c r="M196" s="1">
        <v>784068</v>
      </c>
      <c r="N196" s="1" t="s">
        <v>374</v>
      </c>
      <c r="O196" s="1">
        <v>633177</v>
      </c>
      <c r="P196" t="s">
        <v>564</v>
      </c>
    </row>
    <row r="197" spans="13:16" x14ac:dyDescent="0.25">
      <c r="M197" s="1">
        <v>784069</v>
      </c>
      <c r="N197" s="1" t="s">
        <v>380</v>
      </c>
      <c r="O197" s="1">
        <v>633176</v>
      </c>
      <c r="P197" t="s">
        <v>546</v>
      </c>
    </row>
    <row r="198" spans="13:16" x14ac:dyDescent="0.25">
      <c r="M198" s="1">
        <v>784070</v>
      </c>
      <c r="N198" s="1" t="s">
        <v>417</v>
      </c>
      <c r="O198" s="1">
        <v>633175</v>
      </c>
      <c r="P198" t="s">
        <v>565</v>
      </c>
    </row>
    <row r="199" spans="13:16" x14ac:dyDescent="0.25">
      <c r="M199" s="1" t="s">
        <v>566</v>
      </c>
      <c r="N199" s="1" t="s">
        <v>567</v>
      </c>
      <c r="O199" s="1" t="s">
        <v>568</v>
      </c>
      <c r="P199" t="s">
        <v>569</v>
      </c>
    </row>
    <row r="200" spans="13:16" x14ac:dyDescent="0.25">
      <c r="M200" s="1" t="s">
        <v>452</v>
      </c>
      <c r="N200" s="1" t="s">
        <v>453</v>
      </c>
      <c r="O200" s="1" t="s">
        <v>568</v>
      </c>
      <c r="P200" t="s">
        <v>569</v>
      </c>
    </row>
    <row r="201" spans="13:16" x14ac:dyDescent="0.25">
      <c r="M201" s="1">
        <v>784150</v>
      </c>
      <c r="N201" s="1" t="s">
        <v>356</v>
      </c>
      <c r="O201" s="1">
        <v>634150</v>
      </c>
      <c r="P201" t="s">
        <v>570</v>
      </c>
    </row>
    <row r="202" spans="13:16" x14ac:dyDescent="0.25">
      <c r="M202" s="1">
        <v>784156</v>
      </c>
      <c r="N202" s="1" t="s">
        <v>423</v>
      </c>
      <c r="O202" s="1">
        <v>633175</v>
      </c>
      <c r="P202" t="s">
        <v>565</v>
      </c>
    </row>
    <row r="203" spans="13:16" x14ac:dyDescent="0.25">
      <c r="M203" s="1">
        <v>784157</v>
      </c>
      <c r="N203" s="1" t="s">
        <v>378</v>
      </c>
      <c r="O203" s="1">
        <v>633160</v>
      </c>
      <c r="P203" t="s">
        <v>571</v>
      </c>
    </row>
    <row r="204" spans="13:16" x14ac:dyDescent="0.25">
      <c r="M204" s="1">
        <v>784158</v>
      </c>
      <c r="N204" s="1" t="s">
        <v>430</v>
      </c>
      <c r="O204" s="1">
        <v>633161</v>
      </c>
      <c r="P204" t="s">
        <v>572</v>
      </c>
    </row>
    <row r="205" spans="13:16" x14ac:dyDescent="0.25">
      <c r="M205" s="1">
        <v>784159</v>
      </c>
      <c r="N205" s="1" t="s">
        <v>361</v>
      </c>
      <c r="O205" s="1">
        <v>633164</v>
      </c>
      <c r="P205" t="s">
        <v>573</v>
      </c>
    </row>
    <row r="206" spans="13:16" x14ac:dyDescent="0.25">
      <c r="M206" s="1">
        <v>784160</v>
      </c>
      <c r="N206" s="1" t="s">
        <v>405</v>
      </c>
      <c r="O206" s="1">
        <v>633165</v>
      </c>
      <c r="P206" t="s">
        <v>574</v>
      </c>
    </row>
    <row r="207" spans="13:16" x14ac:dyDescent="0.25">
      <c r="M207" s="1">
        <v>784161</v>
      </c>
      <c r="N207" s="1" t="s">
        <v>363</v>
      </c>
      <c r="O207" s="1">
        <v>633166</v>
      </c>
      <c r="P207" t="s">
        <v>575</v>
      </c>
    </row>
    <row r="208" spans="13:16" x14ac:dyDescent="0.25">
      <c r="M208" s="1">
        <v>784162</v>
      </c>
      <c r="N208" s="1" t="s">
        <v>419</v>
      </c>
      <c r="O208" s="1">
        <v>633157</v>
      </c>
      <c r="P208" t="s">
        <v>576</v>
      </c>
    </row>
    <row r="209" spans="13:16" x14ac:dyDescent="0.25">
      <c r="M209" s="1">
        <v>784163</v>
      </c>
      <c r="N209" s="1" t="s">
        <v>377</v>
      </c>
      <c r="O209" s="1">
        <v>632059</v>
      </c>
      <c r="P209" t="s">
        <v>560</v>
      </c>
    </row>
    <row r="210" spans="13:16" x14ac:dyDescent="0.25">
      <c r="M210" s="1">
        <v>784164</v>
      </c>
      <c r="N210" s="1" t="s">
        <v>416</v>
      </c>
      <c r="O210" s="1">
        <v>632058</v>
      </c>
      <c r="P210" t="s">
        <v>561</v>
      </c>
    </row>
    <row r="211" spans="13:16" x14ac:dyDescent="0.25">
      <c r="M211" s="1">
        <v>784165</v>
      </c>
      <c r="N211" s="1" t="s">
        <v>365</v>
      </c>
      <c r="O211" s="1">
        <v>633171</v>
      </c>
      <c r="P211" t="s">
        <v>577</v>
      </c>
    </row>
    <row r="212" spans="13:16" x14ac:dyDescent="0.25">
      <c r="M212" s="1">
        <v>784166</v>
      </c>
      <c r="N212" s="1" t="s">
        <v>409</v>
      </c>
      <c r="O212" s="1">
        <v>633172</v>
      </c>
      <c r="P212" t="s">
        <v>578</v>
      </c>
    </row>
    <row r="213" spans="13:16" x14ac:dyDescent="0.25">
      <c r="M213" s="1">
        <v>784167</v>
      </c>
      <c r="N213" s="1" t="s">
        <v>579</v>
      </c>
      <c r="O213" s="1" t="s">
        <v>539</v>
      </c>
      <c r="P213" t="s">
        <v>540</v>
      </c>
    </row>
    <row r="214" spans="13:16" x14ac:dyDescent="0.25">
      <c r="M214" s="1">
        <v>784168</v>
      </c>
      <c r="N214" s="1" t="s">
        <v>420</v>
      </c>
      <c r="O214" s="1">
        <v>633157</v>
      </c>
      <c r="P214" t="s">
        <v>576</v>
      </c>
    </row>
    <row r="215" spans="13:16" x14ac:dyDescent="0.25">
      <c r="M215" s="1">
        <v>784169</v>
      </c>
      <c r="N215" s="1" t="s">
        <v>422</v>
      </c>
      <c r="O215" s="1" t="s">
        <v>539</v>
      </c>
      <c r="P215" t="s">
        <v>540</v>
      </c>
    </row>
    <row r="216" spans="13:16" x14ac:dyDescent="0.25">
      <c r="M216" s="1" t="s">
        <v>580</v>
      </c>
      <c r="N216" s="1" t="s">
        <v>581</v>
      </c>
      <c r="O216" s="1" t="s">
        <v>539</v>
      </c>
      <c r="P216" t="s">
        <v>540</v>
      </c>
    </row>
    <row r="217" spans="13:16" x14ac:dyDescent="0.25">
      <c r="M217" s="1">
        <v>784170</v>
      </c>
      <c r="N217" s="1" t="s">
        <v>421</v>
      </c>
      <c r="O217" s="1">
        <v>634168</v>
      </c>
      <c r="P217" t="s">
        <v>582</v>
      </c>
    </row>
    <row r="218" spans="13:16" x14ac:dyDescent="0.25">
      <c r="M218" s="1">
        <v>784171</v>
      </c>
      <c r="N218" s="1" t="s">
        <v>367</v>
      </c>
      <c r="O218" s="1">
        <v>633171</v>
      </c>
      <c r="P218" t="s">
        <v>577</v>
      </c>
    </row>
    <row r="219" spans="13:16" x14ac:dyDescent="0.25">
      <c r="M219" s="1">
        <v>784172</v>
      </c>
      <c r="N219" s="1" t="s">
        <v>411</v>
      </c>
      <c r="O219" s="1">
        <v>633172</v>
      </c>
      <c r="P219" t="s">
        <v>578</v>
      </c>
    </row>
    <row r="220" spans="13:16" x14ac:dyDescent="0.25">
      <c r="M220" s="1" t="s">
        <v>424</v>
      </c>
      <c r="N220" s="1" t="s">
        <v>425</v>
      </c>
      <c r="O220" s="1" t="s">
        <v>583</v>
      </c>
      <c r="P220" t="s">
        <v>584</v>
      </c>
    </row>
    <row r="221" spans="13:16" x14ac:dyDescent="0.25">
      <c r="M221" s="1">
        <v>784174</v>
      </c>
      <c r="N221" s="1" t="s">
        <v>426</v>
      </c>
      <c r="O221" s="1" t="s">
        <v>583</v>
      </c>
      <c r="P221" t="s">
        <v>584</v>
      </c>
    </row>
    <row r="222" spans="13:16" x14ac:dyDescent="0.25">
      <c r="M222" s="1">
        <v>784175</v>
      </c>
      <c r="N222" s="1" t="s">
        <v>407</v>
      </c>
      <c r="O222" s="1">
        <v>633167</v>
      </c>
      <c r="P222" t="s">
        <v>585</v>
      </c>
    </row>
    <row r="223" spans="13:16" x14ac:dyDescent="0.25">
      <c r="M223" s="1">
        <v>784176</v>
      </c>
      <c r="N223" s="1" t="s">
        <v>381</v>
      </c>
      <c r="O223" s="1">
        <v>633173</v>
      </c>
      <c r="P223" t="s">
        <v>586</v>
      </c>
    </row>
    <row r="224" spans="13:16" x14ac:dyDescent="0.25">
      <c r="M224" s="1">
        <v>784177</v>
      </c>
      <c r="N224" s="1" t="s">
        <v>436</v>
      </c>
      <c r="O224" s="1">
        <v>633174</v>
      </c>
      <c r="P224" t="s">
        <v>587</v>
      </c>
    </row>
    <row r="225" spans="13:16" x14ac:dyDescent="0.25">
      <c r="M225" s="1">
        <v>784178</v>
      </c>
      <c r="N225" s="1" t="s">
        <v>379</v>
      </c>
      <c r="O225" s="1">
        <v>633169</v>
      </c>
      <c r="P225" t="s">
        <v>588</v>
      </c>
    </row>
    <row r="226" spans="13:16" x14ac:dyDescent="0.25">
      <c r="M226" s="1">
        <v>784179</v>
      </c>
      <c r="N226" s="1" t="s">
        <v>435</v>
      </c>
      <c r="O226" s="1">
        <v>633170</v>
      </c>
      <c r="P226" t="s">
        <v>589</v>
      </c>
    </row>
    <row r="227" spans="13:16" x14ac:dyDescent="0.25">
      <c r="M227" s="1">
        <v>784190</v>
      </c>
      <c r="N227" s="1" t="s">
        <v>429</v>
      </c>
      <c r="O227" s="1">
        <v>634190</v>
      </c>
      <c r="P227" t="s">
        <v>590</v>
      </c>
    </row>
    <row r="228" spans="13:16" x14ac:dyDescent="0.25">
      <c r="M228" s="1">
        <v>784191</v>
      </c>
      <c r="N228" s="1" t="s">
        <v>422</v>
      </c>
      <c r="O228" s="1">
        <v>634191</v>
      </c>
      <c r="P228" t="s">
        <v>591</v>
      </c>
    </row>
    <row r="229" spans="13:16" x14ac:dyDescent="0.25">
      <c r="M229" s="1">
        <v>784482</v>
      </c>
      <c r="N229" s="1" t="s">
        <v>432</v>
      </c>
      <c r="O229" s="1">
        <v>634482</v>
      </c>
      <c r="P229" t="s">
        <v>592</v>
      </c>
    </row>
    <row r="230" spans="13:16" x14ac:dyDescent="0.25">
      <c r="M230" s="1">
        <v>784483</v>
      </c>
      <c r="N230" s="1" t="s">
        <v>433</v>
      </c>
      <c r="O230" s="1">
        <v>634483</v>
      </c>
      <c r="P230" t="s">
        <v>593</v>
      </c>
    </row>
    <row r="231" spans="13:16" x14ac:dyDescent="0.25">
      <c r="M231" s="1">
        <v>784484</v>
      </c>
      <c r="N231" s="1" t="s">
        <v>434</v>
      </c>
      <c r="O231" s="1">
        <v>634484</v>
      </c>
      <c r="P231" t="s">
        <v>594</v>
      </c>
    </row>
    <row r="232" spans="13:16" x14ac:dyDescent="0.25">
      <c r="M232" s="1">
        <v>785083</v>
      </c>
      <c r="N232" s="1" t="s">
        <v>439</v>
      </c>
      <c r="O232" s="1">
        <v>635083</v>
      </c>
      <c r="P232" t="s">
        <v>595</v>
      </c>
    </row>
    <row r="233" spans="13:16" x14ac:dyDescent="0.25">
      <c r="M233" s="1">
        <v>785167</v>
      </c>
      <c r="N233" s="1" t="s">
        <v>358</v>
      </c>
      <c r="O233" s="1">
        <v>632068</v>
      </c>
      <c r="P233" t="s">
        <v>596</v>
      </c>
    </row>
    <row r="234" spans="13:16" x14ac:dyDescent="0.25">
      <c r="M234" s="1">
        <v>785169</v>
      </c>
      <c r="N234" s="1" t="s">
        <v>359</v>
      </c>
      <c r="O234" s="1">
        <v>632064</v>
      </c>
      <c r="P234" t="s">
        <v>597</v>
      </c>
    </row>
    <row r="235" spans="13:16" x14ac:dyDescent="0.25">
      <c r="M235" s="1">
        <v>785175</v>
      </c>
      <c r="N235" s="1" t="s">
        <v>427</v>
      </c>
      <c r="O235" s="1">
        <v>635175</v>
      </c>
      <c r="P235" t="s">
        <v>598</v>
      </c>
    </row>
    <row r="236" spans="13:16" x14ac:dyDescent="0.25">
      <c r="M236" s="1">
        <v>785176</v>
      </c>
      <c r="N236" s="1" t="s">
        <v>428</v>
      </c>
      <c r="O236" s="1">
        <v>635176</v>
      </c>
      <c r="P236" t="s">
        <v>599</v>
      </c>
    </row>
    <row r="237" spans="13:16" x14ac:dyDescent="0.25">
      <c r="M237" s="1">
        <v>789002</v>
      </c>
      <c r="N237" s="1" t="s">
        <v>458</v>
      </c>
      <c r="O237" s="1">
        <v>635005</v>
      </c>
      <c r="P237" t="s">
        <v>600</v>
      </c>
    </row>
    <row r="238" spans="13:16" x14ac:dyDescent="0.25">
      <c r="M238" s="1">
        <v>789003</v>
      </c>
      <c r="N238" s="1" t="s">
        <v>459</v>
      </c>
      <c r="O238" s="1">
        <v>635005</v>
      </c>
      <c r="P238" t="s">
        <v>600</v>
      </c>
    </row>
    <row r="239" spans="13:16" x14ac:dyDescent="0.25">
      <c r="M239" s="1" t="s">
        <v>467</v>
      </c>
      <c r="N239" s="1" t="s">
        <v>468</v>
      </c>
      <c r="O239" s="1" t="s">
        <v>601</v>
      </c>
      <c r="P239" t="s">
        <v>602</v>
      </c>
    </row>
    <row r="240" spans="13:16" x14ac:dyDescent="0.25">
      <c r="M240" s="1">
        <v>791150</v>
      </c>
      <c r="N240" s="1" t="s">
        <v>351</v>
      </c>
      <c r="O240" s="1">
        <v>631150</v>
      </c>
      <c r="P240" t="s">
        <v>603</v>
      </c>
    </row>
    <row r="241" spans="13:16" x14ac:dyDescent="0.25">
      <c r="M241" s="1">
        <v>791151</v>
      </c>
      <c r="N241" s="1" t="s">
        <v>353</v>
      </c>
      <c r="O241" s="1">
        <v>631151</v>
      </c>
      <c r="P241" t="s">
        <v>604</v>
      </c>
    </row>
    <row r="242" spans="13:16" x14ac:dyDescent="0.25">
      <c r="M242" s="1">
        <v>791152</v>
      </c>
      <c r="N242" s="1" t="s">
        <v>479</v>
      </c>
      <c r="O242" s="1">
        <v>631152</v>
      </c>
      <c r="P242" t="s">
        <v>605</v>
      </c>
    </row>
    <row r="243" spans="13:16" x14ac:dyDescent="0.25">
      <c r="M243" s="1">
        <v>791153</v>
      </c>
      <c r="N243" s="1" t="s">
        <v>480</v>
      </c>
      <c r="O243" s="1">
        <v>631153</v>
      </c>
      <c r="P243" t="s">
        <v>606</v>
      </c>
    </row>
    <row r="244" spans="13:16" x14ac:dyDescent="0.25">
      <c r="M244" s="1">
        <v>791155</v>
      </c>
      <c r="N244" s="1" t="s">
        <v>482</v>
      </c>
      <c r="O244" s="1">
        <v>632056</v>
      </c>
      <c r="P244" t="s">
        <v>607</v>
      </c>
    </row>
    <row r="245" spans="13:16" x14ac:dyDescent="0.25">
      <c r="M245" s="1">
        <v>791156</v>
      </c>
      <c r="N245" s="1" t="s">
        <v>483</v>
      </c>
      <c r="O245" s="1">
        <v>632056</v>
      </c>
      <c r="P245" t="s">
        <v>607</v>
      </c>
    </row>
    <row r="246" spans="13:16" x14ac:dyDescent="0.25">
      <c r="M246" s="1">
        <v>791160</v>
      </c>
      <c r="N246" s="1" t="s">
        <v>484</v>
      </c>
      <c r="O246" s="1">
        <v>631160</v>
      </c>
      <c r="P246" t="s">
        <v>608</v>
      </c>
    </row>
    <row r="247" spans="13:16" x14ac:dyDescent="0.25">
      <c r="M247" s="1">
        <v>791164</v>
      </c>
      <c r="N247" s="1" t="s">
        <v>486</v>
      </c>
      <c r="O247" s="1">
        <v>632065</v>
      </c>
      <c r="P247" t="s">
        <v>609</v>
      </c>
    </row>
    <row r="248" spans="13:16" x14ac:dyDescent="0.25">
      <c r="M248" s="1">
        <v>791165</v>
      </c>
      <c r="N248" s="1" t="s">
        <v>487</v>
      </c>
      <c r="O248" s="1">
        <v>632065</v>
      </c>
      <c r="P248" t="s">
        <v>609</v>
      </c>
    </row>
    <row r="249" spans="13:16" x14ac:dyDescent="0.25">
      <c r="M249" s="1">
        <v>791170</v>
      </c>
      <c r="N249" s="1" t="s">
        <v>488</v>
      </c>
      <c r="O249" s="1">
        <v>632070</v>
      </c>
      <c r="P249" t="s">
        <v>610</v>
      </c>
    </row>
    <row r="250" spans="13:16" x14ac:dyDescent="0.25">
      <c r="M250" s="1">
        <v>791171</v>
      </c>
      <c r="N250" s="1" t="s">
        <v>489</v>
      </c>
      <c r="O250" s="1">
        <v>632070</v>
      </c>
      <c r="P250" t="s">
        <v>610</v>
      </c>
    </row>
    <row r="251" spans="13:16" x14ac:dyDescent="0.25">
      <c r="M251" s="1">
        <v>791175</v>
      </c>
      <c r="N251" s="1" t="s">
        <v>490</v>
      </c>
      <c r="O251" s="1">
        <v>632074</v>
      </c>
      <c r="P251" t="s">
        <v>611</v>
      </c>
    </row>
    <row r="252" spans="13:16" x14ac:dyDescent="0.25">
      <c r="M252" s="1">
        <v>791176</v>
      </c>
      <c r="N252" s="1" t="s">
        <v>477</v>
      </c>
      <c r="O252" s="1">
        <v>632075</v>
      </c>
      <c r="P252" t="s">
        <v>612</v>
      </c>
    </row>
    <row r="253" spans="13:16" x14ac:dyDescent="0.25">
      <c r="M253" s="1">
        <v>791178</v>
      </c>
      <c r="N253" s="1" t="s">
        <v>478</v>
      </c>
      <c r="O253" s="1">
        <v>632076</v>
      </c>
      <c r="P253" t="s">
        <v>613</v>
      </c>
    </row>
    <row r="254" spans="13:16" x14ac:dyDescent="0.25">
      <c r="M254" s="1">
        <v>791179</v>
      </c>
      <c r="N254" s="1" t="s">
        <v>481</v>
      </c>
      <c r="O254" s="1">
        <v>632077</v>
      </c>
      <c r="P254" t="s">
        <v>614</v>
      </c>
    </row>
    <row r="255" spans="13:16" x14ac:dyDescent="0.25">
      <c r="M255" s="1">
        <v>791181</v>
      </c>
      <c r="N255" s="1" t="s">
        <v>491</v>
      </c>
      <c r="O255" s="1">
        <v>632072</v>
      </c>
      <c r="P255" t="s">
        <v>615</v>
      </c>
    </row>
    <row r="256" spans="13:16" x14ac:dyDescent="0.25">
      <c r="M256" s="1">
        <v>791200</v>
      </c>
      <c r="N256" s="1" t="s">
        <v>492</v>
      </c>
      <c r="O256" s="1">
        <v>635800</v>
      </c>
      <c r="P256" t="s">
        <v>616</v>
      </c>
    </row>
    <row r="257" spans="13:16" x14ac:dyDescent="0.25">
      <c r="M257" s="1">
        <v>791201</v>
      </c>
      <c r="N257" s="1" t="s">
        <v>493</v>
      </c>
      <c r="O257" s="1">
        <v>635801</v>
      </c>
      <c r="P257" t="s">
        <v>617</v>
      </c>
    </row>
    <row r="258" spans="13:16" x14ac:dyDescent="0.25">
      <c r="M258" s="1">
        <v>791202</v>
      </c>
      <c r="N258" s="1" t="s">
        <v>495</v>
      </c>
      <c r="O258" s="1">
        <v>635802</v>
      </c>
      <c r="P258" t="s">
        <v>618</v>
      </c>
    </row>
    <row r="259" spans="13:16" x14ac:dyDescent="0.25">
      <c r="M259" s="1">
        <v>794160</v>
      </c>
      <c r="N259" s="1" t="s">
        <v>496</v>
      </c>
      <c r="O259" s="1">
        <v>634160</v>
      </c>
      <c r="P259" t="s">
        <v>619</v>
      </c>
    </row>
    <row r="260" spans="13:16" x14ac:dyDescent="0.25">
      <c r="M260" s="1">
        <v>794170</v>
      </c>
      <c r="N260" s="1" t="s">
        <v>497</v>
      </c>
      <c r="O260" s="1">
        <v>632069</v>
      </c>
      <c r="P260" t="s">
        <v>620</v>
      </c>
    </row>
    <row r="261" spans="13:16" x14ac:dyDescent="0.25">
      <c r="M261" s="1">
        <v>794175</v>
      </c>
      <c r="N261" s="1" t="s">
        <v>498</v>
      </c>
      <c r="O261" s="1">
        <v>632073</v>
      </c>
      <c r="P261" t="s">
        <v>621</v>
      </c>
    </row>
    <row r="262" spans="13:16" x14ac:dyDescent="0.25">
      <c r="M262" s="1">
        <v>794176</v>
      </c>
      <c r="N262" s="1" t="s">
        <v>499</v>
      </c>
      <c r="O262" s="1">
        <v>632073</v>
      </c>
      <c r="P262" t="s">
        <v>621</v>
      </c>
    </row>
    <row r="263" spans="13:16" x14ac:dyDescent="0.25">
      <c r="M263" s="1">
        <v>794177</v>
      </c>
      <c r="N263" s="1" t="s">
        <v>500</v>
      </c>
      <c r="O263" s="1">
        <v>632073</v>
      </c>
      <c r="P263" t="s">
        <v>621</v>
      </c>
    </row>
    <row r="264" spans="13:16" x14ac:dyDescent="0.25">
      <c r="M264" s="1">
        <v>794180</v>
      </c>
      <c r="N264" s="1" t="s">
        <v>501</v>
      </c>
      <c r="O264" s="1">
        <v>632071</v>
      </c>
      <c r="P264" t="s">
        <v>622</v>
      </c>
    </row>
    <row r="265" spans="13:16" x14ac:dyDescent="0.25">
      <c r="M265" s="1" t="s">
        <v>504</v>
      </c>
      <c r="N265" s="1" t="s">
        <v>505</v>
      </c>
      <c r="O265" s="1" t="s">
        <v>623</v>
      </c>
      <c r="P265" t="s">
        <v>624</v>
      </c>
    </row>
    <row r="266" spans="13:16" x14ac:dyDescent="0.25">
      <c r="M266" s="1" t="s">
        <v>508</v>
      </c>
      <c r="N266" s="1" t="s">
        <v>509</v>
      </c>
      <c r="O266" s="1" t="s">
        <v>623</v>
      </c>
      <c r="P266" t="s">
        <v>624</v>
      </c>
    </row>
    <row r="267" spans="13:16" x14ac:dyDescent="0.25">
      <c r="M267" s="1">
        <v>799000</v>
      </c>
      <c r="N267" s="1" t="s">
        <v>472</v>
      </c>
      <c r="O267" s="1">
        <v>632057</v>
      </c>
      <c r="P267" t="s">
        <v>625</v>
      </c>
    </row>
    <row r="268" spans="13:16" x14ac:dyDescent="0.25">
      <c r="M268" s="1">
        <v>799001</v>
      </c>
      <c r="N268" s="1" t="s">
        <v>626</v>
      </c>
      <c r="O268" s="1">
        <v>632050</v>
      </c>
      <c r="P268" t="s">
        <v>627</v>
      </c>
    </row>
    <row r="269" spans="13:16" x14ac:dyDescent="0.25">
      <c r="M269" s="1">
        <v>799002</v>
      </c>
      <c r="N269" s="1" t="s">
        <v>510</v>
      </c>
      <c r="O269" s="1">
        <v>632050</v>
      </c>
      <c r="P269" t="s">
        <v>627</v>
      </c>
    </row>
    <row r="270" spans="13:16" x14ac:dyDescent="0.25">
      <c r="M270" s="1">
        <v>799003</v>
      </c>
      <c r="N270" s="1" t="s">
        <v>511</v>
      </c>
      <c r="O270" s="1">
        <v>632050</v>
      </c>
      <c r="P270" t="s">
        <v>627</v>
      </c>
    </row>
    <row r="271" spans="13:16" x14ac:dyDescent="0.25">
      <c r="M271" s="1">
        <v>799004</v>
      </c>
      <c r="N271" s="1" t="s">
        <v>512</v>
      </c>
      <c r="O271" s="1">
        <v>632050</v>
      </c>
      <c r="P271" t="s">
        <v>627</v>
      </c>
    </row>
    <row r="272" spans="13:16" x14ac:dyDescent="0.25">
      <c r="N272" t="s">
        <v>253</v>
      </c>
      <c r="O272">
        <v>791156</v>
      </c>
    </row>
    <row r="273" spans="14:15" x14ac:dyDescent="0.25">
      <c r="N273" t="s">
        <v>163</v>
      </c>
      <c r="O273" t="s">
        <v>452</v>
      </c>
    </row>
    <row r="274" spans="14:15" x14ac:dyDescent="0.25">
      <c r="N274" t="s">
        <v>23</v>
      </c>
      <c r="O274">
        <v>830083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65F9EC-C08F-469A-8647-B5558EB351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home</vt:lpstr>
      <vt:lpstr>print</vt:lpstr>
      <vt:lpstr>query</vt:lpstr>
      <vt:lpstr>work</vt:lpstr>
      <vt:lpstr>kits to boards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Brandon Harding</dc:creator>
  <cp:lastModifiedBy>Brandon Harding</cp:lastModifiedBy>
  <cp:lastPrinted>2022-05-09T19:21:02Z</cp:lastPrinted>
  <dcterms:created xsi:type="dcterms:W3CDTF">2022-04-26T18:07:15Z</dcterms:created>
  <dcterms:modified xsi:type="dcterms:W3CDTF">2022-05-11T13:17:55Z</dcterms:modified>
</cp:coreProperties>
</file>